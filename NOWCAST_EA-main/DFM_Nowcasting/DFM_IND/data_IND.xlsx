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"/>
    </mc:Choice>
  </mc:AlternateContent>
  <xr:revisionPtr revIDLastSave="0" documentId="14_{3779E73A-4BAD-41FE-B3F1-E8DEDDE70A4D}" xr6:coauthVersionLast="41" xr6:coauthVersionMax="41" xr10:uidLastSave="{00000000-0000-0000-0000-000000000000}"/>
  <bookViews>
    <workbookView xWindow="28680" yWindow="-120" windowWidth="29040" windowHeight="15840" activeTab="4" xr2:uid="{FB2BAC06-C1A8-4B7A-8C4A-07CE58D2F014}"/>
  </bookViews>
  <sheets>
    <sheet name="Haver_M" sheetId="1" r:id="rId1"/>
    <sheet name="Haver_Q" sheetId="2" r:id="rId2"/>
    <sheet name="CEIC_DATA" sheetId="7" r:id="rId3"/>
    <sheet name="Bloomberg_m" sheetId="6" r:id="rId4"/>
    <sheet name="data" sheetId="5" r:id="rId5"/>
  </sheets>
  <definedNames>
    <definedName name="_DLX1.USE">Haver_M!$A$2:$HO$5</definedName>
    <definedName name="_DLX2.USE">Haver_Q!$A$2:$CJ$5</definedName>
    <definedName name="EdssBatchRang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O238" i="5" l="1"/>
  <c r="BP238" i="5"/>
  <c r="BO239" i="5"/>
  <c r="BP239" i="5"/>
  <c r="BO240" i="5"/>
  <c r="BP240" i="5"/>
  <c r="BO241" i="5"/>
  <c r="BP241" i="5"/>
  <c r="BO242" i="5"/>
  <c r="BP242" i="5"/>
  <c r="BO243" i="5"/>
  <c r="BP243" i="5"/>
  <c r="BN239" i="5"/>
  <c r="BN240" i="5"/>
  <c r="BN241" i="5"/>
  <c r="BN242" i="5"/>
  <c r="BN243" i="5"/>
  <c r="B243" i="5"/>
  <c r="C243" i="5"/>
  <c r="D243" i="5"/>
  <c r="E243" i="5"/>
  <c r="F243" i="5"/>
  <c r="G243" i="5"/>
  <c r="H243" i="5"/>
  <c r="I243" i="5"/>
  <c r="J243" i="5"/>
  <c r="K243" i="5"/>
  <c r="L243" i="5"/>
  <c r="M243" i="5"/>
  <c r="N243" i="5"/>
  <c r="O243" i="5"/>
  <c r="P243" i="5"/>
  <c r="Q243" i="5"/>
  <c r="R243" i="5"/>
  <c r="S243" i="5"/>
  <c r="T243" i="5"/>
  <c r="U243" i="5"/>
  <c r="V243" i="5"/>
  <c r="W243" i="5"/>
  <c r="X243" i="5"/>
  <c r="Y243" i="5"/>
  <c r="Z243" i="5"/>
  <c r="AA243" i="5"/>
  <c r="AB243" i="5"/>
  <c r="AC243" i="5"/>
  <c r="AD243" i="5"/>
  <c r="AE243" i="5"/>
  <c r="AF243" i="5"/>
  <c r="AG243" i="5"/>
  <c r="AH243" i="5"/>
  <c r="AI243" i="5"/>
  <c r="AJ243" i="5"/>
  <c r="AK243" i="5"/>
  <c r="AL243" i="5"/>
  <c r="AM243" i="5"/>
  <c r="AN243" i="5"/>
  <c r="AO243" i="5"/>
  <c r="AP243" i="5"/>
  <c r="AQ243" i="5"/>
  <c r="AR243" i="5"/>
  <c r="AS243" i="5"/>
  <c r="AT243" i="5"/>
  <c r="AU243" i="5"/>
  <c r="AV243" i="5"/>
  <c r="AW243" i="5"/>
  <c r="AX243" i="5"/>
  <c r="AY243" i="5"/>
  <c r="AZ243" i="5"/>
  <c r="BA243" i="5"/>
  <c r="BB243" i="5"/>
  <c r="BC243" i="5"/>
  <c r="BD243" i="5"/>
  <c r="BE243" i="5"/>
  <c r="BF243" i="5"/>
  <c r="BG243" i="5"/>
  <c r="BH243" i="5"/>
  <c r="BI243" i="5"/>
  <c r="BJ243" i="5"/>
  <c r="BK243" i="5"/>
  <c r="BL243" i="5"/>
  <c r="BM243" i="5"/>
  <c r="BQ243" i="5"/>
  <c r="BR243" i="5"/>
  <c r="BS243" i="5"/>
  <c r="BT243" i="5"/>
  <c r="BU243" i="5"/>
  <c r="BV243" i="5"/>
  <c r="BW243" i="5"/>
  <c r="BX243" i="5"/>
  <c r="B242" i="5"/>
  <c r="C242" i="5"/>
  <c r="D242" i="5"/>
  <c r="E242" i="5"/>
  <c r="F242" i="5"/>
  <c r="G242" i="5"/>
  <c r="H242" i="5"/>
  <c r="I242" i="5"/>
  <c r="J242" i="5"/>
  <c r="K242" i="5"/>
  <c r="L242" i="5"/>
  <c r="M242" i="5"/>
  <c r="N242" i="5"/>
  <c r="O242" i="5"/>
  <c r="P242" i="5"/>
  <c r="Q242" i="5"/>
  <c r="R242" i="5"/>
  <c r="S242" i="5"/>
  <c r="T242" i="5"/>
  <c r="U242" i="5"/>
  <c r="V242" i="5"/>
  <c r="W242" i="5"/>
  <c r="X242" i="5"/>
  <c r="Y242" i="5"/>
  <c r="Z242" i="5"/>
  <c r="AA242" i="5"/>
  <c r="AB242" i="5"/>
  <c r="AC242" i="5"/>
  <c r="AD242" i="5"/>
  <c r="AE242" i="5"/>
  <c r="AF242" i="5"/>
  <c r="AG242" i="5"/>
  <c r="AH242" i="5"/>
  <c r="AI242" i="5"/>
  <c r="AJ242" i="5"/>
  <c r="AK242" i="5"/>
  <c r="AL242" i="5"/>
  <c r="AM242" i="5"/>
  <c r="AN242" i="5"/>
  <c r="AO242" i="5"/>
  <c r="AP242" i="5"/>
  <c r="AQ242" i="5"/>
  <c r="AR242" i="5"/>
  <c r="AS242" i="5"/>
  <c r="AT242" i="5"/>
  <c r="AU242" i="5"/>
  <c r="AV242" i="5"/>
  <c r="AW242" i="5"/>
  <c r="AX242" i="5"/>
  <c r="AY242" i="5"/>
  <c r="AZ242" i="5"/>
  <c r="BA242" i="5"/>
  <c r="BB242" i="5"/>
  <c r="BC242" i="5"/>
  <c r="BD242" i="5"/>
  <c r="BE242" i="5"/>
  <c r="BF242" i="5"/>
  <c r="BG242" i="5"/>
  <c r="BH242" i="5"/>
  <c r="BI242" i="5"/>
  <c r="BJ242" i="5"/>
  <c r="BK242" i="5"/>
  <c r="BL242" i="5"/>
  <c r="BM242" i="5"/>
  <c r="BQ242" i="5"/>
  <c r="BR242" i="5"/>
  <c r="BS242" i="5"/>
  <c r="BT242" i="5"/>
  <c r="BU242" i="5"/>
  <c r="BV242" i="5"/>
  <c r="BW242" i="5"/>
  <c r="BX242" i="5"/>
  <c r="B240" i="5"/>
  <c r="C240" i="5"/>
  <c r="D240" i="5"/>
  <c r="E240" i="5"/>
  <c r="F240" i="5"/>
  <c r="G240" i="5"/>
  <c r="H240" i="5"/>
  <c r="I240" i="5"/>
  <c r="J240" i="5"/>
  <c r="K240" i="5"/>
  <c r="L240" i="5"/>
  <c r="M240" i="5"/>
  <c r="N240" i="5"/>
  <c r="O240" i="5"/>
  <c r="P240" i="5"/>
  <c r="Q240" i="5"/>
  <c r="R240" i="5"/>
  <c r="S240" i="5"/>
  <c r="T240" i="5"/>
  <c r="U240" i="5"/>
  <c r="V240" i="5"/>
  <c r="W240" i="5"/>
  <c r="X240" i="5"/>
  <c r="Y240" i="5"/>
  <c r="Z240" i="5"/>
  <c r="AA240" i="5"/>
  <c r="AB240" i="5"/>
  <c r="AC240" i="5"/>
  <c r="AD240" i="5"/>
  <c r="AE240" i="5"/>
  <c r="AF240" i="5"/>
  <c r="AG240" i="5"/>
  <c r="AH240" i="5"/>
  <c r="AI240" i="5"/>
  <c r="AJ240" i="5"/>
  <c r="AK240" i="5"/>
  <c r="AL240" i="5"/>
  <c r="AM240" i="5"/>
  <c r="AN240" i="5"/>
  <c r="AO240" i="5"/>
  <c r="AP240" i="5"/>
  <c r="AQ240" i="5"/>
  <c r="AR240" i="5"/>
  <c r="AS240" i="5"/>
  <c r="AT240" i="5"/>
  <c r="AU240" i="5"/>
  <c r="AV240" i="5"/>
  <c r="AW240" i="5"/>
  <c r="AX240" i="5"/>
  <c r="AY240" i="5"/>
  <c r="AZ240" i="5"/>
  <c r="BA240" i="5"/>
  <c r="BB240" i="5"/>
  <c r="BC240" i="5"/>
  <c r="BD240" i="5"/>
  <c r="BE240" i="5"/>
  <c r="BF240" i="5"/>
  <c r="BG240" i="5"/>
  <c r="BH240" i="5"/>
  <c r="BI240" i="5"/>
  <c r="BJ240" i="5"/>
  <c r="BK240" i="5"/>
  <c r="BL240" i="5"/>
  <c r="BM240" i="5"/>
  <c r="BQ240" i="5"/>
  <c r="BR240" i="5"/>
  <c r="BS240" i="5"/>
  <c r="BT240" i="5"/>
  <c r="BU240" i="5"/>
  <c r="BV240" i="5"/>
  <c r="BW240" i="5"/>
  <c r="BX240" i="5"/>
  <c r="B241" i="5"/>
  <c r="C241" i="5"/>
  <c r="D241" i="5"/>
  <c r="E241" i="5"/>
  <c r="F241" i="5"/>
  <c r="G241" i="5"/>
  <c r="H241" i="5"/>
  <c r="I241" i="5"/>
  <c r="J241" i="5"/>
  <c r="K241" i="5"/>
  <c r="L241" i="5"/>
  <c r="M241" i="5"/>
  <c r="N241" i="5"/>
  <c r="O241" i="5"/>
  <c r="P241" i="5"/>
  <c r="Q241" i="5"/>
  <c r="R241" i="5"/>
  <c r="S241" i="5"/>
  <c r="T241" i="5"/>
  <c r="U241" i="5"/>
  <c r="V241" i="5"/>
  <c r="W241" i="5"/>
  <c r="X241" i="5"/>
  <c r="Y241" i="5"/>
  <c r="Z241" i="5"/>
  <c r="AA241" i="5"/>
  <c r="AB241" i="5"/>
  <c r="AC241" i="5"/>
  <c r="AD241" i="5"/>
  <c r="AE241" i="5"/>
  <c r="AF241" i="5"/>
  <c r="AG241" i="5"/>
  <c r="AH241" i="5"/>
  <c r="AI241" i="5"/>
  <c r="AJ241" i="5"/>
  <c r="AK241" i="5"/>
  <c r="AL241" i="5"/>
  <c r="AM241" i="5"/>
  <c r="AN241" i="5"/>
  <c r="AO241" i="5"/>
  <c r="AP241" i="5"/>
  <c r="AQ241" i="5"/>
  <c r="AR241" i="5"/>
  <c r="AS241" i="5"/>
  <c r="AT241" i="5"/>
  <c r="AU241" i="5"/>
  <c r="AV241" i="5"/>
  <c r="AW241" i="5"/>
  <c r="AX241" i="5"/>
  <c r="AY241" i="5"/>
  <c r="AZ241" i="5"/>
  <c r="BA241" i="5"/>
  <c r="BB241" i="5"/>
  <c r="BC241" i="5"/>
  <c r="BD241" i="5"/>
  <c r="BE241" i="5"/>
  <c r="BF241" i="5"/>
  <c r="BG241" i="5"/>
  <c r="BH241" i="5"/>
  <c r="BI241" i="5"/>
  <c r="BJ241" i="5"/>
  <c r="BK241" i="5"/>
  <c r="BL241" i="5"/>
  <c r="BM241" i="5"/>
  <c r="BQ241" i="5"/>
  <c r="BR241" i="5"/>
  <c r="BS241" i="5"/>
  <c r="BT241" i="5"/>
  <c r="BU241" i="5"/>
  <c r="BV241" i="5"/>
  <c r="BW241" i="5"/>
  <c r="BX241" i="5"/>
  <c r="BX2" i="5" l="1"/>
  <c r="BX3" i="5"/>
  <c r="BX4" i="5"/>
  <c r="BX5" i="5"/>
  <c r="BX6" i="5"/>
  <c r="BX7" i="5"/>
  <c r="BX8" i="5"/>
  <c r="BX9" i="5"/>
  <c r="BX10" i="5"/>
  <c r="BX11" i="5"/>
  <c r="BX12" i="5"/>
  <c r="BX13" i="5"/>
  <c r="BX14" i="5"/>
  <c r="BX15" i="5"/>
  <c r="BX16" i="5"/>
  <c r="BX17" i="5"/>
  <c r="BX18" i="5"/>
  <c r="BX19" i="5"/>
  <c r="BX20" i="5"/>
  <c r="BX21" i="5"/>
  <c r="BX22" i="5"/>
  <c r="BX23" i="5"/>
  <c r="BX24" i="5"/>
  <c r="BX25" i="5"/>
  <c r="BX26" i="5"/>
  <c r="BX27" i="5"/>
  <c r="BX28" i="5"/>
  <c r="BX29" i="5"/>
  <c r="BX30" i="5"/>
  <c r="BX31" i="5"/>
  <c r="BX32" i="5"/>
  <c r="BX33" i="5"/>
  <c r="BX34" i="5"/>
  <c r="BX35" i="5"/>
  <c r="BX36" i="5"/>
  <c r="BX37" i="5"/>
  <c r="BX38" i="5"/>
  <c r="BX39" i="5"/>
  <c r="BX40" i="5"/>
  <c r="BX41" i="5"/>
  <c r="BX42" i="5"/>
  <c r="BX43" i="5"/>
  <c r="BX44" i="5"/>
  <c r="BX45" i="5"/>
  <c r="BX46" i="5"/>
  <c r="BX47" i="5"/>
  <c r="BX48" i="5"/>
  <c r="BX49" i="5"/>
  <c r="BX50" i="5"/>
  <c r="BX51" i="5"/>
  <c r="BX52" i="5"/>
  <c r="BX53" i="5"/>
  <c r="BX54" i="5"/>
  <c r="BX55" i="5"/>
  <c r="BX56" i="5"/>
  <c r="BX57" i="5"/>
  <c r="BX58" i="5"/>
  <c r="BX59" i="5"/>
  <c r="BX60" i="5"/>
  <c r="BX61" i="5"/>
  <c r="BX62" i="5"/>
  <c r="BX63" i="5"/>
  <c r="BX64" i="5"/>
  <c r="BX65" i="5"/>
  <c r="BX66" i="5"/>
  <c r="BX67" i="5"/>
  <c r="BX68" i="5"/>
  <c r="BX69" i="5"/>
  <c r="BX70" i="5"/>
  <c r="BX71" i="5"/>
  <c r="BX72" i="5"/>
  <c r="BX73" i="5"/>
  <c r="BX74" i="5"/>
  <c r="BX75" i="5"/>
  <c r="BX76" i="5"/>
  <c r="BX77" i="5"/>
  <c r="BX78" i="5"/>
  <c r="BX79" i="5"/>
  <c r="BX80" i="5"/>
  <c r="BX81" i="5"/>
  <c r="BX82" i="5"/>
  <c r="BX83" i="5"/>
  <c r="BX84" i="5"/>
  <c r="BX85" i="5"/>
  <c r="BX86" i="5"/>
  <c r="BX87" i="5"/>
  <c r="BX88" i="5"/>
  <c r="BX89" i="5"/>
  <c r="BX90" i="5"/>
  <c r="BX91" i="5"/>
  <c r="BX92" i="5"/>
  <c r="BX93" i="5"/>
  <c r="BX94" i="5"/>
  <c r="BX95" i="5"/>
  <c r="BX96" i="5"/>
  <c r="BX97" i="5"/>
  <c r="BX98" i="5"/>
  <c r="BX99" i="5"/>
  <c r="BX100" i="5"/>
  <c r="BX101" i="5"/>
  <c r="BX102" i="5"/>
  <c r="BX103" i="5"/>
  <c r="BX104" i="5"/>
  <c r="BX105" i="5"/>
  <c r="BX106" i="5"/>
  <c r="BX107" i="5"/>
  <c r="BX108" i="5"/>
  <c r="BX109" i="5"/>
  <c r="BX110" i="5"/>
  <c r="BX111" i="5"/>
  <c r="BX112" i="5"/>
  <c r="BX113" i="5"/>
  <c r="BX114" i="5"/>
  <c r="BX115" i="5"/>
  <c r="BX116" i="5"/>
  <c r="BX117" i="5"/>
  <c r="BX118" i="5"/>
  <c r="BX119" i="5"/>
  <c r="BX120" i="5"/>
  <c r="BX121" i="5"/>
  <c r="BX122" i="5"/>
  <c r="BX123" i="5"/>
  <c r="BX124" i="5"/>
  <c r="BX125" i="5"/>
  <c r="BX126" i="5"/>
  <c r="BX127" i="5"/>
  <c r="BX128" i="5"/>
  <c r="BX129" i="5"/>
  <c r="BX130" i="5"/>
  <c r="BX131" i="5"/>
  <c r="BX132" i="5"/>
  <c r="BX133" i="5"/>
  <c r="BX134" i="5"/>
  <c r="BX135" i="5"/>
  <c r="BX136" i="5"/>
  <c r="BX137" i="5"/>
  <c r="BX138" i="5"/>
  <c r="BX139" i="5"/>
  <c r="BX140" i="5"/>
  <c r="BX141" i="5"/>
  <c r="BX142" i="5"/>
  <c r="BX143" i="5"/>
  <c r="BX144" i="5"/>
  <c r="BX145" i="5"/>
  <c r="BX146" i="5"/>
  <c r="BX147" i="5"/>
  <c r="BX148" i="5"/>
  <c r="BX149" i="5"/>
  <c r="BX150" i="5"/>
  <c r="BX151" i="5"/>
  <c r="BX152" i="5"/>
  <c r="BX153" i="5"/>
  <c r="BX154" i="5"/>
  <c r="BX155" i="5"/>
  <c r="BX156" i="5"/>
  <c r="BX157" i="5"/>
  <c r="BX158" i="5"/>
  <c r="BX159" i="5"/>
  <c r="BX160" i="5"/>
  <c r="BX161" i="5"/>
  <c r="BX162" i="5"/>
  <c r="BX163" i="5"/>
  <c r="BX164" i="5"/>
  <c r="BX165" i="5"/>
  <c r="BX166" i="5"/>
  <c r="BX167" i="5"/>
  <c r="BX168" i="5"/>
  <c r="BX169" i="5"/>
  <c r="BX170" i="5"/>
  <c r="BX171" i="5"/>
  <c r="BX172" i="5"/>
  <c r="BX173" i="5"/>
  <c r="BX174" i="5"/>
  <c r="BX175" i="5"/>
  <c r="BX176" i="5"/>
  <c r="BX177" i="5"/>
  <c r="BX178" i="5"/>
  <c r="BX179" i="5"/>
  <c r="BX180" i="5"/>
  <c r="BX181" i="5"/>
  <c r="BX182" i="5"/>
  <c r="BX183" i="5"/>
  <c r="BX184" i="5"/>
  <c r="BX185" i="5"/>
  <c r="BX186" i="5"/>
  <c r="BX187" i="5"/>
  <c r="BX188" i="5"/>
  <c r="BX189" i="5"/>
  <c r="BX190" i="5"/>
  <c r="BX191" i="5"/>
  <c r="BX192" i="5"/>
  <c r="BX193" i="5"/>
  <c r="BX194" i="5"/>
  <c r="BX195" i="5"/>
  <c r="BX196" i="5"/>
  <c r="BX197" i="5"/>
  <c r="BX198" i="5"/>
  <c r="BX199" i="5"/>
  <c r="BX200" i="5"/>
  <c r="BX201" i="5"/>
  <c r="BX202" i="5"/>
  <c r="BX203" i="5"/>
  <c r="BX204" i="5"/>
  <c r="BX205" i="5"/>
  <c r="BX206" i="5"/>
  <c r="BX208" i="5"/>
  <c r="BX209" i="5"/>
  <c r="BX210" i="5"/>
  <c r="BX211" i="5"/>
  <c r="BX212" i="5"/>
  <c r="BX213" i="5"/>
  <c r="BX214" i="5"/>
  <c r="BX215" i="5"/>
  <c r="BX216" i="5"/>
  <c r="BX217" i="5"/>
  <c r="BX218" i="5"/>
  <c r="BX219" i="5"/>
  <c r="BX220" i="5"/>
  <c r="BX221" i="5"/>
  <c r="BX222" i="5"/>
  <c r="BX223" i="5"/>
  <c r="BX224" i="5"/>
  <c r="BX225" i="5"/>
  <c r="BX226" i="5"/>
  <c r="BX227" i="5"/>
  <c r="BX228" i="5"/>
  <c r="BX229" i="5"/>
  <c r="BX230" i="5"/>
  <c r="BX231" i="5"/>
  <c r="BX232" i="5"/>
  <c r="BX233" i="5"/>
  <c r="BX234" i="5"/>
  <c r="BX235" i="5"/>
  <c r="BX236" i="5"/>
  <c r="BX237" i="5"/>
  <c r="BX238" i="5"/>
  <c r="BX239" i="5"/>
  <c r="BX207" i="5"/>
  <c r="BQ7" i="1" l="1"/>
  <c r="BQ3" i="5" s="1"/>
  <c r="BR7" i="1"/>
  <c r="BR3" i="5" s="1"/>
  <c r="BS7" i="1"/>
  <c r="BS3" i="5" s="1"/>
  <c r="BT7" i="1"/>
  <c r="BT3" i="5" s="1"/>
  <c r="BQ8" i="1"/>
  <c r="BQ4" i="5" s="1"/>
  <c r="BR8" i="1"/>
  <c r="BR4" i="5" s="1"/>
  <c r="BS8" i="1"/>
  <c r="BS4" i="5" s="1"/>
  <c r="BT8" i="1"/>
  <c r="BT4" i="5" s="1"/>
  <c r="BQ9" i="1"/>
  <c r="BQ5" i="5" s="1"/>
  <c r="BR9" i="1"/>
  <c r="BR5" i="5" s="1"/>
  <c r="BS9" i="1"/>
  <c r="BS5" i="5" s="1"/>
  <c r="BT9" i="1"/>
  <c r="BT5" i="5" s="1"/>
  <c r="BQ10" i="1"/>
  <c r="BQ6" i="5" s="1"/>
  <c r="BR10" i="1"/>
  <c r="BR6" i="5" s="1"/>
  <c r="BS10" i="1"/>
  <c r="BS6" i="5" s="1"/>
  <c r="BT10" i="1"/>
  <c r="BT6" i="5" s="1"/>
  <c r="BQ11" i="1"/>
  <c r="BQ7" i="5" s="1"/>
  <c r="BR11" i="1"/>
  <c r="BR7" i="5" s="1"/>
  <c r="BS11" i="1"/>
  <c r="BS7" i="5" s="1"/>
  <c r="BT11" i="1"/>
  <c r="BT7" i="5" s="1"/>
  <c r="BQ12" i="1"/>
  <c r="BQ8" i="5" s="1"/>
  <c r="BR12" i="1"/>
  <c r="BR8" i="5" s="1"/>
  <c r="BS12" i="1"/>
  <c r="BS8" i="5" s="1"/>
  <c r="BT12" i="1"/>
  <c r="BT8" i="5" s="1"/>
  <c r="BQ13" i="1"/>
  <c r="BQ9" i="5" s="1"/>
  <c r="BR13" i="1"/>
  <c r="BR9" i="5" s="1"/>
  <c r="BS13" i="1"/>
  <c r="BS9" i="5" s="1"/>
  <c r="BT13" i="1"/>
  <c r="BT9" i="5" s="1"/>
  <c r="BQ14" i="1"/>
  <c r="BQ10" i="5" s="1"/>
  <c r="BR14" i="1"/>
  <c r="BR10" i="5" s="1"/>
  <c r="BS14" i="1"/>
  <c r="BS10" i="5" s="1"/>
  <c r="BT14" i="1"/>
  <c r="BT10" i="5" s="1"/>
  <c r="BQ15" i="1"/>
  <c r="BQ11" i="5" s="1"/>
  <c r="BR15" i="1"/>
  <c r="BR11" i="5" s="1"/>
  <c r="BS15" i="1"/>
  <c r="BS11" i="5" s="1"/>
  <c r="BT15" i="1"/>
  <c r="BT11" i="5" s="1"/>
  <c r="BQ16" i="1"/>
  <c r="BQ12" i="5" s="1"/>
  <c r="BR16" i="1"/>
  <c r="BR12" i="5" s="1"/>
  <c r="BS16" i="1"/>
  <c r="BS12" i="5" s="1"/>
  <c r="BT16" i="1"/>
  <c r="BT12" i="5" s="1"/>
  <c r="BQ17" i="1"/>
  <c r="BQ13" i="5" s="1"/>
  <c r="BR17" i="1"/>
  <c r="BR13" i="5" s="1"/>
  <c r="BS17" i="1"/>
  <c r="BS13" i="5" s="1"/>
  <c r="BT17" i="1"/>
  <c r="BT13" i="5" s="1"/>
  <c r="BQ18" i="1"/>
  <c r="BQ14" i="5" s="1"/>
  <c r="BR18" i="1"/>
  <c r="BR14" i="5" s="1"/>
  <c r="BS18" i="1"/>
  <c r="BS14" i="5" s="1"/>
  <c r="BT18" i="1"/>
  <c r="BT14" i="5" s="1"/>
  <c r="BQ19" i="1"/>
  <c r="BQ15" i="5" s="1"/>
  <c r="BR19" i="1"/>
  <c r="BR15" i="5" s="1"/>
  <c r="BS19" i="1"/>
  <c r="BS15" i="5" s="1"/>
  <c r="BT19" i="1"/>
  <c r="BT15" i="5" s="1"/>
  <c r="BQ20" i="1"/>
  <c r="BQ16" i="5" s="1"/>
  <c r="BR20" i="1"/>
  <c r="BR16" i="5" s="1"/>
  <c r="BS20" i="1"/>
  <c r="BS16" i="5" s="1"/>
  <c r="BT20" i="1"/>
  <c r="BT16" i="5" s="1"/>
  <c r="BQ21" i="1"/>
  <c r="BQ17" i="5" s="1"/>
  <c r="BR21" i="1"/>
  <c r="BR17" i="5" s="1"/>
  <c r="BS21" i="1"/>
  <c r="BS17" i="5" s="1"/>
  <c r="BT21" i="1"/>
  <c r="BT17" i="5" s="1"/>
  <c r="BQ22" i="1"/>
  <c r="BQ18" i="5" s="1"/>
  <c r="BR22" i="1"/>
  <c r="BR18" i="5" s="1"/>
  <c r="BS22" i="1"/>
  <c r="BS18" i="5" s="1"/>
  <c r="BT22" i="1"/>
  <c r="BT18" i="5" s="1"/>
  <c r="BQ23" i="1"/>
  <c r="BQ19" i="5" s="1"/>
  <c r="BR23" i="1"/>
  <c r="BR19" i="5" s="1"/>
  <c r="BS23" i="1"/>
  <c r="BS19" i="5" s="1"/>
  <c r="BT23" i="1"/>
  <c r="BT19" i="5" s="1"/>
  <c r="BQ24" i="1"/>
  <c r="BQ20" i="5" s="1"/>
  <c r="BR24" i="1"/>
  <c r="BR20" i="5" s="1"/>
  <c r="BS24" i="1"/>
  <c r="BS20" i="5" s="1"/>
  <c r="BT24" i="1"/>
  <c r="BT20" i="5" s="1"/>
  <c r="BQ25" i="1"/>
  <c r="BQ21" i="5" s="1"/>
  <c r="BR25" i="1"/>
  <c r="BR21" i="5" s="1"/>
  <c r="BS25" i="1"/>
  <c r="BS21" i="5" s="1"/>
  <c r="BT25" i="1"/>
  <c r="BT21" i="5" s="1"/>
  <c r="BQ26" i="1"/>
  <c r="BQ22" i="5" s="1"/>
  <c r="BR26" i="1"/>
  <c r="BR22" i="5" s="1"/>
  <c r="BS26" i="1"/>
  <c r="BS22" i="5" s="1"/>
  <c r="BT26" i="1"/>
  <c r="BT22" i="5" s="1"/>
  <c r="BQ27" i="1"/>
  <c r="BQ23" i="5" s="1"/>
  <c r="BR27" i="1"/>
  <c r="BR23" i="5" s="1"/>
  <c r="BS27" i="1"/>
  <c r="BS23" i="5" s="1"/>
  <c r="BT27" i="1"/>
  <c r="BT23" i="5" s="1"/>
  <c r="BQ28" i="1"/>
  <c r="BQ24" i="5" s="1"/>
  <c r="BR28" i="1"/>
  <c r="BR24" i="5" s="1"/>
  <c r="BS28" i="1"/>
  <c r="BS24" i="5" s="1"/>
  <c r="BT28" i="1"/>
  <c r="BT24" i="5" s="1"/>
  <c r="BQ29" i="1"/>
  <c r="BQ25" i="5" s="1"/>
  <c r="BR29" i="1"/>
  <c r="BR25" i="5" s="1"/>
  <c r="BS29" i="1"/>
  <c r="BS25" i="5" s="1"/>
  <c r="BT29" i="1"/>
  <c r="BT25" i="5" s="1"/>
  <c r="BQ30" i="1"/>
  <c r="BQ26" i="5" s="1"/>
  <c r="BR30" i="1"/>
  <c r="BR26" i="5" s="1"/>
  <c r="BS30" i="1"/>
  <c r="BS26" i="5" s="1"/>
  <c r="BT30" i="1"/>
  <c r="BT26" i="5" s="1"/>
  <c r="BQ31" i="1"/>
  <c r="BQ27" i="5" s="1"/>
  <c r="BR31" i="1"/>
  <c r="BR27" i="5" s="1"/>
  <c r="BS31" i="1"/>
  <c r="BS27" i="5" s="1"/>
  <c r="BT31" i="1"/>
  <c r="BT27" i="5" s="1"/>
  <c r="BQ32" i="1"/>
  <c r="BQ28" i="5" s="1"/>
  <c r="BR32" i="1"/>
  <c r="BR28" i="5" s="1"/>
  <c r="BS32" i="1"/>
  <c r="BS28" i="5" s="1"/>
  <c r="BT32" i="1"/>
  <c r="BT28" i="5" s="1"/>
  <c r="BQ33" i="1"/>
  <c r="BQ29" i="5" s="1"/>
  <c r="BR33" i="1"/>
  <c r="BR29" i="5" s="1"/>
  <c r="BS33" i="1"/>
  <c r="BS29" i="5" s="1"/>
  <c r="BT33" i="1"/>
  <c r="BT29" i="5" s="1"/>
  <c r="BQ34" i="1"/>
  <c r="BQ30" i="5" s="1"/>
  <c r="BR34" i="1"/>
  <c r="BR30" i="5" s="1"/>
  <c r="BS34" i="1"/>
  <c r="BS30" i="5" s="1"/>
  <c r="BT34" i="1"/>
  <c r="BT30" i="5" s="1"/>
  <c r="BQ35" i="1"/>
  <c r="BQ31" i="5" s="1"/>
  <c r="BR35" i="1"/>
  <c r="BR31" i="5" s="1"/>
  <c r="BS35" i="1"/>
  <c r="BS31" i="5" s="1"/>
  <c r="BT35" i="1"/>
  <c r="BT31" i="5" s="1"/>
  <c r="BQ36" i="1"/>
  <c r="BQ32" i="5" s="1"/>
  <c r="BR36" i="1"/>
  <c r="BR32" i="5" s="1"/>
  <c r="BS36" i="1"/>
  <c r="BS32" i="5" s="1"/>
  <c r="BT36" i="1"/>
  <c r="BT32" i="5" s="1"/>
  <c r="BQ37" i="1"/>
  <c r="BQ33" i="5" s="1"/>
  <c r="BR37" i="1"/>
  <c r="BR33" i="5" s="1"/>
  <c r="BS37" i="1"/>
  <c r="BS33" i="5" s="1"/>
  <c r="BT37" i="1"/>
  <c r="BT33" i="5" s="1"/>
  <c r="BQ38" i="1"/>
  <c r="BQ34" i="5" s="1"/>
  <c r="BR38" i="1"/>
  <c r="BR34" i="5" s="1"/>
  <c r="BS38" i="1"/>
  <c r="BS34" i="5" s="1"/>
  <c r="BT38" i="1"/>
  <c r="BT34" i="5" s="1"/>
  <c r="BQ39" i="1"/>
  <c r="BQ35" i="5" s="1"/>
  <c r="BR39" i="1"/>
  <c r="BR35" i="5" s="1"/>
  <c r="BS39" i="1"/>
  <c r="BS35" i="5" s="1"/>
  <c r="BT39" i="1"/>
  <c r="BT35" i="5" s="1"/>
  <c r="BQ40" i="1"/>
  <c r="BQ36" i="5" s="1"/>
  <c r="BR40" i="1"/>
  <c r="BR36" i="5" s="1"/>
  <c r="BS40" i="1"/>
  <c r="BS36" i="5" s="1"/>
  <c r="BT40" i="1"/>
  <c r="BT36" i="5" s="1"/>
  <c r="BQ41" i="1"/>
  <c r="BQ37" i="5" s="1"/>
  <c r="BR41" i="1"/>
  <c r="BR37" i="5" s="1"/>
  <c r="BS41" i="1"/>
  <c r="BS37" i="5" s="1"/>
  <c r="BT41" i="1"/>
  <c r="BT37" i="5" s="1"/>
  <c r="BQ42" i="1"/>
  <c r="BQ38" i="5" s="1"/>
  <c r="BR42" i="1"/>
  <c r="BR38" i="5" s="1"/>
  <c r="BS42" i="1"/>
  <c r="BS38" i="5" s="1"/>
  <c r="BT42" i="1"/>
  <c r="BT38" i="5" s="1"/>
  <c r="BQ43" i="1"/>
  <c r="BQ39" i="5" s="1"/>
  <c r="BR43" i="1"/>
  <c r="BR39" i="5" s="1"/>
  <c r="BS43" i="1"/>
  <c r="BS39" i="5" s="1"/>
  <c r="BT43" i="1"/>
  <c r="BT39" i="5" s="1"/>
  <c r="BQ44" i="1"/>
  <c r="BQ40" i="5" s="1"/>
  <c r="BR44" i="1"/>
  <c r="BR40" i="5" s="1"/>
  <c r="BS44" i="1"/>
  <c r="BS40" i="5" s="1"/>
  <c r="BT44" i="1"/>
  <c r="BT40" i="5" s="1"/>
  <c r="BQ45" i="1"/>
  <c r="BQ41" i="5" s="1"/>
  <c r="BR45" i="1"/>
  <c r="BR41" i="5" s="1"/>
  <c r="BS45" i="1"/>
  <c r="BS41" i="5" s="1"/>
  <c r="BT45" i="1"/>
  <c r="BT41" i="5" s="1"/>
  <c r="BQ46" i="1"/>
  <c r="BQ42" i="5" s="1"/>
  <c r="BR46" i="1"/>
  <c r="BR42" i="5" s="1"/>
  <c r="BS46" i="1"/>
  <c r="BS42" i="5" s="1"/>
  <c r="BT46" i="1"/>
  <c r="BT42" i="5" s="1"/>
  <c r="BQ47" i="1"/>
  <c r="BQ43" i="5" s="1"/>
  <c r="BR47" i="1"/>
  <c r="BR43" i="5" s="1"/>
  <c r="BS47" i="1"/>
  <c r="BS43" i="5" s="1"/>
  <c r="BT47" i="1"/>
  <c r="BT43" i="5" s="1"/>
  <c r="BQ48" i="1"/>
  <c r="BQ44" i="5" s="1"/>
  <c r="BR48" i="1"/>
  <c r="BR44" i="5" s="1"/>
  <c r="BS48" i="1"/>
  <c r="BS44" i="5" s="1"/>
  <c r="BT48" i="1"/>
  <c r="BT44" i="5" s="1"/>
  <c r="BQ49" i="1"/>
  <c r="BQ45" i="5" s="1"/>
  <c r="BR49" i="1"/>
  <c r="BR45" i="5" s="1"/>
  <c r="BS49" i="1"/>
  <c r="BS45" i="5" s="1"/>
  <c r="BT49" i="1"/>
  <c r="BT45" i="5" s="1"/>
  <c r="BQ50" i="1"/>
  <c r="BQ46" i="5" s="1"/>
  <c r="BR50" i="1"/>
  <c r="BR46" i="5" s="1"/>
  <c r="BS50" i="1"/>
  <c r="BS46" i="5" s="1"/>
  <c r="BT50" i="1"/>
  <c r="BT46" i="5" s="1"/>
  <c r="BQ51" i="1"/>
  <c r="BQ47" i="5" s="1"/>
  <c r="BR51" i="1"/>
  <c r="BR47" i="5" s="1"/>
  <c r="BS51" i="1"/>
  <c r="BS47" i="5" s="1"/>
  <c r="BT51" i="1"/>
  <c r="BT47" i="5" s="1"/>
  <c r="BQ52" i="1"/>
  <c r="BQ48" i="5" s="1"/>
  <c r="BR52" i="1"/>
  <c r="BR48" i="5" s="1"/>
  <c r="BS52" i="1"/>
  <c r="BS48" i="5" s="1"/>
  <c r="BT52" i="1"/>
  <c r="BT48" i="5" s="1"/>
  <c r="BQ53" i="1"/>
  <c r="BQ49" i="5" s="1"/>
  <c r="BR53" i="1"/>
  <c r="BR49" i="5" s="1"/>
  <c r="BS53" i="1"/>
  <c r="BS49" i="5" s="1"/>
  <c r="BT53" i="1"/>
  <c r="BT49" i="5" s="1"/>
  <c r="BQ54" i="1"/>
  <c r="BQ50" i="5" s="1"/>
  <c r="BR54" i="1"/>
  <c r="BR50" i="5" s="1"/>
  <c r="BS54" i="1"/>
  <c r="BS50" i="5" s="1"/>
  <c r="BT54" i="1"/>
  <c r="BT50" i="5" s="1"/>
  <c r="BQ55" i="1"/>
  <c r="BQ51" i="5" s="1"/>
  <c r="BR55" i="1"/>
  <c r="BR51" i="5" s="1"/>
  <c r="BS55" i="1"/>
  <c r="BS51" i="5" s="1"/>
  <c r="BT55" i="1"/>
  <c r="BT51" i="5" s="1"/>
  <c r="BQ56" i="1"/>
  <c r="BQ52" i="5" s="1"/>
  <c r="BR56" i="1"/>
  <c r="BR52" i="5" s="1"/>
  <c r="BS56" i="1"/>
  <c r="BS52" i="5" s="1"/>
  <c r="BT56" i="1"/>
  <c r="BT52" i="5" s="1"/>
  <c r="BQ57" i="1"/>
  <c r="BQ53" i="5" s="1"/>
  <c r="BR57" i="1"/>
  <c r="BR53" i="5" s="1"/>
  <c r="BS57" i="1"/>
  <c r="BS53" i="5" s="1"/>
  <c r="BT57" i="1"/>
  <c r="BT53" i="5" s="1"/>
  <c r="BQ58" i="1"/>
  <c r="BQ54" i="5" s="1"/>
  <c r="BR58" i="1"/>
  <c r="BR54" i="5" s="1"/>
  <c r="BS58" i="1"/>
  <c r="BS54" i="5" s="1"/>
  <c r="BT58" i="1"/>
  <c r="BT54" i="5" s="1"/>
  <c r="BQ59" i="1"/>
  <c r="BQ55" i="5" s="1"/>
  <c r="BR59" i="1"/>
  <c r="BR55" i="5" s="1"/>
  <c r="BS59" i="1"/>
  <c r="BS55" i="5" s="1"/>
  <c r="BT59" i="1"/>
  <c r="BT55" i="5" s="1"/>
  <c r="BQ60" i="1"/>
  <c r="BQ56" i="5" s="1"/>
  <c r="BR60" i="1"/>
  <c r="BR56" i="5" s="1"/>
  <c r="BS60" i="1"/>
  <c r="BS56" i="5" s="1"/>
  <c r="BT60" i="1"/>
  <c r="BT56" i="5" s="1"/>
  <c r="BQ61" i="1"/>
  <c r="BQ57" i="5" s="1"/>
  <c r="BR61" i="1"/>
  <c r="BR57" i="5" s="1"/>
  <c r="BS61" i="1"/>
  <c r="BS57" i="5" s="1"/>
  <c r="BT61" i="1"/>
  <c r="BT57" i="5" s="1"/>
  <c r="BQ62" i="1"/>
  <c r="BQ58" i="5" s="1"/>
  <c r="BR62" i="1"/>
  <c r="BR58" i="5" s="1"/>
  <c r="BS62" i="1"/>
  <c r="BS58" i="5" s="1"/>
  <c r="BT62" i="1"/>
  <c r="BT58" i="5" s="1"/>
  <c r="BQ63" i="1"/>
  <c r="BQ59" i="5" s="1"/>
  <c r="BR63" i="1"/>
  <c r="BR59" i="5" s="1"/>
  <c r="BS63" i="1"/>
  <c r="BS59" i="5" s="1"/>
  <c r="BT63" i="1"/>
  <c r="BT59" i="5" s="1"/>
  <c r="BQ64" i="1"/>
  <c r="BQ60" i="5" s="1"/>
  <c r="BR64" i="1"/>
  <c r="BR60" i="5" s="1"/>
  <c r="BS64" i="1"/>
  <c r="BS60" i="5" s="1"/>
  <c r="BT64" i="1"/>
  <c r="BT60" i="5" s="1"/>
  <c r="BQ65" i="1"/>
  <c r="BQ61" i="5" s="1"/>
  <c r="BR65" i="1"/>
  <c r="BR61" i="5" s="1"/>
  <c r="BS65" i="1"/>
  <c r="BS61" i="5" s="1"/>
  <c r="BT65" i="1"/>
  <c r="BT61" i="5" s="1"/>
  <c r="BQ66" i="1"/>
  <c r="BQ62" i="5" s="1"/>
  <c r="BR66" i="1"/>
  <c r="BR62" i="5" s="1"/>
  <c r="BS66" i="1"/>
  <c r="BS62" i="5" s="1"/>
  <c r="BT66" i="1"/>
  <c r="BT62" i="5" s="1"/>
  <c r="BQ67" i="1"/>
  <c r="BQ63" i="5" s="1"/>
  <c r="BR67" i="1"/>
  <c r="BR63" i="5" s="1"/>
  <c r="BS67" i="1"/>
  <c r="BS63" i="5" s="1"/>
  <c r="BT67" i="1"/>
  <c r="BT63" i="5" s="1"/>
  <c r="BQ68" i="1"/>
  <c r="BQ64" i="5" s="1"/>
  <c r="BR68" i="1"/>
  <c r="BR64" i="5" s="1"/>
  <c r="BS68" i="1"/>
  <c r="BS64" i="5" s="1"/>
  <c r="BT68" i="1"/>
  <c r="BT64" i="5" s="1"/>
  <c r="BQ69" i="1"/>
  <c r="BQ65" i="5" s="1"/>
  <c r="BR69" i="1"/>
  <c r="BR65" i="5" s="1"/>
  <c r="BS69" i="1"/>
  <c r="BS65" i="5" s="1"/>
  <c r="BT69" i="1"/>
  <c r="BT65" i="5" s="1"/>
  <c r="BQ70" i="1"/>
  <c r="BQ66" i="5" s="1"/>
  <c r="BR70" i="1"/>
  <c r="BR66" i="5" s="1"/>
  <c r="BS70" i="1"/>
  <c r="BS66" i="5" s="1"/>
  <c r="BT70" i="1"/>
  <c r="BT66" i="5" s="1"/>
  <c r="BQ71" i="1"/>
  <c r="BQ67" i="5" s="1"/>
  <c r="BR71" i="1"/>
  <c r="BR67" i="5" s="1"/>
  <c r="BS71" i="1"/>
  <c r="BS67" i="5" s="1"/>
  <c r="BT71" i="1"/>
  <c r="BT67" i="5" s="1"/>
  <c r="BQ72" i="1"/>
  <c r="BQ68" i="5" s="1"/>
  <c r="BR72" i="1"/>
  <c r="BR68" i="5" s="1"/>
  <c r="BS72" i="1"/>
  <c r="BS68" i="5" s="1"/>
  <c r="BT72" i="1"/>
  <c r="BT68" i="5" s="1"/>
  <c r="BQ73" i="1"/>
  <c r="BQ69" i="5" s="1"/>
  <c r="BR73" i="1"/>
  <c r="BR69" i="5" s="1"/>
  <c r="BS73" i="1"/>
  <c r="BS69" i="5" s="1"/>
  <c r="BT73" i="1"/>
  <c r="BT69" i="5" s="1"/>
  <c r="BQ74" i="1"/>
  <c r="BQ70" i="5" s="1"/>
  <c r="BR74" i="1"/>
  <c r="BR70" i="5" s="1"/>
  <c r="BS74" i="1"/>
  <c r="BS70" i="5" s="1"/>
  <c r="BT74" i="1"/>
  <c r="BT70" i="5" s="1"/>
  <c r="BQ75" i="1"/>
  <c r="BQ71" i="5" s="1"/>
  <c r="BR75" i="1"/>
  <c r="BR71" i="5" s="1"/>
  <c r="BS75" i="1"/>
  <c r="BS71" i="5" s="1"/>
  <c r="BT75" i="1"/>
  <c r="BT71" i="5" s="1"/>
  <c r="BQ76" i="1"/>
  <c r="BQ72" i="5" s="1"/>
  <c r="BR76" i="1"/>
  <c r="BR72" i="5" s="1"/>
  <c r="BS76" i="1"/>
  <c r="BS72" i="5" s="1"/>
  <c r="BT76" i="1"/>
  <c r="BT72" i="5" s="1"/>
  <c r="BQ77" i="1"/>
  <c r="BQ73" i="5" s="1"/>
  <c r="BR77" i="1"/>
  <c r="BR73" i="5" s="1"/>
  <c r="BS77" i="1"/>
  <c r="BS73" i="5" s="1"/>
  <c r="BT77" i="1"/>
  <c r="BT73" i="5" s="1"/>
  <c r="BQ78" i="1"/>
  <c r="BQ74" i="5" s="1"/>
  <c r="BR78" i="1"/>
  <c r="BR74" i="5" s="1"/>
  <c r="BS78" i="1"/>
  <c r="BS74" i="5" s="1"/>
  <c r="BT78" i="1"/>
  <c r="BT74" i="5" s="1"/>
  <c r="BQ79" i="1"/>
  <c r="BQ75" i="5" s="1"/>
  <c r="BR79" i="1"/>
  <c r="BR75" i="5" s="1"/>
  <c r="BS79" i="1"/>
  <c r="BS75" i="5" s="1"/>
  <c r="BT79" i="1"/>
  <c r="BT75" i="5" s="1"/>
  <c r="BQ80" i="1"/>
  <c r="BQ76" i="5" s="1"/>
  <c r="BR80" i="1"/>
  <c r="BR76" i="5" s="1"/>
  <c r="BS80" i="1"/>
  <c r="BS76" i="5" s="1"/>
  <c r="BT80" i="1"/>
  <c r="BT76" i="5" s="1"/>
  <c r="BQ81" i="1"/>
  <c r="BQ77" i="5" s="1"/>
  <c r="BR81" i="1"/>
  <c r="BR77" i="5" s="1"/>
  <c r="BS81" i="1"/>
  <c r="BS77" i="5" s="1"/>
  <c r="BT81" i="1"/>
  <c r="BT77" i="5" s="1"/>
  <c r="BQ82" i="1"/>
  <c r="BQ78" i="5" s="1"/>
  <c r="BR82" i="1"/>
  <c r="BR78" i="5" s="1"/>
  <c r="BS82" i="1"/>
  <c r="BS78" i="5" s="1"/>
  <c r="BT82" i="1"/>
  <c r="BT78" i="5" s="1"/>
  <c r="BQ83" i="1"/>
  <c r="BQ79" i="5" s="1"/>
  <c r="BR83" i="1"/>
  <c r="BR79" i="5" s="1"/>
  <c r="BS83" i="1"/>
  <c r="BS79" i="5" s="1"/>
  <c r="BT83" i="1"/>
  <c r="BT79" i="5" s="1"/>
  <c r="BQ84" i="1"/>
  <c r="BQ80" i="5" s="1"/>
  <c r="BR84" i="1"/>
  <c r="BR80" i="5" s="1"/>
  <c r="BS84" i="1"/>
  <c r="BS80" i="5" s="1"/>
  <c r="BT84" i="1"/>
  <c r="BT80" i="5" s="1"/>
  <c r="BQ85" i="1"/>
  <c r="BQ81" i="5" s="1"/>
  <c r="BR85" i="1"/>
  <c r="BR81" i="5" s="1"/>
  <c r="BS85" i="1"/>
  <c r="BS81" i="5" s="1"/>
  <c r="BT85" i="1"/>
  <c r="BT81" i="5" s="1"/>
  <c r="BQ86" i="1"/>
  <c r="BQ82" i="5" s="1"/>
  <c r="BR86" i="1"/>
  <c r="BR82" i="5" s="1"/>
  <c r="BS86" i="1"/>
  <c r="BS82" i="5" s="1"/>
  <c r="BT86" i="1"/>
  <c r="BT82" i="5" s="1"/>
  <c r="BQ87" i="1"/>
  <c r="BQ83" i="5" s="1"/>
  <c r="BR87" i="1"/>
  <c r="BR83" i="5" s="1"/>
  <c r="BS87" i="1"/>
  <c r="BS83" i="5" s="1"/>
  <c r="BT87" i="1"/>
  <c r="BT83" i="5" s="1"/>
  <c r="BQ88" i="1"/>
  <c r="BQ84" i="5" s="1"/>
  <c r="BR88" i="1"/>
  <c r="BR84" i="5" s="1"/>
  <c r="BS88" i="1"/>
  <c r="BS84" i="5" s="1"/>
  <c r="BT88" i="1"/>
  <c r="BT84" i="5" s="1"/>
  <c r="BQ89" i="1"/>
  <c r="BQ85" i="5" s="1"/>
  <c r="BR89" i="1"/>
  <c r="BR85" i="5" s="1"/>
  <c r="BS89" i="1"/>
  <c r="BS85" i="5" s="1"/>
  <c r="BT89" i="1"/>
  <c r="BT85" i="5" s="1"/>
  <c r="BQ90" i="1"/>
  <c r="BQ86" i="5" s="1"/>
  <c r="BR90" i="1"/>
  <c r="BR86" i="5" s="1"/>
  <c r="BS90" i="1"/>
  <c r="BS86" i="5" s="1"/>
  <c r="BT90" i="1"/>
  <c r="BT86" i="5" s="1"/>
  <c r="BQ91" i="1"/>
  <c r="BQ87" i="5" s="1"/>
  <c r="BR91" i="1"/>
  <c r="BR87" i="5" s="1"/>
  <c r="BS91" i="1"/>
  <c r="BS87" i="5" s="1"/>
  <c r="BT91" i="1"/>
  <c r="BT87" i="5" s="1"/>
  <c r="BQ92" i="1"/>
  <c r="BQ88" i="5" s="1"/>
  <c r="BR92" i="1"/>
  <c r="BR88" i="5" s="1"/>
  <c r="BS92" i="1"/>
  <c r="BS88" i="5" s="1"/>
  <c r="BT92" i="1"/>
  <c r="BT88" i="5" s="1"/>
  <c r="BQ93" i="1"/>
  <c r="BQ89" i="5" s="1"/>
  <c r="BR93" i="1"/>
  <c r="BR89" i="5" s="1"/>
  <c r="BS93" i="1"/>
  <c r="BS89" i="5" s="1"/>
  <c r="BT93" i="1"/>
  <c r="BT89" i="5" s="1"/>
  <c r="BQ94" i="1"/>
  <c r="BQ90" i="5" s="1"/>
  <c r="BR94" i="1"/>
  <c r="BR90" i="5" s="1"/>
  <c r="BS94" i="1"/>
  <c r="BS90" i="5" s="1"/>
  <c r="BT94" i="1"/>
  <c r="BT90" i="5" s="1"/>
  <c r="BQ95" i="1"/>
  <c r="BQ91" i="5" s="1"/>
  <c r="BR95" i="1"/>
  <c r="BR91" i="5" s="1"/>
  <c r="BS95" i="1"/>
  <c r="BS91" i="5" s="1"/>
  <c r="BT95" i="1"/>
  <c r="BT91" i="5" s="1"/>
  <c r="BQ96" i="1"/>
  <c r="BQ92" i="5" s="1"/>
  <c r="BR96" i="1"/>
  <c r="BR92" i="5" s="1"/>
  <c r="BS96" i="1"/>
  <c r="BS92" i="5" s="1"/>
  <c r="BT96" i="1"/>
  <c r="BT92" i="5" s="1"/>
  <c r="BQ97" i="1"/>
  <c r="BQ93" i="5" s="1"/>
  <c r="BR97" i="1"/>
  <c r="BR93" i="5" s="1"/>
  <c r="BS97" i="1"/>
  <c r="BS93" i="5" s="1"/>
  <c r="BT97" i="1"/>
  <c r="BT93" i="5" s="1"/>
  <c r="BQ98" i="1"/>
  <c r="BQ94" i="5" s="1"/>
  <c r="BR98" i="1"/>
  <c r="BR94" i="5" s="1"/>
  <c r="BS98" i="1"/>
  <c r="BS94" i="5" s="1"/>
  <c r="BT98" i="1"/>
  <c r="BT94" i="5" s="1"/>
  <c r="BQ99" i="1"/>
  <c r="BQ95" i="5" s="1"/>
  <c r="BR99" i="1"/>
  <c r="BR95" i="5" s="1"/>
  <c r="BS99" i="1"/>
  <c r="BS95" i="5" s="1"/>
  <c r="BT99" i="1"/>
  <c r="BT95" i="5" s="1"/>
  <c r="BQ100" i="1"/>
  <c r="BQ96" i="5" s="1"/>
  <c r="BR100" i="1"/>
  <c r="BR96" i="5" s="1"/>
  <c r="BS100" i="1"/>
  <c r="BS96" i="5" s="1"/>
  <c r="BT100" i="1"/>
  <c r="BT96" i="5" s="1"/>
  <c r="BQ101" i="1"/>
  <c r="BQ97" i="5" s="1"/>
  <c r="BR101" i="1"/>
  <c r="BR97" i="5" s="1"/>
  <c r="BS101" i="1"/>
  <c r="BS97" i="5" s="1"/>
  <c r="BT101" i="1"/>
  <c r="BT97" i="5" s="1"/>
  <c r="BQ102" i="1"/>
  <c r="BQ98" i="5" s="1"/>
  <c r="BR102" i="1"/>
  <c r="BR98" i="5" s="1"/>
  <c r="BS102" i="1"/>
  <c r="BS98" i="5" s="1"/>
  <c r="BT102" i="1"/>
  <c r="BT98" i="5" s="1"/>
  <c r="BQ103" i="1"/>
  <c r="BQ99" i="5" s="1"/>
  <c r="BR103" i="1"/>
  <c r="BR99" i="5" s="1"/>
  <c r="BS103" i="1"/>
  <c r="BS99" i="5" s="1"/>
  <c r="BT103" i="1"/>
  <c r="BT99" i="5" s="1"/>
  <c r="BQ104" i="1"/>
  <c r="BQ100" i="5" s="1"/>
  <c r="BR104" i="1"/>
  <c r="BR100" i="5" s="1"/>
  <c r="BS104" i="1"/>
  <c r="BS100" i="5" s="1"/>
  <c r="BT104" i="1"/>
  <c r="BT100" i="5" s="1"/>
  <c r="BQ105" i="1"/>
  <c r="BQ101" i="5" s="1"/>
  <c r="BR105" i="1"/>
  <c r="BR101" i="5" s="1"/>
  <c r="BS105" i="1"/>
  <c r="BS101" i="5" s="1"/>
  <c r="BT105" i="1"/>
  <c r="BT101" i="5" s="1"/>
  <c r="BQ106" i="1"/>
  <c r="BQ102" i="5" s="1"/>
  <c r="BR106" i="1"/>
  <c r="BR102" i="5" s="1"/>
  <c r="BS106" i="1"/>
  <c r="BS102" i="5" s="1"/>
  <c r="BT106" i="1"/>
  <c r="BT102" i="5" s="1"/>
  <c r="BQ107" i="1"/>
  <c r="BQ103" i="5" s="1"/>
  <c r="BR107" i="1"/>
  <c r="BR103" i="5" s="1"/>
  <c r="BS107" i="1"/>
  <c r="BS103" i="5" s="1"/>
  <c r="BT107" i="1"/>
  <c r="BT103" i="5" s="1"/>
  <c r="BQ108" i="1"/>
  <c r="BQ104" i="5" s="1"/>
  <c r="BR108" i="1"/>
  <c r="BR104" i="5" s="1"/>
  <c r="BS108" i="1"/>
  <c r="BS104" i="5" s="1"/>
  <c r="BT108" i="1"/>
  <c r="BT104" i="5" s="1"/>
  <c r="BQ109" i="1"/>
  <c r="BQ105" i="5" s="1"/>
  <c r="BR109" i="1"/>
  <c r="BR105" i="5" s="1"/>
  <c r="BS109" i="1"/>
  <c r="BS105" i="5" s="1"/>
  <c r="BT109" i="1"/>
  <c r="BT105" i="5" s="1"/>
  <c r="BQ110" i="1"/>
  <c r="BQ106" i="5" s="1"/>
  <c r="BR110" i="1"/>
  <c r="BR106" i="5" s="1"/>
  <c r="BS110" i="1"/>
  <c r="BS106" i="5" s="1"/>
  <c r="BT110" i="1"/>
  <c r="BT106" i="5" s="1"/>
  <c r="BQ111" i="1"/>
  <c r="BQ107" i="5" s="1"/>
  <c r="BR111" i="1"/>
  <c r="BR107" i="5" s="1"/>
  <c r="BS111" i="1"/>
  <c r="BS107" i="5" s="1"/>
  <c r="BT111" i="1"/>
  <c r="BT107" i="5" s="1"/>
  <c r="BQ112" i="1"/>
  <c r="BQ108" i="5" s="1"/>
  <c r="BR112" i="1"/>
  <c r="BR108" i="5" s="1"/>
  <c r="BS112" i="1"/>
  <c r="BS108" i="5" s="1"/>
  <c r="BT112" i="1"/>
  <c r="BT108" i="5" s="1"/>
  <c r="BQ113" i="1"/>
  <c r="BQ109" i="5" s="1"/>
  <c r="BR113" i="1"/>
  <c r="BR109" i="5" s="1"/>
  <c r="BS113" i="1"/>
  <c r="BS109" i="5" s="1"/>
  <c r="BT113" i="1"/>
  <c r="BT109" i="5" s="1"/>
  <c r="BQ114" i="1"/>
  <c r="BQ110" i="5" s="1"/>
  <c r="BR114" i="1"/>
  <c r="BR110" i="5" s="1"/>
  <c r="BS114" i="1"/>
  <c r="BS110" i="5" s="1"/>
  <c r="BT114" i="1"/>
  <c r="BT110" i="5" s="1"/>
  <c r="BQ115" i="1"/>
  <c r="BQ111" i="5" s="1"/>
  <c r="BR115" i="1"/>
  <c r="BR111" i="5" s="1"/>
  <c r="BS115" i="1"/>
  <c r="BS111" i="5" s="1"/>
  <c r="BT115" i="1"/>
  <c r="BT111" i="5" s="1"/>
  <c r="BQ116" i="1"/>
  <c r="BQ112" i="5" s="1"/>
  <c r="BR116" i="1"/>
  <c r="BR112" i="5" s="1"/>
  <c r="BS116" i="1"/>
  <c r="BS112" i="5" s="1"/>
  <c r="BT116" i="1"/>
  <c r="BT112" i="5" s="1"/>
  <c r="BQ117" i="1"/>
  <c r="BQ113" i="5" s="1"/>
  <c r="BR117" i="1"/>
  <c r="BR113" i="5" s="1"/>
  <c r="BS117" i="1"/>
  <c r="BS113" i="5" s="1"/>
  <c r="BT117" i="1"/>
  <c r="BT113" i="5" s="1"/>
  <c r="BQ118" i="1"/>
  <c r="BQ114" i="5" s="1"/>
  <c r="BR118" i="1"/>
  <c r="BR114" i="5" s="1"/>
  <c r="BS118" i="1"/>
  <c r="BS114" i="5" s="1"/>
  <c r="BT118" i="1"/>
  <c r="BT114" i="5" s="1"/>
  <c r="BQ119" i="1"/>
  <c r="BQ115" i="5" s="1"/>
  <c r="BR119" i="1"/>
  <c r="BR115" i="5" s="1"/>
  <c r="BS119" i="1"/>
  <c r="BS115" i="5" s="1"/>
  <c r="BT119" i="1"/>
  <c r="BT115" i="5" s="1"/>
  <c r="BQ120" i="1"/>
  <c r="BQ116" i="5" s="1"/>
  <c r="BR120" i="1"/>
  <c r="BR116" i="5" s="1"/>
  <c r="BS120" i="1"/>
  <c r="BS116" i="5" s="1"/>
  <c r="BT120" i="1"/>
  <c r="BT116" i="5" s="1"/>
  <c r="BQ121" i="1"/>
  <c r="BQ117" i="5" s="1"/>
  <c r="BR121" i="1"/>
  <c r="BR117" i="5" s="1"/>
  <c r="BS121" i="1"/>
  <c r="BS117" i="5" s="1"/>
  <c r="BT121" i="1"/>
  <c r="BT117" i="5" s="1"/>
  <c r="BQ122" i="1"/>
  <c r="BQ118" i="5" s="1"/>
  <c r="BR122" i="1"/>
  <c r="BR118" i="5" s="1"/>
  <c r="BS122" i="1"/>
  <c r="BS118" i="5" s="1"/>
  <c r="BT122" i="1"/>
  <c r="BT118" i="5" s="1"/>
  <c r="BQ123" i="1"/>
  <c r="BQ119" i="5" s="1"/>
  <c r="BR123" i="1"/>
  <c r="BR119" i="5" s="1"/>
  <c r="BS123" i="1"/>
  <c r="BS119" i="5" s="1"/>
  <c r="BT123" i="1"/>
  <c r="BT119" i="5" s="1"/>
  <c r="BQ124" i="1"/>
  <c r="BQ120" i="5" s="1"/>
  <c r="BR124" i="1"/>
  <c r="BR120" i="5" s="1"/>
  <c r="BS124" i="1"/>
  <c r="BS120" i="5" s="1"/>
  <c r="BT124" i="1"/>
  <c r="BT120" i="5" s="1"/>
  <c r="BQ125" i="1"/>
  <c r="BQ121" i="5" s="1"/>
  <c r="BR125" i="1"/>
  <c r="BR121" i="5" s="1"/>
  <c r="BS125" i="1"/>
  <c r="BS121" i="5" s="1"/>
  <c r="BT125" i="1"/>
  <c r="BT121" i="5" s="1"/>
  <c r="BQ126" i="1"/>
  <c r="BQ122" i="5" s="1"/>
  <c r="BR126" i="1"/>
  <c r="BR122" i="5" s="1"/>
  <c r="BS126" i="1"/>
  <c r="BS122" i="5" s="1"/>
  <c r="BT126" i="1"/>
  <c r="BT122" i="5" s="1"/>
  <c r="BQ127" i="1"/>
  <c r="BQ123" i="5" s="1"/>
  <c r="BR127" i="1"/>
  <c r="BR123" i="5" s="1"/>
  <c r="BS127" i="1"/>
  <c r="BS123" i="5" s="1"/>
  <c r="BT127" i="1"/>
  <c r="BT123" i="5" s="1"/>
  <c r="BQ128" i="1"/>
  <c r="BQ124" i="5" s="1"/>
  <c r="BR128" i="1"/>
  <c r="BR124" i="5" s="1"/>
  <c r="BS128" i="1"/>
  <c r="BS124" i="5" s="1"/>
  <c r="BT128" i="1"/>
  <c r="BT124" i="5" s="1"/>
  <c r="BQ129" i="1"/>
  <c r="BQ125" i="5" s="1"/>
  <c r="BR129" i="1"/>
  <c r="BR125" i="5" s="1"/>
  <c r="BS129" i="1"/>
  <c r="BS125" i="5" s="1"/>
  <c r="BT129" i="1"/>
  <c r="BT125" i="5" s="1"/>
  <c r="BQ130" i="1"/>
  <c r="BQ126" i="5" s="1"/>
  <c r="BR130" i="1"/>
  <c r="BR126" i="5" s="1"/>
  <c r="BS130" i="1"/>
  <c r="BS126" i="5" s="1"/>
  <c r="BT130" i="1"/>
  <c r="BT126" i="5" s="1"/>
  <c r="BQ131" i="1"/>
  <c r="BQ127" i="5" s="1"/>
  <c r="BR131" i="1"/>
  <c r="BR127" i="5" s="1"/>
  <c r="BS131" i="1"/>
  <c r="BS127" i="5" s="1"/>
  <c r="BT131" i="1"/>
  <c r="BT127" i="5" s="1"/>
  <c r="BQ132" i="1"/>
  <c r="BQ128" i="5" s="1"/>
  <c r="BR132" i="1"/>
  <c r="BR128" i="5" s="1"/>
  <c r="BS132" i="1"/>
  <c r="BS128" i="5" s="1"/>
  <c r="BT132" i="1"/>
  <c r="BT128" i="5" s="1"/>
  <c r="BQ133" i="1"/>
  <c r="BQ129" i="5" s="1"/>
  <c r="BR133" i="1"/>
  <c r="BR129" i="5" s="1"/>
  <c r="BS133" i="1"/>
  <c r="BS129" i="5" s="1"/>
  <c r="BT133" i="1"/>
  <c r="BT129" i="5" s="1"/>
  <c r="BQ134" i="1"/>
  <c r="BQ130" i="5" s="1"/>
  <c r="BR134" i="1"/>
  <c r="BR130" i="5" s="1"/>
  <c r="BS134" i="1"/>
  <c r="BS130" i="5" s="1"/>
  <c r="BT134" i="1"/>
  <c r="BT130" i="5" s="1"/>
  <c r="BQ135" i="1"/>
  <c r="BQ131" i="5" s="1"/>
  <c r="BR135" i="1"/>
  <c r="BR131" i="5" s="1"/>
  <c r="BS135" i="1"/>
  <c r="BS131" i="5" s="1"/>
  <c r="BT135" i="1"/>
  <c r="BT131" i="5" s="1"/>
  <c r="BQ136" i="1"/>
  <c r="BQ132" i="5" s="1"/>
  <c r="BR136" i="1"/>
  <c r="BR132" i="5" s="1"/>
  <c r="BS136" i="1"/>
  <c r="BS132" i="5" s="1"/>
  <c r="BT136" i="1"/>
  <c r="BT132" i="5" s="1"/>
  <c r="BQ137" i="1"/>
  <c r="BQ133" i="5" s="1"/>
  <c r="BR137" i="1"/>
  <c r="BR133" i="5" s="1"/>
  <c r="BS137" i="1"/>
  <c r="BS133" i="5" s="1"/>
  <c r="BT137" i="1"/>
  <c r="BT133" i="5" s="1"/>
  <c r="BQ138" i="1"/>
  <c r="BQ134" i="5" s="1"/>
  <c r="BR138" i="1"/>
  <c r="BR134" i="5" s="1"/>
  <c r="BS138" i="1"/>
  <c r="BS134" i="5" s="1"/>
  <c r="BT138" i="1"/>
  <c r="BT134" i="5" s="1"/>
  <c r="BQ139" i="1"/>
  <c r="BQ135" i="5" s="1"/>
  <c r="BR139" i="1"/>
  <c r="BR135" i="5" s="1"/>
  <c r="BS139" i="1"/>
  <c r="BS135" i="5" s="1"/>
  <c r="BT139" i="1"/>
  <c r="BT135" i="5" s="1"/>
  <c r="BQ140" i="1"/>
  <c r="BQ136" i="5" s="1"/>
  <c r="BR140" i="1"/>
  <c r="BR136" i="5" s="1"/>
  <c r="BS140" i="1"/>
  <c r="BS136" i="5" s="1"/>
  <c r="BT140" i="1"/>
  <c r="BT136" i="5" s="1"/>
  <c r="BQ141" i="1"/>
  <c r="BQ137" i="5" s="1"/>
  <c r="BR141" i="1"/>
  <c r="BR137" i="5" s="1"/>
  <c r="BS141" i="1"/>
  <c r="BS137" i="5" s="1"/>
  <c r="BT141" i="1"/>
  <c r="BT137" i="5" s="1"/>
  <c r="BQ142" i="1"/>
  <c r="BQ138" i="5" s="1"/>
  <c r="BR142" i="1"/>
  <c r="BR138" i="5" s="1"/>
  <c r="BS142" i="1"/>
  <c r="BS138" i="5" s="1"/>
  <c r="BT142" i="1"/>
  <c r="BT138" i="5" s="1"/>
  <c r="BQ143" i="1"/>
  <c r="BQ139" i="5" s="1"/>
  <c r="BR143" i="1"/>
  <c r="BR139" i="5" s="1"/>
  <c r="BS143" i="1"/>
  <c r="BS139" i="5" s="1"/>
  <c r="BT143" i="1"/>
  <c r="BT139" i="5" s="1"/>
  <c r="BQ144" i="1"/>
  <c r="BQ140" i="5" s="1"/>
  <c r="BR144" i="1"/>
  <c r="BR140" i="5" s="1"/>
  <c r="BS144" i="1"/>
  <c r="BS140" i="5" s="1"/>
  <c r="BT144" i="1"/>
  <c r="BT140" i="5" s="1"/>
  <c r="BQ145" i="1"/>
  <c r="BQ141" i="5" s="1"/>
  <c r="BR145" i="1"/>
  <c r="BR141" i="5" s="1"/>
  <c r="BS145" i="1"/>
  <c r="BS141" i="5" s="1"/>
  <c r="BT145" i="1"/>
  <c r="BT141" i="5" s="1"/>
  <c r="BQ146" i="1"/>
  <c r="BQ142" i="5" s="1"/>
  <c r="BR146" i="1"/>
  <c r="BR142" i="5" s="1"/>
  <c r="BS146" i="1"/>
  <c r="BS142" i="5" s="1"/>
  <c r="BT146" i="1"/>
  <c r="BT142" i="5" s="1"/>
  <c r="BQ147" i="1"/>
  <c r="BQ143" i="5" s="1"/>
  <c r="BR147" i="1"/>
  <c r="BR143" i="5" s="1"/>
  <c r="BS147" i="1"/>
  <c r="BS143" i="5" s="1"/>
  <c r="BT147" i="1"/>
  <c r="BT143" i="5" s="1"/>
  <c r="BQ148" i="1"/>
  <c r="BQ144" i="5" s="1"/>
  <c r="BR148" i="1"/>
  <c r="BR144" i="5" s="1"/>
  <c r="BS148" i="1"/>
  <c r="BS144" i="5" s="1"/>
  <c r="BT148" i="1"/>
  <c r="BT144" i="5" s="1"/>
  <c r="BQ149" i="1"/>
  <c r="BQ145" i="5" s="1"/>
  <c r="BR149" i="1"/>
  <c r="BR145" i="5" s="1"/>
  <c r="BS149" i="1"/>
  <c r="BS145" i="5" s="1"/>
  <c r="BT149" i="1"/>
  <c r="BT145" i="5" s="1"/>
  <c r="BQ150" i="1"/>
  <c r="BQ146" i="5" s="1"/>
  <c r="BR150" i="1"/>
  <c r="BR146" i="5" s="1"/>
  <c r="BS150" i="1"/>
  <c r="BS146" i="5" s="1"/>
  <c r="BT150" i="1"/>
  <c r="BT146" i="5" s="1"/>
  <c r="BQ151" i="1"/>
  <c r="BQ147" i="5" s="1"/>
  <c r="BR151" i="1"/>
  <c r="BR147" i="5" s="1"/>
  <c r="BS151" i="1"/>
  <c r="BS147" i="5" s="1"/>
  <c r="BT151" i="1"/>
  <c r="BT147" i="5" s="1"/>
  <c r="BQ152" i="1"/>
  <c r="BQ148" i="5" s="1"/>
  <c r="BR152" i="1"/>
  <c r="BR148" i="5" s="1"/>
  <c r="BS152" i="1"/>
  <c r="BS148" i="5" s="1"/>
  <c r="BT152" i="1"/>
  <c r="BT148" i="5" s="1"/>
  <c r="BQ153" i="1"/>
  <c r="BQ149" i="5" s="1"/>
  <c r="BR153" i="1"/>
  <c r="BR149" i="5" s="1"/>
  <c r="BS153" i="1"/>
  <c r="BS149" i="5" s="1"/>
  <c r="BT153" i="1"/>
  <c r="BT149" i="5" s="1"/>
  <c r="BQ154" i="1"/>
  <c r="BQ150" i="5" s="1"/>
  <c r="BR154" i="1"/>
  <c r="BR150" i="5" s="1"/>
  <c r="BS154" i="1"/>
  <c r="BS150" i="5" s="1"/>
  <c r="BT154" i="1"/>
  <c r="BT150" i="5" s="1"/>
  <c r="BQ155" i="1"/>
  <c r="BQ151" i="5" s="1"/>
  <c r="BR155" i="1"/>
  <c r="BR151" i="5" s="1"/>
  <c r="BS155" i="1"/>
  <c r="BS151" i="5" s="1"/>
  <c r="BT155" i="1"/>
  <c r="BT151" i="5" s="1"/>
  <c r="BQ156" i="1"/>
  <c r="BQ152" i="5" s="1"/>
  <c r="BR156" i="1"/>
  <c r="BR152" i="5" s="1"/>
  <c r="BS156" i="1"/>
  <c r="BS152" i="5" s="1"/>
  <c r="BT156" i="1"/>
  <c r="BT152" i="5" s="1"/>
  <c r="BQ157" i="1"/>
  <c r="BQ153" i="5" s="1"/>
  <c r="BR157" i="1"/>
  <c r="BR153" i="5" s="1"/>
  <c r="BS157" i="1"/>
  <c r="BS153" i="5" s="1"/>
  <c r="BT157" i="1"/>
  <c r="BT153" i="5" s="1"/>
  <c r="BQ158" i="1"/>
  <c r="BQ154" i="5" s="1"/>
  <c r="BR158" i="1"/>
  <c r="BR154" i="5" s="1"/>
  <c r="BS158" i="1"/>
  <c r="BS154" i="5" s="1"/>
  <c r="BT158" i="1"/>
  <c r="BT154" i="5" s="1"/>
  <c r="BQ159" i="1"/>
  <c r="BQ155" i="5" s="1"/>
  <c r="BR159" i="1"/>
  <c r="BR155" i="5" s="1"/>
  <c r="BS159" i="1"/>
  <c r="BS155" i="5" s="1"/>
  <c r="BT159" i="1"/>
  <c r="BT155" i="5" s="1"/>
  <c r="BQ160" i="1"/>
  <c r="BQ156" i="5" s="1"/>
  <c r="BR160" i="1"/>
  <c r="BR156" i="5" s="1"/>
  <c r="BS160" i="1"/>
  <c r="BS156" i="5" s="1"/>
  <c r="BT160" i="1"/>
  <c r="BT156" i="5" s="1"/>
  <c r="BQ161" i="1"/>
  <c r="BQ157" i="5" s="1"/>
  <c r="BR161" i="1"/>
  <c r="BR157" i="5" s="1"/>
  <c r="BS161" i="1"/>
  <c r="BS157" i="5" s="1"/>
  <c r="BT161" i="1"/>
  <c r="BT157" i="5" s="1"/>
  <c r="BQ162" i="1"/>
  <c r="BQ158" i="5" s="1"/>
  <c r="BR162" i="1"/>
  <c r="BR158" i="5" s="1"/>
  <c r="BS162" i="1"/>
  <c r="BS158" i="5" s="1"/>
  <c r="BT162" i="1"/>
  <c r="BT158" i="5" s="1"/>
  <c r="BQ163" i="1"/>
  <c r="BQ159" i="5" s="1"/>
  <c r="BR163" i="1"/>
  <c r="BR159" i="5" s="1"/>
  <c r="BS163" i="1"/>
  <c r="BS159" i="5" s="1"/>
  <c r="BT163" i="1"/>
  <c r="BT159" i="5" s="1"/>
  <c r="BQ164" i="1"/>
  <c r="BQ160" i="5" s="1"/>
  <c r="BR164" i="1"/>
  <c r="BR160" i="5" s="1"/>
  <c r="BS164" i="1"/>
  <c r="BS160" i="5" s="1"/>
  <c r="BT164" i="1"/>
  <c r="BT160" i="5" s="1"/>
  <c r="BQ165" i="1"/>
  <c r="BQ161" i="5" s="1"/>
  <c r="BR165" i="1"/>
  <c r="BR161" i="5" s="1"/>
  <c r="BS165" i="1"/>
  <c r="BS161" i="5" s="1"/>
  <c r="BT165" i="1"/>
  <c r="BT161" i="5" s="1"/>
  <c r="BQ166" i="1"/>
  <c r="BQ162" i="5" s="1"/>
  <c r="BR166" i="1"/>
  <c r="BR162" i="5" s="1"/>
  <c r="BS166" i="1"/>
  <c r="BS162" i="5" s="1"/>
  <c r="BT166" i="1"/>
  <c r="BT162" i="5" s="1"/>
  <c r="BQ167" i="1"/>
  <c r="BQ163" i="5" s="1"/>
  <c r="BR167" i="1"/>
  <c r="BR163" i="5" s="1"/>
  <c r="BS167" i="1"/>
  <c r="BS163" i="5" s="1"/>
  <c r="BT167" i="1"/>
  <c r="BT163" i="5" s="1"/>
  <c r="BQ168" i="1"/>
  <c r="BQ164" i="5" s="1"/>
  <c r="BR168" i="1"/>
  <c r="BR164" i="5" s="1"/>
  <c r="BS168" i="1"/>
  <c r="BS164" i="5" s="1"/>
  <c r="BT168" i="1"/>
  <c r="BT164" i="5" s="1"/>
  <c r="BQ169" i="1"/>
  <c r="BQ165" i="5" s="1"/>
  <c r="BR169" i="1"/>
  <c r="BR165" i="5" s="1"/>
  <c r="BS169" i="1"/>
  <c r="BS165" i="5" s="1"/>
  <c r="BT169" i="1"/>
  <c r="BT165" i="5" s="1"/>
  <c r="BQ170" i="1"/>
  <c r="BQ166" i="5" s="1"/>
  <c r="BR170" i="1"/>
  <c r="BR166" i="5" s="1"/>
  <c r="BS170" i="1"/>
  <c r="BS166" i="5" s="1"/>
  <c r="BT170" i="1"/>
  <c r="BT166" i="5" s="1"/>
  <c r="BQ171" i="1"/>
  <c r="BQ167" i="5" s="1"/>
  <c r="BR171" i="1"/>
  <c r="BR167" i="5" s="1"/>
  <c r="BS171" i="1"/>
  <c r="BS167" i="5" s="1"/>
  <c r="BT171" i="1"/>
  <c r="BT167" i="5" s="1"/>
  <c r="BQ172" i="1"/>
  <c r="BQ168" i="5" s="1"/>
  <c r="BR172" i="1"/>
  <c r="BR168" i="5" s="1"/>
  <c r="BS172" i="1"/>
  <c r="BS168" i="5" s="1"/>
  <c r="BT172" i="1"/>
  <c r="BT168" i="5" s="1"/>
  <c r="BQ173" i="1"/>
  <c r="BQ169" i="5" s="1"/>
  <c r="BR173" i="1"/>
  <c r="BR169" i="5" s="1"/>
  <c r="BS173" i="1"/>
  <c r="BS169" i="5" s="1"/>
  <c r="BT173" i="1"/>
  <c r="BT169" i="5" s="1"/>
  <c r="BQ174" i="1"/>
  <c r="BQ170" i="5" s="1"/>
  <c r="BR174" i="1"/>
  <c r="BR170" i="5" s="1"/>
  <c r="BS174" i="1"/>
  <c r="BS170" i="5" s="1"/>
  <c r="BT174" i="1"/>
  <c r="BT170" i="5" s="1"/>
  <c r="BQ175" i="1"/>
  <c r="BQ171" i="5" s="1"/>
  <c r="BR175" i="1"/>
  <c r="BR171" i="5" s="1"/>
  <c r="BS175" i="1"/>
  <c r="BS171" i="5" s="1"/>
  <c r="BT175" i="1"/>
  <c r="BT171" i="5" s="1"/>
  <c r="BQ176" i="1"/>
  <c r="BQ172" i="5" s="1"/>
  <c r="BR176" i="1"/>
  <c r="BR172" i="5" s="1"/>
  <c r="BS176" i="1"/>
  <c r="BS172" i="5" s="1"/>
  <c r="BT176" i="1"/>
  <c r="BT172" i="5" s="1"/>
  <c r="BQ177" i="1"/>
  <c r="BQ173" i="5" s="1"/>
  <c r="BR177" i="1"/>
  <c r="BR173" i="5" s="1"/>
  <c r="BS177" i="1"/>
  <c r="BS173" i="5" s="1"/>
  <c r="BT177" i="1"/>
  <c r="BT173" i="5" s="1"/>
  <c r="BQ178" i="1"/>
  <c r="BQ174" i="5" s="1"/>
  <c r="BR178" i="1"/>
  <c r="BR174" i="5" s="1"/>
  <c r="BS178" i="1"/>
  <c r="BS174" i="5" s="1"/>
  <c r="BT178" i="1"/>
  <c r="BT174" i="5" s="1"/>
  <c r="BQ179" i="1"/>
  <c r="BQ175" i="5" s="1"/>
  <c r="BR179" i="1"/>
  <c r="BR175" i="5" s="1"/>
  <c r="BS179" i="1"/>
  <c r="BS175" i="5" s="1"/>
  <c r="BT179" i="1"/>
  <c r="BT175" i="5" s="1"/>
  <c r="BQ180" i="1"/>
  <c r="BQ176" i="5" s="1"/>
  <c r="BR180" i="1"/>
  <c r="BR176" i="5" s="1"/>
  <c r="BS180" i="1"/>
  <c r="BS176" i="5" s="1"/>
  <c r="BT180" i="1"/>
  <c r="BT176" i="5" s="1"/>
  <c r="BQ181" i="1"/>
  <c r="BQ177" i="5" s="1"/>
  <c r="BR181" i="1"/>
  <c r="BR177" i="5" s="1"/>
  <c r="BS181" i="1"/>
  <c r="BS177" i="5" s="1"/>
  <c r="BT181" i="1"/>
  <c r="BT177" i="5" s="1"/>
  <c r="BQ182" i="1"/>
  <c r="BQ178" i="5" s="1"/>
  <c r="BR182" i="1"/>
  <c r="BR178" i="5" s="1"/>
  <c r="BS182" i="1"/>
  <c r="BS178" i="5" s="1"/>
  <c r="BT182" i="1"/>
  <c r="BT178" i="5" s="1"/>
  <c r="BQ183" i="1"/>
  <c r="BQ179" i="5" s="1"/>
  <c r="BR183" i="1"/>
  <c r="BR179" i="5" s="1"/>
  <c r="BS183" i="1"/>
  <c r="BS179" i="5" s="1"/>
  <c r="BT183" i="1"/>
  <c r="BT179" i="5" s="1"/>
  <c r="BQ184" i="1"/>
  <c r="BQ180" i="5" s="1"/>
  <c r="BR184" i="1"/>
  <c r="BR180" i="5" s="1"/>
  <c r="BS184" i="1"/>
  <c r="BS180" i="5" s="1"/>
  <c r="BT184" i="1"/>
  <c r="BT180" i="5" s="1"/>
  <c r="BQ185" i="1"/>
  <c r="BQ181" i="5" s="1"/>
  <c r="BR185" i="1"/>
  <c r="BR181" i="5" s="1"/>
  <c r="BS185" i="1"/>
  <c r="BS181" i="5" s="1"/>
  <c r="BT185" i="1"/>
  <c r="BT181" i="5" s="1"/>
  <c r="BQ186" i="1"/>
  <c r="BQ182" i="5" s="1"/>
  <c r="BR186" i="1"/>
  <c r="BR182" i="5" s="1"/>
  <c r="BS186" i="1"/>
  <c r="BS182" i="5" s="1"/>
  <c r="BT186" i="1"/>
  <c r="BT182" i="5" s="1"/>
  <c r="BQ187" i="1"/>
  <c r="BQ183" i="5" s="1"/>
  <c r="BR187" i="1"/>
  <c r="BR183" i="5" s="1"/>
  <c r="BS187" i="1"/>
  <c r="BS183" i="5" s="1"/>
  <c r="BT187" i="1"/>
  <c r="BT183" i="5" s="1"/>
  <c r="BQ188" i="1"/>
  <c r="BQ184" i="5" s="1"/>
  <c r="BR188" i="1"/>
  <c r="BR184" i="5" s="1"/>
  <c r="BS188" i="1"/>
  <c r="BS184" i="5" s="1"/>
  <c r="BT188" i="1"/>
  <c r="BT184" i="5" s="1"/>
  <c r="BQ189" i="1"/>
  <c r="BQ185" i="5" s="1"/>
  <c r="BR189" i="1"/>
  <c r="BR185" i="5" s="1"/>
  <c r="BS189" i="1"/>
  <c r="BS185" i="5" s="1"/>
  <c r="BT189" i="1"/>
  <c r="BT185" i="5" s="1"/>
  <c r="BQ190" i="1"/>
  <c r="BQ186" i="5" s="1"/>
  <c r="BR190" i="1"/>
  <c r="BR186" i="5" s="1"/>
  <c r="BS190" i="1"/>
  <c r="BS186" i="5" s="1"/>
  <c r="BT190" i="1"/>
  <c r="BT186" i="5" s="1"/>
  <c r="BQ191" i="1"/>
  <c r="BQ187" i="5" s="1"/>
  <c r="BR191" i="1"/>
  <c r="BR187" i="5" s="1"/>
  <c r="BS191" i="1"/>
  <c r="BS187" i="5" s="1"/>
  <c r="BT191" i="1"/>
  <c r="BT187" i="5" s="1"/>
  <c r="BQ192" i="1"/>
  <c r="BQ188" i="5" s="1"/>
  <c r="BR192" i="1"/>
  <c r="BR188" i="5" s="1"/>
  <c r="BS192" i="1"/>
  <c r="BS188" i="5" s="1"/>
  <c r="BT192" i="1"/>
  <c r="BT188" i="5" s="1"/>
  <c r="BQ193" i="1"/>
  <c r="BQ189" i="5" s="1"/>
  <c r="BR193" i="1"/>
  <c r="BR189" i="5" s="1"/>
  <c r="BS193" i="1"/>
  <c r="BS189" i="5" s="1"/>
  <c r="BT193" i="1"/>
  <c r="BT189" i="5" s="1"/>
  <c r="BQ194" i="1"/>
  <c r="BQ190" i="5" s="1"/>
  <c r="BR194" i="1"/>
  <c r="BR190" i="5" s="1"/>
  <c r="BS194" i="1"/>
  <c r="BS190" i="5" s="1"/>
  <c r="BT194" i="1"/>
  <c r="BT190" i="5" s="1"/>
  <c r="BQ195" i="1"/>
  <c r="BQ191" i="5" s="1"/>
  <c r="BR195" i="1"/>
  <c r="BR191" i="5" s="1"/>
  <c r="BS195" i="1"/>
  <c r="BS191" i="5" s="1"/>
  <c r="BT195" i="1"/>
  <c r="BT191" i="5" s="1"/>
  <c r="BQ196" i="1"/>
  <c r="BQ192" i="5" s="1"/>
  <c r="BR196" i="1"/>
  <c r="BR192" i="5" s="1"/>
  <c r="BS196" i="1"/>
  <c r="BS192" i="5" s="1"/>
  <c r="BT196" i="1"/>
  <c r="BT192" i="5" s="1"/>
  <c r="BQ197" i="1"/>
  <c r="BQ193" i="5" s="1"/>
  <c r="BR197" i="1"/>
  <c r="BR193" i="5" s="1"/>
  <c r="BS197" i="1"/>
  <c r="BS193" i="5" s="1"/>
  <c r="BT197" i="1"/>
  <c r="BT193" i="5" s="1"/>
  <c r="BQ198" i="1"/>
  <c r="BQ194" i="5" s="1"/>
  <c r="BR198" i="1"/>
  <c r="BR194" i="5" s="1"/>
  <c r="BS198" i="1"/>
  <c r="BS194" i="5" s="1"/>
  <c r="BT198" i="1"/>
  <c r="BT194" i="5" s="1"/>
  <c r="BQ199" i="1"/>
  <c r="BQ195" i="5" s="1"/>
  <c r="BR199" i="1"/>
  <c r="BR195" i="5" s="1"/>
  <c r="BS199" i="1"/>
  <c r="BS195" i="5" s="1"/>
  <c r="BT199" i="1"/>
  <c r="BT195" i="5" s="1"/>
  <c r="BQ200" i="1"/>
  <c r="BQ196" i="5" s="1"/>
  <c r="BR200" i="1"/>
  <c r="BR196" i="5" s="1"/>
  <c r="BS200" i="1"/>
  <c r="BS196" i="5" s="1"/>
  <c r="BT200" i="1"/>
  <c r="BT196" i="5" s="1"/>
  <c r="BQ201" i="1"/>
  <c r="BQ197" i="5" s="1"/>
  <c r="BR201" i="1"/>
  <c r="BR197" i="5" s="1"/>
  <c r="BS201" i="1"/>
  <c r="BS197" i="5" s="1"/>
  <c r="BT201" i="1"/>
  <c r="BT197" i="5" s="1"/>
  <c r="BQ202" i="1"/>
  <c r="BQ198" i="5" s="1"/>
  <c r="BR202" i="1"/>
  <c r="BR198" i="5" s="1"/>
  <c r="BS202" i="1"/>
  <c r="BS198" i="5" s="1"/>
  <c r="BT202" i="1"/>
  <c r="BT198" i="5" s="1"/>
  <c r="BQ203" i="1"/>
  <c r="BQ199" i="5" s="1"/>
  <c r="BR203" i="1"/>
  <c r="BR199" i="5" s="1"/>
  <c r="BS203" i="1"/>
  <c r="BS199" i="5" s="1"/>
  <c r="BT203" i="1"/>
  <c r="BT199" i="5" s="1"/>
  <c r="BQ204" i="1"/>
  <c r="BQ200" i="5" s="1"/>
  <c r="BR204" i="1"/>
  <c r="BR200" i="5" s="1"/>
  <c r="BS204" i="1"/>
  <c r="BS200" i="5" s="1"/>
  <c r="BT204" i="1"/>
  <c r="BT200" i="5" s="1"/>
  <c r="BQ205" i="1"/>
  <c r="BQ201" i="5" s="1"/>
  <c r="BR205" i="1"/>
  <c r="BR201" i="5" s="1"/>
  <c r="BS205" i="1"/>
  <c r="BS201" i="5" s="1"/>
  <c r="BT205" i="1"/>
  <c r="BT201" i="5" s="1"/>
  <c r="BQ206" i="1"/>
  <c r="BQ202" i="5" s="1"/>
  <c r="BR206" i="1"/>
  <c r="BR202" i="5" s="1"/>
  <c r="BS206" i="1"/>
  <c r="BS202" i="5" s="1"/>
  <c r="BT206" i="1"/>
  <c r="BT202" i="5" s="1"/>
  <c r="BQ207" i="1"/>
  <c r="BQ203" i="5" s="1"/>
  <c r="BR207" i="1"/>
  <c r="BR203" i="5" s="1"/>
  <c r="BS207" i="1"/>
  <c r="BS203" i="5" s="1"/>
  <c r="BT207" i="1"/>
  <c r="BT203" i="5" s="1"/>
  <c r="BQ208" i="1"/>
  <c r="BQ204" i="5" s="1"/>
  <c r="BR208" i="1"/>
  <c r="BR204" i="5" s="1"/>
  <c r="BS208" i="1"/>
  <c r="BS204" i="5" s="1"/>
  <c r="BT208" i="1"/>
  <c r="BT204" i="5" s="1"/>
  <c r="BQ209" i="1"/>
  <c r="BQ205" i="5" s="1"/>
  <c r="BR209" i="1"/>
  <c r="BR205" i="5" s="1"/>
  <c r="BS209" i="1"/>
  <c r="BS205" i="5" s="1"/>
  <c r="BT209" i="1"/>
  <c r="BT205" i="5" s="1"/>
  <c r="BQ210" i="1"/>
  <c r="BQ206" i="5" s="1"/>
  <c r="BR210" i="1"/>
  <c r="BR206" i="5" s="1"/>
  <c r="BS210" i="1"/>
  <c r="BS206" i="5" s="1"/>
  <c r="BT210" i="1"/>
  <c r="BT206" i="5" s="1"/>
  <c r="BQ211" i="1"/>
  <c r="BQ207" i="5" s="1"/>
  <c r="BR211" i="1"/>
  <c r="BR207" i="5" s="1"/>
  <c r="BS211" i="1"/>
  <c r="BS207" i="5" s="1"/>
  <c r="BT211" i="1"/>
  <c r="BT207" i="5" s="1"/>
  <c r="BQ212" i="1"/>
  <c r="BQ208" i="5" s="1"/>
  <c r="BR212" i="1"/>
  <c r="BR208" i="5" s="1"/>
  <c r="BS212" i="1"/>
  <c r="BS208" i="5" s="1"/>
  <c r="BT212" i="1"/>
  <c r="BT208" i="5" s="1"/>
  <c r="BQ213" i="1"/>
  <c r="BQ209" i="5" s="1"/>
  <c r="BR213" i="1"/>
  <c r="BR209" i="5" s="1"/>
  <c r="BS213" i="1"/>
  <c r="BS209" i="5" s="1"/>
  <c r="BT213" i="1"/>
  <c r="BT209" i="5" s="1"/>
  <c r="BQ214" i="1"/>
  <c r="BQ210" i="5" s="1"/>
  <c r="BR214" i="1"/>
  <c r="BR210" i="5" s="1"/>
  <c r="BS214" i="1"/>
  <c r="BS210" i="5" s="1"/>
  <c r="BT214" i="1"/>
  <c r="BT210" i="5" s="1"/>
  <c r="BQ215" i="1"/>
  <c r="BQ211" i="5" s="1"/>
  <c r="BR215" i="1"/>
  <c r="BR211" i="5" s="1"/>
  <c r="BS215" i="1"/>
  <c r="BS211" i="5" s="1"/>
  <c r="BT215" i="1"/>
  <c r="BT211" i="5" s="1"/>
  <c r="BQ216" i="1"/>
  <c r="BQ212" i="5" s="1"/>
  <c r="BR216" i="1"/>
  <c r="BR212" i="5" s="1"/>
  <c r="BS216" i="1"/>
  <c r="BS212" i="5" s="1"/>
  <c r="BT216" i="1"/>
  <c r="BT212" i="5" s="1"/>
  <c r="BQ217" i="1"/>
  <c r="BQ213" i="5" s="1"/>
  <c r="BR217" i="1"/>
  <c r="BR213" i="5" s="1"/>
  <c r="BS217" i="1"/>
  <c r="BS213" i="5" s="1"/>
  <c r="BT217" i="1"/>
  <c r="BT213" i="5" s="1"/>
  <c r="BQ218" i="1"/>
  <c r="BQ214" i="5" s="1"/>
  <c r="BR218" i="1"/>
  <c r="BR214" i="5" s="1"/>
  <c r="BS218" i="1"/>
  <c r="BS214" i="5" s="1"/>
  <c r="BT218" i="1"/>
  <c r="BT214" i="5" s="1"/>
  <c r="BQ219" i="1"/>
  <c r="BQ215" i="5" s="1"/>
  <c r="BR219" i="1"/>
  <c r="BR215" i="5" s="1"/>
  <c r="BS219" i="1"/>
  <c r="BS215" i="5" s="1"/>
  <c r="BT219" i="1"/>
  <c r="BT215" i="5" s="1"/>
  <c r="BQ220" i="1"/>
  <c r="BQ216" i="5" s="1"/>
  <c r="BR220" i="1"/>
  <c r="BR216" i="5" s="1"/>
  <c r="BS220" i="1"/>
  <c r="BS216" i="5" s="1"/>
  <c r="BT220" i="1"/>
  <c r="BT216" i="5" s="1"/>
  <c r="BQ221" i="1"/>
  <c r="BQ217" i="5" s="1"/>
  <c r="BR221" i="1"/>
  <c r="BR217" i="5" s="1"/>
  <c r="BS221" i="1"/>
  <c r="BS217" i="5" s="1"/>
  <c r="BT221" i="1"/>
  <c r="BT217" i="5" s="1"/>
  <c r="BQ222" i="1"/>
  <c r="BQ218" i="5" s="1"/>
  <c r="BR222" i="1"/>
  <c r="BR218" i="5" s="1"/>
  <c r="BS222" i="1"/>
  <c r="BS218" i="5" s="1"/>
  <c r="BT222" i="1"/>
  <c r="BT218" i="5" s="1"/>
  <c r="BQ223" i="1"/>
  <c r="BQ219" i="5" s="1"/>
  <c r="BR223" i="1"/>
  <c r="BR219" i="5" s="1"/>
  <c r="BS223" i="1"/>
  <c r="BS219" i="5" s="1"/>
  <c r="BT223" i="1"/>
  <c r="BT219" i="5" s="1"/>
  <c r="BQ224" i="1"/>
  <c r="BQ220" i="5" s="1"/>
  <c r="BR224" i="1"/>
  <c r="BR220" i="5" s="1"/>
  <c r="BS224" i="1"/>
  <c r="BS220" i="5" s="1"/>
  <c r="BT224" i="1"/>
  <c r="BT220" i="5" s="1"/>
  <c r="BQ225" i="1"/>
  <c r="BQ221" i="5" s="1"/>
  <c r="BR225" i="1"/>
  <c r="BR221" i="5" s="1"/>
  <c r="BS225" i="1"/>
  <c r="BS221" i="5" s="1"/>
  <c r="BT225" i="1"/>
  <c r="BT221" i="5" s="1"/>
  <c r="BQ226" i="1"/>
  <c r="BQ222" i="5" s="1"/>
  <c r="BR226" i="1"/>
  <c r="BR222" i="5" s="1"/>
  <c r="BS226" i="1"/>
  <c r="BS222" i="5" s="1"/>
  <c r="BT226" i="1"/>
  <c r="BT222" i="5" s="1"/>
  <c r="BQ227" i="1"/>
  <c r="BQ223" i="5" s="1"/>
  <c r="BR227" i="1"/>
  <c r="BR223" i="5" s="1"/>
  <c r="BS227" i="1"/>
  <c r="BS223" i="5" s="1"/>
  <c r="BT227" i="1"/>
  <c r="BT223" i="5" s="1"/>
  <c r="BQ228" i="1"/>
  <c r="BQ224" i="5" s="1"/>
  <c r="BR228" i="1"/>
  <c r="BR224" i="5" s="1"/>
  <c r="BS228" i="1"/>
  <c r="BS224" i="5" s="1"/>
  <c r="BT228" i="1"/>
  <c r="BT224" i="5" s="1"/>
  <c r="BQ229" i="1"/>
  <c r="BQ225" i="5" s="1"/>
  <c r="BR229" i="1"/>
  <c r="BR225" i="5" s="1"/>
  <c r="BS229" i="1"/>
  <c r="BS225" i="5" s="1"/>
  <c r="BT229" i="1"/>
  <c r="BT225" i="5" s="1"/>
  <c r="BQ230" i="1"/>
  <c r="BQ226" i="5" s="1"/>
  <c r="BR230" i="1"/>
  <c r="BR226" i="5" s="1"/>
  <c r="BS230" i="1"/>
  <c r="BS226" i="5" s="1"/>
  <c r="BT230" i="1"/>
  <c r="BT226" i="5" s="1"/>
  <c r="BQ231" i="1"/>
  <c r="BQ227" i="5" s="1"/>
  <c r="BR231" i="1"/>
  <c r="BR227" i="5" s="1"/>
  <c r="BS231" i="1"/>
  <c r="BS227" i="5" s="1"/>
  <c r="BT231" i="1"/>
  <c r="BT227" i="5" s="1"/>
  <c r="BQ232" i="1"/>
  <c r="BQ228" i="5" s="1"/>
  <c r="BR232" i="1"/>
  <c r="BR228" i="5" s="1"/>
  <c r="BS232" i="1"/>
  <c r="BS228" i="5" s="1"/>
  <c r="BT232" i="1"/>
  <c r="BT228" i="5" s="1"/>
  <c r="BQ233" i="1"/>
  <c r="BQ229" i="5" s="1"/>
  <c r="BR233" i="1"/>
  <c r="BR229" i="5" s="1"/>
  <c r="BS233" i="1"/>
  <c r="BS229" i="5" s="1"/>
  <c r="BT233" i="1"/>
  <c r="BT229" i="5" s="1"/>
  <c r="BQ234" i="1"/>
  <c r="BQ230" i="5" s="1"/>
  <c r="BR234" i="1"/>
  <c r="BR230" i="5" s="1"/>
  <c r="BS234" i="1"/>
  <c r="BS230" i="5" s="1"/>
  <c r="BT234" i="1"/>
  <c r="BT230" i="5" s="1"/>
  <c r="BQ235" i="1"/>
  <c r="BQ231" i="5" s="1"/>
  <c r="BR235" i="1"/>
  <c r="BR231" i="5" s="1"/>
  <c r="BS235" i="1"/>
  <c r="BS231" i="5" s="1"/>
  <c r="BT235" i="1"/>
  <c r="BT231" i="5" s="1"/>
  <c r="BQ236" i="1"/>
  <c r="BQ232" i="5" s="1"/>
  <c r="BR236" i="1"/>
  <c r="BR232" i="5" s="1"/>
  <c r="BS236" i="1"/>
  <c r="BS232" i="5" s="1"/>
  <c r="BT236" i="1"/>
  <c r="BT232" i="5" s="1"/>
  <c r="BQ237" i="1"/>
  <c r="BQ233" i="5" s="1"/>
  <c r="BR237" i="1"/>
  <c r="BR233" i="5" s="1"/>
  <c r="BS237" i="1"/>
  <c r="BS233" i="5" s="1"/>
  <c r="BT237" i="1"/>
  <c r="BT233" i="5" s="1"/>
  <c r="BQ238" i="1"/>
  <c r="BQ234" i="5" s="1"/>
  <c r="BR238" i="1"/>
  <c r="BR234" i="5" s="1"/>
  <c r="BS238" i="1"/>
  <c r="BS234" i="5" s="1"/>
  <c r="BT238" i="1"/>
  <c r="BT234" i="5" s="1"/>
  <c r="BQ239" i="1"/>
  <c r="BQ235" i="5" s="1"/>
  <c r="BR239" i="1"/>
  <c r="BR235" i="5" s="1"/>
  <c r="BS239" i="1"/>
  <c r="BS235" i="5" s="1"/>
  <c r="BT239" i="1"/>
  <c r="BT235" i="5" s="1"/>
  <c r="BQ240" i="1"/>
  <c r="BQ236" i="5" s="1"/>
  <c r="BR240" i="1"/>
  <c r="BR236" i="5" s="1"/>
  <c r="BS240" i="1"/>
  <c r="BS236" i="5" s="1"/>
  <c r="BT240" i="1"/>
  <c r="BT236" i="5" s="1"/>
  <c r="BQ241" i="1"/>
  <c r="BQ237" i="5" s="1"/>
  <c r="BR241" i="1"/>
  <c r="BR237" i="5" s="1"/>
  <c r="BS241" i="1"/>
  <c r="BS237" i="5" s="1"/>
  <c r="BT241" i="1"/>
  <c r="BT237" i="5" s="1"/>
  <c r="BQ242" i="1"/>
  <c r="BQ238" i="5" s="1"/>
  <c r="BR242" i="1"/>
  <c r="BR238" i="5" s="1"/>
  <c r="BS242" i="1"/>
  <c r="BS238" i="5" s="1"/>
  <c r="BT242" i="1"/>
  <c r="BT238" i="5" s="1"/>
  <c r="BQ243" i="1"/>
  <c r="BQ239" i="5" s="1"/>
  <c r="BR243" i="1"/>
  <c r="BR239" i="5" s="1"/>
  <c r="BS243" i="1"/>
  <c r="BS239" i="5" s="1"/>
  <c r="BT243" i="1"/>
  <c r="BT239" i="5" s="1"/>
  <c r="BQ244" i="1"/>
  <c r="BR244" i="1"/>
  <c r="BS244" i="1"/>
  <c r="BT244" i="1"/>
  <c r="BT6" i="1"/>
  <c r="BT2" i="5" s="1"/>
  <c r="BR6" i="1"/>
  <c r="BR2" i="5" s="1"/>
  <c r="BS6" i="1"/>
  <c r="BS2" i="5" s="1"/>
  <c r="BQ6" i="1"/>
  <c r="BQ2" i="5" s="1"/>
  <c r="BU3" i="5"/>
  <c r="BV3" i="5"/>
  <c r="BW3" i="5"/>
  <c r="BU4" i="5"/>
  <c r="BV4" i="5"/>
  <c r="BW4" i="5"/>
  <c r="BU5" i="5"/>
  <c r="BV5" i="5"/>
  <c r="BW5" i="5"/>
  <c r="BU6" i="5"/>
  <c r="BV6" i="5"/>
  <c r="BW6" i="5"/>
  <c r="BU7" i="5"/>
  <c r="BV7" i="5"/>
  <c r="BW7" i="5"/>
  <c r="BU8" i="5"/>
  <c r="BV8" i="5"/>
  <c r="BW8" i="5"/>
  <c r="BU9" i="5"/>
  <c r="BV9" i="5"/>
  <c r="BW9" i="5"/>
  <c r="BU10" i="5"/>
  <c r="BV10" i="5"/>
  <c r="BW10" i="5"/>
  <c r="BU11" i="5"/>
  <c r="BV11" i="5"/>
  <c r="BW11" i="5"/>
  <c r="BU12" i="5"/>
  <c r="BV12" i="5"/>
  <c r="BW12" i="5"/>
  <c r="BU13" i="5"/>
  <c r="BV13" i="5"/>
  <c r="BW13" i="5"/>
  <c r="BU14" i="5"/>
  <c r="BV14" i="5"/>
  <c r="BW14" i="5"/>
  <c r="BU15" i="5"/>
  <c r="BV15" i="5"/>
  <c r="BW15" i="5"/>
  <c r="BU16" i="5"/>
  <c r="BV16" i="5"/>
  <c r="BW16" i="5"/>
  <c r="BU17" i="5"/>
  <c r="BV17" i="5"/>
  <c r="BW17" i="5"/>
  <c r="BU18" i="5"/>
  <c r="BV18" i="5"/>
  <c r="BW18" i="5"/>
  <c r="BU19" i="5"/>
  <c r="BV19" i="5"/>
  <c r="BW19" i="5"/>
  <c r="BU20" i="5"/>
  <c r="BV20" i="5"/>
  <c r="BW20" i="5"/>
  <c r="BU21" i="5"/>
  <c r="BV21" i="5"/>
  <c r="BW21" i="5"/>
  <c r="BU22" i="5"/>
  <c r="BV22" i="5"/>
  <c r="BW22" i="5"/>
  <c r="BU23" i="5"/>
  <c r="BV23" i="5"/>
  <c r="BW23" i="5"/>
  <c r="BU24" i="5"/>
  <c r="BV24" i="5"/>
  <c r="BW24" i="5"/>
  <c r="BU25" i="5"/>
  <c r="BV25" i="5"/>
  <c r="BW25" i="5"/>
  <c r="BU26" i="5"/>
  <c r="BV26" i="5"/>
  <c r="BW26" i="5"/>
  <c r="BU27" i="5"/>
  <c r="BV27" i="5"/>
  <c r="BW27" i="5"/>
  <c r="BU28" i="5"/>
  <c r="BV28" i="5"/>
  <c r="BW28" i="5"/>
  <c r="BU29" i="5"/>
  <c r="BV29" i="5"/>
  <c r="BW29" i="5"/>
  <c r="BU30" i="5"/>
  <c r="BV30" i="5"/>
  <c r="BW30" i="5"/>
  <c r="BU31" i="5"/>
  <c r="BV31" i="5"/>
  <c r="BW31" i="5"/>
  <c r="BU32" i="5"/>
  <c r="BV32" i="5"/>
  <c r="BW32" i="5"/>
  <c r="BU33" i="5"/>
  <c r="BV33" i="5"/>
  <c r="BW33" i="5"/>
  <c r="BU34" i="5"/>
  <c r="BV34" i="5"/>
  <c r="BW34" i="5"/>
  <c r="BU35" i="5"/>
  <c r="BV35" i="5"/>
  <c r="BW35" i="5"/>
  <c r="BU36" i="5"/>
  <c r="BV36" i="5"/>
  <c r="BW36" i="5"/>
  <c r="BU37" i="5"/>
  <c r="BV37" i="5"/>
  <c r="BW37" i="5"/>
  <c r="BU38" i="5"/>
  <c r="BV38" i="5"/>
  <c r="BW38" i="5"/>
  <c r="BU39" i="5"/>
  <c r="BV39" i="5"/>
  <c r="BW39" i="5"/>
  <c r="BU40" i="5"/>
  <c r="BV40" i="5"/>
  <c r="BW40" i="5"/>
  <c r="BU41" i="5"/>
  <c r="BV41" i="5"/>
  <c r="BW41" i="5"/>
  <c r="BU42" i="5"/>
  <c r="BV42" i="5"/>
  <c r="BW42" i="5"/>
  <c r="BU43" i="5"/>
  <c r="BV43" i="5"/>
  <c r="BW43" i="5"/>
  <c r="BU44" i="5"/>
  <c r="BV44" i="5"/>
  <c r="BW44" i="5"/>
  <c r="BU45" i="5"/>
  <c r="BV45" i="5"/>
  <c r="BW45" i="5"/>
  <c r="BU46" i="5"/>
  <c r="BV46" i="5"/>
  <c r="BW46" i="5"/>
  <c r="BU47" i="5"/>
  <c r="BV47" i="5"/>
  <c r="BW47" i="5"/>
  <c r="BU48" i="5"/>
  <c r="BV48" i="5"/>
  <c r="BW48" i="5"/>
  <c r="BU49" i="5"/>
  <c r="BV49" i="5"/>
  <c r="BW49" i="5"/>
  <c r="BU50" i="5"/>
  <c r="BV50" i="5"/>
  <c r="BW50" i="5"/>
  <c r="BU51" i="5"/>
  <c r="BV51" i="5"/>
  <c r="BW51" i="5"/>
  <c r="BU52" i="5"/>
  <c r="BV52" i="5"/>
  <c r="BW52" i="5"/>
  <c r="BU53" i="5"/>
  <c r="BV53" i="5"/>
  <c r="BW53" i="5"/>
  <c r="BU54" i="5"/>
  <c r="BV54" i="5"/>
  <c r="BW54" i="5"/>
  <c r="BU55" i="5"/>
  <c r="BV55" i="5"/>
  <c r="BW55" i="5"/>
  <c r="BU56" i="5"/>
  <c r="BV56" i="5"/>
  <c r="BW56" i="5"/>
  <c r="BU57" i="5"/>
  <c r="BV57" i="5"/>
  <c r="BW57" i="5"/>
  <c r="BU58" i="5"/>
  <c r="BV58" i="5"/>
  <c r="BW58" i="5"/>
  <c r="BU59" i="5"/>
  <c r="BV59" i="5"/>
  <c r="BW59" i="5"/>
  <c r="BU60" i="5"/>
  <c r="BV60" i="5"/>
  <c r="BW60" i="5"/>
  <c r="BU61" i="5"/>
  <c r="BV61" i="5"/>
  <c r="BW61" i="5"/>
  <c r="BU62" i="5"/>
  <c r="BV62" i="5"/>
  <c r="BW62" i="5"/>
  <c r="BU63" i="5"/>
  <c r="BV63" i="5"/>
  <c r="BW63" i="5"/>
  <c r="BU64" i="5"/>
  <c r="BV64" i="5"/>
  <c r="BW64" i="5"/>
  <c r="BU65" i="5"/>
  <c r="BV65" i="5"/>
  <c r="BW65" i="5"/>
  <c r="BU66" i="5"/>
  <c r="BV66" i="5"/>
  <c r="BW66" i="5"/>
  <c r="BU67" i="5"/>
  <c r="BV67" i="5"/>
  <c r="BW67" i="5"/>
  <c r="BU68" i="5"/>
  <c r="BV68" i="5"/>
  <c r="BW68" i="5"/>
  <c r="BU69" i="5"/>
  <c r="BV69" i="5"/>
  <c r="BW69" i="5"/>
  <c r="BU70" i="5"/>
  <c r="BV70" i="5"/>
  <c r="BW70" i="5"/>
  <c r="BU71" i="5"/>
  <c r="BV71" i="5"/>
  <c r="BW71" i="5"/>
  <c r="BU72" i="5"/>
  <c r="BV72" i="5"/>
  <c r="BW72" i="5"/>
  <c r="BU73" i="5"/>
  <c r="BV73" i="5"/>
  <c r="BW73" i="5"/>
  <c r="BU74" i="5"/>
  <c r="BV74" i="5"/>
  <c r="BW74" i="5"/>
  <c r="BU75" i="5"/>
  <c r="BV75" i="5"/>
  <c r="BW75" i="5"/>
  <c r="BU76" i="5"/>
  <c r="BV76" i="5"/>
  <c r="BW76" i="5"/>
  <c r="BU77" i="5"/>
  <c r="BV77" i="5"/>
  <c r="BW77" i="5"/>
  <c r="BU78" i="5"/>
  <c r="BV78" i="5"/>
  <c r="BW78" i="5"/>
  <c r="BU79" i="5"/>
  <c r="BV79" i="5"/>
  <c r="BW79" i="5"/>
  <c r="BU80" i="5"/>
  <c r="BV80" i="5"/>
  <c r="BW80" i="5"/>
  <c r="BU81" i="5"/>
  <c r="BV81" i="5"/>
  <c r="BW81" i="5"/>
  <c r="BU82" i="5"/>
  <c r="BV82" i="5"/>
  <c r="BW82" i="5"/>
  <c r="BU83" i="5"/>
  <c r="BV83" i="5"/>
  <c r="BW83" i="5"/>
  <c r="BU84" i="5"/>
  <c r="BV84" i="5"/>
  <c r="BW84" i="5"/>
  <c r="BU85" i="5"/>
  <c r="BV85" i="5"/>
  <c r="BW85" i="5"/>
  <c r="BU86" i="5"/>
  <c r="BV86" i="5"/>
  <c r="BW86" i="5"/>
  <c r="BU87" i="5"/>
  <c r="BV87" i="5"/>
  <c r="BW87" i="5"/>
  <c r="BU88" i="5"/>
  <c r="BV88" i="5"/>
  <c r="BW88" i="5"/>
  <c r="BU89" i="5"/>
  <c r="BV89" i="5"/>
  <c r="BW89" i="5"/>
  <c r="BU90" i="5"/>
  <c r="BV90" i="5"/>
  <c r="BW90" i="5"/>
  <c r="BU91" i="5"/>
  <c r="BV91" i="5"/>
  <c r="BW91" i="5"/>
  <c r="BU92" i="5"/>
  <c r="BV92" i="5"/>
  <c r="BW92" i="5"/>
  <c r="BU93" i="5"/>
  <c r="BV93" i="5"/>
  <c r="BW93" i="5"/>
  <c r="BU94" i="5"/>
  <c r="BV94" i="5"/>
  <c r="BW94" i="5"/>
  <c r="BU95" i="5"/>
  <c r="BV95" i="5"/>
  <c r="BW95" i="5"/>
  <c r="BU96" i="5"/>
  <c r="BV96" i="5"/>
  <c r="BW96" i="5"/>
  <c r="BU97" i="5"/>
  <c r="BV97" i="5"/>
  <c r="BW97" i="5"/>
  <c r="BU98" i="5"/>
  <c r="BV98" i="5"/>
  <c r="BW98" i="5"/>
  <c r="BU99" i="5"/>
  <c r="BV99" i="5"/>
  <c r="BW99" i="5"/>
  <c r="BU100" i="5"/>
  <c r="BV100" i="5"/>
  <c r="BW100" i="5"/>
  <c r="BU101" i="5"/>
  <c r="BV101" i="5"/>
  <c r="BW101" i="5"/>
  <c r="BU102" i="5"/>
  <c r="BV102" i="5"/>
  <c r="BW102" i="5"/>
  <c r="BU103" i="5"/>
  <c r="BV103" i="5"/>
  <c r="BW103" i="5"/>
  <c r="BU104" i="5"/>
  <c r="BV104" i="5"/>
  <c r="BW104" i="5"/>
  <c r="BU105" i="5"/>
  <c r="BV105" i="5"/>
  <c r="BW105" i="5"/>
  <c r="BU106" i="5"/>
  <c r="BV106" i="5"/>
  <c r="BW106" i="5"/>
  <c r="BU107" i="5"/>
  <c r="BV107" i="5"/>
  <c r="BW107" i="5"/>
  <c r="BU108" i="5"/>
  <c r="BV108" i="5"/>
  <c r="BW108" i="5"/>
  <c r="BU109" i="5"/>
  <c r="BV109" i="5"/>
  <c r="BW109" i="5"/>
  <c r="BU110" i="5"/>
  <c r="BV110" i="5"/>
  <c r="BW110" i="5"/>
  <c r="BU111" i="5"/>
  <c r="BV111" i="5"/>
  <c r="BW111" i="5"/>
  <c r="BU112" i="5"/>
  <c r="BV112" i="5"/>
  <c r="BW112" i="5"/>
  <c r="BU113" i="5"/>
  <c r="BV113" i="5"/>
  <c r="BW113" i="5"/>
  <c r="BU114" i="5"/>
  <c r="BV114" i="5"/>
  <c r="BW114" i="5"/>
  <c r="BU115" i="5"/>
  <c r="BV115" i="5"/>
  <c r="BW115" i="5"/>
  <c r="BU116" i="5"/>
  <c r="BV116" i="5"/>
  <c r="BW116" i="5"/>
  <c r="BU117" i="5"/>
  <c r="BV117" i="5"/>
  <c r="BW117" i="5"/>
  <c r="BU118" i="5"/>
  <c r="BV118" i="5"/>
  <c r="BW118" i="5"/>
  <c r="BU119" i="5"/>
  <c r="BV119" i="5"/>
  <c r="BW119" i="5"/>
  <c r="BU120" i="5"/>
  <c r="BV120" i="5"/>
  <c r="BW120" i="5"/>
  <c r="BU121" i="5"/>
  <c r="BV121" i="5"/>
  <c r="BW121" i="5"/>
  <c r="BU122" i="5"/>
  <c r="BV122" i="5"/>
  <c r="BW122" i="5"/>
  <c r="BU123" i="5"/>
  <c r="BV123" i="5"/>
  <c r="BW123" i="5"/>
  <c r="BU124" i="5"/>
  <c r="BV124" i="5"/>
  <c r="BW124" i="5"/>
  <c r="BU125" i="5"/>
  <c r="BV125" i="5"/>
  <c r="BW125" i="5"/>
  <c r="BU126" i="5"/>
  <c r="BV126" i="5"/>
  <c r="BW126" i="5"/>
  <c r="BU127" i="5"/>
  <c r="BV127" i="5"/>
  <c r="BW127" i="5"/>
  <c r="BU128" i="5"/>
  <c r="BV128" i="5"/>
  <c r="BW128" i="5"/>
  <c r="BU129" i="5"/>
  <c r="BV129" i="5"/>
  <c r="BW129" i="5"/>
  <c r="BU130" i="5"/>
  <c r="BV130" i="5"/>
  <c r="BW130" i="5"/>
  <c r="BU131" i="5"/>
  <c r="BV131" i="5"/>
  <c r="BW131" i="5"/>
  <c r="BU132" i="5"/>
  <c r="BV132" i="5"/>
  <c r="BW132" i="5"/>
  <c r="BU133" i="5"/>
  <c r="BV133" i="5"/>
  <c r="BW133" i="5"/>
  <c r="BU134" i="5"/>
  <c r="BV134" i="5"/>
  <c r="BW134" i="5"/>
  <c r="BU135" i="5"/>
  <c r="BV135" i="5"/>
  <c r="BW135" i="5"/>
  <c r="BU136" i="5"/>
  <c r="BV136" i="5"/>
  <c r="BW136" i="5"/>
  <c r="BU137" i="5"/>
  <c r="BV137" i="5"/>
  <c r="BW137" i="5"/>
  <c r="BU138" i="5"/>
  <c r="BV138" i="5"/>
  <c r="BW138" i="5"/>
  <c r="BU139" i="5"/>
  <c r="BV139" i="5"/>
  <c r="BW139" i="5"/>
  <c r="BU140" i="5"/>
  <c r="BV140" i="5"/>
  <c r="BW140" i="5"/>
  <c r="BU141" i="5"/>
  <c r="BV141" i="5"/>
  <c r="BW141" i="5"/>
  <c r="BU142" i="5"/>
  <c r="BV142" i="5"/>
  <c r="BW142" i="5"/>
  <c r="BU143" i="5"/>
  <c r="BV143" i="5"/>
  <c r="BW143" i="5"/>
  <c r="BU144" i="5"/>
  <c r="BV144" i="5"/>
  <c r="BW144" i="5"/>
  <c r="BU145" i="5"/>
  <c r="BV145" i="5"/>
  <c r="BW145" i="5"/>
  <c r="BU146" i="5"/>
  <c r="BV146" i="5"/>
  <c r="BW146" i="5"/>
  <c r="BU147" i="5"/>
  <c r="BV147" i="5"/>
  <c r="BW147" i="5"/>
  <c r="BU148" i="5"/>
  <c r="BV148" i="5"/>
  <c r="BW148" i="5"/>
  <c r="BU149" i="5"/>
  <c r="BV149" i="5"/>
  <c r="BW149" i="5"/>
  <c r="BU150" i="5"/>
  <c r="BV150" i="5"/>
  <c r="BW150" i="5"/>
  <c r="BU151" i="5"/>
  <c r="BV151" i="5"/>
  <c r="BW151" i="5"/>
  <c r="BU152" i="5"/>
  <c r="BV152" i="5"/>
  <c r="BW152" i="5"/>
  <c r="BU153" i="5"/>
  <c r="BV153" i="5"/>
  <c r="BW153" i="5"/>
  <c r="BU154" i="5"/>
  <c r="BV154" i="5"/>
  <c r="BW154" i="5"/>
  <c r="BU155" i="5"/>
  <c r="BV155" i="5"/>
  <c r="BW155" i="5"/>
  <c r="BU156" i="5"/>
  <c r="BV156" i="5"/>
  <c r="BW156" i="5"/>
  <c r="BU157" i="5"/>
  <c r="BV157" i="5"/>
  <c r="BW157" i="5"/>
  <c r="BU158" i="5"/>
  <c r="BV158" i="5"/>
  <c r="BW158" i="5"/>
  <c r="BU159" i="5"/>
  <c r="BV159" i="5"/>
  <c r="BW159" i="5"/>
  <c r="BU160" i="5"/>
  <c r="BV160" i="5"/>
  <c r="BW160" i="5"/>
  <c r="BU161" i="5"/>
  <c r="BV161" i="5"/>
  <c r="BW161" i="5"/>
  <c r="BU162" i="5"/>
  <c r="BV162" i="5"/>
  <c r="BW162" i="5"/>
  <c r="BU163" i="5"/>
  <c r="BV163" i="5"/>
  <c r="BW163" i="5"/>
  <c r="BU164" i="5"/>
  <c r="BV164" i="5"/>
  <c r="BW164" i="5"/>
  <c r="BU165" i="5"/>
  <c r="BV165" i="5"/>
  <c r="BW165" i="5"/>
  <c r="BU166" i="5"/>
  <c r="BV166" i="5"/>
  <c r="BW166" i="5"/>
  <c r="BU167" i="5"/>
  <c r="BV167" i="5"/>
  <c r="BW167" i="5"/>
  <c r="BU168" i="5"/>
  <c r="BV168" i="5"/>
  <c r="BW168" i="5"/>
  <c r="BU169" i="5"/>
  <c r="BV169" i="5"/>
  <c r="BW169" i="5"/>
  <c r="BU170" i="5"/>
  <c r="BV170" i="5"/>
  <c r="BW170" i="5"/>
  <c r="BU171" i="5"/>
  <c r="BV171" i="5"/>
  <c r="BW171" i="5"/>
  <c r="BU172" i="5"/>
  <c r="BV172" i="5"/>
  <c r="BW172" i="5"/>
  <c r="BU173" i="5"/>
  <c r="BV173" i="5"/>
  <c r="BW173" i="5"/>
  <c r="BU174" i="5"/>
  <c r="BV174" i="5"/>
  <c r="BW174" i="5"/>
  <c r="BU175" i="5"/>
  <c r="BV175" i="5"/>
  <c r="BW175" i="5"/>
  <c r="BU176" i="5"/>
  <c r="BV176" i="5"/>
  <c r="BW176" i="5"/>
  <c r="BU177" i="5"/>
  <c r="BV177" i="5"/>
  <c r="BW177" i="5"/>
  <c r="BU178" i="5"/>
  <c r="BV178" i="5"/>
  <c r="BW178" i="5"/>
  <c r="BU179" i="5"/>
  <c r="BV179" i="5"/>
  <c r="BW179" i="5"/>
  <c r="BU180" i="5"/>
  <c r="BV180" i="5"/>
  <c r="BW180" i="5"/>
  <c r="BU181" i="5"/>
  <c r="BV181" i="5"/>
  <c r="BW181" i="5"/>
  <c r="BU182" i="5"/>
  <c r="BV182" i="5"/>
  <c r="BW182" i="5"/>
  <c r="BU183" i="5"/>
  <c r="BV183" i="5"/>
  <c r="BW183" i="5"/>
  <c r="BU184" i="5"/>
  <c r="BV184" i="5"/>
  <c r="BW184" i="5"/>
  <c r="BU185" i="5"/>
  <c r="BV185" i="5"/>
  <c r="BW185" i="5"/>
  <c r="BU186" i="5"/>
  <c r="BV186" i="5"/>
  <c r="BW186" i="5"/>
  <c r="BU187" i="5"/>
  <c r="BV187" i="5"/>
  <c r="BW187" i="5"/>
  <c r="BU188" i="5"/>
  <c r="BV188" i="5"/>
  <c r="BW188" i="5"/>
  <c r="BU189" i="5"/>
  <c r="BV189" i="5"/>
  <c r="BW189" i="5"/>
  <c r="BU190" i="5"/>
  <c r="BV190" i="5"/>
  <c r="BW190" i="5"/>
  <c r="BU191" i="5"/>
  <c r="BV191" i="5"/>
  <c r="BW191" i="5"/>
  <c r="BU192" i="5"/>
  <c r="BV192" i="5"/>
  <c r="BW192" i="5"/>
  <c r="BU193" i="5"/>
  <c r="BV193" i="5"/>
  <c r="BW193" i="5"/>
  <c r="BU194" i="5"/>
  <c r="BV194" i="5"/>
  <c r="BW194" i="5"/>
  <c r="BU195" i="5"/>
  <c r="BV195" i="5"/>
  <c r="BW195" i="5"/>
  <c r="BU196" i="5"/>
  <c r="BV196" i="5"/>
  <c r="BW196" i="5"/>
  <c r="BU197" i="5"/>
  <c r="BV197" i="5"/>
  <c r="BW197" i="5"/>
  <c r="BU198" i="5"/>
  <c r="BV198" i="5"/>
  <c r="BW198" i="5"/>
  <c r="BU199" i="5"/>
  <c r="BV199" i="5"/>
  <c r="BW199" i="5"/>
  <c r="BU200" i="5"/>
  <c r="BV200" i="5"/>
  <c r="BW200" i="5"/>
  <c r="BU201" i="5"/>
  <c r="BV201" i="5"/>
  <c r="BW201" i="5"/>
  <c r="BU202" i="5"/>
  <c r="BV202" i="5"/>
  <c r="BW202" i="5"/>
  <c r="BU203" i="5"/>
  <c r="BV203" i="5"/>
  <c r="BW203" i="5"/>
  <c r="BU204" i="5"/>
  <c r="BV204" i="5"/>
  <c r="BW204" i="5"/>
  <c r="BU205" i="5"/>
  <c r="BV205" i="5"/>
  <c r="BW205" i="5"/>
  <c r="BU206" i="5"/>
  <c r="BV206" i="5"/>
  <c r="BW206" i="5"/>
  <c r="BU207" i="5"/>
  <c r="BV207" i="5"/>
  <c r="BW207" i="5"/>
  <c r="BU208" i="5"/>
  <c r="BV208" i="5"/>
  <c r="BW208" i="5"/>
  <c r="BU209" i="5"/>
  <c r="BV209" i="5"/>
  <c r="BW209" i="5"/>
  <c r="BU210" i="5"/>
  <c r="BV210" i="5"/>
  <c r="BW210" i="5"/>
  <c r="BU211" i="5"/>
  <c r="BV211" i="5"/>
  <c r="BW211" i="5"/>
  <c r="BU212" i="5"/>
  <c r="BV212" i="5"/>
  <c r="BW212" i="5"/>
  <c r="BU213" i="5"/>
  <c r="BV213" i="5"/>
  <c r="BW213" i="5"/>
  <c r="BU214" i="5"/>
  <c r="BV214" i="5"/>
  <c r="BW214" i="5"/>
  <c r="BU215" i="5"/>
  <c r="BV215" i="5"/>
  <c r="BW215" i="5"/>
  <c r="BU216" i="5"/>
  <c r="BV216" i="5"/>
  <c r="BW216" i="5"/>
  <c r="BU217" i="5"/>
  <c r="BV217" i="5"/>
  <c r="BW217" i="5"/>
  <c r="BU218" i="5"/>
  <c r="BV218" i="5"/>
  <c r="BW218" i="5"/>
  <c r="BU219" i="5"/>
  <c r="BV219" i="5"/>
  <c r="BW219" i="5"/>
  <c r="BU220" i="5"/>
  <c r="BV220" i="5"/>
  <c r="BW220" i="5"/>
  <c r="BU221" i="5"/>
  <c r="BV221" i="5"/>
  <c r="BW221" i="5"/>
  <c r="BU222" i="5"/>
  <c r="BV222" i="5"/>
  <c r="BW222" i="5"/>
  <c r="BU223" i="5"/>
  <c r="BV223" i="5"/>
  <c r="BW223" i="5"/>
  <c r="BU224" i="5"/>
  <c r="BV224" i="5"/>
  <c r="BW224" i="5"/>
  <c r="BU225" i="5"/>
  <c r="BV225" i="5"/>
  <c r="BW225" i="5"/>
  <c r="BU226" i="5"/>
  <c r="BV226" i="5"/>
  <c r="BW226" i="5"/>
  <c r="BU227" i="5"/>
  <c r="BV227" i="5"/>
  <c r="BW227" i="5"/>
  <c r="BU228" i="5"/>
  <c r="BV228" i="5"/>
  <c r="BW228" i="5"/>
  <c r="BU229" i="5"/>
  <c r="BV229" i="5"/>
  <c r="BW229" i="5"/>
  <c r="BU230" i="5"/>
  <c r="BV230" i="5"/>
  <c r="BW230" i="5"/>
  <c r="BU231" i="5"/>
  <c r="BV231" i="5"/>
  <c r="BW231" i="5"/>
  <c r="BU232" i="5"/>
  <c r="BV232" i="5"/>
  <c r="BW232" i="5"/>
  <c r="BU233" i="5"/>
  <c r="BV233" i="5"/>
  <c r="BW233" i="5"/>
  <c r="BU234" i="5"/>
  <c r="BV234" i="5"/>
  <c r="BW234" i="5"/>
  <c r="BU235" i="5"/>
  <c r="BV235" i="5"/>
  <c r="BW235" i="5"/>
  <c r="BU236" i="5"/>
  <c r="BV236" i="5"/>
  <c r="BW236" i="5"/>
  <c r="BU237" i="5"/>
  <c r="BV237" i="5"/>
  <c r="BW237" i="5"/>
  <c r="BU238" i="5"/>
  <c r="BV238" i="5"/>
  <c r="BW238" i="5"/>
  <c r="BU239" i="5"/>
  <c r="BV239" i="5"/>
  <c r="BW239" i="5"/>
  <c r="BU2" i="5"/>
  <c r="BV2" i="5"/>
  <c r="BW2" i="5"/>
  <c r="K314" i="7"/>
  <c r="L317" i="7"/>
  <c r="J319" i="7"/>
  <c r="K319" i="7"/>
  <c r="L319" i="7"/>
  <c r="M319" i="7"/>
  <c r="N319" i="7"/>
  <c r="J320" i="7"/>
  <c r="K320" i="7"/>
  <c r="L320" i="7"/>
  <c r="M320" i="7"/>
  <c r="N320" i="7"/>
  <c r="J321" i="7"/>
  <c r="K321" i="7"/>
  <c r="L321" i="7"/>
  <c r="M321" i="7"/>
  <c r="N321" i="7"/>
  <c r="J322" i="7"/>
  <c r="K322" i="7"/>
  <c r="L322" i="7"/>
  <c r="M322" i="7"/>
  <c r="N322" i="7"/>
  <c r="J323" i="7"/>
  <c r="K323" i="7"/>
  <c r="L323" i="7"/>
  <c r="M323" i="7"/>
  <c r="N323" i="7"/>
  <c r="J324" i="7"/>
  <c r="K324" i="7"/>
  <c r="L324" i="7"/>
  <c r="M324" i="7"/>
  <c r="N324" i="7"/>
  <c r="J325" i="7"/>
  <c r="K325" i="7"/>
  <c r="L325" i="7"/>
  <c r="M325" i="7"/>
  <c r="N325" i="7"/>
  <c r="J326" i="7"/>
  <c r="K326" i="7"/>
  <c r="L326" i="7"/>
  <c r="M326" i="7"/>
  <c r="N326" i="7"/>
  <c r="J327" i="7"/>
  <c r="K327" i="7"/>
  <c r="L327" i="7"/>
  <c r="M327" i="7"/>
  <c r="N327" i="7"/>
  <c r="J328" i="7"/>
  <c r="K328" i="7"/>
  <c r="L328" i="7"/>
  <c r="M328" i="7"/>
  <c r="N328" i="7"/>
  <c r="J329" i="7"/>
  <c r="K329" i="7"/>
  <c r="L329" i="7"/>
  <c r="M329" i="7"/>
  <c r="N329" i="7"/>
  <c r="J330" i="7"/>
  <c r="K330" i="7"/>
  <c r="L330" i="7"/>
  <c r="M330" i="7"/>
  <c r="N330" i="7"/>
  <c r="J331" i="7"/>
  <c r="K331" i="7"/>
  <c r="L331" i="7"/>
  <c r="M331" i="7"/>
  <c r="N331" i="7"/>
  <c r="J332" i="7"/>
  <c r="K332" i="7"/>
  <c r="L332" i="7"/>
  <c r="M332" i="7"/>
  <c r="N332" i="7"/>
  <c r="J333" i="7"/>
  <c r="K333" i="7"/>
  <c r="L333" i="7"/>
  <c r="M333" i="7"/>
  <c r="N333" i="7"/>
  <c r="J334" i="7"/>
  <c r="K334" i="7"/>
  <c r="L334" i="7"/>
  <c r="M334" i="7"/>
  <c r="N334" i="7"/>
  <c r="J335" i="7"/>
  <c r="K335" i="7"/>
  <c r="L335" i="7"/>
  <c r="M335" i="7"/>
  <c r="N335" i="7"/>
  <c r="J336" i="7"/>
  <c r="K336" i="7"/>
  <c r="L336" i="7"/>
  <c r="M336" i="7"/>
  <c r="N336" i="7"/>
  <c r="J337" i="7"/>
  <c r="K337" i="7"/>
  <c r="L337" i="7"/>
  <c r="M337" i="7"/>
  <c r="N337" i="7"/>
  <c r="H314" i="7"/>
  <c r="J314" i="7" s="1"/>
  <c r="H315" i="7"/>
  <c r="L315" i="7" s="1"/>
  <c r="H316" i="7"/>
  <c r="J316" i="7" s="1"/>
  <c r="H317" i="7"/>
  <c r="J317" i="7" s="1"/>
  <c r="H318" i="7"/>
  <c r="M318" i="7" s="1"/>
  <c r="H319" i="7"/>
  <c r="H320" i="7"/>
  <c r="H321" i="7"/>
  <c r="H322" i="7"/>
  <c r="H323" i="7"/>
  <c r="H324" i="7"/>
  <c r="H325" i="7"/>
  <c r="H326" i="7"/>
  <c r="H327" i="7"/>
  <c r="H328" i="7"/>
  <c r="H329" i="7"/>
  <c r="H330" i="7"/>
  <c r="H331" i="7"/>
  <c r="H332" i="7"/>
  <c r="H333" i="7"/>
  <c r="H334" i="7"/>
  <c r="H335" i="7"/>
  <c r="H336" i="7"/>
  <c r="H337" i="7"/>
  <c r="L318" i="7" l="1"/>
  <c r="N316" i="7"/>
  <c r="K315" i="7"/>
  <c r="K318" i="7"/>
  <c r="M316" i="7"/>
  <c r="J315" i="7"/>
  <c r="J318" i="7"/>
  <c r="L316" i="7"/>
  <c r="N314" i="7"/>
  <c r="N317" i="7"/>
  <c r="K316" i="7"/>
  <c r="M314" i="7"/>
  <c r="M317" i="7"/>
  <c r="L314" i="7"/>
  <c r="N315" i="7"/>
  <c r="N318" i="7"/>
  <c r="K317" i="7"/>
  <c r="M315" i="7"/>
  <c r="O2" i="5"/>
  <c r="P2" i="5"/>
  <c r="Q2" i="5"/>
  <c r="R2" i="5"/>
  <c r="S2" i="5"/>
  <c r="T2" i="5"/>
  <c r="U2" i="5"/>
  <c r="V2" i="5"/>
  <c r="W2" i="5"/>
  <c r="X2" i="5"/>
  <c r="Y2" i="5"/>
  <c r="Z2" i="5"/>
  <c r="AA2" i="5"/>
  <c r="AB2" i="5"/>
  <c r="AC2" i="5"/>
  <c r="AD2" i="5"/>
  <c r="AE2" i="5"/>
  <c r="AF2" i="5"/>
  <c r="AG2" i="5"/>
  <c r="AH2" i="5"/>
  <c r="AI2" i="5"/>
  <c r="AJ2" i="5"/>
  <c r="AK2" i="5"/>
  <c r="AL2" i="5"/>
  <c r="AM2" i="5"/>
  <c r="AN2" i="5"/>
  <c r="AO2" i="5"/>
  <c r="AP2" i="5"/>
  <c r="AQ2" i="5"/>
  <c r="AR2" i="5"/>
  <c r="AS2" i="5"/>
  <c r="AT2" i="5"/>
  <c r="AU2" i="5"/>
  <c r="AV2" i="5"/>
  <c r="AW2" i="5"/>
  <c r="AX2" i="5"/>
  <c r="AY2" i="5"/>
  <c r="AZ2" i="5"/>
  <c r="BA2" i="5"/>
  <c r="BB2" i="5"/>
  <c r="BC2" i="5"/>
  <c r="BD2" i="5"/>
  <c r="BE2" i="5"/>
  <c r="BF2" i="5"/>
  <c r="BG2" i="5"/>
  <c r="BH2" i="5"/>
  <c r="BI2" i="5"/>
  <c r="BJ2" i="5"/>
  <c r="BK2" i="5"/>
  <c r="BL2" i="5"/>
  <c r="O3" i="5"/>
  <c r="P3" i="5"/>
  <c r="Q3" i="5"/>
  <c r="R3" i="5"/>
  <c r="S3" i="5"/>
  <c r="T3" i="5"/>
  <c r="U3" i="5"/>
  <c r="V3" i="5"/>
  <c r="W3" i="5"/>
  <c r="X3" i="5"/>
  <c r="Y3" i="5"/>
  <c r="Z3" i="5"/>
  <c r="AA3" i="5"/>
  <c r="AB3" i="5"/>
  <c r="AC3" i="5"/>
  <c r="AD3" i="5"/>
  <c r="AE3" i="5"/>
  <c r="AF3" i="5"/>
  <c r="AG3" i="5"/>
  <c r="AH3" i="5"/>
  <c r="AI3" i="5"/>
  <c r="AJ3" i="5"/>
  <c r="AK3" i="5"/>
  <c r="AL3" i="5"/>
  <c r="AM3" i="5"/>
  <c r="AN3" i="5"/>
  <c r="AO3" i="5"/>
  <c r="AP3" i="5"/>
  <c r="AQ3" i="5"/>
  <c r="AR3" i="5"/>
  <c r="AS3" i="5"/>
  <c r="AT3" i="5"/>
  <c r="AU3" i="5"/>
  <c r="AV3" i="5"/>
  <c r="AW3" i="5"/>
  <c r="AX3" i="5"/>
  <c r="AY3" i="5"/>
  <c r="AZ3" i="5"/>
  <c r="BA3" i="5"/>
  <c r="BB3" i="5"/>
  <c r="BC3" i="5"/>
  <c r="BD3" i="5"/>
  <c r="BE3" i="5"/>
  <c r="BF3" i="5"/>
  <c r="BG3" i="5"/>
  <c r="BH3" i="5"/>
  <c r="BI3" i="5"/>
  <c r="BJ3" i="5"/>
  <c r="BK3" i="5"/>
  <c r="BL3" i="5"/>
  <c r="O4" i="5"/>
  <c r="P4" i="5"/>
  <c r="Q4" i="5"/>
  <c r="R4" i="5"/>
  <c r="S4" i="5"/>
  <c r="T4" i="5"/>
  <c r="U4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/>
  <c r="AJ4" i="5"/>
  <c r="AK4" i="5"/>
  <c r="AL4" i="5"/>
  <c r="AM4" i="5"/>
  <c r="AN4" i="5"/>
  <c r="AO4" i="5"/>
  <c r="AP4" i="5"/>
  <c r="AQ4" i="5"/>
  <c r="AR4" i="5"/>
  <c r="AS4" i="5"/>
  <c r="AT4" i="5"/>
  <c r="AU4" i="5"/>
  <c r="AV4" i="5"/>
  <c r="AW4" i="5"/>
  <c r="AX4" i="5"/>
  <c r="AY4" i="5"/>
  <c r="AZ4" i="5"/>
  <c r="BA4" i="5"/>
  <c r="BB4" i="5"/>
  <c r="BC4" i="5"/>
  <c r="BD4" i="5"/>
  <c r="BE4" i="5"/>
  <c r="BF4" i="5"/>
  <c r="BG4" i="5"/>
  <c r="BH4" i="5"/>
  <c r="BI4" i="5"/>
  <c r="BJ4" i="5"/>
  <c r="BK4" i="5"/>
  <c r="BL4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AL5" i="5"/>
  <c r="AM5" i="5"/>
  <c r="AN5" i="5"/>
  <c r="AO5" i="5"/>
  <c r="AP5" i="5"/>
  <c r="AQ5" i="5"/>
  <c r="AR5" i="5"/>
  <c r="AS5" i="5"/>
  <c r="AT5" i="5"/>
  <c r="AU5" i="5"/>
  <c r="AV5" i="5"/>
  <c r="AW5" i="5"/>
  <c r="AX5" i="5"/>
  <c r="AY5" i="5"/>
  <c r="AZ5" i="5"/>
  <c r="BA5" i="5"/>
  <c r="BB5" i="5"/>
  <c r="BC5" i="5"/>
  <c r="BD5" i="5"/>
  <c r="BE5" i="5"/>
  <c r="BF5" i="5"/>
  <c r="BG5" i="5"/>
  <c r="BH5" i="5"/>
  <c r="BI5" i="5"/>
  <c r="BJ5" i="5"/>
  <c r="BK5" i="5"/>
  <c r="BL5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AJ6" i="5"/>
  <c r="AK6" i="5"/>
  <c r="AL6" i="5"/>
  <c r="AM6" i="5"/>
  <c r="AN6" i="5"/>
  <c r="AO6" i="5"/>
  <c r="AP6" i="5"/>
  <c r="AQ6" i="5"/>
  <c r="AR6" i="5"/>
  <c r="AS6" i="5"/>
  <c r="AT6" i="5"/>
  <c r="AU6" i="5"/>
  <c r="AV6" i="5"/>
  <c r="AW6" i="5"/>
  <c r="AX6" i="5"/>
  <c r="AY6" i="5"/>
  <c r="AZ6" i="5"/>
  <c r="BA6" i="5"/>
  <c r="BB6" i="5"/>
  <c r="BC6" i="5"/>
  <c r="BD6" i="5"/>
  <c r="BE6" i="5"/>
  <c r="BF6" i="5"/>
  <c r="BG6" i="5"/>
  <c r="BH6" i="5"/>
  <c r="BI6" i="5"/>
  <c r="BJ6" i="5"/>
  <c r="BK6" i="5"/>
  <c r="BL6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AJ7" i="5"/>
  <c r="AK7" i="5"/>
  <c r="AL7" i="5"/>
  <c r="AM7" i="5"/>
  <c r="AN7" i="5"/>
  <c r="AO7" i="5"/>
  <c r="AP7" i="5"/>
  <c r="AQ7" i="5"/>
  <c r="AR7" i="5"/>
  <c r="AS7" i="5"/>
  <c r="AT7" i="5"/>
  <c r="AU7" i="5"/>
  <c r="AV7" i="5"/>
  <c r="AW7" i="5"/>
  <c r="AX7" i="5"/>
  <c r="AY7" i="5"/>
  <c r="AZ7" i="5"/>
  <c r="BA7" i="5"/>
  <c r="BB7" i="5"/>
  <c r="BC7" i="5"/>
  <c r="BD7" i="5"/>
  <c r="BE7" i="5"/>
  <c r="BF7" i="5"/>
  <c r="BG7" i="5"/>
  <c r="BH7" i="5"/>
  <c r="BI7" i="5"/>
  <c r="BJ7" i="5"/>
  <c r="BK7" i="5"/>
  <c r="BL7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AK8" i="5"/>
  <c r="AL8" i="5"/>
  <c r="AM8" i="5"/>
  <c r="AN8" i="5"/>
  <c r="AO8" i="5"/>
  <c r="AP8" i="5"/>
  <c r="AQ8" i="5"/>
  <c r="AR8" i="5"/>
  <c r="AS8" i="5"/>
  <c r="AT8" i="5"/>
  <c r="AU8" i="5"/>
  <c r="AV8" i="5"/>
  <c r="AW8" i="5"/>
  <c r="AX8" i="5"/>
  <c r="AY8" i="5"/>
  <c r="AZ8" i="5"/>
  <c r="BA8" i="5"/>
  <c r="BB8" i="5"/>
  <c r="BC8" i="5"/>
  <c r="BD8" i="5"/>
  <c r="BE8" i="5"/>
  <c r="BF8" i="5"/>
  <c r="BG8" i="5"/>
  <c r="BH8" i="5"/>
  <c r="BI8" i="5"/>
  <c r="BJ8" i="5"/>
  <c r="BK8" i="5"/>
  <c r="BL8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AJ9" i="5"/>
  <c r="AK9" i="5"/>
  <c r="AL9" i="5"/>
  <c r="AM9" i="5"/>
  <c r="AN9" i="5"/>
  <c r="AO9" i="5"/>
  <c r="AP9" i="5"/>
  <c r="AQ9" i="5"/>
  <c r="AR9" i="5"/>
  <c r="AS9" i="5"/>
  <c r="AT9" i="5"/>
  <c r="AU9" i="5"/>
  <c r="AV9" i="5"/>
  <c r="AW9" i="5"/>
  <c r="AX9" i="5"/>
  <c r="AY9" i="5"/>
  <c r="AZ9" i="5"/>
  <c r="BA9" i="5"/>
  <c r="BB9" i="5"/>
  <c r="BC9" i="5"/>
  <c r="BD9" i="5"/>
  <c r="BE9" i="5"/>
  <c r="BF9" i="5"/>
  <c r="BG9" i="5"/>
  <c r="BH9" i="5"/>
  <c r="BI9" i="5"/>
  <c r="BJ9" i="5"/>
  <c r="BK9" i="5"/>
  <c r="BL9" i="5"/>
  <c r="O10" i="5"/>
  <c r="P10" i="5"/>
  <c r="Q10" i="5"/>
  <c r="R10" i="5"/>
  <c r="S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AJ10" i="5"/>
  <c r="AK10" i="5"/>
  <c r="AL10" i="5"/>
  <c r="AM10" i="5"/>
  <c r="AN10" i="5"/>
  <c r="AO10" i="5"/>
  <c r="AP10" i="5"/>
  <c r="AQ10" i="5"/>
  <c r="AR10" i="5"/>
  <c r="AS10" i="5"/>
  <c r="AT10" i="5"/>
  <c r="AU10" i="5"/>
  <c r="AV10" i="5"/>
  <c r="AW10" i="5"/>
  <c r="AX10" i="5"/>
  <c r="AY10" i="5"/>
  <c r="AZ10" i="5"/>
  <c r="BA10" i="5"/>
  <c r="BB10" i="5"/>
  <c r="BC10" i="5"/>
  <c r="BD10" i="5"/>
  <c r="BE10" i="5"/>
  <c r="BF10" i="5"/>
  <c r="BG10" i="5"/>
  <c r="BH10" i="5"/>
  <c r="BI10" i="5"/>
  <c r="BJ10" i="5"/>
  <c r="BK10" i="5"/>
  <c r="BL10" i="5"/>
  <c r="O11" i="5"/>
  <c r="P11" i="5"/>
  <c r="Q11" i="5"/>
  <c r="R11" i="5"/>
  <c r="S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AJ11" i="5"/>
  <c r="AK11" i="5"/>
  <c r="AL11" i="5"/>
  <c r="AM11" i="5"/>
  <c r="AN11" i="5"/>
  <c r="AO11" i="5"/>
  <c r="AP11" i="5"/>
  <c r="AQ11" i="5"/>
  <c r="AR11" i="5"/>
  <c r="AS11" i="5"/>
  <c r="AT11" i="5"/>
  <c r="AU11" i="5"/>
  <c r="AV11" i="5"/>
  <c r="AW11" i="5"/>
  <c r="AX11" i="5"/>
  <c r="AY11" i="5"/>
  <c r="AZ11" i="5"/>
  <c r="BA11" i="5"/>
  <c r="BB11" i="5"/>
  <c r="BC11" i="5"/>
  <c r="BD11" i="5"/>
  <c r="BE11" i="5"/>
  <c r="BF11" i="5"/>
  <c r="BG11" i="5"/>
  <c r="BH11" i="5"/>
  <c r="BI11" i="5"/>
  <c r="BJ11" i="5"/>
  <c r="BK11" i="5"/>
  <c r="BL11" i="5"/>
  <c r="O12" i="5"/>
  <c r="P12" i="5"/>
  <c r="Q12" i="5"/>
  <c r="R12" i="5"/>
  <c r="S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AJ12" i="5"/>
  <c r="AK12" i="5"/>
  <c r="AL12" i="5"/>
  <c r="AM12" i="5"/>
  <c r="AN12" i="5"/>
  <c r="AO12" i="5"/>
  <c r="AP12" i="5"/>
  <c r="AQ12" i="5"/>
  <c r="AR12" i="5"/>
  <c r="AS12" i="5"/>
  <c r="AT12" i="5"/>
  <c r="AU12" i="5"/>
  <c r="AV12" i="5"/>
  <c r="AW12" i="5"/>
  <c r="AX12" i="5"/>
  <c r="AY12" i="5"/>
  <c r="AZ12" i="5"/>
  <c r="BA12" i="5"/>
  <c r="BB12" i="5"/>
  <c r="BC12" i="5"/>
  <c r="BD12" i="5"/>
  <c r="BE12" i="5"/>
  <c r="BF12" i="5"/>
  <c r="BG12" i="5"/>
  <c r="BH12" i="5"/>
  <c r="BI12" i="5"/>
  <c r="BJ12" i="5"/>
  <c r="BK12" i="5"/>
  <c r="BL12" i="5"/>
  <c r="O13" i="5"/>
  <c r="P13" i="5"/>
  <c r="Q13" i="5"/>
  <c r="R13" i="5"/>
  <c r="S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AJ13" i="5"/>
  <c r="AK13" i="5"/>
  <c r="AL13" i="5"/>
  <c r="AM13" i="5"/>
  <c r="AN13" i="5"/>
  <c r="AO13" i="5"/>
  <c r="AP13" i="5"/>
  <c r="AQ13" i="5"/>
  <c r="AR13" i="5"/>
  <c r="AS13" i="5"/>
  <c r="AT13" i="5"/>
  <c r="AU13" i="5"/>
  <c r="AV13" i="5"/>
  <c r="AW13" i="5"/>
  <c r="AX13" i="5"/>
  <c r="AY13" i="5"/>
  <c r="AZ13" i="5"/>
  <c r="BA13" i="5"/>
  <c r="BB13" i="5"/>
  <c r="BC13" i="5"/>
  <c r="BD13" i="5"/>
  <c r="BE13" i="5"/>
  <c r="BF13" i="5"/>
  <c r="BG13" i="5"/>
  <c r="BH13" i="5"/>
  <c r="BI13" i="5"/>
  <c r="BJ13" i="5"/>
  <c r="BK13" i="5"/>
  <c r="BL13" i="5"/>
  <c r="O14" i="5"/>
  <c r="P14" i="5"/>
  <c r="Q14" i="5"/>
  <c r="R14" i="5"/>
  <c r="S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AJ14" i="5"/>
  <c r="AK14" i="5"/>
  <c r="AL14" i="5"/>
  <c r="AM14" i="5"/>
  <c r="AN14" i="5"/>
  <c r="AO14" i="5"/>
  <c r="AP14" i="5"/>
  <c r="AQ14" i="5"/>
  <c r="AR14" i="5"/>
  <c r="AS14" i="5"/>
  <c r="AT14" i="5"/>
  <c r="AU14" i="5"/>
  <c r="AV14" i="5"/>
  <c r="AW14" i="5"/>
  <c r="AX14" i="5"/>
  <c r="AY14" i="5"/>
  <c r="AZ14" i="5"/>
  <c r="BA14" i="5"/>
  <c r="BB14" i="5"/>
  <c r="BC14" i="5"/>
  <c r="BD14" i="5"/>
  <c r="BE14" i="5"/>
  <c r="BF14" i="5"/>
  <c r="BG14" i="5"/>
  <c r="BH14" i="5"/>
  <c r="BI14" i="5"/>
  <c r="BJ14" i="5"/>
  <c r="BK14" i="5"/>
  <c r="BL14" i="5"/>
  <c r="O15" i="5"/>
  <c r="P15" i="5"/>
  <c r="Q15" i="5"/>
  <c r="R15" i="5"/>
  <c r="S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AJ15" i="5"/>
  <c r="AK15" i="5"/>
  <c r="AL15" i="5"/>
  <c r="AM15" i="5"/>
  <c r="AN15" i="5"/>
  <c r="AO15" i="5"/>
  <c r="AP15" i="5"/>
  <c r="AQ15" i="5"/>
  <c r="AR15" i="5"/>
  <c r="AS15" i="5"/>
  <c r="AT15" i="5"/>
  <c r="AU15" i="5"/>
  <c r="AV15" i="5"/>
  <c r="AW15" i="5"/>
  <c r="AX15" i="5"/>
  <c r="AY15" i="5"/>
  <c r="AZ15" i="5"/>
  <c r="BA15" i="5"/>
  <c r="BB15" i="5"/>
  <c r="BC15" i="5"/>
  <c r="BD15" i="5"/>
  <c r="BE15" i="5"/>
  <c r="BF15" i="5"/>
  <c r="BG15" i="5"/>
  <c r="BH15" i="5"/>
  <c r="BI15" i="5"/>
  <c r="BJ15" i="5"/>
  <c r="BK15" i="5"/>
  <c r="BL15" i="5"/>
  <c r="O16" i="5"/>
  <c r="P16" i="5"/>
  <c r="Q16" i="5"/>
  <c r="R16" i="5"/>
  <c r="S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AJ16" i="5"/>
  <c r="AK16" i="5"/>
  <c r="AL16" i="5"/>
  <c r="AM16" i="5"/>
  <c r="AN16" i="5"/>
  <c r="AO16" i="5"/>
  <c r="AP16" i="5"/>
  <c r="AQ16" i="5"/>
  <c r="AR16" i="5"/>
  <c r="AS16" i="5"/>
  <c r="AT16" i="5"/>
  <c r="AU16" i="5"/>
  <c r="AV16" i="5"/>
  <c r="AW16" i="5"/>
  <c r="AX16" i="5"/>
  <c r="AY16" i="5"/>
  <c r="AZ16" i="5"/>
  <c r="BA16" i="5"/>
  <c r="BB16" i="5"/>
  <c r="BC16" i="5"/>
  <c r="BD16" i="5"/>
  <c r="BE16" i="5"/>
  <c r="BF16" i="5"/>
  <c r="BG16" i="5"/>
  <c r="BH16" i="5"/>
  <c r="BI16" i="5"/>
  <c r="BJ16" i="5"/>
  <c r="BK16" i="5"/>
  <c r="BL16" i="5"/>
  <c r="O17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AJ17" i="5"/>
  <c r="AK17" i="5"/>
  <c r="AL17" i="5"/>
  <c r="AM17" i="5"/>
  <c r="AN17" i="5"/>
  <c r="AO17" i="5"/>
  <c r="AP17" i="5"/>
  <c r="AQ17" i="5"/>
  <c r="AR17" i="5"/>
  <c r="AS17" i="5"/>
  <c r="AT17" i="5"/>
  <c r="AU17" i="5"/>
  <c r="AV17" i="5"/>
  <c r="AW17" i="5"/>
  <c r="AX17" i="5"/>
  <c r="AY17" i="5"/>
  <c r="AZ17" i="5"/>
  <c r="BA17" i="5"/>
  <c r="BB17" i="5"/>
  <c r="BC17" i="5"/>
  <c r="BD17" i="5"/>
  <c r="BE17" i="5"/>
  <c r="BF17" i="5"/>
  <c r="BG17" i="5"/>
  <c r="BH17" i="5"/>
  <c r="BI17" i="5"/>
  <c r="BJ17" i="5"/>
  <c r="BK17" i="5"/>
  <c r="BL17" i="5"/>
  <c r="O18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AJ18" i="5"/>
  <c r="AK18" i="5"/>
  <c r="AL18" i="5"/>
  <c r="AM18" i="5"/>
  <c r="AN18" i="5"/>
  <c r="AO18" i="5"/>
  <c r="AP18" i="5"/>
  <c r="AQ18" i="5"/>
  <c r="AR18" i="5"/>
  <c r="AS18" i="5"/>
  <c r="AT18" i="5"/>
  <c r="AU18" i="5"/>
  <c r="AV18" i="5"/>
  <c r="AW18" i="5"/>
  <c r="AX18" i="5"/>
  <c r="AY18" i="5"/>
  <c r="AZ18" i="5"/>
  <c r="BA18" i="5"/>
  <c r="BB18" i="5"/>
  <c r="BC18" i="5"/>
  <c r="BD18" i="5"/>
  <c r="BE18" i="5"/>
  <c r="BF18" i="5"/>
  <c r="BG18" i="5"/>
  <c r="BH18" i="5"/>
  <c r="BI18" i="5"/>
  <c r="BJ18" i="5"/>
  <c r="BK18" i="5"/>
  <c r="BL18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9" i="5"/>
  <c r="AK19" i="5"/>
  <c r="AL19" i="5"/>
  <c r="AM19" i="5"/>
  <c r="AN19" i="5"/>
  <c r="AO19" i="5"/>
  <c r="AP19" i="5"/>
  <c r="AQ19" i="5"/>
  <c r="AR19" i="5"/>
  <c r="AS19" i="5"/>
  <c r="AT19" i="5"/>
  <c r="AU19" i="5"/>
  <c r="AV19" i="5"/>
  <c r="AW19" i="5"/>
  <c r="AX19" i="5"/>
  <c r="AY19" i="5"/>
  <c r="AZ19" i="5"/>
  <c r="BA19" i="5"/>
  <c r="BB19" i="5"/>
  <c r="BC19" i="5"/>
  <c r="BD19" i="5"/>
  <c r="BE19" i="5"/>
  <c r="BF19" i="5"/>
  <c r="BG19" i="5"/>
  <c r="BH19" i="5"/>
  <c r="BI19" i="5"/>
  <c r="BJ19" i="5"/>
  <c r="BK19" i="5"/>
  <c r="BL19" i="5"/>
  <c r="O20" i="5"/>
  <c r="P20" i="5"/>
  <c r="Q20" i="5"/>
  <c r="R20" i="5"/>
  <c r="S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AJ20" i="5"/>
  <c r="AK20" i="5"/>
  <c r="AL20" i="5"/>
  <c r="AM20" i="5"/>
  <c r="AN20" i="5"/>
  <c r="AO20" i="5"/>
  <c r="AP20" i="5"/>
  <c r="AQ20" i="5"/>
  <c r="AR20" i="5"/>
  <c r="AS20" i="5"/>
  <c r="AT20" i="5"/>
  <c r="AU20" i="5"/>
  <c r="AV20" i="5"/>
  <c r="AW20" i="5"/>
  <c r="AX20" i="5"/>
  <c r="AY20" i="5"/>
  <c r="AZ20" i="5"/>
  <c r="BA20" i="5"/>
  <c r="BB20" i="5"/>
  <c r="BC20" i="5"/>
  <c r="BD20" i="5"/>
  <c r="BE20" i="5"/>
  <c r="BF20" i="5"/>
  <c r="BG20" i="5"/>
  <c r="BH20" i="5"/>
  <c r="BI20" i="5"/>
  <c r="BJ20" i="5"/>
  <c r="BK20" i="5"/>
  <c r="BL20" i="5"/>
  <c r="O21" i="5"/>
  <c r="P21" i="5"/>
  <c r="Q21" i="5"/>
  <c r="R21" i="5"/>
  <c r="S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AJ21" i="5"/>
  <c r="AK21" i="5"/>
  <c r="AL21" i="5"/>
  <c r="AM21" i="5"/>
  <c r="AN21" i="5"/>
  <c r="AO21" i="5"/>
  <c r="AP21" i="5"/>
  <c r="AQ21" i="5"/>
  <c r="AR21" i="5"/>
  <c r="AS21" i="5"/>
  <c r="AT21" i="5"/>
  <c r="AU21" i="5"/>
  <c r="AV21" i="5"/>
  <c r="AW21" i="5"/>
  <c r="AX21" i="5"/>
  <c r="AY21" i="5"/>
  <c r="AZ21" i="5"/>
  <c r="BA21" i="5"/>
  <c r="BB21" i="5"/>
  <c r="BC21" i="5"/>
  <c r="BD21" i="5"/>
  <c r="BE21" i="5"/>
  <c r="BF21" i="5"/>
  <c r="BG21" i="5"/>
  <c r="BH21" i="5"/>
  <c r="BI21" i="5"/>
  <c r="BJ21" i="5"/>
  <c r="BK21" i="5"/>
  <c r="BL21" i="5"/>
  <c r="O22" i="5"/>
  <c r="P22" i="5"/>
  <c r="Q22" i="5"/>
  <c r="R22" i="5"/>
  <c r="S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AJ22" i="5"/>
  <c r="AK22" i="5"/>
  <c r="AL22" i="5"/>
  <c r="AM22" i="5"/>
  <c r="AN22" i="5"/>
  <c r="AO22" i="5"/>
  <c r="AP22" i="5"/>
  <c r="AQ22" i="5"/>
  <c r="AR22" i="5"/>
  <c r="AS22" i="5"/>
  <c r="AT22" i="5"/>
  <c r="AU22" i="5"/>
  <c r="AV22" i="5"/>
  <c r="AW22" i="5"/>
  <c r="AX22" i="5"/>
  <c r="AY22" i="5"/>
  <c r="AZ22" i="5"/>
  <c r="BA22" i="5"/>
  <c r="BB22" i="5"/>
  <c r="BC22" i="5"/>
  <c r="BD22" i="5"/>
  <c r="BE22" i="5"/>
  <c r="BF22" i="5"/>
  <c r="BG22" i="5"/>
  <c r="BH22" i="5"/>
  <c r="BI22" i="5"/>
  <c r="BJ22" i="5"/>
  <c r="BK22" i="5"/>
  <c r="BL22" i="5"/>
  <c r="O23" i="5"/>
  <c r="P23" i="5"/>
  <c r="Q23" i="5"/>
  <c r="R23" i="5"/>
  <c r="S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AJ23" i="5"/>
  <c r="AK23" i="5"/>
  <c r="AL23" i="5"/>
  <c r="AM23" i="5"/>
  <c r="AN23" i="5"/>
  <c r="AO23" i="5"/>
  <c r="AP23" i="5"/>
  <c r="AQ23" i="5"/>
  <c r="AR23" i="5"/>
  <c r="AS23" i="5"/>
  <c r="AT23" i="5"/>
  <c r="AU23" i="5"/>
  <c r="AV23" i="5"/>
  <c r="AW23" i="5"/>
  <c r="AX23" i="5"/>
  <c r="AY23" i="5"/>
  <c r="AZ23" i="5"/>
  <c r="BA23" i="5"/>
  <c r="BB23" i="5"/>
  <c r="BC23" i="5"/>
  <c r="BD23" i="5"/>
  <c r="BE23" i="5"/>
  <c r="BF23" i="5"/>
  <c r="BG23" i="5"/>
  <c r="BH23" i="5"/>
  <c r="BI23" i="5"/>
  <c r="BJ23" i="5"/>
  <c r="BK23" i="5"/>
  <c r="BL23" i="5"/>
  <c r="O24" i="5"/>
  <c r="P24" i="5"/>
  <c r="Q24" i="5"/>
  <c r="R24" i="5"/>
  <c r="S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AJ24" i="5"/>
  <c r="AK24" i="5"/>
  <c r="AL24" i="5"/>
  <c r="AM24" i="5"/>
  <c r="AN24" i="5"/>
  <c r="AO24" i="5"/>
  <c r="AP24" i="5"/>
  <c r="AQ24" i="5"/>
  <c r="AR24" i="5"/>
  <c r="AS24" i="5"/>
  <c r="AT24" i="5"/>
  <c r="AU24" i="5"/>
  <c r="AV24" i="5"/>
  <c r="AW24" i="5"/>
  <c r="AX24" i="5"/>
  <c r="AY24" i="5"/>
  <c r="AZ24" i="5"/>
  <c r="BA24" i="5"/>
  <c r="BB24" i="5"/>
  <c r="BC24" i="5"/>
  <c r="BD24" i="5"/>
  <c r="BE24" i="5"/>
  <c r="BF24" i="5"/>
  <c r="BG24" i="5"/>
  <c r="BH24" i="5"/>
  <c r="BI24" i="5"/>
  <c r="BJ24" i="5"/>
  <c r="BK24" i="5"/>
  <c r="BL24" i="5"/>
  <c r="O25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AJ25" i="5"/>
  <c r="AK25" i="5"/>
  <c r="AL25" i="5"/>
  <c r="AM25" i="5"/>
  <c r="AN25" i="5"/>
  <c r="AO25" i="5"/>
  <c r="AP25" i="5"/>
  <c r="AQ25" i="5"/>
  <c r="AR25" i="5"/>
  <c r="AS25" i="5"/>
  <c r="AT25" i="5"/>
  <c r="AU25" i="5"/>
  <c r="AV25" i="5"/>
  <c r="AW25" i="5"/>
  <c r="AX25" i="5"/>
  <c r="AY25" i="5"/>
  <c r="AZ25" i="5"/>
  <c r="BA25" i="5"/>
  <c r="BB25" i="5"/>
  <c r="BC25" i="5"/>
  <c r="BD25" i="5"/>
  <c r="BE25" i="5"/>
  <c r="BF25" i="5"/>
  <c r="BG25" i="5"/>
  <c r="BH25" i="5"/>
  <c r="BI25" i="5"/>
  <c r="BJ25" i="5"/>
  <c r="BK25" i="5"/>
  <c r="BL25" i="5"/>
  <c r="O26" i="5"/>
  <c r="P26" i="5"/>
  <c r="Q26" i="5"/>
  <c r="R26" i="5"/>
  <c r="S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AJ26" i="5"/>
  <c r="AK26" i="5"/>
  <c r="AL26" i="5"/>
  <c r="AM26" i="5"/>
  <c r="AN26" i="5"/>
  <c r="AO26" i="5"/>
  <c r="AP26" i="5"/>
  <c r="AQ26" i="5"/>
  <c r="AR26" i="5"/>
  <c r="AS26" i="5"/>
  <c r="AT26" i="5"/>
  <c r="AU26" i="5"/>
  <c r="AV26" i="5"/>
  <c r="AW26" i="5"/>
  <c r="AX26" i="5"/>
  <c r="AY26" i="5"/>
  <c r="AZ26" i="5"/>
  <c r="BA26" i="5"/>
  <c r="BB26" i="5"/>
  <c r="BC26" i="5"/>
  <c r="BD26" i="5"/>
  <c r="BE26" i="5"/>
  <c r="BF26" i="5"/>
  <c r="BG26" i="5"/>
  <c r="BH26" i="5"/>
  <c r="BI26" i="5"/>
  <c r="BJ26" i="5"/>
  <c r="BK26" i="5"/>
  <c r="BL26" i="5"/>
  <c r="O27" i="5"/>
  <c r="P27" i="5"/>
  <c r="Q27" i="5"/>
  <c r="R27" i="5"/>
  <c r="S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AJ27" i="5"/>
  <c r="AK27" i="5"/>
  <c r="AL27" i="5"/>
  <c r="AM27" i="5"/>
  <c r="AN27" i="5"/>
  <c r="AO27" i="5"/>
  <c r="AP27" i="5"/>
  <c r="AQ27" i="5"/>
  <c r="AR27" i="5"/>
  <c r="AS27" i="5"/>
  <c r="AT27" i="5"/>
  <c r="AU27" i="5"/>
  <c r="AV27" i="5"/>
  <c r="AW27" i="5"/>
  <c r="AX27" i="5"/>
  <c r="AY27" i="5"/>
  <c r="AZ27" i="5"/>
  <c r="BA27" i="5"/>
  <c r="BB27" i="5"/>
  <c r="BC27" i="5"/>
  <c r="BD27" i="5"/>
  <c r="BE27" i="5"/>
  <c r="BF27" i="5"/>
  <c r="BG27" i="5"/>
  <c r="BH27" i="5"/>
  <c r="BI27" i="5"/>
  <c r="BJ27" i="5"/>
  <c r="BK27" i="5"/>
  <c r="BL27" i="5"/>
  <c r="O28" i="5"/>
  <c r="P28" i="5"/>
  <c r="Q28" i="5"/>
  <c r="R28" i="5"/>
  <c r="S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AJ28" i="5"/>
  <c r="AK28" i="5"/>
  <c r="AL28" i="5"/>
  <c r="AM28" i="5"/>
  <c r="AN28" i="5"/>
  <c r="AO28" i="5"/>
  <c r="AP28" i="5"/>
  <c r="AQ28" i="5"/>
  <c r="AR28" i="5"/>
  <c r="AS28" i="5"/>
  <c r="AT28" i="5"/>
  <c r="AU28" i="5"/>
  <c r="AV28" i="5"/>
  <c r="AW28" i="5"/>
  <c r="AX28" i="5"/>
  <c r="AY28" i="5"/>
  <c r="AZ28" i="5"/>
  <c r="BA28" i="5"/>
  <c r="BB28" i="5"/>
  <c r="BC28" i="5"/>
  <c r="BD28" i="5"/>
  <c r="BE28" i="5"/>
  <c r="BF28" i="5"/>
  <c r="BG28" i="5"/>
  <c r="BH28" i="5"/>
  <c r="BI28" i="5"/>
  <c r="BJ28" i="5"/>
  <c r="BK28" i="5"/>
  <c r="BL28" i="5"/>
  <c r="O29" i="5"/>
  <c r="P29" i="5"/>
  <c r="Q29" i="5"/>
  <c r="R29" i="5"/>
  <c r="S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AJ29" i="5"/>
  <c r="AK29" i="5"/>
  <c r="AL29" i="5"/>
  <c r="AM29" i="5"/>
  <c r="AN29" i="5"/>
  <c r="AO29" i="5"/>
  <c r="AP29" i="5"/>
  <c r="AQ29" i="5"/>
  <c r="AR29" i="5"/>
  <c r="AS29" i="5"/>
  <c r="AT29" i="5"/>
  <c r="AU29" i="5"/>
  <c r="AV29" i="5"/>
  <c r="AW29" i="5"/>
  <c r="AX29" i="5"/>
  <c r="AY29" i="5"/>
  <c r="AZ29" i="5"/>
  <c r="BA29" i="5"/>
  <c r="BB29" i="5"/>
  <c r="BC29" i="5"/>
  <c r="BD29" i="5"/>
  <c r="BE29" i="5"/>
  <c r="BF29" i="5"/>
  <c r="BG29" i="5"/>
  <c r="BH29" i="5"/>
  <c r="BI29" i="5"/>
  <c r="BJ29" i="5"/>
  <c r="BK29" i="5"/>
  <c r="BL29" i="5"/>
  <c r="O30" i="5"/>
  <c r="P30" i="5"/>
  <c r="Q30" i="5"/>
  <c r="R30" i="5"/>
  <c r="S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AJ30" i="5"/>
  <c r="AK30" i="5"/>
  <c r="AL30" i="5"/>
  <c r="AM30" i="5"/>
  <c r="AN30" i="5"/>
  <c r="AO30" i="5"/>
  <c r="AP30" i="5"/>
  <c r="AQ30" i="5"/>
  <c r="AR30" i="5"/>
  <c r="AS30" i="5"/>
  <c r="AT30" i="5"/>
  <c r="AU30" i="5"/>
  <c r="AV30" i="5"/>
  <c r="AW30" i="5"/>
  <c r="AX30" i="5"/>
  <c r="AY30" i="5"/>
  <c r="AZ30" i="5"/>
  <c r="BA30" i="5"/>
  <c r="BB30" i="5"/>
  <c r="BC30" i="5"/>
  <c r="BD30" i="5"/>
  <c r="BE30" i="5"/>
  <c r="BF30" i="5"/>
  <c r="BG30" i="5"/>
  <c r="BH30" i="5"/>
  <c r="BI30" i="5"/>
  <c r="BJ30" i="5"/>
  <c r="BK30" i="5"/>
  <c r="BL30" i="5"/>
  <c r="O31" i="5"/>
  <c r="P31" i="5"/>
  <c r="Q31" i="5"/>
  <c r="R31" i="5"/>
  <c r="S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AJ31" i="5"/>
  <c r="AK31" i="5"/>
  <c r="AL31" i="5"/>
  <c r="AM31" i="5"/>
  <c r="AN31" i="5"/>
  <c r="AO31" i="5"/>
  <c r="AP31" i="5"/>
  <c r="AQ31" i="5"/>
  <c r="AR31" i="5"/>
  <c r="AS31" i="5"/>
  <c r="AT31" i="5"/>
  <c r="AU31" i="5"/>
  <c r="AV31" i="5"/>
  <c r="AW31" i="5"/>
  <c r="AX31" i="5"/>
  <c r="AY31" i="5"/>
  <c r="AZ31" i="5"/>
  <c r="BA31" i="5"/>
  <c r="BB31" i="5"/>
  <c r="BC31" i="5"/>
  <c r="BD31" i="5"/>
  <c r="BE31" i="5"/>
  <c r="BF31" i="5"/>
  <c r="BG31" i="5"/>
  <c r="BH31" i="5"/>
  <c r="BI31" i="5"/>
  <c r="BJ31" i="5"/>
  <c r="BK31" i="5"/>
  <c r="BL31" i="5"/>
  <c r="O32" i="5"/>
  <c r="P32" i="5"/>
  <c r="Q32" i="5"/>
  <c r="R32" i="5"/>
  <c r="S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AJ32" i="5"/>
  <c r="AK32" i="5"/>
  <c r="AL32" i="5"/>
  <c r="AM32" i="5"/>
  <c r="AN32" i="5"/>
  <c r="AO32" i="5"/>
  <c r="AP32" i="5"/>
  <c r="AQ32" i="5"/>
  <c r="AR32" i="5"/>
  <c r="AS32" i="5"/>
  <c r="AT32" i="5"/>
  <c r="AU32" i="5"/>
  <c r="AV32" i="5"/>
  <c r="AW32" i="5"/>
  <c r="AX32" i="5"/>
  <c r="AY32" i="5"/>
  <c r="AZ32" i="5"/>
  <c r="BA32" i="5"/>
  <c r="BB32" i="5"/>
  <c r="BC32" i="5"/>
  <c r="BD32" i="5"/>
  <c r="BE32" i="5"/>
  <c r="BF32" i="5"/>
  <c r="BG32" i="5"/>
  <c r="BH32" i="5"/>
  <c r="BI32" i="5"/>
  <c r="BJ32" i="5"/>
  <c r="BK32" i="5"/>
  <c r="BL32" i="5"/>
  <c r="O33" i="5"/>
  <c r="P33" i="5"/>
  <c r="Q33" i="5"/>
  <c r="R33" i="5"/>
  <c r="S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AJ33" i="5"/>
  <c r="AK33" i="5"/>
  <c r="AL33" i="5"/>
  <c r="AM33" i="5"/>
  <c r="AN33" i="5"/>
  <c r="AO33" i="5"/>
  <c r="AP33" i="5"/>
  <c r="AQ33" i="5"/>
  <c r="AR33" i="5"/>
  <c r="AS33" i="5"/>
  <c r="AT33" i="5"/>
  <c r="AU33" i="5"/>
  <c r="AV33" i="5"/>
  <c r="AW33" i="5"/>
  <c r="AX33" i="5"/>
  <c r="AY33" i="5"/>
  <c r="AZ33" i="5"/>
  <c r="BA33" i="5"/>
  <c r="BB33" i="5"/>
  <c r="BC33" i="5"/>
  <c r="BD33" i="5"/>
  <c r="BE33" i="5"/>
  <c r="BF33" i="5"/>
  <c r="BG33" i="5"/>
  <c r="BH33" i="5"/>
  <c r="BI33" i="5"/>
  <c r="BJ33" i="5"/>
  <c r="BK33" i="5"/>
  <c r="BL33" i="5"/>
  <c r="O34" i="5"/>
  <c r="P34" i="5"/>
  <c r="Q34" i="5"/>
  <c r="R34" i="5"/>
  <c r="S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AJ34" i="5"/>
  <c r="AK34" i="5"/>
  <c r="AL34" i="5"/>
  <c r="AM34" i="5"/>
  <c r="AN34" i="5"/>
  <c r="AO34" i="5"/>
  <c r="AP34" i="5"/>
  <c r="AQ34" i="5"/>
  <c r="AR34" i="5"/>
  <c r="AS34" i="5"/>
  <c r="AT34" i="5"/>
  <c r="AU34" i="5"/>
  <c r="AV34" i="5"/>
  <c r="AW34" i="5"/>
  <c r="AX34" i="5"/>
  <c r="AY34" i="5"/>
  <c r="AZ34" i="5"/>
  <c r="BA34" i="5"/>
  <c r="BB34" i="5"/>
  <c r="BC34" i="5"/>
  <c r="BD34" i="5"/>
  <c r="BE34" i="5"/>
  <c r="BF34" i="5"/>
  <c r="BG34" i="5"/>
  <c r="BH34" i="5"/>
  <c r="BI34" i="5"/>
  <c r="BJ34" i="5"/>
  <c r="BK34" i="5"/>
  <c r="BL34" i="5"/>
  <c r="O35" i="5"/>
  <c r="P35" i="5"/>
  <c r="Q35" i="5"/>
  <c r="R35" i="5"/>
  <c r="S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AJ35" i="5"/>
  <c r="AK35" i="5"/>
  <c r="AL35" i="5"/>
  <c r="AM35" i="5"/>
  <c r="AN35" i="5"/>
  <c r="AO35" i="5"/>
  <c r="AP35" i="5"/>
  <c r="AQ35" i="5"/>
  <c r="AR35" i="5"/>
  <c r="AS35" i="5"/>
  <c r="AT35" i="5"/>
  <c r="AU35" i="5"/>
  <c r="AV35" i="5"/>
  <c r="AW35" i="5"/>
  <c r="AX35" i="5"/>
  <c r="AY35" i="5"/>
  <c r="AZ35" i="5"/>
  <c r="BA35" i="5"/>
  <c r="BB35" i="5"/>
  <c r="BC35" i="5"/>
  <c r="BD35" i="5"/>
  <c r="BE35" i="5"/>
  <c r="BF35" i="5"/>
  <c r="BG35" i="5"/>
  <c r="BH35" i="5"/>
  <c r="BI35" i="5"/>
  <c r="BJ35" i="5"/>
  <c r="BK35" i="5"/>
  <c r="BL35" i="5"/>
  <c r="O36" i="5"/>
  <c r="P36" i="5"/>
  <c r="Q36" i="5"/>
  <c r="R36" i="5"/>
  <c r="S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AJ36" i="5"/>
  <c r="AK36" i="5"/>
  <c r="AL36" i="5"/>
  <c r="AM36" i="5"/>
  <c r="AN36" i="5"/>
  <c r="AO36" i="5"/>
  <c r="AP36" i="5"/>
  <c r="AQ36" i="5"/>
  <c r="AR36" i="5"/>
  <c r="AS36" i="5"/>
  <c r="AT36" i="5"/>
  <c r="AU36" i="5"/>
  <c r="AV36" i="5"/>
  <c r="AW36" i="5"/>
  <c r="AX36" i="5"/>
  <c r="AY36" i="5"/>
  <c r="AZ36" i="5"/>
  <c r="BA36" i="5"/>
  <c r="BB36" i="5"/>
  <c r="BC36" i="5"/>
  <c r="BD36" i="5"/>
  <c r="BE36" i="5"/>
  <c r="BF36" i="5"/>
  <c r="BG36" i="5"/>
  <c r="BH36" i="5"/>
  <c r="BI36" i="5"/>
  <c r="BJ36" i="5"/>
  <c r="BK36" i="5"/>
  <c r="BL36" i="5"/>
  <c r="O37" i="5"/>
  <c r="P37" i="5"/>
  <c r="Q37" i="5"/>
  <c r="R37" i="5"/>
  <c r="S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AJ37" i="5"/>
  <c r="AK37" i="5"/>
  <c r="AL37" i="5"/>
  <c r="AM37" i="5"/>
  <c r="AN37" i="5"/>
  <c r="AO37" i="5"/>
  <c r="AP37" i="5"/>
  <c r="AQ37" i="5"/>
  <c r="AR37" i="5"/>
  <c r="AS37" i="5"/>
  <c r="AT37" i="5"/>
  <c r="AU37" i="5"/>
  <c r="AV37" i="5"/>
  <c r="AW37" i="5"/>
  <c r="AX37" i="5"/>
  <c r="AY37" i="5"/>
  <c r="AZ37" i="5"/>
  <c r="BA37" i="5"/>
  <c r="BB37" i="5"/>
  <c r="BC37" i="5"/>
  <c r="BD37" i="5"/>
  <c r="BE37" i="5"/>
  <c r="BF37" i="5"/>
  <c r="BG37" i="5"/>
  <c r="BH37" i="5"/>
  <c r="BI37" i="5"/>
  <c r="BJ37" i="5"/>
  <c r="BK37" i="5"/>
  <c r="BL37" i="5"/>
  <c r="O38" i="5"/>
  <c r="P38" i="5"/>
  <c r="Q38" i="5"/>
  <c r="R38" i="5"/>
  <c r="S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AJ38" i="5"/>
  <c r="AK38" i="5"/>
  <c r="AL38" i="5"/>
  <c r="AM38" i="5"/>
  <c r="AN38" i="5"/>
  <c r="AO38" i="5"/>
  <c r="AP38" i="5"/>
  <c r="AQ38" i="5"/>
  <c r="AR38" i="5"/>
  <c r="AS38" i="5"/>
  <c r="AT38" i="5"/>
  <c r="AU38" i="5"/>
  <c r="AV38" i="5"/>
  <c r="AW38" i="5"/>
  <c r="AX38" i="5"/>
  <c r="AY38" i="5"/>
  <c r="AZ38" i="5"/>
  <c r="BA38" i="5"/>
  <c r="BB38" i="5"/>
  <c r="BC38" i="5"/>
  <c r="BD38" i="5"/>
  <c r="BE38" i="5"/>
  <c r="BF38" i="5"/>
  <c r="BG38" i="5"/>
  <c r="BH38" i="5"/>
  <c r="BI38" i="5"/>
  <c r="BJ38" i="5"/>
  <c r="BK38" i="5"/>
  <c r="BL38" i="5"/>
  <c r="O39" i="5"/>
  <c r="P39" i="5"/>
  <c r="Q39" i="5"/>
  <c r="R39" i="5"/>
  <c r="S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AJ39" i="5"/>
  <c r="AK39" i="5"/>
  <c r="AL39" i="5"/>
  <c r="AM39" i="5"/>
  <c r="AN39" i="5"/>
  <c r="AO39" i="5"/>
  <c r="AP39" i="5"/>
  <c r="AQ39" i="5"/>
  <c r="AR39" i="5"/>
  <c r="AS39" i="5"/>
  <c r="AT39" i="5"/>
  <c r="AU39" i="5"/>
  <c r="AV39" i="5"/>
  <c r="AW39" i="5"/>
  <c r="AX39" i="5"/>
  <c r="AY39" i="5"/>
  <c r="AZ39" i="5"/>
  <c r="BA39" i="5"/>
  <c r="BB39" i="5"/>
  <c r="BC39" i="5"/>
  <c r="BD39" i="5"/>
  <c r="BE39" i="5"/>
  <c r="BF39" i="5"/>
  <c r="BG39" i="5"/>
  <c r="BH39" i="5"/>
  <c r="BI39" i="5"/>
  <c r="BJ39" i="5"/>
  <c r="BK39" i="5"/>
  <c r="BL39" i="5"/>
  <c r="O40" i="5"/>
  <c r="P40" i="5"/>
  <c r="Q40" i="5"/>
  <c r="R40" i="5"/>
  <c r="S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AJ40" i="5"/>
  <c r="AK40" i="5"/>
  <c r="AL40" i="5"/>
  <c r="AM40" i="5"/>
  <c r="AN40" i="5"/>
  <c r="AO40" i="5"/>
  <c r="AP40" i="5"/>
  <c r="AQ40" i="5"/>
  <c r="AR40" i="5"/>
  <c r="AS40" i="5"/>
  <c r="AT40" i="5"/>
  <c r="AU40" i="5"/>
  <c r="AV40" i="5"/>
  <c r="AW40" i="5"/>
  <c r="AX40" i="5"/>
  <c r="AY40" i="5"/>
  <c r="AZ40" i="5"/>
  <c r="BA40" i="5"/>
  <c r="BB40" i="5"/>
  <c r="BC40" i="5"/>
  <c r="BD40" i="5"/>
  <c r="BE40" i="5"/>
  <c r="BF40" i="5"/>
  <c r="BG40" i="5"/>
  <c r="BH40" i="5"/>
  <c r="BI40" i="5"/>
  <c r="BJ40" i="5"/>
  <c r="BK40" i="5"/>
  <c r="BL40" i="5"/>
  <c r="O41" i="5"/>
  <c r="P41" i="5"/>
  <c r="Q41" i="5"/>
  <c r="R41" i="5"/>
  <c r="S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AJ41" i="5"/>
  <c r="AK41" i="5"/>
  <c r="AL41" i="5"/>
  <c r="AM41" i="5"/>
  <c r="AN41" i="5"/>
  <c r="AO41" i="5"/>
  <c r="AP41" i="5"/>
  <c r="AQ41" i="5"/>
  <c r="AR41" i="5"/>
  <c r="AS41" i="5"/>
  <c r="AT41" i="5"/>
  <c r="AU41" i="5"/>
  <c r="AV41" i="5"/>
  <c r="AW41" i="5"/>
  <c r="AX41" i="5"/>
  <c r="AY41" i="5"/>
  <c r="AZ41" i="5"/>
  <c r="BA41" i="5"/>
  <c r="BB41" i="5"/>
  <c r="BC41" i="5"/>
  <c r="BD41" i="5"/>
  <c r="BE41" i="5"/>
  <c r="BF41" i="5"/>
  <c r="BG41" i="5"/>
  <c r="BH41" i="5"/>
  <c r="BI41" i="5"/>
  <c r="BJ41" i="5"/>
  <c r="BK41" i="5"/>
  <c r="BL41" i="5"/>
  <c r="O42" i="5"/>
  <c r="P42" i="5"/>
  <c r="Q42" i="5"/>
  <c r="R42" i="5"/>
  <c r="S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AJ42" i="5"/>
  <c r="AK42" i="5"/>
  <c r="AL42" i="5"/>
  <c r="AM42" i="5"/>
  <c r="AN42" i="5"/>
  <c r="AO42" i="5"/>
  <c r="AP42" i="5"/>
  <c r="AQ42" i="5"/>
  <c r="AR42" i="5"/>
  <c r="AS42" i="5"/>
  <c r="AT42" i="5"/>
  <c r="AU42" i="5"/>
  <c r="AV42" i="5"/>
  <c r="AW42" i="5"/>
  <c r="AX42" i="5"/>
  <c r="AY42" i="5"/>
  <c r="AZ42" i="5"/>
  <c r="BA42" i="5"/>
  <c r="BB42" i="5"/>
  <c r="BC42" i="5"/>
  <c r="BD42" i="5"/>
  <c r="BE42" i="5"/>
  <c r="BF42" i="5"/>
  <c r="BG42" i="5"/>
  <c r="BH42" i="5"/>
  <c r="BI42" i="5"/>
  <c r="BJ42" i="5"/>
  <c r="BK42" i="5"/>
  <c r="BL42" i="5"/>
  <c r="O43" i="5"/>
  <c r="P43" i="5"/>
  <c r="Q43" i="5"/>
  <c r="R43" i="5"/>
  <c r="S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AJ43" i="5"/>
  <c r="AK43" i="5"/>
  <c r="AL43" i="5"/>
  <c r="AM43" i="5"/>
  <c r="AN43" i="5"/>
  <c r="AO43" i="5"/>
  <c r="AP43" i="5"/>
  <c r="AQ43" i="5"/>
  <c r="AR43" i="5"/>
  <c r="AS43" i="5"/>
  <c r="AT43" i="5"/>
  <c r="AU43" i="5"/>
  <c r="AV43" i="5"/>
  <c r="AW43" i="5"/>
  <c r="AX43" i="5"/>
  <c r="AY43" i="5"/>
  <c r="AZ43" i="5"/>
  <c r="BA43" i="5"/>
  <c r="BB43" i="5"/>
  <c r="BC43" i="5"/>
  <c r="BD43" i="5"/>
  <c r="BE43" i="5"/>
  <c r="BF43" i="5"/>
  <c r="BG43" i="5"/>
  <c r="BH43" i="5"/>
  <c r="BI43" i="5"/>
  <c r="BJ43" i="5"/>
  <c r="BK43" i="5"/>
  <c r="BL43" i="5"/>
  <c r="O44" i="5"/>
  <c r="P44" i="5"/>
  <c r="Q44" i="5"/>
  <c r="R44" i="5"/>
  <c r="S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AJ44" i="5"/>
  <c r="AK44" i="5"/>
  <c r="AL44" i="5"/>
  <c r="AM44" i="5"/>
  <c r="AN44" i="5"/>
  <c r="AO44" i="5"/>
  <c r="AP44" i="5"/>
  <c r="AQ44" i="5"/>
  <c r="AR44" i="5"/>
  <c r="AS44" i="5"/>
  <c r="AT44" i="5"/>
  <c r="AU44" i="5"/>
  <c r="AV44" i="5"/>
  <c r="AW44" i="5"/>
  <c r="AX44" i="5"/>
  <c r="AY44" i="5"/>
  <c r="AZ44" i="5"/>
  <c r="BA44" i="5"/>
  <c r="BB44" i="5"/>
  <c r="BC44" i="5"/>
  <c r="BD44" i="5"/>
  <c r="BE44" i="5"/>
  <c r="BF44" i="5"/>
  <c r="BG44" i="5"/>
  <c r="BH44" i="5"/>
  <c r="BI44" i="5"/>
  <c r="BJ44" i="5"/>
  <c r="BK44" i="5"/>
  <c r="BL44" i="5"/>
  <c r="O45" i="5"/>
  <c r="P45" i="5"/>
  <c r="Q45" i="5"/>
  <c r="R45" i="5"/>
  <c r="S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AG45" i="5"/>
  <c r="AH45" i="5"/>
  <c r="AI45" i="5"/>
  <c r="AJ45" i="5"/>
  <c r="AK45" i="5"/>
  <c r="AL45" i="5"/>
  <c r="AM45" i="5"/>
  <c r="AN45" i="5"/>
  <c r="AO45" i="5"/>
  <c r="AP45" i="5"/>
  <c r="AQ45" i="5"/>
  <c r="AR45" i="5"/>
  <c r="AS45" i="5"/>
  <c r="AT45" i="5"/>
  <c r="AU45" i="5"/>
  <c r="AV45" i="5"/>
  <c r="AW45" i="5"/>
  <c r="AX45" i="5"/>
  <c r="AY45" i="5"/>
  <c r="AZ45" i="5"/>
  <c r="BA45" i="5"/>
  <c r="BB45" i="5"/>
  <c r="BC45" i="5"/>
  <c r="BD45" i="5"/>
  <c r="BE45" i="5"/>
  <c r="BF45" i="5"/>
  <c r="BG45" i="5"/>
  <c r="BH45" i="5"/>
  <c r="BI45" i="5"/>
  <c r="BJ45" i="5"/>
  <c r="BK45" i="5"/>
  <c r="BL45" i="5"/>
  <c r="O46" i="5"/>
  <c r="P46" i="5"/>
  <c r="Q46" i="5"/>
  <c r="R46" i="5"/>
  <c r="S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AG46" i="5"/>
  <c r="AH46" i="5"/>
  <c r="AI46" i="5"/>
  <c r="AJ46" i="5"/>
  <c r="AK46" i="5"/>
  <c r="AL46" i="5"/>
  <c r="AM46" i="5"/>
  <c r="AN46" i="5"/>
  <c r="AO46" i="5"/>
  <c r="AP46" i="5"/>
  <c r="AQ46" i="5"/>
  <c r="AR46" i="5"/>
  <c r="AS46" i="5"/>
  <c r="AT46" i="5"/>
  <c r="AU46" i="5"/>
  <c r="AV46" i="5"/>
  <c r="AW46" i="5"/>
  <c r="AX46" i="5"/>
  <c r="AY46" i="5"/>
  <c r="AZ46" i="5"/>
  <c r="BA46" i="5"/>
  <c r="BB46" i="5"/>
  <c r="BC46" i="5"/>
  <c r="BD46" i="5"/>
  <c r="BE46" i="5"/>
  <c r="BF46" i="5"/>
  <c r="BG46" i="5"/>
  <c r="BH46" i="5"/>
  <c r="BI46" i="5"/>
  <c r="BJ46" i="5"/>
  <c r="BK46" i="5"/>
  <c r="BL46" i="5"/>
  <c r="O47" i="5"/>
  <c r="P47" i="5"/>
  <c r="Q47" i="5"/>
  <c r="R47" i="5"/>
  <c r="S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AG47" i="5"/>
  <c r="AH47" i="5"/>
  <c r="AI47" i="5"/>
  <c r="AJ47" i="5"/>
  <c r="AK47" i="5"/>
  <c r="AL47" i="5"/>
  <c r="AM47" i="5"/>
  <c r="AN47" i="5"/>
  <c r="AO47" i="5"/>
  <c r="AP47" i="5"/>
  <c r="AQ47" i="5"/>
  <c r="AR47" i="5"/>
  <c r="AS47" i="5"/>
  <c r="AT47" i="5"/>
  <c r="AU47" i="5"/>
  <c r="AV47" i="5"/>
  <c r="AW47" i="5"/>
  <c r="AX47" i="5"/>
  <c r="AY47" i="5"/>
  <c r="AZ47" i="5"/>
  <c r="BA47" i="5"/>
  <c r="BB47" i="5"/>
  <c r="BC47" i="5"/>
  <c r="BD47" i="5"/>
  <c r="BE47" i="5"/>
  <c r="BF47" i="5"/>
  <c r="BG47" i="5"/>
  <c r="BH47" i="5"/>
  <c r="BI47" i="5"/>
  <c r="BJ47" i="5"/>
  <c r="BK47" i="5"/>
  <c r="BL47" i="5"/>
  <c r="O48" i="5"/>
  <c r="P48" i="5"/>
  <c r="Q48" i="5"/>
  <c r="R48" i="5"/>
  <c r="S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AG48" i="5"/>
  <c r="AH48" i="5"/>
  <c r="AI48" i="5"/>
  <c r="AJ48" i="5"/>
  <c r="AK48" i="5"/>
  <c r="AL48" i="5"/>
  <c r="AM48" i="5"/>
  <c r="AN48" i="5"/>
  <c r="AO48" i="5"/>
  <c r="AP48" i="5"/>
  <c r="AQ48" i="5"/>
  <c r="AR48" i="5"/>
  <c r="AS48" i="5"/>
  <c r="AT48" i="5"/>
  <c r="AU48" i="5"/>
  <c r="AV48" i="5"/>
  <c r="AW48" i="5"/>
  <c r="AX48" i="5"/>
  <c r="AY48" i="5"/>
  <c r="AZ48" i="5"/>
  <c r="BA48" i="5"/>
  <c r="BB48" i="5"/>
  <c r="BC48" i="5"/>
  <c r="BD48" i="5"/>
  <c r="BE48" i="5"/>
  <c r="BF48" i="5"/>
  <c r="BG48" i="5"/>
  <c r="BH48" i="5"/>
  <c r="BI48" i="5"/>
  <c r="BJ48" i="5"/>
  <c r="BK48" i="5"/>
  <c r="BL48" i="5"/>
  <c r="O49" i="5"/>
  <c r="P49" i="5"/>
  <c r="Q49" i="5"/>
  <c r="R49" i="5"/>
  <c r="S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AG49" i="5"/>
  <c r="AH49" i="5"/>
  <c r="AI49" i="5"/>
  <c r="AJ49" i="5"/>
  <c r="AK49" i="5"/>
  <c r="AL49" i="5"/>
  <c r="AM49" i="5"/>
  <c r="AN49" i="5"/>
  <c r="AO49" i="5"/>
  <c r="AP49" i="5"/>
  <c r="AQ49" i="5"/>
  <c r="AR49" i="5"/>
  <c r="AS49" i="5"/>
  <c r="AT49" i="5"/>
  <c r="AU49" i="5"/>
  <c r="AV49" i="5"/>
  <c r="AW49" i="5"/>
  <c r="AX49" i="5"/>
  <c r="AY49" i="5"/>
  <c r="AZ49" i="5"/>
  <c r="BA49" i="5"/>
  <c r="BB49" i="5"/>
  <c r="BC49" i="5"/>
  <c r="BD49" i="5"/>
  <c r="BE49" i="5"/>
  <c r="BF49" i="5"/>
  <c r="BG49" i="5"/>
  <c r="BH49" i="5"/>
  <c r="BI49" i="5"/>
  <c r="BJ49" i="5"/>
  <c r="BK49" i="5"/>
  <c r="BL49" i="5"/>
  <c r="O50" i="5"/>
  <c r="P50" i="5"/>
  <c r="Q50" i="5"/>
  <c r="R50" i="5"/>
  <c r="S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AG50" i="5"/>
  <c r="AH50" i="5"/>
  <c r="AI50" i="5"/>
  <c r="AJ50" i="5"/>
  <c r="AK50" i="5"/>
  <c r="AL50" i="5"/>
  <c r="AM50" i="5"/>
  <c r="AN50" i="5"/>
  <c r="AO50" i="5"/>
  <c r="AP50" i="5"/>
  <c r="AQ50" i="5"/>
  <c r="AR50" i="5"/>
  <c r="AS50" i="5"/>
  <c r="AT50" i="5"/>
  <c r="AU50" i="5"/>
  <c r="AV50" i="5"/>
  <c r="AW50" i="5"/>
  <c r="AX50" i="5"/>
  <c r="AY50" i="5"/>
  <c r="AZ50" i="5"/>
  <c r="BA50" i="5"/>
  <c r="BB50" i="5"/>
  <c r="BC50" i="5"/>
  <c r="BD50" i="5"/>
  <c r="BE50" i="5"/>
  <c r="BF50" i="5"/>
  <c r="BG50" i="5"/>
  <c r="BH50" i="5"/>
  <c r="BI50" i="5"/>
  <c r="BJ50" i="5"/>
  <c r="BK50" i="5"/>
  <c r="BL50" i="5"/>
  <c r="O51" i="5"/>
  <c r="P51" i="5"/>
  <c r="Q51" i="5"/>
  <c r="R51" i="5"/>
  <c r="S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AG51" i="5"/>
  <c r="AH51" i="5"/>
  <c r="AI51" i="5"/>
  <c r="AJ51" i="5"/>
  <c r="AK51" i="5"/>
  <c r="AL51" i="5"/>
  <c r="AM51" i="5"/>
  <c r="AN51" i="5"/>
  <c r="AO51" i="5"/>
  <c r="AP51" i="5"/>
  <c r="AQ51" i="5"/>
  <c r="AR51" i="5"/>
  <c r="AS51" i="5"/>
  <c r="AT51" i="5"/>
  <c r="AU51" i="5"/>
  <c r="AV51" i="5"/>
  <c r="AW51" i="5"/>
  <c r="AX51" i="5"/>
  <c r="AY51" i="5"/>
  <c r="AZ51" i="5"/>
  <c r="BA51" i="5"/>
  <c r="BB51" i="5"/>
  <c r="BC51" i="5"/>
  <c r="BD51" i="5"/>
  <c r="BE51" i="5"/>
  <c r="BF51" i="5"/>
  <c r="BG51" i="5"/>
  <c r="BH51" i="5"/>
  <c r="BI51" i="5"/>
  <c r="BJ51" i="5"/>
  <c r="BK51" i="5"/>
  <c r="BL51" i="5"/>
  <c r="O52" i="5"/>
  <c r="P52" i="5"/>
  <c r="Q52" i="5"/>
  <c r="R52" i="5"/>
  <c r="S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AG52" i="5"/>
  <c r="AH52" i="5"/>
  <c r="AI52" i="5"/>
  <c r="AJ52" i="5"/>
  <c r="AK52" i="5"/>
  <c r="AL52" i="5"/>
  <c r="AM52" i="5"/>
  <c r="AN52" i="5"/>
  <c r="AO52" i="5"/>
  <c r="AP52" i="5"/>
  <c r="AQ52" i="5"/>
  <c r="AR52" i="5"/>
  <c r="AS52" i="5"/>
  <c r="AT52" i="5"/>
  <c r="AU52" i="5"/>
  <c r="AV52" i="5"/>
  <c r="AW52" i="5"/>
  <c r="AX52" i="5"/>
  <c r="AY52" i="5"/>
  <c r="AZ52" i="5"/>
  <c r="BA52" i="5"/>
  <c r="BB52" i="5"/>
  <c r="BC52" i="5"/>
  <c r="BD52" i="5"/>
  <c r="BE52" i="5"/>
  <c r="BF52" i="5"/>
  <c r="BG52" i="5"/>
  <c r="BH52" i="5"/>
  <c r="BI52" i="5"/>
  <c r="BJ52" i="5"/>
  <c r="BK52" i="5"/>
  <c r="BL52" i="5"/>
  <c r="O53" i="5"/>
  <c r="P53" i="5"/>
  <c r="Q53" i="5"/>
  <c r="R53" i="5"/>
  <c r="S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AG53" i="5"/>
  <c r="AH53" i="5"/>
  <c r="AI53" i="5"/>
  <c r="AJ53" i="5"/>
  <c r="AK53" i="5"/>
  <c r="AL53" i="5"/>
  <c r="AM53" i="5"/>
  <c r="AN53" i="5"/>
  <c r="AO53" i="5"/>
  <c r="AP53" i="5"/>
  <c r="AQ53" i="5"/>
  <c r="AR53" i="5"/>
  <c r="AS53" i="5"/>
  <c r="AT53" i="5"/>
  <c r="AU53" i="5"/>
  <c r="AV53" i="5"/>
  <c r="AW53" i="5"/>
  <c r="AX53" i="5"/>
  <c r="AY53" i="5"/>
  <c r="AZ53" i="5"/>
  <c r="BA53" i="5"/>
  <c r="BB53" i="5"/>
  <c r="BC53" i="5"/>
  <c r="BD53" i="5"/>
  <c r="BE53" i="5"/>
  <c r="BF53" i="5"/>
  <c r="BG53" i="5"/>
  <c r="BH53" i="5"/>
  <c r="BI53" i="5"/>
  <c r="BJ53" i="5"/>
  <c r="BK53" i="5"/>
  <c r="BL53" i="5"/>
  <c r="O54" i="5"/>
  <c r="P54" i="5"/>
  <c r="Q54" i="5"/>
  <c r="R54" i="5"/>
  <c r="S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AG54" i="5"/>
  <c r="AH54" i="5"/>
  <c r="AI54" i="5"/>
  <c r="AJ54" i="5"/>
  <c r="AK54" i="5"/>
  <c r="AL54" i="5"/>
  <c r="AM54" i="5"/>
  <c r="AN54" i="5"/>
  <c r="AO54" i="5"/>
  <c r="AP54" i="5"/>
  <c r="AQ54" i="5"/>
  <c r="AR54" i="5"/>
  <c r="AS54" i="5"/>
  <c r="AT54" i="5"/>
  <c r="AU54" i="5"/>
  <c r="AV54" i="5"/>
  <c r="AW54" i="5"/>
  <c r="AX54" i="5"/>
  <c r="AY54" i="5"/>
  <c r="AZ54" i="5"/>
  <c r="BA54" i="5"/>
  <c r="BB54" i="5"/>
  <c r="BC54" i="5"/>
  <c r="BD54" i="5"/>
  <c r="BE54" i="5"/>
  <c r="BF54" i="5"/>
  <c r="BG54" i="5"/>
  <c r="BH54" i="5"/>
  <c r="BI54" i="5"/>
  <c r="BJ54" i="5"/>
  <c r="BK54" i="5"/>
  <c r="BL54" i="5"/>
  <c r="O55" i="5"/>
  <c r="P55" i="5"/>
  <c r="Q55" i="5"/>
  <c r="R55" i="5"/>
  <c r="S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AG55" i="5"/>
  <c r="AH55" i="5"/>
  <c r="AI55" i="5"/>
  <c r="AJ55" i="5"/>
  <c r="AK55" i="5"/>
  <c r="AL55" i="5"/>
  <c r="AM55" i="5"/>
  <c r="AN55" i="5"/>
  <c r="AO55" i="5"/>
  <c r="AP55" i="5"/>
  <c r="AQ55" i="5"/>
  <c r="AR55" i="5"/>
  <c r="AS55" i="5"/>
  <c r="AT55" i="5"/>
  <c r="AU55" i="5"/>
  <c r="AV55" i="5"/>
  <c r="AW55" i="5"/>
  <c r="AX55" i="5"/>
  <c r="AY55" i="5"/>
  <c r="AZ55" i="5"/>
  <c r="BA55" i="5"/>
  <c r="BB55" i="5"/>
  <c r="BC55" i="5"/>
  <c r="BD55" i="5"/>
  <c r="BE55" i="5"/>
  <c r="BF55" i="5"/>
  <c r="BG55" i="5"/>
  <c r="BH55" i="5"/>
  <c r="BI55" i="5"/>
  <c r="BJ55" i="5"/>
  <c r="BK55" i="5"/>
  <c r="BL55" i="5"/>
  <c r="O56" i="5"/>
  <c r="P56" i="5"/>
  <c r="Q56" i="5"/>
  <c r="R56" i="5"/>
  <c r="S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AG56" i="5"/>
  <c r="AH56" i="5"/>
  <c r="AI56" i="5"/>
  <c r="AJ56" i="5"/>
  <c r="AK56" i="5"/>
  <c r="AL56" i="5"/>
  <c r="AM56" i="5"/>
  <c r="AN56" i="5"/>
  <c r="AO56" i="5"/>
  <c r="AP56" i="5"/>
  <c r="AQ56" i="5"/>
  <c r="AR56" i="5"/>
  <c r="AS56" i="5"/>
  <c r="AT56" i="5"/>
  <c r="AU56" i="5"/>
  <c r="AV56" i="5"/>
  <c r="AW56" i="5"/>
  <c r="AX56" i="5"/>
  <c r="AY56" i="5"/>
  <c r="AZ56" i="5"/>
  <c r="BA56" i="5"/>
  <c r="BB56" i="5"/>
  <c r="BC56" i="5"/>
  <c r="BD56" i="5"/>
  <c r="BE56" i="5"/>
  <c r="BF56" i="5"/>
  <c r="BG56" i="5"/>
  <c r="BH56" i="5"/>
  <c r="BI56" i="5"/>
  <c r="BJ56" i="5"/>
  <c r="BK56" i="5"/>
  <c r="BL56" i="5"/>
  <c r="O57" i="5"/>
  <c r="P57" i="5"/>
  <c r="Q57" i="5"/>
  <c r="R57" i="5"/>
  <c r="S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AG57" i="5"/>
  <c r="AH57" i="5"/>
  <c r="AI57" i="5"/>
  <c r="AJ57" i="5"/>
  <c r="AK57" i="5"/>
  <c r="AL57" i="5"/>
  <c r="AM57" i="5"/>
  <c r="AN57" i="5"/>
  <c r="AO57" i="5"/>
  <c r="AP57" i="5"/>
  <c r="AQ57" i="5"/>
  <c r="AR57" i="5"/>
  <c r="AS57" i="5"/>
  <c r="AT57" i="5"/>
  <c r="AU57" i="5"/>
  <c r="AV57" i="5"/>
  <c r="AW57" i="5"/>
  <c r="AX57" i="5"/>
  <c r="AY57" i="5"/>
  <c r="AZ57" i="5"/>
  <c r="BA57" i="5"/>
  <c r="BB57" i="5"/>
  <c r="BC57" i="5"/>
  <c r="BD57" i="5"/>
  <c r="BE57" i="5"/>
  <c r="BF57" i="5"/>
  <c r="BG57" i="5"/>
  <c r="BH57" i="5"/>
  <c r="BI57" i="5"/>
  <c r="BJ57" i="5"/>
  <c r="BK57" i="5"/>
  <c r="BL57" i="5"/>
  <c r="O58" i="5"/>
  <c r="P58" i="5"/>
  <c r="Q58" i="5"/>
  <c r="R58" i="5"/>
  <c r="S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AG58" i="5"/>
  <c r="AH58" i="5"/>
  <c r="AI58" i="5"/>
  <c r="AJ58" i="5"/>
  <c r="AK58" i="5"/>
  <c r="AL58" i="5"/>
  <c r="AM58" i="5"/>
  <c r="AN58" i="5"/>
  <c r="AO58" i="5"/>
  <c r="AP58" i="5"/>
  <c r="AQ58" i="5"/>
  <c r="AR58" i="5"/>
  <c r="AS58" i="5"/>
  <c r="AT58" i="5"/>
  <c r="AU58" i="5"/>
  <c r="AV58" i="5"/>
  <c r="AW58" i="5"/>
  <c r="AX58" i="5"/>
  <c r="AY58" i="5"/>
  <c r="AZ58" i="5"/>
  <c r="BA58" i="5"/>
  <c r="BB58" i="5"/>
  <c r="BC58" i="5"/>
  <c r="BD58" i="5"/>
  <c r="BE58" i="5"/>
  <c r="BF58" i="5"/>
  <c r="BG58" i="5"/>
  <c r="BH58" i="5"/>
  <c r="BI58" i="5"/>
  <c r="BJ58" i="5"/>
  <c r="BK58" i="5"/>
  <c r="BL58" i="5"/>
  <c r="O59" i="5"/>
  <c r="P59" i="5"/>
  <c r="Q59" i="5"/>
  <c r="R59" i="5"/>
  <c r="S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AG59" i="5"/>
  <c r="AH59" i="5"/>
  <c r="AI59" i="5"/>
  <c r="AJ59" i="5"/>
  <c r="AK59" i="5"/>
  <c r="AL59" i="5"/>
  <c r="AM59" i="5"/>
  <c r="AN59" i="5"/>
  <c r="AO59" i="5"/>
  <c r="AP59" i="5"/>
  <c r="AQ59" i="5"/>
  <c r="AR59" i="5"/>
  <c r="AS59" i="5"/>
  <c r="AT59" i="5"/>
  <c r="AU59" i="5"/>
  <c r="AV59" i="5"/>
  <c r="AW59" i="5"/>
  <c r="AX59" i="5"/>
  <c r="AY59" i="5"/>
  <c r="AZ59" i="5"/>
  <c r="BA59" i="5"/>
  <c r="BB59" i="5"/>
  <c r="BC59" i="5"/>
  <c r="BD59" i="5"/>
  <c r="BE59" i="5"/>
  <c r="BF59" i="5"/>
  <c r="BG59" i="5"/>
  <c r="BH59" i="5"/>
  <c r="BI59" i="5"/>
  <c r="BJ59" i="5"/>
  <c r="BK59" i="5"/>
  <c r="BL59" i="5"/>
  <c r="O60" i="5"/>
  <c r="P60" i="5"/>
  <c r="Q60" i="5"/>
  <c r="R60" i="5"/>
  <c r="S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AG60" i="5"/>
  <c r="AH60" i="5"/>
  <c r="AI60" i="5"/>
  <c r="AJ60" i="5"/>
  <c r="AK60" i="5"/>
  <c r="AL60" i="5"/>
  <c r="AM60" i="5"/>
  <c r="AN60" i="5"/>
  <c r="AO60" i="5"/>
  <c r="AP60" i="5"/>
  <c r="AQ60" i="5"/>
  <c r="AR60" i="5"/>
  <c r="AS60" i="5"/>
  <c r="AT60" i="5"/>
  <c r="AU60" i="5"/>
  <c r="AV60" i="5"/>
  <c r="AW60" i="5"/>
  <c r="AX60" i="5"/>
  <c r="AY60" i="5"/>
  <c r="AZ60" i="5"/>
  <c r="BA60" i="5"/>
  <c r="BB60" i="5"/>
  <c r="BC60" i="5"/>
  <c r="BD60" i="5"/>
  <c r="BE60" i="5"/>
  <c r="BF60" i="5"/>
  <c r="BG60" i="5"/>
  <c r="BH60" i="5"/>
  <c r="BI60" i="5"/>
  <c r="BJ60" i="5"/>
  <c r="BK60" i="5"/>
  <c r="BL60" i="5"/>
  <c r="O61" i="5"/>
  <c r="P61" i="5"/>
  <c r="Q61" i="5"/>
  <c r="R61" i="5"/>
  <c r="S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AG61" i="5"/>
  <c r="AH61" i="5"/>
  <c r="AI61" i="5"/>
  <c r="AJ61" i="5"/>
  <c r="AK61" i="5"/>
  <c r="AL61" i="5"/>
  <c r="AM61" i="5"/>
  <c r="AN61" i="5"/>
  <c r="AO61" i="5"/>
  <c r="AP61" i="5"/>
  <c r="AQ61" i="5"/>
  <c r="AR61" i="5"/>
  <c r="AS61" i="5"/>
  <c r="AT61" i="5"/>
  <c r="AU61" i="5"/>
  <c r="AV61" i="5"/>
  <c r="AW61" i="5"/>
  <c r="AX61" i="5"/>
  <c r="AY61" i="5"/>
  <c r="AZ61" i="5"/>
  <c r="BA61" i="5"/>
  <c r="BB61" i="5"/>
  <c r="BC61" i="5"/>
  <c r="BD61" i="5"/>
  <c r="BE61" i="5"/>
  <c r="BF61" i="5"/>
  <c r="BG61" i="5"/>
  <c r="BH61" i="5"/>
  <c r="BI61" i="5"/>
  <c r="BJ61" i="5"/>
  <c r="BK61" i="5"/>
  <c r="BL61" i="5"/>
  <c r="O62" i="5"/>
  <c r="P62" i="5"/>
  <c r="Q62" i="5"/>
  <c r="R62" i="5"/>
  <c r="S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AG62" i="5"/>
  <c r="AH62" i="5"/>
  <c r="AI62" i="5"/>
  <c r="AJ62" i="5"/>
  <c r="AK62" i="5"/>
  <c r="AL62" i="5"/>
  <c r="AM62" i="5"/>
  <c r="AN62" i="5"/>
  <c r="AO62" i="5"/>
  <c r="AP62" i="5"/>
  <c r="AQ62" i="5"/>
  <c r="AR62" i="5"/>
  <c r="AS62" i="5"/>
  <c r="AT62" i="5"/>
  <c r="AU62" i="5"/>
  <c r="AV62" i="5"/>
  <c r="AW62" i="5"/>
  <c r="AX62" i="5"/>
  <c r="AY62" i="5"/>
  <c r="AZ62" i="5"/>
  <c r="BA62" i="5"/>
  <c r="BB62" i="5"/>
  <c r="BC62" i="5"/>
  <c r="BD62" i="5"/>
  <c r="BE62" i="5"/>
  <c r="BF62" i="5"/>
  <c r="BG62" i="5"/>
  <c r="BH62" i="5"/>
  <c r="BI62" i="5"/>
  <c r="BJ62" i="5"/>
  <c r="BK62" i="5"/>
  <c r="BL62" i="5"/>
  <c r="O63" i="5"/>
  <c r="P63" i="5"/>
  <c r="Q63" i="5"/>
  <c r="R63" i="5"/>
  <c r="S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AG63" i="5"/>
  <c r="AH63" i="5"/>
  <c r="AI63" i="5"/>
  <c r="AJ63" i="5"/>
  <c r="AK63" i="5"/>
  <c r="AL63" i="5"/>
  <c r="AM63" i="5"/>
  <c r="AN63" i="5"/>
  <c r="AO63" i="5"/>
  <c r="AP63" i="5"/>
  <c r="AQ63" i="5"/>
  <c r="AR63" i="5"/>
  <c r="AS63" i="5"/>
  <c r="AT63" i="5"/>
  <c r="AU63" i="5"/>
  <c r="AV63" i="5"/>
  <c r="AW63" i="5"/>
  <c r="AX63" i="5"/>
  <c r="AY63" i="5"/>
  <c r="AZ63" i="5"/>
  <c r="BA63" i="5"/>
  <c r="BB63" i="5"/>
  <c r="BC63" i="5"/>
  <c r="BD63" i="5"/>
  <c r="BE63" i="5"/>
  <c r="BF63" i="5"/>
  <c r="BG63" i="5"/>
  <c r="BH63" i="5"/>
  <c r="BI63" i="5"/>
  <c r="BJ63" i="5"/>
  <c r="BK63" i="5"/>
  <c r="BL63" i="5"/>
  <c r="O64" i="5"/>
  <c r="P64" i="5"/>
  <c r="Q64" i="5"/>
  <c r="R64" i="5"/>
  <c r="S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AG64" i="5"/>
  <c r="AH64" i="5"/>
  <c r="AI64" i="5"/>
  <c r="AJ64" i="5"/>
  <c r="AK64" i="5"/>
  <c r="AL64" i="5"/>
  <c r="AM64" i="5"/>
  <c r="AN64" i="5"/>
  <c r="AO64" i="5"/>
  <c r="AP64" i="5"/>
  <c r="AQ64" i="5"/>
  <c r="AR64" i="5"/>
  <c r="AS64" i="5"/>
  <c r="AT64" i="5"/>
  <c r="AU64" i="5"/>
  <c r="AV64" i="5"/>
  <c r="AW64" i="5"/>
  <c r="AX64" i="5"/>
  <c r="AY64" i="5"/>
  <c r="AZ64" i="5"/>
  <c r="BA64" i="5"/>
  <c r="BB64" i="5"/>
  <c r="BC64" i="5"/>
  <c r="BD64" i="5"/>
  <c r="BE64" i="5"/>
  <c r="BF64" i="5"/>
  <c r="BG64" i="5"/>
  <c r="BH64" i="5"/>
  <c r="BI64" i="5"/>
  <c r="BJ64" i="5"/>
  <c r="BK64" i="5"/>
  <c r="BL64" i="5"/>
  <c r="O65" i="5"/>
  <c r="P65" i="5"/>
  <c r="Q65" i="5"/>
  <c r="R65" i="5"/>
  <c r="S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AG65" i="5"/>
  <c r="AH65" i="5"/>
  <c r="AI65" i="5"/>
  <c r="AJ65" i="5"/>
  <c r="AK65" i="5"/>
  <c r="AL65" i="5"/>
  <c r="AM65" i="5"/>
  <c r="AN65" i="5"/>
  <c r="AO65" i="5"/>
  <c r="AP65" i="5"/>
  <c r="AQ65" i="5"/>
  <c r="AR65" i="5"/>
  <c r="AS65" i="5"/>
  <c r="AT65" i="5"/>
  <c r="AU65" i="5"/>
  <c r="AV65" i="5"/>
  <c r="AW65" i="5"/>
  <c r="AX65" i="5"/>
  <c r="AY65" i="5"/>
  <c r="AZ65" i="5"/>
  <c r="BA65" i="5"/>
  <c r="BB65" i="5"/>
  <c r="BC65" i="5"/>
  <c r="BD65" i="5"/>
  <c r="BE65" i="5"/>
  <c r="BF65" i="5"/>
  <c r="BG65" i="5"/>
  <c r="BH65" i="5"/>
  <c r="BI65" i="5"/>
  <c r="BJ65" i="5"/>
  <c r="BK65" i="5"/>
  <c r="BL65" i="5"/>
  <c r="O66" i="5"/>
  <c r="P66" i="5"/>
  <c r="Q66" i="5"/>
  <c r="R66" i="5"/>
  <c r="S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AG66" i="5"/>
  <c r="AH66" i="5"/>
  <c r="AI66" i="5"/>
  <c r="AJ66" i="5"/>
  <c r="AK66" i="5"/>
  <c r="AL66" i="5"/>
  <c r="AM66" i="5"/>
  <c r="AN66" i="5"/>
  <c r="AO66" i="5"/>
  <c r="AP66" i="5"/>
  <c r="AQ66" i="5"/>
  <c r="AR66" i="5"/>
  <c r="AS66" i="5"/>
  <c r="AT66" i="5"/>
  <c r="AU66" i="5"/>
  <c r="AV66" i="5"/>
  <c r="AW66" i="5"/>
  <c r="AX66" i="5"/>
  <c r="AY66" i="5"/>
  <c r="AZ66" i="5"/>
  <c r="BA66" i="5"/>
  <c r="BB66" i="5"/>
  <c r="BC66" i="5"/>
  <c r="BD66" i="5"/>
  <c r="BE66" i="5"/>
  <c r="BF66" i="5"/>
  <c r="BG66" i="5"/>
  <c r="BH66" i="5"/>
  <c r="BI66" i="5"/>
  <c r="BJ66" i="5"/>
  <c r="BK66" i="5"/>
  <c r="BL66" i="5"/>
  <c r="O67" i="5"/>
  <c r="P67" i="5"/>
  <c r="Q67" i="5"/>
  <c r="R67" i="5"/>
  <c r="S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AG67" i="5"/>
  <c r="AH67" i="5"/>
  <c r="AI67" i="5"/>
  <c r="AJ67" i="5"/>
  <c r="AK67" i="5"/>
  <c r="AL67" i="5"/>
  <c r="AM67" i="5"/>
  <c r="AN67" i="5"/>
  <c r="AO67" i="5"/>
  <c r="AP67" i="5"/>
  <c r="AQ67" i="5"/>
  <c r="AR67" i="5"/>
  <c r="AS67" i="5"/>
  <c r="AT67" i="5"/>
  <c r="AU67" i="5"/>
  <c r="AV67" i="5"/>
  <c r="AW67" i="5"/>
  <c r="AX67" i="5"/>
  <c r="AY67" i="5"/>
  <c r="AZ67" i="5"/>
  <c r="BA67" i="5"/>
  <c r="BB67" i="5"/>
  <c r="BC67" i="5"/>
  <c r="BD67" i="5"/>
  <c r="BE67" i="5"/>
  <c r="BF67" i="5"/>
  <c r="BG67" i="5"/>
  <c r="BH67" i="5"/>
  <c r="BI67" i="5"/>
  <c r="BJ67" i="5"/>
  <c r="BK67" i="5"/>
  <c r="BL67" i="5"/>
  <c r="O68" i="5"/>
  <c r="P68" i="5"/>
  <c r="Q68" i="5"/>
  <c r="R68" i="5"/>
  <c r="S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AG68" i="5"/>
  <c r="AH68" i="5"/>
  <c r="AI68" i="5"/>
  <c r="AJ68" i="5"/>
  <c r="AK68" i="5"/>
  <c r="AL68" i="5"/>
  <c r="AM68" i="5"/>
  <c r="AN68" i="5"/>
  <c r="AO68" i="5"/>
  <c r="AP68" i="5"/>
  <c r="AQ68" i="5"/>
  <c r="AR68" i="5"/>
  <c r="AS68" i="5"/>
  <c r="AT68" i="5"/>
  <c r="AU68" i="5"/>
  <c r="AV68" i="5"/>
  <c r="AW68" i="5"/>
  <c r="AX68" i="5"/>
  <c r="AY68" i="5"/>
  <c r="AZ68" i="5"/>
  <c r="BA68" i="5"/>
  <c r="BB68" i="5"/>
  <c r="BC68" i="5"/>
  <c r="BD68" i="5"/>
  <c r="BE68" i="5"/>
  <c r="BF68" i="5"/>
  <c r="BG68" i="5"/>
  <c r="BH68" i="5"/>
  <c r="BI68" i="5"/>
  <c r="BJ68" i="5"/>
  <c r="BK68" i="5"/>
  <c r="BL68" i="5"/>
  <c r="O69" i="5"/>
  <c r="P69" i="5"/>
  <c r="Q69" i="5"/>
  <c r="R69" i="5"/>
  <c r="S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AG69" i="5"/>
  <c r="AH69" i="5"/>
  <c r="AI69" i="5"/>
  <c r="AJ69" i="5"/>
  <c r="AK69" i="5"/>
  <c r="AL69" i="5"/>
  <c r="AM69" i="5"/>
  <c r="AN69" i="5"/>
  <c r="AO69" i="5"/>
  <c r="AP69" i="5"/>
  <c r="AQ69" i="5"/>
  <c r="AR69" i="5"/>
  <c r="AS69" i="5"/>
  <c r="AT69" i="5"/>
  <c r="AU69" i="5"/>
  <c r="AV69" i="5"/>
  <c r="AW69" i="5"/>
  <c r="AX69" i="5"/>
  <c r="AY69" i="5"/>
  <c r="AZ69" i="5"/>
  <c r="BA69" i="5"/>
  <c r="BB69" i="5"/>
  <c r="BC69" i="5"/>
  <c r="BD69" i="5"/>
  <c r="BE69" i="5"/>
  <c r="BF69" i="5"/>
  <c r="BG69" i="5"/>
  <c r="BH69" i="5"/>
  <c r="BI69" i="5"/>
  <c r="BJ69" i="5"/>
  <c r="BK69" i="5"/>
  <c r="BL69" i="5"/>
  <c r="O70" i="5"/>
  <c r="P70" i="5"/>
  <c r="Q70" i="5"/>
  <c r="R70" i="5"/>
  <c r="S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AG70" i="5"/>
  <c r="AH70" i="5"/>
  <c r="AI70" i="5"/>
  <c r="AJ70" i="5"/>
  <c r="AK70" i="5"/>
  <c r="AL70" i="5"/>
  <c r="AM70" i="5"/>
  <c r="AN70" i="5"/>
  <c r="AO70" i="5"/>
  <c r="AP70" i="5"/>
  <c r="AQ70" i="5"/>
  <c r="AR70" i="5"/>
  <c r="AS70" i="5"/>
  <c r="AT70" i="5"/>
  <c r="AU70" i="5"/>
  <c r="AV70" i="5"/>
  <c r="AW70" i="5"/>
  <c r="AX70" i="5"/>
  <c r="AY70" i="5"/>
  <c r="AZ70" i="5"/>
  <c r="BA70" i="5"/>
  <c r="BB70" i="5"/>
  <c r="BC70" i="5"/>
  <c r="BD70" i="5"/>
  <c r="BE70" i="5"/>
  <c r="BF70" i="5"/>
  <c r="BG70" i="5"/>
  <c r="BH70" i="5"/>
  <c r="BI70" i="5"/>
  <c r="BJ70" i="5"/>
  <c r="BK70" i="5"/>
  <c r="BL70" i="5"/>
  <c r="O71" i="5"/>
  <c r="P71" i="5"/>
  <c r="Q71" i="5"/>
  <c r="R71" i="5"/>
  <c r="S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AG71" i="5"/>
  <c r="AH71" i="5"/>
  <c r="AI71" i="5"/>
  <c r="AJ71" i="5"/>
  <c r="AK71" i="5"/>
  <c r="AL71" i="5"/>
  <c r="AM71" i="5"/>
  <c r="AN71" i="5"/>
  <c r="AO71" i="5"/>
  <c r="AP71" i="5"/>
  <c r="AQ71" i="5"/>
  <c r="AR71" i="5"/>
  <c r="AS71" i="5"/>
  <c r="AT71" i="5"/>
  <c r="AU71" i="5"/>
  <c r="AV71" i="5"/>
  <c r="AW71" i="5"/>
  <c r="AX71" i="5"/>
  <c r="AY71" i="5"/>
  <c r="AZ71" i="5"/>
  <c r="BA71" i="5"/>
  <c r="BB71" i="5"/>
  <c r="BC71" i="5"/>
  <c r="BD71" i="5"/>
  <c r="BE71" i="5"/>
  <c r="BF71" i="5"/>
  <c r="BG71" i="5"/>
  <c r="BH71" i="5"/>
  <c r="BI71" i="5"/>
  <c r="BJ71" i="5"/>
  <c r="BK71" i="5"/>
  <c r="BL71" i="5"/>
  <c r="O72" i="5"/>
  <c r="P72" i="5"/>
  <c r="Q72" i="5"/>
  <c r="R72" i="5"/>
  <c r="S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AG72" i="5"/>
  <c r="AH72" i="5"/>
  <c r="AI72" i="5"/>
  <c r="AJ72" i="5"/>
  <c r="AK72" i="5"/>
  <c r="AL72" i="5"/>
  <c r="AM72" i="5"/>
  <c r="AN72" i="5"/>
  <c r="AO72" i="5"/>
  <c r="AP72" i="5"/>
  <c r="AQ72" i="5"/>
  <c r="AR72" i="5"/>
  <c r="AS72" i="5"/>
  <c r="AT72" i="5"/>
  <c r="AU72" i="5"/>
  <c r="AV72" i="5"/>
  <c r="AW72" i="5"/>
  <c r="AX72" i="5"/>
  <c r="AY72" i="5"/>
  <c r="AZ72" i="5"/>
  <c r="BA72" i="5"/>
  <c r="BB72" i="5"/>
  <c r="BC72" i="5"/>
  <c r="BD72" i="5"/>
  <c r="BE72" i="5"/>
  <c r="BF72" i="5"/>
  <c r="BG72" i="5"/>
  <c r="BH72" i="5"/>
  <c r="BI72" i="5"/>
  <c r="BJ72" i="5"/>
  <c r="BK72" i="5"/>
  <c r="BL72" i="5"/>
  <c r="O73" i="5"/>
  <c r="P73" i="5"/>
  <c r="Q73" i="5"/>
  <c r="R73" i="5"/>
  <c r="S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AG73" i="5"/>
  <c r="AH73" i="5"/>
  <c r="AI73" i="5"/>
  <c r="AJ73" i="5"/>
  <c r="AK73" i="5"/>
  <c r="AL73" i="5"/>
  <c r="AM73" i="5"/>
  <c r="AN73" i="5"/>
  <c r="AO73" i="5"/>
  <c r="AP73" i="5"/>
  <c r="AQ73" i="5"/>
  <c r="AR73" i="5"/>
  <c r="AS73" i="5"/>
  <c r="AT73" i="5"/>
  <c r="AU73" i="5"/>
  <c r="AV73" i="5"/>
  <c r="AW73" i="5"/>
  <c r="AX73" i="5"/>
  <c r="AY73" i="5"/>
  <c r="AZ73" i="5"/>
  <c r="BA73" i="5"/>
  <c r="BB73" i="5"/>
  <c r="BC73" i="5"/>
  <c r="BD73" i="5"/>
  <c r="BE73" i="5"/>
  <c r="BF73" i="5"/>
  <c r="BG73" i="5"/>
  <c r="BH73" i="5"/>
  <c r="BI73" i="5"/>
  <c r="BJ73" i="5"/>
  <c r="BK73" i="5"/>
  <c r="BL73" i="5"/>
  <c r="O74" i="5"/>
  <c r="P74" i="5"/>
  <c r="Q74" i="5"/>
  <c r="R74" i="5"/>
  <c r="S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AG74" i="5"/>
  <c r="AH74" i="5"/>
  <c r="AI74" i="5"/>
  <c r="AJ74" i="5"/>
  <c r="AK74" i="5"/>
  <c r="AL74" i="5"/>
  <c r="AM74" i="5"/>
  <c r="AN74" i="5"/>
  <c r="AO74" i="5"/>
  <c r="AP74" i="5"/>
  <c r="AQ74" i="5"/>
  <c r="AR74" i="5"/>
  <c r="AS74" i="5"/>
  <c r="AT74" i="5"/>
  <c r="AU74" i="5"/>
  <c r="AV74" i="5"/>
  <c r="AW74" i="5"/>
  <c r="AX74" i="5"/>
  <c r="AY74" i="5"/>
  <c r="AZ74" i="5"/>
  <c r="BA74" i="5"/>
  <c r="BB74" i="5"/>
  <c r="BC74" i="5"/>
  <c r="BD74" i="5"/>
  <c r="BE74" i="5"/>
  <c r="BF74" i="5"/>
  <c r="BG74" i="5"/>
  <c r="BH74" i="5"/>
  <c r="BI74" i="5"/>
  <c r="BJ74" i="5"/>
  <c r="BK74" i="5"/>
  <c r="BL74" i="5"/>
  <c r="O75" i="5"/>
  <c r="P75" i="5"/>
  <c r="Q75" i="5"/>
  <c r="R75" i="5"/>
  <c r="S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AG75" i="5"/>
  <c r="AH75" i="5"/>
  <c r="AI75" i="5"/>
  <c r="AJ75" i="5"/>
  <c r="AK75" i="5"/>
  <c r="AL75" i="5"/>
  <c r="AM75" i="5"/>
  <c r="AN75" i="5"/>
  <c r="AO75" i="5"/>
  <c r="AP75" i="5"/>
  <c r="AQ75" i="5"/>
  <c r="AR75" i="5"/>
  <c r="AS75" i="5"/>
  <c r="AT75" i="5"/>
  <c r="AU75" i="5"/>
  <c r="AV75" i="5"/>
  <c r="AW75" i="5"/>
  <c r="AX75" i="5"/>
  <c r="AY75" i="5"/>
  <c r="AZ75" i="5"/>
  <c r="BA75" i="5"/>
  <c r="BB75" i="5"/>
  <c r="BC75" i="5"/>
  <c r="BD75" i="5"/>
  <c r="BE75" i="5"/>
  <c r="BF75" i="5"/>
  <c r="BG75" i="5"/>
  <c r="BH75" i="5"/>
  <c r="BI75" i="5"/>
  <c r="BJ75" i="5"/>
  <c r="BK75" i="5"/>
  <c r="BL75" i="5"/>
  <c r="O76" i="5"/>
  <c r="P76" i="5"/>
  <c r="Q76" i="5"/>
  <c r="R76" i="5"/>
  <c r="S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AG76" i="5"/>
  <c r="AH76" i="5"/>
  <c r="AI76" i="5"/>
  <c r="AJ76" i="5"/>
  <c r="AK76" i="5"/>
  <c r="AL76" i="5"/>
  <c r="AM76" i="5"/>
  <c r="AN76" i="5"/>
  <c r="AO76" i="5"/>
  <c r="AP76" i="5"/>
  <c r="AQ76" i="5"/>
  <c r="AR76" i="5"/>
  <c r="AS76" i="5"/>
  <c r="AT76" i="5"/>
  <c r="AU76" i="5"/>
  <c r="AV76" i="5"/>
  <c r="AW76" i="5"/>
  <c r="AX76" i="5"/>
  <c r="AY76" i="5"/>
  <c r="AZ76" i="5"/>
  <c r="BA76" i="5"/>
  <c r="BB76" i="5"/>
  <c r="BC76" i="5"/>
  <c r="BD76" i="5"/>
  <c r="BE76" i="5"/>
  <c r="BF76" i="5"/>
  <c r="BG76" i="5"/>
  <c r="BH76" i="5"/>
  <c r="BI76" i="5"/>
  <c r="BJ76" i="5"/>
  <c r="BK76" i="5"/>
  <c r="BL76" i="5"/>
  <c r="O77" i="5"/>
  <c r="P77" i="5"/>
  <c r="Q77" i="5"/>
  <c r="R77" i="5"/>
  <c r="S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AG77" i="5"/>
  <c r="AH77" i="5"/>
  <c r="AI77" i="5"/>
  <c r="AJ77" i="5"/>
  <c r="AK77" i="5"/>
  <c r="AL77" i="5"/>
  <c r="AM77" i="5"/>
  <c r="AN77" i="5"/>
  <c r="AO77" i="5"/>
  <c r="AP77" i="5"/>
  <c r="AQ77" i="5"/>
  <c r="AR77" i="5"/>
  <c r="AS77" i="5"/>
  <c r="AT77" i="5"/>
  <c r="AU77" i="5"/>
  <c r="AV77" i="5"/>
  <c r="AW77" i="5"/>
  <c r="AX77" i="5"/>
  <c r="AY77" i="5"/>
  <c r="AZ77" i="5"/>
  <c r="BA77" i="5"/>
  <c r="BB77" i="5"/>
  <c r="BC77" i="5"/>
  <c r="BD77" i="5"/>
  <c r="BE77" i="5"/>
  <c r="BF77" i="5"/>
  <c r="BG77" i="5"/>
  <c r="BH77" i="5"/>
  <c r="BI77" i="5"/>
  <c r="BJ77" i="5"/>
  <c r="BK77" i="5"/>
  <c r="BL77" i="5"/>
  <c r="O78" i="5"/>
  <c r="P78" i="5"/>
  <c r="Q78" i="5"/>
  <c r="R78" i="5"/>
  <c r="S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AG78" i="5"/>
  <c r="AH78" i="5"/>
  <c r="AI78" i="5"/>
  <c r="AJ78" i="5"/>
  <c r="AK78" i="5"/>
  <c r="AL78" i="5"/>
  <c r="AM78" i="5"/>
  <c r="AN78" i="5"/>
  <c r="AO78" i="5"/>
  <c r="AP78" i="5"/>
  <c r="AQ78" i="5"/>
  <c r="AR78" i="5"/>
  <c r="AS78" i="5"/>
  <c r="AT78" i="5"/>
  <c r="AU78" i="5"/>
  <c r="AV78" i="5"/>
  <c r="AW78" i="5"/>
  <c r="AX78" i="5"/>
  <c r="AY78" i="5"/>
  <c r="AZ78" i="5"/>
  <c r="BA78" i="5"/>
  <c r="BB78" i="5"/>
  <c r="BC78" i="5"/>
  <c r="BD78" i="5"/>
  <c r="BE78" i="5"/>
  <c r="BF78" i="5"/>
  <c r="BG78" i="5"/>
  <c r="BH78" i="5"/>
  <c r="BI78" i="5"/>
  <c r="BJ78" i="5"/>
  <c r="BK78" i="5"/>
  <c r="BL78" i="5"/>
  <c r="O79" i="5"/>
  <c r="P79" i="5"/>
  <c r="Q79" i="5"/>
  <c r="R79" i="5"/>
  <c r="S79" i="5"/>
  <c r="T79" i="5"/>
  <c r="U79" i="5"/>
  <c r="V79" i="5"/>
  <c r="W79" i="5"/>
  <c r="X79" i="5"/>
  <c r="Y79" i="5"/>
  <c r="Z79" i="5"/>
  <c r="AA79" i="5"/>
  <c r="AB79" i="5"/>
  <c r="AC79" i="5"/>
  <c r="AD79" i="5"/>
  <c r="AE79" i="5"/>
  <c r="AF79" i="5"/>
  <c r="AG79" i="5"/>
  <c r="AH79" i="5"/>
  <c r="AI79" i="5"/>
  <c r="AJ79" i="5"/>
  <c r="AK79" i="5"/>
  <c r="AL79" i="5"/>
  <c r="AM79" i="5"/>
  <c r="AN79" i="5"/>
  <c r="AO79" i="5"/>
  <c r="AP79" i="5"/>
  <c r="AQ79" i="5"/>
  <c r="AR79" i="5"/>
  <c r="AS79" i="5"/>
  <c r="AT79" i="5"/>
  <c r="AU79" i="5"/>
  <c r="AV79" i="5"/>
  <c r="AW79" i="5"/>
  <c r="AX79" i="5"/>
  <c r="AY79" i="5"/>
  <c r="AZ79" i="5"/>
  <c r="BA79" i="5"/>
  <c r="BB79" i="5"/>
  <c r="BC79" i="5"/>
  <c r="BD79" i="5"/>
  <c r="BE79" i="5"/>
  <c r="BF79" i="5"/>
  <c r="BG79" i="5"/>
  <c r="BH79" i="5"/>
  <c r="BI79" i="5"/>
  <c r="BJ79" i="5"/>
  <c r="BK79" i="5"/>
  <c r="BL79" i="5"/>
  <c r="O80" i="5"/>
  <c r="P80" i="5"/>
  <c r="Q80" i="5"/>
  <c r="R80" i="5"/>
  <c r="S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AG80" i="5"/>
  <c r="AH80" i="5"/>
  <c r="AI80" i="5"/>
  <c r="AJ80" i="5"/>
  <c r="AK80" i="5"/>
  <c r="AL80" i="5"/>
  <c r="AM80" i="5"/>
  <c r="AN80" i="5"/>
  <c r="AO80" i="5"/>
  <c r="AP80" i="5"/>
  <c r="AQ80" i="5"/>
  <c r="AR80" i="5"/>
  <c r="AS80" i="5"/>
  <c r="AT80" i="5"/>
  <c r="AU80" i="5"/>
  <c r="AV80" i="5"/>
  <c r="AW80" i="5"/>
  <c r="AX80" i="5"/>
  <c r="AY80" i="5"/>
  <c r="AZ80" i="5"/>
  <c r="BA80" i="5"/>
  <c r="BB80" i="5"/>
  <c r="BC80" i="5"/>
  <c r="BD80" i="5"/>
  <c r="BE80" i="5"/>
  <c r="BF80" i="5"/>
  <c r="BG80" i="5"/>
  <c r="BH80" i="5"/>
  <c r="BI80" i="5"/>
  <c r="BJ80" i="5"/>
  <c r="BK80" i="5"/>
  <c r="BL80" i="5"/>
  <c r="O81" i="5"/>
  <c r="P81" i="5"/>
  <c r="Q81" i="5"/>
  <c r="R81" i="5"/>
  <c r="S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AG81" i="5"/>
  <c r="AH81" i="5"/>
  <c r="AI81" i="5"/>
  <c r="AJ81" i="5"/>
  <c r="AK81" i="5"/>
  <c r="AL81" i="5"/>
  <c r="AM81" i="5"/>
  <c r="AN81" i="5"/>
  <c r="AO81" i="5"/>
  <c r="AP81" i="5"/>
  <c r="AQ81" i="5"/>
  <c r="AR81" i="5"/>
  <c r="AS81" i="5"/>
  <c r="AT81" i="5"/>
  <c r="AU81" i="5"/>
  <c r="AV81" i="5"/>
  <c r="AW81" i="5"/>
  <c r="AX81" i="5"/>
  <c r="AY81" i="5"/>
  <c r="AZ81" i="5"/>
  <c r="BA81" i="5"/>
  <c r="BB81" i="5"/>
  <c r="BC81" i="5"/>
  <c r="BD81" i="5"/>
  <c r="BE81" i="5"/>
  <c r="BF81" i="5"/>
  <c r="BG81" i="5"/>
  <c r="BH81" i="5"/>
  <c r="BI81" i="5"/>
  <c r="BJ81" i="5"/>
  <c r="BK81" i="5"/>
  <c r="BL81" i="5"/>
  <c r="O82" i="5"/>
  <c r="P82" i="5"/>
  <c r="Q82" i="5"/>
  <c r="R82" i="5"/>
  <c r="S82" i="5"/>
  <c r="T82" i="5"/>
  <c r="U82" i="5"/>
  <c r="V82" i="5"/>
  <c r="W82" i="5"/>
  <c r="X82" i="5"/>
  <c r="Y82" i="5"/>
  <c r="Z82" i="5"/>
  <c r="AA82" i="5"/>
  <c r="AB82" i="5"/>
  <c r="AC82" i="5"/>
  <c r="AD82" i="5"/>
  <c r="AE82" i="5"/>
  <c r="AF82" i="5"/>
  <c r="AG82" i="5"/>
  <c r="AH82" i="5"/>
  <c r="AI82" i="5"/>
  <c r="AJ82" i="5"/>
  <c r="AK82" i="5"/>
  <c r="AL82" i="5"/>
  <c r="AM82" i="5"/>
  <c r="AN82" i="5"/>
  <c r="AO82" i="5"/>
  <c r="AP82" i="5"/>
  <c r="AQ82" i="5"/>
  <c r="AR82" i="5"/>
  <c r="AS82" i="5"/>
  <c r="AT82" i="5"/>
  <c r="AU82" i="5"/>
  <c r="AV82" i="5"/>
  <c r="AW82" i="5"/>
  <c r="AX82" i="5"/>
  <c r="AY82" i="5"/>
  <c r="AZ82" i="5"/>
  <c r="BA82" i="5"/>
  <c r="BB82" i="5"/>
  <c r="BC82" i="5"/>
  <c r="BD82" i="5"/>
  <c r="BE82" i="5"/>
  <c r="BF82" i="5"/>
  <c r="BG82" i="5"/>
  <c r="BH82" i="5"/>
  <c r="BI82" i="5"/>
  <c r="BJ82" i="5"/>
  <c r="BK82" i="5"/>
  <c r="BL82" i="5"/>
  <c r="O83" i="5"/>
  <c r="P83" i="5"/>
  <c r="Q83" i="5"/>
  <c r="R83" i="5"/>
  <c r="S83" i="5"/>
  <c r="T83" i="5"/>
  <c r="U83" i="5"/>
  <c r="V83" i="5"/>
  <c r="W83" i="5"/>
  <c r="X83" i="5"/>
  <c r="Y83" i="5"/>
  <c r="Z83" i="5"/>
  <c r="AA83" i="5"/>
  <c r="AB83" i="5"/>
  <c r="AC83" i="5"/>
  <c r="AD83" i="5"/>
  <c r="AE83" i="5"/>
  <c r="AF83" i="5"/>
  <c r="AG83" i="5"/>
  <c r="AH83" i="5"/>
  <c r="AI83" i="5"/>
  <c r="AJ83" i="5"/>
  <c r="AK83" i="5"/>
  <c r="AL83" i="5"/>
  <c r="AM83" i="5"/>
  <c r="AN83" i="5"/>
  <c r="AO83" i="5"/>
  <c r="AP83" i="5"/>
  <c r="AQ83" i="5"/>
  <c r="AR83" i="5"/>
  <c r="AS83" i="5"/>
  <c r="AT83" i="5"/>
  <c r="AU83" i="5"/>
  <c r="AV83" i="5"/>
  <c r="AW83" i="5"/>
  <c r="AX83" i="5"/>
  <c r="AY83" i="5"/>
  <c r="AZ83" i="5"/>
  <c r="BA83" i="5"/>
  <c r="BB83" i="5"/>
  <c r="BC83" i="5"/>
  <c r="BD83" i="5"/>
  <c r="BE83" i="5"/>
  <c r="BF83" i="5"/>
  <c r="BG83" i="5"/>
  <c r="BH83" i="5"/>
  <c r="BI83" i="5"/>
  <c r="BJ83" i="5"/>
  <c r="BK83" i="5"/>
  <c r="BL83" i="5"/>
  <c r="O84" i="5"/>
  <c r="P84" i="5"/>
  <c r="Q84" i="5"/>
  <c r="R84" i="5"/>
  <c r="S84" i="5"/>
  <c r="T84" i="5"/>
  <c r="U84" i="5"/>
  <c r="V84" i="5"/>
  <c r="W84" i="5"/>
  <c r="X84" i="5"/>
  <c r="Y84" i="5"/>
  <c r="Z84" i="5"/>
  <c r="AA84" i="5"/>
  <c r="AB84" i="5"/>
  <c r="AC84" i="5"/>
  <c r="AD84" i="5"/>
  <c r="AE84" i="5"/>
  <c r="AF84" i="5"/>
  <c r="AG84" i="5"/>
  <c r="AH84" i="5"/>
  <c r="AI84" i="5"/>
  <c r="AJ84" i="5"/>
  <c r="AK84" i="5"/>
  <c r="AL84" i="5"/>
  <c r="AM84" i="5"/>
  <c r="AN84" i="5"/>
  <c r="AO84" i="5"/>
  <c r="AP84" i="5"/>
  <c r="AQ84" i="5"/>
  <c r="AR84" i="5"/>
  <c r="AS84" i="5"/>
  <c r="AT84" i="5"/>
  <c r="AU84" i="5"/>
  <c r="AV84" i="5"/>
  <c r="AW84" i="5"/>
  <c r="AX84" i="5"/>
  <c r="AY84" i="5"/>
  <c r="AZ84" i="5"/>
  <c r="BA84" i="5"/>
  <c r="BB84" i="5"/>
  <c r="BC84" i="5"/>
  <c r="BD84" i="5"/>
  <c r="BE84" i="5"/>
  <c r="BF84" i="5"/>
  <c r="BG84" i="5"/>
  <c r="BH84" i="5"/>
  <c r="BI84" i="5"/>
  <c r="BJ84" i="5"/>
  <c r="BK84" i="5"/>
  <c r="BL84" i="5"/>
  <c r="O85" i="5"/>
  <c r="P85" i="5"/>
  <c r="Q85" i="5"/>
  <c r="R85" i="5"/>
  <c r="S85" i="5"/>
  <c r="T85" i="5"/>
  <c r="U85" i="5"/>
  <c r="V85" i="5"/>
  <c r="W85" i="5"/>
  <c r="X85" i="5"/>
  <c r="Y85" i="5"/>
  <c r="Z85" i="5"/>
  <c r="AA85" i="5"/>
  <c r="AB85" i="5"/>
  <c r="AC85" i="5"/>
  <c r="AD85" i="5"/>
  <c r="AE85" i="5"/>
  <c r="AF85" i="5"/>
  <c r="AG85" i="5"/>
  <c r="AH85" i="5"/>
  <c r="AI85" i="5"/>
  <c r="AJ85" i="5"/>
  <c r="AK85" i="5"/>
  <c r="AL85" i="5"/>
  <c r="AM85" i="5"/>
  <c r="AN85" i="5"/>
  <c r="AO85" i="5"/>
  <c r="AP85" i="5"/>
  <c r="AQ85" i="5"/>
  <c r="AR85" i="5"/>
  <c r="AS85" i="5"/>
  <c r="AT85" i="5"/>
  <c r="AU85" i="5"/>
  <c r="AV85" i="5"/>
  <c r="AW85" i="5"/>
  <c r="AX85" i="5"/>
  <c r="AY85" i="5"/>
  <c r="AZ85" i="5"/>
  <c r="BA85" i="5"/>
  <c r="BB85" i="5"/>
  <c r="BC85" i="5"/>
  <c r="BD85" i="5"/>
  <c r="BE85" i="5"/>
  <c r="BF85" i="5"/>
  <c r="BG85" i="5"/>
  <c r="BH85" i="5"/>
  <c r="BI85" i="5"/>
  <c r="BJ85" i="5"/>
  <c r="BK85" i="5"/>
  <c r="BL85" i="5"/>
  <c r="O86" i="5"/>
  <c r="P86" i="5"/>
  <c r="Q86" i="5"/>
  <c r="R86" i="5"/>
  <c r="S86" i="5"/>
  <c r="T86" i="5"/>
  <c r="U86" i="5"/>
  <c r="V86" i="5"/>
  <c r="W86" i="5"/>
  <c r="X86" i="5"/>
  <c r="Y86" i="5"/>
  <c r="Z86" i="5"/>
  <c r="AA86" i="5"/>
  <c r="AB86" i="5"/>
  <c r="AC86" i="5"/>
  <c r="AD86" i="5"/>
  <c r="AE86" i="5"/>
  <c r="AF86" i="5"/>
  <c r="AG86" i="5"/>
  <c r="AH86" i="5"/>
  <c r="AI86" i="5"/>
  <c r="AJ86" i="5"/>
  <c r="AK86" i="5"/>
  <c r="AL86" i="5"/>
  <c r="AM86" i="5"/>
  <c r="AN86" i="5"/>
  <c r="AO86" i="5"/>
  <c r="AP86" i="5"/>
  <c r="AQ86" i="5"/>
  <c r="AR86" i="5"/>
  <c r="AS86" i="5"/>
  <c r="AT86" i="5"/>
  <c r="AU86" i="5"/>
  <c r="AV86" i="5"/>
  <c r="AW86" i="5"/>
  <c r="AX86" i="5"/>
  <c r="AY86" i="5"/>
  <c r="AZ86" i="5"/>
  <c r="BA86" i="5"/>
  <c r="BB86" i="5"/>
  <c r="BC86" i="5"/>
  <c r="BD86" i="5"/>
  <c r="BE86" i="5"/>
  <c r="BF86" i="5"/>
  <c r="BG86" i="5"/>
  <c r="BH86" i="5"/>
  <c r="BI86" i="5"/>
  <c r="BJ86" i="5"/>
  <c r="BK86" i="5"/>
  <c r="BL86" i="5"/>
  <c r="O87" i="5"/>
  <c r="P87" i="5"/>
  <c r="Q87" i="5"/>
  <c r="R87" i="5"/>
  <c r="S87" i="5"/>
  <c r="T87" i="5"/>
  <c r="U87" i="5"/>
  <c r="V87" i="5"/>
  <c r="W87" i="5"/>
  <c r="X87" i="5"/>
  <c r="Y87" i="5"/>
  <c r="Z87" i="5"/>
  <c r="AA87" i="5"/>
  <c r="AB87" i="5"/>
  <c r="AC87" i="5"/>
  <c r="AD87" i="5"/>
  <c r="AE87" i="5"/>
  <c r="AF87" i="5"/>
  <c r="AG87" i="5"/>
  <c r="AH87" i="5"/>
  <c r="AI87" i="5"/>
  <c r="AJ87" i="5"/>
  <c r="AK87" i="5"/>
  <c r="AL87" i="5"/>
  <c r="AM87" i="5"/>
  <c r="AN87" i="5"/>
  <c r="AO87" i="5"/>
  <c r="AP87" i="5"/>
  <c r="AQ87" i="5"/>
  <c r="AR87" i="5"/>
  <c r="AS87" i="5"/>
  <c r="AT87" i="5"/>
  <c r="AU87" i="5"/>
  <c r="AV87" i="5"/>
  <c r="AW87" i="5"/>
  <c r="AX87" i="5"/>
  <c r="AY87" i="5"/>
  <c r="AZ87" i="5"/>
  <c r="BA87" i="5"/>
  <c r="BB87" i="5"/>
  <c r="BC87" i="5"/>
  <c r="BD87" i="5"/>
  <c r="BE87" i="5"/>
  <c r="BF87" i="5"/>
  <c r="BG87" i="5"/>
  <c r="BH87" i="5"/>
  <c r="BI87" i="5"/>
  <c r="BJ87" i="5"/>
  <c r="BK87" i="5"/>
  <c r="BL87" i="5"/>
  <c r="O88" i="5"/>
  <c r="P88" i="5"/>
  <c r="Q88" i="5"/>
  <c r="R88" i="5"/>
  <c r="S88" i="5"/>
  <c r="T88" i="5"/>
  <c r="U88" i="5"/>
  <c r="V88" i="5"/>
  <c r="W88" i="5"/>
  <c r="X88" i="5"/>
  <c r="Y88" i="5"/>
  <c r="Z88" i="5"/>
  <c r="AA88" i="5"/>
  <c r="AB88" i="5"/>
  <c r="AC88" i="5"/>
  <c r="AD88" i="5"/>
  <c r="AE88" i="5"/>
  <c r="AF88" i="5"/>
  <c r="AG88" i="5"/>
  <c r="AH88" i="5"/>
  <c r="AI88" i="5"/>
  <c r="AJ88" i="5"/>
  <c r="AK88" i="5"/>
  <c r="AL88" i="5"/>
  <c r="AM88" i="5"/>
  <c r="AN88" i="5"/>
  <c r="AO88" i="5"/>
  <c r="AP88" i="5"/>
  <c r="AQ88" i="5"/>
  <c r="AR88" i="5"/>
  <c r="AS88" i="5"/>
  <c r="AT88" i="5"/>
  <c r="AU88" i="5"/>
  <c r="AV88" i="5"/>
  <c r="AW88" i="5"/>
  <c r="AX88" i="5"/>
  <c r="AY88" i="5"/>
  <c r="AZ88" i="5"/>
  <c r="BA88" i="5"/>
  <c r="BB88" i="5"/>
  <c r="BC88" i="5"/>
  <c r="BD88" i="5"/>
  <c r="BE88" i="5"/>
  <c r="BF88" i="5"/>
  <c r="BG88" i="5"/>
  <c r="BH88" i="5"/>
  <c r="BI88" i="5"/>
  <c r="BJ88" i="5"/>
  <c r="BK88" i="5"/>
  <c r="BL88" i="5"/>
  <c r="O89" i="5"/>
  <c r="P89" i="5"/>
  <c r="Q89" i="5"/>
  <c r="R89" i="5"/>
  <c r="S89" i="5"/>
  <c r="T89" i="5"/>
  <c r="U89" i="5"/>
  <c r="V89" i="5"/>
  <c r="W89" i="5"/>
  <c r="X89" i="5"/>
  <c r="Y89" i="5"/>
  <c r="Z89" i="5"/>
  <c r="AA89" i="5"/>
  <c r="AB89" i="5"/>
  <c r="AC89" i="5"/>
  <c r="AD89" i="5"/>
  <c r="AE89" i="5"/>
  <c r="AF89" i="5"/>
  <c r="AG89" i="5"/>
  <c r="AH89" i="5"/>
  <c r="AI89" i="5"/>
  <c r="AJ89" i="5"/>
  <c r="AK89" i="5"/>
  <c r="AL89" i="5"/>
  <c r="AM89" i="5"/>
  <c r="AN89" i="5"/>
  <c r="AO89" i="5"/>
  <c r="AP89" i="5"/>
  <c r="AQ89" i="5"/>
  <c r="AR89" i="5"/>
  <c r="AS89" i="5"/>
  <c r="AT89" i="5"/>
  <c r="AU89" i="5"/>
  <c r="AV89" i="5"/>
  <c r="AW89" i="5"/>
  <c r="AX89" i="5"/>
  <c r="AY89" i="5"/>
  <c r="AZ89" i="5"/>
  <c r="BA89" i="5"/>
  <c r="BB89" i="5"/>
  <c r="BC89" i="5"/>
  <c r="BD89" i="5"/>
  <c r="BE89" i="5"/>
  <c r="BF89" i="5"/>
  <c r="BG89" i="5"/>
  <c r="BH89" i="5"/>
  <c r="BI89" i="5"/>
  <c r="BJ89" i="5"/>
  <c r="BK89" i="5"/>
  <c r="BL89" i="5"/>
  <c r="O90" i="5"/>
  <c r="P90" i="5"/>
  <c r="Q90" i="5"/>
  <c r="R90" i="5"/>
  <c r="S90" i="5"/>
  <c r="T90" i="5"/>
  <c r="U90" i="5"/>
  <c r="V90" i="5"/>
  <c r="W90" i="5"/>
  <c r="X90" i="5"/>
  <c r="Y90" i="5"/>
  <c r="Z90" i="5"/>
  <c r="AA90" i="5"/>
  <c r="AB90" i="5"/>
  <c r="AC90" i="5"/>
  <c r="AD90" i="5"/>
  <c r="AE90" i="5"/>
  <c r="AF90" i="5"/>
  <c r="AG90" i="5"/>
  <c r="AH90" i="5"/>
  <c r="AI90" i="5"/>
  <c r="AJ90" i="5"/>
  <c r="AK90" i="5"/>
  <c r="AL90" i="5"/>
  <c r="AM90" i="5"/>
  <c r="AN90" i="5"/>
  <c r="AO90" i="5"/>
  <c r="AP90" i="5"/>
  <c r="AQ90" i="5"/>
  <c r="AR90" i="5"/>
  <c r="AS90" i="5"/>
  <c r="AT90" i="5"/>
  <c r="AU90" i="5"/>
  <c r="AV90" i="5"/>
  <c r="AW90" i="5"/>
  <c r="AX90" i="5"/>
  <c r="AY90" i="5"/>
  <c r="AZ90" i="5"/>
  <c r="BA90" i="5"/>
  <c r="BB90" i="5"/>
  <c r="BC90" i="5"/>
  <c r="BD90" i="5"/>
  <c r="BE90" i="5"/>
  <c r="BF90" i="5"/>
  <c r="BG90" i="5"/>
  <c r="BH90" i="5"/>
  <c r="BI90" i="5"/>
  <c r="BJ90" i="5"/>
  <c r="BK90" i="5"/>
  <c r="BL90" i="5"/>
  <c r="O91" i="5"/>
  <c r="P91" i="5"/>
  <c r="Q91" i="5"/>
  <c r="R91" i="5"/>
  <c r="S91" i="5"/>
  <c r="T91" i="5"/>
  <c r="U91" i="5"/>
  <c r="V91" i="5"/>
  <c r="W91" i="5"/>
  <c r="X91" i="5"/>
  <c r="Y91" i="5"/>
  <c r="Z91" i="5"/>
  <c r="AA91" i="5"/>
  <c r="AB91" i="5"/>
  <c r="AC91" i="5"/>
  <c r="AD91" i="5"/>
  <c r="AE91" i="5"/>
  <c r="AF91" i="5"/>
  <c r="AG91" i="5"/>
  <c r="AH91" i="5"/>
  <c r="AI91" i="5"/>
  <c r="AJ91" i="5"/>
  <c r="AK91" i="5"/>
  <c r="AL91" i="5"/>
  <c r="AM91" i="5"/>
  <c r="AN91" i="5"/>
  <c r="AO91" i="5"/>
  <c r="AP91" i="5"/>
  <c r="AQ91" i="5"/>
  <c r="AR91" i="5"/>
  <c r="AS91" i="5"/>
  <c r="AT91" i="5"/>
  <c r="AU91" i="5"/>
  <c r="AV91" i="5"/>
  <c r="AW91" i="5"/>
  <c r="AX91" i="5"/>
  <c r="AY91" i="5"/>
  <c r="AZ91" i="5"/>
  <c r="BA91" i="5"/>
  <c r="BB91" i="5"/>
  <c r="BC91" i="5"/>
  <c r="BD91" i="5"/>
  <c r="BE91" i="5"/>
  <c r="BF91" i="5"/>
  <c r="BG91" i="5"/>
  <c r="BH91" i="5"/>
  <c r="BI91" i="5"/>
  <c r="BJ91" i="5"/>
  <c r="BK91" i="5"/>
  <c r="BL91" i="5"/>
  <c r="O92" i="5"/>
  <c r="P92" i="5"/>
  <c r="Q92" i="5"/>
  <c r="R92" i="5"/>
  <c r="S92" i="5"/>
  <c r="T92" i="5"/>
  <c r="U92" i="5"/>
  <c r="V92" i="5"/>
  <c r="W92" i="5"/>
  <c r="X92" i="5"/>
  <c r="Y92" i="5"/>
  <c r="Z92" i="5"/>
  <c r="AA92" i="5"/>
  <c r="AB92" i="5"/>
  <c r="AC92" i="5"/>
  <c r="AD92" i="5"/>
  <c r="AE92" i="5"/>
  <c r="AF92" i="5"/>
  <c r="AG92" i="5"/>
  <c r="AH92" i="5"/>
  <c r="AI92" i="5"/>
  <c r="AJ92" i="5"/>
  <c r="AK92" i="5"/>
  <c r="AL92" i="5"/>
  <c r="AM92" i="5"/>
  <c r="AN92" i="5"/>
  <c r="AO92" i="5"/>
  <c r="AP92" i="5"/>
  <c r="AQ92" i="5"/>
  <c r="AR92" i="5"/>
  <c r="AS92" i="5"/>
  <c r="AT92" i="5"/>
  <c r="AU92" i="5"/>
  <c r="AV92" i="5"/>
  <c r="AW92" i="5"/>
  <c r="AX92" i="5"/>
  <c r="AY92" i="5"/>
  <c r="AZ92" i="5"/>
  <c r="BA92" i="5"/>
  <c r="BB92" i="5"/>
  <c r="BC92" i="5"/>
  <c r="BD92" i="5"/>
  <c r="BE92" i="5"/>
  <c r="BF92" i="5"/>
  <c r="BG92" i="5"/>
  <c r="BH92" i="5"/>
  <c r="BI92" i="5"/>
  <c r="BJ92" i="5"/>
  <c r="BK92" i="5"/>
  <c r="BL92" i="5"/>
  <c r="O93" i="5"/>
  <c r="P93" i="5"/>
  <c r="Q93" i="5"/>
  <c r="R93" i="5"/>
  <c r="S93" i="5"/>
  <c r="T93" i="5"/>
  <c r="U93" i="5"/>
  <c r="V93" i="5"/>
  <c r="W93" i="5"/>
  <c r="X93" i="5"/>
  <c r="Y93" i="5"/>
  <c r="Z93" i="5"/>
  <c r="AA93" i="5"/>
  <c r="AB93" i="5"/>
  <c r="AC93" i="5"/>
  <c r="AD93" i="5"/>
  <c r="AE93" i="5"/>
  <c r="AF93" i="5"/>
  <c r="AG93" i="5"/>
  <c r="AH93" i="5"/>
  <c r="AI93" i="5"/>
  <c r="AJ93" i="5"/>
  <c r="AK93" i="5"/>
  <c r="AL93" i="5"/>
  <c r="AM93" i="5"/>
  <c r="AN93" i="5"/>
  <c r="AO93" i="5"/>
  <c r="AP93" i="5"/>
  <c r="AQ93" i="5"/>
  <c r="AR93" i="5"/>
  <c r="AS93" i="5"/>
  <c r="AT93" i="5"/>
  <c r="AU93" i="5"/>
  <c r="AV93" i="5"/>
  <c r="AW93" i="5"/>
  <c r="AX93" i="5"/>
  <c r="AY93" i="5"/>
  <c r="AZ93" i="5"/>
  <c r="BA93" i="5"/>
  <c r="BB93" i="5"/>
  <c r="BC93" i="5"/>
  <c r="BD93" i="5"/>
  <c r="BE93" i="5"/>
  <c r="BF93" i="5"/>
  <c r="BG93" i="5"/>
  <c r="BH93" i="5"/>
  <c r="BI93" i="5"/>
  <c r="BJ93" i="5"/>
  <c r="BK93" i="5"/>
  <c r="BL93" i="5"/>
  <c r="O94" i="5"/>
  <c r="P94" i="5"/>
  <c r="Q94" i="5"/>
  <c r="R94" i="5"/>
  <c r="S94" i="5"/>
  <c r="T94" i="5"/>
  <c r="U94" i="5"/>
  <c r="V94" i="5"/>
  <c r="W94" i="5"/>
  <c r="X94" i="5"/>
  <c r="Y94" i="5"/>
  <c r="Z94" i="5"/>
  <c r="AA94" i="5"/>
  <c r="AB94" i="5"/>
  <c r="AC94" i="5"/>
  <c r="AD94" i="5"/>
  <c r="AE94" i="5"/>
  <c r="AF94" i="5"/>
  <c r="AG94" i="5"/>
  <c r="AH94" i="5"/>
  <c r="AI94" i="5"/>
  <c r="AJ94" i="5"/>
  <c r="AK94" i="5"/>
  <c r="AL94" i="5"/>
  <c r="AM94" i="5"/>
  <c r="AN94" i="5"/>
  <c r="AO94" i="5"/>
  <c r="AP94" i="5"/>
  <c r="AQ94" i="5"/>
  <c r="AR94" i="5"/>
  <c r="AS94" i="5"/>
  <c r="AT94" i="5"/>
  <c r="AU94" i="5"/>
  <c r="AV94" i="5"/>
  <c r="AW94" i="5"/>
  <c r="AX94" i="5"/>
  <c r="AY94" i="5"/>
  <c r="AZ94" i="5"/>
  <c r="BA94" i="5"/>
  <c r="BB94" i="5"/>
  <c r="BC94" i="5"/>
  <c r="BD94" i="5"/>
  <c r="BE94" i="5"/>
  <c r="BF94" i="5"/>
  <c r="BG94" i="5"/>
  <c r="BH94" i="5"/>
  <c r="BI94" i="5"/>
  <c r="BJ94" i="5"/>
  <c r="BK94" i="5"/>
  <c r="BL94" i="5"/>
  <c r="O95" i="5"/>
  <c r="P95" i="5"/>
  <c r="Q95" i="5"/>
  <c r="R95" i="5"/>
  <c r="S95" i="5"/>
  <c r="T95" i="5"/>
  <c r="U95" i="5"/>
  <c r="V95" i="5"/>
  <c r="W95" i="5"/>
  <c r="X95" i="5"/>
  <c r="Y95" i="5"/>
  <c r="Z95" i="5"/>
  <c r="AA95" i="5"/>
  <c r="AB95" i="5"/>
  <c r="AC95" i="5"/>
  <c r="AD95" i="5"/>
  <c r="AE95" i="5"/>
  <c r="AF95" i="5"/>
  <c r="AG95" i="5"/>
  <c r="AH95" i="5"/>
  <c r="AI95" i="5"/>
  <c r="AJ95" i="5"/>
  <c r="AK95" i="5"/>
  <c r="AL95" i="5"/>
  <c r="AM95" i="5"/>
  <c r="AN95" i="5"/>
  <c r="AO95" i="5"/>
  <c r="AP95" i="5"/>
  <c r="AQ95" i="5"/>
  <c r="AR95" i="5"/>
  <c r="AS95" i="5"/>
  <c r="AT95" i="5"/>
  <c r="AU95" i="5"/>
  <c r="AV95" i="5"/>
  <c r="AW95" i="5"/>
  <c r="AX95" i="5"/>
  <c r="AY95" i="5"/>
  <c r="AZ95" i="5"/>
  <c r="BA95" i="5"/>
  <c r="BB95" i="5"/>
  <c r="BC95" i="5"/>
  <c r="BD95" i="5"/>
  <c r="BE95" i="5"/>
  <c r="BF95" i="5"/>
  <c r="BG95" i="5"/>
  <c r="BH95" i="5"/>
  <c r="BI95" i="5"/>
  <c r="BJ95" i="5"/>
  <c r="BK95" i="5"/>
  <c r="BL95" i="5"/>
  <c r="O96" i="5"/>
  <c r="P96" i="5"/>
  <c r="Q96" i="5"/>
  <c r="R96" i="5"/>
  <c r="S96" i="5"/>
  <c r="T96" i="5"/>
  <c r="U96" i="5"/>
  <c r="V96" i="5"/>
  <c r="W96" i="5"/>
  <c r="X96" i="5"/>
  <c r="Y96" i="5"/>
  <c r="Z96" i="5"/>
  <c r="AA96" i="5"/>
  <c r="AB96" i="5"/>
  <c r="AC96" i="5"/>
  <c r="AD96" i="5"/>
  <c r="AE96" i="5"/>
  <c r="AF96" i="5"/>
  <c r="AG96" i="5"/>
  <c r="AH96" i="5"/>
  <c r="AI96" i="5"/>
  <c r="AJ96" i="5"/>
  <c r="AK96" i="5"/>
  <c r="AL96" i="5"/>
  <c r="AM96" i="5"/>
  <c r="AN96" i="5"/>
  <c r="AO96" i="5"/>
  <c r="AP96" i="5"/>
  <c r="AQ96" i="5"/>
  <c r="AR96" i="5"/>
  <c r="AS96" i="5"/>
  <c r="AT96" i="5"/>
  <c r="AU96" i="5"/>
  <c r="AV96" i="5"/>
  <c r="AW96" i="5"/>
  <c r="AX96" i="5"/>
  <c r="AY96" i="5"/>
  <c r="AZ96" i="5"/>
  <c r="BA96" i="5"/>
  <c r="BB96" i="5"/>
  <c r="BC96" i="5"/>
  <c r="BD96" i="5"/>
  <c r="BE96" i="5"/>
  <c r="BF96" i="5"/>
  <c r="BG96" i="5"/>
  <c r="BH96" i="5"/>
  <c r="BI96" i="5"/>
  <c r="BJ96" i="5"/>
  <c r="BK96" i="5"/>
  <c r="BL96" i="5"/>
  <c r="O97" i="5"/>
  <c r="P97" i="5"/>
  <c r="Q97" i="5"/>
  <c r="R97" i="5"/>
  <c r="S97" i="5"/>
  <c r="T97" i="5"/>
  <c r="U97" i="5"/>
  <c r="V97" i="5"/>
  <c r="W97" i="5"/>
  <c r="X97" i="5"/>
  <c r="Y97" i="5"/>
  <c r="Z97" i="5"/>
  <c r="AA97" i="5"/>
  <c r="AB97" i="5"/>
  <c r="AC97" i="5"/>
  <c r="AD97" i="5"/>
  <c r="AE97" i="5"/>
  <c r="AF97" i="5"/>
  <c r="AG97" i="5"/>
  <c r="AH97" i="5"/>
  <c r="AI97" i="5"/>
  <c r="AJ97" i="5"/>
  <c r="AK97" i="5"/>
  <c r="AL97" i="5"/>
  <c r="AM97" i="5"/>
  <c r="AN97" i="5"/>
  <c r="AO97" i="5"/>
  <c r="AP97" i="5"/>
  <c r="AQ97" i="5"/>
  <c r="AR97" i="5"/>
  <c r="AS97" i="5"/>
  <c r="AT97" i="5"/>
  <c r="AU97" i="5"/>
  <c r="AV97" i="5"/>
  <c r="AW97" i="5"/>
  <c r="AX97" i="5"/>
  <c r="AY97" i="5"/>
  <c r="AZ97" i="5"/>
  <c r="BA97" i="5"/>
  <c r="BB97" i="5"/>
  <c r="BC97" i="5"/>
  <c r="BD97" i="5"/>
  <c r="BE97" i="5"/>
  <c r="BF97" i="5"/>
  <c r="BG97" i="5"/>
  <c r="BH97" i="5"/>
  <c r="BI97" i="5"/>
  <c r="BJ97" i="5"/>
  <c r="BK97" i="5"/>
  <c r="BL97" i="5"/>
  <c r="O98" i="5"/>
  <c r="P98" i="5"/>
  <c r="Q98" i="5"/>
  <c r="R98" i="5"/>
  <c r="S98" i="5"/>
  <c r="T98" i="5"/>
  <c r="U98" i="5"/>
  <c r="V98" i="5"/>
  <c r="W98" i="5"/>
  <c r="X98" i="5"/>
  <c r="Y98" i="5"/>
  <c r="Z98" i="5"/>
  <c r="AA98" i="5"/>
  <c r="AB98" i="5"/>
  <c r="AC98" i="5"/>
  <c r="AD98" i="5"/>
  <c r="AE98" i="5"/>
  <c r="AF98" i="5"/>
  <c r="AG98" i="5"/>
  <c r="AH98" i="5"/>
  <c r="AI98" i="5"/>
  <c r="AJ98" i="5"/>
  <c r="AK98" i="5"/>
  <c r="AL98" i="5"/>
  <c r="AM98" i="5"/>
  <c r="AN98" i="5"/>
  <c r="AO98" i="5"/>
  <c r="AP98" i="5"/>
  <c r="AQ98" i="5"/>
  <c r="AR98" i="5"/>
  <c r="AS98" i="5"/>
  <c r="AT98" i="5"/>
  <c r="AU98" i="5"/>
  <c r="AV98" i="5"/>
  <c r="AW98" i="5"/>
  <c r="AX98" i="5"/>
  <c r="AY98" i="5"/>
  <c r="AZ98" i="5"/>
  <c r="BA98" i="5"/>
  <c r="BB98" i="5"/>
  <c r="BC98" i="5"/>
  <c r="BD98" i="5"/>
  <c r="BE98" i="5"/>
  <c r="BF98" i="5"/>
  <c r="BG98" i="5"/>
  <c r="BH98" i="5"/>
  <c r="BI98" i="5"/>
  <c r="BJ98" i="5"/>
  <c r="BK98" i="5"/>
  <c r="BL98" i="5"/>
  <c r="O99" i="5"/>
  <c r="P99" i="5"/>
  <c r="Q99" i="5"/>
  <c r="R99" i="5"/>
  <c r="S99" i="5"/>
  <c r="T99" i="5"/>
  <c r="U99" i="5"/>
  <c r="V99" i="5"/>
  <c r="W99" i="5"/>
  <c r="X99" i="5"/>
  <c r="Y99" i="5"/>
  <c r="Z99" i="5"/>
  <c r="AA99" i="5"/>
  <c r="AB99" i="5"/>
  <c r="AC99" i="5"/>
  <c r="AD99" i="5"/>
  <c r="AE99" i="5"/>
  <c r="AF99" i="5"/>
  <c r="AG99" i="5"/>
  <c r="AH99" i="5"/>
  <c r="AI99" i="5"/>
  <c r="AJ99" i="5"/>
  <c r="AK99" i="5"/>
  <c r="AL99" i="5"/>
  <c r="AM99" i="5"/>
  <c r="AN99" i="5"/>
  <c r="AO99" i="5"/>
  <c r="AP99" i="5"/>
  <c r="AQ99" i="5"/>
  <c r="AR99" i="5"/>
  <c r="AS99" i="5"/>
  <c r="AT99" i="5"/>
  <c r="AU99" i="5"/>
  <c r="AV99" i="5"/>
  <c r="AW99" i="5"/>
  <c r="AX99" i="5"/>
  <c r="AY99" i="5"/>
  <c r="AZ99" i="5"/>
  <c r="BA99" i="5"/>
  <c r="BB99" i="5"/>
  <c r="BC99" i="5"/>
  <c r="BD99" i="5"/>
  <c r="BE99" i="5"/>
  <c r="BF99" i="5"/>
  <c r="BG99" i="5"/>
  <c r="BH99" i="5"/>
  <c r="BI99" i="5"/>
  <c r="BJ99" i="5"/>
  <c r="BK99" i="5"/>
  <c r="BL99" i="5"/>
  <c r="O100" i="5"/>
  <c r="P100" i="5"/>
  <c r="Q100" i="5"/>
  <c r="R100" i="5"/>
  <c r="S100" i="5"/>
  <c r="T100" i="5"/>
  <c r="U100" i="5"/>
  <c r="V100" i="5"/>
  <c r="W100" i="5"/>
  <c r="X100" i="5"/>
  <c r="Y100" i="5"/>
  <c r="Z100" i="5"/>
  <c r="AA100" i="5"/>
  <c r="AB100" i="5"/>
  <c r="AC100" i="5"/>
  <c r="AD100" i="5"/>
  <c r="AE100" i="5"/>
  <c r="AF100" i="5"/>
  <c r="AG100" i="5"/>
  <c r="AH100" i="5"/>
  <c r="AI100" i="5"/>
  <c r="AJ100" i="5"/>
  <c r="AK100" i="5"/>
  <c r="AL100" i="5"/>
  <c r="AM100" i="5"/>
  <c r="AN100" i="5"/>
  <c r="AO100" i="5"/>
  <c r="AP100" i="5"/>
  <c r="AQ100" i="5"/>
  <c r="AR100" i="5"/>
  <c r="AS100" i="5"/>
  <c r="AT100" i="5"/>
  <c r="AU100" i="5"/>
  <c r="AV100" i="5"/>
  <c r="AW100" i="5"/>
  <c r="AX100" i="5"/>
  <c r="AY100" i="5"/>
  <c r="AZ100" i="5"/>
  <c r="BA100" i="5"/>
  <c r="BB100" i="5"/>
  <c r="BC100" i="5"/>
  <c r="BD100" i="5"/>
  <c r="BE100" i="5"/>
  <c r="BF100" i="5"/>
  <c r="BG100" i="5"/>
  <c r="BH100" i="5"/>
  <c r="BI100" i="5"/>
  <c r="BJ100" i="5"/>
  <c r="BK100" i="5"/>
  <c r="BL100" i="5"/>
  <c r="O101" i="5"/>
  <c r="P101" i="5"/>
  <c r="Q101" i="5"/>
  <c r="R101" i="5"/>
  <c r="S101" i="5"/>
  <c r="T101" i="5"/>
  <c r="U101" i="5"/>
  <c r="V101" i="5"/>
  <c r="W101" i="5"/>
  <c r="X101" i="5"/>
  <c r="Y101" i="5"/>
  <c r="Z101" i="5"/>
  <c r="AA101" i="5"/>
  <c r="AB101" i="5"/>
  <c r="AC101" i="5"/>
  <c r="AD101" i="5"/>
  <c r="AE101" i="5"/>
  <c r="AF101" i="5"/>
  <c r="AG101" i="5"/>
  <c r="AH101" i="5"/>
  <c r="AI101" i="5"/>
  <c r="AJ101" i="5"/>
  <c r="AK101" i="5"/>
  <c r="AL101" i="5"/>
  <c r="AM101" i="5"/>
  <c r="AN101" i="5"/>
  <c r="AO101" i="5"/>
  <c r="AP101" i="5"/>
  <c r="AQ101" i="5"/>
  <c r="AR101" i="5"/>
  <c r="AS101" i="5"/>
  <c r="AT101" i="5"/>
  <c r="AU101" i="5"/>
  <c r="AV101" i="5"/>
  <c r="AW101" i="5"/>
  <c r="AX101" i="5"/>
  <c r="AY101" i="5"/>
  <c r="AZ101" i="5"/>
  <c r="BA101" i="5"/>
  <c r="BB101" i="5"/>
  <c r="BC101" i="5"/>
  <c r="BD101" i="5"/>
  <c r="BE101" i="5"/>
  <c r="BF101" i="5"/>
  <c r="BG101" i="5"/>
  <c r="BH101" i="5"/>
  <c r="BI101" i="5"/>
  <c r="BJ101" i="5"/>
  <c r="BK101" i="5"/>
  <c r="BL101" i="5"/>
  <c r="O102" i="5"/>
  <c r="P102" i="5"/>
  <c r="Q102" i="5"/>
  <c r="R102" i="5"/>
  <c r="S102" i="5"/>
  <c r="T102" i="5"/>
  <c r="U102" i="5"/>
  <c r="V102" i="5"/>
  <c r="W102" i="5"/>
  <c r="X102" i="5"/>
  <c r="Y102" i="5"/>
  <c r="Z102" i="5"/>
  <c r="AA102" i="5"/>
  <c r="AB102" i="5"/>
  <c r="AC102" i="5"/>
  <c r="AD102" i="5"/>
  <c r="AE102" i="5"/>
  <c r="AF102" i="5"/>
  <c r="AG102" i="5"/>
  <c r="AH102" i="5"/>
  <c r="AI102" i="5"/>
  <c r="AJ102" i="5"/>
  <c r="AK102" i="5"/>
  <c r="AL102" i="5"/>
  <c r="AM102" i="5"/>
  <c r="AN102" i="5"/>
  <c r="AO102" i="5"/>
  <c r="AP102" i="5"/>
  <c r="AQ102" i="5"/>
  <c r="AR102" i="5"/>
  <c r="AS102" i="5"/>
  <c r="AT102" i="5"/>
  <c r="AU102" i="5"/>
  <c r="AV102" i="5"/>
  <c r="AW102" i="5"/>
  <c r="AX102" i="5"/>
  <c r="AY102" i="5"/>
  <c r="AZ102" i="5"/>
  <c r="BA102" i="5"/>
  <c r="BB102" i="5"/>
  <c r="BC102" i="5"/>
  <c r="BD102" i="5"/>
  <c r="BE102" i="5"/>
  <c r="BF102" i="5"/>
  <c r="BG102" i="5"/>
  <c r="BH102" i="5"/>
  <c r="BI102" i="5"/>
  <c r="BJ102" i="5"/>
  <c r="BK102" i="5"/>
  <c r="BL102" i="5"/>
  <c r="O103" i="5"/>
  <c r="P103" i="5"/>
  <c r="Q103" i="5"/>
  <c r="R103" i="5"/>
  <c r="S103" i="5"/>
  <c r="T103" i="5"/>
  <c r="U103" i="5"/>
  <c r="V103" i="5"/>
  <c r="W103" i="5"/>
  <c r="X103" i="5"/>
  <c r="Y103" i="5"/>
  <c r="Z103" i="5"/>
  <c r="AA103" i="5"/>
  <c r="AB103" i="5"/>
  <c r="AC103" i="5"/>
  <c r="AD103" i="5"/>
  <c r="AE103" i="5"/>
  <c r="AF103" i="5"/>
  <c r="AG103" i="5"/>
  <c r="AH103" i="5"/>
  <c r="AI103" i="5"/>
  <c r="AJ103" i="5"/>
  <c r="AK103" i="5"/>
  <c r="AL103" i="5"/>
  <c r="AM103" i="5"/>
  <c r="AN103" i="5"/>
  <c r="AO103" i="5"/>
  <c r="AP103" i="5"/>
  <c r="AQ103" i="5"/>
  <c r="AR103" i="5"/>
  <c r="AS103" i="5"/>
  <c r="AT103" i="5"/>
  <c r="AU103" i="5"/>
  <c r="AV103" i="5"/>
  <c r="AW103" i="5"/>
  <c r="AX103" i="5"/>
  <c r="AY103" i="5"/>
  <c r="AZ103" i="5"/>
  <c r="BA103" i="5"/>
  <c r="BB103" i="5"/>
  <c r="BC103" i="5"/>
  <c r="BD103" i="5"/>
  <c r="BE103" i="5"/>
  <c r="BF103" i="5"/>
  <c r="BG103" i="5"/>
  <c r="BH103" i="5"/>
  <c r="BI103" i="5"/>
  <c r="BJ103" i="5"/>
  <c r="BK103" i="5"/>
  <c r="BL103" i="5"/>
  <c r="O104" i="5"/>
  <c r="P104" i="5"/>
  <c r="Q104" i="5"/>
  <c r="R104" i="5"/>
  <c r="S104" i="5"/>
  <c r="T104" i="5"/>
  <c r="U104" i="5"/>
  <c r="V104" i="5"/>
  <c r="W104" i="5"/>
  <c r="X104" i="5"/>
  <c r="Y104" i="5"/>
  <c r="Z104" i="5"/>
  <c r="AA104" i="5"/>
  <c r="AB104" i="5"/>
  <c r="AC104" i="5"/>
  <c r="AD104" i="5"/>
  <c r="AE104" i="5"/>
  <c r="AF104" i="5"/>
  <c r="AG104" i="5"/>
  <c r="AH104" i="5"/>
  <c r="AI104" i="5"/>
  <c r="AJ104" i="5"/>
  <c r="AK104" i="5"/>
  <c r="AL104" i="5"/>
  <c r="AM104" i="5"/>
  <c r="AN104" i="5"/>
  <c r="AO104" i="5"/>
  <c r="AP104" i="5"/>
  <c r="AQ104" i="5"/>
  <c r="AR104" i="5"/>
  <c r="AS104" i="5"/>
  <c r="AT104" i="5"/>
  <c r="AU104" i="5"/>
  <c r="AV104" i="5"/>
  <c r="AW104" i="5"/>
  <c r="AX104" i="5"/>
  <c r="AY104" i="5"/>
  <c r="AZ104" i="5"/>
  <c r="BA104" i="5"/>
  <c r="BB104" i="5"/>
  <c r="BC104" i="5"/>
  <c r="BD104" i="5"/>
  <c r="BE104" i="5"/>
  <c r="BF104" i="5"/>
  <c r="BG104" i="5"/>
  <c r="BH104" i="5"/>
  <c r="BI104" i="5"/>
  <c r="BJ104" i="5"/>
  <c r="BK104" i="5"/>
  <c r="BL104" i="5"/>
  <c r="O105" i="5"/>
  <c r="P105" i="5"/>
  <c r="Q105" i="5"/>
  <c r="R105" i="5"/>
  <c r="S105" i="5"/>
  <c r="T105" i="5"/>
  <c r="U105" i="5"/>
  <c r="V105" i="5"/>
  <c r="W105" i="5"/>
  <c r="X105" i="5"/>
  <c r="Y105" i="5"/>
  <c r="Z105" i="5"/>
  <c r="AA105" i="5"/>
  <c r="AB105" i="5"/>
  <c r="AC105" i="5"/>
  <c r="AD105" i="5"/>
  <c r="AE105" i="5"/>
  <c r="AF105" i="5"/>
  <c r="AG105" i="5"/>
  <c r="AH105" i="5"/>
  <c r="AI105" i="5"/>
  <c r="AJ105" i="5"/>
  <c r="AK105" i="5"/>
  <c r="AL105" i="5"/>
  <c r="AM105" i="5"/>
  <c r="AN105" i="5"/>
  <c r="AO105" i="5"/>
  <c r="AP105" i="5"/>
  <c r="AQ105" i="5"/>
  <c r="AR105" i="5"/>
  <c r="AS105" i="5"/>
  <c r="AT105" i="5"/>
  <c r="AU105" i="5"/>
  <c r="AV105" i="5"/>
  <c r="AW105" i="5"/>
  <c r="AX105" i="5"/>
  <c r="AY105" i="5"/>
  <c r="AZ105" i="5"/>
  <c r="BA105" i="5"/>
  <c r="BB105" i="5"/>
  <c r="BC105" i="5"/>
  <c r="BD105" i="5"/>
  <c r="BE105" i="5"/>
  <c r="BF105" i="5"/>
  <c r="BG105" i="5"/>
  <c r="BH105" i="5"/>
  <c r="BI105" i="5"/>
  <c r="BJ105" i="5"/>
  <c r="BK105" i="5"/>
  <c r="BL105" i="5"/>
  <c r="O106" i="5"/>
  <c r="P106" i="5"/>
  <c r="Q106" i="5"/>
  <c r="R106" i="5"/>
  <c r="S106" i="5"/>
  <c r="T106" i="5"/>
  <c r="U106" i="5"/>
  <c r="V106" i="5"/>
  <c r="W106" i="5"/>
  <c r="X106" i="5"/>
  <c r="Y106" i="5"/>
  <c r="Z106" i="5"/>
  <c r="AA106" i="5"/>
  <c r="AB106" i="5"/>
  <c r="AC106" i="5"/>
  <c r="AD106" i="5"/>
  <c r="AE106" i="5"/>
  <c r="AF106" i="5"/>
  <c r="AG106" i="5"/>
  <c r="AH106" i="5"/>
  <c r="AI106" i="5"/>
  <c r="AJ106" i="5"/>
  <c r="AK106" i="5"/>
  <c r="AL106" i="5"/>
  <c r="AM106" i="5"/>
  <c r="AN106" i="5"/>
  <c r="AO106" i="5"/>
  <c r="AP106" i="5"/>
  <c r="AQ106" i="5"/>
  <c r="AR106" i="5"/>
  <c r="AS106" i="5"/>
  <c r="AT106" i="5"/>
  <c r="AU106" i="5"/>
  <c r="AV106" i="5"/>
  <c r="AW106" i="5"/>
  <c r="AX106" i="5"/>
  <c r="AY106" i="5"/>
  <c r="AZ106" i="5"/>
  <c r="BA106" i="5"/>
  <c r="BB106" i="5"/>
  <c r="BC106" i="5"/>
  <c r="BD106" i="5"/>
  <c r="BE106" i="5"/>
  <c r="BF106" i="5"/>
  <c r="BG106" i="5"/>
  <c r="BH106" i="5"/>
  <c r="BI106" i="5"/>
  <c r="BJ106" i="5"/>
  <c r="BK106" i="5"/>
  <c r="BL106" i="5"/>
  <c r="O107" i="5"/>
  <c r="P107" i="5"/>
  <c r="Q107" i="5"/>
  <c r="R107" i="5"/>
  <c r="S107" i="5"/>
  <c r="T107" i="5"/>
  <c r="U107" i="5"/>
  <c r="V107" i="5"/>
  <c r="W107" i="5"/>
  <c r="X107" i="5"/>
  <c r="Y107" i="5"/>
  <c r="Z107" i="5"/>
  <c r="AA107" i="5"/>
  <c r="AB107" i="5"/>
  <c r="AC107" i="5"/>
  <c r="AD107" i="5"/>
  <c r="AE107" i="5"/>
  <c r="AF107" i="5"/>
  <c r="AG107" i="5"/>
  <c r="AH107" i="5"/>
  <c r="AI107" i="5"/>
  <c r="AJ107" i="5"/>
  <c r="AK107" i="5"/>
  <c r="AL107" i="5"/>
  <c r="AM107" i="5"/>
  <c r="AN107" i="5"/>
  <c r="AO107" i="5"/>
  <c r="AP107" i="5"/>
  <c r="AQ107" i="5"/>
  <c r="AR107" i="5"/>
  <c r="AS107" i="5"/>
  <c r="AT107" i="5"/>
  <c r="AU107" i="5"/>
  <c r="AV107" i="5"/>
  <c r="AW107" i="5"/>
  <c r="AX107" i="5"/>
  <c r="AY107" i="5"/>
  <c r="AZ107" i="5"/>
  <c r="BA107" i="5"/>
  <c r="BB107" i="5"/>
  <c r="BC107" i="5"/>
  <c r="BD107" i="5"/>
  <c r="BE107" i="5"/>
  <c r="BF107" i="5"/>
  <c r="BG107" i="5"/>
  <c r="BH107" i="5"/>
  <c r="BI107" i="5"/>
  <c r="BJ107" i="5"/>
  <c r="BK107" i="5"/>
  <c r="BL107" i="5"/>
  <c r="O108" i="5"/>
  <c r="P108" i="5"/>
  <c r="Q108" i="5"/>
  <c r="R108" i="5"/>
  <c r="S108" i="5"/>
  <c r="T108" i="5"/>
  <c r="U108" i="5"/>
  <c r="V108" i="5"/>
  <c r="W108" i="5"/>
  <c r="X108" i="5"/>
  <c r="Y108" i="5"/>
  <c r="Z108" i="5"/>
  <c r="AA108" i="5"/>
  <c r="AB108" i="5"/>
  <c r="AC108" i="5"/>
  <c r="AD108" i="5"/>
  <c r="AE108" i="5"/>
  <c r="AF108" i="5"/>
  <c r="AG108" i="5"/>
  <c r="AH108" i="5"/>
  <c r="AI108" i="5"/>
  <c r="AJ108" i="5"/>
  <c r="AK108" i="5"/>
  <c r="AL108" i="5"/>
  <c r="AM108" i="5"/>
  <c r="AN108" i="5"/>
  <c r="AO108" i="5"/>
  <c r="AP108" i="5"/>
  <c r="AQ108" i="5"/>
  <c r="AR108" i="5"/>
  <c r="AS108" i="5"/>
  <c r="AT108" i="5"/>
  <c r="AU108" i="5"/>
  <c r="AV108" i="5"/>
  <c r="AW108" i="5"/>
  <c r="AX108" i="5"/>
  <c r="AY108" i="5"/>
  <c r="AZ108" i="5"/>
  <c r="BA108" i="5"/>
  <c r="BB108" i="5"/>
  <c r="BC108" i="5"/>
  <c r="BD108" i="5"/>
  <c r="BE108" i="5"/>
  <c r="BF108" i="5"/>
  <c r="BG108" i="5"/>
  <c r="BH108" i="5"/>
  <c r="BI108" i="5"/>
  <c r="BJ108" i="5"/>
  <c r="BK108" i="5"/>
  <c r="BL108" i="5"/>
  <c r="O109" i="5"/>
  <c r="P109" i="5"/>
  <c r="Q109" i="5"/>
  <c r="R109" i="5"/>
  <c r="S109" i="5"/>
  <c r="T109" i="5"/>
  <c r="U109" i="5"/>
  <c r="V109" i="5"/>
  <c r="W109" i="5"/>
  <c r="X109" i="5"/>
  <c r="Y109" i="5"/>
  <c r="Z109" i="5"/>
  <c r="AA109" i="5"/>
  <c r="AB109" i="5"/>
  <c r="AC109" i="5"/>
  <c r="AD109" i="5"/>
  <c r="AE109" i="5"/>
  <c r="AF109" i="5"/>
  <c r="AG109" i="5"/>
  <c r="AH109" i="5"/>
  <c r="AI109" i="5"/>
  <c r="AJ109" i="5"/>
  <c r="AK109" i="5"/>
  <c r="AL109" i="5"/>
  <c r="AM109" i="5"/>
  <c r="AN109" i="5"/>
  <c r="AO109" i="5"/>
  <c r="AP109" i="5"/>
  <c r="AQ109" i="5"/>
  <c r="AR109" i="5"/>
  <c r="AS109" i="5"/>
  <c r="AT109" i="5"/>
  <c r="AU109" i="5"/>
  <c r="AV109" i="5"/>
  <c r="AW109" i="5"/>
  <c r="AX109" i="5"/>
  <c r="AY109" i="5"/>
  <c r="AZ109" i="5"/>
  <c r="BA109" i="5"/>
  <c r="BB109" i="5"/>
  <c r="BC109" i="5"/>
  <c r="BD109" i="5"/>
  <c r="BE109" i="5"/>
  <c r="BF109" i="5"/>
  <c r="BG109" i="5"/>
  <c r="BH109" i="5"/>
  <c r="BI109" i="5"/>
  <c r="BJ109" i="5"/>
  <c r="BK109" i="5"/>
  <c r="BL109" i="5"/>
  <c r="O110" i="5"/>
  <c r="P110" i="5"/>
  <c r="Q110" i="5"/>
  <c r="R110" i="5"/>
  <c r="S110" i="5"/>
  <c r="T110" i="5"/>
  <c r="U110" i="5"/>
  <c r="V110" i="5"/>
  <c r="W110" i="5"/>
  <c r="X110" i="5"/>
  <c r="Y110" i="5"/>
  <c r="Z110" i="5"/>
  <c r="AA110" i="5"/>
  <c r="AB110" i="5"/>
  <c r="AC110" i="5"/>
  <c r="AD110" i="5"/>
  <c r="AE110" i="5"/>
  <c r="AF110" i="5"/>
  <c r="AG110" i="5"/>
  <c r="AH110" i="5"/>
  <c r="AI110" i="5"/>
  <c r="AJ110" i="5"/>
  <c r="AK110" i="5"/>
  <c r="AL110" i="5"/>
  <c r="AM110" i="5"/>
  <c r="AN110" i="5"/>
  <c r="AO110" i="5"/>
  <c r="AP110" i="5"/>
  <c r="AQ110" i="5"/>
  <c r="AR110" i="5"/>
  <c r="AS110" i="5"/>
  <c r="AT110" i="5"/>
  <c r="AU110" i="5"/>
  <c r="AV110" i="5"/>
  <c r="AW110" i="5"/>
  <c r="AX110" i="5"/>
  <c r="AY110" i="5"/>
  <c r="AZ110" i="5"/>
  <c r="BA110" i="5"/>
  <c r="BB110" i="5"/>
  <c r="BC110" i="5"/>
  <c r="BD110" i="5"/>
  <c r="BE110" i="5"/>
  <c r="BF110" i="5"/>
  <c r="BG110" i="5"/>
  <c r="BH110" i="5"/>
  <c r="BI110" i="5"/>
  <c r="BJ110" i="5"/>
  <c r="BK110" i="5"/>
  <c r="BL110" i="5"/>
  <c r="O111" i="5"/>
  <c r="P111" i="5"/>
  <c r="Q111" i="5"/>
  <c r="R111" i="5"/>
  <c r="S111" i="5"/>
  <c r="T111" i="5"/>
  <c r="U111" i="5"/>
  <c r="V111" i="5"/>
  <c r="W111" i="5"/>
  <c r="X111" i="5"/>
  <c r="Y111" i="5"/>
  <c r="Z111" i="5"/>
  <c r="AA111" i="5"/>
  <c r="AB111" i="5"/>
  <c r="AC111" i="5"/>
  <c r="AD111" i="5"/>
  <c r="AE111" i="5"/>
  <c r="AF111" i="5"/>
  <c r="AG111" i="5"/>
  <c r="AH111" i="5"/>
  <c r="AI111" i="5"/>
  <c r="AJ111" i="5"/>
  <c r="AK111" i="5"/>
  <c r="AL111" i="5"/>
  <c r="AM111" i="5"/>
  <c r="AN111" i="5"/>
  <c r="AO111" i="5"/>
  <c r="AP111" i="5"/>
  <c r="AQ111" i="5"/>
  <c r="AR111" i="5"/>
  <c r="AS111" i="5"/>
  <c r="AT111" i="5"/>
  <c r="AU111" i="5"/>
  <c r="AV111" i="5"/>
  <c r="AW111" i="5"/>
  <c r="AX111" i="5"/>
  <c r="AY111" i="5"/>
  <c r="AZ111" i="5"/>
  <c r="BA111" i="5"/>
  <c r="BB111" i="5"/>
  <c r="BC111" i="5"/>
  <c r="BD111" i="5"/>
  <c r="BE111" i="5"/>
  <c r="BF111" i="5"/>
  <c r="BG111" i="5"/>
  <c r="BH111" i="5"/>
  <c r="BI111" i="5"/>
  <c r="BJ111" i="5"/>
  <c r="BK111" i="5"/>
  <c r="BL111" i="5"/>
  <c r="O112" i="5"/>
  <c r="P112" i="5"/>
  <c r="Q112" i="5"/>
  <c r="R112" i="5"/>
  <c r="S112" i="5"/>
  <c r="T112" i="5"/>
  <c r="U112" i="5"/>
  <c r="V112" i="5"/>
  <c r="W112" i="5"/>
  <c r="X112" i="5"/>
  <c r="Y112" i="5"/>
  <c r="Z112" i="5"/>
  <c r="AA112" i="5"/>
  <c r="AB112" i="5"/>
  <c r="AC112" i="5"/>
  <c r="AD112" i="5"/>
  <c r="AE112" i="5"/>
  <c r="AF112" i="5"/>
  <c r="AG112" i="5"/>
  <c r="AH112" i="5"/>
  <c r="AI112" i="5"/>
  <c r="AJ112" i="5"/>
  <c r="AK112" i="5"/>
  <c r="AL112" i="5"/>
  <c r="AM112" i="5"/>
  <c r="AN112" i="5"/>
  <c r="AO112" i="5"/>
  <c r="AP112" i="5"/>
  <c r="AQ112" i="5"/>
  <c r="AR112" i="5"/>
  <c r="AS112" i="5"/>
  <c r="AT112" i="5"/>
  <c r="AU112" i="5"/>
  <c r="AV112" i="5"/>
  <c r="AW112" i="5"/>
  <c r="AX112" i="5"/>
  <c r="AY112" i="5"/>
  <c r="AZ112" i="5"/>
  <c r="BA112" i="5"/>
  <c r="BB112" i="5"/>
  <c r="BC112" i="5"/>
  <c r="BD112" i="5"/>
  <c r="BE112" i="5"/>
  <c r="BF112" i="5"/>
  <c r="BG112" i="5"/>
  <c r="BH112" i="5"/>
  <c r="BI112" i="5"/>
  <c r="BJ112" i="5"/>
  <c r="BK112" i="5"/>
  <c r="BL112" i="5"/>
  <c r="O113" i="5"/>
  <c r="P113" i="5"/>
  <c r="Q113" i="5"/>
  <c r="R113" i="5"/>
  <c r="S113" i="5"/>
  <c r="T113" i="5"/>
  <c r="U113" i="5"/>
  <c r="V113" i="5"/>
  <c r="W113" i="5"/>
  <c r="X113" i="5"/>
  <c r="Y113" i="5"/>
  <c r="Z113" i="5"/>
  <c r="AA113" i="5"/>
  <c r="AB113" i="5"/>
  <c r="AC113" i="5"/>
  <c r="AD113" i="5"/>
  <c r="AE113" i="5"/>
  <c r="AF113" i="5"/>
  <c r="AG113" i="5"/>
  <c r="AH113" i="5"/>
  <c r="AI113" i="5"/>
  <c r="AJ113" i="5"/>
  <c r="AK113" i="5"/>
  <c r="AL113" i="5"/>
  <c r="AM113" i="5"/>
  <c r="AN113" i="5"/>
  <c r="AO113" i="5"/>
  <c r="AP113" i="5"/>
  <c r="AQ113" i="5"/>
  <c r="AR113" i="5"/>
  <c r="AS113" i="5"/>
  <c r="AT113" i="5"/>
  <c r="AU113" i="5"/>
  <c r="AV113" i="5"/>
  <c r="AW113" i="5"/>
  <c r="AX113" i="5"/>
  <c r="AY113" i="5"/>
  <c r="AZ113" i="5"/>
  <c r="BA113" i="5"/>
  <c r="BB113" i="5"/>
  <c r="BC113" i="5"/>
  <c r="BD113" i="5"/>
  <c r="BE113" i="5"/>
  <c r="BF113" i="5"/>
  <c r="BG113" i="5"/>
  <c r="BH113" i="5"/>
  <c r="BI113" i="5"/>
  <c r="BJ113" i="5"/>
  <c r="BK113" i="5"/>
  <c r="BL113" i="5"/>
  <c r="O114" i="5"/>
  <c r="P114" i="5"/>
  <c r="Q114" i="5"/>
  <c r="R114" i="5"/>
  <c r="S114" i="5"/>
  <c r="T114" i="5"/>
  <c r="U114" i="5"/>
  <c r="V114" i="5"/>
  <c r="W114" i="5"/>
  <c r="X114" i="5"/>
  <c r="Y114" i="5"/>
  <c r="Z114" i="5"/>
  <c r="AA114" i="5"/>
  <c r="AB114" i="5"/>
  <c r="AC114" i="5"/>
  <c r="AD114" i="5"/>
  <c r="AE114" i="5"/>
  <c r="AF114" i="5"/>
  <c r="AG114" i="5"/>
  <c r="AH114" i="5"/>
  <c r="AI114" i="5"/>
  <c r="AJ114" i="5"/>
  <c r="AK114" i="5"/>
  <c r="AL114" i="5"/>
  <c r="AM114" i="5"/>
  <c r="AN114" i="5"/>
  <c r="AO114" i="5"/>
  <c r="AP114" i="5"/>
  <c r="AQ114" i="5"/>
  <c r="AR114" i="5"/>
  <c r="AS114" i="5"/>
  <c r="AT114" i="5"/>
  <c r="AU114" i="5"/>
  <c r="AV114" i="5"/>
  <c r="AW114" i="5"/>
  <c r="AX114" i="5"/>
  <c r="AY114" i="5"/>
  <c r="AZ114" i="5"/>
  <c r="BA114" i="5"/>
  <c r="BB114" i="5"/>
  <c r="BC114" i="5"/>
  <c r="BD114" i="5"/>
  <c r="BE114" i="5"/>
  <c r="BF114" i="5"/>
  <c r="BG114" i="5"/>
  <c r="BH114" i="5"/>
  <c r="BI114" i="5"/>
  <c r="BJ114" i="5"/>
  <c r="BK114" i="5"/>
  <c r="BL114" i="5"/>
  <c r="O115" i="5"/>
  <c r="P115" i="5"/>
  <c r="Q115" i="5"/>
  <c r="R115" i="5"/>
  <c r="S115" i="5"/>
  <c r="T115" i="5"/>
  <c r="U115" i="5"/>
  <c r="V115" i="5"/>
  <c r="W115" i="5"/>
  <c r="X115" i="5"/>
  <c r="Y115" i="5"/>
  <c r="Z115" i="5"/>
  <c r="AA115" i="5"/>
  <c r="AB115" i="5"/>
  <c r="AC115" i="5"/>
  <c r="AD115" i="5"/>
  <c r="AE115" i="5"/>
  <c r="AF115" i="5"/>
  <c r="AG115" i="5"/>
  <c r="AH115" i="5"/>
  <c r="AI115" i="5"/>
  <c r="AJ115" i="5"/>
  <c r="AK115" i="5"/>
  <c r="AL115" i="5"/>
  <c r="AM115" i="5"/>
  <c r="AN115" i="5"/>
  <c r="AO115" i="5"/>
  <c r="AP115" i="5"/>
  <c r="AQ115" i="5"/>
  <c r="AR115" i="5"/>
  <c r="AS115" i="5"/>
  <c r="AT115" i="5"/>
  <c r="AU115" i="5"/>
  <c r="AV115" i="5"/>
  <c r="AW115" i="5"/>
  <c r="AX115" i="5"/>
  <c r="AY115" i="5"/>
  <c r="AZ115" i="5"/>
  <c r="BA115" i="5"/>
  <c r="BB115" i="5"/>
  <c r="BC115" i="5"/>
  <c r="BD115" i="5"/>
  <c r="BE115" i="5"/>
  <c r="BF115" i="5"/>
  <c r="BG115" i="5"/>
  <c r="BH115" i="5"/>
  <c r="BI115" i="5"/>
  <c r="BJ115" i="5"/>
  <c r="BK115" i="5"/>
  <c r="BL115" i="5"/>
  <c r="O116" i="5"/>
  <c r="P116" i="5"/>
  <c r="Q116" i="5"/>
  <c r="R116" i="5"/>
  <c r="S116" i="5"/>
  <c r="T116" i="5"/>
  <c r="U116" i="5"/>
  <c r="V116" i="5"/>
  <c r="W116" i="5"/>
  <c r="X116" i="5"/>
  <c r="Y116" i="5"/>
  <c r="Z116" i="5"/>
  <c r="AA116" i="5"/>
  <c r="AB116" i="5"/>
  <c r="AC116" i="5"/>
  <c r="AD116" i="5"/>
  <c r="AE116" i="5"/>
  <c r="AF116" i="5"/>
  <c r="AG116" i="5"/>
  <c r="AH116" i="5"/>
  <c r="AI116" i="5"/>
  <c r="AJ116" i="5"/>
  <c r="AK116" i="5"/>
  <c r="AL116" i="5"/>
  <c r="AM116" i="5"/>
  <c r="AN116" i="5"/>
  <c r="AO116" i="5"/>
  <c r="AP116" i="5"/>
  <c r="AQ116" i="5"/>
  <c r="AR116" i="5"/>
  <c r="AS116" i="5"/>
  <c r="AT116" i="5"/>
  <c r="AU116" i="5"/>
  <c r="AV116" i="5"/>
  <c r="AW116" i="5"/>
  <c r="AX116" i="5"/>
  <c r="AY116" i="5"/>
  <c r="AZ116" i="5"/>
  <c r="BA116" i="5"/>
  <c r="BB116" i="5"/>
  <c r="BC116" i="5"/>
  <c r="BD116" i="5"/>
  <c r="BE116" i="5"/>
  <c r="BF116" i="5"/>
  <c r="BG116" i="5"/>
  <c r="BH116" i="5"/>
  <c r="BI116" i="5"/>
  <c r="BJ116" i="5"/>
  <c r="BK116" i="5"/>
  <c r="BL116" i="5"/>
  <c r="O117" i="5"/>
  <c r="P117" i="5"/>
  <c r="Q117" i="5"/>
  <c r="R117" i="5"/>
  <c r="S117" i="5"/>
  <c r="T117" i="5"/>
  <c r="U117" i="5"/>
  <c r="V117" i="5"/>
  <c r="W117" i="5"/>
  <c r="X117" i="5"/>
  <c r="Y117" i="5"/>
  <c r="Z117" i="5"/>
  <c r="AA117" i="5"/>
  <c r="AB117" i="5"/>
  <c r="AC117" i="5"/>
  <c r="AD117" i="5"/>
  <c r="AE117" i="5"/>
  <c r="AF117" i="5"/>
  <c r="AG117" i="5"/>
  <c r="AH117" i="5"/>
  <c r="AI117" i="5"/>
  <c r="AJ117" i="5"/>
  <c r="AK117" i="5"/>
  <c r="AL117" i="5"/>
  <c r="AM117" i="5"/>
  <c r="AN117" i="5"/>
  <c r="AO117" i="5"/>
  <c r="AP117" i="5"/>
  <c r="AQ117" i="5"/>
  <c r="AR117" i="5"/>
  <c r="AS117" i="5"/>
  <c r="AT117" i="5"/>
  <c r="AU117" i="5"/>
  <c r="AV117" i="5"/>
  <c r="AW117" i="5"/>
  <c r="AX117" i="5"/>
  <c r="AY117" i="5"/>
  <c r="AZ117" i="5"/>
  <c r="BA117" i="5"/>
  <c r="BB117" i="5"/>
  <c r="BC117" i="5"/>
  <c r="BD117" i="5"/>
  <c r="BE117" i="5"/>
  <c r="BF117" i="5"/>
  <c r="BG117" i="5"/>
  <c r="BH117" i="5"/>
  <c r="BI117" i="5"/>
  <c r="BJ117" i="5"/>
  <c r="BK117" i="5"/>
  <c r="BL117" i="5"/>
  <c r="O118" i="5"/>
  <c r="P118" i="5"/>
  <c r="Q118" i="5"/>
  <c r="R118" i="5"/>
  <c r="S118" i="5"/>
  <c r="T118" i="5"/>
  <c r="U118" i="5"/>
  <c r="V118" i="5"/>
  <c r="W118" i="5"/>
  <c r="X118" i="5"/>
  <c r="Y118" i="5"/>
  <c r="Z118" i="5"/>
  <c r="AA118" i="5"/>
  <c r="AB118" i="5"/>
  <c r="AC118" i="5"/>
  <c r="AD118" i="5"/>
  <c r="AE118" i="5"/>
  <c r="AF118" i="5"/>
  <c r="AG118" i="5"/>
  <c r="AH118" i="5"/>
  <c r="AI118" i="5"/>
  <c r="AJ118" i="5"/>
  <c r="AK118" i="5"/>
  <c r="AL118" i="5"/>
  <c r="AM118" i="5"/>
  <c r="AN118" i="5"/>
  <c r="AO118" i="5"/>
  <c r="AP118" i="5"/>
  <c r="AQ118" i="5"/>
  <c r="AR118" i="5"/>
  <c r="AS118" i="5"/>
  <c r="AT118" i="5"/>
  <c r="AU118" i="5"/>
  <c r="AV118" i="5"/>
  <c r="AW118" i="5"/>
  <c r="AX118" i="5"/>
  <c r="AY118" i="5"/>
  <c r="AZ118" i="5"/>
  <c r="BA118" i="5"/>
  <c r="BB118" i="5"/>
  <c r="BC118" i="5"/>
  <c r="BD118" i="5"/>
  <c r="BE118" i="5"/>
  <c r="BF118" i="5"/>
  <c r="BG118" i="5"/>
  <c r="BH118" i="5"/>
  <c r="BI118" i="5"/>
  <c r="BJ118" i="5"/>
  <c r="BK118" i="5"/>
  <c r="BL118" i="5"/>
  <c r="O119" i="5"/>
  <c r="P119" i="5"/>
  <c r="Q119" i="5"/>
  <c r="R119" i="5"/>
  <c r="S119" i="5"/>
  <c r="T119" i="5"/>
  <c r="U119" i="5"/>
  <c r="V119" i="5"/>
  <c r="W119" i="5"/>
  <c r="X119" i="5"/>
  <c r="Y119" i="5"/>
  <c r="Z119" i="5"/>
  <c r="AA119" i="5"/>
  <c r="AB119" i="5"/>
  <c r="AC119" i="5"/>
  <c r="AD119" i="5"/>
  <c r="AE119" i="5"/>
  <c r="AF119" i="5"/>
  <c r="AG119" i="5"/>
  <c r="AH119" i="5"/>
  <c r="AI119" i="5"/>
  <c r="AJ119" i="5"/>
  <c r="AK119" i="5"/>
  <c r="AL119" i="5"/>
  <c r="AM119" i="5"/>
  <c r="AN119" i="5"/>
  <c r="AO119" i="5"/>
  <c r="AP119" i="5"/>
  <c r="AQ119" i="5"/>
  <c r="AR119" i="5"/>
  <c r="AS119" i="5"/>
  <c r="AT119" i="5"/>
  <c r="AU119" i="5"/>
  <c r="AV119" i="5"/>
  <c r="AW119" i="5"/>
  <c r="AX119" i="5"/>
  <c r="AY119" i="5"/>
  <c r="AZ119" i="5"/>
  <c r="BA119" i="5"/>
  <c r="BB119" i="5"/>
  <c r="BC119" i="5"/>
  <c r="BD119" i="5"/>
  <c r="BE119" i="5"/>
  <c r="BF119" i="5"/>
  <c r="BG119" i="5"/>
  <c r="BH119" i="5"/>
  <c r="BI119" i="5"/>
  <c r="BJ119" i="5"/>
  <c r="BK119" i="5"/>
  <c r="BL119" i="5"/>
  <c r="O120" i="5"/>
  <c r="P120" i="5"/>
  <c r="Q120" i="5"/>
  <c r="R120" i="5"/>
  <c r="S120" i="5"/>
  <c r="T120" i="5"/>
  <c r="U120" i="5"/>
  <c r="V120" i="5"/>
  <c r="W120" i="5"/>
  <c r="X120" i="5"/>
  <c r="Y120" i="5"/>
  <c r="Z120" i="5"/>
  <c r="AA120" i="5"/>
  <c r="AB120" i="5"/>
  <c r="AC120" i="5"/>
  <c r="AD120" i="5"/>
  <c r="AE120" i="5"/>
  <c r="AF120" i="5"/>
  <c r="AG120" i="5"/>
  <c r="AH120" i="5"/>
  <c r="AI120" i="5"/>
  <c r="AJ120" i="5"/>
  <c r="AK120" i="5"/>
  <c r="AL120" i="5"/>
  <c r="AM120" i="5"/>
  <c r="AN120" i="5"/>
  <c r="AO120" i="5"/>
  <c r="AP120" i="5"/>
  <c r="AQ120" i="5"/>
  <c r="AR120" i="5"/>
  <c r="AS120" i="5"/>
  <c r="AT120" i="5"/>
  <c r="AU120" i="5"/>
  <c r="AV120" i="5"/>
  <c r="AW120" i="5"/>
  <c r="AX120" i="5"/>
  <c r="AY120" i="5"/>
  <c r="AZ120" i="5"/>
  <c r="BA120" i="5"/>
  <c r="BB120" i="5"/>
  <c r="BC120" i="5"/>
  <c r="BD120" i="5"/>
  <c r="BE120" i="5"/>
  <c r="BF120" i="5"/>
  <c r="BG120" i="5"/>
  <c r="BH120" i="5"/>
  <c r="BI120" i="5"/>
  <c r="BJ120" i="5"/>
  <c r="BK120" i="5"/>
  <c r="BL120" i="5"/>
  <c r="O121" i="5"/>
  <c r="P121" i="5"/>
  <c r="Q121" i="5"/>
  <c r="R121" i="5"/>
  <c r="S121" i="5"/>
  <c r="T121" i="5"/>
  <c r="U121" i="5"/>
  <c r="V121" i="5"/>
  <c r="W121" i="5"/>
  <c r="X121" i="5"/>
  <c r="Y121" i="5"/>
  <c r="Z121" i="5"/>
  <c r="AA121" i="5"/>
  <c r="AB121" i="5"/>
  <c r="AC121" i="5"/>
  <c r="AD121" i="5"/>
  <c r="AE121" i="5"/>
  <c r="AF121" i="5"/>
  <c r="AG121" i="5"/>
  <c r="AH121" i="5"/>
  <c r="AI121" i="5"/>
  <c r="AJ121" i="5"/>
  <c r="AK121" i="5"/>
  <c r="AL121" i="5"/>
  <c r="AM121" i="5"/>
  <c r="AN121" i="5"/>
  <c r="AO121" i="5"/>
  <c r="AP121" i="5"/>
  <c r="AQ121" i="5"/>
  <c r="AR121" i="5"/>
  <c r="AS121" i="5"/>
  <c r="AT121" i="5"/>
  <c r="AU121" i="5"/>
  <c r="AV121" i="5"/>
  <c r="AW121" i="5"/>
  <c r="AX121" i="5"/>
  <c r="AY121" i="5"/>
  <c r="AZ121" i="5"/>
  <c r="BA121" i="5"/>
  <c r="BB121" i="5"/>
  <c r="BC121" i="5"/>
  <c r="BD121" i="5"/>
  <c r="BE121" i="5"/>
  <c r="BF121" i="5"/>
  <c r="BG121" i="5"/>
  <c r="BH121" i="5"/>
  <c r="BI121" i="5"/>
  <c r="BJ121" i="5"/>
  <c r="BK121" i="5"/>
  <c r="BL121" i="5"/>
  <c r="O122" i="5"/>
  <c r="P122" i="5"/>
  <c r="Q122" i="5"/>
  <c r="R122" i="5"/>
  <c r="S122" i="5"/>
  <c r="T122" i="5"/>
  <c r="U122" i="5"/>
  <c r="V122" i="5"/>
  <c r="W122" i="5"/>
  <c r="X122" i="5"/>
  <c r="Y122" i="5"/>
  <c r="Z122" i="5"/>
  <c r="AA122" i="5"/>
  <c r="AB122" i="5"/>
  <c r="AC122" i="5"/>
  <c r="AD122" i="5"/>
  <c r="AE122" i="5"/>
  <c r="AF122" i="5"/>
  <c r="AG122" i="5"/>
  <c r="AH122" i="5"/>
  <c r="AI122" i="5"/>
  <c r="AJ122" i="5"/>
  <c r="AK122" i="5"/>
  <c r="AL122" i="5"/>
  <c r="AM122" i="5"/>
  <c r="AN122" i="5"/>
  <c r="AO122" i="5"/>
  <c r="AP122" i="5"/>
  <c r="AQ122" i="5"/>
  <c r="AR122" i="5"/>
  <c r="AS122" i="5"/>
  <c r="AT122" i="5"/>
  <c r="AU122" i="5"/>
  <c r="AV122" i="5"/>
  <c r="AW122" i="5"/>
  <c r="AX122" i="5"/>
  <c r="AY122" i="5"/>
  <c r="AZ122" i="5"/>
  <c r="BA122" i="5"/>
  <c r="BB122" i="5"/>
  <c r="BC122" i="5"/>
  <c r="BD122" i="5"/>
  <c r="BE122" i="5"/>
  <c r="BF122" i="5"/>
  <c r="BG122" i="5"/>
  <c r="BH122" i="5"/>
  <c r="BI122" i="5"/>
  <c r="BJ122" i="5"/>
  <c r="BK122" i="5"/>
  <c r="BL122" i="5"/>
  <c r="O123" i="5"/>
  <c r="P123" i="5"/>
  <c r="Q123" i="5"/>
  <c r="R123" i="5"/>
  <c r="S123" i="5"/>
  <c r="T123" i="5"/>
  <c r="U123" i="5"/>
  <c r="V123" i="5"/>
  <c r="W123" i="5"/>
  <c r="X123" i="5"/>
  <c r="Y123" i="5"/>
  <c r="Z123" i="5"/>
  <c r="AA123" i="5"/>
  <c r="AB123" i="5"/>
  <c r="AC123" i="5"/>
  <c r="AD123" i="5"/>
  <c r="AE123" i="5"/>
  <c r="AF123" i="5"/>
  <c r="AG123" i="5"/>
  <c r="AH123" i="5"/>
  <c r="AI123" i="5"/>
  <c r="AJ123" i="5"/>
  <c r="AK123" i="5"/>
  <c r="AL123" i="5"/>
  <c r="AM123" i="5"/>
  <c r="AN123" i="5"/>
  <c r="AO123" i="5"/>
  <c r="AP123" i="5"/>
  <c r="AQ123" i="5"/>
  <c r="AR123" i="5"/>
  <c r="AS123" i="5"/>
  <c r="AT123" i="5"/>
  <c r="AU123" i="5"/>
  <c r="AV123" i="5"/>
  <c r="AW123" i="5"/>
  <c r="AX123" i="5"/>
  <c r="AY123" i="5"/>
  <c r="AZ123" i="5"/>
  <c r="BA123" i="5"/>
  <c r="BB123" i="5"/>
  <c r="BC123" i="5"/>
  <c r="BD123" i="5"/>
  <c r="BE123" i="5"/>
  <c r="BF123" i="5"/>
  <c r="BG123" i="5"/>
  <c r="BH123" i="5"/>
  <c r="BI123" i="5"/>
  <c r="BJ123" i="5"/>
  <c r="BK123" i="5"/>
  <c r="BL123" i="5"/>
  <c r="O124" i="5"/>
  <c r="P124" i="5"/>
  <c r="Q124" i="5"/>
  <c r="R124" i="5"/>
  <c r="S124" i="5"/>
  <c r="T124" i="5"/>
  <c r="U124" i="5"/>
  <c r="V124" i="5"/>
  <c r="W124" i="5"/>
  <c r="X124" i="5"/>
  <c r="Y124" i="5"/>
  <c r="Z124" i="5"/>
  <c r="AA124" i="5"/>
  <c r="AB124" i="5"/>
  <c r="AC124" i="5"/>
  <c r="AD124" i="5"/>
  <c r="AE124" i="5"/>
  <c r="AF124" i="5"/>
  <c r="AG124" i="5"/>
  <c r="AH124" i="5"/>
  <c r="AI124" i="5"/>
  <c r="AJ124" i="5"/>
  <c r="AK124" i="5"/>
  <c r="AL124" i="5"/>
  <c r="AM124" i="5"/>
  <c r="AN124" i="5"/>
  <c r="AO124" i="5"/>
  <c r="AP124" i="5"/>
  <c r="AQ124" i="5"/>
  <c r="AR124" i="5"/>
  <c r="AS124" i="5"/>
  <c r="AT124" i="5"/>
  <c r="AU124" i="5"/>
  <c r="AV124" i="5"/>
  <c r="AW124" i="5"/>
  <c r="AX124" i="5"/>
  <c r="AY124" i="5"/>
  <c r="AZ124" i="5"/>
  <c r="BA124" i="5"/>
  <c r="BB124" i="5"/>
  <c r="BC124" i="5"/>
  <c r="BD124" i="5"/>
  <c r="BE124" i="5"/>
  <c r="BF124" i="5"/>
  <c r="BG124" i="5"/>
  <c r="BH124" i="5"/>
  <c r="BI124" i="5"/>
  <c r="BJ124" i="5"/>
  <c r="BK124" i="5"/>
  <c r="BL124" i="5"/>
  <c r="O125" i="5"/>
  <c r="P125" i="5"/>
  <c r="Q125" i="5"/>
  <c r="R125" i="5"/>
  <c r="S125" i="5"/>
  <c r="T125" i="5"/>
  <c r="U125" i="5"/>
  <c r="V125" i="5"/>
  <c r="W125" i="5"/>
  <c r="X125" i="5"/>
  <c r="Y125" i="5"/>
  <c r="Z125" i="5"/>
  <c r="AA125" i="5"/>
  <c r="AB125" i="5"/>
  <c r="AC125" i="5"/>
  <c r="AD125" i="5"/>
  <c r="AE125" i="5"/>
  <c r="AF125" i="5"/>
  <c r="AG125" i="5"/>
  <c r="AH125" i="5"/>
  <c r="AI125" i="5"/>
  <c r="AJ125" i="5"/>
  <c r="AK125" i="5"/>
  <c r="AL125" i="5"/>
  <c r="AM125" i="5"/>
  <c r="AN125" i="5"/>
  <c r="AO125" i="5"/>
  <c r="AP125" i="5"/>
  <c r="AQ125" i="5"/>
  <c r="AR125" i="5"/>
  <c r="AS125" i="5"/>
  <c r="AT125" i="5"/>
  <c r="AU125" i="5"/>
  <c r="AV125" i="5"/>
  <c r="AW125" i="5"/>
  <c r="AX125" i="5"/>
  <c r="AY125" i="5"/>
  <c r="AZ125" i="5"/>
  <c r="BA125" i="5"/>
  <c r="BB125" i="5"/>
  <c r="BC125" i="5"/>
  <c r="BD125" i="5"/>
  <c r="BE125" i="5"/>
  <c r="BF125" i="5"/>
  <c r="BG125" i="5"/>
  <c r="BH125" i="5"/>
  <c r="BI125" i="5"/>
  <c r="BJ125" i="5"/>
  <c r="BK125" i="5"/>
  <c r="BL125" i="5"/>
  <c r="O126" i="5"/>
  <c r="P126" i="5"/>
  <c r="Q126" i="5"/>
  <c r="R126" i="5"/>
  <c r="S126" i="5"/>
  <c r="T126" i="5"/>
  <c r="U126" i="5"/>
  <c r="V126" i="5"/>
  <c r="W126" i="5"/>
  <c r="X126" i="5"/>
  <c r="Y126" i="5"/>
  <c r="Z126" i="5"/>
  <c r="AA126" i="5"/>
  <c r="AB126" i="5"/>
  <c r="AC126" i="5"/>
  <c r="AD126" i="5"/>
  <c r="AE126" i="5"/>
  <c r="AF126" i="5"/>
  <c r="AG126" i="5"/>
  <c r="AH126" i="5"/>
  <c r="AI126" i="5"/>
  <c r="AJ126" i="5"/>
  <c r="AK126" i="5"/>
  <c r="AL126" i="5"/>
  <c r="AM126" i="5"/>
  <c r="AN126" i="5"/>
  <c r="AO126" i="5"/>
  <c r="AP126" i="5"/>
  <c r="AQ126" i="5"/>
  <c r="AR126" i="5"/>
  <c r="AS126" i="5"/>
  <c r="AT126" i="5"/>
  <c r="AU126" i="5"/>
  <c r="AV126" i="5"/>
  <c r="AW126" i="5"/>
  <c r="AX126" i="5"/>
  <c r="AY126" i="5"/>
  <c r="AZ126" i="5"/>
  <c r="BA126" i="5"/>
  <c r="BB126" i="5"/>
  <c r="BC126" i="5"/>
  <c r="BD126" i="5"/>
  <c r="BE126" i="5"/>
  <c r="BF126" i="5"/>
  <c r="BG126" i="5"/>
  <c r="BH126" i="5"/>
  <c r="BI126" i="5"/>
  <c r="BJ126" i="5"/>
  <c r="BK126" i="5"/>
  <c r="BL126" i="5"/>
  <c r="O127" i="5"/>
  <c r="P127" i="5"/>
  <c r="Q127" i="5"/>
  <c r="R127" i="5"/>
  <c r="S127" i="5"/>
  <c r="T127" i="5"/>
  <c r="U127" i="5"/>
  <c r="V127" i="5"/>
  <c r="W127" i="5"/>
  <c r="X127" i="5"/>
  <c r="Y127" i="5"/>
  <c r="Z127" i="5"/>
  <c r="AA127" i="5"/>
  <c r="AB127" i="5"/>
  <c r="AC127" i="5"/>
  <c r="AD127" i="5"/>
  <c r="AE127" i="5"/>
  <c r="AF127" i="5"/>
  <c r="AG127" i="5"/>
  <c r="AH127" i="5"/>
  <c r="AI127" i="5"/>
  <c r="AJ127" i="5"/>
  <c r="AK127" i="5"/>
  <c r="AL127" i="5"/>
  <c r="AM127" i="5"/>
  <c r="AN127" i="5"/>
  <c r="AO127" i="5"/>
  <c r="AP127" i="5"/>
  <c r="AQ127" i="5"/>
  <c r="AR127" i="5"/>
  <c r="AS127" i="5"/>
  <c r="AT127" i="5"/>
  <c r="AU127" i="5"/>
  <c r="AV127" i="5"/>
  <c r="AW127" i="5"/>
  <c r="AX127" i="5"/>
  <c r="AY127" i="5"/>
  <c r="AZ127" i="5"/>
  <c r="BA127" i="5"/>
  <c r="BB127" i="5"/>
  <c r="BC127" i="5"/>
  <c r="BD127" i="5"/>
  <c r="BE127" i="5"/>
  <c r="BF127" i="5"/>
  <c r="BG127" i="5"/>
  <c r="BH127" i="5"/>
  <c r="BI127" i="5"/>
  <c r="BJ127" i="5"/>
  <c r="BK127" i="5"/>
  <c r="BL127" i="5"/>
  <c r="O128" i="5"/>
  <c r="P128" i="5"/>
  <c r="Q128" i="5"/>
  <c r="R128" i="5"/>
  <c r="S128" i="5"/>
  <c r="T128" i="5"/>
  <c r="U128" i="5"/>
  <c r="V128" i="5"/>
  <c r="W128" i="5"/>
  <c r="X128" i="5"/>
  <c r="Y128" i="5"/>
  <c r="Z128" i="5"/>
  <c r="AA128" i="5"/>
  <c r="AB128" i="5"/>
  <c r="AC128" i="5"/>
  <c r="AD128" i="5"/>
  <c r="AE128" i="5"/>
  <c r="AF128" i="5"/>
  <c r="AG128" i="5"/>
  <c r="AH128" i="5"/>
  <c r="AI128" i="5"/>
  <c r="AJ128" i="5"/>
  <c r="AK128" i="5"/>
  <c r="AL128" i="5"/>
  <c r="AM128" i="5"/>
  <c r="AN128" i="5"/>
  <c r="AO128" i="5"/>
  <c r="AP128" i="5"/>
  <c r="AQ128" i="5"/>
  <c r="AR128" i="5"/>
  <c r="AS128" i="5"/>
  <c r="AT128" i="5"/>
  <c r="AU128" i="5"/>
  <c r="AV128" i="5"/>
  <c r="AW128" i="5"/>
  <c r="AX128" i="5"/>
  <c r="AY128" i="5"/>
  <c r="AZ128" i="5"/>
  <c r="BA128" i="5"/>
  <c r="BB128" i="5"/>
  <c r="BC128" i="5"/>
  <c r="BD128" i="5"/>
  <c r="BE128" i="5"/>
  <c r="BF128" i="5"/>
  <c r="BG128" i="5"/>
  <c r="BH128" i="5"/>
  <c r="BI128" i="5"/>
  <c r="BJ128" i="5"/>
  <c r="BK128" i="5"/>
  <c r="BL128" i="5"/>
  <c r="O129" i="5"/>
  <c r="P129" i="5"/>
  <c r="Q129" i="5"/>
  <c r="R129" i="5"/>
  <c r="S129" i="5"/>
  <c r="T129" i="5"/>
  <c r="U129" i="5"/>
  <c r="V129" i="5"/>
  <c r="W129" i="5"/>
  <c r="X129" i="5"/>
  <c r="Y129" i="5"/>
  <c r="Z129" i="5"/>
  <c r="AA129" i="5"/>
  <c r="AB129" i="5"/>
  <c r="AC129" i="5"/>
  <c r="AD129" i="5"/>
  <c r="AE129" i="5"/>
  <c r="AF129" i="5"/>
  <c r="AG129" i="5"/>
  <c r="AH129" i="5"/>
  <c r="AI129" i="5"/>
  <c r="AJ129" i="5"/>
  <c r="AK129" i="5"/>
  <c r="AL129" i="5"/>
  <c r="AM129" i="5"/>
  <c r="AN129" i="5"/>
  <c r="AO129" i="5"/>
  <c r="AP129" i="5"/>
  <c r="AQ129" i="5"/>
  <c r="AR129" i="5"/>
  <c r="AS129" i="5"/>
  <c r="AT129" i="5"/>
  <c r="AU129" i="5"/>
  <c r="AV129" i="5"/>
  <c r="AW129" i="5"/>
  <c r="AX129" i="5"/>
  <c r="AY129" i="5"/>
  <c r="AZ129" i="5"/>
  <c r="BA129" i="5"/>
  <c r="BB129" i="5"/>
  <c r="BC129" i="5"/>
  <c r="BD129" i="5"/>
  <c r="BE129" i="5"/>
  <c r="BF129" i="5"/>
  <c r="BG129" i="5"/>
  <c r="BH129" i="5"/>
  <c r="BI129" i="5"/>
  <c r="BJ129" i="5"/>
  <c r="BK129" i="5"/>
  <c r="BL129" i="5"/>
  <c r="O130" i="5"/>
  <c r="P130" i="5"/>
  <c r="Q130" i="5"/>
  <c r="R130" i="5"/>
  <c r="S130" i="5"/>
  <c r="T130" i="5"/>
  <c r="U130" i="5"/>
  <c r="V130" i="5"/>
  <c r="W130" i="5"/>
  <c r="X130" i="5"/>
  <c r="Y130" i="5"/>
  <c r="Z130" i="5"/>
  <c r="AA130" i="5"/>
  <c r="AB130" i="5"/>
  <c r="AC130" i="5"/>
  <c r="AD130" i="5"/>
  <c r="AE130" i="5"/>
  <c r="AF130" i="5"/>
  <c r="AG130" i="5"/>
  <c r="AH130" i="5"/>
  <c r="AI130" i="5"/>
  <c r="AJ130" i="5"/>
  <c r="AK130" i="5"/>
  <c r="AL130" i="5"/>
  <c r="AM130" i="5"/>
  <c r="AN130" i="5"/>
  <c r="AO130" i="5"/>
  <c r="AP130" i="5"/>
  <c r="AQ130" i="5"/>
  <c r="AR130" i="5"/>
  <c r="AS130" i="5"/>
  <c r="AT130" i="5"/>
  <c r="AU130" i="5"/>
  <c r="AV130" i="5"/>
  <c r="AW130" i="5"/>
  <c r="AX130" i="5"/>
  <c r="AY130" i="5"/>
  <c r="AZ130" i="5"/>
  <c r="BA130" i="5"/>
  <c r="BB130" i="5"/>
  <c r="BC130" i="5"/>
  <c r="BD130" i="5"/>
  <c r="BE130" i="5"/>
  <c r="BF130" i="5"/>
  <c r="BG130" i="5"/>
  <c r="BH130" i="5"/>
  <c r="BI130" i="5"/>
  <c r="BJ130" i="5"/>
  <c r="BK130" i="5"/>
  <c r="BL130" i="5"/>
  <c r="O131" i="5"/>
  <c r="P131" i="5"/>
  <c r="Q131" i="5"/>
  <c r="R131" i="5"/>
  <c r="S131" i="5"/>
  <c r="T131" i="5"/>
  <c r="U131" i="5"/>
  <c r="V131" i="5"/>
  <c r="W131" i="5"/>
  <c r="X131" i="5"/>
  <c r="Y131" i="5"/>
  <c r="Z131" i="5"/>
  <c r="AA131" i="5"/>
  <c r="AB131" i="5"/>
  <c r="AC131" i="5"/>
  <c r="AD131" i="5"/>
  <c r="AE131" i="5"/>
  <c r="AF131" i="5"/>
  <c r="AG131" i="5"/>
  <c r="AH131" i="5"/>
  <c r="AI131" i="5"/>
  <c r="AJ131" i="5"/>
  <c r="AK131" i="5"/>
  <c r="AL131" i="5"/>
  <c r="AM131" i="5"/>
  <c r="AN131" i="5"/>
  <c r="AO131" i="5"/>
  <c r="AP131" i="5"/>
  <c r="AQ131" i="5"/>
  <c r="AR131" i="5"/>
  <c r="AS131" i="5"/>
  <c r="AT131" i="5"/>
  <c r="AU131" i="5"/>
  <c r="AV131" i="5"/>
  <c r="AW131" i="5"/>
  <c r="AX131" i="5"/>
  <c r="AY131" i="5"/>
  <c r="AZ131" i="5"/>
  <c r="BA131" i="5"/>
  <c r="BB131" i="5"/>
  <c r="BC131" i="5"/>
  <c r="BD131" i="5"/>
  <c r="BE131" i="5"/>
  <c r="BF131" i="5"/>
  <c r="BG131" i="5"/>
  <c r="BH131" i="5"/>
  <c r="BI131" i="5"/>
  <c r="BJ131" i="5"/>
  <c r="BK131" i="5"/>
  <c r="BL131" i="5"/>
  <c r="O132" i="5"/>
  <c r="P132" i="5"/>
  <c r="Q132" i="5"/>
  <c r="R132" i="5"/>
  <c r="S132" i="5"/>
  <c r="T132" i="5"/>
  <c r="U132" i="5"/>
  <c r="V132" i="5"/>
  <c r="W132" i="5"/>
  <c r="X132" i="5"/>
  <c r="Y132" i="5"/>
  <c r="Z132" i="5"/>
  <c r="AA132" i="5"/>
  <c r="AB132" i="5"/>
  <c r="AC132" i="5"/>
  <c r="AD132" i="5"/>
  <c r="AE132" i="5"/>
  <c r="AF132" i="5"/>
  <c r="AG132" i="5"/>
  <c r="AH132" i="5"/>
  <c r="AI132" i="5"/>
  <c r="AJ132" i="5"/>
  <c r="AK132" i="5"/>
  <c r="AL132" i="5"/>
  <c r="AM132" i="5"/>
  <c r="AN132" i="5"/>
  <c r="AO132" i="5"/>
  <c r="AP132" i="5"/>
  <c r="AQ132" i="5"/>
  <c r="AR132" i="5"/>
  <c r="AS132" i="5"/>
  <c r="AT132" i="5"/>
  <c r="AU132" i="5"/>
  <c r="AV132" i="5"/>
  <c r="AW132" i="5"/>
  <c r="AX132" i="5"/>
  <c r="AY132" i="5"/>
  <c r="AZ132" i="5"/>
  <c r="BA132" i="5"/>
  <c r="BB132" i="5"/>
  <c r="BC132" i="5"/>
  <c r="BD132" i="5"/>
  <c r="BE132" i="5"/>
  <c r="BF132" i="5"/>
  <c r="BG132" i="5"/>
  <c r="BH132" i="5"/>
  <c r="BI132" i="5"/>
  <c r="BJ132" i="5"/>
  <c r="BK132" i="5"/>
  <c r="BL132" i="5"/>
  <c r="O133" i="5"/>
  <c r="P133" i="5"/>
  <c r="Q133" i="5"/>
  <c r="R133" i="5"/>
  <c r="S133" i="5"/>
  <c r="T133" i="5"/>
  <c r="U133" i="5"/>
  <c r="V133" i="5"/>
  <c r="W133" i="5"/>
  <c r="X133" i="5"/>
  <c r="Y133" i="5"/>
  <c r="Z133" i="5"/>
  <c r="AA133" i="5"/>
  <c r="AB133" i="5"/>
  <c r="AC133" i="5"/>
  <c r="AD133" i="5"/>
  <c r="AE133" i="5"/>
  <c r="AF133" i="5"/>
  <c r="AG133" i="5"/>
  <c r="AH133" i="5"/>
  <c r="AI133" i="5"/>
  <c r="AJ133" i="5"/>
  <c r="AK133" i="5"/>
  <c r="AL133" i="5"/>
  <c r="AM133" i="5"/>
  <c r="AN133" i="5"/>
  <c r="AO133" i="5"/>
  <c r="AP133" i="5"/>
  <c r="AQ133" i="5"/>
  <c r="AR133" i="5"/>
  <c r="AS133" i="5"/>
  <c r="AT133" i="5"/>
  <c r="AU133" i="5"/>
  <c r="AV133" i="5"/>
  <c r="AW133" i="5"/>
  <c r="AX133" i="5"/>
  <c r="AY133" i="5"/>
  <c r="AZ133" i="5"/>
  <c r="BA133" i="5"/>
  <c r="BB133" i="5"/>
  <c r="BC133" i="5"/>
  <c r="BD133" i="5"/>
  <c r="BE133" i="5"/>
  <c r="BF133" i="5"/>
  <c r="BG133" i="5"/>
  <c r="BH133" i="5"/>
  <c r="BI133" i="5"/>
  <c r="BJ133" i="5"/>
  <c r="BK133" i="5"/>
  <c r="BL133" i="5"/>
  <c r="O134" i="5"/>
  <c r="P134" i="5"/>
  <c r="Q134" i="5"/>
  <c r="R134" i="5"/>
  <c r="S134" i="5"/>
  <c r="T134" i="5"/>
  <c r="U134" i="5"/>
  <c r="V134" i="5"/>
  <c r="W134" i="5"/>
  <c r="X134" i="5"/>
  <c r="Y134" i="5"/>
  <c r="Z134" i="5"/>
  <c r="AA134" i="5"/>
  <c r="AB134" i="5"/>
  <c r="AC134" i="5"/>
  <c r="AD134" i="5"/>
  <c r="AE134" i="5"/>
  <c r="AF134" i="5"/>
  <c r="AG134" i="5"/>
  <c r="AH134" i="5"/>
  <c r="AI134" i="5"/>
  <c r="AJ134" i="5"/>
  <c r="AK134" i="5"/>
  <c r="AL134" i="5"/>
  <c r="AM134" i="5"/>
  <c r="AN134" i="5"/>
  <c r="AO134" i="5"/>
  <c r="AP134" i="5"/>
  <c r="AQ134" i="5"/>
  <c r="AR134" i="5"/>
  <c r="AS134" i="5"/>
  <c r="AT134" i="5"/>
  <c r="AU134" i="5"/>
  <c r="AV134" i="5"/>
  <c r="AW134" i="5"/>
  <c r="AX134" i="5"/>
  <c r="AY134" i="5"/>
  <c r="AZ134" i="5"/>
  <c r="BA134" i="5"/>
  <c r="BB134" i="5"/>
  <c r="BC134" i="5"/>
  <c r="BD134" i="5"/>
  <c r="BE134" i="5"/>
  <c r="BF134" i="5"/>
  <c r="BG134" i="5"/>
  <c r="BH134" i="5"/>
  <c r="BI134" i="5"/>
  <c r="BJ134" i="5"/>
  <c r="BK134" i="5"/>
  <c r="BL134" i="5"/>
  <c r="O135" i="5"/>
  <c r="P135" i="5"/>
  <c r="Q135" i="5"/>
  <c r="R135" i="5"/>
  <c r="S135" i="5"/>
  <c r="T135" i="5"/>
  <c r="U135" i="5"/>
  <c r="V135" i="5"/>
  <c r="W135" i="5"/>
  <c r="X135" i="5"/>
  <c r="Y135" i="5"/>
  <c r="Z135" i="5"/>
  <c r="AA135" i="5"/>
  <c r="AB135" i="5"/>
  <c r="AC135" i="5"/>
  <c r="AD135" i="5"/>
  <c r="AE135" i="5"/>
  <c r="AF135" i="5"/>
  <c r="AG135" i="5"/>
  <c r="AH135" i="5"/>
  <c r="AI135" i="5"/>
  <c r="AJ135" i="5"/>
  <c r="AK135" i="5"/>
  <c r="AL135" i="5"/>
  <c r="AM135" i="5"/>
  <c r="AN135" i="5"/>
  <c r="AO135" i="5"/>
  <c r="AP135" i="5"/>
  <c r="AQ135" i="5"/>
  <c r="AR135" i="5"/>
  <c r="AS135" i="5"/>
  <c r="AT135" i="5"/>
  <c r="AU135" i="5"/>
  <c r="AV135" i="5"/>
  <c r="AW135" i="5"/>
  <c r="AX135" i="5"/>
  <c r="AY135" i="5"/>
  <c r="AZ135" i="5"/>
  <c r="BA135" i="5"/>
  <c r="BB135" i="5"/>
  <c r="BC135" i="5"/>
  <c r="BD135" i="5"/>
  <c r="BE135" i="5"/>
  <c r="BF135" i="5"/>
  <c r="BG135" i="5"/>
  <c r="BH135" i="5"/>
  <c r="BI135" i="5"/>
  <c r="BJ135" i="5"/>
  <c r="BK135" i="5"/>
  <c r="BL135" i="5"/>
  <c r="O136" i="5"/>
  <c r="P136" i="5"/>
  <c r="Q136" i="5"/>
  <c r="R136" i="5"/>
  <c r="S136" i="5"/>
  <c r="T136" i="5"/>
  <c r="U136" i="5"/>
  <c r="V136" i="5"/>
  <c r="W136" i="5"/>
  <c r="X136" i="5"/>
  <c r="Y136" i="5"/>
  <c r="Z136" i="5"/>
  <c r="AA136" i="5"/>
  <c r="AB136" i="5"/>
  <c r="AC136" i="5"/>
  <c r="AD136" i="5"/>
  <c r="AE136" i="5"/>
  <c r="AF136" i="5"/>
  <c r="AG136" i="5"/>
  <c r="AH136" i="5"/>
  <c r="AI136" i="5"/>
  <c r="AJ136" i="5"/>
  <c r="AK136" i="5"/>
  <c r="AL136" i="5"/>
  <c r="AM136" i="5"/>
  <c r="AN136" i="5"/>
  <c r="AO136" i="5"/>
  <c r="AP136" i="5"/>
  <c r="AQ136" i="5"/>
  <c r="AR136" i="5"/>
  <c r="AS136" i="5"/>
  <c r="AT136" i="5"/>
  <c r="AU136" i="5"/>
  <c r="AV136" i="5"/>
  <c r="AW136" i="5"/>
  <c r="AX136" i="5"/>
  <c r="AY136" i="5"/>
  <c r="AZ136" i="5"/>
  <c r="BA136" i="5"/>
  <c r="BB136" i="5"/>
  <c r="BC136" i="5"/>
  <c r="BD136" i="5"/>
  <c r="BE136" i="5"/>
  <c r="BF136" i="5"/>
  <c r="BG136" i="5"/>
  <c r="BH136" i="5"/>
  <c r="BI136" i="5"/>
  <c r="BJ136" i="5"/>
  <c r="BK136" i="5"/>
  <c r="BL136" i="5"/>
  <c r="O137" i="5"/>
  <c r="P137" i="5"/>
  <c r="Q137" i="5"/>
  <c r="R137" i="5"/>
  <c r="S137" i="5"/>
  <c r="T137" i="5"/>
  <c r="U137" i="5"/>
  <c r="V137" i="5"/>
  <c r="W137" i="5"/>
  <c r="X137" i="5"/>
  <c r="Y137" i="5"/>
  <c r="Z137" i="5"/>
  <c r="AA137" i="5"/>
  <c r="AB137" i="5"/>
  <c r="AC137" i="5"/>
  <c r="AD137" i="5"/>
  <c r="AE137" i="5"/>
  <c r="AF137" i="5"/>
  <c r="AG137" i="5"/>
  <c r="AH137" i="5"/>
  <c r="AI137" i="5"/>
  <c r="AJ137" i="5"/>
  <c r="AK137" i="5"/>
  <c r="AL137" i="5"/>
  <c r="AM137" i="5"/>
  <c r="AN137" i="5"/>
  <c r="AO137" i="5"/>
  <c r="AP137" i="5"/>
  <c r="AQ137" i="5"/>
  <c r="AR137" i="5"/>
  <c r="AS137" i="5"/>
  <c r="AT137" i="5"/>
  <c r="AU137" i="5"/>
  <c r="AV137" i="5"/>
  <c r="AW137" i="5"/>
  <c r="AX137" i="5"/>
  <c r="AY137" i="5"/>
  <c r="AZ137" i="5"/>
  <c r="BA137" i="5"/>
  <c r="BB137" i="5"/>
  <c r="BC137" i="5"/>
  <c r="BD137" i="5"/>
  <c r="BE137" i="5"/>
  <c r="BF137" i="5"/>
  <c r="BG137" i="5"/>
  <c r="BH137" i="5"/>
  <c r="BI137" i="5"/>
  <c r="BJ137" i="5"/>
  <c r="BK137" i="5"/>
  <c r="BL137" i="5"/>
  <c r="O138" i="5"/>
  <c r="P138" i="5"/>
  <c r="Q138" i="5"/>
  <c r="R138" i="5"/>
  <c r="S138" i="5"/>
  <c r="T138" i="5"/>
  <c r="U138" i="5"/>
  <c r="V138" i="5"/>
  <c r="W138" i="5"/>
  <c r="X138" i="5"/>
  <c r="Y138" i="5"/>
  <c r="Z138" i="5"/>
  <c r="AA138" i="5"/>
  <c r="AB138" i="5"/>
  <c r="AC138" i="5"/>
  <c r="AD138" i="5"/>
  <c r="AE138" i="5"/>
  <c r="AF138" i="5"/>
  <c r="AG138" i="5"/>
  <c r="AH138" i="5"/>
  <c r="AI138" i="5"/>
  <c r="AJ138" i="5"/>
  <c r="AK138" i="5"/>
  <c r="AL138" i="5"/>
  <c r="AM138" i="5"/>
  <c r="AN138" i="5"/>
  <c r="AO138" i="5"/>
  <c r="AP138" i="5"/>
  <c r="AQ138" i="5"/>
  <c r="AR138" i="5"/>
  <c r="AS138" i="5"/>
  <c r="AT138" i="5"/>
  <c r="AU138" i="5"/>
  <c r="AV138" i="5"/>
  <c r="AW138" i="5"/>
  <c r="AX138" i="5"/>
  <c r="AY138" i="5"/>
  <c r="AZ138" i="5"/>
  <c r="BA138" i="5"/>
  <c r="BB138" i="5"/>
  <c r="BC138" i="5"/>
  <c r="BD138" i="5"/>
  <c r="BE138" i="5"/>
  <c r="BF138" i="5"/>
  <c r="BG138" i="5"/>
  <c r="BH138" i="5"/>
  <c r="BI138" i="5"/>
  <c r="BJ138" i="5"/>
  <c r="BK138" i="5"/>
  <c r="BL138" i="5"/>
  <c r="O139" i="5"/>
  <c r="P139" i="5"/>
  <c r="Q139" i="5"/>
  <c r="R139" i="5"/>
  <c r="S139" i="5"/>
  <c r="T139" i="5"/>
  <c r="U139" i="5"/>
  <c r="V139" i="5"/>
  <c r="W139" i="5"/>
  <c r="X139" i="5"/>
  <c r="Y139" i="5"/>
  <c r="Z139" i="5"/>
  <c r="AA139" i="5"/>
  <c r="AB139" i="5"/>
  <c r="AC139" i="5"/>
  <c r="AD139" i="5"/>
  <c r="AE139" i="5"/>
  <c r="AF139" i="5"/>
  <c r="AG139" i="5"/>
  <c r="AH139" i="5"/>
  <c r="AI139" i="5"/>
  <c r="AJ139" i="5"/>
  <c r="AK139" i="5"/>
  <c r="AL139" i="5"/>
  <c r="AM139" i="5"/>
  <c r="AN139" i="5"/>
  <c r="AO139" i="5"/>
  <c r="AP139" i="5"/>
  <c r="AQ139" i="5"/>
  <c r="AR139" i="5"/>
  <c r="AS139" i="5"/>
  <c r="AT139" i="5"/>
  <c r="AU139" i="5"/>
  <c r="AV139" i="5"/>
  <c r="AW139" i="5"/>
  <c r="AX139" i="5"/>
  <c r="AY139" i="5"/>
  <c r="AZ139" i="5"/>
  <c r="BA139" i="5"/>
  <c r="BB139" i="5"/>
  <c r="BC139" i="5"/>
  <c r="BD139" i="5"/>
  <c r="BE139" i="5"/>
  <c r="BF139" i="5"/>
  <c r="BG139" i="5"/>
  <c r="BH139" i="5"/>
  <c r="BI139" i="5"/>
  <c r="BJ139" i="5"/>
  <c r="BK139" i="5"/>
  <c r="BL139" i="5"/>
  <c r="O140" i="5"/>
  <c r="P140" i="5"/>
  <c r="Q140" i="5"/>
  <c r="R140" i="5"/>
  <c r="S140" i="5"/>
  <c r="T140" i="5"/>
  <c r="U140" i="5"/>
  <c r="V140" i="5"/>
  <c r="W140" i="5"/>
  <c r="X140" i="5"/>
  <c r="Y140" i="5"/>
  <c r="Z140" i="5"/>
  <c r="AA140" i="5"/>
  <c r="AB140" i="5"/>
  <c r="AC140" i="5"/>
  <c r="AD140" i="5"/>
  <c r="AE140" i="5"/>
  <c r="AF140" i="5"/>
  <c r="AG140" i="5"/>
  <c r="AH140" i="5"/>
  <c r="AI140" i="5"/>
  <c r="AJ140" i="5"/>
  <c r="AK140" i="5"/>
  <c r="AL140" i="5"/>
  <c r="AM140" i="5"/>
  <c r="AN140" i="5"/>
  <c r="AO140" i="5"/>
  <c r="AP140" i="5"/>
  <c r="AQ140" i="5"/>
  <c r="AR140" i="5"/>
  <c r="AS140" i="5"/>
  <c r="AT140" i="5"/>
  <c r="AU140" i="5"/>
  <c r="AV140" i="5"/>
  <c r="AW140" i="5"/>
  <c r="AX140" i="5"/>
  <c r="AY140" i="5"/>
  <c r="AZ140" i="5"/>
  <c r="BA140" i="5"/>
  <c r="BB140" i="5"/>
  <c r="BC140" i="5"/>
  <c r="BD140" i="5"/>
  <c r="BE140" i="5"/>
  <c r="BF140" i="5"/>
  <c r="BG140" i="5"/>
  <c r="BH140" i="5"/>
  <c r="BI140" i="5"/>
  <c r="BJ140" i="5"/>
  <c r="BK140" i="5"/>
  <c r="BL140" i="5"/>
  <c r="O141" i="5"/>
  <c r="P141" i="5"/>
  <c r="Q141" i="5"/>
  <c r="R141" i="5"/>
  <c r="S141" i="5"/>
  <c r="T141" i="5"/>
  <c r="U141" i="5"/>
  <c r="V141" i="5"/>
  <c r="W141" i="5"/>
  <c r="X141" i="5"/>
  <c r="Y141" i="5"/>
  <c r="Z141" i="5"/>
  <c r="AA141" i="5"/>
  <c r="AB141" i="5"/>
  <c r="AC141" i="5"/>
  <c r="AD141" i="5"/>
  <c r="AE141" i="5"/>
  <c r="AF141" i="5"/>
  <c r="AG141" i="5"/>
  <c r="AH141" i="5"/>
  <c r="AI141" i="5"/>
  <c r="AJ141" i="5"/>
  <c r="AK141" i="5"/>
  <c r="AL141" i="5"/>
  <c r="AM141" i="5"/>
  <c r="AN141" i="5"/>
  <c r="AO141" i="5"/>
  <c r="AP141" i="5"/>
  <c r="AQ141" i="5"/>
  <c r="AR141" i="5"/>
  <c r="AS141" i="5"/>
  <c r="AT141" i="5"/>
  <c r="AU141" i="5"/>
  <c r="AV141" i="5"/>
  <c r="AW141" i="5"/>
  <c r="AX141" i="5"/>
  <c r="AY141" i="5"/>
  <c r="AZ141" i="5"/>
  <c r="BA141" i="5"/>
  <c r="BB141" i="5"/>
  <c r="BC141" i="5"/>
  <c r="BD141" i="5"/>
  <c r="BE141" i="5"/>
  <c r="BF141" i="5"/>
  <c r="BG141" i="5"/>
  <c r="BH141" i="5"/>
  <c r="BI141" i="5"/>
  <c r="BJ141" i="5"/>
  <c r="BK141" i="5"/>
  <c r="BL141" i="5"/>
  <c r="O142" i="5"/>
  <c r="P142" i="5"/>
  <c r="Q142" i="5"/>
  <c r="R142" i="5"/>
  <c r="S142" i="5"/>
  <c r="T142" i="5"/>
  <c r="U142" i="5"/>
  <c r="V142" i="5"/>
  <c r="W142" i="5"/>
  <c r="X142" i="5"/>
  <c r="Y142" i="5"/>
  <c r="Z142" i="5"/>
  <c r="AA142" i="5"/>
  <c r="AB142" i="5"/>
  <c r="AC142" i="5"/>
  <c r="AD142" i="5"/>
  <c r="AE142" i="5"/>
  <c r="AF142" i="5"/>
  <c r="AG142" i="5"/>
  <c r="AH142" i="5"/>
  <c r="AI142" i="5"/>
  <c r="AJ142" i="5"/>
  <c r="AK142" i="5"/>
  <c r="AL142" i="5"/>
  <c r="AM142" i="5"/>
  <c r="AN142" i="5"/>
  <c r="AO142" i="5"/>
  <c r="AP142" i="5"/>
  <c r="AQ142" i="5"/>
  <c r="AR142" i="5"/>
  <c r="AS142" i="5"/>
  <c r="AT142" i="5"/>
  <c r="AU142" i="5"/>
  <c r="AV142" i="5"/>
  <c r="AW142" i="5"/>
  <c r="AX142" i="5"/>
  <c r="AY142" i="5"/>
  <c r="AZ142" i="5"/>
  <c r="BA142" i="5"/>
  <c r="BB142" i="5"/>
  <c r="BC142" i="5"/>
  <c r="BD142" i="5"/>
  <c r="BE142" i="5"/>
  <c r="BF142" i="5"/>
  <c r="BG142" i="5"/>
  <c r="BH142" i="5"/>
  <c r="BI142" i="5"/>
  <c r="BJ142" i="5"/>
  <c r="BK142" i="5"/>
  <c r="BL142" i="5"/>
  <c r="O143" i="5"/>
  <c r="P143" i="5"/>
  <c r="Q143" i="5"/>
  <c r="R143" i="5"/>
  <c r="S143" i="5"/>
  <c r="T143" i="5"/>
  <c r="U143" i="5"/>
  <c r="V143" i="5"/>
  <c r="W143" i="5"/>
  <c r="X143" i="5"/>
  <c r="Y143" i="5"/>
  <c r="Z143" i="5"/>
  <c r="AA143" i="5"/>
  <c r="AB143" i="5"/>
  <c r="AC143" i="5"/>
  <c r="AD143" i="5"/>
  <c r="AE143" i="5"/>
  <c r="AF143" i="5"/>
  <c r="AG143" i="5"/>
  <c r="AH143" i="5"/>
  <c r="AI143" i="5"/>
  <c r="AJ143" i="5"/>
  <c r="AK143" i="5"/>
  <c r="AL143" i="5"/>
  <c r="AM143" i="5"/>
  <c r="AN143" i="5"/>
  <c r="AO143" i="5"/>
  <c r="AP143" i="5"/>
  <c r="AQ143" i="5"/>
  <c r="AR143" i="5"/>
  <c r="AS143" i="5"/>
  <c r="AT143" i="5"/>
  <c r="AU143" i="5"/>
  <c r="AV143" i="5"/>
  <c r="AW143" i="5"/>
  <c r="AX143" i="5"/>
  <c r="AY143" i="5"/>
  <c r="AZ143" i="5"/>
  <c r="BA143" i="5"/>
  <c r="BB143" i="5"/>
  <c r="BC143" i="5"/>
  <c r="BD143" i="5"/>
  <c r="BE143" i="5"/>
  <c r="BF143" i="5"/>
  <c r="BG143" i="5"/>
  <c r="BH143" i="5"/>
  <c r="BI143" i="5"/>
  <c r="BJ143" i="5"/>
  <c r="BK143" i="5"/>
  <c r="BL143" i="5"/>
  <c r="O144" i="5"/>
  <c r="P144" i="5"/>
  <c r="Q144" i="5"/>
  <c r="R144" i="5"/>
  <c r="S144" i="5"/>
  <c r="T144" i="5"/>
  <c r="U144" i="5"/>
  <c r="V144" i="5"/>
  <c r="W144" i="5"/>
  <c r="X144" i="5"/>
  <c r="Y144" i="5"/>
  <c r="Z144" i="5"/>
  <c r="AA144" i="5"/>
  <c r="AB144" i="5"/>
  <c r="AC144" i="5"/>
  <c r="AD144" i="5"/>
  <c r="AE144" i="5"/>
  <c r="AF144" i="5"/>
  <c r="AG144" i="5"/>
  <c r="AH144" i="5"/>
  <c r="AI144" i="5"/>
  <c r="AJ144" i="5"/>
  <c r="AK144" i="5"/>
  <c r="AL144" i="5"/>
  <c r="AM144" i="5"/>
  <c r="AN144" i="5"/>
  <c r="AO144" i="5"/>
  <c r="AP144" i="5"/>
  <c r="AQ144" i="5"/>
  <c r="AR144" i="5"/>
  <c r="AS144" i="5"/>
  <c r="AT144" i="5"/>
  <c r="AU144" i="5"/>
  <c r="AV144" i="5"/>
  <c r="AW144" i="5"/>
  <c r="AX144" i="5"/>
  <c r="AY144" i="5"/>
  <c r="AZ144" i="5"/>
  <c r="BA144" i="5"/>
  <c r="BB144" i="5"/>
  <c r="BC144" i="5"/>
  <c r="BD144" i="5"/>
  <c r="BE144" i="5"/>
  <c r="BF144" i="5"/>
  <c r="BG144" i="5"/>
  <c r="BH144" i="5"/>
  <c r="BI144" i="5"/>
  <c r="BJ144" i="5"/>
  <c r="BK144" i="5"/>
  <c r="BL144" i="5"/>
  <c r="O145" i="5"/>
  <c r="P145" i="5"/>
  <c r="Q145" i="5"/>
  <c r="R145" i="5"/>
  <c r="S145" i="5"/>
  <c r="T145" i="5"/>
  <c r="U145" i="5"/>
  <c r="V145" i="5"/>
  <c r="W145" i="5"/>
  <c r="X145" i="5"/>
  <c r="Y145" i="5"/>
  <c r="Z145" i="5"/>
  <c r="AA145" i="5"/>
  <c r="AB145" i="5"/>
  <c r="AC145" i="5"/>
  <c r="AD145" i="5"/>
  <c r="AE145" i="5"/>
  <c r="AF145" i="5"/>
  <c r="AG145" i="5"/>
  <c r="AH145" i="5"/>
  <c r="AI145" i="5"/>
  <c r="AJ145" i="5"/>
  <c r="AK145" i="5"/>
  <c r="AL145" i="5"/>
  <c r="AM145" i="5"/>
  <c r="AN145" i="5"/>
  <c r="AO145" i="5"/>
  <c r="AP145" i="5"/>
  <c r="AQ145" i="5"/>
  <c r="AR145" i="5"/>
  <c r="AS145" i="5"/>
  <c r="AT145" i="5"/>
  <c r="AU145" i="5"/>
  <c r="AV145" i="5"/>
  <c r="AW145" i="5"/>
  <c r="AX145" i="5"/>
  <c r="AY145" i="5"/>
  <c r="AZ145" i="5"/>
  <c r="BA145" i="5"/>
  <c r="BB145" i="5"/>
  <c r="BC145" i="5"/>
  <c r="BD145" i="5"/>
  <c r="BE145" i="5"/>
  <c r="BF145" i="5"/>
  <c r="BG145" i="5"/>
  <c r="BH145" i="5"/>
  <c r="BI145" i="5"/>
  <c r="BJ145" i="5"/>
  <c r="BK145" i="5"/>
  <c r="BL145" i="5"/>
  <c r="O146" i="5"/>
  <c r="P146" i="5"/>
  <c r="Q146" i="5"/>
  <c r="R146" i="5"/>
  <c r="S146" i="5"/>
  <c r="T146" i="5"/>
  <c r="U146" i="5"/>
  <c r="V146" i="5"/>
  <c r="W146" i="5"/>
  <c r="X146" i="5"/>
  <c r="Y146" i="5"/>
  <c r="Z146" i="5"/>
  <c r="AA146" i="5"/>
  <c r="AB146" i="5"/>
  <c r="AC146" i="5"/>
  <c r="AD146" i="5"/>
  <c r="AE146" i="5"/>
  <c r="AF146" i="5"/>
  <c r="AG146" i="5"/>
  <c r="AH146" i="5"/>
  <c r="AI146" i="5"/>
  <c r="AJ146" i="5"/>
  <c r="AK146" i="5"/>
  <c r="AL146" i="5"/>
  <c r="AM146" i="5"/>
  <c r="AN146" i="5"/>
  <c r="AO146" i="5"/>
  <c r="AP146" i="5"/>
  <c r="AQ146" i="5"/>
  <c r="AR146" i="5"/>
  <c r="AS146" i="5"/>
  <c r="AT146" i="5"/>
  <c r="AU146" i="5"/>
  <c r="AV146" i="5"/>
  <c r="AW146" i="5"/>
  <c r="AX146" i="5"/>
  <c r="AY146" i="5"/>
  <c r="AZ146" i="5"/>
  <c r="BA146" i="5"/>
  <c r="BB146" i="5"/>
  <c r="BC146" i="5"/>
  <c r="BD146" i="5"/>
  <c r="BE146" i="5"/>
  <c r="BF146" i="5"/>
  <c r="BG146" i="5"/>
  <c r="BH146" i="5"/>
  <c r="BI146" i="5"/>
  <c r="BJ146" i="5"/>
  <c r="BK146" i="5"/>
  <c r="BL146" i="5"/>
  <c r="O147" i="5"/>
  <c r="P147" i="5"/>
  <c r="Q147" i="5"/>
  <c r="R147" i="5"/>
  <c r="S147" i="5"/>
  <c r="T147" i="5"/>
  <c r="U147" i="5"/>
  <c r="V147" i="5"/>
  <c r="W147" i="5"/>
  <c r="X147" i="5"/>
  <c r="Y147" i="5"/>
  <c r="Z147" i="5"/>
  <c r="AA147" i="5"/>
  <c r="AB147" i="5"/>
  <c r="AC147" i="5"/>
  <c r="AD147" i="5"/>
  <c r="AE147" i="5"/>
  <c r="AF147" i="5"/>
  <c r="AG147" i="5"/>
  <c r="AH147" i="5"/>
  <c r="AI147" i="5"/>
  <c r="AJ147" i="5"/>
  <c r="AK147" i="5"/>
  <c r="AL147" i="5"/>
  <c r="AM147" i="5"/>
  <c r="AN147" i="5"/>
  <c r="AO147" i="5"/>
  <c r="AP147" i="5"/>
  <c r="AQ147" i="5"/>
  <c r="AR147" i="5"/>
  <c r="AS147" i="5"/>
  <c r="AT147" i="5"/>
  <c r="AU147" i="5"/>
  <c r="AV147" i="5"/>
  <c r="AW147" i="5"/>
  <c r="AX147" i="5"/>
  <c r="AY147" i="5"/>
  <c r="AZ147" i="5"/>
  <c r="BA147" i="5"/>
  <c r="BB147" i="5"/>
  <c r="BC147" i="5"/>
  <c r="BD147" i="5"/>
  <c r="BE147" i="5"/>
  <c r="BF147" i="5"/>
  <c r="BG147" i="5"/>
  <c r="BH147" i="5"/>
  <c r="BI147" i="5"/>
  <c r="BJ147" i="5"/>
  <c r="BK147" i="5"/>
  <c r="BL147" i="5"/>
  <c r="O148" i="5"/>
  <c r="P148" i="5"/>
  <c r="Q148" i="5"/>
  <c r="R148" i="5"/>
  <c r="S148" i="5"/>
  <c r="T148" i="5"/>
  <c r="U148" i="5"/>
  <c r="V148" i="5"/>
  <c r="W148" i="5"/>
  <c r="X148" i="5"/>
  <c r="Y148" i="5"/>
  <c r="Z148" i="5"/>
  <c r="AA148" i="5"/>
  <c r="AB148" i="5"/>
  <c r="AC148" i="5"/>
  <c r="AD148" i="5"/>
  <c r="AE148" i="5"/>
  <c r="AF148" i="5"/>
  <c r="AG148" i="5"/>
  <c r="AH148" i="5"/>
  <c r="AI148" i="5"/>
  <c r="AJ148" i="5"/>
  <c r="AK148" i="5"/>
  <c r="AL148" i="5"/>
  <c r="AM148" i="5"/>
  <c r="AN148" i="5"/>
  <c r="AO148" i="5"/>
  <c r="AP148" i="5"/>
  <c r="AQ148" i="5"/>
  <c r="AR148" i="5"/>
  <c r="AS148" i="5"/>
  <c r="AT148" i="5"/>
  <c r="AU148" i="5"/>
  <c r="AV148" i="5"/>
  <c r="AW148" i="5"/>
  <c r="AX148" i="5"/>
  <c r="AY148" i="5"/>
  <c r="AZ148" i="5"/>
  <c r="BA148" i="5"/>
  <c r="BB148" i="5"/>
  <c r="BC148" i="5"/>
  <c r="BD148" i="5"/>
  <c r="BE148" i="5"/>
  <c r="BF148" i="5"/>
  <c r="BG148" i="5"/>
  <c r="BH148" i="5"/>
  <c r="BI148" i="5"/>
  <c r="BJ148" i="5"/>
  <c r="BK148" i="5"/>
  <c r="BL148" i="5"/>
  <c r="O149" i="5"/>
  <c r="P149" i="5"/>
  <c r="Q149" i="5"/>
  <c r="R149" i="5"/>
  <c r="S149" i="5"/>
  <c r="T149" i="5"/>
  <c r="U149" i="5"/>
  <c r="V149" i="5"/>
  <c r="W149" i="5"/>
  <c r="X149" i="5"/>
  <c r="Y149" i="5"/>
  <c r="Z149" i="5"/>
  <c r="AA149" i="5"/>
  <c r="AB149" i="5"/>
  <c r="AC149" i="5"/>
  <c r="AD149" i="5"/>
  <c r="AE149" i="5"/>
  <c r="AF149" i="5"/>
  <c r="AG149" i="5"/>
  <c r="AH149" i="5"/>
  <c r="AI149" i="5"/>
  <c r="AJ149" i="5"/>
  <c r="AK149" i="5"/>
  <c r="AL149" i="5"/>
  <c r="AM149" i="5"/>
  <c r="AN149" i="5"/>
  <c r="AO149" i="5"/>
  <c r="AP149" i="5"/>
  <c r="AQ149" i="5"/>
  <c r="AR149" i="5"/>
  <c r="AS149" i="5"/>
  <c r="AT149" i="5"/>
  <c r="AU149" i="5"/>
  <c r="AV149" i="5"/>
  <c r="AW149" i="5"/>
  <c r="AX149" i="5"/>
  <c r="AY149" i="5"/>
  <c r="AZ149" i="5"/>
  <c r="BA149" i="5"/>
  <c r="BB149" i="5"/>
  <c r="BC149" i="5"/>
  <c r="BD149" i="5"/>
  <c r="BE149" i="5"/>
  <c r="BF149" i="5"/>
  <c r="BG149" i="5"/>
  <c r="BH149" i="5"/>
  <c r="BI149" i="5"/>
  <c r="BJ149" i="5"/>
  <c r="BK149" i="5"/>
  <c r="BL149" i="5"/>
  <c r="O150" i="5"/>
  <c r="P150" i="5"/>
  <c r="Q150" i="5"/>
  <c r="R150" i="5"/>
  <c r="S150" i="5"/>
  <c r="T150" i="5"/>
  <c r="U150" i="5"/>
  <c r="V150" i="5"/>
  <c r="W150" i="5"/>
  <c r="X150" i="5"/>
  <c r="Y150" i="5"/>
  <c r="Z150" i="5"/>
  <c r="AA150" i="5"/>
  <c r="AB150" i="5"/>
  <c r="AC150" i="5"/>
  <c r="AD150" i="5"/>
  <c r="AE150" i="5"/>
  <c r="AF150" i="5"/>
  <c r="AG150" i="5"/>
  <c r="AH150" i="5"/>
  <c r="AI150" i="5"/>
  <c r="AJ150" i="5"/>
  <c r="AK150" i="5"/>
  <c r="AL150" i="5"/>
  <c r="AM150" i="5"/>
  <c r="AN150" i="5"/>
  <c r="AO150" i="5"/>
  <c r="AP150" i="5"/>
  <c r="AQ150" i="5"/>
  <c r="AR150" i="5"/>
  <c r="AS150" i="5"/>
  <c r="AT150" i="5"/>
  <c r="AU150" i="5"/>
  <c r="AV150" i="5"/>
  <c r="AW150" i="5"/>
  <c r="AX150" i="5"/>
  <c r="AY150" i="5"/>
  <c r="AZ150" i="5"/>
  <c r="BA150" i="5"/>
  <c r="BB150" i="5"/>
  <c r="BC150" i="5"/>
  <c r="BD150" i="5"/>
  <c r="BE150" i="5"/>
  <c r="BF150" i="5"/>
  <c r="BG150" i="5"/>
  <c r="BH150" i="5"/>
  <c r="BI150" i="5"/>
  <c r="BJ150" i="5"/>
  <c r="BK150" i="5"/>
  <c r="BL150" i="5"/>
  <c r="O151" i="5"/>
  <c r="P151" i="5"/>
  <c r="Q151" i="5"/>
  <c r="R151" i="5"/>
  <c r="S151" i="5"/>
  <c r="T151" i="5"/>
  <c r="U151" i="5"/>
  <c r="V151" i="5"/>
  <c r="W151" i="5"/>
  <c r="X151" i="5"/>
  <c r="Y151" i="5"/>
  <c r="Z151" i="5"/>
  <c r="AA151" i="5"/>
  <c r="AB151" i="5"/>
  <c r="AC151" i="5"/>
  <c r="AD151" i="5"/>
  <c r="AE151" i="5"/>
  <c r="AF151" i="5"/>
  <c r="AG151" i="5"/>
  <c r="AH151" i="5"/>
  <c r="AI151" i="5"/>
  <c r="AJ151" i="5"/>
  <c r="AK151" i="5"/>
  <c r="AL151" i="5"/>
  <c r="AM151" i="5"/>
  <c r="AN151" i="5"/>
  <c r="AO151" i="5"/>
  <c r="AP151" i="5"/>
  <c r="AQ151" i="5"/>
  <c r="AR151" i="5"/>
  <c r="AS151" i="5"/>
  <c r="AT151" i="5"/>
  <c r="AU151" i="5"/>
  <c r="AV151" i="5"/>
  <c r="AW151" i="5"/>
  <c r="AX151" i="5"/>
  <c r="AY151" i="5"/>
  <c r="AZ151" i="5"/>
  <c r="BA151" i="5"/>
  <c r="BB151" i="5"/>
  <c r="BC151" i="5"/>
  <c r="BD151" i="5"/>
  <c r="BE151" i="5"/>
  <c r="BF151" i="5"/>
  <c r="BG151" i="5"/>
  <c r="BH151" i="5"/>
  <c r="BI151" i="5"/>
  <c r="BJ151" i="5"/>
  <c r="BK151" i="5"/>
  <c r="BL151" i="5"/>
  <c r="O152" i="5"/>
  <c r="P152" i="5"/>
  <c r="Q152" i="5"/>
  <c r="R152" i="5"/>
  <c r="S152" i="5"/>
  <c r="T152" i="5"/>
  <c r="U152" i="5"/>
  <c r="V152" i="5"/>
  <c r="W152" i="5"/>
  <c r="X152" i="5"/>
  <c r="Y152" i="5"/>
  <c r="Z152" i="5"/>
  <c r="AA152" i="5"/>
  <c r="AB152" i="5"/>
  <c r="AC152" i="5"/>
  <c r="AD152" i="5"/>
  <c r="AE152" i="5"/>
  <c r="AF152" i="5"/>
  <c r="AG152" i="5"/>
  <c r="AH152" i="5"/>
  <c r="AI152" i="5"/>
  <c r="AJ152" i="5"/>
  <c r="AK152" i="5"/>
  <c r="AL152" i="5"/>
  <c r="AM152" i="5"/>
  <c r="AN152" i="5"/>
  <c r="AO152" i="5"/>
  <c r="AP152" i="5"/>
  <c r="AQ152" i="5"/>
  <c r="AR152" i="5"/>
  <c r="AS152" i="5"/>
  <c r="AT152" i="5"/>
  <c r="AU152" i="5"/>
  <c r="AV152" i="5"/>
  <c r="AW152" i="5"/>
  <c r="AX152" i="5"/>
  <c r="AY152" i="5"/>
  <c r="AZ152" i="5"/>
  <c r="BA152" i="5"/>
  <c r="BB152" i="5"/>
  <c r="BC152" i="5"/>
  <c r="BD152" i="5"/>
  <c r="BE152" i="5"/>
  <c r="BF152" i="5"/>
  <c r="BG152" i="5"/>
  <c r="BH152" i="5"/>
  <c r="BI152" i="5"/>
  <c r="BJ152" i="5"/>
  <c r="BK152" i="5"/>
  <c r="BL152" i="5"/>
  <c r="O153" i="5"/>
  <c r="P153" i="5"/>
  <c r="Q153" i="5"/>
  <c r="R153" i="5"/>
  <c r="S153" i="5"/>
  <c r="T153" i="5"/>
  <c r="U153" i="5"/>
  <c r="V153" i="5"/>
  <c r="W153" i="5"/>
  <c r="X153" i="5"/>
  <c r="Y153" i="5"/>
  <c r="Z153" i="5"/>
  <c r="AA153" i="5"/>
  <c r="AB153" i="5"/>
  <c r="AC153" i="5"/>
  <c r="AD153" i="5"/>
  <c r="AE153" i="5"/>
  <c r="AF153" i="5"/>
  <c r="AG153" i="5"/>
  <c r="AH153" i="5"/>
  <c r="AI153" i="5"/>
  <c r="AJ153" i="5"/>
  <c r="AK153" i="5"/>
  <c r="AL153" i="5"/>
  <c r="AM153" i="5"/>
  <c r="AN153" i="5"/>
  <c r="AO153" i="5"/>
  <c r="AP153" i="5"/>
  <c r="AQ153" i="5"/>
  <c r="AR153" i="5"/>
  <c r="AS153" i="5"/>
  <c r="AT153" i="5"/>
  <c r="AU153" i="5"/>
  <c r="AV153" i="5"/>
  <c r="AW153" i="5"/>
  <c r="AX153" i="5"/>
  <c r="AY153" i="5"/>
  <c r="AZ153" i="5"/>
  <c r="BA153" i="5"/>
  <c r="BB153" i="5"/>
  <c r="BC153" i="5"/>
  <c r="BD153" i="5"/>
  <c r="BE153" i="5"/>
  <c r="BF153" i="5"/>
  <c r="BG153" i="5"/>
  <c r="BH153" i="5"/>
  <c r="BI153" i="5"/>
  <c r="BJ153" i="5"/>
  <c r="BK153" i="5"/>
  <c r="BL153" i="5"/>
  <c r="O154" i="5"/>
  <c r="P154" i="5"/>
  <c r="Q154" i="5"/>
  <c r="R154" i="5"/>
  <c r="S154" i="5"/>
  <c r="T154" i="5"/>
  <c r="U154" i="5"/>
  <c r="V154" i="5"/>
  <c r="W154" i="5"/>
  <c r="X154" i="5"/>
  <c r="Y154" i="5"/>
  <c r="Z154" i="5"/>
  <c r="AA154" i="5"/>
  <c r="AB154" i="5"/>
  <c r="AC154" i="5"/>
  <c r="AD154" i="5"/>
  <c r="AE154" i="5"/>
  <c r="AF154" i="5"/>
  <c r="AG154" i="5"/>
  <c r="AH154" i="5"/>
  <c r="AI154" i="5"/>
  <c r="AJ154" i="5"/>
  <c r="AK154" i="5"/>
  <c r="AL154" i="5"/>
  <c r="AM154" i="5"/>
  <c r="AN154" i="5"/>
  <c r="AO154" i="5"/>
  <c r="AP154" i="5"/>
  <c r="AQ154" i="5"/>
  <c r="AR154" i="5"/>
  <c r="AS154" i="5"/>
  <c r="AT154" i="5"/>
  <c r="AU154" i="5"/>
  <c r="AV154" i="5"/>
  <c r="AW154" i="5"/>
  <c r="AX154" i="5"/>
  <c r="AY154" i="5"/>
  <c r="AZ154" i="5"/>
  <c r="BA154" i="5"/>
  <c r="BB154" i="5"/>
  <c r="BC154" i="5"/>
  <c r="BD154" i="5"/>
  <c r="BE154" i="5"/>
  <c r="BF154" i="5"/>
  <c r="BG154" i="5"/>
  <c r="BH154" i="5"/>
  <c r="BI154" i="5"/>
  <c r="BJ154" i="5"/>
  <c r="BK154" i="5"/>
  <c r="BL154" i="5"/>
  <c r="O155" i="5"/>
  <c r="P155" i="5"/>
  <c r="Q155" i="5"/>
  <c r="R155" i="5"/>
  <c r="S155" i="5"/>
  <c r="T155" i="5"/>
  <c r="U155" i="5"/>
  <c r="V155" i="5"/>
  <c r="W155" i="5"/>
  <c r="X155" i="5"/>
  <c r="Y155" i="5"/>
  <c r="Z155" i="5"/>
  <c r="AA155" i="5"/>
  <c r="AB155" i="5"/>
  <c r="AC155" i="5"/>
  <c r="AD155" i="5"/>
  <c r="AE155" i="5"/>
  <c r="AF155" i="5"/>
  <c r="AG155" i="5"/>
  <c r="AH155" i="5"/>
  <c r="AI155" i="5"/>
  <c r="AJ155" i="5"/>
  <c r="AK155" i="5"/>
  <c r="AL155" i="5"/>
  <c r="AM155" i="5"/>
  <c r="AN155" i="5"/>
  <c r="AO155" i="5"/>
  <c r="AP155" i="5"/>
  <c r="AQ155" i="5"/>
  <c r="AR155" i="5"/>
  <c r="AS155" i="5"/>
  <c r="AT155" i="5"/>
  <c r="AU155" i="5"/>
  <c r="AV155" i="5"/>
  <c r="AW155" i="5"/>
  <c r="AX155" i="5"/>
  <c r="AY155" i="5"/>
  <c r="AZ155" i="5"/>
  <c r="BA155" i="5"/>
  <c r="BB155" i="5"/>
  <c r="BC155" i="5"/>
  <c r="BD155" i="5"/>
  <c r="BE155" i="5"/>
  <c r="BF155" i="5"/>
  <c r="BG155" i="5"/>
  <c r="BH155" i="5"/>
  <c r="BI155" i="5"/>
  <c r="BJ155" i="5"/>
  <c r="BK155" i="5"/>
  <c r="BL155" i="5"/>
  <c r="O156" i="5"/>
  <c r="P156" i="5"/>
  <c r="Q156" i="5"/>
  <c r="R156" i="5"/>
  <c r="S156" i="5"/>
  <c r="T156" i="5"/>
  <c r="U156" i="5"/>
  <c r="V156" i="5"/>
  <c r="W156" i="5"/>
  <c r="X156" i="5"/>
  <c r="Y156" i="5"/>
  <c r="Z156" i="5"/>
  <c r="AA156" i="5"/>
  <c r="AB156" i="5"/>
  <c r="AC156" i="5"/>
  <c r="AD156" i="5"/>
  <c r="AE156" i="5"/>
  <c r="AF156" i="5"/>
  <c r="AG156" i="5"/>
  <c r="AH156" i="5"/>
  <c r="AI156" i="5"/>
  <c r="AJ156" i="5"/>
  <c r="AK156" i="5"/>
  <c r="AL156" i="5"/>
  <c r="AM156" i="5"/>
  <c r="AN156" i="5"/>
  <c r="AO156" i="5"/>
  <c r="AP156" i="5"/>
  <c r="AQ156" i="5"/>
  <c r="AR156" i="5"/>
  <c r="AS156" i="5"/>
  <c r="AT156" i="5"/>
  <c r="AU156" i="5"/>
  <c r="AV156" i="5"/>
  <c r="AW156" i="5"/>
  <c r="AX156" i="5"/>
  <c r="AY156" i="5"/>
  <c r="AZ156" i="5"/>
  <c r="BA156" i="5"/>
  <c r="BB156" i="5"/>
  <c r="BC156" i="5"/>
  <c r="BD156" i="5"/>
  <c r="BE156" i="5"/>
  <c r="BF156" i="5"/>
  <c r="BG156" i="5"/>
  <c r="BH156" i="5"/>
  <c r="BI156" i="5"/>
  <c r="BJ156" i="5"/>
  <c r="BK156" i="5"/>
  <c r="BL156" i="5"/>
  <c r="O157" i="5"/>
  <c r="P157" i="5"/>
  <c r="Q157" i="5"/>
  <c r="R157" i="5"/>
  <c r="S157" i="5"/>
  <c r="T157" i="5"/>
  <c r="U157" i="5"/>
  <c r="V157" i="5"/>
  <c r="W157" i="5"/>
  <c r="X157" i="5"/>
  <c r="Y157" i="5"/>
  <c r="Z157" i="5"/>
  <c r="AA157" i="5"/>
  <c r="AB157" i="5"/>
  <c r="AC157" i="5"/>
  <c r="AD157" i="5"/>
  <c r="AE157" i="5"/>
  <c r="AF157" i="5"/>
  <c r="AG157" i="5"/>
  <c r="AH157" i="5"/>
  <c r="AI157" i="5"/>
  <c r="AJ157" i="5"/>
  <c r="AK157" i="5"/>
  <c r="AL157" i="5"/>
  <c r="AM157" i="5"/>
  <c r="AN157" i="5"/>
  <c r="AO157" i="5"/>
  <c r="AP157" i="5"/>
  <c r="AQ157" i="5"/>
  <c r="AR157" i="5"/>
  <c r="AS157" i="5"/>
  <c r="AT157" i="5"/>
  <c r="AU157" i="5"/>
  <c r="AV157" i="5"/>
  <c r="AW157" i="5"/>
  <c r="AX157" i="5"/>
  <c r="AY157" i="5"/>
  <c r="AZ157" i="5"/>
  <c r="BA157" i="5"/>
  <c r="BB157" i="5"/>
  <c r="BC157" i="5"/>
  <c r="BD157" i="5"/>
  <c r="BE157" i="5"/>
  <c r="BF157" i="5"/>
  <c r="BG157" i="5"/>
  <c r="BH157" i="5"/>
  <c r="BI157" i="5"/>
  <c r="BJ157" i="5"/>
  <c r="BK157" i="5"/>
  <c r="BL157" i="5"/>
  <c r="O158" i="5"/>
  <c r="P158" i="5"/>
  <c r="Q158" i="5"/>
  <c r="R158" i="5"/>
  <c r="S158" i="5"/>
  <c r="T158" i="5"/>
  <c r="U158" i="5"/>
  <c r="V158" i="5"/>
  <c r="W158" i="5"/>
  <c r="X158" i="5"/>
  <c r="Y158" i="5"/>
  <c r="Z158" i="5"/>
  <c r="AA158" i="5"/>
  <c r="AB158" i="5"/>
  <c r="AC158" i="5"/>
  <c r="AD158" i="5"/>
  <c r="AE158" i="5"/>
  <c r="AF158" i="5"/>
  <c r="AG158" i="5"/>
  <c r="AH158" i="5"/>
  <c r="AI158" i="5"/>
  <c r="AJ158" i="5"/>
  <c r="AK158" i="5"/>
  <c r="AL158" i="5"/>
  <c r="AM158" i="5"/>
  <c r="AN158" i="5"/>
  <c r="AO158" i="5"/>
  <c r="AP158" i="5"/>
  <c r="AQ158" i="5"/>
  <c r="AR158" i="5"/>
  <c r="AS158" i="5"/>
  <c r="AT158" i="5"/>
  <c r="AU158" i="5"/>
  <c r="AV158" i="5"/>
  <c r="AW158" i="5"/>
  <c r="AX158" i="5"/>
  <c r="AY158" i="5"/>
  <c r="AZ158" i="5"/>
  <c r="BA158" i="5"/>
  <c r="BB158" i="5"/>
  <c r="BC158" i="5"/>
  <c r="BD158" i="5"/>
  <c r="BE158" i="5"/>
  <c r="BF158" i="5"/>
  <c r="BG158" i="5"/>
  <c r="BH158" i="5"/>
  <c r="BI158" i="5"/>
  <c r="BJ158" i="5"/>
  <c r="BK158" i="5"/>
  <c r="BL158" i="5"/>
  <c r="O159" i="5"/>
  <c r="P159" i="5"/>
  <c r="Q159" i="5"/>
  <c r="R159" i="5"/>
  <c r="S159" i="5"/>
  <c r="T159" i="5"/>
  <c r="U159" i="5"/>
  <c r="V159" i="5"/>
  <c r="W159" i="5"/>
  <c r="X159" i="5"/>
  <c r="Y159" i="5"/>
  <c r="Z159" i="5"/>
  <c r="AA159" i="5"/>
  <c r="AB159" i="5"/>
  <c r="AC159" i="5"/>
  <c r="AD159" i="5"/>
  <c r="AE159" i="5"/>
  <c r="AF159" i="5"/>
  <c r="AG159" i="5"/>
  <c r="AH159" i="5"/>
  <c r="AI159" i="5"/>
  <c r="AJ159" i="5"/>
  <c r="AK159" i="5"/>
  <c r="AL159" i="5"/>
  <c r="AM159" i="5"/>
  <c r="AN159" i="5"/>
  <c r="AO159" i="5"/>
  <c r="AP159" i="5"/>
  <c r="AQ159" i="5"/>
  <c r="AR159" i="5"/>
  <c r="AS159" i="5"/>
  <c r="AT159" i="5"/>
  <c r="AU159" i="5"/>
  <c r="AV159" i="5"/>
  <c r="AW159" i="5"/>
  <c r="AX159" i="5"/>
  <c r="AY159" i="5"/>
  <c r="AZ159" i="5"/>
  <c r="BA159" i="5"/>
  <c r="BB159" i="5"/>
  <c r="BC159" i="5"/>
  <c r="BD159" i="5"/>
  <c r="BE159" i="5"/>
  <c r="BF159" i="5"/>
  <c r="BG159" i="5"/>
  <c r="BH159" i="5"/>
  <c r="BI159" i="5"/>
  <c r="BJ159" i="5"/>
  <c r="BK159" i="5"/>
  <c r="BL159" i="5"/>
  <c r="O160" i="5"/>
  <c r="P160" i="5"/>
  <c r="Q160" i="5"/>
  <c r="R160" i="5"/>
  <c r="S160" i="5"/>
  <c r="T160" i="5"/>
  <c r="U160" i="5"/>
  <c r="V160" i="5"/>
  <c r="W160" i="5"/>
  <c r="X160" i="5"/>
  <c r="Y160" i="5"/>
  <c r="Z160" i="5"/>
  <c r="AA160" i="5"/>
  <c r="AB160" i="5"/>
  <c r="AC160" i="5"/>
  <c r="AD160" i="5"/>
  <c r="AE160" i="5"/>
  <c r="AF160" i="5"/>
  <c r="AG160" i="5"/>
  <c r="AH160" i="5"/>
  <c r="AI160" i="5"/>
  <c r="AJ160" i="5"/>
  <c r="AK160" i="5"/>
  <c r="AL160" i="5"/>
  <c r="AM160" i="5"/>
  <c r="AN160" i="5"/>
  <c r="AO160" i="5"/>
  <c r="AP160" i="5"/>
  <c r="AQ160" i="5"/>
  <c r="AR160" i="5"/>
  <c r="AS160" i="5"/>
  <c r="AT160" i="5"/>
  <c r="AU160" i="5"/>
  <c r="AV160" i="5"/>
  <c r="AW160" i="5"/>
  <c r="AX160" i="5"/>
  <c r="AY160" i="5"/>
  <c r="AZ160" i="5"/>
  <c r="BA160" i="5"/>
  <c r="BB160" i="5"/>
  <c r="BC160" i="5"/>
  <c r="BD160" i="5"/>
  <c r="BE160" i="5"/>
  <c r="BF160" i="5"/>
  <c r="BG160" i="5"/>
  <c r="BH160" i="5"/>
  <c r="BI160" i="5"/>
  <c r="BJ160" i="5"/>
  <c r="BK160" i="5"/>
  <c r="BL160" i="5"/>
  <c r="O161" i="5"/>
  <c r="P161" i="5"/>
  <c r="Q161" i="5"/>
  <c r="R161" i="5"/>
  <c r="S161" i="5"/>
  <c r="T161" i="5"/>
  <c r="U161" i="5"/>
  <c r="V161" i="5"/>
  <c r="W161" i="5"/>
  <c r="X161" i="5"/>
  <c r="Y161" i="5"/>
  <c r="Z161" i="5"/>
  <c r="AA161" i="5"/>
  <c r="AB161" i="5"/>
  <c r="AC161" i="5"/>
  <c r="AD161" i="5"/>
  <c r="AE161" i="5"/>
  <c r="AF161" i="5"/>
  <c r="AG161" i="5"/>
  <c r="AH161" i="5"/>
  <c r="AI161" i="5"/>
  <c r="AJ161" i="5"/>
  <c r="AK161" i="5"/>
  <c r="AL161" i="5"/>
  <c r="AM161" i="5"/>
  <c r="AN161" i="5"/>
  <c r="AO161" i="5"/>
  <c r="AP161" i="5"/>
  <c r="AQ161" i="5"/>
  <c r="AR161" i="5"/>
  <c r="AS161" i="5"/>
  <c r="AT161" i="5"/>
  <c r="AU161" i="5"/>
  <c r="AV161" i="5"/>
  <c r="AW161" i="5"/>
  <c r="AX161" i="5"/>
  <c r="AY161" i="5"/>
  <c r="AZ161" i="5"/>
  <c r="BA161" i="5"/>
  <c r="BB161" i="5"/>
  <c r="BC161" i="5"/>
  <c r="BD161" i="5"/>
  <c r="BE161" i="5"/>
  <c r="BF161" i="5"/>
  <c r="BG161" i="5"/>
  <c r="BH161" i="5"/>
  <c r="BI161" i="5"/>
  <c r="BJ161" i="5"/>
  <c r="BK161" i="5"/>
  <c r="BL161" i="5"/>
  <c r="O162" i="5"/>
  <c r="P162" i="5"/>
  <c r="Q162" i="5"/>
  <c r="R162" i="5"/>
  <c r="S162" i="5"/>
  <c r="T162" i="5"/>
  <c r="U162" i="5"/>
  <c r="V162" i="5"/>
  <c r="W162" i="5"/>
  <c r="X162" i="5"/>
  <c r="Y162" i="5"/>
  <c r="Z162" i="5"/>
  <c r="AA162" i="5"/>
  <c r="AB162" i="5"/>
  <c r="AC162" i="5"/>
  <c r="AD162" i="5"/>
  <c r="AE162" i="5"/>
  <c r="AF162" i="5"/>
  <c r="AG162" i="5"/>
  <c r="AH162" i="5"/>
  <c r="AI162" i="5"/>
  <c r="AJ162" i="5"/>
  <c r="AK162" i="5"/>
  <c r="AL162" i="5"/>
  <c r="AM162" i="5"/>
  <c r="AN162" i="5"/>
  <c r="AO162" i="5"/>
  <c r="AP162" i="5"/>
  <c r="AQ162" i="5"/>
  <c r="AR162" i="5"/>
  <c r="AS162" i="5"/>
  <c r="AT162" i="5"/>
  <c r="AU162" i="5"/>
  <c r="AV162" i="5"/>
  <c r="AW162" i="5"/>
  <c r="AX162" i="5"/>
  <c r="AY162" i="5"/>
  <c r="AZ162" i="5"/>
  <c r="BA162" i="5"/>
  <c r="BB162" i="5"/>
  <c r="BC162" i="5"/>
  <c r="BD162" i="5"/>
  <c r="BE162" i="5"/>
  <c r="BF162" i="5"/>
  <c r="BG162" i="5"/>
  <c r="BH162" i="5"/>
  <c r="BI162" i="5"/>
  <c r="BJ162" i="5"/>
  <c r="BK162" i="5"/>
  <c r="BL162" i="5"/>
  <c r="O163" i="5"/>
  <c r="P163" i="5"/>
  <c r="Q163" i="5"/>
  <c r="R163" i="5"/>
  <c r="S163" i="5"/>
  <c r="T163" i="5"/>
  <c r="U163" i="5"/>
  <c r="V163" i="5"/>
  <c r="W163" i="5"/>
  <c r="X163" i="5"/>
  <c r="Y163" i="5"/>
  <c r="Z163" i="5"/>
  <c r="AA163" i="5"/>
  <c r="AB163" i="5"/>
  <c r="AC163" i="5"/>
  <c r="AD163" i="5"/>
  <c r="AE163" i="5"/>
  <c r="AF163" i="5"/>
  <c r="AG163" i="5"/>
  <c r="AH163" i="5"/>
  <c r="AI163" i="5"/>
  <c r="AJ163" i="5"/>
  <c r="AK163" i="5"/>
  <c r="AL163" i="5"/>
  <c r="AM163" i="5"/>
  <c r="AN163" i="5"/>
  <c r="AO163" i="5"/>
  <c r="AP163" i="5"/>
  <c r="AQ163" i="5"/>
  <c r="AR163" i="5"/>
  <c r="AS163" i="5"/>
  <c r="AT163" i="5"/>
  <c r="AU163" i="5"/>
  <c r="AV163" i="5"/>
  <c r="AW163" i="5"/>
  <c r="AX163" i="5"/>
  <c r="AY163" i="5"/>
  <c r="AZ163" i="5"/>
  <c r="BA163" i="5"/>
  <c r="BB163" i="5"/>
  <c r="BC163" i="5"/>
  <c r="BD163" i="5"/>
  <c r="BE163" i="5"/>
  <c r="BF163" i="5"/>
  <c r="BG163" i="5"/>
  <c r="BH163" i="5"/>
  <c r="BI163" i="5"/>
  <c r="BJ163" i="5"/>
  <c r="BK163" i="5"/>
  <c r="BL163" i="5"/>
  <c r="O164" i="5"/>
  <c r="P164" i="5"/>
  <c r="Q164" i="5"/>
  <c r="R164" i="5"/>
  <c r="S164" i="5"/>
  <c r="T164" i="5"/>
  <c r="U164" i="5"/>
  <c r="V164" i="5"/>
  <c r="W164" i="5"/>
  <c r="X164" i="5"/>
  <c r="Y164" i="5"/>
  <c r="Z164" i="5"/>
  <c r="AA164" i="5"/>
  <c r="AB164" i="5"/>
  <c r="AC164" i="5"/>
  <c r="AD164" i="5"/>
  <c r="AE164" i="5"/>
  <c r="AF164" i="5"/>
  <c r="AG164" i="5"/>
  <c r="AH164" i="5"/>
  <c r="AI164" i="5"/>
  <c r="AJ164" i="5"/>
  <c r="AK164" i="5"/>
  <c r="AL164" i="5"/>
  <c r="AM164" i="5"/>
  <c r="AN164" i="5"/>
  <c r="AO164" i="5"/>
  <c r="AP164" i="5"/>
  <c r="AQ164" i="5"/>
  <c r="AR164" i="5"/>
  <c r="AS164" i="5"/>
  <c r="AT164" i="5"/>
  <c r="AU164" i="5"/>
  <c r="AV164" i="5"/>
  <c r="AW164" i="5"/>
  <c r="AX164" i="5"/>
  <c r="AY164" i="5"/>
  <c r="AZ164" i="5"/>
  <c r="BA164" i="5"/>
  <c r="BB164" i="5"/>
  <c r="BC164" i="5"/>
  <c r="BD164" i="5"/>
  <c r="BE164" i="5"/>
  <c r="BF164" i="5"/>
  <c r="BG164" i="5"/>
  <c r="BH164" i="5"/>
  <c r="BI164" i="5"/>
  <c r="BJ164" i="5"/>
  <c r="BK164" i="5"/>
  <c r="BL164" i="5"/>
  <c r="O165" i="5"/>
  <c r="P165" i="5"/>
  <c r="Q165" i="5"/>
  <c r="R165" i="5"/>
  <c r="S165" i="5"/>
  <c r="T165" i="5"/>
  <c r="U165" i="5"/>
  <c r="V165" i="5"/>
  <c r="W165" i="5"/>
  <c r="X165" i="5"/>
  <c r="Y165" i="5"/>
  <c r="Z165" i="5"/>
  <c r="AA165" i="5"/>
  <c r="AB165" i="5"/>
  <c r="AC165" i="5"/>
  <c r="AD165" i="5"/>
  <c r="AE165" i="5"/>
  <c r="AF165" i="5"/>
  <c r="AG165" i="5"/>
  <c r="AH165" i="5"/>
  <c r="AI165" i="5"/>
  <c r="AJ165" i="5"/>
  <c r="AK165" i="5"/>
  <c r="AL165" i="5"/>
  <c r="AM165" i="5"/>
  <c r="AN165" i="5"/>
  <c r="AO165" i="5"/>
  <c r="AP165" i="5"/>
  <c r="AQ165" i="5"/>
  <c r="AR165" i="5"/>
  <c r="AS165" i="5"/>
  <c r="AT165" i="5"/>
  <c r="AU165" i="5"/>
  <c r="AV165" i="5"/>
  <c r="AW165" i="5"/>
  <c r="AX165" i="5"/>
  <c r="AY165" i="5"/>
  <c r="AZ165" i="5"/>
  <c r="BA165" i="5"/>
  <c r="BB165" i="5"/>
  <c r="BC165" i="5"/>
  <c r="BD165" i="5"/>
  <c r="BE165" i="5"/>
  <c r="BF165" i="5"/>
  <c r="BG165" i="5"/>
  <c r="BH165" i="5"/>
  <c r="BI165" i="5"/>
  <c r="BJ165" i="5"/>
  <c r="BK165" i="5"/>
  <c r="BL165" i="5"/>
  <c r="O166" i="5"/>
  <c r="P166" i="5"/>
  <c r="Q166" i="5"/>
  <c r="R166" i="5"/>
  <c r="S166" i="5"/>
  <c r="T166" i="5"/>
  <c r="U166" i="5"/>
  <c r="V166" i="5"/>
  <c r="W166" i="5"/>
  <c r="X166" i="5"/>
  <c r="Y166" i="5"/>
  <c r="Z166" i="5"/>
  <c r="AA166" i="5"/>
  <c r="AB166" i="5"/>
  <c r="AC166" i="5"/>
  <c r="AD166" i="5"/>
  <c r="AE166" i="5"/>
  <c r="AF166" i="5"/>
  <c r="AG166" i="5"/>
  <c r="AH166" i="5"/>
  <c r="AI166" i="5"/>
  <c r="AJ166" i="5"/>
  <c r="AK166" i="5"/>
  <c r="AL166" i="5"/>
  <c r="AM166" i="5"/>
  <c r="AN166" i="5"/>
  <c r="AO166" i="5"/>
  <c r="AP166" i="5"/>
  <c r="AQ166" i="5"/>
  <c r="AR166" i="5"/>
  <c r="AS166" i="5"/>
  <c r="AT166" i="5"/>
  <c r="AU166" i="5"/>
  <c r="AV166" i="5"/>
  <c r="AW166" i="5"/>
  <c r="AX166" i="5"/>
  <c r="AY166" i="5"/>
  <c r="AZ166" i="5"/>
  <c r="BA166" i="5"/>
  <c r="BB166" i="5"/>
  <c r="BC166" i="5"/>
  <c r="BD166" i="5"/>
  <c r="BE166" i="5"/>
  <c r="BF166" i="5"/>
  <c r="BG166" i="5"/>
  <c r="BH166" i="5"/>
  <c r="BI166" i="5"/>
  <c r="BJ166" i="5"/>
  <c r="BK166" i="5"/>
  <c r="BL166" i="5"/>
  <c r="O167" i="5"/>
  <c r="P167" i="5"/>
  <c r="Q167" i="5"/>
  <c r="R167" i="5"/>
  <c r="S167" i="5"/>
  <c r="T167" i="5"/>
  <c r="U167" i="5"/>
  <c r="V167" i="5"/>
  <c r="W167" i="5"/>
  <c r="X167" i="5"/>
  <c r="Y167" i="5"/>
  <c r="Z167" i="5"/>
  <c r="AA167" i="5"/>
  <c r="AB167" i="5"/>
  <c r="AC167" i="5"/>
  <c r="AD167" i="5"/>
  <c r="AE167" i="5"/>
  <c r="AF167" i="5"/>
  <c r="AG167" i="5"/>
  <c r="AH167" i="5"/>
  <c r="AI167" i="5"/>
  <c r="AJ167" i="5"/>
  <c r="AK167" i="5"/>
  <c r="AL167" i="5"/>
  <c r="AM167" i="5"/>
  <c r="AN167" i="5"/>
  <c r="AO167" i="5"/>
  <c r="AP167" i="5"/>
  <c r="AQ167" i="5"/>
  <c r="AR167" i="5"/>
  <c r="AS167" i="5"/>
  <c r="AT167" i="5"/>
  <c r="AU167" i="5"/>
  <c r="AV167" i="5"/>
  <c r="AW167" i="5"/>
  <c r="AX167" i="5"/>
  <c r="AY167" i="5"/>
  <c r="AZ167" i="5"/>
  <c r="BA167" i="5"/>
  <c r="BB167" i="5"/>
  <c r="BC167" i="5"/>
  <c r="BD167" i="5"/>
  <c r="BE167" i="5"/>
  <c r="BF167" i="5"/>
  <c r="BG167" i="5"/>
  <c r="BH167" i="5"/>
  <c r="BI167" i="5"/>
  <c r="BJ167" i="5"/>
  <c r="BK167" i="5"/>
  <c r="BL167" i="5"/>
  <c r="O168" i="5"/>
  <c r="P168" i="5"/>
  <c r="Q168" i="5"/>
  <c r="R168" i="5"/>
  <c r="S168" i="5"/>
  <c r="T168" i="5"/>
  <c r="U168" i="5"/>
  <c r="V168" i="5"/>
  <c r="W168" i="5"/>
  <c r="X168" i="5"/>
  <c r="Y168" i="5"/>
  <c r="Z168" i="5"/>
  <c r="AA168" i="5"/>
  <c r="AB168" i="5"/>
  <c r="AC168" i="5"/>
  <c r="AD168" i="5"/>
  <c r="AE168" i="5"/>
  <c r="AF168" i="5"/>
  <c r="AG168" i="5"/>
  <c r="AH168" i="5"/>
  <c r="AI168" i="5"/>
  <c r="AJ168" i="5"/>
  <c r="AK168" i="5"/>
  <c r="AL168" i="5"/>
  <c r="AM168" i="5"/>
  <c r="AN168" i="5"/>
  <c r="AO168" i="5"/>
  <c r="AP168" i="5"/>
  <c r="AQ168" i="5"/>
  <c r="AR168" i="5"/>
  <c r="AS168" i="5"/>
  <c r="AT168" i="5"/>
  <c r="AU168" i="5"/>
  <c r="AV168" i="5"/>
  <c r="AW168" i="5"/>
  <c r="AX168" i="5"/>
  <c r="AY168" i="5"/>
  <c r="AZ168" i="5"/>
  <c r="BA168" i="5"/>
  <c r="BB168" i="5"/>
  <c r="BC168" i="5"/>
  <c r="BD168" i="5"/>
  <c r="BE168" i="5"/>
  <c r="BF168" i="5"/>
  <c r="BG168" i="5"/>
  <c r="BH168" i="5"/>
  <c r="BI168" i="5"/>
  <c r="BJ168" i="5"/>
  <c r="BK168" i="5"/>
  <c r="BL168" i="5"/>
  <c r="O169" i="5"/>
  <c r="P169" i="5"/>
  <c r="Q169" i="5"/>
  <c r="R169" i="5"/>
  <c r="S169" i="5"/>
  <c r="T169" i="5"/>
  <c r="U169" i="5"/>
  <c r="V169" i="5"/>
  <c r="W169" i="5"/>
  <c r="X169" i="5"/>
  <c r="Y169" i="5"/>
  <c r="Z169" i="5"/>
  <c r="AA169" i="5"/>
  <c r="AB169" i="5"/>
  <c r="AC169" i="5"/>
  <c r="AD169" i="5"/>
  <c r="AE169" i="5"/>
  <c r="AF169" i="5"/>
  <c r="AG169" i="5"/>
  <c r="AH169" i="5"/>
  <c r="AI169" i="5"/>
  <c r="AJ169" i="5"/>
  <c r="AK169" i="5"/>
  <c r="AL169" i="5"/>
  <c r="AM169" i="5"/>
  <c r="AN169" i="5"/>
  <c r="AO169" i="5"/>
  <c r="AP169" i="5"/>
  <c r="AQ169" i="5"/>
  <c r="AR169" i="5"/>
  <c r="AS169" i="5"/>
  <c r="AT169" i="5"/>
  <c r="AU169" i="5"/>
  <c r="AV169" i="5"/>
  <c r="AW169" i="5"/>
  <c r="AX169" i="5"/>
  <c r="AY169" i="5"/>
  <c r="AZ169" i="5"/>
  <c r="BA169" i="5"/>
  <c r="BB169" i="5"/>
  <c r="BC169" i="5"/>
  <c r="BD169" i="5"/>
  <c r="BE169" i="5"/>
  <c r="BF169" i="5"/>
  <c r="BG169" i="5"/>
  <c r="BH169" i="5"/>
  <c r="BI169" i="5"/>
  <c r="BJ169" i="5"/>
  <c r="BK169" i="5"/>
  <c r="BL169" i="5"/>
  <c r="O170" i="5"/>
  <c r="P170" i="5"/>
  <c r="Q170" i="5"/>
  <c r="R170" i="5"/>
  <c r="S170" i="5"/>
  <c r="T170" i="5"/>
  <c r="U170" i="5"/>
  <c r="V170" i="5"/>
  <c r="W170" i="5"/>
  <c r="X170" i="5"/>
  <c r="Y170" i="5"/>
  <c r="Z170" i="5"/>
  <c r="AA170" i="5"/>
  <c r="AB170" i="5"/>
  <c r="AC170" i="5"/>
  <c r="AD170" i="5"/>
  <c r="AE170" i="5"/>
  <c r="AF170" i="5"/>
  <c r="AG170" i="5"/>
  <c r="AH170" i="5"/>
  <c r="AI170" i="5"/>
  <c r="AJ170" i="5"/>
  <c r="AK170" i="5"/>
  <c r="AL170" i="5"/>
  <c r="AM170" i="5"/>
  <c r="AN170" i="5"/>
  <c r="AO170" i="5"/>
  <c r="AP170" i="5"/>
  <c r="AQ170" i="5"/>
  <c r="AR170" i="5"/>
  <c r="AS170" i="5"/>
  <c r="AT170" i="5"/>
  <c r="AU170" i="5"/>
  <c r="AV170" i="5"/>
  <c r="AW170" i="5"/>
  <c r="AX170" i="5"/>
  <c r="AY170" i="5"/>
  <c r="AZ170" i="5"/>
  <c r="BA170" i="5"/>
  <c r="BB170" i="5"/>
  <c r="BC170" i="5"/>
  <c r="BD170" i="5"/>
  <c r="BE170" i="5"/>
  <c r="BF170" i="5"/>
  <c r="BG170" i="5"/>
  <c r="BH170" i="5"/>
  <c r="BI170" i="5"/>
  <c r="BJ170" i="5"/>
  <c r="BK170" i="5"/>
  <c r="BL170" i="5"/>
  <c r="O171" i="5"/>
  <c r="P171" i="5"/>
  <c r="Q171" i="5"/>
  <c r="R171" i="5"/>
  <c r="S171" i="5"/>
  <c r="T171" i="5"/>
  <c r="U171" i="5"/>
  <c r="V171" i="5"/>
  <c r="W171" i="5"/>
  <c r="X171" i="5"/>
  <c r="Y171" i="5"/>
  <c r="Z171" i="5"/>
  <c r="AA171" i="5"/>
  <c r="AB171" i="5"/>
  <c r="AC171" i="5"/>
  <c r="AD171" i="5"/>
  <c r="AE171" i="5"/>
  <c r="AF171" i="5"/>
  <c r="AG171" i="5"/>
  <c r="AH171" i="5"/>
  <c r="AI171" i="5"/>
  <c r="AJ171" i="5"/>
  <c r="AK171" i="5"/>
  <c r="AL171" i="5"/>
  <c r="AM171" i="5"/>
  <c r="AN171" i="5"/>
  <c r="AO171" i="5"/>
  <c r="AP171" i="5"/>
  <c r="AQ171" i="5"/>
  <c r="AR171" i="5"/>
  <c r="AS171" i="5"/>
  <c r="AT171" i="5"/>
  <c r="AU171" i="5"/>
  <c r="AV171" i="5"/>
  <c r="AW171" i="5"/>
  <c r="AX171" i="5"/>
  <c r="AY171" i="5"/>
  <c r="AZ171" i="5"/>
  <c r="BA171" i="5"/>
  <c r="BB171" i="5"/>
  <c r="BC171" i="5"/>
  <c r="BD171" i="5"/>
  <c r="BE171" i="5"/>
  <c r="BF171" i="5"/>
  <c r="BG171" i="5"/>
  <c r="BH171" i="5"/>
  <c r="BI171" i="5"/>
  <c r="BJ171" i="5"/>
  <c r="BK171" i="5"/>
  <c r="BL171" i="5"/>
  <c r="O172" i="5"/>
  <c r="P172" i="5"/>
  <c r="Q172" i="5"/>
  <c r="R172" i="5"/>
  <c r="S172" i="5"/>
  <c r="T172" i="5"/>
  <c r="U172" i="5"/>
  <c r="V172" i="5"/>
  <c r="W172" i="5"/>
  <c r="X172" i="5"/>
  <c r="Y172" i="5"/>
  <c r="Z172" i="5"/>
  <c r="AA172" i="5"/>
  <c r="AB172" i="5"/>
  <c r="AC172" i="5"/>
  <c r="AD172" i="5"/>
  <c r="AE172" i="5"/>
  <c r="AF172" i="5"/>
  <c r="AG172" i="5"/>
  <c r="AH172" i="5"/>
  <c r="AI172" i="5"/>
  <c r="AJ172" i="5"/>
  <c r="AK172" i="5"/>
  <c r="AL172" i="5"/>
  <c r="AM172" i="5"/>
  <c r="AN172" i="5"/>
  <c r="AO172" i="5"/>
  <c r="AP172" i="5"/>
  <c r="AQ172" i="5"/>
  <c r="AR172" i="5"/>
  <c r="AS172" i="5"/>
  <c r="AT172" i="5"/>
  <c r="AU172" i="5"/>
  <c r="AV172" i="5"/>
  <c r="AW172" i="5"/>
  <c r="AX172" i="5"/>
  <c r="AY172" i="5"/>
  <c r="AZ172" i="5"/>
  <c r="BA172" i="5"/>
  <c r="BB172" i="5"/>
  <c r="BC172" i="5"/>
  <c r="BD172" i="5"/>
  <c r="BE172" i="5"/>
  <c r="BF172" i="5"/>
  <c r="BG172" i="5"/>
  <c r="BH172" i="5"/>
  <c r="BI172" i="5"/>
  <c r="BJ172" i="5"/>
  <c r="BK172" i="5"/>
  <c r="BL172" i="5"/>
  <c r="O173" i="5"/>
  <c r="P173" i="5"/>
  <c r="Q173" i="5"/>
  <c r="R173" i="5"/>
  <c r="S173" i="5"/>
  <c r="T173" i="5"/>
  <c r="U173" i="5"/>
  <c r="V173" i="5"/>
  <c r="W173" i="5"/>
  <c r="X173" i="5"/>
  <c r="Y173" i="5"/>
  <c r="Z173" i="5"/>
  <c r="AA173" i="5"/>
  <c r="AB173" i="5"/>
  <c r="AC173" i="5"/>
  <c r="AD173" i="5"/>
  <c r="AE173" i="5"/>
  <c r="AF173" i="5"/>
  <c r="AG173" i="5"/>
  <c r="AH173" i="5"/>
  <c r="AI173" i="5"/>
  <c r="AJ173" i="5"/>
  <c r="AK173" i="5"/>
  <c r="AL173" i="5"/>
  <c r="AM173" i="5"/>
  <c r="AN173" i="5"/>
  <c r="AO173" i="5"/>
  <c r="AP173" i="5"/>
  <c r="AQ173" i="5"/>
  <c r="AR173" i="5"/>
  <c r="AS173" i="5"/>
  <c r="AT173" i="5"/>
  <c r="AU173" i="5"/>
  <c r="AV173" i="5"/>
  <c r="AW173" i="5"/>
  <c r="AX173" i="5"/>
  <c r="AY173" i="5"/>
  <c r="AZ173" i="5"/>
  <c r="BA173" i="5"/>
  <c r="BB173" i="5"/>
  <c r="BC173" i="5"/>
  <c r="BD173" i="5"/>
  <c r="BE173" i="5"/>
  <c r="BF173" i="5"/>
  <c r="BG173" i="5"/>
  <c r="BH173" i="5"/>
  <c r="BI173" i="5"/>
  <c r="BJ173" i="5"/>
  <c r="BK173" i="5"/>
  <c r="BL173" i="5"/>
  <c r="O174" i="5"/>
  <c r="P174" i="5"/>
  <c r="Q174" i="5"/>
  <c r="R174" i="5"/>
  <c r="S174" i="5"/>
  <c r="T174" i="5"/>
  <c r="U174" i="5"/>
  <c r="V174" i="5"/>
  <c r="W174" i="5"/>
  <c r="X174" i="5"/>
  <c r="Y174" i="5"/>
  <c r="Z174" i="5"/>
  <c r="AA174" i="5"/>
  <c r="AB174" i="5"/>
  <c r="AC174" i="5"/>
  <c r="AD174" i="5"/>
  <c r="AE174" i="5"/>
  <c r="AF174" i="5"/>
  <c r="AG174" i="5"/>
  <c r="AH174" i="5"/>
  <c r="AI174" i="5"/>
  <c r="AJ174" i="5"/>
  <c r="AK174" i="5"/>
  <c r="AL174" i="5"/>
  <c r="AM174" i="5"/>
  <c r="AN174" i="5"/>
  <c r="AO174" i="5"/>
  <c r="AP174" i="5"/>
  <c r="AQ174" i="5"/>
  <c r="AR174" i="5"/>
  <c r="AS174" i="5"/>
  <c r="AT174" i="5"/>
  <c r="AU174" i="5"/>
  <c r="AV174" i="5"/>
  <c r="AW174" i="5"/>
  <c r="AX174" i="5"/>
  <c r="AY174" i="5"/>
  <c r="AZ174" i="5"/>
  <c r="BA174" i="5"/>
  <c r="BB174" i="5"/>
  <c r="BC174" i="5"/>
  <c r="BD174" i="5"/>
  <c r="BE174" i="5"/>
  <c r="BF174" i="5"/>
  <c r="BG174" i="5"/>
  <c r="BH174" i="5"/>
  <c r="BI174" i="5"/>
  <c r="BJ174" i="5"/>
  <c r="BK174" i="5"/>
  <c r="BL174" i="5"/>
  <c r="O175" i="5"/>
  <c r="P175" i="5"/>
  <c r="Q175" i="5"/>
  <c r="R175" i="5"/>
  <c r="S175" i="5"/>
  <c r="T175" i="5"/>
  <c r="U175" i="5"/>
  <c r="V175" i="5"/>
  <c r="W175" i="5"/>
  <c r="X175" i="5"/>
  <c r="Y175" i="5"/>
  <c r="Z175" i="5"/>
  <c r="AA175" i="5"/>
  <c r="AB175" i="5"/>
  <c r="AC175" i="5"/>
  <c r="AD175" i="5"/>
  <c r="AE175" i="5"/>
  <c r="AF175" i="5"/>
  <c r="AG175" i="5"/>
  <c r="AH175" i="5"/>
  <c r="AI175" i="5"/>
  <c r="AJ175" i="5"/>
  <c r="AK175" i="5"/>
  <c r="AL175" i="5"/>
  <c r="AM175" i="5"/>
  <c r="AN175" i="5"/>
  <c r="AO175" i="5"/>
  <c r="AP175" i="5"/>
  <c r="AQ175" i="5"/>
  <c r="AR175" i="5"/>
  <c r="AS175" i="5"/>
  <c r="AT175" i="5"/>
  <c r="AU175" i="5"/>
  <c r="AV175" i="5"/>
  <c r="AW175" i="5"/>
  <c r="AX175" i="5"/>
  <c r="AY175" i="5"/>
  <c r="AZ175" i="5"/>
  <c r="BA175" i="5"/>
  <c r="BB175" i="5"/>
  <c r="BC175" i="5"/>
  <c r="BD175" i="5"/>
  <c r="BE175" i="5"/>
  <c r="BF175" i="5"/>
  <c r="BG175" i="5"/>
  <c r="BH175" i="5"/>
  <c r="BI175" i="5"/>
  <c r="BJ175" i="5"/>
  <c r="BK175" i="5"/>
  <c r="BL175" i="5"/>
  <c r="O176" i="5"/>
  <c r="P176" i="5"/>
  <c r="Q176" i="5"/>
  <c r="R176" i="5"/>
  <c r="S176" i="5"/>
  <c r="T176" i="5"/>
  <c r="U176" i="5"/>
  <c r="V176" i="5"/>
  <c r="W176" i="5"/>
  <c r="X176" i="5"/>
  <c r="Y176" i="5"/>
  <c r="Z176" i="5"/>
  <c r="AA176" i="5"/>
  <c r="AB176" i="5"/>
  <c r="AC176" i="5"/>
  <c r="AD176" i="5"/>
  <c r="AE176" i="5"/>
  <c r="AF176" i="5"/>
  <c r="AG176" i="5"/>
  <c r="AH176" i="5"/>
  <c r="AI176" i="5"/>
  <c r="AJ176" i="5"/>
  <c r="AK176" i="5"/>
  <c r="AL176" i="5"/>
  <c r="AM176" i="5"/>
  <c r="AN176" i="5"/>
  <c r="AO176" i="5"/>
  <c r="AP176" i="5"/>
  <c r="AQ176" i="5"/>
  <c r="AR176" i="5"/>
  <c r="AS176" i="5"/>
  <c r="AT176" i="5"/>
  <c r="AU176" i="5"/>
  <c r="AV176" i="5"/>
  <c r="AW176" i="5"/>
  <c r="AX176" i="5"/>
  <c r="AY176" i="5"/>
  <c r="AZ176" i="5"/>
  <c r="BA176" i="5"/>
  <c r="BB176" i="5"/>
  <c r="BC176" i="5"/>
  <c r="BD176" i="5"/>
  <c r="BE176" i="5"/>
  <c r="BF176" i="5"/>
  <c r="BG176" i="5"/>
  <c r="BH176" i="5"/>
  <c r="BI176" i="5"/>
  <c r="BJ176" i="5"/>
  <c r="BK176" i="5"/>
  <c r="BL176" i="5"/>
  <c r="O177" i="5"/>
  <c r="P177" i="5"/>
  <c r="Q177" i="5"/>
  <c r="R177" i="5"/>
  <c r="S177" i="5"/>
  <c r="T177" i="5"/>
  <c r="U177" i="5"/>
  <c r="V177" i="5"/>
  <c r="W177" i="5"/>
  <c r="X177" i="5"/>
  <c r="Y177" i="5"/>
  <c r="Z177" i="5"/>
  <c r="AA177" i="5"/>
  <c r="AB177" i="5"/>
  <c r="AC177" i="5"/>
  <c r="AD177" i="5"/>
  <c r="AE177" i="5"/>
  <c r="AF177" i="5"/>
  <c r="AG177" i="5"/>
  <c r="AH177" i="5"/>
  <c r="AI177" i="5"/>
  <c r="AJ177" i="5"/>
  <c r="AK177" i="5"/>
  <c r="AL177" i="5"/>
  <c r="AM177" i="5"/>
  <c r="AN177" i="5"/>
  <c r="AO177" i="5"/>
  <c r="AP177" i="5"/>
  <c r="AQ177" i="5"/>
  <c r="AR177" i="5"/>
  <c r="AS177" i="5"/>
  <c r="AT177" i="5"/>
  <c r="AU177" i="5"/>
  <c r="AV177" i="5"/>
  <c r="AW177" i="5"/>
  <c r="AX177" i="5"/>
  <c r="AY177" i="5"/>
  <c r="AZ177" i="5"/>
  <c r="BA177" i="5"/>
  <c r="BB177" i="5"/>
  <c r="BC177" i="5"/>
  <c r="BD177" i="5"/>
  <c r="BE177" i="5"/>
  <c r="BF177" i="5"/>
  <c r="BG177" i="5"/>
  <c r="BH177" i="5"/>
  <c r="BI177" i="5"/>
  <c r="BJ177" i="5"/>
  <c r="BK177" i="5"/>
  <c r="BL177" i="5"/>
  <c r="O178" i="5"/>
  <c r="P178" i="5"/>
  <c r="Q178" i="5"/>
  <c r="R178" i="5"/>
  <c r="S178" i="5"/>
  <c r="T178" i="5"/>
  <c r="U178" i="5"/>
  <c r="V178" i="5"/>
  <c r="W178" i="5"/>
  <c r="X178" i="5"/>
  <c r="Y178" i="5"/>
  <c r="Z178" i="5"/>
  <c r="AA178" i="5"/>
  <c r="AB178" i="5"/>
  <c r="AC178" i="5"/>
  <c r="AD178" i="5"/>
  <c r="AE178" i="5"/>
  <c r="AF178" i="5"/>
  <c r="AG178" i="5"/>
  <c r="AH178" i="5"/>
  <c r="AI178" i="5"/>
  <c r="AJ178" i="5"/>
  <c r="AK178" i="5"/>
  <c r="AL178" i="5"/>
  <c r="AM178" i="5"/>
  <c r="AN178" i="5"/>
  <c r="AO178" i="5"/>
  <c r="AP178" i="5"/>
  <c r="AQ178" i="5"/>
  <c r="AR178" i="5"/>
  <c r="AS178" i="5"/>
  <c r="AT178" i="5"/>
  <c r="AU178" i="5"/>
  <c r="AV178" i="5"/>
  <c r="AW178" i="5"/>
  <c r="AX178" i="5"/>
  <c r="AY178" i="5"/>
  <c r="AZ178" i="5"/>
  <c r="BA178" i="5"/>
  <c r="BB178" i="5"/>
  <c r="BC178" i="5"/>
  <c r="BD178" i="5"/>
  <c r="BE178" i="5"/>
  <c r="BF178" i="5"/>
  <c r="BG178" i="5"/>
  <c r="BH178" i="5"/>
  <c r="BI178" i="5"/>
  <c r="BJ178" i="5"/>
  <c r="BK178" i="5"/>
  <c r="BL178" i="5"/>
  <c r="O179" i="5"/>
  <c r="P179" i="5"/>
  <c r="Q179" i="5"/>
  <c r="R179" i="5"/>
  <c r="S179" i="5"/>
  <c r="T179" i="5"/>
  <c r="U179" i="5"/>
  <c r="V179" i="5"/>
  <c r="W179" i="5"/>
  <c r="X179" i="5"/>
  <c r="Y179" i="5"/>
  <c r="Z179" i="5"/>
  <c r="AA179" i="5"/>
  <c r="AB179" i="5"/>
  <c r="AC179" i="5"/>
  <c r="AD179" i="5"/>
  <c r="AE179" i="5"/>
  <c r="AF179" i="5"/>
  <c r="AG179" i="5"/>
  <c r="AH179" i="5"/>
  <c r="AI179" i="5"/>
  <c r="AJ179" i="5"/>
  <c r="AK179" i="5"/>
  <c r="AL179" i="5"/>
  <c r="AM179" i="5"/>
  <c r="AN179" i="5"/>
  <c r="AO179" i="5"/>
  <c r="AP179" i="5"/>
  <c r="AQ179" i="5"/>
  <c r="AR179" i="5"/>
  <c r="AS179" i="5"/>
  <c r="AT179" i="5"/>
  <c r="AU179" i="5"/>
  <c r="AV179" i="5"/>
  <c r="AW179" i="5"/>
  <c r="AX179" i="5"/>
  <c r="AY179" i="5"/>
  <c r="AZ179" i="5"/>
  <c r="BA179" i="5"/>
  <c r="BB179" i="5"/>
  <c r="BC179" i="5"/>
  <c r="BD179" i="5"/>
  <c r="BE179" i="5"/>
  <c r="BF179" i="5"/>
  <c r="BG179" i="5"/>
  <c r="BH179" i="5"/>
  <c r="BI179" i="5"/>
  <c r="BJ179" i="5"/>
  <c r="BK179" i="5"/>
  <c r="BL179" i="5"/>
  <c r="O180" i="5"/>
  <c r="P180" i="5"/>
  <c r="Q180" i="5"/>
  <c r="R180" i="5"/>
  <c r="S180" i="5"/>
  <c r="T180" i="5"/>
  <c r="U180" i="5"/>
  <c r="V180" i="5"/>
  <c r="W180" i="5"/>
  <c r="X180" i="5"/>
  <c r="Y180" i="5"/>
  <c r="Z180" i="5"/>
  <c r="AA180" i="5"/>
  <c r="AB180" i="5"/>
  <c r="AC180" i="5"/>
  <c r="AD180" i="5"/>
  <c r="AE180" i="5"/>
  <c r="AF180" i="5"/>
  <c r="AG180" i="5"/>
  <c r="AH180" i="5"/>
  <c r="AI180" i="5"/>
  <c r="AJ180" i="5"/>
  <c r="AK180" i="5"/>
  <c r="AL180" i="5"/>
  <c r="AM180" i="5"/>
  <c r="AN180" i="5"/>
  <c r="AO180" i="5"/>
  <c r="AP180" i="5"/>
  <c r="AQ180" i="5"/>
  <c r="AR180" i="5"/>
  <c r="AS180" i="5"/>
  <c r="AT180" i="5"/>
  <c r="AU180" i="5"/>
  <c r="AV180" i="5"/>
  <c r="AW180" i="5"/>
  <c r="AX180" i="5"/>
  <c r="AY180" i="5"/>
  <c r="AZ180" i="5"/>
  <c r="BA180" i="5"/>
  <c r="BB180" i="5"/>
  <c r="BC180" i="5"/>
  <c r="BD180" i="5"/>
  <c r="BE180" i="5"/>
  <c r="BF180" i="5"/>
  <c r="BG180" i="5"/>
  <c r="BH180" i="5"/>
  <c r="BI180" i="5"/>
  <c r="BJ180" i="5"/>
  <c r="BK180" i="5"/>
  <c r="BL180" i="5"/>
  <c r="O181" i="5"/>
  <c r="P181" i="5"/>
  <c r="Q181" i="5"/>
  <c r="R181" i="5"/>
  <c r="S181" i="5"/>
  <c r="T181" i="5"/>
  <c r="U181" i="5"/>
  <c r="V181" i="5"/>
  <c r="W181" i="5"/>
  <c r="X181" i="5"/>
  <c r="Y181" i="5"/>
  <c r="Z181" i="5"/>
  <c r="AA181" i="5"/>
  <c r="AB181" i="5"/>
  <c r="AC181" i="5"/>
  <c r="AD181" i="5"/>
  <c r="AE181" i="5"/>
  <c r="AF181" i="5"/>
  <c r="AG181" i="5"/>
  <c r="AH181" i="5"/>
  <c r="AI181" i="5"/>
  <c r="AJ181" i="5"/>
  <c r="AK181" i="5"/>
  <c r="AL181" i="5"/>
  <c r="AM181" i="5"/>
  <c r="AN181" i="5"/>
  <c r="AO181" i="5"/>
  <c r="AP181" i="5"/>
  <c r="AQ181" i="5"/>
  <c r="AR181" i="5"/>
  <c r="AS181" i="5"/>
  <c r="AT181" i="5"/>
  <c r="AU181" i="5"/>
  <c r="AV181" i="5"/>
  <c r="AW181" i="5"/>
  <c r="AX181" i="5"/>
  <c r="AY181" i="5"/>
  <c r="AZ181" i="5"/>
  <c r="BA181" i="5"/>
  <c r="BB181" i="5"/>
  <c r="BC181" i="5"/>
  <c r="BD181" i="5"/>
  <c r="BE181" i="5"/>
  <c r="BF181" i="5"/>
  <c r="BG181" i="5"/>
  <c r="BH181" i="5"/>
  <c r="BI181" i="5"/>
  <c r="BJ181" i="5"/>
  <c r="BK181" i="5"/>
  <c r="BL181" i="5"/>
  <c r="O182" i="5"/>
  <c r="P182" i="5"/>
  <c r="Q182" i="5"/>
  <c r="R182" i="5"/>
  <c r="S182" i="5"/>
  <c r="T182" i="5"/>
  <c r="U182" i="5"/>
  <c r="V182" i="5"/>
  <c r="W182" i="5"/>
  <c r="X182" i="5"/>
  <c r="Y182" i="5"/>
  <c r="Z182" i="5"/>
  <c r="AA182" i="5"/>
  <c r="AB182" i="5"/>
  <c r="AC182" i="5"/>
  <c r="AD182" i="5"/>
  <c r="AE182" i="5"/>
  <c r="AF182" i="5"/>
  <c r="AG182" i="5"/>
  <c r="AH182" i="5"/>
  <c r="AI182" i="5"/>
  <c r="AJ182" i="5"/>
  <c r="AK182" i="5"/>
  <c r="AL182" i="5"/>
  <c r="AM182" i="5"/>
  <c r="AN182" i="5"/>
  <c r="AO182" i="5"/>
  <c r="AP182" i="5"/>
  <c r="AQ182" i="5"/>
  <c r="AR182" i="5"/>
  <c r="AS182" i="5"/>
  <c r="AT182" i="5"/>
  <c r="AU182" i="5"/>
  <c r="AV182" i="5"/>
  <c r="AW182" i="5"/>
  <c r="AX182" i="5"/>
  <c r="AY182" i="5"/>
  <c r="AZ182" i="5"/>
  <c r="BA182" i="5"/>
  <c r="BB182" i="5"/>
  <c r="BC182" i="5"/>
  <c r="BD182" i="5"/>
  <c r="BE182" i="5"/>
  <c r="BF182" i="5"/>
  <c r="BG182" i="5"/>
  <c r="BH182" i="5"/>
  <c r="BI182" i="5"/>
  <c r="BJ182" i="5"/>
  <c r="BK182" i="5"/>
  <c r="BL182" i="5"/>
  <c r="O183" i="5"/>
  <c r="P183" i="5"/>
  <c r="Q183" i="5"/>
  <c r="R183" i="5"/>
  <c r="S183" i="5"/>
  <c r="T183" i="5"/>
  <c r="U183" i="5"/>
  <c r="V183" i="5"/>
  <c r="W183" i="5"/>
  <c r="X183" i="5"/>
  <c r="Y183" i="5"/>
  <c r="Z183" i="5"/>
  <c r="AA183" i="5"/>
  <c r="AB183" i="5"/>
  <c r="AC183" i="5"/>
  <c r="AD183" i="5"/>
  <c r="AE183" i="5"/>
  <c r="AF183" i="5"/>
  <c r="AG183" i="5"/>
  <c r="AH183" i="5"/>
  <c r="AI183" i="5"/>
  <c r="AJ183" i="5"/>
  <c r="AK183" i="5"/>
  <c r="AL183" i="5"/>
  <c r="AM183" i="5"/>
  <c r="AN183" i="5"/>
  <c r="AO183" i="5"/>
  <c r="AP183" i="5"/>
  <c r="AQ183" i="5"/>
  <c r="AR183" i="5"/>
  <c r="AS183" i="5"/>
  <c r="AT183" i="5"/>
  <c r="AU183" i="5"/>
  <c r="AV183" i="5"/>
  <c r="AW183" i="5"/>
  <c r="AX183" i="5"/>
  <c r="AY183" i="5"/>
  <c r="AZ183" i="5"/>
  <c r="BA183" i="5"/>
  <c r="BB183" i="5"/>
  <c r="BC183" i="5"/>
  <c r="BD183" i="5"/>
  <c r="BE183" i="5"/>
  <c r="BF183" i="5"/>
  <c r="BG183" i="5"/>
  <c r="BH183" i="5"/>
  <c r="BI183" i="5"/>
  <c r="BJ183" i="5"/>
  <c r="BK183" i="5"/>
  <c r="BL183" i="5"/>
  <c r="O184" i="5"/>
  <c r="P184" i="5"/>
  <c r="Q184" i="5"/>
  <c r="R184" i="5"/>
  <c r="S184" i="5"/>
  <c r="T184" i="5"/>
  <c r="U184" i="5"/>
  <c r="V184" i="5"/>
  <c r="W184" i="5"/>
  <c r="X184" i="5"/>
  <c r="Y184" i="5"/>
  <c r="Z184" i="5"/>
  <c r="AA184" i="5"/>
  <c r="AB184" i="5"/>
  <c r="AC184" i="5"/>
  <c r="AD184" i="5"/>
  <c r="AE184" i="5"/>
  <c r="AF184" i="5"/>
  <c r="AG184" i="5"/>
  <c r="AH184" i="5"/>
  <c r="AI184" i="5"/>
  <c r="AJ184" i="5"/>
  <c r="AK184" i="5"/>
  <c r="AL184" i="5"/>
  <c r="AM184" i="5"/>
  <c r="AN184" i="5"/>
  <c r="AO184" i="5"/>
  <c r="AP184" i="5"/>
  <c r="AQ184" i="5"/>
  <c r="AR184" i="5"/>
  <c r="AS184" i="5"/>
  <c r="AT184" i="5"/>
  <c r="AU184" i="5"/>
  <c r="AV184" i="5"/>
  <c r="AW184" i="5"/>
  <c r="AX184" i="5"/>
  <c r="AY184" i="5"/>
  <c r="AZ184" i="5"/>
  <c r="BA184" i="5"/>
  <c r="BB184" i="5"/>
  <c r="BC184" i="5"/>
  <c r="BD184" i="5"/>
  <c r="BE184" i="5"/>
  <c r="BF184" i="5"/>
  <c r="BG184" i="5"/>
  <c r="BH184" i="5"/>
  <c r="BI184" i="5"/>
  <c r="BJ184" i="5"/>
  <c r="BK184" i="5"/>
  <c r="BL184" i="5"/>
  <c r="O185" i="5"/>
  <c r="P185" i="5"/>
  <c r="Q185" i="5"/>
  <c r="R185" i="5"/>
  <c r="S185" i="5"/>
  <c r="T185" i="5"/>
  <c r="U185" i="5"/>
  <c r="V185" i="5"/>
  <c r="W185" i="5"/>
  <c r="X185" i="5"/>
  <c r="Y185" i="5"/>
  <c r="Z185" i="5"/>
  <c r="AA185" i="5"/>
  <c r="AB185" i="5"/>
  <c r="AC185" i="5"/>
  <c r="AD185" i="5"/>
  <c r="AE185" i="5"/>
  <c r="AF185" i="5"/>
  <c r="AG185" i="5"/>
  <c r="AH185" i="5"/>
  <c r="AI185" i="5"/>
  <c r="AJ185" i="5"/>
  <c r="AK185" i="5"/>
  <c r="AL185" i="5"/>
  <c r="AM185" i="5"/>
  <c r="AN185" i="5"/>
  <c r="AO185" i="5"/>
  <c r="AP185" i="5"/>
  <c r="AQ185" i="5"/>
  <c r="AR185" i="5"/>
  <c r="AS185" i="5"/>
  <c r="AT185" i="5"/>
  <c r="AU185" i="5"/>
  <c r="AV185" i="5"/>
  <c r="AW185" i="5"/>
  <c r="AX185" i="5"/>
  <c r="AY185" i="5"/>
  <c r="AZ185" i="5"/>
  <c r="BA185" i="5"/>
  <c r="BB185" i="5"/>
  <c r="BC185" i="5"/>
  <c r="BD185" i="5"/>
  <c r="BE185" i="5"/>
  <c r="BF185" i="5"/>
  <c r="BG185" i="5"/>
  <c r="BH185" i="5"/>
  <c r="BI185" i="5"/>
  <c r="BJ185" i="5"/>
  <c r="BK185" i="5"/>
  <c r="BL185" i="5"/>
  <c r="O186" i="5"/>
  <c r="P186" i="5"/>
  <c r="Q186" i="5"/>
  <c r="R186" i="5"/>
  <c r="S186" i="5"/>
  <c r="T186" i="5"/>
  <c r="U186" i="5"/>
  <c r="V186" i="5"/>
  <c r="W186" i="5"/>
  <c r="X186" i="5"/>
  <c r="Y186" i="5"/>
  <c r="Z186" i="5"/>
  <c r="AA186" i="5"/>
  <c r="AB186" i="5"/>
  <c r="AC186" i="5"/>
  <c r="AD186" i="5"/>
  <c r="AE186" i="5"/>
  <c r="AF186" i="5"/>
  <c r="AG186" i="5"/>
  <c r="AH186" i="5"/>
  <c r="AI186" i="5"/>
  <c r="AJ186" i="5"/>
  <c r="AK186" i="5"/>
  <c r="AL186" i="5"/>
  <c r="AM186" i="5"/>
  <c r="AN186" i="5"/>
  <c r="AO186" i="5"/>
  <c r="AP186" i="5"/>
  <c r="AQ186" i="5"/>
  <c r="AR186" i="5"/>
  <c r="AS186" i="5"/>
  <c r="AT186" i="5"/>
  <c r="AU186" i="5"/>
  <c r="AV186" i="5"/>
  <c r="AW186" i="5"/>
  <c r="AX186" i="5"/>
  <c r="AY186" i="5"/>
  <c r="AZ186" i="5"/>
  <c r="BA186" i="5"/>
  <c r="BB186" i="5"/>
  <c r="BC186" i="5"/>
  <c r="BD186" i="5"/>
  <c r="BE186" i="5"/>
  <c r="BF186" i="5"/>
  <c r="BG186" i="5"/>
  <c r="BH186" i="5"/>
  <c r="BI186" i="5"/>
  <c r="BJ186" i="5"/>
  <c r="BK186" i="5"/>
  <c r="BL186" i="5"/>
  <c r="O187" i="5"/>
  <c r="P187" i="5"/>
  <c r="Q187" i="5"/>
  <c r="R187" i="5"/>
  <c r="S187" i="5"/>
  <c r="T187" i="5"/>
  <c r="U187" i="5"/>
  <c r="V187" i="5"/>
  <c r="W187" i="5"/>
  <c r="X187" i="5"/>
  <c r="Y187" i="5"/>
  <c r="Z187" i="5"/>
  <c r="AA187" i="5"/>
  <c r="AB187" i="5"/>
  <c r="AC187" i="5"/>
  <c r="AD187" i="5"/>
  <c r="AE187" i="5"/>
  <c r="AF187" i="5"/>
  <c r="AG187" i="5"/>
  <c r="AH187" i="5"/>
  <c r="AI187" i="5"/>
  <c r="AJ187" i="5"/>
  <c r="AK187" i="5"/>
  <c r="AL187" i="5"/>
  <c r="AM187" i="5"/>
  <c r="AN187" i="5"/>
  <c r="AO187" i="5"/>
  <c r="AP187" i="5"/>
  <c r="AQ187" i="5"/>
  <c r="AR187" i="5"/>
  <c r="AS187" i="5"/>
  <c r="AT187" i="5"/>
  <c r="AU187" i="5"/>
  <c r="AV187" i="5"/>
  <c r="AW187" i="5"/>
  <c r="AX187" i="5"/>
  <c r="AY187" i="5"/>
  <c r="AZ187" i="5"/>
  <c r="BA187" i="5"/>
  <c r="BB187" i="5"/>
  <c r="BC187" i="5"/>
  <c r="BD187" i="5"/>
  <c r="BE187" i="5"/>
  <c r="BF187" i="5"/>
  <c r="BG187" i="5"/>
  <c r="BH187" i="5"/>
  <c r="BI187" i="5"/>
  <c r="BJ187" i="5"/>
  <c r="BK187" i="5"/>
  <c r="BL187" i="5"/>
  <c r="O188" i="5"/>
  <c r="P188" i="5"/>
  <c r="Q188" i="5"/>
  <c r="R188" i="5"/>
  <c r="S188" i="5"/>
  <c r="T188" i="5"/>
  <c r="U188" i="5"/>
  <c r="V188" i="5"/>
  <c r="W188" i="5"/>
  <c r="X188" i="5"/>
  <c r="Y188" i="5"/>
  <c r="Z188" i="5"/>
  <c r="AA188" i="5"/>
  <c r="AB188" i="5"/>
  <c r="AC188" i="5"/>
  <c r="AD188" i="5"/>
  <c r="AE188" i="5"/>
  <c r="AF188" i="5"/>
  <c r="AG188" i="5"/>
  <c r="AH188" i="5"/>
  <c r="AI188" i="5"/>
  <c r="AJ188" i="5"/>
  <c r="AK188" i="5"/>
  <c r="AL188" i="5"/>
  <c r="AM188" i="5"/>
  <c r="AN188" i="5"/>
  <c r="AO188" i="5"/>
  <c r="AP188" i="5"/>
  <c r="AQ188" i="5"/>
  <c r="AR188" i="5"/>
  <c r="AS188" i="5"/>
  <c r="AT188" i="5"/>
  <c r="AU188" i="5"/>
  <c r="AV188" i="5"/>
  <c r="AW188" i="5"/>
  <c r="AX188" i="5"/>
  <c r="AY188" i="5"/>
  <c r="AZ188" i="5"/>
  <c r="BA188" i="5"/>
  <c r="BB188" i="5"/>
  <c r="BC188" i="5"/>
  <c r="BD188" i="5"/>
  <c r="BE188" i="5"/>
  <c r="BF188" i="5"/>
  <c r="BG188" i="5"/>
  <c r="BH188" i="5"/>
  <c r="BI188" i="5"/>
  <c r="BJ188" i="5"/>
  <c r="BK188" i="5"/>
  <c r="BL188" i="5"/>
  <c r="O189" i="5"/>
  <c r="P189" i="5"/>
  <c r="Q189" i="5"/>
  <c r="R189" i="5"/>
  <c r="S189" i="5"/>
  <c r="T189" i="5"/>
  <c r="U189" i="5"/>
  <c r="V189" i="5"/>
  <c r="W189" i="5"/>
  <c r="X189" i="5"/>
  <c r="Y189" i="5"/>
  <c r="Z189" i="5"/>
  <c r="AA189" i="5"/>
  <c r="AB189" i="5"/>
  <c r="AC189" i="5"/>
  <c r="AD189" i="5"/>
  <c r="AE189" i="5"/>
  <c r="AF189" i="5"/>
  <c r="AG189" i="5"/>
  <c r="AH189" i="5"/>
  <c r="AI189" i="5"/>
  <c r="AJ189" i="5"/>
  <c r="AK189" i="5"/>
  <c r="AL189" i="5"/>
  <c r="AM189" i="5"/>
  <c r="AN189" i="5"/>
  <c r="AO189" i="5"/>
  <c r="AP189" i="5"/>
  <c r="AQ189" i="5"/>
  <c r="AR189" i="5"/>
  <c r="AS189" i="5"/>
  <c r="AT189" i="5"/>
  <c r="AU189" i="5"/>
  <c r="AV189" i="5"/>
  <c r="AW189" i="5"/>
  <c r="AX189" i="5"/>
  <c r="AY189" i="5"/>
  <c r="AZ189" i="5"/>
  <c r="BA189" i="5"/>
  <c r="BB189" i="5"/>
  <c r="BC189" i="5"/>
  <c r="BD189" i="5"/>
  <c r="BE189" i="5"/>
  <c r="BF189" i="5"/>
  <c r="BG189" i="5"/>
  <c r="BH189" i="5"/>
  <c r="BI189" i="5"/>
  <c r="BJ189" i="5"/>
  <c r="BK189" i="5"/>
  <c r="BL189" i="5"/>
  <c r="O190" i="5"/>
  <c r="P190" i="5"/>
  <c r="Q190" i="5"/>
  <c r="R190" i="5"/>
  <c r="S190" i="5"/>
  <c r="T190" i="5"/>
  <c r="U190" i="5"/>
  <c r="V190" i="5"/>
  <c r="W190" i="5"/>
  <c r="X190" i="5"/>
  <c r="Y190" i="5"/>
  <c r="Z190" i="5"/>
  <c r="AA190" i="5"/>
  <c r="AB190" i="5"/>
  <c r="AC190" i="5"/>
  <c r="AD190" i="5"/>
  <c r="AE190" i="5"/>
  <c r="AF190" i="5"/>
  <c r="AG190" i="5"/>
  <c r="AH190" i="5"/>
  <c r="AI190" i="5"/>
  <c r="AJ190" i="5"/>
  <c r="AK190" i="5"/>
  <c r="AL190" i="5"/>
  <c r="AM190" i="5"/>
  <c r="AN190" i="5"/>
  <c r="AO190" i="5"/>
  <c r="AP190" i="5"/>
  <c r="AQ190" i="5"/>
  <c r="AR190" i="5"/>
  <c r="AS190" i="5"/>
  <c r="AT190" i="5"/>
  <c r="AU190" i="5"/>
  <c r="AV190" i="5"/>
  <c r="AW190" i="5"/>
  <c r="AX190" i="5"/>
  <c r="AY190" i="5"/>
  <c r="AZ190" i="5"/>
  <c r="BA190" i="5"/>
  <c r="BB190" i="5"/>
  <c r="BC190" i="5"/>
  <c r="BD190" i="5"/>
  <c r="BE190" i="5"/>
  <c r="BF190" i="5"/>
  <c r="BG190" i="5"/>
  <c r="BH190" i="5"/>
  <c r="BI190" i="5"/>
  <c r="BJ190" i="5"/>
  <c r="BK190" i="5"/>
  <c r="BL190" i="5"/>
  <c r="O191" i="5"/>
  <c r="P191" i="5"/>
  <c r="Q191" i="5"/>
  <c r="R191" i="5"/>
  <c r="S191" i="5"/>
  <c r="T191" i="5"/>
  <c r="U191" i="5"/>
  <c r="V191" i="5"/>
  <c r="W191" i="5"/>
  <c r="X191" i="5"/>
  <c r="Y191" i="5"/>
  <c r="Z191" i="5"/>
  <c r="AA191" i="5"/>
  <c r="AB191" i="5"/>
  <c r="AC191" i="5"/>
  <c r="AD191" i="5"/>
  <c r="AE191" i="5"/>
  <c r="AF191" i="5"/>
  <c r="AG191" i="5"/>
  <c r="AH191" i="5"/>
  <c r="AI191" i="5"/>
  <c r="AJ191" i="5"/>
  <c r="AK191" i="5"/>
  <c r="AL191" i="5"/>
  <c r="AM191" i="5"/>
  <c r="AN191" i="5"/>
  <c r="AO191" i="5"/>
  <c r="AP191" i="5"/>
  <c r="AQ191" i="5"/>
  <c r="AR191" i="5"/>
  <c r="AS191" i="5"/>
  <c r="AT191" i="5"/>
  <c r="AU191" i="5"/>
  <c r="AV191" i="5"/>
  <c r="AW191" i="5"/>
  <c r="AX191" i="5"/>
  <c r="AY191" i="5"/>
  <c r="AZ191" i="5"/>
  <c r="BA191" i="5"/>
  <c r="BB191" i="5"/>
  <c r="BC191" i="5"/>
  <c r="BD191" i="5"/>
  <c r="BE191" i="5"/>
  <c r="BF191" i="5"/>
  <c r="BG191" i="5"/>
  <c r="BH191" i="5"/>
  <c r="BI191" i="5"/>
  <c r="BJ191" i="5"/>
  <c r="BK191" i="5"/>
  <c r="BL191" i="5"/>
  <c r="O192" i="5"/>
  <c r="P192" i="5"/>
  <c r="Q192" i="5"/>
  <c r="R192" i="5"/>
  <c r="S192" i="5"/>
  <c r="T192" i="5"/>
  <c r="U192" i="5"/>
  <c r="V192" i="5"/>
  <c r="W192" i="5"/>
  <c r="X192" i="5"/>
  <c r="Y192" i="5"/>
  <c r="Z192" i="5"/>
  <c r="AA192" i="5"/>
  <c r="AB192" i="5"/>
  <c r="AC192" i="5"/>
  <c r="AD192" i="5"/>
  <c r="AE192" i="5"/>
  <c r="AF192" i="5"/>
  <c r="AG192" i="5"/>
  <c r="AH192" i="5"/>
  <c r="AI192" i="5"/>
  <c r="AJ192" i="5"/>
  <c r="AK192" i="5"/>
  <c r="AL192" i="5"/>
  <c r="AM192" i="5"/>
  <c r="AN192" i="5"/>
  <c r="AO192" i="5"/>
  <c r="AP192" i="5"/>
  <c r="AQ192" i="5"/>
  <c r="AR192" i="5"/>
  <c r="AS192" i="5"/>
  <c r="AT192" i="5"/>
  <c r="AU192" i="5"/>
  <c r="AV192" i="5"/>
  <c r="AW192" i="5"/>
  <c r="AX192" i="5"/>
  <c r="AY192" i="5"/>
  <c r="AZ192" i="5"/>
  <c r="BA192" i="5"/>
  <c r="BB192" i="5"/>
  <c r="BC192" i="5"/>
  <c r="BD192" i="5"/>
  <c r="BE192" i="5"/>
  <c r="BF192" i="5"/>
  <c r="BG192" i="5"/>
  <c r="BH192" i="5"/>
  <c r="BI192" i="5"/>
  <c r="BJ192" i="5"/>
  <c r="BK192" i="5"/>
  <c r="BL192" i="5"/>
  <c r="O193" i="5"/>
  <c r="P193" i="5"/>
  <c r="Q193" i="5"/>
  <c r="R193" i="5"/>
  <c r="S193" i="5"/>
  <c r="T193" i="5"/>
  <c r="U193" i="5"/>
  <c r="V193" i="5"/>
  <c r="W193" i="5"/>
  <c r="X193" i="5"/>
  <c r="Y193" i="5"/>
  <c r="Z193" i="5"/>
  <c r="AA193" i="5"/>
  <c r="AB193" i="5"/>
  <c r="AC193" i="5"/>
  <c r="AD193" i="5"/>
  <c r="AE193" i="5"/>
  <c r="AF193" i="5"/>
  <c r="AG193" i="5"/>
  <c r="AH193" i="5"/>
  <c r="AI193" i="5"/>
  <c r="AJ193" i="5"/>
  <c r="AK193" i="5"/>
  <c r="AL193" i="5"/>
  <c r="AM193" i="5"/>
  <c r="AN193" i="5"/>
  <c r="AO193" i="5"/>
  <c r="AP193" i="5"/>
  <c r="AQ193" i="5"/>
  <c r="AR193" i="5"/>
  <c r="AS193" i="5"/>
  <c r="AT193" i="5"/>
  <c r="AU193" i="5"/>
  <c r="AV193" i="5"/>
  <c r="AW193" i="5"/>
  <c r="AX193" i="5"/>
  <c r="AY193" i="5"/>
  <c r="AZ193" i="5"/>
  <c r="BA193" i="5"/>
  <c r="BB193" i="5"/>
  <c r="BC193" i="5"/>
  <c r="BD193" i="5"/>
  <c r="BE193" i="5"/>
  <c r="BF193" i="5"/>
  <c r="BG193" i="5"/>
  <c r="BH193" i="5"/>
  <c r="BI193" i="5"/>
  <c r="BJ193" i="5"/>
  <c r="BK193" i="5"/>
  <c r="BL193" i="5"/>
  <c r="O194" i="5"/>
  <c r="P194" i="5"/>
  <c r="Q194" i="5"/>
  <c r="R194" i="5"/>
  <c r="S194" i="5"/>
  <c r="T194" i="5"/>
  <c r="U194" i="5"/>
  <c r="V194" i="5"/>
  <c r="W194" i="5"/>
  <c r="X194" i="5"/>
  <c r="Y194" i="5"/>
  <c r="Z194" i="5"/>
  <c r="AA194" i="5"/>
  <c r="AB194" i="5"/>
  <c r="AC194" i="5"/>
  <c r="AD194" i="5"/>
  <c r="AE194" i="5"/>
  <c r="AF194" i="5"/>
  <c r="AG194" i="5"/>
  <c r="AH194" i="5"/>
  <c r="AI194" i="5"/>
  <c r="AJ194" i="5"/>
  <c r="AK194" i="5"/>
  <c r="AL194" i="5"/>
  <c r="AM194" i="5"/>
  <c r="AN194" i="5"/>
  <c r="AO194" i="5"/>
  <c r="AP194" i="5"/>
  <c r="AQ194" i="5"/>
  <c r="AR194" i="5"/>
  <c r="AS194" i="5"/>
  <c r="AT194" i="5"/>
  <c r="AU194" i="5"/>
  <c r="AV194" i="5"/>
  <c r="AW194" i="5"/>
  <c r="AX194" i="5"/>
  <c r="AY194" i="5"/>
  <c r="AZ194" i="5"/>
  <c r="BA194" i="5"/>
  <c r="BB194" i="5"/>
  <c r="BC194" i="5"/>
  <c r="BD194" i="5"/>
  <c r="BE194" i="5"/>
  <c r="BF194" i="5"/>
  <c r="BG194" i="5"/>
  <c r="BH194" i="5"/>
  <c r="BI194" i="5"/>
  <c r="BJ194" i="5"/>
  <c r="BK194" i="5"/>
  <c r="BL194" i="5"/>
  <c r="O195" i="5"/>
  <c r="P195" i="5"/>
  <c r="Q195" i="5"/>
  <c r="R195" i="5"/>
  <c r="S195" i="5"/>
  <c r="T195" i="5"/>
  <c r="U195" i="5"/>
  <c r="V195" i="5"/>
  <c r="W195" i="5"/>
  <c r="X195" i="5"/>
  <c r="Y195" i="5"/>
  <c r="Z195" i="5"/>
  <c r="AA195" i="5"/>
  <c r="AB195" i="5"/>
  <c r="AC195" i="5"/>
  <c r="AD195" i="5"/>
  <c r="AE195" i="5"/>
  <c r="AF195" i="5"/>
  <c r="AG195" i="5"/>
  <c r="AH195" i="5"/>
  <c r="AI195" i="5"/>
  <c r="AJ195" i="5"/>
  <c r="AK195" i="5"/>
  <c r="AL195" i="5"/>
  <c r="AM195" i="5"/>
  <c r="AN195" i="5"/>
  <c r="AO195" i="5"/>
  <c r="AP195" i="5"/>
  <c r="AQ195" i="5"/>
  <c r="AR195" i="5"/>
  <c r="AS195" i="5"/>
  <c r="AT195" i="5"/>
  <c r="AU195" i="5"/>
  <c r="AV195" i="5"/>
  <c r="AW195" i="5"/>
  <c r="AX195" i="5"/>
  <c r="AY195" i="5"/>
  <c r="AZ195" i="5"/>
  <c r="BA195" i="5"/>
  <c r="BB195" i="5"/>
  <c r="BC195" i="5"/>
  <c r="BD195" i="5"/>
  <c r="BE195" i="5"/>
  <c r="BF195" i="5"/>
  <c r="BG195" i="5"/>
  <c r="BH195" i="5"/>
  <c r="BI195" i="5"/>
  <c r="BJ195" i="5"/>
  <c r="BK195" i="5"/>
  <c r="BL195" i="5"/>
  <c r="O196" i="5"/>
  <c r="P196" i="5"/>
  <c r="Q196" i="5"/>
  <c r="R196" i="5"/>
  <c r="S196" i="5"/>
  <c r="T196" i="5"/>
  <c r="U196" i="5"/>
  <c r="V196" i="5"/>
  <c r="W196" i="5"/>
  <c r="X196" i="5"/>
  <c r="Y196" i="5"/>
  <c r="Z196" i="5"/>
  <c r="AA196" i="5"/>
  <c r="AB196" i="5"/>
  <c r="AC196" i="5"/>
  <c r="AD196" i="5"/>
  <c r="AE196" i="5"/>
  <c r="AF196" i="5"/>
  <c r="AG196" i="5"/>
  <c r="AH196" i="5"/>
  <c r="AI196" i="5"/>
  <c r="AJ196" i="5"/>
  <c r="AK196" i="5"/>
  <c r="AL196" i="5"/>
  <c r="AM196" i="5"/>
  <c r="AN196" i="5"/>
  <c r="AO196" i="5"/>
  <c r="AP196" i="5"/>
  <c r="AQ196" i="5"/>
  <c r="AR196" i="5"/>
  <c r="AS196" i="5"/>
  <c r="AT196" i="5"/>
  <c r="AU196" i="5"/>
  <c r="AV196" i="5"/>
  <c r="AW196" i="5"/>
  <c r="AX196" i="5"/>
  <c r="AY196" i="5"/>
  <c r="AZ196" i="5"/>
  <c r="BA196" i="5"/>
  <c r="BB196" i="5"/>
  <c r="BC196" i="5"/>
  <c r="BD196" i="5"/>
  <c r="BE196" i="5"/>
  <c r="BF196" i="5"/>
  <c r="BG196" i="5"/>
  <c r="BH196" i="5"/>
  <c r="BI196" i="5"/>
  <c r="BJ196" i="5"/>
  <c r="BK196" i="5"/>
  <c r="BL196" i="5"/>
  <c r="O197" i="5"/>
  <c r="P197" i="5"/>
  <c r="Q197" i="5"/>
  <c r="R197" i="5"/>
  <c r="S197" i="5"/>
  <c r="T197" i="5"/>
  <c r="U197" i="5"/>
  <c r="V197" i="5"/>
  <c r="W197" i="5"/>
  <c r="X197" i="5"/>
  <c r="Y197" i="5"/>
  <c r="Z197" i="5"/>
  <c r="AA197" i="5"/>
  <c r="AB197" i="5"/>
  <c r="AC197" i="5"/>
  <c r="AD197" i="5"/>
  <c r="AE197" i="5"/>
  <c r="AF197" i="5"/>
  <c r="AG197" i="5"/>
  <c r="AH197" i="5"/>
  <c r="AI197" i="5"/>
  <c r="AJ197" i="5"/>
  <c r="AK197" i="5"/>
  <c r="AL197" i="5"/>
  <c r="AM197" i="5"/>
  <c r="AN197" i="5"/>
  <c r="AO197" i="5"/>
  <c r="AP197" i="5"/>
  <c r="AQ197" i="5"/>
  <c r="AR197" i="5"/>
  <c r="AS197" i="5"/>
  <c r="AT197" i="5"/>
  <c r="AU197" i="5"/>
  <c r="AV197" i="5"/>
  <c r="AW197" i="5"/>
  <c r="AX197" i="5"/>
  <c r="AY197" i="5"/>
  <c r="AZ197" i="5"/>
  <c r="BA197" i="5"/>
  <c r="BB197" i="5"/>
  <c r="BC197" i="5"/>
  <c r="BD197" i="5"/>
  <c r="BE197" i="5"/>
  <c r="BF197" i="5"/>
  <c r="BG197" i="5"/>
  <c r="BH197" i="5"/>
  <c r="BI197" i="5"/>
  <c r="BJ197" i="5"/>
  <c r="BK197" i="5"/>
  <c r="BL197" i="5"/>
  <c r="O198" i="5"/>
  <c r="P198" i="5"/>
  <c r="Q198" i="5"/>
  <c r="R198" i="5"/>
  <c r="S198" i="5"/>
  <c r="T198" i="5"/>
  <c r="U198" i="5"/>
  <c r="V198" i="5"/>
  <c r="W198" i="5"/>
  <c r="X198" i="5"/>
  <c r="Y198" i="5"/>
  <c r="Z198" i="5"/>
  <c r="AA198" i="5"/>
  <c r="AB198" i="5"/>
  <c r="AC198" i="5"/>
  <c r="AD198" i="5"/>
  <c r="AE198" i="5"/>
  <c r="AF198" i="5"/>
  <c r="AG198" i="5"/>
  <c r="AH198" i="5"/>
  <c r="AI198" i="5"/>
  <c r="AJ198" i="5"/>
  <c r="AK198" i="5"/>
  <c r="AL198" i="5"/>
  <c r="AM198" i="5"/>
  <c r="AN198" i="5"/>
  <c r="AO198" i="5"/>
  <c r="AP198" i="5"/>
  <c r="AQ198" i="5"/>
  <c r="AR198" i="5"/>
  <c r="AS198" i="5"/>
  <c r="AT198" i="5"/>
  <c r="AU198" i="5"/>
  <c r="AV198" i="5"/>
  <c r="AW198" i="5"/>
  <c r="AX198" i="5"/>
  <c r="AY198" i="5"/>
  <c r="AZ198" i="5"/>
  <c r="BA198" i="5"/>
  <c r="BB198" i="5"/>
  <c r="BC198" i="5"/>
  <c r="BD198" i="5"/>
  <c r="BE198" i="5"/>
  <c r="BF198" i="5"/>
  <c r="BG198" i="5"/>
  <c r="BH198" i="5"/>
  <c r="BI198" i="5"/>
  <c r="BJ198" i="5"/>
  <c r="BK198" i="5"/>
  <c r="BL198" i="5"/>
  <c r="O199" i="5"/>
  <c r="P199" i="5"/>
  <c r="Q199" i="5"/>
  <c r="R199" i="5"/>
  <c r="S199" i="5"/>
  <c r="T199" i="5"/>
  <c r="U199" i="5"/>
  <c r="V199" i="5"/>
  <c r="W199" i="5"/>
  <c r="X199" i="5"/>
  <c r="Y199" i="5"/>
  <c r="Z199" i="5"/>
  <c r="AA199" i="5"/>
  <c r="AB199" i="5"/>
  <c r="AC199" i="5"/>
  <c r="AD199" i="5"/>
  <c r="AE199" i="5"/>
  <c r="AF199" i="5"/>
  <c r="AG199" i="5"/>
  <c r="AH199" i="5"/>
  <c r="AI199" i="5"/>
  <c r="AJ199" i="5"/>
  <c r="AK199" i="5"/>
  <c r="AL199" i="5"/>
  <c r="AM199" i="5"/>
  <c r="AN199" i="5"/>
  <c r="AO199" i="5"/>
  <c r="AP199" i="5"/>
  <c r="AQ199" i="5"/>
  <c r="AR199" i="5"/>
  <c r="AS199" i="5"/>
  <c r="AT199" i="5"/>
  <c r="AU199" i="5"/>
  <c r="AV199" i="5"/>
  <c r="AW199" i="5"/>
  <c r="AX199" i="5"/>
  <c r="AY199" i="5"/>
  <c r="AZ199" i="5"/>
  <c r="BA199" i="5"/>
  <c r="BB199" i="5"/>
  <c r="BC199" i="5"/>
  <c r="BD199" i="5"/>
  <c r="BE199" i="5"/>
  <c r="BF199" i="5"/>
  <c r="BG199" i="5"/>
  <c r="BH199" i="5"/>
  <c r="BI199" i="5"/>
  <c r="BJ199" i="5"/>
  <c r="BK199" i="5"/>
  <c r="BL199" i="5"/>
  <c r="O200" i="5"/>
  <c r="P200" i="5"/>
  <c r="Q200" i="5"/>
  <c r="R200" i="5"/>
  <c r="S200" i="5"/>
  <c r="T200" i="5"/>
  <c r="U200" i="5"/>
  <c r="V200" i="5"/>
  <c r="W200" i="5"/>
  <c r="X200" i="5"/>
  <c r="Y200" i="5"/>
  <c r="Z200" i="5"/>
  <c r="AA200" i="5"/>
  <c r="AB200" i="5"/>
  <c r="AC200" i="5"/>
  <c r="AD200" i="5"/>
  <c r="AE200" i="5"/>
  <c r="AF200" i="5"/>
  <c r="AG200" i="5"/>
  <c r="AH200" i="5"/>
  <c r="AI200" i="5"/>
  <c r="AJ200" i="5"/>
  <c r="AK200" i="5"/>
  <c r="AL200" i="5"/>
  <c r="AM200" i="5"/>
  <c r="AN200" i="5"/>
  <c r="AO200" i="5"/>
  <c r="AP200" i="5"/>
  <c r="AQ200" i="5"/>
  <c r="AR200" i="5"/>
  <c r="AS200" i="5"/>
  <c r="AT200" i="5"/>
  <c r="AU200" i="5"/>
  <c r="AV200" i="5"/>
  <c r="AW200" i="5"/>
  <c r="AX200" i="5"/>
  <c r="AY200" i="5"/>
  <c r="AZ200" i="5"/>
  <c r="BA200" i="5"/>
  <c r="BB200" i="5"/>
  <c r="BC200" i="5"/>
  <c r="BD200" i="5"/>
  <c r="BE200" i="5"/>
  <c r="BF200" i="5"/>
  <c r="BG200" i="5"/>
  <c r="BH200" i="5"/>
  <c r="BI200" i="5"/>
  <c r="BJ200" i="5"/>
  <c r="BK200" i="5"/>
  <c r="BL200" i="5"/>
  <c r="O201" i="5"/>
  <c r="P201" i="5"/>
  <c r="Q201" i="5"/>
  <c r="R201" i="5"/>
  <c r="S201" i="5"/>
  <c r="T201" i="5"/>
  <c r="U201" i="5"/>
  <c r="V201" i="5"/>
  <c r="W201" i="5"/>
  <c r="X201" i="5"/>
  <c r="Y201" i="5"/>
  <c r="Z201" i="5"/>
  <c r="AA201" i="5"/>
  <c r="AB201" i="5"/>
  <c r="AC201" i="5"/>
  <c r="AD201" i="5"/>
  <c r="AE201" i="5"/>
  <c r="AF201" i="5"/>
  <c r="AG201" i="5"/>
  <c r="AH201" i="5"/>
  <c r="AI201" i="5"/>
  <c r="AJ201" i="5"/>
  <c r="AK201" i="5"/>
  <c r="AL201" i="5"/>
  <c r="AM201" i="5"/>
  <c r="AN201" i="5"/>
  <c r="AO201" i="5"/>
  <c r="AP201" i="5"/>
  <c r="AQ201" i="5"/>
  <c r="AR201" i="5"/>
  <c r="AS201" i="5"/>
  <c r="AT201" i="5"/>
  <c r="AU201" i="5"/>
  <c r="AV201" i="5"/>
  <c r="AW201" i="5"/>
  <c r="AX201" i="5"/>
  <c r="AY201" i="5"/>
  <c r="AZ201" i="5"/>
  <c r="BA201" i="5"/>
  <c r="BB201" i="5"/>
  <c r="BC201" i="5"/>
  <c r="BD201" i="5"/>
  <c r="BE201" i="5"/>
  <c r="BF201" i="5"/>
  <c r="BG201" i="5"/>
  <c r="BH201" i="5"/>
  <c r="BI201" i="5"/>
  <c r="BJ201" i="5"/>
  <c r="BK201" i="5"/>
  <c r="BL201" i="5"/>
  <c r="O202" i="5"/>
  <c r="P202" i="5"/>
  <c r="Q202" i="5"/>
  <c r="R202" i="5"/>
  <c r="S202" i="5"/>
  <c r="T202" i="5"/>
  <c r="U202" i="5"/>
  <c r="V202" i="5"/>
  <c r="W202" i="5"/>
  <c r="X202" i="5"/>
  <c r="Y202" i="5"/>
  <c r="Z202" i="5"/>
  <c r="AA202" i="5"/>
  <c r="AB202" i="5"/>
  <c r="AC202" i="5"/>
  <c r="AD202" i="5"/>
  <c r="AE202" i="5"/>
  <c r="AF202" i="5"/>
  <c r="AG202" i="5"/>
  <c r="AH202" i="5"/>
  <c r="AI202" i="5"/>
  <c r="AJ202" i="5"/>
  <c r="AK202" i="5"/>
  <c r="AL202" i="5"/>
  <c r="AM202" i="5"/>
  <c r="AN202" i="5"/>
  <c r="AO202" i="5"/>
  <c r="AP202" i="5"/>
  <c r="AQ202" i="5"/>
  <c r="AR202" i="5"/>
  <c r="AS202" i="5"/>
  <c r="AT202" i="5"/>
  <c r="AU202" i="5"/>
  <c r="AV202" i="5"/>
  <c r="AW202" i="5"/>
  <c r="AX202" i="5"/>
  <c r="AY202" i="5"/>
  <c r="AZ202" i="5"/>
  <c r="BA202" i="5"/>
  <c r="BB202" i="5"/>
  <c r="BC202" i="5"/>
  <c r="BD202" i="5"/>
  <c r="BE202" i="5"/>
  <c r="BF202" i="5"/>
  <c r="BG202" i="5"/>
  <c r="BH202" i="5"/>
  <c r="BI202" i="5"/>
  <c r="BJ202" i="5"/>
  <c r="BK202" i="5"/>
  <c r="BL202" i="5"/>
  <c r="O203" i="5"/>
  <c r="P203" i="5"/>
  <c r="Q203" i="5"/>
  <c r="R203" i="5"/>
  <c r="S203" i="5"/>
  <c r="T203" i="5"/>
  <c r="U203" i="5"/>
  <c r="V203" i="5"/>
  <c r="W203" i="5"/>
  <c r="X203" i="5"/>
  <c r="Y203" i="5"/>
  <c r="Z203" i="5"/>
  <c r="AA203" i="5"/>
  <c r="AB203" i="5"/>
  <c r="AC203" i="5"/>
  <c r="AD203" i="5"/>
  <c r="AE203" i="5"/>
  <c r="AF203" i="5"/>
  <c r="AG203" i="5"/>
  <c r="AH203" i="5"/>
  <c r="AI203" i="5"/>
  <c r="AJ203" i="5"/>
  <c r="AK203" i="5"/>
  <c r="AL203" i="5"/>
  <c r="AM203" i="5"/>
  <c r="AN203" i="5"/>
  <c r="AO203" i="5"/>
  <c r="AP203" i="5"/>
  <c r="AQ203" i="5"/>
  <c r="AR203" i="5"/>
  <c r="AS203" i="5"/>
  <c r="AT203" i="5"/>
  <c r="AU203" i="5"/>
  <c r="AV203" i="5"/>
  <c r="AW203" i="5"/>
  <c r="AX203" i="5"/>
  <c r="AY203" i="5"/>
  <c r="AZ203" i="5"/>
  <c r="BA203" i="5"/>
  <c r="BB203" i="5"/>
  <c r="BC203" i="5"/>
  <c r="BD203" i="5"/>
  <c r="BE203" i="5"/>
  <c r="BF203" i="5"/>
  <c r="BG203" i="5"/>
  <c r="BH203" i="5"/>
  <c r="BI203" i="5"/>
  <c r="BJ203" i="5"/>
  <c r="BK203" i="5"/>
  <c r="BL203" i="5"/>
  <c r="O204" i="5"/>
  <c r="P204" i="5"/>
  <c r="Q204" i="5"/>
  <c r="R204" i="5"/>
  <c r="S204" i="5"/>
  <c r="T204" i="5"/>
  <c r="U204" i="5"/>
  <c r="V204" i="5"/>
  <c r="W204" i="5"/>
  <c r="X204" i="5"/>
  <c r="Y204" i="5"/>
  <c r="Z204" i="5"/>
  <c r="AA204" i="5"/>
  <c r="AB204" i="5"/>
  <c r="AC204" i="5"/>
  <c r="AD204" i="5"/>
  <c r="AE204" i="5"/>
  <c r="AF204" i="5"/>
  <c r="AG204" i="5"/>
  <c r="AH204" i="5"/>
  <c r="AI204" i="5"/>
  <c r="AJ204" i="5"/>
  <c r="AK204" i="5"/>
  <c r="AL204" i="5"/>
  <c r="AM204" i="5"/>
  <c r="AN204" i="5"/>
  <c r="AO204" i="5"/>
  <c r="AP204" i="5"/>
  <c r="AQ204" i="5"/>
  <c r="AR204" i="5"/>
  <c r="AS204" i="5"/>
  <c r="AT204" i="5"/>
  <c r="AU204" i="5"/>
  <c r="AV204" i="5"/>
  <c r="AW204" i="5"/>
  <c r="AX204" i="5"/>
  <c r="AY204" i="5"/>
  <c r="AZ204" i="5"/>
  <c r="BA204" i="5"/>
  <c r="BB204" i="5"/>
  <c r="BC204" i="5"/>
  <c r="BD204" i="5"/>
  <c r="BE204" i="5"/>
  <c r="BF204" i="5"/>
  <c r="BG204" i="5"/>
  <c r="BH204" i="5"/>
  <c r="BI204" i="5"/>
  <c r="BJ204" i="5"/>
  <c r="BK204" i="5"/>
  <c r="BL204" i="5"/>
  <c r="O205" i="5"/>
  <c r="P205" i="5"/>
  <c r="Q205" i="5"/>
  <c r="R205" i="5"/>
  <c r="S205" i="5"/>
  <c r="T205" i="5"/>
  <c r="U205" i="5"/>
  <c r="V205" i="5"/>
  <c r="W205" i="5"/>
  <c r="X205" i="5"/>
  <c r="Y205" i="5"/>
  <c r="Z205" i="5"/>
  <c r="AA205" i="5"/>
  <c r="AB205" i="5"/>
  <c r="AC205" i="5"/>
  <c r="AD205" i="5"/>
  <c r="AE205" i="5"/>
  <c r="AF205" i="5"/>
  <c r="AG205" i="5"/>
  <c r="AH205" i="5"/>
  <c r="AI205" i="5"/>
  <c r="AJ205" i="5"/>
  <c r="AK205" i="5"/>
  <c r="AL205" i="5"/>
  <c r="AM205" i="5"/>
  <c r="AN205" i="5"/>
  <c r="AO205" i="5"/>
  <c r="AP205" i="5"/>
  <c r="AQ205" i="5"/>
  <c r="AR205" i="5"/>
  <c r="AS205" i="5"/>
  <c r="AT205" i="5"/>
  <c r="AU205" i="5"/>
  <c r="AV205" i="5"/>
  <c r="AW205" i="5"/>
  <c r="AX205" i="5"/>
  <c r="AY205" i="5"/>
  <c r="AZ205" i="5"/>
  <c r="BA205" i="5"/>
  <c r="BB205" i="5"/>
  <c r="BC205" i="5"/>
  <c r="BD205" i="5"/>
  <c r="BE205" i="5"/>
  <c r="BF205" i="5"/>
  <c r="BG205" i="5"/>
  <c r="BH205" i="5"/>
  <c r="BI205" i="5"/>
  <c r="BJ205" i="5"/>
  <c r="BK205" i="5"/>
  <c r="BL205" i="5"/>
  <c r="O206" i="5"/>
  <c r="P206" i="5"/>
  <c r="Q206" i="5"/>
  <c r="R206" i="5"/>
  <c r="S206" i="5"/>
  <c r="T206" i="5"/>
  <c r="U206" i="5"/>
  <c r="V206" i="5"/>
  <c r="W206" i="5"/>
  <c r="X206" i="5"/>
  <c r="Y206" i="5"/>
  <c r="Z206" i="5"/>
  <c r="AA206" i="5"/>
  <c r="AB206" i="5"/>
  <c r="AC206" i="5"/>
  <c r="AD206" i="5"/>
  <c r="AE206" i="5"/>
  <c r="AF206" i="5"/>
  <c r="AG206" i="5"/>
  <c r="AH206" i="5"/>
  <c r="AI206" i="5"/>
  <c r="AJ206" i="5"/>
  <c r="AK206" i="5"/>
  <c r="AL206" i="5"/>
  <c r="AM206" i="5"/>
  <c r="AN206" i="5"/>
  <c r="AO206" i="5"/>
  <c r="AP206" i="5"/>
  <c r="AQ206" i="5"/>
  <c r="AR206" i="5"/>
  <c r="AS206" i="5"/>
  <c r="AT206" i="5"/>
  <c r="AU206" i="5"/>
  <c r="AV206" i="5"/>
  <c r="AW206" i="5"/>
  <c r="AX206" i="5"/>
  <c r="AY206" i="5"/>
  <c r="AZ206" i="5"/>
  <c r="BA206" i="5"/>
  <c r="BB206" i="5"/>
  <c r="BC206" i="5"/>
  <c r="BD206" i="5"/>
  <c r="BE206" i="5"/>
  <c r="BF206" i="5"/>
  <c r="BG206" i="5"/>
  <c r="BH206" i="5"/>
  <c r="BI206" i="5"/>
  <c r="BJ206" i="5"/>
  <c r="BK206" i="5"/>
  <c r="BL206" i="5"/>
  <c r="O207" i="5"/>
  <c r="P207" i="5"/>
  <c r="Q207" i="5"/>
  <c r="R207" i="5"/>
  <c r="S207" i="5"/>
  <c r="T207" i="5"/>
  <c r="U207" i="5"/>
  <c r="V207" i="5"/>
  <c r="W207" i="5"/>
  <c r="X207" i="5"/>
  <c r="Y207" i="5"/>
  <c r="Z207" i="5"/>
  <c r="AA207" i="5"/>
  <c r="AB207" i="5"/>
  <c r="AC207" i="5"/>
  <c r="AD207" i="5"/>
  <c r="AE207" i="5"/>
  <c r="AF207" i="5"/>
  <c r="AG207" i="5"/>
  <c r="AH207" i="5"/>
  <c r="AI207" i="5"/>
  <c r="AJ207" i="5"/>
  <c r="AK207" i="5"/>
  <c r="AL207" i="5"/>
  <c r="AM207" i="5"/>
  <c r="AN207" i="5"/>
  <c r="AO207" i="5"/>
  <c r="AP207" i="5"/>
  <c r="AQ207" i="5"/>
  <c r="AR207" i="5"/>
  <c r="AS207" i="5"/>
  <c r="AT207" i="5"/>
  <c r="AU207" i="5"/>
  <c r="AV207" i="5"/>
  <c r="AW207" i="5"/>
  <c r="AX207" i="5"/>
  <c r="AY207" i="5"/>
  <c r="AZ207" i="5"/>
  <c r="BA207" i="5"/>
  <c r="BB207" i="5"/>
  <c r="BC207" i="5"/>
  <c r="BD207" i="5"/>
  <c r="BE207" i="5"/>
  <c r="BF207" i="5"/>
  <c r="BG207" i="5"/>
  <c r="BH207" i="5"/>
  <c r="BI207" i="5"/>
  <c r="BJ207" i="5"/>
  <c r="BK207" i="5"/>
  <c r="BL207" i="5"/>
  <c r="O208" i="5"/>
  <c r="P208" i="5"/>
  <c r="Q208" i="5"/>
  <c r="R208" i="5"/>
  <c r="S208" i="5"/>
  <c r="T208" i="5"/>
  <c r="U208" i="5"/>
  <c r="V208" i="5"/>
  <c r="W208" i="5"/>
  <c r="X208" i="5"/>
  <c r="Y208" i="5"/>
  <c r="Z208" i="5"/>
  <c r="AA208" i="5"/>
  <c r="AB208" i="5"/>
  <c r="AC208" i="5"/>
  <c r="AD208" i="5"/>
  <c r="AE208" i="5"/>
  <c r="AF208" i="5"/>
  <c r="AG208" i="5"/>
  <c r="AH208" i="5"/>
  <c r="AI208" i="5"/>
  <c r="AJ208" i="5"/>
  <c r="AK208" i="5"/>
  <c r="AL208" i="5"/>
  <c r="AM208" i="5"/>
  <c r="AN208" i="5"/>
  <c r="AO208" i="5"/>
  <c r="AP208" i="5"/>
  <c r="AQ208" i="5"/>
  <c r="AR208" i="5"/>
  <c r="AS208" i="5"/>
  <c r="AT208" i="5"/>
  <c r="AU208" i="5"/>
  <c r="AV208" i="5"/>
  <c r="AW208" i="5"/>
  <c r="AX208" i="5"/>
  <c r="AY208" i="5"/>
  <c r="AZ208" i="5"/>
  <c r="BA208" i="5"/>
  <c r="BB208" i="5"/>
  <c r="BC208" i="5"/>
  <c r="BD208" i="5"/>
  <c r="BE208" i="5"/>
  <c r="BF208" i="5"/>
  <c r="BG208" i="5"/>
  <c r="BH208" i="5"/>
  <c r="BI208" i="5"/>
  <c r="BJ208" i="5"/>
  <c r="BK208" i="5"/>
  <c r="BL208" i="5"/>
  <c r="O209" i="5"/>
  <c r="P209" i="5"/>
  <c r="Q209" i="5"/>
  <c r="R209" i="5"/>
  <c r="S209" i="5"/>
  <c r="T209" i="5"/>
  <c r="U209" i="5"/>
  <c r="V209" i="5"/>
  <c r="W209" i="5"/>
  <c r="X209" i="5"/>
  <c r="Y209" i="5"/>
  <c r="Z209" i="5"/>
  <c r="AA209" i="5"/>
  <c r="AB209" i="5"/>
  <c r="AC209" i="5"/>
  <c r="AD209" i="5"/>
  <c r="AE209" i="5"/>
  <c r="AF209" i="5"/>
  <c r="AG209" i="5"/>
  <c r="AH209" i="5"/>
  <c r="AI209" i="5"/>
  <c r="AJ209" i="5"/>
  <c r="AK209" i="5"/>
  <c r="AL209" i="5"/>
  <c r="AM209" i="5"/>
  <c r="AN209" i="5"/>
  <c r="AO209" i="5"/>
  <c r="AP209" i="5"/>
  <c r="AQ209" i="5"/>
  <c r="AR209" i="5"/>
  <c r="AS209" i="5"/>
  <c r="AT209" i="5"/>
  <c r="AU209" i="5"/>
  <c r="AV209" i="5"/>
  <c r="AW209" i="5"/>
  <c r="AX209" i="5"/>
  <c r="AY209" i="5"/>
  <c r="AZ209" i="5"/>
  <c r="BA209" i="5"/>
  <c r="BB209" i="5"/>
  <c r="BC209" i="5"/>
  <c r="BD209" i="5"/>
  <c r="BE209" i="5"/>
  <c r="BF209" i="5"/>
  <c r="BG209" i="5"/>
  <c r="BH209" i="5"/>
  <c r="BI209" i="5"/>
  <c r="BJ209" i="5"/>
  <c r="BK209" i="5"/>
  <c r="BL209" i="5"/>
  <c r="O210" i="5"/>
  <c r="P210" i="5"/>
  <c r="Q210" i="5"/>
  <c r="R210" i="5"/>
  <c r="S210" i="5"/>
  <c r="T210" i="5"/>
  <c r="U210" i="5"/>
  <c r="V210" i="5"/>
  <c r="W210" i="5"/>
  <c r="X210" i="5"/>
  <c r="Y210" i="5"/>
  <c r="Z210" i="5"/>
  <c r="AA210" i="5"/>
  <c r="AB210" i="5"/>
  <c r="AC210" i="5"/>
  <c r="AD210" i="5"/>
  <c r="AE210" i="5"/>
  <c r="AF210" i="5"/>
  <c r="AG210" i="5"/>
  <c r="AH210" i="5"/>
  <c r="AI210" i="5"/>
  <c r="AJ210" i="5"/>
  <c r="AK210" i="5"/>
  <c r="AL210" i="5"/>
  <c r="AM210" i="5"/>
  <c r="AN210" i="5"/>
  <c r="AO210" i="5"/>
  <c r="AP210" i="5"/>
  <c r="AQ210" i="5"/>
  <c r="AR210" i="5"/>
  <c r="AS210" i="5"/>
  <c r="AT210" i="5"/>
  <c r="AU210" i="5"/>
  <c r="AV210" i="5"/>
  <c r="AW210" i="5"/>
  <c r="AX210" i="5"/>
  <c r="AY210" i="5"/>
  <c r="AZ210" i="5"/>
  <c r="BA210" i="5"/>
  <c r="BB210" i="5"/>
  <c r="BC210" i="5"/>
  <c r="BD210" i="5"/>
  <c r="BE210" i="5"/>
  <c r="BF210" i="5"/>
  <c r="BG210" i="5"/>
  <c r="BH210" i="5"/>
  <c r="BI210" i="5"/>
  <c r="BJ210" i="5"/>
  <c r="BK210" i="5"/>
  <c r="BL210" i="5"/>
  <c r="O211" i="5"/>
  <c r="P211" i="5"/>
  <c r="Q211" i="5"/>
  <c r="R211" i="5"/>
  <c r="S211" i="5"/>
  <c r="T211" i="5"/>
  <c r="U211" i="5"/>
  <c r="V211" i="5"/>
  <c r="W211" i="5"/>
  <c r="X211" i="5"/>
  <c r="Y211" i="5"/>
  <c r="Z211" i="5"/>
  <c r="AA211" i="5"/>
  <c r="AB211" i="5"/>
  <c r="AC211" i="5"/>
  <c r="AD211" i="5"/>
  <c r="AE211" i="5"/>
  <c r="AF211" i="5"/>
  <c r="AG211" i="5"/>
  <c r="AH211" i="5"/>
  <c r="AI211" i="5"/>
  <c r="AJ211" i="5"/>
  <c r="AK211" i="5"/>
  <c r="AL211" i="5"/>
  <c r="AM211" i="5"/>
  <c r="AN211" i="5"/>
  <c r="AO211" i="5"/>
  <c r="AP211" i="5"/>
  <c r="AQ211" i="5"/>
  <c r="AR211" i="5"/>
  <c r="AS211" i="5"/>
  <c r="AT211" i="5"/>
  <c r="AU211" i="5"/>
  <c r="AV211" i="5"/>
  <c r="AW211" i="5"/>
  <c r="AX211" i="5"/>
  <c r="AY211" i="5"/>
  <c r="AZ211" i="5"/>
  <c r="BA211" i="5"/>
  <c r="BB211" i="5"/>
  <c r="BC211" i="5"/>
  <c r="BD211" i="5"/>
  <c r="BE211" i="5"/>
  <c r="BF211" i="5"/>
  <c r="BG211" i="5"/>
  <c r="BH211" i="5"/>
  <c r="BI211" i="5"/>
  <c r="BJ211" i="5"/>
  <c r="BK211" i="5"/>
  <c r="BL211" i="5"/>
  <c r="O212" i="5"/>
  <c r="P212" i="5"/>
  <c r="Q212" i="5"/>
  <c r="R212" i="5"/>
  <c r="S212" i="5"/>
  <c r="T212" i="5"/>
  <c r="U212" i="5"/>
  <c r="V212" i="5"/>
  <c r="W212" i="5"/>
  <c r="X212" i="5"/>
  <c r="Y212" i="5"/>
  <c r="Z212" i="5"/>
  <c r="AA212" i="5"/>
  <c r="AB212" i="5"/>
  <c r="AC212" i="5"/>
  <c r="AD212" i="5"/>
  <c r="AE212" i="5"/>
  <c r="AF212" i="5"/>
  <c r="AG212" i="5"/>
  <c r="AH212" i="5"/>
  <c r="AI212" i="5"/>
  <c r="AJ212" i="5"/>
  <c r="AK212" i="5"/>
  <c r="AL212" i="5"/>
  <c r="AM212" i="5"/>
  <c r="AN212" i="5"/>
  <c r="AO212" i="5"/>
  <c r="AP212" i="5"/>
  <c r="AQ212" i="5"/>
  <c r="AR212" i="5"/>
  <c r="AS212" i="5"/>
  <c r="AT212" i="5"/>
  <c r="AU212" i="5"/>
  <c r="AV212" i="5"/>
  <c r="AW212" i="5"/>
  <c r="AX212" i="5"/>
  <c r="AY212" i="5"/>
  <c r="AZ212" i="5"/>
  <c r="BA212" i="5"/>
  <c r="BB212" i="5"/>
  <c r="BC212" i="5"/>
  <c r="BD212" i="5"/>
  <c r="BE212" i="5"/>
  <c r="BF212" i="5"/>
  <c r="BG212" i="5"/>
  <c r="BH212" i="5"/>
  <c r="BI212" i="5"/>
  <c r="BJ212" i="5"/>
  <c r="BK212" i="5"/>
  <c r="BL212" i="5"/>
  <c r="O213" i="5"/>
  <c r="P213" i="5"/>
  <c r="Q213" i="5"/>
  <c r="R213" i="5"/>
  <c r="S213" i="5"/>
  <c r="T213" i="5"/>
  <c r="U213" i="5"/>
  <c r="V213" i="5"/>
  <c r="W213" i="5"/>
  <c r="X213" i="5"/>
  <c r="Y213" i="5"/>
  <c r="Z213" i="5"/>
  <c r="AA213" i="5"/>
  <c r="AB213" i="5"/>
  <c r="AC213" i="5"/>
  <c r="AD213" i="5"/>
  <c r="AE213" i="5"/>
  <c r="AF213" i="5"/>
  <c r="AG213" i="5"/>
  <c r="AH213" i="5"/>
  <c r="AI213" i="5"/>
  <c r="AJ213" i="5"/>
  <c r="AK213" i="5"/>
  <c r="AL213" i="5"/>
  <c r="AM213" i="5"/>
  <c r="AN213" i="5"/>
  <c r="AO213" i="5"/>
  <c r="AP213" i="5"/>
  <c r="AQ213" i="5"/>
  <c r="AR213" i="5"/>
  <c r="AS213" i="5"/>
  <c r="AT213" i="5"/>
  <c r="AU213" i="5"/>
  <c r="AV213" i="5"/>
  <c r="AW213" i="5"/>
  <c r="AX213" i="5"/>
  <c r="AY213" i="5"/>
  <c r="AZ213" i="5"/>
  <c r="BA213" i="5"/>
  <c r="BB213" i="5"/>
  <c r="BC213" i="5"/>
  <c r="BD213" i="5"/>
  <c r="BE213" i="5"/>
  <c r="BF213" i="5"/>
  <c r="BG213" i="5"/>
  <c r="BH213" i="5"/>
  <c r="BI213" i="5"/>
  <c r="BJ213" i="5"/>
  <c r="BK213" i="5"/>
  <c r="BL213" i="5"/>
  <c r="O214" i="5"/>
  <c r="P214" i="5"/>
  <c r="Q214" i="5"/>
  <c r="R214" i="5"/>
  <c r="S214" i="5"/>
  <c r="T214" i="5"/>
  <c r="U214" i="5"/>
  <c r="V214" i="5"/>
  <c r="W214" i="5"/>
  <c r="X214" i="5"/>
  <c r="Y214" i="5"/>
  <c r="Z214" i="5"/>
  <c r="AA214" i="5"/>
  <c r="AB214" i="5"/>
  <c r="AC214" i="5"/>
  <c r="AD214" i="5"/>
  <c r="AE214" i="5"/>
  <c r="AF214" i="5"/>
  <c r="AG214" i="5"/>
  <c r="AH214" i="5"/>
  <c r="AI214" i="5"/>
  <c r="AJ214" i="5"/>
  <c r="AK214" i="5"/>
  <c r="AL214" i="5"/>
  <c r="AM214" i="5"/>
  <c r="AN214" i="5"/>
  <c r="AO214" i="5"/>
  <c r="AP214" i="5"/>
  <c r="AQ214" i="5"/>
  <c r="AR214" i="5"/>
  <c r="AS214" i="5"/>
  <c r="AT214" i="5"/>
  <c r="AU214" i="5"/>
  <c r="AV214" i="5"/>
  <c r="AW214" i="5"/>
  <c r="AX214" i="5"/>
  <c r="AY214" i="5"/>
  <c r="AZ214" i="5"/>
  <c r="BA214" i="5"/>
  <c r="BB214" i="5"/>
  <c r="BC214" i="5"/>
  <c r="BD214" i="5"/>
  <c r="BE214" i="5"/>
  <c r="BF214" i="5"/>
  <c r="BG214" i="5"/>
  <c r="BH214" i="5"/>
  <c r="BI214" i="5"/>
  <c r="BJ214" i="5"/>
  <c r="BK214" i="5"/>
  <c r="BL214" i="5"/>
  <c r="O215" i="5"/>
  <c r="P215" i="5"/>
  <c r="Q215" i="5"/>
  <c r="R215" i="5"/>
  <c r="S215" i="5"/>
  <c r="T215" i="5"/>
  <c r="U215" i="5"/>
  <c r="V215" i="5"/>
  <c r="W215" i="5"/>
  <c r="X215" i="5"/>
  <c r="Y215" i="5"/>
  <c r="Z215" i="5"/>
  <c r="AA215" i="5"/>
  <c r="AB215" i="5"/>
  <c r="AC215" i="5"/>
  <c r="AD215" i="5"/>
  <c r="AE215" i="5"/>
  <c r="AF215" i="5"/>
  <c r="AG215" i="5"/>
  <c r="AH215" i="5"/>
  <c r="AI215" i="5"/>
  <c r="AJ215" i="5"/>
  <c r="AK215" i="5"/>
  <c r="AL215" i="5"/>
  <c r="AM215" i="5"/>
  <c r="AN215" i="5"/>
  <c r="AO215" i="5"/>
  <c r="AP215" i="5"/>
  <c r="AQ215" i="5"/>
  <c r="AR215" i="5"/>
  <c r="AS215" i="5"/>
  <c r="AT215" i="5"/>
  <c r="AU215" i="5"/>
  <c r="AV215" i="5"/>
  <c r="AW215" i="5"/>
  <c r="AX215" i="5"/>
  <c r="AY215" i="5"/>
  <c r="AZ215" i="5"/>
  <c r="BA215" i="5"/>
  <c r="BB215" i="5"/>
  <c r="BC215" i="5"/>
  <c r="BD215" i="5"/>
  <c r="BE215" i="5"/>
  <c r="BF215" i="5"/>
  <c r="BG215" i="5"/>
  <c r="BH215" i="5"/>
  <c r="BI215" i="5"/>
  <c r="BJ215" i="5"/>
  <c r="BK215" i="5"/>
  <c r="BL215" i="5"/>
  <c r="O216" i="5"/>
  <c r="P216" i="5"/>
  <c r="Q216" i="5"/>
  <c r="R216" i="5"/>
  <c r="S216" i="5"/>
  <c r="T216" i="5"/>
  <c r="U216" i="5"/>
  <c r="V216" i="5"/>
  <c r="W216" i="5"/>
  <c r="X216" i="5"/>
  <c r="Y216" i="5"/>
  <c r="Z216" i="5"/>
  <c r="AA216" i="5"/>
  <c r="AB216" i="5"/>
  <c r="AC216" i="5"/>
  <c r="AD216" i="5"/>
  <c r="AE216" i="5"/>
  <c r="AF216" i="5"/>
  <c r="AG216" i="5"/>
  <c r="AH216" i="5"/>
  <c r="AI216" i="5"/>
  <c r="AJ216" i="5"/>
  <c r="AK216" i="5"/>
  <c r="AL216" i="5"/>
  <c r="AM216" i="5"/>
  <c r="AN216" i="5"/>
  <c r="AO216" i="5"/>
  <c r="AP216" i="5"/>
  <c r="AQ216" i="5"/>
  <c r="AR216" i="5"/>
  <c r="AS216" i="5"/>
  <c r="AT216" i="5"/>
  <c r="AU216" i="5"/>
  <c r="AV216" i="5"/>
  <c r="AW216" i="5"/>
  <c r="AX216" i="5"/>
  <c r="AY216" i="5"/>
  <c r="AZ216" i="5"/>
  <c r="BA216" i="5"/>
  <c r="BB216" i="5"/>
  <c r="BC216" i="5"/>
  <c r="BD216" i="5"/>
  <c r="BE216" i="5"/>
  <c r="BF216" i="5"/>
  <c r="BG216" i="5"/>
  <c r="BH216" i="5"/>
  <c r="BI216" i="5"/>
  <c r="BJ216" i="5"/>
  <c r="BK216" i="5"/>
  <c r="BL216" i="5"/>
  <c r="O217" i="5"/>
  <c r="P217" i="5"/>
  <c r="Q217" i="5"/>
  <c r="R217" i="5"/>
  <c r="S217" i="5"/>
  <c r="T217" i="5"/>
  <c r="U217" i="5"/>
  <c r="V217" i="5"/>
  <c r="W217" i="5"/>
  <c r="X217" i="5"/>
  <c r="Y217" i="5"/>
  <c r="Z217" i="5"/>
  <c r="AA217" i="5"/>
  <c r="AB217" i="5"/>
  <c r="AC217" i="5"/>
  <c r="AD217" i="5"/>
  <c r="AE217" i="5"/>
  <c r="AF217" i="5"/>
  <c r="AG217" i="5"/>
  <c r="AH217" i="5"/>
  <c r="AI217" i="5"/>
  <c r="AJ217" i="5"/>
  <c r="AK217" i="5"/>
  <c r="AL217" i="5"/>
  <c r="AM217" i="5"/>
  <c r="AN217" i="5"/>
  <c r="AO217" i="5"/>
  <c r="AP217" i="5"/>
  <c r="AQ217" i="5"/>
  <c r="AR217" i="5"/>
  <c r="AS217" i="5"/>
  <c r="AT217" i="5"/>
  <c r="AU217" i="5"/>
  <c r="AV217" i="5"/>
  <c r="AW217" i="5"/>
  <c r="AX217" i="5"/>
  <c r="AY217" i="5"/>
  <c r="AZ217" i="5"/>
  <c r="BA217" i="5"/>
  <c r="BB217" i="5"/>
  <c r="BC217" i="5"/>
  <c r="BD217" i="5"/>
  <c r="BE217" i="5"/>
  <c r="BF217" i="5"/>
  <c r="BG217" i="5"/>
  <c r="BH217" i="5"/>
  <c r="BI217" i="5"/>
  <c r="BJ217" i="5"/>
  <c r="BK217" i="5"/>
  <c r="BL217" i="5"/>
  <c r="O218" i="5"/>
  <c r="P218" i="5"/>
  <c r="Q218" i="5"/>
  <c r="R218" i="5"/>
  <c r="S218" i="5"/>
  <c r="T218" i="5"/>
  <c r="U218" i="5"/>
  <c r="V218" i="5"/>
  <c r="W218" i="5"/>
  <c r="X218" i="5"/>
  <c r="Y218" i="5"/>
  <c r="Z218" i="5"/>
  <c r="AA218" i="5"/>
  <c r="AB218" i="5"/>
  <c r="AC218" i="5"/>
  <c r="AD218" i="5"/>
  <c r="AE218" i="5"/>
  <c r="AF218" i="5"/>
  <c r="AG218" i="5"/>
  <c r="AH218" i="5"/>
  <c r="AI218" i="5"/>
  <c r="AJ218" i="5"/>
  <c r="AK218" i="5"/>
  <c r="AL218" i="5"/>
  <c r="AM218" i="5"/>
  <c r="AN218" i="5"/>
  <c r="AO218" i="5"/>
  <c r="AP218" i="5"/>
  <c r="AQ218" i="5"/>
  <c r="AR218" i="5"/>
  <c r="AS218" i="5"/>
  <c r="AT218" i="5"/>
  <c r="AU218" i="5"/>
  <c r="AV218" i="5"/>
  <c r="AW218" i="5"/>
  <c r="AX218" i="5"/>
  <c r="AY218" i="5"/>
  <c r="AZ218" i="5"/>
  <c r="BA218" i="5"/>
  <c r="BB218" i="5"/>
  <c r="BC218" i="5"/>
  <c r="BD218" i="5"/>
  <c r="BE218" i="5"/>
  <c r="BF218" i="5"/>
  <c r="BG218" i="5"/>
  <c r="BH218" i="5"/>
  <c r="BI218" i="5"/>
  <c r="BJ218" i="5"/>
  <c r="BK218" i="5"/>
  <c r="BL218" i="5"/>
  <c r="O219" i="5"/>
  <c r="P219" i="5"/>
  <c r="Q219" i="5"/>
  <c r="R219" i="5"/>
  <c r="S219" i="5"/>
  <c r="T219" i="5"/>
  <c r="U219" i="5"/>
  <c r="V219" i="5"/>
  <c r="W219" i="5"/>
  <c r="X219" i="5"/>
  <c r="Y219" i="5"/>
  <c r="Z219" i="5"/>
  <c r="AA219" i="5"/>
  <c r="AB219" i="5"/>
  <c r="AC219" i="5"/>
  <c r="AD219" i="5"/>
  <c r="AE219" i="5"/>
  <c r="AF219" i="5"/>
  <c r="AG219" i="5"/>
  <c r="AH219" i="5"/>
  <c r="AI219" i="5"/>
  <c r="AJ219" i="5"/>
  <c r="AK219" i="5"/>
  <c r="AL219" i="5"/>
  <c r="AM219" i="5"/>
  <c r="AN219" i="5"/>
  <c r="AO219" i="5"/>
  <c r="AP219" i="5"/>
  <c r="AQ219" i="5"/>
  <c r="AR219" i="5"/>
  <c r="AS219" i="5"/>
  <c r="AT219" i="5"/>
  <c r="AU219" i="5"/>
  <c r="AV219" i="5"/>
  <c r="AW219" i="5"/>
  <c r="AX219" i="5"/>
  <c r="AY219" i="5"/>
  <c r="AZ219" i="5"/>
  <c r="BA219" i="5"/>
  <c r="BB219" i="5"/>
  <c r="BC219" i="5"/>
  <c r="BD219" i="5"/>
  <c r="BE219" i="5"/>
  <c r="BF219" i="5"/>
  <c r="BG219" i="5"/>
  <c r="BH219" i="5"/>
  <c r="BI219" i="5"/>
  <c r="BJ219" i="5"/>
  <c r="BK219" i="5"/>
  <c r="BL219" i="5"/>
  <c r="O220" i="5"/>
  <c r="P220" i="5"/>
  <c r="Q220" i="5"/>
  <c r="R220" i="5"/>
  <c r="S220" i="5"/>
  <c r="T220" i="5"/>
  <c r="U220" i="5"/>
  <c r="V220" i="5"/>
  <c r="W220" i="5"/>
  <c r="X220" i="5"/>
  <c r="Y220" i="5"/>
  <c r="Z220" i="5"/>
  <c r="AA220" i="5"/>
  <c r="AB220" i="5"/>
  <c r="AC220" i="5"/>
  <c r="AD220" i="5"/>
  <c r="AE220" i="5"/>
  <c r="AF220" i="5"/>
  <c r="AG220" i="5"/>
  <c r="AH220" i="5"/>
  <c r="AI220" i="5"/>
  <c r="AJ220" i="5"/>
  <c r="AK220" i="5"/>
  <c r="AL220" i="5"/>
  <c r="AM220" i="5"/>
  <c r="AN220" i="5"/>
  <c r="AO220" i="5"/>
  <c r="AP220" i="5"/>
  <c r="AQ220" i="5"/>
  <c r="AR220" i="5"/>
  <c r="AS220" i="5"/>
  <c r="AT220" i="5"/>
  <c r="AU220" i="5"/>
  <c r="AV220" i="5"/>
  <c r="AW220" i="5"/>
  <c r="AX220" i="5"/>
  <c r="AY220" i="5"/>
  <c r="AZ220" i="5"/>
  <c r="BA220" i="5"/>
  <c r="BB220" i="5"/>
  <c r="BC220" i="5"/>
  <c r="BD220" i="5"/>
  <c r="BE220" i="5"/>
  <c r="BF220" i="5"/>
  <c r="BG220" i="5"/>
  <c r="BH220" i="5"/>
  <c r="BI220" i="5"/>
  <c r="BJ220" i="5"/>
  <c r="BK220" i="5"/>
  <c r="BL220" i="5"/>
  <c r="O221" i="5"/>
  <c r="P221" i="5"/>
  <c r="Q221" i="5"/>
  <c r="R221" i="5"/>
  <c r="S221" i="5"/>
  <c r="T221" i="5"/>
  <c r="U221" i="5"/>
  <c r="V221" i="5"/>
  <c r="W221" i="5"/>
  <c r="X221" i="5"/>
  <c r="Y221" i="5"/>
  <c r="Z221" i="5"/>
  <c r="AA221" i="5"/>
  <c r="AB221" i="5"/>
  <c r="AC221" i="5"/>
  <c r="AD221" i="5"/>
  <c r="AE221" i="5"/>
  <c r="AF221" i="5"/>
  <c r="AG221" i="5"/>
  <c r="AH221" i="5"/>
  <c r="AI221" i="5"/>
  <c r="AJ221" i="5"/>
  <c r="AK221" i="5"/>
  <c r="AL221" i="5"/>
  <c r="AM221" i="5"/>
  <c r="AN221" i="5"/>
  <c r="AO221" i="5"/>
  <c r="AP221" i="5"/>
  <c r="AQ221" i="5"/>
  <c r="AR221" i="5"/>
  <c r="AS221" i="5"/>
  <c r="AT221" i="5"/>
  <c r="AU221" i="5"/>
  <c r="AV221" i="5"/>
  <c r="AW221" i="5"/>
  <c r="AX221" i="5"/>
  <c r="AY221" i="5"/>
  <c r="AZ221" i="5"/>
  <c r="BA221" i="5"/>
  <c r="BB221" i="5"/>
  <c r="BC221" i="5"/>
  <c r="BD221" i="5"/>
  <c r="BE221" i="5"/>
  <c r="BF221" i="5"/>
  <c r="BG221" i="5"/>
  <c r="BH221" i="5"/>
  <c r="BI221" i="5"/>
  <c r="BJ221" i="5"/>
  <c r="BK221" i="5"/>
  <c r="BL221" i="5"/>
  <c r="O222" i="5"/>
  <c r="P222" i="5"/>
  <c r="Q222" i="5"/>
  <c r="R222" i="5"/>
  <c r="S222" i="5"/>
  <c r="T222" i="5"/>
  <c r="U222" i="5"/>
  <c r="V222" i="5"/>
  <c r="W222" i="5"/>
  <c r="X222" i="5"/>
  <c r="Y222" i="5"/>
  <c r="Z222" i="5"/>
  <c r="AA222" i="5"/>
  <c r="AB222" i="5"/>
  <c r="AC222" i="5"/>
  <c r="AD222" i="5"/>
  <c r="AE222" i="5"/>
  <c r="AF222" i="5"/>
  <c r="AG222" i="5"/>
  <c r="AH222" i="5"/>
  <c r="AI222" i="5"/>
  <c r="AJ222" i="5"/>
  <c r="AK222" i="5"/>
  <c r="AL222" i="5"/>
  <c r="AM222" i="5"/>
  <c r="AN222" i="5"/>
  <c r="AO222" i="5"/>
  <c r="AP222" i="5"/>
  <c r="AQ222" i="5"/>
  <c r="AR222" i="5"/>
  <c r="AS222" i="5"/>
  <c r="AT222" i="5"/>
  <c r="AU222" i="5"/>
  <c r="AV222" i="5"/>
  <c r="AW222" i="5"/>
  <c r="AX222" i="5"/>
  <c r="AY222" i="5"/>
  <c r="AZ222" i="5"/>
  <c r="BA222" i="5"/>
  <c r="BB222" i="5"/>
  <c r="BC222" i="5"/>
  <c r="BD222" i="5"/>
  <c r="BE222" i="5"/>
  <c r="BF222" i="5"/>
  <c r="BG222" i="5"/>
  <c r="BH222" i="5"/>
  <c r="BI222" i="5"/>
  <c r="BJ222" i="5"/>
  <c r="BK222" i="5"/>
  <c r="BL222" i="5"/>
  <c r="O223" i="5"/>
  <c r="P223" i="5"/>
  <c r="Q223" i="5"/>
  <c r="R223" i="5"/>
  <c r="S223" i="5"/>
  <c r="T223" i="5"/>
  <c r="U223" i="5"/>
  <c r="V223" i="5"/>
  <c r="W223" i="5"/>
  <c r="X223" i="5"/>
  <c r="Y223" i="5"/>
  <c r="Z223" i="5"/>
  <c r="AA223" i="5"/>
  <c r="AB223" i="5"/>
  <c r="AC223" i="5"/>
  <c r="AD223" i="5"/>
  <c r="AE223" i="5"/>
  <c r="AF223" i="5"/>
  <c r="AG223" i="5"/>
  <c r="AH223" i="5"/>
  <c r="AI223" i="5"/>
  <c r="AJ223" i="5"/>
  <c r="AK223" i="5"/>
  <c r="AL223" i="5"/>
  <c r="AM223" i="5"/>
  <c r="AN223" i="5"/>
  <c r="AO223" i="5"/>
  <c r="AP223" i="5"/>
  <c r="AQ223" i="5"/>
  <c r="AR223" i="5"/>
  <c r="AS223" i="5"/>
  <c r="AT223" i="5"/>
  <c r="AU223" i="5"/>
  <c r="AV223" i="5"/>
  <c r="AW223" i="5"/>
  <c r="AX223" i="5"/>
  <c r="AY223" i="5"/>
  <c r="AZ223" i="5"/>
  <c r="BA223" i="5"/>
  <c r="BB223" i="5"/>
  <c r="BC223" i="5"/>
  <c r="BD223" i="5"/>
  <c r="BE223" i="5"/>
  <c r="BF223" i="5"/>
  <c r="BG223" i="5"/>
  <c r="BH223" i="5"/>
  <c r="BI223" i="5"/>
  <c r="BJ223" i="5"/>
  <c r="BK223" i="5"/>
  <c r="BL223" i="5"/>
  <c r="O224" i="5"/>
  <c r="P224" i="5"/>
  <c r="Q224" i="5"/>
  <c r="R224" i="5"/>
  <c r="S224" i="5"/>
  <c r="T224" i="5"/>
  <c r="U224" i="5"/>
  <c r="V224" i="5"/>
  <c r="W224" i="5"/>
  <c r="X224" i="5"/>
  <c r="Y224" i="5"/>
  <c r="Z224" i="5"/>
  <c r="AA224" i="5"/>
  <c r="AB224" i="5"/>
  <c r="AC224" i="5"/>
  <c r="AD224" i="5"/>
  <c r="AE224" i="5"/>
  <c r="AF224" i="5"/>
  <c r="AG224" i="5"/>
  <c r="AH224" i="5"/>
  <c r="AI224" i="5"/>
  <c r="AJ224" i="5"/>
  <c r="AK224" i="5"/>
  <c r="AL224" i="5"/>
  <c r="AM224" i="5"/>
  <c r="AN224" i="5"/>
  <c r="AO224" i="5"/>
  <c r="AP224" i="5"/>
  <c r="AQ224" i="5"/>
  <c r="AR224" i="5"/>
  <c r="AS224" i="5"/>
  <c r="AT224" i="5"/>
  <c r="AU224" i="5"/>
  <c r="AV224" i="5"/>
  <c r="AW224" i="5"/>
  <c r="AX224" i="5"/>
  <c r="AY224" i="5"/>
  <c r="AZ224" i="5"/>
  <c r="BA224" i="5"/>
  <c r="BB224" i="5"/>
  <c r="BC224" i="5"/>
  <c r="BD224" i="5"/>
  <c r="BE224" i="5"/>
  <c r="BF224" i="5"/>
  <c r="BG224" i="5"/>
  <c r="BH224" i="5"/>
  <c r="BI224" i="5"/>
  <c r="BJ224" i="5"/>
  <c r="BK224" i="5"/>
  <c r="BL224" i="5"/>
  <c r="O225" i="5"/>
  <c r="P225" i="5"/>
  <c r="Q225" i="5"/>
  <c r="R225" i="5"/>
  <c r="S225" i="5"/>
  <c r="T225" i="5"/>
  <c r="U225" i="5"/>
  <c r="V225" i="5"/>
  <c r="W225" i="5"/>
  <c r="X225" i="5"/>
  <c r="Y225" i="5"/>
  <c r="Z225" i="5"/>
  <c r="AA225" i="5"/>
  <c r="AB225" i="5"/>
  <c r="AC225" i="5"/>
  <c r="AD225" i="5"/>
  <c r="AE225" i="5"/>
  <c r="AF225" i="5"/>
  <c r="AG225" i="5"/>
  <c r="AH225" i="5"/>
  <c r="AI225" i="5"/>
  <c r="AJ225" i="5"/>
  <c r="AK225" i="5"/>
  <c r="AL225" i="5"/>
  <c r="AM225" i="5"/>
  <c r="AN225" i="5"/>
  <c r="AO225" i="5"/>
  <c r="AP225" i="5"/>
  <c r="AQ225" i="5"/>
  <c r="AR225" i="5"/>
  <c r="AS225" i="5"/>
  <c r="AT225" i="5"/>
  <c r="AU225" i="5"/>
  <c r="AV225" i="5"/>
  <c r="AW225" i="5"/>
  <c r="AX225" i="5"/>
  <c r="AY225" i="5"/>
  <c r="AZ225" i="5"/>
  <c r="BA225" i="5"/>
  <c r="BB225" i="5"/>
  <c r="BC225" i="5"/>
  <c r="BD225" i="5"/>
  <c r="BE225" i="5"/>
  <c r="BF225" i="5"/>
  <c r="BG225" i="5"/>
  <c r="BH225" i="5"/>
  <c r="BI225" i="5"/>
  <c r="BJ225" i="5"/>
  <c r="BK225" i="5"/>
  <c r="BL225" i="5"/>
  <c r="O226" i="5"/>
  <c r="P226" i="5"/>
  <c r="Q226" i="5"/>
  <c r="R226" i="5"/>
  <c r="S226" i="5"/>
  <c r="T226" i="5"/>
  <c r="U226" i="5"/>
  <c r="V226" i="5"/>
  <c r="W226" i="5"/>
  <c r="X226" i="5"/>
  <c r="Y226" i="5"/>
  <c r="Z226" i="5"/>
  <c r="AA226" i="5"/>
  <c r="AB226" i="5"/>
  <c r="AC226" i="5"/>
  <c r="AD226" i="5"/>
  <c r="AE226" i="5"/>
  <c r="AF226" i="5"/>
  <c r="AG226" i="5"/>
  <c r="AH226" i="5"/>
  <c r="AI226" i="5"/>
  <c r="AJ226" i="5"/>
  <c r="AK226" i="5"/>
  <c r="AL226" i="5"/>
  <c r="AM226" i="5"/>
  <c r="AN226" i="5"/>
  <c r="AO226" i="5"/>
  <c r="AP226" i="5"/>
  <c r="AQ226" i="5"/>
  <c r="AR226" i="5"/>
  <c r="AS226" i="5"/>
  <c r="AT226" i="5"/>
  <c r="AU226" i="5"/>
  <c r="AV226" i="5"/>
  <c r="AW226" i="5"/>
  <c r="AX226" i="5"/>
  <c r="AY226" i="5"/>
  <c r="AZ226" i="5"/>
  <c r="BA226" i="5"/>
  <c r="BB226" i="5"/>
  <c r="BC226" i="5"/>
  <c r="BD226" i="5"/>
  <c r="BE226" i="5"/>
  <c r="BF226" i="5"/>
  <c r="BG226" i="5"/>
  <c r="BH226" i="5"/>
  <c r="BI226" i="5"/>
  <c r="BJ226" i="5"/>
  <c r="BK226" i="5"/>
  <c r="BL226" i="5"/>
  <c r="O227" i="5"/>
  <c r="P227" i="5"/>
  <c r="Q227" i="5"/>
  <c r="R227" i="5"/>
  <c r="S227" i="5"/>
  <c r="T227" i="5"/>
  <c r="U227" i="5"/>
  <c r="V227" i="5"/>
  <c r="W227" i="5"/>
  <c r="X227" i="5"/>
  <c r="Y227" i="5"/>
  <c r="Z227" i="5"/>
  <c r="AA227" i="5"/>
  <c r="AB227" i="5"/>
  <c r="AC227" i="5"/>
  <c r="AD227" i="5"/>
  <c r="AE227" i="5"/>
  <c r="AF227" i="5"/>
  <c r="AG227" i="5"/>
  <c r="AH227" i="5"/>
  <c r="AI227" i="5"/>
  <c r="AJ227" i="5"/>
  <c r="AK227" i="5"/>
  <c r="AL227" i="5"/>
  <c r="AM227" i="5"/>
  <c r="AN227" i="5"/>
  <c r="AO227" i="5"/>
  <c r="AP227" i="5"/>
  <c r="AQ227" i="5"/>
  <c r="AR227" i="5"/>
  <c r="AS227" i="5"/>
  <c r="AT227" i="5"/>
  <c r="AU227" i="5"/>
  <c r="AV227" i="5"/>
  <c r="AW227" i="5"/>
  <c r="AX227" i="5"/>
  <c r="AY227" i="5"/>
  <c r="AZ227" i="5"/>
  <c r="BA227" i="5"/>
  <c r="BB227" i="5"/>
  <c r="BC227" i="5"/>
  <c r="BD227" i="5"/>
  <c r="BE227" i="5"/>
  <c r="BF227" i="5"/>
  <c r="BG227" i="5"/>
  <c r="BH227" i="5"/>
  <c r="BI227" i="5"/>
  <c r="BJ227" i="5"/>
  <c r="BK227" i="5"/>
  <c r="BL227" i="5"/>
  <c r="O228" i="5"/>
  <c r="P228" i="5"/>
  <c r="Q228" i="5"/>
  <c r="R228" i="5"/>
  <c r="S228" i="5"/>
  <c r="T228" i="5"/>
  <c r="U228" i="5"/>
  <c r="V228" i="5"/>
  <c r="W228" i="5"/>
  <c r="X228" i="5"/>
  <c r="Y228" i="5"/>
  <c r="Z228" i="5"/>
  <c r="AA228" i="5"/>
  <c r="AB228" i="5"/>
  <c r="AC228" i="5"/>
  <c r="AD228" i="5"/>
  <c r="AE228" i="5"/>
  <c r="AF228" i="5"/>
  <c r="AG228" i="5"/>
  <c r="AH228" i="5"/>
  <c r="AI228" i="5"/>
  <c r="AJ228" i="5"/>
  <c r="AK228" i="5"/>
  <c r="AL228" i="5"/>
  <c r="AM228" i="5"/>
  <c r="AN228" i="5"/>
  <c r="AO228" i="5"/>
  <c r="AP228" i="5"/>
  <c r="AQ228" i="5"/>
  <c r="AR228" i="5"/>
  <c r="AS228" i="5"/>
  <c r="AT228" i="5"/>
  <c r="AU228" i="5"/>
  <c r="AV228" i="5"/>
  <c r="AW228" i="5"/>
  <c r="AX228" i="5"/>
  <c r="AY228" i="5"/>
  <c r="AZ228" i="5"/>
  <c r="BA228" i="5"/>
  <c r="BB228" i="5"/>
  <c r="BC228" i="5"/>
  <c r="BD228" i="5"/>
  <c r="BE228" i="5"/>
  <c r="BF228" i="5"/>
  <c r="BG228" i="5"/>
  <c r="BH228" i="5"/>
  <c r="BI228" i="5"/>
  <c r="BJ228" i="5"/>
  <c r="BK228" i="5"/>
  <c r="BL228" i="5"/>
  <c r="O229" i="5"/>
  <c r="P229" i="5"/>
  <c r="Q229" i="5"/>
  <c r="R229" i="5"/>
  <c r="S229" i="5"/>
  <c r="T229" i="5"/>
  <c r="U229" i="5"/>
  <c r="V229" i="5"/>
  <c r="W229" i="5"/>
  <c r="X229" i="5"/>
  <c r="Y229" i="5"/>
  <c r="Z229" i="5"/>
  <c r="AA229" i="5"/>
  <c r="AB229" i="5"/>
  <c r="AC229" i="5"/>
  <c r="AD229" i="5"/>
  <c r="AE229" i="5"/>
  <c r="AF229" i="5"/>
  <c r="AG229" i="5"/>
  <c r="AH229" i="5"/>
  <c r="AI229" i="5"/>
  <c r="AJ229" i="5"/>
  <c r="AK229" i="5"/>
  <c r="AL229" i="5"/>
  <c r="AM229" i="5"/>
  <c r="AN229" i="5"/>
  <c r="AO229" i="5"/>
  <c r="AP229" i="5"/>
  <c r="AQ229" i="5"/>
  <c r="AR229" i="5"/>
  <c r="AS229" i="5"/>
  <c r="AT229" i="5"/>
  <c r="AU229" i="5"/>
  <c r="AV229" i="5"/>
  <c r="AW229" i="5"/>
  <c r="AX229" i="5"/>
  <c r="AY229" i="5"/>
  <c r="AZ229" i="5"/>
  <c r="BA229" i="5"/>
  <c r="BB229" i="5"/>
  <c r="BC229" i="5"/>
  <c r="BD229" i="5"/>
  <c r="BE229" i="5"/>
  <c r="BF229" i="5"/>
  <c r="BG229" i="5"/>
  <c r="BH229" i="5"/>
  <c r="BI229" i="5"/>
  <c r="BJ229" i="5"/>
  <c r="BK229" i="5"/>
  <c r="BL229" i="5"/>
  <c r="O230" i="5"/>
  <c r="P230" i="5"/>
  <c r="Q230" i="5"/>
  <c r="R230" i="5"/>
  <c r="S230" i="5"/>
  <c r="T230" i="5"/>
  <c r="U230" i="5"/>
  <c r="V230" i="5"/>
  <c r="W230" i="5"/>
  <c r="X230" i="5"/>
  <c r="Y230" i="5"/>
  <c r="Z230" i="5"/>
  <c r="AA230" i="5"/>
  <c r="AB230" i="5"/>
  <c r="AC230" i="5"/>
  <c r="AD230" i="5"/>
  <c r="AE230" i="5"/>
  <c r="AF230" i="5"/>
  <c r="AG230" i="5"/>
  <c r="AH230" i="5"/>
  <c r="AI230" i="5"/>
  <c r="AJ230" i="5"/>
  <c r="AK230" i="5"/>
  <c r="AL230" i="5"/>
  <c r="AM230" i="5"/>
  <c r="AN230" i="5"/>
  <c r="AO230" i="5"/>
  <c r="AP230" i="5"/>
  <c r="AQ230" i="5"/>
  <c r="AR230" i="5"/>
  <c r="AS230" i="5"/>
  <c r="AT230" i="5"/>
  <c r="AU230" i="5"/>
  <c r="AV230" i="5"/>
  <c r="AW230" i="5"/>
  <c r="AX230" i="5"/>
  <c r="AY230" i="5"/>
  <c r="AZ230" i="5"/>
  <c r="BA230" i="5"/>
  <c r="BB230" i="5"/>
  <c r="BC230" i="5"/>
  <c r="BD230" i="5"/>
  <c r="BE230" i="5"/>
  <c r="BF230" i="5"/>
  <c r="BG230" i="5"/>
  <c r="BH230" i="5"/>
  <c r="BI230" i="5"/>
  <c r="BJ230" i="5"/>
  <c r="BK230" i="5"/>
  <c r="BL230" i="5"/>
  <c r="O231" i="5"/>
  <c r="P231" i="5"/>
  <c r="Q231" i="5"/>
  <c r="R231" i="5"/>
  <c r="S231" i="5"/>
  <c r="T231" i="5"/>
  <c r="U231" i="5"/>
  <c r="V231" i="5"/>
  <c r="W231" i="5"/>
  <c r="X231" i="5"/>
  <c r="Y231" i="5"/>
  <c r="Z231" i="5"/>
  <c r="AA231" i="5"/>
  <c r="AB231" i="5"/>
  <c r="AC231" i="5"/>
  <c r="AD231" i="5"/>
  <c r="AE231" i="5"/>
  <c r="AF231" i="5"/>
  <c r="AG231" i="5"/>
  <c r="AH231" i="5"/>
  <c r="AI231" i="5"/>
  <c r="AJ231" i="5"/>
  <c r="AK231" i="5"/>
  <c r="AL231" i="5"/>
  <c r="AM231" i="5"/>
  <c r="AN231" i="5"/>
  <c r="AO231" i="5"/>
  <c r="AP231" i="5"/>
  <c r="AQ231" i="5"/>
  <c r="AR231" i="5"/>
  <c r="AS231" i="5"/>
  <c r="AT231" i="5"/>
  <c r="AU231" i="5"/>
  <c r="AV231" i="5"/>
  <c r="AW231" i="5"/>
  <c r="AX231" i="5"/>
  <c r="AY231" i="5"/>
  <c r="AZ231" i="5"/>
  <c r="BA231" i="5"/>
  <c r="BB231" i="5"/>
  <c r="BC231" i="5"/>
  <c r="BD231" i="5"/>
  <c r="BE231" i="5"/>
  <c r="BF231" i="5"/>
  <c r="BG231" i="5"/>
  <c r="BH231" i="5"/>
  <c r="BI231" i="5"/>
  <c r="BJ231" i="5"/>
  <c r="BK231" i="5"/>
  <c r="BL231" i="5"/>
  <c r="O232" i="5"/>
  <c r="P232" i="5"/>
  <c r="Q232" i="5"/>
  <c r="R232" i="5"/>
  <c r="S232" i="5"/>
  <c r="T232" i="5"/>
  <c r="U232" i="5"/>
  <c r="V232" i="5"/>
  <c r="W232" i="5"/>
  <c r="X232" i="5"/>
  <c r="Y232" i="5"/>
  <c r="Z232" i="5"/>
  <c r="AA232" i="5"/>
  <c r="AB232" i="5"/>
  <c r="AC232" i="5"/>
  <c r="AD232" i="5"/>
  <c r="AE232" i="5"/>
  <c r="AF232" i="5"/>
  <c r="AG232" i="5"/>
  <c r="AH232" i="5"/>
  <c r="AI232" i="5"/>
  <c r="AJ232" i="5"/>
  <c r="AK232" i="5"/>
  <c r="AL232" i="5"/>
  <c r="AM232" i="5"/>
  <c r="AN232" i="5"/>
  <c r="AO232" i="5"/>
  <c r="AP232" i="5"/>
  <c r="AQ232" i="5"/>
  <c r="AR232" i="5"/>
  <c r="AS232" i="5"/>
  <c r="AT232" i="5"/>
  <c r="AU232" i="5"/>
  <c r="AV232" i="5"/>
  <c r="AW232" i="5"/>
  <c r="AX232" i="5"/>
  <c r="AY232" i="5"/>
  <c r="AZ232" i="5"/>
  <c r="BA232" i="5"/>
  <c r="BB232" i="5"/>
  <c r="BC232" i="5"/>
  <c r="BD232" i="5"/>
  <c r="BE232" i="5"/>
  <c r="BF232" i="5"/>
  <c r="BG232" i="5"/>
  <c r="BH232" i="5"/>
  <c r="BI232" i="5"/>
  <c r="BJ232" i="5"/>
  <c r="BK232" i="5"/>
  <c r="BL232" i="5"/>
  <c r="O233" i="5"/>
  <c r="P233" i="5"/>
  <c r="Q233" i="5"/>
  <c r="R233" i="5"/>
  <c r="S233" i="5"/>
  <c r="T233" i="5"/>
  <c r="U233" i="5"/>
  <c r="V233" i="5"/>
  <c r="W233" i="5"/>
  <c r="X233" i="5"/>
  <c r="Y233" i="5"/>
  <c r="Z233" i="5"/>
  <c r="AA233" i="5"/>
  <c r="AB233" i="5"/>
  <c r="AC233" i="5"/>
  <c r="AD233" i="5"/>
  <c r="AE233" i="5"/>
  <c r="AF233" i="5"/>
  <c r="AG233" i="5"/>
  <c r="AH233" i="5"/>
  <c r="AI233" i="5"/>
  <c r="AJ233" i="5"/>
  <c r="AK233" i="5"/>
  <c r="AL233" i="5"/>
  <c r="AM233" i="5"/>
  <c r="AN233" i="5"/>
  <c r="AO233" i="5"/>
  <c r="AP233" i="5"/>
  <c r="AQ233" i="5"/>
  <c r="AR233" i="5"/>
  <c r="AS233" i="5"/>
  <c r="AT233" i="5"/>
  <c r="AU233" i="5"/>
  <c r="AV233" i="5"/>
  <c r="AW233" i="5"/>
  <c r="AX233" i="5"/>
  <c r="AY233" i="5"/>
  <c r="AZ233" i="5"/>
  <c r="BA233" i="5"/>
  <c r="BB233" i="5"/>
  <c r="BC233" i="5"/>
  <c r="BD233" i="5"/>
  <c r="BE233" i="5"/>
  <c r="BF233" i="5"/>
  <c r="BG233" i="5"/>
  <c r="BH233" i="5"/>
  <c r="BI233" i="5"/>
  <c r="BJ233" i="5"/>
  <c r="BK233" i="5"/>
  <c r="BL233" i="5"/>
  <c r="O234" i="5"/>
  <c r="P234" i="5"/>
  <c r="Q234" i="5"/>
  <c r="R234" i="5"/>
  <c r="S234" i="5"/>
  <c r="T234" i="5"/>
  <c r="U234" i="5"/>
  <c r="V234" i="5"/>
  <c r="W234" i="5"/>
  <c r="X234" i="5"/>
  <c r="Y234" i="5"/>
  <c r="Z234" i="5"/>
  <c r="AA234" i="5"/>
  <c r="AB234" i="5"/>
  <c r="AC234" i="5"/>
  <c r="AD234" i="5"/>
  <c r="AE234" i="5"/>
  <c r="AF234" i="5"/>
  <c r="AG234" i="5"/>
  <c r="AH234" i="5"/>
  <c r="AI234" i="5"/>
  <c r="AJ234" i="5"/>
  <c r="AK234" i="5"/>
  <c r="AL234" i="5"/>
  <c r="AM234" i="5"/>
  <c r="AN234" i="5"/>
  <c r="AO234" i="5"/>
  <c r="AP234" i="5"/>
  <c r="AQ234" i="5"/>
  <c r="AR234" i="5"/>
  <c r="AS234" i="5"/>
  <c r="AT234" i="5"/>
  <c r="AU234" i="5"/>
  <c r="AV234" i="5"/>
  <c r="AW234" i="5"/>
  <c r="AX234" i="5"/>
  <c r="AY234" i="5"/>
  <c r="AZ234" i="5"/>
  <c r="BA234" i="5"/>
  <c r="BB234" i="5"/>
  <c r="BC234" i="5"/>
  <c r="BD234" i="5"/>
  <c r="BE234" i="5"/>
  <c r="BF234" i="5"/>
  <c r="BG234" i="5"/>
  <c r="BH234" i="5"/>
  <c r="BI234" i="5"/>
  <c r="BJ234" i="5"/>
  <c r="BK234" i="5"/>
  <c r="BL234" i="5"/>
  <c r="O235" i="5"/>
  <c r="P235" i="5"/>
  <c r="Q235" i="5"/>
  <c r="R235" i="5"/>
  <c r="S235" i="5"/>
  <c r="T235" i="5"/>
  <c r="U235" i="5"/>
  <c r="V235" i="5"/>
  <c r="W235" i="5"/>
  <c r="X235" i="5"/>
  <c r="Y235" i="5"/>
  <c r="Z235" i="5"/>
  <c r="AA235" i="5"/>
  <c r="AB235" i="5"/>
  <c r="AC235" i="5"/>
  <c r="AD235" i="5"/>
  <c r="AE235" i="5"/>
  <c r="AF235" i="5"/>
  <c r="AG235" i="5"/>
  <c r="AH235" i="5"/>
  <c r="AI235" i="5"/>
  <c r="AJ235" i="5"/>
  <c r="AK235" i="5"/>
  <c r="AL235" i="5"/>
  <c r="AM235" i="5"/>
  <c r="AN235" i="5"/>
  <c r="AO235" i="5"/>
  <c r="AP235" i="5"/>
  <c r="AQ235" i="5"/>
  <c r="AR235" i="5"/>
  <c r="AS235" i="5"/>
  <c r="AT235" i="5"/>
  <c r="AU235" i="5"/>
  <c r="AV235" i="5"/>
  <c r="AW235" i="5"/>
  <c r="AX235" i="5"/>
  <c r="AY235" i="5"/>
  <c r="AZ235" i="5"/>
  <c r="BA235" i="5"/>
  <c r="BB235" i="5"/>
  <c r="BC235" i="5"/>
  <c r="BD235" i="5"/>
  <c r="BE235" i="5"/>
  <c r="BF235" i="5"/>
  <c r="BG235" i="5"/>
  <c r="BH235" i="5"/>
  <c r="BI235" i="5"/>
  <c r="BJ235" i="5"/>
  <c r="BK235" i="5"/>
  <c r="BL235" i="5"/>
  <c r="O236" i="5"/>
  <c r="P236" i="5"/>
  <c r="Q236" i="5"/>
  <c r="R236" i="5"/>
  <c r="S236" i="5"/>
  <c r="T236" i="5"/>
  <c r="U236" i="5"/>
  <c r="V236" i="5"/>
  <c r="W236" i="5"/>
  <c r="X236" i="5"/>
  <c r="Y236" i="5"/>
  <c r="Z236" i="5"/>
  <c r="AA236" i="5"/>
  <c r="AB236" i="5"/>
  <c r="AC236" i="5"/>
  <c r="AD236" i="5"/>
  <c r="AE236" i="5"/>
  <c r="AF236" i="5"/>
  <c r="AG236" i="5"/>
  <c r="AH236" i="5"/>
  <c r="AI236" i="5"/>
  <c r="AJ236" i="5"/>
  <c r="AK236" i="5"/>
  <c r="AL236" i="5"/>
  <c r="AM236" i="5"/>
  <c r="AN236" i="5"/>
  <c r="AO236" i="5"/>
  <c r="AP236" i="5"/>
  <c r="AQ236" i="5"/>
  <c r="AR236" i="5"/>
  <c r="AS236" i="5"/>
  <c r="AT236" i="5"/>
  <c r="AU236" i="5"/>
  <c r="AV236" i="5"/>
  <c r="AW236" i="5"/>
  <c r="AX236" i="5"/>
  <c r="AY236" i="5"/>
  <c r="AZ236" i="5"/>
  <c r="BA236" i="5"/>
  <c r="BB236" i="5"/>
  <c r="BC236" i="5"/>
  <c r="BD236" i="5"/>
  <c r="BE236" i="5"/>
  <c r="BF236" i="5"/>
  <c r="BG236" i="5"/>
  <c r="BH236" i="5"/>
  <c r="BI236" i="5"/>
  <c r="BJ236" i="5"/>
  <c r="BK236" i="5"/>
  <c r="BL236" i="5"/>
  <c r="O237" i="5"/>
  <c r="P237" i="5"/>
  <c r="Q237" i="5"/>
  <c r="R237" i="5"/>
  <c r="S237" i="5"/>
  <c r="T237" i="5"/>
  <c r="U237" i="5"/>
  <c r="V237" i="5"/>
  <c r="W237" i="5"/>
  <c r="X237" i="5"/>
  <c r="Y237" i="5"/>
  <c r="Z237" i="5"/>
  <c r="AA237" i="5"/>
  <c r="AB237" i="5"/>
  <c r="AC237" i="5"/>
  <c r="AD237" i="5"/>
  <c r="AE237" i="5"/>
  <c r="AF237" i="5"/>
  <c r="AG237" i="5"/>
  <c r="AH237" i="5"/>
  <c r="AI237" i="5"/>
  <c r="AJ237" i="5"/>
  <c r="AK237" i="5"/>
  <c r="AL237" i="5"/>
  <c r="AM237" i="5"/>
  <c r="AN237" i="5"/>
  <c r="AO237" i="5"/>
  <c r="AP237" i="5"/>
  <c r="AQ237" i="5"/>
  <c r="AR237" i="5"/>
  <c r="AS237" i="5"/>
  <c r="AT237" i="5"/>
  <c r="AU237" i="5"/>
  <c r="AV237" i="5"/>
  <c r="AW237" i="5"/>
  <c r="AX237" i="5"/>
  <c r="AY237" i="5"/>
  <c r="AZ237" i="5"/>
  <c r="BA237" i="5"/>
  <c r="BB237" i="5"/>
  <c r="BC237" i="5"/>
  <c r="BD237" i="5"/>
  <c r="BE237" i="5"/>
  <c r="BF237" i="5"/>
  <c r="BG237" i="5"/>
  <c r="BH237" i="5"/>
  <c r="BI237" i="5"/>
  <c r="BJ237" i="5"/>
  <c r="BK237" i="5"/>
  <c r="BL237" i="5"/>
  <c r="O238" i="5"/>
  <c r="P238" i="5"/>
  <c r="Q238" i="5"/>
  <c r="R238" i="5"/>
  <c r="S238" i="5"/>
  <c r="T238" i="5"/>
  <c r="U238" i="5"/>
  <c r="V238" i="5"/>
  <c r="W238" i="5"/>
  <c r="X238" i="5"/>
  <c r="Y238" i="5"/>
  <c r="Z238" i="5"/>
  <c r="AA238" i="5"/>
  <c r="AB238" i="5"/>
  <c r="AC238" i="5"/>
  <c r="AD238" i="5"/>
  <c r="AE238" i="5"/>
  <c r="AF238" i="5"/>
  <c r="AG238" i="5"/>
  <c r="AH238" i="5"/>
  <c r="AI238" i="5"/>
  <c r="AJ238" i="5"/>
  <c r="AK238" i="5"/>
  <c r="AL238" i="5"/>
  <c r="AM238" i="5"/>
  <c r="AN238" i="5"/>
  <c r="AO238" i="5"/>
  <c r="AP238" i="5"/>
  <c r="AQ238" i="5"/>
  <c r="AR238" i="5"/>
  <c r="AS238" i="5"/>
  <c r="AT238" i="5"/>
  <c r="AU238" i="5"/>
  <c r="AV238" i="5"/>
  <c r="AW238" i="5"/>
  <c r="AX238" i="5"/>
  <c r="AY238" i="5"/>
  <c r="AZ238" i="5"/>
  <c r="BA238" i="5"/>
  <c r="BB238" i="5"/>
  <c r="BC238" i="5"/>
  <c r="BD238" i="5"/>
  <c r="BE238" i="5"/>
  <c r="BF238" i="5"/>
  <c r="BG238" i="5"/>
  <c r="BH238" i="5"/>
  <c r="BI238" i="5"/>
  <c r="BJ238" i="5"/>
  <c r="BK238" i="5"/>
  <c r="BL238" i="5"/>
  <c r="O239" i="5"/>
  <c r="P239" i="5"/>
  <c r="Q239" i="5"/>
  <c r="R239" i="5"/>
  <c r="S239" i="5"/>
  <c r="T239" i="5"/>
  <c r="U239" i="5"/>
  <c r="V239" i="5"/>
  <c r="W239" i="5"/>
  <c r="X239" i="5"/>
  <c r="Y239" i="5"/>
  <c r="Z239" i="5"/>
  <c r="AA239" i="5"/>
  <c r="AB239" i="5"/>
  <c r="AC239" i="5"/>
  <c r="AD239" i="5"/>
  <c r="AE239" i="5"/>
  <c r="AF239" i="5"/>
  <c r="AG239" i="5"/>
  <c r="AH239" i="5"/>
  <c r="AI239" i="5"/>
  <c r="AJ239" i="5"/>
  <c r="AK239" i="5"/>
  <c r="AL239" i="5"/>
  <c r="AM239" i="5"/>
  <c r="AN239" i="5"/>
  <c r="AO239" i="5"/>
  <c r="AP239" i="5"/>
  <c r="AQ239" i="5"/>
  <c r="AR239" i="5"/>
  <c r="AS239" i="5"/>
  <c r="AT239" i="5"/>
  <c r="AU239" i="5"/>
  <c r="AV239" i="5"/>
  <c r="AW239" i="5"/>
  <c r="AX239" i="5"/>
  <c r="AY239" i="5"/>
  <c r="AZ239" i="5"/>
  <c r="BA239" i="5"/>
  <c r="BB239" i="5"/>
  <c r="BC239" i="5"/>
  <c r="BD239" i="5"/>
  <c r="BE239" i="5"/>
  <c r="BF239" i="5"/>
  <c r="BG239" i="5"/>
  <c r="BH239" i="5"/>
  <c r="BI239" i="5"/>
  <c r="BJ239" i="5"/>
  <c r="BK239" i="5"/>
  <c r="BL239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N136" i="5"/>
  <c r="N137" i="5"/>
  <c r="N138" i="5"/>
  <c r="N139" i="5"/>
  <c r="N140" i="5"/>
  <c r="N141" i="5"/>
  <c r="N142" i="5"/>
  <c r="N143" i="5"/>
  <c r="N144" i="5"/>
  <c r="N145" i="5"/>
  <c r="N146" i="5"/>
  <c r="N147" i="5"/>
  <c r="N148" i="5"/>
  <c r="N149" i="5"/>
  <c r="N150" i="5"/>
  <c r="N151" i="5"/>
  <c r="N152" i="5"/>
  <c r="N153" i="5"/>
  <c r="N154" i="5"/>
  <c r="N155" i="5"/>
  <c r="N156" i="5"/>
  <c r="N157" i="5"/>
  <c r="N158" i="5"/>
  <c r="N159" i="5"/>
  <c r="N160" i="5"/>
  <c r="N161" i="5"/>
  <c r="N162" i="5"/>
  <c r="N163" i="5"/>
  <c r="N164" i="5"/>
  <c r="N165" i="5"/>
  <c r="N166" i="5"/>
  <c r="N167" i="5"/>
  <c r="N168" i="5"/>
  <c r="N169" i="5"/>
  <c r="N170" i="5"/>
  <c r="N171" i="5"/>
  <c r="N172" i="5"/>
  <c r="N173" i="5"/>
  <c r="N174" i="5"/>
  <c r="N175" i="5"/>
  <c r="N176" i="5"/>
  <c r="N177" i="5"/>
  <c r="N178" i="5"/>
  <c r="N179" i="5"/>
  <c r="N180" i="5"/>
  <c r="N181" i="5"/>
  <c r="N182" i="5"/>
  <c r="N183" i="5"/>
  <c r="N184" i="5"/>
  <c r="N185" i="5"/>
  <c r="N186" i="5"/>
  <c r="N187" i="5"/>
  <c r="N188" i="5"/>
  <c r="N189" i="5"/>
  <c r="N190" i="5"/>
  <c r="N191" i="5"/>
  <c r="N192" i="5"/>
  <c r="N193" i="5"/>
  <c r="N194" i="5"/>
  <c r="N195" i="5"/>
  <c r="N196" i="5"/>
  <c r="N197" i="5"/>
  <c r="N198" i="5"/>
  <c r="N199" i="5"/>
  <c r="N200" i="5"/>
  <c r="N201" i="5"/>
  <c r="N202" i="5"/>
  <c r="N203" i="5"/>
  <c r="N204" i="5"/>
  <c r="N205" i="5"/>
  <c r="N206" i="5"/>
  <c r="N207" i="5"/>
  <c r="N208" i="5"/>
  <c r="N209" i="5"/>
  <c r="N210" i="5"/>
  <c r="N211" i="5"/>
  <c r="N212" i="5"/>
  <c r="N213" i="5"/>
  <c r="N214" i="5"/>
  <c r="N215" i="5"/>
  <c r="N216" i="5"/>
  <c r="N217" i="5"/>
  <c r="N218" i="5"/>
  <c r="N219" i="5"/>
  <c r="N220" i="5"/>
  <c r="N221" i="5"/>
  <c r="N222" i="5"/>
  <c r="N223" i="5"/>
  <c r="N224" i="5"/>
  <c r="N225" i="5"/>
  <c r="N226" i="5"/>
  <c r="N227" i="5"/>
  <c r="N228" i="5"/>
  <c r="N229" i="5"/>
  <c r="N230" i="5"/>
  <c r="N231" i="5"/>
  <c r="N232" i="5"/>
  <c r="N233" i="5"/>
  <c r="N234" i="5"/>
  <c r="N235" i="5"/>
  <c r="N236" i="5"/>
  <c r="N237" i="5"/>
  <c r="N238" i="5"/>
  <c r="N239" i="5"/>
  <c r="N2" i="5"/>
  <c r="M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03" i="5"/>
  <c r="M204" i="5"/>
  <c r="M205" i="5"/>
  <c r="M206" i="5"/>
  <c r="M207" i="5"/>
  <c r="M208" i="5"/>
  <c r="M209" i="5"/>
  <c r="M210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M225" i="5"/>
  <c r="M226" i="5"/>
  <c r="M227" i="5"/>
  <c r="M228" i="5"/>
  <c r="M229" i="5"/>
  <c r="M230" i="5"/>
  <c r="M231" i="5"/>
  <c r="M232" i="5"/>
  <c r="M233" i="5"/>
  <c r="M234" i="5"/>
  <c r="M235" i="5"/>
  <c r="M236" i="5"/>
  <c r="M237" i="5"/>
  <c r="M238" i="5"/>
  <c r="M239" i="5"/>
  <c r="L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K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3" i="5"/>
  <c r="J4" i="5"/>
  <c r="J5" i="5"/>
  <c r="J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" i="5"/>
  <c r="B8" i="5"/>
  <c r="C8" i="5"/>
  <c r="D8" i="5"/>
  <c r="E8" i="5"/>
  <c r="F8" i="5"/>
  <c r="G8" i="5"/>
  <c r="I8" i="5"/>
  <c r="B9" i="5"/>
  <c r="C9" i="5"/>
  <c r="D9" i="5"/>
  <c r="E9" i="5"/>
  <c r="F9" i="5"/>
  <c r="G9" i="5"/>
  <c r="I9" i="5"/>
  <c r="B10" i="5"/>
  <c r="C10" i="5"/>
  <c r="D10" i="5"/>
  <c r="E10" i="5"/>
  <c r="F10" i="5"/>
  <c r="G10" i="5"/>
  <c r="I10" i="5"/>
  <c r="B11" i="5"/>
  <c r="C11" i="5"/>
  <c r="D11" i="5"/>
  <c r="E11" i="5"/>
  <c r="F11" i="5"/>
  <c r="G11" i="5"/>
  <c r="I11" i="5"/>
  <c r="B12" i="5"/>
  <c r="C12" i="5"/>
  <c r="D12" i="5"/>
  <c r="E12" i="5"/>
  <c r="F12" i="5"/>
  <c r="G12" i="5"/>
  <c r="I12" i="5"/>
  <c r="B13" i="5"/>
  <c r="C13" i="5"/>
  <c r="D13" i="5"/>
  <c r="E13" i="5"/>
  <c r="F13" i="5"/>
  <c r="G13" i="5"/>
  <c r="I13" i="5"/>
  <c r="B14" i="5"/>
  <c r="C14" i="5"/>
  <c r="D14" i="5"/>
  <c r="E14" i="5"/>
  <c r="F14" i="5"/>
  <c r="G14" i="5"/>
  <c r="I14" i="5"/>
  <c r="B15" i="5"/>
  <c r="C15" i="5"/>
  <c r="D15" i="5"/>
  <c r="E15" i="5"/>
  <c r="F15" i="5"/>
  <c r="G15" i="5"/>
  <c r="I15" i="5"/>
  <c r="B16" i="5"/>
  <c r="C16" i="5"/>
  <c r="D16" i="5"/>
  <c r="E16" i="5"/>
  <c r="F16" i="5"/>
  <c r="G16" i="5"/>
  <c r="I16" i="5"/>
  <c r="B17" i="5"/>
  <c r="C17" i="5"/>
  <c r="D17" i="5"/>
  <c r="E17" i="5"/>
  <c r="F17" i="5"/>
  <c r="G17" i="5"/>
  <c r="I17" i="5"/>
  <c r="B18" i="5"/>
  <c r="C18" i="5"/>
  <c r="D18" i="5"/>
  <c r="E18" i="5"/>
  <c r="F18" i="5"/>
  <c r="G18" i="5"/>
  <c r="I18" i="5"/>
  <c r="B19" i="5"/>
  <c r="C19" i="5"/>
  <c r="D19" i="5"/>
  <c r="E19" i="5"/>
  <c r="F19" i="5"/>
  <c r="G19" i="5"/>
  <c r="I19" i="5"/>
  <c r="B20" i="5"/>
  <c r="C20" i="5"/>
  <c r="D20" i="5"/>
  <c r="E20" i="5"/>
  <c r="F20" i="5"/>
  <c r="G20" i="5"/>
  <c r="I20" i="5"/>
  <c r="B21" i="5"/>
  <c r="C21" i="5"/>
  <c r="D21" i="5"/>
  <c r="E21" i="5"/>
  <c r="F21" i="5"/>
  <c r="G21" i="5"/>
  <c r="I21" i="5"/>
  <c r="B22" i="5"/>
  <c r="C22" i="5"/>
  <c r="D22" i="5"/>
  <c r="E22" i="5"/>
  <c r="F22" i="5"/>
  <c r="G22" i="5"/>
  <c r="I22" i="5"/>
  <c r="B23" i="5"/>
  <c r="C23" i="5"/>
  <c r="D23" i="5"/>
  <c r="E23" i="5"/>
  <c r="F23" i="5"/>
  <c r="G23" i="5"/>
  <c r="I23" i="5"/>
  <c r="B24" i="5"/>
  <c r="C24" i="5"/>
  <c r="D24" i="5"/>
  <c r="E24" i="5"/>
  <c r="F24" i="5"/>
  <c r="G24" i="5"/>
  <c r="I24" i="5"/>
  <c r="B25" i="5"/>
  <c r="C25" i="5"/>
  <c r="D25" i="5"/>
  <c r="E25" i="5"/>
  <c r="F25" i="5"/>
  <c r="G25" i="5"/>
  <c r="I25" i="5"/>
  <c r="B26" i="5"/>
  <c r="C26" i="5"/>
  <c r="D26" i="5"/>
  <c r="E26" i="5"/>
  <c r="F26" i="5"/>
  <c r="G26" i="5"/>
  <c r="I26" i="5"/>
  <c r="B27" i="5"/>
  <c r="C27" i="5"/>
  <c r="D27" i="5"/>
  <c r="E27" i="5"/>
  <c r="F27" i="5"/>
  <c r="G27" i="5"/>
  <c r="I27" i="5"/>
  <c r="B28" i="5"/>
  <c r="C28" i="5"/>
  <c r="D28" i="5"/>
  <c r="E28" i="5"/>
  <c r="F28" i="5"/>
  <c r="G28" i="5"/>
  <c r="I28" i="5"/>
  <c r="B29" i="5"/>
  <c r="C29" i="5"/>
  <c r="D29" i="5"/>
  <c r="E29" i="5"/>
  <c r="F29" i="5"/>
  <c r="G29" i="5"/>
  <c r="I29" i="5"/>
  <c r="B30" i="5"/>
  <c r="C30" i="5"/>
  <c r="D30" i="5"/>
  <c r="E30" i="5"/>
  <c r="F30" i="5"/>
  <c r="G30" i="5"/>
  <c r="I30" i="5"/>
  <c r="B31" i="5"/>
  <c r="C31" i="5"/>
  <c r="D31" i="5"/>
  <c r="E31" i="5"/>
  <c r="F31" i="5"/>
  <c r="G31" i="5"/>
  <c r="I31" i="5"/>
  <c r="B32" i="5"/>
  <c r="C32" i="5"/>
  <c r="D32" i="5"/>
  <c r="E32" i="5"/>
  <c r="F32" i="5"/>
  <c r="G32" i="5"/>
  <c r="I32" i="5"/>
  <c r="B33" i="5"/>
  <c r="C33" i="5"/>
  <c r="D33" i="5"/>
  <c r="E33" i="5"/>
  <c r="F33" i="5"/>
  <c r="G33" i="5"/>
  <c r="I33" i="5"/>
  <c r="B34" i="5"/>
  <c r="C34" i="5"/>
  <c r="D34" i="5"/>
  <c r="E34" i="5"/>
  <c r="F34" i="5"/>
  <c r="G34" i="5"/>
  <c r="I34" i="5"/>
  <c r="B35" i="5"/>
  <c r="C35" i="5"/>
  <c r="D35" i="5"/>
  <c r="E35" i="5"/>
  <c r="F35" i="5"/>
  <c r="G35" i="5"/>
  <c r="I35" i="5"/>
  <c r="B36" i="5"/>
  <c r="C36" i="5"/>
  <c r="D36" i="5"/>
  <c r="E36" i="5"/>
  <c r="F36" i="5"/>
  <c r="G36" i="5"/>
  <c r="I36" i="5"/>
  <c r="B37" i="5"/>
  <c r="C37" i="5"/>
  <c r="D37" i="5"/>
  <c r="E37" i="5"/>
  <c r="F37" i="5"/>
  <c r="G37" i="5"/>
  <c r="I37" i="5"/>
  <c r="B38" i="5"/>
  <c r="C38" i="5"/>
  <c r="D38" i="5"/>
  <c r="E38" i="5"/>
  <c r="F38" i="5"/>
  <c r="G38" i="5"/>
  <c r="I38" i="5"/>
  <c r="B39" i="5"/>
  <c r="C39" i="5"/>
  <c r="D39" i="5"/>
  <c r="E39" i="5"/>
  <c r="F39" i="5"/>
  <c r="G39" i="5"/>
  <c r="I39" i="5"/>
  <c r="B40" i="5"/>
  <c r="C40" i="5"/>
  <c r="D40" i="5"/>
  <c r="E40" i="5"/>
  <c r="F40" i="5"/>
  <c r="G40" i="5"/>
  <c r="I40" i="5"/>
  <c r="B41" i="5"/>
  <c r="C41" i="5"/>
  <c r="D41" i="5"/>
  <c r="E41" i="5"/>
  <c r="F41" i="5"/>
  <c r="G41" i="5"/>
  <c r="I41" i="5"/>
  <c r="B42" i="5"/>
  <c r="C42" i="5"/>
  <c r="D42" i="5"/>
  <c r="E42" i="5"/>
  <c r="F42" i="5"/>
  <c r="G42" i="5"/>
  <c r="I42" i="5"/>
  <c r="B43" i="5"/>
  <c r="C43" i="5"/>
  <c r="D43" i="5"/>
  <c r="E43" i="5"/>
  <c r="F43" i="5"/>
  <c r="G43" i="5"/>
  <c r="I43" i="5"/>
  <c r="B44" i="5"/>
  <c r="C44" i="5"/>
  <c r="D44" i="5"/>
  <c r="E44" i="5"/>
  <c r="F44" i="5"/>
  <c r="G44" i="5"/>
  <c r="I44" i="5"/>
  <c r="B45" i="5"/>
  <c r="C45" i="5"/>
  <c r="D45" i="5"/>
  <c r="E45" i="5"/>
  <c r="F45" i="5"/>
  <c r="G45" i="5"/>
  <c r="I45" i="5"/>
  <c r="B46" i="5"/>
  <c r="C46" i="5"/>
  <c r="D46" i="5"/>
  <c r="E46" i="5"/>
  <c r="F46" i="5"/>
  <c r="G46" i="5"/>
  <c r="I46" i="5"/>
  <c r="B47" i="5"/>
  <c r="C47" i="5"/>
  <c r="D47" i="5"/>
  <c r="E47" i="5"/>
  <c r="F47" i="5"/>
  <c r="G47" i="5"/>
  <c r="I47" i="5"/>
  <c r="B48" i="5"/>
  <c r="C48" i="5"/>
  <c r="D48" i="5"/>
  <c r="E48" i="5"/>
  <c r="F48" i="5"/>
  <c r="G48" i="5"/>
  <c r="I48" i="5"/>
  <c r="B49" i="5"/>
  <c r="C49" i="5"/>
  <c r="D49" i="5"/>
  <c r="E49" i="5"/>
  <c r="F49" i="5"/>
  <c r="G49" i="5"/>
  <c r="I49" i="5"/>
  <c r="B50" i="5"/>
  <c r="C50" i="5"/>
  <c r="D50" i="5"/>
  <c r="E50" i="5"/>
  <c r="F50" i="5"/>
  <c r="G50" i="5"/>
  <c r="I50" i="5"/>
  <c r="B51" i="5"/>
  <c r="C51" i="5"/>
  <c r="D51" i="5"/>
  <c r="E51" i="5"/>
  <c r="F51" i="5"/>
  <c r="G51" i="5"/>
  <c r="I51" i="5"/>
  <c r="B52" i="5"/>
  <c r="C52" i="5"/>
  <c r="D52" i="5"/>
  <c r="E52" i="5"/>
  <c r="F52" i="5"/>
  <c r="G52" i="5"/>
  <c r="I52" i="5"/>
  <c r="B53" i="5"/>
  <c r="C53" i="5"/>
  <c r="D53" i="5"/>
  <c r="E53" i="5"/>
  <c r="F53" i="5"/>
  <c r="G53" i="5"/>
  <c r="I53" i="5"/>
  <c r="B54" i="5"/>
  <c r="C54" i="5"/>
  <c r="D54" i="5"/>
  <c r="E54" i="5"/>
  <c r="F54" i="5"/>
  <c r="G54" i="5"/>
  <c r="I54" i="5"/>
  <c r="B55" i="5"/>
  <c r="C55" i="5"/>
  <c r="D55" i="5"/>
  <c r="E55" i="5"/>
  <c r="F55" i="5"/>
  <c r="G55" i="5"/>
  <c r="I55" i="5"/>
  <c r="B56" i="5"/>
  <c r="C56" i="5"/>
  <c r="D56" i="5"/>
  <c r="E56" i="5"/>
  <c r="F56" i="5"/>
  <c r="G56" i="5"/>
  <c r="I56" i="5"/>
  <c r="B57" i="5"/>
  <c r="C57" i="5"/>
  <c r="D57" i="5"/>
  <c r="E57" i="5"/>
  <c r="F57" i="5"/>
  <c r="G57" i="5"/>
  <c r="I57" i="5"/>
  <c r="B58" i="5"/>
  <c r="C58" i="5"/>
  <c r="D58" i="5"/>
  <c r="E58" i="5"/>
  <c r="F58" i="5"/>
  <c r="G58" i="5"/>
  <c r="I58" i="5"/>
  <c r="B59" i="5"/>
  <c r="C59" i="5"/>
  <c r="D59" i="5"/>
  <c r="E59" i="5"/>
  <c r="F59" i="5"/>
  <c r="G59" i="5"/>
  <c r="I59" i="5"/>
  <c r="B60" i="5"/>
  <c r="C60" i="5"/>
  <c r="D60" i="5"/>
  <c r="E60" i="5"/>
  <c r="F60" i="5"/>
  <c r="G60" i="5"/>
  <c r="I60" i="5"/>
  <c r="B61" i="5"/>
  <c r="C61" i="5"/>
  <c r="D61" i="5"/>
  <c r="E61" i="5"/>
  <c r="F61" i="5"/>
  <c r="G61" i="5"/>
  <c r="I61" i="5"/>
  <c r="B62" i="5"/>
  <c r="C62" i="5"/>
  <c r="D62" i="5"/>
  <c r="E62" i="5"/>
  <c r="F62" i="5"/>
  <c r="G62" i="5"/>
  <c r="I62" i="5"/>
  <c r="B63" i="5"/>
  <c r="C63" i="5"/>
  <c r="D63" i="5"/>
  <c r="E63" i="5"/>
  <c r="F63" i="5"/>
  <c r="G63" i="5"/>
  <c r="I63" i="5"/>
  <c r="B64" i="5"/>
  <c r="C64" i="5"/>
  <c r="D64" i="5"/>
  <c r="E64" i="5"/>
  <c r="F64" i="5"/>
  <c r="G64" i="5"/>
  <c r="I64" i="5"/>
  <c r="B65" i="5"/>
  <c r="C65" i="5"/>
  <c r="D65" i="5"/>
  <c r="E65" i="5"/>
  <c r="F65" i="5"/>
  <c r="G65" i="5"/>
  <c r="I65" i="5"/>
  <c r="B66" i="5"/>
  <c r="C66" i="5"/>
  <c r="D66" i="5"/>
  <c r="E66" i="5"/>
  <c r="F66" i="5"/>
  <c r="G66" i="5"/>
  <c r="I66" i="5"/>
  <c r="B67" i="5"/>
  <c r="C67" i="5"/>
  <c r="D67" i="5"/>
  <c r="E67" i="5"/>
  <c r="F67" i="5"/>
  <c r="G67" i="5"/>
  <c r="I67" i="5"/>
  <c r="B68" i="5"/>
  <c r="C68" i="5"/>
  <c r="D68" i="5"/>
  <c r="E68" i="5"/>
  <c r="F68" i="5"/>
  <c r="G68" i="5"/>
  <c r="I68" i="5"/>
  <c r="B69" i="5"/>
  <c r="C69" i="5"/>
  <c r="D69" i="5"/>
  <c r="E69" i="5"/>
  <c r="F69" i="5"/>
  <c r="G69" i="5"/>
  <c r="I69" i="5"/>
  <c r="B70" i="5"/>
  <c r="C70" i="5"/>
  <c r="D70" i="5"/>
  <c r="E70" i="5"/>
  <c r="F70" i="5"/>
  <c r="G70" i="5"/>
  <c r="I70" i="5"/>
  <c r="B71" i="5"/>
  <c r="C71" i="5"/>
  <c r="D71" i="5"/>
  <c r="E71" i="5"/>
  <c r="F71" i="5"/>
  <c r="G71" i="5"/>
  <c r="I71" i="5"/>
  <c r="B72" i="5"/>
  <c r="C72" i="5"/>
  <c r="D72" i="5"/>
  <c r="E72" i="5"/>
  <c r="F72" i="5"/>
  <c r="G72" i="5"/>
  <c r="I72" i="5"/>
  <c r="B73" i="5"/>
  <c r="C73" i="5"/>
  <c r="D73" i="5"/>
  <c r="E73" i="5"/>
  <c r="F73" i="5"/>
  <c r="G73" i="5"/>
  <c r="I73" i="5"/>
  <c r="B74" i="5"/>
  <c r="C74" i="5"/>
  <c r="D74" i="5"/>
  <c r="E74" i="5"/>
  <c r="F74" i="5"/>
  <c r="G74" i="5"/>
  <c r="I74" i="5"/>
  <c r="B75" i="5"/>
  <c r="C75" i="5"/>
  <c r="D75" i="5"/>
  <c r="E75" i="5"/>
  <c r="F75" i="5"/>
  <c r="G75" i="5"/>
  <c r="I75" i="5"/>
  <c r="B76" i="5"/>
  <c r="C76" i="5"/>
  <c r="D76" i="5"/>
  <c r="E76" i="5"/>
  <c r="F76" i="5"/>
  <c r="G76" i="5"/>
  <c r="I76" i="5"/>
  <c r="B77" i="5"/>
  <c r="C77" i="5"/>
  <c r="D77" i="5"/>
  <c r="E77" i="5"/>
  <c r="F77" i="5"/>
  <c r="G77" i="5"/>
  <c r="I77" i="5"/>
  <c r="B78" i="5"/>
  <c r="C78" i="5"/>
  <c r="D78" i="5"/>
  <c r="E78" i="5"/>
  <c r="F78" i="5"/>
  <c r="G78" i="5"/>
  <c r="I78" i="5"/>
  <c r="B79" i="5"/>
  <c r="C79" i="5"/>
  <c r="D79" i="5"/>
  <c r="E79" i="5"/>
  <c r="F79" i="5"/>
  <c r="G79" i="5"/>
  <c r="I79" i="5"/>
  <c r="B80" i="5"/>
  <c r="C80" i="5"/>
  <c r="D80" i="5"/>
  <c r="E80" i="5"/>
  <c r="F80" i="5"/>
  <c r="G80" i="5"/>
  <c r="I80" i="5"/>
  <c r="B81" i="5"/>
  <c r="C81" i="5"/>
  <c r="D81" i="5"/>
  <c r="E81" i="5"/>
  <c r="F81" i="5"/>
  <c r="G81" i="5"/>
  <c r="I81" i="5"/>
  <c r="B82" i="5"/>
  <c r="C82" i="5"/>
  <c r="D82" i="5"/>
  <c r="E82" i="5"/>
  <c r="F82" i="5"/>
  <c r="G82" i="5"/>
  <c r="I82" i="5"/>
  <c r="B83" i="5"/>
  <c r="C83" i="5"/>
  <c r="D83" i="5"/>
  <c r="E83" i="5"/>
  <c r="F83" i="5"/>
  <c r="G83" i="5"/>
  <c r="I83" i="5"/>
  <c r="B84" i="5"/>
  <c r="C84" i="5"/>
  <c r="D84" i="5"/>
  <c r="E84" i="5"/>
  <c r="F84" i="5"/>
  <c r="G84" i="5"/>
  <c r="I84" i="5"/>
  <c r="B85" i="5"/>
  <c r="C85" i="5"/>
  <c r="D85" i="5"/>
  <c r="E85" i="5"/>
  <c r="F85" i="5"/>
  <c r="G85" i="5"/>
  <c r="I85" i="5"/>
  <c r="B86" i="5"/>
  <c r="C86" i="5"/>
  <c r="D86" i="5"/>
  <c r="E86" i="5"/>
  <c r="F86" i="5"/>
  <c r="G86" i="5"/>
  <c r="I86" i="5"/>
  <c r="B87" i="5"/>
  <c r="C87" i="5"/>
  <c r="D87" i="5"/>
  <c r="E87" i="5"/>
  <c r="F87" i="5"/>
  <c r="G87" i="5"/>
  <c r="I87" i="5"/>
  <c r="B88" i="5"/>
  <c r="C88" i="5"/>
  <c r="D88" i="5"/>
  <c r="E88" i="5"/>
  <c r="F88" i="5"/>
  <c r="G88" i="5"/>
  <c r="I88" i="5"/>
  <c r="B89" i="5"/>
  <c r="C89" i="5"/>
  <c r="D89" i="5"/>
  <c r="E89" i="5"/>
  <c r="F89" i="5"/>
  <c r="G89" i="5"/>
  <c r="I89" i="5"/>
  <c r="B90" i="5"/>
  <c r="C90" i="5"/>
  <c r="D90" i="5"/>
  <c r="E90" i="5"/>
  <c r="F90" i="5"/>
  <c r="G90" i="5"/>
  <c r="I90" i="5"/>
  <c r="B91" i="5"/>
  <c r="C91" i="5"/>
  <c r="D91" i="5"/>
  <c r="E91" i="5"/>
  <c r="F91" i="5"/>
  <c r="G91" i="5"/>
  <c r="I91" i="5"/>
  <c r="B92" i="5"/>
  <c r="C92" i="5"/>
  <c r="D92" i="5"/>
  <c r="E92" i="5"/>
  <c r="F92" i="5"/>
  <c r="G92" i="5"/>
  <c r="I92" i="5"/>
  <c r="B93" i="5"/>
  <c r="C93" i="5"/>
  <c r="D93" i="5"/>
  <c r="E93" i="5"/>
  <c r="F93" i="5"/>
  <c r="G93" i="5"/>
  <c r="I93" i="5"/>
  <c r="B94" i="5"/>
  <c r="C94" i="5"/>
  <c r="D94" i="5"/>
  <c r="E94" i="5"/>
  <c r="F94" i="5"/>
  <c r="G94" i="5"/>
  <c r="I94" i="5"/>
  <c r="B95" i="5"/>
  <c r="C95" i="5"/>
  <c r="D95" i="5"/>
  <c r="E95" i="5"/>
  <c r="F95" i="5"/>
  <c r="G95" i="5"/>
  <c r="I95" i="5"/>
  <c r="B96" i="5"/>
  <c r="C96" i="5"/>
  <c r="D96" i="5"/>
  <c r="E96" i="5"/>
  <c r="F96" i="5"/>
  <c r="G96" i="5"/>
  <c r="I96" i="5"/>
  <c r="B97" i="5"/>
  <c r="C97" i="5"/>
  <c r="D97" i="5"/>
  <c r="E97" i="5"/>
  <c r="F97" i="5"/>
  <c r="G97" i="5"/>
  <c r="I97" i="5"/>
  <c r="B98" i="5"/>
  <c r="C98" i="5"/>
  <c r="D98" i="5"/>
  <c r="E98" i="5"/>
  <c r="F98" i="5"/>
  <c r="G98" i="5"/>
  <c r="I98" i="5"/>
  <c r="B99" i="5"/>
  <c r="C99" i="5"/>
  <c r="D99" i="5"/>
  <c r="E99" i="5"/>
  <c r="F99" i="5"/>
  <c r="G99" i="5"/>
  <c r="I99" i="5"/>
  <c r="B100" i="5"/>
  <c r="C100" i="5"/>
  <c r="D100" i="5"/>
  <c r="E100" i="5"/>
  <c r="F100" i="5"/>
  <c r="G100" i="5"/>
  <c r="I100" i="5"/>
  <c r="B101" i="5"/>
  <c r="C101" i="5"/>
  <c r="D101" i="5"/>
  <c r="E101" i="5"/>
  <c r="F101" i="5"/>
  <c r="G101" i="5"/>
  <c r="I101" i="5"/>
  <c r="B102" i="5"/>
  <c r="C102" i="5"/>
  <c r="D102" i="5"/>
  <c r="E102" i="5"/>
  <c r="F102" i="5"/>
  <c r="G102" i="5"/>
  <c r="I102" i="5"/>
  <c r="B103" i="5"/>
  <c r="C103" i="5"/>
  <c r="D103" i="5"/>
  <c r="E103" i="5"/>
  <c r="F103" i="5"/>
  <c r="G103" i="5"/>
  <c r="I103" i="5"/>
  <c r="B104" i="5"/>
  <c r="C104" i="5"/>
  <c r="D104" i="5"/>
  <c r="E104" i="5"/>
  <c r="F104" i="5"/>
  <c r="G104" i="5"/>
  <c r="I104" i="5"/>
  <c r="B105" i="5"/>
  <c r="C105" i="5"/>
  <c r="D105" i="5"/>
  <c r="E105" i="5"/>
  <c r="F105" i="5"/>
  <c r="G105" i="5"/>
  <c r="I105" i="5"/>
  <c r="B106" i="5"/>
  <c r="C106" i="5"/>
  <c r="D106" i="5"/>
  <c r="E106" i="5"/>
  <c r="F106" i="5"/>
  <c r="G106" i="5"/>
  <c r="I106" i="5"/>
  <c r="B107" i="5"/>
  <c r="C107" i="5"/>
  <c r="D107" i="5"/>
  <c r="E107" i="5"/>
  <c r="F107" i="5"/>
  <c r="G107" i="5"/>
  <c r="I107" i="5"/>
  <c r="B108" i="5"/>
  <c r="C108" i="5"/>
  <c r="D108" i="5"/>
  <c r="E108" i="5"/>
  <c r="F108" i="5"/>
  <c r="G108" i="5"/>
  <c r="I108" i="5"/>
  <c r="B109" i="5"/>
  <c r="C109" i="5"/>
  <c r="D109" i="5"/>
  <c r="E109" i="5"/>
  <c r="F109" i="5"/>
  <c r="G109" i="5"/>
  <c r="I109" i="5"/>
  <c r="B110" i="5"/>
  <c r="C110" i="5"/>
  <c r="D110" i="5"/>
  <c r="E110" i="5"/>
  <c r="F110" i="5"/>
  <c r="G110" i="5"/>
  <c r="I110" i="5"/>
  <c r="B111" i="5"/>
  <c r="C111" i="5"/>
  <c r="D111" i="5"/>
  <c r="E111" i="5"/>
  <c r="F111" i="5"/>
  <c r="G111" i="5"/>
  <c r="I111" i="5"/>
  <c r="B112" i="5"/>
  <c r="C112" i="5"/>
  <c r="D112" i="5"/>
  <c r="E112" i="5"/>
  <c r="F112" i="5"/>
  <c r="G112" i="5"/>
  <c r="I112" i="5"/>
  <c r="B113" i="5"/>
  <c r="C113" i="5"/>
  <c r="D113" i="5"/>
  <c r="E113" i="5"/>
  <c r="F113" i="5"/>
  <c r="G113" i="5"/>
  <c r="I113" i="5"/>
  <c r="B114" i="5"/>
  <c r="C114" i="5"/>
  <c r="D114" i="5"/>
  <c r="E114" i="5"/>
  <c r="F114" i="5"/>
  <c r="G114" i="5"/>
  <c r="I114" i="5"/>
  <c r="B115" i="5"/>
  <c r="C115" i="5"/>
  <c r="D115" i="5"/>
  <c r="E115" i="5"/>
  <c r="F115" i="5"/>
  <c r="G115" i="5"/>
  <c r="I115" i="5"/>
  <c r="B116" i="5"/>
  <c r="C116" i="5"/>
  <c r="D116" i="5"/>
  <c r="E116" i="5"/>
  <c r="F116" i="5"/>
  <c r="G116" i="5"/>
  <c r="I116" i="5"/>
  <c r="B117" i="5"/>
  <c r="C117" i="5"/>
  <c r="D117" i="5"/>
  <c r="E117" i="5"/>
  <c r="F117" i="5"/>
  <c r="G117" i="5"/>
  <c r="I117" i="5"/>
  <c r="B118" i="5"/>
  <c r="C118" i="5"/>
  <c r="D118" i="5"/>
  <c r="E118" i="5"/>
  <c r="F118" i="5"/>
  <c r="G118" i="5"/>
  <c r="I118" i="5"/>
  <c r="B119" i="5"/>
  <c r="C119" i="5"/>
  <c r="D119" i="5"/>
  <c r="E119" i="5"/>
  <c r="F119" i="5"/>
  <c r="G119" i="5"/>
  <c r="I119" i="5"/>
  <c r="B120" i="5"/>
  <c r="C120" i="5"/>
  <c r="D120" i="5"/>
  <c r="E120" i="5"/>
  <c r="F120" i="5"/>
  <c r="G120" i="5"/>
  <c r="I120" i="5"/>
  <c r="B121" i="5"/>
  <c r="C121" i="5"/>
  <c r="D121" i="5"/>
  <c r="E121" i="5"/>
  <c r="F121" i="5"/>
  <c r="G121" i="5"/>
  <c r="I121" i="5"/>
  <c r="B122" i="5"/>
  <c r="C122" i="5"/>
  <c r="D122" i="5"/>
  <c r="E122" i="5"/>
  <c r="F122" i="5"/>
  <c r="G122" i="5"/>
  <c r="I122" i="5"/>
  <c r="B123" i="5"/>
  <c r="C123" i="5"/>
  <c r="D123" i="5"/>
  <c r="E123" i="5"/>
  <c r="F123" i="5"/>
  <c r="G123" i="5"/>
  <c r="I123" i="5"/>
  <c r="B124" i="5"/>
  <c r="C124" i="5"/>
  <c r="D124" i="5"/>
  <c r="E124" i="5"/>
  <c r="F124" i="5"/>
  <c r="G124" i="5"/>
  <c r="I124" i="5"/>
  <c r="B125" i="5"/>
  <c r="C125" i="5"/>
  <c r="D125" i="5"/>
  <c r="E125" i="5"/>
  <c r="F125" i="5"/>
  <c r="G125" i="5"/>
  <c r="I125" i="5"/>
  <c r="B126" i="5"/>
  <c r="C126" i="5"/>
  <c r="D126" i="5"/>
  <c r="E126" i="5"/>
  <c r="F126" i="5"/>
  <c r="G126" i="5"/>
  <c r="I126" i="5"/>
  <c r="B127" i="5"/>
  <c r="C127" i="5"/>
  <c r="D127" i="5"/>
  <c r="E127" i="5"/>
  <c r="F127" i="5"/>
  <c r="G127" i="5"/>
  <c r="I127" i="5"/>
  <c r="B128" i="5"/>
  <c r="C128" i="5"/>
  <c r="D128" i="5"/>
  <c r="E128" i="5"/>
  <c r="F128" i="5"/>
  <c r="G128" i="5"/>
  <c r="I128" i="5"/>
  <c r="B129" i="5"/>
  <c r="C129" i="5"/>
  <c r="D129" i="5"/>
  <c r="E129" i="5"/>
  <c r="F129" i="5"/>
  <c r="G129" i="5"/>
  <c r="I129" i="5"/>
  <c r="B130" i="5"/>
  <c r="C130" i="5"/>
  <c r="D130" i="5"/>
  <c r="E130" i="5"/>
  <c r="F130" i="5"/>
  <c r="G130" i="5"/>
  <c r="I130" i="5"/>
  <c r="B131" i="5"/>
  <c r="C131" i="5"/>
  <c r="D131" i="5"/>
  <c r="E131" i="5"/>
  <c r="F131" i="5"/>
  <c r="G131" i="5"/>
  <c r="I131" i="5"/>
  <c r="B132" i="5"/>
  <c r="C132" i="5"/>
  <c r="D132" i="5"/>
  <c r="E132" i="5"/>
  <c r="F132" i="5"/>
  <c r="G132" i="5"/>
  <c r="I132" i="5"/>
  <c r="B133" i="5"/>
  <c r="C133" i="5"/>
  <c r="D133" i="5"/>
  <c r="E133" i="5"/>
  <c r="F133" i="5"/>
  <c r="G133" i="5"/>
  <c r="I133" i="5"/>
  <c r="B134" i="5"/>
  <c r="C134" i="5"/>
  <c r="D134" i="5"/>
  <c r="E134" i="5"/>
  <c r="F134" i="5"/>
  <c r="G134" i="5"/>
  <c r="I134" i="5"/>
  <c r="B135" i="5"/>
  <c r="C135" i="5"/>
  <c r="D135" i="5"/>
  <c r="E135" i="5"/>
  <c r="F135" i="5"/>
  <c r="G135" i="5"/>
  <c r="I135" i="5"/>
  <c r="B136" i="5"/>
  <c r="C136" i="5"/>
  <c r="D136" i="5"/>
  <c r="E136" i="5"/>
  <c r="F136" i="5"/>
  <c r="G136" i="5"/>
  <c r="I136" i="5"/>
  <c r="B137" i="5"/>
  <c r="C137" i="5"/>
  <c r="D137" i="5"/>
  <c r="E137" i="5"/>
  <c r="F137" i="5"/>
  <c r="G137" i="5"/>
  <c r="I137" i="5"/>
  <c r="B138" i="5"/>
  <c r="C138" i="5"/>
  <c r="D138" i="5"/>
  <c r="E138" i="5"/>
  <c r="F138" i="5"/>
  <c r="G138" i="5"/>
  <c r="I138" i="5"/>
  <c r="B139" i="5"/>
  <c r="C139" i="5"/>
  <c r="D139" i="5"/>
  <c r="E139" i="5"/>
  <c r="F139" i="5"/>
  <c r="G139" i="5"/>
  <c r="I139" i="5"/>
  <c r="B140" i="5"/>
  <c r="C140" i="5"/>
  <c r="D140" i="5"/>
  <c r="E140" i="5"/>
  <c r="F140" i="5"/>
  <c r="G140" i="5"/>
  <c r="I140" i="5"/>
  <c r="B141" i="5"/>
  <c r="C141" i="5"/>
  <c r="D141" i="5"/>
  <c r="E141" i="5"/>
  <c r="F141" i="5"/>
  <c r="G141" i="5"/>
  <c r="I141" i="5"/>
  <c r="B142" i="5"/>
  <c r="C142" i="5"/>
  <c r="D142" i="5"/>
  <c r="E142" i="5"/>
  <c r="F142" i="5"/>
  <c r="G142" i="5"/>
  <c r="I142" i="5"/>
  <c r="B143" i="5"/>
  <c r="C143" i="5"/>
  <c r="D143" i="5"/>
  <c r="E143" i="5"/>
  <c r="F143" i="5"/>
  <c r="G143" i="5"/>
  <c r="I143" i="5"/>
  <c r="B144" i="5"/>
  <c r="C144" i="5"/>
  <c r="D144" i="5"/>
  <c r="E144" i="5"/>
  <c r="F144" i="5"/>
  <c r="G144" i="5"/>
  <c r="I144" i="5"/>
  <c r="B145" i="5"/>
  <c r="C145" i="5"/>
  <c r="D145" i="5"/>
  <c r="E145" i="5"/>
  <c r="F145" i="5"/>
  <c r="G145" i="5"/>
  <c r="I145" i="5"/>
  <c r="B146" i="5"/>
  <c r="C146" i="5"/>
  <c r="D146" i="5"/>
  <c r="E146" i="5"/>
  <c r="F146" i="5"/>
  <c r="G146" i="5"/>
  <c r="I146" i="5"/>
  <c r="B147" i="5"/>
  <c r="C147" i="5"/>
  <c r="D147" i="5"/>
  <c r="E147" i="5"/>
  <c r="F147" i="5"/>
  <c r="G147" i="5"/>
  <c r="I147" i="5"/>
  <c r="B148" i="5"/>
  <c r="C148" i="5"/>
  <c r="D148" i="5"/>
  <c r="E148" i="5"/>
  <c r="F148" i="5"/>
  <c r="G148" i="5"/>
  <c r="I148" i="5"/>
  <c r="B149" i="5"/>
  <c r="C149" i="5"/>
  <c r="D149" i="5"/>
  <c r="E149" i="5"/>
  <c r="F149" i="5"/>
  <c r="G149" i="5"/>
  <c r="I149" i="5"/>
  <c r="B150" i="5"/>
  <c r="C150" i="5"/>
  <c r="D150" i="5"/>
  <c r="E150" i="5"/>
  <c r="F150" i="5"/>
  <c r="G150" i="5"/>
  <c r="I150" i="5"/>
  <c r="B151" i="5"/>
  <c r="C151" i="5"/>
  <c r="D151" i="5"/>
  <c r="E151" i="5"/>
  <c r="F151" i="5"/>
  <c r="G151" i="5"/>
  <c r="I151" i="5"/>
  <c r="B152" i="5"/>
  <c r="C152" i="5"/>
  <c r="D152" i="5"/>
  <c r="E152" i="5"/>
  <c r="F152" i="5"/>
  <c r="G152" i="5"/>
  <c r="I152" i="5"/>
  <c r="B153" i="5"/>
  <c r="C153" i="5"/>
  <c r="D153" i="5"/>
  <c r="E153" i="5"/>
  <c r="F153" i="5"/>
  <c r="G153" i="5"/>
  <c r="I153" i="5"/>
  <c r="B154" i="5"/>
  <c r="C154" i="5"/>
  <c r="D154" i="5"/>
  <c r="E154" i="5"/>
  <c r="F154" i="5"/>
  <c r="G154" i="5"/>
  <c r="I154" i="5"/>
  <c r="B155" i="5"/>
  <c r="C155" i="5"/>
  <c r="D155" i="5"/>
  <c r="E155" i="5"/>
  <c r="F155" i="5"/>
  <c r="G155" i="5"/>
  <c r="I155" i="5"/>
  <c r="B156" i="5"/>
  <c r="C156" i="5"/>
  <c r="D156" i="5"/>
  <c r="E156" i="5"/>
  <c r="F156" i="5"/>
  <c r="G156" i="5"/>
  <c r="I156" i="5"/>
  <c r="B157" i="5"/>
  <c r="C157" i="5"/>
  <c r="D157" i="5"/>
  <c r="E157" i="5"/>
  <c r="F157" i="5"/>
  <c r="G157" i="5"/>
  <c r="I157" i="5"/>
  <c r="B158" i="5"/>
  <c r="C158" i="5"/>
  <c r="D158" i="5"/>
  <c r="E158" i="5"/>
  <c r="F158" i="5"/>
  <c r="G158" i="5"/>
  <c r="I158" i="5"/>
  <c r="B159" i="5"/>
  <c r="C159" i="5"/>
  <c r="D159" i="5"/>
  <c r="E159" i="5"/>
  <c r="F159" i="5"/>
  <c r="G159" i="5"/>
  <c r="I159" i="5"/>
  <c r="B160" i="5"/>
  <c r="C160" i="5"/>
  <c r="D160" i="5"/>
  <c r="E160" i="5"/>
  <c r="F160" i="5"/>
  <c r="G160" i="5"/>
  <c r="I160" i="5"/>
  <c r="B161" i="5"/>
  <c r="C161" i="5"/>
  <c r="D161" i="5"/>
  <c r="E161" i="5"/>
  <c r="F161" i="5"/>
  <c r="G161" i="5"/>
  <c r="I161" i="5"/>
  <c r="B162" i="5"/>
  <c r="C162" i="5"/>
  <c r="D162" i="5"/>
  <c r="E162" i="5"/>
  <c r="F162" i="5"/>
  <c r="G162" i="5"/>
  <c r="I162" i="5"/>
  <c r="B163" i="5"/>
  <c r="C163" i="5"/>
  <c r="D163" i="5"/>
  <c r="E163" i="5"/>
  <c r="F163" i="5"/>
  <c r="G163" i="5"/>
  <c r="I163" i="5"/>
  <c r="B164" i="5"/>
  <c r="C164" i="5"/>
  <c r="D164" i="5"/>
  <c r="E164" i="5"/>
  <c r="F164" i="5"/>
  <c r="G164" i="5"/>
  <c r="I164" i="5"/>
  <c r="B165" i="5"/>
  <c r="C165" i="5"/>
  <c r="D165" i="5"/>
  <c r="E165" i="5"/>
  <c r="F165" i="5"/>
  <c r="G165" i="5"/>
  <c r="I165" i="5"/>
  <c r="B166" i="5"/>
  <c r="C166" i="5"/>
  <c r="D166" i="5"/>
  <c r="E166" i="5"/>
  <c r="F166" i="5"/>
  <c r="G166" i="5"/>
  <c r="I166" i="5"/>
  <c r="B167" i="5"/>
  <c r="C167" i="5"/>
  <c r="D167" i="5"/>
  <c r="E167" i="5"/>
  <c r="F167" i="5"/>
  <c r="G167" i="5"/>
  <c r="I167" i="5"/>
  <c r="B168" i="5"/>
  <c r="C168" i="5"/>
  <c r="D168" i="5"/>
  <c r="E168" i="5"/>
  <c r="F168" i="5"/>
  <c r="G168" i="5"/>
  <c r="I168" i="5"/>
  <c r="B169" i="5"/>
  <c r="C169" i="5"/>
  <c r="D169" i="5"/>
  <c r="E169" i="5"/>
  <c r="F169" i="5"/>
  <c r="G169" i="5"/>
  <c r="I169" i="5"/>
  <c r="B170" i="5"/>
  <c r="C170" i="5"/>
  <c r="D170" i="5"/>
  <c r="E170" i="5"/>
  <c r="F170" i="5"/>
  <c r="G170" i="5"/>
  <c r="I170" i="5"/>
  <c r="B171" i="5"/>
  <c r="C171" i="5"/>
  <c r="D171" i="5"/>
  <c r="E171" i="5"/>
  <c r="F171" i="5"/>
  <c r="G171" i="5"/>
  <c r="I171" i="5"/>
  <c r="B172" i="5"/>
  <c r="C172" i="5"/>
  <c r="D172" i="5"/>
  <c r="E172" i="5"/>
  <c r="F172" i="5"/>
  <c r="G172" i="5"/>
  <c r="I172" i="5"/>
  <c r="B173" i="5"/>
  <c r="C173" i="5"/>
  <c r="D173" i="5"/>
  <c r="E173" i="5"/>
  <c r="F173" i="5"/>
  <c r="G173" i="5"/>
  <c r="I173" i="5"/>
  <c r="B174" i="5"/>
  <c r="C174" i="5"/>
  <c r="D174" i="5"/>
  <c r="E174" i="5"/>
  <c r="F174" i="5"/>
  <c r="G174" i="5"/>
  <c r="I174" i="5"/>
  <c r="B175" i="5"/>
  <c r="C175" i="5"/>
  <c r="D175" i="5"/>
  <c r="E175" i="5"/>
  <c r="F175" i="5"/>
  <c r="G175" i="5"/>
  <c r="I175" i="5"/>
  <c r="B176" i="5"/>
  <c r="C176" i="5"/>
  <c r="D176" i="5"/>
  <c r="E176" i="5"/>
  <c r="F176" i="5"/>
  <c r="G176" i="5"/>
  <c r="I176" i="5"/>
  <c r="B177" i="5"/>
  <c r="C177" i="5"/>
  <c r="D177" i="5"/>
  <c r="E177" i="5"/>
  <c r="F177" i="5"/>
  <c r="G177" i="5"/>
  <c r="I177" i="5"/>
  <c r="B178" i="5"/>
  <c r="C178" i="5"/>
  <c r="D178" i="5"/>
  <c r="E178" i="5"/>
  <c r="F178" i="5"/>
  <c r="G178" i="5"/>
  <c r="I178" i="5"/>
  <c r="B179" i="5"/>
  <c r="C179" i="5"/>
  <c r="D179" i="5"/>
  <c r="E179" i="5"/>
  <c r="F179" i="5"/>
  <c r="G179" i="5"/>
  <c r="I179" i="5"/>
  <c r="B180" i="5"/>
  <c r="C180" i="5"/>
  <c r="D180" i="5"/>
  <c r="E180" i="5"/>
  <c r="F180" i="5"/>
  <c r="G180" i="5"/>
  <c r="I180" i="5"/>
  <c r="B181" i="5"/>
  <c r="C181" i="5"/>
  <c r="D181" i="5"/>
  <c r="E181" i="5"/>
  <c r="F181" i="5"/>
  <c r="G181" i="5"/>
  <c r="I181" i="5"/>
  <c r="B182" i="5"/>
  <c r="C182" i="5"/>
  <c r="D182" i="5"/>
  <c r="E182" i="5"/>
  <c r="F182" i="5"/>
  <c r="G182" i="5"/>
  <c r="I182" i="5"/>
  <c r="B183" i="5"/>
  <c r="C183" i="5"/>
  <c r="D183" i="5"/>
  <c r="E183" i="5"/>
  <c r="F183" i="5"/>
  <c r="G183" i="5"/>
  <c r="I183" i="5"/>
  <c r="B184" i="5"/>
  <c r="C184" i="5"/>
  <c r="D184" i="5"/>
  <c r="E184" i="5"/>
  <c r="F184" i="5"/>
  <c r="G184" i="5"/>
  <c r="I184" i="5"/>
  <c r="B185" i="5"/>
  <c r="C185" i="5"/>
  <c r="D185" i="5"/>
  <c r="E185" i="5"/>
  <c r="F185" i="5"/>
  <c r="G185" i="5"/>
  <c r="I185" i="5"/>
  <c r="B186" i="5"/>
  <c r="C186" i="5"/>
  <c r="D186" i="5"/>
  <c r="E186" i="5"/>
  <c r="F186" i="5"/>
  <c r="G186" i="5"/>
  <c r="I186" i="5"/>
  <c r="B187" i="5"/>
  <c r="C187" i="5"/>
  <c r="D187" i="5"/>
  <c r="E187" i="5"/>
  <c r="F187" i="5"/>
  <c r="G187" i="5"/>
  <c r="I187" i="5"/>
  <c r="B188" i="5"/>
  <c r="C188" i="5"/>
  <c r="D188" i="5"/>
  <c r="E188" i="5"/>
  <c r="F188" i="5"/>
  <c r="G188" i="5"/>
  <c r="I188" i="5"/>
  <c r="B189" i="5"/>
  <c r="C189" i="5"/>
  <c r="D189" i="5"/>
  <c r="E189" i="5"/>
  <c r="F189" i="5"/>
  <c r="G189" i="5"/>
  <c r="I189" i="5"/>
  <c r="B190" i="5"/>
  <c r="C190" i="5"/>
  <c r="D190" i="5"/>
  <c r="E190" i="5"/>
  <c r="F190" i="5"/>
  <c r="G190" i="5"/>
  <c r="I190" i="5"/>
  <c r="B191" i="5"/>
  <c r="C191" i="5"/>
  <c r="D191" i="5"/>
  <c r="E191" i="5"/>
  <c r="F191" i="5"/>
  <c r="G191" i="5"/>
  <c r="I191" i="5"/>
  <c r="B192" i="5"/>
  <c r="C192" i="5"/>
  <c r="D192" i="5"/>
  <c r="E192" i="5"/>
  <c r="F192" i="5"/>
  <c r="G192" i="5"/>
  <c r="I192" i="5"/>
  <c r="B193" i="5"/>
  <c r="C193" i="5"/>
  <c r="D193" i="5"/>
  <c r="E193" i="5"/>
  <c r="F193" i="5"/>
  <c r="G193" i="5"/>
  <c r="I193" i="5"/>
  <c r="B194" i="5"/>
  <c r="C194" i="5"/>
  <c r="D194" i="5"/>
  <c r="E194" i="5"/>
  <c r="F194" i="5"/>
  <c r="G194" i="5"/>
  <c r="I194" i="5"/>
  <c r="B195" i="5"/>
  <c r="C195" i="5"/>
  <c r="D195" i="5"/>
  <c r="E195" i="5"/>
  <c r="F195" i="5"/>
  <c r="G195" i="5"/>
  <c r="I195" i="5"/>
  <c r="B196" i="5"/>
  <c r="C196" i="5"/>
  <c r="D196" i="5"/>
  <c r="E196" i="5"/>
  <c r="F196" i="5"/>
  <c r="G196" i="5"/>
  <c r="I196" i="5"/>
  <c r="B197" i="5"/>
  <c r="C197" i="5"/>
  <c r="D197" i="5"/>
  <c r="E197" i="5"/>
  <c r="F197" i="5"/>
  <c r="G197" i="5"/>
  <c r="I197" i="5"/>
  <c r="B198" i="5"/>
  <c r="C198" i="5"/>
  <c r="D198" i="5"/>
  <c r="E198" i="5"/>
  <c r="F198" i="5"/>
  <c r="G198" i="5"/>
  <c r="I198" i="5"/>
  <c r="B199" i="5"/>
  <c r="C199" i="5"/>
  <c r="D199" i="5"/>
  <c r="E199" i="5"/>
  <c r="F199" i="5"/>
  <c r="G199" i="5"/>
  <c r="I199" i="5"/>
  <c r="B200" i="5"/>
  <c r="C200" i="5"/>
  <c r="D200" i="5"/>
  <c r="E200" i="5"/>
  <c r="F200" i="5"/>
  <c r="G200" i="5"/>
  <c r="I200" i="5"/>
  <c r="B201" i="5"/>
  <c r="C201" i="5"/>
  <c r="D201" i="5"/>
  <c r="E201" i="5"/>
  <c r="F201" i="5"/>
  <c r="G201" i="5"/>
  <c r="I201" i="5"/>
  <c r="B202" i="5"/>
  <c r="C202" i="5"/>
  <c r="D202" i="5"/>
  <c r="E202" i="5"/>
  <c r="F202" i="5"/>
  <c r="G202" i="5"/>
  <c r="I202" i="5"/>
  <c r="B203" i="5"/>
  <c r="C203" i="5"/>
  <c r="D203" i="5"/>
  <c r="E203" i="5"/>
  <c r="F203" i="5"/>
  <c r="G203" i="5"/>
  <c r="I203" i="5"/>
  <c r="B204" i="5"/>
  <c r="C204" i="5"/>
  <c r="D204" i="5"/>
  <c r="E204" i="5"/>
  <c r="F204" i="5"/>
  <c r="G204" i="5"/>
  <c r="I204" i="5"/>
  <c r="B205" i="5"/>
  <c r="C205" i="5"/>
  <c r="D205" i="5"/>
  <c r="E205" i="5"/>
  <c r="F205" i="5"/>
  <c r="G205" i="5"/>
  <c r="I205" i="5"/>
  <c r="B206" i="5"/>
  <c r="C206" i="5"/>
  <c r="D206" i="5"/>
  <c r="E206" i="5"/>
  <c r="F206" i="5"/>
  <c r="G206" i="5"/>
  <c r="I206" i="5"/>
  <c r="B207" i="5"/>
  <c r="C207" i="5"/>
  <c r="D207" i="5"/>
  <c r="E207" i="5"/>
  <c r="F207" i="5"/>
  <c r="G207" i="5"/>
  <c r="I207" i="5"/>
  <c r="B208" i="5"/>
  <c r="C208" i="5"/>
  <c r="D208" i="5"/>
  <c r="E208" i="5"/>
  <c r="F208" i="5"/>
  <c r="G208" i="5"/>
  <c r="I208" i="5"/>
  <c r="B209" i="5"/>
  <c r="C209" i="5"/>
  <c r="D209" i="5"/>
  <c r="E209" i="5"/>
  <c r="F209" i="5"/>
  <c r="G209" i="5"/>
  <c r="I209" i="5"/>
  <c r="B210" i="5"/>
  <c r="C210" i="5"/>
  <c r="D210" i="5"/>
  <c r="E210" i="5"/>
  <c r="F210" i="5"/>
  <c r="G210" i="5"/>
  <c r="I210" i="5"/>
  <c r="B211" i="5"/>
  <c r="C211" i="5"/>
  <c r="D211" i="5"/>
  <c r="E211" i="5"/>
  <c r="F211" i="5"/>
  <c r="G211" i="5"/>
  <c r="I211" i="5"/>
  <c r="B212" i="5"/>
  <c r="C212" i="5"/>
  <c r="D212" i="5"/>
  <c r="E212" i="5"/>
  <c r="F212" i="5"/>
  <c r="G212" i="5"/>
  <c r="I212" i="5"/>
  <c r="B213" i="5"/>
  <c r="C213" i="5"/>
  <c r="D213" i="5"/>
  <c r="E213" i="5"/>
  <c r="F213" i="5"/>
  <c r="G213" i="5"/>
  <c r="I213" i="5"/>
  <c r="B214" i="5"/>
  <c r="C214" i="5"/>
  <c r="D214" i="5"/>
  <c r="E214" i="5"/>
  <c r="F214" i="5"/>
  <c r="G214" i="5"/>
  <c r="I214" i="5"/>
  <c r="B215" i="5"/>
  <c r="C215" i="5"/>
  <c r="D215" i="5"/>
  <c r="E215" i="5"/>
  <c r="F215" i="5"/>
  <c r="G215" i="5"/>
  <c r="I215" i="5"/>
  <c r="B216" i="5"/>
  <c r="C216" i="5"/>
  <c r="D216" i="5"/>
  <c r="E216" i="5"/>
  <c r="F216" i="5"/>
  <c r="G216" i="5"/>
  <c r="I216" i="5"/>
  <c r="B217" i="5"/>
  <c r="C217" i="5"/>
  <c r="D217" i="5"/>
  <c r="E217" i="5"/>
  <c r="F217" i="5"/>
  <c r="G217" i="5"/>
  <c r="I217" i="5"/>
  <c r="B218" i="5"/>
  <c r="C218" i="5"/>
  <c r="D218" i="5"/>
  <c r="E218" i="5"/>
  <c r="F218" i="5"/>
  <c r="G218" i="5"/>
  <c r="I218" i="5"/>
  <c r="B219" i="5"/>
  <c r="C219" i="5"/>
  <c r="D219" i="5"/>
  <c r="E219" i="5"/>
  <c r="F219" i="5"/>
  <c r="G219" i="5"/>
  <c r="I219" i="5"/>
  <c r="B220" i="5"/>
  <c r="C220" i="5"/>
  <c r="D220" i="5"/>
  <c r="E220" i="5"/>
  <c r="F220" i="5"/>
  <c r="G220" i="5"/>
  <c r="I220" i="5"/>
  <c r="B221" i="5"/>
  <c r="C221" i="5"/>
  <c r="D221" i="5"/>
  <c r="E221" i="5"/>
  <c r="F221" i="5"/>
  <c r="G221" i="5"/>
  <c r="I221" i="5"/>
  <c r="B222" i="5"/>
  <c r="C222" i="5"/>
  <c r="D222" i="5"/>
  <c r="E222" i="5"/>
  <c r="F222" i="5"/>
  <c r="G222" i="5"/>
  <c r="I222" i="5"/>
  <c r="B223" i="5"/>
  <c r="C223" i="5"/>
  <c r="D223" i="5"/>
  <c r="E223" i="5"/>
  <c r="F223" i="5"/>
  <c r="G223" i="5"/>
  <c r="I223" i="5"/>
  <c r="B224" i="5"/>
  <c r="C224" i="5"/>
  <c r="D224" i="5"/>
  <c r="E224" i="5"/>
  <c r="F224" i="5"/>
  <c r="G224" i="5"/>
  <c r="I224" i="5"/>
  <c r="B225" i="5"/>
  <c r="C225" i="5"/>
  <c r="D225" i="5"/>
  <c r="E225" i="5"/>
  <c r="F225" i="5"/>
  <c r="G225" i="5"/>
  <c r="I225" i="5"/>
  <c r="B226" i="5"/>
  <c r="C226" i="5"/>
  <c r="D226" i="5"/>
  <c r="E226" i="5"/>
  <c r="F226" i="5"/>
  <c r="G226" i="5"/>
  <c r="I226" i="5"/>
  <c r="B227" i="5"/>
  <c r="C227" i="5"/>
  <c r="D227" i="5"/>
  <c r="E227" i="5"/>
  <c r="F227" i="5"/>
  <c r="G227" i="5"/>
  <c r="I227" i="5"/>
  <c r="B228" i="5"/>
  <c r="C228" i="5"/>
  <c r="D228" i="5"/>
  <c r="E228" i="5"/>
  <c r="F228" i="5"/>
  <c r="G228" i="5"/>
  <c r="I228" i="5"/>
  <c r="B229" i="5"/>
  <c r="C229" i="5"/>
  <c r="D229" i="5"/>
  <c r="E229" i="5"/>
  <c r="F229" i="5"/>
  <c r="G229" i="5"/>
  <c r="I229" i="5"/>
  <c r="B230" i="5"/>
  <c r="C230" i="5"/>
  <c r="D230" i="5"/>
  <c r="E230" i="5"/>
  <c r="F230" i="5"/>
  <c r="G230" i="5"/>
  <c r="I230" i="5"/>
  <c r="B231" i="5"/>
  <c r="C231" i="5"/>
  <c r="D231" i="5"/>
  <c r="E231" i="5"/>
  <c r="F231" i="5"/>
  <c r="G231" i="5"/>
  <c r="I231" i="5"/>
  <c r="B232" i="5"/>
  <c r="C232" i="5"/>
  <c r="D232" i="5"/>
  <c r="E232" i="5"/>
  <c r="F232" i="5"/>
  <c r="G232" i="5"/>
  <c r="I232" i="5"/>
  <c r="B233" i="5"/>
  <c r="C233" i="5"/>
  <c r="D233" i="5"/>
  <c r="E233" i="5"/>
  <c r="F233" i="5"/>
  <c r="G233" i="5"/>
  <c r="I233" i="5"/>
  <c r="B234" i="5"/>
  <c r="C234" i="5"/>
  <c r="D234" i="5"/>
  <c r="E234" i="5"/>
  <c r="F234" i="5"/>
  <c r="G234" i="5"/>
  <c r="I234" i="5"/>
  <c r="B235" i="5"/>
  <c r="C235" i="5"/>
  <c r="D235" i="5"/>
  <c r="E235" i="5"/>
  <c r="F235" i="5"/>
  <c r="G235" i="5"/>
  <c r="I235" i="5"/>
  <c r="B236" i="5"/>
  <c r="C236" i="5"/>
  <c r="D236" i="5"/>
  <c r="E236" i="5"/>
  <c r="F236" i="5"/>
  <c r="G236" i="5"/>
  <c r="I236" i="5"/>
  <c r="B237" i="5"/>
  <c r="C237" i="5"/>
  <c r="D237" i="5"/>
  <c r="E237" i="5"/>
  <c r="F237" i="5"/>
  <c r="G237" i="5"/>
  <c r="I237" i="5"/>
  <c r="B238" i="5"/>
  <c r="C238" i="5"/>
  <c r="D238" i="5"/>
  <c r="E238" i="5"/>
  <c r="F238" i="5"/>
  <c r="G238" i="5"/>
  <c r="I238" i="5"/>
  <c r="B239" i="5"/>
  <c r="C239" i="5"/>
  <c r="D239" i="5"/>
  <c r="E239" i="5"/>
  <c r="F239" i="5"/>
  <c r="G239" i="5"/>
  <c r="I239" i="5"/>
  <c r="B5" i="5"/>
  <c r="C5" i="5"/>
  <c r="D5" i="5"/>
  <c r="E5" i="5"/>
  <c r="F5" i="5"/>
  <c r="G5" i="5"/>
  <c r="I5" i="5"/>
  <c r="B6" i="5"/>
  <c r="C6" i="5"/>
  <c r="D6" i="5"/>
  <c r="E6" i="5"/>
  <c r="F6" i="5"/>
  <c r="G6" i="5"/>
  <c r="I6" i="5"/>
  <c r="B7" i="5"/>
  <c r="C7" i="5"/>
  <c r="D7" i="5"/>
  <c r="E7" i="5"/>
  <c r="F7" i="5"/>
  <c r="G7" i="5"/>
  <c r="I7" i="5"/>
  <c r="B3" i="5"/>
  <c r="C3" i="5"/>
  <c r="D3" i="5"/>
  <c r="E3" i="5"/>
  <c r="F3" i="5"/>
  <c r="G3" i="5"/>
  <c r="I3" i="5"/>
  <c r="B4" i="5"/>
  <c r="C4" i="5"/>
  <c r="D4" i="5"/>
  <c r="E4" i="5"/>
  <c r="F4" i="5"/>
  <c r="G4" i="5"/>
  <c r="I4" i="5"/>
  <c r="C2" i="5"/>
  <c r="D2" i="5"/>
  <c r="E2" i="5"/>
  <c r="F2" i="5"/>
  <c r="G2" i="5"/>
  <c r="I2" i="5"/>
  <c r="B2" i="5"/>
  <c r="K26" i="7" l="1"/>
  <c r="D2" i="2" l="1"/>
  <c r="E2" i="2"/>
  <c r="F2" i="2"/>
  <c r="G2" i="2"/>
  <c r="H2" i="2"/>
  <c r="C2" i="2"/>
  <c r="BB244" i="1"/>
  <c r="BE244" i="1"/>
  <c r="BD244" i="1"/>
  <c r="BC244" i="1"/>
  <c r="BB243" i="1"/>
  <c r="BM239" i="5" s="1"/>
  <c r="BE243" i="1"/>
  <c r="BD243" i="1"/>
  <c r="BC243" i="1"/>
  <c r="H313" i="7"/>
  <c r="H312" i="7"/>
  <c r="H311" i="7"/>
  <c r="H310" i="7"/>
  <c r="H309" i="7"/>
  <c r="H308" i="7"/>
  <c r="H307" i="7"/>
  <c r="H306" i="7"/>
  <c r="H305" i="7"/>
  <c r="H304" i="7"/>
  <c r="H303" i="7"/>
  <c r="H302" i="7"/>
  <c r="H301" i="7"/>
  <c r="H300" i="7"/>
  <c r="H299" i="7"/>
  <c r="H298" i="7"/>
  <c r="N297" i="7"/>
  <c r="BB226" i="1" s="1"/>
  <c r="BM222" i="5" s="1"/>
  <c r="J297" i="7"/>
  <c r="BC226" i="1" s="1"/>
  <c r="BN222" i="5" s="1"/>
  <c r="H297" i="7"/>
  <c r="N296" i="7"/>
  <c r="BB225" i="1" s="1"/>
  <c r="BM221" i="5" s="1"/>
  <c r="M296" i="7"/>
  <c r="L296" i="7"/>
  <c r="BE225" i="1" s="1"/>
  <c r="BP221" i="5" s="1"/>
  <c r="H296" i="7"/>
  <c r="J296" i="7" s="1"/>
  <c r="BC225" i="1" s="1"/>
  <c r="BN221" i="5" s="1"/>
  <c r="H295" i="7"/>
  <c r="N295" i="7" s="1"/>
  <c r="BB224" i="1" s="1"/>
  <c r="BM220" i="5" s="1"/>
  <c r="L294" i="7"/>
  <c r="BE223" i="1" s="1"/>
  <c r="BP219" i="5" s="1"/>
  <c r="H294" i="7"/>
  <c r="H293" i="7"/>
  <c r="H292" i="7"/>
  <c r="J292" i="7" s="1"/>
  <c r="BC221" i="1" s="1"/>
  <c r="BN217" i="5" s="1"/>
  <c r="N291" i="7"/>
  <c r="BB220" i="1" s="1"/>
  <c r="BM216" i="5" s="1"/>
  <c r="H291" i="7"/>
  <c r="M291" i="7" s="1"/>
  <c r="J290" i="7"/>
  <c r="BC219" i="1" s="1"/>
  <c r="BN215" i="5" s="1"/>
  <c r="H290" i="7"/>
  <c r="L290" i="7" s="1"/>
  <c r="BE219" i="1" s="1"/>
  <c r="BP215" i="5" s="1"/>
  <c r="H289" i="7"/>
  <c r="M289" i="7" s="1"/>
  <c r="H288" i="7"/>
  <c r="J288" i="7" s="1"/>
  <c r="BC217" i="1" s="1"/>
  <c r="BN213" i="5" s="1"/>
  <c r="N287" i="7"/>
  <c r="BB216" i="1" s="1"/>
  <c r="BM212" i="5" s="1"/>
  <c r="M287" i="7"/>
  <c r="K287" i="7"/>
  <c r="BD216" i="1" s="1"/>
  <c r="BO212" i="5" s="1"/>
  <c r="H287" i="7"/>
  <c r="L287" i="7" s="1"/>
  <c r="BE216" i="1" s="1"/>
  <c r="BP212" i="5" s="1"/>
  <c r="L286" i="7"/>
  <c r="BE215" i="1" s="1"/>
  <c r="BP211" i="5" s="1"/>
  <c r="J286" i="7"/>
  <c r="BC215" i="1" s="1"/>
  <c r="BN211" i="5" s="1"/>
  <c r="H286" i="7"/>
  <c r="N286" i="7" s="1"/>
  <c r="BB215" i="1" s="1"/>
  <c r="BM211" i="5" s="1"/>
  <c r="H285" i="7"/>
  <c r="L285" i="7" s="1"/>
  <c r="BE214" i="1" s="1"/>
  <c r="BP210" i="5" s="1"/>
  <c r="N284" i="7"/>
  <c r="BB213" i="1" s="1"/>
  <c r="BM209" i="5" s="1"/>
  <c r="M284" i="7"/>
  <c r="H284" i="7"/>
  <c r="J284" i="7" s="1"/>
  <c r="BC213" i="1" s="1"/>
  <c r="BN209" i="5" s="1"/>
  <c r="H283" i="7"/>
  <c r="H282" i="7"/>
  <c r="N282" i="7" s="1"/>
  <c r="BB211" i="1" s="1"/>
  <c r="BM207" i="5" s="1"/>
  <c r="M281" i="7"/>
  <c r="H281" i="7"/>
  <c r="L281" i="7" s="1"/>
  <c r="BE210" i="1" s="1"/>
  <c r="BP206" i="5" s="1"/>
  <c r="H280" i="7"/>
  <c r="H279" i="7"/>
  <c r="N279" i="7" s="1"/>
  <c r="BB208" i="1" s="1"/>
  <c r="BM204" i="5" s="1"/>
  <c r="L278" i="7"/>
  <c r="BE207" i="1" s="1"/>
  <c r="BP203" i="5" s="1"/>
  <c r="H278" i="7"/>
  <c r="N278" i="7" s="1"/>
  <c r="BB207" i="1" s="1"/>
  <c r="BM203" i="5" s="1"/>
  <c r="H277" i="7"/>
  <c r="H276" i="7"/>
  <c r="N275" i="7"/>
  <c r="BB204" i="1" s="1"/>
  <c r="BM200" i="5" s="1"/>
  <c r="M275" i="7"/>
  <c r="L275" i="7"/>
  <c r="BE204" i="1" s="1"/>
  <c r="BP200" i="5" s="1"/>
  <c r="J275" i="7"/>
  <c r="BC204" i="1" s="1"/>
  <c r="BN200" i="5" s="1"/>
  <c r="H275" i="7"/>
  <c r="K275" i="7" s="1"/>
  <c r="BD204" i="1" s="1"/>
  <c r="BO200" i="5" s="1"/>
  <c r="H274" i="7"/>
  <c r="N273" i="7"/>
  <c r="BB202" i="1" s="1"/>
  <c r="BM198" i="5" s="1"/>
  <c r="M273" i="7"/>
  <c r="K273" i="7"/>
  <c r="BD202" i="1" s="1"/>
  <c r="BO198" i="5" s="1"/>
  <c r="J273" i="7"/>
  <c r="BC202" i="1" s="1"/>
  <c r="BN198" i="5" s="1"/>
  <c r="H273" i="7"/>
  <c r="L273" i="7" s="1"/>
  <c r="BE202" i="1" s="1"/>
  <c r="BP198" i="5" s="1"/>
  <c r="N272" i="7"/>
  <c r="BB201" i="1" s="1"/>
  <c r="BM197" i="5" s="1"/>
  <c r="L272" i="7"/>
  <c r="BE201" i="1" s="1"/>
  <c r="BP197" i="5" s="1"/>
  <c r="H272" i="7"/>
  <c r="J272" i="7" s="1"/>
  <c r="BC201" i="1" s="1"/>
  <c r="BN197" i="5" s="1"/>
  <c r="H271" i="7"/>
  <c r="H270" i="7"/>
  <c r="L270" i="7" s="1"/>
  <c r="BE199" i="1" s="1"/>
  <c r="BP195" i="5" s="1"/>
  <c r="N269" i="7"/>
  <c r="BB198" i="1" s="1"/>
  <c r="BM194" i="5" s="1"/>
  <c r="M269" i="7"/>
  <c r="K269" i="7"/>
  <c r="BD198" i="1" s="1"/>
  <c r="BO194" i="5" s="1"/>
  <c r="H269" i="7"/>
  <c r="L269" i="7" s="1"/>
  <c r="BE198" i="1" s="1"/>
  <c r="BP194" i="5" s="1"/>
  <c r="H268" i="7"/>
  <c r="M267" i="7"/>
  <c r="K267" i="7"/>
  <c r="BD196" i="1" s="1"/>
  <c r="BO192" i="5" s="1"/>
  <c r="J267" i="7"/>
  <c r="BC196" i="1" s="1"/>
  <c r="BN192" i="5" s="1"/>
  <c r="H267" i="7"/>
  <c r="N267" i="7" s="1"/>
  <c r="BB196" i="1" s="1"/>
  <c r="BM192" i="5" s="1"/>
  <c r="L266" i="7"/>
  <c r="BE195" i="1" s="1"/>
  <c r="BP191" i="5" s="1"/>
  <c r="H266" i="7"/>
  <c r="H265" i="7"/>
  <c r="N264" i="7"/>
  <c r="BB193" i="1" s="1"/>
  <c r="BM189" i="5" s="1"/>
  <c r="L264" i="7"/>
  <c r="BE193" i="1" s="1"/>
  <c r="BP189" i="5" s="1"/>
  <c r="K264" i="7"/>
  <c r="BD193" i="1" s="1"/>
  <c r="BO189" i="5" s="1"/>
  <c r="H264" i="7"/>
  <c r="J264" i="7" s="1"/>
  <c r="BC193" i="1" s="1"/>
  <c r="BN189" i="5" s="1"/>
  <c r="M263" i="7"/>
  <c r="K263" i="7"/>
  <c r="BD192" i="1" s="1"/>
  <c r="BO188" i="5" s="1"/>
  <c r="H263" i="7"/>
  <c r="H262" i="7"/>
  <c r="H261" i="7"/>
  <c r="N261" i="7" s="1"/>
  <c r="BB190" i="1" s="1"/>
  <c r="BM186" i="5" s="1"/>
  <c r="L260" i="7"/>
  <c r="BE189" i="1" s="1"/>
  <c r="BP185" i="5" s="1"/>
  <c r="K260" i="7"/>
  <c r="BD189" i="1" s="1"/>
  <c r="BO185" i="5" s="1"/>
  <c r="H260" i="7"/>
  <c r="H259" i="7"/>
  <c r="M258" i="7"/>
  <c r="H258" i="7"/>
  <c r="J257" i="7"/>
  <c r="BC186" i="1" s="1"/>
  <c r="BN182" i="5" s="1"/>
  <c r="H257" i="7"/>
  <c r="K257" i="7" s="1"/>
  <c r="BD186" i="1" s="1"/>
  <c r="BO182" i="5" s="1"/>
  <c r="H256" i="7"/>
  <c r="N255" i="7"/>
  <c r="BB184" i="1" s="1"/>
  <c r="BM180" i="5" s="1"/>
  <c r="M255" i="7"/>
  <c r="K255" i="7"/>
  <c r="BD184" i="1" s="1"/>
  <c r="BO180" i="5" s="1"/>
  <c r="H255" i="7"/>
  <c r="L255" i="7" s="1"/>
  <c r="BE184" i="1" s="1"/>
  <c r="BP180" i="5" s="1"/>
  <c r="K254" i="7"/>
  <c r="BD183" i="1" s="1"/>
  <c r="BO179" i="5" s="1"/>
  <c r="H254" i="7"/>
  <c r="N254" i="7" s="1"/>
  <c r="BB183" i="1" s="1"/>
  <c r="BM179" i="5" s="1"/>
  <c r="H253" i="7"/>
  <c r="H252" i="7"/>
  <c r="N251" i="7"/>
  <c r="BB180" i="1" s="1"/>
  <c r="BM176" i="5" s="1"/>
  <c r="L251" i="7"/>
  <c r="BE180" i="1" s="1"/>
  <c r="BP176" i="5" s="1"/>
  <c r="K251" i="7"/>
  <c r="BD180" i="1" s="1"/>
  <c r="BO176" i="5" s="1"/>
  <c r="J251" i="7"/>
  <c r="BC180" i="1" s="1"/>
  <c r="BN176" i="5" s="1"/>
  <c r="H251" i="7"/>
  <c r="M251" i="7" s="1"/>
  <c r="H250" i="7"/>
  <c r="J249" i="7"/>
  <c r="BC178" i="1" s="1"/>
  <c r="BN174" i="5" s="1"/>
  <c r="H249" i="7"/>
  <c r="H248" i="7"/>
  <c r="H247" i="7"/>
  <c r="H246" i="7"/>
  <c r="H245" i="7"/>
  <c r="J245" i="7" s="1"/>
  <c r="BC174" i="1" s="1"/>
  <c r="BN170" i="5" s="1"/>
  <c r="M244" i="7"/>
  <c r="L244" i="7"/>
  <c r="BE173" i="1" s="1"/>
  <c r="BP169" i="5" s="1"/>
  <c r="H244" i="7"/>
  <c r="M243" i="7"/>
  <c r="L243" i="7"/>
  <c r="BE172" i="1" s="1"/>
  <c r="BP168" i="5" s="1"/>
  <c r="J243" i="7"/>
  <c r="BC172" i="1" s="1"/>
  <c r="BN168" i="5" s="1"/>
  <c r="H243" i="7"/>
  <c r="H242" i="7"/>
  <c r="M241" i="7"/>
  <c r="J241" i="7"/>
  <c r="BC170" i="1" s="1"/>
  <c r="BN166" i="5" s="1"/>
  <c r="H241" i="7"/>
  <c r="N240" i="7"/>
  <c r="BB169" i="1" s="1"/>
  <c r="BM165" i="5" s="1"/>
  <c r="M240" i="7"/>
  <c r="L240" i="7"/>
  <c r="BE169" i="1" s="1"/>
  <c r="BP165" i="5" s="1"/>
  <c r="H240" i="7"/>
  <c r="J240" i="7" s="1"/>
  <c r="BC169" i="1" s="1"/>
  <c r="BN165" i="5" s="1"/>
  <c r="H239" i="7"/>
  <c r="J239" i="7" s="1"/>
  <c r="BC168" i="1" s="1"/>
  <c r="BN164" i="5" s="1"/>
  <c r="M238" i="7"/>
  <c r="L238" i="7"/>
  <c r="BE167" i="1" s="1"/>
  <c r="BP163" i="5" s="1"/>
  <c r="K238" i="7"/>
  <c r="BD167" i="1" s="1"/>
  <c r="BO163" i="5" s="1"/>
  <c r="J238" i="7"/>
  <c r="BC167" i="1" s="1"/>
  <c r="BN163" i="5" s="1"/>
  <c r="H238" i="7"/>
  <c r="N238" i="7" s="1"/>
  <c r="BB167" i="1" s="1"/>
  <c r="BM163" i="5" s="1"/>
  <c r="H237" i="7"/>
  <c r="H236" i="7"/>
  <c r="M235" i="7"/>
  <c r="L235" i="7"/>
  <c r="BE164" i="1" s="1"/>
  <c r="BP160" i="5" s="1"/>
  <c r="K235" i="7"/>
  <c r="BD164" i="1" s="1"/>
  <c r="BO160" i="5" s="1"/>
  <c r="H235" i="7"/>
  <c r="J235" i="7" s="1"/>
  <c r="BC164" i="1" s="1"/>
  <c r="BN160" i="5" s="1"/>
  <c r="L234" i="7"/>
  <c r="BE163" i="1" s="1"/>
  <c r="BP159" i="5" s="1"/>
  <c r="K234" i="7"/>
  <c r="BD163" i="1" s="1"/>
  <c r="BO159" i="5" s="1"/>
  <c r="H234" i="7"/>
  <c r="N234" i="7" s="1"/>
  <c r="BB163" i="1" s="1"/>
  <c r="BM159" i="5" s="1"/>
  <c r="H233" i="7"/>
  <c r="H232" i="7"/>
  <c r="K231" i="7"/>
  <c r="BD160" i="1" s="1"/>
  <c r="BO156" i="5" s="1"/>
  <c r="H231" i="7"/>
  <c r="J231" i="7" s="1"/>
  <c r="BC160" i="1" s="1"/>
  <c r="BN156" i="5" s="1"/>
  <c r="H230" i="7"/>
  <c r="J230" i="7" s="1"/>
  <c r="BC159" i="1" s="1"/>
  <c r="BN155" i="5" s="1"/>
  <c r="H229" i="7"/>
  <c r="K228" i="7"/>
  <c r="BD157" i="1" s="1"/>
  <c r="BO153" i="5" s="1"/>
  <c r="H228" i="7"/>
  <c r="J228" i="7" s="1"/>
  <c r="BC157" i="1" s="1"/>
  <c r="BN153" i="5" s="1"/>
  <c r="H227" i="7"/>
  <c r="K226" i="7"/>
  <c r="BD155" i="1" s="1"/>
  <c r="BO151" i="5" s="1"/>
  <c r="H226" i="7"/>
  <c r="H225" i="7"/>
  <c r="L225" i="7" s="1"/>
  <c r="BE154" i="1" s="1"/>
  <c r="BP150" i="5" s="1"/>
  <c r="H224" i="7"/>
  <c r="K223" i="7"/>
  <c r="BD152" i="1" s="1"/>
  <c r="BO148" i="5" s="1"/>
  <c r="H223" i="7"/>
  <c r="M223" i="7" s="1"/>
  <c r="H222" i="7"/>
  <c r="N222" i="7" s="1"/>
  <c r="BB151" i="1" s="1"/>
  <c r="BM147" i="5" s="1"/>
  <c r="H221" i="7"/>
  <c r="M220" i="7"/>
  <c r="H220" i="7"/>
  <c r="J220" i="7" s="1"/>
  <c r="BC149" i="1" s="1"/>
  <c r="BN145" i="5" s="1"/>
  <c r="K219" i="7"/>
  <c r="BD148" i="1" s="1"/>
  <c r="BO144" i="5" s="1"/>
  <c r="H219" i="7"/>
  <c r="H218" i="7"/>
  <c r="N217" i="7"/>
  <c r="BB146" i="1" s="1"/>
  <c r="BM142" i="5" s="1"/>
  <c r="M217" i="7"/>
  <c r="J217" i="7"/>
  <c r="BC146" i="1" s="1"/>
  <c r="BN142" i="5" s="1"/>
  <c r="H217" i="7"/>
  <c r="L217" i="7" s="1"/>
  <c r="BE146" i="1" s="1"/>
  <c r="BP142" i="5" s="1"/>
  <c r="H216" i="7"/>
  <c r="H215" i="7"/>
  <c r="M214" i="7"/>
  <c r="J214" i="7"/>
  <c r="BC143" i="1" s="1"/>
  <c r="BN139" i="5" s="1"/>
  <c r="H214" i="7"/>
  <c r="N214" i="7" s="1"/>
  <c r="BB143" i="1" s="1"/>
  <c r="BM139" i="5" s="1"/>
  <c r="H213" i="7"/>
  <c r="H212" i="7"/>
  <c r="N211" i="7"/>
  <c r="BB140" i="1" s="1"/>
  <c r="BM136" i="5" s="1"/>
  <c r="M211" i="7"/>
  <c r="L211" i="7"/>
  <c r="BE140" i="1" s="1"/>
  <c r="BP136" i="5" s="1"/>
  <c r="K211" i="7"/>
  <c r="BD140" i="1" s="1"/>
  <c r="BO136" i="5" s="1"/>
  <c r="J211" i="7"/>
  <c r="BC140" i="1" s="1"/>
  <c r="BN136" i="5" s="1"/>
  <c r="H211" i="7"/>
  <c r="N210" i="7"/>
  <c r="BB139" i="1" s="1"/>
  <c r="BM135" i="5" s="1"/>
  <c r="M210" i="7"/>
  <c r="J210" i="7"/>
  <c r="BC139" i="1" s="1"/>
  <c r="BN135" i="5" s="1"/>
  <c r="H210" i="7"/>
  <c r="K210" i="7" s="1"/>
  <c r="BD139" i="1" s="1"/>
  <c r="BO135" i="5" s="1"/>
  <c r="H209" i="7"/>
  <c r="H208" i="7"/>
  <c r="M207" i="7"/>
  <c r="L207" i="7"/>
  <c r="BE136" i="1" s="1"/>
  <c r="BP132" i="5" s="1"/>
  <c r="K207" i="7"/>
  <c r="BD136" i="1" s="1"/>
  <c r="BO132" i="5" s="1"/>
  <c r="H207" i="7"/>
  <c r="J207" i="7" s="1"/>
  <c r="BC136" i="1" s="1"/>
  <c r="BN132" i="5" s="1"/>
  <c r="M206" i="7"/>
  <c r="H206" i="7"/>
  <c r="K206" i="7" s="1"/>
  <c r="BD135" i="1" s="1"/>
  <c r="BO131" i="5" s="1"/>
  <c r="N205" i="7"/>
  <c r="BB134" i="1" s="1"/>
  <c r="BM130" i="5" s="1"/>
  <c r="K205" i="7"/>
  <c r="BD134" i="1" s="1"/>
  <c r="BO130" i="5" s="1"/>
  <c r="J205" i="7"/>
  <c r="BC134" i="1" s="1"/>
  <c r="BN130" i="5" s="1"/>
  <c r="H205" i="7"/>
  <c r="H204" i="7"/>
  <c r="L203" i="7"/>
  <c r="BE132" i="1" s="1"/>
  <c r="BP128" i="5" s="1"/>
  <c r="H203" i="7"/>
  <c r="K203" i="7" s="1"/>
  <c r="BD132" i="1" s="1"/>
  <c r="BO128" i="5" s="1"/>
  <c r="N202" i="7"/>
  <c r="BB131" i="1" s="1"/>
  <c r="BM127" i="5" s="1"/>
  <c r="L202" i="7"/>
  <c r="BE131" i="1" s="1"/>
  <c r="BP127" i="5" s="1"/>
  <c r="J202" i="7"/>
  <c r="BC131" i="1" s="1"/>
  <c r="BN127" i="5" s="1"/>
  <c r="H202" i="7"/>
  <c r="K202" i="7" s="1"/>
  <c r="BD131" i="1" s="1"/>
  <c r="BO127" i="5" s="1"/>
  <c r="L201" i="7"/>
  <c r="BE130" i="1" s="1"/>
  <c r="BP126" i="5" s="1"/>
  <c r="K201" i="7"/>
  <c r="BD130" i="1" s="1"/>
  <c r="BO126" i="5" s="1"/>
  <c r="J201" i="7"/>
  <c r="BC130" i="1" s="1"/>
  <c r="BN126" i="5" s="1"/>
  <c r="H201" i="7"/>
  <c r="H200" i="7"/>
  <c r="N200" i="7" s="1"/>
  <c r="BB129" i="1" s="1"/>
  <c r="BM125" i="5" s="1"/>
  <c r="N199" i="7"/>
  <c r="BB128" i="1" s="1"/>
  <c r="BM124" i="5" s="1"/>
  <c r="J199" i="7"/>
  <c r="BC128" i="1" s="1"/>
  <c r="BN124" i="5" s="1"/>
  <c r="H199" i="7"/>
  <c r="L199" i="7" s="1"/>
  <c r="BE128" i="1" s="1"/>
  <c r="BP124" i="5" s="1"/>
  <c r="N198" i="7"/>
  <c r="BB127" i="1" s="1"/>
  <c r="BM123" i="5" s="1"/>
  <c r="M198" i="7"/>
  <c r="L198" i="7"/>
  <c r="BE127" i="1" s="1"/>
  <c r="BP123" i="5" s="1"/>
  <c r="J198" i="7"/>
  <c r="BC127" i="1" s="1"/>
  <c r="BN123" i="5" s="1"/>
  <c r="H198" i="7"/>
  <c r="K198" i="7" s="1"/>
  <c r="BD127" i="1" s="1"/>
  <c r="BO123" i="5" s="1"/>
  <c r="L197" i="7"/>
  <c r="BE126" i="1" s="1"/>
  <c r="BP122" i="5" s="1"/>
  <c r="K197" i="7"/>
  <c r="BD126" i="1" s="1"/>
  <c r="BO122" i="5" s="1"/>
  <c r="J197" i="7"/>
  <c r="BC126" i="1" s="1"/>
  <c r="BN122" i="5" s="1"/>
  <c r="H197" i="7"/>
  <c r="M197" i="7" s="1"/>
  <c r="H196" i="7"/>
  <c r="N196" i="7" s="1"/>
  <c r="BB125" i="1" s="1"/>
  <c r="BM121" i="5" s="1"/>
  <c r="K195" i="7"/>
  <c r="BD124" i="1" s="1"/>
  <c r="BO120" i="5" s="1"/>
  <c r="H195" i="7"/>
  <c r="N195" i="7" s="1"/>
  <c r="BB124" i="1" s="1"/>
  <c r="BM120" i="5" s="1"/>
  <c r="J194" i="7"/>
  <c r="BC123" i="1" s="1"/>
  <c r="BN119" i="5" s="1"/>
  <c r="H194" i="7"/>
  <c r="L193" i="7"/>
  <c r="BE122" i="1" s="1"/>
  <c r="BP118" i="5" s="1"/>
  <c r="K193" i="7"/>
  <c r="BD122" i="1" s="1"/>
  <c r="BO118" i="5" s="1"/>
  <c r="J193" i="7"/>
  <c r="BC122" i="1" s="1"/>
  <c r="BN118" i="5" s="1"/>
  <c r="H193" i="7"/>
  <c r="M193" i="7" s="1"/>
  <c r="H192" i="7"/>
  <c r="H191" i="7"/>
  <c r="K191" i="7" s="1"/>
  <c r="BD120" i="1" s="1"/>
  <c r="BO116" i="5" s="1"/>
  <c r="J190" i="7"/>
  <c r="BC119" i="1" s="1"/>
  <c r="BN115" i="5" s="1"/>
  <c r="H190" i="7"/>
  <c r="N189" i="7"/>
  <c r="BB118" i="1" s="1"/>
  <c r="BM114" i="5" s="1"/>
  <c r="L189" i="7"/>
  <c r="BE118" i="1" s="1"/>
  <c r="BP114" i="5" s="1"/>
  <c r="K189" i="7"/>
  <c r="BD118" i="1" s="1"/>
  <c r="BO114" i="5" s="1"/>
  <c r="J189" i="7"/>
  <c r="BC118" i="1" s="1"/>
  <c r="BN114" i="5" s="1"/>
  <c r="H189" i="7"/>
  <c r="M189" i="7" s="1"/>
  <c r="H188" i="7"/>
  <c r="H187" i="7"/>
  <c r="K187" i="7" s="1"/>
  <c r="BD116" i="1" s="1"/>
  <c r="BO112" i="5" s="1"/>
  <c r="J186" i="7"/>
  <c r="BC115" i="1" s="1"/>
  <c r="BN111" i="5" s="1"/>
  <c r="H186" i="7"/>
  <c r="H185" i="7"/>
  <c r="N185" i="7" s="1"/>
  <c r="BB114" i="1" s="1"/>
  <c r="BM110" i="5" s="1"/>
  <c r="H184" i="7"/>
  <c r="N183" i="7"/>
  <c r="BB112" i="1" s="1"/>
  <c r="BM108" i="5" s="1"/>
  <c r="M183" i="7"/>
  <c r="L183" i="7"/>
  <c r="BE112" i="1" s="1"/>
  <c r="BP108" i="5" s="1"/>
  <c r="K183" i="7"/>
  <c r="BD112" i="1" s="1"/>
  <c r="BO108" i="5" s="1"/>
  <c r="J183" i="7"/>
  <c r="BC112" i="1" s="1"/>
  <c r="BN108" i="5" s="1"/>
  <c r="H183" i="7"/>
  <c r="N182" i="7"/>
  <c r="BB111" i="1" s="1"/>
  <c r="BM107" i="5" s="1"/>
  <c r="J182" i="7"/>
  <c r="BC111" i="1" s="1"/>
  <c r="BN107" i="5" s="1"/>
  <c r="H182" i="7"/>
  <c r="K182" i="7" s="1"/>
  <c r="BD111" i="1" s="1"/>
  <c r="BO107" i="5" s="1"/>
  <c r="H181" i="7"/>
  <c r="N181" i="7" s="1"/>
  <c r="BB110" i="1" s="1"/>
  <c r="BM106" i="5" s="1"/>
  <c r="H180" i="7"/>
  <c r="M179" i="7"/>
  <c r="H179" i="7"/>
  <c r="J179" i="7" s="1"/>
  <c r="BC108" i="1" s="1"/>
  <c r="BN104" i="5" s="1"/>
  <c r="M178" i="7"/>
  <c r="H178" i="7"/>
  <c r="K178" i="7" s="1"/>
  <c r="BD107" i="1" s="1"/>
  <c r="BO103" i="5" s="1"/>
  <c r="J177" i="7"/>
  <c r="BC106" i="1" s="1"/>
  <c r="BN102" i="5" s="1"/>
  <c r="H177" i="7"/>
  <c r="N177" i="7" s="1"/>
  <c r="BB106" i="1" s="1"/>
  <c r="BM102" i="5" s="1"/>
  <c r="N176" i="7"/>
  <c r="BB105" i="1" s="1"/>
  <c r="BM101" i="5" s="1"/>
  <c r="J176" i="7"/>
  <c r="BC105" i="1" s="1"/>
  <c r="BN101" i="5" s="1"/>
  <c r="H176" i="7"/>
  <c r="N175" i="7"/>
  <c r="BB104" i="1" s="1"/>
  <c r="BM100" i="5" s="1"/>
  <c r="J175" i="7"/>
  <c r="BC104" i="1" s="1"/>
  <c r="BN100" i="5" s="1"/>
  <c r="H175" i="7"/>
  <c r="M175" i="7" s="1"/>
  <c r="N174" i="7"/>
  <c r="BB103" i="1" s="1"/>
  <c r="BM99" i="5" s="1"/>
  <c r="H174" i="7"/>
  <c r="H173" i="7"/>
  <c r="M173" i="7" s="1"/>
  <c r="H172" i="7"/>
  <c r="L171" i="7"/>
  <c r="BE100" i="1" s="1"/>
  <c r="BP96" i="5" s="1"/>
  <c r="H171" i="7"/>
  <c r="N171" i="7" s="1"/>
  <c r="BB100" i="1" s="1"/>
  <c r="BM96" i="5" s="1"/>
  <c r="N170" i="7"/>
  <c r="BB99" i="1" s="1"/>
  <c r="BM95" i="5" s="1"/>
  <c r="M170" i="7"/>
  <c r="J170" i="7"/>
  <c r="BC99" i="1" s="1"/>
  <c r="BN95" i="5" s="1"/>
  <c r="H170" i="7"/>
  <c r="N169" i="7"/>
  <c r="BB98" i="1" s="1"/>
  <c r="BM94" i="5" s="1"/>
  <c r="J169" i="7"/>
  <c r="BC98" i="1" s="1"/>
  <c r="BN94" i="5" s="1"/>
  <c r="H169" i="7"/>
  <c r="M169" i="7" s="1"/>
  <c r="H168" i="7"/>
  <c r="N168" i="7" s="1"/>
  <c r="BB97" i="1" s="1"/>
  <c r="BM93" i="5" s="1"/>
  <c r="L167" i="7"/>
  <c r="BE96" i="1" s="1"/>
  <c r="BP92" i="5" s="1"/>
  <c r="H167" i="7"/>
  <c r="N167" i="7" s="1"/>
  <c r="BB96" i="1" s="1"/>
  <c r="BM92" i="5" s="1"/>
  <c r="N166" i="7"/>
  <c r="BB95" i="1" s="1"/>
  <c r="BM91" i="5" s="1"/>
  <c r="L166" i="7"/>
  <c r="BE95" i="1" s="1"/>
  <c r="BP91" i="5" s="1"/>
  <c r="J166" i="7"/>
  <c r="BC95" i="1" s="1"/>
  <c r="BN91" i="5" s="1"/>
  <c r="H166" i="7"/>
  <c r="N165" i="7"/>
  <c r="BB94" i="1" s="1"/>
  <c r="BM90" i="5" s="1"/>
  <c r="L165" i="7"/>
  <c r="BE94" i="1" s="1"/>
  <c r="BP90" i="5" s="1"/>
  <c r="K165" i="7"/>
  <c r="BD94" i="1" s="1"/>
  <c r="BO90" i="5" s="1"/>
  <c r="J165" i="7"/>
  <c r="BC94" i="1" s="1"/>
  <c r="BN90" i="5" s="1"/>
  <c r="H165" i="7"/>
  <c r="M165" i="7" s="1"/>
  <c r="N164" i="7"/>
  <c r="BB93" i="1" s="1"/>
  <c r="BM89" i="5" s="1"/>
  <c r="H164" i="7"/>
  <c r="N163" i="7"/>
  <c r="BB92" i="1" s="1"/>
  <c r="BM88" i="5" s="1"/>
  <c r="M163" i="7"/>
  <c r="L163" i="7"/>
  <c r="BE92" i="1" s="1"/>
  <c r="BP88" i="5" s="1"/>
  <c r="K163" i="7"/>
  <c r="BD92" i="1" s="1"/>
  <c r="BO88" i="5" s="1"/>
  <c r="J163" i="7"/>
  <c r="BC92" i="1" s="1"/>
  <c r="BN88" i="5" s="1"/>
  <c r="H163" i="7"/>
  <c r="N162" i="7"/>
  <c r="BB91" i="1" s="1"/>
  <c r="BM87" i="5" s="1"/>
  <c r="J162" i="7"/>
  <c r="BC91" i="1" s="1"/>
  <c r="BN87" i="5" s="1"/>
  <c r="H162" i="7"/>
  <c r="K162" i="7" s="1"/>
  <c r="BD91" i="1" s="1"/>
  <c r="BO87" i="5" s="1"/>
  <c r="H161" i="7"/>
  <c r="N161" i="7" s="1"/>
  <c r="BB90" i="1" s="1"/>
  <c r="BM86" i="5" s="1"/>
  <c r="H160" i="7"/>
  <c r="M159" i="7"/>
  <c r="H159" i="7"/>
  <c r="J159" i="7" s="1"/>
  <c r="BC88" i="1" s="1"/>
  <c r="BN84" i="5" s="1"/>
  <c r="M158" i="7"/>
  <c r="H158" i="7"/>
  <c r="K158" i="7" s="1"/>
  <c r="BD87" i="1" s="1"/>
  <c r="BO83" i="5" s="1"/>
  <c r="J157" i="7"/>
  <c r="BC86" i="1" s="1"/>
  <c r="BN82" i="5" s="1"/>
  <c r="H157" i="7"/>
  <c r="N157" i="7" s="1"/>
  <c r="BB86" i="1" s="1"/>
  <c r="BM82" i="5" s="1"/>
  <c r="N156" i="7"/>
  <c r="BB85" i="1" s="1"/>
  <c r="BM81" i="5" s="1"/>
  <c r="L156" i="7"/>
  <c r="BE85" i="1" s="1"/>
  <c r="BP81" i="5" s="1"/>
  <c r="H156" i="7"/>
  <c r="N155" i="7"/>
  <c r="BB84" i="1" s="1"/>
  <c r="BM80" i="5" s="1"/>
  <c r="J155" i="7"/>
  <c r="BC84" i="1" s="1"/>
  <c r="BN80" i="5" s="1"/>
  <c r="H155" i="7"/>
  <c r="M155" i="7" s="1"/>
  <c r="N154" i="7"/>
  <c r="BB83" i="1" s="1"/>
  <c r="BM79" i="5" s="1"/>
  <c r="H154" i="7"/>
  <c r="H153" i="7"/>
  <c r="H152" i="7"/>
  <c r="L151" i="7"/>
  <c r="BE80" i="1" s="1"/>
  <c r="BP76" i="5" s="1"/>
  <c r="H151" i="7"/>
  <c r="N151" i="7" s="1"/>
  <c r="BB80" i="1" s="1"/>
  <c r="BM76" i="5" s="1"/>
  <c r="N150" i="7"/>
  <c r="BB79" i="1" s="1"/>
  <c r="BM75" i="5" s="1"/>
  <c r="M150" i="7"/>
  <c r="J150" i="7"/>
  <c r="BC79" i="1" s="1"/>
  <c r="BN75" i="5" s="1"/>
  <c r="H150" i="7"/>
  <c r="N149" i="7"/>
  <c r="BB78" i="1" s="1"/>
  <c r="BM74" i="5" s="1"/>
  <c r="J149" i="7"/>
  <c r="BC78" i="1" s="1"/>
  <c r="BN74" i="5" s="1"/>
  <c r="H149" i="7"/>
  <c r="M149" i="7" s="1"/>
  <c r="L148" i="7"/>
  <c r="BE77" i="1" s="1"/>
  <c r="BP73" i="5" s="1"/>
  <c r="H148" i="7"/>
  <c r="N148" i="7" s="1"/>
  <c r="BB77" i="1" s="1"/>
  <c r="BM73" i="5" s="1"/>
  <c r="N147" i="7"/>
  <c r="BB76" i="1" s="1"/>
  <c r="BM72" i="5" s="1"/>
  <c r="M147" i="7"/>
  <c r="L147" i="7"/>
  <c r="BE76" i="1" s="1"/>
  <c r="BP72" i="5" s="1"/>
  <c r="K147" i="7"/>
  <c r="BD76" i="1" s="1"/>
  <c r="BO72" i="5" s="1"/>
  <c r="J147" i="7"/>
  <c r="BC76" i="1" s="1"/>
  <c r="BN72" i="5" s="1"/>
  <c r="H147" i="7"/>
  <c r="N146" i="7"/>
  <c r="BB75" i="1" s="1"/>
  <c r="BM71" i="5" s="1"/>
  <c r="J146" i="7"/>
  <c r="BC75" i="1" s="1"/>
  <c r="BN71" i="5" s="1"/>
  <c r="H146" i="7"/>
  <c r="K146" i="7" s="1"/>
  <c r="BD75" i="1" s="1"/>
  <c r="BO71" i="5" s="1"/>
  <c r="H145" i="7"/>
  <c r="H144" i="7"/>
  <c r="M143" i="7"/>
  <c r="H143" i="7"/>
  <c r="J143" i="7" s="1"/>
  <c r="BC72" i="1" s="1"/>
  <c r="BN68" i="5" s="1"/>
  <c r="N142" i="7"/>
  <c r="BB71" i="1" s="1"/>
  <c r="BM67" i="5" s="1"/>
  <c r="M142" i="7"/>
  <c r="J142" i="7"/>
  <c r="BC71" i="1" s="1"/>
  <c r="BN67" i="5" s="1"/>
  <c r="H142" i="7"/>
  <c r="L142" i="7" s="1"/>
  <c r="BE71" i="1" s="1"/>
  <c r="BP67" i="5" s="1"/>
  <c r="H141" i="7"/>
  <c r="H140" i="7"/>
  <c r="N140" i="7" s="1"/>
  <c r="BB69" i="1" s="1"/>
  <c r="BM65" i="5" s="1"/>
  <c r="H139" i="7"/>
  <c r="N138" i="7"/>
  <c r="BB67" i="1" s="1"/>
  <c r="BM63" i="5" s="1"/>
  <c r="K138" i="7"/>
  <c r="BD67" i="1" s="1"/>
  <c r="BO63" i="5" s="1"/>
  <c r="J138" i="7"/>
  <c r="BC67" i="1" s="1"/>
  <c r="BN63" i="5" s="1"/>
  <c r="H138" i="7"/>
  <c r="L138" i="7" s="1"/>
  <c r="BE67" i="1" s="1"/>
  <c r="BP63" i="5" s="1"/>
  <c r="N137" i="7"/>
  <c r="BB66" i="1" s="1"/>
  <c r="BM62" i="5" s="1"/>
  <c r="L137" i="7"/>
  <c r="BE66" i="1" s="1"/>
  <c r="BP62" i="5" s="1"/>
  <c r="K137" i="7"/>
  <c r="BD66" i="1" s="1"/>
  <c r="BO62" i="5" s="1"/>
  <c r="J137" i="7"/>
  <c r="BC66" i="1" s="1"/>
  <c r="BN62" i="5" s="1"/>
  <c r="H137" i="7"/>
  <c r="M137" i="7" s="1"/>
  <c r="H136" i="7"/>
  <c r="N135" i="7"/>
  <c r="BB64" i="1" s="1"/>
  <c r="BM60" i="5" s="1"/>
  <c r="L135" i="7"/>
  <c r="BE64" i="1" s="1"/>
  <c r="BP60" i="5" s="1"/>
  <c r="K135" i="7"/>
  <c r="BD64" i="1" s="1"/>
  <c r="BO60" i="5" s="1"/>
  <c r="J135" i="7"/>
  <c r="BC64" i="1" s="1"/>
  <c r="BN60" i="5" s="1"/>
  <c r="H135" i="7"/>
  <c r="M135" i="7" s="1"/>
  <c r="L134" i="7"/>
  <c r="BE63" i="1" s="1"/>
  <c r="BP59" i="5" s="1"/>
  <c r="H134" i="7"/>
  <c r="N134" i="7" s="1"/>
  <c r="BB63" i="1" s="1"/>
  <c r="BM59" i="5" s="1"/>
  <c r="N133" i="7"/>
  <c r="BB62" i="1" s="1"/>
  <c r="BM58" i="5" s="1"/>
  <c r="L133" i="7"/>
  <c r="BE62" i="1" s="1"/>
  <c r="BP58" i="5" s="1"/>
  <c r="J133" i="7"/>
  <c r="BC62" i="1" s="1"/>
  <c r="BN58" i="5" s="1"/>
  <c r="H133" i="7"/>
  <c r="H132" i="7"/>
  <c r="H131" i="7"/>
  <c r="L130" i="7"/>
  <c r="BE59" i="1" s="1"/>
  <c r="BP55" i="5" s="1"/>
  <c r="H130" i="7"/>
  <c r="N130" i="7" s="1"/>
  <c r="BB59" i="1" s="1"/>
  <c r="BM55" i="5" s="1"/>
  <c r="L129" i="7"/>
  <c r="BE58" i="1" s="1"/>
  <c r="BP54" i="5" s="1"/>
  <c r="K129" i="7"/>
  <c r="BD58" i="1" s="1"/>
  <c r="BO54" i="5" s="1"/>
  <c r="J129" i="7"/>
  <c r="BC58" i="1" s="1"/>
  <c r="BN54" i="5" s="1"/>
  <c r="H129" i="7"/>
  <c r="N128" i="7"/>
  <c r="BB57" i="1" s="1"/>
  <c r="BM53" i="5" s="1"/>
  <c r="L128" i="7"/>
  <c r="BE57" i="1" s="1"/>
  <c r="BP53" i="5" s="1"/>
  <c r="H128" i="7"/>
  <c r="M127" i="7"/>
  <c r="L127" i="7"/>
  <c r="BE56" i="1" s="1"/>
  <c r="BP52" i="5" s="1"/>
  <c r="K127" i="7"/>
  <c r="BD56" i="1" s="1"/>
  <c r="BO52" i="5" s="1"/>
  <c r="J127" i="7"/>
  <c r="BC56" i="1" s="1"/>
  <c r="BN52" i="5" s="1"/>
  <c r="H127" i="7"/>
  <c r="N127" i="7" s="1"/>
  <c r="BB56" i="1" s="1"/>
  <c r="BM52" i="5" s="1"/>
  <c r="N126" i="7"/>
  <c r="BB55" i="1" s="1"/>
  <c r="BM51" i="5" s="1"/>
  <c r="H126" i="7"/>
  <c r="L126" i="7" s="1"/>
  <c r="BE55" i="1" s="1"/>
  <c r="BP51" i="5" s="1"/>
  <c r="N125" i="7"/>
  <c r="BB54" i="1" s="1"/>
  <c r="BM50" i="5" s="1"/>
  <c r="L125" i="7"/>
  <c r="BE54" i="1" s="1"/>
  <c r="BP50" i="5" s="1"/>
  <c r="K125" i="7"/>
  <c r="BD54" i="1" s="1"/>
  <c r="BO50" i="5" s="1"/>
  <c r="J125" i="7"/>
  <c r="BC54" i="1" s="1"/>
  <c r="BN50" i="5" s="1"/>
  <c r="H125" i="7"/>
  <c r="M125" i="7" s="1"/>
  <c r="H124" i="7"/>
  <c r="N124" i="7" s="1"/>
  <c r="BB53" i="1" s="1"/>
  <c r="BM49" i="5" s="1"/>
  <c r="L123" i="7"/>
  <c r="BE52" i="1" s="1"/>
  <c r="BP48" i="5" s="1"/>
  <c r="H123" i="7"/>
  <c r="N123" i="7" s="1"/>
  <c r="BB52" i="1" s="1"/>
  <c r="BM48" i="5" s="1"/>
  <c r="H122" i="7"/>
  <c r="J121" i="7"/>
  <c r="BC50" i="1" s="1"/>
  <c r="BN46" i="5" s="1"/>
  <c r="H121" i="7"/>
  <c r="H120" i="7"/>
  <c r="N119" i="7"/>
  <c r="BB48" i="1" s="1"/>
  <c r="BM44" i="5" s="1"/>
  <c r="K119" i="7"/>
  <c r="BD48" i="1" s="1"/>
  <c r="BO44" i="5" s="1"/>
  <c r="J119" i="7"/>
  <c r="BC48" i="1" s="1"/>
  <c r="BN44" i="5" s="1"/>
  <c r="H119" i="7"/>
  <c r="M119" i="7" s="1"/>
  <c r="N118" i="7"/>
  <c r="BB47" i="1" s="1"/>
  <c r="BM43" i="5" s="1"/>
  <c r="M118" i="7"/>
  <c r="L118" i="7"/>
  <c r="BE47" i="1" s="1"/>
  <c r="BP43" i="5" s="1"/>
  <c r="J118" i="7"/>
  <c r="BC47" i="1" s="1"/>
  <c r="BN43" i="5" s="1"/>
  <c r="H118" i="7"/>
  <c r="K118" i="7" s="1"/>
  <c r="BD47" i="1" s="1"/>
  <c r="BO43" i="5" s="1"/>
  <c r="N117" i="7"/>
  <c r="BB46" i="1" s="1"/>
  <c r="BM42" i="5" s="1"/>
  <c r="H117" i="7"/>
  <c r="M117" i="7" s="1"/>
  <c r="L116" i="7"/>
  <c r="BE45" i="1" s="1"/>
  <c r="BP41" i="5" s="1"/>
  <c r="J116" i="7"/>
  <c r="BC45" i="1" s="1"/>
  <c r="BN41" i="5" s="1"/>
  <c r="H116" i="7"/>
  <c r="N116" i="7" s="1"/>
  <c r="BB45" i="1" s="1"/>
  <c r="BM41" i="5" s="1"/>
  <c r="N115" i="7"/>
  <c r="BB44" i="1" s="1"/>
  <c r="BM40" i="5" s="1"/>
  <c r="H115" i="7"/>
  <c r="J115" i="7" s="1"/>
  <c r="BC44" i="1" s="1"/>
  <c r="BN40" i="5" s="1"/>
  <c r="N114" i="7"/>
  <c r="BB43" i="1" s="1"/>
  <c r="BM39" i="5" s="1"/>
  <c r="M114" i="7"/>
  <c r="K114" i="7"/>
  <c r="BD43" i="1" s="1"/>
  <c r="BO39" i="5" s="1"/>
  <c r="J114" i="7"/>
  <c r="BC43" i="1" s="1"/>
  <c r="BN39" i="5" s="1"/>
  <c r="H114" i="7"/>
  <c r="L114" i="7" s="1"/>
  <c r="BE43" i="1" s="1"/>
  <c r="BP39" i="5" s="1"/>
  <c r="L113" i="7"/>
  <c r="BE42" i="1" s="1"/>
  <c r="BP38" i="5" s="1"/>
  <c r="K113" i="7"/>
  <c r="BD42" i="1" s="1"/>
  <c r="BO38" i="5" s="1"/>
  <c r="J113" i="7"/>
  <c r="BC42" i="1" s="1"/>
  <c r="BN38" i="5" s="1"/>
  <c r="H113" i="7"/>
  <c r="H112" i="7"/>
  <c r="H111" i="7"/>
  <c r="N110" i="7"/>
  <c r="BB39" i="1" s="1"/>
  <c r="BM35" i="5" s="1"/>
  <c r="M110" i="7"/>
  <c r="K110" i="7"/>
  <c r="BD39" i="1" s="1"/>
  <c r="BO35" i="5" s="1"/>
  <c r="H110" i="7"/>
  <c r="J110" i="7" s="1"/>
  <c r="BC39" i="1" s="1"/>
  <c r="BN35" i="5" s="1"/>
  <c r="L109" i="7"/>
  <c r="BE38" i="1" s="1"/>
  <c r="BP34" i="5" s="1"/>
  <c r="K109" i="7"/>
  <c r="BD38" i="1" s="1"/>
  <c r="BO34" i="5" s="1"/>
  <c r="J109" i="7"/>
  <c r="BC38" i="1" s="1"/>
  <c r="BN34" i="5" s="1"/>
  <c r="H109" i="7"/>
  <c r="M109" i="7" s="1"/>
  <c r="H108" i="7"/>
  <c r="L107" i="7"/>
  <c r="BE36" i="1" s="1"/>
  <c r="BP32" i="5" s="1"/>
  <c r="K107" i="7"/>
  <c r="BD36" i="1" s="1"/>
  <c r="BO32" i="5" s="1"/>
  <c r="J107" i="7"/>
  <c r="BC36" i="1" s="1"/>
  <c r="BN32" i="5" s="1"/>
  <c r="H107" i="7"/>
  <c r="N107" i="7" s="1"/>
  <c r="BB36" i="1" s="1"/>
  <c r="BM32" i="5" s="1"/>
  <c r="L106" i="7"/>
  <c r="BE35" i="1" s="1"/>
  <c r="BP31" i="5" s="1"/>
  <c r="H106" i="7"/>
  <c r="N106" i="7" s="1"/>
  <c r="BB35" i="1" s="1"/>
  <c r="BM31" i="5" s="1"/>
  <c r="N105" i="7"/>
  <c r="BB34" i="1" s="1"/>
  <c r="BM30" i="5" s="1"/>
  <c r="L105" i="7"/>
  <c r="BE34" i="1" s="1"/>
  <c r="BP30" i="5" s="1"/>
  <c r="J105" i="7"/>
  <c r="BC34" i="1" s="1"/>
  <c r="BN30" i="5" s="1"/>
  <c r="H105" i="7"/>
  <c r="H104" i="7"/>
  <c r="N104" i="7" s="1"/>
  <c r="BB33" i="1" s="1"/>
  <c r="BM29" i="5" s="1"/>
  <c r="L103" i="7"/>
  <c r="BE32" i="1" s="1"/>
  <c r="BP28" i="5" s="1"/>
  <c r="K103" i="7"/>
  <c r="BD32" i="1" s="1"/>
  <c r="BO28" i="5" s="1"/>
  <c r="J103" i="7"/>
  <c r="BC32" i="1" s="1"/>
  <c r="BN28" i="5" s="1"/>
  <c r="H103" i="7"/>
  <c r="N103" i="7" s="1"/>
  <c r="BB32" i="1" s="1"/>
  <c r="BM28" i="5" s="1"/>
  <c r="M102" i="7"/>
  <c r="H102" i="7"/>
  <c r="N101" i="7"/>
  <c r="BB30" i="1" s="1"/>
  <c r="BM26" i="5" s="1"/>
  <c r="L101" i="7"/>
  <c r="BE30" i="1" s="1"/>
  <c r="BP26" i="5" s="1"/>
  <c r="J101" i="7"/>
  <c r="BC30" i="1" s="1"/>
  <c r="BN26" i="5" s="1"/>
  <c r="H101" i="7"/>
  <c r="M101" i="7" s="1"/>
  <c r="H100" i="7"/>
  <c r="M99" i="7"/>
  <c r="L99" i="7"/>
  <c r="BE28" i="1" s="1"/>
  <c r="BP24" i="5" s="1"/>
  <c r="H99" i="7"/>
  <c r="L98" i="7"/>
  <c r="BE27" i="1" s="1"/>
  <c r="BP23" i="5" s="1"/>
  <c r="K98" i="7"/>
  <c r="BD27" i="1" s="1"/>
  <c r="BO23" i="5" s="1"/>
  <c r="J98" i="7"/>
  <c r="BC27" i="1" s="1"/>
  <c r="BN23" i="5" s="1"/>
  <c r="H98" i="7"/>
  <c r="N98" i="7" s="1"/>
  <c r="BB27" i="1" s="1"/>
  <c r="BM23" i="5" s="1"/>
  <c r="H97" i="7"/>
  <c r="M97" i="7" s="1"/>
  <c r="N96" i="7"/>
  <c r="BB25" i="1" s="1"/>
  <c r="BM21" i="5" s="1"/>
  <c r="L96" i="7"/>
  <c r="BE25" i="1" s="1"/>
  <c r="BP21" i="5" s="1"/>
  <c r="H96" i="7"/>
  <c r="M95" i="7"/>
  <c r="L95" i="7"/>
  <c r="BE24" i="1" s="1"/>
  <c r="BP20" i="5" s="1"/>
  <c r="H95" i="7"/>
  <c r="L94" i="7"/>
  <c r="BE23" i="1" s="1"/>
  <c r="BP19" i="5" s="1"/>
  <c r="K94" i="7"/>
  <c r="BD23" i="1" s="1"/>
  <c r="BO19" i="5" s="1"/>
  <c r="J94" i="7"/>
  <c r="BC23" i="1" s="1"/>
  <c r="BN19" i="5" s="1"/>
  <c r="H94" i="7"/>
  <c r="N94" i="7" s="1"/>
  <c r="BB23" i="1" s="1"/>
  <c r="BM19" i="5" s="1"/>
  <c r="L93" i="7"/>
  <c r="BE22" i="1" s="1"/>
  <c r="BP18" i="5" s="1"/>
  <c r="J93" i="7"/>
  <c r="BC22" i="1" s="1"/>
  <c r="BN18" i="5" s="1"/>
  <c r="H93" i="7"/>
  <c r="M93" i="7" s="1"/>
  <c r="H92" i="7"/>
  <c r="J92" i="7" s="1"/>
  <c r="BC21" i="1" s="1"/>
  <c r="BN17" i="5" s="1"/>
  <c r="N91" i="7"/>
  <c r="BB20" i="1" s="1"/>
  <c r="BM16" i="5" s="1"/>
  <c r="M91" i="7"/>
  <c r="L91" i="7"/>
  <c r="BE20" i="1" s="1"/>
  <c r="BP16" i="5" s="1"/>
  <c r="J91" i="7"/>
  <c r="BC20" i="1" s="1"/>
  <c r="BN16" i="5" s="1"/>
  <c r="H91" i="7"/>
  <c r="K91" i="7" s="1"/>
  <c r="BD20" i="1" s="1"/>
  <c r="BO16" i="5" s="1"/>
  <c r="N90" i="7"/>
  <c r="BB19" i="1" s="1"/>
  <c r="BM15" i="5" s="1"/>
  <c r="M90" i="7"/>
  <c r="L90" i="7"/>
  <c r="BE19" i="1" s="1"/>
  <c r="BP15" i="5" s="1"/>
  <c r="K90" i="7"/>
  <c r="BD19" i="1" s="1"/>
  <c r="BO15" i="5" s="1"/>
  <c r="J90" i="7"/>
  <c r="BC19" i="1" s="1"/>
  <c r="BN15" i="5" s="1"/>
  <c r="H90" i="7"/>
  <c r="H89" i="7"/>
  <c r="M89" i="7" s="1"/>
  <c r="H88" i="7"/>
  <c r="N87" i="7"/>
  <c r="BB16" i="1" s="1"/>
  <c r="BM12" i="5" s="1"/>
  <c r="M87" i="7"/>
  <c r="K87" i="7"/>
  <c r="BD16" i="1" s="1"/>
  <c r="BO12" i="5" s="1"/>
  <c r="J87" i="7"/>
  <c r="BC16" i="1" s="1"/>
  <c r="BN12" i="5" s="1"/>
  <c r="H87" i="7"/>
  <c r="L87" i="7" s="1"/>
  <c r="BE16" i="1" s="1"/>
  <c r="BP12" i="5" s="1"/>
  <c r="N86" i="7"/>
  <c r="BB15" i="1" s="1"/>
  <c r="BM11" i="5" s="1"/>
  <c r="M86" i="7"/>
  <c r="H86" i="7"/>
  <c r="H85" i="7"/>
  <c r="M85" i="7" s="1"/>
  <c r="J84" i="7"/>
  <c r="BC13" i="1" s="1"/>
  <c r="BN9" i="5" s="1"/>
  <c r="H84" i="7"/>
  <c r="N84" i="7" s="1"/>
  <c r="BB13" i="1" s="1"/>
  <c r="BM9" i="5" s="1"/>
  <c r="L83" i="7"/>
  <c r="BE12" i="1" s="1"/>
  <c r="BP8" i="5" s="1"/>
  <c r="H83" i="7"/>
  <c r="N82" i="7"/>
  <c r="BB11" i="1" s="1"/>
  <c r="BM7" i="5" s="1"/>
  <c r="M82" i="7"/>
  <c r="L82" i="7"/>
  <c r="BE11" i="1" s="1"/>
  <c r="BP7" i="5" s="1"/>
  <c r="J82" i="7"/>
  <c r="BC11" i="1" s="1"/>
  <c r="BN7" i="5" s="1"/>
  <c r="H82" i="7"/>
  <c r="K82" i="7" s="1"/>
  <c r="BD11" i="1" s="1"/>
  <c r="BO7" i="5" s="1"/>
  <c r="K81" i="7"/>
  <c r="BD10" i="1" s="1"/>
  <c r="BO6" i="5" s="1"/>
  <c r="H81" i="7"/>
  <c r="H80" i="7"/>
  <c r="M79" i="7"/>
  <c r="J79" i="7"/>
  <c r="BC8" i="1" s="1"/>
  <c r="BN4" i="5" s="1"/>
  <c r="H79" i="7"/>
  <c r="N78" i="7"/>
  <c r="BB7" i="1" s="1"/>
  <c r="BM3" i="5" s="1"/>
  <c r="M78" i="7"/>
  <c r="K78" i="7"/>
  <c r="BD7" i="1" s="1"/>
  <c r="BO3" i="5" s="1"/>
  <c r="J78" i="7"/>
  <c r="BC7" i="1" s="1"/>
  <c r="BN3" i="5" s="1"/>
  <c r="H78" i="7"/>
  <c r="L78" i="7" s="1"/>
  <c r="BE7" i="1" s="1"/>
  <c r="BP3" i="5" s="1"/>
  <c r="H77" i="7"/>
  <c r="M77" i="7" s="1"/>
  <c r="N76" i="7"/>
  <c r="J76" i="7"/>
  <c r="H76" i="7"/>
  <c r="J75" i="7"/>
  <c r="H75" i="7"/>
  <c r="N74" i="7"/>
  <c r="M74" i="7"/>
  <c r="K74" i="7"/>
  <c r="J74" i="7"/>
  <c r="H74" i="7"/>
  <c r="L74" i="7" s="1"/>
  <c r="N73" i="7"/>
  <c r="K73" i="7"/>
  <c r="J73" i="7"/>
  <c r="H73" i="7"/>
  <c r="M73" i="7" s="1"/>
  <c r="H72" i="7"/>
  <c r="N72" i="7" s="1"/>
  <c r="N71" i="7"/>
  <c r="J71" i="7"/>
  <c r="H71" i="7"/>
  <c r="L70" i="7"/>
  <c r="H70" i="7"/>
  <c r="H69" i="7"/>
  <c r="N68" i="7"/>
  <c r="H68" i="7"/>
  <c r="N67" i="7"/>
  <c r="M67" i="7"/>
  <c r="L67" i="7"/>
  <c r="H67" i="7"/>
  <c r="L66" i="7"/>
  <c r="K66" i="7"/>
  <c r="J66" i="7"/>
  <c r="H66" i="7"/>
  <c r="N66" i="7" s="1"/>
  <c r="H65" i="7"/>
  <c r="M65" i="7" s="1"/>
  <c r="N64" i="7"/>
  <c r="L64" i="7"/>
  <c r="H64" i="7"/>
  <c r="H63" i="7"/>
  <c r="M63" i="7" s="1"/>
  <c r="L62" i="7"/>
  <c r="K62" i="7"/>
  <c r="J62" i="7"/>
  <c r="H62" i="7"/>
  <c r="N62" i="7" s="1"/>
  <c r="L61" i="7"/>
  <c r="J61" i="7"/>
  <c r="H61" i="7"/>
  <c r="M61" i="7" s="1"/>
  <c r="H60" i="7"/>
  <c r="N60" i="7" s="1"/>
  <c r="N59" i="7"/>
  <c r="M59" i="7"/>
  <c r="L59" i="7"/>
  <c r="J59" i="7"/>
  <c r="H59" i="7"/>
  <c r="K59" i="7" s="1"/>
  <c r="N58" i="7"/>
  <c r="M58" i="7"/>
  <c r="L58" i="7"/>
  <c r="K58" i="7"/>
  <c r="J58" i="7"/>
  <c r="H58" i="7"/>
  <c r="H57" i="7"/>
  <c r="M57" i="7" s="1"/>
  <c r="H56" i="7"/>
  <c r="N55" i="7"/>
  <c r="M55" i="7"/>
  <c r="K55" i="7"/>
  <c r="J55" i="7"/>
  <c r="H55" i="7"/>
  <c r="L55" i="7" s="1"/>
  <c r="M54" i="7"/>
  <c r="L54" i="7"/>
  <c r="H54" i="7"/>
  <c r="L53" i="7"/>
  <c r="H53" i="7"/>
  <c r="M53" i="7" s="1"/>
  <c r="N52" i="7"/>
  <c r="L52" i="7"/>
  <c r="J52" i="7"/>
  <c r="H52" i="7"/>
  <c r="H51" i="7"/>
  <c r="N50" i="7"/>
  <c r="M50" i="7"/>
  <c r="K50" i="7"/>
  <c r="J50" i="7"/>
  <c r="H50" i="7"/>
  <c r="L50" i="7" s="1"/>
  <c r="N49" i="7"/>
  <c r="L49" i="7"/>
  <c r="K49" i="7"/>
  <c r="H49" i="7"/>
  <c r="M49" i="7" s="1"/>
  <c r="H48" i="7"/>
  <c r="L48" i="7" s="1"/>
  <c r="N47" i="7"/>
  <c r="H47" i="7"/>
  <c r="H46" i="7"/>
  <c r="H45" i="7"/>
  <c r="M45" i="7" s="1"/>
  <c r="N44" i="7"/>
  <c r="J44" i="7"/>
  <c r="H44" i="7"/>
  <c r="H43" i="7"/>
  <c r="H42" i="7"/>
  <c r="L42" i="7" s="1"/>
  <c r="N41" i="7"/>
  <c r="H41" i="7"/>
  <c r="H40" i="7"/>
  <c r="J40" i="7" s="1"/>
  <c r="N39" i="7"/>
  <c r="M39" i="7"/>
  <c r="L39" i="7"/>
  <c r="K39" i="7"/>
  <c r="J39" i="7"/>
  <c r="H39" i="7"/>
  <c r="H38" i="7"/>
  <c r="N37" i="7"/>
  <c r="K37" i="7"/>
  <c r="J37" i="7"/>
  <c r="H37" i="7"/>
  <c r="M37" i="7" s="1"/>
  <c r="H36" i="7"/>
  <c r="J36" i="7" s="1"/>
  <c r="N35" i="7"/>
  <c r="M35" i="7"/>
  <c r="K35" i="7"/>
  <c r="J35" i="7"/>
  <c r="H35" i="7"/>
  <c r="L35" i="7" s="1"/>
  <c r="M34" i="7"/>
  <c r="L34" i="7"/>
  <c r="H34" i="7"/>
  <c r="H33" i="7"/>
  <c r="M33" i="7" s="1"/>
  <c r="H32" i="7"/>
  <c r="N32" i="7" s="1"/>
  <c r="N31" i="7"/>
  <c r="M31" i="7"/>
  <c r="K31" i="7"/>
  <c r="J31" i="7"/>
  <c r="H31" i="7"/>
  <c r="L31" i="7" s="1"/>
  <c r="H30" i="7"/>
  <c r="N30" i="7" s="1"/>
  <c r="N29" i="7"/>
  <c r="L29" i="7"/>
  <c r="J29" i="7"/>
  <c r="H29" i="7"/>
  <c r="M29" i="7" s="1"/>
  <c r="H28" i="7"/>
  <c r="K28" i="7" s="1"/>
  <c r="L27" i="7"/>
  <c r="K27" i="7"/>
  <c r="J27" i="7"/>
  <c r="H27" i="7"/>
  <c r="N27" i="7" s="1"/>
  <c r="N26" i="7"/>
  <c r="M26" i="7"/>
  <c r="L26" i="7"/>
  <c r="J26" i="7"/>
  <c r="N70" i="7" l="1"/>
  <c r="M70" i="7"/>
  <c r="K70" i="7"/>
  <c r="J70" i="7"/>
  <c r="N75" i="7"/>
  <c r="L75" i="7"/>
  <c r="K75" i="7"/>
  <c r="M81" i="7"/>
  <c r="N81" i="7"/>
  <c r="BB10" i="1" s="1"/>
  <c r="BM6" i="5" s="1"/>
  <c r="N83" i="7"/>
  <c r="BB12" i="1" s="1"/>
  <c r="BM8" i="5" s="1"/>
  <c r="M83" i="7"/>
  <c r="K83" i="7"/>
  <c r="BD12" i="1" s="1"/>
  <c r="BO8" i="5" s="1"/>
  <c r="J83" i="7"/>
  <c r="BC12" i="1" s="1"/>
  <c r="BN8" i="5" s="1"/>
  <c r="J108" i="7"/>
  <c r="BC37" i="1" s="1"/>
  <c r="BN33" i="5" s="1"/>
  <c r="N108" i="7"/>
  <c r="BB37" i="1" s="1"/>
  <c r="BM33" i="5" s="1"/>
  <c r="N122" i="7"/>
  <c r="BB51" i="1" s="1"/>
  <c r="BM47" i="5" s="1"/>
  <c r="K122" i="7"/>
  <c r="BD51" i="1" s="1"/>
  <c r="BO47" i="5" s="1"/>
  <c r="J122" i="7"/>
  <c r="BC51" i="1" s="1"/>
  <c r="BN47" i="5" s="1"/>
  <c r="M122" i="7"/>
  <c r="L122" i="7"/>
  <c r="BE51" i="1" s="1"/>
  <c r="BP47" i="5" s="1"/>
  <c r="N139" i="7"/>
  <c r="BB68" i="1" s="1"/>
  <c r="BM64" i="5" s="1"/>
  <c r="K139" i="7"/>
  <c r="BD68" i="1" s="1"/>
  <c r="BO64" i="5" s="1"/>
  <c r="J139" i="7"/>
  <c r="BC68" i="1" s="1"/>
  <c r="BN64" i="5" s="1"/>
  <c r="M139" i="7"/>
  <c r="L139" i="7"/>
  <c r="BE68" i="1" s="1"/>
  <c r="BP64" i="5" s="1"/>
  <c r="M153" i="7"/>
  <c r="J153" i="7"/>
  <c r="BC82" i="1" s="1"/>
  <c r="BN78" i="5" s="1"/>
  <c r="N153" i="7"/>
  <c r="BB82" i="1" s="1"/>
  <c r="BM78" i="5" s="1"/>
  <c r="L153" i="7"/>
  <c r="BE82" i="1" s="1"/>
  <c r="BP78" i="5" s="1"/>
  <c r="K153" i="7"/>
  <c r="BD82" i="1" s="1"/>
  <c r="BO78" i="5" s="1"/>
  <c r="L111" i="7"/>
  <c r="BE40" i="1" s="1"/>
  <c r="BP36" i="5" s="1"/>
  <c r="M111" i="7"/>
  <c r="K111" i="7"/>
  <c r="BD40" i="1" s="1"/>
  <c r="BO36" i="5" s="1"/>
  <c r="J111" i="7"/>
  <c r="BC40" i="1" s="1"/>
  <c r="BN36" i="5" s="1"/>
  <c r="J131" i="7"/>
  <c r="BC60" i="1" s="1"/>
  <c r="BN56" i="5" s="1"/>
  <c r="L131" i="7"/>
  <c r="BE60" i="1" s="1"/>
  <c r="BP56" i="5" s="1"/>
  <c r="K131" i="7"/>
  <c r="BD60" i="1" s="1"/>
  <c r="BO56" i="5" s="1"/>
  <c r="N131" i="7"/>
  <c r="BB60" i="1" s="1"/>
  <c r="BM56" i="5" s="1"/>
  <c r="M131" i="7"/>
  <c r="M71" i="7"/>
  <c r="L71" i="7"/>
  <c r="M75" i="7"/>
  <c r="L81" i="7"/>
  <c r="BE10" i="1" s="1"/>
  <c r="BP6" i="5" s="1"/>
  <c r="N111" i="7"/>
  <c r="BB40" i="1" s="1"/>
  <c r="BM36" i="5" s="1"/>
  <c r="M141" i="7"/>
  <c r="N141" i="7"/>
  <c r="BB70" i="1" s="1"/>
  <c r="BM66" i="5" s="1"/>
  <c r="K141" i="7"/>
  <c r="BD70" i="1" s="1"/>
  <c r="BO66" i="5" s="1"/>
  <c r="J141" i="7"/>
  <c r="BC70" i="1" s="1"/>
  <c r="BN66" i="5" s="1"/>
  <c r="L141" i="7"/>
  <c r="BE70" i="1" s="1"/>
  <c r="BP66" i="5" s="1"/>
  <c r="M145" i="7"/>
  <c r="K145" i="7"/>
  <c r="BD74" i="1" s="1"/>
  <c r="BO70" i="5" s="1"/>
  <c r="J145" i="7"/>
  <c r="BC74" i="1" s="1"/>
  <c r="BN70" i="5" s="1"/>
  <c r="N145" i="7"/>
  <c r="BB74" i="1" s="1"/>
  <c r="BM70" i="5" s="1"/>
  <c r="L145" i="7"/>
  <c r="BE74" i="1" s="1"/>
  <c r="BP70" i="5" s="1"/>
  <c r="M43" i="7"/>
  <c r="L43" i="7"/>
  <c r="N46" i="7"/>
  <c r="M46" i="7"/>
  <c r="K46" i="7"/>
  <c r="J46" i="7"/>
  <c r="M38" i="7"/>
  <c r="L38" i="7"/>
  <c r="N51" i="7"/>
  <c r="L51" i="7"/>
  <c r="K51" i="7"/>
  <c r="K34" i="7"/>
  <c r="J34" i="7"/>
  <c r="J38" i="7"/>
  <c r="J43" i="7"/>
  <c r="L46" i="7"/>
  <c r="J51" i="7"/>
  <c r="K54" i="7"/>
  <c r="J54" i="7"/>
  <c r="L63" i="7"/>
  <c r="K71" i="7"/>
  <c r="N79" i="7"/>
  <c r="BB8" i="1" s="1"/>
  <c r="BM4" i="5" s="1"/>
  <c r="L79" i="7"/>
  <c r="BE8" i="1" s="1"/>
  <c r="BP4" i="5" s="1"/>
  <c r="K79" i="7"/>
  <c r="BD8" i="1" s="1"/>
  <c r="BO4" i="5" s="1"/>
  <c r="L84" i="7"/>
  <c r="BE13" i="1" s="1"/>
  <c r="BP9" i="5" s="1"/>
  <c r="N95" i="7"/>
  <c r="BB24" i="1" s="1"/>
  <c r="BM20" i="5" s="1"/>
  <c r="K95" i="7"/>
  <c r="BD24" i="1" s="1"/>
  <c r="BO20" i="5" s="1"/>
  <c r="J95" i="7"/>
  <c r="BC24" i="1" s="1"/>
  <c r="BN20" i="5" s="1"/>
  <c r="M51" i="7"/>
  <c r="M69" i="7"/>
  <c r="K69" i="7"/>
  <c r="J69" i="7"/>
  <c r="L120" i="7"/>
  <c r="BE49" i="1" s="1"/>
  <c r="BP45" i="5" s="1"/>
  <c r="J120" i="7"/>
  <c r="BC49" i="1" s="1"/>
  <c r="BN45" i="5" s="1"/>
  <c r="N120" i="7"/>
  <c r="BB49" i="1" s="1"/>
  <c r="BM45" i="5" s="1"/>
  <c r="K38" i="7"/>
  <c r="M47" i="7"/>
  <c r="L47" i="7"/>
  <c r="N56" i="7"/>
  <c r="L56" i="7"/>
  <c r="N36" i="7"/>
  <c r="M41" i="7"/>
  <c r="K41" i="7"/>
  <c r="J41" i="7"/>
  <c r="N43" i="7"/>
  <c r="L69" i="7"/>
  <c r="N42" i="7"/>
  <c r="M42" i="7"/>
  <c r="K42" i="7"/>
  <c r="J42" i="7"/>
  <c r="L32" i="7"/>
  <c r="K63" i="7"/>
  <c r="J63" i="7"/>
  <c r="K43" i="7"/>
  <c r="N38" i="7"/>
  <c r="J47" i="7"/>
  <c r="J56" i="7"/>
  <c r="N63" i="7"/>
  <c r="K86" i="7"/>
  <c r="BD15" i="1" s="1"/>
  <c r="BO11" i="5" s="1"/>
  <c r="J86" i="7"/>
  <c r="BC15" i="1" s="1"/>
  <c r="BN11" i="5" s="1"/>
  <c r="N34" i="7"/>
  <c r="L41" i="7"/>
  <c r="K47" i="7"/>
  <c r="N54" i="7"/>
  <c r="K67" i="7"/>
  <c r="J67" i="7"/>
  <c r="N69" i="7"/>
  <c r="L86" i="7"/>
  <c r="BE15" i="1" s="1"/>
  <c r="BP11" i="5" s="1"/>
  <c r="N88" i="7"/>
  <c r="BB17" i="1" s="1"/>
  <c r="BM13" i="5" s="1"/>
  <c r="L88" i="7"/>
  <c r="BE17" i="1" s="1"/>
  <c r="BP13" i="5" s="1"/>
  <c r="J88" i="7"/>
  <c r="BC17" i="1" s="1"/>
  <c r="BN13" i="5" s="1"/>
  <c r="K99" i="7"/>
  <c r="BD28" i="1" s="1"/>
  <c r="BO24" i="5" s="1"/>
  <c r="J99" i="7"/>
  <c r="BC28" i="1" s="1"/>
  <c r="BN24" i="5" s="1"/>
  <c r="N99" i="7"/>
  <c r="BB28" i="1" s="1"/>
  <c r="BM24" i="5" s="1"/>
  <c r="N102" i="7"/>
  <c r="BB31" i="1" s="1"/>
  <c r="BM27" i="5" s="1"/>
  <c r="L102" i="7"/>
  <c r="BE31" i="1" s="1"/>
  <c r="BP27" i="5" s="1"/>
  <c r="K102" i="7"/>
  <c r="BD31" i="1" s="1"/>
  <c r="BO27" i="5" s="1"/>
  <c r="J102" i="7"/>
  <c r="BC31" i="1" s="1"/>
  <c r="BN27" i="5" s="1"/>
  <c r="L161" i="7"/>
  <c r="BE90" i="1" s="1"/>
  <c r="BP86" i="5" s="1"/>
  <c r="L181" i="7"/>
  <c r="BE110" i="1" s="1"/>
  <c r="BP106" i="5" s="1"/>
  <c r="M27" i="7"/>
  <c r="M62" i="7"/>
  <c r="M66" i="7"/>
  <c r="M94" i="7"/>
  <c r="M98" i="7"/>
  <c r="M103" i="7"/>
  <c r="J106" i="7"/>
  <c r="BC35" i="1" s="1"/>
  <c r="BN31" i="5" s="1"/>
  <c r="M107" i="7"/>
  <c r="N109" i="7"/>
  <c r="BB38" i="1" s="1"/>
  <c r="BM34" i="5" s="1"/>
  <c r="L115" i="7"/>
  <c r="BE44" i="1" s="1"/>
  <c r="BP40" i="5" s="1"/>
  <c r="K117" i="7"/>
  <c r="BD46" i="1" s="1"/>
  <c r="BO42" i="5" s="1"/>
  <c r="K126" i="7"/>
  <c r="BD55" i="1" s="1"/>
  <c r="BO51" i="5" s="1"/>
  <c r="J130" i="7"/>
  <c r="BC59" i="1" s="1"/>
  <c r="BN55" i="5" s="1"/>
  <c r="J134" i="7"/>
  <c r="BC63" i="1" s="1"/>
  <c r="BN59" i="5" s="1"/>
  <c r="K143" i="7"/>
  <c r="BD72" i="1" s="1"/>
  <c r="BO68" i="5" s="1"/>
  <c r="K149" i="7"/>
  <c r="BD78" i="1" s="1"/>
  <c r="BO74" i="5" s="1"/>
  <c r="J151" i="7"/>
  <c r="BC80" i="1" s="1"/>
  <c r="BN76" i="5" s="1"/>
  <c r="K155" i="7"/>
  <c r="BD84" i="1" s="1"/>
  <c r="BO80" i="5" s="1"/>
  <c r="K157" i="7"/>
  <c r="BD86" i="1" s="1"/>
  <c r="BO82" i="5" s="1"/>
  <c r="K159" i="7"/>
  <c r="BD88" i="1" s="1"/>
  <c r="BO84" i="5" s="1"/>
  <c r="J167" i="7"/>
  <c r="BC96" i="1" s="1"/>
  <c r="BN92" i="5" s="1"/>
  <c r="K169" i="7"/>
  <c r="BD98" i="1" s="1"/>
  <c r="BO94" i="5" s="1"/>
  <c r="J171" i="7"/>
  <c r="BC100" i="1" s="1"/>
  <c r="BN96" i="5" s="1"/>
  <c r="L173" i="7"/>
  <c r="BE102" i="1" s="1"/>
  <c r="BP98" i="5" s="1"/>
  <c r="K175" i="7"/>
  <c r="BD104" i="1" s="1"/>
  <c r="BO100" i="5" s="1"/>
  <c r="K177" i="7"/>
  <c r="BD106" i="1" s="1"/>
  <c r="BO102" i="5" s="1"/>
  <c r="K179" i="7"/>
  <c r="BD108" i="1" s="1"/>
  <c r="BO104" i="5" s="1"/>
  <c r="L187" i="7"/>
  <c r="BE116" i="1" s="1"/>
  <c r="BP112" i="5" s="1"/>
  <c r="L191" i="7"/>
  <c r="BE120" i="1" s="1"/>
  <c r="BP116" i="5" s="1"/>
  <c r="N193" i="7"/>
  <c r="BB122" i="1" s="1"/>
  <c r="BM118" i="5" s="1"/>
  <c r="L195" i="7"/>
  <c r="BE124" i="1" s="1"/>
  <c r="BP120" i="5" s="1"/>
  <c r="N197" i="7"/>
  <c r="BB126" i="1" s="1"/>
  <c r="BM122" i="5" s="1"/>
  <c r="K199" i="7"/>
  <c r="BD128" i="1" s="1"/>
  <c r="BO124" i="5" s="1"/>
  <c r="M203" i="7"/>
  <c r="J206" i="7"/>
  <c r="BC135" i="1" s="1"/>
  <c r="BN131" i="5" s="1"/>
  <c r="N207" i="7"/>
  <c r="BB136" i="1" s="1"/>
  <c r="BM132" i="5" s="1"/>
  <c r="L210" i="7"/>
  <c r="BE139" i="1" s="1"/>
  <c r="BP135" i="5" s="1"/>
  <c r="L214" i="7"/>
  <c r="BE143" i="1" s="1"/>
  <c r="BP139" i="5" s="1"/>
  <c r="N220" i="7"/>
  <c r="BB149" i="1" s="1"/>
  <c r="BM145" i="5" s="1"/>
  <c r="N235" i="7"/>
  <c r="BB164" i="1" s="1"/>
  <c r="BM160" i="5" s="1"/>
  <c r="L241" i="7"/>
  <c r="BE170" i="1" s="1"/>
  <c r="BP166" i="5" s="1"/>
  <c r="K241" i="7"/>
  <c r="BD170" i="1" s="1"/>
  <c r="BO166" i="5" s="1"/>
  <c r="N241" i="7"/>
  <c r="BB170" i="1" s="1"/>
  <c r="BM166" i="5" s="1"/>
  <c r="J244" i="7"/>
  <c r="BC173" i="1" s="1"/>
  <c r="BN169" i="5" s="1"/>
  <c r="K244" i="7"/>
  <c r="BD173" i="1" s="1"/>
  <c r="BO169" i="5" s="1"/>
  <c r="L254" i="7"/>
  <c r="BE183" i="1" s="1"/>
  <c r="BP179" i="5" s="1"/>
  <c r="K261" i="7"/>
  <c r="BD190" i="1" s="1"/>
  <c r="BO186" i="5" s="1"/>
  <c r="L267" i="7"/>
  <c r="BE196" i="1" s="1"/>
  <c r="BP192" i="5" s="1"/>
  <c r="J270" i="7"/>
  <c r="BC199" i="1" s="1"/>
  <c r="BN195" i="5" s="1"/>
  <c r="J280" i="7"/>
  <c r="BC209" i="1" s="1"/>
  <c r="BN205" i="5" s="1"/>
  <c r="L280" i="7"/>
  <c r="BE209" i="1" s="1"/>
  <c r="BP205" i="5" s="1"/>
  <c r="K280" i="7"/>
  <c r="BD209" i="1" s="1"/>
  <c r="BO205" i="5" s="1"/>
  <c r="K115" i="7"/>
  <c r="BD44" i="1" s="1"/>
  <c r="BO40" i="5" s="1"/>
  <c r="J117" i="7"/>
  <c r="BC46" i="1" s="1"/>
  <c r="BN42" i="5" s="1"/>
  <c r="K106" i="7"/>
  <c r="BD35" i="1" s="1"/>
  <c r="BO31" i="5" s="1"/>
  <c r="M115" i="7"/>
  <c r="L117" i="7"/>
  <c r="BE46" i="1" s="1"/>
  <c r="BP42" i="5" s="1"/>
  <c r="M121" i="7"/>
  <c r="K121" i="7"/>
  <c r="BD50" i="1" s="1"/>
  <c r="BO46" i="5" s="1"/>
  <c r="M126" i="7"/>
  <c r="K130" i="7"/>
  <c r="BD59" i="1" s="1"/>
  <c r="BO55" i="5" s="1"/>
  <c r="K134" i="7"/>
  <c r="BD63" i="1" s="1"/>
  <c r="BO59" i="5" s="1"/>
  <c r="L143" i="7"/>
  <c r="BE72" i="1" s="1"/>
  <c r="BP68" i="5" s="1"/>
  <c r="L149" i="7"/>
  <c r="BE78" i="1" s="1"/>
  <c r="BP74" i="5" s="1"/>
  <c r="K151" i="7"/>
  <c r="BD80" i="1" s="1"/>
  <c r="BO76" i="5" s="1"/>
  <c r="L155" i="7"/>
  <c r="BE84" i="1" s="1"/>
  <c r="BP80" i="5" s="1"/>
  <c r="L159" i="7"/>
  <c r="BE88" i="1" s="1"/>
  <c r="BP84" i="5" s="1"/>
  <c r="K167" i="7"/>
  <c r="BD96" i="1" s="1"/>
  <c r="BO92" i="5" s="1"/>
  <c r="L169" i="7"/>
  <c r="BE98" i="1" s="1"/>
  <c r="BP94" i="5" s="1"/>
  <c r="K171" i="7"/>
  <c r="BD100" i="1" s="1"/>
  <c r="BO96" i="5" s="1"/>
  <c r="N173" i="7"/>
  <c r="BB102" i="1" s="1"/>
  <c r="BM98" i="5" s="1"/>
  <c r="L175" i="7"/>
  <c r="BE104" i="1" s="1"/>
  <c r="BP100" i="5" s="1"/>
  <c r="L179" i="7"/>
  <c r="BE108" i="1" s="1"/>
  <c r="BP104" i="5" s="1"/>
  <c r="K186" i="7"/>
  <c r="BD115" i="1" s="1"/>
  <c r="BO111" i="5" s="1"/>
  <c r="N186" i="7"/>
  <c r="BB115" i="1" s="1"/>
  <c r="BM111" i="5" s="1"/>
  <c r="M187" i="7"/>
  <c r="K190" i="7"/>
  <c r="BD119" i="1" s="1"/>
  <c r="BO115" i="5" s="1"/>
  <c r="M190" i="7"/>
  <c r="M191" i="7"/>
  <c r="K194" i="7"/>
  <c r="BD123" i="1" s="1"/>
  <c r="BO119" i="5" s="1"/>
  <c r="L194" i="7"/>
  <c r="BE123" i="1" s="1"/>
  <c r="BP119" i="5" s="1"/>
  <c r="M195" i="7"/>
  <c r="M199" i="7"/>
  <c r="N203" i="7"/>
  <c r="BB132" i="1" s="1"/>
  <c r="BM128" i="5" s="1"/>
  <c r="L206" i="7"/>
  <c r="BE135" i="1" s="1"/>
  <c r="BP131" i="5" s="1"/>
  <c r="M219" i="7"/>
  <c r="J219" i="7"/>
  <c r="BC148" i="1" s="1"/>
  <c r="BN144" i="5" s="1"/>
  <c r="L249" i="7"/>
  <c r="BE178" i="1" s="1"/>
  <c r="BP174" i="5" s="1"/>
  <c r="N249" i="7"/>
  <c r="BB178" i="1" s="1"/>
  <c r="BM174" i="5" s="1"/>
  <c r="N258" i="7"/>
  <c r="BB187" i="1" s="1"/>
  <c r="BM183" i="5" s="1"/>
  <c r="K258" i="7"/>
  <c r="BD187" i="1" s="1"/>
  <c r="BO183" i="5" s="1"/>
  <c r="N187" i="7"/>
  <c r="BB116" i="1" s="1"/>
  <c r="BM112" i="5" s="1"/>
  <c r="M213" i="7"/>
  <c r="J213" i="7"/>
  <c r="BC142" i="1" s="1"/>
  <c r="BN138" i="5" s="1"/>
  <c r="J252" i="7"/>
  <c r="BC181" i="1" s="1"/>
  <c r="BN177" i="5" s="1"/>
  <c r="K252" i="7"/>
  <c r="BD181" i="1" s="1"/>
  <c r="BO177" i="5" s="1"/>
  <c r="N252" i="7"/>
  <c r="BB181" i="1" s="1"/>
  <c r="BM177" i="5" s="1"/>
  <c r="K154" i="7"/>
  <c r="BD83" i="1" s="1"/>
  <c r="BO79" i="5" s="1"/>
  <c r="J154" i="7"/>
  <c r="BC83" i="1" s="1"/>
  <c r="BN79" i="5" s="1"/>
  <c r="K174" i="7"/>
  <c r="BD103" i="1" s="1"/>
  <c r="BO99" i="5" s="1"/>
  <c r="J174" i="7"/>
  <c r="BC103" i="1" s="1"/>
  <c r="BN99" i="5" s="1"/>
  <c r="N191" i="7"/>
  <c r="BB120" i="1" s="1"/>
  <c r="BM116" i="5" s="1"/>
  <c r="M209" i="7"/>
  <c r="K209" i="7"/>
  <c r="BD138" i="1" s="1"/>
  <c r="BO134" i="5" s="1"/>
  <c r="L237" i="7"/>
  <c r="BE166" i="1" s="1"/>
  <c r="BP162" i="5" s="1"/>
  <c r="M237" i="7"/>
  <c r="N271" i="7"/>
  <c r="BB200" i="1" s="1"/>
  <c r="BM196" i="5" s="1"/>
  <c r="K271" i="7"/>
  <c r="BD200" i="1" s="1"/>
  <c r="BO196" i="5" s="1"/>
  <c r="J276" i="7"/>
  <c r="BC205" i="1" s="1"/>
  <c r="BN201" i="5" s="1"/>
  <c r="L276" i="7"/>
  <c r="BE205" i="1" s="1"/>
  <c r="BP201" i="5" s="1"/>
  <c r="K276" i="7"/>
  <c r="BD205" i="1" s="1"/>
  <c r="BO201" i="5" s="1"/>
  <c r="M276" i="7"/>
  <c r="L37" i="7"/>
  <c r="N61" i="7"/>
  <c r="N93" i="7"/>
  <c r="BB22" i="1" s="1"/>
  <c r="BM18" i="5" s="1"/>
  <c r="K101" i="7"/>
  <c r="BD30" i="1" s="1"/>
  <c r="BO26" i="5" s="1"/>
  <c r="M105" i="7"/>
  <c r="K105" i="7"/>
  <c r="BD34" i="1" s="1"/>
  <c r="BO30" i="5" s="1"/>
  <c r="M106" i="7"/>
  <c r="L110" i="7"/>
  <c r="BE39" i="1" s="1"/>
  <c r="BP35" i="5" s="1"/>
  <c r="L119" i="7"/>
  <c r="BE48" i="1" s="1"/>
  <c r="BP44" i="5" s="1"/>
  <c r="L121" i="7"/>
  <c r="BE50" i="1" s="1"/>
  <c r="BP46" i="5" s="1"/>
  <c r="J123" i="7"/>
  <c r="BC52" i="1" s="1"/>
  <c r="BN48" i="5" s="1"/>
  <c r="M129" i="7"/>
  <c r="N129" i="7"/>
  <c r="BB58" i="1" s="1"/>
  <c r="BM54" i="5" s="1"/>
  <c r="M130" i="7"/>
  <c r="M133" i="7"/>
  <c r="K133" i="7"/>
  <c r="BD62" i="1" s="1"/>
  <c r="BO58" i="5" s="1"/>
  <c r="M134" i="7"/>
  <c r="M138" i="7"/>
  <c r="J140" i="7"/>
  <c r="BC69" i="1" s="1"/>
  <c r="BN65" i="5" s="1"/>
  <c r="K142" i="7"/>
  <c r="BD71" i="1" s="1"/>
  <c r="BO67" i="5" s="1"/>
  <c r="N143" i="7"/>
  <c r="BB72" i="1" s="1"/>
  <c r="BM68" i="5" s="1"/>
  <c r="L146" i="7"/>
  <c r="BE75" i="1" s="1"/>
  <c r="BP71" i="5" s="1"/>
  <c r="K150" i="7"/>
  <c r="BD79" i="1" s="1"/>
  <c r="BO75" i="5" s="1"/>
  <c r="L150" i="7"/>
  <c r="BE79" i="1" s="1"/>
  <c r="BP75" i="5" s="1"/>
  <c r="M151" i="7"/>
  <c r="L154" i="7"/>
  <c r="BE83" i="1" s="1"/>
  <c r="BP79" i="5" s="1"/>
  <c r="J158" i="7"/>
  <c r="BC87" i="1" s="1"/>
  <c r="BN83" i="5" s="1"/>
  <c r="N159" i="7"/>
  <c r="BB88" i="1" s="1"/>
  <c r="BM84" i="5" s="1"/>
  <c r="L162" i="7"/>
  <c r="BE91" i="1" s="1"/>
  <c r="BP87" i="5" s="1"/>
  <c r="K166" i="7"/>
  <c r="BD95" i="1" s="1"/>
  <c r="BO91" i="5" s="1"/>
  <c r="M166" i="7"/>
  <c r="M167" i="7"/>
  <c r="K170" i="7"/>
  <c r="BD99" i="1" s="1"/>
  <c r="BO95" i="5" s="1"/>
  <c r="L170" i="7"/>
  <c r="BE99" i="1" s="1"/>
  <c r="BP95" i="5" s="1"/>
  <c r="M171" i="7"/>
  <c r="L174" i="7"/>
  <c r="BE103" i="1" s="1"/>
  <c r="BP99" i="5" s="1"/>
  <c r="J178" i="7"/>
  <c r="BC107" i="1" s="1"/>
  <c r="BN103" i="5" s="1"/>
  <c r="N179" i="7"/>
  <c r="BB108" i="1" s="1"/>
  <c r="BM104" i="5" s="1"/>
  <c r="L182" i="7"/>
  <c r="BE111" i="1" s="1"/>
  <c r="BP107" i="5" s="1"/>
  <c r="L186" i="7"/>
  <c r="BE115" i="1" s="1"/>
  <c r="BP111" i="5" s="1"/>
  <c r="L190" i="7"/>
  <c r="BE119" i="1" s="1"/>
  <c r="BP115" i="5" s="1"/>
  <c r="M194" i="7"/>
  <c r="M202" i="7"/>
  <c r="M205" i="7"/>
  <c r="L205" i="7"/>
  <c r="BE134" i="1" s="1"/>
  <c r="BP130" i="5" s="1"/>
  <c r="N206" i="7"/>
  <c r="BB135" i="1" s="1"/>
  <c r="BM131" i="5" s="1"/>
  <c r="J209" i="7"/>
  <c r="BC138" i="1" s="1"/>
  <c r="BN134" i="5" s="1"/>
  <c r="K213" i="7"/>
  <c r="BD142" i="1" s="1"/>
  <c r="BO138" i="5" s="1"/>
  <c r="L219" i="7"/>
  <c r="BE148" i="1" s="1"/>
  <c r="BP144" i="5" s="1"/>
  <c r="J222" i="7"/>
  <c r="BC151" i="1" s="1"/>
  <c r="BN147" i="5" s="1"/>
  <c r="J225" i="7"/>
  <c r="BC154" i="1" s="1"/>
  <c r="BN150" i="5" s="1"/>
  <c r="L228" i="7"/>
  <c r="BE157" i="1" s="1"/>
  <c r="BP153" i="5" s="1"/>
  <c r="L231" i="7"/>
  <c r="BE160" i="1" s="1"/>
  <c r="BP156" i="5" s="1"/>
  <c r="M234" i="7"/>
  <c r="K237" i="7"/>
  <c r="BD166" i="1" s="1"/>
  <c r="BO162" i="5" s="1"/>
  <c r="K239" i="7"/>
  <c r="BD168" i="1" s="1"/>
  <c r="BO164" i="5" s="1"/>
  <c r="N244" i="7"/>
  <c r="BB173" i="1" s="1"/>
  <c r="BM169" i="5" s="1"/>
  <c r="M249" i="7"/>
  <c r="M252" i="7"/>
  <c r="J263" i="7"/>
  <c r="BC192" i="1" s="1"/>
  <c r="BN188" i="5" s="1"/>
  <c r="L263" i="7"/>
  <c r="BE192" i="1" s="1"/>
  <c r="BP188" i="5" s="1"/>
  <c r="N266" i="7"/>
  <c r="BB195" i="1" s="1"/>
  <c r="BM191" i="5" s="1"/>
  <c r="K266" i="7"/>
  <c r="BD195" i="1" s="1"/>
  <c r="BO191" i="5" s="1"/>
  <c r="M266" i="7"/>
  <c r="J271" i="7"/>
  <c r="BC200" i="1" s="1"/>
  <c r="BN196" i="5" s="1"/>
  <c r="N276" i="7"/>
  <c r="BB205" i="1" s="1"/>
  <c r="BM201" i="5" s="1"/>
  <c r="M113" i="7"/>
  <c r="N113" i="7"/>
  <c r="BB42" i="1" s="1"/>
  <c r="BM38" i="5" s="1"/>
  <c r="N121" i="7"/>
  <c r="BB50" i="1" s="1"/>
  <c r="BM46" i="5" s="1"/>
  <c r="K123" i="7"/>
  <c r="BD52" i="1" s="1"/>
  <c r="BO48" i="5" s="1"/>
  <c r="M146" i="7"/>
  <c r="M154" i="7"/>
  <c r="L158" i="7"/>
  <c r="BE87" i="1" s="1"/>
  <c r="BP83" i="5" s="1"/>
  <c r="M162" i="7"/>
  <c r="M174" i="7"/>
  <c r="L178" i="7"/>
  <c r="BE107" i="1" s="1"/>
  <c r="BP103" i="5" s="1"/>
  <c r="M182" i="7"/>
  <c r="M186" i="7"/>
  <c r="N190" i="7"/>
  <c r="BB119" i="1" s="1"/>
  <c r="BM115" i="5" s="1"/>
  <c r="N194" i="7"/>
  <c r="BB123" i="1" s="1"/>
  <c r="BM119" i="5" s="1"/>
  <c r="M201" i="7"/>
  <c r="N201" i="7"/>
  <c r="BB130" i="1" s="1"/>
  <c r="BM126" i="5" s="1"/>
  <c r="L209" i="7"/>
  <c r="BE138" i="1" s="1"/>
  <c r="BP134" i="5" s="1"/>
  <c r="L213" i="7"/>
  <c r="BE142" i="1" s="1"/>
  <c r="BP138" i="5" s="1"/>
  <c r="N219" i="7"/>
  <c r="BB148" i="1" s="1"/>
  <c r="BM144" i="5" s="1"/>
  <c r="K222" i="7"/>
  <c r="BD151" i="1" s="1"/>
  <c r="BO147" i="5" s="1"/>
  <c r="K225" i="7"/>
  <c r="BD154" i="1" s="1"/>
  <c r="BO150" i="5" s="1"/>
  <c r="M228" i="7"/>
  <c r="M231" i="7"/>
  <c r="N237" i="7"/>
  <c r="BB166" i="1" s="1"/>
  <c r="BM162" i="5" s="1"/>
  <c r="K243" i="7"/>
  <c r="BD172" i="1" s="1"/>
  <c r="BO168" i="5" s="1"/>
  <c r="N243" i="7"/>
  <c r="BB172" i="1" s="1"/>
  <c r="BM168" i="5" s="1"/>
  <c r="J260" i="7"/>
  <c r="BC189" i="1" s="1"/>
  <c r="BN185" i="5" s="1"/>
  <c r="M260" i="7"/>
  <c r="N274" i="7"/>
  <c r="BB203" i="1" s="1"/>
  <c r="BM199" i="5" s="1"/>
  <c r="K274" i="7"/>
  <c r="BD203" i="1" s="1"/>
  <c r="BO199" i="5" s="1"/>
  <c r="J274" i="7"/>
  <c r="BC203" i="1" s="1"/>
  <c r="BN199" i="5" s="1"/>
  <c r="L277" i="7"/>
  <c r="BE206" i="1" s="1"/>
  <c r="BP202" i="5" s="1"/>
  <c r="K277" i="7"/>
  <c r="BD206" i="1" s="1"/>
  <c r="BO202" i="5" s="1"/>
  <c r="J277" i="7"/>
  <c r="BC206" i="1" s="1"/>
  <c r="BN202" i="5" s="1"/>
  <c r="M283" i="7"/>
  <c r="N283" i="7"/>
  <c r="BB212" i="1" s="1"/>
  <c r="BM208" i="5" s="1"/>
  <c r="L283" i="7"/>
  <c r="BE212" i="1" s="1"/>
  <c r="BP208" i="5" s="1"/>
  <c r="K283" i="7"/>
  <c r="BD212" i="1" s="1"/>
  <c r="BO208" i="5" s="1"/>
  <c r="J283" i="7"/>
  <c r="BC212" i="1" s="1"/>
  <c r="BN208" i="5" s="1"/>
  <c r="M161" i="7"/>
  <c r="K161" i="7"/>
  <c r="BD90" i="1" s="1"/>
  <c r="BO86" i="5" s="1"/>
  <c r="M181" i="7"/>
  <c r="K181" i="7"/>
  <c r="BD110" i="1" s="1"/>
  <c r="BO106" i="5" s="1"/>
  <c r="M185" i="7"/>
  <c r="J185" i="7"/>
  <c r="BC114" i="1" s="1"/>
  <c r="BN110" i="5" s="1"/>
  <c r="N209" i="7"/>
  <c r="BB138" i="1" s="1"/>
  <c r="BM134" i="5" s="1"/>
  <c r="N213" i="7"/>
  <c r="BB142" i="1" s="1"/>
  <c r="BM138" i="5" s="1"/>
  <c r="L222" i="7"/>
  <c r="BE151" i="1" s="1"/>
  <c r="BP147" i="5" s="1"/>
  <c r="M225" i="7"/>
  <c r="L229" i="7"/>
  <c r="BE158" i="1" s="1"/>
  <c r="BP154" i="5" s="1"/>
  <c r="N229" i="7"/>
  <c r="BB158" i="1" s="1"/>
  <c r="BM154" i="5" s="1"/>
  <c r="J232" i="7"/>
  <c r="BC161" i="1" s="1"/>
  <c r="BN157" i="5" s="1"/>
  <c r="L232" i="7"/>
  <c r="BE161" i="1" s="1"/>
  <c r="BP157" i="5" s="1"/>
  <c r="N246" i="7"/>
  <c r="BB175" i="1" s="1"/>
  <c r="BM171" i="5" s="1"/>
  <c r="J246" i="7"/>
  <c r="BC175" i="1" s="1"/>
  <c r="BN171" i="5" s="1"/>
  <c r="M246" i="7"/>
  <c r="M123" i="7"/>
  <c r="M157" i="7"/>
  <c r="L157" i="7"/>
  <c r="BE86" i="1" s="1"/>
  <c r="BP82" i="5" s="1"/>
  <c r="N158" i="7"/>
  <c r="BB87" i="1" s="1"/>
  <c r="BM83" i="5" s="1"/>
  <c r="J161" i="7"/>
  <c r="BC90" i="1" s="1"/>
  <c r="BN86" i="5" s="1"/>
  <c r="J173" i="7"/>
  <c r="BC102" i="1" s="1"/>
  <c r="BN98" i="5" s="1"/>
  <c r="M177" i="7"/>
  <c r="L177" i="7"/>
  <c r="BE106" i="1" s="1"/>
  <c r="BP102" i="5" s="1"/>
  <c r="N178" i="7"/>
  <c r="BB107" i="1" s="1"/>
  <c r="BM103" i="5" s="1"/>
  <c r="J181" i="7"/>
  <c r="BC110" i="1" s="1"/>
  <c r="BN106" i="5" s="1"/>
  <c r="K185" i="7"/>
  <c r="BD114" i="1" s="1"/>
  <c r="BO110" i="5" s="1"/>
  <c r="J187" i="7"/>
  <c r="BC116" i="1" s="1"/>
  <c r="BN112" i="5" s="1"/>
  <c r="J191" i="7"/>
  <c r="BC120" i="1" s="1"/>
  <c r="BN116" i="5" s="1"/>
  <c r="J195" i="7"/>
  <c r="BC124" i="1" s="1"/>
  <c r="BN120" i="5" s="1"/>
  <c r="J203" i="7"/>
  <c r="BC132" i="1" s="1"/>
  <c r="BN128" i="5" s="1"/>
  <c r="K220" i="7"/>
  <c r="BD149" i="1" s="1"/>
  <c r="BO145" i="5" s="1"/>
  <c r="L223" i="7"/>
  <c r="BE152" i="1" s="1"/>
  <c r="BP148" i="5" s="1"/>
  <c r="N223" i="7"/>
  <c r="BB152" i="1" s="1"/>
  <c r="BM148" i="5" s="1"/>
  <c r="N226" i="7"/>
  <c r="BB155" i="1" s="1"/>
  <c r="BM151" i="5" s="1"/>
  <c r="M226" i="7"/>
  <c r="K229" i="7"/>
  <c r="BD158" i="1" s="1"/>
  <c r="BO154" i="5" s="1"/>
  <c r="N232" i="7"/>
  <c r="BB161" i="1" s="1"/>
  <c r="BM157" i="5" s="1"/>
  <c r="L246" i="7"/>
  <c r="BE175" i="1" s="1"/>
  <c r="BP171" i="5" s="1"/>
  <c r="J254" i="7"/>
  <c r="BC183" i="1" s="1"/>
  <c r="BN179" i="5" s="1"/>
  <c r="L257" i="7"/>
  <c r="BE186" i="1" s="1"/>
  <c r="BP182" i="5" s="1"/>
  <c r="M257" i="7"/>
  <c r="J126" i="7"/>
  <c r="BC55" i="1" s="1"/>
  <c r="BN51" i="5" s="1"/>
  <c r="K173" i="7"/>
  <c r="BD102" i="1" s="1"/>
  <c r="BO98" i="5" s="1"/>
  <c r="L185" i="7"/>
  <c r="BE114" i="1" s="1"/>
  <c r="BP110" i="5" s="1"/>
  <c r="L261" i="7"/>
  <c r="BE190" i="1" s="1"/>
  <c r="BP186" i="5" s="1"/>
  <c r="J261" i="7"/>
  <c r="BC190" i="1" s="1"/>
  <c r="BN186" i="5" s="1"/>
  <c r="N270" i="7"/>
  <c r="BB199" i="1" s="1"/>
  <c r="BM195" i="5" s="1"/>
  <c r="K270" i="7"/>
  <c r="BD199" i="1" s="1"/>
  <c r="BO195" i="5" s="1"/>
  <c r="M270" i="7"/>
  <c r="M278" i="7"/>
  <c r="N281" i="7"/>
  <c r="BB210" i="1" s="1"/>
  <c r="BM206" i="5" s="1"/>
  <c r="K284" i="7"/>
  <c r="BD213" i="1" s="1"/>
  <c r="BO209" i="5" s="1"/>
  <c r="N289" i="7"/>
  <c r="BB218" i="1" s="1"/>
  <c r="BM214" i="5" s="1"/>
  <c r="L291" i="7"/>
  <c r="BE220" i="1" s="1"/>
  <c r="BP216" i="5" s="1"/>
  <c r="BC229" i="1"/>
  <c r="BN225" i="5" s="1"/>
  <c r="J300" i="7"/>
  <c r="K300" i="7"/>
  <c r="BD229" i="1" s="1"/>
  <c r="BO225" i="5" s="1"/>
  <c r="L300" i="7"/>
  <c r="BE229" i="1" s="1"/>
  <c r="BP225" i="5" s="1"/>
  <c r="M300" i="7"/>
  <c r="N300" i="7"/>
  <c r="BB229" i="1" s="1"/>
  <c r="BM225" i="5" s="1"/>
  <c r="N305" i="7"/>
  <c r="BB234" i="1" s="1"/>
  <c r="BM230" i="5" s="1"/>
  <c r="J305" i="7"/>
  <c r="BC234" i="1" s="1"/>
  <c r="BN230" i="5" s="1"/>
  <c r="K305" i="7"/>
  <c r="BD234" i="1" s="1"/>
  <c r="BO230" i="5" s="1"/>
  <c r="L305" i="7"/>
  <c r="M305" i="7"/>
  <c r="J309" i="7"/>
  <c r="L309" i="7"/>
  <c r="K309" i="7"/>
  <c r="M309" i="7"/>
  <c r="N309" i="7"/>
  <c r="BB238" i="1" s="1"/>
  <c r="BM234" i="5" s="1"/>
  <c r="BB232" i="1"/>
  <c r="BM228" i="5" s="1"/>
  <c r="J303" i="7"/>
  <c r="BC232" i="1" s="1"/>
  <c r="BN228" i="5" s="1"/>
  <c r="K303" i="7"/>
  <c r="BD232" i="1" s="1"/>
  <c r="BO228" i="5" s="1"/>
  <c r="L303" i="7"/>
  <c r="M303" i="7"/>
  <c r="N303" i="7"/>
  <c r="N313" i="7"/>
  <c r="J313" i="7"/>
  <c r="K313" i="7"/>
  <c r="BD242" i="1" s="1"/>
  <c r="L313" i="7"/>
  <c r="M313" i="7"/>
  <c r="M310" i="7"/>
  <c r="N310" i="7"/>
  <c r="J310" i="7"/>
  <c r="K310" i="7"/>
  <c r="L310" i="7"/>
  <c r="K290" i="7"/>
  <c r="BD219" i="1" s="1"/>
  <c r="BO215" i="5" s="1"/>
  <c r="K292" i="7"/>
  <c r="BD221" i="1" s="1"/>
  <c r="BO217" i="5" s="1"/>
  <c r="K306" i="7"/>
  <c r="BD235" i="1" s="1"/>
  <c r="BO231" i="5" s="1"/>
  <c r="J306" i="7"/>
  <c r="BC235" i="1" s="1"/>
  <c r="BN231" i="5" s="1"/>
  <c r="L306" i="7"/>
  <c r="BE235" i="1" s="1"/>
  <c r="BP231" i="5" s="1"/>
  <c r="M306" i="7"/>
  <c r="N306" i="7"/>
  <c r="BD240" i="1"/>
  <c r="BO236" i="5" s="1"/>
  <c r="J311" i="7"/>
  <c r="BC240" i="1" s="1"/>
  <c r="BN236" i="5" s="1"/>
  <c r="K311" i="7"/>
  <c r="L311" i="7"/>
  <c r="BE240" i="1" s="1"/>
  <c r="BP236" i="5" s="1"/>
  <c r="M311" i="7"/>
  <c r="N311" i="7"/>
  <c r="L292" i="7"/>
  <c r="BE221" i="1" s="1"/>
  <c r="BP217" i="5" s="1"/>
  <c r="K296" i="7"/>
  <c r="BD225" i="1" s="1"/>
  <c r="BO221" i="5" s="1"/>
  <c r="BD228" i="1"/>
  <c r="BO224" i="5" s="1"/>
  <c r="L299" i="7"/>
  <c r="BE228" i="1" s="1"/>
  <c r="BP224" i="5" s="1"/>
  <c r="N299" i="7"/>
  <c r="BB228" i="1" s="1"/>
  <c r="BM224" i="5" s="1"/>
  <c r="M299" i="7"/>
  <c r="J299" i="7"/>
  <c r="BC228" i="1" s="1"/>
  <c r="BN224" i="5" s="1"/>
  <c r="K299" i="7"/>
  <c r="J301" i="7"/>
  <c r="BC230" i="1" s="1"/>
  <c r="BN226" i="5" s="1"/>
  <c r="L301" i="7"/>
  <c r="K301" i="7"/>
  <c r="M301" i="7"/>
  <c r="N301" i="7"/>
  <c r="BB230" i="1" s="1"/>
  <c r="BM226" i="5" s="1"/>
  <c r="K304" i="7"/>
  <c r="BD233" i="1" s="1"/>
  <c r="BO229" i="5" s="1"/>
  <c r="M304" i="7"/>
  <c r="L304" i="7"/>
  <c r="BE233" i="1" s="1"/>
  <c r="BP229" i="5" s="1"/>
  <c r="N304" i="7"/>
  <c r="BB233" i="1" s="1"/>
  <c r="BM229" i="5" s="1"/>
  <c r="J304" i="7"/>
  <c r="BC233" i="1" s="1"/>
  <c r="BN229" i="5" s="1"/>
  <c r="J308" i="7"/>
  <c r="BC237" i="1" s="1"/>
  <c r="BN233" i="5" s="1"/>
  <c r="K308" i="7"/>
  <c r="BD237" i="1" s="1"/>
  <c r="BO233" i="5" s="1"/>
  <c r="L308" i="7"/>
  <c r="BE237" i="1" s="1"/>
  <c r="BP233" i="5" s="1"/>
  <c r="M308" i="7"/>
  <c r="N308" i="7"/>
  <c r="BB237" i="1" s="1"/>
  <c r="BM233" i="5" s="1"/>
  <c r="M292" i="7"/>
  <c r="BC241" i="1"/>
  <c r="BN237" i="5" s="1"/>
  <c r="K312" i="7"/>
  <c r="BD241" i="1" s="1"/>
  <c r="BO237" i="5" s="1"/>
  <c r="M312" i="7"/>
  <c r="L312" i="7"/>
  <c r="BE241" i="1" s="1"/>
  <c r="BP237" i="5" s="1"/>
  <c r="N312" i="7"/>
  <c r="BB241" i="1" s="1"/>
  <c r="BM237" i="5" s="1"/>
  <c r="J312" i="7"/>
  <c r="M272" i="7"/>
  <c r="J278" i="7"/>
  <c r="BC207" i="1" s="1"/>
  <c r="BN203" i="5" s="1"/>
  <c r="J281" i="7"/>
  <c r="BC210" i="1" s="1"/>
  <c r="BN206" i="5" s="1"/>
  <c r="K286" i="7"/>
  <c r="BD215" i="1" s="1"/>
  <c r="BO211" i="5" s="1"/>
  <c r="J289" i="7"/>
  <c r="BC218" i="1" s="1"/>
  <c r="BN214" i="5" s="1"/>
  <c r="J291" i="7"/>
  <c r="BC220" i="1" s="1"/>
  <c r="BN216" i="5" s="1"/>
  <c r="N292" i="7"/>
  <c r="BB221" i="1" s="1"/>
  <c r="BM217" i="5" s="1"/>
  <c r="M302" i="7"/>
  <c r="N302" i="7"/>
  <c r="J302" i="7"/>
  <c r="BC231" i="1" s="1"/>
  <c r="BN227" i="5" s="1"/>
  <c r="K302" i="7"/>
  <c r="BD231" i="1" s="1"/>
  <c r="BO227" i="5" s="1"/>
  <c r="L302" i="7"/>
  <c r="K291" i="7"/>
  <c r="BD220" i="1" s="1"/>
  <c r="BO216" i="5" s="1"/>
  <c r="L307" i="7"/>
  <c r="BE236" i="1" s="1"/>
  <c r="BP232" i="5" s="1"/>
  <c r="N307" i="7"/>
  <c r="BB236" i="1" s="1"/>
  <c r="BM232" i="5" s="1"/>
  <c r="M307" i="7"/>
  <c r="J307" i="7"/>
  <c r="BC236" i="1" s="1"/>
  <c r="BN232" i="5" s="1"/>
  <c r="K307" i="7"/>
  <c r="BD236" i="1" s="1"/>
  <c r="BO232" i="5" s="1"/>
  <c r="M136" i="7"/>
  <c r="K136" i="7"/>
  <c r="BD65" i="1" s="1"/>
  <c r="BO61" i="5" s="1"/>
  <c r="M188" i="7"/>
  <c r="L188" i="7"/>
  <c r="BE117" i="1" s="1"/>
  <c r="BP113" i="5" s="1"/>
  <c r="K188" i="7"/>
  <c r="BD117" i="1" s="1"/>
  <c r="BO113" i="5" s="1"/>
  <c r="L233" i="7"/>
  <c r="BE162" i="1" s="1"/>
  <c r="BP158" i="5" s="1"/>
  <c r="N233" i="7"/>
  <c r="BB162" i="1" s="1"/>
  <c r="BM158" i="5" s="1"/>
  <c r="M233" i="7"/>
  <c r="K233" i="7"/>
  <c r="BD162" i="1" s="1"/>
  <c r="BO158" i="5" s="1"/>
  <c r="J248" i="7"/>
  <c r="BC177" i="1" s="1"/>
  <c r="BN173" i="5" s="1"/>
  <c r="N248" i="7"/>
  <c r="BB177" i="1" s="1"/>
  <c r="BM173" i="5" s="1"/>
  <c r="M248" i="7"/>
  <c r="K57" i="7"/>
  <c r="K89" i="7"/>
  <c r="BD18" i="1" s="1"/>
  <c r="BO14" i="5" s="1"/>
  <c r="L104" i="7"/>
  <c r="BE33" i="1" s="1"/>
  <c r="BP29" i="5" s="1"/>
  <c r="M112" i="7"/>
  <c r="K112" i="7"/>
  <c r="BD41" i="1" s="1"/>
  <c r="BO37" i="5" s="1"/>
  <c r="J124" i="7"/>
  <c r="BC53" i="1" s="1"/>
  <c r="BN49" i="5" s="1"/>
  <c r="L136" i="7"/>
  <c r="BE65" i="1" s="1"/>
  <c r="BP61" i="5" s="1"/>
  <c r="M144" i="7"/>
  <c r="K144" i="7"/>
  <c r="BD73" i="1" s="1"/>
  <c r="BO69" i="5" s="1"/>
  <c r="M152" i="7"/>
  <c r="K152" i="7"/>
  <c r="BD81" i="1" s="1"/>
  <c r="BO77" i="5" s="1"/>
  <c r="M160" i="7"/>
  <c r="K160" i="7"/>
  <c r="BD89" i="1" s="1"/>
  <c r="BO85" i="5" s="1"/>
  <c r="J168" i="7"/>
  <c r="BC97" i="1" s="1"/>
  <c r="BN93" i="5" s="1"/>
  <c r="M180" i="7"/>
  <c r="L180" i="7"/>
  <c r="BE109" i="1" s="1"/>
  <c r="BP105" i="5" s="1"/>
  <c r="K180" i="7"/>
  <c r="BD109" i="1" s="1"/>
  <c r="BO105" i="5" s="1"/>
  <c r="N188" i="7"/>
  <c r="BB117" i="1" s="1"/>
  <c r="BM113" i="5" s="1"/>
  <c r="J200" i="7"/>
  <c r="BC129" i="1" s="1"/>
  <c r="BN125" i="5" s="1"/>
  <c r="K245" i="7"/>
  <c r="BD174" i="1" s="1"/>
  <c r="BO170" i="5" s="1"/>
  <c r="L248" i="7"/>
  <c r="BE177" i="1" s="1"/>
  <c r="BP173" i="5" s="1"/>
  <c r="J256" i="7"/>
  <c r="BC185" i="1" s="1"/>
  <c r="BN181" i="5" s="1"/>
  <c r="N256" i="7"/>
  <c r="BB185" i="1" s="1"/>
  <c r="BM181" i="5" s="1"/>
  <c r="M256" i="7"/>
  <c r="L256" i="7"/>
  <c r="BE185" i="1" s="1"/>
  <c r="BP181" i="5" s="1"/>
  <c r="K256" i="7"/>
  <c r="BD185" i="1" s="1"/>
  <c r="BO181" i="5" s="1"/>
  <c r="N259" i="7"/>
  <c r="BB188" i="1" s="1"/>
  <c r="BM184" i="5" s="1"/>
  <c r="M259" i="7"/>
  <c r="L259" i="7"/>
  <c r="BE188" i="1" s="1"/>
  <c r="BP184" i="5" s="1"/>
  <c r="K259" i="7"/>
  <c r="BD188" i="1" s="1"/>
  <c r="BO184" i="5" s="1"/>
  <c r="J259" i="7"/>
  <c r="BC188" i="1" s="1"/>
  <c r="BN184" i="5" s="1"/>
  <c r="BE242" i="1"/>
  <c r="BB242" i="1"/>
  <c r="BM238" i="5" s="1"/>
  <c r="BC242" i="1"/>
  <c r="BN238" i="5" s="1"/>
  <c r="M40" i="7"/>
  <c r="K40" i="7"/>
  <c r="N212" i="7"/>
  <c r="BB141" i="1" s="1"/>
  <c r="BM137" i="5" s="1"/>
  <c r="M212" i="7"/>
  <c r="L212" i="7"/>
  <c r="BE141" i="1" s="1"/>
  <c r="BP137" i="5" s="1"/>
  <c r="K212" i="7"/>
  <c r="BD141" i="1" s="1"/>
  <c r="BO137" i="5" s="1"/>
  <c r="J89" i="7"/>
  <c r="BC18" i="1" s="1"/>
  <c r="BN14" i="5" s="1"/>
  <c r="M92" i="7"/>
  <c r="K92" i="7"/>
  <c r="BD21" i="1" s="1"/>
  <c r="BO17" i="5" s="1"/>
  <c r="J136" i="7"/>
  <c r="BC65" i="1" s="1"/>
  <c r="BN61" i="5" s="1"/>
  <c r="J77" i="7"/>
  <c r="BC6" i="1" s="1"/>
  <c r="BN2" i="5" s="1"/>
  <c r="M80" i="7"/>
  <c r="K80" i="7"/>
  <c r="BD9" i="1" s="1"/>
  <c r="BO5" i="5" s="1"/>
  <c r="N40" i="7"/>
  <c r="K45" i="7"/>
  <c r="L57" i="7"/>
  <c r="L60" i="7"/>
  <c r="J65" i="7"/>
  <c r="M68" i="7"/>
  <c r="K68" i="7"/>
  <c r="K77" i="7"/>
  <c r="BD6" i="1" s="1"/>
  <c r="BO2" i="5" s="1"/>
  <c r="J80" i="7"/>
  <c r="BC9" i="1" s="1"/>
  <c r="BN5" i="5" s="1"/>
  <c r="L89" i="7"/>
  <c r="BE18" i="1" s="1"/>
  <c r="BP14" i="5" s="1"/>
  <c r="L92" i="7"/>
  <c r="BE21" i="1" s="1"/>
  <c r="BP17" i="5" s="1"/>
  <c r="J97" i="7"/>
  <c r="BC26" i="1" s="1"/>
  <c r="BN22" i="5" s="1"/>
  <c r="M100" i="7"/>
  <c r="K100" i="7"/>
  <c r="BD29" i="1" s="1"/>
  <c r="BO25" i="5" s="1"/>
  <c r="J112" i="7"/>
  <c r="BC41" i="1" s="1"/>
  <c r="BN37" i="5" s="1"/>
  <c r="L124" i="7"/>
  <c r="BE53" i="1" s="1"/>
  <c r="BP49" i="5" s="1"/>
  <c r="M132" i="7"/>
  <c r="K132" i="7"/>
  <c r="BD61" i="1" s="1"/>
  <c r="BO57" i="5" s="1"/>
  <c r="N136" i="7"/>
  <c r="BB65" i="1" s="1"/>
  <c r="BM61" i="5" s="1"/>
  <c r="J144" i="7"/>
  <c r="BC73" i="1" s="1"/>
  <c r="BN69" i="5" s="1"/>
  <c r="J152" i="7"/>
  <c r="BC81" i="1" s="1"/>
  <c r="BN77" i="5" s="1"/>
  <c r="J160" i="7"/>
  <c r="BC89" i="1" s="1"/>
  <c r="BN85" i="5" s="1"/>
  <c r="J180" i="7"/>
  <c r="BC109" i="1" s="1"/>
  <c r="BN105" i="5" s="1"/>
  <c r="M192" i="7"/>
  <c r="L192" i="7"/>
  <c r="BE121" i="1" s="1"/>
  <c r="BP117" i="5" s="1"/>
  <c r="K192" i="7"/>
  <c r="BD121" i="1" s="1"/>
  <c r="BO117" i="5" s="1"/>
  <c r="N215" i="7"/>
  <c r="BB144" i="1" s="1"/>
  <c r="BM140" i="5" s="1"/>
  <c r="M215" i="7"/>
  <c r="L215" i="7"/>
  <c r="BE144" i="1" s="1"/>
  <c r="BP140" i="5" s="1"/>
  <c r="K215" i="7"/>
  <c r="BD144" i="1" s="1"/>
  <c r="BO140" i="5" s="1"/>
  <c r="J215" i="7"/>
  <c r="BC144" i="1" s="1"/>
  <c r="BN140" i="5" s="1"/>
  <c r="N218" i="7"/>
  <c r="BB147" i="1" s="1"/>
  <c r="BM143" i="5" s="1"/>
  <c r="M218" i="7"/>
  <c r="L218" i="7"/>
  <c r="BE147" i="1" s="1"/>
  <c r="BP143" i="5" s="1"/>
  <c r="K218" i="7"/>
  <c r="BD147" i="1" s="1"/>
  <c r="BO143" i="5" s="1"/>
  <c r="J218" i="7"/>
  <c r="BC147" i="1" s="1"/>
  <c r="BN143" i="5" s="1"/>
  <c r="N242" i="7"/>
  <c r="BB171" i="1" s="1"/>
  <c r="BM167" i="5" s="1"/>
  <c r="M242" i="7"/>
  <c r="L242" i="7"/>
  <c r="BE171" i="1" s="1"/>
  <c r="BP167" i="5" s="1"/>
  <c r="N262" i="7"/>
  <c r="BB191" i="1" s="1"/>
  <c r="BM187" i="5" s="1"/>
  <c r="M262" i="7"/>
  <c r="L262" i="7"/>
  <c r="BE191" i="1" s="1"/>
  <c r="BP187" i="5" s="1"/>
  <c r="K262" i="7"/>
  <c r="BD191" i="1" s="1"/>
  <c r="BO187" i="5" s="1"/>
  <c r="J262" i="7"/>
  <c r="BC191" i="1" s="1"/>
  <c r="BN187" i="5" s="1"/>
  <c r="N298" i="7"/>
  <c r="BB227" i="1" s="1"/>
  <c r="BM223" i="5" s="1"/>
  <c r="M298" i="7"/>
  <c r="L298" i="7"/>
  <c r="BE227" i="1" s="1"/>
  <c r="BP223" i="5" s="1"/>
  <c r="K298" i="7"/>
  <c r="BD227" i="1" s="1"/>
  <c r="BO223" i="5" s="1"/>
  <c r="J298" i="7"/>
  <c r="BC227" i="1" s="1"/>
  <c r="BN223" i="5" s="1"/>
  <c r="M72" i="7"/>
  <c r="K72" i="7"/>
  <c r="K248" i="7"/>
  <c r="BD177" i="1" s="1"/>
  <c r="BO173" i="5" s="1"/>
  <c r="J60" i="7"/>
  <c r="L72" i="7"/>
  <c r="M28" i="7"/>
  <c r="J30" i="7"/>
  <c r="J48" i="7"/>
  <c r="N28" i="7"/>
  <c r="K30" i="7"/>
  <c r="K33" i="7"/>
  <c r="L45" i="7"/>
  <c r="J53" i="7"/>
  <c r="M56" i="7"/>
  <c r="K56" i="7"/>
  <c r="N57" i="7"/>
  <c r="K65" i="7"/>
  <c r="J68" i="7"/>
  <c r="L77" i="7"/>
  <c r="BE6" i="1" s="1"/>
  <c r="BP2" i="5" s="1"/>
  <c r="L80" i="7"/>
  <c r="BE9" i="1" s="1"/>
  <c r="BP5" i="5" s="1"/>
  <c r="J85" i="7"/>
  <c r="BC14" i="1" s="1"/>
  <c r="BN10" i="5" s="1"/>
  <c r="M88" i="7"/>
  <c r="K88" i="7"/>
  <c r="BD17" i="1" s="1"/>
  <c r="BO13" i="5" s="1"/>
  <c r="N89" i="7"/>
  <c r="BB18" i="1" s="1"/>
  <c r="BM14" i="5" s="1"/>
  <c r="N92" i="7"/>
  <c r="BB21" i="1" s="1"/>
  <c r="BM17" i="5" s="1"/>
  <c r="K97" i="7"/>
  <c r="BD26" i="1" s="1"/>
  <c r="BO22" i="5" s="1"/>
  <c r="J100" i="7"/>
  <c r="BC29" i="1" s="1"/>
  <c r="BN25" i="5" s="1"/>
  <c r="L112" i="7"/>
  <c r="BE41" i="1" s="1"/>
  <c r="BP37" i="5" s="1"/>
  <c r="M120" i="7"/>
  <c r="K120" i="7"/>
  <c r="BD49" i="1" s="1"/>
  <c r="BO45" i="5" s="1"/>
  <c r="J132" i="7"/>
  <c r="BC61" i="1" s="1"/>
  <c r="BN57" i="5" s="1"/>
  <c r="L144" i="7"/>
  <c r="BE73" i="1" s="1"/>
  <c r="BP69" i="5" s="1"/>
  <c r="L152" i="7"/>
  <c r="BE81" i="1" s="1"/>
  <c r="BP77" i="5" s="1"/>
  <c r="L160" i="7"/>
  <c r="BE89" i="1" s="1"/>
  <c r="BP85" i="5" s="1"/>
  <c r="M172" i="7"/>
  <c r="L172" i="7"/>
  <c r="BE101" i="1" s="1"/>
  <c r="BP97" i="5" s="1"/>
  <c r="K172" i="7"/>
  <c r="BD101" i="1" s="1"/>
  <c r="BO97" i="5" s="1"/>
  <c r="N180" i="7"/>
  <c r="BB109" i="1" s="1"/>
  <c r="BM105" i="5" s="1"/>
  <c r="J192" i="7"/>
  <c r="BC121" i="1" s="1"/>
  <c r="BN117" i="5" s="1"/>
  <c r="N204" i="7"/>
  <c r="BB133" i="1" s="1"/>
  <c r="BM129" i="5" s="1"/>
  <c r="M204" i="7"/>
  <c r="L204" i="7"/>
  <c r="BE133" i="1" s="1"/>
  <c r="BP129" i="5" s="1"/>
  <c r="K204" i="7"/>
  <c r="BD133" i="1" s="1"/>
  <c r="BO129" i="5" s="1"/>
  <c r="J216" i="7"/>
  <c r="BC145" i="1" s="1"/>
  <c r="BN141" i="5" s="1"/>
  <c r="N216" i="7"/>
  <c r="BB145" i="1" s="1"/>
  <c r="BM141" i="5" s="1"/>
  <c r="M216" i="7"/>
  <c r="J236" i="7"/>
  <c r="BC165" i="1" s="1"/>
  <c r="BN161" i="5" s="1"/>
  <c r="N236" i="7"/>
  <c r="BB165" i="1" s="1"/>
  <c r="BM161" i="5" s="1"/>
  <c r="M236" i="7"/>
  <c r="L236" i="7"/>
  <c r="BE165" i="1" s="1"/>
  <c r="BP161" i="5" s="1"/>
  <c r="J242" i="7"/>
  <c r="BC171" i="1" s="1"/>
  <c r="BN167" i="5" s="1"/>
  <c r="L265" i="7"/>
  <c r="BE194" i="1" s="1"/>
  <c r="BP190" i="5" s="1"/>
  <c r="N265" i="7"/>
  <c r="BB194" i="1" s="1"/>
  <c r="BM190" i="5" s="1"/>
  <c r="M265" i="7"/>
  <c r="K265" i="7"/>
  <c r="BD194" i="1" s="1"/>
  <c r="BO190" i="5" s="1"/>
  <c r="J265" i="7"/>
  <c r="BC194" i="1" s="1"/>
  <c r="BN190" i="5" s="1"/>
  <c r="M104" i="7"/>
  <c r="K104" i="7"/>
  <c r="BD33" i="1" s="1"/>
  <c r="BO29" i="5" s="1"/>
  <c r="L245" i="7"/>
  <c r="BE174" i="1" s="1"/>
  <c r="BP170" i="5" s="1"/>
  <c r="N245" i="7"/>
  <c r="BB174" i="1" s="1"/>
  <c r="BM170" i="5" s="1"/>
  <c r="M245" i="7"/>
  <c r="J104" i="7"/>
  <c r="BC33" i="1" s="1"/>
  <c r="BN29" i="5" s="1"/>
  <c r="M200" i="7"/>
  <c r="L200" i="7"/>
  <c r="BE129" i="1" s="1"/>
  <c r="BP125" i="5" s="1"/>
  <c r="K200" i="7"/>
  <c r="BD129" i="1" s="1"/>
  <c r="BO125" i="5" s="1"/>
  <c r="J212" i="7"/>
  <c r="BC141" i="1" s="1"/>
  <c r="BN137" i="5" s="1"/>
  <c r="J233" i="7"/>
  <c r="BC162" i="1" s="1"/>
  <c r="BN158" i="5" s="1"/>
  <c r="L40" i="7"/>
  <c r="J45" i="7"/>
  <c r="M48" i="7"/>
  <c r="K48" i="7"/>
  <c r="J33" i="7"/>
  <c r="M36" i="7"/>
  <c r="K36" i="7"/>
  <c r="L30" i="7"/>
  <c r="L33" i="7"/>
  <c r="L36" i="7"/>
  <c r="M44" i="7"/>
  <c r="K44" i="7"/>
  <c r="N45" i="7"/>
  <c r="N48" i="7"/>
  <c r="K53" i="7"/>
  <c r="L65" i="7"/>
  <c r="L68" i="7"/>
  <c r="M76" i="7"/>
  <c r="K76" i="7"/>
  <c r="N77" i="7"/>
  <c r="BB6" i="1" s="1"/>
  <c r="BM2" i="5" s="1"/>
  <c r="N80" i="7"/>
  <c r="BB9" i="1" s="1"/>
  <c r="BM5" i="5" s="1"/>
  <c r="K85" i="7"/>
  <c r="BD14" i="1" s="1"/>
  <c r="BO10" i="5" s="1"/>
  <c r="L97" i="7"/>
  <c r="BE26" i="1" s="1"/>
  <c r="BP22" i="5" s="1"/>
  <c r="L100" i="7"/>
  <c r="BE29" i="1" s="1"/>
  <c r="BP25" i="5" s="1"/>
  <c r="M108" i="7"/>
  <c r="K108" i="7"/>
  <c r="BD37" i="1" s="1"/>
  <c r="BO33" i="5" s="1"/>
  <c r="N112" i="7"/>
  <c r="BB41" i="1" s="1"/>
  <c r="BM37" i="5" s="1"/>
  <c r="L132" i="7"/>
  <c r="BE61" i="1" s="1"/>
  <c r="BP57" i="5" s="1"/>
  <c r="M140" i="7"/>
  <c r="K140" i="7"/>
  <c r="BD69" i="1" s="1"/>
  <c r="BO65" i="5" s="1"/>
  <c r="N144" i="7"/>
  <c r="BB73" i="1" s="1"/>
  <c r="BM69" i="5" s="1"/>
  <c r="N152" i="7"/>
  <c r="BB81" i="1" s="1"/>
  <c r="BM77" i="5" s="1"/>
  <c r="N160" i="7"/>
  <c r="BB89" i="1" s="1"/>
  <c r="BM85" i="5" s="1"/>
  <c r="J172" i="7"/>
  <c r="BC101" i="1" s="1"/>
  <c r="BN97" i="5" s="1"/>
  <c r="M184" i="7"/>
  <c r="L184" i="7"/>
  <c r="BE113" i="1" s="1"/>
  <c r="BP109" i="5" s="1"/>
  <c r="K184" i="7"/>
  <c r="BD113" i="1" s="1"/>
  <c r="BO109" i="5" s="1"/>
  <c r="N192" i="7"/>
  <c r="BB121" i="1" s="1"/>
  <c r="BM117" i="5" s="1"/>
  <c r="J204" i="7"/>
  <c r="BC133" i="1" s="1"/>
  <c r="BN129" i="5" s="1"/>
  <c r="K216" i="7"/>
  <c r="BD145" i="1" s="1"/>
  <c r="BO141" i="5" s="1"/>
  <c r="L221" i="7"/>
  <c r="BE150" i="1" s="1"/>
  <c r="BP146" i="5" s="1"/>
  <c r="N221" i="7"/>
  <c r="BB150" i="1" s="1"/>
  <c r="BM146" i="5" s="1"/>
  <c r="M221" i="7"/>
  <c r="K221" i="7"/>
  <c r="BD150" i="1" s="1"/>
  <c r="BO146" i="5" s="1"/>
  <c r="J221" i="7"/>
  <c r="BC150" i="1" s="1"/>
  <c r="BN146" i="5" s="1"/>
  <c r="K236" i="7"/>
  <c r="BD165" i="1" s="1"/>
  <c r="BO161" i="5" s="1"/>
  <c r="K242" i="7"/>
  <c r="BD171" i="1" s="1"/>
  <c r="BO167" i="5" s="1"/>
  <c r="J57" i="7"/>
  <c r="M60" i="7"/>
  <c r="K60" i="7"/>
  <c r="J72" i="7"/>
  <c r="M124" i="7"/>
  <c r="K124" i="7"/>
  <c r="BD53" i="1" s="1"/>
  <c r="BO49" i="5" s="1"/>
  <c r="L253" i="7"/>
  <c r="BE182" i="1" s="1"/>
  <c r="BP178" i="5" s="1"/>
  <c r="N253" i="7"/>
  <c r="BB182" i="1" s="1"/>
  <c r="BM178" i="5" s="1"/>
  <c r="M253" i="7"/>
  <c r="K253" i="7"/>
  <c r="BD182" i="1" s="1"/>
  <c r="BO178" i="5" s="1"/>
  <c r="J253" i="7"/>
  <c r="BC182" i="1" s="1"/>
  <c r="BN178" i="5" s="1"/>
  <c r="L28" i="7"/>
  <c r="M32" i="7"/>
  <c r="K32" i="7"/>
  <c r="M64" i="7"/>
  <c r="K64" i="7"/>
  <c r="N65" i="7"/>
  <c r="L85" i="7"/>
  <c r="BE14" i="1" s="1"/>
  <c r="BP10" i="5" s="1"/>
  <c r="M96" i="7"/>
  <c r="K96" i="7"/>
  <c r="BD25" i="1" s="1"/>
  <c r="BO21" i="5" s="1"/>
  <c r="N97" i="7"/>
  <c r="BB26" i="1" s="1"/>
  <c r="BM22" i="5" s="1"/>
  <c r="N100" i="7"/>
  <c r="BB29" i="1" s="1"/>
  <c r="BM25" i="5" s="1"/>
  <c r="M128" i="7"/>
  <c r="K128" i="7"/>
  <c r="BD57" i="1" s="1"/>
  <c r="BO53" i="5" s="1"/>
  <c r="N132" i="7"/>
  <c r="BB61" i="1" s="1"/>
  <c r="BM57" i="5" s="1"/>
  <c r="M148" i="7"/>
  <c r="K148" i="7"/>
  <c r="BD77" i="1" s="1"/>
  <c r="BO73" i="5" s="1"/>
  <c r="M156" i="7"/>
  <c r="K156" i="7"/>
  <c r="BD85" i="1" s="1"/>
  <c r="BO81" i="5" s="1"/>
  <c r="M164" i="7"/>
  <c r="L164" i="7"/>
  <c r="BE93" i="1" s="1"/>
  <c r="BP89" i="5" s="1"/>
  <c r="K164" i="7"/>
  <c r="BD93" i="1" s="1"/>
  <c r="BO89" i="5" s="1"/>
  <c r="N172" i="7"/>
  <c r="BB101" i="1" s="1"/>
  <c r="BM97" i="5" s="1"/>
  <c r="J184" i="7"/>
  <c r="BC113" i="1" s="1"/>
  <c r="BN109" i="5" s="1"/>
  <c r="M196" i="7"/>
  <c r="L196" i="7"/>
  <c r="BE125" i="1" s="1"/>
  <c r="BP121" i="5" s="1"/>
  <c r="K196" i="7"/>
  <c r="BD125" i="1" s="1"/>
  <c r="BO121" i="5" s="1"/>
  <c r="N208" i="7"/>
  <c r="BB137" i="1" s="1"/>
  <c r="BM133" i="5" s="1"/>
  <c r="M208" i="7"/>
  <c r="L208" i="7"/>
  <c r="BE137" i="1" s="1"/>
  <c r="BP133" i="5" s="1"/>
  <c r="K208" i="7"/>
  <c r="BD137" i="1" s="1"/>
  <c r="BO133" i="5" s="1"/>
  <c r="L216" i="7"/>
  <c r="BE145" i="1" s="1"/>
  <c r="BP141" i="5" s="1"/>
  <c r="J224" i="7"/>
  <c r="BC153" i="1" s="1"/>
  <c r="BN149" i="5" s="1"/>
  <c r="N224" i="7"/>
  <c r="BB153" i="1" s="1"/>
  <c r="BM149" i="5" s="1"/>
  <c r="M224" i="7"/>
  <c r="L224" i="7"/>
  <c r="BE153" i="1" s="1"/>
  <c r="BP149" i="5" s="1"/>
  <c r="K224" i="7"/>
  <c r="BD153" i="1" s="1"/>
  <c r="BO149" i="5" s="1"/>
  <c r="N227" i="7"/>
  <c r="BB156" i="1" s="1"/>
  <c r="BM152" i="5" s="1"/>
  <c r="M227" i="7"/>
  <c r="L227" i="7"/>
  <c r="BE156" i="1" s="1"/>
  <c r="BP152" i="5" s="1"/>
  <c r="K227" i="7"/>
  <c r="BD156" i="1" s="1"/>
  <c r="BO152" i="5" s="1"/>
  <c r="J28" i="7"/>
  <c r="M168" i="7"/>
  <c r="L168" i="7"/>
  <c r="BE97" i="1" s="1"/>
  <c r="BP93" i="5" s="1"/>
  <c r="K168" i="7"/>
  <c r="BD97" i="1" s="1"/>
  <c r="BO93" i="5" s="1"/>
  <c r="J188" i="7"/>
  <c r="BC117" i="1" s="1"/>
  <c r="BN113" i="5" s="1"/>
  <c r="M30" i="7"/>
  <c r="N33" i="7"/>
  <c r="K29" i="7"/>
  <c r="J32" i="7"/>
  <c r="L44" i="7"/>
  <c r="J49" i="7"/>
  <c r="M52" i="7"/>
  <c r="K52" i="7"/>
  <c r="N53" i="7"/>
  <c r="K61" i="7"/>
  <c r="J64" i="7"/>
  <c r="L73" i="7"/>
  <c r="L76" i="7"/>
  <c r="J81" i="7"/>
  <c r="BC10" i="1" s="1"/>
  <c r="BN6" i="5" s="1"/>
  <c r="M84" i="7"/>
  <c r="K84" i="7"/>
  <c r="BD13" i="1" s="1"/>
  <c r="BO9" i="5" s="1"/>
  <c r="N85" i="7"/>
  <c r="BB14" i="1" s="1"/>
  <c r="BM10" i="5" s="1"/>
  <c r="K93" i="7"/>
  <c r="BD22" i="1" s="1"/>
  <c r="BO18" i="5" s="1"/>
  <c r="J96" i="7"/>
  <c r="BC25" i="1" s="1"/>
  <c r="BN21" i="5" s="1"/>
  <c r="L108" i="7"/>
  <c r="BE37" i="1" s="1"/>
  <c r="BP33" i="5" s="1"/>
  <c r="M116" i="7"/>
  <c r="K116" i="7"/>
  <c r="BD45" i="1" s="1"/>
  <c r="BO41" i="5" s="1"/>
  <c r="J128" i="7"/>
  <c r="BC57" i="1" s="1"/>
  <c r="BN53" i="5" s="1"/>
  <c r="L140" i="7"/>
  <c r="BE69" i="1" s="1"/>
  <c r="BP65" i="5" s="1"/>
  <c r="J148" i="7"/>
  <c r="BC77" i="1" s="1"/>
  <c r="BN73" i="5" s="1"/>
  <c r="J156" i="7"/>
  <c r="BC85" i="1" s="1"/>
  <c r="BN81" i="5" s="1"/>
  <c r="J164" i="7"/>
  <c r="BC93" i="1" s="1"/>
  <c r="BN89" i="5" s="1"/>
  <c r="M176" i="7"/>
  <c r="L176" i="7"/>
  <c r="BE105" i="1" s="1"/>
  <c r="BP101" i="5" s="1"/>
  <c r="K176" i="7"/>
  <c r="BD105" i="1" s="1"/>
  <c r="BO101" i="5" s="1"/>
  <c r="N184" i="7"/>
  <c r="BB113" i="1" s="1"/>
  <c r="BM109" i="5" s="1"/>
  <c r="J196" i="7"/>
  <c r="BC125" i="1" s="1"/>
  <c r="BN121" i="5" s="1"/>
  <c r="J208" i="7"/>
  <c r="BC137" i="1" s="1"/>
  <c r="BN133" i="5" s="1"/>
  <c r="J227" i="7"/>
  <c r="BC156" i="1" s="1"/>
  <c r="BN152" i="5" s="1"/>
  <c r="N230" i="7"/>
  <c r="BB159" i="1" s="1"/>
  <c r="BM155" i="5" s="1"/>
  <c r="M230" i="7"/>
  <c r="L230" i="7"/>
  <c r="BE159" i="1" s="1"/>
  <c r="BP155" i="5" s="1"/>
  <c r="K230" i="7"/>
  <c r="BD159" i="1" s="1"/>
  <c r="BO155" i="5" s="1"/>
  <c r="N239" i="7"/>
  <c r="BB168" i="1" s="1"/>
  <c r="BM164" i="5" s="1"/>
  <c r="M239" i="7"/>
  <c r="L239" i="7"/>
  <c r="BE168" i="1" s="1"/>
  <c r="BP164" i="5" s="1"/>
  <c r="N247" i="7"/>
  <c r="BB176" i="1" s="1"/>
  <c r="BM172" i="5" s="1"/>
  <c r="M247" i="7"/>
  <c r="L247" i="7"/>
  <c r="BE176" i="1" s="1"/>
  <c r="BP172" i="5" s="1"/>
  <c r="K247" i="7"/>
  <c r="BD176" i="1" s="1"/>
  <c r="BO172" i="5" s="1"/>
  <c r="J247" i="7"/>
  <c r="BC176" i="1" s="1"/>
  <c r="BN172" i="5" s="1"/>
  <c r="N250" i="7"/>
  <c r="BB179" i="1" s="1"/>
  <c r="BM175" i="5" s="1"/>
  <c r="M250" i="7"/>
  <c r="L250" i="7"/>
  <c r="BE179" i="1" s="1"/>
  <c r="BP175" i="5" s="1"/>
  <c r="K250" i="7"/>
  <c r="BD179" i="1" s="1"/>
  <c r="BO175" i="5" s="1"/>
  <c r="J250" i="7"/>
  <c r="BC179" i="1" s="1"/>
  <c r="BN175" i="5" s="1"/>
  <c r="J268" i="7"/>
  <c r="BC197" i="1" s="1"/>
  <c r="BN193" i="5" s="1"/>
  <c r="N268" i="7"/>
  <c r="BB197" i="1" s="1"/>
  <c r="BM193" i="5" s="1"/>
  <c r="M268" i="7"/>
  <c r="L268" i="7"/>
  <c r="BE197" i="1" s="1"/>
  <c r="BP193" i="5" s="1"/>
  <c r="K268" i="7"/>
  <c r="BD197" i="1" s="1"/>
  <c r="BO193" i="5" s="1"/>
  <c r="L293" i="7"/>
  <c r="BE222" i="1" s="1"/>
  <c r="BP218" i="5" s="1"/>
  <c r="K293" i="7"/>
  <c r="BD222" i="1" s="1"/>
  <c r="BO218" i="5" s="1"/>
  <c r="BB239" i="1"/>
  <c r="BM235" i="5" s="1"/>
  <c r="M222" i="7"/>
  <c r="N225" i="7"/>
  <c r="BB154" i="1" s="1"/>
  <c r="BM150" i="5" s="1"/>
  <c r="N228" i="7"/>
  <c r="BB157" i="1" s="1"/>
  <c r="BM153" i="5" s="1"/>
  <c r="N231" i="7"/>
  <c r="BB160" i="1" s="1"/>
  <c r="BM156" i="5" s="1"/>
  <c r="M254" i="7"/>
  <c r="N257" i="7"/>
  <c r="BB186" i="1" s="1"/>
  <c r="BM182" i="5" s="1"/>
  <c r="N260" i="7"/>
  <c r="BB189" i="1" s="1"/>
  <c r="BM185" i="5" s="1"/>
  <c r="N263" i="7"/>
  <c r="BB192" i="1" s="1"/>
  <c r="BM188" i="5" s="1"/>
  <c r="L271" i="7"/>
  <c r="BE200" i="1" s="1"/>
  <c r="BP196" i="5" s="1"/>
  <c r="L274" i="7"/>
  <c r="BE203" i="1" s="1"/>
  <c r="BP199" i="5" s="1"/>
  <c r="M277" i="7"/>
  <c r="J279" i="7"/>
  <c r="BC208" i="1" s="1"/>
  <c r="BN204" i="5" s="1"/>
  <c r="M280" i="7"/>
  <c r="J282" i="7"/>
  <c r="BC211" i="1" s="1"/>
  <c r="BN207" i="5" s="1"/>
  <c r="J285" i="7"/>
  <c r="BC214" i="1" s="1"/>
  <c r="BN210" i="5" s="1"/>
  <c r="M286" i="7"/>
  <c r="K288" i="7"/>
  <c r="BD217" i="1" s="1"/>
  <c r="BO213" i="5" s="1"/>
  <c r="N290" i="7"/>
  <c r="BB219" i="1" s="1"/>
  <c r="BM215" i="5" s="1"/>
  <c r="M290" i="7"/>
  <c r="J293" i="7"/>
  <c r="BC222" i="1" s="1"/>
  <c r="BN218" i="5" s="1"/>
  <c r="J295" i="7"/>
  <c r="BC224" i="1" s="1"/>
  <c r="BN220" i="5" s="1"/>
  <c r="BE232" i="1"/>
  <c r="BP228" i="5" s="1"/>
  <c r="BE234" i="1"/>
  <c r="BP230" i="5" s="1"/>
  <c r="BC239" i="1"/>
  <c r="BN235" i="5" s="1"/>
  <c r="BB240" i="1"/>
  <c r="BM236" i="5" s="1"/>
  <c r="M271" i="7"/>
  <c r="M274" i="7"/>
  <c r="N277" i="7"/>
  <c r="BB206" i="1" s="1"/>
  <c r="BM202" i="5" s="1"/>
  <c r="K279" i="7"/>
  <c r="BD208" i="1" s="1"/>
  <c r="BO204" i="5" s="1"/>
  <c r="N280" i="7"/>
  <c r="BB209" i="1" s="1"/>
  <c r="BM205" i="5" s="1"/>
  <c r="K282" i="7"/>
  <c r="BD211" i="1" s="1"/>
  <c r="BO207" i="5" s="1"/>
  <c r="K285" i="7"/>
  <c r="BD214" i="1" s="1"/>
  <c r="BO210" i="5" s="1"/>
  <c r="L288" i="7"/>
  <c r="BE217" i="1" s="1"/>
  <c r="BP213" i="5" s="1"/>
  <c r="M293" i="7"/>
  <c r="K295" i="7"/>
  <c r="BD224" i="1" s="1"/>
  <c r="BO220" i="5" s="1"/>
  <c r="BB231" i="1"/>
  <c r="BM227" i="5" s="1"/>
  <c r="BD239" i="1"/>
  <c r="BO235" i="5" s="1"/>
  <c r="J223" i="7"/>
  <c r="BC152" i="1" s="1"/>
  <c r="BN148" i="5" s="1"/>
  <c r="J226" i="7"/>
  <c r="BC155" i="1" s="1"/>
  <c r="BN151" i="5" s="1"/>
  <c r="J229" i="7"/>
  <c r="BC158" i="1" s="1"/>
  <c r="BN154" i="5" s="1"/>
  <c r="K232" i="7"/>
  <c r="BD161" i="1" s="1"/>
  <c r="BO157" i="5" s="1"/>
  <c r="J255" i="7"/>
  <c r="BC184" i="1" s="1"/>
  <c r="BN180" i="5" s="1"/>
  <c r="J258" i="7"/>
  <c r="BC187" i="1" s="1"/>
  <c r="BN183" i="5" s="1"/>
  <c r="L279" i="7"/>
  <c r="BE208" i="1" s="1"/>
  <c r="BP204" i="5" s="1"/>
  <c r="L282" i="7"/>
  <c r="BE211" i="1" s="1"/>
  <c r="BP207" i="5" s="1"/>
  <c r="M285" i="7"/>
  <c r="J287" i="7"/>
  <c r="BC216" i="1" s="1"/>
  <c r="BN212" i="5" s="1"/>
  <c r="M288" i="7"/>
  <c r="N293" i="7"/>
  <c r="BB222" i="1" s="1"/>
  <c r="BM218" i="5" s="1"/>
  <c r="L295" i="7"/>
  <c r="BE224" i="1" s="1"/>
  <c r="BP220" i="5" s="1"/>
  <c r="L297" i="7"/>
  <c r="BE226" i="1" s="1"/>
  <c r="BP222" i="5" s="1"/>
  <c r="K297" i="7"/>
  <c r="BD226" i="1" s="1"/>
  <c r="BO222" i="5" s="1"/>
  <c r="BE239" i="1"/>
  <c r="BP235" i="5" s="1"/>
  <c r="M279" i="7"/>
  <c r="M282" i="7"/>
  <c r="N285" i="7"/>
  <c r="BB214" i="1" s="1"/>
  <c r="BM210" i="5" s="1"/>
  <c r="N288" i="7"/>
  <c r="BB217" i="1" s="1"/>
  <c r="BM213" i="5" s="1"/>
  <c r="N294" i="7"/>
  <c r="BB223" i="1" s="1"/>
  <c r="BM219" i="5" s="1"/>
  <c r="M294" i="7"/>
  <c r="M295" i="7"/>
  <c r="BE238" i="1"/>
  <c r="BP234" i="5" s="1"/>
  <c r="BD238" i="1"/>
  <c r="BO234" i="5" s="1"/>
  <c r="K214" i="7"/>
  <c r="BD143" i="1" s="1"/>
  <c r="BO139" i="5" s="1"/>
  <c r="K217" i="7"/>
  <c r="BD146" i="1" s="1"/>
  <c r="BO142" i="5" s="1"/>
  <c r="L220" i="7"/>
  <c r="BE149" i="1" s="1"/>
  <c r="BP145" i="5" s="1"/>
  <c r="L226" i="7"/>
  <c r="BE155" i="1" s="1"/>
  <c r="BP151" i="5" s="1"/>
  <c r="M229" i="7"/>
  <c r="M232" i="7"/>
  <c r="J234" i="7"/>
  <c r="BC163" i="1" s="1"/>
  <c r="BN159" i="5" s="1"/>
  <c r="J237" i="7"/>
  <c r="BC166" i="1" s="1"/>
  <c r="BN162" i="5" s="1"/>
  <c r="K240" i="7"/>
  <c r="BD169" i="1" s="1"/>
  <c r="BO165" i="5" s="1"/>
  <c r="K246" i="7"/>
  <c r="BD175" i="1" s="1"/>
  <c r="BO171" i="5" s="1"/>
  <c r="K249" i="7"/>
  <c r="BD178" i="1" s="1"/>
  <c r="BO174" i="5" s="1"/>
  <c r="L252" i="7"/>
  <c r="BE181" i="1" s="1"/>
  <c r="BP177" i="5" s="1"/>
  <c r="L258" i="7"/>
  <c r="BE187" i="1" s="1"/>
  <c r="BP183" i="5" s="1"/>
  <c r="M261" i="7"/>
  <c r="M264" i="7"/>
  <c r="J266" i="7"/>
  <c r="BC195" i="1" s="1"/>
  <c r="BN191" i="5" s="1"/>
  <c r="J269" i="7"/>
  <c r="BC198" i="1" s="1"/>
  <c r="BN194" i="5" s="1"/>
  <c r="K272" i="7"/>
  <c r="BD201" i="1" s="1"/>
  <c r="BO197" i="5" s="1"/>
  <c r="K278" i="7"/>
  <c r="BD207" i="1" s="1"/>
  <c r="BO203" i="5" s="1"/>
  <c r="K281" i="7"/>
  <c r="BD210" i="1" s="1"/>
  <c r="BO206" i="5" s="1"/>
  <c r="L284" i="7"/>
  <c r="BE213" i="1" s="1"/>
  <c r="BP209" i="5" s="1"/>
  <c r="L289" i="7"/>
  <c r="BE218" i="1" s="1"/>
  <c r="BP214" i="5" s="1"/>
  <c r="K289" i="7"/>
  <c r="BD218" i="1" s="1"/>
  <c r="BO214" i="5" s="1"/>
  <c r="J294" i="7"/>
  <c r="BC223" i="1" s="1"/>
  <c r="BN219" i="5" s="1"/>
  <c r="M297" i="7"/>
  <c r="BE231" i="1"/>
  <c r="BP227" i="5" s="1"/>
  <c r="BB235" i="1"/>
  <c r="BM231" i="5" s="1"/>
  <c r="BC238" i="1"/>
  <c r="BN234" i="5" s="1"/>
  <c r="K294" i="7"/>
  <c r="BD223" i="1" s="1"/>
  <c r="BO219" i="5" s="1"/>
  <c r="BE230" i="1"/>
  <c r="BP226" i="5" s="1"/>
  <c r="BD230" i="1"/>
  <c r="BO226" i="5" s="1"/>
  <c r="L14" i="6" l="1"/>
  <c r="K14" i="6"/>
  <c r="J14" i="6"/>
  <c r="I14" i="6"/>
  <c r="H14" i="6"/>
  <c r="G14" i="6"/>
  <c r="F14" i="6"/>
  <c r="E14" i="6"/>
  <c r="D14" i="6"/>
  <c r="L9" i="6"/>
  <c r="K9" i="6"/>
  <c r="J9" i="6"/>
  <c r="I9" i="6"/>
  <c r="H9" i="6"/>
  <c r="G9" i="6"/>
  <c r="F9" i="6"/>
  <c r="E9" i="6"/>
  <c r="D9" i="6"/>
  <c r="L8" i="6"/>
  <c r="K8" i="6"/>
  <c r="J8" i="6"/>
  <c r="I8" i="6"/>
  <c r="H8" i="6"/>
  <c r="G8" i="6"/>
  <c r="F8" i="6"/>
  <c r="E8" i="6"/>
  <c r="D8" i="6"/>
  <c r="L7" i="6"/>
  <c r="K7" i="6"/>
  <c r="J7" i="6"/>
  <c r="I7" i="6"/>
  <c r="H7" i="6"/>
  <c r="G7" i="6"/>
  <c r="F7" i="6"/>
  <c r="E7" i="6"/>
  <c r="D7" i="6"/>
  <c r="L5" i="6"/>
  <c r="K5" i="6"/>
  <c r="J5" i="6"/>
  <c r="I5" i="6"/>
  <c r="H5" i="6"/>
  <c r="G5" i="6"/>
  <c r="F5" i="6"/>
  <c r="E5" i="6"/>
  <c r="D5" i="6"/>
  <c r="D4" i="6"/>
  <c r="E4" i="6" s="1"/>
  <c r="F4" i="6" s="1"/>
  <c r="G4" i="6" s="1"/>
  <c r="H4" i="6" s="1"/>
  <c r="I4" i="6" s="1"/>
  <c r="J4" i="6" s="1"/>
  <c r="K4" i="6" s="1"/>
  <c r="L4" i="6" s="1"/>
  <c r="I17" i="6"/>
  <c r="B17" i="6"/>
  <c r="G17" i="6"/>
  <c r="K17" i="6"/>
  <c r="F17" i="6"/>
  <c r="H17" i="6"/>
  <c r="E17" i="6"/>
  <c r="L17" i="6"/>
  <c r="J17" i="6"/>
  <c r="D17" i="6"/>
  <c r="D16" i="6"/>
  <c r="D15" i="6"/>
  <c r="G16" i="6"/>
  <c r="E16" i="6"/>
  <c r="I15" i="6"/>
  <c r="G15" i="6"/>
  <c r="K15" i="6"/>
  <c r="H16" i="6"/>
  <c r="L15" i="6"/>
  <c r="F15" i="6"/>
  <c r="J16" i="6"/>
  <c r="K16" i="6"/>
  <c r="I16" i="6"/>
  <c r="C16" i="6"/>
  <c r="E15" i="6"/>
  <c r="C15" i="6"/>
  <c r="F16" i="6"/>
  <c r="H15" i="6"/>
  <c r="L16" i="6"/>
  <c r="J15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Rivera Greenwood, Daniel</author>
  </authors>
  <commentList>
    <comment ref="A1" authorId="0" shapeId="0" xr:uid="{35635674-F553-4269-850D-B8189B6C8D99}">
      <text>
        <r>
          <rPr>
            <b/>
            <sz val="9"/>
            <color indexed="81"/>
            <rFont val="Tahoma"/>
            <family val="2"/>
          </rPr>
          <t>oVUAAB+LCAAAAAAABADtXGtz2kgW/SsqquZbMJJ4GaqjKQx4hlljPEAmyX5JCakxvRYSq4dt/v3efkhqJGGQnUx5NnK5Evd99OOq+95zhN3o1+etozxiPyCe+7GmXag1BbuWZxP3/mMtCtd1rVP71UDjZws7d6ZvbnEIxgp4uUH/ObA/1jZhuOs3Gk9PTxdPzQvPv2/oqqo1vkxvFtYGb81aYkxOG9eJG4Sma+GagYYb073HIzPEM9/GPu/mY22ymFwMMbFAYU5N17zH/sVVFBAXB8HYDUlIcFAz1qYTYNTI9GGga+IH4ZJs8WyH3RviPryq21wv8WxnPsFuaIYQzTfMV+ol7vjKc+xFuHfwG7pN+oBO7e0Uh6YNzuU6REMfQzSHo+lffNMY+kXnQoMhsvLU8ioijs3tDiy5XNjRZ0Qjauiq1qtrar2pLbV2v9Xrt9sX7Uvt37FjYog+7ezsVNoXWhs1corUNJ4LNbzQWpKtmA1vS7PR1bqq13V1qTX7rVZfVS86l1qn2evU1Ta04h6y02InRoyvNAx0YwbhAvuPxGJmi9Dc7ljvqq61tLZ2qcPEC41g4enTMtAcr8wA22AGD6TUw6PTmDn2HD8S6GCIHae8P1vWwCq/weHBS76iozfM4Tff3G2WJCx5Iqj/tedjCyL9utFv8dPMFzFc7m5AvdwQP9yPzH35zj4F2J/taETK+Rpo5LnhwMF+yLeb2A9G6Edw3o8oU6cRCSz4mbgRtuMkUaxE3HdiQ0Yia4L9OzOEEgDzbUj9caM53jmmhbdgmus0b5F6z/Hax8FmEW23pr/PuWbUqd8gCj2hzDnJOvTZ8x+CHQx8CwWMT/zJdTwT0iFk2SAkVhq5nALd+d4OeoTp0wx6DSMI4wJF0vPEhY1Cx73yvId0dkVKxPYy29WwNbdmErycHC023tPMdfaLaBVYPllhe3QVWxfqEM1LwnsYBaG3hVmkIsRlkmQ6bezhC5JOVoNG2CJb07mjTzAwIHceChAN+ZqEQ8+Jtm4QTysjRZ9hUUv8nCwyaSOp7E3c2J5HulB16DD3npIx8wrEMUAiHgRW/MTziqzxCGTxE8xr2EOhq7wmDpwM+XFI0sONsdhgHBbuCq5BNP1fU7hlDBwHNdImgp0JRxSmYagAnerse6mqffYNwyZqNHbt43axEt1G29kK0tAjxxsa6DIiAE2Oc+WY7gNIP5NwcztIgVBOg/iCj9rndQgSDqSFPRMnQZFlaOJaTmRjkYvcNduRdG78GR5Vo5zoBk61gUx3v9zvoHQEpB/CDx9rgGX7QegD7q0Zlhe5ob+nyQI1hOkpnyBauWwA0znbB7LTfyOA2/vryLWGnn3+aDaPzieXhOfP0It8ngHPd2HRo7kwCkaYZhVWq872t8qsKfBLmW9dvPVcYp0fbQgynb39ioUE8ak62wPz83W2vQOAhFdretbPdvOBNEFtKzXMIAg8i7DNGhd3yb9x5MiM8NqMHKjjISCD+yTVZsVoEDxkbWQRRV8WHrv3N0BJIkA3SWrIypOMSYva0jfdgM4oATOZ5FlshOJUw0GWIWcV1Mgo0RJvd55vOlNYELkW2yWGZ4Aapma4EU2oQQ624uhQZeyc+B1OKJ7vKTNWTfjs6VEVCS4jZEZ0e3GGkNqkMkST6xQOlDM0HbLyeT6Ma26RDphMikbjzMlWVw6ZxqG/M30ok//CewNKStoQcrbZtFjBtx5NgcZi3lWbzXZbBwhC24iteH416SsT147oRjYdZRaFDmAnZRH5j3jfV+J5KOPnHTwXzsDBHj/3FdjvoKGYU4EgK8PIp0Mqf0ZwprEP5Y6FVGyNHz6aPA66jisAW+qfEI9DyaEBAI97AgUmb5hoUgdDjOjsJVsezRvPAtMfHVI+ClqaKwezxSyvut1mpwNnIBEhlqoaDGPbkRUy4eR2xLB1IkCCE7PGcDwZ3s2nLE8lwtiflyrOt/deJLUXPAJ8MLbnuDQtcMYyzn2ifaCVyp9BOewjPrSW9ccceUROeIuwpThOB/xWV5snYR5/caIfgXk3B/Ulea+hdiTjjA2a8+ISv74oqBtpDCe2oestvdVSVT2pIXZyrIqMsirR09K8ZxRN1grZkAMzsUtogkjbsZIdLNimxEz0/KxJDR7jvJGIvZBkDGB+DEHR0di6EzxlzDFFy1i5gnqieGtFOEoWkrU4fadcxFySoytvsORof1AAZ0BdVWpT0/+g/BG5+IOywLsPCnCzmnTwD7ZnkZQP9+enwXw5nt98LXbNzuk334t2PHVJDqm0wDLNYUUeBXmM6VgMixJaqi3wEGt6yU2saJTiaeN2kGxN1kaJlDclHffOOIguk3cOsLPhbMnNZKNDGhT1MSNBnxcsgA/qN6keCiGlbHceccPAuORsTbQQuGq0N/Y/mmyhRLOOWYBAnpGg381g/ByKY27AgToUwDx3JqADLyW1iYDn9TSErKlMbi8WV6rafLGwHNn6mQ7TAb5n33RNDHelAxXWOd4fXXDGWvY/2zXx4ghn2G011V5iISqhtyNWwaxM11bGlud6W2IlfWeMU+dz/YQLr8t3dD6XQstnQzEefc+cyZbKHRAOEm2VWM/eiGQsD5zP8ktdYgAwGaQWfEb8AxyVvtzhn+QIAM3K0ySIm/FOlSSgBZxrRQ59l5Uzy6uSrqXMxyoSffezHtg04Ra/VDmwQBwVUYDmik/YFtEOwH/y4ue4AXsxLAH+Ww7OZQqQtiejQz20JS2UzkM1FTA9z2tcxVPbJKBvoDh+v6XBSZvItMLIdGZrGom1eIPOWySI36gzkiR4OX8sBy+gWdVM35OwF+Aw7tAMISlOluMpT7G8jaQPTwDdPRL6GWCDZsax73t+YXpMNbHZFI4C5Dz22l881cSIz5AzGTvdELEgTsrfi9H0OllGo8RxezUOl0UUiN/i51PE5kcP+p74zd8R4IrmfE+a0zmD5uh5OvS30pxmS9V7+gmakxpVNKeiORXNgTqpHac52jepSFY0p6I5PznN0SqaU9GclOZk0uN7pTktvav12u3X0ZwZ7A3TcVI0viDwJPintG8gMi91+8+jKqeCVJGRn42MsI9TTpGR1Og4GTEmiwH9ukpR2n2enkhWOVXFWyre8uN5yy9FtOWXo6zllzeSFv04adG/SSWvIi0VafnJSYtekZaKtKSkJZMe3ytp0fR2p9ntXHYPaAtFvMoNNln1psfEopm1H+esPCE54fAC1ZieyTSydkVEY+q54eYozThjUQUEQu91tW6zW1GIchRC6/Xade30b+dzVnDst/OPUAit9f0oREvTgSL29O5LFEIyOkkhbm7pv1/H5xCJ1PafQyfYMaIF8GUKUWj2Em3IH94zacF0drv8vTwpmJYmBYUeL5KC/JrOoAQvOL2LDzKaxzlB89tBRcmzAr2nvT9aMADA1FeKy8N54P/MHgog/jGfl9H9GV5ZYM/qGM9yFbQvCe2bFbSvoH0K7XNZ7p2D+9554H6x9bxwg+1XwPyc67sG/IULraD/zwr9m+dA/2YJ6H9dAvpfV9C/gv7/GOjfOg79W98O6k0F/Svo//8A/VsV9K+gfwr9c1nuB0F/8QO/e0CE0RthB4flL3yK3afe4+udYY+V9p0EM8eOo/qai9vkDuj9A9Sc/tU1/eP90vdvHboDQiTuw6TcogyrtWq31r2uuVqZuNW91Hu2qnVtu7229Y6mAyJlncqXdNHDUzpy1IBdhfNq77n3xP6Go9z6eEpJnHlX/MKh1/cm+Rto4PsAdenSyl8XFl92MafX+ZW8loE9EOZIr48QkWXF9NtosBzQ+yNiIb8l8QudvviJS74mkq+cX3wxxKV1X3j7q9HUulwCFg15yMbB3ONUHfJr4DznhmxJyYsm1DidH3YCEd7tOOouu7mHoyn9+x7UkHqAMrj6D6AGfqdKmd544oDqmfjTe4wCcr8Jy06spa3slaVrdc3WWvUW/ecS8Ey9Y3VUG1+umiuV3YIkOodMTvBTyUHo/pKuZxP1o/T9gmyxYxuwddnLNSV3duUZcfAb+mDg+Y193IHBq9z/IgFU7lc8gEbmolXjf5JUVB6hVQAA</t>
        </r>
      </text>
    </comment>
  </commentList>
</comments>
</file>

<file path=xl/sharedStrings.xml><?xml version="1.0" encoding="utf-8"?>
<sst xmlns="http://schemas.openxmlformats.org/spreadsheetml/2006/main" count="940" uniqueCount="712">
  <si>
    <t>10001 !M</t>
  </si>
  <si>
    <t>.excel_last</t>
  </si>
  <si>
    <t>0001</t>
  </si>
  <si>
    <t>.TN</t>
  </si>
  <si>
    <t>.T1</t>
  </si>
  <si>
    <t>.DESC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</si>
  <si>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</si>
  <si>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</si>
  <si>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</si>
  <si>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</si>
  <si>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</si>
  <si>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</si>
  <si>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</si>
  <si>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</si>
  <si>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</si>
  <si>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</si>
  <si>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</si>
  <si>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</si>
  <si>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</si>
  <si>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</si>
  <si>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</si>
  <si>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</si>
  <si>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</si>
  <si>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</si>
  <si>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</si>
  <si>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</si>
  <si>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</si>
  <si>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</si>
  <si>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</si>
  <si>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</si>
  <si>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</si>
  <si>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</si>
  <si>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</si>
  <si>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</si>
  <si>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</si>
  <si>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</si>
  <si>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</si>
  <si>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</si>
  <si>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</si>
  <si>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</si>
  <si>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</si>
  <si>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</si>
  <si>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</si>
  <si>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</si>
  <si>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</si>
  <si>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</si>
  <si>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</si>
  <si>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</si>
  <si>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</si>
  <si>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</si>
  <si>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</si>
  <si>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0311</t>
  </si>
  <si>
    <t>0312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</si>
  <si>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</si>
  <si>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</si>
  <si>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</si>
  <si>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</si>
  <si>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</si>
  <si>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</si>
  <si>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</si>
  <si>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</si>
  <si>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</si>
  <si>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</si>
  <si>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</si>
  <si>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</si>
  <si>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0501</t>
  </si>
  <si>
    <t>0502</t>
  </si>
  <si>
    <t>0503</t>
  </si>
  <si>
    <t>0504</t>
  </si>
  <si>
    <t>0505</t>
  </si>
  <si>
    <t>0506</t>
  </si>
  <si>
    <t>0507</t>
  </si>
  <si>
    <t>0508</t>
  </si>
  <si>
    <t>0509</t>
  </si>
  <si>
    <t>0510</t>
  </si>
  <si>
    <t>0511</t>
  </si>
  <si>
    <t>0512</t>
  </si>
  <si>
    <t>0601</t>
  </si>
  <si>
    <t>0602</t>
  </si>
  <si>
    <t>0603</t>
  </si>
  <si>
    <t>0604</t>
  </si>
  <si>
    <t>0605</t>
  </si>
  <si>
    <t>0606</t>
  </si>
  <si>
    <t>0607</t>
  </si>
  <si>
    <t>0608</t>
  </si>
  <si>
    <t>0609</t>
  </si>
  <si>
    <t>0610</t>
  </si>
  <si>
    <t>0611</t>
  </si>
  <si>
    <t>0612</t>
  </si>
  <si>
    <t>0701</t>
  </si>
  <si>
    <t>0702</t>
  </si>
  <si>
    <t>0703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</si>
  <si>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</si>
  <si>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</si>
  <si>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</si>
  <si>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</si>
  <si>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</si>
  <si>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</si>
  <si>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</si>
  <si>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</si>
  <si>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</si>
  <si>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0801</t>
  </si>
  <si>
    <t>0802</t>
  </si>
  <si>
    <t>0803</t>
  </si>
  <si>
    <t>0804</t>
  </si>
  <si>
    <t>0805</t>
  </si>
  <si>
    <t>0806</t>
  </si>
  <si>
    <t>0807</t>
  </si>
  <si>
    <t>0808</t>
  </si>
  <si>
    <t>0809</t>
  </si>
  <si>
    <t>0810</t>
  </si>
  <si>
    <t>0811</t>
  </si>
  <si>
    <t>0812</t>
  </si>
  <si>
    <t>0901</t>
  </si>
  <si>
    <t>0902</t>
  </si>
  <si>
    <t>0903</t>
  </si>
  <si>
    <t>0904</t>
  </si>
  <si>
    <t>0905</t>
  </si>
  <si>
    <t>0906</t>
  </si>
  <si>
    <t>0907</t>
  </si>
  <si>
    <t>0908</t>
  </si>
  <si>
    <t>0909</t>
  </si>
  <si>
    <t>0910</t>
  </si>
  <si>
    <t>0911</t>
  </si>
  <si>
    <t>0912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</si>
  <si>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</si>
  <si>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</si>
  <si>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</si>
  <si>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</si>
  <si>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</si>
  <si>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</si>
  <si>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</si>
  <si>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</si>
  <si>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</si>
  <si>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</si>
  <si>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</si>
  <si>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</si>
  <si>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</si>
  <si>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</si>
  <si>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</si>
  <si>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</si>
  <si>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</si>
  <si>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</si>
  <si>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</si>
  <si>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</si>
  <si>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</si>
  <si>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</si>
  <si>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</si>
  <si>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</si>
  <si>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</si>
  <si>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</si>
  <si>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</si>
  <si>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</si>
  <si>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</si>
  <si>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</si>
  <si>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</si>
  <si>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</si>
  <si>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</si>
  <si>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</si>
  <si>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</si>
  <si>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</si>
  <si>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</si>
  <si>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</si>
  <si>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</si>
  <si>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</si>
  <si>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</si>
  <si>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</si>
  <si>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</si>
  <si>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</si>
  <si>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</si>
  <si>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</si>
  <si>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</si>
  <si>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</si>
  <si>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</si>
  <si>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</si>
  <si>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</si>
  <si>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</si>
  <si>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</si>
  <si>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</si>
  <si>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</si>
  <si>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</si>
  <si>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</si>
  <si>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</si>
  <si>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</si>
  <si>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</si>
  <si>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</si>
  <si>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</si>
  <si>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</si>
  <si>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</si>
  <si>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</si>
  <si>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</si>
  <si>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</si>
  <si>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</si>
  <si>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</si>
  <si>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</si>
  <si>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</si>
  <si>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</si>
  <si>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</si>
  <si>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</si>
  <si>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</si>
  <si>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</si>
  <si>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</si>
  <si>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</si>
  <si>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</si>
  <si>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</si>
  <si>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</si>
  <si>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</si>
  <si>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</si>
  <si>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</si>
  <si>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</si>
  <si>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</si>
  <si>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</si>
  <si>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</si>
  <si>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</si>
  <si>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</si>
  <si>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</si>
  <si>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</si>
  <si>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</si>
  <si>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</si>
  <si>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</si>
  <si>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</si>
  <si>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</si>
  <si>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</si>
  <si>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</si>
  <si>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</si>
  <si>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</si>
  <si>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</si>
  <si>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</si>
  <si>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</si>
  <si>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</si>
  <si>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</si>
  <si>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</si>
  <si>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</si>
  <si>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1901</t>
  </si>
  <si>
    <t>1902</t>
  </si>
  <si>
    <t>1903</t>
  </si>
  <si>
    <t>1904</t>
  </si>
  <si>
    <t>1905</t>
  </si>
  <si>
    <t>Bloomberg Description</t>
  </si>
  <si>
    <t>Units</t>
  </si>
  <si>
    <t>G</t>
  </si>
  <si>
    <t>Quote=</t>
  </si>
  <si>
    <t>G=Avg C=Last</t>
  </si>
  <si>
    <t>Curr=</t>
  </si>
  <si>
    <t>USD</t>
  </si>
  <si>
    <t>Sort=</t>
  </si>
  <si>
    <t>C,A,R,D</t>
  </si>
  <si>
    <t>QtTyp=</t>
  </si>
  <si>
    <t>P,Y</t>
  </si>
  <si>
    <t>Dts=</t>
  </si>
  <si>
    <t>TRUE,FALSE</t>
  </si>
  <si>
    <t>B</t>
  </si>
  <si>
    <t>Fill=</t>
  </si>
  <si>
    <t xml:space="preserve">C,P,E,B </t>
  </si>
  <si>
    <t>N</t>
  </si>
  <si>
    <t>Days=</t>
  </si>
  <si>
    <t>N,C,T,W,A</t>
  </si>
  <si>
    <t>m</t>
  </si>
  <si>
    <t>Per=</t>
  </si>
  <si>
    <t>D,W,M,Q,S,Y</t>
  </si>
  <si>
    <t>End Date</t>
  </si>
  <si>
    <t>Start Date</t>
  </si>
  <si>
    <t>px_last</t>
  </si>
  <si>
    <t>Fields</t>
  </si>
  <si>
    <t>OSLSHX Index</t>
  </si>
  <si>
    <t>RGUSPSSH Index</t>
  </si>
  <si>
    <t>PHLXSHX Index</t>
  </si>
  <si>
    <t>DJGSH Index</t>
  </si>
  <si>
    <t>SHSPCCFI Index</t>
  </si>
  <si>
    <t>RGUSPSH Index</t>
  </si>
  <si>
    <t>SHSPSCFI Index</t>
  </si>
  <si>
    <t>WCIDCOMP Index</t>
  </si>
  <si>
    <t>BDIY Index</t>
  </si>
  <si>
    <t>Security</t>
  </si>
  <si>
    <t>Oslo Shipping Index</t>
  </si>
  <si>
    <t>Philadelphia Stock Exchange Marine Shipping Index</t>
  </si>
  <si>
    <t>Dow Jones Global Shipping USD Index</t>
  </si>
  <si>
    <t>Shanghai Shipping Exchange China (Export) Containerized Freight Index</t>
  </si>
  <si>
    <t>Russell 3000 Shipping Index</t>
  </si>
  <si>
    <t>Shanghai Shipping Exchange Shanghai (Export) Containerized Freight Index</t>
  </si>
  <si>
    <t>WCI Composite Container Freight Benchmark Rate per 40 Foot Box</t>
  </si>
  <si>
    <t>BDI Baltic Exchange Dry Index</t>
  </si>
  <si>
    <t>1001 !Q</t>
  </si>
  <si>
    <t>001</t>
  </si>
  <si>
    <t>002</t>
  </si>
  <si>
    <t>003</t>
  </si>
  <si>
    <t>004</t>
  </si>
  <si>
    <t>011</t>
  </si>
  <si>
    <t>012</t>
  </si>
  <si>
    <t>013</t>
  </si>
  <si>
    <t>014</t>
  </si>
  <si>
    <t>021</t>
  </si>
  <si>
    <t>022</t>
  </si>
  <si>
    <t>023</t>
  </si>
  <si>
    <t>024</t>
  </si>
  <si>
    <t>031</t>
  </si>
  <si>
    <t>032</t>
  </si>
  <si>
    <t>033</t>
  </si>
  <si>
    <t>034</t>
  </si>
  <si>
    <t>041</t>
  </si>
  <si>
    <t>042</t>
  </si>
  <si>
    <t>043</t>
  </si>
  <si>
    <t>044</t>
  </si>
  <si>
    <t>051</t>
  </si>
  <si>
    <t>052</t>
  </si>
  <si>
    <t>053</t>
  </si>
  <si>
    <t>054</t>
  </si>
  <si>
    <t>061</t>
  </si>
  <si>
    <t>062</t>
  </si>
  <si>
    <t>063</t>
  </si>
  <si>
    <t>064</t>
  </si>
  <si>
    <t>071</t>
  </si>
  <si>
    <t>072</t>
  </si>
  <si>
    <t>073</t>
  </si>
  <si>
    <t>074</t>
  </si>
  <si>
    <t>081</t>
  </si>
  <si>
    <t>082</t>
  </si>
  <si>
    <t>083</t>
  </si>
  <si>
    <t>084</t>
  </si>
  <si>
    <t>091</t>
  </si>
  <si>
    <t>092</t>
  </si>
  <si>
    <t>093</t>
  </si>
  <si>
    <t>094</t>
  </si>
  <si>
    <t>101</t>
  </si>
  <si>
    <t>102</t>
  </si>
  <si>
    <t>103</t>
  </si>
  <si>
    <t>104</t>
  </si>
  <si>
    <t>111</t>
  </si>
  <si>
    <t>112</t>
  </si>
  <si>
    <t>113</t>
  </si>
  <si>
    <t>114</t>
  </si>
  <si>
    <t>121</t>
  </si>
  <si>
    <t>122</t>
  </si>
  <si>
    <t>123</t>
  </si>
  <si>
    <t>124</t>
  </si>
  <si>
    <t>131</t>
  </si>
  <si>
    <t>132</t>
  </si>
  <si>
    <t>133</t>
  </si>
  <si>
    <t>134</t>
  </si>
  <si>
    <t>141</t>
  </si>
  <si>
    <t>142</t>
  </si>
  <si>
    <t>143</t>
  </si>
  <si>
    <t>144</t>
  </si>
  <si>
    <t>151</t>
  </si>
  <si>
    <t>152</t>
  </si>
  <si>
    <t>153</t>
  </si>
  <si>
    <t>154</t>
  </si>
  <si>
    <t>161</t>
  </si>
  <si>
    <t>162</t>
  </si>
  <si>
    <t>163</t>
  </si>
  <si>
    <t>164</t>
  </si>
  <si>
    <t>171</t>
  </si>
  <si>
    <t>172</t>
  </si>
  <si>
    <t>173</t>
  </si>
  <si>
    <t>174</t>
  </si>
  <si>
    <t>181</t>
  </si>
  <si>
    <t>182</t>
  </si>
  <si>
    <t>183</t>
  </si>
  <si>
    <t>184</t>
  </si>
  <si>
    <t>191</t>
  </si>
  <si>
    <t>GDP</t>
  </si>
  <si>
    <t>CPI</t>
  </si>
  <si>
    <t>PMINO</t>
  </si>
  <si>
    <t>RS</t>
  </si>
  <si>
    <t>LTY</t>
  </si>
  <si>
    <t>REER</t>
  </si>
  <si>
    <t>CORE</t>
  </si>
  <si>
    <t>IPALL</t>
  </si>
  <si>
    <t>EXPMERCH</t>
  </si>
  <si>
    <t>IMPMERCH</t>
  </si>
  <si>
    <t>PMIMANU</t>
  </si>
  <si>
    <t>PMISTOCKS</t>
  </si>
  <si>
    <t>BALTIC</t>
  </si>
  <si>
    <t>WCIFREIGHT</t>
  </si>
  <si>
    <t>SHANGHAI</t>
  </si>
  <si>
    <t>RUSSELL</t>
  </si>
  <si>
    <t>GPMGDP</t>
  </si>
  <si>
    <t>GDPGOVT</t>
  </si>
  <si>
    <t>GDPPRIV</t>
  </si>
  <si>
    <t>GDPGFCF</t>
  </si>
  <si>
    <t>GDPX</t>
  </si>
  <si>
    <t>GDPM</t>
  </si>
  <si>
    <t>1906</t>
  </si>
  <si>
    <t>192</t>
  </si>
  <si>
    <t>1907</t>
  </si>
  <si>
    <t>193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</si>
  <si>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</si>
  <si>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</si>
  <si>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</si>
  <si>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</si>
  <si>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</si>
  <si>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</si>
  <si>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</si>
  <si>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</si>
  <si>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</si>
  <si>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</si>
  <si>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</si>
  <si>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</si>
  <si>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</si>
  <si>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</si>
  <si>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</si>
  <si>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</si>
  <si>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</si>
  <si>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</si>
  <si>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</si>
  <si>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</si>
  <si>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</si>
  <si>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</si>
  <si>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</si>
  <si>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</si>
  <si>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</si>
  <si>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</si>
  <si>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</si>
  <si>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</si>
  <si>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</si>
  <si>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</si>
  <si>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</si>
  <si>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</si>
  <si>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</si>
  <si>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</si>
  <si>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</si>
  <si>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</si>
  <si>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2011Q1</t>
  </si>
  <si>
    <t>2011Q2</t>
  </si>
  <si>
    <t>2011Q3</t>
  </si>
  <si>
    <t>2011Q4</t>
  </si>
  <si>
    <t>1908</t>
  </si>
  <si>
    <t>STOCKS</t>
  </si>
  <si>
    <t>Jan-1990</t>
  </si>
  <si>
    <t>SOX Index</t>
  </si>
  <si>
    <t>1909</t>
  </si>
  <si>
    <t>1910</t>
  </si>
  <si>
    <t>Select this link and click Refresh/Edit Download to update data and add or remove series</t>
  </si>
  <si>
    <t>RBI: Industrial Outlook Survey: Business Expectation Index: Assessment for Current Quarter</t>
  </si>
  <si>
    <t>RBI Forecast: Industrial Outlook Survey: Business Expectation Index: Expectation for Next Quarter</t>
  </si>
  <si>
    <t>RBI Forecast: Industrial Outlook Survey: Overall Business Situation</t>
  </si>
  <si>
    <t>CEIC Leading Indicator: India</t>
  </si>
  <si>
    <t>CEIC Leading Indicator: Smoothed: India</t>
  </si>
  <si>
    <t>Region</t>
  </si>
  <si>
    <t>India</t>
  </si>
  <si>
    <t>Subnational</t>
  </si>
  <si>
    <t>Frequency</t>
  </si>
  <si>
    <t>Quarterly, Ending "mar, June, Sep, Dec"</t>
  </si>
  <si>
    <t>Monthly</t>
  </si>
  <si>
    <t>Unit</t>
  </si>
  <si>
    <t>NA</t>
  </si>
  <si>
    <t>%</t>
  </si>
  <si>
    <t>Source</t>
  </si>
  <si>
    <t>Reserve Bank of India</t>
  </si>
  <si>
    <t>CEIC Data</t>
  </si>
  <si>
    <t>Status</t>
  </si>
  <si>
    <t>Active</t>
  </si>
  <si>
    <t>Series ID</t>
  </si>
  <si>
    <t>224244202 (ISAAAAAB)</t>
  </si>
  <si>
    <t>412736927 (ISAAAALNAAAAYE)</t>
  </si>
  <si>
    <t>412736937 (ISAAAALNAAAAYF)</t>
  </si>
  <si>
    <t>SR Code</t>
  </si>
  <si>
    <t>SR7033552</t>
  </si>
  <si>
    <t>SR7033596</t>
  </si>
  <si>
    <t>SR4271955</t>
  </si>
  <si>
    <t>SR125637687</t>
  </si>
  <si>
    <t>SR125637697</t>
  </si>
  <si>
    <t>Mnemonic</t>
  </si>
  <si>
    <t>Function Information</t>
  </si>
  <si>
    <t>First Obs. Date</t>
  </si>
  <si>
    <t>Last Obs. Date</t>
  </si>
  <si>
    <t>Last Update time</t>
  </si>
  <si>
    <t>Series Remarks</t>
  </si>
  <si>
    <t>Suggestions</t>
  </si>
  <si>
    <t>Mean</t>
  </si>
  <si>
    <t>Variance</t>
  </si>
  <si>
    <t>Standard Deviation</t>
  </si>
  <si>
    <t>Skewness</t>
  </si>
  <si>
    <t>Kurtosis</t>
  </si>
  <si>
    <t>Coefficient Variation</t>
  </si>
  <si>
    <t>Min</t>
  </si>
  <si>
    <t>Max</t>
  </si>
  <si>
    <t>Median</t>
  </si>
  <si>
    <t>No. of Obs</t>
  </si>
  <si>
    <t>H534NGPC@EMERGEPR</t>
  </si>
  <si>
    <t>H534NCPC@EMERGEPR</t>
  </si>
  <si>
    <t>H534NCGC@EMERGEPR</t>
  </si>
  <si>
    <t>H534NFC@EMERGEPR</t>
  </si>
  <si>
    <t>H534NBC@EMERGEPR</t>
  </si>
  <si>
    <t>H534NXC@EMERGEPR</t>
  </si>
  <si>
    <t>H534NMC@EMERGEPR</t>
  </si>
  <si>
    <t xml:space="preserve">H534NSDC@EMERGEPR </t>
  </si>
  <si>
    <t>H534NBDC@EMERGEPR</t>
  </si>
  <si>
    <t>Q2-1996</t>
  </si>
  <si>
    <t>India: GDP at Market Prices (SA, Bil.Apr.11-Mar.12.Rupees)</t>
  </si>
  <si>
    <t>India: GDP: Private Final Consumption Expenditure (SA, Bil.Apr.11-Mar.12.Rupees)</t>
  </si>
  <si>
    <t>India: GDP: Government Final Consumption Expenditure (SA, Bil.Apr.11-Mar.12.INR)</t>
  </si>
  <si>
    <t>India: GDP: Gross Fixed Capital Formation (SA, Bil.Apr.11-Mar.12.Rupees)</t>
  </si>
  <si>
    <t>India: GDP: Change in Stocks (SA, Bil.Apr.11-Mar.12.Rupees)</t>
  </si>
  <si>
    <t>India: GDP: Exports of Goods and Services (SA, Bil.Apr.11-Mar.12.Rupees)</t>
  </si>
  <si>
    <t>India: GDP: Imports of Goods and Services (SA, Bil.Apr.11-Mar.12.Rupees)</t>
  </si>
  <si>
    <t>Q2-1999</t>
  </si>
  <si>
    <t>India: GDP: Statistical Discrepancy (SA, Bil.Apr.11-Mar.12.Rupees)</t>
  </si>
  <si>
    <t>India: GDP: Valuables (SA, Bil.Apr.11-Mar.12.Rupees)</t>
  </si>
  <si>
    <t>India: GDP at Market Prices (SA, Apr.11-Mar.12.Rupees) % Change - Annual Rate</t>
  </si>
  <si>
    <t>India: GDP: Private Final Consumption Expenditure (SA, Apr.11-Mar.12.Rupees) % Change - Annual Rate</t>
  </si>
  <si>
    <t>India: GDP: Government Final Consumption Expenditure (SA, Apr.11-Mar.12.INR) % Change - Annual Rate</t>
  </si>
  <si>
    <t>India: GDP: Gross Fixed Capital Formation (SA, Apr.11-Mar.12.Rupees) % Change - Annual Rate</t>
  </si>
  <si>
    <t>India: GDP: Exports of Goods and Services (SA, Apr.11-Mar.12.Rupees) % Change - Annual Rate</t>
  </si>
  <si>
    <t>India: GDP: Imports of Goods and Services (SA, Apr.11-Mar.12.Rupees) % Change - Annual Rate</t>
  </si>
  <si>
    <t>N534RP@EMERGEPR</t>
  </si>
  <si>
    <t>N534RG10@EMERGEPR</t>
  </si>
  <si>
    <t>N534XJRB@EMERGEPR</t>
  </si>
  <si>
    <t>N534PC@EMERGEPR</t>
  </si>
  <si>
    <t>N534PCXG@EMERGEPR</t>
  </si>
  <si>
    <t>H534D@EMERGEPR</t>
  </si>
  <si>
    <t>H534DB@EMERGEPR</t>
  </si>
  <si>
    <t>H534DK@EMERGEPR</t>
  </si>
  <si>
    <t>H534DI@EMERGEPR</t>
  </si>
  <si>
    <t>H534DR@EMERGEPR</t>
  </si>
  <si>
    <t>H534DCD@EMERGEPR</t>
  </si>
  <si>
    <t>H534DCN@EMERGEPR</t>
  </si>
  <si>
    <t>IPCONS</t>
  </si>
  <si>
    <t>Apr-2001</t>
  </si>
  <si>
    <t>India: Repo Rate (EOP, % per annum)</t>
  </si>
  <si>
    <t>May-1996</t>
  </si>
  <si>
    <t>India: 10-Year Government Bond Yield (EOP, % per annum)</t>
  </si>
  <si>
    <t>India: JPMorgan Real Broad Effective Exchange Rate Index, PPI Based (2010=100)</t>
  </si>
  <si>
    <t>Jan-2001</t>
  </si>
  <si>
    <t>India: Consumer Price Index (NSA, 2012=100)</t>
  </si>
  <si>
    <t>Jan-2011</t>
  </si>
  <si>
    <t>India: CPI Ex Food and Energy (NSA, 2012=100)</t>
  </si>
  <si>
    <t>Jan-1971</t>
  </si>
  <si>
    <t>India: IP: General Index (SA, Apr.11-Mar.12=100)</t>
  </si>
  <si>
    <t>Apr-1994</t>
  </si>
  <si>
    <t>India: IP: Basic Goods (SA, Apr.11-Mar.12=100)</t>
  </si>
  <si>
    <t>India: IP: Capital Goods (SA, Apr.11-Mar.12=100)</t>
  </si>
  <si>
    <t>India: IP: Intermediate Goods (SA, Apr.11-Mar.12=100)</t>
  </si>
  <si>
    <t>Apr-2012</t>
  </si>
  <si>
    <t>India: IP: Infrastructure and Construction Goods (SA, Apr.11-Mar.12=100)</t>
  </si>
  <si>
    <t>India: IP: Consumer Durable Goods (SA, Apr.11-Mar.12=100)</t>
  </si>
  <si>
    <t>India: IP: Consumer Nondurable Goods (SA, Apr.11-Mar.12=100)</t>
  </si>
  <si>
    <t>1911</t>
  </si>
  <si>
    <t>IPBASIC</t>
  </si>
  <si>
    <t>IPCAPITAL</t>
  </si>
  <si>
    <t>IPDURABLE</t>
  </si>
  <si>
    <t>H534VI@EMERGEPR</t>
  </si>
  <si>
    <t>Apr-2004</t>
  </si>
  <si>
    <t>India: Eight Core Industry Infrastructure Index (SA, Apr.11-Mar.12=100)</t>
  </si>
  <si>
    <t>H534OCLI@EMERGEPR</t>
  </si>
  <si>
    <t>H534OCOI@EMERGEPR</t>
  </si>
  <si>
    <t>H534ONGI@EMERGEPR</t>
  </si>
  <si>
    <t>H534OPRI@EMERGEPR</t>
  </si>
  <si>
    <t>H534OFTI@EMERGEPR</t>
  </si>
  <si>
    <t>H534OSTI@EMERGEPR</t>
  </si>
  <si>
    <t>H534OCNI@EMERGEPR</t>
  </si>
  <si>
    <t>H534OELI@EMERGEPR</t>
  </si>
  <si>
    <t>India: Eight Core Industries Index: Coal (SA, Apr.11-Mar.12=100)</t>
  </si>
  <si>
    <t>India: Eight Core Industries Index: Crude Oil (SA, Apr.11-Mar.12=100)</t>
  </si>
  <si>
    <t>India: Eight Core Industries Index: Natural Gas (SA, Apr.11-Mar.12=100)</t>
  </si>
  <si>
    <t>India: Eight Core Ind Index: Petroleum Refinery Products(SA, Apr.11-Mar.12=100)</t>
  </si>
  <si>
    <t>India: Eight Core Industries Index: Fertilizers (SA, Apr.11-Mar.12=100)</t>
  </si>
  <si>
    <t>India: Eight Core Industries Index: Steel (SA, Apr.11-Mar.12=100)</t>
  </si>
  <si>
    <t>India: Eight Core Industries Index: Cement (SA, Apr.11-Mar.12=100)</t>
  </si>
  <si>
    <t>India: Eight Core Industries Index: Electricity (SA, Apr.11-Mar.12=100)</t>
  </si>
  <si>
    <t>H534IXD@EMERGEPR</t>
  </si>
  <si>
    <t>H534IMD@EMERGEPR</t>
  </si>
  <si>
    <t>M534BCSX@EMERGEPR</t>
  </si>
  <si>
    <t>M534BCSM@EMERGEPR</t>
  </si>
  <si>
    <t>N534VCE@EMERGEPR</t>
  </si>
  <si>
    <t>Apr-1998</t>
  </si>
  <si>
    <t>Jan-1968</t>
  </si>
  <si>
    <t>India: Merchandise Exports, f.o.b. (SA, Mil.US$)</t>
  </si>
  <si>
    <t>India: Merchandise Imports, c.i.f. (SA, Mil.US$)</t>
  </si>
  <si>
    <t>Apr-2011</t>
  </si>
  <si>
    <t>India: BOP: Services: Exports (NSA, Mil.US$)</t>
  </si>
  <si>
    <t>India: BOP: Services: Imports (NSA, Mil.US$)</t>
  </si>
  <si>
    <t>Dec-2010</t>
  </si>
  <si>
    <t>India: Consumer Confidence Survey: Future Expectation Index (NSA, 100=neutral)</t>
  </si>
  <si>
    <t>Jan-1997</t>
  </si>
  <si>
    <t>S534TG@MKTPMI</t>
  </si>
  <si>
    <t>S534S@MKTPMI</t>
  </si>
  <si>
    <t>Dec-2005</t>
  </si>
  <si>
    <t>India PMI: Composite Output (SA, 50+=Expansion)</t>
  </si>
  <si>
    <t>India PMI: Services Business Activity (SA, 50+=Expansion)</t>
  </si>
  <si>
    <t>N534VCC@EMERGEPR</t>
  </si>
  <si>
    <t>S534M@MKTPMI</t>
  </si>
  <si>
    <t>S534MG@MKTPMI</t>
  </si>
  <si>
    <t>S534MO@MKTPMI</t>
  </si>
  <si>
    <t>S534ME@MKTPMI</t>
  </si>
  <si>
    <t>S534MD@MKTPMI</t>
  </si>
  <si>
    <t>S534MSP@MKTPMI</t>
  </si>
  <si>
    <t>S534MPI@MKTPMI</t>
  </si>
  <si>
    <t>S534MQP@MKTPMI</t>
  </si>
  <si>
    <t>S534MSF@MKTPMI</t>
  </si>
  <si>
    <t>S534MX@MKTPMI</t>
  </si>
  <si>
    <t>S534MPO@MKTPMI</t>
  </si>
  <si>
    <t>S534MB@MKTPMI</t>
  </si>
  <si>
    <t>S534OI@MKTPMI</t>
  </si>
  <si>
    <t>S534SE@MKTPMI</t>
  </si>
  <si>
    <t>S534SPC@MKTPMI</t>
  </si>
  <si>
    <t>S534SNB@MKTPMI</t>
  </si>
  <si>
    <t>S534SPI@MKTPMI</t>
  </si>
  <si>
    <t>S534SX@MKTPMI</t>
  </si>
  <si>
    <t>S534SWO@MKTPMI</t>
  </si>
  <si>
    <t>N534FKSV@EMERGEPR</t>
  </si>
  <si>
    <t>India: Consumer Confidence Survey: Current Situation Index (NSA, 100=neutral)</t>
  </si>
  <si>
    <t>Mar-2005</t>
  </si>
  <si>
    <t>India PMI: Manufacturing (SA, 50+=Expansion)</t>
  </si>
  <si>
    <t>India PMI: Manufacturing Output (SA, 50+=Expansion)</t>
  </si>
  <si>
    <t>India PMI: Manufacturing New Orders (SA, 50+=Expansion)</t>
  </si>
  <si>
    <t>India PMI: Manufacturing Employment (SA, 50+=Expansion)</t>
  </si>
  <si>
    <t>India PMI: Manufacturing Suppliers' Delivery Times (SA, 50+=Contraction)</t>
  </si>
  <si>
    <t>India PMI: Manufacturing Stocks of Purchases (SA, 50+=Expansion)</t>
  </si>
  <si>
    <t>India PMI: Manufacturing Input Prices (SA, 50+=Expansion)</t>
  </si>
  <si>
    <t>India PMI: Manufacturing Quantity of Purchases (SA, 50+=Expansion)</t>
  </si>
  <si>
    <t>India PMI: Manufacturing Stocks of Finished Goods (SA, 50+=Expansion)</t>
  </si>
  <si>
    <t>India PMI: Manufacturing New Export Orders (SA, 50+=Expansion)</t>
  </si>
  <si>
    <t>India PMI: Manufacturing Output Prices (SA, 50+=Expansion)</t>
  </si>
  <si>
    <t>India PMI: Manufacturing Backlogs of Work (SA, 50+=Expansion)</t>
  </si>
  <si>
    <t>India: Manufacturing Orders to Inventories (SA, Ratio)</t>
  </si>
  <si>
    <t>India PMI: Services Employment (SA, 50+=Expansion)</t>
  </si>
  <si>
    <t>India PMI: Services Prices Charged (SA, 50+=Expansion)</t>
  </si>
  <si>
    <t>India PMI: Services New Business (SA, 50+=Expansion)</t>
  </si>
  <si>
    <t>India PMI: Services Input Prices (SA, 50+=Expansion)</t>
  </si>
  <si>
    <t>Sep-2014</t>
  </si>
  <si>
    <t>India PMI: Services New Export Orders (SA, 50+=Expansion)</t>
  </si>
  <si>
    <t>India PMI: Services Outstanding Business (SA, 50+=Expansion)</t>
  </si>
  <si>
    <t>Apr-1979</t>
  </si>
  <si>
    <t>India: Stock Prices: BSE Sensex/BSE 30 Index (AVG, 1978-79=100)</t>
  </si>
  <si>
    <t>sa(N534CRP@EMERGEPR)</t>
  </si>
  <si>
    <t>India: Consumption of Petroleum Products (NSA, Thous.Metric Tons)  - Seasonal Adjustment, All</t>
  </si>
  <si>
    <t>sa(N534VIUC@EMERGEPR)</t>
  </si>
  <si>
    <t>India: News Based Economic Policy Uncertainty Index (Mean=100)  - Seasonal Adjustment, All</t>
  </si>
  <si>
    <t>IPINTERM</t>
  </si>
  <si>
    <t>IPNONDUR</t>
  </si>
  <si>
    <t>COREINDUSTRY</t>
  </si>
  <si>
    <t>CORECOAL</t>
  </si>
  <si>
    <t>COREOIL</t>
  </si>
  <si>
    <t>COREGAS</t>
  </si>
  <si>
    <t>COREREFINE</t>
  </si>
  <si>
    <t>COREFERT</t>
  </si>
  <si>
    <t>CORESTEEL</t>
  </si>
  <si>
    <t>CORECEMENT</t>
  </si>
  <si>
    <t>COREELEC</t>
  </si>
  <si>
    <t>OILCONS</t>
  </si>
  <si>
    <t>BOPXSERV</t>
  </si>
  <si>
    <t>BOPMSERV</t>
  </si>
  <si>
    <t>CONSCONF</t>
  </si>
  <si>
    <t>CONSCONFX</t>
  </si>
  <si>
    <t>UNCERTAINTY</t>
  </si>
  <si>
    <t>PMIALL</t>
  </si>
  <si>
    <t>PMISERV</t>
  </si>
  <si>
    <t>PMIOUTPUT</t>
  </si>
  <si>
    <t>PMIEMPL</t>
  </si>
  <si>
    <t>PMIDEL</t>
  </si>
  <si>
    <t>PMIINPUT</t>
  </si>
  <si>
    <t>PMIQUANT</t>
  </si>
  <si>
    <t>PMINEO</t>
  </si>
  <si>
    <t>PMIOUTPRICES</t>
  </si>
  <si>
    <t>PMIBACK</t>
  </si>
  <si>
    <t>PMIORDERSINV</t>
  </si>
  <si>
    <t>PMISERVEMPL</t>
  </si>
  <si>
    <t>PMISERVPRI</t>
  </si>
  <si>
    <t>PMISERNEW</t>
  </si>
  <si>
    <t>PMISERVIN</t>
  </si>
  <si>
    <t>PMISNEO</t>
  </si>
  <si>
    <t>PMISOUTB</t>
  </si>
  <si>
    <t>CEICLEAD</t>
  </si>
  <si>
    <t>BUSINESS</t>
  </si>
  <si>
    <t>BUSINESSEXP</t>
  </si>
  <si>
    <t>IOS_SURVEY</t>
  </si>
  <si>
    <t>GDPYOY</t>
  </si>
  <si>
    <t>yryr%(N534NGPC@EMERGEPR)</t>
  </si>
  <si>
    <t>India: GDP at Market Prices (NSA, Apr.11-Mar.12.Rupees) % Change - Year to Year</t>
  </si>
  <si>
    <t>Auto_Total</t>
  </si>
  <si>
    <t>Auto_Two</t>
  </si>
  <si>
    <t>Auto_Passenger</t>
  </si>
  <si>
    <t>Auto_Commercial</t>
  </si>
  <si>
    <t>Automobile Sales: SIAM: Two Wheelers</t>
  </si>
  <si>
    <t>Automobile Sales: SIAM: Commercial Vehicle</t>
  </si>
  <si>
    <t>Automobile Sales: SIAM: Total</t>
  </si>
  <si>
    <t>Automobile Sales: SIAM: Passenger Vehicle</t>
  </si>
  <si>
    <t>N534CNHH@EMERGEPR</t>
  </si>
  <si>
    <t>N534CNIN@EMERGEPR</t>
  </si>
  <si>
    <t>N534CNOP@EMERGEPR</t>
  </si>
  <si>
    <t>N534CNF@EMERGEPR</t>
  </si>
  <si>
    <t>N534IXD@EMERGEPR</t>
  </si>
  <si>
    <t>N534IMD@EMERGEPR</t>
  </si>
  <si>
    <t>N534XUSV@EMERGEPR</t>
  </si>
  <si>
    <t>Apr-2007</t>
  </si>
  <si>
    <t>India: Bank Credit Outstanding: Personal Loans (EOP, NSA, Bil.Rupees)</t>
  </si>
  <si>
    <t>India: Bank Credit Outstanding: Industry (EOP, NSA, Bil.Rupees)</t>
  </si>
  <si>
    <t>India: Bank Credit Outstanding: Services (EOP, NSA, Bil.Rupees)</t>
  </si>
  <si>
    <t>India: Bank Credit Outstanding: Nonfood Credit (EOP, NSA, Bil.Rupees)</t>
  </si>
  <si>
    <t>India: Merchandise Exports, f.o.b. (NSA, Mil.US$)</t>
  </si>
  <si>
    <t>India: Merchandise Imports, c.i.f. (NSA, Mil.US$)</t>
  </si>
  <si>
    <t>Mar-1992</t>
  </si>
  <si>
    <t>India: Rupee/US$ Exchange Rate (AVG)</t>
  </si>
  <si>
    <t>Credit_Personal</t>
  </si>
  <si>
    <t>Credit_Industry</t>
  </si>
  <si>
    <t>Credit_Services</t>
  </si>
  <si>
    <t>Credit_Nonfood</t>
  </si>
  <si>
    <t>Exports_usd</t>
  </si>
  <si>
    <t>Imports_USD</t>
  </si>
  <si>
    <t>rup_usd</t>
  </si>
  <si>
    <t>N534OASF@EMERGEPR</t>
  </si>
  <si>
    <t>Apr-1990</t>
  </si>
  <si>
    <t>India: Agricultural Production: Stock of Foodgrains (NSA, Thous.Metric Tons)</t>
  </si>
  <si>
    <t>Agri_Production</t>
  </si>
  <si>
    <t>Feb-2020</t>
  </si>
  <si>
    <t>Dec-2019</t>
  </si>
  <si>
    <t>Jan-2020</t>
  </si>
  <si>
    <t>1912</t>
  </si>
  <si>
    <t>2001</t>
  </si>
  <si>
    <t>2002</t>
  </si>
  <si>
    <t>Q3-2019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</si>
</sst>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yymm"/>
    <numFmt numFmtId="165" formatCode="0.0"/>
    <numFmt numFmtId="166" formatCode="0.0000"/>
    <numFmt numFmtId="167" formatCode="0.00000"/>
    <numFmt numFmtId="168" formatCode="mm/yyyy"/>
    <numFmt numFmtId="169" formatCode="#,##0.0000"/>
    <numFmt numFmtId="170" formatCode="0.000"/>
    <numFmt numFmtId="171" formatCode="yy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sz val="8"/>
      <name val="Tahoma"/>
      <family val="2"/>
    </font>
    <font>
      <b/>
      <u/>
      <sz val="11"/>
      <color rgb="FF0000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FFA500"/>
      <name val="Calibri"/>
      <family val="2"/>
      <scheme val="minor"/>
    </font>
    <font>
      <b/>
      <sz val="9"/>
      <color indexed="81"/>
      <name val="Tahoma"/>
      <family val="2"/>
    </font>
    <font>
      <sz val="9"/>
      <color theme="1"/>
      <name val="Arial"/>
      <family val="2"/>
    </font>
    <font>
      <sz val="11"/>
      <color rgb="FF008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7" fillId="0" borderId="0"/>
  </cellStyleXfs>
  <cellXfs count="56">
    <xf numFmtId="0" fontId="0" fillId="0" borderId="0" xfId="0"/>
    <xf numFmtId="0" fontId="0" fillId="0" borderId="0" xfId="0" quotePrefix="1"/>
    <xf numFmtId="164" fontId="0" fillId="0" borderId="0" xfId="0" applyNumberFormat="1"/>
    <xf numFmtId="2" fontId="0" fillId="0" borderId="0" xfId="0" applyNumberFormat="1"/>
    <xf numFmtId="1" fontId="0" fillId="0" borderId="0" xfId="0" applyNumberFormat="1"/>
    <xf numFmtId="165" fontId="0" fillId="0" borderId="0" xfId="0" applyNumberFormat="1"/>
    <xf numFmtId="10" fontId="0" fillId="0" borderId="0" xfId="0" applyNumberFormat="1"/>
    <xf numFmtId="0" fontId="2" fillId="0" borderId="0" xfId="1"/>
    <xf numFmtId="0" fontId="3" fillId="0" borderId="0" xfId="2"/>
    <xf numFmtId="2" fontId="3" fillId="0" borderId="0" xfId="2" applyNumberFormat="1"/>
    <xf numFmtId="14" fontId="3" fillId="0" borderId="0" xfId="2" applyNumberFormat="1"/>
    <xf numFmtId="2" fontId="3" fillId="0" borderId="1" xfId="2" applyNumberFormat="1" applyBorder="1"/>
    <xf numFmtId="14" fontId="3" fillId="0" borderId="1" xfId="2" applyNumberFormat="1" applyBorder="1"/>
    <xf numFmtId="0" fontId="3" fillId="0" borderId="1" xfId="2" applyBorder="1"/>
    <xf numFmtId="2" fontId="3" fillId="2" borderId="1" xfId="2" applyNumberFormat="1" applyFill="1" applyBorder="1" applyAlignment="1">
      <alignment vertical="top" wrapText="1"/>
    </xf>
    <xf numFmtId="0" fontId="3" fillId="2" borderId="1" xfId="2" applyFill="1" applyBorder="1" applyAlignment="1">
      <alignment vertical="top" wrapText="1"/>
    </xf>
    <xf numFmtId="0" fontId="3" fillId="3" borderId="1" xfId="2" applyFill="1" applyBorder="1" applyAlignment="1">
      <alignment horizontal="center"/>
    </xf>
    <xf numFmtId="0" fontId="3" fillId="3" borderId="1" xfId="2" applyFill="1" applyBorder="1"/>
    <xf numFmtId="0" fontId="1" fillId="3" borderId="1" xfId="2" applyFont="1" applyFill="1" applyBorder="1" applyAlignment="1">
      <alignment horizontal="center"/>
    </xf>
    <xf numFmtId="0" fontId="1" fillId="4" borderId="1" xfId="2" applyFont="1" applyFill="1" applyBorder="1" applyAlignment="1">
      <alignment horizontal="left"/>
    </xf>
    <xf numFmtId="0" fontId="1" fillId="4" borderId="1" xfId="2" applyFont="1" applyFill="1" applyBorder="1"/>
    <xf numFmtId="0" fontId="1" fillId="4" borderId="1" xfId="2" applyFont="1" applyFill="1" applyBorder="1" applyAlignment="1">
      <alignment horizontal="center"/>
    </xf>
    <xf numFmtId="14" fontId="1" fillId="4" borderId="1" xfId="2" applyNumberFormat="1" applyFont="1" applyFill="1" applyBorder="1" applyAlignment="1">
      <alignment horizontal="left"/>
    </xf>
    <xf numFmtId="14" fontId="4" fillId="4" borderId="1" xfId="2" applyNumberFormat="1" applyFont="1" applyFill="1" applyBorder="1" applyAlignment="1">
      <alignment horizontal="left"/>
    </xf>
    <xf numFmtId="2" fontId="3" fillId="5" borderId="1" xfId="2" applyNumberFormat="1" applyFill="1" applyBorder="1" applyAlignment="1">
      <alignment vertical="top" wrapText="1"/>
    </xf>
    <xf numFmtId="2" fontId="3" fillId="0" borderId="0" xfId="2" applyNumberFormat="1" applyAlignment="1">
      <alignment horizontal="center" vertical="center" wrapText="1"/>
    </xf>
    <xf numFmtId="0" fontId="5" fillId="0" borderId="0" xfId="0" applyFont="1" applyAlignment="1">
      <alignment wrapText="1"/>
    </xf>
    <xf numFmtId="14" fontId="0" fillId="0" borderId="0" xfId="0" applyNumberFormat="1"/>
    <xf numFmtId="166" fontId="0" fillId="0" borderId="0" xfId="0" applyNumberFormat="1"/>
    <xf numFmtId="2" fontId="6" fillId="7" borderId="0" xfId="2" applyNumberFormat="1" applyFont="1" applyFill="1"/>
    <xf numFmtId="0" fontId="6" fillId="0" borderId="0" xfId="0" applyFont="1"/>
    <xf numFmtId="0" fontId="6" fillId="6" borderId="0" xfId="0" applyFont="1" applyFill="1"/>
    <xf numFmtId="0" fontId="2" fillId="0" borderId="0" xfId="1" applyFill="1"/>
    <xf numFmtId="0" fontId="0" fillId="0" borderId="0" xfId="0" applyFill="1"/>
    <xf numFmtId="167" fontId="0" fillId="0" borderId="0" xfId="0" applyNumberFormat="1"/>
    <xf numFmtId="0" fontId="1" fillId="8" borderId="0" xfId="0" applyFont="1" applyFill="1"/>
    <xf numFmtId="168" fontId="8" fillId="0" borderId="0" xfId="0" applyNumberFormat="1" applyFont="1"/>
    <xf numFmtId="0" fontId="1" fillId="0" borderId="0" xfId="0" applyNumberFormat="1" applyFont="1" applyAlignment="1">
      <alignment wrapText="1"/>
    </xf>
    <xf numFmtId="168" fontId="1" fillId="0" borderId="0" xfId="0" applyNumberFormat="1" applyFont="1"/>
    <xf numFmtId="0" fontId="1" fillId="0" borderId="0" xfId="0" applyNumberFormat="1" applyFont="1"/>
    <xf numFmtId="14" fontId="1" fillId="0" borderId="0" xfId="0" applyNumberFormat="1" applyFont="1"/>
    <xf numFmtId="168" fontId="1" fillId="0" borderId="0" xfId="0" applyNumberFormat="1" applyFont="1" applyAlignment="1">
      <alignment wrapText="1"/>
    </xf>
    <xf numFmtId="0" fontId="0" fillId="0" borderId="0" xfId="0" applyAlignment="1">
      <alignment wrapText="1"/>
    </xf>
    <xf numFmtId="49" fontId="1" fillId="0" borderId="0" xfId="0" applyNumberFormat="1" applyFont="1" applyAlignment="1">
      <alignment wrapText="1"/>
    </xf>
    <xf numFmtId="0" fontId="1" fillId="0" borderId="0" xfId="0" applyFont="1"/>
    <xf numFmtId="168" fontId="0" fillId="0" borderId="0" xfId="0" applyNumberFormat="1"/>
    <xf numFmtId="169" fontId="9" fillId="0" borderId="0" xfId="0" applyNumberFormat="1" applyFont="1"/>
    <xf numFmtId="169" fontId="10" fillId="0" borderId="0" xfId="0" applyNumberFormat="1" applyFont="1"/>
    <xf numFmtId="169" fontId="11" fillId="0" borderId="0" xfId="0" applyNumberFormat="1" applyFont="1"/>
    <xf numFmtId="0" fontId="0" fillId="0" borderId="0" xfId="0" applyFont="1"/>
    <xf numFmtId="0" fontId="13" fillId="0" borderId="0" xfId="0" applyFont="1"/>
    <xf numFmtId="0" fontId="2" fillId="0" borderId="0" xfId="1" applyFill="1" applyAlignment="1" applyProtection="1"/>
    <xf numFmtId="170" fontId="0" fillId="0" borderId="0" xfId="0" applyNumberFormat="1"/>
    <xf numFmtId="171" fontId="0" fillId="0" borderId="0" xfId="0" applyNumberFormat="1"/>
    <xf numFmtId="0" fontId="2" fillId="0" borderId="0" xfId="1" applyAlignment="1" applyProtection="1"/>
    <xf numFmtId="169" fontId="14" fillId="0" borderId="0" xfId="0" applyNumberFormat="1" applyFont="1"/>
  </cellXfs>
  <cellStyles count="4">
    <cellStyle name="Hyperlink" xfId="1" builtinId="8"/>
    <cellStyle name="Normal" xfId="0" builtinId="0"/>
    <cellStyle name="Normal 2" xfId="2" xr:uid="{CC0B3DE0-847B-4289-A4EC-A800F4E92523}"/>
    <cellStyle name="Normal 3" xfId="3" xr:uid="{6B4BF48F-34E3-435A-B9F2-4A4A53CB26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542S26S@EMERGEPR" TargetMode="External"/><Relationship Id="rId13" Type="http://schemas.openxmlformats.org/officeDocument/2006/relationships/hyperlink" Target="mailto:N534FKSV@EMERGEPR" TargetMode="External"/><Relationship Id="rId3" Type="http://schemas.openxmlformats.org/officeDocument/2006/relationships/hyperlink" Target="mailto:S542ELPW@EMERGEPR" TargetMode="External"/><Relationship Id="rId7" Type="http://schemas.openxmlformats.org/officeDocument/2006/relationships/hyperlink" Target="mailto:S542TSM@EMERGEPR" TargetMode="External"/><Relationship Id="rId12" Type="http://schemas.openxmlformats.org/officeDocument/2006/relationships/hyperlink" Target="mailto:S542M@MKTPMI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mailto:N542XJCB@EMERGEPR" TargetMode="External"/><Relationship Id="rId16" Type="http://schemas.openxmlformats.org/officeDocument/2006/relationships/hyperlink" Target="mailto:N534OASF@EMERGEPR" TargetMode="External"/><Relationship Id="rId1" Type="http://schemas.openxmlformats.org/officeDocument/2006/relationships/hyperlink" Target="mailto:S134M@MKTPMI" TargetMode="External"/><Relationship Id="rId6" Type="http://schemas.openxmlformats.org/officeDocument/2006/relationships/hyperlink" Target="mailto:S542TS26@EMERGEPR" TargetMode="External"/><Relationship Id="rId11" Type="http://schemas.openxmlformats.org/officeDocument/2006/relationships/hyperlink" Target="mailto:SM225@JAPAN" TargetMode="External"/><Relationship Id="rId5" Type="http://schemas.openxmlformats.org/officeDocument/2006/relationships/hyperlink" Target="mailto:S542BCGX@EMERGEPR" TargetMode="External"/><Relationship Id="rId15" Type="http://schemas.openxmlformats.org/officeDocument/2006/relationships/hyperlink" Target="mailto:N534XUSV@EMERGEPR" TargetMode="External"/><Relationship Id="rId10" Type="http://schemas.openxmlformats.org/officeDocument/2006/relationships/hyperlink" Target="mailto:JPEWSSC@JAPAN" TargetMode="External"/><Relationship Id="rId4" Type="http://schemas.openxmlformats.org/officeDocument/2006/relationships/hyperlink" Target="mailto:H542IM@EMERGEPR" TargetMode="External"/><Relationship Id="rId9" Type="http://schemas.openxmlformats.org/officeDocument/2006/relationships/hyperlink" Target="mailto:H542VLCC@EMERGEPR" TargetMode="External"/><Relationship Id="rId14" Type="http://schemas.openxmlformats.org/officeDocument/2006/relationships/hyperlink" Target="mailto:N534CNF@EMERGEPR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H534NFC@EMERGEPR" TargetMode="External"/><Relationship Id="rId1" Type="http://schemas.openxmlformats.org/officeDocument/2006/relationships/hyperlink" Target="mailto:REDPC2@JAPAN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368A9-9716-45E8-BF8B-0CD849EE3968}">
  <sheetPr>
    <tabColor rgb="FF0070C0"/>
  </sheetPr>
  <dimension ref="A1:BU247"/>
  <sheetViews>
    <sheetView workbookViewId="0">
      <pane xSplit="2" ySplit="5" topLeftCell="BC233" activePane="bottomRight" state="frozen"/>
      <selection pane="topRight" activeCell="C1" sqref="C1"/>
      <selection pane="bottomLeft" activeCell="A5" sqref="A5"/>
      <selection pane="bottomRight" activeCell="BC245" sqref="BC245"/>
    </sheetView>
  </sheetViews>
  <sheetFormatPr defaultColWidth="13.42578125" defaultRowHeight="15" x14ac:dyDescent="0.25"/>
  <sheetData>
    <row r="1" spans="1:73" x14ac:dyDescent="0.25">
      <c r="C1" t="s">
        <v>363</v>
      </c>
      <c r="D1" t="s">
        <v>364</v>
      </c>
      <c r="E1" t="s">
        <v>365</v>
      </c>
      <c r="F1" t="s">
        <v>361</v>
      </c>
      <c r="G1" t="s">
        <v>366</v>
      </c>
      <c r="H1" t="s">
        <v>367</v>
      </c>
      <c r="I1" t="s">
        <v>538</v>
      </c>
      <c r="J1" t="s">
        <v>539</v>
      </c>
      <c r="K1" t="s">
        <v>629</v>
      </c>
      <c r="L1" t="s">
        <v>517</v>
      </c>
      <c r="M1" t="s">
        <v>540</v>
      </c>
      <c r="N1" t="s">
        <v>630</v>
      </c>
      <c r="O1" t="s">
        <v>631</v>
      </c>
      <c r="P1" t="s">
        <v>632</v>
      </c>
      <c r="Q1" t="s">
        <v>633</v>
      </c>
      <c r="R1" t="s">
        <v>634</v>
      </c>
      <c r="S1" t="s">
        <v>635</v>
      </c>
      <c r="T1" t="s">
        <v>636</v>
      </c>
      <c r="U1" t="s">
        <v>637</v>
      </c>
      <c r="V1" t="s">
        <v>638</v>
      </c>
      <c r="W1" t="s">
        <v>639</v>
      </c>
      <c r="X1" t="s">
        <v>640</v>
      </c>
      <c r="Y1" t="s">
        <v>368</v>
      </c>
      <c r="Z1" t="s">
        <v>369</v>
      </c>
      <c r="AA1" t="s">
        <v>641</v>
      </c>
      <c r="AB1" t="s">
        <v>642</v>
      </c>
      <c r="AC1" t="s">
        <v>643</v>
      </c>
      <c r="AD1" t="s">
        <v>644</v>
      </c>
      <c r="AE1" t="s">
        <v>645</v>
      </c>
      <c r="AF1" t="s">
        <v>646</v>
      </c>
      <c r="AG1" t="s">
        <v>370</v>
      </c>
      <c r="AH1" t="s">
        <v>647</v>
      </c>
      <c r="AI1" t="s">
        <v>648</v>
      </c>
      <c r="AJ1" t="s">
        <v>362</v>
      </c>
      <c r="AK1" t="s">
        <v>649</v>
      </c>
      <c r="AL1" t="s">
        <v>650</v>
      </c>
      <c r="AM1" t="s">
        <v>371</v>
      </c>
      <c r="AN1" t="s">
        <v>651</v>
      </c>
      <c r="AO1" t="s">
        <v>652</v>
      </c>
      <c r="AP1" t="s">
        <v>371</v>
      </c>
      <c r="AQ1" t="s">
        <v>653</v>
      </c>
      <c r="AR1" t="s">
        <v>654</v>
      </c>
      <c r="AS1" t="s">
        <v>655</v>
      </c>
      <c r="AT1" t="s">
        <v>656</v>
      </c>
      <c r="AU1" t="s">
        <v>657</v>
      </c>
      <c r="AV1" t="s">
        <v>658</v>
      </c>
      <c r="AW1" t="s">
        <v>659</v>
      </c>
      <c r="AX1" t="s">
        <v>660</v>
      </c>
      <c r="AY1" t="s">
        <v>661</v>
      </c>
      <c r="AZ1" t="s">
        <v>662</v>
      </c>
      <c r="BA1" t="s">
        <v>427</v>
      </c>
      <c r="BB1" t="s">
        <v>663</v>
      </c>
      <c r="BC1" t="s">
        <v>664</v>
      </c>
      <c r="BD1" s="33" t="s">
        <v>665</v>
      </c>
      <c r="BE1" s="33" t="s">
        <v>666</v>
      </c>
      <c r="BF1" s="33" t="s">
        <v>671</v>
      </c>
      <c r="BG1" s="33" t="s">
        <v>673</v>
      </c>
      <c r="BH1" s="33" t="s">
        <v>670</v>
      </c>
      <c r="BI1" s="33" t="s">
        <v>672</v>
      </c>
      <c r="BJ1" s="33"/>
      <c r="BK1" s="33"/>
      <c r="BL1" s="33"/>
      <c r="BM1" s="33"/>
      <c r="BN1" s="33" t="s">
        <v>698</v>
      </c>
      <c r="BO1" s="33" t="s">
        <v>699</v>
      </c>
      <c r="BP1" s="33" t="s">
        <v>700</v>
      </c>
      <c r="BQ1" s="33" t="s">
        <v>694</v>
      </c>
      <c r="BR1" s="33" t="s">
        <v>695</v>
      </c>
      <c r="BS1" s="33" t="s">
        <v>696</v>
      </c>
      <c r="BT1" s="33" t="s">
        <v>697</v>
      </c>
      <c r="BU1" s="33" t="s">
        <v>704</v>
      </c>
    </row>
    <row r="2" spans="1:73" x14ac:dyDescent="0.25">
      <c r="A2" s="1" t="s">
        <v>0</v>
      </c>
      <c r="B2" s="1" t="s">
        <v>1</v>
      </c>
      <c r="C2" t="s">
        <v>505</v>
      </c>
      <c r="D2" t="s">
        <v>506</v>
      </c>
      <c r="E2" s="7" t="s">
        <v>507</v>
      </c>
      <c r="F2" t="s">
        <v>508</v>
      </c>
      <c r="G2" t="s">
        <v>509</v>
      </c>
      <c r="H2" t="s">
        <v>510</v>
      </c>
      <c r="I2" t="s">
        <v>511</v>
      </c>
      <c r="J2" t="s">
        <v>512</v>
      </c>
      <c r="K2" t="s">
        <v>513</v>
      </c>
      <c r="L2" s="7" t="s">
        <v>514</v>
      </c>
      <c r="M2" t="s">
        <v>515</v>
      </c>
      <c r="N2" t="s">
        <v>516</v>
      </c>
      <c r="O2" t="s">
        <v>541</v>
      </c>
      <c r="P2" t="s">
        <v>544</v>
      </c>
      <c r="Q2" t="s">
        <v>545</v>
      </c>
      <c r="R2" t="s">
        <v>546</v>
      </c>
      <c r="S2" t="s">
        <v>547</v>
      </c>
      <c r="T2" t="s">
        <v>548</v>
      </c>
      <c r="U2" t="s">
        <v>549</v>
      </c>
      <c r="V2" t="s">
        <v>550</v>
      </c>
      <c r="W2" t="s">
        <v>551</v>
      </c>
      <c r="X2" s="7" t="s">
        <v>625</v>
      </c>
      <c r="Y2" t="s">
        <v>560</v>
      </c>
      <c r="Z2" t="s">
        <v>561</v>
      </c>
      <c r="AA2" s="32" t="s">
        <v>562</v>
      </c>
      <c r="AB2" t="s">
        <v>563</v>
      </c>
      <c r="AC2" s="7" t="s">
        <v>580</v>
      </c>
      <c r="AD2" s="7" t="s">
        <v>564</v>
      </c>
      <c r="AE2" t="s">
        <v>627</v>
      </c>
      <c r="AF2" t="s">
        <v>575</v>
      </c>
      <c r="AG2" t="s">
        <v>581</v>
      </c>
      <c r="AH2" t="s">
        <v>576</v>
      </c>
      <c r="AI2" s="7" t="s">
        <v>582</v>
      </c>
      <c r="AJ2" s="7" t="s">
        <v>583</v>
      </c>
      <c r="AK2" s="7" t="s">
        <v>584</v>
      </c>
      <c r="AL2" s="7" t="s">
        <v>585</v>
      </c>
      <c r="AM2" s="7" t="s">
        <v>586</v>
      </c>
      <c r="AN2" t="s">
        <v>587</v>
      </c>
      <c r="AO2" t="s">
        <v>588</v>
      </c>
      <c r="AP2" t="s">
        <v>589</v>
      </c>
      <c r="AQ2" t="s">
        <v>590</v>
      </c>
      <c r="AR2" t="s">
        <v>591</v>
      </c>
      <c r="AS2" t="s">
        <v>592</v>
      </c>
      <c r="AT2" t="s">
        <v>593</v>
      </c>
      <c r="AU2" t="s">
        <v>594</v>
      </c>
      <c r="AV2" t="s">
        <v>595</v>
      </c>
      <c r="AW2" t="s">
        <v>596</v>
      </c>
      <c r="AX2" t="s">
        <v>597</v>
      </c>
      <c r="AY2" t="s">
        <v>598</v>
      </c>
      <c r="AZ2" t="s">
        <v>599</v>
      </c>
      <c r="BA2" s="7" t="s">
        <v>600</v>
      </c>
      <c r="BB2" s="53">
        <v>6</v>
      </c>
      <c r="BC2" s="53">
        <v>2</v>
      </c>
      <c r="BD2" s="53">
        <v>3</v>
      </c>
      <c r="BE2" s="53">
        <v>4</v>
      </c>
      <c r="BJ2" t="s">
        <v>678</v>
      </c>
      <c r="BK2" t="s">
        <v>679</v>
      </c>
      <c r="BL2" t="s">
        <v>680</v>
      </c>
      <c r="BM2" s="7" t="s">
        <v>681</v>
      </c>
      <c r="BN2" s="7" t="s">
        <v>682</v>
      </c>
      <c r="BO2" s="7" t="s">
        <v>683</v>
      </c>
      <c r="BP2" s="7" t="s">
        <v>684</v>
      </c>
      <c r="BQ2" s="7"/>
      <c r="BU2" s="54" t="s">
        <v>701</v>
      </c>
    </row>
    <row r="3" spans="1:73" s="26" customFormat="1" ht="114.75" x14ac:dyDescent="0.2">
      <c r="A3" s="26" t="s">
        <v>5</v>
      </c>
      <c r="C3" s="26" t="s">
        <v>519</v>
      </c>
      <c r="D3" s="26" t="s">
        <v>521</v>
      </c>
      <c r="E3" s="26" t="s">
        <v>522</v>
      </c>
      <c r="F3" s="26" t="s">
        <v>524</v>
      </c>
      <c r="G3" s="26" t="s">
        <v>526</v>
      </c>
      <c r="H3" s="26" t="s">
        <v>528</v>
      </c>
      <c r="I3" s="26" t="s">
        <v>530</v>
      </c>
      <c r="J3" s="26" t="s">
        <v>531</v>
      </c>
      <c r="K3" s="26" t="s">
        <v>532</v>
      </c>
      <c r="L3" s="26" t="s">
        <v>534</v>
      </c>
      <c r="M3" s="26" t="s">
        <v>535</v>
      </c>
      <c r="N3" s="26" t="s">
        <v>536</v>
      </c>
      <c r="O3" s="26" t="s">
        <v>543</v>
      </c>
      <c r="P3" s="26" t="s">
        <v>552</v>
      </c>
      <c r="Q3" s="26" t="s">
        <v>553</v>
      </c>
      <c r="R3" s="26" t="s">
        <v>554</v>
      </c>
      <c r="S3" s="26" t="s">
        <v>555</v>
      </c>
      <c r="T3" s="26" t="s">
        <v>556</v>
      </c>
      <c r="U3" s="26" t="s">
        <v>557</v>
      </c>
      <c r="V3" s="26" t="s">
        <v>558</v>
      </c>
      <c r="W3" s="26" t="s">
        <v>559</v>
      </c>
      <c r="X3" s="26" t="s">
        <v>626</v>
      </c>
      <c r="Y3" s="26" t="s">
        <v>567</v>
      </c>
      <c r="Z3" s="26" t="s">
        <v>568</v>
      </c>
      <c r="AA3" s="26" t="s">
        <v>570</v>
      </c>
      <c r="AB3" s="26" t="s">
        <v>571</v>
      </c>
      <c r="AC3" s="26" t="s">
        <v>601</v>
      </c>
      <c r="AD3" s="26" t="s">
        <v>573</v>
      </c>
      <c r="AE3" s="26" t="s">
        <v>628</v>
      </c>
      <c r="AF3" s="26" t="s">
        <v>578</v>
      </c>
      <c r="AG3" s="26" t="s">
        <v>603</v>
      </c>
      <c r="AH3" s="26" t="s">
        <v>579</v>
      </c>
      <c r="AI3" s="26" t="s">
        <v>604</v>
      </c>
      <c r="AJ3" s="26" t="s">
        <v>605</v>
      </c>
      <c r="AK3" s="26" t="s">
        <v>606</v>
      </c>
      <c r="AL3" s="26" t="s">
        <v>607</v>
      </c>
      <c r="AM3" s="26" t="s">
        <v>608</v>
      </c>
      <c r="AN3" s="26" t="s">
        <v>609</v>
      </c>
      <c r="AO3" s="26" t="s">
        <v>610</v>
      </c>
      <c r="AP3" s="26" t="s">
        <v>611</v>
      </c>
      <c r="AQ3" s="26" t="s">
        <v>612</v>
      </c>
      <c r="AR3" s="26" t="s">
        <v>613</v>
      </c>
      <c r="AS3" s="26" t="s">
        <v>614</v>
      </c>
      <c r="AT3" s="26" t="s">
        <v>615</v>
      </c>
      <c r="AU3" s="26" t="s">
        <v>616</v>
      </c>
      <c r="AV3" s="26" t="s">
        <v>617</v>
      </c>
      <c r="AW3" s="26" t="s">
        <v>618</v>
      </c>
      <c r="AX3" s="26" t="s">
        <v>619</v>
      </c>
      <c r="AY3" s="26" t="s">
        <v>621</v>
      </c>
      <c r="AZ3" s="26" t="s">
        <v>622</v>
      </c>
      <c r="BA3" s="26" t="s">
        <v>624</v>
      </c>
      <c r="BB3" s="26" t="s">
        <v>437</v>
      </c>
      <c r="BC3" s="26" t="s">
        <v>433</v>
      </c>
      <c r="BD3" s="26" t="s">
        <v>434</v>
      </c>
      <c r="BE3" s="26" t="s">
        <v>435</v>
      </c>
      <c r="BF3" s="26" t="s">
        <v>674</v>
      </c>
      <c r="BG3" s="26" t="s">
        <v>675</v>
      </c>
      <c r="BH3" s="26" t="s">
        <v>676</v>
      </c>
      <c r="BI3" s="26" t="s">
        <v>677</v>
      </c>
      <c r="BJ3" s="26" t="s">
        <v>686</v>
      </c>
      <c r="BK3" s="26" t="s">
        <v>687</v>
      </c>
      <c r="BL3" s="26" t="s">
        <v>688</v>
      </c>
      <c r="BM3" s="26" t="s">
        <v>689</v>
      </c>
      <c r="BN3" s="26" t="s">
        <v>690</v>
      </c>
      <c r="BO3" s="26" t="s">
        <v>691</v>
      </c>
      <c r="BP3" s="26" t="s">
        <v>693</v>
      </c>
      <c r="BU3" s="26" t="s">
        <v>703</v>
      </c>
    </row>
    <row r="4" spans="1:73" x14ac:dyDescent="0.25">
      <c r="A4" t="s">
        <v>4</v>
      </c>
      <c r="C4" t="s">
        <v>518</v>
      </c>
      <c r="D4" t="s">
        <v>520</v>
      </c>
      <c r="E4" t="s">
        <v>428</v>
      </c>
      <c r="F4" t="s">
        <v>523</v>
      </c>
      <c r="G4" t="s">
        <v>525</v>
      </c>
      <c r="H4" t="s">
        <v>527</v>
      </c>
      <c r="I4" t="s">
        <v>529</v>
      </c>
      <c r="J4" t="s">
        <v>529</v>
      </c>
      <c r="K4" t="s">
        <v>529</v>
      </c>
      <c r="L4" t="s">
        <v>533</v>
      </c>
      <c r="M4" t="s">
        <v>529</v>
      </c>
      <c r="N4" t="s">
        <v>529</v>
      </c>
      <c r="O4" t="s">
        <v>542</v>
      </c>
      <c r="P4" t="s">
        <v>542</v>
      </c>
      <c r="Q4" t="s">
        <v>542</v>
      </c>
      <c r="R4" t="s">
        <v>542</v>
      </c>
      <c r="S4" t="s">
        <v>542</v>
      </c>
      <c r="T4" t="s">
        <v>542</v>
      </c>
      <c r="U4" t="s">
        <v>542</v>
      </c>
      <c r="V4" t="s">
        <v>542</v>
      </c>
      <c r="W4" t="s">
        <v>542</v>
      </c>
      <c r="X4" t="s">
        <v>565</v>
      </c>
      <c r="Y4" t="s">
        <v>566</v>
      </c>
      <c r="Z4" t="s">
        <v>566</v>
      </c>
      <c r="AA4" t="s">
        <v>569</v>
      </c>
      <c r="AB4" t="s">
        <v>569</v>
      </c>
      <c r="AC4" t="s">
        <v>572</v>
      </c>
      <c r="AD4" t="s">
        <v>572</v>
      </c>
      <c r="AE4" t="s">
        <v>574</v>
      </c>
      <c r="AF4" t="s">
        <v>577</v>
      </c>
      <c r="AG4" t="s">
        <v>602</v>
      </c>
      <c r="AH4" t="s">
        <v>577</v>
      </c>
      <c r="AI4" t="s">
        <v>602</v>
      </c>
      <c r="AJ4" t="s">
        <v>602</v>
      </c>
      <c r="AK4" t="s">
        <v>602</v>
      </c>
      <c r="AL4" t="s">
        <v>602</v>
      </c>
      <c r="AM4" t="s">
        <v>602</v>
      </c>
      <c r="AN4" t="s">
        <v>602</v>
      </c>
      <c r="AO4" t="s">
        <v>602</v>
      </c>
      <c r="AP4" t="s">
        <v>602</v>
      </c>
      <c r="AQ4" t="s">
        <v>602</v>
      </c>
      <c r="AR4" t="s">
        <v>602</v>
      </c>
      <c r="AS4" t="s">
        <v>602</v>
      </c>
      <c r="AT4" t="s">
        <v>602</v>
      </c>
      <c r="AU4" t="s">
        <v>577</v>
      </c>
      <c r="AV4" t="s">
        <v>577</v>
      </c>
      <c r="AW4" t="s">
        <v>577</v>
      </c>
      <c r="AX4" t="s">
        <v>577</v>
      </c>
      <c r="AY4" t="s">
        <v>620</v>
      </c>
      <c r="AZ4" t="s">
        <v>577</v>
      </c>
      <c r="BA4" t="s">
        <v>623</v>
      </c>
      <c r="BJ4" t="s">
        <v>685</v>
      </c>
      <c r="BK4" t="s">
        <v>685</v>
      </c>
      <c r="BL4" t="s">
        <v>685</v>
      </c>
      <c r="BM4" t="s">
        <v>685</v>
      </c>
      <c r="BN4" t="s">
        <v>566</v>
      </c>
      <c r="BO4" t="s">
        <v>566</v>
      </c>
      <c r="BP4" t="s">
        <v>692</v>
      </c>
      <c r="BU4" t="s">
        <v>702</v>
      </c>
    </row>
    <row r="5" spans="1:73" x14ac:dyDescent="0.25">
      <c r="A5" t="s">
        <v>3</v>
      </c>
      <c r="C5" t="s">
        <v>705</v>
      </c>
      <c r="D5" t="s">
        <v>706</v>
      </c>
      <c r="E5" t="s">
        <v>707</v>
      </c>
      <c r="F5" t="s">
        <v>707</v>
      </c>
      <c r="G5" t="s">
        <v>707</v>
      </c>
      <c r="H5" t="s">
        <v>706</v>
      </c>
      <c r="I5" t="s">
        <v>706</v>
      </c>
      <c r="J5" t="s">
        <v>706</v>
      </c>
      <c r="K5" t="s">
        <v>706</v>
      </c>
      <c r="L5" t="s">
        <v>706</v>
      </c>
      <c r="M5" t="s">
        <v>706</v>
      </c>
      <c r="N5" t="s">
        <v>706</v>
      </c>
      <c r="O5" t="s">
        <v>706</v>
      </c>
      <c r="P5" t="s">
        <v>706</v>
      </c>
      <c r="Q5" t="s">
        <v>706</v>
      </c>
      <c r="R5" t="s">
        <v>706</v>
      </c>
      <c r="S5" t="s">
        <v>706</v>
      </c>
      <c r="T5" t="s">
        <v>706</v>
      </c>
      <c r="U5" t="s">
        <v>706</v>
      </c>
      <c r="V5" t="s">
        <v>706</v>
      </c>
      <c r="W5" t="s">
        <v>706</v>
      </c>
      <c r="X5" t="s">
        <v>707</v>
      </c>
      <c r="Y5" t="s">
        <v>707</v>
      </c>
      <c r="Z5" t="s">
        <v>707</v>
      </c>
      <c r="AA5" t="s">
        <v>706</v>
      </c>
      <c r="AB5" t="s">
        <v>706</v>
      </c>
      <c r="AC5" t="s">
        <v>707</v>
      </c>
      <c r="AD5" t="s">
        <v>707</v>
      </c>
      <c r="AE5" t="s">
        <v>707</v>
      </c>
      <c r="AF5" t="s">
        <v>707</v>
      </c>
      <c r="AG5" t="s">
        <v>707</v>
      </c>
      <c r="AH5" t="s">
        <v>707</v>
      </c>
      <c r="AI5" t="s">
        <v>707</v>
      </c>
      <c r="AJ5" t="s">
        <v>707</v>
      </c>
      <c r="AK5" t="s">
        <v>707</v>
      </c>
      <c r="AL5" t="s">
        <v>707</v>
      </c>
      <c r="AM5" t="s">
        <v>707</v>
      </c>
      <c r="AN5" t="s">
        <v>707</v>
      </c>
      <c r="AO5" t="s">
        <v>707</v>
      </c>
      <c r="AP5" t="s">
        <v>707</v>
      </c>
      <c r="AQ5" t="s">
        <v>707</v>
      </c>
      <c r="AR5" t="s">
        <v>707</v>
      </c>
      <c r="AS5" t="s">
        <v>707</v>
      </c>
      <c r="AT5" t="s">
        <v>707</v>
      </c>
      <c r="AU5" t="s">
        <v>707</v>
      </c>
      <c r="AV5" t="s">
        <v>707</v>
      </c>
      <c r="AW5" t="s">
        <v>707</v>
      </c>
      <c r="AX5" t="s">
        <v>707</v>
      </c>
      <c r="AY5" t="s">
        <v>707</v>
      </c>
      <c r="AZ5" t="s">
        <v>707</v>
      </c>
      <c r="BA5" t="s">
        <v>707</v>
      </c>
      <c r="BJ5" t="s">
        <v>706</v>
      </c>
      <c r="BK5" t="s">
        <v>706</v>
      </c>
      <c r="BL5" t="s">
        <v>706</v>
      </c>
      <c r="BM5" t="s">
        <v>706</v>
      </c>
      <c r="BN5" t="s">
        <v>707</v>
      </c>
      <c r="BO5" t="s">
        <v>707</v>
      </c>
      <c r="BP5" t="s">
        <v>707</v>
      </c>
      <c r="BU5" t="s">
        <v>707</v>
      </c>
    </row>
    <row r="6" spans="1:73" x14ac:dyDescent="0.25">
      <c r="A6" t="s">
        <v>2</v>
      </c>
      <c r="B6" s="2">
        <v>36556</v>
      </c>
      <c r="C6" s="3" t="e">
        <v>#N/A</v>
      </c>
      <c r="D6" s="28">
        <v>10.9434</v>
      </c>
      <c r="E6" s="34">
        <v>91.113640000000004</v>
      </c>
      <c r="F6" s="5" t="e">
        <v>#N/A</v>
      </c>
      <c r="G6" s="5" t="e">
        <v>#N/A</v>
      </c>
      <c r="H6" s="3">
        <v>44.61</v>
      </c>
      <c r="I6" s="3">
        <v>53.7</v>
      </c>
      <c r="J6" s="3">
        <v>26.22</v>
      </c>
      <c r="K6" s="3">
        <v>56.45</v>
      </c>
      <c r="L6" s="3" t="e">
        <v>#N/A</v>
      </c>
      <c r="M6" s="3">
        <v>22.46</v>
      </c>
      <c r="N6" s="3">
        <v>45.74</v>
      </c>
      <c r="O6" s="5" t="e">
        <v>#N/A</v>
      </c>
      <c r="P6" s="52" t="e">
        <v>#N/A</v>
      </c>
      <c r="Q6" s="52" t="e">
        <v>#N/A</v>
      </c>
      <c r="R6" s="52" t="e">
        <v>#N/A</v>
      </c>
      <c r="S6" s="52" t="e">
        <v>#N/A</v>
      </c>
      <c r="T6" s="52" t="e">
        <v>#N/A</v>
      </c>
      <c r="U6" s="52" t="e">
        <v>#N/A</v>
      </c>
      <c r="V6" s="52" t="e">
        <v>#N/A</v>
      </c>
      <c r="W6" s="52" t="e">
        <v>#N/A</v>
      </c>
      <c r="X6" s="3">
        <v>7897.1823513155277</v>
      </c>
      <c r="Y6" s="3">
        <v>2739.66</v>
      </c>
      <c r="Z6" s="3">
        <v>3874.06</v>
      </c>
      <c r="AA6" s="4" t="e">
        <v>#N/A</v>
      </c>
      <c r="AB6" s="4" t="e">
        <v>#N/A</v>
      </c>
      <c r="AC6" s="5" t="e">
        <v>#N/A</v>
      </c>
      <c r="AD6" s="5" t="e">
        <v>#N/A</v>
      </c>
      <c r="AE6" s="34">
        <v>58.82576880708875</v>
      </c>
      <c r="AF6" s="28" t="e">
        <v>#N/A</v>
      </c>
      <c r="AG6" s="28" t="e">
        <v>#N/A</v>
      </c>
      <c r="AH6" s="28" t="e">
        <v>#N/A</v>
      </c>
      <c r="AI6" s="28" t="e">
        <v>#N/A</v>
      </c>
      <c r="AJ6" s="28" t="e">
        <v>#N/A</v>
      </c>
      <c r="AK6" s="28" t="e">
        <v>#N/A</v>
      </c>
      <c r="AL6" s="28" t="e">
        <v>#N/A</v>
      </c>
      <c r="AM6" s="28" t="e">
        <v>#N/A</v>
      </c>
      <c r="AN6" s="28" t="e">
        <v>#N/A</v>
      </c>
      <c r="AO6" s="28" t="e">
        <v>#N/A</v>
      </c>
      <c r="AP6" s="28" t="e">
        <v>#N/A</v>
      </c>
      <c r="AQ6" s="28" t="e">
        <v>#N/A</v>
      </c>
      <c r="AR6" s="28" t="e">
        <v>#N/A</v>
      </c>
      <c r="AS6" s="28" t="e">
        <v>#N/A</v>
      </c>
      <c r="AT6" s="28" t="e">
        <v>#N/A</v>
      </c>
      <c r="AU6" s="28" t="e">
        <v>#N/A</v>
      </c>
      <c r="AV6" s="28" t="e">
        <v>#N/A</v>
      </c>
      <c r="AW6" s="28" t="e">
        <v>#N/A</v>
      </c>
      <c r="AX6" s="28" t="e">
        <v>#N/A</v>
      </c>
      <c r="AY6" s="28" t="e">
        <v>#N/A</v>
      </c>
      <c r="AZ6" s="28" t="e">
        <v>#N/A</v>
      </c>
      <c r="BA6" s="3">
        <v>5407.14</v>
      </c>
      <c r="BB6">
        <f>IF(ISNUMBER(VLOOKUP($B6,CEIC_DATA!$I$26:$N$353,Haver_M!BB$2,FALSE)),VLOOKUP($B6,CEIC_DATA!$I$26:$N$353,Haver_M!BB$2,FALSE),NA())</f>
        <v>118.5481652</v>
      </c>
      <c r="BC6" t="e">
        <f>IF(ISNUMBER(VLOOKUP($B6,CEIC_DATA!$I$26:$N$353,Haver_M!BC$2,FALSE)),VLOOKUP($B6,CEIC_DATA!$I$26:$N$353,Haver_M!BC$2,FALSE),NA())</f>
        <v>#N/A</v>
      </c>
      <c r="BD6" t="e">
        <f>IF(ISNUMBER(VLOOKUP($B6,CEIC_DATA!$I$26:$N$353,Haver_M!BD$2,FALSE)),VLOOKUP($B6,CEIC_DATA!$I$26:$N$353,Haver_M!BD$2,FALSE),NA())</f>
        <v>#N/A</v>
      </c>
      <c r="BE6" t="e">
        <f>IF(ISNUMBER(VLOOKUP($B6,CEIC_DATA!$I$26:$N$353,Haver_M!BE$2,FALSE)),VLOOKUP($B6,CEIC_DATA!$I$26:$N$353,Haver_M!BE$2,FALSE),NA())</f>
        <v>#N/A</v>
      </c>
      <c r="BJ6" s="3" t="e">
        <v>#N/A</v>
      </c>
      <c r="BK6" s="3" t="e">
        <v>#N/A</v>
      </c>
      <c r="BL6" s="3" t="e">
        <v>#N/A</v>
      </c>
      <c r="BM6" s="3" t="e">
        <v>#N/A</v>
      </c>
      <c r="BN6" s="3">
        <v>2748</v>
      </c>
      <c r="BO6" s="3">
        <v>3879</v>
      </c>
      <c r="BP6" s="28">
        <v>43.55</v>
      </c>
      <c r="BQ6" s="28" t="str">
        <f>IF(ISNUMBER(BJ6),BJ6/$BP6,"")</f>
        <v/>
      </c>
      <c r="BR6" s="28" t="str">
        <f t="shared" ref="BR6:BS6" si="0">IF(ISNUMBER(BK6),BK6/$BP6,"")</f>
        <v/>
      </c>
      <c r="BS6" s="28" t="str">
        <f t="shared" si="0"/>
        <v/>
      </c>
      <c r="BT6" s="28" t="str">
        <f>IF(ISNUMBER(BM6),BM6/$BP6,"")</f>
        <v/>
      </c>
      <c r="BU6" s="4">
        <v>31165</v>
      </c>
    </row>
    <row r="7" spans="1:73" x14ac:dyDescent="0.25">
      <c r="A7" t="s">
        <v>6</v>
      </c>
      <c r="B7" s="2">
        <v>36585</v>
      </c>
      <c r="C7" s="3" t="e">
        <v>#N/A</v>
      </c>
      <c r="D7" s="28">
        <v>10.441599999999999</v>
      </c>
      <c r="E7" s="34">
        <v>92.206590000000006</v>
      </c>
      <c r="F7" s="5" t="e">
        <v>#N/A</v>
      </c>
      <c r="G7" s="5" t="e">
        <v>#N/A</v>
      </c>
      <c r="H7" s="3">
        <v>44.07</v>
      </c>
      <c r="I7" s="3">
        <v>53.84</v>
      </c>
      <c r="J7" s="3">
        <v>26.76</v>
      </c>
      <c r="K7" s="3">
        <v>55.37</v>
      </c>
      <c r="L7" s="3" t="e">
        <v>#N/A</v>
      </c>
      <c r="M7" s="3">
        <v>23.3</v>
      </c>
      <c r="N7" s="3">
        <v>45.97</v>
      </c>
      <c r="O7" s="5" t="e">
        <v>#N/A</v>
      </c>
      <c r="P7" s="52" t="e">
        <v>#N/A</v>
      </c>
      <c r="Q7" s="52" t="e">
        <v>#N/A</v>
      </c>
      <c r="R7" s="52" t="e">
        <v>#N/A</v>
      </c>
      <c r="S7" s="52" t="e">
        <v>#N/A</v>
      </c>
      <c r="T7" s="52" t="e">
        <v>#N/A</v>
      </c>
      <c r="U7" s="52" t="e">
        <v>#N/A</v>
      </c>
      <c r="V7" s="52" t="e">
        <v>#N/A</v>
      </c>
      <c r="W7" s="52" t="e">
        <v>#N/A</v>
      </c>
      <c r="X7" s="3">
        <v>8487.2218183103996</v>
      </c>
      <c r="Y7" s="3">
        <v>3406.19</v>
      </c>
      <c r="Z7" s="3">
        <v>4558.46</v>
      </c>
      <c r="AA7" s="4" t="e">
        <v>#N/A</v>
      </c>
      <c r="AB7" s="4" t="e">
        <v>#N/A</v>
      </c>
      <c r="AC7" s="5" t="e">
        <v>#N/A</v>
      </c>
      <c r="AD7" s="5" t="e">
        <v>#N/A</v>
      </c>
      <c r="AE7" s="34">
        <v>56.396633189140083</v>
      </c>
      <c r="AF7" s="28" t="e">
        <v>#N/A</v>
      </c>
      <c r="AG7" s="28" t="e">
        <v>#N/A</v>
      </c>
      <c r="AH7" s="28" t="e">
        <v>#N/A</v>
      </c>
      <c r="AI7" s="28" t="e">
        <v>#N/A</v>
      </c>
      <c r="AJ7" s="28" t="e">
        <v>#N/A</v>
      </c>
      <c r="AK7" s="28" t="e">
        <v>#N/A</v>
      </c>
      <c r="AL7" s="28" t="e">
        <v>#N/A</v>
      </c>
      <c r="AM7" s="28" t="e">
        <v>#N/A</v>
      </c>
      <c r="AN7" s="28" t="e">
        <v>#N/A</v>
      </c>
      <c r="AO7" s="28" t="e">
        <v>#N/A</v>
      </c>
      <c r="AP7" s="28" t="e">
        <v>#N/A</v>
      </c>
      <c r="AQ7" s="28" t="e">
        <v>#N/A</v>
      </c>
      <c r="AR7" s="28" t="e">
        <v>#N/A</v>
      </c>
      <c r="AS7" s="28" t="e">
        <v>#N/A</v>
      </c>
      <c r="AT7" s="28" t="e">
        <v>#N/A</v>
      </c>
      <c r="AU7" s="28" t="e">
        <v>#N/A</v>
      </c>
      <c r="AV7" s="28" t="e">
        <v>#N/A</v>
      </c>
      <c r="AW7" s="28" t="e">
        <v>#N/A</v>
      </c>
      <c r="AX7" s="28" t="e">
        <v>#N/A</v>
      </c>
      <c r="AY7" s="28" t="e">
        <v>#N/A</v>
      </c>
      <c r="AZ7" s="28" t="e">
        <v>#N/A</v>
      </c>
      <c r="BA7" s="3">
        <v>5650.66</v>
      </c>
      <c r="BB7">
        <f>IF(ISNUMBER(VLOOKUP($B7,CEIC_DATA!$I$26:$N$353,Haver_M!BB$2,FALSE)),VLOOKUP($B7,CEIC_DATA!$I$26:$N$353,Haver_M!BB$2,FALSE),NA())</f>
        <v>118.91702409</v>
      </c>
      <c r="BC7" t="e">
        <f>IF(ISNUMBER(VLOOKUP($B7,CEIC_DATA!$I$26:$N$353,Haver_M!BC$2,FALSE)),VLOOKUP($B7,CEIC_DATA!$I$26:$N$353,Haver_M!BC$2,FALSE),NA())</f>
        <v>#N/A</v>
      </c>
      <c r="BD7" t="e">
        <f>IF(ISNUMBER(VLOOKUP($B7,CEIC_DATA!$I$26:$N$353,Haver_M!BD$2,FALSE)),VLOOKUP($B7,CEIC_DATA!$I$26:$N$353,Haver_M!BD$2,FALSE),NA())</f>
        <v>#N/A</v>
      </c>
      <c r="BE7" t="e">
        <f>IF(ISNUMBER(VLOOKUP($B7,CEIC_DATA!$I$26:$N$353,Haver_M!BE$2,FALSE)),VLOOKUP($B7,CEIC_DATA!$I$26:$N$353,Haver_M!BE$2,FALSE),NA())</f>
        <v>#N/A</v>
      </c>
      <c r="BJ7" s="3" t="e">
        <v>#N/A</v>
      </c>
      <c r="BK7" s="3" t="e">
        <v>#N/A</v>
      </c>
      <c r="BL7" s="3" t="e">
        <v>#N/A</v>
      </c>
      <c r="BM7" s="3" t="e">
        <v>#N/A</v>
      </c>
      <c r="BN7" s="3">
        <v>3404</v>
      </c>
      <c r="BO7" s="3">
        <v>4344</v>
      </c>
      <c r="BP7" s="28">
        <v>43.613599999999998</v>
      </c>
      <c r="BQ7" s="28" t="str">
        <f t="shared" ref="BQ7:BQ70" si="1">IF(ISNUMBER(BJ7),BJ7/$BP7,"")</f>
        <v/>
      </c>
      <c r="BR7" s="28" t="str">
        <f t="shared" ref="BR7:BR70" si="2">IF(ISNUMBER(BK7),BK7/$BP7,"")</f>
        <v/>
      </c>
      <c r="BS7" s="28" t="str">
        <f t="shared" ref="BS7:BS70" si="3">IF(ISNUMBER(BL7),BL7/$BP7,"")</f>
        <v/>
      </c>
      <c r="BT7" s="28" t="str">
        <f t="shared" ref="BT7:BT70" si="4">IF(ISNUMBER(BM7),BM7/$BP7,"")</f>
        <v/>
      </c>
      <c r="BU7" s="4">
        <v>30452</v>
      </c>
    </row>
    <row r="8" spans="1:73" x14ac:dyDescent="0.25">
      <c r="A8" t="s">
        <v>7</v>
      </c>
      <c r="B8" s="2">
        <v>36616</v>
      </c>
      <c r="C8" s="3" t="e">
        <v>#N/A</v>
      </c>
      <c r="D8" s="28">
        <v>10.866300000000001</v>
      </c>
      <c r="E8" s="34">
        <v>94.059749999999994</v>
      </c>
      <c r="F8" s="5" t="e">
        <v>#N/A</v>
      </c>
      <c r="G8" s="5" t="e">
        <v>#N/A</v>
      </c>
      <c r="H8" s="3">
        <v>45.67</v>
      </c>
      <c r="I8" s="3">
        <v>55.16</v>
      </c>
      <c r="J8" s="3">
        <v>26.04</v>
      </c>
      <c r="K8" s="3">
        <v>56.77</v>
      </c>
      <c r="L8" s="3" t="e">
        <v>#N/A</v>
      </c>
      <c r="M8" s="3">
        <v>25.83</v>
      </c>
      <c r="N8" s="3">
        <v>46.55</v>
      </c>
      <c r="O8" s="5" t="e">
        <v>#N/A</v>
      </c>
      <c r="P8" s="52" t="e">
        <v>#N/A</v>
      </c>
      <c r="Q8" s="52" t="e">
        <v>#N/A</v>
      </c>
      <c r="R8" s="52" t="e">
        <v>#N/A</v>
      </c>
      <c r="S8" s="52" t="e">
        <v>#N/A</v>
      </c>
      <c r="T8" s="52" t="e">
        <v>#N/A</v>
      </c>
      <c r="U8" s="52" t="e">
        <v>#N/A</v>
      </c>
      <c r="V8" s="52" t="e">
        <v>#N/A</v>
      </c>
      <c r="W8" s="52" t="e">
        <v>#N/A</v>
      </c>
      <c r="X8" s="3">
        <v>8182.9762522134779</v>
      </c>
      <c r="Y8" s="3">
        <v>3354.8</v>
      </c>
      <c r="Z8" s="3">
        <v>4577.21</v>
      </c>
      <c r="AA8" s="4" t="e">
        <v>#N/A</v>
      </c>
      <c r="AB8" s="4" t="e">
        <v>#N/A</v>
      </c>
      <c r="AC8" s="5" t="e">
        <v>#N/A</v>
      </c>
      <c r="AD8" s="5" t="e">
        <v>#N/A</v>
      </c>
      <c r="AE8" s="34">
        <v>62.373813254173541</v>
      </c>
      <c r="AF8" s="28" t="e">
        <v>#N/A</v>
      </c>
      <c r="AG8" s="28" t="e">
        <v>#N/A</v>
      </c>
      <c r="AH8" s="28" t="e">
        <v>#N/A</v>
      </c>
      <c r="AI8" s="28" t="e">
        <v>#N/A</v>
      </c>
      <c r="AJ8" s="28" t="e">
        <v>#N/A</v>
      </c>
      <c r="AK8" s="28" t="e">
        <v>#N/A</v>
      </c>
      <c r="AL8" s="28" t="e">
        <v>#N/A</v>
      </c>
      <c r="AM8" s="28" t="e">
        <v>#N/A</v>
      </c>
      <c r="AN8" s="28" t="e">
        <v>#N/A</v>
      </c>
      <c r="AO8" s="28" t="e">
        <v>#N/A</v>
      </c>
      <c r="AP8" s="28" t="e">
        <v>#N/A</v>
      </c>
      <c r="AQ8" s="28" t="e">
        <v>#N/A</v>
      </c>
      <c r="AR8" s="28" t="e">
        <v>#N/A</v>
      </c>
      <c r="AS8" s="28" t="e">
        <v>#N/A</v>
      </c>
      <c r="AT8" s="28" t="e">
        <v>#N/A</v>
      </c>
      <c r="AU8" s="28" t="e">
        <v>#N/A</v>
      </c>
      <c r="AV8" s="28" t="e">
        <v>#N/A</v>
      </c>
      <c r="AW8" s="28" t="e">
        <v>#N/A</v>
      </c>
      <c r="AX8" s="28" t="e">
        <v>#N/A</v>
      </c>
      <c r="AY8" s="28" t="e">
        <v>#N/A</v>
      </c>
      <c r="AZ8" s="28" t="e">
        <v>#N/A</v>
      </c>
      <c r="BA8" s="3">
        <v>5261.77</v>
      </c>
      <c r="BB8">
        <f>IF(ISNUMBER(VLOOKUP($B8,CEIC_DATA!$I$26:$N$353,Haver_M!BB$2,FALSE)),VLOOKUP($B8,CEIC_DATA!$I$26:$N$353,Haver_M!BB$2,FALSE),NA())</f>
        <v>118.53685416</v>
      </c>
      <c r="BC8">
        <f>IF(ISNUMBER(VLOOKUP($B8,CEIC_DATA!$I$26:$N$353,Haver_M!BC$2,FALSE)),VLOOKUP($B8,CEIC_DATA!$I$26:$N$353,Haver_M!BC$2,FALSE),NA())</f>
        <v>122.8</v>
      </c>
      <c r="BD8" t="e">
        <f>IF(ISNUMBER(VLOOKUP($B8,CEIC_DATA!$I$26:$N$353,Haver_M!BD$2,FALSE)),VLOOKUP($B8,CEIC_DATA!$I$26:$N$353,Haver_M!BD$2,FALSE),NA())</f>
        <v>#N/A</v>
      </c>
      <c r="BE8" t="e">
        <f>IF(ISNUMBER(VLOOKUP($B8,CEIC_DATA!$I$26:$N$353,Haver_M!BE$2,FALSE)),VLOOKUP($B8,CEIC_DATA!$I$26:$N$353,Haver_M!BE$2,FALSE),NA())</f>
        <v>#N/A</v>
      </c>
      <c r="BJ8" s="3" t="e">
        <v>#N/A</v>
      </c>
      <c r="BK8" s="3" t="e">
        <v>#N/A</v>
      </c>
      <c r="BL8" s="3" t="e">
        <v>#N/A</v>
      </c>
      <c r="BM8" s="3" t="e">
        <v>#N/A</v>
      </c>
      <c r="BN8" s="3">
        <v>3860</v>
      </c>
      <c r="BO8" s="3">
        <v>4871</v>
      </c>
      <c r="BP8" s="28">
        <v>43.585700000000003</v>
      </c>
      <c r="BQ8" s="28" t="str">
        <f t="shared" si="1"/>
        <v/>
      </c>
      <c r="BR8" s="28" t="str">
        <f t="shared" si="2"/>
        <v/>
      </c>
      <c r="BS8" s="28" t="str">
        <f t="shared" si="3"/>
        <v/>
      </c>
      <c r="BT8" s="28" t="str">
        <f t="shared" si="4"/>
        <v/>
      </c>
      <c r="BU8" s="4">
        <v>28906</v>
      </c>
    </row>
    <row r="9" spans="1:73" x14ac:dyDescent="0.25">
      <c r="A9" t="s">
        <v>8</v>
      </c>
      <c r="B9" s="2">
        <v>36646</v>
      </c>
      <c r="C9" s="3" t="e">
        <v>#N/A</v>
      </c>
      <c r="D9" s="28">
        <v>10.366300000000001</v>
      </c>
      <c r="E9" s="34">
        <v>95.740129999999994</v>
      </c>
      <c r="F9" s="5" t="e">
        <v>#N/A</v>
      </c>
      <c r="G9" s="5" t="e">
        <v>#N/A</v>
      </c>
      <c r="H9" s="3">
        <v>45.86</v>
      </c>
      <c r="I9" s="3">
        <v>54.3</v>
      </c>
      <c r="J9" s="3">
        <v>29.41</v>
      </c>
      <c r="K9" s="3">
        <v>57.06</v>
      </c>
      <c r="L9" s="3" t="e">
        <v>#N/A</v>
      </c>
      <c r="M9" s="3">
        <v>24.91</v>
      </c>
      <c r="N9" s="3">
        <v>46.49</v>
      </c>
      <c r="O9" s="5" t="e">
        <v>#N/A</v>
      </c>
      <c r="P9" s="52" t="e">
        <v>#N/A</v>
      </c>
      <c r="Q9" s="52" t="e">
        <v>#N/A</v>
      </c>
      <c r="R9" s="52" t="e">
        <v>#N/A</v>
      </c>
      <c r="S9" s="52" t="e">
        <v>#N/A</v>
      </c>
      <c r="T9" s="52" t="e">
        <v>#N/A</v>
      </c>
      <c r="U9" s="52" t="e">
        <v>#N/A</v>
      </c>
      <c r="V9" s="52" t="e">
        <v>#N/A</v>
      </c>
      <c r="W9" s="52" t="e">
        <v>#N/A</v>
      </c>
      <c r="X9" s="3">
        <v>8274.9538466552713</v>
      </c>
      <c r="Y9" s="3">
        <v>3422.47</v>
      </c>
      <c r="Z9" s="3">
        <v>4551.49</v>
      </c>
      <c r="AA9" s="4" t="e">
        <v>#N/A</v>
      </c>
      <c r="AB9" s="4" t="e">
        <v>#N/A</v>
      </c>
      <c r="AC9" s="5" t="e">
        <v>#N/A</v>
      </c>
      <c r="AD9" s="5" t="e">
        <v>#N/A</v>
      </c>
      <c r="AE9" s="34">
        <v>75.890914205837248</v>
      </c>
      <c r="AF9" s="28" t="e">
        <v>#N/A</v>
      </c>
      <c r="AG9" s="28" t="e">
        <v>#N/A</v>
      </c>
      <c r="AH9" s="28" t="e">
        <v>#N/A</v>
      </c>
      <c r="AI9" s="28" t="e">
        <v>#N/A</v>
      </c>
      <c r="AJ9" s="28" t="e">
        <v>#N/A</v>
      </c>
      <c r="AK9" s="28" t="e">
        <v>#N/A</v>
      </c>
      <c r="AL9" s="28" t="e">
        <v>#N/A</v>
      </c>
      <c r="AM9" s="28" t="e">
        <v>#N/A</v>
      </c>
      <c r="AN9" s="28" t="e">
        <v>#N/A</v>
      </c>
      <c r="AO9" s="28" t="e">
        <v>#N/A</v>
      </c>
      <c r="AP9" s="28" t="e">
        <v>#N/A</v>
      </c>
      <c r="AQ9" s="28" t="e">
        <v>#N/A</v>
      </c>
      <c r="AR9" s="28" t="e">
        <v>#N/A</v>
      </c>
      <c r="AS9" s="28" t="e">
        <v>#N/A</v>
      </c>
      <c r="AT9" s="28" t="e">
        <v>#N/A</v>
      </c>
      <c r="AU9" s="28" t="e">
        <v>#N/A</v>
      </c>
      <c r="AV9" s="28" t="e">
        <v>#N/A</v>
      </c>
      <c r="AW9" s="28" t="e">
        <v>#N/A</v>
      </c>
      <c r="AX9" s="28" t="e">
        <v>#N/A</v>
      </c>
      <c r="AY9" s="28" t="e">
        <v>#N/A</v>
      </c>
      <c r="AZ9" s="28" t="e">
        <v>#N/A</v>
      </c>
      <c r="BA9" s="3">
        <v>4905.3</v>
      </c>
      <c r="BB9">
        <f>IF(ISNUMBER(VLOOKUP($B9,CEIC_DATA!$I$26:$N$353,Haver_M!BB$2,FALSE)),VLOOKUP($B9,CEIC_DATA!$I$26:$N$353,Haver_M!BB$2,FALSE),NA())</f>
        <v>117.60795417999999</v>
      </c>
      <c r="BC9" t="e">
        <f>IF(ISNUMBER(VLOOKUP($B9,CEIC_DATA!$I$26:$N$353,Haver_M!BC$2,FALSE)),VLOOKUP($B9,CEIC_DATA!$I$26:$N$353,Haver_M!BC$2,FALSE),NA())</f>
        <v>#N/A</v>
      </c>
      <c r="BD9" t="e">
        <f>IF(ISNUMBER(VLOOKUP($B9,CEIC_DATA!$I$26:$N$353,Haver_M!BD$2,FALSE)),VLOOKUP($B9,CEIC_DATA!$I$26:$N$353,Haver_M!BD$2,FALSE),NA())</f>
        <v>#N/A</v>
      </c>
      <c r="BE9" t="e">
        <f>IF(ISNUMBER(VLOOKUP($B9,CEIC_DATA!$I$26:$N$353,Haver_M!BE$2,FALSE)),VLOOKUP($B9,CEIC_DATA!$I$26:$N$353,Haver_M!BE$2,FALSE),NA())</f>
        <v>#N/A</v>
      </c>
      <c r="BJ9" s="3" t="e">
        <v>#N/A</v>
      </c>
      <c r="BK9" s="3" t="e">
        <v>#N/A</v>
      </c>
      <c r="BL9" s="3" t="e">
        <v>#N/A</v>
      </c>
      <c r="BM9" s="3" t="e">
        <v>#N/A</v>
      </c>
      <c r="BN9" s="3">
        <v>3310</v>
      </c>
      <c r="BO9" s="3">
        <v>4401</v>
      </c>
      <c r="BP9" s="28">
        <v>43.638800000000003</v>
      </c>
      <c r="BQ9" s="28" t="str">
        <f t="shared" si="1"/>
        <v/>
      </c>
      <c r="BR9" s="28" t="str">
        <f t="shared" si="2"/>
        <v/>
      </c>
      <c r="BS9" s="28" t="str">
        <f t="shared" si="3"/>
        <v/>
      </c>
      <c r="BT9" s="28" t="str">
        <f t="shared" si="4"/>
        <v/>
      </c>
      <c r="BU9" s="4">
        <v>36577</v>
      </c>
    </row>
    <row r="10" spans="1:73" x14ac:dyDescent="0.25">
      <c r="A10" t="s">
        <v>9</v>
      </c>
      <c r="B10" s="2">
        <v>36677</v>
      </c>
      <c r="C10" s="3" t="e">
        <v>#N/A</v>
      </c>
      <c r="D10" s="28">
        <v>10.8186</v>
      </c>
      <c r="E10" s="34">
        <v>96.779809999999998</v>
      </c>
      <c r="F10" s="5" t="e">
        <v>#N/A</v>
      </c>
      <c r="G10" s="5" t="e">
        <v>#N/A</v>
      </c>
      <c r="H10" s="3">
        <v>46.05</v>
      </c>
      <c r="I10" s="3">
        <v>55.04</v>
      </c>
      <c r="J10" s="3">
        <v>27.13</v>
      </c>
      <c r="K10" s="3">
        <v>58.18</v>
      </c>
      <c r="L10" s="3" t="e">
        <v>#N/A</v>
      </c>
      <c r="M10" s="3">
        <v>25.83</v>
      </c>
      <c r="N10" s="3">
        <v>46.12</v>
      </c>
      <c r="O10" s="5" t="e">
        <v>#N/A</v>
      </c>
      <c r="P10" s="52" t="e">
        <v>#N/A</v>
      </c>
      <c r="Q10" s="52" t="e">
        <v>#N/A</v>
      </c>
      <c r="R10" s="52" t="e">
        <v>#N/A</v>
      </c>
      <c r="S10" s="52" t="e">
        <v>#N/A</v>
      </c>
      <c r="T10" s="52" t="e">
        <v>#N/A</v>
      </c>
      <c r="U10" s="52" t="e">
        <v>#N/A</v>
      </c>
      <c r="V10" s="52" t="e">
        <v>#N/A</v>
      </c>
      <c r="W10" s="52" t="e">
        <v>#N/A</v>
      </c>
      <c r="X10" s="3">
        <v>8384.7270272133719</v>
      </c>
      <c r="Y10" s="3">
        <v>3687.09</v>
      </c>
      <c r="Z10" s="3">
        <v>4212.82</v>
      </c>
      <c r="AA10" s="4" t="e">
        <v>#N/A</v>
      </c>
      <c r="AB10" s="4" t="e">
        <v>#N/A</v>
      </c>
      <c r="AC10" s="5" t="e">
        <v>#N/A</v>
      </c>
      <c r="AD10" s="5" t="e">
        <v>#N/A</v>
      </c>
      <c r="AE10" s="34">
        <v>66.784843832430838</v>
      </c>
      <c r="AF10" s="28" t="e">
        <v>#N/A</v>
      </c>
      <c r="AG10" s="28" t="e">
        <v>#N/A</v>
      </c>
      <c r="AH10" s="28" t="e">
        <v>#N/A</v>
      </c>
      <c r="AI10" s="28" t="e">
        <v>#N/A</v>
      </c>
      <c r="AJ10" s="28" t="e">
        <v>#N/A</v>
      </c>
      <c r="AK10" s="28" t="e">
        <v>#N/A</v>
      </c>
      <c r="AL10" s="28" t="e">
        <v>#N/A</v>
      </c>
      <c r="AM10" s="28" t="e">
        <v>#N/A</v>
      </c>
      <c r="AN10" s="28" t="e">
        <v>#N/A</v>
      </c>
      <c r="AO10" s="28" t="e">
        <v>#N/A</v>
      </c>
      <c r="AP10" s="28" t="e">
        <v>#N/A</v>
      </c>
      <c r="AQ10" s="28" t="e">
        <v>#N/A</v>
      </c>
      <c r="AR10" s="28" t="e">
        <v>#N/A</v>
      </c>
      <c r="AS10" s="28" t="e">
        <v>#N/A</v>
      </c>
      <c r="AT10" s="28" t="e">
        <v>#N/A</v>
      </c>
      <c r="AU10" s="28" t="e">
        <v>#N/A</v>
      </c>
      <c r="AV10" s="28" t="e">
        <v>#N/A</v>
      </c>
      <c r="AW10" s="28" t="e">
        <v>#N/A</v>
      </c>
      <c r="AX10" s="28" t="e">
        <v>#N/A</v>
      </c>
      <c r="AY10" s="28" t="e">
        <v>#N/A</v>
      </c>
      <c r="AZ10" s="28" t="e">
        <v>#N/A</v>
      </c>
      <c r="BA10" s="3">
        <v>4253.1099999999997</v>
      </c>
      <c r="BB10">
        <f>IF(ISNUMBER(VLOOKUP($B10,CEIC_DATA!$I$26:$N$353,Haver_M!BB$2,FALSE)),VLOOKUP($B10,CEIC_DATA!$I$26:$N$353,Haver_M!BB$2,FALSE),NA())</f>
        <v>116.38075942</v>
      </c>
      <c r="BC10" t="e">
        <f>IF(ISNUMBER(VLOOKUP($B10,CEIC_DATA!$I$26:$N$353,Haver_M!BC$2,FALSE)),VLOOKUP($B10,CEIC_DATA!$I$26:$N$353,Haver_M!BC$2,FALSE),NA())</f>
        <v>#N/A</v>
      </c>
      <c r="BD10" t="e">
        <f>IF(ISNUMBER(VLOOKUP($B10,CEIC_DATA!$I$26:$N$353,Haver_M!BD$2,FALSE)),VLOOKUP($B10,CEIC_DATA!$I$26:$N$353,Haver_M!BD$2,FALSE),NA())</f>
        <v>#N/A</v>
      </c>
      <c r="BE10" t="e">
        <f>IF(ISNUMBER(VLOOKUP($B10,CEIC_DATA!$I$26:$N$353,Haver_M!BE$2,FALSE)),VLOOKUP($B10,CEIC_DATA!$I$26:$N$353,Haver_M!BE$2,FALSE),NA())</f>
        <v>#N/A</v>
      </c>
      <c r="BJ10" s="3" t="e">
        <v>#N/A</v>
      </c>
      <c r="BK10" s="3" t="e">
        <v>#N/A</v>
      </c>
      <c r="BL10" s="3" t="e">
        <v>#N/A</v>
      </c>
      <c r="BM10" s="3" t="e">
        <v>#N/A</v>
      </c>
      <c r="BN10" s="3">
        <v>3577</v>
      </c>
      <c r="BO10" s="3">
        <v>4371</v>
      </c>
      <c r="BP10" s="28">
        <v>43.982900000000001</v>
      </c>
      <c r="BQ10" s="28" t="str">
        <f t="shared" si="1"/>
        <v/>
      </c>
      <c r="BR10" s="28" t="str">
        <f t="shared" si="2"/>
        <v/>
      </c>
      <c r="BS10" s="28" t="str">
        <f t="shared" si="3"/>
        <v/>
      </c>
      <c r="BT10" s="28" t="str">
        <f t="shared" si="4"/>
        <v/>
      </c>
      <c r="BU10" s="4">
        <v>42885</v>
      </c>
    </row>
    <row r="11" spans="1:73" x14ac:dyDescent="0.25">
      <c r="A11" t="s">
        <v>10</v>
      </c>
      <c r="B11" s="2">
        <v>36707</v>
      </c>
      <c r="C11" s="3" t="e">
        <v>#N/A</v>
      </c>
      <c r="D11" s="28">
        <v>11.1004</v>
      </c>
      <c r="E11" s="34">
        <v>93.666550000000001</v>
      </c>
      <c r="F11" s="5" t="e">
        <v>#N/A</v>
      </c>
      <c r="G11" s="5" t="e">
        <v>#N/A</v>
      </c>
      <c r="H11" s="3">
        <v>45.8</v>
      </c>
      <c r="I11" s="3">
        <v>55.37</v>
      </c>
      <c r="J11" s="3">
        <v>27.31</v>
      </c>
      <c r="K11" s="3">
        <v>57.25</v>
      </c>
      <c r="L11" s="3" t="e">
        <v>#N/A</v>
      </c>
      <c r="M11" s="3">
        <v>25.58</v>
      </c>
      <c r="N11" s="3">
        <v>45.87</v>
      </c>
      <c r="O11" s="5" t="e">
        <v>#N/A</v>
      </c>
      <c r="P11" s="52" t="e">
        <v>#N/A</v>
      </c>
      <c r="Q11" s="52" t="e">
        <v>#N/A</v>
      </c>
      <c r="R11" s="52" t="e">
        <v>#N/A</v>
      </c>
      <c r="S11" s="52" t="e">
        <v>#N/A</v>
      </c>
      <c r="T11" s="52" t="e">
        <v>#N/A</v>
      </c>
      <c r="U11" s="52" t="e">
        <v>#N/A</v>
      </c>
      <c r="V11" s="52" t="e">
        <v>#N/A</v>
      </c>
      <c r="W11" s="52" t="e">
        <v>#N/A</v>
      </c>
      <c r="X11" s="3">
        <v>8235.3561632377496</v>
      </c>
      <c r="Y11" s="3">
        <v>3631.69</v>
      </c>
      <c r="Z11" s="3">
        <v>4263.3</v>
      </c>
      <c r="AA11" s="4" t="e">
        <v>#N/A</v>
      </c>
      <c r="AB11" s="4" t="e">
        <v>#N/A</v>
      </c>
      <c r="AC11" s="5" t="e">
        <v>#N/A</v>
      </c>
      <c r="AD11" s="5" t="e">
        <v>#N/A</v>
      </c>
      <c r="AE11" s="34">
        <v>117.52525919860317</v>
      </c>
      <c r="AF11" s="28" t="e">
        <v>#N/A</v>
      </c>
      <c r="AG11" s="28" t="e">
        <v>#N/A</v>
      </c>
      <c r="AH11" s="28" t="e">
        <v>#N/A</v>
      </c>
      <c r="AI11" s="28" t="e">
        <v>#N/A</v>
      </c>
      <c r="AJ11" s="28" t="e">
        <v>#N/A</v>
      </c>
      <c r="AK11" s="28" t="e">
        <v>#N/A</v>
      </c>
      <c r="AL11" s="28" t="e">
        <v>#N/A</v>
      </c>
      <c r="AM11" s="28" t="e">
        <v>#N/A</v>
      </c>
      <c r="AN11" s="28" t="e">
        <v>#N/A</v>
      </c>
      <c r="AO11" s="28" t="e">
        <v>#N/A</v>
      </c>
      <c r="AP11" s="28" t="e">
        <v>#N/A</v>
      </c>
      <c r="AQ11" s="28" t="e">
        <v>#N/A</v>
      </c>
      <c r="AR11" s="28" t="e">
        <v>#N/A</v>
      </c>
      <c r="AS11" s="28" t="e">
        <v>#N/A</v>
      </c>
      <c r="AT11" s="28" t="e">
        <v>#N/A</v>
      </c>
      <c r="AU11" s="28" t="e">
        <v>#N/A</v>
      </c>
      <c r="AV11" s="28" t="e">
        <v>#N/A</v>
      </c>
      <c r="AW11" s="28" t="e">
        <v>#N/A</v>
      </c>
      <c r="AX11" s="28" t="e">
        <v>#N/A</v>
      </c>
      <c r="AY11" s="28" t="e">
        <v>#N/A</v>
      </c>
      <c r="AZ11" s="28" t="e">
        <v>#N/A</v>
      </c>
      <c r="BA11" s="3">
        <v>4675.3999999999996</v>
      </c>
      <c r="BB11">
        <f>IF(ISNUMBER(VLOOKUP($B11,CEIC_DATA!$I$26:$N$353,Haver_M!BB$2,FALSE)),VLOOKUP($B11,CEIC_DATA!$I$26:$N$353,Haver_M!BB$2,FALSE),NA())</f>
        <v>115.04659426000001</v>
      </c>
      <c r="BC11">
        <f>IF(ISNUMBER(VLOOKUP($B11,CEIC_DATA!$I$26:$N$353,Haver_M!BC$2,FALSE)),VLOOKUP($B11,CEIC_DATA!$I$26:$N$353,Haver_M!BC$2,FALSE),NA())</f>
        <v>115.2</v>
      </c>
      <c r="BD11">
        <f>IF(ISNUMBER(VLOOKUP($B11,CEIC_DATA!$I$26:$N$353,Haver_M!BD$2,FALSE)),VLOOKUP($B11,CEIC_DATA!$I$26:$N$353,Haver_M!BD$2,FALSE),NA())</f>
        <v>125.5</v>
      </c>
      <c r="BE11">
        <f>IF(ISNUMBER(VLOOKUP($B11,CEIC_DATA!$I$26:$N$353,Haver_M!BE$2,FALSE)),VLOOKUP($B11,CEIC_DATA!$I$26:$N$353,Haver_M!BE$2,FALSE),NA())</f>
        <v>53.8</v>
      </c>
      <c r="BJ11" s="3" t="e">
        <v>#N/A</v>
      </c>
      <c r="BK11" s="3" t="e">
        <v>#N/A</v>
      </c>
      <c r="BL11" s="3" t="e">
        <v>#N/A</v>
      </c>
      <c r="BM11" s="3" t="e">
        <v>#N/A</v>
      </c>
      <c r="BN11" s="3">
        <v>3455</v>
      </c>
      <c r="BO11" s="3">
        <v>4028</v>
      </c>
      <c r="BP11" s="28">
        <v>44.686300000000003</v>
      </c>
      <c r="BQ11" s="28" t="str">
        <f t="shared" si="1"/>
        <v/>
      </c>
      <c r="BR11" s="28" t="str">
        <f t="shared" si="2"/>
        <v/>
      </c>
      <c r="BS11" s="28" t="str">
        <f t="shared" si="3"/>
        <v/>
      </c>
      <c r="BT11" s="28" t="str">
        <f t="shared" si="4"/>
        <v/>
      </c>
      <c r="BU11" s="4">
        <v>42247</v>
      </c>
    </row>
    <row r="12" spans="1:73" x14ac:dyDescent="0.25">
      <c r="A12" t="s">
        <v>11</v>
      </c>
      <c r="B12" s="2">
        <v>36738</v>
      </c>
      <c r="C12" s="3" t="e">
        <v>#N/A</v>
      </c>
      <c r="D12" s="28">
        <v>11.3</v>
      </c>
      <c r="E12" s="34">
        <v>93.999629999999996</v>
      </c>
      <c r="F12" s="5" t="e">
        <v>#N/A</v>
      </c>
      <c r="G12" s="5" t="e">
        <v>#N/A</v>
      </c>
      <c r="H12" s="3">
        <v>45.93</v>
      </c>
      <c r="I12" s="3">
        <v>55.24</v>
      </c>
      <c r="J12" s="3">
        <v>27.83</v>
      </c>
      <c r="K12" s="3">
        <v>57.28</v>
      </c>
      <c r="L12" s="3" t="e">
        <v>#N/A</v>
      </c>
      <c r="M12" s="3">
        <v>25.32</v>
      </c>
      <c r="N12" s="3">
        <v>44.75</v>
      </c>
      <c r="O12" s="5" t="e">
        <v>#N/A</v>
      </c>
      <c r="P12" s="52" t="e">
        <v>#N/A</v>
      </c>
      <c r="Q12" s="52" t="e">
        <v>#N/A</v>
      </c>
      <c r="R12" s="52" t="e">
        <v>#N/A</v>
      </c>
      <c r="S12" s="52" t="e">
        <v>#N/A</v>
      </c>
      <c r="T12" s="52" t="e">
        <v>#N/A</v>
      </c>
      <c r="U12" s="52" t="e">
        <v>#N/A</v>
      </c>
      <c r="V12" s="52" t="e">
        <v>#N/A</v>
      </c>
      <c r="W12" s="52" t="e">
        <v>#N/A</v>
      </c>
      <c r="X12" s="3">
        <v>8201.1602946819712</v>
      </c>
      <c r="Y12" s="3">
        <v>3516.88</v>
      </c>
      <c r="Z12" s="3">
        <v>4282.13</v>
      </c>
      <c r="AA12" s="4" t="e">
        <v>#N/A</v>
      </c>
      <c r="AB12" s="4" t="e">
        <v>#N/A</v>
      </c>
      <c r="AC12" s="5" t="e">
        <v>#N/A</v>
      </c>
      <c r="AD12" s="5" t="e">
        <v>#N/A</v>
      </c>
      <c r="AE12" s="34">
        <v>67.622725437027952</v>
      </c>
      <c r="AF12" s="28" t="e">
        <v>#N/A</v>
      </c>
      <c r="AG12" s="28" t="e">
        <v>#N/A</v>
      </c>
      <c r="AH12" s="28" t="e">
        <v>#N/A</v>
      </c>
      <c r="AI12" s="28" t="e">
        <v>#N/A</v>
      </c>
      <c r="AJ12" s="28" t="e">
        <v>#N/A</v>
      </c>
      <c r="AK12" s="28" t="e">
        <v>#N/A</v>
      </c>
      <c r="AL12" s="28" t="e">
        <v>#N/A</v>
      </c>
      <c r="AM12" s="28" t="e">
        <v>#N/A</v>
      </c>
      <c r="AN12" s="28" t="e">
        <v>#N/A</v>
      </c>
      <c r="AO12" s="28" t="e">
        <v>#N/A</v>
      </c>
      <c r="AP12" s="28" t="e">
        <v>#N/A</v>
      </c>
      <c r="AQ12" s="28" t="e">
        <v>#N/A</v>
      </c>
      <c r="AR12" s="28" t="e">
        <v>#N/A</v>
      </c>
      <c r="AS12" s="28" t="e">
        <v>#N/A</v>
      </c>
      <c r="AT12" s="28" t="e">
        <v>#N/A</v>
      </c>
      <c r="AU12" s="28" t="e">
        <v>#N/A</v>
      </c>
      <c r="AV12" s="28" t="e">
        <v>#N/A</v>
      </c>
      <c r="AW12" s="28" t="e">
        <v>#N/A</v>
      </c>
      <c r="AX12" s="28" t="e">
        <v>#N/A</v>
      </c>
      <c r="AY12" s="28" t="e">
        <v>#N/A</v>
      </c>
      <c r="AZ12" s="28" t="e">
        <v>#N/A</v>
      </c>
      <c r="BA12" s="3">
        <v>4647.34</v>
      </c>
      <c r="BB12">
        <f>IF(ISNUMBER(VLOOKUP($B12,CEIC_DATA!$I$26:$N$353,Haver_M!BB$2,FALSE)),VLOOKUP($B12,CEIC_DATA!$I$26:$N$353,Haver_M!BB$2,FALSE),NA())</f>
        <v>113.73682199</v>
      </c>
      <c r="BC12" t="e">
        <f>IF(ISNUMBER(VLOOKUP($B12,CEIC_DATA!$I$26:$N$353,Haver_M!BC$2,FALSE)),VLOOKUP($B12,CEIC_DATA!$I$26:$N$353,Haver_M!BC$2,FALSE),NA())</f>
        <v>#N/A</v>
      </c>
      <c r="BD12" t="e">
        <f>IF(ISNUMBER(VLOOKUP($B12,CEIC_DATA!$I$26:$N$353,Haver_M!BD$2,FALSE)),VLOOKUP($B12,CEIC_DATA!$I$26:$N$353,Haver_M!BD$2,FALSE),NA())</f>
        <v>#N/A</v>
      </c>
      <c r="BE12" t="e">
        <f>IF(ISNUMBER(VLOOKUP($B12,CEIC_DATA!$I$26:$N$353,Haver_M!BE$2,FALSE)),VLOOKUP($B12,CEIC_DATA!$I$26:$N$353,Haver_M!BE$2,FALSE),NA())</f>
        <v>#N/A</v>
      </c>
      <c r="BJ12" s="3" t="e">
        <v>#N/A</v>
      </c>
      <c r="BK12" s="3" t="e">
        <v>#N/A</v>
      </c>
      <c r="BL12" s="3" t="e">
        <v>#N/A</v>
      </c>
      <c r="BM12" s="3" t="e">
        <v>#N/A</v>
      </c>
      <c r="BN12" s="3">
        <v>3526</v>
      </c>
      <c r="BO12" s="3">
        <v>4487</v>
      </c>
      <c r="BP12" s="28">
        <v>44.778799999999997</v>
      </c>
      <c r="BQ12" s="28" t="str">
        <f t="shared" si="1"/>
        <v/>
      </c>
      <c r="BR12" s="28" t="str">
        <f t="shared" si="2"/>
        <v/>
      </c>
      <c r="BS12" s="28" t="str">
        <f t="shared" si="3"/>
        <v/>
      </c>
      <c r="BT12" s="28" t="str">
        <f t="shared" si="4"/>
        <v/>
      </c>
      <c r="BU12" s="4">
        <v>41250</v>
      </c>
    </row>
    <row r="13" spans="1:73" x14ac:dyDescent="0.25">
      <c r="A13" t="s">
        <v>12</v>
      </c>
      <c r="B13" s="2">
        <v>36769</v>
      </c>
      <c r="C13" s="3" t="e">
        <v>#N/A</v>
      </c>
      <c r="D13" s="28">
        <v>11.371499999999999</v>
      </c>
      <c r="E13" s="34">
        <v>93.4465</v>
      </c>
      <c r="F13" s="5" t="e">
        <v>#N/A</v>
      </c>
      <c r="G13" s="5" t="e">
        <v>#N/A</v>
      </c>
      <c r="H13" s="3">
        <v>45.99</v>
      </c>
      <c r="I13" s="3">
        <v>55.02</v>
      </c>
      <c r="J13" s="3">
        <v>27.45</v>
      </c>
      <c r="K13" s="3">
        <v>58.06</v>
      </c>
      <c r="L13" s="3" t="e">
        <v>#N/A</v>
      </c>
      <c r="M13" s="3">
        <v>25.01</v>
      </c>
      <c r="N13" s="3">
        <v>46.03</v>
      </c>
      <c r="O13" s="5" t="e">
        <v>#N/A</v>
      </c>
      <c r="P13" s="52" t="e">
        <v>#N/A</v>
      </c>
      <c r="Q13" s="52" t="e">
        <v>#N/A</v>
      </c>
      <c r="R13" s="52" t="e">
        <v>#N/A</v>
      </c>
      <c r="S13" s="52" t="e">
        <v>#N/A</v>
      </c>
      <c r="T13" s="52" t="e">
        <v>#N/A</v>
      </c>
      <c r="U13" s="52" t="e">
        <v>#N/A</v>
      </c>
      <c r="V13" s="52" t="e">
        <v>#N/A</v>
      </c>
      <c r="W13" s="52" t="e">
        <v>#N/A</v>
      </c>
      <c r="X13" s="3">
        <v>8701.6669979194339</v>
      </c>
      <c r="Y13" s="3">
        <v>3651.1</v>
      </c>
      <c r="Z13" s="3">
        <v>4054.36</v>
      </c>
      <c r="AA13" s="4" t="e">
        <v>#N/A</v>
      </c>
      <c r="AB13" s="4" t="e">
        <v>#N/A</v>
      </c>
      <c r="AC13" s="5" t="e">
        <v>#N/A</v>
      </c>
      <c r="AD13" s="5" t="e">
        <v>#N/A</v>
      </c>
      <c r="AE13" s="34">
        <v>63.806214100450916</v>
      </c>
      <c r="AF13" s="28" t="e">
        <v>#N/A</v>
      </c>
      <c r="AG13" s="28" t="e">
        <v>#N/A</v>
      </c>
      <c r="AH13" s="28" t="e">
        <v>#N/A</v>
      </c>
      <c r="AI13" s="28" t="e">
        <v>#N/A</v>
      </c>
      <c r="AJ13" s="28" t="e">
        <v>#N/A</v>
      </c>
      <c r="AK13" s="28" t="e">
        <v>#N/A</v>
      </c>
      <c r="AL13" s="28" t="e">
        <v>#N/A</v>
      </c>
      <c r="AM13" s="28" t="e">
        <v>#N/A</v>
      </c>
      <c r="AN13" s="28" t="e">
        <v>#N/A</v>
      </c>
      <c r="AO13" s="28" t="e">
        <v>#N/A</v>
      </c>
      <c r="AP13" s="28" t="e">
        <v>#N/A</v>
      </c>
      <c r="AQ13" s="28" t="e">
        <v>#N/A</v>
      </c>
      <c r="AR13" s="28" t="e">
        <v>#N/A</v>
      </c>
      <c r="AS13" s="28" t="e">
        <v>#N/A</v>
      </c>
      <c r="AT13" s="28" t="e">
        <v>#N/A</v>
      </c>
      <c r="AU13" s="28" t="e">
        <v>#N/A</v>
      </c>
      <c r="AV13" s="28" t="e">
        <v>#N/A</v>
      </c>
      <c r="AW13" s="28" t="e">
        <v>#N/A</v>
      </c>
      <c r="AX13" s="28" t="e">
        <v>#N/A</v>
      </c>
      <c r="AY13" s="28" t="e">
        <v>#N/A</v>
      </c>
      <c r="AZ13" s="28" t="e">
        <v>#N/A</v>
      </c>
      <c r="BA13" s="3">
        <v>4330.3100000000004</v>
      </c>
      <c r="BB13">
        <f>IF(ISNUMBER(VLOOKUP($B13,CEIC_DATA!$I$26:$N$353,Haver_M!BB$2,FALSE)),VLOOKUP($B13,CEIC_DATA!$I$26:$N$353,Haver_M!BB$2,FALSE),NA())</f>
        <v>112.67091533999999</v>
      </c>
      <c r="BC13" t="e">
        <f>IF(ISNUMBER(VLOOKUP($B13,CEIC_DATA!$I$26:$N$353,Haver_M!BC$2,FALSE)),VLOOKUP($B13,CEIC_DATA!$I$26:$N$353,Haver_M!BC$2,FALSE),NA())</f>
        <v>#N/A</v>
      </c>
      <c r="BD13" t="e">
        <f>IF(ISNUMBER(VLOOKUP($B13,CEIC_DATA!$I$26:$N$353,Haver_M!BD$2,FALSE)),VLOOKUP($B13,CEIC_DATA!$I$26:$N$353,Haver_M!BD$2,FALSE),NA())</f>
        <v>#N/A</v>
      </c>
      <c r="BE13" t="e">
        <f>IF(ISNUMBER(VLOOKUP($B13,CEIC_DATA!$I$26:$N$353,Haver_M!BE$2,FALSE)),VLOOKUP($B13,CEIC_DATA!$I$26:$N$353,Haver_M!BE$2,FALSE),NA())</f>
        <v>#N/A</v>
      </c>
      <c r="BJ13" s="3" t="e">
        <v>#N/A</v>
      </c>
      <c r="BK13" s="3" t="e">
        <v>#N/A</v>
      </c>
      <c r="BL13" s="3" t="e">
        <v>#N/A</v>
      </c>
      <c r="BM13" s="3" t="e">
        <v>#N/A</v>
      </c>
      <c r="BN13" s="3">
        <v>3670</v>
      </c>
      <c r="BO13" s="3">
        <v>3993</v>
      </c>
      <c r="BP13" s="28">
        <v>45.68</v>
      </c>
      <c r="BQ13" s="28" t="str">
        <f t="shared" si="1"/>
        <v/>
      </c>
      <c r="BR13" s="28" t="str">
        <f t="shared" si="2"/>
        <v/>
      </c>
      <c r="BS13" s="28" t="str">
        <f t="shared" si="3"/>
        <v/>
      </c>
      <c r="BT13" s="28" t="str">
        <f t="shared" si="4"/>
        <v/>
      </c>
      <c r="BU13" s="4">
        <v>40768</v>
      </c>
    </row>
    <row r="14" spans="1:73" x14ac:dyDescent="0.25">
      <c r="A14" t="s">
        <v>13</v>
      </c>
      <c r="B14" s="2">
        <v>36799</v>
      </c>
      <c r="C14" s="3" t="e">
        <v>#N/A</v>
      </c>
      <c r="D14" s="28">
        <v>11.805099999999999</v>
      </c>
      <c r="E14" s="34">
        <v>94.541989999999998</v>
      </c>
      <c r="F14" s="5" t="e">
        <v>#N/A</v>
      </c>
      <c r="G14" s="5" t="e">
        <v>#N/A</v>
      </c>
      <c r="H14" s="3">
        <v>46.55</v>
      </c>
      <c r="I14" s="3">
        <v>55.53</v>
      </c>
      <c r="J14" s="3">
        <v>26.98</v>
      </c>
      <c r="K14" s="3">
        <v>58.23</v>
      </c>
      <c r="L14" s="3" t="e">
        <v>#N/A</v>
      </c>
      <c r="M14" s="3">
        <v>24.47</v>
      </c>
      <c r="N14" s="3">
        <v>48.02</v>
      </c>
      <c r="O14" s="5" t="e">
        <v>#N/A</v>
      </c>
      <c r="P14" s="52" t="e">
        <v>#N/A</v>
      </c>
      <c r="Q14" s="52" t="e">
        <v>#N/A</v>
      </c>
      <c r="R14" s="52" t="e">
        <v>#N/A</v>
      </c>
      <c r="S14" s="52" t="e">
        <v>#N/A</v>
      </c>
      <c r="T14" s="52" t="e">
        <v>#N/A</v>
      </c>
      <c r="U14" s="52" t="e">
        <v>#N/A</v>
      </c>
      <c r="V14" s="52" t="e">
        <v>#N/A</v>
      </c>
      <c r="W14" s="52" t="e">
        <v>#N/A</v>
      </c>
      <c r="X14" s="3">
        <v>9044.4751529955538</v>
      </c>
      <c r="Y14" s="3">
        <v>3758.25</v>
      </c>
      <c r="Z14" s="3">
        <v>4211.38</v>
      </c>
      <c r="AA14" s="4" t="e">
        <v>#N/A</v>
      </c>
      <c r="AB14" s="4" t="e">
        <v>#N/A</v>
      </c>
      <c r="AC14" s="5" t="e">
        <v>#N/A</v>
      </c>
      <c r="AD14" s="5" t="e">
        <v>#N/A</v>
      </c>
      <c r="AE14" s="34">
        <v>49.221946601679491</v>
      </c>
      <c r="AF14" s="28" t="e">
        <v>#N/A</v>
      </c>
      <c r="AG14" s="28" t="e">
        <v>#N/A</v>
      </c>
      <c r="AH14" s="28" t="e">
        <v>#N/A</v>
      </c>
      <c r="AI14" s="28" t="e">
        <v>#N/A</v>
      </c>
      <c r="AJ14" s="28" t="e">
        <v>#N/A</v>
      </c>
      <c r="AK14" s="28" t="e">
        <v>#N/A</v>
      </c>
      <c r="AL14" s="28" t="e">
        <v>#N/A</v>
      </c>
      <c r="AM14" s="28" t="e">
        <v>#N/A</v>
      </c>
      <c r="AN14" s="28" t="e">
        <v>#N/A</v>
      </c>
      <c r="AO14" s="28" t="e">
        <v>#N/A</v>
      </c>
      <c r="AP14" s="28" t="e">
        <v>#N/A</v>
      </c>
      <c r="AQ14" s="28" t="e">
        <v>#N/A</v>
      </c>
      <c r="AR14" s="28" t="e">
        <v>#N/A</v>
      </c>
      <c r="AS14" s="28" t="e">
        <v>#N/A</v>
      </c>
      <c r="AT14" s="28" t="e">
        <v>#N/A</v>
      </c>
      <c r="AU14" s="28" t="e">
        <v>#N/A</v>
      </c>
      <c r="AV14" s="28" t="e">
        <v>#N/A</v>
      </c>
      <c r="AW14" s="28" t="e">
        <v>#N/A</v>
      </c>
      <c r="AX14" s="28" t="e">
        <v>#N/A</v>
      </c>
      <c r="AY14" s="28" t="e">
        <v>#N/A</v>
      </c>
      <c r="AZ14" s="28" t="e">
        <v>#N/A</v>
      </c>
      <c r="BA14" s="3">
        <v>4416.6099999999997</v>
      </c>
      <c r="BB14">
        <f>IF(ISNUMBER(VLOOKUP($B14,CEIC_DATA!$I$26:$N$353,Haver_M!BB$2,FALSE)),VLOOKUP($B14,CEIC_DATA!$I$26:$N$353,Haver_M!BB$2,FALSE),NA())</f>
        <v>111.82206856000001</v>
      </c>
      <c r="BC14">
        <f>IF(ISNUMBER(VLOOKUP($B14,CEIC_DATA!$I$26:$N$353,Haver_M!BC$2,FALSE)),VLOOKUP($B14,CEIC_DATA!$I$26:$N$353,Haver_M!BC$2,FALSE),NA())</f>
        <v>116.1</v>
      </c>
      <c r="BD14">
        <f>IF(ISNUMBER(VLOOKUP($B14,CEIC_DATA!$I$26:$N$353,Haver_M!BD$2,FALSE)),VLOOKUP($B14,CEIC_DATA!$I$26:$N$353,Haver_M!BD$2,FALSE),NA())</f>
        <v>126.1</v>
      </c>
      <c r="BE14">
        <f>IF(ISNUMBER(VLOOKUP($B14,CEIC_DATA!$I$26:$N$353,Haver_M!BE$2,FALSE)),VLOOKUP($B14,CEIC_DATA!$I$26:$N$353,Haver_M!BE$2,FALSE),NA())</f>
        <v>49</v>
      </c>
      <c r="BJ14" s="3" t="e">
        <v>#N/A</v>
      </c>
      <c r="BK14" s="3" t="e">
        <v>#N/A</v>
      </c>
      <c r="BL14" s="3" t="e">
        <v>#N/A</v>
      </c>
      <c r="BM14" s="3" t="e">
        <v>#N/A</v>
      </c>
      <c r="BN14" s="3">
        <v>3848</v>
      </c>
      <c r="BO14" s="3">
        <v>4249</v>
      </c>
      <c r="BP14" s="28">
        <v>45.888300000000001</v>
      </c>
      <c r="BQ14" s="28" t="str">
        <f t="shared" si="1"/>
        <v/>
      </c>
      <c r="BR14" s="28" t="str">
        <f t="shared" si="2"/>
        <v/>
      </c>
      <c r="BS14" s="28" t="str">
        <f t="shared" si="3"/>
        <v/>
      </c>
      <c r="BT14" s="28" t="str">
        <f t="shared" si="4"/>
        <v/>
      </c>
      <c r="BU14" s="4">
        <v>40064</v>
      </c>
    </row>
    <row r="15" spans="1:73" x14ac:dyDescent="0.25">
      <c r="A15" t="s">
        <v>14</v>
      </c>
      <c r="B15" s="2">
        <v>36830</v>
      </c>
      <c r="C15" s="3" t="e">
        <v>#N/A</v>
      </c>
      <c r="D15" s="28">
        <v>11.607799999999999</v>
      </c>
      <c r="E15" s="34">
        <v>96.100239999999999</v>
      </c>
      <c r="F15" s="5" t="e">
        <v>#N/A</v>
      </c>
      <c r="G15" s="5" t="e">
        <v>#N/A</v>
      </c>
      <c r="H15" s="3">
        <v>46.87</v>
      </c>
      <c r="I15" s="3">
        <v>56.6</v>
      </c>
      <c r="J15" s="3">
        <v>26.79</v>
      </c>
      <c r="K15" s="3">
        <v>58.53</v>
      </c>
      <c r="L15" s="3" t="e">
        <v>#N/A</v>
      </c>
      <c r="M15" s="3">
        <v>24.52</v>
      </c>
      <c r="N15" s="3">
        <v>48.96</v>
      </c>
      <c r="O15" s="5" t="e">
        <v>#N/A</v>
      </c>
      <c r="P15" s="52" t="e">
        <v>#N/A</v>
      </c>
      <c r="Q15" s="52" t="e">
        <v>#N/A</v>
      </c>
      <c r="R15" s="52" t="e">
        <v>#N/A</v>
      </c>
      <c r="S15" s="52" t="e">
        <v>#N/A</v>
      </c>
      <c r="T15" s="52" t="e">
        <v>#N/A</v>
      </c>
      <c r="U15" s="52" t="e">
        <v>#N/A</v>
      </c>
      <c r="V15" s="52" t="e">
        <v>#N/A</v>
      </c>
      <c r="W15" s="52" t="e">
        <v>#N/A</v>
      </c>
      <c r="X15" s="3">
        <v>7804.4426491804898</v>
      </c>
      <c r="Y15" s="3">
        <v>3661.32</v>
      </c>
      <c r="Z15" s="3">
        <v>4197.55</v>
      </c>
      <c r="AA15" s="4" t="e">
        <v>#N/A</v>
      </c>
      <c r="AB15" s="4" t="e">
        <v>#N/A</v>
      </c>
      <c r="AC15" s="5" t="e">
        <v>#N/A</v>
      </c>
      <c r="AD15" s="5" t="e">
        <v>#N/A</v>
      </c>
      <c r="AE15" s="34">
        <v>55.000217519068748</v>
      </c>
      <c r="AF15" s="28" t="e">
        <v>#N/A</v>
      </c>
      <c r="AG15" s="28" t="e">
        <v>#N/A</v>
      </c>
      <c r="AH15" s="28" t="e">
        <v>#N/A</v>
      </c>
      <c r="AI15" s="28" t="e">
        <v>#N/A</v>
      </c>
      <c r="AJ15" s="28" t="e">
        <v>#N/A</v>
      </c>
      <c r="AK15" s="28" t="e">
        <v>#N/A</v>
      </c>
      <c r="AL15" s="28" t="e">
        <v>#N/A</v>
      </c>
      <c r="AM15" s="28" t="e">
        <v>#N/A</v>
      </c>
      <c r="AN15" s="28" t="e">
        <v>#N/A</v>
      </c>
      <c r="AO15" s="28" t="e">
        <v>#N/A</v>
      </c>
      <c r="AP15" s="28" t="e">
        <v>#N/A</v>
      </c>
      <c r="AQ15" s="28" t="e">
        <v>#N/A</v>
      </c>
      <c r="AR15" s="28" t="e">
        <v>#N/A</v>
      </c>
      <c r="AS15" s="28" t="e">
        <v>#N/A</v>
      </c>
      <c r="AT15" s="28" t="e">
        <v>#N/A</v>
      </c>
      <c r="AU15" s="28" t="e">
        <v>#N/A</v>
      </c>
      <c r="AV15" s="28" t="e">
        <v>#N/A</v>
      </c>
      <c r="AW15" s="28" t="e">
        <v>#N/A</v>
      </c>
      <c r="AX15" s="28" t="e">
        <v>#N/A</v>
      </c>
      <c r="AY15" s="28" t="e">
        <v>#N/A</v>
      </c>
      <c r="AZ15" s="28" t="e">
        <v>#N/A</v>
      </c>
      <c r="BA15" s="3">
        <v>3819.69</v>
      </c>
      <c r="BB15">
        <f>IF(ISNUMBER(VLOOKUP($B15,CEIC_DATA!$I$26:$N$353,Haver_M!BB$2,FALSE)),VLOOKUP($B15,CEIC_DATA!$I$26:$N$353,Haver_M!BB$2,FALSE),NA())</f>
        <v>111.14065089</v>
      </c>
      <c r="BC15" t="e">
        <f>IF(ISNUMBER(VLOOKUP($B15,CEIC_DATA!$I$26:$N$353,Haver_M!BC$2,FALSE)),VLOOKUP($B15,CEIC_DATA!$I$26:$N$353,Haver_M!BC$2,FALSE),NA())</f>
        <v>#N/A</v>
      </c>
      <c r="BD15" t="e">
        <f>IF(ISNUMBER(VLOOKUP($B15,CEIC_DATA!$I$26:$N$353,Haver_M!BD$2,FALSE)),VLOOKUP($B15,CEIC_DATA!$I$26:$N$353,Haver_M!BD$2,FALSE),NA())</f>
        <v>#N/A</v>
      </c>
      <c r="BE15" t="e">
        <f>IF(ISNUMBER(VLOOKUP($B15,CEIC_DATA!$I$26:$N$353,Haver_M!BE$2,FALSE)),VLOOKUP($B15,CEIC_DATA!$I$26:$N$353,Haver_M!BE$2,FALSE),NA())</f>
        <v>#N/A</v>
      </c>
      <c r="BJ15" s="3" t="e">
        <v>#N/A</v>
      </c>
      <c r="BK15" s="3" t="e">
        <v>#N/A</v>
      </c>
      <c r="BL15" s="3" t="e">
        <v>#N/A</v>
      </c>
      <c r="BM15" s="3" t="e">
        <v>#N/A</v>
      </c>
      <c r="BN15" s="3">
        <v>3719</v>
      </c>
      <c r="BO15" s="3">
        <v>4264</v>
      </c>
      <c r="BP15" s="28">
        <v>46.344499999999996</v>
      </c>
      <c r="BQ15" s="28" t="str">
        <f t="shared" si="1"/>
        <v/>
      </c>
      <c r="BR15" s="28" t="str">
        <f t="shared" si="2"/>
        <v/>
      </c>
      <c r="BS15" s="28" t="str">
        <f t="shared" si="3"/>
        <v/>
      </c>
      <c r="BT15" s="28" t="str">
        <f t="shared" si="4"/>
        <v/>
      </c>
      <c r="BU15" s="4">
        <v>44486</v>
      </c>
    </row>
    <row r="16" spans="1:73" x14ac:dyDescent="0.25">
      <c r="A16" t="s">
        <v>15</v>
      </c>
      <c r="B16" s="2">
        <v>36860</v>
      </c>
      <c r="C16" s="3" t="e">
        <v>#N/A</v>
      </c>
      <c r="D16" s="28">
        <v>11.4009</v>
      </c>
      <c r="E16" s="34">
        <v>95.652299999999997</v>
      </c>
      <c r="F16" s="5" t="e">
        <v>#N/A</v>
      </c>
      <c r="G16" s="5" t="e">
        <v>#N/A</v>
      </c>
      <c r="H16" s="3">
        <v>46.41</v>
      </c>
      <c r="I16" s="3">
        <v>55.87</v>
      </c>
      <c r="J16" s="3">
        <v>25.77</v>
      </c>
      <c r="K16" s="3">
        <v>58.21</v>
      </c>
      <c r="L16" s="3" t="e">
        <v>#N/A</v>
      </c>
      <c r="M16" s="3">
        <v>25.4</v>
      </c>
      <c r="N16" s="3">
        <v>49.36</v>
      </c>
      <c r="O16" s="5" t="e">
        <v>#N/A</v>
      </c>
      <c r="P16" s="52" t="e">
        <v>#N/A</v>
      </c>
      <c r="Q16" s="52" t="e">
        <v>#N/A</v>
      </c>
      <c r="R16" s="52" t="e">
        <v>#N/A</v>
      </c>
      <c r="S16" s="52" t="e">
        <v>#N/A</v>
      </c>
      <c r="T16" s="52" t="e">
        <v>#N/A</v>
      </c>
      <c r="U16" s="52" t="e">
        <v>#N/A</v>
      </c>
      <c r="V16" s="52" t="e">
        <v>#N/A</v>
      </c>
      <c r="W16" s="52" t="e">
        <v>#N/A</v>
      </c>
      <c r="X16" s="3">
        <v>8274.7940848747348</v>
      </c>
      <c r="Y16" s="3">
        <v>3789.06</v>
      </c>
      <c r="Z16" s="3">
        <v>4803.9799999999996</v>
      </c>
      <c r="AA16" s="4" t="e">
        <v>#N/A</v>
      </c>
      <c r="AB16" s="4" t="e">
        <v>#N/A</v>
      </c>
      <c r="AC16" s="5" t="e">
        <v>#N/A</v>
      </c>
      <c r="AD16" s="5" t="e">
        <v>#N/A</v>
      </c>
      <c r="AE16" s="34">
        <v>82.2922189111178</v>
      </c>
      <c r="AF16" s="28" t="e">
        <v>#N/A</v>
      </c>
      <c r="AG16" s="28" t="e">
        <v>#N/A</v>
      </c>
      <c r="AH16" s="28" t="e">
        <v>#N/A</v>
      </c>
      <c r="AI16" s="28" t="e">
        <v>#N/A</v>
      </c>
      <c r="AJ16" s="28" t="e">
        <v>#N/A</v>
      </c>
      <c r="AK16" s="28" t="e">
        <v>#N/A</v>
      </c>
      <c r="AL16" s="28" t="e">
        <v>#N/A</v>
      </c>
      <c r="AM16" s="28" t="e">
        <v>#N/A</v>
      </c>
      <c r="AN16" s="28" t="e">
        <v>#N/A</v>
      </c>
      <c r="AO16" s="28" t="e">
        <v>#N/A</v>
      </c>
      <c r="AP16" s="28" t="e">
        <v>#N/A</v>
      </c>
      <c r="AQ16" s="28" t="e">
        <v>#N/A</v>
      </c>
      <c r="AR16" s="28" t="e">
        <v>#N/A</v>
      </c>
      <c r="AS16" s="28" t="e">
        <v>#N/A</v>
      </c>
      <c r="AT16" s="28" t="e">
        <v>#N/A</v>
      </c>
      <c r="AU16" s="28" t="e">
        <v>#N/A</v>
      </c>
      <c r="AV16" s="28" t="e">
        <v>#N/A</v>
      </c>
      <c r="AW16" s="28" t="e">
        <v>#N/A</v>
      </c>
      <c r="AX16" s="28" t="e">
        <v>#N/A</v>
      </c>
      <c r="AY16" s="28" t="e">
        <v>#N/A</v>
      </c>
      <c r="AZ16" s="28" t="e">
        <v>#N/A</v>
      </c>
      <c r="BA16" s="3">
        <v>3928.1</v>
      </c>
      <c r="BB16">
        <f>IF(ISNUMBER(VLOOKUP($B16,CEIC_DATA!$I$26:$N$353,Haver_M!BB$2,FALSE)),VLOOKUP($B16,CEIC_DATA!$I$26:$N$353,Haver_M!BB$2,FALSE),NA())</f>
        <v>110.53002087</v>
      </c>
      <c r="BC16" t="e">
        <f>IF(ISNUMBER(VLOOKUP($B16,CEIC_DATA!$I$26:$N$353,Haver_M!BC$2,FALSE)),VLOOKUP($B16,CEIC_DATA!$I$26:$N$353,Haver_M!BC$2,FALSE),NA())</f>
        <v>#N/A</v>
      </c>
      <c r="BD16" t="e">
        <f>IF(ISNUMBER(VLOOKUP($B16,CEIC_DATA!$I$26:$N$353,Haver_M!BD$2,FALSE)),VLOOKUP($B16,CEIC_DATA!$I$26:$N$353,Haver_M!BD$2,FALSE),NA())</f>
        <v>#N/A</v>
      </c>
      <c r="BE16" t="e">
        <f>IF(ISNUMBER(VLOOKUP($B16,CEIC_DATA!$I$26:$N$353,Haver_M!BE$2,FALSE)),VLOOKUP($B16,CEIC_DATA!$I$26:$N$353,Haver_M!BE$2,FALSE),NA())</f>
        <v>#N/A</v>
      </c>
      <c r="BJ16" s="3" t="e">
        <v>#N/A</v>
      </c>
      <c r="BK16" s="3" t="e">
        <v>#N/A</v>
      </c>
      <c r="BL16" s="3" t="e">
        <v>#N/A</v>
      </c>
      <c r="BM16" s="3" t="e">
        <v>#N/A</v>
      </c>
      <c r="BN16" s="3">
        <v>3604</v>
      </c>
      <c r="BO16" s="3">
        <v>4698</v>
      </c>
      <c r="BP16" s="28">
        <v>46.7789</v>
      </c>
      <c r="BQ16" s="28" t="str">
        <f t="shared" si="1"/>
        <v/>
      </c>
      <c r="BR16" s="28" t="str">
        <f t="shared" si="2"/>
        <v/>
      </c>
      <c r="BS16" s="28" t="str">
        <f t="shared" si="3"/>
        <v/>
      </c>
      <c r="BT16" s="28" t="str">
        <f t="shared" si="4"/>
        <v/>
      </c>
      <c r="BU16" s="4">
        <v>45510</v>
      </c>
    </row>
    <row r="17" spans="1:73" x14ac:dyDescent="0.25">
      <c r="A17" t="s">
        <v>16</v>
      </c>
      <c r="B17" s="2">
        <v>36891</v>
      </c>
      <c r="C17" s="3" t="e">
        <v>#N/A</v>
      </c>
      <c r="D17" s="28">
        <v>10.9359</v>
      </c>
      <c r="E17" s="34">
        <v>94.827089999999998</v>
      </c>
      <c r="F17" s="5" t="e">
        <v>#N/A</v>
      </c>
      <c r="G17" s="5" t="e">
        <v>#N/A</v>
      </c>
      <c r="H17" s="3">
        <v>46.79</v>
      </c>
      <c r="I17" s="3">
        <v>55.42</v>
      </c>
      <c r="J17" s="3">
        <v>27.4</v>
      </c>
      <c r="K17" s="3">
        <v>58.53</v>
      </c>
      <c r="L17" s="3" t="e">
        <v>#N/A</v>
      </c>
      <c r="M17" s="3">
        <v>25.59</v>
      </c>
      <c r="N17" s="3">
        <v>47.9</v>
      </c>
      <c r="O17" s="5" t="e">
        <v>#N/A</v>
      </c>
      <c r="P17" s="52" t="e">
        <v>#N/A</v>
      </c>
      <c r="Q17" s="52" t="e">
        <v>#N/A</v>
      </c>
      <c r="R17" s="52" t="e">
        <v>#N/A</v>
      </c>
      <c r="S17" s="52" t="e">
        <v>#N/A</v>
      </c>
      <c r="T17" s="52" t="e">
        <v>#N/A</v>
      </c>
      <c r="U17" s="52" t="e">
        <v>#N/A</v>
      </c>
      <c r="V17" s="52" t="e">
        <v>#N/A</v>
      </c>
      <c r="W17" s="52" t="e">
        <v>#N/A</v>
      </c>
      <c r="X17" s="3">
        <v>8162.7802033476892</v>
      </c>
      <c r="Y17" s="3">
        <v>3819.91</v>
      </c>
      <c r="Z17" s="3">
        <v>3973.33</v>
      </c>
      <c r="AA17" s="4" t="e">
        <v>#N/A</v>
      </c>
      <c r="AB17" s="4" t="e">
        <v>#N/A</v>
      </c>
      <c r="AC17" s="5" t="e">
        <v>#N/A</v>
      </c>
      <c r="AD17" s="5" t="e">
        <v>#N/A</v>
      </c>
      <c r="AE17" s="34">
        <v>107.32323401624454</v>
      </c>
      <c r="AF17" s="28" t="e">
        <v>#N/A</v>
      </c>
      <c r="AG17" s="28" t="e">
        <v>#N/A</v>
      </c>
      <c r="AH17" s="28" t="e">
        <v>#N/A</v>
      </c>
      <c r="AI17" s="28" t="e">
        <v>#N/A</v>
      </c>
      <c r="AJ17" s="28" t="e">
        <v>#N/A</v>
      </c>
      <c r="AK17" s="28" t="e">
        <v>#N/A</v>
      </c>
      <c r="AL17" s="28" t="e">
        <v>#N/A</v>
      </c>
      <c r="AM17" s="28" t="e">
        <v>#N/A</v>
      </c>
      <c r="AN17" s="28" t="e">
        <v>#N/A</v>
      </c>
      <c r="AO17" s="28" t="e">
        <v>#N/A</v>
      </c>
      <c r="AP17" s="28" t="e">
        <v>#N/A</v>
      </c>
      <c r="AQ17" s="28" t="e">
        <v>#N/A</v>
      </c>
      <c r="AR17" s="28" t="e">
        <v>#N/A</v>
      </c>
      <c r="AS17" s="28" t="e">
        <v>#N/A</v>
      </c>
      <c r="AT17" s="28" t="e">
        <v>#N/A</v>
      </c>
      <c r="AU17" s="28" t="e">
        <v>#N/A</v>
      </c>
      <c r="AV17" s="28" t="e">
        <v>#N/A</v>
      </c>
      <c r="AW17" s="28" t="e">
        <v>#N/A</v>
      </c>
      <c r="AX17" s="28" t="e">
        <v>#N/A</v>
      </c>
      <c r="AY17" s="28" t="e">
        <v>#N/A</v>
      </c>
      <c r="AZ17" s="28" t="e">
        <v>#N/A</v>
      </c>
      <c r="BA17" s="3">
        <v>4081.42</v>
      </c>
      <c r="BB17">
        <f>IF(ISNUMBER(VLOOKUP($B17,CEIC_DATA!$I$26:$N$353,Haver_M!BB$2,FALSE)),VLOOKUP($B17,CEIC_DATA!$I$26:$N$353,Haver_M!BB$2,FALSE),NA())</f>
        <v>109.86881237</v>
      </c>
      <c r="BC17">
        <f>IF(ISNUMBER(VLOOKUP($B17,CEIC_DATA!$I$26:$N$353,Haver_M!BC$2,FALSE)),VLOOKUP($B17,CEIC_DATA!$I$26:$N$353,Haver_M!BC$2,FALSE),NA())</f>
        <v>113.9</v>
      </c>
      <c r="BD17">
        <f>IF(ISNUMBER(VLOOKUP($B17,CEIC_DATA!$I$26:$N$353,Haver_M!BD$2,FALSE)),VLOOKUP($B17,CEIC_DATA!$I$26:$N$353,Haver_M!BD$2,FALSE),NA())</f>
        <v>124.4</v>
      </c>
      <c r="BE17">
        <f>IF(ISNUMBER(VLOOKUP($B17,CEIC_DATA!$I$26:$N$353,Haver_M!BE$2,FALSE)),VLOOKUP($B17,CEIC_DATA!$I$26:$N$353,Haver_M!BE$2,FALSE),NA())</f>
        <v>51.7</v>
      </c>
      <c r="BJ17" s="3" t="e">
        <v>#N/A</v>
      </c>
      <c r="BK17" s="3" t="e">
        <v>#N/A</v>
      </c>
      <c r="BL17" s="3" t="e">
        <v>#N/A</v>
      </c>
      <c r="BM17" s="3" t="e">
        <v>#N/A</v>
      </c>
      <c r="BN17" s="3">
        <v>3657</v>
      </c>
      <c r="BO17" s="3">
        <v>3976</v>
      </c>
      <c r="BP17" s="28">
        <v>46.749600000000001</v>
      </c>
      <c r="BQ17" s="28" t="str">
        <f t="shared" si="1"/>
        <v/>
      </c>
      <c r="BR17" s="28" t="str">
        <f t="shared" si="2"/>
        <v/>
      </c>
      <c r="BS17" s="28" t="str">
        <f t="shared" si="3"/>
        <v/>
      </c>
      <c r="BT17" s="28" t="str">
        <f t="shared" si="4"/>
        <v/>
      </c>
      <c r="BU17" s="4">
        <v>45768</v>
      </c>
    </row>
    <row r="18" spans="1:73" x14ac:dyDescent="0.25">
      <c r="A18" t="s">
        <v>17</v>
      </c>
      <c r="B18" s="2">
        <v>36922</v>
      </c>
      <c r="C18" s="3" t="e">
        <v>#N/A</v>
      </c>
      <c r="D18" s="28">
        <v>10.4842</v>
      </c>
      <c r="E18" s="34">
        <v>93.977010000000007</v>
      </c>
      <c r="F18" s="5">
        <v>46.9</v>
      </c>
      <c r="G18" s="5" t="e">
        <v>#N/A</v>
      </c>
      <c r="H18" s="3">
        <v>46.37</v>
      </c>
      <c r="I18" s="3">
        <v>54.93</v>
      </c>
      <c r="J18" s="3">
        <v>26.45</v>
      </c>
      <c r="K18" s="3">
        <v>57.89</v>
      </c>
      <c r="L18" s="3" t="e">
        <v>#N/A</v>
      </c>
      <c r="M18" s="3">
        <v>24.5</v>
      </c>
      <c r="N18" s="3">
        <v>49.62</v>
      </c>
      <c r="O18" s="5" t="e">
        <v>#N/A</v>
      </c>
      <c r="P18" s="52" t="e">
        <v>#N/A</v>
      </c>
      <c r="Q18" s="52" t="e">
        <v>#N/A</v>
      </c>
      <c r="R18" s="52" t="e">
        <v>#N/A</v>
      </c>
      <c r="S18" s="52" t="e">
        <v>#N/A</v>
      </c>
      <c r="T18" s="52" t="e">
        <v>#N/A</v>
      </c>
      <c r="U18" s="52" t="e">
        <v>#N/A</v>
      </c>
      <c r="V18" s="52" t="e">
        <v>#N/A</v>
      </c>
      <c r="W18" s="52" t="e">
        <v>#N/A</v>
      </c>
      <c r="X18" s="3">
        <v>8410.2442627237779</v>
      </c>
      <c r="Y18" s="3">
        <v>3649.92</v>
      </c>
      <c r="Z18" s="3">
        <v>3994.9</v>
      </c>
      <c r="AA18" s="4" t="e">
        <v>#N/A</v>
      </c>
      <c r="AB18" s="4" t="e">
        <v>#N/A</v>
      </c>
      <c r="AC18" s="5" t="e">
        <v>#N/A</v>
      </c>
      <c r="AD18" s="5" t="e">
        <v>#N/A</v>
      </c>
      <c r="AE18" s="34">
        <v>103.76458228686947</v>
      </c>
      <c r="AF18" s="28" t="e">
        <v>#N/A</v>
      </c>
      <c r="AG18" s="28" t="e">
        <v>#N/A</v>
      </c>
      <c r="AH18" s="28" t="e">
        <v>#N/A</v>
      </c>
      <c r="AI18" s="28" t="e">
        <v>#N/A</v>
      </c>
      <c r="AJ18" s="28" t="e">
        <v>#N/A</v>
      </c>
      <c r="AK18" s="28" t="e">
        <v>#N/A</v>
      </c>
      <c r="AL18" s="28" t="e">
        <v>#N/A</v>
      </c>
      <c r="AM18" s="28" t="e">
        <v>#N/A</v>
      </c>
      <c r="AN18" s="28" t="e">
        <v>#N/A</v>
      </c>
      <c r="AO18" s="28" t="e">
        <v>#N/A</v>
      </c>
      <c r="AP18" s="28" t="e">
        <v>#N/A</v>
      </c>
      <c r="AQ18" s="28" t="e">
        <v>#N/A</v>
      </c>
      <c r="AR18" s="28" t="e">
        <v>#N/A</v>
      </c>
      <c r="AS18" s="28" t="e">
        <v>#N/A</v>
      </c>
      <c r="AT18" s="28" t="e">
        <v>#N/A</v>
      </c>
      <c r="AU18" s="28" t="e">
        <v>#N/A</v>
      </c>
      <c r="AV18" s="28" t="e">
        <v>#N/A</v>
      </c>
      <c r="AW18" s="28" t="e">
        <v>#N/A</v>
      </c>
      <c r="AX18" s="28" t="e">
        <v>#N/A</v>
      </c>
      <c r="AY18" s="28" t="e">
        <v>#N/A</v>
      </c>
      <c r="AZ18" s="28" t="e">
        <v>#N/A</v>
      </c>
      <c r="BA18" s="3">
        <v>4152.3900000000003</v>
      </c>
      <c r="BB18">
        <f>IF(ISNUMBER(VLOOKUP($B18,CEIC_DATA!$I$26:$N$353,Haver_M!BB$2,FALSE)),VLOOKUP($B18,CEIC_DATA!$I$26:$N$353,Haver_M!BB$2,FALSE),NA())</f>
        <v>109.07672835</v>
      </c>
      <c r="BC18" t="e">
        <f>IF(ISNUMBER(VLOOKUP($B18,CEIC_DATA!$I$26:$N$353,Haver_M!BC$2,FALSE)),VLOOKUP($B18,CEIC_DATA!$I$26:$N$353,Haver_M!BC$2,FALSE),NA())</f>
        <v>#N/A</v>
      </c>
      <c r="BD18" t="e">
        <f>IF(ISNUMBER(VLOOKUP($B18,CEIC_DATA!$I$26:$N$353,Haver_M!BD$2,FALSE)),VLOOKUP($B18,CEIC_DATA!$I$26:$N$353,Haver_M!BD$2,FALSE),NA())</f>
        <v>#N/A</v>
      </c>
      <c r="BE18" t="e">
        <f>IF(ISNUMBER(VLOOKUP($B18,CEIC_DATA!$I$26:$N$353,Haver_M!BE$2,FALSE)),VLOOKUP($B18,CEIC_DATA!$I$26:$N$353,Haver_M!BE$2,FALSE),NA())</f>
        <v>#N/A</v>
      </c>
      <c r="BJ18" s="3" t="e">
        <v>#N/A</v>
      </c>
      <c r="BK18" s="3" t="e">
        <v>#N/A</v>
      </c>
      <c r="BL18" s="3" t="e">
        <v>#N/A</v>
      </c>
      <c r="BM18" s="3" t="e">
        <v>#N/A</v>
      </c>
      <c r="BN18" s="3">
        <v>3666</v>
      </c>
      <c r="BO18" s="3">
        <v>4007</v>
      </c>
      <c r="BP18" s="28">
        <v>46.543900000000001</v>
      </c>
      <c r="BQ18" s="28" t="str">
        <f t="shared" si="1"/>
        <v/>
      </c>
      <c r="BR18" s="28" t="str">
        <f t="shared" si="2"/>
        <v/>
      </c>
      <c r="BS18" s="28" t="str">
        <f t="shared" si="3"/>
        <v/>
      </c>
      <c r="BT18" s="28" t="str">
        <f t="shared" si="4"/>
        <v/>
      </c>
      <c r="BU18" s="4">
        <v>46558</v>
      </c>
    </row>
    <row r="19" spans="1:73" x14ac:dyDescent="0.25">
      <c r="A19" t="s">
        <v>18</v>
      </c>
      <c r="B19" s="2">
        <v>36950</v>
      </c>
      <c r="C19" s="3" t="e">
        <v>#N/A</v>
      </c>
      <c r="D19" s="28">
        <v>10.044700000000001</v>
      </c>
      <c r="E19" s="34">
        <v>95.062430000000006</v>
      </c>
      <c r="F19" s="5">
        <v>46.8</v>
      </c>
      <c r="G19" s="5" t="e">
        <v>#N/A</v>
      </c>
      <c r="H19" s="3">
        <v>47.15</v>
      </c>
      <c r="I19" s="3">
        <v>55.3</v>
      </c>
      <c r="J19" s="3">
        <v>26.5</v>
      </c>
      <c r="K19" s="3">
        <v>58.86</v>
      </c>
      <c r="L19" s="3" t="e">
        <v>#N/A</v>
      </c>
      <c r="M19" s="3">
        <v>26.59</v>
      </c>
      <c r="N19" s="3">
        <v>50.01</v>
      </c>
      <c r="O19" s="5" t="e">
        <v>#N/A</v>
      </c>
      <c r="P19" s="52" t="e">
        <v>#N/A</v>
      </c>
      <c r="Q19" s="52" t="e">
        <v>#N/A</v>
      </c>
      <c r="R19" s="52" t="e">
        <v>#N/A</v>
      </c>
      <c r="S19" s="52" t="e">
        <v>#N/A</v>
      </c>
      <c r="T19" s="52" t="e">
        <v>#N/A</v>
      </c>
      <c r="U19" s="52" t="e">
        <v>#N/A</v>
      </c>
      <c r="V19" s="52" t="e">
        <v>#N/A</v>
      </c>
      <c r="W19" s="52" t="e">
        <v>#N/A</v>
      </c>
      <c r="X19" s="3">
        <v>8119.6426437133387</v>
      </c>
      <c r="Y19" s="3">
        <v>3715.54</v>
      </c>
      <c r="Z19" s="3">
        <v>3713.63</v>
      </c>
      <c r="AA19" s="4" t="e">
        <v>#N/A</v>
      </c>
      <c r="AB19" s="4" t="e">
        <v>#N/A</v>
      </c>
      <c r="AC19" s="5" t="e">
        <v>#N/A</v>
      </c>
      <c r="AD19" s="5" t="e">
        <v>#N/A</v>
      </c>
      <c r="AE19" s="34">
        <v>121.81912990005179</v>
      </c>
      <c r="AF19" s="28" t="e">
        <v>#N/A</v>
      </c>
      <c r="AG19" s="28" t="e">
        <v>#N/A</v>
      </c>
      <c r="AH19" s="28" t="e">
        <v>#N/A</v>
      </c>
      <c r="AI19" s="28" t="e">
        <v>#N/A</v>
      </c>
      <c r="AJ19" s="28" t="e">
        <v>#N/A</v>
      </c>
      <c r="AK19" s="28" t="e">
        <v>#N/A</v>
      </c>
      <c r="AL19" s="28" t="e">
        <v>#N/A</v>
      </c>
      <c r="AM19" s="28" t="e">
        <v>#N/A</v>
      </c>
      <c r="AN19" s="28" t="e">
        <v>#N/A</v>
      </c>
      <c r="AO19" s="28" t="e">
        <v>#N/A</v>
      </c>
      <c r="AP19" s="28" t="e">
        <v>#N/A</v>
      </c>
      <c r="AQ19" s="28" t="e">
        <v>#N/A</v>
      </c>
      <c r="AR19" s="28" t="e">
        <v>#N/A</v>
      </c>
      <c r="AS19" s="28" t="e">
        <v>#N/A</v>
      </c>
      <c r="AT19" s="28" t="e">
        <v>#N/A</v>
      </c>
      <c r="AU19" s="28" t="e">
        <v>#N/A</v>
      </c>
      <c r="AV19" s="28" t="e">
        <v>#N/A</v>
      </c>
      <c r="AW19" s="28" t="e">
        <v>#N/A</v>
      </c>
      <c r="AX19" s="28" t="e">
        <v>#N/A</v>
      </c>
      <c r="AY19" s="28" t="e">
        <v>#N/A</v>
      </c>
      <c r="AZ19" s="28" t="e">
        <v>#N/A</v>
      </c>
      <c r="BA19" s="3">
        <v>4310.13</v>
      </c>
      <c r="BB19">
        <f>IF(ISNUMBER(VLOOKUP($B19,CEIC_DATA!$I$26:$N$353,Haver_M!BB$2,FALSE)),VLOOKUP($B19,CEIC_DATA!$I$26:$N$353,Haver_M!BB$2,FALSE),NA())</f>
        <v>108.10664731999999</v>
      </c>
      <c r="BC19" t="e">
        <f>IF(ISNUMBER(VLOOKUP($B19,CEIC_DATA!$I$26:$N$353,Haver_M!BC$2,FALSE)),VLOOKUP($B19,CEIC_DATA!$I$26:$N$353,Haver_M!BC$2,FALSE),NA())</f>
        <v>#N/A</v>
      </c>
      <c r="BD19" t="e">
        <f>IF(ISNUMBER(VLOOKUP($B19,CEIC_DATA!$I$26:$N$353,Haver_M!BD$2,FALSE)),VLOOKUP($B19,CEIC_DATA!$I$26:$N$353,Haver_M!BD$2,FALSE),NA())</f>
        <v>#N/A</v>
      </c>
      <c r="BE19" t="e">
        <f>IF(ISNUMBER(VLOOKUP($B19,CEIC_DATA!$I$26:$N$353,Haver_M!BE$2,FALSE)),VLOOKUP($B19,CEIC_DATA!$I$26:$N$353,Haver_M!BE$2,FALSE),NA())</f>
        <v>#N/A</v>
      </c>
      <c r="BJ19" s="3" t="e">
        <v>#N/A</v>
      </c>
      <c r="BK19" s="3" t="e">
        <v>#N/A</v>
      </c>
      <c r="BL19" s="3" t="e">
        <v>#N/A</v>
      </c>
      <c r="BM19" s="3" t="e">
        <v>#N/A</v>
      </c>
      <c r="BN19" s="3">
        <v>3695</v>
      </c>
      <c r="BO19" s="3">
        <v>3457</v>
      </c>
      <c r="BP19" s="28">
        <v>46.5167</v>
      </c>
      <c r="BQ19" s="28" t="str">
        <f t="shared" si="1"/>
        <v/>
      </c>
      <c r="BR19" s="28" t="str">
        <f t="shared" si="2"/>
        <v/>
      </c>
      <c r="BS19" s="28" t="str">
        <f t="shared" si="3"/>
        <v/>
      </c>
      <c r="BT19" s="28" t="str">
        <f t="shared" si="4"/>
        <v/>
      </c>
      <c r="BU19" s="4">
        <v>46752</v>
      </c>
    </row>
    <row r="20" spans="1:73" x14ac:dyDescent="0.25">
      <c r="A20" t="s">
        <v>19</v>
      </c>
      <c r="B20" s="2">
        <v>36981</v>
      </c>
      <c r="C20" s="3" t="e">
        <v>#N/A</v>
      </c>
      <c r="D20" s="28">
        <v>10.2737</v>
      </c>
      <c r="E20" s="34">
        <v>96.515690000000006</v>
      </c>
      <c r="F20" s="5">
        <v>47.1</v>
      </c>
      <c r="G20" s="5" t="e">
        <v>#N/A</v>
      </c>
      <c r="H20" s="3">
        <v>46.95</v>
      </c>
      <c r="I20" s="3">
        <v>55.14</v>
      </c>
      <c r="J20" s="3">
        <v>25.92</v>
      </c>
      <c r="K20" s="3">
        <v>60.54</v>
      </c>
      <c r="L20" s="3" t="e">
        <v>#N/A</v>
      </c>
      <c r="M20" s="3">
        <v>25.99</v>
      </c>
      <c r="N20" s="3">
        <v>48.52</v>
      </c>
      <c r="O20" s="5" t="e">
        <v>#N/A</v>
      </c>
      <c r="P20" s="52" t="e">
        <v>#N/A</v>
      </c>
      <c r="Q20" s="52" t="e">
        <v>#N/A</v>
      </c>
      <c r="R20" s="52" t="e">
        <v>#N/A</v>
      </c>
      <c r="S20" s="52" t="e">
        <v>#N/A</v>
      </c>
      <c r="T20" s="52" t="e">
        <v>#N/A</v>
      </c>
      <c r="U20" s="52" t="e">
        <v>#N/A</v>
      </c>
      <c r="V20" s="52" t="e">
        <v>#N/A</v>
      </c>
      <c r="W20" s="52" t="e">
        <v>#N/A</v>
      </c>
      <c r="X20" s="3">
        <v>8485.749814185634</v>
      </c>
      <c r="Y20" s="3">
        <v>3741.73</v>
      </c>
      <c r="Z20" s="3">
        <v>4323.55</v>
      </c>
      <c r="AA20" s="4" t="e">
        <v>#N/A</v>
      </c>
      <c r="AB20" s="4" t="e">
        <v>#N/A</v>
      </c>
      <c r="AC20" s="5" t="e">
        <v>#N/A</v>
      </c>
      <c r="AD20" s="5" t="e">
        <v>#N/A</v>
      </c>
      <c r="AE20" s="34">
        <v>143.45661376240778</v>
      </c>
      <c r="AF20" s="28" t="e">
        <v>#N/A</v>
      </c>
      <c r="AG20" s="28" t="e">
        <v>#N/A</v>
      </c>
      <c r="AH20" s="28" t="e">
        <v>#N/A</v>
      </c>
      <c r="AI20" s="28" t="e">
        <v>#N/A</v>
      </c>
      <c r="AJ20" s="28" t="e">
        <v>#N/A</v>
      </c>
      <c r="AK20" s="28" t="e">
        <v>#N/A</v>
      </c>
      <c r="AL20" s="28" t="e">
        <v>#N/A</v>
      </c>
      <c r="AM20" s="28" t="e">
        <v>#N/A</v>
      </c>
      <c r="AN20" s="28" t="e">
        <v>#N/A</v>
      </c>
      <c r="AO20" s="28" t="e">
        <v>#N/A</v>
      </c>
      <c r="AP20" s="28" t="e">
        <v>#N/A</v>
      </c>
      <c r="AQ20" s="28" t="e">
        <v>#N/A</v>
      </c>
      <c r="AR20" s="28" t="e">
        <v>#N/A</v>
      </c>
      <c r="AS20" s="28" t="e">
        <v>#N/A</v>
      </c>
      <c r="AT20" s="28" t="e">
        <v>#N/A</v>
      </c>
      <c r="AU20" s="28" t="e">
        <v>#N/A</v>
      </c>
      <c r="AV20" s="28" t="e">
        <v>#N/A</v>
      </c>
      <c r="AW20" s="28" t="e">
        <v>#N/A</v>
      </c>
      <c r="AX20" s="28" t="e">
        <v>#N/A</v>
      </c>
      <c r="AY20" s="28" t="e">
        <v>#N/A</v>
      </c>
      <c r="AZ20" s="28" t="e">
        <v>#N/A</v>
      </c>
      <c r="BA20" s="3">
        <v>3807.64</v>
      </c>
      <c r="BB20">
        <f>IF(ISNUMBER(VLOOKUP($B20,CEIC_DATA!$I$26:$N$353,Haver_M!BB$2,FALSE)),VLOOKUP($B20,CEIC_DATA!$I$26:$N$353,Haver_M!BB$2,FALSE),NA())</f>
        <v>106.87328626999999</v>
      </c>
      <c r="BC20">
        <f>IF(ISNUMBER(VLOOKUP($B20,CEIC_DATA!$I$26:$N$353,Haver_M!BC$2,FALSE)),VLOOKUP($B20,CEIC_DATA!$I$26:$N$353,Haver_M!BC$2,FALSE),NA())</f>
        <v>115.2</v>
      </c>
      <c r="BD20">
        <f>IF(ISNUMBER(VLOOKUP($B20,CEIC_DATA!$I$26:$N$353,Haver_M!BD$2,FALSE)),VLOOKUP($B20,CEIC_DATA!$I$26:$N$353,Haver_M!BD$2,FALSE),NA())</f>
        <v>122.5</v>
      </c>
      <c r="BE20">
        <f>IF(ISNUMBER(VLOOKUP($B20,CEIC_DATA!$I$26:$N$353,Haver_M!BE$2,FALSE)),VLOOKUP($B20,CEIC_DATA!$I$26:$N$353,Haver_M!BE$2,FALSE),NA())</f>
        <v>49</v>
      </c>
      <c r="BJ20" s="3" t="e">
        <v>#N/A</v>
      </c>
      <c r="BK20" s="3" t="e">
        <v>#N/A</v>
      </c>
      <c r="BL20" s="3" t="e">
        <v>#N/A</v>
      </c>
      <c r="BM20" s="3" t="e">
        <v>#N/A</v>
      </c>
      <c r="BN20" s="3">
        <v>4309</v>
      </c>
      <c r="BO20" s="3">
        <v>4625</v>
      </c>
      <c r="BP20" s="28">
        <v>46.6205</v>
      </c>
      <c r="BQ20" s="28" t="str">
        <f t="shared" si="1"/>
        <v/>
      </c>
      <c r="BR20" s="28" t="str">
        <f t="shared" si="2"/>
        <v/>
      </c>
      <c r="BS20" s="28" t="str">
        <f t="shared" si="3"/>
        <v/>
      </c>
      <c r="BT20" s="28" t="str">
        <f t="shared" si="4"/>
        <v/>
      </c>
      <c r="BU20" s="4">
        <v>44978</v>
      </c>
    </row>
    <row r="21" spans="1:73" x14ac:dyDescent="0.25">
      <c r="A21" t="s">
        <v>20</v>
      </c>
      <c r="B21" s="2">
        <v>37011</v>
      </c>
      <c r="C21" s="3">
        <v>8.75</v>
      </c>
      <c r="D21" s="28">
        <v>10.0779</v>
      </c>
      <c r="E21" s="34">
        <v>97.442239999999998</v>
      </c>
      <c r="F21" s="5">
        <v>47.4</v>
      </c>
      <c r="G21" s="5" t="e">
        <v>#N/A</v>
      </c>
      <c r="H21" s="3">
        <v>47.04</v>
      </c>
      <c r="I21" s="3">
        <v>55.86</v>
      </c>
      <c r="J21" s="3">
        <v>27.95</v>
      </c>
      <c r="K21" s="3">
        <v>59.6</v>
      </c>
      <c r="L21" s="3" t="e">
        <v>#N/A</v>
      </c>
      <c r="M21" s="3">
        <v>26.52</v>
      </c>
      <c r="N21" s="3">
        <v>47.52</v>
      </c>
      <c r="O21" s="5" t="e">
        <v>#N/A</v>
      </c>
      <c r="P21" s="52" t="e">
        <v>#N/A</v>
      </c>
      <c r="Q21" s="52" t="e">
        <v>#N/A</v>
      </c>
      <c r="R21" s="52" t="e">
        <v>#N/A</v>
      </c>
      <c r="S21" s="52" t="e">
        <v>#N/A</v>
      </c>
      <c r="T21" s="52" t="e">
        <v>#N/A</v>
      </c>
      <c r="U21" s="52" t="e">
        <v>#N/A</v>
      </c>
      <c r="V21" s="52" t="e">
        <v>#N/A</v>
      </c>
      <c r="W21" s="52" t="e">
        <v>#N/A</v>
      </c>
      <c r="X21" s="3">
        <v>8308.7308201162614</v>
      </c>
      <c r="Y21" s="3">
        <v>3226.88</v>
      </c>
      <c r="Z21" s="3">
        <v>4209.42</v>
      </c>
      <c r="AA21" s="4" t="e">
        <v>#N/A</v>
      </c>
      <c r="AB21" s="4" t="e">
        <v>#N/A</v>
      </c>
      <c r="AC21" s="5" t="e">
        <v>#N/A</v>
      </c>
      <c r="AD21" s="5" t="e">
        <v>#N/A</v>
      </c>
      <c r="AE21" s="34">
        <v>121.8110391901716</v>
      </c>
      <c r="AF21" s="28" t="e">
        <v>#N/A</v>
      </c>
      <c r="AG21" s="28" t="e">
        <v>#N/A</v>
      </c>
      <c r="AH21" s="28" t="e">
        <v>#N/A</v>
      </c>
      <c r="AI21" s="28" t="e">
        <v>#N/A</v>
      </c>
      <c r="AJ21" s="28" t="e">
        <v>#N/A</v>
      </c>
      <c r="AK21" s="28" t="e">
        <v>#N/A</v>
      </c>
      <c r="AL21" s="28" t="e">
        <v>#N/A</v>
      </c>
      <c r="AM21" s="28" t="e">
        <v>#N/A</v>
      </c>
      <c r="AN21" s="28" t="e">
        <v>#N/A</v>
      </c>
      <c r="AO21" s="28" t="e">
        <v>#N/A</v>
      </c>
      <c r="AP21" s="28" t="e">
        <v>#N/A</v>
      </c>
      <c r="AQ21" s="28" t="e">
        <v>#N/A</v>
      </c>
      <c r="AR21" s="28" t="e">
        <v>#N/A</v>
      </c>
      <c r="AS21" s="28" t="e">
        <v>#N/A</v>
      </c>
      <c r="AT21" s="28" t="e">
        <v>#N/A</v>
      </c>
      <c r="AU21" s="28" t="e">
        <v>#N/A</v>
      </c>
      <c r="AV21" s="28" t="e">
        <v>#N/A</v>
      </c>
      <c r="AW21" s="28" t="e">
        <v>#N/A</v>
      </c>
      <c r="AX21" s="28" t="e">
        <v>#N/A</v>
      </c>
      <c r="AY21" s="28" t="e">
        <v>#N/A</v>
      </c>
      <c r="AZ21" s="28" t="e">
        <v>#N/A</v>
      </c>
      <c r="BA21" s="3">
        <v>3487.44</v>
      </c>
      <c r="BB21">
        <f>IF(ISNUMBER(VLOOKUP($B21,CEIC_DATA!$I$26:$N$353,Haver_M!BB$2,FALSE)),VLOOKUP($B21,CEIC_DATA!$I$26:$N$353,Haver_M!BB$2,FALSE),NA())</f>
        <v>105.39878494</v>
      </c>
      <c r="BC21" t="e">
        <f>IF(ISNUMBER(VLOOKUP($B21,CEIC_DATA!$I$26:$N$353,Haver_M!BC$2,FALSE)),VLOOKUP($B21,CEIC_DATA!$I$26:$N$353,Haver_M!BC$2,FALSE),NA())</f>
        <v>#N/A</v>
      </c>
      <c r="BD21" t="e">
        <f>IF(ISNUMBER(VLOOKUP($B21,CEIC_DATA!$I$26:$N$353,Haver_M!BD$2,FALSE)),VLOOKUP($B21,CEIC_DATA!$I$26:$N$353,Haver_M!BD$2,FALSE),NA())</f>
        <v>#N/A</v>
      </c>
      <c r="BE21" t="e">
        <f>IF(ISNUMBER(VLOOKUP($B21,CEIC_DATA!$I$26:$N$353,Haver_M!BE$2,FALSE)),VLOOKUP($B21,CEIC_DATA!$I$26:$N$353,Haver_M!BE$2,FALSE),NA())</f>
        <v>#N/A</v>
      </c>
      <c r="BJ21" s="3" t="e">
        <v>#N/A</v>
      </c>
      <c r="BK21" s="3" t="e">
        <v>#N/A</v>
      </c>
      <c r="BL21" s="3" t="e">
        <v>#N/A</v>
      </c>
      <c r="BM21" s="3" t="e">
        <v>#N/A</v>
      </c>
      <c r="BN21" s="3">
        <v>3115</v>
      </c>
      <c r="BO21" s="3">
        <v>4094</v>
      </c>
      <c r="BP21" s="28">
        <v>46.783499999999997</v>
      </c>
      <c r="BQ21" s="28" t="str">
        <f t="shared" si="1"/>
        <v/>
      </c>
      <c r="BR21" s="28" t="str">
        <f t="shared" si="2"/>
        <v/>
      </c>
      <c r="BS21" s="28" t="str">
        <f t="shared" si="3"/>
        <v/>
      </c>
      <c r="BT21" s="28" t="str">
        <f t="shared" si="4"/>
        <v/>
      </c>
      <c r="BU21" s="4">
        <v>52444</v>
      </c>
    </row>
    <row r="22" spans="1:73" x14ac:dyDescent="0.25">
      <c r="A22" t="s">
        <v>21</v>
      </c>
      <c r="B22" s="2">
        <v>37042</v>
      </c>
      <c r="C22" s="3">
        <v>8.75</v>
      </c>
      <c r="D22" s="28">
        <v>9.7149000000000001</v>
      </c>
      <c r="E22" s="34">
        <v>97.516210000000001</v>
      </c>
      <c r="F22" s="5">
        <v>47.8</v>
      </c>
      <c r="G22" s="5" t="e">
        <v>#N/A</v>
      </c>
      <c r="H22" s="3">
        <v>46.86</v>
      </c>
      <c r="I22" s="3">
        <v>55.5</v>
      </c>
      <c r="J22" s="3">
        <v>26.1</v>
      </c>
      <c r="K22" s="3">
        <v>59.65</v>
      </c>
      <c r="L22" s="3" t="e">
        <v>#N/A</v>
      </c>
      <c r="M22" s="3">
        <v>27.44</v>
      </c>
      <c r="N22" s="3">
        <v>46.95</v>
      </c>
      <c r="O22" s="5" t="e">
        <v>#N/A</v>
      </c>
      <c r="P22" s="52" t="e">
        <v>#N/A</v>
      </c>
      <c r="Q22" s="52" t="e">
        <v>#N/A</v>
      </c>
      <c r="R22" s="52" t="e">
        <v>#N/A</v>
      </c>
      <c r="S22" s="52" t="e">
        <v>#N/A</v>
      </c>
      <c r="T22" s="52" t="e">
        <v>#N/A</v>
      </c>
      <c r="U22" s="52" t="e">
        <v>#N/A</v>
      </c>
      <c r="V22" s="52" t="e">
        <v>#N/A</v>
      </c>
      <c r="W22" s="52" t="e">
        <v>#N/A</v>
      </c>
      <c r="X22" s="3">
        <v>8356.4908359369565</v>
      </c>
      <c r="Y22" s="3">
        <v>3687.82</v>
      </c>
      <c r="Z22" s="3">
        <v>4455.2299999999996</v>
      </c>
      <c r="AA22" s="4" t="e">
        <v>#N/A</v>
      </c>
      <c r="AB22" s="4" t="e">
        <v>#N/A</v>
      </c>
      <c r="AC22" s="5" t="e">
        <v>#N/A</v>
      </c>
      <c r="AD22" s="5" t="e">
        <v>#N/A</v>
      </c>
      <c r="AE22" s="34">
        <v>88.793829179088362</v>
      </c>
      <c r="AF22" s="28" t="e">
        <v>#N/A</v>
      </c>
      <c r="AG22" s="28" t="e">
        <v>#N/A</v>
      </c>
      <c r="AH22" s="28" t="e">
        <v>#N/A</v>
      </c>
      <c r="AI22" s="28" t="e">
        <v>#N/A</v>
      </c>
      <c r="AJ22" s="28" t="e">
        <v>#N/A</v>
      </c>
      <c r="AK22" s="28" t="e">
        <v>#N/A</v>
      </c>
      <c r="AL22" s="28" t="e">
        <v>#N/A</v>
      </c>
      <c r="AM22" s="28" t="e">
        <v>#N/A</v>
      </c>
      <c r="AN22" s="28" t="e">
        <v>#N/A</v>
      </c>
      <c r="AO22" s="28" t="e">
        <v>#N/A</v>
      </c>
      <c r="AP22" s="28" t="e">
        <v>#N/A</v>
      </c>
      <c r="AQ22" s="28" t="e">
        <v>#N/A</v>
      </c>
      <c r="AR22" s="28" t="e">
        <v>#N/A</v>
      </c>
      <c r="AS22" s="28" t="e">
        <v>#N/A</v>
      </c>
      <c r="AT22" s="28" t="e">
        <v>#N/A</v>
      </c>
      <c r="AU22" s="28" t="e">
        <v>#N/A</v>
      </c>
      <c r="AV22" s="28" t="e">
        <v>#N/A</v>
      </c>
      <c r="AW22" s="28" t="e">
        <v>#N/A</v>
      </c>
      <c r="AX22" s="28" t="e">
        <v>#N/A</v>
      </c>
      <c r="AY22" s="28" t="e">
        <v>#N/A</v>
      </c>
      <c r="AZ22" s="28" t="e">
        <v>#N/A</v>
      </c>
      <c r="BA22" s="3">
        <v>3613.84</v>
      </c>
      <c r="BB22">
        <f>IF(ISNUMBER(VLOOKUP($B22,CEIC_DATA!$I$26:$N$353,Haver_M!BB$2,FALSE)),VLOOKUP($B22,CEIC_DATA!$I$26:$N$353,Haver_M!BB$2,FALSE),NA())</f>
        <v>103.6767114</v>
      </c>
      <c r="BC22" t="e">
        <f>IF(ISNUMBER(VLOOKUP($B22,CEIC_DATA!$I$26:$N$353,Haver_M!BC$2,FALSE)),VLOOKUP($B22,CEIC_DATA!$I$26:$N$353,Haver_M!BC$2,FALSE),NA())</f>
        <v>#N/A</v>
      </c>
      <c r="BD22" t="e">
        <f>IF(ISNUMBER(VLOOKUP($B22,CEIC_DATA!$I$26:$N$353,Haver_M!BD$2,FALSE)),VLOOKUP($B22,CEIC_DATA!$I$26:$N$353,Haver_M!BD$2,FALSE),NA())</f>
        <v>#N/A</v>
      </c>
      <c r="BE22" t="e">
        <f>IF(ISNUMBER(VLOOKUP($B22,CEIC_DATA!$I$26:$N$353,Haver_M!BE$2,FALSE)),VLOOKUP($B22,CEIC_DATA!$I$26:$N$353,Haver_M!BE$2,FALSE),NA())</f>
        <v>#N/A</v>
      </c>
      <c r="BF22">
        <v>337038</v>
      </c>
      <c r="BG22">
        <v>9137</v>
      </c>
      <c r="BH22">
        <v>423736</v>
      </c>
      <c r="BI22">
        <v>61818</v>
      </c>
      <c r="BJ22" s="3" t="e">
        <v>#N/A</v>
      </c>
      <c r="BK22" s="3" t="e">
        <v>#N/A</v>
      </c>
      <c r="BL22" s="3" t="e">
        <v>#N/A</v>
      </c>
      <c r="BM22" s="3" t="e">
        <v>#N/A</v>
      </c>
      <c r="BN22" s="3">
        <v>3629</v>
      </c>
      <c r="BO22" s="3">
        <v>4674</v>
      </c>
      <c r="BP22" s="28">
        <v>46.920200000000001</v>
      </c>
      <c r="BQ22" s="28" t="str">
        <f t="shared" si="1"/>
        <v/>
      </c>
      <c r="BR22" s="28" t="str">
        <f t="shared" si="2"/>
        <v/>
      </c>
      <c r="BS22" s="28" t="str">
        <f t="shared" si="3"/>
        <v/>
      </c>
      <c r="BT22" s="28" t="str">
        <f t="shared" si="4"/>
        <v/>
      </c>
      <c r="BU22" s="4">
        <v>60701</v>
      </c>
    </row>
    <row r="23" spans="1:73" x14ac:dyDescent="0.25">
      <c r="A23" t="s">
        <v>22</v>
      </c>
      <c r="B23" s="2">
        <v>37072</v>
      </c>
      <c r="C23" s="3">
        <v>8.5</v>
      </c>
      <c r="D23" s="28">
        <v>9.4550999999999998</v>
      </c>
      <c r="E23" s="34">
        <v>98.845179999999999</v>
      </c>
      <c r="F23" s="5">
        <v>48.3</v>
      </c>
      <c r="G23" s="5" t="e">
        <v>#N/A</v>
      </c>
      <c r="H23" s="3">
        <v>47.17</v>
      </c>
      <c r="I23" s="3">
        <v>55.4</v>
      </c>
      <c r="J23" s="3">
        <v>24.9</v>
      </c>
      <c r="K23" s="3">
        <v>59.36</v>
      </c>
      <c r="L23" s="3" t="e">
        <v>#N/A</v>
      </c>
      <c r="M23" s="3">
        <v>27.78</v>
      </c>
      <c r="N23" s="3">
        <v>50.49</v>
      </c>
      <c r="O23" s="5" t="e">
        <v>#N/A</v>
      </c>
      <c r="P23" s="52" t="e">
        <v>#N/A</v>
      </c>
      <c r="Q23" s="52" t="e">
        <v>#N/A</v>
      </c>
      <c r="R23" s="52" t="e">
        <v>#N/A</v>
      </c>
      <c r="S23" s="52" t="e">
        <v>#N/A</v>
      </c>
      <c r="T23" s="52" t="e">
        <v>#N/A</v>
      </c>
      <c r="U23" s="52" t="e">
        <v>#N/A</v>
      </c>
      <c r="V23" s="52" t="e">
        <v>#N/A</v>
      </c>
      <c r="W23" s="52" t="e">
        <v>#N/A</v>
      </c>
      <c r="X23" s="3">
        <v>8609.3938223319783</v>
      </c>
      <c r="Y23" s="3">
        <v>3782.77</v>
      </c>
      <c r="Z23" s="3">
        <v>4247.93</v>
      </c>
      <c r="AA23" s="4" t="e">
        <v>#N/A</v>
      </c>
      <c r="AB23" s="4" t="e">
        <v>#N/A</v>
      </c>
      <c r="AC23" s="5" t="e">
        <v>#N/A</v>
      </c>
      <c r="AD23" s="5" t="e">
        <v>#N/A</v>
      </c>
      <c r="AE23" s="34">
        <v>88.922302829080763</v>
      </c>
      <c r="AF23" s="28" t="e">
        <v>#N/A</v>
      </c>
      <c r="AG23" s="28" t="e">
        <v>#N/A</v>
      </c>
      <c r="AH23" s="28" t="e">
        <v>#N/A</v>
      </c>
      <c r="AI23" s="28" t="e">
        <v>#N/A</v>
      </c>
      <c r="AJ23" s="28" t="e">
        <v>#N/A</v>
      </c>
      <c r="AK23" s="28" t="e">
        <v>#N/A</v>
      </c>
      <c r="AL23" s="28" t="e">
        <v>#N/A</v>
      </c>
      <c r="AM23" s="28" t="e">
        <v>#N/A</v>
      </c>
      <c r="AN23" s="28" t="e">
        <v>#N/A</v>
      </c>
      <c r="AO23" s="28" t="e">
        <v>#N/A</v>
      </c>
      <c r="AP23" s="28" t="e">
        <v>#N/A</v>
      </c>
      <c r="AQ23" s="28" t="e">
        <v>#N/A</v>
      </c>
      <c r="AR23" s="28" t="e">
        <v>#N/A</v>
      </c>
      <c r="AS23" s="28" t="e">
        <v>#N/A</v>
      </c>
      <c r="AT23" s="28" t="e">
        <v>#N/A</v>
      </c>
      <c r="AU23" s="28" t="e">
        <v>#N/A</v>
      </c>
      <c r="AV23" s="28" t="e">
        <v>#N/A</v>
      </c>
      <c r="AW23" s="28" t="e">
        <v>#N/A</v>
      </c>
      <c r="AX23" s="28" t="e">
        <v>#N/A</v>
      </c>
      <c r="AY23" s="28" t="e">
        <v>#N/A</v>
      </c>
      <c r="AZ23" s="28" t="e">
        <v>#N/A</v>
      </c>
      <c r="BA23" s="3">
        <v>3439.01</v>
      </c>
      <c r="BB23">
        <f>IF(ISNUMBER(VLOOKUP($B23,CEIC_DATA!$I$26:$N$353,Haver_M!BB$2,FALSE)),VLOOKUP($B23,CEIC_DATA!$I$26:$N$353,Haver_M!BB$2,FALSE),NA())</f>
        <v>101.57750832000001</v>
      </c>
      <c r="BC23">
        <f>IF(ISNUMBER(VLOOKUP($B23,CEIC_DATA!$I$26:$N$353,Haver_M!BC$2,FALSE)),VLOOKUP($B23,CEIC_DATA!$I$26:$N$353,Haver_M!BC$2,FALSE),NA())</f>
        <v>109.9</v>
      </c>
      <c r="BD23">
        <f>IF(ISNUMBER(VLOOKUP($B23,CEIC_DATA!$I$26:$N$353,Haver_M!BD$2,FALSE)),VLOOKUP($B23,CEIC_DATA!$I$26:$N$353,Haver_M!BD$2,FALSE),NA())</f>
        <v>120.7</v>
      </c>
      <c r="BE23">
        <f>IF(ISNUMBER(VLOOKUP($B23,CEIC_DATA!$I$26:$N$353,Haver_M!BE$2,FALSE)),VLOOKUP($B23,CEIC_DATA!$I$26:$N$353,Haver_M!BE$2,FALSE),NA())</f>
        <v>43.7</v>
      </c>
      <c r="BF23">
        <v>326699</v>
      </c>
      <c r="BG23">
        <v>12262</v>
      </c>
      <c r="BH23">
        <v>412217</v>
      </c>
      <c r="BI23">
        <v>55946</v>
      </c>
      <c r="BJ23" s="3" t="e">
        <v>#N/A</v>
      </c>
      <c r="BK23" s="3" t="e">
        <v>#N/A</v>
      </c>
      <c r="BL23" s="3" t="e">
        <v>#N/A</v>
      </c>
      <c r="BM23" s="3" t="e">
        <v>#N/A</v>
      </c>
      <c r="BN23" s="3">
        <v>3612</v>
      </c>
      <c r="BO23" s="3">
        <v>4017</v>
      </c>
      <c r="BP23" s="28">
        <v>47.003799999999998</v>
      </c>
      <c r="BQ23" s="28" t="str">
        <f t="shared" si="1"/>
        <v/>
      </c>
      <c r="BR23" s="28" t="str">
        <f t="shared" si="2"/>
        <v/>
      </c>
      <c r="BS23" s="28" t="str">
        <f t="shared" si="3"/>
        <v/>
      </c>
      <c r="BT23" s="28" t="str">
        <f t="shared" si="4"/>
        <v/>
      </c>
      <c r="BU23" s="4">
        <v>61958</v>
      </c>
    </row>
    <row r="24" spans="1:73" x14ac:dyDescent="0.25">
      <c r="A24" t="s">
        <v>23</v>
      </c>
      <c r="B24" s="2">
        <v>37103</v>
      </c>
      <c r="C24" s="3">
        <v>8.5</v>
      </c>
      <c r="D24" s="28">
        <v>9.2608999999999995</v>
      </c>
      <c r="E24" s="34">
        <v>99.140739999999994</v>
      </c>
      <c r="F24" s="5">
        <v>48.8</v>
      </c>
      <c r="G24" s="5" t="e">
        <v>#N/A</v>
      </c>
      <c r="H24" s="3">
        <v>46.86</v>
      </c>
      <c r="I24" s="3">
        <v>55.32</v>
      </c>
      <c r="J24" s="3">
        <v>25.39</v>
      </c>
      <c r="K24" s="3">
        <v>58.94</v>
      </c>
      <c r="L24" s="3" t="e">
        <v>#N/A</v>
      </c>
      <c r="M24" s="3">
        <v>29.17</v>
      </c>
      <c r="N24" s="3">
        <v>47.11</v>
      </c>
      <c r="O24" s="5" t="e">
        <v>#N/A</v>
      </c>
      <c r="P24" s="52" t="e">
        <v>#N/A</v>
      </c>
      <c r="Q24" s="52" t="e">
        <v>#N/A</v>
      </c>
      <c r="R24" s="52" t="e">
        <v>#N/A</v>
      </c>
      <c r="S24" s="52" t="e">
        <v>#N/A</v>
      </c>
      <c r="T24" s="52" t="e">
        <v>#N/A</v>
      </c>
      <c r="U24" s="52" t="e">
        <v>#N/A</v>
      </c>
      <c r="V24" s="52" t="e">
        <v>#N/A</v>
      </c>
      <c r="W24" s="52" t="e">
        <v>#N/A</v>
      </c>
      <c r="X24" s="3">
        <v>7897.0122436912588</v>
      </c>
      <c r="Y24" s="3">
        <v>3456.32</v>
      </c>
      <c r="Z24" s="3">
        <v>4765.93</v>
      </c>
      <c r="AA24" s="4" t="e">
        <v>#N/A</v>
      </c>
      <c r="AB24" s="4" t="e">
        <v>#N/A</v>
      </c>
      <c r="AC24" s="5" t="e">
        <v>#N/A</v>
      </c>
      <c r="AD24" s="5" t="e">
        <v>#N/A</v>
      </c>
      <c r="AE24" s="34">
        <v>115.32456204265819</v>
      </c>
      <c r="AF24" s="28" t="e">
        <v>#N/A</v>
      </c>
      <c r="AG24" s="28" t="e">
        <v>#N/A</v>
      </c>
      <c r="AH24" s="28" t="e">
        <v>#N/A</v>
      </c>
      <c r="AI24" s="28" t="e">
        <v>#N/A</v>
      </c>
      <c r="AJ24" s="28" t="e">
        <v>#N/A</v>
      </c>
      <c r="AK24" s="28" t="e">
        <v>#N/A</v>
      </c>
      <c r="AL24" s="28" t="e">
        <v>#N/A</v>
      </c>
      <c r="AM24" s="28" t="e">
        <v>#N/A</v>
      </c>
      <c r="AN24" s="28" t="e">
        <v>#N/A</v>
      </c>
      <c r="AO24" s="28" t="e">
        <v>#N/A</v>
      </c>
      <c r="AP24" s="28" t="e">
        <v>#N/A</v>
      </c>
      <c r="AQ24" s="28" t="e">
        <v>#N/A</v>
      </c>
      <c r="AR24" s="28" t="e">
        <v>#N/A</v>
      </c>
      <c r="AS24" s="28" t="e">
        <v>#N/A</v>
      </c>
      <c r="AT24" s="28" t="e">
        <v>#N/A</v>
      </c>
      <c r="AU24" s="28" t="e">
        <v>#N/A</v>
      </c>
      <c r="AV24" s="28" t="e">
        <v>#N/A</v>
      </c>
      <c r="AW24" s="28" t="e">
        <v>#N/A</v>
      </c>
      <c r="AX24" s="28" t="e">
        <v>#N/A</v>
      </c>
      <c r="AY24" s="28" t="e">
        <v>#N/A</v>
      </c>
      <c r="AZ24" s="28" t="e">
        <v>#N/A</v>
      </c>
      <c r="BA24" s="3">
        <v>3346.88</v>
      </c>
      <c r="BB24">
        <f>IF(ISNUMBER(VLOOKUP($B24,CEIC_DATA!$I$26:$N$353,Haver_M!BB$2,FALSE)),VLOOKUP($B24,CEIC_DATA!$I$26:$N$353,Haver_M!BB$2,FALSE),NA())</f>
        <v>99.306173189999996</v>
      </c>
      <c r="BC24" t="e">
        <f>IF(ISNUMBER(VLOOKUP($B24,CEIC_DATA!$I$26:$N$353,Haver_M!BC$2,FALSE)),VLOOKUP($B24,CEIC_DATA!$I$26:$N$353,Haver_M!BC$2,FALSE),NA())</f>
        <v>#N/A</v>
      </c>
      <c r="BD24" t="e">
        <f>IF(ISNUMBER(VLOOKUP($B24,CEIC_DATA!$I$26:$N$353,Haver_M!BD$2,FALSE)),VLOOKUP($B24,CEIC_DATA!$I$26:$N$353,Haver_M!BD$2,FALSE),NA())</f>
        <v>#N/A</v>
      </c>
      <c r="BE24" t="e">
        <f>IF(ISNUMBER(VLOOKUP($B24,CEIC_DATA!$I$26:$N$353,Haver_M!BE$2,FALSE)),VLOOKUP($B24,CEIC_DATA!$I$26:$N$353,Haver_M!BE$2,FALSE),NA())</f>
        <v>#N/A</v>
      </c>
      <c r="BF24">
        <v>326878</v>
      </c>
      <c r="BG24">
        <v>10660</v>
      </c>
      <c r="BH24">
        <v>414085</v>
      </c>
      <c r="BI24">
        <v>57654</v>
      </c>
      <c r="BJ24" s="3" t="e">
        <v>#N/A</v>
      </c>
      <c r="BK24" s="3" t="e">
        <v>#N/A</v>
      </c>
      <c r="BL24" s="3" t="e">
        <v>#N/A</v>
      </c>
      <c r="BM24" s="3" t="e">
        <v>#N/A</v>
      </c>
      <c r="BN24" s="3">
        <v>3433</v>
      </c>
      <c r="BO24" s="3">
        <v>4923</v>
      </c>
      <c r="BP24" s="28">
        <v>47.139299999999999</v>
      </c>
      <c r="BQ24" s="28" t="str">
        <f t="shared" si="1"/>
        <v/>
      </c>
      <c r="BR24" s="28" t="str">
        <f t="shared" si="2"/>
        <v/>
      </c>
      <c r="BS24" s="28" t="str">
        <f t="shared" si="3"/>
        <v/>
      </c>
      <c r="BT24" s="28" t="str">
        <f t="shared" si="4"/>
        <v/>
      </c>
      <c r="BU24" s="4">
        <v>61008</v>
      </c>
    </row>
    <row r="25" spans="1:73" x14ac:dyDescent="0.25">
      <c r="A25" t="s">
        <v>24</v>
      </c>
      <c r="B25" s="2">
        <v>37134</v>
      </c>
      <c r="C25" s="3">
        <v>8.5</v>
      </c>
      <c r="D25" s="28">
        <v>9.1394000000000002</v>
      </c>
      <c r="E25" s="34">
        <v>97.716759999999994</v>
      </c>
      <c r="F25" s="5">
        <v>49.2</v>
      </c>
      <c r="G25" s="5" t="e">
        <v>#N/A</v>
      </c>
      <c r="H25" s="3">
        <v>47.28</v>
      </c>
      <c r="I25" s="3">
        <v>56.84</v>
      </c>
      <c r="J25" s="3">
        <v>25.28</v>
      </c>
      <c r="K25" s="3">
        <v>58.79</v>
      </c>
      <c r="L25" s="3" t="e">
        <v>#N/A</v>
      </c>
      <c r="M25" s="3">
        <v>28.98</v>
      </c>
      <c r="N25" s="3">
        <v>48.38</v>
      </c>
      <c r="O25" s="5" t="e">
        <v>#N/A</v>
      </c>
      <c r="P25" s="52" t="e">
        <v>#N/A</v>
      </c>
      <c r="Q25" s="52" t="e">
        <v>#N/A</v>
      </c>
      <c r="R25" s="52" t="e">
        <v>#N/A</v>
      </c>
      <c r="S25" s="52" t="e">
        <v>#N/A</v>
      </c>
      <c r="T25" s="52" t="e">
        <v>#N/A</v>
      </c>
      <c r="U25" s="52" t="e">
        <v>#N/A</v>
      </c>
      <c r="V25" s="52" t="e">
        <v>#N/A</v>
      </c>
      <c r="W25" s="52" t="e">
        <v>#N/A</v>
      </c>
      <c r="X25" s="3">
        <v>8479.2019992932965</v>
      </c>
      <c r="Y25" s="3">
        <v>3656.43</v>
      </c>
      <c r="Z25" s="3">
        <v>4430.63</v>
      </c>
      <c r="AA25" s="4" t="e">
        <v>#N/A</v>
      </c>
      <c r="AB25" s="4" t="e">
        <v>#N/A</v>
      </c>
      <c r="AC25" s="5" t="e">
        <v>#N/A</v>
      </c>
      <c r="AD25" s="5" t="e">
        <v>#N/A</v>
      </c>
      <c r="AE25" s="34">
        <v>89.274069973371496</v>
      </c>
      <c r="AF25" s="28" t="e">
        <v>#N/A</v>
      </c>
      <c r="AG25" s="28" t="e">
        <v>#N/A</v>
      </c>
      <c r="AH25" s="28" t="e">
        <v>#N/A</v>
      </c>
      <c r="AI25" s="28" t="e">
        <v>#N/A</v>
      </c>
      <c r="AJ25" s="28" t="e">
        <v>#N/A</v>
      </c>
      <c r="AK25" s="28" t="e">
        <v>#N/A</v>
      </c>
      <c r="AL25" s="28" t="e">
        <v>#N/A</v>
      </c>
      <c r="AM25" s="28" t="e">
        <v>#N/A</v>
      </c>
      <c r="AN25" s="28" t="e">
        <v>#N/A</v>
      </c>
      <c r="AO25" s="28" t="e">
        <v>#N/A</v>
      </c>
      <c r="AP25" s="28" t="e">
        <v>#N/A</v>
      </c>
      <c r="AQ25" s="28" t="e">
        <v>#N/A</v>
      </c>
      <c r="AR25" s="28" t="e">
        <v>#N/A</v>
      </c>
      <c r="AS25" s="28" t="e">
        <v>#N/A</v>
      </c>
      <c r="AT25" s="28" t="e">
        <v>#N/A</v>
      </c>
      <c r="AU25" s="28" t="e">
        <v>#N/A</v>
      </c>
      <c r="AV25" s="28" t="e">
        <v>#N/A</v>
      </c>
      <c r="AW25" s="28" t="e">
        <v>#N/A</v>
      </c>
      <c r="AX25" s="28" t="e">
        <v>#N/A</v>
      </c>
      <c r="AY25" s="28" t="e">
        <v>#N/A</v>
      </c>
      <c r="AZ25" s="28" t="e">
        <v>#N/A</v>
      </c>
      <c r="BA25" s="3">
        <v>3304.99</v>
      </c>
      <c r="BB25">
        <f>IF(ISNUMBER(VLOOKUP($B25,CEIC_DATA!$I$26:$N$353,Haver_M!BB$2,FALSE)),VLOOKUP($B25,CEIC_DATA!$I$26:$N$353,Haver_M!BB$2,FALSE),NA())</f>
        <v>97.069076260000003</v>
      </c>
      <c r="BC25" t="e">
        <f>IF(ISNUMBER(VLOOKUP($B25,CEIC_DATA!$I$26:$N$353,Haver_M!BC$2,FALSE)),VLOOKUP($B25,CEIC_DATA!$I$26:$N$353,Haver_M!BC$2,FALSE),NA())</f>
        <v>#N/A</v>
      </c>
      <c r="BD25" t="e">
        <f>IF(ISNUMBER(VLOOKUP($B25,CEIC_DATA!$I$26:$N$353,Haver_M!BD$2,FALSE)),VLOOKUP($B25,CEIC_DATA!$I$26:$N$353,Haver_M!BD$2,FALSE),NA())</f>
        <v>#N/A</v>
      </c>
      <c r="BE25" t="e">
        <f>IF(ISNUMBER(VLOOKUP($B25,CEIC_DATA!$I$26:$N$353,Haver_M!BE$2,FALSE)),VLOOKUP($B25,CEIC_DATA!$I$26:$N$353,Haver_M!BE$2,FALSE),NA())</f>
        <v>#N/A</v>
      </c>
      <c r="BF25">
        <v>333685</v>
      </c>
      <c r="BG25">
        <v>12879</v>
      </c>
      <c r="BH25">
        <v>427949</v>
      </c>
      <c r="BI25">
        <v>61861</v>
      </c>
      <c r="BJ25" s="3" t="e">
        <v>#N/A</v>
      </c>
      <c r="BK25" s="3" t="e">
        <v>#N/A</v>
      </c>
      <c r="BL25" s="3" t="e">
        <v>#N/A</v>
      </c>
      <c r="BM25" s="3" t="e">
        <v>#N/A</v>
      </c>
      <c r="BN25" s="3">
        <v>3647</v>
      </c>
      <c r="BO25" s="3">
        <v>4372</v>
      </c>
      <c r="BP25" s="28">
        <v>47.1265</v>
      </c>
      <c r="BQ25" s="28" t="str">
        <f t="shared" si="1"/>
        <v/>
      </c>
      <c r="BR25" s="28" t="str">
        <f t="shared" si="2"/>
        <v/>
      </c>
      <c r="BS25" s="28" t="str">
        <f t="shared" si="3"/>
        <v/>
      </c>
      <c r="BT25" s="28" t="str">
        <f t="shared" si="4"/>
        <v/>
      </c>
      <c r="BU25" s="4">
        <v>59458</v>
      </c>
    </row>
    <row r="26" spans="1:73" x14ac:dyDescent="0.25">
      <c r="A26" t="s">
        <v>25</v>
      </c>
      <c r="B26" s="2">
        <v>37164</v>
      </c>
      <c r="C26" s="3">
        <v>8.5</v>
      </c>
      <c r="D26" s="28">
        <v>9.1468000000000007</v>
      </c>
      <c r="E26" s="34">
        <v>96.229230000000001</v>
      </c>
      <c r="F26" s="5">
        <v>49</v>
      </c>
      <c r="G26" s="5" t="e">
        <v>#N/A</v>
      </c>
      <c r="H26" s="3">
        <v>47.45</v>
      </c>
      <c r="I26" s="3">
        <v>58.18</v>
      </c>
      <c r="J26" s="3">
        <v>25.16</v>
      </c>
      <c r="K26" s="3">
        <v>59.67</v>
      </c>
      <c r="L26" s="3" t="e">
        <v>#N/A</v>
      </c>
      <c r="M26" s="3">
        <v>29.32</v>
      </c>
      <c r="N26" s="3">
        <v>45.08</v>
      </c>
      <c r="O26" s="5" t="e">
        <v>#N/A</v>
      </c>
      <c r="P26" s="52" t="e">
        <v>#N/A</v>
      </c>
      <c r="Q26" s="52" t="e">
        <v>#N/A</v>
      </c>
      <c r="R26" s="52" t="e">
        <v>#N/A</v>
      </c>
      <c r="S26" s="52" t="e">
        <v>#N/A</v>
      </c>
      <c r="T26" s="52" t="e">
        <v>#N/A</v>
      </c>
      <c r="U26" s="52" t="e">
        <v>#N/A</v>
      </c>
      <c r="V26" s="52" t="e">
        <v>#N/A</v>
      </c>
      <c r="W26" s="52" t="e">
        <v>#N/A</v>
      </c>
      <c r="X26" s="3">
        <v>8718.114258364556</v>
      </c>
      <c r="Y26" s="3">
        <v>3598.84</v>
      </c>
      <c r="Z26" s="3">
        <v>3848.47</v>
      </c>
      <c r="AA26" s="4" t="e">
        <v>#N/A</v>
      </c>
      <c r="AB26" s="4" t="e">
        <v>#N/A</v>
      </c>
      <c r="AC26" s="5" t="e">
        <v>#N/A</v>
      </c>
      <c r="AD26" s="5" t="e">
        <v>#N/A</v>
      </c>
      <c r="AE26" s="34">
        <v>125.07715743802599</v>
      </c>
      <c r="AF26" s="28" t="e">
        <v>#N/A</v>
      </c>
      <c r="AG26" s="28" t="e">
        <v>#N/A</v>
      </c>
      <c r="AH26" s="28" t="e">
        <v>#N/A</v>
      </c>
      <c r="AI26" s="28" t="e">
        <v>#N/A</v>
      </c>
      <c r="AJ26" s="28" t="e">
        <v>#N/A</v>
      </c>
      <c r="AK26" s="28" t="e">
        <v>#N/A</v>
      </c>
      <c r="AL26" s="28" t="e">
        <v>#N/A</v>
      </c>
      <c r="AM26" s="28" t="e">
        <v>#N/A</v>
      </c>
      <c r="AN26" s="28" t="e">
        <v>#N/A</v>
      </c>
      <c r="AO26" s="28" t="e">
        <v>#N/A</v>
      </c>
      <c r="AP26" s="28" t="e">
        <v>#N/A</v>
      </c>
      <c r="AQ26" s="28" t="e">
        <v>#N/A</v>
      </c>
      <c r="AR26" s="28" t="e">
        <v>#N/A</v>
      </c>
      <c r="AS26" s="28" t="e">
        <v>#N/A</v>
      </c>
      <c r="AT26" s="28" t="e">
        <v>#N/A</v>
      </c>
      <c r="AU26" s="28" t="e">
        <v>#N/A</v>
      </c>
      <c r="AV26" s="28" t="e">
        <v>#N/A</v>
      </c>
      <c r="AW26" s="28" t="e">
        <v>#N/A</v>
      </c>
      <c r="AX26" s="28" t="e">
        <v>#N/A</v>
      </c>
      <c r="AY26" s="28" t="e">
        <v>#N/A</v>
      </c>
      <c r="AZ26" s="28" t="e">
        <v>#N/A</v>
      </c>
      <c r="BA26" s="3">
        <v>2918.28</v>
      </c>
      <c r="BB26">
        <f>IF(ISNUMBER(VLOOKUP($B26,CEIC_DATA!$I$26:$N$353,Haver_M!BB$2,FALSE)),VLOOKUP($B26,CEIC_DATA!$I$26:$N$353,Haver_M!BB$2,FALSE),NA())</f>
        <v>95.091249989999994</v>
      </c>
      <c r="BC26">
        <f>IF(ISNUMBER(VLOOKUP($B26,CEIC_DATA!$I$26:$N$353,Haver_M!BC$2,FALSE)),VLOOKUP($B26,CEIC_DATA!$I$26:$N$353,Haver_M!BC$2,FALSE),NA())</f>
        <v>108.7</v>
      </c>
      <c r="BD26">
        <f>IF(ISNUMBER(VLOOKUP($B26,CEIC_DATA!$I$26:$N$353,Haver_M!BD$2,FALSE)),VLOOKUP($B26,CEIC_DATA!$I$26:$N$353,Haver_M!BD$2,FALSE),NA())</f>
        <v>118.9</v>
      </c>
      <c r="BE26">
        <f>IF(ISNUMBER(VLOOKUP($B26,CEIC_DATA!$I$26:$N$353,Haver_M!BE$2,FALSE)),VLOOKUP($B26,CEIC_DATA!$I$26:$N$353,Haver_M!BE$2,FALSE),NA())</f>
        <v>39.700000000000003</v>
      </c>
      <c r="BF26">
        <v>363861</v>
      </c>
      <c r="BG26">
        <v>14317</v>
      </c>
      <c r="BH26">
        <v>456341</v>
      </c>
      <c r="BI26">
        <v>59498</v>
      </c>
      <c r="BJ26" s="3" t="e">
        <v>#N/A</v>
      </c>
      <c r="BK26" s="3" t="e">
        <v>#N/A</v>
      </c>
      <c r="BL26" s="3" t="e">
        <v>#N/A</v>
      </c>
      <c r="BM26" s="3" t="e">
        <v>#N/A</v>
      </c>
      <c r="BN26" s="3">
        <v>3702</v>
      </c>
      <c r="BO26" s="3">
        <v>3902</v>
      </c>
      <c r="BP26" s="28">
        <v>47.642000000000003</v>
      </c>
      <c r="BQ26" s="28" t="str">
        <f t="shared" si="1"/>
        <v/>
      </c>
      <c r="BR26" s="28" t="str">
        <f t="shared" si="2"/>
        <v/>
      </c>
      <c r="BS26" s="28" t="str">
        <f t="shared" si="3"/>
        <v/>
      </c>
      <c r="BT26" s="28" t="str">
        <f t="shared" si="4"/>
        <v/>
      </c>
      <c r="BU26" s="4">
        <v>58280</v>
      </c>
    </row>
    <row r="27" spans="1:73" x14ac:dyDescent="0.25">
      <c r="A27" t="s">
        <v>26</v>
      </c>
      <c r="B27" s="2">
        <v>37195</v>
      </c>
      <c r="C27" s="3">
        <v>8.5</v>
      </c>
      <c r="D27" s="28">
        <v>8.7893000000000008</v>
      </c>
      <c r="E27" s="34">
        <v>97.512820000000005</v>
      </c>
      <c r="F27" s="5">
        <v>49.5</v>
      </c>
      <c r="G27" s="5" t="e">
        <v>#N/A</v>
      </c>
      <c r="H27" s="3">
        <v>47.3</v>
      </c>
      <c r="I27" s="3">
        <v>57.01</v>
      </c>
      <c r="J27" s="3">
        <v>25.86</v>
      </c>
      <c r="K27" s="3">
        <v>57.67</v>
      </c>
      <c r="L27" s="3" t="e">
        <v>#N/A</v>
      </c>
      <c r="M27" s="3">
        <v>28.64</v>
      </c>
      <c r="N27" s="3">
        <v>48.45</v>
      </c>
      <c r="O27" s="5" t="e">
        <v>#N/A</v>
      </c>
      <c r="P27" s="52" t="e">
        <v>#N/A</v>
      </c>
      <c r="Q27" s="52" t="e">
        <v>#N/A</v>
      </c>
      <c r="R27" s="52" t="e">
        <v>#N/A</v>
      </c>
      <c r="S27" s="52" t="e">
        <v>#N/A</v>
      </c>
      <c r="T27" s="52" t="e">
        <v>#N/A</v>
      </c>
      <c r="U27" s="52" t="e">
        <v>#N/A</v>
      </c>
      <c r="V27" s="52" t="e">
        <v>#N/A</v>
      </c>
      <c r="W27" s="52" t="e">
        <v>#N/A</v>
      </c>
      <c r="X27" s="3">
        <v>8342.8517228501096</v>
      </c>
      <c r="Y27" s="3">
        <v>3648.16</v>
      </c>
      <c r="Z27" s="3">
        <v>3987.97</v>
      </c>
      <c r="AA27" s="4" t="e">
        <v>#N/A</v>
      </c>
      <c r="AB27" s="4" t="e">
        <v>#N/A</v>
      </c>
      <c r="AC27" s="5" t="e">
        <v>#N/A</v>
      </c>
      <c r="AD27" s="5" t="e">
        <v>#N/A</v>
      </c>
      <c r="AE27" s="34">
        <v>90.841403761476968</v>
      </c>
      <c r="AF27" s="28" t="e">
        <v>#N/A</v>
      </c>
      <c r="AG27" s="28" t="e">
        <v>#N/A</v>
      </c>
      <c r="AH27" s="28" t="e">
        <v>#N/A</v>
      </c>
      <c r="AI27" s="28" t="e">
        <v>#N/A</v>
      </c>
      <c r="AJ27" s="28" t="e">
        <v>#N/A</v>
      </c>
      <c r="AK27" s="28" t="e">
        <v>#N/A</v>
      </c>
      <c r="AL27" s="28" t="e">
        <v>#N/A</v>
      </c>
      <c r="AM27" s="28" t="e">
        <v>#N/A</v>
      </c>
      <c r="AN27" s="28" t="e">
        <v>#N/A</v>
      </c>
      <c r="AO27" s="28" t="e">
        <v>#N/A</v>
      </c>
      <c r="AP27" s="28" t="e">
        <v>#N/A</v>
      </c>
      <c r="AQ27" s="28" t="e">
        <v>#N/A</v>
      </c>
      <c r="AR27" s="28" t="e">
        <v>#N/A</v>
      </c>
      <c r="AS27" s="28" t="e">
        <v>#N/A</v>
      </c>
      <c r="AT27" s="28" t="e">
        <v>#N/A</v>
      </c>
      <c r="AU27" s="28" t="e">
        <v>#N/A</v>
      </c>
      <c r="AV27" s="28" t="e">
        <v>#N/A</v>
      </c>
      <c r="AW27" s="28" t="e">
        <v>#N/A</v>
      </c>
      <c r="AX27" s="28" t="e">
        <v>#N/A</v>
      </c>
      <c r="AY27" s="28" t="e">
        <v>#N/A</v>
      </c>
      <c r="AZ27" s="28" t="e">
        <v>#N/A</v>
      </c>
      <c r="BA27" s="3">
        <v>2933.55</v>
      </c>
      <c r="BB27">
        <f>IF(ISNUMBER(VLOOKUP($B27,CEIC_DATA!$I$26:$N$353,Haver_M!BB$2,FALSE)),VLOOKUP($B27,CEIC_DATA!$I$26:$N$353,Haver_M!BB$2,FALSE),NA())</f>
        <v>93.64775856</v>
      </c>
      <c r="BC27" t="e">
        <f>IF(ISNUMBER(VLOOKUP($B27,CEIC_DATA!$I$26:$N$353,Haver_M!BC$2,FALSE)),VLOOKUP($B27,CEIC_DATA!$I$26:$N$353,Haver_M!BC$2,FALSE),NA())</f>
        <v>#N/A</v>
      </c>
      <c r="BD27" t="e">
        <f>IF(ISNUMBER(VLOOKUP($B27,CEIC_DATA!$I$26:$N$353,Haver_M!BD$2,FALSE)),VLOOKUP($B27,CEIC_DATA!$I$26:$N$353,Haver_M!BD$2,FALSE),NA())</f>
        <v>#N/A</v>
      </c>
      <c r="BE27" t="e">
        <f>IF(ISNUMBER(VLOOKUP($B27,CEIC_DATA!$I$26:$N$353,Haver_M!BE$2,FALSE)),VLOOKUP($B27,CEIC_DATA!$I$26:$N$353,Haver_M!BE$2,FALSE),NA())</f>
        <v>#N/A</v>
      </c>
      <c r="BF27">
        <v>412952</v>
      </c>
      <c r="BG27">
        <v>12982</v>
      </c>
      <c r="BH27">
        <v>497907</v>
      </c>
      <c r="BI27">
        <v>52195</v>
      </c>
      <c r="BJ27" s="3" t="e">
        <v>#N/A</v>
      </c>
      <c r="BK27" s="3" t="e">
        <v>#N/A</v>
      </c>
      <c r="BL27" s="3" t="e">
        <v>#N/A</v>
      </c>
      <c r="BM27" s="3" t="e">
        <v>#N/A</v>
      </c>
      <c r="BN27" s="3">
        <v>3718</v>
      </c>
      <c r="BO27" s="3">
        <v>4093</v>
      </c>
      <c r="BP27" s="28">
        <v>48.019799999999996</v>
      </c>
      <c r="BQ27" s="28" t="str">
        <f t="shared" si="1"/>
        <v/>
      </c>
      <c r="BR27" s="28" t="str">
        <f t="shared" si="2"/>
        <v/>
      </c>
      <c r="BS27" s="28" t="str">
        <f t="shared" si="3"/>
        <v/>
      </c>
      <c r="BT27" s="28" t="str">
        <f t="shared" si="4"/>
        <v/>
      </c>
      <c r="BU27" s="4">
        <v>62302</v>
      </c>
    </row>
    <row r="28" spans="1:73" x14ac:dyDescent="0.25">
      <c r="A28" t="s">
        <v>27</v>
      </c>
      <c r="B28" s="2">
        <v>37225</v>
      </c>
      <c r="C28" s="3">
        <v>8.5</v>
      </c>
      <c r="D28" s="28">
        <v>7.9238999999999997</v>
      </c>
      <c r="E28" s="34">
        <v>98.421419999999998</v>
      </c>
      <c r="F28" s="5">
        <v>49.9</v>
      </c>
      <c r="G28" s="5" t="e">
        <v>#N/A</v>
      </c>
      <c r="H28" s="3">
        <v>48.28</v>
      </c>
      <c r="I28" s="3">
        <v>57.59</v>
      </c>
      <c r="J28" s="3">
        <v>26.81</v>
      </c>
      <c r="K28" s="3">
        <v>59.24</v>
      </c>
      <c r="L28" s="3" t="e">
        <v>#N/A</v>
      </c>
      <c r="M28" s="3">
        <v>27.83</v>
      </c>
      <c r="N28" s="3">
        <v>53.35</v>
      </c>
      <c r="O28" s="5" t="e">
        <v>#N/A</v>
      </c>
      <c r="P28" s="52" t="e">
        <v>#N/A</v>
      </c>
      <c r="Q28" s="52" t="e">
        <v>#N/A</v>
      </c>
      <c r="R28" s="52" t="e">
        <v>#N/A</v>
      </c>
      <c r="S28" s="52" t="e">
        <v>#N/A</v>
      </c>
      <c r="T28" s="52" t="e">
        <v>#N/A</v>
      </c>
      <c r="U28" s="52" t="e">
        <v>#N/A</v>
      </c>
      <c r="V28" s="52" t="e">
        <v>#N/A</v>
      </c>
      <c r="W28" s="52" t="e">
        <v>#N/A</v>
      </c>
      <c r="X28" s="3">
        <v>8378.7634517245733</v>
      </c>
      <c r="Y28" s="3">
        <v>3782.36</v>
      </c>
      <c r="Z28" s="3">
        <v>4251.75</v>
      </c>
      <c r="AA28" s="4" t="e">
        <v>#N/A</v>
      </c>
      <c r="AB28" s="4" t="e">
        <v>#N/A</v>
      </c>
      <c r="AC28" s="5" t="e">
        <v>#N/A</v>
      </c>
      <c r="AD28" s="5" t="e">
        <v>#N/A</v>
      </c>
      <c r="AE28" s="34">
        <v>109.01472770128684</v>
      </c>
      <c r="AF28" s="28" t="e">
        <v>#N/A</v>
      </c>
      <c r="AG28" s="28" t="e">
        <v>#N/A</v>
      </c>
      <c r="AH28" s="28" t="e">
        <v>#N/A</v>
      </c>
      <c r="AI28" s="28" t="e">
        <v>#N/A</v>
      </c>
      <c r="AJ28" s="28" t="e">
        <v>#N/A</v>
      </c>
      <c r="AK28" s="28" t="e">
        <v>#N/A</v>
      </c>
      <c r="AL28" s="28" t="e">
        <v>#N/A</v>
      </c>
      <c r="AM28" s="28" t="e">
        <v>#N/A</v>
      </c>
      <c r="AN28" s="28" t="e">
        <v>#N/A</v>
      </c>
      <c r="AO28" s="28" t="e">
        <v>#N/A</v>
      </c>
      <c r="AP28" s="28" t="e">
        <v>#N/A</v>
      </c>
      <c r="AQ28" s="28" t="e">
        <v>#N/A</v>
      </c>
      <c r="AR28" s="28" t="e">
        <v>#N/A</v>
      </c>
      <c r="AS28" s="28" t="e">
        <v>#N/A</v>
      </c>
      <c r="AT28" s="28" t="e">
        <v>#N/A</v>
      </c>
      <c r="AU28" s="28" t="e">
        <v>#N/A</v>
      </c>
      <c r="AV28" s="28" t="e">
        <v>#N/A</v>
      </c>
      <c r="AW28" s="28" t="e">
        <v>#N/A</v>
      </c>
      <c r="AX28" s="28" t="e">
        <v>#N/A</v>
      </c>
      <c r="AY28" s="28" t="e">
        <v>#N/A</v>
      </c>
      <c r="AZ28" s="28" t="e">
        <v>#N/A</v>
      </c>
      <c r="BA28" s="3">
        <v>3164.25</v>
      </c>
      <c r="BB28">
        <f>IF(ISNUMBER(VLOOKUP($B28,CEIC_DATA!$I$26:$N$353,Haver_M!BB$2,FALSE)),VLOOKUP($B28,CEIC_DATA!$I$26:$N$353,Haver_M!BB$2,FALSE),NA())</f>
        <v>93.055199619999996</v>
      </c>
      <c r="BC28" t="e">
        <f>IF(ISNUMBER(VLOOKUP($B28,CEIC_DATA!$I$26:$N$353,Haver_M!BC$2,FALSE)),VLOOKUP($B28,CEIC_DATA!$I$26:$N$353,Haver_M!BC$2,FALSE),NA())</f>
        <v>#N/A</v>
      </c>
      <c r="BD28" t="e">
        <f>IF(ISNUMBER(VLOOKUP($B28,CEIC_DATA!$I$26:$N$353,Haver_M!BD$2,FALSE)),VLOOKUP($B28,CEIC_DATA!$I$26:$N$353,Haver_M!BD$2,FALSE),NA())</f>
        <v>#N/A</v>
      </c>
      <c r="BE28" t="e">
        <f>IF(ISNUMBER(VLOOKUP($B28,CEIC_DATA!$I$26:$N$353,Haver_M!BE$2,FALSE)),VLOOKUP($B28,CEIC_DATA!$I$26:$N$353,Haver_M!BE$2,FALSE),NA())</f>
        <v>#N/A</v>
      </c>
      <c r="BF28">
        <v>388194</v>
      </c>
      <c r="BG28">
        <v>12691</v>
      </c>
      <c r="BH28">
        <v>473105</v>
      </c>
      <c r="BI28">
        <v>54957</v>
      </c>
      <c r="BJ28" s="3" t="e">
        <v>#N/A</v>
      </c>
      <c r="BK28" s="3" t="e">
        <v>#N/A</v>
      </c>
      <c r="BL28" s="3" t="e">
        <v>#N/A</v>
      </c>
      <c r="BM28" s="3" t="e">
        <v>#N/A</v>
      </c>
      <c r="BN28" s="3">
        <v>3576</v>
      </c>
      <c r="BO28" s="3">
        <v>4158</v>
      </c>
      <c r="BP28" s="28">
        <v>47.994700000000002</v>
      </c>
      <c r="BQ28" s="28" t="str">
        <f t="shared" si="1"/>
        <v/>
      </c>
      <c r="BR28" s="28" t="str">
        <f t="shared" si="2"/>
        <v/>
      </c>
      <c r="BS28" s="28" t="str">
        <f t="shared" si="3"/>
        <v/>
      </c>
      <c r="BT28" s="28" t="str">
        <f t="shared" si="4"/>
        <v/>
      </c>
      <c r="BU28" s="4">
        <v>59150</v>
      </c>
    </row>
    <row r="29" spans="1:73" x14ac:dyDescent="0.25">
      <c r="A29" t="s">
        <v>28</v>
      </c>
      <c r="B29" s="2">
        <v>37256</v>
      </c>
      <c r="C29" s="3">
        <v>8.5</v>
      </c>
      <c r="D29" s="28">
        <v>8.2666000000000004</v>
      </c>
      <c r="E29" s="34">
        <v>99.125569999999996</v>
      </c>
      <c r="F29" s="5">
        <v>49.7</v>
      </c>
      <c r="G29" s="5" t="e">
        <v>#N/A</v>
      </c>
      <c r="H29" s="3">
        <v>48.15</v>
      </c>
      <c r="I29" s="3">
        <v>57.2</v>
      </c>
      <c r="J29" s="3">
        <v>25.9</v>
      </c>
      <c r="K29" s="3">
        <v>59.14</v>
      </c>
      <c r="L29" s="3" t="e">
        <v>#N/A</v>
      </c>
      <c r="M29" s="3">
        <v>27.57</v>
      </c>
      <c r="N29" s="3">
        <v>51.56</v>
      </c>
      <c r="O29" s="5" t="e">
        <v>#N/A</v>
      </c>
      <c r="P29" s="52" t="e">
        <v>#N/A</v>
      </c>
      <c r="Q29" s="52" t="e">
        <v>#N/A</v>
      </c>
      <c r="R29" s="52" t="e">
        <v>#N/A</v>
      </c>
      <c r="S29" s="52" t="e">
        <v>#N/A</v>
      </c>
      <c r="T29" s="52" t="e">
        <v>#N/A</v>
      </c>
      <c r="U29" s="52" t="e">
        <v>#N/A</v>
      </c>
      <c r="V29" s="52" t="e">
        <v>#N/A</v>
      </c>
      <c r="W29" s="52" t="e">
        <v>#N/A</v>
      </c>
      <c r="X29" s="3">
        <v>8324.8962480603204</v>
      </c>
      <c r="Y29" s="3">
        <v>3418.02</v>
      </c>
      <c r="Z29" s="3">
        <v>4108.8999999999996</v>
      </c>
      <c r="AA29" s="4" t="e">
        <v>#N/A</v>
      </c>
      <c r="AB29" s="4" t="e">
        <v>#N/A</v>
      </c>
      <c r="AC29" s="5" t="e">
        <v>#N/A</v>
      </c>
      <c r="AD29" s="5" t="e">
        <v>#N/A</v>
      </c>
      <c r="AE29" s="34">
        <v>92.307132735474141</v>
      </c>
      <c r="AF29" s="28" t="e">
        <v>#N/A</v>
      </c>
      <c r="AG29" s="28" t="e">
        <v>#N/A</v>
      </c>
      <c r="AH29" s="28" t="e">
        <v>#N/A</v>
      </c>
      <c r="AI29" s="28" t="e">
        <v>#N/A</v>
      </c>
      <c r="AJ29" s="28" t="e">
        <v>#N/A</v>
      </c>
      <c r="AK29" s="28" t="e">
        <v>#N/A</v>
      </c>
      <c r="AL29" s="28" t="e">
        <v>#N/A</v>
      </c>
      <c r="AM29" s="28" t="e">
        <v>#N/A</v>
      </c>
      <c r="AN29" s="28" t="e">
        <v>#N/A</v>
      </c>
      <c r="AO29" s="28" t="e">
        <v>#N/A</v>
      </c>
      <c r="AP29" s="28" t="e">
        <v>#N/A</v>
      </c>
      <c r="AQ29" s="28" t="e">
        <v>#N/A</v>
      </c>
      <c r="AR29" s="28" t="e">
        <v>#N/A</v>
      </c>
      <c r="AS29" s="28" t="e">
        <v>#N/A</v>
      </c>
      <c r="AT29" s="28" t="e">
        <v>#N/A</v>
      </c>
      <c r="AU29" s="28" t="e">
        <v>#N/A</v>
      </c>
      <c r="AV29" s="28" t="e">
        <v>#N/A</v>
      </c>
      <c r="AW29" s="28" t="e">
        <v>#N/A</v>
      </c>
      <c r="AX29" s="28" t="e">
        <v>#N/A</v>
      </c>
      <c r="AY29" s="28" t="e">
        <v>#N/A</v>
      </c>
      <c r="AZ29" s="28" t="e">
        <v>#N/A</v>
      </c>
      <c r="BA29" s="3">
        <v>3314.88</v>
      </c>
      <c r="BB29">
        <f>IF(ISNUMBER(VLOOKUP($B29,CEIC_DATA!$I$26:$N$353,Haver_M!BB$2,FALSE)),VLOOKUP($B29,CEIC_DATA!$I$26:$N$353,Haver_M!BB$2,FALSE),NA())</f>
        <v>93.110435859999996</v>
      </c>
      <c r="BC29">
        <f>IF(ISNUMBER(VLOOKUP($B29,CEIC_DATA!$I$26:$N$353,Haver_M!BC$2,FALSE)),VLOOKUP($B29,CEIC_DATA!$I$26:$N$353,Haver_M!BC$2,FALSE),NA())</f>
        <v>100.7</v>
      </c>
      <c r="BD29">
        <f>IF(ISNUMBER(VLOOKUP($B29,CEIC_DATA!$I$26:$N$353,Haver_M!BD$2,FALSE)),VLOOKUP($B29,CEIC_DATA!$I$26:$N$353,Haver_M!BD$2,FALSE),NA())</f>
        <v>119.5</v>
      </c>
      <c r="BE29">
        <f>IF(ISNUMBER(VLOOKUP($B29,CEIC_DATA!$I$26:$N$353,Haver_M!BE$2,FALSE)),VLOOKUP($B29,CEIC_DATA!$I$26:$N$353,Haver_M!BE$2,FALSE),NA())</f>
        <v>42.9</v>
      </c>
      <c r="BF29">
        <v>355262</v>
      </c>
      <c r="BG29">
        <v>12643</v>
      </c>
      <c r="BH29">
        <v>435699</v>
      </c>
      <c r="BI29">
        <v>50374</v>
      </c>
      <c r="BJ29" s="3" t="e">
        <v>#N/A</v>
      </c>
      <c r="BK29" s="3" t="e">
        <v>#N/A</v>
      </c>
      <c r="BL29" s="3" t="e">
        <v>#N/A</v>
      </c>
      <c r="BM29" s="3" t="e">
        <v>#N/A</v>
      </c>
      <c r="BN29" s="3">
        <v>3250</v>
      </c>
      <c r="BO29" s="3">
        <v>4079</v>
      </c>
      <c r="BP29" s="28">
        <v>47.9176</v>
      </c>
      <c r="BQ29" s="28" t="str">
        <f t="shared" si="1"/>
        <v/>
      </c>
      <c r="BR29" s="28" t="str">
        <f t="shared" si="2"/>
        <v/>
      </c>
      <c r="BS29" s="28" t="str">
        <f t="shared" si="3"/>
        <v/>
      </c>
      <c r="BT29" s="28" t="str">
        <f t="shared" si="4"/>
        <v/>
      </c>
      <c r="BU29" s="4">
        <v>58112</v>
      </c>
    </row>
    <row r="30" spans="1:73" x14ac:dyDescent="0.25">
      <c r="A30" t="s">
        <v>29</v>
      </c>
      <c r="B30" s="2">
        <v>37287</v>
      </c>
      <c r="C30" s="3">
        <v>8.5</v>
      </c>
      <c r="D30" s="28">
        <v>7.6474000000000002</v>
      </c>
      <c r="E30" s="34">
        <v>98.433030000000002</v>
      </c>
      <c r="F30" s="5">
        <v>49.5</v>
      </c>
      <c r="G30" s="5" t="e">
        <v>#N/A</v>
      </c>
      <c r="H30" s="3">
        <v>48.15</v>
      </c>
      <c r="I30" s="3">
        <v>57.31</v>
      </c>
      <c r="J30" s="3">
        <v>25.77</v>
      </c>
      <c r="K30" s="3">
        <v>59.01</v>
      </c>
      <c r="L30" s="3" t="e">
        <v>#N/A</v>
      </c>
      <c r="M30" s="3">
        <v>28.3</v>
      </c>
      <c r="N30" s="3">
        <v>51.69</v>
      </c>
      <c r="O30" s="5" t="e">
        <v>#N/A</v>
      </c>
      <c r="P30" s="52" t="e">
        <v>#N/A</v>
      </c>
      <c r="Q30" s="52" t="e">
        <v>#N/A</v>
      </c>
      <c r="R30" s="52" t="e">
        <v>#N/A</v>
      </c>
      <c r="S30" s="52" t="e">
        <v>#N/A</v>
      </c>
      <c r="T30" s="52" t="e">
        <v>#N/A</v>
      </c>
      <c r="U30" s="52" t="e">
        <v>#N/A</v>
      </c>
      <c r="V30" s="52" t="e">
        <v>#N/A</v>
      </c>
      <c r="W30" s="52" t="e">
        <v>#N/A</v>
      </c>
      <c r="X30" s="3">
        <v>8351.6855576949038</v>
      </c>
      <c r="Y30" s="3">
        <v>4201.29</v>
      </c>
      <c r="Z30" s="3">
        <v>4221.9399999999996</v>
      </c>
      <c r="AA30" s="4" t="e">
        <v>#N/A</v>
      </c>
      <c r="AB30" s="4" t="e">
        <v>#N/A</v>
      </c>
      <c r="AC30" s="5" t="e">
        <v>#N/A</v>
      </c>
      <c r="AD30" s="5" t="e">
        <v>#N/A</v>
      </c>
      <c r="AE30" s="34">
        <v>104.03094628805339</v>
      </c>
      <c r="AF30" s="28" t="e">
        <v>#N/A</v>
      </c>
      <c r="AG30" s="28" t="e">
        <v>#N/A</v>
      </c>
      <c r="AH30" s="28" t="e">
        <v>#N/A</v>
      </c>
      <c r="AI30" s="28" t="e">
        <v>#N/A</v>
      </c>
      <c r="AJ30" s="28" t="e">
        <v>#N/A</v>
      </c>
      <c r="AK30" s="28" t="e">
        <v>#N/A</v>
      </c>
      <c r="AL30" s="28" t="e">
        <v>#N/A</v>
      </c>
      <c r="AM30" s="28" t="e">
        <v>#N/A</v>
      </c>
      <c r="AN30" s="28" t="e">
        <v>#N/A</v>
      </c>
      <c r="AO30" s="28" t="e">
        <v>#N/A</v>
      </c>
      <c r="AP30" s="28" t="e">
        <v>#N/A</v>
      </c>
      <c r="AQ30" s="28" t="e">
        <v>#N/A</v>
      </c>
      <c r="AR30" s="28" t="e">
        <v>#N/A</v>
      </c>
      <c r="AS30" s="28" t="e">
        <v>#N/A</v>
      </c>
      <c r="AT30" s="28" t="e">
        <v>#N/A</v>
      </c>
      <c r="AU30" s="28" t="e">
        <v>#N/A</v>
      </c>
      <c r="AV30" s="28" t="e">
        <v>#N/A</v>
      </c>
      <c r="AW30" s="28" t="e">
        <v>#N/A</v>
      </c>
      <c r="AX30" s="28" t="e">
        <v>#N/A</v>
      </c>
      <c r="AY30" s="28" t="e">
        <v>#N/A</v>
      </c>
      <c r="AZ30" s="28" t="e">
        <v>#N/A</v>
      </c>
      <c r="BA30" s="3">
        <v>3353.31</v>
      </c>
      <c r="BB30">
        <f>IF(ISNUMBER(VLOOKUP($B30,CEIC_DATA!$I$26:$N$353,Haver_M!BB$2,FALSE)),VLOOKUP($B30,CEIC_DATA!$I$26:$N$353,Haver_M!BB$2,FALSE),NA())</f>
        <v>93.477944669999999</v>
      </c>
      <c r="BC30" t="e">
        <f>IF(ISNUMBER(VLOOKUP($B30,CEIC_DATA!$I$26:$N$353,Haver_M!BC$2,FALSE)),VLOOKUP($B30,CEIC_DATA!$I$26:$N$353,Haver_M!BC$2,FALSE),NA())</f>
        <v>#N/A</v>
      </c>
      <c r="BD30" t="e">
        <f>IF(ISNUMBER(VLOOKUP($B30,CEIC_DATA!$I$26:$N$353,Haver_M!BD$2,FALSE)),VLOOKUP($B30,CEIC_DATA!$I$26:$N$353,Haver_M!BD$2,FALSE),NA())</f>
        <v>#N/A</v>
      </c>
      <c r="BE30" t="e">
        <f>IF(ISNUMBER(VLOOKUP($B30,CEIC_DATA!$I$26:$N$353,Haver_M!BE$2,FALSE)),VLOOKUP($B30,CEIC_DATA!$I$26:$N$353,Haver_M!BE$2,FALSE),NA())</f>
        <v>#N/A</v>
      </c>
      <c r="BF30">
        <v>391060</v>
      </c>
      <c r="BG30">
        <v>14987</v>
      </c>
      <c r="BH30">
        <v>493693</v>
      </c>
      <c r="BI30">
        <v>68609</v>
      </c>
      <c r="BJ30" s="3" t="e">
        <v>#N/A</v>
      </c>
      <c r="BK30" s="3" t="e">
        <v>#N/A</v>
      </c>
      <c r="BL30" s="3" t="e">
        <v>#N/A</v>
      </c>
      <c r="BM30" s="3" t="e">
        <v>#N/A</v>
      </c>
      <c r="BN30" s="3">
        <v>4253</v>
      </c>
      <c r="BO30" s="3">
        <v>4243</v>
      </c>
      <c r="BP30" s="28">
        <v>48.328699999999998</v>
      </c>
      <c r="BQ30" s="28" t="str">
        <f t="shared" si="1"/>
        <v/>
      </c>
      <c r="BR30" s="28" t="str">
        <f t="shared" si="2"/>
        <v/>
      </c>
      <c r="BS30" s="28" t="str">
        <f t="shared" si="3"/>
        <v/>
      </c>
      <c r="BT30" s="28" t="str">
        <f t="shared" si="4"/>
        <v/>
      </c>
      <c r="BU30" s="4">
        <v>56426</v>
      </c>
    </row>
    <row r="31" spans="1:73" x14ac:dyDescent="0.25">
      <c r="A31" t="s">
        <v>30</v>
      </c>
      <c r="B31" s="2">
        <v>37315</v>
      </c>
      <c r="C31" s="3">
        <v>8.5</v>
      </c>
      <c r="D31" s="28">
        <v>7.4725000000000001</v>
      </c>
      <c r="E31" s="34">
        <v>98.150469999999999</v>
      </c>
      <c r="F31" s="5">
        <v>49.4</v>
      </c>
      <c r="G31" s="5" t="e">
        <v>#N/A</v>
      </c>
      <c r="H31" s="3">
        <v>48.46</v>
      </c>
      <c r="I31" s="3">
        <v>57.37</v>
      </c>
      <c r="J31" s="3">
        <v>26.9</v>
      </c>
      <c r="K31" s="3">
        <v>59.81</v>
      </c>
      <c r="L31" s="3" t="e">
        <v>#N/A</v>
      </c>
      <c r="M31" s="3">
        <v>28.53</v>
      </c>
      <c r="N31" s="3">
        <v>51.58</v>
      </c>
      <c r="O31" s="5" t="e">
        <v>#N/A</v>
      </c>
      <c r="P31" s="52" t="e">
        <v>#N/A</v>
      </c>
      <c r="Q31" s="52" t="e">
        <v>#N/A</v>
      </c>
      <c r="R31" s="52" t="e">
        <v>#N/A</v>
      </c>
      <c r="S31" s="52" t="e">
        <v>#N/A</v>
      </c>
      <c r="T31" s="52" t="e">
        <v>#N/A</v>
      </c>
      <c r="U31" s="52" t="e">
        <v>#N/A</v>
      </c>
      <c r="V31" s="52" t="e">
        <v>#N/A</v>
      </c>
      <c r="W31" s="52" t="e">
        <v>#N/A</v>
      </c>
      <c r="X31" s="3">
        <v>8216.0009282805313</v>
      </c>
      <c r="Y31" s="3">
        <v>3569.87</v>
      </c>
      <c r="Z31" s="3">
        <v>4104.46</v>
      </c>
      <c r="AA31" s="4" t="e">
        <v>#N/A</v>
      </c>
      <c r="AB31" s="4" t="e">
        <v>#N/A</v>
      </c>
      <c r="AC31" s="5" t="e">
        <v>#N/A</v>
      </c>
      <c r="AD31" s="5" t="e">
        <v>#N/A</v>
      </c>
      <c r="AE31" s="34">
        <v>103.68668168719469</v>
      </c>
      <c r="AF31" s="28" t="e">
        <v>#N/A</v>
      </c>
      <c r="AG31" s="28" t="e">
        <v>#N/A</v>
      </c>
      <c r="AH31" s="28" t="e">
        <v>#N/A</v>
      </c>
      <c r="AI31" s="28" t="e">
        <v>#N/A</v>
      </c>
      <c r="AJ31" s="28" t="e">
        <v>#N/A</v>
      </c>
      <c r="AK31" s="28" t="e">
        <v>#N/A</v>
      </c>
      <c r="AL31" s="28" t="e">
        <v>#N/A</v>
      </c>
      <c r="AM31" s="28" t="e">
        <v>#N/A</v>
      </c>
      <c r="AN31" s="28" t="e">
        <v>#N/A</v>
      </c>
      <c r="AO31" s="28" t="e">
        <v>#N/A</v>
      </c>
      <c r="AP31" s="28" t="e">
        <v>#N/A</v>
      </c>
      <c r="AQ31" s="28" t="e">
        <v>#N/A</v>
      </c>
      <c r="AR31" s="28" t="e">
        <v>#N/A</v>
      </c>
      <c r="AS31" s="28" t="e">
        <v>#N/A</v>
      </c>
      <c r="AT31" s="28" t="e">
        <v>#N/A</v>
      </c>
      <c r="AU31" s="28" t="e">
        <v>#N/A</v>
      </c>
      <c r="AV31" s="28" t="e">
        <v>#N/A</v>
      </c>
      <c r="AW31" s="28" t="e">
        <v>#N/A</v>
      </c>
      <c r="AX31" s="28" t="e">
        <v>#N/A</v>
      </c>
      <c r="AY31" s="28" t="e">
        <v>#N/A</v>
      </c>
      <c r="AZ31" s="28" t="e">
        <v>#N/A</v>
      </c>
      <c r="BA31" s="3">
        <v>3528.58</v>
      </c>
      <c r="BB31">
        <f>IF(ISNUMBER(VLOOKUP($B31,CEIC_DATA!$I$26:$N$353,Haver_M!BB$2,FALSE)),VLOOKUP($B31,CEIC_DATA!$I$26:$N$353,Haver_M!BB$2,FALSE),NA())</f>
        <v>93.88530025</v>
      </c>
      <c r="BC31" t="e">
        <f>IF(ISNUMBER(VLOOKUP($B31,CEIC_DATA!$I$26:$N$353,Haver_M!BC$2,FALSE)),VLOOKUP($B31,CEIC_DATA!$I$26:$N$353,Haver_M!BC$2,FALSE),NA())</f>
        <v>#N/A</v>
      </c>
      <c r="BD31" t="e">
        <f>IF(ISNUMBER(VLOOKUP($B31,CEIC_DATA!$I$26:$N$353,Haver_M!BD$2,FALSE)),VLOOKUP($B31,CEIC_DATA!$I$26:$N$353,Haver_M!BD$2,FALSE),NA())</f>
        <v>#N/A</v>
      </c>
      <c r="BE31" t="e">
        <f>IF(ISNUMBER(VLOOKUP($B31,CEIC_DATA!$I$26:$N$353,Haver_M!BE$2,FALSE)),VLOOKUP($B31,CEIC_DATA!$I$26:$N$353,Haver_M!BE$2,FALSE),NA())</f>
        <v>#N/A</v>
      </c>
      <c r="BF31">
        <v>373003</v>
      </c>
      <c r="BG31">
        <v>15080</v>
      </c>
      <c r="BH31">
        <v>472336</v>
      </c>
      <c r="BI31">
        <v>65627</v>
      </c>
      <c r="BJ31" s="3" t="e">
        <v>#N/A</v>
      </c>
      <c r="BK31" s="3" t="e">
        <v>#N/A</v>
      </c>
      <c r="BL31" s="3" t="e">
        <v>#N/A</v>
      </c>
      <c r="BM31" s="3" t="e">
        <v>#N/A</v>
      </c>
      <c r="BN31" s="3">
        <v>3535</v>
      </c>
      <c r="BO31" s="3">
        <v>3759</v>
      </c>
      <c r="BP31" s="28">
        <v>48.689300000000003</v>
      </c>
      <c r="BQ31" s="28" t="str">
        <f t="shared" si="1"/>
        <v/>
      </c>
      <c r="BR31" s="28" t="str">
        <f t="shared" si="2"/>
        <v/>
      </c>
      <c r="BS31" s="28" t="str">
        <f t="shared" si="3"/>
        <v/>
      </c>
      <c r="BT31" s="28" t="str">
        <f t="shared" si="4"/>
        <v/>
      </c>
      <c r="BU31" s="4">
        <v>54524</v>
      </c>
    </row>
    <row r="32" spans="1:73" x14ac:dyDescent="0.25">
      <c r="A32" t="s">
        <v>31</v>
      </c>
      <c r="B32" s="2">
        <v>37346</v>
      </c>
      <c r="C32" s="3">
        <v>8</v>
      </c>
      <c r="D32" s="28">
        <v>7.3437000000000001</v>
      </c>
      <c r="E32" s="34">
        <v>97.707819999999998</v>
      </c>
      <c r="F32" s="5">
        <v>49.8</v>
      </c>
      <c r="G32" s="5" t="e">
        <v>#N/A</v>
      </c>
      <c r="H32" s="3">
        <v>48.59</v>
      </c>
      <c r="I32" s="3">
        <v>57.44</v>
      </c>
      <c r="J32" s="3">
        <v>27.22</v>
      </c>
      <c r="K32" s="3">
        <v>58.66</v>
      </c>
      <c r="L32" s="3" t="e">
        <v>#N/A</v>
      </c>
      <c r="M32" s="3">
        <v>28.32</v>
      </c>
      <c r="N32" s="3">
        <v>52.87</v>
      </c>
      <c r="O32" s="5" t="e">
        <v>#N/A</v>
      </c>
      <c r="P32" s="52" t="e">
        <v>#N/A</v>
      </c>
      <c r="Q32" s="52" t="e">
        <v>#N/A</v>
      </c>
      <c r="R32" s="52" t="e">
        <v>#N/A</v>
      </c>
      <c r="S32" s="52" t="e">
        <v>#N/A</v>
      </c>
      <c r="T32" s="52" t="e">
        <v>#N/A</v>
      </c>
      <c r="U32" s="52" t="e">
        <v>#N/A</v>
      </c>
      <c r="V32" s="52" t="e">
        <v>#N/A</v>
      </c>
      <c r="W32" s="52" t="e">
        <v>#N/A</v>
      </c>
      <c r="X32" s="3">
        <v>8430.5678366380944</v>
      </c>
      <c r="Y32" s="3">
        <v>3548.09</v>
      </c>
      <c r="Z32" s="3">
        <v>4129.8</v>
      </c>
      <c r="AA32" s="4" t="e">
        <v>#N/A</v>
      </c>
      <c r="AB32" s="4" t="e">
        <v>#N/A</v>
      </c>
      <c r="AC32" s="5" t="e">
        <v>#N/A</v>
      </c>
      <c r="AD32" s="5" t="e">
        <v>#N/A</v>
      </c>
      <c r="AE32" s="34">
        <v>75.32064643678865</v>
      </c>
      <c r="AF32" s="28" t="e">
        <v>#N/A</v>
      </c>
      <c r="AG32" s="28" t="e">
        <v>#N/A</v>
      </c>
      <c r="AH32" s="28" t="e">
        <v>#N/A</v>
      </c>
      <c r="AI32" s="28" t="e">
        <v>#N/A</v>
      </c>
      <c r="AJ32" s="28" t="e">
        <v>#N/A</v>
      </c>
      <c r="AK32" s="28" t="e">
        <v>#N/A</v>
      </c>
      <c r="AL32" s="28" t="e">
        <v>#N/A</v>
      </c>
      <c r="AM32" s="28" t="e">
        <v>#N/A</v>
      </c>
      <c r="AN32" s="28" t="e">
        <v>#N/A</v>
      </c>
      <c r="AO32" s="28" t="e">
        <v>#N/A</v>
      </c>
      <c r="AP32" s="28" t="e">
        <v>#N/A</v>
      </c>
      <c r="AQ32" s="28" t="e">
        <v>#N/A</v>
      </c>
      <c r="AR32" s="28" t="e">
        <v>#N/A</v>
      </c>
      <c r="AS32" s="28" t="e">
        <v>#N/A</v>
      </c>
      <c r="AT32" s="28" t="e">
        <v>#N/A</v>
      </c>
      <c r="AU32" s="28" t="e">
        <v>#N/A</v>
      </c>
      <c r="AV32" s="28" t="e">
        <v>#N/A</v>
      </c>
      <c r="AW32" s="28" t="e">
        <v>#N/A</v>
      </c>
      <c r="AX32" s="28" t="e">
        <v>#N/A</v>
      </c>
      <c r="AY32" s="28" t="e">
        <v>#N/A</v>
      </c>
      <c r="AZ32" s="28" t="e">
        <v>#N/A</v>
      </c>
      <c r="BA32" s="3">
        <v>3580.73</v>
      </c>
      <c r="BB32">
        <f>IF(ISNUMBER(VLOOKUP($B32,CEIC_DATA!$I$26:$N$353,Haver_M!BB$2,FALSE)),VLOOKUP($B32,CEIC_DATA!$I$26:$N$353,Haver_M!BB$2,FALSE),NA())</f>
        <v>94.096980810000005</v>
      </c>
      <c r="BC32">
        <f>IF(ISNUMBER(VLOOKUP($B32,CEIC_DATA!$I$26:$N$353,Haver_M!BC$2,FALSE)),VLOOKUP($B32,CEIC_DATA!$I$26:$N$353,Haver_M!BC$2,FALSE),NA())</f>
        <v>108.4</v>
      </c>
      <c r="BD32">
        <f>IF(ISNUMBER(VLOOKUP($B32,CEIC_DATA!$I$26:$N$353,Haver_M!BD$2,FALSE)),VLOOKUP($B32,CEIC_DATA!$I$26:$N$353,Haver_M!BD$2,FALSE),NA())</f>
        <v>105.3</v>
      </c>
      <c r="BE32">
        <f>IF(ISNUMBER(VLOOKUP($B32,CEIC_DATA!$I$26:$N$353,Haver_M!BE$2,FALSE)),VLOOKUP($B32,CEIC_DATA!$I$26:$N$353,Haver_M!BE$2,FALSE),NA())</f>
        <v>28.5</v>
      </c>
      <c r="BF32">
        <v>401274</v>
      </c>
      <c r="BG32">
        <v>21893</v>
      </c>
      <c r="BH32">
        <v>529126</v>
      </c>
      <c r="BI32">
        <v>84668</v>
      </c>
      <c r="BJ32" s="3" t="e">
        <v>#N/A</v>
      </c>
      <c r="BK32" s="3" t="e">
        <v>#N/A</v>
      </c>
      <c r="BL32" s="3" t="e">
        <v>#N/A</v>
      </c>
      <c r="BM32" s="3" t="e">
        <v>#N/A</v>
      </c>
      <c r="BN32" s="3">
        <v>4141</v>
      </c>
      <c r="BO32" s="3">
        <v>4433</v>
      </c>
      <c r="BP32" s="28">
        <v>48.737099999999998</v>
      </c>
      <c r="BQ32" s="28" t="str">
        <f t="shared" si="1"/>
        <v/>
      </c>
      <c r="BR32" s="28" t="str">
        <f t="shared" si="2"/>
        <v/>
      </c>
      <c r="BS32" s="28" t="str">
        <f t="shared" si="3"/>
        <v/>
      </c>
      <c r="BT32" s="28" t="str">
        <f t="shared" si="4"/>
        <v/>
      </c>
      <c r="BU32" s="4">
        <v>51023</v>
      </c>
    </row>
    <row r="33" spans="1:73" x14ac:dyDescent="0.25">
      <c r="A33" t="s">
        <v>32</v>
      </c>
      <c r="B33" s="2">
        <v>37376</v>
      </c>
      <c r="C33" s="3">
        <v>8</v>
      </c>
      <c r="D33" s="28">
        <v>7.3952</v>
      </c>
      <c r="E33" s="34">
        <v>96.445980000000006</v>
      </c>
      <c r="F33" s="5">
        <v>50</v>
      </c>
      <c r="G33" s="5" t="e">
        <v>#N/A</v>
      </c>
      <c r="H33" s="3">
        <v>49.07</v>
      </c>
      <c r="I33" s="3">
        <v>58.21</v>
      </c>
      <c r="J33" s="3">
        <v>27.71</v>
      </c>
      <c r="K33" s="3">
        <v>60.01</v>
      </c>
      <c r="L33" s="3" t="e">
        <v>#N/A</v>
      </c>
      <c r="M33" s="3">
        <v>27.56</v>
      </c>
      <c r="N33" s="3">
        <v>53</v>
      </c>
      <c r="O33" s="5" t="e">
        <v>#N/A</v>
      </c>
      <c r="P33" s="52" t="e">
        <v>#N/A</v>
      </c>
      <c r="Q33" s="52" t="e">
        <v>#N/A</v>
      </c>
      <c r="R33" s="52" t="e">
        <v>#N/A</v>
      </c>
      <c r="S33" s="52" t="e">
        <v>#N/A</v>
      </c>
      <c r="T33" s="52" t="e">
        <v>#N/A</v>
      </c>
      <c r="U33" s="52" t="e">
        <v>#N/A</v>
      </c>
      <c r="V33" s="52" t="e">
        <v>#N/A</v>
      </c>
      <c r="W33" s="52" t="e">
        <v>#N/A</v>
      </c>
      <c r="X33" s="3">
        <v>8637.3255290521411</v>
      </c>
      <c r="Y33" s="3">
        <v>4196.67</v>
      </c>
      <c r="Z33" s="3">
        <v>4324.17</v>
      </c>
      <c r="AA33" s="4" t="e">
        <v>#N/A</v>
      </c>
      <c r="AB33" s="4" t="e">
        <v>#N/A</v>
      </c>
      <c r="AC33" s="5" t="e">
        <v>#N/A</v>
      </c>
      <c r="AD33" s="5" t="e">
        <v>#N/A</v>
      </c>
      <c r="AE33" s="34">
        <v>69.959349292684067</v>
      </c>
      <c r="AF33" s="28" t="e">
        <v>#N/A</v>
      </c>
      <c r="AG33" s="28" t="e">
        <v>#N/A</v>
      </c>
      <c r="AH33" s="28" t="e">
        <v>#N/A</v>
      </c>
      <c r="AI33" s="28" t="e">
        <v>#N/A</v>
      </c>
      <c r="AJ33" s="28" t="e">
        <v>#N/A</v>
      </c>
      <c r="AK33" s="28" t="e">
        <v>#N/A</v>
      </c>
      <c r="AL33" s="28" t="e">
        <v>#N/A</v>
      </c>
      <c r="AM33" s="28" t="e">
        <v>#N/A</v>
      </c>
      <c r="AN33" s="28" t="e">
        <v>#N/A</v>
      </c>
      <c r="AO33" s="28" t="e">
        <v>#N/A</v>
      </c>
      <c r="AP33" s="28" t="e">
        <v>#N/A</v>
      </c>
      <c r="AQ33" s="28" t="e">
        <v>#N/A</v>
      </c>
      <c r="AR33" s="28" t="e">
        <v>#N/A</v>
      </c>
      <c r="AS33" s="28" t="e">
        <v>#N/A</v>
      </c>
      <c r="AT33" s="28" t="e">
        <v>#N/A</v>
      </c>
      <c r="AU33" s="28" t="e">
        <v>#N/A</v>
      </c>
      <c r="AV33" s="28" t="e">
        <v>#N/A</v>
      </c>
      <c r="AW33" s="28" t="e">
        <v>#N/A</v>
      </c>
      <c r="AX33" s="28" t="e">
        <v>#N/A</v>
      </c>
      <c r="AY33" s="28" t="e">
        <v>#N/A</v>
      </c>
      <c r="AZ33" s="28" t="e">
        <v>#N/A</v>
      </c>
      <c r="BA33" s="3">
        <v>3435.13</v>
      </c>
      <c r="BB33">
        <f>IF(ISNUMBER(VLOOKUP($B33,CEIC_DATA!$I$26:$N$353,Haver_M!BB$2,FALSE)),VLOOKUP($B33,CEIC_DATA!$I$26:$N$353,Haver_M!BB$2,FALSE),NA())</f>
        <v>93.985892590000006</v>
      </c>
      <c r="BC33" t="e">
        <f>IF(ISNUMBER(VLOOKUP($B33,CEIC_DATA!$I$26:$N$353,Haver_M!BC$2,FALSE)),VLOOKUP($B33,CEIC_DATA!$I$26:$N$353,Haver_M!BC$2,FALSE),NA())</f>
        <v>#N/A</v>
      </c>
      <c r="BD33" t="e">
        <f>IF(ISNUMBER(VLOOKUP($B33,CEIC_DATA!$I$26:$N$353,Haver_M!BD$2,FALSE)),VLOOKUP($B33,CEIC_DATA!$I$26:$N$353,Haver_M!BD$2,FALSE),NA())</f>
        <v>#N/A</v>
      </c>
      <c r="BE33" t="e">
        <f>IF(ISNUMBER(VLOOKUP($B33,CEIC_DATA!$I$26:$N$353,Haver_M!BE$2,FALSE)),VLOOKUP($B33,CEIC_DATA!$I$26:$N$353,Haver_M!BE$2,FALSE),NA())</f>
        <v>#N/A</v>
      </c>
      <c r="BF33">
        <v>394382</v>
      </c>
      <c r="BG33">
        <v>11965</v>
      </c>
      <c r="BH33">
        <v>473400</v>
      </c>
      <c r="BI33">
        <v>48351</v>
      </c>
      <c r="BJ33" s="3" t="e">
        <v>#N/A</v>
      </c>
      <c r="BK33" s="3" t="e">
        <v>#N/A</v>
      </c>
      <c r="BL33" s="3" t="e">
        <v>#N/A</v>
      </c>
      <c r="BM33" s="3" t="e">
        <v>#N/A</v>
      </c>
      <c r="BN33" s="3">
        <v>4035</v>
      </c>
      <c r="BO33" s="3">
        <v>4207</v>
      </c>
      <c r="BP33" s="28">
        <v>48.918300000000002</v>
      </c>
      <c r="BQ33" s="28" t="str">
        <f t="shared" si="1"/>
        <v/>
      </c>
      <c r="BR33" s="28" t="str">
        <f t="shared" si="2"/>
        <v/>
      </c>
      <c r="BS33" s="28" t="str">
        <f t="shared" si="3"/>
        <v/>
      </c>
      <c r="BT33" s="28" t="str">
        <f t="shared" si="4"/>
        <v/>
      </c>
      <c r="BU33" s="4">
        <v>62547</v>
      </c>
    </row>
    <row r="34" spans="1:73" x14ac:dyDescent="0.25">
      <c r="A34" t="s">
        <v>33</v>
      </c>
      <c r="B34" s="2">
        <v>37407</v>
      </c>
      <c r="C34" s="3">
        <v>8</v>
      </c>
      <c r="D34" s="28">
        <v>7.6528999999999998</v>
      </c>
      <c r="E34" s="34">
        <v>94.777760000000001</v>
      </c>
      <c r="F34" s="5">
        <v>50.4</v>
      </c>
      <c r="G34" s="5" t="e">
        <v>#N/A</v>
      </c>
      <c r="H34" s="3">
        <v>48.87</v>
      </c>
      <c r="I34" s="3">
        <v>58.57</v>
      </c>
      <c r="J34" s="3">
        <v>27.53</v>
      </c>
      <c r="K34" s="3">
        <v>59.74</v>
      </c>
      <c r="L34" s="3" t="e">
        <v>#N/A</v>
      </c>
      <c r="M34" s="3">
        <v>25.42</v>
      </c>
      <c r="N34" s="3">
        <v>52.55</v>
      </c>
      <c r="O34" s="5" t="e">
        <v>#N/A</v>
      </c>
      <c r="P34" s="52" t="e">
        <v>#N/A</v>
      </c>
      <c r="Q34" s="52" t="e">
        <v>#N/A</v>
      </c>
      <c r="R34" s="52" t="e">
        <v>#N/A</v>
      </c>
      <c r="S34" s="52" t="e">
        <v>#N/A</v>
      </c>
      <c r="T34" s="52" t="e">
        <v>#N/A</v>
      </c>
      <c r="U34" s="52" t="e">
        <v>#N/A</v>
      </c>
      <c r="V34" s="52" t="e">
        <v>#N/A</v>
      </c>
      <c r="W34" s="52" t="e">
        <v>#N/A</v>
      </c>
      <c r="X34" s="3">
        <v>8893.1183434603172</v>
      </c>
      <c r="Y34" s="3">
        <v>4108.5200000000004</v>
      </c>
      <c r="Z34" s="3">
        <v>4871.34</v>
      </c>
      <c r="AA34" s="4" t="e">
        <v>#N/A</v>
      </c>
      <c r="AB34" s="4" t="e">
        <v>#N/A</v>
      </c>
      <c r="AC34" s="5" t="e">
        <v>#N/A</v>
      </c>
      <c r="AD34" s="5" t="e">
        <v>#N/A</v>
      </c>
      <c r="AE34" s="34">
        <v>91.282473394833048</v>
      </c>
      <c r="AF34" s="28" t="e">
        <v>#N/A</v>
      </c>
      <c r="AG34" s="28" t="e">
        <v>#N/A</v>
      </c>
      <c r="AH34" s="28" t="e">
        <v>#N/A</v>
      </c>
      <c r="AI34" s="28" t="e">
        <v>#N/A</v>
      </c>
      <c r="AJ34" s="28" t="e">
        <v>#N/A</v>
      </c>
      <c r="AK34" s="28" t="e">
        <v>#N/A</v>
      </c>
      <c r="AL34" s="28" t="e">
        <v>#N/A</v>
      </c>
      <c r="AM34" s="28" t="e">
        <v>#N/A</v>
      </c>
      <c r="AN34" s="28" t="e">
        <v>#N/A</v>
      </c>
      <c r="AO34" s="28" t="e">
        <v>#N/A</v>
      </c>
      <c r="AP34" s="28" t="e">
        <v>#N/A</v>
      </c>
      <c r="AQ34" s="28" t="e">
        <v>#N/A</v>
      </c>
      <c r="AR34" s="28" t="e">
        <v>#N/A</v>
      </c>
      <c r="AS34" s="28" t="e">
        <v>#N/A</v>
      </c>
      <c r="AT34" s="28" t="e">
        <v>#N/A</v>
      </c>
      <c r="AU34" s="28" t="e">
        <v>#N/A</v>
      </c>
      <c r="AV34" s="28" t="e">
        <v>#N/A</v>
      </c>
      <c r="AW34" s="28" t="e">
        <v>#N/A</v>
      </c>
      <c r="AX34" s="28" t="e">
        <v>#N/A</v>
      </c>
      <c r="AY34" s="28" t="e">
        <v>#N/A</v>
      </c>
      <c r="AZ34" s="28" t="e">
        <v>#N/A</v>
      </c>
      <c r="BA34" s="3">
        <v>3302.91</v>
      </c>
      <c r="BB34">
        <f>IF(ISNUMBER(VLOOKUP($B34,CEIC_DATA!$I$26:$N$353,Haver_M!BB$2,FALSE)),VLOOKUP($B34,CEIC_DATA!$I$26:$N$353,Haver_M!BB$2,FALSE),NA())</f>
        <v>93.774346050000005</v>
      </c>
      <c r="BC34" t="e">
        <f>IF(ISNUMBER(VLOOKUP($B34,CEIC_DATA!$I$26:$N$353,Haver_M!BC$2,FALSE)),VLOOKUP($B34,CEIC_DATA!$I$26:$N$353,Haver_M!BC$2,FALSE),NA())</f>
        <v>#N/A</v>
      </c>
      <c r="BD34" t="e">
        <f>IF(ISNUMBER(VLOOKUP($B34,CEIC_DATA!$I$26:$N$353,Haver_M!BD$2,FALSE)),VLOOKUP($B34,CEIC_DATA!$I$26:$N$353,Haver_M!BD$2,FALSE),NA())</f>
        <v>#N/A</v>
      </c>
      <c r="BE34" t="e">
        <f>IF(ISNUMBER(VLOOKUP($B34,CEIC_DATA!$I$26:$N$353,Haver_M!BE$2,FALSE)),VLOOKUP($B34,CEIC_DATA!$I$26:$N$353,Haver_M!BE$2,FALSE),NA())</f>
        <v>#N/A</v>
      </c>
      <c r="BF34">
        <v>438207</v>
      </c>
      <c r="BG34">
        <v>13967</v>
      </c>
      <c r="BH34">
        <v>528172</v>
      </c>
      <c r="BI34">
        <v>56539</v>
      </c>
      <c r="BJ34" s="3" t="e">
        <v>#N/A</v>
      </c>
      <c r="BK34" s="3" t="e">
        <v>#N/A</v>
      </c>
      <c r="BL34" s="3" t="e">
        <v>#N/A</v>
      </c>
      <c r="BM34" s="3" t="e">
        <v>#N/A</v>
      </c>
      <c r="BN34" s="3">
        <v>4080</v>
      </c>
      <c r="BO34" s="3">
        <v>5181</v>
      </c>
      <c r="BP34" s="28">
        <v>48.9968</v>
      </c>
      <c r="BQ34" s="28" t="str">
        <f t="shared" si="1"/>
        <v/>
      </c>
      <c r="BR34" s="28" t="str">
        <f t="shared" si="2"/>
        <v/>
      </c>
      <c r="BS34" s="28" t="str">
        <f t="shared" si="3"/>
        <v/>
      </c>
      <c r="BT34" s="28" t="str">
        <f t="shared" si="4"/>
        <v/>
      </c>
      <c r="BU34" s="4">
        <v>64830</v>
      </c>
    </row>
    <row r="35" spans="1:73" x14ac:dyDescent="0.25">
      <c r="A35" t="s">
        <v>34</v>
      </c>
      <c r="B35" s="2">
        <v>37437</v>
      </c>
      <c r="C35" s="3">
        <v>8</v>
      </c>
      <c r="D35" s="28">
        <v>7.5701000000000001</v>
      </c>
      <c r="E35" s="34">
        <v>94.444630000000004</v>
      </c>
      <c r="F35" s="5">
        <v>50.9</v>
      </c>
      <c r="G35" s="5" t="e">
        <v>#N/A</v>
      </c>
      <c r="H35" s="3">
        <v>49.37</v>
      </c>
      <c r="I35" s="3">
        <v>58.76</v>
      </c>
      <c r="J35" s="3">
        <v>28.11</v>
      </c>
      <c r="K35" s="3">
        <v>59.78</v>
      </c>
      <c r="L35" s="3" t="e">
        <v>#N/A</v>
      </c>
      <c r="M35" s="3">
        <v>27.27</v>
      </c>
      <c r="N35" s="3">
        <v>53.97</v>
      </c>
      <c r="O35" s="5" t="e">
        <v>#N/A</v>
      </c>
      <c r="P35" s="52" t="e">
        <v>#N/A</v>
      </c>
      <c r="Q35" s="52" t="e">
        <v>#N/A</v>
      </c>
      <c r="R35" s="52" t="e">
        <v>#N/A</v>
      </c>
      <c r="S35" s="52" t="e">
        <v>#N/A</v>
      </c>
      <c r="T35" s="52" t="e">
        <v>#N/A</v>
      </c>
      <c r="U35" s="52" t="e">
        <v>#N/A</v>
      </c>
      <c r="V35" s="52" t="e">
        <v>#N/A</v>
      </c>
      <c r="W35" s="52" t="e">
        <v>#N/A</v>
      </c>
      <c r="X35" s="3">
        <v>8352.0157383026417</v>
      </c>
      <c r="Y35" s="3">
        <v>4128.26</v>
      </c>
      <c r="Z35" s="3">
        <v>4460.05</v>
      </c>
      <c r="AA35" s="4" t="e">
        <v>#N/A</v>
      </c>
      <c r="AB35" s="4" t="e">
        <v>#N/A</v>
      </c>
      <c r="AC35" s="5" t="e">
        <v>#N/A</v>
      </c>
      <c r="AD35" s="5" t="e">
        <v>#N/A</v>
      </c>
      <c r="AE35" s="34">
        <v>104.45714597277198</v>
      </c>
      <c r="AF35" s="28" t="e">
        <v>#N/A</v>
      </c>
      <c r="AG35" s="28" t="e">
        <v>#N/A</v>
      </c>
      <c r="AH35" s="28" t="e">
        <v>#N/A</v>
      </c>
      <c r="AI35" s="28" t="e">
        <v>#N/A</v>
      </c>
      <c r="AJ35" s="28" t="e">
        <v>#N/A</v>
      </c>
      <c r="AK35" s="28" t="e">
        <v>#N/A</v>
      </c>
      <c r="AL35" s="28" t="e">
        <v>#N/A</v>
      </c>
      <c r="AM35" s="28" t="e">
        <v>#N/A</v>
      </c>
      <c r="AN35" s="28" t="e">
        <v>#N/A</v>
      </c>
      <c r="AO35" s="28" t="e">
        <v>#N/A</v>
      </c>
      <c r="AP35" s="28" t="e">
        <v>#N/A</v>
      </c>
      <c r="AQ35" s="28" t="e">
        <v>#N/A</v>
      </c>
      <c r="AR35" s="28" t="e">
        <v>#N/A</v>
      </c>
      <c r="AS35" s="28" t="e">
        <v>#N/A</v>
      </c>
      <c r="AT35" s="28" t="e">
        <v>#N/A</v>
      </c>
      <c r="AU35" s="28" t="e">
        <v>#N/A</v>
      </c>
      <c r="AV35" s="28" t="e">
        <v>#N/A</v>
      </c>
      <c r="AW35" s="28" t="e">
        <v>#N/A</v>
      </c>
      <c r="AX35" s="28" t="e">
        <v>#N/A</v>
      </c>
      <c r="AY35" s="28" t="e">
        <v>#N/A</v>
      </c>
      <c r="AZ35" s="28" t="e">
        <v>#N/A</v>
      </c>
      <c r="BA35" s="3">
        <v>3257.03</v>
      </c>
      <c r="BB35">
        <f>IF(ISNUMBER(VLOOKUP($B35,CEIC_DATA!$I$26:$N$353,Haver_M!BB$2,FALSE)),VLOOKUP($B35,CEIC_DATA!$I$26:$N$353,Haver_M!BB$2,FALSE),NA())</f>
        <v>93.577385699999994</v>
      </c>
      <c r="BC35">
        <f>IF(ISNUMBER(VLOOKUP($B35,CEIC_DATA!$I$26:$N$353,Haver_M!BC$2,FALSE)),VLOOKUP($B35,CEIC_DATA!$I$26:$N$353,Haver_M!BC$2,FALSE),NA())</f>
        <v>110.8</v>
      </c>
      <c r="BD35">
        <f>IF(ISNUMBER(VLOOKUP($B35,CEIC_DATA!$I$26:$N$353,Haver_M!BD$2,FALSE)),VLOOKUP($B35,CEIC_DATA!$I$26:$N$353,Haver_M!BD$2,FALSE),NA())</f>
        <v>112.3</v>
      </c>
      <c r="BE35">
        <f>IF(ISNUMBER(VLOOKUP($B35,CEIC_DATA!$I$26:$N$353,Haver_M!BE$2,FALSE)),VLOOKUP($B35,CEIC_DATA!$I$26:$N$353,Haver_M!BE$2,FALSE),NA())</f>
        <v>30.2</v>
      </c>
      <c r="BF35">
        <v>406864</v>
      </c>
      <c r="BG35">
        <v>15648</v>
      </c>
      <c r="BH35">
        <v>503678</v>
      </c>
      <c r="BI35">
        <v>60438</v>
      </c>
      <c r="BJ35" s="3" t="e">
        <v>#N/A</v>
      </c>
      <c r="BK35" s="3" t="e">
        <v>#N/A</v>
      </c>
      <c r="BL35" s="3" t="e">
        <v>#N/A</v>
      </c>
      <c r="BM35" s="3" t="e">
        <v>#N/A</v>
      </c>
      <c r="BN35" s="3">
        <v>3963</v>
      </c>
      <c r="BO35" s="3">
        <v>4251</v>
      </c>
      <c r="BP35" s="28">
        <v>48.966500000000003</v>
      </c>
      <c r="BQ35" s="28" t="str">
        <f t="shared" si="1"/>
        <v/>
      </c>
      <c r="BR35" s="28" t="str">
        <f t="shared" si="2"/>
        <v/>
      </c>
      <c r="BS35" s="28" t="str">
        <f t="shared" si="3"/>
        <v/>
      </c>
      <c r="BT35" s="28" t="str">
        <f t="shared" si="4"/>
        <v/>
      </c>
      <c r="BU35" s="4">
        <v>63047</v>
      </c>
    </row>
    <row r="36" spans="1:73" x14ac:dyDescent="0.25">
      <c r="A36" t="s">
        <v>35</v>
      </c>
      <c r="B36" s="2">
        <v>37468</v>
      </c>
      <c r="C36" s="3">
        <v>8</v>
      </c>
      <c r="D36" s="28">
        <v>7.3733000000000004</v>
      </c>
      <c r="E36" s="34">
        <v>93.307320000000004</v>
      </c>
      <c r="F36" s="5">
        <v>51.4</v>
      </c>
      <c r="G36" s="5" t="e">
        <v>#N/A</v>
      </c>
      <c r="H36" s="3">
        <v>49.95</v>
      </c>
      <c r="I36" s="3">
        <v>59.44</v>
      </c>
      <c r="J36" s="3">
        <v>28.03</v>
      </c>
      <c r="K36" s="3">
        <v>60.72</v>
      </c>
      <c r="L36" s="3" t="e">
        <v>#N/A</v>
      </c>
      <c r="M36" s="3">
        <v>25.7</v>
      </c>
      <c r="N36" s="3">
        <v>55.44</v>
      </c>
      <c r="O36" s="5" t="e">
        <v>#N/A</v>
      </c>
      <c r="P36" s="52" t="e">
        <v>#N/A</v>
      </c>
      <c r="Q36" s="52" t="e">
        <v>#N/A</v>
      </c>
      <c r="R36" s="52" t="e">
        <v>#N/A</v>
      </c>
      <c r="S36" s="52" t="e">
        <v>#N/A</v>
      </c>
      <c r="T36" s="52" t="e">
        <v>#N/A</v>
      </c>
      <c r="U36" s="52" t="e">
        <v>#N/A</v>
      </c>
      <c r="V36" s="52" t="e">
        <v>#N/A</v>
      </c>
      <c r="W36" s="52" t="e">
        <v>#N/A</v>
      </c>
      <c r="X36" s="3">
        <v>8657.4496392279216</v>
      </c>
      <c r="Y36" s="3">
        <v>4687.0600000000004</v>
      </c>
      <c r="Z36" s="3">
        <v>4815.12</v>
      </c>
      <c r="AA36" s="4" t="e">
        <v>#N/A</v>
      </c>
      <c r="AB36" s="4" t="e">
        <v>#N/A</v>
      </c>
      <c r="AC36" s="5" t="e">
        <v>#N/A</v>
      </c>
      <c r="AD36" s="5" t="e">
        <v>#N/A</v>
      </c>
      <c r="AE36" s="34">
        <v>81.260697539129765</v>
      </c>
      <c r="AF36" s="28" t="e">
        <v>#N/A</v>
      </c>
      <c r="AG36" s="28" t="e">
        <v>#N/A</v>
      </c>
      <c r="AH36" s="28" t="e">
        <v>#N/A</v>
      </c>
      <c r="AI36" s="28" t="e">
        <v>#N/A</v>
      </c>
      <c r="AJ36" s="28" t="e">
        <v>#N/A</v>
      </c>
      <c r="AK36" s="28" t="e">
        <v>#N/A</v>
      </c>
      <c r="AL36" s="28" t="e">
        <v>#N/A</v>
      </c>
      <c r="AM36" s="28" t="e">
        <v>#N/A</v>
      </c>
      <c r="AN36" s="28" t="e">
        <v>#N/A</v>
      </c>
      <c r="AO36" s="28" t="e">
        <v>#N/A</v>
      </c>
      <c r="AP36" s="28" t="e">
        <v>#N/A</v>
      </c>
      <c r="AQ36" s="28" t="e">
        <v>#N/A</v>
      </c>
      <c r="AR36" s="28" t="e">
        <v>#N/A</v>
      </c>
      <c r="AS36" s="28" t="e">
        <v>#N/A</v>
      </c>
      <c r="AT36" s="28" t="e">
        <v>#N/A</v>
      </c>
      <c r="AU36" s="28" t="e">
        <v>#N/A</v>
      </c>
      <c r="AV36" s="28" t="e">
        <v>#N/A</v>
      </c>
      <c r="AW36" s="28" t="e">
        <v>#N/A</v>
      </c>
      <c r="AX36" s="28" t="e">
        <v>#N/A</v>
      </c>
      <c r="AY36" s="28" t="e">
        <v>#N/A</v>
      </c>
      <c r="AZ36" s="28" t="e">
        <v>#N/A</v>
      </c>
      <c r="BA36" s="3">
        <v>3214.87</v>
      </c>
      <c r="BB36">
        <f>IF(ISNUMBER(VLOOKUP($B36,CEIC_DATA!$I$26:$N$353,Haver_M!BB$2,FALSE)),VLOOKUP($B36,CEIC_DATA!$I$26:$N$353,Haver_M!BB$2,FALSE),NA())</f>
        <v>93.380121840000001</v>
      </c>
      <c r="BC36" t="e">
        <f>IF(ISNUMBER(VLOOKUP($B36,CEIC_DATA!$I$26:$N$353,Haver_M!BC$2,FALSE)),VLOOKUP($B36,CEIC_DATA!$I$26:$N$353,Haver_M!BC$2,FALSE),NA())</f>
        <v>#N/A</v>
      </c>
      <c r="BD36" t="e">
        <f>IF(ISNUMBER(VLOOKUP($B36,CEIC_DATA!$I$26:$N$353,Haver_M!BD$2,FALSE)),VLOOKUP($B36,CEIC_DATA!$I$26:$N$353,Haver_M!BD$2,FALSE),NA())</f>
        <v>#N/A</v>
      </c>
      <c r="BE36" t="e">
        <f>IF(ISNUMBER(VLOOKUP($B36,CEIC_DATA!$I$26:$N$353,Haver_M!BE$2,FALSE)),VLOOKUP($B36,CEIC_DATA!$I$26:$N$353,Haver_M!BE$2,FALSE),NA())</f>
        <v>#N/A</v>
      </c>
      <c r="BF36">
        <v>372591</v>
      </c>
      <c r="BG36">
        <v>14371</v>
      </c>
      <c r="BH36">
        <v>471366</v>
      </c>
      <c r="BI36">
        <v>61769</v>
      </c>
      <c r="BJ36" s="3" t="e">
        <v>#N/A</v>
      </c>
      <c r="BK36" s="3" t="e">
        <v>#N/A</v>
      </c>
      <c r="BL36" s="3" t="e">
        <v>#N/A</v>
      </c>
      <c r="BM36" s="3" t="e">
        <v>#N/A</v>
      </c>
      <c r="BN36" s="3">
        <v>4583</v>
      </c>
      <c r="BO36" s="3">
        <v>4874</v>
      </c>
      <c r="BP36" s="28">
        <v>48.763500000000001</v>
      </c>
      <c r="BQ36" s="28" t="str">
        <f t="shared" si="1"/>
        <v/>
      </c>
      <c r="BR36" s="28" t="str">
        <f t="shared" si="2"/>
        <v/>
      </c>
      <c r="BS36" s="28" t="str">
        <f t="shared" si="3"/>
        <v/>
      </c>
      <c r="BT36" s="28" t="str">
        <f t="shared" si="4"/>
        <v/>
      </c>
      <c r="BU36" s="4">
        <v>59845</v>
      </c>
    </row>
    <row r="37" spans="1:73" x14ac:dyDescent="0.25">
      <c r="A37" t="s">
        <v>36</v>
      </c>
      <c r="B37" s="2">
        <v>37499</v>
      </c>
      <c r="C37" s="3">
        <v>8</v>
      </c>
      <c r="D37" s="28">
        <v>7.1559999999999997</v>
      </c>
      <c r="E37" s="34">
        <v>95.251800000000003</v>
      </c>
      <c r="F37" s="5">
        <v>51.6</v>
      </c>
      <c r="G37" s="5" t="e">
        <v>#N/A</v>
      </c>
      <c r="H37" s="3">
        <v>50.3</v>
      </c>
      <c r="I37" s="3">
        <v>59.49</v>
      </c>
      <c r="J37" s="3">
        <v>28.55</v>
      </c>
      <c r="K37" s="3">
        <v>61.8</v>
      </c>
      <c r="L37" s="3" t="e">
        <v>#N/A</v>
      </c>
      <c r="M37" s="3">
        <v>26.24</v>
      </c>
      <c r="N37" s="3">
        <v>55.14</v>
      </c>
      <c r="O37" s="5" t="e">
        <v>#N/A</v>
      </c>
      <c r="P37" s="52" t="e">
        <v>#N/A</v>
      </c>
      <c r="Q37" s="52" t="e">
        <v>#N/A</v>
      </c>
      <c r="R37" s="52" t="e">
        <v>#N/A</v>
      </c>
      <c r="S37" s="52" t="e">
        <v>#N/A</v>
      </c>
      <c r="T37" s="52" t="e">
        <v>#N/A</v>
      </c>
      <c r="U37" s="52" t="e">
        <v>#N/A</v>
      </c>
      <c r="V37" s="52" t="e">
        <v>#N/A</v>
      </c>
      <c r="W37" s="52" t="e">
        <v>#N/A</v>
      </c>
      <c r="X37" s="3">
        <v>8680.7810857872428</v>
      </c>
      <c r="Y37" s="3">
        <v>4585.4799999999996</v>
      </c>
      <c r="Z37" s="3">
        <v>4911.32</v>
      </c>
      <c r="AA37" s="4" t="e">
        <v>#N/A</v>
      </c>
      <c r="AB37" s="4" t="e">
        <v>#N/A</v>
      </c>
      <c r="AC37" s="5" t="e">
        <v>#N/A</v>
      </c>
      <c r="AD37" s="5" t="e">
        <v>#N/A</v>
      </c>
      <c r="AE37" s="34">
        <v>101.52882684066276</v>
      </c>
      <c r="AF37" s="28" t="e">
        <v>#N/A</v>
      </c>
      <c r="AG37" s="28" t="e">
        <v>#N/A</v>
      </c>
      <c r="AH37" s="28" t="e">
        <v>#N/A</v>
      </c>
      <c r="AI37" s="28" t="e">
        <v>#N/A</v>
      </c>
      <c r="AJ37" s="28" t="e">
        <v>#N/A</v>
      </c>
      <c r="AK37" s="28" t="e">
        <v>#N/A</v>
      </c>
      <c r="AL37" s="28" t="e">
        <v>#N/A</v>
      </c>
      <c r="AM37" s="28" t="e">
        <v>#N/A</v>
      </c>
      <c r="AN37" s="28" t="e">
        <v>#N/A</v>
      </c>
      <c r="AO37" s="28" t="e">
        <v>#N/A</v>
      </c>
      <c r="AP37" s="28" t="e">
        <v>#N/A</v>
      </c>
      <c r="AQ37" s="28" t="e">
        <v>#N/A</v>
      </c>
      <c r="AR37" s="28" t="e">
        <v>#N/A</v>
      </c>
      <c r="AS37" s="28" t="e">
        <v>#N/A</v>
      </c>
      <c r="AT37" s="28" t="e">
        <v>#N/A</v>
      </c>
      <c r="AU37" s="28" t="e">
        <v>#N/A</v>
      </c>
      <c r="AV37" s="28" t="e">
        <v>#N/A</v>
      </c>
      <c r="AW37" s="28" t="e">
        <v>#N/A</v>
      </c>
      <c r="AX37" s="28" t="e">
        <v>#N/A</v>
      </c>
      <c r="AY37" s="28" t="e">
        <v>#N/A</v>
      </c>
      <c r="AZ37" s="28" t="e">
        <v>#N/A</v>
      </c>
      <c r="BA37" s="3">
        <v>3053.16</v>
      </c>
      <c r="BB37">
        <f>IF(ISNUMBER(VLOOKUP($B37,CEIC_DATA!$I$26:$N$353,Haver_M!BB$2,FALSE)),VLOOKUP($B37,CEIC_DATA!$I$26:$N$353,Haver_M!BB$2,FALSE),NA())</f>
        <v>93.103720789999997</v>
      </c>
      <c r="BC37" t="e">
        <f>IF(ISNUMBER(VLOOKUP($B37,CEIC_DATA!$I$26:$N$353,Haver_M!BC$2,FALSE)),VLOOKUP($B37,CEIC_DATA!$I$26:$N$353,Haver_M!BC$2,FALSE),NA())</f>
        <v>#N/A</v>
      </c>
      <c r="BD37" t="e">
        <f>IF(ISNUMBER(VLOOKUP($B37,CEIC_DATA!$I$26:$N$353,Haver_M!BD$2,FALSE)),VLOOKUP($B37,CEIC_DATA!$I$26:$N$353,Haver_M!BD$2,FALSE),NA())</f>
        <v>#N/A</v>
      </c>
      <c r="BE37" t="e">
        <f>IF(ISNUMBER(VLOOKUP($B37,CEIC_DATA!$I$26:$N$353,Haver_M!BE$2,FALSE)),VLOOKUP($B37,CEIC_DATA!$I$26:$N$353,Haver_M!BE$2,FALSE),NA())</f>
        <v>#N/A</v>
      </c>
      <c r="BF37">
        <v>403772</v>
      </c>
      <c r="BG37">
        <v>15359</v>
      </c>
      <c r="BH37">
        <v>512920</v>
      </c>
      <c r="BI37">
        <v>69236</v>
      </c>
      <c r="BJ37" s="3" t="e">
        <v>#N/A</v>
      </c>
      <c r="BK37" s="3" t="e">
        <v>#N/A</v>
      </c>
      <c r="BL37" s="3" t="e">
        <v>#N/A</v>
      </c>
      <c r="BM37" s="3" t="e">
        <v>#N/A</v>
      </c>
      <c r="BN37" s="3">
        <v>4522</v>
      </c>
      <c r="BO37" s="3">
        <v>4861</v>
      </c>
      <c r="BP37" s="28">
        <v>48.5852</v>
      </c>
      <c r="BQ37" s="28" t="str">
        <f t="shared" si="1"/>
        <v/>
      </c>
      <c r="BR37" s="28" t="str">
        <f t="shared" si="2"/>
        <v/>
      </c>
      <c r="BS37" s="28" t="str">
        <f t="shared" si="3"/>
        <v/>
      </c>
      <c r="BT37" s="28" t="str">
        <f t="shared" si="4"/>
        <v/>
      </c>
      <c r="BU37" s="4">
        <v>55440</v>
      </c>
    </row>
    <row r="38" spans="1:73" x14ac:dyDescent="0.25">
      <c r="A38" t="s">
        <v>37</v>
      </c>
      <c r="B38" s="2">
        <v>37529</v>
      </c>
      <c r="C38" s="3">
        <v>8</v>
      </c>
      <c r="D38" s="28">
        <v>7.1976000000000004</v>
      </c>
      <c r="E38" s="34">
        <v>95.436769999999996</v>
      </c>
      <c r="F38" s="5">
        <v>51.7</v>
      </c>
      <c r="G38" s="5" t="e">
        <v>#N/A</v>
      </c>
      <c r="H38" s="3">
        <v>50.19</v>
      </c>
      <c r="I38" s="3">
        <v>59.37</v>
      </c>
      <c r="J38" s="3">
        <v>28.82</v>
      </c>
      <c r="K38" s="3">
        <v>60.97</v>
      </c>
      <c r="L38" s="3" t="e">
        <v>#N/A</v>
      </c>
      <c r="M38" s="3">
        <v>26.04</v>
      </c>
      <c r="N38" s="3">
        <v>55.68</v>
      </c>
      <c r="O38" s="5" t="e">
        <v>#N/A</v>
      </c>
      <c r="P38" s="52" t="e">
        <v>#N/A</v>
      </c>
      <c r="Q38" s="52" t="e">
        <v>#N/A</v>
      </c>
      <c r="R38" s="52" t="e">
        <v>#N/A</v>
      </c>
      <c r="S38" s="52" t="e">
        <v>#N/A</v>
      </c>
      <c r="T38" s="52" t="e">
        <v>#N/A</v>
      </c>
      <c r="U38" s="52" t="e">
        <v>#N/A</v>
      </c>
      <c r="V38" s="52" t="e">
        <v>#N/A</v>
      </c>
      <c r="W38" s="52" t="e">
        <v>#N/A</v>
      </c>
      <c r="X38" s="3">
        <v>8601.2688171958689</v>
      </c>
      <c r="Y38" s="3">
        <v>4351.45</v>
      </c>
      <c r="Z38" s="3">
        <v>4999.8100000000004</v>
      </c>
      <c r="AA38" s="4" t="e">
        <v>#N/A</v>
      </c>
      <c r="AB38" s="4" t="e">
        <v>#N/A</v>
      </c>
      <c r="AC38" s="5" t="e">
        <v>#N/A</v>
      </c>
      <c r="AD38" s="5" t="e">
        <v>#N/A</v>
      </c>
      <c r="AE38" s="34">
        <v>118.00845342122059</v>
      </c>
      <c r="AF38" s="28" t="e">
        <v>#N/A</v>
      </c>
      <c r="AG38" s="28" t="e">
        <v>#N/A</v>
      </c>
      <c r="AH38" s="28" t="e">
        <v>#N/A</v>
      </c>
      <c r="AI38" s="28" t="e">
        <v>#N/A</v>
      </c>
      <c r="AJ38" s="28" t="e">
        <v>#N/A</v>
      </c>
      <c r="AK38" s="28" t="e">
        <v>#N/A</v>
      </c>
      <c r="AL38" s="28" t="e">
        <v>#N/A</v>
      </c>
      <c r="AM38" s="28" t="e">
        <v>#N/A</v>
      </c>
      <c r="AN38" s="28" t="e">
        <v>#N/A</v>
      </c>
      <c r="AO38" s="28" t="e">
        <v>#N/A</v>
      </c>
      <c r="AP38" s="28" t="e">
        <v>#N/A</v>
      </c>
      <c r="AQ38" s="28" t="e">
        <v>#N/A</v>
      </c>
      <c r="AR38" s="28" t="e">
        <v>#N/A</v>
      </c>
      <c r="AS38" s="28" t="e">
        <v>#N/A</v>
      </c>
      <c r="AT38" s="28" t="e">
        <v>#N/A</v>
      </c>
      <c r="AU38" s="28" t="e">
        <v>#N/A</v>
      </c>
      <c r="AV38" s="28" t="e">
        <v>#N/A</v>
      </c>
      <c r="AW38" s="28" t="e">
        <v>#N/A</v>
      </c>
      <c r="AX38" s="28" t="e">
        <v>#N/A</v>
      </c>
      <c r="AY38" s="28" t="e">
        <v>#N/A</v>
      </c>
      <c r="AZ38" s="28" t="e">
        <v>#N/A</v>
      </c>
      <c r="BA38" s="3">
        <v>3085.53</v>
      </c>
      <c r="BB38">
        <f>IF(ISNUMBER(VLOOKUP($B38,CEIC_DATA!$I$26:$N$353,Haver_M!BB$2,FALSE)),VLOOKUP($B38,CEIC_DATA!$I$26:$N$353,Haver_M!BB$2,FALSE),NA())</f>
        <v>92.622520620000003</v>
      </c>
      <c r="BC38">
        <f>IF(ISNUMBER(VLOOKUP($B38,CEIC_DATA!$I$26:$N$353,Haver_M!BC$2,FALSE)),VLOOKUP($B38,CEIC_DATA!$I$26:$N$353,Haver_M!BC$2,FALSE),NA())</f>
        <v>113.2</v>
      </c>
      <c r="BD38">
        <f>IF(ISNUMBER(VLOOKUP($B38,CEIC_DATA!$I$26:$N$353,Haver_M!BD$2,FALSE)),VLOOKUP($B38,CEIC_DATA!$I$26:$N$353,Haver_M!BD$2,FALSE),NA())</f>
        <v>116.7</v>
      </c>
      <c r="BE38">
        <f>IF(ISNUMBER(VLOOKUP($B38,CEIC_DATA!$I$26:$N$353,Haver_M!BE$2,FALSE)),VLOOKUP($B38,CEIC_DATA!$I$26:$N$353,Haver_M!BE$2,FALSE),NA())</f>
        <v>35</v>
      </c>
      <c r="BF38">
        <v>431548</v>
      </c>
      <c r="BG38">
        <v>17427</v>
      </c>
      <c r="BH38">
        <v>541791</v>
      </c>
      <c r="BI38">
        <v>69659</v>
      </c>
      <c r="BJ38" s="3" t="e">
        <v>#N/A</v>
      </c>
      <c r="BK38" s="3" t="e">
        <v>#N/A</v>
      </c>
      <c r="BL38" s="3" t="e">
        <v>#N/A</v>
      </c>
      <c r="BM38" s="3" t="e">
        <v>#N/A</v>
      </c>
      <c r="BN38" s="3">
        <v>4484</v>
      </c>
      <c r="BO38" s="3">
        <v>5086</v>
      </c>
      <c r="BP38" s="28">
        <v>48.441899999999997</v>
      </c>
      <c r="BQ38" s="28" t="str">
        <f t="shared" si="1"/>
        <v/>
      </c>
      <c r="BR38" s="28" t="str">
        <f t="shared" si="2"/>
        <v/>
      </c>
      <c r="BS38" s="28" t="str">
        <f t="shared" si="3"/>
        <v/>
      </c>
      <c r="BT38" s="28" t="str">
        <f t="shared" si="4"/>
        <v/>
      </c>
      <c r="BU38" s="4">
        <v>51416</v>
      </c>
    </row>
    <row r="39" spans="1:73" x14ac:dyDescent="0.25">
      <c r="A39" t="s">
        <v>38</v>
      </c>
      <c r="B39" s="2">
        <v>37560</v>
      </c>
      <c r="C39" s="3">
        <v>8</v>
      </c>
      <c r="D39" s="28">
        <v>6.9790999999999999</v>
      </c>
      <c r="E39" s="34">
        <v>95.626729999999995</v>
      </c>
      <c r="F39" s="5">
        <v>52</v>
      </c>
      <c r="G39" s="5" t="e">
        <v>#N/A</v>
      </c>
      <c r="H39" s="3">
        <v>50.73</v>
      </c>
      <c r="I39" s="3">
        <v>59.93</v>
      </c>
      <c r="J39" s="3">
        <v>30.55</v>
      </c>
      <c r="K39" s="3">
        <v>61.67</v>
      </c>
      <c r="L39" s="3" t="e">
        <v>#N/A</v>
      </c>
      <c r="M39" s="3">
        <v>26.66</v>
      </c>
      <c r="N39" s="3">
        <v>55.43</v>
      </c>
      <c r="O39" s="5" t="e">
        <v>#N/A</v>
      </c>
      <c r="P39" s="52" t="e">
        <v>#N/A</v>
      </c>
      <c r="Q39" s="52" t="e">
        <v>#N/A</v>
      </c>
      <c r="R39" s="52" t="e">
        <v>#N/A</v>
      </c>
      <c r="S39" s="52" t="e">
        <v>#N/A</v>
      </c>
      <c r="T39" s="52" t="e">
        <v>#N/A</v>
      </c>
      <c r="U39" s="52" t="e">
        <v>#N/A</v>
      </c>
      <c r="V39" s="52" t="e">
        <v>#N/A</v>
      </c>
      <c r="W39" s="52" t="e">
        <v>#N/A</v>
      </c>
      <c r="X39" s="3">
        <v>8845.128422097072</v>
      </c>
      <c r="Y39" s="3">
        <v>4662.82</v>
      </c>
      <c r="Z39" s="3">
        <v>5424.54</v>
      </c>
      <c r="AA39" s="4" t="e">
        <v>#N/A</v>
      </c>
      <c r="AB39" s="4" t="e">
        <v>#N/A</v>
      </c>
      <c r="AC39" s="5" t="e">
        <v>#N/A</v>
      </c>
      <c r="AD39" s="5" t="e">
        <v>#N/A</v>
      </c>
      <c r="AE39" s="34">
        <v>120.34108091371729</v>
      </c>
      <c r="AF39" s="28" t="e">
        <v>#N/A</v>
      </c>
      <c r="AG39" s="28" t="e">
        <v>#N/A</v>
      </c>
      <c r="AH39" s="28" t="e">
        <v>#N/A</v>
      </c>
      <c r="AI39" s="28" t="e">
        <v>#N/A</v>
      </c>
      <c r="AJ39" s="28" t="e">
        <v>#N/A</v>
      </c>
      <c r="AK39" s="28" t="e">
        <v>#N/A</v>
      </c>
      <c r="AL39" s="28" t="e">
        <v>#N/A</v>
      </c>
      <c r="AM39" s="28" t="e">
        <v>#N/A</v>
      </c>
      <c r="AN39" s="28" t="e">
        <v>#N/A</v>
      </c>
      <c r="AO39" s="28" t="e">
        <v>#N/A</v>
      </c>
      <c r="AP39" s="28" t="e">
        <v>#N/A</v>
      </c>
      <c r="AQ39" s="28" t="e">
        <v>#N/A</v>
      </c>
      <c r="AR39" s="28" t="e">
        <v>#N/A</v>
      </c>
      <c r="AS39" s="28" t="e">
        <v>#N/A</v>
      </c>
      <c r="AT39" s="28" t="e">
        <v>#N/A</v>
      </c>
      <c r="AU39" s="28" t="e">
        <v>#N/A</v>
      </c>
      <c r="AV39" s="28" t="e">
        <v>#N/A</v>
      </c>
      <c r="AW39" s="28" t="e">
        <v>#N/A</v>
      </c>
      <c r="AX39" s="28" t="e">
        <v>#N/A</v>
      </c>
      <c r="AY39" s="28" t="e">
        <v>#N/A</v>
      </c>
      <c r="AZ39" s="28" t="e">
        <v>#N/A</v>
      </c>
      <c r="BA39" s="3">
        <v>2949.76</v>
      </c>
      <c r="BB39">
        <f>IF(ISNUMBER(VLOOKUP($B39,CEIC_DATA!$I$26:$N$353,Haver_M!BB$2,FALSE)),VLOOKUP($B39,CEIC_DATA!$I$26:$N$353,Haver_M!BB$2,FALSE),NA())</f>
        <v>91.879112800000001</v>
      </c>
      <c r="BC39" t="e">
        <f>IF(ISNUMBER(VLOOKUP($B39,CEIC_DATA!$I$26:$N$353,Haver_M!BC$2,FALSE)),VLOOKUP($B39,CEIC_DATA!$I$26:$N$353,Haver_M!BC$2,FALSE),NA())</f>
        <v>#N/A</v>
      </c>
      <c r="BD39" t="e">
        <f>IF(ISNUMBER(VLOOKUP($B39,CEIC_DATA!$I$26:$N$353,Haver_M!BD$2,FALSE)),VLOOKUP($B39,CEIC_DATA!$I$26:$N$353,Haver_M!BD$2,FALSE),NA())</f>
        <v>#N/A</v>
      </c>
      <c r="BE39" t="e">
        <f>IF(ISNUMBER(VLOOKUP($B39,CEIC_DATA!$I$26:$N$353,Haver_M!BE$2,FALSE)),VLOOKUP($B39,CEIC_DATA!$I$26:$N$353,Haver_M!BE$2,FALSE),NA())</f>
        <v>#N/A</v>
      </c>
      <c r="BF39">
        <v>461722</v>
      </c>
      <c r="BG39">
        <v>17631</v>
      </c>
      <c r="BH39">
        <v>571757</v>
      </c>
      <c r="BI39">
        <v>64113</v>
      </c>
      <c r="BJ39" s="3" t="e">
        <v>#N/A</v>
      </c>
      <c r="BK39" s="3" t="e">
        <v>#N/A</v>
      </c>
      <c r="BL39" s="3" t="e">
        <v>#N/A</v>
      </c>
      <c r="BM39" s="3" t="e">
        <v>#N/A</v>
      </c>
      <c r="BN39" s="3">
        <v>4752</v>
      </c>
      <c r="BO39" s="3">
        <v>5593</v>
      </c>
      <c r="BP39" s="28">
        <v>48.371400000000001</v>
      </c>
      <c r="BQ39" s="28" t="str">
        <f t="shared" si="1"/>
        <v/>
      </c>
      <c r="BR39" s="28" t="str">
        <f t="shared" si="2"/>
        <v/>
      </c>
      <c r="BS39" s="28" t="str">
        <f t="shared" si="3"/>
        <v/>
      </c>
      <c r="BT39" s="28" t="str">
        <f t="shared" si="4"/>
        <v/>
      </c>
      <c r="BU39" s="4">
        <v>53572</v>
      </c>
    </row>
    <row r="40" spans="1:73" x14ac:dyDescent="0.25">
      <c r="A40" t="s">
        <v>39</v>
      </c>
      <c r="B40" s="2">
        <v>37590</v>
      </c>
      <c r="C40" s="3">
        <v>7.5</v>
      </c>
      <c r="D40" s="28">
        <v>6.4573</v>
      </c>
      <c r="E40" s="34">
        <v>94.960239999999999</v>
      </c>
      <c r="F40" s="5">
        <v>52.1</v>
      </c>
      <c r="G40" s="5" t="e">
        <v>#N/A</v>
      </c>
      <c r="H40" s="3">
        <v>50.28</v>
      </c>
      <c r="I40" s="3">
        <v>59.43</v>
      </c>
      <c r="J40" s="3">
        <v>29.63</v>
      </c>
      <c r="K40" s="3">
        <v>60.74</v>
      </c>
      <c r="L40" s="3" t="e">
        <v>#N/A</v>
      </c>
      <c r="M40" s="3">
        <v>26.74</v>
      </c>
      <c r="N40" s="3">
        <v>55.99</v>
      </c>
      <c r="O40" s="5" t="e">
        <v>#N/A</v>
      </c>
      <c r="P40" s="52" t="e">
        <v>#N/A</v>
      </c>
      <c r="Q40" s="52" t="e">
        <v>#N/A</v>
      </c>
      <c r="R40" s="52" t="e">
        <v>#N/A</v>
      </c>
      <c r="S40" s="52" t="e">
        <v>#N/A</v>
      </c>
      <c r="T40" s="52" t="e">
        <v>#N/A</v>
      </c>
      <c r="U40" s="52" t="e">
        <v>#N/A</v>
      </c>
      <c r="V40" s="52" t="e">
        <v>#N/A</v>
      </c>
      <c r="W40" s="52" t="e">
        <v>#N/A</v>
      </c>
      <c r="X40" s="3">
        <v>8842.2964541120364</v>
      </c>
      <c r="Y40" s="3">
        <v>4327.82</v>
      </c>
      <c r="Z40" s="3">
        <v>5213.9799999999996</v>
      </c>
      <c r="AA40" s="4" t="e">
        <v>#N/A</v>
      </c>
      <c r="AB40" s="4" t="e">
        <v>#N/A</v>
      </c>
      <c r="AC40" s="5" t="e">
        <v>#N/A</v>
      </c>
      <c r="AD40" s="5" t="e">
        <v>#N/A</v>
      </c>
      <c r="AE40" s="34">
        <v>116.85282534029791</v>
      </c>
      <c r="AF40" s="28" t="e">
        <v>#N/A</v>
      </c>
      <c r="AG40" s="28" t="e">
        <v>#N/A</v>
      </c>
      <c r="AH40" s="28" t="e">
        <v>#N/A</v>
      </c>
      <c r="AI40" s="28" t="e">
        <v>#N/A</v>
      </c>
      <c r="AJ40" s="28" t="e">
        <v>#N/A</v>
      </c>
      <c r="AK40" s="28" t="e">
        <v>#N/A</v>
      </c>
      <c r="AL40" s="28" t="e">
        <v>#N/A</v>
      </c>
      <c r="AM40" s="28" t="e">
        <v>#N/A</v>
      </c>
      <c r="AN40" s="28" t="e">
        <v>#N/A</v>
      </c>
      <c r="AO40" s="28" t="e">
        <v>#N/A</v>
      </c>
      <c r="AP40" s="28" t="e">
        <v>#N/A</v>
      </c>
      <c r="AQ40" s="28" t="e">
        <v>#N/A</v>
      </c>
      <c r="AR40" s="28" t="e">
        <v>#N/A</v>
      </c>
      <c r="AS40" s="28" t="e">
        <v>#N/A</v>
      </c>
      <c r="AT40" s="28" t="e">
        <v>#N/A</v>
      </c>
      <c r="AU40" s="28" t="e">
        <v>#N/A</v>
      </c>
      <c r="AV40" s="28" t="e">
        <v>#N/A</v>
      </c>
      <c r="AW40" s="28" t="e">
        <v>#N/A</v>
      </c>
      <c r="AX40" s="28" t="e">
        <v>#N/A</v>
      </c>
      <c r="AY40" s="28" t="e">
        <v>#N/A</v>
      </c>
      <c r="AZ40" s="28" t="e">
        <v>#N/A</v>
      </c>
      <c r="BA40" s="3">
        <v>3058.19</v>
      </c>
      <c r="BB40">
        <f>IF(ISNUMBER(VLOOKUP($B40,CEIC_DATA!$I$26:$N$353,Haver_M!BB$2,FALSE)),VLOOKUP($B40,CEIC_DATA!$I$26:$N$353,Haver_M!BB$2,FALSE),NA())</f>
        <v>90.857278309999998</v>
      </c>
      <c r="BC40" t="e">
        <f>IF(ISNUMBER(VLOOKUP($B40,CEIC_DATA!$I$26:$N$353,Haver_M!BC$2,FALSE)),VLOOKUP($B40,CEIC_DATA!$I$26:$N$353,Haver_M!BC$2,FALSE),NA())</f>
        <v>#N/A</v>
      </c>
      <c r="BD40" t="e">
        <f>IF(ISNUMBER(VLOOKUP($B40,CEIC_DATA!$I$26:$N$353,Haver_M!BD$2,FALSE)),VLOOKUP($B40,CEIC_DATA!$I$26:$N$353,Haver_M!BD$2,FALSE),NA())</f>
        <v>#N/A</v>
      </c>
      <c r="BE40" t="e">
        <f>IF(ISNUMBER(VLOOKUP($B40,CEIC_DATA!$I$26:$N$353,Haver_M!BE$2,FALSE)),VLOOKUP($B40,CEIC_DATA!$I$26:$N$353,Haver_M!BE$2,FALSE),NA())</f>
        <v>#N/A</v>
      </c>
      <c r="BF40">
        <v>468302</v>
      </c>
      <c r="BG40">
        <v>15165</v>
      </c>
      <c r="BH40">
        <v>566351</v>
      </c>
      <c r="BI40">
        <v>60858</v>
      </c>
      <c r="BJ40" s="3" t="e">
        <v>#N/A</v>
      </c>
      <c r="BK40" s="3" t="e">
        <v>#N/A</v>
      </c>
      <c r="BL40" s="3" t="e">
        <v>#N/A</v>
      </c>
      <c r="BM40" s="3" t="e">
        <v>#N/A</v>
      </c>
      <c r="BN40" s="3">
        <v>4049</v>
      </c>
      <c r="BO40" s="3">
        <v>5072</v>
      </c>
      <c r="BP40" s="28">
        <v>48.2545</v>
      </c>
      <c r="BQ40" s="28" t="str">
        <f t="shared" si="1"/>
        <v/>
      </c>
      <c r="BR40" s="28" t="str">
        <f t="shared" si="2"/>
        <v/>
      </c>
      <c r="BS40" s="28" t="str">
        <f t="shared" si="3"/>
        <v/>
      </c>
      <c r="BT40" s="28" t="str">
        <f t="shared" si="4"/>
        <v/>
      </c>
      <c r="BU40" s="4">
        <v>51542</v>
      </c>
    </row>
    <row r="41" spans="1:73" x14ac:dyDescent="0.25">
      <c r="A41" t="s">
        <v>40</v>
      </c>
      <c r="B41" s="2">
        <v>37621</v>
      </c>
      <c r="C41" s="3">
        <v>7.5</v>
      </c>
      <c r="D41" s="28">
        <v>6.0818000000000003</v>
      </c>
      <c r="E41" s="34">
        <v>94.034679999999994</v>
      </c>
      <c r="F41" s="5">
        <v>51.8</v>
      </c>
      <c r="G41" s="5" t="e">
        <v>#N/A</v>
      </c>
      <c r="H41" s="3">
        <v>50.91</v>
      </c>
      <c r="I41" s="3">
        <v>59.97</v>
      </c>
      <c r="J41" s="3">
        <v>28.78</v>
      </c>
      <c r="K41" s="3">
        <v>61.5</v>
      </c>
      <c r="L41" s="3" t="e">
        <v>#N/A</v>
      </c>
      <c r="M41" s="3">
        <v>27.19</v>
      </c>
      <c r="N41" s="3">
        <v>57.07</v>
      </c>
      <c r="O41" s="5" t="e">
        <v>#N/A</v>
      </c>
      <c r="P41" s="52" t="e">
        <v>#N/A</v>
      </c>
      <c r="Q41" s="52" t="e">
        <v>#N/A</v>
      </c>
      <c r="R41" s="52" t="e">
        <v>#N/A</v>
      </c>
      <c r="S41" s="52" t="e">
        <v>#N/A</v>
      </c>
      <c r="T41" s="52" t="e">
        <v>#N/A</v>
      </c>
      <c r="U41" s="52" t="e">
        <v>#N/A</v>
      </c>
      <c r="V41" s="52" t="e">
        <v>#N/A</v>
      </c>
      <c r="W41" s="52" t="e">
        <v>#N/A</v>
      </c>
      <c r="X41" s="3">
        <v>8882.5530995663121</v>
      </c>
      <c r="Y41" s="3">
        <v>4174.43</v>
      </c>
      <c r="Z41" s="3">
        <v>4999.3500000000004</v>
      </c>
      <c r="AA41" s="4" t="e">
        <v>#N/A</v>
      </c>
      <c r="AB41" s="4" t="e">
        <v>#N/A</v>
      </c>
      <c r="AC41" s="5" t="e">
        <v>#N/A</v>
      </c>
      <c r="AD41" s="5" t="e">
        <v>#N/A</v>
      </c>
      <c r="AE41" s="34">
        <v>102.28676687263841</v>
      </c>
      <c r="AF41" s="28" t="e">
        <v>#N/A</v>
      </c>
      <c r="AG41" s="28" t="e">
        <v>#N/A</v>
      </c>
      <c r="AH41" s="28" t="e">
        <v>#N/A</v>
      </c>
      <c r="AI41" s="28" t="e">
        <v>#N/A</v>
      </c>
      <c r="AJ41" s="28" t="e">
        <v>#N/A</v>
      </c>
      <c r="AK41" s="28" t="e">
        <v>#N/A</v>
      </c>
      <c r="AL41" s="28" t="e">
        <v>#N/A</v>
      </c>
      <c r="AM41" s="28" t="e">
        <v>#N/A</v>
      </c>
      <c r="AN41" s="28" t="e">
        <v>#N/A</v>
      </c>
      <c r="AO41" s="28" t="e">
        <v>#N/A</v>
      </c>
      <c r="AP41" s="28" t="e">
        <v>#N/A</v>
      </c>
      <c r="AQ41" s="28" t="e">
        <v>#N/A</v>
      </c>
      <c r="AR41" s="28" t="e">
        <v>#N/A</v>
      </c>
      <c r="AS41" s="28" t="e">
        <v>#N/A</v>
      </c>
      <c r="AT41" s="28" t="e">
        <v>#N/A</v>
      </c>
      <c r="AU41" s="28" t="e">
        <v>#N/A</v>
      </c>
      <c r="AV41" s="28" t="e">
        <v>#N/A</v>
      </c>
      <c r="AW41" s="28" t="e">
        <v>#N/A</v>
      </c>
      <c r="AX41" s="28" t="e">
        <v>#N/A</v>
      </c>
      <c r="AY41" s="28" t="e">
        <v>#N/A</v>
      </c>
      <c r="AZ41" s="28" t="e">
        <v>#N/A</v>
      </c>
      <c r="BA41" s="3">
        <v>3315.84</v>
      </c>
      <c r="BB41">
        <f>IF(ISNUMBER(VLOOKUP($B41,CEIC_DATA!$I$26:$N$353,Haver_M!BB$2,FALSE)),VLOOKUP($B41,CEIC_DATA!$I$26:$N$353,Haver_M!BB$2,FALSE),NA())</f>
        <v>89.640760220000004</v>
      </c>
      <c r="BC41">
        <f>IF(ISNUMBER(VLOOKUP($B41,CEIC_DATA!$I$26:$N$353,Haver_M!BC$2,FALSE)),VLOOKUP($B41,CEIC_DATA!$I$26:$N$353,Haver_M!BC$2,FALSE),NA())</f>
        <v>113.8</v>
      </c>
      <c r="BD41">
        <f>IF(ISNUMBER(VLOOKUP($B41,CEIC_DATA!$I$26:$N$353,Haver_M!BD$2,FALSE)),VLOOKUP($B41,CEIC_DATA!$I$26:$N$353,Haver_M!BD$2,FALSE),NA())</f>
        <v>121.2</v>
      </c>
      <c r="BE41">
        <f>IF(ISNUMBER(VLOOKUP($B41,CEIC_DATA!$I$26:$N$353,Haver_M!BE$2,FALSE)),VLOOKUP($B41,CEIC_DATA!$I$26:$N$353,Haver_M!BE$2,FALSE),NA())</f>
        <v>41.2</v>
      </c>
      <c r="BF41">
        <v>396531</v>
      </c>
      <c r="BG41">
        <v>17413</v>
      </c>
      <c r="BH41">
        <v>493442</v>
      </c>
      <c r="BI41">
        <v>56276</v>
      </c>
      <c r="BJ41" s="3" t="e">
        <v>#N/A</v>
      </c>
      <c r="BK41" s="3" t="e">
        <v>#N/A</v>
      </c>
      <c r="BL41" s="3" t="e">
        <v>#N/A</v>
      </c>
      <c r="BM41" s="3" t="e">
        <v>#N/A</v>
      </c>
      <c r="BN41" s="3">
        <v>3985</v>
      </c>
      <c r="BO41" s="3">
        <v>4972</v>
      </c>
      <c r="BP41" s="28">
        <v>48.140500000000003</v>
      </c>
      <c r="BQ41" s="28" t="str">
        <f t="shared" si="1"/>
        <v/>
      </c>
      <c r="BR41" s="28" t="str">
        <f t="shared" si="2"/>
        <v/>
      </c>
      <c r="BS41" s="28" t="str">
        <f t="shared" si="3"/>
        <v/>
      </c>
      <c r="BT41" s="28" t="str">
        <f t="shared" si="4"/>
        <v/>
      </c>
      <c r="BU41" s="4">
        <v>48205</v>
      </c>
    </row>
    <row r="42" spans="1:73" x14ac:dyDescent="0.25">
      <c r="A42" t="s">
        <v>41</v>
      </c>
      <c r="B42" s="2">
        <v>37652</v>
      </c>
      <c r="C42" s="3">
        <v>7.5</v>
      </c>
      <c r="D42" s="28">
        <v>6.3390000000000004</v>
      </c>
      <c r="E42" s="34">
        <v>92.308049999999994</v>
      </c>
      <c r="F42" s="5">
        <v>51.7</v>
      </c>
      <c r="G42" s="5" t="e">
        <v>#N/A</v>
      </c>
      <c r="H42" s="3">
        <v>51.33</v>
      </c>
      <c r="I42" s="3">
        <v>60.04</v>
      </c>
      <c r="J42" s="3">
        <v>29.72</v>
      </c>
      <c r="K42" s="3">
        <v>63.25</v>
      </c>
      <c r="L42" s="3" t="e">
        <v>#N/A</v>
      </c>
      <c r="M42" s="3">
        <v>27.28</v>
      </c>
      <c r="N42" s="3">
        <v>56.1</v>
      </c>
      <c r="O42" s="5" t="e">
        <v>#N/A</v>
      </c>
      <c r="P42" s="52" t="e">
        <v>#N/A</v>
      </c>
      <c r="Q42" s="52" t="e">
        <v>#N/A</v>
      </c>
      <c r="R42" s="52" t="e">
        <v>#N/A</v>
      </c>
      <c r="S42" s="52" t="e">
        <v>#N/A</v>
      </c>
      <c r="T42" s="52" t="e">
        <v>#N/A</v>
      </c>
      <c r="U42" s="52" t="e">
        <v>#N/A</v>
      </c>
      <c r="V42" s="52" t="e">
        <v>#N/A</v>
      </c>
      <c r="W42" s="52" t="e">
        <v>#N/A</v>
      </c>
      <c r="X42" s="3">
        <v>8770.4414288572334</v>
      </c>
      <c r="Y42" s="3">
        <v>4755.18</v>
      </c>
      <c r="Z42" s="3">
        <v>5533.19</v>
      </c>
      <c r="AA42" s="4" t="e">
        <v>#N/A</v>
      </c>
      <c r="AB42" s="4" t="e">
        <v>#N/A</v>
      </c>
      <c r="AC42" s="5" t="e">
        <v>#N/A</v>
      </c>
      <c r="AD42" s="5" t="e">
        <v>#N/A</v>
      </c>
      <c r="AE42" s="34">
        <v>50.232259018596515</v>
      </c>
      <c r="AF42" s="28" t="e">
        <v>#N/A</v>
      </c>
      <c r="AG42" s="28" t="e">
        <v>#N/A</v>
      </c>
      <c r="AH42" s="28" t="e">
        <v>#N/A</v>
      </c>
      <c r="AI42" s="28" t="e">
        <v>#N/A</v>
      </c>
      <c r="AJ42" s="28" t="e">
        <v>#N/A</v>
      </c>
      <c r="AK42" s="28" t="e">
        <v>#N/A</v>
      </c>
      <c r="AL42" s="28" t="e">
        <v>#N/A</v>
      </c>
      <c r="AM42" s="28" t="e">
        <v>#N/A</v>
      </c>
      <c r="AN42" s="28" t="e">
        <v>#N/A</v>
      </c>
      <c r="AO42" s="28" t="e">
        <v>#N/A</v>
      </c>
      <c r="AP42" s="28" t="e">
        <v>#N/A</v>
      </c>
      <c r="AQ42" s="28" t="e">
        <v>#N/A</v>
      </c>
      <c r="AR42" s="28" t="e">
        <v>#N/A</v>
      </c>
      <c r="AS42" s="28" t="e">
        <v>#N/A</v>
      </c>
      <c r="AT42" s="28" t="e">
        <v>#N/A</v>
      </c>
      <c r="AU42" s="28" t="e">
        <v>#N/A</v>
      </c>
      <c r="AV42" s="28" t="e">
        <v>#N/A</v>
      </c>
      <c r="AW42" s="28" t="e">
        <v>#N/A</v>
      </c>
      <c r="AX42" s="28" t="e">
        <v>#N/A</v>
      </c>
      <c r="AY42" s="28" t="e">
        <v>#N/A</v>
      </c>
      <c r="AZ42" s="28" t="e">
        <v>#N/A</v>
      </c>
      <c r="BA42" s="3">
        <v>3327.66</v>
      </c>
      <c r="BB42">
        <f>IF(ISNUMBER(VLOOKUP($B42,CEIC_DATA!$I$26:$N$353,Haver_M!BB$2,FALSE)),VLOOKUP($B42,CEIC_DATA!$I$26:$N$353,Haver_M!BB$2,FALSE),NA())</f>
        <v>88.549277579999995</v>
      </c>
      <c r="BC42" t="e">
        <f>IF(ISNUMBER(VLOOKUP($B42,CEIC_DATA!$I$26:$N$353,Haver_M!BC$2,FALSE)),VLOOKUP($B42,CEIC_DATA!$I$26:$N$353,Haver_M!BC$2,FALSE),NA())</f>
        <v>#N/A</v>
      </c>
      <c r="BD42" t="e">
        <f>IF(ISNUMBER(VLOOKUP($B42,CEIC_DATA!$I$26:$N$353,Haver_M!BD$2,FALSE)),VLOOKUP($B42,CEIC_DATA!$I$26:$N$353,Haver_M!BD$2,FALSE),NA())</f>
        <v>#N/A</v>
      </c>
      <c r="BE42" t="e">
        <f>IF(ISNUMBER(VLOOKUP($B42,CEIC_DATA!$I$26:$N$353,Haver_M!BE$2,FALSE)),VLOOKUP($B42,CEIC_DATA!$I$26:$N$353,Haver_M!BE$2,FALSE),NA())</f>
        <v>#N/A</v>
      </c>
      <c r="BF42">
        <v>422099</v>
      </c>
      <c r="BG42">
        <v>19563</v>
      </c>
      <c r="BH42">
        <v>544652</v>
      </c>
      <c r="BI42">
        <v>77597</v>
      </c>
      <c r="BJ42" s="3" t="e">
        <v>#N/A</v>
      </c>
      <c r="BK42" s="3" t="e">
        <v>#N/A</v>
      </c>
      <c r="BL42" s="3" t="e">
        <v>#N/A</v>
      </c>
      <c r="BM42" s="3" t="e">
        <v>#N/A</v>
      </c>
      <c r="BN42" s="3">
        <v>4850</v>
      </c>
      <c r="BO42" s="3">
        <v>5571</v>
      </c>
      <c r="BP42" s="28">
        <v>47.9328</v>
      </c>
      <c r="BQ42" s="28" t="str">
        <f t="shared" si="1"/>
        <v/>
      </c>
      <c r="BR42" s="28" t="str">
        <f t="shared" si="2"/>
        <v/>
      </c>
      <c r="BS42" s="28" t="str">
        <f t="shared" si="3"/>
        <v/>
      </c>
      <c r="BT42" s="28" t="str">
        <f t="shared" si="4"/>
        <v/>
      </c>
      <c r="BU42" s="4">
        <v>40101</v>
      </c>
    </row>
    <row r="43" spans="1:73" x14ac:dyDescent="0.25">
      <c r="A43" t="s">
        <v>42</v>
      </c>
      <c r="B43" s="2">
        <v>37680</v>
      </c>
      <c r="C43" s="3">
        <v>7.5</v>
      </c>
      <c r="D43" s="28">
        <v>6.2321</v>
      </c>
      <c r="E43" s="34">
        <v>92.615459999999999</v>
      </c>
      <c r="F43" s="5">
        <v>51.9</v>
      </c>
      <c r="G43" s="5" t="e">
        <v>#N/A</v>
      </c>
      <c r="H43" s="3">
        <v>52.07</v>
      </c>
      <c r="I43" s="3">
        <v>60.42</v>
      </c>
      <c r="J43" s="3">
        <v>28.35</v>
      </c>
      <c r="K43" s="3">
        <v>63.69</v>
      </c>
      <c r="L43" s="3" t="e">
        <v>#N/A</v>
      </c>
      <c r="M43" s="3">
        <v>26.35</v>
      </c>
      <c r="N43" s="3">
        <v>59.12</v>
      </c>
      <c r="O43" s="5" t="e">
        <v>#N/A</v>
      </c>
      <c r="P43" s="52" t="e">
        <v>#N/A</v>
      </c>
      <c r="Q43" s="52" t="e">
        <v>#N/A</v>
      </c>
      <c r="R43" s="52" t="e">
        <v>#N/A</v>
      </c>
      <c r="S43" s="52" t="e">
        <v>#N/A</v>
      </c>
      <c r="T43" s="52" t="e">
        <v>#N/A</v>
      </c>
      <c r="U43" s="52" t="e">
        <v>#N/A</v>
      </c>
      <c r="V43" s="52" t="e">
        <v>#N/A</v>
      </c>
      <c r="W43" s="52" t="e">
        <v>#N/A</v>
      </c>
      <c r="X43" s="3">
        <v>8615.0692066525753</v>
      </c>
      <c r="Y43" s="3">
        <v>4335.37</v>
      </c>
      <c r="Z43" s="3">
        <v>5095.37</v>
      </c>
      <c r="AA43" s="4" t="e">
        <v>#N/A</v>
      </c>
      <c r="AB43" s="4" t="e">
        <v>#N/A</v>
      </c>
      <c r="AC43" s="5" t="e">
        <v>#N/A</v>
      </c>
      <c r="AD43" s="5" t="e">
        <v>#N/A</v>
      </c>
      <c r="AE43" s="34">
        <v>64.374584325608438</v>
      </c>
      <c r="AF43" s="28" t="e">
        <v>#N/A</v>
      </c>
      <c r="AG43" s="28" t="e">
        <v>#N/A</v>
      </c>
      <c r="AH43" s="28" t="e">
        <v>#N/A</v>
      </c>
      <c r="AI43" s="28" t="e">
        <v>#N/A</v>
      </c>
      <c r="AJ43" s="28" t="e">
        <v>#N/A</v>
      </c>
      <c r="AK43" s="28" t="e">
        <v>#N/A</v>
      </c>
      <c r="AL43" s="28" t="e">
        <v>#N/A</v>
      </c>
      <c r="AM43" s="28" t="e">
        <v>#N/A</v>
      </c>
      <c r="AN43" s="28" t="e">
        <v>#N/A</v>
      </c>
      <c r="AO43" s="28" t="e">
        <v>#N/A</v>
      </c>
      <c r="AP43" s="28" t="e">
        <v>#N/A</v>
      </c>
      <c r="AQ43" s="28" t="e">
        <v>#N/A</v>
      </c>
      <c r="AR43" s="28" t="e">
        <v>#N/A</v>
      </c>
      <c r="AS43" s="28" t="e">
        <v>#N/A</v>
      </c>
      <c r="AT43" s="28" t="e">
        <v>#N/A</v>
      </c>
      <c r="AU43" s="28" t="e">
        <v>#N/A</v>
      </c>
      <c r="AV43" s="28" t="e">
        <v>#N/A</v>
      </c>
      <c r="AW43" s="28" t="e">
        <v>#N/A</v>
      </c>
      <c r="AX43" s="28" t="e">
        <v>#N/A</v>
      </c>
      <c r="AY43" s="28" t="e">
        <v>#N/A</v>
      </c>
      <c r="AZ43" s="28" t="e">
        <v>#N/A</v>
      </c>
      <c r="BA43" s="3">
        <v>3278.85</v>
      </c>
      <c r="BB43">
        <f>IF(ISNUMBER(VLOOKUP($B43,CEIC_DATA!$I$26:$N$353,Haver_M!BB$2,FALSE)),VLOOKUP($B43,CEIC_DATA!$I$26:$N$353,Haver_M!BB$2,FALSE),NA())</f>
        <v>87.957332320000006</v>
      </c>
      <c r="BC43" t="e">
        <f>IF(ISNUMBER(VLOOKUP($B43,CEIC_DATA!$I$26:$N$353,Haver_M!BC$2,FALSE)),VLOOKUP($B43,CEIC_DATA!$I$26:$N$353,Haver_M!BC$2,FALSE),NA())</f>
        <v>#N/A</v>
      </c>
      <c r="BD43" t="e">
        <f>IF(ISNUMBER(VLOOKUP($B43,CEIC_DATA!$I$26:$N$353,Haver_M!BD$2,FALSE)),VLOOKUP($B43,CEIC_DATA!$I$26:$N$353,Haver_M!BD$2,FALSE),NA())</f>
        <v>#N/A</v>
      </c>
      <c r="BE43" t="e">
        <f>IF(ISNUMBER(VLOOKUP($B43,CEIC_DATA!$I$26:$N$353,Haver_M!BE$2,FALSE)),VLOOKUP($B43,CEIC_DATA!$I$26:$N$353,Haver_M!BE$2,FALSE),NA())</f>
        <v>#N/A</v>
      </c>
      <c r="BF43">
        <v>410871</v>
      </c>
      <c r="BG43">
        <v>20853</v>
      </c>
      <c r="BH43">
        <v>510229</v>
      </c>
      <c r="BI43">
        <v>56237</v>
      </c>
      <c r="BJ43" s="3" t="e">
        <v>#N/A</v>
      </c>
      <c r="BK43" s="3" t="e">
        <v>#N/A</v>
      </c>
      <c r="BL43" s="3" t="e">
        <v>#N/A</v>
      </c>
      <c r="BM43" s="3" t="e">
        <v>#N/A</v>
      </c>
      <c r="BN43" s="3">
        <v>4286</v>
      </c>
      <c r="BO43" s="3">
        <v>4631</v>
      </c>
      <c r="BP43" s="28">
        <v>47.735799999999998</v>
      </c>
      <c r="BQ43" s="28" t="str">
        <f t="shared" si="1"/>
        <v/>
      </c>
      <c r="BR43" s="28" t="str">
        <f t="shared" si="2"/>
        <v/>
      </c>
      <c r="BS43" s="28" t="str">
        <f t="shared" si="3"/>
        <v/>
      </c>
      <c r="BT43" s="28" t="str">
        <f t="shared" si="4"/>
        <v/>
      </c>
      <c r="BU43" s="4">
        <v>36196</v>
      </c>
    </row>
    <row r="44" spans="1:73" x14ac:dyDescent="0.25">
      <c r="A44" t="s">
        <v>43</v>
      </c>
      <c r="B44" s="2">
        <v>37711</v>
      </c>
      <c r="C44" s="3">
        <v>7</v>
      </c>
      <c r="D44" s="28">
        <v>6.1936</v>
      </c>
      <c r="E44" s="34">
        <v>93.404470000000003</v>
      </c>
      <c r="F44" s="5">
        <v>52.2</v>
      </c>
      <c r="G44" s="5" t="e">
        <v>#N/A</v>
      </c>
      <c r="H44" s="3">
        <v>51.37</v>
      </c>
      <c r="I44" s="3">
        <v>60.05</v>
      </c>
      <c r="J44" s="3">
        <v>29.74</v>
      </c>
      <c r="K44" s="3">
        <v>63.18</v>
      </c>
      <c r="L44" s="3" t="e">
        <v>#N/A</v>
      </c>
      <c r="M44" s="3">
        <v>25.15</v>
      </c>
      <c r="N44" s="3">
        <v>58.3</v>
      </c>
      <c r="O44" s="5" t="e">
        <v>#N/A</v>
      </c>
      <c r="P44" s="52" t="e">
        <v>#N/A</v>
      </c>
      <c r="Q44" s="52" t="e">
        <v>#N/A</v>
      </c>
      <c r="R44" s="52" t="e">
        <v>#N/A</v>
      </c>
      <c r="S44" s="52" t="e">
        <v>#N/A</v>
      </c>
      <c r="T44" s="52" t="e">
        <v>#N/A</v>
      </c>
      <c r="U44" s="52" t="e">
        <v>#N/A</v>
      </c>
      <c r="V44" s="52" t="e">
        <v>#N/A</v>
      </c>
      <c r="W44" s="52" t="e">
        <v>#N/A</v>
      </c>
      <c r="X44" s="3">
        <v>8297.068579535915</v>
      </c>
      <c r="Y44" s="3">
        <v>4345.51</v>
      </c>
      <c r="Z44" s="3">
        <v>5494.91</v>
      </c>
      <c r="AA44" s="4" t="e">
        <v>#N/A</v>
      </c>
      <c r="AB44" s="4" t="e">
        <v>#N/A</v>
      </c>
      <c r="AC44" s="5" t="e">
        <v>#N/A</v>
      </c>
      <c r="AD44" s="5" t="e">
        <v>#N/A</v>
      </c>
      <c r="AE44" s="34">
        <v>121.60900628745031</v>
      </c>
      <c r="AF44" s="28" t="e">
        <v>#N/A</v>
      </c>
      <c r="AG44" s="28" t="e">
        <v>#N/A</v>
      </c>
      <c r="AH44" s="28" t="e">
        <v>#N/A</v>
      </c>
      <c r="AI44" s="28" t="e">
        <v>#N/A</v>
      </c>
      <c r="AJ44" s="28" t="e">
        <v>#N/A</v>
      </c>
      <c r="AK44" s="28" t="e">
        <v>#N/A</v>
      </c>
      <c r="AL44" s="28" t="e">
        <v>#N/A</v>
      </c>
      <c r="AM44" s="28" t="e">
        <v>#N/A</v>
      </c>
      <c r="AN44" s="28" t="e">
        <v>#N/A</v>
      </c>
      <c r="AO44" s="28" t="e">
        <v>#N/A</v>
      </c>
      <c r="AP44" s="28" t="e">
        <v>#N/A</v>
      </c>
      <c r="AQ44" s="28" t="e">
        <v>#N/A</v>
      </c>
      <c r="AR44" s="28" t="e">
        <v>#N/A</v>
      </c>
      <c r="AS44" s="28" t="e">
        <v>#N/A</v>
      </c>
      <c r="AT44" s="28" t="e">
        <v>#N/A</v>
      </c>
      <c r="AU44" s="28" t="e">
        <v>#N/A</v>
      </c>
      <c r="AV44" s="28" t="e">
        <v>#N/A</v>
      </c>
      <c r="AW44" s="28" t="e">
        <v>#N/A</v>
      </c>
      <c r="AX44" s="28" t="e">
        <v>#N/A</v>
      </c>
      <c r="AY44" s="28" t="e">
        <v>#N/A</v>
      </c>
      <c r="AZ44" s="28" t="e">
        <v>#N/A</v>
      </c>
      <c r="BA44" s="3">
        <v>3152.38</v>
      </c>
      <c r="BB44">
        <f>IF(ISNUMBER(VLOOKUP($B44,CEIC_DATA!$I$26:$N$353,Haver_M!BB$2,FALSE)),VLOOKUP($B44,CEIC_DATA!$I$26:$N$353,Haver_M!BB$2,FALSE),NA())</f>
        <v>88.179991560000005</v>
      </c>
      <c r="BC44">
        <f>IF(ISNUMBER(VLOOKUP($B44,CEIC_DATA!$I$26:$N$353,Haver_M!BC$2,FALSE)),VLOOKUP($B44,CEIC_DATA!$I$26:$N$353,Haver_M!BC$2,FALSE),NA())</f>
        <v>118.4</v>
      </c>
      <c r="BD44">
        <f>IF(ISNUMBER(VLOOKUP($B44,CEIC_DATA!$I$26:$N$353,Haver_M!BD$2,FALSE)),VLOOKUP($B44,CEIC_DATA!$I$26:$N$353,Haver_M!BD$2,FALSE),NA())</f>
        <v>119.7</v>
      </c>
      <c r="BE44">
        <f>IF(ISNUMBER(VLOOKUP($B44,CEIC_DATA!$I$26:$N$353,Haver_M!BE$2,FALSE)),VLOOKUP($B44,CEIC_DATA!$I$26:$N$353,Haver_M!BE$2,FALSE),NA())</f>
        <v>40.799999999999997</v>
      </c>
      <c r="BF44">
        <v>379267</v>
      </c>
      <c r="BG44">
        <v>23572</v>
      </c>
      <c r="BH44">
        <v>525158</v>
      </c>
      <c r="BI44">
        <v>98128</v>
      </c>
      <c r="BJ44" s="3" t="e">
        <v>#N/A</v>
      </c>
      <c r="BK44" s="3" t="e">
        <v>#N/A</v>
      </c>
      <c r="BL44" s="3" t="e">
        <v>#N/A</v>
      </c>
      <c r="BM44" s="3" t="e">
        <v>#N/A</v>
      </c>
      <c r="BN44" s="3">
        <v>5151</v>
      </c>
      <c r="BO44" s="3">
        <v>5891</v>
      </c>
      <c r="BP44" s="28">
        <v>47.639499999999998</v>
      </c>
      <c r="BQ44" s="28" t="str">
        <f t="shared" si="1"/>
        <v/>
      </c>
      <c r="BR44" s="28" t="str">
        <f t="shared" si="2"/>
        <v/>
      </c>
      <c r="BS44" s="28" t="str">
        <f t="shared" si="3"/>
        <v/>
      </c>
      <c r="BT44" s="28" t="str">
        <f t="shared" si="4"/>
        <v/>
      </c>
      <c r="BU44" s="4">
        <v>32805</v>
      </c>
    </row>
    <row r="45" spans="1:73" x14ac:dyDescent="0.25">
      <c r="A45" t="s">
        <v>44</v>
      </c>
      <c r="B45" s="2">
        <v>37741</v>
      </c>
      <c r="C45" s="3">
        <v>7</v>
      </c>
      <c r="D45" s="28">
        <v>5.9053000000000004</v>
      </c>
      <c r="E45" s="34">
        <v>95.296480000000003</v>
      </c>
      <c r="F45" s="5">
        <v>53</v>
      </c>
      <c r="G45" s="5" t="e">
        <v>#N/A</v>
      </c>
      <c r="H45" s="3">
        <v>51.35</v>
      </c>
      <c r="I45" s="3">
        <v>59.64</v>
      </c>
      <c r="J45" s="3">
        <v>29.85</v>
      </c>
      <c r="K45" s="3">
        <v>61.6</v>
      </c>
      <c r="L45" s="3" t="e">
        <v>#N/A</v>
      </c>
      <c r="M45" s="3">
        <v>27.65</v>
      </c>
      <c r="N45" s="3">
        <v>58.13</v>
      </c>
      <c r="O45" s="5" t="e">
        <v>#N/A</v>
      </c>
      <c r="P45" s="52" t="e">
        <v>#N/A</v>
      </c>
      <c r="Q45" s="52" t="e">
        <v>#N/A</v>
      </c>
      <c r="R45" s="52" t="e">
        <v>#N/A</v>
      </c>
      <c r="S45" s="52" t="e">
        <v>#N/A</v>
      </c>
      <c r="T45" s="52" t="e">
        <v>#N/A</v>
      </c>
      <c r="U45" s="52" t="e">
        <v>#N/A</v>
      </c>
      <c r="V45" s="52" t="e">
        <v>#N/A</v>
      </c>
      <c r="W45" s="52" t="e">
        <v>#N/A</v>
      </c>
      <c r="X45" s="3">
        <v>7885.7275034965287</v>
      </c>
      <c r="Y45" s="3">
        <v>4504.17</v>
      </c>
      <c r="Z45" s="3">
        <v>5948.33</v>
      </c>
      <c r="AA45" s="4" t="e">
        <v>#N/A</v>
      </c>
      <c r="AB45" s="4" t="e">
        <v>#N/A</v>
      </c>
      <c r="AC45" s="5" t="e">
        <v>#N/A</v>
      </c>
      <c r="AD45" s="5" t="e">
        <v>#N/A</v>
      </c>
      <c r="AE45" s="34">
        <v>71.505216498019692</v>
      </c>
      <c r="AF45" s="28" t="e">
        <v>#N/A</v>
      </c>
      <c r="AG45" s="28" t="e">
        <v>#N/A</v>
      </c>
      <c r="AH45" s="28" t="e">
        <v>#N/A</v>
      </c>
      <c r="AI45" s="28" t="e">
        <v>#N/A</v>
      </c>
      <c r="AJ45" s="28" t="e">
        <v>#N/A</v>
      </c>
      <c r="AK45" s="28" t="e">
        <v>#N/A</v>
      </c>
      <c r="AL45" s="28" t="e">
        <v>#N/A</v>
      </c>
      <c r="AM45" s="28" t="e">
        <v>#N/A</v>
      </c>
      <c r="AN45" s="28" t="e">
        <v>#N/A</v>
      </c>
      <c r="AO45" s="28" t="e">
        <v>#N/A</v>
      </c>
      <c r="AP45" s="28" t="e">
        <v>#N/A</v>
      </c>
      <c r="AQ45" s="28" t="e">
        <v>#N/A</v>
      </c>
      <c r="AR45" s="28" t="e">
        <v>#N/A</v>
      </c>
      <c r="AS45" s="28" t="e">
        <v>#N/A</v>
      </c>
      <c r="AT45" s="28" t="e">
        <v>#N/A</v>
      </c>
      <c r="AU45" s="28" t="e">
        <v>#N/A</v>
      </c>
      <c r="AV45" s="28" t="e">
        <v>#N/A</v>
      </c>
      <c r="AW45" s="28" t="e">
        <v>#N/A</v>
      </c>
      <c r="AX45" s="28" t="e">
        <v>#N/A</v>
      </c>
      <c r="AY45" s="28" t="e">
        <v>#N/A</v>
      </c>
      <c r="AZ45" s="28" t="e">
        <v>#N/A</v>
      </c>
      <c r="BA45" s="3">
        <v>3036.66</v>
      </c>
      <c r="BB45">
        <f>IF(ISNUMBER(VLOOKUP($B45,CEIC_DATA!$I$26:$N$353,Haver_M!BB$2,FALSE)),VLOOKUP($B45,CEIC_DATA!$I$26:$N$353,Haver_M!BB$2,FALSE),NA())</f>
        <v>89.244445049999996</v>
      </c>
      <c r="BC45" t="e">
        <f>IF(ISNUMBER(VLOOKUP($B45,CEIC_DATA!$I$26:$N$353,Haver_M!BC$2,FALSE)),VLOOKUP($B45,CEIC_DATA!$I$26:$N$353,Haver_M!BC$2,FALSE),NA())</f>
        <v>#N/A</v>
      </c>
      <c r="BD45" t="e">
        <f>IF(ISNUMBER(VLOOKUP($B45,CEIC_DATA!$I$26:$N$353,Haver_M!BD$2,FALSE)),VLOOKUP($B45,CEIC_DATA!$I$26:$N$353,Haver_M!BD$2,FALSE),NA())</f>
        <v>#N/A</v>
      </c>
      <c r="BE45" t="e">
        <f>IF(ISNUMBER(VLOOKUP($B45,CEIC_DATA!$I$26:$N$353,Haver_M!BE$2,FALSE)),VLOOKUP($B45,CEIC_DATA!$I$26:$N$353,Haver_M!BE$2,FALSE),NA())</f>
        <v>#N/A</v>
      </c>
      <c r="BF45">
        <v>398252</v>
      </c>
      <c r="BG45">
        <v>12352</v>
      </c>
      <c r="BH45">
        <v>491583</v>
      </c>
      <c r="BI45">
        <v>63803</v>
      </c>
      <c r="BJ45" s="3" t="e">
        <v>#N/A</v>
      </c>
      <c r="BK45" s="3" t="e">
        <v>#N/A</v>
      </c>
      <c r="BL45" s="3" t="e">
        <v>#N/A</v>
      </c>
      <c r="BM45" s="3" t="e">
        <v>#N/A</v>
      </c>
      <c r="BN45" s="3">
        <v>4314</v>
      </c>
      <c r="BO45" s="3">
        <v>5764</v>
      </c>
      <c r="BP45" s="28">
        <v>47.375799999999998</v>
      </c>
      <c r="BQ45" s="28" t="str">
        <f t="shared" si="1"/>
        <v/>
      </c>
      <c r="BR45" s="28" t="str">
        <f t="shared" si="2"/>
        <v/>
      </c>
      <c r="BS45" s="28" t="str">
        <f t="shared" si="3"/>
        <v/>
      </c>
      <c r="BT45" s="28" t="str">
        <f t="shared" si="4"/>
        <v/>
      </c>
      <c r="BU45" s="4">
        <v>41335</v>
      </c>
    </row>
    <row r="46" spans="1:73" x14ac:dyDescent="0.25">
      <c r="A46" t="s">
        <v>45</v>
      </c>
      <c r="B46" s="2">
        <v>37772</v>
      </c>
      <c r="C46" s="3">
        <v>7</v>
      </c>
      <c r="D46" s="28">
        <v>5.8479000000000001</v>
      </c>
      <c r="E46" s="34">
        <v>93.918599999999998</v>
      </c>
      <c r="F46" s="5">
        <v>53.1</v>
      </c>
      <c r="G46" s="5" t="e">
        <v>#N/A</v>
      </c>
      <c r="H46" s="3">
        <v>52.17</v>
      </c>
      <c r="I46" s="3">
        <v>61.4</v>
      </c>
      <c r="J46" s="3">
        <v>30.23</v>
      </c>
      <c r="K46" s="3">
        <v>59.73</v>
      </c>
      <c r="L46" s="3" t="e">
        <v>#N/A</v>
      </c>
      <c r="M46" s="3">
        <v>28.19</v>
      </c>
      <c r="N46" s="3">
        <v>60.42</v>
      </c>
      <c r="O46" s="5" t="e">
        <v>#N/A</v>
      </c>
      <c r="P46" s="52" t="e">
        <v>#N/A</v>
      </c>
      <c r="Q46" s="52" t="e">
        <v>#N/A</v>
      </c>
      <c r="R46" s="52" t="e">
        <v>#N/A</v>
      </c>
      <c r="S46" s="52" t="e">
        <v>#N/A</v>
      </c>
      <c r="T46" s="52" t="e">
        <v>#N/A</v>
      </c>
      <c r="U46" s="52" t="e">
        <v>#N/A</v>
      </c>
      <c r="V46" s="52" t="e">
        <v>#N/A</v>
      </c>
      <c r="W46" s="52" t="e">
        <v>#N/A</v>
      </c>
      <c r="X46" s="3">
        <v>8397.473302702303</v>
      </c>
      <c r="Y46" s="3">
        <v>4714.99</v>
      </c>
      <c r="Z46" s="3">
        <v>5753.22</v>
      </c>
      <c r="AA46" s="4" t="e">
        <v>#N/A</v>
      </c>
      <c r="AB46" s="4" t="e">
        <v>#N/A</v>
      </c>
      <c r="AC46" s="5" t="e">
        <v>#N/A</v>
      </c>
      <c r="AD46" s="5" t="e">
        <v>#N/A</v>
      </c>
      <c r="AE46" s="34">
        <v>65.926208301729147</v>
      </c>
      <c r="AF46" s="28" t="e">
        <v>#N/A</v>
      </c>
      <c r="AG46" s="28" t="e">
        <v>#N/A</v>
      </c>
      <c r="AH46" s="28" t="e">
        <v>#N/A</v>
      </c>
      <c r="AI46" s="28" t="e">
        <v>#N/A</v>
      </c>
      <c r="AJ46" s="28" t="e">
        <v>#N/A</v>
      </c>
      <c r="AK46" s="28" t="e">
        <v>#N/A</v>
      </c>
      <c r="AL46" s="28" t="e">
        <v>#N/A</v>
      </c>
      <c r="AM46" s="28" t="e">
        <v>#N/A</v>
      </c>
      <c r="AN46" s="28" t="e">
        <v>#N/A</v>
      </c>
      <c r="AO46" s="28" t="e">
        <v>#N/A</v>
      </c>
      <c r="AP46" s="28" t="e">
        <v>#N/A</v>
      </c>
      <c r="AQ46" s="28" t="e">
        <v>#N/A</v>
      </c>
      <c r="AR46" s="28" t="e">
        <v>#N/A</v>
      </c>
      <c r="AS46" s="28" t="e">
        <v>#N/A</v>
      </c>
      <c r="AT46" s="28" t="e">
        <v>#N/A</v>
      </c>
      <c r="AU46" s="28" t="e">
        <v>#N/A</v>
      </c>
      <c r="AV46" s="28" t="e">
        <v>#N/A</v>
      </c>
      <c r="AW46" s="28" t="e">
        <v>#N/A</v>
      </c>
      <c r="AX46" s="28" t="e">
        <v>#N/A</v>
      </c>
      <c r="AY46" s="28" t="e">
        <v>#N/A</v>
      </c>
      <c r="AZ46" s="28" t="e">
        <v>#N/A</v>
      </c>
      <c r="BA46" s="3">
        <v>3033.47</v>
      </c>
      <c r="BB46">
        <f>IF(ISNUMBER(VLOOKUP($B46,CEIC_DATA!$I$26:$N$353,Haver_M!BB$2,FALSE)),VLOOKUP($B46,CEIC_DATA!$I$26:$N$353,Haver_M!BB$2,FALSE),NA())</f>
        <v>90.780844549999998</v>
      </c>
      <c r="BC46" t="e">
        <f>IF(ISNUMBER(VLOOKUP($B46,CEIC_DATA!$I$26:$N$353,Haver_M!BC$2,FALSE)),VLOOKUP($B46,CEIC_DATA!$I$26:$N$353,Haver_M!BC$2,FALSE),NA())</f>
        <v>#N/A</v>
      </c>
      <c r="BD46" t="e">
        <f>IF(ISNUMBER(VLOOKUP($B46,CEIC_DATA!$I$26:$N$353,Haver_M!BD$2,FALSE)),VLOOKUP($B46,CEIC_DATA!$I$26:$N$353,Haver_M!BD$2,FALSE),NA())</f>
        <v>#N/A</v>
      </c>
      <c r="BE46" t="e">
        <f>IF(ISNUMBER(VLOOKUP($B46,CEIC_DATA!$I$26:$N$353,Haver_M!BE$2,FALSE)),VLOOKUP($B46,CEIC_DATA!$I$26:$N$353,Haver_M!BE$2,FALSE),NA())</f>
        <v>#N/A</v>
      </c>
      <c r="BF46">
        <v>461935</v>
      </c>
      <c r="BG46">
        <v>17499</v>
      </c>
      <c r="BH46">
        <v>582204</v>
      </c>
      <c r="BI46">
        <v>78647</v>
      </c>
      <c r="BJ46" s="3" t="e">
        <v>#N/A</v>
      </c>
      <c r="BK46" s="3" t="e">
        <v>#N/A</v>
      </c>
      <c r="BL46" s="3" t="e">
        <v>#N/A</v>
      </c>
      <c r="BM46" s="3" t="e">
        <v>#N/A</v>
      </c>
      <c r="BN46" s="3">
        <v>4696</v>
      </c>
      <c r="BO46" s="3">
        <v>6175</v>
      </c>
      <c r="BP46" s="28">
        <v>47.081600000000002</v>
      </c>
      <c r="BQ46" s="28" t="str">
        <f t="shared" si="1"/>
        <v/>
      </c>
      <c r="BR46" s="28" t="str">
        <f t="shared" si="2"/>
        <v/>
      </c>
      <c r="BS46" s="28" t="str">
        <f t="shared" si="3"/>
        <v/>
      </c>
      <c r="BT46" s="28" t="str">
        <f t="shared" si="4"/>
        <v/>
      </c>
      <c r="BU46" s="4">
        <v>39809</v>
      </c>
    </row>
    <row r="47" spans="1:73" x14ac:dyDescent="0.25">
      <c r="A47" t="s">
        <v>46</v>
      </c>
      <c r="B47" s="2">
        <v>37802</v>
      </c>
      <c r="C47" s="3">
        <v>7</v>
      </c>
      <c r="D47" s="28">
        <v>5.7328999999999999</v>
      </c>
      <c r="E47" s="34">
        <v>94.330770000000001</v>
      </c>
      <c r="F47" s="5">
        <v>53.2</v>
      </c>
      <c r="G47" s="5" t="e">
        <v>#N/A</v>
      </c>
      <c r="H47" s="3">
        <v>52.37</v>
      </c>
      <c r="I47" s="3">
        <v>61.95</v>
      </c>
      <c r="J47" s="3">
        <v>30.71</v>
      </c>
      <c r="K47" s="3">
        <v>63.7</v>
      </c>
      <c r="L47" s="3" t="e">
        <v>#N/A</v>
      </c>
      <c r="M47" s="3">
        <v>27.25</v>
      </c>
      <c r="N47" s="3">
        <v>58.42</v>
      </c>
      <c r="O47" s="5" t="e">
        <v>#N/A</v>
      </c>
      <c r="P47" s="52" t="e">
        <v>#N/A</v>
      </c>
      <c r="Q47" s="52" t="e">
        <v>#N/A</v>
      </c>
      <c r="R47" s="52" t="e">
        <v>#N/A</v>
      </c>
      <c r="S47" s="52" t="e">
        <v>#N/A</v>
      </c>
      <c r="T47" s="52" t="e">
        <v>#N/A</v>
      </c>
      <c r="U47" s="52" t="e">
        <v>#N/A</v>
      </c>
      <c r="V47" s="52" t="e">
        <v>#N/A</v>
      </c>
      <c r="W47" s="52" t="e">
        <v>#N/A</v>
      </c>
      <c r="X47" s="3">
        <v>9179.1744625048577</v>
      </c>
      <c r="Y47" s="3">
        <v>4559.68</v>
      </c>
      <c r="Z47" s="3">
        <v>5959.57</v>
      </c>
      <c r="AA47" s="4" t="e">
        <v>#N/A</v>
      </c>
      <c r="AB47" s="4" t="e">
        <v>#N/A</v>
      </c>
      <c r="AC47" s="5" t="e">
        <v>#N/A</v>
      </c>
      <c r="AD47" s="5" t="e">
        <v>#N/A</v>
      </c>
      <c r="AE47" s="34">
        <v>62.271238960905031</v>
      </c>
      <c r="AF47" s="28" t="e">
        <v>#N/A</v>
      </c>
      <c r="AG47" s="28" t="e">
        <v>#N/A</v>
      </c>
      <c r="AH47" s="28" t="e">
        <v>#N/A</v>
      </c>
      <c r="AI47" s="28" t="e">
        <v>#N/A</v>
      </c>
      <c r="AJ47" s="28" t="e">
        <v>#N/A</v>
      </c>
      <c r="AK47" s="28" t="e">
        <v>#N/A</v>
      </c>
      <c r="AL47" s="28" t="e">
        <v>#N/A</v>
      </c>
      <c r="AM47" s="28" t="e">
        <v>#N/A</v>
      </c>
      <c r="AN47" s="28" t="e">
        <v>#N/A</v>
      </c>
      <c r="AO47" s="28" t="e">
        <v>#N/A</v>
      </c>
      <c r="AP47" s="28" t="e">
        <v>#N/A</v>
      </c>
      <c r="AQ47" s="28" t="e">
        <v>#N/A</v>
      </c>
      <c r="AR47" s="28" t="e">
        <v>#N/A</v>
      </c>
      <c r="AS47" s="28" t="e">
        <v>#N/A</v>
      </c>
      <c r="AT47" s="28" t="e">
        <v>#N/A</v>
      </c>
      <c r="AU47" s="28" t="e">
        <v>#N/A</v>
      </c>
      <c r="AV47" s="28" t="e">
        <v>#N/A</v>
      </c>
      <c r="AW47" s="28" t="e">
        <v>#N/A</v>
      </c>
      <c r="AX47" s="28" t="e">
        <v>#N/A</v>
      </c>
      <c r="AY47" s="28" t="e">
        <v>#N/A</v>
      </c>
      <c r="AZ47" s="28" t="e">
        <v>#N/A</v>
      </c>
      <c r="BA47" s="3">
        <v>3386.89</v>
      </c>
      <c r="BB47">
        <f>IF(ISNUMBER(VLOOKUP($B47,CEIC_DATA!$I$26:$N$353,Haver_M!BB$2,FALSE)),VLOOKUP($B47,CEIC_DATA!$I$26:$N$353,Haver_M!BB$2,FALSE),NA())</f>
        <v>92.21391758</v>
      </c>
      <c r="BC47">
        <f>IF(ISNUMBER(VLOOKUP($B47,CEIC_DATA!$I$26:$N$353,Haver_M!BC$2,FALSE)),VLOOKUP($B47,CEIC_DATA!$I$26:$N$353,Haver_M!BC$2,FALSE),NA())</f>
        <v>109.8</v>
      </c>
      <c r="BD47">
        <f>IF(ISNUMBER(VLOOKUP($B47,CEIC_DATA!$I$26:$N$353,Haver_M!BD$2,FALSE)),VLOOKUP($B47,CEIC_DATA!$I$26:$N$353,Haver_M!BD$2,FALSE),NA())</f>
        <v>117.8</v>
      </c>
      <c r="BE47">
        <f>IF(ISNUMBER(VLOOKUP($B47,CEIC_DATA!$I$26:$N$353,Haver_M!BE$2,FALSE)),VLOOKUP($B47,CEIC_DATA!$I$26:$N$353,Haver_M!BE$2,FALSE),NA())</f>
        <v>36</v>
      </c>
      <c r="BF47">
        <v>442216</v>
      </c>
      <c r="BG47">
        <v>19360</v>
      </c>
      <c r="BH47">
        <v>566221</v>
      </c>
      <c r="BI47">
        <v>78936</v>
      </c>
      <c r="BJ47" s="3" t="e">
        <v>#N/A</v>
      </c>
      <c r="BK47" s="3" t="e">
        <v>#N/A</v>
      </c>
      <c r="BL47" s="3" t="e">
        <v>#N/A</v>
      </c>
      <c r="BM47" s="3" t="e">
        <v>#N/A</v>
      </c>
      <c r="BN47" s="3">
        <v>4398</v>
      </c>
      <c r="BO47" s="3">
        <v>5727</v>
      </c>
      <c r="BP47" s="28">
        <v>46.709800000000001</v>
      </c>
      <c r="BQ47" s="28" t="str">
        <f t="shared" si="1"/>
        <v/>
      </c>
      <c r="BR47" s="28" t="str">
        <f t="shared" si="2"/>
        <v/>
      </c>
      <c r="BS47" s="28" t="str">
        <f t="shared" si="3"/>
        <v/>
      </c>
      <c r="BT47" s="28" t="str">
        <f t="shared" si="4"/>
        <v/>
      </c>
      <c r="BU47" s="4">
        <v>35171</v>
      </c>
    </row>
    <row r="48" spans="1:73" x14ac:dyDescent="0.25">
      <c r="A48" t="s">
        <v>47</v>
      </c>
      <c r="B48" s="2">
        <v>37833</v>
      </c>
      <c r="C48" s="3">
        <v>7</v>
      </c>
      <c r="D48" s="28">
        <v>5.6205999999999996</v>
      </c>
      <c r="E48" s="34">
        <v>95.994450000000001</v>
      </c>
      <c r="F48" s="5">
        <v>53.7</v>
      </c>
      <c r="G48" s="5" t="e">
        <v>#N/A</v>
      </c>
      <c r="H48" s="3">
        <v>53.09</v>
      </c>
      <c r="I48" s="3">
        <v>61.9</v>
      </c>
      <c r="J48" s="3">
        <v>31.21</v>
      </c>
      <c r="K48" s="3">
        <v>64.89</v>
      </c>
      <c r="L48" s="3" t="e">
        <v>#N/A</v>
      </c>
      <c r="M48" s="3">
        <v>27.89</v>
      </c>
      <c r="N48" s="3">
        <v>58.68</v>
      </c>
      <c r="O48" s="5" t="e">
        <v>#N/A</v>
      </c>
      <c r="P48" s="52" t="e">
        <v>#N/A</v>
      </c>
      <c r="Q48" s="52" t="e">
        <v>#N/A</v>
      </c>
      <c r="R48" s="52" t="e">
        <v>#N/A</v>
      </c>
      <c r="S48" s="52" t="e">
        <v>#N/A</v>
      </c>
      <c r="T48" s="52" t="e">
        <v>#N/A</v>
      </c>
      <c r="U48" s="52" t="e">
        <v>#N/A</v>
      </c>
      <c r="V48" s="52" t="e">
        <v>#N/A</v>
      </c>
      <c r="W48" s="52" t="e">
        <v>#N/A</v>
      </c>
      <c r="X48" s="3">
        <v>9057.2668091084106</v>
      </c>
      <c r="Y48" s="3">
        <v>4776.09</v>
      </c>
      <c r="Z48" s="3">
        <v>5803.78</v>
      </c>
      <c r="AA48" s="4" t="e">
        <v>#N/A</v>
      </c>
      <c r="AB48" s="4" t="e">
        <v>#N/A</v>
      </c>
      <c r="AC48" s="5" t="e">
        <v>#N/A</v>
      </c>
      <c r="AD48" s="5" t="e">
        <v>#N/A</v>
      </c>
      <c r="AE48" s="34">
        <v>61.289395382999963</v>
      </c>
      <c r="AF48" s="28" t="e">
        <v>#N/A</v>
      </c>
      <c r="AG48" s="28" t="e">
        <v>#N/A</v>
      </c>
      <c r="AH48" s="28" t="e">
        <v>#N/A</v>
      </c>
      <c r="AI48" s="28" t="e">
        <v>#N/A</v>
      </c>
      <c r="AJ48" s="28" t="e">
        <v>#N/A</v>
      </c>
      <c r="AK48" s="28" t="e">
        <v>#N/A</v>
      </c>
      <c r="AL48" s="28" t="e">
        <v>#N/A</v>
      </c>
      <c r="AM48" s="28" t="e">
        <v>#N/A</v>
      </c>
      <c r="AN48" s="28" t="e">
        <v>#N/A</v>
      </c>
      <c r="AO48" s="28" t="e">
        <v>#N/A</v>
      </c>
      <c r="AP48" s="28" t="e">
        <v>#N/A</v>
      </c>
      <c r="AQ48" s="28" t="e">
        <v>#N/A</v>
      </c>
      <c r="AR48" s="28" t="e">
        <v>#N/A</v>
      </c>
      <c r="AS48" s="28" t="e">
        <v>#N/A</v>
      </c>
      <c r="AT48" s="28" t="e">
        <v>#N/A</v>
      </c>
      <c r="AU48" s="28" t="e">
        <v>#N/A</v>
      </c>
      <c r="AV48" s="28" t="e">
        <v>#N/A</v>
      </c>
      <c r="AW48" s="28" t="e">
        <v>#N/A</v>
      </c>
      <c r="AX48" s="28" t="e">
        <v>#N/A</v>
      </c>
      <c r="AY48" s="28" t="e">
        <v>#N/A</v>
      </c>
      <c r="AZ48" s="28" t="e">
        <v>#N/A</v>
      </c>
      <c r="BA48" s="3">
        <v>3665.46</v>
      </c>
      <c r="BB48">
        <f>IF(ISNUMBER(VLOOKUP($B48,CEIC_DATA!$I$26:$N$353,Haver_M!BB$2,FALSE)),VLOOKUP($B48,CEIC_DATA!$I$26:$N$353,Haver_M!BB$2,FALSE),NA())</f>
        <v>93.41699878</v>
      </c>
      <c r="BC48" t="e">
        <f>IF(ISNUMBER(VLOOKUP($B48,CEIC_DATA!$I$26:$N$353,Haver_M!BC$2,FALSE)),VLOOKUP($B48,CEIC_DATA!$I$26:$N$353,Haver_M!BC$2,FALSE),NA())</f>
        <v>#N/A</v>
      </c>
      <c r="BD48" t="e">
        <f>IF(ISNUMBER(VLOOKUP($B48,CEIC_DATA!$I$26:$N$353,Haver_M!BD$2,FALSE)),VLOOKUP($B48,CEIC_DATA!$I$26:$N$353,Haver_M!BD$2,FALSE),NA())</f>
        <v>#N/A</v>
      </c>
      <c r="BE48" t="e">
        <f>IF(ISNUMBER(VLOOKUP($B48,CEIC_DATA!$I$26:$N$353,Haver_M!BE$2,FALSE)),VLOOKUP($B48,CEIC_DATA!$I$26:$N$353,Haver_M!BE$2,FALSE),NA())</f>
        <v>#N/A</v>
      </c>
      <c r="BF48">
        <v>430975</v>
      </c>
      <c r="BG48">
        <v>20524</v>
      </c>
      <c r="BH48">
        <v>565071</v>
      </c>
      <c r="BI48">
        <v>85476</v>
      </c>
      <c r="BJ48" s="3" t="e">
        <v>#N/A</v>
      </c>
      <c r="BK48" s="3" t="e">
        <v>#N/A</v>
      </c>
      <c r="BL48" s="3" t="e">
        <v>#N/A</v>
      </c>
      <c r="BM48" s="3" t="e">
        <v>#N/A</v>
      </c>
      <c r="BN48" s="3">
        <v>4637</v>
      </c>
      <c r="BO48" s="3">
        <v>5784</v>
      </c>
      <c r="BP48" s="28">
        <v>46.23</v>
      </c>
      <c r="BQ48" s="28" t="str">
        <f t="shared" si="1"/>
        <v/>
      </c>
      <c r="BR48" s="28" t="str">
        <f t="shared" si="2"/>
        <v/>
      </c>
      <c r="BS48" s="28" t="str">
        <f t="shared" si="3"/>
        <v/>
      </c>
      <c r="BT48" s="28" t="str">
        <f t="shared" si="4"/>
        <v/>
      </c>
      <c r="BU48" s="4">
        <v>30539</v>
      </c>
    </row>
    <row r="49" spans="1:73" x14ac:dyDescent="0.25">
      <c r="A49" t="s">
        <v>48</v>
      </c>
      <c r="B49" s="2">
        <v>37864</v>
      </c>
      <c r="C49" s="3">
        <v>7</v>
      </c>
      <c r="D49" s="28">
        <v>5.2619999999999996</v>
      </c>
      <c r="E49" s="34">
        <v>97.386960000000002</v>
      </c>
      <c r="F49" s="5">
        <v>53.3</v>
      </c>
      <c r="G49" s="5" t="e">
        <v>#N/A</v>
      </c>
      <c r="H49" s="3">
        <v>53.38</v>
      </c>
      <c r="I49" s="3">
        <v>61.66</v>
      </c>
      <c r="J49" s="3">
        <v>31.67</v>
      </c>
      <c r="K49" s="3">
        <v>65.55</v>
      </c>
      <c r="L49" s="3" t="e">
        <v>#N/A</v>
      </c>
      <c r="M49" s="3">
        <v>28.1</v>
      </c>
      <c r="N49" s="3">
        <v>58.84</v>
      </c>
      <c r="O49" s="5" t="e">
        <v>#N/A</v>
      </c>
      <c r="P49" s="52" t="e">
        <v>#N/A</v>
      </c>
      <c r="Q49" s="52" t="e">
        <v>#N/A</v>
      </c>
      <c r="R49" s="52" t="e">
        <v>#N/A</v>
      </c>
      <c r="S49" s="52" t="e">
        <v>#N/A</v>
      </c>
      <c r="T49" s="52" t="e">
        <v>#N/A</v>
      </c>
      <c r="U49" s="52" t="e">
        <v>#N/A</v>
      </c>
      <c r="V49" s="52" t="e">
        <v>#N/A</v>
      </c>
      <c r="W49" s="52" t="e">
        <v>#N/A</v>
      </c>
      <c r="X49" s="3">
        <v>8847.8941633927243</v>
      </c>
      <c r="Y49" s="3">
        <v>4607.16</v>
      </c>
      <c r="Z49" s="3">
        <v>5842.26</v>
      </c>
      <c r="AA49" s="4" t="e">
        <v>#N/A</v>
      </c>
      <c r="AB49" s="4" t="e">
        <v>#N/A</v>
      </c>
      <c r="AC49" s="5" t="e">
        <v>#N/A</v>
      </c>
      <c r="AD49" s="5" t="e">
        <v>#N/A</v>
      </c>
      <c r="AE49" s="34">
        <v>60.104665909615086</v>
      </c>
      <c r="AF49" s="28" t="e">
        <v>#N/A</v>
      </c>
      <c r="AG49" s="28" t="e">
        <v>#N/A</v>
      </c>
      <c r="AH49" s="28" t="e">
        <v>#N/A</v>
      </c>
      <c r="AI49" s="28" t="e">
        <v>#N/A</v>
      </c>
      <c r="AJ49" s="28" t="e">
        <v>#N/A</v>
      </c>
      <c r="AK49" s="28" t="e">
        <v>#N/A</v>
      </c>
      <c r="AL49" s="28" t="e">
        <v>#N/A</v>
      </c>
      <c r="AM49" s="28" t="e">
        <v>#N/A</v>
      </c>
      <c r="AN49" s="28" t="e">
        <v>#N/A</v>
      </c>
      <c r="AO49" s="28" t="e">
        <v>#N/A</v>
      </c>
      <c r="AP49" s="28" t="e">
        <v>#N/A</v>
      </c>
      <c r="AQ49" s="28" t="e">
        <v>#N/A</v>
      </c>
      <c r="AR49" s="28" t="e">
        <v>#N/A</v>
      </c>
      <c r="AS49" s="28" t="e">
        <v>#N/A</v>
      </c>
      <c r="AT49" s="28" t="e">
        <v>#N/A</v>
      </c>
      <c r="AU49" s="28" t="e">
        <v>#N/A</v>
      </c>
      <c r="AV49" s="28" t="e">
        <v>#N/A</v>
      </c>
      <c r="AW49" s="28" t="e">
        <v>#N/A</v>
      </c>
      <c r="AX49" s="28" t="e">
        <v>#N/A</v>
      </c>
      <c r="AY49" s="28" t="e">
        <v>#N/A</v>
      </c>
      <c r="AZ49" s="28" t="e">
        <v>#N/A</v>
      </c>
      <c r="BA49" s="3">
        <v>3977.86</v>
      </c>
      <c r="BB49">
        <f>IF(ISNUMBER(VLOOKUP($B49,CEIC_DATA!$I$26:$N$353,Haver_M!BB$2,FALSE)),VLOOKUP($B49,CEIC_DATA!$I$26:$N$353,Haver_M!BB$2,FALSE),NA())</f>
        <v>94.701718299999996</v>
      </c>
      <c r="BC49" t="e">
        <f>IF(ISNUMBER(VLOOKUP($B49,CEIC_DATA!$I$26:$N$353,Haver_M!BC$2,FALSE)),VLOOKUP($B49,CEIC_DATA!$I$26:$N$353,Haver_M!BC$2,FALSE),NA())</f>
        <v>#N/A</v>
      </c>
      <c r="BD49" t="e">
        <f>IF(ISNUMBER(VLOOKUP($B49,CEIC_DATA!$I$26:$N$353,Haver_M!BD$2,FALSE)),VLOOKUP($B49,CEIC_DATA!$I$26:$N$353,Haver_M!BD$2,FALSE),NA())</f>
        <v>#N/A</v>
      </c>
      <c r="BE49" t="e">
        <f>IF(ISNUMBER(VLOOKUP($B49,CEIC_DATA!$I$26:$N$353,Haver_M!BE$2,FALSE)),VLOOKUP($B49,CEIC_DATA!$I$26:$N$353,Haver_M!BE$2,FALSE),NA())</f>
        <v>#N/A</v>
      </c>
      <c r="BF49">
        <v>436039</v>
      </c>
      <c r="BG49">
        <v>21232</v>
      </c>
      <c r="BH49">
        <v>564693</v>
      </c>
      <c r="BI49">
        <v>77487</v>
      </c>
      <c r="BJ49" s="3" t="e">
        <v>#N/A</v>
      </c>
      <c r="BK49" s="3" t="e">
        <v>#N/A</v>
      </c>
      <c r="BL49" s="3" t="e">
        <v>#N/A</v>
      </c>
      <c r="BM49" s="3" t="e">
        <v>#N/A</v>
      </c>
      <c r="BN49" s="3">
        <v>4516</v>
      </c>
      <c r="BO49" s="3">
        <v>5785</v>
      </c>
      <c r="BP49" s="28">
        <v>45.933</v>
      </c>
      <c r="BQ49" s="28" t="str">
        <f t="shared" si="1"/>
        <v/>
      </c>
      <c r="BR49" s="28" t="str">
        <f t="shared" si="2"/>
        <v/>
      </c>
      <c r="BS49" s="28" t="str">
        <f t="shared" si="3"/>
        <v/>
      </c>
      <c r="BT49" s="28" t="str">
        <f t="shared" si="4"/>
        <v/>
      </c>
      <c r="BU49" s="4">
        <v>27852</v>
      </c>
    </row>
    <row r="50" spans="1:73" x14ac:dyDescent="0.25">
      <c r="A50" t="s">
        <v>49</v>
      </c>
      <c r="B50" s="2">
        <v>37894</v>
      </c>
      <c r="C50" s="3">
        <v>7</v>
      </c>
      <c r="D50" s="28">
        <v>5.2588999999999997</v>
      </c>
      <c r="E50" s="34">
        <v>97.632419999999996</v>
      </c>
      <c r="F50" s="5">
        <v>53.4</v>
      </c>
      <c r="G50" s="5" t="e">
        <v>#N/A</v>
      </c>
      <c r="H50" s="3">
        <v>53.81</v>
      </c>
      <c r="I50" s="3">
        <v>62.76</v>
      </c>
      <c r="J50" s="3">
        <v>32.07</v>
      </c>
      <c r="K50" s="3">
        <v>66.05</v>
      </c>
      <c r="L50" s="3" t="e">
        <v>#N/A</v>
      </c>
      <c r="M50" s="3">
        <v>28.87</v>
      </c>
      <c r="N50" s="3">
        <v>58.92</v>
      </c>
      <c r="O50" s="5" t="e">
        <v>#N/A</v>
      </c>
      <c r="P50" s="52" t="e">
        <v>#N/A</v>
      </c>
      <c r="Q50" s="52" t="e">
        <v>#N/A</v>
      </c>
      <c r="R50" s="52" t="e">
        <v>#N/A</v>
      </c>
      <c r="S50" s="52" t="e">
        <v>#N/A</v>
      </c>
      <c r="T50" s="52" t="e">
        <v>#N/A</v>
      </c>
      <c r="U50" s="52" t="e">
        <v>#N/A</v>
      </c>
      <c r="V50" s="52" t="e">
        <v>#N/A</v>
      </c>
      <c r="W50" s="52" t="e">
        <v>#N/A</v>
      </c>
      <c r="X50" s="3">
        <v>8861.2182993209353</v>
      </c>
      <c r="Y50" s="3">
        <v>5340.46</v>
      </c>
      <c r="Z50" s="3">
        <v>6113.81</v>
      </c>
      <c r="AA50" s="4" t="e">
        <v>#N/A</v>
      </c>
      <c r="AB50" s="4" t="e">
        <v>#N/A</v>
      </c>
      <c r="AC50" s="5" t="e">
        <v>#N/A</v>
      </c>
      <c r="AD50" s="5" t="e">
        <v>#N/A</v>
      </c>
      <c r="AE50" s="34">
        <v>58.689297707860845</v>
      </c>
      <c r="AF50" s="28" t="e">
        <v>#N/A</v>
      </c>
      <c r="AG50" s="28" t="e">
        <v>#N/A</v>
      </c>
      <c r="AH50" s="28" t="e">
        <v>#N/A</v>
      </c>
      <c r="AI50" s="28" t="e">
        <v>#N/A</v>
      </c>
      <c r="AJ50" s="28" t="e">
        <v>#N/A</v>
      </c>
      <c r="AK50" s="28" t="e">
        <v>#N/A</v>
      </c>
      <c r="AL50" s="28" t="e">
        <v>#N/A</v>
      </c>
      <c r="AM50" s="28" t="e">
        <v>#N/A</v>
      </c>
      <c r="AN50" s="28" t="e">
        <v>#N/A</v>
      </c>
      <c r="AO50" s="28" t="e">
        <v>#N/A</v>
      </c>
      <c r="AP50" s="28" t="e">
        <v>#N/A</v>
      </c>
      <c r="AQ50" s="28" t="e">
        <v>#N/A</v>
      </c>
      <c r="AR50" s="28" t="e">
        <v>#N/A</v>
      </c>
      <c r="AS50" s="28" t="e">
        <v>#N/A</v>
      </c>
      <c r="AT50" s="28" t="e">
        <v>#N/A</v>
      </c>
      <c r="AU50" s="28" t="e">
        <v>#N/A</v>
      </c>
      <c r="AV50" s="28" t="e">
        <v>#N/A</v>
      </c>
      <c r="AW50" s="28" t="e">
        <v>#N/A</v>
      </c>
      <c r="AX50" s="28" t="e">
        <v>#N/A</v>
      </c>
      <c r="AY50" s="28" t="e">
        <v>#N/A</v>
      </c>
      <c r="AZ50" s="28" t="e">
        <v>#N/A</v>
      </c>
      <c r="BA50" s="3">
        <v>4314.74</v>
      </c>
      <c r="BB50">
        <f>IF(ISNUMBER(VLOOKUP($B50,CEIC_DATA!$I$26:$N$353,Haver_M!BB$2,FALSE)),VLOOKUP($B50,CEIC_DATA!$I$26:$N$353,Haver_M!BB$2,FALSE),NA())</f>
        <v>96.500147279999993</v>
      </c>
      <c r="BC50">
        <f>IF(ISNUMBER(VLOOKUP($B50,CEIC_DATA!$I$26:$N$353,Haver_M!BC$2,FALSE)),VLOOKUP($B50,CEIC_DATA!$I$26:$N$353,Haver_M!BC$2,FALSE),NA())</f>
        <v>114.3</v>
      </c>
      <c r="BD50">
        <f>IF(ISNUMBER(VLOOKUP($B50,CEIC_DATA!$I$26:$N$353,Haver_M!BD$2,FALSE)),VLOOKUP($B50,CEIC_DATA!$I$26:$N$353,Haver_M!BD$2,FALSE),NA())</f>
        <v>117.2</v>
      </c>
      <c r="BE50">
        <f>IF(ISNUMBER(VLOOKUP($B50,CEIC_DATA!$I$26:$N$353,Haver_M!BE$2,FALSE)),VLOOKUP($B50,CEIC_DATA!$I$26:$N$353,Haver_M!BE$2,FALSE),NA())</f>
        <v>36.200000000000003</v>
      </c>
      <c r="BF50">
        <v>501715</v>
      </c>
      <c r="BG50">
        <v>25094</v>
      </c>
      <c r="BH50">
        <v>643498</v>
      </c>
      <c r="BI50">
        <v>84352</v>
      </c>
      <c r="BJ50" s="3" t="e">
        <v>#N/A</v>
      </c>
      <c r="BK50" s="3" t="e">
        <v>#N/A</v>
      </c>
      <c r="BL50" s="3" t="e">
        <v>#N/A</v>
      </c>
      <c r="BM50" s="3" t="e">
        <v>#N/A</v>
      </c>
      <c r="BN50" s="3">
        <v>5481</v>
      </c>
      <c r="BO50" s="3">
        <v>6305</v>
      </c>
      <c r="BP50" s="28">
        <v>45.847099999999998</v>
      </c>
      <c r="BQ50" s="28" t="str">
        <f t="shared" si="1"/>
        <v/>
      </c>
      <c r="BR50" s="28" t="str">
        <f t="shared" si="2"/>
        <v/>
      </c>
      <c r="BS50" s="28" t="str">
        <f t="shared" si="3"/>
        <v/>
      </c>
      <c r="BT50" s="28" t="str">
        <f t="shared" si="4"/>
        <v/>
      </c>
      <c r="BU50" s="4">
        <v>23679</v>
      </c>
    </row>
    <row r="51" spans="1:73" x14ac:dyDescent="0.25">
      <c r="A51" t="s">
        <v>50</v>
      </c>
      <c r="B51" s="2">
        <v>37925</v>
      </c>
      <c r="C51" s="3">
        <v>7</v>
      </c>
      <c r="D51" s="28">
        <v>5.1052</v>
      </c>
      <c r="E51" s="34">
        <v>96.711749999999995</v>
      </c>
      <c r="F51" s="5">
        <v>53.8</v>
      </c>
      <c r="G51" s="5" t="e">
        <v>#N/A</v>
      </c>
      <c r="H51" s="3">
        <v>53.96</v>
      </c>
      <c r="I51" s="3">
        <v>62.44</v>
      </c>
      <c r="J51" s="3">
        <v>32.21</v>
      </c>
      <c r="K51" s="3">
        <v>66.47</v>
      </c>
      <c r="L51" s="3" t="e">
        <v>#N/A</v>
      </c>
      <c r="M51" s="3">
        <v>30.53</v>
      </c>
      <c r="N51" s="3">
        <v>59.47</v>
      </c>
      <c r="O51" s="5" t="e">
        <v>#N/A</v>
      </c>
      <c r="P51" s="52" t="e">
        <v>#N/A</v>
      </c>
      <c r="Q51" s="52" t="e">
        <v>#N/A</v>
      </c>
      <c r="R51" s="52" t="e">
        <v>#N/A</v>
      </c>
      <c r="S51" s="52" t="e">
        <v>#N/A</v>
      </c>
      <c r="T51" s="52" t="e">
        <v>#N/A</v>
      </c>
      <c r="U51" s="52" t="e">
        <v>#N/A</v>
      </c>
      <c r="V51" s="52" t="e">
        <v>#N/A</v>
      </c>
      <c r="W51" s="52" t="e">
        <v>#N/A</v>
      </c>
      <c r="X51" s="3">
        <v>9060.9274774067781</v>
      </c>
      <c r="Y51" s="3">
        <v>5569.87</v>
      </c>
      <c r="Z51" s="3">
        <v>6779.16</v>
      </c>
      <c r="AA51" s="4" t="e">
        <v>#N/A</v>
      </c>
      <c r="AB51" s="4" t="e">
        <v>#N/A</v>
      </c>
      <c r="AC51" s="5" t="e">
        <v>#N/A</v>
      </c>
      <c r="AD51" s="5" t="e">
        <v>#N/A</v>
      </c>
      <c r="AE51" s="34">
        <v>54.107665971337717</v>
      </c>
      <c r="AF51" s="28" t="e">
        <v>#N/A</v>
      </c>
      <c r="AG51" s="28" t="e">
        <v>#N/A</v>
      </c>
      <c r="AH51" s="28" t="e">
        <v>#N/A</v>
      </c>
      <c r="AI51" s="28" t="e">
        <v>#N/A</v>
      </c>
      <c r="AJ51" s="28" t="e">
        <v>#N/A</v>
      </c>
      <c r="AK51" s="28" t="e">
        <v>#N/A</v>
      </c>
      <c r="AL51" s="28" t="e">
        <v>#N/A</v>
      </c>
      <c r="AM51" s="28" t="e">
        <v>#N/A</v>
      </c>
      <c r="AN51" s="28" t="e">
        <v>#N/A</v>
      </c>
      <c r="AO51" s="28" t="e">
        <v>#N/A</v>
      </c>
      <c r="AP51" s="28" t="e">
        <v>#N/A</v>
      </c>
      <c r="AQ51" s="28" t="e">
        <v>#N/A</v>
      </c>
      <c r="AR51" s="28" t="e">
        <v>#N/A</v>
      </c>
      <c r="AS51" s="28" t="e">
        <v>#N/A</v>
      </c>
      <c r="AT51" s="28" t="e">
        <v>#N/A</v>
      </c>
      <c r="AU51" s="28" t="e">
        <v>#N/A</v>
      </c>
      <c r="AV51" s="28" t="e">
        <v>#N/A</v>
      </c>
      <c r="AW51" s="28" t="e">
        <v>#N/A</v>
      </c>
      <c r="AX51" s="28" t="e">
        <v>#N/A</v>
      </c>
      <c r="AY51" s="28" t="e">
        <v>#N/A</v>
      </c>
      <c r="AZ51" s="28" t="e">
        <v>#N/A</v>
      </c>
      <c r="BA51" s="3">
        <v>4739.6000000000004</v>
      </c>
      <c r="BB51">
        <f>IF(ISNUMBER(VLOOKUP($B51,CEIC_DATA!$I$26:$N$353,Haver_M!BB$2,FALSE)),VLOOKUP($B51,CEIC_DATA!$I$26:$N$353,Haver_M!BB$2,FALSE),NA())</f>
        <v>98.858886659999996</v>
      </c>
      <c r="BC51" t="e">
        <f>IF(ISNUMBER(VLOOKUP($B51,CEIC_DATA!$I$26:$N$353,Haver_M!BC$2,FALSE)),VLOOKUP($B51,CEIC_DATA!$I$26:$N$353,Haver_M!BC$2,FALSE),NA())</f>
        <v>#N/A</v>
      </c>
      <c r="BD51" t="e">
        <f>IF(ISNUMBER(VLOOKUP($B51,CEIC_DATA!$I$26:$N$353,Haver_M!BD$2,FALSE)),VLOOKUP($B51,CEIC_DATA!$I$26:$N$353,Haver_M!BD$2,FALSE),NA())</f>
        <v>#N/A</v>
      </c>
      <c r="BE51" t="e">
        <f>IF(ISNUMBER(VLOOKUP($B51,CEIC_DATA!$I$26:$N$353,Haver_M!BE$2,FALSE)),VLOOKUP($B51,CEIC_DATA!$I$26:$N$353,Haver_M!BE$2,FALSE),NA())</f>
        <v>#N/A</v>
      </c>
      <c r="BF51">
        <v>569293</v>
      </c>
      <c r="BG51">
        <v>23466</v>
      </c>
      <c r="BH51">
        <v>708647</v>
      </c>
      <c r="BI51">
        <v>83932</v>
      </c>
      <c r="BJ51" s="3" t="e">
        <v>#N/A</v>
      </c>
      <c r="BK51" s="3" t="e">
        <v>#N/A</v>
      </c>
      <c r="BL51" s="3" t="e">
        <v>#N/A</v>
      </c>
      <c r="BM51" s="3" t="e">
        <v>#N/A</v>
      </c>
      <c r="BN51" s="3">
        <v>5609</v>
      </c>
      <c r="BO51" s="3">
        <v>7019</v>
      </c>
      <c r="BP51" s="28">
        <v>45.387300000000003</v>
      </c>
      <c r="BQ51" s="28" t="str">
        <f t="shared" si="1"/>
        <v/>
      </c>
      <c r="BR51" s="28" t="str">
        <f t="shared" si="2"/>
        <v/>
      </c>
      <c r="BS51" s="28" t="str">
        <f t="shared" si="3"/>
        <v/>
      </c>
      <c r="BT51" s="28" t="str">
        <f t="shared" si="4"/>
        <v/>
      </c>
      <c r="BU51" s="4">
        <v>22085</v>
      </c>
    </row>
    <row r="52" spans="1:73" x14ac:dyDescent="0.25">
      <c r="A52" t="s">
        <v>51</v>
      </c>
      <c r="B52" s="2">
        <v>37955</v>
      </c>
      <c r="C52" s="3">
        <v>7</v>
      </c>
      <c r="D52" s="28">
        <v>5.1433</v>
      </c>
      <c r="E52" s="34">
        <v>96.645030000000006</v>
      </c>
      <c r="F52" s="5">
        <v>53.9</v>
      </c>
      <c r="G52" s="5" t="e">
        <v>#N/A</v>
      </c>
      <c r="H52" s="3">
        <v>54.42</v>
      </c>
      <c r="I52" s="3">
        <v>62.83</v>
      </c>
      <c r="J52" s="3">
        <v>33.22</v>
      </c>
      <c r="K52" s="3">
        <v>66.819999999999993</v>
      </c>
      <c r="L52" s="3" t="e">
        <v>#N/A</v>
      </c>
      <c r="M52" s="3">
        <v>30.28</v>
      </c>
      <c r="N52" s="3">
        <v>58.07</v>
      </c>
      <c r="O52" s="5" t="e">
        <v>#N/A</v>
      </c>
      <c r="P52" s="52" t="e">
        <v>#N/A</v>
      </c>
      <c r="Q52" s="52" t="e">
        <v>#N/A</v>
      </c>
      <c r="R52" s="52" t="e">
        <v>#N/A</v>
      </c>
      <c r="S52" s="52" t="e">
        <v>#N/A</v>
      </c>
      <c r="T52" s="52" t="e">
        <v>#N/A</v>
      </c>
      <c r="U52" s="52" t="e">
        <v>#N/A</v>
      </c>
      <c r="V52" s="52" t="e">
        <v>#N/A</v>
      </c>
      <c r="W52" s="52" t="e">
        <v>#N/A</v>
      </c>
      <c r="X52" s="3">
        <v>9343.0269185130164</v>
      </c>
      <c r="Y52" s="3">
        <v>5275.41</v>
      </c>
      <c r="Z52" s="3">
        <v>6672.85</v>
      </c>
      <c r="AA52" s="4" t="e">
        <v>#N/A</v>
      </c>
      <c r="AB52" s="4" t="e">
        <v>#N/A</v>
      </c>
      <c r="AC52" s="5" t="e">
        <v>#N/A</v>
      </c>
      <c r="AD52" s="5" t="e">
        <v>#N/A</v>
      </c>
      <c r="AE52" s="34">
        <v>44.181879201210862</v>
      </c>
      <c r="AF52" s="28" t="e">
        <v>#N/A</v>
      </c>
      <c r="AG52" s="28" t="e">
        <v>#N/A</v>
      </c>
      <c r="AH52" s="28" t="e">
        <v>#N/A</v>
      </c>
      <c r="AI52" s="28" t="e">
        <v>#N/A</v>
      </c>
      <c r="AJ52" s="28" t="e">
        <v>#N/A</v>
      </c>
      <c r="AK52" s="28" t="e">
        <v>#N/A</v>
      </c>
      <c r="AL52" s="28" t="e">
        <v>#N/A</v>
      </c>
      <c r="AM52" s="28" t="e">
        <v>#N/A</v>
      </c>
      <c r="AN52" s="28" t="e">
        <v>#N/A</v>
      </c>
      <c r="AO52" s="28" t="e">
        <v>#N/A</v>
      </c>
      <c r="AP52" s="28" t="e">
        <v>#N/A</v>
      </c>
      <c r="AQ52" s="28" t="e">
        <v>#N/A</v>
      </c>
      <c r="AR52" s="28" t="e">
        <v>#N/A</v>
      </c>
      <c r="AS52" s="28" t="e">
        <v>#N/A</v>
      </c>
      <c r="AT52" s="28" t="e">
        <v>#N/A</v>
      </c>
      <c r="AU52" s="28" t="e">
        <v>#N/A</v>
      </c>
      <c r="AV52" s="28" t="e">
        <v>#N/A</v>
      </c>
      <c r="AW52" s="28" t="e">
        <v>#N/A</v>
      </c>
      <c r="AX52" s="28" t="e">
        <v>#N/A</v>
      </c>
      <c r="AY52" s="28" t="e">
        <v>#N/A</v>
      </c>
      <c r="AZ52" s="28" t="e">
        <v>#N/A</v>
      </c>
      <c r="BA52" s="3">
        <v>4953.17</v>
      </c>
      <c r="BB52">
        <f>IF(ISNUMBER(VLOOKUP($B52,CEIC_DATA!$I$26:$N$353,Haver_M!BB$2,FALSE)),VLOOKUP($B52,CEIC_DATA!$I$26:$N$353,Haver_M!BB$2,FALSE),NA())</f>
        <v>101.46572715000001</v>
      </c>
      <c r="BC52" t="e">
        <f>IF(ISNUMBER(VLOOKUP($B52,CEIC_DATA!$I$26:$N$353,Haver_M!BC$2,FALSE)),VLOOKUP($B52,CEIC_DATA!$I$26:$N$353,Haver_M!BC$2,FALSE),NA())</f>
        <v>#N/A</v>
      </c>
      <c r="BD52" t="e">
        <f>IF(ISNUMBER(VLOOKUP($B52,CEIC_DATA!$I$26:$N$353,Haver_M!BD$2,FALSE)),VLOOKUP($B52,CEIC_DATA!$I$26:$N$353,Haver_M!BD$2,FALSE),NA())</f>
        <v>#N/A</v>
      </c>
      <c r="BE52" t="e">
        <f>IF(ISNUMBER(VLOOKUP($B52,CEIC_DATA!$I$26:$N$353,Haver_M!BE$2,FALSE)),VLOOKUP($B52,CEIC_DATA!$I$26:$N$353,Haver_M!BE$2,FALSE),NA())</f>
        <v>#N/A</v>
      </c>
      <c r="BF52">
        <v>500915</v>
      </c>
      <c r="BG52">
        <v>23380</v>
      </c>
      <c r="BH52">
        <v>640302</v>
      </c>
      <c r="BI52">
        <v>84458</v>
      </c>
      <c r="BJ52" s="3" t="e">
        <v>#N/A</v>
      </c>
      <c r="BK52" s="3" t="e">
        <v>#N/A</v>
      </c>
      <c r="BL52" s="3" t="e">
        <v>#N/A</v>
      </c>
      <c r="BM52" s="3" t="e">
        <v>#N/A</v>
      </c>
      <c r="BN52" s="3">
        <v>4902</v>
      </c>
      <c r="BO52" s="3">
        <v>6467</v>
      </c>
      <c r="BP52" s="28">
        <v>45.522100000000002</v>
      </c>
      <c r="BQ52" s="28" t="str">
        <f t="shared" si="1"/>
        <v/>
      </c>
      <c r="BR52" s="28" t="str">
        <f t="shared" si="2"/>
        <v/>
      </c>
      <c r="BS52" s="28" t="str">
        <f t="shared" si="3"/>
        <v/>
      </c>
      <c r="BT52" s="28" t="str">
        <f t="shared" si="4"/>
        <v/>
      </c>
      <c r="BU52" s="4">
        <v>25448</v>
      </c>
    </row>
    <row r="53" spans="1:73" x14ac:dyDescent="0.25">
      <c r="A53" t="s">
        <v>52</v>
      </c>
      <c r="B53" s="2">
        <v>37986</v>
      </c>
      <c r="C53" s="3">
        <v>7</v>
      </c>
      <c r="D53" s="28">
        <v>5.1368</v>
      </c>
      <c r="E53" s="34">
        <v>94.464619999999996</v>
      </c>
      <c r="F53" s="5">
        <v>53.8</v>
      </c>
      <c r="G53" s="5" t="e">
        <v>#N/A</v>
      </c>
      <c r="H53" s="3">
        <v>54.62</v>
      </c>
      <c r="I53" s="3">
        <v>63.24</v>
      </c>
      <c r="J53" s="3">
        <v>32.39</v>
      </c>
      <c r="K53" s="3">
        <v>67.72</v>
      </c>
      <c r="L53" s="3" t="e">
        <v>#N/A</v>
      </c>
      <c r="M53" s="3">
        <v>31.1</v>
      </c>
      <c r="N53" s="3">
        <v>58.57</v>
      </c>
      <c r="O53" s="5" t="e">
        <v>#N/A</v>
      </c>
      <c r="P53" s="52" t="e">
        <v>#N/A</v>
      </c>
      <c r="Q53" s="52" t="e">
        <v>#N/A</v>
      </c>
      <c r="R53" s="52" t="e">
        <v>#N/A</v>
      </c>
      <c r="S53" s="52" t="e">
        <v>#N/A</v>
      </c>
      <c r="T53" s="52" t="e">
        <v>#N/A</v>
      </c>
      <c r="U53" s="52" t="e">
        <v>#N/A</v>
      </c>
      <c r="V53" s="52" t="e">
        <v>#N/A</v>
      </c>
      <c r="W53" s="52" t="e">
        <v>#N/A</v>
      </c>
      <c r="X53" s="3">
        <v>9163.6903757437485</v>
      </c>
      <c r="Y53" s="3">
        <v>6345.71</v>
      </c>
      <c r="Z53" s="3">
        <v>7513.55</v>
      </c>
      <c r="AA53" s="4" t="e">
        <v>#N/A</v>
      </c>
      <c r="AB53" s="4" t="e">
        <v>#N/A</v>
      </c>
      <c r="AC53" s="5" t="e">
        <v>#N/A</v>
      </c>
      <c r="AD53" s="5" t="e">
        <v>#N/A</v>
      </c>
      <c r="AE53" s="34">
        <v>45.772674500736528</v>
      </c>
      <c r="AF53" s="28" t="e">
        <v>#N/A</v>
      </c>
      <c r="AG53" s="28" t="e">
        <v>#N/A</v>
      </c>
      <c r="AH53" s="28" t="e">
        <v>#N/A</v>
      </c>
      <c r="AI53" s="28" t="e">
        <v>#N/A</v>
      </c>
      <c r="AJ53" s="28" t="e">
        <v>#N/A</v>
      </c>
      <c r="AK53" s="28" t="e">
        <v>#N/A</v>
      </c>
      <c r="AL53" s="28" t="e">
        <v>#N/A</v>
      </c>
      <c r="AM53" s="28" t="e">
        <v>#N/A</v>
      </c>
      <c r="AN53" s="28" t="e">
        <v>#N/A</v>
      </c>
      <c r="AO53" s="28" t="e">
        <v>#N/A</v>
      </c>
      <c r="AP53" s="28" t="e">
        <v>#N/A</v>
      </c>
      <c r="AQ53" s="28" t="e">
        <v>#N/A</v>
      </c>
      <c r="AR53" s="28" t="e">
        <v>#N/A</v>
      </c>
      <c r="AS53" s="28" t="e">
        <v>#N/A</v>
      </c>
      <c r="AT53" s="28" t="e">
        <v>#N/A</v>
      </c>
      <c r="AU53" s="28" t="e">
        <v>#N/A</v>
      </c>
      <c r="AV53" s="28" t="e">
        <v>#N/A</v>
      </c>
      <c r="AW53" s="28" t="e">
        <v>#N/A</v>
      </c>
      <c r="AX53" s="28" t="e">
        <v>#N/A</v>
      </c>
      <c r="AY53" s="28" t="e">
        <v>#N/A</v>
      </c>
      <c r="AZ53" s="28" t="e">
        <v>#N/A</v>
      </c>
      <c r="BA53" s="3">
        <v>5424.67</v>
      </c>
      <c r="BB53">
        <f>IF(ISNUMBER(VLOOKUP($B53,CEIC_DATA!$I$26:$N$353,Haver_M!BB$2,FALSE)),VLOOKUP($B53,CEIC_DATA!$I$26:$N$353,Haver_M!BB$2,FALSE),NA())</f>
        <v>103.64245274</v>
      </c>
      <c r="BC53">
        <f>IF(ISNUMBER(VLOOKUP($B53,CEIC_DATA!$I$26:$N$353,Haver_M!BC$2,FALSE)),VLOOKUP($B53,CEIC_DATA!$I$26:$N$353,Haver_M!BC$2,FALSE),NA())</f>
        <v>119.8</v>
      </c>
      <c r="BD53">
        <f>IF(ISNUMBER(VLOOKUP($B53,CEIC_DATA!$I$26:$N$353,Haver_M!BD$2,FALSE)),VLOOKUP($B53,CEIC_DATA!$I$26:$N$353,Haver_M!BD$2,FALSE),NA())</f>
        <v>122.1</v>
      </c>
      <c r="BE53">
        <f>IF(ISNUMBER(VLOOKUP($B53,CEIC_DATA!$I$26:$N$353,Haver_M!BE$2,FALSE)),VLOOKUP($B53,CEIC_DATA!$I$26:$N$353,Haver_M!BE$2,FALSE),NA())</f>
        <v>45.8</v>
      </c>
      <c r="BF53">
        <v>414373</v>
      </c>
      <c r="BG53">
        <v>26391</v>
      </c>
      <c r="BH53">
        <v>552360</v>
      </c>
      <c r="BI53">
        <v>79918</v>
      </c>
      <c r="BJ53" s="3" t="e">
        <v>#N/A</v>
      </c>
      <c r="BK53" s="3" t="e">
        <v>#N/A</v>
      </c>
      <c r="BL53" s="3" t="e">
        <v>#N/A</v>
      </c>
      <c r="BM53" s="3" t="e">
        <v>#N/A</v>
      </c>
      <c r="BN53" s="3">
        <v>6120</v>
      </c>
      <c r="BO53" s="3">
        <v>7450</v>
      </c>
      <c r="BP53" s="28">
        <v>45.588000000000001</v>
      </c>
      <c r="BQ53" s="28" t="str">
        <f t="shared" si="1"/>
        <v/>
      </c>
      <c r="BR53" s="28" t="str">
        <f t="shared" si="2"/>
        <v/>
      </c>
      <c r="BS53" s="28" t="str">
        <f t="shared" si="3"/>
        <v/>
      </c>
      <c r="BT53" s="28" t="str">
        <f t="shared" si="4"/>
        <v/>
      </c>
      <c r="BU53" s="4">
        <v>25016</v>
      </c>
    </row>
    <row r="54" spans="1:73" x14ac:dyDescent="0.25">
      <c r="A54" t="s">
        <v>53</v>
      </c>
      <c r="B54" s="2">
        <v>38017</v>
      </c>
      <c r="C54" s="3">
        <v>7</v>
      </c>
      <c r="D54" s="28">
        <v>5.1910999999999996</v>
      </c>
      <c r="E54" s="34">
        <v>93.667019999999994</v>
      </c>
      <c r="F54" s="5">
        <v>53.9</v>
      </c>
      <c r="G54" s="5" t="e">
        <v>#N/A</v>
      </c>
      <c r="H54" s="3">
        <v>55.51</v>
      </c>
      <c r="I54" s="3">
        <v>64.39</v>
      </c>
      <c r="J54" s="3">
        <v>34.729999999999997</v>
      </c>
      <c r="K54" s="3">
        <v>67.459999999999994</v>
      </c>
      <c r="L54" s="3" t="e">
        <v>#N/A</v>
      </c>
      <c r="M54" s="3">
        <v>31.7</v>
      </c>
      <c r="N54" s="3">
        <v>59.19</v>
      </c>
      <c r="O54" s="5" t="e">
        <v>#N/A</v>
      </c>
      <c r="P54" s="52" t="e">
        <v>#N/A</v>
      </c>
      <c r="Q54" s="52" t="e">
        <v>#N/A</v>
      </c>
      <c r="R54" s="52" t="e">
        <v>#N/A</v>
      </c>
      <c r="S54" s="52" t="e">
        <v>#N/A</v>
      </c>
      <c r="T54" s="52" t="e">
        <v>#N/A</v>
      </c>
      <c r="U54" s="52" t="e">
        <v>#N/A</v>
      </c>
      <c r="V54" s="52" t="e">
        <v>#N/A</v>
      </c>
      <c r="W54" s="52" t="e">
        <v>#N/A</v>
      </c>
      <c r="X54" s="3">
        <v>9128.2736488326882</v>
      </c>
      <c r="Y54" s="3">
        <v>5093.1099999999997</v>
      </c>
      <c r="Z54" s="3">
        <v>6848.76</v>
      </c>
      <c r="AA54" s="4" t="e">
        <v>#N/A</v>
      </c>
      <c r="AB54" s="4" t="e">
        <v>#N/A</v>
      </c>
      <c r="AC54" s="5" t="e">
        <v>#N/A</v>
      </c>
      <c r="AD54" s="5" t="e">
        <v>#N/A</v>
      </c>
      <c r="AE54" s="34">
        <v>79.399169243017525</v>
      </c>
      <c r="AF54" s="28" t="e">
        <v>#N/A</v>
      </c>
      <c r="AG54" s="28" t="e">
        <v>#N/A</v>
      </c>
      <c r="AH54" s="28" t="e">
        <v>#N/A</v>
      </c>
      <c r="AI54" s="28" t="e">
        <v>#N/A</v>
      </c>
      <c r="AJ54" s="28" t="e">
        <v>#N/A</v>
      </c>
      <c r="AK54" s="28" t="e">
        <v>#N/A</v>
      </c>
      <c r="AL54" s="28" t="e">
        <v>#N/A</v>
      </c>
      <c r="AM54" s="28" t="e">
        <v>#N/A</v>
      </c>
      <c r="AN54" s="28" t="e">
        <v>#N/A</v>
      </c>
      <c r="AO54" s="28" t="e">
        <v>#N/A</v>
      </c>
      <c r="AP54" s="28" t="e">
        <v>#N/A</v>
      </c>
      <c r="AQ54" s="28" t="e">
        <v>#N/A</v>
      </c>
      <c r="AR54" s="28" t="e">
        <v>#N/A</v>
      </c>
      <c r="AS54" s="28" t="e">
        <v>#N/A</v>
      </c>
      <c r="AT54" s="28" t="e">
        <v>#N/A</v>
      </c>
      <c r="AU54" s="28" t="e">
        <v>#N/A</v>
      </c>
      <c r="AV54" s="28" t="e">
        <v>#N/A</v>
      </c>
      <c r="AW54" s="28" t="e">
        <v>#N/A</v>
      </c>
      <c r="AX54" s="28" t="e">
        <v>#N/A</v>
      </c>
      <c r="AY54" s="28" t="e">
        <v>#N/A</v>
      </c>
      <c r="AZ54" s="28" t="e">
        <v>#N/A</v>
      </c>
      <c r="BA54" s="3">
        <v>5954.15</v>
      </c>
      <c r="BB54">
        <f>IF(ISNUMBER(VLOOKUP($B54,CEIC_DATA!$I$26:$N$353,Haver_M!BB$2,FALSE)),VLOOKUP($B54,CEIC_DATA!$I$26:$N$353,Haver_M!BB$2,FALSE),NA())</f>
        <v>104.77712440000001</v>
      </c>
      <c r="BC54" t="e">
        <f>IF(ISNUMBER(VLOOKUP($B54,CEIC_DATA!$I$26:$N$353,Haver_M!BC$2,FALSE)),VLOOKUP($B54,CEIC_DATA!$I$26:$N$353,Haver_M!BC$2,FALSE),NA())</f>
        <v>#N/A</v>
      </c>
      <c r="BD54" t="e">
        <f>IF(ISNUMBER(VLOOKUP($B54,CEIC_DATA!$I$26:$N$353,Haver_M!BD$2,FALSE)),VLOOKUP($B54,CEIC_DATA!$I$26:$N$353,Haver_M!BD$2,FALSE),NA())</f>
        <v>#N/A</v>
      </c>
      <c r="BE54" t="e">
        <f>IF(ISNUMBER(VLOOKUP($B54,CEIC_DATA!$I$26:$N$353,Haver_M!BE$2,FALSE)),VLOOKUP($B54,CEIC_DATA!$I$26:$N$353,Haver_M!BE$2,FALSE),NA())</f>
        <v>#N/A</v>
      </c>
      <c r="BF54">
        <v>479912</v>
      </c>
      <c r="BG54">
        <v>26780</v>
      </c>
      <c r="BH54">
        <v>643233</v>
      </c>
      <c r="BI54">
        <v>105380</v>
      </c>
      <c r="BJ54" s="3" t="e">
        <v>#N/A</v>
      </c>
      <c r="BK54" s="3" t="e">
        <v>#N/A</v>
      </c>
      <c r="BL54" s="3" t="e">
        <v>#N/A</v>
      </c>
      <c r="BM54" s="3" t="e">
        <v>#N/A</v>
      </c>
      <c r="BN54" s="3">
        <v>5216</v>
      </c>
      <c r="BO54" s="3">
        <v>6898</v>
      </c>
      <c r="BP54" s="28">
        <v>45.4557</v>
      </c>
      <c r="BQ54" s="28" t="str">
        <f t="shared" si="1"/>
        <v/>
      </c>
      <c r="BR54" s="28" t="str">
        <f t="shared" si="2"/>
        <v/>
      </c>
      <c r="BS54" s="28" t="str">
        <f t="shared" si="3"/>
        <v/>
      </c>
      <c r="BT54" s="28" t="str">
        <f t="shared" si="4"/>
        <v/>
      </c>
      <c r="BU54" s="4">
        <v>24013</v>
      </c>
    </row>
    <row r="55" spans="1:73" x14ac:dyDescent="0.25">
      <c r="A55" t="s">
        <v>54</v>
      </c>
      <c r="B55" s="2">
        <v>38046</v>
      </c>
      <c r="C55" s="3">
        <v>7</v>
      </c>
      <c r="D55" s="28">
        <v>5.2702999999999998</v>
      </c>
      <c r="E55" s="34">
        <v>93.990690000000001</v>
      </c>
      <c r="F55" s="5">
        <v>53.9</v>
      </c>
      <c r="G55" s="5" t="e">
        <v>#N/A</v>
      </c>
      <c r="H55" s="3">
        <v>54.79</v>
      </c>
      <c r="I55" s="3">
        <v>64.290000000000006</v>
      </c>
      <c r="J55" s="3">
        <v>35.56</v>
      </c>
      <c r="K55" s="3">
        <v>65.41</v>
      </c>
      <c r="L55" s="3" t="e">
        <v>#N/A</v>
      </c>
      <c r="M55" s="3">
        <v>31.21</v>
      </c>
      <c r="N55" s="3">
        <v>59.3</v>
      </c>
      <c r="O55" s="5" t="e">
        <v>#N/A</v>
      </c>
      <c r="P55" s="52" t="e">
        <v>#N/A</v>
      </c>
      <c r="Q55" s="52" t="e">
        <v>#N/A</v>
      </c>
      <c r="R55" s="52" t="e">
        <v>#N/A</v>
      </c>
      <c r="S55" s="52" t="e">
        <v>#N/A</v>
      </c>
      <c r="T55" s="52" t="e">
        <v>#N/A</v>
      </c>
      <c r="U55" s="52" t="e">
        <v>#N/A</v>
      </c>
      <c r="V55" s="52" t="e">
        <v>#N/A</v>
      </c>
      <c r="W55" s="52" t="e">
        <v>#N/A</v>
      </c>
      <c r="X55" s="3">
        <v>9390.3593877995136</v>
      </c>
      <c r="Y55" s="3">
        <v>6313.42</v>
      </c>
      <c r="Z55" s="3">
        <v>7624.55</v>
      </c>
      <c r="AA55" s="4" t="e">
        <v>#N/A</v>
      </c>
      <c r="AB55" s="4" t="e">
        <v>#N/A</v>
      </c>
      <c r="AC55" s="5" t="e">
        <v>#N/A</v>
      </c>
      <c r="AD55" s="5" t="e">
        <v>#N/A</v>
      </c>
      <c r="AE55" s="34">
        <v>77.542298186698375</v>
      </c>
      <c r="AF55" s="28" t="e">
        <v>#N/A</v>
      </c>
      <c r="AG55" s="28" t="e">
        <v>#N/A</v>
      </c>
      <c r="AH55" s="28" t="e">
        <v>#N/A</v>
      </c>
      <c r="AI55" s="28" t="e">
        <v>#N/A</v>
      </c>
      <c r="AJ55" s="28" t="e">
        <v>#N/A</v>
      </c>
      <c r="AK55" s="28" t="e">
        <v>#N/A</v>
      </c>
      <c r="AL55" s="28" t="e">
        <v>#N/A</v>
      </c>
      <c r="AM55" s="28" t="e">
        <v>#N/A</v>
      </c>
      <c r="AN55" s="28" t="e">
        <v>#N/A</v>
      </c>
      <c r="AO55" s="28" t="e">
        <v>#N/A</v>
      </c>
      <c r="AP55" s="28" t="e">
        <v>#N/A</v>
      </c>
      <c r="AQ55" s="28" t="e">
        <v>#N/A</v>
      </c>
      <c r="AR55" s="28" t="e">
        <v>#N/A</v>
      </c>
      <c r="AS55" s="28" t="e">
        <v>#N/A</v>
      </c>
      <c r="AT55" s="28" t="e">
        <v>#N/A</v>
      </c>
      <c r="AU55" s="28" t="e">
        <v>#N/A</v>
      </c>
      <c r="AV55" s="28" t="e">
        <v>#N/A</v>
      </c>
      <c r="AW55" s="28" t="e">
        <v>#N/A</v>
      </c>
      <c r="AX55" s="28" t="e">
        <v>#N/A</v>
      </c>
      <c r="AY55" s="28" t="e">
        <v>#N/A</v>
      </c>
      <c r="AZ55" s="28" t="e">
        <v>#N/A</v>
      </c>
      <c r="BA55" s="3">
        <v>5826.74</v>
      </c>
      <c r="BB55">
        <f>IF(ISNUMBER(VLOOKUP($B55,CEIC_DATA!$I$26:$N$353,Haver_M!BB$2,FALSE)),VLOOKUP($B55,CEIC_DATA!$I$26:$N$353,Haver_M!BB$2,FALSE),NA())</f>
        <v>104.57005502</v>
      </c>
      <c r="BC55" t="e">
        <f>IF(ISNUMBER(VLOOKUP($B55,CEIC_DATA!$I$26:$N$353,Haver_M!BC$2,FALSE)),VLOOKUP($B55,CEIC_DATA!$I$26:$N$353,Haver_M!BC$2,FALSE),NA())</f>
        <v>#N/A</v>
      </c>
      <c r="BD55" t="e">
        <f>IF(ISNUMBER(VLOOKUP($B55,CEIC_DATA!$I$26:$N$353,Haver_M!BD$2,FALSE)),VLOOKUP($B55,CEIC_DATA!$I$26:$N$353,Haver_M!BD$2,FALSE),NA())</f>
        <v>#N/A</v>
      </c>
      <c r="BE55" t="e">
        <f>IF(ISNUMBER(VLOOKUP($B55,CEIC_DATA!$I$26:$N$353,Haver_M!BE$2,FALSE)),VLOOKUP($B55,CEIC_DATA!$I$26:$N$353,Haver_M!BE$2,FALSE),NA())</f>
        <v>#N/A</v>
      </c>
      <c r="BF55">
        <v>487704</v>
      </c>
      <c r="BG55">
        <v>27867</v>
      </c>
      <c r="BH55">
        <v>640899</v>
      </c>
      <c r="BI55">
        <v>93894</v>
      </c>
      <c r="BJ55" s="3" t="e">
        <v>#N/A</v>
      </c>
      <c r="BK55" s="3" t="e">
        <v>#N/A</v>
      </c>
      <c r="BL55" s="3" t="e">
        <v>#N/A</v>
      </c>
      <c r="BM55" s="3" t="e">
        <v>#N/A</v>
      </c>
      <c r="BN55" s="3">
        <v>6227</v>
      </c>
      <c r="BO55" s="3">
        <v>6844</v>
      </c>
      <c r="BP55" s="28">
        <v>45.270299999999999</v>
      </c>
      <c r="BQ55" s="28" t="str">
        <f t="shared" si="1"/>
        <v/>
      </c>
      <c r="BR55" s="28" t="str">
        <f t="shared" si="2"/>
        <v/>
      </c>
      <c r="BS55" s="28" t="str">
        <f t="shared" si="3"/>
        <v/>
      </c>
      <c r="BT55" s="28" t="str">
        <f t="shared" si="4"/>
        <v/>
      </c>
      <c r="BU55" s="4">
        <v>22782</v>
      </c>
    </row>
    <row r="56" spans="1:73" x14ac:dyDescent="0.25">
      <c r="A56" t="s">
        <v>55</v>
      </c>
      <c r="B56" s="2">
        <v>38077</v>
      </c>
      <c r="C56" s="3">
        <v>6</v>
      </c>
      <c r="D56" s="28">
        <v>5.1542000000000003</v>
      </c>
      <c r="E56" s="34">
        <v>95.012879999999996</v>
      </c>
      <c r="F56" s="5">
        <v>54</v>
      </c>
      <c r="G56" s="5" t="e">
        <v>#N/A</v>
      </c>
      <c r="H56" s="3">
        <v>55.09</v>
      </c>
      <c r="I56" s="3">
        <v>63.75</v>
      </c>
      <c r="J56" s="3">
        <v>36.36</v>
      </c>
      <c r="K56" s="3">
        <v>66.209999999999994</v>
      </c>
      <c r="L56" s="3" t="e">
        <v>#N/A</v>
      </c>
      <c r="M56" s="3">
        <v>31.37</v>
      </c>
      <c r="N56" s="3">
        <v>59.67</v>
      </c>
      <c r="O56" s="5" t="e">
        <v>#N/A</v>
      </c>
      <c r="P56" s="52" t="e">
        <v>#N/A</v>
      </c>
      <c r="Q56" s="52" t="e">
        <v>#N/A</v>
      </c>
      <c r="R56" s="52" t="e">
        <v>#N/A</v>
      </c>
      <c r="S56" s="52" t="e">
        <v>#N/A</v>
      </c>
      <c r="T56" s="52" t="e">
        <v>#N/A</v>
      </c>
      <c r="U56" s="52" t="e">
        <v>#N/A</v>
      </c>
      <c r="V56" s="52" t="e">
        <v>#N/A</v>
      </c>
      <c r="W56" s="52" t="e">
        <v>#N/A</v>
      </c>
      <c r="X56" s="3">
        <v>9375.2287988199023</v>
      </c>
      <c r="Y56" s="3">
        <v>6560.68</v>
      </c>
      <c r="Z56" s="3">
        <v>7564.6</v>
      </c>
      <c r="AA56" s="4" t="e">
        <v>#N/A</v>
      </c>
      <c r="AB56" s="4" t="e">
        <v>#N/A</v>
      </c>
      <c r="AC56" s="5" t="e">
        <v>#N/A</v>
      </c>
      <c r="AD56" s="5" t="e">
        <v>#N/A</v>
      </c>
      <c r="AE56" s="34">
        <v>27.892833839731807</v>
      </c>
      <c r="AF56" s="28" t="e">
        <v>#N/A</v>
      </c>
      <c r="AG56" s="28" t="e">
        <v>#N/A</v>
      </c>
      <c r="AH56" s="28" t="e">
        <v>#N/A</v>
      </c>
      <c r="AI56" s="28" t="e">
        <v>#N/A</v>
      </c>
      <c r="AJ56" s="28" t="e">
        <v>#N/A</v>
      </c>
      <c r="AK56" s="28" t="e">
        <v>#N/A</v>
      </c>
      <c r="AL56" s="28" t="e">
        <v>#N/A</v>
      </c>
      <c r="AM56" s="28" t="e">
        <v>#N/A</v>
      </c>
      <c r="AN56" s="28" t="e">
        <v>#N/A</v>
      </c>
      <c r="AO56" s="28" t="e">
        <v>#N/A</v>
      </c>
      <c r="AP56" s="28" t="e">
        <v>#N/A</v>
      </c>
      <c r="AQ56" s="28" t="e">
        <v>#N/A</v>
      </c>
      <c r="AR56" s="28" t="e">
        <v>#N/A</v>
      </c>
      <c r="AS56" s="28" t="e">
        <v>#N/A</v>
      </c>
      <c r="AT56" s="28" t="e">
        <v>#N/A</v>
      </c>
      <c r="AU56" s="28" t="e">
        <v>#N/A</v>
      </c>
      <c r="AV56" s="28" t="e">
        <v>#N/A</v>
      </c>
      <c r="AW56" s="28" t="e">
        <v>#N/A</v>
      </c>
      <c r="AX56" s="28" t="e">
        <v>#N/A</v>
      </c>
      <c r="AY56" s="28" t="e">
        <v>#N/A</v>
      </c>
      <c r="AZ56" s="28" t="e">
        <v>#N/A</v>
      </c>
      <c r="BA56" s="3">
        <v>5612.92</v>
      </c>
      <c r="BB56">
        <f>IF(ISNUMBER(VLOOKUP($B56,CEIC_DATA!$I$26:$N$353,Haver_M!BB$2,FALSE)),VLOOKUP($B56,CEIC_DATA!$I$26:$N$353,Haver_M!BB$2,FALSE),NA())</f>
        <v>103.01401706</v>
      </c>
      <c r="BC56">
        <f>IF(ISNUMBER(VLOOKUP($B56,CEIC_DATA!$I$26:$N$353,Haver_M!BC$2,FALSE)),VLOOKUP($B56,CEIC_DATA!$I$26:$N$353,Haver_M!BC$2,FALSE),NA())</f>
        <v>121.4</v>
      </c>
      <c r="BD56">
        <f>IF(ISNUMBER(VLOOKUP($B56,CEIC_DATA!$I$26:$N$353,Haver_M!BD$2,FALSE)),VLOOKUP($B56,CEIC_DATA!$I$26:$N$353,Haver_M!BD$2,FALSE),NA())</f>
        <v>122.2</v>
      </c>
      <c r="BE56">
        <f>IF(ISNUMBER(VLOOKUP($B56,CEIC_DATA!$I$26:$N$353,Haver_M!BE$2,FALSE)),VLOOKUP($B56,CEIC_DATA!$I$26:$N$353,Haver_M!BE$2,FALSE),NA())</f>
        <v>49</v>
      </c>
      <c r="BF56">
        <v>505972</v>
      </c>
      <c r="BG56">
        <v>33606</v>
      </c>
      <c r="BH56">
        <v>687884</v>
      </c>
      <c r="BI56">
        <v>115133</v>
      </c>
      <c r="BJ56" s="3" t="e">
        <v>#N/A</v>
      </c>
      <c r="BK56" s="3" t="e">
        <v>#N/A</v>
      </c>
      <c r="BL56" s="3" t="e">
        <v>#N/A</v>
      </c>
      <c r="BM56" s="3" t="e">
        <v>#N/A</v>
      </c>
      <c r="BN56" s="3">
        <v>7863</v>
      </c>
      <c r="BO56" s="3">
        <v>8034</v>
      </c>
      <c r="BP56" s="28">
        <v>45.017899999999997</v>
      </c>
      <c r="BQ56" s="28" t="str">
        <f t="shared" si="1"/>
        <v/>
      </c>
      <c r="BR56" s="28" t="str">
        <f t="shared" si="2"/>
        <v/>
      </c>
      <c r="BS56" s="28" t="str">
        <f t="shared" si="3"/>
        <v/>
      </c>
      <c r="BT56" s="28" t="str">
        <f t="shared" si="4"/>
        <v/>
      </c>
      <c r="BU56" s="4">
        <v>20647</v>
      </c>
    </row>
    <row r="57" spans="1:73" x14ac:dyDescent="0.25">
      <c r="A57" t="s">
        <v>56</v>
      </c>
      <c r="B57" s="2">
        <v>38107</v>
      </c>
      <c r="C57" s="3">
        <v>6</v>
      </c>
      <c r="D57" s="28">
        <v>5.1460999999999997</v>
      </c>
      <c r="E57" s="34">
        <v>98.133070000000004</v>
      </c>
      <c r="F57" s="5">
        <v>54.2</v>
      </c>
      <c r="G57" s="5" t="e">
        <v>#N/A</v>
      </c>
      <c r="H57" s="3">
        <v>57.6</v>
      </c>
      <c r="I57" s="3">
        <v>64.209999999999994</v>
      </c>
      <c r="J57" s="3">
        <v>36.119999999999997</v>
      </c>
      <c r="K57" s="3">
        <v>72.62</v>
      </c>
      <c r="L57" s="3" t="e">
        <v>#N/A</v>
      </c>
      <c r="M57" s="3">
        <v>31.79</v>
      </c>
      <c r="N57" s="3">
        <v>61.9</v>
      </c>
      <c r="O57" s="5">
        <v>68.400000000000006</v>
      </c>
      <c r="P57" s="52">
        <v>69.960999999999999</v>
      </c>
      <c r="Q57" s="52">
        <v>88.808000000000007</v>
      </c>
      <c r="R57" s="52">
        <v>67.34</v>
      </c>
      <c r="S57" s="52">
        <v>77.878</v>
      </c>
      <c r="T57" s="52">
        <v>94.878</v>
      </c>
      <c r="U57" s="52">
        <v>53.828000000000003</v>
      </c>
      <c r="V57" s="52">
        <v>54.691000000000003</v>
      </c>
      <c r="W57" s="52">
        <v>66.227999999999994</v>
      </c>
      <c r="X57" s="3">
        <v>9389.9488744995197</v>
      </c>
      <c r="Y57" s="3">
        <v>5912.58</v>
      </c>
      <c r="Z57" s="3">
        <v>7229.86</v>
      </c>
      <c r="AA57" s="4" t="e">
        <v>#N/A</v>
      </c>
      <c r="AB57" s="4" t="e">
        <v>#N/A</v>
      </c>
      <c r="AC57" s="5" t="e">
        <v>#N/A</v>
      </c>
      <c r="AD57" s="5" t="e">
        <v>#N/A</v>
      </c>
      <c r="AE57" s="34">
        <v>63.386355997559171</v>
      </c>
      <c r="AF57" s="28" t="e">
        <v>#N/A</v>
      </c>
      <c r="AG57" s="28" t="e">
        <v>#N/A</v>
      </c>
      <c r="AH57" s="28" t="e">
        <v>#N/A</v>
      </c>
      <c r="AI57" s="28" t="e">
        <v>#N/A</v>
      </c>
      <c r="AJ57" s="28" t="e">
        <v>#N/A</v>
      </c>
      <c r="AK57" s="28" t="e">
        <v>#N/A</v>
      </c>
      <c r="AL57" s="28" t="e">
        <v>#N/A</v>
      </c>
      <c r="AM57" s="28" t="e">
        <v>#N/A</v>
      </c>
      <c r="AN57" s="28" t="e">
        <v>#N/A</v>
      </c>
      <c r="AO57" s="28" t="e">
        <v>#N/A</v>
      </c>
      <c r="AP57" s="28" t="e">
        <v>#N/A</v>
      </c>
      <c r="AQ57" s="28" t="e">
        <v>#N/A</v>
      </c>
      <c r="AR57" s="28" t="e">
        <v>#N/A</v>
      </c>
      <c r="AS57" s="28" t="e">
        <v>#N/A</v>
      </c>
      <c r="AT57" s="28" t="e">
        <v>#N/A</v>
      </c>
      <c r="AU57" s="28" t="e">
        <v>#N/A</v>
      </c>
      <c r="AV57" s="28" t="e">
        <v>#N/A</v>
      </c>
      <c r="AW57" s="28" t="e">
        <v>#N/A</v>
      </c>
      <c r="AX57" s="28" t="e">
        <v>#N/A</v>
      </c>
      <c r="AY57" s="28" t="e">
        <v>#N/A</v>
      </c>
      <c r="AZ57" s="28" t="e">
        <v>#N/A</v>
      </c>
      <c r="BA57" s="3">
        <v>5806.24</v>
      </c>
      <c r="BB57">
        <f>IF(ISNUMBER(VLOOKUP($B57,CEIC_DATA!$I$26:$N$353,Haver_M!BB$2,FALSE)),VLOOKUP($B57,CEIC_DATA!$I$26:$N$353,Haver_M!BB$2,FALSE),NA())</f>
        <v>100.49399226</v>
      </c>
      <c r="BC57" t="e">
        <f>IF(ISNUMBER(VLOOKUP($B57,CEIC_DATA!$I$26:$N$353,Haver_M!BC$2,FALSE)),VLOOKUP($B57,CEIC_DATA!$I$26:$N$353,Haver_M!BC$2,FALSE),NA())</f>
        <v>#N/A</v>
      </c>
      <c r="BD57" t="e">
        <f>IF(ISNUMBER(VLOOKUP($B57,CEIC_DATA!$I$26:$N$353,Haver_M!BD$2,FALSE)),VLOOKUP($B57,CEIC_DATA!$I$26:$N$353,Haver_M!BD$2,FALSE),NA())</f>
        <v>#N/A</v>
      </c>
      <c r="BE57" t="e">
        <f>IF(ISNUMBER(VLOOKUP($B57,CEIC_DATA!$I$26:$N$353,Haver_M!BE$2,FALSE)),VLOOKUP($B57,CEIC_DATA!$I$26:$N$353,Haver_M!BE$2,FALSE),NA())</f>
        <v>#N/A</v>
      </c>
      <c r="BF57">
        <v>467834</v>
      </c>
      <c r="BG57">
        <v>21055</v>
      </c>
      <c r="BH57">
        <v>597610</v>
      </c>
      <c r="BI57">
        <v>82999</v>
      </c>
      <c r="BJ57" s="3" t="e">
        <v>#N/A</v>
      </c>
      <c r="BK57" s="3" t="e">
        <v>#N/A</v>
      </c>
      <c r="BL57" s="3" t="e">
        <v>#N/A</v>
      </c>
      <c r="BM57" s="3" t="e">
        <v>#N/A</v>
      </c>
      <c r="BN57" s="3">
        <v>5643</v>
      </c>
      <c r="BO57" s="3">
        <v>6987</v>
      </c>
      <c r="BP57" s="28">
        <v>43.931100000000001</v>
      </c>
      <c r="BQ57" s="28" t="str">
        <f t="shared" si="1"/>
        <v/>
      </c>
      <c r="BR57" s="28" t="str">
        <f t="shared" si="2"/>
        <v/>
      </c>
      <c r="BS57" s="28" t="str">
        <f t="shared" si="3"/>
        <v/>
      </c>
      <c r="BT57" s="28" t="str">
        <f t="shared" si="4"/>
        <v/>
      </c>
      <c r="BU57" s="4">
        <v>32389</v>
      </c>
    </row>
    <row r="58" spans="1:73" x14ac:dyDescent="0.25">
      <c r="A58" t="s">
        <v>57</v>
      </c>
      <c r="B58" s="2">
        <v>38138</v>
      </c>
      <c r="C58" s="3">
        <v>6</v>
      </c>
      <c r="D58" s="28">
        <v>5.3015999999999996</v>
      </c>
      <c r="E58" s="34">
        <v>96.010570000000001</v>
      </c>
      <c r="F58" s="5">
        <v>54.6</v>
      </c>
      <c r="G58" s="5" t="e">
        <v>#N/A</v>
      </c>
      <c r="H58" s="3">
        <v>57.31</v>
      </c>
      <c r="I58" s="3">
        <v>63.23</v>
      </c>
      <c r="J58" s="3">
        <v>37.35</v>
      </c>
      <c r="K58" s="3">
        <v>70.5</v>
      </c>
      <c r="L58" s="3" t="e">
        <v>#N/A</v>
      </c>
      <c r="M58" s="3">
        <v>32.03</v>
      </c>
      <c r="N58" s="3">
        <v>62.47</v>
      </c>
      <c r="O58" s="5">
        <v>67.8</v>
      </c>
      <c r="P58" s="52">
        <v>66.488</v>
      </c>
      <c r="Q58" s="52">
        <v>89.064999999999998</v>
      </c>
      <c r="R58" s="52">
        <v>65.87</v>
      </c>
      <c r="S58" s="52">
        <v>78.308000000000007</v>
      </c>
      <c r="T58" s="52">
        <v>94.387</v>
      </c>
      <c r="U58" s="52">
        <v>57.314</v>
      </c>
      <c r="V58" s="52">
        <v>53.905000000000001</v>
      </c>
      <c r="W58" s="52">
        <v>63.201999999999998</v>
      </c>
      <c r="X58" s="3">
        <v>9210.2180766253896</v>
      </c>
      <c r="Y58" s="3">
        <v>5963.27</v>
      </c>
      <c r="Z58" s="3">
        <v>7471.15</v>
      </c>
      <c r="AA58" s="4" t="e">
        <v>#N/A</v>
      </c>
      <c r="AB58" s="4" t="e">
        <v>#N/A</v>
      </c>
      <c r="AC58" s="5" t="e">
        <v>#N/A</v>
      </c>
      <c r="AD58" s="5" t="e">
        <v>#N/A</v>
      </c>
      <c r="AE58" s="34">
        <v>237.18243142091501</v>
      </c>
      <c r="AF58" s="28" t="e">
        <v>#N/A</v>
      </c>
      <c r="AG58" s="28" t="e">
        <v>#N/A</v>
      </c>
      <c r="AH58" s="28" t="e">
        <v>#N/A</v>
      </c>
      <c r="AI58" s="28" t="e">
        <v>#N/A</v>
      </c>
      <c r="AJ58" s="28" t="e">
        <v>#N/A</v>
      </c>
      <c r="AK58" s="28" t="e">
        <v>#N/A</v>
      </c>
      <c r="AL58" s="28" t="e">
        <v>#N/A</v>
      </c>
      <c r="AM58" s="28" t="e">
        <v>#N/A</v>
      </c>
      <c r="AN58" s="28" t="e">
        <v>#N/A</v>
      </c>
      <c r="AO58" s="28" t="e">
        <v>#N/A</v>
      </c>
      <c r="AP58" s="28" t="e">
        <v>#N/A</v>
      </c>
      <c r="AQ58" s="28" t="e">
        <v>#N/A</v>
      </c>
      <c r="AR58" s="28" t="e">
        <v>#N/A</v>
      </c>
      <c r="AS58" s="28" t="e">
        <v>#N/A</v>
      </c>
      <c r="AT58" s="28" t="e">
        <v>#N/A</v>
      </c>
      <c r="AU58" s="28" t="e">
        <v>#N/A</v>
      </c>
      <c r="AV58" s="28" t="e">
        <v>#N/A</v>
      </c>
      <c r="AW58" s="28" t="e">
        <v>#N/A</v>
      </c>
      <c r="AX58" s="28" t="e">
        <v>#N/A</v>
      </c>
      <c r="AY58" s="28" t="e">
        <v>#N/A</v>
      </c>
      <c r="AZ58" s="28" t="e">
        <v>#N/A</v>
      </c>
      <c r="BA58" s="3">
        <v>5204.6499999999996</v>
      </c>
      <c r="BB58">
        <f>IF(ISNUMBER(VLOOKUP($B58,CEIC_DATA!$I$26:$N$353,Haver_M!BB$2,FALSE)),VLOOKUP($B58,CEIC_DATA!$I$26:$N$353,Haver_M!BB$2,FALSE),NA())</f>
        <v>97.789319660000004</v>
      </c>
      <c r="BC58" t="e">
        <f>IF(ISNUMBER(VLOOKUP($B58,CEIC_DATA!$I$26:$N$353,Haver_M!BC$2,FALSE)),VLOOKUP($B58,CEIC_DATA!$I$26:$N$353,Haver_M!BC$2,FALSE),NA())</f>
        <v>#N/A</v>
      </c>
      <c r="BD58" t="e">
        <f>IF(ISNUMBER(VLOOKUP($B58,CEIC_DATA!$I$26:$N$353,Haver_M!BD$2,FALSE)),VLOOKUP($B58,CEIC_DATA!$I$26:$N$353,Haver_M!BD$2,FALSE),NA())</f>
        <v>#N/A</v>
      </c>
      <c r="BE58" t="e">
        <f>IF(ISNUMBER(VLOOKUP($B58,CEIC_DATA!$I$26:$N$353,Haver_M!BE$2,FALSE)),VLOOKUP($B58,CEIC_DATA!$I$26:$N$353,Haver_M!BE$2,FALSE),NA())</f>
        <v>#N/A</v>
      </c>
      <c r="BF58">
        <v>488541</v>
      </c>
      <c r="BG58">
        <v>25055</v>
      </c>
      <c r="BH58">
        <v>632123</v>
      </c>
      <c r="BI58">
        <v>92176</v>
      </c>
      <c r="BJ58" s="3" t="e">
        <v>#N/A</v>
      </c>
      <c r="BK58" s="3" t="e">
        <v>#N/A</v>
      </c>
      <c r="BL58" s="3" t="e">
        <v>#N/A</v>
      </c>
      <c r="BM58" s="3" t="e">
        <v>#N/A</v>
      </c>
      <c r="BN58" s="3">
        <v>5963</v>
      </c>
      <c r="BO58" s="3">
        <v>8073</v>
      </c>
      <c r="BP58" s="28">
        <v>45.250799999999998</v>
      </c>
      <c r="BQ58" s="28" t="str">
        <f t="shared" si="1"/>
        <v/>
      </c>
      <c r="BR58" s="28" t="str">
        <f t="shared" si="2"/>
        <v/>
      </c>
      <c r="BS58" s="28" t="str">
        <f t="shared" si="3"/>
        <v/>
      </c>
      <c r="BT58" s="28" t="str">
        <f t="shared" si="4"/>
        <v/>
      </c>
      <c r="BU58" s="4">
        <v>32282</v>
      </c>
    </row>
    <row r="59" spans="1:73" x14ac:dyDescent="0.25">
      <c r="A59" t="s">
        <v>58</v>
      </c>
      <c r="B59" s="2">
        <v>38168</v>
      </c>
      <c r="C59" s="3">
        <v>6</v>
      </c>
      <c r="D59" s="28">
        <v>5.8677000000000001</v>
      </c>
      <c r="E59" s="34">
        <v>94.832250000000002</v>
      </c>
      <c r="F59" s="5">
        <v>55</v>
      </c>
      <c r="G59" s="5" t="e">
        <v>#N/A</v>
      </c>
      <c r="H59" s="3">
        <v>57.43</v>
      </c>
      <c r="I59" s="3">
        <v>63.67</v>
      </c>
      <c r="J59" s="3">
        <v>38.18</v>
      </c>
      <c r="K59" s="3">
        <v>71.48</v>
      </c>
      <c r="L59" s="3" t="e">
        <v>#N/A</v>
      </c>
      <c r="M59" s="3">
        <v>33.47</v>
      </c>
      <c r="N59" s="3">
        <v>62.42</v>
      </c>
      <c r="O59" s="5">
        <v>68.2</v>
      </c>
      <c r="P59" s="52">
        <v>70.015000000000001</v>
      </c>
      <c r="Q59" s="52">
        <v>88.932000000000002</v>
      </c>
      <c r="R59" s="52">
        <v>65.72</v>
      </c>
      <c r="S59" s="52">
        <v>76.438000000000002</v>
      </c>
      <c r="T59" s="52">
        <v>98.254000000000005</v>
      </c>
      <c r="U59" s="52">
        <v>57.04</v>
      </c>
      <c r="V59" s="52">
        <v>52.938000000000002</v>
      </c>
      <c r="W59" s="52">
        <v>64.325000000000003</v>
      </c>
      <c r="X59" s="3">
        <v>9201.7495131537999</v>
      </c>
      <c r="Y59" s="3">
        <v>6244.49</v>
      </c>
      <c r="Z59" s="3">
        <v>8944.15</v>
      </c>
      <c r="AA59" s="4" t="e">
        <v>#N/A</v>
      </c>
      <c r="AB59" s="4" t="e">
        <v>#N/A</v>
      </c>
      <c r="AC59" s="5" t="e">
        <v>#N/A</v>
      </c>
      <c r="AD59" s="5" t="e">
        <v>#N/A</v>
      </c>
      <c r="AE59" s="34">
        <v>51.625345626275795</v>
      </c>
      <c r="AF59" s="28" t="e">
        <v>#N/A</v>
      </c>
      <c r="AG59" s="28" t="e">
        <v>#N/A</v>
      </c>
      <c r="AH59" s="28" t="e">
        <v>#N/A</v>
      </c>
      <c r="AI59" s="28" t="e">
        <v>#N/A</v>
      </c>
      <c r="AJ59" s="28" t="e">
        <v>#N/A</v>
      </c>
      <c r="AK59" s="28" t="e">
        <v>#N/A</v>
      </c>
      <c r="AL59" s="28" t="e">
        <v>#N/A</v>
      </c>
      <c r="AM59" s="28" t="e">
        <v>#N/A</v>
      </c>
      <c r="AN59" s="28" t="e">
        <v>#N/A</v>
      </c>
      <c r="AO59" s="28" t="e">
        <v>#N/A</v>
      </c>
      <c r="AP59" s="28" t="e">
        <v>#N/A</v>
      </c>
      <c r="AQ59" s="28" t="e">
        <v>#N/A</v>
      </c>
      <c r="AR59" s="28" t="e">
        <v>#N/A</v>
      </c>
      <c r="AS59" s="28" t="e">
        <v>#N/A</v>
      </c>
      <c r="AT59" s="28" t="e">
        <v>#N/A</v>
      </c>
      <c r="AU59" s="28" t="e">
        <v>#N/A</v>
      </c>
      <c r="AV59" s="28" t="e">
        <v>#N/A</v>
      </c>
      <c r="AW59" s="28" t="e">
        <v>#N/A</v>
      </c>
      <c r="AX59" s="28" t="e">
        <v>#N/A</v>
      </c>
      <c r="AY59" s="28" t="e">
        <v>#N/A</v>
      </c>
      <c r="AZ59" s="28" t="e">
        <v>#N/A</v>
      </c>
      <c r="BA59" s="3">
        <v>4823.87</v>
      </c>
      <c r="BB59">
        <f>IF(ISNUMBER(VLOOKUP($B59,CEIC_DATA!$I$26:$N$353,Haver_M!BB$2,FALSE)),VLOOKUP($B59,CEIC_DATA!$I$26:$N$353,Haver_M!BB$2,FALSE),NA())</f>
        <v>95.788820470000005</v>
      </c>
      <c r="BC59">
        <f>IF(ISNUMBER(VLOOKUP($B59,CEIC_DATA!$I$26:$N$353,Haver_M!BC$2,FALSE)),VLOOKUP($B59,CEIC_DATA!$I$26:$N$353,Haver_M!BC$2,FALSE),NA())</f>
        <v>118.4</v>
      </c>
      <c r="BD59">
        <f>IF(ISNUMBER(VLOOKUP($B59,CEIC_DATA!$I$26:$N$353,Haver_M!BD$2,FALSE)),VLOOKUP($B59,CEIC_DATA!$I$26:$N$353,Haver_M!BD$2,FALSE),NA())</f>
        <v>121.5</v>
      </c>
      <c r="BE59">
        <f>IF(ISNUMBER(VLOOKUP($B59,CEIC_DATA!$I$26:$N$353,Haver_M!BE$2,FALSE)),VLOOKUP($B59,CEIC_DATA!$I$26:$N$353,Haver_M!BE$2,FALSE),NA())</f>
        <v>47.9</v>
      </c>
      <c r="BF59">
        <v>505086</v>
      </c>
      <c r="BG59">
        <v>25887</v>
      </c>
      <c r="BH59">
        <v>658634</v>
      </c>
      <c r="BI59">
        <v>94928</v>
      </c>
      <c r="BJ59" s="3" t="e">
        <v>#N/A</v>
      </c>
      <c r="BK59" s="3" t="e">
        <v>#N/A</v>
      </c>
      <c r="BL59" s="3" t="e">
        <v>#N/A</v>
      </c>
      <c r="BM59" s="3" t="e">
        <v>#N/A</v>
      </c>
      <c r="BN59" s="3">
        <v>6068</v>
      </c>
      <c r="BO59" s="3">
        <v>8717</v>
      </c>
      <c r="BP59" s="28">
        <v>45.506799999999998</v>
      </c>
      <c r="BQ59" s="28" t="str">
        <f t="shared" si="1"/>
        <v/>
      </c>
      <c r="BR59" s="28" t="str">
        <f t="shared" si="2"/>
        <v/>
      </c>
      <c r="BS59" s="28" t="str">
        <f t="shared" si="3"/>
        <v/>
      </c>
      <c r="BT59" s="28" t="str">
        <f t="shared" si="4"/>
        <v/>
      </c>
      <c r="BU59" s="4">
        <v>30556</v>
      </c>
    </row>
    <row r="60" spans="1:73" x14ac:dyDescent="0.25">
      <c r="A60" t="s">
        <v>59</v>
      </c>
      <c r="B60" s="2">
        <v>38199</v>
      </c>
      <c r="C60" s="3">
        <v>6</v>
      </c>
      <c r="D60" s="28">
        <v>6.1935000000000002</v>
      </c>
      <c r="E60" s="34">
        <v>93.652180000000001</v>
      </c>
      <c r="F60" s="5">
        <v>55.4</v>
      </c>
      <c r="G60" s="5" t="e">
        <v>#N/A</v>
      </c>
      <c r="H60" s="3">
        <v>59.38</v>
      </c>
      <c r="I60" s="3">
        <v>65.56</v>
      </c>
      <c r="J60" s="3">
        <v>38.25</v>
      </c>
      <c r="K60" s="3">
        <v>71.84</v>
      </c>
      <c r="L60" s="3" t="e">
        <v>#N/A</v>
      </c>
      <c r="M60" s="3">
        <v>35.83</v>
      </c>
      <c r="N60" s="3">
        <v>64.98</v>
      </c>
      <c r="O60" s="5">
        <v>70.099999999999994</v>
      </c>
      <c r="P60" s="52">
        <v>75.180999999999997</v>
      </c>
      <c r="Q60" s="52">
        <v>89.16</v>
      </c>
      <c r="R60" s="52">
        <v>67.141000000000005</v>
      </c>
      <c r="S60" s="52">
        <v>74.3</v>
      </c>
      <c r="T60" s="52">
        <v>92.438999999999993</v>
      </c>
      <c r="U60" s="52">
        <v>58.804000000000002</v>
      </c>
      <c r="V60" s="52">
        <v>57.822000000000003</v>
      </c>
      <c r="W60" s="52">
        <v>69.17</v>
      </c>
      <c r="X60" s="3">
        <v>9429.5790064219054</v>
      </c>
      <c r="Y60" s="3">
        <v>5994.97</v>
      </c>
      <c r="Z60" s="3">
        <v>7948.19</v>
      </c>
      <c r="AA60" s="4" t="e">
        <v>#N/A</v>
      </c>
      <c r="AB60" s="4" t="e">
        <v>#N/A</v>
      </c>
      <c r="AC60" s="5" t="e">
        <v>#N/A</v>
      </c>
      <c r="AD60" s="5" t="e">
        <v>#N/A</v>
      </c>
      <c r="AE60" s="34">
        <v>44.113045342056388</v>
      </c>
      <c r="AF60" s="28" t="e">
        <v>#N/A</v>
      </c>
      <c r="AG60" s="28" t="e">
        <v>#N/A</v>
      </c>
      <c r="AH60" s="28" t="e">
        <v>#N/A</v>
      </c>
      <c r="AI60" s="28" t="e">
        <v>#N/A</v>
      </c>
      <c r="AJ60" s="28" t="e">
        <v>#N/A</v>
      </c>
      <c r="AK60" s="28" t="e">
        <v>#N/A</v>
      </c>
      <c r="AL60" s="28" t="e">
        <v>#N/A</v>
      </c>
      <c r="AM60" s="28" t="e">
        <v>#N/A</v>
      </c>
      <c r="AN60" s="28" t="e">
        <v>#N/A</v>
      </c>
      <c r="AO60" s="28" t="e">
        <v>#N/A</v>
      </c>
      <c r="AP60" s="28" t="e">
        <v>#N/A</v>
      </c>
      <c r="AQ60" s="28" t="e">
        <v>#N/A</v>
      </c>
      <c r="AR60" s="28" t="e">
        <v>#N/A</v>
      </c>
      <c r="AS60" s="28" t="e">
        <v>#N/A</v>
      </c>
      <c r="AT60" s="28" t="e">
        <v>#N/A</v>
      </c>
      <c r="AU60" s="28" t="e">
        <v>#N/A</v>
      </c>
      <c r="AV60" s="28" t="e">
        <v>#N/A</v>
      </c>
      <c r="AW60" s="28" t="e">
        <v>#N/A</v>
      </c>
      <c r="AX60" s="28" t="e">
        <v>#N/A</v>
      </c>
      <c r="AY60" s="28" t="e">
        <v>#N/A</v>
      </c>
      <c r="AZ60" s="28" t="e">
        <v>#N/A</v>
      </c>
      <c r="BA60" s="3">
        <v>4972.88</v>
      </c>
      <c r="BB60">
        <f>IF(ISNUMBER(VLOOKUP($B60,CEIC_DATA!$I$26:$N$353,Haver_M!BB$2,FALSE)),VLOOKUP($B60,CEIC_DATA!$I$26:$N$353,Haver_M!BB$2,FALSE),NA())</f>
        <v>94.748885900000005</v>
      </c>
      <c r="BC60" t="e">
        <f>IF(ISNUMBER(VLOOKUP($B60,CEIC_DATA!$I$26:$N$353,Haver_M!BC$2,FALSE)),VLOOKUP($B60,CEIC_DATA!$I$26:$N$353,Haver_M!BC$2,FALSE),NA())</f>
        <v>#N/A</v>
      </c>
      <c r="BD60" t="e">
        <f>IF(ISNUMBER(VLOOKUP($B60,CEIC_DATA!$I$26:$N$353,Haver_M!BD$2,FALSE)),VLOOKUP($B60,CEIC_DATA!$I$26:$N$353,Haver_M!BD$2,FALSE),NA())</f>
        <v>#N/A</v>
      </c>
      <c r="BE60" t="e">
        <f>IF(ISNUMBER(VLOOKUP($B60,CEIC_DATA!$I$26:$N$353,Haver_M!BE$2,FALSE)),VLOOKUP($B60,CEIC_DATA!$I$26:$N$353,Haver_M!BE$2,FALSE),NA())</f>
        <v>#N/A</v>
      </c>
      <c r="BF60">
        <v>523283</v>
      </c>
      <c r="BG60">
        <v>24888</v>
      </c>
      <c r="BH60">
        <v>681938</v>
      </c>
      <c r="BI60">
        <v>101184</v>
      </c>
      <c r="BJ60" s="3" t="e">
        <v>#N/A</v>
      </c>
      <c r="BK60" s="3" t="e">
        <v>#N/A</v>
      </c>
      <c r="BL60" s="3" t="e">
        <v>#N/A</v>
      </c>
      <c r="BM60" s="3" t="e">
        <v>#N/A</v>
      </c>
      <c r="BN60" s="3">
        <v>5819</v>
      </c>
      <c r="BO60" s="3">
        <v>7872</v>
      </c>
      <c r="BP60" s="28">
        <v>46.041600000000003</v>
      </c>
      <c r="BQ60" s="28" t="str">
        <f t="shared" si="1"/>
        <v/>
      </c>
      <c r="BR60" s="28" t="str">
        <f t="shared" si="2"/>
        <v/>
      </c>
      <c r="BS60" s="28" t="str">
        <f t="shared" si="3"/>
        <v/>
      </c>
      <c r="BT60" s="28" t="str">
        <f t="shared" si="4"/>
        <v/>
      </c>
      <c r="BU60" s="4">
        <v>27176</v>
      </c>
    </row>
    <row r="61" spans="1:73" x14ac:dyDescent="0.25">
      <c r="A61" t="s">
        <v>60</v>
      </c>
      <c r="B61" s="2">
        <v>38230</v>
      </c>
      <c r="C61" s="3">
        <v>6</v>
      </c>
      <c r="D61" s="28">
        <v>6.1544999999999996</v>
      </c>
      <c r="E61" s="34">
        <v>94.382859999999994</v>
      </c>
      <c r="F61" s="5">
        <v>55.9</v>
      </c>
      <c r="G61" s="5" t="e">
        <v>#N/A</v>
      </c>
      <c r="H61" s="3">
        <v>59.75</v>
      </c>
      <c r="I61" s="3">
        <v>65.05</v>
      </c>
      <c r="J61" s="3">
        <v>39.32</v>
      </c>
      <c r="K61" s="3">
        <v>71.91</v>
      </c>
      <c r="L61" s="3" t="e">
        <v>#N/A</v>
      </c>
      <c r="M61" s="3">
        <v>35.92</v>
      </c>
      <c r="N61" s="3">
        <v>66.760000000000005</v>
      </c>
      <c r="O61" s="5">
        <v>68.8</v>
      </c>
      <c r="P61" s="52">
        <v>70.158000000000001</v>
      </c>
      <c r="Q61" s="52">
        <v>90.453000000000003</v>
      </c>
      <c r="R61" s="52">
        <v>68.412000000000006</v>
      </c>
      <c r="S61" s="52">
        <v>74.709000000000003</v>
      </c>
      <c r="T61" s="52">
        <v>92.94</v>
      </c>
      <c r="U61" s="52">
        <v>57.048000000000002</v>
      </c>
      <c r="V61" s="52">
        <v>53.709000000000003</v>
      </c>
      <c r="W61" s="52">
        <v>66.331999999999994</v>
      </c>
      <c r="X61" s="3">
        <v>8662.1201658121099</v>
      </c>
      <c r="Y61" s="3">
        <v>6096.42</v>
      </c>
      <c r="Z61" s="3">
        <v>8159.77</v>
      </c>
      <c r="AA61" s="4" t="e">
        <v>#N/A</v>
      </c>
      <c r="AB61" s="4" t="e">
        <v>#N/A</v>
      </c>
      <c r="AC61" s="5" t="e">
        <v>#N/A</v>
      </c>
      <c r="AD61" s="5" t="e">
        <v>#N/A</v>
      </c>
      <c r="AE61" s="34">
        <v>83.162497865119391</v>
      </c>
      <c r="AF61" s="28" t="e">
        <v>#N/A</v>
      </c>
      <c r="AG61" s="28" t="e">
        <v>#N/A</v>
      </c>
      <c r="AH61" s="28" t="e">
        <v>#N/A</v>
      </c>
      <c r="AI61" s="28" t="e">
        <v>#N/A</v>
      </c>
      <c r="AJ61" s="28" t="e">
        <v>#N/A</v>
      </c>
      <c r="AK61" s="28" t="e">
        <v>#N/A</v>
      </c>
      <c r="AL61" s="28" t="e">
        <v>#N/A</v>
      </c>
      <c r="AM61" s="28" t="e">
        <v>#N/A</v>
      </c>
      <c r="AN61" s="28" t="e">
        <v>#N/A</v>
      </c>
      <c r="AO61" s="28" t="e">
        <v>#N/A</v>
      </c>
      <c r="AP61" s="28" t="e">
        <v>#N/A</v>
      </c>
      <c r="AQ61" s="28" t="e">
        <v>#N/A</v>
      </c>
      <c r="AR61" s="28" t="e">
        <v>#N/A</v>
      </c>
      <c r="AS61" s="28" t="e">
        <v>#N/A</v>
      </c>
      <c r="AT61" s="28" t="e">
        <v>#N/A</v>
      </c>
      <c r="AU61" s="28" t="e">
        <v>#N/A</v>
      </c>
      <c r="AV61" s="28" t="e">
        <v>#N/A</v>
      </c>
      <c r="AW61" s="28" t="e">
        <v>#N/A</v>
      </c>
      <c r="AX61" s="28" t="e">
        <v>#N/A</v>
      </c>
      <c r="AY61" s="28" t="e">
        <v>#N/A</v>
      </c>
      <c r="AZ61" s="28" t="e">
        <v>#N/A</v>
      </c>
      <c r="BA61" s="3">
        <v>5144.17</v>
      </c>
      <c r="BB61">
        <f>IF(ISNUMBER(VLOOKUP($B61,CEIC_DATA!$I$26:$N$353,Haver_M!BB$2,FALSE)),VLOOKUP($B61,CEIC_DATA!$I$26:$N$353,Haver_M!BB$2,FALSE),NA())</f>
        <v>94.352551969999993</v>
      </c>
      <c r="BC61" t="e">
        <f>IF(ISNUMBER(VLOOKUP($B61,CEIC_DATA!$I$26:$N$353,Haver_M!BC$2,FALSE)),VLOOKUP($B61,CEIC_DATA!$I$26:$N$353,Haver_M!BC$2,FALSE),NA())</f>
        <v>#N/A</v>
      </c>
      <c r="BD61" t="e">
        <f>IF(ISNUMBER(VLOOKUP($B61,CEIC_DATA!$I$26:$N$353,Haver_M!BD$2,FALSE)),VLOOKUP($B61,CEIC_DATA!$I$26:$N$353,Haver_M!BD$2,FALSE),NA())</f>
        <v>#N/A</v>
      </c>
      <c r="BE61" t="e">
        <f>IF(ISNUMBER(VLOOKUP($B61,CEIC_DATA!$I$26:$N$353,Haver_M!BE$2,FALSE)),VLOOKUP($B61,CEIC_DATA!$I$26:$N$353,Haver_M!BE$2,FALSE),NA())</f>
        <v>#N/A</v>
      </c>
      <c r="BF61">
        <v>496606</v>
      </c>
      <c r="BG61">
        <v>25985</v>
      </c>
      <c r="BH61">
        <v>651068</v>
      </c>
      <c r="BI61">
        <v>97823</v>
      </c>
      <c r="BJ61" s="3" t="e">
        <v>#N/A</v>
      </c>
      <c r="BK61" s="3" t="e">
        <v>#N/A</v>
      </c>
      <c r="BL61" s="3" t="e">
        <v>#N/A</v>
      </c>
      <c r="BM61" s="3" t="e">
        <v>#N/A</v>
      </c>
      <c r="BN61" s="3">
        <v>5983</v>
      </c>
      <c r="BO61" s="3">
        <v>8132</v>
      </c>
      <c r="BP61" s="28">
        <v>46.341000000000001</v>
      </c>
      <c r="BQ61" s="28" t="str">
        <f t="shared" si="1"/>
        <v/>
      </c>
      <c r="BR61" s="28" t="str">
        <f t="shared" si="2"/>
        <v/>
      </c>
      <c r="BS61" s="28" t="str">
        <f t="shared" si="3"/>
        <v/>
      </c>
      <c r="BT61" s="28" t="str">
        <f t="shared" si="4"/>
        <v/>
      </c>
      <c r="BU61" s="4">
        <v>23283</v>
      </c>
    </row>
    <row r="62" spans="1:73" x14ac:dyDescent="0.25">
      <c r="A62" t="s">
        <v>61</v>
      </c>
      <c r="B62" s="2">
        <v>38260</v>
      </c>
      <c r="C62" s="3">
        <v>6</v>
      </c>
      <c r="D62" s="28">
        <v>6.2446000000000002</v>
      </c>
      <c r="E62" s="34">
        <v>94.239869999999996</v>
      </c>
      <c r="F62" s="5">
        <v>56</v>
      </c>
      <c r="G62" s="5" t="e">
        <v>#N/A</v>
      </c>
      <c r="H62" s="3">
        <v>60.87</v>
      </c>
      <c r="I62" s="3">
        <v>68.3</v>
      </c>
      <c r="J62" s="3">
        <v>40.33</v>
      </c>
      <c r="K62" s="3">
        <v>71.59</v>
      </c>
      <c r="L62" s="3" t="e">
        <v>#N/A</v>
      </c>
      <c r="M62" s="3">
        <v>37.090000000000003</v>
      </c>
      <c r="N62" s="3">
        <v>67.42</v>
      </c>
      <c r="O62" s="5">
        <v>70.400000000000006</v>
      </c>
      <c r="P62" s="52">
        <v>76.033000000000001</v>
      </c>
      <c r="Q62" s="52">
        <v>90.332999999999998</v>
      </c>
      <c r="R62" s="52">
        <v>68.513000000000005</v>
      </c>
      <c r="S62" s="52">
        <v>73.707999999999998</v>
      </c>
      <c r="T62" s="52">
        <v>90.665999999999997</v>
      </c>
      <c r="U62" s="52">
        <v>58.643999999999998</v>
      </c>
      <c r="V62" s="52">
        <v>58.561</v>
      </c>
      <c r="W62" s="52">
        <v>68.277000000000001</v>
      </c>
      <c r="X62" s="3">
        <v>9390.9436295372416</v>
      </c>
      <c r="Y62" s="3">
        <v>6786.75</v>
      </c>
      <c r="Z62" s="3">
        <v>9003.2199999999993</v>
      </c>
      <c r="AA62" s="4" t="e">
        <v>#N/A</v>
      </c>
      <c r="AB62" s="4" t="e">
        <v>#N/A</v>
      </c>
      <c r="AC62" s="5" t="e">
        <v>#N/A</v>
      </c>
      <c r="AD62" s="5" t="e">
        <v>#N/A</v>
      </c>
      <c r="AE62" s="34">
        <v>47.506499461262933</v>
      </c>
      <c r="AF62" s="28" t="e">
        <v>#N/A</v>
      </c>
      <c r="AG62" s="28" t="e">
        <v>#N/A</v>
      </c>
      <c r="AH62" s="28" t="e">
        <v>#N/A</v>
      </c>
      <c r="AI62" s="28" t="e">
        <v>#N/A</v>
      </c>
      <c r="AJ62" s="28" t="e">
        <v>#N/A</v>
      </c>
      <c r="AK62" s="28" t="e">
        <v>#N/A</v>
      </c>
      <c r="AL62" s="28" t="e">
        <v>#N/A</v>
      </c>
      <c r="AM62" s="28" t="e">
        <v>#N/A</v>
      </c>
      <c r="AN62" s="28" t="e">
        <v>#N/A</v>
      </c>
      <c r="AO62" s="28" t="e">
        <v>#N/A</v>
      </c>
      <c r="AP62" s="28" t="e">
        <v>#N/A</v>
      </c>
      <c r="AQ62" s="28" t="e">
        <v>#N/A</v>
      </c>
      <c r="AR62" s="28" t="e">
        <v>#N/A</v>
      </c>
      <c r="AS62" s="28" t="e">
        <v>#N/A</v>
      </c>
      <c r="AT62" s="28" t="e">
        <v>#N/A</v>
      </c>
      <c r="AU62" s="28" t="e">
        <v>#N/A</v>
      </c>
      <c r="AV62" s="28" t="e">
        <v>#N/A</v>
      </c>
      <c r="AW62" s="28" t="e">
        <v>#N/A</v>
      </c>
      <c r="AX62" s="28" t="e">
        <v>#N/A</v>
      </c>
      <c r="AY62" s="28" t="e">
        <v>#N/A</v>
      </c>
      <c r="AZ62" s="28" t="e">
        <v>#N/A</v>
      </c>
      <c r="BA62" s="3">
        <v>5423.27</v>
      </c>
      <c r="BB62">
        <f>IF(ISNUMBER(VLOOKUP($B62,CEIC_DATA!$I$26:$N$353,Haver_M!BB$2,FALSE)),VLOOKUP($B62,CEIC_DATA!$I$26:$N$353,Haver_M!BB$2,FALSE),NA())</f>
        <v>94.276310269999996</v>
      </c>
      <c r="BC62">
        <f>IF(ISNUMBER(VLOOKUP($B62,CEIC_DATA!$I$26:$N$353,Haver_M!BC$2,FALSE)),VLOOKUP($B62,CEIC_DATA!$I$26:$N$353,Haver_M!BC$2,FALSE),NA())</f>
        <v>116.9</v>
      </c>
      <c r="BD62">
        <f>IF(ISNUMBER(VLOOKUP($B62,CEIC_DATA!$I$26:$N$353,Haver_M!BD$2,FALSE)),VLOOKUP($B62,CEIC_DATA!$I$26:$N$353,Haver_M!BD$2,FALSE),NA())</f>
        <v>120</v>
      </c>
      <c r="BE62">
        <f>IF(ISNUMBER(VLOOKUP($B62,CEIC_DATA!$I$26:$N$353,Haver_M!BE$2,FALSE)),VLOOKUP($B62,CEIC_DATA!$I$26:$N$353,Haver_M!BE$2,FALSE),NA())</f>
        <v>44.4</v>
      </c>
      <c r="BF62">
        <v>569107</v>
      </c>
      <c r="BG62">
        <v>30349</v>
      </c>
      <c r="BH62">
        <v>740018</v>
      </c>
      <c r="BI62">
        <v>105414</v>
      </c>
      <c r="BJ62" s="3" t="e">
        <v>#N/A</v>
      </c>
      <c r="BK62" s="3" t="e">
        <v>#N/A</v>
      </c>
      <c r="BL62" s="3" t="e">
        <v>#N/A</v>
      </c>
      <c r="BM62" s="3" t="e">
        <v>#N/A</v>
      </c>
      <c r="BN62" s="3">
        <v>6919</v>
      </c>
      <c r="BO62" s="3">
        <v>9420</v>
      </c>
      <c r="BP62" s="28">
        <v>46.094999999999999</v>
      </c>
      <c r="BQ62" s="28" t="str">
        <f t="shared" si="1"/>
        <v/>
      </c>
      <c r="BR62" s="28" t="str">
        <f t="shared" si="2"/>
        <v/>
      </c>
      <c r="BS62" s="28" t="str">
        <f t="shared" si="3"/>
        <v/>
      </c>
      <c r="BT62" s="28" t="str">
        <f t="shared" si="4"/>
        <v/>
      </c>
      <c r="BU62" s="4">
        <v>20338</v>
      </c>
    </row>
    <row r="63" spans="1:73" x14ac:dyDescent="0.25">
      <c r="A63" t="s">
        <v>62</v>
      </c>
      <c r="B63" s="2">
        <v>38291</v>
      </c>
      <c r="C63" s="3">
        <v>6</v>
      </c>
      <c r="D63" s="28">
        <v>6.8651999999999997</v>
      </c>
      <c r="E63" s="34">
        <v>93.140460000000004</v>
      </c>
      <c r="F63" s="5">
        <v>56.5</v>
      </c>
      <c r="G63" s="5" t="e">
        <v>#N/A</v>
      </c>
      <c r="H63" s="3">
        <v>60.48</v>
      </c>
      <c r="I63" s="3">
        <v>66.67</v>
      </c>
      <c r="J63" s="3">
        <v>39.549999999999997</v>
      </c>
      <c r="K63" s="3">
        <v>72.599999999999994</v>
      </c>
      <c r="L63" s="3" t="e">
        <v>#N/A</v>
      </c>
      <c r="M63" s="3">
        <v>36.11</v>
      </c>
      <c r="N63" s="3">
        <v>66.989999999999995</v>
      </c>
      <c r="O63" s="5">
        <v>68.5</v>
      </c>
      <c r="P63" s="52">
        <v>70.614999999999995</v>
      </c>
      <c r="Q63" s="52">
        <v>89.284000000000006</v>
      </c>
      <c r="R63" s="52">
        <v>65.221000000000004</v>
      </c>
      <c r="S63" s="52">
        <v>75.665000000000006</v>
      </c>
      <c r="T63" s="52">
        <v>96.363</v>
      </c>
      <c r="U63" s="52">
        <v>56.353000000000002</v>
      </c>
      <c r="V63" s="52">
        <v>57.578000000000003</v>
      </c>
      <c r="W63" s="52">
        <v>64.533000000000001</v>
      </c>
      <c r="X63" s="3">
        <v>9398.392657042361</v>
      </c>
      <c r="Y63" s="3">
        <v>6567.5</v>
      </c>
      <c r="Z63" s="3">
        <v>8681.73</v>
      </c>
      <c r="AA63" s="4" t="e">
        <v>#N/A</v>
      </c>
      <c r="AB63" s="4" t="e">
        <v>#N/A</v>
      </c>
      <c r="AC63" s="5" t="e">
        <v>#N/A</v>
      </c>
      <c r="AD63" s="5" t="e">
        <v>#N/A</v>
      </c>
      <c r="AE63" s="34">
        <v>70.757459954663418</v>
      </c>
      <c r="AF63" s="28" t="e">
        <v>#N/A</v>
      </c>
      <c r="AG63" s="28" t="e">
        <v>#N/A</v>
      </c>
      <c r="AH63" s="28" t="e">
        <v>#N/A</v>
      </c>
      <c r="AI63" s="28" t="e">
        <v>#N/A</v>
      </c>
      <c r="AJ63" s="28" t="e">
        <v>#N/A</v>
      </c>
      <c r="AK63" s="28" t="e">
        <v>#N/A</v>
      </c>
      <c r="AL63" s="28" t="e">
        <v>#N/A</v>
      </c>
      <c r="AM63" s="28" t="e">
        <v>#N/A</v>
      </c>
      <c r="AN63" s="28" t="e">
        <v>#N/A</v>
      </c>
      <c r="AO63" s="28" t="e">
        <v>#N/A</v>
      </c>
      <c r="AP63" s="28" t="e">
        <v>#N/A</v>
      </c>
      <c r="AQ63" s="28" t="e">
        <v>#N/A</v>
      </c>
      <c r="AR63" s="28" t="e">
        <v>#N/A</v>
      </c>
      <c r="AS63" s="28" t="e">
        <v>#N/A</v>
      </c>
      <c r="AT63" s="28" t="e">
        <v>#N/A</v>
      </c>
      <c r="AU63" s="28" t="e">
        <v>#N/A</v>
      </c>
      <c r="AV63" s="28" t="e">
        <v>#N/A</v>
      </c>
      <c r="AW63" s="28" t="e">
        <v>#N/A</v>
      </c>
      <c r="AX63" s="28" t="e">
        <v>#N/A</v>
      </c>
      <c r="AY63" s="28" t="e">
        <v>#N/A</v>
      </c>
      <c r="AZ63" s="28" t="e">
        <v>#N/A</v>
      </c>
      <c r="BA63" s="3">
        <v>5698.64</v>
      </c>
      <c r="BB63">
        <f>IF(ISNUMBER(VLOOKUP($B63,CEIC_DATA!$I$26:$N$353,Haver_M!BB$2,FALSE)),VLOOKUP($B63,CEIC_DATA!$I$26:$N$353,Haver_M!BB$2,FALSE),NA())</f>
        <v>94.268286110000005</v>
      </c>
      <c r="BC63" t="e">
        <f>IF(ISNUMBER(VLOOKUP($B63,CEIC_DATA!$I$26:$N$353,Haver_M!BC$2,FALSE)),VLOOKUP($B63,CEIC_DATA!$I$26:$N$353,Haver_M!BC$2,FALSE),NA())</f>
        <v>#N/A</v>
      </c>
      <c r="BD63" t="e">
        <f>IF(ISNUMBER(VLOOKUP($B63,CEIC_DATA!$I$26:$N$353,Haver_M!BD$2,FALSE)),VLOOKUP($B63,CEIC_DATA!$I$26:$N$353,Haver_M!BD$2,FALSE),NA())</f>
        <v>#N/A</v>
      </c>
      <c r="BE63" t="e">
        <f>IF(ISNUMBER(VLOOKUP($B63,CEIC_DATA!$I$26:$N$353,Haver_M!BE$2,FALSE)),VLOOKUP($B63,CEIC_DATA!$I$26:$N$353,Haver_M!BE$2,FALSE),NA())</f>
        <v>#N/A</v>
      </c>
      <c r="BF63">
        <v>623285</v>
      </c>
      <c r="BG63">
        <v>28588</v>
      </c>
      <c r="BH63">
        <v>798262</v>
      </c>
      <c r="BI63">
        <v>113209</v>
      </c>
      <c r="BJ63" s="3" t="e">
        <v>#N/A</v>
      </c>
      <c r="BK63" s="3" t="e">
        <v>#N/A</v>
      </c>
      <c r="BL63" s="3" t="e">
        <v>#N/A</v>
      </c>
      <c r="BM63" s="3" t="e">
        <v>#N/A</v>
      </c>
      <c r="BN63" s="3">
        <v>6519</v>
      </c>
      <c r="BO63" s="3">
        <v>8989</v>
      </c>
      <c r="BP63" s="28">
        <v>45.782600000000002</v>
      </c>
      <c r="BQ63" s="28" t="str">
        <f t="shared" si="1"/>
        <v/>
      </c>
      <c r="BR63" s="28" t="str">
        <f t="shared" si="2"/>
        <v/>
      </c>
      <c r="BS63" s="28" t="str">
        <f t="shared" si="3"/>
        <v/>
      </c>
      <c r="BT63" s="28" t="str">
        <f t="shared" si="4"/>
        <v/>
      </c>
      <c r="BU63" s="4">
        <v>23710</v>
      </c>
    </row>
    <row r="64" spans="1:73" x14ac:dyDescent="0.25">
      <c r="A64" t="s">
        <v>63</v>
      </c>
      <c r="B64" s="2">
        <v>38321</v>
      </c>
      <c r="C64" s="3">
        <v>6</v>
      </c>
      <c r="D64" s="28">
        <v>7.2053000000000003</v>
      </c>
      <c r="E64" s="34">
        <v>93.186809999999994</v>
      </c>
      <c r="F64" s="5">
        <v>56.3</v>
      </c>
      <c r="G64" s="5" t="e">
        <v>#N/A</v>
      </c>
      <c r="H64" s="3">
        <v>61.31</v>
      </c>
      <c r="I64" s="3">
        <v>67.45</v>
      </c>
      <c r="J64" s="3">
        <v>39.130000000000003</v>
      </c>
      <c r="K64" s="3">
        <v>74.89</v>
      </c>
      <c r="L64" s="3" t="e">
        <v>#N/A</v>
      </c>
      <c r="M64" s="3">
        <v>37.44</v>
      </c>
      <c r="N64" s="3">
        <v>69.13</v>
      </c>
      <c r="O64" s="5">
        <v>70.2</v>
      </c>
      <c r="P64" s="52">
        <v>72.828000000000003</v>
      </c>
      <c r="Q64" s="52">
        <v>89.554000000000002</v>
      </c>
      <c r="R64" s="52">
        <v>68.046999999999997</v>
      </c>
      <c r="S64" s="52">
        <v>75.626000000000005</v>
      </c>
      <c r="T64" s="52">
        <v>95.411000000000001</v>
      </c>
      <c r="U64" s="52">
        <v>56.671999999999997</v>
      </c>
      <c r="V64" s="52">
        <v>59.753</v>
      </c>
      <c r="W64" s="52">
        <v>68.537999999999997</v>
      </c>
      <c r="X64" s="3">
        <v>8982.2725725466007</v>
      </c>
      <c r="Y64" s="3">
        <v>7702.14</v>
      </c>
      <c r="Z64" s="3">
        <v>9675.94</v>
      </c>
      <c r="AA64" s="4" t="e">
        <v>#N/A</v>
      </c>
      <c r="AB64" s="4" t="e">
        <v>#N/A</v>
      </c>
      <c r="AC64" s="5" t="e">
        <v>#N/A</v>
      </c>
      <c r="AD64" s="5" t="e">
        <v>#N/A</v>
      </c>
      <c r="AE64" s="34">
        <v>58.079534643807214</v>
      </c>
      <c r="AF64" s="28" t="e">
        <v>#N/A</v>
      </c>
      <c r="AG64" s="28" t="e">
        <v>#N/A</v>
      </c>
      <c r="AH64" s="28" t="e">
        <v>#N/A</v>
      </c>
      <c r="AI64" s="28" t="e">
        <v>#N/A</v>
      </c>
      <c r="AJ64" s="28" t="e">
        <v>#N/A</v>
      </c>
      <c r="AK64" s="28" t="e">
        <v>#N/A</v>
      </c>
      <c r="AL64" s="28" t="e">
        <v>#N/A</v>
      </c>
      <c r="AM64" s="28" t="e">
        <v>#N/A</v>
      </c>
      <c r="AN64" s="28" t="e">
        <v>#N/A</v>
      </c>
      <c r="AO64" s="28" t="e">
        <v>#N/A</v>
      </c>
      <c r="AP64" s="28" t="e">
        <v>#N/A</v>
      </c>
      <c r="AQ64" s="28" t="e">
        <v>#N/A</v>
      </c>
      <c r="AR64" s="28" t="e">
        <v>#N/A</v>
      </c>
      <c r="AS64" s="28" t="e">
        <v>#N/A</v>
      </c>
      <c r="AT64" s="28" t="e">
        <v>#N/A</v>
      </c>
      <c r="AU64" s="28" t="e">
        <v>#N/A</v>
      </c>
      <c r="AV64" s="28" t="e">
        <v>#N/A</v>
      </c>
      <c r="AW64" s="28" t="e">
        <v>#N/A</v>
      </c>
      <c r="AX64" s="28" t="e">
        <v>#N/A</v>
      </c>
      <c r="AY64" s="28" t="e">
        <v>#N/A</v>
      </c>
      <c r="AZ64" s="28" t="e">
        <v>#N/A</v>
      </c>
      <c r="BA64" s="3">
        <v>5960.75</v>
      </c>
      <c r="BB64">
        <f>IF(ISNUMBER(VLOOKUP($B64,CEIC_DATA!$I$26:$N$353,Haver_M!BB$2,FALSE)),VLOOKUP($B64,CEIC_DATA!$I$26:$N$353,Haver_M!BB$2,FALSE),NA())</f>
        <v>94.09543463</v>
      </c>
      <c r="BC64" t="e">
        <f>IF(ISNUMBER(VLOOKUP($B64,CEIC_DATA!$I$26:$N$353,Haver_M!BC$2,FALSE)),VLOOKUP($B64,CEIC_DATA!$I$26:$N$353,Haver_M!BC$2,FALSE),NA())</f>
        <v>#N/A</v>
      </c>
      <c r="BD64" t="e">
        <f>IF(ISNUMBER(VLOOKUP($B64,CEIC_DATA!$I$26:$N$353,Haver_M!BD$2,FALSE)),VLOOKUP($B64,CEIC_DATA!$I$26:$N$353,Haver_M!BD$2,FALSE),NA())</f>
        <v>#N/A</v>
      </c>
      <c r="BE64" t="e">
        <f>IF(ISNUMBER(VLOOKUP($B64,CEIC_DATA!$I$26:$N$353,Haver_M!BE$2,FALSE)),VLOOKUP($B64,CEIC_DATA!$I$26:$N$353,Haver_M!BE$2,FALSE),NA())</f>
        <v>#N/A</v>
      </c>
      <c r="BF64">
        <v>617097</v>
      </c>
      <c r="BG64">
        <v>28761</v>
      </c>
      <c r="BH64">
        <v>776734</v>
      </c>
      <c r="BI64">
        <v>102425</v>
      </c>
      <c r="BJ64" s="3" t="e">
        <v>#N/A</v>
      </c>
      <c r="BK64" s="3" t="e">
        <v>#N/A</v>
      </c>
      <c r="BL64" s="3" t="e">
        <v>#N/A</v>
      </c>
      <c r="BM64" s="3" t="e">
        <v>#N/A</v>
      </c>
      <c r="BN64" s="3">
        <v>7086</v>
      </c>
      <c r="BO64" s="3">
        <v>9358</v>
      </c>
      <c r="BP64" s="28">
        <v>45.125100000000003</v>
      </c>
      <c r="BQ64" s="28" t="str">
        <f t="shared" si="1"/>
        <v/>
      </c>
      <c r="BR64" s="28" t="str">
        <f t="shared" si="2"/>
        <v/>
      </c>
      <c r="BS64" s="28" t="str">
        <f t="shared" si="3"/>
        <v/>
      </c>
      <c r="BT64" s="28" t="str">
        <f t="shared" si="4"/>
        <v/>
      </c>
      <c r="BU64" s="4">
        <v>21800</v>
      </c>
    </row>
    <row r="65" spans="1:73" x14ac:dyDescent="0.25">
      <c r="A65" t="s">
        <v>64</v>
      </c>
      <c r="B65" s="2">
        <v>38352</v>
      </c>
      <c r="C65" s="3">
        <v>6</v>
      </c>
      <c r="D65" s="28">
        <v>6.5910000000000002</v>
      </c>
      <c r="E65" s="34">
        <v>93.700620000000001</v>
      </c>
      <c r="F65" s="5">
        <v>55.9</v>
      </c>
      <c r="G65" s="5" t="e">
        <v>#N/A</v>
      </c>
      <c r="H65" s="3">
        <v>61.48</v>
      </c>
      <c r="I65" s="3">
        <v>67.42</v>
      </c>
      <c r="J65" s="3">
        <v>43.8</v>
      </c>
      <c r="K65" s="3">
        <v>72.959999999999994</v>
      </c>
      <c r="L65" s="3" t="e">
        <v>#N/A</v>
      </c>
      <c r="M65" s="3">
        <v>37.99</v>
      </c>
      <c r="N65" s="3">
        <v>66.150000000000006</v>
      </c>
      <c r="O65" s="5">
        <v>70</v>
      </c>
      <c r="P65" s="52">
        <v>72.322999999999993</v>
      </c>
      <c r="Q65" s="52">
        <v>89.784999999999997</v>
      </c>
      <c r="R65" s="52">
        <v>68.671000000000006</v>
      </c>
      <c r="S65" s="52">
        <v>74.751000000000005</v>
      </c>
      <c r="T65" s="52">
        <v>94.171999999999997</v>
      </c>
      <c r="U65" s="52">
        <v>57.051000000000002</v>
      </c>
      <c r="V65" s="52">
        <v>58.161000000000001</v>
      </c>
      <c r="W65" s="52">
        <v>68.254000000000005</v>
      </c>
      <c r="X65" s="3">
        <v>9454.3100997435213</v>
      </c>
      <c r="Y65" s="3">
        <v>7519.11</v>
      </c>
      <c r="Z65" s="3">
        <v>10600.48</v>
      </c>
      <c r="AA65" s="4" t="e">
        <v>#N/A</v>
      </c>
      <c r="AB65" s="4" t="e">
        <v>#N/A</v>
      </c>
      <c r="AC65" s="5" t="e">
        <v>#N/A</v>
      </c>
      <c r="AD65" s="5" t="e">
        <v>#N/A</v>
      </c>
      <c r="AE65" s="34">
        <v>54.208720548683907</v>
      </c>
      <c r="AF65" s="28" t="e">
        <v>#N/A</v>
      </c>
      <c r="AG65" s="28" t="e">
        <v>#N/A</v>
      </c>
      <c r="AH65" s="28" t="e">
        <v>#N/A</v>
      </c>
      <c r="AI65" s="28" t="e">
        <v>#N/A</v>
      </c>
      <c r="AJ65" s="28" t="e">
        <v>#N/A</v>
      </c>
      <c r="AK65" s="28" t="e">
        <v>#N/A</v>
      </c>
      <c r="AL65" s="28" t="e">
        <v>#N/A</v>
      </c>
      <c r="AM65" s="28" t="e">
        <v>#N/A</v>
      </c>
      <c r="AN65" s="28" t="e">
        <v>#N/A</v>
      </c>
      <c r="AO65" s="28" t="e">
        <v>#N/A</v>
      </c>
      <c r="AP65" s="28" t="e">
        <v>#N/A</v>
      </c>
      <c r="AQ65" s="28" t="e">
        <v>#N/A</v>
      </c>
      <c r="AR65" s="28" t="e">
        <v>#N/A</v>
      </c>
      <c r="AS65" s="28" t="e">
        <v>#N/A</v>
      </c>
      <c r="AT65" s="28" t="e">
        <v>#N/A</v>
      </c>
      <c r="AU65" s="28" t="e">
        <v>#N/A</v>
      </c>
      <c r="AV65" s="28" t="e">
        <v>#N/A</v>
      </c>
      <c r="AW65" s="28" t="e">
        <v>#N/A</v>
      </c>
      <c r="AX65" s="28" t="e">
        <v>#N/A</v>
      </c>
      <c r="AY65" s="28" t="e">
        <v>#N/A</v>
      </c>
      <c r="AZ65" s="28" t="e">
        <v>#N/A</v>
      </c>
      <c r="BA65" s="3">
        <v>6393.83</v>
      </c>
      <c r="BB65">
        <f>IF(ISNUMBER(VLOOKUP($B65,CEIC_DATA!$I$26:$N$353,Haver_M!BB$2,FALSE)),VLOOKUP($B65,CEIC_DATA!$I$26:$N$353,Haver_M!BB$2,FALSE),NA())</f>
        <v>93.563651309999997</v>
      </c>
      <c r="BC65">
        <f>IF(ISNUMBER(VLOOKUP($B65,CEIC_DATA!$I$26:$N$353,Haver_M!BC$2,FALSE)),VLOOKUP($B65,CEIC_DATA!$I$26:$N$353,Haver_M!BC$2,FALSE),NA())</f>
        <v>122</v>
      </c>
      <c r="BD65">
        <f>IF(ISNUMBER(VLOOKUP($B65,CEIC_DATA!$I$26:$N$353,Haver_M!BD$2,FALSE)),VLOOKUP($B65,CEIC_DATA!$I$26:$N$353,Haver_M!BD$2,FALSE),NA())</f>
        <v>121.5</v>
      </c>
      <c r="BE65">
        <f>IF(ISNUMBER(VLOOKUP($B65,CEIC_DATA!$I$26:$N$353,Haver_M!BE$2,FALSE)),VLOOKUP($B65,CEIC_DATA!$I$26:$N$353,Haver_M!BE$2,FALSE),NA())</f>
        <v>47.4</v>
      </c>
      <c r="BF65">
        <v>579940</v>
      </c>
      <c r="BG65">
        <v>32645</v>
      </c>
      <c r="BH65">
        <v>740697</v>
      </c>
      <c r="BI65">
        <v>99228</v>
      </c>
      <c r="BJ65" s="3" t="e">
        <v>#N/A</v>
      </c>
      <c r="BK65" s="3" t="e">
        <v>#N/A</v>
      </c>
      <c r="BL65" s="3" t="e">
        <v>#N/A</v>
      </c>
      <c r="BM65" s="3" t="e">
        <v>#N/A</v>
      </c>
      <c r="BN65" s="3">
        <v>7357</v>
      </c>
      <c r="BO65" s="3">
        <v>10457</v>
      </c>
      <c r="BP65" s="28">
        <v>43.979599999999998</v>
      </c>
      <c r="BQ65" s="28" t="str">
        <f t="shared" si="1"/>
        <v/>
      </c>
      <c r="BR65" s="28" t="str">
        <f t="shared" si="2"/>
        <v/>
      </c>
      <c r="BS65" s="28" t="str">
        <f t="shared" si="3"/>
        <v/>
      </c>
      <c r="BT65" s="28" t="str">
        <f t="shared" si="4"/>
        <v/>
      </c>
      <c r="BU65" s="4">
        <v>21697</v>
      </c>
    </row>
    <row r="66" spans="1:73" x14ac:dyDescent="0.25">
      <c r="A66" t="s">
        <v>65</v>
      </c>
      <c r="B66" s="2">
        <v>38383</v>
      </c>
      <c r="C66" s="3">
        <v>6</v>
      </c>
      <c r="D66" s="28">
        <v>6.7091000000000003</v>
      </c>
      <c r="E66" s="34">
        <v>94.850970000000004</v>
      </c>
      <c r="F66" s="5">
        <v>56.3</v>
      </c>
      <c r="G66" s="5" t="e">
        <v>#N/A</v>
      </c>
      <c r="H66" s="3">
        <v>61.44</v>
      </c>
      <c r="I66" s="3">
        <v>67.239999999999995</v>
      </c>
      <c r="J66" s="3">
        <v>41.84</v>
      </c>
      <c r="K66" s="3">
        <v>71.290000000000006</v>
      </c>
      <c r="L66" s="3" t="e">
        <v>#N/A</v>
      </c>
      <c r="M66" s="3">
        <v>36.71</v>
      </c>
      <c r="N66" s="3">
        <v>70.02</v>
      </c>
      <c r="O66" s="5">
        <v>70</v>
      </c>
      <c r="P66" s="52">
        <v>70.034999999999997</v>
      </c>
      <c r="Q66" s="52">
        <v>89.447999999999993</v>
      </c>
      <c r="R66" s="52">
        <v>68.605999999999995</v>
      </c>
      <c r="S66" s="52">
        <v>76.013000000000005</v>
      </c>
      <c r="T66" s="52">
        <v>96.245999999999995</v>
      </c>
      <c r="U66" s="52">
        <v>58.518000000000001</v>
      </c>
      <c r="V66" s="52">
        <v>57.686</v>
      </c>
      <c r="W66" s="52">
        <v>67.84</v>
      </c>
      <c r="X66" s="3">
        <v>9406.8996931655729</v>
      </c>
      <c r="Y66" s="3">
        <v>8057.99</v>
      </c>
      <c r="Z66" s="3">
        <v>11004.6</v>
      </c>
      <c r="AA66" s="4" t="e">
        <v>#N/A</v>
      </c>
      <c r="AB66" s="4" t="e">
        <v>#N/A</v>
      </c>
      <c r="AC66" s="5" t="e">
        <v>#N/A</v>
      </c>
      <c r="AD66" s="5" t="e">
        <v>#N/A</v>
      </c>
      <c r="AE66" s="34">
        <v>53.372989984428685</v>
      </c>
      <c r="AF66" s="28" t="e">
        <v>#N/A</v>
      </c>
      <c r="AG66" s="28" t="e">
        <v>#N/A</v>
      </c>
      <c r="AH66" s="28" t="e">
        <v>#N/A</v>
      </c>
      <c r="AI66" s="28" t="e">
        <v>#N/A</v>
      </c>
      <c r="AJ66" s="28" t="e">
        <v>#N/A</v>
      </c>
      <c r="AK66" s="28" t="e">
        <v>#N/A</v>
      </c>
      <c r="AL66" s="28" t="e">
        <v>#N/A</v>
      </c>
      <c r="AM66" s="28" t="e">
        <v>#N/A</v>
      </c>
      <c r="AN66" s="28" t="e">
        <v>#N/A</v>
      </c>
      <c r="AO66" s="28" t="e">
        <v>#N/A</v>
      </c>
      <c r="AP66" s="28" t="e">
        <v>#N/A</v>
      </c>
      <c r="AQ66" s="28" t="e">
        <v>#N/A</v>
      </c>
      <c r="AR66" s="28" t="e">
        <v>#N/A</v>
      </c>
      <c r="AS66" s="28" t="e">
        <v>#N/A</v>
      </c>
      <c r="AT66" s="28" t="e">
        <v>#N/A</v>
      </c>
      <c r="AU66" s="28" t="e">
        <v>#N/A</v>
      </c>
      <c r="AV66" s="28" t="e">
        <v>#N/A</v>
      </c>
      <c r="AW66" s="28" t="e">
        <v>#N/A</v>
      </c>
      <c r="AX66" s="28" t="e">
        <v>#N/A</v>
      </c>
      <c r="AY66" s="28" t="e">
        <v>#N/A</v>
      </c>
      <c r="AZ66" s="28" t="e">
        <v>#N/A</v>
      </c>
      <c r="BA66" s="3">
        <v>6306.99</v>
      </c>
      <c r="BB66">
        <f>IF(ISNUMBER(VLOOKUP($B66,CEIC_DATA!$I$26:$N$353,Haver_M!BB$2,FALSE)),VLOOKUP($B66,CEIC_DATA!$I$26:$N$353,Haver_M!BB$2,FALSE),NA())</f>
        <v>92.729371540000002</v>
      </c>
      <c r="BC66" t="e">
        <f>IF(ISNUMBER(VLOOKUP($B66,CEIC_DATA!$I$26:$N$353,Haver_M!BC$2,FALSE)),VLOOKUP($B66,CEIC_DATA!$I$26:$N$353,Haver_M!BC$2,FALSE),NA())</f>
        <v>#N/A</v>
      </c>
      <c r="BD66" t="e">
        <f>IF(ISNUMBER(VLOOKUP($B66,CEIC_DATA!$I$26:$N$353,Haver_M!BD$2,FALSE)),VLOOKUP($B66,CEIC_DATA!$I$26:$N$353,Haver_M!BD$2,FALSE),NA())</f>
        <v>#N/A</v>
      </c>
      <c r="BE66" t="e">
        <f>IF(ISNUMBER(VLOOKUP($B66,CEIC_DATA!$I$26:$N$353,Haver_M!BE$2,FALSE)),VLOOKUP($B66,CEIC_DATA!$I$26:$N$353,Haver_M!BE$2,FALSE),NA())</f>
        <v>#N/A</v>
      </c>
      <c r="BF66">
        <v>564678</v>
      </c>
      <c r="BG66">
        <v>32936</v>
      </c>
      <c r="BH66">
        <v>741703</v>
      </c>
      <c r="BI66">
        <v>112964</v>
      </c>
      <c r="BJ66" s="3" t="e">
        <v>#N/A</v>
      </c>
      <c r="BK66" s="3" t="e">
        <v>#N/A</v>
      </c>
      <c r="BL66" s="3" t="e">
        <v>#N/A</v>
      </c>
      <c r="BM66" s="3" t="e">
        <v>#N/A</v>
      </c>
      <c r="BN66" s="3">
        <v>8194</v>
      </c>
      <c r="BO66" s="3">
        <v>11009</v>
      </c>
      <c r="BP66" s="28">
        <v>43.7545</v>
      </c>
      <c r="BQ66" s="28" t="str">
        <f t="shared" si="1"/>
        <v/>
      </c>
      <c r="BR66" s="28" t="str">
        <f t="shared" si="2"/>
        <v/>
      </c>
      <c r="BS66" s="28" t="str">
        <f t="shared" si="3"/>
        <v/>
      </c>
      <c r="BT66" s="28" t="str">
        <f t="shared" si="4"/>
        <v/>
      </c>
      <c r="BU66" s="4">
        <v>21549</v>
      </c>
    </row>
    <row r="67" spans="1:73" x14ac:dyDescent="0.25">
      <c r="A67" t="s">
        <v>66</v>
      </c>
      <c r="B67" s="2">
        <v>38411</v>
      </c>
      <c r="C67" s="3">
        <v>6</v>
      </c>
      <c r="D67" s="28">
        <v>6.4866999999999999</v>
      </c>
      <c r="E67" s="34">
        <v>94.804680000000005</v>
      </c>
      <c r="F67" s="5">
        <v>56.3</v>
      </c>
      <c r="G67" s="5" t="e">
        <v>#N/A</v>
      </c>
      <c r="H67" s="3">
        <v>62.33</v>
      </c>
      <c r="I67" s="3">
        <v>66.97</v>
      </c>
      <c r="J67" s="3">
        <v>45.65</v>
      </c>
      <c r="K67" s="3">
        <v>73.650000000000006</v>
      </c>
      <c r="L67" s="3" t="e">
        <v>#N/A</v>
      </c>
      <c r="M67" s="3">
        <v>38.090000000000003</v>
      </c>
      <c r="N67" s="3">
        <v>67.22</v>
      </c>
      <c r="O67" s="5">
        <v>69.599999999999994</v>
      </c>
      <c r="P67" s="52">
        <v>71.781000000000006</v>
      </c>
      <c r="Q67" s="52">
        <v>87.74</v>
      </c>
      <c r="R67" s="52">
        <v>63.341000000000001</v>
      </c>
      <c r="S67" s="52">
        <v>75.477999999999994</v>
      </c>
      <c r="T67" s="52">
        <v>89.906999999999996</v>
      </c>
      <c r="U67" s="52">
        <v>58.758000000000003</v>
      </c>
      <c r="V67" s="52">
        <v>57.872999999999998</v>
      </c>
      <c r="W67" s="52">
        <v>68.233999999999995</v>
      </c>
      <c r="X67" s="3">
        <v>9435.3278975658377</v>
      </c>
      <c r="Y67" s="3">
        <v>8206.19</v>
      </c>
      <c r="Z67" s="3">
        <v>11665.7</v>
      </c>
      <c r="AA67" s="4" t="e">
        <v>#N/A</v>
      </c>
      <c r="AB67" s="4" t="e">
        <v>#N/A</v>
      </c>
      <c r="AC67" s="5" t="e">
        <v>#N/A</v>
      </c>
      <c r="AD67" s="5" t="e">
        <v>#N/A</v>
      </c>
      <c r="AE67" s="34">
        <v>57.54568162113393</v>
      </c>
      <c r="AF67" s="28" t="e">
        <v>#N/A</v>
      </c>
      <c r="AG67" s="28" t="e">
        <v>#N/A</v>
      </c>
      <c r="AH67" s="28" t="e">
        <v>#N/A</v>
      </c>
      <c r="AI67" s="28" t="e">
        <v>#N/A</v>
      </c>
      <c r="AJ67" s="28" t="e">
        <v>#N/A</v>
      </c>
      <c r="AK67" s="28" t="e">
        <v>#N/A</v>
      </c>
      <c r="AL67" s="28" t="e">
        <v>#N/A</v>
      </c>
      <c r="AM67" s="28" t="e">
        <v>#N/A</v>
      </c>
      <c r="AN67" s="28" t="e">
        <v>#N/A</v>
      </c>
      <c r="AO67" s="28" t="e">
        <v>#N/A</v>
      </c>
      <c r="AP67" s="28" t="e">
        <v>#N/A</v>
      </c>
      <c r="AQ67" s="28" t="e">
        <v>#N/A</v>
      </c>
      <c r="AR67" s="28" t="e">
        <v>#N/A</v>
      </c>
      <c r="AS67" s="28" t="e">
        <v>#N/A</v>
      </c>
      <c r="AT67" s="28" t="e">
        <v>#N/A</v>
      </c>
      <c r="AU67" s="28" t="e">
        <v>#N/A</v>
      </c>
      <c r="AV67" s="28" t="e">
        <v>#N/A</v>
      </c>
      <c r="AW67" s="28" t="e">
        <v>#N/A</v>
      </c>
      <c r="AX67" s="28" t="e">
        <v>#N/A</v>
      </c>
      <c r="AY67" s="28" t="e">
        <v>#N/A</v>
      </c>
      <c r="AZ67" s="28" t="e">
        <v>#N/A</v>
      </c>
      <c r="BA67" s="3">
        <v>6595.05</v>
      </c>
      <c r="BB67">
        <f>IF(ISNUMBER(VLOOKUP($B67,CEIC_DATA!$I$26:$N$353,Haver_M!BB$2,FALSE)),VLOOKUP($B67,CEIC_DATA!$I$26:$N$353,Haver_M!BB$2,FALSE),NA())</f>
        <v>91.932543339999995</v>
      </c>
      <c r="BC67" t="e">
        <f>IF(ISNUMBER(VLOOKUP($B67,CEIC_DATA!$I$26:$N$353,Haver_M!BC$2,FALSE)),VLOOKUP($B67,CEIC_DATA!$I$26:$N$353,Haver_M!BC$2,FALSE),NA())</f>
        <v>#N/A</v>
      </c>
      <c r="BD67" t="e">
        <f>IF(ISNUMBER(VLOOKUP($B67,CEIC_DATA!$I$26:$N$353,Haver_M!BD$2,FALSE)),VLOOKUP($B67,CEIC_DATA!$I$26:$N$353,Haver_M!BD$2,FALSE),NA())</f>
        <v>#N/A</v>
      </c>
      <c r="BE67" t="e">
        <f>IF(ISNUMBER(VLOOKUP($B67,CEIC_DATA!$I$26:$N$353,Haver_M!BE$2,FALSE)),VLOOKUP($B67,CEIC_DATA!$I$26:$N$353,Haver_M!BE$2,FALSE),NA())</f>
        <v>#N/A</v>
      </c>
      <c r="BF67">
        <v>553394</v>
      </c>
      <c r="BG67">
        <v>32601</v>
      </c>
      <c r="BH67">
        <v>712831</v>
      </c>
      <c r="BI67">
        <v>93425</v>
      </c>
      <c r="BJ67" s="3" t="e">
        <v>#N/A</v>
      </c>
      <c r="BK67" s="3" t="e">
        <v>#N/A</v>
      </c>
      <c r="BL67" s="3" t="e">
        <v>#N/A</v>
      </c>
      <c r="BM67" s="3" t="e">
        <v>#N/A</v>
      </c>
      <c r="BN67" s="3">
        <v>8046</v>
      </c>
      <c r="BO67" s="3">
        <v>10357</v>
      </c>
      <c r="BP67" s="28">
        <v>43.6798</v>
      </c>
      <c r="BQ67" s="28" t="str">
        <f t="shared" si="1"/>
        <v/>
      </c>
      <c r="BR67" s="28" t="str">
        <f t="shared" si="2"/>
        <v/>
      </c>
      <c r="BS67" s="28" t="str">
        <f t="shared" si="3"/>
        <v/>
      </c>
      <c r="BT67" s="28" t="str">
        <f t="shared" si="4"/>
        <v/>
      </c>
      <c r="BU67" s="4">
        <v>19978</v>
      </c>
    </row>
    <row r="68" spans="1:73" x14ac:dyDescent="0.25">
      <c r="A68" t="s">
        <v>67</v>
      </c>
      <c r="B68" s="2">
        <v>38442</v>
      </c>
      <c r="C68" s="3">
        <v>6</v>
      </c>
      <c r="D68" s="28">
        <v>6.6852999999999998</v>
      </c>
      <c r="E68" s="34">
        <v>93.460149999999999</v>
      </c>
      <c r="F68" s="5">
        <v>56.3</v>
      </c>
      <c r="G68" s="5" t="e">
        <v>#N/A</v>
      </c>
      <c r="H68" s="3">
        <v>62.95</v>
      </c>
      <c r="I68" s="3">
        <v>67.94</v>
      </c>
      <c r="J68" s="3">
        <v>52.68</v>
      </c>
      <c r="K68" s="3">
        <v>73.36</v>
      </c>
      <c r="L68" s="3" t="e">
        <v>#N/A</v>
      </c>
      <c r="M68" s="3">
        <v>37.74</v>
      </c>
      <c r="N68" s="3">
        <v>66.64</v>
      </c>
      <c r="O68" s="5">
        <v>70.3</v>
      </c>
      <c r="P68" s="52">
        <v>70.331000000000003</v>
      </c>
      <c r="Q68" s="52">
        <v>88.6</v>
      </c>
      <c r="R68" s="52">
        <v>69.819000000000003</v>
      </c>
      <c r="S68" s="52">
        <v>74.597999999999999</v>
      </c>
      <c r="T68" s="52">
        <v>91.521000000000001</v>
      </c>
      <c r="U68" s="52">
        <v>59.685000000000002</v>
      </c>
      <c r="V68" s="52">
        <v>58.118000000000002</v>
      </c>
      <c r="W68" s="52">
        <v>69.603999999999999</v>
      </c>
      <c r="X68" s="3">
        <v>9579.6289159036096</v>
      </c>
      <c r="Y68" s="3">
        <v>8444.14</v>
      </c>
      <c r="Z68" s="3">
        <v>11861.42</v>
      </c>
      <c r="AA68" s="4" t="e">
        <v>#N/A</v>
      </c>
      <c r="AB68" s="4" t="e">
        <v>#N/A</v>
      </c>
      <c r="AC68" s="5" t="e">
        <v>#N/A</v>
      </c>
      <c r="AD68" s="5" t="e">
        <v>#N/A</v>
      </c>
      <c r="AE68" s="34">
        <v>43.429500440619563</v>
      </c>
      <c r="AF68" s="28" t="e">
        <v>#N/A</v>
      </c>
      <c r="AG68" s="28">
        <v>59.661700000000003</v>
      </c>
      <c r="AH68" s="28" t="e">
        <v>#N/A</v>
      </c>
      <c r="AI68" s="28">
        <v>64.168199999999999</v>
      </c>
      <c r="AJ68" s="28">
        <v>68.8</v>
      </c>
      <c r="AK68" s="28">
        <v>53.958300000000001</v>
      </c>
      <c r="AL68" s="28">
        <v>55.543900000000001</v>
      </c>
      <c r="AM68" s="28">
        <v>55.195999999999998</v>
      </c>
      <c r="AN68" s="28">
        <v>69.738799999999998</v>
      </c>
      <c r="AO68" s="28">
        <v>64.927099999999996</v>
      </c>
      <c r="AP68" s="28">
        <v>52.046199999999999</v>
      </c>
      <c r="AQ68" s="28">
        <v>62.413200000000003</v>
      </c>
      <c r="AR68" s="28">
        <v>64.135000000000005</v>
      </c>
      <c r="AS68" s="28">
        <v>48.806100000000001</v>
      </c>
      <c r="AT68" s="28">
        <v>1.3219000000000001</v>
      </c>
      <c r="AU68" s="28" t="e">
        <v>#N/A</v>
      </c>
      <c r="AV68" s="28" t="e">
        <v>#N/A</v>
      </c>
      <c r="AW68" s="28" t="e">
        <v>#N/A</v>
      </c>
      <c r="AX68" s="28" t="e">
        <v>#N/A</v>
      </c>
      <c r="AY68" s="28" t="e">
        <v>#N/A</v>
      </c>
      <c r="AZ68" s="28" t="e">
        <v>#N/A</v>
      </c>
      <c r="BA68" s="3">
        <v>6679.18</v>
      </c>
      <c r="BB68">
        <f>IF(ISNUMBER(VLOOKUP($B68,CEIC_DATA!$I$26:$N$353,Haver_M!BB$2,FALSE)),VLOOKUP($B68,CEIC_DATA!$I$26:$N$353,Haver_M!BB$2,FALSE),NA())</f>
        <v>91.477532929999995</v>
      </c>
      <c r="BC68">
        <f>IF(ISNUMBER(VLOOKUP($B68,CEIC_DATA!$I$26:$N$353,Haver_M!BC$2,FALSE)),VLOOKUP($B68,CEIC_DATA!$I$26:$N$353,Haver_M!BC$2,FALSE),NA())</f>
        <v>122.5</v>
      </c>
      <c r="BD68">
        <f>IF(ISNUMBER(VLOOKUP($B68,CEIC_DATA!$I$26:$N$353,Haver_M!BD$2,FALSE)),VLOOKUP($B68,CEIC_DATA!$I$26:$N$353,Haver_M!BD$2,FALSE),NA())</f>
        <v>123.2</v>
      </c>
      <c r="BE68">
        <f>IF(ISNUMBER(VLOOKUP($B68,CEIC_DATA!$I$26:$N$353,Haver_M!BE$2,FALSE)),VLOOKUP($B68,CEIC_DATA!$I$26:$N$353,Haver_M!BE$2,FALSE),NA())</f>
        <v>47.4</v>
      </c>
      <c r="BF68">
        <v>587321</v>
      </c>
      <c r="BG68">
        <v>39620</v>
      </c>
      <c r="BH68">
        <v>795555</v>
      </c>
      <c r="BI68">
        <v>132199</v>
      </c>
      <c r="BJ68" s="3" t="e">
        <v>#N/A</v>
      </c>
      <c r="BK68" s="3" t="e">
        <v>#N/A</v>
      </c>
      <c r="BL68" s="3" t="e">
        <v>#N/A</v>
      </c>
      <c r="BM68" s="3" t="e">
        <v>#N/A</v>
      </c>
      <c r="BN68" s="3">
        <v>10155</v>
      </c>
      <c r="BO68" s="3">
        <v>12369</v>
      </c>
      <c r="BP68" s="28">
        <v>43.6905</v>
      </c>
      <c r="BQ68" s="28" t="str">
        <f t="shared" si="1"/>
        <v/>
      </c>
      <c r="BR68" s="28" t="str">
        <f t="shared" si="2"/>
        <v/>
      </c>
      <c r="BS68" s="28" t="str">
        <f t="shared" si="3"/>
        <v/>
      </c>
      <c r="BT68" s="28" t="str">
        <f t="shared" si="4"/>
        <v/>
      </c>
      <c r="BU68" s="4">
        <v>17971</v>
      </c>
    </row>
    <row r="69" spans="1:73" x14ac:dyDescent="0.25">
      <c r="A69" t="s">
        <v>68</v>
      </c>
      <c r="B69" s="2">
        <v>38472</v>
      </c>
      <c r="C69" s="3">
        <v>6</v>
      </c>
      <c r="D69" s="28">
        <v>7.1866000000000003</v>
      </c>
      <c r="E69" s="34">
        <v>94.404399999999995</v>
      </c>
      <c r="F69" s="5">
        <v>56.7</v>
      </c>
      <c r="G69" s="5" t="e">
        <v>#N/A</v>
      </c>
      <c r="H69" s="3">
        <v>62.69</v>
      </c>
      <c r="I69" s="3">
        <v>68</v>
      </c>
      <c r="J69" s="3">
        <v>42.4</v>
      </c>
      <c r="K69" s="3">
        <v>74.819999999999993</v>
      </c>
      <c r="L69" s="3" t="e">
        <v>#N/A</v>
      </c>
      <c r="M69" s="3">
        <v>37.5</v>
      </c>
      <c r="N69" s="3">
        <v>69.14</v>
      </c>
      <c r="O69" s="5">
        <v>70</v>
      </c>
      <c r="P69" s="52">
        <v>75.926000000000002</v>
      </c>
      <c r="Q69" s="52">
        <v>88.450999999999993</v>
      </c>
      <c r="R69" s="52">
        <v>66.947000000000003</v>
      </c>
      <c r="S69" s="52">
        <v>71.748999999999995</v>
      </c>
      <c r="T69" s="52">
        <v>92.326999999999998</v>
      </c>
      <c r="U69" s="52">
        <v>58.442999999999998</v>
      </c>
      <c r="V69" s="52">
        <v>60.081000000000003</v>
      </c>
      <c r="W69" s="52">
        <v>68.510999999999996</v>
      </c>
      <c r="X69" s="3">
        <v>8986.4156721758882</v>
      </c>
      <c r="Y69" s="3">
        <v>8036.1</v>
      </c>
      <c r="Z69" s="3">
        <v>11723.19</v>
      </c>
      <c r="AA69" s="4" t="e">
        <v>#N/A</v>
      </c>
      <c r="AB69" s="4" t="e">
        <v>#N/A</v>
      </c>
      <c r="AC69" s="5" t="e">
        <v>#N/A</v>
      </c>
      <c r="AD69" s="5" t="e">
        <v>#N/A</v>
      </c>
      <c r="AE69" s="34">
        <v>76.389614784192091</v>
      </c>
      <c r="AF69" s="28" t="e">
        <v>#N/A</v>
      </c>
      <c r="AG69" s="28">
        <v>57.080100000000002</v>
      </c>
      <c r="AH69" s="28" t="e">
        <v>#N/A</v>
      </c>
      <c r="AI69" s="28">
        <v>59.405299999999997</v>
      </c>
      <c r="AJ69" s="28">
        <v>62.915100000000002</v>
      </c>
      <c r="AK69" s="28">
        <v>52.363300000000002</v>
      </c>
      <c r="AL69" s="28">
        <v>48.351599999999998</v>
      </c>
      <c r="AM69" s="28">
        <v>51.3431</v>
      </c>
      <c r="AN69" s="28">
        <v>64.458399999999997</v>
      </c>
      <c r="AO69" s="28">
        <v>57.310600000000001</v>
      </c>
      <c r="AP69" s="28">
        <v>50.791699999999999</v>
      </c>
      <c r="AQ69" s="28">
        <v>59.249600000000001</v>
      </c>
      <c r="AR69" s="28">
        <v>60.422699999999999</v>
      </c>
      <c r="AS69" s="28">
        <v>48.554900000000004</v>
      </c>
      <c r="AT69" s="28">
        <v>1.2386999999999999</v>
      </c>
      <c r="AU69" s="28" t="e">
        <v>#N/A</v>
      </c>
      <c r="AV69" s="28" t="e">
        <v>#N/A</v>
      </c>
      <c r="AW69" s="28" t="e">
        <v>#N/A</v>
      </c>
      <c r="AX69" s="28" t="e">
        <v>#N/A</v>
      </c>
      <c r="AY69" s="28" t="e">
        <v>#N/A</v>
      </c>
      <c r="AZ69" s="28" t="e">
        <v>#N/A</v>
      </c>
      <c r="BA69" s="3">
        <v>6379.29</v>
      </c>
      <c r="BB69">
        <f>IF(ISNUMBER(VLOOKUP($B69,CEIC_DATA!$I$26:$N$353,Haver_M!BB$2,FALSE)),VLOOKUP($B69,CEIC_DATA!$I$26:$N$353,Haver_M!BB$2,FALSE),NA())</f>
        <v>91.4006823</v>
      </c>
      <c r="BC69" t="e">
        <f>IF(ISNUMBER(VLOOKUP($B69,CEIC_DATA!$I$26:$N$353,Haver_M!BC$2,FALSE)),VLOOKUP($B69,CEIC_DATA!$I$26:$N$353,Haver_M!BC$2,FALSE),NA())</f>
        <v>#N/A</v>
      </c>
      <c r="BD69" t="e">
        <f>IF(ISNUMBER(VLOOKUP($B69,CEIC_DATA!$I$26:$N$353,Haver_M!BD$2,FALSE)),VLOOKUP($B69,CEIC_DATA!$I$26:$N$353,Haver_M!BD$2,FALSE),NA())</f>
        <v>#N/A</v>
      </c>
      <c r="BE69" t="e">
        <f>IF(ISNUMBER(VLOOKUP($B69,CEIC_DATA!$I$26:$N$353,Haver_M!BE$2,FALSE)),VLOOKUP($B69,CEIC_DATA!$I$26:$N$353,Haver_M!BE$2,FALSE),NA())</f>
        <v>#N/A</v>
      </c>
      <c r="BF69">
        <v>579835</v>
      </c>
      <c r="BG69">
        <v>19141</v>
      </c>
      <c r="BH69">
        <v>720718</v>
      </c>
      <c r="BI69">
        <v>93201</v>
      </c>
      <c r="BJ69" s="3" t="e">
        <v>#N/A</v>
      </c>
      <c r="BK69" s="3" t="e">
        <v>#N/A</v>
      </c>
      <c r="BL69" s="3" t="e">
        <v>#N/A</v>
      </c>
      <c r="BM69" s="3" t="e">
        <v>#N/A</v>
      </c>
      <c r="BN69" s="3">
        <v>7680</v>
      </c>
      <c r="BO69" s="3">
        <v>11336</v>
      </c>
      <c r="BP69" s="28">
        <v>43.741199999999999</v>
      </c>
      <c r="BQ69" s="28" t="str">
        <f t="shared" si="1"/>
        <v/>
      </c>
      <c r="BR69" s="28" t="str">
        <f t="shared" si="2"/>
        <v/>
      </c>
      <c r="BS69" s="28" t="str">
        <f t="shared" si="3"/>
        <v/>
      </c>
      <c r="BT69" s="28" t="str">
        <f t="shared" si="4"/>
        <v/>
      </c>
      <c r="BU69" s="4">
        <v>28490</v>
      </c>
    </row>
    <row r="70" spans="1:73" x14ac:dyDescent="0.25">
      <c r="A70" t="s">
        <v>69</v>
      </c>
      <c r="B70" s="2">
        <v>38503</v>
      </c>
      <c r="C70" s="3">
        <v>6</v>
      </c>
      <c r="D70" s="28">
        <v>7.0602</v>
      </c>
      <c r="E70" s="34">
        <v>95.619320000000002</v>
      </c>
      <c r="F70" s="5">
        <v>56.4</v>
      </c>
      <c r="G70" s="5" t="e">
        <v>#N/A</v>
      </c>
      <c r="H70" s="3">
        <v>63.15</v>
      </c>
      <c r="I70" s="3">
        <v>68.23</v>
      </c>
      <c r="J70" s="3">
        <v>46.29</v>
      </c>
      <c r="K70" s="3">
        <v>74.27</v>
      </c>
      <c r="L70" s="3" t="e">
        <v>#N/A</v>
      </c>
      <c r="M70" s="3">
        <v>38.89</v>
      </c>
      <c r="N70" s="3">
        <v>70.25</v>
      </c>
      <c r="O70" s="5">
        <v>70.5</v>
      </c>
      <c r="P70" s="52">
        <v>73.894000000000005</v>
      </c>
      <c r="Q70" s="52">
        <v>87.566999999999993</v>
      </c>
      <c r="R70" s="52">
        <v>68.004999999999995</v>
      </c>
      <c r="S70" s="52">
        <v>73.721000000000004</v>
      </c>
      <c r="T70" s="52">
        <v>93.061000000000007</v>
      </c>
      <c r="U70" s="52">
        <v>57.66</v>
      </c>
      <c r="V70" s="52">
        <v>62.311</v>
      </c>
      <c r="W70" s="52">
        <v>69.510000000000005</v>
      </c>
      <c r="X70" s="3">
        <v>9283.4832659079893</v>
      </c>
      <c r="Y70" s="3">
        <v>7932.98</v>
      </c>
      <c r="Z70" s="3">
        <v>12252.02</v>
      </c>
      <c r="AA70" s="4" t="e">
        <v>#N/A</v>
      </c>
      <c r="AB70" s="4" t="e">
        <v>#N/A</v>
      </c>
      <c r="AC70" s="5" t="e">
        <v>#N/A</v>
      </c>
      <c r="AD70" s="5" t="e">
        <v>#N/A</v>
      </c>
      <c r="AE70" s="34">
        <v>62.801357976279888</v>
      </c>
      <c r="AF70" s="28" t="e">
        <v>#N/A</v>
      </c>
      <c r="AG70" s="28">
        <v>57.285800000000002</v>
      </c>
      <c r="AH70" s="28" t="e">
        <v>#N/A</v>
      </c>
      <c r="AI70" s="28">
        <v>61.0702</v>
      </c>
      <c r="AJ70" s="28">
        <v>62.722999999999999</v>
      </c>
      <c r="AK70" s="28">
        <v>52.081800000000001</v>
      </c>
      <c r="AL70" s="28">
        <v>49.596800000000002</v>
      </c>
      <c r="AM70" s="28">
        <v>52.244700000000002</v>
      </c>
      <c r="AN70" s="28">
        <v>59.2746</v>
      </c>
      <c r="AO70" s="28">
        <v>58.168500000000002</v>
      </c>
      <c r="AP70" s="28">
        <v>48.021700000000003</v>
      </c>
      <c r="AQ70" s="28">
        <v>57.9923</v>
      </c>
      <c r="AR70" s="28">
        <v>56.171599999999998</v>
      </c>
      <c r="AS70" s="28">
        <v>49.137099999999997</v>
      </c>
      <c r="AT70" s="28">
        <v>1.3061</v>
      </c>
      <c r="AU70" s="28" t="e">
        <v>#N/A</v>
      </c>
      <c r="AV70" s="28" t="e">
        <v>#N/A</v>
      </c>
      <c r="AW70" s="28" t="e">
        <v>#N/A</v>
      </c>
      <c r="AX70" s="28" t="e">
        <v>#N/A</v>
      </c>
      <c r="AY70" s="28" t="e">
        <v>#N/A</v>
      </c>
      <c r="AZ70" s="28" t="e">
        <v>#N/A</v>
      </c>
      <c r="BA70" s="3">
        <v>6482.66</v>
      </c>
      <c r="BB70">
        <f>IF(ISNUMBER(VLOOKUP($B70,CEIC_DATA!$I$26:$N$353,Haver_M!BB$2,FALSE)),VLOOKUP($B70,CEIC_DATA!$I$26:$N$353,Haver_M!BB$2,FALSE),NA())</f>
        <v>91.624583090000002</v>
      </c>
      <c r="BC70" t="e">
        <f>IF(ISNUMBER(VLOOKUP($B70,CEIC_DATA!$I$26:$N$353,Haver_M!BC$2,FALSE)),VLOOKUP($B70,CEIC_DATA!$I$26:$N$353,Haver_M!BC$2,FALSE),NA())</f>
        <v>#N/A</v>
      </c>
      <c r="BD70" t="e">
        <f>IF(ISNUMBER(VLOOKUP($B70,CEIC_DATA!$I$26:$N$353,Haver_M!BD$2,FALSE)),VLOOKUP($B70,CEIC_DATA!$I$26:$N$353,Haver_M!BD$2,FALSE),NA())</f>
        <v>#N/A</v>
      </c>
      <c r="BE70" t="e">
        <f>IF(ISNUMBER(VLOOKUP($B70,CEIC_DATA!$I$26:$N$353,Haver_M!BE$2,FALSE)),VLOOKUP($B70,CEIC_DATA!$I$26:$N$353,Haver_M!BE$2,FALSE),NA())</f>
        <v>#N/A</v>
      </c>
      <c r="BF70">
        <v>600111</v>
      </c>
      <c r="BG70">
        <v>26197</v>
      </c>
      <c r="BH70">
        <v>757192</v>
      </c>
      <c r="BI70">
        <v>102440</v>
      </c>
      <c r="BJ70" s="3" t="e">
        <v>#N/A</v>
      </c>
      <c r="BK70" s="3" t="e">
        <v>#N/A</v>
      </c>
      <c r="BL70" s="3" t="e">
        <v>#N/A</v>
      </c>
      <c r="BM70" s="3" t="e">
        <v>#N/A</v>
      </c>
      <c r="BN70" s="3">
        <v>7977</v>
      </c>
      <c r="BO70" s="3">
        <v>13232</v>
      </c>
      <c r="BP70" s="28">
        <v>43.488900000000001</v>
      </c>
      <c r="BQ70" s="28" t="str">
        <f t="shared" si="1"/>
        <v/>
      </c>
      <c r="BR70" s="28" t="str">
        <f t="shared" si="2"/>
        <v/>
      </c>
      <c r="BS70" s="28" t="str">
        <f t="shared" si="3"/>
        <v/>
      </c>
      <c r="BT70" s="28" t="str">
        <f t="shared" si="4"/>
        <v/>
      </c>
      <c r="BU70" s="4">
        <v>28335</v>
      </c>
    </row>
    <row r="71" spans="1:73" x14ac:dyDescent="0.25">
      <c r="A71" t="s">
        <v>70</v>
      </c>
      <c r="B71" s="2">
        <v>38533</v>
      </c>
      <c r="C71" s="3">
        <v>6</v>
      </c>
      <c r="D71" s="28">
        <v>6.8834999999999997</v>
      </c>
      <c r="E71" s="34">
        <v>97.391369999999995</v>
      </c>
      <c r="F71" s="5">
        <v>56.5</v>
      </c>
      <c r="G71" s="5" t="e">
        <v>#N/A</v>
      </c>
      <c r="H71" s="3">
        <v>64.27</v>
      </c>
      <c r="I71" s="3">
        <v>68.69</v>
      </c>
      <c r="J71" s="3">
        <v>46.55</v>
      </c>
      <c r="K71" s="3">
        <v>75.040000000000006</v>
      </c>
      <c r="L71" s="3" t="e">
        <v>#N/A</v>
      </c>
      <c r="M71" s="3">
        <v>39.21</v>
      </c>
      <c r="N71" s="3">
        <v>77.98</v>
      </c>
      <c r="O71" s="5">
        <v>71.3</v>
      </c>
      <c r="P71" s="52">
        <v>72.454999999999998</v>
      </c>
      <c r="Q71" s="52">
        <v>89.295000000000002</v>
      </c>
      <c r="R71" s="52">
        <v>69.438999999999993</v>
      </c>
      <c r="S71" s="52">
        <v>75.632999999999996</v>
      </c>
      <c r="T71" s="52">
        <v>93.382000000000005</v>
      </c>
      <c r="U71" s="52">
        <v>59.423000000000002</v>
      </c>
      <c r="V71" s="52">
        <v>61.723999999999997</v>
      </c>
      <c r="W71" s="52">
        <v>70.421999999999997</v>
      </c>
      <c r="X71" s="3">
        <v>9406.1419203597252</v>
      </c>
      <c r="Y71" s="3">
        <v>8002.53</v>
      </c>
      <c r="Z71" s="3">
        <v>11938.05</v>
      </c>
      <c r="AA71" s="4" t="e">
        <v>#N/A</v>
      </c>
      <c r="AB71" s="4" t="e">
        <v>#N/A</v>
      </c>
      <c r="AC71" s="5" t="e">
        <v>#N/A</v>
      </c>
      <c r="AD71" s="5" t="e">
        <v>#N/A</v>
      </c>
      <c r="AE71" s="34">
        <v>65.840052132014222</v>
      </c>
      <c r="AF71" s="28" t="e">
        <v>#N/A</v>
      </c>
      <c r="AG71" s="28">
        <v>58.377600000000001</v>
      </c>
      <c r="AH71" s="28" t="e">
        <v>#N/A</v>
      </c>
      <c r="AI71" s="28">
        <v>63.025500000000001</v>
      </c>
      <c r="AJ71" s="28">
        <v>65.868799999999993</v>
      </c>
      <c r="AK71" s="28">
        <v>52.185899999999997</v>
      </c>
      <c r="AL71" s="28">
        <v>51.909500000000001</v>
      </c>
      <c r="AM71" s="28">
        <v>52.098799999999997</v>
      </c>
      <c r="AN71" s="28">
        <v>55.7761</v>
      </c>
      <c r="AO71" s="28">
        <v>61.737200000000001</v>
      </c>
      <c r="AP71" s="28">
        <v>50.686100000000003</v>
      </c>
      <c r="AQ71" s="28">
        <v>60.329599999999999</v>
      </c>
      <c r="AR71" s="28">
        <v>52.688800000000001</v>
      </c>
      <c r="AS71" s="28">
        <v>49.578800000000001</v>
      </c>
      <c r="AT71" s="28">
        <v>1.2995000000000001</v>
      </c>
      <c r="AU71" s="28" t="e">
        <v>#N/A</v>
      </c>
      <c r="AV71" s="28" t="e">
        <v>#N/A</v>
      </c>
      <c r="AW71" s="28" t="e">
        <v>#N/A</v>
      </c>
      <c r="AX71" s="28" t="e">
        <v>#N/A</v>
      </c>
      <c r="AY71" s="28" t="e">
        <v>#N/A</v>
      </c>
      <c r="AZ71" s="28" t="e">
        <v>#N/A</v>
      </c>
      <c r="BA71" s="3">
        <v>6933.72</v>
      </c>
      <c r="BB71">
        <f>IF(ISNUMBER(VLOOKUP($B71,CEIC_DATA!$I$26:$N$353,Haver_M!BB$2,FALSE)),VLOOKUP($B71,CEIC_DATA!$I$26:$N$353,Haver_M!BB$2,FALSE),NA())</f>
        <v>92.044013390000003</v>
      </c>
      <c r="BC71">
        <f>IF(ISNUMBER(VLOOKUP($B71,CEIC_DATA!$I$26:$N$353,Haver_M!BC$2,FALSE)),VLOOKUP($B71,CEIC_DATA!$I$26:$N$353,Haver_M!BC$2,FALSE),NA())</f>
        <v>117.5</v>
      </c>
      <c r="BD71">
        <f>IF(ISNUMBER(VLOOKUP($B71,CEIC_DATA!$I$26:$N$353,Haver_M!BD$2,FALSE)),VLOOKUP($B71,CEIC_DATA!$I$26:$N$353,Haver_M!BD$2,FALSE),NA())</f>
        <v>120.7</v>
      </c>
      <c r="BE71">
        <f>IF(ISNUMBER(VLOOKUP($B71,CEIC_DATA!$I$26:$N$353,Haver_M!BE$2,FALSE)),VLOOKUP($B71,CEIC_DATA!$I$26:$N$353,Haver_M!BE$2,FALSE),NA())</f>
        <v>44.3</v>
      </c>
      <c r="BF71">
        <v>559378</v>
      </c>
      <c r="BG71">
        <v>29609</v>
      </c>
      <c r="BH71">
        <v>721552</v>
      </c>
      <c r="BI71">
        <v>99528</v>
      </c>
      <c r="BJ71" s="3" t="e">
        <v>#N/A</v>
      </c>
      <c r="BK71" s="3" t="e">
        <v>#N/A</v>
      </c>
      <c r="BL71" s="3" t="e">
        <v>#N/A</v>
      </c>
      <c r="BM71" s="3" t="e">
        <v>#N/A</v>
      </c>
      <c r="BN71" s="3">
        <v>7893</v>
      </c>
      <c r="BO71" s="3">
        <v>11803</v>
      </c>
      <c r="BP71" s="28">
        <v>43.583599999999997</v>
      </c>
      <c r="BQ71" s="28" t="str">
        <f t="shared" ref="BQ71:BQ134" si="5">IF(ISNUMBER(BJ71),BJ71/$BP71,"")</f>
        <v/>
      </c>
      <c r="BR71" s="28" t="str">
        <f t="shared" ref="BR71:BR134" si="6">IF(ISNUMBER(BK71),BK71/$BP71,"")</f>
        <v/>
      </c>
      <c r="BS71" s="28" t="str">
        <f t="shared" ref="BS71:BS134" si="7">IF(ISNUMBER(BL71),BL71/$BP71,"")</f>
        <v/>
      </c>
      <c r="BT71" s="28" t="str">
        <f t="shared" ref="BT71:BT134" si="8">IF(ISNUMBER(BM71),BM71/$BP71,"")</f>
        <v/>
      </c>
      <c r="BU71" s="4">
        <v>25113</v>
      </c>
    </row>
    <row r="72" spans="1:73" x14ac:dyDescent="0.25">
      <c r="A72" t="s">
        <v>71</v>
      </c>
      <c r="B72" s="2">
        <v>38564</v>
      </c>
      <c r="C72" s="3">
        <v>6</v>
      </c>
      <c r="D72" s="28">
        <v>6.9451000000000001</v>
      </c>
      <c r="E72" s="34">
        <v>98.65204</v>
      </c>
      <c r="F72" s="5">
        <v>57.4</v>
      </c>
      <c r="G72" s="5" t="e">
        <v>#N/A</v>
      </c>
      <c r="H72" s="3">
        <v>63.21</v>
      </c>
      <c r="I72" s="3">
        <v>67.39</v>
      </c>
      <c r="J72" s="3">
        <v>48.37</v>
      </c>
      <c r="K72" s="3">
        <v>76.16</v>
      </c>
      <c r="L72" s="3" t="e">
        <v>#N/A</v>
      </c>
      <c r="M72" s="3">
        <v>37.21</v>
      </c>
      <c r="N72" s="3">
        <v>71.319999999999993</v>
      </c>
      <c r="O72" s="5">
        <v>70</v>
      </c>
      <c r="P72" s="52">
        <v>74.266999999999996</v>
      </c>
      <c r="Q72" s="52">
        <v>85.695999999999998</v>
      </c>
      <c r="R72" s="52">
        <v>67.662999999999997</v>
      </c>
      <c r="S72" s="52">
        <v>76.965000000000003</v>
      </c>
      <c r="T72" s="52">
        <v>93.844999999999999</v>
      </c>
      <c r="U72" s="52">
        <v>58.189</v>
      </c>
      <c r="V72" s="52">
        <v>59.768999999999998</v>
      </c>
      <c r="W72" s="52">
        <v>68.555000000000007</v>
      </c>
      <c r="X72" s="3">
        <v>9260.7094327255181</v>
      </c>
      <c r="Y72" s="3">
        <v>7639.79</v>
      </c>
      <c r="Z72" s="3">
        <v>11490.85</v>
      </c>
      <c r="AA72" s="4" t="e">
        <v>#N/A</v>
      </c>
      <c r="AB72" s="4" t="e">
        <v>#N/A</v>
      </c>
      <c r="AC72" s="5" t="e">
        <v>#N/A</v>
      </c>
      <c r="AD72" s="5" t="e">
        <v>#N/A</v>
      </c>
      <c r="AE72" s="34">
        <v>60.37255667850895</v>
      </c>
      <c r="AF72" s="28" t="e">
        <v>#N/A</v>
      </c>
      <c r="AG72" s="28">
        <v>58.005899999999997</v>
      </c>
      <c r="AH72" s="28" t="e">
        <v>#N/A</v>
      </c>
      <c r="AI72" s="28">
        <v>61.849299999999999</v>
      </c>
      <c r="AJ72" s="28">
        <v>65.551100000000005</v>
      </c>
      <c r="AK72" s="28">
        <v>52.7926</v>
      </c>
      <c r="AL72" s="28">
        <v>53.816800000000001</v>
      </c>
      <c r="AM72" s="28">
        <v>53.922199999999997</v>
      </c>
      <c r="AN72" s="28">
        <v>54.627000000000002</v>
      </c>
      <c r="AO72" s="28">
        <v>60.897399999999998</v>
      </c>
      <c r="AP72" s="28">
        <v>51.020899999999997</v>
      </c>
      <c r="AQ72" s="28">
        <v>59.603700000000003</v>
      </c>
      <c r="AR72" s="28">
        <v>52.083300000000001</v>
      </c>
      <c r="AS72" s="28">
        <v>49.738399999999999</v>
      </c>
      <c r="AT72" s="28">
        <v>1.2847999999999999</v>
      </c>
      <c r="AU72" s="28" t="e">
        <v>#N/A</v>
      </c>
      <c r="AV72" s="28" t="e">
        <v>#N/A</v>
      </c>
      <c r="AW72" s="28" t="e">
        <v>#N/A</v>
      </c>
      <c r="AX72" s="28" t="e">
        <v>#N/A</v>
      </c>
      <c r="AY72" s="28" t="e">
        <v>#N/A</v>
      </c>
      <c r="AZ72" s="28" t="e">
        <v>#N/A</v>
      </c>
      <c r="BA72" s="3">
        <v>7336.7</v>
      </c>
      <c r="BB72">
        <f>IF(ISNUMBER(VLOOKUP($B72,CEIC_DATA!$I$26:$N$353,Haver_M!BB$2,FALSE)),VLOOKUP($B72,CEIC_DATA!$I$26:$N$353,Haver_M!BB$2,FALSE),NA())</f>
        <v>92.615760159999994</v>
      </c>
      <c r="BC72" t="e">
        <f>IF(ISNUMBER(VLOOKUP($B72,CEIC_DATA!$I$26:$N$353,Haver_M!BC$2,FALSE)),VLOOKUP($B72,CEIC_DATA!$I$26:$N$353,Haver_M!BC$2,FALSE),NA())</f>
        <v>#N/A</v>
      </c>
      <c r="BD72" t="e">
        <f>IF(ISNUMBER(VLOOKUP($B72,CEIC_DATA!$I$26:$N$353,Haver_M!BD$2,FALSE)),VLOOKUP($B72,CEIC_DATA!$I$26:$N$353,Haver_M!BD$2,FALSE),NA())</f>
        <v>#N/A</v>
      </c>
      <c r="BE72" t="e">
        <f>IF(ISNUMBER(VLOOKUP($B72,CEIC_DATA!$I$26:$N$353,Haver_M!BE$2,FALSE)),VLOOKUP($B72,CEIC_DATA!$I$26:$N$353,Haver_M!BE$2,FALSE),NA())</f>
        <v>#N/A</v>
      </c>
      <c r="BF72">
        <v>518805</v>
      </c>
      <c r="BG72">
        <v>27279</v>
      </c>
      <c r="BH72">
        <v>680905</v>
      </c>
      <c r="BI72">
        <v>98907</v>
      </c>
      <c r="BJ72" s="3" t="e">
        <v>#N/A</v>
      </c>
      <c r="BK72" s="3" t="e">
        <v>#N/A</v>
      </c>
      <c r="BL72" s="3" t="e">
        <v>#N/A</v>
      </c>
      <c r="BM72" s="3" t="e">
        <v>#N/A</v>
      </c>
      <c r="BN72" s="3">
        <v>7492</v>
      </c>
      <c r="BO72" s="3">
        <v>11509</v>
      </c>
      <c r="BP72" s="28">
        <v>43.536099999999998</v>
      </c>
      <c r="BQ72" s="28" t="str">
        <f t="shared" si="5"/>
        <v/>
      </c>
      <c r="BR72" s="28" t="str">
        <f t="shared" si="6"/>
        <v/>
      </c>
      <c r="BS72" s="28" t="str">
        <f t="shared" si="7"/>
        <v/>
      </c>
      <c r="BT72" s="28" t="str">
        <f t="shared" si="8"/>
        <v/>
      </c>
      <c r="BU72" s="4">
        <v>21384</v>
      </c>
    </row>
    <row r="73" spans="1:73" x14ac:dyDescent="0.25">
      <c r="A73" t="s">
        <v>72</v>
      </c>
      <c r="B73" s="2">
        <v>38595</v>
      </c>
      <c r="C73" s="3">
        <v>6</v>
      </c>
      <c r="D73" s="28">
        <v>7.1917999999999997</v>
      </c>
      <c r="E73" s="34">
        <v>96.901960000000003</v>
      </c>
      <c r="F73" s="5">
        <v>57.6</v>
      </c>
      <c r="G73" s="5" t="e">
        <v>#N/A</v>
      </c>
      <c r="H73" s="3">
        <v>64.83</v>
      </c>
      <c r="I73" s="3">
        <v>69.42</v>
      </c>
      <c r="J73" s="3">
        <v>49.99</v>
      </c>
      <c r="K73" s="3">
        <v>76.38</v>
      </c>
      <c r="L73" s="3" t="e">
        <v>#N/A</v>
      </c>
      <c r="M73" s="3">
        <v>39.450000000000003</v>
      </c>
      <c r="N73" s="3">
        <v>73.95</v>
      </c>
      <c r="O73" s="5">
        <v>71.2</v>
      </c>
      <c r="P73" s="52">
        <v>77.543999999999997</v>
      </c>
      <c r="Q73" s="52">
        <v>75.882999999999996</v>
      </c>
      <c r="R73" s="52">
        <v>66.879000000000005</v>
      </c>
      <c r="S73" s="52">
        <v>76.613</v>
      </c>
      <c r="T73" s="52">
        <v>98.081000000000003</v>
      </c>
      <c r="U73" s="52">
        <v>60.826000000000001</v>
      </c>
      <c r="V73" s="52">
        <v>64.141000000000005</v>
      </c>
      <c r="W73" s="52">
        <v>71.307000000000002</v>
      </c>
      <c r="X73" s="3">
        <v>10173.078102546457</v>
      </c>
      <c r="Y73" s="3">
        <v>8665.84</v>
      </c>
      <c r="Z73" s="3">
        <v>12724.76</v>
      </c>
      <c r="AA73" s="4" t="e">
        <v>#N/A</v>
      </c>
      <c r="AB73" s="4" t="e">
        <v>#N/A</v>
      </c>
      <c r="AC73" s="5" t="e">
        <v>#N/A</v>
      </c>
      <c r="AD73" s="5" t="e">
        <v>#N/A</v>
      </c>
      <c r="AE73" s="34">
        <v>30.630473817701134</v>
      </c>
      <c r="AF73" s="28" t="e">
        <v>#N/A</v>
      </c>
      <c r="AG73" s="28">
        <v>57.376899999999999</v>
      </c>
      <c r="AH73" s="28" t="e">
        <v>#N/A</v>
      </c>
      <c r="AI73" s="28">
        <v>60.1432</v>
      </c>
      <c r="AJ73" s="28">
        <v>63.866999999999997</v>
      </c>
      <c r="AK73" s="28">
        <v>53.137999999999998</v>
      </c>
      <c r="AL73" s="28">
        <v>51.736899999999999</v>
      </c>
      <c r="AM73" s="28">
        <v>53.139200000000002</v>
      </c>
      <c r="AN73" s="28">
        <v>54.8491</v>
      </c>
      <c r="AO73" s="28">
        <v>60.819200000000002</v>
      </c>
      <c r="AP73" s="28">
        <v>50.271999999999998</v>
      </c>
      <c r="AQ73" s="28">
        <v>56.315800000000003</v>
      </c>
      <c r="AR73" s="28">
        <v>50.520800000000001</v>
      </c>
      <c r="AS73" s="28">
        <v>50.177100000000003</v>
      </c>
      <c r="AT73" s="28">
        <v>1.2704</v>
      </c>
      <c r="AU73" s="28" t="e">
        <v>#N/A</v>
      </c>
      <c r="AV73" s="28" t="e">
        <v>#N/A</v>
      </c>
      <c r="AW73" s="28" t="e">
        <v>#N/A</v>
      </c>
      <c r="AX73" s="28" t="e">
        <v>#N/A</v>
      </c>
      <c r="AY73" s="28" t="e">
        <v>#N/A</v>
      </c>
      <c r="AZ73" s="28" t="e">
        <v>#N/A</v>
      </c>
      <c r="BA73" s="3">
        <v>7726.03</v>
      </c>
      <c r="BB73">
        <f>IF(ISNUMBER(VLOOKUP($B73,CEIC_DATA!$I$26:$N$353,Haver_M!BB$2,FALSE)),VLOOKUP($B73,CEIC_DATA!$I$26:$N$353,Haver_M!BB$2,FALSE),NA())</f>
        <v>93.466589040000002</v>
      </c>
      <c r="BC73" t="e">
        <f>IF(ISNUMBER(VLOOKUP($B73,CEIC_DATA!$I$26:$N$353,Haver_M!BC$2,FALSE)),VLOOKUP($B73,CEIC_DATA!$I$26:$N$353,Haver_M!BC$2,FALSE),NA())</f>
        <v>#N/A</v>
      </c>
      <c r="BD73" t="e">
        <f>IF(ISNUMBER(VLOOKUP($B73,CEIC_DATA!$I$26:$N$353,Haver_M!BD$2,FALSE)),VLOOKUP($B73,CEIC_DATA!$I$26:$N$353,Haver_M!BD$2,FALSE),NA())</f>
        <v>#N/A</v>
      </c>
      <c r="BE73" t="e">
        <f>IF(ISNUMBER(VLOOKUP($B73,CEIC_DATA!$I$26:$N$353,Haver_M!BE$2,FALSE)),VLOOKUP($B73,CEIC_DATA!$I$26:$N$353,Haver_M!BE$2,FALSE),NA())</f>
        <v>#N/A</v>
      </c>
      <c r="BF73">
        <v>604694</v>
      </c>
      <c r="BG73">
        <v>31137</v>
      </c>
      <c r="BH73">
        <v>786105</v>
      </c>
      <c r="BI73">
        <v>111367</v>
      </c>
      <c r="BJ73" s="3" t="e">
        <v>#N/A</v>
      </c>
      <c r="BK73" s="3" t="e">
        <v>#N/A</v>
      </c>
      <c r="BL73" s="3" t="e">
        <v>#N/A</v>
      </c>
      <c r="BM73" s="3" t="e">
        <v>#N/A</v>
      </c>
      <c r="BN73" s="3">
        <v>8571</v>
      </c>
      <c r="BO73" s="3">
        <v>12760</v>
      </c>
      <c r="BP73" s="28">
        <v>43.624499999999998</v>
      </c>
      <c r="BQ73" s="28" t="str">
        <f t="shared" si="5"/>
        <v/>
      </c>
      <c r="BR73" s="28" t="str">
        <f t="shared" si="6"/>
        <v/>
      </c>
      <c r="BS73" s="28" t="str">
        <f t="shared" si="7"/>
        <v/>
      </c>
      <c r="BT73" s="28" t="str">
        <f t="shared" si="8"/>
        <v/>
      </c>
      <c r="BU73" s="4">
        <v>18405</v>
      </c>
    </row>
    <row r="74" spans="1:73" x14ac:dyDescent="0.25">
      <c r="A74" t="s">
        <v>73</v>
      </c>
      <c r="B74" s="2">
        <v>38625</v>
      </c>
      <c r="C74" s="3">
        <v>6</v>
      </c>
      <c r="D74" s="28">
        <v>7.2081</v>
      </c>
      <c r="E74" s="34">
        <v>96.024330000000006</v>
      </c>
      <c r="F74" s="5">
        <v>57.6</v>
      </c>
      <c r="G74" s="5" t="e">
        <v>#N/A</v>
      </c>
      <c r="H74" s="3">
        <v>64.37</v>
      </c>
      <c r="I74" s="3">
        <v>69.400000000000006</v>
      </c>
      <c r="J74" s="3">
        <v>50.89</v>
      </c>
      <c r="K74" s="3">
        <v>77.010000000000005</v>
      </c>
      <c r="L74" s="3" t="e">
        <v>#N/A</v>
      </c>
      <c r="M74" s="3">
        <v>38.75</v>
      </c>
      <c r="N74" s="3">
        <v>73.41</v>
      </c>
      <c r="O74" s="5">
        <v>71</v>
      </c>
      <c r="P74" s="52">
        <v>78.790999999999997</v>
      </c>
      <c r="Q74" s="52">
        <v>83.173000000000002</v>
      </c>
      <c r="R74" s="52">
        <v>68.031000000000006</v>
      </c>
      <c r="S74" s="52">
        <v>77.015000000000001</v>
      </c>
      <c r="T74" s="52">
        <v>94.36</v>
      </c>
      <c r="U74" s="52">
        <v>60.777000000000001</v>
      </c>
      <c r="V74" s="52">
        <v>61.427</v>
      </c>
      <c r="W74" s="52">
        <v>67.89</v>
      </c>
      <c r="X74" s="3">
        <v>9307.4792480760261</v>
      </c>
      <c r="Y74" s="3">
        <v>8371.82</v>
      </c>
      <c r="Z74" s="3">
        <v>12085.74</v>
      </c>
      <c r="AA74" s="4" t="e">
        <v>#N/A</v>
      </c>
      <c r="AB74" s="4" t="e">
        <v>#N/A</v>
      </c>
      <c r="AC74" s="5" t="e">
        <v>#N/A</v>
      </c>
      <c r="AD74" s="5" t="e">
        <v>#N/A</v>
      </c>
      <c r="AE74" s="34">
        <v>38.418966186297745</v>
      </c>
      <c r="AF74" s="28" t="e">
        <v>#N/A</v>
      </c>
      <c r="AG74" s="28">
        <v>56.962200000000003</v>
      </c>
      <c r="AH74" s="28" t="e">
        <v>#N/A</v>
      </c>
      <c r="AI74" s="28">
        <v>59.598399999999998</v>
      </c>
      <c r="AJ74" s="28">
        <v>63.3215</v>
      </c>
      <c r="AK74" s="28">
        <v>52.749299999999998</v>
      </c>
      <c r="AL74" s="28">
        <v>50.3733</v>
      </c>
      <c r="AM74" s="28">
        <v>50.722799999999999</v>
      </c>
      <c r="AN74" s="28">
        <v>57.543799999999997</v>
      </c>
      <c r="AO74" s="28">
        <v>60.692100000000003</v>
      </c>
      <c r="AP74" s="28">
        <v>47.951599999999999</v>
      </c>
      <c r="AQ74" s="28">
        <v>55.061599999999999</v>
      </c>
      <c r="AR74" s="28">
        <v>51.902700000000003</v>
      </c>
      <c r="AS74" s="28">
        <v>51.407600000000002</v>
      </c>
      <c r="AT74" s="28">
        <v>1.3205</v>
      </c>
      <c r="AU74" s="28" t="e">
        <v>#N/A</v>
      </c>
      <c r="AV74" s="28" t="e">
        <v>#N/A</v>
      </c>
      <c r="AW74" s="28" t="e">
        <v>#N/A</v>
      </c>
      <c r="AX74" s="28" t="e">
        <v>#N/A</v>
      </c>
      <c r="AY74" s="28" t="e">
        <v>#N/A</v>
      </c>
      <c r="AZ74" s="28" t="e">
        <v>#N/A</v>
      </c>
      <c r="BA74" s="3">
        <v>8272.32</v>
      </c>
      <c r="BB74">
        <f>IF(ISNUMBER(VLOOKUP($B74,CEIC_DATA!$I$26:$N$353,Haver_M!BB$2,FALSE)),VLOOKUP($B74,CEIC_DATA!$I$26:$N$353,Haver_M!BB$2,FALSE),NA())</f>
        <v>94.662024059999993</v>
      </c>
      <c r="BC74">
        <f>IF(ISNUMBER(VLOOKUP($B74,CEIC_DATA!$I$26:$N$353,Haver_M!BC$2,FALSE)),VLOOKUP($B74,CEIC_DATA!$I$26:$N$353,Haver_M!BC$2,FALSE),NA())</f>
        <v>114.9</v>
      </c>
      <c r="BD74">
        <f>IF(ISNUMBER(VLOOKUP($B74,CEIC_DATA!$I$26:$N$353,Haver_M!BD$2,FALSE)),VLOOKUP($B74,CEIC_DATA!$I$26:$N$353,Haver_M!BD$2,FALSE),NA())</f>
        <v>119.6</v>
      </c>
      <c r="BE74">
        <f>IF(ISNUMBER(VLOOKUP($B74,CEIC_DATA!$I$26:$N$353,Haver_M!BE$2,FALSE)),VLOOKUP($B74,CEIC_DATA!$I$26:$N$353,Haver_M!BE$2,FALSE),NA())</f>
        <v>45.5</v>
      </c>
      <c r="BF74">
        <v>700611</v>
      </c>
      <c r="BG74">
        <v>35467</v>
      </c>
      <c r="BH74">
        <v>890769</v>
      </c>
      <c r="BI74">
        <v>115639</v>
      </c>
      <c r="BJ74" s="3" t="e">
        <v>#N/A</v>
      </c>
      <c r="BK74" s="3" t="e">
        <v>#N/A</v>
      </c>
      <c r="BL74" s="3" t="e">
        <v>#N/A</v>
      </c>
      <c r="BM74" s="3" t="e">
        <v>#N/A</v>
      </c>
      <c r="BN74" s="3">
        <v>8457</v>
      </c>
      <c r="BO74" s="3">
        <v>12896</v>
      </c>
      <c r="BP74" s="28">
        <v>43.914999999999999</v>
      </c>
      <c r="BQ74" s="28" t="str">
        <f t="shared" si="5"/>
        <v/>
      </c>
      <c r="BR74" s="28" t="str">
        <f t="shared" si="6"/>
        <v/>
      </c>
      <c r="BS74" s="28" t="str">
        <f t="shared" si="7"/>
        <v/>
      </c>
      <c r="BT74" s="28" t="str">
        <f t="shared" si="8"/>
        <v/>
      </c>
      <c r="BU74" s="4">
        <v>15547</v>
      </c>
    </row>
    <row r="75" spans="1:73" x14ac:dyDescent="0.25">
      <c r="A75" t="s">
        <v>74</v>
      </c>
      <c r="B75" s="2">
        <v>38656</v>
      </c>
      <c r="C75" s="3">
        <v>6.25</v>
      </c>
      <c r="D75" s="28">
        <v>7.0784000000000002</v>
      </c>
      <c r="E75" s="34">
        <v>94.798929999999999</v>
      </c>
      <c r="F75" s="5">
        <v>58.1</v>
      </c>
      <c r="G75" s="5" t="e">
        <v>#N/A</v>
      </c>
      <c r="H75" s="3">
        <v>67</v>
      </c>
      <c r="I75" s="3">
        <v>70.760000000000005</v>
      </c>
      <c r="J75" s="3">
        <v>53.59</v>
      </c>
      <c r="K75" s="3">
        <v>78.39</v>
      </c>
      <c r="L75" s="3" t="e">
        <v>#N/A</v>
      </c>
      <c r="M75" s="3">
        <v>39.14</v>
      </c>
      <c r="N75" s="3">
        <v>76.650000000000006</v>
      </c>
      <c r="O75" s="5">
        <v>71.2</v>
      </c>
      <c r="P75" s="52">
        <v>76.707999999999998</v>
      </c>
      <c r="Q75" s="52">
        <v>82.587999999999994</v>
      </c>
      <c r="R75" s="52">
        <v>68.143000000000001</v>
      </c>
      <c r="S75" s="52">
        <v>73.662000000000006</v>
      </c>
      <c r="T75" s="52">
        <v>90.852999999999994</v>
      </c>
      <c r="U75" s="52">
        <v>61.680999999999997</v>
      </c>
      <c r="V75" s="52">
        <v>63.639000000000003</v>
      </c>
      <c r="W75" s="52">
        <v>70.024000000000001</v>
      </c>
      <c r="X75" s="3">
        <v>9416.4093925369634</v>
      </c>
      <c r="Y75" s="3">
        <v>8885.49</v>
      </c>
      <c r="Z75" s="3">
        <v>11472.77</v>
      </c>
      <c r="AA75" s="4" t="e">
        <v>#N/A</v>
      </c>
      <c r="AB75" s="4" t="e">
        <v>#N/A</v>
      </c>
      <c r="AC75" s="5" t="e">
        <v>#N/A</v>
      </c>
      <c r="AD75" s="5" t="e">
        <v>#N/A</v>
      </c>
      <c r="AE75" s="34">
        <v>41.996757714873084</v>
      </c>
      <c r="AF75" s="28" t="e">
        <v>#N/A</v>
      </c>
      <c r="AG75" s="28">
        <v>57.802100000000003</v>
      </c>
      <c r="AH75" s="28" t="e">
        <v>#N/A</v>
      </c>
      <c r="AI75" s="28">
        <v>60.977699999999999</v>
      </c>
      <c r="AJ75" s="28">
        <v>64.387799999999999</v>
      </c>
      <c r="AK75" s="28">
        <v>52.351700000000001</v>
      </c>
      <c r="AL75" s="28">
        <v>50.102200000000003</v>
      </c>
      <c r="AM75" s="28">
        <v>52.863</v>
      </c>
      <c r="AN75" s="28">
        <v>58.486699999999999</v>
      </c>
      <c r="AO75" s="28">
        <v>60.327199999999998</v>
      </c>
      <c r="AP75" s="28">
        <v>48.451300000000003</v>
      </c>
      <c r="AQ75" s="28">
        <v>55.639600000000002</v>
      </c>
      <c r="AR75" s="28">
        <v>52.346899999999998</v>
      </c>
      <c r="AS75" s="28">
        <v>52.244900000000001</v>
      </c>
      <c r="AT75" s="28">
        <v>1.3289</v>
      </c>
      <c r="AU75" s="28" t="e">
        <v>#N/A</v>
      </c>
      <c r="AV75" s="28" t="e">
        <v>#N/A</v>
      </c>
      <c r="AW75" s="28" t="e">
        <v>#N/A</v>
      </c>
      <c r="AX75" s="28" t="e">
        <v>#N/A</v>
      </c>
      <c r="AY75" s="28" t="e">
        <v>#N/A</v>
      </c>
      <c r="AZ75" s="28" t="e">
        <v>#N/A</v>
      </c>
      <c r="BA75" s="3">
        <v>8220.4500000000007</v>
      </c>
      <c r="BB75">
        <f>IF(ISNUMBER(VLOOKUP($B75,CEIC_DATA!$I$26:$N$353,Haver_M!BB$2,FALSE)),VLOOKUP($B75,CEIC_DATA!$I$26:$N$353,Haver_M!BB$2,FALSE),NA())</f>
        <v>96.397805000000005</v>
      </c>
      <c r="BC75" t="e">
        <f>IF(ISNUMBER(VLOOKUP($B75,CEIC_DATA!$I$26:$N$353,Haver_M!BC$2,FALSE)),VLOOKUP($B75,CEIC_DATA!$I$26:$N$353,Haver_M!BC$2,FALSE),NA())</f>
        <v>#N/A</v>
      </c>
      <c r="BD75" t="e">
        <f>IF(ISNUMBER(VLOOKUP($B75,CEIC_DATA!$I$26:$N$353,Haver_M!BD$2,FALSE)),VLOOKUP($B75,CEIC_DATA!$I$26:$N$353,Haver_M!BD$2,FALSE),NA())</f>
        <v>#N/A</v>
      </c>
      <c r="BE75" t="e">
        <f>IF(ISNUMBER(VLOOKUP($B75,CEIC_DATA!$I$26:$N$353,Haver_M!BE$2,FALSE)),VLOOKUP($B75,CEIC_DATA!$I$26:$N$353,Haver_M!BE$2,FALSE),NA())</f>
        <v>#N/A</v>
      </c>
      <c r="BF75">
        <v>788811</v>
      </c>
      <c r="BG75">
        <v>35054</v>
      </c>
      <c r="BH75">
        <v>980595</v>
      </c>
      <c r="BI75">
        <v>117378</v>
      </c>
      <c r="BJ75" s="3" t="e">
        <v>#N/A</v>
      </c>
      <c r="BK75" s="3" t="e">
        <v>#N/A</v>
      </c>
      <c r="BL75" s="3" t="e">
        <v>#N/A</v>
      </c>
      <c r="BM75" s="3" t="e">
        <v>#N/A</v>
      </c>
      <c r="BN75" s="3">
        <v>8622</v>
      </c>
      <c r="BO75" s="3">
        <v>11883</v>
      </c>
      <c r="BP75" s="28">
        <v>44.817999999999998</v>
      </c>
      <c r="BQ75" s="28" t="str">
        <f t="shared" si="5"/>
        <v/>
      </c>
      <c r="BR75" s="28" t="str">
        <f t="shared" si="6"/>
        <v/>
      </c>
      <c r="BS75" s="28" t="str">
        <f t="shared" si="7"/>
        <v/>
      </c>
      <c r="BT75" s="28" t="str">
        <f t="shared" si="8"/>
        <v/>
      </c>
      <c r="BU75" s="4">
        <v>19798</v>
      </c>
    </row>
    <row r="76" spans="1:73" x14ac:dyDescent="0.25">
      <c r="A76" t="s">
        <v>75</v>
      </c>
      <c r="B76" s="2">
        <v>38686</v>
      </c>
      <c r="C76" s="3">
        <v>6.25</v>
      </c>
      <c r="D76" s="28">
        <v>7.1108000000000002</v>
      </c>
      <c r="E76" s="34">
        <v>94.572990000000004</v>
      </c>
      <c r="F76" s="5">
        <v>58.7</v>
      </c>
      <c r="G76" s="5" t="e">
        <v>#N/A</v>
      </c>
      <c r="H76" s="3">
        <v>64.16</v>
      </c>
      <c r="I76" s="3">
        <v>71</v>
      </c>
      <c r="J76" s="3">
        <v>46.95</v>
      </c>
      <c r="K76" s="3">
        <v>74.39</v>
      </c>
      <c r="L76" s="3" t="e">
        <v>#N/A</v>
      </c>
      <c r="M76" s="3">
        <v>34.979999999999997</v>
      </c>
      <c r="N76" s="3">
        <v>72.959999999999994</v>
      </c>
      <c r="O76" s="5">
        <v>72.5</v>
      </c>
      <c r="P76" s="52">
        <v>76.435000000000002</v>
      </c>
      <c r="Q76" s="52">
        <v>82.421000000000006</v>
      </c>
      <c r="R76" s="52">
        <v>67.573999999999998</v>
      </c>
      <c r="S76" s="52">
        <v>77.313000000000002</v>
      </c>
      <c r="T76" s="52">
        <v>95.049000000000007</v>
      </c>
      <c r="U76" s="52">
        <v>64.554000000000002</v>
      </c>
      <c r="V76" s="52">
        <v>63.323999999999998</v>
      </c>
      <c r="W76" s="52">
        <v>70.213999999999999</v>
      </c>
      <c r="X76" s="3">
        <v>9115.8616286159413</v>
      </c>
      <c r="Y76" s="3">
        <v>7949.62</v>
      </c>
      <c r="Z76" s="3">
        <v>11649.67</v>
      </c>
      <c r="AA76" s="4" t="e">
        <v>#N/A</v>
      </c>
      <c r="AB76" s="4" t="e">
        <v>#N/A</v>
      </c>
      <c r="AC76" s="5" t="e">
        <v>#N/A</v>
      </c>
      <c r="AD76" s="5" t="e">
        <v>#N/A</v>
      </c>
      <c r="AE76" s="34">
        <v>38.248637754206221</v>
      </c>
      <c r="AF76" s="28" t="e">
        <v>#N/A</v>
      </c>
      <c r="AG76" s="28">
        <v>55.962899999999998</v>
      </c>
      <c r="AH76" s="28" t="e">
        <v>#N/A</v>
      </c>
      <c r="AI76" s="28">
        <v>58.5319</v>
      </c>
      <c r="AJ76" s="28">
        <v>61.421100000000003</v>
      </c>
      <c r="AK76" s="28">
        <v>52.545299999999997</v>
      </c>
      <c r="AL76" s="28">
        <v>50.792299999999997</v>
      </c>
      <c r="AM76" s="28">
        <v>50.133299999999998</v>
      </c>
      <c r="AN76" s="28">
        <v>54.712499999999999</v>
      </c>
      <c r="AO76" s="28">
        <v>58.947600000000001</v>
      </c>
      <c r="AP76" s="28">
        <v>48.4435</v>
      </c>
      <c r="AQ76" s="28">
        <v>54.22</v>
      </c>
      <c r="AR76" s="28">
        <v>52.000799999999998</v>
      </c>
      <c r="AS76" s="28">
        <v>52.073999999999998</v>
      </c>
      <c r="AT76" s="28">
        <v>1.2679</v>
      </c>
      <c r="AU76" s="28" t="e">
        <v>#N/A</v>
      </c>
      <c r="AV76" s="28" t="e">
        <v>#N/A</v>
      </c>
      <c r="AW76" s="28" t="e">
        <v>#N/A</v>
      </c>
      <c r="AX76" s="28" t="e">
        <v>#N/A</v>
      </c>
      <c r="AY76" s="28" t="e">
        <v>#N/A</v>
      </c>
      <c r="AZ76" s="28" t="e">
        <v>#N/A</v>
      </c>
      <c r="BA76" s="3">
        <v>8534.36</v>
      </c>
      <c r="BB76">
        <f>IF(ISNUMBER(VLOOKUP($B76,CEIC_DATA!$I$26:$N$353,Haver_M!BB$2,FALSE)),VLOOKUP($B76,CEIC_DATA!$I$26:$N$353,Haver_M!BB$2,FALSE),NA())</f>
        <v>98.657892380000007</v>
      </c>
      <c r="BC76" t="e">
        <f>IF(ISNUMBER(VLOOKUP($B76,CEIC_DATA!$I$26:$N$353,Haver_M!BC$2,FALSE)),VLOOKUP($B76,CEIC_DATA!$I$26:$N$353,Haver_M!BC$2,FALSE),NA())</f>
        <v>#N/A</v>
      </c>
      <c r="BD76" t="e">
        <f>IF(ISNUMBER(VLOOKUP($B76,CEIC_DATA!$I$26:$N$353,Haver_M!BD$2,FALSE)),VLOOKUP($B76,CEIC_DATA!$I$26:$N$353,Haver_M!BD$2,FALSE),NA())</f>
        <v>#N/A</v>
      </c>
      <c r="BE76" t="e">
        <f>IF(ISNUMBER(VLOOKUP($B76,CEIC_DATA!$I$26:$N$353,Haver_M!BE$2,FALSE)),VLOOKUP($B76,CEIC_DATA!$I$26:$N$353,Haver_M!BE$2,FALSE),NA())</f>
        <v>#N/A</v>
      </c>
      <c r="BF76">
        <v>630306</v>
      </c>
      <c r="BG76">
        <v>30963</v>
      </c>
      <c r="BH76">
        <v>795362</v>
      </c>
      <c r="BI76">
        <v>100825</v>
      </c>
      <c r="BJ76" s="3" t="e">
        <v>#N/A</v>
      </c>
      <c r="BK76" s="3" t="e">
        <v>#N/A</v>
      </c>
      <c r="BL76" s="3" t="e">
        <v>#N/A</v>
      </c>
      <c r="BM76" s="3" t="e">
        <v>#N/A</v>
      </c>
      <c r="BN76" s="3">
        <v>7293</v>
      </c>
      <c r="BO76" s="3">
        <v>11326</v>
      </c>
      <c r="BP76" s="28">
        <v>45.726500000000001</v>
      </c>
      <c r="BQ76" s="28" t="str">
        <f t="shared" si="5"/>
        <v/>
      </c>
      <c r="BR76" s="28" t="str">
        <f t="shared" si="6"/>
        <v/>
      </c>
      <c r="BS76" s="28" t="str">
        <f t="shared" si="7"/>
        <v/>
      </c>
      <c r="BT76" s="28" t="str">
        <f t="shared" si="8"/>
        <v/>
      </c>
      <c r="BU76" s="4">
        <v>19006</v>
      </c>
    </row>
    <row r="77" spans="1:73" x14ac:dyDescent="0.25">
      <c r="A77" t="s">
        <v>76</v>
      </c>
      <c r="B77" s="2">
        <v>38717</v>
      </c>
      <c r="C77" s="3">
        <v>6.25</v>
      </c>
      <c r="D77" s="28">
        <v>7.1191000000000004</v>
      </c>
      <c r="E77" s="34">
        <v>93.708119999999994</v>
      </c>
      <c r="F77" s="5">
        <v>58.5</v>
      </c>
      <c r="G77" s="5" t="e">
        <v>#N/A</v>
      </c>
      <c r="H77" s="3">
        <v>67.459999999999994</v>
      </c>
      <c r="I77" s="3">
        <v>72</v>
      </c>
      <c r="J77" s="3">
        <v>53.21</v>
      </c>
      <c r="K77" s="3">
        <v>80.569999999999993</v>
      </c>
      <c r="L77" s="3" t="e">
        <v>#N/A</v>
      </c>
      <c r="M77" s="3">
        <v>36.64</v>
      </c>
      <c r="N77" s="3">
        <v>78.31</v>
      </c>
      <c r="O77" s="5">
        <v>73.599999999999994</v>
      </c>
      <c r="P77" s="52">
        <v>77.233000000000004</v>
      </c>
      <c r="Q77" s="52">
        <v>82.286000000000001</v>
      </c>
      <c r="R77" s="52">
        <v>67.855999999999995</v>
      </c>
      <c r="S77" s="52">
        <v>81.519000000000005</v>
      </c>
      <c r="T77" s="52">
        <v>94.304000000000002</v>
      </c>
      <c r="U77" s="52">
        <v>64.331999999999994</v>
      </c>
      <c r="V77" s="52">
        <v>65.917000000000002</v>
      </c>
      <c r="W77" s="52">
        <v>70.89</v>
      </c>
      <c r="X77" s="3">
        <v>9654.4541976352284</v>
      </c>
      <c r="Y77" s="3">
        <v>9356.9699999999993</v>
      </c>
      <c r="Z77" s="3">
        <v>12768.53</v>
      </c>
      <c r="AA77" s="4" t="e">
        <v>#N/A</v>
      </c>
      <c r="AB77" s="4" t="e">
        <v>#N/A</v>
      </c>
      <c r="AC77" s="5" t="e">
        <v>#N/A</v>
      </c>
      <c r="AD77" s="5" t="e">
        <v>#N/A</v>
      </c>
      <c r="AE77" s="34">
        <v>44.533332046531086</v>
      </c>
      <c r="AF77" s="28">
        <v>61.952100000000002</v>
      </c>
      <c r="AG77" s="28">
        <v>55.770499999999998</v>
      </c>
      <c r="AH77" s="28">
        <v>63.607399999999998</v>
      </c>
      <c r="AI77" s="28">
        <v>58.231000000000002</v>
      </c>
      <c r="AJ77" s="28">
        <v>60.8108</v>
      </c>
      <c r="AK77" s="28">
        <v>52.559800000000003</v>
      </c>
      <c r="AL77" s="28">
        <v>51.842799999999997</v>
      </c>
      <c r="AM77" s="28">
        <v>52.3399</v>
      </c>
      <c r="AN77" s="28">
        <v>56.157600000000002</v>
      </c>
      <c r="AO77" s="28">
        <v>57.739600000000003</v>
      </c>
      <c r="AP77" s="28">
        <v>49.875599999999999</v>
      </c>
      <c r="AQ77" s="28">
        <v>55.902799999999999</v>
      </c>
      <c r="AR77" s="28">
        <v>52.579900000000002</v>
      </c>
      <c r="AS77" s="28">
        <v>51.847299999999997</v>
      </c>
      <c r="AT77" s="28">
        <v>1.2192000000000001</v>
      </c>
      <c r="AU77" s="28">
        <v>56.457700000000003</v>
      </c>
      <c r="AV77" s="28">
        <v>53.735300000000002</v>
      </c>
      <c r="AW77" s="28">
        <v>61.2502</v>
      </c>
      <c r="AX77" s="28">
        <v>59.355200000000004</v>
      </c>
      <c r="AY77" s="28" t="e">
        <v>#N/A</v>
      </c>
      <c r="AZ77" s="28">
        <v>52.729500000000002</v>
      </c>
      <c r="BA77" s="3">
        <v>9162.07</v>
      </c>
      <c r="BB77">
        <f>IF(ISNUMBER(VLOOKUP($B77,CEIC_DATA!$I$26:$N$353,Haver_M!BB$2,FALSE)),VLOOKUP($B77,CEIC_DATA!$I$26:$N$353,Haver_M!BB$2,FALSE),NA())</f>
        <v>101.16478696999999</v>
      </c>
      <c r="BC77">
        <f>IF(ISNUMBER(VLOOKUP($B77,CEIC_DATA!$I$26:$N$353,Haver_M!BC$2,FALSE)),VLOOKUP($B77,CEIC_DATA!$I$26:$N$353,Haver_M!BC$2,FALSE),NA())</f>
        <v>124.3</v>
      </c>
      <c r="BD77">
        <f>IF(ISNUMBER(VLOOKUP($B77,CEIC_DATA!$I$26:$N$353,Haver_M!BD$2,FALSE)),VLOOKUP($B77,CEIC_DATA!$I$26:$N$353,Haver_M!BD$2,FALSE),NA())</f>
        <v>122.7</v>
      </c>
      <c r="BE77">
        <f>IF(ISNUMBER(VLOOKUP($B77,CEIC_DATA!$I$26:$N$353,Haver_M!BE$2,FALSE)),VLOOKUP($B77,CEIC_DATA!$I$26:$N$353,Haver_M!BE$2,FALSE),NA())</f>
        <v>51.3</v>
      </c>
      <c r="BF77">
        <v>601498</v>
      </c>
      <c r="BG77">
        <v>31936</v>
      </c>
      <c r="BH77">
        <v>768425</v>
      </c>
      <c r="BI77">
        <v>100597</v>
      </c>
      <c r="BJ77" s="3" t="e">
        <v>#N/A</v>
      </c>
      <c r="BK77" s="3" t="e">
        <v>#N/A</v>
      </c>
      <c r="BL77" s="3" t="e">
        <v>#N/A</v>
      </c>
      <c r="BM77" s="3" t="e">
        <v>#N/A</v>
      </c>
      <c r="BN77" s="3">
        <v>9235</v>
      </c>
      <c r="BO77" s="3">
        <v>12390</v>
      </c>
      <c r="BP77" s="28">
        <v>45.641100000000002</v>
      </c>
      <c r="BQ77" s="28" t="str">
        <f t="shared" si="5"/>
        <v/>
      </c>
      <c r="BR77" s="28" t="str">
        <f t="shared" si="6"/>
        <v/>
      </c>
      <c r="BS77" s="28" t="str">
        <f t="shared" si="7"/>
        <v/>
      </c>
      <c r="BT77" s="28" t="str">
        <f t="shared" si="8"/>
        <v/>
      </c>
      <c r="BU77" s="4">
        <v>19260</v>
      </c>
    </row>
    <row r="78" spans="1:73" x14ac:dyDescent="0.25">
      <c r="A78" t="s">
        <v>77</v>
      </c>
      <c r="B78" s="2">
        <v>38748</v>
      </c>
      <c r="C78" s="3">
        <v>6.5</v>
      </c>
      <c r="D78" s="28">
        <v>7.3090000000000002</v>
      </c>
      <c r="E78" s="34">
        <v>94.942149999999998</v>
      </c>
      <c r="F78" s="5">
        <v>58.6</v>
      </c>
      <c r="G78" s="5" t="e">
        <v>#N/A</v>
      </c>
      <c r="H78" s="3">
        <v>68.58</v>
      </c>
      <c r="I78" s="3">
        <v>72.680000000000007</v>
      </c>
      <c r="J78" s="3">
        <v>56.07</v>
      </c>
      <c r="K78" s="3">
        <v>81.99</v>
      </c>
      <c r="L78" s="3" t="e">
        <v>#N/A</v>
      </c>
      <c r="M78" s="3">
        <v>39.54</v>
      </c>
      <c r="N78" s="3">
        <v>76.94</v>
      </c>
      <c r="O78" s="5">
        <v>73.900000000000006</v>
      </c>
      <c r="P78" s="52">
        <v>75.554000000000002</v>
      </c>
      <c r="Q78" s="52">
        <v>85.165999999999997</v>
      </c>
      <c r="R78" s="52">
        <v>69.177999999999997</v>
      </c>
      <c r="S78" s="52">
        <v>80.262</v>
      </c>
      <c r="T78" s="52">
        <v>96.617999999999995</v>
      </c>
      <c r="U78" s="52">
        <v>64.495000000000005</v>
      </c>
      <c r="V78" s="52">
        <v>66.768000000000001</v>
      </c>
      <c r="W78" s="52">
        <v>72.066999999999993</v>
      </c>
      <c r="X78" s="3">
        <v>9448.8120244306319</v>
      </c>
      <c r="Y78" s="3">
        <v>9120.35</v>
      </c>
      <c r="Z78" s="3">
        <v>13055.15</v>
      </c>
      <c r="AA78" s="4" t="e">
        <v>#N/A</v>
      </c>
      <c r="AB78" s="4" t="e">
        <v>#N/A</v>
      </c>
      <c r="AC78" s="5" t="e">
        <v>#N/A</v>
      </c>
      <c r="AD78" s="5" t="e">
        <v>#N/A</v>
      </c>
      <c r="AE78" s="34">
        <v>42.22835561127426</v>
      </c>
      <c r="AF78" s="28">
        <v>60.613900000000001</v>
      </c>
      <c r="AG78" s="28">
        <v>55.058100000000003</v>
      </c>
      <c r="AH78" s="28">
        <v>62.0291</v>
      </c>
      <c r="AI78" s="28">
        <v>57.432400000000001</v>
      </c>
      <c r="AJ78" s="28">
        <v>58.992800000000003</v>
      </c>
      <c r="AK78" s="28">
        <v>52.257300000000001</v>
      </c>
      <c r="AL78" s="28">
        <v>51.914400000000001</v>
      </c>
      <c r="AM78" s="28">
        <v>53.378399999999999</v>
      </c>
      <c r="AN78" s="28">
        <v>56.094799999999999</v>
      </c>
      <c r="AO78" s="28">
        <v>56.644100000000002</v>
      </c>
      <c r="AP78" s="28">
        <v>49.303600000000003</v>
      </c>
      <c r="AQ78" s="28">
        <v>55.033499999999997</v>
      </c>
      <c r="AR78" s="28">
        <v>51.128700000000002</v>
      </c>
      <c r="AS78" s="28">
        <v>51.020400000000002</v>
      </c>
      <c r="AT78" s="28">
        <v>1.1964999999999999</v>
      </c>
      <c r="AU78" s="28">
        <v>56.351599999999998</v>
      </c>
      <c r="AV78" s="28">
        <v>53.513300000000001</v>
      </c>
      <c r="AW78" s="28">
        <v>60.727600000000002</v>
      </c>
      <c r="AX78" s="28">
        <v>59.549799999999998</v>
      </c>
      <c r="AY78" s="28" t="e">
        <v>#N/A</v>
      </c>
      <c r="AZ78" s="28">
        <v>52.003500000000003</v>
      </c>
      <c r="BA78" s="3">
        <v>9539.67</v>
      </c>
      <c r="BB78">
        <f>IF(ISNUMBER(VLOOKUP($B78,CEIC_DATA!$I$26:$N$353,Haver_M!BB$2,FALSE)),VLOOKUP($B78,CEIC_DATA!$I$26:$N$353,Haver_M!BB$2,FALSE),NA())</f>
        <v>103.52127582999999</v>
      </c>
      <c r="BC78" t="e">
        <f>IF(ISNUMBER(VLOOKUP($B78,CEIC_DATA!$I$26:$N$353,Haver_M!BC$2,FALSE)),VLOOKUP($B78,CEIC_DATA!$I$26:$N$353,Haver_M!BC$2,FALSE),NA())</f>
        <v>#N/A</v>
      </c>
      <c r="BD78" t="e">
        <f>IF(ISNUMBER(VLOOKUP($B78,CEIC_DATA!$I$26:$N$353,Haver_M!BD$2,FALSE)),VLOOKUP($B78,CEIC_DATA!$I$26:$N$353,Haver_M!BD$2,FALSE),NA())</f>
        <v>#N/A</v>
      </c>
      <c r="BE78" t="e">
        <f>IF(ISNUMBER(VLOOKUP($B78,CEIC_DATA!$I$26:$N$353,Haver_M!BE$2,FALSE)),VLOOKUP($B78,CEIC_DATA!$I$26:$N$353,Haver_M!BE$2,FALSE),NA())</f>
        <v>#N/A</v>
      </c>
      <c r="BF78">
        <v>647842</v>
      </c>
      <c r="BG78">
        <v>37492</v>
      </c>
      <c r="BH78">
        <v>847751</v>
      </c>
      <c r="BI78">
        <v>123374</v>
      </c>
      <c r="BJ78" s="3" t="e">
        <v>#N/A</v>
      </c>
      <c r="BK78" s="3" t="e">
        <v>#N/A</v>
      </c>
      <c r="BL78" s="3" t="e">
        <v>#N/A</v>
      </c>
      <c r="BM78" s="3" t="e">
        <v>#N/A</v>
      </c>
      <c r="BN78" s="3">
        <v>9168</v>
      </c>
      <c r="BO78" s="3">
        <v>12894</v>
      </c>
      <c r="BP78" s="28">
        <v>44.396999999999998</v>
      </c>
      <c r="BQ78" s="28" t="str">
        <f t="shared" si="5"/>
        <v/>
      </c>
      <c r="BR78" s="28" t="str">
        <f t="shared" si="6"/>
        <v/>
      </c>
      <c r="BS78" s="28" t="str">
        <f t="shared" si="7"/>
        <v/>
      </c>
      <c r="BT78" s="28" t="str">
        <f t="shared" si="8"/>
        <v/>
      </c>
      <c r="BU78" s="4">
        <v>19496</v>
      </c>
    </row>
    <row r="79" spans="1:73" x14ac:dyDescent="0.25">
      <c r="A79" t="s">
        <v>78</v>
      </c>
      <c r="B79" s="2">
        <v>38776</v>
      </c>
      <c r="C79" s="3">
        <v>6.5</v>
      </c>
      <c r="D79" s="28">
        <v>7.3441000000000001</v>
      </c>
      <c r="E79" s="34">
        <v>95.510859999999994</v>
      </c>
      <c r="F79" s="5">
        <v>58.6</v>
      </c>
      <c r="G79" s="5" t="e">
        <v>#N/A</v>
      </c>
      <c r="H79" s="3">
        <v>69.040000000000006</v>
      </c>
      <c r="I79" s="3">
        <v>73.459999999999994</v>
      </c>
      <c r="J79" s="3">
        <v>57.58</v>
      </c>
      <c r="K79" s="3">
        <v>81.12</v>
      </c>
      <c r="L79" s="3" t="e">
        <v>#N/A</v>
      </c>
      <c r="M79" s="3">
        <v>40.75</v>
      </c>
      <c r="N79" s="3">
        <v>76.52</v>
      </c>
      <c r="O79" s="5">
        <v>74.7</v>
      </c>
      <c r="P79" s="52">
        <v>76.619</v>
      </c>
      <c r="Q79" s="52">
        <v>85.978999999999999</v>
      </c>
      <c r="R79" s="52">
        <v>69.311999999999998</v>
      </c>
      <c r="S79" s="52">
        <v>80.381</v>
      </c>
      <c r="T79" s="52">
        <v>97.251999999999995</v>
      </c>
      <c r="U79" s="52">
        <v>63.51</v>
      </c>
      <c r="V79" s="52">
        <v>67.081999999999994</v>
      </c>
      <c r="W79" s="52">
        <v>74.388999999999996</v>
      </c>
      <c r="X79" s="3">
        <v>9605.5289339034698</v>
      </c>
      <c r="Y79" s="3">
        <v>9336.51</v>
      </c>
      <c r="Z79" s="3">
        <v>13223.63</v>
      </c>
      <c r="AA79" s="4" t="e">
        <v>#N/A</v>
      </c>
      <c r="AB79" s="4" t="e">
        <v>#N/A</v>
      </c>
      <c r="AC79" s="5" t="e">
        <v>#N/A</v>
      </c>
      <c r="AD79" s="5" t="e">
        <v>#N/A</v>
      </c>
      <c r="AE79" s="34">
        <v>29.845300499847561</v>
      </c>
      <c r="AF79" s="28">
        <v>62.094099999999997</v>
      </c>
      <c r="AG79" s="28">
        <v>56.2545</v>
      </c>
      <c r="AH79" s="28">
        <v>62.999299999999998</v>
      </c>
      <c r="AI79" s="28">
        <v>60.0593</v>
      </c>
      <c r="AJ79" s="28">
        <v>60.453899999999997</v>
      </c>
      <c r="AK79" s="28">
        <v>51.954000000000001</v>
      </c>
      <c r="AL79" s="28">
        <v>50.5747</v>
      </c>
      <c r="AM79" s="28">
        <v>52.988500000000002</v>
      </c>
      <c r="AN79" s="28">
        <v>54.924100000000003</v>
      </c>
      <c r="AO79" s="28">
        <v>56.883800000000001</v>
      </c>
      <c r="AP79" s="28">
        <v>50.8249</v>
      </c>
      <c r="AQ79" s="28">
        <v>57.675199999999997</v>
      </c>
      <c r="AR79" s="28">
        <v>52.183700000000002</v>
      </c>
      <c r="AS79" s="28">
        <v>50.874200000000002</v>
      </c>
      <c r="AT79" s="28">
        <v>1.1895</v>
      </c>
      <c r="AU79" s="28">
        <v>56.345199999999998</v>
      </c>
      <c r="AV79" s="28">
        <v>52.221800000000002</v>
      </c>
      <c r="AW79" s="28">
        <v>61.296599999999998</v>
      </c>
      <c r="AX79" s="28">
        <v>59.430999999999997</v>
      </c>
      <c r="AY79" s="28" t="e">
        <v>#N/A</v>
      </c>
      <c r="AZ79" s="28">
        <v>53.2271</v>
      </c>
      <c r="BA79" s="3">
        <v>10090.08</v>
      </c>
      <c r="BB79">
        <f>IF(ISNUMBER(VLOOKUP($B79,CEIC_DATA!$I$26:$N$353,Haver_M!BB$2,FALSE)),VLOOKUP($B79,CEIC_DATA!$I$26:$N$353,Haver_M!BB$2,FALSE),NA())</f>
        <v>105.28187022</v>
      </c>
      <c r="BC79" t="e">
        <f>IF(ISNUMBER(VLOOKUP($B79,CEIC_DATA!$I$26:$N$353,Haver_M!BC$2,FALSE)),VLOOKUP($B79,CEIC_DATA!$I$26:$N$353,Haver_M!BC$2,FALSE),NA())</f>
        <v>#N/A</v>
      </c>
      <c r="BD79" t="e">
        <f>IF(ISNUMBER(VLOOKUP($B79,CEIC_DATA!$I$26:$N$353,Haver_M!BD$2,FALSE)),VLOOKUP($B79,CEIC_DATA!$I$26:$N$353,Haver_M!BD$2,FALSE),NA())</f>
        <v>#N/A</v>
      </c>
      <c r="BE79" t="e">
        <f>IF(ISNUMBER(VLOOKUP($B79,CEIC_DATA!$I$26:$N$353,Haver_M!BE$2,FALSE)),VLOOKUP($B79,CEIC_DATA!$I$26:$N$353,Haver_M!BE$2,FALSE),NA())</f>
        <v>#N/A</v>
      </c>
      <c r="BF79">
        <v>639717</v>
      </c>
      <c r="BG79">
        <v>38517</v>
      </c>
      <c r="BH79">
        <v>819181</v>
      </c>
      <c r="BI79">
        <v>98635</v>
      </c>
      <c r="BJ79" s="3" t="e">
        <v>#N/A</v>
      </c>
      <c r="BK79" s="3" t="e">
        <v>#N/A</v>
      </c>
      <c r="BL79" s="3" t="e">
        <v>#N/A</v>
      </c>
      <c r="BM79" s="3" t="e">
        <v>#N/A</v>
      </c>
      <c r="BN79" s="3">
        <v>9055</v>
      </c>
      <c r="BO79" s="3">
        <v>11535</v>
      </c>
      <c r="BP79" s="28">
        <v>44.328899999999997</v>
      </c>
      <c r="BQ79" s="28" t="str">
        <f t="shared" si="5"/>
        <v/>
      </c>
      <c r="BR79" s="28" t="str">
        <f t="shared" si="6"/>
        <v/>
      </c>
      <c r="BS79" s="28" t="str">
        <f t="shared" si="7"/>
        <v/>
      </c>
      <c r="BT79" s="28" t="str">
        <f t="shared" si="8"/>
        <v/>
      </c>
      <c r="BU79" s="4">
        <v>18294</v>
      </c>
    </row>
    <row r="80" spans="1:73" x14ac:dyDescent="0.25">
      <c r="A80" t="s">
        <v>79</v>
      </c>
      <c r="B80" s="2">
        <v>38807</v>
      </c>
      <c r="C80" s="3">
        <v>6.5</v>
      </c>
      <c r="D80" s="28">
        <v>7.5290999999999997</v>
      </c>
      <c r="E80" s="34">
        <v>94.690969999999993</v>
      </c>
      <c r="F80" s="5">
        <v>58.6</v>
      </c>
      <c r="G80" s="5" t="e">
        <v>#N/A</v>
      </c>
      <c r="H80" s="3">
        <v>69.95</v>
      </c>
      <c r="I80" s="3">
        <v>73.89</v>
      </c>
      <c r="J80" s="3">
        <v>60.34</v>
      </c>
      <c r="K80" s="3">
        <v>83.05</v>
      </c>
      <c r="L80" s="3" t="e">
        <v>#N/A</v>
      </c>
      <c r="M80" s="3">
        <v>42.84</v>
      </c>
      <c r="N80" s="3">
        <v>79.3</v>
      </c>
      <c r="O80" s="5">
        <v>74.099999999999994</v>
      </c>
      <c r="P80" s="52">
        <v>75.326999999999998</v>
      </c>
      <c r="Q80" s="52">
        <v>86.445999999999998</v>
      </c>
      <c r="R80" s="52">
        <v>69.325000000000003</v>
      </c>
      <c r="S80" s="52">
        <v>81.563000000000002</v>
      </c>
      <c r="T80" s="52">
        <v>96.05</v>
      </c>
      <c r="U80" s="52">
        <v>64.055999999999997</v>
      </c>
      <c r="V80" s="52">
        <v>67.84</v>
      </c>
      <c r="W80" s="52">
        <v>71.893000000000001</v>
      </c>
      <c r="X80" s="3">
        <v>9562.3718060393894</v>
      </c>
      <c r="Y80" s="3">
        <v>9655.5400000000009</v>
      </c>
      <c r="Z80" s="3">
        <v>14117.06</v>
      </c>
      <c r="AA80" s="4" t="e">
        <v>#N/A</v>
      </c>
      <c r="AB80" s="4" t="e">
        <v>#N/A</v>
      </c>
      <c r="AC80" s="5" t="e">
        <v>#N/A</v>
      </c>
      <c r="AD80" s="5" t="e">
        <v>#N/A</v>
      </c>
      <c r="AE80" s="34">
        <v>34.576219951384537</v>
      </c>
      <c r="AF80" s="28">
        <v>61.937899999999999</v>
      </c>
      <c r="AG80" s="28">
        <v>55.090899999999998</v>
      </c>
      <c r="AH80" s="28">
        <v>63.322699999999998</v>
      </c>
      <c r="AI80" s="28">
        <v>58.825000000000003</v>
      </c>
      <c r="AJ80" s="28">
        <v>58.054200000000002</v>
      </c>
      <c r="AK80" s="28">
        <v>52.101199999999999</v>
      </c>
      <c r="AL80" s="28">
        <v>51.093000000000004</v>
      </c>
      <c r="AM80" s="28">
        <v>52.121200000000002</v>
      </c>
      <c r="AN80" s="28">
        <v>53.035899999999998</v>
      </c>
      <c r="AO80" s="28">
        <v>56.021900000000002</v>
      </c>
      <c r="AP80" s="28">
        <v>49.973999999999997</v>
      </c>
      <c r="AQ80" s="28">
        <v>54.516300000000001</v>
      </c>
      <c r="AR80" s="28">
        <v>51.597200000000001</v>
      </c>
      <c r="AS80" s="28">
        <v>49.764200000000002</v>
      </c>
      <c r="AT80" s="28">
        <v>1.1617</v>
      </c>
      <c r="AU80" s="28">
        <v>53.767400000000002</v>
      </c>
      <c r="AV80" s="28">
        <v>52.050199999999997</v>
      </c>
      <c r="AW80" s="28">
        <v>61.751800000000003</v>
      </c>
      <c r="AX80" s="28">
        <v>59.299599999999998</v>
      </c>
      <c r="AY80" s="28" t="e">
        <v>#N/A</v>
      </c>
      <c r="AZ80" s="28">
        <v>51.553600000000003</v>
      </c>
      <c r="BA80" s="3">
        <v>10857.03</v>
      </c>
      <c r="BB80">
        <f>IF(ISNUMBER(VLOOKUP($B80,CEIC_DATA!$I$26:$N$353,Haver_M!BB$2,FALSE)),VLOOKUP($B80,CEIC_DATA!$I$26:$N$353,Haver_M!BB$2,FALSE),NA())</f>
        <v>106.30197794</v>
      </c>
      <c r="BC80">
        <f>IF(ISNUMBER(VLOOKUP($B80,CEIC_DATA!$I$26:$N$353,Haver_M!BC$2,FALSE)),VLOOKUP($B80,CEIC_DATA!$I$26:$N$353,Haver_M!BC$2,FALSE),NA())</f>
        <v>120.7</v>
      </c>
      <c r="BD80">
        <f>IF(ISNUMBER(VLOOKUP($B80,CEIC_DATA!$I$26:$N$353,Haver_M!BD$2,FALSE)),VLOOKUP($B80,CEIC_DATA!$I$26:$N$353,Haver_M!BD$2,FALSE),NA())</f>
        <v>125.7</v>
      </c>
      <c r="BE80">
        <f>IF(ISNUMBER(VLOOKUP($B80,CEIC_DATA!$I$26:$N$353,Haver_M!BE$2,FALSE)),VLOOKUP($B80,CEIC_DATA!$I$26:$N$353,Haver_M!BE$2,FALSE),NA())</f>
        <v>49.8</v>
      </c>
      <c r="BF80">
        <v>693952</v>
      </c>
      <c r="BG80">
        <v>48850</v>
      </c>
      <c r="BH80">
        <v>944096</v>
      </c>
      <c r="BI80">
        <v>156757</v>
      </c>
      <c r="BJ80" s="3" t="e">
        <v>#N/A</v>
      </c>
      <c r="BK80" s="3" t="e">
        <v>#N/A</v>
      </c>
      <c r="BL80" s="3" t="e">
        <v>#N/A</v>
      </c>
      <c r="BM80" s="3" t="e">
        <v>#N/A</v>
      </c>
      <c r="BN80" s="3">
        <v>11561</v>
      </c>
      <c r="BO80" s="3">
        <v>14314</v>
      </c>
      <c r="BP80" s="28">
        <v>44.481000000000002</v>
      </c>
      <c r="BQ80" s="28" t="str">
        <f t="shared" si="5"/>
        <v/>
      </c>
      <c r="BR80" s="28" t="str">
        <f t="shared" si="6"/>
        <v/>
      </c>
      <c r="BS80" s="28" t="str">
        <f t="shared" si="7"/>
        <v/>
      </c>
      <c r="BT80" s="28" t="str">
        <f t="shared" si="8"/>
        <v/>
      </c>
      <c r="BU80" s="4">
        <v>16620</v>
      </c>
    </row>
    <row r="81" spans="1:73" x14ac:dyDescent="0.25">
      <c r="A81" t="s">
        <v>80</v>
      </c>
      <c r="B81" s="2">
        <v>38837</v>
      </c>
      <c r="C81" s="3">
        <v>6.5</v>
      </c>
      <c r="D81" s="28">
        <v>7.3940999999999999</v>
      </c>
      <c r="E81" s="34">
        <v>93.555250000000001</v>
      </c>
      <c r="F81" s="5">
        <v>59.2</v>
      </c>
      <c r="G81" s="5" t="e">
        <v>#N/A</v>
      </c>
      <c r="H81" s="3">
        <v>69.08</v>
      </c>
      <c r="I81" s="3">
        <v>73.64</v>
      </c>
      <c r="J81" s="3">
        <v>57.35</v>
      </c>
      <c r="K81" s="3">
        <v>81.59</v>
      </c>
      <c r="L81" s="3" t="e">
        <v>#N/A</v>
      </c>
      <c r="M81" s="3">
        <v>44.41</v>
      </c>
      <c r="N81" s="3">
        <v>69.91</v>
      </c>
      <c r="O81" s="5">
        <v>75.099999999999994</v>
      </c>
      <c r="P81" s="52">
        <v>78.725999999999999</v>
      </c>
      <c r="Q81" s="52">
        <v>87.006</v>
      </c>
      <c r="R81" s="52">
        <v>69.632999999999996</v>
      </c>
      <c r="S81" s="52">
        <v>80.971999999999994</v>
      </c>
      <c r="T81" s="52">
        <v>98.93</v>
      </c>
      <c r="U81" s="52">
        <v>66.3</v>
      </c>
      <c r="V81" s="52">
        <v>67.471000000000004</v>
      </c>
      <c r="W81" s="52">
        <v>72.911000000000001</v>
      </c>
      <c r="X81" s="3">
        <v>9723.7208129570936</v>
      </c>
      <c r="Y81" s="3">
        <v>8948.24</v>
      </c>
      <c r="Z81" s="3">
        <v>13213.4</v>
      </c>
      <c r="AA81" s="4" t="e">
        <v>#N/A</v>
      </c>
      <c r="AB81" s="4" t="e">
        <v>#N/A</v>
      </c>
      <c r="AC81" s="5" t="e">
        <v>#N/A</v>
      </c>
      <c r="AD81" s="5" t="e">
        <v>#N/A</v>
      </c>
      <c r="AE81" s="34">
        <v>30.910233160557748</v>
      </c>
      <c r="AF81" s="28">
        <v>62.905799999999999</v>
      </c>
      <c r="AG81" s="28">
        <v>56.761699999999998</v>
      </c>
      <c r="AH81" s="28">
        <v>63.464799999999997</v>
      </c>
      <c r="AI81" s="28">
        <v>61.6492</v>
      </c>
      <c r="AJ81" s="28">
        <v>61.780099999999997</v>
      </c>
      <c r="AK81" s="28">
        <v>52.362200000000001</v>
      </c>
      <c r="AL81" s="28">
        <v>52.356000000000002</v>
      </c>
      <c r="AM81" s="28">
        <v>51.9634</v>
      </c>
      <c r="AN81" s="28">
        <v>57.199800000000003</v>
      </c>
      <c r="AO81" s="28">
        <v>57.329799999999999</v>
      </c>
      <c r="AP81" s="28">
        <v>48.934199999999997</v>
      </c>
      <c r="AQ81" s="28">
        <v>55.165100000000002</v>
      </c>
      <c r="AR81" s="28">
        <v>53.664900000000003</v>
      </c>
      <c r="AS81" s="28">
        <v>50</v>
      </c>
      <c r="AT81" s="28">
        <v>1.2625</v>
      </c>
      <c r="AU81" s="28">
        <v>55.226399999999998</v>
      </c>
      <c r="AV81" s="28">
        <v>52.884099999999997</v>
      </c>
      <c r="AW81" s="28">
        <v>61.7804</v>
      </c>
      <c r="AX81" s="28">
        <v>57.4054</v>
      </c>
      <c r="AY81" s="28" t="e">
        <v>#N/A</v>
      </c>
      <c r="AZ81" s="28">
        <v>51.857799999999997</v>
      </c>
      <c r="BA81" s="3">
        <v>11724.05</v>
      </c>
      <c r="BB81">
        <f>IF(ISNUMBER(VLOOKUP($B81,CEIC_DATA!$I$26:$N$353,Haver_M!BB$2,FALSE)),VLOOKUP($B81,CEIC_DATA!$I$26:$N$353,Haver_M!BB$2,FALSE),NA())</f>
        <v>106.65595184999999</v>
      </c>
      <c r="BC81" t="e">
        <f>IF(ISNUMBER(VLOOKUP($B81,CEIC_DATA!$I$26:$N$353,Haver_M!BC$2,FALSE)),VLOOKUP($B81,CEIC_DATA!$I$26:$N$353,Haver_M!BC$2,FALSE),NA())</f>
        <v>#N/A</v>
      </c>
      <c r="BD81" t="e">
        <f>IF(ISNUMBER(VLOOKUP($B81,CEIC_DATA!$I$26:$N$353,Haver_M!BD$2,FALSE)),VLOOKUP($B81,CEIC_DATA!$I$26:$N$353,Haver_M!BD$2,FALSE),NA())</f>
        <v>#N/A</v>
      </c>
      <c r="BE81" t="e">
        <f>IF(ISNUMBER(VLOOKUP($B81,CEIC_DATA!$I$26:$N$353,Haver_M!BE$2,FALSE)),VLOOKUP($B81,CEIC_DATA!$I$26:$N$353,Haver_M!BE$2,FALSE),NA())</f>
        <v>#N/A</v>
      </c>
      <c r="BF81">
        <v>654445</v>
      </c>
      <c r="BG81">
        <v>31814</v>
      </c>
      <c r="BH81">
        <v>832745</v>
      </c>
      <c r="BI81">
        <v>110615</v>
      </c>
      <c r="BJ81" s="3" t="e">
        <v>#N/A</v>
      </c>
      <c r="BK81" s="3" t="e">
        <v>#N/A</v>
      </c>
      <c r="BL81" s="3" t="e">
        <v>#N/A</v>
      </c>
      <c r="BM81" s="3" t="e">
        <v>#N/A</v>
      </c>
      <c r="BN81" s="3">
        <v>8625</v>
      </c>
      <c r="BO81" s="3">
        <v>12924.5</v>
      </c>
      <c r="BP81" s="28">
        <v>44.949100000000001</v>
      </c>
      <c r="BQ81" s="28" t="str">
        <f t="shared" si="5"/>
        <v/>
      </c>
      <c r="BR81" s="28" t="str">
        <f t="shared" si="6"/>
        <v/>
      </c>
      <c r="BS81" s="28" t="str">
        <f t="shared" si="7"/>
        <v/>
      </c>
      <c r="BT81" s="28" t="str">
        <f t="shared" si="8"/>
        <v/>
      </c>
      <c r="BU81" s="4">
        <v>22819</v>
      </c>
    </row>
    <row r="82" spans="1:73" x14ac:dyDescent="0.25">
      <c r="A82" t="s">
        <v>81</v>
      </c>
      <c r="B82" s="2">
        <v>38868</v>
      </c>
      <c r="C82" s="3">
        <v>6.5</v>
      </c>
      <c r="D82" s="28">
        <v>7.6809000000000003</v>
      </c>
      <c r="E82" s="34">
        <v>91.368719999999996</v>
      </c>
      <c r="F82" s="5">
        <v>59.9</v>
      </c>
      <c r="G82" s="5" t="e">
        <v>#N/A</v>
      </c>
      <c r="H82" s="3">
        <v>69.94</v>
      </c>
      <c r="I82" s="3">
        <v>73.989999999999995</v>
      </c>
      <c r="J82" s="3">
        <v>56.83</v>
      </c>
      <c r="K82" s="3">
        <v>83.59</v>
      </c>
      <c r="L82" s="3" t="e">
        <v>#N/A</v>
      </c>
      <c r="M82" s="3">
        <v>43.44</v>
      </c>
      <c r="N82" s="3">
        <v>77.63</v>
      </c>
      <c r="O82" s="5">
        <v>75.599999999999994</v>
      </c>
      <c r="P82" s="52">
        <v>80.049000000000007</v>
      </c>
      <c r="Q82" s="52">
        <v>88.953999999999994</v>
      </c>
      <c r="R82" s="52">
        <v>68.876999999999995</v>
      </c>
      <c r="S82" s="52">
        <v>82.628</v>
      </c>
      <c r="T82" s="52">
        <v>96.372</v>
      </c>
      <c r="U82" s="52">
        <v>65.379000000000005</v>
      </c>
      <c r="V82" s="52">
        <v>66.748999999999995</v>
      </c>
      <c r="W82" s="52">
        <v>72.864999999999995</v>
      </c>
      <c r="X82" s="3">
        <v>10363.178190066597</v>
      </c>
      <c r="Y82" s="3">
        <v>10003.85</v>
      </c>
      <c r="Z82" s="3">
        <v>13955.35</v>
      </c>
      <c r="AA82" s="4" t="e">
        <v>#N/A</v>
      </c>
      <c r="AB82" s="4" t="e">
        <v>#N/A</v>
      </c>
      <c r="AC82" s="5" t="e">
        <v>#N/A</v>
      </c>
      <c r="AD82" s="5" t="e">
        <v>#N/A</v>
      </c>
      <c r="AE82" s="34">
        <v>42.97217150056008</v>
      </c>
      <c r="AF82" s="28">
        <v>63.817700000000002</v>
      </c>
      <c r="AG82" s="28">
        <v>57.7181</v>
      </c>
      <c r="AH82" s="28">
        <v>64.709400000000002</v>
      </c>
      <c r="AI82" s="28">
        <v>61.813200000000002</v>
      </c>
      <c r="AJ82" s="28">
        <v>63.5501</v>
      </c>
      <c r="AK82" s="28">
        <v>52.060400000000001</v>
      </c>
      <c r="AL82" s="28">
        <v>49.452100000000002</v>
      </c>
      <c r="AM82" s="28">
        <v>52.0548</v>
      </c>
      <c r="AN82" s="28">
        <v>60.043100000000003</v>
      </c>
      <c r="AO82" s="28">
        <v>59.178100000000001</v>
      </c>
      <c r="AP82" s="28">
        <v>50</v>
      </c>
      <c r="AQ82" s="28">
        <v>56.347099999999998</v>
      </c>
      <c r="AR82" s="28">
        <v>57.280200000000001</v>
      </c>
      <c r="AS82" s="28">
        <v>51.627200000000002</v>
      </c>
      <c r="AT82" s="28">
        <v>1.2709999999999999</v>
      </c>
      <c r="AU82" s="28">
        <v>54.104500000000002</v>
      </c>
      <c r="AV82" s="28">
        <v>52.558799999999998</v>
      </c>
      <c r="AW82" s="28">
        <v>62.426400000000001</v>
      </c>
      <c r="AX82" s="28">
        <v>57.205500000000001</v>
      </c>
      <c r="AY82" s="28" t="e">
        <v>#N/A</v>
      </c>
      <c r="AZ82" s="28">
        <v>51.096499999999999</v>
      </c>
      <c r="BA82" s="3">
        <v>11599.16</v>
      </c>
      <c r="BB82">
        <f>IF(ISNUMBER(VLOOKUP($B82,CEIC_DATA!$I$26:$N$353,Haver_M!BB$2,FALSE)),VLOOKUP($B82,CEIC_DATA!$I$26:$N$353,Haver_M!BB$2,FALSE),NA())</f>
        <v>106.4769052</v>
      </c>
      <c r="BC82" t="e">
        <f>IF(ISNUMBER(VLOOKUP($B82,CEIC_DATA!$I$26:$N$353,Haver_M!BC$2,FALSE)),VLOOKUP($B82,CEIC_DATA!$I$26:$N$353,Haver_M!BC$2,FALSE),NA())</f>
        <v>#N/A</v>
      </c>
      <c r="BD82" t="e">
        <f>IF(ISNUMBER(VLOOKUP($B82,CEIC_DATA!$I$26:$N$353,Haver_M!BD$2,FALSE)),VLOOKUP($B82,CEIC_DATA!$I$26:$N$353,Haver_M!BD$2,FALSE),NA())</f>
        <v>#N/A</v>
      </c>
      <c r="BE82" t="e">
        <f>IF(ISNUMBER(VLOOKUP($B82,CEIC_DATA!$I$26:$N$353,Haver_M!BE$2,FALSE)),VLOOKUP($B82,CEIC_DATA!$I$26:$N$353,Haver_M!BE$2,FALSE),NA())</f>
        <v>#N/A</v>
      </c>
      <c r="BF82">
        <v>725780</v>
      </c>
      <c r="BG82">
        <v>36285</v>
      </c>
      <c r="BH82">
        <v>928946</v>
      </c>
      <c r="BI82">
        <v>126768</v>
      </c>
      <c r="BJ82" s="3" t="e">
        <v>#N/A</v>
      </c>
      <c r="BK82" s="3" t="e">
        <v>#N/A</v>
      </c>
      <c r="BL82" s="3" t="e">
        <v>#N/A</v>
      </c>
      <c r="BM82" s="3" t="e">
        <v>#N/A</v>
      </c>
      <c r="BN82" s="3">
        <v>10109.700000000001</v>
      </c>
      <c r="BO82" s="3">
        <v>15106</v>
      </c>
      <c r="BP82" s="28">
        <v>45.407299999999999</v>
      </c>
      <c r="BQ82" s="28" t="str">
        <f t="shared" si="5"/>
        <v/>
      </c>
      <c r="BR82" s="28" t="str">
        <f t="shared" si="6"/>
        <v/>
      </c>
      <c r="BS82" s="28" t="str">
        <f t="shared" si="7"/>
        <v/>
      </c>
      <c r="BT82" s="28" t="str">
        <f t="shared" si="8"/>
        <v/>
      </c>
      <c r="BU82" s="4">
        <v>22298</v>
      </c>
    </row>
    <row r="83" spans="1:73" x14ac:dyDescent="0.25">
      <c r="A83" t="s">
        <v>82</v>
      </c>
      <c r="B83" s="2">
        <v>38898</v>
      </c>
      <c r="C83" s="3">
        <v>6.75</v>
      </c>
      <c r="D83" s="28">
        <v>8.1318000000000001</v>
      </c>
      <c r="E83" s="34">
        <v>91.615210000000005</v>
      </c>
      <c r="F83" s="5">
        <v>60.8</v>
      </c>
      <c r="G83" s="5" t="e">
        <v>#N/A</v>
      </c>
      <c r="H83" s="3">
        <v>70.11</v>
      </c>
      <c r="I83" s="3">
        <v>74.180000000000007</v>
      </c>
      <c r="J83" s="3">
        <v>57.01</v>
      </c>
      <c r="K83" s="3">
        <v>84.14</v>
      </c>
      <c r="L83" s="3" t="e">
        <v>#N/A</v>
      </c>
      <c r="M83" s="3">
        <v>42.73</v>
      </c>
      <c r="N83" s="3">
        <v>81.22</v>
      </c>
      <c r="O83" s="5">
        <v>76.7</v>
      </c>
      <c r="P83" s="52">
        <v>81.087000000000003</v>
      </c>
      <c r="Q83" s="52">
        <v>90.412999999999997</v>
      </c>
      <c r="R83" s="52">
        <v>70.48</v>
      </c>
      <c r="S83" s="52">
        <v>83.688000000000002</v>
      </c>
      <c r="T83" s="52">
        <v>91.602000000000004</v>
      </c>
      <c r="U83" s="52">
        <v>67.281000000000006</v>
      </c>
      <c r="V83" s="52">
        <v>68.816999999999993</v>
      </c>
      <c r="W83" s="52">
        <v>73.802999999999997</v>
      </c>
      <c r="X83" s="3">
        <v>9759.6090342111438</v>
      </c>
      <c r="Y83" s="3">
        <v>10375.59</v>
      </c>
      <c r="Z83" s="3">
        <v>14380.4</v>
      </c>
      <c r="AA83" s="4" t="e">
        <v>#N/A</v>
      </c>
      <c r="AB83" s="4" t="e">
        <v>#N/A</v>
      </c>
      <c r="AC83" s="5" t="e">
        <v>#N/A</v>
      </c>
      <c r="AD83" s="5" t="e">
        <v>#N/A</v>
      </c>
      <c r="AE83" s="34">
        <v>55.735613948196537</v>
      </c>
      <c r="AF83" s="28">
        <v>61.862000000000002</v>
      </c>
      <c r="AG83" s="28">
        <v>56.816299999999998</v>
      </c>
      <c r="AH83" s="28">
        <v>62.293999999999997</v>
      </c>
      <c r="AI83" s="28">
        <v>60.891100000000002</v>
      </c>
      <c r="AJ83" s="28">
        <v>62.128700000000002</v>
      </c>
      <c r="AK83" s="28">
        <v>51.856400000000001</v>
      </c>
      <c r="AL83" s="28">
        <v>51.2438</v>
      </c>
      <c r="AM83" s="28">
        <v>52.701700000000002</v>
      </c>
      <c r="AN83" s="28">
        <v>59.128500000000003</v>
      </c>
      <c r="AO83" s="28">
        <v>56.683199999999999</v>
      </c>
      <c r="AP83" s="28">
        <v>49.125</v>
      </c>
      <c r="AQ83" s="28">
        <v>56.209000000000003</v>
      </c>
      <c r="AR83" s="28">
        <v>55.071199999999997</v>
      </c>
      <c r="AS83" s="28">
        <v>51.005000000000003</v>
      </c>
      <c r="AT83" s="28">
        <v>1.2646999999999999</v>
      </c>
      <c r="AU83" s="28">
        <v>53.133699999999997</v>
      </c>
      <c r="AV83" s="28">
        <v>52.299900000000001</v>
      </c>
      <c r="AW83" s="28">
        <v>60.285899999999998</v>
      </c>
      <c r="AX83" s="28">
        <v>55.985100000000003</v>
      </c>
      <c r="AY83" s="28" t="e">
        <v>#N/A</v>
      </c>
      <c r="AZ83" s="28">
        <v>49.9679</v>
      </c>
      <c r="BA83" s="3">
        <v>9913.01</v>
      </c>
      <c r="BB83">
        <f>IF(ISNUMBER(VLOOKUP($B83,CEIC_DATA!$I$26:$N$353,Haver_M!BB$2,FALSE)),VLOOKUP($B83,CEIC_DATA!$I$26:$N$353,Haver_M!BB$2,FALSE),NA())</f>
        <v>106.16287582</v>
      </c>
      <c r="BC83">
        <f>IF(ISNUMBER(VLOOKUP($B83,CEIC_DATA!$I$26:$N$353,Haver_M!BC$2,FALSE)),VLOOKUP($B83,CEIC_DATA!$I$26:$N$353,Haver_M!BC$2,FALSE),NA())</f>
        <v>121.8</v>
      </c>
      <c r="BD83">
        <f>IF(ISNUMBER(VLOOKUP($B83,CEIC_DATA!$I$26:$N$353,Haver_M!BD$2,FALSE)),VLOOKUP($B83,CEIC_DATA!$I$26:$N$353,Haver_M!BD$2,FALSE),NA())</f>
        <v>120.5</v>
      </c>
      <c r="BE83">
        <f>IF(ISNUMBER(VLOOKUP($B83,CEIC_DATA!$I$26:$N$353,Haver_M!BE$2,FALSE)),VLOOKUP($B83,CEIC_DATA!$I$26:$N$353,Haver_M!BE$2,FALSE),NA())</f>
        <v>46.3</v>
      </c>
      <c r="BF83">
        <v>690723</v>
      </c>
      <c r="BG83">
        <v>38045</v>
      </c>
      <c r="BH83">
        <v>893468</v>
      </c>
      <c r="BI83">
        <v>121782</v>
      </c>
      <c r="BJ83" s="3" t="e">
        <v>#N/A</v>
      </c>
      <c r="BK83" s="3" t="e">
        <v>#N/A</v>
      </c>
      <c r="BL83" s="3" t="e">
        <v>#N/A</v>
      </c>
      <c r="BM83" s="3" t="e">
        <v>#N/A</v>
      </c>
      <c r="BN83" s="3">
        <v>10420</v>
      </c>
      <c r="BO83" s="3">
        <v>14400.1</v>
      </c>
      <c r="BP83" s="28">
        <v>46.056100000000001</v>
      </c>
      <c r="BQ83" s="28" t="str">
        <f t="shared" si="5"/>
        <v/>
      </c>
      <c r="BR83" s="28" t="str">
        <f t="shared" si="6"/>
        <v/>
      </c>
      <c r="BS83" s="28" t="str">
        <f t="shared" si="7"/>
        <v/>
      </c>
      <c r="BT83" s="28" t="str">
        <f t="shared" si="8"/>
        <v/>
      </c>
      <c r="BU83" s="4">
        <v>20513</v>
      </c>
    </row>
    <row r="84" spans="1:73" x14ac:dyDescent="0.25">
      <c r="A84" t="s">
        <v>83</v>
      </c>
      <c r="B84" s="2">
        <v>38929</v>
      </c>
      <c r="C84" s="3">
        <v>7</v>
      </c>
      <c r="D84" s="28">
        <v>8.2809000000000008</v>
      </c>
      <c r="E84" s="34">
        <v>90.671490000000006</v>
      </c>
      <c r="F84" s="5">
        <v>61.1</v>
      </c>
      <c r="G84" s="5" t="e">
        <v>#N/A</v>
      </c>
      <c r="H84" s="3">
        <v>72.63</v>
      </c>
      <c r="I84" s="3">
        <v>74.97</v>
      </c>
      <c r="J84" s="3">
        <v>60</v>
      </c>
      <c r="K84" s="3">
        <v>84.46</v>
      </c>
      <c r="L84" s="3" t="e">
        <v>#N/A</v>
      </c>
      <c r="M84" s="3">
        <v>49.12</v>
      </c>
      <c r="N84" s="3">
        <v>81.03</v>
      </c>
      <c r="O84" s="5">
        <v>77</v>
      </c>
      <c r="P84" s="52">
        <v>81.528999999999996</v>
      </c>
      <c r="Q84" s="52">
        <v>89.292000000000002</v>
      </c>
      <c r="R84" s="52">
        <v>69.716999999999999</v>
      </c>
      <c r="S84" s="52">
        <v>86.69</v>
      </c>
      <c r="T84" s="52">
        <v>95.867999999999995</v>
      </c>
      <c r="U84" s="52">
        <v>67.527000000000001</v>
      </c>
      <c r="V84" s="52">
        <v>67.994</v>
      </c>
      <c r="W84" s="52">
        <v>74.540999999999997</v>
      </c>
      <c r="X84" s="3">
        <v>9635.9662884757236</v>
      </c>
      <c r="Y84" s="3">
        <v>10647.29</v>
      </c>
      <c r="Z84" s="3">
        <v>14678.36</v>
      </c>
      <c r="AA84" s="4" t="e">
        <v>#N/A</v>
      </c>
      <c r="AB84" s="4" t="e">
        <v>#N/A</v>
      </c>
      <c r="AC84" s="5" t="e">
        <v>#N/A</v>
      </c>
      <c r="AD84" s="5" t="e">
        <v>#N/A</v>
      </c>
      <c r="AE84" s="34">
        <v>63.438782730450242</v>
      </c>
      <c r="AF84" s="28">
        <v>59.920900000000003</v>
      </c>
      <c r="AG84" s="28">
        <v>55.808</v>
      </c>
      <c r="AH84" s="28">
        <v>60.180799999999998</v>
      </c>
      <c r="AI84" s="28">
        <v>59.336599999999997</v>
      </c>
      <c r="AJ84" s="28">
        <v>60.171599999999998</v>
      </c>
      <c r="AK84" s="28">
        <v>52.211300000000001</v>
      </c>
      <c r="AL84" s="28">
        <v>51.361400000000003</v>
      </c>
      <c r="AM84" s="28">
        <v>51.842799999999997</v>
      </c>
      <c r="AN84" s="28">
        <v>55.255200000000002</v>
      </c>
      <c r="AO84" s="28">
        <v>56.2605</v>
      </c>
      <c r="AP84" s="28">
        <v>49.8765</v>
      </c>
      <c r="AQ84" s="28">
        <v>54.7532</v>
      </c>
      <c r="AR84" s="28">
        <v>53.982799999999997</v>
      </c>
      <c r="AS84" s="28">
        <v>51.358699999999999</v>
      </c>
      <c r="AT84" s="28">
        <v>1.2063999999999999</v>
      </c>
      <c r="AU84" s="28">
        <v>53.860799999999998</v>
      </c>
      <c r="AV84" s="28">
        <v>51.930900000000001</v>
      </c>
      <c r="AW84" s="28">
        <v>59.635800000000003</v>
      </c>
      <c r="AX84" s="28">
        <v>55.801499999999997</v>
      </c>
      <c r="AY84" s="28" t="e">
        <v>#N/A</v>
      </c>
      <c r="AZ84" s="28">
        <v>49.8247</v>
      </c>
      <c r="BA84" s="3">
        <v>10557.15</v>
      </c>
      <c r="BB84">
        <f>IF(ISNUMBER(VLOOKUP($B84,CEIC_DATA!$I$26:$N$353,Haver_M!BB$2,FALSE)),VLOOKUP($B84,CEIC_DATA!$I$26:$N$353,Haver_M!BB$2,FALSE),NA())</f>
        <v>105.99648338</v>
      </c>
      <c r="BC84" t="e">
        <f>IF(ISNUMBER(VLOOKUP($B84,CEIC_DATA!$I$26:$N$353,Haver_M!BC$2,FALSE)),VLOOKUP($B84,CEIC_DATA!$I$26:$N$353,Haver_M!BC$2,FALSE),NA())</f>
        <v>#N/A</v>
      </c>
      <c r="BD84" t="e">
        <f>IF(ISNUMBER(VLOOKUP($B84,CEIC_DATA!$I$26:$N$353,Haver_M!BD$2,FALSE)),VLOOKUP($B84,CEIC_DATA!$I$26:$N$353,Haver_M!BD$2,FALSE),NA())</f>
        <v>#N/A</v>
      </c>
      <c r="BE84" t="e">
        <f>IF(ISNUMBER(VLOOKUP($B84,CEIC_DATA!$I$26:$N$353,Haver_M!BE$2,FALSE)),VLOOKUP($B84,CEIC_DATA!$I$26:$N$353,Haver_M!BE$2,FALSE),NA())</f>
        <v>#N/A</v>
      </c>
      <c r="BF84">
        <v>622659</v>
      </c>
      <c r="BG84">
        <v>36814</v>
      </c>
      <c r="BH84">
        <v>824544</v>
      </c>
      <c r="BI84">
        <v>119111</v>
      </c>
      <c r="BJ84" s="3" t="e">
        <v>#N/A</v>
      </c>
      <c r="BK84" s="3" t="e">
        <v>#N/A</v>
      </c>
      <c r="BL84" s="3" t="e">
        <v>#N/A</v>
      </c>
      <c r="BM84" s="3" t="e">
        <v>#N/A</v>
      </c>
      <c r="BN84" s="3">
        <v>10600.1</v>
      </c>
      <c r="BO84" s="3">
        <v>14985.4</v>
      </c>
      <c r="BP84" s="28">
        <v>46.456200000000003</v>
      </c>
      <c r="BQ84" s="28" t="str">
        <f t="shared" si="5"/>
        <v/>
      </c>
      <c r="BR84" s="28" t="str">
        <f t="shared" si="6"/>
        <v/>
      </c>
      <c r="BS84" s="28" t="str">
        <f t="shared" si="7"/>
        <v/>
      </c>
      <c r="BT84" s="28" t="str">
        <f t="shared" si="8"/>
        <v/>
      </c>
      <c r="BU84" s="4">
        <v>17109</v>
      </c>
    </row>
    <row r="85" spans="1:73" x14ac:dyDescent="0.25">
      <c r="A85" t="s">
        <v>84</v>
      </c>
      <c r="B85" s="2">
        <v>38960</v>
      </c>
      <c r="C85" s="3">
        <v>7</v>
      </c>
      <c r="D85" s="28">
        <v>7.9303999999999997</v>
      </c>
      <c r="E85" s="34">
        <v>90.4178</v>
      </c>
      <c r="F85" s="5">
        <v>61.5</v>
      </c>
      <c r="G85" s="5" t="e">
        <v>#N/A</v>
      </c>
      <c r="H85" s="3">
        <v>71.41</v>
      </c>
      <c r="I85" s="3">
        <v>73.599999999999994</v>
      </c>
      <c r="J85" s="3">
        <v>60.4</v>
      </c>
      <c r="K85" s="3">
        <v>84.11</v>
      </c>
      <c r="L85" s="3" t="e">
        <v>#N/A</v>
      </c>
      <c r="M85" s="3">
        <v>45.72</v>
      </c>
      <c r="N85" s="3">
        <v>81.290000000000006</v>
      </c>
      <c r="O85" s="5">
        <v>75.099999999999994</v>
      </c>
      <c r="P85" s="52">
        <v>78.087999999999994</v>
      </c>
      <c r="Q85" s="52">
        <v>85.057000000000002</v>
      </c>
      <c r="R85" s="52">
        <v>50.502000000000002</v>
      </c>
      <c r="S85" s="52">
        <v>85.89</v>
      </c>
      <c r="T85" s="52">
        <v>92.909000000000006</v>
      </c>
      <c r="U85" s="52">
        <v>67.13</v>
      </c>
      <c r="V85" s="52">
        <v>65.86</v>
      </c>
      <c r="W85" s="52">
        <v>74.093000000000004</v>
      </c>
      <c r="X85" s="3">
        <v>9894.0619464191113</v>
      </c>
      <c r="Y85" s="3">
        <v>10785.83</v>
      </c>
      <c r="Z85" s="3">
        <v>15090.39</v>
      </c>
      <c r="AA85" s="4" t="e">
        <v>#N/A</v>
      </c>
      <c r="AB85" s="4" t="e">
        <v>#N/A</v>
      </c>
      <c r="AC85" s="5" t="e">
        <v>#N/A</v>
      </c>
      <c r="AD85" s="5" t="e">
        <v>#N/A</v>
      </c>
      <c r="AE85" s="34">
        <v>62.206026272751501</v>
      </c>
      <c r="AF85" s="28">
        <v>61.454300000000003</v>
      </c>
      <c r="AG85" s="28">
        <v>57.874299999999998</v>
      </c>
      <c r="AH85" s="28">
        <v>61.270899999999997</v>
      </c>
      <c r="AI85" s="28">
        <v>61.866700000000002</v>
      </c>
      <c r="AJ85" s="28">
        <v>63.066699999999997</v>
      </c>
      <c r="AK85" s="28">
        <v>51.866700000000002</v>
      </c>
      <c r="AL85" s="28">
        <v>49.1935</v>
      </c>
      <c r="AM85" s="28">
        <v>54.933300000000003</v>
      </c>
      <c r="AN85" s="28">
        <v>60.381</v>
      </c>
      <c r="AO85" s="28">
        <v>59.651499999999999</v>
      </c>
      <c r="AP85" s="28">
        <v>49.845799999999997</v>
      </c>
      <c r="AQ85" s="28">
        <v>57.818899999999999</v>
      </c>
      <c r="AR85" s="28">
        <v>55.882399999999997</v>
      </c>
      <c r="AS85" s="28">
        <v>52.057000000000002</v>
      </c>
      <c r="AT85" s="28">
        <v>1.2652000000000001</v>
      </c>
      <c r="AU85" s="28">
        <v>53.989199999999997</v>
      </c>
      <c r="AV85" s="28">
        <v>51.088500000000003</v>
      </c>
      <c r="AW85" s="28">
        <v>59.753500000000003</v>
      </c>
      <c r="AX85" s="28">
        <v>53.8491</v>
      </c>
      <c r="AY85" s="28" t="e">
        <v>#N/A</v>
      </c>
      <c r="AZ85" s="28">
        <v>49.656100000000002</v>
      </c>
      <c r="BA85" s="3">
        <v>11305.04</v>
      </c>
      <c r="BB85">
        <f>IF(ISNUMBER(VLOOKUP($B85,CEIC_DATA!$I$26:$N$353,Haver_M!BB$2,FALSE)),VLOOKUP($B85,CEIC_DATA!$I$26:$N$353,Haver_M!BB$2,FALSE),NA())</f>
        <v>106.19775165999999</v>
      </c>
      <c r="BC85" t="e">
        <f>IF(ISNUMBER(VLOOKUP($B85,CEIC_DATA!$I$26:$N$353,Haver_M!BC$2,FALSE)),VLOOKUP($B85,CEIC_DATA!$I$26:$N$353,Haver_M!BC$2,FALSE),NA())</f>
        <v>#N/A</v>
      </c>
      <c r="BD85" t="e">
        <f>IF(ISNUMBER(VLOOKUP($B85,CEIC_DATA!$I$26:$N$353,Haver_M!BD$2,FALSE)),VLOOKUP($B85,CEIC_DATA!$I$26:$N$353,Haver_M!BD$2,FALSE),NA())</f>
        <v>#N/A</v>
      </c>
      <c r="BE85" t="e">
        <f>IF(ISNUMBER(VLOOKUP($B85,CEIC_DATA!$I$26:$N$353,Haver_M!BE$2,FALSE)),VLOOKUP($B85,CEIC_DATA!$I$26:$N$353,Haver_M!BE$2,FALSE),NA())</f>
        <v>#N/A</v>
      </c>
      <c r="BF85">
        <v>627645</v>
      </c>
      <c r="BG85">
        <v>39511</v>
      </c>
      <c r="BH85">
        <v>838914</v>
      </c>
      <c r="BI85">
        <v>126370</v>
      </c>
      <c r="BJ85" s="3" t="e">
        <v>#N/A</v>
      </c>
      <c r="BK85" s="3" t="e">
        <v>#N/A</v>
      </c>
      <c r="BL85" s="3" t="e">
        <v>#N/A</v>
      </c>
      <c r="BM85" s="3" t="e">
        <v>#N/A</v>
      </c>
      <c r="BN85" s="3">
        <v>10769.5</v>
      </c>
      <c r="BO85" s="3">
        <v>15326.7</v>
      </c>
      <c r="BP85" s="28">
        <v>46.539099999999998</v>
      </c>
      <c r="BQ85" s="28" t="str">
        <f t="shared" si="5"/>
        <v/>
      </c>
      <c r="BR85" s="28" t="str">
        <f t="shared" si="6"/>
        <v/>
      </c>
      <c r="BS85" s="28" t="str">
        <f t="shared" si="7"/>
        <v/>
      </c>
      <c r="BT85" s="28" t="str">
        <f t="shared" si="8"/>
        <v/>
      </c>
      <c r="BU85" s="4">
        <v>15481</v>
      </c>
    </row>
    <row r="86" spans="1:73" x14ac:dyDescent="0.25">
      <c r="A86" t="s">
        <v>85</v>
      </c>
      <c r="B86" s="2">
        <v>38990</v>
      </c>
      <c r="C86" s="3">
        <v>7</v>
      </c>
      <c r="D86" s="28">
        <v>7.6776</v>
      </c>
      <c r="E86" s="34">
        <v>92.510130000000004</v>
      </c>
      <c r="F86" s="5">
        <v>61.9</v>
      </c>
      <c r="G86" s="5" t="e">
        <v>#N/A</v>
      </c>
      <c r="H86" s="3">
        <v>72.650000000000006</v>
      </c>
      <c r="I86" s="3">
        <v>76.23</v>
      </c>
      <c r="J86" s="3">
        <v>60.51</v>
      </c>
      <c r="K86" s="3">
        <v>87.33</v>
      </c>
      <c r="L86" s="3" t="e">
        <v>#N/A</v>
      </c>
      <c r="M86" s="3">
        <v>46.61</v>
      </c>
      <c r="N86" s="3">
        <v>83.43</v>
      </c>
      <c r="O86" s="5">
        <v>77.8</v>
      </c>
      <c r="P86" s="52">
        <v>77.683999999999997</v>
      </c>
      <c r="Q86" s="52">
        <v>90.192999999999998</v>
      </c>
      <c r="R86" s="52">
        <v>66.332999999999998</v>
      </c>
      <c r="S86" s="52">
        <v>87.069000000000003</v>
      </c>
      <c r="T86" s="52">
        <v>100.395</v>
      </c>
      <c r="U86" s="52">
        <v>67.465000000000003</v>
      </c>
      <c r="V86" s="52">
        <v>71.653000000000006</v>
      </c>
      <c r="W86" s="52">
        <v>76.052999999999997</v>
      </c>
      <c r="X86" s="3">
        <v>10124.540242434976</v>
      </c>
      <c r="Y86" s="3">
        <v>10773.06</v>
      </c>
      <c r="Z86" s="3">
        <v>16143.56</v>
      </c>
      <c r="AA86" s="4" t="e">
        <v>#N/A</v>
      </c>
      <c r="AB86" s="4" t="e">
        <v>#N/A</v>
      </c>
      <c r="AC86" s="5" t="e">
        <v>#N/A</v>
      </c>
      <c r="AD86" s="5" t="e">
        <v>#N/A</v>
      </c>
      <c r="AE86" s="34">
        <v>49.955156608147782</v>
      </c>
      <c r="AF86" s="28">
        <v>63.611199999999997</v>
      </c>
      <c r="AG86" s="28">
        <v>59.001800000000003</v>
      </c>
      <c r="AH86" s="28">
        <v>63.516500000000001</v>
      </c>
      <c r="AI86" s="28">
        <v>63.824300000000001</v>
      </c>
      <c r="AJ86" s="28">
        <v>65.165099999999995</v>
      </c>
      <c r="AK86" s="28">
        <v>51.799500000000002</v>
      </c>
      <c r="AL86" s="28">
        <v>49.100299999999997</v>
      </c>
      <c r="AM86" s="28">
        <v>55.012900000000002</v>
      </c>
      <c r="AN86" s="28">
        <v>61.182499999999997</v>
      </c>
      <c r="AO86" s="28">
        <v>61.920099999999998</v>
      </c>
      <c r="AP86" s="28">
        <v>51.285299999999999</v>
      </c>
      <c r="AQ86" s="28">
        <v>57.657699999999998</v>
      </c>
      <c r="AR86" s="28">
        <v>54.498699999999999</v>
      </c>
      <c r="AS86" s="28">
        <v>52.048499999999997</v>
      </c>
      <c r="AT86" s="28">
        <v>1.2706</v>
      </c>
      <c r="AU86" s="28">
        <v>54.4985</v>
      </c>
      <c r="AV86" s="28">
        <v>51.266500000000001</v>
      </c>
      <c r="AW86" s="28">
        <v>61.067</v>
      </c>
      <c r="AX86" s="28">
        <v>54.2089</v>
      </c>
      <c r="AY86" s="28" t="e">
        <v>#N/A</v>
      </c>
      <c r="AZ86" s="28">
        <v>51.848799999999997</v>
      </c>
      <c r="BA86" s="3">
        <v>12035.69</v>
      </c>
      <c r="BB86">
        <f>IF(ISNUMBER(VLOOKUP($B86,CEIC_DATA!$I$26:$N$353,Haver_M!BB$2,FALSE)),VLOOKUP($B86,CEIC_DATA!$I$26:$N$353,Haver_M!BB$2,FALSE),NA())</f>
        <v>106.70633921</v>
      </c>
      <c r="BC86">
        <f>IF(ISNUMBER(VLOOKUP($B86,CEIC_DATA!$I$26:$N$353,Haver_M!BC$2,FALSE)),VLOOKUP($B86,CEIC_DATA!$I$26:$N$353,Haver_M!BC$2,FALSE),NA())</f>
        <v>120.7</v>
      </c>
      <c r="BD86">
        <f>IF(ISNUMBER(VLOOKUP($B86,CEIC_DATA!$I$26:$N$353,Haver_M!BD$2,FALSE)),VLOOKUP($B86,CEIC_DATA!$I$26:$N$353,Haver_M!BD$2,FALSE),NA())</f>
        <v>126.5</v>
      </c>
      <c r="BE86">
        <f>IF(ISNUMBER(VLOOKUP($B86,CEIC_DATA!$I$26:$N$353,Haver_M!BE$2,FALSE)),VLOOKUP($B86,CEIC_DATA!$I$26:$N$353,Haver_M!BE$2,FALSE),NA())</f>
        <v>53.1</v>
      </c>
      <c r="BF86">
        <v>839455</v>
      </c>
      <c r="BG86">
        <v>46840</v>
      </c>
      <c r="BH86">
        <v>1073751</v>
      </c>
      <c r="BI86">
        <v>138509</v>
      </c>
      <c r="BJ86" s="3" t="e">
        <v>#N/A</v>
      </c>
      <c r="BK86" s="3" t="e">
        <v>#N/A</v>
      </c>
      <c r="BL86" s="3" t="e">
        <v>#N/A</v>
      </c>
      <c r="BM86" s="3" t="e">
        <v>#N/A</v>
      </c>
      <c r="BN86" s="3">
        <v>10756.9</v>
      </c>
      <c r="BO86" s="3">
        <v>17351.099999999999</v>
      </c>
      <c r="BP86" s="28">
        <v>46.121000000000002</v>
      </c>
      <c r="BQ86" s="28" t="str">
        <f t="shared" si="5"/>
        <v/>
      </c>
      <c r="BR86" s="28" t="str">
        <f t="shared" si="6"/>
        <v/>
      </c>
      <c r="BS86" s="28" t="str">
        <f t="shared" si="7"/>
        <v/>
      </c>
      <c r="BT86" s="28" t="str">
        <f t="shared" si="8"/>
        <v/>
      </c>
      <c r="BU86" s="4">
        <v>12607</v>
      </c>
    </row>
    <row r="87" spans="1:73" x14ac:dyDescent="0.25">
      <c r="A87" t="s">
        <v>86</v>
      </c>
      <c r="B87" s="2">
        <v>39021</v>
      </c>
      <c r="C87" s="3">
        <v>7.25</v>
      </c>
      <c r="D87" s="28">
        <v>7.6417000000000002</v>
      </c>
      <c r="E87" s="34">
        <v>95.037689999999998</v>
      </c>
      <c r="F87" s="5">
        <v>62.7</v>
      </c>
      <c r="G87" s="5" t="e">
        <v>#N/A</v>
      </c>
      <c r="H87" s="3">
        <v>73.31</v>
      </c>
      <c r="I87" s="3">
        <v>76.64</v>
      </c>
      <c r="J87" s="3">
        <v>58.26</v>
      </c>
      <c r="K87" s="3">
        <v>87.25</v>
      </c>
      <c r="L87" s="3" t="e">
        <v>#N/A</v>
      </c>
      <c r="M87" s="3">
        <v>48.99</v>
      </c>
      <c r="N87" s="3">
        <v>80.709999999999994</v>
      </c>
      <c r="O87" s="5">
        <v>78.599999999999994</v>
      </c>
      <c r="P87" s="52">
        <v>79.644999999999996</v>
      </c>
      <c r="Q87" s="52">
        <v>90.167000000000002</v>
      </c>
      <c r="R87" s="52">
        <v>68.352000000000004</v>
      </c>
      <c r="S87" s="52">
        <v>87.546999999999997</v>
      </c>
      <c r="T87" s="52">
        <v>96.938999999999993</v>
      </c>
      <c r="U87" s="52">
        <v>69.367999999999995</v>
      </c>
      <c r="V87" s="52">
        <v>70.379000000000005</v>
      </c>
      <c r="W87" s="52">
        <v>76.849999999999994</v>
      </c>
      <c r="X87" s="3">
        <v>9828.4121878124206</v>
      </c>
      <c r="Y87" s="3">
        <v>10383.27</v>
      </c>
      <c r="Z87" s="3">
        <v>16953.72</v>
      </c>
      <c r="AA87" s="4" t="e">
        <v>#N/A</v>
      </c>
      <c r="AB87" s="4" t="e">
        <v>#N/A</v>
      </c>
      <c r="AC87" s="5" t="e">
        <v>#N/A</v>
      </c>
      <c r="AD87" s="5" t="e">
        <v>#N/A</v>
      </c>
      <c r="AE87" s="34">
        <v>30.607637857000043</v>
      </c>
      <c r="AF87" s="28">
        <v>63.1233</v>
      </c>
      <c r="AG87" s="28">
        <v>59.304600000000001</v>
      </c>
      <c r="AH87" s="28">
        <v>62.460799999999999</v>
      </c>
      <c r="AI87" s="28">
        <v>64.612700000000004</v>
      </c>
      <c r="AJ87" s="28">
        <v>66.285200000000003</v>
      </c>
      <c r="AK87" s="28">
        <v>51.584499999999998</v>
      </c>
      <c r="AL87" s="28">
        <v>50.880299999999998</v>
      </c>
      <c r="AM87" s="28">
        <v>55.809899999999999</v>
      </c>
      <c r="AN87" s="28">
        <v>56.713799999999999</v>
      </c>
      <c r="AO87" s="28">
        <v>62.676099999999998</v>
      </c>
      <c r="AP87" s="28">
        <v>51.223700000000001</v>
      </c>
      <c r="AQ87" s="28">
        <v>59.195300000000003</v>
      </c>
      <c r="AR87" s="28">
        <v>54.2254</v>
      </c>
      <c r="AS87" s="28">
        <v>52.679499999999997</v>
      </c>
      <c r="AT87" s="28">
        <v>1.294</v>
      </c>
      <c r="AU87" s="28">
        <v>54.436500000000002</v>
      </c>
      <c r="AV87" s="28">
        <v>53.670999999999999</v>
      </c>
      <c r="AW87" s="28">
        <v>60.615400000000001</v>
      </c>
      <c r="AX87" s="28">
        <v>56.268099999999997</v>
      </c>
      <c r="AY87" s="28" t="e">
        <v>#N/A</v>
      </c>
      <c r="AZ87" s="28">
        <v>51.677</v>
      </c>
      <c r="BA87" s="3">
        <v>12632.01</v>
      </c>
      <c r="BB87">
        <f>IF(ISNUMBER(VLOOKUP($B87,CEIC_DATA!$I$26:$N$353,Haver_M!BB$2,FALSE)),VLOOKUP($B87,CEIC_DATA!$I$26:$N$353,Haver_M!BB$2,FALSE),NA())</f>
        <v>107.32960631</v>
      </c>
      <c r="BC87" t="e">
        <f>IF(ISNUMBER(VLOOKUP($B87,CEIC_DATA!$I$26:$N$353,Haver_M!BC$2,FALSE)),VLOOKUP($B87,CEIC_DATA!$I$26:$N$353,Haver_M!BC$2,FALSE),NA())</f>
        <v>#N/A</v>
      </c>
      <c r="BD87" t="e">
        <f>IF(ISNUMBER(VLOOKUP($B87,CEIC_DATA!$I$26:$N$353,Haver_M!BD$2,FALSE)),VLOOKUP($B87,CEIC_DATA!$I$26:$N$353,Haver_M!BD$2,FALSE),NA())</f>
        <v>#N/A</v>
      </c>
      <c r="BE87" t="e">
        <f>IF(ISNUMBER(VLOOKUP($B87,CEIC_DATA!$I$26:$N$353,Haver_M!BE$2,FALSE)),VLOOKUP($B87,CEIC_DATA!$I$26:$N$353,Haver_M!BE$2,FALSE),NA())</f>
        <v>#N/A</v>
      </c>
      <c r="BF87">
        <v>875648</v>
      </c>
      <c r="BG87">
        <v>43070</v>
      </c>
      <c r="BH87">
        <v>1101474</v>
      </c>
      <c r="BI87">
        <v>133778</v>
      </c>
      <c r="BJ87" s="3" t="e">
        <v>#N/A</v>
      </c>
      <c r="BK87" s="3" t="e">
        <v>#N/A</v>
      </c>
      <c r="BL87" s="3" t="e">
        <v>#N/A</v>
      </c>
      <c r="BM87" s="3" t="e">
        <v>#N/A</v>
      </c>
      <c r="BN87" s="3">
        <v>9928.6</v>
      </c>
      <c r="BO87" s="3">
        <v>17512.400000000001</v>
      </c>
      <c r="BP87" s="28">
        <v>45.468400000000003</v>
      </c>
      <c r="BQ87" s="28" t="str">
        <f t="shared" si="5"/>
        <v/>
      </c>
      <c r="BR87" s="28" t="str">
        <f t="shared" si="6"/>
        <v/>
      </c>
      <c r="BS87" s="28" t="str">
        <f t="shared" si="7"/>
        <v/>
      </c>
      <c r="BT87" s="28" t="str">
        <f t="shared" si="8"/>
        <v/>
      </c>
      <c r="BU87" s="4">
        <v>18649</v>
      </c>
    </row>
    <row r="88" spans="1:73" x14ac:dyDescent="0.25">
      <c r="A88" t="s">
        <v>87</v>
      </c>
      <c r="B88" s="2">
        <v>39051</v>
      </c>
      <c r="C88" s="3">
        <v>7.25</v>
      </c>
      <c r="D88" s="28">
        <v>7.4061000000000003</v>
      </c>
      <c r="E88" s="34">
        <v>95.202629999999999</v>
      </c>
      <c r="F88" s="5">
        <v>62.7</v>
      </c>
      <c r="G88" s="5" t="e">
        <v>#N/A</v>
      </c>
      <c r="H88" s="3">
        <v>77.400000000000006</v>
      </c>
      <c r="I88" s="3">
        <v>78.03</v>
      </c>
      <c r="J88" s="3">
        <v>66.77</v>
      </c>
      <c r="K88" s="3">
        <v>89.4</v>
      </c>
      <c r="L88" s="3" t="e">
        <v>#N/A</v>
      </c>
      <c r="M88" s="3">
        <v>53.22</v>
      </c>
      <c r="N88" s="3">
        <v>88.52</v>
      </c>
      <c r="O88" s="5">
        <v>79.400000000000006</v>
      </c>
      <c r="P88" s="52">
        <v>79.361000000000004</v>
      </c>
      <c r="Q88" s="52">
        <v>90.49</v>
      </c>
      <c r="R88" s="52">
        <v>68.268000000000001</v>
      </c>
      <c r="S88" s="52">
        <v>89.882999999999996</v>
      </c>
      <c r="T88" s="52">
        <v>95.1</v>
      </c>
      <c r="U88" s="52">
        <v>71.667000000000002</v>
      </c>
      <c r="V88" s="52">
        <v>70.543999999999997</v>
      </c>
      <c r="W88" s="52">
        <v>76.116</v>
      </c>
      <c r="X88" s="3">
        <v>10402.859361797226</v>
      </c>
      <c r="Y88" s="3">
        <v>10889</v>
      </c>
      <c r="Z88" s="3">
        <v>16766.009999999998</v>
      </c>
      <c r="AA88" s="4" t="e">
        <v>#N/A</v>
      </c>
      <c r="AB88" s="4" t="e">
        <v>#N/A</v>
      </c>
      <c r="AC88" s="5" t="e">
        <v>#N/A</v>
      </c>
      <c r="AD88" s="5" t="e">
        <v>#N/A</v>
      </c>
      <c r="AE88" s="34">
        <v>98.684170731124496</v>
      </c>
      <c r="AF88" s="28">
        <v>63.657699999999998</v>
      </c>
      <c r="AG88" s="28">
        <v>58.942799999999998</v>
      </c>
      <c r="AH88" s="28">
        <v>63.561700000000002</v>
      </c>
      <c r="AI88" s="28">
        <v>63.873600000000003</v>
      </c>
      <c r="AJ88" s="28">
        <v>65.500799999999998</v>
      </c>
      <c r="AK88" s="28">
        <v>51.373600000000003</v>
      </c>
      <c r="AL88" s="28">
        <v>50</v>
      </c>
      <c r="AM88" s="28">
        <v>55.494500000000002</v>
      </c>
      <c r="AN88" s="28">
        <v>58.928600000000003</v>
      </c>
      <c r="AO88" s="28">
        <v>61.950499999999998</v>
      </c>
      <c r="AP88" s="28">
        <v>52.071800000000003</v>
      </c>
      <c r="AQ88" s="28">
        <v>58.39</v>
      </c>
      <c r="AR88" s="28">
        <v>52.060400000000001</v>
      </c>
      <c r="AS88" s="28">
        <v>51.054200000000002</v>
      </c>
      <c r="AT88" s="28">
        <v>1.2579</v>
      </c>
      <c r="AU88" s="28">
        <v>54.3309</v>
      </c>
      <c r="AV88" s="28">
        <v>54.081699999999998</v>
      </c>
      <c r="AW88" s="28">
        <v>61.246600000000001</v>
      </c>
      <c r="AX88" s="28">
        <v>58.528199999999998</v>
      </c>
      <c r="AY88" s="28" t="e">
        <v>#N/A</v>
      </c>
      <c r="AZ88" s="28">
        <v>53.5212</v>
      </c>
      <c r="BA88" s="3">
        <v>13415.79</v>
      </c>
      <c r="BB88">
        <f>IF(ISNUMBER(VLOOKUP($B88,CEIC_DATA!$I$26:$N$353,Haver_M!BB$2,FALSE)),VLOOKUP($B88,CEIC_DATA!$I$26:$N$353,Haver_M!BB$2,FALSE),NA())</f>
        <v>107.81843866</v>
      </c>
      <c r="BC88" t="e">
        <f>IF(ISNUMBER(VLOOKUP($B88,CEIC_DATA!$I$26:$N$353,Haver_M!BC$2,FALSE)),VLOOKUP($B88,CEIC_DATA!$I$26:$N$353,Haver_M!BC$2,FALSE),NA())</f>
        <v>#N/A</v>
      </c>
      <c r="BD88" t="e">
        <f>IF(ISNUMBER(VLOOKUP($B88,CEIC_DATA!$I$26:$N$353,Haver_M!BD$2,FALSE)),VLOOKUP($B88,CEIC_DATA!$I$26:$N$353,Haver_M!BD$2,FALSE),NA())</f>
        <v>#N/A</v>
      </c>
      <c r="BE88" t="e">
        <f>IF(ISNUMBER(VLOOKUP($B88,CEIC_DATA!$I$26:$N$353,Haver_M!BE$2,FALSE)),VLOOKUP($B88,CEIC_DATA!$I$26:$N$353,Haver_M!BE$2,FALSE),NA())</f>
        <v>#N/A</v>
      </c>
      <c r="BF88">
        <v>726105</v>
      </c>
      <c r="BG88">
        <v>44186</v>
      </c>
      <c r="BH88">
        <v>944652</v>
      </c>
      <c r="BI88">
        <v>125699</v>
      </c>
      <c r="BJ88" s="3" t="e">
        <v>#N/A</v>
      </c>
      <c r="BK88" s="3" t="e">
        <v>#N/A</v>
      </c>
      <c r="BL88" s="3" t="e">
        <v>#N/A</v>
      </c>
      <c r="BM88" s="3" t="e">
        <v>#N/A</v>
      </c>
      <c r="BN88" s="3">
        <v>9979.4</v>
      </c>
      <c r="BO88" s="3">
        <v>16381.2</v>
      </c>
      <c r="BP88" s="28">
        <v>44.830500000000001</v>
      </c>
      <c r="BQ88" s="28" t="str">
        <f t="shared" si="5"/>
        <v/>
      </c>
      <c r="BR88" s="28" t="str">
        <f t="shared" si="6"/>
        <v/>
      </c>
      <c r="BS88" s="28" t="str">
        <f t="shared" si="7"/>
        <v/>
      </c>
      <c r="BT88" s="28" t="str">
        <f t="shared" si="8"/>
        <v/>
      </c>
      <c r="BU88" s="4">
        <v>17764</v>
      </c>
    </row>
    <row r="89" spans="1:73" x14ac:dyDescent="0.25">
      <c r="A89" t="s">
        <v>88</v>
      </c>
      <c r="B89" s="2">
        <v>39082</v>
      </c>
      <c r="C89" s="3">
        <v>7.25</v>
      </c>
      <c r="D89" s="28">
        <v>7.6071</v>
      </c>
      <c r="E89" s="34">
        <v>94.036000000000001</v>
      </c>
      <c r="F89" s="5">
        <v>62.5</v>
      </c>
      <c r="G89" s="5" t="e">
        <v>#N/A</v>
      </c>
      <c r="H89" s="3">
        <v>77.05</v>
      </c>
      <c r="I89" s="3">
        <v>79.040000000000006</v>
      </c>
      <c r="J89" s="3">
        <v>68.61</v>
      </c>
      <c r="K89" s="3">
        <v>89.47</v>
      </c>
      <c r="L89" s="3" t="e">
        <v>#N/A</v>
      </c>
      <c r="M89" s="3">
        <v>49.48</v>
      </c>
      <c r="N89" s="3">
        <v>86.64</v>
      </c>
      <c r="O89" s="5">
        <v>79.900000000000006</v>
      </c>
      <c r="P89" s="52">
        <v>79.683999999999997</v>
      </c>
      <c r="Q89" s="52">
        <v>90.772000000000006</v>
      </c>
      <c r="R89" s="52">
        <v>67.397000000000006</v>
      </c>
      <c r="S89" s="52">
        <v>89.941999999999993</v>
      </c>
      <c r="T89" s="52">
        <v>98.239000000000004</v>
      </c>
      <c r="U89" s="52">
        <v>71.947999999999993</v>
      </c>
      <c r="V89" s="52">
        <v>71.081999999999994</v>
      </c>
      <c r="W89" s="52">
        <v>77.838999999999999</v>
      </c>
      <c r="X89" s="3">
        <v>10122.792549796777</v>
      </c>
      <c r="Y89" s="3">
        <v>10911.11</v>
      </c>
      <c r="Z89" s="3">
        <v>16373.74</v>
      </c>
      <c r="AA89" s="4" t="e">
        <v>#N/A</v>
      </c>
      <c r="AB89" s="4" t="e">
        <v>#N/A</v>
      </c>
      <c r="AC89" s="5" t="e">
        <v>#N/A</v>
      </c>
      <c r="AD89" s="5" t="e">
        <v>#N/A</v>
      </c>
      <c r="AE89" s="34">
        <v>66.210464134094494</v>
      </c>
      <c r="AF89" s="28">
        <v>58.522500000000001</v>
      </c>
      <c r="AG89" s="28">
        <v>56.558199999999999</v>
      </c>
      <c r="AH89" s="28">
        <v>58.091999999999999</v>
      </c>
      <c r="AI89" s="28">
        <v>59.490299999999998</v>
      </c>
      <c r="AJ89" s="28">
        <v>61.645600000000002</v>
      </c>
      <c r="AK89" s="28">
        <v>50.958399999999997</v>
      </c>
      <c r="AL89" s="28">
        <v>49.365499999999997</v>
      </c>
      <c r="AM89" s="28">
        <v>54.050600000000003</v>
      </c>
      <c r="AN89" s="28">
        <v>55.063299999999998</v>
      </c>
      <c r="AO89" s="28">
        <v>59.113900000000001</v>
      </c>
      <c r="AP89" s="28">
        <v>51.645600000000002</v>
      </c>
      <c r="AQ89" s="28">
        <v>54.081600000000002</v>
      </c>
      <c r="AR89" s="28">
        <v>51.898699999999998</v>
      </c>
      <c r="AS89" s="28">
        <v>50.791600000000003</v>
      </c>
      <c r="AT89" s="28">
        <v>1.1936</v>
      </c>
      <c r="AU89" s="28">
        <v>52.043199999999999</v>
      </c>
      <c r="AV89" s="28">
        <v>51.2926</v>
      </c>
      <c r="AW89" s="28">
        <v>57.442700000000002</v>
      </c>
      <c r="AX89" s="28">
        <v>52.648499999999999</v>
      </c>
      <c r="AY89" s="28" t="e">
        <v>#N/A</v>
      </c>
      <c r="AZ89" s="28">
        <v>51.923499999999997</v>
      </c>
      <c r="BA89" s="3">
        <v>13628.3</v>
      </c>
      <c r="BB89">
        <f>IF(ISNUMBER(VLOOKUP($B89,CEIC_DATA!$I$26:$N$353,Haver_M!BB$2,FALSE)),VLOOKUP($B89,CEIC_DATA!$I$26:$N$353,Haver_M!BB$2,FALSE),NA())</f>
        <v>107.94775937999999</v>
      </c>
      <c r="BC89">
        <f>IF(ISNUMBER(VLOOKUP($B89,CEIC_DATA!$I$26:$N$353,Haver_M!BC$2,FALSE)),VLOOKUP($B89,CEIC_DATA!$I$26:$N$353,Haver_M!BC$2,FALSE),NA())</f>
        <v>123.9</v>
      </c>
      <c r="BD89">
        <f>IF(ISNUMBER(VLOOKUP($B89,CEIC_DATA!$I$26:$N$353,Haver_M!BD$2,FALSE)),VLOOKUP($B89,CEIC_DATA!$I$26:$N$353,Haver_M!BD$2,FALSE),NA())</f>
        <v>125.3</v>
      </c>
      <c r="BE89">
        <f>IF(ISNUMBER(VLOOKUP($B89,CEIC_DATA!$I$26:$N$353,Haver_M!BE$2,FALSE)),VLOOKUP($B89,CEIC_DATA!$I$26:$N$353,Haver_M!BE$2,FALSE),NA())</f>
        <v>51.8</v>
      </c>
      <c r="BF89">
        <v>645294</v>
      </c>
      <c r="BG89">
        <v>46711</v>
      </c>
      <c r="BH89">
        <v>862650</v>
      </c>
      <c r="BI89">
        <v>123719</v>
      </c>
      <c r="BJ89" s="3" t="e">
        <v>#N/A</v>
      </c>
      <c r="BK89" s="3" t="e">
        <v>#N/A</v>
      </c>
      <c r="BL89" s="3" t="e">
        <v>#N/A</v>
      </c>
      <c r="BM89" s="3" t="e">
        <v>#N/A</v>
      </c>
      <c r="BN89" s="3">
        <v>10834.5</v>
      </c>
      <c r="BO89" s="3">
        <v>15679.6</v>
      </c>
      <c r="BP89" s="28">
        <v>44.617800000000003</v>
      </c>
      <c r="BQ89" s="28" t="str">
        <f t="shared" si="5"/>
        <v/>
      </c>
      <c r="BR89" s="28" t="str">
        <f t="shared" si="6"/>
        <v/>
      </c>
      <c r="BS89" s="28" t="str">
        <f t="shared" si="7"/>
        <v/>
      </c>
      <c r="BT89" s="28" t="str">
        <f t="shared" si="8"/>
        <v/>
      </c>
      <c r="BU89" s="4">
        <v>17793</v>
      </c>
    </row>
    <row r="90" spans="1:73" x14ac:dyDescent="0.25">
      <c r="A90" t="s">
        <v>89</v>
      </c>
      <c r="B90" s="2">
        <v>39113</v>
      </c>
      <c r="C90" s="3">
        <v>7.5</v>
      </c>
      <c r="D90" s="28">
        <v>7.7739000000000003</v>
      </c>
      <c r="E90" s="34">
        <v>95.429100000000005</v>
      </c>
      <c r="F90" s="5">
        <v>62.5</v>
      </c>
      <c r="G90" s="5" t="e">
        <v>#N/A</v>
      </c>
      <c r="H90" s="3">
        <v>78.08</v>
      </c>
      <c r="I90" s="3">
        <v>79.58</v>
      </c>
      <c r="J90" s="3">
        <v>69.260000000000005</v>
      </c>
      <c r="K90" s="3">
        <v>89.51</v>
      </c>
      <c r="L90" s="3" t="e">
        <v>#N/A</v>
      </c>
      <c r="M90" s="3">
        <v>52.93</v>
      </c>
      <c r="N90" s="3">
        <v>87.54</v>
      </c>
      <c r="O90" s="5">
        <v>79.8</v>
      </c>
      <c r="P90" s="52">
        <v>82.569000000000003</v>
      </c>
      <c r="Q90" s="52">
        <v>89.344999999999999</v>
      </c>
      <c r="R90" s="52">
        <v>69.004000000000005</v>
      </c>
      <c r="S90" s="52">
        <v>89.347999999999999</v>
      </c>
      <c r="T90" s="52">
        <v>97.447999999999993</v>
      </c>
      <c r="U90" s="52">
        <v>70.671999999999997</v>
      </c>
      <c r="V90" s="52">
        <v>71.730999999999995</v>
      </c>
      <c r="W90" s="52">
        <v>77.930999999999997</v>
      </c>
      <c r="X90" s="3">
        <v>10414.135029668909</v>
      </c>
      <c r="Y90" s="3">
        <v>11101.46</v>
      </c>
      <c r="Z90" s="3">
        <v>14815.46</v>
      </c>
      <c r="AA90" s="4" t="e">
        <v>#N/A</v>
      </c>
      <c r="AB90" s="4" t="e">
        <v>#N/A</v>
      </c>
      <c r="AC90" s="5" t="e">
        <v>#N/A</v>
      </c>
      <c r="AD90" s="5" t="e">
        <v>#N/A</v>
      </c>
      <c r="AE90" s="34">
        <v>49.26674027485916</v>
      </c>
      <c r="AF90" s="28">
        <v>56.856999999999999</v>
      </c>
      <c r="AG90" s="28">
        <v>55.286900000000003</v>
      </c>
      <c r="AH90" s="28">
        <v>56.3217</v>
      </c>
      <c r="AI90" s="28">
        <v>58.060099999999998</v>
      </c>
      <c r="AJ90" s="28">
        <v>59.6995</v>
      </c>
      <c r="AK90" s="28">
        <v>50.683100000000003</v>
      </c>
      <c r="AL90" s="28">
        <v>50.136600000000001</v>
      </c>
      <c r="AM90" s="28">
        <v>52.459000000000003</v>
      </c>
      <c r="AN90" s="28">
        <v>52.868899999999996</v>
      </c>
      <c r="AO90" s="28">
        <v>57.5137</v>
      </c>
      <c r="AP90" s="28">
        <v>50.409799999999997</v>
      </c>
      <c r="AQ90" s="28">
        <v>53.367899999999999</v>
      </c>
      <c r="AR90" s="28">
        <v>50.683100000000003</v>
      </c>
      <c r="AS90" s="28">
        <v>50</v>
      </c>
      <c r="AT90" s="28">
        <v>1.1842999999999999</v>
      </c>
      <c r="AU90" s="28">
        <v>51.1813</v>
      </c>
      <c r="AV90" s="28">
        <v>51.045099999999998</v>
      </c>
      <c r="AW90" s="28">
        <v>54.059699999999999</v>
      </c>
      <c r="AX90" s="28">
        <v>51.663800000000002</v>
      </c>
      <c r="AY90" s="28" t="e">
        <v>#N/A</v>
      </c>
      <c r="AZ90" s="28">
        <v>50.3322</v>
      </c>
      <c r="BA90" s="3">
        <v>13984</v>
      </c>
      <c r="BB90">
        <f>IF(ISNUMBER(VLOOKUP($B90,CEIC_DATA!$I$26:$N$353,Haver_M!BB$2,FALSE)),VLOOKUP($B90,CEIC_DATA!$I$26:$N$353,Haver_M!BB$2,FALSE),NA())</f>
        <v>107.63777954</v>
      </c>
      <c r="BC90" t="e">
        <f>IF(ISNUMBER(VLOOKUP($B90,CEIC_DATA!$I$26:$N$353,Haver_M!BC$2,FALSE)),VLOOKUP($B90,CEIC_DATA!$I$26:$N$353,Haver_M!BC$2,FALSE),NA())</f>
        <v>#N/A</v>
      </c>
      <c r="BD90" t="e">
        <f>IF(ISNUMBER(VLOOKUP($B90,CEIC_DATA!$I$26:$N$353,Haver_M!BD$2,FALSE)),VLOOKUP($B90,CEIC_DATA!$I$26:$N$353,Haver_M!BD$2,FALSE),NA())</f>
        <v>#N/A</v>
      </c>
      <c r="BE90" t="e">
        <f>IF(ISNUMBER(VLOOKUP($B90,CEIC_DATA!$I$26:$N$353,Haver_M!BE$2,FALSE)),VLOOKUP($B90,CEIC_DATA!$I$26:$N$353,Haver_M!BE$2,FALSE),NA())</f>
        <v>#N/A</v>
      </c>
      <c r="BF90">
        <v>720871</v>
      </c>
      <c r="BG90">
        <v>50900</v>
      </c>
      <c r="BH90">
        <v>975563</v>
      </c>
      <c r="BI90">
        <v>151648</v>
      </c>
      <c r="BJ90" s="3" t="e">
        <v>#N/A</v>
      </c>
      <c r="BK90" s="3" t="e">
        <v>#N/A</v>
      </c>
      <c r="BL90" s="3" t="e">
        <v>#N/A</v>
      </c>
      <c r="BM90" s="3" t="e">
        <v>#N/A</v>
      </c>
      <c r="BN90" s="3">
        <v>10967</v>
      </c>
      <c r="BO90" s="3">
        <v>14446.9</v>
      </c>
      <c r="BP90" s="28">
        <v>44.332999999999998</v>
      </c>
      <c r="BQ90" s="28" t="str">
        <f t="shared" si="5"/>
        <v/>
      </c>
      <c r="BR90" s="28" t="str">
        <f t="shared" si="6"/>
        <v/>
      </c>
      <c r="BS90" s="28" t="str">
        <f t="shared" si="7"/>
        <v/>
      </c>
      <c r="BT90" s="28" t="str">
        <f t="shared" si="8"/>
        <v/>
      </c>
      <c r="BU90" s="4">
        <v>18053</v>
      </c>
    </row>
    <row r="91" spans="1:73" x14ac:dyDescent="0.25">
      <c r="A91" t="s">
        <v>90</v>
      </c>
      <c r="B91" s="2">
        <v>39141</v>
      </c>
      <c r="C91" s="3">
        <v>7.5</v>
      </c>
      <c r="D91" s="28">
        <v>7.9454000000000002</v>
      </c>
      <c r="E91" s="34">
        <v>95.342690000000005</v>
      </c>
      <c r="F91" s="5">
        <v>62.6</v>
      </c>
      <c r="G91" s="5" t="e">
        <v>#N/A</v>
      </c>
      <c r="H91" s="3">
        <v>78.62</v>
      </c>
      <c r="I91" s="3">
        <v>79.75</v>
      </c>
      <c r="J91" s="3">
        <v>70.53</v>
      </c>
      <c r="K91" s="3">
        <v>88.59</v>
      </c>
      <c r="L91" s="3" t="e">
        <v>#N/A</v>
      </c>
      <c r="M91" s="3">
        <v>51.8</v>
      </c>
      <c r="N91" s="3">
        <v>90.37</v>
      </c>
      <c r="O91" s="5">
        <v>80.3</v>
      </c>
      <c r="P91" s="52">
        <v>81.313000000000002</v>
      </c>
      <c r="Q91" s="52">
        <v>90.228999999999999</v>
      </c>
      <c r="R91" s="52">
        <v>69.09</v>
      </c>
      <c r="S91" s="52">
        <v>89.632000000000005</v>
      </c>
      <c r="T91" s="52">
        <v>107.197</v>
      </c>
      <c r="U91" s="52">
        <v>72.864999999999995</v>
      </c>
      <c r="V91" s="52">
        <v>70.596999999999994</v>
      </c>
      <c r="W91" s="52">
        <v>76.679000000000002</v>
      </c>
      <c r="X91" s="3">
        <v>10104.811691807992</v>
      </c>
      <c r="Y91" s="3">
        <v>11058.84</v>
      </c>
      <c r="Z91" s="3">
        <v>16846.259999999998</v>
      </c>
      <c r="AA91" s="4" t="e">
        <v>#N/A</v>
      </c>
      <c r="AB91" s="4" t="e">
        <v>#N/A</v>
      </c>
      <c r="AC91" s="5" t="e">
        <v>#N/A</v>
      </c>
      <c r="AD91" s="5" t="e">
        <v>#N/A</v>
      </c>
      <c r="AE91" s="34">
        <v>66.736120172180321</v>
      </c>
      <c r="AF91" s="28">
        <v>54.988799999999998</v>
      </c>
      <c r="AG91" s="28">
        <v>53.632199999999997</v>
      </c>
      <c r="AH91" s="28">
        <v>54.993600000000001</v>
      </c>
      <c r="AI91" s="28">
        <v>54.978000000000002</v>
      </c>
      <c r="AJ91" s="28">
        <v>56.488100000000003</v>
      </c>
      <c r="AK91" s="28">
        <v>50.969799999999999</v>
      </c>
      <c r="AL91" s="28">
        <v>50.307699999999997</v>
      </c>
      <c r="AM91" s="28">
        <v>52.934699999999999</v>
      </c>
      <c r="AN91" s="28">
        <v>54.183599999999998</v>
      </c>
      <c r="AO91" s="28">
        <v>55.079599999999999</v>
      </c>
      <c r="AP91" s="28">
        <v>51.218800000000002</v>
      </c>
      <c r="AQ91" s="28">
        <v>51.120399999999997</v>
      </c>
      <c r="AR91" s="28">
        <v>50.549900000000001</v>
      </c>
      <c r="AS91" s="28">
        <v>49.725099999999998</v>
      </c>
      <c r="AT91" s="28">
        <v>1.1029</v>
      </c>
      <c r="AU91" s="28">
        <v>52.385599999999997</v>
      </c>
      <c r="AV91" s="28">
        <v>51.347299999999997</v>
      </c>
      <c r="AW91" s="28">
        <v>54.748600000000003</v>
      </c>
      <c r="AX91" s="28">
        <v>53.495699999999999</v>
      </c>
      <c r="AY91" s="28" t="e">
        <v>#N/A</v>
      </c>
      <c r="AZ91" s="28">
        <v>49.632100000000001</v>
      </c>
      <c r="BA91" s="3">
        <v>14142.7</v>
      </c>
      <c r="BB91">
        <f>IF(ISNUMBER(VLOOKUP($B91,CEIC_DATA!$I$26:$N$353,Haver_M!BB$2,FALSE)),VLOOKUP($B91,CEIC_DATA!$I$26:$N$353,Haver_M!BB$2,FALSE),NA())</f>
        <v>106.82126220000001</v>
      </c>
      <c r="BC91" t="e">
        <f>IF(ISNUMBER(VLOOKUP($B91,CEIC_DATA!$I$26:$N$353,Haver_M!BC$2,FALSE)),VLOOKUP($B91,CEIC_DATA!$I$26:$N$353,Haver_M!BC$2,FALSE),NA())</f>
        <v>#N/A</v>
      </c>
      <c r="BD91" t="e">
        <f>IF(ISNUMBER(VLOOKUP($B91,CEIC_DATA!$I$26:$N$353,Haver_M!BD$2,FALSE)),VLOOKUP($B91,CEIC_DATA!$I$26:$N$353,Haver_M!BD$2,FALSE),NA())</f>
        <v>#N/A</v>
      </c>
      <c r="BE91" t="e">
        <f>IF(ISNUMBER(VLOOKUP($B91,CEIC_DATA!$I$26:$N$353,Haver_M!BE$2,FALSE)),VLOOKUP($B91,CEIC_DATA!$I$26:$N$353,Haver_M!BE$2,FALSE),NA())</f>
        <v>#N/A</v>
      </c>
      <c r="BF91">
        <v>677799</v>
      </c>
      <c r="BG91">
        <v>48283</v>
      </c>
      <c r="BH91">
        <v>905351</v>
      </c>
      <c r="BI91">
        <v>132143</v>
      </c>
      <c r="BJ91" s="3" t="e">
        <v>#N/A</v>
      </c>
      <c r="BK91" s="3" t="e">
        <v>#N/A</v>
      </c>
      <c r="BL91" s="3" t="e">
        <v>#N/A</v>
      </c>
      <c r="BM91" s="3" t="e">
        <v>#N/A</v>
      </c>
      <c r="BN91" s="3">
        <v>10561.2</v>
      </c>
      <c r="BO91" s="3">
        <v>14484.7</v>
      </c>
      <c r="BP91" s="28">
        <v>44.161099999999998</v>
      </c>
      <c r="BQ91" s="28" t="str">
        <f t="shared" si="5"/>
        <v/>
      </c>
      <c r="BR91" s="28" t="str">
        <f t="shared" si="6"/>
        <v/>
      </c>
      <c r="BS91" s="28" t="str">
        <f t="shared" si="7"/>
        <v/>
      </c>
      <c r="BT91" s="28" t="str">
        <f t="shared" si="8"/>
        <v/>
      </c>
      <c r="BU91" s="4">
        <v>19072</v>
      </c>
    </row>
    <row r="92" spans="1:73" x14ac:dyDescent="0.25">
      <c r="A92" t="s">
        <v>91</v>
      </c>
      <c r="B92" s="2">
        <v>39172</v>
      </c>
      <c r="C92" s="3">
        <v>7.5</v>
      </c>
      <c r="D92" s="28">
        <v>7.9359999999999999</v>
      </c>
      <c r="E92" s="34">
        <v>94.697749999999999</v>
      </c>
      <c r="F92" s="5">
        <v>62.6</v>
      </c>
      <c r="G92" s="5" t="e">
        <v>#N/A</v>
      </c>
      <c r="H92" s="3">
        <v>80.03</v>
      </c>
      <c r="I92" s="3">
        <v>80.53</v>
      </c>
      <c r="J92" s="3">
        <v>71.569999999999993</v>
      </c>
      <c r="K92" s="3">
        <v>90.86</v>
      </c>
      <c r="L92" s="3" t="e">
        <v>#N/A</v>
      </c>
      <c r="M92" s="3">
        <v>54.33</v>
      </c>
      <c r="N92" s="3">
        <v>96.21</v>
      </c>
      <c r="O92" s="5">
        <v>81.3</v>
      </c>
      <c r="P92" s="52">
        <v>82.849000000000004</v>
      </c>
      <c r="Q92" s="52">
        <v>89.346000000000004</v>
      </c>
      <c r="R92" s="52">
        <v>68.650999999999996</v>
      </c>
      <c r="S92" s="52">
        <v>92.441999999999993</v>
      </c>
      <c r="T92" s="52">
        <v>101.32899999999999</v>
      </c>
      <c r="U92" s="52">
        <v>75.423000000000002</v>
      </c>
      <c r="V92" s="52">
        <v>71.165000000000006</v>
      </c>
      <c r="W92" s="52">
        <v>77.67</v>
      </c>
      <c r="X92" s="3">
        <v>10358.06265488691</v>
      </c>
      <c r="Y92" s="3">
        <v>10839.41</v>
      </c>
      <c r="Z92" s="3">
        <v>17346.830000000002</v>
      </c>
      <c r="AA92" s="4" t="e">
        <v>#N/A</v>
      </c>
      <c r="AB92" s="4" t="e">
        <v>#N/A</v>
      </c>
      <c r="AC92" s="5" t="e">
        <v>#N/A</v>
      </c>
      <c r="AD92" s="5" t="e">
        <v>#N/A</v>
      </c>
      <c r="AE92" s="34">
        <v>50.917291732378523</v>
      </c>
      <c r="AF92" s="28">
        <v>55.376399999999997</v>
      </c>
      <c r="AG92" s="28">
        <v>53.003599999999999</v>
      </c>
      <c r="AH92" s="28">
        <v>55.912799999999997</v>
      </c>
      <c r="AI92" s="28">
        <v>54.1706</v>
      </c>
      <c r="AJ92" s="28">
        <v>56.0535</v>
      </c>
      <c r="AK92" s="28">
        <v>50.573999999999998</v>
      </c>
      <c r="AL92" s="28">
        <v>50.509399999999999</v>
      </c>
      <c r="AM92" s="28">
        <v>51.065199999999997</v>
      </c>
      <c r="AN92" s="28">
        <v>53.919600000000003</v>
      </c>
      <c r="AO92" s="28">
        <v>53.003599999999999</v>
      </c>
      <c r="AP92" s="28">
        <v>49.782699999999998</v>
      </c>
      <c r="AQ92" s="28">
        <v>51.546599999999998</v>
      </c>
      <c r="AR92" s="28">
        <v>50.397399999999998</v>
      </c>
      <c r="AS92" s="28">
        <v>49.966799999999999</v>
      </c>
      <c r="AT92" s="28">
        <v>1.1259999999999999</v>
      </c>
      <c r="AU92" s="28">
        <v>52.036700000000003</v>
      </c>
      <c r="AV92" s="28">
        <v>52.817500000000003</v>
      </c>
      <c r="AW92" s="28">
        <v>55.820099999999996</v>
      </c>
      <c r="AX92" s="28">
        <v>55.320700000000002</v>
      </c>
      <c r="AY92" s="28" t="e">
        <v>#N/A</v>
      </c>
      <c r="AZ92" s="28">
        <v>52.761800000000001</v>
      </c>
      <c r="BA92" s="3">
        <v>12857.74</v>
      </c>
      <c r="BB92">
        <f>IF(ISNUMBER(VLOOKUP($B92,CEIC_DATA!$I$26:$N$353,Haver_M!BB$2,FALSE)),VLOOKUP($B92,CEIC_DATA!$I$26:$N$353,Haver_M!BB$2,FALSE),NA())</f>
        <v>105.75548361</v>
      </c>
      <c r="BC92">
        <f>IF(ISNUMBER(VLOOKUP($B92,CEIC_DATA!$I$26:$N$353,Haver_M!BC$2,FALSE)),VLOOKUP($B92,CEIC_DATA!$I$26:$N$353,Haver_M!BC$2,FALSE),NA())</f>
        <v>127.7</v>
      </c>
      <c r="BD92">
        <f>IF(ISNUMBER(VLOOKUP($B92,CEIC_DATA!$I$26:$N$353,Haver_M!BD$2,FALSE)),VLOOKUP($B92,CEIC_DATA!$I$26:$N$353,Haver_M!BD$2,FALSE),NA())</f>
        <v>126.5</v>
      </c>
      <c r="BE92">
        <f>IF(ISNUMBER(VLOOKUP($B92,CEIC_DATA!$I$26:$N$353,Haver_M!BE$2,FALSE)),VLOOKUP($B92,CEIC_DATA!$I$26:$N$353,Haver_M!BE$2,FALSE),NA())</f>
        <v>53.7</v>
      </c>
      <c r="BF92">
        <v>685554</v>
      </c>
      <c r="BG92">
        <v>55256</v>
      </c>
      <c r="BH92">
        <v>953830</v>
      </c>
      <c r="BI92">
        <v>168247</v>
      </c>
      <c r="BJ92" s="3" t="e">
        <v>#N/A</v>
      </c>
      <c r="BK92" s="3" t="e">
        <v>#N/A</v>
      </c>
      <c r="BL92" s="3" t="e">
        <v>#N/A</v>
      </c>
      <c r="BM92" s="3" t="e">
        <v>#N/A</v>
      </c>
      <c r="BN92" s="3">
        <v>12862.4</v>
      </c>
      <c r="BO92" s="3">
        <v>17136.599999999999</v>
      </c>
      <c r="BP92" s="28">
        <v>44.025500000000001</v>
      </c>
      <c r="BQ92" s="28" t="str">
        <f t="shared" si="5"/>
        <v/>
      </c>
      <c r="BR92" s="28" t="str">
        <f t="shared" si="6"/>
        <v/>
      </c>
      <c r="BS92" s="28" t="str">
        <f t="shared" si="7"/>
        <v/>
      </c>
      <c r="BT92" s="28" t="str">
        <f t="shared" si="8"/>
        <v/>
      </c>
      <c r="BU92" s="4">
        <v>17792</v>
      </c>
    </row>
    <row r="93" spans="1:73" x14ac:dyDescent="0.25">
      <c r="A93" t="s">
        <v>92</v>
      </c>
      <c r="B93" s="2">
        <v>39202</v>
      </c>
      <c r="C93" s="3">
        <v>7.75</v>
      </c>
      <c r="D93" s="28">
        <v>8.1316000000000006</v>
      </c>
      <c r="E93" s="34">
        <v>98.198250000000002</v>
      </c>
      <c r="F93" s="5">
        <v>63.2</v>
      </c>
      <c r="G93" s="5" t="e">
        <v>#N/A</v>
      </c>
      <c r="H93" s="3">
        <v>80.91</v>
      </c>
      <c r="I93" s="3">
        <v>81.92</v>
      </c>
      <c r="J93" s="3">
        <v>66.66</v>
      </c>
      <c r="K93" s="3">
        <v>90.89</v>
      </c>
      <c r="L93" s="3" t="e">
        <v>#N/A</v>
      </c>
      <c r="M93" s="3">
        <v>54.5</v>
      </c>
      <c r="N93" s="3">
        <v>93.6</v>
      </c>
      <c r="O93" s="5">
        <v>80</v>
      </c>
      <c r="P93" s="52">
        <v>79.287000000000006</v>
      </c>
      <c r="Q93" s="52">
        <v>88.581000000000003</v>
      </c>
      <c r="R93" s="52">
        <v>66.105000000000004</v>
      </c>
      <c r="S93" s="52">
        <v>92.936000000000007</v>
      </c>
      <c r="T93" s="52">
        <v>92.569000000000003</v>
      </c>
      <c r="U93" s="52">
        <v>71.983000000000004</v>
      </c>
      <c r="V93" s="52">
        <v>71.572999999999993</v>
      </c>
      <c r="W93" s="52">
        <v>79.08</v>
      </c>
      <c r="X93" s="3">
        <v>10400.930748532432</v>
      </c>
      <c r="Y93" s="3">
        <v>11552.89</v>
      </c>
      <c r="Z93" s="3">
        <v>18433.05</v>
      </c>
      <c r="AA93" s="4" t="e">
        <v>#N/A</v>
      </c>
      <c r="AB93" s="4" t="e">
        <v>#N/A</v>
      </c>
      <c r="AC93" s="5" t="e">
        <v>#N/A</v>
      </c>
      <c r="AD93" s="5" t="e">
        <v>#N/A</v>
      </c>
      <c r="AE93" s="34">
        <v>62.706767219174338</v>
      </c>
      <c r="AF93" s="28">
        <v>55.497399999999999</v>
      </c>
      <c r="AG93" s="28">
        <v>53.814799999999998</v>
      </c>
      <c r="AH93" s="28">
        <v>55.579599999999999</v>
      </c>
      <c r="AI93" s="28">
        <v>55.3127</v>
      </c>
      <c r="AJ93" s="28">
        <v>57.219799999999999</v>
      </c>
      <c r="AK93" s="28">
        <v>50.073799999999999</v>
      </c>
      <c r="AL93" s="28">
        <v>49.697499999999998</v>
      </c>
      <c r="AM93" s="28">
        <v>52.605400000000003</v>
      </c>
      <c r="AN93" s="28">
        <v>52.697299999999998</v>
      </c>
      <c r="AO93" s="28">
        <v>55.920200000000001</v>
      </c>
      <c r="AP93" s="28">
        <v>49.316499999999998</v>
      </c>
      <c r="AQ93" s="28">
        <v>51.178600000000003</v>
      </c>
      <c r="AR93" s="28">
        <v>50.923200000000001</v>
      </c>
      <c r="AS93" s="28">
        <v>50.389499999999998</v>
      </c>
      <c r="AT93" s="28">
        <v>1.1603000000000001</v>
      </c>
      <c r="AU93" s="28">
        <v>51.6541</v>
      </c>
      <c r="AV93" s="28">
        <v>51.0687</v>
      </c>
      <c r="AW93" s="28">
        <v>54.774299999999997</v>
      </c>
      <c r="AX93" s="28">
        <v>52.719499999999996</v>
      </c>
      <c r="AY93" s="28" t="e">
        <v>#N/A</v>
      </c>
      <c r="AZ93" s="28">
        <v>50</v>
      </c>
      <c r="BA93" s="3">
        <v>13477.79</v>
      </c>
      <c r="BB93">
        <f>IF(ISNUMBER(VLOOKUP($B93,CEIC_DATA!$I$26:$N$353,Haver_M!BB$2,FALSE)),VLOOKUP($B93,CEIC_DATA!$I$26:$N$353,Haver_M!BB$2,FALSE),NA())</f>
        <v>104.65297606999999</v>
      </c>
      <c r="BC93" t="e">
        <f>IF(ISNUMBER(VLOOKUP($B93,CEIC_DATA!$I$26:$N$353,Haver_M!BC$2,FALSE)),VLOOKUP($B93,CEIC_DATA!$I$26:$N$353,Haver_M!BC$2,FALSE),NA())</f>
        <v>#N/A</v>
      </c>
      <c r="BD93" t="e">
        <f>IF(ISNUMBER(VLOOKUP($B93,CEIC_DATA!$I$26:$N$353,Haver_M!BD$2,FALSE)),VLOOKUP($B93,CEIC_DATA!$I$26:$N$353,Haver_M!BD$2,FALSE),NA())</f>
        <v>#N/A</v>
      </c>
      <c r="BE93" t="e">
        <f>IF(ISNUMBER(VLOOKUP($B93,CEIC_DATA!$I$26:$N$353,Haver_M!BE$2,FALSE)),VLOOKUP($B93,CEIC_DATA!$I$26:$N$353,Haver_M!BE$2,FALSE),NA())</f>
        <v>#N/A</v>
      </c>
      <c r="BF93">
        <v>628372</v>
      </c>
      <c r="BG93">
        <v>34872</v>
      </c>
      <c r="BH93">
        <v>824636</v>
      </c>
      <c r="BI93">
        <v>121521</v>
      </c>
      <c r="BJ93" s="3">
        <v>4675.59</v>
      </c>
      <c r="BK93" s="3">
        <v>6656.94</v>
      </c>
      <c r="BL93" s="3">
        <v>4004.91</v>
      </c>
      <c r="BM93" s="3">
        <v>17560.509999999998</v>
      </c>
      <c r="BN93" s="3">
        <v>11326.8</v>
      </c>
      <c r="BO93" s="3">
        <v>18370.599999999999</v>
      </c>
      <c r="BP93" s="28">
        <v>42.1511</v>
      </c>
      <c r="BQ93" s="28">
        <f t="shared" si="5"/>
        <v>110.92450730823158</v>
      </c>
      <c r="BR93" s="28">
        <f t="shared" si="6"/>
        <v>157.93039802045499</v>
      </c>
      <c r="BS93" s="28">
        <f t="shared" si="7"/>
        <v>95.013178778252524</v>
      </c>
      <c r="BT93" s="28">
        <f t="shared" si="8"/>
        <v>416.60858198243932</v>
      </c>
      <c r="BU93" s="4">
        <v>25109</v>
      </c>
    </row>
    <row r="94" spans="1:73" x14ac:dyDescent="0.25">
      <c r="A94" t="s">
        <v>93</v>
      </c>
      <c r="B94" s="2">
        <v>39233</v>
      </c>
      <c r="C94" s="3">
        <v>7.75</v>
      </c>
      <c r="D94" s="28">
        <v>8.1225000000000005</v>
      </c>
      <c r="E94" s="34">
        <v>100.97962</v>
      </c>
      <c r="F94" s="5">
        <v>63.6</v>
      </c>
      <c r="G94" s="5" t="e">
        <v>#N/A</v>
      </c>
      <c r="H94" s="3">
        <v>83.28</v>
      </c>
      <c r="I94" s="3">
        <v>82.47</v>
      </c>
      <c r="J94" s="3">
        <v>88.8</v>
      </c>
      <c r="K94" s="3">
        <v>92.13</v>
      </c>
      <c r="L94" s="3" t="e">
        <v>#N/A</v>
      </c>
      <c r="M94" s="3">
        <v>58.33</v>
      </c>
      <c r="N94" s="3">
        <v>91.92</v>
      </c>
      <c r="O94" s="5">
        <v>81</v>
      </c>
      <c r="P94" s="52">
        <v>80.727999999999994</v>
      </c>
      <c r="Q94" s="52">
        <v>87.941999999999993</v>
      </c>
      <c r="R94" s="52">
        <v>65.878</v>
      </c>
      <c r="S94" s="52">
        <v>94.891999999999996</v>
      </c>
      <c r="T94" s="52">
        <v>84.927000000000007</v>
      </c>
      <c r="U94" s="52">
        <v>72.578999999999994</v>
      </c>
      <c r="V94" s="52">
        <v>73.631</v>
      </c>
      <c r="W94" s="52">
        <v>79.781000000000006</v>
      </c>
      <c r="X94" s="3">
        <v>10485.027247001446</v>
      </c>
      <c r="Y94" s="3">
        <v>12313.82</v>
      </c>
      <c r="Z94" s="3">
        <v>19608.22</v>
      </c>
      <c r="AA94" s="4" t="e">
        <v>#N/A</v>
      </c>
      <c r="AB94" s="4" t="e">
        <v>#N/A</v>
      </c>
      <c r="AC94" s="5" t="e">
        <v>#N/A</v>
      </c>
      <c r="AD94" s="5" t="e">
        <v>#N/A</v>
      </c>
      <c r="AE94" s="34">
        <v>39.191642817998471</v>
      </c>
      <c r="AF94" s="28">
        <v>55.213200000000001</v>
      </c>
      <c r="AG94" s="28">
        <v>53.372100000000003</v>
      </c>
      <c r="AH94" s="28">
        <v>55.354900000000001</v>
      </c>
      <c r="AI94" s="28">
        <v>54.894500000000001</v>
      </c>
      <c r="AJ94" s="28">
        <v>56.190100000000001</v>
      </c>
      <c r="AK94" s="28">
        <v>50.4756</v>
      </c>
      <c r="AL94" s="28">
        <v>50</v>
      </c>
      <c r="AM94" s="28">
        <v>51.963099999999997</v>
      </c>
      <c r="AN94" s="28">
        <v>52.496400000000001</v>
      </c>
      <c r="AO94" s="28">
        <v>54.9893</v>
      </c>
      <c r="AP94" s="28">
        <v>49.866399999999999</v>
      </c>
      <c r="AQ94" s="28">
        <v>51.653599999999997</v>
      </c>
      <c r="AR94" s="28">
        <v>50.532400000000003</v>
      </c>
      <c r="AS94" s="28">
        <v>50.270299999999999</v>
      </c>
      <c r="AT94" s="28">
        <v>1.1268</v>
      </c>
      <c r="AU94" s="28">
        <v>51.078200000000002</v>
      </c>
      <c r="AV94" s="28">
        <v>50.518999999999998</v>
      </c>
      <c r="AW94" s="28">
        <v>54.740200000000002</v>
      </c>
      <c r="AX94" s="28">
        <v>51.319600000000001</v>
      </c>
      <c r="AY94" s="28" t="e">
        <v>#N/A</v>
      </c>
      <c r="AZ94" s="28">
        <v>49.9086</v>
      </c>
      <c r="BA94" s="3">
        <v>14156.47</v>
      </c>
      <c r="BB94">
        <f>IF(ISNUMBER(VLOOKUP($B94,CEIC_DATA!$I$26:$N$353,Haver_M!BB$2,FALSE)),VLOOKUP($B94,CEIC_DATA!$I$26:$N$353,Haver_M!BB$2,FALSE),NA())</f>
        <v>103.64230677</v>
      </c>
      <c r="BC94" t="e">
        <f>IF(ISNUMBER(VLOOKUP($B94,CEIC_DATA!$I$26:$N$353,Haver_M!BC$2,FALSE)),VLOOKUP($B94,CEIC_DATA!$I$26:$N$353,Haver_M!BC$2,FALSE),NA())</f>
        <v>#N/A</v>
      </c>
      <c r="BD94" t="e">
        <f>IF(ISNUMBER(VLOOKUP($B94,CEIC_DATA!$I$26:$N$353,Haver_M!BD$2,FALSE)),VLOOKUP($B94,CEIC_DATA!$I$26:$N$353,Haver_M!BD$2,FALSE),NA())</f>
        <v>#N/A</v>
      </c>
      <c r="BE94" t="e">
        <f>IF(ISNUMBER(VLOOKUP($B94,CEIC_DATA!$I$26:$N$353,Haver_M!BE$2,FALSE)),VLOOKUP($B94,CEIC_DATA!$I$26:$N$353,Haver_M!BE$2,FALSE),NA())</f>
        <v>#N/A</v>
      </c>
      <c r="BF94">
        <v>670088</v>
      </c>
      <c r="BG94">
        <v>37278</v>
      </c>
      <c r="BH94">
        <v>885518</v>
      </c>
      <c r="BI94">
        <v>136812</v>
      </c>
      <c r="BJ94" s="3">
        <v>4670.3</v>
      </c>
      <c r="BK94" s="3">
        <v>6632.38</v>
      </c>
      <c r="BL94" s="3">
        <v>4027.19</v>
      </c>
      <c r="BM94" s="3">
        <v>17544.79</v>
      </c>
      <c r="BN94" s="3">
        <v>12455.7</v>
      </c>
      <c r="BO94" s="3">
        <v>21149.5</v>
      </c>
      <c r="BP94" s="28">
        <v>40.779499999999999</v>
      </c>
      <c r="BQ94" s="28">
        <f t="shared" si="5"/>
        <v>114.52568079549775</v>
      </c>
      <c r="BR94" s="28">
        <f t="shared" si="6"/>
        <v>162.64005198690521</v>
      </c>
      <c r="BS94" s="28">
        <f t="shared" si="7"/>
        <v>98.755256930565608</v>
      </c>
      <c r="BT94" s="28">
        <f t="shared" si="8"/>
        <v>430.23553501146415</v>
      </c>
      <c r="BU94" s="4">
        <v>25927</v>
      </c>
    </row>
    <row r="95" spans="1:73" x14ac:dyDescent="0.25">
      <c r="A95" t="s">
        <v>94</v>
      </c>
      <c r="B95" s="2">
        <v>39263</v>
      </c>
      <c r="C95" s="3">
        <v>7.75</v>
      </c>
      <c r="D95" s="28">
        <v>8.1559000000000008</v>
      </c>
      <c r="E95" s="34">
        <v>101.15402</v>
      </c>
      <c r="F95" s="5">
        <v>64.099999999999994</v>
      </c>
      <c r="G95" s="5" t="e">
        <v>#N/A</v>
      </c>
      <c r="H95" s="3">
        <v>83.83</v>
      </c>
      <c r="I95" s="3">
        <v>82.53</v>
      </c>
      <c r="J95" s="3">
        <v>91.38</v>
      </c>
      <c r="K95" s="3">
        <v>91.32</v>
      </c>
      <c r="L95" s="3" t="e">
        <v>#N/A</v>
      </c>
      <c r="M95" s="3">
        <v>61.6</v>
      </c>
      <c r="N95" s="3">
        <v>91.82</v>
      </c>
      <c r="O95" s="5">
        <v>80.400000000000006</v>
      </c>
      <c r="P95" s="52">
        <v>81.912000000000006</v>
      </c>
      <c r="Q95" s="52">
        <v>88.745000000000005</v>
      </c>
      <c r="R95" s="52">
        <v>66.983999999999995</v>
      </c>
      <c r="S95" s="52">
        <v>92.099000000000004</v>
      </c>
      <c r="T95" s="52">
        <v>92.224000000000004</v>
      </c>
      <c r="U95" s="52">
        <v>70.942999999999998</v>
      </c>
      <c r="V95" s="52">
        <v>72.852000000000004</v>
      </c>
      <c r="W95" s="52">
        <v>78.991</v>
      </c>
      <c r="X95" s="3">
        <v>10491.318166229334</v>
      </c>
      <c r="Y95" s="3">
        <v>11852.08</v>
      </c>
      <c r="Z95" s="3">
        <v>19838.86</v>
      </c>
      <c r="AA95" s="4" t="e">
        <v>#N/A</v>
      </c>
      <c r="AB95" s="4" t="e">
        <v>#N/A</v>
      </c>
      <c r="AC95" s="5" t="e">
        <v>#N/A</v>
      </c>
      <c r="AD95" s="5" t="e">
        <v>#N/A</v>
      </c>
      <c r="AE95" s="34">
        <v>28.370945380618103</v>
      </c>
      <c r="AF95" s="28">
        <v>55.810200000000002</v>
      </c>
      <c r="AG95" s="28">
        <v>53.238900000000001</v>
      </c>
      <c r="AH95" s="28">
        <v>56.336399999999998</v>
      </c>
      <c r="AI95" s="28">
        <v>54.627200000000002</v>
      </c>
      <c r="AJ95" s="28">
        <v>55.805500000000002</v>
      </c>
      <c r="AK95" s="28">
        <v>50.8</v>
      </c>
      <c r="AL95" s="28">
        <v>49.526200000000003</v>
      </c>
      <c r="AM95" s="28">
        <v>51.093499999999999</v>
      </c>
      <c r="AN95" s="28">
        <v>52.412500000000001</v>
      </c>
      <c r="AO95" s="28">
        <v>54.755800000000001</v>
      </c>
      <c r="AP95" s="28">
        <v>50.542000000000002</v>
      </c>
      <c r="AQ95" s="28">
        <v>51.5154</v>
      </c>
      <c r="AR95" s="28">
        <v>50.670200000000001</v>
      </c>
      <c r="AS95" s="28">
        <v>50.238599999999998</v>
      </c>
      <c r="AT95" s="28">
        <v>1.1041000000000001</v>
      </c>
      <c r="AU95" s="28">
        <v>52.288400000000003</v>
      </c>
      <c r="AV95" s="28">
        <v>50.178600000000003</v>
      </c>
      <c r="AW95" s="28">
        <v>56.588000000000001</v>
      </c>
      <c r="AX95" s="28">
        <v>50.430500000000002</v>
      </c>
      <c r="AY95" s="28" t="e">
        <v>#N/A</v>
      </c>
      <c r="AZ95" s="28">
        <v>50</v>
      </c>
      <c r="BA95" s="3">
        <v>14334.3</v>
      </c>
      <c r="BB95">
        <f>IF(ISNUMBER(VLOOKUP($B95,CEIC_DATA!$I$26:$N$353,Haver_M!BB$2,FALSE)),VLOOKUP($B95,CEIC_DATA!$I$26:$N$353,Haver_M!BB$2,FALSE),NA())</f>
        <v>102.81939156999999</v>
      </c>
      <c r="BC95">
        <f>IF(ISNUMBER(VLOOKUP($B95,CEIC_DATA!$I$26:$N$353,Haver_M!BC$2,FALSE)),VLOOKUP($B95,CEIC_DATA!$I$26:$N$353,Haver_M!BC$2,FALSE),NA())</f>
        <v>115.8</v>
      </c>
      <c r="BD95">
        <f>IF(ISNUMBER(VLOOKUP($B95,CEIC_DATA!$I$26:$N$353,Haver_M!BD$2,FALSE)),VLOOKUP($B95,CEIC_DATA!$I$26:$N$353,Haver_M!BD$2,FALSE),NA())</f>
        <v>127.5</v>
      </c>
      <c r="BE95">
        <f>IF(ISNUMBER(VLOOKUP($B95,CEIC_DATA!$I$26:$N$353,Haver_M!BE$2,FALSE)),VLOOKUP($B95,CEIC_DATA!$I$26:$N$353,Haver_M!BE$2,FALSE),NA())</f>
        <v>51.7</v>
      </c>
      <c r="BF95">
        <v>635716</v>
      </c>
      <c r="BG95">
        <v>40801</v>
      </c>
      <c r="BH95">
        <v>854798</v>
      </c>
      <c r="BI95">
        <v>137368</v>
      </c>
      <c r="BJ95" s="3">
        <v>4698.8900000000003</v>
      </c>
      <c r="BK95" s="3">
        <v>6697.57</v>
      </c>
      <c r="BL95" s="3">
        <v>4072.69</v>
      </c>
      <c r="BM95" s="3">
        <v>17697.84</v>
      </c>
      <c r="BN95" s="3">
        <v>12101</v>
      </c>
      <c r="BO95" s="3">
        <v>20016</v>
      </c>
      <c r="BP95" s="28">
        <v>40.771900000000002</v>
      </c>
      <c r="BQ95" s="28">
        <f t="shared" si="5"/>
        <v>115.24824695439752</v>
      </c>
      <c r="BR95" s="28">
        <f t="shared" si="6"/>
        <v>164.26926388027047</v>
      </c>
      <c r="BS95" s="28">
        <f t="shared" si="7"/>
        <v>99.889629867629424</v>
      </c>
      <c r="BT95" s="28">
        <f t="shared" si="8"/>
        <v>434.06954299407187</v>
      </c>
      <c r="BU95" s="4">
        <v>23907</v>
      </c>
    </row>
    <row r="96" spans="1:73" x14ac:dyDescent="0.25">
      <c r="A96" t="s">
        <v>95</v>
      </c>
      <c r="B96" s="2">
        <v>39294</v>
      </c>
      <c r="C96" s="3">
        <v>7.75</v>
      </c>
      <c r="D96" s="28">
        <v>7.9108000000000001</v>
      </c>
      <c r="E96" s="34">
        <v>100.90424</v>
      </c>
      <c r="F96" s="5">
        <v>65</v>
      </c>
      <c r="G96" s="5" t="e">
        <v>#N/A</v>
      </c>
      <c r="H96" s="3">
        <v>84.13</v>
      </c>
      <c r="I96" s="3">
        <v>81.069999999999993</v>
      </c>
      <c r="J96" s="3">
        <v>94.85</v>
      </c>
      <c r="K96" s="3">
        <v>90.78</v>
      </c>
      <c r="L96" s="3" t="e">
        <v>#N/A</v>
      </c>
      <c r="M96" s="3">
        <v>61.25</v>
      </c>
      <c r="N96" s="3">
        <v>93.06</v>
      </c>
      <c r="O96" s="5">
        <v>80.900000000000006</v>
      </c>
      <c r="P96" s="52">
        <v>82.870999999999995</v>
      </c>
      <c r="Q96" s="52">
        <v>90.290999999999997</v>
      </c>
      <c r="R96" s="52">
        <v>68.361000000000004</v>
      </c>
      <c r="S96" s="52">
        <v>90.793999999999997</v>
      </c>
      <c r="T96" s="52">
        <v>94.459000000000003</v>
      </c>
      <c r="U96" s="52">
        <v>72.924000000000007</v>
      </c>
      <c r="V96" s="52">
        <v>74.266000000000005</v>
      </c>
      <c r="W96" s="52">
        <v>79.734999999999999</v>
      </c>
      <c r="X96" s="3">
        <v>10334.645315786312</v>
      </c>
      <c r="Y96" s="3">
        <v>12296.08</v>
      </c>
      <c r="Z96" s="3">
        <v>20256.43</v>
      </c>
      <c r="AA96" s="4" t="e">
        <v>#N/A</v>
      </c>
      <c r="AB96" s="4" t="e">
        <v>#N/A</v>
      </c>
      <c r="AC96" s="5" t="e">
        <v>#N/A</v>
      </c>
      <c r="AD96" s="5" t="e">
        <v>#N/A</v>
      </c>
      <c r="AE96" s="34">
        <v>30.139802561299415</v>
      </c>
      <c r="AF96" s="28">
        <v>57.595399999999998</v>
      </c>
      <c r="AG96" s="28">
        <v>52.908099999999997</v>
      </c>
      <c r="AH96" s="28">
        <v>59.127499999999998</v>
      </c>
      <c r="AI96" s="28">
        <v>54.151200000000003</v>
      </c>
      <c r="AJ96" s="28">
        <v>55.733400000000003</v>
      </c>
      <c r="AK96" s="28">
        <v>50.328699999999998</v>
      </c>
      <c r="AL96" s="28">
        <v>49.881900000000002</v>
      </c>
      <c r="AM96" s="28">
        <v>50.668399999999998</v>
      </c>
      <c r="AN96" s="28">
        <v>51.543999999999997</v>
      </c>
      <c r="AO96" s="28">
        <v>54.264000000000003</v>
      </c>
      <c r="AP96" s="28">
        <v>49.638199999999998</v>
      </c>
      <c r="AQ96" s="28">
        <v>51.269599999999997</v>
      </c>
      <c r="AR96" s="28">
        <v>51.075099999999999</v>
      </c>
      <c r="AS96" s="28">
        <v>50.262500000000003</v>
      </c>
      <c r="AT96" s="28">
        <v>1.1228</v>
      </c>
      <c r="AU96" s="28">
        <v>53.263100000000001</v>
      </c>
      <c r="AV96" s="28">
        <v>51.926900000000003</v>
      </c>
      <c r="AW96" s="28">
        <v>58.722900000000003</v>
      </c>
      <c r="AX96" s="28">
        <v>54.945900000000002</v>
      </c>
      <c r="AY96" s="28" t="e">
        <v>#N/A</v>
      </c>
      <c r="AZ96" s="28">
        <v>50.8474</v>
      </c>
      <c r="BA96" s="3">
        <v>15253.42</v>
      </c>
      <c r="BB96">
        <f>IF(ISNUMBER(VLOOKUP($B96,CEIC_DATA!$I$26:$N$353,Haver_M!BB$2,FALSE)),VLOOKUP($B96,CEIC_DATA!$I$26:$N$353,Haver_M!BB$2,FALSE),NA())</f>
        <v>102.420412</v>
      </c>
      <c r="BC96" t="e">
        <f>IF(ISNUMBER(VLOOKUP($B96,CEIC_DATA!$I$26:$N$353,Haver_M!BC$2,FALSE)),VLOOKUP($B96,CEIC_DATA!$I$26:$N$353,Haver_M!BC$2,FALSE),NA())</f>
        <v>#N/A</v>
      </c>
      <c r="BD96" t="e">
        <f>IF(ISNUMBER(VLOOKUP($B96,CEIC_DATA!$I$26:$N$353,Haver_M!BD$2,FALSE)),VLOOKUP($B96,CEIC_DATA!$I$26:$N$353,Haver_M!BD$2,FALSE),NA())</f>
        <v>#N/A</v>
      </c>
      <c r="BE96" t="e">
        <f>IF(ISNUMBER(VLOOKUP($B96,CEIC_DATA!$I$26:$N$353,Haver_M!BE$2,FALSE)),VLOOKUP($B96,CEIC_DATA!$I$26:$N$353,Haver_M!BE$2,FALSE),NA())</f>
        <v>#N/A</v>
      </c>
      <c r="BF96">
        <v>576197</v>
      </c>
      <c r="BG96">
        <v>37752</v>
      </c>
      <c r="BH96">
        <v>790985</v>
      </c>
      <c r="BI96">
        <v>135537</v>
      </c>
      <c r="BJ96" s="3">
        <v>4724.47</v>
      </c>
      <c r="BK96" s="3">
        <v>6783.6</v>
      </c>
      <c r="BL96" s="3">
        <v>4077.94</v>
      </c>
      <c r="BM96" s="3">
        <v>17814.72</v>
      </c>
      <c r="BN96" s="3">
        <v>12513.3</v>
      </c>
      <c r="BO96" s="3">
        <v>21128.6</v>
      </c>
      <c r="BP96" s="28">
        <v>40.414999999999999</v>
      </c>
      <c r="BQ96" s="28">
        <f t="shared" si="5"/>
        <v>116.89892366695534</v>
      </c>
      <c r="BR96" s="28">
        <f t="shared" si="6"/>
        <v>167.84857107509589</v>
      </c>
      <c r="BS96" s="28">
        <f t="shared" si="7"/>
        <v>100.90164542867747</v>
      </c>
      <c r="BT96" s="28">
        <f t="shared" si="8"/>
        <v>440.79475442286281</v>
      </c>
      <c r="BU96" s="4">
        <v>21186</v>
      </c>
    </row>
    <row r="97" spans="1:73" x14ac:dyDescent="0.25">
      <c r="A97" t="s">
        <v>96</v>
      </c>
      <c r="B97" s="2">
        <v>39325</v>
      </c>
      <c r="C97" s="3">
        <v>7.75</v>
      </c>
      <c r="D97" s="28">
        <v>7.9194000000000004</v>
      </c>
      <c r="E97" s="34">
        <v>100.90303</v>
      </c>
      <c r="F97" s="5">
        <v>65.2</v>
      </c>
      <c r="G97" s="5" t="e">
        <v>#N/A</v>
      </c>
      <c r="H97" s="3">
        <v>84.36</v>
      </c>
      <c r="I97" s="3">
        <v>83.01</v>
      </c>
      <c r="J97" s="3">
        <v>88.97</v>
      </c>
      <c r="K97" s="3">
        <v>92.87</v>
      </c>
      <c r="L97" s="3" t="e">
        <v>#N/A</v>
      </c>
      <c r="M97" s="3">
        <v>60.99</v>
      </c>
      <c r="N97" s="3">
        <v>90.56</v>
      </c>
      <c r="O97" s="5">
        <v>82.7</v>
      </c>
      <c r="P97" s="52">
        <v>84.582999999999998</v>
      </c>
      <c r="Q97" s="52">
        <v>90.492000000000004</v>
      </c>
      <c r="R97" s="52">
        <v>68.947000000000003</v>
      </c>
      <c r="S97" s="52">
        <v>92.882999999999996</v>
      </c>
      <c r="T97" s="52">
        <v>90.51</v>
      </c>
      <c r="U97" s="52">
        <v>75.073999999999998</v>
      </c>
      <c r="V97" s="52">
        <v>76.873999999999995</v>
      </c>
      <c r="W97" s="52">
        <v>80.796000000000006</v>
      </c>
      <c r="X97" s="3">
        <v>10422.61347511518</v>
      </c>
      <c r="Y97" s="3">
        <v>12610.99</v>
      </c>
      <c r="Z97" s="3">
        <v>19993.080000000002</v>
      </c>
      <c r="AA97" s="4" t="e">
        <v>#N/A</v>
      </c>
      <c r="AB97" s="4" t="e">
        <v>#N/A</v>
      </c>
      <c r="AC97" s="5" t="e">
        <v>#N/A</v>
      </c>
      <c r="AD97" s="5" t="e">
        <v>#N/A</v>
      </c>
      <c r="AE97" s="34">
        <v>51.419737515507265</v>
      </c>
      <c r="AF97" s="28">
        <v>60.688200000000002</v>
      </c>
      <c r="AG97" s="28">
        <v>57.928199999999997</v>
      </c>
      <c r="AH97" s="28">
        <v>60.6965</v>
      </c>
      <c r="AI97" s="28">
        <v>60.669699999999999</v>
      </c>
      <c r="AJ97" s="28">
        <v>64.846000000000004</v>
      </c>
      <c r="AK97" s="28">
        <v>51.650599999999997</v>
      </c>
      <c r="AL97" s="28">
        <v>50.307099999999998</v>
      </c>
      <c r="AM97" s="28">
        <v>55.228700000000003</v>
      </c>
      <c r="AN97" s="28">
        <v>57.816499999999998</v>
      </c>
      <c r="AO97" s="28">
        <v>61.700899999999997</v>
      </c>
      <c r="AP97" s="28">
        <v>51.358899999999998</v>
      </c>
      <c r="AQ97" s="28">
        <v>54.902200000000001</v>
      </c>
      <c r="AR97" s="28">
        <v>52.572899999999997</v>
      </c>
      <c r="AS97" s="28">
        <v>51.526600000000002</v>
      </c>
      <c r="AT97" s="28">
        <v>1.2625999999999999</v>
      </c>
      <c r="AU97" s="28">
        <v>54.303100000000001</v>
      </c>
      <c r="AV97" s="28">
        <v>54.882899999999999</v>
      </c>
      <c r="AW97" s="28">
        <v>63.899700000000003</v>
      </c>
      <c r="AX97" s="28">
        <v>60.835599999999999</v>
      </c>
      <c r="AY97" s="28" t="e">
        <v>#N/A</v>
      </c>
      <c r="AZ97" s="28">
        <v>53.238799999999998</v>
      </c>
      <c r="BA97" s="3">
        <v>14779.05</v>
      </c>
      <c r="BB97">
        <f>IF(ISNUMBER(VLOOKUP($B97,CEIC_DATA!$I$26:$N$353,Haver_M!BB$2,FALSE)),VLOOKUP($B97,CEIC_DATA!$I$26:$N$353,Haver_M!BB$2,FALSE),NA())</f>
        <v>102.52889552000001</v>
      </c>
      <c r="BC97" t="e">
        <f>IF(ISNUMBER(VLOOKUP($B97,CEIC_DATA!$I$26:$N$353,Haver_M!BC$2,FALSE)),VLOOKUP($B97,CEIC_DATA!$I$26:$N$353,Haver_M!BC$2,FALSE),NA())</f>
        <v>#N/A</v>
      </c>
      <c r="BD97" t="e">
        <f>IF(ISNUMBER(VLOOKUP($B97,CEIC_DATA!$I$26:$N$353,Haver_M!BD$2,FALSE)),VLOOKUP($B97,CEIC_DATA!$I$26:$N$353,Haver_M!BD$2,FALSE),NA())</f>
        <v>#N/A</v>
      </c>
      <c r="BE97" t="e">
        <f>IF(ISNUMBER(VLOOKUP($B97,CEIC_DATA!$I$26:$N$353,Haver_M!BE$2,FALSE)),VLOOKUP($B97,CEIC_DATA!$I$26:$N$353,Haver_M!BE$2,FALSE),NA())</f>
        <v>#N/A</v>
      </c>
      <c r="BF97">
        <v>619579</v>
      </c>
      <c r="BG97">
        <v>41328</v>
      </c>
      <c r="BH97">
        <v>850966</v>
      </c>
      <c r="BI97">
        <v>146242</v>
      </c>
      <c r="BJ97" s="3">
        <v>4825.3599999999997</v>
      </c>
      <c r="BK97" s="3">
        <v>7004.14</v>
      </c>
      <c r="BL97" s="3">
        <v>4256.45</v>
      </c>
      <c r="BM97" s="3">
        <v>18300.29</v>
      </c>
      <c r="BN97" s="3">
        <v>12640.6</v>
      </c>
      <c r="BO97" s="3">
        <v>20365.900000000001</v>
      </c>
      <c r="BP97" s="28">
        <v>40.817599999999999</v>
      </c>
      <c r="BQ97" s="28">
        <f t="shared" si="5"/>
        <v>118.21763160989377</v>
      </c>
      <c r="BR97" s="28">
        <f t="shared" si="6"/>
        <v>171.59607620242249</v>
      </c>
      <c r="BS97" s="28">
        <f t="shared" si="7"/>
        <v>104.2797714711301</v>
      </c>
      <c r="BT97" s="28">
        <f t="shared" si="8"/>
        <v>448.34311669475915</v>
      </c>
      <c r="BU97" s="4">
        <v>17947</v>
      </c>
    </row>
    <row r="98" spans="1:73" x14ac:dyDescent="0.25">
      <c r="A98" t="s">
        <v>97</v>
      </c>
      <c r="B98" s="2">
        <v>39355</v>
      </c>
      <c r="C98" s="3">
        <v>7.75</v>
      </c>
      <c r="D98" s="28">
        <v>7.9154999999999998</v>
      </c>
      <c r="E98" s="34">
        <v>100.39246</v>
      </c>
      <c r="F98" s="5">
        <v>65.3</v>
      </c>
      <c r="G98" s="5" t="e">
        <v>#N/A</v>
      </c>
      <c r="H98" s="3">
        <v>82.54</v>
      </c>
      <c r="I98" s="3">
        <v>82.8</v>
      </c>
      <c r="J98" s="3">
        <v>89.2</v>
      </c>
      <c r="K98" s="3">
        <v>91.81</v>
      </c>
      <c r="L98" s="3" t="e">
        <v>#N/A</v>
      </c>
      <c r="M98" s="3">
        <v>56.85</v>
      </c>
      <c r="N98" s="3">
        <v>89.15</v>
      </c>
      <c r="O98" s="5">
        <v>81.8</v>
      </c>
      <c r="P98" s="52">
        <v>82.875</v>
      </c>
      <c r="Q98" s="52">
        <v>89.093999999999994</v>
      </c>
      <c r="R98" s="52">
        <v>68.652000000000001</v>
      </c>
      <c r="S98" s="52">
        <v>93.43</v>
      </c>
      <c r="T98" s="52">
        <v>89.08</v>
      </c>
      <c r="U98" s="52">
        <v>75.266000000000005</v>
      </c>
      <c r="V98" s="52">
        <v>74.748000000000005</v>
      </c>
      <c r="W98" s="52">
        <v>79.501999999999995</v>
      </c>
      <c r="X98" s="3">
        <v>10505.697607014508</v>
      </c>
      <c r="Y98" s="3">
        <v>12689.39</v>
      </c>
      <c r="Z98" s="3">
        <v>16957.96</v>
      </c>
      <c r="AA98" s="4" t="e">
        <v>#N/A</v>
      </c>
      <c r="AB98" s="4" t="e">
        <v>#N/A</v>
      </c>
      <c r="AC98" s="5" t="e">
        <v>#N/A</v>
      </c>
      <c r="AD98" s="5" t="e">
        <v>#N/A</v>
      </c>
      <c r="AE98" s="34">
        <v>68.066883727468152</v>
      </c>
      <c r="AF98" s="28">
        <v>61.8765</v>
      </c>
      <c r="AG98" s="28">
        <v>59.279899999999998</v>
      </c>
      <c r="AH98" s="28">
        <v>61.486199999999997</v>
      </c>
      <c r="AI98" s="28">
        <v>62.753900000000002</v>
      </c>
      <c r="AJ98" s="28">
        <v>66.620800000000003</v>
      </c>
      <c r="AK98" s="28">
        <v>50.712400000000002</v>
      </c>
      <c r="AL98" s="28">
        <v>48.0244</v>
      </c>
      <c r="AM98" s="28">
        <v>56.663400000000003</v>
      </c>
      <c r="AN98" s="28">
        <v>56.750599999999999</v>
      </c>
      <c r="AO98" s="28">
        <v>64.066800000000001</v>
      </c>
      <c r="AP98" s="28">
        <v>51.616700000000002</v>
      </c>
      <c r="AQ98" s="28">
        <v>56.628399999999999</v>
      </c>
      <c r="AR98" s="28">
        <v>53.333799999999997</v>
      </c>
      <c r="AS98" s="28">
        <v>51.731099999999998</v>
      </c>
      <c r="AT98" s="28">
        <v>1.2907</v>
      </c>
      <c r="AU98" s="28">
        <v>54.148299999999999</v>
      </c>
      <c r="AV98" s="28">
        <v>56.362499999999997</v>
      </c>
      <c r="AW98" s="28">
        <v>64.157600000000002</v>
      </c>
      <c r="AX98" s="28">
        <v>60.484499999999997</v>
      </c>
      <c r="AY98" s="28" t="e">
        <v>#N/A</v>
      </c>
      <c r="AZ98" s="28">
        <v>53.550199999999997</v>
      </c>
      <c r="BA98" s="3">
        <v>16046.02</v>
      </c>
      <c r="BB98">
        <f>IF(ISNUMBER(VLOOKUP($B98,CEIC_DATA!$I$26:$N$353,Haver_M!BB$2,FALSE)),VLOOKUP($B98,CEIC_DATA!$I$26:$N$353,Haver_M!BB$2,FALSE),NA())</f>
        <v>103.13130522</v>
      </c>
      <c r="BC98">
        <f>IF(ISNUMBER(VLOOKUP($B98,CEIC_DATA!$I$26:$N$353,Haver_M!BC$2,FALSE)),VLOOKUP($B98,CEIC_DATA!$I$26:$N$353,Haver_M!BC$2,FALSE),NA())</f>
        <v>118.9</v>
      </c>
      <c r="BD98">
        <f>IF(ISNUMBER(VLOOKUP($B98,CEIC_DATA!$I$26:$N$353,Haver_M!BD$2,FALSE)),VLOOKUP($B98,CEIC_DATA!$I$26:$N$353,Haver_M!BD$2,FALSE),NA())</f>
        <v>121.1</v>
      </c>
      <c r="BE98">
        <f>IF(ISNUMBER(VLOOKUP($B98,CEIC_DATA!$I$26:$N$353,Haver_M!BE$2,FALSE)),VLOOKUP($B98,CEIC_DATA!$I$26:$N$353,Haver_M!BE$2,FALSE),NA())</f>
        <v>49.5</v>
      </c>
      <c r="BF98">
        <v>744875</v>
      </c>
      <c r="BG98">
        <v>48050</v>
      </c>
      <c r="BH98">
        <v>986927</v>
      </c>
      <c r="BI98">
        <v>149212</v>
      </c>
      <c r="BJ98" s="3">
        <v>4937.8999999999996</v>
      </c>
      <c r="BK98" s="3">
        <v>7282.98</v>
      </c>
      <c r="BL98" s="3">
        <v>4490.49</v>
      </c>
      <c r="BM98" s="3">
        <v>19010.57</v>
      </c>
      <c r="BN98" s="3">
        <v>12521.4</v>
      </c>
      <c r="BO98" s="3">
        <v>18217.5</v>
      </c>
      <c r="BP98" s="28">
        <v>40.340000000000003</v>
      </c>
      <c r="BQ98" s="28">
        <f t="shared" si="5"/>
        <v>122.40704015865144</v>
      </c>
      <c r="BR98" s="28">
        <f t="shared" si="6"/>
        <v>180.53991075855228</v>
      </c>
      <c r="BS98" s="28">
        <f t="shared" si="7"/>
        <v>111.31606346058501</v>
      </c>
      <c r="BT98" s="28">
        <f t="shared" si="8"/>
        <v>471.25855230540401</v>
      </c>
      <c r="BU98" s="4">
        <v>15610</v>
      </c>
    </row>
    <row r="99" spans="1:73" x14ac:dyDescent="0.25">
      <c r="A99" t="s">
        <v>98</v>
      </c>
      <c r="B99" s="2">
        <v>39386</v>
      </c>
      <c r="C99" s="3">
        <v>7.75</v>
      </c>
      <c r="D99" s="28">
        <v>7.8699000000000003</v>
      </c>
      <c r="E99" s="34">
        <v>100.66427</v>
      </c>
      <c r="F99" s="5">
        <v>65.8</v>
      </c>
      <c r="G99" s="5" t="e">
        <v>#N/A</v>
      </c>
      <c r="H99" s="3">
        <v>85.51</v>
      </c>
      <c r="I99" s="3">
        <v>83.91</v>
      </c>
      <c r="J99" s="3">
        <v>91.04</v>
      </c>
      <c r="K99" s="3">
        <v>93.31</v>
      </c>
      <c r="L99" s="3" t="e">
        <v>#N/A</v>
      </c>
      <c r="M99" s="3">
        <v>65.819999999999993</v>
      </c>
      <c r="N99" s="3">
        <v>91.09</v>
      </c>
      <c r="O99" s="5">
        <v>82.7</v>
      </c>
      <c r="P99" s="52">
        <v>85.378</v>
      </c>
      <c r="Q99" s="52">
        <v>90.403000000000006</v>
      </c>
      <c r="R99" s="52">
        <v>71.016000000000005</v>
      </c>
      <c r="S99" s="52">
        <v>90.427999999999997</v>
      </c>
      <c r="T99" s="52">
        <v>92.009</v>
      </c>
      <c r="U99" s="52">
        <v>77.63</v>
      </c>
      <c r="V99" s="52">
        <v>74.489999999999995</v>
      </c>
      <c r="W99" s="52">
        <v>79.222999999999999</v>
      </c>
      <c r="X99" s="3">
        <v>11055.395676647979</v>
      </c>
      <c r="Y99" s="3">
        <v>15533.33</v>
      </c>
      <c r="Z99" s="3">
        <v>21007.74</v>
      </c>
      <c r="AA99" s="4" t="e">
        <v>#N/A</v>
      </c>
      <c r="AB99" s="4" t="e">
        <v>#N/A</v>
      </c>
      <c r="AC99" s="5" t="e">
        <v>#N/A</v>
      </c>
      <c r="AD99" s="5" t="e">
        <v>#N/A</v>
      </c>
      <c r="AE99" s="34">
        <v>61.717606992939729</v>
      </c>
      <c r="AF99" s="28">
        <v>64.345500000000001</v>
      </c>
      <c r="AG99" s="28">
        <v>61.657299999999999</v>
      </c>
      <c r="AH99" s="28">
        <v>63.351500000000001</v>
      </c>
      <c r="AI99" s="28">
        <v>66.579899999999995</v>
      </c>
      <c r="AJ99" s="28">
        <v>70.897300000000001</v>
      </c>
      <c r="AK99" s="28">
        <v>51.590899999999998</v>
      </c>
      <c r="AL99" s="28">
        <v>49.585099999999997</v>
      </c>
      <c r="AM99" s="28">
        <v>58.627499999999998</v>
      </c>
      <c r="AN99" s="28">
        <v>54.087800000000001</v>
      </c>
      <c r="AO99" s="28">
        <v>68.810500000000005</v>
      </c>
      <c r="AP99" s="28">
        <v>52.209099999999999</v>
      </c>
      <c r="AQ99" s="28">
        <v>61.03</v>
      </c>
      <c r="AR99" s="28">
        <v>55.003</v>
      </c>
      <c r="AS99" s="28">
        <v>52.271999999999998</v>
      </c>
      <c r="AT99" s="28">
        <v>1.3580000000000001</v>
      </c>
      <c r="AU99" s="28">
        <v>53.775599999999997</v>
      </c>
      <c r="AV99" s="28">
        <v>59.933900000000001</v>
      </c>
      <c r="AW99" s="28">
        <v>63.258000000000003</v>
      </c>
      <c r="AX99" s="28">
        <v>61.097799999999999</v>
      </c>
      <c r="AY99" s="28" t="e">
        <v>#N/A</v>
      </c>
      <c r="AZ99" s="28">
        <v>51.968899999999998</v>
      </c>
      <c r="BA99" s="3">
        <v>18500.310000000001</v>
      </c>
      <c r="BB99">
        <f>IF(ISNUMBER(VLOOKUP($B99,CEIC_DATA!$I$26:$N$353,Haver_M!BB$2,FALSE)),VLOOKUP($B99,CEIC_DATA!$I$26:$N$353,Haver_M!BB$2,FALSE),NA())</f>
        <v>104.06977514</v>
      </c>
      <c r="BC99" t="e">
        <f>IF(ISNUMBER(VLOOKUP($B99,CEIC_DATA!$I$26:$N$353,Haver_M!BC$2,FALSE)),VLOOKUP($B99,CEIC_DATA!$I$26:$N$353,Haver_M!BC$2,FALSE),NA())</f>
        <v>#N/A</v>
      </c>
      <c r="BD99" t="e">
        <f>IF(ISNUMBER(VLOOKUP($B99,CEIC_DATA!$I$26:$N$353,Haver_M!BD$2,FALSE)),VLOOKUP($B99,CEIC_DATA!$I$26:$N$353,Haver_M!BD$2,FALSE),NA())</f>
        <v>#N/A</v>
      </c>
      <c r="BE99" t="e">
        <f>IF(ISNUMBER(VLOOKUP($B99,CEIC_DATA!$I$26:$N$353,Haver_M!BE$2,FALSE)),VLOOKUP($B99,CEIC_DATA!$I$26:$N$353,Haver_M!BE$2,FALSE),NA())</f>
        <v>#N/A</v>
      </c>
      <c r="BF99">
        <v>861157</v>
      </c>
      <c r="BG99">
        <v>48808</v>
      </c>
      <c r="BH99">
        <v>1113290</v>
      </c>
      <c r="BI99">
        <v>155235</v>
      </c>
      <c r="BJ99" s="3">
        <v>4901.25</v>
      </c>
      <c r="BK99" s="3">
        <v>7260.32</v>
      </c>
      <c r="BL99" s="3">
        <v>4453.47</v>
      </c>
      <c r="BM99" s="3">
        <v>18895.3</v>
      </c>
      <c r="BN99" s="3">
        <v>14674.7</v>
      </c>
      <c r="BO99" s="3">
        <v>21832.6</v>
      </c>
      <c r="BP99" s="28">
        <v>39.513199999999998</v>
      </c>
      <c r="BQ99" s="28">
        <f t="shared" si="5"/>
        <v>124.04082686292176</v>
      </c>
      <c r="BR99" s="28">
        <f t="shared" si="6"/>
        <v>183.74416650638267</v>
      </c>
      <c r="BS99" s="28">
        <f t="shared" si="7"/>
        <v>112.70841136632822</v>
      </c>
      <c r="BT99" s="28">
        <f t="shared" si="8"/>
        <v>478.20222102993432</v>
      </c>
      <c r="BU99" s="4">
        <v>19716</v>
      </c>
    </row>
    <row r="100" spans="1:73" x14ac:dyDescent="0.25">
      <c r="A100" t="s">
        <v>99</v>
      </c>
      <c r="B100" s="2">
        <v>39416</v>
      </c>
      <c r="C100" s="3">
        <v>7.75</v>
      </c>
      <c r="D100" s="28">
        <v>7.9218000000000002</v>
      </c>
      <c r="E100" s="34">
        <v>98.591329999999999</v>
      </c>
      <c r="F100" s="5">
        <v>65.900000000000006</v>
      </c>
      <c r="G100" s="5" t="e">
        <v>#N/A</v>
      </c>
      <c r="H100" s="3">
        <v>87.02</v>
      </c>
      <c r="I100" s="3">
        <v>84.43</v>
      </c>
      <c r="J100" s="3">
        <v>98.01</v>
      </c>
      <c r="K100" s="3">
        <v>93.49</v>
      </c>
      <c r="L100" s="3" t="e">
        <v>#N/A</v>
      </c>
      <c r="M100" s="3">
        <v>70.48</v>
      </c>
      <c r="N100" s="3">
        <v>88.45</v>
      </c>
      <c r="O100" s="5">
        <v>83.1</v>
      </c>
      <c r="P100" s="52">
        <v>87.013999999999996</v>
      </c>
      <c r="Q100" s="52">
        <v>89.816000000000003</v>
      </c>
      <c r="R100" s="52">
        <v>70.247</v>
      </c>
      <c r="S100" s="52">
        <v>94.051000000000002</v>
      </c>
      <c r="T100" s="52">
        <v>91.802000000000007</v>
      </c>
      <c r="U100" s="52">
        <v>74.981999999999999</v>
      </c>
      <c r="V100" s="52">
        <v>76.850999999999999</v>
      </c>
      <c r="W100" s="52">
        <v>81.275999999999996</v>
      </c>
      <c r="X100" s="3">
        <v>10936.466557516638</v>
      </c>
      <c r="Y100" s="3">
        <v>14061.36</v>
      </c>
      <c r="Z100" s="3">
        <v>22578.52</v>
      </c>
      <c r="AA100" s="4" t="e">
        <v>#N/A</v>
      </c>
      <c r="AB100" s="4" t="e">
        <v>#N/A</v>
      </c>
      <c r="AC100" s="5" t="e">
        <v>#N/A</v>
      </c>
      <c r="AD100" s="5" t="e">
        <v>#N/A</v>
      </c>
      <c r="AE100" s="34">
        <v>63.698317776809645</v>
      </c>
      <c r="AF100" s="28">
        <v>64.117000000000004</v>
      </c>
      <c r="AG100" s="28">
        <v>60.8521</v>
      </c>
      <c r="AH100" s="28">
        <v>63.753799999999998</v>
      </c>
      <c r="AI100" s="28">
        <v>64.933400000000006</v>
      </c>
      <c r="AJ100" s="28">
        <v>70.146000000000001</v>
      </c>
      <c r="AK100" s="28">
        <v>51.789200000000001</v>
      </c>
      <c r="AL100" s="28">
        <v>49.821100000000001</v>
      </c>
      <c r="AM100" s="28">
        <v>56.902200000000001</v>
      </c>
      <c r="AN100" s="28">
        <v>54.335500000000003</v>
      </c>
      <c r="AO100" s="28">
        <v>68.285700000000006</v>
      </c>
      <c r="AP100" s="28">
        <v>50.183999999999997</v>
      </c>
      <c r="AQ100" s="28">
        <v>59.082700000000003</v>
      </c>
      <c r="AR100" s="28">
        <v>54.0886</v>
      </c>
      <c r="AS100" s="28">
        <v>51.849899999999998</v>
      </c>
      <c r="AT100" s="28">
        <v>1.3977999999999999</v>
      </c>
      <c r="AU100" s="28">
        <v>53.313499999999998</v>
      </c>
      <c r="AV100" s="28">
        <v>57.338900000000002</v>
      </c>
      <c r="AW100" s="28">
        <v>64.198700000000002</v>
      </c>
      <c r="AX100" s="28">
        <v>60.754300000000001</v>
      </c>
      <c r="AY100" s="28" t="e">
        <v>#N/A</v>
      </c>
      <c r="AZ100" s="28">
        <v>53.046500000000002</v>
      </c>
      <c r="BA100" s="3">
        <v>19259.55</v>
      </c>
      <c r="BB100">
        <f>IF(ISNUMBER(VLOOKUP($B100,CEIC_DATA!$I$26:$N$353,Haver_M!BB$2,FALSE)),VLOOKUP($B100,CEIC_DATA!$I$26:$N$353,Haver_M!BB$2,FALSE),NA())</f>
        <v>105.0089143</v>
      </c>
      <c r="BC100" t="e">
        <f>IF(ISNUMBER(VLOOKUP($B100,CEIC_DATA!$I$26:$N$353,Haver_M!BC$2,FALSE)),VLOOKUP($B100,CEIC_DATA!$I$26:$N$353,Haver_M!BC$2,FALSE),NA())</f>
        <v>#N/A</v>
      </c>
      <c r="BD100" t="e">
        <f>IF(ISNUMBER(VLOOKUP($B100,CEIC_DATA!$I$26:$N$353,Haver_M!BD$2,FALSE)),VLOOKUP($B100,CEIC_DATA!$I$26:$N$353,Haver_M!BD$2,FALSE),NA())</f>
        <v>#N/A</v>
      </c>
      <c r="BE100" t="e">
        <f>IF(ISNUMBER(VLOOKUP($B100,CEIC_DATA!$I$26:$N$353,Haver_M!BE$2,FALSE)),VLOOKUP($B100,CEIC_DATA!$I$26:$N$353,Haver_M!BE$2,FALSE),NA())</f>
        <v>#N/A</v>
      </c>
      <c r="BF100">
        <v>724222</v>
      </c>
      <c r="BG100">
        <v>44977</v>
      </c>
      <c r="BH100">
        <v>957641</v>
      </c>
      <c r="BI100">
        <v>146829</v>
      </c>
      <c r="BJ100" s="3">
        <v>4980.95</v>
      </c>
      <c r="BK100" s="3">
        <v>7374.77</v>
      </c>
      <c r="BL100" s="3">
        <v>4541.9399999999996</v>
      </c>
      <c r="BM100" s="3">
        <v>19223.37</v>
      </c>
      <c r="BN100" s="3">
        <v>12909.3</v>
      </c>
      <c r="BO100" s="3">
        <v>22104.1</v>
      </c>
      <c r="BP100" s="28">
        <v>39.4495</v>
      </c>
      <c r="BQ100" s="28">
        <f t="shared" si="5"/>
        <v>126.26142283172156</v>
      </c>
      <c r="BR100" s="28">
        <f t="shared" si="6"/>
        <v>186.94203982306493</v>
      </c>
      <c r="BS100" s="28">
        <f t="shared" si="7"/>
        <v>115.13301816246086</v>
      </c>
      <c r="BT100" s="28">
        <f t="shared" si="8"/>
        <v>487.29058669945118</v>
      </c>
      <c r="BU100" s="4">
        <v>18475</v>
      </c>
    </row>
    <row r="101" spans="1:73" x14ac:dyDescent="0.25">
      <c r="A101" t="s">
        <v>100</v>
      </c>
      <c r="B101" s="2">
        <v>39447</v>
      </c>
      <c r="C101" s="3">
        <v>7.75</v>
      </c>
      <c r="D101" s="28">
        <v>7.8056999999999999</v>
      </c>
      <c r="E101" s="34">
        <v>98.375029999999995</v>
      </c>
      <c r="F101" s="5">
        <v>65.900000000000006</v>
      </c>
      <c r="G101" s="5" t="e">
        <v>#N/A</v>
      </c>
      <c r="H101" s="3">
        <v>87.68</v>
      </c>
      <c r="I101" s="3">
        <v>84.61</v>
      </c>
      <c r="J101" s="3">
        <v>99.02</v>
      </c>
      <c r="K101" s="3">
        <v>93.32</v>
      </c>
      <c r="L101" s="3" t="e">
        <v>#N/A</v>
      </c>
      <c r="M101" s="3">
        <v>71.900000000000006</v>
      </c>
      <c r="N101" s="3">
        <v>90.98</v>
      </c>
      <c r="O101" s="5">
        <v>82.7</v>
      </c>
      <c r="P101" s="52">
        <v>86.438999999999993</v>
      </c>
      <c r="Q101" s="52">
        <v>89.025000000000006</v>
      </c>
      <c r="R101" s="52">
        <v>70.278999999999996</v>
      </c>
      <c r="S101" s="52">
        <v>91.239000000000004</v>
      </c>
      <c r="T101" s="52">
        <v>92.665999999999997</v>
      </c>
      <c r="U101" s="52">
        <v>76.402000000000001</v>
      </c>
      <c r="V101" s="52">
        <v>74.218999999999994</v>
      </c>
      <c r="W101" s="52">
        <v>81.308000000000007</v>
      </c>
      <c r="X101" s="3">
        <v>10738.180610530533</v>
      </c>
      <c r="Y101" s="3">
        <v>14701.71</v>
      </c>
      <c r="Z101" s="3">
        <v>21232.42</v>
      </c>
      <c r="AA101" s="4" t="e">
        <v>#N/A</v>
      </c>
      <c r="AB101" s="4" t="e">
        <v>#N/A</v>
      </c>
      <c r="AC101" s="5" t="e">
        <v>#N/A</v>
      </c>
      <c r="AD101" s="5" t="e">
        <v>#N/A</v>
      </c>
      <c r="AE101" s="34">
        <v>62.244059238204258</v>
      </c>
      <c r="AF101" s="28">
        <v>63.319899999999997</v>
      </c>
      <c r="AG101" s="28">
        <v>61.853900000000003</v>
      </c>
      <c r="AH101" s="28">
        <v>62.441699999999997</v>
      </c>
      <c r="AI101" s="28">
        <v>65.293999999999997</v>
      </c>
      <c r="AJ101" s="28">
        <v>72.093000000000004</v>
      </c>
      <c r="AK101" s="28">
        <v>52.2301</v>
      </c>
      <c r="AL101" s="28">
        <v>48.5458</v>
      </c>
      <c r="AM101" s="28">
        <v>57.383299999999998</v>
      </c>
      <c r="AN101" s="28">
        <v>54.203299999999999</v>
      </c>
      <c r="AO101" s="28">
        <v>69.680300000000003</v>
      </c>
      <c r="AP101" s="28">
        <v>51.360700000000001</v>
      </c>
      <c r="AQ101" s="28">
        <v>57.571199999999997</v>
      </c>
      <c r="AR101" s="28">
        <v>53.655700000000003</v>
      </c>
      <c r="AS101" s="28">
        <v>50.768700000000003</v>
      </c>
      <c r="AT101" s="28">
        <v>1.4036999999999999</v>
      </c>
      <c r="AU101" s="28">
        <v>53.009300000000003</v>
      </c>
      <c r="AV101" s="28">
        <v>55.679600000000001</v>
      </c>
      <c r="AW101" s="28">
        <v>62.130800000000001</v>
      </c>
      <c r="AX101" s="28">
        <v>57.995600000000003</v>
      </c>
      <c r="AY101" s="28" t="e">
        <v>#N/A</v>
      </c>
      <c r="AZ101" s="28">
        <v>52.163899999999998</v>
      </c>
      <c r="BA101" s="3">
        <v>19827.28</v>
      </c>
      <c r="BB101">
        <f>IF(ISNUMBER(VLOOKUP($B101,CEIC_DATA!$I$26:$N$353,Haver_M!BB$2,FALSE)),VLOOKUP($B101,CEIC_DATA!$I$26:$N$353,Haver_M!BB$2,FALSE),NA())</f>
        <v>105.69411418999999</v>
      </c>
      <c r="BC101">
        <f>IF(ISNUMBER(VLOOKUP($B101,CEIC_DATA!$I$26:$N$353,Haver_M!BC$2,FALSE)),VLOOKUP($B101,CEIC_DATA!$I$26:$N$353,Haver_M!BC$2,FALSE),NA())</f>
        <v>115.9</v>
      </c>
      <c r="BD101">
        <f>IF(ISNUMBER(VLOOKUP($B101,CEIC_DATA!$I$26:$N$353,Haver_M!BD$2,FALSE)),VLOOKUP($B101,CEIC_DATA!$I$26:$N$353,Haver_M!BD$2,FALSE),NA())</f>
        <v>124.4</v>
      </c>
      <c r="BE101">
        <f>IF(ISNUMBER(VLOOKUP($B101,CEIC_DATA!$I$26:$N$353,Haver_M!BE$2,FALSE)),VLOOKUP($B101,CEIC_DATA!$I$26:$N$353,Haver_M!BE$2,FALSE),NA())</f>
        <v>50.2</v>
      </c>
      <c r="BF101">
        <v>613848</v>
      </c>
      <c r="BG101">
        <v>48504</v>
      </c>
      <c r="BH101">
        <v>834540</v>
      </c>
      <c r="BI101">
        <v>132671</v>
      </c>
      <c r="BJ101" s="3">
        <v>5026.5</v>
      </c>
      <c r="BK101" s="3">
        <v>7666.66</v>
      </c>
      <c r="BL101" s="3">
        <v>4695.25</v>
      </c>
      <c r="BM101" s="3">
        <v>19750.349999999999</v>
      </c>
      <c r="BN101" s="3">
        <v>14625.5</v>
      </c>
      <c r="BO101" s="3">
        <v>20116.900000000001</v>
      </c>
      <c r="BP101" s="28">
        <v>39.44</v>
      </c>
      <c r="BQ101" s="28">
        <f t="shared" si="5"/>
        <v>127.44675456389453</v>
      </c>
      <c r="BR101" s="28">
        <f t="shared" si="6"/>
        <v>194.38793103448276</v>
      </c>
      <c r="BS101" s="28">
        <f t="shared" si="7"/>
        <v>119.04792089249493</v>
      </c>
      <c r="BT101" s="28">
        <f t="shared" si="8"/>
        <v>500.76952332657203</v>
      </c>
      <c r="BU101" s="4">
        <v>19187</v>
      </c>
    </row>
    <row r="102" spans="1:73" x14ac:dyDescent="0.25">
      <c r="A102" t="s">
        <v>101</v>
      </c>
      <c r="B102" s="2">
        <v>39478</v>
      </c>
      <c r="C102" s="3">
        <v>7.75</v>
      </c>
      <c r="D102" s="28">
        <v>7.5736999999999997</v>
      </c>
      <c r="E102" s="34">
        <v>97.412970000000001</v>
      </c>
      <c r="F102" s="5">
        <v>66</v>
      </c>
      <c r="G102" s="5" t="e">
        <v>#N/A</v>
      </c>
      <c r="H102" s="3">
        <v>88.56</v>
      </c>
      <c r="I102" s="3">
        <v>84.2</v>
      </c>
      <c r="J102" s="3">
        <v>103.29</v>
      </c>
      <c r="K102" s="3">
        <v>94.51</v>
      </c>
      <c r="L102" s="3" t="e">
        <v>#N/A</v>
      </c>
      <c r="M102" s="3">
        <v>70.5</v>
      </c>
      <c r="N102" s="3">
        <v>93.57</v>
      </c>
      <c r="O102" s="5">
        <v>82.1</v>
      </c>
      <c r="P102" s="52">
        <v>88.677000000000007</v>
      </c>
      <c r="Q102" s="52">
        <v>89.400999999999996</v>
      </c>
      <c r="R102" s="52">
        <v>67.254000000000005</v>
      </c>
      <c r="S102" s="52">
        <v>94.242999999999995</v>
      </c>
      <c r="T102" s="52">
        <v>88.906999999999996</v>
      </c>
      <c r="U102" s="52">
        <v>71.191999999999993</v>
      </c>
      <c r="V102" s="52">
        <v>75.727999999999994</v>
      </c>
      <c r="W102" s="52">
        <v>80.921000000000006</v>
      </c>
      <c r="X102" s="3">
        <v>11122.658182371222</v>
      </c>
      <c r="Y102" s="3">
        <v>15247.99</v>
      </c>
      <c r="Z102" s="3">
        <v>23597.05</v>
      </c>
      <c r="AA102" s="4" t="e">
        <v>#N/A</v>
      </c>
      <c r="AB102" s="4" t="e">
        <v>#N/A</v>
      </c>
      <c r="AC102" s="5" t="e">
        <v>#N/A</v>
      </c>
      <c r="AD102" s="5" t="e">
        <v>#N/A</v>
      </c>
      <c r="AE102" s="34">
        <v>140.39123406356666</v>
      </c>
      <c r="AF102" s="28">
        <v>62.652900000000002</v>
      </c>
      <c r="AG102" s="28">
        <v>60.6629</v>
      </c>
      <c r="AH102" s="28">
        <v>62.187199999999997</v>
      </c>
      <c r="AI102" s="28">
        <v>63.6997</v>
      </c>
      <c r="AJ102" s="28">
        <v>70.036000000000001</v>
      </c>
      <c r="AK102" s="28">
        <v>52.490699999999997</v>
      </c>
      <c r="AL102" s="28">
        <v>49.181100000000001</v>
      </c>
      <c r="AM102" s="28">
        <v>56.061500000000002</v>
      </c>
      <c r="AN102" s="28">
        <v>53.264299999999999</v>
      </c>
      <c r="AO102" s="28">
        <v>66.398399999999995</v>
      </c>
      <c r="AP102" s="28">
        <v>51.147799999999997</v>
      </c>
      <c r="AQ102" s="28">
        <v>56.247599999999998</v>
      </c>
      <c r="AR102" s="28">
        <v>52.895400000000002</v>
      </c>
      <c r="AS102" s="28">
        <v>50.300199999999997</v>
      </c>
      <c r="AT102" s="28">
        <v>1.3693</v>
      </c>
      <c r="AU102" s="28">
        <v>53.419699999999999</v>
      </c>
      <c r="AV102" s="28">
        <v>55.578200000000002</v>
      </c>
      <c r="AW102" s="28">
        <v>61.084499999999998</v>
      </c>
      <c r="AX102" s="28">
        <v>57.825699999999998</v>
      </c>
      <c r="AY102" s="28" t="e">
        <v>#N/A</v>
      </c>
      <c r="AZ102" s="28">
        <v>52.816299999999998</v>
      </c>
      <c r="BA102" s="3">
        <v>19325.650000000001</v>
      </c>
      <c r="BB102">
        <f>IF(ISNUMBER(VLOOKUP($B102,CEIC_DATA!$I$26:$N$353,Haver_M!BB$2,FALSE)),VLOOKUP($B102,CEIC_DATA!$I$26:$N$353,Haver_M!BB$2,FALSE),NA())</f>
        <v>105.92562903</v>
      </c>
      <c r="BC102" t="e">
        <f>IF(ISNUMBER(VLOOKUP($B102,CEIC_DATA!$I$26:$N$353,Haver_M!BC$2,FALSE)),VLOOKUP($B102,CEIC_DATA!$I$26:$N$353,Haver_M!BC$2,FALSE),NA())</f>
        <v>#N/A</v>
      </c>
      <c r="BD102" t="e">
        <f>IF(ISNUMBER(VLOOKUP($B102,CEIC_DATA!$I$26:$N$353,Haver_M!BD$2,FALSE)),VLOOKUP($B102,CEIC_DATA!$I$26:$N$353,Haver_M!BD$2,FALSE),NA())</f>
        <v>#N/A</v>
      </c>
      <c r="BE102" t="e">
        <f>IF(ISNUMBER(VLOOKUP($B102,CEIC_DATA!$I$26:$N$353,Haver_M!BE$2,FALSE)),VLOOKUP($B102,CEIC_DATA!$I$26:$N$353,Haver_M!BE$2,FALSE),NA())</f>
        <v>#N/A</v>
      </c>
      <c r="BF102">
        <v>665402</v>
      </c>
      <c r="BG102">
        <v>52229</v>
      </c>
      <c r="BH102">
        <v>927586</v>
      </c>
      <c r="BI102">
        <v>167348</v>
      </c>
      <c r="BJ102" s="3">
        <v>5083.43</v>
      </c>
      <c r="BK102" s="3">
        <v>7778.63</v>
      </c>
      <c r="BL102" s="3">
        <v>4848.37</v>
      </c>
      <c r="BM102" s="3">
        <v>20096.88</v>
      </c>
      <c r="BN102" s="3">
        <v>14889.1</v>
      </c>
      <c r="BO102" s="3">
        <v>22844.400000000001</v>
      </c>
      <c r="BP102" s="28">
        <v>39.378300000000003</v>
      </c>
      <c r="BQ102" s="28">
        <f t="shared" si="5"/>
        <v>129.09216497411009</v>
      </c>
      <c r="BR102" s="28">
        <f t="shared" si="6"/>
        <v>197.53595254239008</v>
      </c>
      <c r="BS102" s="28">
        <f t="shared" si="7"/>
        <v>123.1228874786367</v>
      </c>
      <c r="BT102" s="28">
        <f t="shared" si="8"/>
        <v>510.35417984016578</v>
      </c>
      <c r="BU102" s="4">
        <v>21369</v>
      </c>
    </row>
    <row r="103" spans="1:73" x14ac:dyDescent="0.25">
      <c r="A103" t="s">
        <v>102</v>
      </c>
      <c r="B103" s="2">
        <v>39507</v>
      </c>
      <c r="C103" s="3">
        <v>7.75</v>
      </c>
      <c r="D103" s="28">
        <v>7.6268000000000002</v>
      </c>
      <c r="E103" s="34">
        <v>96.619619999999998</v>
      </c>
      <c r="F103" s="5">
        <v>66.400000000000006</v>
      </c>
      <c r="G103" s="5" t="e">
        <v>#N/A</v>
      </c>
      <c r="H103" s="3">
        <v>88.64</v>
      </c>
      <c r="I103" s="3">
        <v>84.54</v>
      </c>
      <c r="J103" s="3">
        <v>102.8</v>
      </c>
      <c r="K103" s="3">
        <v>95.08</v>
      </c>
      <c r="L103" s="3" t="e">
        <v>#N/A</v>
      </c>
      <c r="M103" s="3">
        <v>73.31</v>
      </c>
      <c r="N103" s="3">
        <v>96.71</v>
      </c>
      <c r="O103" s="5">
        <v>82.6</v>
      </c>
      <c r="P103" s="52">
        <v>87.355999999999995</v>
      </c>
      <c r="Q103" s="52">
        <v>89.346000000000004</v>
      </c>
      <c r="R103" s="52">
        <v>69.923000000000002</v>
      </c>
      <c r="S103" s="52">
        <v>94.972999999999999</v>
      </c>
      <c r="T103" s="52">
        <v>88.978999999999999</v>
      </c>
      <c r="U103" s="52">
        <v>74.98</v>
      </c>
      <c r="V103" s="52">
        <v>76.376000000000005</v>
      </c>
      <c r="W103" s="52">
        <v>81.054000000000002</v>
      </c>
      <c r="X103" s="3">
        <v>11548.305981542686</v>
      </c>
      <c r="Y103" s="3">
        <v>16000.23</v>
      </c>
      <c r="Z103" s="3">
        <v>24358.75</v>
      </c>
      <c r="AA103" s="4" t="e">
        <v>#N/A</v>
      </c>
      <c r="AB103" s="4" t="e">
        <v>#N/A</v>
      </c>
      <c r="AC103" s="5" t="e">
        <v>#N/A</v>
      </c>
      <c r="AD103" s="5" t="e">
        <v>#N/A</v>
      </c>
      <c r="AE103" s="34">
        <v>80.611312723414514</v>
      </c>
      <c r="AF103" s="28">
        <v>62.570599999999999</v>
      </c>
      <c r="AG103" s="28">
        <v>59.450800000000001</v>
      </c>
      <c r="AH103" s="28">
        <v>62.731200000000001</v>
      </c>
      <c r="AI103" s="28">
        <v>62.209699999999998</v>
      </c>
      <c r="AJ103" s="28">
        <v>68.353700000000003</v>
      </c>
      <c r="AK103" s="28">
        <v>51.902299999999997</v>
      </c>
      <c r="AL103" s="28">
        <v>50.178899999999999</v>
      </c>
      <c r="AM103" s="28">
        <v>55.386099999999999</v>
      </c>
      <c r="AN103" s="28">
        <v>57.522399999999998</v>
      </c>
      <c r="AO103" s="28">
        <v>64.170199999999994</v>
      </c>
      <c r="AP103" s="28">
        <v>51.284500000000001</v>
      </c>
      <c r="AQ103" s="28">
        <v>55.672400000000003</v>
      </c>
      <c r="AR103" s="28">
        <v>54.196899999999999</v>
      </c>
      <c r="AS103" s="28">
        <v>50.634500000000003</v>
      </c>
      <c r="AT103" s="28">
        <v>1.3328</v>
      </c>
      <c r="AU103" s="28">
        <v>53.828499999999998</v>
      </c>
      <c r="AV103" s="28">
        <v>54.069299999999998</v>
      </c>
      <c r="AW103" s="28">
        <v>60.351199999999999</v>
      </c>
      <c r="AX103" s="28">
        <v>56.431699999999999</v>
      </c>
      <c r="AY103" s="28" t="e">
        <v>#N/A</v>
      </c>
      <c r="AZ103" s="28">
        <v>51.797899999999998</v>
      </c>
      <c r="BA103" s="3">
        <v>17727.54</v>
      </c>
      <c r="BB103">
        <f>IF(ISNUMBER(VLOOKUP($B103,CEIC_DATA!$I$26:$N$353,Haver_M!BB$2,FALSE)),VLOOKUP($B103,CEIC_DATA!$I$26:$N$353,Haver_M!BB$2,FALSE),NA())</f>
        <v>105.6217583</v>
      </c>
      <c r="BC103" t="e">
        <f>IF(ISNUMBER(VLOOKUP($B103,CEIC_DATA!$I$26:$N$353,Haver_M!BC$2,FALSE)),VLOOKUP($B103,CEIC_DATA!$I$26:$N$353,Haver_M!BC$2,FALSE),NA())</f>
        <v>#N/A</v>
      </c>
      <c r="BD103" t="e">
        <f>IF(ISNUMBER(VLOOKUP($B103,CEIC_DATA!$I$26:$N$353,Haver_M!BD$2,FALSE)),VLOOKUP($B103,CEIC_DATA!$I$26:$N$353,Haver_M!BD$2,FALSE),NA())</f>
        <v>#N/A</v>
      </c>
      <c r="BE103" t="e">
        <f>IF(ISNUMBER(VLOOKUP($B103,CEIC_DATA!$I$26:$N$353,Haver_M!BE$2,FALSE)),VLOOKUP($B103,CEIC_DATA!$I$26:$N$353,Haver_M!BE$2,FALSE),NA())</f>
        <v>#N/A</v>
      </c>
      <c r="BF103">
        <v>623307</v>
      </c>
      <c r="BG103">
        <v>50454</v>
      </c>
      <c r="BH103">
        <v>861368</v>
      </c>
      <c r="BI103">
        <v>146474</v>
      </c>
      <c r="BJ103" s="3">
        <v>5213.8900000000003</v>
      </c>
      <c r="BK103" s="3">
        <v>8117.11</v>
      </c>
      <c r="BL103" s="3">
        <v>5051.74</v>
      </c>
      <c r="BM103" s="3">
        <v>20840.25</v>
      </c>
      <c r="BN103" s="3">
        <v>15116.2</v>
      </c>
      <c r="BO103" s="3">
        <v>20804.400000000001</v>
      </c>
      <c r="BP103" s="28">
        <v>39.7057</v>
      </c>
      <c r="BQ103" s="28">
        <f t="shared" si="5"/>
        <v>131.3133882540794</v>
      </c>
      <c r="BR103" s="28">
        <f t="shared" si="6"/>
        <v>204.43185739075244</v>
      </c>
      <c r="BS103" s="28">
        <f t="shared" si="7"/>
        <v>127.2295917210879</v>
      </c>
      <c r="BT103" s="28">
        <f t="shared" si="8"/>
        <v>524.86796606028861</v>
      </c>
      <c r="BU103" s="4">
        <v>21383</v>
      </c>
    </row>
    <row r="104" spans="1:73" x14ac:dyDescent="0.25">
      <c r="A104" t="s">
        <v>103</v>
      </c>
      <c r="B104" s="2">
        <v>39538</v>
      </c>
      <c r="C104" s="3">
        <v>7.75</v>
      </c>
      <c r="D104" s="28">
        <v>7.6367000000000003</v>
      </c>
      <c r="E104" s="34">
        <v>93.897419999999997</v>
      </c>
      <c r="F104" s="5">
        <v>67.400000000000006</v>
      </c>
      <c r="G104" s="5" t="e">
        <v>#N/A</v>
      </c>
      <c r="H104" s="3">
        <v>89.61</v>
      </c>
      <c r="I104" s="3">
        <v>84.54</v>
      </c>
      <c r="J104" s="3">
        <v>105.45</v>
      </c>
      <c r="K104" s="3">
        <v>93.84</v>
      </c>
      <c r="L104" s="3" t="e">
        <v>#N/A</v>
      </c>
      <c r="M104" s="3">
        <v>70.290000000000006</v>
      </c>
      <c r="N104" s="3">
        <v>99.02</v>
      </c>
      <c r="O104" s="5">
        <v>83.1</v>
      </c>
      <c r="P104" s="52">
        <v>89.802000000000007</v>
      </c>
      <c r="Q104" s="52">
        <v>89.308999999999997</v>
      </c>
      <c r="R104" s="52">
        <v>67.540000000000006</v>
      </c>
      <c r="S104" s="52">
        <v>92.429000000000002</v>
      </c>
      <c r="T104" s="52">
        <v>75.694000000000003</v>
      </c>
      <c r="U104" s="52">
        <v>76.17</v>
      </c>
      <c r="V104" s="52">
        <v>77.222999999999999</v>
      </c>
      <c r="W104" s="52">
        <v>80.406999999999996</v>
      </c>
      <c r="X104" s="3">
        <v>10941.80047980571</v>
      </c>
      <c r="Y104" s="3">
        <v>14645.58</v>
      </c>
      <c r="Z104" s="3">
        <v>24425.07</v>
      </c>
      <c r="AA104" s="4" t="e">
        <v>#N/A</v>
      </c>
      <c r="AB104" s="4" t="e">
        <v>#N/A</v>
      </c>
      <c r="AC104" s="5" t="e">
        <v>#N/A</v>
      </c>
      <c r="AD104" s="5" t="e">
        <v>#N/A</v>
      </c>
      <c r="AE104" s="34">
        <v>171.06266492550054</v>
      </c>
      <c r="AF104" s="28">
        <v>62.837200000000003</v>
      </c>
      <c r="AG104" s="28">
        <v>57.493000000000002</v>
      </c>
      <c r="AH104" s="28">
        <v>63.960500000000003</v>
      </c>
      <c r="AI104" s="28">
        <v>60.312199999999997</v>
      </c>
      <c r="AJ104" s="28">
        <v>64.021100000000004</v>
      </c>
      <c r="AK104" s="28">
        <v>51.544899999999998</v>
      </c>
      <c r="AL104" s="28">
        <v>48.934199999999997</v>
      </c>
      <c r="AM104" s="28">
        <v>52.398099999999999</v>
      </c>
      <c r="AN104" s="28">
        <v>53.777700000000003</v>
      </c>
      <c r="AO104" s="28">
        <v>60.442999999999998</v>
      </c>
      <c r="AP104" s="28">
        <v>50.060299999999998</v>
      </c>
      <c r="AQ104" s="28">
        <v>53.009399999999999</v>
      </c>
      <c r="AR104" s="28">
        <v>51.731400000000001</v>
      </c>
      <c r="AS104" s="28">
        <v>50.125399999999999</v>
      </c>
      <c r="AT104" s="28">
        <v>1.2788999999999999</v>
      </c>
      <c r="AU104" s="28">
        <v>52.994799999999998</v>
      </c>
      <c r="AV104" s="28">
        <v>53.932499999999997</v>
      </c>
      <c r="AW104" s="28">
        <v>59.049599999999998</v>
      </c>
      <c r="AX104" s="28">
        <v>54.962400000000002</v>
      </c>
      <c r="AY104" s="28" t="e">
        <v>#N/A</v>
      </c>
      <c r="AZ104" s="28">
        <v>51.135599999999997</v>
      </c>
      <c r="BA104" s="3">
        <v>15838.38</v>
      </c>
      <c r="BB104">
        <f>IF(ISNUMBER(VLOOKUP($B104,CEIC_DATA!$I$26:$N$353,Haver_M!BB$2,FALSE)),VLOOKUP($B104,CEIC_DATA!$I$26:$N$353,Haver_M!BB$2,FALSE),NA())</f>
        <v>104.60604077000001</v>
      </c>
      <c r="BC104">
        <f>IF(ISNUMBER(VLOOKUP($B104,CEIC_DATA!$I$26:$N$353,Haver_M!BC$2,FALSE)),VLOOKUP($B104,CEIC_DATA!$I$26:$N$353,Haver_M!BC$2,FALSE),NA())</f>
        <v>122.8</v>
      </c>
      <c r="BD104">
        <f>IF(ISNUMBER(VLOOKUP($B104,CEIC_DATA!$I$26:$N$353,Haver_M!BD$2,FALSE)),VLOOKUP($B104,CEIC_DATA!$I$26:$N$353,Haver_M!BD$2,FALSE),NA())</f>
        <v>118.6</v>
      </c>
      <c r="BE104">
        <f>IF(ISNUMBER(VLOOKUP($B104,CEIC_DATA!$I$26:$N$353,Haver_M!BE$2,FALSE)),VLOOKUP($B104,CEIC_DATA!$I$26:$N$353,Haver_M!BE$2,FALSE),NA())</f>
        <v>47.7</v>
      </c>
      <c r="BF104">
        <v>706228</v>
      </c>
      <c r="BG104">
        <v>64123</v>
      </c>
      <c r="BH104">
        <v>1002704</v>
      </c>
      <c r="BI104">
        <v>192056</v>
      </c>
      <c r="BJ104" s="3">
        <v>5217.99</v>
      </c>
      <c r="BK104" s="3">
        <v>8583.44</v>
      </c>
      <c r="BL104" s="3">
        <v>5493.15</v>
      </c>
      <c r="BM104" s="3">
        <v>22048.01</v>
      </c>
      <c r="BN104" s="3">
        <v>17254</v>
      </c>
      <c r="BO104" s="3">
        <v>23573.7</v>
      </c>
      <c r="BP104" s="28">
        <v>40.356699999999996</v>
      </c>
      <c r="BQ104" s="28">
        <f t="shared" si="5"/>
        <v>129.29674626518027</v>
      </c>
      <c r="BR104" s="28">
        <f t="shared" si="6"/>
        <v>212.68934278570848</v>
      </c>
      <c r="BS104" s="28">
        <f t="shared" si="7"/>
        <v>136.1149449781573</v>
      </c>
      <c r="BT104" s="28">
        <f t="shared" si="8"/>
        <v>546.32836678915771</v>
      </c>
      <c r="BU104" s="4">
        <v>19754</v>
      </c>
    </row>
    <row r="105" spans="1:73" x14ac:dyDescent="0.25">
      <c r="A105" t="s">
        <v>104</v>
      </c>
      <c r="B105" s="2">
        <v>39568</v>
      </c>
      <c r="C105" s="3">
        <v>7.75</v>
      </c>
      <c r="D105" s="28">
        <v>8.0181000000000004</v>
      </c>
      <c r="E105" s="34">
        <v>93.957359999999994</v>
      </c>
      <c r="F105" s="5">
        <v>68.2</v>
      </c>
      <c r="G105" s="5" t="e">
        <v>#N/A</v>
      </c>
      <c r="H105" s="3">
        <v>89.22</v>
      </c>
      <c r="I105" s="3">
        <v>84.81</v>
      </c>
      <c r="J105" s="3">
        <v>105.26</v>
      </c>
      <c r="K105" s="3">
        <v>94.77</v>
      </c>
      <c r="L105" s="3" t="e">
        <v>#N/A</v>
      </c>
      <c r="M105" s="3">
        <v>71.06</v>
      </c>
      <c r="N105" s="3">
        <v>92.77</v>
      </c>
      <c r="O105" s="5">
        <v>83.8</v>
      </c>
      <c r="P105" s="52">
        <v>87.442999999999998</v>
      </c>
      <c r="Q105" s="52">
        <v>89.816999999999993</v>
      </c>
      <c r="R105" s="52">
        <v>72.394000000000005</v>
      </c>
      <c r="S105" s="52">
        <v>96.76</v>
      </c>
      <c r="T105" s="52">
        <v>87.296999999999997</v>
      </c>
      <c r="U105" s="52">
        <v>77.63</v>
      </c>
      <c r="V105" s="52">
        <v>76.757000000000005</v>
      </c>
      <c r="W105" s="52">
        <v>79.924999999999997</v>
      </c>
      <c r="X105" s="3">
        <v>11167.94536231014</v>
      </c>
      <c r="Y105" s="3">
        <v>18589.02</v>
      </c>
      <c r="Z105" s="3">
        <v>29802.58</v>
      </c>
      <c r="AA105" s="4" t="e">
        <v>#N/A</v>
      </c>
      <c r="AB105" s="4" t="e">
        <v>#N/A</v>
      </c>
      <c r="AC105" s="5" t="e">
        <v>#N/A</v>
      </c>
      <c r="AD105" s="5" t="e">
        <v>#N/A</v>
      </c>
      <c r="AE105" s="34">
        <v>113.40134126906955</v>
      </c>
      <c r="AF105" s="28">
        <v>62.782299999999999</v>
      </c>
      <c r="AG105" s="28">
        <v>57.473500000000001</v>
      </c>
      <c r="AH105" s="28">
        <v>63.459899999999998</v>
      </c>
      <c r="AI105" s="28">
        <v>61.258899999999997</v>
      </c>
      <c r="AJ105" s="28">
        <v>63.194299999999998</v>
      </c>
      <c r="AK105" s="28">
        <v>51.0809</v>
      </c>
      <c r="AL105" s="28">
        <v>48.884900000000002</v>
      </c>
      <c r="AM105" s="28">
        <v>53.17</v>
      </c>
      <c r="AN105" s="28">
        <v>54.942</v>
      </c>
      <c r="AO105" s="28">
        <v>60.636800000000001</v>
      </c>
      <c r="AP105" s="28">
        <v>48.105499999999999</v>
      </c>
      <c r="AQ105" s="28">
        <v>52.983600000000003</v>
      </c>
      <c r="AR105" s="28">
        <v>52.658900000000003</v>
      </c>
      <c r="AS105" s="28">
        <v>50.668700000000001</v>
      </c>
      <c r="AT105" s="28">
        <v>1.3137000000000001</v>
      </c>
      <c r="AU105" s="28">
        <v>53.2151</v>
      </c>
      <c r="AV105" s="28">
        <v>52.774500000000003</v>
      </c>
      <c r="AW105" s="28">
        <v>58.192</v>
      </c>
      <c r="AX105" s="28">
        <v>60.138100000000001</v>
      </c>
      <c r="AY105" s="28" t="e">
        <v>#N/A</v>
      </c>
      <c r="AZ105" s="28">
        <v>50.761699999999998</v>
      </c>
      <c r="BA105" s="3">
        <v>16290.99</v>
      </c>
      <c r="BB105">
        <f>IF(ISNUMBER(VLOOKUP($B105,CEIC_DATA!$I$26:$N$353,Haver_M!BB$2,FALSE)),VLOOKUP($B105,CEIC_DATA!$I$26:$N$353,Haver_M!BB$2,FALSE),NA())</f>
        <v>102.95183083000001</v>
      </c>
      <c r="BC105" t="e">
        <f>IF(ISNUMBER(VLOOKUP($B105,CEIC_DATA!$I$26:$N$353,Haver_M!BC$2,FALSE)),VLOOKUP($B105,CEIC_DATA!$I$26:$N$353,Haver_M!BC$2,FALSE),NA())</f>
        <v>#N/A</v>
      </c>
      <c r="BD105" t="e">
        <f>IF(ISNUMBER(VLOOKUP($B105,CEIC_DATA!$I$26:$N$353,Haver_M!BD$2,FALSE)),VLOOKUP($B105,CEIC_DATA!$I$26:$N$353,Haver_M!BD$2,FALSE),NA())</f>
        <v>#N/A</v>
      </c>
      <c r="BE105" t="e">
        <f>IF(ISNUMBER(VLOOKUP($B105,CEIC_DATA!$I$26:$N$353,Haver_M!BE$2,FALSE)),VLOOKUP($B105,CEIC_DATA!$I$26:$N$353,Haver_M!BE$2,FALSE),NA())</f>
        <v>#N/A</v>
      </c>
      <c r="BF105">
        <v>702421</v>
      </c>
      <c r="BG105">
        <v>36233</v>
      </c>
      <c r="BH105">
        <v>926602</v>
      </c>
      <c r="BI105">
        <v>152009</v>
      </c>
      <c r="BJ105" s="3">
        <v>5217.71</v>
      </c>
      <c r="BK105" s="3">
        <v>8507.7099999999991</v>
      </c>
      <c r="BL105" s="3">
        <v>5264.97</v>
      </c>
      <c r="BM105" s="3">
        <v>21643.87</v>
      </c>
      <c r="BN105" s="3">
        <v>18460.400000000001</v>
      </c>
      <c r="BO105" s="3">
        <v>30316.9</v>
      </c>
      <c r="BP105" s="28">
        <v>40.0289</v>
      </c>
      <c r="BQ105" s="28">
        <f t="shared" si="5"/>
        <v>130.34857315589485</v>
      </c>
      <c r="BR105" s="28">
        <f t="shared" si="6"/>
        <v>212.53919043491075</v>
      </c>
      <c r="BS105" s="28">
        <f t="shared" si="7"/>
        <v>131.52922013844997</v>
      </c>
      <c r="BT105" s="28">
        <f t="shared" si="8"/>
        <v>540.70608985008323</v>
      </c>
      <c r="BU105" s="4">
        <v>30668</v>
      </c>
    </row>
    <row r="106" spans="1:73" x14ac:dyDescent="0.25">
      <c r="A106" t="s">
        <v>105</v>
      </c>
      <c r="B106" s="2">
        <v>39599</v>
      </c>
      <c r="C106" s="3">
        <v>7.75</v>
      </c>
      <c r="D106" s="28">
        <v>8.1068999999999996</v>
      </c>
      <c r="E106" s="34">
        <v>88.912019999999998</v>
      </c>
      <c r="F106" s="5">
        <v>68.3</v>
      </c>
      <c r="G106" s="5" t="e">
        <v>#N/A</v>
      </c>
      <c r="H106" s="3">
        <v>89.51</v>
      </c>
      <c r="I106" s="3">
        <v>84.87</v>
      </c>
      <c r="J106" s="3">
        <v>105.41</v>
      </c>
      <c r="K106" s="3">
        <v>94.91</v>
      </c>
      <c r="L106" s="3" t="e">
        <v>#N/A</v>
      </c>
      <c r="M106" s="3">
        <v>75.13</v>
      </c>
      <c r="N106" s="3">
        <v>93.14</v>
      </c>
      <c r="O106" s="5">
        <v>84.5</v>
      </c>
      <c r="P106" s="52">
        <v>88.227000000000004</v>
      </c>
      <c r="Q106" s="52">
        <v>91.146000000000001</v>
      </c>
      <c r="R106" s="52">
        <v>71.947000000000003</v>
      </c>
      <c r="S106" s="52">
        <v>95.036000000000001</v>
      </c>
      <c r="T106" s="52">
        <v>94.119</v>
      </c>
      <c r="U106" s="52">
        <v>78.347999999999999</v>
      </c>
      <c r="V106" s="52">
        <v>76.707999999999998</v>
      </c>
      <c r="W106" s="52">
        <v>81.677999999999997</v>
      </c>
      <c r="X106" s="3">
        <v>10982.673409229237</v>
      </c>
      <c r="Y106" s="3">
        <v>18425.95</v>
      </c>
      <c r="Z106" s="3">
        <v>27276.34</v>
      </c>
      <c r="AA106" s="4" t="e">
        <v>#N/A</v>
      </c>
      <c r="AB106" s="4" t="e">
        <v>#N/A</v>
      </c>
      <c r="AC106" s="5" t="e">
        <v>#N/A</v>
      </c>
      <c r="AD106" s="5" t="e">
        <v>#N/A</v>
      </c>
      <c r="AE106" s="34">
        <v>105.91089060723239</v>
      </c>
      <c r="AF106" s="28">
        <v>63.059399999999997</v>
      </c>
      <c r="AG106" s="28">
        <v>57.445900000000002</v>
      </c>
      <c r="AH106" s="28">
        <v>63.492600000000003</v>
      </c>
      <c r="AI106" s="28">
        <v>62.085700000000003</v>
      </c>
      <c r="AJ106" s="28">
        <v>63.078299999999999</v>
      </c>
      <c r="AK106" s="28">
        <v>50.783099999999997</v>
      </c>
      <c r="AL106" s="28">
        <v>50.563099999999999</v>
      </c>
      <c r="AM106" s="28">
        <v>54.287799999999997</v>
      </c>
      <c r="AN106" s="28">
        <v>57.637099999999997</v>
      </c>
      <c r="AO106" s="28">
        <v>61.680199999999999</v>
      </c>
      <c r="AP106" s="28">
        <v>49.731900000000003</v>
      </c>
      <c r="AQ106" s="28">
        <v>55.125900000000001</v>
      </c>
      <c r="AR106" s="28">
        <v>54.239400000000003</v>
      </c>
      <c r="AS106" s="28">
        <v>51.561999999999998</v>
      </c>
      <c r="AT106" s="28">
        <v>1.2684</v>
      </c>
      <c r="AU106" s="28">
        <v>53.319400000000002</v>
      </c>
      <c r="AV106" s="28">
        <v>53.624899999999997</v>
      </c>
      <c r="AW106" s="28">
        <v>58.410600000000002</v>
      </c>
      <c r="AX106" s="28">
        <v>58.982500000000002</v>
      </c>
      <c r="AY106" s="28" t="e">
        <v>#N/A</v>
      </c>
      <c r="AZ106" s="28">
        <v>50.456499999999998</v>
      </c>
      <c r="BA106" s="3">
        <v>16945.650000000001</v>
      </c>
      <c r="BB106">
        <f>IF(ISNUMBER(VLOOKUP($B106,CEIC_DATA!$I$26:$N$353,Haver_M!BB$2,FALSE)),VLOOKUP($B106,CEIC_DATA!$I$26:$N$353,Haver_M!BB$2,FALSE),NA())</f>
        <v>100.68765881</v>
      </c>
      <c r="BC106" t="e">
        <f>IF(ISNUMBER(VLOOKUP($B106,CEIC_DATA!$I$26:$N$353,Haver_M!BC$2,FALSE)),VLOOKUP($B106,CEIC_DATA!$I$26:$N$353,Haver_M!BC$2,FALSE),NA())</f>
        <v>#N/A</v>
      </c>
      <c r="BD106" t="e">
        <f>IF(ISNUMBER(VLOOKUP($B106,CEIC_DATA!$I$26:$N$353,Haver_M!BD$2,FALSE)),VLOOKUP($B106,CEIC_DATA!$I$26:$N$353,Haver_M!BD$2,FALSE),NA())</f>
        <v>#N/A</v>
      </c>
      <c r="BE106" t="e">
        <f>IF(ISNUMBER(VLOOKUP($B106,CEIC_DATA!$I$26:$N$353,Haver_M!BE$2,FALSE)),VLOOKUP($B106,CEIC_DATA!$I$26:$N$353,Haver_M!BE$2,FALSE),NA())</f>
        <v>#N/A</v>
      </c>
      <c r="BF106">
        <v>724607</v>
      </c>
      <c r="BG106">
        <v>40783</v>
      </c>
      <c r="BH106">
        <v>968079</v>
      </c>
      <c r="BI106">
        <v>163318</v>
      </c>
      <c r="BJ106" s="3">
        <v>5286.49</v>
      </c>
      <c r="BK106" s="3">
        <v>8585.15</v>
      </c>
      <c r="BL106" s="3">
        <v>5229.53</v>
      </c>
      <c r="BM106" s="3">
        <v>21749.040000000001</v>
      </c>
      <c r="BN106" s="3">
        <v>18686.599999999999</v>
      </c>
      <c r="BO106" s="3">
        <v>29443.599999999999</v>
      </c>
      <c r="BP106" s="28">
        <v>42.125500000000002</v>
      </c>
      <c r="BQ106" s="28">
        <f t="shared" si="5"/>
        <v>125.49382203178597</v>
      </c>
      <c r="BR106" s="28">
        <f t="shared" si="6"/>
        <v>203.79936143191176</v>
      </c>
      <c r="BS106" s="28">
        <f t="shared" si="7"/>
        <v>124.14167190893875</v>
      </c>
      <c r="BT106" s="28">
        <f t="shared" si="8"/>
        <v>516.29155737023893</v>
      </c>
      <c r="BU106" s="4">
        <v>36367</v>
      </c>
    </row>
    <row r="107" spans="1:73" x14ac:dyDescent="0.25">
      <c r="A107" t="s">
        <v>106</v>
      </c>
      <c r="B107" s="2">
        <v>39629</v>
      </c>
      <c r="C107" s="3">
        <v>8.5</v>
      </c>
      <c r="D107" s="28">
        <v>8.6517999999999997</v>
      </c>
      <c r="E107" s="34">
        <v>88.448350000000005</v>
      </c>
      <c r="F107" s="5">
        <v>69.2</v>
      </c>
      <c r="G107" s="5" t="e">
        <v>#N/A</v>
      </c>
      <c r="H107" s="3">
        <v>90.69</v>
      </c>
      <c r="I107" s="3">
        <v>82.17</v>
      </c>
      <c r="J107" s="3">
        <v>126.31</v>
      </c>
      <c r="K107" s="3">
        <v>95.96</v>
      </c>
      <c r="L107" s="3" t="e">
        <v>#N/A</v>
      </c>
      <c r="M107" s="3">
        <v>75.16</v>
      </c>
      <c r="N107" s="3">
        <v>90.66</v>
      </c>
      <c r="O107" s="5">
        <v>83.1</v>
      </c>
      <c r="P107" s="52">
        <v>86.866</v>
      </c>
      <c r="Q107" s="52">
        <v>84.662999999999997</v>
      </c>
      <c r="R107" s="52">
        <v>68.203999999999994</v>
      </c>
      <c r="S107" s="52">
        <v>97.418999999999997</v>
      </c>
      <c r="T107" s="52">
        <v>85.673000000000002</v>
      </c>
      <c r="U107" s="52">
        <v>76.007000000000005</v>
      </c>
      <c r="V107" s="52">
        <v>77.933999999999997</v>
      </c>
      <c r="W107" s="52">
        <v>81.016999999999996</v>
      </c>
      <c r="X107" s="3">
        <v>10388.534781772005</v>
      </c>
      <c r="Y107" s="3">
        <v>18612.259999999998</v>
      </c>
      <c r="Z107" s="3">
        <v>28505.82</v>
      </c>
      <c r="AA107" s="4" t="e">
        <v>#N/A</v>
      </c>
      <c r="AB107" s="4" t="e">
        <v>#N/A</v>
      </c>
      <c r="AC107" s="5" t="e">
        <v>#N/A</v>
      </c>
      <c r="AD107" s="5" t="e">
        <v>#N/A</v>
      </c>
      <c r="AE107" s="34">
        <v>169.43809998265522</v>
      </c>
      <c r="AF107" s="28">
        <v>64.177599999999998</v>
      </c>
      <c r="AG107" s="28">
        <v>58.629800000000003</v>
      </c>
      <c r="AH107" s="28">
        <v>64.331299999999999</v>
      </c>
      <c r="AI107" s="28">
        <v>63.8322</v>
      </c>
      <c r="AJ107" s="28">
        <v>65.678600000000003</v>
      </c>
      <c r="AK107" s="28">
        <v>51.027999999999999</v>
      </c>
      <c r="AL107" s="28">
        <v>50.512</v>
      </c>
      <c r="AM107" s="28">
        <v>53.393999999999998</v>
      </c>
      <c r="AN107" s="28">
        <v>58.6937</v>
      </c>
      <c r="AO107" s="28">
        <v>59.072800000000001</v>
      </c>
      <c r="AP107" s="28">
        <v>49.118099999999998</v>
      </c>
      <c r="AQ107" s="28">
        <v>58.768900000000002</v>
      </c>
      <c r="AR107" s="28">
        <v>54.681199999999997</v>
      </c>
      <c r="AS107" s="28">
        <v>50.689900000000002</v>
      </c>
      <c r="AT107" s="28">
        <v>1.3371999999999999</v>
      </c>
      <c r="AU107" s="28">
        <v>54.415399999999998</v>
      </c>
      <c r="AV107" s="28">
        <v>55.011000000000003</v>
      </c>
      <c r="AW107" s="28">
        <v>58.8339</v>
      </c>
      <c r="AX107" s="28">
        <v>61.834899999999998</v>
      </c>
      <c r="AY107" s="28" t="e">
        <v>#N/A</v>
      </c>
      <c r="AZ107" s="28">
        <v>51.095700000000001</v>
      </c>
      <c r="BA107" s="3">
        <v>14997.28</v>
      </c>
      <c r="BB107">
        <f>IF(ISNUMBER(VLOOKUP($B107,CEIC_DATA!$I$26:$N$353,Haver_M!BB$2,FALSE)),VLOOKUP($B107,CEIC_DATA!$I$26:$N$353,Haver_M!BB$2,FALSE),NA())</f>
        <v>97.936224280000005</v>
      </c>
      <c r="BC107">
        <f>IF(ISNUMBER(VLOOKUP($B107,CEIC_DATA!$I$26:$N$353,Haver_M!BC$2,FALSE)),VLOOKUP($B107,CEIC_DATA!$I$26:$N$353,Haver_M!BC$2,FALSE),NA())</f>
        <v>116.2</v>
      </c>
      <c r="BD107">
        <f>IF(ISNUMBER(VLOOKUP($B107,CEIC_DATA!$I$26:$N$353,Haver_M!BD$2,FALSE)),VLOOKUP($B107,CEIC_DATA!$I$26:$N$353,Haver_M!BD$2,FALSE),NA())</f>
        <v>123.2</v>
      </c>
      <c r="BE107">
        <f>IF(ISNUMBER(VLOOKUP($B107,CEIC_DATA!$I$26:$N$353,Haver_M!BE$2,FALSE)),VLOOKUP($B107,CEIC_DATA!$I$26:$N$353,Haver_M!BE$2,FALSE),NA())</f>
        <v>46</v>
      </c>
      <c r="BF107">
        <v>690995</v>
      </c>
      <c r="BG107">
        <v>46225</v>
      </c>
      <c r="BH107">
        <v>930563</v>
      </c>
      <c r="BI107">
        <v>153609</v>
      </c>
      <c r="BJ107" s="3">
        <v>5393.43</v>
      </c>
      <c r="BK107" s="3">
        <v>8842.43</v>
      </c>
      <c r="BL107" s="3">
        <v>5431.04</v>
      </c>
      <c r="BM107" s="3">
        <v>22324.37</v>
      </c>
      <c r="BN107" s="3">
        <v>19180.900000000001</v>
      </c>
      <c r="BO107" s="3">
        <v>28950.6</v>
      </c>
      <c r="BP107" s="28">
        <v>42.827100000000002</v>
      </c>
      <c r="BQ107" s="28">
        <f t="shared" si="5"/>
        <v>125.93498042127531</v>
      </c>
      <c r="BR107" s="28">
        <f t="shared" si="6"/>
        <v>206.4681008053312</v>
      </c>
      <c r="BS107" s="28">
        <f t="shared" si="7"/>
        <v>126.81316269371496</v>
      </c>
      <c r="BT107" s="28">
        <f t="shared" si="8"/>
        <v>521.26737509660938</v>
      </c>
      <c r="BU107" s="4">
        <v>36276</v>
      </c>
    </row>
    <row r="108" spans="1:73" x14ac:dyDescent="0.25">
      <c r="A108" t="s">
        <v>107</v>
      </c>
      <c r="B108" s="2">
        <v>39660</v>
      </c>
      <c r="C108" s="3">
        <v>9</v>
      </c>
      <c r="D108" s="28">
        <v>9.35</v>
      </c>
      <c r="E108" s="34">
        <v>87.211849999999998</v>
      </c>
      <c r="F108" s="5">
        <v>70.400000000000006</v>
      </c>
      <c r="G108" s="5" t="e">
        <v>#N/A</v>
      </c>
      <c r="H108" s="3">
        <v>88.57</v>
      </c>
      <c r="I108" s="3">
        <v>84.78</v>
      </c>
      <c r="J108" s="3">
        <v>109.38</v>
      </c>
      <c r="K108" s="3">
        <v>95.73</v>
      </c>
      <c r="L108" s="3" t="e">
        <v>#N/A</v>
      </c>
      <c r="M108" s="3">
        <v>71.28</v>
      </c>
      <c r="N108" s="3">
        <v>88.3</v>
      </c>
      <c r="O108" s="5">
        <v>84.6</v>
      </c>
      <c r="P108" s="52">
        <v>88.010999999999996</v>
      </c>
      <c r="Q108" s="52">
        <v>87.602999999999994</v>
      </c>
      <c r="R108" s="52">
        <v>69.956000000000003</v>
      </c>
      <c r="S108" s="52">
        <v>101.53700000000001</v>
      </c>
      <c r="T108" s="52">
        <v>84.131</v>
      </c>
      <c r="U108" s="52">
        <v>77.551000000000002</v>
      </c>
      <c r="V108" s="52">
        <v>78.108999999999995</v>
      </c>
      <c r="W108" s="52">
        <v>82.811999999999998</v>
      </c>
      <c r="X108" s="3">
        <v>10997.039432018921</v>
      </c>
      <c r="Y108" s="3">
        <v>18428.63</v>
      </c>
      <c r="Z108" s="3">
        <v>29952.25</v>
      </c>
      <c r="AA108" s="4" t="e">
        <v>#N/A</v>
      </c>
      <c r="AB108" s="4" t="e">
        <v>#N/A</v>
      </c>
      <c r="AC108" s="5" t="e">
        <v>#N/A</v>
      </c>
      <c r="AD108" s="5" t="e">
        <v>#N/A</v>
      </c>
      <c r="AE108" s="34">
        <v>168.87085550023886</v>
      </c>
      <c r="AF108" s="28">
        <v>63.22</v>
      </c>
      <c r="AG108" s="28">
        <v>57.759300000000003</v>
      </c>
      <c r="AH108" s="28">
        <v>63.8185</v>
      </c>
      <c r="AI108" s="28">
        <v>61.874699999999997</v>
      </c>
      <c r="AJ108" s="28">
        <v>63.603200000000001</v>
      </c>
      <c r="AK108" s="28">
        <v>51.718200000000003</v>
      </c>
      <c r="AL108" s="28">
        <v>49.703299999999999</v>
      </c>
      <c r="AM108" s="28">
        <v>53.214599999999997</v>
      </c>
      <c r="AN108" s="28">
        <v>59.182499999999997</v>
      </c>
      <c r="AO108" s="28">
        <v>59.189300000000003</v>
      </c>
      <c r="AP108" s="28">
        <v>49.704900000000002</v>
      </c>
      <c r="AQ108" s="28">
        <v>54.744799999999998</v>
      </c>
      <c r="AR108" s="28">
        <v>56.596200000000003</v>
      </c>
      <c r="AS108" s="28">
        <v>49.8795</v>
      </c>
      <c r="AT108" s="28">
        <v>1.2796000000000001</v>
      </c>
      <c r="AU108" s="28">
        <v>54.322699999999998</v>
      </c>
      <c r="AV108" s="28">
        <v>59.067599999999999</v>
      </c>
      <c r="AW108" s="28">
        <v>61.534999999999997</v>
      </c>
      <c r="AX108" s="28">
        <v>62.445599999999999</v>
      </c>
      <c r="AY108" s="28" t="e">
        <v>#N/A</v>
      </c>
      <c r="AZ108" s="28">
        <v>51.837800000000001</v>
      </c>
      <c r="BA108" s="3">
        <v>13716.18</v>
      </c>
      <c r="BB108">
        <f>IF(ISNUMBER(VLOOKUP($B108,CEIC_DATA!$I$26:$N$353,Haver_M!BB$2,FALSE)),VLOOKUP($B108,CEIC_DATA!$I$26:$N$353,Haver_M!BB$2,FALSE),NA())</f>
        <v>94.915692160000006</v>
      </c>
      <c r="BC108" t="e">
        <f>IF(ISNUMBER(VLOOKUP($B108,CEIC_DATA!$I$26:$N$353,Haver_M!BC$2,FALSE)),VLOOKUP($B108,CEIC_DATA!$I$26:$N$353,Haver_M!BC$2,FALSE),NA())</f>
        <v>#N/A</v>
      </c>
      <c r="BD108" t="e">
        <f>IF(ISNUMBER(VLOOKUP($B108,CEIC_DATA!$I$26:$N$353,Haver_M!BD$2,FALSE)),VLOOKUP($B108,CEIC_DATA!$I$26:$N$353,Haver_M!BD$2,FALSE),NA())</f>
        <v>#N/A</v>
      </c>
      <c r="BE108" t="e">
        <f>IF(ISNUMBER(VLOOKUP($B108,CEIC_DATA!$I$26:$N$353,Haver_M!BE$2,FALSE)),VLOOKUP($B108,CEIC_DATA!$I$26:$N$353,Haver_M!BE$2,FALSE),NA())</f>
        <v>#N/A</v>
      </c>
      <c r="BF108">
        <v>687396</v>
      </c>
      <c r="BG108">
        <v>38807</v>
      </c>
      <c r="BH108">
        <v>912385</v>
      </c>
      <c r="BI108">
        <v>142254</v>
      </c>
      <c r="BJ108" s="3">
        <v>5421.33</v>
      </c>
      <c r="BK108" s="3">
        <v>8980.1</v>
      </c>
      <c r="BL108" s="3">
        <v>5591.04</v>
      </c>
      <c r="BM108" s="3">
        <v>22553.96</v>
      </c>
      <c r="BN108" s="3">
        <v>19030.400000000001</v>
      </c>
      <c r="BO108" s="3">
        <v>31625.5</v>
      </c>
      <c r="BP108" s="28">
        <v>42.836500000000001</v>
      </c>
      <c r="BQ108" s="28">
        <f t="shared" si="5"/>
        <v>126.55865908746046</v>
      </c>
      <c r="BR108" s="28">
        <f t="shared" si="6"/>
        <v>209.63664164906098</v>
      </c>
      <c r="BS108" s="28">
        <f t="shared" si="7"/>
        <v>130.52046735844431</v>
      </c>
      <c r="BT108" s="28">
        <f t="shared" si="8"/>
        <v>526.51267026951314</v>
      </c>
      <c r="BU108" s="4">
        <v>34286</v>
      </c>
    </row>
    <row r="109" spans="1:73" x14ac:dyDescent="0.25">
      <c r="A109" t="s">
        <v>108</v>
      </c>
      <c r="B109" s="2">
        <v>39691</v>
      </c>
      <c r="C109" s="3">
        <v>9</v>
      </c>
      <c r="D109" s="28">
        <v>8.7120999999999995</v>
      </c>
      <c r="E109" s="34">
        <v>90.110820000000004</v>
      </c>
      <c r="F109" s="5">
        <v>71.2</v>
      </c>
      <c r="G109" s="5" t="e">
        <v>#N/A</v>
      </c>
      <c r="H109" s="3">
        <v>89.17</v>
      </c>
      <c r="I109" s="3">
        <v>85.44</v>
      </c>
      <c r="J109" s="3">
        <v>109.28</v>
      </c>
      <c r="K109" s="3">
        <v>92.22</v>
      </c>
      <c r="L109" s="3" t="e">
        <v>#N/A</v>
      </c>
      <c r="M109" s="3">
        <v>75.12</v>
      </c>
      <c r="N109" s="3">
        <v>85.23</v>
      </c>
      <c r="O109" s="5">
        <v>84.1</v>
      </c>
      <c r="P109" s="52">
        <v>89.317999999999998</v>
      </c>
      <c r="Q109" s="52">
        <v>88.754999999999995</v>
      </c>
      <c r="R109" s="52">
        <v>70.543000000000006</v>
      </c>
      <c r="S109" s="52">
        <v>94.515000000000001</v>
      </c>
      <c r="T109" s="52">
        <v>86.947999999999993</v>
      </c>
      <c r="U109" s="52">
        <v>77.144000000000005</v>
      </c>
      <c r="V109" s="52">
        <v>77.929000000000002</v>
      </c>
      <c r="W109" s="52">
        <v>81.820999999999998</v>
      </c>
      <c r="X109" s="3">
        <v>10954.280928165781</v>
      </c>
      <c r="Y109" s="3">
        <v>17863.25</v>
      </c>
      <c r="Z109" s="3">
        <v>33065.75</v>
      </c>
      <c r="AA109" s="4" t="e">
        <v>#N/A</v>
      </c>
      <c r="AB109" s="4" t="e">
        <v>#N/A</v>
      </c>
      <c r="AC109" s="5" t="e">
        <v>#N/A</v>
      </c>
      <c r="AD109" s="5" t="e">
        <v>#N/A</v>
      </c>
      <c r="AE109" s="34">
        <v>99.645812163102974</v>
      </c>
      <c r="AF109" s="28">
        <v>61.9681</v>
      </c>
      <c r="AG109" s="28">
        <v>57.947299999999998</v>
      </c>
      <c r="AH109" s="28">
        <v>61.948399999999999</v>
      </c>
      <c r="AI109" s="28">
        <v>62.012599999999999</v>
      </c>
      <c r="AJ109" s="28">
        <v>64.772300000000001</v>
      </c>
      <c r="AK109" s="28">
        <v>50.974699999999999</v>
      </c>
      <c r="AL109" s="28">
        <v>49.818199999999997</v>
      </c>
      <c r="AM109" s="28">
        <v>52.902500000000003</v>
      </c>
      <c r="AN109" s="28">
        <v>56.1066</v>
      </c>
      <c r="AO109" s="28">
        <v>59.640300000000003</v>
      </c>
      <c r="AP109" s="28">
        <v>50.002400000000002</v>
      </c>
      <c r="AQ109" s="28">
        <v>55.165100000000002</v>
      </c>
      <c r="AR109" s="28">
        <v>54.7729</v>
      </c>
      <c r="AS109" s="28">
        <v>50.460099999999997</v>
      </c>
      <c r="AT109" s="28">
        <v>1.2954000000000001</v>
      </c>
      <c r="AU109" s="28">
        <v>53.959800000000001</v>
      </c>
      <c r="AV109" s="28">
        <v>56.973100000000002</v>
      </c>
      <c r="AW109" s="28">
        <v>58.265999999999998</v>
      </c>
      <c r="AX109" s="28">
        <v>59.4602</v>
      </c>
      <c r="AY109" s="28" t="e">
        <v>#N/A</v>
      </c>
      <c r="AZ109" s="28">
        <v>50.780900000000003</v>
      </c>
      <c r="BA109" s="3">
        <v>14722.13</v>
      </c>
      <c r="BB109">
        <f>IF(ISNUMBER(VLOOKUP($B109,CEIC_DATA!$I$26:$N$353,Haver_M!BB$2,FALSE)),VLOOKUP($B109,CEIC_DATA!$I$26:$N$353,Haver_M!BB$2,FALSE),NA())</f>
        <v>91.557815590000004</v>
      </c>
      <c r="BC109" t="e">
        <f>IF(ISNUMBER(VLOOKUP($B109,CEIC_DATA!$I$26:$N$353,Haver_M!BC$2,FALSE)),VLOOKUP($B109,CEIC_DATA!$I$26:$N$353,Haver_M!BC$2,FALSE),NA())</f>
        <v>#N/A</v>
      </c>
      <c r="BD109" t="e">
        <f>IF(ISNUMBER(VLOOKUP($B109,CEIC_DATA!$I$26:$N$353,Haver_M!BD$2,FALSE)),VLOOKUP($B109,CEIC_DATA!$I$26:$N$353,Haver_M!BD$2,FALSE),NA())</f>
        <v>#N/A</v>
      </c>
      <c r="BE109" t="e">
        <f>IF(ISNUMBER(VLOOKUP($B109,CEIC_DATA!$I$26:$N$353,Haver_M!BE$2,FALSE)),VLOOKUP($B109,CEIC_DATA!$I$26:$N$353,Haver_M!BE$2,FALSE),NA())</f>
        <v>#N/A</v>
      </c>
      <c r="BF109">
        <v>712468</v>
      </c>
      <c r="BG109">
        <v>39775</v>
      </c>
      <c r="BH109">
        <v>952087</v>
      </c>
      <c r="BI109">
        <v>154366</v>
      </c>
      <c r="BJ109" s="3">
        <v>5520.95</v>
      </c>
      <c r="BK109" s="3">
        <v>9306.43</v>
      </c>
      <c r="BL109" s="3">
        <v>5694.76</v>
      </c>
      <c r="BM109" s="3">
        <v>23148.33</v>
      </c>
      <c r="BN109" s="3">
        <v>17759.3</v>
      </c>
      <c r="BO109" s="3">
        <v>33523.199999999997</v>
      </c>
      <c r="BP109" s="28">
        <v>42.938899999999997</v>
      </c>
      <c r="BQ109" s="28">
        <f t="shared" si="5"/>
        <v>128.57688482937382</v>
      </c>
      <c r="BR109" s="28">
        <f t="shared" si="6"/>
        <v>216.73657219910154</v>
      </c>
      <c r="BS109" s="28">
        <f t="shared" si="7"/>
        <v>132.62472955758068</v>
      </c>
      <c r="BT109" s="28">
        <f t="shared" si="8"/>
        <v>539.09927827680735</v>
      </c>
      <c r="BU109" s="4">
        <v>31804</v>
      </c>
    </row>
    <row r="110" spans="1:73" x14ac:dyDescent="0.25">
      <c r="A110" t="s">
        <v>109</v>
      </c>
      <c r="B110" s="2">
        <v>39721</v>
      </c>
      <c r="C110" s="3">
        <v>9</v>
      </c>
      <c r="D110" s="28">
        <v>8.7184000000000008</v>
      </c>
      <c r="E110" s="34">
        <v>87.154290000000003</v>
      </c>
      <c r="F110" s="5">
        <v>71.900000000000006</v>
      </c>
      <c r="G110" s="5" t="e">
        <v>#N/A</v>
      </c>
      <c r="H110" s="3">
        <v>91.65</v>
      </c>
      <c r="I110" s="3">
        <v>87.86</v>
      </c>
      <c r="J110" s="3">
        <v>115.5</v>
      </c>
      <c r="K110" s="3">
        <v>93.34</v>
      </c>
      <c r="L110" s="3" t="e">
        <v>#N/A</v>
      </c>
      <c r="M110" s="3">
        <v>75.150000000000006</v>
      </c>
      <c r="N110" s="3">
        <v>90.08</v>
      </c>
      <c r="O110" s="5">
        <v>85.1</v>
      </c>
      <c r="P110" s="52">
        <v>93.263999999999996</v>
      </c>
      <c r="Q110" s="52">
        <v>89.013999999999996</v>
      </c>
      <c r="R110" s="52">
        <v>71.23</v>
      </c>
      <c r="S110" s="52">
        <v>96.91</v>
      </c>
      <c r="T110" s="52">
        <v>87.14</v>
      </c>
      <c r="U110" s="52">
        <v>76.805999999999997</v>
      </c>
      <c r="V110" s="52">
        <v>80.197000000000003</v>
      </c>
      <c r="W110" s="52">
        <v>82.375</v>
      </c>
      <c r="X110" s="3">
        <v>11491.842058545028</v>
      </c>
      <c r="Y110" s="3">
        <v>16075.66</v>
      </c>
      <c r="Z110" s="3">
        <v>29478.6</v>
      </c>
      <c r="AA110" s="4" t="e">
        <v>#N/A</v>
      </c>
      <c r="AB110" s="4" t="e">
        <v>#N/A</v>
      </c>
      <c r="AC110" s="5" t="e">
        <v>#N/A</v>
      </c>
      <c r="AD110" s="5" t="e">
        <v>#N/A</v>
      </c>
      <c r="AE110" s="34">
        <v>137.67026318914336</v>
      </c>
      <c r="AF110" s="28">
        <v>61.382300000000001</v>
      </c>
      <c r="AG110" s="28">
        <v>57.282600000000002</v>
      </c>
      <c r="AH110" s="28">
        <v>61.218899999999998</v>
      </c>
      <c r="AI110" s="28">
        <v>61.749600000000001</v>
      </c>
      <c r="AJ110" s="28">
        <v>62.639699999999998</v>
      </c>
      <c r="AK110" s="28">
        <v>51.283999999999999</v>
      </c>
      <c r="AL110" s="28">
        <v>49.732399999999998</v>
      </c>
      <c r="AM110" s="28">
        <v>52.563499999999998</v>
      </c>
      <c r="AN110" s="28">
        <v>57.784999999999997</v>
      </c>
      <c r="AO110" s="28">
        <v>58.259</v>
      </c>
      <c r="AP110" s="28">
        <v>50.081299999999999</v>
      </c>
      <c r="AQ110" s="28">
        <v>52.998399999999997</v>
      </c>
      <c r="AR110" s="28">
        <v>54.632399999999997</v>
      </c>
      <c r="AS110" s="28">
        <v>51.2455</v>
      </c>
      <c r="AT110" s="28">
        <v>1.2507999999999999</v>
      </c>
      <c r="AU110" s="28">
        <v>52.2271</v>
      </c>
      <c r="AV110" s="28">
        <v>54.683199999999999</v>
      </c>
      <c r="AW110" s="28">
        <v>59.070900000000002</v>
      </c>
      <c r="AX110" s="28">
        <v>57.896299999999997</v>
      </c>
      <c r="AY110" s="28" t="e">
        <v>#N/A</v>
      </c>
      <c r="AZ110" s="28">
        <v>51.791899999999998</v>
      </c>
      <c r="BA110" s="3">
        <v>13942.81</v>
      </c>
      <c r="BB110">
        <f>IF(ISNUMBER(VLOOKUP($B110,CEIC_DATA!$I$26:$N$353,Haver_M!BB$2,FALSE)),VLOOKUP($B110,CEIC_DATA!$I$26:$N$353,Haver_M!BB$2,FALSE),NA())</f>
        <v>87.934967819999997</v>
      </c>
      <c r="BC110">
        <f>IF(ISNUMBER(VLOOKUP($B110,CEIC_DATA!$I$26:$N$353,Haver_M!BC$2,FALSE)),VLOOKUP($B110,CEIC_DATA!$I$26:$N$353,Haver_M!BC$2,FALSE),NA())</f>
        <v>113.4</v>
      </c>
      <c r="BD110">
        <f>IF(ISNUMBER(VLOOKUP($B110,CEIC_DATA!$I$26:$N$353,Haver_M!BD$2,FALSE)),VLOOKUP($B110,CEIC_DATA!$I$26:$N$353,Haver_M!BD$2,FALSE),NA())</f>
        <v>122.1</v>
      </c>
      <c r="BE110">
        <f>IF(ISNUMBER(VLOOKUP($B110,CEIC_DATA!$I$26:$N$353,Haver_M!BE$2,FALSE)),VLOOKUP($B110,CEIC_DATA!$I$26:$N$353,Haver_M!BE$2,FALSE),NA())</f>
        <v>41.8</v>
      </c>
      <c r="BF110">
        <v>866240</v>
      </c>
      <c r="BG110">
        <v>47766</v>
      </c>
      <c r="BH110">
        <v>1135644</v>
      </c>
      <c r="BI110">
        <v>171283</v>
      </c>
      <c r="BJ110" s="3">
        <v>5529.1</v>
      </c>
      <c r="BK110" s="3">
        <v>9798.36</v>
      </c>
      <c r="BL110" s="3">
        <v>5825.94</v>
      </c>
      <c r="BM110" s="3">
        <v>23905.41</v>
      </c>
      <c r="BN110" s="3">
        <v>15789.1</v>
      </c>
      <c r="BO110" s="3">
        <v>31135.7</v>
      </c>
      <c r="BP110" s="28">
        <v>45.564</v>
      </c>
      <c r="BQ110" s="28">
        <f t="shared" si="5"/>
        <v>121.34799403037486</v>
      </c>
      <c r="BR110" s="28">
        <f t="shared" si="6"/>
        <v>215.04608901764553</v>
      </c>
      <c r="BS110" s="28">
        <f t="shared" si="7"/>
        <v>127.86278641032393</v>
      </c>
      <c r="BT110" s="28">
        <f t="shared" si="8"/>
        <v>524.65564919673432</v>
      </c>
      <c r="BU110" s="4">
        <v>29946</v>
      </c>
    </row>
    <row r="111" spans="1:73" x14ac:dyDescent="0.25">
      <c r="A111" t="s">
        <v>110</v>
      </c>
      <c r="B111" s="2">
        <v>39752</v>
      </c>
      <c r="C111" s="3">
        <v>8</v>
      </c>
      <c r="D111" s="28">
        <v>7.4808000000000003</v>
      </c>
      <c r="E111" s="34">
        <v>87.670529999999999</v>
      </c>
      <c r="F111" s="5">
        <v>73.3</v>
      </c>
      <c r="G111" s="5" t="e">
        <v>#N/A</v>
      </c>
      <c r="H111" s="3">
        <v>89.96</v>
      </c>
      <c r="I111" s="3">
        <v>85.8</v>
      </c>
      <c r="J111" s="3">
        <v>110.72</v>
      </c>
      <c r="K111" s="3">
        <v>94.62</v>
      </c>
      <c r="L111" s="3" t="e">
        <v>#N/A</v>
      </c>
      <c r="M111" s="3">
        <v>79.03</v>
      </c>
      <c r="N111" s="3">
        <v>89</v>
      </c>
      <c r="O111" s="5">
        <v>85.4</v>
      </c>
      <c r="P111" s="52">
        <v>96.495999999999995</v>
      </c>
      <c r="Q111" s="52">
        <v>89.475999999999999</v>
      </c>
      <c r="R111" s="52">
        <v>69.525000000000006</v>
      </c>
      <c r="S111" s="52">
        <v>94.200999999999993</v>
      </c>
      <c r="T111" s="52">
        <v>87.046000000000006</v>
      </c>
      <c r="U111" s="52">
        <v>74.766999999999996</v>
      </c>
      <c r="V111" s="52">
        <v>82.682000000000002</v>
      </c>
      <c r="W111" s="52">
        <v>83.718000000000004</v>
      </c>
      <c r="X111" s="3">
        <v>10736.141155970909</v>
      </c>
      <c r="Y111" s="3">
        <v>15013.6</v>
      </c>
      <c r="Z111" s="3">
        <v>24798.21</v>
      </c>
      <c r="AA111" s="4" t="e">
        <v>#N/A</v>
      </c>
      <c r="AB111" s="4" t="e">
        <v>#N/A</v>
      </c>
      <c r="AC111" s="5" t="e">
        <v>#N/A</v>
      </c>
      <c r="AD111" s="5" t="e">
        <v>#N/A</v>
      </c>
      <c r="AE111" s="34">
        <v>208.02978728895721</v>
      </c>
      <c r="AF111" s="28">
        <v>52.690899999999999</v>
      </c>
      <c r="AG111" s="28">
        <v>52.186999999999998</v>
      </c>
      <c r="AH111" s="28">
        <v>52.075499999999998</v>
      </c>
      <c r="AI111" s="28">
        <v>54.074399999999997</v>
      </c>
      <c r="AJ111" s="28">
        <v>54.3887</v>
      </c>
      <c r="AK111" s="28">
        <v>50.104399999999998</v>
      </c>
      <c r="AL111" s="28">
        <v>50.8279</v>
      </c>
      <c r="AM111" s="28">
        <v>49.5505</v>
      </c>
      <c r="AN111" s="28">
        <v>51.067599999999999</v>
      </c>
      <c r="AO111" s="28">
        <v>52.9696</v>
      </c>
      <c r="AP111" s="28">
        <v>47.994199999999999</v>
      </c>
      <c r="AQ111" s="28">
        <v>49.710999999999999</v>
      </c>
      <c r="AR111" s="28">
        <v>50.758200000000002</v>
      </c>
      <c r="AS111" s="28">
        <v>47.776600000000002</v>
      </c>
      <c r="AT111" s="28">
        <v>1.1332</v>
      </c>
      <c r="AU111" s="28">
        <v>51.450200000000002</v>
      </c>
      <c r="AV111" s="28">
        <v>51.294899999999998</v>
      </c>
      <c r="AW111" s="28">
        <v>50.334299999999999</v>
      </c>
      <c r="AX111" s="28">
        <v>54.848999999999997</v>
      </c>
      <c r="AY111" s="28" t="e">
        <v>#N/A</v>
      </c>
      <c r="AZ111" s="28">
        <v>51.279899999999998</v>
      </c>
      <c r="BA111" s="3">
        <v>10549.65</v>
      </c>
      <c r="BB111">
        <f>IF(ISNUMBER(VLOOKUP($B111,CEIC_DATA!$I$26:$N$353,Haver_M!BB$2,FALSE)),VLOOKUP($B111,CEIC_DATA!$I$26:$N$353,Haver_M!BB$2,FALSE),NA())</f>
        <v>84.193055990000005</v>
      </c>
      <c r="BC111" t="e">
        <f>IF(ISNUMBER(VLOOKUP($B111,CEIC_DATA!$I$26:$N$353,Haver_M!BC$2,FALSE)),VLOOKUP($B111,CEIC_DATA!$I$26:$N$353,Haver_M!BC$2,FALSE),NA())</f>
        <v>#N/A</v>
      </c>
      <c r="BD111" t="e">
        <f>IF(ISNUMBER(VLOOKUP($B111,CEIC_DATA!$I$26:$N$353,Haver_M!BD$2,FALSE)),VLOOKUP($B111,CEIC_DATA!$I$26:$N$353,Haver_M!BD$2,FALSE),NA())</f>
        <v>#N/A</v>
      </c>
      <c r="BE111" t="e">
        <f>IF(ISNUMBER(VLOOKUP($B111,CEIC_DATA!$I$26:$N$353,Haver_M!BE$2,FALSE)),VLOOKUP($B111,CEIC_DATA!$I$26:$N$353,Haver_M!BE$2,FALSE),NA())</f>
        <v>#N/A</v>
      </c>
      <c r="BF111">
        <v>771152</v>
      </c>
      <c r="BG111">
        <v>31762</v>
      </c>
      <c r="BH111">
        <v>1009649</v>
      </c>
      <c r="BI111">
        <v>159337</v>
      </c>
      <c r="BJ111" s="3">
        <v>5633.16</v>
      </c>
      <c r="BK111" s="3">
        <v>9976.02</v>
      </c>
      <c r="BL111" s="3">
        <v>6035.29</v>
      </c>
      <c r="BM111" s="3">
        <v>24457.66</v>
      </c>
      <c r="BN111" s="3">
        <v>14130.8</v>
      </c>
      <c r="BO111" s="3">
        <v>25869.3</v>
      </c>
      <c r="BP111" s="28">
        <v>48.642200000000003</v>
      </c>
      <c r="BQ111" s="28">
        <f t="shared" si="5"/>
        <v>115.80808433829061</v>
      </c>
      <c r="BR111" s="28">
        <f t="shared" si="6"/>
        <v>205.08981912824666</v>
      </c>
      <c r="BS111" s="28">
        <f t="shared" si="7"/>
        <v>124.07518574406585</v>
      </c>
      <c r="BT111" s="28">
        <f t="shared" si="8"/>
        <v>502.80743880827754</v>
      </c>
      <c r="BU111" s="4">
        <v>35344</v>
      </c>
    </row>
    <row r="112" spans="1:73" x14ac:dyDescent="0.25">
      <c r="A112" t="s">
        <v>111</v>
      </c>
      <c r="B112" s="2">
        <v>39782</v>
      </c>
      <c r="C112" s="3">
        <v>7.5</v>
      </c>
      <c r="D112" s="28">
        <v>7.1196999999999999</v>
      </c>
      <c r="E112" s="34">
        <v>90.932130000000001</v>
      </c>
      <c r="F112" s="5">
        <v>73.3</v>
      </c>
      <c r="G112" s="5" t="e">
        <v>#N/A</v>
      </c>
      <c r="H112" s="3">
        <v>87.48</v>
      </c>
      <c r="I112" s="3">
        <v>84.24</v>
      </c>
      <c r="J112" s="3">
        <v>105.31</v>
      </c>
      <c r="K112" s="3">
        <v>92.35</v>
      </c>
      <c r="L112" s="3" t="e">
        <v>#N/A</v>
      </c>
      <c r="M112" s="3">
        <v>65.569999999999993</v>
      </c>
      <c r="N112" s="3">
        <v>88.94</v>
      </c>
      <c r="O112" s="5">
        <v>84</v>
      </c>
      <c r="P112" s="52">
        <v>94.296999999999997</v>
      </c>
      <c r="Q112" s="52">
        <v>90.379000000000005</v>
      </c>
      <c r="R112" s="52">
        <v>70.114000000000004</v>
      </c>
      <c r="S112" s="52">
        <v>93.622</v>
      </c>
      <c r="T112" s="52">
        <v>92.381</v>
      </c>
      <c r="U112" s="52">
        <v>72.436000000000007</v>
      </c>
      <c r="V112" s="52">
        <v>81.626000000000005</v>
      </c>
      <c r="W112" s="52">
        <v>83.141000000000005</v>
      </c>
      <c r="X112" s="3">
        <v>11056.089268072941</v>
      </c>
      <c r="Y112" s="3">
        <v>12168.23</v>
      </c>
      <c r="Z112" s="3">
        <v>24086.03</v>
      </c>
      <c r="AA112" s="4" t="e">
        <v>#N/A</v>
      </c>
      <c r="AB112" s="4" t="e">
        <v>#N/A</v>
      </c>
      <c r="AC112" s="5" t="e">
        <v>#N/A</v>
      </c>
      <c r="AD112" s="5" t="e">
        <v>#N/A</v>
      </c>
      <c r="AE112" s="34">
        <v>162.88468138765001</v>
      </c>
      <c r="AF112" s="28">
        <v>42.165700000000001</v>
      </c>
      <c r="AG112" s="28">
        <v>45.756100000000004</v>
      </c>
      <c r="AH112" s="28">
        <v>41.102400000000003</v>
      </c>
      <c r="AI112" s="28">
        <v>44.555900000000001</v>
      </c>
      <c r="AJ112" s="28">
        <v>43.184199999999997</v>
      </c>
      <c r="AK112" s="28">
        <v>49.976599999999998</v>
      </c>
      <c r="AL112" s="28">
        <v>51.9086</v>
      </c>
      <c r="AM112" s="28">
        <v>44.528799999999997</v>
      </c>
      <c r="AN112" s="28">
        <v>41.8264</v>
      </c>
      <c r="AO112" s="28">
        <v>46.170699999999997</v>
      </c>
      <c r="AP112" s="28">
        <v>46.808599999999998</v>
      </c>
      <c r="AQ112" s="28">
        <v>46.7117</v>
      </c>
      <c r="AR112" s="28">
        <v>47.371200000000002</v>
      </c>
      <c r="AS112" s="28">
        <v>46.791499999999999</v>
      </c>
      <c r="AT112" s="28">
        <v>0.92259999999999998</v>
      </c>
      <c r="AU112" s="28">
        <v>48.7134</v>
      </c>
      <c r="AV112" s="28">
        <v>49.357700000000001</v>
      </c>
      <c r="AW112" s="28">
        <v>43.340899999999998</v>
      </c>
      <c r="AX112" s="28">
        <v>49.886899999999997</v>
      </c>
      <c r="AY112" s="28" t="e">
        <v>#N/A</v>
      </c>
      <c r="AZ112" s="28">
        <v>44.405000000000001</v>
      </c>
      <c r="BA112" s="3">
        <v>9453.9599999999991</v>
      </c>
      <c r="BB112">
        <f>IF(ISNUMBER(VLOOKUP($B112,CEIC_DATA!$I$26:$N$353,Haver_M!BB$2,FALSE)),VLOOKUP($B112,CEIC_DATA!$I$26:$N$353,Haver_M!BB$2,FALSE),NA())</f>
        <v>80.771541290000002</v>
      </c>
      <c r="BC112" t="e">
        <f>IF(ISNUMBER(VLOOKUP($B112,CEIC_DATA!$I$26:$N$353,Haver_M!BC$2,FALSE)),VLOOKUP($B112,CEIC_DATA!$I$26:$N$353,Haver_M!BC$2,FALSE),NA())</f>
        <v>#N/A</v>
      </c>
      <c r="BD112" t="e">
        <f>IF(ISNUMBER(VLOOKUP($B112,CEIC_DATA!$I$26:$N$353,Haver_M!BD$2,FALSE)),VLOOKUP($B112,CEIC_DATA!$I$26:$N$353,Haver_M!BD$2,FALSE),NA())</f>
        <v>#N/A</v>
      </c>
      <c r="BE112" t="e">
        <f>IF(ISNUMBER(VLOOKUP($B112,CEIC_DATA!$I$26:$N$353,Haver_M!BE$2,FALSE)),VLOOKUP($B112,CEIC_DATA!$I$26:$N$353,Haver_M!BE$2,FALSE),NA())</f>
        <v>#N/A</v>
      </c>
      <c r="BF112">
        <v>656747</v>
      </c>
      <c r="BG112">
        <v>23370</v>
      </c>
      <c r="BH112">
        <v>857700</v>
      </c>
      <c r="BI112">
        <v>134894</v>
      </c>
      <c r="BJ112" s="3">
        <v>5637.86</v>
      </c>
      <c r="BK112" s="3">
        <v>10101.75</v>
      </c>
      <c r="BL112" s="3">
        <v>6039.55</v>
      </c>
      <c r="BM112" s="3">
        <v>24604.81</v>
      </c>
      <c r="BN112" s="3">
        <v>11163.3</v>
      </c>
      <c r="BO112" s="3">
        <v>23488.2</v>
      </c>
      <c r="BP112" s="28">
        <v>49.003300000000003</v>
      </c>
      <c r="BQ112" s="28">
        <f t="shared" si="5"/>
        <v>115.05061903994219</v>
      </c>
      <c r="BR112" s="28">
        <f t="shared" si="6"/>
        <v>206.14428007909669</v>
      </c>
      <c r="BS112" s="28">
        <f t="shared" si="7"/>
        <v>123.24782208545139</v>
      </c>
      <c r="BT112" s="28">
        <f t="shared" si="8"/>
        <v>502.10516434607467</v>
      </c>
      <c r="BU112" s="4">
        <v>35455</v>
      </c>
    </row>
    <row r="113" spans="1:73" x14ac:dyDescent="0.25">
      <c r="A113" t="s">
        <v>112</v>
      </c>
      <c r="B113" s="2">
        <v>39813</v>
      </c>
      <c r="C113" s="3">
        <v>6.5</v>
      </c>
      <c r="D113" s="28">
        <v>5.3028000000000004</v>
      </c>
      <c r="E113" s="34">
        <v>90.303569999999993</v>
      </c>
      <c r="F113" s="5">
        <v>72.3</v>
      </c>
      <c r="G113" s="5" t="e">
        <v>#N/A</v>
      </c>
      <c r="H113" s="3">
        <v>85.92</v>
      </c>
      <c r="I113" s="3">
        <v>84.11</v>
      </c>
      <c r="J113" s="3">
        <v>102.35</v>
      </c>
      <c r="K113" s="3">
        <v>88.89</v>
      </c>
      <c r="L113" s="3" t="e">
        <v>#N/A</v>
      </c>
      <c r="M113" s="3">
        <v>63.41</v>
      </c>
      <c r="N113" s="3">
        <v>90.1</v>
      </c>
      <c r="O113" s="5">
        <v>83.6</v>
      </c>
      <c r="P113" s="52">
        <v>95.734999999999999</v>
      </c>
      <c r="Q113" s="52">
        <v>88.587999999999994</v>
      </c>
      <c r="R113" s="52">
        <v>69.334999999999994</v>
      </c>
      <c r="S113" s="52">
        <v>93.662000000000006</v>
      </c>
      <c r="T113" s="52">
        <v>84.879000000000005</v>
      </c>
      <c r="U113" s="52">
        <v>70.873000000000005</v>
      </c>
      <c r="V113" s="52">
        <v>83.054000000000002</v>
      </c>
      <c r="W113" s="52">
        <v>82.53</v>
      </c>
      <c r="X113" s="3">
        <v>11207.105613708296</v>
      </c>
      <c r="Y113" s="3">
        <v>13377.48</v>
      </c>
      <c r="Z113" s="3">
        <v>20494.86</v>
      </c>
      <c r="AA113" s="4" t="e">
        <v>#N/A</v>
      </c>
      <c r="AB113" s="4" t="e">
        <v>#N/A</v>
      </c>
      <c r="AC113" s="5" t="e">
        <v>#N/A</v>
      </c>
      <c r="AD113" s="5" t="e">
        <v>#N/A</v>
      </c>
      <c r="AE113" s="34">
        <v>133.57803465502946</v>
      </c>
      <c r="AF113" s="28">
        <v>45.128</v>
      </c>
      <c r="AG113" s="28">
        <v>44.366399999999999</v>
      </c>
      <c r="AH113" s="28">
        <v>47.145800000000001</v>
      </c>
      <c r="AI113" s="28">
        <v>40.592100000000002</v>
      </c>
      <c r="AJ113" s="28">
        <v>41.415700000000001</v>
      </c>
      <c r="AK113" s="28">
        <v>47.4953</v>
      </c>
      <c r="AL113" s="28">
        <v>47.967500000000001</v>
      </c>
      <c r="AM113" s="28">
        <v>44.897199999999998</v>
      </c>
      <c r="AN113" s="28">
        <v>42.012700000000002</v>
      </c>
      <c r="AO113" s="28">
        <v>44.336500000000001</v>
      </c>
      <c r="AP113" s="28">
        <v>45.570500000000003</v>
      </c>
      <c r="AQ113" s="28">
        <v>40.765000000000001</v>
      </c>
      <c r="AR113" s="28">
        <v>43.678600000000003</v>
      </c>
      <c r="AS113" s="28">
        <v>45.234900000000003</v>
      </c>
      <c r="AT113" s="28">
        <v>0.90880000000000005</v>
      </c>
      <c r="AU113" s="28">
        <v>49.628300000000003</v>
      </c>
      <c r="AV113" s="28">
        <v>46.8553</v>
      </c>
      <c r="AW113" s="28">
        <v>48.8782</v>
      </c>
      <c r="AX113" s="28">
        <v>50.669800000000002</v>
      </c>
      <c r="AY113" s="28" t="e">
        <v>#N/A</v>
      </c>
      <c r="AZ113" s="28">
        <v>48.707000000000001</v>
      </c>
      <c r="BA113" s="3">
        <v>9513.58</v>
      </c>
      <c r="BB113">
        <f>IF(ISNUMBER(VLOOKUP($B113,CEIC_DATA!$I$26:$N$353,Haver_M!BB$2,FALSE)),VLOOKUP($B113,CEIC_DATA!$I$26:$N$353,Haver_M!BB$2,FALSE),NA())</f>
        <v>78.326948920000007</v>
      </c>
      <c r="BC113">
        <f>IF(ISNUMBER(VLOOKUP($B113,CEIC_DATA!$I$26:$N$353,Haver_M!BC$2,FALSE)),VLOOKUP($B113,CEIC_DATA!$I$26:$N$353,Haver_M!BC$2,FALSE),NA())</f>
        <v>104.1</v>
      </c>
      <c r="BD113">
        <f>IF(ISNUMBER(VLOOKUP($B113,CEIC_DATA!$I$26:$N$353,Haver_M!BD$2,FALSE)),VLOOKUP($B113,CEIC_DATA!$I$26:$N$353,Haver_M!BD$2,FALSE),NA())</f>
        <v>118.9</v>
      </c>
      <c r="BE113">
        <f>IF(ISNUMBER(VLOOKUP($B113,CEIC_DATA!$I$26:$N$353,Haver_M!BE$2,FALSE)),VLOOKUP($B113,CEIC_DATA!$I$26:$N$353,Haver_M!BE$2,FALSE),NA())</f>
        <v>33.700000000000003</v>
      </c>
      <c r="BF113">
        <v>551608</v>
      </c>
      <c r="BG113">
        <v>20259</v>
      </c>
      <c r="BH113">
        <v>735499</v>
      </c>
      <c r="BI113">
        <v>127998</v>
      </c>
      <c r="BJ113" s="3">
        <v>5686.48</v>
      </c>
      <c r="BK113" s="3">
        <v>10186.1</v>
      </c>
      <c r="BL113" s="3">
        <v>5932.88</v>
      </c>
      <c r="BM113" s="3">
        <v>24698.01</v>
      </c>
      <c r="BN113" s="3">
        <v>13368.2</v>
      </c>
      <c r="BO113" s="3">
        <v>19456.3</v>
      </c>
      <c r="BP113" s="28">
        <v>48.668199999999999</v>
      </c>
      <c r="BQ113" s="28">
        <f t="shared" si="5"/>
        <v>116.84179813512725</v>
      </c>
      <c r="BR113" s="28">
        <f t="shared" si="6"/>
        <v>209.29683037383754</v>
      </c>
      <c r="BS113" s="28">
        <f t="shared" si="7"/>
        <v>121.90465231917351</v>
      </c>
      <c r="BT113" s="28">
        <f t="shared" si="8"/>
        <v>507.47736715144589</v>
      </c>
      <c r="BU113" s="4">
        <v>36189</v>
      </c>
    </row>
    <row r="114" spans="1:73" x14ac:dyDescent="0.25">
      <c r="A114" t="s">
        <v>113</v>
      </c>
      <c r="B114" s="2">
        <v>39844</v>
      </c>
      <c r="C114" s="3">
        <v>5.5</v>
      </c>
      <c r="D114" s="28">
        <v>6.0041000000000002</v>
      </c>
      <c r="E114" s="34">
        <v>91.109250000000003</v>
      </c>
      <c r="F114" s="5">
        <v>72.599999999999994</v>
      </c>
      <c r="G114" s="5" t="e">
        <v>#N/A</v>
      </c>
      <c r="H114" s="3">
        <v>84.19</v>
      </c>
      <c r="I114" s="3">
        <v>83.67</v>
      </c>
      <c r="J114" s="3">
        <v>97.73</v>
      </c>
      <c r="K114" s="3">
        <v>88.38</v>
      </c>
      <c r="L114" s="3" t="e">
        <v>#N/A</v>
      </c>
      <c r="M114" s="3">
        <v>57.9</v>
      </c>
      <c r="N114" s="3">
        <v>88.26</v>
      </c>
      <c r="O114" s="5">
        <v>83</v>
      </c>
      <c r="P114" s="52">
        <v>94.337999999999994</v>
      </c>
      <c r="Q114" s="52">
        <v>82.290999999999997</v>
      </c>
      <c r="R114" s="52">
        <v>64.268000000000001</v>
      </c>
      <c r="S114" s="52">
        <v>93.197000000000003</v>
      </c>
      <c r="T114" s="52">
        <v>76.628</v>
      </c>
      <c r="U114" s="52">
        <v>72.995000000000005</v>
      </c>
      <c r="V114" s="52">
        <v>81.728999999999999</v>
      </c>
      <c r="W114" s="52">
        <v>82.838999999999999</v>
      </c>
      <c r="X114" s="3">
        <v>11446.460264335541</v>
      </c>
      <c r="Y114" s="3">
        <v>13280.45</v>
      </c>
      <c r="Z114" s="3">
        <v>18788.71</v>
      </c>
      <c r="AA114" s="4" t="e">
        <v>#N/A</v>
      </c>
      <c r="AB114" s="4" t="e">
        <v>#N/A</v>
      </c>
      <c r="AC114" s="5" t="e">
        <v>#N/A</v>
      </c>
      <c r="AD114" s="5" t="e">
        <v>#N/A</v>
      </c>
      <c r="AE114" s="34">
        <v>116.88063045011475</v>
      </c>
      <c r="AF114" s="28">
        <v>42.733899999999998</v>
      </c>
      <c r="AG114" s="28">
        <v>46.6858</v>
      </c>
      <c r="AH114" s="28">
        <v>42.077399999999997</v>
      </c>
      <c r="AI114" s="28">
        <v>44.209699999999998</v>
      </c>
      <c r="AJ114" s="28">
        <v>46.122199999999999</v>
      </c>
      <c r="AK114" s="28">
        <v>47.844900000000003</v>
      </c>
      <c r="AL114" s="28">
        <v>50.618200000000002</v>
      </c>
      <c r="AM114" s="28">
        <v>48.204900000000002</v>
      </c>
      <c r="AN114" s="28">
        <v>41.1798</v>
      </c>
      <c r="AO114" s="28">
        <v>45.355699999999999</v>
      </c>
      <c r="AP114" s="28">
        <v>49.844799999999999</v>
      </c>
      <c r="AQ114" s="28">
        <v>45.098599999999998</v>
      </c>
      <c r="AR114" s="28">
        <v>44.423200000000001</v>
      </c>
      <c r="AS114" s="28">
        <v>44.277799999999999</v>
      </c>
      <c r="AT114" s="28">
        <v>0.92530000000000001</v>
      </c>
      <c r="AU114" s="28">
        <v>48.556699999999999</v>
      </c>
      <c r="AV114" s="28">
        <v>46.501399999999997</v>
      </c>
      <c r="AW114" s="28">
        <v>42.2789</v>
      </c>
      <c r="AX114" s="28">
        <v>48.220799999999997</v>
      </c>
      <c r="AY114" s="28" t="e">
        <v>#N/A</v>
      </c>
      <c r="AZ114" s="28">
        <v>45.318300000000001</v>
      </c>
      <c r="BA114" s="3">
        <v>9350.42</v>
      </c>
      <c r="BB114">
        <f>IF(ISNUMBER(VLOOKUP($B114,CEIC_DATA!$I$26:$N$353,Haver_M!BB$2,FALSE)),VLOOKUP($B114,CEIC_DATA!$I$26:$N$353,Haver_M!BB$2,FALSE),NA())</f>
        <v>77.584025080000004</v>
      </c>
      <c r="BC114" t="e">
        <f>IF(ISNUMBER(VLOOKUP($B114,CEIC_DATA!$I$26:$N$353,Haver_M!BC$2,FALSE)),VLOOKUP($B114,CEIC_DATA!$I$26:$N$353,Haver_M!BC$2,FALSE),NA())</f>
        <v>#N/A</v>
      </c>
      <c r="BD114" t="e">
        <f>IF(ISNUMBER(VLOOKUP($B114,CEIC_DATA!$I$26:$N$353,Haver_M!BD$2,FALSE)),VLOOKUP($B114,CEIC_DATA!$I$26:$N$353,Haver_M!BD$2,FALSE),NA())</f>
        <v>#N/A</v>
      </c>
      <c r="BE114" t="e">
        <f>IF(ISNUMBER(VLOOKUP($B114,CEIC_DATA!$I$26:$N$353,Haver_M!BE$2,FALSE)),VLOOKUP($B114,CEIC_DATA!$I$26:$N$353,Haver_M!BE$2,FALSE),NA())</f>
        <v>#N/A</v>
      </c>
      <c r="BF114">
        <v>651280</v>
      </c>
      <c r="BG114">
        <v>24924</v>
      </c>
      <c r="BH114">
        <v>872194</v>
      </c>
      <c r="BI114">
        <v>158996</v>
      </c>
      <c r="BJ114" s="3">
        <v>5576.08</v>
      </c>
      <c r="BK114" s="3">
        <v>10142.040000000001</v>
      </c>
      <c r="BL114" s="3">
        <v>6004.71</v>
      </c>
      <c r="BM114" s="3">
        <v>24663.05</v>
      </c>
      <c r="BN114" s="3">
        <v>12869</v>
      </c>
      <c r="BO114" s="3">
        <v>18228.2</v>
      </c>
      <c r="BP114" s="28">
        <v>48.830500000000001</v>
      </c>
      <c r="BQ114" s="28">
        <f t="shared" si="5"/>
        <v>114.19256407368346</v>
      </c>
      <c r="BR114" s="28">
        <f t="shared" si="6"/>
        <v>207.69887672663603</v>
      </c>
      <c r="BS114" s="28">
        <f t="shared" si="7"/>
        <v>122.97047951587635</v>
      </c>
      <c r="BT114" s="28">
        <f t="shared" si="8"/>
        <v>505.07469716672978</v>
      </c>
      <c r="BU114" s="4">
        <v>37395</v>
      </c>
    </row>
    <row r="115" spans="1:73" x14ac:dyDescent="0.25">
      <c r="A115" t="s">
        <v>114</v>
      </c>
      <c r="B115" s="2">
        <v>39872</v>
      </c>
      <c r="C115" s="3">
        <v>5.5</v>
      </c>
      <c r="D115" s="28">
        <v>6.5711000000000004</v>
      </c>
      <c r="E115" s="34">
        <v>91.731539999999995</v>
      </c>
      <c r="F115" s="5">
        <v>72.5</v>
      </c>
      <c r="G115" s="5" t="e">
        <v>#N/A</v>
      </c>
      <c r="H115" s="3">
        <v>85.2</v>
      </c>
      <c r="I115" s="3">
        <v>86.99</v>
      </c>
      <c r="J115" s="3">
        <v>84.35</v>
      </c>
      <c r="K115" s="3">
        <v>92.75</v>
      </c>
      <c r="L115" s="3" t="e">
        <v>#N/A</v>
      </c>
      <c r="M115" s="3">
        <v>70.75</v>
      </c>
      <c r="N115" s="3">
        <v>82.47</v>
      </c>
      <c r="O115" s="5">
        <v>86.4</v>
      </c>
      <c r="P115" s="52">
        <v>95.441000000000003</v>
      </c>
      <c r="Q115" s="52">
        <v>87.03</v>
      </c>
      <c r="R115" s="52">
        <v>67.033000000000001</v>
      </c>
      <c r="S115" s="52">
        <v>95.578999999999994</v>
      </c>
      <c r="T115" s="52">
        <v>78.896000000000001</v>
      </c>
      <c r="U115" s="52">
        <v>77.192999999999998</v>
      </c>
      <c r="V115" s="52">
        <v>85</v>
      </c>
      <c r="W115" s="52">
        <v>84.37</v>
      </c>
      <c r="X115" s="3">
        <v>11616.11620937107</v>
      </c>
      <c r="Y115" s="3">
        <v>12636.13</v>
      </c>
      <c r="Z115" s="3">
        <v>17345.54</v>
      </c>
      <c r="AA115" s="4" t="e">
        <v>#N/A</v>
      </c>
      <c r="AB115" s="4" t="e">
        <v>#N/A</v>
      </c>
      <c r="AC115" s="5" t="e">
        <v>#N/A</v>
      </c>
      <c r="AD115" s="5" t="e">
        <v>#N/A</v>
      </c>
      <c r="AE115" s="34">
        <v>120.11623436874027</v>
      </c>
      <c r="AF115" s="28">
        <v>41.991100000000003</v>
      </c>
      <c r="AG115" s="28">
        <v>47.030500000000004</v>
      </c>
      <c r="AH115" s="28">
        <v>40.304299999999998</v>
      </c>
      <c r="AI115" s="28">
        <v>45.782899999999998</v>
      </c>
      <c r="AJ115" s="28">
        <v>45.861800000000002</v>
      </c>
      <c r="AK115" s="28">
        <v>49.054000000000002</v>
      </c>
      <c r="AL115" s="28">
        <v>51.4131</v>
      </c>
      <c r="AM115" s="28">
        <v>47.273499999999999</v>
      </c>
      <c r="AN115" s="28">
        <v>42.478400000000001</v>
      </c>
      <c r="AO115" s="28">
        <v>47.910499999999999</v>
      </c>
      <c r="AP115" s="28">
        <v>45.027099999999997</v>
      </c>
      <c r="AQ115" s="28">
        <v>44.499200000000002</v>
      </c>
      <c r="AR115" s="28">
        <v>46.126899999999999</v>
      </c>
      <c r="AS115" s="28">
        <v>47.307200000000002</v>
      </c>
      <c r="AT115" s="28">
        <v>1.0185</v>
      </c>
      <c r="AU115" s="28">
        <v>48.508400000000002</v>
      </c>
      <c r="AV115" s="28">
        <v>48.060600000000001</v>
      </c>
      <c r="AW115" s="28">
        <v>41.773400000000002</v>
      </c>
      <c r="AX115" s="28">
        <v>49.186500000000002</v>
      </c>
      <c r="AY115" s="28" t="e">
        <v>#N/A</v>
      </c>
      <c r="AZ115" s="28">
        <v>46.555199999999999</v>
      </c>
      <c r="BA115" s="3">
        <v>9188.0300000000007</v>
      </c>
      <c r="BB115">
        <f>IF(ISNUMBER(VLOOKUP($B115,CEIC_DATA!$I$26:$N$353,Haver_M!BB$2,FALSE)),VLOOKUP($B115,CEIC_DATA!$I$26:$N$353,Haver_M!BB$2,FALSE),NA())</f>
        <v>78.360413469999997</v>
      </c>
      <c r="BC115" t="e">
        <f>IF(ISNUMBER(VLOOKUP($B115,CEIC_DATA!$I$26:$N$353,Haver_M!BC$2,FALSE)),VLOOKUP($B115,CEIC_DATA!$I$26:$N$353,Haver_M!BC$2,FALSE),NA())</f>
        <v>#N/A</v>
      </c>
      <c r="BD115" t="e">
        <f>IF(ISNUMBER(VLOOKUP($B115,CEIC_DATA!$I$26:$N$353,Haver_M!BD$2,FALSE)),VLOOKUP($B115,CEIC_DATA!$I$26:$N$353,Haver_M!BD$2,FALSE),NA())</f>
        <v>#N/A</v>
      </c>
      <c r="BE115" t="e">
        <f>IF(ISNUMBER(VLOOKUP($B115,CEIC_DATA!$I$26:$N$353,Haver_M!BE$2,FALSE)),VLOOKUP($B115,CEIC_DATA!$I$26:$N$353,Haver_M!BE$2,FALSE),NA())</f>
        <v>#N/A</v>
      </c>
      <c r="BF115">
        <v>703348</v>
      </c>
      <c r="BG115">
        <v>33028</v>
      </c>
      <c r="BH115">
        <v>947269</v>
      </c>
      <c r="BI115">
        <v>171444</v>
      </c>
      <c r="BJ115" s="3">
        <v>5553.92</v>
      </c>
      <c r="BK115" s="3">
        <v>10398.209999999999</v>
      </c>
      <c r="BL115" s="3">
        <v>5997.18</v>
      </c>
      <c r="BM115" s="3">
        <v>24926.85</v>
      </c>
      <c r="BN115" s="3">
        <v>11940.9</v>
      </c>
      <c r="BO115" s="3">
        <v>15062.2</v>
      </c>
      <c r="BP115" s="28">
        <v>49.222200000000001</v>
      </c>
      <c r="BQ115" s="28">
        <f t="shared" si="5"/>
        <v>112.83364010548085</v>
      </c>
      <c r="BR115" s="28">
        <f t="shared" si="6"/>
        <v>211.25041139973425</v>
      </c>
      <c r="BS115" s="28">
        <f t="shared" si="7"/>
        <v>121.83892633811573</v>
      </c>
      <c r="BT115" s="28">
        <f t="shared" si="8"/>
        <v>506.41478844911438</v>
      </c>
      <c r="BU115" s="4">
        <v>37067</v>
      </c>
    </row>
    <row r="116" spans="1:73" x14ac:dyDescent="0.25">
      <c r="A116" t="s">
        <v>115</v>
      </c>
      <c r="B116" s="2">
        <v>39903</v>
      </c>
      <c r="C116" s="3">
        <v>5</v>
      </c>
      <c r="D116" s="28">
        <v>7.0414000000000003</v>
      </c>
      <c r="E116" s="34">
        <v>88.403819999999996</v>
      </c>
      <c r="F116" s="5">
        <v>72.8</v>
      </c>
      <c r="G116" s="5" t="e">
        <v>#N/A</v>
      </c>
      <c r="H116" s="3">
        <v>84.7</v>
      </c>
      <c r="I116" s="3">
        <v>85.81</v>
      </c>
      <c r="J116" s="3">
        <v>82.9</v>
      </c>
      <c r="K116" s="3">
        <v>93.29</v>
      </c>
      <c r="L116" s="3" t="e">
        <v>#N/A</v>
      </c>
      <c r="M116" s="3">
        <v>79.75</v>
      </c>
      <c r="N116" s="3">
        <v>78.400000000000006</v>
      </c>
      <c r="O116" s="5">
        <v>86.1</v>
      </c>
      <c r="P116" s="52">
        <v>93.525999999999996</v>
      </c>
      <c r="Q116" s="52">
        <v>87.613</v>
      </c>
      <c r="R116" s="52">
        <v>69.909000000000006</v>
      </c>
      <c r="S116" s="52">
        <v>95.277000000000001</v>
      </c>
      <c r="T116" s="52">
        <v>91</v>
      </c>
      <c r="U116" s="52">
        <v>76.287000000000006</v>
      </c>
      <c r="V116" s="52">
        <v>84.49</v>
      </c>
      <c r="W116" s="52">
        <v>84.915000000000006</v>
      </c>
      <c r="X116" s="3">
        <v>11626.951367801719</v>
      </c>
      <c r="Y116" s="3">
        <v>10971.19</v>
      </c>
      <c r="Z116" s="3">
        <v>17268.25</v>
      </c>
      <c r="AA116" s="4" t="e">
        <v>#N/A</v>
      </c>
      <c r="AB116" s="4" t="e">
        <v>#N/A</v>
      </c>
      <c r="AC116" s="5" t="e">
        <v>#N/A</v>
      </c>
      <c r="AD116" s="5" t="e">
        <v>#N/A</v>
      </c>
      <c r="AE116" s="34">
        <v>147.69911851719098</v>
      </c>
      <c r="AF116" s="28">
        <v>45.420200000000001</v>
      </c>
      <c r="AG116" s="28">
        <v>49.462699999999998</v>
      </c>
      <c r="AH116" s="28">
        <v>43.689900000000002</v>
      </c>
      <c r="AI116" s="28">
        <v>49.309800000000003</v>
      </c>
      <c r="AJ116" s="28">
        <v>49.5167</v>
      </c>
      <c r="AK116" s="28">
        <v>49.391800000000003</v>
      </c>
      <c r="AL116" s="28">
        <v>50.801699999999997</v>
      </c>
      <c r="AM116" s="28">
        <v>50.221899999999998</v>
      </c>
      <c r="AN116" s="28">
        <v>48.249899999999997</v>
      </c>
      <c r="AO116" s="28">
        <v>49.838700000000003</v>
      </c>
      <c r="AP116" s="28">
        <v>48.610999999999997</v>
      </c>
      <c r="AQ116" s="28">
        <v>43.640300000000003</v>
      </c>
      <c r="AR116" s="28">
        <v>47.561500000000002</v>
      </c>
      <c r="AS116" s="28">
        <v>49.557899999999997</v>
      </c>
      <c r="AT116" s="28">
        <v>1.0185999999999999</v>
      </c>
      <c r="AU116" s="28">
        <v>49.7104</v>
      </c>
      <c r="AV116" s="28">
        <v>48.220300000000002</v>
      </c>
      <c r="AW116" s="28">
        <v>45.092599999999997</v>
      </c>
      <c r="AX116" s="28">
        <v>49.018799999999999</v>
      </c>
      <c r="AY116" s="28" t="e">
        <v>#N/A</v>
      </c>
      <c r="AZ116" s="28">
        <v>44.758899999999997</v>
      </c>
      <c r="BA116" s="3">
        <v>8995.4500000000007</v>
      </c>
      <c r="BB116">
        <f>IF(ISNUMBER(VLOOKUP($B116,CEIC_DATA!$I$26:$N$353,Haver_M!BB$2,FALSE)),VLOOKUP($B116,CEIC_DATA!$I$26:$N$353,Haver_M!BB$2,FALSE),NA())</f>
        <v>80.362220219999998</v>
      </c>
      <c r="BC116">
        <f>IF(ISNUMBER(VLOOKUP($B116,CEIC_DATA!$I$26:$N$353,Haver_M!BC$2,FALSE)),VLOOKUP($B116,CEIC_DATA!$I$26:$N$353,Haver_M!BC$2,FALSE),NA())</f>
        <v>82.6</v>
      </c>
      <c r="BD116">
        <f>IF(ISNUMBER(VLOOKUP($B116,CEIC_DATA!$I$26:$N$353,Haver_M!BD$2,FALSE)),VLOOKUP($B116,CEIC_DATA!$I$26:$N$353,Haver_M!BD$2,FALSE),NA())</f>
        <v>111.9</v>
      </c>
      <c r="BE116">
        <f>IF(ISNUMBER(VLOOKUP($B116,CEIC_DATA!$I$26:$N$353,Haver_M!BE$2,FALSE)),VLOOKUP($B116,CEIC_DATA!$I$26:$N$353,Haver_M!BE$2,FALSE),NA())</f>
        <v>21.1</v>
      </c>
      <c r="BF116">
        <v>723531</v>
      </c>
      <c r="BG116">
        <v>44645</v>
      </c>
      <c r="BH116">
        <v>1007945</v>
      </c>
      <c r="BI116">
        <v>198945</v>
      </c>
      <c r="BJ116" s="3">
        <v>5624.79</v>
      </c>
      <c r="BK116" s="3">
        <v>10543.9</v>
      </c>
      <c r="BL116" s="3">
        <v>6462.99</v>
      </c>
      <c r="BM116" s="3">
        <v>26018.25</v>
      </c>
      <c r="BN116" s="3">
        <v>12916.3</v>
      </c>
      <c r="BO116" s="3">
        <v>16596.599999999999</v>
      </c>
      <c r="BP116" s="28">
        <v>51.2316</v>
      </c>
      <c r="BQ116" s="28">
        <f t="shared" si="5"/>
        <v>109.79141779682851</v>
      </c>
      <c r="BR116" s="28">
        <f t="shared" si="6"/>
        <v>205.80852442633062</v>
      </c>
      <c r="BS116" s="28">
        <f t="shared" si="7"/>
        <v>126.15241374464198</v>
      </c>
      <c r="BT116" s="28">
        <f t="shared" si="8"/>
        <v>507.85550324409155</v>
      </c>
      <c r="BU116" s="4">
        <v>35582</v>
      </c>
    </row>
    <row r="117" spans="1:73" x14ac:dyDescent="0.25">
      <c r="A117" t="s">
        <v>116</v>
      </c>
      <c r="B117" s="2">
        <v>39933</v>
      </c>
      <c r="C117" s="3">
        <v>4.75</v>
      </c>
      <c r="D117" s="28">
        <v>6.2923</v>
      </c>
      <c r="E117" s="34">
        <v>89.904859999999999</v>
      </c>
      <c r="F117" s="5">
        <v>73.5</v>
      </c>
      <c r="G117" s="5" t="e">
        <v>#N/A</v>
      </c>
      <c r="H117" s="3">
        <v>87.14</v>
      </c>
      <c r="I117" s="3">
        <v>85.77</v>
      </c>
      <c r="J117" s="3">
        <v>89.69</v>
      </c>
      <c r="K117" s="3">
        <v>93.38</v>
      </c>
      <c r="L117" s="3" t="e">
        <v>#N/A</v>
      </c>
      <c r="M117" s="3">
        <v>76.97</v>
      </c>
      <c r="N117" s="3">
        <v>86.01</v>
      </c>
      <c r="O117" s="5">
        <v>86.2</v>
      </c>
      <c r="P117" s="52">
        <v>99.986000000000004</v>
      </c>
      <c r="Q117" s="52">
        <v>87.216999999999999</v>
      </c>
      <c r="R117" s="52">
        <v>76.036000000000001</v>
      </c>
      <c r="S117" s="52">
        <v>92.399000000000001</v>
      </c>
      <c r="T117" s="52">
        <v>95.754000000000005</v>
      </c>
      <c r="U117" s="52">
        <v>73.715000000000003</v>
      </c>
      <c r="V117" s="52">
        <v>85.957999999999998</v>
      </c>
      <c r="W117" s="52">
        <v>85.278000000000006</v>
      </c>
      <c r="X117" s="3">
        <v>11342.477510772167</v>
      </c>
      <c r="Y117" s="3">
        <v>12494.41</v>
      </c>
      <c r="Z117" s="3">
        <v>18835.88</v>
      </c>
      <c r="AA117" s="4" t="e">
        <v>#N/A</v>
      </c>
      <c r="AB117" s="4" t="e">
        <v>#N/A</v>
      </c>
      <c r="AC117" s="5" t="e">
        <v>#N/A</v>
      </c>
      <c r="AD117" s="5" t="e">
        <v>#N/A</v>
      </c>
      <c r="AE117" s="34">
        <v>131.29335185529325</v>
      </c>
      <c r="AF117" s="28">
        <v>48.918500000000002</v>
      </c>
      <c r="AG117" s="28">
        <v>53.271000000000001</v>
      </c>
      <c r="AH117" s="28">
        <v>45.902000000000001</v>
      </c>
      <c r="AI117" s="28">
        <v>55.699599999999997</v>
      </c>
      <c r="AJ117" s="28">
        <v>54.869700000000002</v>
      </c>
      <c r="AK117" s="28">
        <v>49.560299999999998</v>
      </c>
      <c r="AL117" s="28">
        <v>50.239400000000003</v>
      </c>
      <c r="AM117" s="28">
        <v>55.0901</v>
      </c>
      <c r="AN117" s="28">
        <v>52.441299999999998</v>
      </c>
      <c r="AO117" s="28">
        <v>53.304600000000001</v>
      </c>
      <c r="AP117" s="28">
        <v>53.257599999999996</v>
      </c>
      <c r="AQ117" s="28">
        <v>50.692500000000003</v>
      </c>
      <c r="AR117" s="28">
        <v>49.200099999999999</v>
      </c>
      <c r="AS117" s="28">
        <v>50.9163</v>
      </c>
      <c r="AT117" s="28">
        <v>1.0303</v>
      </c>
      <c r="AU117" s="28">
        <v>50.098199999999999</v>
      </c>
      <c r="AV117" s="28">
        <v>48.655099999999997</v>
      </c>
      <c r="AW117" s="28">
        <v>46.718800000000002</v>
      </c>
      <c r="AX117" s="28">
        <v>51.469700000000003</v>
      </c>
      <c r="AY117" s="28" t="e">
        <v>#N/A</v>
      </c>
      <c r="AZ117" s="28">
        <v>48.251800000000003</v>
      </c>
      <c r="BA117" s="3">
        <v>10911.2</v>
      </c>
      <c r="BB117">
        <f>IF(ISNUMBER(VLOOKUP($B117,CEIC_DATA!$I$26:$N$353,Haver_M!BB$2,FALSE)),VLOOKUP($B117,CEIC_DATA!$I$26:$N$353,Haver_M!BB$2,FALSE),NA())</f>
        <v>83.170120740000002</v>
      </c>
      <c r="BC117" t="e">
        <f>IF(ISNUMBER(VLOOKUP($B117,CEIC_DATA!$I$26:$N$353,Haver_M!BC$2,FALSE)),VLOOKUP($B117,CEIC_DATA!$I$26:$N$353,Haver_M!BC$2,FALSE),NA())</f>
        <v>#N/A</v>
      </c>
      <c r="BD117" t="e">
        <f>IF(ISNUMBER(VLOOKUP($B117,CEIC_DATA!$I$26:$N$353,Haver_M!BD$2,FALSE)),VLOOKUP($B117,CEIC_DATA!$I$26:$N$353,Haver_M!BD$2,FALSE),NA())</f>
        <v>#N/A</v>
      </c>
      <c r="BE117" t="e">
        <f>IF(ISNUMBER(VLOOKUP($B117,CEIC_DATA!$I$26:$N$353,Haver_M!BE$2,FALSE)),VLOOKUP($B117,CEIC_DATA!$I$26:$N$353,Haver_M!BE$2,FALSE),NA())</f>
        <v>#N/A</v>
      </c>
      <c r="BF117">
        <v>768254</v>
      </c>
      <c r="BG117">
        <v>31513</v>
      </c>
      <c r="BH117">
        <v>1001804</v>
      </c>
      <c r="BI117">
        <v>165485</v>
      </c>
      <c r="BJ117" s="3">
        <v>5591.6</v>
      </c>
      <c r="BK117" s="3">
        <v>10449.83</v>
      </c>
      <c r="BL117" s="3">
        <v>6353.77</v>
      </c>
      <c r="BM117" s="3">
        <v>25711.17</v>
      </c>
      <c r="BN117" s="3">
        <v>12475.7</v>
      </c>
      <c r="BO117" s="3">
        <v>19340.7</v>
      </c>
      <c r="BP117" s="28">
        <v>50.061900000000001</v>
      </c>
      <c r="BQ117" s="28">
        <f t="shared" si="5"/>
        <v>111.69372317071466</v>
      </c>
      <c r="BR117" s="28">
        <f t="shared" si="6"/>
        <v>208.7381821305224</v>
      </c>
      <c r="BS117" s="28">
        <f t="shared" si="7"/>
        <v>126.91827517533294</v>
      </c>
      <c r="BT117" s="28">
        <f t="shared" si="8"/>
        <v>513.58757857772071</v>
      </c>
      <c r="BU117" s="4">
        <v>51823</v>
      </c>
    </row>
    <row r="118" spans="1:73" x14ac:dyDescent="0.25">
      <c r="A118" t="s">
        <v>117</v>
      </c>
      <c r="B118" s="2">
        <v>39964</v>
      </c>
      <c r="C118" s="3">
        <v>4.75</v>
      </c>
      <c r="D118" s="28">
        <v>6.7527999999999997</v>
      </c>
      <c r="E118" s="34">
        <v>91.107060000000004</v>
      </c>
      <c r="F118" s="5">
        <v>74.3</v>
      </c>
      <c r="G118" s="5" t="e">
        <v>#N/A</v>
      </c>
      <c r="H118" s="3">
        <v>88.24</v>
      </c>
      <c r="I118" s="3">
        <v>86.13</v>
      </c>
      <c r="J118" s="3">
        <v>96.81</v>
      </c>
      <c r="K118" s="3">
        <v>93.54</v>
      </c>
      <c r="L118" s="3" t="e">
        <v>#N/A</v>
      </c>
      <c r="M118" s="3">
        <v>76.64</v>
      </c>
      <c r="N118" s="3">
        <v>88.48</v>
      </c>
      <c r="O118" s="5">
        <v>86.4</v>
      </c>
      <c r="P118" s="52">
        <v>97.661000000000001</v>
      </c>
      <c r="Q118" s="52">
        <v>87.346999999999994</v>
      </c>
      <c r="R118" s="52">
        <v>84.754000000000005</v>
      </c>
      <c r="S118" s="52">
        <v>90.837999999999994</v>
      </c>
      <c r="T118" s="52">
        <v>100.087</v>
      </c>
      <c r="U118" s="52">
        <v>77.156000000000006</v>
      </c>
      <c r="V118" s="52">
        <v>86.05</v>
      </c>
      <c r="W118" s="52">
        <v>84.372</v>
      </c>
      <c r="X118" s="3">
        <v>11030.725912564927</v>
      </c>
      <c r="Y118" s="3">
        <v>12159.7</v>
      </c>
      <c r="Z118" s="3">
        <v>18621.189999999999</v>
      </c>
      <c r="AA118" s="4" t="e">
        <v>#N/A</v>
      </c>
      <c r="AB118" s="4" t="e">
        <v>#N/A</v>
      </c>
      <c r="AC118" s="5" t="e">
        <v>#N/A</v>
      </c>
      <c r="AD118" s="5" t="e">
        <v>#N/A</v>
      </c>
      <c r="AE118" s="34">
        <v>124.1356671738758</v>
      </c>
      <c r="AF118" s="28">
        <v>53.549100000000003</v>
      </c>
      <c r="AG118" s="28">
        <v>55.737000000000002</v>
      </c>
      <c r="AH118" s="28">
        <v>50.859400000000001</v>
      </c>
      <c r="AI118" s="28">
        <v>59.595700000000001</v>
      </c>
      <c r="AJ118" s="28">
        <v>59.1432</v>
      </c>
      <c r="AK118" s="28">
        <v>50.267899999999997</v>
      </c>
      <c r="AL118" s="28">
        <v>50.042700000000004</v>
      </c>
      <c r="AM118" s="28">
        <v>55.479100000000003</v>
      </c>
      <c r="AN118" s="28">
        <v>54.4758</v>
      </c>
      <c r="AO118" s="28">
        <v>58.781100000000002</v>
      </c>
      <c r="AP118" s="28">
        <v>52.205800000000004</v>
      </c>
      <c r="AQ118" s="28">
        <v>49.942700000000002</v>
      </c>
      <c r="AR118" s="28">
        <v>49.304900000000004</v>
      </c>
      <c r="AS118" s="28">
        <v>51.178899999999999</v>
      </c>
      <c r="AT118" s="28">
        <v>1.1329</v>
      </c>
      <c r="AU118" s="28">
        <v>51.0062</v>
      </c>
      <c r="AV118" s="28">
        <v>50.165100000000002</v>
      </c>
      <c r="AW118" s="28">
        <v>50.819499999999998</v>
      </c>
      <c r="AX118" s="28">
        <v>52.087600000000002</v>
      </c>
      <c r="AY118" s="28" t="e">
        <v>#N/A</v>
      </c>
      <c r="AZ118" s="28">
        <v>50.078800000000001</v>
      </c>
      <c r="BA118" s="3">
        <v>13046.14</v>
      </c>
      <c r="BB118">
        <f>IF(ISNUMBER(VLOOKUP($B118,CEIC_DATA!$I$26:$N$353,Haver_M!BB$2,FALSE)),VLOOKUP($B118,CEIC_DATA!$I$26:$N$353,Haver_M!BB$2,FALSE),NA())</f>
        <v>86.433091129999994</v>
      </c>
      <c r="BC118" t="e">
        <f>IF(ISNUMBER(VLOOKUP($B118,CEIC_DATA!$I$26:$N$353,Haver_M!BC$2,FALSE)),VLOOKUP($B118,CEIC_DATA!$I$26:$N$353,Haver_M!BC$2,FALSE),NA())</f>
        <v>#N/A</v>
      </c>
      <c r="BD118" t="e">
        <f>IF(ISNUMBER(VLOOKUP($B118,CEIC_DATA!$I$26:$N$353,Haver_M!BD$2,FALSE)),VLOOKUP($B118,CEIC_DATA!$I$26:$N$353,Haver_M!BD$2,FALSE),NA())</f>
        <v>#N/A</v>
      </c>
      <c r="BE118" t="e">
        <f>IF(ISNUMBER(VLOOKUP($B118,CEIC_DATA!$I$26:$N$353,Haver_M!BE$2,FALSE)),VLOOKUP($B118,CEIC_DATA!$I$26:$N$353,Haver_M!BE$2,FALSE),NA())</f>
        <v>#N/A</v>
      </c>
      <c r="BF118">
        <v>808071</v>
      </c>
      <c r="BG118">
        <v>33075</v>
      </c>
      <c r="BH118">
        <v>1049666</v>
      </c>
      <c r="BI118">
        <v>170908</v>
      </c>
      <c r="BJ118" s="3">
        <v>5579.09</v>
      </c>
      <c r="BK118" s="3">
        <v>10404.469999999999</v>
      </c>
      <c r="BL118" s="3">
        <v>6297.59</v>
      </c>
      <c r="BM118" s="3">
        <v>25582.46</v>
      </c>
      <c r="BN118" s="3">
        <v>12316.5</v>
      </c>
      <c r="BO118" s="3">
        <v>20036.400000000001</v>
      </c>
      <c r="BP118" s="28">
        <v>48.533999999999999</v>
      </c>
      <c r="BQ118" s="28">
        <f t="shared" si="5"/>
        <v>114.95219845881239</v>
      </c>
      <c r="BR118" s="28">
        <f t="shared" si="6"/>
        <v>214.37487122429636</v>
      </c>
      <c r="BS118" s="28">
        <f t="shared" si="7"/>
        <v>129.75625334816829</v>
      </c>
      <c r="BT118" s="28">
        <f t="shared" si="8"/>
        <v>527.10388593563277</v>
      </c>
      <c r="BU118" s="4">
        <v>54826</v>
      </c>
    </row>
    <row r="119" spans="1:73" x14ac:dyDescent="0.25">
      <c r="A119" t="s">
        <v>118</v>
      </c>
      <c r="B119" s="2">
        <v>39994</v>
      </c>
      <c r="C119" s="3">
        <v>4.75</v>
      </c>
      <c r="D119" s="28">
        <v>6.9535999999999998</v>
      </c>
      <c r="E119" s="34">
        <v>91.891369999999995</v>
      </c>
      <c r="F119" s="5">
        <v>75.099999999999994</v>
      </c>
      <c r="G119" s="5" t="e">
        <v>#N/A</v>
      </c>
      <c r="H119" s="3">
        <v>88.77</v>
      </c>
      <c r="I119" s="3">
        <v>88.01</v>
      </c>
      <c r="J119" s="3">
        <v>95.64</v>
      </c>
      <c r="K119" s="3">
        <v>95.44</v>
      </c>
      <c r="L119" s="3" t="e">
        <v>#N/A</v>
      </c>
      <c r="M119" s="3">
        <v>76.14</v>
      </c>
      <c r="N119" s="3">
        <v>87.38</v>
      </c>
      <c r="O119" s="5">
        <v>89.7</v>
      </c>
      <c r="P119" s="52">
        <v>99.838999999999999</v>
      </c>
      <c r="Q119" s="52">
        <v>88.168000000000006</v>
      </c>
      <c r="R119" s="52">
        <v>93.188000000000002</v>
      </c>
      <c r="S119" s="52">
        <v>93.912999999999997</v>
      </c>
      <c r="T119" s="52">
        <v>106.194</v>
      </c>
      <c r="U119" s="52">
        <v>81.346000000000004</v>
      </c>
      <c r="V119" s="52">
        <v>88.412999999999997</v>
      </c>
      <c r="W119" s="52">
        <v>86.968000000000004</v>
      </c>
      <c r="X119" s="3">
        <v>11680.682666074843</v>
      </c>
      <c r="Y119" s="3">
        <v>13136.08</v>
      </c>
      <c r="Z119" s="3">
        <v>22776.1</v>
      </c>
      <c r="AA119" s="4" t="e">
        <v>#N/A</v>
      </c>
      <c r="AB119" s="4" t="e">
        <v>#N/A</v>
      </c>
      <c r="AC119" s="5" t="e">
        <v>#N/A</v>
      </c>
      <c r="AD119" s="5" t="e">
        <v>#N/A</v>
      </c>
      <c r="AE119" s="34">
        <v>103.0265438746794</v>
      </c>
      <c r="AF119" s="28">
        <v>54.696100000000001</v>
      </c>
      <c r="AG119" s="28">
        <v>55.335000000000001</v>
      </c>
      <c r="AH119" s="28">
        <v>53.458300000000001</v>
      </c>
      <c r="AI119" s="28">
        <v>57.4786</v>
      </c>
      <c r="AJ119" s="28">
        <v>58.561999999999998</v>
      </c>
      <c r="AK119" s="28">
        <v>50.5886</v>
      </c>
      <c r="AL119" s="28">
        <v>49.140700000000002</v>
      </c>
      <c r="AM119" s="28">
        <v>56.501800000000003</v>
      </c>
      <c r="AN119" s="28">
        <v>53.300400000000003</v>
      </c>
      <c r="AO119" s="28">
        <v>56.9345</v>
      </c>
      <c r="AP119" s="28">
        <v>50.151699999999998</v>
      </c>
      <c r="AQ119" s="28">
        <v>52.064300000000003</v>
      </c>
      <c r="AR119" s="28">
        <v>51.758299999999998</v>
      </c>
      <c r="AS119" s="28">
        <v>49.720300000000002</v>
      </c>
      <c r="AT119" s="28">
        <v>1.1677</v>
      </c>
      <c r="AU119" s="28">
        <v>50.363399999999999</v>
      </c>
      <c r="AV119" s="28">
        <v>50.011699999999998</v>
      </c>
      <c r="AW119" s="28">
        <v>55.045900000000003</v>
      </c>
      <c r="AX119" s="28">
        <v>53.163499999999999</v>
      </c>
      <c r="AY119" s="28" t="e">
        <v>#N/A</v>
      </c>
      <c r="AZ119" s="28">
        <v>52.811999999999998</v>
      </c>
      <c r="BA119" s="3">
        <v>14782.47</v>
      </c>
      <c r="BB119">
        <f>IF(ISNUMBER(VLOOKUP($B119,CEIC_DATA!$I$26:$N$353,Haver_M!BB$2,FALSE)),VLOOKUP($B119,CEIC_DATA!$I$26:$N$353,Haver_M!BB$2,FALSE),NA())</f>
        <v>89.840130380000005</v>
      </c>
      <c r="BC119">
        <f>IF(ISNUMBER(VLOOKUP($B119,CEIC_DATA!$I$26:$N$353,Haver_M!BC$2,FALSE)),VLOOKUP($B119,CEIC_DATA!$I$26:$N$353,Haver_M!BC$2,FALSE),NA())</f>
        <v>99.4</v>
      </c>
      <c r="BD119">
        <f>IF(ISNUMBER(VLOOKUP($B119,CEIC_DATA!$I$26:$N$353,Haver_M!BD$2,FALSE)),VLOOKUP($B119,CEIC_DATA!$I$26:$N$353,Haver_M!BD$2,FALSE),NA())</f>
        <v>96.4</v>
      </c>
      <c r="BE119">
        <f>IF(ISNUMBER(VLOOKUP($B119,CEIC_DATA!$I$26:$N$353,Haver_M!BE$2,FALSE)),VLOOKUP($B119,CEIC_DATA!$I$26:$N$353,Haver_M!BE$2,FALSE),NA())</f>
        <v>11.2</v>
      </c>
      <c r="BF119">
        <v>794042</v>
      </c>
      <c r="BG119">
        <v>39256</v>
      </c>
      <c r="BH119">
        <v>1056505</v>
      </c>
      <c r="BI119">
        <v>179045</v>
      </c>
      <c r="BJ119" s="3">
        <v>5563.93</v>
      </c>
      <c r="BK119" s="3">
        <v>10580.85</v>
      </c>
      <c r="BL119" s="3">
        <v>6350.97</v>
      </c>
      <c r="BM119" s="3">
        <v>25800.880000000001</v>
      </c>
      <c r="BN119" s="3">
        <v>13606.3</v>
      </c>
      <c r="BO119" s="3">
        <v>23055</v>
      </c>
      <c r="BP119" s="28">
        <v>47.773600000000002</v>
      </c>
      <c r="BQ119" s="28">
        <f t="shared" si="5"/>
        <v>116.4645327126279</v>
      </c>
      <c r="BR119" s="28">
        <f t="shared" si="6"/>
        <v>221.47901770015238</v>
      </c>
      <c r="BS119" s="28">
        <f t="shared" si="7"/>
        <v>132.93890349481723</v>
      </c>
      <c r="BT119" s="28">
        <f t="shared" si="8"/>
        <v>540.06564294924397</v>
      </c>
      <c r="BU119" s="4">
        <v>53183</v>
      </c>
    </row>
    <row r="120" spans="1:73" x14ac:dyDescent="0.25">
      <c r="A120" t="s">
        <v>119</v>
      </c>
      <c r="B120" s="2">
        <v>40025</v>
      </c>
      <c r="C120" s="3">
        <v>4.75</v>
      </c>
      <c r="D120" s="28">
        <v>6.9926000000000004</v>
      </c>
      <c r="E120" s="34">
        <v>91.153270000000006</v>
      </c>
      <c r="F120" s="5">
        <v>77.8</v>
      </c>
      <c r="G120" s="5" t="e">
        <v>#N/A</v>
      </c>
      <c r="H120" s="3">
        <v>90.06</v>
      </c>
      <c r="I120" s="3">
        <v>87.81</v>
      </c>
      <c r="J120" s="3">
        <v>93.7</v>
      </c>
      <c r="K120" s="3">
        <v>96.38</v>
      </c>
      <c r="L120" s="3" t="e">
        <v>#N/A</v>
      </c>
      <c r="M120" s="3">
        <v>80.37</v>
      </c>
      <c r="N120" s="3">
        <v>92.3</v>
      </c>
      <c r="O120" s="5">
        <v>88.4</v>
      </c>
      <c r="P120" s="52">
        <v>97.778000000000006</v>
      </c>
      <c r="Q120" s="52">
        <v>87.272000000000006</v>
      </c>
      <c r="R120" s="52">
        <v>95.007000000000005</v>
      </c>
      <c r="S120" s="52">
        <v>87.058000000000007</v>
      </c>
      <c r="T120" s="52">
        <v>98.382000000000005</v>
      </c>
      <c r="U120" s="52">
        <v>85.543999999999997</v>
      </c>
      <c r="V120" s="52">
        <v>88.650999999999996</v>
      </c>
      <c r="W120" s="52">
        <v>85.656999999999996</v>
      </c>
      <c r="X120" s="3">
        <v>11539.119987383952</v>
      </c>
      <c r="Y120" s="3">
        <v>13877.3</v>
      </c>
      <c r="Z120" s="3">
        <v>20512.72</v>
      </c>
      <c r="AA120" s="4" t="e">
        <v>#N/A</v>
      </c>
      <c r="AB120" s="4" t="e">
        <v>#N/A</v>
      </c>
      <c r="AC120" s="5" t="e">
        <v>#N/A</v>
      </c>
      <c r="AD120" s="5" t="e">
        <v>#N/A</v>
      </c>
      <c r="AE120" s="34">
        <v>127.96061244775191</v>
      </c>
      <c r="AF120" s="28">
        <v>55.565100000000001</v>
      </c>
      <c r="AG120" s="28">
        <v>55.4099</v>
      </c>
      <c r="AH120" s="28">
        <v>54.744</v>
      </c>
      <c r="AI120" s="28">
        <v>57.410899999999998</v>
      </c>
      <c r="AJ120" s="28">
        <v>59.968200000000003</v>
      </c>
      <c r="AK120" s="28">
        <v>49.848700000000001</v>
      </c>
      <c r="AL120" s="28">
        <v>49.532299999999999</v>
      </c>
      <c r="AM120" s="28">
        <v>55.268000000000001</v>
      </c>
      <c r="AN120" s="28">
        <v>56.329799999999999</v>
      </c>
      <c r="AO120" s="28">
        <v>56.527299999999997</v>
      </c>
      <c r="AP120" s="28">
        <v>49.5349</v>
      </c>
      <c r="AQ120" s="28">
        <v>52.7301</v>
      </c>
      <c r="AR120" s="28">
        <v>50.324800000000003</v>
      </c>
      <c r="AS120" s="28">
        <v>50.446899999999999</v>
      </c>
      <c r="AT120" s="28">
        <v>1.2105999999999999</v>
      </c>
      <c r="AU120" s="28">
        <v>51.012900000000002</v>
      </c>
      <c r="AV120" s="28">
        <v>50.892400000000002</v>
      </c>
      <c r="AW120" s="28">
        <v>55.0321</v>
      </c>
      <c r="AX120" s="28">
        <v>52.761000000000003</v>
      </c>
      <c r="AY120" s="28" t="e">
        <v>#N/A</v>
      </c>
      <c r="AZ120" s="28">
        <v>51.853900000000003</v>
      </c>
      <c r="BA120" s="3">
        <v>14635.19</v>
      </c>
      <c r="BB120">
        <f>IF(ISNUMBER(VLOOKUP($B120,CEIC_DATA!$I$26:$N$353,Haver_M!BB$2,FALSE)),VLOOKUP($B120,CEIC_DATA!$I$26:$N$353,Haver_M!BB$2,FALSE),NA())</f>
        <v>93.106145949999998</v>
      </c>
      <c r="BC120" t="e">
        <f>IF(ISNUMBER(VLOOKUP($B120,CEIC_DATA!$I$26:$N$353,Haver_M!BC$2,FALSE)),VLOOKUP($B120,CEIC_DATA!$I$26:$N$353,Haver_M!BC$2,FALSE),NA())</f>
        <v>#N/A</v>
      </c>
      <c r="BD120" t="e">
        <f>IF(ISNUMBER(VLOOKUP($B120,CEIC_DATA!$I$26:$N$353,Haver_M!BD$2,FALSE)),VLOOKUP($B120,CEIC_DATA!$I$26:$N$353,Haver_M!BD$2,FALSE),NA())</f>
        <v>#N/A</v>
      </c>
      <c r="BE120" t="e">
        <f>IF(ISNUMBER(VLOOKUP($B120,CEIC_DATA!$I$26:$N$353,Haver_M!BE$2,FALSE)),VLOOKUP($B120,CEIC_DATA!$I$26:$N$353,Haver_M!BE$2,FALSE),NA())</f>
        <v>#N/A</v>
      </c>
      <c r="BF120">
        <v>812524</v>
      </c>
      <c r="BG120">
        <v>40790</v>
      </c>
      <c r="BH120">
        <v>1080957</v>
      </c>
      <c r="BI120">
        <v>181452</v>
      </c>
      <c r="BJ120" s="3">
        <v>5607.36</v>
      </c>
      <c r="BK120" s="3">
        <v>10848.62</v>
      </c>
      <c r="BL120" s="3">
        <v>6369.88</v>
      </c>
      <c r="BM120" s="3">
        <v>26131.32</v>
      </c>
      <c r="BN120" s="3">
        <v>14341.3</v>
      </c>
      <c r="BO120" s="3">
        <v>21723.5</v>
      </c>
      <c r="BP120" s="28">
        <v>48.476500000000001</v>
      </c>
      <c r="BQ120" s="28">
        <f t="shared" si="5"/>
        <v>115.67171722380947</v>
      </c>
      <c r="BR120" s="28">
        <f t="shared" si="6"/>
        <v>223.79132156818252</v>
      </c>
      <c r="BS120" s="28">
        <f t="shared" si="7"/>
        <v>131.40140067867935</v>
      </c>
      <c r="BT120" s="28">
        <f t="shared" si="8"/>
        <v>539.0512928944953</v>
      </c>
      <c r="BU120" s="4">
        <v>50995</v>
      </c>
    </row>
    <row r="121" spans="1:73" x14ac:dyDescent="0.25">
      <c r="A121" t="s">
        <v>120</v>
      </c>
      <c r="B121" s="2">
        <v>40056</v>
      </c>
      <c r="C121" s="3">
        <v>4.75</v>
      </c>
      <c r="D121" s="28">
        <v>7.4969000000000001</v>
      </c>
      <c r="E121" s="34">
        <v>91.300359999999998</v>
      </c>
      <c r="F121" s="5">
        <v>78.5</v>
      </c>
      <c r="G121" s="5" t="e">
        <v>#N/A</v>
      </c>
      <c r="H121" s="3">
        <v>93.71</v>
      </c>
      <c r="I121" s="3">
        <v>89.31</v>
      </c>
      <c r="J121" s="3">
        <v>108.18</v>
      </c>
      <c r="K121" s="3">
        <v>99.43</v>
      </c>
      <c r="L121" s="3" t="e">
        <v>#N/A</v>
      </c>
      <c r="M121" s="3">
        <v>83.03</v>
      </c>
      <c r="N121" s="3">
        <v>90.76</v>
      </c>
      <c r="O121" s="5">
        <v>90.2</v>
      </c>
      <c r="P121" s="52">
        <v>101.238</v>
      </c>
      <c r="Q121" s="52">
        <v>85.813000000000002</v>
      </c>
      <c r="R121" s="52">
        <v>96.265000000000001</v>
      </c>
      <c r="S121" s="52">
        <v>96.915000000000006</v>
      </c>
      <c r="T121" s="52">
        <v>99.744</v>
      </c>
      <c r="U121" s="52">
        <v>77.989000000000004</v>
      </c>
      <c r="V121" s="52">
        <v>91.613</v>
      </c>
      <c r="W121" s="52">
        <v>90.278000000000006</v>
      </c>
      <c r="X121" s="3">
        <v>11751.970896242468</v>
      </c>
      <c r="Y121" s="3">
        <v>13863.27</v>
      </c>
      <c r="Z121" s="3">
        <v>22492.77</v>
      </c>
      <c r="AA121" s="4" t="e">
        <v>#N/A</v>
      </c>
      <c r="AB121" s="4" t="e">
        <v>#N/A</v>
      </c>
      <c r="AC121" s="5" t="e">
        <v>#N/A</v>
      </c>
      <c r="AD121" s="5" t="e">
        <v>#N/A</v>
      </c>
      <c r="AE121" s="34">
        <v>109.93173902485518</v>
      </c>
      <c r="AF121" s="28">
        <v>55.006700000000002</v>
      </c>
      <c r="AG121" s="28">
        <v>53.241300000000003</v>
      </c>
      <c r="AH121" s="28">
        <v>54.933399999999999</v>
      </c>
      <c r="AI121" s="28">
        <v>55.171399999999998</v>
      </c>
      <c r="AJ121" s="28">
        <v>56.161099999999998</v>
      </c>
      <c r="AK121" s="28">
        <v>49.531199999999998</v>
      </c>
      <c r="AL121" s="28">
        <v>50.619100000000003</v>
      </c>
      <c r="AM121" s="28">
        <v>52.867400000000004</v>
      </c>
      <c r="AN121" s="28">
        <v>57.730800000000002</v>
      </c>
      <c r="AO121" s="28">
        <v>53.594700000000003</v>
      </c>
      <c r="AP121" s="28">
        <v>46.723199999999999</v>
      </c>
      <c r="AQ121" s="28">
        <v>51.214799999999997</v>
      </c>
      <c r="AR121" s="28">
        <v>49.9574</v>
      </c>
      <c r="AS121" s="28">
        <v>49.668199999999999</v>
      </c>
      <c r="AT121" s="28">
        <v>1.202</v>
      </c>
      <c r="AU121" s="28">
        <v>51.061500000000002</v>
      </c>
      <c r="AV121" s="28">
        <v>50.525199999999998</v>
      </c>
      <c r="AW121" s="28">
        <v>54.880600000000001</v>
      </c>
      <c r="AX121" s="28">
        <v>52.270899999999997</v>
      </c>
      <c r="AY121" s="28" t="e">
        <v>#N/A</v>
      </c>
      <c r="AZ121" s="28">
        <v>52.185200000000002</v>
      </c>
      <c r="BA121" s="3">
        <v>15414.67</v>
      </c>
      <c r="BB121">
        <f>IF(ISNUMBER(VLOOKUP($B121,CEIC_DATA!$I$26:$N$353,Haver_M!BB$2,FALSE)),VLOOKUP($B121,CEIC_DATA!$I$26:$N$353,Haver_M!BB$2,FALSE),NA())</f>
        <v>96.058481580000006</v>
      </c>
      <c r="BC121" t="e">
        <f>IF(ISNUMBER(VLOOKUP($B121,CEIC_DATA!$I$26:$N$353,Haver_M!BC$2,FALSE)),VLOOKUP($B121,CEIC_DATA!$I$26:$N$353,Haver_M!BC$2,FALSE),NA())</f>
        <v>#N/A</v>
      </c>
      <c r="BD121" t="e">
        <f>IF(ISNUMBER(VLOOKUP($B121,CEIC_DATA!$I$26:$N$353,Haver_M!BD$2,FALSE)),VLOOKUP($B121,CEIC_DATA!$I$26:$N$353,Haver_M!BD$2,FALSE),NA())</f>
        <v>#N/A</v>
      </c>
      <c r="BE121" t="e">
        <f>IF(ISNUMBER(VLOOKUP($B121,CEIC_DATA!$I$26:$N$353,Haver_M!BE$2,FALSE)),VLOOKUP($B121,CEIC_DATA!$I$26:$N$353,Haver_M!BE$2,FALSE),NA())</f>
        <v>#N/A</v>
      </c>
      <c r="BF121">
        <v>866628</v>
      </c>
      <c r="BG121">
        <v>44051</v>
      </c>
      <c r="BH121">
        <v>1158032</v>
      </c>
      <c r="BI121">
        <v>193469</v>
      </c>
      <c r="BJ121" s="3">
        <v>5645.23</v>
      </c>
      <c r="BK121" s="3">
        <v>10967.64</v>
      </c>
      <c r="BL121" s="3">
        <v>6324.17</v>
      </c>
      <c r="BM121" s="3">
        <v>26235.51</v>
      </c>
      <c r="BN121" s="3">
        <v>13586.3</v>
      </c>
      <c r="BO121" s="3">
        <v>22448.7</v>
      </c>
      <c r="BP121" s="28">
        <v>48.337000000000003</v>
      </c>
      <c r="BQ121" s="28">
        <f t="shared" si="5"/>
        <v>116.78900221362515</v>
      </c>
      <c r="BR121" s="28">
        <f t="shared" si="6"/>
        <v>226.89947659143095</v>
      </c>
      <c r="BS121" s="28">
        <f t="shared" si="7"/>
        <v>130.83497114012039</v>
      </c>
      <c r="BT121" s="28">
        <f t="shared" si="8"/>
        <v>542.76248008771745</v>
      </c>
      <c r="BU121" s="4">
        <v>47793</v>
      </c>
    </row>
    <row r="122" spans="1:73" x14ac:dyDescent="0.25">
      <c r="A122" t="s">
        <v>121</v>
      </c>
      <c r="B122" s="2">
        <v>40086</v>
      </c>
      <c r="C122" s="3">
        <v>4.75</v>
      </c>
      <c r="D122" s="28">
        <v>7.3376999999999999</v>
      </c>
      <c r="E122" s="34">
        <v>90.448819999999998</v>
      </c>
      <c r="F122" s="5">
        <v>79.099999999999994</v>
      </c>
      <c r="G122" s="5" t="e">
        <v>#N/A</v>
      </c>
      <c r="H122" s="3">
        <v>93.41</v>
      </c>
      <c r="I122" s="3">
        <v>89.85</v>
      </c>
      <c r="J122" s="3">
        <v>110.11</v>
      </c>
      <c r="K122" s="3">
        <v>100.19</v>
      </c>
      <c r="L122" s="3" t="e">
        <v>#N/A</v>
      </c>
      <c r="M122" s="3">
        <v>80.239999999999995</v>
      </c>
      <c r="N122" s="3">
        <v>89.11</v>
      </c>
      <c r="O122" s="5">
        <v>90.4</v>
      </c>
      <c r="P122" s="52">
        <v>102.595</v>
      </c>
      <c r="Q122" s="52">
        <v>88.477999999999994</v>
      </c>
      <c r="R122" s="52">
        <v>97.57</v>
      </c>
      <c r="S122" s="52">
        <v>101.271</v>
      </c>
      <c r="T122" s="52">
        <v>95.977999999999994</v>
      </c>
      <c r="U122" s="52">
        <v>77.820999999999998</v>
      </c>
      <c r="V122" s="52">
        <v>86.918000000000006</v>
      </c>
      <c r="W122" s="52">
        <v>88.936999999999998</v>
      </c>
      <c r="X122" s="3">
        <v>11831.115794709229</v>
      </c>
      <c r="Y122" s="3">
        <v>14851.95</v>
      </c>
      <c r="Z122" s="3">
        <v>20702.62</v>
      </c>
      <c r="AA122" s="4" t="e">
        <v>#N/A</v>
      </c>
      <c r="AB122" s="4" t="e">
        <v>#N/A</v>
      </c>
      <c r="AC122" s="5" t="e">
        <v>#N/A</v>
      </c>
      <c r="AD122" s="5" t="e">
        <v>#N/A</v>
      </c>
      <c r="AE122" s="34">
        <v>94.08705967266755</v>
      </c>
      <c r="AF122" s="28">
        <v>55.474600000000002</v>
      </c>
      <c r="AG122" s="28">
        <v>54.969900000000003</v>
      </c>
      <c r="AH122" s="28">
        <v>54.368200000000002</v>
      </c>
      <c r="AI122" s="28">
        <v>57.961799999999997</v>
      </c>
      <c r="AJ122" s="28">
        <v>58.291600000000003</v>
      </c>
      <c r="AK122" s="28">
        <v>49.904899999999998</v>
      </c>
      <c r="AL122" s="28">
        <v>50.229599999999998</v>
      </c>
      <c r="AM122" s="28">
        <v>55.454500000000003</v>
      </c>
      <c r="AN122" s="28">
        <v>59.374600000000001</v>
      </c>
      <c r="AO122" s="28">
        <v>54.7575</v>
      </c>
      <c r="AP122" s="28">
        <v>49.1646</v>
      </c>
      <c r="AQ122" s="28">
        <v>50.915500000000002</v>
      </c>
      <c r="AR122" s="28">
        <v>52.478000000000002</v>
      </c>
      <c r="AS122" s="28">
        <v>50.017099999999999</v>
      </c>
      <c r="AT122" s="28">
        <v>1.1856</v>
      </c>
      <c r="AU122" s="28">
        <v>50.9056</v>
      </c>
      <c r="AV122" s="28">
        <v>50.110599999999998</v>
      </c>
      <c r="AW122" s="28">
        <v>54.719799999999999</v>
      </c>
      <c r="AX122" s="28">
        <v>53.761800000000001</v>
      </c>
      <c r="AY122" s="28" t="e">
        <v>#N/A</v>
      </c>
      <c r="AZ122" s="28">
        <v>51.488999999999997</v>
      </c>
      <c r="BA122" s="3">
        <v>16338.45</v>
      </c>
      <c r="BB122">
        <f>IF(ISNUMBER(VLOOKUP($B122,CEIC_DATA!$I$26:$N$353,Haver_M!BB$2,FALSE)),VLOOKUP($B122,CEIC_DATA!$I$26:$N$353,Haver_M!BB$2,FALSE),NA())</f>
        <v>98.531389570000002</v>
      </c>
      <c r="BC122">
        <f>IF(ISNUMBER(VLOOKUP($B122,CEIC_DATA!$I$26:$N$353,Haver_M!BC$2,FALSE)),VLOOKUP($B122,CEIC_DATA!$I$26:$N$353,Haver_M!BC$2,FALSE),NA())</f>
        <v>107.2</v>
      </c>
      <c r="BD122">
        <f>IF(ISNUMBER(VLOOKUP($B122,CEIC_DATA!$I$26:$N$353,Haver_M!BD$2,FALSE)),VLOOKUP($B122,CEIC_DATA!$I$26:$N$353,Haver_M!BD$2,FALSE),NA())</f>
        <v>109.9</v>
      </c>
      <c r="BE122">
        <f>IF(ISNUMBER(VLOOKUP($B122,CEIC_DATA!$I$26:$N$353,Haver_M!BE$2,FALSE)),VLOOKUP($B122,CEIC_DATA!$I$26:$N$353,Haver_M!BE$2,FALSE),NA())</f>
        <v>24.2</v>
      </c>
      <c r="BF122">
        <v>933727</v>
      </c>
      <c r="BG122">
        <v>49728</v>
      </c>
      <c r="BH122">
        <v>1245709</v>
      </c>
      <c r="BI122">
        <v>206507</v>
      </c>
      <c r="BJ122" s="3">
        <v>5663.15</v>
      </c>
      <c r="BK122" s="3">
        <v>11393.72</v>
      </c>
      <c r="BL122" s="3">
        <v>6515.8</v>
      </c>
      <c r="BM122" s="3">
        <v>26941.64</v>
      </c>
      <c r="BN122" s="3">
        <v>14624.2</v>
      </c>
      <c r="BO122" s="3">
        <v>21527.200000000001</v>
      </c>
      <c r="BP122" s="28">
        <v>48.438899999999997</v>
      </c>
      <c r="BQ122" s="28">
        <f t="shared" si="5"/>
        <v>116.91326599076362</v>
      </c>
      <c r="BR122" s="28">
        <f t="shared" si="6"/>
        <v>235.21838852657677</v>
      </c>
      <c r="BS122" s="28">
        <f t="shared" si="7"/>
        <v>134.51585399338137</v>
      </c>
      <c r="BT122" s="28">
        <f t="shared" si="8"/>
        <v>556.19842729706909</v>
      </c>
      <c r="BU122" s="4">
        <v>44241</v>
      </c>
    </row>
    <row r="123" spans="1:73" x14ac:dyDescent="0.25">
      <c r="A123" t="s">
        <v>122</v>
      </c>
      <c r="B123" s="2">
        <v>40117</v>
      </c>
      <c r="C123" s="3">
        <v>4.75</v>
      </c>
      <c r="D123" s="28">
        <v>7.5876999999999999</v>
      </c>
      <c r="E123" s="34">
        <v>93.09581</v>
      </c>
      <c r="F123" s="5">
        <v>79.900000000000006</v>
      </c>
      <c r="G123" s="5" t="e">
        <v>#N/A</v>
      </c>
      <c r="H123" s="3">
        <v>92.19</v>
      </c>
      <c r="I123" s="3">
        <v>88.62</v>
      </c>
      <c r="J123" s="3">
        <v>109.45</v>
      </c>
      <c r="K123" s="3">
        <v>99.65</v>
      </c>
      <c r="L123" s="3" t="e">
        <v>#N/A</v>
      </c>
      <c r="M123" s="3">
        <v>84.89</v>
      </c>
      <c r="N123" s="3">
        <v>88.52</v>
      </c>
      <c r="O123" s="5">
        <v>90.1</v>
      </c>
      <c r="P123" s="52">
        <v>101.976</v>
      </c>
      <c r="Q123" s="52">
        <v>87.757000000000005</v>
      </c>
      <c r="R123" s="52">
        <v>100.953</v>
      </c>
      <c r="S123" s="52">
        <v>100.374</v>
      </c>
      <c r="T123" s="52">
        <v>95.662000000000006</v>
      </c>
      <c r="U123" s="52">
        <v>77.031000000000006</v>
      </c>
      <c r="V123" s="52">
        <v>85.471000000000004</v>
      </c>
      <c r="W123" s="52">
        <v>87.176000000000002</v>
      </c>
      <c r="X123" s="3">
        <v>11725.962866696203</v>
      </c>
      <c r="Y123" s="3">
        <v>15789.07</v>
      </c>
      <c r="Z123" s="3">
        <v>24830.97</v>
      </c>
      <c r="AA123" s="4" t="e">
        <v>#N/A</v>
      </c>
      <c r="AB123" s="4" t="e">
        <v>#N/A</v>
      </c>
      <c r="AC123" s="5" t="e">
        <v>#N/A</v>
      </c>
      <c r="AD123" s="5" t="e">
        <v>#N/A</v>
      </c>
      <c r="AE123" s="34">
        <v>77.690732521891888</v>
      </c>
      <c r="AF123" s="28">
        <v>56.916699999999999</v>
      </c>
      <c r="AG123" s="28">
        <v>54.478999999999999</v>
      </c>
      <c r="AH123" s="28">
        <v>56.775700000000001</v>
      </c>
      <c r="AI123" s="28">
        <v>57.233800000000002</v>
      </c>
      <c r="AJ123" s="28">
        <v>56.7423</v>
      </c>
      <c r="AK123" s="28">
        <v>50.767200000000003</v>
      </c>
      <c r="AL123" s="28">
        <v>49.345100000000002</v>
      </c>
      <c r="AM123" s="28">
        <v>53.961399999999998</v>
      </c>
      <c r="AN123" s="28">
        <v>56.392299999999999</v>
      </c>
      <c r="AO123" s="28">
        <v>56.729199999999999</v>
      </c>
      <c r="AP123" s="28">
        <v>50.0884</v>
      </c>
      <c r="AQ123" s="28">
        <v>53.355200000000004</v>
      </c>
      <c r="AR123" s="28">
        <v>50.420099999999998</v>
      </c>
      <c r="AS123" s="28">
        <v>49.301600000000001</v>
      </c>
      <c r="AT123" s="28">
        <v>1.1328</v>
      </c>
      <c r="AU123" s="28">
        <v>52.322899999999997</v>
      </c>
      <c r="AV123" s="28">
        <v>50.791499999999999</v>
      </c>
      <c r="AW123" s="28">
        <v>55.183199999999999</v>
      </c>
      <c r="AX123" s="28">
        <v>52.673499999999997</v>
      </c>
      <c r="AY123" s="28" t="e">
        <v>#N/A</v>
      </c>
      <c r="AZ123" s="28">
        <v>51.780299999999997</v>
      </c>
      <c r="BA123" s="3">
        <v>16799.330000000002</v>
      </c>
      <c r="BB123">
        <f>IF(ISNUMBER(VLOOKUP($B123,CEIC_DATA!$I$26:$N$353,Haver_M!BB$2,FALSE)),VLOOKUP($B123,CEIC_DATA!$I$26:$N$353,Haver_M!BB$2,FALSE),NA())</f>
        <v>100.60690653</v>
      </c>
      <c r="BC123" t="e">
        <f>IF(ISNUMBER(VLOOKUP($B123,CEIC_DATA!$I$26:$N$353,Haver_M!BC$2,FALSE)),VLOOKUP($B123,CEIC_DATA!$I$26:$N$353,Haver_M!BC$2,FALSE),NA())</f>
        <v>#N/A</v>
      </c>
      <c r="BD123" t="e">
        <f>IF(ISNUMBER(VLOOKUP($B123,CEIC_DATA!$I$26:$N$353,Haver_M!BD$2,FALSE)),VLOOKUP($B123,CEIC_DATA!$I$26:$N$353,Haver_M!BD$2,FALSE),NA())</f>
        <v>#N/A</v>
      </c>
      <c r="BE123" t="e">
        <f>IF(ISNUMBER(VLOOKUP($B123,CEIC_DATA!$I$26:$N$353,Haver_M!BE$2,FALSE)),VLOOKUP($B123,CEIC_DATA!$I$26:$N$353,Haver_M!BE$2,FALSE),NA())</f>
        <v>#N/A</v>
      </c>
      <c r="BF123">
        <v>853666</v>
      </c>
      <c r="BG123">
        <v>46833</v>
      </c>
      <c r="BH123">
        <v>1160963</v>
      </c>
      <c r="BI123">
        <v>206610</v>
      </c>
      <c r="BJ123" s="3">
        <v>5586.54</v>
      </c>
      <c r="BK123" s="3">
        <v>11452.45</v>
      </c>
      <c r="BL123" s="3">
        <v>6458.33</v>
      </c>
      <c r="BM123" s="3">
        <v>26873.43</v>
      </c>
      <c r="BN123" s="3">
        <v>14806</v>
      </c>
      <c r="BO123" s="3">
        <v>25935.8</v>
      </c>
      <c r="BP123" s="28">
        <v>46.7211</v>
      </c>
      <c r="BQ123" s="28">
        <f t="shared" si="5"/>
        <v>119.57209911581705</v>
      </c>
      <c r="BR123" s="28">
        <f t="shared" si="6"/>
        <v>245.12372354246799</v>
      </c>
      <c r="BS123" s="28">
        <f t="shared" si="7"/>
        <v>138.23154848665806</v>
      </c>
      <c r="BT123" s="28">
        <f t="shared" si="8"/>
        <v>575.18829822071825</v>
      </c>
      <c r="BU123" s="4">
        <v>48749</v>
      </c>
    </row>
    <row r="124" spans="1:73" x14ac:dyDescent="0.25">
      <c r="A124" t="s">
        <v>123</v>
      </c>
      <c r="B124" s="2">
        <v>40147</v>
      </c>
      <c r="C124" s="3">
        <v>4.75</v>
      </c>
      <c r="D124" s="28">
        <v>7.4580000000000002</v>
      </c>
      <c r="E124" s="34">
        <v>93.91892</v>
      </c>
      <c r="F124" s="5">
        <v>81.599999999999994</v>
      </c>
      <c r="G124" s="5" t="e">
        <v>#N/A</v>
      </c>
      <c r="H124" s="3">
        <v>93.07</v>
      </c>
      <c r="I124" s="3">
        <v>89.39</v>
      </c>
      <c r="J124" s="3">
        <v>96.71</v>
      </c>
      <c r="K124" s="3">
        <v>99.95</v>
      </c>
      <c r="L124" s="3" t="e">
        <v>#N/A</v>
      </c>
      <c r="M124" s="3">
        <v>86.29</v>
      </c>
      <c r="N124" s="3">
        <v>90.79</v>
      </c>
      <c r="O124" s="5">
        <v>90.1</v>
      </c>
      <c r="P124" s="52">
        <v>98.822999999999993</v>
      </c>
      <c r="Q124" s="52">
        <v>88.796000000000006</v>
      </c>
      <c r="R124" s="52">
        <v>103.806</v>
      </c>
      <c r="S124" s="52">
        <v>98.084000000000003</v>
      </c>
      <c r="T124" s="52">
        <v>95.364000000000004</v>
      </c>
      <c r="U124" s="52">
        <v>82.882000000000005</v>
      </c>
      <c r="V124" s="52">
        <v>90.072000000000003</v>
      </c>
      <c r="W124" s="52">
        <v>85.509</v>
      </c>
      <c r="X124" s="3">
        <v>11507.541987486418</v>
      </c>
      <c r="Y124" s="3">
        <v>16217.72</v>
      </c>
      <c r="Z124" s="3">
        <v>25820.34</v>
      </c>
      <c r="AA124" s="4" t="e">
        <v>#N/A</v>
      </c>
      <c r="AB124" s="4" t="e">
        <v>#N/A</v>
      </c>
      <c r="AC124" s="5" t="e">
        <v>#N/A</v>
      </c>
      <c r="AD124" s="5" t="e">
        <v>#N/A</v>
      </c>
      <c r="AE124" s="34">
        <v>73.798859058040378</v>
      </c>
      <c r="AF124" s="28">
        <v>55.246499999999997</v>
      </c>
      <c r="AG124" s="28">
        <v>52.971299999999999</v>
      </c>
      <c r="AH124" s="28">
        <v>55.195700000000002</v>
      </c>
      <c r="AI124" s="28">
        <v>55.360500000000002</v>
      </c>
      <c r="AJ124" s="28">
        <v>54.597799999999999</v>
      </c>
      <c r="AK124" s="28">
        <v>50.2545</v>
      </c>
      <c r="AL124" s="28">
        <v>50.7164</v>
      </c>
      <c r="AM124" s="28">
        <v>53.0839</v>
      </c>
      <c r="AN124" s="28">
        <v>55.102699999999999</v>
      </c>
      <c r="AO124" s="28">
        <v>54.274099999999997</v>
      </c>
      <c r="AP124" s="28">
        <v>50.874600000000001</v>
      </c>
      <c r="AQ124" s="28">
        <v>51.773400000000002</v>
      </c>
      <c r="AR124" s="28">
        <v>52.7898</v>
      </c>
      <c r="AS124" s="28">
        <v>47.808500000000002</v>
      </c>
      <c r="AT124" s="28">
        <v>1.0731999999999999</v>
      </c>
      <c r="AU124" s="28">
        <v>50.928899999999999</v>
      </c>
      <c r="AV124" s="28">
        <v>49.6098</v>
      </c>
      <c r="AW124" s="28">
        <v>54.302700000000002</v>
      </c>
      <c r="AX124" s="28">
        <v>50.8</v>
      </c>
      <c r="AY124" s="28" t="e">
        <v>#N/A</v>
      </c>
      <c r="AZ124" s="28">
        <v>51.0503</v>
      </c>
      <c r="BA124" s="3">
        <v>16684.29</v>
      </c>
      <c r="BB124">
        <f>IF(ISNUMBER(VLOOKUP($B124,CEIC_DATA!$I$26:$N$353,Haver_M!BB$2,FALSE)),VLOOKUP($B124,CEIC_DATA!$I$26:$N$353,Haver_M!BB$2,FALSE),NA())</f>
        <v>102.45658953</v>
      </c>
      <c r="BC124" t="e">
        <f>IF(ISNUMBER(VLOOKUP($B124,CEIC_DATA!$I$26:$N$353,Haver_M!BC$2,FALSE)),VLOOKUP($B124,CEIC_DATA!$I$26:$N$353,Haver_M!BC$2,FALSE),NA())</f>
        <v>#N/A</v>
      </c>
      <c r="BD124" t="e">
        <f>IF(ISNUMBER(VLOOKUP($B124,CEIC_DATA!$I$26:$N$353,Haver_M!BD$2,FALSE)),VLOOKUP($B124,CEIC_DATA!$I$26:$N$353,Haver_M!BD$2,FALSE),NA())</f>
        <v>#N/A</v>
      </c>
      <c r="BE124" t="e">
        <f>IF(ISNUMBER(VLOOKUP($B124,CEIC_DATA!$I$26:$N$353,Haver_M!BE$2,FALSE)),VLOOKUP($B124,CEIC_DATA!$I$26:$N$353,Haver_M!BE$2,FALSE),NA())</f>
        <v>#N/A</v>
      </c>
      <c r="BF124">
        <v>909212</v>
      </c>
      <c r="BG124">
        <v>45691</v>
      </c>
      <c r="BH124">
        <v>1220320</v>
      </c>
      <c r="BI124">
        <v>207009</v>
      </c>
      <c r="BJ124" s="3">
        <v>5643.21</v>
      </c>
      <c r="BK124" s="3">
        <v>11537.22</v>
      </c>
      <c r="BL124" s="3">
        <v>6551.03</v>
      </c>
      <c r="BM124" s="3">
        <v>27162.17</v>
      </c>
      <c r="BN124" s="3">
        <v>14932.7</v>
      </c>
      <c r="BO124" s="3">
        <v>24996.5</v>
      </c>
      <c r="BP124" s="28">
        <v>46.569000000000003</v>
      </c>
      <c r="BQ124" s="28">
        <f t="shared" si="5"/>
        <v>121.17954003736391</v>
      </c>
      <c r="BR124" s="28">
        <f t="shared" si="6"/>
        <v>247.74463699027248</v>
      </c>
      <c r="BS124" s="28">
        <f t="shared" si="7"/>
        <v>140.67362408469151</v>
      </c>
      <c r="BT124" s="28">
        <f t="shared" si="8"/>
        <v>583.2671949150722</v>
      </c>
      <c r="BU124" s="4">
        <v>48362</v>
      </c>
    </row>
    <row r="125" spans="1:73" x14ac:dyDescent="0.25">
      <c r="A125" t="s">
        <v>124</v>
      </c>
      <c r="B125" s="2">
        <v>40178</v>
      </c>
      <c r="C125" s="3">
        <v>4.75</v>
      </c>
      <c r="D125" s="28">
        <v>7.7366000000000001</v>
      </c>
      <c r="E125" s="34">
        <v>94.62303</v>
      </c>
      <c r="F125" s="5">
        <v>81.7</v>
      </c>
      <c r="G125" s="5" t="e">
        <v>#N/A</v>
      </c>
      <c r="H125" s="3">
        <v>94.17</v>
      </c>
      <c r="I125" s="3">
        <v>88.94</v>
      </c>
      <c r="J125" s="3">
        <v>107.35</v>
      </c>
      <c r="K125" s="3">
        <v>100.16</v>
      </c>
      <c r="L125" s="3" t="e">
        <v>#N/A</v>
      </c>
      <c r="M125" s="3">
        <v>91.44</v>
      </c>
      <c r="N125" s="3">
        <v>90.57</v>
      </c>
      <c r="O125" s="5">
        <v>90.6</v>
      </c>
      <c r="P125" s="52">
        <v>96.325000000000003</v>
      </c>
      <c r="Q125" s="52">
        <v>89.304000000000002</v>
      </c>
      <c r="R125" s="52">
        <v>109.044</v>
      </c>
      <c r="S125" s="52">
        <v>94.23</v>
      </c>
      <c r="T125" s="52">
        <v>95.921999999999997</v>
      </c>
      <c r="U125" s="52">
        <v>82.346000000000004</v>
      </c>
      <c r="V125" s="52">
        <v>92.046999999999997</v>
      </c>
      <c r="W125" s="52">
        <v>88.314999999999998</v>
      </c>
      <c r="X125" s="3">
        <v>11455.12597460046</v>
      </c>
      <c r="Y125" s="3">
        <v>16443.88</v>
      </c>
      <c r="Z125" s="3">
        <v>29460.71</v>
      </c>
      <c r="AA125" s="4" t="e">
        <v>#N/A</v>
      </c>
      <c r="AB125" s="4" t="e">
        <v>#N/A</v>
      </c>
      <c r="AC125" s="5" t="e">
        <v>#N/A</v>
      </c>
      <c r="AD125" s="5" t="e">
        <v>#N/A</v>
      </c>
      <c r="AE125" s="34">
        <v>74.286967969064662</v>
      </c>
      <c r="AF125" s="28">
        <v>57.949300000000001</v>
      </c>
      <c r="AG125" s="28">
        <v>55.572600000000001</v>
      </c>
      <c r="AH125" s="28">
        <v>57.406199999999998</v>
      </c>
      <c r="AI125" s="28">
        <v>59.170099999999998</v>
      </c>
      <c r="AJ125" s="28">
        <v>60.086500000000001</v>
      </c>
      <c r="AK125" s="28">
        <v>49.941000000000003</v>
      </c>
      <c r="AL125" s="28">
        <v>49.938800000000001</v>
      </c>
      <c r="AM125" s="28">
        <v>52.567399999999999</v>
      </c>
      <c r="AN125" s="28">
        <v>58.8874</v>
      </c>
      <c r="AO125" s="28">
        <v>57.171900000000001</v>
      </c>
      <c r="AP125" s="28">
        <v>50.605800000000002</v>
      </c>
      <c r="AQ125" s="28">
        <v>54.602200000000003</v>
      </c>
      <c r="AR125" s="28">
        <v>52.611600000000003</v>
      </c>
      <c r="AS125" s="28">
        <v>50.070399999999999</v>
      </c>
      <c r="AT125" s="28">
        <v>1.1873</v>
      </c>
      <c r="AU125" s="28">
        <v>51.522500000000001</v>
      </c>
      <c r="AV125" s="28">
        <v>51.481000000000002</v>
      </c>
      <c r="AW125" s="28">
        <v>57.176900000000003</v>
      </c>
      <c r="AX125" s="28">
        <v>53.233199999999997</v>
      </c>
      <c r="AY125" s="28" t="e">
        <v>#N/A</v>
      </c>
      <c r="AZ125" s="28">
        <v>52.493299999999998</v>
      </c>
      <c r="BA125" s="3">
        <v>17090.310000000001</v>
      </c>
      <c r="BB125">
        <f>IF(ISNUMBER(VLOOKUP($B125,CEIC_DATA!$I$26:$N$353,Haver_M!BB$2,FALSE)),VLOOKUP($B125,CEIC_DATA!$I$26:$N$353,Haver_M!BB$2,FALSE),NA())</f>
        <v>103.97937847999999</v>
      </c>
      <c r="BC125">
        <f>IF(ISNUMBER(VLOOKUP($B125,CEIC_DATA!$I$26:$N$353,Haver_M!BC$2,FALSE)),VLOOKUP($B125,CEIC_DATA!$I$26:$N$353,Haver_M!BC$2,FALSE),NA())</f>
        <v>112.8</v>
      </c>
      <c r="BD125">
        <f>IF(ISNUMBER(VLOOKUP($B125,CEIC_DATA!$I$26:$N$353,Haver_M!BD$2,FALSE)),VLOOKUP($B125,CEIC_DATA!$I$26:$N$353,Haver_M!BD$2,FALSE),NA())</f>
        <v>116.4</v>
      </c>
      <c r="BE125">
        <f>IF(ISNUMBER(VLOOKUP($B125,CEIC_DATA!$I$26:$N$353,Haver_M!BE$2,FALSE)),VLOOKUP($B125,CEIC_DATA!$I$26:$N$353,Haver_M!BE$2,FALSE),NA())</f>
        <v>39.799999999999997</v>
      </c>
      <c r="BF125">
        <v>881786</v>
      </c>
      <c r="BG125">
        <v>53239</v>
      </c>
      <c r="BH125">
        <v>1177654</v>
      </c>
      <c r="BI125">
        <v>189253</v>
      </c>
      <c r="BJ125" s="3">
        <v>5661.18</v>
      </c>
      <c r="BK125" s="3">
        <v>11784.15</v>
      </c>
      <c r="BL125" s="3">
        <v>6617.93</v>
      </c>
      <c r="BM125" s="3">
        <v>27544.25</v>
      </c>
      <c r="BN125" s="3">
        <v>16493.5</v>
      </c>
      <c r="BO125" s="3">
        <v>28251.4</v>
      </c>
      <c r="BP125" s="28">
        <v>46.63</v>
      </c>
      <c r="BQ125" s="28">
        <f t="shared" si="5"/>
        <v>121.40639073557796</v>
      </c>
      <c r="BR125" s="28">
        <f t="shared" si="6"/>
        <v>252.71606262063048</v>
      </c>
      <c r="BS125" s="28">
        <f t="shared" si="7"/>
        <v>141.92429766244908</v>
      </c>
      <c r="BT125" s="28">
        <f t="shared" si="8"/>
        <v>590.69804846665238</v>
      </c>
      <c r="BU125" s="4">
        <v>47695</v>
      </c>
    </row>
    <row r="126" spans="1:73" x14ac:dyDescent="0.25">
      <c r="A126" t="s">
        <v>125</v>
      </c>
      <c r="B126" s="2">
        <v>40209</v>
      </c>
      <c r="C126" s="3">
        <v>4.75</v>
      </c>
      <c r="D126" s="28">
        <v>7.5814000000000004</v>
      </c>
      <c r="E126" s="34">
        <v>96.66919</v>
      </c>
      <c r="F126" s="5">
        <v>82.3</v>
      </c>
      <c r="G126" s="5" t="e">
        <v>#N/A</v>
      </c>
      <c r="H126" s="3">
        <v>95.86</v>
      </c>
      <c r="I126" s="3">
        <v>90.85</v>
      </c>
      <c r="J126" s="3">
        <v>113.61</v>
      </c>
      <c r="K126" s="3">
        <v>100.88</v>
      </c>
      <c r="L126" s="3" t="e">
        <v>#N/A</v>
      </c>
      <c r="M126" s="3">
        <v>90.4</v>
      </c>
      <c r="N126" s="3">
        <v>88.84</v>
      </c>
      <c r="O126" s="5">
        <v>92.7</v>
      </c>
      <c r="P126" s="52">
        <v>99.239000000000004</v>
      </c>
      <c r="Q126" s="52">
        <v>90.52</v>
      </c>
      <c r="R126" s="52">
        <v>114.944</v>
      </c>
      <c r="S126" s="52">
        <v>96.94</v>
      </c>
      <c r="T126" s="52">
        <v>93.9</v>
      </c>
      <c r="U126" s="52">
        <v>85.561000000000007</v>
      </c>
      <c r="V126" s="52">
        <v>91.403000000000006</v>
      </c>
      <c r="W126" s="52">
        <v>88.555999999999997</v>
      </c>
      <c r="X126" s="3">
        <v>11169.764181491073</v>
      </c>
      <c r="Y126" s="3">
        <v>15986.7</v>
      </c>
      <c r="Z126" s="3">
        <v>25744.560000000001</v>
      </c>
      <c r="AA126" s="4" t="e">
        <v>#N/A</v>
      </c>
      <c r="AB126" s="4" t="e">
        <v>#N/A</v>
      </c>
      <c r="AC126" s="5" t="e">
        <v>#N/A</v>
      </c>
      <c r="AD126" s="5" t="e">
        <v>#N/A</v>
      </c>
      <c r="AE126" s="34">
        <v>85.593732055477659</v>
      </c>
      <c r="AF126" s="28">
        <v>59.736899999999999</v>
      </c>
      <c r="AG126" s="28">
        <v>57.645699999999998</v>
      </c>
      <c r="AH126" s="28">
        <v>58.964500000000001</v>
      </c>
      <c r="AI126" s="28">
        <v>61.473300000000002</v>
      </c>
      <c r="AJ126" s="28">
        <v>62.907800000000002</v>
      </c>
      <c r="AK126" s="28">
        <v>50.930500000000002</v>
      </c>
      <c r="AL126" s="28">
        <v>48.986199999999997</v>
      </c>
      <c r="AM126" s="28">
        <v>55.668700000000001</v>
      </c>
      <c r="AN126" s="28">
        <v>64.834000000000003</v>
      </c>
      <c r="AO126" s="28">
        <v>60.515300000000003</v>
      </c>
      <c r="AP126" s="28">
        <v>49.567100000000003</v>
      </c>
      <c r="AQ126" s="28">
        <v>59.820399999999999</v>
      </c>
      <c r="AR126" s="28">
        <v>56.2166</v>
      </c>
      <c r="AS126" s="28">
        <v>50.369500000000002</v>
      </c>
      <c r="AT126" s="28">
        <v>1.2690999999999999</v>
      </c>
      <c r="AU126" s="28">
        <v>51.878799999999998</v>
      </c>
      <c r="AV126" s="28">
        <v>52.106299999999997</v>
      </c>
      <c r="AW126" s="28">
        <v>57.094499999999996</v>
      </c>
      <c r="AX126" s="28">
        <v>55.795999999999999</v>
      </c>
      <c r="AY126" s="28" t="e">
        <v>#N/A</v>
      </c>
      <c r="AZ126" s="28">
        <v>50.194000000000003</v>
      </c>
      <c r="BA126" s="3">
        <v>17260.41</v>
      </c>
      <c r="BB126">
        <f>IF(ISNUMBER(VLOOKUP($B126,CEIC_DATA!$I$26:$N$353,Haver_M!BB$2,FALSE)),VLOOKUP($B126,CEIC_DATA!$I$26:$N$353,Haver_M!BB$2,FALSE),NA())</f>
        <v>105.09310895</v>
      </c>
      <c r="BC126" t="e">
        <f>IF(ISNUMBER(VLOOKUP($B126,CEIC_DATA!$I$26:$N$353,Haver_M!BC$2,FALSE)),VLOOKUP($B126,CEIC_DATA!$I$26:$N$353,Haver_M!BC$2,FALSE),NA())</f>
        <v>#N/A</v>
      </c>
      <c r="BD126" t="e">
        <f>IF(ISNUMBER(VLOOKUP($B126,CEIC_DATA!$I$26:$N$353,Haver_M!BD$2,FALSE)),VLOOKUP($B126,CEIC_DATA!$I$26:$N$353,Haver_M!BD$2,FALSE),NA())</f>
        <v>#N/A</v>
      </c>
      <c r="BE126" t="e">
        <f>IF(ISNUMBER(VLOOKUP($B126,CEIC_DATA!$I$26:$N$353,Haver_M!BE$2,FALSE)),VLOOKUP($B126,CEIC_DATA!$I$26:$N$353,Haver_M!BE$2,FALSE),NA())</f>
        <v>#N/A</v>
      </c>
      <c r="BF126">
        <v>923502</v>
      </c>
      <c r="BG126">
        <v>58139</v>
      </c>
      <c r="BH126">
        <v>1265472</v>
      </c>
      <c r="BI126">
        <v>226287</v>
      </c>
      <c r="BJ126" s="3">
        <v>5705.41</v>
      </c>
      <c r="BK126" s="3">
        <v>12176.15</v>
      </c>
      <c r="BL126" s="3">
        <v>6858.04</v>
      </c>
      <c r="BM126" s="3">
        <v>28345.85</v>
      </c>
      <c r="BN126" s="3">
        <v>15557.1</v>
      </c>
      <c r="BO126" s="3">
        <v>25267</v>
      </c>
      <c r="BP126" s="28">
        <v>45.963000000000001</v>
      </c>
      <c r="BQ126" s="28">
        <f t="shared" si="5"/>
        <v>124.13049626873789</v>
      </c>
      <c r="BR126" s="28">
        <f t="shared" si="6"/>
        <v>264.91199443030263</v>
      </c>
      <c r="BS126" s="28">
        <f t="shared" si="7"/>
        <v>149.20784108957204</v>
      </c>
      <c r="BT126" s="28">
        <f t="shared" si="8"/>
        <v>616.71017992733277</v>
      </c>
      <c r="BU126" s="4">
        <v>46431</v>
      </c>
    </row>
    <row r="127" spans="1:73" x14ac:dyDescent="0.25">
      <c r="A127" t="s">
        <v>126</v>
      </c>
      <c r="B127" s="2">
        <v>40237</v>
      </c>
      <c r="C127" s="3">
        <v>4.75</v>
      </c>
      <c r="D127" s="28">
        <v>7.8570000000000002</v>
      </c>
      <c r="E127" s="34">
        <v>97.26191</v>
      </c>
      <c r="F127" s="5">
        <v>81.599999999999994</v>
      </c>
      <c r="G127" s="5" t="e">
        <v>#N/A</v>
      </c>
      <c r="H127" s="3">
        <v>96.9</v>
      </c>
      <c r="I127" s="3">
        <v>91.88</v>
      </c>
      <c r="J127" s="3">
        <v>116.55</v>
      </c>
      <c r="K127" s="3">
        <v>101.98</v>
      </c>
      <c r="L127" s="3" t="e">
        <v>#N/A</v>
      </c>
      <c r="M127" s="3">
        <v>90.65</v>
      </c>
      <c r="N127" s="3">
        <v>89.91</v>
      </c>
      <c r="O127" s="5">
        <v>92.4</v>
      </c>
      <c r="P127" s="52">
        <v>101.55500000000001</v>
      </c>
      <c r="Q127" s="52">
        <v>90.834000000000003</v>
      </c>
      <c r="R127" s="52">
        <v>115.753</v>
      </c>
      <c r="S127" s="52">
        <v>96.406000000000006</v>
      </c>
      <c r="T127" s="52">
        <v>95.024000000000001</v>
      </c>
      <c r="U127" s="52">
        <v>77.191000000000003</v>
      </c>
      <c r="V127" s="52">
        <v>91.19</v>
      </c>
      <c r="W127" s="52">
        <v>90.320999999999998</v>
      </c>
      <c r="X127" s="3">
        <v>11497.077767753188</v>
      </c>
      <c r="Y127" s="3">
        <v>16481.849999999999</v>
      </c>
      <c r="Z127" s="3">
        <v>29296.69</v>
      </c>
      <c r="AA127" s="4" t="e">
        <v>#N/A</v>
      </c>
      <c r="AB127" s="4" t="e">
        <v>#N/A</v>
      </c>
      <c r="AC127" s="5" t="e">
        <v>#N/A</v>
      </c>
      <c r="AD127" s="5" t="e">
        <v>#N/A</v>
      </c>
      <c r="AE127" s="34">
        <v>114.88379812864747</v>
      </c>
      <c r="AF127" s="28">
        <v>61.923900000000003</v>
      </c>
      <c r="AG127" s="28">
        <v>58.463900000000002</v>
      </c>
      <c r="AH127" s="28">
        <v>60.916600000000003</v>
      </c>
      <c r="AI127" s="28">
        <v>64.188400000000001</v>
      </c>
      <c r="AJ127" s="28">
        <v>63.973500000000001</v>
      </c>
      <c r="AK127" s="28">
        <v>51.718200000000003</v>
      </c>
      <c r="AL127" s="28">
        <v>50.447899999999997</v>
      </c>
      <c r="AM127" s="28">
        <v>54.482999999999997</v>
      </c>
      <c r="AN127" s="28">
        <v>62.982500000000002</v>
      </c>
      <c r="AO127" s="28">
        <v>62.683199999999999</v>
      </c>
      <c r="AP127" s="28">
        <v>49.427199999999999</v>
      </c>
      <c r="AQ127" s="28">
        <v>56.593800000000002</v>
      </c>
      <c r="AR127" s="28">
        <v>52.113100000000003</v>
      </c>
      <c r="AS127" s="28">
        <v>50.764800000000001</v>
      </c>
      <c r="AT127" s="28">
        <v>1.2943</v>
      </c>
      <c r="AU127" s="28">
        <v>51.595199999999998</v>
      </c>
      <c r="AV127" s="28">
        <v>51.834299999999999</v>
      </c>
      <c r="AW127" s="28">
        <v>58.177999999999997</v>
      </c>
      <c r="AX127" s="28">
        <v>54.264600000000002</v>
      </c>
      <c r="AY127" s="28" t="e">
        <v>#N/A</v>
      </c>
      <c r="AZ127" s="28">
        <v>50.6449</v>
      </c>
      <c r="BA127" s="3">
        <v>16197.92</v>
      </c>
      <c r="BB127">
        <f>IF(ISNUMBER(VLOOKUP($B127,CEIC_DATA!$I$26:$N$353,Haver_M!BB$2,FALSE)),VLOOKUP($B127,CEIC_DATA!$I$26:$N$353,Haver_M!BB$2,FALSE),NA())</f>
        <v>105.92098215999999</v>
      </c>
      <c r="BC127" t="e">
        <f>IF(ISNUMBER(VLOOKUP($B127,CEIC_DATA!$I$26:$N$353,Haver_M!BC$2,FALSE)),VLOOKUP($B127,CEIC_DATA!$I$26:$N$353,Haver_M!BC$2,FALSE),NA())</f>
        <v>#N/A</v>
      </c>
      <c r="BD127" t="e">
        <f>IF(ISNUMBER(VLOOKUP($B127,CEIC_DATA!$I$26:$N$353,Haver_M!BD$2,FALSE)),VLOOKUP($B127,CEIC_DATA!$I$26:$N$353,Haver_M!BD$2,FALSE),NA())</f>
        <v>#N/A</v>
      </c>
      <c r="BE127" t="e">
        <f>IF(ISNUMBER(VLOOKUP($B127,CEIC_DATA!$I$26:$N$353,Haver_M!BE$2,FALSE)),VLOOKUP($B127,CEIC_DATA!$I$26:$N$353,Haver_M!BE$2,FALSE),NA())</f>
        <v>#N/A</v>
      </c>
      <c r="BF127">
        <v>942048</v>
      </c>
      <c r="BG127">
        <v>62297</v>
      </c>
      <c r="BH127">
        <v>1295278</v>
      </c>
      <c r="BI127">
        <v>231519</v>
      </c>
      <c r="BJ127" s="3">
        <v>5782.13</v>
      </c>
      <c r="BK127" s="3">
        <v>12486.86</v>
      </c>
      <c r="BL127" s="3">
        <v>6922.63</v>
      </c>
      <c r="BM127" s="3">
        <v>28895.57</v>
      </c>
      <c r="BN127" s="3">
        <v>15757.7</v>
      </c>
      <c r="BO127" s="3">
        <v>26163.8</v>
      </c>
      <c r="BP127" s="28">
        <v>46.325800000000001</v>
      </c>
      <c r="BQ127" s="28">
        <f t="shared" si="5"/>
        <v>124.81446623695651</v>
      </c>
      <c r="BR127" s="28">
        <f t="shared" si="6"/>
        <v>269.54440074429368</v>
      </c>
      <c r="BS127" s="28">
        <f t="shared" si="7"/>
        <v>149.43357697006851</v>
      </c>
      <c r="BT127" s="28">
        <f t="shared" si="8"/>
        <v>623.74681063252012</v>
      </c>
      <c r="BU127" s="4">
        <v>45717</v>
      </c>
    </row>
    <row r="128" spans="1:73" x14ac:dyDescent="0.25">
      <c r="A128" t="s">
        <v>127</v>
      </c>
      <c r="B128" s="2">
        <v>40268</v>
      </c>
      <c r="C128" s="3">
        <v>5</v>
      </c>
      <c r="D128" s="28">
        <v>7.8250000000000002</v>
      </c>
      <c r="E128" s="34">
        <v>98.853300000000004</v>
      </c>
      <c r="F128" s="5">
        <v>81.400000000000006</v>
      </c>
      <c r="G128" s="5" t="e">
        <v>#N/A</v>
      </c>
      <c r="H128" s="3">
        <v>97.05</v>
      </c>
      <c r="I128" s="3">
        <v>92.03</v>
      </c>
      <c r="J128" s="3">
        <v>119.83</v>
      </c>
      <c r="K128" s="3">
        <v>103.25</v>
      </c>
      <c r="L128" s="3" t="e">
        <v>#N/A</v>
      </c>
      <c r="M128" s="3">
        <v>89.35</v>
      </c>
      <c r="N128" s="3">
        <v>88.25</v>
      </c>
      <c r="O128" s="5">
        <v>93.3</v>
      </c>
      <c r="P128" s="52">
        <v>100.27</v>
      </c>
      <c r="Q128" s="52">
        <v>90.971000000000004</v>
      </c>
      <c r="R128" s="52">
        <v>119.16</v>
      </c>
      <c r="S128" s="52">
        <v>94.245000000000005</v>
      </c>
      <c r="T128" s="52">
        <v>94.289000000000001</v>
      </c>
      <c r="U128" s="52">
        <v>83.515000000000001</v>
      </c>
      <c r="V128" s="52">
        <v>90.623999999999995</v>
      </c>
      <c r="W128" s="52">
        <v>91.203000000000003</v>
      </c>
      <c r="X128" s="3">
        <v>11413.257287271887</v>
      </c>
      <c r="Y128" s="3">
        <v>17132.05</v>
      </c>
      <c r="Z128" s="3">
        <v>30676.73</v>
      </c>
      <c r="AA128" s="4" t="e">
        <v>#N/A</v>
      </c>
      <c r="AB128" s="4" t="e">
        <v>#N/A</v>
      </c>
      <c r="AC128" s="5" t="e">
        <v>#N/A</v>
      </c>
      <c r="AD128" s="5" t="e">
        <v>#N/A</v>
      </c>
      <c r="AE128" s="34">
        <v>91.459480860575752</v>
      </c>
      <c r="AF128" s="28">
        <v>59.645800000000001</v>
      </c>
      <c r="AG128" s="28">
        <v>57.776800000000001</v>
      </c>
      <c r="AH128" s="28">
        <v>58.054400000000001</v>
      </c>
      <c r="AI128" s="28">
        <v>62.949199999999998</v>
      </c>
      <c r="AJ128" s="28">
        <v>62.6554</v>
      </c>
      <c r="AK128" s="28">
        <v>49.929099999999998</v>
      </c>
      <c r="AL128" s="28">
        <v>48.845599999999997</v>
      </c>
      <c r="AM128" s="28">
        <v>55.838900000000002</v>
      </c>
      <c r="AN128" s="28">
        <v>67.393799999999999</v>
      </c>
      <c r="AO128" s="28">
        <v>62.839199999999998</v>
      </c>
      <c r="AP128" s="28">
        <v>50.354300000000002</v>
      </c>
      <c r="AQ128" s="28">
        <v>57.119500000000002</v>
      </c>
      <c r="AR128" s="28">
        <v>54.597000000000001</v>
      </c>
      <c r="AS128" s="28">
        <v>49.871699999999997</v>
      </c>
      <c r="AT128" s="28">
        <v>1.2443</v>
      </c>
      <c r="AU128" s="28">
        <v>51.542400000000001</v>
      </c>
      <c r="AV128" s="28">
        <v>53.115699999999997</v>
      </c>
      <c r="AW128" s="28">
        <v>58.004899999999999</v>
      </c>
      <c r="AX128" s="28">
        <v>54.868400000000001</v>
      </c>
      <c r="AY128" s="28" t="e">
        <v>#N/A</v>
      </c>
      <c r="AZ128" s="28">
        <v>51.687600000000003</v>
      </c>
      <c r="BA128" s="3">
        <v>17302.72</v>
      </c>
      <c r="BB128">
        <f>IF(ISNUMBER(VLOOKUP($B128,CEIC_DATA!$I$26:$N$353,Haver_M!BB$2,FALSE)),VLOOKUP($B128,CEIC_DATA!$I$26:$N$353,Haver_M!BB$2,FALSE),NA())</f>
        <v>106.62265318</v>
      </c>
      <c r="BC128">
        <f>IF(ISNUMBER(VLOOKUP($B128,CEIC_DATA!$I$26:$N$353,Haver_M!BC$2,FALSE)),VLOOKUP($B128,CEIC_DATA!$I$26:$N$353,Haver_M!BC$2,FALSE),NA())</f>
        <v>118.5</v>
      </c>
      <c r="BD128">
        <f>IF(ISNUMBER(VLOOKUP($B128,CEIC_DATA!$I$26:$N$353,Haver_M!BD$2,FALSE)),VLOOKUP($B128,CEIC_DATA!$I$26:$N$353,Haver_M!BD$2,FALSE),NA())</f>
        <v>120.6</v>
      </c>
      <c r="BE128">
        <f>IF(ISNUMBER(VLOOKUP($B128,CEIC_DATA!$I$26:$N$353,Haver_M!BE$2,FALSE)),VLOOKUP($B128,CEIC_DATA!$I$26:$N$353,Haver_M!BE$2,FALSE),NA())</f>
        <v>44.9</v>
      </c>
      <c r="BF128">
        <v>1017549</v>
      </c>
      <c r="BG128">
        <v>73118</v>
      </c>
      <c r="BH128">
        <v>1387464</v>
      </c>
      <c r="BI128">
        <v>239935</v>
      </c>
      <c r="BJ128" s="3">
        <v>5856.33</v>
      </c>
      <c r="BK128" s="3">
        <v>13114.51</v>
      </c>
      <c r="BL128" s="3">
        <v>7267.9</v>
      </c>
      <c r="BM128" s="3">
        <v>30396.15</v>
      </c>
      <c r="BN128" s="3">
        <v>20254.099999999999</v>
      </c>
      <c r="BO128" s="3">
        <v>29626.9</v>
      </c>
      <c r="BP128" s="28">
        <v>45.497999999999998</v>
      </c>
      <c r="BQ128" s="28">
        <f t="shared" si="5"/>
        <v>128.71620730581566</v>
      </c>
      <c r="BR128" s="28">
        <f t="shared" si="6"/>
        <v>288.2436590619368</v>
      </c>
      <c r="BS128" s="28">
        <f t="shared" si="7"/>
        <v>159.74108752033055</v>
      </c>
      <c r="BT128" s="28">
        <f t="shared" si="8"/>
        <v>668.07661875247265</v>
      </c>
      <c r="BU128" s="4">
        <v>43304</v>
      </c>
    </row>
    <row r="129" spans="1:73" x14ac:dyDescent="0.25">
      <c r="A129" t="s">
        <v>128</v>
      </c>
      <c r="B129" s="2">
        <v>40298</v>
      </c>
      <c r="C129" s="3">
        <v>5.25</v>
      </c>
      <c r="D129" s="28">
        <v>7.7766000000000002</v>
      </c>
      <c r="E129" s="34">
        <v>101.62676</v>
      </c>
      <c r="F129" s="5">
        <v>82</v>
      </c>
      <c r="G129" s="5" t="e">
        <v>#N/A</v>
      </c>
      <c r="H129" s="3">
        <v>98.25</v>
      </c>
      <c r="I129" s="3">
        <v>91.59</v>
      </c>
      <c r="J129" s="3">
        <v>120.69</v>
      </c>
      <c r="K129" s="3">
        <v>103.87</v>
      </c>
      <c r="L129" s="3" t="e">
        <v>#N/A</v>
      </c>
      <c r="M129" s="3">
        <v>94.56</v>
      </c>
      <c r="N129" s="3">
        <v>92.46</v>
      </c>
      <c r="O129" s="5">
        <v>94.9</v>
      </c>
      <c r="P129" s="52">
        <v>96.724000000000004</v>
      </c>
      <c r="Q129" s="52">
        <v>91.739000000000004</v>
      </c>
      <c r="R129" s="52">
        <v>117.366</v>
      </c>
      <c r="S129" s="52">
        <v>97.32</v>
      </c>
      <c r="T129" s="52">
        <v>103.173</v>
      </c>
      <c r="U129" s="52">
        <v>88.537000000000006</v>
      </c>
      <c r="V129" s="52">
        <v>93.569000000000003</v>
      </c>
      <c r="W129" s="52">
        <v>91.213999999999999</v>
      </c>
      <c r="X129" s="3">
        <v>11804.533948738535</v>
      </c>
      <c r="Y129" s="3">
        <v>18289.82</v>
      </c>
      <c r="Z129" s="3">
        <v>30852.240000000002</v>
      </c>
      <c r="AA129" s="4" t="e">
        <v>#N/A</v>
      </c>
      <c r="AB129" s="4" t="e">
        <v>#N/A</v>
      </c>
      <c r="AC129" s="5" t="e">
        <v>#N/A</v>
      </c>
      <c r="AD129" s="5" t="e">
        <v>#N/A</v>
      </c>
      <c r="AE129" s="34">
        <v>100.50087163719965</v>
      </c>
      <c r="AF129" s="28">
        <v>61.520699999999998</v>
      </c>
      <c r="AG129" s="28">
        <v>57.238399999999999</v>
      </c>
      <c r="AH129" s="28">
        <v>62.078899999999997</v>
      </c>
      <c r="AI129" s="28">
        <v>60.362000000000002</v>
      </c>
      <c r="AJ129" s="28">
        <v>61.870100000000001</v>
      </c>
      <c r="AK129" s="28">
        <v>51.491399999999999</v>
      </c>
      <c r="AL129" s="28">
        <v>48.667700000000004</v>
      </c>
      <c r="AM129" s="28">
        <v>55.887900000000002</v>
      </c>
      <c r="AN129" s="28">
        <v>65.150800000000004</v>
      </c>
      <c r="AO129" s="28">
        <v>62.288200000000003</v>
      </c>
      <c r="AP129" s="28">
        <v>49.170200000000001</v>
      </c>
      <c r="AQ129" s="28">
        <v>56.369100000000003</v>
      </c>
      <c r="AR129" s="28">
        <v>55.761600000000001</v>
      </c>
      <c r="AS129" s="28">
        <v>53.739699999999999</v>
      </c>
      <c r="AT129" s="28">
        <v>1.2583</v>
      </c>
      <c r="AU129" s="28">
        <v>53.187399999999997</v>
      </c>
      <c r="AV129" s="28">
        <v>55.357300000000002</v>
      </c>
      <c r="AW129" s="28">
        <v>61.114899999999999</v>
      </c>
      <c r="AX129" s="28">
        <v>58.876600000000003</v>
      </c>
      <c r="AY129" s="28" t="e">
        <v>#N/A</v>
      </c>
      <c r="AZ129" s="28">
        <v>52.534300000000002</v>
      </c>
      <c r="BA129" s="3">
        <v>17678.64</v>
      </c>
      <c r="BB129">
        <f>IF(ISNUMBER(VLOOKUP($B129,CEIC_DATA!$I$26:$N$353,Haver_M!BB$2,FALSE)),VLOOKUP($B129,CEIC_DATA!$I$26:$N$353,Haver_M!BB$2,FALSE),NA())</f>
        <v>107.3168051</v>
      </c>
      <c r="BC129" t="e">
        <f>IF(ISNUMBER(VLOOKUP($B129,CEIC_DATA!$I$26:$N$353,Haver_M!BC$2,FALSE)),VLOOKUP($B129,CEIC_DATA!$I$26:$N$353,Haver_M!BC$2,FALSE),NA())</f>
        <v>#N/A</v>
      </c>
      <c r="BD129" t="e">
        <f>IF(ISNUMBER(VLOOKUP($B129,CEIC_DATA!$I$26:$N$353,Haver_M!BD$2,FALSE)),VLOOKUP($B129,CEIC_DATA!$I$26:$N$353,Haver_M!BD$2,FALSE),NA())</f>
        <v>#N/A</v>
      </c>
      <c r="BE129" t="e">
        <f>IF(ISNUMBER(VLOOKUP($B129,CEIC_DATA!$I$26:$N$353,Haver_M!BE$2,FALSE)),VLOOKUP($B129,CEIC_DATA!$I$26:$N$353,Haver_M!BE$2,FALSE),NA())</f>
        <v>#N/A</v>
      </c>
      <c r="BF129">
        <v>958090</v>
      </c>
      <c r="BG129">
        <v>53019</v>
      </c>
      <c r="BH129">
        <v>1291584</v>
      </c>
      <c r="BI129">
        <v>220027</v>
      </c>
      <c r="BJ129" s="3">
        <v>5837.88</v>
      </c>
      <c r="BK129" s="3">
        <v>12998.91</v>
      </c>
      <c r="BL129" s="3">
        <v>7226.06</v>
      </c>
      <c r="BM129" s="3">
        <v>30106.38</v>
      </c>
      <c r="BN129" s="3">
        <v>18139.099999999999</v>
      </c>
      <c r="BO129" s="3">
        <v>31674.9</v>
      </c>
      <c r="BP129" s="28">
        <v>44.498899999999999</v>
      </c>
      <c r="BQ129" s="28">
        <f t="shared" si="5"/>
        <v>131.19155754411906</v>
      </c>
      <c r="BR129" s="28">
        <f t="shared" si="6"/>
        <v>292.11755796210696</v>
      </c>
      <c r="BS129" s="28">
        <f t="shared" si="7"/>
        <v>162.38738485670433</v>
      </c>
      <c r="BT129" s="28">
        <f t="shared" si="8"/>
        <v>676.56458923703735</v>
      </c>
      <c r="BU129" s="4">
        <v>60388</v>
      </c>
    </row>
    <row r="130" spans="1:73" x14ac:dyDescent="0.25">
      <c r="A130" t="s">
        <v>129</v>
      </c>
      <c r="B130" s="2">
        <v>40329</v>
      </c>
      <c r="C130" s="3">
        <v>5.25</v>
      </c>
      <c r="D130" s="28">
        <v>7.5206</v>
      </c>
      <c r="E130" s="34">
        <v>101.3875</v>
      </c>
      <c r="F130" s="5">
        <v>82.7</v>
      </c>
      <c r="G130" s="5" t="e">
        <v>#N/A</v>
      </c>
      <c r="H130" s="3">
        <v>95.63</v>
      </c>
      <c r="I130" s="3">
        <v>91.19</v>
      </c>
      <c r="J130" s="3">
        <v>111.79</v>
      </c>
      <c r="K130" s="3">
        <v>104.77</v>
      </c>
      <c r="L130" s="3" t="e">
        <v>#N/A</v>
      </c>
      <c r="M130" s="3">
        <v>89.1</v>
      </c>
      <c r="N130" s="3">
        <v>89.89</v>
      </c>
      <c r="O130" s="5">
        <v>93.3</v>
      </c>
      <c r="P130" s="52">
        <v>97.950999999999993</v>
      </c>
      <c r="Q130" s="52">
        <v>92.355999999999995</v>
      </c>
      <c r="R130" s="52">
        <v>113.93</v>
      </c>
      <c r="S130" s="52">
        <v>97.667000000000002</v>
      </c>
      <c r="T130" s="52">
        <v>93.62</v>
      </c>
      <c r="U130" s="52">
        <v>86.516000000000005</v>
      </c>
      <c r="V130" s="52">
        <v>93.713999999999999</v>
      </c>
      <c r="W130" s="52">
        <v>89.54</v>
      </c>
      <c r="X130" s="3">
        <v>11595.426161769776</v>
      </c>
      <c r="Y130" s="3">
        <v>17177.98</v>
      </c>
      <c r="Z130" s="3">
        <v>27545.25</v>
      </c>
      <c r="AA130" s="4" t="e">
        <v>#N/A</v>
      </c>
      <c r="AB130" s="4" t="e">
        <v>#N/A</v>
      </c>
      <c r="AC130" s="5" t="e">
        <v>#N/A</v>
      </c>
      <c r="AD130" s="5" t="e">
        <v>#N/A</v>
      </c>
      <c r="AE130" s="34">
        <v>119.70946910347243</v>
      </c>
      <c r="AF130" s="28">
        <v>59.515500000000003</v>
      </c>
      <c r="AG130" s="28">
        <v>59.004199999999997</v>
      </c>
      <c r="AH130" s="28">
        <v>58.199800000000003</v>
      </c>
      <c r="AI130" s="28">
        <v>62.246400000000001</v>
      </c>
      <c r="AJ130" s="28">
        <v>63.698999999999998</v>
      </c>
      <c r="AK130" s="28">
        <v>52.7714</v>
      </c>
      <c r="AL130" s="28">
        <v>47.897599999999997</v>
      </c>
      <c r="AM130" s="28">
        <v>59.632399999999997</v>
      </c>
      <c r="AN130" s="28">
        <v>63.7746</v>
      </c>
      <c r="AO130" s="28">
        <v>62.117100000000001</v>
      </c>
      <c r="AP130" s="28">
        <v>47.369500000000002</v>
      </c>
      <c r="AQ130" s="28">
        <v>54.793300000000002</v>
      </c>
      <c r="AR130" s="28">
        <v>55.472200000000001</v>
      </c>
      <c r="AS130" s="28">
        <v>54.878599999999999</v>
      </c>
      <c r="AT130" s="28">
        <v>1.3447</v>
      </c>
      <c r="AU130" s="28">
        <v>53.230800000000002</v>
      </c>
      <c r="AV130" s="28">
        <v>53.019100000000002</v>
      </c>
      <c r="AW130" s="28">
        <v>60.1295</v>
      </c>
      <c r="AX130" s="28">
        <v>58.208599999999997</v>
      </c>
      <c r="AY130" s="28" t="e">
        <v>#N/A</v>
      </c>
      <c r="AZ130" s="28">
        <v>52.6389</v>
      </c>
      <c r="BA130" s="3">
        <v>16844.54</v>
      </c>
      <c r="BB130">
        <f>IF(ISNUMBER(VLOOKUP($B130,CEIC_DATA!$I$26:$N$353,Haver_M!BB$2,FALSE)),VLOOKUP($B130,CEIC_DATA!$I$26:$N$353,Haver_M!BB$2,FALSE),NA())</f>
        <v>108.15833141</v>
      </c>
      <c r="BC130" t="e">
        <f>IF(ISNUMBER(VLOOKUP($B130,CEIC_DATA!$I$26:$N$353,Haver_M!BC$2,FALSE)),VLOOKUP($B130,CEIC_DATA!$I$26:$N$353,Haver_M!BC$2,FALSE),NA())</f>
        <v>#N/A</v>
      </c>
      <c r="BD130" t="e">
        <f>IF(ISNUMBER(VLOOKUP($B130,CEIC_DATA!$I$26:$N$353,Haver_M!BD$2,FALSE)),VLOOKUP($B130,CEIC_DATA!$I$26:$N$353,Haver_M!BD$2,FALSE),NA())</f>
        <v>#N/A</v>
      </c>
      <c r="BE130" t="e">
        <f>IF(ISNUMBER(VLOOKUP($B130,CEIC_DATA!$I$26:$N$353,Haver_M!BE$2,FALSE)),VLOOKUP($B130,CEIC_DATA!$I$26:$N$353,Haver_M!BE$2,FALSE),NA())</f>
        <v>#N/A</v>
      </c>
      <c r="BF130">
        <v>1057773</v>
      </c>
      <c r="BG130">
        <v>53322</v>
      </c>
      <c r="BH130">
        <v>1387975</v>
      </c>
      <c r="BI130">
        <v>223821</v>
      </c>
      <c r="BJ130" s="3">
        <v>5890.03</v>
      </c>
      <c r="BK130" s="3">
        <v>13087.21</v>
      </c>
      <c r="BL130" s="3">
        <v>7242.63</v>
      </c>
      <c r="BM130" s="3">
        <v>30214.81</v>
      </c>
      <c r="BN130" s="3">
        <v>17282</v>
      </c>
      <c r="BO130" s="3">
        <v>29747.1</v>
      </c>
      <c r="BP130" s="28">
        <v>45.804499999999997</v>
      </c>
      <c r="BQ130" s="28">
        <f t="shared" si="5"/>
        <v>128.59064065757732</v>
      </c>
      <c r="BR130" s="28">
        <f t="shared" si="6"/>
        <v>285.71887041666213</v>
      </c>
      <c r="BS130" s="28">
        <f t="shared" si="7"/>
        <v>158.12049034483513</v>
      </c>
      <c r="BT130" s="28">
        <f t="shared" si="8"/>
        <v>659.64719623617771</v>
      </c>
      <c r="BU130" s="4">
        <v>60879</v>
      </c>
    </row>
    <row r="131" spans="1:73" x14ac:dyDescent="0.25">
      <c r="A131" t="s">
        <v>130</v>
      </c>
      <c r="B131" s="2">
        <v>40359</v>
      </c>
      <c r="C131" s="3">
        <v>5.25</v>
      </c>
      <c r="D131" s="28">
        <v>7.5758000000000001</v>
      </c>
      <c r="E131" s="34">
        <v>101.59001000000001</v>
      </c>
      <c r="F131" s="5">
        <v>83.7</v>
      </c>
      <c r="G131" s="5" t="e">
        <v>#N/A</v>
      </c>
      <c r="H131" s="3">
        <v>95.35</v>
      </c>
      <c r="I131" s="3">
        <v>91.23</v>
      </c>
      <c r="J131" s="3">
        <v>99.64</v>
      </c>
      <c r="K131" s="3">
        <v>103.91</v>
      </c>
      <c r="L131" s="3" t="e">
        <v>#N/A</v>
      </c>
      <c r="M131" s="3">
        <v>92.88</v>
      </c>
      <c r="N131" s="3">
        <v>93.48</v>
      </c>
      <c r="O131" s="5">
        <v>94.2</v>
      </c>
      <c r="P131" s="52">
        <v>100.786</v>
      </c>
      <c r="Q131" s="52">
        <v>94.078999999999994</v>
      </c>
      <c r="R131" s="52">
        <v>116.943</v>
      </c>
      <c r="S131" s="52">
        <v>96.808999999999997</v>
      </c>
      <c r="T131" s="52">
        <v>98.724000000000004</v>
      </c>
      <c r="U131" s="52">
        <v>87.706999999999994</v>
      </c>
      <c r="V131" s="52">
        <v>92.358999999999995</v>
      </c>
      <c r="W131" s="52">
        <v>90.084999999999994</v>
      </c>
      <c r="X131" s="3">
        <v>11742.553907034922</v>
      </c>
      <c r="Y131" s="3">
        <v>20028.439999999999</v>
      </c>
      <c r="Z131" s="3">
        <v>28637.22</v>
      </c>
      <c r="AA131" s="4" t="e">
        <v>#N/A</v>
      </c>
      <c r="AB131" s="4" t="e">
        <v>#N/A</v>
      </c>
      <c r="AC131" s="5" t="e">
        <v>#N/A</v>
      </c>
      <c r="AD131" s="5" t="e">
        <v>#N/A</v>
      </c>
      <c r="AE131" s="34">
        <v>161.90600232471613</v>
      </c>
      <c r="AF131" s="28">
        <v>62.843899999999998</v>
      </c>
      <c r="AG131" s="28">
        <v>57.255600000000001</v>
      </c>
      <c r="AH131" s="28">
        <v>63.9664</v>
      </c>
      <c r="AI131" s="28">
        <v>60.514000000000003</v>
      </c>
      <c r="AJ131" s="28">
        <v>62.438400000000001</v>
      </c>
      <c r="AK131" s="28">
        <v>49.9983</v>
      </c>
      <c r="AL131" s="28">
        <v>48.7239</v>
      </c>
      <c r="AM131" s="28">
        <v>57.045099999999998</v>
      </c>
      <c r="AN131" s="28">
        <v>53.5565</v>
      </c>
      <c r="AO131" s="28">
        <v>61.233199999999997</v>
      </c>
      <c r="AP131" s="28">
        <v>50.183199999999999</v>
      </c>
      <c r="AQ131" s="28">
        <v>55.628399999999999</v>
      </c>
      <c r="AR131" s="28">
        <v>52.143900000000002</v>
      </c>
      <c r="AS131" s="28">
        <v>55.698300000000003</v>
      </c>
      <c r="AT131" s="28">
        <v>1.2442</v>
      </c>
      <c r="AU131" s="28">
        <v>53.364699999999999</v>
      </c>
      <c r="AV131" s="28">
        <v>53.3992</v>
      </c>
      <c r="AW131" s="28">
        <v>63.317900000000002</v>
      </c>
      <c r="AX131" s="28">
        <v>55.181399999999996</v>
      </c>
      <c r="AY131" s="28" t="e">
        <v>#N/A</v>
      </c>
      <c r="AZ131" s="28">
        <v>53.167499999999997</v>
      </c>
      <c r="BA131" s="3">
        <v>17299.75</v>
      </c>
      <c r="BB131">
        <f>IF(ISNUMBER(VLOOKUP($B131,CEIC_DATA!$I$26:$N$353,Haver_M!BB$2,FALSE)),VLOOKUP($B131,CEIC_DATA!$I$26:$N$353,Haver_M!BB$2,FALSE),NA())</f>
        <v>109.33317049999999</v>
      </c>
      <c r="BC131">
        <f>IF(ISNUMBER(VLOOKUP($B131,CEIC_DATA!$I$26:$N$353,Haver_M!BC$2,FALSE)),VLOOKUP($B131,CEIC_DATA!$I$26:$N$353,Haver_M!BC$2,FALSE),NA())</f>
        <v>115.9</v>
      </c>
      <c r="BD131">
        <f>IF(ISNUMBER(VLOOKUP($B131,CEIC_DATA!$I$26:$N$353,Haver_M!BD$2,FALSE)),VLOOKUP($B131,CEIC_DATA!$I$26:$N$353,Haver_M!BD$2,FALSE),NA())</f>
        <v>119.8</v>
      </c>
      <c r="BE131">
        <f>IF(ISNUMBER(VLOOKUP($B131,CEIC_DATA!$I$26:$N$353,Haver_M!BE$2,FALSE)),VLOOKUP($B131,CEIC_DATA!$I$26:$N$353,Haver_M!BE$2,FALSE),NA())</f>
        <v>41.2</v>
      </c>
      <c r="BF131">
        <v>1074052</v>
      </c>
      <c r="BG131">
        <v>58046</v>
      </c>
      <c r="BH131">
        <v>1410288</v>
      </c>
      <c r="BI131">
        <v>218896</v>
      </c>
      <c r="BJ131" s="3">
        <v>5928.68</v>
      </c>
      <c r="BK131" s="3">
        <v>13668.64</v>
      </c>
      <c r="BL131" s="3">
        <v>7382.63</v>
      </c>
      <c r="BM131" s="3">
        <v>31002.17</v>
      </c>
      <c r="BN131" s="3">
        <v>20667.099999999999</v>
      </c>
      <c r="BO131" s="3">
        <v>28648.6</v>
      </c>
      <c r="BP131" s="28">
        <v>46.564500000000002</v>
      </c>
      <c r="BQ131" s="28">
        <f t="shared" si="5"/>
        <v>127.3218868451288</v>
      </c>
      <c r="BR131" s="28">
        <f t="shared" si="6"/>
        <v>293.54207604505575</v>
      </c>
      <c r="BS131" s="28">
        <f t="shared" si="7"/>
        <v>158.54631747361188</v>
      </c>
      <c r="BT131" s="28">
        <f t="shared" si="8"/>
        <v>665.78981842390658</v>
      </c>
      <c r="BU131" s="4">
        <v>58288</v>
      </c>
    </row>
    <row r="132" spans="1:73" x14ac:dyDescent="0.25">
      <c r="A132" t="s">
        <v>131</v>
      </c>
      <c r="B132" s="2">
        <v>40390</v>
      </c>
      <c r="C132" s="3">
        <v>5.75</v>
      </c>
      <c r="D132" s="28">
        <v>7.8285999999999998</v>
      </c>
      <c r="E132" s="34">
        <v>99.760260000000002</v>
      </c>
      <c r="F132" s="5">
        <v>85.6</v>
      </c>
      <c r="G132" s="5" t="e">
        <v>#N/A</v>
      </c>
      <c r="H132" s="3">
        <v>99.3</v>
      </c>
      <c r="I132" s="3">
        <v>91.76</v>
      </c>
      <c r="J132" s="3">
        <v>134.34</v>
      </c>
      <c r="K132" s="3">
        <v>104.68</v>
      </c>
      <c r="L132" s="3" t="e">
        <v>#N/A</v>
      </c>
      <c r="M132" s="3">
        <v>92.44</v>
      </c>
      <c r="N132" s="3">
        <v>91.18</v>
      </c>
      <c r="O132" s="5">
        <v>93.9</v>
      </c>
      <c r="P132" s="52">
        <v>102.458</v>
      </c>
      <c r="Q132" s="52">
        <v>100.768</v>
      </c>
      <c r="R132" s="52">
        <v>113.46899999999999</v>
      </c>
      <c r="S132" s="52">
        <v>99.037999999999997</v>
      </c>
      <c r="T132" s="52">
        <v>97.864999999999995</v>
      </c>
      <c r="U132" s="52">
        <v>84.944000000000003</v>
      </c>
      <c r="V132" s="52">
        <v>88.191999999999993</v>
      </c>
      <c r="W132" s="52">
        <v>89.224000000000004</v>
      </c>
      <c r="X132" s="3">
        <v>11797.434833796395</v>
      </c>
      <c r="Y132" s="3">
        <v>16598.310000000001</v>
      </c>
      <c r="Z132" s="3">
        <v>28274.46</v>
      </c>
      <c r="AA132" s="4" t="e">
        <v>#N/A</v>
      </c>
      <c r="AB132" s="4" t="e">
        <v>#N/A</v>
      </c>
      <c r="AC132" s="5" t="e">
        <v>#N/A</v>
      </c>
      <c r="AD132" s="5" t="e">
        <v>#N/A</v>
      </c>
      <c r="AE132" s="34">
        <v>95.410785808821544</v>
      </c>
      <c r="AF132" s="28">
        <v>61.896000000000001</v>
      </c>
      <c r="AG132" s="28">
        <v>57.594499999999996</v>
      </c>
      <c r="AH132" s="28">
        <v>61.718800000000002</v>
      </c>
      <c r="AI132" s="28">
        <v>62.263800000000003</v>
      </c>
      <c r="AJ132" s="28">
        <v>62.816000000000003</v>
      </c>
      <c r="AK132" s="28">
        <v>49.867100000000001</v>
      </c>
      <c r="AL132" s="28">
        <v>49.656599999999997</v>
      </c>
      <c r="AM132" s="28">
        <v>56.588000000000001</v>
      </c>
      <c r="AN132" s="28">
        <v>54.548000000000002</v>
      </c>
      <c r="AO132" s="28">
        <v>60.071599999999997</v>
      </c>
      <c r="AP132" s="28">
        <v>50.516199999999998</v>
      </c>
      <c r="AQ132" s="28">
        <v>57.387099999999997</v>
      </c>
      <c r="AR132" s="28">
        <v>52.770499999999998</v>
      </c>
      <c r="AS132" s="28">
        <v>52.336100000000002</v>
      </c>
      <c r="AT132" s="28">
        <v>1.2435</v>
      </c>
      <c r="AU132" s="28">
        <v>51.9497</v>
      </c>
      <c r="AV132" s="28">
        <v>53.142699999999998</v>
      </c>
      <c r="AW132" s="28">
        <v>58.124299999999998</v>
      </c>
      <c r="AX132" s="28">
        <v>58.542299999999997</v>
      </c>
      <c r="AY132" s="28" t="e">
        <v>#N/A</v>
      </c>
      <c r="AZ132" s="28">
        <v>51.231299999999997</v>
      </c>
      <c r="BA132" s="3">
        <v>17847.830000000002</v>
      </c>
      <c r="BB132">
        <f>IF(ISNUMBER(VLOOKUP($B132,CEIC_DATA!$I$26:$N$353,Haver_M!BB$2,FALSE)),VLOOKUP($B132,CEIC_DATA!$I$26:$N$353,Haver_M!BB$2,FALSE),NA())</f>
        <v>110.68954975</v>
      </c>
      <c r="BC132" t="e">
        <f>IF(ISNUMBER(VLOOKUP($B132,CEIC_DATA!$I$26:$N$353,Haver_M!BC$2,FALSE)),VLOOKUP($B132,CEIC_DATA!$I$26:$N$353,Haver_M!BC$2,FALSE),NA())</f>
        <v>#N/A</v>
      </c>
      <c r="BD132" t="e">
        <f>IF(ISNUMBER(VLOOKUP($B132,CEIC_DATA!$I$26:$N$353,Haver_M!BD$2,FALSE)),VLOOKUP($B132,CEIC_DATA!$I$26:$N$353,Haver_M!BD$2,FALSE),NA())</f>
        <v>#N/A</v>
      </c>
      <c r="BE132" t="e">
        <f>IF(ISNUMBER(VLOOKUP($B132,CEIC_DATA!$I$26:$N$353,Haver_M!BE$2,FALSE)),VLOOKUP($B132,CEIC_DATA!$I$26:$N$353,Haver_M!BE$2,FALSE),NA())</f>
        <v>#N/A</v>
      </c>
      <c r="BF132">
        <v>1074487</v>
      </c>
      <c r="BG132">
        <v>57674</v>
      </c>
      <c r="BH132">
        <v>1435852</v>
      </c>
      <c r="BI132">
        <v>236333</v>
      </c>
      <c r="BJ132" s="3">
        <v>6070.16</v>
      </c>
      <c r="BK132" s="3">
        <v>13858.89</v>
      </c>
      <c r="BL132" s="3">
        <v>7461.91</v>
      </c>
      <c r="BM132" s="3">
        <v>31354.9</v>
      </c>
      <c r="BN132" s="3">
        <v>16954.5</v>
      </c>
      <c r="BO132" s="3">
        <v>29669.9</v>
      </c>
      <c r="BP132" s="28">
        <v>46.836399999999998</v>
      </c>
      <c r="BQ132" s="28">
        <f t="shared" si="5"/>
        <v>129.6034708047587</v>
      </c>
      <c r="BR132" s="28">
        <f t="shared" si="6"/>
        <v>295.89998377330454</v>
      </c>
      <c r="BS132" s="28">
        <f t="shared" si="7"/>
        <v>159.31860689549154</v>
      </c>
      <c r="BT132" s="28">
        <f t="shared" si="8"/>
        <v>669.45580787592564</v>
      </c>
      <c r="BU132" s="4">
        <v>55358</v>
      </c>
    </row>
    <row r="133" spans="1:73" x14ac:dyDescent="0.25">
      <c r="A133" t="s">
        <v>132</v>
      </c>
      <c r="B133" s="2">
        <v>40421</v>
      </c>
      <c r="C133" s="3">
        <v>5.75</v>
      </c>
      <c r="D133" s="28">
        <v>7.9863</v>
      </c>
      <c r="E133" s="34">
        <v>99.637510000000006</v>
      </c>
      <c r="F133" s="5">
        <v>85.7</v>
      </c>
      <c r="G133" s="5" t="e">
        <v>#N/A</v>
      </c>
      <c r="H133" s="3">
        <v>97.79</v>
      </c>
      <c r="I133" s="3">
        <v>92.77</v>
      </c>
      <c r="J133" s="3">
        <v>112.29</v>
      </c>
      <c r="K133" s="3">
        <v>105.16</v>
      </c>
      <c r="L133" s="3" t="e">
        <v>#N/A</v>
      </c>
      <c r="M133" s="3">
        <v>90.14</v>
      </c>
      <c r="N133" s="3">
        <v>92.24</v>
      </c>
      <c r="O133" s="5">
        <v>94.7</v>
      </c>
      <c r="P133" s="52">
        <v>102.815</v>
      </c>
      <c r="Q133" s="52">
        <v>98.748999999999995</v>
      </c>
      <c r="R133" s="52">
        <v>108.312</v>
      </c>
      <c r="S133" s="52">
        <v>94.722999999999999</v>
      </c>
      <c r="T133" s="52">
        <v>93.686999999999998</v>
      </c>
      <c r="U133" s="52">
        <v>90.608000000000004</v>
      </c>
      <c r="V133" s="52">
        <v>92.100999999999999</v>
      </c>
      <c r="W133" s="52">
        <v>91.245999999999995</v>
      </c>
      <c r="X133" s="3">
        <v>11564.345748301341</v>
      </c>
      <c r="Y133" s="3">
        <v>18337.22</v>
      </c>
      <c r="Z133" s="3">
        <v>27438.34</v>
      </c>
      <c r="AA133" s="4" t="e">
        <v>#N/A</v>
      </c>
      <c r="AB133" s="4" t="e">
        <v>#N/A</v>
      </c>
      <c r="AC133" s="5" t="e">
        <v>#N/A</v>
      </c>
      <c r="AD133" s="5" t="e">
        <v>#N/A</v>
      </c>
      <c r="AE133" s="34">
        <v>89.608020554521701</v>
      </c>
      <c r="AF133" s="28">
        <v>60.278799999999997</v>
      </c>
      <c r="AG133" s="28">
        <v>57.248199999999997</v>
      </c>
      <c r="AH133" s="28">
        <v>59.302999999999997</v>
      </c>
      <c r="AI133" s="28">
        <v>62.304299999999998</v>
      </c>
      <c r="AJ133" s="28">
        <v>61.993400000000001</v>
      </c>
      <c r="AK133" s="28">
        <v>49.473399999999998</v>
      </c>
      <c r="AL133" s="28">
        <v>48.4422</v>
      </c>
      <c r="AM133" s="28">
        <v>54.4572</v>
      </c>
      <c r="AN133" s="28">
        <v>55.303699999999999</v>
      </c>
      <c r="AO133" s="28">
        <v>59.320999999999998</v>
      </c>
      <c r="AP133" s="28">
        <v>50.835700000000003</v>
      </c>
      <c r="AQ133" s="28">
        <v>55.484099999999998</v>
      </c>
      <c r="AR133" s="28">
        <v>52.035600000000002</v>
      </c>
      <c r="AS133" s="28">
        <v>52.473100000000002</v>
      </c>
      <c r="AT133" s="28">
        <v>1.2195</v>
      </c>
      <c r="AU133" s="28">
        <v>51.813299999999998</v>
      </c>
      <c r="AV133" s="28">
        <v>53.270099999999999</v>
      </c>
      <c r="AW133" s="28">
        <v>58.872599999999998</v>
      </c>
      <c r="AX133" s="28">
        <v>57.13</v>
      </c>
      <c r="AY133" s="28" t="e">
        <v>#N/A</v>
      </c>
      <c r="AZ133" s="28">
        <v>51.073700000000002</v>
      </c>
      <c r="BA133" s="3">
        <v>18176.86</v>
      </c>
      <c r="BB133">
        <f>IF(ISNUMBER(VLOOKUP($B133,CEIC_DATA!$I$26:$N$353,Haver_M!BB$2,FALSE)),VLOOKUP($B133,CEIC_DATA!$I$26:$N$353,Haver_M!BB$2,FALSE),NA())</f>
        <v>112.02836773999999</v>
      </c>
      <c r="BC133" t="e">
        <f>IF(ISNUMBER(VLOOKUP($B133,CEIC_DATA!$I$26:$N$353,Haver_M!BC$2,FALSE)),VLOOKUP($B133,CEIC_DATA!$I$26:$N$353,Haver_M!BC$2,FALSE),NA())</f>
        <v>#N/A</v>
      </c>
      <c r="BD133" t="e">
        <f>IF(ISNUMBER(VLOOKUP($B133,CEIC_DATA!$I$26:$N$353,Haver_M!BD$2,FALSE)),VLOOKUP($B133,CEIC_DATA!$I$26:$N$353,Haver_M!BD$2,FALSE),NA())</f>
        <v>#N/A</v>
      </c>
      <c r="BE133" t="e">
        <f>IF(ISNUMBER(VLOOKUP($B133,CEIC_DATA!$I$26:$N$353,Haver_M!BE$2,FALSE)),VLOOKUP($B133,CEIC_DATA!$I$26:$N$353,Haver_M!BE$2,FALSE),NA())</f>
        <v>#N/A</v>
      </c>
      <c r="BF133">
        <v>1082293</v>
      </c>
      <c r="BG133">
        <v>58613</v>
      </c>
      <c r="BH133">
        <v>1452817</v>
      </c>
      <c r="BI133">
        <v>240682</v>
      </c>
      <c r="BJ133" s="3">
        <v>6140.07</v>
      </c>
      <c r="BK133" s="3">
        <v>13875.79</v>
      </c>
      <c r="BL133" s="3">
        <v>7423.25</v>
      </c>
      <c r="BM133" s="3">
        <v>31392.959999999999</v>
      </c>
      <c r="BN133" s="3">
        <v>17750.400000000001</v>
      </c>
      <c r="BO133" s="3">
        <v>27107.7</v>
      </c>
      <c r="BP133" s="28">
        <v>46.567100000000003</v>
      </c>
      <c r="BQ133" s="28">
        <f t="shared" si="5"/>
        <v>131.85424902989448</v>
      </c>
      <c r="BR133" s="28">
        <f t="shared" si="6"/>
        <v>297.97410618226172</v>
      </c>
      <c r="BS133" s="28">
        <f t="shared" si="7"/>
        <v>159.40975495575202</v>
      </c>
      <c r="BT133" s="28">
        <f t="shared" si="8"/>
        <v>674.14462141726665</v>
      </c>
      <c r="BU133" s="4">
        <v>50773</v>
      </c>
    </row>
    <row r="134" spans="1:73" x14ac:dyDescent="0.25">
      <c r="A134" t="s">
        <v>133</v>
      </c>
      <c r="B134" s="2">
        <v>40451</v>
      </c>
      <c r="C134" s="3">
        <v>6</v>
      </c>
      <c r="D134" s="28">
        <v>7.8963000000000001</v>
      </c>
      <c r="E134" s="34">
        <v>100.10533</v>
      </c>
      <c r="F134" s="5">
        <v>86.5</v>
      </c>
      <c r="G134" s="5" t="e">
        <v>#N/A</v>
      </c>
      <c r="H134" s="3">
        <v>99.13</v>
      </c>
      <c r="I134" s="3">
        <v>93.34</v>
      </c>
      <c r="J134" s="3">
        <v>118.83</v>
      </c>
      <c r="K134" s="3">
        <v>104.94</v>
      </c>
      <c r="L134" s="3" t="e">
        <v>#N/A</v>
      </c>
      <c r="M134" s="3">
        <v>92.09</v>
      </c>
      <c r="N134" s="3">
        <v>93.43</v>
      </c>
      <c r="O134" s="5">
        <v>94.3</v>
      </c>
      <c r="P134" s="52">
        <v>101.477</v>
      </c>
      <c r="Q134" s="52">
        <v>99.552000000000007</v>
      </c>
      <c r="R134" s="52">
        <v>109.145</v>
      </c>
      <c r="S134" s="52">
        <v>91.150999999999996</v>
      </c>
      <c r="T134" s="52">
        <v>96.036000000000001</v>
      </c>
      <c r="U134" s="52">
        <v>91.356999999999999</v>
      </c>
      <c r="V134" s="52">
        <v>92.596999999999994</v>
      </c>
      <c r="W134" s="52">
        <v>90.956000000000003</v>
      </c>
      <c r="X134" s="3">
        <v>11435.247381157864</v>
      </c>
      <c r="Y134" s="3">
        <v>19083.150000000001</v>
      </c>
      <c r="Z134" s="3">
        <v>29034.78</v>
      </c>
      <c r="AA134" s="4" t="e">
        <v>#N/A</v>
      </c>
      <c r="AB134" s="4" t="e">
        <v>#N/A</v>
      </c>
      <c r="AC134" s="5" t="e">
        <v>#N/A</v>
      </c>
      <c r="AD134" s="5" t="e">
        <v>#N/A</v>
      </c>
      <c r="AE134" s="34">
        <v>102.11741877359944</v>
      </c>
      <c r="AF134" s="28">
        <v>56.483699999999999</v>
      </c>
      <c r="AG134" s="28">
        <v>55.130899999999997</v>
      </c>
      <c r="AH134" s="28">
        <v>55.578800000000001</v>
      </c>
      <c r="AI134" s="28">
        <v>58.362099999999998</v>
      </c>
      <c r="AJ134" s="28">
        <v>58.650599999999997</v>
      </c>
      <c r="AK134" s="28">
        <v>49.561700000000002</v>
      </c>
      <c r="AL134" s="28">
        <v>50.163899999999998</v>
      </c>
      <c r="AM134" s="28">
        <v>55.5747</v>
      </c>
      <c r="AN134" s="28">
        <v>57.755000000000003</v>
      </c>
      <c r="AO134" s="28">
        <v>56.382899999999999</v>
      </c>
      <c r="AP134" s="28">
        <v>49.627400000000002</v>
      </c>
      <c r="AQ134" s="28">
        <v>54.008699999999997</v>
      </c>
      <c r="AR134" s="28">
        <v>50.862000000000002</v>
      </c>
      <c r="AS134" s="28">
        <v>52.6554</v>
      </c>
      <c r="AT134" s="28">
        <v>1.1818</v>
      </c>
      <c r="AU134" s="28">
        <v>50.274900000000002</v>
      </c>
      <c r="AV134" s="28">
        <v>51.851799999999997</v>
      </c>
      <c r="AW134" s="28">
        <v>54.048900000000003</v>
      </c>
      <c r="AX134" s="28">
        <v>55.573700000000002</v>
      </c>
      <c r="AY134" s="28" t="e">
        <v>#N/A</v>
      </c>
      <c r="AZ134" s="28">
        <v>49.836199999999998</v>
      </c>
      <c r="BA134" s="3">
        <v>19352.86</v>
      </c>
      <c r="BB134">
        <f>IF(ISNUMBER(VLOOKUP($B134,CEIC_DATA!$I$26:$N$353,Haver_M!BB$2,FALSE)),VLOOKUP($B134,CEIC_DATA!$I$26:$N$353,Haver_M!BB$2,FALSE),NA())</f>
        <v>113.29319235</v>
      </c>
      <c r="BC134">
        <f>IF(ISNUMBER(VLOOKUP($B134,CEIC_DATA!$I$26:$N$353,Haver_M!BC$2,FALSE)),VLOOKUP($B134,CEIC_DATA!$I$26:$N$353,Haver_M!BC$2,FALSE),NA())</f>
        <v>119</v>
      </c>
      <c r="BD134">
        <f>IF(ISNUMBER(VLOOKUP($B134,CEIC_DATA!$I$26:$N$353,Haver_M!BD$2,FALSE)),VLOOKUP($B134,CEIC_DATA!$I$26:$N$353,Haver_M!BD$2,FALSE),NA())</f>
        <v>118.8</v>
      </c>
      <c r="BE134">
        <f>IF(ISNUMBER(VLOOKUP($B134,CEIC_DATA!$I$26:$N$353,Haver_M!BE$2,FALSE)),VLOOKUP($B134,CEIC_DATA!$I$26:$N$353,Haver_M!BE$2,FALSE),NA())</f>
        <v>41.5</v>
      </c>
      <c r="BF134">
        <v>1113400</v>
      </c>
      <c r="BG134">
        <v>65716</v>
      </c>
      <c r="BH134">
        <v>1499450</v>
      </c>
      <c r="BI134">
        <v>249980</v>
      </c>
      <c r="BJ134" s="3">
        <v>6313.65</v>
      </c>
      <c r="BK134" s="3">
        <v>14172</v>
      </c>
      <c r="BL134" s="3">
        <v>7486.53</v>
      </c>
      <c r="BM134" s="3">
        <v>31991.51</v>
      </c>
      <c r="BN134" s="3">
        <v>18984.2</v>
      </c>
      <c r="BO134" s="3">
        <v>29511.8</v>
      </c>
      <c r="BP134" s="28">
        <v>46.058999999999997</v>
      </c>
      <c r="BQ134" s="28">
        <f t="shared" si="5"/>
        <v>137.07744414772358</v>
      </c>
      <c r="BR134" s="28">
        <f t="shared" si="6"/>
        <v>307.69230769230774</v>
      </c>
      <c r="BS134" s="28">
        <f t="shared" si="7"/>
        <v>162.54217416791508</v>
      </c>
      <c r="BT134" s="28">
        <f t="shared" si="8"/>
        <v>694.5767385310146</v>
      </c>
      <c r="BU134" s="4">
        <v>46650</v>
      </c>
    </row>
    <row r="135" spans="1:73" x14ac:dyDescent="0.25">
      <c r="A135" t="s">
        <v>134</v>
      </c>
      <c r="B135" s="2">
        <v>40482</v>
      </c>
      <c r="C135" s="3">
        <v>6</v>
      </c>
      <c r="D135" s="28">
        <v>8.1179000000000006</v>
      </c>
      <c r="E135" s="34">
        <v>101.22752</v>
      </c>
      <c r="F135" s="5">
        <v>87</v>
      </c>
      <c r="G135" s="5" t="e">
        <v>#N/A</v>
      </c>
      <c r="H135" s="3">
        <v>101.58</v>
      </c>
      <c r="I135" s="3">
        <v>97.18</v>
      </c>
      <c r="J135" s="3">
        <v>133.09</v>
      </c>
      <c r="K135" s="3">
        <v>107.42</v>
      </c>
      <c r="L135" s="3" t="e">
        <v>#N/A</v>
      </c>
      <c r="M135" s="3">
        <v>93.48</v>
      </c>
      <c r="N135" s="3">
        <v>90.59</v>
      </c>
      <c r="O135" s="5">
        <v>97.3</v>
      </c>
      <c r="P135" s="52">
        <v>102.33</v>
      </c>
      <c r="Q135" s="52">
        <v>100.303</v>
      </c>
      <c r="R135" s="52">
        <v>107.96299999999999</v>
      </c>
      <c r="S135" s="52">
        <v>95.75</v>
      </c>
      <c r="T135" s="52">
        <v>93.947000000000003</v>
      </c>
      <c r="U135" s="52">
        <v>92.522999999999996</v>
      </c>
      <c r="V135" s="52">
        <v>99.155000000000001</v>
      </c>
      <c r="W135" s="52">
        <v>94.224000000000004</v>
      </c>
      <c r="X135" s="3">
        <v>11779.572757313139</v>
      </c>
      <c r="Y135" s="3">
        <v>20190.150000000001</v>
      </c>
      <c r="Z135" s="3">
        <v>31150.33</v>
      </c>
      <c r="AA135" s="4" t="e">
        <v>#N/A</v>
      </c>
      <c r="AB135" s="4" t="e">
        <v>#N/A</v>
      </c>
      <c r="AC135" s="5" t="e">
        <v>#N/A</v>
      </c>
      <c r="AD135" s="5" t="e">
        <v>#N/A</v>
      </c>
      <c r="AE135" s="34">
        <v>82.621383170813061</v>
      </c>
      <c r="AF135" s="28">
        <v>58.350499999999997</v>
      </c>
      <c r="AG135" s="28">
        <v>57.214300000000001</v>
      </c>
      <c r="AH135" s="28">
        <v>56.211100000000002</v>
      </c>
      <c r="AI135" s="28">
        <v>62.7913</v>
      </c>
      <c r="AJ135" s="28">
        <v>60.636000000000003</v>
      </c>
      <c r="AK135" s="28">
        <v>50.962000000000003</v>
      </c>
      <c r="AL135" s="28">
        <v>49.634700000000002</v>
      </c>
      <c r="AM135" s="28">
        <v>55.784799999999997</v>
      </c>
      <c r="AN135" s="28">
        <v>60.8992</v>
      </c>
      <c r="AO135" s="28">
        <v>56.580800000000004</v>
      </c>
      <c r="AP135" s="28">
        <v>50.228099999999998</v>
      </c>
      <c r="AQ135" s="28">
        <v>53.429099999999998</v>
      </c>
      <c r="AR135" s="28">
        <v>51.591200000000001</v>
      </c>
      <c r="AS135" s="28">
        <v>50.9985</v>
      </c>
      <c r="AT135" s="28">
        <v>1.2072000000000001</v>
      </c>
      <c r="AU135" s="28">
        <v>51.373800000000003</v>
      </c>
      <c r="AV135" s="28">
        <v>49.386299999999999</v>
      </c>
      <c r="AW135" s="28">
        <v>53.334699999999998</v>
      </c>
      <c r="AX135" s="28">
        <v>53.805900000000001</v>
      </c>
      <c r="AY135" s="28" t="e">
        <v>#N/A</v>
      </c>
      <c r="AZ135" s="28">
        <v>48.404000000000003</v>
      </c>
      <c r="BA135" s="3">
        <v>20249.75</v>
      </c>
      <c r="BB135">
        <f>IF(ISNUMBER(VLOOKUP($B135,CEIC_DATA!$I$26:$N$353,Haver_M!BB$2,FALSE)),VLOOKUP($B135,CEIC_DATA!$I$26:$N$353,Haver_M!BB$2,FALSE),NA())</f>
        <v>114.37879982</v>
      </c>
      <c r="BC135" t="e">
        <f>IF(ISNUMBER(VLOOKUP($B135,CEIC_DATA!$I$26:$N$353,Haver_M!BC$2,FALSE)),VLOOKUP($B135,CEIC_DATA!$I$26:$N$353,Haver_M!BC$2,FALSE),NA())</f>
        <v>#N/A</v>
      </c>
      <c r="BD135" t="e">
        <f>IF(ISNUMBER(VLOOKUP($B135,CEIC_DATA!$I$26:$N$353,Haver_M!BD$2,FALSE)),VLOOKUP($B135,CEIC_DATA!$I$26:$N$353,Haver_M!BD$2,FALSE),NA())</f>
        <v>#N/A</v>
      </c>
      <c r="BE135" t="e">
        <f>IF(ISNUMBER(VLOOKUP($B135,CEIC_DATA!$I$26:$N$353,Haver_M!BE$2,FALSE)),VLOOKUP($B135,CEIC_DATA!$I$26:$N$353,Haver_M!BE$2,FALSE),NA())</f>
        <v>#N/A</v>
      </c>
      <c r="BF135">
        <v>1261787</v>
      </c>
      <c r="BG135">
        <v>58994</v>
      </c>
      <c r="BH135">
        <v>1655294</v>
      </c>
      <c r="BI135">
        <v>260362</v>
      </c>
      <c r="BJ135" s="3">
        <v>6397.71</v>
      </c>
      <c r="BK135" s="3">
        <v>14297.98</v>
      </c>
      <c r="BL135" s="3">
        <v>7704.76</v>
      </c>
      <c r="BM135" s="3">
        <v>32464.48</v>
      </c>
      <c r="BN135" s="3">
        <v>19080.8</v>
      </c>
      <c r="BO135" s="3">
        <v>32461.7</v>
      </c>
      <c r="BP135" s="28">
        <v>44.411900000000003</v>
      </c>
      <c r="BQ135" s="28">
        <f t="shared" ref="BQ135:BQ198" si="9">IF(ISNUMBER(BJ135),BJ135/$BP135,"")</f>
        <v>144.05395851111976</v>
      </c>
      <c r="BR135" s="28">
        <f t="shared" ref="BR135:BR198" si="10">IF(ISNUMBER(BK135),BK135/$BP135,"")</f>
        <v>321.94029077792209</v>
      </c>
      <c r="BS135" s="28">
        <f t="shared" ref="BS135:BS198" si="11">IF(ISNUMBER(BL135),BL135/$BP135,"")</f>
        <v>173.48413375694352</v>
      </c>
      <c r="BT135" s="28">
        <f t="shared" ref="BT135:BT198" si="12">IF(ISNUMBER(BM135),BM135/$BP135,"")</f>
        <v>730.98606454576361</v>
      </c>
      <c r="BU135" s="4">
        <v>49027</v>
      </c>
    </row>
    <row r="136" spans="1:73" x14ac:dyDescent="0.25">
      <c r="A136" t="s">
        <v>135</v>
      </c>
      <c r="B136" s="2">
        <v>40512</v>
      </c>
      <c r="C136" s="3">
        <v>6.25</v>
      </c>
      <c r="D136" s="28">
        <v>8.0497999999999994</v>
      </c>
      <c r="E136" s="34">
        <v>100.38441</v>
      </c>
      <c r="F136" s="5">
        <v>87.5</v>
      </c>
      <c r="G136" s="5" t="e">
        <v>#N/A</v>
      </c>
      <c r="H136" s="3">
        <v>100.14</v>
      </c>
      <c r="I136" s="3">
        <v>94.71</v>
      </c>
      <c r="J136" s="3">
        <v>123.06</v>
      </c>
      <c r="K136" s="3">
        <v>106.34</v>
      </c>
      <c r="L136" s="3" t="e">
        <v>#N/A</v>
      </c>
      <c r="M136" s="3">
        <v>96.25</v>
      </c>
      <c r="N136" s="3">
        <v>88.31</v>
      </c>
      <c r="O136" s="5">
        <v>93.4</v>
      </c>
      <c r="P136" s="52">
        <v>101.02200000000001</v>
      </c>
      <c r="Q136" s="52">
        <v>103.483</v>
      </c>
      <c r="R136" s="52">
        <v>109.102</v>
      </c>
      <c r="S136" s="52">
        <v>94.241</v>
      </c>
      <c r="T136" s="52">
        <v>96.944999999999993</v>
      </c>
      <c r="U136" s="52">
        <v>88.213999999999999</v>
      </c>
      <c r="V136" s="52">
        <v>89.097999999999999</v>
      </c>
      <c r="W136" s="52">
        <v>88.944000000000003</v>
      </c>
      <c r="X136" s="3">
        <v>11603.264198919522</v>
      </c>
      <c r="Y136" s="3">
        <v>24476.799999999999</v>
      </c>
      <c r="Z136" s="3">
        <v>30135.96</v>
      </c>
      <c r="AA136" s="4" t="e">
        <v>#N/A</v>
      </c>
      <c r="AB136" s="4" t="e">
        <v>#N/A</v>
      </c>
      <c r="AC136" s="5" t="e">
        <v>#N/A</v>
      </c>
      <c r="AD136" s="5" t="e">
        <v>#N/A</v>
      </c>
      <c r="AE136" s="34">
        <v>113.8628981520785</v>
      </c>
      <c r="AF136" s="28">
        <v>61.251800000000003</v>
      </c>
      <c r="AG136" s="28">
        <v>58.366399999999999</v>
      </c>
      <c r="AH136" s="28">
        <v>60.096299999999999</v>
      </c>
      <c r="AI136" s="28">
        <v>63.650500000000001</v>
      </c>
      <c r="AJ136" s="28">
        <v>62.152299999999997</v>
      </c>
      <c r="AK136" s="28">
        <v>49.807299999999998</v>
      </c>
      <c r="AL136" s="28">
        <v>47.152500000000003</v>
      </c>
      <c r="AM136" s="28">
        <v>59.195399999999999</v>
      </c>
      <c r="AN136" s="28">
        <v>62.5227</v>
      </c>
      <c r="AO136" s="28">
        <v>60.212499999999999</v>
      </c>
      <c r="AP136" s="28">
        <v>51.001600000000003</v>
      </c>
      <c r="AQ136" s="28">
        <v>58.962400000000002</v>
      </c>
      <c r="AR136" s="28">
        <v>52.503100000000003</v>
      </c>
      <c r="AS136" s="28">
        <v>55.6907</v>
      </c>
      <c r="AT136" s="28">
        <v>1.2185999999999999</v>
      </c>
      <c r="AU136" s="28">
        <v>51.898499999999999</v>
      </c>
      <c r="AV136" s="28">
        <v>52.831099999999999</v>
      </c>
      <c r="AW136" s="28">
        <v>57.660800000000002</v>
      </c>
      <c r="AX136" s="28">
        <v>54.948700000000002</v>
      </c>
      <c r="AY136" s="28" t="e">
        <v>#N/A</v>
      </c>
      <c r="AZ136" s="28">
        <v>49.563800000000001</v>
      </c>
      <c r="BA136" s="3">
        <v>20126.349999999999</v>
      </c>
      <c r="BB136">
        <f>IF(ISNUMBER(VLOOKUP($B136,CEIC_DATA!$I$26:$N$353,Haver_M!BB$2,FALSE)),VLOOKUP($B136,CEIC_DATA!$I$26:$N$353,Haver_M!BB$2,FALSE),NA())</f>
        <v>115.08023295</v>
      </c>
      <c r="BC136" t="e">
        <f>IF(ISNUMBER(VLOOKUP($B136,CEIC_DATA!$I$26:$N$353,Haver_M!BC$2,FALSE)),VLOOKUP($B136,CEIC_DATA!$I$26:$N$353,Haver_M!BC$2,FALSE),NA())</f>
        <v>#N/A</v>
      </c>
      <c r="BD136" t="e">
        <f>IF(ISNUMBER(VLOOKUP($B136,CEIC_DATA!$I$26:$N$353,Haver_M!BD$2,FALSE)),VLOOKUP($B136,CEIC_DATA!$I$26:$N$353,Haver_M!BD$2,FALSE),NA())</f>
        <v>#N/A</v>
      </c>
      <c r="BE136" t="e">
        <f>IF(ISNUMBER(VLOOKUP($B136,CEIC_DATA!$I$26:$N$353,Haver_M!BE$2,FALSE)),VLOOKUP($B136,CEIC_DATA!$I$26:$N$353,Haver_M!BE$2,FALSE),NA())</f>
        <v>#N/A</v>
      </c>
      <c r="BF136">
        <v>1044801</v>
      </c>
      <c r="BG136">
        <v>55170</v>
      </c>
      <c r="BH136">
        <v>1394207</v>
      </c>
      <c r="BI136">
        <v>231733</v>
      </c>
      <c r="BJ136" s="3">
        <v>6514.12</v>
      </c>
      <c r="BK136" s="3">
        <v>14654.77</v>
      </c>
      <c r="BL136" s="3">
        <v>7865.98</v>
      </c>
      <c r="BM136" s="3">
        <v>33153.03</v>
      </c>
      <c r="BN136" s="3">
        <v>22575</v>
      </c>
      <c r="BO136" s="3">
        <v>28842.3</v>
      </c>
      <c r="BP136" s="28">
        <v>45.016500000000001</v>
      </c>
      <c r="BQ136" s="28">
        <f t="shared" si="9"/>
        <v>144.70516366221273</v>
      </c>
      <c r="BR136" s="28">
        <f t="shared" si="10"/>
        <v>325.54219008585738</v>
      </c>
      <c r="BS136" s="28">
        <f t="shared" si="11"/>
        <v>174.73548587740049</v>
      </c>
      <c r="BT136" s="28">
        <f t="shared" si="12"/>
        <v>736.46396321348834</v>
      </c>
      <c r="BU136" s="4">
        <v>48634</v>
      </c>
    </row>
    <row r="137" spans="1:73" x14ac:dyDescent="0.25">
      <c r="A137" t="s">
        <v>136</v>
      </c>
      <c r="B137" s="2">
        <v>40543</v>
      </c>
      <c r="C137" s="3">
        <v>6.25</v>
      </c>
      <c r="D137" s="28">
        <v>7.9534000000000002</v>
      </c>
      <c r="E137" s="34">
        <v>101.49627</v>
      </c>
      <c r="F137" s="5">
        <v>88.5</v>
      </c>
      <c r="G137" s="5" t="e">
        <v>#N/A</v>
      </c>
      <c r="H137" s="3">
        <v>101.9</v>
      </c>
      <c r="I137" s="3">
        <v>95.62</v>
      </c>
      <c r="J137" s="3">
        <v>129.94999999999999</v>
      </c>
      <c r="K137" s="3">
        <v>108.4</v>
      </c>
      <c r="L137" s="3" t="e">
        <v>#N/A</v>
      </c>
      <c r="M137" s="3">
        <v>97.11</v>
      </c>
      <c r="N137" s="3">
        <v>91.64</v>
      </c>
      <c r="O137" s="5">
        <v>96.9</v>
      </c>
      <c r="P137" s="52">
        <v>99.335999999999999</v>
      </c>
      <c r="Q137" s="52">
        <v>103.399</v>
      </c>
      <c r="R137" s="52">
        <v>108.745</v>
      </c>
      <c r="S137" s="52">
        <v>101.849</v>
      </c>
      <c r="T137" s="52">
        <v>96.697999999999993</v>
      </c>
      <c r="U137" s="52">
        <v>92.114999999999995</v>
      </c>
      <c r="V137" s="52">
        <v>89.753</v>
      </c>
      <c r="W137" s="52">
        <v>92.808000000000007</v>
      </c>
      <c r="X137" s="3">
        <v>12202.522996271247</v>
      </c>
      <c r="Y137" s="3">
        <v>23171.75</v>
      </c>
      <c r="Z137" s="3">
        <v>32256.86</v>
      </c>
      <c r="AA137" s="4" t="e">
        <v>#N/A</v>
      </c>
      <c r="AB137" s="4" t="e">
        <v>#N/A</v>
      </c>
      <c r="AC137" s="5">
        <v>116.7</v>
      </c>
      <c r="AD137" s="5">
        <v>119</v>
      </c>
      <c r="AE137" s="34">
        <v>144.0965080399798</v>
      </c>
      <c r="AF137" s="28">
        <v>58.916499999999999</v>
      </c>
      <c r="AG137" s="28">
        <v>56.661000000000001</v>
      </c>
      <c r="AH137" s="28">
        <v>57.743899999999996</v>
      </c>
      <c r="AI137" s="28">
        <v>61.3504</v>
      </c>
      <c r="AJ137" s="28">
        <v>59.319899999999997</v>
      </c>
      <c r="AK137" s="28">
        <v>49.970500000000001</v>
      </c>
      <c r="AL137" s="28">
        <v>47.984200000000001</v>
      </c>
      <c r="AM137" s="28">
        <v>57.31</v>
      </c>
      <c r="AN137" s="28">
        <v>64.854399999999998</v>
      </c>
      <c r="AO137" s="28">
        <v>57.451099999999997</v>
      </c>
      <c r="AP137" s="28">
        <v>50.398699999999998</v>
      </c>
      <c r="AQ137" s="28">
        <v>58.212200000000003</v>
      </c>
      <c r="AR137" s="28">
        <v>54.690100000000001</v>
      </c>
      <c r="AS137" s="28">
        <v>53.890799999999999</v>
      </c>
      <c r="AT137" s="28">
        <v>1.177</v>
      </c>
      <c r="AU137" s="28">
        <v>51.7761</v>
      </c>
      <c r="AV137" s="28">
        <v>54.7607</v>
      </c>
      <c r="AW137" s="28">
        <v>56.838200000000001</v>
      </c>
      <c r="AX137" s="28">
        <v>57.678899999999999</v>
      </c>
      <c r="AY137" s="28" t="e">
        <v>#N/A</v>
      </c>
      <c r="AZ137" s="28">
        <v>50.726999999999997</v>
      </c>
      <c r="BA137" s="3">
        <v>19927.59</v>
      </c>
      <c r="BB137">
        <f>IF(ISNUMBER(VLOOKUP($B137,CEIC_DATA!$I$26:$N$353,Haver_M!BB$2,FALSE)),VLOOKUP($B137,CEIC_DATA!$I$26:$N$353,Haver_M!BB$2,FALSE),NA())</f>
        <v>115.37577537999999</v>
      </c>
      <c r="BC137">
        <f>IF(ISNUMBER(VLOOKUP($B137,CEIC_DATA!$I$26:$N$353,Haver_M!BC$2,FALSE)),VLOOKUP($B137,CEIC_DATA!$I$26:$N$353,Haver_M!BC$2,FALSE),NA())</f>
        <v>122.8</v>
      </c>
      <c r="BD137">
        <f>IF(ISNUMBER(VLOOKUP($B137,CEIC_DATA!$I$26:$N$353,Haver_M!BD$2,FALSE)),VLOOKUP($B137,CEIC_DATA!$I$26:$N$353,Haver_M!BD$2,FALSE),NA())</f>
        <v>126.5</v>
      </c>
      <c r="BE137">
        <f>IF(ISNUMBER(VLOOKUP($B137,CEIC_DATA!$I$26:$N$353,Haver_M!BE$2,FALSE)),VLOOKUP($B137,CEIC_DATA!$I$26:$N$353,Haver_M!BE$2,FALSE),NA())</f>
        <v>47.5</v>
      </c>
      <c r="BF137">
        <v>1134846</v>
      </c>
      <c r="BG137">
        <v>70811</v>
      </c>
      <c r="BH137">
        <v>1501764</v>
      </c>
      <c r="BI137">
        <v>230391</v>
      </c>
      <c r="BJ137" s="3">
        <v>6758.39</v>
      </c>
      <c r="BK137" s="3">
        <v>15510.3</v>
      </c>
      <c r="BL137" s="3">
        <v>8415.99</v>
      </c>
      <c r="BM137" s="3">
        <v>35048.230000000003</v>
      </c>
      <c r="BN137" s="3">
        <v>23349.4</v>
      </c>
      <c r="BO137" s="3">
        <v>31511.1</v>
      </c>
      <c r="BP137" s="28">
        <v>45.159100000000002</v>
      </c>
      <c r="BQ137" s="28">
        <f t="shared" si="9"/>
        <v>149.65732266586357</v>
      </c>
      <c r="BR137" s="28">
        <f t="shared" si="10"/>
        <v>343.45901490507998</v>
      </c>
      <c r="BS137" s="28">
        <f t="shared" si="11"/>
        <v>186.36310289620474</v>
      </c>
      <c r="BT137" s="28">
        <f t="shared" si="12"/>
        <v>776.10559112116937</v>
      </c>
      <c r="BU137" s="4">
        <v>47219</v>
      </c>
    </row>
    <row r="138" spans="1:73" x14ac:dyDescent="0.25">
      <c r="A138" t="s">
        <v>137</v>
      </c>
      <c r="B138" s="2">
        <v>40574</v>
      </c>
      <c r="C138" s="3">
        <v>6.5</v>
      </c>
      <c r="D138" s="28">
        <v>8.1504999999999992</v>
      </c>
      <c r="E138" s="34">
        <v>100.00814</v>
      </c>
      <c r="F138" s="5">
        <v>89.5</v>
      </c>
      <c r="G138" s="5">
        <v>87.3</v>
      </c>
      <c r="H138" s="3">
        <v>103.1</v>
      </c>
      <c r="I138" s="3">
        <v>97.66</v>
      </c>
      <c r="J138" s="3">
        <v>120.11</v>
      </c>
      <c r="K138" s="3">
        <v>108.27</v>
      </c>
      <c r="L138" s="3" t="e">
        <v>#N/A</v>
      </c>
      <c r="M138" s="3">
        <v>101.1</v>
      </c>
      <c r="N138" s="3">
        <v>94.1</v>
      </c>
      <c r="O138" s="5">
        <v>99.5</v>
      </c>
      <c r="P138" s="52">
        <v>97.471000000000004</v>
      </c>
      <c r="Q138" s="52">
        <v>100.426</v>
      </c>
      <c r="R138" s="52">
        <v>107.79300000000001</v>
      </c>
      <c r="S138" s="52">
        <v>105.59399999999999</v>
      </c>
      <c r="T138" s="52">
        <v>99.081000000000003</v>
      </c>
      <c r="U138" s="52">
        <v>96.628</v>
      </c>
      <c r="V138" s="52">
        <v>92.396000000000001</v>
      </c>
      <c r="W138" s="52">
        <v>97.43</v>
      </c>
      <c r="X138" s="3">
        <v>11728.459806847824</v>
      </c>
      <c r="Y138" s="3">
        <v>23117.5</v>
      </c>
      <c r="Z138" s="3">
        <v>33427.54</v>
      </c>
      <c r="AA138" s="4" t="e">
        <v>#N/A</v>
      </c>
      <c r="AB138" s="4" t="e">
        <v>#N/A</v>
      </c>
      <c r="AC138" s="5" t="e">
        <v>#N/A</v>
      </c>
      <c r="AD138" s="5" t="e">
        <v>#N/A</v>
      </c>
      <c r="AE138" s="34">
        <v>133.97454557229022</v>
      </c>
      <c r="AF138" s="28">
        <v>59.561599999999999</v>
      </c>
      <c r="AG138" s="28">
        <v>56.816400000000002</v>
      </c>
      <c r="AH138" s="28">
        <v>58.121299999999998</v>
      </c>
      <c r="AI138" s="28">
        <v>62.551299999999998</v>
      </c>
      <c r="AJ138" s="28">
        <v>60.7301</v>
      </c>
      <c r="AK138" s="28">
        <v>49.415300000000002</v>
      </c>
      <c r="AL138" s="28">
        <v>49.129100000000001</v>
      </c>
      <c r="AM138" s="28">
        <v>54.458500000000001</v>
      </c>
      <c r="AN138" s="28">
        <v>66.137600000000006</v>
      </c>
      <c r="AO138" s="28">
        <v>58.355200000000004</v>
      </c>
      <c r="AP138" s="28">
        <v>49.738</v>
      </c>
      <c r="AQ138" s="28">
        <v>55.686599999999999</v>
      </c>
      <c r="AR138" s="28">
        <v>56.706699999999998</v>
      </c>
      <c r="AS138" s="28">
        <v>52.466099999999997</v>
      </c>
      <c r="AT138" s="28">
        <v>1.2210000000000001</v>
      </c>
      <c r="AU138" s="28">
        <v>52.0824</v>
      </c>
      <c r="AV138" s="28">
        <v>55.3035</v>
      </c>
      <c r="AW138" s="28">
        <v>57.425600000000003</v>
      </c>
      <c r="AX138" s="28">
        <v>61.985399999999998</v>
      </c>
      <c r="AY138" s="28" t="e">
        <v>#N/A</v>
      </c>
      <c r="AZ138" s="28">
        <v>50.6952</v>
      </c>
      <c r="BA138" s="3">
        <v>19288.54</v>
      </c>
      <c r="BB138">
        <f>IF(ISNUMBER(VLOOKUP($B138,CEIC_DATA!$I$26:$N$353,Haver_M!BB$2,FALSE)),VLOOKUP($B138,CEIC_DATA!$I$26:$N$353,Haver_M!BB$2,FALSE),NA())</f>
        <v>114.77831285000001</v>
      </c>
      <c r="BC138" t="e">
        <f>IF(ISNUMBER(VLOOKUP($B138,CEIC_DATA!$I$26:$N$353,Haver_M!BC$2,FALSE)),VLOOKUP($B138,CEIC_DATA!$I$26:$N$353,Haver_M!BC$2,FALSE),NA())</f>
        <v>#N/A</v>
      </c>
      <c r="BD138" t="e">
        <f>IF(ISNUMBER(VLOOKUP($B138,CEIC_DATA!$I$26:$N$353,Haver_M!BD$2,FALSE)),VLOOKUP($B138,CEIC_DATA!$I$26:$N$353,Haver_M!BD$2,FALSE),NA())</f>
        <v>#N/A</v>
      </c>
      <c r="BE138" t="e">
        <f>IF(ISNUMBER(VLOOKUP($B138,CEIC_DATA!$I$26:$N$353,Haver_M!BE$2,FALSE)),VLOOKUP($B138,CEIC_DATA!$I$26:$N$353,Haver_M!BE$2,FALSE),NA())</f>
        <v>#N/A</v>
      </c>
      <c r="BF138">
        <v>1108803</v>
      </c>
      <c r="BG138">
        <v>68415</v>
      </c>
      <c r="BH138">
        <v>1512772</v>
      </c>
      <c r="BI138">
        <v>264532</v>
      </c>
      <c r="BJ138" s="3">
        <v>6747.8</v>
      </c>
      <c r="BK138" s="3">
        <v>15260.47</v>
      </c>
      <c r="BL138" s="3">
        <v>8365.8700000000008</v>
      </c>
      <c r="BM138" s="3">
        <v>34967.97</v>
      </c>
      <c r="BN138" s="3">
        <v>22691.8</v>
      </c>
      <c r="BO138" s="3">
        <v>33353.599999999999</v>
      </c>
      <c r="BP138" s="28">
        <v>45.394500000000001</v>
      </c>
      <c r="BQ138" s="28">
        <f t="shared" si="9"/>
        <v>148.64796396039168</v>
      </c>
      <c r="BR138" s="28">
        <f t="shared" si="10"/>
        <v>336.17442641729724</v>
      </c>
      <c r="BS138" s="28">
        <f t="shared" si="11"/>
        <v>184.29259051206645</v>
      </c>
      <c r="BT138" s="28">
        <f t="shared" si="12"/>
        <v>770.3129233717741</v>
      </c>
      <c r="BU138" s="4">
        <v>47302</v>
      </c>
    </row>
    <row r="139" spans="1:73" x14ac:dyDescent="0.25">
      <c r="A139" t="s">
        <v>138</v>
      </c>
      <c r="B139" s="2">
        <v>40602</v>
      </c>
      <c r="C139" s="3">
        <v>6.5</v>
      </c>
      <c r="D139" s="28">
        <v>8.0983000000000001</v>
      </c>
      <c r="E139" s="34">
        <v>98.516720000000007</v>
      </c>
      <c r="F139" s="5">
        <v>88.4</v>
      </c>
      <c r="G139" s="5">
        <v>87.8</v>
      </c>
      <c r="H139" s="3">
        <v>103.33</v>
      </c>
      <c r="I139" s="3">
        <v>97.04</v>
      </c>
      <c r="J139" s="3">
        <v>107.39</v>
      </c>
      <c r="K139" s="3">
        <v>108.22</v>
      </c>
      <c r="L139" s="3" t="e">
        <v>#N/A</v>
      </c>
      <c r="M139" s="3">
        <v>106.91</v>
      </c>
      <c r="N139" s="3">
        <v>99.23</v>
      </c>
      <c r="O139" s="5">
        <v>99.1</v>
      </c>
      <c r="P139" s="52">
        <v>95.399000000000001</v>
      </c>
      <c r="Q139" s="52">
        <v>102.12</v>
      </c>
      <c r="R139" s="52">
        <v>107.37</v>
      </c>
      <c r="S139" s="52">
        <v>99.465000000000003</v>
      </c>
      <c r="T139" s="52">
        <v>99.444999999999993</v>
      </c>
      <c r="U139" s="52">
        <v>95.046000000000006</v>
      </c>
      <c r="V139" s="52">
        <v>96.933999999999997</v>
      </c>
      <c r="W139" s="52">
        <v>97.19</v>
      </c>
      <c r="X139" s="3">
        <v>11764.584185999442</v>
      </c>
      <c r="Y139" s="3">
        <v>24009.38</v>
      </c>
      <c r="Z139" s="3">
        <v>35877.54</v>
      </c>
      <c r="AA139" s="4" t="e">
        <v>#N/A</v>
      </c>
      <c r="AB139" s="4" t="e">
        <v>#N/A</v>
      </c>
      <c r="AC139" s="5" t="e">
        <v>#N/A</v>
      </c>
      <c r="AD139" s="5" t="e">
        <v>#N/A</v>
      </c>
      <c r="AE139" s="34">
        <v>131.81931105377291</v>
      </c>
      <c r="AF139" s="28">
        <v>61.012700000000002</v>
      </c>
      <c r="AG139" s="28">
        <v>57.941400000000002</v>
      </c>
      <c r="AH139" s="28">
        <v>60.177999999999997</v>
      </c>
      <c r="AI139" s="28">
        <v>62.745399999999997</v>
      </c>
      <c r="AJ139" s="28">
        <v>62.391500000000001</v>
      </c>
      <c r="AK139" s="28">
        <v>49.437800000000003</v>
      </c>
      <c r="AL139" s="28">
        <v>47.283000000000001</v>
      </c>
      <c r="AM139" s="28">
        <v>57.424799999999998</v>
      </c>
      <c r="AN139" s="28">
        <v>68.392600000000002</v>
      </c>
      <c r="AO139" s="28">
        <v>61.049100000000003</v>
      </c>
      <c r="AP139" s="28">
        <v>49.584499999999998</v>
      </c>
      <c r="AQ139" s="28">
        <v>58.732500000000002</v>
      </c>
      <c r="AR139" s="28">
        <v>56.260300000000001</v>
      </c>
      <c r="AS139" s="28">
        <v>51.753300000000003</v>
      </c>
      <c r="AT139" s="28">
        <v>1.2583</v>
      </c>
      <c r="AU139" s="28">
        <v>52.011000000000003</v>
      </c>
      <c r="AV139" s="28">
        <v>54.432400000000001</v>
      </c>
      <c r="AW139" s="28">
        <v>59.633600000000001</v>
      </c>
      <c r="AX139" s="28">
        <v>59.520899999999997</v>
      </c>
      <c r="AY139" s="28" t="e">
        <v>#N/A</v>
      </c>
      <c r="AZ139" s="28">
        <v>50.151000000000003</v>
      </c>
      <c r="BA139" s="3">
        <v>18036.62</v>
      </c>
      <c r="BB139">
        <f>IF(ISNUMBER(VLOOKUP($B139,CEIC_DATA!$I$26:$N$353,Haver_M!BB$2,FALSE)),VLOOKUP($B139,CEIC_DATA!$I$26:$N$353,Haver_M!BB$2,FALSE),NA())</f>
        <v>113.16684191</v>
      </c>
      <c r="BC139" t="e">
        <f>IF(ISNUMBER(VLOOKUP($B139,CEIC_DATA!$I$26:$N$353,Haver_M!BC$2,FALSE)),VLOOKUP($B139,CEIC_DATA!$I$26:$N$353,Haver_M!BC$2,FALSE),NA())</f>
        <v>#N/A</v>
      </c>
      <c r="BD139" t="e">
        <f>IF(ISNUMBER(VLOOKUP($B139,CEIC_DATA!$I$26:$N$353,Haver_M!BD$2,FALSE)),VLOOKUP($B139,CEIC_DATA!$I$26:$N$353,Haver_M!BD$2,FALSE),NA())</f>
        <v>#N/A</v>
      </c>
      <c r="BE139" t="e">
        <f>IF(ISNUMBER(VLOOKUP($B139,CEIC_DATA!$I$26:$N$353,Haver_M!BE$2,FALSE)),VLOOKUP($B139,CEIC_DATA!$I$26:$N$353,Haver_M!BE$2,FALSE),NA())</f>
        <v>#N/A</v>
      </c>
      <c r="BF139">
        <v>1157687</v>
      </c>
      <c r="BG139">
        <v>71077</v>
      </c>
      <c r="BH139">
        <v>1579044</v>
      </c>
      <c r="BI139">
        <v>276287</v>
      </c>
      <c r="BJ139" s="3">
        <v>6833.02</v>
      </c>
      <c r="BK139" s="3">
        <v>15692.2</v>
      </c>
      <c r="BL139" s="3">
        <v>8511.42</v>
      </c>
      <c r="BM139" s="3">
        <v>35635.67</v>
      </c>
      <c r="BN139" s="3">
        <v>23243.5</v>
      </c>
      <c r="BO139" s="3">
        <v>32973.4</v>
      </c>
      <c r="BP139" s="28">
        <v>45.436799999999998</v>
      </c>
      <c r="BQ139" s="28">
        <f t="shared" si="9"/>
        <v>150.38515036270161</v>
      </c>
      <c r="BR139" s="28">
        <f t="shared" si="10"/>
        <v>345.36322980491587</v>
      </c>
      <c r="BS139" s="28">
        <f t="shared" si="11"/>
        <v>187.32437143460808</v>
      </c>
      <c r="BT139" s="28">
        <f t="shared" si="12"/>
        <v>784.29092717797027</v>
      </c>
      <c r="BU139" s="4">
        <v>46012</v>
      </c>
    </row>
    <row r="140" spans="1:73" x14ac:dyDescent="0.25">
      <c r="A140" t="s">
        <v>139</v>
      </c>
      <c r="B140" s="2">
        <v>40633</v>
      </c>
      <c r="C140" s="3">
        <v>6.75</v>
      </c>
      <c r="D140" s="28">
        <v>8.0222999999999995</v>
      </c>
      <c r="E140" s="34">
        <v>98.348820000000003</v>
      </c>
      <c r="F140" s="5">
        <v>88.4</v>
      </c>
      <c r="G140" s="5">
        <v>88.4</v>
      </c>
      <c r="H140" s="3">
        <v>106.12</v>
      </c>
      <c r="I140" s="3">
        <v>98.04</v>
      </c>
      <c r="J140" s="3">
        <v>134.36000000000001</v>
      </c>
      <c r="K140" s="3">
        <v>106.07</v>
      </c>
      <c r="L140" s="3" t="e">
        <v>#N/A</v>
      </c>
      <c r="M140" s="3">
        <v>101.9</v>
      </c>
      <c r="N140" s="3">
        <v>98.7</v>
      </c>
      <c r="O140" s="5">
        <v>99.5</v>
      </c>
      <c r="P140" s="52">
        <v>98.793999999999997</v>
      </c>
      <c r="Q140" s="52">
        <v>102.129</v>
      </c>
      <c r="R140" s="52">
        <v>107.075</v>
      </c>
      <c r="S140" s="52">
        <v>102.188</v>
      </c>
      <c r="T140" s="52">
        <v>98.376000000000005</v>
      </c>
      <c r="U140" s="52">
        <v>94.316999999999993</v>
      </c>
      <c r="V140" s="52">
        <v>96.334000000000003</v>
      </c>
      <c r="W140" s="52">
        <v>98.497</v>
      </c>
      <c r="X140" s="3">
        <v>11995.937304870477</v>
      </c>
      <c r="Y140" s="3">
        <v>25707.83</v>
      </c>
      <c r="Z140" s="3">
        <v>34629.65</v>
      </c>
      <c r="AA140" s="4" t="e">
        <v>#N/A</v>
      </c>
      <c r="AB140" s="4" t="e">
        <v>#N/A</v>
      </c>
      <c r="AC140" s="5">
        <v>112.2</v>
      </c>
      <c r="AD140" s="5">
        <v>120.8</v>
      </c>
      <c r="AE140" s="34">
        <v>93.870627189524285</v>
      </c>
      <c r="AF140" s="28">
        <v>60.0105</v>
      </c>
      <c r="AG140" s="28">
        <v>57.927199999999999</v>
      </c>
      <c r="AH140" s="28">
        <v>58.774000000000001</v>
      </c>
      <c r="AI140" s="28">
        <v>62.576900000000002</v>
      </c>
      <c r="AJ140" s="28">
        <v>64.212199999999996</v>
      </c>
      <c r="AK140" s="28">
        <v>49.0809</v>
      </c>
      <c r="AL140" s="28">
        <v>50.0794</v>
      </c>
      <c r="AM140" s="28">
        <v>57.150300000000001</v>
      </c>
      <c r="AN140" s="28">
        <v>68.676599999999993</v>
      </c>
      <c r="AO140" s="28">
        <v>63.391800000000003</v>
      </c>
      <c r="AP140" s="28">
        <v>50.606699999999996</v>
      </c>
      <c r="AQ140" s="28">
        <v>57.998800000000003</v>
      </c>
      <c r="AR140" s="28">
        <v>59.746299999999998</v>
      </c>
      <c r="AS140" s="28">
        <v>54.994500000000002</v>
      </c>
      <c r="AT140" s="28">
        <v>1.2687999999999999</v>
      </c>
      <c r="AU140" s="28">
        <v>53.802100000000003</v>
      </c>
      <c r="AV140" s="28">
        <v>55.098399999999998</v>
      </c>
      <c r="AW140" s="28">
        <v>58.409399999999998</v>
      </c>
      <c r="AX140" s="28">
        <v>59.701000000000001</v>
      </c>
      <c r="AY140" s="28" t="e">
        <v>#N/A</v>
      </c>
      <c r="AZ140" s="28">
        <v>51.157699999999998</v>
      </c>
      <c r="BA140" s="3">
        <v>18456.849999999999</v>
      </c>
      <c r="BB140">
        <f>IF(ISNUMBER(VLOOKUP($B140,CEIC_DATA!$I$26:$N$353,Haver_M!BB$2,FALSE)),VLOOKUP($B140,CEIC_DATA!$I$26:$N$353,Haver_M!BB$2,FALSE),NA())</f>
        <v>110.81617337</v>
      </c>
      <c r="BC140">
        <f>IF(ISNUMBER(VLOOKUP($B140,CEIC_DATA!$I$26:$N$353,Haver_M!BC$2,FALSE)),VLOOKUP($B140,CEIC_DATA!$I$26:$N$353,Haver_M!BC$2,FALSE),NA())</f>
        <v>122</v>
      </c>
      <c r="BD140">
        <f>IF(ISNUMBER(VLOOKUP($B140,CEIC_DATA!$I$26:$N$353,Haver_M!BD$2,FALSE)),VLOOKUP($B140,CEIC_DATA!$I$26:$N$353,Haver_M!BD$2,FALSE),NA())</f>
        <v>125.9</v>
      </c>
      <c r="BE140">
        <f>IF(ISNUMBER(VLOOKUP($B140,CEIC_DATA!$I$26:$N$353,Haver_M!BE$2,FALSE)),VLOOKUP($B140,CEIC_DATA!$I$26:$N$353,Haver_M!BE$2,FALSE),NA())</f>
        <v>50.1</v>
      </c>
      <c r="BF140">
        <v>1204301</v>
      </c>
      <c r="BG140">
        <v>86871</v>
      </c>
      <c r="BH140">
        <v>1651339</v>
      </c>
      <c r="BI140">
        <v>293302</v>
      </c>
      <c r="BJ140" s="3">
        <v>6879.44</v>
      </c>
      <c r="BK140" s="3">
        <v>16045.76</v>
      </c>
      <c r="BL140" s="3">
        <v>8942.01</v>
      </c>
      <c r="BM140" s="3">
        <v>36673.54</v>
      </c>
      <c r="BN140" s="3">
        <v>30418.5</v>
      </c>
      <c r="BO140" s="3">
        <v>34267</v>
      </c>
      <c r="BP140" s="28">
        <v>44.9895</v>
      </c>
      <c r="BQ140" s="28">
        <f t="shared" si="9"/>
        <v>152.91212394003045</v>
      </c>
      <c r="BR140" s="28">
        <f t="shared" si="10"/>
        <v>356.65566409940095</v>
      </c>
      <c r="BS140" s="28">
        <f t="shared" si="11"/>
        <v>198.75771013236422</v>
      </c>
      <c r="BT140" s="28">
        <f t="shared" si="12"/>
        <v>815.15775903266319</v>
      </c>
      <c r="BU140" s="4">
        <v>44313</v>
      </c>
    </row>
    <row r="141" spans="1:73" x14ac:dyDescent="0.25">
      <c r="A141" t="s">
        <v>140</v>
      </c>
      <c r="B141" s="2">
        <v>40663</v>
      </c>
      <c r="C141" s="3">
        <v>6.75</v>
      </c>
      <c r="D141" s="28">
        <v>8.1266999999999996</v>
      </c>
      <c r="E141" s="34">
        <v>98.769649999999999</v>
      </c>
      <c r="F141" s="5">
        <v>89.1</v>
      </c>
      <c r="G141" s="5">
        <v>89.4</v>
      </c>
      <c r="H141" s="3">
        <v>103.62</v>
      </c>
      <c r="I141" s="3">
        <v>98.36</v>
      </c>
      <c r="J141" s="3">
        <v>129.97</v>
      </c>
      <c r="K141" s="3">
        <v>107.49</v>
      </c>
      <c r="L141" s="3" t="e">
        <v>#N/A</v>
      </c>
      <c r="M141" s="3">
        <v>96.27</v>
      </c>
      <c r="N141" s="3">
        <v>97.39</v>
      </c>
      <c r="O141" s="5">
        <v>100.1</v>
      </c>
      <c r="P141" s="52">
        <v>99.283000000000001</v>
      </c>
      <c r="Q141" s="52">
        <v>101.776</v>
      </c>
      <c r="R141" s="52">
        <v>106.26300000000001</v>
      </c>
      <c r="S141" s="52">
        <v>103.66800000000001</v>
      </c>
      <c r="T141" s="52">
        <v>101.34099999999999</v>
      </c>
      <c r="U141" s="52">
        <v>95.938999999999993</v>
      </c>
      <c r="V141" s="52">
        <v>93.432000000000002</v>
      </c>
      <c r="W141" s="52">
        <v>97.355999999999995</v>
      </c>
      <c r="X141" s="3">
        <v>12296.584967759594</v>
      </c>
      <c r="Y141" s="3">
        <v>23917.79</v>
      </c>
      <c r="Z141" s="3">
        <v>36068.449999999997</v>
      </c>
      <c r="AA141" s="4">
        <v>11469</v>
      </c>
      <c r="AB141" s="4">
        <v>6889</v>
      </c>
      <c r="AC141" s="5" t="e">
        <v>#N/A</v>
      </c>
      <c r="AD141" s="5" t="e">
        <v>#N/A</v>
      </c>
      <c r="AE141" s="34">
        <v>80.495799361094583</v>
      </c>
      <c r="AF141" s="28">
        <v>60.737299999999998</v>
      </c>
      <c r="AG141" s="28">
        <v>57.964199999999998</v>
      </c>
      <c r="AH141" s="28">
        <v>59.201900000000002</v>
      </c>
      <c r="AI141" s="28">
        <v>63.924500000000002</v>
      </c>
      <c r="AJ141" s="28">
        <v>63.066600000000001</v>
      </c>
      <c r="AK141" s="28">
        <v>49.962400000000002</v>
      </c>
      <c r="AL141" s="28">
        <v>49.822099999999999</v>
      </c>
      <c r="AM141" s="28">
        <v>55.439900000000002</v>
      </c>
      <c r="AN141" s="28">
        <v>66.334299999999999</v>
      </c>
      <c r="AO141" s="28">
        <v>64.629000000000005</v>
      </c>
      <c r="AP141" s="28">
        <v>51.254100000000001</v>
      </c>
      <c r="AQ141" s="28">
        <v>57.277000000000001</v>
      </c>
      <c r="AR141" s="28">
        <v>56.196100000000001</v>
      </c>
      <c r="AS141" s="28">
        <v>52.481400000000001</v>
      </c>
      <c r="AT141" s="28">
        <v>1.2304999999999999</v>
      </c>
      <c r="AU141" s="28">
        <v>52.630800000000001</v>
      </c>
      <c r="AV141" s="28">
        <v>55.422400000000003</v>
      </c>
      <c r="AW141" s="28">
        <v>57.773000000000003</v>
      </c>
      <c r="AX141" s="28">
        <v>55.688699999999997</v>
      </c>
      <c r="AY141" s="28" t="e">
        <v>#N/A</v>
      </c>
      <c r="AZ141" s="28">
        <v>49.653199999999998</v>
      </c>
      <c r="BA141" s="3">
        <v>19450.14</v>
      </c>
      <c r="BB141">
        <f>IF(ISNUMBER(VLOOKUP($B141,CEIC_DATA!$I$26:$N$353,Haver_M!BB$2,FALSE)),VLOOKUP($B141,CEIC_DATA!$I$26:$N$353,Haver_M!BB$2,FALSE),NA())</f>
        <v>107.88827976</v>
      </c>
      <c r="BC141" t="e">
        <f>IF(ISNUMBER(VLOOKUP($B141,CEIC_DATA!$I$26:$N$353,Haver_M!BC$2,FALSE)),VLOOKUP($B141,CEIC_DATA!$I$26:$N$353,Haver_M!BC$2,FALSE),NA())</f>
        <v>#N/A</v>
      </c>
      <c r="BD141" t="e">
        <f>IF(ISNUMBER(VLOOKUP($B141,CEIC_DATA!$I$26:$N$353,Haver_M!BD$2,FALSE)),VLOOKUP($B141,CEIC_DATA!$I$26:$N$353,Haver_M!BD$2,FALSE),NA())</f>
        <v>#N/A</v>
      </c>
      <c r="BE141" t="e">
        <f>IF(ISNUMBER(VLOOKUP($B141,CEIC_DATA!$I$26:$N$353,Haver_M!BE$2,FALSE)),VLOOKUP($B141,CEIC_DATA!$I$26:$N$353,Haver_M!BE$2,FALSE),NA())</f>
        <v>#N/A</v>
      </c>
      <c r="BF141">
        <v>1219837</v>
      </c>
      <c r="BG141">
        <v>59211</v>
      </c>
      <c r="BH141">
        <v>1600602</v>
      </c>
      <c r="BI141">
        <v>250367</v>
      </c>
      <c r="BJ141" s="3">
        <v>7045.86</v>
      </c>
      <c r="BK141" s="3">
        <v>16161.3</v>
      </c>
      <c r="BL141" s="3">
        <v>8853.85</v>
      </c>
      <c r="BM141" s="3">
        <v>36829.18</v>
      </c>
      <c r="BN141" s="3">
        <v>23469.52</v>
      </c>
      <c r="BO141" s="3">
        <v>36595.86</v>
      </c>
      <c r="BP141" s="28">
        <v>44.368099999999998</v>
      </c>
      <c r="BQ141" s="28">
        <f t="shared" si="9"/>
        <v>158.80463666463066</v>
      </c>
      <c r="BR141" s="28">
        <f t="shared" si="10"/>
        <v>364.2549489385392</v>
      </c>
      <c r="BS141" s="28">
        <f t="shared" si="11"/>
        <v>199.55440958706819</v>
      </c>
      <c r="BT141" s="28">
        <f t="shared" si="12"/>
        <v>830.0824240839703</v>
      </c>
      <c r="BU141" s="4">
        <v>59266</v>
      </c>
    </row>
    <row r="142" spans="1:73" x14ac:dyDescent="0.25">
      <c r="A142" t="s">
        <v>141</v>
      </c>
      <c r="B142" s="2">
        <v>40694</v>
      </c>
      <c r="C142" s="3">
        <v>7.25</v>
      </c>
      <c r="D142" s="28">
        <v>8.4123000000000001</v>
      </c>
      <c r="E142" s="34">
        <v>97.763210000000001</v>
      </c>
      <c r="F142" s="5">
        <v>89.8</v>
      </c>
      <c r="G142" s="5">
        <v>90.3</v>
      </c>
      <c r="H142" s="3">
        <v>101.07</v>
      </c>
      <c r="I142" s="3">
        <v>97.69</v>
      </c>
      <c r="J142" s="3">
        <v>116.77</v>
      </c>
      <c r="K142" s="3">
        <v>104.96</v>
      </c>
      <c r="L142" s="3" t="e">
        <v>#N/A</v>
      </c>
      <c r="M142" s="3">
        <v>94.73</v>
      </c>
      <c r="N142" s="3">
        <v>97.87</v>
      </c>
      <c r="O142" s="5">
        <v>98.5</v>
      </c>
      <c r="P142" s="52">
        <v>98.292000000000002</v>
      </c>
      <c r="Q142" s="52">
        <v>101.227</v>
      </c>
      <c r="R142" s="52">
        <v>102.337</v>
      </c>
      <c r="S142" s="52">
        <v>100.557</v>
      </c>
      <c r="T142" s="52">
        <v>102.54</v>
      </c>
      <c r="U142" s="52">
        <v>95.010999999999996</v>
      </c>
      <c r="V142" s="52">
        <v>92.850999999999999</v>
      </c>
      <c r="W142" s="52">
        <v>98.236000000000004</v>
      </c>
      <c r="X142" s="3">
        <v>12038.308853951787</v>
      </c>
      <c r="Y142" s="3">
        <v>26480.29</v>
      </c>
      <c r="Z142" s="3">
        <v>42078.7</v>
      </c>
      <c r="AA142" s="4">
        <v>11835</v>
      </c>
      <c r="AB142" s="4">
        <v>7088</v>
      </c>
      <c r="AC142" s="5" t="e">
        <v>#N/A</v>
      </c>
      <c r="AD142" s="5" t="e">
        <v>#N/A</v>
      </c>
      <c r="AE142" s="34">
        <v>104.45027940712197</v>
      </c>
      <c r="AF142" s="28">
        <v>57.684100000000001</v>
      </c>
      <c r="AG142" s="28">
        <v>57.5002</v>
      </c>
      <c r="AH142" s="28">
        <v>55.0045</v>
      </c>
      <c r="AI142" s="28">
        <v>63.246099999999998</v>
      </c>
      <c r="AJ142" s="28">
        <v>62.366999999999997</v>
      </c>
      <c r="AK142" s="28">
        <v>48.831400000000002</v>
      </c>
      <c r="AL142" s="28">
        <v>48.7622</v>
      </c>
      <c r="AM142" s="28">
        <v>55.266300000000001</v>
      </c>
      <c r="AN142" s="28">
        <v>63.439100000000003</v>
      </c>
      <c r="AO142" s="28">
        <v>63.627600000000001</v>
      </c>
      <c r="AP142" s="28">
        <v>51.1755</v>
      </c>
      <c r="AQ142" s="28">
        <v>55.996899999999997</v>
      </c>
      <c r="AR142" s="28">
        <v>56.436300000000003</v>
      </c>
      <c r="AS142" s="28">
        <v>52.0822</v>
      </c>
      <c r="AT142" s="28">
        <v>1.2186999999999999</v>
      </c>
      <c r="AU142" s="28">
        <v>52.964199999999998</v>
      </c>
      <c r="AV142" s="28">
        <v>54.7881</v>
      </c>
      <c r="AW142" s="28">
        <v>54.645800000000001</v>
      </c>
      <c r="AX142" s="28">
        <v>56.334400000000002</v>
      </c>
      <c r="AY142" s="28" t="e">
        <v>#N/A</v>
      </c>
      <c r="AZ142" s="28">
        <v>48.947400000000002</v>
      </c>
      <c r="BA142" s="3">
        <v>18325.45</v>
      </c>
      <c r="BB142">
        <f>IF(ISNUMBER(VLOOKUP($B142,CEIC_DATA!$I$26:$N$353,Haver_M!BB$2,FALSE)),VLOOKUP($B142,CEIC_DATA!$I$26:$N$353,Haver_M!BB$2,FALSE),NA())</f>
        <v>104.67302798</v>
      </c>
      <c r="BC142" t="e">
        <f>IF(ISNUMBER(VLOOKUP($B142,CEIC_DATA!$I$26:$N$353,Haver_M!BC$2,FALSE)),VLOOKUP($B142,CEIC_DATA!$I$26:$N$353,Haver_M!BC$2,FALSE),NA())</f>
        <v>#N/A</v>
      </c>
      <c r="BD142" t="e">
        <f>IF(ISNUMBER(VLOOKUP($B142,CEIC_DATA!$I$26:$N$353,Haver_M!BD$2,FALSE)),VLOOKUP($B142,CEIC_DATA!$I$26:$N$353,Haver_M!BD$2,FALSE),NA())</f>
        <v>#N/A</v>
      </c>
      <c r="BE142" t="e">
        <f>IF(ISNUMBER(VLOOKUP($B142,CEIC_DATA!$I$26:$N$353,Haver_M!BE$2,FALSE)),VLOOKUP($B142,CEIC_DATA!$I$26:$N$353,Haver_M!BE$2,FALSE),NA())</f>
        <v>#N/A</v>
      </c>
      <c r="BF142">
        <v>1231949</v>
      </c>
      <c r="BG142">
        <v>65453</v>
      </c>
      <c r="BH142">
        <v>1604499</v>
      </c>
      <c r="BI142">
        <v>239875</v>
      </c>
      <c r="BJ142" s="3">
        <v>7059.25</v>
      </c>
      <c r="BK142" s="3">
        <v>16374.69</v>
      </c>
      <c r="BL142" s="3">
        <v>8705.93</v>
      </c>
      <c r="BM142" s="3">
        <v>36889.919999999998</v>
      </c>
      <c r="BN142" s="3">
        <v>26521.93</v>
      </c>
      <c r="BO142" s="3">
        <v>45254.239999999998</v>
      </c>
      <c r="BP142" s="28">
        <v>44.904800000000002</v>
      </c>
      <c r="BQ142" s="28">
        <f t="shared" si="9"/>
        <v>157.20479770536778</v>
      </c>
      <c r="BR142" s="28">
        <f t="shared" si="10"/>
        <v>364.65344462061961</v>
      </c>
      <c r="BS142" s="28">
        <f t="shared" si="11"/>
        <v>193.87526500507741</v>
      </c>
      <c r="BT142" s="28">
        <f t="shared" si="12"/>
        <v>821.51395841869908</v>
      </c>
      <c r="BU142" s="4">
        <v>65595</v>
      </c>
    </row>
    <row r="143" spans="1:73" x14ac:dyDescent="0.25">
      <c r="A143" t="s">
        <v>142</v>
      </c>
      <c r="B143" s="2">
        <v>40724</v>
      </c>
      <c r="C143" s="3">
        <v>7.5</v>
      </c>
      <c r="D143" s="28">
        <v>8.3518000000000008</v>
      </c>
      <c r="E143" s="34">
        <v>98.488979999999998</v>
      </c>
      <c r="F143" s="5">
        <v>90.6</v>
      </c>
      <c r="G143" s="5">
        <v>90.9</v>
      </c>
      <c r="H143" s="3">
        <v>104.63</v>
      </c>
      <c r="I143" s="3">
        <v>98.31</v>
      </c>
      <c r="J143" s="3">
        <v>139.27000000000001</v>
      </c>
      <c r="K143" s="3">
        <v>105.8</v>
      </c>
      <c r="L143" s="3" t="e">
        <v>#N/A</v>
      </c>
      <c r="M143" s="3">
        <v>95.2</v>
      </c>
      <c r="N143" s="3">
        <v>97.22</v>
      </c>
      <c r="O143" s="5">
        <v>98.8</v>
      </c>
      <c r="P143" s="52">
        <v>97.02</v>
      </c>
      <c r="Q143" s="52">
        <v>101.221</v>
      </c>
      <c r="R143" s="52">
        <v>102.56100000000001</v>
      </c>
      <c r="S143" s="52">
        <v>100.223</v>
      </c>
      <c r="T143" s="52">
        <v>100.498</v>
      </c>
      <c r="U143" s="52">
        <v>98.004000000000005</v>
      </c>
      <c r="V143" s="52">
        <v>94.494</v>
      </c>
      <c r="W143" s="52">
        <v>96.801000000000002</v>
      </c>
      <c r="X143" s="3">
        <v>11968.545264167155</v>
      </c>
      <c r="Y143" s="3">
        <v>25979.15</v>
      </c>
      <c r="Z143" s="3">
        <v>41495.42</v>
      </c>
      <c r="AA143" s="4">
        <v>11040</v>
      </c>
      <c r="AB143" s="4">
        <v>7205</v>
      </c>
      <c r="AC143" s="5">
        <v>116.3</v>
      </c>
      <c r="AD143" s="5">
        <v>120.2</v>
      </c>
      <c r="AE143" s="34">
        <v>113.6340611472927</v>
      </c>
      <c r="AF143" s="28">
        <v>56.8491</v>
      </c>
      <c r="AG143" s="28">
        <v>55.2883</v>
      </c>
      <c r="AH143" s="28">
        <v>56.124499999999998</v>
      </c>
      <c r="AI143" s="28">
        <v>58.353000000000002</v>
      </c>
      <c r="AJ143" s="28">
        <v>60.065399999999997</v>
      </c>
      <c r="AK143" s="28">
        <v>48.748899999999999</v>
      </c>
      <c r="AL143" s="28">
        <v>48.505200000000002</v>
      </c>
      <c r="AM143" s="28">
        <v>52.064500000000002</v>
      </c>
      <c r="AN143" s="28">
        <v>64.017200000000003</v>
      </c>
      <c r="AO143" s="28">
        <v>60.567799999999998</v>
      </c>
      <c r="AP143" s="28">
        <v>50.340499999999999</v>
      </c>
      <c r="AQ143" s="28">
        <v>53.192900000000002</v>
      </c>
      <c r="AR143" s="28">
        <v>54.59</v>
      </c>
      <c r="AS143" s="28">
        <v>51.483499999999999</v>
      </c>
      <c r="AT143" s="28">
        <v>1.1932</v>
      </c>
      <c r="AU143" s="28">
        <v>52.766399999999997</v>
      </c>
      <c r="AV143" s="28">
        <v>53.582700000000003</v>
      </c>
      <c r="AW143" s="28">
        <v>57.089599999999997</v>
      </c>
      <c r="AX143" s="28">
        <v>55.418900000000001</v>
      </c>
      <c r="AY143" s="28" t="e">
        <v>#N/A</v>
      </c>
      <c r="AZ143" s="28">
        <v>49.067100000000003</v>
      </c>
      <c r="BA143" s="3">
        <v>18228.939999999999</v>
      </c>
      <c r="BB143">
        <f>IF(ISNUMBER(VLOOKUP($B143,CEIC_DATA!$I$26:$N$353,Haver_M!BB$2,FALSE)),VLOOKUP($B143,CEIC_DATA!$I$26:$N$353,Haver_M!BB$2,FALSE),NA())</f>
        <v>101.61480609</v>
      </c>
      <c r="BC143">
        <f>IF(ISNUMBER(VLOOKUP($B143,CEIC_DATA!$I$26:$N$353,Haver_M!BC$2,FALSE)),VLOOKUP($B143,CEIC_DATA!$I$26:$N$353,Haver_M!BC$2,FALSE),NA())</f>
        <v>116.3</v>
      </c>
      <c r="BD143">
        <f>IF(ISNUMBER(VLOOKUP($B143,CEIC_DATA!$I$26:$N$353,Haver_M!BD$2,FALSE)),VLOOKUP($B143,CEIC_DATA!$I$26:$N$353,Haver_M!BD$2,FALSE),NA())</f>
        <v>121.9</v>
      </c>
      <c r="BE143">
        <f>IF(ISNUMBER(VLOOKUP($B143,CEIC_DATA!$I$26:$N$353,Haver_M!BE$2,FALSE)),VLOOKUP($B143,CEIC_DATA!$I$26:$N$353,Haver_M!BE$2,FALSE),NA())</f>
        <v>41.4</v>
      </c>
      <c r="BF143">
        <v>1242677</v>
      </c>
      <c r="BG143">
        <v>67574</v>
      </c>
      <c r="BH143">
        <v>1617020</v>
      </c>
      <c r="BI143">
        <v>233655</v>
      </c>
      <c r="BJ143" s="3">
        <v>7095.61</v>
      </c>
      <c r="BK143" s="3">
        <v>16574.89</v>
      </c>
      <c r="BL143" s="3">
        <v>8800.14</v>
      </c>
      <c r="BM143" s="3">
        <v>37238.94</v>
      </c>
      <c r="BN143" s="3">
        <v>26536.13</v>
      </c>
      <c r="BO143" s="3">
        <v>40849.47</v>
      </c>
      <c r="BP143" s="28">
        <v>44.851799999999997</v>
      </c>
      <c r="BQ143" s="28">
        <f t="shared" si="9"/>
        <v>158.2012316116633</v>
      </c>
      <c r="BR143" s="28">
        <f t="shared" si="10"/>
        <v>369.54793341627317</v>
      </c>
      <c r="BS143" s="28">
        <f t="shared" si="11"/>
        <v>196.20483458857839</v>
      </c>
      <c r="BT143" s="28">
        <f t="shared" si="12"/>
        <v>830.26634382566601</v>
      </c>
      <c r="BU143" s="4">
        <v>64128</v>
      </c>
    </row>
    <row r="144" spans="1:73" x14ac:dyDescent="0.25">
      <c r="A144" t="s">
        <v>143</v>
      </c>
      <c r="B144" s="2">
        <v>40755</v>
      </c>
      <c r="C144" s="3">
        <v>8</v>
      </c>
      <c r="D144" s="28">
        <v>8.4792000000000005</v>
      </c>
      <c r="E144" s="34">
        <v>99.643230000000003</v>
      </c>
      <c r="F144" s="5">
        <v>91.8</v>
      </c>
      <c r="G144" s="5">
        <v>91.8</v>
      </c>
      <c r="H144" s="3">
        <v>102.75</v>
      </c>
      <c r="I144" s="3">
        <v>100.83</v>
      </c>
      <c r="J144" s="3">
        <v>116.86</v>
      </c>
      <c r="K144" s="3">
        <v>104.94</v>
      </c>
      <c r="L144" s="3" t="e">
        <v>#N/A</v>
      </c>
      <c r="M144" s="3">
        <v>101.03</v>
      </c>
      <c r="N144" s="3">
        <v>94.53</v>
      </c>
      <c r="O144" s="5">
        <v>100.2</v>
      </c>
      <c r="P144" s="52">
        <v>103.152</v>
      </c>
      <c r="Q144" s="52">
        <v>101.55500000000001</v>
      </c>
      <c r="R144" s="52">
        <v>102.092</v>
      </c>
      <c r="S144" s="52">
        <v>98.346000000000004</v>
      </c>
      <c r="T144" s="52">
        <v>98.516999999999996</v>
      </c>
      <c r="U144" s="52">
        <v>98.99</v>
      </c>
      <c r="V144" s="52">
        <v>99.625</v>
      </c>
      <c r="W144" s="52">
        <v>100.68300000000001</v>
      </c>
      <c r="X144" s="3">
        <v>12046.871586639592</v>
      </c>
      <c r="Y144" s="3">
        <v>26359.9</v>
      </c>
      <c r="Z144" s="3">
        <v>39622.32</v>
      </c>
      <c r="AA144" s="4">
        <v>10400</v>
      </c>
      <c r="AB144" s="4">
        <v>5894</v>
      </c>
      <c r="AC144" s="5" t="e">
        <v>#N/A</v>
      </c>
      <c r="AD144" s="5" t="e">
        <v>#N/A</v>
      </c>
      <c r="AE144" s="34">
        <v>153.86446211846734</v>
      </c>
      <c r="AF144" s="28">
        <v>57.854399999999998</v>
      </c>
      <c r="AG144" s="28">
        <v>53.595100000000002</v>
      </c>
      <c r="AH144" s="28">
        <v>58.164099999999998</v>
      </c>
      <c r="AI144" s="28">
        <v>57.211799999999997</v>
      </c>
      <c r="AJ144" s="28">
        <v>54.548299999999998</v>
      </c>
      <c r="AK144" s="28">
        <v>51.859699999999997</v>
      </c>
      <c r="AL144" s="28">
        <v>51.456499999999998</v>
      </c>
      <c r="AM144" s="28">
        <v>52.741500000000002</v>
      </c>
      <c r="AN144" s="28">
        <v>64.282399999999996</v>
      </c>
      <c r="AO144" s="28">
        <v>56.655500000000004</v>
      </c>
      <c r="AP144" s="28">
        <v>51.346400000000003</v>
      </c>
      <c r="AQ144" s="28">
        <v>49.227400000000003</v>
      </c>
      <c r="AR144" s="28">
        <v>56.032899999999998</v>
      </c>
      <c r="AS144" s="28">
        <v>50.875100000000003</v>
      </c>
      <c r="AT144" s="28">
        <v>1.0624</v>
      </c>
      <c r="AU144" s="28">
        <v>49.371600000000001</v>
      </c>
      <c r="AV144" s="28">
        <v>57.0745</v>
      </c>
      <c r="AW144" s="28">
        <v>59.278199999999998</v>
      </c>
      <c r="AX144" s="28">
        <v>58.857599999999998</v>
      </c>
      <c r="AY144" s="28" t="e">
        <v>#N/A</v>
      </c>
      <c r="AZ144" s="28">
        <v>52.486800000000002</v>
      </c>
      <c r="BA144" s="3">
        <v>18616.41</v>
      </c>
      <c r="BB144">
        <f>IF(ISNUMBER(VLOOKUP($B144,CEIC_DATA!$I$26:$N$353,Haver_M!BB$2,FALSE)),VLOOKUP($B144,CEIC_DATA!$I$26:$N$353,Haver_M!BB$2,FALSE),NA())</f>
        <v>99.068912639999994</v>
      </c>
      <c r="BC144" t="e">
        <f>IF(ISNUMBER(VLOOKUP($B144,CEIC_DATA!$I$26:$N$353,Haver_M!BC$2,FALSE)),VLOOKUP($B144,CEIC_DATA!$I$26:$N$353,Haver_M!BC$2,FALSE),NA())</f>
        <v>#N/A</v>
      </c>
      <c r="BD144" t="e">
        <f>IF(ISNUMBER(VLOOKUP($B144,CEIC_DATA!$I$26:$N$353,Haver_M!BD$2,FALSE)),VLOOKUP($B144,CEIC_DATA!$I$26:$N$353,Haver_M!BD$2,FALSE),NA())</f>
        <v>#N/A</v>
      </c>
      <c r="BE144" t="e">
        <f>IF(ISNUMBER(VLOOKUP($B144,CEIC_DATA!$I$26:$N$353,Haver_M!BE$2,FALSE)),VLOOKUP($B144,CEIC_DATA!$I$26:$N$353,Haver_M!BE$2,FALSE),NA())</f>
        <v>#N/A</v>
      </c>
      <c r="BF144">
        <v>1232858</v>
      </c>
      <c r="BG144">
        <v>71722</v>
      </c>
      <c r="BH144">
        <v>1613335</v>
      </c>
      <c r="BI144">
        <v>232631</v>
      </c>
      <c r="BJ144" s="3">
        <v>7082.72</v>
      </c>
      <c r="BK144" s="3">
        <v>16589.509999999998</v>
      </c>
      <c r="BL144" s="3">
        <v>8971.16</v>
      </c>
      <c r="BM144" s="3">
        <v>37281.58</v>
      </c>
      <c r="BN144" s="3">
        <v>26426.54</v>
      </c>
      <c r="BO144" s="3">
        <v>41105.879999999997</v>
      </c>
      <c r="BP144" s="28">
        <v>44.415900000000001</v>
      </c>
      <c r="BQ144" s="28">
        <f t="shared" si="9"/>
        <v>159.46361550705942</v>
      </c>
      <c r="BR144" s="28">
        <f t="shared" si="10"/>
        <v>373.50385785270583</v>
      </c>
      <c r="BS144" s="28">
        <f t="shared" si="11"/>
        <v>201.98082218304705</v>
      </c>
      <c r="BT144" s="28">
        <f t="shared" si="12"/>
        <v>839.37463836148765</v>
      </c>
      <c r="BU144" s="4">
        <v>61277</v>
      </c>
    </row>
    <row r="145" spans="1:73" x14ac:dyDescent="0.25">
      <c r="A145" t="s">
        <v>144</v>
      </c>
      <c r="B145" s="2">
        <v>40786</v>
      </c>
      <c r="C145" s="3">
        <v>8</v>
      </c>
      <c r="D145" s="28">
        <v>8.3543000000000003</v>
      </c>
      <c r="E145" s="34">
        <v>98.075620000000001</v>
      </c>
      <c r="F145" s="5">
        <v>92.7</v>
      </c>
      <c r="G145" s="5">
        <v>92.5</v>
      </c>
      <c r="H145" s="3">
        <v>101.19</v>
      </c>
      <c r="I145" s="3">
        <v>98.4</v>
      </c>
      <c r="J145" s="3">
        <v>116.37</v>
      </c>
      <c r="K145" s="3">
        <v>103.92</v>
      </c>
      <c r="L145" s="3" t="e">
        <v>#N/A</v>
      </c>
      <c r="M145" s="3">
        <v>95.56</v>
      </c>
      <c r="N145" s="3">
        <v>91.39</v>
      </c>
      <c r="O145" s="5">
        <v>98.7</v>
      </c>
      <c r="P145" s="52">
        <v>87.751999999999995</v>
      </c>
      <c r="Q145" s="52">
        <v>100.614</v>
      </c>
      <c r="R145" s="52">
        <v>103.30500000000001</v>
      </c>
      <c r="S145" s="52">
        <v>99.688000000000002</v>
      </c>
      <c r="T145" s="52">
        <v>98.555999999999997</v>
      </c>
      <c r="U145" s="52">
        <v>99.100999999999999</v>
      </c>
      <c r="V145" s="52">
        <v>100.212</v>
      </c>
      <c r="W145" s="52">
        <v>99.06</v>
      </c>
      <c r="X145" s="3">
        <v>11991.337400922135</v>
      </c>
      <c r="Y145" s="3">
        <v>25717.439999999999</v>
      </c>
      <c r="Z145" s="3">
        <v>40985.47</v>
      </c>
      <c r="AA145" s="4">
        <v>11897</v>
      </c>
      <c r="AB145" s="4">
        <v>6860</v>
      </c>
      <c r="AC145" s="5" t="e">
        <v>#N/A</v>
      </c>
      <c r="AD145" s="5" t="e">
        <v>#N/A</v>
      </c>
      <c r="AE145" s="34">
        <v>257.98671975866114</v>
      </c>
      <c r="AF145" s="28">
        <v>54.529800000000002</v>
      </c>
      <c r="AG145" s="28">
        <v>52.593200000000003</v>
      </c>
      <c r="AH145" s="28">
        <v>53.808599999999998</v>
      </c>
      <c r="AI145" s="28">
        <v>56.026699999999998</v>
      </c>
      <c r="AJ145" s="28">
        <v>53.0578</v>
      </c>
      <c r="AK145" s="28">
        <v>49.513399999999997</v>
      </c>
      <c r="AL145" s="28">
        <v>50.082599999999999</v>
      </c>
      <c r="AM145" s="28">
        <v>52.789099999999998</v>
      </c>
      <c r="AN145" s="28">
        <v>65.590699999999998</v>
      </c>
      <c r="AO145" s="28">
        <v>55.648499999999999</v>
      </c>
      <c r="AP145" s="28">
        <v>49.063000000000002</v>
      </c>
      <c r="AQ145" s="28">
        <v>45.038200000000003</v>
      </c>
      <c r="AR145" s="28">
        <v>55.642000000000003</v>
      </c>
      <c r="AS145" s="28">
        <v>49.272500000000001</v>
      </c>
      <c r="AT145" s="28">
        <v>1.0813999999999999</v>
      </c>
      <c r="AU145" s="28">
        <v>49.240499999999997</v>
      </c>
      <c r="AV145" s="28">
        <v>57.946599999999997</v>
      </c>
      <c r="AW145" s="28">
        <v>54.869799999999998</v>
      </c>
      <c r="AX145" s="28">
        <v>58.827599999999997</v>
      </c>
      <c r="AY145" s="28" t="e">
        <v>#N/A</v>
      </c>
      <c r="AZ145" s="28">
        <v>52.737900000000003</v>
      </c>
      <c r="BA145" s="3">
        <v>16887.53</v>
      </c>
      <c r="BB145">
        <f>IF(ISNUMBER(VLOOKUP($B145,CEIC_DATA!$I$26:$N$353,Haver_M!BB$2,FALSE)),VLOOKUP($B145,CEIC_DATA!$I$26:$N$353,Haver_M!BB$2,FALSE),NA())</f>
        <v>97.131850850000006</v>
      </c>
      <c r="BC145" t="e">
        <f>IF(ISNUMBER(VLOOKUP($B145,CEIC_DATA!$I$26:$N$353,Haver_M!BC$2,FALSE)),VLOOKUP($B145,CEIC_DATA!$I$26:$N$353,Haver_M!BC$2,FALSE),NA())</f>
        <v>#N/A</v>
      </c>
      <c r="BD145" t="e">
        <f>IF(ISNUMBER(VLOOKUP($B145,CEIC_DATA!$I$26:$N$353,Haver_M!BD$2,FALSE)),VLOOKUP($B145,CEIC_DATA!$I$26:$N$353,Haver_M!BD$2,FALSE),NA())</f>
        <v>#N/A</v>
      </c>
      <c r="BE145" t="e">
        <f>IF(ISNUMBER(VLOOKUP($B145,CEIC_DATA!$I$26:$N$353,Haver_M!BE$2,FALSE)),VLOOKUP($B145,CEIC_DATA!$I$26:$N$353,Haver_M!BE$2,FALSE),NA())</f>
        <v>#N/A</v>
      </c>
      <c r="BF145">
        <v>1280681</v>
      </c>
      <c r="BG145">
        <v>70951</v>
      </c>
      <c r="BH145">
        <v>1670989</v>
      </c>
      <c r="BI145">
        <v>241560</v>
      </c>
      <c r="BJ145" s="3">
        <v>7185.89</v>
      </c>
      <c r="BK145" s="3">
        <v>16933.330000000002</v>
      </c>
      <c r="BL145" s="3">
        <v>8909.81</v>
      </c>
      <c r="BM145" s="3">
        <v>37610.9</v>
      </c>
      <c r="BN145" s="3">
        <v>24768.35</v>
      </c>
      <c r="BO145" s="3">
        <v>39984.69</v>
      </c>
      <c r="BP145" s="28">
        <v>45.278500000000001</v>
      </c>
      <c r="BQ145" s="28">
        <f t="shared" si="9"/>
        <v>158.70424152743576</v>
      </c>
      <c r="BR145" s="28">
        <f t="shared" si="10"/>
        <v>373.98169108959002</v>
      </c>
      <c r="BS145" s="28">
        <f t="shared" si="11"/>
        <v>196.77794096535882</v>
      </c>
      <c r="BT145" s="28">
        <f t="shared" si="12"/>
        <v>830.65693430656938</v>
      </c>
      <c r="BU145" s="4">
        <v>56428</v>
      </c>
    </row>
    <row r="146" spans="1:73" x14ac:dyDescent="0.25">
      <c r="A146" t="s">
        <v>145</v>
      </c>
      <c r="B146" s="2">
        <v>40816</v>
      </c>
      <c r="C146" s="3">
        <v>8.25</v>
      </c>
      <c r="D146" s="28">
        <v>8.3975000000000009</v>
      </c>
      <c r="E146" s="34">
        <v>95.676450000000003</v>
      </c>
      <c r="F146" s="5">
        <v>93.8</v>
      </c>
      <c r="G146" s="5">
        <v>93.5</v>
      </c>
      <c r="H146" s="3">
        <v>101.59</v>
      </c>
      <c r="I146" s="3">
        <v>98.51</v>
      </c>
      <c r="J146" s="3">
        <v>112.86</v>
      </c>
      <c r="K146" s="3">
        <v>103.26</v>
      </c>
      <c r="L146" s="3" t="e">
        <v>#N/A</v>
      </c>
      <c r="M146" s="3">
        <v>100.14</v>
      </c>
      <c r="N146" s="3">
        <v>94.6</v>
      </c>
      <c r="O146" s="5">
        <v>97</v>
      </c>
      <c r="P146" s="52">
        <v>83.27</v>
      </c>
      <c r="Q146" s="52">
        <v>99.924000000000007</v>
      </c>
      <c r="R146" s="52">
        <v>101.286</v>
      </c>
      <c r="S146" s="52">
        <v>96.706000000000003</v>
      </c>
      <c r="T146" s="52">
        <v>96.415999999999997</v>
      </c>
      <c r="U146" s="52">
        <v>102.101</v>
      </c>
      <c r="V146" s="52">
        <v>95.429000000000002</v>
      </c>
      <c r="W146" s="52">
        <v>99.001999999999995</v>
      </c>
      <c r="X146" s="3">
        <v>12359.678752714421</v>
      </c>
      <c r="Y146" s="3">
        <v>26284.65</v>
      </c>
      <c r="Z146" s="3">
        <v>39603.919999999998</v>
      </c>
      <c r="AA146" s="4">
        <v>11228</v>
      </c>
      <c r="AB146" s="4">
        <v>6799</v>
      </c>
      <c r="AC146" s="5">
        <v>115</v>
      </c>
      <c r="AD146" s="5">
        <v>118.7</v>
      </c>
      <c r="AE146" s="34">
        <v>185.06181650582545</v>
      </c>
      <c r="AF146" s="28">
        <v>50.2072</v>
      </c>
      <c r="AG146" s="28">
        <v>50.4146</v>
      </c>
      <c r="AH146" s="28">
        <v>49.7684</v>
      </c>
      <c r="AI146" s="28">
        <v>51.118000000000002</v>
      </c>
      <c r="AJ146" s="28">
        <v>51.253</v>
      </c>
      <c r="AK146" s="28">
        <v>47.939</v>
      </c>
      <c r="AL146" s="28">
        <v>49.781799999999997</v>
      </c>
      <c r="AM146" s="28">
        <v>51.386699999999998</v>
      </c>
      <c r="AN146" s="28">
        <v>62.1053</v>
      </c>
      <c r="AO146" s="28">
        <v>50.811300000000003</v>
      </c>
      <c r="AP146" s="28">
        <v>50.066699999999997</v>
      </c>
      <c r="AQ146" s="28">
        <v>46.375599999999999</v>
      </c>
      <c r="AR146" s="28">
        <v>55.466000000000001</v>
      </c>
      <c r="AS146" s="28">
        <v>48.961399999999998</v>
      </c>
      <c r="AT146" s="28">
        <v>1.0237000000000001</v>
      </c>
      <c r="AU146" s="28">
        <v>49.320999999999998</v>
      </c>
      <c r="AV146" s="28">
        <v>57.5428</v>
      </c>
      <c r="AW146" s="28">
        <v>51.595300000000002</v>
      </c>
      <c r="AX146" s="28">
        <v>56.340200000000003</v>
      </c>
      <c r="AY146" s="28" t="e">
        <v>#N/A</v>
      </c>
      <c r="AZ146" s="28">
        <v>50.8718</v>
      </c>
      <c r="BA146" s="3">
        <v>16694.77</v>
      </c>
      <c r="BB146">
        <f>IF(ISNUMBER(VLOOKUP($B146,CEIC_DATA!$I$26:$N$353,Haver_M!BB$2,FALSE)),VLOOKUP($B146,CEIC_DATA!$I$26:$N$353,Haver_M!BB$2,FALSE),NA())</f>
        <v>96.033817499999998</v>
      </c>
      <c r="BC146">
        <f>IF(ISNUMBER(VLOOKUP($B146,CEIC_DATA!$I$26:$N$353,Haver_M!BC$2,FALSE)),VLOOKUP($B146,CEIC_DATA!$I$26:$N$353,Haver_M!BC$2,FALSE),NA())</f>
        <v>109.4</v>
      </c>
      <c r="BD146">
        <f>IF(ISNUMBER(VLOOKUP($B146,CEIC_DATA!$I$26:$N$353,Haver_M!BD$2,FALSE)),VLOOKUP($B146,CEIC_DATA!$I$26:$N$353,Haver_M!BD$2,FALSE),NA())</f>
        <v>121.5</v>
      </c>
      <c r="BE146">
        <f>IF(ISNUMBER(VLOOKUP($B146,CEIC_DATA!$I$26:$N$353,Haver_M!BE$2,FALSE)),VLOOKUP($B146,CEIC_DATA!$I$26:$N$353,Haver_M!BE$2,FALSE),NA())</f>
        <v>39.799999999999997</v>
      </c>
      <c r="BF146">
        <v>1408424</v>
      </c>
      <c r="BG146">
        <v>80177</v>
      </c>
      <c r="BH146">
        <v>1827265</v>
      </c>
      <c r="BI146">
        <v>257812</v>
      </c>
      <c r="BJ146" s="3">
        <v>7243.39</v>
      </c>
      <c r="BK146" s="3">
        <v>17236.64</v>
      </c>
      <c r="BL146" s="3">
        <v>8982.6299999999992</v>
      </c>
      <c r="BM146" s="3">
        <v>37968.93</v>
      </c>
      <c r="BN146" s="3">
        <v>26561.200000000001</v>
      </c>
      <c r="BO146" s="3">
        <v>39756.07</v>
      </c>
      <c r="BP146" s="28">
        <v>47.637999999999998</v>
      </c>
      <c r="BQ146" s="28">
        <f t="shared" si="9"/>
        <v>152.05067383181495</v>
      </c>
      <c r="BR146" s="28">
        <f t="shared" si="10"/>
        <v>361.82543347747594</v>
      </c>
      <c r="BS146" s="28">
        <f t="shared" si="11"/>
        <v>188.56018304714723</v>
      </c>
      <c r="BT146" s="28">
        <f t="shared" si="12"/>
        <v>797.03031193584957</v>
      </c>
      <c r="BU146" s="4">
        <v>51874</v>
      </c>
    </row>
    <row r="147" spans="1:73" x14ac:dyDescent="0.25">
      <c r="A147" t="s">
        <v>146</v>
      </c>
      <c r="B147" s="2">
        <v>40847</v>
      </c>
      <c r="C147" s="3">
        <v>8.5</v>
      </c>
      <c r="D147" s="28">
        <v>8.8849</v>
      </c>
      <c r="E147" s="34">
        <v>94.058499999999995</v>
      </c>
      <c r="F147" s="5">
        <v>94.8</v>
      </c>
      <c r="G147" s="5">
        <v>94.3</v>
      </c>
      <c r="H147" s="3">
        <v>97.55</v>
      </c>
      <c r="I147" s="3">
        <v>98.67</v>
      </c>
      <c r="J147" s="3">
        <v>100.49</v>
      </c>
      <c r="K147" s="3">
        <v>100.44</v>
      </c>
      <c r="L147" s="3" t="e">
        <v>#N/A</v>
      </c>
      <c r="M147" s="3">
        <v>95.87</v>
      </c>
      <c r="N147" s="3">
        <v>91.63</v>
      </c>
      <c r="O147" s="5">
        <v>98.7</v>
      </c>
      <c r="P147" s="52">
        <v>94.149000000000001</v>
      </c>
      <c r="Q147" s="52">
        <v>99.085999999999999</v>
      </c>
      <c r="R147" s="52">
        <v>99.034999999999997</v>
      </c>
      <c r="S147" s="52">
        <v>93.346000000000004</v>
      </c>
      <c r="T147" s="52">
        <v>98.936000000000007</v>
      </c>
      <c r="U147" s="52">
        <v>105.92400000000001</v>
      </c>
      <c r="V147" s="52">
        <v>102.554</v>
      </c>
      <c r="W147" s="52">
        <v>99.933000000000007</v>
      </c>
      <c r="X147" s="3">
        <v>12180.746749305519</v>
      </c>
      <c r="Y147" s="3">
        <v>24758.46</v>
      </c>
      <c r="Z147" s="3">
        <v>39340.839999999997</v>
      </c>
      <c r="AA147" s="4">
        <v>11455</v>
      </c>
      <c r="AB147" s="4">
        <v>6820</v>
      </c>
      <c r="AC147" s="5" t="e">
        <v>#N/A</v>
      </c>
      <c r="AD147" s="5" t="e">
        <v>#N/A</v>
      </c>
      <c r="AE147" s="34">
        <v>217.24070062008553</v>
      </c>
      <c r="AF147" s="28">
        <v>50.297699999999999</v>
      </c>
      <c r="AG147" s="28">
        <v>51.981900000000003</v>
      </c>
      <c r="AH147" s="28">
        <v>49.125599999999999</v>
      </c>
      <c r="AI147" s="28">
        <v>52.730699999999999</v>
      </c>
      <c r="AJ147" s="28">
        <v>53.7316</v>
      </c>
      <c r="AK147" s="28">
        <v>48.178600000000003</v>
      </c>
      <c r="AL147" s="28">
        <v>47.817399999999999</v>
      </c>
      <c r="AM147" s="28">
        <v>52.166200000000003</v>
      </c>
      <c r="AN147" s="28">
        <v>62.008400000000002</v>
      </c>
      <c r="AO147" s="28">
        <v>53.550400000000003</v>
      </c>
      <c r="AP147" s="28">
        <v>49.659700000000001</v>
      </c>
      <c r="AQ147" s="28">
        <v>49.240499999999997</v>
      </c>
      <c r="AR147" s="28">
        <v>55.2669</v>
      </c>
      <c r="AS147" s="28">
        <v>50.694400000000002</v>
      </c>
      <c r="AT147" s="28">
        <v>1.0820000000000001</v>
      </c>
      <c r="AU147" s="28">
        <v>49.2575</v>
      </c>
      <c r="AV147" s="28">
        <v>55.903100000000002</v>
      </c>
      <c r="AW147" s="28">
        <v>51.011499999999998</v>
      </c>
      <c r="AX147" s="28">
        <v>54.518300000000004</v>
      </c>
      <c r="AY147" s="28" t="e">
        <v>#N/A</v>
      </c>
      <c r="AZ147" s="28">
        <v>49.898699999999998</v>
      </c>
      <c r="BA147" s="3">
        <v>16822.84</v>
      </c>
      <c r="BB147">
        <f>IF(ISNUMBER(VLOOKUP($B147,CEIC_DATA!$I$26:$N$353,Haver_M!BB$2,FALSE)),VLOOKUP($B147,CEIC_DATA!$I$26:$N$353,Haver_M!BB$2,FALSE),NA())</f>
        <v>95.875529479999997</v>
      </c>
      <c r="BC147" t="e">
        <f>IF(ISNUMBER(VLOOKUP($B147,CEIC_DATA!$I$26:$N$353,Haver_M!BC$2,FALSE)),VLOOKUP($B147,CEIC_DATA!$I$26:$N$353,Haver_M!BC$2,FALSE),NA())</f>
        <v>#N/A</v>
      </c>
      <c r="BD147" t="e">
        <f>IF(ISNUMBER(VLOOKUP($B147,CEIC_DATA!$I$26:$N$353,Haver_M!BD$2,FALSE)),VLOOKUP($B147,CEIC_DATA!$I$26:$N$353,Haver_M!BD$2,FALSE),NA())</f>
        <v>#N/A</v>
      </c>
      <c r="BE147" t="e">
        <f>IF(ISNUMBER(VLOOKUP($B147,CEIC_DATA!$I$26:$N$353,Haver_M!BE$2,FALSE)),VLOOKUP($B147,CEIC_DATA!$I$26:$N$353,Haver_M!BE$2,FALSE),NA())</f>
        <v>#N/A</v>
      </c>
      <c r="BF147">
        <v>1305922</v>
      </c>
      <c r="BG147">
        <v>67805</v>
      </c>
      <c r="BH147">
        <v>1670562</v>
      </c>
      <c r="BI147">
        <v>218133</v>
      </c>
      <c r="BJ147" s="3">
        <v>7289.19</v>
      </c>
      <c r="BK147" s="3">
        <v>17355.310000000001</v>
      </c>
      <c r="BL147" s="3">
        <v>9194.44</v>
      </c>
      <c r="BM147" s="3">
        <v>38381.89</v>
      </c>
      <c r="BN147" s="3">
        <v>23632.02</v>
      </c>
      <c r="BO147" s="3">
        <v>41175.06</v>
      </c>
      <c r="BP147" s="28">
        <v>49.256900000000002</v>
      </c>
      <c r="BQ147" s="28">
        <f t="shared" si="9"/>
        <v>147.98312520682381</v>
      </c>
      <c r="BR147" s="28">
        <f t="shared" si="10"/>
        <v>352.34271746699449</v>
      </c>
      <c r="BS147" s="28">
        <f t="shared" si="11"/>
        <v>186.66298528734046</v>
      </c>
      <c r="BT147" s="28">
        <f t="shared" si="12"/>
        <v>779.21854603111433</v>
      </c>
      <c r="BU147" s="4">
        <v>55851</v>
      </c>
    </row>
    <row r="148" spans="1:73" x14ac:dyDescent="0.25">
      <c r="A148" t="s">
        <v>147</v>
      </c>
      <c r="B148" s="2">
        <v>40877</v>
      </c>
      <c r="C148" s="3">
        <v>8.5</v>
      </c>
      <c r="D148" s="28">
        <v>8.7593999999999994</v>
      </c>
      <c r="E148" s="34">
        <v>92.104280000000003</v>
      </c>
      <c r="F148" s="5">
        <v>95.2</v>
      </c>
      <c r="G148" s="5">
        <v>95.3</v>
      </c>
      <c r="H148" s="3">
        <v>105.02</v>
      </c>
      <c r="I148" s="3">
        <v>100.41</v>
      </c>
      <c r="J148" s="3">
        <v>116.14</v>
      </c>
      <c r="K148" s="3">
        <v>105.89</v>
      </c>
      <c r="L148" s="3" t="e">
        <v>#N/A</v>
      </c>
      <c r="M148" s="3">
        <v>102.37</v>
      </c>
      <c r="N148" s="3">
        <v>99.54</v>
      </c>
      <c r="O148" s="5">
        <v>101.4</v>
      </c>
      <c r="P148" s="52">
        <v>103.81399999999999</v>
      </c>
      <c r="Q148" s="52">
        <v>98.085999999999999</v>
      </c>
      <c r="R148" s="52">
        <v>97.927999999999997</v>
      </c>
      <c r="S148" s="52">
        <v>105.054</v>
      </c>
      <c r="T148" s="52">
        <v>97.825999999999993</v>
      </c>
      <c r="U148" s="52">
        <v>99.022999999999996</v>
      </c>
      <c r="V148" s="52">
        <v>103.89700000000001</v>
      </c>
      <c r="W148" s="52">
        <v>101.252</v>
      </c>
      <c r="X148" s="3">
        <v>13082.001021514287</v>
      </c>
      <c r="Y148" s="3">
        <v>25184.2</v>
      </c>
      <c r="Z148" s="3">
        <v>41054.769999999997</v>
      </c>
      <c r="AA148" s="4">
        <v>11279</v>
      </c>
      <c r="AB148" s="4">
        <v>7403</v>
      </c>
      <c r="AC148" s="5" t="e">
        <v>#N/A</v>
      </c>
      <c r="AD148" s="5" t="e">
        <v>#N/A</v>
      </c>
      <c r="AE148" s="34">
        <v>234.61385044054441</v>
      </c>
      <c r="AF148" s="28">
        <v>52.323900000000002</v>
      </c>
      <c r="AG148" s="28">
        <v>51.042499999999997</v>
      </c>
      <c r="AH148" s="28">
        <v>53.222700000000003</v>
      </c>
      <c r="AI148" s="28">
        <v>50.458300000000001</v>
      </c>
      <c r="AJ148" s="28">
        <v>52.773000000000003</v>
      </c>
      <c r="AK148" s="28">
        <v>48.5854</v>
      </c>
      <c r="AL148" s="28">
        <v>47.835700000000003</v>
      </c>
      <c r="AM148" s="28">
        <v>50.542700000000004</v>
      </c>
      <c r="AN148" s="28">
        <v>63.130499999999998</v>
      </c>
      <c r="AO148" s="28">
        <v>52.485199999999999</v>
      </c>
      <c r="AP148" s="28">
        <v>50.387099999999997</v>
      </c>
      <c r="AQ148" s="28">
        <v>50.439700000000002</v>
      </c>
      <c r="AR148" s="28">
        <v>55.405999999999999</v>
      </c>
      <c r="AS148" s="28">
        <v>53.786499999999997</v>
      </c>
      <c r="AT148" s="28">
        <v>1.0474000000000001</v>
      </c>
      <c r="AU148" s="28">
        <v>49.821399999999997</v>
      </c>
      <c r="AV148" s="28">
        <v>56.001199999999997</v>
      </c>
      <c r="AW148" s="28">
        <v>52.316000000000003</v>
      </c>
      <c r="AX148" s="28">
        <v>57.635800000000003</v>
      </c>
      <c r="AY148" s="28" t="e">
        <v>#N/A</v>
      </c>
      <c r="AZ148" s="28">
        <v>50.0334</v>
      </c>
      <c r="BA148" s="3">
        <v>16664.48</v>
      </c>
      <c r="BB148">
        <f>IF(ISNUMBER(VLOOKUP($B148,CEIC_DATA!$I$26:$N$353,Haver_M!BB$2,FALSE)),VLOOKUP($B148,CEIC_DATA!$I$26:$N$353,Haver_M!BB$2,FALSE),NA())</f>
        <v>96.565157249999999</v>
      </c>
      <c r="BC148" t="e">
        <f>IF(ISNUMBER(VLOOKUP($B148,CEIC_DATA!$I$26:$N$353,Haver_M!BC$2,FALSE)),VLOOKUP($B148,CEIC_DATA!$I$26:$N$353,Haver_M!BC$2,FALSE),NA())</f>
        <v>#N/A</v>
      </c>
      <c r="BD148" t="e">
        <f>IF(ISNUMBER(VLOOKUP($B148,CEIC_DATA!$I$26:$N$353,Haver_M!BD$2,FALSE)),VLOOKUP($B148,CEIC_DATA!$I$26:$N$353,Haver_M!BD$2,FALSE),NA())</f>
        <v>#N/A</v>
      </c>
      <c r="BE148" t="e">
        <f>IF(ISNUMBER(VLOOKUP($B148,CEIC_DATA!$I$26:$N$353,Haver_M!BE$2,FALSE)),VLOOKUP($B148,CEIC_DATA!$I$26:$N$353,Haver_M!BE$2,FALSE),NA())</f>
        <v>#N/A</v>
      </c>
      <c r="BF148">
        <v>1326721</v>
      </c>
      <c r="BG148">
        <v>73567</v>
      </c>
      <c r="BH148">
        <v>1733093</v>
      </c>
      <c r="BI148">
        <v>260229</v>
      </c>
      <c r="BJ148" s="3">
        <v>7271.02</v>
      </c>
      <c r="BK148" s="3">
        <v>17481.36</v>
      </c>
      <c r="BL148" s="3">
        <v>9353.2000000000007</v>
      </c>
      <c r="BM148" s="3">
        <v>38723.86</v>
      </c>
      <c r="BN148" s="3">
        <v>23269.71</v>
      </c>
      <c r="BO148" s="3">
        <v>39102.480000000003</v>
      </c>
      <c r="BP148" s="28">
        <v>50.843299999999999</v>
      </c>
      <c r="BQ148" s="28">
        <f t="shared" si="9"/>
        <v>143.0084199884744</v>
      </c>
      <c r="BR148" s="28">
        <f t="shared" si="10"/>
        <v>343.82819368530369</v>
      </c>
      <c r="BS148" s="28">
        <f t="shared" si="11"/>
        <v>183.96130856966406</v>
      </c>
      <c r="BT148" s="28">
        <f t="shared" si="12"/>
        <v>761.63152273750916</v>
      </c>
      <c r="BU148" s="4">
        <v>54815</v>
      </c>
    </row>
    <row r="149" spans="1:73" x14ac:dyDescent="0.25">
      <c r="A149" t="s">
        <v>148</v>
      </c>
      <c r="B149" s="2">
        <v>40908</v>
      </c>
      <c r="C149" s="3">
        <v>8.5</v>
      </c>
      <c r="D149" s="28">
        <v>8.5458999999999996</v>
      </c>
      <c r="E149" s="34">
        <v>89.921779999999998</v>
      </c>
      <c r="F149" s="5">
        <v>94.7</v>
      </c>
      <c r="G149" s="5">
        <v>95.6</v>
      </c>
      <c r="H149" s="3">
        <v>105.01</v>
      </c>
      <c r="I149" s="3">
        <v>100.43</v>
      </c>
      <c r="J149" s="3">
        <v>110.62</v>
      </c>
      <c r="K149" s="3">
        <v>106.88</v>
      </c>
      <c r="L149" s="3" t="e">
        <v>#N/A</v>
      </c>
      <c r="M149" s="3">
        <v>101.18</v>
      </c>
      <c r="N149" s="3">
        <v>105.46</v>
      </c>
      <c r="O149" s="5">
        <v>101.6</v>
      </c>
      <c r="P149" s="52">
        <v>104.098</v>
      </c>
      <c r="Q149" s="52">
        <v>97.53</v>
      </c>
      <c r="R149" s="52">
        <v>95.832999999999998</v>
      </c>
      <c r="S149" s="52">
        <v>101.628</v>
      </c>
      <c r="T149" s="52">
        <v>99.563000000000002</v>
      </c>
      <c r="U149" s="52">
        <v>101.803</v>
      </c>
      <c r="V149" s="52">
        <v>102.679</v>
      </c>
      <c r="W149" s="52">
        <v>101.3</v>
      </c>
      <c r="X149" s="3">
        <v>12624.354446333255</v>
      </c>
      <c r="Y149" s="3">
        <v>25027.7</v>
      </c>
      <c r="Z149" s="3">
        <v>40401.040000000001</v>
      </c>
      <c r="AA149" s="4">
        <v>11181</v>
      </c>
      <c r="AB149" s="4">
        <v>7656</v>
      </c>
      <c r="AC149" s="5">
        <v>116.2</v>
      </c>
      <c r="AD149" s="5">
        <v>120.2</v>
      </c>
      <c r="AE149" s="34">
        <v>220.21654228233541</v>
      </c>
      <c r="AF149" s="28">
        <v>54.744799999999998</v>
      </c>
      <c r="AG149" s="28">
        <v>54.161099999999998</v>
      </c>
      <c r="AH149" s="28">
        <v>54.236800000000002</v>
      </c>
      <c r="AI149" s="28">
        <v>55.799300000000002</v>
      </c>
      <c r="AJ149" s="28">
        <v>57.860599999999998</v>
      </c>
      <c r="AK149" s="28">
        <v>50.376600000000003</v>
      </c>
      <c r="AL149" s="28">
        <v>50.472200000000001</v>
      </c>
      <c r="AM149" s="28">
        <v>53.485700000000001</v>
      </c>
      <c r="AN149" s="28">
        <v>62.712600000000002</v>
      </c>
      <c r="AO149" s="28">
        <v>55.686999999999998</v>
      </c>
      <c r="AP149" s="28">
        <v>50.724299999999999</v>
      </c>
      <c r="AQ149" s="28">
        <v>54.079799999999999</v>
      </c>
      <c r="AR149" s="28">
        <v>56.239899999999999</v>
      </c>
      <c r="AS149" s="28">
        <v>52.639699999999998</v>
      </c>
      <c r="AT149" s="28">
        <v>1.1407</v>
      </c>
      <c r="AU149" s="28">
        <v>50.555100000000003</v>
      </c>
      <c r="AV149" s="28">
        <v>57.2864</v>
      </c>
      <c r="AW149" s="28">
        <v>55.7425</v>
      </c>
      <c r="AX149" s="28">
        <v>59.099200000000003</v>
      </c>
      <c r="AY149" s="28" t="e">
        <v>#N/A</v>
      </c>
      <c r="AZ149" s="28">
        <v>50.385599999999997</v>
      </c>
      <c r="BA149" s="3">
        <v>15959.97</v>
      </c>
      <c r="BB149">
        <f>IF(ISNUMBER(VLOOKUP($B149,CEIC_DATA!$I$26:$N$353,Haver_M!BB$2,FALSE)),VLOOKUP($B149,CEIC_DATA!$I$26:$N$353,Haver_M!BB$2,FALSE),NA())</f>
        <v>97.525768529999993</v>
      </c>
      <c r="BC149">
        <f>IF(ISNUMBER(VLOOKUP($B149,CEIC_DATA!$I$26:$N$353,Haver_M!BC$2,FALSE)),VLOOKUP($B149,CEIC_DATA!$I$26:$N$353,Haver_M!BC$2,FALSE),NA())</f>
        <v>110.1</v>
      </c>
      <c r="BD149">
        <f>IF(ISNUMBER(VLOOKUP($B149,CEIC_DATA!$I$26:$N$353,Haver_M!BD$2,FALSE)),VLOOKUP($B149,CEIC_DATA!$I$26:$N$353,Haver_M!BD$2,FALSE),NA())</f>
        <v>118.8</v>
      </c>
      <c r="BE149">
        <f>IF(ISNUMBER(VLOOKUP($B149,CEIC_DATA!$I$26:$N$353,Haver_M!BE$2,FALSE)),VLOOKUP($B149,CEIC_DATA!$I$26:$N$353,Haver_M!BE$2,FALSE),NA())</f>
        <v>35.200000000000003</v>
      </c>
      <c r="BF149">
        <v>1246980</v>
      </c>
      <c r="BG149">
        <v>81223</v>
      </c>
      <c r="BH149">
        <v>1647806</v>
      </c>
      <c r="BI149">
        <v>248825</v>
      </c>
      <c r="BJ149" s="3">
        <v>7584.25</v>
      </c>
      <c r="BK149" s="3">
        <v>18357.73</v>
      </c>
      <c r="BL149" s="3">
        <v>9700.9500000000007</v>
      </c>
      <c r="BM149" s="3">
        <v>40457.760000000002</v>
      </c>
      <c r="BN149" s="3">
        <v>25365.69</v>
      </c>
      <c r="BO149" s="3">
        <v>40044.06</v>
      </c>
      <c r="BP149" s="28">
        <v>52.6678</v>
      </c>
      <c r="BQ149" s="28">
        <f t="shared" si="9"/>
        <v>144.00164806580111</v>
      </c>
      <c r="BR149" s="28">
        <f t="shared" si="10"/>
        <v>348.55699307736415</v>
      </c>
      <c r="BS149" s="28">
        <f t="shared" si="11"/>
        <v>184.19128955452859</v>
      </c>
      <c r="BT149" s="28">
        <f t="shared" si="12"/>
        <v>768.16878624130879</v>
      </c>
      <c r="BU149" s="4">
        <v>55489</v>
      </c>
    </row>
    <row r="150" spans="1:73" x14ac:dyDescent="0.25">
      <c r="A150" t="s">
        <v>149</v>
      </c>
      <c r="B150" s="2">
        <v>40939</v>
      </c>
      <c r="C150" s="3">
        <v>8.5</v>
      </c>
      <c r="D150" s="28">
        <v>8.2878000000000007</v>
      </c>
      <c r="E150" s="34">
        <v>92.668180000000007</v>
      </c>
      <c r="F150" s="5">
        <v>95.1</v>
      </c>
      <c r="G150" s="5">
        <v>96.3</v>
      </c>
      <c r="H150" s="3">
        <v>103.88</v>
      </c>
      <c r="I150" s="3">
        <v>99.31</v>
      </c>
      <c r="J150" s="3">
        <v>116.52</v>
      </c>
      <c r="K150" s="3">
        <v>105.54</v>
      </c>
      <c r="L150" s="3" t="e">
        <v>#N/A</v>
      </c>
      <c r="M150" s="3">
        <v>93.19</v>
      </c>
      <c r="N150" s="3">
        <v>105.38</v>
      </c>
      <c r="O150" s="5">
        <v>100.4</v>
      </c>
      <c r="P150" s="52">
        <v>103.85599999999999</v>
      </c>
      <c r="Q150" s="52">
        <v>98.61</v>
      </c>
      <c r="R150" s="52">
        <v>96.206000000000003</v>
      </c>
      <c r="S150" s="52">
        <v>98.88</v>
      </c>
      <c r="T150" s="52">
        <v>102.44199999999999</v>
      </c>
      <c r="U150" s="52">
        <v>100.831</v>
      </c>
      <c r="V150" s="52">
        <v>103.172</v>
      </c>
      <c r="W150" s="52">
        <v>100.592</v>
      </c>
      <c r="X150" s="3">
        <v>12049.723100233678</v>
      </c>
      <c r="Y150" s="3">
        <v>25559.4</v>
      </c>
      <c r="Z150" s="3">
        <v>42667.83</v>
      </c>
      <c r="AA150" s="4">
        <v>11027</v>
      </c>
      <c r="AB150" s="4">
        <v>7332</v>
      </c>
      <c r="AC150" s="5" t="e">
        <v>#N/A</v>
      </c>
      <c r="AD150" s="5" t="e">
        <v>#N/A</v>
      </c>
      <c r="AE150" s="34">
        <v>188.07020348199407</v>
      </c>
      <c r="AF150" s="28">
        <v>59.569600000000001</v>
      </c>
      <c r="AG150" s="28">
        <v>57.488199999999999</v>
      </c>
      <c r="AH150" s="28">
        <v>57.982399999999998</v>
      </c>
      <c r="AI150" s="28">
        <v>62.864199999999997</v>
      </c>
      <c r="AJ150" s="28">
        <v>62.234099999999998</v>
      </c>
      <c r="AK150" s="28">
        <v>50.183999999999997</v>
      </c>
      <c r="AL150" s="28">
        <v>50.272799999999997</v>
      </c>
      <c r="AM150" s="28">
        <v>56.06</v>
      </c>
      <c r="AN150" s="28">
        <v>63.364100000000001</v>
      </c>
      <c r="AO150" s="28">
        <v>60.5</v>
      </c>
      <c r="AP150" s="28">
        <v>52.149700000000003</v>
      </c>
      <c r="AQ150" s="28">
        <v>56.660299999999999</v>
      </c>
      <c r="AR150" s="28">
        <v>56.0867</v>
      </c>
      <c r="AS150" s="28">
        <v>51.645699999999998</v>
      </c>
      <c r="AT150" s="28">
        <v>1.1934</v>
      </c>
      <c r="AU150" s="28">
        <v>50.421999999999997</v>
      </c>
      <c r="AV150" s="28">
        <v>57.659700000000001</v>
      </c>
      <c r="AW150" s="28">
        <v>58.196100000000001</v>
      </c>
      <c r="AX150" s="28">
        <v>56.905200000000001</v>
      </c>
      <c r="AY150" s="28" t="e">
        <v>#N/A</v>
      </c>
      <c r="AZ150" s="28">
        <v>49.532699999999998</v>
      </c>
      <c r="BA150" s="3">
        <v>16381.79</v>
      </c>
      <c r="BB150">
        <f>IF(ISNUMBER(VLOOKUP($B150,CEIC_DATA!$I$26:$N$353,Haver_M!BB$2,FALSE)),VLOOKUP($B150,CEIC_DATA!$I$26:$N$353,Haver_M!BB$2,FALSE),NA())</f>
        <v>98.554194039999999</v>
      </c>
      <c r="BC150" t="e">
        <f>IF(ISNUMBER(VLOOKUP($B150,CEIC_DATA!$I$26:$N$353,Haver_M!BC$2,FALSE)),VLOOKUP($B150,CEIC_DATA!$I$26:$N$353,Haver_M!BC$2,FALSE),NA())</f>
        <v>#N/A</v>
      </c>
      <c r="BD150" t="e">
        <f>IF(ISNUMBER(VLOOKUP($B150,CEIC_DATA!$I$26:$N$353,Haver_M!BD$2,FALSE)),VLOOKUP($B150,CEIC_DATA!$I$26:$N$353,Haver_M!BD$2,FALSE),NA())</f>
        <v>#N/A</v>
      </c>
      <c r="BE150" t="e">
        <f>IF(ISNUMBER(VLOOKUP($B150,CEIC_DATA!$I$26:$N$353,Haver_M!BE$2,FALSE)),VLOOKUP($B150,CEIC_DATA!$I$26:$N$353,Haver_M!BE$2,FALSE),NA())</f>
        <v>#N/A</v>
      </c>
      <c r="BF150">
        <v>1264557</v>
      </c>
      <c r="BG150">
        <v>80190</v>
      </c>
      <c r="BH150">
        <v>1719768</v>
      </c>
      <c r="BI150">
        <v>302118</v>
      </c>
      <c r="BJ150" s="3">
        <v>7635.68</v>
      </c>
      <c r="BK150" s="3">
        <v>18245.91</v>
      </c>
      <c r="BL150" s="3">
        <v>9631.27</v>
      </c>
      <c r="BM150" s="3">
        <v>40397.71</v>
      </c>
      <c r="BN150" s="3">
        <v>25379.05</v>
      </c>
      <c r="BO150" s="3">
        <v>42952.47</v>
      </c>
      <c r="BP150" s="28">
        <v>51.3461</v>
      </c>
      <c r="BQ150" s="28">
        <f t="shared" si="9"/>
        <v>148.71002860976785</v>
      </c>
      <c r="BR150" s="28">
        <f t="shared" si="10"/>
        <v>355.35142883295907</v>
      </c>
      <c r="BS150" s="28">
        <f t="shared" si="11"/>
        <v>187.57549258853157</v>
      </c>
      <c r="BT150" s="28">
        <f t="shared" si="12"/>
        <v>786.77270522980325</v>
      </c>
      <c r="BU150" s="4">
        <v>55346</v>
      </c>
    </row>
    <row r="151" spans="1:73" x14ac:dyDescent="0.25">
      <c r="A151" t="s">
        <v>150</v>
      </c>
      <c r="B151" s="2">
        <v>40968</v>
      </c>
      <c r="C151" s="3">
        <v>8.5</v>
      </c>
      <c r="D151" s="28">
        <v>8.1999999999999993</v>
      </c>
      <c r="E151" s="34">
        <v>94.971310000000003</v>
      </c>
      <c r="F151" s="5">
        <v>95.5</v>
      </c>
      <c r="G151" s="5">
        <v>96.6</v>
      </c>
      <c r="H151" s="3">
        <v>104.04</v>
      </c>
      <c r="I151" s="3">
        <v>101.08</v>
      </c>
      <c r="J151" s="3">
        <v>111.37</v>
      </c>
      <c r="K151" s="3">
        <v>105.59</v>
      </c>
      <c r="L151" s="3" t="e">
        <v>#N/A</v>
      </c>
      <c r="M151" s="3">
        <v>100.43</v>
      </c>
      <c r="N151" s="3">
        <v>104.4</v>
      </c>
      <c r="O151" s="5">
        <v>100.7</v>
      </c>
      <c r="P151" s="52">
        <v>107.968</v>
      </c>
      <c r="Q151" s="52">
        <v>99.043999999999997</v>
      </c>
      <c r="R151" s="52">
        <v>95.180999999999997</v>
      </c>
      <c r="S151" s="52">
        <v>99.503</v>
      </c>
      <c r="T151" s="52">
        <v>98.846999999999994</v>
      </c>
      <c r="U151" s="52">
        <v>103.35299999999999</v>
      </c>
      <c r="V151" s="52">
        <v>104.18899999999999</v>
      </c>
      <c r="W151" s="52">
        <v>102.468</v>
      </c>
      <c r="X151" s="3">
        <v>12768.596054680851</v>
      </c>
      <c r="Y151" s="3">
        <v>25837.31</v>
      </c>
      <c r="Z151" s="3">
        <v>42891.69</v>
      </c>
      <c r="AA151" s="4">
        <v>11226</v>
      </c>
      <c r="AB151" s="4">
        <v>6750</v>
      </c>
      <c r="AC151" s="5" t="e">
        <v>#N/A</v>
      </c>
      <c r="AD151" s="5" t="e">
        <v>#N/A</v>
      </c>
      <c r="AE151" s="34">
        <v>168.19120213412862</v>
      </c>
      <c r="AF151" s="28">
        <v>57.764800000000001</v>
      </c>
      <c r="AG151" s="28">
        <v>56.603200000000001</v>
      </c>
      <c r="AH151" s="28">
        <v>56.463700000000003</v>
      </c>
      <c r="AI151" s="28">
        <v>60.465400000000002</v>
      </c>
      <c r="AJ151" s="28">
        <v>62.786200000000001</v>
      </c>
      <c r="AK151" s="28">
        <v>48.6907</v>
      </c>
      <c r="AL151" s="28">
        <v>49.344799999999999</v>
      </c>
      <c r="AM151" s="28">
        <v>53.1462</v>
      </c>
      <c r="AN151" s="28">
        <v>60.612099999999998</v>
      </c>
      <c r="AO151" s="28">
        <v>61.485799999999998</v>
      </c>
      <c r="AP151" s="28">
        <v>51.813099999999999</v>
      </c>
      <c r="AQ151" s="28">
        <v>53.913600000000002</v>
      </c>
      <c r="AR151" s="28">
        <v>56.626399999999997</v>
      </c>
      <c r="AS151" s="28">
        <v>52.000700000000002</v>
      </c>
      <c r="AT151" s="28">
        <v>1.2118</v>
      </c>
      <c r="AU151" s="28">
        <v>49.943100000000001</v>
      </c>
      <c r="AV151" s="28">
        <v>54.611199999999997</v>
      </c>
      <c r="AW151" s="28">
        <v>58.2057</v>
      </c>
      <c r="AX151" s="28">
        <v>56.276000000000003</v>
      </c>
      <c r="AY151" s="28" t="e">
        <v>#N/A</v>
      </c>
      <c r="AZ151" s="28">
        <v>50.291800000000002</v>
      </c>
      <c r="BA151" s="3">
        <v>17836.330000000002</v>
      </c>
      <c r="BB151">
        <f>IF(ISNUMBER(VLOOKUP($B151,CEIC_DATA!$I$26:$N$353,Haver_M!BB$2,FALSE)),VLOOKUP($B151,CEIC_DATA!$I$26:$N$353,Haver_M!BB$2,FALSE),NA())</f>
        <v>99.481951539999997</v>
      </c>
      <c r="BC151" t="e">
        <f>IF(ISNUMBER(VLOOKUP($B151,CEIC_DATA!$I$26:$N$353,Haver_M!BC$2,FALSE)),VLOOKUP($B151,CEIC_DATA!$I$26:$N$353,Haver_M!BC$2,FALSE),NA())</f>
        <v>#N/A</v>
      </c>
      <c r="BD151" t="e">
        <f>IF(ISNUMBER(VLOOKUP($B151,CEIC_DATA!$I$26:$N$353,Haver_M!BD$2,FALSE)),VLOOKUP($B151,CEIC_DATA!$I$26:$N$353,Haver_M!BD$2,FALSE),NA())</f>
        <v>#N/A</v>
      </c>
      <c r="BE151" t="e">
        <f>IF(ISNUMBER(VLOOKUP($B151,CEIC_DATA!$I$26:$N$353,Haver_M!BE$2,FALSE)),VLOOKUP($B151,CEIC_DATA!$I$26:$N$353,Haver_M!BE$2,FALSE),NA())</f>
        <v>#N/A</v>
      </c>
      <c r="BF151">
        <v>1295051</v>
      </c>
      <c r="BG151">
        <v>85308</v>
      </c>
      <c r="BH151">
        <v>1758408</v>
      </c>
      <c r="BI151">
        <v>307338</v>
      </c>
      <c r="BJ151" s="3">
        <v>7609.49</v>
      </c>
      <c r="BK151" s="3">
        <v>18544.919999999998</v>
      </c>
      <c r="BL151" s="3">
        <v>9827.2900000000009</v>
      </c>
      <c r="BM151" s="3">
        <v>40949.89</v>
      </c>
      <c r="BN151" s="3">
        <v>25194.42</v>
      </c>
      <c r="BO151" s="3">
        <v>40118.54</v>
      </c>
      <c r="BP151" s="28">
        <v>49.157699999999998</v>
      </c>
      <c r="BQ151" s="28">
        <f t="shared" si="9"/>
        <v>154.79751900516095</v>
      </c>
      <c r="BR151" s="28">
        <f t="shared" si="10"/>
        <v>377.25361438797989</v>
      </c>
      <c r="BS151" s="28">
        <f t="shared" si="11"/>
        <v>199.91354355472288</v>
      </c>
      <c r="BT151" s="28">
        <f t="shared" si="12"/>
        <v>833.03104091525847</v>
      </c>
      <c r="BU151" s="4">
        <v>54526</v>
      </c>
    </row>
    <row r="152" spans="1:73" x14ac:dyDescent="0.25">
      <c r="A152" t="s">
        <v>151</v>
      </c>
      <c r="B152" s="2">
        <v>40999</v>
      </c>
      <c r="C152" s="3">
        <v>8.5</v>
      </c>
      <c r="D152" s="28">
        <v>8.5607000000000006</v>
      </c>
      <c r="E152" s="34">
        <v>93.488849999999999</v>
      </c>
      <c r="F152" s="5">
        <v>96.4</v>
      </c>
      <c r="G152" s="5">
        <v>97.3</v>
      </c>
      <c r="H152" s="3">
        <v>103.43</v>
      </c>
      <c r="I152" s="3">
        <v>99.48</v>
      </c>
      <c r="J152" s="3">
        <v>106.92</v>
      </c>
      <c r="K152" s="3">
        <v>105.91</v>
      </c>
      <c r="L152" s="3" t="e">
        <v>#N/A</v>
      </c>
      <c r="M152" s="3">
        <v>102.22</v>
      </c>
      <c r="N152" s="3">
        <v>99</v>
      </c>
      <c r="O152" s="5">
        <v>101.4</v>
      </c>
      <c r="P152" s="52">
        <v>104.438</v>
      </c>
      <c r="Q152" s="52">
        <v>99.084000000000003</v>
      </c>
      <c r="R152" s="52">
        <v>95.622</v>
      </c>
      <c r="S152" s="52">
        <v>102.283</v>
      </c>
      <c r="T152" s="52">
        <v>102.429</v>
      </c>
      <c r="U152" s="52">
        <v>100.339</v>
      </c>
      <c r="V152" s="52">
        <v>104.33</v>
      </c>
      <c r="W152" s="52">
        <v>102.48099999999999</v>
      </c>
      <c r="X152" s="3">
        <v>12712.546980131412</v>
      </c>
      <c r="Y152" s="3">
        <v>24536.400000000001</v>
      </c>
      <c r="Z152" s="3">
        <v>41976.5</v>
      </c>
      <c r="AA152" s="4">
        <v>12891</v>
      </c>
      <c r="AB152" s="4">
        <v>9080</v>
      </c>
      <c r="AC152" s="5">
        <v>114.6</v>
      </c>
      <c r="AD152" s="5">
        <v>115.5</v>
      </c>
      <c r="AE152" s="34">
        <v>247.13578345039952</v>
      </c>
      <c r="AF152" s="28">
        <v>53.592100000000002</v>
      </c>
      <c r="AG152" s="28">
        <v>54.743000000000002</v>
      </c>
      <c r="AH152" s="28">
        <v>52.307699999999997</v>
      </c>
      <c r="AI152" s="28">
        <v>56.258099999999999</v>
      </c>
      <c r="AJ152" s="28">
        <v>58.096299999999999</v>
      </c>
      <c r="AK152" s="28">
        <v>51.095100000000002</v>
      </c>
      <c r="AL152" s="28">
        <v>48.824199999999998</v>
      </c>
      <c r="AM152" s="28">
        <v>53.541699999999999</v>
      </c>
      <c r="AN152" s="28">
        <v>61.1706</v>
      </c>
      <c r="AO152" s="28">
        <v>58.023800000000001</v>
      </c>
      <c r="AP152" s="28">
        <v>51.407699999999998</v>
      </c>
      <c r="AQ152" s="28">
        <v>55.616</v>
      </c>
      <c r="AR152" s="28">
        <v>54.144199999999998</v>
      </c>
      <c r="AS152" s="28">
        <v>56.391300000000001</v>
      </c>
      <c r="AT152" s="28">
        <v>1.1301000000000001</v>
      </c>
      <c r="AU152" s="28">
        <v>50.634599999999999</v>
      </c>
      <c r="AV152" s="28">
        <v>54.769199999999998</v>
      </c>
      <c r="AW152" s="28">
        <v>54.777099999999997</v>
      </c>
      <c r="AX152" s="28">
        <v>56.923099999999998</v>
      </c>
      <c r="AY152" s="28" t="e">
        <v>#N/A</v>
      </c>
      <c r="AZ152" s="28">
        <v>50</v>
      </c>
      <c r="BA152" s="3">
        <v>17405.349999999999</v>
      </c>
      <c r="BB152">
        <f>IF(ISNUMBER(VLOOKUP($B152,CEIC_DATA!$I$26:$N$353,Haver_M!BB$2,FALSE)),VLOOKUP($B152,CEIC_DATA!$I$26:$N$353,Haver_M!BB$2,FALSE),NA())</f>
        <v>100.07384971</v>
      </c>
      <c r="BC152">
        <f>IF(ISNUMBER(VLOOKUP($B152,CEIC_DATA!$I$26:$N$353,Haver_M!BC$2,FALSE)),VLOOKUP($B152,CEIC_DATA!$I$26:$N$353,Haver_M!BC$2,FALSE),NA())</f>
        <v>114.9</v>
      </c>
      <c r="BD152">
        <f>IF(ISNUMBER(VLOOKUP($B152,CEIC_DATA!$I$26:$N$353,Haver_M!BD$2,FALSE)),VLOOKUP($B152,CEIC_DATA!$I$26:$N$353,Haver_M!BD$2,FALSE),NA())</f>
        <v>117.2</v>
      </c>
      <c r="BE152">
        <f>IF(ISNUMBER(VLOOKUP($B152,CEIC_DATA!$I$26:$N$353,Haver_M!BE$2,FALSE)),VLOOKUP($B152,CEIC_DATA!$I$26:$N$353,Haver_M!BE$2,FALSE),NA())</f>
        <v>33.6</v>
      </c>
      <c r="BF152">
        <v>1328604</v>
      </c>
      <c r="BG152">
        <v>98576</v>
      </c>
      <c r="BH152">
        <v>1835913</v>
      </c>
      <c r="BI152">
        <v>345665</v>
      </c>
      <c r="BJ152" s="3">
        <v>7828.35</v>
      </c>
      <c r="BK152" s="3">
        <v>19373.25</v>
      </c>
      <c r="BL152" s="3">
        <v>10229.6</v>
      </c>
      <c r="BM152" s="3">
        <v>42897.45</v>
      </c>
      <c r="BN152" s="3">
        <v>28839.37</v>
      </c>
      <c r="BO152" s="3">
        <v>42380.69</v>
      </c>
      <c r="BP152" s="28">
        <v>50.323</v>
      </c>
      <c r="BQ152" s="28">
        <f t="shared" si="9"/>
        <v>155.56206903404012</v>
      </c>
      <c r="BR152" s="28">
        <f t="shared" si="10"/>
        <v>384.97804184965128</v>
      </c>
      <c r="BS152" s="28">
        <f t="shared" si="11"/>
        <v>203.2788188303559</v>
      </c>
      <c r="BT152" s="28">
        <f t="shared" si="12"/>
        <v>852.44222323788324</v>
      </c>
      <c r="BU152" s="4">
        <v>53395</v>
      </c>
    </row>
    <row r="153" spans="1:73" x14ac:dyDescent="0.25">
      <c r="A153" t="s">
        <v>152</v>
      </c>
      <c r="B153" s="2">
        <v>41029</v>
      </c>
      <c r="C153" s="3">
        <v>8</v>
      </c>
      <c r="D153" s="28">
        <v>8.6523000000000003</v>
      </c>
      <c r="E153" s="34">
        <v>92.269260000000003</v>
      </c>
      <c r="F153" s="5">
        <v>97.8</v>
      </c>
      <c r="G153" s="5">
        <v>98.1</v>
      </c>
      <c r="H153" s="3">
        <v>102.43</v>
      </c>
      <c r="I153" s="3">
        <v>100.49</v>
      </c>
      <c r="J153" s="3">
        <v>101.2</v>
      </c>
      <c r="K153" s="3">
        <v>105.46</v>
      </c>
      <c r="L153" s="3">
        <v>103.73</v>
      </c>
      <c r="M153" s="3">
        <v>102.57</v>
      </c>
      <c r="N153" s="3">
        <v>100.29</v>
      </c>
      <c r="O153" s="5">
        <v>102.2</v>
      </c>
      <c r="P153" s="52">
        <v>102.53</v>
      </c>
      <c r="Q153" s="52">
        <v>100.425</v>
      </c>
      <c r="R153" s="52">
        <v>93.816999999999993</v>
      </c>
      <c r="S153" s="52">
        <v>102.206</v>
      </c>
      <c r="T153" s="52">
        <v>86.875</v>
      </c>
      <c r="U153" s="52">
        <v>106.875</v>
      </c>
      <c r="V153" s="52">
        <v>102.20699999999999</v>
      </c>
      <c r="W153" s="52">
        <v>102.68600000000001</v>
      </c>
      <c r="X153" s="3">
        <v>12604.663017983656</v>
      </c>
      <c r="Y153" s="3">
        <v>24568.97</v>
      </c>
      <c r="Z153" s="3">
        <v>38205.43</v>
      </c>
      <c r="AA153" s="4">
        <v>10484</v>
      </c>
      <c r="AB153" s="4">
        <v>6510</v>
      </c>
      <c r="AC153" s="5" t="e">
        <v>#N/A</v>
      </c>
      <c r="AD153" s="5" t="e">
        <v>#N/A</v>
      </c>
      <c r="AE153" s="34">
        <v>202.43937677951794</v>
      </c>
      <c r="AF153" s="28">
        <v>53.834899999999998</v>
      </c>
      <c r="AG153" s="28">
        <v>54.913800000000002</v>
      </c>
      <c r="AH153" s="28">
        <v>52.763500000000001</v>
      </c>
      <c r="AI153" s="28">
        <v>56.058799999999998</v>
      </c>
      <c r="AJ153" s="28">
        <v>61.09</v>
      </c>
      <c r="AK153" s="28">
        <v>50.991599999999998</v>
      </c>
      <c r="AL153" s="28">
        <v>50.220500000000001</v>
      </c>
      <c r="AM153" s="28">
        <v>49.068199999999997</v>
      </c>
      <c r="AN153" s="28">
        <v>64.762299999999996</v>
      </c>
      <c r="AO153" s="28">
        <v>57.117899999999999</v>
      </c>
      <c r="AP153" s="28">
        <v>51.025799999999997</v>
      </c>
      <c r="AQ153" s="28">
        <v>56.187199999999997</v>
      </c>
      <c r="AR153" s="28">
        <v>58.678199999999997</v>
      </c>
      <c r="AS153" s="28">
        <v>56.2926</v>
      </c>
      <c r="AT153" s="28">
        <v>1.1972</v>
      </c>
      <c r="AU153" s="28">
        <v>50.754899999999999</v>
      </c>
      <c r="AV153" s="28">
        <v>54.753599999999999</v>
      </c>
      <c r="AW153" s="28">
        <v>55.1051</v>
      </c>
      <c r="AX153" s="28">
        <v>56.365400000000001</v>
      </c>
      <c r="AY153" s="28" t="e">
        <v>#N/A</v>
      </c>
      <c r="AZ153" s="28">
        <v>49.604100000000003</v>
      </c>
      <c r="BA153" s="3">
        <v>17288</v>
      </c>
      <c r="BB153">
        <f>IF(ISNUMBER(VLOOKUP($B153,CEIC_DATA!$I$26:$N$353,Haver_M!BB$2,FALSE)),VLOOKUP($B153,CEIC_DATA!$I$26:$N$353,Haver_M!BB$2,FALSE),NA())</f>
        <v>100.2460585</v>
      </c>
      <c r="BC153" t="e">
        <f>IF(ISNUMBER(VLOOKUP($B153,CEIC_DATA!$I$26:$N$353,Haver_M!BC$2,FALSE)),VLOOKUP($B153,CEIC_DATA!$I$26:$N$353,Haver_M!BC$2,FALSE),NA())</f>
        <v>#N/A</v>
      </c>
      <c r="BD153" t="e">
        <f>IF(ISNUMBER(VLOOKUP($B153,CEIC_DATA!$I$26:$N$353,Haver_M!BD$2,FALSE)),VLOOKUP($B153,CEIC_DATA!$I$26:$N$353,Haver_M!BD$2,FALSE),NA())</f>
        <v>#N/A</v>
      </c>
      <c r="BE153" t="e">
        <f>IF(ISNUMBER(VLOOKUP($B153,CEIC_DATA!$I$26:$N$353,Haver_M!BE$2,FALSE)),VLOOKUP($B153,CEIC_DATA!$I$26:$N$353,Haver_M!BE$2,FALSE),NA())</f>
        <v>#N/A</v>
      </c>
      <c r="BF153">
        <v>1349820</v>
      </c>
      <c r="BG153">
        <v>60847</v>
      </c>
      <c r="BH153">
        <v>1737652</v>
      </c>
      <c r="BI153">
        <v>265213</v>
      </c>
      <c r="BJ153" s="3">
        <v>7851.6</v>
      </c>
      <c r="BK153" s="3">
        <v>19362.990000000002</v>
      </c>
      <c r="BL153" s="3">
        <v>10250.049999999999</v>
      </c>
      <c r="BM153" s="3">
        <v>42899.11</v>
      </c>
      <c r="BN153" s="3">
        <v>23791.86</v>
      </c>
      <c r="BO153" s="3">
        <v>38171.040000000001</v>
      </c>
      <c r="BP153" s="28">
        <v>51.802900000000001</v>
      </c>
      <c r="BQ153" s="28">
        <f t="shared" si="9"/>
        <v>151.56680417505584</v>
      </c>
      <c r="BR153" s="28">
        <f t="shared" si="10"/>
        <v>373.78196973528509</v>
      </c>
      <c r="BS153" s="28">
        <f t="shared" si="11"/>
        <v>197.86633566846641</v>
      </c>
      <c r="BT153" s="28">
        <f t="shared" si="12"/>
        <v>828.12178468772981</v>
      </c>
      <c r="BU153" s="4">
        <v>71211</v>
      </c>
    </row>
    <row r="154" spans="1:73" x14ac:dyDescent="0.25">
      <c r="A154" t="s">
        <v>153</v>
      </c>
      <c r="B154" s="2">
        <v>41060</v>
      </c>
      <c r="C154" s="3">
        <v>8</v>
      </c>
      <c r="D154" s="28">
        <v>8.4598999999999993</v>
      </c>
      <c r="E154" s="34">
        <v>90.041460000000001</v>
      </c>
      <c r="F154" s="5">
        <v>98.6</v>
      </c>
      <c r="G154" s="5">
        <v>98.8</v>
      </c>
      <c r="H154" s="3">
        <v>104.88</v>
      </c>
      <c r="I154" s="3">
        <v>102.21</v>
      </c>
      <c r="J154" s="3">
        <v>104.46</v>
      </c>
      <c r="K154" s="3">
        <v>105.73</v>
      </c>
      <c r="L154" s="3">
        <v>111.03</v>
      </c>
      <c r="M154" s="3">
        <v>106.72</v>
      </c>
      <c r="N154" s="3">
        <v>102.04</v>
      </c>
      <c r="O154" s="5">
        <v>104.2</v>
      </c>
      <c r="P154" s="52">
        <v>106.505</v>
      </c>
      <c r="Q154" s="52">
        <v>101.495</v>
      </c>
      <c r="R154" s="52">
        <v>91.628</v>
      </c>
      <c r="S154" s="52">
        <v>103.48099999999999</v>
      </c>
      <c r="T154" s="52">
        <v>88.527000000000001</v>
      </c>
      <c r="U154" s="52">
        <v>113.64400000000001</v>
      </c>
      <c r="V154" s="52">
        <v>103.98099999999999</v>
      </c>
      <c r="W154" s="52">
        <v>103.292</v>
      </c>
      <c r="X154" s="3">
        <v>12886.157861730109</v>
      </c>
      <c r="Y154" s="3">
        <v>24776.639999999999</v>
      </c>
      <c r="Z154" s="3">
        <v>39427.14</v>
      </c>
      <c r="AA154" s="4">
        <v>12052</v>
      </c>
      <c r="AB154" s="4">
        <v>7711</v>
      </c>
      <c r="AC154" s="5" t="e">
        <v>#N/A</v>
      </c>
      <c r="AD154" s="5" t="e">
        <v>#N/A</v>
      </c>
      <c r="AE154" s="34">
        <v>250.03695505570903</v>
      </c>
      <c r="AF154" s="28">
        <v>55.253900000000002</v>
      </c>
      <c r="AG154" s="28">
        <v>54.808100000000003</v>
      </c>
      <c r="AH154" s="28">
        <v>54.693800000000003</v>
      </c>
      <c r="AI154" s="28">
        <v>56.416499999999999</v>
      </c>
      <c r="AJ154" s="28">
        <v>59.574800000000003</v>
      </c>
      <c r="AK154" s="28">
        <v>51.207000000000001</v>
      </c>
      <c r="AL154" s="28">
        <v>49.689799999999998</v>
      </c>
      <c r="AM154" s="28">
        <v>50.435699999999997</v>
      </c>
      <c r="AN154" s="28">
        <v>64.241500000000002</v>
      </c>
      <c r="AO154" s="28">
        <v>57.957599999999999</v>
      </c>
      <c r="AP154" s="28">
        <v>51.522100000000002</v>
      </c>
      <c r="AQ154" s="28">
        <v>56.1892</v>
      </c>
      <c r="AR154" s="28">
        <v>57.7881</v>
      </c>
      <c r="AS154" s="28">
        <v>56.162999999999997</v>
      </c>
      <c r="AT154" s="28">
        <v>1.1563000000000001</v>
      </c>
      <c r="AU154" s="28">
        <v>50.507599999999996</v>
      </c>
      <c r="AV154" s="28">
        <v>56.3688</v>
      </c>
      <c r="AW154" s="28">
        <v>55.305799999999998</v>
      </c>
      <c r="AX154" s="28">
        <v>57.396000000000001</v>
      </c>
      <c r="AY154" s="28" t="e">
        <v>#N/A</v>
      </c>
      <c r="AZ154" s="28">
        <v>50.944499999999998</v>
      </c>
      <c r="BA154" s="3">
        <v>16396.23</v>
      </c>
      <c r="BB154">
        <f>IF(ISNUMBER(VLOOKUP($B154,CEIC_DATA!$I$26:$N$353,Haver_M!BB$2,FALSE)),VLOOKUP($B154,CEIC_DATA!$I$26:$N$353,Haver_M!BB$2,FALSE),NA())</f>
        <v>99.891578879999997</v>
      </c>
      <c r="BC154" t="e">
        <f>IF(ISNUMBER(VLOOKUP($B154,CEIC_DATA!$I$26:$N$353,Haver_M!BC$2,FALSE)),VLOOKUP($B154,CEIC_DATA!$I$26:$N$353,Haver_M!BC$2,FALSE),NA())</f>
        <v>#N/A</v>
      </c>
      <c r="BD154" t="e">
        <f>IF(ISNUMBER(VLOOKUP($B154,CEIC_DATA!$I$26:$N$353,Haver_M!BD$2,FALSE)),VLOOKUP($B154,CEIC_DATA!$I$26:$N$353,Haver_M!BD$2,FALSE),NA())</f>
        <v>#N/A</v>
      </c>
      <c r="BE154" t="e">
        <f>IF(ISNUMBER(VLOOKUP($B154,CEIC_DATA!$I$26:$N$353,Haver_M!BE$2,FALSE)),VLOOKUP($B154,CEIC_DATA!$I$26:$N$353,Haver_M!BE$2,FALSE),NA())</f>
        <v>#N/A</v>
      </c>
      <c r="BF154">
        <v>1367062</v>
      </c>
      <c r="BG154">
        <v>69894</v>
      </c>
      <c r="BH154">
        <v>1759510</v>
      </c>
      <c r="BI154">
        <v>267370</v>
      </c>
      <c r="BJ154" s="3">
        <v>7882.82</v>
      </c>
      <c r="BK154" s="3">
        <v>19493.689999999999</v>
      </c>
      <c r="BL154" s="3">
        <v>10123.43</v>
      </c>
      <c r="BM154" s="3">
        <v>42902.720000000001</v>
      </c>
      <c r="BN154" s="3">
        <v>24821.439999999999</v>
      </c>
      <c r="BO154" s="3">
        <v>42187.32</v>
      </c>
      <c r="BP154" s="28">
        <v>54.473500000000001</v>
      </c>
      <c r="BQ154" s="28">
        <f t="shared" si="9"/>
        <v>144.70926230185319</v>
      </c>
      <c r="BR154" s="28">
        <f t="shared" si="10"/>
        <v>357.85638888633918</v>
      </c>
      <c r="BS154" s="28">
        <f t="shared" si="11"/>
        <v>185.84137241043811</v>
      </c>
      <c r="BT154" s="28">
        <f t="shared" si="12"/>
        <v>787.58882759506912</v>
      </c>
      <c r="BU154" s="4">
        <v>82411</v>
      </c>
    </row>
    <row r="155" spans="1:73" x14ac:dyDescent="0.25">
      <c r="A155" t="s">
        <v>154</v>
      </c>
      <c r="B155" s="2">
        <v>41090</v>
      </c>
      <c r="C155" s="3">
        <v>8</v>
      </c>
      <c r="D155" s="28">
        <v>8.2269000000000005</v>
      </c>
      <c r="E155" s="34">
        <v>89.347239999999999</v>
      </c>
      <c r="F155" s="5">
        <v>99.8</v>
      </c>
      <c r="G155" s="5">
        <v>99.6</v>
      </c>
      <c r="H155" s="3">
        <v>103.72</v>
      </c>
      <c r="I155" s="3">
        <v>101.32</v>
      </c>
      <c r="J155" s="3">
        <v>102.49</v>
      </c>
      <c r="K155" s="3">
        <v>104.42</v>
      </c>
      <c r="L155" s="3">
        <v>101.77</v>
      </c>
      <c r="M155" s="3">
        <v>107.25</v>
      </c>
      <c r="N155" s="3">
        <v>107.32</v>
      </c>
      <c r="O155" s="5">
        <v>103.1</v>
      </c>
      <c r="P155" s="52">
        <v>104.604</v>
      </c>
      <c r="Q155" s="52">
        <v>100.27</v>
      </c>
      <c r="R155" s="52">
        <v>91.031999999999996</v>
      </c>
      <c r="S155" s="52">
        <v>104.748</v>
      </c>
      <c r="T155" s="52">
        <v>94.495999999999995</v>
      </c>
      <c r="U155" s="52">
        <v>105.955</v>
      </c>
      <c r="V155" s="52">
        <v>104.444</v>
      </c>
      <c r="W155" s="52">
        <v>105.303</v>
      </c>
      <c r="X155" s="3">
        <v>13077.197839513932</v>
      </c>
      <c r="Y155" s="3">
        <v>24699.34</v>
      </c>
      <c r="Z155" s="3">
        <v>37075.120000000003</v>
      </c>
      <c r="AA155" s="4">
        <v>10843</v>
      </c>
      <c r="AB155" s="4">
        <v>6317</v>
      </c>
      <c r="AC155" s="5">
        <v>106.7</v>
      </c>
      <c r="AD155" s="5">
        <v>115.2</v>
      </c>
      <c r="AE155" s="34">
        <v>310.10711737746908</v>
      </c>
      <c r="AF155" s="28">
        <v>55.666800000000002</v>
      </c>
      <c r="AG155" s="28">
        <v>55.020699999999998</v>
      </c>
      <c r="AH155" s="28">
        <v>54.293500000000002</v>
      </c>
      <c r="AI155" s="28">
        <v>58.517200000000003</v>
      </c>
      <c r="AJ155" s="28">
        <v>58.503399999999999</v>
      </c>
      <c r="AK155" s="28">
        <v>52.377400000000002</v>
      </c>
      <c r="AL155" s="28">
        <v>51.751199999999997</v>
      </c>
      <c r="AM155" s="28">
        <v>51.275399999999998</v>
      </c>
      <c r="AN155" s="28">
        <v>65.082800000000006</v>
      </c>
      <c r="AO155" s="28">
        <v>56.244100000000003</v>
      </c>
      <c r="AP155" s="28">
        <v>52.892800000000001</v>
      </c>
      <c r="AQ155" s="28">
        <v>52.328600000000002</v>
      </c>
      <c r="AR155" s="28">
        <v>59.5259</v>
      </c>
      <c r="AS155" s="28">
        <v>51.489199999999997</v>
      </c>
      <c r="AT155" s="28">
        <v>1.1061000000000001</v>
      </c>
      <c r="AU155" s="28">
        <v>51.106099999999998</v>
      </c>
      <c r="AV155" s="28">
        <v>56.184699999999999</v>
      </c>
      <c r="AW155" s="28">
        <v>55.685499999999998</v>
      </c>
      <c r="AX155" s="28">
        <v>57.381700000000002</v>
      </c>
      <c r="AY155" s="28" t="e">
        <v>#N/A</v>
      </c>
      <c r="AZ155" s="28">
        <v>48.692300000000003</v>
      </c>
      <c r="BA155" s="3">
        <v>16737.14</v>
      </c>
      <c r="BB155">
        <f>IF(ISNUMBER(VLOOKUP($B155,CEIC_DATA!$I$26:$N$353,Haver_M!BB$2,FALSE)),VLOOKUP($B155,CEIC_DATA!$I$26:$N$353,Haver_M!BB$2,FALSE),NA())</f>
        <v>99.124098180000004</v>
      </c>
      <c r="BC155">
        <f>IF(ISNUMBER(VLOOKUP($B155,CEIC_DATA!$I$26:$N$353,Haver_M!BC$2,FALSE)),VLOOKUP($B155,CEIC_DATA!$I$26:$N$353,Haver_M!BC$2,FALSE),NA())</f>
        <v>107.4</v>
      </c>
      <c r="BD155">
        <f>IF(ISNUMBER(VLOOKUP($B155,CEIC_DATA!$I$26:$N$353,Haver_M!BD$2,FALSE)),VLOOKUP($B155,CEIC_DATA!$I$26:$N$353,Haver_M!BD$2,FALSE),NA())</f>
        <v>116.8</v>
      </c>
      <c r="BE155">
        <f>IF(ISNUMBER(VLOOKUP($B155,CEIC_DATA!$I$26:$N$353,Haver_M!BE$2,FALSE)),VLOOKUP($B155,CEIC_DATA!$I$26:$N$353,Haver_M!BE$2,FALSE),NA())</f>
        <v>34.9</v>
      </c>
      <c r="BF155">
        <v>1325433</v>
      </c>
      <c r="BG155">
        <v>73524</v>
      </c>
      <c r="BH155">
        <v>1714555</v>
      </c>
      <c r="BI155">
        <v>261324</v>
      </c>
      <c r="BJ155" s="3">
        <v>8009.27</v>
      </c>
      <c r="BK155" s="3">
        <v>19991.259999999998</v>
      </c>
      <c r="BL155" s="3">
        <v>10485.129999999999</v>
      </c>
      <c r="BM155" s="3">
        <v>43989.26</v>
      </c>
      <c r="BN155" s="3">
        <v>24924.26</v>
      </c>
      <c r="BO155" s="3">
        <v>36157.370000000003</v>
      </c>
      <c r="BP155" s="28">
        <v>56.030200000000001</v>
      </c>
      <c r="BQ155" s="28">
        <f t="shared" si="9"/>
        <v>142.94559005679082</v>
      </c>
      <c r="BR155" s="28">
        <f t="shared" si="10"/>
        <v>356.79437160674064</v>
      </c>
      <c r="BS155" s="28">
        <f t="shared" si="11"/>
        <v>187.13354583778033</v>
      </c>
      <c r="BT155" s="28">
        <f t="shared" si="12"/>
        <v>785.09910726715236</v>
      </c>
      <c r="BU155" s="4">
        <v>80569</v>
      </c>
    </row>
    <row r="156" spans="1:73" x14ac:dyDescent="0.25">
      <c r="A156" t="s">
        <v>155</v>
      </c>
      <c r="B156" s="2">
        <v>41121</v>
      </c>
      <c r="C156" s="3">
        <v>8</v>
      </c>
      <c r="D156" s="28">
        <v>8.2630999999999997</v>
      </c>
      <c r="E156" s="34">
        <v>91.196010000000001</v>
      </c>
      <c r="F156" s="5">
        <v>101.1</v>
      </c>
      <c r="G156" s="5">
        <v>100.1</v>
      </c>
      <c r="H156" s="3">
        <v>102.39</v>
      </c>
      <c r="I156" s="3">
        <v>100.57</v>
      </c>
      <c r="J156" s="3">
        <v>103.5</v>
      </c>
      <c r="K156" s="3">
        <v>101.31</v>
      </c>
      <c r="L156" s="3">
        <v>104.87</v>
      </c>
      <c r="M156" s="3">
        <v>101.6</v>
      </c>
      <c r="N156" s="3">
        <v>106.34</v>
      </c>
      <c r="O156" s="5">
        <v>104</v>
      </c>
      <c r="P156" s="52">
        <v>103.509</v>
      </c>
      <c r="Q156" s="52">
        <v>100.414</v>
      </c>
      <c r="R156" s="52">
        <v>88.352999999999994</v>
      </c>
      <c r="S156" s="52">
        <v>105.35299999999999</v>
      </c>
      <c r="T156" s="52">
        <v>97.863</v>
      </c>
      <c r="U156" s="52">
        <v>109.895</v>
      </c>
      <c r="V156" s="52">
        <v>103.462</v>
      </c>
      <c r="W156" s="52">
        <v>102.40600000000001</v>
      </c>
      <c r="X156" s="3">
        <v>13282.872426467527</v>
      </c>
      <c r="Y156" s="3">
        <v>23440.61</v>
      </c>
      <c r="Z156" s="3">
        <v>39390.58</v>
      </c>
      <c r="AA156" s="4">
        <v>11065</v>
      </c>
      <c r="AB156" s="4">
        <v>6500</v>
      </c>
      <c r="AC156" s="5" t="e">
        <v>#N/A</v>
      </c>
      <c r="AD156" s="5" t="e">
        <v>#N/A</v>
      </c>
      <c r="AE156" s="34">
        <v>148.88491078014837</v>
      </c>
      <c r="AF156" s="28">
        <v>54.3628</v>
      </c>
      <c r="AG156" s="28">
        <v>52.888500000000001</v>
      </c>
      <c r="AH156" s="28">
        <v>54.204099999999997</v>
      </c>
      <c r="AI156" s="28">
        <v>54.692300000000003</v>
      </c>
      <c r="AJ156" s="28">
        <v>54.925400000000003</v>
      </c>
      <c r="AK156" s="28">
        <v>51.181899999999999</v>
      </c>
      <c r="AL156" s="28">
        <v>50.080500000000001</v>
      </c>
      <c r="AM156" s="28">
        <v>50.134999999999998</v>
      </c>
      <c r="AN156" s="28">
        <v>61.924599999999998</v>
      </c>
      <c r="AO156" s="28">
        <v>52.004300000000001</v>
      </c>
      <c r="AP156" s="28">
        <v>50.497199999999999</v>
      </c>
      <c r="AQ156" s="28">
        <v>49.656799999999997</v>
      </c>
      <c r="AR156" s="28">
        <v>57.48</v>
      </c>
      <c r="AS156" s="28">
        <v>47.540599999999998</v>
      </c>
      <c r="AT156" s="28">
        <v>1.0876999999999999</v>
      </c>
      <c r="AU156" s="28">
        <v>51.085099999999997</v>
      </c>
      <c r="AV156" s="28">
        <v>55.603200000000001</v>
      </c>
      <c r="AW156" s="28">
        <v>55.701099999999997</v>
      </c>
      <c r="AX156" s="28">
        <v>54.502800000000001</v>
      </c>
      <c r="AY156" s="28" t="e">
        <v>#N/A</v>
      </c>
      <c r="AZ156" s="28">
        <v>50.616399999999999</v>
      </c>
      <c r="BA156" s="3">
        <v>17210.189999999999</v>
      </c>
      <c r="BB156">
        <f>IF(ISNUMBER(VLOOKUP($B156,CEIC_DATA!$I$26:$N$353,Haver_M!BB$2,FALSE)),VLOOKUP($B156,CEIC_DATA!$I$26:$N$353,Haver_M!BB$2,FALSE),NA())</f>
        <v>98.141654900000006</v>
      </c>
      <c r="BC156" t="e">
        <f>IF(ISNUMBER(VLOOKUP($B156,CEIC_DATA!$I$26:$N$353,Haver_M!BC$2,FALSE)),VLOOKUP($B156,CEIC_DATA!$I$26:$N$353,Haver_M!BC$2,FALSE),NA())</f>
        <v>#N/A</v>
      </c>
      <c r="BD156" t="e">
        <f>IF(ISNUMBER(VLOOKUP($B156,CEIC_DATA!$I$26:$N$353,Haver_M!BD$2,FALSE)),VLOOKUP($B156,CEIC_DATA!$I$26:$N$353,Haver_M!BD$2,FALSE),NA())</f>
        <v>#N/A</v>
      </c>
      <c r="BE156" t="e">
        <f>IF(ISNUMBER(VLOOKUP($B156,CEIC_DATA!$I$26:$N$353,Haver_M!BE$2,FALSE)),VLOOKUP($B156,CEIC_DATA!$I$26:$N$353,Haver_M!BE$2,FALSE),NA())</f>
        <v>#N/A</v>
      </c>
      <c r="BF156">
        <v>1291125</v>
      </c>
      <c r="BG156">
        <v>73499</v>
      </c>
      <c r="BH156">
        <v>1681051</v>
      </c>
      <c r="BI156">
        <v>251075</v>
      </c>
      <c r="BJ156" s="3">
        <v>7999.61</v>
      </c>
      <c r="BK156" s="3">
        <v>19649.54</v>
      </c>
      <c r="BL156" s="3">
        <v>10356.07</v>
      </c>
      <c r="BM156" s="3">
        <v>43458.1</v>
      </c>
      <c r="BN156" s="3">
        <v>23099.88</v>
      </c>
      <c r="BO156" s="3">
        <v>40619.440000000002</v>
      </c>
      <c r="BP156" s="28">
        <v>55.494799999999998</v>
      </c>
      <c r="BQ156" s="28">
        <f t="shared" si="9"/>
        <v>144.15062312144562</v>
      </c>
      <c r="BR156" s="28">
        <f t="shared" si="10"/>
        <v>354.07894072958192</v>
      </c>
      <c r="BS156" s="28">
        <f t="shared" si="11"/>
        <v>186.61334034900568</v>
      </c>
      <c r="BT156" s="28">
        <f t="shared" si="12"/>
        <v>783.10220056653952</v>
      </c>
      <c r="BU156" s="4">
        <v>76105</v>
      </c>
    </row>
    <row r="157" spans="1:73" x14ac:dyDescent="0.25">
      <c r="A157" t="s">
        <v>156</v>
      </c>
      <c r="B157" s="2">
        <v>41152</v>
      </c>
      <c r="C157" s="3">
        <v>8</v>
      </c>
      <c r="D157" s="28">
        <v>8.3134999999999994</v>
      </c>
      <c r="E157" s="34">
        <v>90.876930000000002</v>
      </c>
      <c r="F157" s="5">
        <v>102.2</v>
      </c>
      <c r="G157" s="5">
        <v>100.9</v>
      </c>
      <c r="H157" s="3">
        <v>103.28</v>
      </c>
      <c r="I157" s="3">
        <v>99.04</v>
      </c>
      <c r="J157" s="3">
        <v>102.61</v>
      </c>
      <c r="K157" s="3">
        <v>103.47</v>
      </c>
      <c r="L157" s="3">
        <v>98.99</v>
      </c>
      <c r="M157" s="3">
        <v>105.46</v>
      </c>
      <c r="N157" s="3">
        <v>111.65</v>
      </c>
      <c r="O157" s="5">
        <v>101.8</v>
      </c>
      <c r="P157" s="52">
        <v>98.988</v>
      </c>
      <c r="Q157" s="52">
        <v>99.945999999999998</v>
      </c>
      <c r="R157" s="52">
        <v>88.754999999999995</v>
      </c>
      <c r="S157" s="52">
        <v>106.70699999999999</v>
      </c>
      <c r="T157" s="52">
        <v>99.617000000000004</v>
      </c>
      <c r="U157" s="52">
        <v>103.827</v>
      </c>
      <c r="V157" s="52">
        <v>102.991</v>
      </c>
      <c r="W157" s="52">
        <v>100.68899999999999</v>
      </c>
      <c r="X157" s="3">
        <v>13363.871887837297</v>
      </c>
      <c r="Y157" s="3">
        <v>23951.83</v>
      </c>
      <c r="Z157" s="3">
        <v>38245.71</v>
      </c>
      <c r="AA157" s="4">
        <v>11402</v>
      </c>
      <c r="AB157" s="4">
        <v>6608</v>
      </c>
      <c r="AC157" s="5" t="e">
        <v>#N/A</v>
      </c>
      <c r="AD157" s="5" t="e">
        <v>#N/A</v>
      </c>
      <c r="AE157" s="34">
        <v>145.23820627284729</v>
      </c>
      <c r="AF157" s="28">
        <v>54.266599999999997</v>
      </c>
      <c r="AG157" s="28">
        <v>52.776000000000003</v>
      </c>
      <c r="AH157" s="28">
        <v>55.001100000000001</v>
      </c>
      <c r="AI157" s="28">
        <v>52.741799999999998</v>
      </c>
      <c r="AJ157" s="28">
        <v>54.311500000000002</v>
      </c>
      <c r="AK157" s="28">
        <v>53.861600000000003</v>
      </c>
      <c r="AL157" s="28">
        <v>49.89</v>
      </c>
      <c r="AM157" s="28">
        <v>50.082799999999999</v>
      </c>
      <c r="AN157" s="28">
        <v>60.6813</v>
      </c>
      <c r="AO157" s="28">
        <v>52.805</v>
      </c>
      <c r="AP157" s="28">
        <v>51.163200000000003</v>
      </c>
      <c r="AQ157" s="28">
        <v>49.176400000000001</v>
      </c>
      <c r="AR157" s="28">
        <v>59.136600000000001</v>
      </c>
      <c r="AS157" s="28">
        <v>51.710700000000003</v>
      </c>
      <c r="AT157" s="28">
        <v>1.0615000000000001</v>
      </c>
      <c r="AU157" s="28">
        <v>51.335999999999999</v>
      </c>
      <c r="AV157" s="28">
        <v>53.323399999999999</v>
      </c>
      <c r="AW157" s="28">
        <v>55.948999999999998</v>
      </c>
      <c r="AX157" s="28">
        <v>53.468800000000002</v>
      </c>
      <c r="AY157" s="28" t="e">
        <v>#N/A</v>
      </c>
      <c r="AZ157" s="28">
        <v>51.978499999999997</v>
      </c>
      <c r="BA157" s="3">
        <v>17583.89</v>
      </c>
      <c r="BB157">
        <f>IF(ISNUMBER(VLOOKUP($B157,CEIC_DATA!$I$26:$N$353,Haver_M!BB$2,FALSE)),VLOOKUP($B157,CEIC_DATA!$I$26:$N$353,Haver_M!BB$2,FALSE),NA())</f>
        <v>97.406318080000005</v>
      </c>
      <c r="BC157" t="e">
        <f>IF(ISNUMBER(VLOOKUP($B157,CEIC_DATA!$I$26:$N$353,Haver_M!BC$2,FALSE)),VLOOKUP($B157,CEIC_DATA!$I$26:$N$353,Haver_M!BC$2,FALSE),NA())</f>
        <v>#N/A</v>
      </c>
      <c r="BD157" t="e">
        <f>IF(ISNUMBER(VLOOKUP($B157,CEIC_DATA!$I$26:$N$353,Haver_M!BD$2,FALSE)),VLOOKUP($B157,CEIC_DATA!$I$26:$N$353,Haver_M!BD$2,FALSE),NA())</f>
        <v>#N/A</v>
      </c>
      <c r="BE157" t="e">
        <f>IF(ISNUMBER(VLOOKUP($B157,CEIC_DATA!$I$26:$N$353,Haver_M!BE$2,FALSE)),VLOOKUP($B157,CEIC_DATA!$I$26:$N$353,Haver_M!BE$2,FALSE),NA())</f>
        <v>#N/A</v>
      </c>
      <c r="BF157">
        <v>1218986</v>
      </c>
      <c r="BG157">
        <v>73526</v>
      </c>
      <c r="BH157">
        <v>1583304</v>
      </c>
      <c r="BI157">
        <v>218670</v>
      </c>
      <c r="BJ157" s="3">
        <v>8119.24</v>
      </c>
      <c r="BK157" s="3">
        <v>19856.310000000001</v>
      </c>
      <c r="BL157" s="3">
        <v>10178.73</v>
      </c>
      <c r="BM157" s="3">
        <v>43593.23</v>
      </c>
      <c r="BN157" s="3">
        <v>23134.47</v>
      </c>
      <c r="BO157" s="3">
        <v>37307.269999999997</v>
      </c>
      <c r="BP157" s="28">
        <v>55.559800000000003</v>
      </c>
      <c r="BQ157" s="28">
        <f t="shared" si="9"/>
        <v>146.13515527413705</v>
      </c>
      <c r="BR157" s="28">
        <f t="shared" si="10"/>
        <v>357.38627568853741</v>
      </c>
      <c r="BS157" s="28">
        <f t="shared" si="11"/>
        <v>183.20314327985341</v>
      </c>
      <c r="BT157" s="28">
        <f t="shared" si="12"/>
        <v>784.61819516988908</v>
      </c>
      <c r="BU157" s="4">
        <v>71812</v>
      </c>
    </row>
    <row r="158" spans="1:73" x14ac:dyDescent="0.25">
      <c r="A158" t="s">
        <v>157</v>
      </c>
      <c r="B158" s="2">
        <v>41182</v>
      </c>
      <c r="C158" s="3">
        <v>8</v>
      </c>
      <c r="D158" s="28">
        <v>8.1387999999999998</v>
      </c>
      <c r="E158" s="34">
        <v>91.450019999999995</v>
      </c>
      <c r="F158" s="5">
        <v>102.9</v>
      </c>
      <c r="G158" s="5">
        <v>101.8</v>
      </c>
      <c r="H158" s="3">
        <v>101.83</v>
      </c>
      <c r="I158" s="3">
        <v>98.04</v>
      </c>
      <c r="J158" s="3">
        <v>99.07</v>
      </c>
      <c r="K158" s="3">
        <v>104.9</v>
      </c>
      <c r="L158" s="3">
        <v>103.24</v>
      </c>
      <c r="M158" s="3">
        <v>103.18</v>
      </c>
      <c r="N158" s="3">
        <v>105.49</v>
      </c>
      <c r="O158" s="5">
        <v>101.4</v>
      </c>
      <c r="P158" s="52">
        <v>98.757000000000005</v>
      </c>
      <c r="Q158" s="52">
        <v>98.57</v>
      </c>
      <c r="R158" s="52">
        <v>85.775000000000006</v>
      </c>
      <c r="S158" s="52">
        <v>105.971</v>
      </c>
      <c r="T158" s="52">
        <v>100.312</v>
      </c>
      <c r="U158" s="52">
        <v>103.77800000000001</v>
      </c>
      <c r="V158" s="52">
        <v>106.123</v>
      </c>
      <c r="W158" s="52">
        <v>102.51300000000001</v>
      </c>
      <c r="X158" s="3">
        <v>13011.157510787445</v>
      </c>
      <c r="Y158" s="3">
        <v>24263.51</v>
      </c>
      <c r="Z158" s="3">
        <v>42335.79</v>
      </c>
      <c r="AA158" s="4">
        <v>11939</v>
      </c>
      <c r="AB158" s="4">
        <v>6137</v>
      </c>
      <c r="AC158" s="5">
        <v>107</v>
      </c>
      <c r="AD158" s="5">
        <v>107.7</v>
      </c>
      <c r="AE158" s="34">
        <v>141.63274195827745</v>
      </c>
      <c r="AF158" s="28">
        <v>54.962699999999998</v>
      </c>
      <c r="AG158" s="28">
        <v>52.802</v>
      </c>
      <c r="AH158" s="28">
        <v>55.814100000000003</v>
      </c>
      <c r="AI158" s="28">
        <v>53.195500000000003</v>
      </c>
      <c r="AJ158" s="28">
        <v>54.372500000000002</v>
      </c>
      <c r="AK158" s="28">
        <v>52.841500000000003</v>
      </c>
      <c r="AL158" s="28">
        <v>50.662399999999998</v>
      </c>
      <c r="AM158" s="28">
        <v>52.2241</v>
      </c>
      <c r="AN158" s="28">
        <v>62.319000000000003</v>
      </c>
      <c r="AO158" s="28">
        <v>53.374400000000001</v>
      </c>
      <c r="AP158" s="28">
        <v>52.793900000000001</v>
      </c>
      <c r="AQ158" s="28">
        <v>53.840499999999999</v>
      </c>
      <c r="AR158" s="28">
        <v>56.786000000000001</v>
      </c>
      <c r="AS158" s="28">
        <v>53.213500000000003</v>
      </c>
      <c r="AT158" s="28">
        <v>1.0299</v>
      </c>
      <c r="AU158" s="28">
        <v>51.5837</v>
      </c>
      <c r="AV158" s="28">
        <v>53.967300000000002</v>
      </c>
      <c r="AW158" s="28">
        <v>56.716999999999999</v>
      </c>
      <c r="AX158" s="28">
        <v>54.345599999999997</v>
      </c>
      <c r="AY158" s="28" t="e">
        <v>#N/A</v>
      </c>
      <c r="AZ158" s="28">
        <v>49.182400000000001</v>
      </c>
      <c r="BA158" s="3">
        <v>18145.07</v>
      </c>
      <c r="BB158">
        <f>IF(ISNUMBER(VLOOKUP($B158,CEIC_DATA!$I$26:$N$353,Haver_M!BB$2,FALSE)),VLOOKUP($B158,CEIC_DATA!$I$26:$N$353,Haver_M!BB$2,FALSE),NA())</f>
        <v>97.23111609</v>
      </c>
      <c r="BC158">
        <f>IF(ISNUMBER(VLOOKUP($B158,CEIC_DATA!$I$26:$N$353,Haver_M!BC$2,FALSE)),VLOOKUP($B158,CEIC_DATA!$I$26:$N$353,Haver_M!BC$2,FALSE),NA())</f>
        <v>103.8</v>
      </c>
      <c r="BD158">
        <f>IF(ISNUMBER(VLOOKUP($B158,CEIC_DATA!$I$26:$N$353,Haver_M!BD$2,FALSE)),VLOOKUP($B158,CEIC_DATA!$I$26:$N$353,Haver_M!BD$2,FALSE),NA())</f>
        <v>114</v>
      </c>
      <c r="BE158">
        <f>IF(ISNUMBER(VLOOKUP($B158,CEIC_DATA!$I$26:$N$353,Haver_M!BE$2,FALSE)),VLOOKUP($B158,CEIC_DATA!$I$26:$N$353,Haver_M!BE$2,FALSE),NA())</f>
        <v>30.6</v>
      </c>
      <c r="BF158">
        <v>1229516</v>
      </c>
      <c r="BG158">
        <v>78568</v>
      </c>
      <c r="BH158">
        <v>1658867</v>
      </c>
      <c r="BI158">
        <v>272686</v>
      </c>
      <c r="BJ158" s="3">
        <v>8188.35</v>
      </c>
      <c r="BK158" s="3">
        <v>20162.59</v>
      </c>
      <c r="BL158" s="3">
        <v>10279.36</v>
      </c>
      <c r="BM158" s="3">
        <v>44019.69</v>
      </c>
      <c r="BN158" s="3">
        <v>24902</v>
      </c>
      <c r="BO158" s="3">
        <v>42051.45</v>
      </c>
      <c r="BP158" s="28">
        <v>54.605499999999999</v>
      </c>
      <c r="BQ158" s="28">
        <f t="shared" si="9"/>
        <v>149.95467489538601</v>
      </c>
      <c r="BR158" s="28">
        <f t="shared" si="10"/>
        <v>369.24101052091822</v>
      </c>
      <c r="BS158" s="28">
        <f t="shared" si="11"/>
        <v>188.24770398586224</v>
      </c>
      <c r="BT158" s="28">
        <f t="shared" si="12"/>
        <v>806.14022397011297</v>
      </c>
      <c r="BU158" s="4">
        <v>66585</v>
      </c>
    </row>
    <row r="159" spans="1:73" x14ac:dyDescent="0.25">
      <c r="A159" t="s">
        <v>158</v>
      </c>
      <c r="B159" s="2">
        <v>41213</v>
      </c>
      <c r="C159" s="3">
        <v>8</v>
      </c>
      <c r="D159" s="28">
        <v>8.2010000000000005</v>
      </c>
      <c r="E159" s="34">
        <v>93.580439999999996</v>
      </c>
      <c r="F159" s="5">
        <v>103.6</v>
      </c>
      <c r="G159" s="5">
        <v>102.7</v>
      </c>
      <c r="H159" s="3">
        <v>103.32</v>
      </c>
      <c r="I159" s="3">
        <v>102.88</v>
      </c>
      <c r="J159" s="3">
        <v>95.35</v>
      </c>
      <c r="K159" s="3">
        <v>105.17</v>
      </c>
      <c r="L159" s="3">
        <v>104.28</v>
      </c>
      <c r="M159" s="3">
        <v>108.06</v>
      </c>
      <c r="N159" s="3">
        <v>108.17</v>
      </c>
      <c r="O159" s="5">
        <v>104</v>
      </c>
      <c r="P159" s="52">
        <v>102.393</v>
      </c>
      <c r="Q159" s="52">
        <v>99.451999999999998</v>
      </c>
      <c r="R159" s="52">
        <v>85.373000000000005</v>
      </c>
      <c r="S159" s="52">
        <v>111.146</v>
      </c>
      <c r="T159" s="52">
        <v>99.936000000000007</v>
      </c>
      <c r="U159" s="52">
        <v>102.895</v>
      </c>
      <c r="V159" s="52">
        <v>107.321</v>
      </c>
      <c r="W159" s="52">
        <v>103.83</v>
      </c>
      <c r="X159" s="3">
        <v>13090.739919905205</v>
      </c>
      <c r="Y159" s="3">
        <v>24835.86</v>
      </c>
      <c r="Z159" s="3">
        <v>42341.5</v>
      </c>
      <c r="AA159" s="4">
        <v>12348</v>
      </c>
      <c r="AB159" s="4">
        <v>6703</v>
      </c>
      <c r="AC159" s="5" t="e">
        <v>#N/A</v>
      </c>
      <c r="AD159" s="5" t="e">
        <v>#N/A</v>
      </c>
      <c r="AE159" s="34">
        <v>168.29465799760851</v>
      </c>
      <c r="AF159" s="28">
        <v>53.460799999999999</v>
      </c>
      <c r="AG159" s="28">
        <v>52.865200000000002</v>
      </c>
      <c r="AH159" s="28">
        <v>53.832700000000003</v>
      </c>
      <c r="AI159" s="28">
        <v>52.688800000000001</v>
      </c>
      <c r="AJ159" s="28">
        <v>54.9208</v>
      </c>
      <c r="AK159" s="28">
        <v>52.089599999999997</v>
      </c>
      <c r="AL159" s="28">
        <v>49.698099999999997</v>
      </c>
      <c r="AM159" s="28">
        <v>52.535800000000002</v>
      </c>
      <c r="AN159" s="28">
        <v>58.513100000000001</v>
      </c>
      <c r="AO159" s="28">
        <v>53.838299999999997</v>
      </c>
      <c r="AP159" s="28">
        <v>48.312800000000003</v>
      </c>
      <c r="AQ159" s="28">
        <v>53.614699999999999</v>
      </c>
      <c r="AR159" s="28">
        <v>52.925899999999999</v>
      </c>
      <c r="AS159" s="28">
        <v>56.332900000000002</v>
      </c>
      <c r="AT159" s="28">
        <v>1.1368</v>
      </c>
      <c r="AU159" s="28">
        <v>50.807000000000002</v>
      </c>
      <c r="AV159" s="28">
        <v>54.343499999999999</v>
      </c>
      <c r="AW159" s="28">
        <v>56.2562</v>
      </c>
      <c r="AX159" s="28">
        <v>54.875</v>
      </c>
      <c r="AY159" s="28" t="e">
        <v>#N/A</v>
      </c>
      <c r="AZ159" s="28">
        <v>52.35</v>
      </c>
      <c r="BA159" s="3">
        <v>18720.919999999998</v>
      </c>
      <c r="BB159">
        <f>IF(ISNUMBER(VLOOKUP($B159,CEIC_DATA!$I$26:$N$353,Haver_M!BB$2,FALSE)),VLOOKUP($B159,CEIC_DATA!$I$26:$N$353,Haver_M!BB$2,FALSE),NA())</f>
        <v>97.518325660000002</v>
      </c>
      <c r="BC159" t="e">
        <f>IF(ISNUMBER(VLOOKUP($B159,CEIC_DATA!$I$26:$N$353,Haver_M!BC$2,FALSE)),VLOOKUP($B159,CEIC_DATA!$I$26:$N$353,Haver_M!BC$2,FALSE),NA())</f>
        <v>#N/A</v>
      </c>
      <c r="BD159" t="e">
        <f>IF(ISNUMBER(VLOOKUP($B159,CEIC_DATA!$I$26:$N$353,Haver_M!BD$2,FALSE)),VLOOKUP($B159,CEIC_DATA!$I$26:$N$353,Haver_M!BD$2,FALSE),NA())</f>
        <v>#N/A</v>
      </c>
      <c r="BE159" t="e">
        <f>IF(ISNUMBER(VLOOKUP($B159,CEIC_DATA!$I$26:$N$353,Haver_M!BE$2,FALSE)),VLOOKUP($B159,CEIC_DATA!$I$26:$N$353,Haver_M!BE$2,FALSE),NA())</f>
        <v>#N/A</v>
      </c>
      <c r="BF159">
        <v>1439867</v>
      </c>
      <c r="BG159">
        <v>72489</v>
      </c>
      <c r="BH159">
        <v>1885675</v>
      </c>
      <c r="BI159">
        <v>287247</v>
      </c>
      <c r="BJ159" s="3">
        <v>8337.34</v>
      </c>
      <c r="BK159" s="3">
        <v>20325.8</v>
      </c>
      <c r="BL159" s="3">
        <v>10249.08</v>
      </c>
      <c r="BM159" s="3">
        <v>44381.61</v>
      </c>
      <c r="BN159" s="3">
        <v>24032.9</v>
      </c>
      <c r="BO159" s="3">
        <v>44243.75</v>
      </c>
      <c r="BP159" s="28">
        <v>53.023899999999998</v>
      </c>
      <c r="BQ159" s="28">
        <f t="shared" si="9"/>
        <v>157.23739672110125</v>
      </c>
      <c r="BR159" s="28">
        <f t="shared" si="10"/>
        <v>383.33279898310008</v>
      </c>
      <c r="BS159" s="28">
        <f t="shared" si="11"/>
        <v>193.29170430692577</v>
      </c>
      <c r="BT159" s="28">
        <f t="shared" si="12"/>
        <v>837.01142315069251</v>
      </c>
      <c r="BU159" s="4">
        <v>69588</v>
      </c>
    </row>
    <row r="160" spans="1:73" x14ac:dyDescent="0.25">
      <c r="A160" t="s">
        <v>159</v>
      </c>
      <c r="B160" s="2">
        <v>41243</v>
      </c>
      <c r="C160" s="3">
        <v>8</v>
      </c>
      <c r="D160" s="28">
        <v>8.1981000000000002</v>
      </c>
      <c r="E160" s="34">
        <v>91.33314</v>
      </c>
      <c r="F160" s="5">
        <v>104.3</v>
      </c>
      <c r="G160" s="5">
        <v>103.6</v>
      </c>
      <c r="H160" s="3">
        <v>103.51</v>
      </c>
      <c r="I160" s="3">
        <v>100.71</v>
      </c>
      <c r="J160" s="3">
        <v>96.75</v>
      </c>
      <c r="K160" s="3">
        <v>105.6</v>
      </c>
      <c r="L160" s="3">
        <v>106.21</v>
      </c>
      <c r="M160" s="3">
        <v>102.05</v>
      </c>
      <c r="N160" s="3">
        <v>108.35</v>
      </c>
      <c r="O160" s="5">
        <v>104.5</v>
      </c>
      <c r="P160" s="52">
        <v>101.193</v>
      </c>
      <c r="Q160" s="52">
        <v>98.340999999999994</v>
      </c>
      <c r="R160" s="52">
        <v>82.141999999999996</v>
      </c>
      <c r="S160" s="52">
        <v>109.88</v>
      </c>
      <c r="T160" s="52">
        <v>100.313</v>
      </c>
      <c r="U160" s="52">
        <v>110.099</v>
      </c>
      <c r="V160" s="52">
        <v>107.99</v>
      </c>
      <c r="W160" s="52">
        <v>105.068</v>
      </c>
      <c r="X160" s="3">
        <v>13320.56246792504</v>
      </c>
      <c r="Y160" s="3">
        <v>25173.33</v>
      </c>
      <c r="Z160" s="3">
        <v>42324.5</v>
      </c>
      <c r="AA160" s="4">
        <v>12029</v>
      </c>
      <c r="AB160" s="4">
        <v>6618</v>
      </c>
      <c r="AC160" s="5" t="e">
        <v>#N/A</v>
      </c>
      <c r="AD160" s="5" t="e">
        <v>#N/A</v>
      </c>
      <c r="AE160" s="34">
        <v>149.58160224625718</v>
      </c>
      <c r="AF160" s="28">
        <v>53.2012</v>
      </c>
      <c r="AG160" s="28">
        <v>53.697099999999999</v>
      </c>
      <c r="AH160" s="28">
        <v>52.124099999999999</v>
      </c>
      <c r="AI160" s="28">
        <v>55.436900000000001</v>
      </c>
      <c r="AJ160" s="28">
        <v>55.8048</v>
      </c>
      <c r="AK160" s="28">
        <v>51.440199999999997</v>
      </c>
      <c r="AL160" s="28">
        <v>50.846200000000003</v>
      </c>
      <c r="AM160" s="28">
        <v>54.353099999999998</v>
      </c>
      <c r="AN160" s="28">
        <v>59.994199999999999</v>
      </c>
      <c r="AO160" s="28">
        <v>55.305700000000002</v>
      </c>
      <c r="AP160" s="28">
        <v>45.2575</v>
      </c>
      <c r="AQ160" s="28">
        <v>55.907699999999998</v>
      </c>
      <c r="AR160" s="28">
        <v>56.020299999999999</v>
      </c>
      <c r="AS160" s="28">
        <v>54.122</v>
      </c>
      <c r="AT160" s="28">
        <v>1.2331000000000001</v>
      </c>
      <c r="AU160" s="28">
        <v>50.686300000000003</v>
      </c>
      <c r="AV160" s="28">
        <v>54.332900000000002</v>
      </c>
      <c r="AW160" s="28">
        <v>54.938400000000001</v>
      </c>
      <c r="AX160" s="28">
        <v>54.793100000000003</v>
      </c>
      <c r="AY160" s="28" t="e">
        <v>#N/A</v>
      </c>
      <c r="AZ160" s="28">
        <v>49.5199</v>
      </c>
      <c r="BA160" s="3">
        <v>18672.11</v>
      </c>
      <c r="BB160">
        <f>IF(ISNUMBER(VLOOKUP($B160,CEIC_DATA!$I$26:$N$353,Haver_M!BB$2,FALSE)),VLOOKUP($B160,CEIC_DATA!$I$26:$N$353,Haver_M!BB$2,FALSE),NA())</f>
        <v>98.070616599999994</v>
      </c>
      <c r="BC160" t="e">
        <f>IF(ISNUMBER(VLOOKUP($B160,CEIC_DATA!$I$26:$N$353,Haver_M!BC$2,FALSE)),VLOOKUP($B160,CEIC_DATA!$I$26:$N$353,Haver_M!BC$2,FALSE),NA())</f>
        <v>#N/A</v>
      </c>
      <c r="BD160" t="e">
        <f>IF(ISNUMBER(VLOOKUP($B160,CEIC_DATA!$I$26:$N$353,Haver_M!BD$2,FALSE)),VLOOKUP($B160,CEIC_DATA!$I$26:$N$353,Haver_M!BD$2,FALSE),NA())</f>
        <v>#N/A</v>
      </c>
      <c r="BE160" t="e">
        <f>IF(ISNUMBER(VLOOKUP($B160,CEIC_DATA!$I$26:$N$353,Haver_M!BE$2,FALSE)),VLOOKUP($B160,CEIC_DATA!$I$26:$N$353,Haver_M!BE$2,FALSE),NA())</f>
        <v>#N/A</v>
      </c>
      <c r="BF160">
        <v>1327699</v>
      </c>
      <c r="BG160">
        <v>67144</v>
      </c>
      <c r="BH160">
        <v>1751551</v>
      </c>
      <c r="BI160">
        <v>276383</v>
      </c>
      <c r="BJ160" s="3">
        <v>8545.1299999999992</v>
      </c>
      <c r="BK160" s="3">
        <v>20869.46</v>
      </c>
      <c r="BL160" s="3">
        <v>10545.58</v>
      </c>
      <c r="BM160" s="3">
        <v>45552.29</v>
      </c>
      <c r="BN160" s="3">
        <v>23250.94</v>
      </c>
      <c r="BO160" s="3">
        <v>40454.01</v>
      </c>
      <c r="BP160" s="28">
        <v>54.775799999999997</v>
      </c>
      <c r="BQ160" s="28">
        <f t="shared" si="9"/>
        <v>156.00192055615801</v>
      </c>
      <c r="BR160" s="28">
        <f t="shared" si="10"/>
        <v>380.99781290277826</v>
      </c>
      <c r="BS160" s="28">
        <f t="shared" si="11"/>
        <v>192.52261034982604</v>
      </c>
      <c r="BT160" s="28">
        <f t="shared" si="12"/>
        <v>831.61341322262763</v>
      </c>
      <c r="BU160" s="4">
        <v>68322</v>
      </c>
    </row>
    <row r="161" spans="1:73" x14ac:dyDescent="0.25">
      <c r="A161" t="s">
        <v>160</v>
      </c>
      <c r="B161" s="2">
        <v>41274</v>
      </c>
      <c r="C161" s="3">
        <v>8</v>
      </c>
      <c r="D161" s="28">
        <v>8.2003000000000004</v>
      </c>
      <c r="E161" s="34">
        <v>90.728390000000005</v>
      </c>
      <c r="F161" s="5">
        <v>104.6</v>
      </c>
      <c r="G161" s="5">
        <v>104.2</v>
      </c>
      <c r="H161" s="3">
        <v>103.53</v>
      </c>
      <c r="I161" s="3">
        <v>100.8</v>
      </c>
      <c r="J161" s="3">
        <v>99.88</v>
      </c>
      <c r="K161" s="3">
        <v>106.1</v>
      </c>
      <c r="L161" s="3">
        <v>107.99</v>
      </c>
      <c r="M161" s="3">
        <v>104.84</v>
      </c>
      <c r="N161" s="3">
        <v>105.48</v>
      </c>
      <c r="O161" s="5">
        <v>106</v>
      </c>
      <c r="P161" s="52">
        <v>104.11499999999999</v>
      </c>
      <c r="Q161" s="52">
        <v>98.635000000000005</v>
      </c>
      <c r="R161" s="52">
        <v>81.796000000000006</v>
      </c>
      <c r="S161" s="52">
        <v>109.349</v>
      </c>
      <c r="T161" s="52">
        <v>95.201999999999998</v>
      </c>
      <c r="U161" s="52">
        <v>109.786</v>
      </c>
      <c r="V161" s="52">
        <v>112.247</v>
      </c>
      <c r="W161" s="52">
        <v>106.958</v>
      </c>
      <c r="X161" s="3">
        <v>13085.431904605215</v>
      </c>
      <c r="Y161" s="3">
        <v>24990.04</v>
      </c>
      <c r="Z161" s="3">
        <v>43047.44</v>
      </c>
      <c r="AA161" s="4">
        <v>12881</v>
      </c>
      <c r="AB161" s="4">
        <v>6761</v>
      </c>
      <c r="AC161" s="5">
        <v>106.9</v>
      </c>
      <c r="AD161" s="5">
        <v>105.6</v>
      </c>
      <c r="AE161" s="34">
        <v>133.96412195591338</v>
      </c>
      <c r="AF161" s="28">
        <v>56.301200000000001</v>
      </c>
      <c r="AG161" s="28">
        <v>54.682299999999998</v>
      </c>
      <c r="AH161" s="28">
        <v>55.611400000000003</v>
      </c>
      <c r="AI161" s="28">
        <v>57.733199999999997</v>
      </c>
      <c r="AJ161" s="28">
        <v>58.0336</v>
      </c>
      <c r="AK161" s="28">
        <v>51.110700000000001</v>
      </c>
      <c r="AL161" s="28">
        <v>51.152000000000001</v>
      </c>
      <c r="AM161" s="28">
        <v>52.895600000000002</v>
      </c>
      <c r="AN161" s="28">
        <v>59.615600000000001</v>
      </c>
      <c r="AO161" s="28">
        <v>56.032200000000003</v>
      </c>
      <c r="AP161" s="28">
        <v>48.095599999999997</v>
      </c>
      <c r="AQ161" s="28">
        <v>56.387700000000002</v>
      </c>
      <c r="AR161" s="28">
        <v>55.870800000000003</v>
      </c>
      <c r="AS161" s="28">
        <v>56.513399999999997</v>
      </c>
      <c r="AT161" s="28">
        <v>1.2065999999999999</v>
      </c>
      <c r="AU161" s="28">
        <v>50.294699999999999</v>
      </c>
      <c r="AV161" s="28">
        <v>52.972200000000001</v>
      </c>
      <c r="AW161" s="28">
        <v>57.107300000000002</v>
      </c>
      <c r="AX161" s="28">
        <v>53.872799999999998</v>
      </c>
      <c r="AY161" s="28" t="e">
        <v>#N/A</v>
      </c>
      <c r="AZ161" s="28">
        <v>52.691499999999998</v>
      </c>
      <c r="BA161" s="3">
        <v>19365.189999999999</v>
      </c>
      <c r="BB161">
        <f>IF(ISNUMBER(VLOOKUP($B161,CEIC_DATA!$I$26:$N$353,Haver_M!BB$2,FALSE)),VLOOKUP($B161,CEIC_DATA!$I$26:$N$353,Haver_M!BB$2,FALSE),NA())</f>
        <v>98.632185010000001</v>
      </c>
      <c r="BC161">
        <f>IF(ISNUMBER(VLOOKUP($B161,CEIC_DATA!$I$26:$N$353,Haver_M!BC$2,FALSE)),VLOOKUP($B161,CEIC_DATA!$I$26:$N$353,Haver_M!BC$2,FALSE),NA())</f>
        <v>104.5</v>
      </c>
      <c r="BD161">
        <f>IF(ISNUMBER(VLOOKUP($B161,CEIC_DATA!$I$26:$N$353,Haver_M!BD$2,FALSE)),VLOOKUP($B161,CEIC_DATA!$I$26:$N$353,Haver_M!BD$2,FALSE),NA())</f>
        <v>115.7</v>
      </c>
      <c r="BE161">
        <f>IF(ISNUMBER(VLOOKUP($B161,CEIC_DATA!$I$26:$N$353,Haver_M!BE$2,FALSE)),VLOOKUP($B161,CEIC_DATA!$I$26:$N$353,Haver_M!BE$2,FALSE),NA())</f>
        <v>32.200000000000003</v>
      </c>
      <c r="BF161">
        <v>1310118</v>
      </c>
      <c r="BG161">
        <v>69507</v>
      </c>
      <c r="BH161">
        <v>1711123</v>
      </c>
      <c r="BI161">
        <v>256902</v>
      </c>
      <c r="BJ161" s="3">
        <v>8629.32</v>
      </c>
      <c r="BK161" s="3">
        <v>21145.4</v>
      </c>
      <c r="BL161" s="3">
        <v>10758.99</v>
      </c>
      <c r="BM161" s="3">
        <v>46231.03</v>
      </c>
      <c r="BN161" s="3">
        <v>25457.54</v>
      </c>
      <c r="BO161" s="3">
        <v>43050.57</v>
      </c>
      <c r="BP161" s="28">
        <v>54.647799999999997</v>
      </c>
      <c r="BQ161" s="28">
        <f t="shared" si="9"/>
        <v>157.9079121208905</v>
      </c>
      <c r="BR161" s="28">
        <f t="shared" si="10"/>
        <v>386.93963892416537</v>
      </c>
      <c r="BS161" s="28">
        <f t="shared" si="11"/>
        <v>196.8787398577802</v>
      </c>
      <c r="BT161" s="28">
        <f t="shared" si="12"/>
        <v>845.98153997050201</v>
      </c>
      <c r="BU161" s="4">
        <v>66693</v>
      </c>
    </row>
    <row r="162" spans="1:73" x14ac:dyDescent="0.25">
      <c r="A162" t="s">
        <v>161</v>
      </c>
      <c r="B162" s="2">
        <v>41305</v>
      </c>
      <c r="C162" s="3">
        <v>7.75</v>
      </c>
      <c r="D162" s="28">
        <v>7.9417</v>
      </c>
      <c r="E162" s="34">
        <v>91.494</v>
      </c>
      <c r="F162" s="5">
        <v>105.1</v>
      </c>
      <c r="G162" s="5">
        <v>104.6</v>
      </c>
      <c r="H162" s="3">
        <v>103.44</v>
      </c>
      <c r="I162" s="3">
        <v>100.99</v>
      </c>
      <c r="J162" s="3">
        <v>96.94</v>
      </c>
      <c r="K162" s="3">
        <v>106.42</v>
      </c>
      <c r="L162" s="3">
        <v>105.26</v>
      </c>
      <c r="M162" s="3">
        <v>105.83</v>
      </c>
      <c r="N162" s="3">
        <v>104</v>
      </c>
      <c r="O162" s="5">
        <v>105.4</v>
      </c>
      <c r="P162" s="52">
        <v>105.91800000000001</v>
      </c>
      <c r="Q162" s="52">
        <v>98.504999999999995</v>
      </c>
      <c r="R162" s="52">
        <v>80.552999999999997</v>
      </c>
      <c r="S162" s="52">
        <v>110.05200000000001</v>
      </c>
      <c r="T162" s="52">
        <v>94.212000000000003</v>
      </c>
      <c r="U162" s="52">
        <v>107.24299999999999</v>
      </c>
      <c r="V162" s="52">
        <v>113.496</v>
      </c>
      <c r="W162" s="52">
        <v>107.405</v>
      </c>
      <c r="X162" s="3">
        <v>13300.966027396678</v>
      </c>
      <c r="Y162" s="3">
        <v>25743.61</v>
      </c>
      <c r="Z162" s="3">
        <v>44359.17</v>
      </c>
      <c r="AA162" s="4">
        <v>13899</v>
      </c>
      <c r="AB162" s="4">
        <v>7522</v>
      </c>
      <c r="AC162" s="5" t="e">
        <v>#N/A</v>
      </c>
      <c r="AD162" s="5" t="e">
        <v>#N/A</v>
      </c>
      <c r="AE162" s="34">
        <v>130.85621663597405</v>
      </c>
      <c r="AF162" s="28">
        <v>56.347799999999999</v>
      </c>
      <c r="AG162" s="28">
        <v>53.179499999999997</v>
      </c>
      <c r="AH162" s="28">
        <v>57.458500000000001</v>
      </c>
      <c r="AI162" s="28">
        <v>54.042200000000001</v>
      </c>
      <c r="AJ162" s="28">
        <v>55.856000000000002</v>
      </c>
      <c r="AK162" s="28">
        <v>51.078400000000002</v>
      </c>
      <c r="AL162" s="28">
        <v>49.519199999999998</v>
      </c>
      <c r="AM162" s="28">
        <v>51.243499999999997</v>
      </c>
      <c r="AN162" s="28">
        <v>58.909100000000002</v>
      </c>
      <c r="AO162" s="28">
        <v>54.466299999999997</v>
      </c>
      <c r="AP162" s="28">
        <v>48.200099999999999</v>
      </c>
      <c r="AQ162" s="28">
        <v>54.557699999999997</v>
      </c>
      <c r="AR162" s="28">
        <v>54.964700000000001</v>
      </c>
      <c r="AS162" s="28">
        <v>53.185099999999998</v>
      </c>
      <c r="AT162" s="28">
        <v>1.1588000000000001</v>
      </c>
      <c r="AU162" s="28">
        <v>51.017400000000002</v>
      </c>
      <c r="AV162" s="28">
        <v>52.963200000000001</v>
      </c>
      <c r="AW162" s="28">
        <v>58.333300000000001</v>
      </c>
      <c r="AX162" s="28">
        <v>53.995699999999999</v>
      </c>
      <c r="AY162" s="28" t="e">
        <v>#N/A</v>
      </c>
      <c r="AZ162" s="28">
        <v>50.675600000000003</v>
      </c>
      <c r="BA162" s="3">
        <v>19874.66</v>
      </c>
      <c r="BB162">
        <f>IF(ISNUMBER(VLOOKUP($B162,CEIC_DATA!$I$26:$N$353,Haver_M!BB$2,FALSE)),VLOOKUP($B162,CEIC_DATA!$I$26:$N$353,Haver_M!BB$2,FALSE),NA())</f>
        <v>98.952627849999999</v>
      </c>
      <c r="BC162" t="e">
        <f>IF(ISNUMBER(VLOOKUP($B162,CEIC_DATA!$I$26:$N$353,Haver_M!BC$2,FALSE)),VLOOKUP($B162,CEIC_DATA!$I$26:$N$353,Haver_M!BC$2,FALSE),NA())</f>
        <v>#N/A</v>
      </c>
      <c r="BD162" t="e">
        <f>IF(ISNUMBER(VLOOKUP($B162,CEIC_DATA!$I$26:$N$353,Haver_M!BD$2,FALSE)),VLOOKUP($B162,CEIC_DATA!$I$26:$N$353,Haver_M!BD$2,FALSE),NA())</f>
        <v>#N/A</v>
      </c>
      <c r="BE162" t="e">
        <f>IF(ISNUMBER(VLOOKUP($B162,CEIC_DATA!$I$26:$N$353,Haver_M!BE$2,FALSE)),VLOOKUP($B162,CEIC_DATA!$I$26:$N$353,Haver_M!BE$2,FALSE),NA())</f>
        <v>#N/A</v>
      </c>
      <c r="BF162">
        <v>1360630</v>
      </c>
      <c r="BG162">
        <v>68696</v>
      </c>
      <c r="BH162">
        <v>1789283</v>
      </c>
      <c r="BI162">
        <v>283894</v>
      </c>
      <c r="BJ162" s="3">
        <v>8668.4599999999991</v>
      </c>
      <c r="BK162" s="3">
        <v>21371.34</v>
      </c>
      <c r="BL162" s="3">
        <v>10720.7</v>
      </c>
      <c r="BM162" s="3">
        <v>46480.81</v>
      </c>
      <c r="BN162" s="3">
        <v>25775.19</v>
      </c>
      <c r="BO162" s="3">
        <v>44754.68</v>
      </c>
      <c r="BP162" s="28">
        <v>54.316800000000001</v>
      </c>
      <c r="BQ162" s="28">
        <f t="shared" si="9"/>
        <v>159.59077117945091</v>
      </c>
      <c r="BR162" s="28">
        <f t="shared" si="10"/>
        <v>393.45727288794626</v>
      </c>
      <c r="BS162" s="28">
        <f t="shared" si="11"/>
        <v>197.37355661600094</v>
      </c>
      <c r="BT162" s="28">
        <f t="shared" si="12"/>
        <v>855.73542624013191</v>
      </c>
      <c r="BU162" s="4">
        <v>66283</v>
      </c>
    </row>
    <row r="163" spans="1:73" x14ac:dyDescent="0.25">
      <c r="A163" t="s">
        <v>162</v>
      </c>
      <c r="B163" s="2">
        <v>41333</v>
      </c>
      <c r="C163" s="3">
        <v>7.75</v>
      </c>
      <c r="D163" s="28">
        <v>7.9241000000000001</v>
      </c>
      <c r="E163" s="34">
        <v>92.81474</v>
      </c>
      <c r="F163" s="5">
        <v>105.9</v>
      </c>
      <c r="G163" s="5">
        <v>105.2</v>
      </c>
      <c r="H163" s="3">
        <v>103.25</v>
      </c>
      <c r="I163" s="3">
        <v>98.66</v>
      </c>
      <c r="J163" s="3">
        <v>99.93</v>
      </c>
      <c r="K163" s="3">
        <v>106.6</v>
      </c>
      <c r="L163" s="3">
        <v>106.7</v>
      </c>
      <c r="M163" s="3">
        <v>104.93</v>
      </c>
      <c r="N163" s="3">
        <v>104.56</v>
      </c>
      <c r="O163" s="5">
        <v>104.1</v>
      </c>
      <c r="P163" s="52">
        <v>102.639</v>
      </c>
      <c r="Q163" s="52">
        <v>98.388999999999996</v>
      </c>
      <c r="R163" s="52">
        <v>79.040999999999997</v>
      </c>
      <c r="S163" s="52">
        <v>108.133</v>
      </c>
      <c r="T163" s="52">
        <v>96.933999999999997</v>
      </c>
      <c r="U163" s="52">
        <v>108.178</v>
      </c>
      <c r="V163" s="52">
        <v>111.6</v>
      </c>
      <c r="W163" s="52">
        <v>102.971</v>
      </c>
      <c r="X163" s="3">
        <v>12851.548739105656</v>
      </c>
      <c r="Y163" s="3">
        <v>27316.59</v>
      </c>
      <c r="Z163" s="3">
        <v>43221.53</v>
      </c>
      <c r="AA163" s="4">
        <v>12287</v>
      </c>
      <c r="AB163" s="4">
        <v>6349</v>
      </c>
      <c r="AC163" s="5" t="e">
        <v>#N/A</v>
      </c>
      <c r="AD163" s="5" t="e">
        <v>#N/A</v>
      </c>
      <c r="AE163" s="34">
        <v>130.97583174278296</v>
      </c>
      <c r="AF163" s="28">
        <v>54.848399999999998</v>
      </c>
      <c r="AG163" s="28">
        <v>54.2074</v>
      </c>
      <c r="AH163" s="28">
        <v>54.150599999999997</v>
      </c>
      <c r="AI163" s="28">
        <v>56.296799999999998</v>
      </c>
      <c r="AJ163" s="28">
        <v>56.290300000000002</v>
      </c>
      <c r="AK163" s="28">
        <v>51.012</v>
      </c>
      <c r="AL163" s="28">
        <v>48.361400000000003</v>
      </c>
      <c r="AM163" s="28">
        <v>52.979500000000002</v>
      </c>
      <c r="AN163" s="28">
        <v>58.854300000000002</v>
      </c>
      <c r="AO163" s="28">
        <v>56.427199999999999</v>
      </c>
      <c r="AP163" s="28">
        <v>51.268799999999999</v>
      </c>
      <c r="AQ163" s="28">
        <v>53.1785</v>
      </c>
      <c r="AR163" s="28">
        <v>57.912199999999999</v>
      </c>
      <c r="AS163" s="28">
        <v>52.344700000000003</v>
      </c>
      <c r="AT163" s="28">
        <v>1.0979000000000001</v>
      </c>
      <c r="AU163" s="28">
        <v>51.3964</v>
      </c>
      <c r="AV163" s="28">
        <v>55.360399999999998</v>
      </c>
      <c r="AW163" s="28">
        <v>55.375599999999999</v>
      </c>
      <c r="AX163" s="28">
        <v>57.171999999999997</v>
      </c>
      <c r="AY163" s="28" t="e">
        <v>#N/A</v>
      </c>
      <c r="AZ163" s="28">
        <v>52.958799999999997</v>
      </c>
      <c r="BA163" s="3">
        <v>19463.740000000002</v>
      </c>
      <c r="BB163">
        <f>IF(ISNUMBER(VLOOKUP($B163,CEIC_DATA!$I$26:$N$353,Haver_M!BB$2,FALSE)),VLOOKUP($B163,CEIC_DATA!$I$26:$N$353,Haver_M!BB$2,FALSE),NA())</f>
        <v>98.922075100000001</v>
      </c>
      <c r="BC163" t="e">
        <f>IF(ISNUMBER(VLOOKUP($B163,CEIC_DATA!$I$26:$N$353,Haver_M!BC$2,FALSE)),VLOOKUP($B163,CEIC_DATA!$I$26:$N$353,Haver_M!BC$2,FALSE),NA())</f>
        <v>#N/A</v>
      </c>
      <c r="BD163" t="e">
        <f>IF(ISNUMBER(VLOOKUP($B163,CEIC_DATA!$I$26:$N$353,Haver_M!BD$2,FALSE)),VLOOKUP($B163,CEIC_DATA!$I$26:$N$353,Haver_M!BD$2,FALSE),NA())</f>
        <v>#N/A</v>
      </c>
      <c r="BE163" t="e">
        <f>IF(ISNUMBER(VLOOKUP($B163,CEIC_DATA!$I$26:$N$353,Haver_M!BE$2,FALSE)),VLOOKUP($B163,CEIC_DATA!$I$26:$N$353,Haver_M!BE$2,FALSE),NA())</f>
        <v>#N/A</v>
      </c>
      <c r="BF163">
        <v>1281823</v>
      </c>
      <c r="BG163">
        <v>74760</v>
      </c>
      <c r="BH163">
        <v>1703068</v>
      </c>
      <c r="BI163">
        <v>274836</v>
      </c>
      <c r="BJ163" s="3">
        <v>8719.9500000000007</v>
      </c>
      <c r="BK163" s="3">
        <v>21773.040000000001</v>
      </c>
      <c r="BL163" s="3">
        <v>11003.93</v>
      </c>
      <c r="BM163" s="3">
        <v>47252.83</v>
      </c>
      <c r="BN163" s="3">
        <v>26668.77</v>
      </c>
      <c r="BO163" s="3">
        <v>40791.99</v>
      </c>
      <c r="BP163" s="28">
        <v>53.773699999999998</v>
      </c>
      <c r="BQ163" s="28">
        <f t="shared" si="9"/>
        <v>162.16012660464133</v>
      </c>
      <c r="BR163" s="28">
        <f t="shared" si="10"/>
        <v>404.90128073760968</v>
      </c>
      <c r="BS163" s="28">
        <f t="shared" si="11"/>
        <v>204.63404973063041</v>
      </c>
      <c r="BT163" s="28">
        <f t="shared" si="12"/>
        <v>878.73495779535358</v>
      </c>
      <c r="BU163" s="4">
        <v>62943</v>
      </c>
    </row>
    <row r="164" spans="1:73" x14ac:dyDescent="0.25">
      <c r="A164" t="s">
        <v>163</v>
      </c>
      <c r="B164" s="2">
        <v>41364</v>
      </c>
      <c r="C164" s="3">
        <v>7.5</v>
      </c>
      <c r="D164" s="28">
        <v>8.0101999999999993</v>
      </c>
      <c r="E164" s="34">
        <v>92.880170000000007</v>
      </c>
      <c r="F164" s="5">
        <v>106.1</v>
      </c>
      <c r="G164" s="5">
        <v>105.3</v>
      </c>
      <c r="H164" s="3">
        <v>105.45</v>
      </c>
      <c r="I164" s="3">
        <v>101.14</v>
      </c>
      <c r="J164" s="3">
        <v>102.87</v>
      </c>
      <c r="K164" s="3">
        <v>107.35</v>
      </c>
      <c r="L164" s="3">
        <v>110.87</v>
      </c>
      <c r="M164" s="3">
        <v>104.8</v>
      </c>
      <c r="N164" s="3">
        <v>110.11</v>
      </c>
      <c r="O164" s="5">
        <v>105.5</v>
      </c>
      <c r="P164" s="52">
        <v>105.699</v>
      </c>
      <c r="Q164" s="52">
        <v>99.254000000000005</v>
      </c>
      <c r="R164" s="52">
        <v>79.072000000000003</v>
      </c>
      <c r="S164" s="52">
        <v>108.245</v>
      </c>
      <c r="T164" s="52">
        <v>103.79900000000001</v>
      </c>
      <c r="U164" s="52">
        <v>111.884</v>
      </c>
      <c r="V164" s="52">
        <v>113.554</v>
      </c>
      <c r="W164" s="52">
        <v>107.732</v>
      </c>
      <c r="X164" s="3">
        <v>13183.97431399235</v>
      </c>
      <c r="Y164" s="3">
        <v>26426.89</v>
      </c>
      <c r="Z164" s="3">
        <v>39800.39</v>
      </c>
      <c r="AA164" s="4">
        <v>12253</v>
      </c>
      <c r="AB164" s="4">
        <v>6805</v>
      </c>
      <c r="AC164" s="5">
        <v>101.7</v>
      </c>
      <c r="AD164" s="5">
        <v>103.9</v>
      </c>
      <c r="AE164" s="34">
        <v>165.56266613981401</v>
      </c>
      <c r="AF164" s="28">
        <v>51.434199999999997</v>
      </c>
      <c r="AG164" s="28">
        <v>51.983899999999998</v>
      </c>
      <c r="AH164" s="28">
        <v>51.355600000000003</v>
      </c>
      <c r="AI164" s="28">
        <v>51.597099999999998</v>
      </c>
      <c r="AJ164" s="28">
        <v>52.815300000000001</v>
      </c>
      <c r="AK164" s="28">
        <v>51.457299999999996</v>
      </c>
      <c r="AL164" s="28">
        <v>47.6494</v>
      </c>
      <c r="AM164" s="28">
        <v>50.96</v>
      </c>
      <c r="AN164" s="28">
        <v>55.040999999999997</v>
      </c>
      <c r="AO164" s="28">
        <v>53.963099999999997</v>
      </c>
      <c r="AP164" s="28">
        <v>48.4711</v>
      </c>
      <c r="AQ164" s="28">
        <v>50.4285</v>
      </c>
      <c r="AR164" s="28">
        <v>53.053600000000003</v>
      </c>
      <c r="AS164" s="28">
        <v>51.285200000000003</v>
      </c>
      <c r="AT164" s="28">
        <v>1.0895999999999999</v>
      </c>
      <c r="AU164" s="28">
        <v>51.097299999999997</v>
      </c>
      <c r="AV164" s="28">
        <v>53.021700000000003</v>
      </c>
      <c r="AW164" s="28">
        <v>53.336799999999997</v>
      </c>
      <c r="AX164" s="28">
        <v>53.866999999999997</v>
      </c>
      <c r="AY164" s="28" t="e">
        <v>#N/A</v>
      </c>
      <c r="AZ164" s="28">
        <v>52.107199999999999</v>
      </c>
      <c r="BA164" s="3">
        <v>19147.18</v>
      </c>
      <c r="BB164">
        <f>IF(ISNUMBER(VLOOKUP($B164,CEIC_DATA!$I$26:$N$353,Haver_M!BB$2,FALSE)),VLOOKUP($B164,CEIC_DATA!$I$26:$N$353,Haver_M!BB$2,FALSE),NA())</f>
        <v>98.758571770000003</v>
      </c>
      <c r="BC164">
        <f>IF(ISNUMBER(VLOOKUP($B164,CEIC_DATA!$I$26:$N$353,Haver_M!BC$2,FALSE)),VLOOKUP($B164,CEIC_DATA!$I$26:$N$353,Haver_M!BC$2,FALSE),NA())</f>
        <v>105.6</v>
      </c>
      <c r="BD164">
        <f>IF(ISNUMBER(VLOOKUP($B164,CEIC_DATA!$I$26:$N$353,Haver_M!BD$2,FALSE)),VLOOKUP($B164,CEIC_DATA!$I$26:$N$353,Haver_M!BD$2,FALSE),NA())</f>
        <v>115.6</v>
      </c>
      <c r="BE164">
        <f>IF(ISNUMBER(VLOOKUP($B164,CEIC_DATA!$I$26:$N$353,Haver_M!BE$2,FALSE)),VLOOKUP($B164,CEIC_DATA!$I$26:$N$353,Haver_M!BE$2,FALSE),NA())</f>
        <v>37.5</v>
      </c>
      <c r="BF164">
        <v>1251484</v>
      </c>
      <c r="BG164">
        <v>90804</v>
      </c>
      <c r="BH164">
        <v>1716989</v>
      </c>
      <c r="BI164">
        <v>308829</v>
      </c>
      <c r="BJ164" s="3">
        <v>8975.84</v>
      </c>
      <c r="BK164" s="3">
        <v>22301.79</v>
      </c>
      <c r="BL164" s="3">
        <v>11518.86</v>
      </c>
      <c r="BM164" s="3">
        <v>48695.63</v>
      </c>
      <c r="BN164" s="3">
        <v>30541.41</v>
      </c>
      <c r="BO164" s="3">
        <v>40947.79</v>
      </c>
      <c r="BP164" s="28">
        <v>54.404600000000002</v>
      </c>
      <c r="BQ164" s="28">
        <f t="shared" si="9"/>
        <v>164.98310804601081</v>
      </c>
      <c r="BR164" s="28">
        <f t="shared" si="10"/>
        <v>409.92471224859662</v>
      </c>
      <c r="BS164" s="28">
        <f t="shared" si="11"/>
        <v>211.7258467114913</v>
      </c>
      <c r="BT164" s="28">
        <f t="shared" si="12"/>
        <v>895.06457174577145</v>
      </c>
      <c r="BU164" s="4">
        <v>59758</v>
      </c>
    </row>
    <row r="165" spans="1:73" x14ac:dyDescent="0.25">
      <c r="A165" t="s">
        <v>164</v>
      </c>
      <c r="B165" s="2">
        <v>41394</v>
      </c>
      <c r="C165" s="3">
        <v>7.5</v>
      </c>
      <c r="D165" s="28">
        <v>7.7878999999999996</v>
      </c>
      <c r="E165" s="34">
        <v>93.083730000000003</v>
      </c>
      <c r="F165" s="5">
        <v>106.7</v>
      </c>
      <c r="G165" s="5">
        <v>105.8</v>
      </c>
      <c r="H165" s="3">
        <v>105.84</v>
      </c>
      <c r="I165" s="3">
        <v>100.42</v>
      </c>
      <c r="J165" s="3">
        <v>100.8</v>
      </c>
      <c r="K165" s="3">
        <v>105.99</v>
      </c>
      <c r="L165" s="3">
        <v>114.55</v>
      </c>
      <c r="M165" s="3">
        <v>108.22</v>
      </c>
      <c r="N165" s="3">
        <v>109.35</v>
      </c>
      <c r="O165" s="5">
        <v>104.7</v>
      </c>
      <c r="P165" s="52">
        <v>103.71599999999999</v>
      </c>
      <c r="Q165" s="52">
        <v>99.3</v>
      </c>
      <c r="R165" s="52">
        <v>78.239000000000004</v>
      </c>
      <c r="S165" s="52">
        <v>107.875</v>
      </c>
      <c r="T165" s="52">
        <v>90.001999999999995</v>
      </c>
      <c r="U165" s="52">
        <v>110.596</v>
      </c>
      <c r="V165" s="52">
        <v>112.214</v>
      </c>
      <c r="W165" s="52">
        <v>105.861</v>
      </c>
      <c r="X165" s="3">
        <v>13007.735653570187</v>
      </c>
      <c r="Y165" s="3">
        <v>25465.55</v>
      </c>
      <c r="Z165" s="3">
        <v>42356.6</v>
      </c>
      <c r="AA165" s="4">
        <v>12842</v>
      </c>
      <c r="AB165" s="4">
        <v>7378</v>
      </c>
      <c r="AC165" s="5" t="e">
        <v>#N/A</v>
      </c>
      <c r="AD165" s="5" t="e">
        <v>#N/A</v>
      </c>
      <c r="AE165" s="34">
        <v>177.7712854733326</v>
      </c>
      <c r="AF165" s="28">
        <v>50.500300000000003</v>
      </c>
      <c r="AG165" s="28">
        <v>51.045999999999999</v>
      </c>
      <c r="AH165" s="28">
        <v>50.658999999999999</v>
      </c>
      <c r="AI165" s="28">
        <v>50.170699999999997</v>
      </c>
      <c r="AJ165" s="28">
        <v>52.266399999999997</v>
      </c>
      <c r="AK165" s="28">
        <v>50.5946</v>
      </c>
      <c r="AL165" s="28">
        <v>49.254899999999999</v>
      </c>
      <c r="AM165" s="28">
        <v>50.927799999999998</v>
      </c>
      <c r="AN165" s="28">
        <v>54.147799999999997</v>
      </c>
      <c r="AO165" s="28">
        <v>53.295299999999997</v>
      </c>
      <c r="AP165" s="28">
        <v>50.704700000000003</v>
      </c>
      <c r="AQ165" s="28">
        <v>51.087899999999998</v>
      </c>
      <c r="AR165" s="28">
        <v>51.891599999999997</v>
      </c>
      <c r="AS165" s="28">
        <v>51.040799999999997</v>
      </c>
      <c r="AT165" s="28">
        <v>1.0307999999999999</v>
      </c>
      <c r="AU165" s="28">
        <v>50.5398</v>
      </c>
      <c r="AV165" s="28">
        <v>52.115900000000003</v>
      </c>
      <c r="AW165" s="28">
        <v>52.555900000000001</v>
      </c>
      <c r="AX165" s="28">
        <v>53.405700000000003</v>
      </c>
      <c r="AY165" s="28" t="e">
        <v>#N/A</v>
      </c>
      <c r="AZ165" s="28">
        <v>50.4101</v>
      </c>
      <c r="BA165" s="3">
        <v>18815.78</v>
      </c>
      <c r="BB165">
        <f>IF(ISNUMBER(VLOOKUP($B165,CEIC_DATA!$I$26:$N$353,Haver_M!BB$2,FALSE)),VLOOKUP($B165,CEIC_DATA!$I$26:$N$353,Haver_M!BB$2,FALSE),NA())</f>
        <v>98.518819350000001</v>
      </c>
      <c r="BC165" t="e">
        <f>IF(ISNUMBER(VLOOKUP($B165,CEIC_DATA!$I$26:$N$353,Haver_M!BC$2,FALSE)),VLOOKUP($B165,CEIC_DATA!$I$26:$N$353,Haver_M!BC$2,FALSE),NA())</f>
        <v>#N/A</v>
      </c>
      <c r="BD165" t="e">
        <f>IF(ISNUMBER(VLOOKUP($B165,CEIC_DATA!$I$26:$N$353,Haver_M!BD$2,FALSE)),VLOOKUP($B165,CEIC_DATA!$I$26:$N$353,Haver_M!BD$2,FALSE),NA())</f>
        <v>#N/A</v>
      </c>
      <c r="BE165" t="e">
        <f>IF(ISNUMBER(VLOOKUP($B165,CEIC_DATA!$I$26:$N$353,Haver_M!BE$2,FALSE)),VLOOKUP($B165,CEIC_DATA!$I$26:$N$353,Haver_M!BE$2,FALSE),NA())</f>
        <v>#N/A</v>
      </c>
      <c r="BF165">
        <v>1326489</v>
      </c>
      <c r="BG165">
        <v>61784</v>
      </c>
      <c r="BH165">
        <v>1708337</v>
      </c>
      <c r="BI165">
        <v>250502</v>
      </c>
      <c r="BJ165" s="3">
        <v>8775.9699999999993</v>
      </c>
      <c r="BK165" s="3">
        <v>22344.87</v>
      </c>
      <c r="BL165" s="3">
        <v>11475.05</v>
      </c>
      <c r="BM165" s="3">
        <v>48574.15</v>
      </c>
      <c r="BN165" s="3">
        <v>24524.54</v>
      </c>
      <c r="BO165" s="3">
        <v>41577.15</v>
      </c>
      <c r="BP165" s="28">
        <v>54.375700000000002</v>
      </c>
      <c r="BQ165" s="28">
        <f t="shared" si="9"/>
        <v>161.39507169562873</v>
      </c>
      <c r="BR165" s="28">
        <f t="shared" si="10"/>
        <v>410.93484773529349</v>
      </c>
      <c r="BS165" s="28">
        <f t="shared" si="11"/>
        <v>211.03268555623191</v>
      </c>
      <c r="BT165" s="28">
        <f t="shared" si="12"/>
        <v>893.30620111557187</v>
      </c>
      <c r="BU165" s="4">
        <v>77544</v>
      </c>
    </row>
    <row r="166" spans="1:73" x14ac:dyDescent="0.25">
      <c r="A166" t="s">
        <v>165</v>
      </c>
      <c r="B166" s="2">
        <v>41425</v>
      </c>
      <c r="C166" s="3">
        <v>7.25</v>
      </c>
      <c r="D166" s="28">
        <v>7.4802999999999997</v>
      </c>
      <c r="E166" s="34">
        <v>92.647559999999999</v>
      </c>
      <c r="F166" s="5">
        <v>107.5</v>
      </c>
      <c r="G166" s="5">
        <v>105.9</v>
      </c>
      <c r="H166" s="3">
        <v>105.39</v>
      </c>
      <c r="I166" s="3">
        <v>101.77</v>
      </c>
      <c r="J166" s="3">
        <v>104.17</v>
      </c>
      <c r="K166" s="3">
        <v>106.08</v>
      </c>
      <c r="L166" s="3">
        <v>109.84</v>
      </c>
      <c r="M166" s="3">
        <v>104.55</v>
      </c>
      <c r="N166" s="3">
        <v>110.61</v>
      </c>
      <c r="O166" s="5">
        <v>105.7</v>
      </c>
      <c r="P166" s="52">
        <v>101.623</v>
      </c>
      <c r="Q166" s="52">
        <v>98.688999999999993</v>
      </c>
      <c r="R166" s="52">
        <v>75.159000000000006</v>
      </c>
      <c r="S166" s="52">
        <v>108.973</v>
      </c>
      <c r="T166" s="52">
        <v>85.977999999999994</v>
      </c>
      <c r="U166" s="52">
        <v>114.749</v>
      </c>
      <c r="V166" s="52">
        <v>110.33199999999999</v>
      </c>
      <c r="W166" s="52">
        <v>109.4</v>
      </c>
      <c r="X166" s="3">
        <v>13264.047704909164</v>
      </c>
      <c r="Y166" s="3">
        <v>24759.35</v>
      </c>
      <c r="Z166" s="3">
        <v>41713.89</v>
      </c>
      <c r="AA166" s="4">
        <v>12799</v>
      </c>
      <c r="AB166" s="4">
        <v>6983</v>
      </c>
      <c r="AC166" s="5" t="e">
        <v>#N/A</v>
      </c>
      <c r="AD166" s="5" t="e">
        <v>#N/A</v>
      </c>
      <c r="AE166" s="34">
        <v>126.62388191413319</v>
      </c>
      <c r="AF166" s="28">
        <v>51.988900000000001</v>
      </c>
      <c r="AG166" s="28">
        <v>50.106299999999997</v>
      </c>
      <c r="AH166" s="28">
        <v>53.6096</v>
      </c>
      <c r="AI166" s="28">
        <v>48.6248</v>
      </c>
      <c r="AJ166" s="28">
        <v>50.491399999999999</v>
      </c>
      <c r="AK166" s="28">
        <v>50.694200000000002</v>
      </c>
      <c r="AL166" s="28">
        <v>49.812600000000003</v>
      </c>
      <c r="AM166" s="28">
        <v>51.357799999999997</v>
      </c>
      <c r="AN166" s="28">
        <v>51.335700000000003</v>
      </c>
      <c r="AO166" s="28">
        <v>51.483800000000002</v>
      </c>
      <c r="AP166" s="28">
        <v>50.598500000000001</v>
      </c>
      <c r="AQ166" s="28">
        <v>53.974899999999998</v>
      </c>
      <c r="AR166" s="28">
        <v>49.776400000000002</v>
      </c>
      <c r="AS166" s="28">
        <v>54.066800000000001</v>
      </c>
      <c r="AT166" s="28">
        <v>0.99790000000000001</v>
      </c>
      <c r="AU166" s="28">
        <v>50.540900000000001</v>
      </c>
      <c r="AV166" s="28">
        <v>51.257599999999996</v>
      </c>
      <c r="AW166" s="28">
        <v>53.240299999999998</v>
      </c>
      <c r="AX166" s="28">
        <v>52.690899999999999</v>
      </c>
      <c r="AY166" s="28" t="e">
        <v>#N/A</v>
      </c>
      <c r="AZ166" s="28">
        <v>50.9024</v>
      </c>
      <c r="BA166" s="3">
        <v>19960.8</v>
      </c>
      <c r="BB166">
        <f>IF(ISNUMBER(VLOOKUP($B166,CEIC_DATA!$I$26:$N$353,Haver_M!BB$2,FALSE)),VLOOKUP($B166,CEIC_DATA!$I$26:$N$353,Haver_M!BB$2,FALSE),NA())</f>
        <v>98.343334220000003</v>
      </c>
      <c r="BC166" t="e">
        <f>IF(ISNUMBER(VLOOKUP($B166,CEIC_DATA!$I$26:$N$353,Haver_M!BC$2,FALSE)),VLOOKUP($B166,CEIC_DATA!$I$26:$N$353,Haver_M!BC$2,FALSE),NA())</f>
        <v>#N/A</v>
      </c>
      <c r="BD166" t="e">
        <f>IF(ISNUMBER(VLOOKUP($B166,CEIC_DATA!$I$26:$N$353,Haver_M!BD$2,FALSE)),VLOOKUP($B166,CEIC_DATA!$I$26:$N$353,Haver_M!BD$2,FALSE),NA())</f>
        <v>#N/A</v>
      </c>
      <c r="BE166" t="e">
        <f>IF(ISNUMBER(VLOOKUP($B166,CEIC_DATA!$I$26:$N$353,Haver_M!BE$2,FALSE)),VLOOKUP($B166,CEIC_DATA!$I$26:$N$353,Haver_M!BE$2,FALSE),NA())</f>
        <v>#N/A</v>
      </c>
      <c r="BF166">
        <v>1354356</v>
      </c>
      <c r="BG166">
        <v>60366</v>
      </c>
      <c r="BH166">
        <v>1724525</v>
      </c>
      <c r="BI166">
        <v>248651</v>
      </c>
      <c r="BJ166" s="3">
        <v>8928.0300000000007</v>
      </c>
      <c r="BK166" s="3">
        <v>22542.86</v>
      </c>
      <c r="BL166" s="3">
        <v>11647.38</v>
      </c>
      <c r="BM166" s="3">
        <v>49119.51</v>
      </c>
      <c r="BN166" s="3">
        <v>24922.94</v>
      </c>
      <c r="BO166" s="3">
        <v>43987.1</v>
      </c>
      <c r="BP166" s="28">
        <v>55.010800000000003</v>
      </c>
      <c r="BQ166" s="28">
        <f t="shared" si="9"/>
        <v>162.29594915907421</v>
      </c>
      <c r="BR166" s="28">
        <f t="shared" si="10"/>
        <v>409.78971401979248</v>
      </c>
      <c r="BS166" s="28">
        <f t="shared" si="11"/>
        <v>211.72896958415436</v>
      </c>
      <c r="BT166" s="28">
        <f t="shared" si="12"/>
        <v>892.90666560020941</v>
      </c>
      <c r="BU166" s="4">
        <v>77740</v>
      </c>
    </row>
    <row r="167" spans="1:73" x14ac:dyDescent="0.25">
      <c r="A167" t="s">
        <v>166</v>
      </c>
      <c r="B167" s="2">
        <v>41455</v>
      </c>
      <c r="C167" s="3">
        <v>7.25</v>
      </c>
      <c r="D167" s="28">
        <v>7.4603999999999999</v>
      </c>
      <c r="E167" s="34">
        <v>88.720020000000005</v>
      </c>
      <c r="F167" s="5">
        <v>109.3</v>
      </c>
      <c r="G167" s="5">
        <v>106.6</v>
      </c>
      <c r="H167" s="3">
        <v>102.95</v>
      </c>
      <c r="I167" s="3">
        <v>98.63</v>
      </c>
      <c r="J167" s="3">
        <v>93.61</v>
      </c>
      <c r="K167" s="3">
        <v>106.28</v>
      </c>
      <c r="L167" s="3">
        <v>103.9</v>
      </c>
      <c r="M167" s="3">
        <v>107.12</v>
      </c>
      <c r="N167" s="3">
        <v>108.47</v>
      </c>
      <c r="O167" s="5">
        <v>102.8</v>
      </c>
      <c r="P167" s="52">
        <v>101.309</v>
      </c>
      <c r="Q167" s="52">
        <v>99.4</v>
      </c>
      <c r="R167" s="52">
        <v>75.063000000000002</v>
      </c>
      <c r="S167" s="52">
        <v>106.65</v>
      </c>
      <c r="T167" s="52">
        <v>94.741</v>
      </c>
      <c r="U167" s="52">
        <v>110.173</v>
      </c>
      <c r="V167" s="52">
        <v>106.09399999999999</v>
      </c>
      <c r="W167" s="52">
        <v>105.014</v>
      </c>
      <c r="X167" s="3">
        <v>12881.233912077883</v>
      </c>
      <c r="Y167" s="3">
        <v>23962.12</v>
      </c>
      <c r="Z167" s="3">
        <v>36245.68</v>
      </c>
      <c r="AA167" s="4">
        <v>12348</v>
      </c>
      <c r="AB167" s="4">
        <v>6219</v>
      </c>
      <c r="AC167" s="5">
        <v>101.7</v>
      </c>
      <c r="AD167" s="5">
        <v>109.8</v>
      </c>
      <c r="AE167" s="34">
        <v>139.59292152967834</v>
      </c>
      <c r="AF167" s="28">
        <v>50.908200000000001</v>
      </c>
      <c r="AG167" s="28">
        <v>50.2592</v>
      </c>
      <c r="AH167" s="28">
        <v>51.686799999999998</v>
      </c>
      <c r="AI167" s="28">
        <v>49.108699999999999</v>
      </c>
      <c r="AJ167" s="28">
        <v>49.657600000000002</v>
      </c>
      <c r="AK167" s="28">
        <v>51.134300000000003</v>
      </c>
      <c r="AL167" s="28">
        <v>48.810200000000002</v>
      </c>
      <c r="AM167" s="28">
        <v>51.794400000000003</v>
      </c>
      <c r="AN167" s="28">
        <v>55.924100000000003</v>
      </c>
      <c r="AO167" s="28">
        <v>52.723599999999998</v>
      </c>
      <c r="AP167" s="28">
        <v>51.021599999999999</v>
      </c>
      <c r="AQ167" s="28">
        <v>54.440100000000001</v>
      </c>
      <c r="AR167" s="28">
        <v>50.904400000000003</v>
      </c>
      <c r="AS167" s="28">
        <v>54.665599999999998</v>
      </c>
      <c r="AT167" s="28">
        <v>0.97330000000000005</v>
      </c>
      <c r="AU167" s="28">
        <v>51.901800000000001</v>
      </c>
      <c r="AV167" s="28">
        <v>51.923400000000001</v>
      </c>
      <c r="AW167" s="28">
        <v>51.873100000000001</v>
      </c>
      <c r="AX167" s="28">
        <v>53.134500000000003</v>
      </c>
      <c r="AY167" s="28" t="e">
        <v>#N/A</v>
      </c>
      <c r="AZ167" s="28">
        <v>50.367199999999997</v>
      </c>
      <c r="BA167" s="3">
        <v>19129.29</v>
      </c>
      <c r="BB167">
        <f>IF(ISNUMBER(VLOOKUP($B167,CEIC_DATA!$I$26:$N$353,Haver_M!BB$2,FALSE)),VLOOKUP($B167,CEIC_DATA!$I$26:$N$353,Haver_M!BB$2,FALSE),NA())</f>
        <v>98.254475170000006</v>
      </c>
      <c r="BC167">
        <f>IF(ISNUMBER(VLOOKUP($B167,CEIC_DATA!$I$26:$N$353,Haver_M!BC$2,FALSE)),VLOOKUP($B167,CEIC_DATA!$I$26:$N$353,Haver_M!BC$2,FALSE),NA())</f>
        <v>101.2</v>
      </c>
      <c r="BD167">
        <f>IF(ISNUMBER(VLOOKUP($B167,CEIC_DATA!$I$26:$N$353,Haver_M!BD$2,FALSE)),VLOOKUP($B167,CEIC_DATA!$I$26:$N$353,Haver_M!BD$2,FALSE),NA())</f>
        <v>111.6</v>
      </c>
      <c r="BE167">
        <f>IF(ISNUMBER(VLOOKUP($B167,CEIC_DATA!$I$26:$N$353,Haver_M!BE$2,FALSE)),VLOOKUP($B167,CEIC_DATA!$I$26:$N$353,Haver_M!BE$2,FALSE),NA())</f>
        <v>29.6</v>
      </c>
      <c r="BF167">
        <v>1267296</v>
      </c>
      <c r="BG167">
        <v>61694</v>
      </c>
      <c r="BH167">
        <v>1639834</v>
      </c>
      <c r="BI167">
        <v>238952</v>
      </c>
      <c r="BJ167" s="3">
        <v>8990.75</v>
      </c>
      <c r="BK167" s="3">
        <v>22765.59</v>
      </c>
      <c r="BL167" s="3">
        <v>11810.07</v>
      </c>
      <c r="BM167" s="3">
        <v>49585.68</v>
      </c>
      <c r="BN167" s="3">
        <v>23998.41</v>
      </c>
      <c r="BO167" s="3">
        <v>35304.36</v>
      </c>
      <c r="BP167" s="28">
        <v>58.397300000000001</v>
      </c>
      <c r="BQ167" s="28">
        <f t="shared" si="9"/>
        <v>153.95831656600561</v>
      </c>
      <c r="BR167" s="28">
        <f t="shared" si="10"/>
        <v>389.83976998936595</v>
      </c>
      <c r="BS167" s="28">
        <f t="shared" si="11"/>
        <v>202.23657600608246</v>
      </c>
      <c r="BT167" s="28">
        <f t="shared" si="12"/>
        <v>849.10911977094827</v>
      </c>
      <c r="BU167" s="4">
        <v>73944</v>
      </c>
    </row>
    <row r="168" spans="1:73" x14ac:dyDescent="0.25">
      <c r="A168" t="s">
        <v>167</v>
      </c>
      <c r="B168" s="2">
        <v>41486</v>
      </c>
      <c r="C168" s="3">
        <v>7.25</v>
      </c>
      <c r="D168" s="28">
        <v>8.2727000000000004</v>
      </c>
      <c r="E168" s="34">
        <v>87.854579999999999</v>
      </c>
      <c r="F168" s="5">
        <v>111</v>
      </c>
      <c r="G168" s="5">
        <v>107.7</v>
      </c>
      <c r="H168" s="3">
        <v>105.7</v>
      </c>
      <c r="I168" s="3">
        <v>102.13</v>
      </c>
      <c r="J168" s="3">
        <v>98.12</v>
      </c>
      <c r="K168" s="3">
        <v>109.2</v>
      </c>
      <c r="L168" s="3">
        <v>108.04</v>
      </c>
      <c r="M168" s="3">
        <v>106.77</v>
      </c>
      <c r="N168" s="3">
        <v>111.8</v>
      </c>
      <c r="O168" s="5">
        <v>106.1</v>
      </c>
      <c r="P168" s="52">
        <v>104.849</v>
      </c>
      <c r="Q168" s="52">
        <v>98.331000000000003</v>
      </c>
      <c r="R168" s="52">
        <v>74.738</v>
      </c>
      <c r="S168" s="52">
        <v>109.24299999999999</v>
      </c>
      <c r="T168" s="52">
        <v>98.578000000000003</v>
      </c>
      <c r="U168" s="52">
        <v>115.928</v>
      </c>
      <c r="V168" s="52">
        <v>102.622</v>
      </c>
      <c r="W168" s="52">
        <v>106.48699999999999</v>
      </c>
      <c r="X168" s="3">
        <v>13172.998450776468</v>
      </c>
      <c r="Y168" s="3">
        <v>26570.880000000001</v>
      </c>
      <c r="Z168" s="3">
        <v>37176.58</v>
      </c>
      <c r="AA168" s="4">
        <v>12941</v>
      </c>
      <c r="AB168" s="4">
        <v>6619</v>
      </c>
      <c r="AC168" s="5" t="e">
        <v>#N/A</v>
      </c>
      <c r="AD168" s="5" t="e">
        <v>#N/A</v>
      </c>
      <c r="AE168" s="34">
        <v>139.48357250155317</v>
      </c>
      <c r="AF168" s="28">
        <v>48.448700000000002</v>
      </c>
      <c r="AG168" s="28">
        <v>50.136099999999999</v>
      </c>
      <c r="AH168" s="28">
        <v>47.853900000000003</v>
      </c>
      <c r="AI168" s="28">
        <v>49.8232</v>
      </c>
      <c r="AJ168" s="28">
        <v>49.460099999999997</v>
      </c>
      <c r="AK168" s="28">
        <v>50.945900000000002</v>
      </c>
      <c r="AL168" s="28">
        <v>48.669199999999996</v>
      </c>
      <c r="AM168" s="28">
        <v>49.535200000000003</v>
      </c>
      <c r="AN168" s="28">
        <v>60.5854</v>
      </c>
      <c r="AO168" s="28">
        <v>50.399700000000003</v>
      </c>
      <c r="AP168" s="28">
        <v>50.094700000000003</v>
      </c>
      <c r="AQ168" s="28">
        <v>52.387599999999999</v>
      </c>
      <c r="AR168" s="28">
        <v>53.388100000000001</v>
      </c>
      <c r="AS168" s="28">
        <v>53.429299999999998</v>
      </c>
      <c r="AT168" s="28">
        <v>0.98729999999999996</v>
      </c>
      <c r="AU168" s="28">
        <v>51.7074</v>
      </c>
      <c r="AV168" s="28">
        <v>50.6616</v>
      </c>
      <c r="AW168" s="28">
        <v>47.834699999999998</v>
      </c>
      <c r="AX168" s="28">
        <v>52.530200000000001</v>
      </c>
      <c r="AY168" s="28" t="e">
        <v>#N/A</v>
      </c>
      <c r="AZ168" s="28">
        <v>50.650300000000001</v>
      </c>
      <c r="BA168" s="3">
        <v>19709.71</v>
      </c>
      <c r="BB168">
        <f>IF(ISNUMBER(VLOOKUP($B168,CEIC_DATA!$I$26:$N$353,Haver_M!BB$2,FALSE)),VLOOKUP($B168,CEIC_DATA!$I$26:$N$353,Haver_M!BB$2,FALSE),NA())</f>
        <v>98.464847019999993</v>
      </c>
      <c r="BC168" t="e">
        <f>IF(ISNUMBER(VLOOKUP($B168,CEIC_DATA!$I$26:$N$353,Haver_M!BC$2,FALSE)),VLOOKUP($B168,CEIC_DATA!$I$26:$N$353,Haver_M!BC$2,FALSE),NA())</f>
        <v>#N/A</v>
      </c>
      <c r="BD168" t="e">
        <f>IF(ISNUMBER(VLOOKUP($B168,CEIC_DATA!$I$26:$N$353,Haver_M!BD$2,FALSE)),VLOOKUP($B168,CEIC_DATA!$I$26:$N$353,Haver_M!BD$2,FALSE),NA())</f>
        <v>#N/A</v>
      </c>
      <c r="BE168" t="e">
        <f>IF(ISNUMBER(VLOOKUP($B168,CEIC_DATA!$I$26:$N$353,Haver_M!BE$2,FALSE)),VLOOKUP($B168,CEIC_DATA!$I$26:$N$353,Haver_M!BE$2,FALSE),NA())</f>
        <v>#N/A</v>
      </c>
      <c r="BF168">
        <v>1288715</v>
      </c>
      <c r="BG168">
        <v>61503</v>
      </c>
      <c r="BH168">
        <v>1661124</v>
      </c>
      <c r="BI168">
        <v>244569</v>
      </c>
      <c r="BJ168" s="3">
        <v>9062.5499999999993</v>
      </c>
      <c r="BK168" s="3">
        <v>22701.03</v>
      </c>
      <c r="BL168" s="3">
        <v>11802.33</v>
      </c>
      <c r="BM168" s="3">
        <v>49560.03</v>
      </c>
      <c r="BN168" s="3">
        <v>25835.08</v>
      </c>
      <c r="BO168" s="3">
        <v>38326.449999999997</v>
      </c>
      <c r="BP168" s="28">
        <v>59.775399999999998</v>
      </c>
      <c r="BQ168" s="28">
        <f t="shared" si="9"/>
        <v>151.6100268672397</v>
      </c>
      <c r="BR168" s="28">
        <f t="shared" si="10"/>
        <v>379.77211361195407</v>
      </c>
      <c r="BS168" s="28">
        <f t="shared" si="11"/>
        <v>197.44460095624623</v>
      </c>
      <c r="BT168" s="28">
        <f t="shared" si="12"/>
        <v>829.1041130632334</v>
      </c>
      <c r="BU168" s="4">
        <v>69653</v>
      </c>
    </row>
    <row r="169" spans="1:73" x14ac:dyDescent="0.25">
      <c r="A169" t="s">
        <v>168</v>
      </c>
      <c r="B169" s="2">
        <v>41517</v>
      </c>
      <c r="C169" s="3">
        <v>7.25</v>
      </c>
      <c r="D169" s="28">
        <v>8.7829999999999995</v>
      </c>
      <c r="E169" s="34">
        <v>84.515039999999999</v>
      </c>
      <c r="F169" s="5">
        <v>112.4</v>
      </c>
      <c r="G169" s="5">
        <v>108.7</v>
      </c>
      <c r="H169" s="3">
        <v>107.52</v>
      </c>
      <c r="I169" s="3">
        <v>103</v>
      </c>
      <c r="J169" s="3">
        <v>96.91</v>
      </c>
      <c r="K169" s="3">
        <v>111.95</v>
      </c>
      <c r="L169" s="3">
        <v>111.52</v>
      </c>
      <c r="M169" s="3">
        <v>109.49</v>
      </c>
      <c r="N169" s="3">
        <v>113.26</v>
      </c>
      <c r="O169" s="5">
        <v>106.5</v>
      </c>
      <c r="P169" s="52">
        <v>105.02200000000001</v>
      </c>
      <c r="Q169" s="52">
        <v>98.254999999999995</v>
      </c>
      <c r="R169" s="52">
        <v>73.986000000000004</v>
      </c>
      <c r="S169" s="52">
        <v>112.61799999999999</v>
      </c>
      <c r="T169" s="52">
        <v>101.014</v>
      </c>
      <c r="U169" s="52">
        <v>113.226</v>
      </c>
      <c r="V169" s="52">
        <v>109.13500000000001</v>
      </c>
      <c r="W169" s="52">
        <v>107.496</v>
      </c>
      <c r="X169" s="3">
        <v>13228.552448785844</v>
      </c>
      <c r="Y169" s="3">
        <v>27066.76</v>
      </c>
      <c r="Z169" s="3">
        <v>37897.379999999997</v>
      </c>
      <c r="AA169" s="4">
        <v>12310</v>
      </c>
      <c r="AB169" s="4">
        <v>6295</v>
      </c>
      <c r="AC169" s="5" t="e">
        <v>#N/A</v>
      </c>
      <c r="AD169" s="5" t="e">
        <v>#N/A</v>
      </c>
      <c r="AE169" s="34">
        <v>161.23215389605539</v>
      </c>
      <c r="AF169" s="28">
        <v>47.6083</v>
      </c>
      <c r="AG169" s="28">
        <v>48.533700000000003</v>
      </c>
      <c r="AH169" s="28">
        <v>47.649099999999997</v>
      </c>
      <c r="AI169" s="28">
        <v>47.514099999999999</v>
      </c>
      <c r="AJ169" s="28">
        <v>47.464500000000001</v>
      </c>
      <c r="AK169" s="28">
        <v>50.9848</v>
      </c>
      <c r="AL169" s="28">
        <v>49.841999999999999</v>
      </c>
      <c r="AM169" s="28">
        <v>46.952399999999997</v>
      </c>
      <c r="AN169" s="28">
        <v>57.819800000000001</v>
      </c>
      <c r="AO169" s="28">
        <v>48.186799999999998</v>
      </c>
      <c r="AP169" s="28">
        <v>48.376800000000003</v>
      </c>
      <c r="AQ169" s="28">
        <v>49.832900000000002</v>
      </c>
      <c r="AR169" s="28">
        <v>51.771599999999999</v>
      </c>
      <c r="AS169" s="28">
        <v>51.430500000000002</v>
      </c>
      <c r="AT169" s="28">
        <v>0.98109999999999997</v>
      </c>
      <c r="AU169" s="28">
        <v>50.119900000000001</v>
      </c>
      <c r="AV169" s="28">
        <v>51.076999999999998</v>
      </c>
      <c r="AW169" s="28">
        <v>46.555999999999997</v>
      </c>
      <c r="AX169" s="28">
        <v>55.275500000000001</v>
      </c>
      <c r="AY169" s="28" t="e">
        <v>#N/A</v>
      </c>
      <c r="AZ169" s="28">
        <v>48.851399999999998</v>
      </c>
      <c r="BA169" s="3">
        <v>18641.41</v>
      </c>
      <c r="BB169">
        <f>IF(ISNUMBER(VLOOKUP($B169,CEIC_DATA!$I$26:$N$353,Haver_M!BB$2,FALSE)),VLOOKUP($B169,CEIC_DATA!$I$26:$N$353,Haver_M!BB$2,FALSE),NA())</f>
        <v>98.90988514</v>
      </c>
      <c r="BC169" t="e">
        <f>IF(ISNUMBER(VLOOKUP($B169,CEIC_DATA!$I$26:$N$353,Haver_M!BC$2,FALSE)),VLOOKUP($B169,CEIC_DATA!$I$26:$N$353,Haver_M!BC$2,FALSE),NA())</f>
        <v>#N/A</v>
      </c>
      <c r="BD169" t="e">
        <f>IF(ISNUMBER(VLOOKUP($B169,CEIC_DATA!$I$26:$N$353,Haver_M!BD$2,FALSE)),VLOOKUP($B169,CEIC_DATA!$I$26:$N$353,Haver_M!BD$2,FALSE),NA())</f>
        <v>#N/A</v>
      </c>
      <c r="BE169" t="e">
        <f>IF(ISNUMBER(VLOOKUP($B169,CEIC_DATA!$I$26:$N$353,Haver_M!BE$2,FALSE)),VLOOKUP($B169,CEIC_DATA!$I$26:$N$353,Haver_M!BE$2,FALSE),NA())</f>
        <v>#N/A</v>
      </c>
      <c r="BF169">
        <v>1326276</v>
      </c>
      <c r="BG169">
        <v>58049</v>
      </c>
      <c r="BH169">
        <v>1701477</v>
      </c>
      <c r="BI169">
        <v>249997</v>
      </c>
      <c r="BJ169" s="3">
        <v>9270.99</v>
      </c>
      <c r="BK169" s="3">
        <v>23197.27</v>
      </c>
      <c r="BL169" s="3">
        <v>12132.08</v>
      </c>
      <c r="BM169" s="3">
        <v>50664.58</v>
      </c>
      <c r="BN169" s="3">
        <v>26337.98</v>
      </c>
      <c r="BO169" s="3">
        <v>37026.019999999997</v>
      </c>
      <c r="BP169" s="28">
        <v>63.208799999999997</v>
      </c>
      <c r="BQ169" s="28">
        <f t="shared" si="9"/>
        <v>146.67245699965827</v>
      </c>
      <c r="BR169" s="28">
        <f t="shared" si="10"/>
        <v>366.99431091873288</v>
      </c>
      <c r="BS169" s="28">
        <f t="shared" si="11"/>
        <v>191.93656579463621</v>
      </c>
      <c r="BT169" s="28">
        <f t="shared" si="12"/>
        <v>801.54313956284579</v>
      </c>
      <c r="BU169" s="4">
        <v>68238</v>
      </c>
    </row>
    <row r="170" spans="1:73" x14ac:dyDescent="0.25">
      <c r="A170" t="s">
        <v>169</v>
      </c>
      <c r="B170" s="2">
        <v>41547</v>
      </c>
      <c r="C170" s="3">
        <v>7.5</v>
      </c>
      <c r="D170" s="28">
        <v>8.7629000000000001</v>
      </c>
      <c r="E170" s="34">
        <v>83.85275</v>
      </c>
      <c r="F170" s="5">
        <v>113.7</v>
      </c>
      <c r="G170" s="5">
        <v>109.7</v>
      </c>
      <c r="H170" s="3">
        <v>108.16</v>
      </c>
      <c r="I170" s="3">
        <v>105.96</v>
      </c>
      <c r="J170" s="3">
        <v>92.96</v>
      </c>
      <c r="K170" s="3">
        <v>110.92</v>
      </c>
      <c r="L170" s="3">
        <v>112.33</v>
      </c>
      <c r="M170" s="3">
        <v>110.92</v>
      </c>
      <c r="N170" s="3">
        <v>113.07</v>
      </c>
      <c r="O170" s="5">
        <v>109.2</v>
      </c>
      <c r="P170" s="52">
        <v>110.46899999999999</v>
      </c>
      <c r="Q170" s="52">
        <v>99.284000000000006</v>
      </c>
      <c r="R170" s="52">
        <v>74.421000000000006</v>
      </c>
      <c r="S170" s="52">
        <v>114.6</v>
      </c>
      <c r="T170" s="52">
        <v>104.18600000000001</v>
      </c>
      <c r="U170" s="52">
        <v>114.35</v>
      </c>
      <c r="V170" s="52">
        <v>118.04</v>
      </c>
      <c r="W170" s="52">
        <v>114.52500000000001</v>
      </c>
      <c r="X170" s="3">
        <v>13093.590242761136</v>
      </c>
      <c r="Y170" s="3">
        <v>27173.82</v>
      </c>
      <c r="Z170" s="3">
        <v>34335.57</v>
      </c>
      <c r="AA170" s="4">
        <v>12290</v>
      </c>
      <c r="AB170" s="4">
        <v>6792</v>
      </c>
      <c r="AC170" s="5">
        <v>87.2</v>
      </c>
      <c r="AD170" s="5">
        <v>87.7</v>
      </c>
      <c r="AE170" s="34">
        <v>144.1965348480997</v>
      </c>
      <c r="AF170" s="28">
        <v>46.0837</v>
      </c>
      <c r="AG170" s="28">
        <v>49.556199999999997</v>
      </c>
      <c r="AH170" s="28">
        <v>44.563499999999998</v>
      </c>
      <c r="AI170" s="28">
        <v>49.596899999999998</v>
      </c>
      <c r="AJ170" s="28">
        <v>49.642000000000003</v>
      </c>
      <c r="AK170" s="28">
        <v>49.664900000000003</v>
      </c>
      <c r="AL170" s="28">
        <v>50.383299999999998</v>
      </c>
      <c r="AM170" s="28">
        <v>48.8889</v>
      </c>
      <c r="AN170" s="28">
        <v>63.514800000000001</v>
      </c>
      <c r="AO170" s="28">
        <v>49.113399999999999</v>
      </c>
      <c r="AP170" s="28">
        <v>50.552500000000002</v>
      </c>
      <c r="AQ170" s="28">
        <v>46.206499999999998</v>
      </c>
      <c r="AR170" s="28">
        <v>51.120800000000003</v>
      </c>
      <c r="AS170" s="28">
        <v>50.7087</v>
      </c>
      <c r="AT170" s="28">
        <v>0.98199999999999998</v>
      </c>
      <c r="AU170" s="28">
        <v>49.7303</v>
      </c>
      <c r="AV170" s="28">
        <v>50.987499999999997</v>
      </c>
      <c r="AW170" s="28">
        <v>44.9527</v>
      </c>
      <c r="AX170" s="28">
        <v>55.0242</v>
      </c>
      <c r="AY170" s="28" t="e">
        <v>#N/A</v>
      </c>
      <c r="AZ170" s="28">
        <v>47.800199999999997</v>
      </c>
      <c r="BA170" s="3">
        <v>19627.23</v>
      </c>
      <c r="BB170">
        <f>IF(ISNUMBER(VLOOKUP($B170,CEIC_DATA!$I$26:$N$353,Haver_M!BB$2,FALSE)),VLOOKUP($B170,CEIC_DATA!$I$26:$N$353,Haver_M!BB$2,FALSE),NA())</f>
        <v>99.484244200000006</v>
      </c>
      <c r="BC170">
        <f>IF(ISNUMBER(VLOOKUP($B170,CEIC_DATA!$I$26:$N$353,Haver_M!BC$2,FALSE)),VLOOKUP($B170,CEIC_DATA!$I$26:$N$353,Haver_M!BC$2,FALSE),NA())</f>
        <v>97.3</v>
      </c>
      <c r="BD170">
        <f>IF(ISNUMBER(VLOOKUP($B170,CEIC_DATA!$I$26:$N$353,Haver_M!BD$2,FALSE)),VLOOKUP($B170,CEIC_DATA!$I$26:$N$353,Haver_M!BD$2,FALSE),NA())</f>
        <v>112.7</v>
      </c>
      <c r="BE170">
        <f>IF(ISNUMBER(VLOOKUP($B170,CEIC_DATA!$I$26:$N$353,Haver_M!BE$2,FALSE)),VLOOKUP($B170,CEIC_DATA!$I$26:$N$353,Haver_M!BE$2,FALSE),NA())</f>
        <v>30</v>
      </c>
      <c r="BF170">
        <v>1453626</v>
      </c>
      <c r="BG170">
        <v>58994</v>
      </c>
      <c r="BH170">
        <v>1870595</v>
      </c>
      <c r="BI170">
        <v>277437</v>
      </c>
      <c r="BJ170" s="3">
        <v>9365.4699999999993</v>
      </c>
      <c r="BK170" s="3">
        <v>23667.03</v>
      </c>
      <c r="BL170" s="3">
        <v>12602.39</v>
      </c>
      <c r="BM170" s="3">
        <v>51701.599999999999</v>
      </c>
      <c r="BN170" s="3">
        <v>28135.9</v>
      </c>
      <c r="BO170" s="3">
        <v>34258.239999999998</v>
      </c>
      <c r="BP170" s="28">
        <v>63.752099999999999</v>
      </c>
      <c r="BQ170" s="28">
        <f t="shared" si="9"/>
        <v>146.90449412646799</v>
      </c>
      <c r="BR170" s="28">
        <f t="shared" si="10"/>
        <v>371.23530048421935</v>
      </c>
      <c r="BS170" s="28">
        <f t="shared" si="11"/>
        <v>197.67803727249768</v>
      </c>
      <c r="BT170" s="28">
        <f t="shared" si="12"/>
        <v>810.97877560111749</v>
      </c>
      <c r="BU170" s="4">
        <v>61285</v>
      </c>
    </row>
    <row r="171" spans="1:73" x14ac:dyDescent="0.25">
      <c r="A171" t="s">
        <v>170</v>
      </c>
      <c r="B171" s="2">
        <v>41578</v>
      </c>
      <c r="C171" s="3">
        <v>7.75</v>
      </c>
      <c r="D171" s="28">
        <v>8.7086000000000006</v>
      </c>
      <c r="E171" s="34">
        <v>86.453310000000002</v>
      </c>
      <c r="F171" s="5">
        <v>114.8</v>
      </c>
      <c r="G171" s="5">
        <v>110.1</v>
      </c>
      <c r="H171" s="3">
        <v>106.48</v>
      </c>
      <c r="I171" s="3">
        <v>100.42</v>
      </c>
      <c r="J171" s="3">
        <v>96.5</v>
      </c>
      <c r="K171" s="3">
        <v>110.95</v>
      </c>
      <c r="L171" s="3">
        <v>109.11</v>
      </c>
      <c r="M171" s="3">
        <v>119.78</v>
      </c>
      <c r="N171" s="3">
        <v>112.9</v>
      </c>
      <c r="O171" s="5">
        <v>103.1</v>
      </c>
      <c r="P171" s="52">
        <v>99.32</v>
      </c>
      <c r="Q171" s="52">
        <v>98.399000000000001</v>
      </c>
      <c r="R171" s="52">
        <v>73.197999999999993</v>
      </c>
      <c r="S171" s="52">
        <v>106.205</v>
      </c>
      <c r="T171" s="52">
        <v>103.616</v>
      </c>
      <c r="U171" s="52">
        <v>108.358</v>
      </c>
      <c r="V171" s="52">
        <v>110.821</v>
      </c>
      <c r="W171" s="52">
        <v>105.776</v>
      </c>
      <c r="X171" s="3">
        <v>13297.13300487937</v>
      </c>
      <c r="Y171" s="3">
        <v>28009.919999999998</v>
      </c>
      <c r="Z171" s="3">
        <v>36441.040000000001</v>
      </c>
      <c r="AA171" s="4">
        <v>12563</v>
      </c>
      <c r="AB171" s="4">
        <v>6964</v>
      </c>
      <c r="AC171" s="5" t="e">
        <v>#N/A</v>
      </c>
      <c r="AD171" s="5" t="e">
        <v>#N/A</v>
      </c>
      <c r="AE171" s="34">
        <v>117.07606470881366</v>
      </c>
      <c r="AF171" s="28">
        <v>47.527799999999999</v>
      </c>
      <c r="AG171" s="28">
        <v>49.610100000000003</v>
      </c>
      <c r="AH171" s="28">
        <v>47.057200000000002</v>
      </c>
      <c r="AI171" s="28">
        <v>48.615499999999997</v>
      </c>
      <c r="AJ171" s="28">
        <v>48.894399999999997</v>
      </c>
      <c r="AK171" s="28">
        <v>50.556399999999996</v>
      </c>
      <c r="AL171" s="28">
        <v>49.130299999999998</v>
      </c>
      <c r="AM171" s="28">
        <v>50.461300000000001</v>
      </c>
      <c r="AN171" s="28">
        <v>64.518799999999999</v>
      </c>
      <c r="AO171" s="28">
        <v>48.7378</v>
      </c>
      <c r="AP171" s="28">
        <v>51.9681</v>
      </c>
      <c r="AQ171" s="28">
        <v>52.256500000000003</v>
      </c>
      <c r="AR171" s="28">
        <v>55.253</v>
      </c>
      <c r="AS171" s="28">
        <v>52.596200000000003</v>
      </c>
      <c r="AT171" s="28">
        <v>0.94089999999999996</v>
      </c>
      <c r="AU171" s="28">
        <v>50.095300000000002</v>
      </c>
      <c r="AV171" s="28">
        <v>51.031300000000002</v>
      </c>
      <c r="AW171" s="28">
        <v>48.024099999999997</v>
      </c>
      <c r="AX171" s="28">
        <v>55.0411</v>
      </c>
      <c r="AY171" s="28" t="e">
        <v>#N/A</v>
      </c>
      <c r="AZ171" s="28">
        <v>48.813699999999997</v>
      </c>
      <c r="BA171" s="3">
        <v>20492.939999999999</v>
      </c>
      <c r="BB171">
        <f>IF(ISNUMBER(VLOOKUP($B171,CEIC_DATA!$I$26:$N$353,Haver_M!BB$2,FALSE)),VLOOKUP($B171,CEIC_DATA!$I$26:$N$353,Haver_M!BB$2,FALSE),NA())</f>
        <v>99.972104369999997</v>
      </c>
      <c r="BC171" t="e">
        <f>IF(ISNUMBER(VLOOKUP($B171,CEIC_DATA!$I$26:$N$353,Haver_M!BC$2,FALSE)),VLOOKUP($B171,CEIC_DATA!$I$26:$N$353,Haver_M!BC$2,FALSE),NA())</f>
        <v>#N/A</v>
      </c>
      <c r="BD171" t="e">
        <f>IF(ISNUMBER(VLOOKUP($B171,CEIC_DATA!$I$26:$N$353,Haver_M!BD$2,FALSE)),VLOOKUP($B171,CEIC_DATA!$I$26:$N$353,Haver_M!BD$2,FALSE),NA())</f>
        <v>#N/A</v>
      </c>
      <c r="BE171" t="e">
        <f>IF(ISNUMBER(VLOOKUP($B171,CEIC_DATA!$I$26:$N$353,Haver_M!BE$2,FALSE)),VLOOKUP($B171,CEIC_DATA!$I$26:$N$353,Haver_M!BE$2,FALSE),NA())</f>
        <v>#N/A</v>
      </c>
      <c r="BF171">
        <v>1694027</v>
      </c>
      <c r="BG171">
        <v>60470</v>
      </c>
      <c r="BH171">
        <v>2116670</v>
      </c>
      <c r="BI171">
        <v>285284</v>
      </c>
      <c r="BJ171" s="3">
        <v>9417.75</v>
      </c>
      <c r="BK171" s="3">
        <v>23513.14</v>
      </c>
      <c r="BL171" s="3">
        <v>12516.6</v>
      </c>
      <c r="BM171" s="3">
        <v>51606.879999999997</v>
      </c>
      <c r="BN171" s="3">
        <v>27480.13</v>
      </c>
      <c r="BO171" s="3">
        <v>38075.019999999997</v>
      </c>
      <c r="BP171" s="28">
        <v>61.615600000000001</v>
      </c>
      <c r="BQ171" s="28">
        <f t="shared" si="9"/>
        <v>152.84684398106972</v>
      </c>
      <c r="BR171" s="28">
        <f t="shared" si="10"/>
        <v>381.61017664357729</v>
      </c>
      <c r="BS171" s="28">
        <f t="shared" si="11"/>
        <v>203.14011386726739</v>
      </c>
      <c r="BT171" s="28">
        <f t="shared" si="12"/>
        <v>837.56191613812086</v>
      </c>
      <c r="BU171" s="4">
        <v>68487</v>
      </c>
    </row>
    <row r="172" spans="1:73" x14ac:dyDescent="0.25">
      <c r="A172" t="s">
        <v>171</v>
      </c>
      <c r="B172" s="2">
        <v>41608</v>
      </c>
      <c r="C172" s="3">
        <v>7.75</v>
      </c>
      <c r="D172" s="28">
        <v>8.7178000000000004</v>
      </c>
      <c r="E172" s="34">
        <v>85.671689999999998</v>
      </c>
      <c r="F172" s="5">
        <v>116.3</v>
      </c>
      <c r="G172" s="5">
        <v>110.9</v>
      </c>
      <c r="H172" s="3">
        <v>106.16</v>
      </c>
      <c r="I172" s="3">
        <v>101.7</v>
      </c>
      <c r="J172" s="3">
        <v>98.06</v>
      </c>
      <c r="K172" s="3">
        <v>108.87</v>
      </c>
      <c r="L172" s="3">
        <v>111.93</v>
      </c>
      <c r="M172" s="3">
        <v>110.56</v>
      </c>
      <c r="N172" s="3">
        <v>105.72</v>
      </c>
      <c r="O172" s="5">
        <v>105.1</v>
      </c>
      <c r="P172" s="52">
        <v>101.377</v>
      </c>
      <c r="Q172" s="52">
        <v>100.133</v>
      </c>
      <c r="R172" s="52">
        <v>73.251999999999995</v>
      </c>
      <c r="S172" s="52">
        <v>105.158</v>
      </c>
      <c r="T172" s="52">
        <v>99.066999999999993</v>
      </c>
      <c r="U172" s="52">
        <v>116.074</v>
      </c>
      <c r="V172" s="52">
        <v>110.154</v>
      </c>
      <c r="W172" s="52">
        <v>111.783</v>
      </c>
      <c r="X172" s="3">
        <v>13232.985377758067</v>
      </c>
      <c r="Y172" s="3">
        <v>26267.63</v>
      </c>
      <c r="Z172" s="3">
        <v>34962.57</v>
      </c>
      <c r="AA172" s="4">
        <v>12317</v>
      </c>
      <c r="AB172" s="4">
        <v>6117</v>
      </c>
      <c r="AC172" s="5" t="e">
        <v>#N/A</v>
      </c>
      <c r="AD172" s="5" t="e">
        <v>#N/A</v>
      </c>
      <c r="AE172" s="34">
        <v>83.923867531167332</v>
      </c>
      <c r="AF172" s="28">
        <v>48.492400000000004</v>
      </c>
      <c r="AG172" s="28">
        <v>51.310299999999998</v>
      </c>
      <c r="AH172" s="28">
        <v>47.183399999999999</v>
      </c>
      <c r="AI172" s="28">
        <v>51.517299999999999</v>
      </c>
      <c r="AJ172" s="28">
        <v>51.946100000000001</v>
      </c>
      <c r="AK172" s="28">
        <v>50.494399999999999</v>
      </c>
      <c r="AL172" s="28">
        <v>49.489100000000001</v>
      </c>
      <c r="AM172" s="28">
        <v>51.716799999999999</v>
      </c>
      <c r="AN172" s="28">
        <v>57.9998</v>
      </c>
      <c r="AO172" s="28">
        <v>51.8902</v>
      </c>
      <c r="AP172" s="28">
        <v>50.227899999999998</v>
      </c>
      <c r="AQ172" s="28">
        <v>50.560400000000001</v>
      </c>
      <c r="AR172" s="28">
        <v>51.937600000000003</v>
      </c>
      <c r="AS172" s="28">
        <v>53.167299999999997</v>
      </c>
      <c r="AT172" s="28">
        <v>1.0342</v>
      </c>
      <c r="AU172" s="28">
        <v>49.8521</v>
      </c>
      <c r="AV172" s="28">
        <v>53.192100000000003</v>
      </c>
      <c r="AW172" s="28">
        <v>48.180700000000002</v>
      </c>
      <c r="AX172" s="28">
        <v>54.094099999999997</v>
      </c>
      <c r="AY172" s="28" t="e">
        <v>#N/A</v>
      </c>
      <c r="AZ172" s="28">
        <v>51.604399999999998</v>
      </c>
      <c r="BA172" s="3">
        <v>20638.09</v>
      </c>
      <c r="BB172">
        <f>IF(ISNUMBER(VLOOKUP($B172,CEIC_DATA!$I$26:$N$353,Haver_M!BB$2,FALSE)),VLOOKUP($B172,CEIC_DATA!$I$26:$N$353,Haver_M!BB$2,FALSE),NA())</f>
        <v>100.42132347</v>
      </c>
      <c r="BC172" t="e">
        <f>IF(ISNUMBER(VLOOKUP($B172,CEIC_DATA!$I$26:$N$353,Haver_M!BC$2,FALSE)),VLOOKUP($B172,CEIC_DATA!$I$26:$N$353,Haver_M!BC$2,FALSE),NA())</f>
        <v>#N/A</v>
      </c>
      <c r="BD172" t="e">
        <f>IF(ISNUMBER(VLOOKUP($B172,CEIC_DATA!$I$26:$N$353,Haver_M!BD$2,FALSE)),VLOOKUP($B172,CEIC_DATA!$I$26:$N$353,Haver_M!BD$2,FALSE),NA())</f>
        <v>#N/A</v>
      </c>
      <c r="BE172" t="e">
        <f>IF(ISNUMBER(VLOOKUP($B172,CEIC_DATA!$I$26:$N$353,Haver_M!BE$2,FALSE)),VLOOKUP($B172,CEIC_DATA!$I$26:$N$353,Haver_M!BE$2,FALSE),NA())</f>
        <v>#N/A</v>
      </c>
      <c r="BF172">
        <v>1418490</v>
      </c>
      <c r="BG172">
        <v>49890</v>
      </c>
      <c r="BH172">
        <v>1779892</v>
      </c>
      <c r="BI172">
        <v>246483</v>
      </c>
      <c r="BJ172" s="3">
        <v>9550.67</v>
      </c>
      <c r="BK172" s="3">
        <v>23681.54</v>
      </c>
      <c r="BL172" s="3">
        <v>12495.9</v>
      </c>
      <c r="BM172" s="3">
        <v>51901.57</v>
      </c>
      <c r="BN172" s="3">
        <v>24201.83</v>
      </c>
      <c r="BO172" s="3">
        <v>33772.92</v>
      </c>
      <c r="BP172" s="28">
        <v>62.633000000000003</v>
      </c>
      <c r="BQ172" s="28">
        <f t="shared" si="9"/>
        <v>152.48622930404099</v>
      </c>
      <c r="BR172" s="28">
        <f t="shared" si="10"/>
        <v>378.1000431082656</v>
      </c>
      <c r="BS172" s="28">
        <f t="shared" si="11"/>
        <v>199.50984305398111</v>
      </c>
      <c r="BT172" s="28">
        <f t="shared" si="12"/>
        <v>828.66172784314972</v>
      </c>
      <c r="BU172" s="4">
        <v>66821</v>
      </c>
    </row>
    <row r="173" spans="1:73" x14ac:dyDescent="0.25">
      <c r="A173" t="s">
        <v>172</v>
      </c>
      <c r="B173" s="2">
        <v>41639</v>
      </c>
      <c r="C173" s="3">
        <v>7.75</v>
      </c>
      <c r="D173" s="28">
        <v>8.7689000000000004</v>
      </c>
      <c r="E173" s="34">
        <v>85.490309999999994</v>
      </c>
      <c r="F173" s="5">
        <v>114.5</v>
      </c>
      <c r="G173" s="5">
        <v>111.1</v>
      </c>
      <c r="H173" s="3">
        <v>107.29</v>
      </c>
      <c r="I173" s="3">
        <v>105.18</v>
      </c>
      <c r="J173" s="3">
        <v>94.87</v>
      </c>
      <c r="K173" s="3">
        <v>111.63</v>
      </c>
      <c r="L173" s="3">
        <v>111.19</v>
      </c>
      <c r="M173" s="3">
        <v>111.12</v>
      </c>
      <c r="N173" s="3">
        <v>108.52</v>
      </c>
      <c r="O173" s="5">
        <v>109</v>
      </c>
      <c r="P173" s="52">
        <v>105.008</v>
      </c>
      <c r="Q173" s="52">
        <v>100.426</v>
      </c>
      <c r="R173" s="52">
        <v>73.813999999999993</v>
      </c>
      <c r="S173" s="52">
        <v>107.27200000000001</v>
      </c>
      <c r="T173" s="52">
        <v>101.36799999999999</v>
      </c>
      <c r="U173" s="52">
        <v>121.02</v>
      </c>
      <c r="V173" s="52">
        <v>114.101</v>
      </c>
      <c r="W173" s="52">
        <v>115.349</v>
      </c>
      <c r="X173" s="3">
        <v>13236.73495960945</v>
      </c>
      <c r="Y173" s="3">
        <v>25777.22</v>
      </c>
      <c r="Z173" s="3">
        <v>36474.18</v>
      </c>
      <c r="AA173" s="4">
        <v>12869</v>
      </c>
      <c r="AB173" s="4">
        <v>6725</v>
      </c>
      <c r="AC173" s="5">
        <v>91.6</v>
      </c>
      <c r="AD173" s="5">
        <v>96.9</v>
      </c>
      <c r="AE173" s="34">
        <v>88.407515538683867</v>
      </c>
      <c r="AF173" s="28">
        <v>48.0642</v>
      </c>
      <c r="AG173" s="28">
        <v>50.7273</v>
      </c>
      <c r="AH173" s="28">
        <v>46.669199999999996</v>
      </c>
      <c r="AI173" s="28">
        <v>51.288200000000003</v>
      </c>
      <c r="AJ173" s="28">
        <v>51.277900000000002</v>
      </c>
      <c r="AK173" s="28">
        <v>50.750900000000001</v>
      </c>
      <c r="AL173" s="28">
        <v>49.685400000000001</v>
      </c>
      <c r="AM173" s="28">
        <v>48.244900000000001</v>
      </c>
      <c r="AN173" s="28">
        <v>57.7684</v>
      </c>
      <c r="AO173" s="28">
        <v>50.1661</v>
      </c>
      <c r="AP173" s="28">
        <v>50.209099999999999</v>
      </c>
      <c r="AQ173" s="28">
        <v>51.597000000000001</v>
      </c>
      <c r="AR173" s="28">
        <v>51.804600000000001</v>
      </c>
      <c r="AS173" s="28">
        <v>53.800800000000002</v>
      </c>
      <c r="AT173" s="28">
        <v>1.0213000000000001</v>
      </c>
      <c r="AU173" s="28">
        <v>51.161000000000001</v>
      </c>
      <c r="AV173" s="28">
        <v>51.671399999999998</v>
      </c>
      <c r="AW173" s="28">
        <v>47.308500000000002</v>
      </c>
      <c r="AX173" s="28">
        <v>52.816899999999997</v>
      </c>
      <c r="AY173" s="28" t="e">
        <v>#N/A</v>
      </c>
      <c r="AZ173" s="28">
        <v>51.506999999999998</v>
      </c>
      <c r="BA173" s="3">
        <v>20973.61</v>
      </c>
      <c r="BB173">
        <f>IF(ISNUMBER(VLOOKUP($B173,CEIC_DATA!$I$26:$N$353,Haver_M!BB$2,FALSE)),VLOOKUP($B173,CEIC_DATA!$I$26:$N$353,Haver_M!BB$2,FALSE),NA())</f>
        <v>100.72484813</v>
      </c>
      <c r="BC173">
        <f>IF(ISNUMBER(VLOOKUP($B173,CEIC_DATA!$I$26:$N$353,Haver_M!BC$2,FALSE)),VLOOKUP($B173,CEIC_DATA!$I$26:$N$353,Haver_M!BC$2,FALSE),NA())</f>
        <v>98.8</v>
      </c>
      <c r="BD173">
        <f>IF(ISNUMBER(VLOOKUP($B173,CEIC_DATA!$I$26:$N$353,Haver_M!BD$2,FALSE)),VLOOKUP($B173,CEIC_DATA!$I$26:$N$353,Haver_M!BD$2,FALSE),NA())</f>
        <v>109.9</v>
      </c>
      <c r="BE173">
        <f>IF(ISNUMBER(VLOOKUP($B173,CEIC_DATA!$I$26:$N$353,Haver_M!BE$2,FALSE)),VLOOKUP($B173,CEIC_DATA!$I$26:$N$353,Haver_M!BE$2,FALSE),NA())</f>
        <v>25.7</v>
      </c>
      <c r="BF173">
        <v>1360814</v>
      </c>
      <c r="BG173">
        <v>52505</v>
      </c>
      <c r="BH173">
        <v>1720068</v>
      </c>
      <c r="BI173">
        <v>238471</v>
      </c>
      <c r="BJ173" s="3">
        <v>9936.5300000000007</v>
      </c>
      <c r="BK173" s="3">
        <v>23975.57</v>
      </c>
      <c r="BL173" s="3">
        <v>12525.22</v>
      </c>
      <c r="BM173" s="3">
        <v>52754.080000000002</v>
      </c>
      <c r="BN173" s="3">
        <v>26393.06</v>
      </c>
      <c r="BO173" s="3">
        <v>36580.089999999997</v>
      </c>
      <c r="BP173" s="28">
        <v>61.910299999999999</v>
      </c>
      <c r="BQ173" s="28">
        <f t="shared" si="9"/>
        <v>160.49881845185698</v>
      </c>
      <c r="BR173" s="28">
        <f t="shared" si="10"/>
        <v>387.26302408484531</v>
      </c>
      <c r="BS173" s="28">
        <f t="shared" si="11"/>
        <v>202.3123777465139</v>
      </c>
      <c r="BT173" s="28">
        <f t="shared" si="12"/>
        <v>852.10506167794381</v>
      </c>
      <c r="BU173" s="4">
        <v>66436</v>
      </c>
    </row>
    <row r="174" spans="1:73" x14ac:dyDescent="0.25">
      <c r="A174" t="s">
        <v>173</v>
      </c>
      <c r="B174" s="2">
        <v>41670</v>
      </c>
      <c r="C174" s="3">
        <v>8</v>
      </c>
      <c r="D174" s="28">
        <v>8.8697999999999997</v>
      </c>
      <c r="E174" s="34">
        <v>85.161150000000006</v>
      </c>
      <c r="F174" s="5">
        <v>113.6</v>
      </c>
      <c r="G174" s="5">
        <v>111.9</v>
      </c>
      <c r="H174" s="3">
        <v>108.63</v>
      </c>
      <c r="I174" s="3">
        <v>104.83</v>
      </c>
      <c r="J174" s="3">
        <v>96.09</v>
      </c>
      <c r="K174" s="3">
        <v>111.8</v>
      </c>
      <c r="L174" s="3">
        <v>115.42</v>
      </c>
      <c r="M174" s="3">
        <v>114.57</v>
      </c>
      <c r="N174" s="3">
        <v>109.56</v>
      </c>
      <c r="O174" s="5">
        <v>108.3</v>
      </c>
      <c r="P174" s="52">
        <v>107.137</v>
      </c>
      <c r="Q174" s="52">
        <v>101.577</v>
      </c>
      <c r="R174" s="52">
        <v>76.346000000000004</v>
      </c>
      <c r="S174" s="52">
        <v>106.17100000000001</v>
      </c>
      <c r="T174" s="52">
        <v>99.58</v>
      </c>
      <c r="U174" s="52">
        <v>118.78</v>
      </c>
      <c r="V174" s="52">
        <v>116.10299999999999</v>
      </c>
      <c r="W174" s="52">
        <v>115.358</v>
      </c>
      <c r="X174" s="3">
        <v>13417.441368888614</v>
      </c>
      <c r="Y174" s="3">
        <v>26836.799999999999</v>
      </c>
      <c r="Z174" s="3">
        <v>36424.92</v>
      </c>
      <c r="AA174" s="4">
        <v>13927</v>
      </c>
      <c r="AB174" s="4">
        <v>7268</v>
      </c>
      <c r="AC174" s="5" t="e">
        <v>#N/A</v>
      </c>
      <c r="AD174" s="5" t="e">
        <v>#N/A</v>
      </c>
      <c r="AE174" s="34">
        <v>90.906442818909824</v>
      </c>
      <c r="AF174" s="28">
        <v>49.559699999999999</v>
      </c>
      <c r="AG174" s="28">
        <v>51.399500000000003</v>
      </c>
      <c r="AH174" s="28">
        <v>48.259</v>
      </c>
      <c r="AI174" s="28">
        <v>52.648699999999998</v>
      </c>
      <c r="AJ174" s="28">
        <v>52.372199999999999</v>
      </c>
      <c r="AK174" s="28">
        <v>51.010599999999997</v>
      </c>
      <c r="AL174" s="28">
        <v>50.519599999999997</v>
      </c>
      <c r="AM174" s="28">
        <v>49.014299999999999</v>
      </c>
      <c r="AN174" s="28">
        <v>57.6586</v>
      </c>
      <c r="AO174" s="28">
        <v>51.431699999999999</v>
      </c>
      <c r="AP174" s="28">
        <v>51.427199999999999</v>
      </c>
      <c r="AQ174" s="28">
        <v>52.599899999999998</v>
      </c>
      <c r="AR174" s="28">
        <v>52.3782</v>
      </c>
      <c r="AS174" s="28">
        <v>53.183199999999999</v>
      </c>
      <c r="AT174" s="28">
        <v>1.0184</v>
      </c>
      <c r="AU174" s="28">
        <v>50.895600000000002</v>
      </c>
      <c r="AV174" s="28">
        <v>51.62</v>
      </c>
      <c r="AW174" s="28">
        <v>48.716200000000001</v>
      </c>
      <c r="AX174" s="28">
        <v>54.693399999999997</v>
      </c>
      <c r="AY174" s="28" t="e">
        <v>#N/A</v>
      </c>
      <c r="AZ174" s="28">
        <v>48.689300000000003</v>
      </c>
      <c r="BA174" s="3">
        <v>20943.419999999998</v>
      </c>
      <c r="BB174">
        <f>IF(ISNUMBER(VLOOKUP($B174,CEIC_DATA!$I$26:$N$353,Haver_M!BB$2,FALSE)),VLOOKUP($B174,CEIC_DATA!$I$26:$N$353,Haver_M!BB$2,FALSE),NA())</f>
        <v>100.93811786000001</v>
      </c>
      <c r="BC174" t="e">
        <f>IF(ISNUMBER(VLOOKUP($B174,CEIC_DATA!$I$26:$N$353,Haver_M!BC$2,FALSE)),VLOOKUP($B174,CEIC_DATA!$I$26:$N$353,Haver_M!BC$2,FALSE),NA())</f>
        <v>#N/A</v>
      </c>
      <c r="BD174" t="e">
        <f>IF(ISNUMBER(VLOOKUP($B174,CEIC_DATA!$I$26:$N$353,Haver_M!BD$2,FALSE)),VLOOKUP($B174,CEIC_DATA!$I$26:$N$353,Haver_M!BD$2,FALSE),NA())</f>
        <v>#N/A</v>
      </c>
      <c r="BE174" t="e">
        <f>IF(ISNUMBER(VLOOKUP($B174,CEIC_DATA!$I$26:$N$353,Haver_M!BE$2,FALSE)),VLOOKUP($B174,CEIC_DATA!$I$26:$N$353,Haver_M!BE$2,FALSE),NA())</f>
        <v>#N/A</v>
      </c>
      <c r="BF174">
        <v>1485011</v>
      </c>
      <c r="BG174">
        <v>55807</v>
      </c>
      <c r="BH174">
        <v>1872599</v>
      </c>
      <c r="BI174">
        <v>264046</v>
      </c>
      <c r="BJ174" s="3">
        <v>9812.14</v>
      </c>
      <c r="BK174" s="3">
        <v>24233.89</v>
      </c>
      <c r="BL174" s="3">
        <v>12617.86</v>
      </c>
      <c r="BM174" s="3">
        <v>53104.959999999999</v>
      </c>
      <c r="BN174" s="3">
        <v>26891.58</v>
      </c>
      <c r="BO174" s="3">
        <v>36346.32</v>
      </c>
      <c r="BP174" s="28">
        <v>62.076000000000001</v>
      </c>
      <c r="BQ174" s="28">
        <f t="shared" si="9"/>
        <v>158.06656356724014</v>
      </c>
      <c r="BR174" s="28">
        <f t="shared" si="10"/>
        <v>390.39065017075842</v>
      </c>
      <c r="BS174" s="28">
        <f t="shared" si="11"/>
        <v>203.26470777756299</v>
      </c>
      <c r="BT174" s="28">
        <f t="shared" si="12"/>
        <v>855.48295637605509</v>
      </c>
      <c r="BU174" s="4">
        <v>63907</v>
      </c>
    </row>
    <row r="175" spans="1:73" x14ac:dyDescent="0.25">
      <c r="A175" t="s">
        <v>174</v>
      </c>
      <c r="B175" s="2">
        <v>41698</v>
      </c>
      <c r="C175" s="3">
        <v>8</v>
      </c>
      <c r="D175" s="28">
        <v>8.9383999999999997</v>
      </c>
      <c r="E175" s="34">
        <v>85.16789</v>
      </c>
      <c r="F175" s="5">
        <v>113.6</v>
      </c>
      <c r="G175" s="5">
        <v>112.3</v>
      </c>
      <c r="H175" s="3">
        <v>108.76</v>
      </c>
      <c r="I175" s="3">
        <v>105.02</v>
      </c>
      <c r="J175" s="3">
        <v>97.34</v>
      </c>
      <c r="K175" s="3">
        <v>112.27</v>
      </c>
      <c r="L175" s="3">
        <v>116.97</v>
      </c>
      <c r="M175" s="3">
        <v>112.99</v>
      </c>
      <c r="N175" s="3">
        <v>106.83</v>
      </c>
      <c r="O175" s="5">
        <v>109.3</v>
      </c>
      <c r="P175" s="52">
        <v>104.267</v>
      </c>
      <c r="Q175" s="52">
        <v>100.17700000000001</v>
      </c>
      <c r="R175" s="52">
        <v>75.528999999999996</v>
      </c>
      <c r="S175" s="52">
        <v>109.539</v>
      </c>
      <c r="T175" s="52">
        <v>99.817999999999998</v>
      </c>
      <c r="U175" s="52">
        <v>120.26</v>
      </c>
      <c r="V175" s="52">
        <v>114.875</v>
      </c>
      <c r="W175" s="52">
        <v>115.45</v>
      </c>
      <c r="X175" s="3">
        <v>13137.763660898949</v>
      </c>
      <c r="Y175" s="3">
        <v>25938.58</v>
      </c>
      <c r="Z175" s="3">
        <v>35747.42</v>
      </c>
      <c r="AA175" s="4">
        <v>13155</v>
      </c>
      <c r="AB175" s="4">
        <v>6386</v>
      </c>
      <c r="AC175" s="5" t="e">
        <v>#N/A</v>
      </c>
      <c r="AD175" s="5" t="e">
        <v>#N/A</v>
      </c>
      <c r="AE175" s="34">
        <v>71.87346176225428</v>
      </c>
      <c r="AF175" s="28">
        <v>50.3309</v>
      </c>
      <c r="AG175" s="28">
        <v>52.533200000000001</v>
      </c>
      <c r="AH175" s="28">
        <v>48.771099999999997</v>
      </c>
      <c r="AI175" s="28">
        <v>54.035299999999999</v>
      </c>
      <c r="AJ175" s="28">
        <v>54.8917</v>
      </c>
      <c r="AK175" s="28">
        <v>50.163899999999998</v>
      </c>
      <c r="AL175" s="28">
        <v>49.444800000000001</v>
      </c>
      <c r="AM175" s="28">
        <v>49.407600000000002</v>
      </c>
      <c r="AN175" s="28">
        <v>60.96</v>
      </c>
      <c r="AO175" s="28">
        <v>52.801000000000002</v>
      </c>
      <c r="AP175" s="28">
        <v>51.366399999999999</v>
      </c>
      <c r="AQ175" s="28">
        <v>54.1233</v>
      </c>
      <c r="AR175" s="28">
        <v>51.352499999999999</v>
      </c>
      <c r="AS175" s="28">
        <v>52.919199999999996</v>
      </c>
      <c r="AT175" s="28">
        <v>1.0686</v>
      </c>
      <c r="AU175" s="28">
        <v>50.068100000000001</v>
      </c>
      <c r="AV175" s="28">
        <v>51.987900000000003</v>
      </c>
      <c r="AW175" s="28">
        <v>49.460799999999999</v>
      </c>
      <c r="AX175" s="28">
        <v>53.893099999999997</v>
      </c>
      <c r="AY175" s="28" t="e">
        <v>#N/A</v>
      </c>
      <c r="AZ175" s="28">
        <v>48.189500000000002</v>
      </c>
      <c r="BA175" s="3">
        <v>20521.34</v>
      </c>
      <c r="BB175">
        <f>IF(ISNUMBER(VLOOKUP($B175,CEIC_DATA!$I$26:$N$353,Haver_M!BB$2,FALSE)),VLOOKUP($B175,CEIC_DATA!$I$26:$N$353,Haver_M!BB$2,FALSE),NA())</f>
        <v>101.29078471</v>
      </c>
      <c r="BC175" t="e">
        <f>IF(ISNUMBER(VLOOKUP($B175,CEIC_DATA!$I$26:$N$353,Haver_M!BC$2,FALSE)),VLOOKUP($B175,CEIC_DATA!$I$26:$N$353,Haver_M!BC$2,FALSE),NA())</f>
        <v>#N/A</v>
      </c>
      <c r="BD175" t="e">
        <f>IF(ISNUMBER(VLOOKUP($B175,CEIC_DATA!$I$26:$N$353,Haver_M!BD$2,FALSE)),VLOOKUP($B175,CEIC_DATA!$I$26:$N$353,Haver_M!BD$2,FALSE),NA())</f>
        <v>#N/A</v>
      </c>
      <c r="BE175" t="e">
        <f>IF(ISNUMBER(VLOOKUP($B175,CEIC_DATA!$I$26:$N$353,Haver_M!BE$2,FALSE)),VLOOKUP($B175,CEIC_DATA!$I$26:$N$353,Haver_M!BE$2,FALSE),NA())</f>
        <v>#N/A</v>
      </c>
      <c r="BF175">
        <v>1401087</v>
      </c>
      <c r="BG175">
        <v>55702</v>
      </c>
      <c r="BH175">
        <v>1793933</v>
      </c>
      <c r="BI175">
        <v>266114</v>
      </c>
      <c r="BJ175" s="3">
        <v>9871.36</v>
      </c>
      <c r="BK175" s="3">
        <v>24606.79</v>
      </c>
      <c r="BL175" s="3">
        <v>12913.59</v>
      </c>
      <c r="BM175" s="3">
        <v>53868.01</v>
      </c>
      <c r="BN175" s="3">
        <v>25353.24</v>
      </c>
      <c r="BO175" s="3">
        <v>33665.550000000003</v>
      </c>
      <c r="BP175" s="28">
        <v>62.253999999999998</v>
      </c>
      <c r="BQ175" s="28">
        <f t="shared" si="9"/>
        <v>158.56587528512225</v>
      </c>
      <c r="BR175" s="28">
        <f t="shared" si="10"/>
        <v>395.26440068108076</v>
      </c>
      <c r="BS175" s="28">
        <f t="shared" si="11"/>
        <v>207.43389982972982</v>
      </c>
      <c r="BT175" s="28">
        <f t="shared" si="12"/>
        <v>865.2939570148103</v>
      </c>
      <c r="BU175" s="4">
        <v>59854</v>
      </c>
    </row>
    <row r="176" spans="1:73" x14ac:dyDescent="0.25">
      <c r="A176" t="s">
        <v>175</v>
      </c>
      <c r="B176" s="2">
        <v>41729</v>
      </c>
      <c r="C176" s="3">
        <v>8</v>
      </c>
      <c r="D176" s="28">
        <v>8.8775999999999993</v>
      </c>
      <c r="E176" s="34">
        <v>87.215389999999999</v>
      </c>
      <c r="F176" s="5">
        <v>114.2</v>
      </c>
      <c r="G176" s="5">
        <v>112.8</v>
      </c>
      <c r="H176" s="3">
        <v>108.72</v>
      </c>
      <c r="I176" s="3">
        <v>105.63</v>
      </c>
      <c r="J176" s="3">
        <v>93.12</v>
      </c>
      <c r="K176" s="3">
        <v>113.58</v>
      </c>
      <c r="L176" s="3">
        <v>112.62</v>
      </c>
      <c r="M176" s="3">
        <v>113.1</v>
      </c>
      <c r="N176" s="3">
        <v>110.6</v>
      </c>
      <c r="O176" s="5">
        <v>108.7</v>
      </c>
      <c r="P176" s="52">
        <v>106.35599999999999</v>
      </c>
      <c r="Q176" s="52">
        <v>97.567999999999998</v>
      </c>
      <c r="R176" s="52">
        <v>71.290999999999997</v>
      </c>
      <c r="S176" s="52">
        <v>109.577</v>
      </c>
      <c r="T176" s="52">
        <v>96.599000000000004</v>
      </c>
      <c r="U176" s="52">
        <v>124.66</v>
      </c>
      <c r="V176" s="52">
        <v>114.789</v>
      </c>
      <c r="W176" s="52">
        <v>114.818</v>
      </c>
      <c r="X176" s="3">
        <v>13387.892345318445</v>
      </c>
      <c r="Y176" s="3">
        <v>26650.080000000002</v>
      </c>
      <c r="Z176" s="3">
        <v>39826.160000000003</v>
      </c>
      <c r="AA176" s="4">
        <v>14319</v>
      </c>
      <c r="AB176" s="4">
        <v>8490</v>
      </c>
      <c r="AC176" s="5">
        <v>98.6</v>
      </c>
      <c r="AD176" s="5">
        <v>109.7</v>
      </c>
      <c r="AE176" s="34">
        <v>72.622595537076123</v>
      </c>
      <c r="AF176" s="28">
        <v>48.910299999999999</v>
      </c>
      <c r="AG176" s="28">
        <v>51.296300000000002</v>
      </c>
      <c r="AH176" s="28">
        <v>47.5199</v>
      </c>
      <c r="AI176" s="28">
        <v>52.2121</v>
      </c>
      <c r="AJ176" s="28">
        <v>52.662399999999998</v>
      </c>
      <c r="AK176" s="28">
        <v>50.154299999999999</v>
      </c>
      <c r="AL176" s="28">
        <v>50.479799999999997</v>
      </c>
      <c r="AM176" s="28">
        <v>49.856200000000001</v>
      </c>
      <c r="AN176" s="28">
        <v>57.188600000000001</v>
      </c>
      <c r="AO176" s="28">
        <v>51.734400000000001</v>
      </c>
      <c r="AP176" s="28">
        <v>51.3874</v>
      </c>
      <c r="AQ176" s="28">
        <v>56.835799999999999</v>
      </c>
      <c r="AR176" s="28">
        <v>50.959499999999998</v>
      </c>
      <c r="AS176" s="28">
        <v>53.023800000000001</v>
      </c>
      <c r="AT176" s="28">
        <v>1.0247999999999999</v>
      </c>
      <c r="AU176" s="28">
        <v>51.155000000000001</v>
      </c>
      <c r="AV176" s="28">
        <v>51.190300000000001</v>
      </c>
      <c r="AW176" s="28">
        <v>47.6265</v>
      </c>
      <c r="AX176" s="28">
        <v>53.218699999999998</v>
      </c>
      <c r="AY176" s="28" t="e">
        <v>#N/A</v>
      </c>
      <c r="AZ176" s="28">
        <v>52.153500000000001</v>
      </c>
      <c r="BA176" s="3">
        <v>21818.73</v>
      </c>
      <c r="BB176">
        <f>IF(ISNUMBER(VLOOKUP($B176,CEIC_DATA!$I$26:$N$353,Haver_M!BB$2,FALSE)),VLOOKUP($B176,CEIC_DATA!$I$26:$N$353,Haver_M!BB$2,FALSE),NA())</f>
        <v>102.04303231</v>
      </c>
      <c r="BC176">
        <f>IF(ISNUMBER(VLOOKUP($B176,CEIC_DATA!$I$26:$N$353,Haver_M!BC$2,FALSE)),VLOOKUP($B176,CEIC_DATA!$I$26:$N$353,Haver_M!BC$2,FALSE),NA())</f>
        <v>104.3</v>
      </c>
      <c r="BD176">
        <f>IF(ISNUMBER(VLOOKUP($B176,CEIC_DATA!$I$26:$N$353,Haver_M!BD$2,FALSE)),VLOOKUP($B176,CEIC_DATA!$I$26:$N$353,Haver_M!BD$2,FALSE),NA())</f>
        <v>112.7</v>
      </c>
      <c r="BE176">
        <f>IF(ISNUMBER(VLOOKUP($B176,CEIC_DATA!$I$26:$N$353,Haver_M!BE$2,FALSE)),VLOOKUP($B176,CEIC_DATA!$I$26:$N$353,Haver_M!BE$2,FALSE),NA())</f>
        <v>31.5</v>
      </c>
      <c r="BF176">
        <v>1514591</v>
      </c>
      <c r="BG176">
        <v>72982</v>
      </c>
      <c r="BH176">
        <v>1946781</v>
      </c>
      <c r="BI176">
        <v>291328</v>
      </c>
      <c r="BJ176" s="3">
        <v>10096.89</v>
      </c>
      <c r="BK176" s="3">
        <v>25164.83</v>
      </c>
      <c r="BL176" s="3">
        <v>13374.51</v>
      </c>
      <c r="BM176" s="3">
        <v>55296.01</v>
      </c>
      <c r="BN176" s="3">
        <v>30341.03</v>
      </c>
      <c r="BO176" s="3">
        <v>41294.46</v>
      </c>
      <c r="BP176" s="28">
        <v>61.014000000000003</v>
      </c>
      <c r="BQ176" s="28">
        <f t="shared" si="9"/>
        <v>165.48480676566032</v>
      </c>
      <c r="BR176" s="28">
        <f t="shared" si="10"/>
        <v>412.44353754875931</v>
      </c>
      <c r="BS176" s="28">
        <f t="shared" si="11"/>
        <v>219.20395319107089</v>
      </c>
      <c r="BT176" s="28">
        <f t="shared" si="12"/>
        <v>906.28396761399017</v>
      </c>
      <c r="BU176" s="4">
        <v>54580</v>
      </c>
    </row>
    <row r="177" spans="1:73" x14ac:dyDescent="0.25">
      <c r="A177" t="s">
        <v>176</v>
      </c>
      <c r="B177" s="2">
        <v>41759</v>
      </c>
      <c r="C177" s="3">
        <v>8</v>
      </c>
      <c r="D177" s="28">
        <v>8.8902000000000001</v>
      </c>
      <c r="E177" s="34">
        <v>87.451160000000002</v>
      </c>
      <c r="F177" s="5">
        <v>115.1</v>
      </c>
      <c r="G177" s="5">
        <v>113.3</v>
      </c>
      <c r="H177" s="3">
        <v>110.17</v>
      </c>
      <c r="I177" s="3">
        <v>106.24</v>
      </c>
      <c r="J177" s="3">
        <v>92.47</v>
      </c>
      <c r="K177" s="3">
        <v>119.23</v>
      </c>
      <c r="L177" s="3">
        <v>114.31</v>
      </c>
      <c r="M177" s="3">
        <v>111.41</v>
      </c>
      <c r="N177" s="3">
        <v>112.19</v>
      </c>
      <c r="O177" s="5">
        <v>110.2</v>
      </c>
      <c r="P177" s="52">
        <v>109.31399999999999</v>
      </c>
      <c r="Q177" s="52">
        <v>99.343999999999994</v>
      </c>
      <c r="R177" s="52">
        <v>71.762</v>
      </c>
      <c r="S177" s="52">
        <v>106.694</v>
      </c>
      <c r="T177" s="52">
        <v>101.331</v>
      </c>
      <c r="U177" s="52">
        <v>117.321</v>
      </c>
      <c r="V177" s="52">
        <v>122.301</v>
      </c>
      <c r="W177" s="52">
        <v>123.262</v>
      </c>
      <c r="X177" s="3">
        <v>13329.566541317778</v>
      </c>
      <c r="Y177" s="3">
        <v>26776.11</v>
      </c>
      <c r="Z177" s="3">
        <v>36618.910000000003</v>
      </c>
      <c r="AA177" s="4">
        <v>13632</v>
      </c>
      <c r="AB177" s="4">
        <v>8058</v>
      </c>
      <c r="AC177" s="5" t="e">
        <v>#N/A</v>
      </c>
      <c r="AD177" s="5" t="e">
        <v>#N/A</v>
      </c>
      <c r="AE177" s="34">
        <v>93.95465243350958</v>
      </c>
      <c r="AF177" s="28">
        <v>49.473700000000001</v>
      </c>
      <c r="AG177" s="28">
        <v>51.261800000000001</v>
      </c>
      <c r="AH177" s="28">
        <v>48.524700000000003</v>
      </c>
      <c r="AI177" s="28">
        <v>51.7273</v>
      </c>
      <c r="AJ177" s="28">
        <v>52.486600000000003</v>
      </c>
      <c r="AK177" s="28">
        <v>50.169899999999998</v>
      </c>
      <c r="AL177" s="28">
        <v>51.0623</v>
      </c>
      <c r="AM177" s="28">
        <v>52.094000000000001</v>
      </c>
      <c r="AN177" s="28">
        <v>54.575099999999999</v>
      </c>
      <c r="AO177" s="28">
        <v>52.993000000000002</v>
      </c>
      <c r="AP177" s="28">
        <v>52.717700000000001</v>
      </c>
      <c r="AQ177" s="28">
        <v>52.995600000000003</v>
      </c>
      <c r="AR177" s="28">
        <v>50.8628</v>
      </c>
      <c r="AS177" s="28">
        <v>51.177</v>
      </c>
      <c r="AT177" s="28">
        <v>0.99560000000000004</v>
      </c>
      <c r="AU177" s="28">
        <v>49.814</v>
      </c>
      <c r="AV177" s="28">
        <v>52.567900000000002</v>
      </c>
      <c r="AW177" s="28">
        <v>48.439</v>
      </c>
      <c r="AX177" s="28">
        <v>53.8598</v>
      </c>
      <c r="AY177" s="28" t="e">
        <v>#N/A</v>
      </c>
      <c r="AZ177" s="28">
        <v>52.053800000000003</v>
      </c>
      <c r="BA177" s="3">
        <v>22569.5</v>
      </c>
      <c r="BB177">
        <f>IF(ISNUMBER(VLOOKUP($B177,CEIC_DATA!$I$26:$N$353,Haver_M!BB$2,FALSE)),VLOOKUP($B177,CEIC_DATA!$I$26:$N$353,Haver_M!BB$2,FALSE),NA())</f>
        <v>103.23097722999999</v>
      </c>
      <c r="BC177" t="e">
        <f>IF(ISNUMBER(VLOOKUP($B177,CEIC_DATA!$I$26:$N$353,Haver_M!BC$2,FALSE)),VLOOKUP($B177,CEIC_DATA!$I$26:$N$353,Haver_M!BC$2,FALSE),NA())</f>
        <v>#N/A</v>
      </c>
      <c r="BD177" t="e">
        <f>IF(ISNUMBER(VLOOKUP($B177,CEIC_DATA!$I$26:$N$353,Haver_M!BD$2,FALSE)),VLOOKUP($B177,CEIC_DATA!$I$26:$N$353,Haver_M!BD$2,FALSE),NA())</f>
        <v>#N/A</v>
      </c>
      <c r="BE177" t="e">
        <f>IF(ISNUMBER(VLOOKUP($B177,CEIC_DATA!$I$26:$N$353,Haver_M!BE$2,FALSE)),VLOOKUP($B177,CEIC_DATA!$I$26:$N$353,Haver_M!BE$2,FALSE),NA())</f>
        <v>#N/A</v>
      </c>
      <c r="BF177">
        <v>1484114</v>
      </c>
      <c r="BG177">
        <v>48827</v>
      </c>
      <c r="BH177">
        <v>1822841</v>
      </c>
      <c r="BI177">
        <v>229926</v>
      </c>
      <c r="BJ177" s="3">
        <v>10175.64</v>
      </c>
      <c r="BK177" s="3">
        <v>25097.599999999999</v>
      </c>
      <c r="BL177" s="3">
        <v>13344.14</v>
      </c>
      <c r="BM177" s="3">
        <v>55482.77</v>
      </c>
      <c r="BN177" s="3">
        <v>25827.54</v>
      </c>
      <c r="BO177" s="3">
        <v>35795.64</v>
      </c>
      <c r="BP177" s="28">
        <v>60.3566</v>
      </c>
      <c r="BQ177" s="28">
        <f t="shared" si="9"/>
        <v>168.5920015375286</v>
      </c>
      <c r="BR177" s="28">
        <f t="shared" si="10"/>
        <v>415.82196478926909</v>
      </c>
      <c r="BS177" s="28">
        <f t="shared" si="11"/>
        <v>221.08833168203643</v>
      </c>
      <c r="BT177" s="28">
        <f t="shared" si="12"/>
        <v>919.24942756881592</v>
      </c>
      <c r="BU177" s="4">
        <v>68311</v>
      </c>
    </row>
    <row r="178" spans="1:73" x14ac:dyDescent="0.25">
      <c r="A178" t="s">
        <v>177</v>
      </c>
      <c r="B178" s="2">
        <v>41790</v>
      </c>
      <c r="C178" s="3">
        <v>8</v>
      </c>
      <c r="D178" s="28">
        <v>8.6867000000000001</v>
      </c>
      <c r="E178" s="34">
        <v>89.68759</v>
      </c>
      <c r="F178" s="5">
        <v>115.8</v>
      </c>
      <c r="G178" s="5">
        <v>113.6</v>
      </c>
      <c r="H178" s="3">
        <v>110.21</v>
      </c>
      <c r="I178" s="3">
        <v>105.38</v>
      </c>
      <c r="J178" s="3">
        <v>96.87</v>
      </c>
      <c r="K178" s="3">
        <v>116.47</v>
      </c>
      <c r="L178" s="3">
        <v>116.22</v>
      </c>
      <c r="M178" s="3">
        <v>115.86</v>
      </c>
      <c r="N178" s="3">
        <v>111.75</v>
      </c>
      <c r="O178" s="5">
        <v>111</v>
      </c>
      <c r="P178" s="52">
        <v>108.15300000000001</v>
      </c>
      <c r="Q178" s="52">
        <v>98.087000000000003</v>
      </c>
      <c r="R178" s="52">
        <v>73.358000000000004</v>
      </c>
      <c r="S178" s="52">
        <v>108.119</v>
      </c>
      <c r="T178" s="52">
        <v>100.854</v>
      </c>
      <c r="U178" s="52">
        <v>123.95</v>
      </c>
      <c r="V178" s="52">
        <v>120.464</v>
      </c>
      <c r="W178" s="52">
        <v>121.806</v>
      </c>
      <c r="X178" s="3">
        <v>13738.190227974013</v>
      </c>
      <c r="Y178" s="3">
        <v>27826.06</v>
      </c>
      <c r="Z178" s="3">
        <v>37540.44</v>
      </c>
      <c r="AA178" s="4">
        <v>13920</v>
      </c>
      <c r="AB178" s="4">
        <v>8027</v>
      </c>
      <c r="AC178" s="5" t="e">
        <v>#N/A</v>
      </c>
      <c r="AD178" s="5" t="e">
        <v>#N/A</v>
      </c>
      <c r="AE178" s="34">
        <v>99.290209673537788</v>
      </c>
      <c r="AF178" s="28">
        <v>50.6663</v>
      </c>
      <c r="AG178" s="28">
        <v>51.399799999999999</v>
      </c>
      <c r="AH178" s="28">
        <v>50.218600000000002</v>
      </c>
      <c r="AI178" s="28">
        <v>51.729500000000002</v>
      </c>
      <c r="AJ178" s="28">
        <v>53.246299999999998</v>
      </c>
      <c r="AK178" s="28">
        <v>50.570700000000002</v>
      </c>
      <c r="AL178" s="28">
        <v>50.737400000000001</v>
      </c>
      <c r="AM178" s="28">
        <v>49.900100000000002</v>
      </c>
      <c r="AN178" s="28">
        <v>54.035299999999999</v>
      </c>
      <c r="AO178" s="28">
        <v>51.829300000000003</v>
      </c>
      <c r="AP178" s="28">
        <v>50.9985</v>
      </c>
      <c r="AQ178" s="28">
        <v>53.6708</v>
      </c>
      <c r="AR178" s="28">
        <v>51.104199999999999</v>
      </c>
      <c r="AS178" s="28">
        <v>52.253399999999999</v>
      </c>
      <c r="AT178" s="28">
        <v>1.0441</v>
      </c>
      <c r="AU178" s="28">
        <v>49.944000000000003</v>
      </c>
      <c r="AV178" s="28">
        <v>50.899700000000003</v>
      </c>
      <c r="AW178" s="28">
        <v>50.479399999999998</v>
      </c>
      <c r="AX178" s="28">
        <v>52.732500000000002</v>
      </c>
      <c r="AY178" s="28" t="e">
        <v>#N/A</v>
      </c>
      <c r="AZ178" s="28">
        <v>53.609400000000001</v>
      </c>
      <c r="BA178" s="3">
        <v>23745.9</v>
      </c>
      <c r="BB178">
        <f>IF(ISNUMBER(VLOOKUP($B178,CEIC_DATA!$I$26:$N$353,Haver_M!BB$2,FALSE)),VLOOKUP($B178,CEIC_DATA!$I$26:$N$353,Haver_M!BB$2,FALSE),NA())</f>
        <v>104.61125809000001</v>
      </c>
      <c r="BC178" t="e">
        <f>IF(ISNUMBER(VLOOKUP($B178,CEIC_DATA!$I$26:$N$353,Haver_M!BC$2,FALSE)),VLOOKUP($B178,CEIC_DATA!$I$26:$N$353,Haver_M!BC$2,FALSE),NA())</f>
        <v>#N/A</v>
      </c>
      <c r="BD178" t="e">
        <f>IF(ISNUMBER(VLOOKUP($B178,CEIC_DATA!$I$26:$N$353,Haver_M!BD$2,FALSE)),VLOOKUP($B178,CEIC_DATA!$I$26:$N$353,Haver_M!BD$2,FALSE),NA())</f>
        <v>#N/A</v>
      </c>
      <c r="BE178" t="e">
        <f>IF(ISNUMBER(VLOOKUP($B178,CEIC_DATA!$I$26:$N$353,Haver_M!BE$2,FALSE)),VLOOKUP($B178,CEIC_DATA!$I$26:$N$353,Haver_M!BE$2,FALSE),NA())</f>
        <v>#N/A</v>
      </c>
      <c r="BF178">
        <v>1612349</v>
      </c>
      <c r="BG178">
        <v>53329</v>
      </c>
      <c r="BH178">
        <v>1992358</v>
      </c>
      <c r="BI178">
        <v>255970</v>
      </c>
      <c r="BJ178" s="3">
        <v>10245.42</v>
      </c>
      <c r="BK178" s="3">
        <v>25091.360000000001</v>
      </c>
      <c r="BL178" s="3">
        <v>13169.56</v>
      </c>
      <c r="BM178" s="3">
        <v>55517.15</v>
      </c>
      <c r="BN178" s="3">
        <v>28019.24</v>
      </c>
      <c r="BO178" s="3">
        <v>39058.85</v>
      </c>
      <c r="BP178" s="28">
        <v>59.305</v>
      </c>
      <c r="BQ178" s="28">
        <f t="shared" si="9"/>
        <v>172.75811483011552</v>
      </c>
      <c r="BR178" s="28">
        <f t="shared" si="10"/>
        <v>423.09012730798418</v>
      </c>
      <c r="BS178" s="28">
        <f t="shared" si="11"/>
        <v>222.06491864092402</v>
      </c>
      <c r="BT178" s="28">
        <f t="shared" si="12"/>
        <v>936.12933142230838</v>
      </c>
      <c r="BU178" s="4">
        <v>74781</v>
      </c>
    </row>
    <row r="179" spans="1:73" x14ac:dyDescent="0.25">
      <c r="A179" t="s">
        <v>178</v>
      </c>
      <c r="B179" s="2">
        <v>41820</v>
      </c>
      <c r="C179" s="3">
        <v>8</v>
      </c>
      <c r="D179" s="28">
        <v>8.7536000000000005</v>
      </c>
      <c r="E179" s="34">
        <v>89.873699999999999</v>
      </c>
      <c r="F179" s="5">
        <v>116.7</v>
      </c>
      <c r="G179" s="5">
        <v>113.9</v>
      </c>
      <c r="H179" s="3">
        <v>110.88</v>
      </c>
      <c r="I179" s="3">
        <v>106.79</v>
      </c>
      <c r="J179" s="3">
        <v>101.82</v>
      </c>
      <c r="K179" s="3">
        <v>118.43</v>
      </c>
      <c r="L179" s="3">
        <v>116.92</v>
      </c>
      <c r="M179" s="3">
        <v>110.81</v>
      </c>
      <c r="N179" s="3">
        <v>112.92</v>
      </c>
      <c r="O179" s="5">
        <v>112.1</v>
      </c>
      <c r="P179" s="52">
        <v>112.94499999999999</v>
      </c>
      <c r="Q179" s="52">
        <v>98.796000000000006</v>
      </c>
      <c r="R179" s="52">
        <v>73.218999999999994</v>
      </c>
      <c r="S179" s="52">
        <v>107.43899999999999</v>
      </c>
      <c r="T179" s="52">
        <v>98.248000000000005</v>
      </c>
      <c r="U179" s="52">
        <v>123.129</v>
      </c>
      <c r="V179" s="52">
        <v>120.509</v>
      </c>
      <c r="W179" s="52">
        <v>129.732</v>
      </c>
      <c r="X179" s="3">
        <v>13876.7013209794</v>
      </c>
      <c r="Y179" s="3">
        <v>26021.14</v>
      </c>
      <c r="Z179" s="3">
        <v>39122.58</v>
      </c>
      <c r="AA179" s="4">
        <v>12972</v>
      </c>
      <c r="AB179" s="4">
        <v>7194</v>
      </c>
      <c r="AC179" s="5">
        <v>98.6</v>
      </c>
      <c r="AD179" s="5">
        <v>117.7</v>
      </c>
      <c r="AE179" s="34">
        <v>76.924626132181743</v>
      </c>
      <c r="AF179" s="28">
        <v>53.836199999999998</v>
      </c>
      <c r="AG179" s="28">
        <v>51.520699999999998</v>
      </c>
      <c r="AH179" s="28">
        <v>54.434800000000003</v>
      </c>
      <c r="AI179" s="28">
        <v>52.414400000000001</v>
      </c>
      <c r="AJ179" s="28">
        <v>52.954500000000003</v>
      </c>
      <c r="AK179" s="28">
        <v>50.349699999999999</v>
      </c>
      <c r="AL179" s="28">
        <v>51.092500000000001</v>
      </c>
      <c r="AM179" s="28">
        <v>51.246699999999997</v>
      </c>
      <c r="AN179" s="28">
        <v>55.816600000000001</v>
      </c>
      <c r="AO179" s="28">
        <v>53.425899999999999</v>
      </c>
      <c r="AP179" s="28">
        <v>51.270800000000001</v>
      </c>
      <c r="AQ179" s="28">
        <v>55.856400000000001</v>
      </c>
      <c r="AR179" s="28">
        <v>52.537700000000001</v>
      </c>
      <c r="AS179" s="28">
        <v>51.899500000000003</v>
      </c>
      <c r="AT179" s="28">
        <v>1.0327999999999999</v>
      </c>
      <c r="AU179" s="28">
        <v>50.096499999999999</v>
      </c>
      <c r="AV179" s="28">
        <v>51.130200000000002</v>
      </c>
      <c r="AW179" s="28">
        <v>54.314799999999998</v>
      </c>
      <c r="AX179" s="28">
        <v>54.474400000000003</v>
      </c>
      <c r="AY179" s="28" t="e">
        <v>#N/A</v>
      </c>
      <c r="AZ179" s="28">
        <v>53.8249</v>
      </c>
      <c r="BA179" s="3">
        <v>25226.81</v>
      </c>
      <c r="BB179">
        <f>IF(ISNUMBER(VLOOKUP($B179,CEIC_DATA!$I$26:$N$353,Haver_M!BB$2,FALSE)),VLOOKUP($B179,CEIC_DATA!$I$26:$N$353,Haver_M!BB$2,FALSE),NA())</f>
        <v>105.82240054</v>
      </c>
      <c r="BC179">
        <f>IF(ISNUMBER(VLOOKUP($B179,CEIC_DATA!$I$26:$N$353,Haver_M!BC$2,FALSE)),VLOOKUP($B179,CEIC_DATA!$I$26:$N$353,Haver_M!BC$2,FALSE),NA())</f>
        <v>105.2</v>
      </c>
      <c r="BD179">
        <f>IF(ISNUMBER(VLOOKUP($B179,CEIC_DATA!$I$26:$N$353,Haver_M!BD$2,FALSE)),VLOOKUP($B179,CEIC_DATA!$I$26:$N$353,Haver_M!BD$2,FALSE),NA())</f>
        <v>111.1</v>
      </c>
      <c r="BE179">
        <f>IF(ISNUMBER(VLOOKUP($B179,CEIC_DATA!$I$26:$N$353,Haver_M!BE$2,FALSE)),VLOOKUP($B179,CEIC_DATA!$I$26:$N$353,Haver_M!BE$2,FALSE),NA())</f>
        <v>27.4</v>
      </c>
      <c r="BF179">
        <v>1445115</v>
      </c>
      <c r="BG179">
        <v>57735</v>
      </c>
      <c r="BH179">
        <v>1851187</v>
      </c>
      <c r="BI179">
        <v>270361</v>
      </c>
      <c r="BJ179" s="3">
        <v>10365.23</v>
      </c>
      <c r="BK179" s="3">
        <v>25094.47</v>
      </c>
      <c r="BL179" s="3">
        <v>13401.98</v>
      </c>
      <c r="BM179" s="3">
        <v>56012.05</v>
      </c>
      <c r="BN179" s="3">
        <v>25926.63</v>
      </c>
      <c r="BO179" s="3">
        <v>38352.39</v>
      </c>
      <c r="BP179" s="28">
        <v>59.730699999999999</v>
      </c>
      <c r="BQ179" s="28">
        <f t="shared" si="9"/>
        <v>173.53270596192579</v>
      </c>
      <c r="BR179" s="28">
        <f t="shared" si="10"/>
        <v>420.12683594868304</v>
      </c>
      <c r="BS179" s="28">
        <f t="shared" si="11"/>
        <v>224.37339592537842</v>
      </c>
      <c r="BT179" s="28">
        <f t="shared" si="12"/>
        <v>937.74307014650765</v>
      </c>
      <c r="BU179" s="4">
        <v>68659</v>
      </c>
    </row>
    <row r="180" spans="1:73" x14ac:dyDescent="0.25">
      <c r="A180" t="s">
        <v>179</v>
      </c>
      <c r="B180" s="2">
        <v>41851</v>
      </c>
      <c r="C180" s="3">
        <v>8</v>
      </c>
      <c r="D180" s="28">
        <v>8.4928000000000008</v>
      </c>
      <c r="E180" s="34">
        <v>90.385859999999994</v>
      </c>
      <c r="F180" s="5">
        <v>119.2</v>
      </c>
      <c r="G180" s="5">
        <v>114.9</v>
      </c>
      <c r="H180" s="3">
        <v>112.14</v>
      </c>
      <c r="I180" s="3">
        <v>105.36</v>
      </c>
      <c r="J180" s="3">
        <v>99.27</v>
      </c>
      <c r="K180" s="3">
        <v>116.3</v>
      </c>
      <c r="L180" s="3">
        <v>117.81</v>
      </c>
      <c r="M180" s="3">
        <v>115.84</v>
      </c>
      <c r="N180" s="3">
        <v>121.12</v>
      </c>
      <c r="O180" s="5">
        <v>111</v>
      </c>
      <c r="P180" s="52">
        <v>112.746</v>
      </c>
      <c r="Q180" s="52">
        <v>97.703000000000003</v>
      </c>
      <c r="R180" s="52">
        <v>68.471000000000004</v>
      </c>
      <c r="S180" s="52">
        <v>104.04</v>
      </c>
      <c r="T180" s="52">
        <v>95.777000000000001</v>
      </c>
      <c r="U180" s="52">
        <v>120.105</v>
      </c>
      <c r="V180" s="52">
        <v>119.325</v>
      </c>
      <c r="W180" s="52">
        <v>128.96799999999999</v>
      </c>
      <c r="X180" s="3">
        <v>13687.316977139491</v>
      </c>
      <c r="Y180" s="3">
        <v>26754.86</v>
      </c>
      <c r="Z180" s="3">
        <v>38945.9</v>
      </c>
      <c r="AA180" s="4">
        <v>13344</v>
      </c>
      <c r="AB180" s="4">
        <v>6822</v>
      </c>
      <c r="AC180" s="5" t="e">
        <v>#N/A</v>
      </c>
      <c r="AD180" s="5" t="e">
        <v>#N/A</v>
      </c>
      <c r="AE180" s="34">
        <v>112.23380762982468</v>
      </c>
      <c r="AF180" s="28">
        <v>52.987299999999998</v>
      </c>
      <c r="AG180" s="28">
        <v>53.001300000000001</v>
      </c>
      <c r="AH180" s="28">
        <v>52.194099999999999</v>
      </c>
      <c r="AI180" s="28">
        <v>54.871000000000002</v>
      </c>
      <c r="AJ180" s="28">
        <v>55.896299999999997</v>
      </c>
      <c r="AK180" s="28">
        <v>49.817999999999998</v>
      </c>
      <c r="AL180" s="28">
        <v>50.863599999999998</v>
      </c>
      <c r="AM180" s="28">
        <v>51.8065</v>
      </c>
      <c r="AN180" s="28">
        <v>59.637599999999999</v>
      </c>
      <c r="AO180" s="28">
        <v>54.0548</v>
      </c>
      <c r="AP180" s="28">
        <v>50.472000000000001</v>
      </c>
      <c r="AQ180" s="28">
        <v>54.275799999999997</v>
      </c>
      <c r="AR180" s="28">
        <v>50.695799999999998</v>
      </c>
      <c r="AS180" s="28">
        <v>51.6494</v>
      </c>
      <c r="AT180" s="28">
        <v>1.1074999999999999</v>
      </c>
      <c r="AU180" s="28">
        <v>49.758299999999998</v>
      </c>
      <c r="AV180" s="28">
        <v>51.823900000000002</v>
      </c>
      <c r="AW180" s="28">
        <v>52.608800000000002</v>
      </c>
      <c r="AX180" s="28">
        <v>54.018700000000003</v>
      </c>
      <c r="AY180" s="28" t="e">
        <v>#N/A</v>
      </c>
      <c r="AZ180" s="28">
        <v>53.634399999999999</v>
      </c>
      <c r="BA180" s="3">
        <v>25723.46</v>
      </c>
      <c r="BB180">
        <f>IF(ISNUMBER(VLOOKUP($B180,CEIC_DATA!$I$26:$N$353,Haver_M!BB$2,FALSE)),VLOOKUP($B180,CEIC_DATA!$I$26:$N$353,Haver_M!BB$2,FALSE),NA())</f>
        <v>106.48419976</v>
      </c>
      <c r="BC180" t="e">
        <f>IF(ISNUMBER(VLOOKUP($B180,CEIC_DATA!$I$26:$N$353,Haver_M!BC$2,FALSE)),VLOOKUP($B180,CEIC_DATA!$I$26:$N$353,Haver_M!BC$2,FALSE),NA())</f>
        <v>#N/A</v>
      </c>
      <c r="BD180" t="e">
        <f>IF(ISNUMBER(VLOOKUP($B180,CEIC_DATA!$I$26:$N$353,Haver_M!BD$2,FALSE)),VLOOKUP($B180,CEIC_DATA!$I$26:$N$353,Haver_M!BD$2,FALSE),NA())</f>
        <v>#N/A</v>
      </c>
      <c r="BE180" t="e">
        <f>IF(ISNUMBER(VLOOKUP($B180,CEIC_DATA!$I$26:$N$353,Haver_M!BE$2,FALSE)),VLOOKUP($B180,CEIC_DATA!$I$26:$N$353,Haver_M!BE$2,FALSE),NA())</f>
        <v>#N/A</v>
      </c>
      <c r="BF180">
        <v>1521277</v>
      </c>
      <c r="BG180">
        <v>55016</v>
      </c>
      <c r="BH180">
        <v>1920007</v>
      </c>
      <c r="BI180">
        <v>255054</v>
      </c>
      <c r="BJ180" s="3">
        <v>10429.5</v>
      </c>
      <c r="BK180" s="3">
        <v>25011.13</v>
      </c>
      <c r="BL180" s="3">
        <v>13189.69</v>
      </c>
      <c r="BM180" s="3">
        <v>55795.95</v>
      </c>
      <c r="BN180" s="3">
        <v>25815.7</v>
      </c>
      <c r="BO180" s="3">
        <v>40068.01</v>
      </c>
      <c r="BP180" s="28">
        <v>60.058599999999998</v>
      </c>
      <c r="BQ180" s="28">
        <f t="shared" si="9"/>
        <v>173.65539656269044</v>
      </c>
      <c r="BR180" s="28">
        <f t="shared" si="10"/>
        <v>416.44543828860481</v>
      </c>
      <c r="BS180" s="28">
        <f t="shared" si="11"/>
        <v>219.6136773084954</v>
      </c>
      <c r="BT180" s="28">
        <f t="shared" si="12"/>
        <v>929.02515210144759</v>
      </c>
      <c r="BU180" s="4">
        <v>66483</v>
      </c>
    </row>
    <row r="181" spans="1:73" x14ac:dyDescent="0.25">
      <c r="A181" t="s">
        <v>180</v>
      </c>
      <c r="B181" s="2">
        <v>41882</v>
      </c>
      <c r="C181" s="3">
        <v>8</v>
      </c>
      <c r="D181" s="28">
        <v>8.6251999999999995</v>
      </c>
      <c r="E181" s="34">
        <v>90.61927</v>
      </c>
      <c r="F181" s="5">
        <v>120.3</v>
      </c>
      <c r="G181" s="5">
        <v>115.5</v>
      </c>
      <c r="H181" s="3">
        <v>111.06</v>
      </c>
      <c r="I181" s="3">
        <v>106.31</v>
      </c>
      <c r="J181" s="3">
        <v>95.39</v>
      </c>
      <c r="K181" s="3">
        <v>117.76</v>
      </c>
      <c r="L181" s="3">
        <v>115.55</v>
      </c>
      <c r="M181" s="3">
        <v>116.07</v>
      </c>
      <c r="N181" s="3">
        <v>113.8</v>
      </c>
      <c r="O181" s="5">
        <v>112.3</v>
      </c>
      <c r="P181" s="52">
        <v>118.23699999999999</v>
      </c>
      <c r="Q181" s="52">
        <v>93.521000000000001</v>
      </c>
      <c r="R181" s="52">
        <v>67.433000000000007</v>
      </c>
      <c r="S181" s="52">
        <v>107.282</v>
      </c>
      <c r="T181" s="52">
        <v>95.126000000000005</v>
      </c>
      <c r="U181" s="52">
        <v>124.143</v>
      </c>
      <c r="V181" s="52">
        <v>119.045</v>
      </c>
      <c r="W181" s="52">
        <v>130.05000000000001</v>
      </c>
      <c r="X181" s="3">
        <v>13641.104438017004</v>
      </c>
      <c r="Y181" s="3">
        <v>27426.58</v>
      </c>
      <c r="Z181" s="3">
        <v>38008.31</v>
      </c>
      <c r="AA181" s="4">
        <v>12242</v>
      </c>
      <c r="AB181" s="4">
        <v>6767</v>
      </c>
      <c r="AC181" s="5" t="e">
        <v>#N/A</v>
      </c>
      <c r="AD181" s="5" t="e">
        <v>#N/A</v>
      </c>
      <c r="AE181" s="34">
        <v>113.61790362565706</v>
      </c>
      <c r="AF181" s="28">
        <v>51.607500000000002</v>
      </c>
      <c r="AG181" s="28">
        <v>52.388500000000001</v>
      </c>
      <c r="AH181" s="28">
        <v>50.569299999999998</v>
      </c>
      <c r="AI181" s="28">
        <v>54.072899999999997</v>
      </c>
      <c r="AJ181" s="28">
        <v>54.519100000000002</v>
      </c>
      <c r="AK181" s="28">
        <v>49.747700000000002</v>
      </c>
      <c r="AL181" s="28">
        <v>50.802300000000002</v>
      </c>
      <c r="AM181" s="28">
        <v>51.853299999999997</v>
      </c>
      <c r="AN181" s="28">
        <v>57.910800000000002</v>
      </c>
      <c r="AO181" s="28">
        <v>53.477400000000003</v>
      </c>
      <c r="AP181" s="28">
        <v>51.044800000000002</v>
      </c>
      <c r="AQ181" s="28">
        <v>54.457000000000001</v>
      </c>
      <c r="AR181" s="28">
        <v>50.435400000000001</v>
      </c>
      <c r="AS181" s="28">
        <v>52.793199999999999</v>
      </c>
      <c r="AT181" s="28">
        <v>1.0681</v>
      </c>
      <c r="AU181" s="28">
        <v>50.0092</v>
      </c>
      <c r="AV181" s="28">
        <v>51.119599999999998</v>
      </c>
      <c r="AW181" s="28">
        <v>51.9236</v>
      </c>
      <c r="AX181" s="28">
        <v>52.6126</v>
      </c>
      <c r="AY181" s="28" t="e">
        <v>#N/A</v>
      </c>
      <c r="AZ181" s="28">
        <v>50.878399999999999</v>
      </c>
      <c r="BA181" s="3">
        <v>26057.96</v>
      </c>
      <c r="BB181">
        <f>IF(ISNUMBER(VLOOKUP($B181,CEIC_DATA!$I$26:$N$353,Haver_M!BB$2,FALSE)),VLOOKUP($B181,CEIC_DATA!$I$26:$N$353,Haver_M!BB$2,FALSE),NA())</f>
        <v>106.36198503999999</v>
      </c>
      <c r="BC181" t="e">
        <f>IF(ISNUMBER(VLOOKUP($B181,CEIC_DATA!$I$26:$N$353,Haver_M!BC$2,FALSE)),VLOOKUP($B181,CEIC_DATA!$I$26:$N$353,Haver_M!BC$2,FALSE),NA())</f>
        <v>#N/A</v>
      </c>
      <c r="BD181" t="e">
        <f>IF(ISNUMBER(VLOOKUP($B181,CEIC_DATA!$I$26:$N$353,Haver_M!BD$2,FALSE)),VLOOKUP($B181,CEIC_DATA!$I$26:$N$353,Haver_M!BD$2,FALSE),NA())</f>
        <v>#N/A</v>
      </c>
      <c r="BE181" t="e">
        <f>IF(ISNUMBER(VLOOKUP($B181,CEIC_DATA!$I$26:$N$353,Haver_M!BE$2,FALSE)),VLOOKUP($B181,CEIC_DATA!$I$26:$N$353,Haver_M!BE$2,FALSE),NA())</f>
        <v>#N/A</v>
      </c>
      <c r="BF181">
        <v>1579057</v>
      </c>
      <c r="BG181">
        <v>55616</v>
      </c>
      <c r="BH181">
        <v>1993396</v>
      </c>
      <c r="BI181">
        <v>266990</v>
      </c>
      <c r="BJ181" s="3">
        <v>10514.72</v>
      </c>
      <c r="BK181" s="3">
        <v>24999.42</v>
      </c>
      <c r="BL181" s="3">
        <v>13135.38</v>
      </c>
      <c r="BM181" s="3">
        <v>55853.27</v>
      </c>
      <c r="BN181" s="3">
        <v>26825.3</v>
      </c>
      <c r="BO181" s="3">
        <v>37472.78</v>
      </c>
      <c r="BP181" s="28">
        <v>60.895200000000003</v>
      </c>
      <c r="BQ181" s="28">
        <f t="shared" si="9"/>
        <v>172.6691102090148</v>
      </c>
      <c r="BR181" s="28">
        <f t="shared" si="10"/>
        <v>410.53186458045951</v>
      </c>
      <c r="BS181" s="28">
        <f t="shared" si="11"/>
        <v>215.7046860836322</v>
      </c>
      <c r="BT181" s="28">
        <f t="shared" si="12"/>
        <v>917.20316215399566</v>
      </c>
      <c r="BU181" s="4">
        <v>60218</v>
      </c>
    </row>
    <row r="182" spans="1:73" x14ac:dyDescent="0.25">
      <c r="A182" t="s">
        <v>181</v>
      </c>
      <c r="B182" s="2">
        <v>41912</v>
      </c>
      <c r="C182" s="3">
        <v>8</v>
      </c>
      <c r="D182" s="28">
        <v>8.5269999999999992</v>
      </c>
      <c r="E182" s="34">
        <v>91.227779999999996</v>
      </c>
      <c r="F182" s="5">
        <v>120.1</v>
      </c>
      <c r="G182" s="5">
        <v>116</v>
      </c>
      <c r="H182" s="3">
        <v>112.02</v>
      </c>
      <c r="I182" s="3">
        <v>107.4</v>
      </c>
      <c r="J182" s="3">
        <v>99.79</v>
      </c>
      <c r="K182" s="3">
        <v>117.29</v>
      </c>
      <c r="L182" s="3">
        <v>116.65</v>
      </c>
      <c r="M182" s="3">
        <v>119.37</v>
      </c>
      <c r="N182" s="3">
        <v>114.1</v>
      </c>
      <c r="O182" s="5">
        <v>112.7</v>
      </c>
      <c r="P182" s="52">
        <v>118.032</v>
      </c>
      <c r="Q182" s="52">
        <v>98.218999999999994</v>
      </c>
      <c r="R182" s="52">
        <v>70.018000000000001</v>
      </c>
      <c r="S182" s="52">
        <v>112.938</v>
      </c>
      <c r="T182" s="52">
        <v>94.215000000000003</v>
      </c>
      <c r="U182" s="52">
        <v>121.541</v>
      </c>
      <c r="V182" s="52">
        <v>121.95399999999999</v>
      </c>
      <c r="W182" s="52">
        <v>125.11199999999999</v>
      </c>
      <c r="X182" s="3">
        <v>13947.811119524515</v>
      </c>
      <c r="Y182" s="3">
        <v>27837.84</v>
      </c>
      <c r="Z182" s="3">
        <v>43358.13</v>
      </c>
      <c r="AA182" s="4">
        <v>12940</v>
      </c>
      <c r="AB182" s="4">
        <v>6174</v>
      </c>
      <c r="AC182" s="5">
        <v>103.1</v>
      </c>
      <c r="AD182" s="5">
        <v>118.6</v>
      </c>
      <c r="AE182" s="34">
        <v>99.618295194559067</v>
      </c>
      <c r="AF182" s="28">
        <v>51.7971</v>
      </c>
      <c r="AG182" s="28">
        <v>50.974800000000002</v>
      </c>
      <c r="AH182" s="28">
        <v>51.596600000000002</v>
      </c>
      <c r="AI182" s="28">
        <v>52.273200000000003</v>
      </c>
      <c r="AJ182" s="28">
        <v>51.278300000000002</v>
      </c>
      <c r="AK182" s="28">
        <v>49.930399999999999</v>
      </c>
      <c r="AL182" s="28">
        <v>50.082099999999997</v>
      </c>
      <c r="AM182" s="28">
        <v>50.492100000000001</v>
      </c>
      <c r="AN182" s="28">
        <v>53.823500000000003</v>
      </c>
      <c r="AO182" s="28">
        <v>52.718899999999998</v>
      </c>
      <c r="AP182" s="28">
        <v>49.3033</v>
      </c>
      <c r="AQ182" s="28">
        <v>54.699800000000003</v>
      </c>
      <c r="AR182" s="28">
        <v>50.119900000000001</v>
      </c>
      <c r="AS182" s="28">
        <v>52.661299999999997</v>
      </c>
      <c r="AT182" s="28">
        <v>1.0401</v>
      </c>
      <c r="AU182" s="28">
        <v>50.466999999999999</v>
      </c>
      <c r="AV182" s="28">
        <v>50.586599999999997</v>
      </c>
      <c r="AW182" s="28">
        <v>52.4452</v>
      </c>
      <c r="AX182" s="28">
        <v>50.977600000000002</v>
      </c>
      <c r="AY182" s="28">
        <v>49.6995</v>
      </c>
      <c r="AZ182" s="28">
        <v>50.012799999999999</v>
      </c>
      <c r="BA182" s="3">
        <v>26910.52</v>
      </c>
      <c r="BB182">
        <f>IF(ISNUMBER(VLOOKUP($B182,CEIC_DATA!$I$26:$N$353,Haver_M!BB$2,FALSE)),VLOOKUP($B182,CEIC_DATA!$I$26:$N$353,Haver_M!BB$2,FALSE),NA())</f>
        <v>105.54156918</v>
      </c>
      <c r="BC182">
        <f>IF(ISNUMBER(VLOOKUP($B182,CEIC_DATA!$I$26:$N$353,Haver_M!BC$2,FALSE)),VLOOKUP($B182,CEIC_DATA!$I$26:$N$353,Haver_M!BC$2,FALSE),NA())</f>
        <v>106.3</v>
      </c>
      <c r="BD182">
        <f>IF(ISNUMBER(VLOOKUP($B182,CEIC_DATA!$I$26:$N$353,Haver_M!BD$2,FALSE)),VLOOKUP($B182,CEIC_DATA!$I$26:$N$353,Haver_M!BD$2,FALSE),NA())</f>
        <v>114.7</v>
      </c>
      <c r="BE182">
        <f>IF(ISNUMBER(VLOOKUP($B182,CEIC_DATA!$I$26:$N$353,Haver_M!BE$2,FALSE)),VLOOKUP($B182,CEIC_DATA!$I$26:$N$353,Haver_M!BE$2,FALSE),NA())</f>
        <v>37</v>
      </c>
      <c r="BF182">
        <v>1782726</v>
      </c>
      <c r="BG182">
        <v>64235</v>
      </c>
      <c r="BH182">
        <v>2221615</v>
      </c>
      <c r="BI182">
        <v>281336</v>
      </c>
      <c r="BJ182" s="3">
        <v>10632.06</v>
      </c>
      <c r="BK182" s="3">
        <v>25070.59</v>
      </c>
      <c r="BL182" s="3">
        <v>13227.42</v>
      </c>
      <c r="BM182" s="3">
        <v>56138.48</v>
      </c>
      <c r="BN182" s="3">
        <v>28889.65</v>
      </c>
      <c r="BO182" s="3">
        <v>43341.75</v>
      </c>
      <c r="BP182" s="28">
        <v>60.864899999999999</v>
      </c>
      <c r="BQ182" s="28">
        <f t="shared" si="9"/>
        <v>174.68294534288233</v>
      </c>
      <c r="BR182" s="28">
        <f t="shared" si="10"/>
        <v>411.90554818951483</v>
      </c>
      <c r="BS182" s="28">
        <f t="shared" si="11"/>
        <v>217.32427063874252</v>
      </c>
      <c r="BT182" s="28">
        <f t="shared" si="12"/>
        <v>922.34571978266627</v>
      </c>
      <c r="BU182" s="4">
        <v>53102</v>
      </c>
    </row>
    <row r="183" spans="1:73" x14ac:dyDescent="0.25">
      <c r="A183" t="s">
        <v>182</v>
      </c>
      <c r="B183" s="2">
        <v>41943</v>
      </c>
      <c r="C183" s="3">
        <v>8</v>
      </c>
      <c r="D183" s="28">
        <v>8.2996999999999996</v>
      </c>
      <c r="E183" s="34">
        <v>91.477500000000006</v>
      </c>
      <c r="F183" s="5">
        <v>120.1</v>
      </c>
      <c r="G183" s="5">
        <v>116.4</v>
      </c>
      <c r="H183" s="3">
        <v>107.4</v>
      </c>
      <c r="I183" s="3">
        <v>107.19</v>
      </c>
      <c r="J183" s="3">
        <v>85.53</v>
      </c>
      <c r="K183" s="3">
        <v>115.21</v>
      </c>
      <c r="L183" s="3">
        <v>118.64</v>
      </c>
      <c r="M183" s="3">
        <v>106.3</v>
      </c>
      <c r="N183" s="3">
        <v>106.35</v>
      </c>
      <c r="O183" s="5">
        <v>112.2</v>
      </c>
      <c r="P183" s="52">
        <v>115.94</v>
      </c>
      <c r="Q183" s="52">
        <v>99.171000000000006</v>
      </c>
      <c r="R183" s="52">
        <v>69.936999999999998</v>
      </c>
      <c r="S183" s="52">
        <v>109.351</v>
      </c>
      <c r="T183" s="52">
        <v>98.938000000000002</v>
      </c>
      <c r="U183" s="52">
        <v>122.94499999999999</v>
      </c>
      <c r="V183" s="52">
        <v>110.95699999999999</v>
      </c>
      <c r="W183" s="52">
        <v>126.824</v>
      </c>
      <c r="X183" s="3">
        <v>12974.238861938142</v>
      </c>
      <c r="Y183" s="3">
        <v>26070.39</v>
      </c>
      <c r="Z183" s="3">
        <v>38023.519999999997</v>
      </c>
      <c r="AA183" s="4">
        <v>12146</v>
      </c>
      <c r="AB183" s="4">
        <v>5942</v>
      </c>
      <c r="AC183" s="5" t="e">
        <v>#N/A</v>
      </c>
      <c r="AD183" s="5" t="e">
        <v>#N/A</v>
      </c>
      <c r="AE183" s="34">
        <v>105.25230995786271</v>
      </c>
      <c r="AF183" s="28">
        <v>50.963900000000002</v>
      </c>
      <c r="AG183" s="28">
        <v>51.610300000000002</v>
      </c>
      <c r="AH183" s="28">
        <v>49.979500000000002</v>
      </c>
      <c r="AI183" s="28">
        <v>53.301600000000001</v>
      </c>
      <c r="AJ183" s="28">
        <v>53.023899999999998</v>
      </c>
      <c r="AK183" s="28">
        <v>50.090499999999999</v>
      </c>
      <c r="AL183" s="28">
        <v>51.360599999999998</v>
      </c>
      <c r="AM183" s="28">
        <v>50.636699999999998</v>
      </c>
      <c r="AN183" s="28">
        <v>51.756799999999998</v>
      </c>
      <c r="AO183" s="28">
        <v>51.830399999999997</v>
      </c>
      <c r="AP183" s="28">
        <v>50.257599999999996</v>
      </c>
      <c r="AQ183" s="28">
        <v>55.290599999999998</v>
      </c>
      <c r="AR183" s="28">
        <v>50.496200000000002</v>
      </c>
      <c r="AS183" s="28">
        <v>51.820300000000003</v>
      </c>
      <c r="AT183" s="28">
        <v>1.0549999999999999</v>
      </c>
      <c r="AU183" s="28">
        <v>50.245600000000003</v>
      </c>
      <c r="AV183" s="28">
        <v>50.679200000000002</v>
      </c>
      <c r="AW183" s="28">
        <v>51.584000000000003</v>
      </c>
      <c r="AX183" s="28">
        <v>51.037100000000002</v>
      </c>
      <c r="AY183" s="28">
        <v>49.257300000000001</v>
      </c>
      <c r="AZ183" s="28">
        <v>52.4833</v>
      </c>
      <c r="BA183" s="3">
        <v>26636.14</v>
      </c>
      <c r="BB183">
        <f>IF(ISNUMBER(VLOOKUP($B183,CEIC_DATA!$I$26:$N$353,Haver_M!BB$2,FALSE)),VLOOKUP($B183,CEIC_DATA!$I$26:$N$353,Haver_M!BB$2,FALSE),NA())</f>
        <v>104.42257995</v>
      </c>
      <c r="BC183" t="e">
        <f>IF(ISNUMBER(VLOOKUP($B183,CEIC_DATA!$I$26:$N$353,Haver_M!BC$2,FALSE)),VLOOKUP($B183,CEIC_DATA!$I$26:$N$353,Haver_M!BC$2,FALSE),NA())</f>
        <v>#N/A</v>
      </c>
      <c r="BD183" t="e">
        <f>IF(ISNUMBER(VLOOKUP($B183,CEIC_DATA!$I$26:$N$353,Haver_M!BD$2,FALSE)),VLOOKUP($B183,CEIC_DATA!$I$26:$N$353,Haver_M!BD$2,FALSE),NA())</f>
        <v>#N/A</v>
      </c>
      <c r="BE183" t="e">
        <f>IF(ISNUMBER(VLOOKUP($B183,CEIC_DATA!$I$26:$N$353,Haver_M!BE$2,FALSE)),VLOOKUP($B183,CEIC_DATA!$I$26:$N$353,Haver_M!BE$2,FALSE),NA())</f>
        <v>#N/A</v>
      </c>
      <c r="BF183">
        <v>1676623</v>
      </c>
      <c r="BG183">
        <v>59472</v>
      </c>
      <c r="BH183">
        <v>2093517</v>
      </c>
      <c r="BI183">
        <v>269800</v>
      </c>
      <c r="BJ183" s="3">
        <v>10994.01</v>
      </c>
      <c r="BK183" s="3">
        <v>25348.2</v>
      </c>
      <c r="BL183" s="3">
        <v>13573.55</v>
      </c>
      <c r="BM183" s="3">
        <v>57324.88</v>
      </c>
      <c r="BN183" s="3">
        <v>25914.720000000001</v>
      </c>
      <c r="BO183" s="3">
        <v>39468.76</v>
      </c>
      <c r="BP183" s="28">
        <v>61.341999999999999</v>
      </c>
      <c r="BQ183" s="28">
        <f t="shared" si="9"/>
        <v>179.22483779465946</v>
      </c>
      <c r="BR183" s="28">
        <f t="shared" si="10"/>
        <v>413.22747872583221</v>
      </c>
      <c r="BS183" s="28">
        <f t="shared" si="11"/>
        <v>221.27661308728113</v>
      </c>
      <c r="BT183" s="28">
        <f t="shared" si="12"/>
        <v>934.51273189657979</v>
      </c>
      <c r="BU183" s="4">
        <v>58576</v>
      </c>
    </row>
    <row r="184" spans="1:73" x14ac:dyDescent="0.25">
      <c r="A184" t="s">
        <v>183</v>
      </c>
      <c r="B184" s="2">
        <v>41973</v>
      </c>
      <c r="C184" s="3">
        <v>8</v>
      </c>
      <c r="D184" s="28">
        <v>8.1234000000000002</v>
      </c>
      <c r="E184" s="34">
        <v>91.751609999999999</v>
      </c>
      <c r="F184" s="5">
        <v>120.1</v>
      </c>
      <c r="G184" s="5">
        <v>116.8</v>
      </c>
      <c r="H184" s="3">
        <v>113.43</v>
      </c>
      <c r="I184" s="3">
        <v>108.56</v>
      </c>
      <c r="J184" s="3">
        <v>93.33</v>
      </c>
      <c r="K184" s="3">
        <v>117.62</v>
      </c>
      <c r="L184" s="3">
        <v>123.57</v>
      </c>
      <c r="M184" s="3">
        <v>118.85</v>
      </c>
      <c r="N184" s="3">
        <v>112.62</v>
      </c>
      <c r="O184" s="5">
        <v>114.9</v>
      </c>
      <c r="P184" s="52">
        <v>115.74</v>
      </c>
      <c r="Q184" s="52">
        <v>100.47</v>
      </c>
      <c r="R184" s="52">
        <v>71.275000000000006</v>
      </c>
      <c r="S184" s="52">
        <v>113.318</v>
      </c>
      <c r="T184" s="52">
        <v>101.12</v>
      </c>
      <c r="U184" s="52">
        <v>127.971</v>
      </c>
      <c r="V184" s="52">
        <v>120.155</v>
      </c>
      <c r="W184" s="52">
        <v>129.07499999999999</v>
      </c>
      <c r="X184" s="3">
        <v>13843.363489494646</v>
      </c>
      <c r="Y184" s="3">
        <v>28719.26</v>
      </c>
      <c r="Z184" s="3">
        <v>43649.73</v>
      </c>
      <c r="AA184" s="4">
        <v>12473</v>
      </c>
      <c r="AB184" s="4">
        <v>6155</v>
      </c>
      <c r="AC184" s="5" t="e">
        <v>#N/A</v>
      </c>
      <c r="AD184" s="5" t="e">
        <v>#N/A</v>
      </c>
      <c r="AE184" s="34">
        <v>128.99399638193029</v>
      </c>
      <c r="AF184" s="28">
        <v>53.6477</v>
      </c>
      <c r="AG184" s="28">
        <v>53.258400000000002</v>
      </c>
      <c r="AH184" s="28">
        <v>52.638599999999997</v>
      </c>
      <c r="AI184" s="28">
        <v>56.0441</v>
      </c>
      <c r="AJ184" s="28">
        <v>56.164999999999999</v>
      </c>
      <c r="AK184" s="28">
        <v>50.243699999999997</v>
      </c>
      <c r="AL184" s="28">
        <v>51.679200000000002</v>
      </c>
      <c r="AM184" s="28">
        <v>51.010199999999998</v>
      </c>
      <c r="AN184" s="28">
        <v>54.278599999999997</v>
      </c>
      <c r="AO184" s="28">
        <v>53.271599999999999</v>
      </c>
      <c r="AP184" s="28">
        <v>50.896500000000003</v>
      </c>
      <c r="AQ184" s="28">
        <v>55.057499999999997</v>
      </c>
      <c r="AR184" s="28">
        <v>52.1858</v>
      </c>
      <c r="AS184" s="28">
        <v>51.609400000000001</v>
      </c>
      <c r="AT184" s="28">
        <v>1.1034999999999999</v>
      </c>
      <c r="AU184" s="28">
        <v>49.836799999999997</v>
      </c>
      <c r="AV184" s="28">
        <v>49.639899999999997</v>
      </c>
      <c r="AW184" s="28">
        <v>52.506300000000003</v>
      </c>
      <c r="AX184" s="28">
        <v>48.540599999999998</v>
      </c>
      <c r="AY184" s="28">
        <v>50.07</v>
      </c>
      <c r="AZ184" s="28">
        <v>51.324199999999998</v>
      </c>
      <c r="BA184" s="3">
        <v>28142.15</v>
      </c>
      <c r="BB184">
        <f>IF(ISNUMBER(VLOOKUP($B184,CEIC_DATA!$I$26:$N$353,Haver_M!BB$2,FALSE)),VLOOKUP($B184,CEIC_DATA!$I$26:$N$353,Haver_M!BB$2,FALSE),NA())</f>
        <v>103.26254304</v>
      </c>
      <c r="BC184" t="e">
        <f>IF(ISNUMBER(VLOOKUP($B184,CEIC_DATA!$I$26:$N$353,Haver_M!BC$2,FALSE)),VLOOKUP($B184,CEIC_DATA!$I$26:$N$353,Haver_M!BC$2,FALSE),NA())</f>
        <v>#N/A</v>
      </c>
      <c r="BD184" t="e">
        <f>IF(ISNUMBER(VLOOKUP($B184,CEIC_DATA!$I$26:$N$353,Haver_M!BD$2,FALSE)),VLOOKUP($B184,CEIC_DATA!$I$26:$N$353,Haver_M!BD$2,FALSE),NA())</f>
        <v>#N/A</v>
      </c>
      <c r="BE184" t="e">
        <f>IF(ISNUMBER(VLOOKUP($B184,CEIC_DATA!$I$26:$N$353,Haver_M!BE$2,FALSE)),VLOOKUP($B184,CEIC_DATA!$I$26:$N$353,Haver_M!BE$2,FALSE),NA())</f>
        <v>#N/A</v>
      </c>
      <c r="BF184">
        <v>1530086</v>
      </c>
      <c r="BG184">
        <v>55035</v>
      </c>
      <c r="BH184">
        <v>1937864</v>
      </c>
      <c r="BI184">
        <v>268651</v>
      </c>
      <c r="BJ184" s="3">
        <v>11059.1</v>
      </c>
      <c r="BK184" s="3">
        <v>25419.46</v>
      </c>
      <c r="BL184" s="3">
        <v>13484.45</v>
      </c>
      <c r="BM184" s="3">
        <v>57354.37</v>
      </c>
      <c r="BN184" s="3">
        <v>26503.040000000001</v>
      </c>
      <c r="BO184" s="3">
        <v>42722.49</v>
      </c>
      <c r="BP184" s="28">
        <v>61.7042</v>
      </c>
      <c r="BQ184" s="28">
        <f t="shared" si="9"/>
        <v>179.2276700775636</v>
      </c>
      <c r="BR184" s="28">
        <f t="shared" si="10"/>
        <v>411.95672255697343</v>
      </c>
      <c r="BS184" s="28">
        <f t="shared" si="11"/>
        <v>218.53374648727316</v>
      </c>
      <c r="BT184" s="28">
        <f t="shared" si="12"/>
        <v>929.50512282794364</v>
      </c>
      <c r="BU184" s="4">
        <v>55297</v>
      </c>
    </row>
    <row r="185" spans="1:73" x14ac:dyDescent="0.25">
      <c r="A185" t="s">
        <v>184</v>
      </c>
      <c r="B185" s="2">
        <v>42004</v>
      </c>
      <c r="C185" s="3">
        <v>8</v>
      </c>
      <c r="D185" s="28">
        <v>7.9170999999999996</v>
      </c>
      <c r="E185" s="34">
        <v>90.661510000000007</v>
      </c>
      <c r="F185" s="5">
        <v>119.4</v>
      </c>
      <c r="G185" s="5">
        <v>116.9</v>
      </c>
      <c r="H185" s="3">
        <v>111.69</v>
      </c>
      <c r="I185" s="3">
        <v>107.65</v>
      </c>
      <c r="J185" s="3">
        <v>96.46</v>
      </c>
      <c r="K185" s="3">
        <v>115.6</v>
      </c>
      <c r="L185" s="3">
        <v>118.97</v>
      </c>
      <c r="M185" s="3">
        <v>118.74</v>
      </c>
      <c r="N185" s="3">
        <v>114.4</v>
      </c>
      <c r="O185" s="5">
        <v>112.6</v>
      </c>
      <c r="P185" s="52">
        <v>108.001</v>
      </c>
      <c r="Q185" s="52">
        <v>99.286000000000001</v>
      </c>
      <c r="R185" s="52">
        <v>71.557000000000002</v>
      </c>
      <c r="S185" s="52">
        <v>110.9</v>
      </c>
      <c r="T185" s="52">
        <v>103.94799999999999</v>
      </c>
      <c r="U185" s="52">
        <v>121.15600000000001</v>
      </c>
      <c r="V185" s="52">
        <v>119.184</v>
      </c>
      <c r="W185" s="52">
        <v>127.67700000000001</v>
      </c>
      <c r="X185" s="3">
        <v>14310.719122771341</v>
      </c>
      <c r="Y185" s="3">
        <v>25412.66</v>
      </c>
      <c r="Z185" s="3">
        <v>35028.720000000001</v>
      </c>
      <c r="AA185" s="4">
        <v>14303</v>
      </c>
      <c r="AB185" s="4">
        <v>7240</v>
      </c>
      <c r="AC185" s="5">
        <v>105.5</v>
      </c>
      <c r="AD185" s="5">
        <v>118.3</v>
      </c>
      <c r="AE185" s="34">
        <v>96.436513008990332</v>
      </c>
      <c r="AF185" s="28">
        <v>52.868499999999997</v>
      </c>
      <c r="AG185" s="28">
        <v>54.543100000000003</v>
      </c>
      <c r="AH185" s="28">
        <v>51.148000000000003</v>
      </c>
      <c r="AI185" s="28">
        <v>56.954500000000003</v>
      </c>
      <c r="AJ185" s="28">
        <v>57.9497</v>
      </c>
      <c r="AK185" s="28">
        <v>49.589100000000002</v>
      </c>
      <c r="AL185" s="28">
        <v>49.442</v>
      </c>
      <c r="AM185" s="28">
        <v>54.180500000000002</v>
      </c>
      <c r="AN185" s="28">
        <v>50.960999999999999</v>
      </c>
      <c r="AO185" s="28">
        <v>55.9178</v>
      </c>
      <c r="AP185" s="28">
        <v>53.998100000000001</v>
      </c>
      <c r="AQ185" s="28">
        <v>56.923999999999999</v>
      </c>
      <c r="AR185" s="28">
        <v>50.661200000000001</v>
      </c>
      <c r="AS185" s="28">
        <v>51.768900000000002</v>
      </c>
      <c r="AT185" s="28">
        <v>1.0731999999999999</v>
      </c>
      <c r="AU185" s="28">
        <v>50.587400000000002</v>
      </c>
      <c r="AV185" s="28">
        <v>50.211100000000002</v>
      </c>
      <c r="AW185" s="28">
        <v>51.827800000000003</v>
      </c>
      <c r="AX185" s="28">
        <v>50.871000000000002</v>
      </c>
      <c r="AY185" s="28">
        <v>51.668300000000002</v>
      </c>
      <c r="AZ185" s="28">
        <v>50.204599999999999</v>
      </c>
      <c r="BA185" s="3">
        <v>27656.11</v>
      </c>
      <c r="BB185">
        <f>IF(ISNUMBER(VLOOKUP($B185,CEIC_DATA!$I$26:$N$353,Haver_M!BB$2,FALSE)),VLOOKUP($B185,CEIC_DATA!$I$26:$N$353,Haver_M!BB$2,FALSE),NA())</f>
        <v>101.9177421</v>
      </c>
      <c r="BC185">
        <f>IF(ISNUMBER(VLOOKUP($B185,CEIC_DATA!$I$26:$N$353,Haver_M!BC$2,FALSE)),VLOOKUP($B185,CEIC_DATA!$I$26:$N$353,Haver_M!BC$2,FALSE),NA())</f>
        <v>104.6</v>
      </c>
      <c r="BD185">
        <f>IF(ISNUMBER(VLOOKUP($B185,CEIC_DATA!$I$26:$N$353,Haver_M!BD$2,FALSE)),VLOOKUP($B185,CEIC_DATA!$I$26:$N$353,Haver_M!BD$2,FALSE),NA())</f>
        <v>117.7</v>
      </c>
      <c r="BE185">
        <f>IF(ISNUMBER(VLOOKUP($B185,CEIC_DATA!$I$26:$N$353,Haver_M!BE$2,FALSE)),VLOOKUP($B185,CEIC_DATA!$I$26:$N$353,Haver_M!BE$2,FALSE),NA())</f>
        <v>39.700000000000003</v>
      </c>
      <c r="BF185">
        <v>1427126</v>
      </c>
      <c r="BG185">
        <v>57852</v>
      </c>
      <c r="BH185">
        <v>1841122</v>
      </c>
      <c r="BI185">
        <v>278442</v>
      </c>
      <c r="BJ185" s="3">
        <v>11220.67</v>
      </c>
      <c r="BK185" s="3">
        <v>25686.63</v>
      </c>
      <c r="BL185" s="3">
        <v>13489.08</v>
      </c>
      <c r="BM185" s="3">
        <v>57869.55</v>
      </c>
      <c r="BN185" s="3">
        <v>26172.79</v>
      </c>
      <c r="BO185" s="3">
        <v>35333.269999999997</v>
      </c>
      <c r="BP185" s="28">
        <v>62.753</v>
      </c>
      <c r="BQ185" s="28">
        <f t="shared" si="9"/>
        <v>178.80690962981851</v>
      </c>
      <c r="BR185" s="28">
        <f t="shared" si="10"/>
        <v>409.32911573948655</v>
      </c>
      <c r="BS185" s="28">
        <f t="shared" si="11"/>
        <v>214.9551415868564</v>
      </c>
      <c r="BT185" s="28">
        <f t="shared" si="12"/>
        <v>922.17981610440938</v>
      </c>
      <c r="BU185" s="4">
        <v>54107</v>
      </c>
    </row>
    <row r="186" spans="1:73" x14ac:dyDescent="0.25">
      <c r="A186" t="s">
        <v>185</v>
      </c>
      <c r="B186" s="2">
        <v>42035</v>
      </c>
      <c r="C186" s="3">
        <v>7.75</v>
      </c>
      <c r="D186" s="28">
        <v>7.6872999999999996</v>
      </c>
      <c r="E186" s="34">
        <v>93.004409999999993</v>
      </c>
      <c r="F186" s="5">
        <v>119.5</v>
      </c>
      <c r="G186" s="5">
        <v>117.7</v>
      </c>
      <c r="H186" s="3">
        <v>111.07</v>
      </c>
      <c r="I186" s="3">
        <v>107.78</v>
      </c>
      <c r="J186" s="3">
        <v>91.2</v>
      </c>
      <c r="K186" s="3">
        <v>115.77</v>
      </c>
      <c r="L186" s="3">
        <v>118.2</v>
      </c>
      <c r="M186" s="3">
        <v>115.48</v>
      </c>
      <c r="N186" s="3">
        <v>114.01</v>
      </c>
      <c r="O186" s="5">
        <v>111.6</v>
      </c>
      <c r="P186" s="52">
        <v>108.411</v>
      </c>
      <c r="Q186" s="52">
        <v>99.242000000000004</v>
      </c>
      <c r="R186" s="52">
        <v>71.234999999999999</v>
      </c>
      <c r="S186" s="52">
        <v>109.16500000000001</v>
      </c>
      <c r="T186" s="52">
        <v>105.70699999999999</v>
      </c>
      <c r="U186" s="52">
        <v>122.901</v>
      </c>
      <c r="V186" s="52">
        <v>116.85899999999999</v>
      </c>
      <c r="W186" s="52">
        <v>126.699</v>
      </c>
      <c r="X186" s="3">
        <v>13867.869406659165</v>
      </c>
      <c r="Y186" s="3">
        <v>24530.799999999999</v>
      </c>
      <c r="Z186" s="3">
        <v>32757.39</v>
      </c>
      <c r="AA186" s="4">
        <v>14250</v>
      </c>
      <c r="AB186" s="4">
        <v>7788</v>
      </c>
      <c r="AC186" s="5" t="e">
        <v>#N/A</v>
      </c>
      <c r="AD186" s="5" t="e">
        <v>#N/A</v>
      </c>
      <c r="AE186" s="34">
        <v>115.65390032455824</v>
      </c>
      <c r="AF186" s="28">
        <v>53.271900000000002</v>
      </c>
      <c r="AG186" s="28">
        <v>52.9345</v>
      </c>
      <c r="AH186" s="28">
        <v>52.400500000000001</v>
      </c>
      <c r="AI186" s="28">
        <v>55.407200000000003</v>
      </c>
      <c r="AJ186" s="28">
        <v>54.436500000000002</v>
      </c>
      <c r="AK186" s="28">
        <v>50.368600000000001</v>
      </c>
      <c r="AL186" s="28">
        <v>50.487400000000001</v>
      </c>
      <c r="AM186" s="28">
        <v>52.511499999999998</v>
      </c>
      <c r="AN186" s="28">
        <v>50.253100000000003</v>
      </c>
      <c r="AO186" s="28">
        <v>53.733800000000002</v>
      </c>
      <c r="AP186" s="28">
        <v>50.259399999999999</v>
      </c>
      <c r="AQ186" s="28">
        <v>54.919800000000002</v>
      </c>
      <c r="AR186" s="28">
        <v>50.632399999999997</v>
      </c>
      <c r="AS186" s="28">
        <v>53.133299999999998</v>
      </c>
      <c r="AT186" s="28">
        <v>1.0831</v>
      </c>
      <c r="AU186" s="28">
        <v>50.218000000000004</v>
      </c>
      <c r="AV186" s="28">
        <v>51.425600000000003</v>
      </c>
      <c r="AW186" s="28">
        <v>52.075600000000001</v>
      </c>
      <c r="AX186" s="28">
        <v>52.782299999999999</v>
      </c>
      <c r="AY186" s="28">
        <v>51.940199999999997</v>
      </c>
      <c r="AZ186" s="28">
        <v>50.862099999999998</v>
      </c>
      <c r="BA186" s="3">
        <v>28220.84</v>
      </c>
      <c r="BB186">
        <f>IF(ISNUMBER(VLOOKUP($B186,CEIC_DATA!$I$26:$N$353,Haver_M!BB$2,FALSE)),VLOOKUP($B186,CEIC_DATA!$I$26:$N$353,Haver_M!BB$2,FALSE),NA())</f>
        <v>100.52407429</v>
      </c>
      <c r="BC186" t="e">
        <f>IF(ISNUMBER(VLOOKUP($B186,CEIC_DATA!$I$26:$N$353,Haver_M!BC$2,FALSE)),VLOOKUP($B186,CEIC_DATA!$I$26:$N$353,Haver_M!BC$2,FALSE),NA())</f>
        <v>#N/A</v>
      </c>
      <c r="BD186" t="e">
        <f>IF(ISNUMBER(VLOOKUP($B186,CEIC_DATA!$I$26:$N$353,Haver_M!BD$2,FALSE)),VLOOKUP($B186,CEIC_DATA!$I$26:$N$353,Haver_M!BD$2,FALSE),NA())</f>
        <v>#N/A</v>
      </c>
      <c r="BE186" t="e">
        <f>IF(ISNUMBER(VLOOKUP($B186,CEIC_DATA!$I$26:$N$353,Haver_M!BE$2,FALSE)),VLOOKUP($B186,CEIC_DATA!$I$26:$N$353,Haver_M!BE$2,FALSE),NA())</f>
        <v>#N/A</v>
      </c>
      <c r="BF186">
        <v>1508624</v>
      </c>
      <c r="BG186">
        <v>59583</v>
      </c>
      <c r="BH186">
        <v>1916611</v>
      </c>
      <c r="BI186">
        <v>275732</v>
      </c>
      <c r="BJ186" s="3">
        <v>11424.94</v>
      </c>
      <c r="BK186" s="3">
        <v>25791.83</v>
      </c>
      <c r="BL186" s="3">
        <v>13526.78</v>
      </c>
      <c r="BM186" s="3">
        <v>58253.29</v>
      </c>
      <c r="BN186" s="3">
        <v>24415.17</v>
      </c>
      <c r="BO186" s="3">
        <v>32265.37</v>
      </c>
      <c r="BP186" s="28">
        <v>62.225900000000003</v>
      </c>
      <c r="BQ186" s="28">
        <f t="shared" si="9"/>
        <v>183.60425481993832</v>
      </c>
      <c r="BR186" s="28">
        <f t="shared" si="10"/>
        <v>414.48705442589016</v>
      </c>
      <c r="BS186" s="28">
        <f t="shared" si="11"/>
        <v>217.38182975256285</v>
      </c>
      <c r="BT186" s="28">
        <f t="shared" si="12"/>
        <v>936.15825564596093</v>
      </c>
      <c r="BU186" s="4">
        <v>53311</v>
      </c>
    </row>
    <row r="187" spans="1:73" x14ac:dyDescent="0.25">
      <c r="A187" t="s">
        <v>186</v>
      </c>
      <c r="B187" s="2">
        <v>42063</v>
      </c>
      <c r="C187" s="3">
        <v>7.75</v>
      </c>
      <c r="D187" s="28">
        <v>7.7655000000000003</v>
      </c>
      <c r="E187" s="34">
        <v>93.297579999999996</v>
      </c>
      <c r="F187" s="5">
        <v>119.7</v>
      </c>
      <c r="G187" s="5">
        <v>118.1</v>
      </c>
      <c r="H187" s="3">
        <v>111.97</v>
      </c>
      <c r="I187" s="3">
        <v>107.31</v>
      </c>
      <c r="J187" s="3">
        <v>98.27</v>
      </c>
      <c r="K187" s="3">
        <v>115.96</v>
      </c>
      <c r="L187" s="3">
        <v>114.95</v>
      </c>
      <c r="M187" s="3">
        <v>116.1</v>
      </c>
      <c r="N187" s="3">
        <v>117.72</v>
      </c>
      <c r="O187" s="5">
        <v>112.7</v>
      </c>
      <c r="P187" s="52">
        <v>115.41500000000001</v>
      </c>
      <c r="Q187" s="52">
        <v>98.108999999999995</v>
      </c>
      <c r="R187" s="52">
        <v>68.98</v>
      </c>
      <c r="S187" s="52">
        <v>109.459</v>
      </c>
      <c r="T187" s="52">
        <v>101.429</v>
      </c>
      <c r="U187" s="52">
        <v>119.02</v>
      </c>
      <c r="V187" s="52">
        <v>117.973</v>
      </c>
      <c r="W187" s="52">
        <v>129.83699999999999</v>
      </c>
      <c r="X187" s="3">
        <v>14558.786535339359</v>
      </c>
      <c r="Y187" s="3">
        <v>22515.93</v>
      </c>
      <c r="Z187" s="3">
        <v>30703.58</v>
      </c>
      <c r="AA187" s="4">
        <v>14099</v>
      </c>
      <c r="AB187" s="4">
        <v>7896</v>
      </c>
      <c r="AC187" s="5" t="e">
        <v>#N/A</v>
      </c>
      <c r="AD187" s="5" t="e">
        <v>#N/A</v>
      </c>
      <c r="AE187" s="34">
        <v>82.626225503770627</v>
      </c>
      <c r="AF187" s="28">
        <v>53.534300000000002</v>
      </c>
      <c r="AG187" s="28">
        <v>51.1691</v>
      </c>
      <c r="AH187" s="28">
        <v>53.933999999999997</v>
      </c>
      <c r="AI187" s="28">
        <v>52.555100000000003</v>
      </c>
      <c r="AJ187" s="28">
        <v>51.888500000000001</v>
      </c>
      <c r="AK187" s="28">
        <v>49.566800000000001</v>
      </c>
      <c r="AL187" s="28">
        <v>50.789900000000003</v>
      </c>
      <c r="AM187" s="28">
        <v>51.688899999999997</v>
      </c>
      <c r="AN187" s="28">
        <v>49.293599999999998</v>
      </c>
      <c r="AO187" s="28">
        <v>52.984699999999997</v>
      </c>
      <c r="AP187" s="28">
        <v>50.893000000000001</v>
      </c>
      <c r="AQ187" s="28">
        <v>55.1081</v>
      </c>
      <c r="AR187" s="28">
        <v>50.1995</v>
      </c>
      <c r="AS187" s="28">
        <v>51.633200000000002</v>
      </c>
      <c r="AT187" s="28">
        <v>1.0196000000000001</v>
      </c>
      <c r="AU187" s="28">
        <v>49.919400000000003</v>
      </c>
      <c r="AV187" s="28">
        <v>51.047800000000002</v>
      </c>
      <c r="AW187" s="28">
        <v>54.105200000000004</v>
      </c>
      <c r="AX187" s="28">
        <v>51.220500000000001</v>
      </c>
      <c r="AY187" s="28">
        <v>51.994999999999997</v>
      </c>
      <c r="AZ187" s="28">
        <v>51.143099999999997</v>
      </c>
      <c r="BA187" s="3">
        <v>28931.360000000001</v>
      </c>
      <c r="BB187">
        <f>IF(ISNUMBER(VLOOKUP($B187,CEIC_DATA!$I$26:$N$353,Haver_M!BB$2,FALSE)),VLOOKUP($B187,CEIC_DATA!$I$26:$N$353,Haver_M!BB$2,FALSE),NA())</f>
        <v>99.188446060000004</v>
      </c>
      <c r="BC187" t="e">
        <f>IF(ISNUMBER(VLOOKUP($B187,CEIC_DATA!$I$26:$N$353,Haver_M!BC$2,FALSE)),VLOOKUP($B187,CEIC_DATA!$I$26:$N$353,Haver_M!BC$2,FALSE),NA())</f>
        <v>#N/A</v>
      </c>
      <c r="BD187" t="e">
        <f>IF(ISNUMBER(VLOOKUP($B187,CEIC_DATA!$I$26:$N$353,Haver_M!BD$2,FALSE)),VLOOKUP($B187,CEIC_DATA!$I$26:$N$353,Haver_M!BD$2,FALSE),NA())</f>
        <v>#N/A</v>
      </c>
      <c r="BE187" t="e">
        <f>IF(ISNUMBER(VLOOKUP($B187,CEIC_DATA!$I$26:$N$353,Haver_M!BE$2,FALSE)),VLOOKUP($B187,CEIC_DATA!$I$26:$N$353,Haver_M!BE$2,FALSE),NA())</f>
        <v>#N/A</v>
      </c>
      <c r="BF187">
        <v>1383922</v>
      </c>
      <c r="BG187">
        <v>59426</v>
      </c>
      <c r="BH187">
        <v>1777133</v>
      </c>
      <c r="BI187">
        <v>277192</v>
      </c>
      <c r="BJ187" s="3">
        <v>11531.65</v>
      </c>
      <c r="BK187" s="3">
        <v>26058.01</v>
      </c>
      <c r="BL187" s="3">
        <v>13779.13</v>
      </c>
      <c r="BM187" s="3">
        <v>58913.03</v>
      </c>
      <c r="BN187" s="3">
        <v>22008.04</v>
      </c>
      <c r="BO187" s="3">
        <v>28725.38</v>
      </c>
      <c r="BP187" s="28">
        <v>62.037599999999998</v>
      </c>
      <c r="BQ187" s="28">
        <f t="shared" si="9"/>
        <v>185.88162662643299</v>
      </c>
      <c r="BR187" s="28">
        <f t="shared" si="10"/>
        <v>420.03575251138017</v>
      </c>
      <c r="BS187" s="28">
        <f t="shared" si="11"/>
        <v>222.10933369440468</v>
      </c>
      <c r="BT187" s="28">
        <f t="shared" si="12"/>
        <v>949.63425406527654</v>
      </c>
      <c r="BU187" s="4">
        <v>48228</v>
      </c>
    </row>
    <row r="188" spans="1:73" x14ac:dyDescent="0.25">
      <c r="A188" t="s">
        <v>187</v>
      </c>
      <c r="B188" s="2">
        <v>42094</v>
      </c>
      <c r="C188" s="3">
        <v>7.5</v>
      </c>
      <c r="D188" s="28">
        <v>7.7991000000000001</v>
      </c>
      <c r="E188" s="34">
        <v>93.714529999999996</v>
      </c>
      <c r="F188" s="5">
        <v>120.2</v>
      </c>
      <c r="G188" s="5">
        <v>118.6</v>
      </c>
      <c r="H188" s="3">
        <v>111.22</v>
      </c>
      <c r="I188" s="3">
        <v>105.2</v>
      </c>
      <c r="J188" s="3">
        <v>95.67</v>
      </c>
      <c r="K188" s="3">
        <v>114.74</v>
      </c>
      <c r="L188" s="3">
        <v>112.69</v>
      </c>
      <c r="M188" s="3">
        <v>118.72</v>
      </c>
      <c r="N188" s="3">
        <v>118.9</v>
      </c>
      <c r="O188" s="5">
        <v>108.8</v>
      </c>
      <c r="P188" s="52">
        <v>111.456</v>
      </c>
      <c r="Q188" s="52">
        <v>99.177999999999997</v>
      </c>
      <c r="R188" s="52">
        <v>69.837000000000003</v>
      </c>
      <c r="S188" s="52">
        <v>107.366</v>
      </c>
      <c r="T188" s="52">
        <v>97.771000000000001</v>
      </c>
      <c r="U188" s="52">
        <v>116.01600000000001</v>
      </c>
      <c r="V188" s="52">
        <v>111.78100000000001</v>
      </c>
      <c r="W188" s="52">
        <v>123.89700000000001</v>
      </c>
      <c r="X188" s="3">
        <v>13758.481770486105</v>
      </c>
      <c r="Y188" s="3">
        <v>21405.98</v>
      </c>
      <c r="Z188" s="3">
        <v>33905.64</v>
      </c>
      <c r="AA188" s="4">
        <v>14049</v>
      </c>
      <c r="AB188" s="4">
        <v>7866</v>
      </c>
      <c r="AC188" s="5">
        <v>108.6</v>
      </c>
      <c r="AD188" s="5">
        <v>126.7</v>
      </c>
      <c r="AE188" s="34">
        <v>60.009904336358083</v>
      </c>
      <c r="AF188" s="28">
        <v>53.166499999999999</v>
      </c>
      <c r="AG188" s="28">
        <v>52.060499999999998</v>
      </c>
      <c r="AH188" s="28">
        <v>52.977800000000002</v>
      </c>
      <c r="AI188" s="28">
        <v>53.628799999999998</v>
      </c>
      <c r="AJ188" s="28">
        <v>53.161099999999998</v>
      </c>
      <c r="AK188" s="28">
        <v>50</v>
      </c>
      <c r="AL188" s="28">
        <v>50.0901</v>
      </c>
      <c r="AM188" s="28">
        <v>52.185099999999998</v>
      </c>
      <c r="AN188" s="28">
        <v>55.1021</v>
      </c>
      <c r="AO188" s="28">
        <v>53.816000000000003</v>
      </c>
      <c r="AP188" s="28">
        <v>53.102200000000003</v>
      </c>
      <c r="AQ188" s="28">
        <v>54.083500000000001</v>
      </c>
      <c r="AR188" s="28">
        <v>51.049900000000001</v>
      </c>
      <c r="AS188" s="28">
        <v>52.151699999999998</v>
      </c>
      <c r="AT188" s="28">
        <v>1.0011000000000001</v>
      </c>
      <c r="AU188" s="28">
        <v>50.181699999999999</v>
      </c>
      <c r="AV188" s="28">
        <v>50.555599999999998</v>
      </c>
      <c r="AW188" s="28">
        <v>53.516800000000003</v>
      </c>
      <c r="AX188" s="28">
        <v>54.319899999999997</v>
      </c>
      <c r="AY188" s="28">
        <v>49.171300000000002</v>
      </c>
      <c r="AZ188" s="28">
        <v>51.462600000000002</v>
      </c>
      <c r="BA188" s="3">
        <v>28541.53</v>
      </c>
      <c r="BB188">
        <f>IF(ISNUMBER(VLOOKUP($B188,CEIC_DATA!$I$26:$N$353,Haver_M!BB$2,FALSE)),VLOOKUP($B188,CEIC_DATA!$I$26:$N$353,Haver_M!BB$2,FALSE),NA())</f>
        <v>98.047857930000006</v>
      </c>
      <c r="BC188">
        <f>IF(ISNUMBER(VLOOKUP($B188,CEIC_DATA!$I$26:$N$353,Haver_M!BC$2,FALSE)),VLOOKUP($B188,CEIC_DATA!$I$26:$N$353,Haver_M!BC$2,FALSE),NA())</f>
        <v>106.7</v>
      </c>
      <c r="BD188">
        <f>IF(ISNUMBER(VLOOKUP($B188,CEIC_DATA!$I$26:$N$353,Haver_M!BD$2,FALSE)),VLOOKUP($B188,CEIC_DATA!$I$26:$N$353,Haver_M!BD$2,FALSE),NA())</f>
        <v>115.6</v>
      </c>
      <c r="BE188">
        <f>IF(ISNUMBER(VLOOKUP($B188,CEIC_DATA!$I$26:$N$353,Haver_M!BE$2,FALSE)),VLOOKUP($B188,CEIC_DATA!$I$26:$N$353,Haver_M!BE$2,FALSE),NA())</f>
        <v>36</v>
      </c>
      <c r="BF188">
        <v>1482008</v>
      </c>
      <c r="BG188">
        <v>74888</v>
      </c>
      <c r="BH188">
        <v>1927256</v>
      </c>
      <c r="BI188">
        <v>291988</v>
      </c>
      <c r="BJ188" s="3">
        <v>11663.48</v>
      </c>
      <c r="BK188" s="3">
        <v>26576.27</v>
      </c>
      <c r="BL188" s="3">
        <v>14130.97</v>
      </c>
      <c r="BM188" s="3">
        <v>60029.52</v>
      </c>
      <c r="BN188" s="3">
        <v>24034.18</v>
      </c>
      <c r="BO188" s="3">
        <v>35428.720000000001</v>
      </c>
      <c r="BP188" s="28">
        <v>62.449800000000003</v>
      </c>
      <c r="BQ188" s="28">
        <f t="shared" si="9"/>
        <v>186.76569020237054</v>
      </c>
      <c r="BR188" s="28">
        <f t="shared" si="10"/>
        <v>425.56213150402402</v>
      </c>
      <c r="BS188" s="28">
        <f t="shared" si="11"/>
        <v>226.27726589997084</v>
      </c>
      <c r="BT188" s="28">
        <f t="shared" si="12"/>
        <v>961.24439149524892</v>
      </c>
      <c r="BU188" s="4">
        <v>44656</v>
      </c>
    </row>
    <row r="189" spans="1:73" x14ac:dyDescent="0.25">
      <c r="A189" t="s">
        <v>188</v>
      </c>
      <c r="B189" s="2">
        <v>42124</v>
      </c>
      <c r="C189" s="3">
        <v>7.5</v>
      </c>
      <c r="D189" s="28">
        <v>7.8903999999999996</v>
      </c>
      <c r="E189" s="34">
        <v>92.780879999999996</v>
      </c>
      <c r="F189" s="5">
        <v>120.7</v>
      </c>
      <c r="G189" s="5">
        <v>119.1</v>
      </c>
      <c r="H189" s="3">
        <v>111.06</v>
      </c>
      <c r="I189" s="3">
        <v>103.21</v>
      </c>
      <c r="J189" s="3">
        <v>95.81</v>
      </c>
      <c r="K189" s="3">
        <v>118.13</v>
      </c>
      <c r="L189" s="3">
        <v>119.11</v>
      </c>
      <c r="M189" s="3">
        <v>113.78</v>
      </c>
      <c r="N189" s="3">
        <v>119.23</v>
      </c>
      <c r="O189" s="5">
        <v>109.8</v>
      </c>
      <c r="P189" s="52">
        <v>118.401</v>
      </c>
      <c r="Q189" s="52">
        <v>96.921999999999997</v>
      </c>
      <c r="R189" s="52">
        <v>68.731999999999999</v>
      </c>
      <c r="S189" s="52">
        <v>101.818</v>
      </c>
      <c r="T189" s="52">
        <v>104.36</v>
      </c>
      <c r="U189" s="52">
        <v>120.59099999999999</v>
      </c>
      <c r="V189" s="52">
        <v>119.35</v>
      </c>
      <c r="W189" s="52">
        <v>123.242</v>
      </c>
      <c r="X189" s="3">
        <v>14556.750574116326</v>
      </c>
      <c r="Y189" s="3">
        <v>22784.17</v>
      </c>
      <c r="Z189" s="3">
        <v>34382.559999999998</v>
      </c>
      <c r="AA189" s="4">
        <v>13012</v>
      </c>
      <c r="AB189" s="4">
        <v>7324</v>
      </c>
      <c r="AC189" s="5" t="e">
        <v>#N/A</v>
      </c>
      <c r="AD189" s="5" t="e">
        <v>#N/A</v>
      </c>
      <c r="AE189" s="34">
        <v>62.841918596138832</v>
      </c>
      <c r="AF189" s="28">
        <v>52.508699999999997</v>
      </c>
      <c r="AG189" s="28">
        <v>51.288800000000002</v>
      </c>
      <c r="AH189" s="28">
        <v>52.359099999999998</v>
      </c>
      <c r="AI189" s="28">
        <v>52.8752</v>
      </c>
      <c r="AJ189" s="28">
        <v>51.880099999999999</v>
      </c>
      <c r="AK189" s="28">
        <v>49.667299999999997</v>
      </c>
      <c r="AL189" s="28">
        <v>50.265300000000003</v>
      </c>
      <c r="AM189" s="28">
        <v>51.122799999999998</v>
      </c>
      <c r="AN189" s="28">
        <v>51.6205</v>
      </c>
      <c r="AO189" s="28">
        <v>51.906100000000002</v>
      </c>
      <c r="AP189" s="28">
        <v>50.456400000000002</v>
      </c>
      <c r="AQ189" s="28">
        <v>54.060899999999997</v>
      </c>
      <c r="AR189" s="28">
        <v>49.692599999999999</v>
      </c>
      <c r="AS189" s="28">
        <v>50.123600000000003</v>
      </c>
      <c r="AT189" s="28">
        <v>1.0282</v>
      </c>
      <c r="AU189" s="28">
        <v>49.839700000000001</v>
      </c>
      <c r="AV189" s="28">
        <v>50.418599999999998</v>
      </c>
      <c r="AW189" s="28">
        <v>51.6252</v>
      </c>
      <c r="AX189" s="28">
        <v>51.822699999999998</v>
      </c>
      <c r="AY189" s="28">
        <v>50.508200000000002</v>
      </c>
      <c r="AZ189" s="28">
        <v>51.848999999999997</v>
      </c>
      <c r="BA189" s="3">
        <v>28112.720000000001</v>
      </c>
      <c r="BB189">
        <f>IF(ISNUMBER(VLOOKUP($B189,CEIC_DATA!$I$26:$N$353,Haver_M!BB$2,FALSE)),VLOOKUP($B189,CEIC_DATA!$I$26:$N$353,Haver_M!BB$2,FALSE),NA())</f>
        <v>97.488093480000003</v>
      </c>
      <c r="BC189" t="e">
        <f>IF(ISNUMBER(VLOOKUP($B189,CEIC_DATA!$I$26:$N$353,Haver_M!BC$2,FALSE)),VLOOKUP($B189,CEIC_DATA!$I$26:$N$353,Haver_M!BC$2,FALSE),NA())</f>
        <v>#N/A</v>
      </c>
      <c r="BD189" t="e">
        <f>IF(ISNUMBER(VLOOKUP($B189,CEIC_DATA!$I$26:$N$353,Haver_M!BD$2,FALSE)),VLOOKUP($B189,CEIC_DATA!$I$26:$N$353,Haver_M!BD$2,FALSE),NA())</f>
        <v>#N/A</v>
      </c>
      <c r="BE189" t="e">
        <f>IF(ISNUMBER(VLOOKUP($B189,CEIC_DATA!$I$26:$N$353,Haver_M!BE$2,FALSE)),VLOOKUP($B189,CEIC_DATA!$I$26:$N$353,Haver_M!BE$2,FALSE),NA())</f>
        <v>#N/A</v>
      </c>
      <c r="BF189">
        <v>1472536</v>
      </c>
      <c r="BG189">
        <v>52886</v>
      </c>
      <c r="BH189">
        <v>1873950</v>
      </c>
      <c r="BI189">
        <v>268315</v>
      </c>
      <c r="BJ189" s="3">
        <v>11775.18</v>
      </c>
      <c r="BK189" s="3">
        <v>26582.23</v>
      </c>
      <c r="BL189" s="3">
        <v>14221</v>
      </c>
      <c r="BM189" s="3">
        <v>60413.75</v>
      </c>
      <c r="BN189" s="3">
        <v>22137.21</v>
      </c>
      <c r="BO189" s="3">
        <v>33506.51</v>
      </c>
      <c r="BP189" s="28">
        <v>62.7532</v>
      </c>
      <c r="BQ189" s="28">
        <f t="shared" si="9"/>
        <v>187.64270188611897</v>
      </c>
      <c r="BR189" s="28">
        <f t="shared" si="10"/>
        <v>423.59959332751157</v>
      </c>
      <c r="BS189" s="28">
        <f t="shared" si="11"/>
        <v>226.61792546037492</v>
      </c>
      <c r="BT189" s="28">
        <f t="shared" si="12"/>
        <v>962.71982942702527</v>
      </c>
      <c r="BU189" s="4">
        <v>59369</v>
      </c>
    </row>
    <row r="190" spans="1:73" x14ac:dyDescent="0.25">
      <c r="A190" t="s">
        <v>189</v>
      </c>
      <c r="B190" s="2">
        <v>42155</v>
      </c>
      <c r="C190" s="3">
        <v>7.5</v>
      </c>
      <c r="D190" s="28">
        <v>7.6433</v>
      </c>
      <c r="E190" s="34">
        <v>91.505780000000001</v>
      </c>
      <c r="F190" s="5">
        <v>121.6</v>
      </c>
      <c r="G190" s="5">
        <v>119.7</v>
      </c>
      <c r="H190" s="3">
        <v>112.26</v>
      </c>
      <c r="I190" s="3">
        <v>110.61</v>
      </c>
      <c r="J190" s="3">
        <v>92.7</v>
      </c>
      <c r="K190" s="3">
        <v>116.87</v>
      </c>
      <c r="L190" s="3">
        <v>117.33</v>
      </c>
      <c r="M190" s="3">
        <v>113.73</v>
      </c>
      <c r="N190" s="3">
        <v>115.83</v>
      </c>
      <c r="O190" s="5">
        <v>113.6</v>
      </c>
      <c r="P190" s="52">
        <v>117.194</v>
      </c>
      <c r="Q190" s="52">
        <v>98.62</v>
      </c>
      <c r="R190" s="52">
        <v>70.370999999999995</v>
      </c>
      <c r="S190" s="52">
        <v>114.10599999999999</v>
      </c>
      <c r="T190" s="52">
        <v>103.30800000000001</v>
      </c>
      <c r="U190" s="52">
        <v>115.634</v>
      </c>
      <c r="V190" s="52">
        <v>121.70399999999999</v>
      </c>
      <c r="W190" s="52">
        <v>130.60499999999999</v>
      </c>
      <c r="X190" s="3">
        <v>14471.181697685754</v>
      </c>
      <c r="Y190" s="3">
        <v>22237.62</v>
      </c>
      <c r="Z190" s="3">
        <v>32038.05</v>
      </c>
      <c r="AA190" s="4">
        <v>11874</v>
      </c>
      <c r="AB190" s="4">
        <v>6318</v>
      </c>
      <c r="AC190" s="5" t="e">
        <v>#N/A</v>
      </c>
      <c r="AD190" s="5" t="e">
        <v>#N/A</v>
      </c>
      <c r="AE190" s="34">
        <v>76.103476471373696</v>
      </c>
      <c r="AF190" s="28">
        <v>51.204500000000003</v>
      </c>
      <c r="AG190" s="28">
        <v>52.642200000000003</v>
      </c>
      <c r="AH190" s="28">
        <v>49.577199999999998</v>
      </c>
      <c r="AI190" s="28">
        <v>55.191899999999997</v>
      </c>
      <c r="AJ190" s="28">
        <v>54.306199999999997</v>
      </c>
      <c r="AK190" s="28">
        <v>49.880800000000001</v>
      </c>
      <c r="AL190" s="28">
        <v>50.5261</v>
      </c>
      <c r="AM190" s="28">
        <v>51.550899999999999</v>
      </c>
      <c r="AN190" s="28">
        <v>54.1858</v>
      </c>
      <c r="AO190" s="28">
        <v>54.571599999999997</v>
      </c>
      <c r="AP190" s="28">
        <v>51.9876</v>
      </c>
      <c r="AQ190" s="28">
        <v>53.342799999999997</v>
      </c>
      <c r="AR190" s="28">
        <v>50.968699999999998</v>
      </c>
      <c r="AS190" s="28">
        <v>49.7087</v>
      </c>
      <c r="AT190" s="28">
        <v>1.0446</v>
      </c>
      <c r="AU190" s="28">
        <v>50.2699</v>
      </c>
      <c r="AV190" s="28">
        <v>52.594999999999999</v>
      </c>
      <c r="AW190" s="28">
        <v>49.671999999999997</v>
      </c>
      <c r="AX190" s="28">
        <v>53.071199999999997</v>
      </c>
      <c r="AY190" s="28">
        <v>50.817900000000002</v>
      </c>
      <c r="AZ190" s="28">
        <v>50.932200000000002</v>
      </c>
      <c r="BA190" s="3">
        <v>27426.53</v>
      </c>
      <c r="BB190">
        <f>IF(ISNUMBER(VLOOKUP($B190,CEIC_DATA!$I$26:$N$353,Haver_M!BB$2,FALSE)),VLOOKUP($B190,CEIC_DATA!$I$26:$N$353,Haver_M!BB$2,FALSE),NA())</f>
        <v>97.52781392</v>
      </c>
      <c r="BC190" t="e">
        <f>IF(ISNUMBER(VLOOKUP($B190,CEIC_DATA!$I$26:$N$353,Haver_M!BC$2,FALSE)),VLOOKUP($B190,CEIC_DATA!$I$26:$N$353,Haver_M!BC$2,FALSE),NA())</f>
        <v>#N/A</v>
      </c>
      <c r="BD190" t="e">
        <f>IF(ISNUMBER(VLOOKUP($B190,CEIC_DATA!$I$26:$N$353,Haver_M!BD$2,FALSE)),VLOOKUP($B190,CEIC_DATA!$I$26:$N$353,Haver_M!BD$2,FALSE),NA())</f>
        <v>#N/A</v>
      </c>
      <c r="BE190" t="e">
        <f>IF(ISNUMBER(VLOOKUP($B190,CEIC_DATA!$I$26:$N$353,Haver_M!BE$2,FALSE)),VLOOKUP($B190,CEIC_DATA!$I$26:$N$353,Haver_M!BE$2,FALSE),NA())</f>
        <v>#N/A</v>
      </c>
      <c r="BF190">
        <v>1593521</v>
      </c>
      <c r="BG190">
        <v>57544</v>
      </c>
      <c r="BH190">
        <v>1995567</v>
      </c>
      <c r="BI190">
        <v>269260</v>
      </c>
      <c r="BJ190" s="3">
        <v>11948.54</v>
      </c>
      <c r="BK190" s="3">
        <v>26388.98</v>
      </c>
      <c r="BL190" s="3">
        <v>14371.96</v>
      </c>
      <c r="BM190" s="3">
        <v>60488.59</v>
      </c>
      <c r="BN190" s="3">
        <v>22529.08</v>
      </c>
      <c r="BO190" s="3">
        <v>32837.760000000002</v>
      </c>
      <c r="BP190" s="28">
        <v>63.8003</v>
      </c>
      <c r="BQ190" s="28">
        <f t="shared" si="9"/>
        <v>187.28031059415082</v>
      </c>
      <c r="BR190" s="28">
        <f t="shared" si="10"/>
        <v>413.61843126129503</v>
      </c>
      <c r="BS190" s="28">
        <f t="shared" si="11"/>
        <v>225.26477148226576</v>
      </c>
      <c r="BT190" s="28">
        <f t="shared" si="12"/>
        <v>948.09256382806973</v>
      </c>
      <c r="BU190" s="4">
        <v>66250</v>
      </c>
    </row>
    <row r="191" spans="1:73" x14ac:dyDescent="0.25">
      <c r="A191" t="s">
        <v>190</v>
      </c>
      <c r="B191" s="2">
        <v>42185</v>
      </c>
      <c r="C191" s="3">
        <v>7.25</v>
      </c>
      <c r="D191" s="28">
        <v>7.8696999999999999</v>
      </c>
      <c r="E191" s="34">
        <v>92.539789999999996</v>
      </c>
      <c r="F191" s="5">
        <v>123</v>
      </c>
      <c r="G191" s="5">
        <v>120.2</v>
      </c>
      <c r="H191" s="3">
        <v>111.64</v>
      </c>
      <c r="I191" s="3">
        <v>108.76</v>
      </c>
      <c r="J191" s="3">
        <v>92.53</v>
      </c>
      <c r="K191" s="3">
        <v>116.38</v>
      </c>
      <c r="L191" s="3">
        <v>118.67</v>
      </c>
      <c r="M191" s="3">
        <v>118.91</v>
      </c>
      <c r="N191" s="3">
        <v>113.43</v>
      </c>
      <c r="O191" s="5">
        <v>113.2</v>
      </c>
      <c r="P191" s="52">
        <v>114.473</v>
      </c>
      <c r="Q191" s="52">
        <v>97.834000000000003</v>
      </c>
      <c r="R191" s="52">
        <v>67.852999999999994</v>
      </c>
      <c r="S191" s="52">
        <v>113.27200000000001</v>
      </c>
      <c r="T191" s="52">
        <v>104.32299999999999</v>
      </c>
      <c r="U191" s="52">
        <v>119.928</v>
      </c>
      <c r="V191" s="52">
        <v>119.887</v>
      </c>
      <c r="W191" s="52">
        <v>129.43799999999999</v>
      </c>
      <c r="X191" s="3">
        <v>14657.708874760645</v>
      </c>
      <c r="Y191" s="3">
        <v>22487.42</v>
      </c>
      <c r="Z191" s="3">
        <v>33734.46</v>
      </c>
      <c r="AA191" s="4">
        <v>12765</v>
      </c>
      <c r="AB191" s="4">
        <v>7522</v>
      </c>
      <c r="AC191" s="5">
        <v>107.7</v>
      </c>
      <c r="AD191" s="5">
        <v>124.2</v>
      </c>
      <c r="AE191" s="34">
        <v>84.475346278212001</v>
      </c>
      <c r="AF191" s="28">
        <v>49.212800000000001</v>
      </c>
      <c r="AG191" s="28">
        <v>51.338500000000003</v>
      </c>
      <c r="AH191" s="28">
        <v>47.6785</v>
      </c>
      <c r="AI191" s="28">
        <v>52.972000000000001</v>
      </c>
      <c r="AJ191" s="28">
        <v>51.7742</v>
      </c>
      <c r="AK191" s="28">
        <v>49.914299999999997</v>
      </c>
      <c r="AL191" s="28">
        <v>50.041800000000002</v>
      </c>
      <c r="AM191" s="28">
        <v>50.866999999999997</v>
      </c>
      <c r="AN191" s="28">
        <v>50.4938</v>
      </c>
      <c r="AO191" s="28">
        <v>52.450099999999999</v>
      </c>
      <c r="AP191" s="28">
        <v>51.680799999999998</v>
      </c>
      <c r="AQ191" s="28">
        <v>51.823</v>
      </c>
      <c r="AR191" s="28">
        <v>50.759399999999999</v>
      </c>
      <c r="AS191" s="28">
        <v>50.319600000000001</v>
      </c>
      <c r="AT191" s="28">
        <v>1.0018</v>
      </c>
      <c r="AU191" s="28">
        <v>50.433199999999999</v>
      </c>
      <c r="AV191" s="28">
        <v>51.498199999999997</v>
      </c>
      <c r="AW191" s="28">
        <v>47.268300000000004</v>
      </c>
      <c r="AX191" s="28">
        <v>51.5276</v>
      </c>
      <c r="AY191" s="28">
        <v>50.1038</v>
      </c>
      <c r="AZ191" s="28">
        <v>50.4116</v>
      </c>
      <c r="BA191" s="3">
        <v>27137.88</v>
      </c>
      <c r="BB191">
        <f>IF(ISNUMBER(VLOOKUP($B191,CEIC_DATA!$I$26:$N$353,Haver_M!BB$2,FALSE)),VLOOKUP($B191,CEIC_DATA!$I$26:$N$353,Haver_M!BB$2,FALSE),NA())</f>
        <v>97.917785330000001</v>
      </c>
      <c r="BC191">
        <f>IF(ISNUMBER(VLOOKUP($B191,CEIC_DATA!$I$26:$N$353,Haver_M!BC$2,FALSE)),VLOOKUP($B191,CEIC_DATA!$I$26:$N$353,Haver_M!BC$2,FALSE),NA())</f>
        <v>104.8</v>
      </c>
      <c r="BD191">
        <f>IF(ISNUMBER(VLOOKUP($B191,CEIC_DATA!$I$26:$N$353,Haver_M!BD$2,FALSE)),VLOOKUP($B191,CEIC_DATA!$I$26:$N$353,Haver_M!BD$2,FALSE),NA())</f>
        <v>115.2</v>
      </c>
      <c r="BE191">
        <f>IF(ISNUMBER(VLOOKUP($B191,CEIC_DATA!$I$26:$N$353,Haver_M!BE$2,FALSE)),VLOOKUP($B191,CEIC_DATA!$I$26:$N$353,Haver_M!BE$2,FALSE),NA())</f>
        <v>36</v>
      </c>
      <c r="BF191">
        <v>1539304</v>
      </c>
      <c r="BG191">
        <v>61724</v>
      </c>
      <c r="BH191">
        <v>1938646</v>
      </c>
      <c r="BI191">
        <v>257613</v>
      </c>
      <c r="BJ191" s="3">
        <v>12134.74</v>
      </c>
      <c r="BK191" s="3">
        <v>26301.47</v>
      </c>
      <c r="BL191" s="3">
        <v>14331.31</v>
      </c>
      <c r="BM191" s="3">
        <v>60713.97</v>
      </c>
      <c r="BN191" s="3">
        <v>22323.72</v>
      </c>
      <c r="BO191" s="3">
        <v>33536.230000000003</v>
      </c>
      <c r="BP191" s="28">
        <v>63.860700000000001</v>
      </c>
      <c r="BQ191" s="28">
        <f t="shared" si="9"/>
        <v>190.01890051314814</v>
      </c>
      <c r="BR191" s="28">
        <f t="shared" si="10"/>
        <v>411.8569010361615</v>
      </c>
      <c r="BS191" s="28">
        <f t="shared" si="11"/>
        <v>224.41517239867397</v>
      </c>
      <c r="BT191" s="28">
        <f t="shared" si="12"/>
        <v>950.72509383705471</v>
      </c>
      <c r="BU191" s="4">
        <v>63339</v>
      </c>
    </row>
    <row r="192" spans="1:73" x14ac:dyDescent="0.25">
      <c r="A192" t="s">
        <v>191</v>
      </c>
      <c r="B192" s="2">
        <v>42216</v>
      </c>
      <c r="C192" s="3">
        <v>7.25</v>
      </c>
      <c r="D192" s="28">
        <v>7.8049999999999997</v>
      </c>
      <c r="E192" s="34">
        <v>93.486260000000001</v>
      </c>
      <c r="F192" s="5">
        <v>123.6</v>
      </c>
      <c r="G192" s="5">
        <v>120.7</v>
      </c>
      <c r="H192" s="3">
        <v>113.77</v>
      </c>
      <c r="I192" s="3">
        <v>111.4</v>
      </c>
      <c r="J192" s="3">
        <v>93.16</v>
      </c>
      <c r="K192" s="3">
        <v>119.13</v>
      </c>
      <c r="L192" s="3">
        <v>121.43</v>
      </c>
      <c r="M192" s="3">
        <v>121.3</v>
      </c>
      <c r="N192" s="3">
        <v>114.01</v>
      </c>
      <c r="O192" s="5">
        <v>115</v>
      </c>
      <c r="P192" s="52">
        <v>115.84099999999999</v>
      </c>
      <c r="Q192" s="52">
        <v>97.281999999999996</v>
      </c>
      <c r="R192" s="52">
        <v>64.77</v>
      </c>
      <c r="S192" s="52">
        <v>113.29300000000001</v>
      </c>
      <c r="T192" s="52">
        <v>108.893</v>
      </c>
      <c r="U192" s="52">
        <v>120.41800000000001</v>
      </c>
      <c r="V192" s="52">
        <v>123.21599999999999</v>
      </c>
      <c r="W192" s="52">
        <v>134.53200000000001</v>
      </c>
      <c r="X192" s="3">
        <v>14872.402348760896</v>
      </c>
      <c r="Y192" s="3">
        <v>24295.02</v>
      </c>
      <c r="Z192" s="3">
        <v>35529.19</v>
      </c>
      <c r="AA192" s="4">
        <v>13386</v>
      </c>
      <c r="AB192" s="4">
        <v>7502</v>
      </c>
      <c r="AC192" s="5" t="e">
        <v>#N/A</v>
      </c>
      <c r="AD192" s="5" t="e">
        <v>#N/A</v>
      </c>
      <c r="AE192" s="34">
        <v>53.244360984560061</v>
      </c>
      <c r="AF192" s="28">
        <v>51.9846</v>
      </c>
      <c r="AG192" s="28">
        <v>52.6952</v>
      </c>
      <c r="AH192" s="28">
        <v>50.790500000000002</v>
      </c>
      <c r="AI192" s="28">
        <v>54.910600000000002</v>
      </c>
      <c r="AJ192" s="28">
        <v>54.000599999999999</v>
      </c>
      <c r="AK192" s="28">
        <v>49.5854</v>
      </c>
      <c r="AL192" s="28">
        <v>50.1233</v>
      </c>
      <c r="AM192" s="28">
        <v>53.688499999999998</v>
      </c>
      <c r="AN192" s="28">
        <v>51.213500000000003</v>
      </c>
      <c r="AO192" s="28">
        <v>54.473100000000002</v>
      </c>
      <c r="AP192" s="28">
        <v>47.1038</v>
      </c>
      <c r="AQ192" s="28">
        <v>54.471499999999999</v>
      </c>
      <c r="AR192" s="28">
        <v>49.989100000000001</v>
      </c>
      <c r="AS192" s="28">
        <v>51.275399999999998</v>
      </c>
      <c r="AT192" s="28">
        <v>1.1464000000000001</v>
      </c>
      <c r="AU192" s="28">
        <v>51.382199999999997</v>
      </c>
      <c r="AV192" s="28">
        <v>50.738599999999998</v>
      </c>
      <c r="AW192" s="28">
        <v>50.4679</v>
      </c>
      <c r="AX192" s="28">
        <v>51.952100000000002</v>
      </c>
      <c r="AY192" s="28">
        <v>51.433</v>
      </c>
      <c r="AZ192" s="28">
        <v>49.7669</v>
      </c>
      <c r="BA192" s="3">
        <v>28015.599999999999</v>
      </c>
      <c r="BB192">
        <f>IF(ISNUMBER(VLOOKUP($B192,CEIC_DATA!$I$26:$N$353,Haver_M!BB$2,FALSE)),VLOOKUP($B192,CEIC_DATA!$I$26:$N$353,Haver_M!BB$2,FALSE),NA())</f>
        <v>98.523870869999996</v>
      </c>
      <c r="BC192" t="e">
        <f>IF(ISNUMBER(VLOOKUP($B192,CEIC_DATA!$I$26:$N$353,Haver_M!BC$2,FALSE)),VLOOKUP($B192,CEIC_DATA!$I$26:$N$353,Haver_M!BC$2,FALSE),NA())</f>
        <v>#N/A</v>
      </c>
      <c r="BD192" t="e">
        <f>IF(ISNUMBER(VLOOKUP($B192,CEIC_DATA!$I$26:$N$353,Haver_M!BD$2,FALSE)),VLOOKUP($B192,CEIC_DATA!$I$26:$N$353,Haver_M!BD$2,FALSE),NA())</f>
        <v>#N/A</v>
      </c>
      <c r="BE192" t="e">
        <f>IF(ISNUMBER(VLOOKUP($B192,CEIC_DATA!$I$26:$N$353,Haver_M!BE$2,FALSE)),VLOOKUP($B192,CEIC_DATA!$I$26:$N$353,Haver_M!BE$2,FALSE),NA())</f>
        <v>#N/A</v>
      </c>
      <c r="BF192">
        <v>1538015</v>
      </c>
      <c r="BG192">
        <v>60809</v>
      </c>
      <c r="BH192">
        <v>1964572</v>
      </c>
      <c r="BI192">
        <v>282314</v>
      </c>
      <c r="BJ192" s="3">
        <v>12184.2</v>
      </c>
      <c r="BK192" s="3">
        <v>26219.73</v>
      </c>
      <c r="BL192" s="3">
        <v>14039.4</v>
      </c>
      <c r="BM192" s="3">
        <v>60486.58</v>
      </c>
      <c r="BN192" s="3">
        <v>23281.21</v>
      </c>
      <c r="BO192" s="3">
        <v>36372.07</v>
      </c>
      <c r="BP192" s="28">
        <v>63.634999999999998</v>
      </c>
      <c r="BQ192" s="28">
        <f t="shared" si="9"/>
        <v>191.4701029307771</v>
      </c>
      <c r="BR192" s="28">
        <f t="shared" si="10"/>
        <v>412.03315785338259</v>
      </c>
      <c r="BS192" s="28">
        <f t="shared" si="11"/>
        <v>220.62387051151097</v>
      </c>
      <c r="BT192" s="28">
        <f t="shared" si="12"/>
        <v>950.52376836646511</v>
      </c>
      <c r="BU192" s="4">
        <v>57241</v>
      </c>
    </row>
    <row r="193" spans="1:73" x14ac:dyDescent="0.25">
      <c r="A193" t="s">
        <v>192</v>
      </c>
      <c r="B193" s="2">
        <v>42247</v>
      </c>
      <c r="C193" s="3">
        <v>7.25</v>
      </c>
      <c r="D193" s="28">
        <v>8.0541</v>
      </c>
      <c r="E193" s="34">
        <v>92.548100000000005</v>
      </c>
      <c r="F193" s="5">
        <v>124.8</v>
      </c>
      <c r="G193" s="5">
        <v>121.4</v>
      </c>
      <c r="H193" s="3">
        <v>114.99</v>
      </c>
      <c r="I193" s="3">
        <v>114.04</v>
      </c>
      <c r="J193" s="3">
        <v>99.81</v>
      </c>
      <c r="K193" s="3">
        <v>117.6</v>
      </c>
      <c r="L193" s="3">
        <v>119.83</v>
      </c>
      <c r="M193" s="3">
        <v>116.46</v>
      </c>
      <c r="N193" s="3">
        <v>114.64</v>
      </c>
      <c r="O193" s="5">
        <v>116.5</v>
      </c>
      <c r="P193" s="52">
        <v>118.008</v>
      </c>
      <c r="Q193" s="52">
        <v>98.912000000000006</v>
      </c>
      <c r="R193" s="52">
        <v>69.897000000000006</v>
      </c>
      <c r="S193" s="52">
        <v>115.459</v>
      </c>
      <c r="T193" s="52">
        <v>105.47499999999999</v>
      </c>
      <c r="U193" s="52">
        <v>119.04600000000001</v>
      </c>
      <c r="V193" s="52">
        <v>122.97199999999999</v>
      </c>
      <c r="W193" s="52">
        <v>135.767</v>
      </c>
      <c r="X193" s="3">
        <v>14954.670184942745</v>
      </c>
      <c r="Y193" s="3">
        <v>22006.6</v>
      </c>
      <c r="Z193" s="3">
        <v>34312.559999999998</v>
      </c>
      <c r="AA193" s="4">
        <v>13580</v>
      </c>
      <c r="AB193" s="4">
        <v>7773</v>
      </c>
      <c r="AC193" s="5" t="e">
        <v>#N/A</v>
      </c>
      <c r="AD193" s="5" t="e">
        <v>#N/A</v>
      </c>
      <c r="AE193" s="34">
        <v>67.664950506439084</v>
      </c>
      <c r="AF193" s="28">
        <v>52.591000000000001</v>
      </c>
      <c r="AG193" s="28">
        <v>52.348999999999997</v>
      </c>
      <c r="AH193" s="28">
        <v>51.800199999999997</v>
      </c>
      <c r="AI193" s="28">
        <v>54.528500000000001</v>
      </c>
      <c r="AJ193" s="28">
        <v>53.621600000000001</v>
      </c>
      <c r="AK193" s="28">
        <v>50.01</v>
      </c>
      <c r="AL193" s="28">
        <v>50.2226</v>
      </c>
      <c r="AM193" s="28">
        <v>51.617699999999999</v>
      </c>
      <c r="AN193" s="28">
        <v>48.7669</v>
      </c>
      <c r="AO193" s="28">
        <v>55.1008</v>
      </c>
      <c r="AP193" s="28">
        <v>44.794899999999998</v>
      </c>
      <c r="AQ193" s="28">
        <v>53.391800000000003</v>
      </c>
      <c r="AR193" s="28">
        <v>48.618899999999996</v>
      </c>
      <c r="AS193" s="28">
        <v>48.3095</v>
      </c>
      <c r="AT193" s="28">
        <v>1.1970000000000001</v>
      </c>
      <c r="AU193" s="28">
        <v>50.0411</v>
      </c>
      <c r="AV193" s="28">
        <v>50.970799999999997</v>
      </c>
      <c r="AW193" s="28">
        <v>52.437199999999997</v>
      </c>
      <c r="AX193" s="28">
        <v>50.464199999999998</v>
      </c>
      <c r="AY193" s="28">
        <v>51.885599999999997</v>
      </c>
      <c r="AZ193" s="28">
        <v>49.578099999999999</v>
      </c>
      <c r="BA193" s="3">
        <v>27386.86</v>
      </c>
      <c r="BB193">
        <f>IF(ISNUMBER(VLOOKUP($B193,CEIC_DATA!$I$26:$N$353,Haver_M!BB$2,FALSE)),VLOOKUP($B193,CEIC_DATA!$I$26:$N$353,Haver_M!BB$2,FALSE),NA())</f>
        <v>99.102099319999994</v>
      </c>
      <c r="BC193" t="e">
        <f>IF(ISNUMBER(VLOOKUP($B193,CEIC_DATA!$I$26:$N$353,Haver_M!BC$2,FALSE)),VLOOKUP($B193,CEIC_DATA!$I$26:$N$353,Haver_M!BC$2,FALSE),NA())</f>
        <v>#N/A</v>
      </c>
      <c r="BD193" t="e">
        <f>IF(ISNUMBER(VLOOKUP($B193,CEIC_DATA!$I$26:$N$353,Haver_M!BD$2,FALSE)),VLOOKUP($B193,CEIC_DATA!$I$26:$N$353,Haver_M!BD$2,FALSE),NA())</f>
        <v>#N/A</v>
      </c>
      <c r="BE193" t="e">
        <f>IF(ISNUMBER(VLOOKUP($B193,CEIC_DATA!$I$26:$N$353,Haver_M!BE$2,FALSE)),VLOOKUP($B193,CEIC_DATA!$I$26:$N$353,Haver_M!BE$2,FALSE),NA())</f>
        <v>#N/A</v>
      </c>
      <c r="BF193">
        <v>1556530</v>
      </c>
      <c r="BG193">
        <v>61660</v>
      </c>
      <c r="BH193">
        <v>1987059</v>
      </c>
      <c r="BI193">
        <v>281188</v>
      </c>
      <c r="BJ193" s="3">
        <v>12328.75</v>
      </c>
      <c r="BK193" s="3">
        <v>26237.5</v>
      </c>
      <c r="BL193" s="3">
        <v>13905.83</v>
      </c>
      <c r="BM193" s="3">
        <v>60549.88</v>
      </c>
      <c r="BN193" s="3">
        <v>21582.68</v>
      </c>
      <c r="BO193" s="3">
        <v>33981.730000000003</v>
      </c>
      <c r="BP193" s="28">
        <v>65.072299999999998</v>
      </c>
      <c r="BQ193" s="28">
        <f t="shared" si="9"/>
        <v>189.46233650877562</v>
      </c>
      <c r="BR193" s="28">
        <f t="shared" si="10"/>
        <v>403.20535773286025</v>
      </c>
      <c r="BS193" s="28">
        <f t="shared" si="11"/>
        <v>213.69814805992721</v>
      </c>
      <c r="BT193" s="28">
        <f t="shared" si="12"/>
        <v>930.50161128467869</v>
      </c>
      <c r="BU193" s="4">
        <v>52132</v>
      </c>
    </row>
    <row r="194" spans="1:73" x14ac:dyDescent="0.25">
      <c r="A194" t="s">
        <v>193</v>
      </c>
      <c r="B194" s="2">
        <v>42277</v>
      </c>
      <c r="C194" s="3">
        <v>6.75</v>
      </c>
      <c r="D194" s="28">
        <v>7.53</v>
      </c>
      <c r="E194" s="34">
        <v>91.572540000000004</v>
      </c>
      <c r="F194" s="5">
        <v>125.4</v>
      </c>
      <c r="G194" s="5">
        <v>122</v>
      </c>
      <c r="H194" s="3">
        <v>114.11</v>
      </c>
      <c r="I194" s="3">
        <v>113.18</v>
      </c>
      <c r="J194" s="3">
        <v>102.41</v>
      </c>
      <c r="K194" s="3">
        <v>118.86</v>
      </c>
      <c r="L194" s="3">
        <v>118.42</v>
      </c>
      <c r="M194" s="3">
        <v>115.43</v>
      </c>
      <c r="N194" s="3">
        <v>114.55</v>
      </c>
      <c r="O194" s="5">
        <v>115.1</v>
      </c>
      <c r="P194" s="52">
        <v>120.40300000000001</v>
      </c>
      <c r="Q194" s="52">
        <v>98.126999999999995</v>
      </c>
      <c r="R194" s="52">
        <v>69.938000000000002</v>
      </c>
      <c r="S194" s="52">
        <v>111.56100000000001</v>
      </c>
      <c r="T194" s="52">
        <v>107.374</v>
      </c>
      <c r="U194" s="52">
        <v>119.854</v>
      </c>
      <c r="V194" s="52">
        <v>119.631</v>
      </c>
      <c r="W194" s="52">
        <v>136.91300000000001</v>
      </c>
      <c r="X194" s="3">
        <v>16240.850960399452</v>
      </c>
      <c r="Y194" s="3">
        <v>21157.99</v>
      </c>
      <c r="Z194" s="3">
        <v>31925.759999999998</v>
      </c>
      <c r="AA194" s="4">
        <v>13321</v>
      </c>
      <c r="AB194" s="4">
        <v>7457</v>
      </c>
      <c r="AC194" s="5">
        <v>102.9</v>
      </c>
      <c r="AD194" s="5">
        <v>119.2</v>
      </c>
      <c r="AE194" s="34">
        <v>73.58598570414793</v>
      </c>
      <c r="AF194" s="28">
        <v>51.500100000000003</v>
      </c>
      <c r="AG194" s="28">
        <v>51.235799999999998</v>
      </c>
      <c r="AH194" s="28">
        <v>51.281700000000001</v>
      </c>
      <c r="AI194" s="28">
        <v>52.035200000000003</v>
      </c>
      <c r="AJ194" s="28">
        <v>52.490400000000001</v>
      </c>
      <c r="AK194" s="28">
        <v>49.794699999999999</v>
      </c>
      <c r="AL194" s="28">
        <v>50.111499999999999</v>
      </c>
      <c r="AM194" s="28">
        <v>50.3767</v>
      </c>
      <c r="AN194" s="28">
        <v>47.895099999999999</v>
      </c>
      <c r="AO194" s="28">
        <v>51.039000000000001</v>
      </c>
      <c r="AP194" s="28">
        <v>47.490200000000002</v>
      </c>
      <c r="AQ194" s="28">
        <v>50.418599999999998</v>
      </c>
      <c r="AR194" s="28">
        <v>48.835500000000003</v>
      </c>
      <c r="AS194" s="28">
        <v>48.394300000000001</v>
      </c>
      <c r="AT194" s="28">
        <v>1.1052999999999999</v>
      </c>
      <c r="AU194" s="28">
        <v>49.906100000000002</v>
      </c>
      <c r="AV194" s="28">
        <v>49.546399999999998</v>
      </c>
      <c r="AW194" s="28">
        <v>51.510599999999997</v>
      </c>
      <c r="AX194" s="28">
        <v>49.572299999999998</v>
      </c>
      <c r="AY194" s="28">
        <v>51.476300000000002</v>
      </c>
      <c r="AZ194" s="28">
        <v>49.121600000000001</v>
      </c>
      <c r="BA194" s="3">
        <v>25705.37</v>
      </c>
      <c r="BB194">
        <f>IF(ISNUMBER(VLOOKUP($B194,CEIC_DATA!$I$26:$N$353,Haver_M!BB$2,FALSE)),VLOOKUP($B194,CEIC_DATA!$I$26:$N$353,Haver_M!BB$2,FALSE),NA())</f>
        <v>99.480964569999998</v>
      </c>
      <c r="BC194">
        <f>IF(ISNUMBER(VLOOKUP($B194,CEIC_DATA!$I$26:$N$353,Haver_M!BC$2,FALSE)),VLOOKUP($B194,CEIC_DATA!$I$26:$N$353,Haver_M!BC$2,FALSE),NA())</f>
        <v>102.4</v>
      </c>
      <c r="BD194">
        <f>IF(ISNUMBER(VLOOKUP($B194,CEIC_DATA!$I$26:$N$353,Haver_M!BD$2,FALSE)),VLOOKUP($B194,CEIC_DATA!$I$26:$N$353,Haver_M!BD$2,FALSE),NA())</f>
        <v>113.1</v>
      </c>
      <c r="BE194">
        <f>IF(ISNUMBER(VLOOKUP($B194,CEIC_DATA!$I$26:$N$353,Haver_M!BE$2,FALSE)),VLOOKUP($B194,CEIC_DATA!$I$26:$N$353,Haver_M!BE$2,FALSE),NA())</f>
        <v>32</v>
      </c>
      <c r="BF194">
        <v>1770066</v>
      </c>
      <c r="BG194">
        <v>70721</v>
      </c>
      <c r="BH194">
        <v>2224413</v>
      </c>
      <c r="BI194">
        <v>289372</v>
      </c>
      <c r="BJ194" s="3">
        <v>12546.71</v>
      </c>
      <c r="BK194" s="3">
        <v>26293.03</v>
      </c>
      <c r="BL194" s="3">
        <v>14013.72</v>
      </c>
      <c r="BM194" s="3">
        <v>60986.57</v>
      </c>
      <c r="BN194" s="3">
        <v>21870.31</v>
      </c>
      <c r="BO194" s="3">
        <v>32036.45</v>
      </c>
      <c r="BP194" s="28">
        <v>66.217799999999997</v>
      </c>
      <c r="BQ194" s="28">
        <f t="shared" si="9"/>
        <v>189.47639456460348</v>
      </c>
      <c r="BR194" s="28">
        <f t="shared" si="10"/>
        <v>397.06891500472682</v>
      </c>
      <c r="BS194" s="28">
        <f t="shared" si="11"/>
        <v>211.6307095675181</v>
      </c>
      <c r="BT194" s="28">
        <f t="shared" si="12"/>
        <v>920.99964058002536</v>
      </c>
      <c r="BU194" s="4">
        <v>47463</v>
      </c>
    </row>
    <row r="195" spans="1:73" x14ac:dyDescent="0.25">
      <c r="A195" t="s">
        <v>194</v>
      </c>
      <c r="B195" s="2">
        <v>42308</v>
      </c>
      <c r="C195" s="3">
        <v>6.75</v>
      </c>
      <c r="D195" s="28">
        <v>7.9202000000000004</v>
      </c>
      <c r="E195" s="34">
        <v>93.325000000000003</v>
      </c>
      <c r="F195" s="5">
        <v>126.1</v>
      </c>
      <c r="G195" s="5">
        <v>122.6</v>
      </c>
      <c r="H195" s="3">
        <v>115.18</v>
      </c>
      <c r="I195" s="3">
        <v>112.62</v>
      </c>
      <c r="J195" s="3">
        <v>101.86</v>
      </c>
      <c r="K195" s="3">
        <v>117.86</v>
      </c>
      <c r="L195" s="3">
        <v>118.35</v>
      </c>
      <c r="M195" s="3">
        <v>118.07</v>
      </c>
      <c r="N195" s="3">
        <v>118.9</v>
      </c>
      <c r="O195" s="5">
        <v>113.3</v>
      </c>
      <c r="P195" s="52">
        <v>120.476</v>
      </c>
      <c r="Q195" s="52">
        <v>97.706999999999994</v>
      </c>
      <c r="R195" s="52">
        <v>68.757999999999996</v>
      </c>
      <c r="S195" s="52">
        <v>106.893</v>
      </c>
      <c r="T195" s="52">
        <v>103.446</v>
      </c>
      <c r="U195" s="52">
        <v>117.422</v>
      </c>
      <c r="V195" s="52">
        <v>120.672</v>
      </c>
      <c r="W195" s="52">
        <v>136.40799999999999</v>
      </c>
      <c r="X195" s="3">
        <v>15432.827311073774</v>
      </c>
      <c r="Y195" s="3">
        <v>21474.45</v>
      </c>
      <c r="Z195" s="3">
        <v>30130.69</v>
      </c>
      <c r="AA195" s="4">
        <v>13344</v>
      </c>
      <c r="AB195" s="4">
        <v>7013</v>
      </c>
      <c r="AC195" s="5" t="e">
        <v>#N/A</v>
      </c>
      <c r="AD195" s="5" t="e">
        <v>#N/A</v>
      </c>
      <c r="AE195" s="34">
        <v>54.531250985779394</v>
      </c>
      <c r="AF195" s="28">
        <v>52.624499999999998</v>
      </c>
      <c r="AG195" s="28">
        <v>50.683300000000003</v>
      </c>
      <c r="AH195" s="28">
        <v>53.203000000000003</v>
      </c>
      <c r="AI195" s="28">
        <v>51.207099999999997</v>
      </c>
      <c r="AJ195" s="28">
        <v>51.1526</v>
      </c>
      <c r="AK195" s="28">
        <v>50.303600000000003</v>
      </c>
      <c r="AL195" s="28">
        <v>50.229199999999999</v>
      </c>
      <c r="AM195" s="28">
        <v>50.094099999999997</v>
      </c>
      <c r="AN195" s="28">
        <v>52.302599999999998</v>
      </c>
      <c r="AO195" s="28">
        <v>50.8611</v>
      </c>
      <c r="AP195" s="28">
        <v>47.160499999999999</v>
      </c>
      <c r="AQ195" s="28">
        <v>50.598100000000002</v>
      </c>
      <c r="AR195" s="28">
        <v>50.479300000000002</v>
      </c>
      <c r="AS195" s="28">
        <v>49.164200000000001</v>
      </c>
      <c r="AT195" s="28">
        <v>1.0846</v>
      </c>
      <c r="AU195" s="28">
        <v>50.009900000000002</v>
      </c>
      <c r="AV195" s="28">
        <v>49.553199999999997</v>
      </c>
      <c r="AW195" s="28">
        <v>54.032200000000003</v>
      </c>
      <c r="AX195" s="28">
        <v>50.904699999999998</v>
      </c>
      <c r="AY195" s="28">
        <v>50.402999999999999</v>
      </c>
      <c r="AZ195" s="28">
        <v>50.103000000000002</v>
      </c>
      <c r="BA195" s="3">
        <v>27011.8</v>
      </c>
      <c r="BB195">
        <f>IF(ISNUMBER(VLOOKUP($B195,CEIC_DATA!$I$26:$N$353,Haver_M!BB$2,FALSE)),VLOOKUP($B195,CEIC_DATA!$I$26:$N$353,Haver_M!BB$2,FALSE),NA())</f>
        <v>99.660225490000002</v>
      </c>
      <c r="BC195" t="e">
        <f>IF(ISNUMBER(VLOOKUP($B195,CEIC_DATA!$I$26:$N$353,Haver_M!BC$2,FALSE)),VLOOKUP($B195,CEIC_DATA!$I$26:$N$353,Haver_M!BC$2,FALSE),NA())</f>
        <v>#N/A</v>
      </c>
      <c r="BD195" t="e">
        <f>IF(ISNUMBER(VLOOKUP($B195,CEIC_DATA!$I$26:$N$353,Haver_M!BD$2,FALSE)),VLOOKUP($B195,CEIC_DATA!$I$26:$N$353,Haver_M!BD$2,FALSE),NA())</f>
        <v>#N/A</v>
      </c>
      <c r="BE195" t="e">
        <f>IF(ISNUMBER(VLOOKUP($B195,CEIC_DATA!$I$26:$N$353,Haver_M!BE$2,FALSE)),VLOOKUP($B195,CEIC_DATA!$I$26:$N$353,Haver_M!BE$2,FALSE),NA())</f>
        <v>#N/A</v>
      </c>
      <c r="BF195">
        <v>1846002</v>
      </c>
      <c r="BG195">
        <v>66764</v>
      </c>
      <c r="BH195">
        <v>2325248</v>
      </c>
      <c r="BI195">
        <v>327883</v>
      </c>
      <c r="BJ195" s="3">
        <v>12856.5</v>
      </c>
      <c r="BK195" s="3">
        <v>26506.2</v>
      </c>
      <c r="BL195" s="3">
        <v>14502.81</v>
      </c>
      <c r="BM195" s="3">
        <v>62097.31</v>
      </c>
      <c r="BN195" s="3">
        <v>21456.11</v>
      </c>
      <c r="BO195" s="3">
        <v>31148.33</v>
      </c>
      <c r="BP195" s="28">
        <v>65.058000000000007</v>
      </c>
      <c r="BQ195" s="28">
        <f t="shared" si="9"/>
        <v>197.61597343908511</v>
      </c>
      <c r="BR195" s="28">
        <f t="shared" si="10"/>
        <v>407.42414460942541</v>
      </c>
      <c r="BS195" s="28">
        <f t="shared" si="11"/>
        <v>222.92123950936084</v>
      </c>
      <c r="BT195" s="28">
        <f t="shared" si="12"/>
        <v>954.49153063420317</v>
      </c>
      <c r="BU195" s="4">
        <v>55878</v>
      </c>
    </row>
    <row r="196" spans="1:73" x14ac:dyDescent="0.25">
      <c r="A196" t="s">
        <v>195</v>
      </c>
      <c r="B196" s="2">
        <v>42338</v>
      </c>
      <c r="C196" s="3">
        <v>6.75</v>
      </c>
      <c r="D196" s="28">
        <v>8.0698000000000008</v>
      </c>
      <c r="E196" s="34">
        <v>93.517709999999994</v>
      </c>
      <c r="F196" s="5">
        <v>126.6</v>
      </c>
      <c r="G196" s="5">
        <v>123</v>
      </c>
      <c r="H196" s="3">
        <v>115.84</v>
      </c>
      <c r="I196" s="3">
        <v>112.97</v>
      </c>
      <c r="J196" s="3">
        <v>100.2</v>
      </c>
      <c r="K196" s="3">
        <v>117.6</v>
      </c>
      <c r="L196" s="3">
        <v>117.41</v>
      </c>
      <c r="M196" s="3">
        <v>119.87</v>
      </c>
      <c r="N196" s="3">
        <v>121.01</v>
      </c>
      <c r="O196" s="5">
        <v>115.3</v>
      </c>
      <c r="P196" s="52">
        <v>120.38200000000001</v>
      </c>
      <c r="Q196" s="52">
        <v>96.813999999999993</v>
      </c>
      <c r="R196" s="52">
        <v>67.959000000000003</v>
      </c>
      <c r="S196" s="52">
        <v>118.197</v>
      </c>
      <c r="T196" s="52">
        <v>103.989</v>
      </c>
      <c r="U196" s="52">
        <v>117.224</v>
      </c>
      <c r="V196" s="52">
        <v>121.20699999999999</v>
      </c>
      <c r="W196" s="52">
        <v>132.131</v>
      </c>
      <c r="X196" s="3">
        <v>14757.106738761649</v>
      </c>
      <c r="Y196" s="3">
        <v>21083.78</v>
      </c>
      <c r="Z196" s="3">
        <v>30133.3</v>
      </c>
      <c r="AA196" s="4">
        <v>12019</v>
      </c>
      <c r="AB196" s="4">
        <v>5686</v>
      </c>
      <c r="AC196" s="5" t="e">
        <v>#N/A</v>
      </c>
      <c r="AD196" s="5" t="e">
        <v>#N/A</v>
      </c>
      <c r="AE196" s="34">
        <v>50.293665281356866</v>
      </c>
      <c r="AF196" s="28">
        <v>50.1785</v>
      </c>
      <c r="AG196" s="28">
        <v>50.318100000000001</v>
      </c>
      <c r="AH196" s="28">
        <v>50.104399999999998</v>
      </c>
      <c r="AI196" s="28">
        <v>50.360100000000003</v>
      </c>
      <c r="AJ196" s="28">
        <v>50.462000000000003</v>
      </c>
      <c r="AK196" s="28">
        <v>50.076300000000003</v>
      </c>
      <c r="AL196" s="28">
        <v>49.401000000000003</v>
      </c>
      <c r="AM196" s="28">
        <v>49.843699999999998</v>
      </c>
      <c r="AN196" s="28">
        <v>52.701799999999999</v>
      </c>
      <c r="AO196" s="28">
        <v>49.3065</v>
      </c>
      <c r="AP196" s="28">
        <v>46.810099999999998</v>
      </c>
      <c r="AQ196" s="28">
        <v>51.140300000000003</v>
      </c>
      <c r="AR196" s="28">
        <v>50.191400000000002</v>
      </c>
      <c r="AS196" s="28">
        <v>51.040900000000001</v>
      </c>
      <c r="AT196" s="28">
        <v>1.0780000000000001</v>
      </c>
      <c r="AU196" s="28">
        <v>50.627000000000002</v>
      </c>
      <c r="AV196" s="28">
        <v>50.015300000000003</v>
      </c>
      <c r="AW196" s="28">
        <v>51.023600000000002</v>
      </c>
      <c r="AX196" s="28">
        <v>51.357999999999997</v>
      </c>
      <c r="AY196" s="28">
        <v>49.916800000000002</v>
      </c>
      <c r="AZ196" s="28">
        <v>51.650399999999998</v>
      </c>
      <c r="BA196" s="3">
        <v>26013.65</v>
      </c>
      <c r="BB196">
        <f>IF(ISNUMBER(VLOOKUP($B196,CEIC_DATA!$I$26:$N$353,Haver_M!BB$2,FALSE)),VLOOKUP($B196,CEIC_DATA!$I$26:$N$353,Haver_M!BB$2,FALSE),NA())</f>
        <v>99.78070065</v>
      </c>
      <c r="BC196" t="e">
        <f>IF(ISNUMBER(VLOOKUP($B196,CEIC_DATA!$I$26:$N$353,Haver_M!BC$2,FALSE)),VLOOKUP($B196,CEIC_DATA!$I$26:$N$353,Haver_M!BC$2,FALSE),NA())</f>
        <v>#N/A</v>
      </c>
      <c r="BD196" t="e">
        <f>IF(ISNUMBER(VLOOKUP($B196,CEIC_DATA!$I$26:$N$353,Haver_M!BD$2,FALSE)),VLOOKUP($B196,CEIC_DATA!$I$26:$N$353,Haver_M!BD$2,FALSE),NA())</f>
        <v>#N/A</v>
      </c>
      <c r="BE196" t="e">
        <f>IF(ISNUMBER(VLOOKUP($B196,CEIC_DATA!$I$26:$N$353,Haver_M!BE$2,FALSE)),VLOOKUP($B196,CEIC_DATA!$I$26:$N$353,Haver_M!BE$2,FALSE),NA())</f>
        <v>#N/A</v>
      </c>
      <c r="BF196">
        <v>1510042</v>
      </c>
      <c r="BG196">
        <v>58903</v>
      </c>
      <c r="BH196">
        <v>1930436</v>
      </c>
      <c r="BI196">
        <v>288369</v>
      </c>
      <c r="BJ196" s="3">
        <v>13046.37</v>
      </c>
      <c r="BK196" s="3">
        <v>26686.79</v>
      </c>
      <c r="BL196" s="3">
        <v>14402.93</v>
      </c>
      <c r="BM196" s="3">
        <v>62396.5</v>
      </c>
      <c r="BN196" s="3">
        <v>19560.919999999998</v>
      </c>
      <c r="BO196" s="3">
        <v>29896.400000000001</v>
      </c>
      <c r="BP196" s="28">
        <v>66.117099999999994</v>
      </c>
      <c r="BQ196" s="28">
        <f t="shared" si="9"/>
        <v>197.32217535251851</v>
      </c>
      <c r="BR196" s="28">
        <f t="shared" si="10"/>
        <v>403.6291670384818</v>
      </c>
      <c r="BS196" s="28">
        <f t="shared" si="11"/>
        <v>217.83971166309476</v>
      </c>
      <c r="BT196" s="28">
        <f t="shared" si="12"/>
        <v>943.72711446811797</v>
      </c>
      <c r="BU196" s="4">
        <v>57316</v>
      </c>
    </row>
    <row r="197" spans="1:73" x14ac:dyDescent="0.25">
      <c r="A197" t="s">
        <v>196</v>
      </c>
      <c r="B197" s="2">
        <v>42369</v>
      </c>
      <c r="C197" s="3">
        <v>6.75</v>
      </c>
      <c r="D197" s="28">
        <v>8.0939999999999994</v>
      </c>
      <c r="E197" s="34">
        <v>93.259969999999996</v>
      </c>
      <c r="F197" s="5">
        <v>126.1</v>
      </c>
      <c r="G197" s="5">
        <v>123.2</v>
      </c>
      <c r="H197" s="3">
        <v>115.63</v>
      </c>
      <c r="I197" s="3">
        <v>110.76</v>
      </c>
      <c r="J197" s="3">
        <v>101.2</v>
      </c>
      <c r="K197" s="3">
        <v>117.78</v>
      </c>
      <c r="L197" s="3">
        <v>118.75</v>
      </c>
      <c r="M197" s="3">
        <v>125.9</v>
      </c>
      <c r="N197" s="3">
        <v>121.53</v>
      </c>
      <c r="O197" s="5">
        <v>114.8</v>
      </c>
      <c r="P197" s="52">
        <v>120.65600000000001</v>
      </c>
      <c r="Q197" s="52">
        <v>95.388000000000005</v>
      </c>
      <c r="R197" s="52">
        <v>67.019000000000005</v>
      </c>
      <c r="S197" s="52">
        <v>114.06100000000001</v>
      </c>
      <c r="T197" s="52">
        <v>106.706</v>
      </c>
      <c r="U197" s="52">
        <v>117.53700000000001</v>
      </c>
      <c r="V197" s="52">
        <v>125.038</v>
      </c>
      <c r="W197" s="52">
        <v>133.22300000000001</v>
      </c>
      <c r="X197" s="3">
        <v>15518.890957926789</v>
      </c>
      <c r="Y197" s="3">
        <v>21798.3</v>
      </c>
      <c r="Z197" s="3">
        <v>33738.81</v>
      </c>
      <c r="AA197" s="4">
        <v>14038</v>
      </c>
      <c r="AB197" s="4">
        <v>7187</v>
      </c>
      <c r="AC197" s="5">
        <v>102.9</v>
      </c>
      <c r="AD197" s="5">
        <v>120</v>
      </c>
      <c r="AE197" s="34">
        <v>62.264154734481899</v>
      </c>
      <c r="AF197" s="28">
        <v>51.649900000000002</v>
      </c>
      <c r="AG197" s="28">
        <v>49.071399999999997</v>
      </c>
      <c r="AH197" s="28">
        <v>53.627800000000001</v>
      </c>
      <c r="AI197" s="28">
        <v>46.803699999999999</v>
      </c>
      <c r="AJ197" s="28">
        <v>48.04</v>
      </c>
      <c r="AK197" s="28">
        <v>50.4163</v>
      </c>
      <c r="AL197" s="28">
        <v>48.240099999999998</v>
      </c>
      <c r="AM197" s="28">
        <v>51.112000000000002</v>
      </c>
      <c r="AN197" s="28">
        <v>53.845199999999998</v>
      </c>
      <c r="AO197" s="28">
        <v>49.052700000000002</v>
      </c>
      <c r="AP197" s="28">
        <v>48.025199999999998</v>
      </c>
      <c r="AQ197" s="28">
        <v>51.4529</v>
      </c>
      <c r="AR197" s="28">
        <v>50.9754</v>
      </c>
      <c r="AS197" s="28">
        <v>50.694600000000001</v>
      </c>
      <c r="AT197" s="28">
        <v>1.0003</v>
      </c>
      <c r="AU197" s="28">
        <v>50.027700000000003</v>
      </c>
      <c r="AV197" s="28">
        <v>50.933</v>
      </c>
      <c r="AW197" s="28">
        <v>53.767699999999998</v>
      </c>
      <c r="AX197" s="28">
        <v>52.299100000000003</v>
      </c>
      <c r="AY197" s="28">
        <v>50.9604</v>
      </c>
      <c r="AZ197" s="28">
        <v>48.8536</v>
      </c>
      <c r="BA197" s="3">
        <v>25658.19</v>
      </c>
      <c r="BB197">
        <f>IF(ISNUMBER(VLOOKUP($B197,CEIC_DATA!$I$26:$N$353,Haver_M!BB$2,FALSE)),VLOOKUP($B197,CEIC_DATA!$I$26:$N$353,Haver_M!BB$2,FALSE),NA())</f>
        <v>100.361526</v>
      </c>
      <c r="BC197">
        <f>IF(ISNUMBER(VLOOKUP($B197,CEIC_DATA!$I$26:$N$353,Haver_M!BC$2,FALSE)),VLOOKUP($B197,CEIC_DATA!$I$26:$N$353,Haver_M!BC$2,FALSE),NA())</f>
        <v>103.6</v>
      </c>
      <c r="BD197">
        <f>IF(ISNUMBER(VLOOKUP($B197,CEIC_DATA!$I$26:$N$353,Haver_M!BD$2,FALSE)),VLOOKUP($B197,CEIC_DATA!$I$26:$N$353,Haver_M!BD$2,FALSE),NA())</f>
        <v>113.4</v>
      </c>
      <c r="BE197">
        <f>IF(ISNUMBER(VLOOKUP($B197,CEIC_DATA!$I$26:$N$353,Haver_M!BE$2,FALSE)),VLOOKUP($B197,CEIC_DATA!$I$26:$N$353,Haver_M!BE$2,FALSE),NA())</f>
        <v>31.6</v>
      </c>
      <c r="BF197">
        <v>1382209</v>
      </c>
      <c r="BG197">
        <v>65694</v>
      </c>
      <c r="BH197">
        <v>1813327</v>
      </c>
      <c r="BI197">
        <v>292521</v>
      </c>
      <c r="BJ197" s="3">
        <v>13293.02</v>
      </c>
      <c r="BK197" s="3">
        <v>26951.82</v>
      </c>
      <c r="BL197" s="3">
        <v>14582.36</v>
      </c>
      <c r="BM197" s="3">
        <v>63251.09</v>
      </c>
      <c r="BN197" s="3">
        <v>22593.35</v>
      </c>
      <c r="BO197" s="3">
        <v>34096.49</v>
      </c>
      <c r="BP197" s="28">
        <v>66.595500000000001</v>
      </c>
      <c r="BQ197" s="28">
        <f t="shared" si="9"/>
        <v>199.60838194772921</v>
      </c>
      <c r="BR197" s="28">
        <f t="shared" si="10"/>
        <v>404.70932720679326</v>
      </c>
      <c r="BS197" s="28">
        <f t="shared" si="11"/>
        <v>218.96914956716296</v>
      </c>
      <c r="BT197" s="28">
        <f t="shared" si="12"/>
        <v>949.78024040663399</v>
      </c>
      <c r="BU197" s="4">
        <v>56480</v>
      </c>
    </row>
    <row r="198" spans="1:73" x14ac:dyDescent="0.25">
      <c r="A198" t="s">
        <v>197</v>
      </c>
      <c r="B198" s="2">
        <v>42400</v>
      </c>
      <c r="C198" s="3">
        <v>6.75</v>
      </c>
      <c r="D198" s="28">
        <v>7.5186999999999999</v>
      </c>
      <c r="E198" s="34">
        <v>92.370829999999998</v>
      </c>
      <c r="F198" s="5">
        <v>126.3</v>
      </c>
      <c r="G198" s="5">
        <v>123.7</v>
      </c>
      <c r="H198" s="3">
        <v>116.02</v>
      </c>
      <c r="I198" s="3">
        <v>113.01</v>
      </c>
      <c r="J198" s="3">
        <v>103.24</v>
      </c>
      <c r="K198" s="3">
        <v>118.51</v>
      </c>
      <c r="L198" s="3">
        <v>121.75</v>
      </c>
      <c r="M198" s="3">
        <v>120.28</v>
      </c>
      <c r="N198" s="3">
        <v>118.29</v>
      </c>
      <c r="O198" s="5">
        <v>116.6</v>
      </c>
      <c r="P198" s="52">
        <v>119.56399999999999</v>
      </c>
      <c r="Q198" s="52">
        <v>94.591999999999999</v>
      </c>
      <c r="R198" s="52">
        <v>60.036999999999999</v>
      </c>
      <c r="S198" s="52">
        <v>118.556</v>
      </c>
      <c r="T198" s="52">
        <v>105.59399999999999</v>
      </c>
      <c r="U198" s="52">
        <v>122.801</v>
      </c>
      <c r="V198" s="52">
        <v>128.642</v>
      </c>
      <c r="W198" s="52">
        <v>135.57499999999999</v>
      </c>
      <c r="X198" s="3">
        <v>16204.914813372839</v>
      </c>
      <c r="Y198" s="3">
        <v>21541.86</v>
      </c>
      <c r="Z198" s="3">
        <v>29694.11</v>
      </c>
      <c r="AA198" s="4">
        <v>12573</v>
      </c>
      <c r="AB198" s="4">
        <v>6841</v>
      </c>
      <c r="AC198" s="5" t="e">
        <v>#N/A</v>
      </c>
      <c r="AD198" s="5" t="e">
        <v>#N/A</v>
      </c>
      <c r="AE198" s="34">
        <v>67.86213228628425</v>
      </c>
      <c r="AF198" s="28">
        <v>53.292200000000001</v>
      </c>
      <c r="AG198" s="28">
        <v>51.144199999999998</v>
      </c>
      <c r="AH198" s="28">
        <v>54.276899999999998</v>
      </c>
      <c r="AI198" s="28">
        <v>51.332999999999998</v>
      </c>
      <c r="AJ198" s="28">
        <v>51.742199999999997</v>
      </c>
      <c r="AK198" s="28">
        <v>50.360300000000002</v>
      </c>
      <c r="AL198" s="28">
        <v>49.845700000000001</v>
      </c>
      <c r="AM198" s="28">
        <v>51.931199999999997</v>
      </c>
      <c r="AN198" s="28">
        <v>53.064900000000002</v>
      </c>
      <c r="AO198" s="28">
        <v>51.101500000000001</v>
      </c>
      <c r="AP198" s="28">
        <v>48.613799999999998</v>
      </c>
      <c r="AQ198" s="28">
        <v>52.493000000000002</v>
      </c>
      <c r="AR198" s="28">
        <v>51.105800000000002</v>
      </c>
      <c r="AS198" s="28">
        <v>51.5304</v>
      </c>
      <c r="AT198" s="28">
        <v>1.0644</v>
      </c>
      <c r="AU198" s="28">
        <v>50.158299999999997</v>
      </c>
      <c r="AV198" s="28">
        <v>50.526299999999999</v>
      </c>
      <c r="AW198" s="28">
        <v>54.065300000000001</v>
      </c>
      <c r="AX198" s="28">
        <v>51.742400000000004</v>
      </c>
      <c r="AY198" s="28">
        <v>50.857399999999998</v>
      </c>
      <c r="AZ198" s="28">
        <v>51.971400000000003</v>
      </c>
      <c r="BA198" s="3">
        <v>24779.65</v>
      </c>
      <c r="BB198">
        <f>IF(ISNUMBER(VLOOKUP($B198,CEIC_DATA!$I$26:$N$353,Haver_M!BB$2,FALSE)),VLOOKUP($B198,CEIC_DATA!$I$26:$N$353,Haver_M!BB$2,FALSE),NA())</f>
        <v>101.37057289000001</v>
      </c>
      <c r="BC198" t="e">
        <f>IF(ISNUMBER(VLOOKUP($B198,CEIC_DATA!$I$26:$N$353,Haver_M!BC$2,FALSE)),VLOOKUP($B198,CEIC_DATA!$I$26:$N$353,Haver_M!BC$2,FALSE),NA())</f>
        <v>#N/A</v>
      </c>
      <c r="BD198" t="e">
        <f>IF(ISNUMBER(VLOOKUP($B198,CEIC_DATA!$I$26:$N$353,Haver_M!BD$2,FALSE)),VLOOKUP($B198,CEIC_DATA!$I$26:$N$353,Haver_M!BD$2,FALSE),NA())</f>
        <v>#N/A</v>
      </c>
      <c r="BE198" t="e">
        <f>IF(ISNUMBER(VLOOKUP($B198,CEIC_DATA!$I$26:$N$353,Haver_M!BE$2,FALSE)),VLOOKUP($B198,CEIC_DATA!$I$26:$N$353,Haver_M!BE$2,FALSE),NA())</f>
        <v>#N/A</v>
      </c>
      <c r="BF198">
        <v>1561067</v>
      </c>
      <c r="BG198">
        <v>71106</v>
      </c>
      <c r="BH198">
        <v>1976658</v>
      </c>
      <c r="BI198">
        <v>274001</v>
      </c>
      <c r="BJ198" s="3">
        <v>13491.18</v>
      </c>
      <c r="BK198" s="3">
        <v>27243.93</v>
      </c>
      <c r="BL198" s="3">
        <v>14731.98</v>
      </c>
      <c r="BM198" s="3">
        <v>63981.22</v>
      </c>
      <c r="BN198" s="3">
        <v>21199.03</v>
      </c>
      <c r="BO198" s="3">
        <v>28866.53</v>
      </c>
      <c r="BP198" s="28">
        <v>67.252300000000005</v>
      </c>
      <c r="BQ198" s="28">
        <f t="shared" si="9"/>
        <v>200.60548115083051</v>
      </c>
      <c r="BR198" s="28">
        <f t="shared" si="10"/>
        <v>405.10034601047101</v>
      </c>
      <c r="BS198" s="28">
        <f t="shared" si="11"/>
        <v>219.05540777044055</v>
      </c>
      <c r="BT198" s="28">
        <f t="shared" si="12"/>
        <v>951.36106869207447</v>
      </c>
      <c r="BU198" s="4">
        <v>55586</v>
      </c>
    </row>
    <row r="199" spans="1:73" x14ac:dyDescent="0.25">
      <c r="A199" t="s">
        <v>198</v>
      </c>
      <c r="B199" s="2">
        <v>42429</v>
      </c>
      <c r="C199" s="3">
        <v>6.75</v>
      </c>
      <c r="D199" s="28">
        <v>7.6384999999999996</v>
      </c>
      <c r="E199" s="34">
        <v>90.03537</v>
      </c>
      <c r="F199" s="5">
        <v>126</v>
      </c>
      <c r="G199" s="5">
        <v>124.4</v>
      </c>
      <c r="H199" s="3">
        <v>115.6</v>
      </c>
      <c r="I199" s="3">
        <v>114.61</v>
      </c>
      <c r="J199" s="3">
        <v>98.54</v>
      </c>
      <c r="K199" s="3">
        <v>117.5</v>
      </c>
      <c r="L199" s="3">
        <v>123</v>
      </c>
      <c r="M199" s="3">
        <v>124.33</v>
      </c>
      <c r="N199" s="3">
        <v>119.26</v>
      </c>
      <c r="O199" s="5">
        <v>117.2</v>
      </c>
      <c r="P199" s="52">
        <v>115.346</v>
      </c>
      <c r="Q199" s="52">
        <v>95.307000000000002</v>
      </c>
      <c r="R199" s="52">
        <v>67.635000000000005</v>
      </c>
      <c r="S199" s="52">
        <v>121.221</v>
      </c>
      <c r="T199" s="52">
        <v>106.541</v>
      </c>
      <c r="U199" s="52">
        <v>125.869</v>
      </c>
      <c r="V199" s="52">
        <v>129.77699999999999</v>
      </c>
      <c r="W199" s="52">
        <v>137.62</v>
      </c>
      <c r="X199" s="3">
        <v>16720.729081366404</v>
      </c>
      <c r="Y199" s="3">
        <v>21300.38</v>
      </c>
      <c r="Z199" s="3">
        <v>29552.42</v>
      </c>
      <c r="AA199" s="4">
        <v>12329</v>
      </c>
      <c r="AB199" s="4">
        <v>7189</v>
      </c>
      <c r="AC199" s="5" t="e">
        <v>#N/A</v>
      </c>
      <c r="AD199" s="5" t="e">
        <v>#N/A</v>
      </c>
      <c r="AE199" s="34">
        <v>76.560311805061374</v>
      </c>
      <c r="AF199" s="28">
        <v>51.248100000000001</v>
      </c>
      <c r="AG199" s="28">
        <v>51.058</v>
      </c>
      <c r="AH199" s="28">
        <v>51.394300000000001</v>
      </c>
      <c r="AI199" s="28">
        <v>50.9572</v>
      </c>
      <c r="AJ199" s="28">
        <v>52.325600000000001</v>
      </c>
      <c r="AK199" s="28">
        <v>49.9497</v>
      </c>
      <c r="AL199" s="28">
        <v>50.075600000000001</v>
      </c>
      <c r="AM199" s="28">
        <v>51.424300000000002</v>
      </c>
      <c r="AN199" s="28">
        <v>50.900199999999998</v>
      </c>
      <c r="AO199" s="28">
        <v>50.76</v>
      </c>
      <c r="AP199" s="28">
        <v>47.000399999999999</v>
      </c>
      <c r="AQ199" s="28">
        <v>51.109099999999998</v>
      </c>
      <c r="AR199" s="28">
        <v>49.804499999999997</v>
      </c>
      <c r="AS199" s="28">
        <v>50.472099999999998</v>
      </c>
      <c r="AT199" s="28">
        <v>1.1133</v>
      </c>
      <c r="AU199" s="28">
        <v>50.223700000000001</v>
      </c>
      <c r="AV199" s="28">
        <v>51.255299999999998</v>
      </c>
      <c r="AW199" s="28">
        <v>51.2851</v>
      </c>
      <c r="AX199" s="28">
        <v>52.118699999999997</v>
      </c>
      <c r="AY199" s="28">
        <v>50.179900000000004</v>
      </c>
      <c r="AZ199" s="28">
        <v>48.9666</v>
      </c>
      <c r="BA199" s="3">
        <v>23688.3</v>
      </c>
      <c r="BB199">
        <f>IF(ISNUMBER(VLOOKUP($B199,CEIC_DATA!$I$26:$N$353,Haver_M!BB$2,FALSE)),VLOOKUP($B199,CEIC_DATA!$I$26:$N$353,Haver_M!BB$2,FALSE),NA())</f>
        <v>102.72749392</v>
      </c>
      <c r="BC199" t="e">
        <f>IF(ISNUMBER(VLOOKUP($B199,CEIC_DATA!$I$26:$N$353,Haver_M!BC$2,FALSE)),VLOOKUP($B199,CEIC_DATA!$I$26:$N$353,Haver_M!BC$2,FALSE),NA())</f>
        <v>#N/A</v>
      </c>
      <c r="BD199" t="e">
        <f>IF(ISNUMBER(VLOOKUP($B199,CEIC_DATA!$I$26:$N$353,Haver_M!BD$2,FALSE)),VLOOKUP($B199,CEIC_DATA!$I$26:$N$353,Haver_M!BD$2,FALSE),NA())</f>
        <v>#N/A</v>
      </c>
      <c r="BE199" t="e">
        <f>IF(ISNUMBER(VLOOKUP($B199,CEIC_DATA!$I$26:$N$353,Haver_M!BE$2,FALSE)),VLOOKUP($B199,CEIC_DATA!$I$26:$N$353,Haver_M!BE$2,FALSE),NA())</f>
        <v>#N/A</v>
      </c>
      <c r="BF199">
        <v>1527771</v>
      </c>
      <c r="BG199">
        <v>70609</v>
      </c>
      <c r="BH199">
        <v>1958812</v>
      </c>
      <c r="BI199">
        <v>292253</v>
      </c>
      <c r="BJ199" s="3">
        <v>13748.91</v>
      </c>
      <c r="BK199" s="3">
        <v>27454.71</v>
      </c>
      <c r="BL199" s="3">
        <v>14970.29</v>
      </c>
      <c r="BM199" s="3">
        <v>64737.88</v>
      </c>
      <c r="BN199" s="3">
        <v>20845.72</v>
      </c>
      <c r="BO199" s="3">
        <v>27418.98</v>
      </c>
      <c r="BP199" s="28">
        <v>68.237700000000004</v>
      </c>
      <c r="BQ199" s="28">
        <f t="shared" ref="BQ199:BQ244" si="13">IF(ISNUMBER(BJ199),BJ199/$BP199,"")</f>
        <v>201.48554244940846</v>
      </c>
      <c r="BR199" s="28">
        <f t="shared" ref="BR199:BR244" si="14">IF(ISNUMBER(BK199),BK199/$BP199,"")</f>
        <v>402.33932269112233</v>
      </c>
      <c r="BS199" s="28">
        <f t="shared" ref="BS199:BS244" si="15">IF(ISNUMBER(BL199),BL199/$BP199,"")</f>
        <v>219.38444584152163</v>
      </c>
      <c r="BT199" s="28">
        <f t="shared" ref="BT199:BT244" si="16">IF(ISNUMBER(BM199),BM199/$BP199,"")</f>
        <v>948.71134285006667</v>
      </c>
      <c r="BU199" s="4">
        <v>51064</v>
      </c>
    </row>
    <row r="200" spans="1:73" x14ac:dyDescent="0.25">
      <c r="A200" t="s">
        <v>199</v>
      </c>
      <c r="B200" s="2">
        <v>42460</v>
      </c>
      <c r="C200" s="3">
        <v>6.75</v>
      </c>
      <c r="D200" s="28">
        <v>7.4024999999999999</v>
      </c>
      <c r="E200" s="34">
        <v>90.667900000000003</v>
      </c>
      <c r="F200" s="5">
        <v>126</v>
      </c>
      <c r="G200" s="5">
        <v>124.7</v>
      </c>
      <c r="H200" s="3">
        <v>116.73</v>
      </c>
      <c r="I200" s="3">
        <v>115.19</v>
      </c>
      <c r="J200" s="3">
        <v>95.74</v>
      </c>
      <c r="K200" s="3">
        <v>120.54</v>
      </c>
      <c r="L200" s="3">
        <v>124.7</v>
      </c>
      <c r="M200" s="3">
        <v>121.49</v>
      </c>
      <c r="N200" s="3">
        <v>114.64</v>
      </c>
      <c r="O200" s="5">
        <v>117.3</v>
      </c>
      <c r="P200" s="52">
        <v>112.661</v>
      </c>
      <c r="Q200" s="52">
        <v>94.015000000000001</v>
      </c>
      <c r="R200" s="52">
        <v>62.362000000000002</v>
      </c>
      <c r="S200" s="52">
        <v>120.485</v>
      </c>
      <c r="T200" s="52">
        <v>114.265</v>
      </c>
      <c r="U200" s="52">
        <v>124.729</v>
      </c>
      <c r="V200" s="52">
        <v>127.006</v>
      </c>
      <c r="W200" s="52">
        <v>138.51599999999999</v>
      </c>
      <c r="X200" s="3">
        <v>16375.156799167229</v>
      </c>
      <c r="Y200" s="3">
        <v>20431.86</v>
      </c>
      <c r="Z200" s="3">
        <v>26117.42</v>
      </c>
      <c r="AA200" s="4">
        <v>12895</v>
      </c>
      <c r="AB200" s="4">
        <v>7905</v>
      </c>
      <c r="AC200" s="5">
        <v>104.1</v>
      </c>
      <c r="AD200" s="5">
        <v>122.2</v>
      </c>
      <c r="AE200" s="34">
        <v>108.92145224006333</v>
      </c>
      <c r="AF200" s="28">
        <v>54.277700000000003</v>
      </c>
      <c r="AG200" s="28">
        <v>52.377099999999999</v>
      </c>
      <c r="AH200" s="28">
        <v>54.332700000000003</v>
      </c>
      <c r="AI200" s="28">
        <v>54.168199999999999</v>
      </c>
      <c r="AJ200" s="28">
        <v>53.8855</v>
      </c>
      <c r="AK200" s="28">
        <v>50.207500000000003</v>
      </c>
      <c r="AL200" s="28">
        <v>49.993400000000001</v>
      </c>
      <c r="AM200" s="28">
        <v>51.269500000000001</v>
      </c>
      <c r="AN200" s="28">
        <v>53.700299999999999</v>
      </c>
      <c r="AO200" s="28">
        <v>51.281300000000002</v>
      </c>
      <c r="AP200" s="28">
        <v>46.436900000000001</v>
      </c>
      <c r="AQ200" s="28">
        <v>51.2911</v>
      </c>
      <c r="AR200" s="28">
        <v>52.031300000000002</v>
      </c>
      <c r="AS200" s="28">
        <v>48.726399999999998</v>
      </c>
      <c r="AT200" s="28">
        <v>1.1604000000000001</v>
      </c>
      <c r="AU200" s="28">
        <v>50.282699999999998</v>
      </c>
      <c r="AV200" s="28">
        <v>51.729799999999997</v>
      </c>
      <c r="AW200" s="28">
        <v>54.222999999999999</v>
      </c>
      <c r="AX200" s="28">
        <v>52.227899999999998</v>
      </c>
      <c r="AY200" s="28">
        <v>51.3551</v>
      </c>
      <c r="AZ200" s="28">
        <v>45.981000000000002</v>
      </c>
      <c r="BA200" s="3">
        <v>24811.95</v>
      </c>
      <c r="BB200">
        <f>IF(ISNUMBER(VLOOKUP($B200,CEIC_DATA!$I$26:$N$353,Haver_M!BB$2,FALSE)),VLOOKUP($B200,CEIC_DATA!$I$26:$N$353,Haver_M!BB$2,FALSE),NA())</f>
        <v>104.10075476</v>
      </c>
      <c r="BC200">
        <f>IF(ISNUMBER(VLOOKUP($B200,CEIC_DATA!$I$26:$N$353,Haver_M!BC$2,FALSE)),VLOOKUP($B200,CEIC_DATA!$I$26:$N$353,Haver_M!BC$2,FALSE),NA())</f>
        <v>103</v>
      </c>
      <c r="BD200">
        <f>IF(ISNUMBER(VLOOKUP($B200,CEIC_DATA!$I$26:$N$353,Haver_M!BD$2,FALSE)),VLOOKUP($B200,CEIC_DATA!$I$26:$N$353,Haver_M!BD$2,FALSE),NA())</f>
        <v>114.2</v>
      </c>
      <c r="BE200">
        <f>IF(ISNUMBER(VLOOKUP($B200,CEIC_DATA!$I$26:$N$353,Haver_M!BE$2,FALSE)),VLOOKUP($B200,CEIC_DATA!$I$26:$N$353,Haver_M!BE$2,FALSE),NA())</f>
        <v>33.299999999999997</v>
      </c>
      <c r="BF200">
        <v>1641664</v>
      </c>
      <c r="BG200">
        <v>90408</v>
      </c>
      <c r="BH200">
        <v>2123869</v>
      </c>
      <c r="BI200">
        <v>318930</v>
      </c>
      <c r="BJ200" s="3">
        <v>13922.16</v>
      </c>
      <c r="BK200" s="3">
        <v>27306.77</v>
      </c>
      <c r="BL200" s="3">
        <v>15410.67</v>
      </c>
      <c r="BM200" s="3">
        <v>65469.03</v>
      </c>
      <c r="BN200" s="3">
        <v>22911.74</v>
      </c>
      <c r="BO200" s="3">
        <v>27310.28</v>
      </c>
      <c r="BP200" s="28">
        <v>67.021900000000002</v>
      </c>
      <c r="BQ200" s="28">
        <f t="shared" si="13"/>
        <v>207.72553448947284</v>
      </c>
      <c r="BR200" s="28">
        <f t="shared" si="14"/>
        <v>407.43055628085745</v>
      </c>
      <c r="BS200" s="28">
        <f t="shared" si="15"/>
        <v>229.93484219337262</v>
      </c>
      <c r="BT200" s="28">
        <f t="shared" si="16"/>
        <v>976.83040916476546</v>
      </c>
      <c r="BU200" s="4">
        <v>46875</v>
      </c>
    </row>
    <row r="201" spans="1:73" x14ac:dyDescent="0.25">
      <c r="A201" t="s">
        <v>200</v>
      </c>
      <c r="B201" s="2">
        <v>42490</v>
      </c>
      <c r="C201" s="3">
        <v>6.5</v>
      </c>
      <c r="D201" s="28">
        <v>7.8720999999999997</v>
      </c>
      <c r="E201" s="34">
        <v>90.603610000000003</v>
      </c>
      <c r="F201" s="5">
        <v>127.3</v>
      </c>
      <c r="G201" s="5">
        <v>125.4</v>
      </c>
      <c r="H201" s="3">
        <v>118.17</v>
      </c>
      <c r="I201" s="3">
        <v>116.52</v>
      </c>
      <c r="J201" s="3">
        <v>105.22</v>
      </c>
      <c r="K201" s="3">
        <v>118.1</v>
      </c>
      <c r="L201" s="3">
        <v>120.71</v>
      </c>
      <c r="M201" s="3">
        <v>124.53</v>
      </c>
      <c r="N201" s="3">
        <v>119.88</v>
      </c>
      <c r="O201" s="5">
        <v>119.6</v>
      </c>
      <c r="P201" s="52">
        <v>116.748</v>
      </c>
      <c r="Q201" s="52">
        <v>94.793999999999997</v>
      </c>
      <c r="R201" s="52">
        <v>63.965000000000003</v>
      </c>
      <c r="S201" s="52">
        <v>121.702</v>
      </c>
      <c r="T201" s="52">
        <v>100.373</v>
      </c>
      <c r="U201" s="52">
        <v>126.38800000000001</v>
      </c>
      <c r="V201" s="52">
        <v>124.491</v>
      </c>
      <c r="W201" s="52">
        <v>141.22</v>
      </c>
      <c r="X201" s="3">
        <v>16195.835812741389</v>
      </c>
      <c r="Y201" s="3">
        <v>21371.119999999999</v>
      </c>
      <c r="Z201" s="3">
        <v>26207.94</v>
      </c>
      <c r="AA201" s="4">
        <v>12908</v>
      </c>
      <c r="AB201" s="4">
        <v>7183</v>
      </c>
      <c r="AC201" s="5" t="e">
        <v>#N/A</v>
      </c>
      <c r="AD201" s="5" t="e">
        <v>#N/A</v>
      </c>
      <c r="AE201" s="34">
        <v>57.450727797957427</v>
      </c>
      <c r="AF201" s="28">
        <v>52.817100000000003</v>
      </c>
      <c r="AG201" s="28">
        <v>50.474299999999999</v>
      </c>
      <c r="AH201" s="28">
        <v>53.745399999999997</v>
      </c>
      <c r="AI201" s="28">
        <v>50.970100000000002</v>
      </c>
      <c r="AJ201" s="28">
        <v>50.1496</v>
      </c>
      <c r="AK201" s="28">
        <v>50.069499999999998</v>
      </c>
      <c r="AL201" s="28">
        <v>49.189700000000002</v>
      </c>
      <c r="AM201" s="28">
        <v>50.514499999999998</v>
      </c>
      <c r="AN201" s="28">
        <v>54.005099999999999</v>
      </c>
      <c r="AO201" s="28">
        <v>51.472499999999997</v>
      </c>
      <c r="AP201" s="28">
        <v>45.836399999999998</v>
      </c>
      <c r="AQ201" s="28">
        <v>50.893999999999998</v>
      </c>
      <c r="AR201" s="28">
        <v>51.795999999999999</v>
      </c>
      <c r="AS201" s="28">
        <v>51.351399999999998</v>
      </c>
      <c r="AT201" s="28">
        <v>1.0941000000000001</v>
      </c>
      <c r="AU201" s="28">
        <v>49.955599999999997</v>
      </c>
      <c r="AV201" s="28">
        <v>51.361899999999999</v>
      </c>
      <c r="AW201" s="28">
        <v>53.703400000000002</v>
      </c>
      <c r="AX201" s="28">
        <v>53.336500000000001</v>
      </c>
      <c r="AY201" s="28">
        <v>52.994399999999999</v>
      </c>
      <c r="AZ201" s="28">
        <v>49.783200000000001</v>
      </c>
      <c r="BA201" s="3">
        <v>25441.47</v>
      </c>
      <c r="BB201">
        <f>IF(ISNUMBER(VLOOKUP($B201,CEIC_DATA!$I$26:$N$353,Haver_M!BB$2,FALSE)),VLOOKUP($B201,CEIC_DATA!$I$26:$N$353,Haver_M!BB$2,FALSE),NA())</f>
        <v>105.26463923999999</v>
      </c>
      <c r="BC201" t="e">
        <f>IF(ISNUMBER(VLOOKUP($B201,CEIC_DATA!$I$26:$N$353,Haver_M!BC$2,FALSE)),VLOOKUP($B201,CEIC_DATA!$I$26:$N$353,Haver_M!BC$2,FALSE),NA())</f>
        <v>#N/A</v>
      </c>
      <c r="BD201" t="e">
        <f>IF(ISNUMBER(VLOOKUP($B201,CEIC_DATA!$I$26:$N$353,Haver_M!BD$2,FALSE)),VLOOKUP($B201,CEIC_DATA!$I$26:$N$353,Haver_M!BD$2,FALSE),NA())</f>
        <v>#N/A</v>
      </c>
      <c r="BE201" t="e">
        <f>IF(ISNUMBER(VLOOKUP($B201,CEIC_DATA!$I$26:$N$353,Haver_M!BE$2,FALSE)),VLOOKUP($B201,CEIC_DATA!$I$26:$N$353,Haver_M!BE$2,FALSE),NA())</f>
        <v>#N/A</v>
      </c>
      <c r="BF201">
        <v>1725764</v>
      </c>
      <c r="BG201">
        <v>60716</v>
      </c>
      <c r="BH201">
        <v>2145167</v>
      </c>
      <c r="BI201">
        <v>295695</v>
      </c>
      <c r="BJ201" s="3">
        <v>14100.68</v>
      </c>
      <c r="BK201" s="3">
        <v>26615.38</v>
      </c>
      <c r="BL201" s="3">
        <v>15765.9</v>
      </c>
      <c r="BM201" s="3">
        <v>65515.21</v>
      </c>
      <c r="BN201" s="3">
        <v>20863.47</v>
      </c>
      <c r="BO201" s="3">
        <v>25689.18</v>
      </c>
      <c r="BP201" s="28">
        <v>66.469499999999996</v>
      </c>
      <c r="BQ201" s="28">
        <f t="shared" si="13"/>
        <v>212.13759694295882</v>
      </c>
      <c r="BR201" s="28">
        <f t="shared" si="14"/>
        <v>400.41492714703742</v>
      </c>
      <c r="BS201" s="28">
        <f t="shared" si="15"/>
        <v>237.18998939363166</v>
      </c>
      <c r="BT201" s="28">
        <f t="shared" si="16"/>
        <v>985.64318973363731</v>
      </c>
      <c r="BU201" s="4">
        <v>62684</v>
      </c>
    </row>
    <row r="202" spans="1:73" x14ac:dyDescent="0.25">
      <c r="A202" t="s">
        <v>201</v>
      </c>
      <c r="B202" s="2">
        <v>42521</v>
      </c>
      <c r="C202" s="3">
        <v>6.5</v>
      </c>
      <c r="D202" s="28">
        <v>7.4649999999999999</v>
      </c>
      <c r="E202" s="34">
        <v>91.368480000000005</v>
      </c>
      <c r="F202" s="5">
        <v>128.6</v>
      </c>
      <c r="G202" s="5">
        <v>125.9</v>
      </c>
      <c r="H202" s="3">
        <v>119.76</v>
      </c>
      <c r="I202" s="3">
        <v>115.6</v>
      </c>
      <c r="J202" s="3">
        <v>105.16</v>
      </c>
      <c r="K202" s="3">
        <v>122.2</v>
      </c>
      <c r="L202" s="3">
        <v>126.14</v>
      </c>
      <c r="M202" s="3">
        <v>124.05</v>
      </c>
      <c r="N202" s="3">
        <v>128.09</v>
      </c>
      <c r="O202" s="5">
        <v>119.2</v>
      </c>
      <c r="P202" s="52">
        <v>123.524</v>
      </c>
      <c r="Q202" s="52">
        <v>94.885000000000005</v>
      </c>
      <c r="R202" s="52">
        <v>65.53</v>
      </c>
      <c r="S202" s="52">
        <v>117.51900000000001</v>
      </c>
      <c r="T202" s="52">
        <v>109.556</v>
      </c>
      <c r="U202" s="52">
        <v>131.745</v>
      </c>
      <c r="V202" s="52">
        <v>124.953</v>
      </c>
      <c r="W202" s="52">
        <v>138.11000000000001</v>
      </c>
      <c r="X202" s="3">
        <v>15853.491756899826</v>
      </c>
      <c r="Y202" s="3">
        <v>21960.44</v>
      </c>
      <c r="Z202" s="3">
        <v>27764.240000000002</v>
      </c>
      <c r="AA202" s="4">
        <v>13460</v>
      </c>
      <c r="AB202" s="4">
        <v>7922</v>
      </c>
      <c r="AC202" s="5" t="e">
        <v>#N/A</v>
      </c>
      <c r="AD202" s="5" t="e">
        <v>#N/A</v>
      </c>
      <c r="AE202" s="34">
        <v>70.454660631479314</v>
      </c>
      <c r="AF202" s="28">
        <v>50.885800000000003</v>
      </c>
      <c r="AG202" s="28">
        <v>50.694000000000003</v>
      </c>
      <c r="AH202" s="28">
        <v>50.990299999999998</v>
      </c>
      <c r="AI202" s="28">
        <v>50.677799999999998</v>
      </c>
      <c r="AJ202" s="28">
        <v>51.3018</v>
      </c>
      <c r="AK202" s="28">
        <v>50.419899999999998</v>
      </c>
      <c r="AL202" s="28">
        <v>49.851500000000001</v>
      </c>
      <c r="AM202" s="28">
        <v>50.277099999999997</v>
      </c>
      <c r="AN202" s="28">
        <v>54.276200000000003</v>
      </c>
      <c r="AO202" s="28">
        <v>51.180399999999999</v>
      </c>
      <c r="AP202" s="28">
        <v>46.000799999999998</v>
      </c>
      <c r="AQ202" s="28">
        <v>49.631399999999999</v>
      </c>
      <c r="AR202" s="28">
        <v>50.453899999999997</v>
      </c>
      <c r="AS202" s="28">
        <v>49.469499999999996</v>
      </c>
      <c r="AT202" s="28">
        <v>1.1152</v>
      </c>
      <c r="AU202" s="28">
        <v>50.197499999999998</v>
      </c>
      <c r="AV202" s="28">
        <v>51.734000000000002</v>
      </c>
      <c r="AW202" s="28">
        <v>50.9146</v>
      </c>
      <c r="AX202" s="28">
        <v>52.342799999999997</v>
      </c>
      <c r="AY202" s="28">
        <v>51.061799999999998</v>
      </c>
      <c r="AZ202" s="28">
        <v>48.018000000000001</v>
      </c>
      <c r="BA202" s="3">
        <v>25693.69</v>
      </c>
      <c r="BB202">
        <f>IF(ISNUMBER(VLOOKUP($B202,CEIC_DATA!$I$26:$N$353,Haver_M!BB$2,FALSE)),VLOOKUP($B202,CEIC_DATA!$I$26:$N$353,Haver_M!BB$2,FALSE),NA())</f>
        <v>105.90829239999999</v>
      </c>
      <c r="BC202" t="e">
        <f>IF(ISNUMBER(VLOOKUP($B202,CEIC_DATA!$I$26:$N$353,Haver_M!BC$2,FALSE)),VLOOKUP($B202,CEIC_DATA!$I$26:$N$353,Haver_M!BC$2,FALSE),NA())</f>
        <v>#N/A</v>
      </c>
      <c r="BD202" t="e">
        <f>IF(ISNUMBER(VLOOKUP($B202,CEIC_DATA!$I$26:$N$353,Haver_M!BD$2,FALSE)),VLOOKUP($B202,CEIC_DATA!$I$26:$N$353,Haver_M!BD$2,FALSE),NA())</f>
        <v>#N/A</v>
      </c>
      <c r="BE202" t="e">
        <f>IF(ISNUMBER(VLOOKUP($B202,CEIC_DATA!$I$26:$N$353,Haver_M!BE$2,FALSE)),VLOOKUP($B202,CEIC_DATA!$I$26:$N$353,Haver_M!BE$2,FALSE),NA())</f>
        <v>#N/A</v>
      </c>
      <c r="BF202">
        <v>1734013</v>
      </c>
      <c r="BG202">
        <v>66239</v>
      </c>
      <c r="BH202">
        <v>2151740</v>
      </c>
      <c r="BI202">
        <v>283163</v>
      </c>
      <c r="BJ202" s="3">
        <v>14227.17</v>
      </c>
      <c r="BK202" s="3">
        <v>26632.79</v>
      </c>
      <c r="BL202" s="3">
        <v>15713.11</v>
      </c>
      <c r="BM202" s="3">
        <v>65565.34</v>
      </c>
      <c r="BN202" s="3">
        <v>22407.03</v>
      </c>
      <c r="BO202" s="3">
        <v>28286.23</v>
      </c>
      <c r="BP202" s="28">
        <v>66.906700000000001</v>
      </c>
      <c r="BQ202" s="28">
        <f t="shared" si="13"/>
        <v>212.6419327212372</v>
      </c>
      <c r="BR202" s="28">
        <f t="shared" si="14"/>
        <v>398.05863986715832</v>
      </c>
      <c r="BS202" s="28">
        <f t="shared" si="15"/>
        <v>234.85106872704827</v>
      </c>
      <c r="BT202" s="28">
        <f t="shared" si="16"/>
        <v>979.95178360313685</v>
      </c>
      <c r="BU202" s="4">
        <v>63278</v>
      </c>
    </row>
    <row r="203" spans="1:73" x14ac:dyDescent="0.25">
      <c r="A203" t="s">
        <v>202</v>
      </c>
      <c r="B203" s="2">
        <v>42551</v>
      </c>
      <c r="C203" s="3">
        <v>6.5</v>
      </c>
      <c r="D203" s="28">
        <v>7.7834000000000003</v>
      </c>
      <c r="E203" s="34">
        <v>92.005610000000004</v>
      </c>
      <c r="F203" s="5">
        <v>130.1</v>
      </c>
      <c r="G203" s="5">
        <v>126.1</v>
      </c>
      <c r="H203" s="3">
        <v>121.25</v>
      </c>
      <c r="I203" s="3">
        <v>117.73</v>
      </c>
      <c r="J203" s="3">
        <v>107.1</v>
      </c>
      <c r="K203" s="3">
        <v>123.24</v>
      </c>
      <c r="L203" s="3">
        <v>125.49</v>
      </c>
      <c r="M203" s="3">
        <v>123.81</v>
      </c>
      <c r="N203" s="3">
        <v>128.41999999999999</v>
      </c>
      <c r="O203" s="5">
        <v>120.8</v>
      </c>
      <c r="P203" s="52">
        <v>128.40299999999999</v>
      </c>
      <c r="Q203" s="52">
        <v>93.887</v>
      </c>
      <c r="R203" s="52">
        <v>65.778000000000006</v>
      </c>
      <c r="S203" s="52">
        <v>120.21299999999999</v>
      </c>
      <c r="T203" s="52">
        <v>109.67</v>
      </c>
      <c r="U203" s="52">
        <v>129.78100000000001</v>
      </c>
      <c r="V203" s="52">
        <v>129.29300000000001</v>
      </c>
      <c r="W203" s="52">
        <v>141.68299999999999</v>
      </c>
      <c r="X203" s="3">
        <v>16459.044275389995</v>
      </c>
      <c r="Y203" s="3">
        <v>22927.06</v>
      </c>
      <c r="Z203" s="3">
        <v>30673.13</v>
      </c>
      <c r="AA203" s="4">
        <v>13322</v>
      </c>
      <c r="AB203" s="4">
        <v>8389</v>
      </c>
      <c r="AC203" s="5">
        <v>105</v>
      </c>
      <c r="AD203" s="5">
        <v>122</v>
      </c>
      <c r="AE203" s="34">
        <v>154.02128365604082</v>
      </c>
      <c r="AF203" s="28">
        <v>51.101900000000001</v>
      </c>
      <c r="AG203" s="28">
        <v>51.730600000000003</v>
      </c>
      <c r="AH203" s="28">
        <v>50.309800000000003</v>
      </c>
      <c r="AI203" s="28">
        <v>52.677999999999997</v>
      </c>
      <c r="AJ203" s="28">
        <v>52.947099999999999</v>
      </c>
      <c r="AK203" s="28">
        <v>49.867699999999999</v>
      </c>
      <c r="AL203" s="28">
        <v>49.190100000000001</v>
      </c>
      <c r="AM203" s="28">
        <v>50.819400000000002</v>
      </c>
      <c r="AN203" s="28">
        <v>53.802100000000003</v>
      </c>
      <c r="AO203" s="28">
        <v>51.675699999999999</v>
      </c>
      <c r="AP203" s="28">
        <v>46.856499999999997</v>
      </c>
      <c r="AQ203" s="28">
        <v>50.551400000000001</v>
      </c>
      <c r="AR203" s="28">
        <v>50.073300000000003</v>
      </c>
      <c r="AS203" s="28">
        <v>51.7532</v>
      </c>
      <c r="AT203" s="28">
        <v>1.1299999999999999</v>
      </c>
      <c r="AU203" s="28">
        <v>50.279499999999999</v>
      </c>
      <c r="AV203" s="28">
        <v>51.524900000000002</v>
      </c>
      <c r="AW203" s="28">
        <v>50.462699999999998</v>
      </c>
      <c r="AX203" s="28">
        <v>52.685400000000001</v>
      </c>
      <c r="AY203" s="28">
        <v>50.948399999999999</v>
      </c>
      <c r="AZ203" s="28">
        <v>51.027900000000002</v>
      </c>
      <c r="BA203" s="3">
        <v>26717.74</v>
      </c>
      <c r="BB203">
        <f>IF(ISNUMBER(VLOOKUP($B203,CEIC_DATA!$I$26:$N$353,Haver_M!BB$2,FALSE)),VLOOKUP($B203,CEIC_DATA!$I$26:$N$353,Haver_M!BB$2,FALSE),NA())</f>
        <v>106.0204205</v>
      </c>
      <c r="BC203">
        <f>IF(ISNUMBER(VLOOKUP($B203,CEIC_DATA!$I$26:$N$353,Haver_M!BC$2,FALSE)),VLOOKUP($B203,CEIC_DATA!$I$26:$N$353,Haver_M!BC$2,FALSE),NA())</f>
        <v>104</v>
      </c>
      <c r="BD203">
        <f>IF(ISNUMBER(VLOOKUP($B203,CEIC_DATA!$I$26:$N$353,Haver_M!BD$2,FALSE)),VLOOKUP($B203,CEIC_DATA!$I$26:$N$353,Haver_M!BD$2,FALSE),NA())</f>
        <v>110.9</v>
      </c>
      <c r="BE203">
        <f>IF(ISNUMBER(VLOOKUP($B203,CEIC_DATA!$I$26:$N$353,Haver_M!BE$2,FALSE)),VLOOKUP($B203,CEIC_DATA!$I$26:$N$353,Haver_M!BE$2,FALSE),NA())</f>
        <v>30.5</v>
      </c>
      <c r="BF203">
        <v>1660495</v>
      </c>
      <c r="BG203">
        <v>66265</v>
      </c>
      <c r="BH203">
        <v>2078662</v>
      </c>
      <c r="BI203">
        <v>277066</v>
      </c>
      <c r="BJ203" s="3">
        <v>14373.69</v>
      </c>
      <c r="BK203" s="3">
        <v>26469.18</v>
      </c>
      <c r="BL203" s="3">
        <v>15650.95</v>
      </c>
      <c r="BM203" s="3">
        <v>65537.820000000007</v>
      </c>
      <c r="BN203" s="3">
        <v>22655.58</v>
      </c>
      <c r="BO203" s="3">
        <v>30917.01</v>
      </c>
      <c r="BP203" s="28">
        <v>67.296899999999994</v>
      </c>
      <c r="BQ203" s="28">
        <f t="shared" si="13"/>
        <v>213.58621273788245</v>
      </c>
      <c r="BR203" s="28">
        <f t="shared" si="14"/>
        <v>393.3194545365389</v>
      </c>
      <c r="BS203" s="28">
        <f t="shared" si="15"/>
        <v>232.56569024724769</v>
      </c>
      <c r="BT203" s="28">
        <f t="shared" si="16"/>
        <v>973.86090592583037</v>
      </c>
      <c r="BU203" s="4">
        <v>57693</v>
      </c>
    </row>
    <row r="204" spans="1:73" x14ac:dyDescent="0.25">
      <c r="A204" t="s">
        <v>203</v>
      </c>
      <c r="B204" s="2">
        <v>42582</v>
      </c>
      <c r="C204" s="3">
        <v>6.5</v>
      </c>
      <c r="D204" s="28">
        <v>7.4090999999999996</v>
      </c>
      <c r="E204" s="34">
        <v>92.593890000000002</v>
      </c>
      <c r="F204" s="5">
        <v>131.1</v>
      </c>
      <c r="G204" s="5">
        <v>126.7</v>
      </c>
      <c r="H204" s="3">
        <v>119.68</v>
      </c>
      <c r="I204" s="3">
        <v>116.49</v>
      </c>
      <c r="J204" s="3">
        <v>104.07</v>
      </c>
      <c r="K204" s="3">
        <v>122.77</v>
      </c>
      <c r="L204" s="3">
        <v>122.85</v>
      </c>
      <c r="M204" s="3">
        <v>121.57</v>
      </c>
      <c r="N204" s="3">
        <v>130.19</v>
      </c>
      <c r="O204" s="5">
        <v>119.1</v>
      </c>
      <c r="P204" s="52">
        <v>121.334</v>
      </c>
      <c r="Q204" s="52">
        <v>95.384</v>
      </c>
      <c r="R204" s="52">
        <v>66.753</v>
      </c>
      <c r="S204" s="52">
        <v>122.29600000000001</v>
      </c>
      <c r="T204" s="52">
        <v>105.131</v>
      </c>
      <c r="U204" s="52">
        <v>123.005</v>
      </c>
      <c r="V204" s="52">
        <v>125.32</v>
      </c>
      <c r="W204" s="52">
        <v>138.20599999999999</v>
      </c>
      <c r="X204" s="3">
        <v>16257.612649617446</v>
      </c>
      <c r="Y204" s="3">
        <v>22707.64</v>
      </c>
      <c r="Z204" s="3">
        <v>28819.88</v>
      </c>
      <c r="AA204" s="4">
        <v>12775</v>
      </c>
      <c r="AB204" s="4">
        <v>7409</v>
      </c>
      <c r="AC204" s="5" t="e">
        <v>#N/A</v>
      </c>
      <c r="AD204" s="5" t="e">
        <v>#N/A</v>
      </c>
      <c r="AE204" s="34">
        <v>81.670694084732546</v>
      </c>
      <c r="AF204" s="28">
        <v>52.364600000000003</v>
      </c>
      <c r="AG204" s="28">
        <v>51.846699999999998</v>
      </c>
      <c r="AH204" s="28">
        <v>51.880499999999998</v>
      </c>
      <c r="AI204" s="28">
        <v>53.3279</v>
      </c>
      <c r="AJ204" s="28">
        <v>53.190199999999997</v>
      </c>
      <c r="AK204" s="28">
        <v>50.224299999999999</v>
      </c>
      <c r="AL204" s="28">
        <v>50.598399999999998</v>
      </c>
      <c r="AM204" s="28">
        <v>51.025799999999997</v>
      </c>
      <c r="AN204" s="28">
        <v>52.8491</v>
      </c>
      <c r="AO204" s="28">
        <v>52.286799999999999</v>
      </c>
      <c r="AP204" s="28">
        <v>47.316699999999997</v>
      </c>
      <c r="AQ204" s="28">
        <v>52.030700000000003</v>
      </c>
      <c r="AR204" s="28">
        <v>50.977600000000002</v>
      </c>
      <c r="AS204" s="28">
        <v>52.524700000000003</v>
      </c>
      <c r="AT204" s="28">
        <v>1.1241000000000001</v>
      </c>
      <c r="AU204" s="28">
        <v>50.151400000000002</v>
      </c>
      <c r="AV204" s="28">
        <v>49.199100000000001</v>
      </c>
      <c r="AW204" s="28">
        <v>51.731099999999998</v>
      </c>
      <c r="AX204" s="28">
        <v>49.4985</v>
      </c>
      <c r="AY204" s="28">
        <v>50.6601</v>
      </c>
      <c r="AZ204" s="28">
        <v>51.8795</v>
      </c>
      <c r="BA204" s="3">
        <v>27713.41</v>
      </c>
      <c r="BB204">
        <f>IF(ISNUMBER(VLOOKUP($B204,CEIC_DATA!$I$26:$N$353,Haver_M!BB$2,FALSE)),VLOOKUP($B204,CEIC_DATA!$I$26:$N$353,Haver_M!BB$2,FALSE),NA())</f>
        <v>105.32090384999999</v>
      </c>
      <c r="BC204" t="e">
        <f>IF(ISNUMBER(VLOOKUP($B204,CEIC_DATA!$I$26:$N$353,Haver_M!BC$2,FALSE)),VLOOKUP($B204,CEIC_DATA!$I$26:$N$353,Haver_M!BC$2,FALSE),NA())</f>
        <v>#N/A</v>
      </c>
      <c r="BD204" t="e">
        <f>IF(ISNUMBER(VLOOKUP($B204,CEIC_DATA!$I$26:$N$353,Haver_M!BD$2,FALSE)),VLOOKUP($B204,CEIC_DATA!$I$26:$N$353,Haver_M!BD$2,FALSE),NA())</f>
        <v>#N/A</v>
      </c>
      <c r="BE204" t="e">
        <f>IF(ISNUMBER(VLOOKUP($B204,CEIC_DATA!$I$26:$N$353,Haver_M!BE$2,FALSE)),VLOOKUP($B204,CEIC_DATA!$I$26:$N$353,Haver_M!BE$2,FALSE),NA())</f>
        <v>#N/A</v>
      </c>
      <c r="BF204">
        <v>1679175</v>
      </c>
      <c r="BG204">
        <v>62058</v>
      </c>
      <c r="BH204">
        <v>2139328</v>
      </c>
      <c r="BI204">
        <v>321569</v>
      </c>
      <c r="BJ204" s="3">
        <v>14479.91</v>
      </c>
      <c r="BK204" s="3">
        <v>26364.84</v>
      </c>
      <c r="BL204" s="3">
        <v>15559.03</v>
      </c>
      <c r="BM204" s="3">
        <v>65527.13</v>
      </c>
      <c r="BN204" s="3">
        <v>21692.27</v>
      </c>
      <c r="BO204" s="3">
        <v>29305.25</v>
      </c>
      <c r="BP204" s="28">
        <v>67.207599999999999</v>
      </c>
      <c r="BQ204" s="28">
        <f t="shared" si="13"/>
        <v>215.45048476660378</v>
      </c>
      <c r="BR204" s="28">
        <f t="shared" si="14"/>
        <v>392.2895624899565</v>
      </c>
      <c r="BS204" s="28">
        <f t="shared" si="15"/>
        <v>231.50700218427679</v>
      </c>
      <c r="BT204" s="28">
        <f t="shared" si="16"/>
        <v>974.9958338045102</v>
      </c>
      <c r="BU204" s="4">
        <v>52019</v>
      </c>
    </row>
    <row r="205" spans="1:73" x14ac:dyDescent="0.25">
      <c r="A205" t="s">
        <v>204</v>
      </c>
      <c r="B205" s="2">
        <v>42613</v>
      </c>
      <c r="C205" s="3">
        <v>6.5</v>
      </c>
      <c r="D205" s="28">
        <v>7.1139999999999999</v>
      </c>
      <c r="E205" s="34">
        <v>92.022909999999996</v>
      </c>
      <c r="F205" s="5">
        <v>131.1</v>
      </c>
      <c r="G205" s="5">
        <v>127.4</v>
      </c>
      <c r="H205" s="3">
        <v>118.74</v>
      </c>
      <c r="I205" s="3">
        <v>112.71</v>
      </c>
      <c r="J205" s="3">
        <v>97.85</v>
      </c>
      <c r="K205" s="3">
        <v>123</v>
      </c>
      <c r="L205" s="3">
        <v>126.5</v>
      </c>
      <c r="M205" s="3">
        <v>123.93</v>
      </c>
      <c r="N205" s="3">
        <v>127.79</v>
      </c>
      <c r="O205" s="5">
        <v>119.8</v>
      </c>
      <c r="P205" s="52">
        <v>106.851</v>
      </c>
      <c r="Q205" s="52">
        <v>95.129000000000005</v>
      </c>
      <c r="R205" s="52">
        <v>66.174999999999997</v>
      </c>
      <c r="S205" s="52">
        <v>118.31100000000001</v>
      </c>
      <c r="T205" s="52">
        <v>108.86799999999999</v>
      </c>
      <c r="U205" s="52">
        <v>138.34800000000001</v>
      </c>
      <c r="V205" s="52">
        <v>126.232</v>
      </c>
      <c r="W205" s="52">
        <v>137.167</v>
      </c>
      <c r="X205" s="3">
        <v>17658.227356692943</v>
      </c>
      <c r="Y205" s="3">
        <v>22026.82</v>
      </c>
      <c r="Z205" s="3">
        <v>29369.89</v>
      </c>
      <c r="AA205" s="4">
        <v>13381</v>
      </c>
      <c r="AB205" s="4">
        <v>8054</v>
      </c>
      <c r="AC205" s="5" t="e">
        <v>#N/A</v>
      </c>
      <c r="AD205" s="5" t="e">
        <v>#N/A</v>
      </c>
      <c r="AE205" s="34">
        <v>36.836532659420783</v>
      </c>
      <c r="AF205" s="28">
        <v>54.559699999999999</v>
      </c>
      <c r="AG205" s="28">
        <v>52.623100000000001</v>
      </c>
      <c r="AH205" s="28">
        <v>54.712400000000002</v>
      </c>
      <c r="AI205" s="28">
        <v>54.255600000000001</v>
      </c>
      <c r="AJ205" s="28">
        <v>54.836500000000001</v>
      </c>
      <c r="AK205" s="28">
        <v>50.413800000000002</v>
      </c>
      <c r="AL205" s="28">
        <v>50.3279</v>
      </c>
      <c r="AM205" s="28">
        <v>50.7468</v>
      </c>
      <c r="AN205" s="28">
        <v>51.7059</v>
      </c>
      <c r="AO205" s="28">
        <v>52.563499999999998</v>
      </c>
      <c r="AP205" s="28">
        <v>47.135300000000001</v>
      </c>
      <c r="AQ205" s="28">
        <v>53.396900000000002</v>
      </c>
      <c r="AR205" s="28">
        <v>50.334099999999999</v>
      </c>
      <c r="AS205" s="28">
        <v>53.454799999999999</v>
      </c>
      <c r="AT205" s="28">
        <v>1.1634</v>
      </c>
      <c r="AU205" s="28">
        <v>49.796100000000003</v>
      </c>
      <c r="AV205" s="28">
        <v>50.061599999999999</v>
      </c>
      <c r="AW205" s="28">
        <v>54.450800000000001</v>
      </c>
      <c r="AX205" s="28">
        <v>49.695500000000003</v>
      </c>
      <c r="AY205" s="28">
        <v>52.472900000000003</v>
      </c>
      <c r="AZ205" s="28">
        <v>52.402099999999997</v>
      </c>
      <c r="BA205" s="3">
        <v>28006.9</v>
      </c>
      <c r="BB205">
        <f>IF(ISNUMBER(VLOOKUP($B205,CEIC_DATA!$I$26:$N$353,Haver_M!BB$2,FALSE)),VLOOKUP($B205,CEIC_DATA!$I$26:$N$353,Haver_M!BB$2,FALSE),NA())</f>
        <v>103.74408982999999</v>
      </c>
      <c r="BC205" t="e">
        <f>IF(ISNUMBER(VLOOKUP($B205,CEIC_DATA!$I$26:$N$353,Haver_M!BC$2,FALSE)),VLOOKUP($B205,CEIC_DATA!$I$26:$N$353,Haver_M!BC$2,FALSE),NA())</f>
        <v>#N/A</v>
      </c>
      <c r="BD205" t="e">
        <f>IF(ISNUMBER(VLOOKUP($B205,CEIC_DATA!$I$26:$N$353,Haver_M!BD$2,FALSE)),VLOOKUP($B205,CEIC_DATA!$I$26:$N$353,Haver_M!BD$2,FALSE),NA())</f>
        <v>#N/A</v>
      </c>
      <c r="BE205" t="e">
        <f>IF(ISNUMBER(VLOOKUP($B205,CEIC_DATA!$I$26:$N$353,Haver_M!BE$2,FALSE)),VLOOKUP($B205,CEIC_DATA!$I$26:$N$353,Haver_M!BE$2,FALSE),NA())</f>
        <v>#N/A</v>
      </c>
      <c r="BF205">
        <v>1846232</v>
      </c>
      <c r="BG205">
        <v>63169</v>
      </c>
      <c r="BH205">
        <v>2320882</v>
      </c>
      <c r="BI205">
        <v>334149</v>
      </c>
      <c r="BJ205" s="3">
        <v>14563.34</v>
      </c>
      <c r="BK205" s="3">
        <v>26181.38</v>
      </c>
      <c r="BL205" s="3">
        <v>15593.54</v>
      </c>
      <c r="BM205" s="3">
        <v>65515.17</v>
      </c>
      <c r="BN205" s="3">
        <v>21597.09</v>
      </c>
      <c r="BO205" s="3">
        <v>29303.200000000001</v>
      </c>
      <c r="BP205" s="28">
        <v>66.939599999999999</v>
      </c>
      <c r="BQ205" s="28">
        <f t="shared" si="13"/>
        <v>217.55941176822091</v>
      </c>
      <c r="BR205" s="28">
        <f t="shared" si="14"/>
        <v>391.11945694327426</v>
      </c>
      <c r="BS205" s="28">
        <f t="shared" si="15"/>
        <v>232.9494051353758</v>
      </c>
      <c r="BT205" s="28">
        <f t="shared" si="16"/>
        <v>978.72066758689925</v>
      </c>
      <c r="BU205" s="4">
        <v>44232</v>
      </c>
    </row>
    <row r="206" spans="1:73" x14ac:dyDescent="0.25">
      <c r="A206" t="s">
        <v>205</v>
      </c>
      <c r="B206" s="2">
        <v>42643</v>
      </c>
      <c r="C206" s="3">
        <v>6.5</v>
      </c>
      <c r="D206" s="28">
        <v>6.8095999999999997</v>
      </c>
      <c r="E206" s="34">
        <v>92.110169999999997</v>
      </c>
      <c r="F206" s="5">
        <v>130.9</v>
      </c>
      <c r="G206" s="5">
        <v>128</v>
      </c>
      <c r="H206" s="3">
        <v>119.63</v>
      </c>
      <c r="I206" s="3">
        <v>115.44</v>
      </c>
      <c r="J206" s="3">
        <v>94.88</v>
      </c>
      <c r="K206" s="3">
        <v>121.27</v>
      </c>
      <c r="L206" s="3">
        <v>128.71</v>
      </c>
      <c r="M206" s="3">
        <v>127.19</v>
      </c>
      <c r="N206" s="3">
        <v>128</v>
      </c>
      <c r="O206" s="5">
        <v>121</v>
      </c>
      <c r="P206" s="52">
        <v>112.123</v>
      </c>
      <c r="Q206" s="52">
        <v>94.028000000000006</v>
      </c>
      <c r="R206" s="52">
        <v>65.721000000000004</v>
      </c>
      <c r="S206" s="52">
        <v>118.79600000000001</v>
      </c>
      <c r="T206" s="52">
        <v>108.212</v>
      </c>
      <c r="U206" s="52">
        <v>138.18</v>
      </c>
      <c r="V206" s="52">
        <v>127.982</v>
      </c>
      <c r="W206" s="52">
        <v>142.73699999999999</v>
      </c>
      <c r="X206" s="3">
        <v>16066.004651064597</v>
      </c>
      <c r="Y206" s="3">
        <v>22252.16</v>
      </c>
      <c r="Z206" s="3">
        <v>31849.9</v>
      </c>
      <c r="AA206" s="4">
        <v>13773</v>
      </c>
      <c r="AB206" s="4">
        <v>8304</v>
      </c>
      <c r="AC206" s="5">
        <v>104.2</v>
      </c>
      <c r="AD206" s="5">
        <v>123.3</v>
      </c>
      <c r="AE206" s="34">
        <v>28.052208941337614</v>
      </c>
      <c r="AF206" s="28">
        <v>52.4497</v>
      </c>
      <c r="AG206" s="28">
        <v>52.072099999999999</v>
      </c>
      <c r="AH206" s="28">
        <v>52.039499999999997</v>
      </c>
      <c r="AI206" s="28">
        <v>53.266100000000002</v>
      </c>
      <c r="AJ206" s="28">
        <v>53.616999999999997</v>
      </c>
      <c r="AK206" s="28">
        <v>50.213799999999999</v>
      </c>
      <c r="AL206" s="28">
        <v>49.587600000000002</v>
      </c>
      <c r="AM206" s="28">
        <v>50.658999999999999</v>
      </c>
      <c r="AN206" s="28">
        <v>52.849400000000003</v>
      </c>
      <c r="AO206" s="28">
        <v>51.997399999999999</v>
      </c>
      <c r="AP206" s="28">
        <v>48.066800000000001</v>
      </c>
      <c r="AQ206" s="28">
        <v>54.403300000000002</v>
      </c>
      <c r="AR206" s="28">
        <v>50.744599999999998</v>
      </c>
      <c r="AS206" s="28">
        <v>53.265599999999999</v>
      </c>
      <c r="AT206" s="28">
        <v>1.1154999999999999</v>
      </c>
      <c r="AU206" s="28">
        <v>50.090499999999999</v>
      </c>
      <c r="AV206" s="28">
        <v>50.632100000000001</v>
      </c>
      <c r="AW206" s="28">
        <v>52.14</v>
      </c>
      <c r="AX206" s="28">
        <v>52.3994</v>
      </c>
      <c r="AY206" s="28">
        <v>52.740499999999997</v>
      </c>
      <c r="AZ206" s="28">
        <v>52.956800000000001</v>
      </c>
      <c r="BA206" s="3">
        <v>28502.55</v>
      </c>
      <c r="BB206">
        <f>IF(ISNUMBER(VLOOKUP($B206,CEIC_DATA!$I$26:$N$353,Haver_M!BB$2,FALSE)),VLOOKUP($B206,CEIC_DATA!$I$26:$N$353,Haver_M!BB$2,FALSE),NA())</f>
        <v>101.21481651000001</v>
      </c>
      <c r="BC206">
        <f>IF(ISNUMBER(VLOOKUP($B206,CEIC_DATA!$I$26:$N$353,Haver_M!BC$2,FALSE)),VLOOKUP($B206,CEIC_DATA!$I$26:$N$353,Haver_M!BC$2,FALSE),NA())</f>
        <v>102.7</v>
      </c>
      <c r="BD206">
        <f>IF(ISNUMBER(VLOOKUP($B206,CEIC_DATA!$I$26:$N$353,Haver_M!BD$2,FALSE)),VLOOKUP($B206,CEIC_DATA!$I$26:$N$353,Haver_M!BD$2,FALSE),NA())</f>
        <v>112.9</v>
      </c>
      <c r="BE206">
        <f>IF(ISNUMBER(VLOOKUP($B206,CEIC_DATA!$I$26:$N$353,Haver_M!BE$2,FALSE)),VLOOKUP($B206,CEIC_DATA!$I$26:$N$353,Haver_M!BE$2,FALSE),NA())</f>
        <v>33.5</v>
      </c>
      <c r="BF206">
        <v>2078105</v>
      </c>
      <c r="BG206">
        <v>71035</v>
      </c>
      <c r="BH206">
        <v>2577694</v>
      </c>
      <c r="BI206">
        <v>349390</v>
      </c>
      <c r="BJ206" s="3">
        <v>15016.58</v>
      </c>
      <c r="BK206" s="3">
        <v>26521.53</v>
      </c>
      <c r="BL206" s="3">
        <v>16590.060000000001</v>
      </c>
      <c r="BM206" s="3">
        <v>67555.649999999994</v>
      </c>
      <c r="BN206" s="3">
        <v>22769.07</v>
      </c>
      <c r="BO206" s="3">
        <v>31840.48</v>
      </c>
      <c r="BP206" s="28">
        <v>66.737700000000004</v>
      </c>
      <c r="BQ206" s="28">
        <f t="shared" si="13"/>
        <v>225.00895296062043</v>
      </c>
      <c r="BR206" s="28">
        <f t="shared" si="14"/>
        <v>397.39952081057629</v>
      </c>
      <c r="BS206" s="28">
        <f t="shared" si="15"/>
        <v>248.58603158334796</v>
      </c>
      <c r="BT206" s="28">
        <f t="shared" si="16"/>
        <v>1012.2561910284591</v>
      </c>
      <c r="BU206" s="4">
        <v>38020</v>
      </c>
    </row>
    <row r="207" spans="1:73" x14ac:dyDescent="0.25">
      <c r="A207" t="s">
        <v>206</v>
      </c>
      <c r="B207" s="2">
        <v>42674</v>
      </c>
      <c r="C207" s="3">
        <v>6.25</v>
      </c>
      <c r="D207" s="28">
        <v>6.8216000000000001</v>
      </c>
      <c r="E207" s="34">
        <v>92.918589999999995</v>
      </c>
      <c r="F207" s="5">
        <v>131.4</v>
      </c>
      <c r="G207" s="5">
        <v>128.6</v>
      </c>
      <c r="H207" s="3">
        <v>122.23</v>
      </c>
      <c r="I207" s="3">
        <v>118.77</v>
      </c>
      <c r="J207" s="3">
        <v>100.33</v>
      </c>
      <c r="K207" s="3">
        <v>126.61</v>
      </c>
      <c r="L207" s="3">
        <v>127.8</v>
      </c>
      <c r="M207" s="3">
        <v>126.75</v>
      </c>
      <c r="N207" s="3">
        <v>128.72</v>
      </c>
      <c r="O207" s="5">
        <v>121.4</v>
      </c>
      <c r="P207" s="52">
        <v>120.051</v>
      </c>
      <c r="Q207" s="52">
        <v>93.974999999999994</v>
      </c>
      <c r="R207" s="52">
        <v>66.867000000000004</v>
      </c>
      <c r="S207" s="52">
        <v>119.776</v>
      </c>
      <c r="T207" s="52">
        <v>105.95399999999999</v>
      </c>
      <c r="U207" s="52">
        <v>134.41999999999999</v>
      </c>
      <c r="V207" s="52">
        <v>131.89699999999999</v>
      </c>
      <c r="W207" s="52">
        <v>142.27199999999999</v>
      </c>
      <c r="X207" s="3">
        <v>16583.867327271102</v>
      </c>
      <c r="Y207" s="3">
        <v>23410.93</v>
      </c>
      <c r="Z207" s="3">
        <v>33806.29</v>
      </c>
      <c r="AA207" s="4">
        <v>13113</v>
      </c>
      <c r="AB207" s="4">
        <v>7680</v>
      </c>
      <c r="AC207" s="5" t="e">
        <v>#N/A</v>
      </c>
      <c r="AD207" s="5" t="e">
        <v>#N/A</v>
      </c>
      <c r="AE207" s="34">
        <v>44.949795888463257</v>
      </c>
      <c r="AF207" s="28">
        <v>55.393599999999999</v>
      </c>
      <c r="AG207" s="28">
        <v>54.395099999999999</v>
      </c>
      <c r="AH207" s="28">
        <v>54.481400000000001</v>
      </c>
      <c r="AI207" s="28">
        <v>57.2087</v>
      </c>
      <c r="AJ207" s="28">
        <v>57.721299999999999</v>
      </c>
      <c r="AK207" s="28">
        <v>50</v>
      </c>
      <c r="AL207" s="28">
        <v>49.920400000000001</v>
      </c>
      <c r="AM207" s="28">
        <v>52.645299999999999</v>
      </c>
      <c r="AN207" s="28">
        <v>55.1843</v>
      </c>
      <c r="AO207" s="28">
        <v>54.572400000000002</v>
      </c>
      <c r="AP207" s="28">
        <v>48.218400000000003</v>
      </c>
      <c r="AQ207" s="28">
        <v>53.192</v>
      </c>
      <c r="AR207" s="28">
        <v>51.752600000000001</v>
      </c>
      <c r="AS207" s="28">
        <v>53.667299999999997</v>
      </c>
      <c r="AT207" s="28">
        <v>1.1971000000000001</v>
      </c>
      <c r="AU207" s="28">
        <v>50.046799999999998</v>
      </c>
      <c r="AV207" s="28">
        <v>49.908000000000001</v>
      </c>
      <c r="AW207" s="28">
        <v>54.325899999999997</v>
      </c>
      <c r="AX207" s="28">
        <v>50.381799999999998</v>
      </c>
      <c r="AY207" s="28">
        <v>53.611199999999997</v>
      </c>
      <c r="AZ207" s="28">
        <v>52.853900000000003</v>
      </c>
      <c r="BA207" s="3">
        <v>28005.66</v>
      </c>
      <c r="BB207">
        <f>IF(ISNUMBER(VLOOKUP($B207,CEIC_DATA!$I$26:$N$353,Haver_M!BB$2,FALSE)),VLOOKUP($B207,CEIC_DATA!$I$26:$N$353,Haver_M!BB$2,FALSE),NA())</f>
        <v>97.703140270000006</v>
      </c>
      <c r="BC207" t="e">
        <f>IF(ISNUMBER(VLOOKUP($B207,CEIC_DATA!$I$26:$N$353,Haver_M!BC$2,FALSE)),VLOOKUP($B207,CEIC_DATA!$I$26:$N$353,Haver_M!BC$2,FALSE),NA())</f>
        <v>#N/A</v>
      </c>
      <c r="BD207" t="e">
        <f>IF(ISNUMBER(VLOOKUP($B207,CEIC_DATA!$I$26:$N$353,Haver_M!BD$2,FALSE)),VLOOKUP($B207,CEIC_DATA!$I$26:$N$353,Haver_M!BD$2,FALSE),NA())</f>
        <v>#N/A</v>
      </c>
      <c r="BE207" t="e">
        <f>IF(ISNUMBER(VLOOKUP($B207,CEIC_DATA!$I$26:$N$353,Haver_M!BE$2,FALSE)),VLOOKUP($B207,CEIC_DATA!$I$26:$N$353,Haver_M!BE$2,FALSE),NA())</f>
        <v>#N/A</v>
      </c>
      <c r="BF207">
        <v>1984915</v>
      </c>
      <c r="BG207">
        <v>75795</v>
      </c>
      <c r="BH207">
        <v>2491769</v>
      </c>
      <c r="BI207">
        <v>348243</v>
      </c>
      <c r="BJ207" s="3">
        <v>15041.16</v>
      </c>
      <c r="BK207" s="3">
        <v>26046.76</v>
      </c>
      <c r="BL207" s="3">
        <v>15848.95</v>
      </c>
      <c r="BM207" s="3">
        <v>66239.210000000006</v>
      </c>
      <c r="BN207" s="3">
        <v>23360.61</v>
      </c>
      <c r="BO207" s="3">
        <v>34495.089999999997</v>
      </c>
      <c r="BP207" s="28">
        <v>66.747699999999995</v>
      </c>
      <c r="BQ207" s="28">
        <f t="shared" si="13"/>
        <v>225.34349498184957</v>
      </c>
      <c r="BR207" s="28">
        <f t="shared" si="14"/>
        <v>390.22707898549316</v>
      </c>
      <c r="BS207" s="28">
        <f t="shared" si="15"/>
        <v>237.44563483086313</v>
      </c>
      <c r="BT207" s="28">
        <f t="shared" si="16"/>
        <v>992.38190978865202</v>
      </c>
      <c r="BU207" s="4">
        <v>50189</v>
      </c>
    </row>
    <row r="208" spans="1:73" x14ac:dyDescent="0.25">
      <c r="A208" t="s">
        <v>207</v>
      </c>
      <c r="B208" s="2">
        <v>42704</v>
      </c>
      <c r="C208" s="3">
        <v>6.25</v>
      </c>
      <c r="D208" s="28">
        <v>6.3048999999999999</v>
      </c>
      <c r="E208" s="34">
        <v>93.335520000000002</v>
      </c>
      <c r="F208" s="5">
        <v>131.19999999999999</v>
      </c>
      <c r="G208" s="5">
        <v>128.9</v>
      </c>
      <c r="H208" s="3">
        <v>119.02</v>
      </c>
      <c r="I208" s="3">
        <v>118.47</v>
      </c>
      <c r="J208" s="3">
        <v>101.84</v>
      </c>
      <c r="K208" s="3">
        <v>120.79</v>
      </c>
      <c r="L208" s="3">
        <v>120.29</v>
      </c>
      <c r="M208" s="3">
        <v>121.12</v>
      </c>
      <c r="N208" s="3">
        <v>120.8</v>
      </c>
      <c r="O208" s="5">
        <v>118.9</v>
      </c>
      <c r="P208" s="52">
        <v>124.499</v>
      </c>
      <c r="Q208" s="52">
        <v>92.444999999999993</v>
      </c>
      <c r="R208" s="52">
        <v>67.218000000000004</v>
      </c>
      <c r="S208" s="52">
        <v>117.681</v>
      </c>
      <c r="T208" s="52">
        <v>107.637</v>
      </c>
      <c r="U208" s="52">
        <v>125.822</v>
      </c>
      <c r="V208" s="52">
        <v>117.434</v>
      </c>
      <c r="W208" s="52">
        <v>143.57</v>
      </c>
      <c r="X208" s="3">
        <v>16247.641981432436</v>
      </c>
      <c r="Y208" s="3">
        <v>21428.67</v>
      </c>
      <c r="Z208" s="3">
        <v>33360.339999999997</v>
      </c>
      <c r="AA208" s="4">
        <v>13338</v>
      </c>
      <c r="AB208" s="4">
        <v>8323</v>
      </c>
      <c r="AC208" s="5">
        <v>108.7</v>
      </c>
      <c r="AD208" s="5">
        <v>125.5</v>
      </c>
      <c r="AE208" s="34">
        <v>76.892969978354515</v>
      </c>
      <c r="AF208" s="28">
        <v>49.059699999999999</v>
      </c>
      <c r="AG208" s="28">
        <v>52.255800000000001</v>
      </c>
      <c r="AH208" s="28">
        <v>46.694200000000002</v>
      </c>
      <c r="AI208" s="28">
        <v>53.766599999999997</v>
      </c>
      <c r="AJ208" s="28">
        <v>53.280999999999999</v>
      </c>
      <c r="AK208" s="28">
        <v>50.19</v>
      </c>
      <c r="AL208" s="28">
        <v>49.801699999999997</v>
      </c>
      <c r="AM208" s="28">
        <v>52.620899999999999</v>
      </c>
      <c r="AN208" s="28">
        <v>53.540199999999999</v>
      </c>
      <c r="AO208" s="28">
        <v>53.107599999999998</v>
      </c>
      <c r="AP208" s="28">
        <v>47.4133</v>
      </c>
      <c r="AQ208" s="28">
        <v>51.0809</v>
      </c>
      <c r="AR208" s="28">
        <v>51.1736</v>
      </c>
      <c r="AS208" s="28">
        <v>52.1556</v>
      </c>
      <c r="AT208" s="28">
        <v>1.1237999999999999</v>
      </c>
      <c r="AU208" s="28">
        <v>50.394799999999996</v>
      </c>
      <c r="AV208" s="28">
        <v>49.536799999999999</v>
      </c>
      <c r="AW208" s="28">
        <v>46.749099999999999</v>
      </c>
      <c r="AX208" s="28">
        <v>50.128999999999998</v>
      </c>
      <c r="AY208" s="28">
        <v>50.783900000000003</v>
      </c>
      <c r="AZ208" s="28">
        <v>52.348100000000002</v>
      </c>
      <c r="BA208" s="3">
        <v>26718.09</v>
      </c>
      <c r="BB208">
        <f>IF(ISNUMBER(VLOOKUP($B208,CEIC_DATA!$I$26:$N$353,Haver_M!BB$2,FALSE)),VLOOKUP($B208,CEIC_DATA!$I$26:$N$353,Haver_M!BB$2,FALSE),NA())</f>
        <v>93.940853930000003</v>
      </c>
      <c r="BC208" t="e">
        <f>IF(ISNUMBER(VLOOKUP($B208,CEIC_DATA!$I$26:$N$353,Haver_M!BC$2,FALSE)),VLOOKUP($B208,CEIC_DATA!$I$26:$N$353,Haver_M!BC$2,FALSE),NA())</f>
        <v>#N/A</v>
      </c>
      <c r="BD208" t="e">
        <f>IF(ISNUMBER(VLOOKUP($B208,CEIC_DATA!$I$26:$N$353,Haver_M!BD$2,FALSE)),VLOOKUP($B208,CEIC_DATA!$I$26:$N$353,Haver_M!BD$2,FALSE),NA())</f>
        <v>#N/A</v>
      </c>
      <c r="BE208" t="e">
        <f>IF(ISNUMBER(VLOOKUP($B208,CEIC_DATA!$I$26:$N$353,Haver_M!BE$2,FALSE)),VLOOKUP($B208,CEIC_DATA!$I$26:$N$353,Haver_M!BE$2,FALSE),NA())</f>
        <v>#N/A</v>
      </c>
      <c r="BF208">
        <v>1432152</v>
      </c>
      <c r="BG208">
        <v>54699</v>
      </c>
      <c r="BH208">
        <v>1849123</v>
      </c>
      <c r="BI208">
        <v>305146</v>
      </c>
      <c r="BJ208" s="3">
        <v>15031.23</v>
      </c>
      <c r="BK208" s="3">
        <v>25792.62</v>
      </c>
      <c r="BL208" s="3">
        <v>15426.21</v>
      </c>
      <c r="BM208" s="3">
        <v>65362.35</v>
      </c>
      <c r="BN208" s="3">
        <v>20066.259999999998</v>
      </c>
      <c r="BO208" s="3">
        <v>33461.870000000003</v>
      </c>
      <c r="BP208" s="28">
        <v>67.625699999999995</v>
      </c>
      <c r="BQ208" s="28">
        <f t="shared" si="13"/>
        <v>222.27097094743567</v>
      </c>
      <c r="BR208" s="28">
        <f t="shared" si="14"/>
        <v>381.40263243116152</v>
      </c>
      <c r="BS208" s="28">
        <f t="shared" si="15"/>
        <v>228.11164986092567</v>
      </c>
      <c r="BT208" s="28">
        <f t="shared" si="16"/>
        <v>966.53121520368745</v>
      </c>
      <c r="BU208" s="4">
        <v>51442</v>
      </c>
    </row>
    <row r="209" spans="1:73" x14ac:dyDescent="0.25">
      <c r="A209" t="s">
        <v>208</v>
      </c>
      <c r="B209" s="2">
        <v>42735</v>
      </c>
      <c r="C209" s="3">
        <v>6.25</v>
      </c>
      <c r="D209" s="28">
        <v>7.1725000000000003</v>
      </c>
      <c r="E209" s="34">
        <v>93.064520000000002</v>
      </c>
      <c r="F209" s="5">
        <v>130.4</v>
      </c>
      <c r="G209" s="5">
        <v>128.9</v>
      </c>
      <c r="H209" s="3">
        <v>118.91</v>
      </c>
      <c r="I209" s="3">
        <v>119.31</v>
      </c>
      <c r="J209" s="3">
        <v>95.91</v>
      </c>
      <c r="K209" s="3">
        <v>120.01</v>
      </c>
      <c r="L209" s="3">
        <v>125.73</v>
      </c>
      <c r="M209" s="3">
        <v>120.49</v>
      </c>
      <c r="N209" s="3">
        <v>121.46</v>
      </c>
      <c r="O209" s="5">
        <v>121.4</v>
      </c>
      <c r="P209" s="52">
        <v>125.685</v>
      </c>
      <c r="Q209" s="52">
        <v>94.8</v>
      </c>
      <c r="R209" s="52">
        <v>66.543000000000006</v>
      </c>
      <c r="S209" s="52">
        <v>120.521</v>
      </c>
      <c r="T209" s="52">
        <v>103.56699999999999</v>
      </c>
      <c r="U209" s="52">
        <v>136.28299999999999</v>
      </c>
      <c r="V209" s="52">
        <v>114.629</v>
      </c>
      <c r="W209" s="52">
        <v>143.42500000000001</v>
      </c>
      <c r="X209" s="3">
        <v>15822.682291345905</v>
      </c>
      <c r="Y209" s="3">
        <v>23151.27</v>
      </c>
      <c r="Z209" s="3">
        <v>34189.65</v>
      </c>
      <c r="AA209" s="4">
        <v>13804</v>
      </c>
      <c r="AB209" s="4">
        <v>8294</v>
      </c>
      <c r="AC209" s="5">
        <v>102</v>
      </c>
      <c r="AD209" s="5">
        <v>129.69999999999999</v>
      </c>
      <c r="AE209" s="34">
        <v>91.00034109343153</v>
      </c>
      <c r="AF209" s="28">
        <v>47.565199999999997</v>
      </c>
      <c r="AG209" s="28">
        <v>49.610599999999998</v>
      </c>
      <c r="AH209" s="28">
        <v>46.8277</v>
      </c>
      <c r="AI209" s="28">
        <v>49.032800000000002</v>
      </c>
      <c r="AJ209" s="28">
        <v>49.697000000000003</v>
      </c>
      <c r="AK209" s="28">
        <v>49.771700000000003</v>
      </c>
      <c r="AL209" s="28">
        <v>49.835000000000001</v>
      </c>
      <c r="AM209" s="28">
        <v>49.642000000000003</v>
      </c>
      <c r="AN209" s="28">
        <v>54.734200000000001</v>
      </c>
      <c r="AO209" s="28">
        <v>49.399000000000001</v>
      </c>
      <c r="AP209" s="28">
        <v>48.7639</v>
      </c>
      <c r="AQ209" s="28">
        <v>48.5169</v>
      </c>
      <c r="AR209" s="28">
        <v>50.463200000000001</v>
      </c>
      <c r="AS209" s="28">
        <v>51.491100000000003</v>
      </c>
      <c r="AT209" s="28">
        <v>1.0190999999999999</v>
      </c>
      <c r="AU209" s="28">
        <v>49.919400000000003</v>
      </c>
      <c r="AV209" s="28">
        <v>49.665599999999998</v>
      </c>
      <c r="AW209" s="28">
        <v>46.027900000000002</v>
      </c>
      <c r="AX209" s="28">
        <v>50.6935</v>
      </c>
      <c r="AY209" s="28">
        <v>48.662300000000002</v>
      </c>
      <c r="AZ209" s="28">
        <v>52.1267</v>
      </c>
      <c r="BA209" s="3">
        <v>26372.93</v>
      </c>
      <c r="BB209">
        <f>IF(ISNUMBER(VLOOKUP($B209,CEIC_DATA!$I$26:$N$353,Haver_M!BB$2,FALSE)),VLOOKUP($B209,CEIC_DATA!$I$26:$N$353,Haver_M!BB$2,FALSE),NA())</f>
        <v>91.250913679999996</v>
      </c>
      <c r="BC209">
        <f>IF(ISNUMBER(VLOOKUP($B209,CEIC_DATA!$I$26:$N$353,Haver_M!BC$2,FALSE)),VLOOKUP($B209,CEIC_DATA!$I$26:$N$353,Haver_M!BC$2,FALSE),NA())</f>
        <v>101.1</v>
      </c>
      <c r="BD209">
        <f>IF(ISNUMBER(VLOOKUP($B209,CEIC_DATA!$I$26:$N$353,Haver_M!BD$2,FALSE)),VLOOKUP($B209,CEIC_DATA!$I$26:$N$353,Haver_M!BD$2,FALSE),NA())</f>
        <v>112.9</v>
      </c>
      <c r="BE209">
        <f>IF(ISNUMBER(VLOOKUP($B209,CEIC_DATA!$I$26:$N$353,Haver_M!BE$2,FALSE)),VLOOKUP($B209,CEIC_DATA!$I$26:$N$353,Haver_M!BE$2,FALSE),NA())</f>
        <v>31.3</v>
      </c>
      <c r="BF209">
        <v>1110459</v>
      </c>
      <c r="BG209">
        <v>61965</v>
      </c>
      <c r="BH209">
        <v>1523262</v>
      </c>
      <c r="BI209">
        <v>305135</v>
      </c>
      <c r="BJ209" s="3">
        <v>15091.92</v>
      </c>
      <c r="BK209" s="3">
        <v>25791.24</v>
      </c>
      <c r="BL209" s="3">
        <v>15793.89</v>
      </c>
      <c r="BM209" s="3">
        <v>65789.740000000005</v>
      </c>
      <c r="BN209" s="3">
        <v>24056.48</v>
      </c>
      <c r="BO209" s="3">
        <v>34602.47</v>
      </c>
      <c r="BP209" s="28">
        <v>67.900400000000005</v>
      </c>
      <c r="BQ209" s="28">
        <f t="shared" si="13"/>
        <v>222.26555366389593</v>
      </c>
      <c r="BR209" s="28">
        <f t="shared" si="14"/>
        <v>379.83929402477747</v>
      </c>
      <c r="BS209" s="28">
        <f t="shared" si="15"/>
        <v>232.60378436651328</v>
      </c>
      <c r="BT209" s="28">
        <f t="shared" si="16"/>
        <v>968.91535248687785</v>
      </c>
      <c r="BU209" s="4">
        <v>51584</v>
      </c>
    </row>
    <row r="210" spans="1:73" x14ac:dyDescent="0.25">
      <c r="A210" t="s">
        <v>209</v>
      </c>
      <c r="B210" s="2">
        <v>42766</v>
      </c>
      <c r="C210" s="3">
        <v>6.25</v>
      </c>
      <c r="D210" s="28">
        <v>7.1485000000000003</v>
      </c>
      <c r="E210" s="34">
        <v>91.803070000000005</v>
      </c>
      <c r="F210" s="5">
        <v>130.30000000000001</v>
      </c>
      <c r="G210" s="5">
        <v>129.4</v>
      </c>
      <c r="H210" s="3">
        <v>119.83</v>
      </c>
      <c r="I210" s="3">
        <v>117.58</v>
      </c>
      <c r="J210" s="3">
        <v>100.57</v>
      </c>
      <c r="K210" s="3">
        <v>122.09</v>
      </c>
      <c r="L210" s="3">
        <v>124.82</v>
      </c>
      <c r="M210" s="3">
        <v>118.69</v>
      </c>
      <c r="N210" s="3">
        <v>129.22999999999999</v>
      </c>
      <c r="O210" s="5">
        <v>120.7</v>
      </c>
      <c r="P210" s="52">
        <v>123.947</v>
      </c>
      <c r="Q210" s="52">
        <v>95.921999999999997</v>
      </c>
      <c r="R210" s="52">
        <v>67.325000000000003</v>
      </c>
      <c r="S210" s="52">
        <v>118.574</v>
      </c>
      <c r="T210" s="52">
        <v>104.834</v>
      </c>
      <c r="U210" s="52">
        <v>136.768</v>
      </c>
      <c r="V210" s="52">
        <v>112.491</v>
      </c>
      <c r="W210" s="52">
        <v>142.572</v>
      </c>
      <c r="X210" s="3">
        <v>15310.290524414368</v>
      </c>
      <c r="Y210" s="3">
        <v>22877.97</v>
      </c>
      <c r="Z210" s="3">
        <v>33238.33</v>
      </c>
      <c r="AA210" s="4">
        <v>13570</v>
      </c>
      <c r="AB210" s="4">
        <v>8409</v>
      </c>
      <c r="AC210" s="5" t="e">
        <v>#N/A</v>
      </c>
      <c r="AD210" s="5" t="e">
        <v>#N/A</v>
      </c>
      <c r="AE210" s="34">
        <v>84.997114292322451</v>
      </c>
      <c r="AF210" s="28">
        <v>49.418599999999998</v>
      </c>
      <c r="AG210" s="28">
        <v>50.359400000000001</v>
      </c>
      <c r="AH210" s="28">
        <v>48.747599999999998</v>
      </c>
      <c r="AI210" s="28">
        <v>50.896500000000003</v>
      </c>
      <c r="AJ210" s="28">
        <v>50.929299999999998</v>
      </c>
      <c r="AK210" s="28">
        <v>50</v>
      </c>
      <c r="AL210" s="28">
        <v>50.0807</v>
      </c>
      <c r="AM210" s="28">
        <v>48.685600000000001</v>
      </c>
      <c r="AN210" s="28">
        <v>56.760800000000003</v>
      </c>
      <c r="AO210" s="28">
        <v>50.747599999999998</v>
      </c>
      <c r="AP210" s="28">
        <v>46.275399999999998</v>
      </c>
      <c r="AQ210" s="28">
        <v>49.806800000000003</v>
      </c>
      <c r="AR210" s="28">
        <v>50.71</v>
      </c>
      <c r="AS210" s="28">
        <v>51.867400000000004</v>
      </c>
      <c r="AT210" s="28">
        <v>1.1006</v>
      </c>
      <c r="AU210" s="28">
        <v>50.320500000000003</v>
      </c>
      <c r="AV210" s="28">
        <v>49.878900000000002</v>
      </c>
      <c r="AW210" s="28">
        <v>48.586100000000002</v>
      </c>
      <c r="AX210" s="28">
        <v>50.320500000000003</v>
      </c>
      <c r="AY210" s="28">
        <v>49.950800000000001</v>
      </c>
      <c r="AZ210" s="28">
        <v>52.322499999999998</v>
      </c>
      <c r="BA210" s="3">
        <v>27165.46</v>
      </c>
      <c r="BB210">
        <f>IF(ISNUMBER(VLOOKUP($B210,CEIC_DATA!$I$26:$N$353,Haver_M!BB$2,FALSE)),VLOOKUP($B210,CEIC_DATA!$I$26:$N$353,Haver_M!BB$2,FALSE),NA())</f>
        <v>90.491737740000005</v>
      </c>
      <c r="BC210" t="e">
        <f>IF(ISNUMBER(VLOOKUP($B210,CEIC_DATA!$I$26:$N$353,Haver_M!BC$2,FALSE)),VLOOKUP($B210,CEIC_DATA!$I$26:$N$353,Haver_M!BC$2,FALSE),NA())</f>
        <v>#N/A</v>
      </c>
      <c r="BD210" t="e">
        <f>IF(ISNUMBER(VLOOKUP($B210,CEIC_DATA!$I$26:$N$353,Haver_M!BD$2,FALSE)),VLOOKUP($B210,CEIC_DATA!$I$26:$N$353,Haver_M!BD$2,FALSE),NA())</f>
        <v>#N/A</v>
      </c>
      <c r="BE210" t="e">
        <f>IF(ISNUMBER(VLOOKUP($B210,CEIC_DATA!$I$26:$N$353,Haver_M!BE$2,FALSE)),VLOOKUP($B210,CEIC_DATA!$I$26:$N$353,Haver_M!BE$2,FALSE),NA())</f>
        <v>#N/A</v>
      </c>
      <c r="BF210">
        <v>1440535</v>
      </c>
      <c r="BG210">
        <v>69452</v>
      </c>
      <c r="BH210">
        <v>1875532</v>
      </c>
      <c r="BI210">
        <v>314029</v>
      </c>
      <c r="BJ210" s="3">
        <v>15235.84</v>
      </c>
      <c r="BK210" s="3">
        <v>25865.96</v>
      </c>
      <c r="BL210" s="3">
        <v>15923.43</v>
      </c>
      <c r="BM210" s="3">
        <v>66227.59</v>
      </c>
      <c r="BN210" s="3">
        <v>22356.32</v>
      </c>
      <c r="BO210" s="3">
        <v>32261.14</v>
      </c>
      <c r="BP210" s="28">
        <v>68.080399999999997</v>
      </c>
      <c r="BQ210" s="28">
        <f t="shared" si="13"/>
        <v>223.791869612987</v>
      </c>
      <c r="BR210" s="28">
        <f t="shared" si="14"/>
        <v>379.93255033754207</v>
      </c>
      <c r="BS210" s="28">
        <f t="shared" si="15"/>
        <v>233.89154587810884</v>
      </c>
      <c r="BT210" s="28">
        <f t="shared" si="16"/>
        <v>972.78497188618167</v>
      </c>
      <c r="BU210" s="4">
        <v>46998</v>
      </c>
    </row>
    <row r="211" spans="1:73" x14ac:dyDescent="0.25">
      <c r="A211" t="s">
        <v>210</v>
      </c>
      <c r="B211" s="2">
        <v>42794</v>
      </c>
      <c r="C211" s="3">
        <v>6.25</v>
      </c>
      <c r="D211" s="28">
        <v>7.0911999999999997</v>
      </c>
      <c r="E211" s="34">
        <v>92.787289999999999</v>
      </c>
      <c r="F211" s="5">
        <v>130.6</v>
      </c>
      <c r="G211" s="5">
        <v>129.9</v>
      </c>
      <c r="H211" s="3">
        <v>121.05</v>
      </c>
      <c r="I211" s="3">
        <v>119.63</v>
      </c>
      <c r="J211" s="3">
        <v>100.16</v>
      </c>
      <c r="K211" s="3">
        <v>124.13</v>
      </c>
      <c r="L211" s="3">
        <v>124.65</v>
      </c>
      <c r="M211" s="3">
        <v>118.8</v>
      </c>
      <c r="N211" s="3">
        <v>131.41999999999999</v>
      </c>
      <c r="O211" s="5">
        <v>122</v>
      </c>
      <c r="P211" s="52">
        <v>127.41</v>
      </c>
      <c r="Q211" s="52">
        <v>95.234999999999999</v>
      </c>
      <c r="R211" s="52">
        <v>68.585999999999999</v>
      </c>
      <c r="S211" s="52">
        <v>117.877</v>
      </c>
      <c r="T211" s="52">
        <v>105.58</v>
      </c>
      <c r="U211" s="52">
        <v>136.29300000000001</v>
      </c>
      <c r="V211" s="52">
        <v>113.033</v>
      </c>
      <c r="W211" s="52">
        <v>144.66</v>
      </c>
      <c r="X211" s="3">
        <v>15940.886841313602</v>
      </c>
      <c r="Y211" s="3">
        <v>25163.99</v>
      </c>
      <c r="Z211" s="3">
        <v>37037.339999999997</v>
      </c>
      <c r="AA211" s="4">
        <v>13060</v>
      </c>
      <c r="AB211" s="4">
        <v>7235</v>
      </c>
      <c r="AC211" s="5" t="e">
        <v>#N/A</v>
      </c>
      <c r="AD211" s="5" t="e">
        <v>#N/A</v>
      </c>
      <c r="AE211" s="34">
        <v>100.46812846625274</v>
      </c>
      <c r="AF211" s="28">
        <v>50.680999999999997</v>
      </c>
      <c r="AG211" s="28">
        <v>50.660200000000003</v>
      </c>
      <c r="AH211" s="28">
        <v>50.299199999999999</v>
      </c>
      <c r="AI211" s="28">
        <v>51.521799999999999</v>
      </c>
      <c r="AJ211" s="28">
        <v>51.327100000000002</v>
      </c>
      <c r="AK211" s="28">
        <v>49.525500000000001</v>
      </c>
      <c r="AL211" s="28">
        <v>49.853200000000001</v>
      </c>
      <c r="AM211" s="28">
        <v>49.545499999999997</v>
      </c>
      <c r="AN211" s="28">
        <v>57.491999999999997</v>
      </c>
      <c r="AO211" s="28">
        <v>51.020200000000003</v>
      </c>
      <c r="AP211" s="28">
        <v>45.697299999999998</v>
      </c>
      <c r="AQ211" s="28">
        <v>50.709699999999998</v>
      </c>
      <c r="AR211" s="28">
        <v>53.3645</v>
      </c>
      <c r="AS211" s="28">
        <v>52.286299999999997</v>
      </c>
      <c r="AT211" s="28">
        <v>1.1232</v>
      </c>
      <c r="AU211" s="28">
        <v>49.948099999999997</v>
      </c>
      <c r="AV211" s="28">
        <v>50.969200000000001</v>
      </c>
      <c r="AW211" s="28">
        <v>50.2547</v>
      </c>
      <c r="AX211" s="28">
        <v>52.153399999999998</v>
      </c>
      <c r="AY211" s="28">
        <v>51.315300000000001</v>
      </c>
      <c r="AZ211" s="28">
        <v>52.571100000000001</v>
      </c>
      <c r="BA211" s="3">
        <v>28457.4</v>
      </c>
      <c r="BB211">
        <f>IF(ISNUMBER(VLOOKUP($B211,CEIC_DATA!$I$26:$N$353,Haver_M!BB$2,FALSE)),VLOOKUP($B211,CEIC_DATA!$I$26:$N$353,Haver_M!BB$2,FALSE),NA())</f>
        <v>91.486917120000001</v>
      </c>
      <c r="BC211" t="e">
        <f>IF(ISNUMBER(VLOOKUP($B211,CEIC_DATA!$I$26:$N$353,Haver_M!BC$2,FALSE)),VLOOKUP($B211,CEIC_DATA!$I$26:$N$353,Haver_M!BC$2,FALSE),NA())</f>
        <v>#N/A</v>
      </c>
      <c r="BD211" t="e">
        <f>IF(ISNUMBER(VLOOKUP($B211,CEIC_DATA!$I$26:$N$353,Haver_M!BD$2,FALSE)),VLOOKUP($B211,CEIC_DATA!$I$26:$N$353,Haver_M!BD$2,FALSE),NA())</f>
        <v>#N/A</v>
      </c>
      <c r="BE211" t="e">
        <f>IF(ISNUMBER(VLOOKUP($B211,CEIC_DATA!$I$26:$N$353,Haver_M!BE$2,FALSE)),VLOOKUP($B211,CEIC_DATA!$I$26:$N$353,Haver_M!BE$2,FALSE),NA())</f>
        <v>#N/A</v>
      </c>
      <c r="BF211">
        <v>1559574</v>
      </c>
      <c r="BG211">
        <v>74659</v>
      </c>
      <c r="BH211">
        <v>2003843</v>
      </c>
      <c r="BI211">
        <v>316561</v>
      </c>
      <c r="BJ211" s="3">
        <v>16132.31</v>
      </c>
      <c r="BK211" s="3">
        <v>26244.94</v>
      </c>
      <c r="BL211" s="3">
        <v>16411.669999999998</v>
      </c>
      <c r="BM211" s="3">
        <v>68488.75</v>
      </c>
      <c r="BN211" s="3">
        <v>24726.71</v>
      </c>
      <c r="BO211" s="3">
        <v>34248.44</v>
      </c>
      <c r="BP211" s="28">
        <v>67.075500000000005</v>
      </c>
      <c r="BQ211" s="28">
        <f t="shared" si="13"/>
        <v>240.50972411685336</v>
      </c>
      <c r="BR211" s="28">
        <f t="shared" si="14"/>
        <v>391.27460846359696</v>
      </c>
      <c r="BS211" s="28">
        <f t="shared" si="15"/>
        <v>244.67458311902254</v>
      </c>
      <c r="BT211" s="28">
        <f t="shared" si="16"/>
        <v>1021.0695410395747</v>
      </c>
      <c r="BU211" s="4">
        <v>46435</v>
      </c>
    </row>
    <row r="212" spans="1:73" x14ac:dyDescent="0.25">
      <c r="A212" t="s">
        <v>211</v>
      </c>
      <c r="B212" s="2">
        <v>42825</v>
      </c>
      <c r="C212" s="3">
        <v>6.25</v>
      </c>
      <c r="D212" s="28">
        <v>7.0563000000000002</v>
      </c>
      <c r="E212" s="34">
        <v>94.343599999999995</v>
      </c>
      <c r="F212" s="5">
        <v>130.9</v>
      </c>
      <c r="G212" s="5">
        <v>130.30000000000001</v>
      </c>
      <c r="H212" s="3">
        <v>121.87</v>
      </c>
      <c r="I212" s="3">
        <v>121.69</v>
      </c>
      <c r="J212" s="3">
        <v>105.24</v>
      </c>
      <c r="K212" s="3">
        <v>123.97</v>
      </c>
      <c r="L212" s="3">
        <v>125.89</v>
      </c>
      <c r="M212" s="3">
        <v>121</v>
      </c>
      <c r="N212" s="3">
        <v>124.05</v>
      </c>
      <c r="O212" s="5">
        <v>123.5</v>
      </c>
      <c r="P212" s="52">
        <v>124.364</v>
      </c>
      <c r="Q212" s="52">
        <v>94.855000000000004</v>
      </c>
      <c r="R212" s="52">
        <v>68.501999999999995</v>
      </c>
      <c r="S212" s="52">
        <v>123.09699999999999</v>
      </c>
      <c r="T212" s="52">
        <v>109.861</v>
      </c>
      <c r="U212" s="52">
        <v>138.22800000000001</v>
      </c>
      <c r="V212" s="52">
        <v>118.809</v>
      </c>
      <c r="W212" s="52">
        <v>146.73500000000001</v>
      </c>
      <c r="X212" s="3">
        <v>16264.790699960695</v>
      </c>
      <c r="Y212" s="3">
        <v>26056.560000000001</v>
      </c>
      <c r="Z212" s="3">
        <v>38246.06</v>
      </c>
      <c r="AA212" s="4">
        <v>14179</v>
      </c>
      <c r="AB212" s="4">
        <v>8267</v>
      </c>
      <c r="AC212" s="5">
        <v>98.7</v>
      </c>
      <c r="AD212" s="5">
        <v>121.7</v>
      </c>
      <c r="AE212" s="34">
        <v>78.703256111111685</v>
      </c>
      <c r="AF212" s="28">
        <v>52.322099999999999</v>
      </c>
      <c r="AG212" s="28">
        <v>52.485900000000001</v>
      </c>
      <c r="AH212" s="28">
        <v>51.525199999999998</v>
      </c>
      <c r="AI212" s="28">
        <v>54.077300000000001</v>
      </c>
      <c r="AJ212" s="28">
        <v>53.564900000000002</v>
      </c>
      <c r="AK212" s="28">
        <v>51.071100000000001</v>
      </c>
      <c r="AL212" s="28">
        <v>50.140799999999999</v>
      </c>
      <c r="AM212" s="28">
        <v>52.039900000000003</v>
      </c>
      <c r="AN212" s="28">
        <v>54.114699999999999</v>
      </c>
      <c r="AO212" s="28">
        <v>52.979700000000001</v>
      </c>
      <c r="AP212" s="28">
        <v>45.754899999999999</v>
      </c>
      <c r="AQ212" s="28">
        <v>52.638599999999997</v>
      </c>
      <c r="AR212" s="28">
        <v>50.971400000000003</v>
      </c>
      <c r="AS212" s="28">
        <v>51.673900000000003</v>
      </c>
      <c r="AT212" s="28">
        <v>1.1707000000000001</v>
      </c>
      <c r="AU212" s="28">
        <v>51.2256</v>
      </c>
      <c r="AV212" s="28">
        <v>50.541600000000003</v>
      </c>
      <c r="AW212" s="28">
        <v>52.2149</v>
      </c>
      <c r="AX212" s="28">
        <v>52.674900000000001</v>
      </c>
      <c r="AY212" s="28">
        <v>51.141199999999998</v>
      </c>
      <c r="AZ212" s="28">
        <v>51.688699999999997</v>
      </c>
      <c r="BA212" s="3">
        <v>29269.49</v>
      </c>
      <c r="BB212">
        <f>IF(ISNUMBER(VLOOKUP($B212,CEIC_DATA!$I$26:$N$353,Haver_M!BB$2,FALSE)),VLOOKUP($B212,CEIC_DATA!$I$26:$N$353,Haver_M!BB$2,FALSE),NA())</f>
        <v>93.344235549999993</v>
      </c>
      <c r="BC212">
        <f>IF(ISNUMBER(VLOOKUP($B212,CEIC_DATA!$I$26:$N$353,Haver_M!BC$2,FALSE)),VLOOKUP($B212,CEIC_DATA!$I$26:$N$353,Haver_M!BC$2,FALSE),NA())</f>
        <v>106</v>
      </c>
      <c r="BD212">
        <f>IF(ISNUMBER(VLOOKUP($B212,CEIC_DATA!$I$26:$N$353,Haver_M!BD$2,FALSE)),VLOOKUP($B212,CEIC_DATA!$I$26:$N$353,Haver_M!BD$2,FALSE),NA())</f>
        <v>111.1</v>
      </c>
      <c r="BE212">
        <f>IF(ISNUMBER(VLOOKUP($B212,CEIC_DATA!$I$26:$N$353,Haver_M!BE$2,FALSE)),VLOOKUP($B212,CEIC_DATA!$I$26:$N$353,Haver_M!BE$2,FALSE),NA())</f>
        <v>27.9</v>
      </c>
      <c r="BF212">
        <v>1678596</v>
      </c>
      <c r="BG212">
        <v>96502</v>
      </c>
      <c r="BH212">
        <v>2185311</v>
      </c>
      <c r="BI212">
        <v>354269</v>
      </c>
      <c r="BJ212" s="3">
        <v>16200.34</v>
      </c>
      <c r="BK212" s="3">
        <v>26798.33</v>
      </c>
      <c r="BL212" s="3">
        <v>18022.37</v>
      </c>
      <c r="BM212" s="3">
        <v>70944.899999999994</v>
      </c>
      <c r="BN212" s="3">
        <v>29301.55</v>
      </c>
      <c r="BO212" s="3">
        <v>39946.67</v>
      </c>
      <c r="BP212" s="28">
        <v>65.8767</v>
      </c>
      <c r="BQ212" s="28">
        <f t="shared" si="13"/>
        <v>245.91911859580094</v>
      </c>
      <c r="BR212" s="28">
        <f t="shared" si="14"/>
        <v>406.7952705584828</v>
      </c>
      <c r="BS212" s="28">
        <f t="shared" si="15"/>
        <v>273.57730426691074</v>
      </c>
      <c r="BT212" s="28">
        <f t="shared" si="16"/>
        <v>1076.9346369809052</v>
      </c>
      <c r="BU212" s="4">
        <v>41306</v>
      </c>
    </row>
    <row r="213" spans="1:73" x14ac:dyDescent="0.25">
      <c r="A213" t="s">
        <v>212</v>
      </c>
      <c r="B213" s="2">
        <v>42855</v>
      </c>
      <c r="C213" s="3">
        <v>6.25</v>
      </c>
      <c r="D213" s="28">
        <v>7.2154999999999996</v>
      </c>
      <c r="E213" s="34">
        <v>95.61712</v>
      </c>
      <c r="F213" s="5">
        <v>131.1</v>
      </c>
      <c r="G213" s="5">
        <v>130.4</v>
      </c>
      <c r="H213" s="3">
        <v>122.47</v>
      </c>
      <c r="I213" s="3">
        <v>120.25</v>
      </c>
      <c r="J213" s="3">
        <v>101.05</v>
      </c>
      <c r="K213" s="3">
        <v>122.78</v>
      </c>
      <c r="L213" s="3">
        <v>127.13</v>
      </c>
      <c r="M213" s="3">
        <v>123.53</v>
      </c>
      <c r="N213" s="3">
        <v>131.13999999999999</v>
      </c>
      <c r="O213" s="5">
        <v>122.9</v>
      </c>
      <c r="P213" s="52">
        <v>113.67700000000001</v>
      </c>
      <c r="Q213" s="52">
        <v>94.061000000000007</v>
      </c>
      <c r="R213" s="52">
        <v>65.191999999999993</v>
      </c>
      <c r="S213" s="52">
        <v>122.242</v>
      </c>
      <c r="T213" s="52">
        <v>106.02</v>
      </c>
      <c r="U213" s="52">
        <v>138.107</v>
      </c>
      <c r="V213" s="52">
        <v>117.866</v>
      </c>
      <c r="W213" s="52">
        <v>148.947</v>
      </c>
      <c r="X213" s="3">
        <v>16784.604877079862</v>
      </c>
      <c r="Y213" s="3">
        <v>25158.34</v>
      </c>
      <c r="Z213" s="3">
        <v>39581.279999999999</v>
      </c>
      <c r="AA213" s="4">
        <v>12904</v>
      </c>
      <c r="AB213" s="4">
        <v>7222</v>
      </c>
      <c r="AC213" s="5" t="e">
        <v>#N/A</v>
      </c>
      <c r="AD213" s="5" t="e">
        <v>#N/A</v>
      </c>
      <c r="AE213" s="34">
        <v>100.40940877605919</v>
      </c>
      <c r="AF213" s="28">
        <v>51.291899999999998</v>
      </c>
      <c r="AG213" s="28">
        <v>52.481900000000003</v>
      </c>
      <c r="AH213" s="28">
        <v>50.1554</v>
      </c>
      <c r="AI213" s="28">
        <v>53.794800000000002</v>
      </c>
      <c r="AJ213" s="28">
        <v>53.802199999999999</v>
      </c>
      <c r="AK213" s="28">
        <v>50.952399999999997</v>
      </c>
      <c r="AL213" s="28">
        <v>49.419400000000003</v>
      </c>
      <c r="AM213" s="28">
        <v>51.149299999999997</v>
      </c>
      <c r="AN213" s="28">
        <v>54.5092</v>
      </c>
      <c r="AO213" s="28">
        <v>51.599699999999999</v>
      </c>
      <c r="AP213" s="28">
        <v>47.213200000000001</v>
      </c>
      <c r="AQ213" s="28">
        <v>51.225000000000001</v>
      </c>
      <c r="AR213" s="28">
        <v>50.823900000000002</v>
      </c>
      <c r="AS213" s="28">
        <v>51.224299999999999</v>
      </c>
      <c r="AT213" s="28">
        <v>1.1395999999999999</v>
      </c>
      <c r="AU213" s="28">
        <v>50.283999999999999</v>
      </c>
      <c r="AV213" s="28">
        <v>50.831400000000002</v>
      </c>
      <c r="AW213" s="28">
        <v>50.364600000000003</v>
      </c>
      <c r="AX213" s="28">
        <v>51.686100000000003</v>
      </c>
      <c r="AY213" s="28">
        <v>49.387999999999998</v>
      </c>
      <c r="AZ213" s="28">
        <v>51.329300000000003</v>
      </c>
      <c r="BA213" s="3">
        <v>29695.83</v>
      </c>
      <c r="BB213">
        <f>IF(ISNUMBER(VLOOKUP($B213,CEIC_DATA!$I$26:$N$353,Haver_M!BB$2,FALSE)),VLOOKUP($B213,CEIC_DATA!$I$26:$N$353,Haver_M!BB$2,FALSE),NA())</f>
        <v>94.958344460000006</v>
      </c>
      <c r="BC213" t="e">
        <f>IF(ISNUMBER(VLOOKUP($B213,CEIC_DATA!$I$26:$N$353,Haver_M!BC$2,FALSE)),VLOOKUP($B213,CEIC_DATA!$I$26:$N$353,Haver_M!BC$2,FALSE),NA())</f>
        <v>#N/A</v>
      </c>
      <c r="BD213" t="e">
        <f>IF(ISNUMBER(VLOOKUP($B213,CEIC_DATA!$I$26:$N$353,Haver_M!BD$2,FALSE)),VLOOKUP($B213,CEIC_DATA!$I$26:$N$353,Haver_M!BD$2,FALSE),NA())</f>
        <v>#N/A</v>
      </c>
      <c r="BE213" t="e">
        <f>IF(ISNUMBER(VLOOKUP($B213,CEIC_DATA!$I$26:$N$353,Haver_M!BE$2,FALSE)),VLOOKUP($B213,CEIC_DATA!$I$26:$N$353,Haver_M!BE$2,FALSE),NA())</f>
        <v>#N/A</v>
      </c>
      <c r="BF213">
        <v>1906439</v>
      </c>
      <c r="BG213">
        <v>45546</v>
      </c>
      <c r="BH213">
        <v>2349092</v>
      </c>
      <c r="BI213">
        <v>338221</v>
      </c>
      <c r="BJ213" s="3">
        <v>16132.31</v>
      </c>
      <c r="BK213" s="3">
        <v>26244.94</v>
      </c>
      <c r="BL213" s="3">
        <v>16411.669999999998</v>
      </c>
      <c r="BM213" s="3">
        <v>68488.75</v>
      </c>
      <c r="BN213" s="3">
        <v>24579.01</v>
      </c>
      <c r="BO213" s="3">
        <v>38834.65</v>
      </c>
      <c r="BP213" s="28">
        <v>64.507099999999994</v>
      </c>
      <c r="BQ213" s="28">
        <f t="shared" si="13"/>
        <v>250.08580450834097</v>
      </c>
      <c r="BR213" s="28">
        <f t="shared" si="14"/>
        <v>406.85350914860538</v>
      </c>
      <c r="BS213" s="28">
        <f t="shared" si="15"/>
        <v>254.41649058785777</v>
      </c>
      <c r="BT213" s="28">
        <f t="shared" si="16"/>
        <v>1061.724213303652</v>
      </c>
      <c r="BU213" s="4">
        <v>61963</v>
      </c>
    </row>
    <row r="214" spans="1:73" x14ac:dyDescent="0.25">
      <c r="A214" t="s">
        <v>213</v>
      </c>
      <c r="B214" s="2">
        <v>42886</v>
      </c>
      <c r="C214" s="3">
        <v>6.25</v>
      </c>
      <c r="D214" s="28">
        <v>6.5110999999999999</v>
      </c>
      <c r="E214" s="34">
        <v>95.380979999999994</v>
      </c>
      <c r="F214" s="5">
        <v>131.4</v>
      </c>
      <c r="G214" s="5">
        <v>131</v>
      </c>
      <c r="H214" s="3">
        <v>122.28</v>
      </c>
      <c r="I214" s="3">
        <v>119.55</v>
      </c>
      <c r="J214" s="3">
        <v>102.35</v>
      </c>
      <c r="K214" s="3">
        <v>123.5</v>
      </c>
      <c r="L214" s="3">
        <v>126.04</v>
      </c>
      <c r="M214" s="3">
        <v>123.65</v>
      </c>
      <c r="N214" s="3">
        <v>139.86000000000001</v>
      </c>
      <c r="O214" s="5">
        <v>123.3</v>
      </c>
      <c r="P214" s="52">
        <v>118.24</v>
      </c>
      <c r="Q214" s="52">
        <v>94.908000000000001</v>
      </c>
      <c r="R214" s="52">
        <v>67.995999999999995</v>
      </c>
      <c r="S214" s="52">
        <v>123.254</v>
      </c>
      <c r="T214" s="52">
        <v>102.71899999999999</v>
      </c>
      <c r="U214" s="52">
        <v>136.797</v>
      </c>
      <c r="V214" s="52">
        <v>123.529</v>
      </c>
      <c r="W214" s="52">
        <v>149.12899999999999</v>
      </c>
      <c r="X214" s="3">
        <v>17095.61645793905</v>
      </c>
      <c r="Y214" s="3">
        <v>23280.3</v>
      </c>
      <c r="Z214" s="3">
        <v>37471.379999999997</v>
      </c>
      <c r="AA214" s="4">
        <v>13430</v>
      </c>
      <c r="AB214" s="4">
        <v>7615</v>
      </c>
      <c r="AC214" s="5">
        <v>100</v>
      </c>
      <c r="AD214" s="5">
        <v>123.4</v>
      </c>
      <c r="AE214" s="34">
        <v>55.872409772734713</v>
      </c>
      <c r="AF214" s="28">
        <v>52.513100000000001</v>
      </c>
      <c r="AG214" s="28">
        <v>51.611400000000003</v>
      </c>
      <c r="AH214" s="28">
        <v>52.238100000000003</v>
      </c>
      <c r="AI214" s="28">
        <v>53.118600000000001</v>
      </c>
      <c r="AJ214" s="28">
        <v>52.635100000000001</v>
      </c>
      <c r="AK214" s="28">
        <v>48.832299999999996</v>
      </c>
      <c r="AL214" s="28">
        <v>49.720799999999997</v>
      </c>
      <c r="AM214" s="28">
        <v>52.3292</v>
      </c>
      <c r="AN214" s="28">
        <v>53.360199999999999</v>
      </c>
      <c r="AO214" s="28">
        <v>52.372700000000002</v>
      </c>
      <c r="AP214" s="28">
        <v>45.161099999999998</v>
      </c>
      <c r="AQ214" s="28">
        <v>49.105200000000004</v>
      </c>
      <c r="AR214" s="28">
        <v>50.954599999999999</v>
      </c>
      <c r="AS214" s="28">
        <v>51.705199999999998</v>
      </c>
      <c r="AT214" s="28">
        <v>1.1655</v>
      </c>
      <c r="AU214" s="28">
        <v>51.814599999999999</v>
      </c>
      <c r="AV214" s="28">
        <v>50.610399999999998</v>
      </c>
      <c r="AW214" s="28">
        <v>51.616100000000003</v>
      </c>
      <c r="AX214" s="28">
        <v>50.865400000000001</v>
      </c>
      <c r="AY214" s="28">
        <v>50.985700000000001</v>
      </c>
      <c r="AZ214" s="28">
        <v>51.563600000000001</v>
      </c>
      <c r="BA214" s="3">
        <v>30420.07</v>
      </c>
      <c r="BB214">
        <f>IF(ISNUMBER(VLOOKUP($B214,CEIC_DATA!$I$26:$N$353,Haver_M!BB$2,FALSE)),VLOOKUP($B214,CEIC_DATA!$I$26:$N$353,Haver_M!BB$2,FALSE),NA())</f>
        <v>96.149210220000001</v>
      </c>
      <c r="BC214" t="e">
        <f>IF(ISNUMBER(VLOOKUP($B214,CEIC_DATA!$I$26:$N$353,Haver_M!BC$2,FALSE)),VLOOKUP($B214,CEIC_DATA!$I$26:$N$353,Haver_M!BC$2,FALSE),NA())</f>
        <v>#N/A</v>
      </c>
      <c r="BD214" t="e">
        <f>IF(ISNUMBER(VLOOKUP($B214,CEIC_DATA!$I$26:$N$353,Haver_M!BD$2,FALSE)),VLOOKUP($B214,CEIC_DATA!$I$26:$N$353,Haver_M!BD$2,FALSE),NA())</f>
        <v>#N/A</v>
      </c>
      <c r="BE214" t="e">
        <f>IF(ISNUMBER(VLOOKUP($B214,CEIC_DATA!$I$26:$N$353,Haver_M!BE$2,FALSE)),VLOOKUP($B214,CEIC_DATA!$I$26:$N$353,Haver_M!BE$2,FALSE),NA())</f>
        <v>#N/A</v>
      </c>
      <c r="BF214">
        <v>1924767</v>
      </c>
      <c r="BG214">
        <v>60092</v>
      </c>
      <c r="BH214">
        <v>2357628</v>
      </c>
      <c r="BI214">
        <v>309421</v>
      </c>
      <c r="BJ214" s="3">
        <v>16172.7</v>
      </c>
      <c r="BK214" s="3">
        <v>26068.240000000002</v>
      </c>
      <c r="BL214" s="3">
        <v>16344.77</v>
      </c>
      <c r="BM214" s="3">
        <v>68242.759999999995</v>
      </c>
      <c r="BN214" s="3">
        <v>23947.040000000001</v>
      </c>
      <c r="BO214" s="3">
        <v>38278.74</v>
      </c>
      <c r="BP214" s="28">
        <v>64.424800000000005</v>
      </c>
      <c r="BQ214" s="28">
        <f t="shared" si="13"/>
        <v>251.03221119817212</v>
      </c>
      <c r="BR214" s="28">
        <f t="shared" si="14"/>
        <v>404.63051495697306</v>
      </c>
      <c r="BS214" s="28">
        <f t="shared" si="15"/>
        <v>253.70307707590865</v>
      </c>
      <c r="BT214" s="28">
        <f t="shared" si="16"/>
        <v>1059.2622716717783</v>
      </c>
      <c r="BU214" s="4">
        <v>65763</v>
      </c>
    </row>
    <row r="215" spans="1:73" x14ac:dyDescent="0.25">
      <c r="A215" t="s">
        <v>214</v>
      </c>
      <c r="B215" s="2">
        <v>42916</v>
      </c>
      <c r="C215" s="3">
        <v>6.25</v>
      </c>
      <c r="D215" s="28">
        <v>6.5899000000000001</v>
      </c>
      <c r="E215" s="34">
        <v>94.954030000000003</v>
      </c>
      <c r="F215" s="5">
        <v>132</v>
      </c>
      <c r="G215" s="5">
        <v>130.9</v>
      </c>
      <c r="H215" s="3">
        <v>121.35</v>
      </c>
      <c r="I215" s="3">
        <v>117.54</v>
      </c>
      <c r="J215" s="3">
        <v>99.86</v>
      </c>
      <c r="K215" s="3">
        <v>121.92</v>
      </c>
      <c r="L215" s="3">
        <v>127.01</v>
      </c>
      <c r="M215" s="3">
        <v>119.43</v>
      </c>
      <c r="N215" s="3">
        <v>136.88</v>
      </c>
      <c r="O215" s="5">
        <v>122.4</v>
      </c>
      <c r="P215" s="52">
        <v>121.036</v>
      </c>
      <c r="Q215" s="52">
        <v>94.808000000000007</v>
      </c>
      <c r="R215" s="52">
        <v>70.38</v>
      </c>
      <c r="S215" s="52">
        <v>120.73699999999999</v>
      </c>
      <c r="T215" s="52">
        <v>106.83</v>
      </c>
      <c r="U215" s="52">
        <v>138.185</v>
      </c>
      <c r="V215" s="52">
        <v>124.286</v>
      </c>
      <c r="W215" s="52">
        <v>144.43799999999999</v>
      </c>
      <c r="X215" s="3">
        <v>16424.888905015352</v>
      </c>
      <c r="Y215" s="3">
        <v>23356.94</v>
      </c>
      <c r="Z215" s="3">
        <v>36427.300000000003</v>
      </c>
      <c r="AA215" s="4">
        <v>13388</v>
      </c>
      <c r="AB215" s="4">
        <v>7457</v>
      </c>
      <c r="AC215" s="5">
        <v>96.8</v>
      </c>
      <c r="AD215" s="5">
        <v>120.8</v>
      </c>
      <c r="AE215" s="34">
        <v>63.743918012697016</v>
      </c>
      <c r="AF215" s="28">
        <v>52.686399999999999</v>
      </c>
      <c r="AG215" s="28">
        <v>50.944000000000003</v>
      </c>
      <c r="AH215" s="28">
        <v>53.134099999999997</v>
      </c>
      <c r="AI215" s="28">
        <v>51.700499999999998</v>
      </c>
      <c r="AJ215" s="28">
        <v>51.295200000000001</v>
      </c>
      <c r="AK215" s="28">
        <v>50.177399999999999</v>
      </c>
      <c r="AL215" s="28">
        <v>49.763599999999997</v>
      </c>
      <c r="AM215" s="28">
        <v>50.593200000000003</v>
      </c>
      <c r="AN215" s="28">
        <v>52.637599999999999</v>
      </c>
      <c r="AO215" s="28">
        <v>50.833399999999997</v>
      </c>
      <c r="AP215" s="28">
        <v>47.046300000000002</v>
      </c>
      <c r="AQ215" s="28">
        <v>52.8337</v>
      </c>
      <c r="AR215" s="28">
        <v>51.336199999999998</v>
      </c>
      <c r="AS215" s="28">
        <v>50.244599999999998</v>
      </c>
      <c r="AT215" s="28">
        <v>1.0903</v>
      </c>
      <c r="AU215" s="28">
        <v>51.805900000000001</v>
      </c>
      <c r="AV215" s="28">
        <v>51.021299999999997</v>
      </c>
      <c r="AW215" s="28">
        <v>53.309600000000003</v>
      </c>
      <c r="AX215" s="28">
        <v>52.337299999999999</v>
      </c>
      <c r="AY215" s="28">
        <v>51.9221</v>
      </c>
      <c r="AZ215" s="28">
        <v>50.566899999999997</v>
      </c>
      <c r="BA215" s="3">
        <v>31144.68</v>
      </c>
      <c r="BB215">
        <f>IF(ISNUMBER(VLOOKUP($B215,CEIC_DATA!$I$26:$N$353,Haver_M!BB$2,FALSE)),VLOOKUP($B215,CEIC_DATA!$I$26:$N$353,Haver_M!BB$2,FALSE),NA())</f>
        <v>97.181281589999998</v>
      </c>
      <c r="BC215">
        <f>IF(ISNUMBER(VLOOKUP($B215,CEIC_DATA!$I$26:$N$353,Haver_M!BC$2,FALSE)),VLOOKUP($B215,CEIC_DATA!$I$26:$N$353,Haver_M!BC$2,FALSE),NA())</f>
        <v>105.4</v>
      </c>
      <c r="BD215">
        <f>IF(ISNUMBER(VLOOKUP($B215,CEIC_DATA!$I$26:$N$353,Haver_M!BD$2,FALSE)),VLOOKUP($B215,CEIC_DATA!$I$26:$N$353,Haver_M!BD$2,FALSE),NA())</f>
        <v>114.2</v>
      </c>
      <c r="BE215">
        <f>IF(ISNUMBER(VLOOKUP($B215,CEIC_DATA!$I$26:$N$353,Haver_M!BE$2,FALSE)),VLOOKUP($B215,CEIC_DATA!$I$26:$N$353,Haver_M!BE$2,FALSE),NA())</f>
        <v>36</v>
      </c>
      <c r="BF215">
        <v>1727934</v>
      </c>
      <c r="BG215">
        <v>63489</v>
      </c>
      <c r="BH215">
        <v>2117852</v>
      </c>
      <c r="BI215">
        <v>261305</v>
      </c>
      <c r="BJ215" s="3">
        <v>16401.240000000002</v>
      </c>
      <c r="BK215" s="3">
        <v>26184.84</v>
      </c>
      <c r="BL215" s="3">
        <v>16392.98</v>
      </c>
      <c r="BM215" s="3">
        <v>68697.58</v>
      </c>
      <c r="BN215" s="3">
        <v>23012.65</v>
      </c>
      <c r="BO215" s="3">
        <v>37055.019999999997</v>
      </c>
      <c r="BP215" s="28">
        <v>64.442999999999998</v>
      </c>
      <c r="BQ215" s="28">
        <f t="shared" si="13"/>
        <v>254.50770448303155</v>
      </c>
      <c r="BR215" s="28">
        <f t="shared" si="14"/>
        <v>406.32559005632885</v>
      </c>
      <c r="BS215" s="28">
        <f t="shared" si="15"/>
        <v>254.37952919634407</v>
      </c>
      <c r="BT215" s="28">
        <f t="shared" si="16"/>
        <v>1066.0208246046896</v>
      </c>
      <c r="BU215" s="4">
        <v>61571</v>
      </c>
    </row>
    <row r="216" spans="1:73" x14ac:dyDescent="0.25">
      <c r="A216" t="s">
        <v>215</v>
      </c>
      <c r="B216" s="2">
        <v>42947</v>
      </c>
      <c r="C216" s="3">
        <v>6.25</v>
      </c>
      <c r="D216" s="28">
        <v>6.5521000000000003</v>
      </c>
      <c r="E216" s="34">
        <v>95.154020000000003</v>
      </c>
      <c r="F216" s="5">
        <v>134.19999999999999</v>
      </c>
      <c r="G216" s="5">
        <v>132</v>
      </c>
      <c r="H216" s="3">
        <v>121.33</v>
      </c>
      <c r="I216" s="3">
        <v>119.19</v>
      </c>
      <c r="J216" s="3">
        <v>104.44</v>
      </c>
      <c r="K216" s="3">
        <v>119.58</v>
      </c>
      <c r="L216" s="3">
        <v>128.5</v>
      </c>
      <c r="M216" s="3">
        <v>118.3</v>
      </c>
      <c r="N216" s="3">
        <v>134.80000000000001</v>
      </c>
      <c r="O216" s="5">
        <v>122.6</v>
      </c>
      <c r="P216" s="52">
        <v>121.008</v>
      </c>
      <c r="Q216" s="52">
        <v>94.914000000000001</v>
      </c>
      <c r="R216" s="52">
        <v>71.3</v>
      </c>
      <c r="S216" s="52">
        <v>118.636</v>
      </c>
      <c r="T216" s="52">
        <v>105.006</v>
      </c>
      <c r="U216" s="52">
        <v>136.09299999999999</v>
      </c>
      <c r="V216" s="52">
        <v>126.861</v>
      </c>
      <c r="W216" s="52">
        <v>147.31</v>
      </c>
      <c r="X216" s="3">
        <v>16603.240779318341</v>
      </c>
      <c r="Y216" s="3">
        <v>23368.78</v>
      </c>
      <c r="Z216" s="3">
        <v>33886.839999999997</v>
      </c>
      <c r="AA216" s="4">
        <v>13178</v>
      </c>
      <c r="AB216" s="4">
        <v>7334</v>
      </c>
      <c r="AC216" s="5" t="e">
        <v>#N/A</v>
      </c>
      <c r="AD216" s="5" t="e">
        <v>#N/A</v>
      </c>
      <c r="AE216" s="34">
        <v>64.051317111711342</v>
      </c>
      <c r="AF216" s="28">
        <v>46.036700000000003</v>
      </c>
      <c r="AG216" s="28">
        <v>47.851999999999997</v>
      </c>
      <c r="AH216" s="28">
        <v>45.898200000000003</v>
      </c>
      <c r="AI216" s="28">
        <v>46.341700000000003</v>
      </c>
      <c r="AJ216" s="28">
        <v>46.231099999999998</v>
      </c>
      <c r="AK216" s="28">
        <v>49.478900000000003</v>
      </c>
      <c r="AL216" s="28">
        <v>49.378799999999998</v>
      </c>
      <c r="AM216" s="28">
        <v>49.083300000000001</v>
      </c>
      <c r="AN216" s="28">
        <v>52.710500000000003</v>
      </c>
      <c r="AO216" s="28">
        <v>47.680700000000002</v>
      </c>
      <c r="AP216" s="28">
        <v>50.156599999999997</v>
      </c>
      <c r="AQ216" s="28">
        <v>50.9773</v>
      </c>
      <c r="AR216" s="28">
        <v>49.668399999999998</v>
      </c>
      <c r="AS216" s="28">
        <v>50.393300000000004</v>
      </c>
      <c r="AT216" s="28">
        <v>0.92169999999999996</v>
      </c>
      <c r="AU216" s="28">
        <v>48.905799999999999</v>
      </c>
      <c r="AV216" s="28">
        <v>54.594499999999996</v>
      </c>
      <c r="AW216" s="28">
        <v>45.151499999999999</v>
      </c>
      <c r="AX216" s="28">
        <v>51.738599999999998</v>
      </c>
      <c r="AY216" s="28">
        <v>50.253300000000003</v>
      </c>
      <c r="AZ216" s="28">
        <v>52.124099999999999</v>
      </c>
      <c r="BA216" s="3">
        <v>31879.61</v>
      </c>
      <c r="BB216">
        <f>IF(ISNUMBER(VLOOKUP($B216,CEIC_DATA!$I$26:$N$353,Haver_M!BB$2,FALSE)),VLOOKUP($B216,CEIC_DATA!$I$26:$N$353,Haver_M!BB$2,FALSE),NA())</f>
        <v>98.341579800000005</v>
      </c>
      <c r="BC216" t="e">
        <f>IF(ISNUMBER(VLOOKUP($B216,CEIC_DATA!$I$26:$N$353,Haver_M!BC$2,FALSE)),VLOOKUP($B216,CEIC_DATA!$I$26:$N$353,Haver_M!BC$2,FALSE),NA())</f>
        <v>#N/A</v>
      </c>
      <c r="BD216" t="e">
        <f>IF(ISNUMBER(VLOOKUP($B216,CEIC_DATA!$I$26:$N$353,Haver_M!BD$2,FALSE)),VLOOKUP($B216,CEIC_DATA!$I$26:$N$353,Haver_M!BD$2,FALSE),NA())</f>
        <v>#N/A</v>
      </c>
      <c r="BE216" t="e">
        <f>IF(ISNUMBER(VLOOKUP($B216,CEIC_DATA!$I$26:$N$353,Haver_M!BE$2,FALSE)),VLOOKUP($B216,CEIC_DATA!$I$26:$N$353,Haver_M!BE$2,FALSE),NA())</f>
        <v>#N/A</v>
      </c>
      <c r="BF216">
        <v>1893467</v>
      </c>
      <c r="BG216">
        <v>65587</v>
      </c>
      <c r="BH216">
        <v>2394891</v>
      </c>
      <c r="BI216">
        <v>364174</v>
      </c>
      <c r="BJ216" s="3">
        <v>16657.02</v>
      </c>
      <c r="BK216" s="3">
        <v>26279.56</v>
      </c>
      <c r="BL216" s="3">
        <v>16316.17</v>
      </c>
      <c r="BM216" s="3">
        <v>68995.899999999994</v>
      </c>
      <c r="BN216" s="3">
        <v>22292.63</v>
      </c>
      <c r="BO216" s="3">
        <v>34215.040000000001</v>
      </c>
      <c r="BP216" s="28">
        <v>64.4559</v>
      </c>
      <c r="BQ216" s="28">
        <f t="shared" si="13"/>
        <v>258.42506271729974</v>
      </c>
      <c r="BR216" s="28">
        <f t="shared" si="14"/>
        <v>407.71380121912813</v>
      </c>
      <c r="BS216" s="28">
        <f t="shared" si="15"/>
        <v>253.13695100060662</v>
      </c>
      <c r="BT216" s="28">
        <f t="shared" si="16"/>
        <v>1070.4357552993597</v>
      </c>
      <c r="BU216" s="4">
        <v>55811</v>
      </c>
    </row>
    <row r="217" spans="1:73" x14ac:dyDescent="0.25">
      <c r="A217" t="s">
        <v>216</v>
      </c>
      <c r="B217" s="2">
        <v>42978</v>
      </c>
      <c r="C217" s="3">
        <v>6</v>
      </c>
      <c r="D217" s="28">
        <v>6.5426000000000002</v>
      </c>
      <c r="E217" s="34">
        <v>95.329040000000006</v>
      </c>
      <c r="F217" s="5">
        <v>135.4</v>
      </c>
      <c r="G217" s="5">
        <v>132.80000000000001</v>
      </c>
      <c r="H217" s="3">
        <v>124.44</v>
      </c>
      <c r="I217" s="3">
        <v>120.91</v>
      </c>
      <c r="J217" s="3">
        <v>104.63</v>
      </c>
      <c r="K217" s="3">
        <v>122.49</v>
      </c>
      <c r="L217" s="3">
        <v>130.13999999999999</v>
      </c>
      <c r="M217" s="3">
        <v>128.25</v>
      </c>
      <c r="N217" s="3">
        <v>137.01</v>
      </c>
      <c r="O217" s="5">
        <v>125</v>
      </c>
      <c r="P217" s="52">
        <v>124.28400000000001</v>
      </c>
      <c r="Q217" s="52">
        <v>93.766000000000005</v>
      </c>
      <c r="R217" s="52">
        <v>69.033000000000001</v>
      </c>
      <c r="S217" s="52">
        <v>121.393</v>
      </c>
      <c r="T217" s="52">
        <v>108.42400000000001</v>
      </c>
      <c r="U217" s="52">
        <v>141.047</v>
      </c>
      <c r="V217" s="52">
        <v>126.76</v>
      </c>
      <c r="W217" s="52">
        <v>148.31700000000001</v>
      </c>
      <c r="X217" s="3">
        <v>17387.037446617072</v>
      </c>
      <c r="Y217" s="3">
        <v>23865.11</v>
      </c>
      <c r="Z217" s="3">
        <v>36097.68</v>
      </c>
      <c r="AA217" s="4">
        <v>13701</v>
      </c>
      <c r="AB217" s="4">
        <v>8658</v>
      </c>
      <c r="AC217" s="5" t="e">
        <v>#N/A</v>
      </c>
      <c r="AD217" s="5" t="e">
        <v>#N/A</v>
      </c>
      <c r="AE217" s="34">
        <v>34.980254310697596</v>
      </c>
      <c r="AF217" s="28">
        <v>48.963799999999999</v>
      </c>
      <c r="AG217" s="28">
        <v>51.248800000000003</v>
      </c>
      <c r="AH217" s="28">
        <v>47.490099999999998</v>
      </c>
      <c r="AI217" s="28">
        <v>52.209400000000002</v>
      </c>
      <c r="AJ217" s="28">
        <v>51.527000000000001</v>
      </c>
      <c r="AK217" s="28">
        <v>51.486499999999999</v>
      </c>
      <c r="AL217" s="28">
        <v>49.780099999999997</v>
      </c>
      <c r="AM217" s="28">
        <v>49.081099999999999</v>
      </c>
      <c r="AN217" s="28">
        <v>51.868499999999997</v>
      </c>
      <c r="AO217" s="28">
        <v>51.917900000000003</v>
      </c>
      <c r="AP217" s="28">
        <v>47.2913</v>
      </c>
      <c r="AQ217" s="28">
        <v>50.792499999999997</v>
      </c>
      <c r="AR217" s="28">
        <v>50.586399999999998</v>
      </c>
      <c r="AS217" s="28">
        <v>51.0017</v>
      </c>
      <c r="AT217" s="28">
        <v>1.0895999999999999</v>
      </c>
      <c r="AU217" s="28">
        <v>49.673400000000001</v>
      </c>
      <c r="AV217" s="28">
        <v>52.051600000000001</v>
      </c>
      <c r="AW217" s="28">
        <v>47.310099999999998</v>
      </c>
      <c r="AX217" s="28">
        <v>52.119199999999999</v>
      </c>
      <c r="AY217" s="28">
        <v>48.686700000000002</v>
      </c>
      <c r="AZ217" s="28">
        <v>52.418799999999997</v>
      </c>
      <c r="BA217" s="3">
        <v>31772.23</v>
      </c>
      <c r="BB217">
        <f>IF(ISNUMBER(VLOOKUP($B217,CEIC_DATA!$I$26:$N$353,Haver_M!BB$2,FALSE)),VLOOKUP($B217,CEIC_DATA!$I$26:$N$353,Haver_M!BB$2,FALSE),NA())</f>
        <v>99.441136610000001</v>
      </c>
      <c r="BC217" t="e">
        <f>IF(ISNUMBER(VLOOKUP($B217,CEIC_DATA!$I$26:$N$353,Haver_M!BC$2,FALSE)),VLOOKUP($B217,CEIC_DATA!$I$26:$N$353,Haver_M!BC$2,FALSE),NA())</f>
        <v>#N/A</v>
      </c>
      <c r="BD217" t="e">
        <f>IF(ISNUMBER(VLOOKUP($B217,CEIC_DATA!$I$26:$N$353,Haver_M!BD$2,FALSE)),VLOOKUP($B217,CEIC_DATA!$I$26:$N$353,Haver_M!BD$2,FALSE),NA())</f>
        <v>#N/A</v>
      </c>
      <c r="BE217" t="e">
        <f>IF(ISNUMBER(VLOOKUP($B217,CEIC_DATA!$I$26:$N$353,Haver_M!BE$2,FALSE)),VLOOKUP($B217,CEIC_DATA!$I$26:$N$353,Haver_M!BE$2,FALSE),NA())</f>
        <v>#N/A</v>
      </c>
      <c r="BF217">
        <v>2128190</v>
      </c>
      <c r="BG217">
        <v>72642</v>
      </c>
      <c r="BH217">
        <v>2635447</v>
      </c>
      <c r="BI217">
        <v>351182</v>
      </c>
      <c r="BJ217" s="3">
        <v>16854.23</v>
      </c>
      <c r="BK217" s="3">
        <v>26111.53</v>
      </c>
      <c r="BL217" s="3">
        <v>16374.54</v>
      </c>
      <c r="BM217" s="3">
        <v>69117.16</v>
      </c>
      <c r="BN217" s="3">
        <v>23355.11</v>
      </c>
      <c r="BO217" s="3">
        <v>36070.620000000003</v>
      </c>
      <c r="BP217" s="28">
        <v>63.968400000000003</v>
      </c>
      <c r="BQ217" s="28">
        <f t="shared" si="13"/>
        <v>263.47743573389357</v>
      </c>
      <c r="BR217" s="28">
        <f t="shared" si="14"/>
        <v>408.19420213730524</v>
      </c>
      <c r="BS217" s="28">
        <f t="shared" si="15"/>
        <v>255.97857692235542</v>
      </c>
      <c r="BT217" s="28">
        <f t="shared" si="16"/>
        <v>1080.4891165012725</v>
      </c>
      <c r="BU217" s="4">
        <v>49448</v>
      </c>
    </row>
    <row r="218" spans="1:73" x14ac:dyDescent="0.25">
      <c r="A218" t="s">
        <v>217</v>
      </c>
      <c r="B218" s="2">
        <v>43008</v>
      </c>
      <c r="C218" s="3">
        <v>6</v>
      </c>
      <c r="D218" s="28">
        <v>6.8192000000000004</v>
      </c>
      <c r="E218" s="34">
        <v>93.10127</v>
      </c>
      <c r="F218" s="5">
        <v>135.19999999999999</v>
      </c>
      <c r="G218" s="5">
        <v>133.6</v>
      </c>
      <c r="H218" s="3">
        <v>124.9</v>
      </c>
      <c r="I218" s="3">
        <v>123</v>
      </c>
      <c r="J218" s="3">
        <v>104.5</v>
      </c>
      <c r="K218" s="3">
        <v>124.14</v>
      </c>
      <c r="L218" s="3">
        <v>129.84</v>
      </c>
      <c r="M218" s="3">
        <v>122.21</v>
      </c>
      <c r="N218" s="3">
        <v>140.55000000000001</v>
      </c>
      <c r="O218" s="5">
        <v>126.4</v>
      </c>
      <c r="P218" s="52">
        <v>124.268</v>
      </c>
      <c r="Q218" s="52">
        <v>94.073999999999998</v>
      </c>
      <c r="R218" s="52">
        <v>69.606999999999999</v>
      </c>
      <c r="S218" s="52">
        <v>127.982</v>
      </c>
      <c r="T218" s="52">
        <v>100.259</v>
      </c>
      <c r="U218" s="52">
        <v>142.69900000000001</v>
      </c>
      <c r="V218" s="52">
        <v>128.209</v>
      </c>
      <c r="W218" s="52">
        <v>147.34700000000001</v>
      </c>
      <c r="X218" s="3">
        <v>17793.272117197826</v>
      </c>
      <c r="Y218" s="3">
        <v>28210.38</v>
      </c>
      <c r="Z218" s="3">
        <v>38077.800000000003</v>
      </c>
      <c r="AA218" s="4">
        <v>13732</v>
      </c>
      <c r="AB218" s="4">
        <v>8450</v>
      </c>
      <c r="AC218" s="5">
        <v>95.5</v>
      </c>
      <c r="AD218" s="5">
        <v>118.8</v>
      </c>
      <c r="AE218" s="34">
        <v>67.101383834084146</v>
      </c>
      <c r="AF218" s="28">
        <v>51.0518</v>
      </c>
      <c r="AG218" s="28">
        <v>51.1539</v>
      </c>
      <c r="AH218" s="28">
        <v>50.667999999999999</v>
      </c>
      <c r="AI218" s="28">
        <v>51.896900000000002</v>
      </c>
      <c r="AJ218" s="28">
        <v>50.956400000000002</v>
      </c>
      <c r="AK218" s="28">
        <v>51.7378</v>
      </c>
      <c r="AL218" s="28">
        <v>49.640300000000003</v>
      </c>
      <c r="AM218" s="28">
        <v>49.912500000000001</v>
      </c>
      <c r="AN218" s="28">
        <v>52.271299999999997</v>
      </c>
      <c r="AO218" s="28">
        <v>51.650100000000002</v>
      </c>
      <c r="AP218" s="28">
        <v>44.368400000000001</v>
      </c>
      <c r="AQ218" s="28">
        <v>49.7879</v>
      </c>
      <c r="AR218" s="28">
        <v>50.352200000000003</v>
      </c>
      <c r="AS218" s="28">
        <v>50.662999999999997</v>
      </c>
      <c r="AT218" s="28">
        <v>1.1485000000000001</v>
      </c>
      <c r="AU218" s="28">
        <v>52.730200000000004</v>
      </c>
      <c r="AV218" s="28">
        <v>51.575899999999997</v>
      </c>
      <c r="AW218" s="28">
        <v>51.071599999999997</v>
      </c>
      <c r="AX218" s="28">
        <v>52.522100000000002</v>
      </c>
      <c r="AY218" s="28">
        <v>50.911799999999999</v>
      </c>
      <c r="AZ218" s="28">
        <v>53.943300000000001</v>
      </c>
      <c r="BA218" s="3">
        <v>31887.119999999999</v>
      </c>
      <c r="BB218">
        <f>IF(ISNUMBER(VLOOKUP($B218,CEIC_DATA!$I$26:$N$353,Haver_M!BB$2,FALSE)),VLOOKUP($B218,CEIC_DATA!$I$26:$N$353,Haver_M!BB$2,FALSE),NA())</f>
        <v>100.21204733</v>
      </c>
      <c r="BC218">
        <f>IF(ISNUMBER(VLOOKUP($B218,CEIC_DATA!$I$26:$N$353,Haver_M!BC$2,FALSE)),VLOOKUP($B218,CEIC_DATA!$I$26:$N$353,Haver_M!BC$2,FALSE),NA())</f>
        <v>103.7</v>
      </c>
      <c r="BD218">
        <f>IF(ISNUMBER(VLOOKUP($B218,CEIC_DATA!$I$26:$N$353,Haver_M!BD$2,FALSE)),VLOOKUP($B218,CEIC_DATA!$I$26:$N$353,Haver_M!BD$2,FALSE),NA())</f>
        <v>113.3</v>
      </c>
      <c r="BE218">
        <f>IF(ISNUMBER(VLOOKUP($B218,CEIC_DATA!$I$26:$N$353,Haver_M!BE$2,FALSE)),VLOOKUP($B218,CEIC_DATA!$I$26:$N$353,Haver_M!BE$2,FALSE),NA())</f>
        <v>33.700000000000003</v>
      </c>
      <c r="BF218">
        <v>2293980</v>
      </c>
      <c r="BG218">
        <v>86079</v>
      </c>
      <c r="BH218">
        <v>2845474</v>
      </c>
      <c r="BI218">
        <v>368332</v>
      </c>
      <c r="BJ218" s="3">
        <v>17546.82</v>
      </c>
      <c r="BK218" s="3">
        <v>26404.11</v>
      </c>
      <c r="BL218" s="3">
        <v>17748.66</v>
      </c>
      <c r="BM218" s="3">
        <v>71670.570000000007</v>
      </c>
      <c r="BN218" s="3">
        <v>28567.1</v>
      </c>
      <c r="BO218" s="3">
        <v>37962.67</v>
      </c>
      <c r="BP218" s="28">
        <v>64.440899999999999</v>
      </c>
      <c r="BQ218" s="28">
        <f t="shared" si="13"/>
        <v>272.29321750627321</v>
      </c>
      <c r="BR218" s="28">
        <f t="shared" si="14"/>
        <v>409.74148405748525</v>
      </c>
      <c r="BS218" s="28">
        <f t="shared" si="15"/>
        <v>275.42538977574799</v>
      </c>
      <c r="BT218" s="28">
        <f t="shared" si="16"/>
        <v>1112.1907049715321</v>
      </c>
      <c r="BU218" s="4">
        <v>44039</v>
      </c>
    </row>
    <row r="219" spans="1:73" x14ac:dyDescent="0.25">
      <c r="A219" t="s">
        <v>218</v>
      </c>
      <c r="B219" s="2">
        <v>43039</v>
      </c>
      <c r="C219" s="3">
        <v>6</v>
      </c>
      <c r="D219" s="28">
        <v>7.0256999999999996</v>
      </c>
      <c r="E219" s="34">
        <v>93.627769999999998</v>
      </c>
      <c r="F219" s="5">
        <v>136.1</v>
      </c>
      <c r="G219" s="5">
        <v>134.4</v>
      </c>
      <c r="H219" s="3">
        <v>123.97</v>
      </c>
      <c r="I219" s="3">
        <v>121.33</v>
      </c>
      <c r="J219" s="3">
        <v>102.61</v>
      </c>
      <c r="K219" s="3">
        <v>126.65</v>
      </c>
      <c r="L219" s="3">
        <v>133.78</v>
      </c>
      <c r="M219" s="3">
        <v>115.69</v>
      </c>
      <c r="N219" s="3">
        <v>139.29</v>
      </c>
      <c r="O219" s="5">
        <v>127.3</v>
      </c>
      <c r="P219" s="52">
        <v>124.142</v>
      </c>
      <c r="Q219" s="52">
        <v>93.683000000000007</v>
      </c>
      <c r="R219" s="52">
        <v>68.852000000000004</v>
      </c>
      <c r="S219" s="52">
        <v>128.86000000000001</v>
      </c>
      <c r="T219" s="52">
        <v>109.949</v>
      </c>
      <c r="U219" s="52">
        <v>144.99199999999999</v>
      </c>
      <c r="V219" s="52">
        <v>129.988</v>
      </c>
      <c r="W219" s="52">
        <v>146.43700000000001</v>
      </c>
      <c r="X219" s="3">
        <v>17338.660303450433</v>
      </c>
      <c r="Y219" s="3">
        <v>23039.54</v>
      </c>
      <c r="Z219" s="3">
        <v>37013.79</v>
      </c>
      <c r="AA219" s="4">
        <v>14152</v>
      </c>
      <c r="AB219" s="4">
        <v>8700</v>
      </c>
      <c r="AC219" s="5" t="e">
        <v>#N/A</v>
      </c>
      <c r="AD219" s="5" t="e">
        <v>#N/A</v>
      </c>
      <c r="AE219" s="34">
        <v>91.865712673080552</v>
      </c>
      <c r="AF219" s="28">
        <v>51.2911</v>
      </c>
      <c r="AG219" s="28">
        <v>50.260399999999997</v>
      </c>
      <c r="AH219" s="28">
        <v>51.745699999999999</v>
      </c>
      <c r="AI219" s="28">
        <v>50.29</v>
      </c>
      <c r="AJ219" s="28">
        <v>49.900599999999997</v>
      </c>
      <c r="AK219" s="28">
        <v>51.3949</v>
      </c>
      <c r="AL219" s="28">
        <v>49.264400000000002</v>
      </c>
      <c r="AM219" s="28">
        <v>48.283499999999997</v>
      </c>
      <c r="AN219" s="28">
        <v>53.089500000000001</v>
      </c>
      <c r="AO219" s="28">
        <v>49.560099999999998</v>
      </c>
      <c r="AP219" s="28">
        <v>46.245800000000003</v>
      </c>
      <c r="AQ219" s="28">
        <v>47.989199999999997</v>
      </c>
      <c r="AR219" s="28">
        <v>51.070900000000002</v>
      </c>
      <c r="AS219" s="28">
        <v>51.018000000000001</v>
      </c>
      <c r="AT219" s="28">
        <v>1.079</v>
      </c>
      <c r="AU219" s="28">
        <v>51.632599999999996</v>
      </c>
      <c r="AV219" s="28">
        <v>52.144500000000001</v>
      </c>
      <c r="AW219" s="28">
        <v>51.493400000000001</v>
      </c>
      <c r="AX219" s="28">
        <v>52.697000000000003</v>
      </c>
      <c r="AY219" s="28">
        <v>50.482599999999998</v>
      </c>
      <c r="AZ219" s="28">
        <v>54.494999999999997</v>
      </c>
      <c r="BA219" s="3">
        <v>32397.64</v>
      </c>
      <c r="BB219">
        <f>IF(ISNUMBER(VLOOKUP($B219,CEIC_DATA!$I$26:$N$353,Haver_M!BB$2,FALSE)),VLOOKUP($B219,CEIC_DATA!$I$26:$N$353,Haver_M!BB$2,FALSE),NA())</f>
        <v>100.79948924</v>
      </c>
      <c r="BC219" t="e">
        <f>IF(ISNUMBER(VLOOKUP($B219,CEIC_DATA!$I$26:$N$353,Haver_M!BC$2,FALSE)),VLOOKUP($B219,CEIC_DATA!$I$26:$N$353,Haver_M!BC$2,FALSE),NA())</f>
        <v>#N/A</v>
      </c>
      <c r="BD219" t="e">
        <f>IF(ISNUMBER(VLOOKUP($B219,CEIC_DATA!$I$26:$N$353,Haver_M!BD$2,FALSE)),VLOOKUP($B219,CEIC_DATA!$I$26:$N$353,Haver_M!BD$2,FALSE),NA())</f>
        <v>#N/A</v>
      </c>
      <c r="BE219" t="e">
        <f>IF(ISNUMBER(VLOOKUP($B219,CEIC_DATA!$I$26:$N$353,Haver_M!BE$2,FALSE)),VLOOKUP($B219,CEIC_DATA!$I$26:$N$353,Haver_M!BE$2,FALSE),NA())</f>
        <v>#N/A</v>
      </c>
      <c r="BF219">
        <v>1972793</v>
      </c>
      <c r="BG219">
        <v>77440</v>
      </c>
      <c r="BH219">
        <v>2477266</v>
      </c>
      <c r="BI219">
        <v>334387</v>
      </c>
      <c r="BJ219" s="3">
        <v>17446.68</v>
      </c>
      <c r="BK219" s="3">
        <v>25991.3</v>
      </c>
      <c r="BL219" s="3">
        <v>17336.04</v>
      </c>
      <c r="BM219" s="3">
        <v>70584.33</v>
      </c>
      <c r="BN219" s="3">
        <v>22888.7</v>
      </c>
      <c r="BO219" s="3">
        <v>37501.43</v>
      </c>
      <c r="BP219" s="28">
        <v>65.081299999999999</v>
      </c>
      <c r="BQ219" s="28">
        <f t="shared" si="13"/>
        <v>268.07516137508009</v>
      </c>
      <c r="BR219" s="28">
        <f t="shared" si="14"/>
        <v>399.36663834311855</v>
      </c>
      <c r="BS219" s="28">
        <f t="shared" si="15"/>
        <v>266.37513387101978</v>
      </c>
      <c r="BT219" s="28">
        <f t="shared" si="16"/>
        <v>1084.5562396571672</v>
      </c>
      <c r="BU219" s="4">
        <v>57660</v>
      </c>
    </row>
    <row r="220" spans="1:73" x14ac:dyDescent="0.25">
      <c r="A220" t="s">
        <v>219</v>
      </c>
      <c r="B220" s="2">
        <v>43069</v>
      </c>
      <c r="C220" s="3">
        <v>6</v>
      </c>
      <c r="D220" s="28">
        <v>7.2457000000000003</v>
      </c>
      <c r="E220" s="34">
        <v>94.206829999999997</v>
      </c>
      <c r="F220" s="5">
        <v>137.6</v>
      </c>
      <c r="G220" s="5">
        <v>135.19999999999999</v>
      </c>
      <c r="H220" s="3">
        <v>128.88999999999999</v>
      </c>
      <c r="I220" s="3">
        <v>122.27</v>
      </c>
      <c r="J220" s="3">
        <v>107.5</v>
      </c>
      <c r="K220" s="3">
        <v>128.52000000000001</v>
      </c>
      <c r="L220" s="3">
        <v>136.54</v>
      </c>
      <c r="M220" s="3">
        <v>125.15</v>
      </c>
      <c r="N220" s="3">
        <v>148.52000000000001</v>
      </c>
      <c r="O220" s="5">
        <v>127.1</v>
      </c>
      <c r="P220" s="52">
        <v>125.09099999999999</v>
      </c>
      <c r="Q220" s="52">
        <v>92.796999999999997</v>
      </c>
      <c r="R220" s="52">
        <v>68.704999999999998</v>
      </c>
      <c r="S220" s="52">
        <v>127.16200000000001</v>
      </c>
      <c r="T220" s="52">
        <v>107.80500000000001</v>
      </c>
      <c r="U220" s="52">
        <v>144.13800000000001</v>
      </c>
      <c r="V220" s="52">
        <v>136.31899999999999</v>
      </c>
      <c r="W220" s="52">
        <v>149.446</v>
      </c>
      <c r="X220" s="3">
        <v>17378.600625370429</v>
      </c>
      <c r="Y220" s="3">
        <v>27874.37</v>
      </c>
      <c r="Z220" s="3">
        <v>41067.35</v>
      </c>
      <c r="AA220" s="4">
        <v>15392</v>
      </c>
      <c r="AB220" s="4">
        <v>9647</v>
      </c>
      <c r="AC220" s="5">
        <v>91.1</v>
      </c>
      <c r="AD220" s="5">
        <v>114.7</v>
      </c>
      <c r="AE220" s="34">
        <v>65.588833367351072</v>
      </c>
      <c r="AF220" s="28">
        <v>50.311100000000003</v>
      </c>
      <c r="AG220" s="28">
        <v>52.590600000000002</v>
      </c>
      <c r="AH220" s="28">
        <v>48.508099999999999</v>
      </c>
      <c r="AI220" s="28">
        <v>54.2819</v>
      </c>
      <c r="AJ220" s="28">
        <v>54.191200000000002</v>
      </c>
      <c r="AK220" s="28">
        <v>52.269199999999998</v>
      </c>
      <c r="AL220" s="28">
        <v>51.017699999999998</v>
      </c>
      <c r="AM220" s="28">
        <v>49.615600000000001</v>
      </c>
      <c r="AN220" s="28">
        <v>53.468699999999998</v>
      </c>
      <c r="AO220" s="28">
        <v>51.5321</v>
      </c>
      <c r="AP220" s="28">
        <v>46.978299999999997</v>
      </c>
      <c r="AQ220" s="28">
        <v>50.565600000000003</v>
      </c>
      <c r="AR220" s="28">
        <v>50.577800000000003</v>
      </c>
      <c r="AS220" s="28">
        <v>50.699599999999997</v>
      </c>
      <c r="AT220" s="28">
        <v>1.1535</v>
      </c>
      <c r="AU220" s="28">
        <v>51.157400000000003</v>
      </c>
      <c r="AV220" s="28">
        <v>52.255200000000002</v>
      </c>
      <c r="AW220" s="28">
        <v>48.308599999999998</v>
      </c>
      <c r="AX220" s="28">
        <v>54.996099999999998</v>
      </c>
      <c r="AY220" s="28">
        <v>50.788499999999999</v>
      </c>
      <c r="AZ220" s="28">
        <v>51.377099999999999</v>
      </c>
      <c r="BA220" s="3">
        <v>33395.14</v>
      </c>
      <c r="BB220">
        <f>IF(ISNUMBER(VLOOKUP($B220,CEIC_DATA!$I$26:$N$353,Haver_M!BB$2,FALSE)),VLOOKUP($B220,CEIC_DATA!$I$26:$N$353,Haver_M!BB$2,FALSE),NA())</f>
        <v>101.38222479</v>
      </c>
      <c r="BC220" t="e">
        <f>IF(ISNUMBER(VLOOKUP($B220,CEIC_DATA!$I$26:$N$353,Haver_M!BC$2,FALSE)),VLOOKUP($B220,CEIC_DATA!$I$26:$N$353,Haver_M!BC$2,FALSE),NA())</f>
        <v>#N/A</v>
      </c>
      <c r="BD220" t="e">
        <f>IF(ISNUMBER(VLOOKUP($B220,CEIC_DATA!$I$26:$N$353,Haver_M!BD$2,FALSE)),VLOOKUP($B220,CEIC_DATA!$I$26:$N$353,Haver_M!BD$2,FALSE),NA())</f>
        <v>#N/A</v>
      </c>
      <c r="BE220" t="e">
        <f>IF(ISNUMBER(VLOOKUP($B220,CEIC_DATA!$I$26:$N$353,Haver_M!BE$2,FALSE)),VLOOKUP($B220,CEIC_DATA!$I$26:$N$353,Haver_M!BE$2,FALSE),NA())</f>
        <v>#N/A</v>
      </c>
      <c r="BF220">
        <v>1779898</v>
      </c>
      <c r="BG220">
        <v>78733</v>
      </c>
      <c r="BH220">
        <v>2292327</v>
      </c>
      <c r="BI220">
        <v>339197</v>
      </c>
      <c r="BJ220" s="3">
        <v>17629.55</v>
      </c>
      <c r="BK220" s="3">
        <v>26041.040000000001</v>
      </c>
      <c r="BL220" s="3">
        <v>17592.669999999998</v>
      </c>
      <c r="BM220" s="3">
        <v>71145.39</v>
      </c>
      <c r="BN220" s="3">
        <v>26292.66</v>
      </c>
      <c r="BO220" s="3">
        <v>41390.19</v>
      </c>
      <c r="BP220" s="28">
        <v>64.8626</v>
      </c>
      <c r="BQ220" s="28">
        <f t="shared" si="13"/>
        <v>271.79838612698228</v>
      </c>
      <c r="BR220" s="28">
        <f t="shared" si="14"/>
        <v>401.48005167847111</v>
      </c>
      <c r="BS220" s="28">
        <f t="shared" si="15"/>
        <v>271.22979960716958</v>
      </c>
      <c r="BT220" s="28">
        <f t="shared" si="16"/>
        <v>1096.8630613018904</v>
      </c>
      <c r="BU220" s="4">
        <v>60306</v>
      </c>
    </row>
    <row r="221" spans="1:73" x14ac:dyDescent="0.25">
      <c r="A221" t="s">
        <v>220</v>
      </c>
      <c r="B221" s="2">
        <v>43100</v>
      </c>
      <c r="C221" s="3">
        <v>6</v>
      </c>
      <c r="D221" s="28">
        <v>7.5236000000000001</v>
      </c>
      <c r="E221" s="34">
        <v>93.483410000000006</v>
      </c>
      <c r="F221" s="5">
        <v>137.19999999999999</v>
      </c>
      <c r="G221" s="5">
        <v>135.69999999999999</v>
      </c>
      <c r="H221" s="3">
        <v>128.07</v>
      </c>
      <c r="I221" s="3">
        <v>124.07</v>
      </c>
      <c r="J221" s="3">
        <v>109.32</v>
      </c>
      <c r="K221" s="3">
        <v>128.61000000000001</v>
      </c>
      <c r="L221" s="3">
        <v>133.97</v>
      </c>
      <c r="M221" s="3">
        <v>123.93</v>
      </c>
      <c r="N221" s="3">
        <v>142.03</v>
      </c>
      <c r="O221" s="5">
        <v>126.3</v>
      </c>
      <c r="P221" s="52">
        <v>126.699</v>
      </c>
      <c r="Q221" s="52">
        <v>92.909000000000006</v>
      </c>
      <c r="R221" s="52">
        <v>67.088999999999999</v>
      </c>
      <c r="S221" s="52">
        <v>128.59899999999999</v>
      </c>
      <c r="T221" s="52">
        <v>106.495</v>
      </c>
      <c r="U221" s="52">
        <v>136.48500000000001</v>
      </c>
      <c r="V221" s="52">
        <v>135.04499999999999</v>
      </c>
      <c r="W221" s="52">
        <v>150.94999999999999</v>
      </c>
      <c r="X221" s="3">
        <v>17488.204166182586</v>
      </c>
      <c r="Y221" s="3">
        <v>26848.78</v>
      </c>
      <c r="Z221" s="3">
        <v>41595.589999999997</v>
      </c>
      <c r="AA221" s="4">
        <v>16005</v>
      </c>
      <c r="AB221" s="4">
        <v>9859</v>
      </c>
      <c r="AC221" s="5">
        <v>96.9</v>
      </c>
      <c r="AD221" s="5">
        <v>122.6</v>
      </c>
      <c r="AE221" s="34">
        <v>61.152286707930124</v>
      </c>
      <c r="AF221" s="28">
        <v>52.959899999999998</v>
      </c>
      <c r="AG221" s="28">
        <v>54.749000000000002</v>
      </c>
      <c r="AH221" s="28">
        <v>50.897300000000001</v>
      </c>
      <c r="AI221" s="28">
        <v>57.502600000000001</v>
      </c>
      <c r="AJ221" s="28">
        <v>56.779299999999999</v>
      </c>
      <c r="AK221" s="28">
        <v>53.429099999999998</v>
      </c>
      <c r="AL221" s="28">
        <v>49.994199999999999</v>
      </c>
      <c r="AM221" s="28">
        <v>51.528700000000001</v>
      </c>
      <c r="AN221" s="28">
        <v>54.410699999999999</v>
      </c>
      <c r="AO221" s="28">
        <v>54.793700000000001</v>
      </c>
      <c r="AP221" s="28">
        <v>45.003799999999998</v>
      </c>
      <c r="AQ221" s="28">
        <v>52.252200000000002</v>
      </c>
      <c r="AR221" s="28">
        <v>51.532800000000002</v>
      </c>
      <c r="AS221" s="28">
        <v>52.284300000000002</v>
      </c>
      <c r="AT221" s="28">
        <v>1.2617</v>
      </c>
      <c r="AU221" s="28">
        <v>51.966500000000003</v>
      </c>
      <c r="AV221" s="28">
        <v>51.393500000000003</v>
      </c>
      <c r="AW221" s="28">
        <v>50.028100000000002</v>
      </c>
      <c r="AX221" s="28">
        <v>52.996600000000001</v>
      </c>
      <c r="AY221" s="28">
        <v>51.815399999999997</v>
      </c>
      <c r="AZ221" s="28">
        <v>51.679099999999998</v>
      </c>
      <c r="BA221" s="3">
        <v>33424.400000000001</v>
      </c>
      <c r="BB221">
        <f>IF(ISNUMBER(VLOOKUP($B221,CEIC_DATA!$I$26:$N$353,Haver_M!BB$2,FALSE)),VLOOKUP($B221,CEIC_DATA!$I$26:$N$353,Haver_M!BB$2,FALSE),NA())</f>
        <v>101.80346437</v>
      </c>
      <c r="BC221">
        <f>IF(ISNUMBER(VLOOKUP($B221,CEIC_DATA!$I$26:$N$353,Haver_M!BC$2,FALSE)),VLOOKUP($B221,CEIC_DATA!$I$26:$N$353,Haver_M!BC$2,FALSE),NA())</f>
        <v>109.8</v>
      </c>
      <c r="BD221">
        <f>IF(ISNUMBER(VLOOKUP($B221,CEIC_DATA!$I$26:$N$353,Haver_M!BD$2,FALSE)),VLOOKUP($B221,CEIC_DATA!$I$26:$N$353,Haver_M!BD$2,FALSE),NA())</f>
        <v>115</v>
      </c>
      <c r="BE221">
        <f>IF(ISNUMBER(VLOOKUP($B221,CEIC_DATA!$I$26:$N$353,Haver_M!BE$2,FALSE)),VLOOKUP($B221,CEIC_DATA!$I$26:$N$353,Haver_M!BE$2,FALSE),NA())</f>
        <v>36.9</v>
      </c>
      <c r="BF221">
        <v>1527785</v>
      </c>
      <c r="BG221">
        <v>93012</v>
      </c>
      <c r="BH221">
        <v>2034813</v>
      </c>
      <c r="BI221">
        <v>318342</v>
      </c>
      <c r="BJ221" s="3">
        <v>17951.560000000001</v>
      </c>
      <c r="BK221" s="3">
        <v>26341.439999999999</v>
      </c>
      <c r="BL221" s="3">
        <v>18118.849999999999</v>
      </c>
      <c r="BM221" s="3">
        <v>72393</v>
      </c>
      <c r="BN221" s="3">
        <v>27832.560000000001</v>
      </c>
      <c r="BO221" s="3">
        <v>42030.79</v>
      </c>
      <c r="BP221" s="28">
        <v>64.2423</v>
      </c>
      <c r="BQ221" s="28">
        <f t="shared" si="13"/>
        <v>279.43520079449212</v>
      </c>
      <c r="BR221" s="28">
        <f t="shared" si="14"/>
        <v>410.03264204426051</v>
      </c>
      <c r="BS221" s="28">
        <f t="shared" si="15"/>
        <v>282.03924828345185</v>
      </c>
      <c r="BT221" s="28">
        <f t="shared" si="16"/>
        <v>1126.8743491437883</v>
      </c>
      <c r="BU221" s="4">
        <v>61372</v>
      </c>
    </row>
    <row r="222" spans="1:73" x14ac:dyDescent="0.25">
      <c r="A222" t="s">
        <v>221</v>
      </c>
      <c r="B222" s="2">
        <v>43131</v>
      </c>
      <c r="C222" s="3">
        <v>6</v>
      </c>
      <c r="D222" s="28">
        <v>7.3681999999999999</v>
      </c>
      <c r="E222" s="34">
        <v>91.915430000000001</v>
      </c>
      <c r="F222" s="5">
        <v>136.9</v>
      </c>
      <c r="G222" s="5">
        <v>136.30000000000001</v>
      </c>
      <c r="H222" s="3">
        <v>128.44</v>
      </c>
      <c r="I222" s="3">
        <v>124.65</v>
      </c>
      <c r="J222" s="3">
        <v>111.32</v>
      </c>
      <c r="K222" s="3">
        <v>128.41</v>
      </c>
      <c r="L222" s="3">
        <v>134.09</v>
      </c>
      <c r="M222" s="3">
        <v>128.25</v>
      </c>
      <c r="N222" s="3">
        <v>142.52000000000001</v>
      </c>
      <c r="O222" s="5">
        <v>128.19999999999999</v>
      </c>
      <c r="P222" s="52">
        <v>128.53299999999999</v>
      </c>
      <c r="Q222" s="52">
        <v>92.879000000000005</v>
      </c>
      <c r="R222" s="52">
        <v>66.873000000000005</v>
      </c>
      <c r="S222" s="52">
        <v>131.48500000000001</v>
      </c>
      <c r="T222" s="52">
        <v>103.70099999999999</v>
      </c>
      <c r="U222" s="52">
        <v>139.346</v>
      </c>
      <c r="V222" s="52">
        <v>135.351</v>
      </c>
      <c r="W222" s="52">
        <v>153.19300000000001</v>
      </c>
      <c r="X222" s="3">
        <v>17183.638004596014</v>
      </c>
      <c r="Y222" s="3">
        <v>26147.47</v>
      </c>
      <c r="Z222" s="3">
        <v>41905.67</v>
      </c>
      <c r="AA222" s="4">
        <v>16337</v>
      </c>
      <c r="AB222" s="4">
        <v>9847</v>
      </c>
      <c r="AC222" s="5" t="e">
        <v>#N/A</v>
      </c>
      <c r="AD222" s="5" t="e">
        <v>#N/A</v>
      </c>
      <c r="AE222" s="34">
        <v>41.605324731176623</v>
      </c>
      <c r="AF222" s="28">
        <v>52.485300000000002</v>
      </c>
      <c r="AG222" s="28">
        <v>52.396299999999997</v>
      </c>
      <c r="AH222" s="28">
        <v>51.743000000000002</v>
      </c>
      <c r="AI222" s="28">
        <v>54.124099999999999</v>
      </c>
      <c r="AJ222" s="28">
        <v>53.048999999999999</v>
      </c>
      <c r="AK222" s="28">
        <v>51.554299999999998</v>
      </c>
      <c r="AL222" s="28">
        <v>49.601300000000002</v>
      </c>
      <c r="AM222" s="28">
        <v>50.798699999999997</v>
      </c>
      <c r="AN222" s="28">
        <v>54.277799999999999</v>
      </c>
      <c r="AO222" s="28">
        <v>52.8673</v>
      </c>
      <c r="AP222" s="28">
        <v>46.908499999999997</v>
      </c>
      <c r="AQ222" s="28">
        <v>54.343000000000004</v>
      </c>
      <c r="AR222" s="28">
        <v>50.758699999999997</v>
      </c>
      <c r="AS222" s="28">
        <v>51.299199999999999</v>
      </c>
      <c r="AT222" s="28">
        <v>1.1309</v>
      </c>
      <c r="AU222" s="28">
        <v>52.154299999999999</v>
      </c>
      <c r="AV222" s="28">
        <v>52.159100000000002</v>
      </c>
      <c r="AW222" s="28">
        <v>51.718299999999999</v>
      </c>
      <c r="AX222" s="28">
        <v>53.094700000000003</v>
      </c>
      <c r="AY222" s="28">
        <v>50.633200000000002</v>
      </c>
      <c r="AZ222" s="28">
        <v>51.859299999999998</v>
      </c>
      <c r="BA222" s="3">
        <v>34989.42</v>
      </c>
      <c r="BB222">
        <f>IF(ISNUMBER(VLOOKUP($B222,CEIC_DATA!$I$26:$N$353,Haver_M!BB$2,FALSE)),VLOOKUP($B222,CEIC_DATA!$I$26:$N$353,Haver_M!BB$2,FALSE),NA())</f>
        <v>102.09204979</v>
      </c>
      <c r="BC222" t="e">
        <f>IF(ISNUMBER(VLOOKUP($B222,CEIC_DATA!$I$26:$N$353,Haver_M!BC$2,FALSE)),VLOOKUP($B222,CEIC_DATA!$I$26:$N$353,Haver_M!BC$2,FALSE),NA())</f>
        <v>#N/A</v>
      </c>
      <c r="BD222" t="e">
        <f>IF(ISNUMBER(VLOOKUP($B222,CEIC_DATA!$I$26:$N$353,Haver_M!BD$2,FALSE)),VLOOKUP($B222,CEIC_DATA!$I$26:$N$353,Haver_M!BD$2,FALSE),NA())</f>
        <v>#N/A</v>
      </c>
      <c r="BE222" t="e">
        <f>IF(ISNUMBER(VLOOKUP($B222,CEIC_DATA!$I$26:$N$353,Haver_M!BE$2,FALSE)),VLOOKUP($B222,CEIC_DATA!$I$26:$N$353,Haver_M!BE$2,FALSE),NA())</f>
        <v>#N/A</v>
      </c>
      <c r="BF222">
        <v>1925179</v>
      </c>
      <c r="BG222">
        <v>94936</v>
      </c>
      <c r="BH222">
        <v>2458926</v>
      </c>
      <c r="BI222">
        <v>342093</v>
      </c>
      <c r="BJ222" s="3">
        <v>18285.89</v>
      </c>
      <c r="BK222" s="3">
        <v>26151.39</v>
      </c>
      <c r="BL222" s="3">
        <v>18030.3</v>
      </c>
      <c r="BM222" s="3">
        <v>72535.740000000005</v>
      </c>
      <c r="BN222" s="3">
        <v>25407.74</v>
      </c>
      <c r="BO222" s="3">
        <v>40701.21</v>
      </c>
      <c r="BP222" s="28">
        <v>63.636899999999997</v>
      </c>
      <c r="BQ222" s="28">
        <f t="shared" si="13"/>
        <v>287.34727807294195</v>
      </c>
      <c r="BR222" s="28">
        <f t="shared" si="14"/>
        <v>410.94695058998792</v>
      </c>
      <c r="BS222" s="28">
        <f t="shared" si="15"/>
        <v>283.33089763957702</v>
      </c>
      <c r="BT222" s="28">
        <f t="shared" si="16"/>
        <v>1139.8377356533711</v>
      </c>
      <c r="BU222" s="4">
        <v>58616</v>
      </c>
    </row>
    <row r="223" spans="1:73" x14ac:dyDescent="0.25">
      <c r="A223" t="s">
        <v>222</v>
      </c>
      <c r="B223" s="2">
        <v>43159</v>
      </c>
      <c r="C223" s="3">
        <v>6</v>
      </c>
      <c r="D223" s="28">
        <v>7.7023999999999999</v>
      </c>
      <c r="E223" s="34">
        <v>90.293480000000002</v>
      </c>
      <c r="F223" s="5">
        <v>136.4</v>
      </c>
      <c r="G223" s="5">
        <v>136.69999999999999</v>
      </c>
      <c r="H223" s="3">
        <v>129.19999999999999</v>
      </c>
      <c r="I223" s="3">
        <v>124.14</v>
      </c>
      <c r="J223" s="3">
        <v>116.88</v>
      </c>
      <c r="K223" s="3">
        <v>127.89</v>
      </c>
      <c r="L223" s="3">
        <v>140.52000000000001</v>
      </c>
      <c r="M223" s="3">
        <v>127.91</v>
      </c>
      <c r="N223" s="3">
        <v>140.76</v>
      </c>
      <c r="O223" s="5">
        <v>128.5</v>
      </c>
      <c r="P223" s="52">
        <v>128.76900000000001</v>
      </c>
      <c r="Q223" s="52">
        <v>92.944999999999993</v>
      </c>
      <c r="R223" s="52">
        <v>67.427000000000007</v>
      </c>
      <c r="S223" s="52">
        <v>127.23699999999999</v>
      </c>
      <c r="T223" s="52">
        <v>110.617</v>
      </c>
      <c r="U223" s="52">
        <v>143</v>
      </c>
      <c r="V223" s="52">
        <v>139.227</v>
      </c>
      <c r="W223" s="52">
        <v>151.495</v>
      </c>
      <c r="X223" s="3">
        <v>17287.199000401244</v>
      </c>
      <c r="Y223" s="3">
        <v>26309.37</v>
      </c>
      <c r="Z223" s="3">
        <v>41110.68</v>
      </c>
      <c r="AA223" s="4">
        <v>15709</v>
      </c>
      <c r="AB223" s="4">
        <v>10143</v>
      </c>
      <c r="AC223" s="5" t="e">
        <v>#N/A</v>
      </c>
      <c r="AD223" s="5" t="e">
        <v>#N/A</v>
      </c>
      <c r="AE223" s="34">
        <v>57.070240474261915</v>
      </c>
      <c r="AF223" s="28">
        <v>49.663499999999999</v>
      </c>
      <c r="AG223" s="28">
        <v>52.1372</v>
      </c>
      <c r="AH223" s="28">
        <v>47.813099999999999</v>
      </c>
      <c r="AI223" s="28">
        <v>53.748899999999999</v>
      </c>
      <c r="AJ223" s="28">
        <v>52.330599999999997</v>
      </c>
      <c r="AK223" s="28">
        <v>51.914400000000001</v>
      </c>
      <c r="AL223" s="28">
        <v>49.154600000000002</v>
      </c>
      <c r="AM223" s="28">
        <v>49.910699999999999</v>
      </c>
      <c r="AN223" s="28">
        <v>55.634300000000003</v>
      </c>
      <c r="AO223" s="28">
        <v>50.596400000000003</v>
      </c>
      <c r="AP223" s="28">
        <v>47.7834</v>
      </c>
      <c r="AQ223" s="28">
        <v>53.918999999999997</v>
      </c>
      <c r="AR223" s="28">
        <v>52.2301</v>
      </c>
      <c r="AS223" s="28">
        <v>52.420200000000001</v>
      </c>
      <c r="AT223" s="28">
        <v>1.0952</v>
      </c>
      <c r="AU223" s="28">
        <v>52.665999999999997</v>
      </c>
      <c r="AV223" s="28">
        <v>52.429000000000002</v>
      </c>
      <c r="AW223" s="28">
        <v>48.040999999999997</v>
      </c>
      <c r="AX223" s="28">
        <v>54.223300000000002</v>
      </c>
      <c r="AY223" s="28">
        <v>50.87</v>
      </c>
      <c r="AZ223" s="28">
        <v>51.415999999999997</v>
      </c>
      <c r="BA223" s="3">
        <v>34287.040000000001</v>
      </c>
      <c r="BB223">
        <f>IF(ISNUMBER(VLOOKUP($B223,CEIC_DATA!$I$26:$N$353,Haver_M!BB$2,FALSE)),VLOOKUP($B223,CEIC_DATA!$I$26:$N$353,Haver_M!BB$2,FALSE),NA())</f>
        <v>102.22308842</v>
      </c>
      <c r="BC223" t="e">
        <f>IF(ISNUMBER(VLOOKUP($B223,CEIC_DATA!$I$26:$N$353,Haver_M!BC$2,FALSE)),VLOOKUP($B223,CEIC_DATA!$I$26:$N$353,Haver_M!BC$2,FALSE),NA())</f>
        <v>#N/A</v>
      </c>
      <c r="BD223" t="e">
        <f>IF(ISNUMBER(VLOOKUP($B223,CEIC_DATA!$I$26:$N$353,Haver_M!BD$2,FALSE)),VLOOKUP($B223,CEIC_DATA!$I$26:$N$353,Haver_M!BD$2,FALSE),NA())</f>
        <v>#N/A</v>
      </c>
      <c r="BE223" t="e">
        <f>IF(ISNUMBER(VLOOKUP($B223,CEIC_DATA!$I$26:$N$353,Haver_M!BE$2,FALSE)),VLOOKUP($B223,CEIC_DATA!$I$26:$N$353,Haver_M!BE$2,FALSE),NA())</f>
        <v>#N/A</v>
      </c>
      <c r="BF223">
        <v>1942706</v>
      </c>
      <c r="BG223">
        <v>96358</v>
      </c>
      <c r="BH223">
        <v>2470862</v>
      </c>
      <c r="BI223">
        <v>336881</v>
      </c>
      <c r="BJ223" s="3">
        <v>18544.13</v>
      </c>
      <c r="BK223" s="3">
        <v>26272.22</v>
      </c>
      <c r="BL223" s="3">
        <v>18405.689999999999</v>
      </c>
      <c r="BM223" s="3">
        <v>73389.78</v>
      </c>
      <c r="BN223" s="3">
        <v>26030.720000000001</v>
      </c>
      <c r="BO223" s="3">
        <v>37871.269999999997</v>
      </c>
      <c r="BP223" s="28">
        <v>64.373800000000003</v>
      </c>
      <c r="BQ223" s="28">
        <f t="shared" si="13"/>
        <v>288.0695251794985</v>
      </c>
      <c r="BR223" s="28">
        <f t="shared" si="14"/>
        <v>408.11976300917456</v>
      </c>
      <c r="BS223" s="28">
        <f t="shared" si="15"/>
        <v>285.91896081946379</v>
      </c>
      <c r="BT223" s="28">
        <f t="shared" si="16"/>
        <v>1140.0566690175194</v>
      </c>
      <c r="BU223" s="4">
        <v>52813</v>
      </c>
    </row>
    <row r="224" spans="1:73" x14ac:dyDescent="0.25">
      <c r="A224" t="s">
        <v>223</v>
      </c>
      <c r="B224" s="2">
        <v>43190</v>
      </c>
      <c r="C224" s="3">
        <v>6</v>
      </c>
      <c r="D224" s="28">
        <v>7.4204999999999997</v>
      </c>
      <c r="E224" s="34">
        <v>89.415239999999997</v>
      </c>
      <c r="F224" s="5">
        <v>136.5</v>
      </c>
      <c r="G224" s="5">
        <v>137.30000000000001</v>
      </c>
      <c r="H224" s="3">
        <v>128.59</v>
      </c>
      <c r="I224" s="3">
        <v>125.2</v>
      </c>
      <c r="J224" s="3">
        <v>103.29</v>
      </c>
      <c r="K224" s="3">
        <v>126.86</v>
      </c>
      <c r="L224" s="3">
        <v>137.69999999999999</v>
      </c>
      <c r="M224" s="3">
        <v>128.58000000000001</v>
      </c>
      <c r="N224" s="3">
        <v>142.32</v>
      </c>
      <c r="O224" s="5">
        <v>129.19999999999999</v>
      </c>
      <c r="P224" s="52">
        <v>135.47499999999999</v>
      </c>
      <c r="Q224" s="52">
        <v>93.221999999999994</v>
      </c>
      <c r="R224" s="52">
        <v>69.022000000000006</v>
      </c>
      <c r="S224" s="52">
        <v>124.559</v>
      </c>
      <c r="T224" s="52">
        <v>112.547</v>
      </c>
      <c r="U224" s="52">
        <v>144.46600000000001</v>
      </c>
      <c r="V224" s="52">
        <v>134.76300000000001</v>
      </c>
      <c r="W224" s="52">
        <v>155.46600000000001</v>
      </c>
      <c r="X224" s="3">
        <v>17419.999422482491</v>
      </c>
      <c r="Y224" s="3">
        <v>25621.79</v>
      </c>
      <c r="Z224" s="3">
        <v>41080.78</v>
      </c>
      <c r="AA224" s="4">
        <v>16834</v>
      </c>
      <c r="AB224" s="4">
        <v>10280</v>
      </c>
      <c r="AC224" s="5">
        <v>95.1</v>
      </c>
      <c r="AD224" s="5">
        <v>117.4</v>
      </c>
      <c r="AE224" s="34">
        <v>51.524791531965562</v>
      </c>
      <c r="AF224" s="28">
        <v>50.818600000000004</v>
      </c>
      <c r="AG224" s="28">
        <v>50.965200000000003</v>
      </c>
      <c r="AH224" s="28">
        <v>50.343400000000003</v>
      </c>
      <c r="AI224" s="28">
        <v>51.867699999999999</v>
      </c>
      <c r="AJ224" s="28">
        <v>51.507199999999997</v>
      </c>
      <c r="AK224" s="28">
        <v>49.656399999999998</v>
      </c>
      <c r="AL224" s="28">
        <v>49.649700000000003</v>
      </c>
      <c r="AM224" s="28">
        <v>50.622799999999998</v>
      </c>
      <c r="AN224" s="28">
        <v>53.7468</v>
      </c>
      <c r="AO224" s="28">
        <v>50.351999999999997</v>
      </c>
      <c r="AP224" s="28">
        <v>45.248899999999999</v>
      </c>
      <c r="AQ224" s="28">
        <v>51.082099999999997</v>
      </c>
      <c r="AR224" s="28">
        <v>50.415799999999997</v>
      </c>
      <c r="AS224" s="28">
        <v>49.808399999999999</v>
      </c>
      <c r="AT224" s="28">
        <v>1.1383000000000001</v>
      </c>
      <c r="AU224" s="28">
        <v>52.8401</v>
      </c>
      <c r="AV224" s="28">
        <v>51.846200000000003</v>
      </c>
      <c r="AW224" s="28">
        <v>50.570700000000002</v>
      </c>
      <c r="AX224" s="28">
        <v>53.794199999999996</v>
      </c>
      <c r="AY224" s="28">
        <v>49.887700000000002</v>
      </c>
      <c r="AZ224" s="28">
        <v>53.430700000000002</v>
      </c>
      <c r="BA224" s="3">
        <v>33323.32</v>
      </c>
      <c r="BB224">
        <f>IF(ISNUMBER(VLOOKUP($B224,CEIC_DATA!$I$26:$N$353,Haver_M!BB$2,FALSE)),VLOOKUP($B224,CEIC_DATA!$I$26:$N$353,Haver_M!BB$2,FALSE),NA())</f>
        <v>102.29551637</v>
      </c>
      <c r="BC224">
        <f>IF(ISNUMBER(VLOOKUP($B224,CEIC_DATA!$I$26:$N$353,Haver_M!BC$2,FALSE)),VLOOKUP($B224,CEIC_DATA!$I$26:$N$353,Haver_M!BC$2,FALSE),NA())</f>
        <v>112.4</v>
      </c>
      <c r="BD224">
        <f>IF(ISNUMBER(VLOOKUP($B224,CEIC_DATA!$I$26:$N$353,Haver_M!BD$2,FALSE)),VLOOKUP($B224,CEIC_DATA!$I$26:$N$353,Haver_M!BD$2,FALSE),NA())</f>
        <v>115.8</v>
      </c>
      <c r="BE224">
        <f>IF(ISNUMBER(VLOOKUP($B224,CEIC_DATA!$I$26:$N$353,Haver_M!BE$2,FALSE)),VLOOKUP($B224,CEIC_DATA!$I$26:$N$353,Haver_M!BE$2,FALSE),NA())</f>
        <v>36.1</v>
      </c>
      <c r="BF224">
        <v>1990979</v>
      </c>
      <c r="BG224">
        <v>119702</v>
      </c>
      <c r="BH224">
        <v>2588423</v>
      </c>
      <c r="BI224">
        <v>373428</v>
      </c>
      <c r="BJ224" s="3">
        <v>19084.689999999999</v>
      </c>
      <c r="BK224" s="3">
        <v>26992.68</v>
      </c>
      <c r="BL224" s="3">
        <v>20504.72</v>
      </c>
      <c r="BM224" s="3">
        <v>76884.23</v>
      </c>
      <c r="BN224" s="3">
        <v>29167.03</v>
      </c>
      <c r="BO224" s="3">
        <v>42801.16</v>
      </c>
      <c r="BP224" s="28">
        <v>65.021299999999997</v>
      </c>
      <c r="BQ224" s="28">
        <f t="shared" si="13"/>
        <v>293.51443296273681</v>
      </c>
      <c r="BR224" s="28">
        <f t="shared" si="14"/>
        <v>415.13596313823319</v>
      </c>
      <c r="BS224" s="28">
        <f t="shared" si="15"/>
        <v>315.35389172471179</v>
      </c>
      <c r="BT224" s="28">
        <f t="shared" si="16"/>
        <v>1182.4468289622016</v>
      </c>
      <c r="BU224" s="4">
        <v>45933</v>
      </c>
    </row>
    <row r="225" spans="1:73" x14ac:dyDescent="0.25">
      <c r="A225" t="s">
        <v>224</v>
      </c>
      <c r="B225" s="2">
        <v>43220</v>
      </c>
      <c r="C225" s="3">
        <v>6</v>
      </c>
      <c r="D225" s="28">
        <v>7.8013000000000003</v>
      </c>
      <c r="E225" s="34">
        <v>89.094790000000003</v>
      </c>
      <c r="F225" s="5">
        <v>137.1</v>
      </c>
      <c r="G225" s="5">
        <v>138.19999999999999</v>
      </c>
      <c r="H225" s="3">
        <v>127.74</v>
      </c>
      <c r="I225" s="3">
        <v>123.7</v>
      </c>
      <c r="J225" s="3">
        <v>109.71</v>
      </c>
      <c r="K225" s="3">
        <v>123.54</v>
      </c>
      <c r="L225" s="3">
        <v>137.44</v>
      </c>
      <c r="M225" s="3">
        <v>127.93</v>
      </c>
      <c r="N225" s="3">
        <v>141.41</v>
      </c>
      <c r="O225" s="5">
        <v>128.69999999999999</v>
      </c>
      <c r="P225" s="52">
        <v>131.28899999999999</v>
      </c>
      <c r="Q225" s="52">
        <v>93.23</v>
      </c>
      <c r="R225" s="52">
        <v>69.206000000000003</v>
      </c>
      <c r="S225" s="52">
        <v>125.649</v>
      </c>
      <c r="T225" s="52">
        <v>111.20699999999999</v>
      </c>
      <c r="U225" s="52">
        <v>142.30600000000001</v>
      </c>
      <c r="V225" s="52">
        <v>143.744</v>
      </c>
      <c r="W225" s="52">
        <v>151.63499999999999</v>
      </c>
      <c r="X225" s="3">
        <v>17442.909416609706</v>
      </c>
      <c r="Y225" s="3">
        <v>26559.79</v>
      </c>
      <c r="Z225" s="3">
        <v>40319.879999999997</v>
      </c>
      <c r="AA225" s="4">
        <v>17563</v>
      </c>
      <c r="AB225" s="4">
        <v>10915</v>
      </c>
      <c r="AC225" s="5" t="e">
        <v>#N/A</v>
      </c>
      <c r="AD225" s="5" t="e">
        <v>#N/A</v>
      </c>
      <c r="AE225" s="34">
        <v>42.43494299677738</v>
      </c>
      <c r="AF225" s="28">
        <v>51.85</v>
      </c>
      <c r="AG225" s="28">
        <v>51.628399999999999</v>
      </c>
      <c r="AH225" s="28">
        <v>51.386499999999998</v>
      </c>
      <c r="AI225" s="28">
        <v>52.873399999999997</v>
      </c>
      <c r="AJ225" s="28">
        <v>51.952800000000003</v>
      </c>
      <c r="AK225" s="28">
        <v>50.893799999999999</v>
      </c>
      <c r="AL225" s="28">
        <v>49.951599999999999</v>
      </c>
      <c r="AM225" s="28">
        <v>51.381399999999999</v>
      </c>
      <c r="AN225" s="28">
        <v>52.9328</v>
      </c>
      <c r="AO225" s="28">
        <v>51.900300000000001</v>
      </c>
      <c r="AP225" s="28">
        <v>44.389600000000002</v>
      </c>
      <c r="AQ225" s="28">
        <v>50.811599999999999</v>
      </c>
      <c r="AR225" s="28">
        <v>50.307600000000001</v>
      </c>
      <c r="AS225" s="28">
        <v>50.211500000000001</v>
      </c>
      <c r="AT225" s="28">
        <v>1.1704000000000001</v>
      </c>
      <c r="AU225" s="28">
        <v>53.344200000000001</v>
      </c>
      <c r="AV225" s="28">
        <v>51.496299999999998</v>
      </c>
      <c r="AW225" s="28">
        <v>51.446800000000003</v>
      </c>
      <c r="AX225" s="28">
        <v>52.4221</v>
      </c>
      <c r="AY225" s="28">
        <v>49.876100000000001</v>
      </c>
      <c r="AZ225" s="28">
        <v>53.081200000000003</v>
      </c>
      <c r="BA225" s="3">
        <v>34145.68</v>
      </c>
      <c r="BB225">
        <f>IF(ISNUMBER(VLOOKUP($B225,CEIC_DATA!$I$26:$N$353,Haver_M!BB$2,FALSE)),VLOOKUP($B225,CEIC_DATA!$I$26:$N$353,Haver_M!BB$2,FALSE),NA())</f>
        <v>102.19118023</v>
      </c>
      <c r="BC225" t="e">
        <f>IF(ISNUMBER(VLOOKUP($B225,CEIC_DATA!$I$26:$N$353,Haver_M!BC$2,FALSE)),VLOOKUP($B225,CEIC_DATA!$I$26:$N$353,Haver_M!BC$2,FALSE),NA())</f>
        <v>#N/A</v>
      </c>
      <c r="BD225" t="e">
        <f>IF(ISNUMBER(VLOOKUP($B225,CEIC_DATA!$I$26:$N$353,Haver_M!BD$2,FALSE)),VLOOKUP($B225,CEIC_DATA!$I$26:$N$353,Haver_M!BD$2,FALSE),NA())</f>
        <v>#N/A</v>
      </c>
      <c r="BE225" t="e">
        <f>IF(ISNUMBER(VLOOKUP($B225,CEIC_DATA!$I$26:$N$353,Haver_M!BE$2,FALSE)),VLOOKUP($B225,CEIC_DATA!$I$26:$N$353,Haver_M!BE$2,FALSE),NA())</f>
        <v>#N/A</v>
      </c>
      <c r="BF225">
        <v>2252618</v>
      </c>
      <c r="BG225">
        <v>79223</v>
      </c>
      <c r="BH225">
        <v>2781149</v>
      </c>
      <c r="BI225">
        <v>349425</v>
      </c>
      <c r="BJ225" s="3">
        <v>19211.419999999998</v>
      </c>
      <c r="BK225" s="3">
        <v>26510.78</v>
      </c>
      <c r="BL225" s="3">
        <v>19812.939999999999</v>
      </c>
      <c r="BM225" s="3">
        <v>75803.92</v>
      </c>
      <c r="BN225" s="3">
        <v>25950.69</v>
      </c>
      <c r="BO225" s="3">
        <v>39950.44</v>
      </c>
      <c r="BP225" s="28">
        <v>65.636300000000006</v>
      </c>
      <c r="BQ225" s="28">
        <f t="shared" si="13"/>
        <v>292.69504831929885</v>
      </c>
      <c r="BR225" s="28">
        <f t="shared" si="14"/>
        <v>403.90424201242297</v>
      </c>
      <c r="BS225" s="28">
        <f t="shared" si="15"/>
        <v>301.85948933745499</v>
      </c>
      <c r="BT225" s="28">
        <f t="shared" si="16"/>
        <v>1154.9084881384233</v>
      </c>
      <c r="BU225" s="4">
        <v>67347</v>
      </c>
    </row>
    <row r="226" spans="1:73" x14ac:dyDescent="0.25">
      <c r="A226" t="s">
        <v>225</v>
      </c>
      <c r="B226" s="2">
        <v>43251</v>
      </c>
      <c r="C226" s="3">
        <v>6</v>
      </c>
      <c r="D226" s="28">
        <v>7.9321999999999999</v>
      </c>
      <c r="E226" s="34">
        <v>88.476960000000005</v>
      </c>
      <c r="F226" s="5">
        <v>137.80000000000001</v>
      </c>
      <c r="G226" s="5">
        <v>139</v>
      </c>
      <c r="H226" s="3">
        <v>127.01</v>
      </c>
      <c r="I226" s="3">
        <v>126.04</v>
      </c>
      <c r="J226" s="3">
        <v>109.16</v>
      </c>
      <c r="K226" s="3">
        <v>123.88</v>
      </c>
      <c r="L226" s="3">
        <v>135.77000000000001</v>
      </c>
      <c r="M226" s="3">
        <v>130.94</v>
      </c>
      <c r="N226" s="3">
        <v>138.16</v>
      </c>
      <c r="O226" s="5">
        <v>127.9</v>
      </c>
      <c r="P226" s="52">
        <v>132.25200000000001</v>
      </c>
      <c r="Q226" s="52">
        <v>91.763000000000005</v>
      </c>
      <c r="R226" s="52">
        <v>66.977000000000004</v>
      </c>
      <c r="S226" s="52">
        <v>129.18199999999999</v>
      </c>
      <c r="T226" s="52">
        <v>111.146</v>
      </c>
      <c r="U226" s="52">
        <v>136.33799999999999</v>
      </c>
      <c r="V226" s="52">
        <v>138.42699999999999</v>
      </c>
      <c r="W226" s="52">
        <v>154.85300000000001</v>
      </c>
      <c r="X226" s="3">
        <v>17499.019400671634</v>
      </c>
      <c r="Y226" s="3">
        <v>28016.55</v>
      </c>
      <c r="Z226" s="3">
        <v>42598.62</v>
      </c>
      <c r="AA226" s="4">
        <v>16173</v>
      </c>
      <c r="AB226" s="4">
        <v>10208</v>
      </c>
      <c r="AC226" s="5">
        <v>94.2</v>
      </c>
      <c r="AD226" s="5">
        <v>119.3</v>
      </c>
      <c r="AE226" s="34">
        <v>57.131839069240861</v>
      </c>
      <c r="AF226" s="28">
        <v>50.360900000000001</v>
      </c>
      <c r="AG226" s="28">
        <v>51.200299999999999</v>
      </c>
      <c r="AH226" s="28">
        <v>49.591299999999997</v>
      </c>
      <c r="AI226" s="28">
        <v>52.059899999999999</v>
      </c>
      <c r="AJ226" s="28">
        <v>51.607999999999997</v>
      </c>
      <c r="AK226" s="28">
        <v>50.6646</v>
      </c>
      <c r="AL226" s="28">
        <v>49.908999999999999</v>
      </c>
      <c r="AM226" s="28">
        <v>50.563800000000001</v>
      </c>
      <c r="AN226" s="28">
        <v>54.694400000000002</v>
      </c>
      <c r="AO226" s="28">
        <v>49.759599999999999</v>
      </c>
      <c r="AP226" s="28">
        <v>45.220500000000001</v>
      </c>
      <c r="AQ226" s="28">
        <v>52.622799999999998</v>
      </c>
      <c r="AR226" s="28">
        <v>51.6265</v>
      </c>
      <c r="AS226" s="28">
        <v>51.351500000000001</v>
      </c>
      <c r="AT226" s="28">
        <v>1.1413</v>
      </c>
      <c r="AU226" s="28">
        <v>51.991799999999998</v>
      </c>
      <c r="AV226" s="28">
        <v>51.296199999999999</v>
      </c>
      <c r="AW226" s="28">
        <v>50.194200000000002</v>
      </c>
      <c r="AX226" s="28">
        <v>53.581000000000003</v>
      </c>
      <c r="AY226" s="28">
        <v>48.511899999999997</v>
      </c>
      <c r="AZ226" s="28">
        <v>51.048999999999999</v>
      </c>
      <c r="BA226" s="3">
        <v>35079.56</v>
      </c>
      <c r="BB226">
        <f>IF(ISNUMBER(VLOOKUP($B226,CEIC_DATA!$I$26:$N$353,Haver_M!BB$2,FALSE)),VLOOKUP($B226,CEIC_DATA!$I$26:$N$353,Haver_M!BB$2,FALSE),NA())</f>
        <v>101.9935382</v>
      </c>
      <c r="BC226" t="e">
        <f>IF(ISNUMBER(VLOOKUP($B226,CEIC_DATA!$I$26:$N$353,Haver_M!BC$2,FALSE)),VLOOKUP($B226,CEIC_DATA!$I$26:$N$353,Haver_M!BC$2,FALSE),NA())</f>
        <v>#N/A</v>
      </c>
      <c r="BD226" t="e">
        <f>IF(ISNUMBER(VLOOKUP($B226,CEIC_DATA!$I$26:$N$353,Haver_M!BD$2,FALSE)),VLOOKUP($B226,CEIC_DATA!$I$26:$N$353,Haver_M!BD$2,FALSE),NA())</f>
        <v>#N/A</v>
      </c>
      <c r="BE226" t="e">
        <f>IF(ISNUMBER(VLOOKUP($B226,CEIC_DATA!$I$26:$N$353,Haver_M!BE$2,FALSE)),VLOOKUP($B226,CEIC_DATA!$I$26:$N$353,Haver_M!BE$2,FALSE),NA())</f>
        <v>#N/A</v>
      </c>
      <c r="BF226">
        <v>2135271</v>
      </c>
      <c r="BG226">
        <v>84572</v>
      </c>
      <c r="BH226">
        <v>2682051</v>
      </c>
      <c r="BI226">
        <v>360886</v>
      </c>
      <c r="BJ226" s="3">
        <v>19180.78</v>
      </c>
      <c r="BK226" s="3">
        <v>26445.68</v>
      </c>
      <c r="BL226" s="3">
        <v>19932.330000000002</v>
      </c>
      <c r="BM226" s="3">
        <v>75837.58</v>
      </c>
      <c r="BN226" s="3">
        <v>28866.18</v>
      </c>
      <c r="BO226" s="3">
        <v>43916.55</v>
      </c>
      <c r="BP226" s="28">
        <v>67.539400000000001</v>
      </c>
      <c r="BQ226" s="28">
        <f t="shared" si="13"/>
        <v>283.99393539178612</v>
      </c>
      <c r="BR226" s="28">
        <f t="shared" si="14"/>
        <v>391.55929723983337</v>
      </c>
      <c r="BS226" s="28">
        <f t="shared" si="15"/>
        <v>295.12151425686341</v>
      </c>
      <c r="BT226" s="28">
        <f t="shared" si="16"/>
        <v>1122.8642836625734</v>
      </c>
      <c r="BU226" s="4">
        <v>75995</v>
      </c>
    </row>
    <row r="227" spans="1:73" x14ac:dyDescent="0.25">
      <c r="A227" t="s">
        <v>226</v>
      </c>
      <c r="B227" s="2">
        <v>43281</v>
      </c>
      <c r="C227" s="3">
        <v>6.25</v>
      </c>
      <c r="D227" s="28">
        <v>7.9954999999999998</v>
      </c>
      <c r="E227" s="34">
        <v>89.686170000000004</v>
      </c>
      <c r="F227" s="5">
        <v>138.5</v>
      </c>
      <c r="G227" s="5">
        <v>139</v>
      </c>
      <c r="H227" s="3">
        <v>130.27000000000001</v>
      </c>
      <c r="I227" s="3">
        <v>128.71</v>
      </c>
      <c r="J227" s="3">
        <v>109.71</v>
      </c>
      <c r="K227" s="3">
        <v>124.61</v>
      </c>
      <c r="L227" s="3">
        <v>141.03</v>
      </c>
      <c r="M227" s="3">
        <v>136.11000000000001</v>
      </c>
      <c r="N227" s="3">
        <v>138</v>
      </c>
      <c r="O227" s="5">
        <v>132.69999999999999</v>
      </c>
      <c r="P227" s="52">
        <v>136.49100000000001</v>
      </c>
      <c r="Q227" s="52">
        <v>91.524000000000001</v>
      </c>
      <c r="R227" s="52">
        <v>67.891999999999996</v>
      </c>
      <c r="S227" s="52">
        <v>135.74</v>
      </c>
      <c r="T227" s="52">
        <v>108.164</v>
      </c>
      <c r="U227" s="52">
        <v>145.68600000000001</v>
      </c>
      <c r="V227" s="52">
        <v>144.27000000000001</v>
      </c>
      <c r="W227" s="52">
        <v>157.691</v>
      </c>
      <c r="X227" s="3">
        <v>18054.573790559178</v>
      </c>
      <c r="Y227" s="3">
        <v>27723.93</v>
      </c>
      <c r="Z227" s="3">
        <v>44039.96</v>
      </c>
      <c r="AA227" s="4">
        <v>16872</v>
      </c>
      <c r="AB227" s="4">
        <v>10299</v>
      </c>
      <c r="AC227" s="5">
        <v>98.3</v>
      </c>
      <c r="AD227" s="5">
        <v>119.8</v>
      </c>
      <c r="AE227" s="34">
        <v>51.491502247447102</v>
      </c>
      <c r="AF227" s="28">
        <v>53.320099999999996</v>
      </c>
      <c r="AG227" s="28">
        <v>53.142299999999999</v>
      </c>
      <c r="AH227" s="28">
        <v>52.636499999999998</v>
      </c>
      <c r="AI227" s="28">
        <v>54.829300000000003</v>
      </c>
      <c r="AJ227" s="28">
        <v>54.936500000000002</v>
      </c>
      <c r="AK227" s="28">
        <v>52.025500000000001</v>
      </c>
      <c r="AL227" s="28">
        <v>49.889000000000003</v>
      </c>
      <c r="AM227" s="28">
        <v>50.322200000000002</v>
      </c>
      <c r="AN227" s="28">
        <v>58.623399999999997</v>
      </c>
      <c r="AO227" s="28">
        <v>51.963700000000003</v>
      </c>
      <c r="AP227" s="28">
        <v>44.582799999999999</v>
      </c>
      <c r="AQ227" s="28">
        <v>53.114400000000003</v>
      </c>
      <c r="AR227" s="28">
        <v>52.245600000000003</v>
      </c>
      <c r="AS227" s="28">
        <v>50.364800000000002</v>
      </c>
      <c r="AT227" s="28">
        <v>1.2322</v>
      </c>
      <c r="AU227" s="28">
        <v>52.359400000000001</v>
      </c>
      <c r="AV227" s="28">
        <v>50.846600000000002</v>
      </c>
      <c r="AW227" s="28">
        <v>51.976999999999997</v>
      </c>
      <c r="AX227" s="28">
        <v>53.458300000000001</v>
      </c>
      <c r="AY227" s="28">
        <v>52.8264</v>
      </c>
      <c r="AZ227" s="28">
        <v>52.270099999999999</v>
      </c>
      <c r="BA227" s="3">
        <v>35405.14</v>
      </c>
      <c r="BB227">
        <f>IF(ISNUMBER(VLOOKUP($B227,CEIC_DATA!$I$26:$N$353,Haver_M!BB$2,FALSE)),VLOOKUP($B227,CEIC_DATA!$I$26:$N$353,Haver_M!BB$2,FALSE),NA())</f>
        <v>101.72180603</v>
      </c>
      <c r="BC227">
        <f>IF(ISNUMBER(VLOOKUP($B227,CEIC_DATA!$I$26:$N$353,Haver_M!BC$2,FALSE)),VLOOKUP($B227,CEIC_DATA!$I$26:$N$353,Haver_M!BC$2,FALSE),NA())</f>
        <v>108.4</v>
      </c>
      <c r="BD227">
        <f>IF(ISNUMBER(VLOOKUP($B227,CEIC_DATA!$I$26:$N$353,Haver_M!BD$2,FALSE)),VLOOKUP($B227,CEIC_DATA!$I$26:$N$353,Haver_M!BD$2,FALSE),NA())</f>
        <v>114.6</v>
      </c>
      <c r="BE227">
        <f>IF(ISNUMBER(VLOOKUP($B227,CEIC_DATA!$I$26:$N$353,Haver_M!BE$2,FALSE)),VLOOKUP($B227,CEIC_DATA!$I$26:$N$353,Haver_M!BE$2,FALSE),NA())</f>
        <v>36.9</v>
      </c>
      <c r="BF227">
        <v>2148044</v>
      </c>
      <c r="BG227">
        <v>90834</v>
      </c>
      <c r="BH227">
        <v>2674349</v>
      </c>
      <c r="BI227">
        <v>330340</v>
      </c>
      <c r="BJ227" s="3">
        <v>19335.98</v>
      </c>
      <c r="BK227" s="3">
        <v>26417.02</v>
      </c>
      <c r="BL227" s="3">
        <v>20217.82</v>
      </c>
      <c r="BM227" s="3">
        <v>76325.440000000002</v>
      </c>
      <c r="BN227" s="3">
        <v>27142.89</v>
      </c>
      <c r="BO227" s="3">
        <v>44801.71</v>
      </c>
      <c r="BP227" s="28">
        <v>67.793099999999995</v>
      </c>
      <c r="BQ227" s="28">
        <f t="shared" si="13"/>
        <v>285.22047228995285</v>
      </c>
      <c r="BR227" s="28">
        <f t="shared" si="14"/>
        <v>389.67122022742728</v>
      </c>
      <c r="BS227" s="28">
        <f t="shared" si="15"/>
        <v>298.22828576949576</v>
      </c>
      <c r="BT227" s="28">
        <f t="shared" si="16"/>
        <v>1125.8585313254596</v>
      </c>
      <c r="BU227" s="4">
        <v>71568</v>
      </c>
    </row>
    <row r="228" spans="1:73" x14ac:dyDescent="0.25">
      <c r="A228" t="s">
        <v>227</v>
      </c>
      <c r="B228" s="2">
        <v>43312</v>
      </c>
      <c r="C228" s="3">
        <v>6.25</v>
      </c>
      <c r="D228" s="28">
        <v>7.7412000000000001</v>
      </c>
      <c r="E228" s="34">
        <v>90.020129999999995</v>
      </c>
      <c r="F228" s="5">
        <v>139.80000000000001</v>
      </c>
      <c r="G228" s="5">
        <v>139.6</v>
      </c>
      <c r="H228" s="3">
        <v>129.44</v>
      </c>
      <c r="I228" s="3">
        <v>127.24</v>
      </c>
      <c r="J228" s="3">
        <v>107.42</v>
      </c>
      <c r="K228" s="3">
        <v>121.09</v>
      </c>
      <c r="L228" s="3">
        <v>139.33000000000001</v>
      </c>
      <c r="M228" s="3">
        <v>134.28</v>
      </c>
      <c r="N228" s="3">
        <v>141.68</v>
      </c>
      <c r="O228" s="5">
        <v>131.30000000000001</v>
      </c>
      <c r="P228" s="52">
        <v>130.95500000000001</v>
      </c>
      <c r="Q228" s="52">
        <v>89.930999999999997</v>
      </c>
      <c r="R228" s="52">
        <v>68</v>
      </c>
      <c r="S228" s="52">
        <v>132.697</v>
      </c>
      <c r="T228" s="52">
        <v>105.89700000000001</v>
      </c>
      <c r="U228" s="52">
        <v>145.803</v>
      </c>
      <c r="V228" s="52">
        <v>140.11699999999999</v>
      </c>
      <c r="W228" s="52">
        <v>156.46600000000001</v>
      </c>
      <c r="X228" s="3">
        <v>17734.716016198676</v>
      </c>
      <c r="Y228" s="3">
        <v>27051.759999999998</v>
      </c>
      <c r="Z228" s="3">
        <v>44262.54</v>
      </c>
      <c r="AA228" s="4">
        <v>17553</v>
      </c>
      <c r="AB228" s="4">
        <v>10850</v>
      </c>
      <c r="AC228" s="5" t="e">
        <v>#N/A</v>
      </c>
      <c r="AD228" s="5" t="e">
        <v>#N/A</v>
      </c>
      <c r="AE228" s="34">
        <v>65.444031869339895</v>
      </c>
      <c r="AF228" s="28">
        <v>54.062199999999997</v>
      </c>
      <c r="AG228" s="28">
        <v>52.266100000000002</v>
      </c>
      <c r="AH228" s="28">
        <v>54.1554</v>
      </c>
      <c r="AI228" s="28">
        <v>53.856499999999997</v>
      </c>
      <c r="AJ228" s="28">
        <v>53.565600000000003</v>
      </c>
      <c r="AK228" s="28">
        <v>50.816000000000003</v>
      </c>
      <c r="AL228" s="28">
        <v>50.203000000000003</v>
      </c>
      <c r="AM228" s="28">
        <v>50.9953</v>
      </c>
      <c r="AN228" s="28">
        <v>56.379300000000001</v>
      </c>
      <c r="AO228" s="28">
        <v>51.795699999999997</v>
      </c>
      <c r="AP228" s="28">
        <v>45.767899999999997</v>
      </c>
      <c r="AQ228" s="28">
        <v>52.879199999999997</v>
      </c>
      <c r="AR228" s="28">
        <v>51.610799999999998</v>
      </c>
      <c r="AS228" s="28">
        <v>50.615099999999998</v>
      </c>
      <c r="AT228" s="28">
        <v>1.1704000000000001</v>
      </c>
      <c r="AU228" s="28">
        <v>52.485199999999999</v>
      </c>
      <c r="AV228" s="28">
        <v>50.467100000000002</v>
      </c>
      <c r="AW228" s="28">
        <v>53.306800000000003</v>
      </c>
      <c r="AX228" s="28">
        <v>53.760599999999997</v>
      </c>
      <c r="AY228" s="28">
        <v>51.824199999999998</v>
      </c>
      <c r="AZ228" s="28">
        <v>50.550600000000003</v>
      </c>
      <c r="BA228" s="3">
        <v>36406.379999999997</v>
      </c>
      <c r="BB228">
        <f>IF(ISNUMBER(VLOOKUP($B228,CEIC_DATA!$I$26:$N$353,Haver_M!BB$2,FALSE)),VLOOKUP($B228,CEIC_DATA!$I$26:$N$353,Haver_M!BB$2,FALSE),NA())</f>
        <v>101.45691708</v>
      </c>
      <c r="BC228" t="e">
        <f>IF(ISNUMBER(VLOOKUP($B228,CEIC_DATA!$I$26:$N$353,Haver_M!BC$2,FALSE)),VLOOKUP($B228,CEIC_DATA!$I$26:$N$353,Haver_M!BC$2,FALSE),NA())</f>
        <v>#N/A</v>
      </c>
      <c r="BD228" t="e">
        <f>IF(ISNUMBER(VLOOKUP($B228,CEIC_DATA!$I$26:$N$353,Haver_M!BD$2,FALSE)),VLOOKUP($B228,CEIC_DATA!$I$26:$N$353,Haver_M!BD$2,FALSE),NA())</f>
        <v>#N/A</v>
      </c>
      <c r="BE228" t="e">
        <f>IF(ISNUMBER(VLOOKUP($B228,CEIC_DATA!$I$26:$N$353,Haver_M!BE$2,FALSE)),VLOOKUP($B228,CEIC_DATA!$I$26:$N$353,Haver_M!BE$2,FALSE),NA())</f>
        <v>#N/A</v>
      </c>
      <c r="BF228">
        <v>2096039</v>
      </c>
      <c r="BG228">
        <v>85176</v>
      </c>
      <c r="BH228">
        <v>2643028</v>
      </c>
      <c r="BI228">
        <v>354867</v>
      </c>
      <c r="BJ228" s="3">
        <v>19444.78</v>
      </c>
      <c r="BK228" s="3">
        <v>26370.52</v>
      </c>
      <c r="BL228" s="3">
        <v>20075.45</v>
      </c>
      <c r="BM228" s="3">
        <v>76275.92</v>
      </c>
      <c r="BN228" s="3">
        <v>25808.13</v>
      </c>
      <c r="BO228" s="3">
        <v>44387.47</v>
      </c>
      <c r="BP228" s="28">
        <v>68.693399999999997</v>
      </c>
      <c r="BQ228" s="28">
        <f t="shared" si="13"/>
        <v>283.06620432239487</v>
      </c>
      <c r="BR228" s="28">
        <f t="shared" si="14"/>
        <v>383.88724389824932</v>
      </c>
      <c r="BS228" s="28">
        <f t="shared" si="15"/>
        <v>292.24714455828365</v>
      </c>
      <c r="BT228" s="28">
        <f t="shared" si="16"/>
        <v>1110.3820745515582</v>
      </c>
      <c r="BU228" s="4">
        <v>67395</v>
      </c>
    </row>
    <row r="229" spans="1:73" x14ac:dyDescent="0.25">
      <c r="A229" t="s">
        <v>228</v>
      </c>
      <c r="B229" s="2">
        <v>43343</v>
      </c>
      <c r="C229" s="3">
        <v>6.5</v>
      </c>
      <c r="D229" s="28">
        <v>8.0122</v>
      </c>
      <c r="E229" s="34">
        <v>90.072749999999999</v>
      </c>
      <c r="F229" s="5">
        <v>140.4</v>
      </c>
      <c r="G229" s="5">
        <v>140.4</v>
      </c>
      <c r="H229" s="3">
        <v>130.41999999999999</v>
      </c>
      <c r="I229" s="3">
        <v>124.06</v>
      </c>
      <c r="J229" s="3">
        <v>114.95</v>
      </c>
      <c r="K229" s="3">
        <v>126.24</v>
      </c>
      <c r="L229" s="3">
        <v>140.69</v>
      </c>
      <c r="M229" s="3">
        <v>134.53</v>
      </c>
      <c r="N229" s="3">
        <v>145.99</v>
      </c>
      <c r="O229" s="5">
        <v>130.80000000000001</v>
      </c>
      <c r="P229" s="52">
        <v>127.898</v>
      </c>
      <c r="Q229" s="52">
        <v>90.53</v>
      </c>
      <c r="R229" s="52">
        <v>69.760999999999996</v>
      </c>
      <c r="S229" s="52">
        <v>127.777</v>
      </c>
      <c r="T229" s="52">
        <v>102.89400000000001</v>
      </c>
      <c r="U229" s="52">
        <v>146.43299999999999</v>
      </c>
      <c r="V229" s="52">
        <v>145.40100000000001</v>
      </c>
      <c r="W229" s="52">
        <v>159.48099999999999</v>
      </c>
      <c r="X229" s="3">
        <v>17369.058501700143</v>
      </c>
      <c r="Y229" s="3">
        <v>28483.65</v>
      </c>
      <c r="Z229" s="3">
        <v>45650.53</v>
      </c>
      <c r="AA229" s="4">
        <v>16526</v>
      </c>
      <c r="AB229" s="4">
        <v>10354</v>
      </c>
      <c r="AC229" s="5" t="e">
        <v>#N/A</v>
      </c>
      <c r="AD229" s="5" t="e">
        <v>#N/A</v>
      </c>
      <c r="AE229" s="34">
        <v>73.640109534509023</v>
      </c>
      <c r="AF229" s="28">
        <v>51.859900000000003</v>
      </c>
      <c r="AG229" s="28">
        <v>51.73</v>
      </c>
      <c r="AH229" s="28">
        <v>51.496699999999997</v>
      </c>
      <c r="AI229" s="28">
        <v>52.661799999999999</v>
      </c>
      <c r="AJ229" s="28">
        <v>52.5214</v>
      </c>
      <c r="AK229" s="28">
        <v>51.026499999999999</v>
      </c>
      <c r="AL229" s="28">
        <v>49.744700000000002</v>
      </c>
      <c r="AM229" s="28">
        <v>50.645400000000002</v>
      </c>
      <c r="AN229" s="28">
        <v>55.2517</v>
      </c>
      <c r="AO229" s="28">
        <v>51.723799999999997</v>
      </c>
      <c r="AP229" s="28">
        <v>45.9026</v>
      </c>
      <c r="AQ229" s="28">
        <v>53.866</v>
      </c>
      <c r="AR229" s="28">
        <v>51.168599999999998</v>
      </c>
      <c r="AS229" s="28">
        <v>50.205500000000001</v>
      </c>
      <c r="AT229" s="28">
        <v>1.1442000000000001</v>
      </c>
      <c r="AU229" s="28">
        <v>51.753</v>
      </c>
      <c r="AV229" s="28">
        <v>50.685499999999998</v>
      </c>
      <c r="AW229" s="28">
        <v>51.043100000000003</v>
      </c>
      <c r="AX229" s="28">
        <v>54.382399999999997</v>
      </c>
      <c r="AY229" s="28">
        <v>50.332299999999996</v>
      </c>
      <c r="AZ229" s="28">
        <v>51.757300000000001</v>
      </c>
      <c r="BA229" s="3">
        <v>38061.53</v>
      </c>
      <c r="BB229">
        <f>IF(ISNUMBER(VLOOKUP($B229,CEIC_DATA!$I$26:$N$353,Haver_M!BB$2,FALSE)),VLOOKUP($B229,CEIC_DATA!$I$26:$N$353,Haver_M!BB$2,FALSE),NA())</f>
        <v>101.19137825</v>
      </c>
      <c r="BC229" t="e">
        <f>IF(ISNUMBER(VLOOKUP($B229,CEIC_DATA!$I$26:$N$353,Haver_M!BC$2,FALSE)),VLOOKUP($B229,CEIC_DATA!$I$26:$N$353,Haver_M!BC$2,FALSE),NA())</f>
        <v>#N/A</v>
      </c>
      <c r="BD229" t="e">
        <f>IF(ISNUMBER(VLOOKUP($B229,CEIC_DATA!$I$26:$N$353,Haver_M!BD$2,FALSE)),VLOOKUP($B229,CEIC_DATA!$I$26:$N$353,Haver_M!BD$2,FALSE),NA())</f>
        <v>#N/A</v>
      </c>
      <c r="BE229" t="e">
        <f>IF(ISNUMBER(VLOOKUP($B229,CEIC_DATA!$I$26:$N$353,Haver_M!BE$2,FALSE)),VLOOKUP($B229,CEIC_DATA!$I$26:$N$353,Haver_M!BE$2,FALSE),NA())</f>
        <v>#N/A</v>
      </c>
      <c r="BF229">
        <v>2236184</v>
      </c>
      <c r="BG229">
        <v>93942</v>
      </c>
      <c r="BH229">
        <v>2793777</v>
      </c>
      <c r="BI229">
        <v>347993</v>
      </c>
      <c r="BJ229" s="3">
        <v>19924.22</v>
      </c>
      <c r="BK229" s="3">
        <v>26620.66</v>
      </c>
      <c r="BL229" s="3">
        <v>20740.13</v>
      </c>
      <c r="BM229" s="3">
        <v>77703.8</v>
      </c>
      <c r="BN229" s="3">
        <v>27813.1</v>
      </c>
      <c r="BO229" s="3">
        <v>45724.160000000003</v>
      </c>
      <c r="BP229" s="28">
        <v>69.546499999999995</v>
      </c>
      <c r="BQ229" s="28">
        <f t="shared" si="13"/>
        <v>286.48774560905298</v>
      </c>
      <c r="BR229" s="28">
        <f t="shared" si="14"/>
        <v>382.77497789248923</v>
      </c>
      <c r="BS229" s="28">
        <f t="shared" si="15"/>
        <v>298.21960846340221</v>
      </c>
      <c r="BT229" s="28">
        <f t="shared" si="16"/>
        <v>1117.2927465796267</v>
      </c>
      <c r="BU229" s="4">
        <v>62188</v>
      </c>
    </row>
    <row r="230" spans="1:73" x14ac:dyDescent="0.25">
      <c r="A230" t="s">
        <v>229</v>
      </c>
      <c r="B230" s="2">
        <v>43373</v>
      </c>
      <c r="C230" s="3">
        <v>6.5</v>
      </c>
      <c r="D230" s="28">
        <v>8.0126000000000008</v>
      </c>
      <c r="E230" s="34">
        <v>86.693879999999993</v>
      </c>
      <c r="F230" s="5">
        <v>140.19999999999999</v>
      </c>
      <c r="G230" s="5">
        <v>140.80000000000001</v>
      </c>
      <c r="H230" s="3">
        <v>131</v>
      </c>
      <c r="I230" s="3">
        <v>126.02</v>
      </c>
      <c r="J230" s="3">
        <v>113.06</v>
      </c>
      <c r="K230" s="3">
        <v>126.09</v>
      </c>
      <c r="L230" s="3">
        <v>142.80000000000001</v>
      </c>
      <c r="M230" s="3">
        <v>129.13</v>
      </c>
      <c r="N230" s="3">
        <v>148.84</v>
      </c>
      <c r="O230" s="5">
        <v>131.6</v>
      </c>
      <c r="P230" s="52">
        <v>132.71100000000001</v>
      </c>
      <c r="Q230" s="52">
        <v>90.063000000000002</v>
      </c>
      <c r="R230" s="52">
        <v>68.194000000000003</v>
      </c>
      <c r="S230" s="52">
        <v>130.97300000000001</v>
      </c>
      <c r="T230" s="52">
        <v>102.991</v>
      </c>
      <c r="U230" s="52">
        <v>146.994</v>
      </c>
      <c r="V230" s="52">
        <v>143.626</v>
      </c>
      <c r="W230" s="52">
        <v>159.67099999999999</v>
      </c>
      <c r="X230" s="3">
        <v>17494.103052978844</v>
      </c>
      <c r="Y230" s="3">
        <v>27711.53</v>
      </c>
      <c r="Z230" s="3">
        <v>43210.05</v>
      </c>
      <c r="AA230" s="4">
        <v>16381</v>
      </c>
      <c r="AB230" s="4">
        <v>9946</v>
      </c>
      <c r="AC230" s="5">
        <v>94.8</v>
      </c>
      <c r="AD230" s="5">
        <v>121.1</v>
      </c>
      <c r="AE230" s="34">
        <v>54.120163094306498</v>
      </c>
      <c r="AF230" s="28">
        <v>51.563800000000001</v>
      </c>
      <c r="AG230" s="28">
        <v>52.189700000000002</v>
      </c>
      <c r="AH230" s="28">
        <v>50.8523</v>
      </c>
      <c r="AI230" s="28">
        <v>53.134599999999999</v>
      </c>
      <c r="AJ230" s="28">
        <v>52.951799999999999</v>
      </c>
      <c r="AK230" s="28">
        <v>51.529000000000003</v>
      </c>
      <c r="AL230" s="28">
        <v>49.6081</v>
      </c>
      <c r="AM230" s="28">
        <v>51.558999999999997</v>
      </c>
      <c r="AN230" s="28">
        <v>56.844000000000001</v>
      </c>
      <c r="AO230" s="28">
        <v>52.3264</v>
      </c>
      <c r="AP230" s="28">
        <v>45.168900000000001</v>
      </c>
      <c r="AQ230" s="28">
        <v>54.087699999999998</v>
      </c>
      <c r="AR230" s="28">
        <v>51.8371</v>
      </c>
      <c r="AS230" s="28">
        <v>49.838200000000001</v>
      </c>
      <c r="AT230" s="28">
        <v>1.1722999999999999</v>
      </c>
      <c r="AU230" s="28">
        <v>51.224899999999998</v>
      </c>
      <c r="AV230" s="28">
        <v>51.394500000000001</v>
      </c>
      <c r="AW230" s="28">
        <v>50.1372</v>
      </c>
      <c r="AX230" s="28">
        <v>54.466700000000003</v>
      </c>
      <c r="AY230" s="28">
        <v>51.513399999999997</v>
      </c>
      <c r="AZ230" s="28">
        <v>52.130400000000002</v>
      </c>
      <c r="BA230" s="3">
        <v>37397.5</v>
      </c>
      <c r="BB230">
        <f>IF(ISNUMBER(VLOOKUP($B230,CEIC_DATA!$I$26:$N$353,Haver_M!BB$2,FALSE)),VLOOKUP($B230,CEIC_DATA!$I$26:$N$353,Haver_M!BB$2,FALSE),NA())</f>
        <v>100.75872133999999</v>
      </c>
      <c r="BC230">
        <f>IF(ISNUMBER(VLOOKUP($B230,CEIC_DATA!$I$26:$N$353,Haver_M!BC$2,FALSE)),VLOOKUP($B230,CEIC_DATA!$I$26:$N$353,Haver_M!BC$2,FALSE),NA())</f>
        <v>110</v>
      </c>
      <c r="BD230">
        <f>IF(ISNUMBER(VLOOKUP($B230,CEIC_DATA!$I$26:$N$353,Haver_M!BD$2,FALSE)),VLOOKUP($B230,CEIC_DATA!$I$26:$N$353,Haver_M!BD$2,FALSE),NA())</f>
        <v>114.1</v>
      </c>
      <c r="BE230">
        <f>IF(ISNUMBER(VLOOKUP($B230,CEIC_DATA!$I$26:$N$353,Haver_M!BE$2,FALSE)),VLOOKUP($B230,CEIC_DATA!$I$26:$N$353,Haver_M!BE$2,FALSE),NA())</f>
        <v>34.6</v>
      </c>
      <c r="BF230">
        <v>2423622</v>
      </c>
      <c r="BG230">
        <v>105891</v>
      </c>
      <c r="BH230">
        <v>2998490</v>
      </c>
      <c r="BI230">
        <v>350719</v>
      </c>
      <c r="BJ230" s="3">
        <v>20199.63</v>
      </c>
      <c r="BK230" s="3">
        <v>27016.49</v>
      </c>
      <c r="BL230" s="3">
        <v>22013.919999999998</v>
      </c>
      <c r="BM230" s="3">
        <v>79774.44</v>
      </c>
      <c r="BN230" s="3">
        <v>27841.11</v>
      </c>
      <c r="BO230" s="3">
        <v>42820.25</v>
      </c>
      <c r="BP230" s="28">
        <v>72.215299999999999</v>
      </c>
      <c r="BQ230" s="28">
        <f t="shared" si="13"/>
        <v>279.71399412589852</v>
      </c>
      <c r="BR230" s="28">
        <f t="shared" si="14"/>
        <v>374.11033395970111</v>
      </c>
      <c r="BS230" s="28">
        <f t="shared" si="15"/>
        <v>304.83734056356474</v>
      </c>
      <c r="BT230" s="28">
        <f t="shared" si="16"/>
        <v>1104.675048085378</v>
      </c>
      <c r="BU230" s="4">
        <v>55962</v>
      </c>
    </row>
    <row r="231" spans="1:73" x14ac:dyDescent="0.25">
      <c r="A231" t="s">
        <v>230</v>
      </c>
      <c r="B231" s="2">
        <v>43404</v>
      </c>
      <c r="C231" s="3">
        <v>6.5</v>
      </c>
      <c r="D231" s="28">
        <v>7.8403</v>
      </c>
      <c r="E231" s="34">
        <v>86.304320000000004</v>
      </c>
      <c r="F231" s="5">
        <v>140.69999999999999</v>
      </c>
      <c r="G231" s="5">
        <v>142.19999999999999</v>
      </c>
      <c r="H231" s="3">
        <v>131.68</v>
      </c>
      <c r="I231" s="3">
        <v>128.01</v>
      </c>
      <c r="J231" s="3">
        <v>116.05</v>
      </c>
      <c r="K231" s="3">
        <v>125.9</v>
      </c>
      <c r="L231" s="3">
        <v>143.57</v>
      </c>
      <c r="M231" s="3">
        <v>129.21</v>
      </c>
      <c r="N231" s="3">
        <v>147.43</v>
      </c>
      <c r="O231" s="5">
        <v>133</v>
      </c>
      <c r="P231" s="52">
        <v>135.22</v>
      </c>
      <c r="Q231" s="52">
        <v>89.661000000000001</v>
      </c>
      <c r="R231" s="52">
        <v>68.912999999999997</v>
      </c>
      <c r="S231" s="52">
        <v>131.21700000000001</v>
      </c>
      <c r="T231" s="52">
        <v>96.391000000000005</v>
      </c>
      <c r="U231" s="52">
        <v>150.09700000000001</v>
      </c>
      <c r="V231" s="52">
        <v>149.16800000000001</v>
      </c>
      <c r="W231" s="52">
        <v>160.46</v>
      </c>
      <c r="X231" s="3">
        <v>17771.697674840259</v>
      </c>
      <c r="Y231" s="3">
        <v>26924.1</v>
      </c>
      <c r="Z231" s="3">
        <v>44474.85</v>
      </c>
      <c r="AA231" s="4">
        <v>16815</v>
      </c>
      <c r="AB231" s="4">
        <v>10099</v>
      </c>
      <c r="AC231" s="5" t="e">
        <v>#N/A</v>
      </c>
      <c r="AD231" s="5" t="e">
        <v>#N/A</v>
      </c>
      <c r="AE231" s="34">
        <v>65.760781681752803</v>
      </c>
      <c r="AF231" s="28">
        <v>52.969700000000003</v>
      </c>
      <c r="AG231" s="28">
        <v>53.143799999999999</v>
      </c>
      <c r="AH231" s="28">
        <v>52.224200000000003</v>
      </c>
      <c r="AI231" s="28">
        <v>54.6158</v>
      </c>
      <c r="AJ231" s="28">
        <v>54.465200000000003</v>
      </c>
      <c r="AK231" s="28">
        <v>52.759900000000002</v>
      </c>
      <c r="AL231" s="28">
        <v>49.864199999999997</v>
      </c>
      <c r="AM231" s="28">
        <v>50.779699999999998</v>
      </c>
      <c r="AN231" s="28">
        <v>56.686500000000002</v>
      </c>
      <c r="AO231" s="28">
        <v>52.142400000000002</v>
      </c>
      <c r="AP231" s="28">
        <v>46.447000000000003</v>
      </c>
      <c r="AQ231" s="28">
        <v>53.116599999999998</v>
      </c>
      <c r="AR231" s="28">
        <v>51.262099999999997</v>
      </c>
      <c r="AS231" s="28">
        <v>49.296500000000002</v>
      </c>
      <c r="AT231" s="28">
        <v>1.1726000000000001</v>
      </c>
      <c r="AU231" s="28">
        <v>53.219200000000001</v>
      </c>
      <c r="AV231" s="28">
        <v>50.702399999999997</v>
      </c>
      <c r="AW231" s="28">
        <v>52.384500000000003</v>
      </c>
      <c r="AX231" s="28">
        <v>53.895000000000003</v>
      </c>
      <c r="AY231" s="28">
        <v>50.5959</v>
      </c>
      <c r="AZ231" s="28">
        <v>52.954000000000001</v>
      </c>
      <c r="BA231" s="3">
        <v>34518.839999999997</v>
      </c>
      <c r="BB231">
        <f>IF(ISNUMBER(VLOOKUP($B231,CEIC_DATA!$I$26:$N$353,Haver_M!BB$2,FALSE)),VLOOKUP($B231,CEIC_DATA!$I$26:$N$353,Haver_M!BB$2,FALSE),NA())</f>
        <v>100.15630353</v>
      </c>
      <c r="BC231" t="e">
        <f>IF(ISNUMBER(VLOOKUP($B231,CEIC_DATA!$I$26:$N$353,Haver_M!BC$2,FALSE)),VLOOKUP($B231,CEIC_DATA!$I$26:$N$353,Haver_M!BC$2,FALSE),NA())</f>
        <v>#N/A</v>
      </c>
      <c r="BD231" t="e">
        <f>IF(ISNUMBER(VLOOKUP($B231,CEIC_DATA!$I$26:$N$353,Haver_M!BD$2,FALSE)),VLOOKUP($B231,CEIC_DATA!$I$26:$N$353,Haver_M!BD$2,FALSE),NA())</f>
        <v>#N/A</v>
      </c>
      <c r="BE231" t="e">
        <f>IF(ISNUMBER(VLOOKUP($B231,CEIC_DATA!$I$26:$N$353,Haver_M!BE$2,FALSE)),VLOOKUP($B231,CEIC_DATA!$I$26:$N$353,Haver_M!BE$2,FALSE),NA())</f>
        <v>#N/A</v>
      </c>
      <c r="BF231">
        <v>2326830</v>
      </c>
      <c r="BG231">
        <v>95078</v>
      </c>
      <c r="BH231">
        <v>2879831</v>
      </c>
      <c r="BI231">
        <v>335805</v>
      </c>
      <c r="BJ231" s="3">
        <v>20386.03</v>
      </c>
      <c r="BK231" s="3">
        <v>26961.59</v>
      </c>
      <c r="BL231" s="3">
        <v>22080.799999999999</v>
      </c>
      <c r="BM231" s="3">
        <v>80025.81</v>
      </c>
      <c r="BN231" s="3">
        <v>26638.21</v>
      </c>
      <c r="BO231" s="3">
        <v>44678.04</v>
      </c>
      <c r="BP231" s="28">
        <v>73.632300000000001</v>
      </c>
      <c r="BQ231" s="28">
        <f t="shared" si="13"/>
        <v>276.86259970148967</v>
      </c>
      <c r="BR231" s="28">
        <f t="shared" si="14"/>
        <v>366.16525628019224</v>
      </c>
      <c r="BS231" s="28">
        <f t="shared" si="15"/>
        <v>299.87926494215174</v>
      </c>
      <c r="BT231" s="28">
        <f t="shared" si="16"/>
        <v>1086.8302361871081</v>
      </c>
      <c r="BU231" s="4">
        <v>66156</v>
      </c>
    </row>
    <row r="232" spans="1:73" x14ac:dyDescent="0.25">
      <c r="A232" t="s">
        <v>231</v>
      </c>
      <c r="B232" s="2">
        <v>43434</v>
      </c>
      <c r="C232" s="3">
        <v>6.5</v>
      </c>
      <c r="D232" s="28">
        <v>7.6881000000000004</v>
      </c>
      <c r="E232" s="34">
        <v>89.119129999999998</v>
      </c>
      <c r="F232" s="5">
        <v>140.80000000000001</v>
      </c>
      <c r="G232" s="5">
        <v>142.80000000000001</v>
      </c>
      <c r="H232" s="3">
        <v>131.24</v>
      </c>
      <c r="I232" s="3">
        <v>126.83</v>
      </c>
      <c r="J232" s="3">
        <v>105.37</v>
      </c>
      <c r="K232" s="3">
        <v>126.35</v>
      </c>
      <c r="L232" s="3">
        <v>143.99</v>
      </c>
      <c r="M232" s="3">
        <v>128.29</v>
      </c>
      <c r="N232" s="3">
        <v>151.22999999999999</v>
      </c>
      <c r="O232" s="5">
        <v>131.6</v>
      </c>
      <c r="P232" s="52">
        <v>132.435</v>
      </c>
      <c r="Q232" s="52">
        <v>89.105000000000004</v>
      </c>
      <c r="R232" s="52">
        <v>68.435000000000002</v>
      </c>
      <c r="S232" s="52">
        <v>129.30500000000001</v>
      </c>
      <c r="T232" s="52">
        <v>100.215</v>
      </c>
      <c r="U232" s="52">
        <v>149.411</v>
      </c>
      <c r="V232" s="52">
        <v>152.054</v>
      </c>
      <c r="W232" s="52">
        <v>158.71700000000001</v>
      </c>
      <c r="X232" s="3">
        <v>16741.190926403429</v>
      </c>
      <c r="Y232" s="3">
        <v>27391.95</v>
      </c>
      <c r="Z232" s="3">
        <v>43228.19</v>
      </c>
      <c r="AA232" s="4">
        <v>16677</v>
      </c>
      <c r="AB232" s="4">
        <v>10109</v>
      </c>
      <c r="AC232" s="5">
        <v>93.9</v>
      </c>
      <c r="AD232" s="5">
        <v>120</v>
      </c>
      <c r="AE232" s="34">
        <v>72.905748627880598</v>
      </c>
      <c r="AF232" s="28">
        <v>54.474800000000002</v>
      </c>
      <c r="AG232" s="28">
        <v>53.999099999999999</v>
      </c>
      <c r="AH232" s="28">
        <v>53.652299999999997</v>
      </c>
      <c r="AI232" s="28">
        <v>56.290599999999998</v>
      </c>
      <c r="AJ232" s="28">
        <v>55.883400000000002</v>
      </c>
      <c r="AK232" s="28">
        <v>52.398899999999998</v>
      </c>
      <c r="AL232" s="28">
        <v>49.799799999999998</v>
      </c>
      <c r="AM232" s="28">
        <v>51.515999999999998</v>
      </c>
      <c r="AN232" s="28">
        <v>54.324599999999997</v>
      </c>
      <c r="AO232" s="28">
        <v>52.587699999999998</v>
      </c>
      <c r="AP232" s="28">
        <v>47.556699999999999</v>
      </c>
      <c r="AQ232" s="28">
        <v>54.619700000000002</v>
      </c>
      <c r="AR232" s="28">
        <v>52.651899999999998</v>
      </c>
      <c r="AS232" s="28">
        <v>50.8934</v>
      </c>
      <c r="AT232" s="28">
        <v>1.1751</v>
      </c>
      <c r="AU232" s="28">
        <v>51.629399999999997</v>
      </c>
      <c r="AV232" s="28">
        <v>51.0608</v>
      </c>
      <c r="AW232" s="28">
        <v>53.257399999999997</v>
      </c>
      <c r="AX232" s="28">
        <v>52.668700000000001</v>
      </c>
      <c r="AY232" s="28">
        <v>49.068199999999997</v>
      </c>
      <c r="AZ232" s="28">
        <v>52.752899999999997</v>
      </c>
      <c r="BA232" s="3">
        <v>35298.949999999997</v>
      </c>
      <c r="BB232">
        <f>IF(ISNUMBER(VLOOKUP($B232,CEIC_DATA!$I$26:$N$353,Haver_M!BB$2,FALSE)),VLOOKUP($B232,CEIC_DATA!$I$26:$N$353,Haver_M!BB$2,FALSE),NA())</f>
        <v>99.567640350000005</v>
      </c>
      <c r="BC232" t="e">
        <f>IF(ISNUMBER(VLOOKUP($B232,CEIC_DATA!$I$26:$N$353,Haver_M!BC$2,FALSE)),VLOOKUP($B232,CEIC_DATA!$I$26:$N$353,Haver_M!BC$2,FALSE),NA())</f>
        <v>#N/A</v>
      </c>
      <c r="BD232" t="e">
        <f>IF(ISNUMBER(VLOOKUP($B232,CEIC_DATA!$I$26:$N$353,Haver_M!BD$2,FALSE)),VLOOKUP($B232,CEIC_DATA!$I$26:$N$353,Haver_M!BD$2,FALSE),NA())</f>
        <v>#N/A</v>
      </c>
      <c r="BE232" t="e">
        <f>IF(ISNUMBER(VLOOKUP($B232,CEIC_DATA!$I$26:$N$353,Haver_M!BE$2,FALSE)),VLOOKUP($B232,CEIC_DATA!$I$26:$N$353,Haver_M!BE$2,FALSE),NA())</f>
        <v>#N/A</v>
      </c>
      <c r="BF232">
        <v>1891858</v>
      </c>
      <c r="BG232">
        <v>80835</v>
      </c>
      <c r="BH232">
        <v>2387900</v>
      </c>
      <c r="BI232">
        <v>314652</v>
      </c>
      <c r="BJ232" s="3">
        <v>20661.759999999998</v>
      </c>
      <c r="BK232" s="3">
        <v>27083.95</v>
      </c>
      <c r="BL232" s="3">
        <v>22538.15</v>
      </c>
      <c r="BM232" s="3">
        <v>80931.39</v>
      </c>
      <c r="BN232" s="3">
        <v>26071.56</v>
      </c>
      <c r="BO232" s="3">
        <v>43655.19</v>
      </c>
      <c r="BP232" s="28">
        <v>71.854200000000006</v>
      </c>
      <c r="BQ232" s="28">
        <f t="shared" si="13"/>
        <v>287.55118002844642</v>
      </c>
      <c r="BR232" s="28">
        <f t="shared" si="14"/>
        <v>376.92925396149423</v>
      </c>
      <c r="BS232" s="28">
        <f t="shared" si="15"/>
        <v>313.66503280253625</v>
      </c>
      <c r="BT232" s="28">
        <f t="shared" si="16"/>
        <v>1126.3278973254171</v>
      </c>
      <c r="BU232" s="4">
        <v>72275</v>
      </c>
    </row>
    <row r="233" spans="1:73" x14ac:dyDescent="0.25">
      <c r="A233" t="s">
        <v>232</v>
      </c>
      <c r="B233" s="2">
        <v>43465</v>
      </c>
      <c r="C233" s="3">
        <v>6.5</v>
      </c>
      <c r="D233" s="28">
        <v>7.4371</v>
      </c>
      <c r="E233" s="34">
        <v>89.403260000000003</v>
      </c>
      <c r="F233" s="5">
        <v>140.1</v>
      </c>
      <c r="G233" s="5">
        <v>143.5</v>
      </c>
      <c r="H233" s="3">
        <v>131.27000000000001</v>
      </c>
      <c r="I233" s="3">
        <v>122.73</v>
      </c>
      <c r="J233" s="3">
        <v>113.26</v>
      </c>
      <c r="K233" s="3">
        <v>127.11</v>
      </c>
      <c r="L233" s="3">
        <v>145.66999999999999</v>
      </c>
      <c r="M233" s="3">
        <v>129.68</v>
      </c>
      <c r="N233" s="3">
        <v>151</v>
      </c>
      <c r="O233" s="5">
        <v>129.19999999999999</v>
      </c>
      <c r="P233" s="52">
        <v>128.15600000000001</v>
      </c>
      <c r="Q233" s="52">
        <v>88.971999999999994</v>
      </c>
      <c r="R233" s="52">
        <v>69.975999999999999</v>
      </c>
      <c r="S233" s="52">
        <v>122.477</v>
      </c>
      <c r="T233" s="52">
        <v>103.89</v>
      </c>
      <c r="U233" s="52">
        <v>149.87899999999999</v>
      </c>
      <c r="V233" s="52">
        <v>150.52600000000001</v>
      </c>
      <c r="W233" s="52">
        <v>157.88999999999999</v>
      </c>
      <c r="X233" s="3">
        <v>18286.962122480767</v>
      </c>
      <c r="Y233" s="3">
        <v>26987.360000000001</v>
      </c>
      <c r="Z233" s="3">
        <v>41856.519999999997</v>
      </c>
      <c r="AA233" s="4">
        <v>17927</v>
      </c>
      <c r="AB233" s="4">
        <v>11376</v>
      </c>
      <c r="AC233" s="5">
        <v>96.7</v>
      </c>
      <c r="AD233" s="5">
        <v>128.9</v>
      </c>
      <c r="AE233" s="34">
        <v>48.00378023500275</v>
      </c>
      <c r="AF233" s="28">
        <v>53.579599999999999</v>
      </c>
      <c r="AG233" s="28">
        <v>53.192599999999999</v>
      </c>
      <c r="AH233" s="28">
        <v>53.203000000000003</v>
      </c>
      <c r="AI233" s="28">
        <v>54.411099999999998</v>
      </c>
      <c r="AJ233" s="28">
        <v>55.615600000000001</v>
      </c>
      <c r="AK233" s="28">
        <v>51.438099999999999</v>
      </c>
      <c r="AL233" s="28">
        <v>49.872900000000001</v>
      </c>
      <c r="AM233" s="28">
        <v>50.984499999999997</v>
      </c>
      <c r="AN233" s="28">
        <v>51.517000000000003</v>
      </c>
      <c r="AO233" s="28">
        <v>52.550899999999999</v>
      </c>
      <c r="AP233" s="28">
        <v>46.375700000000002</v>
      </c>
      <c r="AQ233" s="28">
        <v>53.581499999999998</v>
      </c>
      <c r="AR233" s="28">
        <v>49.8504</v>
      </c>
      <c r="AS233" s="28">
        <v>51.447299999999998</v>
      </c>
      <c r="AT233" s="28">
        <v>1.1992</v>
      </c>
      <c r="AU233" s="28">
        <v>52.693399999999997</v>
      </c>
      <c r="AV233" s="28">
        <v>51.364100000000001</v>
      </c>
      <c r="AW233" s="28">
        <v>52.746000000000002</v>
      </c>
      <c r="AX233" s="28">
        <v>51.348599999999998</v>
      </c>
      <c r="AY233" s="28">
        <v>49.907200000000003</v>
      </c>
      <c r="AZ233" s="28">
        <v>51.087499999999999</v>
      </c>
      <c r="BA233" s="3">
        <v>35868.71</v>
      </c>
      <c r="BB233">
        <f>IF(ISNUMBER(VLOOKUP($B233,CEIC_DATA!$I$26:$N$353,Haver_M!BB$2,FALSE)),VLOOKUP($B233,CEIC_DATA!$I$26:$N$353,Haver_M!BB$2,FALSE),NA())</f>
        <v>99.540646039999999</v>
      </c>
      <c r="BC233">
        <f>IF(ISNUMBER(VLOOKUP($B233,CEIC_DATA!$I$26:$N$353,Haver_M!BC$2,FALSE)),VLOOKUP($B233,CEIC_DATA!$I$26:$N$353,Haver_M!BC$2,FALSE),NA())</f>
        <v>107.1</v>
      </c>
      <c r="BD233">
        <f>IF(ISNUMBER(VLOOKUP($B233,CEIC_DATA!$I$26:$N$353,Haver_M!BD$2,FALSE)),VLOOKUP($B233,CEIC_DATA!$I$26:$N$353,Haver_M!BD$2,FALSE),NA())</f>
        <v>115</v>
      </c>
      <c r="BE233">
        <f>IF(ISNUMBER(VLOOKUP($B233,CEIC_DATA!$I$26:$N$353,Haver_M!BE$2,FALSE)),VLOOKUP($B233,CEIC_DATA!$I$26:$N$353,Haver_M!BE$2,FALSE),NA())</f>
        <v>36.299999999999997</v>
      </c>
      <c r="BF233">
        <v>1529508</v>
      </c>
      <c r="BG233">
        <v>83239</v>
      </c>
      <c r="BH233">
        <v>1994870</v>
      </c>
      <c r="BI233">
        <v>298873</v>
      </c>
      <c r="BJ233" s="3">
        <v>20996.99</v>
      </c>
      <c r="BK233" s="3">
        <v>27493.75</v>
      </c>
      <c r="BL233" s="3">
        <v>22329.87</v>
      </c>
      <c r="BM233" s="3">
        <v>81641.75</v>
      </c>
      <c r="BN233" s="3">
        <v>27858.29</v>
      </c>
      <c r="BO233" s="3">
        <v>42351.02</v>
      </c>
      <c r="BP233" s="28">
        <v>70.731099999999998</v>
      </c>
      <c r="BQ233" s="28">
        <f t="shared" si="13"/>
        <v>296.85654542344179</v>
      </c>
      <c r="BR233" s="28">
        <f t="shared" si="14"/>
        <v>388.70807890729822</v>
      </c>
      <c r="BS233" s="28">
        <f t="shared" si="15"/>
        <v>315.7008727419763</v>
      </c>
      <c r="BT233" s="28">
        <f t="shared" si="16"/>
        <v>1154.2553417096581</v>
      </c>
      <c r="BU233" s="4">
        <v>73029</v>
      </c>
    </row>
    <row r="234" spans="1:73" x14ac:dyDescent="0.25">
      <c r="A234" t="s">
        <v>233</v>
      </c>
      <c r="B234" s="2">
        <v>43496</v>
      </c>
      <c r="C234" s="3">
        <v>6.5</v>
      </c>
      <c r="D234" s="28">
        <v>7.2859999999999996</v>
      </c>
      <c r="E234" s="34">
        <v>88.183940000000007</v>
      </c>
      <c r="F234" s="5">
        <v>139.6</v>
      </c>
      <c r="G234" s="5">
        <v>143.80000000000001</v>
      </c>
      <c r="H234" s="3">
        <v>130.4</v>
      </c>
      <c r="I234" s="3">
        <v>126.4</v>
      </c>
      <c r="J234" s="3">
        <v>106.92</v>
      </c>
      <c r="K234" s="3">
        <v>124.69</v>
      </c>
      <c r="L234" s="3">
        <v>143.03</v>
      </c>
      <c r="M234" s="3">
        <v>131.35</v>
      </c>
      <c r="N234" s="3">
        <v>147.49</v>
      </c>
      <c r="O234" s="5">
        <v>130.19999999999999</v>
      </c>
      <c r="P234" s="52">
        <v>130.90899999999999</v>
      </c>
      <c r="Q234" s="52">
        <v>88.864000000000004</v>
      </c>
      <c r="R234" s="52">
        <v>71.260000000000005</v>
      </c>
      <c r="S234" s="52">
        <v>127.952</v>
      </c>
      <c r="T234" s="52">
        <v>114.818</v>
      </c>
      <c r="U234" s="52">
        <v>147.39699999999999</v>
      </c>
      <c r="V234" s="52">
        <v>150.45400000000001</v>
      </c>
      <c r="W234" s="52">
        <v>154.249</v>
      </c>
      <c r="X234" s="3">
        <v>18435.240563238647</v>
      </c>
      <c r="Y234" s="3">
        <v>27195.21</v>
      </c>
      <c r="Z234" s="3">
        <v>42475.11</v>
      </c>
      <c r="AA234" s="4">
        <v>17745</v>
      </c>
      <c r="AB234" s="4">
        <v>11027</v>
      </c>
      <c r="AC234" s="5" t="e">
        <v>#N/A</v>
      </c>
      <c r="AD234" s="5" t="e">
        <v>#N/A</v>
      </c>
      <c r="AE234" s="34">
        <v>72.132242069109751</v>
      </c>
      <c r="AF234" s="28">
        <v>53.5762</v>
      </c>
      <c r="AG234" s="28">
        <v>53.921399999999998</v>
      </c>
      <c r="AH234" s="28">
        <v>52.233899999999998</v>
      </c>
      <c r="AI234" s="28">
        <v>56.455800000000004</v>
      </c>
      <c r="AJ234" s="28">
        <v>56.341799999999999</v>
      </c>
      <c r="AK234" s="28">
        <v>51.213799999999999</v>
      </c>
      <c r="AL234" s="28">
        <v>49.995600000000003</v>
      </c>
      <c r="AM234" s="28">
        <v>51.615099999999998</v>
      </c>
      <c r="AN234" s="28">
        <v>51.994799999999998</v>
      </c>
      <c r="AO234" s="28">
        <v>53.4238</v>
      </c>
      <c r="AP234" s="28">
        <v>47.441200000000002</v>
      </c>
      <c r="AQ234" s="28">
        <v>52.5749</v>
      </c>
      <c r="AR234" s="28">
        <v>50.6509</v>
      </c>
      <c r="AS234" s="28">
        <v>51.400100000000002</v>
      </c>
      <c r="AT234" s="28">
        <v>1.1876</v>
      </c>
      <c r="AU234" s="28">
        <v>52.993499999999997</v>
      </c>
      <c r="AV234" s="28">
        <v>51.300899999999999</v>
      </c>
      <c r="AW234" s="28">
        <v>52.178199999999997</v>
      </c>
      <c r="AX234" s="28">
        <v>52.844499999999996</v>
      </c>
      <c r="AY234" s="28">
        <v>51.155000000000001</v>
      </c>
      <c r="AZ234" s="28">
        <v>52.262900000000002</v>
      </c>
      <c r="BA234" s="3">
        <v>36053</v>
      </c>
      <c r="BB234">
        <f>IF(ISNUMBER(VLOOKUP($B234,CEIC_DATA!$I$26:$N$353,Haver_M!BB$2,FALSE)),VLOOKUP($B234,CEIC_DATA!$I$26:$N$353,Haver_M!BB$2,FALSE),NA())</f>
        <v>100.16375053</v>
      </c>
      <c r="BC234" t="e">
        <f>IF(ISNUMBER(VLOOKUP($B234,CEIC_DATA!$I$26:$N$353,Haver_M!BC$2,FALSE)),VLOOKUP($B234,CEIC_DATA!$I$26:$N$353,Haver_M!BC$2,FALSE),NA())</f>
        <v>#N/A</v>
      </c>
      <c r="BD234" t="e">
        <f>IF(ISNUMBER(VLOOKUP($B234,CEIC_DATA!$I$26:$N$353,Haver_M!BD$2,FALSE)),VLOOKUP($B234,CEIC_DATA!$I$26:$N$353,Haver_M!BD$2,FALSE),NA())</f>
        <v>#N/A</v>
      </c>
      <c r="BE234" t="e">
        <f>IF(ISNUMBER(VLOOKUP($B234,CEIC_DATA!$I$26:$N$353,Haver_M!BE$2,FALSE)),VLOOKUP($B234,CEIC_DATA!$I$26:$N$353,Haver_M!BE$2,FALSE),NA())</f>
        <v>#N/A</v>
      </c>
      <c r="BF234">
        <v>1844274</v>
      </c>
      <c r="BG234">
        <v>94746</v>
      </c>
      <c r="BH234">
        <v>2364166</v>
      </c>
      <c r="BI234">
        <v>326976</v>
      </c>
      <c r="BJ234" s="3">
        <v>21370.639999999999</v>
      </c>
      <c r="BK234" s="3">
        <v>27500.38</v>
      </c>
      <c r="BL234" s="3">
        <v>22340</v>
      </c>
      <c r="BM234" s="3">
        <v>82042.91</v>
      </c>
      <c r="BN234" s="3">
        <v>26410</v>
      </c>
      <c r="BO234" s="3">
        <v>41460</v>
      </c>
      <c r="BP234" s="28">
        <v>70.732900000000001</v>
      </c>
      <c r="BQ234" s="28">
        <f t="shared" si="13"/>
        <v>302.13153991989583</v>
      </c>
      <c r="BR234" s="28">
        <f t="shared" si="14"/>
        <v>388.79192002590025</v>
      </c>
      <c r="BS234" s="28">
        <f t="shared" si="15"/>
        <v>315.8360536610262</v>
      </c>
      <c r="BT234" s="28">
        <f t="shared" si="16"/>
        <v>1159.8974451775623</v>
      </c>
      <c r="BU234" s="4">
        <v>73609</v>
      </c>
    </row>
    <row r="235" spans="1:73" x14ac:dyDescent="0.25">
      <c r="A235" t="s">
        <v>234</v>
      </c>
      <c r="B235" s="2">
        <v>43524</v>
      </c>
      <c r="C235" s="3">
        <v>6.25</v>
      </c>
      <c r="D235" s="28">
        <v>7.4549000000000003</v>
      </c>
      <c r="E235" s="34">
        <v>87.828770000000006</v>
      </c>
      <c r="F235" s="5">
        <v>139.9</v>
      </c>
      <c r="G235" s="5">
        <v>144.4</v>
      </c>
      <c r="H235" s="3">
        <v>129.28</v>
      </c>
      <c r="I235" s="3">
        <v>125.85</v>
      </c>
      <c r="J235" s="3">
        <v>105.95</v>
      </c>
      <c r="K235" s="3">
        <v>121.21</v>
      </c>
      <c r="L235" s="3">
        <v>142.68</v>
      </c>
      <c r="M235" s="3">
        <v>129.12</v>
      </c>
      <c r="N235" s="3">
        <v>147.76</v>
      </c>
      <c r="O235" s="5">
        <v>131.30000000000001</v>
      </c>
      <c r="P235" s="52">
        <v>138.34899999999999</v>
      </c>
      <c r="Q235" s="52">
        <v>87.207999999999998</v>
      </c>
      <c r="R235" s="52">
        <v>70.078999999999994</v>
      </c>
      <c r="S235" s="52">
        <v>126.41500000000001</v>
      </c>
      <c r="T235" s="52">
        <v>113</v>
      </c>
      <c r="U235" s="52">
        <v>150.00200000000001</v>
      </c>
      <c r="V235" s="52">
        <v>150.32499999999999</v>
      </c>
      <c r="W235" s="52">
        <v>153.583</v>
      </c>
      <c r="X235" s="3">
        <v>18049.436495997146</v>
      </c>
      <c r="Y235" s="3">
        <v>27070.35</v>
      </c>
      <c r="Z235" s="3">
        <v>39862.94</v>
      </c>
      <c r="AA235" s="4">
        <v>16584</v>
      </c>
      <c r="AB235" s="4">
        <v>9809</v>
      </c>
      <c r="AC235" s="5" t="e">
        <v>#N/A</v>
      </c>
      <c r="AD235" s="5" t="e">
        <v>#N/A</v>
      </c>
      <c r="AE235" s="34">
        <v>35.369936074788122</v>
      </c>
      <c r="AF235" s="28">
        <v>53.805799999999998</v>
      </c>
      <c r="AG235" s="28">
        <v>54.342599999999997</v>
      </c>
      <c r="AH235" s="28">
        <v>52.451999999999998</v>
      </c>
      <c r="AI235" s="28">
        <v>56.7102</v>
      </c>
      <c r="AJ235" s="28">
        <v>56.882300000000001</v>
      </c>
      <c r="AK235" s="28">
        <v>52.8157</v>
      </c>
      <c r="AL235" s="28">
        <v>50.201700000000002</v>
      </c>
      <c r="AM235" s="28">
        <v>50.674700000000001</v>
      </c>
      <c r="AN235" s="28">
        <v>52.233499999999999</v>
      </c>
      <c r="AO235" s="28">
        <v>53.061199999999999</v>
      </c>
      <c r="AP235" s="28">
        <v>46.701599999999999</v>
      </c>
      <c r="AQ235" s="28">
        <v>53.632399999999997</v>
      </c>
      <c r="AR235" s="28">
        <v>51.498199999999997</v>
      </c>
      <c r="AS235" s="28">
        <v>51.191699999999997</v>
      </c>
      <c r="AT235" s="28">
        <v>1.218</v>
      </c>
      <c r="AU235" s="28">
        <v>53.0154</v>
      </c>
      <c r="AV235" s="28">
        <v>50.469900000000003</v>
      </c>
      <c r="AW235" s="28">
        <v>52.574599999999997</v>
      </c>
      <c r="AX235" s="28">
        <v>52.669899999999998</v>
      </c>
      <c r="AY235" s="28">
        <v>49.793700000000001</v>
      </c>
      <c r="AZ235" s="28">
        <v>53.912799999999997</v>
      </c>
      <c r="BA235" s="3">
        <v>36138.339999999997</v>
      </c>
      <c r="BB235">
        <f>IF(ISNUMBER(VLOOKUP($B235,CEIC_DATA!$I$26:$N$353,Haver_M!BB$2,FALSE)),VLOOKUP($B235,CEIC_DATA!$I$26:$N$353,Haver_M!BB$2,FALSE),NA())</f>
        <v>101.20120821</v>
      </c>
      <c r="BC235" t="e">
        <f>IF(ISNUMBER(VLOOKUP($B235,CEIC_DATA!$I$26:$N$353,Haver_M!BC$2,FALSE)),VLOOKUP($B235,CEIC_DATA!$I$26:$N$353,Haver_M!BC$2,FALSE),NA())</f>
        <v>#N/A</v>
      </c>
      <c r="BD235" t="e">
        <f>IF(ISNUMBER(VLOOKUP($B235,CEIC_DATA!$I$26:$N$353,Haver_M!BD$2,FALSE)),VLOOKUP($B235,CEIC_DATA!$I$26:$N$353,Haver_M!BD$2,FALSE),NA())</f>
        <v>#N/A</v>
      </c>
      <c r="BE235" t="e">
        <f>IF(ISNUMBER(VLOOKUP($B235,CEIC_DATA!$I$26:$N$353,Haver_M!BE$2,FALSE)),VLOOKUP($B235,CEIC_DATA!$I$26:$N$353,Haver_M!BE$2,FALSE),NA())</f>
        <v>#N/A</v>
      </c>
      <c r="BF235">
        <v>1884674</v>
      </c>
      <c r="BG235">
        <v>94114</v>
      </c>
      <c r="BH235">
        <v>2408759</v>
      </c>
      <c r="BI235">
        <v>323207</v>
      </c>
      <c r="BJ235" s="3">
        <v>21632.98</v>
      </c>
      <c r="BK235" s="3">
        <v>27742.57</v>
      </c>
      <c r="BL235" s="3">
        <v>22761.95</v>
      </c>
      <c r="BM235" s="3">
        <v>83065.210000000006</v>
      </c>
      <c r="BN235" s="3">
        <v>26862.080000000002</v>
      </c>
      <c r="BO235" s="3">
        <v>36591.129999999997</v>
      </c>
      <c r="BP235" s="28">
        <v>71.221800000000002</v>
      </c>
      <c r="BQ235" s="28">
        <f t="shared" si="13"/>
        <v>303.74098941616188</v>
      </c>
      <c r="BR235" s="28">
        <f t="shared" si="14"/>
        <v>389.52357283865331</v>
      </c>
      <c r="BS235" s="28">
        <f t="shared" si="15"/>
        <v>319.59245624233029</v>
      </c>
      <c r="BT235" s="28">
        <f t="shared" si="16"/>
        <v>1166.2891137264153</v>
      </c>
      <c r="BU235" s="4">
        <v>67064</v>
      </c>
    </row>
    <row r="236" spans="1:73" x14ac:dyDescent="0.25">
      <c r="A236" t="s">
        <v>235</v>
      </c>
      <c r="B236" s="2">
        <v>43555</v>
      </c>
      <c r="C236" s="3">
        <v>6.25</v>
      </c>
      <c r="D236" s="28">
        <v>7.3700999999999999</v>
      </c>
      <c r="E236" s="34">
        <v>89.958529999999996</v>
      </c>
      <c r="F236" s="5">
        <v>140.4</v>
      </c>
      <c r="G236" s="5">
        <v>144.69999999999999</v>
      </c>
      <c r="H236" s="3">
        <v>132.37</v>
      </c>
      <c r="I236" s="3">
        <v>128.34</v>
      </c>
      <c r="J236" s="3">
        <v>95.21</v>
      </c>
      <c r="K236" s="3">
        <v>142.56</v>
      </c>
      <c r="L236" s="3">
        <v>145.31</v>
      </c>
      <c r="M236" s="3">
        <v>124.51</v>
      </c>
      <c r="N236" s="3">
        <v>144.86000000000001</v>
      </c>
      <c r="O236" s="5">
        <v>136.6</v>
      </c>
      <c r="P236" s="52">
        <v>147.66</v>
      </c>
      <c r="Q236" s="52">
        <v>87.376999999999995</v>
      </c>
      <c r="R236" s="52">
        <v>69.748999999999995</v>
      </c>
      <c r="S236" s="52">
        <v>130.00399999999999</v>
      </c>
      <c r="T236" s="52">
        <v>116.96299999999999</v>
      </c>
      <c r="U236" s="52">
        <v>160.54499999999999</v>
      </c>
      <c r="V236" s="52">
        <v>155.982</v>
      </c>
      <c r="W236" s="52">
        <v>158.756</v>
      </c>
      <c r="X236" s="3">
        <v>18285.43206481386</v>
      </c>
      <c r="Y236" s="3">
        <v>28521.7</v>
      </c>
      <c r="Z236" s="3">
        <v>41951.75</v>
      </c>
      <c r="AA236" s="4">
        <v>17944</v>
      </c>
      <c r="AB236" s="4">
        <v>11365</v>
      </c>
      <c r="AC236" s="5">
        <v>104.6</v>
      </c>
      <c r="AD236" s="5">
        <v>133.4</v>
      </c>
      <c r="AE236" s="34">
        <v>50.342731922892376</v>
      </c>
      <c r="AF236" s="28">
        <v>52.704300000000003</v>
      </c>
      <c r="AG236" s="28">
        <v>52.626300000000001</v>
      </c>
      <c r="AH236" s="28">
        <v>51.950899999999997</v>
      </c>
      <c r="AI236" s="28">
        <v>54.320700000000002</v>
      </c>
      <c r="AJ236" s="28">
        <v>54.168700000000001</v>
      </c>
      <c r="AK236" s="28">
        <v>50.8872</v>
      </c>
      <c r="AL236" s="28">
        <v>49.886400000000002</v>
      </c>
      <c r="AM236" s="28">
        <v>51.01</v>
      </c>
      <c r="AN236" s="28">
        <v>51.879800000000003</v>
      </c>
      <c r="AO236" s="28">
        <v>51.013199999999998</v>
      </c>
      <c r="AP236" s="28">
        <v>48.433199999999999</v>
      </c>
      <c r="AQ236" s="28">
        <v>53.247100000000003</v>
      </c>
      <c r="AR236" s="28">
        <v>51.323900000000002</v>
      </c>
      <c r="AS236" s="28">
        <v>50.869100000000003</v>
      </c>
      <c r="AT236" s="28">
        <v>1.1184000000000001</v>
      </c>
      <c r="AU236" s="28">
        <v>51.362400000000001</v>
      </c>
      <c r="AV236" s="28">
        <v>51.060099999999998</v>
      </c>
      <c r="AW236" s="28">
        <v>52.264400000000002</v>
      </c>
      <c r="AX236" s="28">
        <v>51.785800000000002</v>
      </c>
      <c r="AY236" s="28">
        <v>51.1449</v>
      </c>
      <c r="AZ236" s="28">
        <v>53.491399999999999</v>
      </c>
      <c r="BA236" s="3">
        <v>37634.959999999999</v>
      </c>
      <c r="BB236">
        <f>IF(ISNUMBER(VLOOKUP($B236,CEIC_DATA!$I$26:$N$353,Haver_M!BB$2,FALSE)),VLOOKUP($B236,CEIC_DATA!$I$26:$N$353,Haver_M!BB$2,FALSE),NA())</f>
        <v>102.31088409</v>
      </c>
      <c r="BC236">
        <f>IF(ISNUMBER(VLOOKUP($B236,CEIC_DATA!$I$26:$N$353,Haver_M!BC$2,FALSE)),VLOOKUP($B236,CEIC_DATA!$I$26:$N$353,Haver_M!BC$2,FALSE),NA())</f>
        <v>107.2</v>
      </c>
      <c r="BD236">
        <f>IF(ISNUMBER(VLOOKUP($B236,CEIC_DATA!$I$26:$N$353,Haver_M!BD$2,FALSE)),VLOOKUP($B236,CEIC_DATA!$I$26:$N$353,Haver_M!BD$2,FALSE),NA())</f>
        <v>116.2</v>
      </c>
      <c r="BE236">
        <f>IF(ISNUMBER(VLOOKUP($B236,CEIC_DATA!$I$26:$N$353,Haver_M!BE$2,FALSE)),VLOOKUP($B236,CEIC_DATA!$I$26:$N$353,Haver_M!BE$2,FALSE),NA())</f>
        <v>36.700000000000003</v>
      </c>
      <c r="BF236">
        <v>1691966</v>
      </c>
      <c r="BG236">
        <v>119522</v>
      </c>
      <c r="BH236">
        <v>2287040</v>
      </c>
      <c r="BI236">
        <v>359886</v>
      </c>
      <c r="BJ236" s="3">
        <v>22207.32</v>
      </c>
      <c r="BK236" s="3">
        <v>28857.78</v>
      </c>
      <c r="BL236" s="3">
        <v>24156.09</v>
      </c>
      <c r="BM236" s="3">
        <v>86334.18</v>
      </c>
      <c r="BN236" s="3">
        <v>32725.19</v>
      </c>
      <c r="BO236" s="3">
        <v>43690.44</v>
      </c>
      <c r="BP236" s="28">
        <v>69.4786</v>
      </c>
      <c r="BQ236" s="28">
        <f t="shared" si="13"/>
        <v>319.62820206509627</v>
      </c>
      <c r="BR236" s="28">
        <f t="shared" si="14"/>
        <v>415.34774736393649</v>
      </c>
      <c r="BS236" s="28">
        <f t="shared" si="15"/>
        <v>347.67669469448145</v>
      </c>
      <c r="BT236" s="28">
        <f t="shared" si="16"/>
        <v>1242.6010311088594</v>
      </c>
      <c r="BU236" s="4">
        <v>61999</v>
      </c>
    </row>
    <row r="237" spans="1:73" x14ac:dyDescent="0.25">
      <c r="A237" t="s">
        <v>236</v>
      </c>
      <c r="B237" s="2">
        <v>43585</v>
      </c>
      <c r="C237" s="3">
        <v>6</v>
      </c>
      <c r="D237" s="28">
        <v>7.4637000000000002</v>
      </c>
      <c r="E237" s="34">
        <v>90.51482</v>
      </c>
      <c r="F237" s="5">
        <v>141.19999999999999</v>
      </c>
      <c r="G237" s="5">
        <v>145</v>
      </c>
      <c r="H237" s="3">
        <v>131.02000000000001</v>
      </c>
      <c r="I237" s="3">
        <v>129.80000000000001</v>
      </c>
      <c r="J237" s="3">
        <v>106.93</v>
      </c>
      <c r="K237" s="3">
        <v>127.72</v>
      </c>
      <c r="L237" s="3">
        <v>136.04</v>
      </c>
      <c r="M237" s="3">
        <v>130.24</v>
      </c>
      <c r="N237" s="3">
        <v>148.54</v>
      </c>
      <c r="O237" s="5">
        <v>134.9</v>
      </c>
      <c r="P237" s="52">
        <v>134.75899999999999</v>
      </c>
      <c r="Q237" s="52">
        <v>86.445999999999998</v>
      </c>
      <c r="R237" s="52">
        <v>68.364999999999995</v>
      </c>
      <c r="S237" s="52">
        <v>130.654</v>
      </c>
      <c r="T237" s="52">
        <v>106.375</v>
      </c>
      <c r="U237" s="52">
        <v>160.541</v>
      </c>
      <c r="V237" s="52">
        <v>146.66399999999999</v>
      </c>
      <c r="W237" s="52">
        <v>160.506</v>
      </c>
      <c r="X237" s="3">
        <v>17940.666612676971</v>
      </c>
      <c r="Y237" s="3">
        <v>26692.62</v>
      </c>
      <c r="Z237" s="3">
        <v>42681.04</v>
      </c>
      <c r="AA237" s="4">
        <v>18062</v>
      </c>
      <c r="AB237" s="4">
        <v>11402</v>
      </c>
      <c r="AC237" s="5" t="e">
        <v>#N/A</v>
      </c>
      <c r="AD237" s="5" t="e">
        <v>#N/A</v>
      </c>
      <c r="AE237" s="34">
        <v>72.108513757672128</v>
      </c>
      <c r="AF237" s="28">
        <v>51.681199999999997</v>
      </c>
      <c r="AG237" s="28">
        <v>51.79</v>
      </c>
      <c r="AH237" s="28">
        <v>50.989100000000001</v>
      </c>
      <c r="AI237" s="28">
        <v>53.165900000000001</v>
      </c>
      <c r="AJ237" s="28">
        <v>52.9482</v>
      </c>
      <c r="AK237" s="28">
        <v>50.303899999999999</v>
      </c>
      <c r="AL237" s="28">
        <v>50.124200000000002</v>
      </c>
      <c r="AM237" s="28">
        <v>50.7196</v>
      </c>
      <c r="AN237" s="28">
        <v>50.807200000000002</v>
      </c>
      <c r="AO237" s="28">
        <v>50.2575</v>
      </c>
      <c r="AP237" s="28">
        <v>46.176000000000002</v>
      </c>
      <c r="AQ237" s="28">
        <v>53.348999999999997</v>
      </c>
      <c r="AR237" s="28">
        <v>50.825000000000003</v>
      </c>
      <c r="AS237" s="28">
        <v>50.619</v>
      </c>
      <c r="AT237" s="28">
        <v>1.1467000000000001</v>
      </c>
      <c r="AU237" s="28">
        <v>51.9876</v>
      </c>
      <c r="AV237" s="28">
        <v>51.267699999999998</v>
      </c>
      <c r="AW237" s="28">
        <v>51.196399999999997</v>
      </c>
      <c r="AX237" s="28">
        <v>51.514899999999997</v>
      </c>
      <c r="AY237" s="28">
        <v>52.395899999999997</v>
      </c>
      <c r="AZ237" s="28">
        <v>52.675699999999999</v>
      </c>
      <c r="BA237" s="3">
        <v>38861.480000000003</v>
      </c>
      <c r="BB237">
        <f>IF(ISNUMBER(VLOOKUP($B237,CEIC_DATA!$I$26:$N$353,Haver_M!BB$2,FALSE)),VLOOKUP($B237,CEIC_DATA!$I$26:$N$353,Haver_M!BB$2,FALSE),NA())</f>
        <v>102.85880745999999</v>
      </c>
      <c r="BC237" t="e">
        <f>IF(ISNUMBER(VLOOKUP($B237,CEIC_DATA!$I$26:$N$353,Haver_M!BC$2,FALSE)),VLOOKUP($B237,CEIC_DATA!$I$26:$N$353,Haver_M!BC$2,FALSE),NA())</f>
        <v>#N/A</v>
      </c>
      <c r="BD237" t="e">
        <f>IF(ISNUMBER(VLOOKUP($B237,CEIC_DATA!$I$26:$N$353,Haver_M!BD$2,FALSE)),VLOOKUP($B237,CEIC_DATA!$I$26:$N$353,Haver_M!BD$2,FALSE),NA())</f>
        <v>#N/A</v>
      </c>
      <c r="BE237" t="e">
        <f>IF(ISNUMBER(VLOOKUP($B237,CEIC_DATA!$I$26:$N$353,Haver_M!BE$2,FALSE)),VLOOKUP($B237,CEIC_DATA!$I$26:$N$353,Haver_M!BE$2,FALSE),NA())</f>
        <v>#N/A</v>
      </c>
      <c r="BF237">
        <v>1932358</v>
      </c>
      <c r="BG237">
        <v>71500</v>
      </c>
      <c r="BH237">
        <v>2401752</v>
      </c>
      <c r="BI237">
        <v>304370</v>
      </c>
      <c r="BJ237" s="3">
        <v>22228.16</v>
      </c>
      <c r="BK237" s="3">
        <v>28352.04</v>
      </c>
      <c r="BL237" s="3">
        <v>23150.42</v>
      </c>
      <c r="BM237" s="3">
        <v>84810.32</v>
      </c>
      <c r="BN237" s="3">
        <v>26026.11</v>
      </c>
      <c r="BO237" s="3">
        <v>42385.96</v>
      </c>
      <c r="BP237" s="28">
        <v>69.427400000000006</v>
      </c>
      <c r="BQ237" s="28">
        <f t="shared" si="13"/>
        <v>320.16408507304033</v>
      </c>
      <c r="BR237" s="28">
        <f t="shared" si="14"/>
        <v>408.3696062361546</v>
      </c>
      <c r="BS237" s="28">
        <f t="shared" si="15"/>
        <v>333.44788944998658</v>
      </c>
      <c r="BT237" s="28">
        <f t="shared" si="16"/>
        <v>1221.5684297553992</v>
      </c>
      <c r="BU237" s="4">
        <v>75747</v>
      </c>
    </row>
    <row r="238" spans="1:73" x14ac:dyDescent="0.25">
      <c r="A238" t="s">
        <v>237</v>
      </c>
      <c r="B238" s="2">
        <v>43616</v>
      </c>
      <c r="C238" s="3">
        <v>6</v>
      </c>
      <c r="D238" s="28">
        <v>7.1254999999999997</v>
      </c>
      <c r="E238" s="34">
        <v>91.355149999999995</v>
      </c>
      <c r="F238" s="5">
        <v>142</v>
      </c>
      <c r="G238" s="5">
        <v>145.30000000000001</v>
      </c>
      <c r="H238" s="3">
        <v>133.57</v>
      </c>
      <c r="I238" s="3">
        <v>128.88999999999999</v>
      </c>
      <c r="J238" s="3">
        <v>107.62</v>
      </c>
      <c r="K238" s="3">
        <v>139.16999999999999</v>
      </c>
      <c r="L238" s="3">
        <v>139.55000000000001</v>
      </c>
      <c r="M238" s="3">
        <v>130.78</v>
      </c>
      <c r="N238" s="3">
        <v>151.33000000000001</v>
      </c>
      <c r="O238" s="5">
        <v>132.9</v>
      </c>
      <c r="P238" s="52">
        <v>135.541</v>
      </c>
      <c r="Q238" s="52">
        <v>85.721999999999994</v>
      </c>
      <c r="R238" s="52">
        <v>67.716999999999999</v>
      </c>
      <c r="S238" s="52">
        <v>127.86199999999999</v>
      </c>
      <c r="T238" s="52">
        <v>109.985</v>
      </c>
      <c r="U238" s="52">
        <v>154.49199999999999</v>
      </c>
      <c r="V238" s="52">
        <v>140.96600000000001</v>
      </c>
      <c r="W238" s="52">
        <v>165.91900000000001</v>
      </c>
      <c r="X238" s="3">
        <v>17858.434746884086</v>
      </c>
      <c r="Y238" s="3">
        <v>28887.1</v>
      </c>
      <c r="Z238" s="3">
        <v>44915.07</v>
      </c>
      <c r="AA238" s="4">
        <v>18679</v>
      </c>
      <c r="AB238" s="4">
        <v>12492</v>
      </c>
      <c r="AC238" s="5">
        <v>97.3</v>
      </c>
      <c r="AD238" s="5">
        <v>128.4</v>
      </c>
      <c r="AE238" s="34">
        <v>131.5238969907742</v>
      </c>
      <c r="AF238" s="28">
        <v>51.6995</v>
      </c>
      <c r="AG238" s="28">
        <v>52.701700000000002</v>
      </c>
      <c r="AH238" s="28">
        <v>50.232500000000002</v>
      </c>
      <c r="AI238" s="28">
        <v>54.846800000000002</v>
      </c>
      <c r="AJ238" s="28">
        <v>54.214599999999997</v>
      </c>
      <c r="AK238" s="28">
        <v>51.265799999999999</v>
      </c>
      <c r="AL238" s="28">
        <v>50.266500000000001</v>
      </c>
      <c r="AM238" s="28">
        <v>50.125</v>
      </c>
      <c r="AN238" s="28">
        <v>51.5443</v>
      </c>
      <c r="AO238" s="28">
        <v>51.568899999999999</v>
      </c>
      <c r="AP238" s="28">
        <v>46.727800000000002</v>
      </c>
      <c r="AQ238" s="28">
        <v>53.596200000000003</v>
      </c>
      <c r="AR238" s="28">
        <v>49.914200000000001</v>
      </c>
      <c r="AS238" s="28">
        <v>49.8904</v>
      </c>
      <c r="AT238" s="28">
        <v>1.1601999999999999</v>
      </c>
      <c r="AU238" s="28">
        <v>52.819800000000001</v>
      </c>
      <c r="AV238" s="28">
        <v>50.850999999999999</v>
      </c>
      <c r="AW238" s="28">
        <v>50.485700000000001</v>
      </c>
      <c r="AX238" s="28">
        <v>50.769199999999998</v>
      </c>
      <c r="AY238" s="28">
        <v>52.744999999999997</v>
      </c>
      <c r="AZ238" s="28">
        <v>52.451900000000002</v>
      </c>
      <c r="BA238" s="3">
        <v>38574.6</v>
      </c>
      <c r="BB238">
        <f>IF(ISNUMBER(VLOOKUP($B238,CEIC_DATA!$I$26:$N$353,Haver_M!BB$2,FALSE)),VLOOKUP($B238,CEIC_DATA!$I$26:$N$353,Haver_M!BB$2,FALSE),NA())</f>
        <v>102.43774430000001</v>
      </c>
      <c r="BC238" t="e">
        <f>IF(ISNUMBER(VLOOKUP($B238,CEIC_DATA!$I$26:$N$353,Haver_M!BC$2,FALSE)),VLOOKUP($B238,CEIC_DATA!$I$26:$N$353,Haver_M!BC$2,FALSE),NA())</f>
        <v>#N/A</v>
      </c>
      <c r="BD238" t="e">
        <f>IF(ISNUMBER(VLOOKUP($B238,CEIC_DATA!$I$26:$N$353,Haver_M!BD$2,FALSE)),VLOOKUP($B238,CEIC_DATA!$I$26:$N$353,Haver_M!BD$2,FALSE),NA())</f>
        <v>#N/A</v>
      </c>
      <c r="BE238" t="e">
        <f>IF(ISNUMBER(VLOOKUP($B238,CEIC_DATA!$I$26:$N$353,Haver_M!BE$2,FALSE)),VLOOKUP($B238,CEIC_DATA!$I$26:$N$353,Haver_M!BE$2,FALSE),NA())</f>
        <v>#N/A</v>
      </c>
      <c r="BF238">
        <v>2020193</v>
      </c>
      <c r="BG238">
        <v>72428</v>
      </c>
      <c r="BH238">
        <v>2483191</v>
      </c>
      <c r="BI238">
        <v>298885</v>
      </c>
      <c r="BJ238" s="3">
        <v>22414.41</v>
      </c>
      <c r="BK238" s="3">
        <v>28140.39</v>
      </c>
      <c r="BL238" s="3">
        <v>22878.77</v>
      </c>
      <c r="BM238" s="3">
        <v>84512.39</v>
      </c>
      <c r="BN238" s="3">
        <v>29847.79</v>
      </c>
      <c r="BO238" s="3">
        <v>46675.08</v>
      </c>
      <c r="BP238" s="28">
        <v>69.773099999999999</v>
      </c>
      <c r="BQ238" s="28">
        <f t="shared" si="13"/>
        <v>321.24715685557902</v>
      </c>
      <c r="BR238" s="28">
        <f t="shared" si="14"/>
        <v>403.3128813253245</v>
      </c>
      <c r="BS238" s="28">
        <f t="shared" si="15"/>
        <v>327.90244377847625</v>
      </c>
      <c r="BT238" s="28">
        <f t="shared" si="16"/>
        <v>1211.2460246140704</v>
      </c>
      <c r="BU238" s="4">
        <v>86295</v>
      </c>
    </row>
    <row r="239" spans="1:73" x14ac:dyDescent="0.25">
      <c r="A239" t="s">
        <v>382</v>
      </c>
      <c r="B239" s="2">
        <v>43646</v>
      </c>
      <c r="C239" s="3">
        <v>5.75</v>
      </c>
      <c r="D239" s="28">
        <v>6.9339000000000004</v>
      </c>
      <c r="E239" s="34">
        <v>92.533910000000006</v>
      </c>
      <c r="F239" s="5">
        <v>142.9</v>
      </c>
      <c r="G239" s="5">
        <v>145.4</v>
      </c>
      <c r="H239" s="3">
        <v>132.1</v>
      </c>
      <c r="I239" s="3">
        <v>129.76</v>
      </c>
      <c r="J239" s="3">
        <v>103.11</v>
      </c>
      <c r="K239" s="3">
        <v>139.96</v>
      </c>
      <c r="L239" s="3">
        <v>140.47</v>
      </c>
      <c r="M239" s="3">
        <v>122.49</v>
      </c>
      <c r="N239" s="3">
        <v>147.78</v>
      </c>
      <c r="O239" s="5">
        <v>134.80000000000001</v>
      </c>
      <c r="P239" s="52">
        <v>140.15700000000001</v>
      </c>
      <c r="Q239" s="52">
        <v>85.262</v>
      </c>
      <c r="R239" s="52">
        <v>65.94</v>
      </c>
      <c r="S239" s="52">
        <v>122.94799999999999</v>
      </c>
      <c r="T239" s="52">
        <v>109.60899999999999</v>
      </c>
      <c r="U239" s="52">
        <v>162.80600000000001</v>
      </c>
      <c r="V239" s="52">
        <v>143.149</v>
      </c>
      <c r="W239" s="52">
        <v>171.738</v>
      </c>
      <c r="X239" s="3">
        <v>17611.167847315242</v>
      </c>
      <c r="Y239" s="3">
        <v>25696.58</v>
      </c>
      <c r="Z239" s="3">
        <v>40368.839999999997</v>
      </c>
      <c r="AA239" s="4">
        <v>18552</v>
      </c>
      <c r="AB239" s="4">
        <v>11758</v>
      </c>
      <c r="AC239" s="5" t="e">
        <v>#N/A</v>
      </c>
      <c r="AD239" s="5" t="e">
        <v>#N/A</v>
      </c>
      <c r="AE239" s="34">
        <v>81.538505704582562</v>
      </c>
      <c r="AF239" s="28">
        <v>50.8018</v>
      </c>
      <c r="AG239" s="28">
        <v>52.131900000000002</v>
      </c>
      <c r="AH239" s="28">
        <v>49.615900000000003</v>
      </c>
      <c r="AI239" s="28">
        <v>53.3459</v>
      </c>
      <c r="AJ239" s="28">
        <v>53.189399999999999</v>
      </c>
      <c r="AK239" s="28">
        <v>50.882399999999997</v>
      </c>
      <c r="AL239" s="28">
        <v>50.1554</v>
      </c>
      <c r="AM239" s="28">
        <v>51.853900000000003</v>
      </c>
      <c r="AN239" s="28">
        <v>51.4968</v>
      </c>
      <c r="AO239" s="28">
        <v>51.994999999999997</v>
      </c>
      <c r="AP239" s="28">
        <v>46.054900000000004</v>
      </c>
      <c r="AQ239" s="28">
        <v>52.767200000000003</v>
      </c>
      <c r="AR239" s="28">
        <v>49.213299999999997</v>
      </c>
      <c r="AS239" s="28">
        <v>49.716000000000001</v>
      </c>
      <c r="AT239" s="28">
        <v>1.1549</v>
      </c>
      <c r="AU239" s="28">
        <v>50.747999999999998</v>
      </c>
      <c r="AV239" s="28">
        <v>51.076599999999999</v>
      </c>
      <c r="AW239" s="28">
        <v>50.201700000000002</v>
      </c>
      <c r="AX239" s="28">
        <v>51.066000000000003</v>
      </c>
      <c r="AY239" s="28">
        <v>50.854799999999997</v>
      </c>
      <c r="AZ239" s="28">
        <v>51.913400000000003</v>
      </c>
      <c r="BA239" s="3">
        <v>39538.370000000003</v>
      </c>
      <c r="BB239">
        <f>IF(ISNUMBER(VLOOKUP($B239,CEIC_DATA!$I$26:$N$353,Haver_M!BB$2,FALSE)),VLOOKUP($B239,CEIC_DATA!$I$26:$N$353,Haver_M!BB$2,FALSE),NA())</f>
        <v>100.94078259</v>
      </c>
      <c r="BC239">
        <f>IF(ISNUMBER(VLOOKUP($B239,CEIC_DATA!$I$26:$N$353,Haver_M!BC$2,FALSE)),VLOOKUP($B239,CEIC_DATA!$I$26:$N$353,Haver_M!BC$2,FALSE),NA())</f>
        <v>108.4</v>
      </c>
      <c r="BD239">
        <f>IF(ISNUMBER(VLOOKUP($B239,CEIC_DATA!$I$26:$N$353,Haver_M!BD$2,FALSE)),VLOOKUP($B239,CEIC_DATA!$I$26:$N$353,Haver_M!BD$2,FALSE),NA())</f>
        <v>113.5</v>
      </c>
      <c r="BE239">
        <f>IF(ISNUMBER(VLOOKUP($B239,CEIC_DATA!$I$26:$N$353,Haver_M!BE$2,FALSE)),VLOOKUP($B239,CEIC_DATA!$I$26:$N$353,Haver_M!BE$2,FALSE),NA())</f>
        <v>36.9</v>
      </c>
      <c r="BF239">
        <v>1946926</v>
      </c>
      <c r="BG239">
        <v>75978</v>
      </c>
      <c r="BH239">
        <v>2397180</v>
      </c>
      <c r="BI239">
        <v>282461</v>
      </c>
      <c r="BJ239" s="3">
        <v>22538.43</v>
      </c>
      <c r="BK239" s="3">
        <v>28120.32</v>
      </c>
      <c r="BL239" s="3">
        <v>22847.15</v>
      </c>
      <c r="BM239" s="3">
        <v>84763.77</v>
      </c>
      <c r="BN239" s="3">
        <v>25017.56</v>
      </c>
      <c r="BO239" s="3">
        <v>41032.75</v>
      </c>
      <c r="BP239" s="28">
        <v>69.438900000000004</v>
      </c>
      <c r="BQ239" s="28">
        <f t="shared" si="13"/>
        <v>324.57930641182389</v>
      </c>
      <c r="BR239" s="28">
        <f t="shared" si="14"/>
        <v>404.96494040084156</v>
      </c>
      <c r="BS239" s="28">
        <f t="shared" si="15"/>
        <v>329.02522937431326</v>
      </c>
      <c r="BT239" s="28">
        <f t="shared" si="16"/>
        <v>1220.6957483485482</v>
      </c>
      <c r="BU239" s="4">
        <v>84908</v>
      </c>
    </row>
    <row r="240" spans="1:73" x14ac:dyDescent="0.25">
      <c r="A240" t="s">
        <v>384</v>
      </c>
      <c r="B240" s="2">
        <v>43677</v>
      </c>
      <c r="C240" s="3">
        <v>5.75</v>
      </c>
      <c r="D240" s="28">
        <v>6.5758000000000001</v>
      </c>
      <c r="E240" s="34">
        <v>93.029790000000006</v>
      </c>
      <c r="F240" s="5">
        <v>144.19999999999999</v>
      </c>
      <c r="G240" s="5">
        <v>146.4</v>
      </c>
      <c r="H240" s="3">
        <v>135.55000000000001</v>
      </c>
      <c r="I240" s="3">
        <v>131.66</v>
      </c>
      <c r="J240" s="3">
        <v>98.95</v>
      </c>
      <c r="K240" s="3">
        <v>140.44999999999999</v>
      </c>
      <c r="L240" s="3">
        <v>143.15</v>
      </c>
      <c r="M240" s="3">
        <v>130.69</v>
      </c>
      <c r="N240" s="3">
        <v>153.9</v>
      </c>
      <c r="O240" s="5">
        <v>134.80000000000001</v>
      </c>
      <c r="P240" s="52">
        <v>128.441</v>
      </c>
      <c r="Q240" s="52">
        <v>85.992999999999995</v>
      </c>
      <c r="R240" s="52">
        <v>67.674000000000007</v>
      </c>
      <c r="S240" s="52">
        <v>131.292</v>
      </c>
      <c r="T240" s="52">
        <v>107.652</v>
      </c>
      <c r="U240" s="52">
        <v>158.15199999999999</v>
      </c>
      <c r="V240" s="52">
        <v>151.63300000000001</v>
      </c>
      <c r="W240" s="52">
        <v>164.23099999999999</v>
      </c>
      <c r="X240" s="3">
        <v>18319.769495327128</v>
      </c>
      <c r="Y240" s="3">
        <v>27489.27</v>
      </c>
      <c r="Z240" s="3">
        <v>40423.589999999997</v>
      </c>
      <c r="AA240" s="4">
        <v>19084</v>
      </c>
      <c r="AB240" s="4">
        <v>12829</v>
      </c>
      <c r="AC240" s="5">
        <v>95.7</v>
      </c>
      <c r="AD240" s="5">
        <v>124.8</v>
      </c>
      <c r="AE240" s="34">
        <v>72.220906468843808</v>
      </c>
      <c r="AF240" s="28">
        <v>53.901200000000003</v>
      </c>
      <c r="AG240" s="28">
        <v>52.530200000000001</v>
      </c>
      <c r="AH240" s="28">
        <v>53.807200000000002</v>
      </c>
      <c r="AI240" s="28">
        <v>54.102800000000002</v>
      </c>
      <c r="AJ240" s="28">
        <v>54.1449</v>
      </c>
      <c r="AK240" s="28">
        <v>51.372399999999999</v>
      </c>
      <c r="AL240" s="28">
        <v>50.398899999999998</v>
      </c>
      <c r="AM240" s="28">
        <v>50.463700000000003</v>
      </c>
      <c r="AN240" s="28">
        <v>51.079700000000003</v>
      </c>
      <c r="AO240" s="28">
        <v>51.5319</v>
      </c>
      <c r="AP240" s="28">
        <v>46.969700000000003</v>
      </c>
      <c r="AQ240" s="28">
        <v>52.066899999999997</v>
      </c>
      <c r="AR240" s="28">
        <v>50.8307</v>
      </c>
      <c r="AS240" s="28">
        <v>50.616</v>
      </c>
      <c r="AT240" s="28">
        <v>1.1528</v>
      </c>
      <c r="AU240" s="28">
        <v>53.418999999999997</v>
      </c>
      <c r="AV240" s="28">
        <v>50.9176</v>
      </c>
      <c r="AW240" s="28">
        <v>53.918399999999998</v>
      </c>
      <c r="AX240" s="28">
        <v>52.717199999999998</v>
      </c>
      <c r="AY240" s="28">
        <v>54.686799999999998</v>
      </c>
      <c r="AZ240" s="28">
        <v>51.363500000000002</v>
      </c>
      <c r="BA240" s="3">
        <v>38649.97</v>
      </c>
      <c r="BB240">
        <f>IF(ISNUMBER(VLOOKUP($B240,CEIC_DATA!$I$26:$N$353,Haver_M!BB$2,FALSE)),VLOOKUP($B240,CEIC_DATA!$I$26:$N$353,Haver_M!BB$2,FALSE),NA())</f>
        <v>98.602033090000006</v>
      </c>
      <c r="BC240" t="e">
        <f>IF(ISNUMBER(VLOOKUP($B240,CEIC_DATA!$I$26:$N$353,Haver_M!BC$2,FALSE)),VLOOKUP($B240,CEIC_DATA!$I$26:$N$353,Haver_M!BC$2,FALSE),NA())</f>
        <v>#N/A</v>
      </c>
      <c r="BD240" t="e">
        <f>IF(ISNUMBER(VLOOKUP($B240,CEIC_DATA!$I$26:$N$353,Haver_M!BD$2,FALSE)),VLOOKUP($B240,CEIC_DATA!$I$26:$N$353,Haver_M!BD$2,FALSE),NA())</f>
        <v>#N/A</v>
      </c>
      <c r="BE240" t="e">
        <f>IF(ISNUMBER(VLOOKUP($B240,CEIC_DATA!$I$26:$N$353,Haver_M!BE$2,FALSE)),VLOOKUP($B240,CEIC_DATA!$I$26:$N$353,Haver_M!BE$2,FALSE),NA())</f>
        <v>#N/A</v>
      </c>
      <c r="BF240">
        <v>1818399</v>
      </c>
      <c r="BG240">
        <v>62660</v>
      </c>
      <c r="BH240">
        <v>2239744</v>
      </c>
      <c r="BI240">
        <v>261894</v>
      </c>
      <c r="BJ240" s="3">
        <v>22755.4</v>
      </c>
      <c r="BK240" s="3">
        <v>27983.599999999999</v>
      </c>
      <c r="BL240" s="3">
        <v>23128.71</v>
      </c>
      <c r="BM240" s="3">
        <v>84957.59</v>
      </c>
      <c r="BN240" s="3">
        <v>26230.57</v>
      </c>
      <c r="BO240" s="3">
        <v>40431.160000000003</v>
      </c>
      <c r="BP240" s="28">
        <v>68.808300000000003</v>
      </c>
      <c r="BQ240" s="28">
        <f t="shared" si="13"/>
        <v>330.70719666086796</v>
      </c>
      <c r="BR240" s="28">
        <f t="shared" si="14"/>
        <v>406.68930928390904</v>
      </c>
      <c r="BS240" s="28">
        <f t="shared" si="15"/>
        <v>336.13255958946809</v>
      </c>
      <c r="BT240" s="28">
        <f t="shared" si="16"/>
        <v>1234.6997382583204</v>
      </c>
      <c r="BU240" s="4">
        <v>79257</v>
      </c>
    </row>
    <row r="241" spans="1:73" x14ac:dyDescent="0.25">
      <c r="A241" t="s">
        <v>426</v>
      </c>
      <c r="B241" s="2">
        <v>43708</v>
      </c>
      <c r="C241" s="3">
        <v>5.4</v>
      </c>
      <c r="D241" s="28">
        <v>6.7058999999999997</v>
      </c>
      <c r="E241" s="34">
        <v>91.812610000000006</v>
      </c>
      <c r="F241" s="5">
        <v>145</v>
      </c>
      <c r="G241" s="5">
        <v>147.1</v>
      </c>
      <c r="H241" s="3">
        <v>128.99</v>
      </c>
      <c r="I241" s="3">
        <v>125.55</v>
      </c>
      <c r="J241" s="3">
        <v>91.65</v>
      </c>
      <c r="K241" s="3">
        <v>135.53</v>
      </c>
      <c r="L241" s="3">
        <v>133.47</v>
      </c>
      <c r="M241" s="3">
        <v>121.02</v>
      </c>
      <c r="N241" s="3">
        <v>150.41</v>
      </c>
      <c r="O241" s="5">
        <v>130.5</v>
      </c>
      <c r="P241" s="52">
        <v>117.306</v>
      </c>
      <c r="Q241" s="52">
        <v>85.772000000000006</v>
      </c>
      <c r="R241" s="52">
        <v>66.88</v>
      </c>
      <c r="S241" s="52">
        <v>131.32300000000001</v>
      </c>
      <c r="T241" s="52">
        <v>105.914</v>
      </c>
      <c r="U241" s="52">
        <v>151.81200000000001</v>
      </c>
      <c r="V241" s="52">
        <v>138.054</v>
      </c>
      <c r="W241" s="52">
        <v>158.41200000000001</v>
      </c>
      <c r="X241" s="3">
        <v>17868.423414738689</v>
      </c>
      <c r="Y241" s="3">
        <v>26649.05</v>
      </c>
      <c r="Z241" s="3">
        <v>39709.71</v>
      </c>
      <c r="AA241" s="4">
        <v>18244</v>
      </c>
      <c r="AB241" s="4">
        <v>12006</v>
      </c>
      <c r="AC241" s="5" t="e">
        <v>#N/A</v>
      </c>
      <c r="AD241" s="5" t="e">
        <v>#N/A</v>
      </c>
      <c r="AE241" s="34">
        <v>77.892170550431686</v>
      </c>
      <c r="AF241" s="28">
        <v>52.599899999999998</v>
      </c>
      <c r="AG241" s="28">
        <v>51.430900000000001</v>
      </c>
      <c r="AH241" s="28">
        <v>52.390900000000002</v>
      </c>
      <c r="AI241" s="28">
        <v>53.048099999999998</v>
      </c>
      <c r="AJ241" s="28">
        <v>51.997100000000003</v>
      </c>
      <c r="AK241" s="28">
        <v>50.939399999999999</v>
      </c>
      <c r="AL241" s="28">
        <v>50.213900000000002</v>
      </c>
      <c r="AM241" s="28">
        <v>49.139299999999999</v>
      </c>
      <c r="AN241" s="28">
        <v>52.531399999999998</v>
      </c>
      <c r="AO241" s="28">
        <v>48.459400000000002</v>
      </c>
      <c r="AP241" s="28">
        <v>45.836500000000001</v>
      </c>
      <c r="AQ241" s="28">
        <v>51.847200000000001</v>
      </c>
      <c r="AR241" s="28">
        <v>50.457700000000003</v>
      </c>
      <c r="AS241" s="28">
        <v>50.145899999999997</v>
      </c>
      <c r="AT241" s="28">
        <v>1.1344000000000001</v>
      </c>
      <c r="AU241" s="28">
        <v>52.631700000000002</v>
      </c>
      <c r="AV241" s="28">
        <v>51.580800000000004</v>
      </c>
      <c r="AW241" s="28">
        <v>51.032699999999998</v>
      </c>
      <c r="AX241" s="28">
        <v>51.516100000000002</v>
      </c>
      <c r="AY241" s="28">
        <v>53.041699999999999</v>
      </c>
      <c r="AZ241" s="28">
        <v>52.740400000000001</v>
      </c>
      <c r="BA241" s="3">
        <v>37149.35</v>
      </c>
      <c r="BB241">
        <f>IF(ISNUMBER(VLOOKUP($B241,CEIC_DATA!$I$26:$N$353,Haver_M!BB$2,FALSE)),VLOOKUP($B241,CEIC_DATA!$I$26:$N$353,Haver_M!BB$2,FALSE),NA())</f>
        <v>96.035579670000004</v>
      </c>
      <c r="BC241" t="e">
        <f>IF(ISNUMBER(VLOOKUP($B241,CEIC_DATA!$I$26:$N$353,Haver_M!BC$2,FALSE)),VLOOKUP($B241,CEIC_DATA!$I$26:$N$353,Haver_M!BC$2,FALSE),NA())</f>
        <v>#N/A</v>
      </c>
      <c r="BD241" t="e">
        <f>IF(ISNUMBER(VLOOKUP($B241,CEIC_DATA!$I$26:$N$353,Haver_M!BD$2,FALSE)),VLOOKUP($B241,CEIC_DATA!$I$26:$N$353,Haver_M!BD$2,FALSE),NA())</f>
        <v>#N/A</v>
      </c>
      <c r="BE241" t="e">
        <f>IF(ISNUMBER(VLOOKUP($B241,CEIC_DATA!$I$26:$N$353,Haver_M!BE$2,FALSE)),VLOOKUP($B241,CEIC_DATA!$I$26:$N$353,Haver_M!BE$2,FALSE),NA())</f>
        <v>#N/A</v>
      </c>
      <c r="BF241">
        <v>1812622</v>
      </c>
      <c r="BG241">
        <v>57997</v>
      </c>
      <c r="BH241">
        <v>2242597</v>
      </c>
      <c r="BI241">
        <v>266273</v>
      </c>
      <c r="BJ241" s="3">
        <v>23039.3</v>
      </c>
      <c r="BK241" s="3">
        <v>27652.15</v>
      </c>
      <c r="BL241" s="3">
        <v>23501.98</v>
      </c>
      <c r="BM241" s="3">
        <v>85323.67</v>
      </c>
      <c r="BN241" s="3">
        <v>26041.78</v>
      </c>
      <c r="BO241" s="3">
        <v>39826.9</v>
      </c>
      <c r="BP241" s="28">
        <v>71.145700000000005</v>
      </c>
      <c r="BQ241" s="28">
        <f t="shared" si="13"/>
        <v>323.83264202896305</v>
      </c>
      <c r="BR241" s="28">
        <f t="shared" si="14"/>
        <v>388.6693081943111</v>
      </c>
      <c r="BS241" s="28">
        <f t="shared" si="15"/>
        <v>330.33591629571424</v>
      </c>
      <c r="BT241" s="28">
        <f t="shared" si="16"/>
        <v>1199.2807717121343</v>
      </c>
      <c r="BU241" s="4">
        <v>73755</v>
      </c>
    </row>
    <row r="242" spans="1:73" x14ac:dyDescent="0.25">
      <c r="A242" t="s">
        <v>430</v>
      </c>
      <c r="B242" s="2">
        <v>43738</v>
      </c>
      <c r="C242" s="3">
        <v>5.4</v>
      </c>
      <c r="D242" s="28">
        <v>6.8308</v>
      </c>
      <c r="E242" s="34">
        <v>91.540369999999996</v>
      </c>
      <c r="F242" s="5">
        <v>145.80000000000001</v>
      </c>
      <c r="G242" s="5">
        <v>147.6</v>
      </c>
      <c r="H242" s="3">
        <v>124.62</v>
      </c>
      <c r="I242" s="3">
        <v>119.39</v>
      </c>
      <c r="J242" s="3">
        <v>88.83</v>
      </c>
      <c r="K242" s="3">
        <v>134.62</v>
      </c>
      <c r="L242" s="3">
        <v>132.21</v>
      </c>
      <c r="M242" s="3">
        <v>115.82</v>
      </c>
      <c r="N242" s="3">
        <v>146.78</v>
      </c>
      <c r="O242" s="5">
        <v>124.8</v>
      </c>
      <c r="P242" s="52">
        <v>105.491</v>
      </c>
      <c r="Q242" s="52">
        <v>85.234999999999999</v>
      </c>
      <c r="R242" s="52">
        <v>65.063000000000002</v>
      </c>
      <c r="S242" s="52">
        <v>122.001</v>
      </c>
      <c r="T242" s="52">
        <v>109.42100000000001</v>
      </c>
      <c r="U242" s="52">
        <v>144.892</v>
      </c>
      <c r="V242" s="52">
        <v>141.261</v>
      </c>
      <c r="W242" s="52">
        <v>155.24600000000001</v>
      </c>
      <c r="X242" s="3">
        <v>17550.459418816885</v>
      </c>
      <c r="Y242" s="3">
        <v>26025.3</v>
      </c>
      <c r="Z242" s="3">
        <v>38115.39</v>
      </c>
      <c r="AA242" s="4">
        <v>17536</v>
      </c>
      <c r="AB242" s="4">
        <v>11096</v>
      </c>
      <c r="AC242" s="5">
        <v>89.4</v>
      </c>
      <c r="AD242" s="5">
        <v>118</v>
      </c>
      <c r="AE242" s="34">
        <v>90.710554888509094</v>
      </c>
      <c r="AF242" s="28">
        <v>49.790300000000002</v>
      </c>
      <c r="AG242" s="28">
        <v>51.350900000000003</v>
      </c>
      <c r="AH242" s="28">
        <v>48.710599999999999</v>
      </c>
      <c r="AI242" s="28">
        <v>52.106699999999996</v>
      </c>
      <c r="AJ242" s="28">
        <v>52.2941</v>
      </c>
      <c r="AK242" s="28">
        <v>50.970500000000001</v>
      </c>
      <c r="AL242" s="28">
        <v>49.793799999999997</v>
      </c>
      <c r="AM242" s="28">
        <v>49.109299999999998</v>
      </c>
      <c r="AN242" s="28">
        <v>50.869900000000001</v>
      </c>
      <c r="AO242" s="28">
        <v>48.301400000000001</v>
      </c>
      <c r="AP242" s="28">
        <v>46.483400000000003</v>
      </c>
      <c r="AQ242" s="28">
        <v>50.300899999999999</v>
      </c>
      <c r="AR242" s="28">
        <v>50.7346</v>
      </c>
      <c r="AS242" s="28">
        <v>50.277299999999997</v>
      </c>
      <c r="AT242" s="28">
        <v>1.125</v>
      </c>
      <c r="AU242" s="28">
        <v>51.405500000000004</v>
      </c>
      <c r="AV242" s="28">
        <v>51.836399999999998</v>
      </c>
      <c r="AW242" s="28">
        <v>48.7898</v>
      </c>
      <c r="AX242" s="28">
        <v>50.414900000000003</v>
      </c>
      <c r="AY242" s="28">
        <v>53.440100000000001</v>
      </c>
      <c r="AZ242" s="28">
        <v>49.429299999999998</v>
      </c>
      <c r="BA242" s="3">
        <v>37545.06</v>
      </c>
      <c r="BB242">
        <f>IF(ISNUMBER(VLOOKUP($B242,CEIC_DATA!$I$26:$N$353,Haver_M!BB$2,FALSE)),VLOOKUP($B242,CEIC_DATA!$I$26:$N$353,Haver_M!BB$2,FALSE),NA())</f>
        <v>94.006975740000001</v>
      </c>
      <c r="BC242">
        <f>IF(ISNUMBER(VLOOKUP($B242,CEIC_DATA!$I$26:$N$353,Haver_M!BC$2,FALSE)),VLOOKUP($B242,CEIC_DATA!$I$26:$N$353,Haver_M!BC$2,FALSE),NA())</f>
        <v>92.5</v>
      </c>
      <c r="BD242">
        <f>IF(ISNUMBER(VLOOKUP($B242,CEIC_DATA!$I$26:$N$353,Haver_M!BD$2,FALSE)),VLOOKUP($B242,CEIC_DATA!$I$26:$N$353,Haver_M!BD$2,FALSE),NA())</f>
        <v>112.8</v>
      </c>
      <c r="BE242">
        <f>IF(ISNUMBER(VLOOKUP($B242,CEIC_DATA!$I$26:$N$353,Haver_M!BE$2,FALSE)),VLOOKUP($B242,CEIC_DATA!$I$26:$N$353,Haver_M!BE$2,FALSE),NA())</f>
        <v>35.200000000000003</v>
      </c>
      <c r="BF242">
        <v>1960192</v>
      </c>
      <c r="BG242">
        <v>65481</v>
      </c>
      <c r="BH242">
        <v>2422164</v>
      </c>
      <c r="BI242">
        <v>284650</v>
      </c>
      <c r="BJ242" s="3">
        <v>23557.85</v>
      </c>
      <c r="BK242" s="3">
        <v>27748.83</v>
      </c>
      <c r="BL242" s="3">
        <v>23618.66</v>
      </c>
      <c r="BM242" s="3">
        <v>86203.29</v>
      </c>
      <c r="BN242" s="3">
        <v>26103.02</v>
      </c>
      <c r="BO242" s="3">
        <v>37636</v>
      </c>
      <c r="BP242" s="28">
        <v>71.333699999999993</v>
      </c>
      <c r="BQ242" s="28">
        <f t="shared" si="13"/>
        <v>330.24853610565555</v>
      </c>
      <c r="BR242" s="28">
        <f t="shared" si="14"/>
        <v>389.00029018542432</v>
      </c>
      <c r="BS242" s="28">
        <f t="shared" si="15"/>
        <v>331.10100835930285</v>
      </c>
      <c r="BT242" s="28">
        <f t="shared" si="16"/>
        <v>1208.451124783938</v>
      </c>
      <c r="BU242" s="4">
        <v>68398</v>
      </c>
    </row>
    <row r="243" spans="1:73" x14ac:dyDescent="0.25">
      <c r="A243" t="s">
        <v>431</v>
      </c>
      <c r="B243" s="2">
        <v>43769</v>
      </c>
      <c r="C243" s="3">
        <v>5.15</v>
      </c>
      <c r="D243" s="28">
        <v>6.8661000000000003</v>
      </c>
      <c r="E243" s="34">
        <v>92.584180000000003</v>
      </c>
      <c r="F243" s="5">
        <v>147.19999999999999</v>
      </c>
      <c r="G243" s="5">
        <v>147.80000000000001</v>
      </c>
      <c r="H243" s="3">
        <v>128.61000000000001</v>
      </c>
      <c r="I243" s="3">
        <v>120.8</v>
      </c>
      <c r="J243" s="3">
        <v>92.52</v>
      </c>
      <c r="K243" s="3">
        <v>158.83000000000001</v>
      </c>
      <c r="L243" s="3">
        <v>130.6</v>
      </c>
      <c r="M243" s="3">
        <v>111.32</v>
      </c>
      <c r="N243" s="3">
        <v>148.82</v>
      </c>
      <c r="O243" s="5">
        <v>125.3</v>
      </c>
      <c r="P243" s="52">
        <v>113.33799999999999</v>
      </c>
      <c r="Q243" s="52">
        <v>84.59</v>
      </c>
      <c r="R243" s="52">
        <v>64.388999999999996</v>
      </c>
      <c r="S243" s="52">
        <v>130.91999999999999</v>
      </c>
      <c r="T243" s="52">
        <v>109.245</v>
      </c>
      <c r="U243" s="52">
        <v>144.565</v>
      </c>
      <c r="V243" s="52">
        <v>141.57499999999999</v>
      </c>
      <c r="W243" s="52">
        <v>142.358</v>
      </c>
      <c r="X243" s="3">
        <v>17396.18430526838</v>
      </c>
      <c r="Y243" s="3">
        <v>26898.639999999999</v>
      </c>
      <c r="Z243" s="3">
        <v>37313.69</v>
      </c>
      <c r="AA243" s="4">
        <v>17698</v>
      </c>
      <c r="AB243" s="4">
        <v>10864</v>
      </c>
      <c r="AC243" s="5" t="e">
        <v>#N/A</v>
      </c>
      <c r="AD243" s="5" t="e">
        <v>#N/A</v>
      </c>
      <c r="AE243" s="34">
        <v>89.749454611560822</v>
      </c>
      <c r="AF243" s="28">
        <v>49.633600000000001</v>
      </c>
      <c r="AG243" s="28">
        <v>50.5899</v>
      </c>
      <c r="AH243" s="28">
        <v>49.164499999999997</v>
      </c>
      <c r="AI243" s="28">
        <v>50.639800000000001</v>
      </c>
      <c r="AJ243" s="28">
        <v>51.281599999999997</v>
      </c>
      <c r="AK243" s="28">
        <v>50.448500000000003</v>
      </c>
      <c r="AL243" s="28">
        <v>49.575699999999998</v>
      </c>
      <c r="AM243" s="28">
        <v>48.921300000000002</v>
      </c>
      <c r="AN243" s="28">
        <v>49.946599999999997</v>
      </c>
      <c r="AO243" s="28">
        <v>48.407699999999998</v>
      </c>
      <c r="AP243" s="28">
        <v>44.665999999999997</v>
      </c>
      <c r="AQ243" s="28">
        <v>51.676200000000001</v>
      </c>
      <c r="AR243" s="28">
        <v>51.297499999999999</v>
      </c>
      <c r="AS243" s="28">
        <v>50.777999999999999</v>
      </c>
      <c r="AT243" s="28">
        <v>1.1480999999999999</v>
      </c>
      <c r="AU243" s="28">
        <v>50.748899999999999</v>
      </c>
      <c r="AV243" s="28">
        <v>51.639200000000002</v>
      </c>
      <c r="AW243" s="28">
        <v>50.142200000000003</v>
      </c>
      <c r="AX243" s="28">
        <v>53.401699999999998</v>
      </c>
      <c r="AY243" s="28">
        <v>52.004600000000003</v>
      </c>
      <c r="AZ243" s="28">
        <v>50.692700000000002</v>
      </c>
      <c r="BA243" s="3">
        <v>38741.85</v>
      </c>
      <c r="BB243">
        <f>IF(ISNUMBER(VLOOKUP($B243,CEIC_DATA!$I$26:$N$353,Haver_M!BB$2,FALSE)),VLOOKUP($B243,CEIC_DATA!$I$26:$N$353,Haver_M!BB$2,FALSE),NA())</f>
        <v>93.163157859999998</v>
      </c>
      <c r="BC243" t="e">
        <f>IF(ISNUMBER(VLOOKUP($B243,CEIC_DATA!$I$26:$N$353,Haver_M!BC$2,FALSE)),VLOOKUP($B243,CEIC_DATA!$I$26:$N$353,Haver_M!BC$2,FALSE),NA())</f>
        <v>#N/A</v>
      </c>
      <c r="BD243" t="e">
        <f>IF(ISNUMBER(VLOOKUP($B243,CEIC_DATA!$I$26:$N$353,Haver_M!BD$2,FALSE)),VLOOKUP($B243,CEIC_DATA!$I$26:$N$353,Haver_M!BD$2,FALSE),NA())</f>
        <v>#N/A</v>
      </c>
      <c r="BE243" t="e">
        <f>IF(ISNUMBER(VLOOKUP($B243,CEIC_DATA!$I$26:$N$353,Haver_M!BE$2,FALSE)),VLOOKUP($B243,CEIC_DATA!$I$26:$N$353,Haver_M!BE$2,FALSE),NA())</f>
        <v>#N/A</v>
      </c>
      <c r="BF243">
        <v>2052556</v>
      </c>
      <c r="BG243">
        <v>71525</v>
      </c>
      <c r="BH243">
        <v>2572100</v>
      </c>
      <c r="BI243">
        <v>335494</v>
      </c>
      <c r="BJ243" s="3">
        <v>23896.84</v>
      </c>
      <c r="BK243" s="3">
        <v>27867.51</v>
      </c>
      <c r="BL243" s="3">
        <v>23524.18</v>
      </c>
      <c r="BM243" s="3">
        <v>86635.57</v>
      </c>
      <c r="BN243" s="3">
        <v>26481.99</v>
      </c>
      <c r="BO243" s="3">
        <v>37405.58</v>
      </c>
      <c r="BP243" s="28">
        <v>71.039400000000001</v>
      </c>
      <c r="BQ243" s="28">
        <f t="shared" si="13"/>
        <v>336.3885393176181</v>
      </c>
      <c r="BR243" s="28">
        <f t="shared" si="14"/>
        <v>392.28245170989618</v>
      </c>
      <c r="BS243" s="28">
        <f t="shared" si="15"/>
        <v>331.14271798466768</v>
      </c>
      <c r="BT243" s="28">
        <f t="shared" si="16"/>
        <v>1219.5425355506945</v>
      </c>
      <c r="BU243" s="4">
        <v>80524</v>
      </c>
    </row>
    <row r="244" spans="1:73" x14ac:dyDescent="0.25">
      <c r="A244" t="s">
        <v>537</v>
      </c>
      <c r="B244" s="2">
        <v>43799</v>
      </c>
      <c r="C244" s="3">
        <v>5.15</v>
      </c>
      <c r="D244" s="28">
        <v>6.5906000000000002</v>
      </c>
      <c r="E244" s="34">
        <v>91.731579999999994</v>
      </c>
      <c r="F244" s="5">
        <v>148.6</v>
      </c>
      <c r="G244" s="5">
        <v>148.30000000000001</v>
      </c>
      <c r="H244" s="3">
        <v>131.57</v>
      </c>
      <c r="I244" s="3">
        <v>125.89</v>
      </c>
      <c r="J244" s="3">
        <v>95.83</v>
      </c>
      <c r="K244" s="3">
        <v>143.11000000000001</v>
      </c>
      <c r="L244" s="3">
        <v>139.77000000000001</v>
      </c>
      <c r="M244" s="3">
        <v>119.65</v>
      </c>
      <c r="N244" s="3">
        <v>149.27000000000001</v>
      </c>
      <c r="O244" s="5">
        <v>130.69999999999999</v>
      </c>
      <c r="P244" s="52">
        <v>127.072</v>
      </c>
      <c r="Q244" s="52">
        <v>84.299000000000007</v>
      </c>
      <c r="R244" s="52">
        <v>64.438000000000002</v>
      </c>
      <c r="S244" s="52">
        <v>134.149</v>
      </c>
      <c r="T244" s="52">
        <v>111.875</v>
      </c>
      <c r="U244" s="52">
        <v>151.595</v>
      </c>
      <c r="V244" s="52">
        <v>153.09100000000001</v>
      </c>
      <c r="W244" s="52">
        <v>149.756</v>
      </c>
      <c r="X244" s="3">
        <v>18140.624970797671</v>
      </c>
      <c r="Y244" s="3">
        <v>27114.26</v>
      </c>
      <c r="Z244" s="3">
        <v>37753.519999999997</v>
      </c>
      <c r="AA244" s="4">
        <v>17996</v>
      </c>
      <c r="AB244" s="4">
        <v>11472</v>
      </c>
      <c r="AC244" s="5">
        <v>85.7</v>
      </c>
      <c r="AD244" s="5">
        <v>114.5</v>
      </c>
      <c r="AE244" s="34">
        <v>52.852477615153759</v>
      </c>
      <c r="AF244" s="28">
        <v>52.711500000000001</v>
      </c>
      <c r="AG244" s="28">
        <v>51.177900000000001</v>
      </c>
      <c r="AH244" s="28">
        <v>52.728700000000003</v>
      </c>
      <c r="AI244" s="28">
        <v>52.674700000000001</v>
      </c>
      <c r="AJ244" s="28">
        <v>52.025399999999998</v>
      </c>
      <c r="AK244" s="28">
        <v>49.815199999999997</v>
      </c>
      <c r="AL244" s="28">
        <v>50.196899999999999</v>
      </c>
      <c r="AM244" s="28">
        <v>49.681100000000001</v>
      </c>
      <c r="AN244" s="28">
        <v>51.422899999999998</v>
      </c>
      <c r="AO244" s="28">
        <v>49.6845</v>
      </c>
      <c r="AP244" s="28">
        <v>45.306800000000003</v>
      </c>
      <c r="AQ244" s="28">
        <v>51.306100000000001</v>
      </c>
      <c r="AR244" s="28">
        <v>51.770299999999999</v>
      </c>
      <c r="AS244" s="28">
        <v>50.177100000000003</v>
      </c>
      <c r="AT244" s="28">
        <v>1.1483000000000001</v>
      </c>
      <c r="AU244" s="28">
        <v>51.553800000000003</v>
      </c>
      <c r="AV244" s="28">
        <v>51.408900000000003</v>
      </c>
      <c r="AW244" s="28">
        <v>53.210099999999997</v>
      </c>
      <c r="AX244" s="28">
        <v>53.881500000000003</v>
      </c>
      <c r="AY244" s="28">
        <v>52.222299999999997</v>
      </c>
      <c r="AZ244" s="28">
        <v>51.530700000000003</v>
      </c>
      <c r="BA244" s="3">
        <v>40513.089999999997</v>
      </c>
      <c r="BB244">
        <f>IF(ISNUMBER(VLOOKUP($B244,CEIC_DATA!$I$26:$N$353,Haver_M!BB$2,FALSE)),VLOOKUP($B244,CEIC_DATA!$I$26:$N$353,Haver_M!BB$2,FALSE),NA())</f>
        <v>94.067944060000002</v>
      </c>
      <c r="BC244" t="e">
        <f>IF(ISNUMBER(VLOOKUP($B244,CEIC_DATA!$I$26:$N$353,Haver_M!BC$2,FALSE)),VLOOKUP($B244,CEIC_DATA!$I$26:$N$353,Haver_M!BC$2,FALSE),NA())</f>
        <v>#N/A</v>
      </c>
      <c r="BD244" t="e">
        <f>IF(ISNUMBER(VLOOKUP($B244,CEIC_DATA!$I$26:$N$353,Haver_M!BD$2,FALSE)),VLOOKUP($B244,CEIC_DATA!$I$26:$N$353,Haver_M!BD$2,FALSE),NA())</f>
        <v>#N/A</v>
      </c>
      <c r="BE244" t="e">
        <f>IF(ISNUMBER(VLOOKUP($B244,CEIC_DATA!$I$26:$N$353,Haver_M!BE$2,FALSE)),VLOOKUP($B244,CEIC_DATA!$I$26:$N$353,Haver_M!BE$2,FALSE),NA())</f>
        <v>#N/A</v>
      </c>
      <c r="BF244">
        <v>1710086</v>
      </c>
      <c r="BG244">
        <v>67601</v>
      </c>
      <c r="BH244">
        <v>2203885</v>
      </c>
      <c r="BI244">
        <v>322335</v>
      </c>
      <c r="BJ244" s="3">
        <v>24047.01</v>
      </c>
      <c r="BK244" s="3">
        <v>27722.48</v>
      </c>
      <c r="BL244" s="3">
        <v>23629.56</v>
      </c>
      <c r="BM244" s="3">
        <v>86739.08</v>
      </c>
      <c r="BN244" s="3">
        <v>25941.95</v>
      </c>
      <c r="BO244" s="3">
        <v>38105.86</v>
      </c>
      <c r="BP244" s="28">
        <v>71.451700000000002</v>
      </c>
      <c r="BQ244" s="28">
        <f t="shared" si="13"/>
        <v>336.54916538024986</v>
      </c>
      <c r="BR244" s="28">
        <f t="shared" si="14"/>
        <v>387.98908913293872</v>
      </c>
      <c r="BS244" s="28">
        <f t="shared" si="15"/>
        <v>330.70675715203419</v>
      </c>
      <c r="BT244" s="28">
        <f t="shared" si="16"/>
        <v>1213.9540416813036</v>
      </c>
      <c r="BU244" s="4">
        <v>82686</v>
      </c>
    </row>
    <row r="245" spans="1:73" x14ac:dyDescent="0.25">
      <c r="A245" t="s">
        <v>708</v>
      </c>
      <c r="B245" s="2">
        <v>43830</v>
      </c>
      <c r="C245" s="3">
        <v>5.15</v>
      </c>
      <c r="D245" s="28">
        <v>6.9177</v>
      </c>
      <c r="E245" s="34">
        <v>91.986949999999993</v>
      </c>
      <c r="F245" s="5">
        <v>150.4</v>
      </c>
      <c r="G245" s="5">
        <v>148.80000000000001</v>
      </c>
      <c r="H245" s="3">
        <v>130.46</v>
      </c>
      <c r="I245" s="3">
        <v>125.38</v>
      </c>
      <c r="J245" s="3">
        <v>91.15</v>
      </c>
      <c r="K245" s="3">
        <v>142.65</v>
      </c>
      <c r="L245" s="3">
        <v>140.79</v>
      </c>
      <c r="M245" s="3">
        <v>121.28</v>
      </c>
      <c r="N245" s="3">
        <v>145.1</v>
      </c>
      <c r="O245" s="5">
        <v>131</v>
      </c>
      <c r="P245" s="52">
        <v>136.09100000000001</v>
      </c>
      <c r="Q245" s="52">
        <v>82.432000000000002</v>
      </c>
      <c r="R245" s="52">
        <v>63.808999999999997</v>
      </c>
      <c r="S245" s="52">
        <v>126.229</v>
      </c>
      <c r="T245" s="52">
        <v>114.42</v>
      </c>
      <c r="U245" s="52">
        <v>152.31100000000001</v>
      </c>
      <c r="V245" s="52">
        <v>158.624</v>
      </c>
      <c r="W245" s="52">
        <v>154.977</v>
      </c>
      <c r="X245" s="3">
        <v>18242.541498315692</v>
      </c>
      <c r="Y245" s="3">
        <v>26596.9</v>
      </c>
      <c r="Z245" s="3">
        <v>38206.42</v>
      </c>
      <c r="AA245" s="4">
        <v>20004</v>
      </c>
      <c r="AB245" s="4">
        <v>12555</v>
      </c>
      <c r="AC245" s="5" t="e">
        <v>#N/A</v>
      </c>
      <c r="AD245" s="5" t="e">
        <v>#N/A</v>
      </c>
      <c r="AE245" s="34">
        <v>76.802928064555005</v>
      </c>
      <c r="AF245" s="28">
        <v>53.744100000000003</v>
      </c>
      <c r="AG245" s="28">
        <v>52.739400000000003</v>
      </c>
      <c r="AH245" s="28">
        <v>53.252000000000002</v>
      </c>
      <c r="AI245" s="28">
        <v>54.799799999999998</v>
      </c>
      <c r="AJ245" s="28">
        <v>53.827300000000001</v>
      </c>
      <c r="AK245" s="28">
        <v>52.008600000000001</v>
      </c>
      <c r="AL245" s="28">
        <v>49.9846</v>
      </c>
      <c r="AM245" s="28">
        <v>49.872100000000003</v>
      </c>
      <c r="AN245" s="28">
        <v>53.164499999999997</v>
      </c>
      <c r="AO245" s="28">
        <v>50.6248</v>
      </c>
      <c r="AP245" s="28">
        <v>45.416400000000003</v>
      </c>
      <c r="AQ245" s="28">
        <v>51.498800000000003</v>
      </c>
      <c r="AR245" s="28">
        <v>53.329900000000002</v>
      </c>
      <c r="AS245" s="28">
        <v>50.6342</v>
      </c>
      <c r="AT245" s="28">
        <v>1.1852</v>
      </c>
      <c r="AU245" s="28">
        <v>52.112699999999997</v>
      </c>
      <c r="AV245" s="28">
        <v>51.982399999999998</v>
      </c>
      <c r="AW245" s="28">
        <v>54.166200000000003</v>
      </c>
      <c r="AX245" s="28">
        <v>55.656799999999997</v>
      </c>
      <c r="AY245" s="28">
        <v>52.52</v>
      </c>
      <c r="AZ245" s="28">
        <v>51.215000000000003</v>
      </c>
      <c r="BA245" s="3">
        <v>41054.449999999997</v>
      </c>
      <c r="BB245" s="3"/>
      <c r="BF245">
        <v>1347342</v>
      </c>
      <c r="BG245">
        <v>71932</v>
      </c>
      <c r="BH245">
        <v>1816275</v>
      </c>
      <c r="BI245">
        <v>301859</v>
      </c>
      <c r="BJ245" s="3">
        <v>24332.82</v>
      </c>
      <c r="BK245" s="3">
        <v>27943.72</v>
      </c>
      <c r="BL245" s="3">
        <v>23706</v>
      </c>
      <c r="BM245" s="3">
        <v>87373.46</v>
      </c>
      <c r="BN245" s="3">
        <v>27357.439999999999</v>
      </c>
      <c r="BO245" s="3">
        <v>38611.269999999997</v>
      </c>
      <c r="BP245" s="28">
        <v>71.192599999999999</v>
      </c>
      <c r="BU245" s="4">
        <v>84722</v>
      </c>
    </row>
    <row r="246" spans="1:73" x14ac:dyDescent="0.25">
      <c r="A246" t="s">
        <v>709</v>
      </c>
      <c r="B246" s="2">
        <v>43861</v>
      </c>
      <c r="C246" s="3">
        <v>5.15</v>
      </c>
      <c r="E246" s="34">
        <v>91.748130000000003</v>
      </c>
      <c r="F246" s="5">
        <v>150.19999999999999</v>
      </c>
      <c r="G246" s="5">
        <v>149.69999999999999</v>
      </c>
      <c r="X246" s="3">
        <v>18328.863359391551</v>
      </c>
      <c r="Y246" s="3">
        <v>26738.22</v>
      </c>
      <c r="Z246" s="3">
        <v>42064</v>
      </c>
      <c r="AC246" s="5">
        <v>83.7</v>
      </c>
      <c r="AD246" s="5">
        <v>115.1</v>
      </c>
      <c r="AE246" s="34">
        <v>54.343976552085557</v>
      </c>
      <c r="AF246" s="28">
        <v>56.2806</v>
      </c>
      <c r="AG246" s="28">
        <v>55.3125</v>
      </c>
      <c r="AH246" s="28">
        <v>55.538600000000002</v>
      </c>
      <c r="AI246" s="28">
        <v>57.929099999999998</v>
      </c>
      <c r="AJ246" s="28">
        <v>57.850900000000003</v>
      </c>
      <c r="AK246" s="28">
        <v>53.922800000000002</v>
      </c>
      <c r="AL246" s="28">
        <v>50.1556</v>
      </c>
      <c r="AM246" s="28">
        <v>52.136699999999998</v>
      </c>
      <c r="AN246" s="28">
        <v>52.766800000000003</v>
      </c>
      <c r="AO246" s="28">
        <v>53.242600000000003</v>
      </c>
      <c r="AP246" s="28">
        <v>45.869</v>
      </c>
      <c r="AQ246" s="28">
        <v>54.531199999999998</v>
      </c>
      <c r="AR246" s="28">
        <v>52.857999999999997</v>
      </c>
      <c r="AS246" s="28">
        <v>49.877000000000002</v>
      </c>
      <c r="AT246" s="28">
        <v>1.2612000000000001</v>
      </c>
      <c r="AU246" s="28">
        <v>51.982900000000001</v>
      </c>
      <c r="AV246" s="28">
        <v>52.3157</v>
      </c>
      <c r="AW246" s="28">
        <v>56.1006</v>
      </c>
      <c r="AX246" s="28">
        <v>56.451000000000001</v>
      </c>
      <c r="AY246" s="28">
        <v>48.939500000000002</v>
      </c>
      <c r="AZ246" s="28">
        <v>51.048099999999998</v>
      </c>
      <c r="BA246" s="3">
        <v>41360.949999999997</v>
      </c>
      <c r="BF246">
        <v>1645492</v>
      </c>
      <c r="BG246">
        <v>80688</v>
      </c>
      <c r="BH246">
        <v>2136679</v>
      </c>
      <c r="BI246">
        <v>306238</v>
      </c>
      <c r="BN246" s="3">
        <v>25970</v>
      </c>
      <c r="BO246" s="3">
        <v>41140</v>
      </c>
      <c r="BP246" s="28">
        <v>71.313800000000001</v>
      </c>
      <c r="BU246" s="4">
        <v>84037</v>
      </c>
    </row>
    <row r="247" spans="1:73" x14ac:dyDescent="0.25">
      <c r="A247" t="s">
        <v>710</v>
      </c>
      <c r="B247" s="2">
        <v>43890</v>
      </c>
      <c r="C247" s="3">
        <v>5.15</v>
      </c>
    </row>
  </sheetData>
  <hyperlinks>
    <hyperlink ref="AD2" r:id="rId1" display="S134M@MKTPMI" xr:uid="{C2169CCB-9337-4578-BD56-D446C409CE06}"/>
    <hyperlink ref="E2" r:id="rId2" display="N542XJCB@EMERGEPR" xr:uid="{02C4D812-709C-49E7-B1D2-87E283CDAC99}"/>
    <hyperlink ref="L2" r:id="rId3" display="S542ELPW@EMERGEPR" xr:uid="{94438ADB-5B37-4564-A8FA-61687491A132}"/>
    <hyperlink ref="X2" r:id="rId4" display="H542IM@EMERGEPR" xr:uid="{43F154BC-C7F4-4E95-88A1-167B5B87D791}"/>
    <hyperlink ref="U3" r:id="rId5" display="S542BCGX@EMERGEPR" xr:uid="{7932A993-6532-4F3A-AA67-BD65F554A519}"/>
    <hyperlink ref="AJ2" r:id="rId6" display="S542TS26@EMERGEPR" xr:uid="{3F9E4F65-0272-427F-AEBE-E38A31C681BB}"/>
    <hyperlink ref="AI2" r:id="rId7" display="S542TSM@EMERGEPR" xr:uid="{C51BD480-FD44-4C25-AB06-82C2D771BA60}"/>
    <hyperlink ref="AK2" r:id="rId8" display="S542S26S@EMERGEPR" xr:uid="{F033739F-6D56-41C9-9497-B19CCE30AEE3}"/>
    <hyperlink ref="AL2" r:id="rId9" display="H542VLCC@EMERGEPR" xr:uid="{ABE81472-350C-4477-92E9-0595F8BB4A0F}"/>
    <hyperlink ref="AA2" r:id="rId10" display="JPEWSSC@JAPAN" xr:uid="{E89C8985-4748-4613-817B-2805EC7E9847}"/>
    <hyperlink ref="AM2" r:id="rId11" display="SM225@JAPAN" xr:uid="{5FEE672C-B00A-48D2-A466-7A2CB285E9F3}"/>
    <hyperlink ref="AC2" r:id="rId12" display="S542M@MKTPMI" xr:uid="{888B2F80-00AB-44D3-9966-2A8F98A95D36}"/>
    <hyperlink ref="BA2" r:id="rId13" xr:uid="{13DB3CAF-11C6-40BD-A507-8C4F0DEFAFA6}"/>
    <hyperlink ref="BM2" r:id="rId14" xr:uid="{67A122A3-05FE-491D-A913-770E80F41081}"/>
    <hyperlink ref="BN2" r:id="rId15" display="N534XUSV@EMERGEPR" xr:uid="{EC8211F9-841C-40B8-B349-3DBC305195AB}"/>
    <hyperlink ref="BU2" r:id="rId16" xr:uid="{6689BEF4-EF70-46F5-9C74-EFB51264AFE7}"/>
  </hyperlinks>
  <pageMargins left="0.7" right="0.7" top="0.75" bottom="0.75" header="0.3" footer="0.3"/>
  <pageSetup orientation="portrait" r:id="rId1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157D-E9A8-43EB-9400-32490265A7AD}">
  <sheetPr>
    <tabColor rgb="FFFFC000"/>
  </sheetPr>
  <dimension ref="A1:W89"/>
  <sheetViews>
    <sheetView workbookViewId="0">
      <pane xSplit="2" ySplit="5" topLeftCell="C81" activePane="bottomRight" state="frozen"/>
      <selection pane="topRight" activeCell="C1" sqref="C1"/>
      <selection pane="bottomLeft" activeCell="A6" sqref="A6"/>
      <selection pane="bottomRight" activeCell="G93" sqref="G93"/>
    </sheetView>
  </sheetViews>
  <sheetFormatPr defaultRowHeight="15" x14ac:dyDescent="0.25"/>
  <cols>
    <col min="3" max="10" width="12.7109375" customWidth="1"/>
  </cols>
  <sheetData>
    <row r="1" spans="1:23" x14ac:dyDescent="0.25">
      <c r="C1" t="s">
        <v>360</v>
      </c>
      <c r="D1" t="s">
        <v>378</v>
      </c>
      <c r="E1" t="s">
        <v>377</v>
      </c>
      <c r="F1" t="s">
        <v>379</v>
      </c>
      <c r="G1" t="s">
        <v>380</v>
      </c>
      <c r="H1" t="s">
        <v>381</v>
      </c>
      <c r="I1" t="s">
        <v>376</v>
      </c>
      <c r="J1" t="s">
        <v>664</v>
      </c>
      <c r="K1" s="33" t="s">
        <v>665</v>
      </c>
      <c r="L1" s="33" t="s">
        <v>667</v>
      </c>
    </row>
    <row r="2" spans="1:23" x14ac:dyDescent="0.25">
      <c r="A2" s="1" t="s">
        <v>282</v>
      </c>
      <c r="B2" s="1" t="s">
        <v>1</v>
      </c>
      <c r="C2" s="50" t="str">
        <f>"difa%("&amp;O2&amp;")"</f>
        <v>difa%(H534NGPC@EMERGEPR)</v>
      </c>
      <c r="D2" s="50" t="str">
        <f t="shared" ref="D2:F2" si="0">"difa%("&amp;P2&amp;")"</f>
        <v>difa%(H534NCPC@EMERGEPR)</v>
      </c>
      <c r="E2" s="50" t="str">
        <f t="shared" si="0"/>
        <v>difa%(H534NCGC@EMERGEPR)</v>
      </c>
      <c r="F2" s="50" t="str">
        <f t="shared" si="0"/>
        <v>difa%(H534NFC@EMERGEPR)</v>
      </c>
      <c r="G2" s="50" t="str">
        <f>"difa%("&amp;T2&amp;")"</f>
        <v>difa%(H534NXC@EMERGEPR)</v>
      </c>
      <c r="H2" s="50" t="str">
        <f>"difa%("&amp;U2&amp;")"</f>
        <v>difa%(H534NMC@EMERGEPR)</v>
      </c>
      <c r="J2" s="50"/>
      <c r="K2" s="50"/>
      <c r="L2" s="50" t="s">
        <v>668</v>
      </c>
      <c r="M2" s="33"/>
      <c r="N2" s="33"/>
      <c r="O2" s="50" t="s">
        <v>479</v>
      </c>
      <c r="P2" s="33" t="s">
        <v>480</v>
      </c>
      <c r="Q2" t="s">
        <v>481</v>
      </c>
      <c r="R2" s="51" t="s">
        <v>482</v>
      </c>
      <c r="S2" s="33" t="s">
        <v>483</v>
      </c>
      <c r="T2" t="s">
        <v>484</v>
      </c>
      <c r="U2" s="33" t="s">
        <v>485</v>
      </c>
      <c r="V2" t="s">
        <v>486</v>
      </c>
      <c r="W2" s="33" t="s">
        <v>487</v>
      </c>
    </row>
    <row r="3" spans="1:23" s="26" customFormat="1" ht="140.25" x14ac:dyDescent="0.2">
      <c r="A3" s="26" t="s">
        <v>5</v>
      </c>
      <c r="C3" s="26" t="s">
        <v>499</v>
      </c>
      <c r="D3" s="26" t="s">
        <v>500</v>
      </c>
      <c r="E3" s="26" t="s">
        <v>501</v>
      </c>
      <c r="F3" s="26" t="s">
        <v>502</v>
      </c>
      <c r="G3" s="26" t="s">
        <v>503</v>
      </c>
      <c r="H3" s="26" t="s">
        <v>504</v>
      </c>
      <c r="L3" s="26" t="s">
        <v>669</v>
      </c>
      <c r="O3" s="26" t="s">
        <v>489</v>
      </c>
      <c r="P3" s="26" t="s">
        <v>490</v>
      </c>
      <c r="Q3" s="26" t="s">
        <v>491</v>
      </c>
      <c r="R3" s="26" t="s">
        <v>492</v>
      </c>
      <c r="S3" s="26" t="s">
        <v>493</v>
      </c>
      <c r="T3" s="26" t="s">
        <v>494</v>
      </c>
      <c r="U3" s="26" t="s">
        <v>495</v>
      </c>
      <c r="V3" s="26" t="s">
        <v>497</v>
      </c>
      <c r="W3" s="26" t="s">
        <v>498</v>
      </c>
    </row>
    <row r="4" spans="1:23" x14ac:dyDescent="0.25">
      <c r="A4" t="s">
        <v>4</v>
      </c>
      <c r="C4" t="s">
        <v>488</v>
      </c>
      <c r="D4" t="s">
        <v>488</v>
      </c>
      <c r="E4" t="s">
        <v>488</v>
      </c>
      <c r="F4" t="s">
        <v>488</v>
      </c>
      <c r="G4" t="s">
        <v>488</v>
      </c>
      <c r="H4" t="s">
        <v>488</v>
      </c>
      <c r="L4" t="s">
        <v>488</v>
      </c>
      <c r="O4" t="s">
        <v>488</v>
      </c>
      <c r="P4" t="s">
        <v>488</v>
      </c>
      <c r="Q4" t="s">
        <v>488</v>
      </c>
      <c r="R4" t="s">
        <v>488</v>
      </c>
      <c r="S4" t="s">
        <v>488</v>
      </c>
      <c r="T4" t="s">
        <v>488</v>
      </c>
      <c r="U4" t="s">
        <v>488</v>
      </c>
      <c r="V4" t="s">
        <v>496</v>
      </c>
      <c r="W4" t="s">
        <v>496</v>
      </c>
    </row>
    <row r="5" spans="1:23" x14ac:dyDescent="0.25">
      <c r="A5" t="s">
        <v>3</v>
      </c>
      <c r="C5" t="s">
        <v>711</v>
      </c>
      <c r="D5" t="s">
        <v>711</v>
      </c>
      <c r="E5" t="s">
        <v>711</v>
      </c>
      <c r="F5" t="s">
        <v>711</v>
      </c>
      <c r="G5" t="s">
        <v>711</v>
      </c>
      <c r="H5" t="s">
        <v>711</v>
      </c>
      <c r="L5" t="s">
        <v>711</v>
      </c>
      <c r="O5" t="s">
        <v>711</v>
      </c>
      <c r="P5" t="s">
        <v>711</v>
      </c>
      <c r="Q5" t="s">
        <v>711</v>
      </c>
      <c r="R5" t="s">
        <v>711</v>
      </c>
      <c r="S5" t="s">
        <v>711</v>
      </c>
      <c r="T5" t="s">
        <v>711</v>
      </c>
      <c r="U5" t="s">
        <v>711</v>
      </c>
      <c r="V5" t="s">
        <v>711</v>
      </c>
      <c r="W5" t="s">
        <v>711</v>
      </c>
    </row>
    <row r="6" spans="1:23" x14ac:dyDescent="0.25">
      <c r="A6" t="s">
        <v>283</v>
      </c>
      <c r="B6" s="2">
        <v>36616</v>
      </c>
      <c r="C6" s="6">
        <v>0.10298596211193534</v>
      </c>
      <c r="D6" s="6">
        <v>-8.0891713862850323E-2</v>
      </c>
      <c r="E6" s="6">
        <v>-0.27771343074339072</v>
      </c>
      <c r="F6" s="6">
        <v>0.16943464247933959</v>
      </c>
      <c r="G6" s="6">
        <v>0.41846563261480774</v>
      </c>
      <c r="H6" s="6">
        <v>0.40045024998823836</v>
      </c>
      <c r="I6">
        <v>5.3384294616773893</v>
      </c>
      <c r="J6" s="3"/>
      <c r="K6" s="6"/>
      <c r="L6" s="6">
        <v>7.2432585846549324E-2</v>
      </c>
      <c r="M6" s="5"/>
      <c r="O6" s="3">
        <v>9749.07</v>
      </c>
      <c r="P6" s="3">
        <v>5731.11</v>
      </c>
      <c r="Q6" s="3">
        <v>1243.68</v>
      </c>
      <c r="R6" s="3">
        <v>2357.3000000000002</v>
      </c>
      <c r="S6" s="3">
        <v>431.41</v>
      </c>
      <c r="T6" s="3">
        <v>1014.89</v>
      </c>
      <c r="U6" s="3">
        <v>1647.53</v>
      </c>
      <c r="V6" s="3">
        <v>534.19000000000005</v>
      </c>
      <c r="W6" s="3">
        <v>84.02</v>
      </c>
    </row>
    <row r="7" spans="1:23" x14ac:dyDescent="0.25">
      <c r="A7" t="s">
        <v>284</v>
      </c>
      <c r="B7" s="2">
        <v>36707</v>
      </c>
      <c r="C7" s="6">
        <v>8.34679305315289E-3</v>
      </c>
      <c r="D7" s="6">
        <v>-6.9146974152449192E-2</v>
      </c>
      <c r="E7" s="6">
        <v>-3.6477146983315278E-2</v>
      </c>
      <c r="F7" s="6">
        <v>-5.613195647745995E-2</v>
      </c>
      <c r="G7" s="6">
        <v>1.2632193606735953E-2</v>
      </c>
      <c r="H7" s="6">
        <v>-0.4555443563059553</v>
      </c>
      <c r="I7">
        <v>5.0314880030240685</v>
      </c>
      <c r="J7" s="3"/>
      <c r="K7" s="6"/>
      <c r="L7" s="6">
        <v>5.2297761368579554E-2</v>
      </c>
      <c r="M7" s="5"/>
      <c r="O7" s="3">
        <v>9769.35</v>
      </c>
      <c r="P7" s="3">
        <v>5629.36</v>
      </c>
      <c r="Q7" s="3">
        <v>1232.18</v>
      </c>
      <c r="R7" s="3">
        <v>2323.5</v>
      </c>
      <c r="S7" s="3">
        <v>345.84</v>
      </c>
      <c r="T7" s="3">
        <v>1018.08</v>
      </c>
      <c r="U7" s="3">
        <v>1415.22</v>
      </c>
      <c r="V7" s="3">
        <v>555.48</v>
      </c>
      <c r="W7" s="3">
        <v>80.13</v>
      </c>
    </row>
    <row r="8" spans="1:23" x14ac:dyDescent="0.25">
      <c r="A8" t="s">
        <v>285</v>
      </c>
      <c r="B8" s="2">
        <v>36799</v>
      </c>
      <c r="C8" s="6">
        <v>3.716871393500365E-2</v>
      </c>
      <c r="D8" s="6">
        <v>9.820401241665945E-2</v>
      </c>
      <c r="E8" s="6">
        <v>0.22795887773113854</v>
      </c>
      <c r="F8" s="6">
        <v>-2.6654259385824774E-2</v>
      </c>
      <c r="G8" s="6">
        <v>3.837615372256975E-2</v>
      </c>
      <c r="H8" s="6">
        <v>0.3370797754674506</v>
      </c>
      <c r="I8">
        <v>3.1388242329642608</v>
      </c>
      <c r="J8" s="3"/>
      <c r="K8" s="6"/>
      <c r="L8" s="6">
        <v>6.6273571509712692E-2</v>
      </c>
      <c r="M8" s="5"/>
      <c r="O8" s="3">
        <v>9858.89</v>
      </c>
      <c r="P8" s="3">
        <v>5762.75</v>
      </c>
      <c r="Q8" s="3">
        <v>1297.0899999999999</v>
      </c>
      <c r="R8" s="3">
        <v>2307.86</v>
      </c>
      <c r="S8" s="3">
        <v>351.37</v>
      </c>
      <c r="T8" s="3">
        <v>1027.71</v>
      </c>
      <c r="U8" s="3">
        <v>1521.82</v>
      </c>
      <c r="V8" s="3">
        <v>553.09</v>
      </c>
      <c r="W8" s="3">
        <v>80.84</v>
      </c>
    </row>
    <row r="9" spans="1:23" x14ac:dyDescent="0.25">
      <c r="A9" t="s">
        <v>286</v>
      </c>
      <c r="B9" s="2">
        <v>36891</v>
      </c>
      <c r="C9" s="6">
        <v>1.3722709861282434E-2</v>
      </c>
      <c r="D9" s="6">
        <v>0.13472019528434043</v>
      </c>
      <c r="E9" s="6">
        <v>-7.8961033979237372E-2</v>
      </c>
      <c r="F9" s="6">
        <v>-6.3345715881475861E-2</v>
      </c>
      <c r="G9" s="6">
        <v>0.49900806593969249</v>
      </c>
      <c r="H9" s="6">
        <v>0.17153646125351885</v>
      </c>
      <c r="I9">
        <v>2.8316189682368607</v>
      </c>
      <c r="J9" s="3"/>
      <c r="K9" s="6"/>
      <c r="L9" s="6">
        <v>3.8146345563484951E-2</v>
      </c>
      <c r="M9" s="5"/>
      <c r="O9" s="3">
        <v>9892.5400000000009</v>
      </c>
      <c r="P9" s="3">
        <v>5947.74</v>
      </c>
      <c r="Q9" s="3">
        <v>1270.69</v>
      </c>
      <c r="R9" s="3">
        <v>2270.41</v>
      </c>
      <c r="S9" s="3">
        <v>212.98</v>
      </c>
      <c r="T9" s="3">
        <v>1137.1600000000001</v>
      </c>
      <c r="U9" s="3">
        <v>1583.26</v>
      </c>
      <c r="V9" s="3">
        <v>556.22</v>
      </c>
      <c r="W9" s="3">
        <v>80.599999999999994</v>
      </c>
    </row>
    <row r="10" spans="1:23" x14ac:dyDescent="0.25">
      <c r="A10" t="s">
        <v>287</v>
      </c>
      <c r="B10" s="2">
        <v>36981</v>
      </c>
      <c r="C10" s="6">
        <v>7.6315179446240222E-3</v>
      </c>
      <c r="D10" s="6">
        <v>1.8739009159445708E-2</v>
      </c>
      <c r="E10" s="6">
        <v>0.42811470437073768</v>
      </c>
      <c r="F10" s="6">
        <v>-3.8028668007588862E-2</v>
      </c>
      <c r="G10" s="6">
        <v>5.9094445108972771E-2</v>
      </c>
      <c r="H10" s="6">
        <v>-8.5866707479984927E-2</v>
      </c>
      <c r="I10">
        <v>1.8286258170815333</v>
      </c>
      <c r="J10" s="3"/>
      <c r="K10" s="6"/>
      <c r="L10" s="6">
        <v>1.0917663633603913E-2</v>
      </c>
      <c r="M10" s="5"/>
      <c r="O10" s="3">
        <v>9911.36</v>
      </c>
      <c r="P10" s="3">
        <v>5975.41</v>
      </c>
      <c r="Q10" s="3">
        <v>1389.09</v>
      </c>
      <c r="R10" s="3">
        <v>2248.5100000000002</v>
      </c>
      <c r="S10" s="3">
        <v>297.14</v>
      </c>
      <c r="T10" s="3">
        <v>1153.5999999999999</v>
      </c>
      <c r="U10" s="3">
        <v>1548.12</v>
      </c>
      <c r="V10" s="3">
        <v>308.55</v>
      </c>
      <c r="W10" s="3">
        <v>87.18</v>
      </c>
    </row>
    <row r="11" spans="1:23" x14ac:dyDescent="0.25">
      <c r="A11" t="s">
        <v>288</v>
      </c>
      <c r="B11" s="2">
        <v>37072</v>
      </c>
      <c r="C11" s="6">
        <v>9.4898378719643586E-2</v>
      </c>
      <c r="D11" s="6">
        <v>0.10341267560135403</v>
      </c>
      <c r="E11" s="6">
        <v>-0.14356514421490985</v>
      </c>
      <c r="F11" s="6">
        <v>0.34125044705501884</v>
      </c>
      <c r="G11" s="6">
        <v>0.14381383840293438</v>
      </c>
      <c r="H11" s="6">
        <v>0.13768822993176988</v>
      </c>
      <c r="I11">
        <v>1.9835864009062227</v>
      </c>
      <c r="J11" s="3"/>
      <c r="K11" s="6"/>
      <c r="L11" s="6">
        <v>3.841364045688378E-2</v>
      </c>
      <c r="M11" s="5"/>
      <c r="O11" s="3">
        <v>10138.57</v>
      </c>
      <c r="P11" s="3">
        <v>6124.24</v>
      </c>
      <c r="Q11" s="3">
        <v>1336.3</v>
      </c>
      <c r="R11" s="3">
        <v>2419.7600000000002</v>
      </c>
      <c r="S11" s="3">
        <v>253.83</v>
      </c>
      <c r="T11" s="3">
        <v>1193.01</v>
      </c>
      <c r="U11" s="3">
        <v>1598.86</v>
      </c>
      <c r="V11" s="3">
        <v>333.6</v>
      </c>
      <c r="W11" s="3">
        <v>76.69</v>
      </c>
    </row>
    <row r="12" spans="1:23" x14ac:dyDescent="0.25">
      <c r="A12" t="s">
        <v>289</v>
      </c>
      <c r="B12" s="2">
        <v>37164</v>
      </c>
      <c r="C12" s="6">
        <v>3.1243568503757757E-2</v>
      </c>
      <c r="D12" s="6">
        <v>1.7037228471589838E-2</v>
      </c>
      <c r="E12" s="6">
        <v>-0.10329024812648546</v>
      </c>
      <c r="F12" s="6">
        <v>-4.6892376794621334E-2</v>
      </c>
      <c r="G12" s="6">
        <v>-0.30579565723702051</v>
      </c>
      <c r="H12" s="6">
        <v>1.3098135182430637E-2</v>
      </c>
      <c r="I12">
        <v>0.8884061635676046</v>
      </c>
      <c r="J12" s="3"/>
      <c r="K12" s="6"/>
      <c r="L12" s="6">
        <v>4.3623591297255127E-2</v>
      </c>
      <c r="M12" s="5"/>
      <c r="O12" s="3">
        <v>10216.85</v>
      </c>
      <c r="P12" s="3">
        <v>6150.16</v>
      </c>
      <c r="Q12" s="3">
        <v>1300.3699999999999</v>
      </c>
      <c r="R12" s="3">
        <v>2390.88</v>
      </c>
      <c r="S12" s="3">
        <v>226.51</v>
      </c>
      <c r="T12" s="3">
        <v>1088.97</v>
      </c>
      <c r="U12" s="3">
        <v>1604.07</v>
      </c>
      <c r="V12" s="3">
        <v>587.09</v>
      </c>
      <c r="W12" s="3">
        <v>76.94</v>
      </c>
    </row>
    <row r="13" spans="1:23" x14ac:dyDescent="0.25">
      <c r="A13" t="s">
        <v>290</v>
      </c>
      <c r="B13" s="2">
        <v>37256</v>
      </c>
      <c r="C13" s="6">
        <v>0.12925020329535486</v>
      </c>
      <c r="D13" s="6">
        <v>5.9153326935193817E-2</v>
      </c>
      <c r="E13" s="6">
        <v>0.35318164897942572</v>
      </c>
      <c r="F13" s="6">
        <v>0.15527606519868353</v>
      </c>
      <c r="G13" s="6">
        <v>6.8431059848190312E-2</v>
      </c>
      <c r="H13" s="6">
        <v>-0.18175974663787375</v>
      </c>
      <c r="I13">
        <v>1.8425459081979245</v>
      </c>
      <c r="J13" s="3"/>
      <c r="K13" s="6"/>
      <c r="L13" s="6">
        <v>6.2866803339916455E-2</v>
      </c>
      <c r="M13" s="5"/>
      <c r="O13" s="3">
        <v>10532.09</v>
      </c>
      <c r="P13" s="3">
        <v>6239.16</v>
      </c>
      <c r="Q13" s="3">
        <v>1402.51</v>
      </c>
      <c r="R13" s="3">
        <v>2478.73</v>
      </c>
      <c r="S13" s="3">
        <v>202.35</v>
      </c>
      <c r="T13" s="3">
        <v>1107.1400000000001</v>
      </c>
      <c r="U13" s="3">
        <v>1525.61</v>
      </c>
      <c r="V13" s="3">
        <v>549.08000000000004</v>
      </c>
      <c r="W13" s="3">
        <v>78.73</v>
      </c>
    </row>
    <row r="14" spans="1:23" x14ac:dyDescent="0.25">
      <c r="A14" t="s">
        <v>291</v>
      </c>
      <c r="B14" s="2">
        <v>37346</v>
      </c>
      <c r="C14" s="6">
        <v>9.0161958770564876E-3</v>
      </c>
      <c r="D14" s="6">
        <v>1.2663961350600772E-2</v>
      </c>
      <c r="E14" s="6">
        <v>-0.17575370055726158</v>
      </c>
      <c r="F14" s="6">
        <v>7.0197837148045172E-2</v>
      </c>
      <c r="G14" s="6">
        <v>0.26209661453732247</v>
      </c>
      <c r="H14" s="6">
        <v>6.2915773051510859E-2</v>
      </c>
      <c r="I14">
        <v>3.3692313686919055</v>
      </c>
      <c r="J14" s="3"/>
      <c r="K14" s="6"/>
      <c r="L14" s="6">
        <v>6.1150812556243883E-2</v>
      </c>
      <c r="M14" s="5"/>
      <c r="O14" s="3">
        <v>10555.75</v>
      </c>
      <c r="P14" s="3">
        <v>6258.82</v>
      </c>
      <c r="Q14" s="3">
        <v>1336.35</v>
      </c>
      <c r="R14" s="3">
        <v>2521.13</v>
      </c>
      <c r="S14" s="3">
        <v>217.74</v>
      </c>
      <c r="T14" s="3">
        <v>1173.48</v>
      </c>
      <c r="U14" s="3">
        <v>1549.06</v>
      </c>
      <c r="V14" s="3">
        <v>519.15</v>
      </c>
      <c r="W14" s="3">
        <v>78.14</v>
      </c>
    </row>
    <row r="15" spans="1:23" x14ac:dyDescent="0.25">
      <c r="A15" t="s">
        <v>292</v>
      </c>
      <c r="B15" s="2">
        <v>37437</v>
      </c>
      <c r="C15" s="6">
        <v>4.337193514187021E-2</v>
      </c>
      <c r="D15" s="6">
        <v>-1.6841461494528809E-2</v>
      </c>
      <c r="E15" s="6">
        <v>-0.1508282087957461</v>
      </c>
      <c r="F15" s="6">
        <v>1.0656611493461865E-2</v>
      </c>
      <c r="G15" s="6">
        <v>1.0994839029976049</v>
      </c>
      <c r="H15" s="6">
        <v>0.11644551013405424</v>
      </c>
      <c r="I15">
        <v>4.3446295570929898</v>
      </c>
      <c r="J15" s="3"/>
      <c r="K15" s="6"/>
      <c r="L15" s="6">
        <v>5.07238186497454E-2</v>
      </c>
      <c r="M15" s="5"/>
      <c r="O15" s="3">
        <v>10668.39</v>
      </c>
      <c r="P15" s="3">
        <v>6232.3</v>
      </c>
      <c r="Q15" s="3">
        <v>1282.83</v>
      </c>
      <c r="R15" s="3">
        <v>2527.8200000000002</v>
      </c>
      <c r="S15" s="3">
        <v>325.16000000000003</v>
      </c>
      <c r="T15" s="3">
        <v>1412.55</v>
      </c>
      <c r="U15" s="3">
        <v>1592.31</v>
      </c>
      <c r="V15" s="3">
        <v>412.46</v>
      </c>
      <c r="W15" s="3">
        <v>67.58</v>
      </c>
    </row>
    <row r="16" spans="1:23" x14ac:dyDescent="0.25">
      <c r="A16" t="s">
        <v>293</v>
      </c>
      <c r="B16" s="2">
        <v>37529</v>
      </c>
      <c r="C16" s="6">
        <v>1.3429589350524296E-3</v>
      </c>
      <c r="D16" s="6">
        <v>3.0140818031562322E-2</v>
      </c>
      <c r="E16" s="6">
        <v>4.1187860004427534E-2</v>
      </c>
      <c r="F16" s="6">
        <v>0.10639595649774304</v>
      </c>
      <c r="G16" s="6">
        <v>-0.11997674952768722</v>
      </c>
      <c r="H16" s="6">
        <v>0.2485370582272384</v>
      </c>
      <c r="I16">
        <v>3.4716420664565795</v>
      </c>
      <c r="J16" s="3"/>
      <c r="K16" s="6"/>
      <c r="L16" s="6">
        <v>5.3333460938064903E-2</v>
      </c>
      <c r="M16" s="5"/>
      <c r="O16" s="3">
        <v>10671.97</v>
      </c>
      <c r="P16" s="3">
        <v>6278.74</v>
      </c>
      <c r="Q16" s="3">
        <v>1295.8399999999999</v>
      </c>
      <c r="R16" s="3">
        <v>2592.5300000000002</v>
      </c>
      <c r="S16" s="3">
        <v>316.77</v>
      </c>
      <c r="T16" s="3">
        <v>1368.13</v>
      </c>
      <c r="U16" s="3">
        <v>1683.17</v>
      </c>
      <c r="V16" s="3">
        <v>429.4</v>
      </c>
      <c r="W16" s="3">
        <v>73.73</v>
      </c>
    </row>
    <row r="17" spans="1:23" x14ac:dyDescent="0.25">
      <c r="A17" t="s">
        <v>294</v>
      </c>
      <c r="B17" s="2">
        <v>37621</v>
      </c>
      <c r="C17" s="6">
        <v>4.2458984766921448E-2</v>
      </c>
      <c r="D17" s="6">
        <v>8.4560084369452712E-2</v>
      </c>
      <c r="E17" s="6">
        <v>0.23368132626963267</v>
      </c>
      <c r="F17" s="6">
        <v>0.12651077455816928</v>
      </c>
      <c r="G17" s="6">
        <v>3.7891688382832411E-2</v>
      </c>
      <c r="H17" s="6">
        <v>0.14446714790145609</v>
      </c>
      <c r="I17">
        <v>2.4451578194654009</v>
      </c>
      <c r="J17" s="3"/>
      <c r="K17" s="6"/>
      <c r="L17" s="6">
        <v>1.9690116220020037E-2</v>
      </c>
      <c r="M17" s="5"/>
      <c r="O17" s="3">
        <v>10783.49</v>
      </c>
      <c r="P17" s="3">
        <v>6407.46</v>
      </c>
      <c r="Q17" s="3">
        <v>1365.69</v>
      </c>
      <c r="R17" s="3">
        <v>2670.9</v>
      </c>
      <c r="S17" s="3">
        <v>319.45999999999998</v>
      </c>
      <c r="T17" s="3">
        <v>1380.91</v>
      </c>
      <c r="U17" s="3">
        <v>1740.92</v>
      </c>
      <c r="V17" s="3">
        <v>301.44</v>
      </c>
      <c r="W17" s="3">
        <v>78.55</v>
      </c>
    </row>
    <row r="18" spans="1:23" x14ac:dyDescent="0.25">
      <c r="A18" t="s">
        <v>295</v>
      </c>
      <c r="B18" s="2">
        <v>37711</v>
      </c>
      <c r="C18" s="6">
        <v>4.2135512415587772E-2</v>
      </c>
      <c r="D18" s="6">
        <v>7.571094732227035E-2</v>
      </c>
      <c r="E18" s="6">
        <v>6.9825428729743066E-2</v>
      </c>
      <c r="F18" s="6">
        <v>1.198636416463561E-3</v>
      </c>
      <c r="G18" s="6">
        <v>5.9385059092040393E-2</v>
      </c>
      <c r="H18" s="6">
        <v>0.45311557231811506</v>
      </c>
      <c r="I18">
        <v>2.9898158398715742</v>
      </c>
      <c r="J18" s="3"/>
      <c r="K18" s="6"/>
      <c r="L18" s="6">
        <v>3.0951229931585278E-2</v>
      </c>
      <c r="M18" s="5"/>
      <c r="O18" s="3">
        <v>10895.33</v>
      </c>
      <c r="P18" s="3">
        <v>6525.44</v>
      </c>
      <c r="Q18" s="3">
        <v>1388.93</v>
      </c>
      <c r="R18" s="3">
        <v>2671.7</v>
      </c>
      <c r="S18" s="3">
        <v>334.48</v>
      </c>
      <c r="T18" s="3">
        <v>1400.97</v>
      </c>
      <c r="U18" s="3">
        <v>1911.41</v>
      </c>
      <c r="V18" s="3">
        <v>408.12</v>
      </c>
      <c r="W18" s="3">
        <v>77.099999999999994</v>
      </c>
    </row>
    <row r="19" spans="1:23" x14ac:dyDescent="0.25">
      <c r="A19" t="s">
        <v>296</v>
      </c>
      <c r="B19" s="2">
        <v>37802</v>
      </c>
      <c r="C19" s="6">
        <v>0.11922763987267061</v>
      </c>
      <c r="D19" s="6">
        <v>4.7997464361192899E-2</v>
      </c>
      <c r="E19" s="6">
        <v>-5.0950204610027312E-2</v>
      </c>
      <c r="F19" s="6">
        <v>0.20048911855478568</v>
      </c>
      <c r="G19" s="6">
        <v>-2.2056908737646097E-2</v>
      </c>
      <c r="H19" s="6">
        <v>2.8894129160743187E-2</v>
      </c>
      <c r="I19">
        <v>2.7005226841632526</v>
      </c>
      <c r="J19" s="3"/>
      <c r="K19" s="6"/>
      <c r="L19" s="6">
        <v>4.9034773660396658E-2</v>
      </c>
      <c r="M19" s="5"/>
      <c r="O19" s="3">
        <v>11206.5</v>
      </c>
      <c r="P19" s="3">
        <v>6602.37</v>
      </c>
      <c r="Q19" s="3">
        <v>1370.89</v>
      </c>
      <c r="R19" s="3">
        <v>2796.58</v>
      </c>
      <c r="S19" s="3">
        <v>297.67</v>
      </c>
      <c r="T19" s="3">
        <v>1393.18</v>
      </c>
      <c r="U19" s="3">
        <v>1925.07</v>
      </c>
      <c r="V19" s="3">
        <v>548.99</v>
      </c>
      <c r="W19" s="3">
        <v>121.89</v>
      </c>
    </row>
    <row r="20" spans="1:23" x14ac:dyDescent="0.25">
      <c r="A20" t="s">
        <v>297</v>
      </c>
      <c r="B20" s="2">
        <v>37894</v>
      </c>
      <c r="C20" s="6">
        <v>9.3019883321056054E-2</v>
      </c>
      <c r="D20" s="6">
        <v>2.2740875692611073E-2</v>
      </c>
      <c r="E20" s="6">
        <v>0.46888657912895404</v>
      </c>
      <c r="F20" s="6">
        <v>0.2868677545239009</v>
      </c>
      <c r="G20" s="6">
        <v>-0.14168377357120754</v>
      </c>
      <c r="H20" s="6">
        <v>3.974645363882634E-2</v>
      </c>
      <c r="I20">
        <v>6.3961061004274287</v>
      </c>
      <c r="J20" s="3"/>
      <c r="K20" s="6"/>
      <c r="L20" s="6">
        <v>8.1047166297010018E-2</v>
      </c>
      <c r="M20" s="5"/>
      <c r="O20" s="3">
        <v>11458.48</v>
      </c>
      <c r="P20" s="3">
        <v>6639.59</v>
      </c>
      <c r="Q20" s="3">
        <v>1509.21</v>
      </c>
      <c r="R20" s="3">
        <v>2978.59</v>
      </c>
      <c r="S20" s="3">
        <v>303.45</v>
      </c>
      <c r="T20" s="3">
        <v>1340.97</v>
      </c>
      <c r="U20" s="3">
        <v>1943.92</v>
      </c>
      <c r="V20" s="3">
        <v>516.23</v>
      </c>
      <c r="W20" s="3">
        <v>114.36</v>
      </c>
    </row>
    <row r="21" spans="1:23" x14ac:dyDescent="0.25">
      <c r="A21" t="s">
        <v>298</v>
      </c>
      <c r="B21" s="2">
        <v>37986</v>
      </c>
      <c r="C21" s="6">
        <v>0.22636290649351529</v>
      </c>
      <c r="D21" s="6">
        <v>0.1116906457266289</v>
      </c>
      <c r="E21" s="6">
        <v>-0.31618787252950209</v>
      </c>
      <c r="F21" s="6">
        <v>-5.3705871862386179E-4</v>
      </c>
      <c r="G21" s="6">
        <v>0.56295845506744402</v>
      </c>
      <c r="H21" s="6">
        <v>0.12603145284990491</v>
      </c>
      <c r="I21">
        <v>6.1926394791764041</v>
      </c>
      <c r="J21" s="3"/>
      <c r="K21" s="6"/>
      <c r="L21" s="6">
        <v>0.11219806322919057</v>
      </c>
      <c r="M21" s="5"/>
      <c r="O21" s="3">
        <v>12058.18</v>
      </c>
      <c r="P21" s="3">
        <v>6817.69</v>
      </c>
      <c r="Q21" s="3">
        <v>1372.41</v>
      </c>
      <c r="R21" s="3">
        <v>2978.19</v>
      </c>
      <c r="S21" s="3">
        <v>311.39999999999998</v>
      </c>
      <c r="T21" s="3">
        <v>1499.36</v>
      </c>
      <c r="U21" s="3">
        <v>2002.47</v>
      </c>
      <c r="V21" s="3">
        <v>958.17</v>
      </c>
      <c r="W21" s="3">
        <v>123.43</v>
      </c>
    </row>
    <row r="22" spans="1:23" x14ac:dyDescent="0.25">
      <c r="A22" t="s">
        <v>299</v>
      </c>
      <c r="B22" s="2">
        <v>38077</v>
      </c>
      <c r="C22" s="6">
        <v>-7.1301462072243083E-2</v>
      </c>
      <c r="D22" s="6">
        <v>3.1676256315433138E-2</v>
      </c>
      <c r="E22" s="6">
        <v>-0.21693757400138902</v>
      </c>
      <c r="F22" s="6">
        <v>0.21164018663717221</v>
      </c>
      <c r="G22" s="6">
        <v>0.3894209830481119</v>
      </c>
      <c r="H22" s="6">
        <v>0.51956885859119284</v>
      </c>
      <c r="I22">
        <v>4.1882745849781395</v>
      </c>
      <c r="J22" s="3"/>
      <c r="K22" s="6"/>
      <c r="L22" s="6">
        <v>8.8767500743402117E-2</v>
      </c>
      <c r="M22" s="5"/>
      <c r="O22" s="3">
        <v>11837.24</v>
      </c>
      <c r="P22" s="3">
        <v>6871.05</v>
      </c>
      <c r="Q22" s="3">
        <v>1291.02</v>
      </c>
      <c r="R22" s="3">
        <v>3124.61</v>
      </c>
      <c r="S22" s="3">
        <v>326.49</v>
      </c>
      <c r="T22" s="3">
        <v>1627.85</v>
      </c>
      <c r="U22" s="3">
        <v>2223.29</v>
      </c>
      <c r="V22" s="3">
        <v>685.01</v>
      </c>
      <c r="W22" s="3">
        <v>134.5</v>
      </c>
    </row>
    <row r="23" spans="1:23" x14ac:dyDescent="0.25">
      <c r="A23" t="s">
        <v>300</v>
      </c>
      <c r="B23" s="2">
        <v>38168</v>
      </c>
      <c r="C23" s="6">
        <v>0.11643904642240856</v>
      </c>
      <c r="D23" s="6">
        <v>-5.6683659810214504E-2</v>
      </c>
      <c r="E23" s="6">
        <v>0.42615544004774941</v>
      </c>
      <c r="F23" s="6">
        <v>0.24131653114080986</v>
      </c>
      <c r="G23" s="6">
        <v>0.71558615706097695</v>
      </c>
      <c r="H23" s="6">
        <v>-0.55216594245079464</v>
      </c>
      <c r="I23">
        <v>4.2812152353266804</v>
      </c>
      <c r="J23" s="3"/>
      <c r="K23" s="6"/>
      <c r="L23" s="6">
        <v>8.2754002081690606E-2</v>
      </c>
      <c r="M23" s="5"/>
      <c r="O23" s="3">
        <v>12167.72</v>
      </c>
      <c r="P23" s="3">
        <v>6771.54</v>
      </c>
      <c r="Q23" s="3">
        <v>1410.83</v>
      </c>
      <c r="R23" s="3">
        <v>3298.12</v>
      </c>
      <c r="S23" s="3">
        <v>398.88</v>
      </c>
      <c r="T23" s="3">
        <v>1863.02</v>
      </c>
      <c r="U23" s="3">
        <v>1818.76</v>
      </c>
      <c r="V23" s="3">
        <v>63.23</v>
      </c>
      <c r="W23" s="3">
        <v>180.86</v>
      </c>
    </row>
    <row r="24" spans="1:23" x14ac:dyDescent="0.25">
      <c r="A24" t="s">
        <v>301</v>
      </c>
      <c r="B24" s="2">
        <v>38260</v>
      </c>
      <c r="C24" s="6">
        <v>0.10029358910052499</v>
      </c>
      <c r="D24" s="6">
        <v>0.12049136677578097</v>
      </c>
      <c r="E24" s="6">
        <v>-0.16391184268101669</v>
      </c>
      <c r="F24" s="6">
        <v>0.18655720817915977</v>
      </c>
      <c r="G24" s="6">
        <v>0.79629427225922012</v>
      </c>
      <c r="H24" s="6">
        <v>1.2643087073417747</v>
      </c>
      <c r="I24">
        <v>4.3521383320630518</v>
      </c>
      <c r="J24" s="3"/>
      <c r="K24" s="6"/>
      <c r="L24" s="6">
        <v>9.4637766017550806E-2</v>
      </c>
      <c r="M24" s="5"/>
      <c r="O24" s="3">
        <v>12461.96</v>
      </c>
      <c r="P24" s="3">
        <v>6966.9</v>
      </c>
      <c r="Q24" s="3">
        <v>1349.08</v>
      </c>
      <c r="R24" s="3">
        <v>3442.22</v>
      </c>
      <c r="S24" s="3">
        <v>420.57</v>
      </c>
      <c r="T24" s="3">
        <v>2156.81</v>
      </c>
      <c r="U24" s="3">
        <v>2231.0500000000002</v>
      </c>
      <c r="V24" s="3">
        <v>168.53</v>
      </c>
      <c r="W24" s="3">
        <v>188.9</v>
      </c>
    </row>
    <row r="25" spans="1:23" x14ac:dyDescent="0.25">
      <c r="A25" t="s">
        <v>302</v>
      </c>
      <c r="B25" s="2">
        <v>38352</v>
      </c>
      <c r="C25" s="6">
        <v>7.2016504635045164E-2</v>
      </c>
      <c r="D25" s="6">
        <v>1.762670429721136E-2</v>
      </c>
      <c r="E25" s="6">
        <v>-7.0675019768250413E-3</v>
      </c>
      <c r="F25" s="6">
        <v>0.13580821317854586</v>
      </c>
      <c r="G25" s="6">
        <v>0.24632311852039712</v>
      </c>
      <c r="H25" s="6">
        <v>0.58021508367482943</v>
      </c>
      <c r="I25">
        <v>3.8515878041264604</v>
      </c>
      <c r="J25" s="3"/>
      <c r="K25" s="6"/>
      <c r="L25" s="6">
        <v>4.4764554897210207E-2</v>
      </c>
      <c r="M25" s="5"/>
      <c r="O25" s="3">
        <v>12680.51</v>
      </c>
      <c r="P25" s="3">
        <v>6997.4</v>
      </c>
      <c r="Q25" s="3">
        <v>1346.69</v>
      </c>
      <c r="R25" s="3">
        <v>3553.57</v>
      </c>
      <c r="S25" s="3">
        <v>436.67</v>
      </c>
      <c r="T25" s="3">
        <v>2278.87</v>
      </c>
      <c r="U25" s="3">
        <v>2501.4299999999998</v>
      </c>
      <c r="V25" s="3">
        <v>370.9</v>
      </c>
      <c r="W25" s="3">
        <v>197.84</v>
      </c>
    </row>
    <row r="26" spans="1:23" x14ac:dyDescent="0.25">
      <c r="A26" t="s">
        <v>303</v>
      </c>
      <c r="B26" s="2">
        <v>38442</v>
      </c>
      <c r="C26" s="6">
        <v>7.8450694807623789E-2</v>
      </c>
      <c r="D26" s="6">
        <v>0.10587349592946049</v>
      </c>
      <c r="E26" s="6">
        <v>0.48409109259641059</v>
      </c>
      <c r="F26" s="6">
        <v>0.21382813210015741</v>
      </c>
      <c r="G26" s="6">
        <v>0.4237859688885417</v>
      </c>
      <c r="H26" s="6">
        <v>8.3775760802302202E-2</v>
      </c>
      <c r="I26">
        <v>5.0662018255773376</v>
      </c>
      <c r="J26" s="3"/>
      <c r="K26" s="6"/>
      <c r="L26" s="6">
        <v>9.5539224202365158E-2</v>
      </c>
      <c r="M26" s="5"/>
      <c r="O26" s="3">
        <v>12922.21</v>
      </c>
      <c r="P26" s="3">
        <v>7175.68</v>
      </c>
      <c r="Q26" s="3">
        <v>1486.39</v>
      </c>
      <c r="R26" s="3">
        <v>3729.96</v>
      </c>
      <c r="S26" s="3">
        <v>452.41</v>
      </c>
      <c r="T26" s="3">
        <v>2489.3200000000002</v>
      </c>
      <c r="U26" s="3">
        <v>2552.25</v>
      </c>
      <c r="V26" s="3">
        <v>-71.010000000000005</v>
      </c>
      <c r="W26" s="3">
        <v>211.71</v>
      </c>
    </row>
    <row r="27" spans="1:23" x14ac:dyDescent="0.25">
      <c r="A27" t="s">
        <v>304</v>
      </c>
      <c r="B27" s="2">
        <v>38533</v>
      </c>
      <c r="C27" s="6">
        <v>0.12568257791062587</v>
      </c>
      <c r="D27" s="6">
        <v>0.14580654919521563</v>
      </c>
      <c r="E27" s="6">
        <v>-0.26470743002489827</v>
      </c>
      <c r="F27" s="6">
        <v>0.10392953558977558</v>
      </c>
      <c r="G27" s="6">
        <v>5.9425269898616406E-3</v>
      </c>
      <c r="H27" s="6">
        <v>0.63789790217223996</v>
      </c>
      <c r="I27">
        <v>4.6437110046771126</v>
      </c>
      <c r="J27" s="3"/>
      <c r="K27" s="6"/>
      <c r="L27" s="6">
        <v>9.2238994353758041E-2</v>
      </c>
      <c r="M27" s="5"/>
      <c r="O27" s="3">
        <v>13310.39</v>
      </c>
      <c r="P27" s="3">
        <v>7424.05</v>
      </c>
      <c r="Q27" s="3">
        <v>1376.41</v>
      </c>
      <c r="R27" s="3">
        <v>3823.31</v>
      </c>
      <c r="S27" s="3">
        <v>454.85</v>
      </c>
      <c r="T27" s="3">
        <v>2493.0100000000002</v>
      </c>
      <c r="U27" s="3">
        <v>2887.32</v>
      </c>
      <c r="V27" s="3">
        <v>464.14</v>
      </c>
      <c r="W27" s="3">
        <v>161.94</v>
      </c>
    </row>
    <row r="28" spans="1:23" x14ac:dyDescent="0.25">
      <c r="A28" t="s">
        <v>305</v>
      </c>
      <c r="B28" s="2">
        <v>38625</v>
      </c>
      <c r="C28" s="6">
        <v>5.0976569049209663E-2</v>
      </c>
      <c r="D28" s="6">
        <v>4.760467573367877E-2</v>
      </c>
      <c r="E28" s="6">
        <v>0.84643969360931881</v>
      </c>
      <c r="F28" s="6">
        <v>0.16893806559553817</v>
      </c>
      <c r="G28" s="6">
        <v>0.29196851604978247</v>
      </c>
      <c r="H28" s="6">
        <v>-4.7279378946803681E-2</v>
      </c>
      <c r="I28">
        <v>4.9417302780752026</v>
      </c>
      <c r="J28" s="3"/>
      <c r="K28" s="6"/>
      <c r="L28" s="6">
        <v>8.4437327618639882E-2</v>
      </c>
      <c r="M28" s="5"/>
      <c r="O28" s="3">
        <v>13476.87</v>
      </c>
      <c r="P28" s="3">
        <v>7510.87</v>
      </c>
      <c r="Q28" s="3">
        <v>1604.47</v>
      </c>
      <c r="R28" s="3">
        <v>3975.46</v>
      </c>
      <c r="S28" s="3">
        <v>471.39</v>
      </c>
      <c r="T28" s="3">
        <v>2657.89</v>
      </c>
      <c r="U28" s="3">
        <v>2852.57</v>
      </c>
      <c r="V28" s="3">
        <v>-80.97</v>
      </c>
      <c r="W28" s="3">
        <v>190.33</v>
      </c>
    </row>
    <row r="29" spans="1:23" x14ac:dyDescent="0.25">
      <c r="A29" t="s">
        <v>306</v>
      </c>
      <c r="B29" s="2">
        <v>38717</v>
      </c>
      <c r="C29" s="6">
        <v>0.12350383372051876</v>
      </c>
      <c r="D29" s="6">
        <v>4.9709927726832692E-2</v>
      </c>
      <c r="E29" s="6">
        <v>5.9215974029580565E-3</v>
      </c>
      <c r="F29" s="6">
        <v>0.20220937950840656</v>
      </c>
      <c r="G29" s="6">
        <v>0.42578412443853275</v>
      </c>
      <c r="H29" s="6">
        <v>0.34738447580315324</v>
      </c>
      <c r="I29">
        <v>5.4978259436570251</v>
      </c>
      <c r="J29" s="3"/>
      <c r="K29" s="6"/>
      <c r="L29" s="6">
        <v>8.9734140623744185E-2</v>
      </c>
      <c r="M29" s="5"/>
      <c r="O29" s="3">
        <v>13874.99</v>
      </c>
      <c r="P29" s="3">
        <v>7602.52</v>
      </c>
      <c r="Q29" s="3">
        <v>1606.84</v>
      </c>
      <c r="R29" s="3">
        <v>4162.7700000000004</v>
      </c>
      <c r="S29" s="3">
        <v>488.08</v>
      </c>
      <c r="T29" s="3">
        <v>2904.36</v>
      </c>
      <c r="U29" s="3">
        <v>3073.33</v>
      </c>
      <c r="V29" s="3">
        <v>-14.56</v>
      </c>
      <c r="W29" s="3">
        <v>198.31</v>
      </c>
    </row>
    <row r="30" spans="1:23" x14ac:dyDescent="0.25">
      <c r="A30" t="s">
        <v>307</v>
      </c>
      <c r="B30" s="2">
        <v>38807</v>
      </c>
      <c r="C30" s="6">
        <v>0.10220413813930396</v>
      </c>
      <c r="D30" s="6">
        <v>9.7981168847443456E-2</v>
      </c>
      <c r="E30" s="6">
        <v>-0.23333776638841519</v>
      </c>
      <c r="F30" s="6">
        <v>0.18581681661244498</v>
      </c>
      <c r="G30" s="6">
        <v>0.2241096606445612</v>
      </c>
      <c r="H30" s="6">
        <v>0.28030440112675437</v>
      </c>
      <c r="I30">
        <v>6.337796311460882</v>
      </c>
      <c r="J30" s="3"/>
      <c r="K30" s="6"/>
      <c r="L30" s="6">
        <v>0.10358083524057005</v>
      </c>
      <c r="M30" s="5"/>
      <c r="O30" s="3">
        <v>14216.68</v>
      </c>
      <c r="P30" s="3">
        <v>7782.27</v>
      </c>
      <c r="Q30" s="3">
        <v>1503.57</v>
      </c>
      <c r="R30" s="3">
        <v>4343.97</v>
      </c>
      <c r="S30" s="3">
        <v>507.77</v>
      </c>
      <c r="T30" s="3">
        <v>3054.96</v>
      </c>
      <c r="U30" s="3">
        <v>3269.17</v>
      </c>
      <c r="V30" s="3">
        <v>74.78</v>
      </c>
      <c r="W30" s="3">
        <v>218.53</v>
      </c>
    </row>
    <row r="31" spans="1:23" x14ac:dyDescent="0.25">
      <c r="A31" t="s">
        <v>308</v>
      </c>
      <c r="B31" s="2">
        <v>38898</v>
      </c>
      <c r="C31" s="6">
        <v>2.969334232612808E-2</v>
      </c>
      <c r="D31" s="6">
        <v>8.9723853136633114E-2</v>
      </c>
      <c r="E31" s="6">
        <v>1.1652096865805568</v>
      </c>
      <c r="F31" s="6">
        <v>-2.3998432490198951E-2</v>
      </c>
      <c r="G31" s="6">
        <v>0.25350666450651183</v>
      </c>
      <c r="H31" s="6">
        <v>0.42167782507987117</v>
      </c>
      <c r="I31">
        <v>4.10360134274414</v>
      </c>
      <c r="J31" s="3"/>
      <c r="K31" s="6"/>
      <c r="L31" s="6">
        <v>7.4061512797709783E-2</v>
      </c>
      <c r="M31" s="5"/>
      <c r="O31" s="3">
        <v>14321.06</v>
      </c>
      <c r="P31" s="3">
        <v>7951.25</v>
      </c>
      <c r="Q31" s="3">
        <v>1823.89</v>
      </c>
      <c r="R31" s="3">
        <v>4317.67</v>
      </c>
      <c r="S31" s="3">
        <v>526.33000000000004</v>
      </c>
      <c r="T31" s="3">
        <v>3232.49</v>
      </c>
      <c r="U31" s="3">
        <v>3569.75</v>
      </c>
      <c r="V31" s="3">
        <v>-167.24</v>
      </c>
      <c r="W31" s="3">
        <v>206.42</v>
      </c>
    </row>
    <row r="32" spans="1:23" x14ac:dyDescent="0.25">
      <c r="A32" t="s">
        <v>309</v>
      </c>
      <c r="B32" s="2">
        <v>38990</v>
      </c>
      <c r="C32" s="6">
        <v>0.14544739007724883</v>
      </c>
      <c r="D32" s="6">
        <v>0.16487547495613478</v>
      </c>
      <c r="E32" s="6">
        <v>-0.61436986843342645</v>
      </c>
      <c r="F32" s="6">
        <v>9.9308634902606455E-2</v>
      </c>
      <c r="G32" s="6">
        <v>0.325708636718129</v>
      </c>
      <c r="H32" s="6">
        <v>0.19822064110560647</v>
      </c>
      <c r="I32">
        <v>4.2690384444887473</v>
      </c>
      <c r="J32" s="3"/>
      <c r="K32" s="6"/>
      <c r="L32" s="6">
        <v>0.10238845022534558</v>
      </c>
      <c r="M32" s="5"/>
      <c r="O32" s="3">
        <v>14815.59</v>
      </c>
      <c r="P32" s="3">
        <v>8260.48</v>
      </c>
      <c r="Q32" s="3">
        <v>1437.28</v>
      </c>
      <c r="R32" s="3">
        <v>4421.09</v>
      </c>
      <c r="S32" s="3">
        <v>550.96</v>
      </c>
      <c r="T32" s="3">
        <v>3468.56</v>
      </c>
      <c r="U32" s="3">
        <v>3734.84</v>
      </c>
      <c r="V32" s="3">
        <v>205.68</v>
      </c>
      <c r="W32" s="3">
        <v>206.38</v>
      </c>
    </row>
    <row r="33" spans="1:23" x14ac:dyDescent="0.25">
      <c r="A33" t="s">
        <v>310</v>
      </c>
      <c r="B33" s="2">
        <v>39082</v>
      </c>
      <c r="C33" s="6">
        <v>0.11901836176573966</v>
      </c>
      <c r="D33" s="6">
        <v>-1.7285318009054418E-2</v>
      </c>
      <c r="E33" s="6">
        <v>0.1245712286924272</v>
      </c>
      <c r="F33" s="6">
        <v>0.35086427917963414</v>
      </c>
      <c r="G33" s="6">
        <v>-0.21355204903963265</v>
      </c>
      <c r="H33" s="6">
        <v>-0.11321541186557227</v>
      </c>
      <c r="I33">
        <v>6.3659467043571025</v>
      </c>
      <c r="J33" s="3"/>
      <c r="K33" s="6"/>
      <c r="L33" s="6">
        <v>9.4774058022009555E-2</v>
      </c>
      <c r="M33" s="5"/>
      <c r="O33" s="3">
        <v>15238.01</v>
      </c>
      <c r="P33" s="3">
        <v>8224.5499999999993</v>
      </c>
      <c r="Q33" s="3">
        <v>1480.09</v>
      </c>
      <c r="R33" s="3">
        <v>4766.3100000000004</v>
      </c>
      <c r="S33" s="3">
        <v>566.08000000000004</v>
      </c>
      <c r="T33" s="3">
        <v>3266.38</v>
      </c>
      <c r="U33" s="3">
        <v>3624.32</v>
      </c>
      <c r="V33" s="3">
        <v>337.02</v>
      </c>
      <c r="W33" s="3">
        <v>221.9</v>
      </c>
    </row>
    <row r="34" spans="1:23" x14ac:dyDescent="0.25">
      <c r="A34" t="s">
        <v>311</v>
      </c>
      <c r="B34" s="2">
        <v>39172</v>
      </c>
      <c r="C34" s="6">
        <v>9.8116459689369773E-2</v>
      </c>
      <c r="D34" s="6">
        <v>0.11819460124684156</v>
      </c>
      <c r="E34" s="6">
        <v>0.21036954951153075</v>
      </c>
      <c r="F34" s="6">
        <v>0.28129380519516167</v>
      </c>
      <c r="G34" s="6">
        <v>0.26859514105144955</v>
      </c>
      <c r="H34" s="6">
        <v>0.14392825428833578</v>
      </c>
      <c r="I34">
        <v>6.3839834254509444</v>
      </c>
      <c r="J34" s="3"/>
      <c r="K34" s="6"/>
      <c r="L34" s="6">
        <v>9.7997909420706186E-2</v>
      </c>
      <c r="M34" s="5"/>
      <c r="O34" s="3">
        <v>15598.77</v>
      </c>
      <c r="P34" s="3">
        <v>8457.49</v>
      </c>
      <c r="Q34" s="3">
        <v>1552.45</v>
      </c>
      <c r="R34" s="3">
        <v>5071.01</v>
      </c>
      <c r="S34" s="3">
        <v>600.13</v>
      </c>
      <c r="T34" s="3">
        <v>3466.55</v>
      </c>
      <c r="U34" s="3">
        <v>3748.23</v>
      </c>
      <c r="V34" s="3">
        <v>-43.21</v>
      </c>
      <c r="W34" s="3">
        <v>242.58</v>
      </c>
    </row>
    <row r="35" spans="1:23" x14ac:dyDescent="0.25">
      <c r="A35" t="s">
        <v>312</v>
      </c>
      <c r="B35" s="2">
        <v>39263</v>
      </c>
      <c r="C35" s="6">
        <v>6.8821013329470881E-2</v>
      </c>
      <c r="D35" s="6">
        <v>8.8563427728393762E-2</v>
      </c>
      <c r="E35" s="6">
        <v>0.67149541010771996</v>
      </c>
      <c r="F35" s="6">
        <v>5.3988137207204856E-2</v>
      </c>
      <c r="G35" s="6">
        <v>-0.1464682730886222</v>
      </c>
      <c r="H35" s="6">
        <v>-0.12000645017254197</v>
      </c>
      <c r="I35">
        <v>4.9310156149125079</v>
      </c>
      <c r="J35" s="3"/>
      <c r="K35" s="6"/>
      <c r="L35" s="6">
        <v>0.10809488191198359</v>
      </c>
      <c r="M35" s="5"/>
      <c r="O35" s="3">
        <v>15860.49</v>
      </c>
      <c r="P35" s="3">
        <v>8638.83</v>
      </c>
      <c r="Q35" s="3">
        <v>1765.2</v>
      </c>
      <c r="R35" s="3">
        <v>5138.1099999999997</v>
      </c>
      <c r="S35" s="3">
        <v>631.92999999999995</v>
      </c>
      <c r="T35" s="3">
        <v>3331.98</v>
      </c>
      <c r="U35" s="3">
        <v>3630.33</v>
      </c>
      <c r="V35" s="3">
        <v>-198.62</v>
      </c>
      <c r="W35" s="3">
        <v>183.39</v>
      </c>
    </row>
    <row r="36" spans="1:23" x14ac:dyDescent="0.25">
      <c r="A36" t="s">
        <v>313</v>
      </c>
      <c r="B36" s="2">
        <v>39355</v>
      </c>
      <c r="C36" s="6">
        <v>7.1495484760872197E-2</v>
      </c>
      <c r="D36" s="6">
        <v>0.11879213785034981</v>
      </c>
      <c r="E36" s="6">
        <v>-0.20884394010721644</v>
      </c>
      <c r="F36" s="6">
        <v>0.10731067613653365</v>
      </c>
      <c r="G36" s="6">
        <v>0.11246176792423812</v>
      </c>
      <c r="H36" s="6">
        <v>0.15354326890765124</v>
      </c>
      <c r="I36">
        <v>3.9829937795524146</v>
      </c>
      <c r="J36" s="3"/>
      <c r="K36" s="6"/>
      <c r="L36" s="6">
        <v>9.1405119919846456E-2</v>
      </c>
      <c r="M36" s="5"/>
      <c r="O36" s="3">
        <v>16136.68</v>
      </c>
      <c r="P36" s="3">
        <v>8884.69</v>
      </c>
      <c r="Q36" s="3">
        <v>1664.79</v>
      </c>
      <c r="R36" s="3">
        <v>5270.73</v>
      </c>
      <c r="S36" s="3">
        <v>655.37</v>
      </c>
      <c r="T36" s="3">
        <v>3421.95</v>
      </c>
      <c r="U36" s="3">
        <v>3762.31</v>
      </c>
      <c r="V36" s="3">
        <v>-203.01</v>
      </c>
      <c r="W36" s="3">
        <v>204.47</v>
      </c>
    </row>
    <row r="37" spans="1:23" x14ac:dyDescent="0.25">
      <c r="A37" t="s">
        <v>314</v>
      </c>
      <c r="B37" s="2">
        <v>39447</v>
      </c>
      <c r="C37" s="6">
        <v>0.20020568638582525</v>
      </c>
      <c r="D37" s="6">
        <v>9.5980906897627852E-2</v>
      </c>
      <c r="E37" s="6">
        <v>-0.37838932858676011</v>
      </c>
      <c r="F37" s="6">
        <v>0.17377394908500321</v>
      </c>
      <c r="G37" s="6">
        <v>0.33678200564291871</v>
      </c>
      <c r="H37" s="6">
        <v>0.36026825739114687</v>
      </c>
      <c r="I37">
        <v>6.2649672606026776</v>
      </c>
      <c r="J37" s="3"/>
      <c r="K37" s="6"/>
      <c r="L37" s="6">
        <v>0.10547337600767757</v>
      </c>
      <c r="M37" s="5"/>
      <c r="O37" s="3">
        <v>16889.939999999999</v>
      </c>
      <c r="P37" s="3">
        <v>9090.61</v>
      </c>
      <c r="Q37" s="3">
        <v>1478.22</v>
      </c>
      <c r="R37" s="3">
        <v>5486.14</v>
      </c>
      <c r="S37" s="3">
        <v>667.3</v>
      </c>
      <c r="T37" s="3">
        <v>3679.5</v>
      </c>
      <c r="U37" s="3">
        <v>4063.13</v>
      </c>
      <c r="V37" s="3">
        <v>291.52999999999997</v>
      </c>
      <c r="W37" s="3">
        <v>259.77</v>
      </c>
    </row>
    <row r="38" spans="1:23" x14ac:dyDescent="0.25">
      <c r="A38" t="s">
        <v>315</v>
      </c>
      <c r="B38" s="2">
        <v>39538</v>
      </c>
      <c r="C38" s="6">
        <v>2.2542224456230997E-2</v>
      </c>
      <c r="D38" s="6">
        <v>0.11424814698953088</v>
      </c>
      <c r="E38" s="6">
        <v>1.7802599887478947</v>
      </c>
      <c r="F38" s="6">
        <v>0.19629527798819127</v>
      </c>
      <c r="G38" s="6">
        <v>0.14151740341911934</v>
      </c>
      <c r="H38" s="6">
        <v>0.8269042285624405</v>
      </c>
      <c r="I38">
        <v>3.3572284817453424</v>
      </c>
      <c r="J38" s="3"/>
      <c r="K38" s="6"/>
      <c r="L38" s="6">
        <v>8.8254414242445053E-2</v>
      </c>
      <c r="M38" s="5"/>
      <c r="O38" s="3">
        <v>16984.330000000002</v>
      </c>
      <c r="P38" s="3">
        <v>9339.82</v>
      </c>
      <c r="Q38" s="3">
        <v>1908.8</v>
      </c>
      <c r="R38" s="3">
        <v>5737.55</v>
      </c>
      <c r="S38" s="3">
        <v>709.78</v>
      </c>
      <c r="T38" s="3">
        <v>3803.29</v>
      </c>
      <c r="U38" s="3">
        <v>4723.78</v>
      </c>
      <c r="V38" s="3">
        <v>-45.94</v>
      </c>
      <c r="W38" s="3">
        <v>254.81</v>
      </c>
    </row>
    <row r="39" spans="1:23" x14ac:dyDescent="0.25">
      <c r="A39" t="s">
        <v>316</v>
      </c>
      <c r="B39" s="2">
        <v>39629</v>
      </c>
      <c r="C39" s="6">
        <v>3.2655113047689088E-2</v>
      </c>
      <c r="D39" s="6">
        <v>6.5764864945140999E-2</v>
      </c>
      <c r="E39" s="6">
        <v>-0.33901316980292751</v>
      </c>
      <c r="F39" s="6">
        <v>4.57236770017031E-2</v>
      </c>
      <c r="G39" s="6">
        <v>0.57076575475320968</v>
      </c>
      <c r="H39" s="6">
        <v>0.11642832637106061</v>
      </c>
      <c r="I39">
        <v>2.1671685012006665</v>
      </c>
      <c r="J39" s="3"/>
      <c r="K39" s="6"/>
      <c r="L39" s="6">
        <v>8.0841072087103991E-2</v>
      </c>
      <c r="M39" s="5"/>
      <c r="O39" s="3">
        <v>17121.32</v>
      </c>
      <c r="P39" s="3">
        <v>9489.73</v>
      </c>
      <c r="Q39" s="3">
        <v>1721.11</v>
      </c>
      <c r="R39" s="3">
        <v>5802.04</v>
      </c>
      <c r="S39" s="3">
        <v>430.87</v>
      </c>
      <c r="T39" s="3">
        <v>4257.82</v>
      </c>
      <c r="U39" s="3">
        <v>4855.6499999999996</v>
      </c>
      <c r="V39" s="3">
        <v>-24.75</v>
      </c>
      <c r="W39" s="3">
        <v>300.14999999999998</v>
      </c>
    </row>
    <row r="40" spans="1:23" x14ac:dyDescent="0.25">
      <c r="A40" t="s">
        <v>317</v>
      </c>
      <c r="B40" s="2">
        <v>39721</v>
      </c>
      <c r="C40" s="6">
        <v>1.0957448994350916E-2</v>
      </c>
      <c r="D40" s="6">
        <v>1.253088765445165E-2</v>
      </c>
      <c r="E40" s="6">
        <v>1.4088033231382635E-2</v>
      </c>
      <c r="F40" s="6">
        <v>-1.6797541218212864E-2</v>
      </c>
      <c r="G40" s="6">
        <v>0.13337781973201035</v>
      </c>
      <c r="H40" s="6">
        <v>0.65682394783514431</v>
      </c>
      <c r="I40">
        <v>-0.27144356067218411</v>
      </c>
      <c r="J40" s="3"/>
      <c r="K40" s="6"/>
      <c r="L40" s="6">
        <v>6.7353952339417322E-2</v>
      </c>
      <c r="M40" s="5"/>
      <c r="O40" s="3">
        <v>17168.03</v>
      </c>
      <c r="P40" s="3">
        <v>9519.32</v>
      </c>
      <c r="Q40" s="3">
        <v>1727.14</v>
      </c>
      <c r="R40" s="3">
        <v>5777.52</v>
      </c>
      <c r="S40" s="3">
        <v>448.86</v>
      </c>
      <c r="T40" s="3">
        <v>4393.2</v>
      </c>
      <c r="U40" s="3">
        <v>5508.92</v>
      </c>
      <c r="V40" s="3">
        <v>529.72</v>
      </c>
      <c r="W40" s="3">
        <v>281.19</v>
      </c>
    </row>
    <row r="41" spans="1:23" x14ac:dyDescent="0.25">
      <c r="A41" t="s">
        <v>318</v>
      </c>
      <c r="B41" s="2">
        <v>39813</v>
      </c>
      <c r="C41" s="6">
        <v>1.3751594914086285E-2</v>
      </c>
      <c r="D41" s="6">
        <v>7.6186641837801439E-2</v>
      </c>
      <c r="E41" s="6">
        <v>1.2634072519752615</v>
      </c>
      <c r="F41" s="6">
        <v>-0.11032927423269323</v>
      </c>
      <c r="G41" s="6">
        <v>-0.30197780779827832</v>
      </c>
      <c r="H41" s="6">
        <v>-0.28404591691615411</v>
      </c>
      <c r="I41">
        <v>-6.0701786858911522</v>
      </c>
      <c r="J41" s="3"/>
      <c r="K41" s="6"/>
      <c r="L41" s="6">
        <v>1.5347100032962135E-2</v>
      </c>
      <c r="M41" s="5"/>
      <c r="O41" s="3">
        <v>17226.75</v>
      </c>
      <c r="P41" s="3">
        <v>9695.67</v>
      </c>
      <c r="Q41" s="3">
        <v>2118.4499999999998</v>
      </c>
      <c r="R41" s="3">
        <v>5611.11</v>
      </c>
      <c r="S41" s="3">
        <v>436.22</v>
      </c>
      <c r="T41" s="3">
        <v>4015.58</v>
      </c>
      <c r="U41" s="3">
        <v>5067.43</v>
      </c>
      <c r="V41" s="3">
        <v>125.97</v>
      </c>
      <c r="W41" s="3">
        <v>291.18</v>
      </c>
    </row>
    <row r="42" spans="1:23" x14ac:dyDescent="0.25">
      <c r="A42" t="s">
        <v>319</v>
      </c>
      <c r="B42" s="2">
        <v>39903</v>
      </c>
      <c r="C42" s="6">
        <v>-4.7639712147744984E-2</v>
      </c>
      <c r="D42" s="6">
        <v>5.763038092719186E-2</v>
      </c>
      <c r="E42" s="6">
        <v>-0.35952602609940276</v>
      </c>
      <c r="F42" s="6">
        <v>-0.22963366608484559</v>
      </c>
      <c r="G42" s="6">
        <v>-0.30088064364202782</v>
      </c>
      <c r="H42" s="6">
        <v>-0.44388809760853198</v>
      </c>
      <c r="I42">
        <v>-5.6577464845767818</v>
      </c>
      <c r="J42" s="3"/>
      <c r="K42" s="6"/>
      <c r="L42" s="6">
        <v>2.3603717082043563E-3</v>
      </c>
      <c r="M42" s="5"/>
      <c r="O42" s="3">
        <v>17017.810000000001</v>
      </c>
      <c r="P42" s="3">
        <v>9832.44</v>
      </c>
      <c r="Q42" s="3">
        <v>1895.15</v>
      </c>
      <c r="R42" s="3">
        <v>5256.82</v>
      </c>
      <c r="S42" s="3">
        <v>446.14</v>
      </c>
      <c r="T42" s="3">
        <v>3671.86</v>
      </c>
      <c r="U42" s="3">
        <v>4376.01</v>
      </c>
      <c r="V42" s="3">
        <v>20.87</v>
      </c>
      <c r="W42" s="3">
        <v>270.54000000000002</v>
      </c>
    </row>
    <row r="43" spans="1:23" x14ac:dyDescent="0.25">
      <c r="A43" t="s">
        <v>320</v>
      </c>
      <c r="B43" s="2">
        <v>39994</v>
      </c>
      <c r="C43" s="6">
        <v>0.23574194284479907</v>
      </c>
      <c r="D43" s="6">
        <v>0.11938970294289873</v>
      </c>
      <c r="E43" s="6">
        <v>0.2360926031765509</v>
      </c>
      <c r="F43" s="6">
        <v>0.24258600128547436</v>
      </c>
      <c r="G43" s="6">
        <v>0.15703960035489861</v>
      </c>
      <c r="H43" s="6">
        <v>6.3917770221742831E-2</v>
      </c>
      <c r="I43">
        <v>4.8825149377798951</v>
      </c>
      <c r="J43" s="3"/>
      <c r="K43" s="6"/>
      <c r="L43" s="6">
        <v>4.9936831104626433E-2</v>
      </c>
      <c r="M43" s="5"/>
      <c r="O43" s="3">
        <v>17942.61</v>
      </c>
      <c r="P43" s="3">
        <v>10113.620000000001</v>
      </c>
      <c r="Q43" s="3">
        <v>1998.28</v>
      </c>
      <c r="R43" s="3">
        <v>5550.15</v>
      </c>
      <c r="S43" s="3">
        <v>546.03</v>
      </c>
      <c r="T43" s="3">
        <v>3808.23</v>
      </c>
      <c r="U43" s="3">
        <v>4444.32</v>
      </c>
      <c r="V43" s="3">
        <v>-34.46</v>
      </c>
      <c r="W43" s="3">
        <v>405.08</v>
      </c>
    </row>
    <row r="44" spans="1:23" x14ac:dyDescent="0.25">
      <c r="A44" t="s">
        <v>321</v>
      </c>
      <c r="B44" s="2">
        <v>40086</v>
      </c>
      <c r="C44" s="6">
        <v>9.0759453894993167E-2</v>
      </c>
      <c r="D44" s="6">
        <v>9.1259431065261895E-2</v>
      </c>
      <c r="E44" s="6">
        <v>0.3046283723579517</v>
      </c>
      <c r="F44" s="6">
        <v>0.30929530026737395</v>
      </c>
      <c r="G44" s="6">
        <v>6.1854097258683627E-2</v>
      </c>
      <c r="H44" s="6">
        <v>0.14822047391301285</v>
      </c>
      <c r="I44">
        <v>5.8453204387106945</v>
      </c>
      <c r="J44" s="3"/>
      <c r="K44" s="6"/>
      <c r="L44" s="6">
        <v>6.9585502162754498E-2</v>
      </c>
      <c r="M44" s="5"/>
      <c r="O44" s="3">
        <v>18336.560000000001</v>
      </c>
      <c r="P44" s="3">
        <v>10336.86</v>
      </c>
      <c r="Q44" s="3">
        <v>2135.64</v>
      </c>
      <c r="R44" s="3">
        <v>5936.96</v>
      </c>
      <c r="S44" s="3">
        <v>587.08000000000004</v>
      </c>
      <c r="T44" s="3">
        <v>3865.8</v>
      </c>
      <c r="U44" s="3">
        <v>4600.57</v>
      </c>
      <c r="V44" s="3">
        <v>-382.39</v>
      </c>
      <c r="W44" s="3">
        <v>457.18</v>
      </c>
    </row>
    <row r="45" spans="1:23" x14ac:dyDescent="0.25">
      <c r="A45" t="s">
        <v>322</v>
      </c>
      <c r="B45" s="2">
        <v>40178</v>
      </c>
      <c r="C45" s="6">
        <v>8.4908691580102946E-2</v>
      </c>
      <c r="D45" s="6">
        <v>2.3869757096822486E-2</v>
      </c>
      <c r="E45" s="6">
        <v>0.18264523384776113</v>
      </c>
      <c r="F45" s="6">
        <v>8.0217981769634891E-2</v>
      </c>
      <c r="G45" s="6">
        <v>-1.7382554910329251E-2</v>
      </c>
      <c r="H45" s="6">
        <v>0.47282540837047171</v>
      </c>
      <c r="I45">
        <v>5.659692526913223</v>
      </c>
      <c r="J45" s="3"/>
      <c r="K45" s="6"/>
      <c r="L45" s="6">
        <v>8.2110699470404599E-2</v>
      </c>
      <c r="M45" s="5"/>
      <c r="O45" s="3">
        <v>18713.98</v>
      </c>
      <c r="P45" s="3">
        <v>10398</v>
      </c>
      <c r="Q45" s="3">
        <v>2227.11</v>
      </c>
      <c r="R45" s="3">
        <v>6052.6</v>
      </c>
      <c r="S45" s="3">
        <v>583.25</v>
      </c>
      <c r="T45" s="3">
        <v>3848.89</v>
      </c>
      <c r="U45" s="3">
        <v>5068.1499999999996</v>
      </c>
      <c r="V45" s="3">
        <v>220.04</v>
      </c>
      <c r="W45" s="3">
        <v>452.24</v>
      </c>
    </row>
    <row r="46" spans="1:23" x14ac:dyDescent="0.25">
      <c r="A46" t="s">
        <v>323</v>
      </c>
      <c r="B46" s="2">
        <v>40268</v>
      </c>
      <c r="C46" s="6">
        <v>0.11588676097543991</v>
      </c>
      <c r="D46" s="6">
        <v>3.7484318230179614E-2</v>
      </c>
      <c r="E46" s="6">
        <v>-7.1748316260211831E-2</v>
      </c>
      <c r="F46" s="6">
        <v>0.39073488371323495</v>
      </c>
      <c r="G46" s="6">
        <v>0.14820165165845767</v>
      </c>
      <c r="H46" s="6">
        <v>0.18087388578338692</v>
      </c>
      <c r="I46">
        <v>5.3587045885478046</v>
      </c>
      <c r="J46" s="3"/>
      <c r="K46" s="6"/>
      <c r="L46" s="6">
        <v>0.13261952352414008</v>
      </c>
      <c r="M46" s="5"/>
      <c r="O46" s="3">
        <v>19234.07</v>
      </c>
      <c r="P46" s="3">
        <v>10494.1</v>
      </c>
      <c r="Q46" s="3">
        <v>2186.04</v>
      </c>
      <c r="R46" s="3">
        <v>6572.84</v>
      </c>
      <c r="S46" s="3">
        <v>616.83000000000004</v>
      </c>
      <c r="T46" s="3">
        <v>3984.19</v>
      </c>
      <c r="U46" s="3">
        <v>5283.24</v>
      </c>
      <c r="V46" s="3">
        <v>185.38</v>
      </c>
      <c r="W46" s="3">
        <v>477.93</v>
      </c>
    </row>
    <row r="47" spans="1:23" x14ac:dyDescent="0.25">
      <c r="A47" t="s">
        <v>324</v>
      </c>
      <c r="B47" s="2">
        <v>40359</v>
      </c>
      <c r="C47" s="6">
        <v>0.12156395444616219</v>
      </c>
      <c r="D47" s="6">
        <v>0.21328168251867788</v>
      </c>
      <c r="E47" s="6">
        <v>-4.6760473024304305E-3</v>
      </c>
      <c r="F47" s="6">
        <v>-0.26182156240469745</v>
      </c>
      <c r="G47" s="6">
        <v>0.17511016830164294</v>
      </c>
      <c r="H47" s="6">
        <v>0.20985251323255549</v>
      </c>
      <c r="I47">
        <v>6.0376504674532212</v>
      </c>
      <c r="J47" s="3"/>
      <c r="K47" s="6"/>
      <c r="L47" s="6">
        <v>0.10293578763475209</v>
      </c>
      <c r="M47" s="5"/>
      <c r="O47" s="3">
        <v>19793.71</v>
      </c>
      <c r="P47" s="3">
        <v>11013.76</v>
      </c>
      <c r="Q47" s="3">
        <v>2183.48</v>
      </c>
      <c r="R47" s="3">
        <v>6092.47</v>
      </c>
      <c r="S47" s="3">
        <v>710.02</v>
      </c>
      <c r="T47" s="3">
        <v>4148.2</v>
      </c>
      <c r="U47" s="3">
        <v>5540.94</v>
      </c>
      <c r="V47" s="3">
        <v>610.16</v>
      </c>
      <c r="W47" s="3">
        <v>576.55999999999995</v>
      </c>
    </row>
    <row r="48" spans="1:23" x14ac:dyDescent="0.25">
      <c r="A48" t="s">
        <v>325</v>
      </c>
      <c r="B48" s="2">
        <v>40451</v>
      </c>
      <c r="C48" s="6">
        <v>6.0929227021223609E-2</v>
      </c>
      <c r="D48" s="6">
        <v>5.7102714245274244E-2</v>
      </c>
      <c r="E48" s="6">
        <v>0.14821007367566885</v>
      </c>
      <c r="F48" s="6">
        <v>0.35702060691607196</v>
      </c>
      <c r="G48" s="6">
        <v>0.17579432506425222</v>
      </c>
      <c r="H48" s="6">
        <v>-8.1804150310277657E-2</v>
      </c>
      <c r="I48">
        <v>4.8679329635956501</v>
      </c>
      <c r="J48" s="3"/>
      <c r="K48" s="6"/>
      <c r="L48" s="6">
        <v>9.6794331732914282E-2</v>
      </c>
      <c r="M48" s="5"/>
      <c r="O48" s="3">
        <v>20088.560000000001</v>
      </c>
      <c r="P48" s="3">
        <v>11167.73</v>
      </c>
      <c r="Q48" s="3">
        <v>2260.2399999999998</v>
      </c>
      <c r="R48" s="3">
        <v>6575.67</v>
      </c>
      <c r="S48" s="3">
        <v>738.15</v>
      </c>
      <c r="T48" s="3">
        <v>4319.59</v>
      </c>
      <c r="U48" s="3">
        <v>5423.97</v>
      </c>
      <c r="V48" s="3">
        <v>-145.76</v>
      </c>
      <c r="W48" s="3">
        <v>596.91</v>
      </c>
    </row>
    <row r="49" spans="1:23" x14ac:dyDescent="0.25">
      <c r="A49" t="s">
        <v>326</v>
      </c>
      <c r="B49" s="2">
        <v>40543</v>
      </c>
      <c r="C49" s="6">
        <v>0.13915255902003398</v>
      </c>
      <c r="D49" s="6">
        <v>-3.6736548704628613E-2</v>
      </c>
      <c r="E49" s="6">
        <v>4.9709634161513083E-2</v>
      </c>
      <c r="F49" s="6">
        <v>0.30224952655465809</v>
      </c>
      <c r="G49" s="6">
        <v>0.60136005069681775</v>
      </c>
      <c r="H49" s="6">
        <v>0.1035752539850483</v>
      </c>
      <c r="I49">
        <v>4.8324770606724732</v>
      </c>
      <c r="J49" s="3"/>
      <c r="K49" s="6"/>
      <c r="L49" s="6">
        <v>0.10690423397852002</v>
      </c>
      <c r="M49" s="5"/>
      <c r="O49" s="3">
        <v>20753.64</v>
      </c>
      <c r="P49" s="3">
        <v>11063.72</v>
      </c>
      <c r="Q49" s="3">
        <v>2287.8200000000002</v>
      </c>
      <c r="R49" s="3">
        <v>7024.47</v>
      </c>
      <c r="S49" s="3">
        <v>744.66</v>
      </c>
      <c r="T49" s="3">
        <v>4859.2</v>
      </c>
      <c r="U49" s="3">
        <v>5559.27</v>
      </c>
      <c r="V49" s="3">
        <v>-266.72000000000003</v>
      </c>
      <c r="W49" s="3">
        <v>599.76</v>
      </c>
    </row>
    <row r="50" spans="1:23" x14ac:dyDescent="0.25">
      <c r="A50" t="s">
        <v>327</v>
      </c>
      <c r="B50" s="2">
        <v>40633</v>
      </c>
      <c r="C50" s="6">
        <v>8.8866212291005109E-2</v>
      </c>
      <c r="D50" s="6">
        <v>0.22855971105982564</v>
      </c>
      <c r="E50" s="6">
        <v>0.13429487612329272</v>
      </c>
      <c r="F50" s="6">
        <v>2.9324229837670579E-2</v>
      </c>
      <c r="G50" s="6">
        <v>0.25568462130635128</v>
      </c>
      <c r="H50" s="6">
        <v>0.25668004587469007</v>
      </c>
      <c r="I50">
        <v>4.1425235881197819</v>
      </c>
      <c r="J50" s="3"/>
      <c r="K50" s="6"/>
      <c r="L50" s="6">
        <v>0.10326061787284857</v>
      </c>
      <c r="M50" s="5"/>
      <c r="N50" t="s">
        <v>422</v>
      </c>
      <c r="O50" s="3">
        <v>21200.1</v>
      </c>
      <c r="P50" s="3">
        <v>11647.97</v>
      </c>
      <c r="Q50" s="3">
        <v>2361.04</v>
      </c>
      <c r="R50" s="3">
        <v>7075.41</v>
      </c>
      <c r="S50" s="3">
        <v>772.97</v>
      </c>
      <c r="T50" s="3">
        <v>5143.8100000000004</v>
      </c>
      <c r="U50" s="3">
        <v>5886.05</v>
      </c>
      <c r="V50" s="3">
        <v>-512.95000000000005</v>
      </c>
      <c r="W50" s="3">
        <v>597.9</v>
      </c>
    </row>
    <row r="51" spans="1:23" x14ac:dyDescent="0.25">
      <c r="A51" t="s">
        <v>328</v>
      </c>
      <c r="B51" s="2">
        <v>40724</v>
      </c>
      <c r="C51" s="6">
        <v>5.1238886761313163E-2</v>
      </c>
      <c r="D51" s="6">
        <v>0.14693716989731631</v>
      </c>
      <c r="E51" s="6">
        <v>-0.13424047074663525</v>
      </c>
      <c r="F51" s="6">
        <v>0.14996360666310271</v>
      </c>
      <c r="G51" s="6">
        <v>-1.7819678434207287E-2</v>
      </c>
      <c r="H51" s="6">
        <v>0.49059468302464909</v>
      </c>
      <c r="I51">
        <v>3.2539486140839839</v>
      </c>
      <c r="J51" s="3"/>
      <c r="K51" s="6"/>
      <c r="L51" s="6">
        <v>8.3190649853710941E-2</v>
      </c>
      <c r="M51" s="5"/>
      <c r="N51" t="s">
        <v>423</v>
      </c>
      <c r="O51" s="3">
        <v>21466.6</v>
      </c>
      <c r="P51" s="3">
        <v>12054.11</v>
      </c>
      <c r="Q51" s="3">
        <v>2277.4699999999998</v>
      </c>
      <c r="R51" s="3">
        <v>7326.94</v>
      </c>
      <c r="S51" s="3">
        <v>529.28</v>
      </c>
      <c r="T51" s="3">
        <v>5120.74</v>
      </c>
      <c r="U51" s="3">
        <v>6503.75</v>
      </c>
      <c r="V51" s="3">
        <v>87.86</v>
      </c>
      <c r="W51" s="3">
        <v>573.95000000000005</v>
      </c>
    </row>
    <row r="52" spans="1:23" x14ac:dyDescent="0.25">
      <c r="A52" t="s">
        <v>329</v>
      </c>
      <c r="B52" s="2">
        <v>40816</v>
      </c>
      <c r="C52" s="6">
        <v>-1.5899395260491445E-2</v>
      </c>
      <c r="D52" s="6">
        <v>1.8064158042883083E-3</v>
      </c>
      <c r="E52" s="6">
        <v>0.15746396377758853</v>
      </c>
      <c r="F52" s="6">
        <v>2.5511619123604667E-2</v>
      </c>
      <c r="G52" s="6">
        <v>-8.5570998816784094E-3</v>
      </c>
      <c r="H52" s="6">
        <v>-9.7432441353365484E-2</v>
      </c>
      <c r="I52">
        <v>3.2996466764784707</v>
      </c>
      <c r="J52" s="3"/>
      <c r="K52" s="6"/>
      <c r="L52" s="6">
        <v>6.6770617711503499E-2</v>
      </c>
      <c r="M52" s="5"/>
      <c r="N52" t="s">
        <v>424</v>
      </c>
      <c r="O52" s="3">
        <v>21380.76</v>
      </c>
      <c r="P52" s="3">
        <v>12059.55</v>
      </c>
      <c r="Q52" s="3">
        <v>2362.27</v>
      </c>
      <c r="R52" s="3">
        <v>7373.23</v>
      </c>
      <c r="S52" s="3">
        <v>517.54999999999995</v>
      </c>
      <c r="T52" s="3">
        <v>5109.75</v>
      </c>
      <c r="U52" s="3">
        <v>6339.19</v>
      </c>
      <c r="V52" s="3">
        <v>-343.96</v>
      </c>
      <c r="W52" s="3">
        <v>641.55999999999995</v>
      </c>
    </row>
    <row r="53" spans="1:23" x14ac:dyDescent="0.25">
      <c r="A53" t="s">
        <v>330</v>
      </c>
      <c r="B53" s="2">
        <v>40908</v>
      </c>
      <c r="C53" s="6">
        <v>0.1274434084940208</v>
      </c>
      <c r="D53" s="6">
        <v>9.221843548176567E-2</v>
      </c>
      <c r="E53" s="6">
        <v>0.22414716924403177</v>
      </c>
      <c r="F53" s="6">
        <v>7.7773808796379296E-2</v>
      </c>
      <c r="G53" s="6">
        <v>0.36517910094968009</v>
      </c>
      <c r="H53" s="6">
        <v>0.53924456427744727</v>
      </c>
      <c r="I53">
        <v>3.4300128047765317</v>
      </c>
      <c r="J53" s="3"/>
      <c r="K53" s="6"/>
      <c r="L53" s="6">
        <v>6.1760153151399155E-2</v>
      </c>
      <c r="M53" s="5"/>
      <c r="N53" t="s">
        <v>425</v>
      </c>
      <c r="O53" s="3">
        <v>22031.64</v>
      </c>
      <c r="P53" s="3">
        <v>12328.45</v>
      </c>
      <c r="Q53" s="3">
        <v>2484.7800000000002</v>
      </c>
      <c r="R53" s="3">
        <v>7512.59</v>
      </c>
      <c r="S53" s="3">
        <v>513.94000000000005</v>
      </c>
      <c r="T53" s="3">
        <v>5523.28</v>
      </c>
      <c r="U53" s="3">
        <v>7060.91</v>
      </c>
      <c r="V53" s="3">
        <v>87.98</v>
      </c>
      <c r="W53" s="3">
        <v>641.53</v>
      </c>
    </row>
    <row r="54" spans="1:23" x14ac:dyDescent="0.25">
      <c r="A54" t="s">
        <v>331</v>
      </c>
      <c r="B54" s="2">
        <v>40999</v>
      </c>
      <c r="C54" s="6">
        <v>7.9823305779860521E-2</v>
      </c>
      <c r="D54" s="6">
        <v>7.1183180395751666E-2</v>
      </c>
      <c r="E54" s="6">
        <v>0.24207366550499843</v>
      </c>
      <c r="F54" s="6">
        <v>0.16032686985242539</v>
      </c>
      <c r="G54" s="6">
        <v>8.5620791320832654E-2</v>
      </c>
      <c r="H54" s="6">
        <v>9.6812261145273984E-2</v>
      </c>
      <c r="I54">
        <v>4.2483498788164873</v>
      </c>
      <c r="J54" s="3"/>
      <c r="K54" s="6"/>
      <c r="L54" s="6">
        <v>5.6325329451219819E-2</v>
      </c>
      <c r="M54" s="5"/>
      <c r="N54" t="s">
        <v>386</v>
      </c>
      <c r="O54" s="3">
        <v>22458.720000000001</v>
      </c>
      <c r="P54" s="3">
        <v>12542.22</v>
      </c>
      <c r="Q54" s="3">
        <v>2623.16</v>
      </c>
      <c r="R54" s="3">
        <v>7797.13</v>
      </c>
      <c r="S54" s="3">
        <v>508.87</v>
      </c>
      <c r="T54" s="3">
        <v>5637.89</v>
      </c>
      <c r="U54" s="3">
        <v>7225.93</v>
      </c>
      <c r="V54" s="3">
        <v>-89.26</v>
      </c>
      <c r="W54" s="3">
        <v>664.64</v>
      </c>
    </row>
    <row r="55" spans="1:23" x14ac:dyDescent="0.25">
      <c r="A55" t="s">
        <v>332</v>
      </c>
      <c r="B55" s="2">
        <v>41090</v>
      </c>
      <c r="C55" s="6">
        <v>1.2182400003565963E-2</v>
      </c>
      <c r="D55" s="6">
        <v>-0.12077882182393529</v>
      </c>
      <c r="E55" s="6">
        <v>-0.24622674027377081</v>
      </c>
      <c r="F55" s="6">
        <v>5.0453337286705535E-2</v>
      </c>
      <c r="G55" s="6">
        <v>-0.11923331974980156</v>
      </c>
      <c r="H55" s="6">
        <v>-0.1721104047972539</v>
      </c>
      <c r="I55">
        <v>2.3173451083879262</v>
      </c>
      <c r="J55" s="3"/>
      <c r="K55" s="6"/>
      <c r="L55" s="6">
        <v>4.8676494854871688E-2</v>
      </c>
      <c r="M55" s="5"/>
      <c r="N55" t="s">
        <v>387</v>
      </c>
      <c r="O55" s="3">
        <v>22526.81</v>
      </c>
      <c r="P55" s="3">
        <v>12145.04</v>
      </c>
      <c r="Q55" s="3">
        <v>2444.19</v>
      </c>
      <c r="R55" s="3">
        <v>7893.67</v>
      </c>
      <c r="S55" s="3">
        <v>508.63</v>
      </c>
      <c r="T55" s="3">
        <v>5461.75</v>
      </c>
      <c r="U55" s="3">
        <v>6892.66</v>
      </c>
      <c r="V55" s="3">
        <v>286.8</v>
      </c>
      <c r="W55" s="3">
        <v>679.39</v>
      </c>
    </row>
    <row r="56" spans="1:23" x14ac:dyDescent="0.25">
      <c r="A56" t="s">
        <v>333</v>
      </c>
      <c r="B56" s="2">
        <v>41182</v>
      </c>
      <c r="C56" s="6">
        <v>5.7861907724621631E-2</v>
      </c>
      <c r="D56" s="6">
        <v>0.31761064759537549</v>
      </c>
      <c r="E56" s="6">
        <v>0.25413318773719307</v>
      </c>
      <c r="F56" s="6">
        <v>-4.7492740406505633E-2</v>
      </c>
      <c r="G56" s="6">
        <v>0.99634198404644314</v>
      </c>
      <c r="H56" s="6">
        <v>0.28563733061442109</v>
      </c>
      <c r="I56">
        <v>2.9352427218452912</v>
      </c>
      <c r="J56" s="3"/>
      <c r="K56" s="6"/>
      <c r="L56" s="6">
        <v>7.4931836093339088E-2</v>
      </c>
      <c r="M56" s="5"/>
      <c r="N56" t="s">
        <v>388</v>
      </c>
      <c r="O56" s="3">
        <v>22845.83</v>
      </c>
      <c r="P56" s="3">
        <v>13012.05</v>
      </c>
      <c r="Q56" s="3">
        <v>2586.5500000000002</v>
      </c>
      <c r="R56" s="3">
        <v>7798.23</v>
      </c>
      <c r="S56" s="3">
        <v>521.70000000000005</v>
      </c>
      <c r="T56" s="3">
        <v>6492.18</v>
      </c>
      <c r="U56" s="3">
        <v>7339.5</v>
      </c>
      <c r="V56" s="3">
        <v>-863.98</v>
      </c>
      <c r="W56" s="3">
        <v>638.6</v>
      </c>
    </row>
    <row r="57" spans="1:23" x14ac:dyDescent="0.25">
      <c r="A57" t="s">
        <v>334</v>
      </c>
      <c r="B57" s="2">
        <v>41274</v>
      </c>
      <c r="C57" s="6">
        <v>7.0289931210353984E-2</v>
      </c>
      <c r="D57" s="6">
        <v>0.11282447240575856</v>
      </c>
      <c r="E57" s="6">
        <v>-0.51813907728256281</v>
      </c>
      <c r="F57" s="6">
        <v>-1.7528617532330593E-2</v>
      </c>
      <c r="G57" s="6">
        <v>-0.55320419975405655</v>
      </c>
      <c r="H57" s="6">
        <v>-8.8755441612061725E-3</v>
      </c>
      <c r="I57">
        <v>2.8000030370659932</v>
      </c>
      <c r="J57" s="3"/>
      <c r="K57" s="6"/>
      <c r="L57" s="6">
        <v>5.3763928930154803E-2</v>
      </c>
      <c r="M57" s="5"/>
      <c r="N57" t="s">
        <v>389</v>
      </c>
      <c r="O57" s="3">
        <v>23237.119999999999</v>
      </c>
      <c r="P57" s="3">
        <v>13364.49</v>
      </c>
      <c r="Q57" s="3">
        <v>2155.02</v>
      </c>
      <c r="R57" s="3">
        <v>7763.83</v>
      </c>
      <c r="S57" s="3">
        <v>508.56</v>
      </c>
      <c r="T57" s="3">
        <v>5307.84</v>
      </c>
      <c r="U57" s="3">
        <v>7323.16</v>
      </c>
      <c r="V57" s="3">
        <v>819.33</v>
      </c>
      <c r="W57" s="3">
        <v>641.21</v>
      </c>
    </row>
    <row r="58" spans="1:23" x14ac:dyDescent="0.25">
      <c r="A58" t="s">
        <v>335</v>
      </c>
      <c r="B58" s="2">
        <v>41364</v>
      </c>
      <c r="C58" s="6">
        <v>5.9737848843700148E-2</v>
      </c>
      <c r="D58" s="6">
        <v>-5.6803615847642701E-2</v>
      </c>
      <c r="E58" s="6">
        <v>1.1457789653411514</v>
      </c>
      <c r="F58" s="6">
        <v>0.15440792599533371</v>
      </c>
      <c r="G58" s="6">
        <v>0.24803452925666325</v>
      </c>
      <c r="H58" s="6">
        <v>-6.2063628517166514E-2</v>
      </c>
      <c r="I58">
        <v>3.7144309861498188</v>
      </c>
      <c r="J58" s="3"/>
      <c r="K58" s="6"/>
      <c r="L58" s="6">
        <v>4.2960336272718003E-2</v>
      </c>
      <c r="M58" s="5"/>
      <c r="N58" t="s">
        <v>390</v>
      </c>
      <c r="O58" s="3">
        <v>23576.639999999999</v>
      </c>
      <c r="P58" s="3">
        <v>13170.52</v>
      </c>
      <c r="Q58" s="3">
        <v>2608.2399999999998</v>
      </c>
      <c r="R58" s="3">
        <v>8047.59</v>
      </c>
      <c r="S58" s="3">
        <v>470.75</v>
      </c>
      <c r="T58" s="3">
        <v>5610.15</v>
      </c>
      <c r="U58" s="3">
        <v>7206.79</v>
      </c>
      <c r="V58" s="3">
        <v>245.09</v>
      </c>
      <c r="W58" s="3">
        <v>631.09</v>
      </c>
    </row>
    <row r="59" spans="1:23" x14ac:dyDescent="0.25">
      <c r="A59" t="s">
        <v>336</v>
      </c>
      <c r="B59" s="2">
        <v>41455</v>
      </c>
      <c r="C59" s="6">
        <v>6.1592498010307306E-2</v>
      </c>
      <c r="D59" s="6">
        <v>3.7330071742396775E-2</v>
      </c>
      <c r="E59" s="6">
        <v>0.25998666815529514</v>
      </c>
      <c r="F59" s="6">
        <v>-1.4179176255899373E-2</v>
      </c>
      <c r="G59" s="6">
        <v>6.1503536775021406E-2</v>
      </c>
      <c r="H59" s="6">
        <v>-0.24271538030463582</v>
      </c>
      <c r="I59">
        <v>3.6774311222064804</v>
      </c>
      <c r="J59" s="3"/>
      <c r="K59" s="6"/>
      <c r="L59" s="6">
        <v>6.4471030820919317E-2</v>
      </c>
      <c r="M59" s="5"/>
      <c r="N59" t="s">
        <v>391</v>
      </c>
      <c r="O59" s="3">
        <v>23931.58</v>
      </c>
      <c r="P59" s="3">
        <v>13291.75</v>
      </c>
      <c r="Q59" s="3">
        <v>2763.37</v>
      </c>
      <c r="R59" s="3">
        <v>8018.91</v>
      </c>
      <c r="S59" s="3">
        <v>354.45</v>
      </c>
      <c r="T59" s="3">
        <v>5694.49</v>
      </c>
      <c r="U59" s="3">
        <v>6722.9</v>
      </c>
      <c r="V59" s="3">
        <v>171.09</v>
      </c>
      <c r="W59" s="3">
        <v>360.42</v>
      </c>
    </row>
    <row r="60" spans="1:23" x14ac:dyDescent="0.25">
      <c r="A60" t="s">
        <v>337</v>
      </c>
      <c r="B60" s="2">
        <v>41547</v>
      </c>
      <c r="C60" s="6">
        <v>6.6919482840159139E-2</v>
      </c>
      <c r="D60" s="6">
        <v>0.12286641425111045</v>
      </c>
      <c r="E60" s="6">
        <v>-0.33053803148567218</v>
      </c>
      <c r="F60" s="6">
        <v>-4.3159628942702533E-2</v>
      </c>
      <c r="G60" s="6">
        <v>0.54800867854360491</v>
      </c>
      <c r="H60" s="6">
        <v>-1.0318456504469942E-2</v>
      </c>
      <c r="I60">
        <v>4.2666243873699852</v>
      </c>
      <c r="J60" s="3"/>
      <c r="K60" s="6"/>
      <c r="L60" s="6">
        <v>7.33774874245543E-2</v>
      </c>
      <c r="M60" s="5"/>
      <c r="N60" t="s">
        <v>392</v>
      </c>
      <c r="O60" s="3">
        <v>24322.28</v>
      </c>
      <c r="P60" s="3">
        <v>13682.46</v>
      </c>
      <c r="Q60" s="3">
        <v>2499.6</v>
      </c>
      <c r="R60" s="3">
        <v>7930.95</v>
      </c>
      <c r="S60" s="3">
        <v>325.67</v>
      </c>
      <c r="T60" s="3">
        <v>6351.82</v>
      </c>
      <c r="U60" s="3">
        <v>6705.49</v>
      </c>
      <c r="V60" s="3">
        <v>-138.93</v>
      </c>
      <c r="W60" s="3">
        <v>376.2</v>
      </c>
    </row>
    <row r="61" spans="1:23" x14ac:dyDescent="0.25">
      <c r="A61" t="s">
        <v>338</v>
      </c>
      <c r="B61" s="2">
        <v>41639</v>
      </c>
      <c r="C61" s="6">
        <v>8.9467638595338142E-2</v>
      </c>
      <c r="D61" s="6">
        <v>0.19281531151425527</v>
      </c>
      <c r="E61" s="6">
        <v>-0.3881277532337204</v>
      </c>
      <c r="F61" s="6">
        <v>3.2237498960915545E-2</v>
      </c>
      <c r="G61" s="6">
        <v>-9.0874273712430509E-2</v>
      </c>
      <c r="H61" s="6">
        <v>-0.21369728437310265</v>
      </c>
      <c r="I61">
        <v>3.6445539412656318</v>
      </c>
      <c r="J61" s="3"/>
      <c r="K61" s="6"/>
      <c r="L61" s="6">
        <v>6.5349776758202527E-2</v>
      </c>
      <c r="M61" s="5"/>
      <c r="N61" t="s">
        <v>393</v>
      </c>
      <c r="O61" s="3">
        <v>24848.94</v>
      </c>
      <c r="P61" s="3">
        <v>14299.06</v>
      </c>
      <c r="Q61" s="3">
        <v>2210.73</v>
      </c>
      <c r="R61" s="3">
        <v>7994.11</v>
      </c>
      <c r="S61" s="3">
        <v>342.35</v>
      </c>
      <c r="T61" s="3">
        <v>6202.32</v>
      </c>
      <c r="U61" s="3">
        <v>6314.34</v>
      </c>
      <c r="V61" s="3">
        <v>-250.08</v>
      </c>
      <c r="W61" s="3">
        <v>364.79</v>
      </c>
    </row>
    <row r="62" spans="1:23" x14ac:dyDescent="0.25">
      <c r="A62" t="s">
        <v>339</v>
      </c>
      <c r="B62" s="2">
        <v>41729</v>
      </c>
      <c r="C62" s="6">
        <v>2.5500111045266838E-2</v>
      </c>
      <c r="D62" s="6">
        <v>-2.9559446474682893E-2</v>
      </c>
      <c r="E62" s="6">
        <v>0.35055949444282986</v>
      </c>
      <c r="F62" s="6">
        <v>2.7856656200160534E-2</v>
      </c>
      <c r="G62" s="6">
        <v>0.14731479680619786</v>
      </c>
      <c r="H62" s="6">
        <v>0.27497934029466653</v>
      </c>
      <c r="I62">
        <v>2.7904610046009757</v>
      </c>
      <c r="J62" s="3"/>
      <c r="K62" s="6"/>
      <c r="L62" s="6">
        <v>5.3429111800904927E-2</v>
      </c>
      <c r="M62" s="5"/>
      <c r="N62" t="s">
        <v>394</v>
      </c>
      <c r="O62" s="3">
        <v>25005.86</v>
      </c>
      <c r="P62" s="3">
        <v>14192.2</v>
      </c>
      <c r="Q62" s="3">
        <v>2383.2199999999998</v>
      </c>
      <c r="R62" s="3">
        <v>8049.21</v>
      </c>
      <c r="S62" s="3">
        <v>277.01</v>
      </c>
      <c r="T62" s="3">
        <v>6419.11</v>
      </c>
      <c r="U62" s="3">
        <v>6709.71</v>
      </c>
      <c r="V62" s="3">
        <v>16.13</v>
      </c>
      <c r="W62" s="3">
        <v>378.69</v>
      </c>
    </row>
    <row r="63" spans="1:23" x14ac:dyDescent="0.25">
      <c r="A63" t="s">
        <v>340</v>
      </c>
      <c r="B63" s="2">
        <v>41820</v>
      </c>
      <c r="C63" s="6">
        <v>0.12542389682239108</v>
      </c>
      <c r="D63" s="6">
        <v>6.4809173241236806E-2</v>
      </c>
      <c r="E63" s="6">
        <v>0.71892033934974531</v>
      </c>
      <c r="F63" s="6">
        <v>6.8647789860321051E-2</v>
      </c>
      <c r="G63" s="6">
        <v>-3.5409512606421334E-3</v>
      </c>
      <c r="H63" s="6">
        <v>4.4505386922354395E-2</v>
      </c>
      <c r="I63">
        <v>4.0487810162211257</v>
      </c>
      <c r="J63" s="3"/>
      <c r="K63" s="6"/>
      <c r="L63" s="6">
        <v>8.0239976552741718E-2</v>
      </c>
      <c r="M63" s="5"/>
      <c r="N63" t="s">
        <v>395</v>
      </c>
      <c r="O63" s="3">
        <v>25755.55</v>
      </c>
      <c r="P63" s="3">
        <v>14416.76</v>
      </c>
      <c r="Q63" s="3">
        <v>2728.84</v>
      </c>
      <c r="R63" s="3">
        <v>8183.93</v>
      </c>
      <c r="S63" s="3">
        <v>725.89</v>
      </c>
      <c r="T63" s="3">
        <v>6413.42</v>
      </c>
      <c r="U63" s="3">
        <v>6783.15</v>
      </c>
      <c r="V63" s="3">
        <v>-419.81</v>
      </c>
      <c r="W63" s="3">
        <v>489.67</v>
      </c>
    </row>
    <row r="64" spans="1:23" x14ac:dyDescent="0.25">
      <c r="A64" t="s">
        <v>341</v>
      </c>
      <c r="B64" s="2">
        <v>41912</v>
      </c>
      <c r="C64" s="6">
        <v>7.4537742581134436E-2</v>
      </c>
      <c r="D64" s="6">
        <v>9.3736862146917233E-2</v>
      </c>
      <c r="E64" s="6">
        <v>7.5703923255105998E-3</v>
      </c>
      <c r="F64" s="6">
        <v>5.7546303554114608E-2</v>
      </c>
      <c r="G64" s="6">
        <v>-0.13168746419725408</v>
      </c>
      <c r="H64" s="6">
        <v>-7.2725161316023579E-2</v>
      </c>
      <c r="I64">
        <v>4.1718483941460827</v>
      </c>
      <c r="J64" s="3"/>
      <c r="K64" s="6"/>
      <c r="L64" s="6">
        <v>8.7041206510261038E-2</v>
      </c>
      <c r="M64" s="5"/>
      <c r="N64" t="s">
        <v>396</v>
      </c>
      <c r="O64" s="3">
        <v>26222.63</v>
      </c>
      <c r="P64" s="3">
        <v>14743.34</v>
      </c>
      <c r="Q64" s="3">
        <v>2733.99</v>
      </c>
      <c r="R64" s="3">
        <v>8299.2099999999991</v>
      </c>
      <c r="S64" s="3">
        <v>689.82</v>
      </c>
      <c r="T64" s="3">
        <v>6190.97</v>
      </c>
      <c r="U64" s="3">
        <v>6656.31</v>
      </c>
      <c r="V64" s="3">
        <v>-231.25</v>
      </c>
      <c r="W64" s="3">
        <v>452.86</v>
      </c>
    </row>
    <row r="65" spans="1:23" x14ac:dyDescent="0.25">
      <c r="A65" t="s">
        <v>342</v>
      </c>
      <c r="B65" s="2">
        <v>42004</v>
      </c>
      <c r="C65" s="6">
        <v>4.1313574006057285E-2</v>
      </c>
      <c r="D65" s="6">
        <v>-2.127509799816385E-2</v>
      </c>
      <c r="E65" s="6">
        <v>9.6614893520719836E-2</v>
      </c>
      <c r="F65" s="6">
        <v>-0.1107608748234583</v>
      </c>
      <c r="G65" s="6">
        <v>0.15119224989145907</v>
      </c>
      <c r="H65" s="6">
        <v>9.1306853248576805E-2</v>
      </c>
      <c r="I65">
        <v>3.6907587457265301</v>
      </c>
      <c r="J65" s="3"/>
      <c r="K65" s="6"/>
      <c r="L65" s="6">
        <v>5.9227453035372024E-2</v>
      </c>
      <c r="M65" s="5"/>
      <c r="N65" t="s">
        <v>397</v>
      </c>
      <c r="O65" s="3">
        <v>26489.37</v>
      </c>
      <c r="P65" s="3">
        <v>14664.29</v>
      </c>
      <c r="Q65" s="3">
        <v>2797.76</v>
      </c>
      <c r="R65" s="3">
        <v>8059.19</v>
      </c>
      <c r="S65" s="3">
        <v>663.45</v>
      </c>
      <c r="T65" s="3">
        <v>6412.77</v>
      </c>
      <c r="U65" s="3">
        <v>6803.31</v>
      </c>
      <c r="V65" s="3">
        <v>251.89</v>
      </c>
      <c r="W65" s="3">
        <v>443.33</v>
      </c>
    </row>
    <row r="66" spans="1:23" x14ac:dyDescent="0.25">
      <c r="A66" t="s">
        <v>343</v>
      </c>
      <c r="B66" s="2">
        <v>42094</v>
      </c>
      <c r="C66" s="6">
        <v>6.2353853026179795E-2</v>
      </c>
      <c r="D66" s="6">
        <v>0.16829708242229338</v>
      </c>
      <c r="E66" s="6">
        <v>-0.52271396525325076</v>
      </c>
      <c r="F66" s="6">
        <v>0.11211560312306235</v>
      </c>
      <c r="G66" s="6">
        <v>-0.16530294980087346</v>
      </c>
      <c r="H66" s="6">
        <v>-0.18662459717984425</v>
      </c>
      <c r="I66">
        <v>3.7607579747972242</v>
      </c>
      <c r="J66" s="3"/>
      <c r="K66" s="6"/>
      <c r="L66" s="6">
        <v>7.1121353066840864E-2</v>
      </c>
      <c r="M66" s="5"/>
      <c r="N66" t="s">
        <v>398</v>
      </c>
      <c r="O66" s="3">
        <v>26892.98</v>
      </c>
      <c r="P66" s="3">
        <v>15245.77</v>
      </c>
      <c r="Q66" s="3">
        <v>2325.44</v>
      </c>
      <c r="R66" s="3">
        <v>8276.16</v>
      </c>
      <c r="S66" s="3">
        <v>671.43</v>
      </c>
      <c r="T66" s="3">
        <v>6129.54</v>
      </c>
      <c r="U66" s="3">
        <v>6460.9</v>
      </c>
      <c r="V66" s="3">
        <v>214.75</v>
      </c>
      <c r="W66" s="3">
        <v>490.79</v>
      </c>
    </row>
    <row r="67" spans="1:23" x14ac:dyDescent="0.25">
      <c r="A67" t="s">
        <v>344</v>
      </c>
      <c r="B67" s="2">
        <v>42185</v>
      </c>
      <c r="C67" s="6">
        <v>0.11072222837595325</v>
      </c>
      <c r="D67" s="6">
        <v>7.360104563995562E-2</v>
      </c>
      <c r="E67" s="6">
        <v>1.0976370752450726</v>
      </c>
      <c r="F67" s="6">
        <v>7.5191237113004794E-2</v>
      </c>
      <c r="G67" s="6">
        <v>-0.10448086447356675</v>
      </c>
      <c r="H67" s="6">
        <v>-6.3715827482237808E-2</v>
      </c>
      <c r="I67">
        <v>3.6417465455998999</v>
      </c>
      <c r="J67" s="3"/>
      <c r="K67" s="6"/>
      <c r="L67" s="6">
        <v>7.59254358965058E-2</v>
      </c>
      <c r="M67" s="5"/>
      <c r="N67" t="s">
        <v>399</v>
      </c>
      <c r="O67" s="3">
        <v>27608.34</v>
      </c>
      <c r="P67" s="3">
        <v>15518.87</v>
      </c>
      <c r="Q67" s="3">
        <v>2798.58</v>
      </c>
      <c r="R67" s="3">
        <v>8427.5300000000007</v>
      </c>
      <c r="S67" s="3">
        <v>619.96</v>
      </c>
      <c r="T67" s="3">
        <v>5962.75</v>
      </c>
      <c r="U67" s="3">
        <v>6355.43</v>
      </c>
      <c r="V67" s="3">
        <v>219.77</v>
      </c>
      <c r="W67" s="3">
        <v>416.31</v>
      </c>
    </row>
    <row r="68" spans="1:23" x14ac:dyDescent="0.25">
      <c r="A68" t="s">
        <v>345</v>
      </c>
      <c r="B68" s="2">
        <v>42277</v>
      </c>
      <c r="C68" s="6">
        <v>8.3503161696597092E-2</v>
      </c>
      <c r="D68" s="6">
        <v>5.4632600693121036E-2</v>
      </c>
      <c r="E68" s="6">
        <v>0.27329606041487953</v>
      </c>
      <c r="F68" s="6">
        <v>8.8119575216528676E-2</v>
      </c>
      <c r="G68" s="6">
        <v>-2.6169940366341682E-2</v>
      </c>
      <c r="H68" s="6">
        <v>4.1593709052452743E-2</v>
      </c>
      <c r="I68">
        <v>3.533877973287658</v>
      </c>
      <c r="J68" s="3"/>
      <c r="K68" s="6"/>
      <c r="L68" s="6">
        <v>8.033784474690521E-2</v>
      </c>
      <c r="M68" s="5"/>
      <c r="N68" t="s">
        <v>400</v>
      </c>
      <c r="O68" s="3">
        <v>28167.47</v>
      </c>
      <c r="P68" s="3">
        <v>15726.62</v>
      </c>
      <c r="Q68" s="3">
        <v>2972.83</v>
      </c>
      <c r="R68" s="3">
        <v>8607.35</v>
      </c>
      <c r="S68" s="3">
        <v>596.66</v>
      </c>
      <c r="T68" s="3">
        <v>5923.35</v>
      </c>
      <c r="U68" s="3">
        <v>6420.51</v>
      </c>
      <c r="V68" s="3">
        <v>275.89</v>
      </c>
      <c r="W68" s="3">
        <v>485.28</v>
      </c>
    </row>
    <row r="69" spans="1:23" x14ac:dyDescent="0.25">
      <c r="A69" t="s">
        <v>346</v>
      </c>
      <c r="B69" s="2">
        <v>42369</v>
      </c>
      <c r="C69" s="6">
        <v>5.9494935807287153E-2</v>
      </c>
      <c r="D69" s="6">
        <v>5.7886548737020371E-2</v>
      </c>
      <c r="E69" s="6">
        <v>8.8964991676205862E-3</v>
      </c>
      <c r="F69" s="6">
        <v>0.12239383397450254</v>
      </c>
      <c r="G69" s="6">
        <v>-5.4182976024216511E-2</v>
      </c>
      <c r="H69" s="6">
        <v>-0.16890856627496764</v>
      </c>
      <c r="I69">
        <v>2.7428467565808523</v>
      </c>
      <c r="J69" s="3"/>
      <c r="K69" s="6"/>
      <c r="L69" s="6">
        <v>7.1974230776353343E-2</v>
      </c>
      <c r="M69" s="5"/>
      <c r="N69" t="s">
        <v>401</v>
      </c>
      <c r="O69" s="3">
        <v>28577.39</v>
      </c>
      <c r="P69" s="3">
        <v>15949.43</v>
      </c>
      <c r="Q69" s="3">
        <v>2979.42</v>
      </c>
      <c r="R69" s="3">
        <v>8859.43</v>
      </c>
      <c r="S69" s="3">
        <v>585.02</v>
      </c>
      <c r="T69" s="3">
        <v>5841.43</v>
      </c>
      <c r="U69" s="3">
        <v>6130.3</v>
      </c>
      <c r="V69" s="3">
        <v>-3.65</v>
      </c>
      <c r="W69" s="3">
        <v>496.61</v>
      </c>
    </row>
    <row r="70" spans="1:23" x14ac:dyDescent="0.25">
      <c r="A70" t="s">
        <v>347</v>
      </c>
      <c r="B70" s="2">
        <v>42460</v>
      </c>
      <c r="C70" s="6">
        <v>0.11441200604077695</v>
      </c>
      <c r="D70" s="6">
        <v>0.16376647371347541</v>
      </c>
      <c r="E70" s="6">
        <v>-0.43564330276629848</v>
      </c>
      <c r="F70" s="6">
        <v>8.6847578780080426E-2</v>
      </c>
      <c r="G70" s="6">
        <v>0.1120019012880402</v>
      </c>
      <c r="H70" s="6">
        <v>7.1913848954690662E-2</v>
      </c>
      <c r="I70">
        <v>3.753945544462356</v>
      </c>
      <c r="J70" s="3"/>
      <c r="K70" s="6"/>
      <c r="L70" s="6">
        <v>9.0886949287162219E-2</v>
      </c>
      <c r="M70" s="5"/>
      <c r="N70" t="s">
        <v>402</v>
      </c>
      <c r="O70" s="3">
        <v>29361.89</v>
      </c>
      <c r="P70" s="3">
        <v>16565.77</v>
      </c>
      <c r="Q70" s="3">
        <v>2582.38</v>
      </c>
      <c r="R70" s="3">
        <v>9045.82</v>
      </c>
      <c r="S70" s="3">
        <v>600.07000000000005</v>
      </c>
      <c r="T70" s="3">
        <v>5998.54</v>
      </c>
      <c r="U70" s="3">
        <v>6237.66</v>
      </c>
      <c r="V70" s="3">
        <v>345.58</v>
      </c>
      <c r="W70" s="3">
        <v>461.39</v>
      </c>
    </row>
    <row r="71" spans="1:23" x14ac:dyDescent="0.25">
      <c r="A71" t="s">
        <v>348</v>
      </c>
      <c r="B71" s="2">
        <v>42551</v>
      </c>
      <c r="C71" s="6">
        <v>0.10796798948575038</v>
      </c>
      <c r="D71" s="6">
        <v>8.6359390203836206E-3</v>
      </c>
      <c r="E71" s="6">
        <v>0.43514876905647254</v>
      </c>
      <c r="F71" s="6">
        <v>0.23232613256783741</v>
      </c>
      <c r="G71" s="6">
        <v>8.6037998560162254E-2</v>
      </c>
      <c r="H71" s="6">
        <v>6.2883247101377604E-2</v>
      </c>
      <c r="I71">
        <v>3.6536825559887243</v>
      </c>
      <c r="J71" s="3"/>
      <c r="K71" s="6"/>
      <c r="L71" s="6">
        <v>9.3663074780841557E-2</v>
      </c>
      <c r="M71" s="5"/>
      <c r="N71" t="s">
        <v>403</v>
      </c>
      <c r="O71" s="3">
        <v>30124.22</v>
      </c>
      <c r="P71" s="3">
        <v>16601.419999999998</v>
      </c>
      <c r="Q71" s="3">
        <v>2826.47</v>
      </c>
      <c r="R71" s="3">
        <v>9530.7999999999993</v>
      </c>
      <c r="S71" s="3">
        <v>334.4</v>
      </c>
      <c r="T71" s="3">
        <v>6123.6</v>
      </c>
      <c r="U71" s="3">
        <v>6333.49</v>
      </c>
      <c r="V71" s="3">
        <v>687.99</v>
      </c>
      <c r="W71" s="3">
        <v>353.03</v>
      </c>
    </row>
    <row r="72" spans="1:23" x14ac:dyDescent="0.25">
      <c r="A72" t="s">
        <v>349</v>
      </c>
      <c r="B72" s="2">
        <v>42643</v>
      </c>
      <c r="C72" s="6">
        <v>6.1486673261726743E-2</v>
      </c>
      <c r="D72" s="6">
        <v>0.15157022179706936</v>
      </c>
      <c r="E72" s="6">
        <v>0.34538544805561733</v>
      </c>
      <c r="F72" s="6">
        <v>-8.2443110636167174E-2</v>
      </c>
      <c r="G72" s="6">
        <v>-1.18355360264778E-2</v>
      </c>
      <c r="H72" s="6">
        <v>6.0569726866896323E-2</v>
      </c>
      <c r="I72">
        <v>3.1599100991553941</v>
      </c>
      <c r="J72" s="3"/>
      <c r="K72" s="6"/>
      <c r="L72" s="6">
        <v>8.8654005455753401E-2</v>
      </c>
      <c r="M72" s="5"/>
      <c r="N72" t="s">
        <v>404</v>
      </c>
      <c r="O72" s="3">
        <v>30576.97</v>
      </c>
      <c r="P72" s="3">
        <v>17197.599999999999</v>
      </c>
      <c r="Q72" s="3">
        <v>3044.08</v>
      </c>
      <c r="R72" s="3">
        <v>9327.98</v>
      </c>
      <c r="S72" s="3">
        <v>312.83</v>
      </c>
      <c r="T72" s="3">
        <v>6105.4</v>
      </c>
      <c r="U72" s="3">
        <v>6427.29</v>
      </c>
      <c r="V72" s="3">
        <v>649.08000000000004</v>
      </c>
      <c r="W72" s="3">
        <v>367.29</v>
      </c>
    </row>
    <row r="73" spans="1:23" x14ac:dyDescent="0.25">
      <c r="A73" t="s">
        <v>350</v>
      </c>
      <c r="B73" s="2">
        <v>42735</v>
      </c>
      <c r="C73" s="6">
        <v>3.8922999001935077E-2</v>
      </c>
      <c r="D73" s="6">
        <v>0.12708847035253923</v>
      </c>
      <c r="E73" s="6">
        <v>0.11984439297958073</v>
      </c>
      <c r="F73" s="6">
        <v>3.5986042405072638E-2</v>
      </c>
      <c r="G73" s="6">
        <v>8.8285555530307924E-2</v>
      </c>
      <c r="H73" s="6">
        <v>0.23252931631822027</v>
      </c>
      <c r="I73">
        <v>4.1250145521093851</v>
      </c>
      <c r="J73" s="3"/>
      <c r="K73" s="6"/>
      <c r="L73" s="6">
        <v>7.5461493794746648E-2</v>
      </c>
      <c r="M73" s="5"/>
      <c r="N73" t="s">
        <v>405</v>
      </c>
      <c r="O73" s="3">
        <v>30870.26</v>
      </c>
      <c r="P73" s="3">
        <v>17719.740000000002</v>
      </c>
      <c r="Q73" s="3">
        <v>3131.45</v>
      </c>
      <c r="R73" s="3">
        <v>9410.7900000000009</v>
      </c>
      <c r="S73" s="3">
        <v>304.83</v>
      </c>
      <c r="T73" s="3">
        <v>6235.91</v>
      </c>
      <c r="U73" s="3">
        <v>6772.16</v>
      </c>
      <c r="V73" s="3">
        <v>444</v>
      </c>
      <c r="W73" s="3">
        <v>395.7</v>
      </c>
    </row>
    <row r="74" spans="1:23" x14ac:dyDescent="0.25">
      <c r="A74" t="s">
        <v>351</v>
      </c>
      <c r="B74" s="2">
        <v>42825</v>
      </c>
      <c r="C74" s="6">
        <v>7.0483865531531853E-2</v>
      </c>
      <c r="D74" s="6">
        <v>-4.6074177264280314E-2</v>
      </c>
      <c r="E74" s="6">
        <v>-0.1315902535545983</v>
      </c>
      <c r="F74" s="6">
        <v>7.3311009641276792E-2</v>
      </c>
      <c r="G74" s="6">
        <v>0.14909064530968186</v>
      </c>
      <c r="H74" s="6">
        <v>-3.8990366692046474E-2</v>
      </c>
      <c r="I74">
        <v>4.0838497155759157</v>
      </c>
      <c r="J74" s="3"/>
      <c r="K74" s="6"/>
      <c r="L74" s="6">
        <v>7.0422275481124785E-2</v>
      </c>
      <c r="M74" s="5"/>
      <c r="N74" t="s">
        <v>406</v>
      </c>
      <c r="O74" s="3">
        <v>31400.41</v>
      </c>
      <c r="P74" s="3">
        <v>17512.009999999998</v>
      </c>
      <c r="Q74" s="3">
        <v>3022.92</v>
      </c>
      <c r="R74" s="3">
        <v>9578.7199999999993</v>
      </c>
      <c r="S74" s="3">
        <v>295.16000000000003</v>
      </c>
      <c r="T74" s="3">
        <v>6456.37</v>
      </c>
      <c r="U74" s="3">
        <v>6705.16</v>
      </c>
      <c r="V74" s="3">
        <v>844.91</v>
      </c>
      <c r="W74" s="3">
        <v>395.48</v>
      </c>
    </row>
    <row r="75" spans="1:23" x14ac:dyDescent="0.25">
      <c r="A75" t="s">
        <v>352</v>
      </c>
      <c r="B75" s="2">
        <v>42916</v>
      </c>
      <c r="C75" s="6">
        <v>6.4975875030640617E-2</v>
      </c>
      <c r="D75" s="6">
        <v>0.18109078166973092</v>
      </c>
      <c r="E75" s="6">
        <v>0.60983830322493637</v>
      </c>
      <c r="F75" s="6">
        <v>0.12951529444623699</v>
      </c>
      <c r="G75" s="6">
        <v>-3.4130952221552158E-2</v>
      </c>
      <c r="H75" s="6">
        <v>0.83817524943239041</v>
      </c>
      <c r="I75">
        <v>4.0631648657085462</v>
      </c>
      <c r="J75" s="3"/>
      <c r="K75" s="6"/>
      <c r="L75" s="6">
        <v>5.9896079452567141E-2</v>
      </c>
      <c r="M75" s="5"/>
      <c r="N75" t="s">
        <v>407</v>
      </c>
      <c r="O75" s="3">
        <v>31898.5</v>
      </c>
      <c r="P75" s="3">
        <v>18256.05</v>
      </c>
      <c r="Q75" s="3">
        <v>3405.04</v>
      </c>
      <c r="R75" s="3">
        <v>9874.85</v>
      </c>
      <c r="S75" s="3">
        <v>366.1</v>
      </c>
      <c r="T75" s="3">
        <v>6400.56</v>
      </c>
      <c r="U75" s="3">
        <v>7807.39</v>
      </c>
      <c r="V75" s="3">
        <v>774.68</v>
      </c>
      <c r="W75" s="3">
        <v>628.61</v>
      </c>
    </row>
    <row r="76" spans="1:23" x14ac:dyDescent="0.25">
      <c r="A76" t="s">
        <v>353</v>
      </c>
      <c r="B76" s="2">
        <v>43008</v>
      </c>
      <c r="C76" s="6">
        <v>9.4677253518265628E-2</v>
      </c>
      <c r="D76" s="6">
        <v>-1.0443048243949926E-2</v>
      </c>
      <c r="E76" s="6">
        <v>-0.11588467368996615</v>
      </c>
      <c r="F76" s="6">
        <v>0.14789142559251234</v>
      </c>
      <c r="G76" s="6">
        <v>3.0879858216043443E-2</v>
      </c>
      <c r="H76" s="6">
        <v>-0.18677586099880295</v>
      </c>
      <c r="I76">
        <v>4.4997387158052016</v>
      </c>
      <c r="J76" s="3"/>
      <c r="K76" s="6"/>
      <c r="L76" s="6">
        <v>6.7687653746205889E-2</v>
      </c>
      <c r="M76" s="5"/>
      <c r="N76" t="s">
        <v>408</v>
      </c>
      <c r="O76" s="3">
        <v>32628.1</v>
      </c>
      <c r="P76" s="3">
        <v>18208.2</v>
      </c>
      <c r="Q76" s="3">
        <v>3301.79</v>
      </c>
      <c r="R76" s="3">
        <v>10221.290000000001</v>
      </c>
      <c r="S76" s="3">
        <v>382.35</v>
      </c>
      <c r="T76" s="3">
        <v>6449.41</v>
      </c>
      <c r="U76" s="3">
        <v>7414.1</v>
      </c>
      <c r="V76" s="3">
        <v>1023.71</v>
      </c>
      <c r="W76" s="3">
        <v>455.45</v>
      </c>
    </row>
    <row r="77" spans="1:23" x14ac:dyDescent="0.25">
      <c r="A77" t="s">
        <v>354</v>
      </c>
      <c r="B77" s="2">
        <v>43100</v>
      </c>
      <c r="C77" s="6">
        <v>8.5852303363761914E-2</v>
      </c>
      <c r="D77" s="6">
        <v>9.0672391568221489E-2</v>
      </c>
      <c r="E77" s="6">
        <v>0.2287575660578294</v>
      </c>
      <c r="F77" s="6">
        <v>0.12526136218184858</v>
      </c>
      <c r="G77" s="6">
        <v>7.5624199686679994E-2</v>
      </c>
      <c r="H77" s="6">
        <v>0.24242346213659527</v>
      </c>
      <c r="I77">
        <v>4.1521979280172205</v>
      </c>
      <c r="J77" s="3"/>
      <c r="K77" s="6"/>
      <c r="L77" s="6">
        <v>7.6889613742347374E-2</v>
      </c>
      <c r="M77" s="5"/>
      <c r="N77" t="s">
        <v>409</v>
      </c>
      <c r="O77" s="3">
        <v>33306.92</v>
      </c>
      <c r="P77" s="3">
        <v>18607.61</v>
      </c>
      <c r="Q77" s="3">
        <v>3476.29</v>
      </c>
      <c r="R77" s="3">
        <v>10527.35</v>
      </c>
      <c r="S77" s="3">
        <v>373.12</v>
      </c>
      <c r="T77" s="3">
        <v>6568.03</v>
      </c>
      <c r="U77" s="3">
        <v>7827.55</v>
      </c>
      <c r="V77" s="3">
        <v>1149.8399999999999</v>
      </c>
      <c r="W77" s="3">
        <v>432.23</v>
      </c>
    </row>
    <row r="78" spans="1:23" x14ac:dyDescent="0.25">
      <c r="A78" t="s">
        <v>355</v>
      </c>
      <c r="B78" s="2">
        <v>43190</v>
      </c>
      <c r="C78" s="6">
        <v>7.5777241451243649E-2</v>
      </c>
      <c r="D78" s="6">
        <v>0.108394280847258</v>
      </c>
      <c r="E78" s="6">
        <v>0.20779294283095595</v>
      </c>
      <c r="F78" s="6">
        <v>8.2881012999025838E-2</v>
      </c>
      <c r="G78" s="6">
        <v>6.8853008123006099E-2</v>
      </c>
      <c r="H78" s="6">
        <v>-1.6625974472278315E-2</v>
      </c>
      <c r="I78">
        <v>4.0991298070717663</v>
      </c>
      <c r="J78" s="3"/>
      <c r="K78" s="6"/>
      <c r="L78" s="6">
        <v>8.1305805219479943E-2</v>
      </c>
      <c r="M78" s="5"/>
      <c r="N78" t="s">
        <v>410</v>
      </c>
      <c r="O78" s="3">
        <v>33920.720000000001</v>
      </c>
      <c r="P78" s="3">
        <v>19092.560000000001</v>
      </c>
      <c r="Q78" s="3">
        <v>3644.3</v>
      </c>
      <c r="R78" s="3">
        <v>10739.01</v>
      </c>
      <c r="S78" s="3">
        <v>386.87</v>
      </c>
      <c r="T78" s="3">
        <v>6678.28</v>
      </c>
      <c r="U78" s="3">
        <v>7794.81</v>
      </c>
      <c r="V78" s="3">
        <v>764.51</v>
      </c>
      <c r="W78" s="3">
        <v>410</v>
      </c>
    </row>
    <row r="79" spans="1:23" x14ac:dyDescent="0.25">
      <c r="A79" t="s">
        <v>356</v>
      </c>
      <c r="B79" s="2">
        <v>43281</v>
      </c>
      <c r="C79" s="6">
        <v>6.000524453810141E-2</v>
      </c>
      <c r="D79" s="6">
        <v>0.10438967482625294</v>
      </c>
      <c r="E79" s="6">
        <v>-3.5304633611690561E-2</v>
      </c>
      <c r="F79" s="6">
        <v>0.17188758549979988</v>
      </c>
      <c r="G79" s="6">
        <v>0.22315543404844759</v>
      </c>
      <c r="H79" s="6">
        <v>0.5207256467175001</v>
      </c>
      <c r="I79">
        <v>3.4507530153349064</v>
      </c>
      <c r="J79" s="3"/>
      <c r="K79" s="6"/>
      <c r="L79" s="6">
        <v>7.951211321796392E-2</v>
      </c>
      <c r="M79" s="5"/>
      <c r="N79" t="s">
        <v>411</v>
      </c>
      <c r="O79" s="3">
        <v>34418.51</v>
      </c>
      <c r="P79" s="3">
        <v>19572.43</v>
      </c>
      <c r="Q79" s="3">
        <v>3611.7</v>
      </c>
      <c r="R79" s="3">
        <v>11173.41</v>
      </c>
      <c r="S79" s="3">
        <v>397.33</v>
      </c>
      <c r="T79" s="3">
        <v>7023.2</v>
      </c>
      <c r="U79" s="3">
        <v>8656.02</v>
      </c>
      <c r="V79" s="3">
        <v>876.76</v>
      </c>
      <c r="W79" s="3">
        <v>419.7</v>
      </c>
    </row>
    <row r="80" spans="1:23" x14ac:dyDescent="0.25">
      <c r="A80" t="s">
        <v>357</v>
      </c>
      <c r="B80" s="2">
        <v>43373</v>
      </c>
      <c r="C80" s="6">
        <v>6.0729617129845037E-2</v>
      </c>
      <c r="D80" s="6">
        <v>7.905745507053652E-2</v>
      </c>
      <c r="E80" s="6">
        <v>7.4457543909681956E-2</v>
      </c>
      <c r="F80" s="6">
        <v>0.10046067530188661</v>
      </c>
      <c r="G80" s="6">
        <v>0.14274275476124432</v>
      </c>
      <c r="H80" s="6">
        <v>0.24201776549949106</v>
      </c>
      <c r="I80">
        <v>2.9505265686017967</v>
      </c>
      <c r="J80" s="3"/>
      <c r="K80" s="6"/>
      <c r="L80" s="6">
        <v>7.0015990849939147E-2</v>
      </c>
      <c r="M80" s="5"/>
      <c r="N80" t="s">
        <v>412</v>
      </c>
      <c r="O80" s="3">
        <v>34929.57</v>
      </c>
      <c r="P80" s="3">
        <v>19948.3</v>
      </c>
      <c r="Q80" s="3">
        <v>3677.13</v>
      </c>
      <c r="R80" s="3">
        <v>11444.04</v>
      </c>
      <c r="S80" s="3">
        <v>397.21</v>
      </c>
      <c r="T80" s="3">
        <v>7261.43</v>
      </c>
      <c r="U80" s="3">
        <v>9137.98</v>
      </c>
      <c r="V80" s="3">
        <v>887.77</v>
      </c>
      <c r="W80" s="3">
        <v>451.67</v>
      </c>
    </row>
    <row r="81" spans="1:23" x14ac:dyDescent="0.25">
      <c r="A81" t="s">
        <v>358</v>
      </c>
      <c r="B81" s="2">
        <v>43465</v>
      </c>
      <c r="C81" s="6">
        <v>6.8743141135315877E-2</v>
      </c>
      <c r="D81" s="6">
        <v>3.8083167722139155E-2</v>
      </c>
      <c r="E81" s="6">
        <v>4.9981267988098432E-2</v>
      </c>
      <c r="F81" s="6">
        <v>0.10869122363986893</v>
      </c>
      <c r="G81" s="6">
        <v>0.23365892090579776</v>
      </c>
      <c r="H81" s="6">
        <v>-7.8344543091730112E-2</v>
      </c>
      <c r="I81">
        <v>2.7438063877121222</v>
      </c>
      <c r="J81" s="3"/>
      <c r="K81" s="6"/>
      <c r="L81" s="6">
        <v>6.5768921552123327E-2</v>
      </c>
      <c r="M81" s="5"/>
      <c r="N81" t="s">
        <v>413</v>
      </c>
      <c r="O81" s="3">
        <v>35514.980000000003</v>
      </c>
      <c r="P81" s="3">
        <v>20135.57</v>
      </c>
      <c r="Q81" s="3">
        <v>3722.24</v>
      </c>
      <c r="R81" s="3">
        <v>11743.08</v>
      </c>
      <c r="S81" s="3">
        <v>388.63</v>
      </c>
      <c r="T81" s="3">
        <v>7652.81</v>
      </c>
      <c r="U81" s="3">
        <v>8953.49</v>
      </c>
      <c r="V81" s="3">
        <v>387.53</v>
      </c>
      <c r="W81" s="3">
        <v>438.61</v>
      </c>
    </row>
    <row r="82" spans="1:23" x14ac:dyDescent="0.25">
      <c r="A82" t="s">
        <v>359</v>
      </c>
      <c r="B82" s="2">
        <v>43555</v>
      </c>
      <c r="C82" s="6">
        <v>4.1424687710228003E-2</v>
      </c>
      <c r="D82" s="6">
        <v>7.6348030602927608E-2</v>
      </c>
      <c r="E82" s="6">
        <v>0.46801728391896646</v>
      </c>
      <c r="F82" s="6">
        <v>-0.1915414304406329</v>
      </c>
      <c r="G82" s="6">
        <v>-0.11775900829074726</v>
      </c>
      <c r="H82" s="6">
        <v>-6.0714394465212533E-2</v>
      </c>
      <c r="I82">
        <v>3.2958587653469262</v>
      </c>
      <c r="J82" s="3"/>
      <c r="K82" s="6"/>
      <c r="L82" s="6">
        <v>5.830804089125019E-2</v>
      </c>
      <c r="M82" s="5"/>
      <c r="N82" t="s">
        <v>414</v>
      </c>
      <c r="O82" s="3">
        <v>35877.199999999997</v>
      </c>
      <c r="P82" s="3">
        <v>20509.36</v>
      </c>
      <c r="Q82" s="3">
        <v>4097.2</v>
      </c>
      <c r="R82" s="3">
        <v>11135.16</v>
      </c>
      <c r="S82" s="3">
        <v>394.67</v>
      </c>
      <c r="T82" s="3">
        <v>7416.82</v>
      </c>
      <c r="U82" s="3">
        <v>8814.3799999999992</v>
      </c>
      <c r="V82" s="3">
        <v>694.8</v>
      </c>
      <c r="W82" s="3">
        <v>443.57</v>
      </c>
    </row>
    <row r="83" spans="1:23" x14ac:dyDescent="0.25">
      <c r="A83" t="s">
        <v>383</v>
      </c>
      <c r="B83" s="2">
        <v>43646</v>
      </c>
      <c r="C83" s="6">
        <v>2.9368207506554667E-2</v>
      </c>
      <c r="D83" s="6">
        <v>-6.6819149674429035E-2</v>
      </c>
      <c r="E83" s="6">
        <v>-0.16056188812223959</v>
      </c>
      <c r="F83" s="6">
        <v>0.18741814030243398</v>
      </c>
      <c r="G83" s="6">
        <v>5.39325600183993E-5</v>
      </c>
      <c r="H83" s="6">
        <v>9.9133985079286724E-2</v>
      </c>
      <c r="I83">
        <v>2.8315503210539994</v>
      </c>
      <c r="J83" s="3"/>
      <c r="K83" s="6"/>
      <c r="L83" s="6">
        <v>5.0140055776264569E-2</v>
      </c>
      <c r="M83" s="5"/>
      <c r="N83" t="s">
        <v>415</v>
      </c>
      <c r="O83" s="3">
        <v>36137.760000000002</v>
      </c>
      <c r="P83" s="3">
        <v>20157.82</v>
      </c>
      <c r="Q83" s="3">
        <v>3921.79</v>
      </c>
      <c r="R83" s="3">
        <v>11623.78</v>
      </c>
      <c r="S83" s="3">
        <v>405.61</v>
      </c>
      <c r="T83" s="3">
        <v>7416.92</v>
      </c>
      <c r="U83" s="3">
        <v>9025.15</v>
      </c>
      <c r="V83" s="3">
        <v>1237.54</v>
      </c>
      <c r="W83" s="3">
        <v>399.45</v>
      </c>
    </row>
    <row r="84" spans="1:23" x14ac:dyDescent="0.25">
      <c r="A84" t="s">
        <v>385</v>
      </c>
      <c r="B84" s="2">
        <v>43738</v>
      </c>
      <c r="C84" s="6">
        <v>4.4720431353243217E-2</v>
      </c>
      <c r="D84" s="6">
        <v>0.16294482726290638</v>
      </c>
      <c r="E84" s="6">
        <v>0.39683152536554106</v>
      </c>
      <c r="F84" s="6">
        <v>-2.0244036833818035E-2</v>
      </c>
      <c r="G84" s="6">
        <v>-0.10278138052930474</v>
      </c>
      <c r="H84" s="6">
        <v>-0.20225824815112481</v>
      </c>
      <c r="I84">
        <v>2.960841746246623</v>
      </c>
      <c r="K84" s="4"/>
      <c r="L84" s="6">
        <v>4.5485585750183022E-2</v>
      </c>
      <c r="N84" t="s">
        <v>416</v>
      </c>
      <c r="O84" s="3">
        <v>36535.18</v>
      </c>
      <c r="P84" s="3">
        <v>20933.09</v>
      </c>
      <c r="Q84" s="3">
        <v>4263.54</v>
      </c>
      <c r="R84" s="3">
        <v>11564.5</v>
      </c>
      <c r="S84" s="3">
        <v>391.14</v>
      </c>
      <c r="T84" s="3">
        <v>7218.52</v>
      </c>
      <c r="U84" s="3">
        <v>8529.43</v>
      </c>
      <c r="V84" s="3">
        <v>294.08</v>
      </c>
      <c r="W84" s="3">
        <v>399.74</v>
      </c>
    </row>
    <row r="85" spans="1:23" x14ac:dyDescent="0.25">
      <c r="N85" t="s">
        <v>417</v>
      </c>
    </row>
    <row r="86" spans="1:23" x14ac:dyDescent="0.25">
      <c r="N86" t="s">
        <v>418</v>
      </c>
    </row>
    <row r="87" spans="1:23" x14ac:dyDescent="0.25">
      <c r="N87" t="s">
        <v>419</v>
      </c>
    </row>
    <row r="88" spans="1:23" x14ac:dyDescent="0.25">
      <c r="N88" t="s">
        <v>420</v>
      </c>
    </row>
    <row r="89" spans="1:23" x14ac:dyDescent="0.25">
      <c r="N89" t="s">
        <v>421</v>
      </c>
    </row>
  </sheetData>
  <hyperlinks>
    <hyperlink ref="P2:U2" r:id="rId1" display="REDPC2@JAPAN" xr:uid="{F50183AA-C6C9-4B87-AD19-323E232ABA23}"/>
    <hyperlink ref="R2" r:id="rId2" xr:uid="{7D55CB9A-F109-47CF-87D5-B80DB98B5ED0}"/>
  </hyperlinks>
  <pageMargins left="0.7" right="0.7" top="0.75" bottom="0.75" header="0.3" footer="0.3"/>
  <pageSetup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7793C-A4A6-4D97-9BFD-CBACA86956CE}">
  <dimension ref="A1:Q337"/>
  <sheetViews>
    <sheetView workbookViewId="0">
      <pane xSplit="1" ySplit="1" topLeftCell="B299" activePane="bottomRight" state="frozen"/>
      <selection activeCell="Y2" sqref="Y2"/>
      <selection pane="topRight" activeCell="Y2" sqref="Y2"/>
      <selection pane="bottomLeft" activeCell="Y2" sqref="Y2"/>
      <selection pane="bottomRight" activeCell="C318" sqref="C318"/>
    </sheetView>
  </sheetViews>
  <sheetFormatPr defaultRowHeight="15" x14ac:dyDescent="0.25"/>
  <cols>
    <col min="2" max="8" width="17.28515625" customWidth="1"/>
    <col min="9" max="9" width="10.7109375" bestFit="1" customWidth="1"/>
  </cols>
  <sheetData>
    <row r="1" spans="1:17" ht="105" x14ac:dyDescent="0.25">
      <c r="A1" s="36" t="s">
        <v>432</v>
      </c>
      <c r="B1" s="37" t="s">
        <v>433</v>
      </c>
      <c r="C1" s="37" t="s">
        <v>434</v>
      </c>
      <c r="D1" s="37" t="s">
        <v>435</v>
      </c>
      <c r="E1" s="37" t="s">
        <v>436</v>
      </c>
      <c r="F1" s="37" t="s">
        <v>437</v>
      </c>
      <c r="G1" s="37"/>
    </row>
    <row r="2" spans="1:17" x14ac:dyDescent="0.25">
      <c r="A2" s="38" t="s">
        <v>438</v>
      </c>
      <c r="B2" s="38" t="s">
        <v>439</v>
      </c>
      <c r="C2" s="38" t="s">
        <v>439</v>
      </c>
      <c r="D2" s="38" t="s">
        <v>439</v>
      </c>
      <c r="E2" s="38" t="s">
        <v>439</v>
      </c>
      <c r="F2" s="38" t="s">
        <v>439</v>
      </c>
      <c r="G2" s="38"/>
    </row>
    <row r="3" spans="1:17" x14ac:dyDescent="0.25">
      <c r="A3" s="38" t="s">
        <v>440</v>
      </c>
      <c r="B3" s="38"/>
      <c r="C3" s="38"/>
      <c r="D3" s="38"/>
      <c r="E3" s="38"/>
      <c r="F3" s="38"/>
      <c r="G3" s="38"/>
    </row>
    <row r="4" spans="1:17" x14ac:dyDescent="0.25">
      <c r="A4" s="38" t="s">
        <v>441</v>
      </c>
      <c r="B4" s="38" t="s">
        <v>442</v>
      </c>
      <c r="C4" s="38" t="s">
        <v>442</v>
      </c>
      <c r="D4" s="38" t="s">
        <v>442</v>
      </c>
      <c r="E4" s="38" t="s">
        <v>443</v>
      </c>
      <c r="F4" s="38" t="s">
        <v>443</v>
      </c>
      <c r="G4" s="38"/>
    </row>
    <row r="5" spans="1:17" x14ac:dyDescent="0.25">
      <c r="A5" s="38" t="s">
        <v>444</v>
      </c>
      <c r="B5" s="38" t="s">
        <v>445</v>
      </c>
      <c r="C5" s="38" t="s">
        <v>445</v>
      </c>
      <c r="D5" s="38" t="s">
        <v>446</v>
      </c>
      <c r="E5" s="38" t="s">
        <v>445</v>
      </c>
      <c r="F5" s="38" t="s">
        <v>445</v>
      </c>
      <c r="G5" s="38"/>
    </row>
    <row r="6" spans="1:17" x14ac:dyDescent="0.25">
      <c r="A6" s="38" t="s">
        <v>447</v>
      </c>
      <c r="B6" s="38" t="s">
        <v>448</v>
      </c>
      <c r="C6" s="38" t="s">
        <v>448</v>
      </c>
      <c r="D6" s="38" t="s">
        <v>448</v>
      </c>
      <c r="E6" s="38" t="s">
        <v>449</v>
      </c>
      <c r="F6" s="38" t="s">
        <v>449</v>
      </c>
      <c r="G6" s="38"/>
    </row>
    <row r="7" spans="1:17" x14ac:dyDescent="0.25">
      <c r="A7" s="38" t="s">
        <v>450</v>
      </c>
      <c r="B7" s="38" t="s">
        <v>451</v>
      </c>
      <c r="C7" s="38" t="s">
        <v>451</v>
      </c>
      <c r="D7" s="38" t="s">
        <v>451</v>
      </c>
      <c r="E7" s="38" t="s">
        <v>451</v>
      </c>
      <c r="F7" s="38" t="s">
        <v>451</v>
      </c>
      <c r="G7" s="38"/>
    </row>
    <row r="8" spans="1:17" x14ac:dyDescent="0.25">
      <c r="A8" s="38" t="s">
        <v>452</v>
      </c>
      <c r="B8" s="39">
        <v>224244002</v>
      </c>
      <c r="C8" s="39">
        <v>234029202</v>
      </c>
      <c r="D8" s="39" t="s">
        <v>453</v>
      </c>
      <c r="E8" s="39" t="s">
        <v>454</v>
      </c>
      <c r="F8" s="39" t="s">
        <v>455</v>
      </c>
      <c r="G8" s="39"/>
    </row>
    <row r="9" spans="1:17" x14ac:dyDescent="0.25">
      <c r="A9" s="38" t="s">
        <v>456</v>
      </c>
      <c r="B9" s="39" t="s">
        <v>457</v>
      </c>
      <c r="C9" s="39" t="s">
        <v>458</v>
      </c>
      <c r="D9" s="39" t="s">
        <v>459</v>
      </c>
      <c r="E9" s="39" t="s">
        <v>460</v>
      </c>
      <c r="F9" s="39" t="s">
        <v>461</v>
      </c>
      <c r="G9" s="39"/>
    </row>
    <row r="10" spans="1:17" x14ac:dyDescent="0.25">
      <c r="A10" s="38" t="s">
        <v>462</v>
      </c>
      <c r="B10" s="38"/>
      <c r="C10" s="38"/>
      <c r="D10" s="38"/>
      <c r="E10" s="38"/>
      <c r="F10" s="38"/>
      <c r="G10" s="38"/>
    </row>
    <row r="11" spans="1:17" x14ac:dyDescent="0.25">
      <c r="A11" s="38" t="s">
        <v>463</v>
      </c>
      <c r="B11" s="38"/>
      <c r="C11" s="38"/>
      <c r="D11" s="38"/>
      <c r="E11" s="38"/>
      <c r="F11" s="38"/>
      <c r="G11" s="38"/>
    </row>
    <row r="12" spans="1:17" x14ac:dyDescent="0.25">
      <c r="A12" s="38" t="s">
        <v>464</v>
      </c>
      <c r="B12" s="38">
        <v>36586</v>
      </c>
      <c r="C12" s="38">
        <v>36678</v>
      </c>
      <c r="D12" s="38">
        <v>36678</v>
      </c>
      <c r="E12" s="38">
        <v>35004</v>
      </c>
      <c r="F12" s="38">
        <v>35004</v>
      </c>
      <c r="G12" s="38"/>
    </row>
    <row r="13" spans="1:17" x14ac:dyDescent="0.25">
      <c r="A13" s="38" t="s">
        <v>465</v>
      </c>
      <c r="B13" s="38">
        <v>43800</v>
      </c>
      <c r="C13" s="38">
        <v>43891</v>
      </c>
      <c r="D13" s="38">
        <v>43891</v>
      </c>
      <c r="E13" s="38">
        <v>43831</v>
      </c>
      <c r="F13" s="38">
        <v>43831</v>
      </c>
      <c r="G13" s="38"/>
    </row>
    <row r="14" spans="1:17" x14ac:dyDescent="0.25">
      <c r="A14" s="40" t="s">
        <v>466</v>
      </c>
      <c r="B14" s="40">
        <v>43867</v>
      </c>
      <c r="C14" s="40">
        <v>43867</v>
      </c>
      <c r="D14" s="40">
        <v>43867</v>
      </c>
      <c r="E14" s="40">
        <v>43875</v>
      </c>
      <c r="F14" s="40">
        <v>43875</v>
      </c>
      <c r="G14" s="40"/>
    </row>
    <row r="15" spans="1:17" ht="30" x14ac:dyDescent="0.25">
      <c r="A15" s="41" t="s">
        <v>467</v>
      </c>
      <c r="B15" s="37"/>
      <c r="C15" s="37"/>
      <c r="D15" s="37"/>
      <c r="E15" s="37"/>
      <c r="F15" s="37"/>
      <c r="G15" s="37"/>
      <c r="H15" s="42"/>
      <c r="I15" s="42"/>
      <c r="J15" s="42"/>
      <c r="K15" s="42"/>
      <c r="L15" s="42"/>
      <c r="M15" s="42"/>
      <c r="N15" s="42"/>
      <c r="O15" s="42"/>
      <c r="P15" s="42"/>
      <c r="Q15" s="42"/>
    </row>
    <row r="16" spans="1:17" x14ac:dyDescent="0.25">
      <c r="A16" s="38" t="s">
        <v>468</v>
      </c>
      <c r="B16" s="43"/>
      <c r="C16" s="43"/>
      <c r="D16" s="43"/>
      <c r="E16" s="43"/>
      <c r="F16" s="43"/>
      <c r="G16" s="43"/>
    </row>
    <row r="17" spans="1:16" x14ac:dyDescent="0.25">
      <c r="A17" s="44" t="s">
        <v>469</v>
      </c>
      <c r="B17" s="39">
        <v>110.911249999999</v>
      </c>
      <c r="C17" s="39">
        <v>117.383749999999</v>
      </c>
      <c r="D17" s="39">
        <v>38.741250000000001</v>
      </c>
      <c r="E17" s="39">
        <v>100.142005145223</v>
      </c>
      <c r="F17" s="39">
        <v>100.143102968419</v>
      </c>
      <c r="G17" s="39"/>
    </row>
    <row r="18" spans="1:16" x14ac:dyDescent="0.25">
      <c r="A18" s="44" t="s">
        <v>470</v>
      </c>
      <c r="B18" s="39">
        <v>71.630631329113896</v>
      </c>
      <c r="C18" s="39">
        <v>34.402390822784803</v>
      </c>
      <c r="D18" s="39">
        <v>77.965998417721394</v>
      </c>
      <c r="E18" s="39">
        <v>68.969215616648299</v>
      </c>
      <c r="F18" s="39">
        <v>49.3479616930167</v>
      </c>
      <c r="G18" s="39"/>
    </row>
    <row r="19" spans="1:16" x14ac:dyDescent="0.25">
      <c r="A19" s="44" t="s">
        <v>471</v>
      </c>
      <c r="B19" s="39">
        <v>8.4634881301455103</v>
      </c>
      <c r="C19" s="39">
        <v>5.8653551318555897</v>
      </c>
      <c r="D19" s="39">
        <v>8.8298356959640802</v>
      </c>
      <c r="E19" s="39">
        <v>8.3047706540667505</v>
      </c>
      <c r="F19" s="39">
        <v>7.0248104382265497</v>
      </c>
      <c r="G19" s="39"/>
    </row>
    <row r="20" spans="1:16" x14ac:dyDescent="0.25">
      <c r="A20" s="44" t="s">
        <v>472</v>
      </c>
      <c r="B20" s="39">
        <v>-0.45507728158677502</v>
      </c>
      <c r="C20" s="39">
        <v>-0.70668489871486195</v>
      </c>
      <c r="D20" s="39">
        <v>-0.33475062847470399</v>
      </c>
      <c r="E20" s="39">
        <v>-0.29608188816483799</v>
      </c>
      <c r="F20" s="39">
        <v>2.1971552591033301E-2</v>
      </c>
      <c r="G20" s="39"/>
    </row>
    <row r="21" spans="1:16" x14ac:dyDescent="0.25">
      <c r="A21" s="44" t="s">
        <v>473</v>
      </c>
      <c r="B21" s="39">
        <v>0.41321751573350701</v>
      </c>
      <c r="C21" s="39">
        <v>1.23803572971076</v>
      </c>
      <c r="D21" s="39">
        <v>-1.77999751605315E-2</v>
      </c>
      <c r="E21" s="39">
        <v>1.09999790899584</v>
      </c>
      <c r="F21" s="39">
        <v>0.91922283810593797</v>
      </c>
      <c r="G21" s="39"/>
    </row>
    <row r="22" spans="1:16" x14ac:dyDescent="0.25">
      <c r="A22" s="44" t="s">
        <v>474</v>
      </c>
      <c r="B22" s="39">
        <v>7.6308653361543702E-2</v>
      </c>
      <c r="C22" s="39">
        <v>4.9967351800020002E-2</v>
      </c>
      <c r="D22" s="39">
        <v>0.22791819303621</v>
      </c>
      <c r="E22" s="39">
        <v>8.2929941756442596E-2</v>
      </c>
      <c r="F22" s="39">
        <v>7.0147720911362899E-2</v>
      </c>
      <c r="G22" s="39"/>
    </row>
    <row r="23" spans="1:16" x14ac:dyDescent="0.25">
      <c r="A23" s="44" t="s">
        <v>475</v>
      </c>
      <c r="B23" s="39">
        <v>82.6</v>
      </c>
      <c r="C23" s="39">
        <v>96.4</v>
      </c>
      <c r="D23" s="39">
        <v>11.2</v>
      </c>
      <c r="E23" s="39">
        <v>65.627514009999999</v>
      </c>
      <c r="F23" s="39">
        <v>77.584025080000004</v>
      </c>
      <c r="G23" s="39"/>
    </row>
    <row r="24" spans="1:16" x14ac:dyDescent="0.25">
      <c r="A24" s="44" t="s">
        <v>476</v>
      </c>
      <c r="B24" s="39">
        <v>127.7</v>
      </c>
      <c r="C24" s="39">
        <v>127.5</v>
      </c>
      <c r="D24" s="39">
        <v>53.8</v>
      </c>
      <c r="E24" s="39">
        <v>124.19615992999999</v>
      </c>
      <c r="F24" s="39">
        <v>118.91702409</v>
      </c>
      <c r="G24" s="39"/>
    </row>
    <row r="25" spans="1:16" x14ac:dyDescent="0.25">
      <c r="A25" s="44" t="s">
        <v>477</v>
      </c>
      <c r="B25" s="39">
        <v>110.05</v>
      </c>
      <c r="C25" s="39">
        <v>117.45</v>
      </c>
      <c r="D25" s="39">
        <v>36.950000000000003</v>
      </c>
      <c r="E25" s="39">
        <v>100.48892608</v>
      </c>
      <c r="F25" s="39">
        <v>99.484244200000006</v>
      </c>
      <c r="G25" s="39"/>
      <c r="I25" s="39">
        <v>1</v>
      </c>
      <c r="J25" s="39">
        <v>2</v>
      </c>
      <c r="K25" s="39">
        <v>3</v>
      </c>
      <c r="L25" s="39">
        <v>4</v>
      </c>
      <c r="M25" s="39">
        <v>5</v>
      </c>
      <c r="N25" s="39">
        <v>6</v>
      </c>
      <c r="O25" s="39"/>
      <c r="P25" s="39"/>
    </row>
    <row r="26" spans="1:16" x14ac:dyDescent="0.25">
      <c r="A26" s="44" t="s">
        <v>478</v>
      </c>
      <c r="B26" s="39">
        <v>80</v>
      </c>
      <c r="C26" s="39">
        <v>80</v>
      </c>
      <c r="D26" s="39">
        <v>80</v>
      </c>
      <c r="E26" s="39">
        <v>291</v>
      </c>
      <c r="F26" s="39">
        <v>291</v>
      </c>
      <c r="G26" s="39"/>
      <c r="J26" t="str">
        <f>B1</f>
        <v>RBI: Industrial Outlook Survey: Business Expectation Index: Assessment for Current Quarter</v>
      </c>
      <c r="K26" t="str">
        <f>C1</f>
        <v>RBI Forecast: Industrial Outlook Survey: Business Expectation Index: Expectation for Next Quarter</v>
      </c>
      <c r="L26" t="str">
        <f>D1</f>
        <v>RBI Forecast: Industrial Outlook Survey: Overall Business Situation</v>
      </c>
      <c r="M26" t="str">
        <f>E1</f>
        <v>CEIC Leading Indicator: India</v>
      </c>
      <c r="N26" t="str">
        <f>F1</f>
        <v>CEIC Leading Indicator: Smoothed: India</v>
      </c>
    </row>
    <row r="27" spans="1:16" x14ac:dyDescent="0.25">
      <c r="A27" s="45">
        <v>35004</v>
      </c>
      <c r="B27" s="46"/>
      <c r="C27" s="46"/>
      <c r="D27" s="46"/>
      <c r="E27" s="55">
        <v>95.480275230000004</v>
      </c>
      <c r="F27" s="55">
        <v>94.561876369999993</v>
      </c>
      <c r="G27" s="47"/>
      <c r="H27" s="45">
        <f>A27</f>
        <v>35004</v>
      </c>
      <c r="I27" s="27">
        <v>35033</v>
      </c>
      <c r="J27" t="e">
        <f t="shared" ref="J27:N77" si="0">IF(ISNUMBER(VLOOKUP($H27,$A$27:$F$369,J$25,FALSE)),VLOOKUP($H27,$A$27:$F$369,J$25,FALSE),NA())</f>
        <v>#N/A</v>
      </c>
      <c r="K27" t="e">
        <f t="shared" si="0"/>
        <v>#N/A</v>
      </c>
      <c r="L27" t="e">
        <f t="shared" si="0"/>
        <v>#N/A</v>
      </c>
      <c r="M27">
        <f t="shared" si="0"/>
        <v>95.480275230000004</v>
      </c>
      <c r="N27">
        <f t="shared" si="0"/>
        <v>94.561876369999993</v>
      </c>
    </row>
    <row r="28" spans="1:16" x14ac:dyDescent="0.25">
      <c r="A28" s="45">
        <v>35034</v>
      </c>
      <c r="B28" s="46"/>
      <c r="C28" s="46"/>
      <c r="D28" s="46"/>
      <c r="E28" s="55">
        <v>95.756128020000006</v>
      </c>
      <c r="F28" s="55">
        <v>95.025221500000001</v>
      </c>
      <c r="G28" s="47"/>
      <c r="H28" s="45">
        <f t="shared" ref="H28:H91" si="1">A28</f>
        <v>35034</v>
      </c>
      <c r="I28" s="27">
        <v>35064</v>
      </c>
      <c r="J28" t="e">
        <f t="shared" si="0"/>
        <v>#N/A</v>
      </c>
      <c r="K28" t="e">
        <f t="shared" si="0"/>
        <v>#N/A</v>
      </c>
      <c r="L28" t="e">
        <f t="shared" si="0"/>
        <v>#N/A</v>
      </c>
      <c r="M28">
        <f t="shared" si="0"/>
        <v>95.756128020000006</v>
      </c>
      <c r="N28">
        <f t="shared" si="0"/>
        <v>95.025221500000001</v>
      </c>
    </row>
    <row r="29" spans="1:16" x14ac:dyDescent="0.25">
      <c r="A29" s="45">
        <v>35065</v>
      </c>
      <c r="B29" s="46"/>
      <c r="C29" s="46"/>
      <c r="D29" s="46"/>
      <c r="E29" s="55">
        <v>91.514894179999999</v>
      </c>
      <c r="F29" s="55">
        <v>95.554166559999999</v>
      </c>
      <c r="G29" s="47"/>
      <c r="H29" s="45">
        <f t="shared" si="1"/>
        <v>35065</v>
      </c>
      <c r="I29" s="27">
        <v>35095</v>
      </c>
      <c r="J29" t="e">
        <f t="shared" si="0"/>
        <v>#N/A</v>
      </c>
      <c r="K29" t="e">
        <f t="shared" si="0"/>
        <v>#N/A</v>
      </c>
      <c r="L29" t="e">
        <f t="shared" si="0"/>
        <v>#N/A</v>
      </c>
      <c r="M29">
        <f t="shared" si="0"/>
        <v>91.514894179999999</v>
      </c>
      <c r="N29">
        <f t="shared" si="0"/>
        <v>95.554166559999999</v>
      </c>
    </row>
    <row r="30" spans="1:16" x14ac:dyDescent="0.25">
      <c r="A30" s="45">
        <v>35096</v>
      </c>
      <c r="B30" s="46"/>
      <c r="C30" s="46"/>
      <c r="D30" s="46"/>
      <c r="E30" s="55">
        <v>96.663707299999999</v>
      </c>
      <c r="F30" s="55">
        <v>96.266519059999993</v>
      </c>
      <c r="G30" s="47"/>
      <c r="H30" s="45">
        <f t="shared" si="1"/>
        <v>35096</v>
      </c>
      <c r="I30" s="27">
        <v>35124</v>
      </c>
      <c r="J30" t="e">
        <f t="shared" si="0"/>
        <v>#N/A</v>
      </c>
      <c r="K30" t="e">
        <f t="shared" si="0"/>
        <v>#N/A</v>
      </c>
      <c r="L30" t="e">
        <f t="shared" si="0"/>
        <v>#N/A</v>
      </c>
      <c r="M30">
        <f t="shared" si="0"/>
        <v>96.663707299999999</v>
      </c>
      <c r="N30">
        <f t="shared" si="0"/>
        <v>96.266519059999993</v>
      </c>
    </row>
    <row r="31" spans="1:16" x14ac:dyDescent="0.25">
      <c r="A31" s="45">
        <v>35125</v>
      </c>
      <c r="B31" s="46"/>
      <c r="C31" s="46"/>
      <c r="D31" s="46"/>
      <c r="E31" s="55">
        <v>95.983353879999996</v>
      </c>
      <c r="F31" s="55">
        <v>96.991567070000002</v>
      </c>
      <c r="G31" s="47"/>
      <c r="H31" s="45">
        <f t="shared" si="1"/>
        <v>35125</v>
      </c>
      <c r="I31" s="27">
        <v>35155</v>
      </c>
      <c r="J31" t="e">
        <f t="shared" si="0"/>
        <v>#N/A</v>
      </c>
      <c r="K31" t="e">
        <f t="shared" si="0"/>
        <v>#N/A</v>
      </c>
      <c r="L31" t="e">
        <f t="shared" si="0"/>
        <v>#N/A</v>
      </c>
      <c r="M31">
        <f t="shared" si="0"/>
        <v>95.983353879999996</v>
      </c>
      <c r="N31">
        <f t="shared" si="0"/>
        <v>96.991567070000002</v>
      </c>
    </row>
    <row r="32" spans="1:16" x14ac:dyDescent="0.25">
      <c r="A32" s="45">
        <v>35156</v>
      </c>
      <c r="B32" s="46"/>
      <c r="C32" s="46"/>
      <c r="D32" s="46"/>
      <c r="E32" s="55">
        <v>99.871831549999996</v>
      </c>
      <c r="F32" s="55">
        <v>97.586969269999997</v>
      </c>
      <c r="G32" s="47"/>
      <c r="H32" s="45">
        <f t="shared" si="1"/>
        <v>35156</v>
      </c>
      <c r="I32" s="27">
        <v>35185</v>
      </c>
      <c r="J32" t="e">
        <f t="shared" si="0"/>
        <v>#N/A</v>
      </c>
      <c r="K32" t="e">
        <f t="shared" si="0"/>
        <v>#N/A</v>
      </c>
      <c r="L32" t="e">
        <f t="shared" si="0"/>
        <v>#N/A</v>
      </c>
      <c r="M32">
        <f t="shared" si="0"/>
        <v>99.871831549999996</v>
      </c>
      <c r="N32">
        <f t="shared" si="0"/>
        <v>97.586969269999997</v>
      </c>
    </row>
    <row r="33" spans="1:14" x14ac:dyDescent="0.25">
      <c r="A33" s="45">
        <v>35186</v>
      </c>
      <c r="B33" s="46"/>
      <c r="C33" s="46"/>
      <c r="D33" s="46"/>
      <c r="E33" s="55">
        <v>100.11664011000001</v>
      </c>
      <c r="F33" s="55">
        <v>97.838369069999999</v>
      </c>
      <c r="G33" s="47"/>
      <c r="H33" s="45">
        <f t="shared" si="1"/>
        <v>35186</v>
      </c>
      <c r="I33" s="27">
        <v>35216</v>
      </c>
      <c r="J33" t="e">
        <f t="shared" si="0"/>
        <v>#N/A</v>
      </c>
      <c r="K33" t="e">
        <f t="shared" si="0"/>
        <v>#N/A</v>
      </c>
      <c r="L33" t="e">
        <f t="shared" si="0"/>
        <v>#N/A</v>
      </c>
      <c r="M33">
        <f t="shared" si="0"/>
        <v>100.11664011000001</v>
      </c>
      <c r="N33">
        <f t="shared" si="0"/>
        <v>97.838369069999999</v>
      </c>
    </row>
    <row r="34" spans="1:14" x14ac:dyDescent="0.25">
      <c r="A34" s="45">
        <v>35217</v>
      </c>
      <c r="B34" s="46"/>
      <c r="C34" s="46"/>
      <c r="D34" s="46"/>
      <c r="E34" s="55">
        <v>98.274345740000001</v>
      </c>
      <c r="F34" s="55">
        <v>97.694614369999996</v>
      </c>
      <c r="G34" s="47"/>
      <c r="H34" s="45">
        <f t="shared" si="1"/>
        <v>35217</v>
      </c>
      <c r="I34" s="27">
        <v>35246</v>
      </c>
      <c r="J34" t="e">
        <f t="shared" si="0"/>
        <v>#N/A</v>
      </c>
      <c r="K34" t="e">
        <f t="shared" si="0"/>
        <v>#N/A</v>
      </c>
      <c r="L34" t="e">
        <f t="shared" si="0"/>
        <v>#N/A</v>
      </c>
      <c r="M34">
        <f t="shared" si="0"/>
        <v>98.274345740000001</v>
      </c>
      <c r="N34">
        <f t="shared" si="0"/>
        <v>97.694614369999996</v>
      </c>
    </row>
    <row r="35" spans="1:14" x14ac:dyDescent="0.25">
      <c r="A35" s="45">
        <v>35247</v>
      </c>
      <c r="B35" s="46"/>
      <c r="C35" s="46"/>
      <c r="D35" s="46"/>
      <c r="E35" s="55">
        <v>97.508869419999996</v>
      </c>
      <c r="F35" s="55">
        <v>97.267286690000006</v>
      </c>
      <c r="G35" s="47"/>
      <c r="H35" s="45">
        <f t="shared" si="1"/>
        <v>35247</v>
      </c>
      <c r="I35" s="27">
        <v>35277</v>
      </c>
      <c r="J35" t="e">
        <f t="shared" si="0"/>
        <v>#N/A</v>
      </c>
      <c r="K35" t="e">
        <f t="shared" si="0"/>
        <v>#N/A</v>
      </c>
      <c r="L35" t="e">
        <f t="shared" si="0"/>
        <v>#N/A</v>
      </c>
      <c r="M35">
        <f t="shared" si="0"/>
        <v>97.508869419999996</v>
      </c>
      <c r="N35">
        <f t="shared" si="0"/>
        <v>97.267286690000006</v>
      </c>
    </row>
    <row r="36" spans="1:14" x14ac:dyDescent="0.25">
      <c r="A36" s="45">
        <v>35278</v>
      </c>
      <c r="B36" s="46"/>
      <c r="C36" s="46"/>
      <c r="D36" s="46"/>
      <c r="E36" s="55">
        <v>97.248939800000002</v>
      </c>
      <c r="F36" s="55">
        <v>96.709376930000005</v>
      </c>
      <c r="G36" s="47"/>
      <c r="H36" s="45">
        <f t="shared" si="1"/>
        <v>35278</v>
      </c>
      <c r="I36" s="27">
        <v>35308</v>
      </c>
      <c r="J36" t="e">
        <f t="shared" si="0"/>
        <v>#N/A</v>
      </c>
      <c r="K36" t="e">
        <f t="shared" si="0"/>
        <v>#N/A</v>
      </c>
      <c r="L36" t="e">
        <f t="shared" si="0"/>
        <v>#N/A</v>
      </c>
      <c r="M36">
        <f t="shared" si="0"/>
        <v>97.248939800000002</v>
      </c>
      <c r="N36">
        <f t="shared" si="0"/>
        <v>96.709376930000005</v>
      </c>
    </row>
    <row r="37" spans="1:14" x14ac:dyDescent="0.25">
      <c r="A37" s="45">
        <v>35309</v>
      </c>
      <c r="B37" s="46"/>
      <c r="C37" s="46"/>
      <c r="D37" s="46"/>
      <c r="E37" s="55">
        <v>94.325761130000004</v>
      </c>
      <c r="F37" s="55">
        <v>96.191131929999997</v>
      </c>
      <c r="G37" s="47"/>
      <c r="H37" s="45">
        <f t="shared" si="1"/>
        <v>35309</v>
      </c>
      <c r="I37" s="27">
        <v>35338</v>
      </c>
      <c r="J37" t="e">
        <f t="shared" si="0"/>
        <v>#N/A</v>
      </c>
      <c r="K37" t="e">
        <f t="shared" si="0"/>
        <v>#N/A</v>
      </c>
      <c r="L37" t="e">
        <f t="shared" si="0"/>
        <v>#N/A</v>
      </c>
      <c r="M37">
        <f t="shared" si="0"/>
        <v>94.325761130000004</v>
      </c>
      <c r="N37">
        <f t="shared" si="0"/>
        <v>96.191131929999997</v>
      </c>
    </row>
    <row r="38" spans="1:14" x14ac:dyDescent="0.25">
      <c r="A38" s="45">
        <v>35339</v>
      </c>
      <c r="B38" s="46"/>
      <c r="C38" s="46"/>
      <c r="D38" s="46"/>
      <c r="E38" s="55">
        <v>95.309392779999996</v>
      </c>
      <c r="F38" s="55">
        <v>95.921338689999999</v>
      </c>
      <c r="G38" s="47"/>
      <c r="H38" s="45">
        <f t="shared" si="1"/>
        <v>35339</v>
      </c>
      <c r="I38" s="27">
        <v>35369</v>
      </c>
      <c r="J38" t="e">
        <f t="shared" si="0"/>
        <v>#N/A</v>
      </c>
      <c r="K38" t="e">
        <f t="shared" si="0"/>
        <v>#N/A</v>
      </c>
      <c r="L38" t="e">
        <f t="shared" si="0"/>
        <v>#N/A</v>
      </c>
      <c r="M38">
        <f t="shared" si="0"/>
        <v>95.309392779999996</v>
      </c>
      <c r="N38">
        <f t="shared" si="0"/>
        <v>95.921338689999999</v>
      </c>
    </row>
    <row r="39" spans="1:14" x14ac:dyDescent="0.25">
      <c r="A39" s="45">
        <v>35370</v>
      </c>
      <c r="B39" s="46"/>
      <c r="C39" s="46"/>
      <c r="D39" s="46"/>
      <c r="E39" s="55">
        <v>93.457867890000003</v>
      </c>
      <c r="F39" s="55">
        <v>95.975543479999999</v>
      </c>
      <c r="G39" s="47"/>
      <c r="H39" s="45">
        <f t="shared" si="1"/>
        <v>35370</v>
      </c>
      <c r="I39" s="27">
        <v>35399</v>
      </c>
      <c r="J39" t="e">
        <f t="shared" si="0"/>
        <v>#N/A</v>
      </c>
      <c r="K39" t="e">
        <f t="shared" si="0"/>
        <v>#N/A</v>
      </c>
      <c r="L39" t="e">
        <f t="shared" si="0"/>
        <v>#N/A</v>
      </c>
      <c r="M39">
        <f t="shared" si="0"/>
        <v>93.457867890000003</v>
      </c>
      <c r="N39">
        <f t="shared" si="0"/>
        <v>95.975543479999999</v>
      </c>
    </row>
    <row r="40" spans="1:14" x14ac:dyDescent="0.25">
      <c r="A40" s="45">
        <v>35400</v>
      </c>
      <c r="B40" s="46"/>
      <c r="C40" s="46"/>
      <c r="D40" s="46"/>
      <c r="E40" s="55">
        <v>96.743780189999995</v>
      </c>
      <c r="F40" s="55">
        <v>96.385582130000003</v>
      </c>
      <c r="G40" s="47"/>
      <c r="H40" s="45">
        <f t="shared" si="1"/>
        <v>35400</v>
      </c>
      <c r="I40" s="27">
        <v>35430</v>
      </c>
      <c r="J40" t="e">
        <f t="shared" si="0"/>
        <v>#N/A</v>
      </c>
      <c r="K40" t="e">
        <f t="shared" si="0"/>
        <v>#N/A</v>
      </c>
      <c r="L40" t="e">
        <f t="shared" si="0"/>
        <v>#N/A</v>
      </c>
      <c r="M40">
        <f t="shared" si="0"/>
        <v>96.743780189999995</v>
      </c>
      <c r="N40">
        <f t="shared" si="0"/>
        <v>96.385582130000003</v>
      </c>
    </row>
    <row r="41" spans="1:14" x14ac:dyDescent="0.25">
      <c r="A41" s="45">
        <v>35431</v>
      </c>
      <c r="B41" s="46"/>
      <c r="C41" s="46"/>
      <c r="D41" s="46"/>
      <c r="E41" s="55">
        <v>96.850200569999998</v>
      </c>
      <c r="F41" s="55">
        <v>97.003456490000005</v>
      </c>
      <c r="G41" s="47"/>
      <c r="H41" s="45">
        <f t="shared" si="1"/>
        <v>35431</v>
      </c>
      <c r="I41" s="27">
        <v>35461</v>
      </c>
      <c r="J41" t="e">
        <f t="shared" si="0"/>
        <v>#N/A</v>
      </c>
      <c r="K41" t="e">
        <f t="shared" si="0"/>
        <v>#N/A</v>
      </c>
      <c r="L41" t="e">
        <f t="shared" si="0"/>
        <v>#N/A</v>
      </c>
      <c r="M41">
        <f t="shared" si="0"/>
        <v>96.850200569999998</v>
      </c>
      <c r="N41">
        <f t="shared" si="0"/>
        <v>97.003456490000005</v>
      </c>
    </row>
    <row r="42" spans="1:14" x14ac:dyDescent="0.25">
      <c r="A42" s="45">
        <v>35462</v>
      </c>
      <c r="B42" s="46"/>
      <c r="C42" s="46"/>
      <c r="D42" s="46"/>
      <c r="E42" s="55">
        <v>99.034891779999995</v>
      </c>
      <c r="F42" s="55">
        <v>97.706754009999997</v>
      </c>
      <c r="G42" s="47"/>
      <c r="H42" s="45">
        <f t="shared" si="1"/>
        <v>35462</v>
      </c>
      <c r="I42" s="27">
        <v>35489</v>
      </c>
      <c r="J42" t="e">
        <f t="shared" si="0"/>
        <v>#N/A</v>
      </c>
      <c r="K42" t="e">
        <f t="shared" si="0"/>
        <v>#N/A</v>
      </c>
      <c r="L42" t="e">
        <f t="shared" si="0"/>
        <v>#N/A</v>
      </c>
      <c r="M42">
        <f t="shared" si="0"/>
        <v>99.034891779999995</v>
      </c>
      <c r="N42">
        <f t="shared" si="0"/>
        <v>97.706754009999997</v>
      </c>
    </row>
    <row r="43" spans="1:14" x14ac:dyDescent="0.25">
      <c r="A43" s="45">
        <v>35490</v>
      </c>
      <c r="B43" s="46"/>
      <c r="C43" s="46"/>
      <c r="D43" s="46"/>
      <c r="E43" s="55">
        <v>96.716418709999999</v>
      </c>
      <c r="F43" s="55">
        <v>98.362115250000002</v>
      </c>
      <c r="G43" s="47"/>
      <c r="H43" s="45">
        <f t="shared" si="1"/>
        <v>35490</v>
      </c>
      <c r="I43" s="27">
        <v>35520</v>
      </c>
      <c r="J43" t="e">
        <f t="shared" si="0"/>
        <v>#N/A</v>
      </c>
      <c r="K43" t="e">
        <f t="shared" si="0"/>
        <v>#N/A</v>
      </c>
      <c r="L43" t="e">
        <f t="shared" si="0"/>
        <v>#N/A</v>
      </c>
      <c r="M43">
        <f t="shared" si="0"/>
        <v>96.716418709999999</v>
      </c>
      <c r="N43">
        <f t="shared" si="0"/>
        <v>98.362115250000002</v>
      </c>
    </row>
    <row r="44" spans="1:14" x14ac:dyDescent="0.25">
      <c r="A44" s="45">
        <v>35521</v>
      </c>
      <c r="B44" s="46"/>
      <c r="C44" s="46"/>
      <c r="D44" s="46"/>
      <c r="E44" s="55">
        <v>99.828289260000005</v>
      </c>
      <c r="F44" s="55">
        <v>98.931047800000002</v>
      </c>
      <c r="G44" s="47"/>
      <c r="H44" s="45">
        <f t="shared" si="1"/>
        <v>35521</v>
      </c>
      <c r="I44" s="27">
        <v>35550</v>
      </c>
      <c r="J44" t="e">
        <f t="shared" si="0"/>
        <v>#N/A</v>
      </c>
      <c r="K44" t="e">
        <f t="shared" si="0"/>
        <v>#N/A</v>
      </c>
      <c r="L44" t="e">
        <f t="shared" si="0"/>
        <v>#N/A</v>
      </c>
      <c r="M44">
        <f t="shared" si="0"/>
        <v>99.828289260000005</v>
      </c>
      <c r="N44">
        <f t="shared" si="0"/>
        <v>98.931047800000002</v>
      </c>
    </row>
    <row r="45" spans="1:14" x14ac:dyDescent="0.25">
      <c r="A45" s="45">
        <v>35551</v>
      </c>
      <c r="B45" s="46"/>
      <c r="C45" s="46"/>
      <c r="D45" s="46"/>
      <c r="E45" s="55">
        <v>100.12571509999999</v>
      </c>
      <c r="F45" s="55">
        <v>99.257509470000002</v>
      </c>
      <c r="G45" s="47"/>
      <c r="H45" s="45">
        <f t="shared" si="1"/>
        <v>35551</v>
      </c>
      <c r="I45" s="27">
        <v>35581</v>
      </c>
      <c r="J45" t="e">
        <f t="shared" si="0"/>
        <v>#N/A</v>
      </c>
      <c r="K45" t="e">
        <f t="shared" si="0"/>
        <v>#N/A</v>
      </c>
      <c r="L45" t="e">
        <f t="shared" si="0"/>
        <v>#N/A</v>
      </c>
      <c r="M45">
        <f t="shared" si="0"/>
        <v>100.12571509999999</v>
      </c>
      <c r="N45">
        <f t="shared" si="0"/>
        <v>99.257509470000002</v>
      </c>
    </row>
    <row r="46" spans="1:14" x14ac:dyDescent="0.25">
      <c r="A46" s="45">
        <v>35582</v>
      </c>
      <c r="B46" s="46"/>
      <c r="C46" s="46"/>
      <c r="D46" s="46"/>
      <c r="E46" s="55">
        <v>102.19990513</v>
      </c>
      <c r="F46" s="55">
        <v>99.249546749999993</v>
      </c>
      <c r="G46" s="47"/>
      <c r="H46" s="45">
        <f t="shared" si="1"/>
        <v>35582</v>
      </c>
      <c r="I46" s="27">
        <v>35611</v>
      </c>
      <c r="J46" t="e">
        <f t="shared" si="0"/>
        <v>#N/A</v>
      </c>
      <c r="K46" t="e">
        <f t="shared" si="0"/>
        <v>#N/A</v>
      </c>
      <c r="L46" t="e">
        <f t="shared" si="0"/>
        <v>#N/A</v>
      </c>
      <c r="M46">
        <f t="shared" si="0"/>
        <v>102.19990513</v>
      </c>
      <c r="N46">
        <f t="shared" si="0"/>
        <v>99.249546749999993</v>
      </c>
    </row>
    <row r="47" spans="1:14" x14ac:dyDescent="0.25">
      <c r="A47" s="45">
        <v>35612</v>
      </c>
      <c r="B47" s="46"/>
      <c r="C47" s="46"/>
      <c r="D47" s="46"/>
      <c r="E47" s="55">
        <v>100.75164645</v>
      </c>
      <c r="F47" s="55">
        <v>98.877220800000003</v>
      </c>
      <c r="G47" s="47"/>
      <c r="H47" s="45">
        <f t="shared" si="1"/>
        <v>35612</v>
      </c>
      <c r="I47" s="27">
        <v>35642</v>
      </c>
      <c r="J47" t="e">
        <f t="shared" si="0"/>
        <v>#N/A</v>
      </c>
      <c r="K47" t="e">
        <f t="shared" si="0"/>
        <v>#N/A</v>
      </c>
      <c r="L47" t="e">
        <f t="shared" si="0"/>
        <v>#N/A</v>
      </c>
      <c r="M47">
        <f t="shared" si="0"/>
        <v>100.75164645</v>
      </c>
      <c r="N47">
        <f t="shared" si="0"/>
        <v>98.877220800000003</v>
      </c>
    </row>
    <row r="48" spans="1:14" x14ac:dyDescent="0.25">
      <c r="A48" s="45">
        <v>35643</v>
      </c>
      <c r="B48" s="46"/>
      <c r="C48" s="46"/>
      <c r="D48" s="46"/>
      <c r="E48" s="55">
        <v>96.596541509999994</v>
      </c>
      <c r="F48" s="55">
        <v>98.321332709999993</v>
      </c>
      <c r="G48" s="47"/>
      <c r="H48" s="45">
        <f t="shared" si="1"/>
        <v>35643</v>
      </c>
      <c r="I48" s="27">
        <v>35673</v>
      </c>
      <c r="J48" t="e">
        <f t="shared" si="0"/>
        <v>#N/A</v>
      </c>
      <c r="K48" t="e">
        <f t="shared" si="0"/>
        <v>#N/A</v>
      </c>
      <c r="L48" t="e">
        <f t="shared" si="0"/>
        <v>#N/A</v>
      </c>
      <c r="M48">
        <f t="shared" si="0"/>
        <v>96.596541509999994</v>
      </c>
      <c r="N48">
        <f t="shared" si="0"/>
        <v>98.321332709999993</v>
      </c>
    </row>
    <row r="49" spans="1:14" x14ac:dyDescent="0.25">
      <c r="A49" s="45">
        <v>35674</v>
      </c>
      <c r="B49" s="46"/>
      <c r="C49" s="46"/>
      <c r="D49" s="46"/>
      <c r="E49" s="55">
        <v>97.514179740000003</v>
      </c>
      <c r="F49" s="55">
        <v>97.896571069999993</v>
      </c>
      <c r="G49" s="47"/>
      <c r="H49" s="45">
        <f t="shared" si="1"/>
        <v>35674</v>
      </c>
      <c r="I49" s="27">
        <v>35703</v>
      </c>
      <c r="J49" t="e">
        <f t="shared" si="0"/>
        <v>#N/A</v>
      </c>
      <c r="K49" t="e">
        <f t="shared" si="0"/>
        <v>#N/A</v>
      </c>
      <c r="L49" t="e">
        <f t="shared" si="0"/>
        <v>#N/A</v>
      </c>
      <c r="M49">
        <f t="shared" si="0"/>
        <v>97.514179740000003</v>
      </c>
      <c r="N49">
        <f t="shared" si="0"/>
        <v>97.896571069999993</v>
      </c>
    </row>
    <row r="50" spans="1:14" x14ac:dyDescent="0.25">
      <c r="A50" s="45">
        <v>35704</v>
      </c>
      <c r="B50" s="46"/>
      <c r="C50" s="46"/>
      <c r="D50" s="46"/>
      <c r="E50" s="55">
        <v>97.243968519999996</v>
      </c>
      <c r="F50" s="55">
        <v>97.79442512</v>
      </c>
      <c r="G50" s="47"/>
      <c r="H50" s="45">
        <f t="shared" si="1"/>
        <v>35704</v>
      </c>
      <c r="I50" s="27">
        <v>35734</v>
      </c>
      <c r="J50" t="e">
        <f t="shared" si="0"/>
        <v>#N/A</v>
      </c>
      <c r="K50" t="e">
        <f t="shared" si="0"/>
        <v>#N/A</v>
      </c>
      <c r="L50" t="e">
        <f t="shared" si="0"/>
        <v>#N/A</v>
      </c>
      <c r="M50">
        <f t="shared" si="0"/>
        <v>97.243968519999996</v>
      </c>
      <c r="N50">
        <f t="shared" si="0"/>
        <v>97.79442512</v>
      </c>
    </row>
    <row r="51" spans="1:14" x14ac:dyDescent="0.25">
      <c r="A51" s="45">
        <v>35735</v>
      </c>
      <c r="B51" s="46"/>
      <c r="C51" s="46"/>
      <c r="D51" s="46"/>
      <c r="E51" s="55">
        <v>92.882756650000005</v>
      </c>
      <c r="F51" s="55">
        <v>98.179070440000004</v>
      </c>
      <c r="G51" s="47"/>
      <c r="H51" s="45">
        <f t="shared" si="1"/>
        <v>35735</v>
      </c>
      <c r="I51" s="27">
        <v>35764</v>
      </c>
      <c r="J51" t="e">
        <f t="shared" si="0"/>
        <v>#N/A</v>
      </c>
      <c r="K51" t="e">
        <f t="shared" si="0"/>
        <v>#N/A</v>
      </c>
      <c r="L51" t="e">
        <f t="shared" si="0"/>
        <v>#N/A</v>
      </c>
      <c r="M51">
        <f t="shared" si="0"/>
        <v>92.882756650000005</v>
      </c>
      <c r="N51">
        <f t="shared" si="0"/>
        <v>98.179070440000004</v>
      </c>
    </row>
    <row r="52" spans="1:14" x14ac:dyDescent="0.25">
      <c r="A52" s="45">
        <v>35765</v>
      </c>
      <c r="B52" s="46"/>
      <c r="C52" s="46"/>
      <c r="D52" s="46"/>
      <c r="E52" s="55">
        <v>96.079123390000007</v>
      </c>
      <c r="F52" s="55">
        <v>99.175364250000001</v>
      </c>
      <c r="G52" s="47"/>
      <c r="H52" s="45">
        <f t="shared" si="1"/>
        <v>35765</v>
      </c>
      <c r="I52" s="27">
        <v>35795</v>
      </c>
      <c r="J52" t="e">
        <f t="shared" si="0"/>
        <v>#N/A</v>
      </c>
      <c r="K52" t="e">
        <f t="shared" si="0"/>
        <v>#N/A</v>
      </c>
      <c r="L52" t="e">
        <f t="shared" si="0"/>
        <v>#N/A</v>
      </c>
      <c r="M52">
        <f t="shared" si="0"/>
        <v>96.079123390000007</v>
      </c>
      <c r="N52">
        <f t="shared" si="0"/>
        <v>99.175364250000001</v>
      </c>
    </row>
    <row r="53" spans="1:14" x14ac:dyDescent="0.25">
      <c r="A53" s="45">
        <v>35796</v>
      </c>
      <c r="B53" s="46"/>
      <c r="C53" s="46"/>
      <c r="D53" s="46"/>
      <c r="E53" s="55">
        <v>101.26828327</v>
      </c>
      <c r="F53" s="55">
        <v>100.52985569000001</v>
      </c>
      <c r="G53" s="47"/>
      <c r="H53" s="45">
        <f t="shared" si="1"/>
        <v>35796</v>
      </c>
      <c r="I53" s="27">
        <v>35826</v>
      </c>
      <c r="J53" t="e">
        <f t="shared" si="0"/>
        <v>#N/A</v>
      </c>
      <c r="K53" t="e">
        <f t="shared" si="0"/>
        <v>#N/A</v>
      </c>
      <c r="L53" t="e">
        <f t="shared" si="0"/>
        <v>#N/A</v>
      </c>
      <c r="M53">
        <f t="shared" si="0"/>
        <v>101.26828327</v>
      </c>
      <c r="N53">
        <f t="shared" si="0"/>
        <v>100.52985569000001</v>
      </c>
    </row>
    <row r="54" spans="1:14" x14ac:dyDescent="0.25">
      <c r="A54" s="45">
        <v>35827</v>
      </c>
      <c r="B54" s="46"/>
      <c r="C54" s="46"/>
      <c r="D54" s="46"/>
      <c r="E54" s="55">
        <v>103.23530796999999</v>
      </c>
      <c r="F54" s="55">
        <v>101.76793379</v>
      </c>
      <c r="G54" s="47"/>
      <c r="H54" s="45">
        <f t="shared" si="1"/>
        <v>35827</v>
      </c>
      <c r="I54" s="27">
        <v>35854</v>
      </c>
      <c r="J54" t="e">
        <f t="shared" si="0"/>
        <v>#N/A</v>
      </c>
      <c r="K54" t="e">
        <f t="shared" si="0"/>
        <v>#N/A</v>
      </c>
      <c r="L54" t="e">
        <f t="shared" si="0"/>
        <v>#N/A</v>
      </c>
      <c r="M54">
        <f t="shared" si="0"/>
        <v>103.23530796999999</v>
      </c>
      <c r="N54">
        <f t="shared" si="0"/>
        <v>101.76793379</v>
      </c>
    </row>
    <row r="55" spans="1:14" x14ac:dyDescent="0.25">
      <c r="A55" s="45">
        <v>35855</v>
      </c>
      <c r="B55" s="46"/>
      <c r="C55" s="46"/>
      <c r="D55" s="46"/>
      <c r="E55" s="55">
        <v>107.09193209</v>
      </c>
      <c r="F55" s="55">
        <v>102.46773244000001</v>
      </c>
      <c r="G55" s="47"/>
      <c r="H55" s="45">
        <f t="shared" si="1"/>
        <v>35855</v>
      </c>
      <c r="I55" s="27">
        <v>35885</v>
      </c>
      <c r="J55" t="e">
        <f t="shared" si="0"/>
        <v>#N/A</v>
      </c>
      <c r="K55" t="e">
        <f t="shared" si="0"/>
        <v>#N/A</v>
      </c>
      <c r="L55" t="e">
        <f t="shared" si="0"/>
        <v>#N/A</v>
      </c>
      <c r="M55">
        <f t="shared" si="0"/>
        <v>107.09193209</v>
      </c>
      <c r="N55">
        <f t="shared" si="0"/>
        <v>102.46773244000001</v>
      </c>
    </row>
    <row r="56" spans="1:14" x14ac:dyDescent="0.25">
      <c r="A56" s="45">
        <v>35886</v>
      </c>
      <c r="B56" s="46"/>
      <c r="C56" s="46"/>
      <c r="D56" s="46"/>
      <c r="E56" s="55">
        <v>104.7860127</v>
      </c>
      <c r="F56" s="55">
        <v>102.31219797</v>
      </c>
      <c r="G56" s="47"/>
      <c r="H56" s="45">
        <f t="shared" si="1"/>
        <v>35886</v>
      </c>
      <c r="I56" s="27">
        <v>35915</v>
      </c>
      <c r="J56" t="e">
        <f t="shared" si="0"/>
        <v>#N/A</v>
      </c>
      <c r="K56" t="e">
        <f t="shared" si="0"/>
        <v>#N/A</v>
      </c>
      <c r="L56" t="e">
        <f t="shared" si="0"/>
        <v>#N/A</v>
      </c>
      <c r="M56">
        <f t="shared" si="0"/>
        <v>104.7860127</v>
      </c>
      <c r="N56">
        <f t="shared" si="0"/>
        <v>102.31219797</v>
      </c>
    </row>
    <row r="57" spans="1:14" x14ac:dyDescent="0.25">
      <c r="A57" s="45">
        <v>35916</v>
      </c>
      <c r="B57" s="46"/>
      <c r="C57" s="46"/>
      <c r="D57" s="46"/>
      <c r="E57" s="55">
        <v>102.79537874</v>
      </c>
      <c r="F57" s="55">
        <v>101.31457666</v>
      </c>
      <c r="G57" s="47"/>
      <c r="H57" s="45">
        <f t="shared" si="1"/>
        <v>35916</v>
      </c>
      <c r="I57" s="27">
        <v>35946</v>
      </c>
      <c r="J57" t="e">
        <f t="shared" si="0"/>
        <v>#N/A</v>
      </c>
      <c r="K57" t="e">
        <f t="shared" si="0"/>
        <v>#N/A</v>
      </c>
      <c r="L57" t="e">
        <f t="shared" si="0"/>
        <v>#N/A</v>
      </c>
      <c r="M57">
        <f t="shared" si="0"/>
        <v>102.79537874</v>
      </c>
      <c r="N57">
        <f t="shared" si="0"/>
        <v>101.31457666</v>
      </c>
    </row>
    <row r="58" spans="1:14" x14ac:dyDescent="0.25">
      <c r="A58" s="45">
        <v>35947</v>
      </c>
      <c r="B58" s="46"/>
      <c r="C58" s="46"/>
      <c r="D58" s="46"/>
      <c r="E58" s="55">
        <v>101.21002558000001</v>
      </c>
      <c r="F58" s="55">
        <v>99.664815880000006</v>
      </c>
      <c r="G58" s="47"/>
      <c r="H58" s="45">
        <f t="shared" si="1"/>
        <v>35947</v>
      </c>
      <c r="I58" s="27">
        <v>35976</v>
      </c>
      <c r="J58" t="e">
        <f t="shared" si="0"/>
        <v>#N/A</v>
      </c>
      <c r="K58" t="e">
        <f t="shared" si="0"/>
        <v>#N/A</v>
      </c>
      <c r="L58" t="e">
        <f t="shared" si="0"/>
        <v>#N/A</v>
      </c>
      <c r="M58">
        <f t="shared" si="0"/>
        <v>101.21002558000001</v>
      </c>
      <c r="N58">
        <f t="shared" si="0"/>
        <v>99.664815880000006</v>
      </c>
    </row>
    <row r="59" spans="1:14" x14ac:dyDescent="0.25">
      <c r="A59" s="45">
        <v>35977</v>
      </c>
      <c r="B59" s="46"/>
      <c r="C59" s="46"/>
      <c r="D59" s="46"/>
      <c r="E59" s="55">
        <v>100.45042838000001</v>
      </c>
      <c r="F59" s="55">
        <v>97.658634539999994</v>
      </c>
      <c r="G59" s="47"/>
      <c r="H59" s="45">
        <f t="shared" si="1"/>
        <v>35977</v>
      </c>
      <c r="I59" s="27">
        <v>36007</v>
      </c>
      <c r="J59" t="e">
        <f t="shared" si="0"/>
        <v>#N/A</v>
      </c>
      <c r="K59" t="e">
        <f t="shared" si="0"/>
        <v>#N/A</v>
      </c>
      <c r="L59" t="e">
        <f t="shared" si="0"/>
        <v>#N/A</v>
      </c>
      <c r="M59">
        <f t="shared" si="0"/>
        <v>100.45042838000001</v>
      </c>
      <c r="N59">
        <f t="shared" si="0"/>
        <v>97.658634539999994</v>
      </c>
    </row>
    <row r="60" spans="1:14" x14ac:dyDescent="0.25">
      <c r="A60" s="45">
        <v>36008</v>
      </c>
      <c r="B60" s="46"/>
      <c r="C60" s="46"/>
      <c r="D60" s="46"/>
      <c r="E60" s="55">
        <v>92.088283649999994</v>
      </c>
      <c r="F60" s="55">
        <v>95.702123689999993</v>
      </c>
      <c r="G60" s="47"/>
      <c r="H60" s="45">
        <f t="shared" si="1"/>
        <v>36008</v>
      </c>
      <c r="I60" s="27">
        <v>36038</v>
      </c>
      <c r="J60" t="e">
        <f t="shared" si="0"/>
        <v>#N/A</v>
      </c>
      <c r="K60" t="e">
        <f t="shared" si="0"/>
        <v>#N/A</v>
      </c>
      <c r="L60" t="e">
        <f t="shared" si="0"/>
        <v>#N/A</v>
      </c>
      <c r="M60">
        <f t="shared" si="0"/>
        <v>92.088283649999994</v>
      </c>
      <c r="N60">
        <f t="shared" si="0"/>
        <v>95.702123689999993</v>
      </c>
    </row>
    <row r="61" spans="1:14" x14ac:dyDescent="0.25">
      <c r="A61" s="45">
        <v>36039</v>
      </c>
      <c r="B61" s="46"/>
      <c r="C61" s="46"/>
      <c r="D61" s="46"/>
      <c r="E61" s="55">
        <v>91.086141620000006</v>
      </c>
      <c r="F61" s="55">
        <v>94.400788219999995</v>
      </c>
      <c r="G61" s="47"/>
      <c r="H61" s="45">
        <f t="shared" si="1"/>
        <v>36039</v>
      </c>
      <c r="I61" s="27">
        <v>36068</v>
      </c>
      <c r="J61" t="e">
        <f t="shared" si="0"/>
        <v>#N/A</v>
      </c>
      <c r="K61" t="e">
        <f t="shared" si="0"/>
        <v>#N/A</v>
      </c>
      <c r="L61" t="e">
        <f t="shared" si="0"/>
        <v>#N/A</v>
      </c>
      <c r="M61">
        <f t="shared" si="0"/>
        <v>91.086141620000006</v>
      </c>
      <c r="N61">
        <f t="shared" si="0"/>
        <v>94.400788219999995</v>
      </c>
    </row>
    <row r="62" spans="1:14" x14ac:dyDescent="0.25">
      <c r="A62" s="45">
        <v>36069</v>
      </c>
      <c r="B62" s="46"/>
      <c r="C62" s="46"/>
      <c r="D62" s="46"/>
      <c r="E62" s="55">
        <v>89.60070752</v>
      </c>
      <c r="F62" s="55">
        <v>94.102001610000002</v>
      </c>
      <c r="G62" s="47"/>
      <c r="H62" s="45">
        <f t="shared" si="1"/>
        <v>36069</v>
      </c>
      <c r="I62" s="27">
        <v>36099</v>
      </c>
      <c r="J62" t="e">
        <f t="shared" si="0"/>
        <v>#N/A</v>
      </c>
      <c r="K62" t="e">
        <f t="shared" si="0"/>
        <v>#N/A</v>
      </c>
      <c r="L62" t="e">
        <f t="shared" si="0"/>
        <v>#N/A</v>
      </c>
      <c r="M62">
        <f t="shared" si="0"/>
        <v>89.60070752</v>
      </c>
      <c r="N62">
        <f t="shared" si="0"/>
        <v>94.102001610000002</v>
      </c>
    </row>
    <row r="63" spans="1:14" x14ac:dyDescent="0.25">
      <c r="A63" s="45">
        <v>36100</v>
      </c>
      <c r="B63" s="46"/>
      <c r="C63" s="46"/>
      <c r="D63" s="46"/>
      <c r="E63" s="55">
        <v>93.082275719999998</v>
      </c>
      <c r="F63" s="55">
        <v>94.916376830000004</v>
      </c>
      <c r="G63" s="47"/>
      <c r="H63" s="45">
        <f t="shared" si="1"/>
        <v>36100</v>
      </c>
      <c r="I63" s="27">
        <v>36129</v>
      </c>
      <c r="J63" t="e">
        <f t="shared" si="0"/>
        <v>#N/A</v>
      </c>
      <c r="K63" t="e">
        <f t="shared" si="0"/>
        <v>#N/A</v>
      </c>
      <c r="L63" t="e">
        <f t="shared" si="0"/>
        <v>#N/A</v>
      </c>
      <c r="M63">
        <f t="shared" si="0"/>
        <v>93.082275719999998</v>
      </c>
      <c r="N63">
        <f t="shared" si="0"/>
        <v>94.916376830000004</v>
      </c>
    </row>
    <row r="64" spans="1:14" x14ac:dyDescent="0.25">
      <c r="A64" s="45">
        <v>36130</v>
      </c>
      <c r="B64" s="46"/>
      <c r="C64" s="46"/>
      <c r="D64" s="46"/>
      <c r="E64" s="55">
        <v>96.656132009999993</v>
      </c>
      <c r="F64" s="55">
        <v>96.633005879999999</v>
      </c>
      <c r="G64" s="47"/>
      <c r="H64" s="45">
        <f t="shared" si="1"/>
        <v>36130</v>
      </c>
      <c r="I64" s="27">
        <v>36160</v>
      </c>
      <c r="J64" t="e">
        <f t="shared" si="0"/>
        <v>#N/A</v>
      </c>
      <c r="K64" t="e">
        <f t="shared" si="0"/>
        <v>#N/A</v>
      </c>
      <c r="L64" t="e">
        <f t="shared" si="0"/>
        <v>#N/A</v>
      </c>
      <c r="M64">
        <f t="shared" si="0"/>
        <v>96.656132009999993</v>
      </c>
      <c r="N64">
        <f t="shared" si="0"/>
        <v>96.633005879999999</v>
      </c>
    </row>
    <row r="65" spans="1:14" x14ac:dyDescent="0.25">
      <c r="A65" s="45">
        <v>36161</v>
      </c>
      <c r="B65" s="46"/>
      <c r="C65" s="46"/>
      <c r="D65" s="46"/>
      <c r="E65" s="55">
        <v>98.423268149999998</v>
      </c>
      <c r="F65" s="55">
        <v>98.909973530000002</v>
      </c>
      <c r="G65" s="47"/>
      <c r="H65" s="45">
        <f t="shared" si="1"/>
        <v>36161</v>
      </c>
      <c r="I65" s="27">
        <v>36191</v>
      </c>
      <c r="J65" t="e">
        <f t="shared" si="0"/>
        <v>#N/A</v>
      </c>
      <c r="K65" t="e">
        <f t="shared" si="0"/>
        <v>#N/A</v>
      </c>
      <c r="L65" t="e">
        <f t="shared" si="0"/>
        <v>#N/A</v>
      </c>
      <c r="M65">
        <f t="shared" si="0"/>
        <v>98.423268149999998</v>
      </c>
      <c r="N65">
        <f t="shared" si="0"/>
        <v>98.909973530000002</v>
      </c>
    </row>
    <row r="66" spans="1:14" x14ac:dyDescent="0.25">
      <c r="A66" s="45">
        <v>36192</v>
      </c>
      <c r="B66" s="46"/>
      <c r="C66" s="46"/>
      <c r="D66" s="46"/>
      <c r="E66" s="55">
        <v>101.61820548999999</v>
      </c>
      <c r="F66" s="55">
        <v>101.40701639</v>
      </c>
      <c r="G66" s="47"/>
      <c r="H66" s="45">
        <f t="shared" si="1"/>
        <v>36192</v>
      </c>
      <c r="I66" s="27">
        <v>36219</v>
      </c>
      <c r="J66" t="e">
        <f t="shared" si="0"/>
        <v>#N/A</v>
      </c>
      <c r="K66" t="e">
        <f t="shared" si="0"/>
        <v>#N/A</v>
      </c>
      <c r="L66" t="e">
        <f t="shared" si="0"/>
        <v>#N/A</v>
      </c>
      <c r="M66">
        <f t="shared" si="0"/>
        <v>101.61820548999999</v>
      </c>
      <c r="N66">
        <f t="shared" si="0"/>
        <v>101.40701639</v>
      </c>
    </row>
    <row r="67" spans="1:14" x14ac:dyDescent="0.25">
      <c r="A67" s="45">
        <v>36220</v>
      </c>
      <c r="B67" s="46"/>
      <c r="C67" s="46"/>
      <c r="D67" s="46"/>
      <c r="E67" s="55">
        <v>110.07022003</v>
      </c>
      <c r="F67" s="55">
        <v>103.74910642</v>
      </c>
      <c r="G67" s="47"/>
      <c r="H67" s="45">
        <f t="shared" si="1"/>
        <v>36220</v>
      </c>
      <c r="I67" s="27">
        <v>36250</v>
      </c>
      <c r="J67" t="e">
        <f t="shared" si="0"/>
        <v>#N/A</v>
      </c>
      <c r="K67" t="e">
        <f t="shared" si="0"/>
        <v>#N/A</v>
      </c>
      <c r="L67" t="e">
        <f t="shared" si="0"/>
        <v>#N/A</v>
      </c>
      <c r="M67">
        <f t="shared" si="0"/>
        <v>110.07022003</v>
      </c>
      <c r="N67">
        <f t="shared" si="0"/>
        <v>103.74910642</v>
      </c>
    </row>
    <row r="68" spans="1:14" x14ac:dyDescent="0.25">
      <c r="A68" s="45">
        <v>36251</v>
      </c>
      <c r="B68" s="46"/>
      <c r="C68" s="46"/>
      <c r="D68" s="46"/>
      <c r="E68" s="55">
        <v>109.55193679999999</v>
      </c>
      <c r="F68" s="55">
        <v>105.57630053</v>
      </c>
      <c r="G68" s="47"/>
      <c r="H68" s="45">
        <f t="shared" si="1"/>
        <v>36251</v>
      </c>
      <c r="I68" s="27">
        <v>36280</v>
      </c>
      <c r="J68" t="e">
        <f t="shared" si="0"/>
        <v>#N/A</v>
      </c>
      <c r="K68" t="e">
        <f t="shared" si="0"/>
        <v>#N/A</v>
      </c>
      <c r="L68" t="e">
        <f t="shared" si="0"/>
        <v>#N/A</v>
      </c>
      <c r="M68">
        <f t="shared" si="0"/>
        <v>109.55193679999999</v>
      </c>
      <c r="N68">
        <f t="shared" si="0"/>
        <v>105.57630053</v>
      </c>
    </row>
    <row r="69" spans="1:14" x14ac:dyDescent="0.25">
      <c r="A69" s="45">
        <v>36281</v>
      </c>
      <c r="B69" s="46"/>
      <c r="C69" s="46"/>
      <c r="D69" s="46"/>
      <c r="E69" s="55">
        <v>105.30119904</v>
      </c>
      <c r="F69" s="55">
        <v>106.98016371999999</v>
      </c>
      <c r="G69" s="47"/>
      <c r="H69" s="45">
        <f t="shared" si="1"/>
        <v>36281</v>
      </c>
      <c r="I69" s="27">
        <v>36311</v>
      </c>
      <c r="J69" t="e">
        <f t="shared" si="0"/>
        <v>#N/A</v>
      </c>
      <c r="K69" t="e">
        <f t="shared" si="0"/>
        <v>#N/A</v>
      </c>
      <c r="L69" t="e">
        <f t="shared" si="0"/>
        <v>#N/A</v>
      </c>
      <c r="M69">
        <f t="shared" si="0"/>
        <v>105.30119904</v>
      </c>
      <c r="N69">
        <f t="shared" si="0"/>
        <v>106.98016371999999</v>
      </c>
    </row>
    <row r="70" spans="1:14" x14ac:dyDescent="0.25">
      <c r="A70" s="45">
        <v>36312</v>
      </c>
      <c r="B70" s="46"/>
      <c r="C70" s="46"/>
      <c r="D70" s="46"/>
      <c r="E70" s="55">
        <v>103.5400154</v>
      </c>
      <c r="F70" s="55">
        <v>108.33623502</v>
      </c>
      <c r="G70" s="47"/>
      <c r="H70" s="45">
        <f t="shared" si="1"/>
        <v>36312</v>
      </c>
      <c r="I70" s="27">
        <v>36341</v>
      </c>
      <c r="J70" t="e">
        <f t="shared" si="0"/>
        <v>#N/A</v>
      </c>
      <c r="K70" t="e">
        <f t="shared" si="0"/>
        <v>#N/A</v>
      </c>
      <c r="L70" t="e">
        <f t="shared" si="0"/>
        <v>#N/A</v>
      </c>
      <c r="M70">
        <f t="shared" si="0"/>
        <v>103.5400154</v>
      </c>
      <c r="N70">
        <f t="shared" si="0"/>
        <v>108.33623502</v>
      </c>
    </row>
    <row r="71" spans="1:14" x14ac:dyDescent="0.25">
      <c r="A71" s="45">
        <v>36342</v>
      </c>
      <c r="B71" s="46"/>
      <c r="C71" s="46"/>
      <c r="D71" s="46"/>
      <c r="E71" s="55">
        <v>106.84347433000001</v>
      </c>
      <c r="F71" s="55">
        <v>109.90012741</v>
      </c>
      <c r="G71" s="47"/>
      <c r="H71" s="45">
        <f t="shared" si="1"/>
        <v>36342</v>
      </c>
      <c r="I71" s="27">
        <v>36372</v>
      </c>
      <c r="J71" t="e">
        <f t="shared" si="0"/>
        <v>#N/A</v>
      </c>
      <c r="K71" t="e">
        <f t="shared" si="0"/>
        <v>#N/A</v>
      </c>
      <c r="L71" t="e">
        <f t="shared" si="0"/>
        <v>#N/A</v>
      </c>
      <c r="M71">
        <f t="shared" si="0"/>
        <v>106.84347433000001</v>
      </c>
      <c r="N71">
        <f t="shared" si="0"/>
        <v>109.90012741</v>
      </c>
    </row>
    <row r="72" spans="1:14" x14ac:dyDescent="0.25">
      <c r="A72" s="45">
        <v>36373</v>
      </c>
      <c r="B72" s="46"/>
      <c r="C72" s="46"/>
      <c r="D72" s="46"/>
      <c r="E72" s="55">
        <v>114.41683485999999</v>
      </c>
      <c r="F72" s="55">
        <v>111.58486676</v>
      </c>
      <c r="G72" s="47"/>
      <c r="H72" s="45">
        <f t="shared" si="1"/>
        <v>36373</v>
      </c>
      <c r="I72" s="27">
        <v>36403</v>
      </c>
      <c r="J72" t="e">
        <f t="shared" si="0"/>
        <v>#N/A</v>
      </c>
      <c r="K72" t="e">
        <f t="shared" si="0"/>
        <v>#N/A</v>
      </c>
      <c r="L72" t="e">
        <f t="shared" si="0"/>
        <v>#N/A</v>
      </c>
      <c r="M72">
        <f t="shared" si="0"/>
        <v>114.41683485999999</v>
      </c>
      <c r="N72">
        <f t="shared" si="0"/>
        <v>111.58486676</v>
      </c>
    </row>
    <row r="73" spans="1:14" x14ac:dyDescent="0.25">
      <c r="A73" s="45">
        <v>36404</v>
      </c>
      <c r="B73" s="46"/>
      <c r="C73" s="46"/>
      <c r="D73" s="46"/>
      <c r="E73" s="55">
        <v>117.95488695</v>
      </c>
      <c r="F73" s="55">
        <v>113.08514656</v>
      </c>
      <c r="G73" s="47"/>
      <c r="H73" s="45">
        <f t="shared" si="1"/>
        <v>36404</v>
      </c>
      <c r="I73" s="27">
        <v>36433</v>
      </c>
      <c r="J73" t="e">
        <f t="shared" si="0"/>
        <v>#N/A</v>
      </c>
      <c r="K73" t="e">
        <f t="shared" si="0"/>
        <v>#N/A</v>
      </c>
      <c r="L73" t="e">
        <f t="shared" si="0"/>
        <v>#N/A</v>
      </c>
      <c r="M73">
        <f t="shared" si="0"/>
        <v>117.95488695</v>
      </c>
      <c r="N73">
        <f t="shared" si="0"/>
        <v>113.08514656</v>
      </c>
    </row>
    <row r="74" spans="1:14" x14ac:dyDescent="0.25">
      <c r="A74" s="45">
        <v>36434</v>
      </c>
      <c r="B74" s="46"/>
      <c r="C74" s="46"/>
      <c r="D74" s="46"/>
      <c r="E74" s="55">
        <v>110.29668443</v>
      </c>
      <c r="F74" s="55">
        <v>114.29794377</v>
      </c>
      <c r="G74" s="47"/>
      <c r="H74" s="45">
        <f t="shared" si="1"/>
        <v>36434</v>
      </c>
      <c r="I74" s="27">
        <v>36464</v>
      </c>
      <c r="J74" t="e">
        <f t="shared" si="0"/>
        <v>#N/A</v>
      </c>
      <c r="K74" t="e">
        <f t="shared" si="0"/>
        <v>#N/A</v>
      </c>
      <c r="L74" t="e">
        <f t="shared" si="0"/>
        <v>#N/A</v>
      </c>
      <c r="M74">
        <f t="shared" si="0"/>
        <v>110.29668443</v>
      </c>
      <c r="N74">
        <f t="shared" si="0"/>
        <v>114.29794377</v>
      </c>
    </row>
    <row r="75" spans="1:14" x14ac:dyDescent="0.25">
      <c r="A75" s="45">
        <v>36465</v>
      </c>
      <c r="B75" s="46"/>
      <c r="C75" s="46"/>
      <c r="D75" s="46"/>
      <c r="E75" s="55">
        <v>114.9652143</v>
      </c>
      <c r="F75" s="55">
        <v>115.46807389999999</v>
      </c>
      <c r="G75" s="47"/>
      <c r="H75" s="45">
        <f t="shared" si="1"/>
        <v>36465</v>
      </c>
      <c r="I75" s="27">
        <v>36494</v>
      </c>
      <c r="J75" t="e">
        <f t="shared" si="0"/>
        <v>#N/A</v>
      </c>
      <c r="K75" t="e">
        <f t="shared" si="0"/>
        <v>#N/A</v>
      </c>
      <c r="L75" t="e">
        <f t="shared" si="0"/>
        <v>#N/A</v>
      </c>
      <c r="M75">
        <f t="shared" si="0"/>
        <v>114.9652143</v>
      </c>
      <c r="N75">
        <f t="shared" si="0"/>
        <v>115.46807389999999</v>
      </c>
    </row>
    <row r="76" spans="1:14" x14ac:dyDescent="0.25">
      <c r="A76" s="45">
        <v>36495</v>
      </c>
      <c r="B76" s="46"/>
      <c r="C76" s="46"/>
      <c r="D76" s="46"/>
      <c r="E76" s="55">
        <v>113.09629265</v>
      </c>
      <c r="F76" s="55">
        <v>116.55454827</v>
      </c>
      <c r="G76" s="47"/>
      <c r="H76" s="45">
        <f t="shared" si="1"/>
        <v>36495</v>
      </c>
      <c r="I76" s="27">
        <v>36525</v>
      </c>
      <c r="J76" t="e">
        <f t="shared" si="0"/>
        <v>#N/A</v>
      </c>
      <c r="K76" t="e">
        <f t="shared" si="0"/>
        <v>#N/A</v>
      </c>
      <c r="L76" t="e">
        <f t="shared" si="0"/>
        <v>#N/A</v>
      </c>
      <c r="M76">
        <f t="shared" si="0"/>
        <v>113.09629265</v>
      </c>
      <c r="N76">
        <f t="shared" si="0"/>
        <v>116.55454827</v>
      </c>
    </row>
    <row r="77" spans="1:14" x14ac:dyDescent="0.25">
      <c r="A77" s="45">
        <v>36526</v>
      </c>
      <c r="B77" s="46"/>
      <c r="C77" s="46"/>
      <c r="D77" s="46"/>
      <c r="E77" s="55">
        <v>120.28870273</v>
      </c>
      <c r="F77" s="55">
        <v>118.5481652</v>
      </c>
      <c r="G77" s="47"/>
      <c r="H77" s="45">
        <f t="shared" si="1"/>
        <v>36526</v>
      </c>
      <c r="I77" s="27">
        <v>36556</v>
      </c>
      <c r="J77" t="e">
        <f t="shared" si="0"/>
        <v>#N/A</v>
      </c>
      <c r="K77" t="e">
        <f t="shared" si="0"/>
        <v>#N/A</v>
      </c>
      <c r="L77" t="e">
        <f t="shared" si="0"/>
        <v>#N/A</v>
      </c>
      <c r="M77">
        <f t="shared" si="0"/>
        <v>120.28870273</v>
      </c>
      <c r="N77">
        <f t="shared" si="0"/>
        <v>118.5481652</v>
      </c>
    </row>
    <row r="78" spans="1:14" x14ac:dyDescent="0.25">
      <c r="A78" s="45">
        <v>36557</v>
      </c>
      <c r="B78" s="46"/>
      <c r="C78" s="46"/>
      <c r="D78" s="46"/>
      <c r="E78" s="55">
        <v>124.19615992999999</v>
      </c>
      <c r="F78" s="55">
        <v>118.91702409</v>
      </c>
      <c r="G78" s="47"/>
      <c r="H78" s="45">
        <f t="shared" si="1"/>
        <v>36557</v>
      </c>
      <c r="I78" s="27">
        <v>36585</v>
      </c>
      <c r="J78" t="e">
        <f t="shared" ref="J78:N128" si="2">IF(ISNUMBER(VLOOKUP($H78,$A$27:$F$369,J$25,FALSE)),VLOOKUP($H78,$A$27:$F$369,J$25,FALSE),NA())</f>
        <v>#N/A</v>
      </c>
      <c r="K78" t="e">
        <f t="shared" si="2"/>
        <v>#N/A</v>
      </c>
      <c r="L78" t="e">
        <f t="shared" si="2"/>
        <v>#N/A</v>
      </c>
      <c r="M78">
        <f t="shared" si="2"/>
        <v>124.19615992999999</v>
      </c>
      <c r="N78">
        <f t="shared" si="2"/>
        <v>118.91702409</v>
      </c>
    </row>
    <row r="79" spans="1:14" x14ac:dyDescent="0.25">
      <c r="A79" s="45">
        <v>36586</v>
      </c>
      <c r="B79" s="46">
        <v>122.8</v>
      </c>
      <c r="C79" s="46"/>
      <c r="D79" s="46"/>
      <c r="E79" s="55">
        <v>119.23876493</v>
      </c>
      <c r="F79" s="55">
        <v>118.53685416</v>
      </c>
      <c r="G79" s="47"/>
      <c r="H79" s="45">
        <f t="shared" si="1"/>
        <v>36586</v>
      </c>
      <c r="I79" s="27">
        <v>36616</v>
      </c>
      <c r="J79">
        <f t="shared" si="2"/>
        <v>122.8</v>
      </c>
      <c r="K79" t="e">
        <f t="shared" si="2"/>
        <v>#N/A</v>
      </c>
      <c r="L79" t="e">
        <f t="shared" si="2"/>
        <v>#N/A</v>
      </c>
      <c r="M79">
        <f t="shared" si="2"/>
        <v>119.23876493</v>
      </c>
      <c r="N79">
        <f t="shared" si="2"/>
        <v>118.53685416</v>
      </c>
    </row>
    <row r="80" spans="1:14" x14ac:dyDescent="0.25">
      <c r="A80" s="45">
        <v>36617</v>
      </c>
      <c r="B80" s="46"/>
      <c r="C80" s="46"/>
      <c r="D80" s="46"/>
      <c r="E80" s="55">
        <v>116.78040187000001</v>
      </c>
      <c r="F80" s="55">
        <v>117.60795417999999</v>
      </c>
      <c r="G80" s="47"/>
      <c r="H80" s="45">
        <f t="shared" si="1"/>
        <v>36617</v>
      </c>
      <c r="I80" s="27">
        <v>36646</v>
      </c>
      <c r="J80" t="e">
        <f t="shared" si="2"/>
        <v>#N/A</v>
      </c>
      <c r="K80" t="e">
        <f t="shared" si="2"/>
        <v>#N/A</v>
      </c>
      <c r="L80" t="e">
        <f t="shared" si="2"/>
        <v>#N/A</v>
      </c>
      <c r="M80">
        <f t="shared" si="2"/>
        <v>116.78040187000001</v>
      </c>
      <c r="N80">
        <f t="shared" si="2"/>
        <v>117.60795417999999</v>
      </c>
    </row>
    <row r="81" spans="1:14" x14ac:dyDescent="0.25">
      <c r="A81" s="45">
        <v>36647</v>
      </c>
      <c r="B81" s="46"/>
      <c r="C81" s="46"/>
      <c r="D81" s="46"/>
      <c r="E81" s="55">
        <v>115.54130413999999</v>
      </c>
      <c r="F81" s="55">
        <v>116.38075942</v>
      </c>
      <c r="G81" s="47"/>
      <c r="H81" s="45">
        <f t="shared" si="1"/>
        <v>36647</v>
      </c>
      <c r="I81" s="27">
        <v>36677</v>
      </c>
      <c r="J81" t="e">
        <f t="shared" si="2"/>
        <v>#N/A</v>
      </c>
      <c r="K81" t="e">
        <f t="shared" si="2"/>
        <v>#N/A</v>
      </c>
      <c r="L81" t="e">
        <f t="shared" si="2"/>
        <v>#N/A</v>
      </c>
      <c r="M81">
        <f t="shared" si="2"/>
        <v>115.54130413999999</v>
      </c>
      <c r="N81">
        <f t="shared" si="2"/>
        <v>116.38075942</v>
      </c>
    </row>
    <row r="82" spans="1:14" x14ac:dyDescent="0.25">
      <c r="A82" s="45">
        <v>36678</v>
      </c>
      <c r="B82" s="46">
        <v>115.2</v>
      </c>
      <c r="C82" s="48">
        <v>125.5</v>
      </c>
      <c r="D82" s="48">
        <v>53.8</v>
      </c>
      <c r="E82" s="55">
        <v>116.28012642</v>
      </c>
      <c r="F82" s="55">
        <v>115.04659426000001</v>
      </c>
      <c r="G82" s="47"/>
      <c r="H82" s="45">
        <f t="shared" si="1"/>
        <v>36678</v>
      </c>
      <c r="I82" s="27">
        <v>36707</v>
      </c>
      <c r="J82">
        <f t="shared" si="2"/>
        <v>115.2</v>
      </c>
      <c r="K82">
        <f t="shared" si="2"/>
        <v>125.5</v>
      </c>
      <c r="L82">
        <f t="shared" si="2"/>
        <v>53.8</v>
      </c>
      <c r="M82">
        <f t="shared" si="2"/>
        <v>116.28012642</v>
      </c>
      <c r="N82">
        <f t="shared" si="2"/>
        <v>115.04659426000001</v>
      </c>
    </row>
    <row r="83" spans="1:14" x14ac:dyDescent="0.25">
      <c r="A83" s="45">
        <v>36708</v>
      </c>
      <c r="B83" s="46"/>
      <c r="C83" s="46"/>
      <c r="D83" s="46"/>
      <c r="E83" s="55">
        <v>110.28892322</v>
      </c>
      <c r="F83" s="55">
        <v>113.73682199</v>
      </c>
      <c r="G83" s="47"/>
      <c r="H83" s="45">
        <f t="shared" si="1"/>
        <v>36708</v>
      </c>
      <c r="I83" s="27">
        <v>36738</v>
      </c>
      <c r="J83" t="e">
        <f t="shared" si="2"/>
        <v>#N/A</v>
      </c>
      <c r="K83" t="e">
        <f t="shared" si="2"/>
        <v>#N/A</v>
      </c>
      <c r="L83" t="e">
        <f t="shared" si="2"/>
        <v>#N/A</v>
      </c>
      <c r="M83">
        <f t="shared" si="2"/>
        <v>110.28892322</v>
      </c>
      <c r="N83">
        <f t="shared" si="2"/>
        <v>113.73682199</v>
      </c>
    </row>
    <row r="84" spans="1:14" x14ac:dyDescent="0.25">
      <c r="A84" s="45">
        <v>36739</v>
      </c>
      <c r="B84" s="46"/>
      <c r="C84" s="46"/>
      <c r="D84" s="46"/>
      <c r="E84" s="55">
        <v>112.35136528</v>
      </c>
      <c r="F84" s="55">
        <v>112.67091533999999</v>
      </c>
      <c r="G84" s="47"/>
      <c r="H84" s="45">
        <f t="shared" si="1"/>
        <v>36739</v>
      </c>
      <c r="I84" s="27">
        <v>36769</v>
      </c>
      <c r="J84" t="e">
        <f t="shared" si="2"/>
        <v>#N/A</v>
      </c>
      <c r="K84" t="e">
        <f t="shared" si="2"/>
        <v>#N/A</v>
      </c>
      <c r="L84" t="e">
        <f t="shared" si="2"/>
        <v>#N/A</v>
      </c>
      <c r="M84">
        <f t="shared" si="2"/>
        <v>112.35136528</v>
      </c>
      <c r="N84">
        <f t="shared" si="2"/>
        <v>112.67091533999999</v>
      </c>
    </row>
    <row r="85" spans="1:14" x14ac:dyDescent="0.25">
      <c r="A85" s="45">
        <v>36770</v>
      </c>
      <c r="B85" s="46">
        <v>116.1</v>
      </c>
      <c r="C85" s="48">
        <v>126.1</v>
      </c>
      <c r="D85" s="48">
        <v>49</v>
      </c>
      <c r="E85" s="55">
        <v>111.16391862</v>
      </c>
      <c r="F85" s="55">
        <v>111.82206856000001</v>
      </c>
      <c r="G85" s="47"/>
      <c r="H85" s="45">
        <f t="shared" si="1"/>
        <v>36770</v>
      </c>
      <c r="I85" s="27">
        <v>36799</v>
      </c>
      <c r="J85">
        <f t="shared" si="2"/>
        <v>116.1</v>
      </c>
      <c r="K85">
        <f t="shared" si="2"/>
        <v>126.1</v>
      </c>
      <c r="L85">
        <f t="shared" si="2"/>
        <v>49</v>
      </c>
      <c r="M85">
        <f t="shared" si="2"/>
        <v>111.16391862</v>
      </c>
      <c r="N85">
        <f t="shared" si="2"/>
        <v>111.82206856000001</v>
      </c>
    </row>
    <row r="86" spans="1:14" x14ac:dyDescent="0.25">
      <c r="A86" s="45">
        <v>36800</v>
      </c>
      <c r="B86" s="46"/>
      <c r="C86" s="46"/>
      <c r="D86" s="46"/>
      <c r="E86" s="55">
        <v>110.79450591</v>
      </c>
      <c r="F86" s="55">
        <v>111.14065089</v>
      </c>
      <c r="G86" s="47"/>
      <c r="H86" s="45">
        <f t="shared" si="1"/>
        <v>36800</v>
      </c>
      <c r="I86" s="27">
        <v>36830</v>
      </c>
      <c r="J86" t="e">
        <f t="shared" si="2"/>
        <v>#N/A</v>
      </c>
      <c r="K86" t="e">
        <f t="shared" si="2"/>
        <v>#N/A</v>
      </c>
      <c r="L86" t="e">
        <f t="shared" si="2"/>
        <v>#N/A</v>
      </c>
      <c r="M86">
        <f t="shared" si="2"/>
        <v>110.79450591</v>
      </c>
      <c r="N86">
        <f t="shared" si="2"/>
        <v>111.14065089</v>
      </c>
    </row>
    <row r="87" spans="1:14" x14ac:dyDescent="0.25">
      <c r="A87" s="45">
        <v>36831</v>
      </c>
      <c r="B87" s="46"/>
      <c r="C87" s="46"/>
      <c r="D87" s="46"/>
      <c r="E87" s="55">
        <v>111.10498753</v>
      </c>
      <c r="F87" s="55">
        <v>110.53002087</v>
      </c>
      <c r="G87" s="47"/>
      <c r="H87" s="45">
        <f t="shared" si="1"/>
        <v>36831</v>
      </c>
      <c r="I87" s="27">
        <v>36860</v>
      </c>
      <c r="J87" t="e">
        <f t="shared" si="2"/>
        <v>#N/A</v>
      </c>
      <c r="K87" t="e">
        <f t="shared" si="2"/>
        <v>#N/A</v>
      </c>
      <c r="L87" t="e">
        <f t="shared" si="2"/>
        <v>#N/A</v>
      </c>
      <c r="M87">
        <f t="shared" si="2"/>
        <v>111.10498753</v>
      </c>
      <c r="N87">
        <f t="shared" si="2"/>
        <v>110.53002087</v>
      </c>
    </row>
    <row r="88" spans="1:14" x14ac:dyDescent="0.25">
      <c r="A88" s="45">
        <v>36861</v>
      </c>
      <c r="B88" s="46">
        <v>113.9</v>
      </c>
      <c r="C88" s="48">
        <v>124.4</v>
      </c>
      <c r="D88" s="48">
        <v>51.7</v>
      </c>
      <c r="E88" s="55">
        <v>110.33327063999999</v>
      </c>
      <c r="F88" s="55">
        <v>109.86881237</v>
      </c>
      <c r="G88" s="47"/>
      <c r="H88" s="45">
        <f t="shared" si="1"/>
        <v>36861</v>
      </c>
      <c r="I88" s="27">
        <v>36891</v>
      </c>
      <c r="J88">
        <f t="shared" si="2"/>
        <v>113.9</v>
      </c>
      <c r="K88">
        <f t="shared" si="2"/>
        <v>124.4</v>
      </c>
      <c r="L88">
        <f t="shared" si="2"/>
        <v>51.7</v>
      </c>
      <c r="M88">
        <f t="shared" si="2"/>
        <v>110.33327063999999</v>
      </c>
      <c r="N88">
        <f t="shared" si="2"/>
        <v>109.86881237</v>
      </c>
    </row>
    <row r="89" spans="1:14" x14ac:dyDescent="0.25">
      <c r="A89" s="45">
        <v>36892</v>
      </c>
      <c r="B89" s="46"/>
      <c r="C89" s="46"/>
      <c r="D89" s="46"/>
      <c r="E89" s="55">
        <v>108.54246671</v>
      </c>
      <c r="F89" s="55">
        <v>109.07672835</v>
      </c>
      <c r="G89" s="47"/>
      <c r="H89" s="45">
        <f t="shared" si="1"/>
        <v>36892</v>
      </c>
      <c r="I89" s="27">
        <v>36922</v>
      </c>
      <c r="J89" t="e">
        <f t="shared" si="2"/>
        <v>#N/A</v>
      </c>
      <c r="K89" t="e">
        <f t="shared" si="2"/>
        <v>#N/A</v>
      </c>
      <c r="L89" t="e">
        <f t="shared" si="2"/>
        <v>#N/A</v>
      </c>
      <c r="M89">
        <f t="shared" si="2"/>
        <v>108.54246671</v>
      </c>
      <c r="N89">
        <f t="shared" si="2"/>
        <v>109.07672835</v>
      </c>
    </row>
    <row r="90" spans="1:14" x14ac:dyDescent="0.25">
      <c r="A90" s="45">
        <v>36923</v>
      </c>
      <c r="B90" s="46"/>
      <c r="C90" s="46"/>
      <c r="D90" s="46"/>
      <c r="E90" s="55">
        <v>109.61056585</v>
      </c>
      <c r="F90" s="55">
        <v>108.10664731999999</v>
      </c>
      <c r="G90" s="47"/>
      <c r="H90" s="45">
        <f t="shared" si="1"/>
        <v>36923</v>
      </c>
      <c r="I90" s="27">
        <v>36950</v>
      </c>
      <c r="J90" t="e">
        <f t="shared" si="2"/>
        <v>#N/A</v>
      </c>
      <c r="K90" t="e">
        <f t="shared" si="2"/>
        <v>#N/A</v>
      </c>
      <c r="L90" t="e">
        <f t="shared" si="2"/>
        <v>#N/A</v>
      </c>
      <c r="M90">
        <f t="shared" si="2"/>
        <v>109.61056585</v>
      </c>
      <c r="N90">
        <f t="shared" si="2"/>
        <v>108.10664731999999</v>
      </c>
    </row>
    <row r="91" spans="1:14" x14ac:dyDescent="0.25">
      <c r="A91" s="45">
        <v>36951</v>
      </c>
      <c r="B91" s="46">
        <v>115.2</v>
      </c>
      <c r="C91" s="48">
        <v>122.5</v>
      </c>
      <c r="D91" s="48">
        <v>49</v>
      </c>
      <c r="E91" s="55">
        <v>106.47328297</v>
      </c>
      <c r="F91" s="55">
        <v>106.87328626999999</v>
      </c>
      <c r="G91" s="47"/>
      <c r="H91" s="45">
        <f t="shared" si="1"/>
        <v>36951</v>
      </c>
      <c r="I91" s="27">
        <v>36981</v>
      </c>
      <c r="J91">
        <f t="shared" si="2"/>
        <v>115.2</v>
      </c>
      <c r="K91">
        <f t="shared" si="2"/>
        <v>122.5</v>
      </c>
      <c r="L91">
        <f t="shared" si="2"/>
        <v>49</v>
      </c>
      <c r="M91">
        <f t="shared" si="2"/>
        <v>106.47328297</v>
      </c>
      <c r="N91">
        <f t="shared" si="2"/>
        <v>106.87328626999999</v>
      </c>
    </row>
    <row r="92" spans="1:14" x14ac:dyDescent="0.25">
      <c r="A92" s="45">
        <v>36982</v>
      </c>
      <c r="B92" s="46"/>
      <c r="C92" s="46"/>
      <c r="D92" s="46"/>
      <c r="E92" s="55">
        <v>103.67502949999999</v>
      </c>
      <c r="F92" s="55">
        <v>105.39878494</v>
      </c>
      <c r="G92" s="47"/>
      <c r="H92" s="45">
        <f t="shared" ref="H92:H155" si="3">A92</f>
        <v>36982</v>
      </c>
      <c r="I92" s="27">
        <v>37011</v>
      </c>
      <c r="J92" t="e">
        <f t="shared" si="2"/>
        <v>#N/A</v>
      </c>
      <c r="K92" t="e">
        <f t="shared" si="2"/>
        <v>#N/A</v>
      </c>
      <c r="L92" t="e">
        <f t="shared" si="2"/>
        <v>#N/A</v>
      </c>
      <c r="M92">
        <f t="shared" si="2"/>
        <v>103.67502949999999</v>
      </c>
      <c r="N92">
        <f t="shared" si="2"/>
        <v>105.39878494</v>
      </c>
    </row>
    <row r="93" spans="1:14" x14ac:dyDescent="0.25">
      <c r="A93" s="45">
        <v>37012</v>
      </c>
      <c r="B93" s="46"/>
      <c r="C93" s="46"/>
      <c r="D93" s="46"/>
      <c r="E93" s="55">
        <v>108.36047863</v>
      </c>
      <c r="F93" s="55">
        <v>103.6767114</v>
      </c>
      <c r="G93" s="47"/>
      <c r="H93" s="45">
        <f t="shared" si="3"/>
        <v>37012</v>
      </c>
      <c r="I93" s="27">
        <v>37042</v>
      </c>
      <c r="J93" t="e">
        <f t="shared" si="2"/>
        <v>#N/A</v>
      </c>
      <c r="K93" t="e">
        <f t="shared" si="2"/>
        <v>#N/A</v>
      </c>
      <c r="L93" t="e">
        <f t="shared" si="2"/>
        <v>#N/A</v>
      </c>
      <c r="M93">
        <f t="shared" si="2"/>
        <v>108.36047863</v>
      </c>
      <c r="N93">
        <f t="shared" si="2"/>
        <v>103.6767114</v>
      </c>
    </row>
    <row r="94" spans="1:14" x14ac:dyDescent="0.25">
      <c r="A94" s="45">
        <v>37043</v>
      </c>
      <c r="B94" s="46">
        <v>109.9</v>
      </c>
      <c r="C94" s="48">
        <v>120.7</v>
      </c>
      <c r="D94" s="48">
        <v>43.7</v>
      </c>
      <c r="E94" s="55">
        <v>101.59672691999999</v>
      </c>
      <c r="F94" s="55">
        <v>101.57750832000001</v>
      </c>
      <c r="G94" s="47"/>
      <c r="H94" s="45">
        <f t="shared" si="3"/>
        <v>37043</v>
      </c>
      <c r="I94" s="27">
        <v>37072</v>
      </c>
      <c r="J94">
        <f t="shared" si="2"/>
        <v>109.9</v>
      </c>
      <c r="K94">
        <f t="shared" si="2"/>
        <v>120.7</v>
      </c>
      <c r="L94">
        <f t="shared" si="2"/>
        <v>43.7</v>
      </c>
      <c r="M94">
        <f t="shared" si="2"/>
        <v>101.59672691999999</v>
      </c>
      <c r="N94">
        <f t="shared" si="2"/>
        <v>101.57750832000001</v>
      </c>
    </row>
    <row r="95" spans="1:14" x14ac:dyDescent="0.25">
      <c r="A95" s="45">
        <v>37073</v>
      </c>
      <c r="B95" s="46"/>
      <c r="C95" s="46"/>
      <c r="D95" s="46"/>
      <c r="E95" s="55">
        <v>99.567444280000004</v>
      </c>
      <c r="F95" s="55">
        <v>99.306173189999996</v>
      </c>
      <c r="G95" s="47"/>
      <c r="H95" s="45">
        <f t="shared" si="3"/>
        <v>37073</v>
      </c>
      <c r="I95" s="27">
        <v>37103</v>
      </c>
      <c r="J95" t="e">
        <f t="shared" si="2"/>
        <v>#N/A</v>
      </c>
      <c r="K95" t="e">
        <f t="shared" si="2"/>
        <v>#N/A</v>
      </c>
      <c r="L95" t="e">
        <f t="shared" si="2"/>
        <v>#N/A</v>
      </c>
      <c r="M95">
        <f t="shared" si="2"/>
        <v>99.567444280000004</v>
      </c>
      <c r="N95">
        <f t="shared" si="2"/>
        <v>99.306173189999996</v>
      </c>
    </row>
    <row r="96" spans="1:14" x14ac:dyDescent="0.25">
      <c r="A96" s="45">
        <v>37104</v>
      </c>
      <c r="B96" s="46"/>
      <c r="C96" s="46"/>
      <c r="D96" s="46"/>
      <c r="E96" s="55">
        <v>97.769520490000005</v>
      </c>
      <c r="F96" s="55">
        <v>97.069076260000003</v>
      </c>
      <c r="G96" s="47"/>
      <c r="H96" s="45">
        <f t="shared" si="3"/>
        <v>37104</v>
      </c>
      <c r="I96" s="27">
        <v>37134</v>
      </c>
      <c r="J96" t="e">
        <f t="shared" si="2"/>
        <v>#N/A</v>
      </c>
      <c r="K96" t="e">
        <f t="shared" si="2"/>
        <v>#N/A</v>
      </c>
      <c r="L96" t="e">
        <f t="shared" si="2"/>
        <v>#N/A</v>
      </c>
      <c r="M96">
        <f t="shared" si="2"/>
        <v>97.769520490000005</v>
      </c>
      <c r="N96">
        <f t="shared" si="2"/>
        <v>97.069076260000003</v>
      </c>
    </row>
    <row r="97" spans="1:14" x14ac:dyDescent="0.25">
      <c r="A97" s="45">
        <v>37135</v>
      </c>
      <c r="B97" s="46">
        <v>108.7</v>
      </c>
      <c r="C97" s="48">
        <v>118.9</v>
      </c>
      <c r="D97" s="48">
        <v>39.700000000000003</v>
      </c>
      <c r="E97" s="55">
        <v>95.672718070000002</v>
      </c>
      <c r="F97" s="55">
        <v>95.091249989999994</v>
      </c>
      <c r="G97" s="47"/>
      <c r="H97" s="45">
        <f t="shared" si="3"/>
        <v>37135</v>
      </c>
      <c r="I97" s="27">
        <v>37164</v>
      </c>
      <c r="J97">
        <f t="shared" si="2"/>
        <v>108.7</v>
      </c>
      <c r="K97">
        <f t="shared" si="2"/>
        <v>118.9</v>
      </c>
      <c r="L97">
        <f t="shared" si="2"/>
        <v>39.700000000000003</v>
      </c>
      <c r="M97">
        <f t="shared" si="2"/>
        <v>95.672718070000002</v>
      </c>
      <c r="N97">
        <f t="shared" si="2"/>
        <v>95.091249989999994</v>
      </c>
    </row>
    <row r="98" spans="1:14" x14ac:dyDescent="0.25">
      <c r="A98" s="45">
        <v>37165</v>
      </c>
      <c r="B98" s="46"/>
      <c r="C98" s="46"/>
      <c r="D98" s="46"/>
      <c r="E98" s="55">
        <v>86.371469669999996</v>
      </c>
      <c r="F98" s="55">
        <v>93.64775856</v>
      </c>
      <c r="G98" s="47"/>
      <c r="H98" s="45">
        <f t="shared" si="3"/>
        <v>37165</v>
      </c>
      <c r="I98" s="27">
        <v>37195</v>
      </c>
      <c r="J98" t="e">
        <f t="shared" si="2"/>
        <v>#N/A</v>
      </c>
      <c r="K98" t="e">
        <f t="shared" si="2"/>
        <v>#N/A</v>
      </c>
      <c r="L98" t="e">
        <f t="shared" si="2"/>
        <v>#N/A</v>
      </c>
      <c r="M98">
        <f t="shared" si="2"/>
        <v>86.371469669999996</v>
      </c>
      <c r="N98">
        <f t="shared" si="2"/>
        <v>93.64775856</v>
      </c>
    </row>
    <row r="99" spans="1:14" x14ac:dyDescent="0.25">
      <c r="A99" s="45">
        <v>37196</v>
      </c>
      <c r="B99" s="46"/>
      <c r="C99" s="46"/>
      <c r="D99" s="46"/>
      <c r="E99" s="55">
        <v>91.201805289999996</v>
      </c>
      <c r="F99" s="55">
        <v>93.055199619999996</v>
      </c>
      <c r="G99" s="47"/>
      <c r="H99" s="45">
        <f t="shared" si="3"/>
        <v>37196</v>
      </c>
      <c r="I99" s="27">
        <v>37225</v>
      </c>
      <c r="J99" t="e">
        <f t="shared" si="2"/>
        <v>#N/A</v>
      </c>
      <c r="K99" t="e">
        <f t="shared" si="2"/>
        <v>#N/A</v>
      </c>
      <c r="L99" t="e">
        <f t="shared" si="2"/>
        <v>#N/A</v>
      </c>
      <c r="M99">
        <f t="shared" si="2"/>
        <v>91.201805289999996</v>
      </c>
      <c r="N99">
        <f t="shared" si="2"/>
        <v>93.055199619999996</v>
      </c>
    </row>
    <row r="100" spans="1:14" x14ac:dyDescent="0.25">
      <c r="A100" s="45">
        <v>37226</v>
      </c>
      <c r="B100" s="46">
        <v>100.7</v>
      </c>
      <c r="C100" s="48">
        <v>119.5</v>
      </c>
      <c r="D100" s="48">
        <v>42.9</v>
      </c>
      <c r="E100" s="55">
        <v>93.993790750000002</v>
      </c>
      <c r="F100" s="55">
        <v>93.110435859999996</v>
      </c>
      <c r="G100" s="47"/>
      <c r="H100" s="45">
        <f t="shared" si="3"/>
        <v>37226</v>
      </c>
      <c r="I100" s="27">
        <v>37256</v>
      </c>
      <c r="J100">
        <f t="shared" si="2"/>
        <v>100.7</v>
      </c>
      <c r="K100">
        <f t="shared" si="2"/>
        <v>119.5</v>
      </c>
      <c r="L100">
        <f t="shared" si="2"/>
        <v>42.9</v>
      </c>
      <c r="M100">
        <f t="shared" si="2"/>
        <v>93.993790750000002</v>
      </c>
      <c r="N100">
        <f t="shared" si="2"/>
        <v>93.110435859999996</v>
      </c>
    </row>
    <row r="101" spans="1:14" x14ac:dyDescent="0.25">
      <c r="A101" s="45">
        <v>37257</v>
      </c>
      <c r="B101" s="46"/>
      <c r="C101" s="46"/>
      <c r="D101" s="46"/>
      <c r="E101" s="55">
        <v>93.994601309999993</v>
      </c>
      <c r="F101" s="55">
        <v>93.477944669999999</v>
      </c>
      <c r="G101" s="47"/>
      <c r="H101" s="45">
        <f t="shared" si="3"/>
        <v>37257</v>
      </c>
      <c r="I101" s="27">
        <v>37287</v>
      </c>
      <c r="J101" t="e">
        <f t="shared" si="2"/>
        <v>#N/A</v>
      </c>
      <c r="K101" t="e">
        <f t="shared" si="2"/>
        <v>#N/A</v>
      </c>
      <c r="L101" t="e">
        <f t="shared" si="2"/>
        <v>#N/A</v>
      </c>
      <c r="M101">
        <f t="shared" si="2"/>
        <v>93.994601309999993</v>
      </c>
      <c r="N101">
        <f t="shared" si="2"/>
        <v>93.477944669999999</v>
      </c>
    </row>
    <row r="102" spans="1:14" x14ac:dyDescent="0.25">
      <c r="A102" s="45">
        <v>37288</v>
      </c>
      <c r="B102" s="46"/>
      <c r="C102" s="46"/>
      <c r="D102" s="46"/>
      <c r="E102" s="55">
        <v>95.403292730000004</v>
      </c>
      <c r="F102" s="55">
        <v>93.88530025</v>
      </c>
      <c r="G102" s="47"/>
      <c r="H102" s="45">
        <f t="shared" si="3"/>
        <v>37288</v>
      </c>
      <c r="I102" s="27">
        <v>37315</v>
      </c>
      <c r="J102" t="e">
        <f t="shared" si="2"/>
        <v>#N/A</v>
      </c>
      <c r="K102" t="e">
        <f t="shared" si="2"/>
        <v>#N/A</v>
      </c>
      <c r="L102" t="e">
        <f t="shared" si="2"/>
        <v>#N/A</v>
      </c>
      <c r="M102">
        <f t="shared" si="2"/>
        <v>95.403292730000004</v>
      </c>
      <c r="N102">
        <f t="shared" si="2"/>
        <v>93.88530025</v>
      </c>
    </row>
    <row r="103" spans="1:14" x14ac:dyDescent="0.25">
      <c r="A103" s="45">
        <v>37316</v>
      </c>
      <c r="B103" s="46">
        <v>108.4</v>
      </c>
      <c r="C103" s="48">
        <v>105.3</v>
      </c>
      <c r="D103" s="48">
        <v>28.5</v>
      </c>
      <c r="E103" s="55">
        <v>98.988639329999998</v>
      </c>
      <c r="F103" s="55">
        <v>94.096980810000005</v>
      </c>
      <c r="G103" s="47"/>
      <c r="H103" s="45">
        <f t="shared" si="3"/>
        <v>37316</v>
      </c>
      <c r="I103" s="27">
        <v>37346</v>
      </c>
      <c r="J103">
        <f t="shared" si="2"/>
        <v>108.4</v>
      </c>
      <c r="K103">
        <f t="shared" si="2"/>
        <v>105.3</v>
      </c>
      <c r="L103">
        <f t="shared" si="2"/>
        <v>28.5</v>
      </c>
      <c r="M103">
        <f t="shared" si="2"/>
        <v>98.988639329999998</v>
      </c>
      <c r="N103">
        <f t="shared" si="2"/>
        <v>94.096980810000005</v>
      </c>
    </row>
    <row r="104" spans="1:14" x14ac:dyDescent="0.25">
      <c r="A104" s="45">
        <v>37347</v>
      </c>
      <c r="B104" s="46"/>
      <c r="C104" s="46"/>
      <c r="D104" s="46"/>
      <c r="E104" s="55">
        <v>92.484169719999997</v>
      </c>
      <c r="F104" s="55">
        <v>93.985892590000006</v>
      </c>
      <c r="G104" s="47"/>
      <c r="H104" s="45">
        <f t="shared" si="3"/>
        <v>37347</v>
      </c>
      <c r="I104" s="27">
        <v>37376</v>
      </c>
      <c r="J104" t="e">
        <f t="shared" si="2"/>
        <v>#N/A</v>
      </c>
      <c r="K104" t="e">
        <f t="shared" si="2"/>
        <v>#N/A</v>
      </c>
      <c r="L104" t="e">
        <f t="shared" si="2"/>
        <v>#N/A</v>
      </c>
      <c r="M104">
        <f t="shared" si="2"/>
        <v>92.484169719999997</v>
      </c>
      <c r="N104">
        <f t="shared" si="2"/>
        <v>93.985892590000006</v>
      </c>
    </row>
    <row r="105" spans="1:14" x14ac:dyDescent="0.25">
      <c r="A105" s="45">
        <v>37377</v>
      </c>
      <c r="B105" s="46"/>
      <c r="C105" s="46"/>
      <c r="D105" s="46"/>
      <c r="E105" s="55">
        <v>91.955267280000001</v>
      </c>
      <c r="F105" s="55">
        <v>93.774346050000005</v>
      </c>
      <c r="G105" s="47"/>
      <c r="H105" s="45">
        <f t="shared" si="3"/>
        <v>37377</v>
      </c>
      <c r="I105" s="27">
        <v>37407</v>
      </c>
      <c r="J105" t="e">
        <f t="shared" si="2"/>
        <v>#N/A</v>
      </c>
      <c r="K105" t="e">
        <f t="shared" si="2"/>
        <v>#N/A</v>
      </c>
      <c r="L105" t="e">
        <f t="shared" si="2"/>
        <v>#N/A</v>
      </c>
      <c r="M105">
        <f t="shared" si="2"/>
        <v>91.955267280000001</v>
      </c>
      <c r="N105">
        <f t="shared" si="2"/>
        <v>93.774346050000005</v>
      </c>
    </row>
    <row r="106" spans="1:14" x14ac:dyDescent="0.25">
      <c r="A106" s="45">
        <v>37408</v>
      </c>
      <c r="B106" s="46">
        <v>110.8</v>
      </c>
      <c r="C106" s="48">
        <v>112.3</v>
      </c>
      <c r="D106" s="48">
        <v>30.2</v>
      </c>
      <c r="E106" s="55">
        <v>92.682169329999994</v>
      </c>
      <c r="F106" s="55">
        <v>93.577385699999994</v>
      </c>
      <c r="G106" s="47"/>
      <c r="H106" s="45">
        <f t="shared" si="3"/>
        <v>37408</v>
      </c>
      <c r="I106" s="27">
        <v>37437</v>
      </c>
      <c r="J106">
        <f t="shared" si="2"/>
        <v>110.8</v>
      </c>
      <c r="K106">
        <f t="shared" si="2"/>
        <v>112.3</v>
      </c>
      <c r="L106">
        <f t="shared" si="2"/>
        <v>30.2</v>
      </c>
      <c r="M106">
        <f t="shared" si="2"/>
        <v>92.682169329999994</v>
      </c>
      <c r="N106">
        <f t="shared" si="2"/>
        <v>93.577385699999994</v>
      </c>
    </row>
    <row r="107" spans="1:14" x14ac:dyDescent="0.25">
      <c r="A107" s="45">
        <v>37438</v>
      </c>
      <c r="B107" s="46"/>
      <c r="C107" s="46"/>
      <c r="D107" s="46"/>
      <c r="E107" s="55">
        <v>92.724527109999997</v>
      </c>
      <c r="F107" s="55">
        <v>93.380121840000001</v>
      </c>
      <c r="G107" s="47"/>
      <c r="H107" s="45">
        <f t="shared" si="3"/>
        <v>37438</v>
      </c>
      <c r="I107" s="27">
        <v>37468</v>
      </c>
      <c r="J107" t="e">
        <f t="shared" si="2"/>
        <v>#N/A</v>
      </c>
      <c r="K107" t="e">
        <f t="shared" si="2"/>
        <v>#N/A</v>
      </c>
      <c r="L107" t="e">
        <f t="shared" si="2"/>
        <v>#N/A</v>
      </c>
      <c r="M107">
        <f t="shared" si="2"/>
        <v>92.724527109999997</v>
      </c>
      <c r="N107">
        <f t="shared" si="2"/>
        <v>93.380121840000001</v>
      </c>
    </row>
    <row r="108" spans="1:14" x14ac:dyDescent="0.25">
      <c r="A108" s="45">
        <v>37469</v>
      </c>
      <c r="B108" s="46"/>
      <c r="C108" s="46"/>
      <c r="D108" s="46"/>
      <c r="E108" s="55">
        <v>94.059267829999996</v>
      </c>
      <c r="F108" s="55">
        <v>93.103720789999997</v>
      </c>
      <c r="G108" s="47"/>
      <c r="H108" s="45">
        <f t="shared" si="3"/>
        <v>37469</v>
      </c>
      <c r="I108" s="27">
        <v>37499</v>
      </c>
      <c r="J108" t="e">
        <f t="shared" si="2"/>
        <v>#N/A</v>
      </c>
      <c r="K108" t="e">
        <f t="shared" si="2"/>
        <v>#N/A</v>
      </c>
      <c r="L108" t="e">
        <f t="shared" si="2"/>
        <v>#N/A</v>
      </c>
      <c r="M108">
        <f t="shared" si="2"/>
        <v>94.059267829999996</v>
      </c>
      <c r="N108">
        <f t="shared" si="2"/>
        <v>93.103720789999997</v>
      </c>
    </row>
    <row r="109" spans="1:14" x14ac:dyDescent="0.25">
      <c r="A109" s="45">
        <v>37500</v>
      </c>
      <c r="B109" s="46">
        <v>113.2</v>
      </c>
      <c r="C109" s="48">
        <v>116.7</v>
      </c>
      <c r="D109" s="48">
        <v>35</v>
      </c>
      <c r="E109" s="55">
        <v>93.199173849999994</v>
      </c>
      <c r="F109" s="55">
        <v>92.622520620000003</v>
      </c>
      <c r="G109" s="47"/>
      <c r="H109" s="45">
        <f t="shared" si="3"/>
        <v>37500</v>
      </c>
      <c r="I109" s="27">
        <v>37529</v>
      </c>
      <c r="J109">
        <f t="shared" si="2"/>
        <v>113.2</v>
      </c>
      <c r="K109">
        <f t="shared" si="2"/>
        <v>116.7</v>
      </c>
      <c r="L109">
        <f t="shared" si="2"/>
        <v>35</v>
      </c>
      <c r="M109">
        <f t="shared" si="2"/>
        <v>93.199173849999994</v>
      </c>
      <c r="N109">
        <f t="shared" si="2"/>
        <v>92.622520620000003</v>
      </c>
    </row>
    <row r="110" spans="1:14" x14ac:dyDescent="0.25">
      <c r="A110" s="45">
        <v>37530</v>
      </c>
      <c r="B110" s="46"/>
      <c r="C110" s="46"/>
      <c r="D110" s="46"/>
      <c r="E110" s="55">
        <v>93.278582349999994</v>
      </c>
      <c r="F110" s="55">
        <v>91.879112800000001</v>
      </c>
      <c r="G110" s="47"/>
      <c r="H110" s="45">
        <f t="shared" si="3"/>
        <v>37530</v>
      </c>
      <c r="I110" s="27">
        <v>37560</v>
      </c>
      <c r="J110" t="e">
        <f t="shared" si="2"/>
        <v>#N/A</v>
      </c>
      <c r="K110" t="e">
        <f t="shared" si="2"/>
        <v>#N/A</v>
      </c>
      <c r="L110" t="e">
        <f t="shared" si="2"/>
        <v>#N/A</v>
      </c>
      <c r="M110">
        <f t="shared" si="2"/>
        <v>93.278582349999994</v>
      </c>
      <c r="N110">
        <f t="shared" si="2"/>
        <v>91.879112800000001</v>
      </c>
    </row>
    <row r="111" spans="1:14" x14ac:dyDescent="0.25">
      <c r="A111" s="45">
        <v>37561</v>
      </c>
      <c r="B111" s="46"/>
      <c r="C111" s="46"/>
      <c r="D111" s="46"/>
      <c r="E111" s="55">
        <v>94.160941870000002</v>
      </c>
      <c r="F111" s="55">
        <v>90.857278309999998</v>
      </c>
      <c r="G111" s="47"/>
      <c r="H111" s="45">
        <f t="shared" si="3"/>
        <v>37561</v>
      </c>
      <c r="I111" s="27">
        <v>37590</v>
      </c>
      <c r="J111" t="e">
        <f t="shared" si="2"/>
        <v>#N/A</v>
      </c>
      <c r="K111" t="e">
        <f t="shared" si="2"/>
        <v>#N/A</v>
      </c>
      <c r="L111" t="e">
        <f t="shared" si="2"/>
        <v>#N/A</v>
      </c>
      <c r="M111">
        <f t="shared" si="2"/>
        <v>94.160941870000002</v>
      </c>
      <c r="N111">
        <f t="shared" si="2"/>
        <v>90.857278309999998</v>
      </c>
    </row>
    <row r="112" spans="1:14" x14ac:dyDescent="0.25">
      <c r="A112" s="45">
        <v>37591</v>
      </c>
      <c r="B112" s="46">
        <v>113.8</v>
      </c>
      <c r="C112" s="48">
        <v>121.2</v>
      </c>
      <c r="D112" s="48">
        <v>41.2</v>
      </c>
      <c r="E112" s="55">
        <v>90.407720330000004</v>
      </c>
      <c r="F112" s="55">
        <v>89.640760220000004</v>
      </c>
      <c r="G112" s="47"/>
      <c r="H112" s="45">
        <f t="shared" si="3"/>
        <v>37591</v>
      </c>
      <c r="I112" s="27">
        <v>37621</v>
      </c>
      <c r="J112">
        <f t="shared" si="2"/>
        <v>113.8</v>
      </c>
      <c r="K112">
        <f t="shared" si="2"/>
        <v>121.2</v>
      </c>
      <c r="L112">
        <f t="shared" si="2"/>
        <v>41.2</v>
      </c>
      <c r="M112">
        <f t="shared" si="2"/>
        <v>90.407720330000004</v>
      </c>
      <c r="N112">
        <f t="shared" si="2"/>
        <v>89.640760220000004</v>
      </c>
    </row>
    <row r="113" spans="1:14" x14ac:dyDescent="0.25">
      <c r="A113" s="45">
        <v>37622</v>
      </c>
      <c r="B113" s="46"/>
      <c r="C113" s="46"/>
      <c r="D113" s="46"/>
      <c r="E113" s="55">
        <v>87.717190369999997</v>
      </c>
      <c r="F113" s="55">
        <v>88.549277579999995</v>
      </c>
      <c r="G113" s="47"/>
      <c r="H113" s="45">
        <f t="shared" si="3"/>
        <v>37622</v>
      </c>
      <c r="I113" s="27">
        <v>37652</v>
      </c>
      <c r="J113" t="e">
        <f t="shared" si="2"/>
        <v>#N/A</v>
      </c>
      <c r="K113" t="e">
        <f t="shared" si="2"/>
        <v>#N/A</v>
      </c>
      <c r="L113" t="e">
        <f t="shared" si="2"/>
        <v>#N/A</v>
      </c>
      <c r="M113">
        <f t="shared" si="2"/>
        <v>87.717190369999997</v>
      </c>
      <c r="N113">
        <f t="shared" si="2"/>
        <v>88.549277579999995</v>
      </c>
    </row>
    <row r="114" spans="1:14" x14ac:dyDescent="0.25">
      <c r="A114" s="45">
        <v>37653</v>
      </c>
      <c r="B114" s="46"/>
      <c r="C114" s="46"/>
      <c r="D114" s="46"/>
      <c r="E114" s="55">
        <v>83.927049499999995</v>
      </c>
      <c r="F114" s="55">
        <v>87.957332320000006</v>
      </c>
      <c r="G114" s="47"/>
      <c r="H114" s="45">
        <f t="shared" si="3"/>
        <v>37653</v>
      </c>
      <c r="I114" s="27">
        <v>37680</v>
      </c>
      <c r="J114" t="e">
        <f t="shared" si="2"/>
        <v>#N/A</v>
      </c>
      <c r="K114" t="e">
        <f t="shared" si="2"/>
        <v>#N/A</v>
      </c>
      <c r="L114" t="e">
        <f t="shared" si="2"/>
        <v>#N/A</v>
      </c>
      <c r="M114">
        <f t="shared" si="2"/>
        <v>83.927049499999995</v>
      </c>
      <c r="N114">
        <f t="shared" si="2"/>
        <v>87.957332320000006</v>
      </c>
    </row>
    <row r="115" spans="1:14" x14ac:dyDescent="0.25">
      <c r="A115" s="45">
        <v>37681</v>
      </c>
      <c r="B115" s="46">
        <v>118.4</v>
      </c>
      <c r="C115" s="48">
        <v>119.7</v>
      </c>
      <c r="D115" s="48">
        <v>40.799999999999997</v>
      </c>
      <c r="E115" s="55">
        <v>82.621459060000007</v>
      </c>
      <c r="F115" s="55">
        <v>88.179991560000005</v>
      </c>
      <c r="G115" s="47"/>
      <c r="H115" s="45">
        <f t="shared" si="3"/>
        <v>37681</v>
      </c>
      <c r="I115" s="27">
        <v>37711</v>
      </c>
      <c r="J115">
        <f t="shared" si="2"/>
        <v>118.4</v>
      </c>
      <c r="K115">
        <f t="shared" si="2"/>
        <v>119.7</v>
      </c>
      <c r="L115">
        <f t="shared" si="2"/>
        <v>40.799999999999997</v>
      </c>
      <c r="M115">
        <f t="shared" si="2"/>
        <v>82.621459060000007</v>
      </c>
      <c r="N115">
        <f t="shared" si="2"/>
        <v>88.179991560000005</v>
      </c>
    </row>
    <row r="116" spans="1:14" x14ac:dyDescent="0.25">
      <c r="A116" s="45">
        <v>37712</v>
      </c>
      <c r="B116" s="46"/>
      <c r="C116" s="46"/>
      <c r="D116" s="46"/>
      <c r="E116" s="55">
        <v>86.368506100000005</v>
      </c>
      <c r="F116" s="55">
        <v>89.244445049999996</v>
      </c>
      <c r="G116" s="47"/>
      <c r="H116" s="45">
        <f t="shared" si="3"/>
        <v>37712</v>
      </c>
      <c r="I116" s="27">
        <v>37741</v>
      </c>
      <c r="J116" t="e">
        <f t="shared" si="2"/>
        <v>#N/A</v>
      </c>
      <c r="K116" t="e">
        <f t="shared" si="2"/>
        <v>#N/A</v>
      </c>
      <c r="L116" t="e">
        <f t="shared" si="2"/>
        <v>#N/A</v>
      </c>
      <c r="M116">
        <f t="shared" si="2"/>
        <v>86.368506100000005</v>
      </c>
      <c r="N116">
        <f t="shared" si="2"/>
        <v>89.244445049999996</v>
      </c>
    </row>
    <row r="117" spans="1:14" x14ac:dyDescent="0.25">
      <c r="A117" s="45">
        <v>37742</v>
      </c>
      <c r="B117" s="46"/>
      <c r="C117" s="46"/>
      <c r="D117" s="46"/>
      <c r="E117" s="55">
        <v>97.061344300000002</v>
      </c>
      <c r="F117" s="55">
        <v>90.780844549999998</v>
      </c>
      <c r="G117" s="47"/>
      <c r="H117" s="45">
        <f t="shared" si="3"/>
        <v>37742</v>
      </c>
      <c r="I117" s="27">
        <v>37772</v>
      </c>
      <c r="J117" t="e">
        <f t="shared" si="2"/>
        <v>#N/A</v>
      </c>
      <c r="K117" t="e">
        <f t="shared" si="2"/>
        <v>#N/A</v>
      </c>
      <c r="L117" t="e">
        <f t="shared" si="2"/>
        <v>#N/A</v>
      </c>
      <c r="M117">
        <f t="shared" si="2"/>
        <v>97.061344300000002</v>
      </c>
      <c r="N117">
        <f t="shared" si="2"/>
        <v>90.780844549999998</v>
      </c>
    </row>
    <row r="118" spans="1:14" x14ac:dyDescent="0.25">
      <c r="A118" s="45">
        <v>37773</v>
      </c>
      <c r="B118" s="46">
        <v>109.8</v>
      </c>
      <c r="C118" s="48">
        <v>117.8</v>
      </c>
      <c r="D118" s="48">
        <v>36</v>
      </c>
      <c r="E118" s="55">
        <v>98.350054290000003</v>
      </c>
      <c r="F118" s="55">
        <v>92.21391758</v>
      </c>
      <c r="G118" s="47"/>
      <c r="H118" s="45">
        <f t="shared" si="3"/>
        <v>37773</v>
      </c>
      <c r="I118" s="27">
        <v>37802</v>
      </c>
      <c r="J118">
        <f t="shared" si="2"/>
        <v>109.8</v>
      </c>
      <c r="K118">
        <f t="shared" si="2"/>
        <v>117.8</v>
      </c>
      <c r="L118">
        <f t="shared" si="2"/>
        <v>36</v>
      </c>
      <c r="M118">
        <f t="shared" si="2"/>
        <v>98.350054290000003</v>
      </c>
      <c r="N118">
        <f t="shared" si="2"/>
        <v>92.21391758</v>
      </c>
    </row>
    <row r="119" spans="1:14" x14ac:dyDescent="0.25">
      <c r="A119" s="45">
        <v>37803</v>
      </c>
      <c r="B119" s="46"/>
      <c r="C119" s="46"/>
      <c r="D119" s="46"/>
      <c r="E119" s="55">
        <v>95.103173170000005</v>
      </c>
      <c r="F119" s="55">
        <v>93.41699878</v>
      </c>
      <c r="G119" s="47"/>
      <c r="H119" s="45">
        <f t="shared" si="3"/>
        <v>37803</v>
      </c>
      <c r="I119" s="27">
        <v>37833</v>
      </c>
      <c r="J119" t="e">
        <f t="shared" si="2"/>
        <v>#N/A</v>
      </c>
      <c r="K119" t="e">
        <f t="shared" si="2"/>
        <v>#N/A</v>
      </c>
      <c r="L119" t="e">
        <f t="shared" si="2"/>
        <v>#N/A</v>
      </c>
      <c r="M119">
        <f t="shared" si="2"/>
        <v>95.103173170000005</v>
      </c>
      <c r="N119">
        <f t="shared" si="2"/>
        <v>93.41699878</v>
      </c>
    </row>
    <row r="120" spans="1:14" x14ac:dyDescent="0.25">
      <c r="A120" s="45">
        <v>37834</v>
      </c>
      <c r="B120" s="46"/>
      <c r="C120" s="46"/>
      <c r="D120" s="46"/>
      <c r="E120" s="55">
        <v>89.305135219999997</v>
      </c>
      <c r="F120" s="55">
        <v>94.701718299999996</v>
      </c>
      <c r="G120" s="47"/>
      <c r="H120" s="45">
        <f t="shared" si="3"/>
        <v>37834</v>
      </c>
      <c r="I120" s="27">
        <v>37864</v>
      </c>
      <c r="J120" t="e">
        <f t="shared" si="2"/>
        <v>#N/A</v>
      </c>
      <c r="K120" t="e">
        <f t="shared" si="2"/>
        <v>#N/A</v>
      </c>
      <c r="L120" t="e">
        <f t="shared" si="2"/>
        <v>#N/A</v>
      </c>
      <c r="M120">
        <f t="shared" si="2"/>
        <v>89.305135219999997</v>
      </c>
      <c r="N120">
        <f t="shared" si="2"/>
        <v>94.701718299999996</v>
      </c>
    </row>
    <row r="121" spans="1:14" x14ac:dyDescent="0.25">
      <c r="A121" s="45">
        <v>37865</v>
      </c>
      <c r="B121" s="46">
        <v>114.3</v>
      </c>
      <c r="C121" s="48">
        <v>117.2</v>
      </c>
      <c r="D121" s="48">
        <v>36.200000000000003</v>
      </c>
      <c r="E121" s="55">
        <v>91.476803899999993</v>
      </c>
      <c r="F121" s="55">
        <v>96.500147279999993</v>
      </c>
      <c r="G121" s="47"/>
      <c r="H121" s="45">
        <f t="shared" si="3"/>
        <v>37865</v>
      </c>
      <c r="I121" s="27">
        <v>37894</v>
      </c>
      <c r="J121">
        <f t="shared" si="2"/>
        <v>114.3</v>
      </c>
      <c r="K121">
        <f t="shared" si="2"/>
        <v>117.2</v>
      </c>
      <c r="L121">
        <f t="shared" si="2"/>
        <v>36.200000000000003</v>
      </c>
      <c r="M121">
        <f t="shared" si="2"/>
        <v>91.476803899999993</v>
      </c>
      <c r="N121">
        <f t="shared" si="2"/>
        <v>96.500147279999993</v>
      </c>
    </row>
    <row r="122" spans="1:14" x14ac:dyDescent="0.25">
      <c r="A122" s="45">
        <v>37895</v>
      </c>
      <c r="B122" s="46"/>
      <c r="C122" s="46"/>
      <c r="D122" s="46"/>
      <c r="E122" s="55">
        <v>93.734792949999999</v>
      </c>
      <c r="F122" s="55">
        <v>98.858886659999996</v>
      </c>
      <c r="G122" s="47"/>
      <c r="H122" s="45">
        <f t="shared" si="3"/>
        <v>37895</v>
      </c>
      <c r="I122" s="27">
        <v>37925</v>
      </c>
      <c r="J122" t="e">
        <f t="shared" si="2"/>
        <v>#N/A</v>
      </c>
      <c r="K122" t="e">
        <f t="shared" si="2"/>
        <v>#N/A</v>
      </c>
      <c r="L122" t="e">
        <f t="shared" si="2"/>
        <v>#N/A</v>
      </c>
      <c r="M122">
        <f t="shared" si="2"/>
        <v>93.734792949999999</v>
      </c>
      <c r="N122">
        <f t="shared" si="2"/>
        <v>98.858886659999996</v>
      </c>
    </row>
    <row r="123" spans="1:14" x14ac:dyDescent="0.25">
      <c r="A123" s="45">
        <v>37926</v>
      </c>
      <c r="B123" s="46"/>
      <c r="C123" s="46"/>
      <c r="D123" s="46"/>
      <c r="E123" s="55">
        <v>102.39360458</v>
      </c>
      <c r="F123" s="55">
        <v>101.46572715000001</v>
      </c>
      <c r="G123" s="47"/>
      <c r="H123" s="45">
        <f t="shared" si="3"/>
        <v>37926</v>
      </c>
      <c r="I123" s="27">
        <v>37955</v>
      </c>
      <c r="J123" t="e">
        <f t="shared" si="2"/>
        <v>#N/A</v>
      </c>
      <c r="K123" t="e">
        <f t="shared" si="2"/>
        <v>#N/A</v>
      </c>
      <c r="L123" t="e">
        <f t="shared" si="2"/>
        <v>#N/A</v>
      </c>
      <c r="M123">
        <f t="shared" si="2"/>
        <v>102.39360458</v>
      </c>
      <c r="N123">
        <f t="shared" si="2"/>
        <v>101.46572715000001</v>
      </c>
    </row>
    <row r="124" spans="1:14" x14ac:dyDescent="0.25">
      <c r="A124" s="45">
        <v>37956</v>
      </c>
      <c r="B124" s="46">
        <v>119.8</v>
      </c>
      <c r="C124" s="48">
        <v>122.1</v>
      </c>
      <c r="D124" s="48">
        <v>45.8</v>
      </c>
      <c r="E124" s="55">
        <v>108.01397978999999</v>
      </c>
      <c r="F124" s="55">
        <v>103.64245274</v>
      </c>
      <c r="G124" s="47"/>
      <c r="H124" s="45">
        <f t="shared" si="3"/>
        <v>37956</v>
      </c>
      <c r="I124" s="27">
        <v>37986</v>
      </c>
      <c r="J124">
        <f t="shared" si="2"/>
        <v>119.8</v>
      </c>
      <c r="K124">
        <f t="shared" si="2"/>
        <v>122.1</v>
      </c>
      <c r="L124">
        <f t="shared" si="2"/>
        <v>45.8</v>
      </c>
      <c r="M124">
        <f t="shared" si="2"/>
        <v>108.01397978999999</v>
      </c>
      <c r="N124">
        <f t="shared" si="2"/>
        <v>103.64245274</v>
      </c>
    </row>
    <row r="125" spans="1:14" x14ac:dyDescent="0.25">
      <c r="A125" s="45">
        <v>37987</v>
      </c>
      <c r="B125" s="46"/>
      <c r="C125" s="46"/>
      <c r="D125" s="46"/>
      <c r="E125" s="55">
        <v>108.87155823000001</v>
      </c>
      <c r="F125" s="55">
        <v>104.77712440000001</v>
      </c>
      <c r="G125" s="47"/>
      <c r="H125" s="45">
        <f t="shared" si="3"/>
        <v>37987</v>
      </c>
      <c r="I125" s="27">
        <v>38017</v>
      </c>
      <c r="J125" t="e">
        <f t="shared" si="2"/>
        <v>#N/A</v>
      </c>
      <c r="K125" t="e">
        <f t="shared" si="2"/>
        <v>#N/A</v>
      </c>
      <c r="L125" t="e">
        <f t="shared" si="2"/>
        <v>#N/A</v>
      </c>
      <c r="M125">
        <f t="shared" si="2"/>
        <v>108.87155823000001</v>
      </c>
      <c r="N125">
        <f t="shared" si="2"/>
        <v>104.77712440000001</v>
      </c>
    </row>
    <row r="126" spans="1:14" x14ac:dyDescent="0.25">
      <c r="A126" s="45">
        <v>38018</v>
      </c>
      <c r="B126" s="46"/>
      <c r="C126" s="46"/>
      <c r="D126" s="46"/>
      <c r="E126" s="55">
        <v>110.06098505</v>
      </c>
      <c r="F126" s="55">
        <v>104.57005502</v>
      </c>
      <c r="G126" s="47"/>
      <c r="H126" s="45">
        <f t="shared" si="3"/>
        <v>38018</v>
      </c>
      <c r="I126" s="27">
        <v>38046</v>
      </c>
      <c r="J126" t="e">
        <f t="shared" si="2"/>
        <v>#N/A</v>
      </c>
      <c r="K126" t="e">
        <f t="shared" si="2"/>
        <v>#N/A</v>
      </c>
      <c r="L126" t="e">
        <f t="shared" si="2"/>
        <v>#N/A</v>
      </c>
      <c r="M126">
        <f t="shared" si="2"/>
        <v>110.06098505</v>
      </c>
      <c r="N126">
        <f t="shared" si="2"/>
        <v>104.57005502</v>
      </c>
    </row>
    <row r="127" spans="1:14" x14ac:dyDescent="0.25">
      <c r="A127" s="45">
        <v>38047</v>
      </c>
      <c r="B127" s="46">
        <v>121.4</v>
      </c>
      <c r="C127" s="48">
        <v>122.2</v>
      </c>
      <c r="D127" s="48">
        <v>49</v>
      </c>
      <c r="E127" s="55">
        <v>108.53501925</v>
      </c>
      <c r="F127" s="55">
        <v>103.01401706</v>
      </c>
      <c r="G127" s="47"/>
      <c r="H127" s="45">
        <f t="shared" si="3"/>
        <v>38047</v>
      </c>
      <c r="I127" s="27">
        <v>38077</v>
      </c>
      <c r="J127">
        <f t="shared" si="2"/>
        <v>121.4</v>
      </c>
      <c r="K127">
        <f t="shared" si="2"/>
        <v>122.2</v>
      </c>
      <c r="L127">
        <f t="shared" si="2"/>
        <v>49</v>
      </c>
      <c r="M127">
        <f t="shared" si="2"/>
        <v>108.53501925</v>
      </c>
      <c r="N127">
        <f t="shared" si="2"/>
        <v>103.01401706</v>
      </c>
    </row>
    <row r="128" spans="1:14" x14ac:dyDescent="0.25">
      <c r="A128" s="45">
        <v>38078</v>
      </c>
      <c r="B128" s="46"/>
      <c r="C128" s="46"/>
      <c r="D128" s="46"/>
      <c r="E128" s="55">
        <v>102.0267427</v>
      </c>
      <c r="F128" s="55">
        <v>100.49399226</v>
      </c>
      <c r="G128" s="47"/>
      <c r="H128" s="45">
        <f t="shared" si="3"/>
        <v>38078</v>
      </c>
      <c r="I128" s="27">
        <v>38107</v>
      </c>
      <c r="J128" t="e">
        <f t="shared" si="2"/>
        <v>#N/A</v>
      </c>
      <c r="K128" t="e">
        <f t="shared" si="2"/>
        <v>#N/A</v>
      </c>
      <c r="L128" t="e">
        <f t="shared" si="2"/>
        <v>#N/A</v>
      </c>
      <c r="M128">
        <f t="shared" si="2"/>
        <v>102.0267427</v>
      </c>
      <c r="N128">
        <f t="shared" si="2"/>
        <v>100.49399226</v>
      </c>
    </row>
    <row r="129" spans="1:14" x14ac:dyDescent="0.25">
      <c r="A129" s="45">
        <v>38108</v>
      </c>
      <c r="B129" s="46"/>
      <c r="C129" s="46"/>
      <c r="D129" s="46"/>
      <c r="E129" s="55">
        <v>88.935299529999995</v>
      </c>
      <c r="F129" s="55">
        <v>97.789319660000004</v>
      </c>
      <c r="G129" s="47"/>
      <c r="H129" s="45">
        <f t="shared" si="3"/>
        <v>38108</v>
      </c>
      <c r="I129" s="27">
        <v>38138</v>
      </c>
      <c r="J129" t="e">
        <f t="shared" ref="J129:N179" si="4">IF(ISNUMBER(VLOOKUP($H129,$A$27:$F$369,J$25,FALSE)),VLOOKUP($H129,$A$27:$F$369,J$25,FALSE),NA())</f>
        <v>#N/A</v>
      </c>
      <c r="K129" t="e">
        <f t="shared" si="4"/>
        <v>#N/A</v>
      </c>
      <c r="L129" t="e">
        <f t="shared" si="4"/>
        <v>#N/A</v>
      </c>
      <c r="M129">
        <f t="shared" si="4"/>
        <v>88.935299529999995</v>
      </c>
      <c r="N129">
        <f t="shared" si="4"/>
        <v>97.789319660000004</v>
      </c>
    </row>
    <row r="130" spans="1:14" x14ac:dyDescent="0.25">
      <c r="A130" s="45">
        <v>38139</v>
      </c>
      <c r="B130" s="46">
        <v>118.4</v>
      </c>
      <c r="C130" s="48">
        <v>121.5</v>
      </c>
      <c r="D130" s="48">
        <v>47.9</v>
      </c>
      <c r="E130" s="55">
        <v>87.761847810000006</v>
      </c>
      <c r="F130" s="55">
        <v>95.788820470000005</v>
      </c>
      <c r="G130" s="47"/>
      <c r="H130" s="45">
        <f t="shared" si="3"/>
        <v>38139</v>
      </c>
      <c r="I130" s="27">
        <v>38168</v>
      </c>
      <c r="J130">
        <f t="shared" si="4"/>
        <v>118.4</v>
      </c>
      <c r="K130">
        <f t="shared" si="4"/>
        <v>121.5</v>
      </c>
      <c r="L130">
        <f t="shared" si="4"/>
        <v>47.9</v>
      </c>
      <c r="M130">
        <f t="shared" si="4"/>
        <v>87.761847810000006</v>
      </c>
      <c r="N130">
        <f t="shared" si="4"/>
        <v>95.788820470000005</v>
      </c>
    </row>
    <row r="131" spans="1:14" x14ac:dyDescent="0.25">
      <c r="A131" s="45">
        <v>38169</v>
      </c>
      <c r="B131" s="46"/>
      <c r="C131" s="46"/>
      <c r="D131" s="46"/>
      <c r="E131" s="55">
        <v>94.657263959999995</v>
      </c>
      <c r="F131" s="55">
        <v>94.748885900000005</v>
      </c>
      <c r="G131" s="47"/>
      <c r="H131" s="45">
        <f t="shared" si="3"/>
        <v>38169</v>
      </c>
      <c r="I131" s="27">
        <v>38199</v>
      </c>
      <c r="J131" t="e">
        <f t="shared" si="4"/>
        <v>#N/A</v>
      </c>
      <c r="K131" t="e">
        <f t="shared" si="4"/>
        <v>#N/A</v>
      </c>
      <c r="L131" t="e">
        <f t="shared" si="4"/>
        <v>#N/A</v>
      </c>
      <c r="M131">
        <f t="shared" si="4"/>
        <v>94.657263959999995</v>
      </c>
      <c r="N131">
        <f t="shared" si="4"/>
        <v>94.748885900000005</v>
      </c>
    </row>
    <row r="132" spans="1:14" x14ac:dyDescent="0.25">
      <c r="A132" s="45">
        <v>38200</v>
      </c>
      <c r="B132" s="46"/>
      <c r="C132" s="46"/>
      <c r="D132" s="46"/>
      <c r="E132" s="55">
        <v>95.355424299999996</v>
      </c>
      <c r="F132" s="55">
        <v>94.352551969999993</v>
      </c>
      <c r="G132" s="47"/>
      <c r="H132" s="45">
        <f t="shared" si="3"/>
        <v>38200</v>
      </c>
      <c r="I132" s="27">
        <v>38230</v>
      </c>
      <c r="J132" t="e">
        <f t="shared" si="4"/>
        <v>#N/A</v>
      </c>
      <c r="K132" t="e">
        <f t="shared" si="4"/>
        <v>#N/A</v>
      </c>
      <c r="L132" t="e">
        <f t="shared" si="4"/>
        <v>#N/A</v>
      </c>
      <c r="M132">
        <f t="shared" si="4"/>
        <v>95.355424299999996</v>
      </c>
      <c r="N132">
        <f t="shared" si="4"/>
        <v>94.352551969999993</v>
      </c>
    </row>
    <row r="133" spans="1:14" x14ac:dyDescent="0.25">
      <c r="A133" s="45">
        <v>38231</v>
      </c>
      <c r="B133" s="46">
        <v>116.9</v>
      </c>
      <c r="C133" s="48">
        <v>120</v>
      </c>
      <c r="D133" s="48">
        <v>44.4</v>
      </c>
      <c r="E133" s="55">
        <v>94.539927230000004</v>
      </c>
      <c r="F133" s="55">
        <v>94.276310269999996</v>
      </c>
      <c r="G133" s="47"/>
      <c r="H133" s="45">
        <f t="shared" si="3"/>
        <v>38231</v>
      </c>
      <c r="I133" s="27">
        <v>38260</v>
      </c>
      <c r="J133">
        <f t="shared" si="4"/>
        <v>116.9</v>
      </c>
      <c r="K133">
        <f t="shared" si="4"/>
        <v>120</v>
      </c>
      <c r="L133">
        <f t="shared" si="4"/>
        <v>44.4</v>
      </c>
      <c r="M133">
        <f t="shared" si="4"/>
        <v>94.539927230000004</v>
      </c>
      <c r="N133">
        <f t="shared" si="4"/>
        <v>94.276310269999996</v>
      </c>
    </row>
    <row r="134" spans="1:14" x14ac:dyDescent="0.25">
      <c r="A134" s="45">
        <v>38261</v>
      </c>
      <c r="B134" s="46"/>
      <c r="C134" s="46"/>
      <c r="D134" s="46"/>
      <c r="E134" s="55">
        <v>94.813451630000003</v>
      </c>
      <c r="F134" s="55">
        <v>94.268286110000005</v>
      </c>
      <c r="G134" s="47"/>
      <c r="H134" s="45">
        <f t="shared" si="3"/>
        <v>38261</v>
      </c>
      <c r="I134" s="27">
        <v>38291</v>
      </c>
      <c r="J134" t="e">
        <f t="shared" si="4"/>
        <v>#N/A</v>
      </c>
      <c r="K134" t="e">
        <f t="shared" si="4"/>
        <v>#N/A</v>
      </c>
      <c r="L134" t="e">
        <f t="shared" si="4"/>
        <v>#N/A</v>
      </c>
      <c r="M134">
        <f t="shared" si="4"/>
        <v>94.813451630000003</v>
      </c>
      <c r="N134">
        <f t="shared" si="4"/>
        <v>94.268286110000005</v>
      </c>
    </row>
    <row r="135" spans="1:14" x14ac:dyDescent="0.25">
      <c r="A135" s="45">
        <v>38292</v>
      </c>
      <c r="B135" s="46"/>
      <c r="C135" s="46"/>
      <c r="D135" s="46"/>
      <c r="E135" s="55">
        <v>97.602992790000002</v>
      </c>
      <c r="F135" s="55">
        <v>94.09543463</v>
      </c>
      <c r="G135" s="47"/>
      <c r="H135" s="45">
        <f t="shared" si="3"/>
        <v>38292</v>
      </c>
      <c r="I135" s="27">
        <v>38321</v>
      </c>
      <c r="J135" t="e">
        <f t="shared" si="4"/>
        <v>#N/A</v>
      </c>
      <c r="K135" t="e">
        <f t="shared" si="4"/>
        <v>#N/A</v>
      </c>
      <c r="L135" t="e">
        <f t="shared" si="4"/>
        <v>#N/A</v>
      </c>
      <c r="M135">
        <f t="shared" si="4"/>
        <v>97.602992790000002</v>
      </c>
      <c r="N135">
        <f t="shared" si="4"/>
        <v>94.09543463</v>
      </c>
    </row>
    <row r="136" spans="1:14" x14ac:dyDescent="0.25">
      <c r="A136" s="45">
        <v>38322</v>
      </c>
      <c r="B136" s="46">
        <v>122</v>
      </c>
      <c r="C136" s="48">
        <v>121.5</v>
      </c>
      <c r="D136" s="48">
        <v>47.4</v>
      </c>
      <c r="E136" s="55">
        <v>97.532828319999993</v>
      </c>
      <c r="F136" s="55">
        <v>93.563651309999997</v>
      </c>
      <c r="G136" s="47"/>
      <c r="H136" s="45">
        <f t="shared" si="3"/>
        <v>38322</v>
      </c>
      <c r="I136" s="27">
        <v>38352</v>
      </c>
      <c r="J136">
        <f t="shared" si="4"/>
        <v>122</v>
      </c>
      <c r="K136">
        <f t="shared" si="4"/>
        <v>121.5</v>
      </c>
      <c r="L136">
        <f t="shared" si="4"/>
        <v>47.4</v>
      </c>
      <c r="M136">
        <f t="shared" si="4"/>
        <v>97.532828319999993</v>
      </c>
      <c r="N136">
        <f t="shared" si="4"/>
        <v>93.563651309999997</v>
      </c>
    </row>
    <row r="137" spans="1:14" x14ac:dyDescent="0.25">
      <c r="A137" s="45">
        <v>38353</v>
      </c>
      <c r="B137" s="46"/>
      <c r="C137" s="46"/>
      <c r="D137" s="46"/>
      <c r="E137" s="55">
        <v>92.231226509999999</v>
      </c>
      <c r="F137" s="55">
        <v>92.729371540000002</v>
      </c>
      <c r="G137" s="47"/>
      <c r="H137" s="45">
        <f t="shared" si="3"/>
        <v>38353</v>
      </c>
      <c r="I137" s="27">
        <v>38383</v>
      </c>
      <c r="J137" t="e">
        <f t="shared" si="4"/>
        <v>#N/A</v>
      </c>
      <c r="K137" t="e">
        <f t="shared" si="4"/>
        <v>#N/A</v>
      </c>
      <c r="L137" t="e">
        <f t="shared" si="4"/>
        <v>#N/A</v>
      </c>
      <c r="M137">
        <f t="shared" si="4"/>
        <v>92.231226509999999</v>
      </c>
      <c r="N137">
        <f t="shared" si="4"/>
        <v>92.729371540000002</v>
      </c>
    </row>
    <row r="138" spans="1:14" x14ac:dyDescent="0.25">
      <c r="A138" s="45">
        <v>38384</v>
      </c>
      <c r="B138" s="46"/>
      <c r="C138" s="46"/>
      <c r="D138" s="46"/>
      <c r="E138" s="55">
        <v>88.180203809999995</v>
      </c>
      <c r="F138" s="55">
        <v>91.932543339999995</v>
      </c>
      <c r="G138" s="47"/>
      <c r="H138" s="45">
        <f t="shared" si="3"/>
        <v>38384</v>
      </c>
      <c r="I138" s="27">
        <v>38411</v>
      </c>
      <c r="J138" t="e">
        <f t="shared" si="4"/>
        <v>#N/A</v>
      </c>
      <c r="K138" t="e">
        <f t="shared" si="4"/>
        <v>#N/A</v>
      </c>
      <c r="L138" t="e">
        <f t="shared" si="4"/>
        <v>#N/A</v>
      </c>
      <c r="M138">
        <f t="shared" si="4"/>
        <v>88.180203809999995</v>
      </c>
      <c r="N138">
        <f t="shared" si="4"/>
        <v>91.932543339999995</v>
      </c>
    </row>
    <row r="139" spans="1:14" x14ac:dyDescent="0.25">
      <c r="A139" s="45">
        <v>38412</v>
      </c>
      <c r="B139" s="46">
        <v>122.5</v>
      </c>
      <c r="C139" s="48">
        <v>123.2</v>
      </c>
      <c r="D139" s="48">
        <v>47.4</v>
      </c>
      <c r="E139" s="55">
        <v>89.885028469999995</v>
      </c>
      <c r="F139" s="55">
        <v>91.477532929999995</v>
      </c>
      <c r="G139" s="47"/>
      <c r="H139" s="45">
        <f t="shared" si="3"/>
        <v>38412</v>
      </c>
      <c r="I139" s="27">
        <v>38442</v>
      </c>
      <c r="J139">
        <f t="shared" si="4"/>
        <v>122.5</v>
      </c>
      <c r="K139">
        <f t="shared" si="4"/>
        <v>123.2</v>
      </c>
      <c r="L139">
        <f t="shared" si="4"/>
        <v>47.4</v>
      </c>
      <c r="M139">
        <f t="shared" si="4"/>
        <v>89.885028469999995</v>
      </c>
      <c r="N139">
        <f t="shared" si="4"/>
        <v>91.477532929999995</v>
      </c>
    </row>
    <row r="140" spans="1:14" x14ac:dyDescent="0.25">
      <c r="A140" s="45">
        <v>38443</v>
      </c>
      <c r="B140" s="46"/>
      <c r="C140" s="46"/>
      <c r="D140" s="46"/>
      <c r="E140" s="55">
        <v>91.011292139999995</v>
      </c>
      <c r="F140" s="55">
        <v>91.4006823</v>
      </c>
      <c r="G140" s="47"/>
      <c r="H140" s="45">
        <f t="shared" si="3"/>
        <v>38443</v>
      </c>
      <c r="I140" s="27">
        <v>38472</v>
      </c>
      <c r="J140" t="e">
        <f t="shared" si="4"/>
        <v>#N/A</v>
      </c>
      <c r="K140" t="e">
        <f t="shared" si="4"/>
        <v>#N/A</v>
      </c>
      <c r="L140" t="e">
        <f t="shared" si="4"/>
        <v>#N/A</v>
      </c>
      <c r="M140">
        <f t="shared" si="4"/>
        <v>91.011292139999995</v>
      </c>
      <c r="N140">
        <f t="shared" si="4"/>
        <v>91.4006823</v>
      </c>
    </row>
    <row r="141" spans="1:14" x14ac:dyDescent="0.25">
      <c r="A141" s="45">
        <v>38473</v>
      </c>
      <c r="B141" s="46"/>
      <c r="C141" s="46"/>
      <c r="D141" s="46"/>
      <c r="E141" s="55">
        <v>92.492707429999996</v>
      </c>
      <c r="F141" s="55">
        <v>91.624583090000002</v>
      </c>
      <c r="G141" s="47"/>
      <c r="H141" s="45">
        <f t="shared" si="3"/>
        <v>38473</v>
      </c>
      <c r="I141" s="27">
        <v>38503</v>
      </c>
      <c r="J141" t="e">
        <f t="shared" si="4"/>
        <v>#N/A</v>
      </c>
      <c r="K141" t="e">
        <f t="shared" si="4"/>
        <v>#N/A</v>
      </c>
      <c r="L141" t="e">
        <f t="shared" si="4"/>
        <v>#N/A</v>
      </c>
      <c r="M141">
        <f t="shared" si="4"/>
        <v>92.492707429999996</v>
      </c>
      <c r="N141">
        <f t="shared" si="4"/>
        <v>91.624583090000002</v>
      </c>
    </row>
    <row r="142" spans="1:14" x14ac:dyDescent="0.25">
      <c r="A142" s="45">
        <v>38504</v>
      </c>
      <c r="B142" s="46">
        <v>117.5</v>
      </c>
      <c r="C142" s="48">
        <v>120.7</v>
      </c>
      <c r="D142" s="48">
        <v>44.3</v>
      </c>
      <c r="E142" s="55">
        <v>94.423715060000006</v>
      </c>
      <c r="F142" s="55">
        <v>92.044013390000003</v>
      </c>
      <c r="G142" s="47"/>
      <c r="H142" s="45">
        <f t="shared" si="3"/>
        <v>38504</v>
      </c>
      <c r="I142" s="27">
        <v>38533</v>
      </c>
      <c r="J142">
        <f t="shared" si="4"/>
        <v>117.5</v>
      </c>
      <c r="K142">
        <f t="shared" si="4"/>
        <v>120.7</v>
      </c>
      <c r="L142">
        <f t="shared" si="4"/>
        <v>44.3</v>
      </c>
      <c r="M142">
        <f t="shared" si="4"/>
        <v>94.423715060000006</v>
      </c>
      <c r="N142">
        <f t="shared" si="4"/>
        <v>92.044013390000003</v>
      </c>
    </row>
    <row r="143" spans="1:14" x14ac:dyDescent="0.25">
      <c r="A143" s="45">
        <v>38534</v>
      </c>
      <c r="B143" s="46"/>
      <c r="C143" s="46"/>
      <c r="D143" s="46"/>
      <c r="E143" s="55">
        <v>91.75837756</v>
      </c>
      <c r="F143" s="55">
        <v>92.615760159999994</v>
      </c>
      <c r="G143" s="47"/>
      <c r="H143" s="45">
        <f t="shared" si="3"/>
        <v>38534</v>
      </c>
      <c r="I143" s="27">
        <v>38564</v>
      </c>
      <c r="J143" t="e">
        <f t="shared" si="4"/>
        <v>#N/A</v>
      </c>
      <c r="K143" t="e">
        <f t="shared" si="4"/>
        <v>#N/A</v>
      </c>
      <c r="L143" t="e">
        <f t="shared" si="4"/>
        <v>#N/A</v>
      </c>
      <c r="M143">
        <f t="shared" si="4"/>
        <v>91.75837756</v>
      </c>
      <c r="N143">
        <f t="shared" si="4"/>
        <v>92.615760159999994</v>
      </c>
    </row>
    <row r="144" spans="1:14" x14ac:dyDescent="0.25">
      <c r="A144" s="45">
        <v>38565</v>
      </c>
      <c r="B144" s="46"/>
      <c r="C144" s="46"/>
      <c r="D144" s="46"/>
      <c r="E144" s="55">
        <v>95.289609330000005</v>
      </c>
      <c r="F144" s="55">
        <v>93.466589040000002</v>
      </c>
      <c r="G144" s="47"/>
      <c r="H144" s="45">
        <f t="shared" si="3"/>
        <v>38565</v>
      </c>
      <c r="I144" s="27">
        <v>38595</v>
      </c>
      <c r="J144" t="e">
        <f t="shared" si="4"/>
        <v>#N/A</v>
      </c>
      <c r="K144" t="e">
        <f t="shared" si="4"/>
        <v>#N/A</v>
      </c>
      <c r="L144" t="e">
        <f t="shared" si="4"/>
        <v>#N/A</v>
      </c>
      <c r="M144">
        <f t="shared" si="4"/>
        <v>95.289609330000005</v>
      </c>
      <c r="N144">
        <f t="shared" si="4"/>
        <v>93.466589040000002</v>
      </c>
    </row>
    <row r="145" spans="1:14" x14ac:dyDescent="0.25">
      <c r="A145" s="45">
        <v>38596</v>
      </c>
      <c r="B145" s="46">
        <v>114.9</v>
      </c>
      <c r="C145" s="48">
        <v>119.6</v>
      </c>
      <c r="D145" s="48">
        <v>45.5</v>
      </c>
      <c r="E145" s="55">
        <v>91.697114679999999</v>
      </c>
      <c r="F145" s="55">
        <v>94.662024059999993</v>
      </c>
      <c r="G145" s="47"/>
      <c r="H145" s="45">
        <f t="shared" si="3"/>
        <v>38596</v>
      </c>
      <c r="I145" s="27">
        <v>38625</v>
      </c>
      <c r="J145">
        <f t="shared" si="4"/>
        <v>114.9</v>
      </c>
      <c r="K145">
        <f t="shared" si="4"/>
        <v>119.6</v>
      </c>
      <c r="L145">
        <f t="shared" si="4"/>
        <v>45.5</v>
      </c>
      <c r="M145">
        <f t="shared" si="4"/>
        <v>91.697114679999999</v>
      </c>
      <c r="N145">
        <f t="shared" si="4"/>
        <v>94.662024059999993</v>
      </c>
    </row>
    <row r="146" spans="1:14" x14ac:dyDescent="0.25">
      <c r="A146" s="45">
        <v>38626</v>
      </c>
      <c r="B146" s="46"/>
      <c r="C146" s="46"/>
      <c r="D146" s="46"/>
      <c r="E146" s="55">
        <v>92.737368399999994</v>
      </c>
      <c r="F146" s="55">
        <v>96.397805000000005</v>
      </c>
      <c r="G146" s="47"/>
      <c r="H146" s="45">
        <f t="shared" si="3"/>
        <v>38626</v>
      </c>
      <c r="I146" s="27">
        <v>38656</v>
      </c>
      <c r="J146" t="e">
        <f t="shared" si="4"/>
        <v>#N/A</v>
      </c>
      <c r="K146" t="e">
        <f t="shared" si="4"/>
        <v>#N/A</v>
      </c>
      <c r="L146" t="e">
        <f t="shared" si="4"/>
        <v>#N/A</v>
      </c>
      <c r="M146">
        <f t="shared" si="4"/>
        <v>92.737368399999994</v>
      </c>
      <c r="N146">
        <f t="shared" si="4"/>
        <v>96.397805000000005</v>
      </c>
    </row>
    <row r="147" spans="1:14" x14ac:dyDescent="0.25">
      <c r="A147" s="45">
        <v>38657</v>
      </c>
      <c r="B147" s="46"/>
      <c r="C147" s="46"/>
      <c r="D147" s="46"/>
      <c r="E147" s="55">
        <v>96.981900350000004</v>
      </c>
      <c r="F147" s="55">
        <v>98.657892380000007</v>
      </c>
      <c r="G147" s="47"/>
      <c r="H147" s="45">
        <f t="shared" si="3"/>
        <v>38657</v>
      </c>
      <c r="I147" s="27">
        <v>38686</v>
      </c>
      <c r="J147" t="e">
        <f t="shared" si="4"/>
        <v>#N/A</v>
      </c>
      <c r="K147" t="e">
        <f t="shared" si="4"/>
        <v>#N/A</v>
      </c>
      <c r="L147" t="e">
        <f t="shared" si="4"/>
        <v>#N/A</v>
      </c>
      <c r="M147">
        <f t="shared" si="4"/>
        <v>96.981900350000004</v>
      </c>
      <c r="N147">
        <f t="shared" si="4"/>
        <v>98.657892380000007</v>
      </c>
    </row>
    <row r="148" spans="1:14" x14ac:dyDescent="0.25">
      <c r="A148" s="45">
        <v>38687</v>
      </c>
      <c r="B148" s="46">
        <v>124.3</v>
      </c>
      <c r="C148" s="48">
        <v>122.7</v>
      </c>
      <c r="D148" s="48">
        <v>51.3</v>
      </c>
      <c r="E148" s="55">
        <v>100.48892608</v>
      </c>
      <c r="F148" s="55">
        <v>101.16478696999999</v>
      </c>
      <c r="G148" s="47"/>
      <c r="H148" s="45">
        <f t="shared" si="3"/>
        <v>38687</v>
      </c>
      <c r="I148" s="27">
        <v>38717</v>
      </c>
      <c r="J148">
        <f t="shared" si="4"/>
        <v>124.3</v>
      </c>
      <c r="K148">
        <f t="shared" si="4"/>
        <v>122.7</v>
      </c>
      <c r="L148">
        <f t="shared" si="4"/>
        <v>51.3</v>
      </c>
      <c r="M148">
        <f t="shared" si="4"/>
        <v>100.48892608</v>
      </c>
      <c r="N148">
        <f t="shared" si="4"/>
        <v>101.16478696999999</v>
      </c>
    </row>
    <row r="149" spans="1:14" x14ac:dyDescent="0.25">
      <c r="A149" s="45">
        <v>38718</v>
      </c>
      <c r="B149" s="46"/>
      <c r="C149" s="46"/>
      <c r="D149" s="46"/>
      <c r="E149" s="55">
        <v>107.73382685</v>
      </c>
      <c r="F149" s="55">
        <v>103.52127582999999</v>
      </c>
      <c r="G149" s="47"/>
      <c r="H149" s="45">
        <f t="shared" si="3"/>
        <v>38718</v>
      </c>
      <c r="I149" s="27">
        <v>38748</v>
      </c>
      <c r="J149" t="e">
        <f t="shared" si="4"/>
        <v>#N/A</v>
      </c>
      <c r="K149" t="e">
        <f t="shared" si="4"/>
        <v>#N/A</v>
      </c>
      <c r="L149" t="e">
        <f t="shared" si="4"/>
        <v>#N/A</v>
      </c>
      <c r="M149">
        <f t="shared" si="4"/>
        <v>107.73382685</v>
      </c>
      <c r="N149">
        <f t="shared" si="4"/>
        <v>103.52127582999999</v>
      </c>
    </row>
    <row r="150" spans="1:14" x14ac:dyDescent="0.25">
      <c r="A150" s="45">
        <v>38749</v>
      </c>
      <c r="B150" s="46"/>
      <c r="C150" s="46"/>
      <c r="D150" s="46"/>
      <c r="E150" s="55">
        <v>108.34710165</v>
      </c>
      <c r="F150" s="55">
        <v>105.28187022</v>
      </c>
      <c r="G150" s="47"/>
      <c r="H150" s="45">
        <f t="shared" si="3"/>
        <v>38749</v>
      </c>
      <c r="I150" s="27">
        <v>38776</v>
      </c>
      <c r="J150" t="e">
        <f t="shared" si="4"/>
        <v>#N/A</v>
      </c>
      <c r="K150" t="e">
        <f t="shared" si="4"/>
        <v>#N/A</v>
      </c>
      <c r="L150" t="e">
        <f t="shared" si="4"/>
        <v>#N/A</v>
      </c>
      <c r="M150">
        <f t="shared" si="4"/>
        <v>108.34710165</v>
      </c>
      <c r="N150">
        <f t="shared" si="4"/>
        <v>105.28187022</v>
      </c>
    </row>
    <row r="151" spans="1:14" x14ac:dyDescent="0.25">
      <c r="A151" s="45">
        <v>38777</v>
      </c>
      <c r="B151" s="46">
        <v>120.7</v>
      </c>
      <c r="C151" s="48">
        <v>125.7</v>
      </c>
      <c r="D151" s="48">
        <v>49.8</v>
      </c>
      <c r="E151" s="55">
        <v>107.12462318</v>
      </c>
      <c r="F151" s="55">
        <v>106.30197794</v>
      </c>
      <c r="G151" s="47"/>
      <c r="H151" s="45">
        <f t="shared" si="3"/>
        <v>38777</v>
      </c>
      <c r="I151" s="27">
        <v>38807</v>
      </c>
      <c r="J151">
        <f t="shared" si="4"/>
        <v>120.7</v>
      </c>
      <c r="K151">
        <f t="shared" si="4"/>
        <v>125.7</v>
      </c>
      <c r="L151">
        <f t="shared" si="4"/>
        <v>49.8</v>
      </c>
      <c r="M151">
        <f t="shared" si="4"/>
        <v>107.12462318</v>
      </c>
      <c r="N151">
        <f t="shared" si="4"/>
        <v>106.30197794</v>
      </c>
    </row>
    <row r="152" spans="1:14" x14ac:dyDescent="0.25">
      <c r="A152" s="45">
        <v>38808</v>
      </c>
      <c r="B152" s="46"/>
      <c r="C152" s="46"/>
      <c r="D152" s="46"/>
      <c r="E152" s="55">
        <v>110.36489557</v>
      </c>
      <c r="F152" s="55">
        <v>106.65595184999999</v>
      </c>
      <c r="G152" s="47"/>
      <c r="H152" s="45">
        <f t="shared" si="3"/>
        <v>38808</v>
      </c>
      <c r="I152" s="27">
        <v>38837</v>
      </c>
      <c r="J152" t="e">
        <f t="shared" si="4"/>
        <v>#N/A</v>
      </c>
      <c r="K152" t="e">
        <f t="shared" si="4"/>
        <v>#N/A</v>
      </c>
      <c r="L152" t="e">
        <f t="shared" si="4"/>
        <v>#N/A</v>
      </c>
      <c r="M152">
        <f t="shared" si="4"/>
        <v>110.36489557</v>
      </c>
      <c r="N152">
        <f t="shared" si="4"/>
        <v>106.65595184999999</v>
      </c>
    </row>
    <row r="153" spans="1:14" x14ac:dyDescent="0.25">
      <c r="A153" s="45">
        <v>38838</v>
      </c>
      <c r="B153" s="46"/>
      <c r="C153" s="46"/>
      <c r="D153" s="46"/>
      <c r="E153" s="55">
        <v>104.86105168</v>
      </c>
      <c r="F153" s="55">
        <v>106.4769052</v>
      </c>
      <c r="G153" s="47"/>
      <c r="H153" s="45">
        <f t="shared" si="3"/>
        <v>38838</v>
      </c>
      <c r="I153" s="27">
        <v>38868</v>
      </c>
      <c r="J153" t="e">
        <f t="shared" si="4"/>
        <v>#N/A</v>
      </c>
      <c r="K153" t="e">
        <f t="shared" si="4"/>
        <v>#N/A</v>
      </c>
      <c r="L153" t="e">
        <f t="shared" si="4"/>
        <v>#N/A</v>
      </c>
      <c r="M153">
        <f t="shared" si="4"/>
        <v>104.86105168</v>
      </c>
      <c r="N153">
        <f t="shared" si="4"/>
        <v>106.4769052</v>
      </c>
    </row>
    <row r="154" spans="1:14" x14ac:dyDescent="0.25">
      <c r="A154" s="45">
        <v>38869</v>
      </c>
      <c r="B154" s="46">
        <v>121.8</v>
      </c>
      <c r="C154" s="48">
        <v>120.5</v>
      </c>
      <c r="D154" s="48">
        <v>46.3</v>
      </c>
      <c r="E154" s="55">
        <v>105.28653282000001</v>
      </c>
      <c r="F154" s="55">
        <v>106.16287582</v>
      </c>
      <c r="G154" s="47"/>
      <c r="H154" s="45">
        <f t="shared" si="3"/>
        <v>38869</v>
      </c>
      <c r="I154" s="27">
        <v>38898</v>
      </c>
      <c r="J154">
        <f t="shared" si="4"/>
        <v>121.8</v>
      </c>
      <c r="K154">
        <f t="shared" si="4"/>
        <v>120.5</v>
      </c>
      <c r="L154">
        <f t="shared" si="4"/>
        <v>46.3</v>
      </c>
      <c r="M154">
        <f t="shared" si="4"/>
        <v>105.28653282000001</v>
      </c>
      <c r="N154">
        <f t="shared" si="4"/>
        <v>106.16287582</v>
      </c>
    </row>
    <row r="155" spans="1:14" x14ac:dyDescent="0.25">
      <c r="A155" s="45">
        <v>38899</v>
      </c>
      <c r="B155" s="46"/>
      <c r="C155" s="46"/>
      <c r="D155" s="46"/>
      <c r="E155" s="55">
        <v>102.07137029</v>
      </c>
      <c r="F155" s="55">
        <v>105.99648338</v>
      </c>
      <c r="G155" s="47"/>
      <c r="H155" s="45">
        <f t="shared" si="3"/>
        <v>38899</v>
      </c>
      <c r="I155" s="27">
        <v>38929</v>
      </c>
      <c r="J155" t="e">
        <f t="shared" si="4"/>
        <v>#N/A</v>
      </c>
      <c r="K155" t="e">
        <f t="shared" si="4"/>
        <v>#N/A</v>
      </c>
      <c r="L155" t="e">
        <f t="shared" si="4"/>
        <v>#N/A</v>
      </c>
      <c r="M155">
        <f t="shared" si="4"/>
        <v>102.07137029</v>
      </c>
      <c r="N155">
        <f t="shared" si="4"/>
        <v>105.99648338</v>
      </c>
    </row>
    <row r="156" spans="1:14" x14ac:dyDescent="0.25">
      <c r="A156" s="45">
        <v>38930</v>
      </c>
      <c r="B156" s="46"/>
      <c r="C156" s="46"/>
      <c r="D156" s="46"/>
      <c r="E156" s="55">
        <v>104.34557604</v>
      </c>
      <c r="F156" s="55">
        <v>106.19775165999999</v>
      </c>
      <c r="G156" s="47"/>
      <c r="H156" s="45">
        <f t="shared" ref="H156:H219" si="5">A156</f>
        <v>38930</v>
      </c>
      <c r="I156" s="27">
        <v>38960</v>
      </c>
      <c r="J156" t="e">
        <f t="shared" si="4"/>
        <v>#N/A</v>
      </c>
      <c r="K156" t="e">
        <f t="shared" si="4"/>
        <v>#N/A</v>
      </c>
      <c r="L156" t="e">
        <f t="shared" si="4"/>
        <v>#N/A</v>
      </c>
      <c r="M156">
        <f t="shared" si="4"/>
        <v>104.34557604</v>
      </c>
      <c r="N156">
        <f t="shared" si="4"/>
        <v>106.19775165999999</v>
      </c>
    </row>
    <row r="157" spans="1:14" x14ac:dyDescent="0.25">
      <c r="A157" s="45">
        <v>38961</v>
      </c>
      <c r="B157" s="46">
        <v>120.7</v>
      </c>
      <c r="C157" s="48">
        <v>126.5</v>
      </c>
      <c r="D157" s="48">
        <v>53.1</v>
      </c>
      <c r="E157" s="55">
        <v>105.91569502</v>
      </c>
      <c r="F157" s="55">
        <v>106.70633921</v>
      </c>
      <c r="G157" s="47"/>
      <c r="H157" s="45">
        <f t="shared" si="5"/>
        <v>38961</v>
      </c>
      <c r="I157" s="27">
        <v>38990</v>
      </c>
      <c r="J157">
        <f t="shared" si="4"/>
        <v>120.7</v>
      </c>
      <c r="K157">
        <f t="shared" si="4"/>
        <v>126.5</v>
      </c>
      <c r="L157">
        <f t="shared" si="4"/>
        <v>53.1</v>
      </c>
      <c r="M157">
        <f t="shared" si="4"/>
        <v>105.91569502</v>
      </c>
      <c r="N157">
        <f t="shared" si="4"/>
        <v>106.70633921</v>
      </c>
    </row>
    <row r="158" spans="1:14" x14ac:dyDescent="0.25">
      <c r="A158" s="45">
        <v>38991</v>
      </c>
      <c r="B158" s="46"/>
      <c r="C158" s="46"/>
      <c r="D158" s="46"/>
      <c r="E158" s="55">
        <v>107.66612992</v>
      </c>
      <c r="F158" s="55">
        <v>107.32960631</v>
      </c>
      <c r="G158" s="47"/>
      <c r="H158" s="45">
        <f t="shared" si="5"/>
        <v>38991</v>
      </c>
      <c r="I158" s="27">
        <v>39021</v>
      </c>
      <c r="J158" t="e">
        <f t="shared" si="4"/>
        <v>#N/A</v>
      </c>
      <c r="K158" t="e">
        <f t="shared" si="4"/>
        <v>#N/A</v>
      </c>
      <c r="L158" t="e">
        <f t="shared" si="4"/>
        <v>#N/A</v>
      </c>
      <c r="M158">
        <f t="shared" si="4"/>
        <v>107.66612992</v>
      </c>
      <c r="N158">
        <f t="shared" si="4"/>
        <v>107.32960631</v>
      </c>
    </row>
    <row r="159" spans="1:14" x14ac:dyDescent="0.25">
      <c r="A159" s="45">
        <v>39022</v>
      </c>
      <c r="B159" s="46"/>
      <c r="C159" s="46"/>
      <c r="D159" s="46"/>
      <c r="E159" s="55">
        <v>109.85247029</v>
      </c>
      <c r="F159" s="55">
        <v>107.81843866</v>
      </c>
      <c r="G159" s="47"/>
      <c r="H159" s="45">
        <f t="shared" si="5"/>
        <v>39022</v>
      </c>
      <c r="I159" s="27">
        <v>39051</v>
      </c>
      <c r="J159" t="e">
        <f t="shared" si="4"/>
        <v>#N/A</v>
      </c>
      <c r="K159" t="e">
        <f t="shared" si="4"/>
        <v>#N/A</v>
      </c>
      <c r="L159" t="e">
        <f t="shared" si="4"/>
        <v>#N/A</v>
      </c>
      <c r="M159">
        <f t="shared" si="4"/>
        <v>109.85247029</v>
      </c>
      <c r="N159">
        <f t="shared" si="4"/>
        <v>107.81843866</v>
      </c>
    </row>
    <row r="160" spans="1:14" x14ac:dyDescent="0.25">
      <c r="A160" s="45">
        <v>39052</v>
      </c>
      <c r="B160" s="46">
        <v>123.9</v>
      </c>
      <c r="C160" s="48">
        <v>125.3</v>
      </c>
      <c r="D160" s="48">
        <v>51.8</v>
      </c>
      <c r="E160" s="55">
        <v>108.12348706</v>
      </c>
      <c r="F160" s="55">
        <v>107.94775937999999</v>
      </c>
      <c r="G160" s="47"/>
      <c r="H160" s="45">
        <f t="shared" si="5"/>
        <v>39052</v>
      </c>
      <c r="I160" s="27">
        <v>39082</v>
      </c>
      <c r="J160">
        <f t="shared" si="4"/>
        <v>123.9</v>
      </c>
      <c r="K160">
        <f t="shared" si="4"/>
        <v>125.3</v>
      </c>
      <c r="L160">
        <f t="shared" si="4"/>
        <v>51.8</v>
      </c>
      <c r="M160">
        <f t="shared" si="4"/>
        <v>108.12348706</v>
      </c>
      <c r="N160">
        <f t="shared" si="4"/>
        <v>107.94775937999999</v>
      </c>
    </row>
    <row r="161" spans="1:14" x14ac:dyDescent="0.25">
      <c r="A161" s="45">
        <v>39083</v>
      </c>
      <c r="B161" s="46"/>
      <c r="C161" s="46"/>
      <c r="D161" s="46"/>
      <c r="E161" s="55">
        <v>112.18096441</v>
      </c>
      <c r="F161" s="55">
        <v>107.63777954</v>
      </c>
      <c r="G161" s="47"/>
      <c r="H161" s="45">
        <f t="shared" si="5"/>
        <v>39083</v>
      </c>
      <c r="I161" s="27">
        <v>39113</v>
      </c>
      <c r="J161" t="e">
        <f t="shared" si="4"/>
        <v>#N/A</v>
      </c>
      <c r="K161" t="e">
        <f t="shared" si="4"/>
        <v>#N/A</v>
      </c>
      <c r="L161" t="e">
        <f t="shared" si="4"/>
        <v>#N/A</v>
      </c>
      <c r="M161">
        <f t="shared" si="4"/>
        <v>112.18096441</v>
      </c>
      <c r="N161">
        <f t="shared" si="4"/>
        <v>107.63777954</v>
      </c>
    </row>
    <row r="162" spans="1:14" x14ac:dyDescent="0.25">
      <c r="A162" s="45">
        <v>39114</v>
      </c>
      <c r="B162" s="46"/>
      <c r="C162" s="46"/>
      <c r="D162" s="46"/>
      <c r="E162" s="55">
        <v>106.19484665</v>
      </c>
      <c r="F162" s="55">
        <v>106.82126220000001</v>
      </c>
      <c r="G162" s="47"/>
      <c r="H162" s="45">
        <f t="shared" si="5"/>
        <v>39114</v>
      </c>
      <c r="I162" s="27">
        <v>39141</v>
      </c>
      <c r="J162" t="e">
        <f t="shared" si="4"/>
        <v>#N/A</v>
      </c>
      <c r="K162" t="e">
        <f t="shared" si="4"/>
        <v>#N/A</v>
      </c>
      <c r="L162" t="e">
        <f t="shared" si="4"/>
        <v>#N/A</v>
      </c>
      <c r="M162">
        <f t="shared" si="4"/>
        <v>106.19484665</v>
      </c>
      <c r="N162">
        <f t="shared" si="4"/>
        <v>106.82126220000001</v>
      </c>
    </row>
    <row r="163" spans="1:14" x14ac:dyDescent="0.25">
      <c r="A163" s="45">
        <v>39142</v>
      </c>
      <c r="B163" s="46">
        <v>127.7</v>
      </c>
      <c r="C163" s="48">
        <v>126.5</v>
      </c>
      <c r="D163" s="48">
        <v>53.7</v>
      </c>
      <c r="E163" s="55">
        <v>104.5799722</v>
      </c>
      <c r="F163" s="55">
        <v>105.75548361</v>
      </c>
      <c r="G163" s="47"/>
      <c r="H163" s="45">
        <f t="shared" si="5"/>
        <v>39142</v>
      </c>
      <c r="I163" s="27">
        <v>39172</v>
      </c>
      <c r="J163">
        <f t="shared" si="4"/>
        <v>127.7</v>
      </c>
      <c r="K163">
        <f t="shared" si="4"/>
        <v>126.5</v>
      </c>
      <c r="L163">
        <f t="shared" si="4"/>
        <v>53.7</v>
      </c>
      <c r="M163">
        <f t="shared" si="4"/>
        <v>104.5799722</v>
      </c>
      <c r="N163">
        <f t="shared" si="4"/>
        <v>105.75548361</v>
      </c>
    </row>
    <row r="164" spans="1:14" x14ac:dyDescent="0.25">
      <c r="A164" s="45">
        <v>39173</v>
      </c>
      <c r="B164" s="46"/>
      <c r="C164" s="46"/>
      <c r="D164" s="46"/>
      <c r="E164" s="55">
        <v>104.19585751</v>
      </c>
      <c r="F164" s="55">
        <v>104.65297606999999</v>
      </c>
      <c r="G164" s="47"/>
      <c r="H164" s="45">
        <f t="shared" si="5"/>
        <v>39173</v>
      </c>
      <c r="I164" s="27">
        <v>39202</v>
      </c>
      <c r="J164" t="e">
        <f t="shared" si="4"/>
        <v>#N/A</v>
      </c>
      <c r="K164" t="e">
        <f t="shared" si="4"/>
        <v>#N/A</v>
      </c>
      <c r="L164" t="e">
        <f t="shared" si="4"/>
        <v>#N/A</v>
      </c>
      <c r="M164">
        <f t="shared" si="4"/>
        <v>104.19585751</v>
      </c>
      <c r="N164">
        <f t="shared" si="4"/>
        <v>104.65297606999999</v>
      </c>
    </row>
    <row r="165" spans="1:14" x14ac:dyDescent="0.25">
      <c r="A165" s="45">
        <v>39203</v>
      </c>
      <c r="B165" s="46"/>
      <c r="C165" s="46"/>
      <c r="D165" s="46"/>
      <c r="E165" s="55">
        <v>105.60602591999999</v>
      </c>
      <c r="F165" s="55">
        <v>103.64230677</v>
      </c>
      <c r="G165" s="47"/>
      <c r="H165" s="45">
        <f t="shared" si="5"/>
        <v>39203</v>
      </c>
      <c r="I165" s="27">
        <v>39233</v>
      </c>
      <c r="J165" t="e">
        <f t="shared" si="4"/>
        <v>#N/A</v>
      </c>
      <c r="K165" t="e">
        <f t="shared" si="4"/>
        <v>#N/A</v>
      </c>
      <c r="L165" t="e">
        <f t="shared" si="4"/>
        <v>#N/A</v>
      </c>
      <c r="M165">
        <f t="shared" si="4"/>
        <v>105.60602591999999</v>
      </c>
      <c r="N165">
        <f t="shared" si="4"/>
        <v>103.64230677</v>
      </c>
    </row>
    <row r="166" spans="1:14" x14ac:dyDescent="0.25">
      <c r="A166" s="45">
        <v>39234</v>
      </c>
      <c r="B166" s="46">
        <v>115.8</v>
      </c>
      <c r="C166" s="48">
        <v>127.5</v>
      </c>
      <c r="D166" s="48">
        <v>51.7</v>
      </c>
      <c r="E166" s="55">
        <v>100.68223500000001</v>
      </c>
      <c r="F166" s="55">
        <v>102.81939156999999</v>
      </c>
      <c r="G166" s="47"/>
      <c r="H166" s="45">
        <f t="shared" si="5"/>
        <v>39234</v>
      </c>
      <c r="I166" s="27">
        <v>39263</v>
      </c>
      <c r="J166">
        <f t="shared" si="4"/>
        <v>115.8</v>
      </c>
      <c r="K166">
        <f t="shared" si="4"/>
        <v>127.5</v>
      </c>
      <c r="L166">
        <f t="shared" si="4"/>
        <v>51.7</v>
      </c>
      <c r="M166">
        <f t="shared" si="4"/>
        <v>100.68223500000001</v>
      </c>
      <c r="N166">
        <f t="shared" si="4"/>
        <v>102.81939156999999</v>
      </c>
    </row>
    <row r="167" spans="1:14" x14ac:dyDescent="0.25">
      <c r="A167" s="45">
        <v>39264</v>
      </c>
      <c r="B167" s="46"/>
      <c r="C167" s="46"/>
      <c r="D167" s="46"/>
      <c r="E167" s="55">
        <v>101.06151033</v>
      </c>
      <c r="F167" s="55">
        <v>102.420412</v>
      </c>
      <c r="G167" s="47"/>
      <c r="H167" s="45">
        <f t="shared" si="5"/>
        <v>39264</v>
      </c>
      <c r="I167" s="27">
        <v>39294</v>
      </c>
      <c r="J167" t="e">
        <f t="shared" si="4"/>
        <v>#N/A</v>
      </c>
      <c r="K167" t="e">
        <f t="shared" si="4"/>
        <v>#N/A</v>
      </c>
      <c r="L167" t="e">
        <f t="shared" si="4"/>
        <v>#N/A</v>
      </c>
      <c r="M167">
        <f t="shared" si="4"/>
        <v>101.06151033</v>
      </c>
      <c r="N167">
        <f t="shared" si="4"/>
        <v>102.420412</v>
      </c>
    </row>
    <row r="168" spans="1:14" x14ac:dyDescent="0.25">
      <c r="A168" s="45">
        <v>39295</v>
      </c>
      <c r="B168" s="46"/>
      <c r="C168" s="46"/>
      <c r="D168" s="46"/>
      <c r="E168" s="55">
        <v>100.50828911000001</v>
      </c>
      <c r="F168" s="55">
        <v>102.52889552000001</v>
      </c>
      <c r="G168" s="47"/>
      <c r="H168" s="45">
        <f t="shared" si="5"/>
        <v>39295</v>
      </c>
      <c r="I168" s="27">
        <v>39325</v>
      </c>
      <c r="J168" t="e">
        <f t="shared" si="4"/>
        <v>#N/A</v>
      </c>
      <c r="K168" t="e">
        <f t="shared" si="4"/>
        <v>#N/A</v>
      </c>
      <c r="L168" t="e">
        <f t="shared" si="4"/>
        <v>#N/A</v>
      </c>
      <c r="M168">
        <f t="shared" si="4"/>
        <v>100.50828911000001</v>
      </c>
      <c r="N168">
        <f t="shared" si="4"/>
        <v>102.52889552000001</v>
      </c>
    </row>
    <row r="169" spans="1:14" x14ac:dyDescent="0.25">
      <c r="A169" s="45">
        <v>39326</v>
      </c>
      <c r="B169" s="46">
        <v>118.9</v>
      </c>
      <c r="C169" s="48">
        <v>121.1</v>
      </c>
      <c r="D169" s="48">
        <v>49.5</v>
      </c>
      <c r="E169" s="55">
        <v>100.64595493</v>
      </c>
      <c r="F169" s="55">
        <v>103.13130522</v>
      </c>
      <c r="G169" s="47"/>
      <c r="H169" s="45">
        <f t="shared" si="5"/>
        <v>39326</v>
      </c>
      <c r="I169" s="27">
        <v>39355</v>
      </c>
      <c r="J169">
        <f t="shared" si="4"/>
        <v>118.9</v>
      </c>
      <c r="K169">
        <f t="shared" si="4"/>
        <v>121.1</v>
      </c>
      <c r="L169">
        <f t="shared" si="4"/>
        <v>49.5</v>
      </c>
      <c r="M169">
        <f t="shared" si="4"/>
        <v>100.64595493</v>
      </c>
      <c r="N169">
        <f t="shared" si="4"/>
        <v>103.13130522</v>
      </c>
    </row>
    <row r="170" spans="1:14" x14ac:dyDescent="0.25">
      <c r="A170" s="45">
        <v>39356</v>
      </c>
      <c r="B170" s="46"/>
      <c r="C170" s="46"/>
      <c r="D170" s="46"/>
      <c r="E170" s="55">
        <v>105.20072954</v>
      </c>
      <c r="F170" s="55">
        <v>104.06977514</v>
      </c>
      <c r="G170" s="47"/>
      <c r="H170" s="45">
        <f t="shared" si="5"/>
        <v>39356</v>
      </c>
      <c r="I170" s="27">
        <v>39386</v>
      </c>
      <c r="J170" t="e">
        <f t="shared" si="4"/>
        <v>#N/A</v>
      </c>
      <c r="K170" t="e">
        <f t="shared" si="4"/>
        <v>#N/A</v>
      </c>
      <c r="L170" t="e">
        <f t="shared" si="4"/>
        <v>#N/A</v>
      </c>
      <c r="M170">
        <f t="shared" si="4"/>
        <v>105.20072954</v>
      </c>
      <c r="N170">
        <f t="shared" si="4"/>
        <v>104.06977514</v>
      </c>
    </row>
    <row r="171" spans="1:14" x14ac:dyDescent="0.25">
      <c r="A171" s="45">
        <v>39387</v>
      </c>
      <c r="B171" s="46"/>
      <c r="C171" s="46"/>
      <c r="D171" s="46"/>
      <c r="E171" s="55">
        <v>105.77699273</v>
      </c>
      <c r="F171" s="55">
        <v>105.0089143</v>
      </c>
      <c r="G171" s="47"/>
      <c r="H171" s="45">
        <f t="shared" si="5"/>
        <v>39387</v>
      </c>
      <c r="I171" s="27">
        <v>39416</v>
      </c>
      <c r="J171" t="e">
        <f t="shared" si="4"/>
        <v>#N/A</v>
      </c>
      <c r="K171" t="e">
        <f t="shared" si="4"/>
        <v>#N/A</v>
      </c>
      <c r="L171" t="e">
        <f t="shared" si="4"/>
        <v>#N/A</v>
      </c>
      <c r="M171">
        <f t="shared" si="4"/>
        <v>105.77699273</v>
      </c>
      <c r="N171">
        <f t="shared" si="4"/>
        <v>105.0089143</v>
      </c>
    </row>
    <row r="172" spans="1:14" x14ac:dyDescent="0.25">
      <c r="A172" s="45">
        <v>39417</v>
      </c>
      <c r="B172" s="46">
        <v>115.9</v>
      </c>
      <c r="C172" s="48">
        <v>124.4</v>
      </c>
      <c r="D172" s="48">
        <v>50.2</v>
      </c>
      <c r="E172" s="55">
        <v>107.34674781</v>
      </c>
      <c r="F172" s="55">
        <v>105.69411418999999</v>
      </c>
      <c r="G172" s="47"/>
      <c r="H172" s="45">
        <f t="shared" si="5"/>
        <v>39417</v>
      </c>
      <c r="I172" s="27">
        <v>39447</v>
      </c>
      <c r="J172">
        <f t="shared" si="4"/>
        <v>115.9</v>
      </c>
      <c r="K172">
        <f t="shared" si="4"/>
        <v>124.4</v>
      </c>
      <c r="L172">
        <f t="shared" si="4"/>
        <v>50.2</v>
      </c>
      <c r="M172">
        <f t="shared" si="4"/>
        <v>107.34674781</v>
      </c>
      <c r="N172">
        <f t="shared" si="4"/>
        <v>105.69411418999999</v>
      </c>
    </row>
    <row r="173" spans="1:14" x14ac:dyDescent="0.25">
      <c r="A173" s="45">
        <v>39448</v>
      </c>
      <c r="B173" s="46"/>
      <c r="C173" s="46"/>
      <c r="D173" s="46"/>
      <c r="E173" s="55">
        <v>104.59897903</v>
      </c>
      <c r="F173" s="55">
        <v>105.92562903</v>
      </c>
      <c r="G173" s="47"/>
      <c r="H173" s="45">
        <f t="shared" si="5"/>
        <v>39448</v>
      </c>
      <c r="I173" s="27">
        <v>39478</v>
      </c>
      <c r="J173" t="e">
        <f t="shared" si="4"/>
        <v>#N/A</v>
      </c>
      <c r="K173" t="e">
        <f t="shared" si="4"/>
        <v>#N/A</v>
      </c>
      <c r="L173" t="e">
        <f t="shared" si="4"/>
        <v>#N/A</v>
      </c>
      <c r="M173">
        <f t="shared" si="4"/>
        <v>104.59897903</v>
      </c>
      <c r="N173">
        <f t="shared" si="4"/>
        <v>105.92562903</v>
      </c>
    </row>
    <row r="174" spans="1:14" x14ac:dyDescent="0.25">
      <c r="A174" s="45">
        <v>39479</v>
      </c>
      <c r="B174" s="46"/>
      <c r="C174" s="46"/>
      <c r="D174" s="46"/>
      <c r="E174" s="55">
        <v>109.11917688</v>
      </c>
      <c r="F174" s="55">
        <v>105.6217583</v>
      </c>
      <c r="G174" s="47"/>
      <c r="H174" s="45">
        <f t="shared" si="5"/>
        <v>39479</v>
      </c>
      <c r="I174" s="27">
        <v>39507</v>
      </c>
      <c r="J174" t="e">
        <f t="shared" si="4"/>
        <v>#N/A</v>
      </c>
      <c r="K174" t="e">
        <f t="shared" si="4"/>
        <v>#N/A</v>
      </c>
      <c r="L174" t="e">
        <f t="shared" si="4"/>
        <v>#N/A</v>
      </c>
      <c r="M174">
        <f t="shared" si="4"/>
        <v>109.11917688</v>
      </c>
      <c r="N174">
        <f t="shared" si="4"/>
        <v>105.6217583</v>
      </c>
    </row>
    <row r="175" spans="1:14" x14ac:dyDescent="0.25">
      <c r="A175" s="45">
        <v>39508</v>
      </c>
      <c r="B175" s="46">
        <v>122.8</v>
      </c>
      <c r="C175" s="48">
        <v>118.6</v>
      </c>
      <c r="D175" s="48">
        <v>47.7</v>
      </c>
      <c r="E175" s="55">
        <v>103.97850389</v>
      </c>
      <c r="F175" s="55">
        <v>104.60604077000001</v>
      </c>
      <c r="G175" s="47"/>
      <c r="H175" s="45">
        <f t="shared" si="5"/>
        <v>39508</v>
      </c>
      <c r="I175" s="27">
        <v>39538</v>
      </c>
      <c r="J175">
        <f t="shared" si="4"/>
        <v>122.8</v>
      </c>
      <c r="K175">
        <f t="shared" si="4"/>
        <v>118.6</v>
      </c>
      <c r="L175">
        <f t="shared" si="4"/>
        <v>47.7</v>
      </c>
      <c r="M175">
        <f t="shared" si="4"/>
        <v>103.97850389</v>
      </c>
      <c r="N175">
        <f t="shared" si="4"/>
        <v>104.60604077000001</v>
      </c>
    </row>
    <row r="176" spans="1:14" x14ac:dyDescent="0.25">
      <c r="A176" s="45">
        <v>39539</v>
      </c>
      <c r="B176" s="46"/>
      <c r="C176" s="46"/>
      <c r="D176" s="46"/>
      <c r="E176" s="55">
        <v>104.27020074000001</v>
      </c>
      <c r="F176" s="55">
        <v>102.95183083000001</v>
      </c>
      <c r="G176" s="47"/>
      <c r="H176" s="45">
        <f t="shared" si="5"/>
        <v>39539</v>
      </c>
      <c r="I176" s="27">
        <v>39568</v>
      </c>
      <c r="J176" t="e">
        <f t="shared" si="4"/>
        <v>#N/A</v>
      </c>
      <c r="K176" t="e">
        <f t="shared" si="4"/>
        <v>#N/A</v>
      </c>
      <c r="L176" t="e">
        <f t="shared" si="4"/>
        <v>#N/A</v>
      </c>
      <c r="M176">
        <f t="shared" si="4"/>
        <v>104.27020074000001</v>
      </c>
      <c r="N176">
        <f t="shared" si="4"/>
        <v>102.95183083000001</v>
      </c>
    </row>
    <row r="177" spans="1:14" x14ac:dyDescent="0.25">
      <c r="A177" s="45">
        <v>39569</v>
      </c>
      <c r="B177" s="46"/>
      <c r="C177" s="46"/>
      <c r="D177" s="46"/>
      <c r="E177" s="55">
        <v>102.02417287</v>
      </c>
      <c r="F177" s="55">
        <v>100.68765881</v>
      </c>
      <c r="G177" s="47"/>
      <c r="H177" s="45">
        <f t="shared" si="5"/>
        <v>39569</v>
      </c>
      <c r="I177" s="27">
        <v>39599</v>
      </c>
      <c r="J177" t="e">
        <f t="shared" si="4"/>
        <v>#N/A</v>
      </c>
      <c r="K177" t="e">
        <f t="shared" si="4"/>
        <v>#N/A</v>
      </c>
      <c r="L177" t="e">
        <f t="shared" si="4"/>
        <v>#N/A</v>
      </c>
      <c r="M177">
        <f t="shared" si="4"/>
        <v>102.02417287</v>
      </c>
      <c r="N177">
        <f t="shared" si="4"/>
        <v>100.68765881</v>
      </c>
    </row>
    <row r="178" spans="1:14" x14ac:dyDescent="0.25">
      <c r="A178" s="45">
        <v>39600</v>
      </c>
      <c r="B178" s="46">
        <v>116.2</v>
      </c>
      <c r="C178" s="48">
        <v>123.2</v>
      </c>
      <c r="D178" s="48">
        <v>46</v>
      </c>
      <c r="E178" s="55">
        <v>93.926460120000002</v>
      </c>
      <c r="F178" s="55">
        <v>97.936224280000005</v>
      </c>
      <c r="G178" s="47"/>
      <c r="H178" s="45">
        <f t="shared" si="5"/>
        <v>39600</v>
      </c>
      <c r="I178" s="27">
        <v>39629</v>
      </c>
      <c r="J178">
        <f t="shared" si="4"/>
        <v>116.2</v>
      </c>
      <c r="K178">
        <f t="shared" si="4"/>
        <v>123.2</v>
      </c>
      <c r="L178">
        <f t="shared" si="4"/>
        <v>46</v>
      </c>
      <c r="M178">
        <f t="shared" si="4"/>
        <v>93.926460120000002</v>
      </c>
      <c r="N178">
        <f t="shared" si="4"/>
        <v>97.936224280000005</v>
      </c>
    </row>
    <row r="179" spans="1:14" x14ac:dyDescent="0.25">
      <c r="A179" s="45">
        <v>39630</v>
      </c>
      <c r="B179" s="46"/>
      <c r="C179" s="46"/>
      <c r="D179" s="46"/>
      <c r="E179" s="55">
        <v>96.884373089999997</v>
      </c>
      <c r="F179" s="55">
        <v>94.915692160000006</v>
      </c>
      <c r="G179" s="47"/>
      <c r="H179" s="45">
        <f t="shared" si="5"/>
        <v>39630</v>
      </c>
      <c r="I179" s="27">
        <v>39660</v>
      </c>
      <c r="J179" t="e">
        <f t="shared" si="4"/>
        <v>#N/A</v>
      </c>
      <c r="K179" t="e">
        <f t="shared" si="4"/>
        <v>#N/A</v>
      </c>
      <c r="L179" t="e">
        <f t="shared" si="4"/>
        <v>#N/A</v>
      </c>
      <c r="M179">
        <f t="shared" si="4"/>
        <v>96.884373089999997</v>
      </c>
      <c r="N179">
        <f t="shared" si="4"/>
        <v>94.915692160000006</v>
      </c>
    </row>
    <row r="180" spans="1:14" x14ac:dyDescent="0.25">
      <c r="A180" s="45">
        <v>39661</v>
      </c>
      <c r="B180" s="46"/>
      <c r="C180" s="46"/>
      <c r="D180" s="46"/>
      <c r="E180" s="55">
        <v>92.587290659999994</v>
      </c>
      <c r="F180" s="55">
        <v>91.557815590000004</v>
      </c>
      <c r="G180" s="47"/>
      <c r="H180" s="45">
        <f t="shared" si="5"/>
        <v>39661</v>
      </c>
      <c r="I180" s="27">
        <v>39691</v>
      </c>
      <c r="J180" t="e">
        <f t="shared" ref="J180:N230" si="6">IF(ISNUMBER(VLOOKUP($H180,$A$27:$F$369,J$25,FALSE)),VLOOKUP($H180,$A$27:$F$369,J$25,FALSE),NA())</f>
        <v>#N/A</v>
      </c>
      <c r="K180" t="e">
        <f t="shared" si="6"/>
        <v>#N/A</v>
      </c>
      <c r="L180" t="e">
        <f t="shared" si="6"/>
        <v>#N/A</v>
      </c>
      <c r="M180">
        <f t="shared" si="6"/>
        <v>92.587290659999994</v>
      </c>
      <c r="N180">
        <f t="shared" si="6"/>
        <v>91.557815590000004</v>
      </c>
    </row>
    <row r="181" spans="1:14" x14ac:dyDescent="0.25">
      <c r="A181" s="45">
        <v>39692</v>
      </c>
      <c r="B181" s="46">
        <v>113.4</v>
      </c>
      <c r="C181" s="48">
        <v>122.1</v>
      </c>
      <c r="D181" s="48">
        <v>41.8</v>
      </c>
      <c r="E181" s="55">
        <v>92.044723899999994</v>
      </c>
      <c r="F181" s="55">
        <v>87.934967819999997</v>
      </c>
      <c r="G181" s="47"/>
      <c r="H181" s="45">
        <f t="shared" si="5"/>
        <v>39692</v>
      </c>
      <c r="I181" s="27">
        <v>39721</v>
      </c>
      <c r="J181">
        <f t="shared" si="6"/>
        <v>113.4</v>
      </c>
      <c r="K181">
        <f t="shared" si="6"/>
        <v>122.1</v>
      </c>
      <c r="L181">
        <f t="shared" si="6"/>
        <v>41.8</v>
      </c>
      <c r="M181">
        <f t="shared" si="6"/>
        <v>92.044723899999994</v>
      </c>
      <c r="N181">
        <f t="shared" si="6"/>
        <v>87.934967819999997</v>
      </c>
    </row>
    <row r="182" spans="1:14" x14ac:dyDescent="0.25">
      <c r="A182" s="45">
        <v>39722</v>
      </c>
      <c r="B182" s="46"/>
      <c r="C182" s="46"/>
      <c r="D182" s="46"/>
      <c r="E182" s="55">
        <v>87.231952519999993</v>
      </c>
      <c r="F182" s="55">
        <v>84.193055990000005</v>
      </c>
      <c r="G182" s="47"/>
      <c r="H182" s="45">
        <f t="shared" si="5"/>
        <v>39722</v>
      </c>
      <c r="I182" s="27">
        <v>39752</v>
      </c>
      <c r="J182" t="e">
        <f t="shared" si="6"/>
        <v>#N/A</v>
      </c>
      <c r="K182" t="e">
        <f t="shared" si="6"/>
        <v>#N/A</v>
      </c>
      <c r="L182" t="e">
        <f t="shared" si="6"/>
        <v>#N/A</v>
      </c>
      <c r="M182">
        <f t="shared" si="6"/>
        <v>87.231952519999993</v>
      </c>
      <c r="N182">
        <f t="shared" si="6"/>
        <v>84.193055990000005</v>
      </c>
    </row>
    <row r="183" spans="1:14" x14ac:dyDescent="0.25">
      <c r="A183" s="45">
        <v>39753</v>
      </c>
      <c r="B183" s="46"/>
      <c r="C183" s="46"/>
      <c r="D183" s="46"/>
      <c r="E183" s="55">
        <v>81.726635209999998</v>
      </c>
      <c r="F183" s="55">
        <v>80.771541290000002</v>
      </c>
      <c r="G183" s="47"/>
      <c r="H183" s="45">
        <f t="shared" si="5"/>
        <v>39753</v>
      </c>
      <c r="I183" s="27">
        <v>39782</v>
      </c>
      <c r="J183" t="e">
        <f t="shared" si="6"/>
        <v>#N/A</v>
      </c>
      <c r="K183" t="e">
        <f t="shared" si="6"/>
        <v>#N/A</v>
      </c>
      <c r="L183" t="e">
        <f t="shared" si="6"/>
        <v>#N/A</v>
      </c>
      <c r="M183">
        <f t="shared" si="6"/>
        <v>81.726635209999998</v>
      </c>
      <c r="N183">
        <f t="shared" si="6"/>
        <v>80.771541290000002</v>
      </c>
    </row>
    <row r="184" spans="1:14" x14ac:dyDescent="0.25">
      <c r="A184" s="45">
        <v>39783</v>
      </c>
      <c r="B184" s="46">
        <v>104.1</v>
      </c>
      <c r="C184" s="48">
        <v>118.9</v>
      </c>
      <c r="D184" s="48">
        <v>33.700000000000003</v>
      </c>
      <c r="E184" s="55">
        <v>65.627514009999999</v>
      </c>
      <c r="F184" s="55">
        <v>78.326948920000007</v>
      </c>
      <c r="G184" s="47"/>
      <c r="H184" s="45">
        <f t="shared" si="5"/>
        <v>39783</v>
      </c>
      <c r="I184" s="27">
        <v>39813</v>
      </c>
      <c r="J184">
        <f t="shared" si="6"/>
        <v>104.1</v>
      </c>
      <c r="K184">
        <f t="shared" si="6"/>
        <v>118.9</v>
      </c>
      <c r="L184">
        <f t="shared" si="6"/>
        <v>33.700000000000003</v>
      </c>
      <c r="M184">
        <f t="shared" si="6"/>
        <v>65.627514009999999</v>
      </c>
      <c r="N184">
        <f t="shared" si="6"/>
        <v>78.326948920000007</v>
      </c>
    </row>
    <row r="185" spans="1:14" x14ac:dyDescent="0.25">
      <c r="A185" s="45">
        <v>39814</v>
      </c>
      <c r="B185" s="46"/>
      <c r="C185" s="46"/>
      <c r="D185" s="46"/>
      <c r="E185" s="55">
        <v>76.022498780000006</v>
      </c>
      <c r="F185" s="55">
        <v>77.584025080000004</v>
      </c>
      <c r="G185" s="47"/>
      <c r="H185" s="45">
        <f t="shared" si="5"/>
        <v>39814</v>
      </c>
      <c r="I185" s="27">
        <v>39844</v>
      </c>
      <c r="J185" t="e">
        <f t="shared" si="6"/>
        <v>#N/A</v>
      </c>
      <c r="K185" t="e">
        <f t="shared" si="6"/>
        <v>#N/A</v>
      </c>
      <c r="L185" t="e">
        <f t="shared" si="6"/>
        <v>#N/A</v>
      </c>
      <c r="M185">
        <f t="shared" si="6"/>
        <v>76.022498780000006</v>
      </c>
      <c r="N185">
        <f t="shared" si="6"/>
        <v>77.584025080000004</v>
      </c>
    </row>
    <row r="186" spans="1:14" x14ac:dyDescent="0.25">
      <c r="A186" s="45">
        <v>39845</v>
      </c>
      <c r="B186" s="46"/>
      <c r="C186" s="46"/>
      <c r="D186" s="46"/>
      <c r="E186" s="55">
        <v>76.60438379</v>
      </c>
      <c r="F186" s="55">
        <v>78.360413469999997</v>
      </c>
      <c r="G186" s="47"/>
      <c r="H186" s="45">
        <f t="shared" si="5"/>
        <v>39845</v>
      </c>
      <c r="I186" s="27">
        <v>39872</v>
      </c>
      <c r="J186" t="e">
        <f t="shared" si="6"/>
        <v>#N/A</v>
      </c>
      <c r="K186" t="e">
        <f t="shared" si="6"/>
        <v>#N/A</v>
      </c>
      <c r="L186" t="e">
        <f t="shared" si="6"/>
        <v>#N/A</v>
      </c>
      <c r="M186">
        <f t="shared" si="6"/>
        <v>76.60438379</v>
      </c>
      <c r="N186">
        <f t="shared" si="6"/>
        <v>78.360413469999997</v>
      </c>
    </row>
    <row r="187" spans="1:14" x14ac:dyDescent="0.25">
      <c r="A187" s="45">
        <v>39873</v>
      </c>
      <c r="B187" s="46">
        <v>82.6</v>
      </c>
      <c r="C187" s="48">
        <v>111.9</v>
      </c>
      <c r="D187" s="48">
        <v>21.1</v>
      </c>
      <c r="E187" s="55">
        <v>81.31842958</v>
      </c>
      <c r="F187" s="55">
        <v>80.362220219999998</v>
      </c>
      <c r="G187" s="47"/>
      <c r="H187" s="45">
        <f t="shared" si="5"/>
        <v>39873</v>
      </c>
      <c r="I187" s="27">
        <v>39903</v>
      </c>
      <c r="J187">
        <f t="shared" si="6"/>
        <v>82.6</v>
      </c>
      <c r="K187">
        <f t="shared" si="6"/>
        <v>111.9</v>
      </c>
      <c r="L187">
        <f t="shared" si="6"/>
        <v>21.1</v>
      </c>
      <c r="M187">
        <f t="shared" si="6"/>
        <v>81.31842958</v>
      </c>
      <c r="N187">
        <f t="shared" si="6"/>
        <v>80.362220219999998</v>
      </c>
    </row>
    <row r="188" spans="1:14" x14ac:dyDescent="0.25">
      <c r="A188" s="45">
        <v>39904</v>
      </c>
      <c r="B188" s="46"/>
      <c r="C188" s="46"/>
      <c r="D188" s="46"/>
      <c r="E188" s="55">
        <v>83.730441450000001</v>
      </c>
      <c r="F188" s="55">
        <v>83.170120740000002</v>
      </c>
      <c r="G188" s="47"/>
      <c r="H188" s="45">
        <f t="shared" si="5"/>
        <v>39904</v>
      </c>
      <c r="I188" s="27">
        <v>39933</v>
      </c>
      <c r="J188" t="e">
        <f t="shared" si="6"/>
        <v>#N/A</v>
      </c>
      <c r="K188" t="e">
        <f t="shared" si="6"/>
        <v>#N/A</v>
      </c>
      <c r="L188" t="e">
        <f t="shared" si="6"/>
        <v>#N/A</v>
      </c>
      <c r="M188">
        <f t="shared" si="6"/>
        <v>83.730441450000001</v>
      </c>
      <c r="N188">
        <f t="shared" si="6"/>
        <v>83.170120740000002</v>
      </c>
    </row>
    <row r="189" spans="1:14" x14ac:dyDescent="0.25">
      <c r="A189" s="45">
        <v>39934</v>
      </c>
      <c r="B189" s="46"/>
      <c r="C189" s="46"/>
      <c r="D189" s="46"/>
      <c r="E189" s="55">
        <v>86.795809489999996</v>
      </c>
      <c r="F189" s="55">
        <v>86.433091129999994</v>
      </c>
      <c r="G189" s="47"/>
      <c r="H189" s="45">
        <f t="shared" si="5"/>
        <v>39934</v>
      </c>
      <c r="I189" s="27">
        <v>39964</v>
      </c>
      <c r="J189" t="e">
        <f t="shared" si="6"/>
        <v>#N/A</v>
      </c>
      <c r="K189" t="e">
        <f t="shared" si="6"/>
        <v>#N/A</v>
      </c>
      <c r="L189" t="e">
        <f t="shared" si="6"/>
        <v>#N/A</v>
      </c>
      <c r="M189">
        <f t="shared" si="6"/>
        <v>86.795809489999996</v>
      </c>
      <c r="N189">
        <f t="shared" si="6"/>
        <v>86.433091129999994</v>
      </c>
    </row>
    <row r="190" spans="1:14" x14ac:dyDescent="0.25">
      <c r="A190" s="45">
        <v>39965</v>
      </c>
      <c r="B190" s="46">
        <v>99.4</v>
      </c>
      <c r="C190" s="48">
        <v>96.4</v>
      </c>
      <c r="D190" s="48">
        <v>11.2</v>
      </c>
      <c r="E190" s="55">
        <v>91.414238319999995</v>
      </c>
      <c r="F190" s="55">
        <v>89.840130380000005</v>
      </c>
      <c r="G190" s="47"/>
      <c r="H190" s="45">
        <f t="shared" si="5"/>
        <v>39965</v>
      </c>
      <c r="I190" s="27">
        <v>39994</v>
      </c>
      <c r="J190">
        <f t="shared" si="6"/>
        <v>99.4</v>
      </c>
      <c r="K190">
        <f t="shared" si="6"/>
        <v>96.4</v>
      </c>
      <c r="L190">
        <f t="shared" si="6"/>
        <v>11.2</v>
      </c>
      <c r="M190">
        <f t="shared" si="6"/>
        <v>91.414238319999995</v>
      </c>
      <c r="N190">
        <f t="shared" si="6"/>
        <v>89.840130380000005</v>
      </c>
    </row>
    <row r="191" spans="1:14" x14ac:dyDescent="0.25">
      <c r="A191" s="45">
        <v>39995</v>
      </c>
      <c r="B191" s="46"/>
      <c r="C191" s="46"/>
      <c r="D191" s="46"/>
      <c r="E191" s="55">
        <v>93.202866040000004</v>
      </c>
      <c r="F191" s="55">
        <v>93.106145949999998</v>
      </c>
      <c r="G191" s="47"/>
      <c r="H191" s="45">
        <f t="shared" si="5"/>
        <v>39995</v>
      </c>
      <c r="I191" s="27">
        <v>40025</v>
      </c>
      <c r="J191" t="e">
        <f t="shared" si="6"/>
        <v>#N/A</v>
      </c>
      <c r="K191" t="e">
        <f t="shared" si="6"/>
        <v>#N/A</v>
      </c>
      <c r="L191" t="e">
        <f t="shared" si="6"/>
        <v>#N/A</v>
      </c>
      <c r="M191">
        <f t="shared" si="6"/>
        <v>93.202866040000004</v>
      </c>
      <c r="N191">
        <f t="shared" si="6"/>
        <v>93.106145949999998</v>
      </c>
    </row>
    <row r="192" spans="1:14" x14ac:dyDescent="0.25">
      <c r="A192" s="45">
        <v>40026</v>
      </c>
      <c r="B192" s="46"/>
      <c r="C192" s="46"/>
      <c r="D192" s="46"/>
      <c r="E192" s="55">
        <v>99.527461419999995</v>
      </c>
      <c r="F192" s="55">
        <v>96.058481580000006</v>
      </c>
      <c r="G192" s="47"/>
      <c r="H192" s="45">
        <f t="shared" si="5"/>
        <v>40026</v>
      </c>
      <c r="I192" s="27">
        <v>40056</v>
      </c>
      <c r="J192" t="e">
        <f t="shared" si="6"/>
        <v>#N/A</v>
      </c>
      <c r="K192" t="e">
        <f t="shared" si="6"/>
        <v>#N/A</v>
      </c>
      <c r="L192" t="e">
        <f t="shared" si="6"/>
        <v>#N/A</v>
      </c>
      <c r="M192">
        <f t="shared" si="6"/>
        <v>99.527461419999995</v>
      </c>
      <c r="N192">
        <f t="shared" si="6"/>
        <v>96.058481580000006</v>
      </c>
    </row>
    <row r="193" spans="1:14" x14ac:dyDescent="0.25">
      <c r="A193" s="45">
        <v>40057</v>
      </c>
      <c r="B193" s="46">
        <v>107.2</v>
      </c>
      <c r="C193" s="48">
        <v>109.9</v>
      </c>
      <c r="D193" s="48">
        <v>24.2</v>
      </c>
      <c r="E193" s="55">
        <v>99.784676579999996</v>
      </c>
      <c r="F193" s="55">
        <v>98.531389570000002</v>
      </c>
      <c r="G193" s="47"/>
      <c r="H193" s="45">
        <f t="shared" si="5"/>
        <v>40057</v>
      </c>
      <c r="I193" s="27">
        <v>40086</v>
      </c>
      <c r="J193">
        <f t="shared" si="6"/>
        <v>107.2</v>
      </c>
      <c r="K193">
        <f t="shared" si="6"/>
        <v>109.9</v>
      </c>
      <c r="L193">
        <f t="shared" si="6"/>
        <v>24.2</v>
      </c>
      <c r="M193">
        <f t="shared" si="6"/>
        <v>99.784676579999996</v>
      </c>
      <c r="N193">
        <f t="shared" si="6"/>
        <v>98.531389570000002</v>
      </c>
    </row>
    <row r="194" spans="1:14" x14ac:dyDescent="0.25">
      <c r="A194" s="45">
        <v>40087</v>
      </c>
      <c r="B194" s="46"/>
      <c r="C194" s="46"/>
      <c r="D194" s="46"/>
      <c r="E194" s="55">
        <v>96.790265730000002</v>
      </c>
      <c r="F194" s="55">
        <v>100.60690653</v>
      </c>
      <c r="G194" s="47"/>
      <c r="H194" s="45">
        <f t="shared" si="5"/>
        <v>40087</v>
      </c>
      <c r="I194" s="27">
        <v>40117</v>
      </c>
      <c r="J194" t="e">
        <f t="shared" si="6"/>
        <v>#N/A</v>
      </c>
      <c r="K194" t="e">
        <f t="shared" si="6"/>
        <v>#N/A</v>
      </c>
      <c r="L194" t="e">
        <f t="shared" si="6"/>
        <v>#N/A</v>
      </c>
      <c r="M194">
        <f t="shared" si="6"/>
        <v>96.790265730000002</v>
      </c>
      <c r="N194">
        <f t="shared" si="6"/>
        <v>100.60690653</v>
      </c>
    </row>
    <row r="195" spans="1:14" x14ac:dyDescent="0.25">
      <c r="A195" s="45">
        <v>40118</v>
      </c>
      <c r="B195" s="46"/>
      <c r="C195" s="46"/>
      <c r="D195" s="46"/>
      <c r="E195" s="55">
        <v>102.72112936000001</v>
      </c>
      <c r="F195" s="55">
        <v>102.45658953</v>
      </c>
      <c r="G195" s="47"/>
      <c r="H195" s="45">
        <f t="shared" si="5"/>
        <v>40118</v>
      </c>
      <c r="I195" s="27">
        <v>40147</v>
      </c>
      <c r="J195" t="e">
        <f t="shared" si="6"/>
        <v>#N/A</v>
      </c>
      <c r="K195" t="e">
        <f t="shared" si="6"/>
        <v>#N/A</v>
      </c>
      <c r="L195" t="e">
        <f t="shared" si="6"/>
        <v>#N/A</v>
      </c>
      <c r="M195">
        <f t="shared" si="6"/>
        <v>102.72112936000001</v>
      </c>
      <c r="N195">
        <f t="shared" si="6"/>
        <v>102.45658953</v>
      </c>
    </row>
    <row r="196" spans="1:14" x14ac:dyDescent="0.25">
      <c r="A196" s="45">
        <v>40148</v>
      </c>
      <c r="B196" s="46">
        <v>112.8</v>
      </c>
      <c r="C196" s="48">
        <v>116.4</v>
      </c>
      <c r="D196" s="48">
        <v>39.799999999999997</v>
      </c>
      <c r="E196" s="55">
        <v>106.85449721000001</v>
      </c>
      <c r="F196" s="55">
        <v>103.97937847999999</v>
      </c>
      <c r="G196" s="47"/>
      <c r="H196" s="45">
        <f t="shared" si="5"/>
        <v>40148</v>
      </c>
      <c r="I196" s="27">
        <v>40178</v>
      </c>
      <c r="J196">
        <f t="shared" si="6"/>
        <v>112.8</v>
      </c>
      <c r="K196">
        <f t="shared" si="6"/>
        <v>116.4</v>
      </c>
      <c r="L196">
        <f t="shared" si="6"/>
        <v>39.799999999999997</v>
      </c>
      <c r="M196">
        <f t="shared" si="6"/>
        <v>106.85449721000001</v>
      </c>
      <c r="N196">
        <f t="shared" si="6"/>
        <v>103.97937847999999</v>
      </c>
    </row>
    <row r="197" spans="1:14" x14ac:dyDescent="0.25">
      <c r="A197" s="45">
        <v>40179</v>
      </c>
      <c r="B197" s="46"/>
      <c r="C197" s="46"/>
      <c r="D197" s="46"/>
      <c r="E197" s="55">
        <v>105.60346268000001</v>
      </c>
      <c r="F197" s="55">
        <v>105.09310895</v>
      </c>
      <c r="G197" s="47"/>
      <c r="H197" s="45">
        <f t="shared" si="5"/>
        <v>40179</v>
      </c>
      <c r="I197" s="27">
        <v>40209</v>
      </c>
      <c r="J197" t="e">
        <f t="shared" si="6"/>
        <v>#N/A</v>
      </c>
      <c r="K197" t="e">
        <f t="shared" si="6"/>
        <v>#N/A</v>
      </c>
      <c r="L197" t="e">
        <f t="shared" si="6"/>
        <v>#N/A</v>
      </c>
      <c r="M197">
        <f t="shared" si="6"/>
        <v>105.60346268000001</v>
      </c>
      <c r="N197">
        <f t="shared" si="6"/>
        <v>105.09310895</v>
      </c>
    </row>
    <row r="198" spans="1:14" x14ac:dyDescent="0.25">
      <c r="A198" s="45">
        <v>40210</v>
      </c>
      <c r="B198" s="46"/>
      <c r="C198" s="46"/>
      <c r="D198" s="46"/>
      <c r="E198" s="55">
        <v>105.34737493999999</v>
      </c>
      <c r="F198" s="55">
        <v>105.92098215999999</v>
      </c>
      <c r="G198" s="47"/>
      <c r="H198" s="45">
        <f t="shared" si="5"/>
        <v>40210</v>
      </c>
      <c r="I198" s="27">
        <v>40237</v>
      </c>
      <c r="J198" t="e">
        <f t="shared" si="6"/>
        <v>#N/A</v>
      </c>
      <c r="K198" t="e">
        <f t="shared" si="6"/>
        <v>#N/A</v>
      </c>
      <c r="L198" t="e">
        <f t="shared" si="6"/>
        <v>#N/A</v>
      </c>
      <c r="M198">
        <f t="shared" si="6"/>
        <v>105.34737493999999</v>
      </c>
      <c r="N198">
        <f t="shared" si="6"/>
        <v>105.92098215999999</v>
      </c>
    </row>
    <row r="199" spans="1:14" x14ac:dyDescent="0.25">
      <c r="A199" s="45">
        <v>40238</v>
      </c>
      <c r="B199" s="46">
        <v>118.5</v>
      </c>
      <c r="C199" s="48">
        <v>120.6</v>
      </c>
      <c r="D199" s="48">
        <v>44.9</v>
      </c>
      <c r="E199" s="55">
        <v>107.12959847</v>
      </c>
      <c r="F199" s="55">
        <v>106.62265318</v>
      </c>
      <c r="G199" s="47"/>
      <c r="H199" s="45">
        <f t="shared" si="5"/>
        <v>40238</v>
      </c>
      <c r="I199" s="27">
        <v>40268</v>
      </c>
      <c r="J199">
        <f t="shared" si="6"/>
        <v>118.5</v>
      </c>
      <c r="K199">
        <f t="shared" si="6"/>
        <v>120.6</v>
      </c>
      <c r="L199">
        <f t="shared" si="6"/>
        <v>44.9</v>
      </c>
      <c r="M199">
        <f t="shared" si="6"/>
        <v>107.12959847</v>
      </c>
      <c r="N199">
        <f t="shared" si="6"/>
        <v>106.62265318</v>
      </c>
    </row>
    <row r="200" spans="1:14" x14ac:dyDescent="0.25">
      <c r="A200" s="45">
        <v>40269</v>
      </c>
      <c r="B200" s="46"/>
      <c r="C200" s="46"/>
      <c r="D200" s="46"/>
      <c r="E200" s="55">
        <v>107.75143361000001</v>
      </c>
      <c r="F200" s="55">
        <v>107.3168051</v>
      </c>
      <c r="G200" s="47"/>
      <c r="H200" s="45">
        <f t="shared" si="5"/>
        <v>40269</v>
      </c>
      <c r="I200" s="27">
        <v>40298</v>
      </c>
      <c r="J200" t="e">
        <f t="shared" si="6"/>
        <v>#N/A</v>
      </c>
      <c r="K200" t="e">
        <f t="shared" si="6"/>
        <v>#N/A</v>
      </c>
      <c r="L200" t="e">
        <f t="shared" si="6"/>
        <v>#N/A</v>
      </c>
      <c r="M200">
        <f t="shared" si="6"/>
        <v>107.75143361000001</v>
      </c>
      <c r="N200">
        <f t="shared" si="6"/>
        <v>107.3168051</v>
      </c>
    </row>
    <row r="201" spans="1:14" x14ac:dyDescent="0.25">
      <c r="A201" s="45">
        <v>40299</v>
      </c>
      <c r="B201" s="46"/>
      <c r="C201" s="46"/>
      <c r="D201" s="46"/>
      <c r="E201" s="55">
        <v>103.43037764</v>
      </c>
      <c r="F201" s="55">
        <v>108.15833141</v>
      </c>
      <c r="G201" s="47"/>
      <c r="H201" s="45">
        <f t="shared" si="5"/>
        <v>40299</v>
      </c>
      <c r="I201" s="27">
        <v>40329</v>
      </c>
      <c r="J201" t="e">
        <f t="shared" si="6"/>
        <v>#N/A</v>
      </c>
      <c r="K201" t="e">
        <f t="shared" si="6"/>
        <v>#N/A</v>
      </c>
      <c r="L201" t="e">
        <f t="shared" si="6"/>
        <v>#N/A</v>
      </c>
      <c r="M201">
        <f t="shared" si="6"/>
        <v>103.43037764</v>
      </c>
      <c r="N201">
        <f t="shared" si="6"/>
        <v>108.15833141</v>
      </c>
    </row>
    <row r="202" spans="1:14" x14ac:dyDescent="0.25">
      <c r="A202" s="45">
        <v>40330</v>
      </c>
      <c r="B202" s="46">
        <v>115.9</v>
      </c>
      <c r="C202" s="48">
        <v>119.8</v>
      </c>
      <c r="D202" s="48">
        <v>41.2</v>
      </c>
      <c r="E202" s="55">
        <v>108.67056697</v>
      </c>
      <c r="F202" s="55">
        <v>109.33317049999999</v>
      </c>
      <c r="G202" s="47"/>
      <c r="H202" s="45">
        <f t="shared" si="5"/>
        <v>40330</v>
      </c>
      <c r="I202" s="27">
        <v>40359</v>
      </c>
      <c r="J202">
        <f t="shared" si="6"/>
        <v>115.9</v>
      </c>
      <c r="K202">
        <f t="shared" si="6"/>
        <v>119.8</v>
      </c>
      <c r="L202">
        <f t="shared" si="6"/>
        <v>41.2</v>
      </c>
      <c r="M202">
        <f t="shared" si="6"/>
        <v>108.67056697</v>
      </c>
      <c r="N202">
        <f t="shared" si="6"/>
        <v>109.33317049999999</v>
      </c>
    </row>
    <row r="203" spans="1:14" x14ac:dyDescent="0.25">
      <c r="A203" s="45">
        <v>40360</v>
      </c>
      <c r="B203" s="46"/>
      <c r="C203" s="46"/>
      <c r="D203" s="46"/>
      <c r="E203" s="55">
        <v>112.68692007</v>
      </c>
      <c r="F203" s="55">
        <v>110.68954975</v>
      </c>
      <c r="G203" s="47"/>
      <c r="H203" s="45">
        <f t="shared" si="5"/>
        <v>40360</v>
      </c>
      <c r="I203" s="27">
        <v>40390</v>
      </c>
      <c r="J203" t="e">
        <f t="shared" si="6"/>
        <v>#N/A</v>
      </c>
      <c r="K203" t="e">
        <f t="shared" si="6"/>
        <v>#N/A</v>
      </c>
      <c r="L203" t="e">
        <f t="shared" si="6"/>
        <v>#N/A</v>
      </c>
      <c r="M203">
        <f t="shared" si="6"/>
        <v>112.68692007</v>
      </c>
      <c r="N203">
        <f t="shared" si="6"/>
        <v>110.68954975</v>
      </c>
    </row>
    <row r="204" spans="1:14" x14ac:dyDescent="0.25">
      <c r="A204" s="45">
        <v>40391</v>
      </c>
      <c r="B204" s="46"/>
      <c r="C204" s="46"/>
      <c r="D204" s="46"/>
      <c r="E204" s="55">
        <v>111.34528458</v>
      </c>
      <c r="F204" s="55">
        <v>112.02836773999999</v>
      </c>
      <c r="G204" s="47"/>
      <c r="H204" s="45">
        <f t="shared" si="5"/>
        <v>40391</v>
      </c>
      <c r="I204" s="27">
        <v>40421</v>
      </c>
      <c r="J204" t="e">
        <f t="shared" si="6"/>
        <v>#N/A</v>
      </c>
      <c r="K204" t="e">
        <f t="shared" si="6"/>
        <v>#N/A</v>
      </c>
      <c r="L204" t="e">
        <f t="shared" si="6"/>
        <v>#N/A</v>
      </c>
      <c r="M204">
        <f t="shared" si="6"/>
        <v>111.34528458</v>
      </c>
      <c r="N204">
        <f t="shared" si="6"/>
        <v>112.02836773999999</v>
      </c>
    </row>
    <row r="205" spans="1:14" x14ac:dyDescent="0.25">
      <c r="A205" s="45">
        <v>40422</v>
      </c>
      <c r="B205" s="46">
        <v>119</v>
      </c>
      <c r="C205" s="48">
        <v>118.8</v>
      </c>
      <c r="D205" s="48">
        <v>41.5</v>
      </c>
      <c r="E205" s="55">
        <v>111.89692472</v>
      </c>
      <c r="F205" s="55">
        <v>113.29319235</v>
      </c>
      <c r="G205" s="47"/>
      <c r="H205" s="45">
        <f t="shared" si="5"/>
        <v>40422</v>
      </c>
      <c r="I205" s="27">
        <v>40451</v>
      </c>
      <c r="J205">
        <f t="shared" si="6"/>
        <v>119</v>
      </c>
      <c r="K205">
        <f t="shared" si="6"/>
        <v>118.8</v>
      </c>
      <c r="L205">
        <f t="shared" si="6"/>
        <v>41.5</v>
      </c>
      <c r="M205">
        <f t="shared" si="6"/>
        <v>111.89692472</v>
      </c>
      <c r="N205">
        <f t="shared" si="6"/>
        <v>113.29319235</v>
      </c>
    </row>
    <row r="206" spans="1:14" x14ac:dyDescent="0.25">
      <c r="A206" s="45">
        <v>40452</v>
      </c>
      <c r="B206" s="46"/>
      <c r="C206" s="46"/>
      <c r="D206" s="46"/>
      <c r="E206" s="55">
        <v>116.94417104</v>
      </c>
      <c r="F206" s="55">
        <v>114.37879982</v>
      </c>
      <c r="G206" s="47"/>
      <c r="H206" s="45">
        <f t="shared" si="5"/>
        <v>40452</v>
      </c>
      <c r="I206" s="27">
        <v>40482</v>
      </c>
      <c r="J206" t="e">
        <f t="shared" si="6"/>
        <v>#N/A</v>
      </c>
      <c r="K206" t="e">
        <f t="shared" si="6"/>
        <v>#N/A</v>
      </c>
      <c r="L206" t="e">
        <f t="shared" si="6"/>
        <v>#N/A</v>
      </c>
      <c r="M206">
        <f t="shared" si="6"/>
        <v>116.94417104</v>
      </c>
      <c r="N206">
        <f t="shared" si="6"/>
        <v>114.37879982</v>
      </c>
    </row>
    <row r="207" spans="1:14" x14ac:dyDescent="0.25">
      <c r="A207" s="45">
        <v>40483</v>
      </c>
      <c r="B207" s="46"/>
      <c r="C207" s="46"/>
      <c r="D207" s="46"/>
      <c r="E207" s="55">
        <v>108.56466252</v>
      </c>
      <c r="F207" s="55">
        <v>115.08023295</v>
      </c>
      <c r="G207" s="47"/>
      <c r="H207" s="45">
        <f t="shared" si="5"/>
        <v>40483</v>
      </c>
      <c r="I207" s="27">
        <v>40512</v>
      </c>
      <c r="J207" t="e">
        <f t="shared" si="6"/>
        <v>#N/A</v>
      </c>
      <c r="K207" t="e">
        <f t="shared" si="6"/>
        <v>#N/A</v>
      </c>
      <c r="L207" t="e">
        <f t="shared" si="6"/>
        <v>#N/A</v>
      </c>
      <c r="M207">
        <f t="shared" si="6"/>
        <v>108.56466252</v>
      </c>
      <c r="N207">
        <f t="shared" si="6"/>
        <v>115.08023295</v>
      </c>
    </row>
    <row r="208" spans="1:14" x14ac:dyDescent="0.25">
      <c r="A208" s="45">
        <v>40513</v>
      </c>
      <c r="B208" s="46">
        <v>122.8</v>
      </c>
      <c r="C208" s="48">
        <v>126.5</v>
      </c>
      <c r="D208" s="48">
        <v>47.5</v>
      </c>
      <c r="E208" s="55">
        <v>120.50132677000001</v>
      </c>
      <c r="F208" s="55">
        <v>115.37577537999999</v>
      </c>
      <c r="G208" s="47"/>
      <c r="H208" s="45">
        <f t="shared" si="5"/>
        <v>40513</v>
      </c>
      <c r="I208" s="27">
        <v>40543</v>
      </c>
      <c r="J208">
        <f t="shared" si="6"/>
        <v>122.8</v>
      </c>
      <c r="K208">
        <f t="shared" si="6"/>
        <v>126.5</v>
      </c>
      <c r="L208">
        <f t="shared" si="6"/>
        <v>47.5</v>
      </c>
      <c r="M208">
        <f t="shared" si="6"/>
        <v>120.50132677000001</v>
      </c>
      <c r="N208">
        <f t="shared" si="6"/>
        <v>115.37577537999999</v>
      </c>
    </row>
    <row r="209" spans="1:14" x14ac:dyDescent="0.25">
      <c r="A209" s="45">
        <v>40544</v>
      </c>
      <c r="B209" s="46"/>
      <c r="C209" s="46"/>
      <c r="D209" s="46"/>
      <c r="E209" s="55">
        <v>120.31971240999999</v>
      </c>
      <c r="F209" s="55">
        <v>114.77831285000001</v>
      </c>
      <c r="G209" s="47"/>
      <c r="H209" s="45">
        <f t="shared" si="5"/>
        <v>40544</v>
      </c>
      <c r="I209" s="27">
        <v>40574</v>
      </c>
      <c r="J209" t="e">
        <f t="shared" si="6"/>
        <v>#N/A</v>
      </c>
      <c r="K209" t="e">
        <f t="shared" si="6"/>
        <v>#N/A</v>
      </c>
      <c r="L209" t="e">
        <f t="shared" si="6"/>
        <v>#N/A</v>
      </c>
      <c r="M209">
        <f t="shared" si="6"/>
        <v>120.31971240999999</v>
      </c>
      <c r="N209">
        <f t="shared" si="6"/>
        <v>114.77831285000001</v>
      </c>
    </row>
    <row r="210" spans="1:14" x14ac:dyDescent="0.25">
      <c r="A210" s="45">
        <v>40575</v>
      </c>
      <c r="B210" s="46"/>
      <c r="C210" s="46"/>
      <c r="D210" s="46"/>
      <c r="E210" s="55">
        <v>111.58710619</v>
      </c>
      <c r="F210" s="55">
        <v>113.16684191</v>
      </c>
      <c r="G210" s="47"/>
      <c r="H210" s="45">
        <f t="shared" si="5"/>
        <v>40575</v>
      </c>
      <c r="I210" s="27">
        <v>40602</v>
      </c>
      <c r="J210" t="e">
        <f t="shared" si="6"/>
        <v>#N/A</v>
      </c>
      <c r="K210" t="e">
        <f t="shared" si="6"/>
        <v>#N/A</v>
      </c>
      <c r="L210" t="e">
        <f t="shared" si="6"/>
        <v>#N/A</v>
      </c>
      <c r="M210">
        <f t="shared" si="6"/>
        <v>111.58710619</v>
      </c>
      <c r="N210">
        <f t="shared" si="6"/>
        <v>113.16684191</v>
      </c>
    </row>
    <row r="211" spans="1:14" x14ac:dyDescent="0.25">
      <c r="A211" s="45">
        <v>40603</v>
      </c>
      <c r="B211" s="46">
        <v>122</v>
      </c>
      <c r="C211" s="48">
        <v>125.9</v>
      </c>
      <c r="D211" s="48">
        <v>50.1</v>
      </c>
      <c r="E211" s="55">
        <v>112.60669437999999</v>
      </c>
      <c r="F211" s="55">
        <v>110.81617337</v>
      </c>
      <c r="G211" s="47"/>
      <c r="H211" s="45">
        <f t="shared" si="5"/>
        <v>40603</v>
      </c>
      <c r="I211" s="27">
        <v>40633</v>
      </c>
      <c r="J211">
        <f t="shared" si="6"/>
        <v>122</v>
      </c>
      <c r="K211">
        <f t="shared" si="6"/>
        <v>125.9</v>
      </c>
      <c r="L211">
        <f t="shared" si="6"/>
        <v>50.1</v>
      </c>
      <c r="M211">
        <f t="shared" si="6"/>
        <v>112.60669437999999</v>
      </c>
      <c r="N211">
        <f t="shared" si="6"/>
        <v>110.81617337</v>
      </c>
    </row>
    <row r="212" spans="1:14" x14ac:dyDescent="0.25">
      <c r="A212" s="45">
        <v>40634</v>
      </c>
      <c r="B212" s="46"/>
      <c r="C212" s="46"/>
      <c r="D212" s="46"/>
      <c r="E212" s="55">
        <v>110.05157599</v>
      </c>
      <c r="F212" s="55">
        <v>107.88827976</v>
      </c>
      <c r="G212" s="47"/>
      <c r="H212" s="45">
        <f t="shared" si="5"/>
        <v>40634</v>
      </c>
      <c r="I212" s="27">
        <v>40663</v>
      </c>
      <c r="J212" t="e">
        <f t="shared" si="6"/>
        <v>#N/A</v>
      </c>
      <c r="K212" t="e">
        <f t="shared" si="6"/>
        <v>#N/A</v>
      </c>
      <c r="L212" t="e">
        <f t="shared" si="6"/>
        <v>#N/A</v>
      </c>
      <c r="M212">
        <f t="shared" si="6"/>
        <v>110.05157599</v>
      </c>
      <c r="N212">
        <f t="shared" si="6"/>
        <v>107.88827976</v>
      </c>
    </row>
    <row r="213" spans="1:14" x14ac:dyDescent="0.25">
      <c r="A213" s="45">
        <v>40664</v>
      </c>
      <c r="B213" s="46"/>
      <c r="C213" s="46"/>
      <c r="D213" s="46"/>
      <c r="E213" s="55">
        <v>103.42577482999999</v>
      </c>
      <c r="F213" s="55">
        <v>104.67302798</v>
      </c>
      <c r="G213" s="47"/>
      <c r="H213" s="45">
        <f t="shared" si="5"/>
        <v>40664</v>
      </c>
      <c r="I213" s="27">
        <v>40694</v>
      </c>
      <c r="J213" t="e">
        <f t="shared" si="6"/>
        <v>#N/A</v>
      </c>
      <c r="K213" t="e">
        <f t="shared" si="6"/>
        <v>#N/A</v>
      </c>
      <c r="L213" t="e">
        <f t="shared" si="6"/>
        <v>#N/A</v>
      </c>
      <c r="M213">
        <f t="shared" si="6"/>
        <v>103.42577482999999</v>
      </c>
      <c r="N213">
        <f t="shared" si="6"/>
        <v>104.67302798</v>
      </c>
    </row>
    <row r="214" spans="1:14" x14ac:dyDescent="0.25">
      <c r="A214" s="45">
        <v>40695</v>
      </c>
      <c r="B214" s="46">
        <v>116.3</v>
      </c>
      <c r="C214" s="48">
        <v>121.9</v>
      </c>
      <c r="D214" s="48">
        <v>41.4</v>
      </c>
      <c r="E214" s="55">
        <v>97.991671550000007</v>
      </c>
      <c r="F214" s="55">
        <v>101.61480609</v>
      </c>
      <c r="G214" s="47"/>
      <c r="H214" s="45">
        <f t="shared" si="5"/>
        <v>40695</v>
      </c>
      <c r="I214" s="27">
        <v>40724</v>
      </c>
      <c r="J214">
        <f t="shared" si="6"/>
        <v>116.3</v>
      </c>
      <c r="K214">
        <f t="shared" si="6"/>
        <v>121.9</v>
      </c>
      <c r="L214">
        <f t="shared" si="6"/>
        <v>41.4</v>
      </c>
      <c r="M214">
        <f t="shared" si="6"/>
        <v>97.991671550000007</v>
      </c>
      <c r="N214">
        <f t="shared" si="6"/>
        <v>101.61480609</v>
      </c>
    </row>
    <row r="215" spans="1:14" x14ac:dyDescent="0.25">
      <c r="A215" s="45">
        <v>40725</v>
      </c>
      <c r="B215" s="46"/>
      <c r="C215" s="46"/>
      <c r="D215" s="46"/>
      <c r="E215" s="55">
        <v>100.94062242</v>
      </c>
      <c r="F215" s="55">
        <v>99.068912639999994</v>
      </c>
      <c r="G215" s="47"/>
      <c r="H215" s="45">
        <f t="shared" si="5"/>
        <v>40725</v>
      </c>
      <c r="I215" s="27">
        <v>40755</v>
      </c>
      <c r="J215" t="e">
        <f t="shared" si="6"/>
        <v>#N/A</v>
      </c>
      <c r="K215" t="e">
        <f t="shared" si="6"/>
        <v>#N/A</v>
      </c>
      <c r="L215" t="e">
        <f t="shared" si="6"/>
        <v>#N/A</v>
      </c>
      <c r="M215">
        <f t="shared" si="6"/>
        <v>100.94062242</v>
      </c>
      <c r="N215">
        <f t="shared" si="6"/>
        <v>99.068912639999994</v>
      </c>
    </row>
    <row r="216" spans="1:14" x14ac:dyDescent="0.25">
      <c r="A216" s="45">
        <v>40756</v>
      </c>
      <c r="B216" s="46"/>
      <c r="C216" s="46"/>
      <c r="D216" s="46"/>
      <c r="E216" s="55">
        <v>95.319132609999997</v>
      </c>
      <c r="F216" s="55">
        <v>97.131850850000006</v>
      </c>
      <c r="G216" s="47"/>
      <c r="H216" s="45">
        <f t="shared" si="5"/>
        <v>40756</v>
      </c>
      <c r="I216" s="27">
        <v>40786</v>
      </c>
      <c r="J216" t="e">
        <f t="shared" si="6"/>
        <v>#N/A</v>
      </c>
      <c r="K216" t="e">
        <f t="shared" si="6"/>
        <v>#N/A</v>
      </c>
      <c r="L216" t="e">
        <f t="shared" si="6"/>
        <v>#N/A</v>
      </c>
      <c r="M216">
        <f t="shared" si="6"/>
        <v>95.319132609999997</v>
      </c>
      <c r="N216">
        <f t="shared" si="6"/>
        <v>97.131850850000006</v>
      </c>
    </row>
    <row r="217" spans="1:14" x14ac:dyDescent="0.25">
      <c r="A217" s="45">
        <v>40787</v>
      </c>
      <c r="B217" s="46">
        <v>109.4</v>
      </c>
      <c r="C217" s="48">
        <v>121.5</v>
      </c>
      <c r="D217" s="48">
        <v>39.799999999999997</v>
      </c>
      <c r="E217" s="55">
        <v>93.338167060000004</v>
      </c>
      <c r="F217" s="55">
        <v>96.033817499999998</v>
      </c>
      <c r="G217" s="47"/>
      <c r="H217" s="45">
        <f t="shared" si="5"/>
        <v>40787</v>
      </c>
      <c r="I217" s="27">
        <v>40816</v>
      </c>
      <c r="J217">
        <f t="shared" si="6"/>
        <v>109.4</v>
      </c>
      <c r="K217">
        <f t="shared" si="6"/>
        <v>121.5</v>
      </c>
      <c r="L217">
        <f t="shared" si="6"/>
        <v>39.799999999999997</v>
      </c>
      <c r="M217">
        <f t="shared" si="6"/>
        <v>93.338167060000004</v>
      </c>
      <c r="N217">
        <f t="shared" si="6"/>
        <v>96.033817499999998</v>
      </c>
    </row>
    <row r="218" spans="1:14" x14ac:dyDescent="0.25">
      <c r="A218" s="45">
        <v>40817</v>
      </c>
      <c r="B218" s="46"/>
      <c r="C218" s="46"/>
      <c r="D218" s="46"/>
      <c r="E218" s="55">
        <v>89.084091529999995</v>
      </c>
      <c r="F218" s="55">
        <v>95.875529479999997</v>
      </c>
      <c r="G218" s="47"/>
      <c r="H218" s="45">
        <f t="shared" si="5"/>
        <v>40817</v>
      </c>
      <c r="I218" s="27">
        <v>40847</v>
      </c>
      <c r="J218" t="e">
        <f t="shared" si="6"/>
        <v>#N/A</v>
      </c>
      <c r="K218" t="e">
        <f t="shared" si="6"/>
        <v>#N/A</v>
      </c>
      <c r="L218" t="e">
        <f t="shared" si="6"/>
        <v>#N/A</v>
      </c>
      <c r="M218">
        <f t="shared" si="6"/>
        <v>89.084091529999995</v>
      </c>
      <c r="N218">
        <f t="shared" si="6"/>
        <v>95.875529479999997</v>
      </c>
    </row>
    <row r="219" spans="1:14" x14ac:dyDescent="0.25">
      <c r="A219" s="45">
        <v>40848</v>
      </c>
      <c r="B219" s="46"/>
      <c r="C219" s="46"/>
      <c r="D219" s="46"/>
      <c r="E219" s="55">
        <v>101.79783904</v>
      </c>
      <c r="F219" s="55">
        <v>96.565157249999999</v>
      </c>
      <c r="G219" s="47"/>
      <c r="H219" s="45">
        <f t="shared" si="5"/>
        <v>40848</v>
      </c>
      <c r="I219" s="27">
        <v>40877</v>
      </c>
      <c r="J219" t="e">
        <f t="shared" si="6"/>
        <v>#N/A</v>
      </c>
      <c r="K219" t="e">
        <f t="shared" si="6"/>
        <v>#N/A</v>
      </c>
      <c r="L219" t="e">
        <f t="shared" si="6"/>
        <v>#N/A</v>
      </c>
      <c r="M219">
        <f t="shared" si="6"/>
        <v>101.79783904</v>
      </c>
      <c r="N219">
        <f t="shared" si="6"/>
        <v>96.565157249999999</v>
      </c>
    </row>
    <row r="220" spans="1:14" x14ac:dyDescent="0.25">
      <c r="A220" s="45">
        <v>40878</v>
      </c>
      <c r="B220" s="46">
        <v>110.1</v>
      </c>
      <c r="C220" s="48">
        <v>118.8</v>
      </c>
      <c r="D220" s="48">
        <v>35.200000000000003</v>
      </c>
      <c r="E220" s="55">
        <v>98.011387080000006</v>
      </c>
      <c r="F220" s="55">
        <v>97.525768529999993</v>
      </c>
      <c r="G220" s="47"/>
      <c r="H220" s="45">
        <f t="shared" ref="H220:H283" si="7">A220</f>
        <v>40878</v>
      </c>
      <c r="I220" s="27">
        <v>40908</v>
      </c>
      <c r="J220">
        <f t="shared" si="6"/>
        <v>110.1</v>
      </c>
      <c r="K220">
        <f t="shared" si="6"/>
        <v>118.8</v>
      </c>
      <c r="L220">
        <f t="shared" si="6"/>
        <v>35.200000000000003</v>
      </c>
      <c r="M220">
        <f t="shared" si="6"/>
        <v>98.011387080000006</v>
      </c>
      <c r="N220">
        <f t="shared" si="6"/>
        <v>97.525768529999993</v>
      </c>
    </row>
    <row r="221" spans="1:14" x14ac:dyDescent="0.25">
      <c r="A221" s="45">
        <v>40909</v>
      </c>
      <c r="B221" s="46"/>
      <c r="C221" s="46"/>
      <c r="D221" s="46"/>
      <c r="E221" s="55">
        <v>97.620267049999995</v>
      </c>
      <c r="F221" s="55">
        <v>98.554194039999999</v>
      </c>
      <c r="G221" s="47"/>
      <c r="H221" s="45">
        <f t="shared" si="7"/>
        <v>40909</v>
      </c>
      <c r="I221" s="27">
        <v>40939</v>
      </c>
      <c r="J221" t="e">
        <f t="shared" si="6"/>
        <v>#N/A</v>
      </c>
      <c r="K221" t="e">
        <f t="shared" si="6"/>
        <v>#N/A</v>
      </c>
      <c r="L221" t="e">
        <f t="shared" si="6"/>
        <v>#N/A</v>
      </c>
      <c r="M221">
        <f t="shared" si="6"/>
        <v>97.620267049999995</v>
      </c>
      <c r="N221">
        <f t="shared" si="6"/>
        <v>98.554194039999999</v>
      </c>
    </row>
    <row r="222" spans="1:14" x14ac:dyDescent="0.25">
      <c r="A222" s="45">
        <v>40940</v>
      </c>
      <c r="B222" s="46"/>
      <c r="C222" s="46"/>
      <c r="D222" s="46"/>
      <c r="E222" s="55">
        <v>101.60100919</v>
      </c>
      <c r="F222" s="55">
        <v>99.481951539999997</v>
      </c>
      <c r="G222" s="47"/>
      <c r="H222" s="45">
        <f t="shared" si="7"/>
        <v>40940</v>
      </c>
      <c r="I222" s="27">
        <v>40968</v>
      </c>
      <c r="J222" t="e">
        <f t="shared" si="6"/>
        <v>#N/A</v>
      </c>
      <c r="K222" t="e">
        <f t="shared" si="6"/>
        <v>#N/A</v>
      </c>
      <c r="L222" t="e">
        <f t="shared" si="6"/>
        <v>#N/A</v>
      </c>
      <c r="M222">
        <f t="shared" si="6"/>
        <v>101.60100919</v>
      </c>
      <c r="N222">
        <f t="shared" si="6"/>
        <v>99.481951539999997</v>
      </c>
    </row>
    <row r="223" spans="1:14" x14ac:dyDescent="0.25">
      <c r="A223" s="45">
        <v>40969</v>
      </c>
      <c r="B223" s="46">
        <v>114.9</v>
      </c>
      <c r="C223" s="48">
        <v>117.2</v>
      </c>
      <c r="D223" s="48">
        <v>33.6</v>
      </c>
      <c r="E223" s="55">
        <v>99.749483990000002</v>
      </c>
      <c r="F223" s="55">
        <v>100.07384971</v>
      </c>
      <c r="G223" s="47"/>
      <c r="H223" s="45">
        <f t="shared" si="7"/>
        <v>40969</v>
      </c>
      <c r="I223" s="27">
        <v>40999</v>
      </c>
      <c r="J223">
        <f t="shared" si="6"/>
        <v>114.9</v>
      </c>
      <c r="K223">
        <f t="shared" si="6"/>
        <v>117.2</v>
      </c>
      <c r="L223">
        <f t="shared" si="6"/>
        <v>33.6</v>
      </c>
      <c r="M223">
        <f t="shared" si="6"/>
        <v>99.749483990000002</v>
      </c>
      <c r="N223">
        <f t="shared" si="6"/>
        <v>100.07384971</v>
      </c>
    </row>
    <row r="224" spans="1:14" x14ac:dyDescent="0.25">
      <c r="A224" s="45">
        <v>41000</v>
      </c>
      <c r="B224" s="46"/>
      <c r="C224" s="46"/>
      <c r="D224" s="46"/>
      <c r="E224" s="55">
        <v>103.33566782</v>
      </c>
      <c r="F224" s="55">
        <v>100.2460585</v>
      </c>
      <c r="G224" s="47"/>
      <c r="H224" s="45">
        <f t="shared" si="7"/>
        <v>41000</v>
      </c>
      <c r="I224" s="27">
        <v>41029</v>
      </c>
      <c r="J224" t="e">
        <f t="shared" si="6"/>
        <v>#N/A</v>
      </c>
      <c r="K224" t="e">
        <f t="shared" si="6"/>
        <v>#N/A</v>
      </c>
      <c r="L224" t="e">
        <f t="shared" si="6"/>
        <v>#N/A</v>
      </c>
      <c r="M224">
        <f t="shared" si="6"/>
        <v>103.33566782</v>
      </c>
      <c r="N224">
        <f t="shared" si="6"/>
        <v>100.2460585</v>
      </c>
    </row>
    <row r="225" spans="1:14" x14ac:dyDescent="0.25">
      <c r="A225" s="45">
        <v>41030</v>
      </c>
      <c r="B225" s="46"/>
      <c r="C225" s="46"/>
      <c r="D225" s="46"/>
      <c r="E225" s="55">
        <v>101.07249498</v>
      </c>
      <c r="F225" s="55">
        <v>99.891578879999997</v>
      </c>
      <c r="G225" s="47"/>
      <c r="H225" s="45">
        <f t="shared" si="7"/>
        <v>41030</v>
      </c>
      <c r="I225" s="27">
        <v>41060</v>
      </c>
      <c r="J225" t="e">
        <f t="shared" si="6"/>
        <v>#N/A</v>
      </c>
      <c r="K225" t="e">
        <f t="shared" si="6"/>
        <v>#N/A</v>
      </c>
      <c r="L225" t="e">
        <f t="shared" si="6"/>
        <v>#N/A</v>
      </c>
      <c r="M225">
        <f t="shared" si="6"/>
        <v>101.07249498</v>
      </c>
      <c r="N225">
        <f t="shared" si="6"/>
        <v>99.891578879999997</v>
      </c>
    </row>
    <row r="226" spans="1:14" x14ac:dyDescent="0.25">
      <c r="A226" s="45">
        <v>41061</v>
      </c>
      <c r="B226" s="46">
        <v>107.4</v>
      </c>
      <c r="C226" s="48">
        <v>116.8</v>
      </c>
      <c r="D226" s="48">
        <v>34.9</v>
      </c>
      <c r="E226" s="55">
        <v>102.82052557999999</v>
      </c>
      <c r="F226" s="55">
        <v>99.124098180000004</v>
      </c>
      <c r="G226" s="47"/>
      <c r="H226" s="45">
        <f t="shared" si="7"/>
        <v>41061</v>
      </c>
      <c r="I226" s="27">
        <v>41090</v>
      </c>
      <c r="J226">
        <f t="shared" si="6"/>
        <v>107.4</v>
      </c>
      <c r="K226">
        <f t="shared" si="6"/>
        <v>116.8</v>
      </c>
      <c r="L226">
        <f t="shared" si="6"/>
        <v>34.9</v>
      </c>
      <c r="M226">
        <f t="shared" si="6"/>
        <v>102.82052557999999</v>
      </c>
      <c r="N226">
        <f t="shared" si="6"/>
        <v>99.124098180000004</v>
      </c>
    </row>
    <row r="227" spans="1:14" x14ac:dyDescent="0.25">
      <c r="A227" s="45">
        <v>41091</v>
      </c>
      <c r="B227" s="46"/>
      <c r="C227" s="46"/>
      <c r="D227" s="46"/>
      <c r="E227" s="55">
        <v>96.055085910000003</v>
      </c>
      <c r="F227" s="55">
        <v>98.141654900000006</v>
      </c>
      <c r="G227" s="47"/>
      <c r="H227" s="45">
        <f t="shared" si="7"/>
        <v>41091</v>
      </c>
      <c r="I227" s="27">
        <v>41121</v>
      </c>
      <c r="J227" t="e">
        <f t="shared" si="6"/>
        <v>#N/A</v>
      </c>
      <c r="K227" t="e">
        <f t="shared" si="6"/>
        <v>#N/A</v>
      </c>
      <c r="L227" t="e">
        <f t="shared" si="6"/>
        <v>#N/A</v>
      </c>
      <c r="M227">
        <f t="shared" si="6"/>
        <v>96.055085910000003</v>
      </c>
      <c r="N227">
        <f t="shared" si="6"/>
        <v>98.141654900000006</v>
      </c>
    </row>
    <row r="228" spans="1:14" x14ac:dyDescent="0.25">
      <c r="A228" s="45">
        <v>41122</v>
      </c>
      <c r="B228" s="46"/>
      <c r="C228" s="46"/>
      <c r="D228" s="46"/>
      <c r="E228" s="55">
        <v>91.655795049999995</v>
      </c>
      <c r="F228" s="55">
        <v>97.406318080000005</v>
      </c>
      <c r="G228" s="47"/>
      <c r="H228" s="45">
        <f t="shared" si="7"/>
        <v>41122</v>
      </c>
      <c r="I228" s="27">
        <v>41152</v>
      </c>
      <c r="J228" t="e">
        <f t="shared" si="6"/>
        <v>#N/A</v>
      </c>
      <c r="K228" t="e">
        <f t="shared" si="6"/>
        <v>#N/A</v>
      </c>
      <c r="L228" t="e">
        <f t="shared" si="6"/>
        <v>#N/A</v>
      </c>
      <c r="M228">
        <f t="shared" si="6"/>
        <v>91.655795049999995</v>
      </c>
      <c r="N228">
        <f t="shared" si="6"/>
        <v>97.406318080000005</v>
      </c>
    </row>
    <row r="229" spans="1:14" x14ac:dyDescent="0.25">
      <c r="A229" s="45">
        <v>41153</v>
      </c>
      <c r="B229" s="46">
        <v>103.8</v>
      </c>
      <c r="C229" s="48">
        <v>114</v>
      </c>
      <c r="D229" s="48">
        <v>30.6</v>
      </c>
      <c r="E229" s="55">
        <v>95.836619020000001</v>
      </c>
      <c r="F229" s="55">
        <v>97.23111609</v>
      </c>
      <c r="G229" s="47"/>
      <c r="H229" s="45">
        <f t="shared" si="7"/>
        <v>41153</v>
      </c>
      <c r="I229" s="27">
        <v>41182</v>
      </c>
      <c r="J229">
        <f t="shared" si="6"/>
        <v>103.8</v>
      </c>
      <c r="K229">
        <f t="shared" si="6"/>
        <v>114</v>
      </c>
      <c r="L229">
        <f t="shared" si="6"/>
        <v>30.6</v>
      </c>
      <c r="M229">
        <f t="shared" si="6"/>
        <v>95.836619020000001</v>
      </c>
      <c r="N229">
        <f t="shared" si="6"/>
        <v>97.23111609</v>
      </c>
    </row>
    <row r="230" spans="1:14" x14ac:dyDescent="0.25">
      <c r="A230" s="45">
        <v>41183</v>
      </c>
      <c r="B230" s="46"/>
      <c r="C230" s="46"/>
      <c r="D230" s="46"/>
      <c r="E230" s="55">
        <v>96.699693719999999</v>
      </c>
      <c r="F230" s="55">
        <v>97.518325660000002</v>
      </c>
      <c r="G230" s="47"/>
      <c r="H230" s="45">
        <f t="shared" si="7"/>
        <v>41183</v>
      </c>
      <c r="I230" s="27">
        <v>41213</v>
      </c>
      <c r="J230" t="e">
        <f t="shared" si="6"/>
        <v>#N/A</v>
      </c>
      <c r="K230" t="e">
        <f t="shared" si="6"/>
        <v>#N/A</v>
      </c>
      <c r="L230" t="e">
        <f t="shared" si="6"/>
        <v>#N/A</v>
      </c>
      <c r="M230">
        <f t="shared" si="6"/>
        <v>96.699693719999999</v>
      </c>
      <c r="N230">
        <f t="shared" si="6"/>
        <v>97.518325660000002</v>
      </c>
    </row>
    <row r="231" spans="1:14" x14ac:dyDescent="0.25">
      <c r="A231" s="45">
        <v>41214</v>
      </c>
      <c r="B231" s="46"/>
      <c r="C231" s="46"/>
      <c r="D231" s="46"/>
      <c r="E231" s="55">
        <v>98.146228960000002</v>
      </c>
      <c r="F231" s="55">
        <v>98.070616599999994</v>
      </c>
      <c r="G231" s="47"/>
      <c r="H231" s="45">
        <f t="shared" si="7"/>
        <v>41214</v>
      </c>
      <c r="I231" s="27">
        <v>41243</v>
      </c>
      <c r="J231" t="e">
        <f t="shared" ref="J231:N281" si="8">IF(ISNUMBER(VLOOKUP($H231,$A$27:$F$369,J$25,FALSE)),VLOOKUP($H231,$A$27:$F$369,J$25,FALSE),NA())</f>
        <v>#N/A</v>
      </c>
      <c r="K231" t="e">
        <f t="shared" si="8"/>
        <v>#N/A</v>
      </c>
      <c r="L231" t="e">
        <f t="shared" si="8"/>
        <v>#N/A</v>
      </c>
      <c r="M231">
        <f t="shared" si="8"/>
        <v>98.146228960000002</v>
      </c>
      <c r="N231">
        <f t="shared" si="8"/>
        <v>98.070616599999994</v>
      </c>
    </row>
    <row r="232" spans="1:14" x14ac:dyDescent="0.25">
      <c r="A232" s="45">
        <v>41244</v>
      </c>
      <c r="B232" s="46">
        <v>104.5</v>
      </c>
      <c r="C232" s="48">
        <v>115.7</v>
      </c>
      <c r="D232" s="48">
        <v>32.200000000000003</v>
      </c>
      <c r="E232" s="55">
        <v>100.59964696999999</v>
      </c>
      <c r="F232" s="55">
        <v>98.632185010000001</v>
      </c>
      <c r="G232" s="47"/>
      <c r="H232" s="45">
        <f t="shared" si="7"/>
        <v>41244</v>
      </c>
      <c r="I232" s="27">
        <v>41274</v>
      </c>
      <c r="J232">
        <f t="shared" si="8"/>
        <v>104.5</v>
      </c>
      <c r="K232">
        <f t="shared" si="8"/>
        <v>115.7</v>
      </c>
      <c r="L232">
        <f t="shared" si="8"/>
        <v>32.200000000000003</v>
      </c>
      <c r="M232">
        <f t="shared" si="8"/>
        <v>100.59964696999999</v>
      </c>
      <c r="N232">
        <f t="shared" si="8"/>
        <v>98.632185010000001</v>
      </c>
    </row>
    <row r="233" spans="1:14" x14ac:dyDescent="0.25">
      <c r="A233" s="45">
        <v>41275</v>
      </c>
      <c r="B233" s="46"/>
      <c r="C233" s="46"/>
      <c r="D233" s="46"/>
      <c r="E233" s="55">
        <v>103.54343823000001</v>
      </c>
      <c r="F233" s="55">
        <v>98.952627849999999</v>
      </c>
      <c r="G233" s="47"/>
      <c r="H233" s="45">
        <f t="shared" si="7"/>
        <v>41275</v>
      </c>
      <c r="I233" s="27">
        <v>41305</v>
      </c>
      <c r="J233" t="e">
        <f t="shared" si="8"/>
        <v>#N/A</v>
      </c>
      <c r="K233" t="e">
        <f t="shared" si="8"/>
        <v>#N/A</v>
      </c>
      <c r="L233" t="e">
        <f t="shared" si="8"/>
        <v>#N/A</v>
      </c>
      <c r="M233">
        <f t="shared" si="8"/>
        <v>103.54343823000001</v>
      </c>
      <c r="N233">
        <f t="shared" si="8"/>
        <v>98.952627849999999</v>
      </c>
    </row>
    <row r="234" spans="1:14" x14ac:dyDescent="0.25">
      <c r="A234" s="45">
        <v>41306</v>
      </c>
      <c r="B234" s="46"/>
      <c r="C234" s="46"/>
      <c r="D234" s="46"/>
      <c r="E234" s="55">
        <v>96.663266179999994</v>
      </c>
      <c r="F234" s="55">
        <v>98.922075100000001</v>
      </c>
      <c r="G234" s="47"/>
      <c r="H234" s="45">
        <f t="shared" si="7"/>
        <v>41306</v>
      </c>
      <c r="I234" s="27">
        <v>41333</v>
      </c>
      <c r="J234" t="e">
        <f t="shared" si="8"/>
        <v>#N/A</v>
      </c>
      <c r="K234" t="e">
        <f t="shared" si="8"/>
        <v>#N/A</v>
      </c>
      <c r="L234" t="e">
        <f t="shared" si="8"/>
        <v>#N/A</v>
      </c>
      <c r="M234">
        <f t="shared" si="8"/>
        <v>96.663266179999994</v>
      </c>
      <c r="N234">
        <f t="shared" si="8"/>
        <v>98.922075100000001</v>
      </c>
    </row>
    <row r="235" spans="1:14" x14ac:dyDescent="0.25">
      <c r="A235" s="45">
        <v>41334</v>
      </c>
      <c r="B235" s="46">
        <v>105.6</v>
      </c>
      <c r="C235" s="48">
        <v>115.6</v>
      </c>
      <c r="D235" s="48">
        <v>37.5</v>
      </c>
      <c r="E235" s="55">
        <v>99.931979929999997</v>
      </c>
      <c r="F235" s="55">
        <v>98.758571770000003</v>
      </c>
      <c r="G235" s="47"/>
      <c r="H235" s="45">
        <f t="shared" si="7"/>
        <v>41334</v>
      </c>
      <c r="I235" s="27">
        <v>41364</v>
      </c>
      <c r="J235">
        <f t="shared" si="8"/>
        <v>105.6</v>
      </c>
      <c r="K235">
        <f t="shared" si="8"/>
        <v>115.6</v>
      </c>
      <c r="L235">
        <f t="shared" si="8"/>
        <v>37.5</v>
      </c>
      <c r="M235">
        <f t="shared" si="8"/>
        <v>99.931979929999997</v>
      </c>
      <c r="N235">
        <f t="shared" si="8"/>
        <v>98.758571770000003</v>
      </c>
    </row>
    <row r="236" spans="1:14" x14ac:dyDescent="0.25">
      <c r="A236" s="45">
        <v>41365</v>
      </c>
      <c r="B236" s="46"/>
      <c r="C236" s="46"/>
      <c r="D236" s="46"/>
      <c r="E236" s="55">
        <v>96.86461319</v>
      </c>
      <c r="F236" s="55">
        <v>98.518819350000001</v>
      </c>
      <c r="G236" s="47"/>
      <c r="H236" s="45">
        <f t="shared" si="7"/>
        <v>41365</v>
      </c>
      <c r="I236" s="27">
        <v>41394</v>
      </c>
      <c r="J236" t="e">
        <f t="shared" si="8"/>
        <v>#N/A</v>
      </c>
      <c r="K236" t="e">
        <f t="shared" si="8"/>
        <v>#N/A</v>
      </c>
      <c r="L236" t="e">
        <f t="shared" si="8"/>
        <v>#N/A</v>
      </c>
      <c r="M236">
        <f t="shared" si="8"/>
        <v>96.86461319</v>
      </c>
      <c r="N236">
        <f t="shared" si="8"/>
        <v>98.518819350000001</v>
      </c>
    </row>
    <row r="237" spans="1:14" x14ac:dyDescent="0.25">
      <c r="A237" s="45">
        <v>41395</v>
      </c>
      <c r="B237" s="46"/>
      <c r="C237" s="46"/>
      <c r="D237" s="46"/>
      <c r="E237" s="55">
        <v>101.00677871000001</v>
      </c>
      <c r="F237" s="55">
        <v>98.343334220000003</v>
      </c>
      <c r="G237" s="47"/>
      <c r="H237" s="45">
        <f t="shared" si="7"/>
        <v>41395</v>
      </c>
      <c r="I237" s="27">
        <v>41425</v>
      </c>
      <c r="J237" t="e">
        <f t="shared" si="8"/>
        <v>#N/A</v>
      </c>
      <c r="K237" t="e">
        <f t="shared" si="8"/>
        <v>#N/A</v>
      </c>
      <c r="L237" t="e">
        <f t="shared" si="8"/>
        <v>#N/A</v>
      </c>
      <c r="M237">
        <f t="shared" si="8"/>
        <v>101.00677871000001</v>
      </c>
      <c r="N237">
        <f t="shared" si="8"/>
        <v>98.343334220000003</v>
      </c>
    </row>
    <row r="238" spans="1:14" x14ac:dyDescent="0.25">
      <c r="A238" s="45">
        <v>41426</v>
      </c>
      <c r="B238" s="46">
        <v>101.2</v>
      </c>
      <c r="C238" s="48">
        <v>111.6</v>
      </c>
      <c r="D238" s="48">
        <v>29.6</v>
      </c>
      <c r="E238" s="55">
        <v>94.374102579999999</v>
      </c>
      <c r="F238" s="55">
        <v>98.254475170000006</v>
      </c>
      <c r="G238" s="47"/>
      <c r="H238" s="45">
        <f t="shared" si="7"/>
        <v>41426</v>
      </c>
      <c r="I238" s="27">
        <v>41455</v>
      </c>
      <c r="J238">
        <f t="shared" si="8"/>
        <v>101.2</v>
      </c>
      <c r="K238">
        <f t="shared" si="8"/>
        <v>111.6</v>
      </c>
      <c r="L238">
        <f t="shared" si="8"/>
        <v>29.6</v>
      </c>
      <c r="M238">
        <f t="shared" si="8"/>
        <v>94.374102579999999</v>
      </c>
      <c r="N238">
        <f t="shared" si="8"/>
        <v>98.254475170000006</v>
      </c>
    </row>
    <row r="239" spans="1:14" x14ac:dyDescent="0.25">
      <c r="A239" s="45">
        <v>41456</v>
      </c>
      <c r="B239" s="46"/>
      <c r="C239" s="46"/>
      <c r="D239" s="46"/>
      <c r="E239" s="55">
        <v>97.893917470000005</v>
      </c>
      <c r="F239" s="55">
        <v>98.464847019999993</v>
      </c>
      <c r="G239" s="47"/>
      <c r="H239" s="45">
        <f t="shared" si="7"/>
        <v>41456</v>
      </c>
      <c r="I239" s="27">
        <v>41486</v>
      </c>
      <c r="J239" t="e">
        <f t="shared" si="8"/>
        <v>#N/A</v>
      </c>
      <c r="K239" t="e">
        <f t="shared" si="8"/>
        <v>#N/A</v>
      </c>
      <c r="L239" t="e">
        <f t="shared" si="8"/>
        <v>#N/A</v>
      </c>
      <c r="M239">
        <f t="shared" si="8"/>
        <v>97.893917470000005</v>
      </c>
      <c r="N239">
        <f t="shared" si="8"/>
        <v>98.464847019999993</v>
      </c>
    </row>
    <row r="240" spans="1:14" x14ac:dyDescent="0.25">
      <c r="A240" s="45">
        <v>41487</v>
      </c>
      <c r="B240" s="46"/>
      <c r="C240" s="46"/>
      <c r="D240" s="46"/>
      <c r="E240" s="55">
        <v>97.363242189999994</v>
      </c>
      <c r="F240" s="55">
        <v>98.90988514</v>
      </c>
      <c r="G240" s="47"/>
      <c r="H240" s="45">
        <f t="shared" si="7"/>
        <v>41487</v>
      </c>
      <c r="I240" s="27">
        <v>41517</v>
      </c>
      <c r="J240" t="e">
        <f t="shared" si="8"/>
        <v>#N/A</v>
      </c>
      <c r="K240" t="e">
        <f t="shared" si="8"/>
        <v>#N/A</v>
      </c>
      <c r="L240" t="e">
        <f t="shared" si="8"/>
        <v>#N/A</v>
      </c>
      <c r="M240">
        <f t="shared" si="8"/>
        <v>97.363242189999994</v>
      </c>
      <c r="N240">
        <f t="shared" si="8"/>
        <v>98.90988514</v>
      </c>
    </row>
    <row r="241" spans="1:14" x14ac:dyDescent="0.25">
      <c r="A241" s="45">
        <v>41518</v>
      </c>
      <c r="B241" s="46">
        <v>97.3</v>
      </c>
      <c r="C241" s="48">
        <v>112.7</v>
      </c>
      <c r="D241" s="48">
        <v>30</v>
      </c>
      <c r="E241" s="55">
        <v>103.17573113</v>
      </c>
      <c r="F241" s="55">
        <v>99.484244200000006</v>
      </c>
      <c r="G241" s="47"/>
      <c r="H241" s="45">
        <f t="shared" si="7"/>
        <v>41518</v>
      </c>
      <c r="I241" s="27">
        <v>41547</v>
      </c>
      <c r="J241">
        <f t="shared" si="8"/>
        <v>97.3</v>
      </c>
      <c r="K241">
        <f t="shared" si="8"/>
        <v>112.7</v>
      </c>
      <c r="L241">
        <f t="shared" si="8"/>
        <v>30</v>
      </c>
      <c r="M241">
        <f t="shared" si="8"/>
        <v>103.17573113</v>
      </c>
      <c r="N241">
        <f t="shared" si="8"/>
        <v>99.484244200000006</v>
      </c>
    </row>
    <row r="242" spans="1:14" x14ac:dyDescent="0.25">
      <c r="A242" s="45">
        <v>41548</v>
      </c>
      <c r="B242" s="46"/>
      <c r="C242" s="46"/>
      <c r="D242" s="46"/>
      <c r="E242" s="55">
        <v>97.803347639999998</v>
      </c>
      <c r="F242" s="55">
        <v>99.972104369999997</v>
      </c>
      <c r="G242" s="47"/>
      <c r="H242" s="45">
        <f t="shared" si="7"/>
        <v>41548</v>
      </c>
      <c r="I242" s="27">
        <v>41578</v>
      </c>
      <c r="J242" t="e">
        <f t="shared" si="8"/>
        <v>#N/A</v>
      </c>
      <c r="K242" t="e">
        <f t="shared" si="8"/>
        <v>#N/A</v>
      </c>
      <c r="L242" t="e">
        <f t="shared" si="8"/>
        <v>#N/A</v>
      </c>
      <c r="M242">
        <f t="shared" si="8"/>
        <v>97.803347639999998</v>
      </c>
      <c r="N242">
        <f t="shared" si="8"/>
        <v>99.972104369999997</v>
      </c>
    </row>
    <row r="243" spans="1:14" x14ac:dyDescent="0.25">
      <c r="A243" s="45">
        <v>41579</v>
      </c>
      <c r="B243" s="46"/>
      <c r="C243" s="46"/>
      <c r="D243" s="46"/>
      <c r="E243" s="55">
        <v>102.69622424000001</v>
      </c>
      <c r="F243" s="55">
        <v>100.42132347</v>
      </c>
      <c r="G243" s="47"/>
      <c r="H243" s="45">
        <f t="shared" si="7"/>
        <v>41579</v>
      </c>
      <c r="I243" s="27">
        <v>41608</v>
      </c>
      <c r="J243" t="e">
        <f t="shared" si="8"/>
        <v>#N/A</v>
      </c>
      <c r="K243" t="e">
        <f t="shared" si="8"/>
        <v>#N/A</v>
      </c>
      <c r="L243" t="e">
        <f t="shared" si="8"/>
        <v>#N/A</v>
      </c>
      <c r="M243">
        <f t="shared" si="8"/>
        <v>102.69622424000001</v>
      </c>
      <c r="N243">
        <f t="shared" si="8"/>
        <v>100.42132347</v>
      </c>
    </row>
    <row r="244" spans="1:14" x14ac:dyDescent="0.25">
      <c r="A244" s="45">
        <v>41609</v>
      </c>
      <c r="B244" s="46">
        <v>98.8</v>
      </c>
      <c r="C244" s="48">
        <v>109.9</v>
      </c>
      <c r="D244" s="48">
        <v>25.7</v>
      </c>
      <c r="E244" s="55">
        <v>103.16382304</v>
      </c>
      <c r="F244" s="55">
        <v>100.72484813</v>
      </c>
      <c r="G244" s="47"/>
      <c r="H244" s="45">
        <f t="shared" si="7"/>
        <v>41609</v>
      </c>
      <c r="I244" s="27">
        <v>41639</v>
      </c>
      <c r="J244">
        <f t="shared" si="8"/>
        <v>98.8</v>
      </c>
      <c r="K244">
        <f t="shared" si="8"/>
        <v>109.9</v>
      </c>
      <c r="L244">
        <f t="shared" si="8"/>
        <v>25.7</v>
      </c>
      <c r="M244">
        <f t="shared" si="8"/>
        <v>103.16382304</v>
      </c>
      <c r="N244">
        <f t="shared" si="8"/>
        <v>100.72484813</v>
      </c>
    </row>
    <row r="245" spans="1:14" x14ac:dyDescent="0.25">
      <c r="A245" s="45">
        <v>41640</v>
      </c>
      <c r="B245" s="46"/>
      <c r="C245" s="46"/>
      <c r="D245" s="46"/>
      <c r="E245" s="55">
        <v>101.36556041999999</v>
      </c>
      <c r="F245" s="55">
        <v>100.93811786000001</v>
      </c>
      <c r="G245" s="47"/>
      <c r="H245" s="45">
        <f t="shared" si="7"/>
        <v>41640</v>
      </c>
      <c r="I245" s="27">
        <v>41670</v>
      </c>
      <c r="J245" t="e">
        <f t="shared" si="8"/>
        <v>#N/A</v>
      </c>
      <c r="K245" t="e">
        <f t="shared" si="8"/>
        <v>#N/A</v>
      </c>
      <c r="L245" t="e">
        <f t="shared" si="8"/>
        <v>#N/A</v>
      </c>
      <c r="M245">
        <f t="shared" si="8"/>
        <v>101.36556041999999</v>
      </c>
      <c r="N245">
        <f t="shared" si="8"/>
        <v>100.93811786000001</v>
      </c>
    </row>
    <row r="246" spans="1:14" x14ac:dyDescent="0.25">
      <c r="A246" s="45">
        <v>41671</v>
      </c>
      <c r="B246" s="46"/>
      <c r="C246" s="46"/>
      <c r="D246" s="46"/>
      <c r="E246" s="55">
        <v>98.153845880000006</v>
      </c>
      <c r="F246" s="55">
        <v>101.29078471</v>
      </c>
      <c r="G246" s="47"/>
      <c r="H246" s="45">
        <f t="shared" si="7"/>
        <v>41671</v>
      </c>
      <c r="I246" s="27">
        <v>41698</v>
      </c>
      <c r="J246" t="e">
        <f t="shared" si="8"/>
        <v>#N/A</v>
      </c>
      <c r="K246" t="e">
        <f t="shared" si="8"/>
        <v>#N/A</v>
      </c>
      <c r="L246" t="e">
        <f t="shared" si="8"/>
        <v>#N/A</v>
      </c>
      <c r="M246">
        <f t="shared" si="8"/>
        <v>98.153845880000006</v>
      </c>
      <c r="N246">
        <f t="shared" si="8"/>
        <v>101.29078471</v>
      </c>
    </row>
    <row r="247" spans="1:14" x14ac:dyDescent="0.25">
      <c r="A247" s="45">
        <v>41699</v>
      </c>
      <c r="B247" s="46">
        <v>104.3</v>
      </c>
      <c r="C247" s="48">
        <v>112.7</v>
      </c>
      <c r="D247" s="48">
        <v>31.5</v>
      </c>
      <c r="E247" s="55">
        <v>98.130340849999996</v>
      </c>
      <c r="F247" s="55">
        <v>102.04303231</v>
      </c>
      <c r="G247" s="47"/>
      <c r="H247" s="45">
        <f t="shared" si="7"/>
        <v>41699</v>
      </c>
      <c r="I247" s="27">
        <v>41729</v>
      </c>
      <c r="J247">
        <f t="shared" si="8"/>
        <v>104.3</v>
      </c>
      <c r="K247">
        <f t="shared" si="8"/>
        <v>112.7</v>
      </c>
      <c r="L247">
        <f t="shared" si="8"/>
        <v>31.5</v>
      </c>
      <c r="M247">
        <f t="shared" si="8"/>
        <v>98.130340849999996</v>
      </c>
      <c r="N247">
        <f t="shared" si="8"/>
        <v>102.04303231</v>
      </c>
    </row>
    <row r="248" spans="1:14" x14ac:dyDescent="0.25">
      <c r="A248" s="45">
        <v>41730</v>
      </c>
      <c r="B248" s="46"/>
      <c r="C248" s="46"/>
      <c r="D248" s="46"/>
      <c r="E248" s="55">
        <v>101.57739547</v>
      </c>
      <c r="F248" s="55">
        <v>103.23097722999999</v>
      </c>
      <c r="G248" s="47"/>
      <c r="H248" s="45">
        <f t="shared" si="7"/>
        <v>41730</v>
      </c>
      <c r="I248" s="27">
        <v>41759</v>
      </c>
      <c r="J248" t="e">
        <f t="shared" si="8"/>
        <v>#N/A</v>
      </c>
      <c r="K248" t="e">
        <f t="shared" si="8"/>
        <v>#N/A</v>
      </c>
      <c r="L248" t="e">
        <f t="shared" si="8"/>
        <v>#N/A</v>
      </c>
      <c r="M248">
        <f t="shared" si="8"/>
        <v>101.57739547</v>
      </c>
      <c r="N248">
        <f t="shared" si="8"/>
        <v>103.23097722999999</v>
      </c>
    </row>
    <row r="249" spans="1:14" x14ac:dyDescent="0.25">
      <c r="A249" s="45">
        <v>41760</v>
      </c>
      <c r="B249" s="46"/>
      <c r="C249" s="46"/>
      <c r="D249" s="46"/>
      <c r="E249" s="55">
        <v>104.34903192</v>
      </c>
      <c r="F249" s="55">
        <v>104.61125809000001</v>
      </c>
      <c r="G249" s="47"/>
      <c r="H249" s="45">
        <f t="shared" si="7"/>
        <v>41760</v>
      </c>
      <c r="I249" s="27">
        <v>41790</v>
      </c>
      <c r="J249" t="e">
        <f t="shared" si="8"/>
        <v>#N/A</v>
      </c>
      <c r="K249" t="e">
        <f t="shared" si="8"/>
        <v>#N/A</v>
      </c>
      <c r="L249" t="e">
        <f t="shared" si="8"/>
        <v>#N/A</v>
      </c>
      <c r="M249">
        <f t="shared" si="8"/>
        <v>104.34903192</v>
      </c>
      <c r="N249">
        <f t="shared" si="8"/>
        <v>104.61125809000001</v>
      </c>
    </row>
    <row r="250" spans="1:14" x14ac:dyDescent="0.25">
      <c r="A250" s="45">
        <v>41791</v>
      </c>
      <c r="B250" s="46">
        <v>105.2</v>
      </c>
      <c r="C250" s="48">
        <v>111.1</v>
      </c>
      <c r="D250" s="48">
        <v>27.4</v>
      </c>
      <c r="E250" s="55">
        <v>107.85987797999999</v>
      </c>
      <c r="F250" s="55">
        <v>105.82240054</v>
      </c>
      <c r="G250" s="47"/>
      <c r="H250" s="45">
        <f t="shared" si="7"/>
        <v>41791</v>
      </c>
      <c r="I250" s="27">
        <v>41820</v>
      </c>
      <c r="J250">
        <f t="shared" si="8"/>
        <v>105.2</v>
      </c>
      <c r="K250">
        <f t="shared" si="8"/>
        <v>111.1</v>
      </c>
      <c r="L250">
        <f t="shared" si="8"/>
        <v>27.4</v>
      </c>
      <c r="M250">
        <f t="shared" si="8"/>
        <v>107.85987797999999</v>
      </c>
      <c r="N250">
        <f t="shared" si="8"/>
        <v>105.82240054</v>
      </c>
    </row>
    <row r="251" spans="1:14" x14ac:dyDescent="0.25">
      <c r="A251" s="45">
        <v>41821</v>
      </c>
      <c r="B251" s="46"/>
      <c r="C251" s="46"/>
      <c r="D251" s="46"/>
      <c r="E251" s="55">
        <v>110.97096856</v>
      </c>
      <c r="F251" s="55">
        <v>106.48419976</v>
      </c>
      <c r="G251" s="47"/>
      <c r="H251" s="45">
        <f t="shared" si="7"/>
        <v>41821</v>
      </c>
      <c r="I251" s="27">
        <v>41851</v>
      </c>
      <c r="J251" t="e">
        <f t="shared" si="8"/>
        <v>#N/A</v>
      </c>
      <c r="K251" t="e">
        <f t="shared" si="8"/>
        <v>#N/A</v>
      </c>
      <c r="L251" t="e">
        <f t="shared" si="8"/>
        <v>#N/A</v>
      </c>
      <c r="M251">
        <f t="shared" si="8"/>
        <v>110.97096856</v>
      </c>
      <c r="N251">
        <f t="shared" si="8"/>
        <v>106.48419976</v>
      </c>
    </row>
    <row r="252" spans="1:14" x14ac:dyDescent="0.25">
      <c r="A252" s="45">
        <v>41852</v>
      </c>
      <c r="B252" s="46"/>
      <c r="C252" s="46"/>
      <c r="D252" s="46"/>
      <c r="E252" s="55">
        <v>110.75539496</v>
      </c>
      <c r="F252" s="55">
        <v>106.36198503999999</v>
      </c>
      <c r="G252" s="47"/>
      <c r="H252" s="45">
        <f t="shared" si="7"/>
        <v>41852</v>
      </c>
      <c r="I252" s="27">
        <v>41882</v>
      </c>
      <c r="J252" t="e">
        <f t="shared" si="8"/>
        <v>#N/A</v>
      </c>
      <c r="K252" t="e">
        <f t="shared" si="8"/>
        <v>#N/A</v>
      </c>
      <c r="L252" t="e">
        <f t="shared" si="8"/>
        <v>#N/A</v>
      </c>
      <c r="M252">
        <f t="shared" si="8"/>
        <v>110.75539496</v>
      </c>
      <c r="N252">
        <f t="shared" si="8"/>
        <v>106.36198503999999</v>
      </c>
    </row>
    <row r="253" spans="1:14" x14ac:dyDescent="0.25">
      <c r="A253" s="45">
        <v>41883</v>
      </c>
      <c r="B253" s="46">
        <v>106.3</v>
      </c>
      <c r="C253" s="48">
        <v>114.7</v>
      </c>
      <c r="D253" s="48">
        <v>37</v>
      </c>
      <c r="E253" s="55">
        <v>103.55214001</v>
      </c>
      <c r="F253" s="55">
        <v>105.54156918</v>
      </c>
      <c r="G253" s="47"/>
      <c r="H253" s="45">
        <f t="shared" si="7"/>
        <v>41883</v>
      </c>
      <c r="I253" s="27">
        <v>41912</v>
      </c>
      <c r="J253">
        <f t="shared" si="8"/>
        <v>106.3</v>
      </c>
      <c r="K253">
        <f t="shared" si="8"/>
        <v>114.7</v>
      </c>
      <c r="L253">
        <f t="shared" si="8"/>
        <v>37</v>
      </c>
      <c r="M253">
        <f t="shared" si="8"/>
        <v>103.55214001</v>
      </c>
      <c r="N253">
        <f t="shared" si="8"/>
        <v>105.54156918</v>
      </c>
    </row>
    <row r="254" spans="1:14" x14ac:dyDescent="0.25">
      <c r="A254" s="45">
        <v>41913</v>
      </c>
      <c r="B254" s="46"/>
      <c r="C254" s="46"/>
      <c r="D254" s="46"/>
      <c r="E254" s="55">
        <v>98.805191379999997</v>
      </c>
      <c r="F254" s="55">
        <v>104.42257995</v>
      </c>
      <c r="G254" s="47"/>
      <c r="H254" s="45">
        <f t="shared" si="7"/>
        <v>41913</v>
      </c>
      <c r="I254" s="27">
        <v>41943</v>
      </c>
      <c r="J254" t="e">
        <f t="shared" si="8"/>
        <v>#N/A</v>
      </c>
      <c r="K254" t="e">
        <f t="shared" si="8"/>
        <v>#N/A</v>
      </c>
      <c r="L254" t="e">
        <f t="shared" si="8"/>
        <v>#N/A</v>
      </c>
      <c r="M254">
        <f t="shared" si="8"/>
        <v>98.805191379999997</v>
      </c>
      <c r="N254">
        <f t="shared" si="8"/>
        <v>104.42257995</v>
      </c>
    </row>
    <row r="255" spans="1:14" x14ac:dyDescent="0.25">
      <c r="A255" s="45">
        <v>41944</v>
      </c>
      <c r="B255" s="46"/>
      <c r="C255" s="46"/>
      <c r="D255" s="46"/>
      <c r="E255" s="55">
        <v>107.17713203</v>
      </c>
      <c r="F255" s="55">
        <v>103.26254304</v>
      </c>
      <c r="G255" s="47"/>
      <c r="H255" s="45">
        <f t="shared" si="7"/>
        <v>41944</v>
      </c>
      <c r="I255" s="27">
        <v>41973</v>
      </c>
      <c r="J255" t="e">
        <f t="shared" si="8"/>
        <v>#N/A</v>
      </c>
      <c r="K255" t="e">
        <f t="shared" si="8"/>
        <v>#N/A</v>
      </c>
      <c r="L255" t="e">
        <f t="shared" si="8"/>
        <v>#N/A</v>
      </c>
      <c r="M255">
        <f t="shared" si="8"/>
        <v>107.17713203</v>
      </c>
      <c r="N255">
        <f t="shared" si="8"/>
        <v>103.26254304</v>
      </c>
    </row>
    <row r="256" spans="1:14" x14ac:dyDescent="0.25">
      <c r="A256" s="45">
        <v>41974</v>
      </c>
      <c r="B256" s="46">
        <v>104.6</v>
      </c>
      <c r="C256" s="48">
        <v>117.7</v>
      </c>
      <c r="D256" s="48">
        <v>39.700000000000003</v>
      </c>
      <c r="E256" s="55">
        <v>101.51187235</v>
      </c>
      <c r="F256" s="55">
        <v>101.9177421</v>
      </c>
      <c r="G256" s="47"/>
      <c r="H256" s="45">
        <f t="shared" si="7"/>
        <v>41974</v>
      </c>
      <c r="I256" s="27">
        <v>42004</v>
      </c>
      <c r="J256">
        <f t="shared" si="8"/>
        <v>104.6</v>
      </c>
      <c r="K256">
        <f t="shared" si="8"/>
        <v>117.7</v>
      </c>
      <c r="L256">
        <f t="shared" si="8"/>
        <v>39.700000000000003</v>
      </c>
      <c r="M256">
        <f t="shared" si="8"/>
        <v>101.51187235</v>
      </c>
      <c r="N256">
        <f t="shared" si="8"/>
        <v>101.9177421</v>
      </c>
    </row>
    <row r="257" spans="1:14" x14ac:dyDescent="0.25">
      <c r="A257" s="45">
        <v>42005</v>
      </c>
      <c r="B257" s="46"/>
      <c r="C257" s="46"/>
      <c r="D257" s="46"/>
      <c r="E257" s="55">
        <v>100.94539107999999</v>
      </c>
      <c r="F257" s="55">
        <v>100.52407429</v>
      </c>
      <c r="G257" s="47"/>
      <c r="H257" s="45">
        <f t="shared" si="7"/>
        <v>42005</v>
      </c>
      <c r="I257" s="27">
        <v>42035</v>
      </c>
      <c r="J257" t="e">
        <f t="shared" si="8"/>
        <v>#N/A</v>
      </c>
      <c r="K257" t="e">
        <f t="shared" si="8"/>
        <v>#N/A</v>
      </c>
      <c r="L257" t="e">
        <f t="shared" si="8"/>
        <v>#N/A</v>
      </c>
      <c r="M257">
        <f t="shared" si="8"/>
        <v>100.94539107999999</v>
      </c>
      <c r="N257">
        <f t="shared" si="8"/>
        <v>100.52407429</v>
      </c>
    </row>
    <row r="258" spans="1:14" x14ac:dyDescent="0.25">
      <c r="A258" s="45">
        <v>42036</v>
      </c>
      <c r="B258" s="46"/>
      <c r="C258" s="46"/>
      <c r="D258" s="46"/>
      <c r="E258" s="55">
        <v>102.67140911</v>
      </c>
      <c r="F258" s="55">
        <v>99.188446060000004</v>
      </c>
      <c r="G258" s="47"/>
      <c r="H258" s="45">
        <f t="shared" si="7"/>
        <v>42036</v>
      </c>
      <c r="I258" s="27">
        <v>42063</v>
      </c>
      <c r="J258" t="e">
        <f t="shared" si="8"/>
        <v>#N/A</v>
      </c>
      <c r="K258" t="e">
        <f t="shared" si="8"/>
        <v>#N/A</v>
      </c>
      <c r="L258" t="e">
        <f t="shared" si="8"/>
        <v>#N/A</v>
      </c>
      <c r="M258">
        <f t="shared" si="8"/>
        <v>102.67140911</v>
      </c>
      <c r="N258">
        <f t="shared" si="8"/>
        <v>99.188446060000004</v>
      </c>
    </row>
    <row r="259" spans="1:14" x14ac:dyDescent="0.25">
      <c r="A259" s="45">
        <v>42064</v>
      </c>
      <c r="B259" s="46">
        <v>106.7</v>
      </c>
      <c r="C259" s="48">
        <v>115.6</v>
      </c>
      <c r="D259" s="48">
        <v>36</v>
      </c>
      <c r="E259" s="55">
        <v>92.908144660000005</v>
      </c>
      <c r="F259" s="55">
        <v>98.047857930000006</v>
      </c>
      <c r="G259" s="47"/>
      <c r="H259" s="45">
        <f t="shared" si="7"/>
        <v>42064</v>
      </c>
      <c r="I259" s="27">
        <v>42094</v>
      </c>
      <c r="J259">
        <f t="shared" si="8"/>
        <v>106.7</v>
      </c>
      <c r="K259">
        <f t="shared" si="8"/>
        <v>115.6</v>
      </c>
      <c r="L259">
        <f t="shared" si="8"/>
        <v>36</v>
      </c>
      <c r="M259">
        <f t="shared" si="8"/>
        <v>92.908144660000005</v>
      </c>
      <c r="N259">
        <f t="shared" si="8"/>
        <v>98.047857930000006</v>
      </c>
    </row>
    <row r="260" spans="1:14" x14ac:dyDescent="0.25">
      <c r="A260" s="45">
        <v>42095</v>
      </c>
      <c r="B260" s="46"/>
      <c r="C260" s="46"/>
      <c r="D260" s="46"/>
      <c r="E260" s="55">
        <v>93.737561659999997</v>
      </c>
      <c r="F260" s="55">
        <v>97.488093480000003</v>
      </c>
      <c r="G260" s="47"/>
      <c r="H260" s="45">
        <f t="shared" si="7"/>
        <v>42095</v>
      </c>
      <c r="I260" s="27">
        <v>42124</v>
      </c>
      <c r="J260" t="e">
        <f t="shared" si="8"/>
        <v>#N/A</v>
      </c>
      <c r="K260" t="e">
        <f t="shared" si="8"/>
        <v>#N/A</v>
      </c>
      <c r="L260" t="e">
        <f t="shared" si="8"/>
        <v>#N/A</v>
      </c>
      <c r="M260">
        <f t="shared" si="8"/>
        <v>93.737561659999997</v>
      </c>
      <c r="N260">
        <f t="shared" si="8"/>
        <v>97.488093480000003</v>
      </c>
    </row>
    <row r="261" spans="1:14" x14ac:dyDescent="0.25">
      <c r="A261" s="45">
        <v>42125</v>
      </c>
      <c r="B261" s="46"/>
      <c r="C261" s="46"/>
      <c r="D261" s="46"/>
      <c r="E261" s="55">
        <v>99.139172819999999</v>
      </c>
      <c r="F261" s="55">
        <v>97.52781392</v>
      </c>
      <c r="G261" s="47"/>
      <c r="H261" s="45">
        <f t="shared" si="7"/>
        <v>42125</v>
      </c>
      <c r="I261" s="27">
        <v>42155</v>
      </c>
      <c r="J261" t="e">
        <f t="shared" si="8"/>
        <v>#N/A</v>
      </c>
      <c r="K261" t="e">
        <f t="shared" si="8"/>
        <v>#N/A</v>
      </c>
      <c r="L261" t="e">
        <f t="shared" si="8"/>
        <v>#N/A</v>
      </c>
      <c r="M261">
        <f t="shared" si="8"/>
        <v>99.139172819999999</v>
      </c>
      <c r="N261">
        <f t="shared" si="8"/>
        <v>97.52781392</v>
      </c>
    </row>
    <row r="262" spans="1:14" x14ac:dyDescent="0.25">
      <c r="A262" s="45">
        <v>42156</v>
      </c>
      <c r="B262" s="46">
        <v>104.8</v>
      </c>
      <c r="C262" s="48">
        <v>115.2</v>
      </c>
      <c r="D262" s="48">
        <v>36</v>
      </c>
      <c r="E262" s="55">
        <v>96.380104430000003</v>
      </c>
      <c r="F262" s="55">
        <v>97.917785330000001</v>
      </c>
      <c r="G262" s="47"/>
      <c r="H262" s="45">
        <f t="shared" si="7"/>
        <v>42156</v>
      </c>
      <c r="I262" s="27">
        <v>42185</v>
      </c>
      <c r="J262">
        <f t="shared" si="8"/>
        <v>104.8</v>
      </c>
      <c r="K262">
        <f t="shared" si="8"/>
        <v>115.2</v>
      </c>
      <c r="L262">
        <f t="shared" si="8"/>
        <v>36</v>
      </c>
      <c r="M262">
        <f t="shared" si="8"/>
        <v>96.380104430000003</v>
      </c>
      <c r="N262">
        <f t="shared" si="8"/>
        <v>97.917785330000001</v>
      </c>
    </row>
    <row r="263" spans="1:14" x14ac:dyDescent="0.25">
      <c r="A263" s="45">
        <v>42186</v>
      </c>
      <c r="B263" s="46"/>
      <c r="C263" s="46"/>
      <c r="D263" s="46"/>
      <c r="E263" s="55">
        <v>99.538382089999999</v>
      </c>
      <c r="F263" s="55">
        <v>98.523870869999996</v>
      </c>
      <c r="G263" s="47"/>
      <c r="H263" s="45">
        <f t="shared" si="7"/>
        <v>42186</v>
      </c>
      <c r="I263" s="27">
        <v>42216</v>
      </c>
      <c r="J263" t="e">
        <f t="shared" si="8"/>
        <v>#N/A</v>
      </c>
      <c r="K263" t="e">
        <f t="shared" si="8"/>
        <v>#N/A</v>
      </c>
      <c r="L263" t="e">
        <f t="shared" si="8"/>
        <v>#N/A</v>
      </c>
      <c r="M263">
        <f t="shared" si="8"/>
        <v>99.538382089999999</v>
      </c>
      <c r="N263">
        <f t="shared" si="8"/>
        <v>98.523870869999996</v>
      </c>
    </row>
    <row r="264" spans="1:14" x14ac:dyDescent="0.25">
      <c r="A264" s="45">
        <v>42217</v>
      </c>
      <c r="B264" s="46"/>
      <c r="C264" s="46"/>
      <c r="D264" s="46"/>
      <c r="E264" s="55">
        <v>101.49980917000001</v>
      </c>
      <c r="F264" s="55">
        <v>99.102099319999994</v>
      </c>
      <c r="G264" s="47"/>
      <c r="H264" s="45">
        <f t="shared" si="7"/>
        <v>42217</v>
      </c>
      <c r="I264" s="27">
        <v>42247</v>
      </c>
      <c r="J264" t="e">
        <f t="shared" si="8"/>
        <v>#N/A</v>
      </c>
      <c r="K264" t="e">
        <f t="shared" si="8"/>
        <v>#N/A</v>
      </c>
      <c r="L264" t="e">
        <f t="shared" si="8"/>
        <v>#N/A</v>
      </c>
      <c r="M264">
        <f t="shared" si="8"/>
        <v>101.49980917000001</v>
      </c>
      <c r="N264">
        <f t="shared" si="8"/>
        <v>99.102099319999994</v>
      </c>
    </row>
    <row r="265" spans="1:14" x14ac:dyDescent="0.25">
      <c r="A265" s="45">
        <v>42248</v>
      </c>
      <c r="B265" s="46">
        <v>102.4</v>
      </c>
      <c r="C265" s="48">
        <v>113.1</v>
      </c>
      <c r="D265" s="48">
        <v>32</v>
      </c>
      <c r="E265" s="55">
        <v>101.45580031999999</v>
      </c>
      <c r="F265" s="55">
        <v>99.480964569999998</v>
      </c>
      <c r="G265" s="47"/>
      <c r="H265" s="45">
        <f t="shared" si="7"/>
        <v>42248</v>
      </c>
      <c r="I265" s="27">
        <v>42277</v>
      </c>
      <c r="J265">
        <f t="shared" si="8"/>
        <v>102.4</v>
      </c>
      <c r="K265">
        <f t="shared" si="8"/>
        <v>113.1</v>
      </c>
      <c r="L265">
        <f t="shared" si="8"/>
        <v>32</v>
      </c>
      <c r="M265">
        <f t="shared" si="8"/>
        <v>101.45580031999999</v>
      </c>
      <c r="N265">
        <f t="shared" si="8"/>
        <v>99.480964569999998</v>
      </c>
    </row>
    <row r="266" spans="1:14" x14ac:dyDescent="0.25">
      <c r="A266" s="45">
        <v>42278</v>
      </c>
      <c r="B266" s="46"/>
      <c r="C266" s="46"/>
      <c r="D266" s="46"/>
      <c r="E266" s="55">
        <v>104.95666885999999</v>
      </c>
      <c r="F266" s="55">
        <v>99.660225490000002</v>
      </c>
      <c r="G266" s="47"/>
      <c r="H266" s="45">
        <f t="shared" si="7"/>
        <v>42278</v>
      </c>
      <c r="I266" s="27">
        <v>42308</v>
      </c>
      <c r="J266" t="e">
        <f t="shared" si="8"/>
        <v>#N/A</v>
      </c>
      <c r="K266" t="e">
        <f t="shared" si="8"/>
        <v>#N/A</v>
      </c>
      <c r="L266" t="e">
        <f t="shared" si="8"/>
        <v>#N/A</v>
      </c>
      <c r="M266">
        <f t="shared" si="8"/>
        <v>104.95666885999999</v>
      </c>
      <c r="N266">
        <f t="shared" si="8"/>
        <v>99.660225490000002</v>
      </c>
    </row>
    <row r="267" spans="1:14" x14ac:dyDescent="0.25">
      <c r="A267" s="45">
        <v>42309</v>
      </c>
      <c r="B267" s="46"/>
      <c r="C267" s="46"/>
      <c r="D267" s="46"/>
      <c r="E267" s="55">
        <v>92.062996269999999</v>
      </c>
      <c r="F267" s="55">
        <v>99.78070065</v>
      </c>
      <c r="G267" s="47"/>
      <c r="H267" s="45">
        <f t="shared" si="7"/>
        <v>42309</v>
      </c>
      <c r="I267" s="27">
        <v>42338</v>
      </c>
      <c r="J267" t="e">
        <f t="shared" si="8"/>
        <v>#N/A</v>
      </c>
      <c r="K267" t="e">
        <f t="shared" si="8"/>
        <v>#N/A</v>
      </c>
      <c r="L267" t="e">
        <f t="shared" si="8"/>
        <v>#N/A</v>
      </c>
      <c r="M267">
        <f t="shared" si="8"/>
        <v>92.062996269999999</v>
      </c>
      <c r="N267">
        <f t="shared" si="8"/>
        <v>99.78070065</v>
      </c>
    </row>
    <row r="268" spans="1:14" x14ac:dyDescent="0.25">
      <c r="A268" s="45">
        <v>42339</v>
      </c>
      <c r="B268" s="46">
        <v>103.6</v>
      </c>
      <c r="C268" s="48">
        <v>113.4</v>
      </c>
      <c r="D268" s="48">
        <v>31.6</v>
      </c>
      <c r="E268" s="55">
        <v>99.686463349999997</v>
      </c>
      <c r="F268" s="55">
        <v>100.361526</v>
      </c>
      <c r="G268" s="47"/>
      <c r="H268" s="45">
        <f t="shared" si="7"/>
        <v>42339</v>
      </c>
      <c r="I268" s="27">
        <v>42369</v>
      </c>
      <c r="J268">
        <f t="shared" si="8"/>
        <v>103.6</v>
      </c>
      <c r="K268">
        <f t="shared" si="8"/>
        <v>113.4</v>
      </c>
      <c r="L268">
        <f t="shared" si="8"/>
        <v>31.6</v>
      </c>
      <c r="M268">
        <f t="shared" si="8"/>
        <v>99.686463349999997</v>
      </c>
      <c r="N268">
        <f t="shared" si="8"/>
        <v>100.361526</v>
      </c>
    </row>
    <row r="269" spans="1:14" x14ac:dyDescent="0.25">
      <c r="A269" s="45">
        <v>42370</v>
      </c>
      <c r="B269" s="46"/>
      <c r="C269" s="46"/>
      <c r="D269" s="46"/>
      <c r="E269" s="55">
        <v>97.853956030000006</v>
      </c>
      <c r="F269" s="55">
        <v>101.37057289000001</v>
      </c>
      <c r="G269" s="47"/>
      <c r="H269" s="45">
        <f t="shared" si="7"/>
        <v>42370</v>
      </c>
      <c r="I269" s="27">
        <v>42400</v>
      </c>
      <c r="J269" t="e">
        <f t="shared" si="8"/>
        <v>#N/A</v>
      </c>
      <c r="K269" t="e">
        <f t="shared" si="8"/>
        <v>#N/A</v>
      </c>
      <c r="L269" t="e">
        <f t="shared" si="8"/>
        <v>#N/A</v>
      </c>
      <c r="M269">
        <f t="shared" si="8"/>
        <v>97.853956030000006</v>
      </c>
      <c r="N269">
        <f t="shared" si="8"/>
        <v>101.37057289000001</v>
      </c>
    </row>
    <row r="270" spans="1:14" x14ac:dyDescent="0.25">
      <c r="A270" s="45">
        <v>42401</v>
      </c>
      <c r="B270" s="46"/>
      <c r="C270" s="46"/>
      <c r="D270" s="46"/>
      <c r="E270" s="55">
        <v>104.20894808</v>
      </c>
      <c r="F270" s="55">
        <v>102.72749392</v>
      </c>
      <c r="G270" s="47"/>
      <c r="H270" s="45">
        <f t="shared" si="7"/>
        <v>42401</v>
      </c>
      <c r="I270" s="27">
        <v>42429</v>
      </c>
      <c r="J270" t="e">
        <f t="shared" si="8"/>
        <v>#N/A</v>
      </c>
      <c r="K270" t="e">
        <f t="shared" si="8"/>
        <v>#N/A</v>
      </c>
      <c r="L270" t="e">
        <f t="shared" si="8"/>
        <v>#N/A</v>
      </c>
      <c r="M270">
        <f t="shared" si="8"/>
        <v>104.20894808</v>
      </c>
      <c r="N270">
        <f t="shared" si="8"/>
        <v>102.72749392</v>
      </c>
    </row>
    <row r="271" spans="1:14" x14ac:dyDescent="0.25">
      <c r="A271" s="45">
        <v>42430</v>
      </c>
      <c r="B271" s="46">
        <v>103</v>
      </c>
      <c r="C271" s="48">
        <v>114.2</v>
      </c>
      <c r="D271" s="48">
        <v>33.299999999999997</v>
      </c>
      <c r="E271" s="55">
        <v>102.90881182</v>
      </c>
      <c r="F271" s="55">
        <v>104.10075476</v>
      </c>
      <c r="G271" s="47"/>
      <c r="H271" s="45">
        <f t="shared" si="7"/>
        <v>42430</v>
      </c>
      <c r="I271" s="27">
        <v>42460</v>
      </c>
      <c r="J271">
        <f t="shared" si="8"/>
        <v>103</v>
      </c>
      <c r="K271">
        <f t="shared" si="8"/>
        <v>114.2</v>
      </c>
      <c r="L271">
        <f t="shared" si="8"/>
        <v>33.299999999999997</v>
      </c>
      <c r="M271">
        <f t="shared" si="8"/>
        <v>102.90881182</v>
      </c>
      <c r="N271">
        <f t="shared" si="8"/>
        <v>104.10075476</v>
      </c>
    </row>
    <row r="272" spans="1:14" x14ac:dyDescent="0.25">
      <c r="A272" s="45">
        <v>42461</v>
      </c>
      <c r="B272" s="46"/>
      <c r="C272" s="46"/>
      <c r="D272" s="46"/>
      <c r="E272" s="55">
        <v>109.45849586999999</v>
      </c>
      <c r="F272" s="55">
        <v>105.26463923999999</v>
      </c>
      <c r="G272" s="47"/>
      <c r="H272" s="45">
        <f t="shared" si="7"/>
        <v>42461</v>
      </c>
      <c r="I272" s="27">
        <v>42490</v>
      </c>
      <c r="J272" t="e">
        <f t="shared" si="8"/>
        <v>#N/A</v>
      </c>
      <c r="K272" t="e">
        <f t="shared" si="8"/>
        <v>#N/A</v>
      </c>
      <c r="L272" t="e">
        <f t="shared" si="8"/>
        <v>#N/A</v>
      </c>
      <c r="M272">
        <f t="shared" si="8"/>
        <v>109.45849586999999</v>
      </c>
      <c r="N272">
        <f t="shared" si="8"/>
        <v>105.26463923999999</v>
      </c>
    </row>
    <row r="273" spans="1:14" x14ac:dyDescent="0.25">
      <c r="A273" s="45">
        <v>42491</v>
      </c>
      <c r="B273" s="46"/>
      <c r="C273" s="46"/>
      <c r="D273" s="46"/>
      <c r="E273" s="55">
        <v>102.14472985</v>
      </c>
      <c r="F273" s="55">
        <v>105.90829239999999</v>
      </c>
      <c r="G273" s="47"/>
      <c r="H273" s="45">
        <f t="shared" si="7"/>
        <v>42491</v>
      </c>
      <c r="I273" s="27">
        <v>42521</v>
      </c>
      <c r="J273" t="e">
        <f t="shared" si="8"/>
        <v>#N/A</v>
      </c>
      <c r="K273" t="e">
        <f t="shared" si="8"/>
        <v>#N/A</v>
      </c>
      <c r="L273" t="e">
        <f t="shared" si="8"/>
        <v>#N/A</v>
      </c>
      <c r="M273">
        <f t="shared" si="8"/>
        <v>102.14472985</v>
      </c>
      <c r="N273">
        <f t="shared" si="8"/>
        <v>105.90829239999999</v>
      </c>
    </row>
    <row r="274" spans="1:14" x14ac:dyDescent="0.25">
      <c r="A274" s="45">
        <v>42522</v>
      </c>
      <c r="B274" s="46">
        <v>104</v>
      </c>
      <c r="C274" s="48">
        <v>110.9</v>
      </c>
      <c r="D274" s="48">
        <v>30.5</v>
      </c>
      <c r="E274" s="55">
        <v>109.02295882999999</v>
      </c>
      <c r="F274" s="55">
        <v>106.0204205</v>
      </c>
      <c r="G274" s="47"/>
      <c r="H274" s="45">
        <f t="shared" si="7"/>
        <v>42522</v>
      </c>
      <c r="I274" s="27">
        <v>42551</v>
      </c>
      <c r="J274">
        <f t="shared" si="8"/>
        <v>104</v>
      </c>
      <c r="K274">
        <f t="shared" si="8"/>
        <v>110.9</v>
      </c>
      <c r="L274">
        <f t="shared" si="8"/>
        <v>30.5</v>
      </c>
      <c r="M274">
        <f t="shared" si="8"/>
        <v>109.02295882999999</v>
      </c>
      <c r="N274">
        <f t="shared" si="8"/>
        <v>106.0204205</v>
      </c>
    </row>
    <row r="275" spans="1:14" x14ac:dyDescent="0.25">
      <c r="A275" s="45">
        <v>42552</v>
      </c>
      <c r="B275" s="46"/>
      <c r="C275" s="46"/>
      <c r="D275" s="46"/>
      <c r="E275" s="55">
        <v>105.18777378999999</v>
      </c>
      <c r="F275" s="55">
        <v>105.32090384999999</v>
      </c>
      <c r="G275" s="47"/>
      <c r="H275" s="45">
        <f t="shared" si="7"/>
        <v>42552</v>
      </c>
      <c r="I275" s="27">
        <v>42582</v>
      </c>
      <c r="J275" t="e">
        <f t="shared" si="8"/>
        <v>#N/A</v>
      </c>
      <c r="K275" t="e">
        <f t="shared" si="8"/>
        <v>#N/A</v>
      </c>
      <c r="L275" t="e">
        <f t="shared" si="8"/>
        <v>#N/A</v>
      </c>
      <c r="M275">
        <f t="shared" si="8"/>
        <v>105.18777378999999</v>
      </c>
      <c r="N275">
        <f t="shared" si="8"/>
        <v>105.32090384999999</v>
      </c>
    </row>
    <row r="276" spans="1:14" x14ac:dyDescent="0.25">
      <c r="A276" s="45">
        <v>42583</v>
      </c>
      <c r="B276" s="46"/>
      <c r="C276" s="46"/>
      <c r="D276" s="46"/>
      <c r="E276" s="55">
        <v>104.37714621000001</v>
      </c>
      <c r="F276" s="55">
        <v>103.74408982999999</v>
      </c>
      <c r="G276" s="47"/>
      <c r="H276" s="45">
        <f t="shared" si="7"/>
        <v>42583</v>
      </c>
      <c r="I276" s="27">
        <v>42613</v>
      </c>
      <c r="J276" t="e">
        <f t="shared" si="8"/>
        <v>#N/A</v>
      </c>
      <c r="K276" t="e">
        <f t="shared" si="8"/>
        <v>#N/A</v>
      </c>
      <c r="L276" t="e">
        <f t="shared" si="8"/>
        <v>#N/A</v>
      </c>
      <c r="M276">
        <f t="shared" si="8"/>
        <v>104.37714621000001</v>
      </c>
      <c r="N276">
        <f t="shared" si="8"/>
        <v>103.74408982999999</v>
      </c>
    </row>
    <row r="277" spans="1:14" x14ac:dyDescent="0.25">
      <c r="A277" s="45">
        <v>42614</v>
      </c>
      <c r="B277" s="46">
        <v>102.7</v>
      </c>
      <c r="C277" s="48">
        <v>112.9</v>
      </c>
      <c r="D277" s="48">
        <v>33.5</v>
      </c>
      <c r="E277" s="55">
        <v>111.87912651000001</v>
      </c>
      <c r="F277" s="55">
        <v>101.21481651000001</v>
      </c>
      <c r="G277" s="47"/>
      <c r="H277" s="45">
        <f t="shared" si="7"/>
        <v>42614</v>
      </c>
      <c r="I277" s="27">
        <v>42643</v>
      </c>
      <c r="J277">
        <f t="shared" si="8"/>
        <v>102.7</v>
      </c>
      <c r="K277">
        <f t="shared" si="8"/>
        <v>112.9</v>
      </c>
      <c r="L277">
        <f t="shared" si="8"/>
        <v>33.5</v>
      </c>
      <c r="M277">
        <f t="shared" si="8"/>
        <v>111.87912651000001</v>
      </c>
      <c r="N277">
        <f t="shared" si="8"/>
        <v>101.21481651000001</v>
      </c>
    </row>
    <row r="278" spans="1:14" x14ac:dyDescent="0.25">
      <c r="A278" s="45">
        <v>42644</v>
      </c>
      <c r="B278" s="46"/>
      <c r="C278" s="46"/>
      <c r="D278" s="46"/>
      <c r="E278" s="55">
        <v>105.97942755</v>
      </c>
      <c r="F278" s="55">
        <v>97.703140270000006</v>
      </c>
      <c r="G278" s="47"/>
      <c r="H278" s="45">
        <f t="shared" si="7"/>
        <v>42644</v>
      </c>
      <c r="I278" s="27">
        <v>42674</v>
      </c>
      <c r="J278" t="e">
        <f t="shared" si="8"/>
        <v>#N/A</v>
      </c>
      <c r="K278" t="e">
        <f t="shared" si="8"/>
        <v>#N/A</v>
      </c>
      <c r="L278" t="e">
        <f t="shared" si="8"/>
        <v>#N/A</v>
      </c>
      <c r="M278">
        <f t="shared" si="8"/>
        <v>105.97942755</v>
      </c>
      <c r="N278">
        <f t="shared" si="8"/>
        <v>97.703140270000006</v>
      </c>
    </row>
    <row r="279" spans="1:14" x14ac:dyDescent="0.25">
      <c r="A279" s="45">
        <v>42675</v>
      </c>
      <c r="B279" s="46"/>
      <c r="C279" s="46"/>
      <c r="D279" s="46"/>
      <c r="E279" s="55">
        <v>87.43732249</v>
      </c>
      <c r="F279" s="55">
        <v>93.940853930000003</v>
      </c>
      <c r="G279" s="47"/>
      <c r="H279" s="45">
        <f t="shared" si="7"/>
        <v>42675</v>
      </c>
      <c r="I279" s="27">
        <v>42704</v>
      </c>
      <c r="J279" t="e">
        <f t="shared" si="8"/>
        <v>#N/A</v>
      </c>
      <c r="K279" t="e">
        <f t="shared" si="8"/>
        <v>#N/A</v>
      </c>
      <c r="L279" t="e">
        <f t="shared" si="8"/>
        <v>#N/A</v>
      </c>
      <c r="M279">
        <f t="shared" si="8"/>
        <v>87.43732249</v>
      </c>
      <c r="N279">
        <f t="shared" si="8"/>
        <v>93.940853930000003</v>
      </c>
    </row>
    <row r="280" spans="1:14" x14ac:dyDescent="0.25">
      <c r="A280" s="45">
        <v>42705</v>
      </c>
      <c r="B280" s="46">
        <v>101.1</v>
      </c>
      <c r="C280" s="48">
        <v>112.9</v>
      </c>
      <c r="D280" s="48">
        <v>31.3</v>
      </c>
      <c r="E280" s="55">
        <v>76.763332259999999</v>
      </c>
      <c r="F280" s="55">
        <v>91.250913679999996</v>
      </c>
      <c r="G280" s="47"/>
      <c r="H280" s="45">
        <f t="shared" si="7"/>
        <v>42705</v>
      </c>
      <c r="I280" s="27">
        <v>42735</v>
      </c>
      <c r="J280">
        <f t="shared" si="8"/>
        <v>101.1</v>
      </c>
      <c r="K280">
        <f t="shared" si="8"/>
        <v>112.9</v>
      </c>
      <c r="L280">
        <f t="shared" si="8"/>
        <v>31.3</v>
      </c>
      <c r="M280">
        <f t="shared" si="8"/>
        <v>76.763332259999999</v>
      </c>
      <c r="N280">
        <f t="shared" si="8"/>
        <v>91.250913679999996</v>
      </c>
    </row>
    <row r="281" spans="1:14" x14ac:dyDescent="0.25">
      <c r="A281" s="45">
        <v>42736</v>
      </c>
      <c r="B281" s="46"/>
      <c r="C281" s="46"/>
      <c r="D281" s="46"/>
      <c r="E281" s="55">
        <v>80.470436250000006</v>
      </c>
      <c r="F281" s="55">
        <v>90.491737740000005</v>
      </c>
      <c r="G281" s="47"/>
      <c r="H281" s="45">
        <f t="shared" si="7"/>
        <v>42736</v>
      </c>
      <c r="I281" s="27">
        <v>42766</v>
      </c>
      <c r="J281" t="e">
        <f t="shared" si="8"/>
        <v>#N/A</v>
      </c>
      <c r="K281" t="e">
        <f t="shared" si="8"/>
        <v>#N/A</v>
      </c>
      <c r="L281" t="e">
        <f t="shared" si="8"/>
        <v>#N/A</v>
      </c>
      <c r="M281">
        <f t="shared" si="8"/>
        <v>80.470436250000006</v>
      </c>
      <c r="N281">
        <f t="shared" si="8"/>
        <v>90.491737740000005</v>
      </c>
    </row>
    <row r="282" spans="1:14" x14ac:dyDescent="0.25">
      <c r="A282" s="45">
        <v>42767</v>
      </c>
      <c r="B282" s="46"/>
      <c r="C282" s="46"/>
      <c r="D282" s="46"/>
      <c r="E282" s="55">
        <v>88.503064929999994</v>
      </c>
      <c r="F282" s="55">
        <v>91.486917120000001</v>
      </c>
      <c r="G282" s="47"/>
      <c r="H282" s="45">
        <f t="shared" si="7"/>
        <v>42767</v>
      </c>
      <c r="I282" s="27">
        <v>42794</v>
      </c>
      <c r="J282" t="e">
        <f t="shared" ref="J282:N315" si="9">IF(ISNUMBER(VLOOKUP($H282,$A$27:$F$369,J$25,FALSE)),VLOOKUP($H282,$A$27:$F$369,J$25,FALSE),NA())</f>
        <v>#N/A</v>
      </c>
      <c r="K282" t="e">
        <f t="shared" si="9"/>
        <v>#N/A</v>
      </c>
      <c r="L282" t="e">
        <f t="shared" si="9"/>
        <v>#N/A</v>
      </c>
      <c r="M282">
        <f t="shared" si="9"/>
        <v>88.503064929999994</v>
      </c>
      <c r="N282">
        <f t="shared" si="9"/>
        <v>91.486917120000001</v>
      </c>
    </row>
    <row r="283" spans="1:14" x14ac:dyDescent="0.25">
      <c r="A283" s="45">
        <v>42795</v>
      </c>
      <c r="B283" s="46">
        <v>106</v>
      </c>
      <c r="C283" s="48">
        <v>111.1</v>
      </c>
      <c r="D283" s="48">
        <v>27.9</v>
      </c>
      <c r="E283" s="55">
        <v>106.29864452</v>
      </c>
      <c r="F283" s="55">
        <v>93.344235549999993</v>
      </c>
      <c r="G283" s="47"/>
      <c r="H283" s="45">
        <f t="shared" si="7"/>
        <v>42795</v>
      </c>
      <c r="I283" s="27">
        <v>42825</v>
      </c>
      <c r="J283">
        <f t="shared" si="9"/>
        <v>106</v>
      </c>
      <c r="K283">
        <f t="shared" si="9"/>
        <v>111.1</v>
      </c>
      <c r="L283">
        <f t="shared" si="9"/>
        <v>27.9</v>
      </c>
      <c r="M283">
        <f t="shared" si="9"/>
        <v>106.29864452</v>
      </c>
      <c r="N283">
        <f t="shared" si="9"/>
        <v>93.344235549999993</v>
      </c>
    </row>
    <row r="284" spans="1:14" x14ac:dyDescent="0.25">
      <c r="A284" s="45">
        <v>42826</v>
      </c>
      <c r="B284" s="46"/>
      <c r="C284" s="46"/>
      <c r="D284" s="46"/>
      <c r="E284" s="55">
        <v>101.18109785</v>
      </c>
      <c r="F284" s="55">
        <v>94.958344460000006</v>
      </c>
      <c r="G284" s="47"/>
      <c r="H284" s="45">
        <f t="shared" ref="H284:H337" si="10">A284</f>
        <v>42826</v>
      </c>
      <c r="I284" s="27">
        <v>42855</v>
      </c>
      <c r="J284" t="e">
        <f t="shared" si="9"/>
        <v>#N/A</v>
      </c>
      <c r="K284" t="e">
        <f t="shared" si="9"/>
        <v>#N/A</v>
      </c>
      <c r="L284" t="e">
        <f t="shared" si="9"/>
        <v>#N/A</v>
      </c>
      <c r="M284">
        <f t="shared" si="9"/>
        <v>101.18109785</v>
      </c>
      <c r="N284">
        <f t="shared" si="9"/>
        <v>94.958344460000006</v>
      </c>
    </row>
    <row r="285" spans="1:14" x14ac:dyDescent="0.25">
      <c r="A285" s="45">
        <v>42856</v>
      </c>
      <c r="B285" s="46"/>
      <c r="C285" s="46"/>
      <c r="D285" s="46"/>
      <c r="E285" s="55">
        <v>96.465225119999999</v>
      </c>
      <c r="F285" s="55">
        <v>96.149210220000001</v>
      </c>
      <c r="G285" s="47"/>
      <c r="H285" s="45">
        <f t="shared" si="10"/>
        <v>42856</v>
      </c>
      <c r="I285" s="27">
        <v>42886</v>
      </c>
      <c r="J285" t="e">
        <f t="shared" si="9"/>
        <v>#N/A</v>
      </c>
      <c r="K285" t="e">
        <f t="shared" si="9"/>
        <v>#N/A</v>
      </c>
      <c r="L285" t="e">
        <f t="shared" si="9"/>
        <v>#N/A</v>
      </c>
      <c r="M285">
        <f t="shared" si="9"/>
        <v>96.465225119999999</v>
      </c>
      <c r="N285">
        <f t="shared" si="9"/>
        <v>96.149210220000001</v>
      </c>
    </row>
    <row r="286" spans="1:14" x14ac:dyDescent="0.25">
      <c r="A286" s="45">
        <v>42887</v>
      </c>
      <c r="B286" s="46">
        <v>105.4</v>
      </c>
      <c r="C286" s="48">
        <v>114.2</v>
      </c>
      <c r="D286" s="48">
        <v>36</v>
      </c>
      <c r="E286" s="55">
        <v>90.517428730000006</v>
      </c>
      <c r="F286" s="55">
        <v>97.181281589999998</v>
      </c>
      <c r="G286" s="47"/>
      <c r="H286" s="45">
        <f t="shared" si="10"/>
        <v>42887</v>
      </c>
      <c r="I286" s="27">
        <v>42916</v>
      </c>
      <c r="J286">
        <f t="shared" si="9"/>
        <v>105.4</v>
      </c>
      <c r="K286">
        <f t="shared" si="9"/>
        <v>114.2</v>
      </c>
      <c r="L286">
        <f t="shared" si="9"/>
        <v>36</v>
      </c>
      <c r="M286">
        <f t="shared" si="9"/>
        <v>90.517428730000006</v>
      </c>
      <c r="N286">
        <f t="shared" si="9"/>
        <v>97.181281589999998</v>
      </c>
    </row>
    <row r="287" spans="1:14" x14ac:dyDescent="0.25">
      <c r="A287" s="45">
        <v>42917</v>
      </c>
      <c r="B287" s="46"/>
      <c r="C287" s="46"/>
      <c r="D287" s="46"/>
      <c r="E287" s="55">
        <v>97.236469400000004</v>
      </c>
      <c r="F287" s="55">
        <v>98.341579800000005</v>
      </c>
      <c r="G287" s="47"/>
      <c r="H287" s="45">
        <f t="shared" si="10"/>
        <v>42917</v>
      </c>
      <c r="I287" s="27">
        <v>42947</v>
      </c>
      <c r="J287" t="e">
        <f t="shared" si="9"/>
        <v>#N/A</v>
      </c>
      <c r="K287" t="e">
        <f t="shared" si="9"/>
        <v>#N/A</v>
      </c>
      <c r="L287" t="e">
        <f t="shared" si="9"/>
        <v>#N/A</v>
      </c>
      <c r="M287">
        <f t="shared" si="9"/>
        <v>97.236469400000004</v>
      </c>
      <c r="N287">
        <f t="shared" si="9"/>
        <v>98.341579800000005</v>
      </c>
    </row>
    <row r="288" spans="1:14" x14ac:dyDescent="0.25">
      <c r="A288" s="45">
        <v>42948</v>
      </c>
      <c r="B288" s="46"/>
      <c r="C288" s="46"/>
      <c r="D288" s="46"/>
      <c r="E288" s="55">
        <v>105.22428471000001</v>
      </c>
      <c r="F288" s="55">
        <v>99.441136610000001</v>
      </c>
      <c r="G288" s="47"/>
      <c r="H288" s="45">
        <f t="shared" si="10"/>
        <v>42948</v>
      </c>
      <c r="I288" s="27">
        <v>42978</v>
      </c>
      <c r="J288" t="e">
        <f t="shared" si="9"/>
        <v>#N/A</v>
      </c>
      <c r="K288" t="e">
        <f t="shared" si="9"/>
        <v>#N/A</v>
      </c>
      <c r="L288" t="e">
        <f t="shared" si="9"/>
        <v>#N/A</v>
      </c>
      <c r="M288">
        <f t="shared" si="9"/>
        <v>105.22428471000001</v>
      </c>
      <c r="N288">
        <f t="shared" si="9"/>
        <v>99.441136610000001</v>
      </c>
    </row>
    <row r="289" spans="1:14" x14ac:dyDescent="0.25">
      <c r="A289" s="45">
        <v>42979</v>
      </c>
      <c r="B289" s="46">
        <v>103.7</v>
      </c>
      <c r="C289" s="48">
        <v>113.3</v>
      </c>
      <c r="D289" s="48">
        <v>33.700000000000003</v>
      </c>
      <c r="E289" s="55">
        <v>100.68223902</v>
      </c>
      <c r="F289" s="55">
        <v>100.21204733</v>
      </c>
      <c r="G289" s="47"/>
      <c r="H289" s="45">
        <f t="shared" si="10"/>
        <v>42979</v>
      </c>
      <c r="I289" s="27">
        <v>43008</v>
      </c>
      <c r="J289">
        <f t="shared" si="9"/>
        <v>103.7</v>
      </c>
      <c r="K289">
        <f t="shared" si="9"/>
        <v>113.3</v>
      </c>
      <c r="L289">
        <f t="shared" si="9"/>
        <v>33.700000000000003</v>
      </c>
      <c r="M289">
        <f t="shared" si="9"/>
        <v>100.68223902</v>
      </c>
      <c r="N289">
        <f t="shared" si="9"/>
        <v>100.21204733</v>
      </c>
    </row>
    <row r="290" spans="1:14" x14ac:dyDescent="0.25">
      <c r="A290" s="45">
        <v>43009</v>
      </c>
      <c r="B290" s="46"/>
      <c r="C290" s="46"/>
      <c r="D290" s="46"/>
      <c r="E290" s="55">
        <v>96.101760970000001</v>
      </c>
      <c r="F290" s="55">
        <v>100.79948924</v>
      </c>
      <c r="G290" s="47"/>
      <c r="H290" s="45">
        <f t="shared" si="10"/>
        <v>43009</v>
      </c>
      <c r="I290" s="27">
        <v>43039</v>
      </c>
      <c r="J290" t="e">
        <f t="shared" si="9"/>
        <v>#N/A</v>
      </c>
      <c r="K290" t="e">
        <f t="shared" si="9"/>
        <v>#N/A</v>
      </c>
      <c r="L290" t="e">
        <f t="shared" si="9"/>
        <v>#N/A</v>
      </c>
      <c r="M290">
        <f t="shared" si="9"/>
        <v>96.101760970000001</v>
      </c>
      <c r="N290">
        <f t="shared" si="9"/>
        <v>100.79948924</v>
      </c>
    </row>
    <row r="291" spans="1:14" x14ac:dyDescent="0.25">
      <c r="A291" s="45">
        <v>43040</v>
      </c>
      <c r="B291" s="46"/>
      <c r="C291" s="46"/>
      <c r="D291" s="46"/>
      <c r="E291" s="55">
        <v>103.98106438000001</v>
      </c>
      <c r="F291" s="55">
        <v>101.38222479</v>
      </c>
      <c r="G291" s="47"/>
      <c r="H291" s="45">
        <f t="shared" si="10"/>
        <v>43040</v>
      </c>
      <c r="I291" s="27">
        <v>43069</v>
      </c>
      <c r="J291" t="e">
        <f t="shared" si="9"/>
        <v>#N/A</v>
      </c>
      <c r="K291" t="e">
        <f t="shared" si="9"/>
        <v>#N/A</v>
      </c>
      <c r="L291" t="e">
        <f t="shared" si="9"/>
        <v>#N/A</v>
      </c>
      <c r="M291">
        <f t="shared" si="9"/>
        <v>103.98106438000001</v>
      </c>
      <c r="N291">
        <f t="shared" si="9"/>
        <v>101.38222479</v>
      </c>
    </row>
    <row r="292" spans="1:14" x14ac:dyDescent="0.25">
      <c r="A292" s="45">
        <v>43070</v>
      </c>
      <c r="B292" s="46">
        <v>109.8</v>
      </c>
      <c r="C292" s="48">
        <v>115</v>
      </c>
      <c r="D292" s="48">
        <v>36.9</v>
      </c>
      <c r="E292" s="55">
        <v>101.05118217</v>
      </c>
      <c r="F292" s="55">
        <v>101.80346437</v>
      </c>
      <c r="G292" s="47"/>
      <c r="H292" s="45">
        <f t="shared" si="10"/>
        <v>43070</v>
      </c>
      <c r="I292" s="27">
        <v>43100</v>
      </c>
      <c r="J292">
        <f t="shared" si="9"/>
        <v>109.8</v>
      </c>
      <c r="K292">
        <f t="shared" si="9"/>
        <v>115</v>
      </c>
      <c r="L292">
        <f t="shared" si="9"/>
        <v>36.9</v>
      </c>
      <c r="M292">
        <f t="shared" si="9"/>
        <v>101.05118217</v>
      </c>
      <c r="N292">
        <f t="shared" si="9"/>
        <v>101.80346437</v>
      </c>
    </row>
    <row r="293" spans="1:14" x14ac:dyDescent="0.25">
      <c r="A293" s="45">
        <v>43101</v>
      </c>
      <c r="B293" s="46"/>
      <c r="C293" s="46"/>
      <c r="D293" s="46"/>
      <c r="E293" s="55">
        <v>103.82565242</v>
      </c>
      <c r="F293" s="55">
        <v>102.09204979</v>
      </c>
      <c r="G293" s="47"/>
      <c r="H293" s="45">
        <f t="shared" si="10"/>
        <v>43101</v>
      </c>
      <c r="I293" s="27">
        <v>43131</v>
      </c>
      <c r="J293" t="e">
        <f t="shared" si="9"/>
        <v>#N/A</v>
      </c>
      <c r="K293" t="e">
        <f t="shared" si="9"/>
        <v>#N/A</v>
      </c>
      <c r="L293" t="e">
        <f t="shared" si="9"/>
        <v>#N/A</v>
      </c>
      <c r="M293">
        <f t="shared" si="9"/>
        <v>103.82565242</v>
      </c>
      <c r="N293">
        <f t="shared" si="9"/>
        <v>102.09204979</v>
      </c>
    </row>
    <row r="294" spans="1:14" x14ac:dyDescent="0.25">
      <c r="A294" s="45">
        <v>43132</v>
      </c>
      <c r="B294" s="46"/>
      <c r="C294" s="46"/>
      <c r="D294" s="46"/>
      <c r="E294" s="55">
        <v>99.1838348</v>
      </c>
      <c r="F294" s="55">
        <v>102.22308842</v>
      </c>
      <c r="G294" s="47"/>
      <c r="H294" s="45">
        <f t="shared" si="10"/>
        <v>43132</v>
      </c>
      <c r="I294" s="27">
        <v>43159</v>
      </c>
      <c r="J294" t="e">
        <f t="shared" si="9"/>
        <v>#N/A</v>
      </c>
      <c r="K294" t="e">
        <f t="shared" si="9"/>
        <v>#N/A</v>
      </c>
      <c r="L294" t="e">
        <f t="shared" si="9"/>
        <v>#N/A</v>
      </c>
      <c r="M294">
        <f t="shared" si="9"/>
        <v>99.1838348</v>
      </c>
      <c r="N294">
        <f t="shared" si="9"/>
        <v>102.22308842</v>
      </c>
    </row>
    <row r="295" spans="1:14" x14ac:dyDescent="0.25">
      <c r="A295" s="45">
        <v>43160</v>
      </c>
      <c r="B295" s="46">
        <v>112.4</v>
      </c>
      <c r="C295" s="48">
        <v>115.8</v>
      </c>
      <c r="D295" s="48">
        <v>36.1</v>
      </c>
      <c r="E295" s="55">
        <v>105.11807923000001</v>
      </c>
      <c r="F295" s="55">
        <v>102.29551637</v>
      </c>
      <c r="G295" s="47"/>
      <c r="H295" s="45">
        <f t="shared" si="10"/>
        <v>43160</v>
      </c>
      <c r="I295" s="27">
        <v>43190</v>
      </c>
      <c r="J295">
        <f t="shared" si="9"/>
        <v>112.4</v>
      </c>
      <c r="K295">
        <f t="shared" si="9"/>
        <v>115.8</v>
      </c>
      <c r="L295">
        <f t="shared" si="9"/>
        <v>36.1</v>
      </c>
      <c r="M295">
        <f t="shared" si="9"/>
        <v>105.11807923000001</v>
      </c>
      <c r="N295">
        <f t="shared" si="9"/>
        <v>102.29551637</v>
      </c>
    </row>
    <row r="296" spans="1:14" x14ac:dyDescent="0.25">
      <c r="A296" s="45">
        <v>43191</v>
      </c>
      <c r="B296" s="46"/>
      <c r="C296" s="46"/>
      <c r="D296" s="46"/>
      <c r="E296" s="55">
        <v>101.29178582</v>
      </c>
      <c r="F296" s="55">
        <v>102.19118023</v>
      </c>
      <c r="G296" s="47"/>
      <c r="H296" s="45">
        <f t="shared" si="10"/>
        <v>43191</v>
      </c>
      <c r="I296" s="27">
        <v>43220</v>
      </c>
      <c r="J296" t="e">
        <f t="shared" si="9"/>
        <v>#N/A</v>
      </c>
      <c r="K296" t="e">
        <f t="shared" si="9"/>
        <v>#N/A</v>
      </c>
      <c r="L296" t="e">
        <f t="shared" si="9"/>
        <v>#N/A</v>
      </c>
      <c r="M296">
        <f t="shared" si="9"/>
        <v>101.29178582</v>
      </c>
      <c r="N296">
        <f t="shared" si="9"/>
        <v>102.19118023</v>
      </c>
    </row>
    <row r="297" spans="1:14" x14ac:dyDescent="0.25">
      <c r="A297" s="45">
        <v>43221</v>
      </c>
      <c r="B297" s="46"/>
      <c r="C297" s="46"/>
      <c r="D297" s="46"/>
      <c r="E297" s="55">
        <v>102.85758455</v>
      </c>
      <c r="F297" s="55">
        <v>101.9935382</v>
      </c>
      <c r="G297" s="47"/>
      <c r="H297" s="45">
        <f t="shared" si="10"/>
        <v>43221</v>
      </c>
      <c r="I297" s="27">
        <v>43251</v>
      </c>
      <c r="J297" t="e">
        <f t="shared" si="9"/>
        <v>#N/A</v>
      </c>
      <c r="K297" t="e">
        <f t="shared" si="9"/>
        <v>#N/A</v>
      </c>
      <c r="L297" t="e">
        <f t="shared" si="9"/>
        <v>#N/A</v>
      </c>
      <c r="M297">
        <f t="shared" si="9"/>
        <v>102.85758455</v>
      </c>
      <c r="N297">
        <f t="shared" si="9"/>
        <v>101.9935382</v>
      </c>
    </row>
    <row r="298" spans="1:14" x14ac:dyDescent="0.25">
      <c r="A298" s="45">
        <v>43252</v>
      </c>
      <c r="B298" s="46">
        <v>108.4</v>
      </c>
      <c r="C298" s="48">
        <v>114.6</v>
      </c>
      <c r="D298" s="48">
        <v>36.9</v>
      </c>
      <c r="E298" s="55">
        <v>100.48383585000001</v>
      </c>
      <c r="F298" s="55">
        <v>101.72180603</v>
      </c>
      <c r="G298" s="47"/>
      <c r="H298" s="45">
        <f t="shared" si="10"/>
        <v>43252</v>
      </c>
      <c r="I298" s="27">
        <v>43281</v>
      </c>
      <c r="J298">
        <f t="shared" si="9"/>
        <v>108.4</v>
      </c>
      <c r="K298">
        <f t="shared" si="9"/>
        <v>114.6</v>
      </c>
      <c r="L298">
        <f t="shared" si="9"/>
        <v>36.9</v>
      </c>
      <c r="M298">
        <f t="shared" si="9"/>
        <v>100.48383585000001</v>
      </c>
      <c r="N298">
        <f t="shared" si="9"/>
        <v>101.72180603</v>
      </c>
    </row>
    <row r="299" spans="1:14" x14ac:dyDescent="0.25">
      <c r="A299" s="45">
        <v>43282</v>
      </c>
      <c r="B299" s="46"/>
      <c r="C299" s="46"/>
      <c r="D299" s="46"/>
      <c r="E299" s="55">
        <v>99.231265570000005</v>
      </c>
      <c r="F299" s="55">
        <v>101.45691708</v>
      </c>
      <c r="G299" s="47"/>
      <c r="H299" s="45">
        <f t="shared" si="10"/>
        <v>43282</v>
      </c>
      <c r="I299" s="27">
        <v>43312</v>
      </c>
      <c r="J299" t="e">
        <f t="shared" si="9"/>
        <v>#N/A</v>
      </c>
      <c r="K299" t="e">
        <f t="shared" si="9"/>
        <v>#N/A</v>
      </c>
      <c r="L299" t="e">
        <f t="shared" si="9"/>
        <v>#N/A</v>
      </c>
      <c r="M299">
        <f t="shared" si="9"/>
        <v>99.231265570000005</v>
      </c>
      <c r="N299">
        <f t="shared" si="9"/>
        <v>101.45691708</v>
      </c>
    </row>
    <row r="300" spans="1:14" x14ac:dyDescent="0.25">
      <c r="A300" s="45">
        <v>43313</v>
      </c>
      <c r="B300" s="46"/>
      <c r="C300" s="46"/>
      <c r="D300" s="46"/>
      <c r="E300" s="55">
        <v>103.48493354999999</v>
      </c>
      <c r="F300" s="55">
        <v>101.19137825</v>
      </c>
      <c r="G300" s="47"/>
      <c r="H300" s="45">
        <f t="shared" si="10"/>
        <v>43313</v>
      </c>
      <c r="I300" s="27">
        <v>43343</v>
      </c>
      <c r="J300" t="e">
        <f t="shared" si="9"/>
        <v>#N/A</v>
      </c>
      <c r="K300" t="e">
        <f t="shared" si="9"/>
        <v>#N/A</v>
      </c>
      <c r="L300" t="e">
        <f t="shared" si="9"/>
        <v>#N/A</v>
      </c>
      <c r="M300">
        <f t="shared" si="9"/>
        <v>103.48493354999999</v>
      </c>
      <c r="N300">
        <f t="shared" si="9"/>
        <v>101.19137825</v>
      </c>
    </row>
    <row r="301" spans="1:14" x14ac:dyDescent="0.25">
      <c r="A301" s="45">
        <v>43344</v>
      </c>
      <c r="B301" s="46">
        <v>110</v>
      </c>
      <c r="C301" s="48">
        <v>114.1</v>
      </c>
      <c r="D301" s="48">
        <v>34.6</v>
      </c>
      <c r="E301" s="55">
        <v>103.3649381</v>
      </c>
      <c r="F301" s="55">
        <v>100.75872133999999</v>
      </c>
      <c r="G301" s="47"/>
      <c r="H301" s="45">
        <f t="shared" si="10"/>
        <v>43344</v>
      </c>
      <c r="I301" s="27">
        <v>43373</v>
      </c>
      <c r="J301">
        <f t="shared" si="9"/>
        <v>110</v>
      </c>
      <c r="K301">
        <f t="shared" si="9"/>
        <v>114.1</v>
      </c>
      <c r="L301">
        <f t="shared" si="9"/>
        <v>34.6</v>
      </c>
      <c r="M301">
        <f t="shared" si="9"/>
        <v>103.3649381</v>
      </c>
      <c r="N301">
        <f t="shared" si="9"/>
        <v>100.75872133999999</v>
      </c>
    </row>
    <row r="302" spans="1:14" x14ac:dyDescent="0.25">
      <c r="A302" s="45">
        <v>43374</v>
      </c>
      <c r="B302" s="46"/>
      <c r="C302" s="46"/>
      <c r="D302" s="46"/>
      <c r="E302" s="55">
        <v>105.25788598</v>
      </c>
      <c r="F302" s="55">
        <v>100.15630353</v>
      </c>
      <c r="G302" s="47"/>
      <c r="H302" s="45">
        <f t="shared" si="10"/>
        <v>43374</v>
      </c>
      <c r="I302" s="27">
        <v>43404</v>
      </c>
      <c r="J302" t="e">
        <f t="shared" si="9"/>
        <v>#N/A</v>
      </c>
      <c r="K302" t="e">
        <f t="shared" si="9"/>
        <v>#N/A</v>
      </c>
      <c r="L302" t="e">
        <f t="shared" si="9"/>
        <v>#N/A</v>
      </c>
      <c r="M302">
        <f t="shared" si="9"/>
        <v>105.25788598</v>
      </c>
      <c r="N302">
        <f t="shared" si="9"/>
        <v>100.15630353</v>
      </c>
    </row>
    <row r="303" spans="1:14" x14ac:dyDescent="0.25">
      <c r="A303" s="45">
        <v>43405</v>
      </c>
      <c r="B303" s="46"/>
      <c r="C303" s="46"/>
      <c r="D303" s="46"/>
      <c r="E303" s="55">
        <v>93.134859399999996</v>
      </c>
      <c r="F303" s="55">
        <v>99.567640350000005</v>
      </c>
      <c r="G303" s="47"/>
      <c r="H303" s="45">
        <f t="shared" si="10"/>
        <v>43405</v>
      </c>
      <c r="I303" s="27">
        <v>43434</v>
      </c>
      <c r="J303" t="e">
        <f t="shared" si="9"/>
        <v>#N/A</v>
      </c>
      <c r="K303" t="e">
        <f t="shared" si="9"/>
        <v>#N/A</v>
      </c>
      <c r="L303" t="e">
        <f t="shared" si="9"/>
        <v>#N/A</v>
      </c>
      <c r="M303">
        <f t="shared" si="9"/>
        <v>93.134859399999996</v>
      </c>
      <c r="N303">
        <f t="shared" si="9"/>
        <v>99.567640350000005</v>
      </c>
    </row>
    <row r="304" spans="1:14" x14ac:dyDescent="0.25">
      <c r="A304" s="45">
        <v>43435</v>
      </c>
      <c r="B304" s="46">
        <v>107.1</v>
      </c>
      <c r="C304" s="48">
        <v>115</v>
      </c>
      <c r="D304" s="48">
        <v>36.299999999999997</v>
      </c>
      <c r="E304" s="55">
        <v>95.002188750000002</v>
      </c>
      <c r="F304" s="55">
        <v>99.540646039999999</v>
      </c>
      <c r="G304" s="47"/>
      <c r="H304" s="45">
        <f t="shared" si="10"/>
        <v>43435</v>
      </c>
      <c r="I304" s="27">
        <v>43465</v>
      </c>
      <c r="J304">
        <f t="shared" si="9"/>
        <v>107.1</v>
      </c>
      <c r="K304">
        <f t="shared" si="9"/>
        <v>115</v>
      </c>
      <c r="L304">
        <f t="shared" si="9"/>
        <v>36.299999999999997</v>
      </c>
      <c r="M304">
        <f t="shared" si="9"/>
        <v>95.002188750000002</v>
      </c>
      <c r="N304">
        <f t="shared" si="9"/>
        <v>99.540646039999999</v>
      </c>
    </row>
    <row r="305" spans="1:14" x14ac:dyDescent="0.25">
      <c r="A305" s="45">
        <v>43466</v>
      </c>
      <c r="B305" s="46"/>
      <c r="C305" s="46"/>
      <c r="D305" s="46"/>
      <c r="E305" s="55">
        <v>98.674299289999993</v>
      </c>
      <c r="F305" s="55">
        <v>100.16375053</v>
      </c>
      <c r="G305" s="47"/>
      <c r="H305" s="45">
        <f t="shared" si="10"/>
        <v>43466</v>
      </c>
      <c r="I305" s="27">
        <v>43496</v>
      </c>
      <c r="J305" t="e">
        <f t="shared" si="9"/>
        <v>#N/A</v>
      </c>
      <c r="K305" t="e">
        <f t="shared" si="9"/>
        <v>#N/A</v>
      </c>
      <c r="L305" t="e">
        <f t="shared" si="9"/>
        <v>#N/A</v>
      </c>
      <c r="M305">
        <f t="shared" si="9"/>
        <v>98.674299289999993</v>
      </c>
      <c r="N305">
        <f t="shared" si="9"/>
        <v>100.16375053</v>
      </c>
    </row>
    <row r="306" spans="1:14" x14ac:dyDescent="0.25">
      <c r="A306" s="45">
        <v>43497</v>
      </c>
      <c r="B306" s="46"/>
      <c r="C306" s="46"/>
      <c r="D306" s="46"/>
      <c r="E306" s="55">
        <v>97.11550819</v>
      </c>
      <c r="F306" s="55">
        <v>101.20120821</v>
      </c>
      <c r="G306" s="47"/>
      <c r="H306" s="45">
        <f t="shared" si="10"/>
        <v>43497</v>
      </c>
      <c r="I306" s="27">
        <v>43524</v>
      </c>
      <c r="J306" t="e">
        <f t="shared" si="9"/>
        <v>#N/A</v>
      </c>
      <c r="K306" t="e">
        <f t="shared" si="9"/>
        <v>#N/A</v>
      </c>
      <c r="L306" t="e">
        <f t="shared" si="9"/>
        <v>#N/A</v>
      </c>
      <c r="M306">
        <f t="shared" si="9"/>
        <v>97.11550819</v>
      </c>
      <c r="N306">
        <f t="shared" si="9"/>
        <v>101.20120821</v>
      </c>
    </row>
    <row r="307" spans="1:14" x14ac:dyDescent="0.25">
      <c r="A307" s="45">
        <v>43525</v>
      </c>
      <c r="B307" s="46">
        <v>107.2</v>
      </c>
      <c r="C307" s="48">
        <v>116.2</v>
      </c>
      <c r="D307" s="48">
        <v>36.700000000000003</v>
      </c>
      <c r="E307" s="55">
        <v>105.48519736</v>
      </c>
      <c r="F307" s="55">
        <v>102.31088409</v>
      </c>
      <c r="G307" s="47"/>
      <c r="H307" s="45">
        <f t="shared" si="10"/>
        <v>43525</v>
      </c>
      <c r="I307" s="27">
        <v>43555</v>
      </c>
      <c r="J307">
        <f t="shared" si="9"/>
        <v>107.2</v>
      </c>
      <c r="K307">
        <f t="shared" si="9"/>
        <v>116.2</v>
      </c>
      <c r="L307">
        <f t="shared" si="9"/>
        <v>36.700000000000003</v>
      </c>
      <c r="M307">
        <f t="shared" si="9"/>
        <v>105.48519736</v>
      </c>
      <c r="N307">
        <f t="shared" si="9"/>
        <v>102.31088409</v>
      </c>
    </row>
    <row r="308" spans="1:14" x14ac:dyDescent="0.25">
      <c r="A308" s="45">
        <v>43556</v>
      </c>
      <c r="B308" s="46"/>
      <c r="C308" s="46"/>
      <c r="D308" s="46"/>
      <c r="E308" s="55">
        <v>107.06331591</v>
      </c>
      <c r="F308" s="55">
        <v>102.85880745999999</v>
      </c>
      <c r="G308" s="47"/>
      <c r="H308" s="45">
        <f t="shared" si="10"/>
        <v>43556</v>
      </c>
      <c r="I308" s="27">
        <v>43585</v>
      </c>
      <c r="J308" t="e">
        <f t="shared" si="9"/>
        <v>#N/A</v>
      </c>
      <c r="K308" t="e">
        <f t="shared" si="9"/>
        <v>#N/A</v>
      </c>
      <c r="L308" t="e">
        <f t="shared" si="9"/>
        <v>#N/A</v>
      </c>
      <c r="M308">
        <f t="shared" si="9"/>
        <v>107.06331591</v>
      </c>
      <c r="N308">
        <f t="shared" si="9"/>
        <v>102.85880745999999</v>
      </c>
    </row>
    <row r="309" spans="1:14" x14ac:dyDescent="0.25">
      <c r="A309" s="45">
        <v>43586</v>
      </c>
      <c r="B309" s="46"/>
      <c r="C309" s="46"/>
      <c r="D309" s="46"/>
      <c r="E309" s="55">
        <v>107.21206284</v>
      </c>
      <c r="F309" s="55">
        <v>102.43774430000001</v>
      </c>
      <c r="G309" s="47"/>
      <c r="H309" s="45">
        <f t="shared" si="10"/>
        <v>43586</v>
      </c>
      <c r="I309" s="27">
        <v>43616</v>
      </c>
      <c r="J309" t="e">
        <f t="shared" si="9"/>
        <v>#N/A</v>
      </c>
      <c r="K309" t="e">
        <f t="shared" si="9"/>
        <v>#N/A</v>
      </c>
      <c r="L309" t="e">
        <f t="shared" si="9"/>
        <v>#N/A</v>
      </c>
      <c r="M309">
        <f t="shared" si="9"/>
        <v>107.21206284</v>
      </c>
      <c r="N309">
        <f t="shared" si="9"/>
        <v>102.43774430000001</v>
      </c>
    </row>
    <row r="310" spans="1:14" x14ac:dyDescent="0.25">
      <c r="A310" s="45">
        <v>43617</v>
      </c>
      <c r="B310" s="46">
        <v>108.4</v>
      </c>
      <c r="C310" s="48">
        <v>113.5</v>
      </c>
      <c r="D310" s="48">
        <v>36.9</v>
      </c>
      <c r="E310" s="55">
        <v>106.26040638000001</v>
      </c>
      <c r="F310" s="55">
        <v>100.94078259</v>
      </c>
      <c r="G310" s="47"/>
      <c r="H310" s="45">
        <f t="shared" si="10"/>
        <v>43617</v>
      </c>
      <c r="I310" s="27">
        <v>43646</v>
      </c>
      <c r="J310">
        <f t="shared" si="9"/>
        <v>108.4</v>
      </c>
      <c r="K310">
        <f t="shared" si="9"/>
        <v>113.5</v>
      </c>
      <c r="L310">
        <f t="shared" si="9"/>
        <v>36.9</v>
      </c>
      <c r="M310">
        <f t="shared" si="9"/>
        <v>106.26040638000001</v>
      </c>
      <c r="N310">
        <f t="shared" si="9"/>
        <v>100.94078259</v>
      </c>
    </row>
    <row r="311" spans="1:14" x14ac:dyDescent="0.25">
      <c r="A311" s="45">
        <v>43647</v>
      </c>
      <c r="B311" s="46"/>
      <c r="C311" s="46"/>
      <c r="D311" s="46"/>
      <c r="E311" s="55">
        <v>100.72260661</v>
      </c>
      <c r="F311" s="55">
        <v>98.602033090000006</v>
      </c>
      <c r="G311" s="47"/>
      <c r="H311" s="45">
        <f t="shared" si="10"/>
        <v>43647</v>
      </c>
      <c r="I311" s="27">
        <v>43677</v>
      </c>
      <c r="J311" t="e">
        <f t="shared" si="9"/>
        <v>#N/A</v>
      </c>
      <c r="K311" t="e">
        <f t="shared" si="9"/>
        <v>#N/A</v>
      </c>
      <c r="L311" t="e">
        <f t="shared" si="9"/>
        <v>#N/A</v>
      </c>
      <c r="M311">
        <f t="shared" si="9"/>
        <v>100.72260661</v>
      </c>
      <c r="N311">
        <f t="shared" si="9"/>
        <v>98.602033090000006</v>
      </c>
    </row>
    <row r="312" spans="1:14" x14ac:dyDescent="0.25">
      <c r="A312" s="45">
        <v>43678</v>
      </c>
      <c r="B312" s="46"/>
      <c r="C312" s="46"/>
      <c r="D312" s="46"/>
      <c r="E312" s="55">
        <v>94.374943639999998</v>
      </c>
      <c r="F312" s="55">
        <v>96.035579670000004</v>
      </c>
      <c r="G312" s="47"/>
      <c r="H312" s="45">
        <f t="shared" si="10"/>
        <v>43678</v>
      </c>
      <c r="I312" s="27">
        <v>43708</v>
      </c>
      <c r="J312" t="e">
        <f t="shared" si="9"/>
        <v>#N/A</v>
      </c>
      <c r="K312" t="e">
        <f t="shared" si="9"/>
        <v>#N/A</v>
      </c>
      <c r="L312" t="e">
        <f t="shared" si="9"/>
        <v>#N/A</v>
      </c>
      <c r="M312">
        <f t="shared" si="9"/>
        <v>94.374943639999998</v>
      </c>
      <c r="N312">
        <f t="shared" si="9"/>
        <v>96.035579670000004</v>
      </c>
    </row>
    <row r="313" spans="1:14" x14ac:dyDescent="0.25">
      <c r="A313" s="45">
        <v>43709</v>
      </c>
      <c r="B313" s="46">
        <v>92.5</v>
      </c>
      <c r="C313" s="55">
        <v>112.8</v>
      </c>
      <c r="D313" s="48">
        <v>35.200000000000003</v>
      </c>
      <c r="E313" s="55">
        <v>92.843316569999999</v>
      </c>
      <c r="F313" s="55">
        <v>94.006975740000001</v>
      </c>
      <c r="G313" s="47"/>
      <c r="H313" s="45">
        <f t="shared" si="10"/>
        <v>43709</v>
      </c>
      <c r="I313" s="27">
        <v>43738</v>
      </c>
      <c r="J313">
        <f t="shared" si="9"/>
        <v>92.5</v>
      </c>
      <c r="K313">
        <f t="shared" si="9"/>
        <v>112.8</v>
      </c>
      <c r="L313">
        <f t="shared" si="9"/>
        <v>35.200000000000003</v>
      </c>
      <c r="M313">
        <f t="shared" si="9"/>
        <v>92.843316569999999</v>
      </c>
      <c r="N313">
        <f t="shared" si="9"/>
        <v>94.006975740000001</v>
      </c>
    </row>
    <row r="314" spans="1:14" x14ac:dyDescent="0.25">
      <c r="A314" s="45">
        <v>43739</v>
      </c>
      <c r="B314" s="46"/>
      <c r="C314" s="46"/>
      <c r="D314" s="46"/>
      <c r="E314" s="55">
        <v>79.453546410000001</v>
      </c>
      <c r="F314" s="55">
        <v>93.163157859999998</v>
      </c>
      <c r="G314" s="47"/>
      <c r="H314" s="45">
        <f t="shared" si="10"/>
        <v>43739</v>
      </c>
      <c r="I314" s="27">
        <v>43769</v>
      </c>
      <c r="J314" t="e">
        <f t="shared" si="9"/>
        <v>#N/A</v>
      </c>
      <c r="K314" t="e">
        <f t="shared" si="9"/>
        <v>#N/A</v>
      </c>
      <c r="L314" t="e">
        <f t="shared" si="9"/>
        <v>#N/A</v>
      </c>
      <c r="M314">
        <f t="shared" si="9"/>
        <v>79.453546410000001</v>
      </c>
      <c r="N314">
        <f t="shared" si="9"/>
        <v>93.163157859999998</v>
      </c>
    </row>
    <row r="315" spans="1:14" x14ac:dyDescent="0.25">
      <c r="A315" s="45">
        <v>43770</v>
      </c>
      <c r="B315" s="46"/>
      <c r="C315" s="46"/>
      <c r="D315" s="46"/>
      <c r="E315" s="55">
        <v>88.990405249999995</v>
      </c>
      <c r="F315" s="55">
        <v>94.067944060000002</v>
      </c>
      <c r="G315" s="47"/>
      <c r="H315" s="45">
        <f t="shared" si="10"/>
        <v>43770</v>
      </c>
      <c r="I315" s="27">
        <v>43799</v>
      </c>
      <c r="J315" t="e">
        <f t="shared" si="9"/>
        <v>#N/A</v>
      </c>
      <c r="K315" t="e">
        <f t="shared" si="9"/>
        <v>#N/A</v>
      </c>
      <c r="L315" t="e">
        <f t="shared" si="9"/>
        <v>#N/A</v>
      </c>
      <c r="M315">
        <f t="shared" si="9"/>
        <v>88.990405249999995</v>
      </c>
      <c r="N315">
        <f t="shared" si="9"/>
        <v>94.067944060000002</v>
      </c>
    </row>
    <row r="316" spans="1:14" x14ac:dyDescent="0.25">
      <c r="A316" s="45">
        <v>43800</v>
      </c>
      <c r="B316" s="55">
        <v>93</v>
      </c>
      <c r="C316" s="48">
        <v>102.2</v>
      </c>
      <c r="D316" s="48">
        <v>21.7</v>
      </c>
      <c r="E316" s="55">
        <v>99.428991550000006</v>
      </c>
      <c r="F316" s="55">
        <v>96.305894420000001</v>
      </c>
      <c r="G316" s="46"/>
      <c r="H316" s="45">
        <f t="shared" si="10"/>
        <v>43800</v>
      </c>
      <c r="I316" s="27">
        <v>43830</v>
      </c>
      <c r="J316">
        <f t="shared" ref="J316:N337" si="11">IF(ISNUMBER(VLOOKUP($H316,$A$27:$F$369,J$25,FALSE)),VLOOKUP($H316,$A$27:$F$369,J$25,FALSE),NA())</f>
        <v>93</v>
      </c>
      <c r="K316">
        <f t="shared" si="11"/>
        <v>102.2</v>
      </c>
      <c r="L316">
        <f t="shared" si="11"/>
        <v>21.7</v>
      </c>
      <c r="M316">
        <f t="shared" si="11"/>
        <v>99.428991550000006</v>
      </c>
      <c r="N316">
        <f t="shared" si="11"/>
        <v>96.305894420000001</v>
      </c>
    </row>
    <row r="317" spans="1:14" x14ac:dyDescent="0.25">
      <c r="A317" s="45">
        <v>43831</v>
      </c>
      <c r="B317" s="46"/>
      <c r="C317" s="46"/>
      <c r="D317" s="46"/>
      <c r="E317" s="55">
        <v>106.86948827000001</v>
      </c>
      <c r="F317" s="55">
        <v>99.098887689999998</v>
      </c>
      <c r="G317" s="49"/>
      <c r="H317" s="45">
        <f t="shared" si="10"/>
        <v>43831</v>
      </c>
      <c r="I317" s="27">
        <v>43861</v>
      </c>
      <c r="J317" t="e">
        <f t="shared" si="11"/>
        <v>#N/A</v>
      </c>
      <c r="K317" t="e">
        <f t="shared" si="11"/>
        <v>#N/A</v>
      </c>
      <c r="L317" t="e">
        <f t="shared" si="11"/>
        <v>#N/A</v>
      </c>
      <c r="M317">
        <f t="shared" si="11"/>
        <v>106.86948827000001</v>
      </c>
      <c r="N317">
        <f t="shared" si="11"/>
        <v>99.098887689999998</v>
      </c>
    </row>
    <row r="318" spans="1:14" x14ac:dyDescent="0.25">
      <c r="A318" s="45">
        <v>43891</v>
      </c>
      <c r="B318" s="46"/>
      <c r="C318" s="55">
        <v>105</v>
      </c>
      <c r="D318" s="55">
        <v>22.6</v>
      </c>
      <c r="E318" s="46"/>
      <c r="F318" s="46"/>
      <c r="G318" s="49"/>
      <c r="H318" s="45">
        <f t="shared" si="10"/>
        <v>43891</v>
      </c>
      <c r="I318" s="27">
        <v>43890</v>
      </c>
      <c r="J318" t="e">
        <f t="shared" si="11"/>
        <v>#N/A</v>
      </c>
      <c r="K318">
        <f t="shared" si="11"/>
        <v>105</v>
      </c>
      <c r="L318">
        <f t="shared" si="11"/>
        <v>22.6</v>
      </c>
      <c r="M318" t="e">
        <f t="shared" si="11"/>
        <v>#N/A</v>
      </c>
      <c r="N318" t="e">
        <f t="shared" si="11"/>
        <v>#N/A</v>
      </c>
    </row>
    <row r="319" spans="1:14" x14ac:dyDescent="0.25">
      <c r="B319" s="49"/>
      <c r="C319" s="49"/>
      <c r="D319" s="49"/>
      <c r="E319" s="49"/>
      <c r="F319" s="49"/>
      <c r="G319" s="49"/>
      <c r="H319" s="45">
        <f t="shared" si="10"/>
        <v>0</v>
      </c>
      <c r="I319" s="27">
        <v>43921</v>
      </c>
      <c r="J319" t="e">
        <f t="shared" si="11"/>
        <v>#N/A</v>
      </c>
      <c r="K319" t="e">
        <f t="shared" si="11"/>
        <v>#N/A</v>
      </c>
      <c r="L319" t="e">
        <f t="shared" si="11"/>
        <v>#N/A</v>
      </c>
      <c r="M319" t="e">
        <f t="shared" si="11"/>
        <v>#N/A</v>
      </c>
      <c r="N319" t="e">
        <f t="shared" si="11"/>
        <v>#N/A</v>
      </c>
    </row>
    <row r="320" spans="1:14" x14ac:dyDescent="0.25">
      <c r="B320" s="49"/>
      <c r="C320" s="49"/>
      <c r="D320" s="49"/>
      <c r="E320" s="49"/>
      <c r="F320" s="49"/>
      <c r="G320" s="49"/>
      <c r="H320" s="45">
        <f t="shared" si="10"/>
        <v>0</v>
      </c>
      <c r="I320" s="27">
        <v>43951</v>
      </c>
      <c r="J320" t="e">
        <f t="shared" si="11"/>
        <v>#N/A</v>
      </c>
      <c r="K320" t="e">
        <f t="shared" si="11"/>
        <v>#N/A</v>
      </c>
      <c r="L320" t="e">
        <f t="shared" si="11"/>
        <v>#N/A</v>
      </c>
      <c r="M320" t="e">
        <f t="shared" si="11"/>
        <v>#N/A</v>
      </c>
      <c r="N320" t="e">
        <f t="shared" si="11"/>
        <v>#N/A</v>
      </c>
    </row>
    <row r="321" spans="2:14" x14ac:dyDescent="0.25">
      <c r="B321" s="49"/>
      <c r="C321" s="49"/>
      <c r="D321" s="49"/>
      <c r="E321" s="49"/>
      <c r="F321" s="49"/>
      <c r="G321" s="49"/>
      <c r="H321" s="45">
        <f t="shared" si="10"/>
        <v>0</v>
      </c>
      <c r="I321" s="27">
        <v>43982</v>
      </c>
      <c r="J321" t="e">
        <f t="shared" si="11"/>
        <v>#N/A</v>
      </c>
      <c r="K321" t="e">
        <f t="shared" si="11"/>
        <v>#N/A</v>
      </c>
      <c r="L321" t="e">
        <f t="shared" si="11"/>
        <v>#N/A</v>
      </c>
      <c r="M321" t="e">
        <f t="shared" si="11"/>
        <v>#N/A</v>
      </c>
      <c r="N321" t="e">
        <f t="shared" si="11"/>
        <v>#N/A</v>
      </c>
    </row>
    <row r="322" spans="2:14" x14ac:dyDescent="0.25">
      <c r="B322" s="49"/>
      <c r="C322" s="49"/>
      <c r="D322" s="49"/>
      <c r="E322" s="49"/>
      <c r="F322" s="49"/>
      <c r="G322" s="49"/>
      <c r="H322" s="45">
        <f t="shared" si="10"/>
        <v>0</v>
      </c>
      <c r="I322" s="27">
        <v>44012</v>
      </c>
      <c r="J322" t="e">
        <f t="shared" si="11"/>
        <v>#N/A</v>
      </c>
      <c r="K322" t="e">
        <f t="shared" si="11"/>
        <v>#N/A</v>
      </c>
      <c r="L322" t="e">
        <f t="shared" si="11"/>
        <v>#N/A</v>
      </c>
      <c r="M322" t="e">
        <f t="shared" si="11"/>
        <v>#N/A</v>
      </c>
      <c r="N322" t="e">
        <f t="shared" si="11"/>
        <v>#N/A</v>
      </c>
    </row>
    <row r="323" spans="2:14" x14ac:dyDescent="0.25">
      <c r="B323" s="49"/>
      <c r="C323" s="49"/>
      <c r="D323" s="49"/>
      <c r="E323" s="49"/>
      <c r="F323" s="49"/>
      <c r="G323" s="49"/>
      <c r="H323" s="45">
        <f t="shared" si="10"/>
        <v>0</v>
      </c>
      <c r="I323" s="27">
        <v>44043</v>
      </c>
      <c r="J323" t="e">
        <f t="shared" si="11"/>
        <v>#N/A</v>
      </c>
      <c r="K323" t="e">
        <f t="shared" si="11"/>
        <v>#N/A</v>
      </c>
      <c r="L323" t="e">
        <f t="shared" si="11"/>
        <v>#N/A</v>
      </c>
      <c r="M323" t="e">
        <f t="shared" si="11"/>
        <v>#N/A</v>
      </c>
      <c r="N323" t="e">
        <f t="shared" si="11"/>
        <v>#N/A</v>
      </c>
    </row>
    <row r="324" spans="2:14" x14ac:dyDescent="0.25">
      <c r="B324" s="49"/>
      <c r="C324" s="49"/>
      <c r="D324" s="49"/>
      <c r="E324" s="49"/>
      <c r="F324" s="49"/>
      <c r="G324" s="49"/>
      <c r="H324" s="45">
        <f t="shared" si="10"/>
        <v>0</v>
      </c>
      <c r="I324" s="27">
        <v>44074</v>
      </c>
      <c r="J324" t="e">
        <f t="shared" si="11"/>
        <v>#N/A</v>
      </c>
      <c r="K324" t="e">
        <f t="shared" si="11"/>
        <v>#N/A</v>
      </c>
      <c r="L324" t="e">
        <f t="shared" si="11"/>
        <v>#N/A</v>
      </c>
      <c r="M324" t="e">
        <f t="shared" si="11"/>
        <v>#N/A</v>
      </c>
      <c r="N324" t="e">
        <f t="shared" si="11"/>
        <v>#N/A</v>
      </c>
    </row>
    <row r="325" spans="2:14" x14ac:dyDescent="0.25">
      <c r="B325" s="49"/>
      <c r="C325" s="49"/>
      <c r="D325" s="49"/>
      <c r="E325" s="49"/>
      <c r="F325" s="49"/>
      <c r="G325" s="49"/>
      <c r="H325" s="45">
        <f t="shared" si="10"/>
        <v>0</v>
      </c>
      <c r="I325" s="27">
        <v>44104</v>
      </c>
      <c r="J325" t="e">
        <f t="shared" si="11"/>
        <v>#N/A</v>
      </c>
      <c r="K325" t="e">
        <f t="shared" si="11"/>
        <v>#N/A</v>
      </c>
      <c r="L325" t="e">
        <f t="shared" si="11"/>
        <v>#N/A</v>
      </c>
      <c r="M325" t="e">
        <f t="shared" si="11"/>
        <v>#N/A</v>
      </c>
      <c r="N325" t="e">
        <f t="shared" si="11"/>
        <v>#N/A</v>
      </c>
    </row>
    <row r="326" spans="2:14" x14ac:dyDescent="0.25">
      <c r="B326" s="49"/>
      <c r="C326" s="49"/>
      <c r="D326" s="49"/>
      <c r="E326" s="49"/>
      <c r="F326" s="49"/>
      <c r="G326" s="49"/>
      <c r="H326" s="45">
        <f t="shared" si="10"/>
        <v>0</v>
      </c>
      <c r="I326" s="27">
        <v>44135</v>
      </c>
      <c r="J326" t="e">
        <f t="shared" si="11"/>
        <v>#N/A</v>
      </c>
      <c r="K326" t="e">
        <f t="shared" si="11"/>
        <v>#N/A</v>
      </c>
      <c r="L326" t="e">
        <f t="shared" si="11"/>
        <v>#N/A</v>
      </c>
      <c r="M326" t="e">
        <f t="shared" si="11"/>
        <v>#N/A</v>
      </c>
      <c r="N326" t="e">
        <f t="shared" si="11"/>
        <v>#N/A</v>
      </c>
    </row>
    <row r="327" spans="2:14" x14ac:dyDescent="0.25">
      <c r="B327" s="49"/>
      <c r="C327" s="49"/>
      <c r="D327" s="49"/>
      <c r="E327" s="49"/>
      <c r="F327" s="49"/>
      <c r="G327" s="49"/>
      <c r="H327" s="45">
        <f t="shared" si="10"/>
        <v>0</v>
      </c>
      <c r="I327" s="27">
        <v>44165</v>
      </c>
      <c r="J327" t="e">
        <f t="shared" si="11"/>
        <v>#N/A</v>
      </c>
      <c r="K327" t="e">
        <f t="shared" si="11"/>
        <v>#N/A</v>
      </c>
      <c r="L327" t="e">
        <f t="shared" si="11"/>
        <v>#N/A</v>
      </c>
      <c r="M327" t="e">
        <f t="shared" si="11"/>
        <v>#N/A</v>
      </c>
      <c r="N327" t="e">
        <f t="shared" si="11"/>
        <v>#N/A</v>
      </c>
    </row>
    <row r="328" spans="2:14" x14ac:dyDescent="0.25">
      <c r="B328" s="49"/>
      <c r="C328" s="49"/>
      <c r="D328" s="49"/>
      <c r="E328" s="49"/>
      <c r="F328" s="49"/>
      <c r="G328" s="49"/>
      <c r="H328" s="45">
        <f t="shared" si="10"/>
        <v>0</v>
      </c>
      <c r="I328" s="27">
        <v>44196</v>
      </c>
      <c r="J328" t="e">
        <f t="shared" si="11"/>
        <v>#N/A</v>
      </c>
      <c r="K328" t="e">
        <f t="shared" si="11"/>
        <v>#N/A</v>
      </c>
      <c r="L328" t="e">
        <f t="shared" si="11"/>
        <v>#N/A</v>
      </c>
      <c r="M328" t="e">
        <f t="shared" si="11"/>
        <v>#N/A</v>
      </c>
      <c r="N328" t="e">
        <f t="shared" si="11"/>
        <v>#N/A</v>
      </c>
    </row>
    <row r="329" spans="2:14" x14ac:dyDescent="0.25">
      <c r="B329" s="49"/>
      <c r="C329" s="49"/>
      <c r="D329" s="49"/>
      <c r="E329" s="49"/>
      <c r="F329" s="49"/>
      <c r="G329" s="49"/>
      <c r="H329" s="45">
        <f t="shared" si="10"/>
        <v>0</v>
      </c>
      <c r="I329" s="27">
        <v>44227</v>
      </c>
      <c r="J329" t="e">
        <f t="shared" si="11"/>
        <v>#N/A</v>
      </c>
      <c r="K329" t="e">
        <f t="shared" si="11"/>
        <v>#N/A</v>
      </c>
      <c r="L329" t="e">
        <f t="shared" si="11"/>
        <v>#N/A</v>
      </c>
      <c r="M329" t="e">
        <f t="shared" si="11"/>
        <v>#N/A</v>
      </c>
      <c r="N329" t="e">
        <f t="shared" si="11"/>
        <v>#N/A</v>
      </c>
    </row>
    <row r="330" spans="2:14" x14ac:dyDescent="0.25">
      <c r="B330" s="49"/>
      <c r="C330" s="49"/>
      <c r="D330" s="49"/>
      <c r="E330" s="49"/>
      <c r="F330" s="49"/>
      <c r="G330" s="49"/>
      <c r="H330" s="45">
        <f t="shared" si="10"/>
        <v>0</v>
      </c>
      <c r="I330" s="27">
        <v>44255</v>
      </c>
      <c r="J330" t="e">
        <f t="shared" si="11"/>
        <v>#N/A</v>
      </c>
      <c r="K330" t="e">
        <f t="shared" si="11"/>
        <v>#N/A</v>
      </c>
      <c r="L330" t="e">
        <f t="shared" si="11"/>
        <v>#N/A</v>
      </c>
      <c r="M330" t="e">
        <f t="shared" si="11"/>
        <v>#N/A</v>
      </c>
      <c r="N330" t="e">
        <f t="shared" si="11"/>
        <v>#N/A</v>
      </c>
    </row>
    <row r="331" spans="2:14" x14ac:dyDescent="0.25">
      <c r="B331" s="49"/>
      <c r="C331" s="49"/>
      <c r="D331" s="49"/>
      <c r="E331" s="49"/>
      <c r="F331" s="49"/>
      <c r="H331" s="45">
        <f t="shared" si="10"/>
        <v>0</v>
      </c>
      <c r="I331" s="27">
        <v>44286</v>
      </c>
      <c r="J331" t="e">
        <f t="shared" si="11"/>
        <v>#N/A</v>
      </c>
      <c r="K331" t="e">
        <f t="shared" si="11"/>
        <v>#N/A</v>
      </c>
      <c r="L331" t="e">
        <f t="shared" si="11"/>
        <v>#N/A</v>
      </c>
      <c r="M331" t="e">
        <f t="shared" si="11"/>
        <v>#N/A</v>
      </c>
      <c r="N331" t="e">
        <f t="shared" si="11"/>
        <v>#N/A</v>
      </c>
    </row>
    <row r="332" spans="2:14" x14ac:dyDescent="0.25">
      <c r="B332" s="49"/>
      <c r="C332" s="49"/>
      <c r="D332" s="49"/>
      <c r="E332" s="49"/>
      <c r="F332" s="49"/>
      <c r="H332" s="45">
        <f t="shared" si="10"/>
        <v>0</v>
      </c>
      <c r="I332" s="27">
        <v>44316</v>
      </c>
      <c r="J332" t="e">
        <f t="shared" si="11"/>
        <v>#N/A</v>
      </c>
      <c r="K332" t="e">
        <f t="shared" si="11"/>
        <v>#N/A</v>
      </c>
      <c r="L332" t="e">
        <f t="shared" si="11"/>
        <v>#N/A</v>
      </c>
      <c r="M332" t="e">
        <f t="shared" si="11"/>
        <v>#N/A</v>
      </c>
      <c r="N332" t="e">
        <f t="shared" si="11"/>
        <v>#N/A</v>
      </c>
    </row>
    <row r="333" spans="2:14" x14ac:dyDescent="0.25">
      <c r="H333" s="45">
        <f t="shared" si="10"/>
        <v>0</v>
      </c>
      <c r="I333" s="27">
        <v>44347</v>
      </c>
      <c r="J333" t="e">
        <f t="shared" si="11"/>
        <v>#N/A</v>
      </c>
      <c r="K333" t="e">
        <f t="shared" si="11"/>
        <v>#N/A</v>
      </c>
      <c r="L333" t="e">
        <f t="shared" si="11"/>
        <v>#N/A</v>
      </c>
      <c r="M333" t="e">
        <f t="shared" si="11"/>
        <v>#N/A</v>
      </c>
      <c r="N333" t="e">
        <f t="shared" si="11"/>
        <v>#N/A</v>
      </c>
    </row>
    <row r="334" spans="2:14" x14ac:dyDescent="0.25">
      <c r="H334" s="45">
        <f t="shared" si="10"/>
        <v>0</v>
      </c>
      <c r="I334" s="27">
        <v>44377</v>
      </c>
      <c r="J334" t="e">
        <f t="shared" si="11"/>
        <v>#N/A</v>
      </c>
      <c r="K334" t="e">
        <f t="shared" si="11"/>
        <v>#N/A</v>
      </c>
      <c r="L334" t="e">
        <f t="shared" si="11"/>
        <v>#N/A</v>
      </c>
      <c r="M334" t="e">
        <f t="shared" si="11"/>
        <v>#N/A</v>
      </c>
      <c r="N334" t="e">
        <f t="shared" si="11"/>
        <v>#N/A</v>
      </c>
    </row>
    <row r="335" spans="2:14" x14ac:dyDescent="0.25">
      <c r="H335" s="45">
        <f t="shared" si="10"/>
        <v>0</v>
      </c>
      <c r="I335" s="27">
        <v>44408</v>
      </c>
      <c r="J335" t="e">
        <f t="shared" si="11"/>
        <v>#N/A</v>
      </c>
      <c r="K335" t="e">
        <f t="shared" si="11"/>
        <v>#N/A</v>
      </c>
      <c r="L335" t="e">
        <f t="shared" si="11"/>
        <v>#N/A</v>
      </c>
      <c r="M335" t="e">
        <f t="shared" si="11"/>
        <v>#N/A</v>
      </c>
      <c r="N335" t="e">
        <f t="shared" si="11"/>
        <v>#N/A</v>
      </c>
    </row>
    <row r="336" spans="2:14" x14ac:dyDescent="0.25">
      <c r="H336" s="45">
        <f t="shared" si="10"/>
        <v>0</v>
      </c>
      <c r="I336" s="27">
        <v>44439</v>
      </c>
      <c r="J336" t="e">
        <f t="shared" si="11"/>
        <v>#N/A</v>
      </c>
      <c r="K336" t="e">
        <f t="shared" si="11"/>
        <v>#N/A</v>
      </c>
      <c r="L336" t="e">
        <f t="shared" si="11"/>
        <v>#N/A</v>
      </c>
      <c r="M336" t="e">
        <f t="shared" si="11"/>
        <v>#N/A</v>
      </c>
      <c r="N336" t="e">
        <f t="shared" si="11"/>
        <v>#N/A</v>
      </c>
    </row>
    <row r="337" spans="8:14" x14ac:dyDescent="0.25">
      <c r="H337" s="45">
        <f t="shared" si="10"/>
        <v>0</v>
      </c>
      <c r="I337" s="27">
        <v>44469</v>
      </c>
      <c r="J337" t="e">
        <f t="shared" si="11"/>
        <v>#N/A</v>
      </c>
      <c r="K337" t="e">
        <f t="shared" si="11"/>
        <v>#N/A</v>
      </c>
      <c r="L337" t="e">
        <f t="shared" si="11"/>
        <v>#N/A</v>
      </c>
      <c r="M337" t="e">
        <f t="shared" si="11"/>
        <v>#N/A</v>
      </c>
      <c r="N337" t="e">
        <f t="shared" si="11"/>
        <v>#N/A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E6216-4EA9-44FA-90F7-C33A5251B3C3}">
  <sheetPr>
    <tabColor rgb="FF00B050"/>
  </sheetPr>
  <dimension ref="A1:L9623"/>
  <sheetViews>
    <sheetView workbookViewId="0">
      <pane xSplit="2" ySplit="3" topLeftCell="C235" activePane="bottomRight" state="frozen"/>
      <selection pane="topRight" activeCell="C1" sqref="C1"/>
      <selection pane="bottomLeft" activeCell="A3" sqref="A3"/>
      <selection pane="bottomRight" activeCell="D261" sqref="D261"/>
    </sheetView>
  </sheetViews>
  <sheetFormatPr defaultRowHeight="12.75" x14ac:dyDescent="0.2"/>
  <cols>
    <col min="1" max="1" width="5.7109375" style="8" customWidth="1"/>
    <col min="2" max="2" width="10.140625" style="8" bestFit="1" customWidth="1"/>
    <col min="3" max="11" width="13.7109375" style="9" customWidth="1"/>
    <col min="12" max="16384" width="9.140625" style="8"/>
  </cols>
  <sheetData>
    <row r="1" spans="1:12" x14ac:dyDescent="0.2">
      <c r="C1" s="9" t="s">
        <v>372</v>
      </c>
      <c r="D1" s="9" t="s">
        <v>373</v>
      </c>
      <c r="E1" s="9" t="s">
        <v>374</v>
      </c>
      <c r="F1" s="9" t="s">
        <v>375</v>
      </c>
    </row>
    <row r="2" spans="1:12" ht="33" customHeight="1" x14ac:dyDescent="0.2">
      <c r="C2" s="25" t="s">
        <v>281</v>
      </c>
      <c r="D2" s="25" t="s">
        <v>280</v>
      </c>
      <c r="E2" s="25" t="s">
        <v>279</v>
      </c>
      <c r="F2" s="25" t="s">
        <v>278</v>
      </c>
      <c r="G2" s="25" t="s">
        <v>277</v>
      </c>
      <c r="H2" s="25" t="s">
        <v>276</v>
      </c>
      <c r="I2" s="25" t="s">
        <v>275</v>
      </c>
      <c r="J2" s="25" t="s">
        <v>265</v>
      </c>
      <c r="K2" s="25" t="s">
        <v>274</v>
      </c>
      <c r="L2" s="25" t="s">
        <v>274</v>
      </c>
    </row>
    <row r="3" spans="1:12" ht="25.5" x14ac:dyDescent="0.25">
      <c r="A3" s="21">
        <v>0</v>
      </c>
      <c r="B3" s="20" t="s">
        <v>273</v>
      </c>
      <c r="C3" s="24" t="s">
        <v>272</v>
      </c>
      <c r="D3" s="24" t="s">
        <v>271</v>
      </c>
      <c r="E3" s="24" t="s">
        <v>270</v>
      </c>
      <c r="F3" s="24" t="s">
        <v>269</v>
      </c>
      <c r="G3" s="24" t="s">
        <v>268</v>
      </c>
      <c r="H3" s="24" t="s">
        <v>267</v>
      </c>
      <c r="I3" s="24" t="s">
        <v>266</v>
      </c>
      <c r="J3" s="24" t="s">
        <v>265</v>
      </c>
      <c r="K3" s="24" t="s">
        <v>264</v>
      </c>
      <c r="L3" s="24" t="s">
        <v>429</v>
      </c>
    </row>
    <row r="4" spans="1:12" ht="15" x14ac:dyDescent="0.25">
      <c r="A4" s="21">
        <v>2</v>
      </c>
      <c r="B4" s="20" t="s">
        <v>263</v>
      </c>
      <c r="C4" s="19" t="s">
        <v>262</v>
      </c>
      <c r="D4" s="19" t="str">
        <f t="shared" ref="D4:L4" si="0">C4</f>
        <v>px_last</v>
      </c>
      <c r="E4" s="19" t="str">
        <f t="shared" si="0"/>
        <v>px_last</v>
      </c>
      <c r="F4" s="19" t="str">
        <f t="shared" si="0"/>
        <v>px_last</v>
      </c>
      <c r="G4" s="19" t="str">
        <f t="shared" si="0"/>
        <v>px_last</v>
      </c>
      <c r="H4" s="19" t="str">
        <f t="shared" si="0"/>
        <v>px_last</v>
      </c>
      <c r="I4" s="19" t="str">
        <f t="shared" si="0"/>
        <v>px_last</v>
      </c>
      <c r="J4" s="19" t="str">
        <f t="shared" si="0"/>
        <v>px_last</v>
      </c>
      <c r="K4" s="19" t="str">
        <f t="shared" si="0"/>
        <v>px_last</v>
      </c>
      <c r="L4" s="19" t="str">
        <f t="shared" si="0"/>
        <v>px_last</v>
      </c>
    </row>
    <row r="5" spans="1:12" ht="15" x14ac:dyDescent="0.25">
      <c r="A5" s="21">
        <v>3</v>
      </c>
      <c r="B5" s="20" t="s">
        <v>261</v>
      </c>
      <c r="C5" s="23">
        <v>36523</v>
      </c>
      <c r="D5" s="22">
        <f t="shared" ref="D5:L5" si="1">$C$5</f>
        <v>36523</v>
      </c>
      <c r="E5" s="22">
        <f t="shared" si="1"/>
        <v>36523</v>
      </c>
      <c r="F5" s="22">
        <f t="shared" si="1"/>
        <v>36523</v>
      </c>
      <c r="G5" s="22">
        <f t="shared" si="1"/>
        <v>36523</v>
      </c>
      <c r="H5" s="22">
        <f t="shared" si="1"/>
        <v>36523</v>
      </c>
      <c r="I5" s="22">
        <f t="shared" si="1"/>
        <v>36523</v>
      </c>
      <c r="J5" s="22">
        <f t="shared" si="1"/>
        <v>36523</v>
      </c>
      <c r="K5" s="22">
        <f t="shared" si="1"/>
        <v>36523</v>
      </c>
      <c r="L5" s="22">
        <f t="shared" si="1"/>
        <v>36523</v>
      </c>
    </row>
    <row r="6" spans="1:12" ht="15" x14ac:dyDescent="0.25">
      <c r="A6" s="21">
        <v>4</v>
      </c>
      <c r="B6" s="20" t="s">
        <v>260</v>
      </c>
      <c r="C6" s="19"/>
      <c r="D6" s="19"/>
      <c r="E6" s="19"/>
      <c r="F6" s="19"/>
      <c r="G6" s="19"/>
      <c r="H6" s="19"/>
      <c r="I6" s="19"/>
      <c r="J6" s="19"/>
      <c r="K6" s="19"/>
      <c r="L6" s="19"/>
    </row>
    <row r="7" spans="1:12" ht="15" x14ac:dyDescent="0.25">
      <c r="A7" s="17" t="s">
        <v>259</v>
      </c>
      <c r="B7" s="17" t="s">
        <v>258</v>
      </c>
      <c r="C7" s="18" t="s">
        <v>257</v>
      </c>
      <c r="D7" s="18" t="str">
        <f t="shared" ref="D7:L7" si="2">$C$7</f>
        <v>m</v>
      </c>
      <c r="E7" s="18" t="str">
        <f t="shared" si="2"/>
        <v>m</v>
      </c>
      <c r="F7" s="18" t="str">
        <f t="shared" si="2"/>
        <v>m</v>
      </c>
      <c r="G7" s="18" t="str">
        <f t="shared" si="2"/>
        <v>m</v>
      </c>
      <c r="H7" s="18" t="str">
        <f t="shared" si="2"/>
        <v>m</v>
      </c>
      <c r="I7" s="18" t="str">
        <f t="shared" si="2"/>
        <v>m</v>
      </c>
      <c r="J7" s="18" t="str">
        <f t="shared" si="2"/>
        <v>m</v>
      </c>
      <c r="K7" s="18" t="str">
        <f t="shared" si="2"/>
        <v>m</v>
      </c>
      <c r="L7" s="18" t="str">
        <f t="shared" si="2"/>
        <v>m</v>
      </c>
    </row>
    <row r="8" spans="1:12" ht="15" x14ac:dyDescent="0.25">
      <c r="A8" s="17" t="s">
        <v>256</v>
      </c>
      <c r="B8" s="17" t="s">
        <v>255</v>
      </c>
      <c r="C8" s="18" t="s">
        <v>254</v>
      </c>
      <c r="D8" s="18" t="str">
        <f t="shared" ref="D8:L8" si="3">$C$8</f>
        <v>N</v>
      </c>
      <c r="E8" s="18" t="str">
        <f t="shared" si="3"/>
        <v>N</v>
      </c>
      <c r="F8" s="18" t="str">
        <f t="shared" si="3"/>
        <v>N</v>
      </c>
      <c r="G8" s="18" t="str">
        <f t="shared" si="3"/>
        <v>N</v>
      </c>
      <c r="H8" s="18" t="str">
        <f t="shared" si="3"/>
        <v>N</v>
      </c>
      <c r="I8" s="18" t="str">
        <f t="shared" si="3"/>
        <v>N</v>
      </c>
      <c r="J8" s="18" t="str">
        <f t="shared" si="3"/>
        <v>N</v>
      </c>
      <c r="K8" s="18" t="str">
        <f t="shared" si="3"/>
        <v>N</v>
      </c>
      <c r="L8" s="18" t="str">
        <f t="shared" si="3"/>
        <v>N</v>
      </c>
    </row>
    <row r="9" spans="1:12" ht="15" x14ac:dyDescent="0.25">
      <c r="A9" s="17" t="s">
        <v>253</v>
      </c>
      <c r="B9" s="17" t="s">
        <v>252</v>
      </c>
      <c r="C9" s="18" t="s">
        <v>251</v>
      </c>
      <c r="D9" s="18" t="str">
        <f t="shared" ref="D9:L9" si="4">$C$9</f>
        <v>B</v>
      </c>
      <c r="E9" s="18" t="str">
        <f t="shared" si="4"/>
        <v>B</v>
      </c>
      <c r="F9" s="18" t="str">
        <f t="shared" si="4"/>
        <v>B</v>
      </c>
      <c r="G9" s="18" t="str">
        <f t="shared" si="4"/>
        <v>B</v>
      </c>
      <c r="H9" s="18" t="str">
        <f t="shared" si="4"/>
        <v>B</v>
      </c>
      <c r="I9" s="18" t="str">
        <f t="shared" si="4"/>
        <v>B</v>
      </c>
      <c r="J9" s="18" t="str">
        <f t="shared" si="4"/>
        <v>B</v>
      </c>
      <c r="K9" s="18" t="str">
        <f t="shared" si="4"/>
        <v>B</v>
      </c>
      <c r="L9" s="18" t="str">
        <f t="shared" si="4"/>
        <v>B</v>
      </c>
    </row>
    <row r="10" spans="1:12" x14ac:dyDescent="0.2">
      <c r="A10" s="17" t="s">
        <v>250</v>
      </c>
      <c r="B10" s="17" t="s">
        <v>249</v>
      </c>
      <c r="C10" s="16" t="b">
        <v>1</v>
      </c>
      <c r="D10" s="16" t="b">
        <v>0</v>
      </c>
      <c r="E10" s="16" t="b">
        <v>0</v>
      </c>
      <c r="F10" s="16" t="b">
        <v>0</v>
      </c>
      <c r="G10" s="16" t="b">
        <v>0</v>
      </c>
      <c r="H10" s="16" t="b">
        <v>0</v>
      </c>
      <c r="I10" s="16" t="b">
        <v>0</v>
      </c>
      <c r="J10" s="16" t="b">
        <v>0</v>
      </c>
      <c r="K10" s="16" t="b">
        <v>0</v>
      </c>
      <c r="L10" s="16" t="b">
        <v>0</v>
      </c>
    </row>
    <row r="11" spans="1:12" x14ac:dyDescent="0.2">
      <c r="A11" s="17" t="s">
        <v>248</v>
      </c>
      <c r="B11" s="17" t="s">
        <v>247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pans="1:12" x14ac:dyDescent="0.2">
      <c r="A12" s="17" t="s">
        <v>246</v>
      </c>
      <c r="B12" s="17" t="s">
        <v>245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2" x14ac:dyDescent="0.2">
      <c r="A13" s="17" t="s">
        <v>244</v>
      </c>
      <c r="B13" s="17" t="s">
        <v>243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</row>
    <row r="14" spans="1:12" x14ac:dyDescent="0.2">
      <c r="A14" s="17" t="s">
        <v>242</v>
      </c>
      <c r="B14" s="17" t="s">
        <v>241</v>
      </c>
      <c r="C14" s="16" t="s">
        <v>240</v>
      </c>
      <c r="D14" s="16" t="str">
        <f t="shared" ref="D14:L14" si="5">$C$14</f>
        <v>G</v>
      </c>
      <c r="E14" s="16" t="str">
        <f t="shared" si="5"/>
        <v>G</v>
      </c>
      <c r="F14" s="16" t="str">
        <f t="shared" si="5"/>
        <v>G</v>
      </c>
      <c r="G14" s="16" t="str">
        <f t="shared" si="5"/>
        <v>G</v>
      </c>
      <c r="H14" s="16" t="str">
        <f t="shared" si="5"/>
        <v>G</v>
      </c>
      <c r="I14" s="16" t="str">
        <f t="shared" si="5"/>
        <v>G</v>
      </c>
      <c r="J14" s="16" t="str">
        <f t="shared" si="5"/>
        <v>G</v>
      </c>
      <c r="K14" s="16" t="str">
        <f t="shared" si="5"/>
        <v>G</v>
      </c>
      <c r="L14" s="16" t="str">
        <f t="shared" si="5"/>
        <v>G</v>
      </c>
    </row>
    <row r="15" spans="1:12" x14ac:dyDescent="0.2">
      <c r="A15" s="15" t="s">
        <v>239</v>
      </c>
      <c r="B15" s="15"/>
      <c r="C15" s="15" t="e">
        <f ca="1">_xll.BDP(C3,"indx_units")</f>
        <v>#NAME?</v>
      </c>
      <c r="D15" s="15" t="e">
        <f ca="1">_xll.BDP(D3,"indx_units")</f>
        <v>#NAME?</v>
      </c>
      <c r="E15" s="15" t="e">
        <f ca="1">_xll.BDP(E3,"indx_units")</f>
        <v>#NAME?</v>
      </c>
      <c r="F15" s="15" t="e">
        <f ca="1">_xll.BDP(F3,"indx_units")</f>
        <v>#NAME?</v>
      </c>
      <c r="G15" s="15" t="e">
        <f ca="1">_xll.BDP(G3,"indx_units")</f>
        <v>#NAME?</v>
      </c>
      <c r="H15" s="15" t="e">
        <f ca="1">_xll.BDP(H3,"indx_units")</f>
        <v>#NAME?</v>
      </c>
      <c r="I15" s="15" t="e">
        <f ca="1">_xll.BDP(I3,"indx_units")</f>
        <v>#NAME?</v>
      </c>
      <c r="J15" s="15" t="e">
        <f ca="1">_xll.BDP(J3,"indx_units")</f>
        <v>#NAME?</v>
      </c>
      <c r="K15" s="15" t="e">
        <f ca="1">_xll.BDP(K3,"indx_units")</f>
        <v>#NAME?</v>
      </c>
      <c r="L15" s="15" t="e">
        <f ca="1">_xll.BDP(L3,"indx_units")</f>
        <v>#NAME?</v>
      </c>
    </row>
    <row r="16" spans="1:12" ht="76.5" x14ac:dyDescent="0.2">
      <c r="A16" s="15" t="s">
        <v>238</v>
      </c>
      <c r="B16" s="15"/>
      <c r="C16" s="14" t="e">
        <f ca="1">_xll.BDP(C3,"long_comp_name")</f>
        <v>#NAME?</v>
      </c>
      <c r="D16" s="14" t="e">
        <f ca="1">_xll.BDP(D3,"long_comp_name")</f>
        <v>#NAME?</v>
      </c>
      <c r="E16" s="14" t="e">
        <f ca="1">_xll.BDP(E3,"long_comp_name")</f>
        <v>#NAME?</v>
      </c>
      <c r="F16" s="14" t="e">
        <f ca="1">_xll.BDP(F3,"long_comp_name")</f>
        <v>#NAME?</v>
      </c>
      <c r="G16" s="14" t="e">
        <f ca="1">_xll.BDP(G3,"long_comp_name")</f>
        <v>#NAME?</v>
      </c>
      <c r="H16" s="14" t="e">
        <f ca="1">_xll.BDP(H3,"long_comp_name")</f>
        <v>#NAME?</v>
      </c>
      <c r="I16" s="14" t="e">
        <f ca="1">_xll.BDP(I3,"long_comp_name")</f>
        <v>#NAME?</v>
      </c>
      <c r="J16" s="14" t="e">
        <f ca="1">_xll.BDP(J3,"long_comp_name")</f>
        <v>#NAME?</v>
      </c>
      <c r="K16" s="14" t="e">
        <f ca="1">_xll.BDP(K3,"long_comp_name")</f>
        <v>#NAME?</v>
      </c>
      <c r="L16" s="14" t="e">
        <f ca="1">_xll.BDP(L3,"long_comp_name")</f>
        <v>#NAME?</v>
      </c>
    </row>
    <row r="17" spans="1:12" x14ac:dyDescent="0.2">
      <c r="A17" s="13"/>
      <c r="B17" s="12" t="e">
        <f ca="1">_xll.BDH(C3,C4,C5,C6,$B$7&amp;C7,$B$8&amp;C8,$B$9&amp;C9,$B$10&amp;C10,$B$11&amp;C11,$B$12&amp;C12,$B$13&amp;C13,$B$14&amp;C14,"cols=2;rows=239")</f>
        <v>#NAME?</v>
      </c>
      <c r="C17" s="11">
        <v>1343</v>
      </c>
      <c r="D17" s="11" t="e">
        <f ca="1">_xll.BDH(D3,D4,D5,D6,$B$7&amp;D7,$B$8&amp;D8,$B$9&amp;D9,$B$10&amp;D10,$B$11&amp;D11,$B$12&amp;D12,$B$13&amp;D13,$B$14&amp;D14,"cols=1;rows=239")</f>
        <v>#NAME?</v>
      </c>
      <c r="E17" s="11" t="e">
        <f ca="1">_xll.BDH(E3,E4,E5,E6,$B$7&amp;E7,$B$8&amp;E8,$B$9&amp;E9,$B$10&amp;E10,$B$11&amp;E11,$B$12&amp;E12,$B$13&amp;E13,$B$14&amp;E14,"cols=1;rows=239")</f>
        <v>#NAME?</v>
      </c>
      <c r="F17" s="11" t="e">
        <f ca="1">_xll.BDH(F3,F4,F5,F6,$B$7&amp;F7,$B$8&amp;F8,$B$9&amp;F9,$B$10&amp;F10,$B$11&amp;F11,$B$12&amp;F12,$B$13&amp;F13,$B$14&amp;F14,"cols=1;rows=239")</f>
        <v>#NAME?</v>
      </c>
      <c r="G17" s="11" t="e">
        <f ca="1">_xll.BDH(G3,G4,G5,G6,$B$7&amp;G7,$B$8&amp;G8,$B$9&amp;G9,$B$10&amp;G10,$B$11&amp;G11,$B$12&amp;G12,$B$13&amp;G13,$B$14&amp;G14,"cols=1;rows=239")</f>
        <v>#NAME?</v>
      </c>
      <c r="H17" s="11" t="e">
        <f ca="1">_xll.BDH(H3,H4,H5,H6,$B$7&amp;H7,$B$8&amp;H8,$B$9&amp;H9,$B$10&amp;H10,$B$11&amp;H11,$B$12&amp;H12,$B$13&amp;H13,$B$14&amp;H14,"cols=1;rows=239")</f>
        <v>#NAME?</v>
      </c>
      <c r="I17" s="11" t="e">
        <f ca="1">_xll.BDH(I3,I4,I5,I6,$B$7&amp;I7,$B$8&amp;I8,$B$9&amp;I9,$B$10&amp;I10,$B$11&amp;I11,$B$12&amp;I12,$B$13&amp;I13,$B$14&amp;I14,"cols=1;rows=239")</f>
        <v>#NAME?</v>
      </c>
      <c r="J17" s="11" t="e">
        <f ca="1">_xll.BDH(J3,J4,J5,J6,$B$7&amp;J7,$B$8&amp;J8,$B$9&amp;J9,$B$10&amp;J10,$B$11&amp;J11,$B$12&amp;J12,$B$13&amp;J13,$B$14&amp;J14,"cols=1;rows=239")</f>
        <v>#NAME?</v>
      </c>
      <c r="K17" s="11" t="e">
        <f ca="1">_xll.BDH(K3,K4,K5,K6,$B$7&amp;K7,$B$8&amp;K8,$B$9&amp;K9,$B$10&amp;K10,$B$11&amp;K11,$B$12&amp;K12,$B$13&amp;K13,$B$14&amp;K14,"cols=1;rows=239")</f>
        <v>#NAME?</v>
      </c>
      <c r="L17" s="11" t="e">
        <f ca="1">_xll.BDH(L3,L4,L5,L6,$B$7&amp;L7,$B$8&amp;L8,$B$9&amp;L9,$B$10&amp;L10,$B$11&amp;L11,$B$12&amp;L12,$B$13&amp;L13,$B$14&amp;L14,"cols=1;rows=239")</f>
        <v>#NAME?</v>
      </c>
    </row>
    <row r="18" spans="1:12" x14ac:dyDescent="0.2">
      <c r="A18" s="13"/>
      <c r="B18" s="12">
        <v>36556</v>
      </c>
      <c r="C18" s="11">
        <v>1371</v>
      </c>
      <c r="D18" s="11"/>
      <c r="E18" s="11"/>
      <c r="F18" s="11"/>
      <c r="G18" s="11"/>
      <c r="H18" s="11"/>
      <c r="I18" s="11"/>
      <c r="J18" s="11"/>
      <c r="K18" s="11"/>
      <c r="L18" s="8">
        <v>755.86800000000005</v>
      </c>
    </row>
    <row r="19" spans="1:12" x14ac:dyDescent="0.2">
      <c r="A19" s="13"/>
      <c r="B19" s="12">
        <v>36585</v>
      </c>
      <c r="C19" s="11">
        <v>1393</v>
      </c>
      <c r="D19" s="11"/>
      <c r="E19" s="11"/>
      <c r="F19" s="11"/>
      <c r="G19" s="11"/>
      <c r="H19" s="11"/>
      <c r="I19" s="11"/>
      <c r="J19" s="11"/>
      <c r="K19" s="11"/>
      <c r="L19" s="8">
        <v>951.36699999999996</v>
      </c>
    </row>
    <row r="20" spans="1:12" x14ac:dyDescent="0.2">
      <c r="A20" s="13"/>
      <c r="B20" s="12">
        <v>36616</v>
      </c>
      <c r="C20" s="11">
        <v>1621</v>
      </c>
      <c r="D20" s="11"/>
      <c r="E20" s="11"/>
      <c r="F20" s="11"/>
      <c r="G20" s="11"/>
      <c r="H20" s="11"/>
      <c r="I20" s="11"/>
      <c r="J20" s="11"/>
      <c r="K20" s="11"/>
      <c r="L20" s="8">
        <v>1238.701</v>
      </c>
    </row>
    <row r="21" spans="1:12" x14ac:dyDescent="0.2">
      <c r="A21" s="13"/>
      <c r="B21" s="12">
        <v>36644</v>
      </c>
      <c r="C21" s="11">
        <v>1667</v>
      </c>
      <c r="D21" s="11"/>
      <c r="E21" s="11"/>
      <c r="F21" s="11"/>
      <c r="G21" s="11"/>
      <c r="H21" s="11"/>
      <c r="I21" s="11"/>
      <c r="J21" s="11"/>
      <c r="K21" s="11"/>
      <c r="L21" s="8">
        <v>1076.886</v>
      </c>
    </row>
    <row r="22" spans="1:12" x14ac:dyDescent="0.2">
      <c r="A22" s="13"/>
      <c r="B22" s="12">
        <v>36677</v>
      </c>
      <c r="C22" s="11">
        <v>1602</v>
      </c>
      <c r="D22" s="11"/>
      <c r="E22" s="11"/>
      <c r="F22" s="11"/>
      <c r="G22" s="11"/>
      <c r="H22" s="11"/>
      <c r="I22" s="11"/>
      <c r="J22" s="11"/>
      <c r="K22" s="11"/>
      <c r="L22" s="8">
        <v>1000.809</v>
      </c>
    </row>
    <row r="23" spans="1:12" x14ac:dyDescent="0.2">
      <c r="A23" s="13"/>
      <c r="B23" s="12">
        <v>36707</v>
      </c>
      <c r="C23" s="11">
        <v>1589</v>
      </c>
      <c r="D23" s="11"/>
      <c r="E23" s="11"/>
      <c r="F23" s="11"/>
      <c r="G23" s="11"/>
      <c r="H23" s="11"/>
      <c r="I23" s="11"/>
      <c r="J23" s="11"/>
      <c r="K23" s="11"/>
      <c r="L23" s="8">
        <v>1165.9880000000001</v>
      </c>
    </row>
    <row r="24" spans="1:12" x14ac:dyDescent="0.2">
      <c r="A24" s="13"/>
      <c r="B24" s="12">
        <v>36738</v>
      </c>
      <c r="C24" s="11">
        <v>1618</v>
      </c>
      <c r="D24" s="11"/>
      <c r="E24" s="11"/>
      <c r="F24" s="11"/>
      <c r="G24" s="11"/>
      <c r="H24" s="11"/>
      <c r="I24" s="11"/>
      <c r="J24" s="11"/>
      <c r="K24" s="11"/>
      <c r="L24" s="8">
        <v>1118.549</v>
      </c>
    </row>
    <row r="25" spans="1:12" x14ac:dyDescent="0.2">
      <c r="A25" s="13"/>
      <c r="B25" s="12">
        <v>36769</v>
      </c>
      <c r="C25" s="11">
        <v>1639</v>
      </c>
      <c r="D25" s="11"/>
      <c r="E25" s="11"/>
      <c r="F25" s="11"/>
      <c r="G25" s="11"/>
      <c r="H25" s="11"/>
      <c r="I25" s="11"/>
      <c r="J25" s="11"/>
      <c r="K25" s="11"/>
      <c r="L25" s="8">
        <v>1051.796</v>
      </c>
    </row>
    <row r="26" spans="1:12" x14ac:dyDescent="0.2">
      <c r="A26" s="13"/>
      <c r="B26" s="12">
        <v>36798</v>
      </c>
      <c r="C26" s="11">
        <v>1712</v>
      </c>
      <c r="D26" s="11"/>
      <c r="E26" s="11"/>
      <c r="F26" s="11"/>
      <c r="G26" s="11"/>
      <c r="H26" s="11"/>
      <c r="I26" s="11"/>
      <c r="J26" s="11"/>
      <c r="K26" s="11"/>
      <c r="L26" s="8">
        <v>987.62900000000002</v>
      </c>
    </row>
    <row r="27" spans="1:12" x14ac:dyDescent="0.2">
      <c r="A27" s="13"/>
      <c r="B27" s="12">
        <v>36830</v>
      </c>
      <c r="C27" s="11">
        <v>1734</v>
      </c>
      <c r="D27" s="11"/>
      <c r="E27" s="11"/>
      <c r="F27" s="11"/>
      <c r="G27" s="11"/>
      <c r="H27" s="11"/>
      <c r="I27" s="11"/>
      <c r="J27" s="11"/>
      <c r="K27" s="11"/>
      <c r="L27" s="8">
        <v>741.101</v>
      </c>
    </row>
    <row r="28" spans="1:12" x14ac:dyDescent="0.2">
      <c r="A28" s="13"/>
      <c r="B28" s="12">
        <v>36860</v>
      </c>
      <c r="C28" s="11">
        <v>1722</v>
      </c>
      <c r="D28" s="11"/>
      <c r="E28" s="11"/>
      <c r="F28" s="11"/>
      <c r="G28" s="11"/>
      <c r="H28" s="11"/>
      <c r="I28" s="11"/>
      <c r="J28" s="11"/>
      <c r="K28" s="11"/>
      <c r="L28" s="8">
        <v>662.55399999999997</v>
      </c>
    </row>
    <row r="29" spans="1:12" x14ac:dyDescent="0.2">
      <c r="A29" s="13"/>
      <c r="B29" s="12">
        <v>36889</v>
      </c>
      <c r="C29" s="11">
        <v>1609</v>
      </c>
      <c r="D29" s="11"/>
      <c r="E29" s="11"/>
      <c r="F29" s="11"/>
      <c r="G29" s="11"/>
      <c r="H29" s="11"/>
      <c r="I29" s="11"/>
      <c r="J29" s="11"/>
      <c r="K29" s="11"/>
      <c r="L29" s="8">
        <v>588.08799999999997</v>
      </c>
    </row>
    <row r="30" spans="1:12" x14ac:dyDescent="0.2">
      <c r="A30" s="13"/>
      <c r="B30" s="12">
        <v>36922</v>
      </c>
      <c r="C30" s="11">
        <v>1566</v>
      </c>
      <c r="D30" s="11"/>
      <c r="E30" s="11"/>
      <c r="F30" s="11"/>
      <c r="G30" s="11"/>
      <c r="H30" s="11"/>
      <c r="I30" s="11"/>
      <c r="J30" s="11"/>
      <c r="K30" s="11"/>
      <c r="L30" s="8">
        <v>678.61</v>
      </c>
    </row>
    <row r="31" spans="1:12" x14ac:dyDescent="0.2">
      <c r="A31" s="13"/>
      <c r="B31" s="12">
        <v>36950</v>
      </c>
      <c r="C31" s="11">
        <v>1479</v>
      </c>
      <c r="D31" s="11"/>
      <c r="E31" s="11"/>
      <c r="F31" s="11"/>
      <c r="G31" s="11"/>
      <c r="H31" s="11"/>
      <c r="I31" s="11"/>
      <c r="J31" s="11"/>
      <c r="K31" s="11"/>
      <c r="L31" s="8">
        <v>636.68899999999996</v>
      </c>
    </row>
    <row r="32" spans="1:12" x14ac:dyDescent="0.2">
      <c r="A32" s="13"/>
      <c r="B32" s="12">
        <v>36980</v>
      </c>
      <c r="C32" s="11">
        <v>1502</v>
      </c>
      <c r="D32" s="11"/>
      <c r="E32" s="11"/>
      <c r="F32" s="11"/>
      <c r="G32" s="11"/>
      <c r="H32" s="11"/>
      <c r="I32" s="11"/>
      <c r="J32" s="11"/>
      <c r="K32" s="11"/>
      <c r="L32" s="8">
        <v>594.47900000000004</v>
      </c>
    </row>
    <row r="33" spans="1:12" x14ac:dyDescent="0.2">
      <c r="A33" s="13"/>
      <c r="B33" s="12">
        <v>37011</v>
      </c>
      <c r="C33" s="11">
        <v>1440</v>
      </c>
      <c r="D33" s="11"/>
      <c r="E33" s="11"/>
      <c r="F33" s="11"/>
      <c r="G33" s="11"/>
      <c r="H33" s="11"/>
      <c r="I33" s="11"/>
      <c r="J33" s="11"/>
      <c r="K33" s="11"/>
      <c r="L33" s="8">
        <v>578.45299999999997</v>
      </c>
    </row>
    <row r="34" spans="1:12" x14ac:dyDescent="0.2">
      <c r="A34" s="13"/>
      <c r="B34" s="12">
        <v>37042</v>
      </c>
      <c r="C34" s="11">
        <v>1448</v>
      </c>
      <c r="D34" s="11"/>
      <c r="E34" s="11"/>
      <c r="F34" s="11"/>
      <c r="G34" s="11"/>
      <c r="H34" s="11"/>
      <c r="I34" s="11"/>
      <c r="J34" s="11"/>
      <c r="K34" s="11"/>
      <c r="L34" s="8">
        <v>640.596</v>
      </c>
    </row>
    <row r="35" spans="1:12" x14ac:dyDescent="0.2">
      <c r="A35" s="13"/>
      <c r="B35" s="12">
        <v>37071</v>
      </c>
      <c r="C35" s="11">
        <v>1377</v>
      </c>
      <c r="D35" s="11"/>
      <c r="E35" s="11"/>
      <c r="F35" s="11"/>
      <c r="G35" s="11"/>
      <c r="H35" s="11"/>
      <c r="I35" s="11"/>
      <c r="J35" s="11"/>
      <c r="K35" s="11"/>
      <c r="L35" s="8">
        <v>620.96400000000006</v>
      </c>
    </row>
    <row r="36" spans="1:12" x14ac:dyDescent="0.2">
      <c r="A36" s="13"/>
      <c r="B36" s="12">
        <v>37103</v>
      </c>
      <c r="C36" s="11">
        <v>1221</v>
      </c>
      <c r="D36" s="11"/>
      <c r="E36" s="11"/>
      <c r="F36" s="11"/>
      <c r="G36" s="11"/>
      <c r="H36" s="11"/>
      <c r="I36" s="11"/>
      <c r="J36" s="11"/>
      <c r="K36" s="11"/>
      <c r="L36" s="8">
        <v>583.52</v>
      </c>
    </row>
    <row r="37" spans="1:12" x14ac:dyDescent="0.2">
      <c r="A37" s="13"/>
      <c r="B37" s="12">
        <v>37134</v>
      </c>
      <c r="C37" s="11">
        <v>980</v>
      </c>
      <c r="D37" s="11"/>
      <c r="E37" s="11"/>
      <c r="F37" s="11"/>
      <c r="G37" s="11"/>
      <c r="H37" s="11"/>
      <c r="I37" s="11"/>
      <c r="J37" s="11"/>
      <c r="K37" s="11"/>
      <c r="L37" s="8">
        <v>589.52099999999996</v>
      </c>
    </row>
    <row r="38" spans="1:12" x14ac:dyDescent="0.2">
      <c r="A38" s="13"/>
      <c r="B38" s="12">
        <v>37162</v>
      </c>
      <c r="C38" s="11">
        <v>945</v>
      </c>
      <c r="D38" s="11"/>
      <c r="E38" s="11"/>
      <c r="F38" s="11"/>
      <c r="G38" s="11"/>
      <c r="H38" s="11"/>
      <c r="I38" s="11"/>
      <c r="J38" s="11"/>
      <c r="K38" s="11"/>
      <c r="L38" s="8">
        <v>441.065</v>
      </c>
    </row>
    <row r="39" spans="1:12" x14ac:dyDescent="0.2">
      <c r="A39" s="13"/>
      <c r="B39" s="12">
        <v>37195</v>
      </c>
      <c r="C39" s="11">
        <v>898</v>
      </c>
      <c r="D39" s="11"/>
      <c r="E39" s="11"/>
      <c r="F39" s="11"/>
      <c r="G39" s="11"/>
      <c r="H39" s="11"/>
      <c r="I39" s="11"/>
      <c r="J39" s="11"/>
      <c r="K39" s="11"/>
      <c r="L39" s="8">
        <v>432.55900000000003</v>
      </c>
    </row>
    <row r="40" spans="1:12" x14ac:dyDescent="0.2">
      <c r="A40" s="13"/>
      <c r="B40" s="12">
        <v>37225</v>
      </c>
      <c r="C40" s="11">
        <v>855</v>
      </c>
      <c r="D40" s="11"/>
      <c r="E40" s="11"/>
      <c r="F40" s="11"/>
      <c r="G40" s="11"/>
      <c r="H40" s="11"/>
      <c r="I40" s="11"/>
      <c r="J40" s="11"/>
      <c r="K40" s="11"/>
      <c r="L40" s="8">
        <v>516.76</v>
      </c>
    </row>
    <row r="41" spans="1:12" x14ac:dyDescent="0.2">
      <c r="A41" s="13"/>
      <c r="B41" s="12">
        <v>37256</v>
      </c>
      <c r="C41" s="11">
        <v>870</v>
      </c>
      <c r="D41" s="11"/>
      <c r="E41" s="11"/>
      <c r="F41" s="11"/>
      <c r="G41" s="11"/>
      <c r="H41" s="11"/>
      <c r="I41" s="11"/>
      <c r="J41" s="11"/>
      <c r="K41" s="11"/>
      <c r="L41" s="8">
        <v>545.37300000000005</v>
      </c>
    </row>
    <row r="42" spans="1:12" x14ac:dyDescent="0.2">
      <c r="A42" s="13"/>
      <c r="B42" s="12">
        <v>37287</v>
      </c>
      <c r="C42" s="11">
        <v>931</v>
      </c>
      <c r="D42" s="11"/>
      <c r="E42" s="11"/>
      <c r="F42" s="11"/>
      <c r="G42" s="11"/>
      <c r="H42" s="11"/>
      <c r="I42" s="11"/>
      <c r="J42" s="11"/>
      <c r="K42" s="11"/>
      <c r="L42" s="8">
        <v>552.79499999999996</v>
      </c>
    </row>
    <row r="43" spans="1:12" x14ac:dyDescent="0.2">
      <c r="A43" s="13"/>
      <c r="B43" s="12">
        <v>37315</v>
      </c>
      <c r="C43" s="11">
        <v>960</v>
      </c>
      <c r="D43" s="11"/>
      <c r="E43" s="11"/>
      <c r="F43" s="11"/>
      <c r="G43" s="11"/>
      <c r="H43" s="11"/>
      <c r="I43" s="11"/>
      <c r="J43" s="11"/>
      <c r="K43" s="11"/>
      <c r="L43" s="8">
        <v>538.10799999999995</v>
      </c>
    </row>
    <row r="44" spans="1:12" x14ac:dyDescent="0.2">
      <c r="A44" s="13"/>
      <c r="B44" s="12">
        <v>37344</v>
      </c>
      <c r="C44" s="11">
        <v>1065</v>
      </c>
      <c r="D44" s="11"/>
      <c r="E44" s="11"/>
      <c r="F44" s="11"/>
      <c r="G44" s="11"/>
      <c r="H44" s="11"/>
      <c r="I44" s="11"/>
      <c r="J44" s="11"/>
      <c r="K44" s="11"/>
      <c r="L44" s="8">
        <v>596.58399999999995</v>
      </c>
    </row>
    <row r="45" spans="1:12" x14ac:dyDescent="0.2">
      <c r="A45" s="13"/>
      <c r="B45" s="12">
        <v>37376</v>
      </c>
      <c r="C45" s="11">
        <v>1077</v>
      </c>
      <c r="D45" s="11"/>
      <c r="E45" s="11"/>
      <c r="F45" s="11"/>
      <c r="G45" s="11"/>
      <c r="H45" s="11"/>
      <c r="I45" s="11"/>
      <c r="J45" s="11"/>
      <c r="K45" s="11"/>
      <c r="L45" s="8">
        <v>566.16999999999996</v>
      </c>
    </row>
    <row r="46" spans="1:12" x14ac:dyDescent="0.2">
      <c r="A46" s="13"/>
      <c r="B46" s="12">
        <v>37407</v>
      </c>
      <c r="C46" s="11">
        <v>1033</v>
      </c>
      <c r="D46" s="11"/>
      <c r="E46" s="11"/>
      <c r="F46" s="11"/>
      <c r="G46" s="11"/>
      <c r="H46" s="11"/>
      <c r="I46" s="11"/>
      <c r="J46" s="11"/>
      <c r="K46" s="11"/>
      <c r="L46" s="8">
        <v>507.18</v>
      </c>
    </row>
    <row r="47" spans="1:12" x14ac:dyDescent="0.2">
      <c r="A47" s="13"/>
      <c r="B47" s="12">
        <v>37435</v>
      </c>
      <c r="C47" s="11">
        <v>995</v>
      </c>
      <c r="D47" s="11"/>
      <c r="E47" s="11"/>
      <c r="F47" s="11"/>
      <c r="G47" s="11"/>
      <c r="H47" s="11"/>
      <c r="I47" s="11"/>
      <c r="J47" s="11"/>
      <c r="K47" s="11"/>
      <c r="L47" s="8">
        <v>421.84899999999999</v>
      </c>
    </row>
    <row r="48" spans="1:12" x14ac:dyDescent="0.2">
      <c r="A48" s="13"/>
      <c r="B48" s="12">
        <v>37468</v>
      </c>
      <c r="C48" s="11">
        <v>989</v>
      </c>
      <c r="D48" s="11"/>
      <c r="E48" s="11"/>
      <c r="F48" s="11"/>
      <c r="G48" s="11"/>
      <c r="H48" s="11"/>
      <c r="I48" s="11"/>
      <c r="J48" s="11"/>
      <c r="K48" s="11"/>
      <c r="L48" s="8">
        <v>359.19</v>
      </c>
    </row>
    <row r="49" spans="1:12" x14ac:dyDescent="0.2">
      <c r="A49" s="13"/>
      <c r="B49" s="12">
        <v>37498</v>
      </c>
      <c r="C49" s="11">
        <v>1002</v>
      </c>
      <c r="D49" s="11"/>
      <c r="E49" s="11"/>
      <c r="F49" s="11"/>
      <c r="G49" s="11"/>
      <c r="H49" s="11"/>
      <c r="I49" s="11"/>
      <c r="J49" s="11"/>
      <c r="K49" s="11"/>
      <c r="L49" s="8">
        <v>321.75</v>
      </c>
    </row>
    <row r="50" spans="1:12" x14ac:dyDescent="0.2">
      <c r="A50" s="13"/>
      <c r="B50" s="12">
        <v>37529</v>
      </c>
      <c r="C50" s="11">
        <v>1182</v>
      </c>
      <c r="D50" s="11"/>
      <c r="E50" s="11"/>
      <c r="F50" s="11"/>
      <c r="G50" s="11"/>
      <c r="H50" s="11"/>
      <c r="I50" s="11"/>
      <c r="J50" s="11"/>
      <c r="K50" s="11"/>
      <c r="L50" s="8">
        <v>267.67099999999999</v>
      </c>
    </row>
    <row r="51" spans="1:12" x14ac:dyDescent="0.2">
      <c r="A51" s="13"/>
      <c r="B51" s="12">
        <v>37560</v>
      </c>
      <c r="C51" s="11">
        <v>1365</v>
      </c>
      <c r="D51" s="11"/>
      <c r="E51" s="11"/>
      <c r="F51" s="11"/>
      <c r="G51" s="11"/>
      <c r="H51" s="11"/>
      <c r="I51" s="11"/>
      <c r="J51" s="11"/>
      <c r="K51" s="11"/>
      <c r="L51" s="8">
        <v>258.88400000000001</v>
      </c>
    </row>
    <row r="52" spans="1:12" x14ac:dyDescent="0.2">
      <c r="A52" s="13"/>
      <c r="B52" s="12">
        <v>37589</v>
      </c>
      <c r="C52" s="11">
        <v>1460</v>
      </c>
      <c r="D52" s="11"/>
      <c r="E52" s="11"/>
      <c r="F52" s="11"/>
      <c r="G52" s="11"/>
      <c r="H52" s="11"/>
      <c r="I52" s="11"/>
      <c r="J52" s="11"/>
      <c r="K52" s="11"/>
      <c r="L52" s="8">
        <v>329.315</v>
      </c>
    </row>
    <row r="53" spans="1:12" x14ac:dyDescent="0.2">
      <c r="A53" s="13"/>
      <c r="B53" s="12">
        <v>37621</v>
      </c>
      <c r="C53" s="11">
        <v>1666</v>
      </c>
      <c r="D53" s="11"/>
      <c r="E53" s="11"/>
      <c r="F53" s="11"/>
      <c r="G53" s="11"/>
      <c r="H53" s="11"/>
      <c r="I53" s="11"/>
      <c r="J53" s="11"/>
      <c r="K53" s="11"/>
      <c r="L53" s="8">
        <v>316.02600000000001</v>
      </c>
    </row>
    <row r="54" spans="1:12" x14ac:dyDescent="0.2">
      <c r="A54" s="13"/>
      <c r="B54" s="12">
        <v>37652</v>
      </c>
      <c r="C54" s="11">
        <v>1694</v>
      </c>
      <c r="D54" s="11"/>
      <c r="E54" s="11"/>
      <c r="F54" s="11"/>
      <c r="G54" s="11"/>
      <c r="H54" s="11"/>
      <c r="I54" s="11"/>
      <c r="J54" s="11"/>
      <c r="K54" s="11"/>
      <c r="L54" s="8">
        <v>307.37400000000002</v>
      </c>
    </row>
    <row r="55" spans="1:12" x14ac:dyDescent="0.2">
      <c r="A55" s="13"/>
      <c r="B55" s="12">
        <v>37680</v>
      </c>
      <c r="C55" s="11">
        <v>1674</v>
      </c>
      <c r="D55" s="11"/>
      <c r="E55" s="11"/>
      <c r="F55" s="11"/>
      <c r="G55" s="11"/>
      <c r="H55" s="11"/>
      <c r="I55" s="11"/>
      <c r="J55" s="11"/>
      <c r="K55" s="11"/>
      <c r="L55" s="8">
        <v>278.697</v>
      </c>
    </row>
    <row r="56" spans="1:12" x14ac:dyDescent="0.2">
      <c r="A56" s="13"/>
      <c r="B56" s="12">
        <v>37711</v>
      </c>
      <c r="C56" s="11">
        <v>1850</v>
      </c>
      <c r="D56" s="11"/>
      <c r="E56" s="11"/>
      <c r="F56" s="11"/>
      <c r="G56" s="11"/>
      <c r="H56" s="11"/>
      <c r="I56" s="11"/>
      <c r="J56" s="11"/>
      <c r="K56" s="11"/>
      <c r="L56" s="8">
        <v>305.76499999999999</v>
      </c>
    </row>
    <row r="57" spans="1:12" x14ac:dyDescent="0.2">
      <c r="A57" s="13"/>
      <c r="B57" s="12">
        <v>37741</v>
      </c>
      <c r="C57" s="11">
        <v>2064</v>
      </c>
      <c r="D57" s="11"/>
      <c r="E57" s="11"/>
      <c r="F57" s="11"/>
      <c r="G57" s="11"/>
      <c r="H57" s="11"/>
      <c r="I57" s="11"/>
      <c r="J57" s="11"/>
      <c r="K57" s="11"/>
      <c r="L57" s="8">
        <v>320.50799999999998</v>
      </c>
    </row>
    <row r="58" spans="1:12" x14ac:dyDescent="0.2">
      <c r="A58" s="13"/>
      <c r="B58" s="12">
        <v>37771</v>
      </c>
      <c r="C58" s="11">
        <v>2231</v>
      </c>
      <c r="D58" s="11"/>
      <c r="E58" s="11"/>
      <c r="F58" s="11"/>
      <c r="G58" s="11"/>
      <c r="H58" s="11"/>
      <c r="I58" s="11"/>
      <c r="J58" s="11"/>
      <c r="K58" s="11"/>
      <c r="L58" s="8">
        <v>351.22300000000001</v>
      </c>
    </row>
    <row r="59" spans="1:12" x14ac:dyDescent="0.2">
      <c r="A59" s="13"/>
      <c r="B59" s="12">
        <v>37802</v>
      </c>
      <c r="C59" s="11">
        <v>2136</v>
      </c>
      <c r="D59" s="11"/>
      <c r="E59" s="11"/>
      <c r="F59" s="11"/>
      <c r="G59" s="11"/>
      <c r="H59" s="11"/>
      <c r="I59" s="11"/>
      <c r="J59" s="11"/>
      <c r="K59" s="11"/>
      <c r="L59" s="8">
        <v>373.08499999999998</v>
      </c>
    </row>
    <row r="60" spans="1:12" x14ac:dyDescent="0.2">
      <c r="A60" s="13"/>
      <c r="B60" s="12">
        <v>37833</v>
      </c>
      <c r="C60" s="11">
        <v>2192</v>
      </c>
      <c r="D60" s="11"/>
      <c r="E60" s="11"/>
      <c r="F60" s="11"/>
      <c r="G60" s="11"/>
      <c r="H60" s="11"/>
      <c r="I60" s="11"/>
      <c r="J60" s="11"/>
      <c r="K60" s="11"/>
      <c r="L60" s="8">
        <v>388.33600000000001</v>
      </c>
    </row>
    <row r="61" spans="1:12" x14ac:dyDescent="0.2">
      <c r="A61" s="13"/>
      <c r="B61" s="12">
        <v>37862</v>
      </c>
      <c r="C61" s="11">
        <v>2286</v>
      </c>
      <c r="D61" s="11"/>
      <c r="E61" s="11"/>
      <c r="F61" s="11"/>
      <c r="G61" s="11"/>
      <c r="H61" s="11"/>
      <c r="I61" s="11"/>
      <c r="J61" s="11"/>
      <c r="K61" s="11"/>
      <c r="L61" s="8">
        <v>410.363</v>
      </c>
    </row>
    <row r="62" spans="1:12" x14ac:dyDescent="0.2">
      <c r="A62" s="13"/>
      <c r="B62" s="12">
        <v>37894</v>
      </c>
      <c r="C62" s="11">
        <v>2463</v>
      </c>
      <c r="D62" s="11"/>
      <c r="E62" s="11"/>
      <c r="F62" s="11"/>
      <c r="G62" s="11"/>
      <c r="H62" s="11"/>
      <c r="I62" s="11"/>
      <c r="J62" s="11"/>
      <c r="K62" s="11"/>
      <c r="L62" s="8">
        <v>449.16399999999999</v>
      </c>
    </row>
    <row r="63" spans="1:12" x14ac:dyDescent="0.2">
      <c r="A63" s="13"/>
      <c r="B63" s="12">
        <v>37925</v>
      </c>
      <c r="C63" s="11">
        <v>4163</v>
      </c>
      <c r="D63" s="11"/>
      <c r="E63" s="11"/>
      <c r="F63" s="11"/>
      <c r="G63" s="11"/>
      <c r="H63" s="11"/>
      <c r="I63" s="11"/>
      <c r="J63" s="11"/>
      <c r="K63" s="11"/>
      <c r="L63" s="8">
        <v>467.255</v>
      </c>
    </row>
    <row r="64" spans="1:12" x14ac:dyDescent="0.2">
      <c r="A64" s="13"/>
      <c r="B64" s="12">
        <v>37953</v>
      </c>
      <c r="C64" s="11">
        <v>4250</v>
      </c>
      <c r="D64" s="11"/>
      <c r="E64" s="11"/>
      <c r="F64" s="11"/>
      <c r="G64" s="11"/>
      <c r="H64" s="11"/>
      <c r="I64" s="11"/>
      <c r="J64" s="11"/>
      <c r="K64" s="11"/>
      <c r="L64" s="8">
        <v>515.54600000000005</v>
      </c>
    </row>
    <row r="65" spans="1:12" x14ac:dyDescent="0.2">
      <c r="A65" s="13"/>
      <c r="B65" s="12">
        <v>37986</v>
      </c>
      <c r="C65" s="11">
        <v>4609</v>
      </c>
      <c r="D65" s="11"/>
      <c r="E65" s="11"/>
      <c r="F65" s="11"/>
      <c r="G65" s="11"/>
      <c r="H65" s="11"/>
      <c r="I65" s="11"/>
      <c r="J65" s="11"/>
      <c r="K65" s="11"/>
      <c r="L65" s="8">
        <v>499.34</v>
      </c>
    </row>
    <row r="66" spans="1:12" x14ac:dyDescent="0.2">
      <c r="A66" s="13"/>
      <c r="B66" s="12">
        <v>38016</v>
      </c>
      <c r="C66" s="11">
        <v>5229</v>
      </c>
      <c r="D66" s="11"/>
      <c r="E66" s="11"/>
      <c r="F66" s="11"/>
      <c r="G66" s="11"/>
      <c r="H66" s="11"/>
      <c r="I66" s="11"/>
      <c r="J66" s="11"/>
      <c r="K66" s="11"/>
      <c r="L66" s="8">
        <v>533.9</v>
      </c>
    </row>
    <row r="67" spans="1:12" x14ac:dyDescent="0.2">
      <c r="A67" s="13"/>
      <c r="B67" s="12">
        <v>38044</v>
      </c>
      <c r="C67" s="11">
        <v>5450</v>
      </c>
      <c r="D67" s="11"/>
      <c r="E67" s="11"/>
      <c r="F67" s="11"/>
      <c r="G67" s="11"/>
      <c r="H67" s="11"/>
      <c r="I67" s="11"/>
      <c r="J67" s="11"/>
      <c r="K67" s="11"/>
      <c r="L67" s="8">
        <v>509.87799999999999</v>
      </c>
    </row>
    <row r="68" spans="1:12" x14ac:dyDescent="0.2">
      <c r="A68" s="13"/>
      <c r="B68" s="12">
        <v>38077</v>
      </c>
      <c r="C68" s="11">
        <v>5131</v>
      </c>
      <c r="D68" s="11"/>
      <c r="E68" s="11"/>
      <c r="F68" s="11"/>
      <c r="G68" s="11"/>
      <c r="H68" s="11"/>
      <c r="I68" s="11"/>
      <c r="J68" s="11"/>
      <c r="K68" s="11"/>
      <c r="L68" s="8">
        <v>484.10300000000001</v>
      </c>
    </row>
    <row r="69" spans="1:12" x14ac:dyDescent="0.2">
      <c r="A69" s="13"/>
      <c r="B69" s="12">
        <v>38107</v>
      </c>
      <c r="C69" s="11">
        <v>4489</v>
      </c>
      <c r="D69" s="11"/>
      <c r="E69" s="11"/>
      <c r="F69" s="11"/>
      <c r="G69" s="11"/>
      <c r="H69" s="11"/>
      <c r="I69" s="11"/>
      <c r="J69" s="11"/>
      <c r="K69" s="11"/>
      <c r="L69" s="8">
        <v>488.17899999999997</v>
      </c>
    </row>
    <row r="70" spans="1:12" x14ac:dyDescent="0.2">
      <c r="A70" s="13"/>
      <c r="B70" s="12">
        <v>38138</v>
      </c>
      <c r="C70" s="11">
        <v>3596</v>
      </c>
      <c r="D70" s="11"/>
      <c r="E70" s="11"/>
      <c r="F70" s="11"/>
      <c r="G70" s="11"/>
      <c r="H70" s="11"/>
      <c r="I70" s="11"/>
      <c r="J70" s="11"/>
      <c r="K70" s="11"/>
      <c r="L70" s="8">
        <v>460.286</v>
      </c>
    </row>
    <row r="71" spans="1:12" x14ac:dyDescent="0.2">
      <c r="A71" s="13"/>
      <c r="B71" s="12">
        <v>38168</v>
      </c>
      <c r="C71" s="11">
        <v>2902</v>
      </c>
      <c r="D71" s="11"/>
      <c r="E71" s="11"/>
      <c r="F71" s="11"/>
      <c r="G71" s="11"/>
      <c r="H71" s="11"/>
      <c r="I71" s="11"/>
      <c r="J71" s="11"/>
      <c r="K71" s="11"/>
      <c r="L71" s="8">
        <v>472.12799999999999</v>
      </c>
    </row>
    <row r="72" spans="1:12" x14ac:dyDescent="0.2">
      <c r="A72" s="13"/>
      <c r="B72" s="12">
        <v>38198</v>
      </c>
      <c r="C72" s="11">
        <v>3778</v>
      </c>
      <c r="D72" s="11"/>
      <c r="E72" s="11"/>
      <c r="F72" s="11"/>
      <c r="G72" s="11"/>
      <c r="H72" s="11"/>
      <c r="I72" s="11"/>
      <c r="J72" s="11"/>
      <c r="K72" s="11"/>
      <c r="L72" s="8">
        <v>425.42</v>
      </c>
    </row>
    <row r="73" spans="1:12" x14ac:dyDescent="0.2">
      <c r="A73" s="13"/>
      <c r="B73" s="12">
        <v>38230</v>
      </c>
      <c r="C73" s="11">
        <v>4169</v>
      </c>
      <c r="D73" s="11"/>
      <c r="E73" s="11"/>
      <c r="F73" s="11"/>
      <c r="G73" s="11"/>
      <c r="H73" s="11"/>
      <c r="I73" s="11"/>
      <c r="J73" s="11"/>
      <c r="K73" s="11"/>
      <c r="L73" s="8">
        <v>385.01799999999997</v>
      </c>
    </row>
    <row r="74" spans="1:12" x14ac:dyDescent="0.2">
      <c r="A74" s="13"/>
      <c r="B74" s="12">
        <v>38260</v>
      </c>
      <c r="C74" s="11">
        <v>4141</v>
      </c>
      <c r="D74" s="11"/>
      <c r="E74" s="11"/>
      <c r="F74" s="11"/>
      <c r="G74" s="11"/>
      <c r="H74" s="11"/>
      <c r="I74" s="11"/>
      <c r="J74" s="11"/>
      <c r="K74" s="11"/>
      <c r="L74" s="8">
        <v>380.69200000000001</v>
      </c>
    </row>
    <row r="75" spans="1:12" x14ac:dyDescent="0.2">
      <c r="A75" s="13"/>
      <c r="B75" s="12">
        <v>38289</v>
      </c>
      <c r="C75" s="11">
        <v>4542</v>
      </c>
      <c r="D75" s="11"/>
      <c r="E75" s="11"/>
      <c r="F75" s="11"/>
      <c r="G75" s="11"/>
      <c r="H75" s="11"/>
      <c r="I75" s="11"/>
      <c r="J75" s="11"/>
      <c r="K75" s="11"/>
      <c r="L75" s="8">
        <v>397.33199999999999</v>
      </c>
    </row>
    <row r="76" spans="1:12" x14ac:dyDescent="0.2">
      <c r="A76" s="13"/>
      <c r="B76" s="12">
        <v>38321</v>
      </c>
      <c r="C76" s="11">
        <v>5310</v>
      </c>
      <c r="D76" s="11"/>
      <c r="E76" s="11"/>
      <c r="F76" s="11"/>
      <c r="G76" s="11"/>
      <c r="H76" s="11"/>
      <c r="I76" s="11"/>
      <c r="J76" s="11"/>
      <c r="K76" s="11"/>
      <c r="L76" s="8">
        <v>423.92099999999999</v>
      </c>
    </row>
    <row r="77" spans="1:12" x14ac:dyDescent="0.2">
      <c r="A77" s="13"/>
      <c r="B77" s="12">
        <v>38352</v>
      </c>
      <c r="C77" s="11">
        <v>5519</v>
      </c>
      <c r="D77" s="11"/>
      <c r="E77" s="11"/>
      <c r="F77" s="11"/>
      <c r="G77" s="11"/>
      <c r="H77" s="11"/>
      <c r="I77" s="11"/>
      <c r="J77" s="11"/>
      <c r="K77" s="11"/>
      <c r="L77" s="8">
        <v>430.49099999999999</v>
      </c>
    </row>
    <row r="78" spans="1:12" x14ac:dyDescent="0.2">
      <c r="A78" s="13"/>
      <c r="B78" s="12">
        <v>38383</v>
      </c>
      <c r="C78" s="11">
        <v>4502</v>
      </c>
      <c r="D78" s="11"/>
      <c r="E78" s="11"/>
      <c r="F78" s="11"/>
      <c r="G78" s="11"/>
      <c r="H78" s="11"/>
      <c r="I78" s="11"/>
      <c r="J78" s="11"/>
      <c r="K78" s="11"/>
      <c r="L78" s="8">
        <v>401.05599999999998</v>
      </c>
    </row>
    <row r="79" spans="1:12" x14ac:dyDescent="0.2">
      <c r="A79" s="13"/>
      <c r="B79" s="12">
        <v>38411</v>
      </c>
      <c r="C79" s="11">
        <v>4532</v>
      </c>
      <c r="D79" s="11"/>
      <c r="E79" s="11"/>
      <c r="F79" s="11"/>
      <c r="G79" s="11"/>
      <c r="H79" s="11"/>
      <c r="I79" s="11"/>
      <c r="J79" s="11"/>
      <c r="K79" s="11"/>
      <c r="L79" s="8">
        <v>425.59300000000002</v>
      </c>
    </row>
    <row r="80" spans="1:12" x14ac:dyDescent="0.2">
      <c r="A80" s="13"/>
      <c r="B80" s="12">
        <v>38442</v>
      </c>
      <c r="C80" s="11">
        <v>4678</v>
      </c>
      <c r="D80" s="11"/>
      <c r="E80" s="11"/>
      <c r="F80" s="11"/>
      <c r="G80" s="11"/>
      <c r="H80" s="11"/>
      <c r="I80" s="11"/>
      <c r="J80" s="11"/>
      <c r="K80" s="11"/>
      <c r="L80" s="8">
        <v>425.05799999999999</v>
      </c>
    </row>
    <row r="81" spans="1:12" x14ac:dyDescent="0.2">
      <c r="A81" s="13"/>
      <c r="B81" s="12">
        <v>38471</v>
      </c>
      <c r="C81" s="11">
        <v>4532</v>
      </c>
      <c r="D81" s="11"/>
      <c r="E81" s="11"/>
      <c r="F81" s="11"/>
      <c r="G81" s="11"/>
      <c r="H81" s="11"/>
      <c r="I81" s="11"/>
      <c r="J81" s="11"/>
      <c r="K81" s="11"/>
      <c r="L81" s="8">
        <v>398.505</v>
      </c>
    </row>
    <row r="82" spans="1:12" x14ac:dyDescent="0.2">
      <c r="A82" s="13"/>
      <c r="B82" s="12">
        <v>38503</v>
      </c>
      <c r="C82" s="11">
        <v>3667</v>
      </c>
      <c r="D82" s="11"/>
      <c r="E82" s="11"/>
      <c r="F82" s="11"/>
      <c r="G82" s="11"/>
      <c r="H82" s="11"/>
      <c r="I82" s="11"/>
      <c r="J82" s="11"/>
      <c r="K82" s="11"/>
      <c r="L82" s="8">
        <v>410.13299999999998</v>
      </c>
    </row>
    <row r="83" spans="1:12" x14ac:dyDescent="0.2">
      <c r="A83" s="13"/>
      <c r="B83" s="12">
        <v>38533</v>
      </c>
      <c r="C83" s="11">
        <v>2746</v>
      </c>
      <c r="D83" s="11"/>
      <c r="E83" s="11"/>
      <c r="F83" s="11"/>
      <c r="G83" s="11"/>
      <c r="H83" s="11"/>
      <c r="I83" s="11"/>
      <c r="J83" s="11"/>
      <c r="K83" s="11"/>
      <c r="L83" s="8">
        <v>429.608</v>
      </c>
    </row>
    <row r="84" spans="1:12" x14ac:dyDescent="0.2">
      <c r="A84" s="13"/>
      <c r="B84" s="12">
        <v>38562</v>
      </c>
      <c r="C84" s="11">
        <v>2220</v>
      </c>
      <c r="D84" s="11"/>
      <c r="E84" s="11"/>
      <c r="F84" s="11"/>
      <c r="G84" s="11"/>
      <c r="H84" s="11"/>
      <c r="I84" s="11"/>
      <c r="J84" s="11"/>
      <c r="K84" s="11"/>
      <c r="L84" s="8">
        <v>458.29500000000002</v>
      </c>
    </row>
    <row r="85" spans="1:12" x14ac:dyDescent="0.2">
      <c r="A85" s="13"/>
      <c r="B85" s="12">
        <v>38595</v>
      </c>
      <c r="C85" s="11">
        <v>2207</v>
      </c>
      <c r="D85" s="11"/>
      <c r="E85" s="11"/>
      <c r="F85" s="11"/>
      <c r="G85" s="11"/>
      <c r="H85" s="11"/>
      <c r="I85" s="11"/>
      <c r="J85" s="11"/>
      <c r="K85" s="11"/>
      <c r="L85" s="8">
        <v>468.70299999999997</v>
      </c>
    </row>
    <row r="86" spans="1:12" x14ac:dyDescent="0.2">
      <c r="A86" s="13"/>
      <c r="B86" s="12">
        <v>38625</v>
      </c>
      <c r="C86" s="11">
        <v>2804</v>
      </c>
      <c r="D86" s="11"/>
      <c r="E86" s="11"/>
      <c r="F86" s="11"/>
      <c r="G86" s="11"/>
      <c r="H86" s="11"/>
      <c r="I86" s="11"/>
      <c r="J86" s="11"/>
      <c r="K86" s="11"/>
      <c r="L86" s="8">
        <v>469.79</v>
      </c>
    </row>
    <row r="87" spans="1:12" x14ac:dyDescent="0.2">
      <c r="A87" s="13"/>
      <c r="B87" s="12">
        <v>38656</v>
      </c>
      <c r="C87" s="11">
        <v>3161</v>
      </c>
      <c r="D87" s="11"/>
      <c r="E87" s="11"/>
      <c r="F87" s="11"/>
      <c r="G87" s="11"/>
      <c r="H87" s="11"/>
      <c r="I87" s="11"/>
      <c r="J87" s="11"/>
      <c r="K87" s="11"/>
      <c r="L87" s="8">
        <v>446.024</v>
      </c>
    </row>
    <row r="88" spans="1:12" x14ac:dyDescent="0.2">
      <c r="A88" s="13"/>
      <c r="B88" s="12">
        <v>38686</v>
      </c>
      <c r="C88" s="11">
        <v>2916</v>
      </c>
      <c r="D88" s="11"/>
      <c r="E88" s="11"/>
      <c r="F88" s="11"/>
      <c r="G88" s="11"/>
      <c r="H88" s="11"/>
      <c r="I88" s="11"/>
      <c r="J88" s="11"/>
      <c r="K88" s="11"/>
      <c r="L88" s="8">
        <v>464.61399999999998</v>
      </c>
    </row>
    <row r="89" spans="1:12" x14ac:dyDescent="0.2">
      <c r="A89" s="13"/>
      <c r="B89" s="12">
        <v>38716</v>
      </c>
      <c r="C89" s="11">
        <v>2600</v>
      </c>
      <c r="D89" s="11"/>
      <c r="E89" s="11"/>
      <c r="F89" s="11"/>
      <c r="G89" s="11"/>
      <c r="H89" s="11">
        <v>1000</v>
      </c>
      <c r="I89" s="11"/>
      <c r="J89" s="11"/>
      <c r="K89" s="11"/>
      <c r="L89" s="8">
        <v>493.30099999999999</v>
      </c>
    </row>
    <row r="90" spans="1:12" x14ac:dyDescent="0.2">
      <c r="A90" s="13"/>
      <c r="B90" s="12">
        <v>38748</v>
      </c>
      <c r="C90" s="11">
        <v>2262</v>
      </c>
      <c r="D90" s="11"/>
      <c r="E90" s="11"/>
      <c r="F90" s="11"/>
      <c r="G90" s="11"/>
      <c r="H90" s="11">
        <v>1020.48</v>
      </c>
      <c r="I90" s="11"/>
      <c r="J90" s="11"/>
      <c r="K90" s="11"/>
      <c r="L90" s="8">
        <v>523.91700000000003</v>
      </c>
    </row>
    <row r="91" spans="1:12" x14ac:dyDescent="0.2">
      <c r="A91" s="13"/>
      <c r="B91" s="12">
        <v>38776</v>
      </c>
      <c r="C91" s="11">
        <v>2444</v>
      </c>
      <c r="D91" s="11"/>
      <c r="E91" s="11"/>
      <c r="F91" s="11"/>
      <c r="G91" s="11"/>
      <c r="H91" s="11">
        <v>1025.57</v>
      </c>
      <c r="I91" s="11"/>
      <c r="J91" s="11"/>
      <c r="K91" s="11"/>
      <c r="L91" s="8">
        <v>535.23800000000006</v>
      </c>
    </row>
    <row r="92" spans="1:12" x14ac:dyDescent="0.2">
      <c r="A92" s="13"/>
      <c r="B92" s="12">
        <v>38807</v>
      </c>
      <c r="C92" s="11">
        <v>2599</v>
      </c>
      <c r="D92" s="11"/>
      <c r="E92" s="11"/>
      <c r="F92" s="11"/>
      <c r="G92" s="11"/>
      <c r="H92" s="11">
        <v>1003.46</v>
      </c>
      <c r="I92" s="11"/>
      <c r="J92" s="11"/>
      <c r="K92" s="11"/>
      <c r="L92" s="8">
        <v>509.14800000000002</v>
      </c>
    </row>
    <row r="93" spans="1:12" x14ac:dyDescent="0.2">
      <c r="A93" s="13"/>
      <c r="B93" s="12">
        <v>38835</v>
      </c>
      <c r="C93" s="11">
        <v>2465</v>
      </c>
      <c r="D93" s="11"/>
      <c r="E93" s="11"/>
      <c r="F93" s="11"/>
      <c r="G93" s="11"/>
      <c r="H93" s="11">
        <v>1007.59</v>
      </c>
      <c r="I93" s="11"/>
      <c r="J93" s="11"/>
      <c r="K93" s="11"/>
      <c r="L93" s="8">
        <v>514.15700000000004</v>
      </c>
    </row>
    <row r="94" spans="1:12" x14ac:dyDescent="0.2">
      <c r="A94" s="13"/>
      <c r="B94" s="12">
        <v>38868</v>
      </c>
      <c r="C94" s="11">
        <v>2442</v>
      </c>
      <c r="D94" s="11"/>
      <c r="E94" s="11"/>
      <c r="F94" s="11"/>
      <c r="G94" s="11"/>
      <c r="H94" s="11">
        <v>984.88</v>
      </c>
      <c r="I94" s="11"/>
      <c r="J94" s="11"/>
      <c r="K94" s="11"/>
      <c r="L94" s="8">
        <v>490.959</v>
      </c>
    </row>
    <row r="95" spans="1:12" x14ac:dyDescent="0.2">
      <c r="A95" s="13"/>
      <c r="B95" s="12">
        <v>38898</v>
      </c>
      <c r="C95" s="11">
        <v>2718</v>
      </c>
      <c r="D95" s="11"/>
      <c r="E95" s="11"/>
      <c r="F95" s="11"/>
      <c r="G95" s="11"/>
      <c r="H95" s="11">
        <v>940.01</v>
      </c>
      <c r="I95" s="11"/>
      <c r="J95" s="11"/>
      <c r="K95" s="11"/>
      <c r="L95" s="8">
        <v>448.58</v>
      </c>
    </row>
    <row r="96" spans="1:12" x14ac:dyDescent="0.2">
      <c r="A96" s="13"/>
      <c r="B96" s="12">
        <v>38929</v>
      </c>
      <c r="C96" s="11">
        <v>3050</v>
      </c>
      <c r="D96" s="11"/>
      <c r="E96" s="11"/>
      <c r="F96" s="11"/>
      <c r="G96" s="11"/>
      <c r="H96" s="11">
        <v>1019.9</v>
      </c>
      <c r="I96" s="11"/>
      <c r="J96" s="11"/>
      <c r="K96" s="11"/>
      <c r="L96" s="8">
        <v>411.892</v>
      </c>
    </row>
    <row r="97" spans="1:12" x14ac:dyDescent="0.2">
      <c r="A97" s="13"/>
      <c r="B97" s="12">
        <v>38960</v>
      </c>
      <c r="C97" s="11">
        <v>3687</v>
      </c>
      <c r="D97" s="11"/>
      <c r="E97" s="11"/>
      <c r="F97" s="11"/>
      <c r="G97" s="11"/>
      <c r="H97" s="11">
        <v>1088.73</v>
      </c>
      <c r="I97" s="11"/>
      <c r="J97" s="11"/>
      <c r="K97" s="11"/>
      <c r="L97" s="8">
        <v>426.67899999999997</v>
      </c>
    </row>
    <row r="98" spans="1:12" x14ac:dyDescent="0.2">
      <c r="A98" s="13"/>
      <c r="B98" s="12">
        <v>38989</v>
      </c>
      <c r="C98" s="11">
        <v>4039</v>
      </c>
      <c r="D98" s="11"/>
      <c r="E98" s="11"/>
      <c r="F98" s="11"/>
      <c r="G98" s="11"/>
      <c r="H98" s="11">
        <v>1066.98</v>
      </c>
      <c r="I98" s="11"/>
      <c r="J98" s="11"/>
      <c r="K98" s="11"/>
      <c r="L98" s="8">
        <v>454.57600000000002</v>
      </c>
    </row>
    <row r="99" spans="1:12" x14ac:dyDescent="0.2">
      <c r="A99" s="13"/>
      <c r="B99" s="12">
        <v>39021</v>
      </c>
      <c r="C99" s="11">
        <v>4028</v>
      </c>
      <c r="D99" s="11"/>
      <c r="E99" s="11"/>
      <c r="F99" s="11"/>
      <c r="G99" s="11"/>
      <c r="H99" s="11">
        <v>1076.18</v>
      </c>
      <c r="I99" s="11"/>
      <c r="J99" s="11"/>
      <c r="K99" s="11"/>
      <c r="L99" s="8">
        <v>456.37599999999998</v>
      </c>
    </row>
    <row r="100" spans="1:12" x14ac:dyDescent="0.2">
      <c r="A100" s="13"/>
      <c r="B100" s="12">
        <v>39051</v>
      </c>
      <c r="C100" s="11">
        <v>4190</v>
      </c>
      <c r="D100" s="11"/>
      <c r="E100" s="11"/>
      <c r="F100" s="11"/>
      <c r="G100" s="11"/>
      <c r="H100" s="11">
        <v>1120.74</v>
      </c>
      <c r="I100" s="11"/>
      <c r="J100" s="11"/>
      <c r="K100" s="11"/>
      <c r="L100" s="8">
        <v>472.72</v>
      </c>
    </row>
    <row r="101" spans="1:12" x14ac:dyDescent="0.2">
      <c r="A101" s="13"/>
      <c r="B101" s="12">
        <v>39080</v>
      </c>
      <c r="C101" s="11">
        <v>4336</v>
      </c>
      <c r="D101" s="11"/>
      <c r="E101" s="11"/>
      <c r="F101" s="11"/>
      <c r="G101" s="11"/>
      <c r="H101" s="11">
        <v>1159.1099999999999</v>
      </c>
      <c r="I101" s="11"/>
      <c r="J101" s="11"/>
      <c r="K101" s="11"/>
      <c r="L101" s="8">
        <v>474.12700000000001</v>
      </c>
    </row>
    <row r="102" spans="1:12" x14ac:dyDescent="0.2">
      <c r="A102" s="13"/>
      <c r="B102" s="12">
        <v>39113</v>
      </c>
      <c r="C102" s="11">
        <v>4462</v>
      </c>
      <c r="D102" s="11"/>
      <c r="E102" s="11"/>
      <c r="F102" s="11"/>
      <c r="G102" s="11"/>
      <c r="H102" s="11">
        <v>1201.71</v>
      </c>
      <c r="I102" s="11"/>
      <c r="J102" s="11"/>
      <c r="K102" s="11"/>
      <c r="L102" s="8">
        <v>466.36</v>
      </c>
    </row>
    <row r="103" spans="1:12" x14ac:dyDescent="0.2">
      <c r="A103" s="13"/>
      <c r="B103" s="12">
        <v>39141</v>
      </c>
      <c r="C103" s="11">
        <v>4398</v>
      </c>
      <c r="D103" s="11"/>
      <c r="E103" s="11"/>
      <c r="F103" s="11"/>
      <c r="G103" s="11"/>
      <c r="H103" s="11">
        <v>1314.07</v>
      </c>
      <c r="I103" s="11"/>
      <c r="J103" s="11"/>
      <c r="K103" s="11"/>
      <c r="L103" s="8">
        <v>471.53899999999999</v>
      </c>
    </row>
    <row r="104" spans="1:12" x14ac:dyDescent="0.2">
      <c r="A104" s="13"/>
      <c r="B104" s="12">
        <v>39171</v>
      </c>
      <c r="C104" s="11">
        <v>5123</v>
      </c>
      <c r="D104" s="11"/>
      <c r="E104" s="11"/>
      <c r="F104" s="11"/>
      <c r="G104" s="11"/>
      <c r="H104" s="11">
        <v>1338.32</v>
      </c>
      <c r="I104" s="11">
        <v>256.58</v>
      </c>
      <c r="J104" s="11"/>
      <c r="K104" s="11"/>
      <c r="L104" s="8">
        <v>471.351</v>
      </c>
    </row>
    <row r="105" spans="1:12" x14ac:dyDescent="0.2">
      <c r="A105" s="13"/>
      <c r="B105" s="12">
        <v>39202</v>
      </c>
      <c r="C105" s="11">
        <v>5754</v>
      </c>
      <c r="D105" s="11"/>
      <c r="E105" s="11"/>
      <c r="F105" s="11"/>
      <c r="G105" s="11"/>
      <c r="H105" s="11">
        <v>1449.97</v>
      </c>
      <c r="I105" s="11">
        <v>276.55</v>
      </c>
      <c r="J105" s="11"/>
      <c r="K105" s="11"/>
      <c r="L105" s="8">
        <v>481.91699999999997</v>
      </c>
    </row>
    <row r="106" spans="1:12" x14ac:dyDescent="0.2">
      <c r="A106" s="13"/>
      <c r="B106" s="12">
        <v>39233</v>
      </c>
      <c r="C106" s="11">
        <v>6402</v>
      </c>
      <c r="D106" s="11"/>
      <c r="E106" s="11"/>
      <c r="F106" s="11"/>
      <c r="G106" s="11"/>
      <c r="H106" s="11">
        <v>1589.63</v>
      </c>
      <c r="I106" s="11">
        <v>300.33999999999997</v>
      </c>
      <c r="J106" s="11"/>
      <c r="K106" s="11"/>
      <c r="L106" s="8">
        <v>494.70100000000002</v>
      </c>
    </row>
    <row r="107" spans="1:12" x14ac:dyDescent="0.2">
      <c r="A107" s="13"/>
      <c r="B107" s="12">
        <v>39262</v>
      </c>
      <c r="C107" s="11">
        <v>5772</v>
      </c>
      <c r="D107" s="11"/>
      <c r="E107" s="11"/>
      <c r="F107" s="11"/>
      <c r="G107" s="11"/>
      <c r="H107" s="11">
        <v>1675.17</v>
      </c>
      <c r="I107" s="11">
        <v>304.43</v>
      </c>
      <c r="J107" s="11"/>
      <c r="K107" s="11"/>
      <c r="L107" s="8">
        <v>494.61399999999998</v>
      </c>
    </row>
    <row r="108" spans="1:12" x14ac:dyDescent="0.2">
      <c r="A108" s="13"/>
      <c r="B108" s="12">
        <v>39294</v>
      </c>
      <c r="C108" s="11">
        <v>6572</v>
      </c>
      <c r="D108" s="11"/>
      <c r="E108" s="11"/>
      <c r="F108" s="11"/>
      <c r="G108" s="11"/>
      <c r="H108" s="11">
        <v>1882.93</v>
      </c>
      <c r="I108" s="11">
        <v>338.79</v>
      </c>
      <c r="J108" s="11"/>
      <c r="K108" s="11"/>
      <c r="L108" s="8">
        <v>521.56299999999999</v>
      </c>
    </row>
    <row r="109" spans="1:12" x14ac:dyDescent="0.2">
      <c r="A109" s="13"/>
      <c r="B109" s="12">
        <v>39325</v>
      </c>
      <c r="C109" s="11">
        <v>7195</v>
      </c>
      <c r="D109" s="11"/>
      <c r="E109" s="11"/>
      <c r="F109" s="11"/>
      <c r="G109" s="11"/>
      <c r="H109" s="11">
        <v>1810.69</v>
      </c>
      <c r="I109" s="11">
        <v>323.14</v>
      </c>
      <c r="J109" s="11"/>
      <c r="K109" s="11"/>
      <c r="L109" s="8">
        <v>492.82499999999999</v>
      </c>
    </row>
    <row r="110" spans="1:12" x14ac:dyDescent="0.2">
      <c r="A110" s="13"/>
      <c r="B110" s="12">
        <v>39353</v>
      </c>
      <c r="C110" s="11">
        <v>8574</v>
      </c>
      <c r="D110" s="11"/>
      <c r="E110" s="11"/>
      <c r="F110" s="11"/>
      <c r="G110" s="11"/>
      <c r="H110" s="11">
        <v>1993.3</v>
      </c>
      <c r="I110" s="11">
        <v>356.49</v>
      </c>
      <c r="J110" s="11"/>
      <c r="K110" s="11"/>
      <c r="L110" s="8">
        <v>496.77699999999999</v>
      </c>
    </row>
    <row r="111" spans="1:12" x14ac:dyDescent="0.2">
      <c r="A111" s="13"/>
      <c r="B111" s="12">
        <v>39386</v>
      </c>
      <c r="C111" s="11">
        <v>10426</v>
      </c>
      <c r="D111" s="11"/>
      <c r="E111" s="11"/>
      <c r="F111" s="11"/>
      <c r="G111" s="11"/>
      <c r="H111" s="11">
        <v>2208.19</v>
      </c>
      <c r="I111" s="11">
        <v>410.51</v>
      </c>
      <c r="J111" s="11"/>
      <c r="K111" s="11"/>
      <c r="L111" s="8">
        <v>483.01</v>
      </c>
    </row>
    <row r="112" spans="1:12" x14ac:dyDescent="0.2">
      <c r="A112" s="13"/>
      <c r="B112" s="12">
        <v>39416</v>
      </c>
      <c r="C112" s="11">
        <v>10543</v>
      </c>
      <c r="D112" s="11"/>
      <c r="E112" s="11"/>
      <c r="F112" s="11"/>
      <c r="G112" s="11"/>
      <c r="H112" s="11">
        <v>1995.53</v>
      </c>
      <c r="I112" s="11">
        <v>377.85</v>
      </c>
      <c r="J112" s="11"/>
      <c r="K112" s="11"/>
      <c r="L112" s="8">
        <v>429.28800000000001</v>
      </c>
    </row>
    <row r="113" spans="1:12" x14ac:dyDescent="0.2">
      <c r="A113" s="13"/>
      <c r="B113" s="12">
        <v>39447</v>
      </c>
      <c r="C113" s="11">
        <v>9854</v>
      </c>
      <c r="D113" s="11"/>
      <c r="E113" s="11"/>
      <c r="F113" s="11"/>
      <c r="G113" s="11"/>
      <c r="H113" s="11">
        <v>1872.86</v>
      </c>
      <c r="I113" s="11">
        <v>386.17</v>
      </c>
      <c r="J113" s="11"/>
      <c r="K113" s="11"/>
      <c r="L113" s="8">
        <v>417.21499999999997</v>
      </c>
    </row>
    <row r="114" spans="1:12" x14ac:dyDescent="0.2">
      <c r="A114" s="13"/>
      <c r="B114" s="12">
        <v>39478</v>
      </c>
      <c r="C114" s="11">
        <v>7170</v>
      </c>
      <c r="D114" s="11"/>
      <c r="E114" s="11"/>
      <c r="F114" s="11"/>
      <c r="G114" s="11"/>
      <c r="H114" s="11">
        <v>1612.47</v>
      </c>
      <c r="I114" s="11">
        <v>341.27</v>
      </c>
      <c r="J114" s="11"/>
      <c r="K114" s="11"/>
      <c r="L114" s="8">
        <v>362.20800000000003</v>
      </c>
    </row>
    <row r="115" spans="1:12" x14ac:dyDescent="0.2">
      <c r="A115" s="13"/>
      <c r="B115" s="12">
        <v>39507</v>
      </c>
      <c r="C115" s="11">
        <v>6874</v>
      </c>
      <c r="D115" s="11"/>
      <c r="E115" s="11"/>
      <c r="F115" s="11"/>
      <c r="G115" s="11"/>
      <c r="H115" s="11">
        <v>1691.39</v>
      </c>
      <c r="I115" s="11">
        <v>370.89</v>
      </c>
      <c r="J115" s="11"/>
      <c r="K115" s="11"/>
      <c r="L115" s="8">
        <v>355.80599999999998</v>
      </c>
    </row>
    <row r="116" spans="1:12" x14ac:dyDescent="0.2">
      <c r="A116" s="13"/>
      <c r="B116" s="12">
        <v>39538</v>
      </c>
      <c r="C116" s="11">
        <v>8063</v>
      </c>
      <c r="D116" s="11"/>
      <c r="E116" s="11"/>
      <c r="F116" s="11"/>
      <c r="G116" s="11"/>
      <c r="H116" s="11">
        <v>1615.05</v>
      </c>
      <c r="I116" s="11">
        <v>342.67</v>
      </c>
      <c r="J116" s="11"/>
      <c r="K116" s="11"/>
      <c r="L116" s="8">
        <v>344.83300000000003</v>
      </c>
    </row>
    <row r="117" spans="1:12" x14ac:dyDescent="0.2">
      <c r="A117" s="13"/>
      <c r="B117" s="12">
        <v>39568</v>
      </c>
      <c r="C117" s="11">
        <v>8287</v>
      </c>
      <c r="D117" s="11"/>
      <c r="E117" s="11"/>
      <c r="F117" s="11"/>
      <c r="G117" s="11"/>
      <c r="H117" s="11">
        <v>1738.92</v>
      </c>
      <c r="I117" s="11">
        <v>378.75</v>
      </c>
      <c r="J117" s="11"/>
      <c r="K117" s="11"/>
      <c r="L117" s="8">
        <v>372.39</v>
      </c>
    </row>
    <row r="118" spans="1:12" x14ac:dyDescent="0.2">
      <c r="A118" s="13"/>
      <c r="B118" s="12">
        <v>39598</v>
      </c>
      <c r="C118" s="11">
        <v>10844</v>
      </c>
      <c r="D118" s="11"/>
      <c r="E118" s="11"/>
      <c r="F118" s="11"/>
      <c r="G118" s="11"/>
      <c r="H118" s="11">
        <v>1937.54</v>
      </c>
      <c r="I118" s="11">
        <v>430.93</v>
      </c>
      <c r="J118" s="11"/>
      <c r="K118" s="11"/>
      <c r="L118" s="8">
        <v>406.05</v>
      </c>
    </row>
    <row r="119" spans="1:12" x14ac:dyDescent="0.2">
      <c r="A119" s="13"/>
      <c r="B119" s="12">
        <v>39629</v>
      </c>
      <c r="C119" s="11">
        <v>10245</v>
      </c>
      <c r="D119" s="11"/>
      <c r="E119" s="11"/>
      <c r="F119" s="11"/>
      <c r="G119" s="11"/>
      <c r="H119" s="11">
        <v>1828.75</v>
      </c>
      <c r="I119" s="11">
        <v>408.45</v>
      </c>
      <c r="J119" s="11"/>
      <c r="K119" s="11"/>
      <c r="L119" s="8">
        <v>391.36399999999998</v>
      </c>
    </row>
    <row r="120" spans="1:12" x14ac:dyDescent="0.2">
      <c r="A120" s="13"/>
      <c r="B120" s="12">
        <v>39660</v>
      </c>
      <c r="C120" s="11">
        <v>8936</v>
      </c>
      <c r="D120" s="11"/>
      <c r="E120" s="11"/>
      <c r="F120" s="11"/>
      <c r="G120" s="11"/>
      <c r="H120" s="11">
        <v>1745.96</v>
      </c>
      <c r="I120" s="11">
        <v>379.82</v>
      </c>
      <c r="J120" s="11"/>
      <c r="K120" s="11"/>
      <c r="L120" s="8">
        <v>350.17</v>
      </c>
    </row>
    <row r="121" spans="1:12" x14ac:dyDescent="0.2">
      <c r="A121" s="13"/>
      <c r="B121" s="12">
        <v>39689</v>
      </c>
      <c r="C121" s="11">
        <v>7403</v>
      </c>
      <c r="D121" s="11"/>
      <c r="E121" s="11"/>
      <c r="F121" s="11"/>
      <c r="G121" s="11"/>
      <c r="H121" s="11">
        <v>1596.47</v>
      </c>
      <c r="I121" s="11">
        <v>365.97</v>
      </c>
      <c r="J121" s="11"/>
      <c r="K121" s="11"/>
      <c r="L121" s="8">
        <v>361.86</v>
      </c>
    </row>
    <row r="122" spans="1:12" x14ac:dyDescent="0.2">
      <c r="A122" s="13"/>
      <c r="B122" s="12">
        <v>39721</v>
      </c>
      <c r="C122" s="11">
        <v>4975</v>
      </c>
      <c r="D122" s="11"/>
      <c r="E122" s="11"/>
      <c r="F122" s="11"/>
      <c r="G122" s="11"/>
      <c r="H122" s="11">
        <v>1297.52</v>
      </c>
      <c r="I122" s="11">
        <v>317.64</v>
      </c>
      <c r="J122" s="11"/>
      <c r="K122" s="11"/>
      <c r="L122" s="8">
        <v>321.41500000000002</v>
      </c>
    </row>
    <row r="123" spans="1:12" x14ac:dyDescent="0.2">
      <c r="A123" s="13"/>
      <c r="B123" s="12">
        <v>39752</v>
      </c>
      <c r="C123" s="11">
        <v>1808</v>
      </c>
      <c r="D123" s="11"/>
      <c r="E123" s="11"/>
      <c r="F123" s="11"/>
      <c r="G123" s="11"/>
      <c r="H123" s="11">
        <v>784.11</v>
      </c>
      <c r="I123" s="11">
        <v>210.71</v>
      </c>
      <c r="J123" s="11"/>
      <c r="K123" s="11"/>
      <c r="L123" s="8">
        <v>246.74299999999999</v>
      </c>
    </row>
    <row r="124" spans="1:12" x14ac:dyDescent="0.2">
      <c r="A124" s="13"/>
      <c r="B124" s="12">
        <v>39780</v>
      </c>
      <c r="C124" s="11">
        <v>819</v>
      </c>
      <c r="D124" s="11"/>
      <c r="E124" s="11"/>
      <c r="F124" s="11"/>
      <c r="G124" s="11"/>
      <c r="H124" s="11">
        <v>661.91</v>
      </c>
      <c r="I124" s="11">
        <v>171.07</v>
      </c>
      <c r="J124" s="11"/>
      <c r="K124" s="11"/>
      <c r="L124" s="8">
        <v>205.31299999999999</v>
      </c>
    </row>
    <row r="125" spans="1:12" x14ac:dyDescent="0.2">
      <c r="A125" s="13"/>
      <c r="B125" s="12">
        <v>39813</v>
      </c>
      <c r="C125" s="11">
        <v>743</v>
      </c>
      <c r="D125" s="11"/>
      <c r="E125" s="11"/>
      <c r="F125" s="11"/>
      <c r="G125" s="11"/>
      <c r="H125" s="11">
        <v>668.34</v>
      </c>
      <c r="I125" s="11">
        <v>157.38</v>
      </c>
      <c r="J125" s="11"/>
      <c r="K125" s="11"/>
      <c r="L125" s="8">
        <v>203.78899999999999</v>
      </c>
    </row>
    <row r="126" spans="1:12" x14ac:dyDescent="0.2">
      <c r="A126" s="13"/>
      <c r="B126" s="12">
        <v>39843</v>
      </c>
      <c r="C126" s="11">
        <v>905</v>
      </c>
      <c r="D126" s="11"/>
      <c r="E126" s="11"/>
      <c r="F126" s="11"/>
      <c r="G126" s="11"/>
      <c r="H126" s="11">
        <v>740.61</v>
      </c>
      <c r="I126" s="11">
        <v>170.44</v>
      </c>
      <c r="J126" s="11"/>
      <c r="K126" s="11"/>
      <c r="L126" s="8">
        <v>213.34800000000001</v>
      </c>
    </row>
    <row r="127" spans="1:12" x14ac:dyDescent="0.2">
      <c r="A127" s="13"/>
      <c r="B127" s="12">
        <v>39871</v>
      </c>
      <c r="C127" s="11">
        <v>1816</v>
      </c>
      <c r="D127" s="11"/>
      <c r="E127" s="11"/>
      <c r="F127" s="11"/>
      <c r="G127" s="11"/>
      <c r="H127" s="11">
        <v>704.69</v>
      </c>
      <c r="I127" s="11">
        <v>148.26</v>
      </c>
      <c r="J127" s="11"/>
      <c r="K127" s="11"/>
      <c r="L127" s="8">
        <v>209.63900000000001</v>
      </c>
    </row>
    <row r="128" spans="1:12" x14ac:dyDescent="0.2">
      <c r="A128" s="13"/>
      <c r="B128" s="12">
        <v>39903</v>
      </c>
      <c r="C128" s="11">
        <v>1958</v>
      </c>
      <c r="D128" s="11"/>
      <c r="E128" s="11"/>
      <c r="F128" s="11"/>
      <c r="G128" s="11"/>
      <c r="H128" s="11">
        <v>594.08000000000004</v>
      </c>
      <c r="I128" s="11">
        <v>120.82</v>
      </c>
      <c r="J128" s="11"/>
      <c r="K128" s="11"/>
      <c r="L128" s="8">
        <v>216.53</v>
      </c>
    </row>
    <row r="129" spans="1:12" x14ac:dyDescent="0.2">
      <c r="A129" s="13"/>
      <c r="B129" s="12">
        <v>39933</v>
      </c>
      <c r="C129" s="11">
        <v>1659</v>
      </c>
      <c r="D129" s="11"/>
      <c r="E129" s="11"/>
      <c r="F129" s="11"/>
      <c r="G129" s="11"/>
      <c r="H129" s="11">
        <v>699.87</v>
      </c>
      <c r="I129" s="11">
        <v>143.44999999999999</v>
      </c>
      <c r="J129" s="11"/>
      <c r="K129" s="11"/>
      <c r="L129" s="8">
        <v>247.89699999999999</v>
      </c>
    </row>
    <row r="130" spans="1:12" x14ac:dyDescent="0.2">
      <c r="A130" s="13"/>
      <c r="B130" s="12">
        <v>39962</v>
      </c>
      <c r="C130" s="11">
        <v>2540</v>
      </c>
      <c r="D130" s="11"/>
      <c r="E130" s="11"/>
      <c r="F130" s="11"/>
      <c r="G130" s="11"/>
      <c r="H130" s="11">
        <v>836.2</v>
      </c>
      <c r="I130" s="11">
        <v>167.14</v>
      </c>
      <c r="J130" s="11"/>
      <c r="K130" s="11"/>
      <c r="L130" s="8">
        <v>255.90199999999999</v>
      </c>
    </row>
    <row r="131" spans="1:12" x14ac:dyDescent="0.2">
      <c r="A131" s="13"/>
      <c r="B131" s="12">
        <v>39994</v>
      </c>
      <c r="C131" s="11">
        <v>3823</v>
      </c>
      <c r="D131" s="11"/>
      <c r="E131" s="11"/>
      <c r="F131" s="11">
        <v>485.11</v>
      </c>
      <c r="G131" s="11"/>
      <c r="H131" s="11">
        <v>877.27</v>
      </c>
      <c r="I131" s="11">
        <v>166.9</v>
      </c>
      <c r="J131" s="11">
        <v>457.45</v>
      </c>
      <c r="K131" s="11"/>
      <c r="L131" s="8">
        <v>268.85000000000002</v>
      </c>
    </row>
    <row r="132" spans="1:12" x14ac:dyDescent="0.2">
      <c r="A132" s="13"/>
      <c r="B132" s="12">
        <v>40025</v>
      </c>
      <c r="C132" s="11">
        <v>3362</v>
      </c>
      <c r="D132" s="11"/>
      <c r="E132" s="11"/>
      <c r="F132" s="11">
        <v>466.9</v>
      </c>
      <c r="G132" s="11"/>
      <c r="H132" s="11">
        <v>824.43</v>
      </c>
      <c r="I132" s="11">
        <v>154.12</v>
      </c>
      <c r="J132" s="11">
        <v>437.94</v>
      </c>
      <c r="K132" s="11"/>
      <c r="L132" s="8">
        <v>282.29500000000002</v>
      </c>
    </row>
    <row r="133" spans="1:12" x14ac:dyDescent="0.2">
      <c r="A133" s="13"/>
      <c r="B133" s="12">
        <v>40056</v>
      </c>
      <c r="C133" s="11">
        <v>2685</v>
      </c>
      <c r="D133" s="11"/>
      <c r="E133" s="11"/>
      <c r="F133" s="11">
        <v>491.41</v>
      </c>
      <c r="G133" s="11"/>
      <c r="H133" s="11">
        <v>866.55</v>
      </c>
      <c r="I133" s="11">
        <v>162.19999999999999</v>
      </c>
      <c r="J133" s="11">
        <v>454.16</v>
      </c>
      <c r="K133" s="11"/>
      <c r="L133" s="8">
        <v>299.39800000000002</v>
      </c>
    </row>
    <row r="134" spans="1:12" x14ac:dyDescent="0.2">
      <c r="A134" s="13"/>
      <c r="B134" s="12">
        <v>40086</v>
      </c>
      <c r="C134" s="11">
        <v>2351</v>
      </c>
      <c r="D134" s="11"/>
      <c r="E134" s="11"/>
      <c r="F134" s="11">
        <v>505.77</v>
      </c>
      <c r="G134" s="11"/>
      <c r="H134" s="11">
        <v>876.4</v>
      </c>
      <c r="I134" s="11">
        <v>171.48</v>
      </c>
      <c r="J134" s="11">
        <v>451.96</v>
      </c>
      <c r="K134" s="11"/>
      <c r="L134" s="8">
        <v>320.07</v>
      </c>
    </row>
    <row r="135" spans="1:12" x14ac:dyDescent="0.2">
      <c r="A135" s="13"/>
      <c r="B135" s="12">
        <v>40116</v>
      </c>
      <c r="C135" s="11">
        <v>2746</v>
      </c>
      <c r="D135" s="11"/>
      <c r="E135" s="11"/>
      <c r="F135" s="11">
        <v>513.73</v>
      </c>
      <c r="G135" s="11"/>
      <c r="H135" s="11">
        <v>907.71</v>
      </c>
      <c r="I135" s="11">
        <v>174.69</v>
      </c>
      <c r="J135" s="11">
        <v>461.63</v>
      </c>
      <c r="K135" s="11"/>
      <c r="L135" s="8">
        <v>318.61</v>
      </c>
    </row>
    <row r="136" spans="1:12" x14ac:dyDescent="0.2">
      <c r="A136" s="13"/>
      <c r="B136" s="12">
        <v>40147</v>
      </c>
      <c r="C136" s="11">
        <v>3941</v>
      </c>
      <c r="D136" s="11"/>
      <c r="E136" s="11"/>
      <c r="F136" s="11">
        <v>504.19</v>
      </c>
      <c r="G136" s="11"/>
      <c r="H136" s="11">
        <v>900.7</v>
      </c>
      <c r="I136" s="11">
        <v>170.89</v>
      </c>
      <c r="J136" s="11">
        <v>453.1</v>
      </c>
      <c r="K136" s="11"/>
      <c r="L136" s="8">
        <v>310.40199999999999</v>
      </c>
    </row>
    <row r="137" spans="1:12" x14ac:dyDescent="0.2">
      <c r="A137" s="13"/>
      <c r="B137" s="12">
        <v>40178</v>
      </c>
      <c r="C137" s="11">
        <v>3572</v>
      </c>
      <c r="D137" s="11"/>
      <c r="E137" s="11"/>
      <c r="F137" s="11">
        <v>523.78</v>
      </c>
      <c r="G137" s="11"/>
      <c r="H137" s="11">
        <v>906.33</v>
      </c>
      <c r="I137" s="11">
        <v>174.9</v>
      </c>
      <c r="J137" s="11">
        <v>454.16</v>
      </c>
      <c r="K137" s="11"/>
      <c r="L137" s="8">
        <v>343.73500000000001</v>
      </c>
    </row>
    <row r="138" spans="1:12" x14ac:dyDescent="0.2">
      <c r="A138" s="13"/>
      <c r="B138" s="12">
        <v>40207</v>
      </c>
      <c r="C138" s="11">
        <v>3168</v>
      </c>
      <c r="D138" s="11"/>
      <c r="E138" s="11"/>
      <c r="F138" s="11">
        <v>547.76</v>
      </c>
      <c r="G138" s="11"/>
      <c r="H138" s="11">
        <v>1001.01</v>
      </c>
      <c r="I138" s="11">
        <v>184.58</v>
      </c>
      <c r="J138" s="11">
        <v>471.03</v>
      </c>
      <c r="K138" s="11"/>
      <c r="L138" s="8">
        <v>349.26900000000001</v>
      </c>
    </row>
    <row r="139" spans="1:12" x14ac:dyDescent="0.2">
      <c r="A139" s="13"/>
      <c r="B139" s="12">
        <v>40235</v>
      </c>
      <c r="C139" s="11">
        <v>2678</v>
      </c>
      <c r="D139" s="11"/>
      <c r="E139" s="11"/>
      <c r="F139" s="11">
        <v>504.92</v>
      </c>
      <c r="G139" s="11"/>
      <c r="H139" s="11">
        <v>946.3</v>
      </c>
      <c r="I139" s="11">
        <v>173.46</v>
      </c>
      <c r="J139" s="11">
        <v>432.88</v>
      </c>
      <c r="K139" s="11"/>
      <c r="L139" s="8">
        <v>331.82900000000001</v>
      </c>
    </row>
    <row r="140" spans="1:12" x14ac:dyDescent="0.2">
      <c r="A140" s="13"/>
      <c r="B140" s="12">
        <v>40268</v>
      </c>
      <c r="C140" s="11">
        <v>3207</v>
      </c>
      <c r="D140" s="11"/>
      <c r="E140" s="11"/>
      <c r="F140" s="11">
        <v>546.26</v>
      </c>
      <c r="G140" s="11"/>
      <c r="H140" s="11">
        <v>1018.57</v>
      </c>
      <c r="I140" s="11">
        <v>186.83</v>
      </c>
      <c r="J140" s="11">
        <v>476.32</v>
      </c>
      <c r="K140" s="11"/>
      <c r="L140" s="8">
        <v>358.21300000000002</v>
      </c>
    </row>
    <row r="141" spans="1:12" x14ac:dyDescent="0.2">
      <c r="A141" s="13"/>
      <c r="B141" s="12">
        <v>40298</v>
      </c>
      <c r="C141" s="11">
        <v>3043</v>
      </c>
      <c r="D141" s="11"/>
      <c r="E141" s="11"/>
      <c r="F141" s="11">
        <v>585.88</v>
      </c>
      <c r="G141" s="11"/>
      <c r="H141" s="11">
        <v>1074.69</v>
      </c>
      <c r="I141" s="11">
        <v>197.87</v>
      </c>
      <c r="J141" s="11">
        <v>504.03</v>
      </c>
      <c r="K141" s="11"/>
      <c r="L141" s="8">
        <v>386.54700000000003</v>
      </c>
    </row>
    <row r="142" spans="1:12" x14ac:dyDescent="0.2">
      <c r="A142" s="13"/>
      <c r="B142" s="12">
        <v>40329</v>
      </c>
      <c r="C142" s="11">
        <v>3838</v>
      </c>
      <c r="D142" s="11"/>
      <c r="E142" s="11"/>
      <c r="F142" s="11">
        <v>551.27</v>
      </c>
      <c r="G142" s="11"/>
      <c r="H142" s="11">
        <v>988.99</v>
      </c>
      <c r="I142" s="11">
        <v>182.9</v>
      </c>
      <c r="J142" s="11">
        <v>470.82</v>
      </c>
      <c r="K142" s="11"/>
      <c r="L142" s="8">
        <v>357.06099999999998</v>
      </c>
    </row>
    <row r="143" spans="1:12" x14ac:dyDescent="0.2">
      <c r="A143" s="13"/>
      <c r="B143" s="12">
        <v>40359</v>
      </c>
      <c r="C143" s="11">
        <v>3088</v>
      </c>
      <c r="D143" s="11"/>
      <c r="E143" s="11"/>
      <c r="F143" s="11">
        <v>525.30999999999995</v>
      </c>
      <c r="G143" s="11"/>
      <c r="H143" s="11">
        <v>978.12</v>
      </c>
      <c r="I143" s="11">
        <v>177.37</v>
      </c>
      <c r="J143" s="11">
        <v>440.5</v>
      </c>
      <c r="K143" s="11">
        <v>84.63</v>
      </c>
      <c r="L143" s="8">
        <v>353.55799999999999</v>
      </c>
    </row>
    <row r="144" spans="1:12" x14ac:dyDescent="0.2">
      <c r="A144" s="13"/>
      <c r="B144" s="12">
        <v>40389</v>
      </c>
      <c r="C144" s="11">
        <v>1910</v>
      </c>
      <c r="D144" s="11"/>
      <c r="E144" s="11"/>
      <c r="F144" s="11">
        <v>517.17999999999995</v>
      </c>
      <c r="G144" s="11"/>
      <c r="H144" s="11">
        <v>975.65</v>
      </c>
      <c r="I144" s="11">
        <v>175.11</v>
      </c>
      <c r="J144" s="11">
        <v>432.13</v>
      </c>
      <c r="K144" s="11">
        <v>86.74</v>
      </c>
      <c r="L144" s="8">
        <v>353.512</v>
      </c>
    </row>
    <row r="145" spans="1:12" x14ac:dyDescent="0.2">
      <c r="A145" s="13"/>
      <c r="B145" s="12">
        <v>40421</v>
      </c>
      <c r="C145" s="11">
        <v>2432</v>
      </c>
      <c r="D145" s="11"/>
      <c r="E145" s="11"/>
      <c r="F145" s="11">
        <v>512.34</v>
      </c>
      <c r="G145" s="11"/>
      <c r="H145" s="11">
        <v>994.75</v>
      </c>
      <c r="I145" s="11">
        <v>176.06</v>
      </c>
      <c r="J145" s="11">
        <v>429.07</v>
      </c>
      <c r="K145" s="11">
        <v>86.78</v>
      </c>
      <c r="L145" s="8">
        <v>331.97500000000002</v>
      </c>
    </row>
    <row r="146" spans="1:12" x14ac:dyDescent="0.2">
      <c r="A146" s="13"/>
      <c r="B146" s="12">
        <v>40451</v>
      </c>
      <c r="C146" s="11">
        <v>2719</v>
      </c>
      <c r="D146" s="11"/>
      <c r="E146" s="11"/>
      <c r="F146" s="11">
        <v>521.58000000000004</v>
      </c>
      <c r="G146" s="11"/>
      <c r="H146" s="11">
        <v>995.7</v>
      </c>
      <c r="I146" s="11">
        <v>176.7</v>
      </c>
      <c r="J146" s="11">
        <v>427.56</v>
      </c>
      <c r="K146" s="11">
        <v>88.19</v>
      </c>
      <c r="L146" s="8">
        <v>332.61500000000001</v>
      </c>
    </row>
    <row r="147" spans="1:12" x14ac:dyDescent="0.2">
      <c r="A147" s="13"/>
      <c r="B147" s="12">
        <v>40480</v>
      </c>
      <c r="C147" s="11">
        <v>2693</v>
      </c>
      <c r="D147" s="11"/>
      <c r="E147" s="11"/>
      <c r="F147" s="11">
        <v>543.80999999999995</v>
      </c>
      <c r="G147" s="11"/>
      <c r="H147" s="11">
        <v>1021.71</v>
      </c>
      <c r="I147" s="11">
        <v>183.62</v>
      </c>
      <c r="J147" s="11">
        <v>437.65</v>
      </c>
      <c r="K147" s="11">
        <v>93.32</v>
      </c>
      <c r="L147" s="8">
        <v>355.06400000000002</v>
      </c>
    </row>
    <row r="148" spans="1:12" x14ac:dyDescent="0.2">
      <c r="A148" s="13"/>
      <c r="B148" s="12">
        <v>40512</v>
      </c>
      <c r="C148" s="11">
        <v>2321</v>
      </c>
      <c r="D148" s="11"/>
      <c r="E148" s="11">
        <v>1202.68</v>
      </c>
      <c r="F148" s="11">
        <v>572.92999999999995</v>
      </c>
      <c r="G148" s="11">
        <v>1103.22</v>
      </c>
      <c r="H148" s="11">
        <v>1063.74</v>
      </c>
      <c r="I148" s="11">
        <v>190.62</v>
      </c>
      <c r="J148" s="11">
        <v>450.75</v>
      </c>
      <c r="K148" s="11">
        <v>106.04</v>
      </c>
      <c r="L148" s="8">
        <v>385.334</v>
      </c>
    </row>
    <row r="149" spans="1:12" x14ac:dyDescent="0.2">
      <c r="A149" s="13"/>
      <c r="B149" s="12">
        <v>40543</v>
      </c>
      <c r="C149" s="11">
        <v>2031</v>
      </c>
      <c r="D149" s="11"/>
      <c r="E149" s="11">
        <v>1103.6600000000001</v>
      </c>
      <c r="F149" s="11">
        <v>575.19000000000005</v>
      </c>
      <c r="G149" s="11">
        <v>1064.43</v>
      </c>
      <c r="H149" s="11">
        <v>1068.6600000000001</v>
      </c>
      <c r="I149" s="11">
        <v>188.06</v>
      </c>
      <c r="J149" s="11">
        <v>440.07</v>
      </c>
      <c r="K149" s="11">
        <v>113.85</v>
      </c>
      <c r="L149" s="8">
        <v>411.55599999999998</v>
      </c>
    </row>
    <row r="150" spans="1:12" x14ac:dyDescent="0.2">
      <c r="A150" s="13"/>
      <c r="B150" s="12">
        <v>40574</v>
      </c>
      <c r="C150" s="11">
        <v>1401</v>
      </c>
      <c r="D150" s="11"/>
      <c r="E150" s="11">
        <v>1112.82</v>
      </c>
      <c r="F150" s="11">
        <v>591.16999999999996</v>
      </c>
      <c r="G150" s="11">
        <v>1060.6099999999999</v>
      </c>
      <c r="H150" s="11">
        <v>1093.04</v>
      </c>
      <c r="I150" s="11">
        <v>186</v>
      </c>
      <c r="J150" s="11">
        <v>438.67</v>
      </c>
      <c r="K150" s="11">
        <v>121.71</v>
      </c>
      <c r="L150" s="8">
        <v>435.096</v>
      </c>
    </row>
    <row r="151" spans="1:12" x14ac:dyDescent="0.2">
      <c r="A151" s="13"/>
      <c r="B151" s="12">
        <v>40602</v>
      </c>
      <c r="C151" s="11">
        <v>1181</v>
      </c>
      <c r="D151" s="11"/>
      <c r="E151" s="11">
        <v>1062.77</v>
      </c>
      <c r="F151" s="11">
        <v>604.79999999999995</v>
      </c>
      <c r="G151" s="11">
        <v>1053.24</v>
      </c>
      <c r="H151" s="11">
        <v>1090.6600000000001</v>
      </c>
      <c r="I151" s="11">
        <v>185.21</v>
      </c>
      <c r="J151" s="11">
        <v>429.6</v>
      </c>
      <c r="K151" s="11">
        <v>122.21</v>
      </c>
      <c r="L151" s="8">
        <v>459.71800000000002</v>
      </c>
    </row>
    <row r="152" spans="1:12" x14ac:dyDescent="0.2">
      <c r="A152" s="13"/>
      <c r="B152" s="12">
        <v>40633</v>
      </c>
      <c r="C152" s="11">
        <v>1493</v>
      </c>
      <c r="D152" s="11"/>
      <c r="E152" s="11">
        <v>999.1</v>
      </c>
      <c r="F152" s="11">
        <v>603.69000000000005</v>
      </c>
      <c r="G152" s="11">
        <v>1029.75</v>
      </c>
      <c r="H152" s="11">
        <v>1060.1199999999999</v>
      </c>
      <c r="I152" s="11">
        <v>182.74</v>
      </c>
      <c r="J152" s="11">
        <v>420.82</v>
      </c>
      <c r="K152" s="11">
        <v>117.82</v>
      </c>
      <c r="L152" s="8">
        <v>435.529</v>
      </c>
    </row>
    <row r="153" spans="1:12" x14ac:dyDescent="0.2">
      <c r="A153" s="13"/>
      <c r="B153" s="12">
        <v>40662</v>
      </c>
      <c r="C153" s="11">
        <v>1343</v>
      </c>
      <c r="D153" s="11"/>
      <c r="E153" s="11">
        <v>1023.63</v>
      </c>
      <c r="F153" s="11">
        <v>606.07000000000005</v>
      </c>
      <c r="G153" s="11">
        <v>1008.08</v>
      </c>
      <c r="H153" s="11">
        <v>1050.1400000000001</v>
      </c>
      <c r="I153" s="11">
        <v>182.63</v>
      </c>
      <c r="J153" s="11">
        <v>397.61</v>
      </c>
      <c r="K153" s="11">
        <v>117.68</v>
      </c>
      <c r="L153" s="8">
        <v>437.80799999999999</v>
      </c>
    </row>
    <row r="154" spans="1:12" x14ac:dyDescent="0.2">
      <c r="A154" s="13"/>
      <c r="B154" s="12">
        <v>40694</v>
      </c>
      <c r="C154" s="11">
        <v>1352</v>
      </c>
      <c r="D154" s="11"/>
      <c r="E154" s="11">
        <v>1072.48</v>
      </c>
      <c r="F154" s="11">
        <v>578.65</v>
      </c>
      <c r="G154" s="11">
        <v>1011.93</v>
      </c>
      <c r="H154" s="11">
        <v>1015.74</v>
      </c>
      <c r="I154" s="11">
        <v>169.35</v>
      </c>
      <c r="J154" s="11">
        <v>373.84</v>
      </c>
      <c r="K154" s="11">
        <v>116.09</v>
      </c>
      <c r="L154" s="8">
        <v>436.238</v>
      </c>
    </row>
    <row r="155" spans="1:12" x14ac:dyDescent="0.2">
      <c r="A155" s="13"/>
      <c r="B155" s="12">
        <v>40724</v>
      </c>
      <c r="C155" s="11">
        <v>1433</v>
      </c>
      <c r="D155" s="11">
        <v>1599.44</v>
      </c>
      <c r="E155" s="11">
        <v>1039.4100000000001</v>
      </c>
      <c r="F155" s="11">
        <v>542.88</v>
      </c>
      <c r="G155" s="11">
        <v>996.88</v>
      </c>
      <c r="H155" s="11">
        <v>954.34</v>
      </c>
      <c r="I155" s="11">
        <v>155.19999999999999</v>
      </c>
      <c r="J155" s="11">
        <v>350.78</v>
      </c>
      <c r="K155" s="11">
        <v>108.78</v>
      </c>
      <c r="L155" s="8">
        <v>404.42500000000001</v>
      </c>
    </row>
    <row r="156" spans="1:12" x14ac:dyDescent="0.2">
      <c r="A156" s="13"/>
      <c r="B156" s="12">
        <v>40753</v>
      </c>
      <c r="C156" s="11">
        <v>1366</v>
      </c>
      <c r="D156" s="11">
        <v>1611.89</v>
      </c>
      <c r="E156" s="11">
        <v>1020.14</v>
      </c>
      <c r="F156" s="11">
        <v>539.58000000000004</v>
      </c>
      <c r="G156" s="11">
        <v>982.44</v>
      </c>
      <c r="H156" s="11">
        <v>951.17</v>
      </c>
      <c r="I156" s="11">
        <v>149.53</v>
      </c>
      <c r="J156" s="11">
        <v>340.57</v>
      </c>
      <c r="K156" s="11">
        <v>115.22</v>
      </c>
      <c r="L156" s="8">
        <v>400.80799999999999</v>
      </c>
    </row>
    <row r="157" spans="1:12" x14ac:dyDescent="0.2">
      <c r="A157" s="13"/>
      <c r="B157" s="12">
        <v>40786</v>
      </c>
      <c r="C157" s="11">
        <v>1387</v>
      </c>
      <c r="D157" s="11">
        <v>1703.82</v>
      </c>
      <c r="E157" s="11">
        <v>1045.19</v>
      </c>
      <c r="F157" s="11">
        <v>450.62</v>
      </c>
      <c r="G157" s="11">
        <v>987.06</v>
      </c>
      <c r="H157" s="11">
        <v>772.53</v>
      </c>
      <c r="I157" s="11">
        <v>113.91</v>
      </c>
      <c r="J157" s="11">
        <v>263.77999999999997</v>
      </c>
      <c r="K157" s="11">
        <v>93.35</v>
      </c>
      <c r="L157" s="8">
        <v>351.49299999999999</v>
      </c>
    </row>
    <row r="158" spans="1:12" x14ac:dyDescent="0.2">
      <c r="A158" s="13"/>
      <c r="B158" s="12">
        <v>40816</v>
      </c>
      <c r="C158" s="11">
        <v>1840</v>
      </c>
      <c r="D158" s="11">
        <v>1653.65</v>
      </c>
      <c r="E158" s="11">
        <v>1016.76</v>
      </c>
      <c r="F158" s="11">
        <v>440.16</v>
      </c>
      <c r="G158" s="11">
        <v>991.24</v>
      </c>
      <c r="H158" s="11">
        <v>715.75</v>
      </c>
      <c r="I158" s="11">
        <v>107.78</v>
      </c>
      <c r="J158" s="11">
        <v>246.98</v>
      </c>
      <c r="K158" s="11">
        <v>91.64</v>
      </c>
      <c r="L158" s="8">
        <v>359.42500000000001</v>
      </c>
    </row>
    <row r="159" spans="1:12" x14ac:dyDescent="0.2">
      <c r="A159" s="13"/>
      <c r="B159" s="12">
        <v>40847</v>
      </c>
      <c r="C159" s="11">
        <v>2072</v>
      </c>
      <c r="D159" s="11">
        <v>1487.56</v>
      </c>
      <c r="E159" s="11">
        <v>939.77</v>
      </c>
      <c r="F159" s="11">
        <v>429.75</v>
      </c>
      <c r="G159" s="11">
        <v>956.77</v>
      </c>
      <c r="H159" s="11">
        <v>685.44</v>
      </c>
      <c r="I159" s="11">
        <v>103.22</v>
      </c>
      <c r="J159" s="11">
        <v>234.68</v>
      </c>
      <c r="K159" s="11">
        <v>94.27</v>
      </c>
      <c r="L159" s="8">
        <v>369.69900000000001</v>
      </c>
    </row>
    <row r="160" spans="1:12" x14ac:dyDescent="0.2">
      <c r="A160" s="13"/>
      <c r="B160" s="12">
        <v>40877</v>
      </c>
      <c r="C160" s="11">
        <v>1835</v>
      </c>
      <c r="D160" s="11">
        <v>1365.08</v>
      </c>
      <c r="E160" s="11">
        <v>895.51</v>
      </c>
      <c r="F160" s="11">
        <v>443.84</v>
      </c>
      <c r="G160" s="11">
        <v>936.33</v>
      </c>
      <c r="H160" s="11">
        <v>650.46</v>
      </c>
      <c r="I160" s="11">
        <v>98.93</v>
      </c>
      <c r="J160" s="11">
        <v>225.99</v>
      </c>
      <c r="K160" s="11">
        <v>100.34</v>
      </c>
      <c r="L160" s="8">
        <v>374.72</v>
      </c>
    </row>
    <row r="161" spans="1:12" x14ac:dyDescent="0.2">
      <c r="A161" s="13"/>
      <c r="B161" s="12">
        <v>40907</v>
      </c>
      <c r="C161" s="11">
        <v>1869</v>
      </c>
      <c r="D161" s="11">
        <v>1215.69</v>
      </c>
      <c r="E161" s="11">
        <v>876.34</v>
      </c>
      <c r="F161" s="11">
        <v>435.62</v>
      </c>
      <c r="G161" s="11">
        <v>902.64</v>
      </c>
      <c r="H161" s="11">
        <v>646.94000000000005</v>
      </c>
      <c r="I161" s="11">
        <v>89.09</v>
      </c>
      <c r="J161" s="11">
        <v>199.25</v>
      </c>
      <c r="K161" s="11">
        <v>105.24</v>
      </c>
      <c r="L161" s="8">
        <v>364.87099999999998</v>
      </c>
    </row>
    <row r="162" spans="1:12" x14ac:dyDescent="0.2">
      <c r="A162" s="13"/>
      <c r="B162" s="12">
        <v>40939</v>
      </c>
      <c r="C162" s="11">
        <v>1039</v>
      </c>
      <c r="D162" s="11">
        <v>1495.43</v>
      </c>
      <c r="E162" s="11">
        <v>979.64</v>
      </c>
      <c r="F162" s="11">
        <v>464.71</v>
      </c>
      <c r="G162" s="11">
        <v>913.62</v>
      </c>
      <c r="H162" s="11">
        <v>694.4</v>
      </c>
      <c r="I162" s="11">
        <v>97.04</v>
      </c>
      <c r="J162" s="11">
        <v>216.48</v>
      </c>
      <c r="K162" s="11">
        <v>110.49</v>
      </c>
      <c r="L162" s="8">
        <v>396.09699999999998</v>
      </c>
    </row>
    <row r="163" spans="1:12" x14ac:dyDescent="0.2">
      <c r="A163" s="13"/>
      <c r="B163" s="12">
        <v>40968</v>
      </c>
      <c r="C163" s="11">
        <v>703</v>
      </c>
      <c r="D163" s="11">
        <v>1460.67</v>
      </c>
      <c r="E163" s="11">
        <v>965.59</v>
      </c>
      <c r="F163" s="11">
        <v>493.56</v>
      </c>
      <c r="G163" s="11">
        <v>943.53</v>
      </c>
      <c r="H163" s="11">
        <v>780.86</v>
      </c>
      <c r="I163" s="11">
        <v>108.88</v>
      </c>
      <c r="J163" s="11">
        <v>234.34</v>
      </c>
      <c r="K163" s="11">
        <v>114.43</v>
      </c>
      <c r="L163" s="8">
        <v>425.23500000000001</v>
      </c>
    </row>
    <row r="164" spans="1:12" x14ac:dyDescent="0.2">
      <c r="A164" s="13"/>
      <c r="B164" s="12">
        <v>40998</v>
      </c>
      <c r="C164" s="11">
        <v>859</v>
      </c>
      <c r="D164" s="11">
        <v>2051.34</v>
      </c>
      <c r="E164" s="11">
        <v>1227.0899999999999</v>
      </c>
      <c r="F164" s="11">
        <v>500.39</v>
      </c>
      <c r="G164" s="11">
        <v>1040.06</v>
      </c>
      <c r="H164" s="11">
        <v>802.94</v>
      </c>
      <c r="I164" s="11">
        <v>114.46</v>
      </c>
      <c r="J164" s="11">
        <v>237.38</v>
      </c>
      <c r="K164" s="11">
        <v>111.14</v>
      </c>
      <c r="L164" s="8">
        <v>428.85</v>
      </c>
    </row>
    <row r="165" spans="1:12" x14ac:dyDescent="0.2">
      <c r="A165" s="13"/>
      <c r="B165" s="12">
        <v>41029</v>
      </c>
      <c r="C165" s="11">
        <v>1021</v>
      </c>
      <c r="D165" s="11">
        <v>2411.67</v>
      </c>
      <c r="E165" s="11">
        <v>1426.54</v>
      </c>
      <c r="F165" s="11">
        <v>500.74</v>
      </c>
      <c r="G165" s="11">
        <v>1213.0899999999999</v>
      </c>
      <c r="H165" s="11">
        <v>794.45</v>
      </c>
      <c r="I165" s="11">
        <v>113.28</v>
      </c>
      <c r="J165" s="11">
        <v>233.21</v>
      </c>
      <c r="K165" s="11">
        <v>106.08</v>
      </c>
      <c r="L165" s="8">
        <v>416.327</v>
      </c>
    </row>
    <row r="166" spans="1:12" x14ac:dyDescent="0.2">
      <c r="A166" s="13"/>
      <c r="B166" s="12">
        <v>41060</v>
      </c>
      <c r="C166" s="11">
        <v>1101</v>
      </c>
      <c r="D166" s="11">
        <v>2609.48</v>
      </c>
      <c r="E166" s="11">
        <v>1450.27</v>
      </c>
      <c r="F166" s="11">
        <v>462.12</v>
      </c>
      <c r="G166" s="11">
        <v>1313.3</v>
      </c>
      <c r="H166" s="11">
        <v>719.76</v>
      </c>
      <c r="I166" s="11">
        <v>98.96</v>
      </c>
      <c r="J166" s="11">
        <v>203.1</v>
      </c>
      <c r="K166" s="11">
        <v>103.18</v>
      </c>
      <c r="L166" s="8">
        <v>385.26400000000001</v>
      </c>
    </row>
    <row r="167" spans="1:12" x14ac:dyDescent="0.2">
      <c r="A167" s="13"/>
      <c r="B167" s="12">
        <v>41089</v>
      </c>
      <c r="C167" s="11">
        <v>937</v>
      </c>
      <c r="D167" s="11">
        <v>2526.37</v>
      </c>
      <c r="E167" s="11">
        <v>1427.61</v>
      </c>
      <c r="F167" s="11">
        <v>423.3</v>
      </c>
      <c r="G167" s="11">
        <v>1317.22</v>
      </c>
      <c r="H167" s="11">
        <v>683.34</v>
      </c>
      <c r="I167" s="11">
        <v>87.15</v>
      </c>
      <c r="J167" s="11">
        <v>184.85</v>
      </c>
      <c r="K167" s="11">
        <v>100.88</v>
      </c>
      <c r="L167" s="8">
        <v>371.28899999999999</v>
      </c>
    </row>
    <row r="168" spans="1:12" x14ac:dyDescent="0.2">
      <c r="A168" s="13"/>
      <c r="B168" s="12">
        <v>41121</v>
      </c>
      <c r="C168" s="11">
        <v>1056</v>
      </c>
      <c r="D168" s="11">
        <v>2592.67</v>
      </c>
      <c r="E168" s="11">
        <v>1362.25</v>
      </c>
      <c r="F168" s="11">
        <v>399.47</v>
      </c>
      <c r="G168" s="11">
        <v>1304.97</v>
      </c>
      <c r="H168" s="11">
        <v>692.62</v>
      </c>
      <c r="I168" s="11">
        <v>85.37</v>
      </c>
      <c r="J168" s="11">
        <v>185.47</v>
      </c>
      <c r="K168" s="11">
        <v>105.24</v>
      </c>
      <c r="L168" s="8">
        <v>369.50700000000001</v>
      </c>
    </row>
    <row r="169" spans="1:12" x14ac:dyDescent="0.2">
      <c r="A169" s="13"/>
      <c r="B169" s="12">
        <v>41152</v>
      </c>
      <c r="C169" s="11">
        <v>761</v>
      </c>
      <c r="D169" s="11">
        <v>2532.84</v>
      </c>
      <c r="E169" s="11">
        <v>1346.28</v>
      </c>
      <c r="F169" s="11">
        <v>408.7</v>
      </c>
      <c r="G169" s="11">
        <v>1263.72</v>
      </c>
      <c r="H169" s="11">
        <v>688.61</v>
      </c>
      <c r="I169" s="11">
        <v>84.79</v>
      </c>
      <c r="J169" s="11">
        <v>179.99</v>
      </c>
      <c r="K169" s="11">
        <v>109.07</v>
      </c>
      <c r="L169" s="8">
        <v>397.96699999999998</v>
      </c>
    </row>
    <row r="170" spans="1:12" x14ac:dyDescent="0.2">
      <c r="A170" s="13"/>
      <c r="B170" s="12">
        <v>41180</v>
      </c>
      <c r="C170" s="11">
        <v>707</v>
      </c>
      <c r="D170" s="11">
        <v>2251.1799999999998</v>
      </c>
      <c r="E170" s="11">
        <v>1265.1300000000001</v>
      </c>
      <c r="F170" s="11">
        <v>409.75</v>
      </c>
      <c r="G170" s="11">
        <v>1225.72</v>
      </c>
      <c r="H170" s="11">
        <v>681.25</v>
      </c>
      <c r="I170" s="11">
        <v>86.3</v>
      </c>
      <c r="J170" s="11">
        <v>177.73</v>
      </c>
      <c r="K170" s="11">
        <v>106.66</v>
      </c>
      <c r="L170" s="8">
        <v>394.255</v>
      </c>
    </row>
    <row r="171" spans="1:12" x14ac:dyDescent="0.2">
      <c r="A171" s="13"/>
      <c r="B171" s="12">
        <v>41213</v>
      </c>
      <c r="C171" s="11">
        <v>952</v>
      </c>
      <c r="D171" s="11">
        <v>2094.16</v>
      </c>
      <c r="E171" s="11">
        <v>1202.6300000000001</v>
      </c>
      <c r="F171" s="11">
        <v>401.14</v>
      </c>
      <c r="G171" s="11">
        <v>1177.1600000000001</v>
      </c>
      <c r="H171" s="11">
        <v>674.94</v>
      </c>
      <c r="I171" s="11">
        <v>78.83</v>
      </c>
      <c r="J171" s="11">
        <v>163.66</v>
      </c>
      <c r="K171" s="11">
        <v>104.59</v>
      </c>
      <c r="L171" s="8">
        <v>372.98599999999999</v>
      </c>
    </row>
    <row r="172" spans="1:12" x14ac:dyDescent="0.2">
      <c r="A172" s="13"/>
      <c r="B172" s="12">
        <v>41243</v>
      </c>
      <c r="C172" s="11">
        <v>1025</v>
      </c>
      <c r="D172" s="11">
        <v>2040.1</v>
      </c>
      <c r="E172" s="11">
        <v>1148</v>
      </c>
      <c r="F172" s="11">
        <v>386.85</v>
      </c>
      <c r="G172" s="11">
        <v>1147.25</v>
      </c>
      <c r="H172" s="11">
        <v>660.58</v>
      </c>
      <c r="I172" s="11">
        <v>70.209999999999994</v>
      </c>
      <c r="J172" s="11">
        <v>151.38</v>
      </c>
      <c r="K172" s="11">
        <v>106.51</v>
      </c>
      <c r="L172" s="8">
        <v>369.29500000000002</v>
      </c>
    </row>
    <row r="173" spans="1:12" x14ac:dyDescent="0.2">
      <c r="A173" s="13"/>
      <c r="B173" s="12">
        <v>41274</v>
      </c>
      <c r="C173" s="11">
        <v>856</v>
      </c>
      <c r="D173" s="11">
        <v>1915.01</v>
      </c>
      <c r="E173" s="11">
        <v>1127.06</v>
      </c>
      <c r="F173" s="11">
        <v>398.23</v>
      </c>
      <c r="G173" s="11">
        <v>1107.22</v>
      </c>
      <c r="H173" s="11">
        <v>684.2</v>
      </c>
      <c r="I173" s="11">
        <v>67.61</v>
      </c>
      <c r="J173" s="11">
        <v>158.69</v>
      </c>
      <c r="K173" s="11">
        <v>111.83</v>
      </c>
      <c r="L173" s="8">
        <v>382.24599999999998</v>
      </c>
    </row>
    <row r="174" spans="1:12" x14ac:dyDescent="0.2">
      <c r="A174" s="13"/>
      <c r="B174" s="12">
        <v>41305</v>
      </c>
      <c r="C174" s="11">
        <v>771</v>
      </c>
      <c r="D174" s="11">
        <v>2196.0300000000002</v>
      </c>
      <c r="E174" s="11">
        <v>1200.44</v>
      </c>
      <c r="F174" s="11">
        <v>428.09</v>
      </c>
      <c r="G174" s="11">
        <v>1119.92</v>
      </c>
      <c r="H174" s="11">
        <v>746.89</v>
      </c>
      <c r="I174" s="11">
        <v>76.37</v>
      </c>
      <c r="J174" s="11">
        <v>169.76</v>
      </c>
      <c r="K174" s="11">
        <v>124.12</v>
      </c>
      <c r="L174" s="8">
        <v>405.52300000000002</v>
      </c>
    </row>
    <row r="175" spans="1:12" x14ac:dyDescent="0.2">
      <c r="A175" s="13"/>
      <c r="B175" s="12">
        <v>41333</v>
      </c>
      <c r="C175" s="11">
        <v>745</v>
      </c>
      <c r="D175" s="11">
        <v>2129.15</v>
      </c>
      <c r="E175" s="11">
        <v>1197.7</v>
      </c>
      <c r="F175" s="11">
        <v>447.11</v>
      </c>
      <c r="G175" s="11">
        <v>1146.47</v>
      </c>
      <c r="H175" s="11">
        <v>744.83</v>
      </c>
      <c r="I175" s="11">
        <v>75.56</v>
      </c>
      <c r="J175" s="11">
        <v>171.29</v>
      </c>
      <c r="K175" s="11">
        <v>123.2</v>
      </c>
      <c r="L175" s="8">
        <v>423.58499999999998</v>
      </c>
    </row>
    <row r="176" spans="1:12" x14ac:dyDescent="0.2">
      <c r="A176" s="13"/>
      <c r="B176" s="12">
        <v>41362</v>
      </c>
      <c r="C176" s="11">
        <v>876</v>
      </c>
      <c r="D176" s="11">
        <v>1993.33</v>
      </c>
      <c r="E176" s="11">
        <v>1142.25</v>
      </c>
      <c r="F176" s="11">
        <v>457.19</v>
      </c>
      <c r="G176" s="11">
        <v>1110.46</v>
      </c>
      <c r="H176" s="11">
        <v>752.61</v>
      </c>
      <c r="I176" s="11">
        <v>79.790000000000006</v>
      </c>
      <c r="J176" s="11">
        <v>170.98</v>
      </c>
      <c r="K176" s="11">
        <v>120.94</v>
      </c>
      <c r="L176" s="8">
        <v>432.38299999999998</v>
      </c>
    </row>
    <row r="177" spans="1:12" x14ac:dyDescent="0.2">
      <c r="A177" s="13"/>
      <c r="B177" s="12">
        <v>41394</v>
      </c>
      <c r="C177" s="11">
        <v>874</v>
      </c>
      <c r="D177" s="11">
        <v>1939.28</v>
      </c>
      <c r="E177" s="11">
        <v>1094.1600000000001</v>
      </c>
      <c r="F177" s="11">
        <v>452.81</v>
      </c>
      <c r="G177" s="11">
        <v>1103.1199999999999</v>
      </c>
      <c r="H177" s="11">
        <v>728.37</v>
      </c>
      <c r="I177" s="11">
        <v>78.72</v>
      </c>
      <c r="J177" s="11">
        <v>166.87</v>
      </c>
      <c r="K177" s="11">
        <v>120.05</v>
      </c>
      <c r="L177" s="8">
        <v>428.06799999999998</v>
      </c>
    </row>
    <row r="178" spans="1:12" x14ac:dyDescent="0.2">
      <c r="A178" s="13"/>
      <c r="B178" s="12">
        <v>41425</v>
      </c>
      <c r="C178" s="11">
        <v>851</v>
      </c>
      <c r="D178" s="11">
        <v>1644.49</v>
      </c>
      <c r="E178" s="11">
        <v>1006.41</v>
      </c>
      <c r="F178" s="11">
        <v>484.03</v>
      </c>
      <c r="G178" s="11">
        <v>1069.46</v>
      </c>
      <c r="H178" s="11">
        <v>758.22</v>
      </c>
      <c r="I178" s="11">
        <v>81.98</v>
      </c>
      <c r="J178" s="11">
        <v>178.56</v>
      </c>
      <c r="K178" s="11">
        <v>125.88</v>
      </c>
      <c r="L178" s="8">
        <v>461.80099999999999</v>
      </c>
    </row>
    <row r="179" spans="1:12" x14ac:dyDescent="0.2">
      <c r="A179" s="13"/>
      <c r="B179" s="12">
        <v>41453</v>
      </c>
      <c r="C179" s="11">
        <v>941</v>
      </c>
      <c r="D179" s="11">
        <v>1596.83</v>
      </c>
      <c r="E179" s="11">
        <v>999.3</v>
      </c>
      <c r="F179" s="11">
        <v>483.42</v>
      </c>
      <c r="G179" s="11">
        <v>1025.0999999999999</v>
      </c>
      <c r="H179" s="11">
        <v>748.47</v>
      </c>
      <c r="I179" s="11">
        <v>79.41</v>
      </c>
      <c r="J179" s="11">
        <v>172.46</v>
      </c>
      <c r="K179" s="11">
        <v>125.73</v>
      </c>
      <c r="L179" s="8">
        <v>466.74400000000003</v>
      </c>
    </row>
    <row r="180" spans="1:12" x14ac:dyDescent="0.2">
      <c r="A180" s="13"/>
      <c r="B180" s="12">
        <v>41486</v>
      </c>
      <c r="C180" s="11">
        <v>1123</v>
      </c>
      <c r="D180" s="11">
        <v>2058.9899999999998</v>
      </c>
      <c r="E180" s="11">
        <v>1090.52</v>
      </c>
      <c r="F180" s="11">
        <v>515.41999999999996</v>
      </c>
      <c r="G180" s="11">
        <v>1061.03</v>
      </c>
      <c r="H180" s="11">
        <v>776.67</v>
      </c>
      <c r="I180" s="11">
        <v>83.02</v>
      </c>
      <c r="J180" s="11">
        <v>182.11</v>
      </c>
      <c r="K180" s="11">
        <v>131.24</v>
      </c>
      <c r="L180" s="8">
        <v>478.87200000000001</v>
      </c>
    </row>
    <row r="181" spans="1:12" x14ac:dyDescent="0.2">
      <c r="A181" s="13"/>
      <c r="B181" s="12">
        <v>41516</v>
      </c>
      <c r="C181" s="11">
        <v>1088</v>
      </c>
      <c r="D181" s="11">
        <v>2072.23</v>
      </c>
      <c r="E181" s="11">
        <v>1122.94</v>
      </c>
      <c r="F181" s="11">
        <v>518.12</v>
      </c>
      <c r="G181" s="11">
        <v>1099.73</v>
      </c>
      <c r="H181" s="11">
        <v>796.74</v>
      </c>
      <c r="I181" s="11">
        <v>86.45</v>
      </c>
      <c r="J181" s="11">
        <v>184.18</v>
      </c>
      <c r="K181" s="11">
        <v>139.22999999999999</v>
      </c>
      <c r="L181" s="8">
        <v>467.98500000000001</v>
      </c>
    </row>
    <row r="182" spans="1:12" x14ac:dyDescent="0.2">
      <c r="A182" s="13"/>
      <c r="B182" s="12">
        <v>41547</v>
      </c>
      <c r="C182" s="11">
        <v>1681</v>
      </c>
      <c r="D182" s="11">
        <v>1876.71</v>
      </c>
      <c r="E182" s="11">
        <v>1023.94</v>
      </c>
      <c r="F182" s="11">
        <v>525.19000000000005</v>
      </c>
      <c r="G182" s="11">
        <v>1108.3</v>
      </c>
      <c r="H182" s="11">
        <v>838.73</v>
      </c>
      <c r="I182" s="11">
        <v>97.1</v>
      </c>
      <c r="J182" s="11">
        <v>182.04</v>
      </c>
      <c r="K182" s="11">
        <v>148.96</v>
      </c>
      <c r="L182" s="8">
        <v>487.536</v>
      </c>
    </row>
    <row r="183" spans="1:12" x14ac:dyDescent="0.2">
      <c r="A183" s="13"/>
      <c r="B183" s="12">
        <v>41578</v>
      </c>
      <c r="C183" s="11">
        <v>1883</v>
      </c>
      <c r="D183" s="11">
        <v>1534.77</v>
      </c>
      <c r="E183" s="11">
        <v>889.54</v>
      </c>
      <c r="F183" s="11">
        <v>542.26</v>
      </c>
      <c r="G183" s="11">
        <v>1008.6</v>
      </c>
      <c r="H183" s="11">
        <v>855.25</v>
      </c>
      <c r="I183" s="11">
        <v>98.31</v>
      </c>
      <c r="J183" s="11">
        <v>185.83</v>
      </c>
      <c r="K183" s="11">
        <v>151.11000000000001</v>
      </c>
      <c r="L183" s="8">
        <v>498.58800000000002</v>
      </c>
    </row>
    <row r="184" spans="1:12" x14ac:dyDescent="0.2">
      <c r="A184" s="13"/>
      <c r="B184" s="12">
        <v>41607</v>
      </c>
      <c r="C184" s="11">
        <v>1559</v>
      </c>
      <c r="D184" s="11">
        <v>1952.04</v>
      </c>
      <c r="E184" s="11">
        <v>1068.8599999999999</v>
      </c>
      <c r="F184" s="11">
        <v>564.08000000000004</v>
      </c>
      <c r="G184" s="11">
        <v>1040.08</v>
      </c>
      <c r="H184" s="11">
        <v>851.56</v>
      </c>
      <c r="I184" s="11">
        <v>94.56</v>
      </c>
      <c r="J184" s="11">
        <v>189.11</v>
      </c>
      <c r="K184" s="11">
        <v>159.15</v>
      </c>
      <c r="L184" s="8">
        <v>503.99</v>
      </c>
    </row>
    <row r="185" spans="1:12" x14ac:dyDescent="0.2">
      <c r="A185" s="13"/>
      <c r="B185" s="12">
        <v>41639</v>
      </c>
      <c r="C185" s="11">
        <v>2178</v>
      </c>
      <c r="D185" s="11">
        <v>1851.3</v>
      </c>
      <c r="E185" s="11">
        <v>1079.29</v>
      </c>
      <c r="F185" s="11">
        <v>574.6</v>
      </c>
      <c r="G185" s="11">
        <v>1063.1300000000001</v>
      </c>
      <c r="H185" s="11">
        <v>872</v>
      </c>
      <c r="I185" s="11">
        <v>101.08</v>
      </c>
      <c r="J185" s="11">
        <v>191.36</v>
      </c>
      <c r="K185" s="11">
        <v>167.89</v>
      </c>
      <c r="L185" s="8">
        <v>518.10900000000004</v>
      </c>
    </row>
    <row r="186" spans="1:12" x14ac:dyDescent="0.2">
      <c r="A186" s="13"/>
      <c r="B186" s="12">
        <v>41670</v>
      </c>
      <c r="C186" s="11">
        <v>1472</v>
      </c>
      <c r="D186" s="11">
        <v>2304.0100000000002</v>
      </c>
      <c r="E186" s="11">
        <v>1174.8699999999999</v>
      </c>
      <c r="F186" s="11">
        <v>602.37</v>
      </c>
      <c r="G186" s="11">
        <v>1129.8399999999999</v>
      </c>
      <c r="H186" s="11">
        <v>926.78</v>
      </c>
      <c r="I186" s="11">
        <v>112.62</v>
      </c>
      <c r="J186" s="11">
        <v>197.08</v>
      </c>
      <c r="K186" s="11">
        <v>184.7</v>
      </c>
      <c r="L186" s="8">
        <v>533.12800000000004</v>
      </c>
    </row>
    <row r="187" spans="1:12" x14ac:dyDescent="0.2">
      <c r="A187" s="13"/>
      <c r="B187" s="12">
        <v>41698</v>
      </c>
      <c r="C187" s="11">
        <v>1140</v>
      </c>
      <c r="D187" s="11">
        <v>2199.16</v>
      </c>
      <c r="E187" s="11">
        <v>1069.3599999999999</v>
      </c>
      <c r="F187" s="11">
        <v>590.70000000000005</v>
      </c>
      <c r="G187" s="11">
        <v>1146.17</v>
      </c>
      <c r="H187" s="11">
        <v>924.68</v>
      </c>
      <c r="I187" s="11">
        <v>110.72</v>
      </c>
      <c r="J187" s="11">
        <v>184.17</v>
      </c>
      <c r="K187" s="11">
        <v>187.43</v>
      </c>
      <c r="L187" s="8">
        <v>548.72400000000005</v>
      </c>
    </row>
    <row r="188" spans="1:12" x14ac:dyDescent="0.2">
      <c r="A188" s="13"/>
      <c r="B188" s="12">
        <v>41729</v>
      </c>
      <c r="C188" s="11">
        <v>1484</v>
      </c>
      <c r="D188" s="11">
        <v>1817.14</v>
      </c>
      <c r="E188" s="11">
        <v>969.14</v>
      </c>
      <c r="F188" s="11">
        <v>603.23</v>
      </c>
      <c r="G188" s="11">
        <v>1070.31</v>
      </c>
      <c r="H188" s="11">
        <v>937.42</v>
      </c>
      <c r="I188" s="11">
        <v>116.74</v>
      </c>
      <c r="J188" s="11">
        <v>187.31</v>
      </c>
      <c r="K188" s="11">
        <v>183.24</v>
      </c>
      <c r="L188" s="8">
        <v>574.76400000000001</v>
      </c>
    </row>
    <row r="189" spans="1:12" x14ac:dyDescent="0.2">
      <c r="A189" s="13"/>
      <c r="B189" s="12">
        <v>41759</v>
      </c>
      <c r="C189" s="11">
        <v>1045</v>
      </c>
      <c r="D189" s="11">
        <v>1952.88</v>
      </c>
      <c r="E189" s="11">
        <v>1078.46</v>
      </c>
      <c r="F189" s="11">
        <v>587.54</v>
      </c>
      <c r="G189" s="11">
        <v>1068.76</v>
      </c>
      <c r="H189" s="11">
        <v>931.72</v>
      </c>
      <c r="I189" s="11">
        <v>110.84</v>
      </c>
      <c r="J189" s="11">
        <v>177.58</v>
      </c>
      <c r="K189" s="11">
        <v>181.02</v>
      </c>
      <c r="L189" s="8">
        <v>579.09400000000005</v>
      </c>
    </row>
    <row r="190" spans="1:12" x14ac:dyDescent="0.2">
      <c r="A190" s="13"/>
      <c r="B190" s="12">
        <v>41789</v>
      </c>
      <c r="C190" s="11">
        <v>991</v>
      </c>
      <c r="D190" s="11">
        <v>2015.24</v>
      </c>
      <c r="E190" s="11">
        <v>1137.1099999999999</v>
      </c>
      <c r="F190" s="11">
        <v>590.4</v>
      </c>
      <c r="G190" s="11">
        <v>1095.99</v>
      </c>
      <c r="H190" s="11">
        <v>941.86</v>
      </c>
      <c r="I190" s="11">
        <v>107.25</v>
      </c>
      <c r="J190" s="11">
        <v>171.78</v>
      </c>
      <c r="K190" s="11">
        <v>181.8</v>
      </c>
      <c r="L190" s="8">
        <v>582.27099999999996</v>
      </c>
    </row>
    <row r="191" spans="1:12" x14ac:dyDescent="0.2">
      <c r="A191" s="13"/>
      <c r="B191" s="12">
        <v>41820</v>
      </c>
      <c r="C191" s="11">
        <v>912</v>
      </c>
      <c r="D191" s="11">
        <v>2024.09</v>
      </c>
      <c r="E191" s="11">
        <v>1070.3</v>
      </c>
      <c r="F191" s="11">
        <v>616.04999999999995</v>
      </c>
      <c r="G191" s="11">
        <v>1099.06</v>
      </c>
      <c r="H191" s="11">
        <v>973.83</v>
      </c>
      <c r="I191" s="11">
        <v>111.97</v>
      </c>
      <c r="J191" s="11">
        <v>179.38</v>
      </c>
      <c r="K191" s="11">
        <v>187.41</v>
      </c>
      <c r="L191" s="8">
        <v>624.76</v>
      </c>
    </row>
    <row r="192" spans="1:12" x14ac:dyDescent="0.2">
      <c r="A192" s="13"/>
      <c r="B192" s="12">
        <v>41851</v>
      </c>
      <c r="C192" s="11">
        <v>796</v>
      </c>
      <c r="D192" s="11">
        <v>2067.3200000000002</v>
      </c>
      <c r="E192" s="11">
        <v>1092.5999999999999</v>
      </c>
      <c r="F192" s="11">
        <v>604.54</v>
      </c>
      <c r="G192" s="11">
        <v>1092.3900000000001</v>
      </c>
      <c r="H192" s="11">
        <v>957.63</v>
      </c>
      <c r="I192" s="11">
        <v>106.4</v>
      </c>
      <c r="J192" s="11">
        <v>178.15</v>
      </c>
      <c r="K192" s="11">
        <v>187.86</v>
      </c>
      <c r="L192" s="8">
        <v>637.18100000000004</v>
      </c>
    </row>
    <row r="193" spans="1:12" x14ac:dyDescent="0.2">
      <c r="A193" s="13"/>
      <c r="B193" s="12">
        <v>41880</v>
      </c>
      <c r="C193" s="11">
        <v>937</v>
      </c>
      <c r="D193" s="11">
        <v>2221.0300000000002</v>
      </c>
      <c r="E193" s="11">
        <v>1134.29</v>
      </c>
      <c r="F193" s="11">
        <v>600.17999999999995</v>
      </c>
      <c r="G193" s="11">
        <v>1107.8499999999999</v>
      </c>
      <c r="H193" s="11">
        <v>948.12</v>
      </c>
      <c r="I193" s="11">
        <v>102.17</v>
      </c>
      <c r="J193" s="11">
        <v>171.51</v>
      </c>
      <c r="K193" s="11">
        <v>188.89</v>
      </c>
      <c r="L193" s="8">
        <v>623.68299999999999</v>
      </c>
    </row>
    <row r="194" spans="1:12" x14ac:dyDescent="0.2">
      <c r="A194" s="13"/>
      <c r="B194" s="12">
        <v>41912</v>
      </c>
      <c r="C194" s="11">
        <v>1123</v>
      </c>
      <c r="D194" s="11">
        <v>2102.9499999999998</v>
      </c>
      <c r="E194" s="11">
        <v>1033.76</v>
      </c>
      <c r="F194" s="11">
        <v>595.66</v>
      </c>
      <c r="G194" s="11">
        <v>1107.1099999999999</v>
      </c>
      <c r="H194" s="11">
        <v>936.97</v>
      </c>
      <c r="I194" s="11">
        <v>95.91</v>
      </c>
      <c r="J194" s="11">
        <v>165.13</v>
      </c>
      <c r="K194" s="11">
        <v>192.72</v>
      </c>
      <c r="L194" s="8">
        <v>644.64</v>
      </c>
    </row>
    <row r="195" spans="1:12" x14ac:dyDescent="0.2">
      <c r="A195" s="13"/>
      <c r="B195" s="12">
        <v>41943</v>
      </c>
      <c r="C195" s="11">
        <v>1101</v>
      </c>
      <c r="D195" s="11">
        <v>1730.61</v>
      </c>
      <c r="E195" s="11">
        <v>988.26</v>
      </c>
      <c r="F195" s="11">
        <v>531.16</v>
      </c>
      <c r="G195" s="11">
        <v>1029.76</v>
      </c>
      <c r="H195" s="11">
        <v>833.43</v>
      </c>
      <c r="I195" s="11">
        <v>82.98</v>
      </c>
      <c r="J195" s="11">
        <v>140.87</v>
      </c>
      <c r="K195" s="11">
        <v>176.98</v>
      </c>
      <c r="L195" s="8">
        <v>600.69100000000003</v>
      </c>
    </row>
    <row r="196" spans="1:12" x14ac:dyDescent="0.2">
      <c r="A196" s="13"/>
      <c r="B196" s="12">
        <v>41971</v>
      </c>
      <c r="C196" s="11">
        <v>1332</v>
      </c>
      <c r="D196" s="11">
        <v>1963.29</v>
      </c>
      <c r="E196" s="11">
        <v>1018.88</v>
      </c>
      <c r="F196" s="11">
        <v>537.79999999999995</v>
      </c>
      <c r="G196" s="11">
        <v>1046.6199999999999</v>
      </c>
      <c r="H196" s="11">
        <v>827.2</v>
      </c>
      <c r="I196" s="11">
        <v>82.03</v>
      </c>
      <c r="J196" s="11">
        <v>146.07</v>
      </c>
      <c r="K196" s="11">
        <v>184.77</v>
      </c>
      <c r="L196" s="8">
        <v>652.63900000000001</v>
      </c>
    </row>
    <row r="197" spans="1:12" x14ac:dyDescent="0.2">
      <c r="A197" s="13"/>
      <c r="B197" s="12">
        <v>42004</v>
      </c>
      <c r="C197" s="11">
        <v>910</v>
      </c>
      <c r="D197" s="11">
        <v>1841.72</v>
      </c>
      <c r="E197" s="11">
        <v>1060.08</v>
      </c>
      <c r="F197" s="11">
        <v>495.23</v>
      </c>
      <c r="G197" s="11">
        <v>1038.49</v>
      </c>
      <c r="H197" s="11">
        <v>782.18</v>
      </c>
      <c r="I197" s="11">
        <v>76.34</v>
      </c>
      <c r="J197" s="11">
        <v>138.26</v>
      </c>
      <c r="K197" s="11">
        <v>185.21</v>
      </c>
      <c r="L197" s="8">
        <v>686.72699999999998</v>
      </c>
    </row>
    <row r="198" spans="1:12" x14ac:dyDescent="0.2">
      <c r="A198" s="13"/>
      <c r="B198" s="12">
        <v>42034</v>
      </c>
      <c r="C198" s="11">
        <v>725</v>
      </c>
      <c r="D198" s="11">
        <v>2032.7</v>
      </c>
      <c r="E198" s="11">
        <v>1051.76</v>
      </c>
      <c r="F198" s="11">
        <v>492.94</v>
      </c>
      <c r="G198" s="11">
        <v>1060.57</v>
      </c>
      <c r="H198" s="11">
        <v>785.7</v>
      </c>
      <c r="I198" s="11"/>
      <c r="J198" s="11">
        <v>142.03</v>
      </c>
      <c r="K198" s="11">
        <v>197.81</v>
      </c>
      <c r="L198" s="8">
        <v>671.18899999999996</v>
      </c>
    </row>
    <row r="199" spans="1:12" x14ac:dyDescent="0.2">
      <c r="A199" s="13"/>
      <c r="B199" s="12">
        <v>42062</v>
      </c>
      <c r="C199" s="11">
        <v>539</v>
      </c>
      <c r="D199" s="11">
        <v>2101.27</v>
      </c>
      <c r="E199" s="11">
        <v>1066.21</v>
      </c>
      <c r="F199" s="11">
        <v>507.89</v>
      </c>
      <c r="G199" s="11">
        <v>1073.53</v>
      </c>
      <c r="H199" s="11">
        <v>802.48</v>
      </c>
      <c r="I199" s="11"/>
      <c r="J199" s="11">
        <v>141.77000000000001</v>
      </c>
      <c r="K199" s="11">
        <v>191.37</v>
      </c>
      <c r="L199" s="8">
        <v>693.76400000000001</v>
      </c>
    </row>
    <row r="200" spans="1:12" x14ac:dyDescent="0.2">
      <c r="A200" s="13"/>
      <c r="B200" s="12">
        <v>42094</v>
      </c>
      <c r="C200" s="11">
        <v>576</v>
      </c>
      <c r="D200" s="11">
        <v>1752.16</v>
      </c>
      <c r="E200" s="11">
        <v>868.47</v>
      </c>
      <c r="F200" s="11">
        <v>527.47</v>
      </c>
      <c r="G200" s="11">
        <v>1044.21</v>
      </c>
      <c r="H200" s="11">
        <v>811.25</v>
      </c>
      <c r="I200" s="11"/>
      <c r="J200" s="11">
        <v>144.04</v>
      </c>
      <c r="K200" s="11">
        <v>203.02</v>
      </c>
      <c r="L200" s="8">
        <v>710.61900000000003</v>
      </c>
    </row>
    <row r="201" spans="1:12" x14ac:dyDescent="0.2">
      <c r="A201" s="13"/>
      <c r="B201" s="12">
        <v>42124</v>
      </c>
      <c r="C201" s="11">
        <v>591</v>
      </c>
      <c r="D201" s="11">
        <v>1404.28</v>
      </c>
      <c r="E201" s="11">
        <v>748.39</v>
      </c>
      <c r="F201" s="11">
        <v>562.83000000000004</v>
      </c>
      <c r="G201" s="11">
        <v>948.25</v>
      </c>
      <c r="H201" s="11">
        <v>843</v>
      </c>
      <c r="I201" s="11"/>
      <c r="J201" s="11">
        <v>147.38</v>
      </c>
      <c r="K201" s="11">
        <v>209.46</v>
      </c>
      <c r="L201" s="8">
        <v>699.46400000000006</v>
      </c>
    </row>
    <row r="202" spans="1:12" x14ac:dyDescent="0.2">
      <c r="A202" s="13"/>
      <c r="B202" s="12">
        <v>42153</v>
      </c>
      <c r="C202" s="11">
        <v>597</v>
      </c>
      <c r="D202" s="11">
        <v>1438.01</v>
      </c>
      <c r="E202" s="11">
        <v>731.35</v>
      </c>
      <c r="F202" s="11">
        <v>549.07000000000005</v>
      </c>
      <c r="G202" s="11">
        <v>886.39</v>
      </c>
      <c r="H202" s="11">
        <v>838.56</v>
      </c>
      <c r="I202" s="11"/>
      <c r="J202" s="11">
        <v>147.01</v>
      </c>
      <c r="K202" s="11">
        <v>209.64</v>
      </c>
      <c r="L202" s="8">
        <v>711.4</v>
      </c>
    </row>
    <row r="203" spans="1:12" x14ac:dyDescent="0.2">
      <c r="A203" s="13"/>
      <c r="B203" s="12">
        <v>42185</v>
      </c>
      <c r="C203" s="11">
        <v>699</v>
      </c>
      <c r="D203" s="11">
        <v>1109.27</v>
      </c>
      <c r="E203" s="11">
        <v>600.52</v>
      </c>
      <c r="F203" s="11">
        <v>535.26</v>
      </c>
      <c r="G203" s="11">
        <v>837.64</v>
      </c>
      <c r="H203" s="11">
        <v>807.35</v>
      </c>
      <c r="I203" s="11"/>
      <c r="J203" s="11">
        <v>149.47999999999999</v>
      </c>
      <c r="K203" s="11">
        <v>217.24</v>
      </c>
      <c r="L203" s="8">
        <v>717.31700000000001</v>
      </c>
    </row>
    <row r="204" spans="1:12" x14ac:dyDescent="0.2">
      <c r="A204" s="13"/>
      <c r="B204" s="12">
        <v>42216</v>
      </c>
      <c r="C204" s="11">
        <v>975</v>
      </c>
      <c r="D204" s="11">
        <v>1313.86</v>
      </c>
      <c r="E204" s="11">
        <v>675.17</v>
      </c>
      <c r="F204" s="11">
        <v>523.44000000000005</v>
      </c>
      <c r="G204" s="11">
        <v>819.18</v>
      </c>
      <c r="H204" s="11">
        <v>763.59</v>
      </c>
      <c r="I204" s="11"/>
      <c r="J204" s="11">
        <v>148.99</v>
      </c>
      <c r="K204" s="11">
        <v>226.96</v>
      </c>
      <c r="L204" s="8">
        <v>660.21400000000006</v>
      </c>
    </row>
    <row r="205" spans="1:12" x14ac:dyDescent="0.2">
      <c r="A205" s="13"/>
      <c r="B205" s="12">
        <v>42247</v>
      </c>
      <c r="C205" s="11">
        <v>1066</v>
      </c>
      <c r="D205" s="11">
        <v>1461.46</v>
      </c>
      <c r="E205" s="11">
        <v>715.04</v>
      </c>
      <c r="F205" s="11">
        <v>485.63</v>
      </c>
      <c r="G205" s="11">
        <v>824.04</v>
      </c>
      <c r="H205" s="11">
        <v>713.93</v>
      </c>
      <c r="I205" s="11"/>
      <c r="J205" s="11">
        <v>135.22999999999999</v>
      </c>
      <c r="K205" s="11">
        <v>225.18</v>
      </c>
      <c r="L205" s="8">
        <v>618.84199999999998</v>
      </c>
    </row>
    <row r="206" spans="1:12" x14ac:dyDescent="0.2">
      <c r="A206" s="13"/>
      <c r="B206" s="12">
        <v>42277</v>
      </c>
      <c r="C206" s="11">
        <v>889</v>
      </c>
      <c r="D206" s="11">
        <v>1261.01</v>
      </c>
      <c r="E206" s="11">
        <v>646.69000000000005</v>
      </c>
      <c r="F206" s="11">
        <v>463.08</v>
      </c>
      <c r="G206" s="11">
        <v>820.51</v>
      </c>
      <c r="H206" s="11">
        <v>670.85</v>
      </c>
      <c r="I206" s="11"/>
      <c r="J206" s="11">
        <v>127.51</v>
      </c>
      <c r="K206" s="11">
        <v>220.51</v>
      </c>
      <c r="L206" s="8">
        <v>605.05100000000004</v>
      </c>
    </row>
    <row r="207" spans="1:12" x14ac:dyDescent="0.2">
      <c r="A207" s="13"/>
      <c r="B207" s="12">
        <v>42307</v>
      </c>
      <c r="C207" s="11">
        <v>793</v>
      </c>
      <c r="D207" s="11">
        <v>959.45</v>
      </c>
      <c r="E207" s="11">
        <v>599.84</v>
      </c>
      <c r="F207" s="11">
        <v>471.94</v>
      </c>
      <c r="G207" s="11">
        <v>761.06</v>
      </c>
      <c r="H207" s="11">
        <v>682.62</v>
      </c>
      <c r="I207" s="11"/>
      <c r="J207" s="11">
        <v>134.5</v>
      </c>
      <c r="K207" s="11">
        <v>218.57</v>
      </c>
      <c r="L207" s="8">
        <v>645.21799999999996</v>
      </c>
    </row>
    <row r="208" spans="1:12" x14ac:dyDescent="0.2">
      <c r="A208" s="13"/>
      <c r="B208" s="12">
        <v>42338</v>
      </c>
      <c r="C208" s="11">
        <v>582</v>
      </c>
      <c r="D208" s="11">
        <v>1021.45</v>
      </c>
      <c r="E208" s="11">
        <v>551.29999999999995</v>
      </c>
      <c r="F208" s="11">
        <v>475.8</v>
      </c>
      <c r="G208" s="11">
        <v>757.72</v>
      </c>
      <c r="H208" s="11">
        <v>641.71</v>
      </c>
      <c r="I208" s="11"/>
      <c r="J208" s="11">
        <v>127.98</v>
      </c>
      <c r="K208" s="11">
        <v>225.24</v>
      </c>
      <c r="L208" s="8">
        <v>663.255</v>
      </c>
    </row>
    <row r="209" spans="1:12" x14ac:dyDescent="0.2">
      <c r="A209" s="13"/>
      <c r="B209" s="12">
        <v>42369</v>
      </c>
      <c r="C209" s="11">
        <v>519</v>
      </c>
      <c r="D209" s="11">
        <v>891.94</v>
      </c>
      <c r="E209" s="11">
        <v>566.83000000000004</v>
      </c>
      <c r="F209" s="11">
        <v>431.45</v>
      </c>
      <c r="G209" s="11">
        <v>719.55</v>
      </c>
      <c r="H209" s="11">
        <v>566.26</v>
      </c>
      <c r="I209" s="11"/>
      <c r="J209" s="11">
        <v>116.99</v>
      </c>
      <c r="K209" s="11">
        <v>222.31</v>
      </c>
      <c r="L209" s="8">
        <v>672.09900000000005</v>
      </c>
    </row>
    <row r="210" spans="1:12" x14ac:dyDescent="0.2">
      <c r="A210" s="13"/>
      <c r="B210" s="12">
        <v>42398</v>
      </c>
      <c r="C210" s="11">
        <v>386</v>
      </c>
      <c r="D210" s="11">
        <v>1393.37</v>
      </c>
      <c r="E210" s="11">
        <v>658.35</v>
      </c>
      <c r="F210" s="11">
        <v>366.8</v>
      </c>
      <c r="G210" s="11">
        <v>767.43</v>
      </c>
      <c r="H210" s="11">
        <v>478.72</v>
      </c>
      <c r="I210" s="11"/>
      <c r="J210" s="11">
        <v>94.25</v>
      </c>
      <c r="K210" s="11">
        <v>202.2</v>
      </c>
      <c r="L210" s="8">
        <v>602.11</v>
      </c>
    </row>
    <row r="211" spans="1:12" x14ac:dyDescent="0.2">
      <c r="A211" s="13"/>
      <c r="B211" s="12">
        <v>42429</v>
      </c>
      <c r="C211" s="11">
        <v>307</v>
      </c>
      <c r="D211" s="11">
        <v>1013.25</v>
      </c>
      <c r="E211" s="11">
        <v>507.05</v>
      </c>
      <c r="F211" s="11">
        <v>365.82</v>
      </c>
      <c r="G211" s="11">
        <v>762.11</v>
      </c>
      <c r="H211" s="11">
        <v>459.37</v>
      </c>
      <c r="I211" s="11"/>
      <c r="J211" s="11">
        <v>87.36</v>
      </c>
      <c r="K211" s="11">
        <v>175.97</v>
      </c>
      <c r="L211" s="8">
        <v>597.22799999999995</v>
      </c>
    </row>
    <row r="212" spans="1:12" x14ac:dyDescent="0.2">
      <c r="A212" s="13"/>
      <c r="B212" s="12">
        <v>42460</v>
      </c>
      <c r="C212" s="11">
        <v>383</v>
      </c>
      <c r="D212" s="11">
        <v>723.69</v>
      </c>
      <c r="E212" s="11">
        <v>414.13</v>
      </c>
      <c r="F212" s="11">
        <v>392.66</v>
      </c>
      <c r="G212" s="11">
        <v>692.64</v>
      </c>
      <c r="H212" s="11">
        <v>504.27</v>
      </c>
      <c r="I212" s="11"/>
      <c r="J212" s="11">
        <v>94.24</v>
      </c>
      <c r="K212" s="11">
        <v>179.69</v>
      </c>
      <c r="L212" s="8">
        <v>659.64700000000005</v>
      </c>
    </row>
    <row r="213" spans="1:12" x14ac:dyDescent="0.2">
      <c r="A213" s="13"/>
      <c r="B213" s="12">
        <v>42489</v>
      </c>
      <c r="C213" s="11">
        <v>607</v>
      </c>
      <c r="D213" s="11">
        <v>794.28</v>
      </c>
      <c r="E213" s="11">
        <v>507.02</v>
      </c>
      <c r="F213" s="11">
        <v>404.99</v>
      </c>
      <c r="G213" s="11">
        <v>641.5</v>
      </c>
      <c r="H213" s="11">
        <v>525.17999999999995</v>
      </c>
      <c r="I213" s="11"/>
      <c r="J213" s="11">
        <v>94.91</v>
      </c>
      <c r="K213" s="11">
        <v>180.72</v>
      </c>
      <c r="L213" s="8">
        <v>671.47799999999995</v>
      </c>
    </row>
    <row r="214" spans="1:12" x14ac:dyDescent="0.2">
      <c r="A214" s="13"/>
      <c r="B214" s="12">
        <v>42521</v>
      </c>
      <c r="C214" s="11">
        <v>620</v>
      </c>
      <c r="D214" s="11">
        <v>1064.6500000000001</v>
      </c>
      <c r="E214" s="11">
        <v>561.76</v>
      </c>
      <c r="F214" s="11">
        <v>413.95</v>
      </c>
      <c r="G214" s="11">
        <v>655.62</v>
      </c>
      <c r="H214" s="11">
        <v>503.53</v>
      </c>
      <c r="I214" s="11"/>
      <c r="J214" s="11">
        <v>91.16</v>
      </c>
      <c r="K214" s="11">
        <v>177.61</v>
      </c>
      <c r="L214" s="8">
        <v>655.32799999999997</v>
      </c>
    </row>
    <row r="215" spans="1:12" x14ac:dyDescent="0.2">
      <c r="A215" s="13"/>
      <c r="B215" s="12">
        <v>42551</v>
      </c>
      <c r="C215" s="11">
        <v>608</v>
      </c>
      <c r="D215" s="11">
        <v>1117.52</v>
      </c>
      <c r="E215" s="11">
        <v>554.61</v>
      </c>
      <c r="F215" s="11">
        <v>415.85</v>
      </c>
      <c r="G215" s="11">
        <v>656.34</v>
      </c>
      <c r="H215" s="11">
        <v>488.59</v>
      </c>
      <c r="I215" s="11"/>
      <c r="J215" s="11">
        <v>87.52</v>
      </c>
      <c r="K215" s="11">
        <v>171.33</v>
      </c>
      <c r="L215" s="8">
        <v>694.92200000000003</v>
      </c>
    </row>
    <row r="216" spans="1:12" x14ac:dyDescent="0.2">
      <c r="A216" s="13"/>
      <c r="B216" s="12">
        <v>42580</v>
      </c>
      <c r="C216" s="11">
        <v>707</v>
      </c>
      <c r="D216" s="11">
        <v>1296.54</v>
      </c>
      <c r="E216" s="11">
        <v>694.89</v>
      </c>
      <c r="F216" s="11">
        <v>409.61</v>
      </c>
      <c r="G216" s="11">
        <v>675.55</v>
      </c>
      <c r="H216" s="11">
        <v>481.59</v>
      </c>
      <c r="I216" s="11"/>
      <c r="J216" s="11">
        <v>83.28</v>
      </c>
      <c r="K216" s="11">
        <v>166.16</v>
      </c>
      <c r="L216" s="8">
        <v>726.61599999999999</v>
      </c>
    </row>
    <row r="217" spans="1:12" x14ac:dyDescent="0.2">
      <c r="A217" s="13"/>
      <c r="B217" s="12">
        <v>42613</v>
      </c>
      <c r="C217" s="11">
        <v>673</v>
      </c>
      <c r="D217" s="11">
        <v>1245.9000000000001</v>
      </c>
      <c r="E217" s="11">
        <v>627.23</v>
      </c>
      <c r="F217" s="11">
        <v>397.18</v>
      </c>
      <c r="G217" s="11">
        <v>705.4</v>
      </c>
      <c r="H217" s="11">
        <v>489.59</v>
      </c>
      <c r="I217" s="11"/>
      <c r="J217" s="11">
        <v>82.71</v>
      </c>
      <c r="K217" s="11">
        <v>167.27</v>
      </c>
      <c r="L217" s="8">
        <v>784.50599999999997</v>
      </c>
    </row>
    <row r="218" spans="1:12" x14ac:dyDescent="0.2">
      <c r="A218" s="13"/>
      <c r="B218" s="12">
        <v>42643</v>
      </c>
      <c r="C218" s="11">
        <v>828</v>
      </c>
      <c r="D218" s="11">
        <v>1419.62</v>
      </c>
      <c r="E218" s="11">
        <v>755.92</v>
      </c>
      <c r="F218" s="11">
        <v>386.58</v>
      </c>
      <c r="G218" s="11">
        <v>717.33</v>
      </c>
      <c r="H218" s="11">
        <v>496.92</v>
      </c>
      <c r="I218" s="11"/>
      <c r="J218" s="11">
        <v>80.31</v>
      </c>
      <c r="K218" s="11">
        <v>165.15</v>
      </c>
      <c r="L218" s="8">
        <v>802.01900000000001</v>
      </c>
    </row>
    <row r="219" spans="1:12" x14ac:dyDescent="0.2">
      <c r="A219" s="13"/>
      <c r="B219" s="12">
        <v>42674</v>
      </c>
      <c r="C219" s="11">
        <v>868</v>
      </c>
      <c r="D219" s="11">
        <v>1307.1500000000001</v>
      </c>
      <c r="E219" s="11">
        <v>819.01</v>
      </c>
      <c r="F219" s="11">
        <v>385.72</v>
      </c>
      <c r="G219" s="11">
        <v>731.96</v>
      </c>
      <c r="H219" s="11">
        <v>502.52</v>
      </c>
      <c r="I219" s="11"/>
      <c r="J219" s="11">
        <v>79.45</v>
      </c>
      <c r="K219" s="11">
        <v>168.83</v>
      </c>
      <c r="L219" s="8">
        <v>821.58</v>
      </c>
    </row>
    <row r="220" spans="1:12" x14ac:dyDescent="0.2">
      <c r="A220" s="13"/>
      <c r="B220" s="12">
        <v>42704</v>
      </c>
      <c r="C220" s="11">
        <v>1072</v>
      </c>
      <c r="D220" s="11">
        <v>1475.17</v>
      </c>
      <c r="E220" s="11">
        <v>820.42</v>
      </c>
      <c r="F220" s="11">
        <v>392.18</v>
      </c>
      <c r="G220" s="11">
        <v>767.1</v>
      </c>
      <c r="H220" s="11">
        <v>466.06</v>
      </c>
      <c r="I220" s="11"/>
      <c r="J220" s="11">
        <v>74.680000000000007</v>
      </c>
      <c r="K220" s="11">
        <v>171.43</v>
      </c>
      <c r="L220" s="8">
        <v>849.26400000000001</v>
      </c>
    </row>
    <row r="221" spans="1:12" x14ac:dyDescent="0.2">
      <c r="A221" s="13"/>
      <c r="B221" s="12">
        <v>42734</v>
      </c>
      <c r="C221" s="11">
        <v>1050</v>
      </c>
      <c r="D221" s="11">
        <v>1471.45</v>
      </c>
      <c r="E221" s="11">
        <v>838.53</v>
      </c>
      <c r="F221" s="11">
        <v>415.86</v>
      </c>
      <c r="G221" s="11">
        <v>780.67</v>
      </c>
      <c r="H221" s="11">
        <v>498.12</v>
      </c>
      <c r="I221" s="11"/>
      <c r="J221" s="11">
        <v>77.739999999999995</v>
      </c>
      <c r="K221" s="11">
        <v>183.87</v>
      </c>
      <c r="L221" s="8">
        <v>898.11</v>
      </c>
    </row>
    <row r="222" spans="1:12" x14ac:dyDescent="0.2">
      <c r="A222" s="13"/>
      <c r="B222" s="12">
        <v>42766</v>
      </c>
      <c r="C222" s="11">
        <v>907</v>
      </c>
      <c r="D222" s="11">
        <v>1821.32</v>
      </c>
      <c r="E222" s="11">
        <v>971.14</v>
      </c>
      <c r="F222" s="11">
        <v>431.49</v>
      </c>
      <c r="G222" s="11">
        <v>846.9</v>
      </c>
      <c r="H222" s="11">
        <v>528.52</v>
      </c>
      <c r="I222" s="11"/>
      <c r="J222" s="11">
        <v>81.290000000000006</v>
      </c>
      <c r="K222" s="11">
        <v>204.32</v>
      </c>
      <c r="L222" s="8">
        <v>927.71400000000006</v>
      </c>
    </row>
    <row r="223" spans="1:12" x14ac:dyDescent="0.2">
      <c r="A223" s="13"/>
      <c r="B223" s="12">
        <v>42794</v>
      </c>
      <c r="C223" s="11">
        <v>759</v>
      </c>
      <c r="D223" s="11">
        <v>1676.16</v>
      </c>
      <c r="E223" s="11">
        <v>869.98</v>
      </c>
      <c r="F223" s="11">
        <v>445.95</v>
      </c>
      <c r="G223" s="11">
        <v>853.13</v>
      </c>
      <c r="H223" s="11">
        <v>532.87</v>
      </c>
      <c r="I223" s="11"/>
      <c r="J223" s="11">
        <v>79.86</v>
      </c>
      <c r="K223" s="11">
        <v>205.84</v>
      </c>
      <c r="L223" s="8">
        <v>970.87800000000004</v>
      </c>
    </row>
    <row r="224" spans="1:12" x14ac:dyDescent="0.2">
      <c r="A224" s="13"/>
      <c r="B224" s="12">
        <v>42825</v>
      </c>
      <c r="C224" s="11">
        <v>1141</v>
      </c>
      <c r="D224" s="11">
        <v>1443.6</v>
      </c>
      <c r="E224" s="11">
        <v>775.17</v>
      </c>
      <c r="F224" s="11">
        <v>444.95</v>
      </c>
      <c r="G224" s="11">
        <v>784.24</v>
      </c>
      <c r="H224" s="11">
        <v>533.20000000000005</v>
      </c>
      <c r="I224" s="11"/>
      <c r="J224" s="11">
        <v>77.98</v>
      </c>
      <c r="K224" s="11">
        <v>215.83</v>
      </c>
      <c r="L224" s="8">
        <v>995.20299999999997</v>
      </c>
    </row>
    <row r="225" spans="1:12" x14ac:dyDescent="0.2">
      <c r="A225" s="13"/>
      <c r="B225" s="12">
        <v>42853</v>
      </c>
      <c r="C225" s="11">
        <v>1222</v>
      </c>
      <c r="D225" s="11">
        <v>1464.42</v>
      </c>
      <c r="E225" s="11">
        <v>834.06</v>
      </c>
      <c r="F225" s="11">
        <v>435.16</v>
      </c>
      <c r="G225" s="11">
        <v>804.24</v>
      </c>
      <c r="H225" s="11">
        <v>524.94000000000005</v>
      </c>
      <c r="I225" s="11"/>
      <c r="J225" s="11">
        <v>76.61</v>
      </c>
      <c r="K225" s="11">
        <v>219.69</v>
      </c>
      <c r="L225" s="8">
        <v>993.72299999999996</v>
      </c>
    </row>
    <row r="226" spans="1:12" x14ac:dyDescent="0.2">
      <c r="A226" s="13"/>
      <c r="B226" s="12">
        <v>42886</v>
      </c>
      <c r="C226" s="11">
        <v>973</v>
      </c>
      <c r="D226" s="11">
        <v>1529.47</v>
      </c>
      <c r="E226" s="11">
        <v>860.92</v>
      </c>
      <c r="F226" s="11">
        <v>415.83</v>
      </c>
      <c r="G226" s="11">
        <v>837.72</v>
      </c>
      <c r="H226" s="11">
        <v>509.62</v>
      </c>
      <c r="I226" s="11"/>
      <c r="J226" s="11">
        <v>71.48</v>
      </c>
      <c r="K226" s="11">
        <v>215.69</v>
      </c>
      <c r="L226" s="8">
        <v>1047.2070000000001</v>
      </c>
    </row>
    <row r="227" spans="1:12" x14ac:dyDescent="0.2">
      <c r="A227" s="13"/>
      <c r="B227" s="12">
        <v>42916</v>
      </c>
      <c r="C227" s="11">
        <v>860</v>
      </c>
      <c r="D227" s="11">
        <v>1434.75</v>
      </c>
      <c r="E227" s="11">
        <v>869.76</v>
      </c>
      <c r="F227" s="11">
        <v>400.11</v>
      </c>
      <c r="G227" s="11">
        <v>846.02</v>
      </c>
      <c r="H227" s="11">
        <v>496.82</v>
      </c>
      <c r="I227" s="11"/>
      <c r="J227" s="11">
        <v>67.37</v>
      </c>
      <c r="K227" s="11">
        <v>212.69</v>
      </c>
      <c r="L227" s="8">
        <v>1083.8720000000001</v>
      </c>
    </row>
    <row r="228" spans="1:12" x14ac:dyDescent="0.2">
      <c r="A228" s="13"/>
      <c r="B228" s="12">
        <v>42947</v>
      </c>
      <c r="C228" s="11">
        <v>906</v>
      </c>
      <c r="D228" s="11">
        <v>1473.72</v>
      </c>
      <c r="E228" s="11">
        <v>878.54</v>
      </c>
      <c r="F228" s="11">
        <v>412.92</v>
      </c>
      <c r="G228" s="11">
        <v>865.8</v>
      </c>
      <c r="H228" s="11">
        <v>531.69000000000005</v>
      </c>
      <c r="I228" s="11"/>
      <c r="J228" s="11">
        <v>70.5</v>
      </c>
      <c r="K228" s="11">
        <v>213.83</v>
      </c>
      <c r="L228" s="8">
        <v>1086.0329999999999</v>
      </c>
    </row>
    <row r="229" spans="1:12" x14ac:dyDescent="0.2">
      <c r="A229" s="13"/>
      <c r="B229" s="12">
        <v>42978</v>
      </c>
      <c r="C229" s="11">
        <v>1142</v>
      </c>
      <c r="D229" s="11">
        <v>1552.85</v>
      </c>
      <c r="E229" s="11">
        <v>864.2</v>
      </c>
      <c r="F229" s="11">
        <v>413.86</v>
      </c>
      <c r="G229" s="11">
        <v>855.63</v>
      </c>
      <c r="H229" s="11">
        <v>517.17999999999995</v>
      </c>
      <c r="I229" s="11"/>
      <c r="J229" s="11">
        <v>67.709999999999994</v>
      </c>
      <c r="K229" s="11">
        <v>219.23</v>
      </c>
      <c r="L229" s="8">
        <v>1085.0609999999999</v>
      </c>
    </row>
    <row r="230" spans="1:12" x14ac:dyDescent="0.2">
      <c r="A230" s="13"/>
      <c r="B230" s="12">
        <v>43007</v>
      </c>
      <c r="C230" s="11">
        <v>1364</v>
      </c>
      <c r="D230" s="11">
        <v>1383.75</v>
      </c>
      <c r="E230" s="11">
        <v>760.54</v>
      </c>
      <c r="F230" s="11">
        <v>423.76</v>
      </c>
      <c r="G230" s="11">
        <v>822.57</v>
      </c>
      <c r="H230" s="11">
        <v>509.73</v>
      </c>
      <c r="I230" s="11"/>
      <c r="J230" s="11">
        <v>68.64</v>
      </c>
      <c r="K230" s="11">
        <v>219.49</v>
      </c>
      <c r="L230" s="8">
        <v>1133.454</v>
      </c>
    </row>
    <row r="231" spans="1:12" x14ac:dyDescent="0.2">
      <c r="A231" s="13"/>
      <c r="B231" s="12">
        <v>43039</v>
      </c>
      <c r="C231" s="11">
        <v>1484</v>
      </c>
      <c r="D231" s="11">
        <v>1251</v>
      </c>
      <c r="E231" s="11">
        <v>759.71</v>
      </c>
      <c r="F231" s="11">
        <v>447.18</v>
      </c>
      <c r="G231" s="11">
        <v>773.49</v>
      </c>
      <c r="H231" s="11">
        <v>514.26</v>
      </c>
      <c r="I231" s="11"/>
      <c r="J231" s="11">
        <v>70.83</v>
      </c>
      <c r="K231" s="11">
        <v>214.16</v>
      </c>
      <c r="L231" s="8">
        <v>1221.0930000000001</v>
      </c>
    </row>
    <row r="232" spans="1:12" x14ac:dyDescent="0.2">
      <c r="A232" s="13"/>
      <c r="B232" s="12">
        <v>43069</v>
      </c>
      <c r="C232" s="11">
        <v>1454</v>
      </c>
      <c r="D232" s="11">
        <v>1295.48</v>
      </c>
      <c r="E232" s="11">
        <v>760.08</v>
      </c>
      <c r="F232" s="11">
        <v>444.53</v>
      </c>
      <c r="G232" s="11">
        <v>785.86</v>
      </c>
      <c r="H232" s="11">
        <v>497.85</v>
      </c>
      <c r="I232" s="11"/>
      <c r="J232" s="11">
        <v>69.47</v>
      </c>
      <c r="K232" s="11">
        <v>220</v>
      </c>
      <c r="L232" s="8">
        <v>1306.796</v>
      </c>
    </row>
    <row r="233" spans="1:12" x14ac:dyDescent="0.2">
      <c r="A233" s="13"/>
      <c r="B233" s="12">
        <v>43098</v>
      </c>
      <c r="C233" s="11">
        <v>1619</v>
      </c>
      <c r="D233" s="11">
        <v>1174.42</v>
      </c>
      <c r="E233" s="11">
        <v>742.05</v>
      </c>
      <c r="F233" s="11">
        <v>440.96</v>
      </c>
      <c r="G233" s="11">
        <v>766.95</v>
      </c>
      <c r="H233" s="11">
        <v>496.59</v>
      </c>
      <c r="I233" s="11"/>
      <c r="J233" s="11">
        <v>67.91</v>
      </c>
      <c r="K233" s="11">
        <v>222.08</v>
      </c>
      <c r="L233" s="8">
        <v>1252.48</v>
      </c>
    </row>
    <row r="234" spans="1:12" x14ac:dyDescent="0.2">
      <c r="A234" s="13"/>
      <c r="B234" s="12">
        <v>43131</v>
      </c>
      <c r="C234" s="11">
        <v>1242</v>
      </c>
      <c r="D234" s="11">
        <v>1431.07</v>
      </c>
      <c r="E234" s="11">
        <v>838.82</v>
      </c>
      <c r="F234" s="11">
        <v>457.96</v>
      </c>
      <c r="G234" s="11">
        <v>799.31</v>
      </c>
      <c r="H234" s="11">
        <v>529.62</v>
      </c>
      <c r="I234" s="11"/>
      <c r="J234" s="11">
        <v>70.56</v>
      </c>
      <c r="K234" s="11">
        <v>233.84</v>
      </c>
      <c r="L234" s="8">
        <v>1343.778</v>
      </c>
    </row>
    <row r="235" spans="1:12" x14ac:dyDescent="0.2">
      <c r="A235" s="13"/>
      <c r="B235" s="12">
        <v>43159</v>
      </c>
      <c r="C235" s="11">
        <v>1125</v>
      </c>
      <c r="D235" s="11">
        <v>1513.88</v>
      </c>
      <c r="E235" s="11">
        <v>869.17</v>
      </c>
      <c r="F235" s="11">
        <v>454.56</v>
      </c>
      <c r="G235" s="11">
        <v>839.63</v>
      </c>
      <c r="H235" s="11">
        <v>493.78</v>
      </c>
      <c r="I235" s="11"/>
      <c r="J235" s="11">
        <v>64.78</v>
      </c>
      <c r="K235" s="11">
        <v>225.07</v>
      </c>
      <c r="L235" s="8">
        <v>1312.66</v>
      </c>
    </row>
    <row r="236" spans="1:12" x14ac:dyDescent="0.2">
      <c r="A236" s="13"/>
      <c r="B236" s="12">
        <v>43189</v>
      </c>
      <c r="C236" s="11">
        <v>1154</v>
      </c>
      <c r="D236" s="11">
        <v>1322.83</v>
      </c>
      <c r="E236" s="11">
        <v>696.53</v>
      </c>
      <c r="F236" s="11">
        <v>459.81</v>
      </c>
      <c r="G236" s="11">
        <v>808.9</v>
      </c>
      <c r="H236" s="11">
        <v>470.37</v>
      </c>
      <c r="I236" s="11"/>
      <c r="J236" s="11">
        <v>64.19</v>
      </c>
      <c r="K236" s="11">
        <v>216.38</v>
      </c>
      <c r="L236" s="8">
        <v>1385.0170000000001</v>
      </c>
    </row>
    <row r="237" spans="1:12" x14ac:dyDescent="0.2">
      <c r="A237" s="13"/>
      <c r="B237" s="12">
        <v>43220</v>
      </c>
      <c r="C237" s="11">
        <v>1129</v>
      </c>
      <c r="D237" s="11">
        <v>1186.67</v>
      </c>
      <c r="E237" s="11">
        <v>687.29</v>
      </c>
      <c r="F237" s="11">
        <v>471.92</v>
      </c>
      <c r="G237" s="11">
        <v>750.06</v>
      </c>
      <c r="H237" s="11">
        <v>473.32</v>
      </c>
      <c r="I237" s="11"/>
      <c r="J237" s="11">
        <v>65.72</v>
      </c>
      <c r="K237" s="11">
        <v>212.53</v>
      </c>
      <c r="L237" s="8">
        <v>1292.492</v>
      </c>
    </row>
    <row r="238" spans="1:12" x14ac:dyDescent="0.2">
      <c r="A238" s="13"/>
      <c r="B238" s="12">
        <v>43251</v>
      </c>
      <c r="C238" s="11">
        <v>1293</v>
      </c>
      <c r="D238" s="11">
        <v>1380.73</v>
      </c>
      <c r="E238" s="11">
        <v>768.47</v>
      </c>
      <c r="F238" s="11">
        <v>454.89</v>
      </c>
      <c r="G238" s="11">
        <v>770.56</v>
      </c>
      <c r="H238" s="11">
        <v>487.96</v>
      </c>
      <c r="I238" s="11"/>
      <c r="J238" s="11">
        <v>68.739999999999995</v>
      </c>
      <c r="K238" s="11">
        <v>206.27</v>
      </c>
      <c r="L238" s="8">
        <v>1344.65</v>
      </c>
    </row>
    <row r="239" spans="1:12" x14ac:dyDescent="0.2">
      <c r="A239" s="13"/>
      <c r="B239" s="12">
        <v>43280</v>
      </c>
      <c r="C239" s="11">
        <v>1352</v>
      </c>
      <c r="D239" s="11">
        <v>1402.42</v>
      </c>
      <c r="E239" s="11">
        <v>797.03</v>
      </c>
      <c r="F239" s="11">
        <v>462.69</v>
      </c>
      <c r="G239" s="11">
        <v>805.67</v>
      </c>
      <c r="H239" s="11">
        <v>471.05</v>
      </c>
      <c r="I239" s="11"/>
      <c r="J239" s="11">
        <v>73.63</v>
      </c>
      <c r="K239" s="11">
        <v>207.65</v>
      </c>
      <c r="L239" s="8">
        <v>1388.5450000000001</v>
      </c>
    </row>
    <row r="240" spans="1:12" x14ac:dyDescent="0.2">
      <c r="A240" s="13"/>
      <c r="B240" s="12">
        <v>43312</v>
      </c>
      <c r="C240" s="11">
        <v>1650</v>
      </c>
      <c r="D240" s="11">
        <v>1472.3</v>
      </c>
      <c r="E240" s="11">
        <v>825.08</v>
      </c>
      <c r="F240" s="11">
        <v>460.59</v>
      </c>
      <c r="G240" s="11">
        <v>820.92</v>
      </c>
      <c r="H240" s="11">
        <v>437.06</v>
      </c>
      <c r="I240" s="11"/>
      <c r="J240" s="11">
        <v>72.150000000000006</v>
      </c>
      <c r="K240" s="11">
        <v>203.21</v>
      </c>
      <c r="L240" s="8">
        <v>1351.7239999999999</v>
      </c>
    </row>
    <row r="241" spans="1:12" x14ac:dyDescent="0.2">
      <c r="A241" s="13"/>
      <c r="B241" s="12">
        <v>43343</v>
      </c>
      <c r="C241" s="11">
        <v>1710</v>
      </c>
      <c r="D241" s="11">
        <v>1731.35</v>
      </c>
      <c r="E241" s="11">
        <v>903.47</v>
      </c>
      <c r="F241" s="11">
        <v>466.07</v>
      </c>
      <c r="G241" s="11">
        <v>832.95</v>
      </c>
      <c r="H241" s="11">
        <v>439.93</v>
      </c>
      <c r="I241" s="11"/>
      <c r="J241" s="11">
        <v>68.56</v>
      </c>
      <c r="K241" s="11">
        <v>199.48</v>
      </c>
      <c r="L241" s="8">
        <v>1370.557</v>
      </c>
    </row>
    <row r="242" spans="1:12" x14ac:dyDescent="0.2">
      <c r="A242" s="13"/>
      <c r="B242" s="12">
        <v>43371</v>
      </c>
      <c r="C242" s="11">
        <v>1447</v>
      </c>
      <c r="D242" s="11">
        <v>1743.23</v>
      </c>
      <c r="E242" s="11">
        <v>897.97</v>
      </c>
      <c r="F242" s="11">
        <v>464.61</v>
      </c>
      <c r="G242" s="11">
        <v>854.65</v>
      </c>
      <c r="H242" s="11">
        <v>441.55</v>
      </c>
      <c r="I242" s="11"/>
      <c r="J242" s="11">
        <v>67.61</v>
      </c>
      <c r="K242" s="11">
        <v>195.07</v>
      </c>
      <c r="L242" s="8">
        <v>1371.7670000000001</v>
      </c>
    </row>
    <row r="243" spans="1:12" x14ac:dyDescent="0.2">
      <c r="A243" s="13"/>
      <c r="B243" s="12">
        <v>43404</v>
      </c>
      <c r="C243" s="11">
        <v>1545</v>
      </c>
      <c r="D243" s="11">
        <v>1659.15</v>
      </c>
      <c r="E243" s="11">
        <v>929.13</v>
      </c>
      <c r="F243" s="11">
        <v>451.84</v>
      </c>
      <c r="G243" s="11">
        <v>830.49</v>
      </c>
      <c r="H243" s="11">
        <v>425.21</v>
      </c>
      <c r="I243" s="11"/>
      <c r="J243" s="11">
        <v>67.959999999999994</v>
      </c>
      <c r="K243" s="11">
        <v>195.19</v>
      </c>
      <c r="L243" s="8">
        <v>1253.942</v>
      </c>
    </row>
    <row r="244" spans="1:12" x14ac:dyDescent="0.2">
      <c r="A244" s="13"/>
      <c r="B244" s="12">
        <v>43434</v>
      </c>
      <c r="C244" s="11">
        <v>1192</v>
      </c>
      <c r="D244" s="11">
        <v>1745.23</v>
      </c>
      <c r="E244" s="11">
        <v>936.86</v>
      </c>
      <c r="F244" s="11">
        <v>425.91</v>
      </c>
      <c r="G244" s="11">
        <v>856.58</v>
      </c>
      <c r="H244" s="11">
        <v>414.13</v>
      </c>
      <c r="I244" s="11"/>
      <c r="J244" s="11">
        <v>65.7</v>
      </c>
      <c r="K244" s="11">
        <v>185.78</v>
      </c>
      <c r="L244" s="8">
        <v>1215.5540000000001</v>
      </c>
    </row>
    <row r="245" spans="1:12" x14ac:dyDescent="0.2">
      <c r="A245" s="13"/>
      <c r="B245" s="12">
        <v>43465</v>
      </c>
      <c r="C245" s="11">
        <v>1335</v>
      </c>
      <c r="D245" s="11">
        <v>1616.01</v>
      </c>
      <c r="E245" s="11">
        <v>863.71</v>
      </c>
      <c r="F245" s="11">
        <v>381.79</v>
      </c>
      <c r="G245" s="11">
        <v>846.87</v>
      </c>
      <c r="H245" s="11">
        <v>383.29</v>
      </c>
      <c r="I245" s="11"/>
      <c r="J245" s="11">
        <v>57.94</v>
      </c>
      <c r="K245" s="11">
        <v>174.83</v>
      </c>
      <c r="L245" s="8">
        <v>1163.069</v>
      </c>
    </row>
    <row r="246" spans="1:12" x14ac:dyDescent="0.2">
      <c r="A246" s="13"/>
      <c r="B246" s="12">
        <v>43496</v>
      </c>
      <c r="C246" s="11">
        <v>1063</v>
      </c>
      <c r="D246" s="11">
        <v>1744.21</v>
      </c>
      <c r="E246" s="11">
        <v>948.61</v>
      </c>
      <c r="F246" s="11">
        <v>383.92</v>
      </c>
      <c r="G246" s="11">
        <v>862.1</v>
      </c>
      <c r="H246" s="11">
        <v>386.19</v>
      </c>
      <c r="I246" s="11"/>
      <c r="J246" s="11">
        <v>57.72</v>
      </c>
      <c r="K246" s="11">
        <v>167.93</v>
      </c>
      <c r="L246" s="8">
        <v>1204.42</v>
      </c>
    </row>
    <row r="247" spans="1:12" x14ac:dyDescent="0.2">
      <c r="A247" s="13"/>
      <c r="B247" s="12">
        <v>43524</v>
      </c>
      <c r="C247" s="11">
        <v>629</v>
      </c>
      <c r="D247" s="11">
        <v>1607.64</v>
      </c>
      <c r="E247" s="11">
        <v>890.16</v>
      </c>
      <c r="F247" s="11">
        <v>404.04</v>
      </c>
      <c r="G247" s="11">
        <v>886.31</v>
      </c>
      <c r="H247" s="11">
        <v>391.75</v>
      </c>
      <c r="I247" s="11"/>
      <c r="J247" s="11">
        <v>57.85</v>
      </c>
      <c r="K247" s="11">
        <v>165.06</v>
      </c>
      <c r="L247" s="8">
        <v>1335.2370000000001</v>
      </c>
    </row>
    <row r="248" spans="1:12" x14ac:dyDescent="0.2">
      <c r="A248" s="13"/>
      <c r="B248" s="12">
        <v>43553</v>
      </c>
      <c r="C248" s="11">
        <v>680</v>
      </c>
      <c r="D248" s="11">
        <v>1344.95</v>
      </c>
      <c r="E248" s="11">
        <v>766.82</v>
      </c>
      <c r="F248" s="11">
        <v>398.09</v>
      </c>
      <c r="G248" s="11">
        <v>822.78</v>
      </c>
      <c r="H248" s="11">
        <v>382.4</v>
      </c>
      <c r="I248" s="11"/>
      <c r="J248" s="11">
        <v>58.73</v>
      </c>
      <c r="K248" s="11">
        <v>167.94</v>
      </c>
      <c r="L248" s="8">
        <v>1372.4860000000001</v>
      </c>
    </row>
    <row r="249" spans="1:12" x14ac:dyDescent="0.2">
      <c r="A249" s="13"/>
      <c r="B249" s="12">
        <v>43585</v>
      </c>
      <c r="C249" s="11">
        <v>773</v>
      </c>
      <c r="D249" s="11">
        <v>1350.31</v>
      </c>
      <c r="E249" s="11">
        <v>778.61</v>
      </c>
      <c r="F249" s="11">
        <v>425.39</v>
      </c>
      <c r="G249" s="11">
        <v>800.12</v>
      </c>
      <c r="H249" s="11">
        <v>410.16</v>
      </c>
      <c r="I249" s="11"/>
      <c r="J249" s="11">
        <v>63.45</v>
      </c>
      <c r="K249" s="11">
        <v>178.94</v>
      </c>
      <c r="L249" s="8">
        <v>1510.943</v>
      </c>
    </row>
    <row r="250" spans="1:12" x14ac:dyDescent="0.2">
      <c r="A250" s="13"/>
      <c r="B250" s="12">
        <v>43616</v>
      </c>
      <c r="C250" s="11">
        <v>1036</v>
      </c>
      <c r="D250" s="11">
        <v>1347.48</v>
      </c>
      <c r="E250" s="11">
        <v>747.29</v>
      </c>
      <c r="F250" s="11">
        <v>426.92</v>
      </c>
      <c r="G250" s="11">
        <v>799.41</v>
      </c>
      <c r="H250" s="11">
        <v>392.75</v>
      </c>
      <c r="I250" s="11"/>
      <c r="J250" s="11">
        <v>65.31</v>
      </c>
      <c r="K250" s="11">
        <v>182.12</v>
      </c>
      <c r="L250" s="8">
        <v>1419.5630000000001</v>
      </c>
    </row>
    <row r="251" spans="1:12" x14ac:dyDescent="0.2">
      <c r="A251" s="13"/>
      <c r="B251" s="12">
        <v>43644</v>
      </c>
      <c r="C251" s="11">
        <v>1174</v>
      </c>
      <c r="D251" s="11">
        <v>1351.29</v>
      </c>
      <c r="E251" s="11">
        <v>789.08</v>
      </c>
      <c r="F251" s="11">
        <v>423.53</v>
      </c>
      <c r="G251" s="11">
        <v>811.2</v>
      </c>
      <c r="H251" s="11">
        <v>378.02</v>
      </c>
      <c r="I251" s="11"/>
      <c r="J251" s="11">
        <v>62.32</v>
      </c>
      <c r="K251" s="11">
        <v>172.01</v>
      </c>
      <c r="L251" s="8">
        <v>1392.846</v>
      </c>
    </row>
    <row r="252" spans="1:12" x14ac:dyDescent="0.2">
      <c r="A252" s="13"/>
      <c r="B252" s="12">
        <v>43677</v>
      </c>
      <c r="C252" s="11">
        <v>1870</v>
      </c>
      <c r="D252" s="11">
        <v>1344.05</v>
      </c>
      <c r="E252" s="11">
        <v>802.01</v>
      </c>
      <c r="F252" s="11">
        <v>444.74</v>
      </c>
      <c r="G252" s="11">
        <v>817.32</v>
      </c>
      <c r="H252" s="11">
        <v>403.68</v>
      </c>
      <c r="I252" s="11"/>
      <c r="J252" s="11">
        <v>67.510000000000005</v>
      </c>
      <c r="K252" s="11">
        <v>179.6</v>
      </c>
      <c r="L252" s="8">
        <v>1523.2819999999999</v>
      </c>
    </row>
    <row r="253" spans="1:12" x14ac:dyDescent="0.2">
      <c r="A253" s="13"/>
      <c r="B253" s="12">
        <v>43707</v>
      </c>
      <c r="C253" s="11">
        <v>1982</v>
      </c>
      <c r="D253" s="11">
        <v>1437.34</v>
      </c>
      <c r="E253" s="11">
        <v>810.22</v>
      </c>
      <c r="F253" s="11">
        <v>403.97</v>
      </c>
      <c r="G253" s="11">
        <v>827.53</v>
      </c>
      <c r="H253" s="11">
        <v>366.2</v>
      </c>
      <c r="I253" s="11"/>
      <c r="J253" s="11">
        <v>60.77</v>
      </c>
      <c r="K253" s="11">
        <v>169.27</v>
      </c>
      <c r="L253" s="8">
        <v>1473.8630000000001</v>
      </c>
    </row>
    <row r="254" spans="1:12" x14ac:dyDescent="0.2">
      <c r="A254" s="13"/>
      <c r="B254" s="12">
        <v>43738</v>
      </c>
      <c r="C254" s="11">
        <v>2255</v>
      </c>
      <c r="D254" s="11">
        <v>1347.06</v>
      </c>
      <c r="E254" s="11">
        <v>754.46</v>
      </c>
      <c r="F254" s="11">
        <v>431.13</v>
      </c>
      <c r="G254" s="11">
        <v>818.44</v>
      </c>
      <c r="H254" s="11">
        <v>394.65</v>
      </c>
      <c r="I254" s="11"/>
      <c r="J254" s="11">
        <v>65.77</v>
      </c>
      <c r="K254" s="11">
        <v>181.3</v>
      </c>
      <c r="L254" s="8">
        <v>1572.81</v>
      </c>
    </row>
    <row r="255" spans="1:12" x14ac:dyDescent="0.2">
      <c r="A255" s="13"/>
      <c r="B255" s="12">
        <v>43769</v>
      </c>
      <c r="C255" s="11">
        <v>1826</v>
      </c>
      <c r="D255" s="11">
        <v>1262.01</v>
      </c>
      <c r="E255" s="11">
        <v>745.62</v>
      </c>
      <c r="F255" s="11">
        <v>448.35</v>
      </c>
      <c r="G255" s="11">
        <v>779.14</v>
      </c>
      <c r="H255" s="11">
        <v>412.28</v>
      </c>
      <c r="I255" s="11"/>
      <c r="J255" s="11">
        <v>72.38</v>
      </c>
      <c r="K255" s="11">
        <v>194.27</v>
      </c>
      <c r="L255" s="8">
        <v>1595.0319999999999</v>
      </c>
    </row>
    <row r="256" spans="1:12" x14ac:dyDescent="0.2">
      <c r="A256" s="13"/>
      <c r="B256" s="12">
        <v>43798</v>
      </c>
      <c r="C256" s="11">
        <v>1419</v>
      </c>
      <c r="D256" s="11">
        <v>1390.06</v>
      </c>
      <c r="E256" s="11">
        <v>813.6</v>
      </c>
      <c r="F256" s="11">
        <v>478.61</v>
      </c>
      <c r="G256" s="11">
        <v>820.09</v>
      </c>
      <c r="H256" s="11">
        <v>424.96</v>
      </c>
      <c r="I256" s="11"/>
      <c r="J256" s="11">
        <v>72.28</v>
      </c>
      <c r="K256" s="11">
        <v>199.94</v>
      </c>
      <c r="L256" s="8">
        <v>1722.9760000000001</v>
      </c>
    </row>
    <row r="257" spans="1:12" x14ac:dyDescent="0.2">
      <c r="A257" s="13"/>
      <c r="B257" s="12">
        <v>43830</v>
      </c>
      <c r="C257" s="11">
        <v>1381</v>
      </c>
      <c r="D257" s="11">
        <v>1516.16</v>
      </c>
      <c r="E257" s="11">
        <v>898.53</v>
      </c>
      <c r="F257" s="11">
        <v>496.1</v>
      </c>
      <c r="G257" s="11">
        <v>848.13</v>
      </c>
      <c r="H257" s="11">
        <v>441.06</v>
      </c>
      <c r="I257" s="11"/>
      <c r="J257" s="11">
        <v>77.05</v>
      </c>
      <c r="K257" s="11">
        <v>206.31</v>
      </c>
      <c r="L257" s="8">
        <v>1788.0730000000001</v>
      </c>
    </row>
    <row r="258" spans="1:12" x14ac:dyDescent="0.2">
      <c r="A258" s="13"/>
      <c r="B258" s="12"/>
      <c r="C258" s="11"/>
      <c r="D258" s="11"/>
      <c r="E258" s="11"/>
      <c r="F258" s="11"/>
      <c r="G258" s="11"/>
      <c r="H258" s="11"/>
      <c r="I258" s="11"/>
      <c r="J258" s="11"/>
      <c r="K258" s="11"/>
    </row>
    <row r="259" spans="1:12" x14ac:dyDescent="0.2">
      <c r="A259" s="13"/>
      <c r="B259" s="12"/>
      <c r="C259" s="11"/>
      <c r="D259" s="11"/>
      <c r="E259" s="11"/>
      <c r="F259" s="11"/>
      <c r="G259" s="11"/>
      <c r="H259" s="11"/>
      <c r="I259" s="11"/>
      <c r="J259" s="11"/>
      <c r="K259" s="11"/>
    </row>
    <row r="260" spans="1:12" x14ac:dyDescent="0.2">
      <c r="A260" s="13"/>
      <c r="B260" s="12"/>
      <c r="C260" s="11"/>
      <c r="D260" s="11"/>
      <c r="E260" s="11"/>
      <c r="F260" s="11"/>
      <c r="G260" s="11"/>
      <c r="H260" s="11"/>
      <c r="I260" s="11"/>
      <c r="J260" s="11"/>
      <c r="K260" s="11"/>
    </row>
    <row r="261" spans="1:12" x14ac:dyDescent="0.2">
      <c r="A261" s="13"/>
      <c r="B261" s="12"/>
      <c r="C261" s="11"/>
      <c r="D261" s="11"/>
      <c r="E261" s="11"/>
      <c r="F261" s="11"/>
      <c r="G261" s="11"/>
      <c r="H261" s="11"/>
      <c r="I261" s="11"/>
      <c r="J261" s="11"/>
      <c r="K261" s="11"/>
    </row>
    <row r="262" spans="1:12" x14ac:dyDescent="0.2">
      <c r="A262" s="13"/>
      <c r="B262" s="12"/>
      <c r="C262" s="11"/>
      <c r="D262" s="11"/>
      <c r="E262" s="11"/>
      <c r="F262" s="11"/>
      <c r="G262" s="11"/>
      <c r="H262" s="11"/>
      <c r="I262" s="11"/>
      <c r="J262" s="11"/>
      <c r="K262" s="11"/>
    </row>
    <row r="263" spans="1:12" x14ac:dyDescent="0.2">
      <c r="A263" s="13"/>
      <c r="B263" s="12"/>
      <c r="C263" s="11"/>
      <c r="D263" s="11"/>
      <c r="E263" s="11"/>
      <c r="F263" s="11"/>
      <c r="G263" s="11"/>
      <c r="H263" s="11"/>
      <c r="I263" s="11"/>
      <c r="J263" s="11"/>
      <c r="K263" s="11"/>
    </row>
    <row r="264" spans="1:12" x14ac:dyDescent="0.2">
      <c r="A264" s="13"/>
      <c r="B264" s="12"/>
      <c r="C264" s="11"/>
      <c r="D264" s="11"/>
      <c r="E264" s="11"/>
      <c r="F264" s="11"/>
      <c r="G264" s="11"/>
      <c r="H264" s="11"/>
      <c r="I264" s="11"/>
      <c r="J264" s="11"/>
      <c r="K264" s="11"/>
    </row>
    <row r="265" spans="1:12" x14ac:dyDescent="0.2">
      <c r="A265" s="13"/>
      <c r="B265" s="12"/>
      <c r="C265" s="11"/>
      <c r="D265" s="11"/>
      <c r="E265" s="11"/>
      <c r="F265" s="11"/>
      <c r="G265" s="11"/>
      <c r="H265" s="11"/>
      <c r="I265" s="11"/>
      <c r="J265" s="11"/>
      <c r="K265" s="11"/>
    </row>
    <row r="266" spans="1:12" x14ac:dyDescent="0.2">
      <c r="A266" s="13"/>
      <c r="B266" s="12"/>
      <c r="C266" s="11"/>
      <c r="D266" s="11"/>
      <c r="E266" s="11"/>
      <c r="F266" s="11"/>
      <c r="G266" s="11"/>
      <c r="H266" s="11"/>
      <c r="I266" s="11"/>
      <c r="J266" s="11"/>
      <c r="K266" s="11"/>
    </row>
    <row r="267" spans="1:12" x14ac:dyDescent="0.2">
      <c r="A267" s="13"/>
      <c r="B267" s="12"/>
      <c r="C267" s="11"/>
      <c r="D267" s="11"/>
      <c r="E267" s="11"/>
      <c r="F267" s="11"/>
      <c r="G267" s="11"/>
      <c r="H267" s="11"/>
      <c r="I267" s="11"/>
      <c r="J267" s="11"/>
      <c r="K267" s="11"/>
    </row>
    <row r="268" spans="1:12" x14ac:dyDescent="0.2">
      <c r="A268" s="13"/>
      <c r="B268" s="12"/>
      <c r="C268" s="11"/>
      <c r="D268" s="11"/>
      <c r="E268" s="11"/>
      <c r="F268" s="11"/>
      <c r="G268" s="11"/>
      <c r="H268" s="11"/>
      <c r="I268" s="11"/>
      <c r="J268" s="11"/>
      <c r="K268" s="11"/>
    </row>
    <row r="269" spans="1:12" x14ac:dyDescent="0.2">
      <c r="A269" s="13"/>
      <c r="B269" s="12"/>
      <c r="C269" s="11"/>
      <c r="D269" s="11"/>
      <c r="E269" s="11"/>
      <c r="F269" s="11"/>
      <c r="G269" s="11"/>
      <c r="H269" s="11"/>
      <c r="I269" s="11"/>
      <c r="J269" s="11"/>
      <c r="K269" s="11"/>
    </row>
    <row r="270" spans="1:12" x14ac:dyDescent="0.2">
      <c r="A270" s="13"/>
      <c r="B270" s="12"/>
      <c r="C270" s="11"/>
      <c r="D270" s="11"/>
      <c r="E270" s="11"/>
      <c r="F270" s="11"/>
      <c r="G270" s="11"/>
      <c r="H270" s="11"/>
      <c r="I270" s="11"/>
      <c r="J270" s="11"/>
      <c r="K270" s="11"/>
    </row>
    <row r="271" spans="1:12" x14ac:dyDescent="0.2">
      <c r="A271" s="13"/>
      <c r="B271" s="12"/>
      <c r="C271" s="11"/>
      <c r="D271" s="11"/>
      <c r="E271" s="11"/>
      <c r="F271" s="11"/>
      <c r="G271" s="11"/>
      <c r="H271" s="11"/>
      <c r="I271" s="11"/>
      <c r="J271" s="11"/>
      <c r="K271" s="11"/>
    </row>
    <row r="272" spans="1:12" x14ac:dyDescent="0.2">
      <c r="A272" s="13"/>
      <c r="B272" s="12"/>
      <c r="C272" s="11"/>
      <c r="D272" s="11"/>
      <c r="E272" s="11"/>
      <c r="F272" s="11"/>
      <c r="G272" s="11"/>
      <c r="H272" s="11"/>
      <c r="I272" s="11"/>
      <c r="J272" s="11"/>
      <c r="K272" s="11"/>
    </row>
    <row r="273" spans="1:11" x14ac:dyDescent="0.2">
      <c r="A273" s="13"/>
      <c r="B273" s="12"/>
      <c r="C273" s="11"/>
      <c r="D273" s="11"/>
      <c r="E273" s="11"/>
      <c r="F273" s="11"/>
      <c r="G273" s="11"/>
      <c r="H273" s="11"/>
      <c r="I273" s="11"/>
      <c r="J273" s="11"/>
      <c r="K273" s="11"/>
    </row>
    <row r="274" spans="1:11" x14ac:dyDescent="0.2">
      <c r="A274" s="13"/>
      <c r="B274" s="12"/>
      <c r="C274" s="11"/>
      <c r="D274" s="11"/>
      <c r="E274" s="11"/>
      <c r="F274" s="11"/>
      <c r="G274" s="11"/>
      <c r="H274" s="11"/>
      <c r="I274" s="11"/>
      <c r="J274" s="11"/>
      <c r="K274" s="11"/>
    </row>
    <row r="275" spans="1:11" x14ac:dyDescent="0.2">
      <c r="A275" s="13"/>
      <c r="B275" s="12"/>
      <c r="C275" s="11"/>
      <c r="D275" s="11"/>
      <c r="E275" s="11"/>
      <c r="F275" s="11"/>
      <c r="G275" s="11"/>
      <c r="H275" s="11"/>
      <c r="I275" s="11"/>
      <c r="J275" s="11"/>
      <c r="K275" s="11"/>
    </row>
    <row r="276" spans="1:11" x14ac:dyDescent="0.2">
      <c r="A276" s="13"/>
      <c r="B276" s="12"/>
      <c r="C276" s="11"/>
      <c r="D276" s="11"/>
      <c r="E276" s="11"/>
      <c r="F276" s="11"/>
      <c r="G276" s="11"/>
      <c r="H276" s="11"/>
      <c r="I276" s="11"/>
      <c r="J276" s="11"/>
      <c r="K276" s="11"/>
    </row>
    <row r="277" spans="1:11" x14ac:dyDescent="0.2">
      <c r="A277" s="13"/>
      <c r="B277" s="12"/>
      <c r="C277" s="11"/>
      <c r="D277" s="11"/>
      <c r="E277" s="11"/>
      <c r="F277" s="11"/>
      <c r="G277" s="11"/>
      <c r="H277" s="11"/>
      <c r="I277" s="11"/>
      <c r="J277" s="11"/>
      <c r="K277" s="11"/>
    </row>
    <row r="278" spans="1:11" x14ac:dyDescent="0.2">
      <c r="A278" s="13"/>
      <c r="B278" s="12"/>
      <c r="C278" s="11"/>
      <c r="D278" s="11"/>
      <c r="E278" s="11"/>
      <c r="F278" s="11"/>
      <c r="G278" s="11"/>
      <c r="H278" s="11"/>
      <c r="I278" s="11"/>
      <c r="J278" s="11"/>
      <c r="K278" s="11"/>
    </row>
    <row r="279" spans="1:11" x14ac:dyDescent="0.2">
      <c r="A279" s="13"/>
      <c r="B279" s="12"/>
      <c r="C279" s="11"/>
      <c r="D279" s="11"/>
      <c r="E279" s="11"/>
      <c r="F279" s="11"/>
      <c r="G279" s="11"/>
      <c r="H279" s="11"/>
      <c r="I279" s="11"/>
      <c r="J279" s="11"/>
      <c r="K279" s="11"/>
    </row>
    <row r="280" spans="1:11" x14ac:dyDescent="0.2">
      <c r="A280" s="13"/>
      <c r="B280" s="12"/>
      <c r="C280" s="11"/>
      <c r="D280" s="11"/>
      <c r="E280" s="11"/>
      <c r="F280" s="11"/>
      <c r="G280" s="11"/>
      <c r="H280" s="11"/>
      <c r="I280" s="11"/>
      <c r="J280" s="11"/>
      <c r="K280" s="11"/>
    </row>
    <row r="281" spans="1:11" x14ac:dyDescent="0.2">
      <c r="A281" s="13"/>
      <c r="B281" s="12"/>
      <c r="C281" s="11"/>
      <c r="D281" s="11"/>
      <c r="E281" s="11"/>
      <c r="F281" s="11"/>
      <c r="G281" s="11"/>
      <c r="H281" s="11"/>
      <c r="I281" s="11"/>
      <c r="J281" s="11"/>
      <c r="K281" s="11"/>
    </row>
    <row r="282" spans="1:11" x14ac:dyDescent="0.2">
      <c r="A282" s="13"/>
      <c r="B282" s="12"/>
      <c r="C282" s="11"/>
      <c r="D282" s="11"/>
      <c r="E282" s="11"/>
      <c r="F282" s="11"/>
      <c r="G282" s="11"/>
      <c r="H282" s="11"/>
      <c r="I282" s="11"/>
      <c r="J282" s="11"/>
      <c r="K282" s="11"/>
    </row>
    <row r="283" spans="1:11" x14ac:dyDescent="0.2">
      <c r="A283" s="13"/>
      <c r="B283" s="12"/>
      <c r="C283" s="11"/>
      <c r="D283" s="11"/>
      <c r="E283" s="11"/>
      <c r="F283" s="11"/>
      <c r="G283" s="11"/>
      <c r="H283" s="11"/>
      <c r="I283" s="11"/>
      <c r="J283" s="11"/>
      <c r="K283" s="11"/>
    </row>
    <row r="284" spans="1:11" x14ac:dyDescent="0.2">
      <c r="A284" s="13"/>
      <c r="B284" s="12"/>
      <c r="C284" s="11"/>
      <c r="D284" s="11"/>
      <c r="E284" s="11"/>
      <c r="F284" s="11"/>
      <c r="G284" s="11"/>
      <c r="H284" s="11"/>
      <c r="I284" s="11"/>
      <c r="J284" s="11"/>
      <c r="K284" s="11"/>
    </row>
    <row r="285" spans="1:11" x14ac:dyDescent="0.2">
      <c r="A285" s="13"/>
      <c r="B285" s="12"/>
      <c r="C285" s="11"/>
      <c r="D285" s="11"/>
      <c r="E285" s="11"/>
      <c r="F285" s="11"/>
      <c r="G285" s="11"/>
      <c r="H285" s="11"/>
      <c r="I285" s="11"/>
      <c r="J285" s="11"/>
      <c r="K285" s="11"/>
    </row>
    <row r="286" spans="1:11" x14ac:dyDescent="0.2">
      <c r="A286" s="13"/>
      <c r="B286" s="12"/>
      <c r="C286" s="11"/>
      <c r="D286" s="11"/>
      <c r="E286" s="11"/>
      <c r="F286" s="11"/>
      <c r="G286" s="11"/>
      <c r="H286" s="11"/>
      <c r="I286" s="11"/>
      <c r="J286" s="11"/>
      <c r="K286" s="11"/>
    </row>
    <row r="287" spans="1:11" x14ac:dyDescent="0.2">
      <c r="A287" s="13"/>
      <c r="B287" s="12"/>
      <c r="C287" s="11"/>
      <c r="D287" s="11"/>
      <c r="E287" s="11"/>
      <c r="F287" s="11"/>
      <c r="G287" s="11"/>
      <c r="H287" s="11"/>
      <c r="I287" s="11"/>
      <c r="J287" s="11"/>
      <c r="K287" s="11"/>
    </row>
    <row r="288" spans="1:11" x14ac:dyDescent="0.2">
      <c r="A288" s="13"/>
      <c r="B288" s="12"/>
      <c r="C288" s="11"/>
      <c r="D288" s="11"/>
      <c r="E288" s="11"/>
      <c r="F288" s="11"/>
      <c r="G288" s="11"/>
      <c r="H288" s="11"/>
      <c r="I288" s="11"/>
      <c r="J288" s="11"/>
      <c r="K288" s="11"/>
    </row>
    <row r="289" spans="1:11" x14ac:dyDescent="0.2">
      <c r="A289" s="13"/>
      <c r="B289" s="12"/>
      <c r="C289" s="11"/>
      <c r="D289" s="11"/>
      <c r="E289" s="11"/>
      <c r="F289" s="11"/>
      <c r="G289" s="11"/>
      <c r="H289" s="11"/>
      <c r="I289" s="11"/>
      <c r="J289" s="11"/>
      <c r="K289" s="11"/>
    </row>
    <row r="290" spans="1:11" x14ac:dyDescent="0.2">
      <c r="A290" s="13"/>
      <c r="B290" s="12"/>
      <c r="C290" s="11"/>
      <c r="D290" s="11"/>
      <c r="E290" s="11"/>
      <c r="F290" s="11"/>
      <c r="G290" s="11"/>
      <c r="H290" s="11"/>
      <c r="I290" s="11"/>
      <c r="J290" s="11"/>
      <c r="K290" s="11"/>
    </row>
    <row r="291" spans="1:11" x14ac:dyDescent="0.2">
      <c r="A291" s="13"/>
      <c r="B291" s="12"/>
      <c r="C291" s="11"/>
      <c r="D291" s="11"/>
      <c r="E291" s="11"/>
      <c r="F291" s="11"/>
      <c r="G291" s="11"/>
      <c r="H291" s="11"/>
      <c r="I291" s="11"/>
      <c r="J291" s="11"/>
      <c r="K291" s="11"/>
    </row>
    <row r="292" spans="1:11" x14ac:dyDescent="0.2">
      <c r="A292" s="13"/>
      <c r="B292" s="12"/>
      <c r="C292" s="11"/>
      <c r="D292" s="11"/>
      <c r="E292" s="11"/>
      <c r="F292" s="11"/>
      <c r="G292" s="11"/>
      <c r="H292" s="11"/>
      <c r="I292" s="11"/>
      <c r="J292" s="11"/>
      <c r="K292" s="11"/>
    </row>
    <row r="293" spans="1:11" x14ac:dyDescent="0.2">
      <c r="A293" s="13"/>
      <c r="B293" s="12"/>
      <c r="C293" s="11"/>
      <c r="D293" s="11"/>
      <c r="E293" s="11"/>
      <c r="F293" s="11"/>
      <c r="G293" s="11"/>
      <c r="H293" s="11"/>
      <c r="I293" s="11"/>
      <c r="J293" s="11"/>
      <c r="K293" s="11"/>
    </row>
    <row r="294" spans="1:11" x14ac:dyDescent="0.2">
      <c r="A294" s="13"/>
      <c r="B294" s="12"/>
      <c r="C294" s="11"/>
      <c r="D294" s="11"/>
      <c r="E294" s="11"/>
      <c r="F294" s="11"/>
      <c r="G294" s="11"/>
      <c r="H294" s="11"/>
      <c r="I294" s="11"/>
      <c r="J294" s="11"/>
      <c r="K294" s="11"/>
    </row>
    <row r="295" spans="1:11" x14ac:dyDescent="0.2">
      <c r="A295" s="13"/>
      <c r="B295" s="12"/>
      <c r="C295" s="11"/>
      <c r="D295" s="11"/>
      <c r="E295" s="11"/>
      <c r="F295" s="11"/>
      <c r="G295" s="11"/>
      <c r="H295" s="11"/>
      <c r="I295" s="11"/>
      <c r="J295" s="11"/>
      <c r="K295" s="11"/>
    </row>
    <row r="296" spans="1:11" x14ac:dyDescent="0.2">
      <c r="A296" s="13"/>
      <c r="B296" s="12"/>
      <c r="C296" s="11"/>
      <c r="D296" s="11"/>
      <c r="E296" s="11"/>
      <c r="F296" s="11"/>
      <c r="G296" s="11"/>
      <c r="H296" s="11"/>
      <c r="I296" s="11"/>
      <c r="J296" s="11"/>
      <c r="K296" s="11"/>
    </row>
    <row r="297" spans="1:11" x14ac:dyDescent="0.2">
      <c r="A297" s="13"/>
      <c r="B297" s="12"/>
      <c r="C297" s="11"/>
      <c r="D297" s="11"/>
      <c r="E297" s="11"/>
      <c r="F297" s="11"/>
      <c r="G297" s="11"/>
      <c r="H297" s="11"/>
      <c r="I297" s="11"/>
      <c r="J297" s="11"/>
      <c r="K297" s="11"/>
    </row>
    <row r="298" spans="1:11" x14ac:dyDescent="0.2">
      <c r="A298" s="13"/>
      <c r="B298" s="12"/>
      <c r="C298" s="11"/>
      <c r="D298" s="11"/>
      <c r="E298" s="11"/>
      <c r="F298" s="11"/>
      <c r="G298" s="11"/>
      <c r="H298" s="11"/>
      <c r="I298" s="11"/>
      <c r="J298" s="11"/>
      <c r="K298" s="11"/>
    </row>
    <row r="299" spans="1:11" x14ac:dyDescent="0.2">
      <c r="A299" s="13"/>
      <c r="B299" s="12"/>
      <c r="C299" s="11"/>
      <c r="D299" s="11"/>
      <c r="E299" s="11"/>
      <c r="F299" s="11"/>
      <c r="G299" s="11"/>
      <c r="H299" s="11"/>
      <c r="I299" s="11"/>
      <c r="J299" s="11"/>
      <c r="K299" s="11"/>
    </row>
    <row r="300" spans="1:11" x14ac:dyDescent="0.2">
      <c r="A300" s="13"/>
      <c r="B300" s="12"/>
      <c r="C300" s="11"/>
      <c r="D300" s="11"/>
      <c r="E300" s="11"/>
      <c r="F300" s="11"/>
      <c r="G300" s="11"/>
      <c r="H300" s="11"/>
      <c r="I300" s="11"/>
      <c r="J300" s="11"/>
      <c r="K300" s="11"/>
    </row>
    <row r="301" spans="1:11" x14ac:dyDescent="0.2">
      <c r="A301" s="13"/>
      <c r="B301" s="12"/>
      <c r="C301" s="11"/>
      <c r="D301" s="11"/>
      <c r="E301" s="11"/>
      <c r="F301" s="11"/>
      <c r="G301" s="11"/>
      <c r="H301" s="11"/>
      <c r="I301" s="11"/>
      <c r="J301" s="11"/>
      <c r="K301" s="11"/>
    </row>
    <row r="302" spans="1:11" x14ac:dyDescent="0.2">
      <c r="A302" s="13"/>
      <c r="B302" s="12"/>
      <c r="C302" s="11"/>
      <c r="D302" s="11"/>
      <c r="E302" s="11"/>
      <c r="F302" s="11"/>
      <c r="G302" s="11"/>
      <c r="H302" s="11"/>
      <c r="I302" s="11"/>
      <c r="J302" s="11"/>
      <c r="K302" s="11"/>
    </row>
    <row r="303" spans="1:11" x14ac:dyDescent="0.2">
      <c r="A303" s="13"/>
      <c r="B303" s="12"/>
      <c r="C303" s="11"/>
      <c r="D303" s="11"/>
      <c r="E303" s="11"/>
      <c r="F303" s="11"/>
      <c r="G303" s="11"/>
      <c r="H303" s="11"/>
      <c r="I303" s="11"/>
      <c r="J303" s="11"/>
      <c r="K303" s="11"/>
    </row>
    <row r="304" spans="1:11" x14ac:dyDescent="0.2">
      <c r="A304" s="13"/>
      <c r="B304" s="12"/>
      <c r="C304" s="11"/>
      <c r="D304" s="11"/>
      <c r="E304" s="11"/>
      <c r="F304" s="11"/>
      <c r="G304" s="11"/>
      <c r="H304" s="11"/>
      <c r="I304" s="11"/>
      <c r="J304" s="11"/>
      <c r="K304" s="11"/>
    </row>
    <row r="305" spans="1:11" x14ac:dyDescent="0.2">
      <c r="A305" s="13"/>
      <c r="B305" s="12"/>
      <c r="C305" s="11"/>
      <c r="D305" s="11"/>
      <c r="E305" s="11"/>
      <c r="F305" s="11"/>
      <c r="G305" s="11"/>
      <c r="H305" s="11"/>
      <c r="I305" s="11"/>
      <c r="J305" s="11"/>
      <c r="K305" s="11"/>
    </row>
    <row r="306" spans="1:11" x14ac:dyDescent="0.2">
      <c r="A306" s="13"/>
      <c r="B306" s="12"/>
      <c r="C306" s="11"/>
      <c r="D306" s="11"/>
      <c r="E306" s="11"/>
      <c r="F306" s="11"/>
      <c r="G306" s="11"/>
      <c r="H306" s="11"/>
      <c r="I306" s="11"/>
      <c r="J306" s="11"/>
      <c r="K306" s="11"/>
    </row>
    <row r="307" spans="1:11" x14ac:dyDescent="0.2">
      <c r="A307" s="13"/>
      <c r="B307" s="12"/>
      <c r="C307" s="11"/>
      <c r="D307" s="11"/>
      <c r="E307" s="11"/>
      <c r="F307" s="11"/>
      <c r="G307" s="11"/>
      <c r="H307" s="11"/>
      <c r="I307" s="11"/>
      <c r="J307" s="11"/>
      <c r="K307" s="11"/>
    </row>
    <row r="308" spans="1:11" x14ac:dyDescent="0.2">
      <c r="A308" s="13"/>
      <c r="B308" s="12"/>
      <c r="C308" s="11"/>
      <c r="D308" s="11"/>
      <c r="E308" s="11"/>
      <c r="F308" s="11"/>
      <c r="G308" s="11"/>
      <c r="H308" s="11"/>
      <c r="I308" s="11"/>
      <c r="J308" s="11"/>
      <c r="K308" s="11"/>
    </row>
    <row r="309" spans="1:11" x14ac:dyDescent="0.2">
      <c r="A309" s="13"/>
      <c r="B309" s="12"/>
      <c r="C309" s="11"/>
      <c r="D309" s="11"/>
      <c r="E309" s="11"/>
      <c r="F309" s="11"/>
      <c r="G309" s="11"/>
      <c r="H309" s="11"/>
      <c r="I309" s="11"/>
      <c r="J309" s="11"/>
      <c r="K309" s="11"/>
    </row>
    <row r="310" spans="1:11" x14ac:dyDescent="0.2">
      <c r="A310" s="13"/>
      <c r="B310" s="12"/>
      <c r="C310" s="11"/>
      <c r="D310" s="11"/>
      <c r="E310" s="11"/>
      <c r="F310" s="11"/>
      <c r="G310" s="11"/>
      <c r="H310" s="11"/>
      <c r="I310" s="11"/>
      <c r="J310" s="11"/>
      <c r="K310" s="11"/>
    </row>
    <row r="311" spans="1:11" x14ac:dyDescent="0.2">
      <c r="A311" s="13"/>
      <c r="B311" s="12"/>
      <c r="C311" s="11"/>
      <c r="D311" s="11"/>
      <c r="E311" s="11"/>
      <c r="F311" s="11"/>
      <c r="G311" s="11"/>
      <c r="H311" s="11"/>
      <c r="I311" s="11"/>
      <c r="J311" s="11"/>
      <c r="K311" s="11"/>
    </row>
    <row r="312" spans="1:11" x14ac:dyDescent="0.2">
      <c r="A312" s="13"/>
      <c r="B312" s="12"/>
      <c r="C312" s="11"/>
      <c r="D312" s="11"/>
      <c r="E312" s="11"/>
      <c r="F312" s="11"/>
      <c r="G312" s="11"/>
      <c r="H312" s="11"/>
      <c r="I312" s="11"/>
      <c r="J312" s="11"/>
      <c r="K312" s="11"/>
    </row>
    <row r="313" spans="1:11" x14ac:dyDescent="0.2">
      <c r="A313" s="13"/>
      <c r="B313" s="12"/>
      <c r="C313" s="11"/>
      <c r="D313" s="11"/>
      <c r="E313" s="11"/>
      <c r="F313" s="11"/>
      <c r="G313" s="11"/>
      <c r="H313" s="11"/>
      <c r="I313" s="11"/>
      <c r="J313" s="11"/>
      <c r="K313" s="11"/>
    </row>
    <row r="314" spans="1:11" x14ac:dyDescent="0.2">
      <c r="A314" s="13"/>
      <c r="B314" s="12"/>
      <c r="C314" s="11"/>
      <c r="D314" s="11"/>
      <c r="E314" s="11"/>
      <c r="F314" s="11"/>
      <c r="G314" s="11"/>
      <c r="H314" s="11"/>
      <c r="I314" s="11"/>
      <c r="J314" s="11"/>
      <c r="K314" s="11"/>
    </row>
    <row r="315" spans="1:11" x14ac:dyDescent="0.2">
      <c r="A315" s="13"/>
      <c r="B315" s="12"/>
      <c r="C315" s="11"/>
      <c r="D315" s="11"/>
      <c r="E315" s="11"/>
      <c r="F315" s="11"/>
      <c r="G315" s="11"/>
      <c r="H315" s="11"/>
      <c r="I315" s="11"/>
      <c r="J315" s="11"/>
      <c r="K315" s="11"/>
    </row>
    <row r="316" spans="1:11" x14ac:dyDescent="0.2">
      <c r="A316" s="13"/>
      <c r="B316" s="12"/>
      <c r="C316" s="11"/>
      <c r="D316" s="11"/>
      <c r="E316" s="11"/>
      <c r="F316" s="11"/>
      <c r="G316" s="11"/>
      <c r="H316" s="11"/>
      <c r="I316" s="11"/>
      <c r="J316" s="11"/>
      <c r="K316" s="11"/>
    </row>
    <row r="317" spans="1:11" x14ac:dyDescent="0.2">
      <c r="A317" s="13"/>
      <c r="B317" s="12"/>
      <c r="C317" s="11"/>
      <c r="D317" s="11"/>
      <c r="E317" s="11"/>
      <c r="F317" s="11"/>
      <c r="G317" s="11"/>
      <c r="H317" s="11"/>
      <c r="I317" s="11"/>
      <c r="J317" s="11"/>
      <c r="K317" s="11"/>
    </row>
    <row r="318" spans="1:11" x14ac:dyDescent="0.2">
      <c r="A318" s="13"/>
      <c r="B318" s="12"/>
      <c r="C318" s="11"/>
      <c r="D318" s="11"/>
      <c r="E318" s="11"/>
      <c r="F318" s="11"/>
      <c r="G318" s="11"/>
      <c r="H318" s="11"/>
      <c r="I318" s="11"/>
      <c r="J318" s="11"/>
      <c r="K318" s="11"/>
    </row>
    <row r="319" spans="1:11" x14ac:dyDescent="0.2">
      <c r="A319" s="13"/>
      <c r="B319" s="12"/>
      <c r="C319" s="11"/>
      <c r="D319" s="11"/>
      <c r="E319" s="11"/>
      <c r="F319" s="11"/>
      <c r="G319" s="11"/>
      <c r="H319" s="11"/>
      <c r="I319" s="11"/>
      <c r="J319" s="11"/>
      <c r="K319" s="11"/>
    </row>
    <row r="320" spans="1:11" x14ac:dyDescent="0.2">
      <c r="A320" s="13"/>
      <c r="B320" s="12"/>
      <c r="C320" s="11"/>
      <c r="D320" s="11"/>
      <c r="E320" s="11"/>
      <c r="F320" s="11"/>
      <c r="G320" s="11"/>
      <c r="H320" s="11"/>
      <c r="I320" s="11"/>
      <c r="J320" s="11"/>
      <c r="K320" s="11"/>
    </row>
    <row r="321" spans="1:11" x14ac:dyDescent="0.2">
      <c r="A321" s="13"/>
      <c r="B321" s="12"/>
      <c r="C321" s="11"/>
      <c r="D321" s="11"/>
      <c r="E321" s="11"/>
      <c r="F321" s="11"/>
      <c r="G321" s="11"/>
      <c r="H321" s="11"/>
      <c r="I321" s="11"/>
      <c r="J321" s="11"/>
      <c r="K321" s="11"/>
    </row>
    <row r="322" spans="1:11" x14ac:dyDescent="0.2">
      <c r="A322" s="13"/>
      <c r="B322" s="12"/>
      <c r="C322" s="11"/>
      <c r="D322" s="11"/>
      <c r="E322" s="11"/>
      <c r="F322" s="11"/>
      <c r="G322" s="11"/>
      <c r="H322" s="11"/>
      <c r="I322" s="11"/>
      <c r="J322" s="11"/>
      <c r="K322" s="11"/>
    </row>
    <row r="323" spans="1:11" x14ac:dyDescent="0.2">
      <c r="A323" s="13"/>
      <c r="B323" s="12"/>
      <c r="C323" s="11"/>
      <c r="D323" s="11"/>
      <c r="E323" s="11"/>
      <c r="F323" s="11"/>
      <c r="G323" s="11"/>
      <c r="H323" s="11"/>
      <c r="I323" s="11"/>
      <c r="J323" s="11"/>
      <c r="K323" s="11"/>
    </row>
    <row r="324" spans="1:11" x14ac:dyDescent="0.2">
      <c r="A324" s="13"/>
      <c r="B324" s="12"/>
      <c r="C324" s="11"/>
      <c r="D324" s="11"/>
      <c r="E324" s="11"/>
      <c r="F324" s="11"/>
      <c r="G324" s="11"/>
      <c r="H324" s="11"/>
      <c r="I324" s="11"/>
      <c r="J324" s="11"/>
      <c r="K324" s="11"/>
    </row>
    <row r="325" spans="1:11" x14ac:dyDescent="0.2">
      <c r="A325" s="13"/>
      <c r="B325" s="12"/>
      <c r="C325" s="11"/>
      <c r="D325" s="11"/>
      <c r="E325" s="11"/>
      <c r="F325" s="11"/>
      <c r="G325" s="11"/>
      <c r="H325" s="11"/>
      <c r="I325" s="11"/>
      <c r="J325" s="11"/>
      <c r="K325" s="11"/>
    </row>
    <row r="326" spans="1:11" x14ac:dyDescent="0.2">
      <c r="A326" s="13"/>
      <c r="B326" s="12"/>
      <c r="C326" s="11"/>
      <c r="D326" s="11"/>
      <c r="E326" s="11"/>
      <c r="F326" s="11"/>
      <c r="G326" s="11"/>
      <c r="H326" s="11"/>
      <c r="I326" s="11"/>
      <c r="J326" s="11"/>
      <c r="K326" s="11"/>
    </row>
    <row r="327" spans="1:11" x14ac:dyDescent="0.2">
      <c r="A327" s="13"/>
      <c r="B327" s="12"/>
      <c r="C327" s="11"/>
      <c r="D327" s="11"/>
      <c r="E327" s="11"/>
      <c r="F327" s="11"/>
      <c r="G327" s="11"/>
      <c r="H327" s="11"/>
      <c r="I327" s="11"/>
      <c r="J327" s="11"/>
      <c r="K327" s="11"/>
    </row>
    <row r="328" spans="1:11" x14ac:dyDescent="0.2">
      <c r="A328" s="13"/>
      <c r="B328" s="12"/>
      <c r="C328" s="11"/>
      <c r="D328" s="11"/>
      <c r="E328" s="11"/>
      <c r="F328" s="11"/>
      <c r="G328" s="11"/>
      <c r="H328" s="11"/>
      <c r="I328" s="11"/>
      <c r="J328" s="11"/>
      <c r="K328" s="11"/>
    </row>
    <row r="329" spans="1:11" x14ac:dyDescent="0.2">
      <c r="A329" s="13"/>
      <c r="B329" s="12"/>
      <c r="C329" s="11"/>
      <c r="D329" s="11"/>
      <c r="E329" s="11"/>
      <c r="F329" s="11"/>
      <c r="G329" s="11"/>
      <c r="H329" s="11"/>
      <c r="I329" s="11"/>
      <c r="J329" s="11"/>
      <c r="K329" s="11"/>
    </row>
    <row r="330" spans="1:11" x14ac:dyDescent="0.2">
      <c r="A330" s="13"/>
      <c r="B330" s="12"/>
      <c r="C330" s="11"/>
      <c r="D330" s="11"/>
      <c r="E330" s="11"/>
      <c r="F330" s="11"/>
      <c r="G330" s="11"/>
      <c r="H330" s="11"/>
      <c r="I330" s="11"/>
      <c r="J330" s="11"/>
      <c r="K330" s="11"/>
    </row>
    <row r="331" spans="1:11" x14ac:dyDescent="0.2">
      <c r="A331" s="13"/>
      <c r="B331" s="12"/>
      <c r="C331" s="11"/>
      <c r="D331" s="11"/>
      <c r="E331" s="11"/>
      <c r="F331" s="11"/>
      <c r="G331" s="11"/>
      <c r="H331" s="11"/>
      <c r="I331" s="11"/>
      <c r="J331" s="11"/>
      <c r="K331" s="11"/>
    </row>
    <row r="332" spans="1:11" x14ac:dyDescent="0.2">
      <c r="A332" s="13"/>
      <c r="B332" s="12"/>
      <c r="C332" s="11"/>
      <c r="D332" s="11"/>
      <c r="E332" s="11"/>
      <c r="F332" s="11"/>
      <c r="G332" s="11"/>
      <c r="H332" s="11"/>
      <c r="I332" s="11"/>
      <c r="J332" s="11"/>
      <c r="K332" s="11"/>
    </row>
    <row r="333" spans="1:11" x14ac:dyDescent="0.2">
      <c r="A333" s="13"/>
      <c r="B333" s="12"/>
      <c r="C333" s="11"/>
      <c r="D333" s="11"/>
      <c r="E333" s="11"/>
      <c r="F333" s="11"/>
      <c r="G333" s="11"/>
      <c r="H333" s="11"/>
      <c r="I333" s="11"/>
      <c r="J333" s="11"/>
      <c r="K333" s="11"/>
    </row>
    <row r="334" spans="1:11" x14ac:dyDescent="0.2">
      <c r="A334" s="13"/>
      <c r="B334" s="12"/>
      <c r="C334" s="11"/>
      <c r="D334" s="11"/>
      <c r="E334" s="11"/>
      <c r="F334" s="11"/>
      <c r="G334" s="11"/>
      <c r="H334" s="11"/>
      <c r="I334" s="11"/>
      <c r="J334" s="11"/>
      <c r="K334" s="11"/>
    </row>
    <row r="335" spans="1:11" x14ac:dyDescent="0.2">
      <c r="A335" s="13"/>
      <c r="B335" s="12"/>
      <c r="C335" s="11"/>
      <c r="D335" s="11"/>
      <c r="E335" s="11"/>
      <c r="F335" s="11"/>
      <c r="G335" s="11"/>
      <c r="H335" s="11"/>
      <c r="I335" s="11"/>
      <c r="J335" s="11"/>
      <c r="K335" s="11"/>
    </row>
    <row r="336" spans="1:11" x14ac:dyDescent="0.2">
      <c r="A336" s="13"/>
      <c r="B336" s="12"/>
      <c r="C336" s="11"/>
      <c r="D336" s="11"/>
      <c r="E336" s="11"/>
      <c r="F336" s="11"/>
      <c r="G336" s="11"/>
      <c r="H336" s="11"/>
      <c r="I336" s="11"/>
      <c r="J336" s="11"/>
      <c r="K336" s="11"/>
    </row>
    <row r="337" spans="1:11" x14ac:dyDescent="0.2">
      <c r="A337" s="13"/>
      <c r="B337" s="12"/>
      <c r="C337" s="11"/>
      <c r="D337" s="11"/>
      <c r="E337" s="11"/>
      <c r="F337" s="11"/>
      <c r="G337" s="11"/>
      <c r="H337" s="11"/>
      <c r="I337" s="11"/>
      <c r="J337" s="11"/>
      <c r="K337" s="11"/>
    </row>
    <row r="338" spans="1:11" x14ac:dyDescent="0.2">
      <c r="A338" s="13"/>
      <c r="B338" s="12"/>
      <c r="C338" s="11"/>
      <c r="D338" s="11"/>
      <c r="E338" s="11"/>
      <c r="F338" s="11"/>
      <c r="G338" s="11"/>
      <c r="H338" s="11"/>
      <c r="I338" s="11"/>
      <c r="J338" s="11"/>
      <c r="K338" s="11"/>
    </row>
    <row r="339" spans="1:11" x14ac:dyDescent="0.2">
      <c r="A339" s="13"/>
      <c r="B339" s="12"/>
      <c r="C339" s="11"/>
      <c r="D339" s="11"/>
      <c r="E339" s="11"/>
      <c r="F339" s="11"/>
      <c r="G339" s="11"/>
      <c r="H339" s="11"/>
      <c r="I339" s="11"/>
      <c r="J339" s="11"/>
      <c r="K339" s="11"/>
    </row>
    <row r="340" spans="1:11" x14ac:dyDescent="0.2">
      <c r="A340" s="13"/>
      <c r="B340" s="12"/>
      <c r="C340" s="11"/>
      <c r="D340" s="11"/>
      <c r="E340" s="11"/>
      <c r="F340" s="11"/>
      <c r="G340" s="11"/>
      <c r="H340" s="11"/>
      <c r="I340" s="11"/>
      <c r="J340" s="11"/>
      <c r="K340" s="11"/>
    </row>
    <row r="341" spans="1:11" x14ac:dyDescent="0.2">
      <c r="A341" s="13"/>
      <c r="B341" s="12"/>
      <c r="C341" s="11"/>
      <c r="D341" s="11"/>
      <c r="E341" s="11"/>
      <c r="F341" s="11"/>
      <c r="G341" s="11"/>
      <c r="H341" s="11"/>
      <c r="I341" s="11"/>
      <c r="J341" s="11"/>
      <c r="K341" s="11"/>
    </row>
    <row r="342" spans="1:11" x14ac:dyDescent="0.2">
      <c r="A342" s="13"/>
      <c r="B342" s="12"/>
      <c r="C342" s="11"/>
      <c r="D342" s="11"/>
      <c r="E342" s="11"/>
      <c r="F342" s="11"/>
      <c r="G342" s="11"/>
      <c r="H342" s="11"/>
      <c r="I342" s="11"/>
      <c r="J342" s="11"/>
      <c r="K342" s="11"/>
    </row>
    <row r="343" spans="1:11" x14ac:dyDescent="0.2">
      <c r="A343" s="13"/>
      <c r="B343" s="12"/>
      <c r="C343" s="11"/>
      <c r="D343" s="11"/>
      <c r="E343" s="11"/>
      <c r="F343" s="11"/>
      <c r="G343" s="11"/>
      <c r="H343" s="11"/>
      <c r="I343" s="11"/>
      <c r="J343" s="11"/>
      <c r="K343" s="11"/>
    </row>
    <row r="344" spans="1:11" x14ac:dyDescent="0.2">
      <c r="A344" s="13"/>
      <c r="B344" s="12"/>
      <c r="C344" s="11"/>
      <c r="D344" s="11"/>
      <c r="E344" s="11"/>
      <c r="F344" s="11"/>
      <c r="G344" s="11"/>
      <c r="H344" s="11"/>
      <c r="I344" s="11"/>
      <c r="J344" s="11"/>
      <c r="K344" s="11"/>
    </row>
    <row r="345" spans="1:11" x14ac:dyDescent="0.2">
      <c r="A345" s="13"/>
      <c r="B345" s="12"/>
      <c r="C345" s="11"/>
      <c r="D345" s="11"/>
      <c r="E345" s="11"/>
      <c r="F345" s="11"/>
      <c r="G345" s="11"/>
      <c r="H345" s="11"/>
      <c r="I345" s="11"/>
      <c r="J345" s="11"/>
      <c r="K345" s="11"/>
    </row>
    <row r="346" spans="1:11" x14ac:dyDescent="0.2">
      <c r="A346" s="13"/>
      <c r="B346" s="12"/>
      <c r="C346" s="11"/>
      <c r="D346" s="11"/>
      <c r="E346" s="11"/>
      <c r="F346" s="11"/>
      <c r="G346" s="11"/>
      <c r="H346" s="11"/>
      <c r="I346" s="11"/>
      <c r="J346" s="11"/>
      <c r="K346" s="11"/>
    </row>
    <row r="347" spans="1:11" x14ac:dyDescent="0.2">
      <c r="A347" s="13"/>
      <c r="B347" s="12"/>
      <c r="C347" s="11"/>
      <c r="D347" s="11"/>
      <c r="E347" s="11"/>
      <c r="F347" s="11"/>
      <c r="G347" s="11"/>
      <c r="H347" s="11"/>
      <c r="I347" s="11"/>
      <c r="J347" s="11"/>
      <c r="K347" s="11"/>
    </row>
    <row r="348" spans="1:11" x14ac:dyDescent="0.2">
      <c r="A348" s="13"/>
      <c r="B348" s="12"/>
      <c r="C348" s="11"/>
      <c r="D348" s="11"/>
      <c r="E348" s="11"/>
      <c r="F348" s="11"/>
      <c r="G348" s="11"/>
      <c r="H348" s="11"/>
      <c r="I348" s="11"/>
      <c r="J348" s="11"/>
      <c r="K348" s="11"/>
    </row>
    <row r="349" spans="1:11" x14ac:dyDescent="0.2">
      <c r="A349" s="13"/>
      <c r="B349" s="12"/>
      <c r="C349" s="11"/>
      <c r="D349" s="11"/>
      <c r="E349" s="11"/>
      <c r="F349" s="11"/>
      <c r="G349" s="11"/>
      <c r="H349" s="11"/>
      <c r="I349" s="11"/>
      <c r="J349" s="11"/>
      <c r="K349" s="11"/>
    </row>
    <row r="350" spans="1:11" x14ac:dyDescent="0.2">
      <c r="A350" s="13"/>
      <c r="B350" s="12"/>
      <c r="C350" s="11"/>
      <c r="D350" s="11"/>
      <c r="E350" s="11"/>
      <c r="F350" s="11"/>
      <c r="G350" s="11"/>
      <c r="H350" s="11"/>
      <c r="I350" s="11"/>
      <c r="J350" s="11"/>
      <c r="K350" s="11"/>
    </row>
    <row r="351" spans="1:11" x14ac:dyDescent="0.2">
      <c r="A351" s="13"/>
      <c r="B351" s="12"/>
      <c r="C351" s="11"/>
      <c r="D351" s="11"/>
      <c r="E351" s="11"/>
      <c r="F351" s="11"/>
      <c r="G351" s="11"/>
      <c r="H351" s="11"/>
      <c r="I351" s="11"/>
      <c r="J351" s="11"/>
      <c r="K351" s="11"/>
    </row>
    <row r="352" spans="1:11" x14ac:dyDescent="0.2">
      <c r="A352" s="13"/>
      <c r="B352" s="12"/>
      <c r="C352" s="11"/>
      <c r="D352" s="11"/>
      <c r="E352" s="11"/>
      <c r="F352" s="11"/>
      <c r="G352" s="11"/>
      <c r="H352" s="11"/>
      <c r="I352" s="11"/>
      <c r="J352" s="11"/>
      <c r="K352" s="11"/>
    </row>
    <row r="353" spans="1:11" x14ac:dyDescent="0.2">
      <c r="A353" s="13"/>
      <c r="B353" s="12"/>
      <c r="C353" s="11"/>
      <c r="D353" s="11"/>
      <c r="E353" s="11"/>
      <c r="F353" s="11"/>
      <c r="G353" s="11"/>
      <c r="H353" s="11"/>
      <c r="I353" s="11"/>
      <c r="J353" s="11"/>
      <c r="K353" s="11"/>
    </row>
    <row r="354" spans="1:11" x14ac:dyDescent="0.2">
      <c r="A354" s="13"/>
      <c r="B354" s="12"/>
      <c r="C354" s="11"/>
      <c r="D354" s="11"/>
      <c r="E354" s="11"/>
      <c r="F354" s="11"/>
      <c r="G354" s="11"/>
      <c r="H354" s="11"/>
      <c r="I354" s="11"/>
      <c r="J354" s="11"/>
      <c r="K354" s="11"/>
    </row>
    <row r="355" spans="1:11" x14ac:dyDescent="0.2">
      <c r="A355" s="13"/>
      <c r="B355" s="12"/>
      <c r="C355" s="11"/>
      <c r="D355" s="11"/>
      <c r="E355" s="11"/>
      <c r="F355" s="11"/>
      <c r="G355" s="11"/>
      <c r="H355" s="11"/>
      <c r="I355" s="11"/>
      <c r="J355" s="11"/>
      <c r="K355" s="11"/>
    </row>
    <row r="356" spans="1:11" x14ac:dyDescent="0.2">
      <c r="A356" s="13"/>
      <c r="B356" s="12"/>
      <c r="C356" s="11"/>
      <c r="D356" s="11"/>
      <c r="E356" s="11"/>
      <c r="F356" s="11"/>
      <c r="G356" s="11"/>
      <c r="H356" s="11"/>
      <c r="I356" s="11"/>
      <c r="J356" s="11"/>
      <c r="K356" s="11"/>
    </row>
    <row r="357" spans="1:11" x14ac:dyDescent="0.2">
      <c r="A357" s="13"/>
      <c r="B357" s="12"/>
      <c r="C357" s="11"/>
      <c r="D357" s="11"/>
      <c r="E357" s="11"/>
      <c r="F357" s="11"/>
      <c r="G357" s="11"/>
      <c r="H357" s="11"/>
      <c r="I357" s="11"/>
      <c r="J357" s="11"/>
      <c r="K357" s="11"/>
    </row>
    <row r="358" spans="1:11" x14ac:dyDescent="0.2">
      <c r="A358" s="13"/>
      <c r="B358" s="12"/>
      <c r="C358" s="11"/>
      <c r="D358" s="11"/>
      <c r="E358" s="11"/>
      <c r="F358" s="11"/>
      <c r="G358" s="11"/>
      <c r="H358" s="11"/>
      <c r="I358" s="11"/>
      <c r="J358" s="11"/>
      <c r="K358" s="11"/>
    </row>
    <row r="359" spans="1:11" x14ac:dyDescent="0.2">
      <c r="A359" s="13"/>
      <c r="B359" s="12"/>
      <c r="C359" s="11"/>
      <c r="D359" s="11"/>
      <c r="E359" s="11"/>
      <c r="F359" s="11"/>
      <c r="G359" s="11"/>
      <c r="H359" s="11"/>
      <c r="I359" s="11"/>
      <c r="J359" s="11"/>
      <c r="K359" s="11"/>
    </row>
    <row r="360" spans="1:11" x14ac:dyDescent="0.2">
      <c r="A360" s="13"/>
      <c r="B360" s="12"/>
      <c r="C360" s="11"/>
      <c r="D360" s="11"/>
      <c r="E360" s="11"/>
      <c r="F360" s="11"/>
      <c r="G360" s="11"/>
      <c r="H360" s="11"/>
      <c r="I360" s="11"/>
      <c r="J360" s="11"/>
      <c r="K360" s="11"/>
    </row>
    <row r="361" spans="1:11" x14ac:dyDescent="0.2">
      <c r="A361" s="13"/>
      <c r="B361" s="12"/>
      <c r="C361" s="11"/>
      <c r="D361" s="11"/>
      <c r="E361" s="11"/>
      <c r="F361" s="11"/>
      <c r="G361" s="11"/>
      <c r="H361" s="11"/>
      <c r="I361" s="11"/>
      <c r="J361" s="11"/>
      <c r="K361" s="11"/>
    </row>
    <row r="362" spans="1:11" x14ac:dyDescent="0.2">
      <c r="A362" s="13"/>
      <c r="B362" s="12"/>
      <c r="C362" s="11"/>
      <c r="D362" s="11"/>
      <c r="E362" s="11"/>
      <c r="F362" s="11"/>
      <c r="G362" s="11"/>
      <c r="H362" s="11"/>
      <c r="I362" s="11"/>
      <c r="J362" s="11"/>
      <c r="K362" s="11"/>
    </row>
    <row r="363" spans="1:11" x14ac:dyDescent="0.2">
      <c r="A363" s="13"/>
      <c r="B363" s="12"/>
      <c r="C363" s="11"/>
      <c r="D363" s="11"/>
      <c r="E363" s="11"/>
      <c r="F363" s="11"/>
      <c r="G363" s="11"/>
      <c r="H363" s="11"/>
      <c r="I363" s="11"/>
      <c r="J363" s="11"/>
      <c r="K363" s="11"/>
    </row>
    <row r="364" spans="1:11" x14ac:dyDescent="0.2">
      <c r="A364" s="13"/>
      <c r="B364" s="12"/>
      <c r="C364" s="11"/>
      <c r="D364" s="11"/>
      <c r="E364" s="11"/>
      <c r="F364" s="11"/>
      <c r="G364" s="11"/>
      <c r="H364" s="11"/>
      <c r="I364" s="11"/>
      <c r="J364" s="11"/>
      <c r="K364" s="11"/>
    </row>
    <row r="365" spans="1:11" x14ac:dyDescent="0.2">
      <c r="A365" s="13"/>
      <c r="B365" s="12"/>
      <c r="C365" s="11"/>
      <c r="D365" s="11"/>
      <c r="E365" s="11"/>
      <c r="F365" s="11"/>
      <c r="G365" s="11"/>
      <c r="H365" s="11"/>
      <c r="I365" s="11"/>
      <c r="J365" s="11"/>
      <c r="K365" s="11"/>
    </row>
    <row r="366" spans="1:11" x14ac:dyDescent="0.2">
      <c r="A366" s="13"/>
      <c r="B366" s="12"/>
      <c r="C366" s="11"/>
      <c r="D366" s="11"/>
      <c r="E366" s="11"/>
      <c r="F366" s="11"/>
      <c r="G366" s="11"/>
      <c r="H366" s="11"/>
      <c r="I366" s="11"/>
      <c r="J366" s="11"/>
      <c r="K366" s="11"/>
    </row>
    <row r="367" spans="1:11" x14ac:dyDescent="0.2">
      <c r="A367" s="13"/>
      <c r="B367" s="12"/>
      <c r="C367" s="11"/>
      <c r="D367" s="11"/>
      <c r="E367" s="11"/>
      <c r="F367" s="11"/>
      <c r="G367" s="11"/>
      <c r="H367" s="11"/>
      <c r="I367" s="11"/>
      <c r="J367" s="11"/>
      <c r="K367" s="11"/>
    </row>
    <row r="368" spans="1:11" x14ac:dyDescent="0.2">
      <c r="A368" s="13"/>
      <c r="B368" s="12"/>
      <c r="C368" s="11"/>
      <c r="D368" s="11"/>
      <c r="E368" s="11"/>
      <c r="F368" s="11"/>
      <c r="G368" s="11"/>
      <c r="H368" s="11"/>
      <c r="I368" s="11"/>
      <c r="J368" s="11"/>
      <c r="K368" s="11"/>
    </row>
    <row r="369" spans="1:11" x14ac:dyDescent="0.2">
      <c r="A369" s="13"/>
      <c r="B369" s="12"/>
      <c r="C369" s="11"/>
      <c r="D369" s="11"/>
      <c r="E369" s="11"/>
      <c r="F369" s="11"/>
      <c r="G369" s="11"/>
      <c r="H369" s="11"/>
      <c r="I369" s="11"/>
      <c r="J369" s="11"/>
      <c r="K369" s="11"/>
    </row>
    <row r="370" spans="1:11" x14ac:dyDescent="0.2">
      <c r="A370" s="13"/>
      <c r="B370" s="12"/>
      <c r="C370" s="11"/>
      <c r="D370" s="11"/>
      <c r="E370" s="11"/>
      <c r="F370" s="11"/>
      <c r="G370" s="11"/>
      <c r="H370" s="11"/>
      <c r="I370" s="11"/>
      <c r="J370" s="11"/>
      <c r="K370" s="11"/>
    </row>
    <row r="371" spans="1:11" x14ac:dyDescent="0.2">
      <c r="A371" s="13"/>
      <c r="B371" s="12"/>
      <c r="C371" s="11"/>
      <c r="D371" s="11"/>
      <c r="E371" s="11"/>
      <c r="F371" s="11"/>
      <c r="G371" s="11"/>
      <c r="H371" s="11"/>
      <c r="I371" s="11"/>
      <c r="J371" s="11"/>
      <c r="K371" s="11"/>
    </row>
    <row r="372" spans="1:11" x14ac:dyDescent="0.2">
      <c r="A372" s="13"/>
      <c r="B372" s="12"/>
      <c r="C372" s="11"/>
      <c r="D372" s="11"/>
      <c r="E372" s="11"/>
      <c r="F372" s="11"/>
      <c r="G372" s="11"/>
      <c r="H372" s="11"/>
      <c r="I372" s="11"/>
      <c r="J372" s="11"/>
      <c r="K372" s="11"/>
    </row>
    <row r="373" spans="1:11" x14ac:dyDescent="0.2">
      <c r="A373" s="13"/>
      <c r="B373" s="12"/>
      <c r="C373" s="11"/>
      <c r="D373" s="11"/>
      <c r="E373" s="11"/>
      <c r="F373" s="11"/>
      <c r="G373" s="11"/>
      <c r="H373" s="11"/>
      <c r="I373" s="11"/>
      <c r="J373" s="11"/>
      <c r="K373" s="11"/>
    </row>
    <row r="374" spans="1:11" x14ac:dyDescent="0.2">
      <c r="A374" s="13"/>
      <c r="B374" s="12"/>
      <c r="C374" s="11"/>
      <c r="D374" s="11"/>
      <c r="E374" s="11"/>
      <c r="F374" s="11"/>
      <c r="G374" s="11"/>
      <c r="H374" s="11"/>
      <c r="I374" s="11"/>
      <c r="J374" s="11"/>
      <c r="K374" s="11"/>
    </row>
    <row r="375" spans="1:11" x14ac:dyDescent="0.2">
      <c r="A375" s="13"/>
      <c r="B375" s="12"/>
      <c r="C375" s="11"/>
      <c r="D375" s="11"/>
      <c r="E375" s="11"/>
      <c r="F375" s="11"/>
      <c r="G375" s="11"/>
      <c r="H375" s="11"/>
      <c r="I375" s="11"/>
      <c r="J375" s="11"/>
      <c r="K375" s="11"/>
    </row>
    <row r="376" spans="1:11" x14ac:dyDescent="0.2">
      <c r="A376" s="13"/>
      <c r="B376" s="12"/>
      <c r="C376" s="11"/>
      <c r="D376" s="11"/>
      <c r="E376" s="11"/>
      <c r="F376" s="11"/>
      <c r="G376" s="11"/>
      <c r="H376" s="11"/>
      <c r="I376" s="11"/>
      <c r="J376" s="11"/>
      <c r="K376" s="11"/>
    </row>
    <row r="377" spans="1:11" x14ac:dyDescent="0.2">
      <c r="A377" s="13"/>
      <c r="B377" s="12"/>
      <c r="C377" s="11"/>
      <c r="D377" s="11"/>
      <c r="E377" s="11"/>
      <c r="F377" s="11"/>
      <c r="G377" s="11"/>
      <c r="H377" s="11"/>
      <c r="I377" s="11"/>
      <c r="J377" s="11"/>
      <c r="K377" s="11"/>
    </row>
    <row r="378" spans="1:11" x14ac:dyDescent="0.2">
      <c r="A378" s="13"/>
      <c r="B378" s="12"/>
      <c r="C378" s="11"/>
      <c r="D378" s="11"/>
      <c r="E378" s="11"/>
      <c r="F378" s="11"/>
      <c r="G378" s="11"/>
      <c r="H378" s="11"/>
      <c r="I378" s="11"/>
      <c r="J378" s="11"/>
      <c r="K378" s="11"/>
    </row>
    <row r="379" spans="1:11" x14ac:dyDescent="0.2">
      <c r="A379" s="13"/>
      <c r="B379" s="12"/>
      <c r="C379" s="11"/>
      <c r="D379" s="11"/>
      <c r="E379" s="11"/>
      <c r="F379" s="11"/>
      <c r="G379" s="11"/>
      <c r="H379" s="11"/>
      <c r="I379" s="11"/>
      <c r="J379" s="11"/>
      <c r="K379" s="11"/>
    </row>
    <row r="380" spans="1:11" x14ac:dyDescent="0.2">
      <c r="A380" s="13"/>
      <c r="B380" s="12"/>
      <c r="C380" s="11"/>
      <c r="D380" s="11"/>
      <c r="E380" s="11"/>
      <c r="F380" s="11"/>
      <c r="G380" s="11"/>
      <c r="H380" s="11"/>
      <c r="I380" s="11"/>
      <c r="J380" s="11"/>
      <c r="K380" s="11"/>
    </row>
    <row r="381" spans="1:11" x14ac:dyDescent="0.2">
      <c r="A381" s="13"/>
      <c r="B381" s="12"/>
      <c r="C381" s="11"/>
      <c r="D381" s="11"/>
      <c r="E381" s="11"/>
      <c r="F381" s="11"/>
      <c r="G381" s="11"/>
      <c r="H381" s="11"/>
      <c r="I381" s="11"/>
      <c r="J381" s="11"/>
      <c r="K381" s="11"/>
    </row>
    <row r="382" spans="1:11" x14ac:dyDescent="0.2">
      <c r="A382" s="13"/>
      <c r="B382" s="12"/>
      <c r="C382" s="11"/>
      <c r="D382" s="11"/>
      <c r="E382" s="11"/>
      <c r="F382" s="11"/>
      <c r="G382" s="11"/>
      <c r="H382" s="11"/>
      <c r="I382" s="11"/>
      <c r="J382" s="11"/>
      <c r="K382" s="11"/>
    </row>
    <row r="383" spans="1:11" x14ac:dyDescent="0.2">
      <c r="A383" s="13"/>
      <c r="B383" s="12"/>
      <c r="C383" s="11"/>
      <c r="D383" s="11"/>
      <c r="E383" s="11"/>
      <c r="F383" s="11"/>
      <c r="G383" s="11"/>
      <c r="H383" s="11"/>
      <c r="I383" s="11"/>
      <c r="J383" s="11"/>
      <c r="K383" s="11"/>
    </row>
    <row r="384" spans="1:11" x14ac:dyDescent="0.2">
      <c r="A384" s="13"/>
      <c r="B384" s="12"/>
      <c r="C384" s="11"/>
      <c r="D384" s="11"/>
      <c r="E384" s="11"/>
      <c r="F384" s="11"/>
      <c r="G384" s="11"/>
      <c r="H384" s="11"/>
      <c r="I384" s="11"/>
      <c r="J384" s="11"/>
      <c r="K384" s="11"/>
    </row>
    <row r="385" spans="1:11" x14ac:dyDescent="0.2">
      <c r="A385" s="13"/>
      <c r="B385" s="12"/>
      <c r="C385" s="11"/>
      <c r="D385" s="11"/>
      <c r="E385" s="11"/>
      <c r="F385" s="11"/>
      <c r="G385" s="11"/>
      <c r="H385" s="11"/>
      <c r="I385" s="11"/>
      <c r="J385" s="11"/>
      <c r="K385" s="11"/>
    </row>
    <row r="386" spans="1:11" x14ac:dyDescent="0.2">
      <c r="A386" s="13"/>
      <c r="B386" s="12"/>
      <c r="C386" s="11"/>
      <c r="D386" s="11"/>
      <c r="E386" s="11"/>
      <c r="F386" s="11"/>
      <c r="G386" s="11"/>
      <c r="H386" s="11"/>
      <c r="I386" s="11"/>
      <c r="J386" s="11"/>
      <c r="K386" s="11"/>
    </row>
    <row r="387" spans="1:11" x14ac:dyDescent="0.2">
      <c r="A387" s="13"/>
      <c r="B387" s="12"/>
      <c r="C387" s="11"/>
      <c r="D387" s="11"/>
      <c r="E387" s="11"/>
      <c r="F387" s="11"/>
      <c r="G387" s="11"/>
      <c r="H387" s="11"/>
      <c r="I387" s="11"/>
      <c r="J387" s="11"/>
      <c r="K387" s="11"/>
    </row>
    <row r="388" spans="1:11" x14ac:dyDescent="0.2">
      <c r="A388" s="13"/>
      <c r="B388" s="12"/>
      <c r="C388" s="11"/>
      <c r="D388" s="11"/>
      <c r="E388" s="11"/>
      <c r="F388" s="11"/>
      <c r="G388" s="11"/>
      <c r="H388" s="11"/>
      <c r="I388" s="11"/>
      <c r="J388" s="11"/>
      <c r="K388" s="11"/>
    </row>
    <row r="389" spans="1:11" x14ac:dyDescent="0.2">
      <c r="A389" s="13"/>
      <c r="B389" s="12"/>
      <c r="C389" s="11"/>
      <c r="D389" s="11"/>
      <c r="E389" s="11"/>
      <c r="F389" s="11"/>
      <c r="G389" s="11"/>
      <c r="H389" s="11"/>
      <c r="I389" s="11"/>
      <c r="J389" s="11"/>
      <c r="K389" s="11"/>
    </row>
    <row r="390" spans="1:11" x14ac:dyDescent="0.2">
      <c r="A390" s="13"/>
      <c r="B390" s="12"/>
      <c r="C390" s="11"/>
      <c r="D390" s="11"/>
      <c r="E390" s="11"/>
      <c r="F390" s="11"/>
      <c r="G390" s="11"/>
      <c r="H390" s="11"/>
      <c r="I390" s="11"/>
      <c r="J390" s="11"/>
      <c r="K390" s="11"/>
    </row>
    <row r="391" spans="1:11" x14ac:dyDescent="0.2">
      <c r="A391" s="13"/>
      <c r="B391" s="12"/>
      <c r="C391" s="11"/>
      <c r="D391" s="11"/>
      <c r="E391" s="11"/>
      <c r="F391" s="11"/>
      <c r="G391" s="11"/>
      <c r="H391" s="11"/>
      <c r="I391" s="11"/>
      <c r="J391" s="11"/>
      <c r="K391" s="11"/>
    </row>
    <row r="392" spans="1:11" x14ac:dyDescent="0.2">
      <c r="A392" s="13"/>
      <c r="B392" s="12"/>
      <c r="C392" s="11"/>
      <c r="D392" s="11"/>
      <c r="E392" s="11"/>
      <c r="F392" s="11"/>
      <c r="G392" s="11"/>
      <c r="H392" s="11"/>
      <c r="I392" s="11"/>
      <c r="J392" s="11"/>
      <c r="K392" s="11"/>
    </row>
    <row r="393" spans="1:11" x14ac:dyDescent="0.2">
      <c r="A393" s="13"/>
      <c r="B393" s="12"/>
      <c r="C393" s="11"/>
      <c r="D393" s="11"/>
      <c r="E393" s="11"/>
      <c r="F393" s="11"/>
      <c r="G393" s="11"/>
      <c r="H393" s="11"/>
      <c r="I393" s="11"/>
      <c r="J393" s="11"/>
      <c r="K393" s="11"/>
    </row>
    <row r="394" spans="1:11" x14ac:dyDescent="0.2">
      <c r="A394" s="13"/>
      <c r="B394" s="12"/>
      <c r="C394" s="11"/>
      <c r="D394" s="11"/>
      <c r="E394" s="11"/>
      <c r="F394" s="11"/>
      <c r="G394" s="11"/>
      <c r="H394" s="11"/>
      <c r="I394" s="11"/>
      <c r="J394" s="11"/>
      <c r="K394" s="11"/>
    </row>
    <row r="395" spans="1:11" x14ac:dyDescent="0.2">
      <c r="A395" s="13"/>
      <c r="B395" s="12"/>
      <c r="C395" s="11"/>
      <c r="D395" s="11"/>
      <c r="E395" s="11"/>
      <c r="F395" s="11"/>
      <c r="G395" s="11"/>
      <c r="H395" s="11"/>
      <c r="I395" s="11"/>
      <c r="J395" s="11"/>
      <c r="K395" s="11"/>
    </row>
    <row r="396" spans="1:11" x14ac:dyDescent="0.2">
      <c r="A396" s="13"/>
      <c r="B396" s="12"/>
      <c r="C396" s="11"/>
      <c r="D396" s="11"/>
      <c r="E396" s="11"/>
      <c r="F396" s="11"/>
      <c r="G396" s="11"/>
      <c r="H396" s="11"/>
      <c r="I396" s="11"/>
      <c r="J396" s="11"/>
      <c r="K396" s="11"/>
    </row>
    <row r="397" spans="1:11" x14ac:dyDescent="0.2">
      <c r="A397" s="13"/>
      <c r="B397" s="12"/>
      <c r="C397" s="11"/>
      <c r="D397" s="11"/>
      <c r="E397" s="11"/>
      <c r="F397" s="11"/>
      <c r="G397" s="11"/>
      <c r="H397" s="11"/>
      <c r="I397" s="11"/>
      <c r="J397" s="11"/>
      <c r="K397" s="11"/>
    </row>
    <row r="398" spans="1:11" x14ac:dyDescent="0.2">
      <c r="A398" s="13"/>
      <c r="B398" s="12"/>
      <c r="C398" s="11"/>
      <c r="D398" s="11"/>
      <c r="E398" s="11"/>
      <c r="F398" s="11"/>
      <c r="G398" s="11"/>
      <c r="H398" s="11"/>
      <c r="I398" s="11"/>
      <c r="J398" s="11"/>
      <c r="K398" s="11"/>
    </row>
    <row r="399" spans="1:11" x14ac:dyDescent="0.2">
      <c r="A399" s="13"/>
      <c r="B399" s="12"/>
      <c r="C399" s="11"/>
      <c r="D399" s="11"/>
      <c r="E399" s="11"/>
      <c r="F399" s="11"/>
      <c r="G399" s="11"/>
      <c r="H399" s="11"/>
      <c r="I399" s="11"/>
      <c r="J399" s="11"/>
      <c r="K399" s="11"/>
    </row>
    <row r="400" spans="1:11" x14ac:dyDescent="0.2">
      <c r="A400" s="13"/>
      <c r="B400" s="12"/>
      <c r="C400" s="11"/>
      <c r="D400" s="11"/>
      <c r="E400" s="11"/>
      <c r="F400" s="11"/>
      <c r="G400" s="11"/>
      <c r="H400" s="11"/>
      <c r="I400" s="11"/>
      <c r="J400" s="11"/>
      <c r="K400" s="11"/>
    </row>
    <row r="401" spans="1:11" x14ac:dyDescent="0.2">
      <c r="A401" s="13"/>
      <c r="B401" s="12"/>
      <c r="C401" s="11"/>
      <c r="D401" s="11"/>
      <c r="E401" s="11"/>
      <c r="F401" s="11"/>
      <c r="G401" s="11"/>
      <c r="H401" s="11"/>
      <c r="I401" s="11"/>
      <c r="J401" s="11"/>
      <c r="K401" s="11"/>
    </row>
    <row r="402" spans="1:11" x14ac:dyDescent="0.2">
      <c r="A402" s="13"/>
      <c r="B402" s="12"/>
      <c r="C402" s="11"/>
      <c r="D402" s="11"/>
      <c r="E402" s="11"/>
      <c r="F402" s="11"/>
      <c r="G402" s="11"/>
      <c r="H402" s="11"/>
      <c r="I402" s="11"/>
      <c r="J402" s="11"/>
      <c r="K402" s="11"/>
    </row>
    <row r="403" spans="1:11" x14ac:dyDescent="0.2">
      <c r="A403" s="13"/>
      <c r="B403" s="12"/>
      <c r="C403" s="11"/>
      <c r="D403" s="11"/>
      <c r="E403" s="11"/>
      <c r="F403" s="11"/>
      <c r="G403" s="11"/>
      <c r="H403" s="11"/>
      <c r="I403" s="11"/>
      <c r="J403" s="11"/>
      <c r="K403" s="11"/>
    </row>
    <row r="404" spans="1:11" x14ac:dyDescent="0.2">
      <c r="A404" s="13"/>
      <c r="B404" s="12"/>
      <c r="C404" s="11"/>
      <c r="D404" s="11"/>
      <c r="E404" s="11"/>
      <c r="F404" s="11"/>
      <c r="G404" s="11"/>
      <c r="H404" s="11"/>
      <c r="I404" s="11"/>
      <c r="J404" s="11"/>
      <c r="K404" s="11"/>
    </row>
    <row r="405" spans="1:11" x14ac:dyDescent="0.2">
      <c r="A405" s="13"/>
      <c r="B405" s="12"/>
      <c r="C405" s="11"/>
      <c r="D405" s="11"/>
      <c r="E405" s="11"/>
      <c r="F405" s="11"/>
      <c r="G405" s="11"/>
      <c r="H405" s="11"/>
      <c r="I405" s="11"/>
      <c r="J405" s="11"/>
      <c r="K405" s="11"/>
    </row>
    <row r="406" spans="1:11" x14ac:dyDescent="0.2">
      <c r="A406" s="13"/>
      <c r="B406" s="12"/>
      <c r="C406" s="11"/>
      <c r="D406" s="11"/>
      <c r="E406" s="11"/>
      <c r="F406" s="11"/>
      <c r="G406" s="11"/>
      <c r="H406" s="11"/>
      <c r="I406" s="11"/>
      <c r="J406" s="11"/>
      <c r="K406" s="11"/>
    </row>
    <row r="407" spans="1:11" x14ac:dyDescent="0.2">
      <c r="A407" s="13"/>
      <c r="B407" s="12"/>
      <c r="C407" s="11"/>
      <c r="D407" s="11"/>
      <c r="E407" s="11"/>
      <c r="F407" s="11"/>
      <c r="G407" s="11"/>
      <c r="H407" s="11"/>
      <c r="I407" s="11"/>
      <c r="J407" s="11"/>
      <c r="K407" s="11"/>
    </row>
    <row r="408" spans="1:11" x14ac:dyDescent="0.2">
      <c r="A408" s="13"/>
      <c r="B408" s="12"/>
      <c r="C408" s="11"/>
      <c r="D408" s="11"/>
      <c r="E408" s="11"/>
      <c r="F408" s="11"/>
      <c r="G408" s="11"/>
      <c r="H408" s="11"/>
      <c r="I408" s="11"/>
      <c r="J408" s="11"/>
      <c r="K408" s="11"/>
    </row>
    <row r="409" spans="1:11" x14ac:dyDescent="0.2">
      <c r="A409" s="13"/>
      <c r="B409" s="12"/>
      <c r="C409" s="11"/>
      <c r="D409" s="11"/>
      <c r="E409" s="11"/>
      <c r="F409" s="11"/>
      <c r="G409" s="11"/>
      <c r="H409" s="11"/>
      <c r="I409" s="11"/>
      <c r="J409" s="11"/>
      <c r="K409" s="11"/>
    </row>
    <row r="410" spans="1:11" x14ac:dyDescent="0.2">
      <c r="A410" s="13"/>
      <c r="B410" s="12"/>
      <c r="C410" s="11"/>
      <c r="D410" s="11"/>
      <c r="E410" s="11"/>
      <c r="F410" s="11"/>
      <c r="G410" s="11"/>
      <c r="H410" s="11"/>
      <c r="I410" s="11"/>
      <c r="J410" s="11"/>
      <c r="K410" s="11"/>
    </row>
    <row r="411" spans="1:11" x14ac:dyDescent="0.2">
      <c r="A411" s="13"/>
      <c r="B411" s="12"/>
      <c r="C411" s="11"/>
      <c r="D411" s="11"/>
      <c r="E411" s="11"/>
      <c r="F411" s="11"/>
      <c r="G411" s="11"/>
      <c r="H411" s="11"/>
      <c r="I411" s="11"/>
      <c r="J411" s="11"/>
      <c r="K411" s="11"/>
    </row>
    <row r="412" spans="1:11" x14ac:dyDescent="0.2">
      <c r="A412" s="13"/>
      <c r="B412" s="12"/>
      <c r="C412" s="11"/>
      <c r="D412" s="11"/>
      <c r="E412" s="11"/>
      <c r="F412" s="11"/>
      <c r="G412" s="11"/>
      <c r="H412" s="11"/>
      <c r="I412" s="11"/>
      <c r="J412" s="11"/>
      <c r="K412" s="11"/>
    </row>
    <row r="413" spans="1:11" x14ac:dyDescent="0.2">
      <c r="A413" s="13"/>
      <c r="B413" s="12"/>
      <c r="C413" s="11"/>
      <c r="D413" s="11"/>
      <c r="E413" s="11"/>
      <c r="F413" s="11"/>
      <c r="G413" s="11"/>
      <c r="H413" s="11"/>
      <c r="I413" s="11"/>
      <c r="J413" s="11"/>
      <c r="K413" s="11"/>
    </row>
    <row r="414" spans="1:11" x14ac:dyDescent="0.2">
      <c r="A414" s="13"/>
      <c r="B414" s="12"/>
      <c r="C414" s="11"/>
      <c r="D414" s="11"/>
      <c r="E414" s="11"/>
      <c r="F414" s="11"/>
      <c r="G414" s="11"/>
      <c r="H414" s="11"/>
      <c r="I414" s="11"/>
      <c r="J414" s="11"/>
      <c r="K414" s="11"/>
    </row>
    <row r="415" spans="1:11" x14ac:dyDescent="0.2">
      <c r="A415" s="13"/>
      <c r="B415" s="12"/>
      <c r="C415" s="11"/>
      <c r="D415" s="11"/>
      <c r="E415" s="11"/>
      <c r="F415" s="11"/>
      <c r="G415" s="11"/>
      <c r="H415" s="11"/>
      <c r="I415" s="11"/>
      <c r="J415" s="11"/>
      <c r="K415" s="11"/>
    </row>
    <row r="416" spans="1:11" x14ac:dyDescent="0.2">
      <c r="A416" s="13"/>
      <c r="B416" s="12"/>
      <c r="C416" s="11"/>
      <c r="D416" s="11"/>
      <c r="E416" s="11"/>
      <c r="F416" s="11"/>
      <c r="G416" s="11"/>
      <c r="H416" s="11"/>
      <c r="I416" s="11"/>
      <c r="J416" s="11"/>
      <c r="K416" s="11"/>
    </row>
    <row r="417" spans="1:11" x14ac:dyDescent="0.2">
      <c r="A417" s="13"/>
      <c r="B417" s="12"/>
      <c r="C417" s="11"/>
      <c r="D417" s="11"/>
      <c r="E417" s="11"/>
      <c r="F417" s="11"/>
      <c r="G417" s="11"/>
      <c r="H417" s="11"/>
      <c r="I417" s="11"/>
      <c r="J417" s="11"/>
      <c r="K417" s="11"/>
    </row>
    <row r="418" spans="1:11" x14ac:dyDescent="0.2">
      <c r="A418" s="13"/>
      <c r="B418" s="12"/>
      <c r="C418" s="11"/>
      <c r="D418" s="11"/>
      <c r="E418" s="11"/>
      <c r="F418" s="11"/>
      <c r="G418" s="11"/>
      <c r="H418" s="11"/>
      <c r="I418" s="11"/>
      <c r="J418" s="11"/>
      <c r="K418" s="11"/>
    </row>
    <row r="419" spans="1:11" x14ac:dyDescent="0.2">
      <c r="A419" s="13"/>
      <c r="B419" s="12"/>
      <c r="C419" s="11"/>
      <c r="D419" s="11"/>
      <c r="E419" s="11"/>
      <c r="F419" s="11"/>
      <c r="G419" s="11"/>
      <c r="H419" s="11"/>
      <c r="I419" s="11"/>
      <c r="J419" s="11"/>
      <c r="K419" s="11"/>
    </row>
    <row r="420" spans="1:11" x14ac:dyDescent="0.2">
      <c r="A420" s="13"/>
      <c r="B420" s="12"/>
      <c r="C420" s="11"/>
      <c r="D420" s="11"/>
      <c r="E420" s="11"/>
      <c r="F420" s="11"/>
      <c r="G420" s="11"/>
      <c r="H420" s="11"/>
      <c r="I420" s="11"/>
      <c r="J420" s="11"/>
      <c r="K420" s="11"/>
    </row>
    <row r="421" spans="1:11" x14ac:dyDescent="0.2">
      <c r="A421" s="13"/>
      <c r="B421" s="12"/>
      <c r="C421" s="11"/>
      <c r="D421" s="11"/>
      <c r="E421" s="11"/>
      <c r="F421" s="11"/>
      <c r="G421" s="11"/>
      <c r="H421" s="11"/>
      <c r="I421" s="11"/>
      <c r="J421" s="11"/>
      <c r="K421" s="11"/>
    </row>
    <row r="422" spans="1:11" x14ac:dyDescent="0.2">
      <c r="A422" s="13"/>
      <c r="B422" s="12"/>
      <c r="C422" s="11"/>
      <c r="D422" s="11"/>
      <c r="E422" s="11"/>
      <c r="F422" s="11"/>
      <c r="G422" s="11"/>
      <c r="H422" s="11"/>
      <c r="I422" s="11"/>
      <c r="J422" s="11"/>
      <c r="K422" s="11"/>
    </row>
    <row r="423" spans="1:11" x14ac:dyDescent="0.2">
      <c r="A423" s="13"/>
      <c r="B423" s="12"/>
      <c r="C423" s="11"/>
      <c r="D423" s="11"/>
      <c r="E423" s="11"/>
      <c r="F423" s="11"/>
      <c r="G423" s="11"/>
      <c r="H423" s="11"/>
      <c r="I423" s="11"/>
      <c r="J423" s="11"/>
      <c r="K423" s="11"/>
    </row>
    <row r="424" spans="1:11" x14ac:dyDescent="0.2">
      <c r="A424" s="13"/>
      <c r="B424" s="12"/>
      <c r="C424" s="11"/>
      <c r="D424" s="11"/>
      <c r="E424" s="11"/>
      <c r="F424" s="11"/>
      <c r="G424" s="11"/>
      <c r="H424" s="11"/>
      <c r="I424" s="11"/>
      <c r="J424" s="11"/>
      <c r="K424" s="11"/>
    </row>
    <row r="425" spans="1:11" x14ac:dyDescent="0.2">
      <c r="A425" s="13"/>
      <c r="B425" s="12"/>
      <c r="C425" s="11"/>
      <c r="D425" s="11"/>
      <c r="E425" s="11"/>
      <c r="F425" s="11"/>
      <c r="G425" s="11"/>
      <c r="H425" s="11"/>
      <c r="I425" s="11"/>
      <c r="J425" s="11"/>
      <c r="K425" s="11"/>
    </row>
    <row r="426" spans="1:11" x14ac:dyDescent="0.2">
      <c r="A426" s="13"/>
      <c r="B426" s="12"/>
      <c r="C426" s="11"/>
      <c r="D426" s="11"/>
      <c r="E426" s="11"/>
      <c r="F426" s="11"/>
      <c r="G426" s="11"/>
      <c r="H426" s="11"/>
      <c r="I426" s="11"/>
      <c r="J426" s="11"/>
      <c r="K426" s="11"/>
    </row>
    <row r="427" spans="1:11" x14ac:dyDescent="0.2">
      <c r="A427" s="13"/>
      <c r="B427" s="12"/>
      <c r="C427" s="11"/>
      <c r="D427" s="11"/>
      <c r="E427" s="11"/>
      <c r="F427" s="11"/>
      <c r="G427" s="11"/>
      <c r="H427" s="11"/>
      <c r="I427" s="11"/>
      <c r="J427" s="11"/>
      <c r="K427" s="11"/>
    </row>
    <row r="428" spans="1:11" x14ac:dyDescent="0.2">
      <c r="A428" s="13"/>
      <c r="B428" s="12"/>
      <c r="C428" s="11"/>
      <c r="D428" s="11"/>
      <c r="E428" s="11"/>
      <c r="F428" s="11"/>
      <c r="G428" s="11"/>
      <c r="H428" s="11"/>
      <c r="I428" s="11"/>
      <c r="J428" s="11"/>
      <c r="K428" s="11"/>
    </row>
    <row r="429" spans="1:11" x14ac:dyDescent="0.2">
      <c r="A429" s="13"/>
      <c r="B429" s="12"/>
      <c r="C429" s="11"/>
      <c r="D429" s="11"/>
      <c r="E429" s="11"/>
      <c r="F429" s="11"/>
      <c r="G429" s="11"/>
      <c r="H429" s="11"/>
      <c r="I429" s="11"/>
      <c r="J429" s="11"/>
      <c r="K429" s="11"/>
    </row>
    <row r="430" spans="1:11" x14ac:dyDescent="0.2">
      <c r="A430" s="13"/>
      <c r="B430" s="12"/>
      <c r="C430" s="11"/>
      <c r="D430" s="11"/>
      <c r="E430" s="11"/>
      <c r="F430" s="11"/>
      <c r="G430" s="11"/>
      <c r="H430" s="11"/>
      <c r="I430" s="11"/>
      <c r="J430" s="11"/>
      <c r="K430" s="11"/>
    </row>
    <row r="431" spans="1:11" x14ac:dyDescent="0.2">
      <c r="A431" s="13"/>
      <c r="B431" s="12"/>
      <c r="C431" s="11"/>
      <c r="D431" s="11"/>
      <c r="E431" s="11"/>
      <c r="F431" s="11"/>
      <c r="G431" s="11"/>
      <c r="H431" s="11"/>
      <c r="I431" s="11"/>
      <c r="J431" s="11"/>
      <c r="K431" s="11"/>
    </row>
    <row r="432" spans="1:11" x14ac:dyDescent="0.2">
      <c r="A432" s="13"/>
      <c r="B432" s="12"/>
      <c r="C432" s="11"/>
      <c r="D432" s="11"/>
      <c r="E432" s="11"/>
      <c r="F432" s="11"/>
      <c r="G432" s="11"/>
      <c r="H432" s="11"/>
      <c r="I432" s="11"/>
      <c r="J432" s="11"/>
      <c r="K432" s="11"/>
    </row>
    <row r="433" spans="1:11" x14ac:dyDescent="0.2">
      <c r="A433" s="13"/>
      <c r="B433" s="12"/>
      <c r="C433" s="11"/>
      <c r="D433" s="11"/>
      <c r="E433" s="11"/>
      <c r="F433" s="11"/>
      <c r="G433" s="11"/>
      <c r="H433" s="11"/>
      <c r="I433" s="11"/>
      <c r="J433" s="11"/>
      <c r="K433" s="11"/>
    </row>
    <row r="434" spans="1:11" x14ac:dyDescent="0.2">
      <c r="A434" s="13"/>
      <c r="B434" s="12"/>
      <c r="C434" s="11"/>
      <c r="D434" s="11"/>
      <c r="E434" s="11"/>
      <c r="F434" s="11"/>
      <c r="G434" s="11"/>
      <c r="H434" s="11"/>
      <c r="I434" s="11"/>
      <c r="J434" s="11"/>
      <c r="K434" s="11"/>
    </row>
    <row r="435" spans="1:11" x14ac:dyDescent="0.2">
      <c r="A435" s="13"/>
      <c r="B435" s="12"/>
      <c r="C435" s="11"/>
      <c r="D435" s="11"/>
      <c r="E435" s="11"/>
      <c r="F435" s="11"/>
      <c r="G435" s="11"/>
      <c r="H435" s="11"/>
      <c r="I435" s="11"/>
      <c r="J435" s="11"/>
      <c r="K435" s="11"/>
    </row>
    <row r="436" spans="1:11" x14ac:dyDescent="0.2">
      <c r="A436" s="13"/>
      <c r="B436" s="12"/>
      <c r="C436" s="11"/>
      <c r="D436" s="11"/>
      <c r="E436" s="11"/>
      <c r="F436" s="11"/>
      <c r="G436" s="11"/>
      <c r="H436" s="11"/>
      <c r="I436" s="11"/>
      <c r="J436" s="11"/>
      <c r="K436" s="11"/>
    </row>
    <row r="437" spans="1:11" x14ac:dyDescent="0.2">
      <c r="A437" s="13"/>
      <c r="B437" s="12"/>
      <c r="C437" s="11"/>
      <c r="D437" s="11"/>
      <c r="E437" s="11"/>
      <c r="F437" s="11"/>
      <c r="G437" s="11"/>
      <c r="H437" s="11"/>
      <c r="I437" s="11"/>
      <c r="J437" s="11"/>
      <c r="K437" s="11"/>
    </row>
    <row r="438" spans="1:11" x14ac:dyDescent="0.2">
      <c r="A438" s="13"/>
      <c r="B438" s="12"/>
      <c r="C438" s="11"/>
      <c r="D438" s="11"/>
      <c r="E438" s="11"/>
      <c r="F438" s="11"/>
      <c r="G438" s="11"/>
      <c r="H438" s="11"/>
      <c r="I438" s="11"/>
      <c r="J438" s="11"/>
      <c r="K438" s="11"/>
    </row>
    <row r="439" spans="1:11" x14ac:dyDescent="0.2">
      <c r="A439" s="13"/>
      <c r="B439" s="12"/>
      <c r="C439" s="11"/>
      <c r="D439" s="11"/>
      <c r="E439" s="11"/>
      <c r="F439" s="11"/>
      <c r="G439" s="11"/>
      <c r="H439" s="11"/>
      <c r="I439" s="11"/>
      <c r="J439" s="11"/>
      <c r="K439" s="11"/>
    </row>
    <row r="440" spans="1:11" x14ac:dyDescent="0.2">
      <c r="A440" s="13"/>
      <c r="B440" s="12"/>
      <c r="C440" s="11"/>
      <c r="D440" s="11"/>
      <c r="E440" s="11"/>
      <c r="F440" s="11"/>
      <c r="G440" s="11"/>
      <c r="H440" s="11"/>
      <c r="I440" s="11"/>
      <c r="J440" s="11"/>
      <c r="K440" s="11"/>
    </row>
    <row r="441" spans="1:11" x14ac:dyDescent="0.2">
      <c r="A441" s="13"/>
      <c r="B441" s="12"/>
      <c r="C441" s="11"/>
      <c r="D441" s="11"/>
      <c r="E441" s="11"/>
      <c r="F441" s="11"/>
      <c r="G441" s="11"/>
      <c r="H441" s="11"/>
      <c r="I441" s="11"/>
      <c r="J441" s="11"/>
      <c r="K441" s="11"/>
    </row>
    <row r="442" spans="1:11" x14ac:dyDescent="0.2">
      <c r="A442" s="13"/>
      <c r="B442" s="12"/>
      <c r="C442" s="11"/>
      <c r="D442" s="11"/>
      <c r="E442" s="11"/>
      <c r="F442" s="11"/>
      <c r="G442" s="11"/>
      <c r="H442" s="11"/>
      <c r="I442" s="11"/>
      <c r="J442" s="11"/>
      <c r="K442" s="11"/>
    </row>
    <row r="443" spans="1:11" x14ac:dyDescent="0.2">
      <c r="A443" s="13"/>
      <c r="B443" s="12"/>
      <c r="C443" s="11"/>
      <c r="D443" s="11"/>
      <c r="E443" s="11"/>
      <c r="F443" s="11"/>
      <c r="G443" s="11"/>
      <c r="H443" s="11"/>
      <c r="I443" s="11"/>
      <c r="J443" s="11"/>
      <c r="K443" s="11"/>
    </row>
    <row r="444" spans="1:11" x14ac:dyDescent="0.2">
      <c r="A444" s="13"/>
      <c r="B444" s="12"/>
      <c r="C444" s="11"/>
      <c r="D444" s="11"/>
      <c r="E444" s="11"/>
      <c r="F444" s="11"/>
      <c r="G444" s="11"/>
      <c r="H444" s="11"/>
      <c r="I444" s="11"/>
      <c r="J444" s="11"/>
      <c r="K444" s="11"/>
    </row>
    <row r="445" spans="1:11" x14ac:dyDescent="0.2">
      <c r="A445" s="13"/>
      <c r="B445" s="12"/>
      <c r="C445" s="11"/>
      <c r="D445" s="11"/>
      <c r="E445" s="11"/>
      <c r="F445" s="11"/>
      <c r="G445" s="11"/>
      <c r="H445" s="11"/>
      <c r="I445" s="11"/>
      <c r="J445" s="11"/>
      <c r="K445" s="11"/>
    </row>
    <row r="446" spans="1:11" x14ac:dyDescent="0.2">
      <c r="A446" s="13"/>
      <c r="B446" s="12"/>
      <c r="C446" s="11"/>
      <c r="D446" s="11"/>
      <c r="E446" s="11"/>
      <c r="F446" s="11"/>
      <c r="G446" s="11"/>
      <c r="H446" s="11"/>
      <c r="I446" s="11"/>
      <c r="J446" s="11"/>
      <c r="K446" s="11"/>
    </row>
    <row r="447" spans="1:11" x14ac:dyDescent="0.2">
      <c r="A447" s="13"/>
      <c r="B447" s="12"/>
      <c r="C447" s="11"/>
      <c r="D447" s="11"/>
      <c r="E447" s="11"/>
      <c r="F447" s="11"/>
      <c r="G447" s="11"/>
      <c r="H447" s="11"/>
      <c r="I447" s="11"/>
      <c r="J447" s="11"/>
      <c r="K447" s="11"/>
    </row>
    <row r="448" spans="1:11" x14ac:dyDescent="0.2">
      <c r="A448" s="13"/>
      <c r="B448" s="12"/>
      <c r="C448" s="11"/>
      <c r="D448" s="11"/>
      <c r="E448" s="11"/>
      <c r="F448" s="11"/>
      <c r="G448" s="11"/>
      <c r="H448" s="11"/>
      <c r="I448" s="11"/>
      <c r="J448" s="11"/>
      <c r="K448" s="11"/>
    </row>
    <row r="449" spans="1:11" x14ac:dyDescent="0.2">
      <c r="A449" s="13"/>
      <c r="B449" s="12"/>
      <c r="C449" s="11"/>
      <c r="D449" s="11"/>
      <c r="E449" s="11"/>
      <c r="F449" s="11"/>
      <c r="G449" s="11"/>
      <c r="H449" s="11"/>
      <c r="I449" s="11"/>
      <c r="J449" s="11"/>
      <c r="K449" s="11"/>
    </row>
    <row r="450" spans="1:11" x14ac:dyDescent="0.2">
      <c r="A450" s="13"/>
      <c r="B450" s="12"/>
      <c r="C450" s="11"/>
      <c r="D450" s="11"/>
      <c r="E450" s="11"/>
      <c r="F450" s="11"/>
      <c r="G450" s="11"/>
      <c r="H450" s="11"/>
      <c r="I450" s="11"/>
      <c r="J450" s="11"/>
      <c r="K450" s="11"/>
    </row>
    <row r="451" spans="1:11" x14ac:dyDescent="0.2">
      <c r="A451" s="13"/>
      <c r="B451" s="12"/>
      <c r="C451" s="11"/>
      <c r="D451" s="11"/>
      <c r="E451" s="11"/>
      <c r="F451" s="11"/>
      <c r="G451" s="11"/>
      <c r="H451" s="11"/>
      <c r="I451" s="11"/>
      <c r="J451" s="11"/>
      <c r="K451" s="11"/>
    </row>
    <row r="452" spans="1:11" x14ac:dyDescent="0.2">
      <c r="A452" s="13"/>
      <c r="B452" s="12"/>
      <c r="C452" s="11"/>
      <c r="D452" s="11"/>
      <c r="E452" s="11"/>
      <c r="F452" s="11"/>
      <c r="G452" s="11"/>
      <c r="H452" s="11"/>
      <c r="I452" s="11"/>
      <c r="J452" s="11"/>
      <c r="K452" s="11"/>
    </row>
    <row r="453" spans="1:11" x14ac:dyDescent="0.2">
      <c r="A453" s="13"/>
      <c r="B453" s="12"/>
      <c r="C453" s="11"/>
      <c r="D453" s="11"/>
      <c r="E453" s="11"/>
      <c r="F453" s="11"/>
      <c r="G453" s="11"/>
      <c r="H453" s="11"/>
      <c r="I453" s="11"/>
      <c r="J453" s="11"/>
      <c r="K453" s="11"/>
    </row>
    <row r="454" spans="1:11" x14ac:dyDescent="0.2">
      <c r="A454" s="13"/>
      <c r="B454" s="12"/>
      <c r="C454" s="11"/>
      <c r="D454" s="11"/>
      <c r="E454" s="11"/>
      <c r="F454" s="11"/>
      <c r="G454" s="11"/>
      <c r="H454" s="11"/>
      <c r="I454" s="11"/>
      <c r="J454" s="11"/>
      <c r="K454" s="11"/>
    </row>
    <row r="455" spans="1:11" x14ac:dyDescent="0.2">
      <c r="A455" s="13"/>
      <c r="B455" s="12"/>
      <c r="C455" s="11"/>
      <c r="D455" s="11"/>
      <c r="E455" s="11"/>
      <c r="F455" s="11"/>
      <c r="G455" s="11"/>
      <c r="H455" s="11"/>
      <c r="I455" s="11"/>
      <c r="J455" s="11"/>
      <c r="K455" s="11"/>
    </row>
    <row r="456" spans="1:11" x14ac:dyDescent="0.2">
      <c r="A456" s="13"/>
      <c r="B456" s="12"/>
      <c r="C456" s="11"/>
      <c r="D456" s="11"/>
      <c r="E456" s="11"/>
      <c r="F456" s="11"/>
      <c r="G456" s="11"/>
      <c r="H456" s="11"/>
      <c r="I456" s="11"/>
      <c r="J456" s="11"/>
      <c r="K456" s="11"/>
    </row>
    <row r="457" spans="1:11" x14ac:dyDescent="0.2">
      <c r="A457" s="13"/>
      <c r="B457" s="12"/>
      <c r="C457" s="11"/>
      <c r="D457" s="11"/>
      <c r="E457" s="11"/>
      <c r="F457" s="11"/>
      <c r="G457" s="11"/>
      <c r="H457" s="11"/>
      <c r="I457" s="11"/>
      <c r="J457" s="11"/>
      <c r="K457" s="11"/>
    </row>
    <row r="458" spans="1:11" x14ac:dyDescent="0.2">
      <c r="A458" s="13"/>
      <c r="B458" s="12"/>
      <c r="C458" s="11"/>
      <c r="D458" s="11"/>
      <c r="E458" s="11"/>
      <c r="F458" s="11"/>
      <c r="G458" s="11"/>
      <c r="H458" s="11"/>
      <c r="I458" s="11"/>
      <c r="J458" s="11"/>
      <c r="K458" s="11"/>
    </row>
    <row r="459" spans="1:11" x14ac:dyDescent="0.2">
      <c r="A459" s="13"/>
      <c r="B459" s="12"/>
      <c r="C459" s="11"/>
      <c r="D459" s="11"/>
      <c r="E459" s="11"/>
      <c r="F459" s="11"/>
      <c r="G459" s="11"/>
      <c r="H459" s="11"/>
      <c r="I459" s="11"/>
      <c r="J459" s="11"/>
      <c r="K459" s="11"/>
    </row>
    <row r="460" spans="1:11" x14ac:dyDescent="0.2">
      <c r="A460" s="13"/>
      <c r="B460" s="12"/>
      <c r="C460" s="11"/>
      <c r="D460" s="11"/>
      <c r="E460" s="11"/>
      <c r="F460" s="11"/>
      <c r="G460" s="11"/>
      <c r="H460" s="11"/>
      <c r="I460" s="11"/>
      <c r="J460" s="11"/>
      <c r="K460" s="11"/>
    </row>
    <row r="461" spans="1:11" x14ac:dyDescent="0.2">
      <c r="A461" s="13"/>
      <c r="B461" s="12"/>
      <c r="C461" s="11"/>
      <c r="D461" s="11"/>
      <c r="E461" s="11"/>
      <c r="F461" s="11"/>
      <c r="G461" s="11"/>
      <c r="H461" s="11"/>
      <c r="I461" s="11"/>
      <c r="J461" s="11"/>
      <c r="K461" s="11"/>
    </row>
    <row r="462" spans="1:11" x14ac:dyDescent="0.2">
      <c r="A462" s="13"/>
      <c r="B462" s="12"/>
      <c r="C462" s="11"/>
      <c r="D462" s="11"/>
      <c r="E462" s="11"/>
      <c r="F462" s="11"/>
      <c r="G462" s="11"/>
      <c r="H462" s="11"/>
      <c r="I462" s="11"/>
      <c r="J462" s="11"/>
      <c r="K462" s="11"/>
    </row>
    <row r="463" spans="1:11" x14ac:dyDescent="0.2">
      <c r="A463" s="13"/>
      <c r="B463" s="12"/>
      <c r="C463" s="11"/>
      <c r="D463" s="11"/>
      <c r="E463" s="11"/>
      <c r="F463" s="11"/>
      <c r="G463" s="11"/>
      <c r="H463" s="11"/>
      <c r="I463" s="11"/>
      <c r="J463" s="11"/>
      <c r="K463" s="11"/>
    </row>
    <row r="464" spans="1:11" x14ac:dyDescent="0.2">
      <c r="A464" s="13"/>
      <c r="B464" s="12"/>
      <c r="C464" s="11"/>
      <c r="D464" s="11"/>
      <c r="E464" s="11"/>
      <c r="F464" s="11"/>
      <c r="G464" s="11"/>
      <c r="H464" s="11"/>
      <c r="I464" s="11"/>
      <c r="J464" s="11"/>
      <c r="K464" s="11"/>
    </row>
    <row r="465" spans="1:11" x14ac:dyDescent="0.2">
      <c r="A465" s="13"/>
      <c r="B465" s="12"/>
      <c r="C465" s="11"/>
      <c r="D465" s="11"/>
      <c r="E465" s="11"/>
      <c r="F465" s="11"/>
      <c r="G465" s="11"/>
      <c r="H465" s="11"/>
      <c r="I465" s="11"/>
      <c r="J465" s="11"/>
      <c r="K465" s="11"/>
    </row>
    <row r="466" spans="1:11" x14ac:dyDescent="0.2">
      <c r="A466" s="13"/>
      <c r="B466" s="12"/>
      <c r="C466" s="11"/>
      <c r="D466" s="11"/>
      <c r="E466" s="11"/>
      <c r="F466" s="11"/>
      <c r="G466" s="11"/>
      <c r="H466" s="11"/>
      <c r="I466" s="11"/>
      <c r="J466" s="11"/>
      <c r="K466" s="11"/>
    </row>
    <row r="467" spans="1:11" x14ac:dyDescent="0.2">
      <c r="A467" s="13"/>
      <c r="B467" s="12"/>
      <c r="C467" s="11"/>
      <c r="D467" s="11"/>
      <c r="E467" s="11"/>
      <c r="F467" s="11"/>
      <c r="G467" s="11"/>
      <c r="H467" s="11"/>
      <c r="I467" s="11"/>
      <c r="J467" s="11"/>
      <c r="K467" s="11"/>
    </row>
    <row r="468" spans="1:11" x14ac:dyDescent="0.2">
      <c r="A468" s="13"/>
      <c r="B468" s="12"/>
      <c r="C468" s="11"/>
      <c r="D468" s="11"/>
      <c r="E468" s="11"/>
      <c r="F468" s="11"/>
      <c r="G468" s="11"/>
      <c r="H468" s="11"/>
      <c r="I468" s="11"/>
      <c r="J468" s="11"/>
      <c r="K468" s="11"/>
    </row>
    <row r="469" spans="1:11" x14ac:dyDescent="0.2">
      <c r="A469" s="13"/>
      <c r="B469" s="12"/>
      <c r="C469" s="11"/>
      <c r="D469" s="11"/>
      <c r="E469" s="11"/>
      <c r="F469" s="11"/>
      <c r="G469" s="11"/>
      <c r="H469" s="11"/>
      <c r="I469" s="11"/>
      <c r="J469" s="11"/>
      <c r="K469" s="11"/>
    </row>
    <row r="470" spans="1:11" x14ac:dyDescent="0.2">
      <c r="A470" s="13"/>
      <c r="B470" s="12"/>
      <c r="C470" s="11"/>
      <c r="D470" s="11"/>
      <c r="E470" s="11"/>
      <c r="F470" s="11"/>
      <c r="G470" s="11"/>
      <c r="H470" s="11"/>
      <c r="I470" s="11"/>
      <c r="J470" s="11"/>
      <c r="K470" s="11"/>
    </row>
    <row r="471" spans="1:11" x14ac:dyDescent="0.2">
      <c r="A471" s="13"/>
      <c r="B471" s="12"/>
      <c r="C471" s="11"/>
      <c r="D471" s="11"/>
      <c r="E471" s="11"/>
      <c r="F471" s="11"/>
      <c r="G471" s="11"/>
      <c r="H471" s="11"/>
      <c r="I471" s="11"/>
      <c r="J471" s="11"/>
      <c r="K471" s="11"/>
    </row>
    <row r="472" spans="1:11" x14ac:dyDescent="0.2">
      <c r="A472" s="13"/>
      <c r="B472" s="12"/>
      <c r="C472" s="11"/>
      <c r="D472" s="11"/>
      <c r="E472" s="11"/>
      <c r="F472" s="11"/>
      <c r="G472" s="11"/>
      <c r="H472" s="11"/>
      <c r="I472" s="11"/>
      <c r="J472" s="11"/>
      <c r="K472" s="11"/>
    </row>
    <row r="473" spans="1:11" x14ac:dyDescent="0.2">
      <c r="A473" s="13"/>
      <c r="B473" s="12"/>
      <c r="C473" s="11"/>
      <c r="D473" s="11"/>
      <c r="E473" s="11"/>
      <c r="F473" s="11"/>
      <c r="G473" s="11"/>
      <c r="H473" s="11"/>
      <c r="I473" s="11"/>
      <c r="J473" s="11"/>
      <c r="K473" s="11"/>
    </row>
    <row r="474" spans="1:11" x14ac:dyDescent="0.2">
      <c r="A474" s="13"/>
      <c r="B474" s="12"/>
      <c r="C474" s="11"/>
      <c r="D474" s="11"/>
      <c r="E474" s="11"/>
      <c r="F474" s="11"/>
      <c r="G474" s="11"/>
      <c r="H474" s="11"/>
      <c r="I474" s="11"/>
      <c r="J474" s="11"/>
      <c r="K474" s="11"/>
    </row>
    <row r="475" spans="1:11" x14ac:dyDescent="0.2">
      <c r="A475" s="13"/>
      <c r="B475" s="12"/>
      <c r="C475" s="11"/>
      <c r="D475" s="11"/>
      <c r="E475" s="11"/>
      <c r="F475" s="11"/>
      <c r="G475" s="11"/>
      <c r="H475" s="11"/>
      <c r="I475" s="11"/>
      <c r="J475" s="11"/>
      <c r="K475" s="11"/>
    </row>
    <row r="476" spans="1:11" x14ac:dyDescent="0.2">
      <c r="A476" s="13"/>
      <c r="B476" s="12"/>
      <c r="C476" s="11"/>
      <c r="D476" s="11"/>
      <c r="E476" s="11"/>
      <c r="F476" s="11"/>
      <c r="G476" s="11"/>
      <c r="H476" s="11"/>
      <c r="I476" s="11"/>
      <c r="J476" s="11"/>
      <c r="K476" s="11"/>
    </row>
    <row r="477" spans="1:11" x14ac:dyDescent="0.2">
      <c r="A477" s="13"/>
      <c r="B477" s="12"/>
      <c r="C477" s="11"/>
      <c r="D477" s="11"/>
      <c r="E477" s="11"/>
      <c r="F477" s="11"/>
      <c r="G477" s="11"/>
      <c r="H477" s="11"/>
      <c r="I477" s="11"/>
      <c r="J477" s="11"/>
      <c r="K477" s="11"/>
    </row>
    <row r="478" spans="1:11" x14ac:dyDescent="0.2">
      <c r="A478" s="13"/>
      <c r="B478" s="12"/>
      <c r="C478" s="11"/>
      <c r="D478" s="11"/>
      <c r="E478" s="11"/>
      <c r="F478" s="11"/>
      <c r="G478" s="11"/>
      <c r="H478" s="11"/>
      <c r="I478" s="11"/>
      <c r="J478" s="11"/>
      <c r="K478" s="11"/>
    </row>
    <row r="479" spans="1:11" x14ac:dyDescent="0.2">
      <c r="A479" s="13"/>
      <c r="B479" s="12"/>
      <c r="C479" s="11"/>
      <c r="D479" s="11"/>
      <c r="E479" s="11"/>
      <c r="F479" s="11"/>
      <c r="G479" s="11"/>
      <c r="H479" s="11"/>
      <c r="I479" s="11"/>
      <c r="J479" s="11"/>
      <c r="K479" s="11"/>
    </row>
    <row r="480" spans="1:11" x14ac:dyDescent="0.2">
      <c r="A480" s="13"/>
      <c r="B480" s="12"/>
      <c r="C480" s="11"/>
      <c r="D480" s="11"/>
      <c r="E480" s="11"/>
      <c r="F480" s="11"/>
      <c r="G480" s="11"/>
      <c r="H480" s="11"/>
      <c r="I480" s="11"/>
      <c r="J480" s="11"/>
      <c r="K480" s="11"/>
    </row>
    <row r="481" spans="1:11" x14ac:dyDescent="0.2">
      <c r="A481" s="13"/>
      <c r="B481" s="12"/>
      <c r="C481" s="11"/>
      <c r="D481" s="11"/>
      <c r="E481" s="11"/>
      <c r="F481" s="11"/>
      <c r="G481" s="11"/>
      <c r="H481" s="11"/>
      <c r="I481" s="11"/>
      <c r="J481" s="11"/>
      <c r="K481" s="11"/>
    </row>
    <row r="482" spans="1:11" x14ac:dyDescent="0.2">
      <c r="A482" s="13"/>
      <c r="B482" s="12"/>
      <c r="C482" s="11"/>
      <c r="D482" s="11"/>
      <c r="E482" s="11"/>
      <c r="F482" s="11"/>
      <c r="G482" s="11"/>
      <c r="H482" s="11"/>
      <c r="I482" s="11"/>
      <c r="J482" s="11"/>
      <c r="K482" s="11"/>
    </row>
    <row r="483" spans="1:11" x14ac:dyDescent="0.2">
      <c r="A483" s="13"/>
      <c r="B483" s="12"/>
      <c r="C483" s="11"/>
      <c r="D483" s="11"/>
      <c r="E483" s="11"/>
      <c r="F483" s="11"/>
      <c r="G483" s="11"/>
      <c r="H483" s="11"/>
      <c r="I483" s="11"/>
      <c r="J483" s="11"/>
      <c r="K483" s="11"/>
    </row>
    <row r="484" spans="1:11" x14ac:dyDescent="0.2">
      <c r="A484" s="13"/>
      <c r="B484" s="12"/>
      <c r="C484" s="11"/>
      <c r="D484" s="11"/>
      <c r="E484" s="11"/>
      <c r="F484" s="11"/>
      <c r="G484" s="11"/>
      <c r="H484" s="11"/>
      <c r="I484" s="11"/>
      <c r="J484" s="11"/>
      <c r="K484" s="11"/>
    </row>
    <row r="485" spans="1:11" x14ac:dyDescent="0.2">
      <c r="A485" s="13"/>
      <c r="B485" s="12"/>
      <c r="C485" s="11"/>
      <c r="D485" s="11"/>
      <c r="E485" s="11"/>
      <c r="F485" s="11"/>
      <c r="G485" s="11"/>
      <c r="H485" s="11"/>
      <c r="I485" s="11"/>
      <c r="J485" s="11"/>
      <c r="K485" s="11"/>
    </row>
    <row r="486" spans="1:11" x14ac:dyDescent="0.2">
      <c r="A486" s="13"/>
      <c r="B486" s="12"/>
      <c r="C486" s="11"/>
      <c r="D486" s="11"/>
      <c r="E486" s="11"/>
      <c r="F486" s="11"/>
      <c r="G486" s="11"/>
      <c r="H486" s="11"/>
      <c r="I486" s="11"/>
      <c r="J486" s="11"/>
      <c r="K486" s="11"/>
    </row>
    <row r="487" spans="1:11" x14ac:dyDescent="0.2">
      <c r="A487" s="13"/>
      <c r="B487" s="12"/>
      <c r="C487" s="11"/>
      <c r="D487" s="11"/>
      <c r="E487" s="11"/>
      <c r="F487" s="11"/>
      <c r="G487" s="11"/>
      <c r="H487" s="11"/>
      <c r="I487" s="11"/>
      <c r="J487" s="11"/>
      <c r="K487" s="11"/>
    </row>
    <row r="488" spans="1:11" x14ac:dyDescent="0.2">
      <c r="A488" s="13"/>
      <c r="B488" s="12"/>
      <c r="C488" s="11"/>
      <c r="D488" s="11"/>
      <c r="E488" s="11"/>
      <c r="F488" s="11"/>
      <c r="G488" s="11"/>
      <c r="H488" s="11"/>
      <c r="I488" s="11"/>
      <c r="J488" s="11"/>
      <c r="K488" s="11"/>
    </row>
    <row r="489" spans="1:11" x14ac:dyDescent="0.2">
      <c r="A489" s="13"/>
      <c r="B489" s="12"/>
      <c r="C489" s="11"/>
      <c r="D489" s="11"/>
      <c r="E489" s="11"/>
      <c r="F489" s="11"/>
      <c r="G489" s="11"/>
      <c r="H489" s="11"/>
      <c r="I489" s="11"/>
      <c r="J489" s="11"/>
      <c r="K489" s="11"/>
    </row>
    <row r="490" spans="1:11" x14ac:dyDescent="0.2">
      <c r="A490" s="13"/>
      <c r="B490" s="12"/>
      <c r="C490" s="11"/>
      <c r="D490" s="11"/>
      <c r="E490" s="11"/>
      <c r="F490" s="11"/>
      <c r="G490" s="11"/>
      <c r="H490" s="11"/>
      <c r="I490" s="11"/>
      <c r="J490" s="11"/>
      <c r="K490" s="11"/>
    </row>
    <row r="491" spans="1:11" x14ac:dyDescent="0.2">
      <c r="A491" s="13"/>
      <c r="B491" s="12"/>
      <c r="C491" s="11"/>
      <c r="D491" s="11"/>
      <c r="E491" s="11"/>
      <c r="F491" s="11"/>
      <c r="G491" s="11"/>
      <c r="H491" s="11"/>
      <c r="I491" s="11"/>
      <c r="J491" s="11"/>
      <c r="K491" s="11"/>
    </row>
    <row r="492" spans="1:11" x14ac:dyDescent="0.2">
      <c r="A492" s="13"/>
      <c r="B492" s="12"/>
      <c r="C492" s="11"/>
      <c r="D492" s="11"/>
      <c r="E492" s="11"/>
      <c r="F492" s="11"/>
      <c r="G492" s="11"/>
      <c r="H492" s="11"/>
      <c r="I492" s="11"/>
      <c r="J492" s="11"/>
      <c r="K492" s="11"/>
    </row>
    <row r="493" spans="1:11" x14ac:dyDescent="0.2">
      <c r="A493" s="13"/>
      <c r="B493" s="12"/>
      <c r="C493" s="11"/>
      <c r="D493" s="11"/>
      <c r="E493" s="11"/>
      <c r="F493" s="11"/>
      <c r="G493" s="11"/>
      <c r="H493" s="11"/>
      <c r="I493" s="11"/>
      <c r="J493" s="11"/>
      <c r="K493" s="11"/>
    </row>
    <row r="494" spans="1:11" x14ac:dyDescent="0.2">
      <c r="A494" s="13"/>
      <c r="B494" s="12"/>
      <c r="C494" s="11"/>
      <c r="D494" s="11"/>
      <c r="E494" s="11"/>
      <c r="F494" s="11"/>
      <c r="G494" s="11"/>
      <c r="H494" s="11"/>
      <c r="I494" s="11"/>
      <c r="J494" s="11"/>
      <c r="K494" s="11"/>
    </row>
    <row r="495" spans="1:11" x14ac:dyDescent="0.2">
      <c r="A495" s="13"/>
      <c r="B495" s="12"/>
      <c r="C495" s="11"/>
      <c r="D495" s="11"/>
      <c r="E495" s="11"/>
      <c r="F495" s="11"/>
      <c r="G495" s="11"/>
      <c r="H495" s="11"/>
      <c r="I495" s="11"/>
      <c r="J495" s="11"/>
      <c r="K495" s="11"/>
    </row>
    <row r="496" spans="1:11" x14ac:dyDescent="0.2">
      <c r="A496" s="13"/>
      <c r="B496" s="12"/>
      <c r="C496" s="11"/>
      <c r="D496" s="11"/>
      <c r="E496" s="11"/>
      <c r="F496" s="11"/>
      <c r="G496" s="11"/>
      <c r="H496" s="11"/>
      <c r="I496" s="11"/>
      <c r="J496" s="11"/>
      <c r="K496" s="11"/>
    </row>
    <row r="497" spans="1:11" x14ac:dyDescent="0.2">
      <c r="A497" s="13"/>
      <c r="B497" s="12"/>
      <c r="C497" s="11"/>
      <c r="D497" s="11"/>
      <c r="E497" s="11"/>
      <c r="F497" s="11"/>
      <c r="G497" s="11"/>
      <c r="H497" s="11"/>
      <c r="I497" s="11"/>
      <c r="J497" s="11"/>
      <c r="K497" s="11"/>
    </row>
    <row r="498" spans="1:11" x14ac:dyDescent="0.2">
      <c r="A498" s="13"/>
      <c r="B498" s="12"/>
      <c r="C498" s="11"/>
      <c r="D498" s="11"/>
      <c r="E498" s="11"/>
      <c r="F498" s="11"/>
      <c r="G498" s="11"/>
      <c r="H498" s="11"/>
      <c r="I498" s="11"/>
      <c r="J498" s="11"/>
      <c r="K498" s="11"/>
    </row>
    <row r="499" spans="1:11" x14ac:dyDescent="0.2">
      <c r="A499" s="13"/>
      <c r="B499" s="12"/>
      <c r="C499" s="11"/>
      <c r="D499" s="11"/>
      <c r="E499" s="11"/>
      <c r="F499" s="11"/>
      <c r="G499" s="11"/>
      <c r="H499" s="11"/>
      <c r="I499" s="11"/>
      <c r="J499" s="11"/>
      <c r="K499" s="11"/>
    </row>
    <row r="500" spans="1:11" x14ac:dyDescent="0.2">
      <c r="A500" s="13"/>
      <c r="B500" s="12"/>
      <c r="C500" s="11"/>
      <c r="D500" s="11"/>
      <c r="E500" s="11"/>
      <c r="F500" s="11"/>
      <c r="G500" s="11"/>
      <c r="H500" s="11"/>
      <c r="I500" s="11"/>
      <c r="J500" s="11"/>
      <c r="K500" s="11"/>
    </row>
    <row r="501" spans="1:11" x14ac:dyDescent="0.2">
      <c r="A501" s="13"/>
      <c r="B501" s="12"/>
      <c r="C501" s="11"/>
      <c r="D501" s="11"/>
      <c r="E501" s="11"/>
      <c r="F501" s="11"/>
      <c r="G501" s="11"/>
      <c r="H501" s="11"/>
      <c r="I501" s="11"/>
      <c r="J501" s="11"/>
      <c r="K501" s="11"/>
    </row>
    <row r="502" spans="1:11" x14ac:dyDescent="0.2">
      <c r="A502" s="13"/>
      <c r="B502" s="12"/>
      <c r="C502" s="11"/>
      <c r="D502" s="11"/>
      <c r="E502" s="11"/>
      <c r="F502" s="11"/>
      <c r="G502" s="11"/>
      <c r="H502" s="11"/>
      <c r="I502" s="11"/>
      <c r="J502" s="11"/>
      <c r="K502" s="11"/>
    </row>
    <row r="503" spans="1:11" x14ac:dyDescent="0.2">
      <c r="A503" s="13"/>
      <c r="B503" s="12"/>
      <c r="C503" s="11"/>
      <c r="D503" s="11"/>
      <c r="E503" s="11"/>
      <c r="F503" s="11"/>
      <c r="G503" s="11"/>
      <c r="H503" s="11"/>
      <c r="I503" s="11"/>
      <c r="J503" s="11"/>
      <c r="K503" s="11"/>
    </row>
    <row r="504" spans="1:11" x14ac:dyDescent="0.2">
      <c r="A504" s="13"/>
      <c r="B504" s="12"/>
      <c r="C504" s="11"/>
      <c r="D504" s="11"/>
      <c r="E504" s="11"/>
      <c r="F504" s="11"/>
      <c r="G504" s="11"/>
      <c r="H504" s="11"/>
      <c r="I504" s="11"/>
      <c r="J504" s="11"/>
      <c r="K504" s="11"/>
    </row>
    <row r="505" spans="1:11" x14ac:dyDescent="0.2">
      <c r="A505" s="13"/>
      <c r="B505" s="12"/>
      <c r="C505" s="11"/>
      <c r="D505" s="11"/>
      <c r="E505" s="11"/>
      <c r="F505" s="11"/>
      <c r="G505" s="11"/>
      <c r="H505" s="11"/>
      <c r="I505" s="11"/>
      <c r="J505" s="11"/>
      <c r="K505" s="11"/>
    </row>
    <row r="506" spans="1:11" x14ac:dyDescent="0.2">
      <c r="A506" s="13"/>
      <c r="B506" s="12"/>
      <c r="C506" s="11"/>
      <c r="D506" s="11"/>
      <c r="E506" s="11"/>
      <c r="F506" s="11"/>
      <c r="G506" s="11"/>
      <c r="H506" s="11"/>
      <c r="I506" s="11"/>
      <c r="J506" s="11"/>
      <c r="K506" s="11"/>
    </row>
    <row r="507" spans="1:11" x14ac:dyDescent="0.2">
      <c r="A507" s="13"/>
      <c r="B507" s="12"/>
      <c r="C507" s="11"/>
      <c r="D507" s="11"/>
      <c r="E507" s="11"/>
      <c r="F507" s="11"/>
      <c r="G507" s="11"/>
      <c r="H507" s="11"/>
      <c r="I507" s="11"/>
      <c r="J507" s="11"/>
      <c r="K507" s="11"/>
    </row>
    <row r="508" spans="1:11" x14ac:dyDescent="0.2">
      <c r="A508" s="13"/>
      <c r="B508" s="12"/>
      <c r="C508" s="11"/>
      <c r="D508" s="11"/>
      <c r="E508" s="11"/>
      <c r="F508" s="11"/>
      <c r="G508" s="11"/>
      <c r="H508" s="11"/>
      <c r="I508" s="11"/>
      <c r="J508" s="11"/>
      <c r="K508" s="11"/>
    </row>
    <row r="509" spans="1:11" x14ac:dyDescent="0.2">
      <c r="A509" s="13"/>
      <c r="B509" s="12"/>
      <c r="C509" s="11"/>
      <c r="D509" s="11"/>
      <c r="E509" s="11"/>
      <c r="F509" s="11"/>
      <c r="G509" s="11"/>
      <c r="H509" s="11"/>
      <c r="I509" s="11"/>
      <c r="J509" s="11"/>
      <c r="K509" s="11"/>
    </row>
    <row r="510" spans="1:11" x14ac:dyDescent="0.2">
      <c r="A510" s="13"/>
      <c r="B510" s="12"/>
      <c r="C510" s="11"/>
      <c r="D510" s="11"/>
      <c r="E510" s="11"/>
      <c r="F510" s="11"/>
      <c r="G510" s="11"/>
      <c r="H510" s="11"/>
      <c r="I510" s="11"/>
      <c r="J510" s="11"/>
      <c r="K510" s="11"/>
    </row>
    <row r="511" spans="1:11" x14ac:dyDescent="0.2">
      <c r="A511" s="13"/>
      <c r="B511" s="12"/>
      <c r="C511" s="11"/>
      <c r="D511" s="11"/>
      <c r="E511" s="11"/>
      <c r="F511" s="11"/>
      <c r="G511" s="11"/>
      <c r="H511" s="11"/>
      <c r="I511" s="11"/>
      <c r="J511" s="11"/>
      <c r="K511" s="11"/>
    </row>
    <row r="512" spans="1:11" x14ac:dyDescent="0.2">
      <c r="A512" s="13"/>
      <c r="B512" s="12"/>
      <c r="C512" s="11"/>
      <c r="D512" s="11"/>
      <c r="E512" s="11"/>
      <c r="F512" s="11"/>
      <c r="G512" s="11"/>
      <c r="H512" s="11"/>
      <c r="I512" s="11"/>
      <c r="J512" s="11"/>
      <c r="K512" s="11"/>
    </row>
    <row r="513" spans="1:11" x14ac:dyDescent="0.2">
      <c r="A513" s="13"/>
      <c r="B513" s="12"/>
      <c r="C513" s="11"/>
      <c r="D513" s="11"/>
      <c r="E513" s="11"/>
      <c r="F513" s="11"/>
      <c r="G513" s="11"/>
      <c r="H513" s="11"/>
      <c r="I513" s="11"/>
      <c r="J513" s="11"/>
      <c r="K513" s="11"/>
    </row>
    <row r="514" spans="1:11" x14ac:dyDescent="0.2">
      <c r="A514" s="13"/>
      <c r="B514" s="12"/>
      <c r="C514" s="11"/>
      <c r="D514" s="11"/>
      <c r="E514" s="11"/>
      <c r="F514" s="11"/>
      <c r="G514" s="11"/>
      <c r="H514" s="11"/>
      <c r="I514" s="11"/>
      <c r="J514" s="11"/>
      <c r="K514" s="11"/>
    </row>
    <row r="515" spans="1:11" x14ac:dyDescent="0.2">
      <c r="A515" s="13"/>
      <c r="B515" s="12"/>
      <c r="C515" s="11"/>
      <c r="D515" s="11"/>
      <c r="E515" s="11"/>
      <c r="F515" s="11"/>
      <c r="G515" s="11"/>
      <c r="H515" s="11"/>
      <c r="I515" s="11"/>
      <c r="J515" s="11"/>
      <c r="K515" s="11"/>
    </row>
    <row r="516" spans="1:11" x14ac:dyDescent="0.2">
      <c r="A516" s="13"/>
      <c r="B516" s="12"/>
      <c r="C516" s="11"/>
      <c r="D516" s="11"/>
      <c r="E516" s="11"/>
      <c r="F516" s="11"/>
      <c r="G516" s="11"/>
      <c r="H516" s="11"/>
      <c r="I516" s="11"/>
      <c r="J516" s="11"/>
      <c r="K516" s="11"/>
    </row>
    <row r="517" spans="1:11" x14ac:dyDescent="0.2">
      <c r="A517" s="13"/>
      <c r="B517" s="12"/>
      <c r="C517" s="11"/>
      <c r="D517" s="11"/>
      <c r="E517" s="11"/>
      <c r="F517" s="11"/>
      <c r="G517" s="11"/>
      <c r="H517" s="11"/>
      <c r="I517" s="11"/>
      <c r="J517" s="11"/>
      <c r="K517" s="11"/>
    </row>
    <row r="518" spans="1:11" x14ac:dyDescent="0.2">
      <c r="A518" s="13"/>
      <c r="B518" s="12"/>
      <c r="C518" s="11"/>
      <c r="D518" s="11"/>
      <c r="E518" s="11"/>
      <c r="F518" s="11"/>
      <c r="G518" s="11"/>
      <c r="H518" s="11"/>
      <c r="I518" s="11"/>
      <c r="J518" s="11"/>
      <c r="K518" s="11"/>
    </row>
    <row r="519" spans="1:11" x14ac:dyDescent="0.2">
      <c r="A519" s="13"/>
      <c r="B519" s="12"/>
      <c r="C519" s="11"/>
      <c r="D519" s="11"/>
      <c r="E519" s="11"/>
      <c r="F519" s="11"/>
      <c r="G519" s="11"/>
      <c r="H519" s="11"/>
      <c r="I519" s="11"/>
      <c r="J519" s="11"/>
      <c r="K519" s="11"/>
    </row>
    <row r="520" spans="1:11" x14ac:dyDescent="0.2">
      <c r="A520" s="13"/>
      <c r="B520" s="12"/>
      <c r="C520" s="11"/>
      <c r="D520" s="11"/>
      <c r="E520" s="11"/>
      <c r="F520" s="11"/>
      <c r="G520" s="11"/>
      <c r="H520" s="11"/>
      <c r="I520" s="11"/>
      <c r="J520" s="11"/>
      <c r="K520" s="11"/>
    </row>
    <row r="521" spans="1:11" x14ac:dyDescent="0.2">
      <c r="A521" s="13"/>
      <c r="B521" s="12"/>
      <c r="C521" s="11"/>
      <c r="D521" s="11"/>
      <c r="E521" s="11"/>
      <c r="F521" s="11"/>
      <c r="G521" s="11"/>
      <c r="H521" s="11"/>
      <c r="I521" s="11"/>
      <c r="J521" s="11"/>
      <c r="K521" s="11"/>
    </row>
    <row r="522" spans="1:11" x14ac:dyDescent="0.2">
      <c r="A522" s="13"/>
      <c r="B522" s="12"/>
      <c r="C522" s="11"/>
      <c r="D522" s="11"/>
      <c r="E522" s="11"/>
      <c r="F522" s="11"/>
      <c r="G522" s="11"/>
      <c r="H522" s="11"/>
      <c r="I522" s="11"/>
      <c r="J522" s="11"/>
      <c r="K522" s="11"/>
    </row>
    <row r="523" spans="1:11" x14ac:dyDescent="0.2">
      <c r="A523" s="13"/>
      <c r="B523" s="12"/>
      <c r="C523" s="11"/>
      <c r="D523" s="11"/>
      <c r="E523" s="11"/>
      <c r="F523" s="11"/>
      <c r="G523" s="11"/>
      <c r="H523" s="11"/>
      <c r="I523" s="11"/>
      <c r="J523" s="11"/>
      <c r="K523" s="11"/>
    </row>
    <row r="524" spans="1:11" x14ac:dyDescent="0.2">
      <c r="A524" s="13"/>
      <c r="B524" s="12"/>
      <c r="C524" s="11"/>
      <c r="D524" s="11"/>
      <c r="E524" s="11"/>
      <c r="F524" s="11"/>
      <c r="G524" s="11"/>
      <c r="H524" s="11"/>
      <c r="I524" s="11"/>
      <c r="J524" s="11"/>
      <c r="K524" s="11"/>
    </row>
    <row r="525" spans="1:11" x14ac:dyDescent="0.2">
      <c r="A525" s="13"/>
      <c r="B525" s="12"/>
      <c r="C525" s="11"/>
      <c r="D525" s="11"/>
      <c r="E525" s="11"/>
      <c r="F525" s="11"/>
      <c r="G525" s="11"/>
      <c r="H525" s="11"/>
      <c r="I525" s="11"/>
      <c r="J525" s="11"/>
      <c r="K525" s="11"/>
    </row>
    <row r="526" spans="1:11" x14ac:dyDescent="0.2">
      <c r="A526" s="13"/>
      <c r="B526" s="12"/>
      <c r="C526" s="11"/>
      <c r="D526" s="11"/>
      <c r="E526" s="11"/>
      <c r="F526" s="11"/>
      <c r="G526" s="11"/>
      <c r="H526" s="11"/>
      <c r="I526" s="11"/>
      <c r="J526" s="11"/>
      <c r="K526" s="11"/>
    </row>
    <row r="527" spans="1:11" x14ac:dyDescent="0.2">
      <c r="A527" s="13"/>
      <c r="B527" s="12"/>
      <c r="C527" s="11"/>
      <c r="D527" s="11"/>
      <c r="E527" s="11"/>
      <c r="F527" s="11"/>
      <c r="G527" s="11"/>
      <c r="H527" s="11"/>
      <c r="I527" s="11"/>
      <c r="J527" s="11"/>
      <c r="K527" s="11"/>
    </row>
    <row r="528" spans="1:11" x14ac:dyDescent="0.2">
      <c r="A528" s="13"/>
      <c r="B528" s="12"/>
      <c r="C528" s="11"/>
      <c r="D528" s="11"/>
      <c r="E528" s="11"/>
      <c r="F528" s="11"/>
      <c r="G528" s="11"/>
      <c r="H528" s="11"/>
      <c r="I528" s="11"/>
      <c r="J528" s="11"/>
      <c r="K528" s="11"/>
    </row>
    <row r="529" spans="1:11" x14ac:dyDescent="0.2">
      <c r="A529" s="13"/>
      <c r="B529" s="12"/>
      <c r="C529" s="11"/>
      <c r="D529" s="11"/>
      <c r="E529" s="11"/>
      <c r="F529" s="11"/>
      <c r="G529" s="11"/>
      <c r="H529" s="11"/>
      <c r="I529" s="11"/>
      <c r="J529" s="11"/>
      <c r="K529" s="11"/>
    </row>
    <row r="530" spans="1:11" x14ac:dyDescent="0.2">
      <c r="A530" s="13"/>
      <c r="B530" s="12"/>
      <c r="C530" s="11"/>
      <c r="D530" s="11"/>
      <c r="E530" s="11"/>
      <c r="F530" s="11"/>
      <c r="G530" s="11"/>
      <c r="H530" s="11"/>
      <c r="I530" s="11"/>
      <c r="J530" s="11"/>
      <c r="K530" s="11"/>
    </row>
    <row r="531" spans="1:11" x14ac:dyDescent="0.2">
      <c r="A531" s="13"/>
      <c r="B531" s="12"/>
      <c r="C531" s="11"/>
      <c r="D531" s="11"/>
      <c r="E531" s="11"/>
      <c r="F531" s="11"/>
      <c r="G531" s="11"/>
      <c r="H531" s="11"/>
      <c r="I531" s="11"/>
      <c r="J531" s="11"/>
      <c r="K531" s="11"/>
    </row>
    <row r="532" spans="1:11" x14ac:dyDescent="0.2">
      <c r="A532" s="13"/>
      <c r="B532" s="12"/>
      <c r="C532" s="11"/>
      <c r="D532" s="11"/>
      <c r="E532" s="11"/>
      <c r="F532" s="11"/>
      <c r="G532" s="11"/>
      <c r="H532" s="11"/>
      <c r="I532" s="11"/>
      <c r="J532" s="11"/>
      <c r="K532" s="11"/>
    </row>
    <row r="533" spans="1:11" x14ac:dyDescent="0.2">
      <c r="A533" s="13"/>
      <c r="B533" s="12"/>
      <c r="C533" s="11"/>
      <c r="D533" s="11"/>
      <c r="E533" s="11"/>
      <c r="F533" s="11"/>
      <c r="G533" s="11"/>
      <c r="H533" s="11"/>
      <c r="I533" s="11"/>
      <c r="J533" s="11"/>
      <c r="K533" s="11"/>
    </row>
    <row r="534" spans="1:11" x14ac:dyDescent="0.2">
      <c r="A534" s="13"/>
      <c r="B534" s="12"/>
      <c r="C534" s="11"/>
      <c r="D534" s="11"/>
      <c r="E534" s="11"/>
      <c r="F534" s="11"/>
      <c r="G534" s="11"/>
      <c r="H534" s="11"/>
      <c r="I534" s="11"/>
      <c r="J534" s="11"/>
      <c r="K534" s="11"/>
    </row>
    <row r="535" spans="1:11" x14ac:dyDescent="0.2">
      <c r="A535" s="13"/>
      <c r="B535" s="12"/>
      <c r="C535" s="11"/>
      <c r="D535" s="11"/>
      <c r="E535" s="11"/>
      <c r="F535" s="11"/>
      <c r="G535" s="11"/>
      <c r="H535" s="11"/>
      <c r="I535" s="11"/>
      <c r="J535" s="11"/>
      <c r="K535" s="11"/>
    </row>
    <row r="536" spans="1:11" x14ac:dyDescent="0.2">
      <c r="A536" s="13"/>
      <c r="B536" s="12"/>
      <c r="C536" s="11"/>
      <c r="D536" s="11"/>
      <c r="E536" s="11"/>
      <c r="F536" s="11"/>
      <c r="G536" s="11"/>
      <c r="H536" s="11"/>
      <c r="I536" s="11"/>
      <c r="J536" s="11"/>
      <c r="K536" s="11"/>
    </row>
    <row r="537" spans="1:11" x14ac:dyDescent="0.2">
      <c r="A537" s="13"/>
      <c r="B537" s="12"/>
      <c r="C537" s="11"/>
      <c r="D537" s="11"/>
      <c r="E537" s="11"/>
      <c r="F537" s="11"/>
      <c r="G537" s="11"/>
      <c r="H537" s="11"/>
      <c r="I537" s="11"/>
      <c r="J537" s="11"/>
      <c r="K537" s="11"/>
    </row>
    <row r="538" spans="1:11" x14ac:dyDescent="0.2">
      <c r="A538" s="13"/>
      <c r="B538" s="12"/>
      <c r="C538" s="11"/>
      <c r="D538" s="11"/>
      <c r="E538" s="11"/>
      <c r="F538" s="11"/>
      <c r="G538" s="11"/>
      <c r="H538" s="11"/>
      <c r="I538" s="11"/>
      <c r="J538" s="11"/>
      <c r="K538" s="11"/>
    </row>
    <row r="539" spans="1:11" x14ac:dyDescent="0.2">
      <c r="A539" s="13"/>
      <c r="B539" s="12"/>
      <c r="C539" s="11"/>
      <c r="D539" s="11"/>
      <c r="E539" s="11"/>
      <c r="F539" s="11"/>
      <c r="G539" s="11"/>
      <c r="H539" s="11"/>
      <c r="I539" s="11"/>
      <c r="J539" s="11"/>
      <c r="K539" s="11"/>
    </row>
    <row r="540" spans="1:11" x14ac:dyDescent="0.2">
      <c r="A540" s="13"/>
      <c r="B540" s="12"/>
      <c r="C540" s="11"/>
      <c r="D540" s="11"/>
      <c r="E540" s="11"/>
      <c r="F540" s="11"/>
      <c r="G540" s="11"/>
      <c r="H540" s="11"/>
      <c r="I540" s="11"/>
      <c r="J540" s="11"/>
      <c r="K540" s="11"/>
    </row>
    <row r="541" spans="1:11" x14ac:dyDescent="0.2">
      <c r="A541" s="13"/>
      <c r="B541" s="12"/>
      <c r="C541" s="11"/>
      <c r="D541" s="11"/>
      <c r="E541" s="11"/>
      <c r="F541" s="11"/>
      <c r="G541" s="11"/>
      <c r="H541" s="11"/>
      <c r="I541" s="11"/>
      <c r="J541" s="11"/>
      <c r="K541" s="11"/>
    </row>
    <row r="542" spans="1:11" x14ac:dyDescent="0.2">
      <c r="A542" s="13"/>
      <c r="B542" s="12"/>
      <c r="C542" s="11"/>
      <c r="D542" s="11"/>
      <c r="E542" s="11"/>
      <c r="F542" s="11"/>
      <c r="G542" s="11"/>
      <c r="H542" s="11"/>
      <c r="I542" s="11"/>
      <c r="J542" s="11"/>
      <c r="K542" s="11"/>
    </row>
    <row r="543" spans="1:11" x14ac:dyDescent="0.2">
      <c r="A543" s="13"/>
      <c r="B543" s="12"/>
      <c r="C543" s="11"/>
      <c r="D543" s="11"/>
      <c r="E543" s="11"/>
      <c r="F543" s="11"/>
      <c r="G543" s="11"/>
      <c r="H543" s="11"/>
      <c r="I543" s="11"/>
      <c r="J543" s="11"/>
      <c r="K543" s="11"/>
    </row>
    <row r="544" spans="1:11" x14ac:dyDescent="0.2">
      <c r="A544" s="13"/>
      <c r="B544" s="12"/>
      <c r="C544" s="11"/>
      <c r="D544" s="11"/>
      <c r="E544" s="11"/>
      <c r="F544" s="11"/>
      <c r="G544" s="11"/>
      <c r="H544" s="11"/>
      <c r="I544" s="11"/>
      <c r="J544" s="11"/>
      <c r="K544" s="11"/>
    </row>
    <row r="545" spans="1:11" x14ac:dyDescent="0.2">
      <c r="A545" s="13"/>
      <c r="B545" s="12"/>
      <c r="C545" s="11"/>
      <c r="D545" s="11"/>
      <c r="E545" s="11"/>
      <c r="F545" s="11"/>
      <c r="G545" s="11"/>
      <c r="H545" s="11"/>
      <c r="I545" s="11"/>
      <c r="J545" s="11"/>
      <c r="K545" s="11"/>
    </row>
    <row r="546" spans="1:11" x14ac:dyDescent="0.2">
      <c r="A546" s="13"/>
      <c r="B546" s="12"/>
      <c r="C546" s="11"/>
      <c r="D546" s="11"/>
      <c r="E546" s="11"/>
      <c r="F546" s="11"/>
      <c r="G546" s="11"/>
      <c r="H546" s="11"/>
      <c r="I546" s="11"/>
      <c r="J546" s="11"/>
      <c r="K546" s="11"/>
    </row>
    <row r="547" spans="1:11" x14ac:dyDescent="0.2">
      <c r="A547" s="13"/>
      <c r="B547" s="12"/>
      <c r="C547" s="11"/>
      <c r="D547" s="11"/>
      <c r="E547" s="11"/>
      <c r="F547" s="11"/>
      <c r="G547" s="11"/>
      <c r="H547" s="11"/>
      <c r="I547" s="11"/>
      <c r="J547" s="11"/>
      <c r="K547" s="11"/>
    </row>
    <row r="548" spans="1:11" x14ac:dyDescent="0.2">
      <c r="A548" s="13"/>
      <c r="B548" s="12"/>
      <c r="C548" s="11"/>
      <c r="D548" s="11"/>
      <c r="E548" s="11"/>
      <c r="F548" s="11"/>
      <c r="G548" s="11"/>
      <c r="H548" s="11"/>
      <c r="I548" s="11"/>
      <c r="J548" s="11"/>
      <c r="K548" s="11"/>
    </row>
    <row r="549" spans="1:11" x14ac:dyDescent="0.2">
      <c r="A549" s="13"/>
      <c r="B549" s="12"/>
      <c r="C549" s="11"/>
      <c r="D549" s="11"/>
      <c r="E549" s="11"/>
      <c r="F549" s="11"/>
      <c r="G549" s="11"/>
      <c r="H549" s="11"/>
      <c r="I549" s="11"/>
      <c r="J549" s="11"/>
      <c r="K549" s="11"/>
    </row>
    <row r="550" spans="1:11" x14ac:dyDescent="0.2">
      <c r="A550" s="13"/>
      <c r="B550" s="12"/>
      <c r="C550" s="11"/>
      <c r="D550" s="11"/>
      <c r="E550" s="11"/>
      <c r="F550" s="11"/>
      <c r="G550" s="11"/>
      <c r="H550" s="11"/>
      <c r="I550" s="11"/>
      <c r="J550" s="11"/>
      <c r="K550" s="11"/>
    </row>
    <row r="551" spans="1:11" x14ac:dyDescent="0.2">
      <c r="A551" s="13"/>
      <c r="B551" s="12"/>
      <c r="C551" s="11"/>
      <c r="D551" s="11"/>
      <c r="E551" s="11"/>
      <c r="F551" s="11"/>
      <c r="G551" s="11"/>
      <c r="H551" s="11"/>
      <c r="I551" s="11"/>
      <c r="J551" s="11"/>
      <c r="K551" s="11"/>
    </row>
    <row r="552" spans="1:11" x14ac:dyDescent="0.2">
      <c r="A552" s="13"/>
      <c r="B552" s="12"/>
      <c r="C552" s="11"/>
      <c r="D552" s="11"/>
      <c r="E552" s="11"/>
      <c r="F552" s="11"/>
      <c r="G552" s="11"/>
      <c r="H552" s="11"/>
      <c r="I552" s="11"/>
      <c r="J552" s="11"/>
      <c r="K552" s="11"/>
    </row>
    <row r="553" spans="1:11" x14ac:dyDescent="0.2">
      <c r="A553" s="13"/>
      <c r="B553" s="12"/>
      <c r="C553" s="11"/>
      <c r="D553" s="11"/>
      <c r="E553" s="11"/>
      <c r="F553" s="11"/>
      <c r="G553" s="11"/>
      <c r="H553" s="11"/>
      <c r="I553" s="11"/>
      <c r="J553" s="11"/>
      <c r="K553" s="11"/>
    </row>
    <row r="554" spans="1:11" x14ac:dyDescent="0.2">
      <c r="A554" s="13"/>
      <c r="B554" s="12"/>
      <c r="C554" s="11"/>
      <c r="D554" s="11"/>
      <c r="E554" s="11"/>
      <c r="F554" s="11"/>
      <c r="G554" s="11"/>
      <c r="H554" s="11"/>
      <c r="I554" s="11"/>
      <c r="J554" s="11"/>
      <c r="K554" s="11"/>
    </row>
    <row r="555" spans="1:11" x14ac:dyDescent="0.2">
      <c r="A555" s="13"/>
      <c r="B555" s="12"/>
      <c r="C555" s="11"/>
      <c r="D555" s="11"/>
      <c r="E555" s="11"/>
      <c r="F555" s="11"/>
      <c r="G555" s="11"/>
      <c r="H555" s="11"/>
      <c r="I555" s="11"/>
      <c r="J555" s="11"/>
      <c r="K555" s="11"/>
    </row>
    <row r="556" spans="1:11" x14ac:dyDescent="0.2">
      <c r="A556" s="13"/>
      <c r="B556" s="12"/>
      <c r="C556" s="11"/>
      <c r="D556" s="11"/>
      <c r="E556" s="11"/>
      <c r="F556" s="11"/>
      <c r="G556" s="11"/>
      <c r="H556" s="11"/>
      <c r="I556" s="11"/>
      <c r="J556" s="11"/>
      <c r="K556" s="11"/>
    </row>
    <row r="557" spans="1:11" x14ac:dyDescent="0.2">
      <c r="A557" s="13"/>
      <c r="B557" s="12"/>
      <c r="C557" s="11"/>
      <c r="D557" s="11"/>
      <c r="E557" s="11"/>
      <c r="F557" s="11"/>
      <c r="G557" s="11"/>
      <c r="H557" s="11"/>
      <c r="I557" s="11"/>
      <c r="J557" s="11"/>
      <c r="K557" s="11"/>
    </row>
    <row r="558" spans="1:11" x14ac:dyDescent="0.2">
      <c r="A558" s="13"/>
      <c r="B558" s="12"/>
      <c r="C558" s="11"/>
      <c r="D558" s="11"/>
      <c r="E558" s="11"/>
      <c r="F558" s="11"/>
      <c r="G558" s="11"/>
      <c r="H558" s="11"/>
      <c r="I558" s="11"/>
      <c r="J558" s="11"/>
      <c r="K558" s="11"/>
    </row>
    <row r="559" spans="1:11" x14ac:dyDescent="0.2">
      <c r="A559" s="13"/>
      <c r="B559" s="12"/>
      <c r="C559" s="11"/>
      <c r="D559" s="11"/>
      <c r="E559" s="11"/>
      <c r="F559" s="11"/>
      <c r="G559" s="11"/>
      <c r="H559" s="11"/>
      <c r="I559" s="11"/>
      <c r="J559" s="11"/>
      <c r="K559" s="11"/>
    </row>
    <row r="560" spans="1:11" x14ac:dyDescent="0.2">
      <c r="A560" s="13"/>
      <c r="B560" s="12"/>
      <c r="C560" s="11"/>
      <c r="D560" s="11"/>
      <c r="E560" s="11"/>
      <c r="F560" s="11"/>
      <c r="G560" s="11"/>
      <c r="H560" s="11"/>
      <c r="I560" s="11"/>
      <c r="J560" s="11"/>
      <c r="K560" s="11"/>
    </row>
    <row r="561" spans="1:11" x14ac:dyDescent="0.2">
      <c r="A561" s="13"/>
      <c r="B561" s="12"/>
      <c r="C561" s="11"/>
      <c r="D561" s="11"/>
      <c r="E561" s="11"/>
      <c r="F561" s="11"/>
      <c r="G561" s="11"/>
      <c r="H561" s="11"/>
      <c r="I561" s="11"/>
      <c r="J561" s="11"/>
      <c r="K561" s="11"/>
    </row>
    <row r="562" spans="1:11" x14ac:dyDescent="0.2">
      <c r="A562" s="13"/>
      <c r="B562" s="12"/>
      <c r="C562" s="11"/>
      <c r="D562" s="11"/>
      <c r="E562" s="11"/>
      <c r="F562" s="11"/>
      <c r="G562" s="11"/>
      <c r="H562" s="11"/>
      <c r="I562" s="11"/>
      <c r="J562" s="11"/>
      <c r="K562" s="11"/>
    </row>
    <row r="563" spans="1:11" x14ac:dyDescent="0.2">
      <c r="A563" s="13"/>
      <c r="B563" s="12"/>
      <c r="C563" s="11"/>
      <c r="D563" s="11"/>
      <c r="E563" s="11"/>
      <c r="F563" s="11"/>
      <c r="G563" s="11"/>
      <c r="H563" s="11"/>
      <c r="I563" s="11"/>
      <c r="J563" s="11"/>
      <c r="K563" s="11"/>
    </row>
    <row r="564" spans="1:11" x14ac:dyDescent="0.2">
      <c r="A564" s="13"/>
      <c r="B564" s="12"/>
      <c r="C564" s="11"/>
      <c r="D564" s="11"/>
      <c r="E564" s="11"/>
      <c r="F564" s="11"/>
      <c r="G564" s="11"/>
      <c r="H564" s="11"/>
      <c r="I564" s="11"/>
      <c r="J564" s="11"/>
      <c r="K564" s="11"/>
    </row>
    <row r="565" spans="1:11" x14ac:dyDescent="0.2">
      <c r="A565" s="13"/>
      <c r="B565" s="12"/>
      <c r="C565" s="11"/>
      <c r="D565" s="11"/>
      <c r="E565" s="11"/>
      <c r="F565" s="11"/>
      <c r="G565" s="11"/>
      <c r="H565" s="11"/>
      <c r="I565" s="11"/>
      <c r="J565" s="11"/>
      <c r="K565" s="11"/>
    </row>
    <row r="566" spans="1:11" x14ac:dyDescent="0.2">
      <c r="A566" s="13"/>
      <c r="B566" s="12"/>
      <c r="C566" s="11"/>
      <c r="D566" s="11"/>
      <c r="E566" s="11"/>
      <c r="F566" s="11"/>
      <c r="G566" s="11"/>
      <c r="H566" s="11"/>
      <c r="I566" s="11"/>
      <c r="J566" s="11"/>
      <c r="K566" s="11"/>
    </row>
    <row r="567" spans="1:11" x14ac:dyDescent="0.2">
      <c r="A567" s="13"/>
      <c r="B567" s="12"/>
      <c r="C567" s="11"/>
      <c r="D567" s="11"/>
      <c r="E567" s="11"/>
      <c r="F567" s="11"/>
      <c r="G567" s="11"/>
      <c r="H567" s="11"/>
      <c r="I567" s="11"/>
      <c r="J567" s="11"/>
      <c r="K567" s="11"/>
    </row>
    <row r="568" spans="1:11" x14ac:dyDescent="0.2">
      <c r="A568" s="13"/>
      <c r="B568" s="12"/>
      <c r="C568" s="11"/>
      <c r="D568" s="11"/>
      <c r="E568" s="11"/>
      <c r="F568" s="11"/>
      <c r="G568" s="11"/>
      <c r="H568" s="11"/>
      <c r="I568" s="11"/>
      <c r="J568" s="11"/>
      <c r="K568" s="11"/>
    </row>
    <row r="569" spans="1:11" x14ac:dyDescent="0.2">
      <c r="A569" s="13"/>
      <c r="B569" s="12"/>
      <c r="C569" s="11"/>
      <c r="D569" s="11"/>
      <c r="E569" s="11"/>
      <c r="F569" s="11"/>
      <c r="G569" s="11"/>
      <c r="H569" s="11"/>
      <c r="I569" s="11"/>
      <c r="J569" s="11"/>
      <c r="K569" s="11"/>
    </row>
    <row r="570" spans="1:11" x14ac:dyDescent="0.2">
      <c r="A570" s="13"/>
      <c r="B570" s="12"/>
      <c r="C570" s="11"/>
      <c r="D570" s="11"/>
      <c r="E570" s="11"/>
      <c r="F570" s="11"/>
      <c r="G570" s="11"/>
      <c r="H570" s="11"/>
      <c r="I570" s="11"/>
      <c r="J570" s="11"/>
      <c r="K570" s="11"/>
    </row>
    <row r="571" spans="1:11" x14ac:dyDescent="0.2">
      <c r="A571" s="13"/>
      <c r="B571" s="12"/>
      <c r="C571" s="11"/>
      <c r="D571" s="11"/>
      <c r="E571" s="11"/>
      <c r="F571" s="11"/>
      <c r="G571" s="11"/>
      <c r="H571" s="11"/>
      <c r="I571" s="11"/>
      <c r="J571" s="11"/>
      <c r="K571" s="11"/>
    </row>
    <row r="572" spans="1:11" x14ac:dyDescent="0.2">
      <c r="A572" s="13"/>
      <c r="B572" s="12"/>
      <c r="C572" s="11"/>
      <c r="D572" s="11"/>
      <c r="E572" s="11"/>
      <c r="F572" s="11"/>
      <c r="G572" s="11"/>
      <c r="H572" s="11"/>
      <c r="I572" s="11"/>
      <c r="J572" s="11"/>
      <c r="K572" s="11"/>
    </row>
    <row r="573" spans="1:11" x14ac:dyDescent="0.2">
      <c r="A573" s="13"/>
      <c r="B573" s="12"/>
      <c r="C573" s="11"/>
      <c r="D573" s="11"/>
      <c r="E573" s="11"/>
      <c r="F573" s="11"/>
      <c r="G573" s="11"/>
      <c r="H573" s="11"/>
      <c r="I573" s="11"/>
      <c r="J573" s="11"/>
      <c r="K573" s="11"/>
    </row>
    <row r="574" spans="1:11" x14ac:dyDescent="0.2">
      <c r="A574" s="13"/>
      <c r="B574" s="12"/>
      <c r="C574" s="11"/>
      <c r="D574" s="11"/>
      <c r="E574" s="11"/>
      <c r="F574" s="11"/>
      <c r="G574" s="11"/>
      <c r="H574" s="11"/>
      <c r="I574" s="11"/>
      <c r="J574" s="11"/>
      <c r="K574" s="11"/>
    </row>
    <row r="575" spans="1:11" x14ac:dyDescent="0.2">
      <c r="A575" s="13"/>
      <c r="B575" s="12"/>
      <c r="C575" s="11"/>
      <c r="D575" s="11"/>
      <c r="E575" s="11"/>
      <c r="F575" s="11"/>
      <c r="G575" s="11"/>
      <c r="H575" s="11"/>
      <c r="I575" s="11"/>
      <c r="J575" s="11"/>
      <c r="K575" s="11"/>
    </row>
    <row r="576" spans="1:11" x14ac:dyDescent="0.2">
      <c r="A576" s="13"/>
      <c r="B576" s="12"/>
      <c r="C576" s="11"/>
      <c r="D576" s="11"/>
      <c r="E576" s="11"/>
      <c r="F576" s="11"/>
      <c r="G576" s="11"/>
      <c r="H576" s="11"/>
      <c r="I576" s="11"/>
      <c r="J576" s="11"/>
      <c r="K576" s="11"/>
    </row>
    <row r="577" spans="1:11" x14ac:dyDescent="0.2">
      <c r="A577" s="13"/>
      <c r="B577" s="12"/>
      <c r="C577" s="11"/>
      <c r="D577" s="11"/>
      <c r="E577" s="11"/>
      <c r="F577" s="11"/>
      <c r="G577" s="11"/>
      <c r="H577" s="11"/>
      <c r="I577" s="11"/>
      <c r="J577" s="11"/>
      <c r="K577" s="11"/>
    </row>
    <row r="578" spans="1:11" x14ac:dyDescent="0.2">
      <c r="A578" s="13"/>
      <c r="B578" s="12"/>
      <c r="C578" s="11"/>
      <c r="D578" s="11"/>
      <c r="E578" s="11"/>
      <c r="F578" s="11"/>
      <c r="G578" s="11"/>
      <c r="H578" s="11"/>
      <c r="I578" s="11"/>
      <c r="J578" s="11"/>
      <c r="K578" s="11"/>
    </row>
    <row r="579" spans="1:11" x14ac:dyDescent="0.2">
      <c r="A579" s="13"/>
      <c r="B579" s="12"/>
      <c r="C579" s="11"/>
      <c r="D579" s="11"/>
      <c r="E579" s="11"/>
      <c r="F579" s="11"/>
      <c r="G579" s="11"/>
      <c r="H579" s="11"/>
      <c r="I579" s="11"/>
      <c r="J579" s="11"/>
      <c r="K579" s="11"/>
    </row>
    <row r="580" spans="1:11" x14ac:dyDescent="0.2">
      <c r="A580" s="13"/>
      <c r="B580" s="12"/>
      <c r="C580" s="11"/>
      <c r="D580" s="11"/>
      <c r="E580" s="11"/>
      <c r="F580" s="11"/>
      <c r="G580" s="11"/>
      <c r="H580" s="11"/>
      <c r="I580" s="11"/>
      <c r="J580" s="11"/>
      <c r="K580" s="11"/>
    </row>
    <row r="581" spans="1:11" x14ac:dyDescent="0.2">
      <c r="A581" s="13"/>
      <c r="B581" s="12"/>
      <c r="C581" s="11"/>
      <c r="D581" s="11"/>
      <c r="E581" s="11"/>
      <c r="F581" s="11"/>
      <c r="G581" s="11"/>
      <c r="H581" s="11"/>
      <c r="I581" s="11"/>
      <c r="J581" s="11"/>
      <c r="K581" s="11"/>
    </row>
    <row r="582" spans="1:11" x14ac:dyDescent="0.2">
      <c r="A582" s="13"/>
      <c r="B582" s="12"/>
      <c r="C582" s="11"/>
      <c r="D582" s="11"/>
      <c r="E582" s="11"/>
      <c r="F582" s="11"/>
      <c r="G582" s="11"/>
      <c r="H582" s="11"/>
      <c r="I582" s="11"/>
      <c r="J582" s="11"/>
      <c r="K582" s="11"/>
    </row>
    <row r="583" spans="1:11" x14ac:dyDescent="0.2">
      <c r="A583" s="13"/>
      <c r="B583" s="12"/>
      <c r="C583" s="11"/>
      <c r="D583" s="11"/>
      <c r="E583" s="11"/>
      <c r="F583" s="11"/>
      <c r="G583" s="11"/>
      <c r="H583" s="11"/>
      <c r="I583" s="11"/>
      <c r="J583" s="11"/>
      <c r="K583" s="11"/>
    </row>
    <row r="584" spans="1:11" x14ac:dyDescent="0.2">
      <c r="A584" s="13"/>
      <c r="B584" s="12"/>
      <c r="C584" s="11"/>
      <c r="D584" s="11"/>
      <c r="E584" s="11"/>
      <c r="F584" s="11"/>
      <c r="G584" s="11"/>
      <c r="H584" s="11"/>
      <c r="I584" s="11"/>
      <c r="J584" s="11"/>
      <c r="K584" s="11"/>
    </row>
    <row r="585" spans="1:11" x14ac:dyDescent="0.2">
      <c r="A585" s="13"/>
      <c r="B585" s="12"/>
      <c r="C585" s="11"/>
      <c r="D585" s="11"/>
      <c r="E585" s="11"/>
      <c r="F585" s="11"/>
      <c r="G585" s="11"/>
      <c r="H585" s="11"/>
      <c r="I585" s="11"/>
      <c r="J585" s="11"/>
      <c r="K585" s="11"/>
    </row>
    <row r="586" spans="1:11" x14ac:dyDescent="0.2">
      <c r="A586" s="13"/>
      <c r="B586" s="12"/>
      <c r="C586" s="11"/>
      <c r="D586" s="11"/>
      <c r="E586" s="11"/>
      <c r="F586" s="11"/>
      <c r="G586" s="11"/>
      <c r="H586" s="11"/>
      <c r="I586" s="11"/>
      <c r="J586" s="11"/>
      <c r="K586" s="11"/>
    </row>
    <row r="587" spans="1:11" x14ac:dyDescent="0.2">
      <c r="A587" s="13"/>
      <c r="B587" s="12"/>
      <c r="C587" s="11"/>
      <c r="D587" s="11"/>
      <c r="E587" s="11"/>
      <c r="F587" s="11"/>
      <c r="G587" s="11"/>
      <c r="H587" s="11"/>
      <c r="I587" s="11"/>
      <c r="J587" s="11"/>
      <c r="K587" s="11"/>
    </row>
    <row r="588" spans="1:11" x14ac:dyDescent="0.2">
      <c r="A588" s="13"/>
      <c r="B588" s="12"/>
      <c r="C588" s="11"/>
      <c r="D588" s="11"/>
      <c r="E588" s="11"/>
      <c r="F588" s="11"/>
      <c r="G588" s="11"/>
      <c r="H588" s="11"/>
      <c r="I588" s="11"/>
      <c r="J588" s="11"/>
      <c r="K588" s="11"/>
    </row>
    <row r="589" spans="1:11" x14ac:dyDescent="0.2">
      <c r="A589" s="13"/>
      <c r="B589" s="12"/>
      <c r="C589" s="11"/>
      <c r="D589" s="11"/>
      <c r="E589" s="11"/>
      <c r="F589" s="11"/>
      <c r="G589" s="11"/>
      <c r="H589" s="11"/>
      <c r="I589" s="11"/>
      <c r="J589" s="11"/>
      <c r="K589" s="11"/>
    </row>
    <row r="590" spans="1:11" x14ac:dyDescent="0.2">
      <c r="A590" s="13"/>
      <c r="B590" s="12"/>
      <c r="C590" s="11"/>
      <c r="D590" s="11"/>
      <c r="E590" s="11"/>
      <c r="F590" s="11"/>
      <c r="G590" s="11"/>
      <c r="H590" s="11"/>
      <c r="I590" s="11"/>
      <c r="J590" s="11"/>
      <c r="K590" s="11"/>
    </row>
    <row r="591" spans="1:11" x14ac:dyDescent="0.2">
      <c r="A591" s="13"/>
      <c r="B591" s="12"/>
      <c r="C591" s="11"/>
      <c r="D591" s="11"/>
      <c r="E591" s="11"/>
      <c r="F591" s="11"/>
      <c r="G591" s="11"/>
      <c r="H591" s="11"/>
      <c r="I591" s="11"/>
      <c r="J591" s="11"/>
      <c r="K591" s="11"/>
    </row>
    <row r="592" spans="1:11" x14ac:dyDescent="0.2">
      <c r="A592" s="13"/>
      <c r="B592" s="12"/>
      <c r="C592" s="11"/>
      <c r="D592" s="11"/>
      <c r="E592" s="11"/>
      <c r="F592" s="11"/>
      <c r="G592" s="11"/>
      <c r="H592" s="11"/>
      <c r="I592" s="11"/>
      <c r="J592" s="11"/>
      <c r="K592" s="11"/>
    </row>
    <row r="593" spans="1:11" x14ac:dyDescent="0.2">
      <c r="A593" s="13"/>
      <c r="B593" s="12"/>
      <c r="C593" s="11"/>
      <c r="D593" s="11"/>
      <c r="E593" s="11"/>
      <c r="F593" s="11"/>
      <c r="G593" s="11"/>
      <c r="H593" s="11"/>
      <c r="I593" s="11"/>
      <c r="J593" s="11"/>
      <c r="K593" s="11"/>
    </row>
    <row r="594" spans="1:11" x14ac:dyDescent="0.2">
      <c r="A594" s="13"/>
      <c r="B594" s="12"/>
      <c r="C594" s="11"/>
      <c r="D594" s="11"/>
      <c r="E594" s="11"/>
      <c r="F594" s="11"/>
      <c r="G594" s="11"/>
      <c r="H594" s="11"/>
      <c r="I594" s="11"/>
      <c r="J594" s="11"/>
      <c r="K594" s="11"/>
    </row>
    <row r="595" spans="1:11" x14ac:dyDescent="0.2">
      <c r="A595" s="13"/>
      <c r="B595" s="12"/>
      <c r="C595" s="11"/>
      <c r="D595" s="11"/>
      <c r="E595" s="11"/>
      <c r="F595" s="11"/>
      <c r="G595" s="11"/>
      <c r="H595" s="11"/>
      <c r="I595" s="11"/>
      <c r="J595" s="11"/>
      <c r="K595" s="11"/>
    </row>
    <row r="596" spans="1:11" x14ac:dyDescent="0.2">
      <c r="A596" s="13"/>
      <c r="B596" s="12"/>
      <c r="C596" s="11"/>
      <c r="D596" s="11"/>
      <c r="E596" s="11"/>
      <c r="F596" s="11"/>
      <c r="G596" s="11"/>
      <c r="H596" s="11"/>
      <c r="I596" s="11"/>
      <c r="J596" s="11"/>
      <c r="K596" s="11"/>
    </row>
    <row r="597" spans="1:11" x14ac:dyDescent="0.2">
      <c r="A597" s="13"/>
      <c r="B597" s="12"/>
      <c r="C597" s="11"/>
      <c r="D597" s="11"/>
      <c r="E597" s="11"/>
      <c r="F597" s="11"/>
      <c r="G597" s="11"/>
      <c r="H597" s="11"/>
      <c r="I597" s="11"/>
      <c r="J597" s="11"/>
      <c r="K597" s="11"/>
    </row>
    <row r="598" spans="1:11" x14ac:dyDescent="0.2">
      <c r="A598" s="13"/>
      <c r="B598" s="12"/>
      <c r="C598" s="11"/>
      <c r="D598" s="11"/>
      <c r="E598" s="11"/>
      <c r="F598" s="11"/>
      <c r="G598" s="11"/>
      <c r="H598" s="11"/>
      <c r="I598" s="11"/>
      <c r="J598" s="11"/>
      <c r="K598" s="11"/>
    </row>
    <row r="599" spans="1:11" x14ac:dyDescent="0.2">
      <c r="A599" s="13"/>
      <c r="B599" s="12"/>
      <c r="C599" s="11"/>
      <c r="D599" s="11"/>
      <c r="E599" s="11"/>
      <c r="F599" s="11"/>
      <c r="G599" s="11"/>
      <c r="H599" s="11"/>
      <c r="I599" s="11"/>
      <c r="J599" s="11"/>
      <c r="K599" s="11"/>
    </row>
    <row r="600" spans="1:11" x14ac:dyDescent="0.2">
      <c r="A600" s="13"/>
      <c r="B600" s="12"/>
      <c r="C600" s="11"/>
      <c r="D600" s="11"/>
      <c r="E600" s="11"/>
      <c r="F600" s="11"/>
      <c r="G600" s="11"/>
      <c r="H600" s="11"/>
      <c r="I600" s="11"/>
      <c r="J600" s="11"/>
      <c r="K600" s="11"/>
    </row>
    <row r="601" spans="1:11" x14ac:dyDescent="0.2">
      <c r="A601" s="13"/>
      <c r="B601" s="12"/>
      <c r="C601" s="11"/>
      <c r="D601" s="11"/>
      <c r="E601" s="11"/>
      <c r="F601" s="11"/>
      <c r="G601" s="11"/>
      <c r="H601" s="11"/>
      <c r="I601" s="11"/>
      <c r="J601" s="11"/>
      <c r="K601" s="11"/>
    </row>
    <row r="602" spans="1:11" x14ac:dyDescent="0.2">
      <c r="A602" s="13"/>
      <c r="B602" s="12"/>
      <c r="C602" s="11"/>
      <c r="D602" s="11"/>
      <c r="E602" s="11"/>
      <c r="F602" s="11"/>
      <c r="G602" s="11"/>
      <c r="H602" s="11"/>
      <c r="I602" s="11"/>
      <c r="J602" s="11"/>
      <c r="K602" s="11"/>
    </row>
    <row r="603" spans="1:11" x14ac:dyDescent="0.2">
      <c r="A603" s="13"/>
      <c r="B603" s="12"/>
      <c r="C603" s="11"/>
      <c r="D603" s="11"/>
      <c r="E603" s="11"/>
      <c r="F603" s="11"/>
      <c r="G603" s="11"/>
      <c r="H603" s="11"/>
      <c r="I603" s="11"/>
      <c r="J603" s="11"/>
      <c r="K603" s="11"/>
    </row>
    <row r="604" spans="1:11" x14ac:dyDescent="0.2">
      <c r="A604" s="13"/>
      <c r="B604" s="12"/>
      <c r="C604" s="11"/>
      <c r="D604" s="11"/>
      <c r="E604" s="11"/>
      <c r="F604" s="11"/>
      <c r="G604" s="11"/>
      <c r="H604" s="11"/>
      <c r="I604" s="11"/>
      <c r="J604" s="11"/>
      <c r="K604" s="11"/>
    </row>
    <row r="605" spans="1:11" x14ac:dyDescent="0.2">
      <c r="A605" s="13"/>
      <c r="B605" s="12"/>
      <c r="C605" s="11"/>
      <c r="D605" s="11"/>
      <c r="E605" s="11"/>
      <c r="F605" s="11"/>
      <c r="G605" s="11"/>
      <c r="H605" s="11"/>
      <c r="I605" s="11"/>
      <c r="J605" s="11"/>
      <c r="K605" s="11"/>
    </row>
    <row r="606" spans="1:11" x14ac:dyDescent="0.2">
      <c r="A606" s="13"/>
      <c r="B606" s="12"/>
      <c r="C606" s="11"/>
      <c r="D606" s="11"/>
      <c r="E606" s="11"/>
      <c r="F606" s="11"/>
      <c r="G606" s="11"/>
      <c r="H606" s="11"/>
      <c r="I606" s="11"/>
      <c r="J606" s="11"/>
      <c r="K606" s="11"/>
    </row>
    <row r="607" spans="1:11" x14ac:dyDescent="0.2">
      <c r="A607" s="13"/>
      <c r="B607" s="12"/>
      <c r="C607" s="11"/>
      <c r="D607" s="11"/>
      <c r="E607" s="11"/>
      <c r="F607" s="11"/>
      <c r="G607" s="11"/>
      <c r="H607" s="11"/>
      <c r="I607" s="11"/>
      <c r="J607" s="11"/>
      <c r="K607" s="11"/>
    </row>
    <row r="608" spans="1:11" x14ac:dyDescent="0.2">
      <c r="A608" s="13"/>
      <c r="B608" s="12"/>
      <c r="C608" s="11"/>
      <c r="D608" s="11"/>
      <c r="E608" s="11"/>
      <c r="F608" s="11"/>
      <c r="G608" s="11"/>
      <c r="H608" s="11"/>
      <c r="I608" s="11"/>
      <c r="J608" s="11"/>
      <c r="K608" s="11"/>
    </row>
    <row r="609" spans="1:11" x14ac:dyDescent="0.2">
      <c r="A609" s="13"/>
      <c r="B609" s="12"/>
      <c r="C609" s="11"/>
      <c r="D609" s="11"/>
      <c r="E609" s="11"/>
      <c r="F609" s="11"/>
      <c r="G609" s="11"/>
      <c r="H609" s="11"/>
      <c r="I609" s="11"/>
      <c r="J609" s="11"/>
      <c r="K609" s="11"/>
    </row>
    <row r="610" spans="1:11" x14ac:dyDescent="0.2">
      <c r="A610" s="13"/>
      <c r="B610" s="12"/>
      <c r="C610" s="11"/>
      <c r="D610" s="11"/>
      <c r="E610" s="11"/>
      <c r="F610" s="11"/>
      <c r="G610" s="11"/>
      <c r="H610" s="11"/>
      <c r="I610" s="11"/>
      <c r="J610" s="11"/>
      <c r="K610" s="11"/>
    </row>
    <row r="611" spans="1:11" x14ac:dyDescent="0.2">
      <c r="A611" s="13"/>
      <c r="B611" s="12"/>
      <c r="C611" s="11"/>
      <c r="D611" s="11"/>
      <c r="E611" s="11"/>
      <c r="F611" s="11"/>
      <c r="G611" s="11"/>
      <c r="H611" s="11"/>
      <c r="I611" s="11"/>
      <c r="J611" s="11"/>
      <c r="K611" s="11"/>
    </row>
    <row r="612" spans="1:11" x14ac:dyDescent="0.2">
      <c r="A612" s="13"/>
      <c r="B612" s="12"/>
      <c r="C612" s="11"/>
      <c r="D612" s="11"/>
      <c r="E612" s="11"/>
      <c r="F612" s="11"/>
      <c r="G612" s="11"/>
      <c r="H612" s="11"/>
      <c r="I612" s="11"/>
      <c r="J612" s="11"/>
      <c r="K612" s="11"/>
    </row>
    <row r="613" spans="1:11" x14ac:dyDescent="0.2">
      <c r="A613" s="13"/>
      <c r="B613" s="12"/>
      <c r="C613" s="11"/>
      <c r="D613" s="11"/>
      <c r="E613" s="11"/>
      <c r="F613" s="11"/>
      <c r="G613" s="11"/>
      <c r="H613" s="11"/>
      <c r="I613" s="11"/>
      <c r="J613" s="11"/>
      <c r="K613" s="11"/>
    </row>
    <row r="614" spans="1:11" x14ac:dyDescent="0.2">
      <c r="A614" s="13"/>
      <c r="B614" s="12"/>
      <c r="C614" s="11"/>
      <c r="D614" s="11"/>
      <c r="E614" s="11"/>
      <c r="F614" s="11"/>
      <c r="G614" s="11"/>
      <c r="H614" s="11"/>
      <c r="I614" s="11"/>
      <c r="J614" s="11"/>
      <c r="K614" s="11"/>
    </row>
    <row r="615" spans="1:11" x14ac:dyDescent="0.2">
      <c r="A615" s="13"/>
      <c r="B615" s="12"/>
      <c r="C615" s="11"/>
      <c r="D615" s="11"/>
      <c r="E615" s="11"/>
      <c r="F615" s="11"/>
      <c r="G615" s="11"/>
      <c r="H615" s="11"/>
      <c r="I615" s="11"/>
      <c r="J615" s="11"/>
      <c r="K615" s="11"/>
    </row>
    <row r="616" spans="1:11" x14ac:dyDescent="0.2">
      <c r="A616" s="13"/>
      <c r="B616" s="12"/>
      <c r="C616" s="11"/>
      <c r="D616" s="11"/>
      <c r="E616" s="11"/>
      <c r="F616" s="11"/>
      <c r="G616" s="11"/>
      <c r="H616" s="11"/>
      <c r="I616" s="11"/>
      <c r="J616" s="11"/>
      <c r="K616" s="11"/>
    </row>
    <row r="617" spans="1:11" x14ac:dyDescent="0.2">
      <c r="A617" s="13"/>
      <c r="B617" s="12"/>
      <c r="C617" s="11"/>
      <c r="D617" s="11"/>
      <c r="E617" s="11"/>
      <c r="F617" s="11"/>
      <c r="G617" s="11"/>
      <c r="H617" s="11"/>
      <c r="I617" s="11"/>
      <c r="J617" s="11"/>
      <c r="K617" s="11"/>
    </row>
    <row r="618" spans="1:11" x14ac:dyDescent="0.2">
      <c r="A618" s="13"/>
      <c r="B618" s="12"/>
      <c r="C618" s="11"/>
      <c r="D618" s="11"/>
      <c r="E618" s="11"/>
      <c r="F618" s="11"/>
      <c r="G618" s="11"/>
      <c r="H618" s="11"/>
      <c r="I618" s="11"/>
      <c r="J618" s="11"/>
      <c r="K618" s="11"/>
    </row>
    <row r="619" spans="1:11" x14ac:dyDescent="0.2">
      <c r="A619" s="13"/>
      <c r="B619" s="12"/>
      <c r="C619" s="11"/>
      <c r="D619" s="11"/>
      <c r="E619" s="11"/>
      <c r="F619" s="11"/>
      <c r="G619" s="11"/>
      <c r="H619" s="11"/>
      <c r="I619" s="11"/>
      <c r="J619" s="11"/>
      <c r="K619" s="11"/>
    </row>
    <row r="620" spans="1:11" x14ac:dyDescent="0.2">
      <c r="A620" s="13"/>
      <c r="B620" s="12"/>
      <c r="C620" s="11"/>
      <c r="D620" s="11"/>
      <c r="E620" s="11"/>
      <c r="F620" s="11"/>
      <c r="G620" s="11"/>
      <c r="H620" s="11"/>
      <c r="I620" s="11"/>
      <c r="J620" s="11"/>
      <c r="K620" s="11"/>
    </row>
    <row r="621" spans="1:11" x14ac:dyDescent="0.2">
      <c r="A621" s="13"/>
      <c r="B621" s="12"/>
      <c r="C621" s="11"/>
      <c r="D621" s="11"/>
      <c r="E621" s="11"/>
      <c r="F621" s="11"/>
      <c r="G621" s="11"/>
      <c r="H621" s="11"/>
      <c r="I621" s="11"/>
      <c r="J621" s="11"/>
      <c r="K621" s="11"/>
    </row>
    <row r="622" spans="1:11" x14ac:dyDescent="0.2">
      <c r="A622" s="13"/>
      <c r="B622" s="12"/>
      <c r="C622" s="11"/>
      <c r="D622" s="11"/>
      <c r="E622" s="11"/>
      <c r="F622" s="11"/>
      <c r="G622" s="11"/>
      <c r="H622" s="11"/>
      <c r="I622" s="11"/>
      <c r="J622" s="11"/>
      <c r="K622" s="11"/>
    </row>
    <row r="623" spans="1:11" x14ac:dyDescent="0.2">
      <c r="A623" s="13"/>
      <c r="B623" s="12"/>
      <c r="C623" s="11"/>
      <c r="D623" s="11"/>
      <c r="E623" s="11"/>
      <c r="F623" s="11"/>
      <c r="G623" s="11"/>
      <c r="H623" s="11"/>
      <c r="I623" s="11"/>
      <c r="J623" s="11"/>
      <c r="K623" s="11"/>
    </row>
    <row r="624" spans="1:11" x14ac:dyDescent="0.2">
      <c r="A624" s="13"/>
      <c r="B624" s="12"/>
      <c r="C624" s="11"/>
      <c r="D624" s="11"/>
      <c r="E624" s="11"/>
      <c r="F624" s="11"/>
      <c r="G624" s="11"/>
      <c r="H624" s="11"/>
      <c r="I624" s="11"/>
      <c r="J624" s="11"/>
      <c r="K624" s="11"/>
    </row>
    <row r="625" spans="1:11" x14ac:dyDescent="0.2">
      <c r="A625" s="13"/>
      <c r="B625" s="12"/>
      <c r="C625" s="11"/>
      <c r="D625" s="11"/>
      <c r="E625" s="11"/>
      <c r="F625" s="11"/>
      <c r="G625" s="11"/>
      <c r="H625" s="11"/>
      <c r="I625" s="11"/>
      <c r="J625" s="11"/>
      <c r="K625" s="11"/>
    </row>
    <row r="626" spans="1:11" x14ac:dyDescent="0.2">
      <c r="A626" s="13"/>
      <c r="B626" s="12"/>
      <c r="C626" s="11"/>
      <c r="D626" s="11"/>
      <c r="E626" s="11"/>
      <c r="F626" s="11"/>
      <c r="G626" s="11"/>
      <c r="H626" s="11"/>
      <c r="I626" s="11"/>
      <c r="J626" s="11"/>
      <c r="K626" s="11"/>
    </row>
    <row r="627" spans="1:11" x14ac:dyDescent="0.2">
      <c r="A627" s="13"/>
      <c r="B627" s="12"/>
      <c r="C627" s="11"/>
      <c r="D627" s="11"/>
      <c r="E627" s="11"/>
      <c r="F627" s="11"/>
      <c r="G627" s="11"/>
      <c r="H627" s="11"/>
      <c r="I627" s="11"/>
      <c r="J627" s="11"/>
      <c r="K627" s="11"/>
    </row>
    <row r="628" spans="1:11" x14ac:dyDescent="0.2">
      <c r="A628" s="13"/>
      <c r="B628" s="12"/>
      <c r="C628" s="11"/>
      <c r="D628" s="11"/>
      <c r="E628" s="11"/>
      <c r="F628" s="11"/>
      <c r="G628" s="11"/>
      <c r="H628" s="11"/>
      <c r="I628" s="11"/>
      <c r="J628" s="11"/>
      <c r="K628" s="11"/>
    </row>
    <row r="629" spans="1:11" x14ac:dyDescent="0.2">
      <c r="A629" s="13"/>
      <c r="B629" s="12"/>
      <c r="C629" s="11"/>
      <c r="D629" s="11"/>
      <c r="E629" s="11"/>
      <c r="F629" s="11"/>
      <c r="G629" s="11"/>
      <c r="H629" s="11"/>
      <c r="I629" s="11"/>
      <c r="J629" s="11"/>
      <c r="K629" s="11"/>
    </row>
    <row r="630" spans="1:11" x14ac:dyDescent="0.2">
      <c r="A630" s="13"/>
      <c r="B630" s="12"/>
      <c r="C630" s="11"/>
      <c r="D630" s="11"/>
      <c r="E630" s="11"/>
      <c r="F630" s="11"/>
      <c r="G630" s="11"/>
      <c r="H630" s="11"/>
      <c r="I630" s="11"/>
      <c r="J630" s="11"/>
      <c r="K630" s="11"/>
    </row>
    <row r="631" spans="1:11" x14ac:dyDescent="0.2">
      <c r="A631" s="13"/>
      <c r="B631" s="12"/>
      <c r="C631" s="11"/>
      <c r="D631" s="11"/>
      <c r="E631" s="11"/>
      <c r="F631" s="11"/>
      <c r="G631" s="11"/>
      <c r="H631" s="11"/>
      <c r="I631" s="11"/>
      <c r="J631" s="11"/>
      <c r="K631" s="11"/>
    </row>
    <row r="632" spans="1:11" x14ac:dyDescent="0.2">
      <c r="A632" s="13"/>
      <c r="B632" s="12"/>
      <c r="C632" s="11"/>
      <c r="D632" s="11"/>
      <c r="E632" s="11"/>
      <c r="F632" s="11"/>
      <c r="G632" s="11"/>
      <c r="H632" s="11"/>
      <c r="I632" s="11"/>
      <c r="J632" s="11"/>
      <c r="K632" s="11"/>
    </row>
    <row r="633" spans="1:11" x14ac:dyDescent="0.2">
      <c r="A633" s="13"/>
      <c r="B633" s="12"/>
      <c r="C633" s="11"/>
      <c r="D633" s="11"/>
      <c r="E633" s="11"/>
      <c r="F633" s="11"/>
      <c r="G633" s="11"/>
      <c r="H633" s="11"/>
      <c r="I633" s="11"/>
      <c r="J633" s="11"/>
      <c r="K633" s="11"/>
    </row>
    <row r="634" spans="1:11" x14ac:dyDescent="0.2">
      <c r="A634" s="13"/>
      <c r="B634" s="12"/>
      <c r="C634" s="11"/>
      <c r="D634" s="11"/>
      <c r="E634" s="11"/>
      <c r="F634" s="11"/>
      <c r="G634" s="11"/>
      <c r="H634" s="11"/>
      <c r="I634" s="11"/>
      <c r="J634" s="11"/>
      <c r="K634" s="11"/>
    </row>
    <row r="635" spans="1:11" x14ac:dyDescent="0.2">
      <c r="A635" s="13"/>
      <c r="B635" s="12"/>
      <c r="C635" s="11"/>
      <c r="D635" s="11"/>
      <c r="E635" s="11"/>
      <c r="F635" s="11"/>
      <c r="G635" s="11"/>
      <c r="H635" s="11"/>
      <c r="I635" s="11"/>
      <c r="J635" s="11"/>
      <c r="K635" s="11"/>
    </row>
    <row r="636" spans="1:11" x14ac:dyDescent="0.2">
      <c r="A636" s="13"/>
      <c r="B636" s="12"/>
      <c r="C636" s="11"/>
      <c r="D636" s="11"/>
      <c r="E636" s="11"/>
      <c r="F636" s="11"/>
      <c r="G636" s="11"/>
      <c r="H636" s="11"/>
      <c r="I636" s="11"/>
      <c r="J636" s="11"/>
      <c r="K636" s="11"/>
    </row>
    <row r="637" spans="1:11" x14ac:dyDescent="0.2">
      <c r="A637" s="13"/>
      <c r="B637" s="12"/>
      <c r="C637" s="11"/>
      <c r="D637" s="11"/>
      <c r="E637" s="11"/>
      <c r="F637" s="11"/>
      <c r="G637" s="11"/>
      <c r="H637" s="11"/>
      <c r="I637" s="11"/>
      <c r="J637" s="11"/>
      <c r="K637" s="11"/>
    </row>
    <row r="638" spans="1:11" x14ac:dyDescent="0.2">
      <c r="A638" s="13"/>
      <c r="B638" s="12"/>
      <c r="C638" s="11"/>
      <c r="D638" s="11"/>
      <c r="E638" s="11"/>
      <c r="F638" s="11"/>
      <c r="G638" s="11"/>
      <c r="H638" s="11"/>
      <c r="I638" s="11"/>
      <c r="J638" s="11"/>
      <c r="K638" s="11"/>
    </row>
    <row r="639" spans="1:11" x14ac:dyDescent="0.2">
      <c r="A639" s="13"/>
      <c r="B639" s="12"/>
      <c r="C639" s="11"/>
      <c r="D639" s="11"/>
      <c r="E639" s="11"/>
      <c r="F639" s="11"/>
      <c r="G639" s="11"/>
      <c r="H639" s="11"/>
      <c r="I639" s="11"/>
      <c r="J639" s="11"/>
      <c r="K639" s="11"/>
    </row>
    <row r="640" spans="1:11" x14ac:dyDescent="0.2">
      <c r="A640" s="13"/>
      <c r="B640" s="12"/>
      <c r="C640" s="11"/>
      <c r="D640" s="11"/>
      <c r="E640" s="11"/>
      <c r="F640" s="11"/>
      <c r="G640" s="11"/>
      <c r="H640" s="11"/>
      <c r="I640" s="11"/>
      <c r="J640" s="11"/>
      <c r="K640" s="11"/>
    </row>
    <row r="641" spans="1:11" x14ac:dyDescent="0.2">
      <c r="A641" s="13"/>
      <c r="B641" s="12"/>
      <c r="C641" s="11"/>
      <c r="D641" s="11"/>
      <c r="E641" s="11"/>
      <c r="F641" s="11"/>
      <c r="G641" s="11"/>
      <c r="H641" s="11"/>
      <c r="I641" s="11"/>
      <c r="J641" s="11"/>
      <c r="K641" s="11"/>
    </row>
    <row r="642" spans="1:11" x14ac:dyDescent="0.2">
      <c r="A642" s="13"/>
      <c r="B642" s="12"/>
      <c r="C642" s="11"/>
      <c r="D642" s="11"/>
      <c r="E642" s="11"/>
      <c r="F642" s="11"/>
      <c r="G642" s="11"/>
      <c r="H642" s="11"/>
      <c r="I642" s="11"/>
      <c r="J642" s="11"/>
      <c r="K642" s="11"/>
    </row>
    <row r="643" spans="1:11" x14ac:dyDescent="0.2">
      <c r="A643" s="13"/>
      <c r="B643" s="12"/>
      <c r="C643" s="11"/>
      <c r="D643" s="11"/>
      <c r="E643" s="11"/>
      <c r="F643" s="11"/>
      <c r="G643" s="11"/>
      <c r="H643" s="11"/>
      <c r="I643" s="11"/>
      <c r="J643" s="11"/>
      <c r="K643" s="11"/>
    </row>
    <row r="644" spans="1:11" x14ac:dyDescent="0.2">
      <c r="A644" s="13"/>
      <c r="B644" s="12"/>
      <c r="C644" s="11"/>
      <c r="D644" s="11"/>
      <c r="E644" s="11"/>
      <c r="F644" s="11"/>
      <c r="G644" s="11"/>
      <c r="H644" s="11"/>
      <c r="I644" s="11"/>
      <c r="J644" s="11"/>
      <c r="K644" s="11"/>
    </row>
    <row r="645" spans="1:11" x14ac:dyDescent="0.2">
      <c r="A645" s="13"/>
      <c r="B645" s="12"/>
      <c r="C645" s="11"/>
      <c r="D645" s="11"/>
      <c r="E645" s="11"/>
      <c r="F645" s="11"/>
      <c r="G645" s="11"/>
      <c r="H645" s="11"/>
      <c r="I645" s="11"/>
      <c r="J645" s="11"/>
      <c r="K645" s="11"/>
    </row>
    <row r="646" spans="1:11" x14ac:dyDescent="0.2">
      <c r="A646" s="13"/>
      <c r="B646" s="12"/>
      <c r="C646" s="11"/>
      <c r="D646" s="11"/>
      <c r="E646" s="11"/>
      <c r="F646" s="11"/>
      <c r="G646" s="11"/>
      <c r="H646" s="11"/>
      <c r="I646" s="11"/>
      <c r="J646" s="11"/>
      <c r="K646" s="11"/>
    </row>
    <row r="647" spans="1:11" x14ac:dyDescent="0.2">
      <c r="A647" s="13"/>
      <c r="B647" s="12"/>
      <c r="C647" s="11"/>
      <c r="D647" s="11"/>
      <c r="E647" s="11"/>
      <c r="F647" s="11"/>
      <c r="G647" s="11"/>
      <c r="H647" s="11"/>
      <c r="I647" s="11"/>
      <c r="J647" s="11"/>
      <c r="K647" s="11"/>
    </row>
    <row r="648" spans="1:11" x14ac:dyDescent="0.2">
      <c r="A648" s="13"/>
      <c r="B648" s="12"/>
      <c r="C648" s="11"/>
      <c r="D648" s="11"/>
      <c r="E648" s="11"/>
      <c r="F648" s="11"/>
      <c r="G648" s="11"/>
      <c r="H648" s="11"/>
      <c r="I648" s="11"/>
      <c r="J648" s="11"/>
      <c r="K648" s="11"/>
    </row>
    <row r="649" spans="1:11" x14ac:dyDescent="0.2">
      <c r="A649" s="13"/>
      <c r="B649" s="12"/>
      <c r="C649" s="11"/>
      <c r="D649" s="11"/>
      <c r="E649" s="11"/>
      <c r="F649" s="11"/>
      <c r="G649" s="11"/>
      <c r="H649" s="11"/>
      <c r="I649" s="11"/>
      <c r="J649" s="11"/>
      <c r="K649" s="11"/>
    </row>
    <row r="650" spans="1:11" x14ac:dyDescent="0.2">
      <c r="A650" s="13"/>
      <c r="B650" s="12"/>
      <c r="C650" s="11"/>
      <c r="D650" s="11"/>
      <c r="E650" s="11"/>
      <c r="F650" s="11"/>
      <c r="G650" s="11"/>
      <c r="H650" s="11"/>
      <c r="I650" s="11"/>
      <c r="J650" s="11"/>
      <c r="K650" s="11"/>
    </row>
    <row r="651" spans="1:11" x14ac:dyDescent="0.2">
      <c r="A651" s="13"/>
      <c r="B651" s="12"/>
      <c r="C651" s="11"/>
      <c r="D651" s="11"/>
      <c r="E651" s="11"/>
      <c r="F651" s="11"/>
      <c r="G651" s="11"/>
      <c r="H651" s="11"/>
      <c r="I651" s="11"/>
      <c r="J651" s="11"/>
      <c r="K651" s="11"/>
    </row>
    <row r="652" spans="1:11" x14ac:dyDescent="0.2">
      <c r="A652" s="13"/>
      <c r="B652" s="12"/>
      <c r="C652" s="11"/>
      <c r="D652" s="11"/>
      <c r="E652" s="11"/>
      <c r="F652" s="11"/>
      <c r="G652" s="11"/>
      <c r="H652" s="11"/>
      <c r="I652" s="11"/>
      <c r="J652" s="11"/>
      <c r="K652" s="11"/>
    </row>
    <row r="653" spans="1:11" x14ac:dyDescent="0.2">
      <c r="A653" s="13"/>
      <c r="B653" s="12"/>
      <c r="C653" s="11"/>
      <c r="D653" s="11"/>
      <c r="E653" s="11"/>
      <c r="F653" s="11"/>
      <c r="G653" s="11"/>
      <c r="H653" s="11"/>
      <c r="I653" s="11"/>
      <c r="J653" s="11"/>
      <c r="K653" s="11"/>
    </row>
    <row r="654" spans="1:11" x14ac:dyDescent="0.2">
      <c r="A654" s="13"/>
      <c r="B654" s="12"/>
      <c r="C654" s="11"/>
      <c r="D654" s="11"/>
      <c r="E654" s="11"/>
      <c r="F654" s="11"/>
      <c r="G654" s="11"/>
      <c r="H654" s="11"/>
      <c r="I654" s="11"/>
      <c r="J654" s="11"/>
      <c r="K654" s="11"/>
    </row>
    <row r="655" spans="1:11" x14ac:dyDescent="0.2">
      <c r="A655" s="13"/>
      <c r="B655" s="12"/>
      <c r="C655" s="11"/>
      <c r="D655" s="11"/>
      <c r="E655" s="11"/>
      <c r="F655" s="11"/>
      <c r="G655" s="11"/>
      <c r="H655" s="11"/>
      <c r="I655" s="11"/>
      <c r="J655" s="11"/>
      <c r="K655" s="11"/>
    </row>
    <row r="656" spans="1:11" x14ac:dyDescent="0.2">
      <c r="A656" s="13"/>
      <c r="B656" s="12"/>
      <c r="C656" s="11"/>
      <c r="D656" s="11"/>
      <c r="E656" s="11"/>
      <c r="F656" s="11"/>
      <c r="G656" s="11"/>
      <c r="H656" s="11"/>
      <c r="I656" s="11"/>
      <c r="J656" s="11"/>
      <c r="K656" s="11"/>
    </row>
    <row r="657" spans="1:11" x14ac:dyDescent="0.2">
      <c r="A657" s="13"/>
      <c r="B657" s="12"/>
      <c r="C657" s="11"/>
      <c r="D657" s="11"/>
      <c r="E657" s="11"/>
      <c r="F657" s="11"/>
      <c r="G657" s="11"/>
      <c r="H657" s="11"/>
      <c r="I657" s="11"/>
      <c r="J657" s="11"/>
      <c r="K657" s="11"/>
    </row>
    <row r="658" spans="1:11" x14ac:dyDescent="0.2">
      <c r="A658" s="13"/>
      <c r="B658" s="12"/>
      <c r="C658" s="11"/>
      <c r="D658" s="11"/>
      <c r="E658" s="11"/>
      <c r="F658" s="11"/>
      <c r="G658" s="11"/>
      <c r="H658" s="11"/>
      <c r="I658" s="11"/>
      <c r="J658" s="11"/>
      <c r="K658" s="11"/>
    </row>
    <row r="659" spans="1:11" x14ac:dyDescent="0.2">
      <c r="A659" s="13"/>
      <c r="B659" s="12"/>
      <c r="C659" s="11"/>
      <c r="D659" s="11"/>
      <c r="E659" s="11"/>
      <c r="F659" s="11"/>
      <c r="G659" s="11"/>
      <c r="H659" s="11"/>
      <c r="I659" s="11"/>
      <c r="J659" s="11"/>
      <c r="K659" s="11"/>
    </row>
    <row r="660" spans="1:11" x14ac:dyDescent="0.2">
      <c r="A660" s="13"/>
      <c r="B660" s="12"/>
      <c r="C660" s="11"/>
      <c r="D660" s="11"/>
      <c r="E660" s="11"/>
      <c r="F660" s="11"/>
      <c r="G660" s="11"/>
      <c r="H660" s="11"/>
      <c r="I660" s="11"/>
      <c r="J660" s="11"/>
      <c r="K660" s="11"/>
    </row>
    <row r="661" spans="1:11" x14ac:dyDescent="0.2">
      <c r="A661" s="13"/>
      <c r="B661" s="12"/>
      <c r="C661" s="11"/>
      <c r="D661" s="11"/>
      <c r="E661" s="11"/>
      <c r="F661" s="11"/>
      <c r="G661" s="11"/>
      <c r="H661" s="11"/>
      <c r="I661" s="11"/>
      <c r="J661" s="11"/>
      <c r="K661" s="11"/>
    </row>
    <row r="662" spans="1:11" x14ac:dyDescent="0.2">
      <c r="A662" s="13"/>
      <c r="B662" s="12"/>
      <c r="C662" s="11"/>
      <c r="D662" s="11"/>
      <c r="E662" s="11"/>
      <c r="F662" s="11"/>
      <c r="G662" s="11"/>
      <c r="H662" s="11"/>
      <c r="I662" s="11"/>
      <c r="J662" s="11"/>
      <c r="K662" s="11"/>
    </row>
    <row r="663" spans="1:11" x14ac:dyDescent="0.2">
      <c r="A663" s="13"/>
      <c r="B663" s="12"/>
      <c r="C663" s="11"/>
      <c r="D663" s="11"/>
      <c r="E663" s="11"/>
      <c r="F663" s="11"/>
      <c r="G663" s="11"/>
      <c r="H663" s="11"/>
      <c r="I663" s="11"/>
      <c r="J663" s="11"/>
      <c r="K663" s="11"/>
    </row>
    <row r="664" spans="1:11" x14ac:dyDescent="0.2">
      <c r="A664" s="13"/>
      <c r="B664" s="12"/>
      <c r="C664" s="11"/>
      <c r="D664" s="11"/>
      <c r="E664" s="11"/>
      <c r="F664" s="11"/>
      <c r="G664" s="11"/>
      <c r="H664" s="11"/>
      <c r="I664" s="11"/>
      <c r="J664" s="11"/>
      <c r="K664" s="11"/>
    </row>
    <row r="665" spans="1:11" x14ac:dyDescent="0.2">
      <c r="A665" s="13"/>
      <c r="B665" s="12"/>
      <c r="C665" s="11"/>
      <c r="D665" s="11"/>
      <c r="E665" s="11"/>
      <c r="F665" s="11"/>
      <c r="G665" s="11"/>
      <c r="H665" s="11"/>
      <c r="I665" s="11"/>
      <c r="J665" s="11"/>
      <c r="K665" s="11"/>
    </row>
    <row r="666" spans="1:11" x14ac:dyDescent="0.2">
      <c r="A666" s="13"/>
      <c r="B666" s="12"/>
      <c r="C666" s="11"/>
      <c r="D666" s="11"/>
      <c r="E666" s="11"/>
      <c r="F666" s="11"/>
      <c r="G666" s="11"/>
      <c r="H666" s="11"/>
      <c r="I666" s="11"/>
      <c r="J666" s="11"/>
      <c r="K666" s="11"/>
    </row>
    <row r="667" spans="1:11" x14ac:dyDescent="0.2">
      <c r="A667" s="13"/>
      <c r="B667" s="12"/>
      <c r="C667" s="11"/>
      <c r="D667" s="11"/>
      <c r="E667" s="11"/>
      <c r="F667" s="11"/>
      <c r="G667" s="11"/>
      <c r="H667" s="11"/>
      <c r="I667" s="11"/>
      <c r="J667" s="11"/>
      <c r="K667" s="11"/>
    </row>
    <row r="668" spans="1:11" x14ac:dyDescent="0.2">
      <c r="A668" s="13"/>
      <c r="B668" s="12"/>
      <c r="C668" s="11"/>
      <c r="D668" s="11"/>
      <c r="E668" s="11"/>
      <c r="F668" s="11"/>
      <c r="G668" s="11"/>
      <c r="H668" s="11"/>
      <c r="I668" s="11"/>
      <c r="J668" s="11"/>
      <c r="K668" s="11"/>
    </row>
    <row r="669" spans="1:11" x14ac:dyDescent="0.2">
      <c r="A669" s="13"/>
      <c r="B669" s="12"/>
      <c r="C669" s="11"/>
      <c r="D669" s="11"/>
      <c r="E669" s="11"/>
      <c r="F669" s="11"/>
      <c r="G669" s="11"/>
      <c r="H669" s="11"/>
      <c r="I669" s="11"/>
      <c r="J669" s="11"/>
      <c r="K669" s="11"/>
    </row>
    <row r="670" spans="1:11" x14ac:dyDescent="0.2">
      <c r="A670" s="13"/>
      <c r="B670" s="12"/>
      <c r="C670" s="11"/>
      <c r="D670" s="11"/>
      <c r="E670" s="11"/>
      <c r="F670" s="11"/>
      <c r="G670" s="11"/>
      <c r="H670" s="11"/>
      <c r="I670" s="11"/>
      <c r="J670" s="11"/>
      <c r="K670" s="11"/>
    </row>
    <row r="671" spans="1:11" x14ac:dyDescent="0.2">
      <c r="A671" s="13"/>
      <c r="B671" s="12"/>
      <c r="C671" s="11"/>
      <c r="D671" s="11"/>
      <c r="E671" s="11"/>
      <c r="F671" s="11"/>
      <c r="G671" s="11"/>
      <c r="H671" s="11"/>
      <c r="I671" s="11"/>
      <c r="J671" s="11"/>
      <c r="K671" s="11"/>
    </row>
    <row r="672" spans="1:11" x14ac:dyDescent="0.2">
      <c r="A672" s="13"/>
      <c r="B672" s="12"/>
      <c r="C672" s="11"/>
      <c r="D672" s="11"/>
      <c r="E672" s="11"/>
      <c r="F672" s="11"/>
      <c r="G672" s="11"/>
      <c r="H672" s="11"/>
      <c r="I672" s="11"/>
      <c r="J672" s="11"/>
      <c r="K672" s="11"/>
    </row>
    <row r="673" spans="1:11" x14ac:dyDescent="0.2">
      <c r="A673" s="13"/>
      <c r="B673" s="12"/>
      <c r="C673" s="11"/>
      <c r="D673" s="11"/>
      <c r="E673" s="11"/>
      <c r="F673" s="11"/>
      <c r="G673" s="11"/>
      <c r="H673" s="11"/>
      <c r="I673" s="11"/>
      <c r="J673" s="11"/>
      <c r="K673" s="11"/>
    </row>
    <row r="674" spans="1:11" x14ac:dyDescent="0.2">
      <c r="A674" s="13"/>
      <c r="B674" s="12"/>
      <c r="C674" s="11"/>
      <c r="D674" s="11"/>
      <c r="E674" s="11"/>
      <c r="F674" s="11"/>
      <c r="G674" s="11"/>
      <c r="H674" s="11"/>
      <c r="I674" s="11"/>
      <c r="J674" s="11"/>
      <c r="K674" s="11"/>
    </row>
    <row r="675" spans="1:11" x14ac:dyDescent="0.2">
      <c r="A675" s="13"/>
      <c r="B675" s="12"/>
      <c r="C675" s="11"/>
      <c r="D675" s="11"/>
      <c r="E675" s="11"/>
      <c r="F675" s="11"/>
      <c r="G675" s="11"/>
      <c r="H675" s="11"/>
      <c r="I675" s="11"/>
      <c r="J675" s="11"/>
      <c r="K675" s="11"/>
    </row>
    <row r="676" spans="1:11" x14ac:dyDescent="0.2">
      <c r="A676" s="13"/>
      <c r="B676" s="12"/>
      <c r="C676" s="11"/>
      <c r="D676" s="11"/>
      <c r="E676" s="11"/>
      <c r="F676" s="11"/>
      <c r="G676" s="11"/>
      <c r="H676" s="11"/>
      <c r="I676" s="11"/>
      <c r="J676" s="11"/>
      <c r="K676" s="11"/>
    </row>
    <row r="677" spans="1:11" x14ac:dyDescent="0.2">
      <c r="A677" s="13"/>
      <c r="B677" s="12"/>
      <c r="C677" s="11"/>
      <c r="D677" s="11"/>
      <c r="E677" s="11"/>
      <c r="F677" s="11"/>
      <c r="G677" s="11"/>
      <c r="H677" s="11"/>
      <c r="I677" s="11"/>
      <c r="J677" s="11"/>
      <c r="K677" s="11"/>
    </row>
    <row r="678" spans="1:11" x14ac:dyDescent="0.2">
      <c r="A678" s="13"/>
      <c r="B678" s="12"/>
      <c r="C678" s="11"/>
      <c r="D678" s="11"/>
      <c r="E678" s="11"/>
      <c r="F678" s="11"/>
      <c r="G678" s="11"/>
      <c r="H678" s="11"/>
      <c r="I678" s="11"/>
      <c r="J678" s="11"/>
      <c r="K678" s="11"/>
    </row>
    <row r="679" spans="1:11" x14ac:dyDescent="0.2">
      <c r="A679" s="13"/>
      <c r="B679" s="12"/>
      <c r="C679" s="11"/>
      <c r="D679" s="11"/>
      <c r="E679" s="11"/>
      <c r="F679" s="11"/>
      <c r="G679" s="11"/>
      <c r="H679" s="11"/>
      <c r="I679" s="11"/>
      <c r="J679" s="11"/>
      <c r="K679" s="11"/>
    </row>
    <row r="680" spans="1:11" x14ac:dyDescent="0.2">
      <c r="A680" s="13"/>
      <c r="B680" s="12"/>
      <c r="C680" s="11"/>
      <c r="D680" s="11"/>
      <c r="E680" s="11"/>
      <c r="F680" s="11"/>
      <c r="G680" s="11"/>
      <c r="H680" s="11"/>
      <c r="I680" s="11"/>
      <c r="J680" s="11"/>
      <c r="K680" s="11"/>
    </row>
    <row r="681" spans="1:11" x14ac:dyDescent="0.2">
      <c r="A681" s="13"/>
      <c r="B681" s="12"/>
      <c r="C681" s="11"/>
      <c r="D681" s="11"/>
      <c r="E681" s="11"/>
      <c r="F681" s="11"/>
      <c r="G681" s="11"/>
      <c r="H681" s="11"/>
      <c r="I681" s="11"/>
      <c r="J681" s="11"/>
      <c r="K681" s="11"/>
    </row>
    <row r="682" spans="1:11" x14ac:dyDescent="0.2">
      <c r="A682" s="13"/>
      <c r="B682" s="12"/>
      <c r="C682" s="11"/>
      <c r="D682" s="11"/>
      <c r="E682" s="11"/>
      <c r="F682" s="11"/>
      <c r="G682" s="11"/>
      <c r="H682" s="11"/>
      <c r="I682" s="11"/>
      <c r="J682" s="11"/>
      <c r="K682" s="11"/>
    </row>
    <row r="683" spans="1:11" x14ac:dyDescent="0.2">
      <c r="A683" s="13"/>
      <c r="B683" s="12"/>
      <c r="C683" s="11"/>
      <c r="D683" s="11"/>
      <c r="E683" s="11"/>
      <c r="F683" s="11"/>
      <c r="G683" s="11"/>
      <c r="H683" s="11"/>
      <c r="I683" s="11"/>
      <c r="J683" s="11"/>
      <c r="K683" s="11"/>
    </row>
    <row r="684" spans="1:11" x14ac:dyDescent="0.2">
      <c r="A684" s="13"/>
      <c r="B684" s="12"/>
      <c r="C684" s="11"/>
      <c r="D684" s="11"/>
      <c r="E684" s="11"/>
      <c r="F684" s="11"/>
      <c r="G684" s="11"/>
      <c r="H684" s="11"/>
      <c r="I684" s="11"/>
      <c r="J684" s="11"/>
      <c r="K684" s="11"/>
    </row>
    <row r="685" spans="1:11" x14ac:dyDescent="0.2">
      <c r="A685" s="13"/>
      <c r="B685" s="12"/>
      <c r="C685" s="11"/>
      <c r="D685" s="11"/>
      <c r="E685" s="11"/>
      <c r="F685" s="11"/>
      <c r="G685" s="11"/>
      <c r="H685" s="11"/>
      <c r="I685" s="11"/>
      <c r="J685" s="11"/>
      <c r="K685" s="11"/>
    </row>
    <row r="686" spans="1:11" x14ac:dyDescent="0.2">
      <c r="A686" s="13"/>
      <c r="B686" s="12"/>
      <c r="C686" s="11"/>
      <c r="D686" s="11"/>
      <c r="E686" s="11"/>
      <c r="F686" s="11"/>
      <c r="G686" s="11"/>
      <c r="H686" s="11"/>
      <c r="I686" s="11"/>
      <c r="J686" s="11"/>
      <c r="K686" s="11"/>
    </row>
    <row r="687" spans="1:11" x14ac:dyDescent="0.2">
      <c r="A687" s="13"/>
      <c r="B687" s="12"/>
      <c r="C687" s="11"/>
      <c r="D687" s="11"/>
      <c r="E687" s="11"/>
      <c r="F687" s="11"/>
      <c r="G687" s="11"/>
      <c r="H687" s="11"/>
      <c r="I687" s="11"/>
      <c r="J687" s="11"/>
      <c r="K687" s="11"/>
    </row>
    <row r="688" spans="1:11" x14ac:dyDescent="0.2">
      <c r="A688" s="13"/>
      <c r="B688" s="12"/>
      <c r="C688" s="11"/>
      <c r="D688" s="11"/>
      <c r="E688" s="11"/>
      <c r="F688" s="11"/>
      <c r="G688" s="11"/>
      <c r="H688" s="11"/>
      <c r="I688" s="11"/>
      <c r="J688" s="11"/>
      <c r="K688" s="11"/>
    </row>
    <row r="689" spans="1:11" x14ac:dyDescent="0.2">
      <c r="A689" s="13"/>
      <c r="B689" s="12"/>
      <c r="C689" s="11"/>
      <c r="D689" s="11"/>
      <c r="E689" s="11"/>
      <c r="F689" s="11"/>
      <c r="G689" s="11"/>
      <c r="H689" s="11"/>
      <c r="I689" s="11"/>
      <c r="J689" s="11"/>
      <c r="K689" s="11"/>
    </row>
    <row r="690" spans="1:11" x14ac:dyDescent="0.2">
      <c r="A690" s="13"/>
      <c r="B690" s="12"/>
      <c r="C690" s="11"/>
      <c r="D690" s="11"/>
      <c r="E690" s="11"/>
      <c r="F690" s="11"/>
      <c r="G690" s="11"/>
      <c r="H690" s="11"/>
      <c r="I690" s="11"/>
      <c r="J690" s="11"/>
      <c r="K690" s="11"/>
    </row>
    <row r="691" spans="1:11" x14ac:dyDescent="0.2">
      <c r="A691" s="13"/>
      <c r="B691" s="12"/>
      <c r="C691" s="11"/>
      <c r="D691" s="11"/>
      <c r="E691" s="11"/>
      <c r="F691" s="11"/>
      <c r="G691" s="11"/>
      <c r="H691" s="11"/>
      <c r="I691" s="11"/>
      <c r="J691" s="11"/>
      <c r="K691" s="11"/>
    </row>
    <row r="692" spans="1:11" x14ac:dyDescent="0.2">
      <c r="A692" s="13"/>
      <c r="B692" s="12"/>
      <c r="C692" s="11"/>
      <c r="D692" s="11"/>
      <c r="E692" s="11"/>
      <c r="F692" s="11"/>
      <c r="G692" s="11"/>
      <c r="H692" s="11"/>
      <c r="I692" s="11"/>
      <c r="J692" s="11"/>
      <c r="K692" s="11"/>
    </row>
    <row r="693" spans="1:11" x14ac:dyDescent="0.2">
      <c r="A693" s="13"/>
      <c r="B693" s="12"/>
      <c r="C693" s="11"/>
      <c r="D693" s="11"/>
      <c r="E693" s="11"/>
      <c r="F693" s="11"/>
      <c r="G693" s="11"/>
      <c r="H693" s="11"/>
      <c r="I693" s="11"/>
      <c r="J693" s="11"/>
      <c r="K693" s="11"/>
    </row>
    <row r="694" spans="1:11" x14ac:dyDescent="0.2">
      <c r="A694" s="13"/>
      <c r="B694" s="12"/>
      <c r="C694" s="11"/>
      <c r="D694" s="11"/>
      <c r="E694" s="11"/>
      <c r="F694" s="11"/>
      <c r="G694" s="11"/>
      <c r="H694" s="11"/>
      <c r="I694" s="11"/>
      <c r="J694" s="11"/>
      <c r="K694" s="11"/>
    </row>
    <row r="695" spans="1:11" x14ac:dyDescent="0.2">
      <c r="A695" s="13"/>
      <c r="B695" s="12"/>
      <c r="C695" s="11"/>
      <c r="D695" s="11"/>
      <c r="E695" s="11"/>
      <c r="F695" s="11"/>
      <c r="G695" s="11"/>
      <c r="H695" s="11"/>
      <c r="I695" s="11"/>
      <c r="J695" s="11"/>
      <c r="K695" s="11"/>
    </row>
    <row r="696" spans="1:11" x14ac:dyDescent="0.2">
      <c r="A696" s="13"/>
      <c r="B696" s="12"/>
      <c r="C696" s="11"/>
      <c r="D696" s="11"/>
      <c r="E696" s="11"/>
      <c r="F696" s="11"/>
      <c r="G696" s="11"/>
      <c r="H696" s="11"/>
      <c r="I696" s="11"/>
      <c r="J696" s="11"/>
      <c r="K696" s="11"/>
    </row>
    <row r="697" spans="1:11" x14ac:dyDescent="0.2">
      <c r="A697" s="13"/>
      <c r="B697" s="12"/>
      <c r="C697" s="11"/>
      <c r="D697" s="11"/>
      <c r="E697" s="11"/>
      <c r="F697" s="11"/>
      <c r="G697" s="11"/>
      <c r="H697" s="11"/>
      <c r="I697" s="11"/>
      <c r="J697" s="11"/>
      <c r="K697" s="11"/>
    </row>
    <row r="698" spans="1:11" x14ac:dyDescent="0.2">
      <c r="A698" s="13"/>
      <c r="B698" s="12"/>
      <c r="C698" s="11"/>
      <c r="D698" s="11"/>
      <c r="E698" s="11"/>
      <c r="F698" s="11"/>
      <c r="G698" s="11"/>
      <c r="H698" s="11"/>
      <c r="I698" s="11"/>
      <c r="J698" s="11"/>
      <c r="K698" s="11"/>
    </row>
    <row r="699" spans="1:11" x14ac:dyDescent="0.2">
      <c r="A699" s="13"/>
      <c r="B699" s="12"/>
      <c r="C699" s="11"/>
      <c r="D699" s="11"/>
      <c r="E699" s="11"/>
      <c r="F699" s="11"/>
      <c r="G699" s="11"/>
      <c r="H699" s="11"/>
      <c r="I699" s="11"/>
      <c r="J699" s="11"/>
      <c r="K699" s="11"/>
    </row>
    <row r="700" spans="1:11" x14ac:dyDescent="0.2">
      <c r="A700" s="13"/>
      <c r="B700" s="12"/>
      <c r="C700" s="11"/>
      <c r="D700" s="11"/>
      <c r="E700" s="11"/>
      <c r="F700" s="11"/>
      <c r="G700" s="11"/>
      <c r="H700" s="11"/>
      <c r="I700" s="11"/>
      <c r="J700" s="11"/>
      <c r="K700" s="11"/>
    </row>
    <row r="701" spans="1:11" x14ac:dyDescent="0.2">
      <c r="A701" s="13"/>
      <c r="B701" s="12"/>
      <c r="C701" s="11"/>
      <c r="D701" s="11"/>
      <c r="E701" s="11"/>
      <c r="F701" s="11"/>
      <c r="G701" s="11"/>
      <c r="H701" s="11"/>
      <c r="I701" s="11"/>
      <c r="J701" s="11"/>
      <c r="K701" s="11"/>
    </row>
    <row r="702" spans="1:11" x14ac:dyDescent="0.2">
      <c r="A702" s="13"/>
      <c r="B702" s="12"/>
      <c r="C702" s="11"/>
      <c r="D702" s="11"/>
      <c r="E702" s="11"/>
      <c r="F702" s="11"/>
      <c r="G702" s="11"/>
      <c r="H702" s="11"/>
      <c r="I702" s="11"/>
      <c r="J702" s="11"/>
      <c r="K702" s="11"/>
    </row>
    <row r="703" spans="1:11" x14ac:dyDescent="0.2">
      <c r="A703" s="13"/>
      <c r="B703" s="12"/>
      <c r="C703" s="11"/>
      <c r="D703" s="11"/>
      <c r="E703" s="11"/>
      <c r="F703" s="11"/>
      <c r="G703" s="11"/>
      <c r="H703" s="11"/>
      <c r="I703" s="11"/>
      <c r="J703" s="11"/>
      <c r="K703" s="11"/>
    </row>
    <row r="704" spans="1:11" x14ac:dyDescent="0.2">
      <c r="A704" s="13"/>
      <c r="B704" s="12"/>
      <c r="C704" s="11"/>
      <c r="D704" s="11"/>
      <c r="E704" s="11"/>
      <c r="F704" s="11"/>
      <c r="G704" s="11"/>
      <c r="H704" s="11"/>
      <c r="I704" s="11"/>
      <c r="J704" s="11"/>
      <c r="K704" s="11"/>
    </row>
    <row r="705" spans="1:11" x14ac:dyDescent="0.2">
      <c r="A705" s="13"/>
      <c r="B705" s="12"/>
      <c r="C705" s="11"/>
      <c r="D705" s="11"/>
      <c r="E705" s="11"/>
      <c r="F705" s="11"/>
      <c r="G705" s="11"/>
      <c r="H705" s="11"/>
      <c r="I705" s="11"/>
      <c r="J705" s="11"/>
      <c r="K705" s="11"/>
    </row>
    <row r="706" spans="1:11" x14ac:dyDescent="0.2">
      <c r="A706" s="13"/>
      <c r="B706" s="12"/>
      <c r="C706" s="11"/>
      <c r="D706" s="11"/>
      <c r="E706" s="11"/>
      <c r="F706" s="11"/>
      <c r="G706" s="11"/>
      <c r="H706" s="11"/>
      <c r="I706" s="11"/>
      <c r="J706" s="11"/>
      <c r="K706" s="11"/>
    </row>
    <row r="707" spans="1:11" x14ac:dyDescent="0.2">
      <c r="A707" s="13"/>
      <c r="B707" s="12"/>
      <c r="C707" s="11"/>
      <c r="D707" s="11"/>
      <c r="E707" s="11"/>
      <c r="F707" s="11"/>
      <c r="G707" s="11"/>
      <c r="H707" s="11"/>
      <c r="I707" s="11"/>
      <c r="J707" s="11"/>
      <c r="K707" s="11"/>
    </row>
    <row r="708" spans="1:11" x14ac:dyDescent="0.2">
      <c r="A708" s="13"/>
      <c r="B708" s="12"/>
      <c r="C708" s="11"/>
      <c r="D708" s="11"/>
      <c r="E708" s="11"/>
      <c r="F708" s="11"/>
      <c r="G708" s="11"/>
      <c r="H708" s="11"/>
      <c r="I708" s="11"/>
      <c r="J708" s="11"/>
      <c r="K708" s="11"/>
    </row>
    <row r="709" spans="1:11" x14ac:dyDescent="0.2">
      <c r="A709" s="13"/>
      <c r="B709" s="12"/>
      <c r="C709" s="11"/>
      <c r="D709" s="11"/>
      <c r="E709" s="11"/>
      <c r="F709" s="11"/>
      <c r="G709" s="11"/>
      <c r="H709" s="11"/>
      <c r="I709" s="11"/>
      <c r="J709" s="11"/>
      <c r="K709" s="11"/>
    </row>
    <row r="710" spans="1:11" x14ac:dyDescent="0.2">
      <c r="A710" s="13"/>
      <c r="B710" s="12"/>
      <c r="C710" s="11"/>
      <c r="D710" s="11"/>
      <c r="E710" s="11"/>
      <c r="F710" s="11"/>
      <c r="G710" s="11"/>
      <c r="H710" s="11"/>
      <c r="I710" s="11"/>
      <c r="J710" s="11"/>
      <c r="K710" s="11"/>
    </row>
    <row r="711" spans="1:11" x14ac:dyDescent="0.2">
      <c r="A711" s="13"/>
      <c r="B711" s="12"/>
      <c r="C711" s="11"/>
      <c r="D711" s="11"/>
      <c r="E711" s="11"/>
      <c r="F711" s="11"/>
      <c r="G711" s="11"/>
      <c r="H711" s="11"/>
      <c r="I711" s="11"/>
      <c r="J711" s="11"/>
      <c r="K711" s="11"/>
    </row>
    <row r="712" spans="1:11" x14ac:dyDescent="0.2">
      <c r="A712" s="13"/>
      <c r="B712" s="12"/>
      <c r="C712" s="11"/>
      <c r="D712" s="11"/>
      <c r="E712" s="11"/>
      <c r="F712" s="11"/>
      <c r="G712" s="11"/>
      <c r="H712" s="11"/>
      <c r="I712" s="11"/>
      <c r="J712" s="11"/>
      <c r="K712" s="11"/>
    </row>
    <row r="713" spans="1:11" x14ac:dyDescent="0.2">
      <c r="A713" s="13"/>
      <c r="B713" s="12"/>
      <c r="C713" s="11"/>
      <c r="D713" s="11"/>
      <c r="E713" s="11"/>
      <c r="F713" s="11"/>
      <c r="G713" s="11"/>
      <c r="H713" s="11"/>
      <c r="I713" s="11"/>
      <c r="J713" s="11"/>
      <c r="K713" s="11"/>
    </row>
    <row r="714" spans="1:11" x14ac:dyDescent="0.2">
      <c r="A714" s="13"/>
      <c r="B714" s="12"/>
      <c r="C714" s="11"/>
      <c r="D714" s="11"/>
      <c r="E714" s="11"/>
      <c r="F714" s="11"/>
      <c r="G714" s="11"/>
      <c r="H714" s="11"/>
      <c r="I714" s="11"/>
      <c r="J714" s="11"/>
      <c r="K714" s="11"/>
    </row>
    <row r="715" spans="1:11" x14ac:dyDescent="0.2">
      <c r="A715" s="13"/>
      <c r="B715" s="12"/>
      <c r="C715" s="11"/>
      <c r="D715" s="11"/>
      <c r="E715" s="11"/>
      <c r="F715" s="11"/>
      <c r="G715" s="11"/>
      <c r="H715" s="11"/>
      <c r="I715" s="11"/>
      <c r="J715" s="11"/>
      <c r="K715" s="11"/>
    </row>
    <row r="716" spans="1:11" x14ac:dyDescent="0.2">
      <c r="A716" s="13"/>
      <c r="B716" s="12"/>
      <c r="C716" s="11"/>
      <c r="D716" s="11"/>
      <c r="E716" s="11"/>
      <c r="F716" s="11"/>
      <c r="G716" s="11"/>
      <c r="H716" s="11"/>
      <c r="I716" s="11"/>
      <c r="J716" s="11"/>
      <c r="K716" s="11"/>
    </row>
    <row r="717" spans="1:11" x14ac:dyDescent="0.2">
      <c r="A717" s="13"/>
      <c r="B717" s="12"/>
      <c r="C717" s="11"/>
      <c r="D717" s="11"/>
      <c r="E717" s="11"/>
      <c r="F717" s="11"/>
      <c r="G717" s="11"/>
      <c r="H717" s="11"/>
      <c r="I717" s="11"/>
      <c r="J717" s="11"/>
      <c r="K717" s="11"/>
    </row>
    <row r="718" spans="1:11" x14ac:dyDescent="0.2">
      <c r="A718" s="13"/>
      <c r="B718" s="12"/>
      <c r="C718" s="11"/>
      <c r="D718" s="11"/>
      <c r="E718" s="11"/>
      <c r="F718" s="11"/>
      <c r="G718" s="11"/>
      <c r="H718" s="11"/>
      <c r="I718" s="11"/>
      <c r="J718" s="11"/>
      <c r="K718" s="11"/>
    </row>
    <row r="719" spans="1:11" x14ac:dyDescent="0.2">
      <c r="A719" s="13"/>
      <c r="B719" s="12"/>
      <c r="C719" s="11"/>
      <c r="D719" s="11"/>
      <c r="E719" s="11"/>
      <c r="F719" s="11"/>
      <c r="G719" s="11"/>
      <c r="H719" s="11"/>
      <c r="I719" s="11"/>
      <c r="J719" s="11"/>
      <c r="K719" s="11"/>
    </row>
    <row r="720" spans="1:11" x14ac:dyDescent="0.2">
      <c r="A720" s="13"/>
      <c r="B720" s="12"/>
      <c r="C720" s="11"/>
      <c r="D720" s="11"/>
      <c r="E720" s="11"/>
      <c r="F720" s="11"/>
      <c r="G720" s="11"/>
      <c r="H720" s="11"/>
      <c r="I720" s="11"/>
      <c r="J720" s="11"/>
      <c r="K720" s="11"/>
    </row>
    <row r="721" spans="1:11" x14ac:dyDescent="0.2">
      <c r="A721" s="13"/>
      <c r="B721" s="12"/>
      <c r="C721" s="11"/>
      <c r="D721" s="11"/>
      <c r="E721" s="11"/>
      <c r="F721" s="11"/>
      <c r="G721" s="11"/>
      <c r="H721" s="11"/>
      <c r="I721" s="11"/>
      <c r="J721" s="11"/>
      <c r="K721" s="11"/>
    </row>
    <row r="722" spans="1:11" x14ac:dyDescent="0.2">
      <c r="A722" s="13"/>
      <c r="B722" s="12"/>
      <c r="C722" s="11"/>
      <c r="D722" s="11"/>
      <c r="E722" s="11"/>
      <c r="F722" s="11"/>
      <c r="G722" s="11"/>
      <c r="H722" s="11"/>
      <c r="I722" s="11"/>
      <c r="J722" s="11"/>
      <c r="K722" s="11"/>
    </row>
    <row r="723" spans="1:11" x14ac:dyDescent="0.2">
      <c r="A723" s="13"/>
      <c r="B723" s="12"/>
      <c r="C723" s="11"/>
      <c r="D723" s="11"/>
      <c r="E723" s="11"/>
      <c r="F723" s="11"/>
      <c r="G723" s="11"/>
      <c r="H723" s="11"/>
      <c r="I723" s="11"/>
      <c r="J723" s="11"/>
      <c r="K723" s="11"/>
    </row>
    <row r="724" spans="1:11" x14ac:dyDescent="0.2">
      <c r="A724" s="13"/>
      <c r="B724" s="12"/>
      <c r="C724" s="11"/>
      <c r="D724" s="11"/>
      <c r="E724" s="11"/>
      <c r="F724" s="11"/>
      <c r="G724" s="11"/>
      <c r="H724" s="11"/>
      <c r="I724" s="11"/>
      <c r="J724" s="11"/>
      <c r="K724" s="11"/>
    </row>
    <row r="725" spans="1:11" x14ac:dyDescent="0.2">
      <c r="A725" s="13"/>
      <c r="B725" s="12"/>
      <c r="C725" s="11"/>
      <c r="D725" s="11"/>
      <c r="E725" s="11"/>
      <c r="F725" s="11"/>
      <c r="G725" s="11"/>
      <c r="H725" s="11"/>
      <c r="I725" s="11"/>
      <c r="J725" s="11"/>
      <c r="K725" s="11"/>
    </row>
    <row r="726" spans="1:11" x14ac:dyDescent="0.2">
      <c r="A726" s="13"/>
      <c r="B726" s="12"/>
      <c r="C726" s="11"/>
      <c r="D726" s="11"/>
      <c r="E726" s="11"/>
      <c r="F726" s="11"/>
      <c r="G726" s="11"/>
      <c r="H726" s="11"/>
      <c r="I726" s="11"/>
      <c r="J726" s="11"/>
      <c r="K726" s="11"/>
    </row>
    <row r="727" spans="1:11" x14ac:dyDescent="0.2">
      <c r="A727" s="13"/>
      <c r="B727" s="12"/>
      <c r="C727" s="11"/>
      <c r="D727" s="11"/>
      <c r="E727" s="11"/>
      <c r="F727" s="11"/>
      <c r="G727" s="11"/>
      <c r="H727" s="11"/>
      <c r="I727" s="11"/>
      <c r="J727" s="11"/>
      <c r="K727" s="11"/>
    </row>
    <row r="728" spans="1:11" x14ac:dyDescent="0.2">
      <c r="A728" s="13"/>
      <c r="B728" s="12"/>
      <c r="C728" s="11"/>
      <c r="D728" s="11"/>
      <c r="E728" s="11"/>
      <c r="F728" s="11"/>
      <c r="G728" s="11"/>
      <c r="H728" s="11"/>
      <c r="I728" s="11"/>
      <c r="J728" s="11"/>
      <c r="K728" s="11"/>
    </row>
    <row r="729" spans="1:11" x14ac:dyDescent="0.2">
      <c r="A729" s="13"/>
      <c r="B729" s="12"/>
      <c r="C729" s="11"/>
      <c r="D729" s="11"/>
      <c r="E729" s="11"/>
      <c r="F729" s="11"/>
      <c r="G729" s="11"/>
      <c r="H729" s="11"/>
      <c r="I729" s="11"/>
      <c r="J729" s="11"/>
      <c r="K729" s="11"/>
    </row>
    <row r="730" spans="1:11" x14ac:dyDescent="0.2">
      <c r="A730" s="13"/>
      <c r="B730" s="12"/>
      <c r="C730" s="11"/>
      <c r="D730" s="11"/>
      <c r="E730" s="11"/>
      <c r="F730" s="11"/>
      <c r="G730" s="11"/>
      <c r="H730" s="11"/>
      <c r="I730" s="11"/>
      <c r="J730" s="11"/>
      <c r="K730" s="11"/>
    </row>
    <row r="731" spans="1:11" x14ac:dyDescent="0.2">
      <c r="A731" s="13"/>
      <c r="B731" s="12"/>
      <c r="C731" s="11"/>
      <c r="D731" s="11"/>
      <c r="E731" s="11"/>
      <c r="F731" s="11"/>
      <c r="G731" s="11"/>
      <c r="H731" s="11"/>
      <c r="I731" s="11"/>
      <c r="J731" s="11"/>
      <c r="K731" s="11"/>
    </row>
    <row r="732" spans="1:11" x14ac:dyDescent="0.2">
      <c r="A732" s="13"/>
      <c r="B732" s="12"/>
      <c r="C732" s="11"/>
      <c r="D732" s="11"/>
      <c r="E732" s="11"/>
      <c r="F732" s="11"/>
      <c r="G732" s="11"/>
      <c r="H732" s="11"/>
      <c r="I732" s="11"/>
      <c r="J732" s="11"/>
      <c r="K732" s="11"/>
    </row>
    <row r="733" spans="1:11" x14ac:dyDescent="0.2">
      <c r="A733" s="13"/>
      <c r="B733" s="12"/>
      <c r="C733" s="11"/>
      <c r="D733" s="11"/>
      <c r="E733" s="11"/>
      <c r="F733" s="11"/>
      <c r="G733" s="11"/>
      <c r="H733" s="11"/>
      <c r="I733" s="11"/>
      <c r="J733" s="11"/>
      <c r="K733" s="11"/>
    </row>
    <row r="734" spans="1:11" x14ac:dyDescent="0.2">
      <c r="A734" s="13"/>
      <c r="B734" s="12"/>
      <c r="C734" s="11"/>
      <c r="D734" s="11"/>
      <c r="E734" s="11"/>
      <c r="F734" s="11"/>
      <c r="G734" s="11"/>
      <c r="H734" s="11"/>
      <c r="I734" s="11"/>
      <c r="J734" s="11"/>
      <c r="K734" s="11"/>
    </row>
    <row r="735" spans="1:11" x14ac:dyDescent="0.2">
      <c r="A735" s="13"/>
      <c r="B735" s="12"/>
      <c r="C735" s="11"/>
      <c r="D735" s="11"/>
      <c r="E735" s="11"/>
      <c r="F735" s="11"/>
      <c r="G735" s="11"/>
      <c r="H735" s="11"/>
      <c r="I735" s="11"/>
      <c r="J735" s="11"/>
      <c r="K735" s="11"/>
    </row>
    <row r="736" spans="1:11" x14ac:dyDescent="0.2">
      <c r="A736" s="13"/>
      <c r="B736" s="12"/>
      <c r="C736" s="11"/>
      <c r="D736" s="11"/>
      <c r="E736" s="11"/>
      <c r="F736" s="11"/>
      <c r="G736" s="11"/>
      <c r="H736" s="11"/>
      <c r="I736" s="11"/>
      <c r="J736" s="11"/>
      <c r="K736" s="11"/>
    </row>
    <row r="737" spans="1:11" x14ac:dyDescent="0.2">
      <c r="A737" s="13"/>
      <c r="B737" s="12"/>
      <c r="C737" s="11"/>
      <c r="D737" s="11"/>
      <c r="E737" s="11"/>
      <c r="F737" s="11"/>
      <c r="G737" s="11"/>
      <c r="H737" s="11"/>
      <c r="I737" s="11"/>
      <c r="J737" s="11"/>
      <c r="K737" s="11"/>
    </row>
    <row r="738" spans="1:11" x14ac:dyDescent="0.2">
      <c r="A738" s="13"/>
      <c r="B738" s="12"/>
      <c r="C738" s="11"/>
      <c r="D738" s="11"/>
      <c r="E738" s="11"/>
      <c r="F738" s="11"/>
      <c r="G738" s="11"/>
      <c r="H738" s="11"/>
      <c r="I738" s="11"/>
      <c r="J738" s="11"/>
      <c r="K738" s="11"/>
    </row>
    <row r="739" spans="1:11" x14ac:dyDescent="0.2">
      <c r="A739" s="13"/>
      <c r="B739" s="12"/>
      <c r="C739" s="11"/>
      <c r="D739" s="11"/>
      <c r="E739" s="11"/>
      <c r="F739" s="11"/>
      <c r="G739" s="11"/>
      <c r="H739" s="11"/>
      <c r="I739" s="11"/>
      <c r="J739" s="11"/>
      <c r="K739" s="11"/>
    </row>
    <row r="740" spans="1:11" x14ac:dyDescent="0.2">
      <c r="A740" s="13"/>
      <c r="B740" s="12"/>
      <c r="C740" s="11"/>
      <c r="D740" s="11"/>
      <c r="E740" s="11"/>
      <c r="F740" s="11"/>
      <c r="G740" s="11"/>
      <c r="H740" s="11"/>
      <c r="I740" s="11"/>
      <c r="J740" s="11"/>
      <c r="K740" s="11"/>
    </row>
    <row r="741" spans="1:11" x14ac:dyDescent="0.2">
      <c r="A741" s="13"/>
      <c r="B741" s="12"/>
      <c r="C741" s="11"/>
      <c r="D741" s="11"/>
      <c r="E741" s="11"/>
      <c r="F741" s="11"/>
      <c r="G741" s="11"/>
      <c r="H741" s="11"/>
      <c r="I741" s="11"/>
      <c r="J741" s="11"/>
      <c r="K741" s="11"/>
    </row>
    <row r="742" spans="1:11" x14ac:dyDescent="0.2">
      <c r="A742" s="13"/>
      <c r="B742" s="12"/>
      <c r="C742" s="11"/>
      <c r="D742" s="11"/>
      <c r="E742" s="11"/>
      <c r="F742" s="11"/>
      <c r="G742" s="11"/>
      <c r="H742" s="11"/>
      <c r="I742" s="11"/>
      <c r="J742" s="11"/>
      <c r="K742" s="11"/>
    </row>
    <row r="743" spans="1:11" x14ac:dyDescent="0.2">
      <c r="A743" s="13"/>
      <c r="B743" s="12"/>
      <c r="C743" s="11"/>
      <c r="D743" s="11"/>
      <c r="E743" s="11"/>
      <c r="F743" s="11"/>
      <c r="G743" s="11"/>
      <c r="H743" s="11"/>
      <c r="I743" s="11"/>
      <c r="J743" s="11"/>
      <c r="K743" s="11"/>
    </row>
    <row r="744" spans="1:11" x14ac:dyDescent="0.2">
      <c r="A744" s="13"/>
      <c r="B744" s="12"/>
      <c r="C744" s="11"/>
      <c r="D744" s="11"/>
      <c r="E744" s="11"/>
      <c r="F744" s="11"/>
      <c r="G744" s="11"/>
      <c r="H744" s="11"/>
      <c r="I744" s="11"/>
      <c r="J744" s="11"/>
      <c r="K744" s="11"/>
    </row>
    <row r="745" spans="1:11" x14ac:dyDescent="0.2">
      <c r="A745" s="13"/>
      <c r="B745" s="12"/>
      <c r="C745" s="11"/>
      <c r="D745" s="11"/>
      <c r="E745" s="11"/>
      <c r="F745" s="11"/>
      <c r="G745" s="11"/>
      <c r="H745" s="11"/>
      <c r="I745" s="11"/>
      <c r="J745" s="11"/>
      <c r="K745" s="11"/>
    </row>
    <row r="746" spans="1:11" x14ac:dyDescent="0.2">
      <c r="A746" s="13"/>
      <c r="B746" s="12"/>
      <c r="C746" s="11"/>
      <c r="D746" s="11"/>
      <c r="E746" s="11"/>
      <c r="F746" s="11"/>
      <c r="G746" s="11"/>
      <c r="H746" s="11"/>
      <c r="I746" s="11"/>
      <c r="J746" s="11"/>
      <c r="K746" s="11"/>
    </row>
    <row r="747" spans="1:11" x14ac:dyDescent="0.2">
      <c r="A747" s="13"/>
      <c r="B747" s="12"/>
      <c r="C747" s="11"/>
      <c r="D747" s="11"/>
      <c r="E747" s="11"/>
      <c r="F747" s="11"/>
      <c r="G747" s="11"/>
      <c r="H747" s="11"/>
      <c r="I747" s="11"/>
      <c r="J747" s="11"/>
      <c r="K747" s="11"/>
    </row>
    <row r="748" spans="1:11" x14ac:dyDescent="0.2">
      <c r="A748" s="13"/>
      <c r="B748" s="12"/>
      <c r="C748" s="11"/>
      <c r="D748" s="11"/>
      <c r="E748" s="11"/>
      <c r="F748" s="11"/>
      <c r="G748" s="11"/>
      <c r="H748" s="11"/>
      <c r="I748" s="11"/>
      <c r="J748" s="11"/>
      <c r="K748" s="11"/>
    </row>
    <row r="749" spans="1:11" x14ac:dyDescent="0.2">
      <c r="A749" s="13"/>
      <c r="B749" s="12"/>
      <c r="C749" s="11"/>
      <c r="D749" s="11"/>
      <c r="E749" s="11"/>
      <c r="F749" s="11"/>
      <c r="G749" s="11"/>
      <c r="H749" s="11"/>
      <c r="I749" s="11"/>
      <c r="J749" s="11"/>
      <c r="K749" s="11"/>
    </row>
    <row r="750" spans="1:11" x14ac:dyDescent="0.2">
      <c r="A750" s="13"/>
      <c r="B750" s="12"/>
      <c r="C750" s="11"/>
      <c r="D750" s="11"/>
      <c r="E750" s="11"/>
      <c r="F750" s="11"/>
      <c r="G750" s="11"/>
      <c r="H750" s="11"/>
      <c r="I750" s="11"/>
      <c r="J750" s="11"/>
      <c r="K750" s="11"/>
    </row>
    <row r="751" spans="1:11" x14ac:dyDescent="0.2">
      <c r="A751" s="13"/>
      <c r="B751" s="12"/>
      <c r="C751" s="11"/>
      <c r="D751" s="11"/>
      <c r="E751" s="11"/>
      <c r="F751" s="11"/>
      <c r="G751" s="11"/>
      <c r="H751" s="11"/>
      <c r="I751" s="11"/>
      <c r="J751" s="11"/>
      <c r="K751" s="11"/>
    </row>
    <row r="752" spans="1:11" x14ac:dyDescent="0.2">
      <c r="A752" s="13"/>
      <c r="B752" s="12"/>
      <c r="C752" s="11"/>
      <c r="D752" s="11"/>
      <c r="E752" s="11"/>
      <c r="F752" s="11"/>
      <c r="G752" s="11"/>
      <c r="H752" s="11"/>
      <c r="I752" s="11"/>
      <c r="J752" s="11"/>
      <c r="K752" s="11"/>
    </row>
    <row r="753" spans="1:11" x14ac:dyDescent="0.2">
      <c r="A753" s="13"/>
      <c r="B753" s="12"/>
      <c r="C753" s="11"/>
      <c r="D753" s="11"/>
      <c r="E753" s="11"/>
      <c r="F753" s="11"/>
      <c r="G753" s="11"/>
      <c r="H753" s="11"/>
      <c r="I753" s="11"/>
      <c r="J753" s="11"/>
      <c r="K753" s="11"/>
    </row>
    <row r="754" spans="1:11" x14ac:dyDescent="0.2">
      <c r="A754" s="13"/>
      <c r="B754" s="12"/>
      <c r="C754" s="11"/>
      <c r="D754" s="11"/>
      <c r="E754" s="11"/>
      <c r="F754" s="11"/>
      <c r="G754" s="11"/>
      <c r="H754" s="11"/>
      <c r="I754" s="11"/>
      <c r="J754" s="11"/>
      <c r="K754" s="11"/>
    </row>
    <row r="755" spans="1:11" x14ac:dyDescent="0.2">
      <c r="A755" s="13"/>
      <c r="B755" s="12"/>
      <c r="C755" s="11"/>
      <c r="D755" s="11"/>
      <c r="E755" s="11"/>
      <c r="F755" s="11"/>
      <c r="G755" s="11"/>
      <c r="H755" s="11"/>
      <c r="I755" s="11"/>
      <c r="J755" s="11"/>
      <c r="K755" s="11"/>
    </row>
    <row r="756" spans="1:11" x14ac:dyDescent="0.2">
      <c r="A756" s="13"/>
      <c r="B756" s="12"/>
      <c r="C756" s="11"/>
      <c r="D756" s="11"/>
      <c r="E756" s="11"/>
      <c r="F756" s="11"/>
      <c r="G756" s="11"/>
      <c r="H756" s="11"/>
      <c r="I756" s="11"/>
      <c r="J756" s="11"/>
      <c r="K756" s="11"/>
    </row>
    <row r="757" spans="1:11" x14ac:dyDescent="0.2">
      <c r="A757" s="13"/>
      <c r="B757" s="12"/>
      <c r="C757" s="11"/>
      <c r="D757" s="11"/>
      <c r="E757" s="11"/>
      <c r="F757" s="11"/>
      <c r="G757" s="11"/>
      <c r="H757" s="11"/>
      <c r="I757" s="11"/>
      <c r="J757" s="11"/>
      <c r="K757" s="11"/>
    </row>
    <row r="758" spans="1:11" x14ac:dyDescent="0.2">
      <c r="A758" s="13"/>
      <c r="B758" s="12"/>
      <c r="C758" s="11"/>
      <c r="D758" s="11"/>
      <c r="E758" s="11"/>
      <c r="F758" s="11"/>
      <c r="G758" s="11"/>
      <c r="H758" s="11"/>
      <c r="I758" s="11"/>
      <c r="J758" s="11"/>
      <c r="K758" s="11"/>
    </row>
    <row r="759" spans="1:11" x14ac:dyDescent="0.2">
      <c r="A759" s="13"/>
      <c r="B759" s="12"/>
      <c r="C759" s="11"/>
      <c r="D759" s="11"/>
      <c r="E759" s="11"/>
      <c r="F759" s="11"/>
      <c r="G759" s="11"/>
      <c r="H759" s="11"/>
      <c r="I759" s="11"/>
      <c r="J759" s="11"/>
      <c r="K759" s="11"/>
    </row>
    <row r="760" spans="1:11" x14ac:dyDescent="0.2">
      <c r="A760" s="13"/>
      <c r="B760" s="12"/>
      <c r="C760" s="11"/>
      <c r="D760" s="11"/>
      <c r="E760" s="11"/>
      <c r="F760" s="11"/>
      <c r="G760" s="11"/>
      <c r="H760" s="11"/>
      <c r="I760" s="11"/>
      <c r="J760" s="11"/>
      <c r="K760" s="11"/>
    </row>
    <row r="761" spans="1:11" x14ac:dyDescent="0.2">
      <c r="A761" s="13"/>
      <c r="B761" s="12"/>
      <c r="C761" s="11"/>
      <c r="D761" s="11"/>
      <c r="E761" s="11"/>
      <c r="F761" s="11"/>
      <c r="G761" s="11"/>
      <c r="H761" s="11"/>
      <c r="I761" s="11"/>
      <c r="J761" s="11"/>
      <c r="K761" s="11"/>
    </row>
    <row r="762" spans="1:11" x14ac:dyDescent="0.2">
      <c r="A762" s="13"/>
      <c r="B762" s="12"/>
      <c r="C762" s="11"/>
      <c r="D762" s="11"/>
      <c r="E762" s="11"/>
      <c r="F762" s="11"/>
      <c r="G762" s="11"/>
      <c r="H762" s="11"/>
      <c r="I762" s="11"/>
      <c r="J762" s="11"/>
      <c r="K762" s="11"/>
    </row>
    <row r="763" spans="1:11" x14ac:dyDescent="0.2">
      <c r="A763" s="13"/>
      <c r="B763" s="12"/>
      <c r="C763" s="11"/>
      <c r="D763" s="11"/>
      <c r="E763" s="11"/>
      <c r="F763" s="11"/>
      <c r="G763" s="11"/>
      <c r="H763" s="11"/>
      <c r="I763" s="11"/>
      <c r="J763" s="11"/>
      <c r="K763" s="11"/>
    </row>
    <row r="764" spans="1:11" x14ac:dyDescent="0.2">
      <c r="A764" s="13"/>
      <c r="B764" s="12"/>
      <c r="C764" s="11"/>
      <c r="D764" s="11"/>
      <c r="E764" s="11"/>
      <c r="F764" s="11"/>
      <c r="G764" s="11"/>
      <c r="H764" s="11"/>
      <c r="I764" s="11"/>
      <c r="J764" s="11"/>
      <c r="K764" s="11"/>
    </row>
    <row r="765" spans="1:11" x14ac:dyDescent="0.2">
      <c r="A765" s="13"/>
      <c r="B765" s="12"/>
      <c r="C765" s="11"/>
      <c r="D765" s="11"/>
      <c r="E765" s="11"/>
      <c r="F765" s="11"/>
      <c r="G765" s="11"/>
      <c r="H765" s="11"/>
      <c r="I765" s="11"/>
      <c r="J765" s="11"/>
      <c r="K765" s="11"/>
    </row>
    <row r="766" spans="1:11" x14ac:dyDescent="0.2">
      <c r="A766" s="13"/>
      <c r="B766" s="12"/>
      <c r="C766" s="11"/>
      <c r="D766" s="11"/>
      <c r="E766" s="11"/>
      <c r="F766" s="11"/>
      <c r="G766" s="11"/>
      <c r="H766" s="11"/>
      <c r="I766" s="11"/>
      <c r="J766" s="11"/>
      <c r="K766" s="11"/>
    </row>
    <row r="767" spans="1:11" x14ac:dyDescent="0.2">
      <c r="A767" s="13"/>
      <c r="B767" s="12"/>
      <c r="C767" s="11"/>
      <c r="D767" s="11"/>
      <c r="E767" s="11"/>
      <c r="F767" s="11"/>
      <c r="G767" s="11"/>
      <c r="H767" s="11"/>
      <c r="I767" s="11"/>
      <c r="J767" s="11"/>
      <c r="K767" s="11"/>
    </row>
    <row r="768" spans="1:11" x14ac:dyDescent="0.2">
      <c r="A768" s="13"/>
      <c r="B768" s="12"/>
      <c r="C768" s="11"/>
      <c r="D768" s="11"/>
      <c r="E768" s="11"/>
      <c r="F768" s="11"/>
      <c r="G768" s="11"/>
      <c r="H768" s="11"/>
      <c r="I768" s="11"/>
      <c r="J768" s="11"/>
      <c r="K768" s="11"/>
    </row>
    <row r="769" spans="1:11" x14ac:dyDescent="0.2">
      <c r="A769" s="13"/>
      <c r="B769" s="12"/>
      <c r="C769" s="11"/>
      <c r="D769" s="11"/>
      <c r="E769" s="11"/>
      <c r="F769" s="11"/>
      <c r="G769" s="11"/>
      <c r="H769" s="11"/>
      <c r="I769" s="11"/>
      <c r="J769" s="11"/>
      <c r="K769" s="11"/>
    </row>
    <row r="770" spans="1:11" x14ac:dyDescent="0.2">
      <c r="A770" s="13"/>
      <c r="B770" s="12"/>
      <c r="C770" s="11"/>
      <c r="D770" s="11"/>
      <c r="E770" s="11"/>
      <c r="F770" s="11"/>
      <c r="G770" s="11"/>
      <c r="H770" s="11"/>
      <c r="I770" s="11"/>
      <c r="J770" s="11"/>
      <c r="K770" s="11"/>
    </row>
    <row r="771" spans="1:11" x14ac:dyDescent="0.2">
      <c r="A771" s="13"/>
      <c r="B771" s="12"/>
      <c r="C771" s="11"/>
      <c r="D771" s="11"/>
      <c r="E771" s="11"/>
      <c r="F771" s="11"/>
      <c r="G771" s="11"/>
      <c r="H771" s="11"/>
      <c r="I771" s="11"/>
      <c r="J771" s="11"/>
      <c r="K771" s="11"/>
    </row>
    <row r="772" spans="1:11" x14ac:dyDescent="0.2">
      <c r="A772" s="13"/>
      <c r="B772" s="12"/>
      <c r="C772" s="11"/>
      <c r="D772" s="11"/>
      <c r="E772" s="11"/>
      <c r="F772" s="11"/>
      <c r="G772" s="11"/>
      <c r="H772" s="11"/>
      <c r="I772" s="11"/>
      <c r="J772" s="11"/>
      <c r="K772" s="11"/>
    </row>
    <row r="773" spans="1:11" x14ac:dyDescent="0.2">
      <c r="A773" s="13"/>
      <c r="B773" s="12"/>
      <c r="C773" s="11"/>
      <c r="D773" s="11"/>
      <c r="E773" s="11"/>
      <c r="F773" s="11"/>
      <c r="G773" s="11"/>
      <c r="H773" s="11"/>
      <c r="I773" s="11"/>
      <c r="J773" s="11"/>
      <c r="K773" s="11"/>
    </row>
    <row r="774" spans="1:11" x14ac:dyDescent="0.2">
      <c r="A774" s="13"/>
      <c r="B774" s="12"/>
      <c r="C774" s="11"/>
      <c r="D774" s="11"/>
      <c r="E774" s="11"/>
      <c r="F774" s="11"/>
      <c r="G774" s="11"/>
      <c r="H774" s="11"/>
      <c r="I774" s="11"/>
      <c r="J774" s="11"/>
      <c r="K774" s="11"/>
    </row>
    <row r="775" spans="1:11" x14ac:dyDescent="0.2">
      <c r="A775" s="13"/>
      <c r="B775" s="12"/>
      <c r="C775" s="11"/>
      <c r="D775" s="11"/>
      <c r="E775" s="11"/>
      <c r="F775" s="11"/>
      <c r="G775" s="11"/>
      <c r="H775" s="11"/>
      <c r="I775" s="11"/>
      <c r="J775" s="11"/>
      <c r="K775" s="11"/>
    </row>
    <row r="776" spans="1:11" x14ac:dyDescent="0.2">
      <c r="A776" s="13"/>
      <c r="B776" s="12"/>
      <c r="C776" s="11"/>
      <c r="D776" s="11"/>
      <c r="E776" s="11"/>
      <c r="F776" s="11"/>
      <c r="G776" s="11"/>
      <c r="H776" s="11"/>
      <c r="I776" s="11"/>
      <c r="J776" s="11"/>
      <c r="K776" s="11"/>
    </row>
    <row r="777" spans="1:11" x14ac:dyDescent="0.2">
      <c r="A777" s="13"/>
      <c r="B777" s="12"/>
      <c r="C777" s="11"/>
      <c r="D777" s="11"/>
      <c r="E777" s="11"/>
      <c r="F777" s="11"/>
      <c r="G777" s="11"/>
      <c r="H777" s="11"/>
      <c r="I777" s="11"/>
      <c r="J777" s="11"/>
      <c r="K777" s="11"/>
    </row>
    <row r="778" spans="1:11" x14ac:dyDescent="0.2">
      <c r="A778" s="13"/>
      <c r="B778" s="12"/>
      <c r="C778" s="11"/>
      <c r="D778" s="11"/>
      <c r="E778" s="11"/>
      <c r="F778" s="11"/>
      <c r="G778" s="11"/>
      <c r="H778" s="11"/>
      <c r="I778" s="11"/>
      <c r="J778" s="11"/>
      <c r="K778" s="11"/>
    </row>
    <row r="779" spans="1:11" x14ac:dyDescent="0.2">
      <c r="A779" s="13"/>
      <c r="B779" s="12"/>
      <c r="C779" s="11"/>
      <c r="D779" s="11"/>
      <c r="E779" s="11"/>
      <c r="F779" s="11"/>
      <c r="G779" s="11"/>
      <c r="H779" s="11"/>
      <c r="I779" s="11"/>
      <c r="J779" s="11"/>
      <c r="K779" s="11"/>
    </row>
    <row r="780" spans="1:11" x14ac:dyDescent="0.2">
      <c r="A780" s="13"/>
      <c r="B780" s="12"/>
      <c r="C780" s="11"/>
      <c r="D780" s="11"/>
      <c r="E780" s="11"/>
      <c r="F780" s="11"/>
      <c r="G780" s="11"/>
      <c r="H780" s="11"/>
      <c r="I780" s="11"/>
      <c r="J780" s="11"/>
      <c r="K780" s="11"/>
    </row>
    <row r="781" spans="1:11" x14ac:dyDescent="0.2">
      <c r="A781" s="13"/>
      <c r="B781" s="12"/>
      <c r="C781" s="11"/>
      <c r="D781" s="11"/>
      <c r="E781" s="11"/>
      <c r="F781" s="11"/>
      <c r="G781" s="11"/>
      <c r="H781" s="11"/>
      <c r="I781" s="11"/>
      <c r="J781" s="11"/>
      <c r="K781" s="11"/>
    </row>
    <row r="782" spans="1:11" x14ac:dyDescent="0.2">
      <c r="A782" s="13"/>
      <c r="B782" s="12"/>
      <c r="C782" s="11"/>
      <c r="D782" s="11"/>
      <c r="E782" s="11"/>
      <c r="F782" s="11"/>
      <c r="G782" s="11"/>
      <c r="H782" s="11"/>
      <c r="I782" s="11"/>
      <c r="J782" s="11"/>
      <c r="K782" s="11"/>
    </row>
    <row r="783" spans="1:11" x14ac:dyDescent="0.2">
      <c r="A783" s="13"/>
      <c r="B783" s="12"/>
      <c r="C783" s="11"/>
      <c r="D783" s="11"/>
      <c r="E783" s="11"/>
      <c r="F783" s="11"/>
      <c r="G783" s="11"/>
      <c r="H783" s="11"/>
      <c r="I783" s="11"/>
      <c r="J783" s="11"/>
      <c r="K783" s="11"/>
    </row>
    <row r="784" spans="1:11" x14ac:dyDescent="0.2">
      <c r="A784" s="13"/>
      <c r="B784" s="12"/>
      <c r="C784" s="11"/>
      <c r="D784" s="11"/>
      <c r="E784" s="11"/>
      <c r="F784" s="11"/>
      <c r="G784" s="11"/>
      <c r="H784" s="11"/>
      <c r="I784" s="11"/>
      <c r="J784" s="11"/>
      <c r="K784" s="11"/>
    </row>
    <row r="785" spans="1:11" x14ac:dyDescent="0.2">
      <c r="A785" s="13"/>
      <c r="B785" s="12"/>
      <c r="C785" s="11"/>
      <c r="D785" s="11"/>
      <c r="E785" s="11"/>
      <c r="F785" s="11"/>
      <c r="G785" s="11"/>
      <c r="H785" s="11"/>
      <c r="I785" s="11"/>
      <c r="J785" s="11"/>
      <c r="K785" s="11"/>
    </row>
    <row r="786" spans="1:11" x14ac:dyDescent="0.2">
      <c r="A786" s="13"/>
      <c r="B786" s="12"/>
      <c r="C786" s="11"/>
      <c r="D786" s="11"/>
      <c r="E786" s="11"/>
      <c r="F786" s="11"/>
      <c r="G786" s="11"/>
      <c r="H786" s="11"/>
      <c r="I786" s="11"/>
      <c r="J786" s="11"/>
      <c r="K786" s="11"/>
    </row>
    <row r="787" spans="1:11" x14ac:dyDescent="0.2">
      <c r="A787" s="13"/>
      <c r="B787" s="12"/>
      <c r="C787" s="11"/>
      <c r="D787" s="11"/>
      <c r="E787" s="11"/>
      <c r="F787" s="11"/>
      <c r="G787" s="11"/>
      <c r="H787" s="11"/>
      <c r="I787" s="11"/>
      <c r="J787" s="11"/>
      <c r="K787" s="11"/>
    </row>
    <row r="788" spans="1:11" x14ac:dyDescent="0.2">
      <c r="A788" s="13"/>
      <c r="B788" s="12"/>
      <c r="C788" s="11"/>
      <c r="D788" s="11"/>
      <c r="E788" s="11"/>
      <c r="F788" s="11"/>
      <c r="G788" s="11"/>
      <c r="H788" s="11"/>
      <c r="I788" s="11"/>
      <c r="J788" s="11"/>
      <c r="K788" s="11"/>
    </row>
    <row r="789" spans="1:11" x14ac:dyDescent="0.2">
      <c r="A789" s="13"/>
      <c r="B789" s="12"/>
      <c r="C789" s="11"/>
      <c r="D789" s="11"/>
      <c r="E789" s="11"/>
      <c r="F789" s="11"/>
      <c r="G789" s="11"/>
      <c r="H789" s="11"/>
      <c r="I789" s="11"/>
      <c r="J789" s="11"/>
      <c r="K789" s="11"/>
    </row>
    <row r="790" spans="1:11" x14ac:dyDescent="0.2">
      <c r="A790" s="13"/>
      <c r="B790" s="12"/>
      <c r="C790" s="11"/>
      <c r="D790" s="11"/>
      <c r="E790" s="11"/>
      <c r="F790" s="11"/>
      <c r="G790" s="11"/>
      <c r="H790" s="11"/>
      <c r="I790" s="11"/>
      <c r="J790" s="11"/>
      <c r="K790" s="11"/>
    </row>
    <row r="791" spans="1:11" x14ac:dyDescent="0.2">
      <c r="A791" s="13"/>
      <c r="B791" s="12"/>
      <c r="C791" s="11"/>
      <c r="D791" s="11"/>
      <c r="E791" s="11"/>
      <c r="F791" s="11"/>
      <c r="G791" s="11"/>
      <c r="H791" s="11"/>
      <c r="I791" s="11"/>
      <c r="J791" s="11"/>
      <c r="K791" s="11"/>
    </row>
    <row r="792" spans="1:11" x14ac:dyDescent="0.2">
      <c r="A792" s="13"/>
      <c r="B792" s="12"/>
      <c r="C792" s="11"/>
      <c r="D792" s="11"/>
      <c r="E792" s="11"/>
      <c r="F792" s="11"/>
      <c r="G792" s="11"/>
      <c r="H792" s="11"/>
      <c r="I792" s="11"/>
      <c r="J792" s="11"/>
      <c r="K792" s="11"/>
    </row>
    <row r="793" spans="1:11" x14ac:dyDescent="0.2">
      <c r="A793" s="13"/>
      <c r="B793" s="12"/>
      <c r="C793" s="11"/>
      <c r="D793" s="11"/>
      <c r="E793" s="11"/>
      <c r="F793" s="11"/>
      <c r="G793" s="11"/>
      <c r="H793" s="11"/>
      <c r="I793" s="11"/>
      <c r="J793" s="11"/>
      <c r="K793" s="11"/>
    </row>
    <row r="794" spans="1:11" x14ac:dyDescent="0.2">
      <c r="A794" s="13"/>
      <c r="B794" s="12"/>
      <c r="C794" s="11"/>
      <c r="D794" s="11"/>
      <c r="E794" s="11"/>
      <c r="F794" s="11"/>
      <c r="G794" s="11"/>
      <c r="H794" s="11"/>
      <c r="I794" s="11"/>
      <c r="J794" s="11"/>
      <c r="K794" s="11"/>
    </row>
    <row r="795" spans="1:11" x14ac:dyDescent="0.2">
      <c r="A795" s="13"/>
      <c r="B795" s="12"/>
      <c r="C795" s="11"/>
      <c r="D795" s="11"/>
      <c r="E795" s="11"/>
      <c r="F795" s="11"/>
      <c r="G795" s="11"/>
      <c r="H795" s="11"/>
      <c r="I795" s="11"/>
      <c r="J795" s="11"/>
      <c r="K795" s="11"/>
    </row>
    <row r="796" spans="1:11" x14ac:dyDescent="0.2">
      <c r="A796" s="13"/>
      <c r="B796" s="12"/>
      <c r="C796" s="11"/>
      <c r="D796" s="11"/>
      <c r="E796" s="11"/>
      <c r="F796" s="11"/>
      <c r="G796" s="11"/>
      <c r="H796" s="11"/>
      <c r="I796" s="11"/>
      <c r="J796" s="11"/>
      <c r="K796" s="11"/>
    </row>
    <row r="797" spans="1:11" x14ac:dyDescent="0.2">
      <c r="A797" s="13"/>
      <c r="B797" s="12"/>
      <c r="C797" s="11"/>
      <c r="D797" s="11"/>
      <c r="E797" s="11"/>
      <c r="F797" s="11"/>
      <c r="G797" s="11"/>
      <c r="H797" s="11"/>
      <c r="I797" s="11"/>
      <c r="J797" s="11"/>
      <c r="K797" s="11"/>
    </row>
    <row r="798" spans="1:11" x14ac:dyDescent="0.2">
      <c r="A798" s="13"/>
      <c r="B798" s="12"/>
      <c r="C798" s="11"/>
      <c r="D798" s="11"/>
      <c r="E798" s="11"/>
      <c r="F798" s="11"/>
      <c r="G798" s="11"/>
      <c r="H798" s="11"/>
      <c r="I798" s="11"/>
      <c r="J798" s="11"/>
      <c r="K798" s="11"/>
    </row>
    <row r="799" spans="1:11" x14ac:dyDescent="0.2">
      <c r="A799" s="13"/>
      <c r="B799" s="12"/>
      <c r="C799" s="11"/>
      <c r="D799" s="11"/>
      <c r="E799" s="11"/>
      <c r="F799" s="11"/>
      <c r="G799" s="11"/>
      <c r="H799" s="11"/>
      <c r="I799" s="11"/>
      <c r="J799" s="11"/>
      <c r="K799" s="11"/>
    </row>
    <row r="800" spans="1:11" x14ac:dyDescent="0.2">
      <c r="A800" s="13"/>
      <c r="B800" s="12"/>
      <c r="C800" s="11"/>
      <c r="D800" s="11"/>
      <c r="E800" s="11"/>
      <c r="F800" s="11"/>
      <c r="G800" s="11"/>
      <c r="H800" s="11"/>
      <c r="I800" s="11"/>
      <c r="J800" s="11"/>
      <c r="K800" s="11"/>
    </row>
    <row r="801" spans="1:11" x14ac:dyDescent="0.2">
      <c r="A801" s="13"/>
      <c r="B801" s="12"/>
      <c r="C801" s="11"/>
      <c r="D801" s="11"/>
      <c r="E801" s="11"/>
      <c r="F801" s="11"/>
      <c r="G801" s="11"/>
      <c r="H801" s="11"/>
      <c r="I801" s="11"/>
      <c r="J801" s="11"/>
      <c r="K801" s="11"/>
    </row>
    <row r="802" spans="1:11" x14ac:dyDescent="0.2">
      <c r="A802" s="13"/>
      <c r="B802" s="12"/>
      <c r="C802" s="11"/>
      <c r="D802" s="11"/>
      <c r="E802" s="11"/>
      <c r="F802" s="11"/>
      <c r="G802" s="11"/>
      <c r="H802" s="11"/>
      <c r="I802" s="11"/>
      <c r="J802" s="11"/>
      <c r="K802" s="11"/>
    </row>
    <row r="803" spans="1:11" x14ac:dyDescent="0.2">
      <c r="A803" s="13"/>
      <c r="B803" s="12"/>
      <c r="C803" s="11"/>
      <c r="D803" s="11"/>
      <c r="E803" s="11"/>
      <c r="F803" s="11"/>
      <c r="G803" s="11"/>
      <c r="H803" s="11"/>
      <c r="I803" s="11"/>
      <c r="J803" s="11"/>
      <c r="K803" s="11"/>
    </row>
    <row r="804" spans="1:11" x14ac:dyDescent="0.2">
      <c r="A804" s="13"/>
      <c r="B804" s="12"/>
      <c r="C804" s="11"/>
      <c r="D804" s="11"/>
      <c r="E804" s="11"/>
      <c r="F804" s="11"/>
      <c r="G804" s="11"/>
      <c r="H804" s="11"/>
      <c r="I804" s="11"/>
      <c r="J804" s="11"/>
      <c r="K804" s="11"/>
    </row>
    <row r="805" spans="1:11" x14ac:dyDescent="0.2">
      <c r="A805" s="13"/>
      <c r="B805" s="12"/>
      <c r="C805" s="11"/>
      <c r="D805" s="11"/>
      <c r="E805" s="11"/>
      <c r="F805" s="11"/>
      <c r="G805" s="11"/>
      <c r="H805" s="11"/>
      <c r="I805" s="11"/>
      <c r="J805" s="11"/>
      <c r="K805" s="11"/>
    </row>
    <row r="806" spans="1:11" x14ac:dyDescent="0.2">
      <c r="A806" s="13"/>
      <c r="B806" s="12"/>
      <c r="C806" s="11"/>
      <c r="D806" s="11"/>
      <c r="E806" s="11"/>
      <c r="F806" s="11"/>
      <c r="G806" s="11"/>
      <c r="H806" s="11"/>
      <c r="I806" s="11"/>
      <c r="J806" s="11"/>
      <c r="K806" s="11"/>
    </row>
    <row r="807" spans="1:11" x14ac:dyDescent="0.2">
      <c r="A807" s="13"/>
      <c r="B807" s="12"/>
      <c r="C807" s="11"/>
      <c r="D807" s="11"/>
      <c r="E807" s="11"/>
      <c r="F807" s="11"/>
      <c r="G807" s="11"/>
      <c r="H807" s="11"/>
      <c r="I807" s="11"/>
      <c r="J807" s="11"/>
      <c r="K807" s="11"/>
    </row>
    <row r="808" spans="1:11" x14ac:dyDescent="0.2">
      <c r="A808" s="13"/>
      <c r="B808" s="12"/>
      <c r="C808" s="11"/>
      <c r="D808" s="11"/>
      <c r="E808" s="11"/>
      <c r="F808" s="11"/>
      <c r="G808" s="11"/>
      <c r="H808" s="11"/>
      <c r="I808" s="11"/>
      <c r="J808" s="11"/>
      <c r="K808" s="11"/>
    </row>
    <row r="809" spans="1:11" x14ac:dyDescent="0.2">
      <c r="A809" s="13"/>
      <c r="B809" s="12"/>
      <c r="C809" s="11"/>
      <c r="D809" s="11"/>
      <c r="E809" s="11"/>
      <c r="F809" s="11"/>
      <c r="G809" s="11"/>
      <c r="H809" s="11"/>
      <c r="I809" s="11"/>
      <c r="J809" s="11"/>
      <c r="K809" s="11"/>
    </row>
    <row r="810" spans="1:11" x14ac:dyDescent="0.2">
      <c r="A810" s="13"/>
      <c r="B810" s="12"/>
      <c r="C810" s="11"/>
      <c r="D810" s="11"/>
      <c r="E810" s="11"/>
      <c r="F810" s="11"/>
      <c r="G810" s="11"/>
      <c r="H810" s="11"/>
      <c r="I810" s="11"/>
      <c r="J810" s="11"/>
      <c r="K810" s="11"/>
    </row>
    <row r="811" spans="1:11" x14ac:dyDescent="0.2">
      <c r="A811" s="13"/>
      <c r="B811" s="12"/>
      <c r="C811" s="11"/>
      <c r="D811" s="11"/>
      <c r="E811" s="11"/>
      <c r="F811" s="11"/>
      <c r="G811" s="11"/>
      <c r="H811" s="11"/>
      <c r="I811" s="11"/>
      <c r="J811" s="11"/>
      <c r="K811" s="11"/>
    </row>
    <row r="812" spans="1:11" x14ac:dyDescent="0.2">
      <c r="A812" s="13"/>
      <c r="B812" s="12"/>
      <c r="C812" s="11"/>
      <c r="D812" s="11"/>
      <c r="E812" s="11"/>
      <c r="F812" s="11"/>
      <c r="G812" s="11"/>
      <c r="H812" s="11"/>
      <c r="I812" s="11"/>
      <c r="J812" s="11"/>
      <c r="K812" s="11"/>
    </row>
    <row r="813" spans="1:11" x14ac:dyDescent="0.2">
      <c r="A813" s="13"/>
      <c r="B813" s="12"/>
      <c r="C813" s="11"/>
      <c r="D813" s="11"/>
      <c r="E813" s="11"/>
      <c r="F813" s="11"/>
      <c r="G813" s="11"/>
      <c r="H813" s="11"/>
      <c r="I813" s="11"/>
      <c r="J813" s="11"/>
      <c r="K813" s="11"/>
    </row>
    <row r="814" spans="1:11" x14ac:dyDescent="0.2">
      <c r="A814" s="13"/>
      <c r="B814" s="12"/>
      <c r="C814" s="11"/>
      <c r="D814" s="11"/>
      <c r="E814" s="11"/>
      <c r="F814" s="11"/>
      <c r="G814" s="11"/>
      <c r="H814" s="11"/>
      <c r="I814" s="11"/>
      <c r="J814" s="11"/>
      <c r="K814" s="11"/>
    </row>
    <row r="815" spans="1:11" x14ac:dyDescent="0.2">
      <c r="A815" s="13"/>
      <c r="B815" s="12"/>
      <c r="C815" s="11"/>
      <c r="D815" s="11"/>
      <c r="E815" s="11"/>
      <c r="F815" s="11"/>
      <c r="G815" s="11"/>
      <c r="H815" s="11"/>
      <c r="I815" s="11"/>
      <c r="J815" s="11"/>
      <c r="K815" s="11"/>
    </row>
    <row r="816" spans="1:11" x14ac:dyDescent="0.2">
      <c r="A816" s="13"/>
      <c r="B816" s="12"/>
      <c r="C816" s="11"/>
      <c r="D816" s="11"/>
      <c r="E816" s="11"/>
      <c r="F816" s="11"/>
      <c r="G816" s="11"/>
      <c r="H816" s="11"/>
      <c r="I816" s="11"/>
      <c r="J816" s="11"/>
      <c r="K816" s="11"/>
    </row>
    <row r="817" spans="1:11" x14ac:dyDescent="0.2">
      <c r="A817" s="13"/>
      <c r="B817" s="12"/>
      <c r="C817" s="11"/>
      <c r="D817" s="11"/>
      <c r="E817" s="11"/>
      <c r="F817" s="11"/>
      <c r="G817" s="11"/>
      <c r="H817" s="11"/>
      <c r="I817" s="11"/>
      <c r="J817" s="11"/>
      <c r="K817" s="11"/>
    </row>
    <row r="818" spans="1:11" x14ac:dyDescent="0.2">
      <c r="A818" s="13"/>
      <c r="B818" s="12"/>
      <c r="C818" s="11"/>
      <c r="D818" s="11"/>
      <c r="E818" s="11"/>
      <c r="F818" s="11"/>
      <c r="G818" s="11"/>
      <c r="H818" s="11"/>
      <c r="I818" s="11"/>
      <c r="J818" s="11"/>
      <c r="K818" s="11"/>
    </row>
    <row r="819" spans="1:11" x14ac:dyDescent="0.2">
      <c r="A819" s="13"/>
      <c r="B819" s="12"/>
      <c r="C819" s="11"/>
      <c r="D819" s="11"/>
      <c r="E819" s="11"/>
      <c r="F819" s="11"/>
      <c r="G819" s="11"/>
      <c r="H819" s="11"/>
      <c r="I819" s="11"/>
      <c r="J819" s="11"/>
      <c r="K819" s="11"/>
    </row>
    <row r="820" spans="1:11" x14ac:dyDescent="0.2">
      <c r="A820" s="13"/>
      <c r="B820" s="12"/>
      <c r="C820" s="11"/>
      <c r="D820" s="11"/>
      <c r="E820" s="11"/>
      <c r="F820" s="11"/>
      <c r="G820" s="11"/>
      <c r="H820" s="11"/>
      <c r="I820" s="11"/>
      <c r="J820" s="11"/>
      <c r="K820" s="11"/>
    </row>
    <row r="821" spans="1:11" x14ac:dyDescent="0.2">
      <c r="A821" s="13"/>
      <c r="B821" s="12"/>
      <c r="C821" s="11"/>
      <c r="D821" s="11"/>
      <c r="E821" s="11"/>
      <c r="F821" s="11"/>
      <c r="G821" s="11"/>
      <c r="H821" s="11"/>
      <c r="I821" s="11"/>
      <c r="J821" s="11"/>
      <c r="K821" s="11"/>
    </row>
    <row r="822" spans="1:11" x14ac:dyDescent="0.2">
      <c r="A822" s="13"/>
      <c r="B822" s="12"/>
      <c r="C822" s="11"/>
      <c r="D822" s="11"/>
      <c r="E822" s="11"/>
      <c r="F822" s="11"/>
      <c r="G822" s="11"/>
      <c r="H822" s="11"/>
      <c r="I822" s="11"/>
      <c r="J822" s="11"/>
      <c r="K822" s="11"/>
    </row>
    <row r="823" spans="1:11" x14ac:dyDescent="0.2">
      <c r="A823" s="13"/>
      <c r="B823" s="12"/>
      <c r="C823" s="11"/>
      <c r="D823" s="11"/>
      <c r="E823" s="11"/>
      <c r="F823" s="11"/>
      <c r="G823" s="11"/>
      <c r="H823" s="11"/>
      <c r="I823" s="11"/>
      <c r="J823" s="11"/>
      <c r="K823" s="11"/>
    </row>
    <row r="824" spans="1:11" x14ac:dyDescent="0.2">
      <c r="A824" s="13"/>
      <c r="B824" s="12"/>
      <c r="C824" s="11"/>
      <c r="D824" s="11"/>
      <c r="E824" s="11"/>
      <c r="F824" s="11"/>
      <c r="G824" s="11"/>
      <c r="H824" s="11"/>
      <c r="I824" s="11"/>
      <c r="J824" s="11"/>
      <c r="K824" s="11"/>
    </row>
    <row r="825" spans="1:11" x14ac:dyDescent="0.2">
      <c r="A825" s="13"/>
      <c r="B825" s="12"/>
      <c r="C825" s="11"/>
      <c r="D825" s="11"/>
      <c r="E825" s="11"/>
      <c r="F825" s="11"/>
      <c r="G825" s="11"/>
      <c r="H825" s="11"/>
      <c r="I825" s="11"/>
      <c r="J825" s="11"/>
      <c r="K825" s="11"/>
    </row>
    <row r="826" spans="1:11" x14ac:dyDescent="0.2">
      <c r="A826" s="13"/>
      <c r="B826" s="12"/>
      <c r="C826" s="11"/>
      <c r="D826" s="11"/>
      <c r="E826" s="11"/>
      <c r="F826" s="11"/>
      <c r="G826" s="11"/>
      <c r="H826" s="11"/>
      <c r="I826" s="11"/>
      <c r="J826" s="11"/>
      <c r="K826" s="11"/>
    </row>
    <row r="827" spans="1:11" x14ac:dyDescent="0.2">
      <c r="A827" s="13"/>
      <c r="B827" s="12"/>
      <c r="C827" s="11"/>
      <c r="D827" s="11"/>
      <c r="E827" s="11"/>
      <c r="F827" s="11"/>
      <c r="G827" s="11"/>
      <c r="H827" s="11"/>
      <c r="I827" s="11"/>
      <c r="J827" s="11"/>
      <c r="K827" s="11"/>
    </row>
    <row r="828" spans="1:11" x14ac:dyDescent="0.2">
      <c r="A828" s="13"/>
      <c r="B828" s="12"/>
      <c r="C828" s="11"/>
      <c r="D828" s="11"/>
      <c r="E828" s="11"/>
      <c r="F828" s="11"/>
      <c r="G828" s="11"/>
      <c r="H828" s="11"/>
      <c r="I828" s="11"/>
      <c r="J828" s="11"/>
      <c r="K828" s="11"/>
    </row>
    <row r="829" spans="1:11" x14ac:dyDescent="0.2">
      <c r="A829" s="13"/>
      <c r="B829" s="12"/>
      <c r="C829" s="11"/>
      <c r="D829" s="11"/>
      <c r="E829" s="11"/>
      <c r="F829" s="11"/>
      <c r="G829" s="11"/>
      <c r="H829" s="11"/>
      <c r="I829" s="11"/>
      <c r="J829" s="11"/>
      <c r="K829" s="11"/>
    </row>
    <row r="830" spans="1:11" x14ac:dyDescent="0.2">
      <c r="A830" s="13"/>
      <c r="B830" s="12"/>
      <c r="C830" s="11"/>
      <c r="D830" s="11"/>
      <c r="E830" s="11"/>
      <c r="F830" s="11"/>
      <c r="G830" s="11"/>
      <c r="H830" s="11"/>
      <c r="I830" s="11"/>
      <c r="J830" s="11"/>
      <c r="K830" s="11"/>
    </row>
    <row r="831" spans="1:11" x14ac:dyDescent="0.2">
      <c r="A831" s="13"/>
      <c r="B831" s="12"/>
      <c r="C831" s="11"/>
      <c r="D831" s="11"/>
      <c r="E831" s="11"/>
      <c r="F831" s="11"/>
      <c r="G831" s="11"/>
      <c r="H831" s="11"/>
      <c r="I831" s="11"/>
      <c r="J831" s="11"/>
      <c r="K831" s="11"/>
    </row>
    <row r="832" spans="1:11" x14ac:dyDescent="0.2">
      <c r="A832" s="13"/>
      <c r="B832" s="12"/>
      <c r="C832" s="11"/>
      <c r="D832" s="11"/>
      <c r="E832" s="11"/>
      <c r="F832" s="11"/>
      <c r="G832" s="11"/>
      <c r="H832" s="11"/>
      <c r="I832" s="11"/>
      <c r="J832" s="11"/>
      <c r="K832" s="11"/>
    </row>
    <row r="833" spans="1:11" x14ac:dyDescent="0.2">
      <c r="A833" s="13"/>
      <c r="B833" s="12"/>
      <c r="C833" s="11"/>
      <c r="D833" s="11"/>
      <c r="E833" s="11"/>
      <c r="F833" s="11"/>
      <c r="G833" s="11"/>
      <c r="H833" s="11"/>
      <c r="I833" s="11"/>
      <c r="J833" s="11"/>
      <c r="K833" s="11"/>
    </row>
    <row r="834" spans="1:11" x14ac:dyDescent="0.2">
      <c r="A834" s="13"/>
      <c r="B834" s="12"/>
      <c r="C834" s="11"/>
      <c r="D834" s="11"/>
      <c r="E834" s="11"/>
      <c r="F834" s="11"/>
      <c r="G834" s="11"/>
      <c r="H834" s="11"/>
      <c r="I834" s="11"/>
      <c r="J834" s="11"/>
      <c r="K834" s="11"/>
    </row>
    <row r="835" spans="1:11" x14ac:dyDescent="0.2">
      <c r="A835" s="13"/>
      <c r="B835" s="12"/>
      <c r="C835" s="11"/>
      <c r="D835" s="11"/>
      <c r="E835" s="11"/>
      <c r="F835" s="11"/>
      <c r="G835" s="11"/>
      <c r="H835" s="11"/>
      <c r="I835" s="11"/>
      <c r="J835" s="11"/>
      <c r="K835" s="11"/>
    </row>
    <row r="836" spans="1:11" x14ac:dyDescent="0.2">
      <c r="A836" s="13"/>
      <c r="B836" s="12"/>
      <c r="C836" s="11"/>
      <c r="D836" s="11"/>
      <c r="E836" s="11"/>
      <c r="F836" s="11"/>
      <c r="G836" s="11"/>
      <c r="H836" s="11"/>
      <c r="I836" s="11"/>
      <c r="J836" s="11"/>
      <c r="K836" s="11"/>
    </row>
    <row r="837" spans="1:11" x14ac:dyDescent="0.2">
      <c r="A837" s="13"/>
      <c r="B837" s="12"/>
      <c r="C837" s="11"/>
      <c r="D837" s="11"/>
      <c r="E837" s="11"/>
      <c r="F837" s="11"/>
      <c r="G837" s="11"/>
      <c r="H837" s="11"/>
      <c r="I837" s="11"/>
      <c r="J837" s="11"/>
      <c r="K837" s="11"/>
    </row>
    <row r="838" spans="1:11" x14ac:dyDescent="0.2">
      <c r="A838" s="13"/>
      <c r="B838" s="12"/>
      <c r="C838" s="11"/>
      <c r="D838" s="11"/>
      <c r="E838" s="11"/>
      <c r="F838" s="11"/>
      <c r="G838" s="11"/>
      <c r="H838" s="11"/>
      <c r="I838" s="11"/>
      <c r="J838" s="11"/>
      <c r="K838" s="11"/>
    </row>
    <row r="839" spans="1:11" x14ac:dyDescent="0.2">
      <c r="A839" s="13"/>
      <c r="B839" s="12"/>
      <c r="C839" s="11"/>
      <c r="D839" s="11"/>
      <c r="E839" s="11"/>
      <c r="F839" s="11"/>
      <c r="G839" s="11"/>
      <c r="H839" s="11"/>
      <c r="I839" s="11"/>
      <c r="J839" s="11"/>
      <c r="K839" s="11"/>
    </row>
    <row r="840" spans="1:11" x14ac:dyDescent="0.2">
      <c r="A840" s="13"/>
      <c r="B840" s="12"/>
      <c r="C840" s="11"/>
      <c r="D840" s="11"/>
      <c r="E840" s="11"/>
      <c r="F840" s="11"/>
      <c r="G840" s="11"/>
      <c r="H840" s="11"/>
      <c r="I840" s="11"/>
      <c r="J840" s="11"/>
      <c r="K840" s="11"/>
    </row>
    <row r="841" spans="1:11" x14ac:dyDescent="0.2">
      <c r="A841" s="13"/>
      <c r="B841" s="12"/>
      <c r="C841" s="11"/>
      <c r="D841" s="11"/>
      <c r="E841" s="11"/>
      <c r="F841" s="11"/>
      <c r="G841" s="11"/>
      <c r="H841" s="11"/>
      <c r="I841" s="11"/>
      <c r="J841" s="11"/>
      <c r="K841" s="11"/>
    </row>
    <row r="842" spans="1:11" x14ac:dyDescent="0.2">
      <c r="A842" s="13"/>
      <c r="B842" s="12"/>
      <c r="C842" s="11"/>
      <c r="D842" s="11"/>
      <c r="E842" s="11"/>
      <c r="F842" s="11"/>
      <c r="G842" s="11"/>
      <c r="H842" s="11"/>
      <c r="I842" s="11"/>
      <c r="J842" s="11"/>
      <c r="K842" s="11"/>
    </row>
    <row r="843" spans="1:11" x14ac:dyDescent="0.2">
      <c r="A843" s="13"/>
      <c r="B843" s="12"/>
      <c r="C843" s="11"/>
      <c r="D843" s="11"/>
      <c r="E843" s="11"/>
      <c r="F843" s="11"/>
      <c r="G843" s="11"/>
      <c r="H843" s="11"/>
      <c r="I843" s="11"/>
      <c r="J843" s="11"/>
      <c r="K843" s="11"/>
    </row>
    <row r="844" spans="1:11" x14ac:dyDescent="0.2">
      <c r="A844" s="13"/>
      <c r="B844" s="12"/>
      <c r="C844" s="11"/>
      <c r="D844" s="11"/>
      <c r="E844" s="11"/>
      <c r="F844" s="11"/>
      <c r="G844" s="11"/>
      <c r="H844" s="11"/>
      <c r="I844" s="11"/>
      <c r="J844" s="11"/>
      <c r="K844" s="11"/>
    </row>
    <row r="845" spans="1:11" x14ac:dyDescent="0.2">
      <c r="A845" s="13"/>
      <c r="B845" s="12"/>
      <c r="C845" s="11"/>
      <c r="D845" s="11"/>
      <c r="E845" s="11"/>
      <c r="F845" s="11"/>
      <c r="G845" s="11"/>
      <c r="H845" s="11"/>
      <c r="I845" s="11"/>
      <c r="J845" s="11"/>
      <c r="K845" s="11"/>
    </row>
    <row r="846" spans="1:11" x14ac:dyDescent="0.2">
      <c r="A846" s="13"/>
      <c r="B846" s="12"/>
      <c r="C846" s="11"/>
      <c r="D846" s="11"/>
      <c r="E846" s="11"/>
      <c r="F846" s="11"/>
      <c r="G846" s="11"/>
      <c r="H846" s="11"/>
      <c r="I846" s="11"/>
      <c r="J846" s="11"/>
      <c r="K846" s="11"/>
    </row>
    <row r="847" spans="1:11" x14ac:dyDescent="0.2">
      <c r="A847" s="13"/>
      <c r="B847" s="12"/>
      <c r="C847" s="11"/>
      <c r="D847" s="11"/>
      <c r="E847" s="11"/>
      <c r="F847" s="11"/>
      <c r="G847" s="11"/>
      <c r="H847" s="11"/>
      <c r="I847" s="11"/>
      <c r="J847" s="11"/>
      <c r="K847" s="11"/>
    </row>
    <row r="848" spans="1:11" x14ac:dyDescent="0.2">
      <c r="A848" s="13"/>
      <c r="B848" s="12"/>
      <c r="C848" s="11"/>
      <c r="D848" s="11"/>
      <c r="E848" s="11"/>
      <c r="F848" s="11"/>
      <c r="G848" s="11"/>
      <c r="H848" s="11"/>
      <c r="I848" s="11"/>
      <c r="J848" s="11"/>
      <c r="K848" s="11"/>
    </row>
    <row r="849" spans="1:11" x14ac:dyDescent="0.2">
      <c r="A849" s="13"/>
      <c r="B849" s="12"/>
      <c r="C849" s="11"/>
      <c r="D849" s="11"/>
      <c r="E849" s="11"/>
      <c r="F849" s="11"/>
      <c r="G849" s="11"/>
      <c r="H849" s="11"/>
      <c r="I849" s="11"/>
      <c r="J849" s="11"/>
      <c r="K849" s="11"/>
    </row>
    <row r="850" spans="1:11" x14ac:dyDescent="0.2">
      <c r="A850" s="13"/>
      <c r="B850" s="12"/>
      <c r="C850" s="11"/>
      <c r="D850" s="11"/>
      <c r="E850" s="11"/>
      <c r="F850" s="11"/>
      <c r="G850" s="11"/>
      <c r="H850" s="11"/>
      <c r="I850" s="11"/>
      <c r="J850" s="11"/>
      <c r="K850" s="11"/>
    </row>
    <row r="851" spans="1:11" x14ac:dyDescent="0.2">
      <c r="A851" s="13"/>
      <c r="B851" s="12"/>
      <c r="C851" s="11"/>
      <c r="D851" s="11"/>
      <c r="E851" s="11"/>
      <c r="F851" s="11"/>
      <c r="G851" s="11"/>
      <c r="H851" s="11"/>
      <c r="I851" s="11"/>
      <c r="J851" s="11"/>
      <c r="K851" s="11"/>
    </row>
    <row r="852" spans="1:11" x14ac:dyDescent="0.2">
      <c r="A852" s="13"/>
      <c r="B852" s="12"/>
      <c r="C852" s="11"/>
      <c r="D852" s="11"/>
      <c r="E852" s="11"/>
      <c r="F852" s="11"/>
      <c r="G852" s="11"/>
      <c r="H852" s="11"/>
      <c r="I852" s="11"/>
      <c r="J852" s="11"/>
      <c r="K852" s="11"/>
    </row>
    <row r="853" spans="1:11" x14ac:dyDescent="0.2">
      <c r="A853" s="13"/>
      <c r="B853" s="12"/>
      <c r="C853" s="11"/>
      <c r="D853" s="11"/>
      <c r="E853" s="11"/>
      <c r="F853" s="11"/>
      <c r="G853" s="11"/>
      <c r="H853" s="11"/>
      <c r="I853" s="11"/>
      <c r="J853" s="11"/>
      <c r="K853" s="11"/>
    </row>
    <row r="854" spans="1:11" x14ac:dyDescent="0.2">
      <c r="A854" s="13"/>
      <c r="B854" s="12"/>
      <c r="C854" s="11"/>
      <c r="D854" s="11"/>
      <c r="E854" s="11"/>
      <c r="F854" s="11"/>
      <c r="G854" s="11"/>
      <c r="H854" s="11"/>
      <c r="I854" s="11"/>
      <c r="J854" s="11"/>
      <c r="K854" s="11"/>
    </row>
    <row r="855" spans="1:11" x14ac:dyDescent="0.2">
      <c r="A855" s="13"/>
      <c r="B855" s="12"/>
      <c r="C855" s="11"/>
      <c r="D855" s="11"/>
      <c r="E855" s="11"/>
      <c r="F855" s="11"/>
      <c r="G855" s="11"/>
      <c r="H855" s="11"/>
      <c r="I855" s="11"/>
      <c r="J855" s="11"/>
      <c r="K855" s="11"/>
    </row>
    <row r="856" spans="1:11" x14ac:dyDescent="0.2">
      <c r="A856" s="13"/>
      <c r="B856" s="12"/>
      <c r="C856" s="11"/>
      <c r="D856" s="11"/>
      <c r="E856" s="11"/>
      <c r="F856" s="11"/>
      <c r="G856" s="11"/>
      <c r="H856" s="11"/>
      <c r="I856" s="11"/>
      <c r="J856" s="11"/>
      <c r="K856" s="11"/>
    </row>
    <row r="857" spans="1:11" x14ac:dyDescent="0.2">
      <c r="A857" s="13"/>
      <c r="B857" s="12"/>
      <c r="C857" s="11"/>
      <c r="D857" s="11"/>
      <c r="E857" s="11"/>
      <c r="F857" s="11"/>
      <c r="G857" s="11"/>
      <c r="H857" s="11"/>
      <c r="I857" s="11"/>
      <c r="J857" s="11"/>
      <c r="K857" s="11"/>
    </row>
    <row r="858" spans="1:11" x14ac:dyDescent="0.2">
      <c r="A858" s="13"/>
      <c r="B858" s="12"/>
      <c r="C858" s="11"/>
      <c r="D858" s="11"/>
      <c r="E858" s="11"/>
      <c r="F858" s="11"/>
      <c r="G858" s="11"/>
      <c r="H858" s="11"/>
      <c r="I858" s="11"/>
      <c r="J858" s="11"/>
      <c r="K858" s="11"/>
    </row>
    <row r="859" spans="1:11" x14ac:dyDescent="0.2">
      <c r="A859" s="13"/>
      <c r="B859" s="12"/>
      <c r="C859" s="11"/>
      <c r="D859" s="11"/>
      <c r="E859" s="11"/>
      <c r="F859" s="11"/>
      <c r="G859" s="11"/>
      <c r="H859" s="11"/>
      <c r="I859" s="11"/>
      <c r="J859" s="11"/>
      <c r="K859" s="11"/>
    </row>
    <row r="860" spans="1:11" x14ac:dyDescent="0.2">
      <c r="A860" s="13"/>
      <c r="B860" s="12"/>
      <c r="C860" s="11"/>
      <c r="D860" s="11"/>
      <c r="E860" s="11"/>
      <c r="F860" s="11"/>
      <c r="G860" s="11"/>
      <c r="H860" s="11"/>
      <c r="I860" s="11"/>
      <c r="J860" s="11"/>
      <c r="K860" s="11"/>
    </row>
    <row r="861" spans="1:11" x14ac:dyDescent="0.2">
      <c r="A861" s="13"/>
      <c r="B861" s="12"/>
      <c r="C861" s="11"/>
      <c r="D861" s="11"/>
      <c r="E861" s="11"/>
      <c r="F861" s="11"/>
      <c r="G861" s="11"/>
      <c r="H861" s="11"/>
      <c r="I861" s="11"/>
      <c r="J861" s="11"/>
      <c r="K861" s="11"/>
    </row>
    <row r="862" spans="1:11" x14ac:dyDescent="0.2">
      <c r="A862" s="13"/>
      <c r="B862" s="12"/>
      <c r="C862" s="11"/>
      <c r="D862" s="11"/>
      <c r="E862" s="11"/>
      <c r="F862" s="11"/>
      <c r="G862" s="11"/>
      <c r="H862" s="11"/>
      <c r="I862" s="11"/>
      <c r="J862" s="11"/>
      <c r="K862" s="11"/>
    </row>
    <row r="863" spans="1:11" x14ac:dyDescent="0.2">
      <c r="A863" s="13"/>
      <c r="B863" s="12"/>
      <c r="C863" s="11"/>
      <c r="D863" s="11"/>
      <c r="E863" s="11"/>
      <c r="F863" s="11"/>
      <c r="G863" s="11"/>
      <c r="H863" s="11"/>
      <c r="I863" s="11"/>
      <c r="J863" s="11"/>
      <c r="K863" s="11"/>
    </row>
    <row r="864" spans="1:11" x14ac:dyDescent="0.2">
      <c r="A864" s="13"/>
      <c r="B864" s="12"/>
      <c r="C864" s="11"/>
      <c r="D864" s="11"/>
      <c r="E864" s="11"/>
      <c r="F864" s="11"/>
      <c r="G864" s="11"/>
      <c r="H864" s="11"/>
      <c r="I864" s="11"/>
      <c r="J864" s="11"/>
      <c r="K864" s="11"/>
    </row>
    <row r="865" spans="1:11" x14ac:dyDescent="0.2">
      <c r="A865" s="13"/>
      <c r="B865" s="12"/>
      <c r="C865" s="11"/>
      <c r="D865" s="11"/>
      <c r="E865" s="11"/>
      <c r="F865" s="11"/>
      <c r="G865" s="11"/>
      <c r="H865" s="11"/>
      <c r="I865" s="11"/>
      <c r="J865" s="11"/>
      <c r="K865" s="11"/>
    </row>
    <row r="866" spans="1:11" x14ac:dyDescent="0.2">
      <c r="A866" s="13"/>
      <c r="B866" s="12"/>
      <c r="C866" s="11"/>
      <c r="D866" s="11"/>
      <c r="E866" s="11"/>
      <c r="F866" s="11"/>
      <c r="G866" s="11"/>
      <c r="H866" s="11"/>
      <c r="I866" s="11"/>
      <c r="J866" s="11"/>
      <c r="K866" s="11"/>
    </row>
    <row r="867" spans="1:11" x14ac:dyDescent="0.2">
      <c r="A867" s="13"/>
      <c r="B867" s="12"/>
      <c r="C867" s="11"/>
      <c r="D867" s="11"/>
      <c r="E867" s="11"/>
      <c r="F867" s="11"/>
      <c r="G867" s="11"/>
      <c r="H867" s="11"/>
      <c r="I867" s="11"/>
      <c r="J867" s="11"/>
      <c r="K867" s="11"/>
    </row>
    <row r="868" spans="1:11" x14ac:dyDescent="0.2">
      <c r="A868" s="13"/>
      <c r="B868" s="12"/>
      <c r="C868" s="11"/>
      <c r="D868" s="11"/>
      <c r="E868" s="11"/>
      <c r="F868" s="11"/>
      <c r="G868" s="11"/>
      <c r="H868" s="11"/>
      <c r="I868" s="11"/>
      <c r="J868" s="11"/>
      <c r="K868" s="11"/>
    </row>
    <row r="869" spans="1:11" x14ac:dyDescent="0.2">
      <c r="A869" s="13"/>
      <c r="B869" s="12"/>
      <c r="C869" s="11"/>
      <c r="D869" s="11"/>
      <c r="E869" s="11"/>
      <c r="F869" s="11"/>
      <c r="G869" s="11"/>
      <c r="H869" s="11"/>
      <c r="I869" s="11"/>
      <c r="J869" s="11"/>
      <c r="K869" s="11"/>
    </row>
    <row r="870" spans="1:11" x14ac:dyDescent="0.2">
      <c r="A870" s="13"/>
      <c r="B870" s="12"/>
      <c r="C870" s="11"/>
      <c r="D870" s="11"/>
      <c r="E870" s="11"/>
      <c r="F870" s="11"/>
      <c r="G870" s="11"/>
      <c r="H870" s="11"/>
      <c r="I870" s="11"/>
      <c r="J870" s="11"/>
      <c r="K870" s="11"/>
    </row>
    <row r="871" spans="1:11" x14ac:dyDescent="0.2">
      <c r="A871" s="13"/>
      <c r="B871" s="12"/>
      <c r="C871" s="11"/>
      <c r="D871" s="11"/>
      <c r="E871" s="11"/>
      <c r="F871" s="11"/>
      <c r="G871" s="11"/>
      <c r="H871" s="11"/>
      <c r="I871" s="11"/>
      <c r="J871" s="11"/>
      <c r="K871" s="11"/>
    </row>
    <row r="872" spans="1:11" x14ac:dyDescent="0.2">
      <c r="A872" s="13"/>
      <c r="B872" s="12"/>
      <c r="C872" s="11"/>
      <c r="D872" s="11"/>
      <c r="E872" s="11"/>
      <c r="F872" s="11"/>
      <c r="G872" s="11"/>
      <c r="H872" s="11"/>
      <c r="I872" s="11"/>
      <c r="J872" s="11"/>
      <c r="K872" s="11"/>
    </row>
    <row r="873" spans="1:11" x14ac:dyDescent="0.2">
      <c r="A873" s="13"/>
      <c r="B873" s="12"/>
      <c r="C873" s="11"/>
      <c r="D873" s="11"/>
      <c r="E873" s="11"/>
      <c r="F873" s="11"/>
      <c r="G873" s="11"/>
      <c r="H873" s="11"/>
      <c r="I873" s="11"/>
      <c r="J873" s="11"/>
      <c r="K873" s="11"/>
    </row>
    <row r="874" spans="1:11" x14ac:dyDescent="0.2">
      <c r="A874" s="13"/>
      <c r="B874" s="12"/>
      <c r="C874" s="11"/>
      <c r="D874" s="11"/>
      <c r="E874" s="11"/>
      <c r="F874" s="11"/>
      <c r="G874" s="11"/>
      <c r="H874" s="11"/>
      <c r="I874" s="11"/>
      <c r="J874" s="11"/>
      <c r="K874" s="11"/>
    </row>
    <row r="875" spans="1:11" x14ac:dyDescent="0.2">
      <c r="A875" s="13"/>
      <c r="B875" s="12"/>
      <c r="C875" s="11"/>
      <c r="D875" s="11"/>
      <c r="E875" s="11"/>
      <c r="F875" s="11"/>
      <c r="G875" s="11"/>
      <c r="H875" s="11"/>
      <c r="I875" s="11"/>
      <c r="J875" s="11"/>
      <c r="K875" s="11"/>
    </row>
    <row r="876" spans="1:11" x14ac:dyDescent="0.2">
      <c r="A876" s="13"/>
      <c r="B876" s="12"/>
      <c r="C876" s="11"/>
      <c r="D876" s="11"/>
      <c r="E876" s="11"/>
      <c r="F876" s="11"/>
      <c r="G876" s="11"/>
      <c r="H876" s="11"/>
      <c r="I876" s="11"/>
      <c r="J876" s="11"/>
      <c r="K876" s="11"/>
    </row>
    <row r="877" spans="1:11" x14ac:dyDescent="0.2">
      <c r="A877" s="13"/>
      <c r="B877" s="12"/>
      <c r="C877" s="11"/>
      <c r="D877" s="11"/>
      <c r="E877" s="11"/>
      <c r="F877" s="11"/>
      <c r="G877" s="11"/>
      <c r="H877" s="11"/>
      <c r="I877" s="11"/>
      <c r="J877" s="11"/>
      <c r="K877" s="11"/>
    </row>
    <row r="878" spans="1:11" x14ac:dyDescent="0.2">
      <c r="A878" s="13"/>
      <c r="B878" s="12"/>
      <c r="C878" s="11"/>
      <c r="D878" s="11"/>
      <c r="E878" s="11"/>
      <c r="F878" s="11"/>
      <c r="G878" s="11"/>
      <c r="H878" s="11"/>
      <c r="I878" s="11"/>
      <c r="J878" s="11"/>
      <c r="K878" s="11"/>
    </row>
    <row r="879" spans="1:11" x14ac:dyDescent="0.2">
      <c r="A879" s="13"/>
      <c r="B879" s="12"/>
      <c r="C879" s="11"/>
      <c r="D879" s="11"/>
      <c r="E879" s="11"/>
      <c r="F879" s="11"/>
      <c r="G879" s="11"/>
      <c r="H879" s="11"/>
      <c r="I879" s="11"/>
      <c r="J879" s="11"/>
      <c r="K879" s="11"/>
    </row>
    <row r="880" spans="1:11" x14ac:dyDescent="0.2">
      <c r="A880" s="13"/>
      <c r="B880" s="12"/>
      <c r="C880" s="11"/>
      <c r="D880" s="11"/>
      <c r="E880" s="11"/>
      <c r="F880" s="11"/>
      <c r="G880" s="11"/>
      <c r="H880" s="11"/>
      <c r="I880" s="11"/>
      <c r="J880" s="11"/>
      <c r="K880" s="11"/>
    </row>
    <row r="881" spans="1:11" x14ac:dyDescent="0.2">
      <c r="A881" s="13"/>
      <c r="B881" s="12"/>
      <c r="C881" s="11"/>
      <c r="D881" s="11"/>
      <c r="E881" s="11"/>
      <c r="F881" s="11"/>
      <c r="G881" s="11"/>
      <c r="H881" s="11"/>
      <c r="I881" s="11"/>
      <c r="J881" s="11"/>
      <c r="K881" s="11"/>
    </row>
    <row r="882" spans="1:11" x14ac:dyDescent="0.2">
      <c r="A882" s="13"/>
      <c r="B882" s="12"/>
      <c r="C882" s="11"/>
      <c r="D882" s="11"/>
      <c r="E882" s="11"/>
      <c r="F882" s="11"/>
      <c r="G882" s="11"/>
      <c r="H882" s="11"/>
      <c r="I882" s="11"/>
      <c r="J882" s="11"/>
      <c r="K882" s="11"/>
    </row>
    <row r="883" spans="1:11" x14ac:dyDescent="0.2">
      <c r="A883" s="13"/>
      <c r="B883" s="12"/>
      <c r="C883" s="11"/>
      <c r="D883" s="11"/>
      <c r="E883" s="11"/>
      <c r="F883" s="11"/>
      <c r="G883" s="11"/>
      <c r="H883" s="11"/>
      <c r="I883" s="11"/>
      <c r="J883" s="11"/>
      <c r="K883" s="11"/>
    </row>
    <row r="884" spans="1:11" x14ac:dyDescent="0.2">
      <c r="A884" s="13"/>
      <c r="B884" s="12"/>
      <c r="C884" s="11"/>
      <c r="D884" s="11"/>
      <c r="E884" s="11"/>
      <c r="F884" s="11"/>
      <c r="G884" s="11"/>
      <c r="H884" s="11"/>
      <c r="I884" s="11"/>
      <c r="J884" s="11"/>
      <c r="K884" s="11"/>
    </row>
    <row r="885" spans="1:11" x14ac:dyDescent="0.2">
      <c r="A885" s="13"/>
      <c r="B885" s="12"/>
      <c r="C885" s="11"/>
      <c r="D885" s="11"/>
      <c r="E885" s="11"/>
      <c r="F885" s="11"/>
      <c r="G885" s="11"/>
      <c r="H885" s="11"/>
      <c r="I885" s="11"/>
      <c r="J885" s="11"/>
      <c r="K885" s="11"/>
    </row>
    <row r="886" spans="1:11" x14ac:dyDescent="0.2">
      <c r="A886" s="13"/>
      <c r="B886" s="12"/>
      <c r="C886" s="11"/>
      <c r="D886" s="11"/>
      <c r="E886" s="11"/>
      <c r="F886" s="11"/>
      <c r="G886" s="11"/>
      <c r="H886" s="11"/>
      <c r="I886" s="11"/>
      <c r="J886" s="11"/>
      <c r="K886" s="11"/>
    </row>
    <row r="887" spans="1:11" x14ac:dyDescent="0.2">
      <c r="A887" s="13"/>
      <c r="B887" s="12"/>
      <c r="C887" s="11"/>
      <c r="D887" s="11"/>
      <c r="E887" s="11"/>
      <c r="F887" s="11"/>
      <c r="G887" s="11"/>
      <c r="H887" s="11"/>
      <c r="I887" s="11"/>
      <c r="J887" s="11"/>
      <c r="K887" s="11"/>
    </row>
    <row r="888" spans="1:11" x14ac:dyDescent="0.2">
      <c r="A888" s="13"/>
      <c r="B888" s="12"/>
      <c r="C888" s="11"/>
      <c r="D888" s="11"/>
      <c r="E888" s="11"/>
      <c r="F888" s="11"/>
      <c r="G888" s="11"/>
      <c r="H888" s="11"/>
      <c r="I888" s="11"/>
      <c r="J888" s="11"/>
      <c r="K888" s="11"/>
    </row>
    <row r="889" spans="1:11" x14ac:dyDescent="0.2">
      <c r="A889" s="13"/>
      <c r="B889" s="12"/>
      <c r="C889" s="11"/>
      <c r="D889" s="11"/>
      <c r="E889" s="11"/>
      <c r="F889" s="11"/>
      <c r="G889" s="11"/>
      <c r="H889" s="11"/>
      <c r="I889" s="11"/>
      <c r="J889" s="11"/>
      <c r="K889" s="11"/>
    </row>
    <row r="890" spans="1:11" x14ac:dyDescent="0.2">
      <c r="A890" s="13"/>
      <c r="B890" s="12"/>
      <c r="C890" s="11"/>
      <c r="D890" s="11"/>
      <c r="E890" s="11"/>
      <c r="F890" s="11"/>
      <c r="G890" s="11"/>
      <c r="H890" s="11"/>
      <c r="I890" s="11"/>
      <c r="J890" s="11"/>
      <c r="K890" s="11"/>
    </row>
    <row r="891" spans="1:11" x14ac:dyDescent="0.2">
      <c r="A891" s="13"/>
      <c r="B891" s="12"/>
      <c r="C891" s="11"/>
      <c r="D891" s="11"/>
      <c r="E891" s="11"/>
      <c r="F891" s="11"/>
      <c r="G891" s="11"/>
      <c r="H891" s="11"/>
      <c r="I891" s="11"/>
      <c r="J891" s="11"/>
      <c r="K891" s="11"/>
    </row>
    <row r="892" spans="1:11" x14ac:dyDescent="0.2">
      <c r="A892" s="13"/>
      <c r="B892" s="12"/>
      <c r="C892" s="11"/>
      <c r="D892" s="11"/>
      <c r="E892" s="11"/>
      <c r="F892" s="11"/>
      <c r="G892" s="11"/>
      <c r="H892" s="11"/>
      <c r="I892" s="11"/>
      <c r="J892" s="11"/>
      <c r="K892" s="11"/>
    </row>
    <row r="893" spans="1:11" x14ac:dyDescent="0.2">
      <c r="A893" s="13"/>
      <c r="B893" s="12"/>
      <c r="C893" s="11"/>
      <c r="D893" s="11"/>
      <c r="E893" s="11"/>
      <c r="F893" s="11"/>
      <c r="G893" s="11"/>
      <c r="H893" s="11"/>
      <c r="I893" s="11"/>
      <c r="J893" s="11"/>
      <c r="K893" s="11"/>
    </row>
    <row r="894" spans="1:11" x14ac:dyDescent="0.2">
      <c r="A894" s="13"/>
      <c r="B894" s="12"/>
      <c r="C894" s="11"/>
      <c r="D894" s="11"/>
      <c r="E894" s="11"/>
      <c r="F894" s="11"/>
      <c r="G894" s="11"/>
      <c r="H894" s="11"/>
      <c r="I894" s="11"/>
      <c r="J894" s="11"/>
      <c r="K894" s="11"/>
    </row>
    <row r="895" spans="1:11" x14ac:dyDescent="0.2">
      <c r="A895" s="13"/>
      <c r="B895" s="12"/>
      <c r="C895" s="11"/>
      <c r="D895" s="11"/>
      <c r="E895" s="11"/>
      <c r="F895" s="11"/>
      <c r="G895" s="11"/>
      <c r="H895" s="11"/>
      <c r="I895" s="11"/>
      <c r="J895" s="11"/>
      <c r="K895" s="11"/>
    </row>
    <row r="896" spans="1:11" x14ac:dyDescent="0.2">
      <c r="A896" s="13"/>
      <c r="B896" s="12"/>
      <c r="C896" s="11"/>
      <c r="D896" s="11"/>
      <c r="E896" s="11"/>
      <c r="F896" s="11"/>
      <c r="G896" s="11"/>
      <c r="H896" s="11"/>
      <c r="I896" s="11"/>
      <c r="J896" s="11"/>
      <c r="K896" s="11"/>
    </row>
    <row r="897" spans="1:11" x14ac:dyDescent="0.2">
      <c r="A897" s="13"/>
      <c r="B897" s="12"/>
      <c r="C897" s="11"/>
      <c r="D897" s="11"/>
      <c r="E897" s="11"/>
      <c r="F897" s="11"/>
      <c r="G897" s="11"/>
      <c r="H897" s="11"/>
      <c r="I897" s="11"/>
      <c r="J897" s="11"/>
      <c r="K897" s="11"/>
    </row>
    <row r="898" spans="1:11" x14ac:dyDescent="0.2">
      <c r="A898" s="13"/>
      <c r="B898" s="12"/>
      <c r="C898" s="11"/>
      <c r="D898" s="11"/>
      <c r="E898" s="11"/>
      <c r="F898" s="11"/>
      <c r="G898" s="11"/>
      <c r="H898" s="11"/>
      <c r="I898" s="11"/>
      <c r="J898" s="11"/>
      <c r="K898" s="11"/>
    </row>
    <row r="899" spans="1:11" x14ac:dyDescent="0.2">
      <c r="A899" s="13"/>
      <c r="B899" s="12"/>
      <c r="C899" s="11"/>
      <c r="D899" s="11"/>
      <c r="E899" s="11"/>
      <c r="F899" s="11"/>
      <c r="G899" s="11"/>
      <c r="H899" s="11"/>
      <c r="I899" s="11"/>
      <c r="J899" s="11"/>
      <c r="K899" s="11"/>
    </row>
    <row r="900" spans="1:11" x14ac:dyDescent="0.2">
      <c r="A900" s="13"/>
      <c r="B900" s="12"/>
      <c r="C900" s="11"/>
      <c r="D900" s="11"/>
      <c r="E900" s="11"/>
      <c r="F900" s="11"/>
      <c r="G900" s="11"/>
      <c r="H900" s="11"/>
      <c r="I900" s="11"/>
      <c r="J900" s="11"/>
      <c r="K900" s="11"/>
    </row>
    <row r="901" spans="1:11" x14ac:dyDescent="0.2">
      <c r="A901" s="13"/>
      <c r="B901" s="12"/>
      <c r="C901" s="11"/>
      <c r="D901" s="11"/>
      <c r="E901" s="11"/>
      <c r="F901" s="11"/>
      <c r="G901" s="11"/>
      <c r="H901" s="11"/>
      <c r="I901" s="11"/>
      <c r="J901" s="11"/>
      <c r="K901" s="11"/>
    </row>
    <row r="902" spans="1:11" x14ac:dyDescent="0.2">
      <c r="A902" s="13"/>
      <c r="B902" s="12"/>
      <c r="C902" s="11"/>
      <c r="D902" s="11"/>
      <c r="E902" s="11"/>
      <c r="F902" s="11"/>
      <c r="G902" s="11"/>
      <c r="H902" s="11"/>
      <c r="I902" s="11"/>
      <c r="J902" s="11"/>
      <c r="K902" s="11"/>
    </row>
    <row r="903" spans="1:11" x14ac:dyDescent="0.2">
      <c r="A903" s="13"/>
      <c r="B903" s="12"/>
      <c r="C903" s="11"/>
      <c r="D903" s="11"/>
      <c r="E903" s="11"/>
      <c r="F903" s="11"/>
      <c r="G903" s="11"/>
      <c r="H903" s="11"/>
      <c r="I903" s="11"/>
      <c r="J903" s="11"/>
      <c r="K903" s="11"/>
    </row>
    <row r="904" spans="1:11" x14ac:dyDescent="0.2">
      <c r="A904" s="13"/>
      <c r="B904" s="12"/>
      <c r="C904" s="11"/>
      <c r="D904" s="11"/>
      <c r="E904" s="11"/>
      <c r="F904" s="11"/>
      <c r="G904" s="11"/>
      <c r="H904" s="11"/>
      <c r="I904" s="11"/>
      <c r="J904" s="11"/>
      <c r="K904" s="11"/>
    </row>
    <row r="905" spans="1:11" x14ac:dyDescent="0.2">
      <c r="A905" s="13"/>
      <c r="B905" s="12"/>
      <c r="C905" s="11"/>
      <c r="D905" s="11"/>
      <c r="E905" s="11"/>
      <c r="F905" s="11"/>
      <c r="G905" s="11"/>
      <c r="H905" s="11"/>
      <c r="I905" s="11"/>
      <c r="J905" s="11"/>
      <c r="K905" s="11"/>
    </row>
    <row r="906" spans="1:11" x14ac:dyDescent="0.2">
      <c r="A906" s="13"/>
      <c r="B906" s="12"/>
      <c r="C906" s="11"/>
      <c r="D906" s="11"/>
      <c r="E906" s="11"/>
      <c r="F906" s="11"/>
      <c r="G906" s="11"/>
      <c r="H906" s="11"/>
      <c r="I906" s="11"/>
      <c r="J906" s="11"/>
      <c r="K906" s="11"/>
    </row>
    <row r="907" spans="1:11" x14ac:dyDescent="0.2">
      <c r="A907" s="13"/>
      <c r="B907" s="12"/>
      <c r="C907" s="11"/>
      <c r="D907" s="11"/>
      <c r="E907" s="11"/>
      <c r="F907" s="11"/>
      <c r="G907" s="11"/>
      <c r="H907" s="11"/>
      <c r="I907" s="11"/>
      <c r="J907" s="11"/>
      <c r="K907" s="11"/>
    </row>
    <row r="908" spans="1:11" x14ac:dyDescent="0.2">
      <c r="A908" s="13"/>
      <c r="B908" s="12"/>
      <c r="C908" s="11"/>
      <c r="D908" s="11"/>
      <c r="E908" s="11"/>
      <c r="F908" s="11"/>
      <c r="G908" s="11"/>
      <c r="H908" s="11"/>
      <c r="I908" s="11"/>
      <c r="J908" s="11"/>
      <c r="K908" s="11"/>
    </row>
    <row r="909" spans="1:11" x14ac:dyDescent="0.2">
      <c r="A909" s="13"/>
      <c r="B909" s="12"/>
      <c r="C909" s="11"/>
      <c r="D909" s="11"/>
      <c r="E909" s="11"/>
      <c r="F909" s="11"/>
      <c r="G909" s="11"/>
      <c r="H909" s="11"/>
      <c r="I909" s="11"/>
      <c r="J909" s="11"/>
      <c r="K909" s="11"/>
    </row>
    <row r="910" spans="1:11" x14ac:dyDescent="0.2">
      <c r="A910" s="13"/>
      <c r="B910" s="12"/>
      <c r="C910" s="11"/>
      <c r="D910" s="11"/>
      <c r="E910" s="11"/>
      <c r="F910" s="11"/>
      <c r="G910" s="11"/>
      <c r="H910" s="11"/>
      <c r="I910" s="11"/>
      <c r="J910" s="11"/>
      <c r="K910" s="11"/>
    </row>
    <row r="911" spans="1:11" x14ac:dyDescent="0.2">
      <c r="A911" s="13"/>
      <c r="B911" s="12"/>
      <c r="C911" s="11"/>
      <c r="D911" s="11"/>
      <c r="E911" s="11"/>
      <c r="F911" s="11"/>
      <c r="G911" s="11"/>
      <c r="H911" s="11"/>
      <c r="I911" s="11"/>
      <c r="J911" s="11"/>
      <c r="K911" s="11"/>
    </row>
    <row r="912" spans="1:11" x14ac:dyDescent="0.2">
      <c r="A912" s="13"/>
      <c r="B912" s="12"/>
      <c r="C912" s="11"/>
      <c r="D912" s="11"/>
      <c r="E912" s="11"/>
      <c r="F912" s="11"/>
      <c r="G912" s="11"/>
      <c r="H912" s="11"/>
      <c r="I912" s="11"/>
      <c r="J912" s="11"/>
      <c r="K912" s="11"/>
    </row>
    <row r="913" spans="1:11" x14ac:dyDescent="0.2">
      <c r="A913" s="13"/>
      <c r="B913" s="12"/>
      <c r="C913" s="11"/>
      <c r="D913" s="11"/>
      <c r="E913" s="11"/>
      <c r="F913" s="11"/>
      <c r="G913" s="11"/>
      <c r="H913" s="11"/>
      <c r="I913" s="11"/>
      <c r="J913" s="11"/>
      <c r="K913" s="11"/>
    </row>
    <row r="914" spans="1:11" x14ac:dyDescent="0.2">
      <c r="A914" s="13"/>
      <c r="B914" s="12"/>
      <c r="C914" s="11"/>
      <c r="D914" s="11"/>
      <c r="E914" s="11"/>
      <c r="F914" s="11"/>
      <c r="G914" s="11"/>
      <c r="H914" s="11"/>
      <c r="I914" s="11"/>
      <c r="J914" s="11"/>
      <c r="K914" s="11"/>
    </row>
    <row r="915" spans="1:11" x14ac:dyDescent="0.2">
      <c r="A915" s="13"/>
      <c r="B915" s="12"/>
      <c r="C915" s="11"/>
      <c r="D915" s="11"/>
      <c r="E915" s="11"/>
      <c r="F915" s="11"/>
      <c r="G915" s="11"/>
      <c r="H915" s="11"/>
      <c r="I915" s="11"/>
      <c r="J915" s="11"/>
      <c r="K915" s="11"/>
    </row>
    <row r="916" spans="1:11" x14ac:dyDescent="0.2">
      <c r="A916" s="13"/>
      <c r="B916" s="12"/>
      <c r="C916" s="11"/>
      <c r="D916" s="11"/>
      <c r="E916" s="11"/>
      <c r="F916" s="11"/>
      <c r="G916" s="11"/>
      <c r="H916" s="11"/>
      <c r="I916" s="11"/>
      <c r="J916" s="11"/>
      <c r="K916" s="11"/>
    </row>
    <row r="917" spans="1:11" x14ac:dyDescent="0.2">
      <c r="A917" s="13"/>
      <c r="B917" s="12"/>
      <c r="C917" s="11"/>
      <c r="D917" s="11"/>
      <c r="E917" s="11"/>
      <c r="F917" s="11"/>
      <c r="G917" s="11"/>
      <c r="H917" s="11"/>
      <c r="I917" s="11"/>
      <c r="J917" s="11"/>
      <c r="K917" s="11"/>
    </row>
    <row r="918" spans="1:11" x14ac:dyDescent="0.2">
      <c r="A918" s="13"/>
      <c r="B918" s="12"/>
      <c r="C918" s="11"/>
      <c r="D918" s="11"/>
      <c r="E918" s="11"/>
      <c r="F918" s="11"/>
      <c r="G918" s="11"/>
      <c r="H918" s="11"/>
      <c r="I918" s="11"/>
      <c r="J918" s="11"/>
      <c r="K918" s="11"/>
    </row>
    <row r="919" spans="1:11" x14ac:dyDescent="0.2">
      <c r="A919" s="13"/>
      <c r="B919" s="12"/>
      <c r="C919" s="11"/>
      <c r="D919" s="11"/>
      <c r="E919" s="11"/>
      <c r="F919" s="11"/>
      <c r="G919" s="11"/>
      <c r="H919" s="11"/>
      <c r="I919" s="11"/>
      <c r="J919" s="11"/>
      <c r="K919" s="11"/>
    </row>
    <row r="920" spans="1:11" x14ac:dyDescent="0.2">
      <c r="A920" s="13"/>
      <c r="B920" s="12"/>
      <c r="C920" s="11"/>
      <c r="D920" s="11"/>
      <c r="E920" s="11"/>
      <c r="F920" s="11"/>
      <c r="G920" s="11"/>
      <c r="H920" s="11"/>
      <c r="I920" s="11"/>
      <c r="J920" s="11"/>
      <c r="K920" s="11"/>
    </row>
    <row r="921" spans="1:11" x14ac:dyDescent="0.2">
      <c r="A921" s="13"/>
      <c r="B921" s="12"/>
      <c r="C921" s="11"/>
      <c r="D921" s="11"/>
      <c r="E921" s="11"/>
      <c r="F921" s="11"/>
      <c r="G921" s="11"/>
      <c r="H921" s="11"/>
      <c r="I921" s="11"/>
      <c r="J921" s="11"/>
      <c r="K921" s="11"/>
    </row>
    <row r="922" spans="1:11" x14ac:dyDescent="0.2">
      <c r="A922" s="13"/>
      <c r="B922" s="12"/>
      <c r="C922" s="11"/>
      <c r="D922" s="11"/>
      <c r="E922" s="11"/>
      <c r="F922" s="11"/>
      <c r="G922" s="11"/>
      <c r="H922" s="11"/>
      <c r="I922" s="11"/>
      <c r="J922" s="11"/>
      <c r="K922" s="11"/>
    </row>
    <row r="923" spans="1:11" x14ac:dyDescent="0.2">
      <c r="A923" s="13"/>
      <c r="B923" s="12"/>
      <c r="C923" s="11"/>
      <c r="D923" s="11"/>
      <c r="E923" s="11"/>
      <c r="F923" s="11"/>
      <c r="G923" s="11"/>
      <c r="H923" s="11"/>
      <c r="I923" s="11"/>
      <c r="J923" s="11"/>
      <c r="K923" s="11"/>
    </row>
    <row r="924" spans="1:11" x14ac:dyDescent="0.2">
      <c r="A924" s="13"/>
      <c r="B924" s="12"/>
      <c r="C924" s="11"/>
      <c r="D924" s="11"/>
      <c r="E924" s="11"/>
      <c r="F924" s="11"/>
      <c r="G924" s="11"/>
      <c r="H924" s="11"/>
      <c r="I924" s="11"/>
      <c r="J924" s="11"/>
      <c r="K924" s="11"/>
    </row>
    <row r="925" spans="1:11" x14ac:dyDescent="0.2">
      <c r="A925" s="13"/>
      <c r="B925" s="12"/>
      <c r="C925" s="11"/>
      <c r="D925" s="11"/>
      <c r="E925" s="11"/>
      <c r="F925" s="11"/>
      <c r="G925" s="11"/>
      <c r="H925" s="11"/>
      <c r="I925" s="11"/>
      <c r="J925" s="11"/>
      <c r="K925" s="11"/>
    </row>
    <row r="926" spans="1:11" x14ac:dyDescent="0.2">
      <c r="A926" s="13"/>
      <c r="B926" s="12"/>
      <c r="C926" s="11"/>
      <c r="D926" s="11"/>
      <c r="E926" s="11"/>
      <c r="F926" s="11"/>
      <c r="G926" s="11"/>
      <c r="H926" s="11"/>
      <c r="I926" s="11"/>
      <c r="J926" s="11"/>
      <c r="K926" s="11"/>
    </row>
    <row r="927" spans="1:11" x14ac:dyDescent="0.2">
      <c r="A927" s="13"/>
      <c r="B927" s="12"/>
      <c r="C927" s="11"/>
      <c r="D927" s="11"/>
      <c r="E927" s="11"/>
      <c r="F927" s="11"/>
      <c r="G927" s="11"/>
      <c r="H927" s="11"/>
      <c r="I927" s="11"/>
      <c r="J927" s="11"/>
      <c r="K927" s="11"/>
    </row>
    <row r="928" spans="1:11" x14ac:dyDescent="0.2">
      <c r="A928" s="13"/>
      <c r="B928" s="12"/>
      <c r="C928" s="11"/>
      <c r="D928" s="11"/>
      <c r="E928" s="11"/>
      <c r="F928" s="11"/>
      <c r="G928" s="11"/>
      <c r="H928" s="11"/>
      <c r="I928" s="11"/>
      <c r="J928" s="11"/>
      <c r="K928" s="11"/>
    </row>
    <row r="929" spans="1:11" x14ac:dyDescent="0.2">
      <c r="A929" s="13"/>
      <c r="B929" s="12"/>
      <c r="C929" s="11"/>
      <c r="D929" s="11"/>
      <c r="E929" s="11"/>
      <c r="F929" s="11"/>
      <c r="G929" s="11"/>
      <c r="H929" s="11"/>
      <c r="I929" s="11"/>
      <c r="J929" s="11"/>
      <c r="K929" s="11"/>
    </row>
    <row r="930" spans="1:11" x14ac:dyDescent="0.2">
      <c r="A930" s="13"/>
      <c r="B930" s="12"/>
      <c r="C930" s="11"/>
      <c r="D930" s="11"/>
      <c r="E930" s="11"/>
      <c r="F930" s="11"/>
      <c r="G930" s="11"/>
      <c r="H930" s="11"/>
      <c r="I930" s="11"/>
      <c r="J930" s="11"/>
      <c r="K930" s="11"/>
    </row>
    <row r="931" spans="1:11" x14ac:dyDescent="0.2">
      <c r="A931" s="13"/>
      <c r="B931" s="12"/>
      <c r="C931" s="11"/>
      <c r="D931" s="11"/>
      <c r="E931" s="11"/>
      <c r="F931" s="11"/>
      <c r="G931" s="11"/>
      <c r="H931" s="11"/>
      <c r="I931" s="11"/>
      <c r="J931" s="11"/>
      <c r="K931" s="11"/>
    </row>
    <row r="932" spans="1:11" x14ac:dyDescent="0.2">
      <c r="A932" s="13"/>
      <c r="B932" s="12"/>
      <c r="C932" s="11"/>
      <c r="D932" s="11"/>
      <c r="E932" s="11"/>
      <c r="F932" s="11"/>
      <c r="G932" s="11"/>
      <c r="H932" s="11"/>
      <c r="I932" s="11"/>
      <c r="J932" s="11"/>
      <c r="K932" s="11"/>
    </row>
    <row r="933" spans="1:11" x14ac:dyDescent="0.2">
      <c r="A933" s="13"/>
      <c r="B933" s="12"/>
      <c r="C933" s="11"/>
      <c r="D933" s="11"/>
      <c r="E933" s="11"/>
      <c r="F933" s="11"/>
      <c r="G933" s="11"/>
      <c r="H933" s="11"/>
      <c r="I933" s="11"/>
      <c r="J933" s="11"/>
      <c r="K933" s="11"/>
    </row>
    <row r="934" spans="1:11" x14ac:dyDescent="0.2">
      <c r="A934" s="13"/>
      <c r="B934" s="12"/>
      <c r="C934" s="11"/>
      <c r="D934" s="11"/>
      <c r="E934" s="11"/>
      <c r="F934" s="11"/>
      <c r="G934" s="11"/>
      <c r="H934" s="11"/>
      <c r="I934" s="11"/>
      <c r="J934" s="11"/>
      <c r="K934" s="11"/>
    </row>
    <row r="935" spans="1:11" x14ac:dyDescent="0.2">
      <c r="A935" s="13"/>
      <c r="B935" s="12"/>
      <c r="C935" s="11"/>
      <c r="D935" s="11"/>
      <c r="E935" s="11"/>
      <c r="F935" s="11"/>
      <c r="G935" s="11"/>
      <c r="H935" s="11"/>
      <c r="I935" s="11"/>
      <c r="J935" s="11"/>
      <c r="K935" s="11"/>
    </row>
    <row r="936" spans="1:11" x14ac:dyDescent="0.2">
      <c r="A936" s="13"/>
      <c r="B936" s="12"/>
      <c r="C936" s="11"/>
      <c r="D936" s="11"/>
      <c r="E936" s="11"/>
      <c r="F936" s="11"/>
      <c r="G936" s="11"/>
      <c r="H936" s="11"/>
      <c r="I936" s="11"/>
      <c r="J936" s="11"/>
      <c r="K936" s="11"/>
    </row>
    <row r="937" spans="1:11" x14ac:dyDescent="0.2">
      <c r="A937" s="13"/>
      <c r="B937" s="12"/>
      <c r="C937" s="11"/>
      <c r="D937" s="11"/>
      <c r="E937" s="11"/>
      <c r="F937" s="11"/>
      <c r="G937" s="11"/>
      <c r="H937" s="11"/>
      <c r="I937" s="11"/>
      <c r="J937" s="11"/>
      <c r="K937" s="11"/>
    </row>
    <row r="938" spans="1:11" x14ac:dyDescent="0.2">
      <c r="A938" s="13"/>
      <c r="B938" s="12"/>
      <c r="C938" s="11"/>
      <c r="D938" s="11"/>
      <c r="E938" s="11"/>
      <c r="F938" s="11"/>
      <c r="G938" s="11"/>
      <c r="H938" s="11"/>
      <c r="I938" s="11"/>
      <c r="J938" s="11"/>
      <c r="K938" s="11"/>
    </row>
    <row r="939" spans="1:11" x14ac:dyDescent="0.2">
      <c r="A939" s="13"/>
      <c r="B939" s="12"/>
      <c r="C939" s="11"/>
      <c r="D939" s="11"/>
      <c r="E939" s="11"/>
      <c r="F939" s="11"/>
      <c r="G939" s="11"/>
      <c r="H939" s="11"/>
      <c r="I939" s="11"/>
      <c r="J939" s="11"/>
      <c r="K939" s="11"/>
    </row>
    <row r="940" spans="1:11" x14ac:dyDescent="0.2">
      <c r="A940" s="13"/>
      <c r="B940" s="12"/>
      <c r="C940" s="11"/>
      <c r="D940" s="11"/>
      <c r="E940" s="11"/>
      <c r="F940" s="11"/>
      <c r="G940" s="11"/>
      <c r="H940" s="11"/>
      <c r="I940" s="11"/>
      <c r="J940" s="11"/>
      <c r="K940" s="11"/>
    </row>
    <row r="941" spans="1:11" x14ac:dyDescent="0.2">
      <c r="A941" s="13"/>
      <c r="B941" s="12"/>
      <c r="C941" s="11"/>
      <c r="D941" s="11"/>
      <c r="E941" s="11"/>
      <c r="F941" s="11"/>
      <c r="G941" s="11"/>
      <c r="H941" s="11"/>
      <c r="I941" s="11"/>
      <c r="J941" s="11"/>
      <c r="K941" s="11"/>
    </row>
    <row r="942" spans="1:11" x14ac:dyDescent="0.2">
      <c r="A942" s="13"/>
      <c r="B942" s="12"/>
      <c r="C942" s="11"/>
      <c r="D942" s="11"/>
      <c r="E942" s="11"/>
      <c r="F942" s="11"/>
      <c r="G942" s="11"/>
      <c r="H942" s="11"/>
      <c r="I942" s="11"/>
      <c r="J942" s="11"/>
      <c r="K942" s="11"/>
    </row>
    <row r="943" spans="1:11" x14ac:dyDescent="0.2">
      <c r="A943" s="13"/>
      <c r="B943" s="12"/>
      <c r="C943" s="11"/>
      <c r="D943" s="11"/>
      <c r="E943" s="11"/>
      <c r="F943" s="11"/>
      <c r="G943" s="11"/>
      <c r="H943" s="11"/>
      <c r="I943" s="11"/>
      <c r="J943" s="11"/>
      <c r="K943" s="11"/>
    </row>
    <row r="944" spans="1:11" x14ac:dyDescent="0.2">
      <c r="A944" s="13"/>
      <c r="B944" s="12"/>
      <c r="C944" s="11"/>
      <c r="D944" s="11"/>
      <c r="E944" s="11"/>
      <c r="F944" s="11"/>
      <c r="G944" s="11"/>
      <c r="H944" s="11"/>
      <c r="I944" s="11"/>
      <c r="J944" s="11"/>
      <c r="K944" s="11"/>
    </row>
    <row r="945" spans="1:11" x14ac:dyDescent="0.2">
      <c r="A945" s="13"/>
      <c r="B945" s="12"/>
      <c r="C945" s="11"/>
      <c r="D945" s="11"/>
      <c r="E945" s="11"/>
      <c r="F945" s="11"/>
      <c r="G945" s="11"/>
      <c r="H945" s="11"/>
      <c r="I945" s="11"/>
      <c r="J945" s="11"/>
      <c r="K945" s="11"/>
    </row>
    <row r="946" spans="1:11" x14ac:dyDescent="0.2">
      <c r="A946" s="13"/>
      <c r="B946" s="12"/>
      <c r="C946" s="11"/>
      <c r="D946" s="11"/>
      <c r="E946" s="11"/>
      <c r="F946" s="11"/>
      <c r="G946" s="11"/>
      <c r="H946" s="11"/>
      <c r="I946" s="11"/>
      <c r="J946" s="11"/>
      <c r="K946" s="11"/>
    </row>
    <row r="947" spans="1:11" x14ac:dyDescent="0.2">
      <c r="A947" s="13"/>
      <c r="B947" s="12"/>
      <c r="C947" s="11"/>
      <c r="D947" s="11"/>
      <c r="E947" s="11"/>
      <c r="F947" s="11"/>
      <c r="G947" s="11"/>
      <c r="H947" s="11"/>
      <c r="I947" s="11"/>
      <c r="J947" s="11"/>
      <c r="K947" s="11"/>
    </row>
    <row r="948" spans="1:11" x14ac:dyDescent="0.2">
      <c r="A948" s="13"/>
      <c r="B948" s="12"/>
      <c r="C948" s="11"/>
      <c r="D948" s="11"/>
      <c r="E948" s="11"/>
      <c r="F948" s="11"/>
      <c r="G948" s="11"/>
      <c r="H948" s="11"/>
      <c r="I948" s="11"/>
      <c r="J948" s="11"/>
      <c r="K948" s="11"/>
    </row>
    <row r="949" spans="1:11" x14ac:dyDescent="0.2">
      <c r="A949" s="13"/>
      <c r="B949" s="12"/>
      <c r="C949" s="11"/>
      <c r="D949" s="11"/>
      <c r="E949" s="11"/>
      <c r="F949" s="11"/>
      <c r="G949" s="11"/>
      <c r="H949" s="11"/>
      <c r="I949" s="11"/>
      <c r="J949" s="11"/>
      <c r="K949" s="11"/>
    </row>
    <row r="950" spans="1:11" x14ac:dyDescent="0.2">
      <c r="A950" s="13"/>
      <c r="B950" s="12"/>
      <c r="C950" s="11"/>
      <c r="D950" s="11"/>
      <c r="E950" s="11"/>
      <c r="F950" s="11"/>
      <c r="G950" s="11"/>
      <c r="H950" s="11"/>
      <c r="I950" s="11"/>
      <c r="J950" s="11"/>
      <c r="K950" s="11"/>
    </row>
    <row r="951" spans="1:11" x14ac:dyDescent="0.2">
      <c r="A951" s="13"/>
      <c r="B951" s="12"/>
      <c r="C951" s="11"/>
      <c r="D951" s="11"/>
      <c r="E951" s="11"/>
      <c r="F951" s="11"/>
      <c r="G951" s="11"/>
      <c r="H951" s="11"/>
      <c r="I951" s="11"/>
      <c r="J951" s="11"/>
      <c r="K951" s="11"/>
    </row>
    <row r="952" spans="1:11" x14ac:dyDescent="0.2">
      <c r="A952" s="13"/>
      <c r="B952" s="12"/>
      <c r="C952" s="11"/>
      <c r="D952" s="11"/>
      <c r="E952" s="11"/>
      <c r="F952" s="11"/>
      <c r="G952" s="11"/>
      <c r="H952" s="11"/>
      <c r="I952" s="11"/>
      <c r="J952" s="11"/>
      <c r="K952" s="11"/>
    </row>
    <row r="953" spans="1:11" x14ac:dyDescent="0.2">
      <c r="A953" s="13"/>
      <c r="B953" s="12"/>
      <c r="C953" s="11"/>
      <c r="D953" s="11"/>
      <c r="E953" s="11"/>
      <c r="F953" s="11"/>
      <c r="G953" s="11"/>
      <c r="H953" s="11"/>
      <c r="I953" s="11"/>
      <c r="J953" s="11"/>
      <c r="K953" s="11"/>
    </row>
    <row r="954" spans="1:11" x14ac:dyDescent="0.2">
      <c r="A954" s="13"/>
      <c r="B954" s="12"/>
      <c r="C954" s="11"/>
      <c r="D954" s="11"/>
      <c r="E954" s="11"/>
      <c r="F954" s="11"/>
      <c r="G954" s="11"/>
      <c r="H954" s="11"/>
      <c r="I954" s="11"/>
      <c r="J954" s="11"/>
      <c r="K954" s="11"/>
    </row>
    <row r="955" spans="1:11" x14ac:dyDescent="0.2">
      <c r="A955" s="13"/>
      <c r="B955" s="12"/>
      <c r="C955" s="11"/>
      <c r="D955" s="11"/>
      <c r="E955" s="11"/>
      <c r="F955" s="11"/>
      <c r="G955" s="11"/>
      <c r="H955" s="11"/>
      <c r="I955" s="11"/>
      <c r="J955" s="11"/>
      <c r="K955" s="11"/>
    </row>
    <row r="956" spans="1:11" x14ac:dyDescent="0.2">
      <c r="A956" s="13"/>
      <c r="B956" s="12"/>
      <c r="C956" s="11"/>
      <c r="D956" s="11"/>
      <c r="E956" s="11"/>
      <c r="F956" s="11"/>
      <c r="G956" s="11"/>
      <c r="H956" s="11"/>
      <c r="I956" s="11"/>
      <c r="J956" s="11"/>
      <c r="K956" s="11"/>
    </row>
    <row r="957" spans="1:11" x14ac:dyDescent="0.2">
      <c r="A957" s="13"/>
      <c r="B957" s="12"/>
      <c r="C957" s="11"/>
      <c r="D957" s="11"/>
      <c r="E957" s="11"/>
      <c r="F957" s="11"/>
      <c r="G957" s="11"/>
      <c r="H957" s="11"/>
      <c r="I957" s="11"/>
      <c r="J957" s="11"/>
      <c r="K957" s="11"/>
    </row>
    <row r="958" spans="1:11" x14ac:dyDescent="0.2">
      <c r="A958" s="13"/>
      <c r="B958" s="12"/>
      <c r="C958" s="11"/>
      <c r="D958" s="11"/>
      <c r="E958" s="11"/>
      <c r="F958" s="11"/>
      <c r="G958" s="11"/>
      <c r="H958" s="11"/>
      <c r="I958" s="11"/>
      <c r="J958" s="11"/>
      <c r="K958" s="11"/>
    </row>
    <row r="959" spans="1:11" x14ac:dyDescent="0.2">
      <c r="A959" s="13"/>
      <c r="B959" s="12"/>
      <c r="C959" s="11"/>
      <c r="D959" s="11"/>
      <c r="E959" s="11"/>
      <c r="F959" s="11"/>
      <c r="G959" s="11"/>
      <c r="H959" s="11"/>
      <c r="I959" s="11"/>
      <c r="J959" s="11"/>
      <c r="K959" s="11"/>
    </row>
    <row r="960" spans="1:11" x14ac:dyDescent="0.2">
      <c r="A960" s="13"/>
      <c r="B960" s="12"/>
      <c r="C960" s="11"/>
      <c r="D960" s="11"/>
      <c r="E960" s="11"/>
      <c r="F960" s="11"/>
      <c r="G960" s="11"/>
      <c r="H960" s="11"/>
      <c r="I960" s="11"/>
      <c r="J960" s="11"/>
      <c r="K960" s="11"/>
    </row>
    <row r="961" spans="1:11" x14ac:dyDescent="0.2">
      <c r="A961" s="13"/>
      <c r="B961" s="12"/>
      <c r="C961" s="11"/>
      <c r="D961" s="11"/>
      <c r="E961" s="11"/>
      <c r="F961" s="11"/>
      <c r="G961" s="11"/>
      <c r="H961" s="11"/>
      <c r="I961" s="11"/>
      <c r="J961" s="11"/>
      <c r="K961" s="11"/>
    </row>
    <row r="962" spans="1:11" x14ac:dyDescent="0.2">
      <c r="A962" s="13"/>
      <c r="B962" s="12"/>
      <c r="C962" s="11"/>
      <c r="D962" s="11"/>
      <c r="E962" s="11"/>
      <c r="F962" s="11"/>
      <c r="G962" s="11"/>
      <c r="H962" s="11"/>
      <c r="I962" s="11"/>
      <c r="J962" s="11"/>
      <c r="K962" s="11"/>
    </row>
    <row r="963" spans="1:11" x14ac:dyDescent="0.2">
      <c r="A963" s="13"/>
      <c r="B963" s="12"/>
      <c r="C963" s="11"/>
      <c r="D963" s="11"/>
      <c r="E963" s="11"/>
      <c r="F963" s="11"/>
      <c r="G963" s="11"/>
      <c r="H963" s="11"/>
      <c r="I963" s="11"/>
      <c r="J963" s="11"/>
      <c r="K963" s="11"/>
    </row>
    <row r="964" spans="1:11" x14ac:dyDescent="0.2">
      <c r="A964" s="13"/>
      <c r="B964" s="12"/>
      <c r="C964" s="11"/>
      <c r="D964" s="11"/>
      <c r="E964" s="11"/>
      <c r="F964" s="11"/>
      <c r="G964" s="11"/>
      <c r="H964" s="11"/>
      <c r="I964" s="11"/>
      <c r="J964" s="11"/>
      <c r="K964" s="11"/>
    </row>
    <row r="965" spans="1:11" x14ac:dyDescent="0.2">
      <c r="A965" s="13"/>
      <c r="B965" s="12"/>
      <c r="C965" s="11"/>
      <c r="D965" s="11"/>
      <c r="E965" s="11"/>
      <c r="F965" s="11"/>
      <c r="G965" s="11"/>
      <c r="H965" s="11"/>
      <c r="I965" s="11"/>
      <c r="J965" s="11"/>
      <c r="K965" s="11"/>
    </row>
    <row r="966" spans="1:11" x14ac:dyDescent="0.2">
      <c r="A966" s="13"/>
      <c r="B966" s="12"/>
      <c r="C966" s="11"/>
      <c r="D966" s="11"/>
      <c r="E966" s="11"/>
      <c r="F966" s="11"/>
      <c r="G966" s="11"/>
      <c r="H966" s="11"/>
      <c r="I966" s="11"/>
      <c r="J966" s="11"/>
      <c r="K966" s="11"/>
    </row>
    <row r="967" spans="1:11" x14ac:dyDescent="0.2">
      <c r="A967" s="13"/>
      <c r="B967" s="12"/>
      <c r="C967" s="11"/>
      <c r="D967" s="11"/>
      <c r="E967" s="11"/>
      <c r="F967" s="11"/>
      <c r="G967" s="11"/>
      <c r="H967" s="11"/>
      <c r="I967" s="11"/>
      <c r="J967" s="11"/>
      <c r="K967" s="11"/>
    </row>
    <row r="968" spans="1:11" x14ac:dyDescent="0.2">
      <c r="A968" s="13"/>
      <c r="B968" s="12"/>
      <c r="C968" s="11"/>
      <c r="D968" s="11"/>
      <c r="E968" s="11"/>
      <c r="F968" s="11"/>
      <c r="G968" s="11"/>
      <c r="H968" s="11"/>
      <c r="I968" s="11"/>
      <c r="J968" s="11"/>
      <c r="K968" s="11"/>
    </row>
    <row r="969" spans="1:11" x14ac:dyDescent="0.2">
      <c r="A969" s="13"/>
      <c r="B969" s="12"/>
      <c r="C969" s="11"/>
      <c r="D969" s="11"/>
      <c r="E969" s="11"/>
      <c r="F969" s="11"/>
      <c r="G969" s="11"/>
      <c r="H969" s="11"/>
      <c r="I969" s="11"/>
      <c r="J969" s="11"/>
      <c r="K969" s="11"/>
    </row>
    <row r="970" spans="1:11" x14ac:dyDescent="0.2">
      <c r="A970" s="13"/>
      <c r="B970" s="12"/>
      <c r="C970" s="11"/>
      <c r="D970" s="11"/>
      <c r="E970" s="11"/>
      <c r="F970" s="11"/>
      <c r="G970" s="11"/>
      <c r="H970" s="11"/>
      <c r="I970" s="11"/>
      <c r="J970" s="11"/>
      <c r="K970" s="11"/>
    </row>
    <row r="971" spans="1:11" x14ac:dyDescent="0.2">
      <c r="A971" s="13"/>
      <c r="B971" s="12"/>
      <c r="C971" s="11"/>
      <c r="D971" s="11"/>
      <c r="E971" s="11"/>
      <c r="F971" s="11"/>
      <c r="G971" s="11"/>
      <c r="H971" s="11"/>
      <c r="I971" s="11"/>
      <c r="J971" s="11"/>
      <c r="K971" s="11"/>
    </row>
    <row r="972" spans="1:11" x14ac:dyDescent="0.2">
      <c r="A972" s="13"/>
      <c r="B972" s="12"/>
      <c r="C972" s="11"/>
      <c r="D972" s="11"/>
      <c r="E972" s="11"/>
      <c r="F972" s="11"/>
      <c r="G972" s="11"/>
      <c r="H972" s="11"/>
      <c r="I972" s="11"/>
      <c r="J972" s="11"/>
      <c r="K972" s="11"/>
    </row>
    <row r="973" spans="1:11" x14ac:dyDescent="0.2">
      <c r="A973" s="13"/>
      <c r="B973" s="12"/>
      <c r="C973" s="11"/>
      <c r="D973" s="11"/>
      <c r="E973" s="11"/>
      <c r="F973" s="11"/>
      <c r="G973" s="11"/>
      <c r="H973" s="11"/>
      <c r="I973" s="11"/>
      <c r="J973" s="11"/>
      <c r="K973" s="11"/>
    </row>
    <row r="974" spans="1:11" x14ac:dyDescent="0.2">
      <c r="A974" s="13"/>
      <c r="B974" s="12"/>
      <c r="C974" s="11"/>
      <c r="D974" s="11"/>
      <c r="E974" s="11"/>
      <c r="F974" s="11"/>
      <c r="G974" s="11"/>
      <c r="H974" s="11"/>
      <c r="I974" s="11"/>
      <c r="J974" s="11"/>
      <c r="K974" s="11"/>
    </row>
    <row r="975" spans="1:11" x14ac:dyDescent="0.2">
      <c r="A975" s="13"/>
      <c r="B975" s="12"/>
      <c r="C975" s="11"/>
      <c r="D975" s="11"/>
      <c r="E975" s="11"/>
      <c r="F975" s="11"/>
      <c r="G975" s="11"/>
      <c r="H975" s="11"/>
      <c r="I975" s="11"/>
      <c r="J975" s="11"/>
      <c r="K975" s="11"/>
    </row>
    <row r="976" spans="1:11" x14ac:dyDescent="0.2">
      <c r="A976" s="13"/>
      <c r="B976" s="12"/>
      <c r="C976" s="11"/>
      <c r="D976" s="11"/>
      <c r="E976" s="11"/>
      <c r="F976" s="11"/>
      <c r="G976" s="11"/>
      <c r="H976" s="11"/>
      <c r="I976" s="11"/>
      <c r="J976" s="11"/>
      <c r="K976" s="11"/>
    </row>
    <row r="977" spans="1:11" x14ac:dyDescent="0.2">
      <c r="A977" s="13"/>
      <c r="B977" s="12"/>
      <c r="C977" s="11"/>
      <c r="D977" s="11"/>
      <c r="E977" s="11"/>
      <c r="F977" s="11"/>
      <c r="G977" s="11"/>
      <c r="H977" s="11"/>
      <c r="I977" s="11"/>
      <c r="J977" s="11"/>
      <c r="K977" s="11"/>
    </row>
    <row r="978" spans="1:11" x14ac:dyDescent="0.2">
      <c r="A978" s="13"/>
      <c r="B978" s="12"/>
      <c r="C978" s="11"/>
      <c r="D978" s="11"/>
      <c r="E978" s="11"/>
      <c r="F978" s="11"/>
      <c r="G978" s="11"/>
      <c r="H978" s="11"/>
      <c r="I978" s="11"/>
      <c r="J978" s="11"/>
      <c r="K978" s="11"/>
    </row>
    <row r="979" spans="1:11" x14ac:dyDescent="0.2">
      <c r="A979" s="13"/>
      <c r="B979" s="12"/>
      <c r="C979" s="11"/>
      <c r="D979" s="11"/>
      <c r="E979" s="11"/>
      <c r="F979" s="11"/>
      <c r="G979" s="11"/>
      <c r="H979" s="11"/>
      <c r="I979" s="11"/>
      <c r="J979" s="11"/>
      <c r="K979" s="11"/>
    </row>
    <row r="980" spans="1:11" x14ac:dyDescent="0.2">
      <c r="A980" s="13"/>
      <c r="B980" s="12"/>
      <c r="C980" s="11"/>
      <c r="D980" s="11"/>
      <c r="E980" s="11"/>
      <c r="F980" s="11"/>
      <c r="G980" s="11"/>
      <c r="H980" s="11"/>
      <c r="I980" s="11"/>
      <c r="J980" s="11"/>
      <c r="K980" s="11"/>
    </row>
    <row r="981" spans="1:11" x14ac:dyDescent="0.2">
      <c r="A981" s="13"/>
      <c r="B981" s="12"/>
      <c r="C981" s="11"/>
      <c r="D981" s="11"/>
      <c r="E981" s="11"/>
      <c r="F981" s="11"/>
      <c r="G981" s="11"/>
      <c r="H981" s="11"/>
      <c r="I981" s="11"/>
      <c r="J981" s="11"/>
      <c r="K981" s="11"/>
    </row>
    <row r="982" spans="1:11" x14ac:dyDescent="0.2">
      <c r="A982" s="13"/>
      <c r="B982" s="12"/>
      <c r="C982" s="11"/>
      <c r="D982" s="11"/>
      <c r="E982" s="11"/>
      <c r="F982" s="11"/>
      <c r="G982" s="11"/>
      <c r="H982" s="11"/>
      <c r="I982" s="11"/>
      <c r="J982" s="11"/>
      <c r="K982" s="11"/>
    </row>
    <row r="983" spans="1:11" x14ac:dyDescent="0.2">
      <c r="A983" s="13"/>
      <c r="B983" s="12"/>
      <c r="C983" s="11"/>
      <c r="D983" s="11"/>
      <c r="E983" s="11"/>
      <c r="F983" s="11"/>
      <c r="G983" s="11"/>
      <c r="H983" s="11"/>
      <c r="I983" s="11"/>
      <c r="J983" s="11"/>
      <c r="K983" s="11"/>
    </row>
    <row r="984" spans="1:11" x14ac:dyDescent="0.2">
      <c r="A984" s="13"/>
      <c r="B984" s="12"/>
      <c r="C984" s="11"/>
      <c r="D984" s="11"/>
      <c r="E984" s="11"/>
      <c r="F984" s="11"/>
      <c r="G984" s="11"/>
      <c r="H984" s="11"/>
      <c r="I984" s="11"/>
      <c r="J984" s="11"/>
      <c r="K984" s="11"/>
    </row>
    <row r="985" spans="1:11" x14ac:dyDescent="0.2">
      <c r="A985" s="13"/>
      <c r="B985" s="12"/>
      <c r="C985" s="11"/>
      <c r="D985" s="11"/>
      <c r="E985" s="11"/>
      <c r="F985" s="11"/>
      <c r="G985" s="11"/>
      <c r="H985" s="11"/>
      <c r="I985" s="11"/>
      <c r="J985" s="11"/>
      <c r="K985" s="11"/>
    </row>
    <row r="986" spans="1:11" x14ac:dyDescent="0.2">
      <c r="A986" s="13"/>
      <c r="B986" s="12"/>
      <c r="C986" s="11"/>
      <c r="D986" s="11"/>
      <c r="E986" s="11"/>
      <c r="F986" s="11"/>
      <c r="G986" s="11"/>
      <c r="H986" s="11"/>
      <c r="I986" s="11"/>
      <c r="J986" s="11"/>
      <c r="K986" s="11"/>
    </row>
    <row r="987" spans="1:11" x14ac:dyDescent="0.2">
      <c r="A987" s="13"/>
      <c r="B987" s="12"/>
      <c r="C987" s="11"/>
      <c r="D987" s="11"/>
      <c r="E987" s="11"/>
      <c r="F987" s="11"/>
      <c r="G987" s="11"/>
      <c r="H987" s="11"/>
      <c r="I987" s="11"/>
      <c r="J987" s="11"/>
      <c r="K987" s="11"/>
    </row>
    <row r="988" spans="1:11" x14ac:dyDescent="0.2">
      <c r="A988" s="13"/>
      <c r="B988" s="12"/>
      <c r="C988" s="11"/>
      <c r="D988" s="11"/>
      <c r="E988" s="11"/>
      <c r="F988" s="11"/>
      <c r="G988" s="11"/>
      <c r="H988" s="11"/>
      <c r="I988" s="11"/>
      <c r="J988" s="11"/>
      <c r="K988" s="11"/>
    </row>
    <row r="989" spans="1:11" x14ac:dyDescent="0.2">
      <c r="A989" s="13"/>
      <c r="B989" s="12"/>
      <c r="C989" s="11"/>
      <c r="D989" s="11"/>
      <c r="E989" s="11"/>
      <c r="F989" s="11"/>
      <c r="G989" s="11"/>
      <c r="H989" s="11"/>
      <c r="I989" s="11"/>
      <c r="J989" s="11"/>
      <c r="K989" s="11"/>
    </row>
    <row r="990" spans="1:11" x14ac:dyDescent="0.2">
      <c r="A990" s="13"/>
      <c r="B990" s="12"/>
      <c r="C990" s="11"/>
      <c r="D990" s="11"/>
      <c r="E990" s="11"/>
      <c r="F990" s="11"/>
      <c r="G990" s="11"/>
      <c r="H990" s="11"/>
      <c r="I990" s="11"/>
      <c r="J990" s="11"/>
      <c r="K990" s="11"/>
    </row>
    <row r="991" spans="1:11" x14ac:dyDescent="0.2">
      <c r="A991" s="13"/>
      <c r="B991" s="12"/>
      <c r="C991" s="11"/>
      <c r="D991" s="11"/>
      <c r="E991" s="11"/>
      <c r="F991" s="11"/>
      <c r="G991" s="11"/>
      <c r="H991" s="11"/>
      <c r="I991" s="11"/>
      <c r="J991" s="11"/>
      <c r="K991" s="11"/>
    </row>
    <row r="992" spans="1:11" x14ac:dyDescent="0.2">
      <c r="A992" s="13"/>
      <c r="B992" s="12"/>
      <c r="C992" s="11"/>
      <c r="D992" s="11"/>
      <c r="E992" s="11"/>
      <c r="F992" s="11"/>
      <c r="G992" s="11"/>
      <c r="H992" s="11"/>
      <c r="I992" s="11"/>
      <c r="J992" s="11"/>
      <c r="K992" s="11"/>
    </row>
    <row r="993" spans="1:11" x14ac:dyDescent="0.2">
      <c r="A993" s="13"/>
      <c r="B993" s="12"/>
      <c r="C993" s="11"/>
      <c r="D993" s="11"/>
      <c r="E993" s="11"/>
      <c r="F993" s="11"/>
      <c r="G993" s="11"/>
      <c r="H993" s="11"/>
      <c r="I993" s="11"/>
      <c r="J993" s="11"/>
      <c r="K993" s="11"/>
    </row>
    <row r="994" spans="1:11" x14ac:dyDescent="0.2">
      <c r="A994" s="13"/>
      <c r="B994" s="12"/>
      <c r="C994" s="11"/>
      <c r="D994" s="11"/>
      <c r="E994" s="11"/>
      <c r="F994" s="11"/>
      <c r="G994" s="11"/>
      <c r="H994" s="11"/>
      <c r="I994" s="11"/>
      <c r="J994" s="11"/>
      <c r="K994" s="11"/>
    </row>
    <row r="995" spans="1:11" x14ac:dyDescent="0.2">
      <c r="A995" s="13"/>
      <c r="B995" s="12"/>
      <c r="C995" s="11"/>
      <c r="D995" s="11"/>
      <c r="E995" s="11"/>
      <c r="F995" s="11"/>
      <c r="G995" s="11"/>
      <c r="H995" s="11"/>
      <c r="I995" s="11"/>
      <c r="J995" s="11"/>
      <c r="K995" s="11"/>
    </row>
    <row r="996" spans="1:11" x14ac:dyDescent="0.2">
      <c r="A996" s="13"/>
      <c r="B996" s="12"/>
      <c r="C996" s="11"/>
      <c r="D996" s="11"/>
      <c r="E996" s="11"/>
      <c r="F996" s="11"/>
      <c r="G996" s="11"/>
      <c r="H996" s="11"/>
      <c r="I996" s="11"/>
      <c r="J996" s="11"/>
      <c r="K996" s="11"/>
    </row>
    <row r="997" spans="1:11" x14ac:dyDescent="0.2">
      <c r="A997" s="13"/>
      <c r="B997" s="12"/>
      <c r="C997" s="11"/>
      <c r="D997" s="11"/>
      <c r="E997" s="11"/>
      <c r="F997" s="11"/>
      <c r="G997" s="11"/>
      <c r="H997" s="11"/>
      <c r="I997" s="11"/>
      <c r="J997" s="11"/>
      <c r="K997" s="11"/>
    </row>
    <row r="998" spans="1:11" x14ac:dyDescent="0.2">
      <c r="A998" s="13"/>
      <c r="B998" s="12"/>
      <c r="C998" s="11"/>
      <c r="D998" s="11"/>
      <c r="E998" s="11"/>
      <c r="F998" s="11"/>
      <c r="G998" s="11"/>
      <c r="H998" s="11"/>
      <c r="I998" s="11"/>
      <c r="J998" s="11"/>
      <c r="K998" s="11"/>
    </row>
    <row r="999" spans="1:11" x14ac:dyDescent="0.2">
      <c r="A999" s="13"/>
      <c r="B999" s="12"/>
      <c r="C999" s="11"/>
      <c r="D999" s="11"/>
      <c r="E999" s="11"/>
      <c r="F999" s="11"/>
      <c r="G999" s="11"/>
      <c r="H999" s="11"/>
      <c r="I999" s="11"/>
      <c r="J999" s="11"/>
      <c r="K999" s="11"/>
    </row>
    <row r="1000" spans="1:11" x14ac:dyDescent="0.2">
      <c r="B1000" s="10"/>
    </row>
    <row r="1001" spans="1:11" x14ac:dyDescent="0.2">
      <c r="B1001" s="10"/>
    </row>
    <row r="1002" spans="1:11" x14ac:dyDescent="0.2">
      <c r="B1002" s="10"/>
    </row>
    <row r="1003" spans="1:11" x14ac:dyDescent="0.2">
      <c r="B1003" s="10"/>
    </row>
    <row r="1004" spans="1:11" x14ac:dyDescent="0.2">
      <c r="B1004" s="10"/>
    </row>
    <row r="1005" spans="1:11" x14ac:dyDescent="0.2">
      <c r="B1005" s="10"/>
    </row>
    <row r="1006" spans="1:11" x14ac:dyDescent="0.2">
      <c r="B1006" s="10"/>
    </row>
    <row r="1007" spans="1:11" x14ac:dyDescent="0.2">
      <c r="B1007" s="10"/>
    </row>
    <row r="1008" spans="1:11" x14ac:dyDescent="0.2">
      <c r="B1008" s="10"/>
    </row>
    <row r="1009" spans="2:2" x14ac:dyDescent="0.2">
      <c r="B1009" s="10"/>
    </row>
    <row r="1010" spans="2:2" x14ac:dyDescent="0.2">
      <c r="B1010" s="10"/>
    </row>
    <row r="1011" spans="2:2" x14ac:dyDescent="0.2">
      <c r="B1011" s="10"/>
    </row>
    <row r="1012" spans="2:2" x14ac:dyDescent="0.2">
      <c r="B1012" s="10"/>
    </row>
    <row r="1013" spans="2:2" x14ac:dyDescent="0.2">
      <c r="B1013" s="10"/>
    </row>
    <row r="1014" spans="2:2" x14ac:dyDescent="0.2">
      <c r="B1014" s="10"/>
    </row>
    <row r="1015" spans="2:2" x14ac:dyDescent="0.2">
      <c r="B1015" s="10"/>
    </row>
    <row r="1016" spans="2:2" x14ac:dyDescent="0.2">
      <c r="B1016" s="10"/>
    </row>
    <row r="1017" spans="2:2" x14ac:dyDescent="0.2">
      <c r="B1017" s="10"/>
    </row>
    <row r="1018" spans="2:2" x14ac:dyDescent="0.2">
      <c r="B1018" s="10"/>
    </row>
    <row r="1019" spans="2:2" x14ac:dyDescent="0.2">
      <c r="B1019" s="10"/>
    </row>
    <row r="1020" spans="2:2" x14ac:dyDescent="0.2">
      <c r="B1020" s="10"/>
    </row>
    <row r="1021" spans="2:2" x14ac:dyDescent="0.2">
      <c r="B1021" s="10"/>
    </row>
    <row r="1022" spans="2:2" x14ac:dyDescent="0.2">
      <c r="B1022" s="10"/>
    </row>
    <row r="1023" spans="2:2" x14ac:dyDescent="0.2">
      <c r="B1023" s="10"/>
    </row>
    <row r="1024" spans="2:2" x14ac:dyDescent="0.2">
      <c r="B1024" s="10"/>
    </row>
    <row r="1025" spans="2:2" x14ac:dyDescent="0.2">
      <c r="B1025" s="10"/>
    </row>
    <row r="1026" spans="2:2" x14ac:dyDescent="0.2">
      <c r="B1026" s="10"/>
    </row>
    <row r="1027" spans="2:2" x14ac:dyDescent="0.2">
      <c r="B1027" s="10"/>
    </row>
    <row r="1028" spans="2:2" x14ac:dyDescent="0.2">
      <c r="B1028" s="10"/>
    </row>
    <row r="1029" spans="2:2" x14ac:dyDescent="0.2">
      <c r="B1029" s="10"/>
    </row>
    <row r="1030" spans="2:2" x14ac:dyDescent="0.2">
      <c r="B1030" s="10"/>
    </row>
    <row r="1031" spans="2:2" x14ac:dyDescent="0.2">
      <c r="B1031" s="10"/>
    </row>
    <row r="1032" spans="2:2" x14ac:dyDescent="0.2">
      <c r="B1032" s="10"/>
    </row>
    <row r="1033" spans="2:2" x14ac:dyDescent="0.2">
      <c r="B1033" s="10"/>
    </row>
    <row r="1034" spans="2:2" x14ac:dyDescent="0.2">
      <c r="B1034" s="10"/>
    </row>
    <row r="1035" spans="2:2" x14ac:dyDescent="0.2">
      <c r="B1035" s="10"/>
    </row>
    <row r="1036" spans="2:2" x14ac:dyDescent="0.2">
      <c r="B1036" s="10"/>
    </row>
    <row r="1037" spans="2:2" x14ac:dyDescent="0.2">
      <c r="B1037" s="10"/>
    </row>
    <row r="1038" spans="2:2" x14ac:dyDescent="0.2">
      <c r="B1038" s="10"/>
    </row>
    <row r="1039" spans="2:2" x14ac:dyDescent="0.2">
      <c r="B1039" s="10"/>
    </row>
    <row r="1040" spans="2:2" x14ac:dyDescent="0.2">
      <c r="B1040" s="10"/>
    </row>
    <row r="1041" spans="2:2" x14ac:dyDescent="0.2">
      <c r="B1041" s="10"/>
    </row>
    <row r="1042" spans="2:2" x14ac:dyDescent="0.2">
      <c r="B1042" s="10"/>
    </row>
    <row r="1043" spans="2:2" x14ac:dyDescent="0.2">
      <c r="B1043" s="10"/>
    </row>
    <row r="1044" spans="2:2" x14ac:dyDescent="0.2">
      <c r="B1044" s="10"/>
    </row>
    <row r="1045" spans="2:2" x14ac:dyDescent="0.2">
      <c r="B1045" s="10"/>
    </row>
    <row r="1046" spans="2:2" x14ac:dyDescent="0.2">
      <c r="B1046" s="10"/>
    </row>
    <row r="1047" spans="2:2" x14ac:dyDescent="0.2">
      <c r="B1047" s="10"/>
    </row>
    <row r="1048" spans="2:2" x14ac:dyDescent="0.2">
      <c r="B1048" s="10"/>
    </row>
    <row r="1049" spans="2:2" x14ac:dyDescent="0.2">
      <c r="B1049" s="10"/>
    </row>
    <row r="1050" spans="2:2" x14ac:dyDescent="0.2">
      <c r="B1050" s="10"/>
    </row>
    <row r="1051" spans="2:2" x14ac:dyDescent="0.2">
      <c r="B1051" s="10"/>
    </row>
    <row r="1052" spans="2:2" x14ac:dyDescent="0.2">
      <c r="B1052" s="10"/>
    </row>
    <row r="1053" spans="2:2" x14ac:dyDescent="0.2">
      <c r="B1053" s="10"/>
    </row>
    <row r="1054" spans="2:2" x14ac:dyDescent="0.2">
      <c r="B1054" s="10"/>
    </row>
    <row r="1055" spans="2:2" x14ac:dyDescent="0.2">
      <c r="B1055" s="10"/>
    </row>
    <row r="1056" spans="2:2" x14ac:dyDescent="0.2">
      <c r="B1056" s="10"/>
    </row>
    <row r="1057" spans="2:2" x14ac:dyDescent="0.2">
      <c r="B1057" s="10"/>
    </row>
    <row r="1058" spans="2:2" x14ac:dyDescent="0.2">
      <c r="B1058" s="10"/>
    </row>
    <row r="1059" spans="2:2" x14ac:dyDescent="0.2">
      <c r="B1059" s="10"/>
    </row>
    <row r="1060" spans="2:2" x14ac:dyDescent="0.2">
      <c r="B1060" s="10"/>
    </row>
    <row r="1061" spans="2:2" x14ac:dyDescent="0.2">
      <c r="B1061" s="10"/>
    </row>
    <row r="1062" spans="2:2" x14ac:dyDescent="0.2">
      <c r="B1062" s="10"/>
    </row>
    <row r="1063" spans="2:2" x14ac:dyDescent="0.2">
      <c r="B1063" s="10"/>
    </row>
    <row r="1064" spans="2:2" x14ac:dyDescent="0.2">
      <c r="B1064" s="10"/>
    </row>
    <row r="1065" spans="2:2" x14ac:dyDescent="0.2">
      <c r="B1065" s="10"/>
    </row>
    <row r="1066" spans="2:2" x14ac:dyDescent="0.2">
      <c r="B1066" s="10"/>
    </row>
    <row r="1067" spans="2:2" x14ac:dyDescent="0.2">
      <c r="B1067" s="10"/>
    </row>
    <row r="1068" spans="2:2" x14ac:dyDescent="0.2">
      <c r="B1068" s="10"/>
    </row>
    <row r="1069" spans="2:2" x14ac:dyDescent="0.2">
      <c r="B1069" s="10"/>
    </row>
    <row r="1070" spans="2:2" x14ac:dyDescent="0.2">
      <c r="B1070" s="10"/>
    </row>
    <row r="1071" spans="2:2" x14ac:dyDescent="0.2">
      <c r="B1071" s="10"/>
    </row>
    <row r="1072" spans="2:2" x14ac:dyDescent="0.2">
      <c r="B1072" s="10"/>
    </row>
    <row r="1073" spans="2:2" x14ac:dyDescent="0.2">
      <c r="B1073" s="10"/>
    </row>
    <row r="1074" spans="2:2" x14ac:dyDescent="0.2">
      <c r="B1074" s="10"/>
    </row>
    <row r="1075" spans="2:2" x14ac:dyDescent="0.2">
      <c r="B1075" s="10"/>
    </row>
    <row r="1076" spans="2:2" x14ac:dyDescent="0.2">
      <c r="B1076" s="10"/>
    </row>
    <row r="1077" spans="2:2" x14ac:dyDescent="0.2">
      <c r="B1077" s="10"/>
    </row>
    <row r="1078" spans="2:2" x14ac:dyDescent="0.2">
      <c r="B1078" s="10"/>
    </row>
    <row r="1079" spans="2:2" x14ac:dyDescent="0.2">
      <c r="B1079" s="10"/>
    </row>
    <row r="1080" spans="2:2" x14ac:dyDescent="0.2">
      <c r="B1080" s="10"/>
    </row>
    <row r="1081" spans="2:2" x14ac:dyDescent="0.2">
      <c r="B1081" s="10"/>
    </row>
    <row r="1082" spans="2:2" x14ac:dyDescent="0.2">
      <c r="B1082" s="10"/>
    </row>
    <row r="1083" spans="2:2" x14ac:dyDescent="0.2">
      <c r="B1083" s="10"/>
    </row>
    <row r="1084" spans="2:2" x14ac:dyDescent="0.2">
      <c r="B1084" s="10"/>
    </row>
    <row r="1085" spans="2:2" x14ac:dyDescent="0.2">
      <c r="B1085" s="10"/>
    </row>
    <row r="1086" spans="2:2" x14ac:dyDescent="0.2">
      <c r="B1086" s="10"/>
    </row>
    <row r="1087" spans="2:2" x14ac:dyDescent="0.2">
      <c r="B1087" s="10"/>
    </row>
    <row r="1088" spans="2:2" x14ac:dyDescent="0.2">
      <c r="B1088" s="10"/>
    </row>
    <row r="1089" spans="2:2" x14ac:dyDescent="0.2">
      <c r="B1089" s="10"/>
    </row>
    <row r="1090" spans="2:2" x14ac:dyDescent="0.2">
      <c r="B1090" s="10"/>
    </row>
    <row r="1091" spans="2:2" x14ac:dyDescent="0.2">
      <c r="B1091" s="10"/>
    </row>
    <row r="1092" spans="2:2" x14ac:dyDescent="0.2">
      <c r="B1092" s="10"/>
    </row>
    <row r="1093" spans="2:2" x14ac:dyDescent="0.2">
      <c r="B1093" s="10"/>
    </row>
    <row r="1094" spans="2:2" x14ac:dyDescent="0.2">
      <c r="B1094" s="10"/>
    </row>
    <row r="1095" spans="2:2" x14ac:dyDescent="0.2">
      <c r="B1095" s="10"/>
    </row>
    <row r="1096" spans="2:2" x14ac:dyDescent="0.2">
      <c r="B1096" s="10"/>
    </row>
    <row r="1097" spans="2:2" x14ac:dyDescent="0.2">
      <c r="B1097" s="10"/>
    </row>
    <row r="1098" spans="2:2" x14ac:dyDescent="0.2">
      <c r="B1098" s="10"/>
    </row>
    <row r="1099" spans="2:2" x14ac:dyDescent="0.2">
      <c r="B1099" s="10"/>
    </row>
    <row r="1100" spans="2:2" x14ac:dyDescent="0.2">
      <c r="B1100" s="10"/>
    </row>
    <row r="1101" spans="2:2" x14ac:dyDescent="0.2">
      <c r="B1101" s="10"/>
    </row>
    <row r="1102" spans="2:2" x14ac:dyDescent="0.2">
      <c r="B1102" s="10"/>
    </row>
    <row r="1103" spans="2:2" x14ac:dyDescent="0.2">
      <c r="B1103" s="10"/>
    </row>
    <row r="1104" spans="2:2" x14ac:dyDescent="0.2">
      <c r="B1104" s="10"/>
    </row>
    <row r="1105" spans="2:2" x14ac:dyDescent="0.2">
      <c r="B1105" s="10"/>
    </row>
    <row r="1106" spans="2:2" x14ac:dyDescent="0.2">
      <c r="B1106" s="10"/>
    </row>
    <row r="1107" spans="2:2" x14ac:dyDescent="0.2">
      <c r="B1107" s="10"/>
    </row>
    <row r="1108" spans="2:2" x14ac:dyDescent="0.2">
      <c r="B1108" s="10"/>
    </row>
    <row r="1109" spans="2:2" x14ac:dyDescent="0.2">
      <c r="B1109" s="10"/>
    </row>
    <row r="1110" spans="2:2" x14ac:dyDescent="0.2">
      <c r="B1110" s="10"/>
    </row>
    <row r="1111" spans="2:2" x14ac:dyDescent="0.2">
      <c r="B1111" s="10"/>
    </row>
    <row r="1112" spans="2:2" x14ac:dyDescent="0.2">
      <c r="B1112" s="10"/>
    </row>
    <row r="1113" spans="2:2" x14ac:dyDescent="0.2">
      <c r="B1113" s="10"/>
    </row>
    <row r="1114" spans="2:2" x14ac:dyDescent="0.2">
      <c r="B1114" s="10"/>
    </row>
    <row r="1115" spans="2:2" x14ac:dyDescent="0.2">
      <c r="B1115" s="10"/>
    </row>
    <row r="1116" spans="2:2" x14ac:dyDescent="0.2">
      <c r="B1116" s="10"/>
    </row>
    <row r="1117" spans="2:2" x14ac:dyDescent="0.2">
      <c r="B1117" s="10"/>
    </row>
    <row r="1118" spans="2:2" x14ac:dyDescent="0.2">
      <c r="B1118" s="10"/>
    </row>
    <row r="1119" spans="2:2" x14ac:dyDescent="0.2">
      <c r="B1119" s="10"/>
    </row>
    <row r="1120" spans="2:2" x14ac:dyDescent="0.2">
      <c r="B1120" s="10"/>
    </row>
    <row r="1121" spans="2:2" x14ac:dyDescent="0.2">
      <c r="B1121" s="10"/>
    </row>
    <row r="1122" spans="2:2" x14ac:dyDescent="0.2">
      <c r="B1122" s="10"/>
    </row>
    <row r="1123" spans="2:2" x14ac:dyDescent="0.2">
      <c r="B1123" s="10"/>
    </row>
    <row r="1124" spans="2:2" x14ac:dyDescent="0.2">
      <c r="B1124" s="10"/>
    </row>
    <row r="1125" spans="2:2" x14ac:dyDescent="0.2">
      <c r="B1125" s="10"/>
    </row>
    <row r="1126" spans="2:2" x14ac:dyDescent="0.2">
      <c r="B1126" s="10"/>
    </row>
    <row r="1127" spans="2:2" x14ac:dyDescent="0.2">
      <c r="B1127" s="10"/>
    </row>
    <row r="1128" spans="2:2" x14ac:dyDescent="0.2">
      <c r="B1128" s="10"/>
    </row>
    <row r="1129" spans="2:2" x14ac:dyDescent="0.2">
      <c r="B1129" s="10"/>
    </row>
    <row r="1130" spans="2:2" x14ac:dyDescent="0.2">
      <c r="B1130" s="10"/>
    </row>
    <row r="1131" spans="2:2" x14ac:dyDescent="0.2">
      <c r="B1131" s="10"/>
    </row>
    <row r="1132" spans="2:2" x14ac:dyDescent="0.2">
      <c r="B1132" s="10"/>
    </row>
    <row r="1133" spans="2:2" x14ac:dyDescent="0.2">
      <c r="B1133" s="10"/>
    </row>
    <row r="1134" spans="2:2" x14ac:dyDescent="0.2">
      <c r="B1134" s="10"/>
    </row>
    <row r="1135" spans="2:2" x14ac:dyDescent="0.2">
      <c r="B1135" s="10"/>
    </row>
    <row r="1136" spans="2:2" x14ac:dyDescent="0.2">
      <c r="B1136" s="10"/>
    </row>
    <row r="1137" spans="2:2" x14ac:dyDescent="0.2">
      <c r="B1137" s="10"/>
    </row>
    <row r="1138" spans="2:2" x14ac:dyDescent="0.2">
      <c r="B1138" s="10"/>
    </row>
    <row r="1139" spans="2:2" x14ac:dyDescent="0.2">
      <c r="B1139" s="10"/>
    </row>
    <row r="1140" spans="2:2" x14ac:dyDescent="0.2">
      <c r="B1140" s="10"/>
    </row>
    <row r="1141" spans="2:2" x14ac:dyDescent="0.2">
      <c r="B1141" s="10"/>
    </row>
    <row r="1142" spans="2:2" x14ac:dyDescent="0.2">
      <c r="B1142" s="10"/>
    </row>
    <row r="1143" spans="2:2" x14ac:dyDescent="0.2">
      <c r="B1143" s="10"/>
    </row>
    <row r="1144" spans="2:2" x14ac:dyDescent="0.2">
      <c r="B1144" s="10"/>
    </row>
    <row r="1145" spans="2:2" x14ac:dyDescent="0.2">
      <c r="B1145" s="10"/>
    </row>
    <row r="1146" spans="2:2" x14ac:dyDescent="0.2">
      <c r="B1146" s="10"/>
    </row>
    <row r="1147" spans="2:2" x14ac:dyDescent="0.2">
      <c r="B1147" s="10"/>
    </row>
    <row r="1148" spans="2:2" x14ac:dyDescent="0.2">
      <c r="B1148" s="10"/>
    </row>
    <row r="1149" spans="2:2" x14ac:dyDescent="0.2">
      <c r="B1149" s="10"/>
    </row>
    <row r="1150" spans="2:2" x14ac:dyDescent="0.2">
      <c r="B1150" s="10"/>
    </row>
    <row r="1151" spans="2:2" x14ac:dyDescent="0.2">
      <c r="B1151" s="10"/>
    </row>
    <row r="1152" spans="2:2" x14ac:dyDescent="0.2">
      <c r="B1152" s="10"/>
    </row>
    <row r="1153" spans="2:2" x14ac:dyDescent="0.2">
      <c r="B1153" s="10"/>
    </row>
    <row r="1154" spans="2:2" x14ac:dyDescent="0.2">
      <c r="B1154" s="10"/>
    </row>
    <row r="1155" spans="2:2" x14ac:dyDescent="0.2">
      <c r="B1155" s="10"/>
    </row>
    <row r="1156" spans="2:2" x14ac:dyDescent="0.2">
      <c r="B1156" s="10"/>
    </row>
    <row r="1157" spans="2:2" x14ac:dyDescent="0.2">
      <c r="B1157" s="10"/>
    </row>
    <row r="1158" spans="2:2" x14ac:dyDescent="0.2">
      <c r="B1158" s="10"/>
    </row>
    <row r="1159" spans="2:2" x14ac:dyDescent="0.2">
      <c r="B1159" s="10"/>
    </row>
    <row r="1160" spans="2:2" x14ac:dyDescent="0.2">
      <c r="B1160" s="10"/>
    </row>
    <row r="1161" spans="2:2" x14ac:dyDescent="0.2">
      <c r="B1161" s="10"/>
    </row>
    <row r="1162" spans="2:2" x14ac:dyDescent="0.2">
      <c r="B1162" s="10"/>
    </row>
    <row r="1163" spans="2:2" x14ac:dyDescent="0.2">
      <c r="B1163" s="10"/>
    </row>
    <row r="1164" spans="2:2" x14ac:dyDescent="0.2">
      <c r="B1164" s="10"/>
    </row>
    <row r="1165" spans="2:2" x14ac:dyDescent="0.2">
      <c r="B1165" s="10"/>
    </row>
    <row r="1166" spans="2:2" x14ac:dyDescent="0.2">
      <c r="B1166" s="10"/>
    </row>
    <row r="1167" spans="2:2" x14ac:dyDescent="0.2">
      <c r="B1167" s="10"/>
    </row>
    <row r="1168" spans="2:2" x14ac:dyDescent="0.2">
      <c r="B1168" s="10"/>
    </row>
    <row r="1169" spans="2:2" x14ac:dyDescent="0.2">
      <c r="B1169" s="10"/>
    </row>
    <row r="1170" spans="2:2" x14ac:dyDescent="0.2">
      <c r="B1170" s="10"/>
    </row>
    <row r="1171" spans="2:2" x14ac:dyDescent="0.2">
      <c r="B1171" s="10"/>
    </row>
    <row r="1172" spans="2:2" x14ac:dyDescent="0.2">
      <c r="B1172" s="10"/>
    </row>
    <row r="1173" spans="2:2" x14ac:dyDescent="0.2">
      <c r="B1173" s="10"/>
    </row>
    <row r="1174" spans="2:2" x14ac:dyDescent="0.2">
      <c r="B1174" s="10"/>
    </row>
    <row r="1175" spans="2:2" x14ac:dyDescent="0.2">
      <c r="B1175" s="10"/>
    </row>
    <row r="1176" spans="2:2" x14ac:dyDescent="0.2">
      <c r="B1176" s="10"/>
    </row>
    <row r="1177" spans="2:2" x14ac:dyDescent="0.2">
      <c r="B1177" s="10"/>
    </row>
    <row r="1178" spans="2:2" x14ac:dyDescent="0.2">
      <c r="B1178" s="10"/>
    </row>
    <row r="1179" spans="2:2" x14ac:dyDescent="0.2">
      <c r="B1179" s="10"/>
    </row>
    <row r="1180" spans="2:2" x14ac:dyDescent="0.2">
      <c r="B1180" s="10"/>
    </row>
    <row r="1181" spans="2:2" x14ac:dyDescent="0.2">
      <c r="B1181" s="10"/>
    </row>
    <row r="1182" spans="2:2" x14ac:dyDescent="0.2">
      <c r="B1182" s="10"/>
    </row>
    <row r="1183" spans="2:2" x14ac:dyDescent="0.2">
      <c r="B1183" s="10"/>
    </row>
    <row r="1184" spans="2:2" x14ac:dyDescent="0.2">
      <c r="B1184" s="10"/>
    </row>
    <row r="1185" spans="2:2" x14ac:dyDescent="0.2">
      <c r="B1185" s="10"/>
    </row>
    <row r="1186" spans="2:2" x14ac:dyDescent="0.2">
      <c r="B1186" s="10"/>
    </row>
    <row r="1187" spans="2:2" x14ac:dyDescent="0.2">
      <c r="B1187" s="10"/>
    </row>
    <row r="1188" spans="2:2" x14ac:dyDescent="0.2">
      <c r="B1188" s="10"/>
    </row>
    <row r="1189" spans="2:2" x14ac:dyDescent="0.2">
      <c r="B1189" s="10"/>
    </row>
    <row r="1190" spans="2:2" x14ac:dyDescent="0.2">
      <c r="B1190" s="10"/>
    </row>
    <row r="1191" spans="2:2" x14ac:dyDescent="0.2">
      <c r="B1191" s="10"/>
    </row>
    <row r="1192" spans="2:2" x14ac:dyDescent="0.2">
      <c r="B1192" s="10"/>
    </row>
    <row r="1193" spans="2:2" x14ac:dyDescent="0.2">
      <c r="B1193" s="10"/>
    </row>
    <row r="1194" spans="2:2" x14ac:dyDescent="0.2">
      <c r="B1194" s="10"/>
    </row>
    <row r="1195" spans="2:2" x14ac:dyDescent="0.2">
      <c r="B1195" s="10"/>
    </row>
    <row r="1196" spans="2:2" x14ac:dyDescent="0.2">
      <c r="B1196" s="10"/>
    </row>
    <row r="1197" spans="2:2" x14ac:dyDescent="0.2">
      <c r="B1197" s="10"/>
    </row>
    <row r="1198" spans="2:2" x14ac:dyDescent="0.2">
      <c r="B1198" s="10"/>
    </row>
    <row r="1199" spans="2:2" x14ac:dyDescent="0.2">
      <c r="B1199" s="10"/>
    </row>
    <row r="1200" spans="2:2" x14ac:dyDescent="0.2">
      <c r="B1200" s="10"/>
    </row>
    <row r="1201" spans="2:2" x14ac:dyDescent="0.2">
      <c r="B1201" s="10"/>
    </row>
    <row r="1202" spans="2:2" x14ac:dyDescent="0.2">
      <c r="B1202" s="10"/>
    </row>
    <row r="1203" spans="2:2" x14ac:dyDescent="0.2">
      <c r="B1203" s="10"/>
    </row>
    <row r="1204" spans="2:2" x14ac:dyDescent="0.2">
      <c r="B1204" s="10"/>
    </row>
    <row r="1205" spans="2:2" x14ac:dyDescent="0.2">
      <c r="B1205" s="10"/>
    </row>
    <row r="1206" spans="2:2" x14ac:dyDescent="0.2">
      <c r="B1206" s="10"/>
    </row>
    <row r="1207" spans="2:2" x14ac:dyDescent="0.2">
      <c r="B1207" s="10"/>
    </row>
    <row r="1208" spans="2:2" x14ac:dyDescent="0.2">
      <c r="B1208" s="10"/>
    </row>
    <row r="1209" spans="2:2" x14ac:dyDescent="0.2">
      <c r="B1209" s="10"/>
    </row>
    <row r="1210" spans="2:2" x14ac:dyDescent="0.2">
      <c r="B1210" s="10"/>
    </row>
    <row r="1211" spans="2:2" x14ac:dyDescent="0.2">
      <c r="B1211" s="10"/>
    </row>
    <row r="1212" spans="2:2" x14ac:dyDescent="0.2">
      <c r="B1212" s="10"/>
    </row>
    <row r="1213" spans="2:2" x14ac:dyDescent="0.2">
      <c r="B1213" s="10"/>
    </row>
    <row r="1214" spans="2:2" x14ac:dyDescent="0.2">
      <c r="B1214" s="10"/>
    </row>
    <row r="1215" spans="2:2" x14ac:dyDescent="0.2">
      <c r="B1215" s="10"/>
    </row>
    <row r="1216" spans="2:2" x14ac:dyDescent="0.2">
      <c r="B1216" s="10"/>
    </row>
    <row r="1217" spans="2:2" x14ac:dyDescent="0.2">
      <c r="B1217" s="10"/>
    </row>
    <row r="1218" spans="2:2" x14ac:dyDescent="0.2">
      <c r="B1218" s="10"/>
    </row>
    <row r="1219" spans="2:2" x14ac:dyDescent="0.2">
      <c r="B1219" s="10"/>
    </row>
    <row r="1220" spans="2:2" x14ac:dyDescent="0.2">
      <c r="B1220" s="10"/>
    </row>
    <row r="1221" spans="2:2" x14ac:dyDescent="0.2">
      <c r="B1221" s="10"/>
    </row>
    <row r="1222" spans="2:2" x14ac:dyDescent="0.2">
      <c r="B1222" s="10"/>
    </row>
    <row r="1223" spans="2:2" x14ac:dyDescent="0.2">
      <c r="B1223" s="10"/>
    </row>
    <row r="1224" spans="2:2" x14ac:dyDescent="0.2">
      <c r="B1224" s="10"/>
    </row>
    <row r="1225" spans="2:2" x14ac:dyDescent="0.2">
      <c r="B1225" s="10"/>
    </row>
    <row r="1226" spans="2:2" x14ac:dyDescent="0.2">
      <c r="B1226" s="10"/>
    </row>
    <row r="1227" spans="2:2" x14ac:dyDescent="0.2">
      <c r="B1227" s="10"/>
    </row>
    <row r="1228" spans="2:2" x14ac:dyDescent="0.2">
      <c r="B1228" s="10"/>
    </row>
    <row r="1229" spans="2:2" x14ac:dyDescent="0.2">
      <c r="B1229" s="10"/>
    </row>
    <row r="1230" spans="2:2" x14ac:dyDescent="0.2">
      <c r="B1230" s="10"/>
    </row>
    <row r="1231" spans="2:2" x14ac:dyDescent="0.2">
      <c r="B1231" s="10"/>
    </row>
    <row r="1232" spans="2:2" x14ac:dyDescent="0.2">
      <c r="B1232" s="10"/>
    </row>
    <row r="1233" spans="2:2" x14ac:dyDescent="0.2">
      <c r="B1233" s="10"/>
    </row>
    <row r="1234" spans="2:2" x14ac:dyDescent="0.2">
      <c r="B1234" s="10"/>
    </row>
    <row r="1235" spans="2:2" x14ac:dyDescent="0.2">
      <c r="B1235" s="10"/>
    </row>
    <row r="1236" spans="2:2" x14ac:dyDescent="0.2">
      <c r="B1236" s="10"/>
    </row>
    <row r="1237" spans="2:2" x14ac:dyDescent="0.2">
      <c r="B1237" s="10"/>
    </row>
    <row r="1238" spans="2:2" x14ac:dyDescent="0.2">
      <c r="B1238" s="10"/>
    </row>
    <row r="1239" spans="2:2" x14ac:dyDescent="0.2">
      <c r="B1239" s="10"/>
    </row>
    <row r="1240" spans="2:2" x14ac:dyDescent="0.2">
      <c r="B1240" s="10"/>
    </row>
    <row r="1241" spans="2:2" x14ac:dyDescent="0.2">
      <c r="B1241" s="10"/>
    </row>
    <row r="1242" spans="2:2" x14ac:dyDescent="0.2">
      <c r="B1242" s="10"/>
    </row>
    <row r="1243" spans="2:2" x14ac:dyDescent="0.2">
      <c r="B1243" s="10"/>
    </row>
    <row r="1244" spans="2:2" x14ac:dyDescent="0.2">
      <c r="B1244" s="10"/>
    </row>
    <row r="1245" spans="2:2" x14ac:dyDescent="0.2">
      <c r="B1245" s="10"/>
    </row>
    <row r="1246" spans="2:2" x14ac:dyDescent="0.2">
      <c r="B1246" s="10"/>
    </row>
    <row r="1247" spans="2:2" x14ac:dyDescent="0.2">
      <c r="B1247" s="10"/>
    </row>
    <row r="1248" spans="2:2" x14ac:dyDescent="0.2">
      <c r="B1248" s="10"/>
    </row>
    <row r="1249" spans="2:2" x14ac:dyDescent="0.2">
      <c r="B1249" s="10"/>
    </row>
    <row r="1250" spans="2:2" x14ac:dyDescent="0.2">
      <c r="B1250" s="10"/>
    </row>
    <row r="1251" spans="2:2" x14ac:dyDescent="0.2">
      <c r="B1251" s="10"/>
    </row>
    <row r="1252" spans="2:2" x14ac:dyDescent="0.2">
      <c r="B1252" s="10"/>
    </row>
    <row r="1253" spans="2:2" x14ac:dyDescent="0.2">
      <c r="B1253" s="10"/>
    </row>
    <row r="1254" spans="2:2" x14ac:dyDescent="0.2">
      <c r="B1254" s="10"/>
    </row>
    <row r="1255" spans="2:2" x14ac:dyDescent="0.2">
      <c r="B1255" s="10"/>
    </row>
    <row r="1256" spans="2:2" x14ac:dyDescent="0.2">
      <c r="B1256" s="10"/>
    </row>
    <row r="1257" spans="2:2" x14ac:dyDescent="0.2">
      <c r="B1257" s="10"/>
    </row>
    <row r="1258" spans="2:2" x14ac:dyDescent="0.2">
      <c r="B1258" s="10"/>
    </row>
    <row r="1259" spans="2:2" x14ac:dyDescent="0.2">
      <c r="B1259" s="10"/>
    </row>
    <row r="1260" spans="2:2" x14ac:dyDescent="0.2">
      <c r="B1260" s="10"/>
    </row>
    <row r="1261" spans="2:2" x14ac:dyDescent="0.2">
      <c r="B1261" s="10"/>
    </row>
    <row r="1262" spans="2:2" x14ac:dyDescent="0.2">
      <c r="B1262" s="10"/>
    </row>
    <row r="1263" spans="2:2" x14ac:dyDescent="0.2">
      <c r="B1263" s="10"/>
    </row>
    <row r="1264" spans="2:2" x14ac:dyDescent="0.2">
      <c r="B1264" s="10"/>
    </row>
    <row r="1265" spans="2:2" x14ac:dyDescent="0.2">
      <c r="B1265" s="10"/>
    </row>
    <row r="1266" spans="2:2" x14ac:dyDescent="0.2">
      <c r="B1266" s="10"/>
    </row>
    <row r="1267" spans="2:2" x14ac:dyDescent="0.2">
      <c r="B1267" s="10"/>
    </row>
    <row r="1268" spans="2:2" x14ac:dyDescent="0.2">
      <c r="B1268" s="10"/>
    </row>
    <row r="1269" spans="2:2" x14ac:dyDescent="0.2">
      <c r="B1269" s="10"/>
    </row>
    <row r="1270" spans="2:2" x14ac:dyDescent="0.2">
      <c r="B1270" s="10"/>
    </row>
    <row r="1271" spans="2:2" x14ac:dyDescent="0.2">
      <c r="B1271" s="10"/>
    </row>
    <row r="1272" spans="2:2" x14ac:dyDescent="0.2">
      <c r="B1272" s="10"/>
    </row>
    <row r="1273" spans="2:2" x14ac:dyDescent="0.2">
      <c r="B1273" s="10"/>
    </row>
    <row r="1274" spans="2:2" x14ac:dyDescent="0.2">
      <c r="B1274" s="10"/>
    </row>
    <row r="1275" spans="2:2" x14ac:dyDescent="0.2">
      <c r="B1275" s="10"/>
    </row>
    <row r="1276" spans="2:2" x14ac:dyDescent="0.2">
      <c r="B1276" s="10"/>
    </row>
    <row r="1277" spans="2:2" x14ac:dyDescent="0.2">
      <c r="B1277" s="10"/>
    </row>
    <row r="1278" spans="2:2" x14ac:dyDescent="0.2">
      <c r="B1278" s="10"/>
    </row>
    <row r="1279" spans="2:2" x14ac:dyDescent="0.2">
      <c r="B1279" s="10"/>
    </row>
    <row r="1280" spans="2:2" x14ac:dyDescent="0.2">
      <c r="B1280" s="10"/>
    </row>
    <row r="1281" spans="2:2" x14ac:dyDescent="0.2">
      <c r="B1281" s="10"/>
    </row>
    <row r="1282" spans="2:2" x14ac:dyDescent="0.2">
      <c r="B1282" s="10"/>
    </row>
    <row r="1283" spans="2:2" x14ac:dyDescent="0.2">
      <c r="B1283" s="10"/>
    </row>
    <row r="1284" spans="2:2" x14ac:dyDescent="0.2">
      <c r="B1284" s="10"/>
    </row>
    <row r="1285" spans="2:2" x14ac:dyDescent="0.2">
      <c r="B1285" s="10"/>
    </row>
    <row r="1286" spans="2:2" x14ac:dyDescent="0.2">
      <c r="B1286" s="10"/>
    </row>
    <row r="1287" spans="2:2" x14ac:dyDescent="0.2">
      <c r="B1287" s="10"/>
    </row>
    <row r="1288" spans="2:2" x14ac:dyDescent="0.2">
      <c r="B1288" s="10"/>
    </row>
    <row r="1289" spans="2:2" x14ac:dyDescent="0.2">
      <c r="B1289" s="10"/>
    </row>
    <row r="1290" spans="2:2" x14ac:dyDescent="0.2">
      <c r="B1290" s="10"/>
    </row>
    <row r="1291" spans="2:2" x14ac:dyDescent="0.2">
      <c r="B1291" s="10"/>
    </row>
    <row r="1292" spans="2:2" x14ac:dyDescent="0.2">
      <c r="B1292" s="10"/>
    </row>
    <row r="1293" spans="2:2" x14ac:dyDescent="0.2">
      <c r="B1293" s="10"/>
    </row>
    <row r="1294" spans="2:2" x14ac:dyDescent="0.2">
      <c r="B1294" s="10"/>
    </row>
    <row r="1295" spans="2:2" x14ac:dyDescent="0.2">
      <c r="B1295" s="10"/>
    </row>
    <row r="1296" spans="2:2" x14ac:dyDescent="0.2">
      <c r="B1296" s="10"/>
    </row>
    <row r="1297" spans="2:2" x14ac:dyDescent="0.2">
      <c r="B1297" s="10"/>
    </row>
    <row r="1298" spans="2:2" x14ac:dyDescent="0.2">
      <c r="B1298" s="10"/>
    </row>
    <row r="1299" spans="2:2" x14ac:dyDescent="0.2">
      <c r="B1299" s="10"/>
    </row>
    <row r="1300" spans="2:2" x14ac:dyDescent="0.2">
      <c r="B1300" s="10"/>
    </row>
    <row r="1301" spans="2:2" x14ac:dyDescent="0.2">
      <c r="B1301" s="10"/>
    </row>
    <row r="1302" spans="2:2" x14ac:dyDescent="0.2">
      <c r="B1302" s="10"/>
    </row>
    <row r="1303" spans="2:2" x14ac:dyDescent="0.2">
      <c r="B1303" s="10"/>
    </row>
    <row r="1304" spans="2:2" x14ac:dyDescent="0.2">
      <c r="B1304" s="10"/>
    </row>
    <row r="1305" spans="2:2" x14ac:dyDescent="0.2">
      <c r="B1305" s="10"/>
    </row>
    <row r="1306" spans="2:2" x14ac:dyDescent="0.2">
      <c r="B1306" s="10"/>
    </row>
    <row r="1307" spans="2:2" x14ac:dyDescent="0.2">
      <c r="B1307" s="10"/>
    </row>
    <row r="1308" spans="2:2" x14ac:dyDescent="0.2">
      <c r="B1308" s="10"/>
    </row>
    <row r="1309" spans="2:2" x14ac:dyDescent="0.2">
      <c r="B1309" s="10"/>
    </row>
    <row r="1310" spans="2:2" x14ac:dyDescent="0.2">
      <c r="B1310" s="10"/>
    </row>
    <row r="1311" spans="2:2" x14ac:dyDescent="0.2">
      <c r="B1311" s="10"/>
    </row>
    <row r="1312" spans="2:2" x14ac:dyDescent="0.2">
      <c r="B1312" s="10"/>
    </row>
    <row r="1313" spans="2:2" x14ac:dyDescent="0.2">
      <c r="B1313" s="10"/>
    </row>
    <row r="1314" spans="2:2" x14ac:dyDescent="0.2">
      <c r="B1314" s="10"/>
    </row>
    <row r="1315" spans="2:2" x14ac:dyDescent="0.2">
      <c r="B1315" s="10"/>
    </row>
    <row r="1316" spans="2:2" x14ac:dyDescent="0.2">
      <c r="B1316" s="10"/>
    </row>
    <row r="1317" spans="2:2" x14ac:dyDescent="0.2">
      <c r="B1317" s="10"/>
    </row>
    <row r="1318" spans="2:2" x14ac:dyDescent="0.2">
      <c r="B1318" s="10"/>
    </row>
    <row r="1319" spans="2:2" x14ac:dyDescent="0.2">
      <c r="B1319" s="10"/>
    </row>
    <row r="1320" spans="2:2" x14ac:dyDescent="0.2">
      <c r="B1320" s="10"/>
    </row>
    <row r="1321" spans="2:2" x14ac:dyDescent="0.2">
      <c r="B1321" s="10"/>
    </row>
    <row r="1322" spans="2:2" x14ac:dyDescent="0.2">
      <c r="B1322" s="10"/>
    </row>
    <row r="1323" spans="2:2" x14ac:dyDescent="0.2">
      <c r="B1323" s="10"/>
    </row>
    <row r="1324" spans="2:2" x14ac:dyDescent="0.2">
      <c r="B1324" s="10"/>
    </row>
    <row r="1325" spans="2:2" x14ac:dyDescent="0.2">
      <c r="B1325" s="10"/>
    </row>
    <row r="1326" spans="2:2" x14ac:dyDescent="0.2">
      <c r="B1326" s="10"/>
    </row>
    <row r="1327" spans="2:2" x14ac:dyDescent="0.2">
      <c r="B1327" s="10"/>
    </row>
    <row r="1328" spans="2:2" x14ac:dyDescent="0.2">
      <c r="B1328" s="10"/>
    </row>
    <row r="1329" spans="2:2" x14ac:dyDescent="0.2">
      <c r="B1329" s="10"/>
    </row>
    <row r="1330" spans="2:2" x14ac:dyDescent="0.2">
      <c r="B1330" s="10"/>
    </row>
    <row r="1331" spans="2:2" x14ac:dyDescent="0.2">
      <c r="B1331" s="10"/>
    </row>
    <row r="1332" spans="2:2" x14ac:dyDescent="0.2">
      <c r="B1332" s="10"/>
    </row>
    <row r="1333" spans="2:2" x14ac:dyDescent="0.2">
      <c r="B1333" s="10"/>
    </row>
    <row r="1334" spans="2:2" x14ac:dyDescent="0.2">
      <c r="B1334" s="10"/>
    </row>
    <row r="1335" spans="2:2" x14ac:dyDescent="0.2">
      <c r="B1335" s="10"/>
    </row>
    <row r="1336" spans="2:2" x14ac:dyDescent="0.2">
      <c r="B1336" s="10"/>
    </row>
    <row r="1337" spans="2:2" x14ac:dyDescent="0.2">
      <c r="B1337" s="10"/>
    </row>
    <row r="1338" spans="2:2" x14ac:dyDescent="0.2">
      <c r="B1338" s="10"/>
    </row>
    <row r="1339" spans="2:2" x14ac:dyDescent="0.2">
      <c r="B1339" s="10"/>
    </row>
    <row r="1340" spans="2:2" x14ac:dyDescent="0.2">
      <c r="B1340" s="10"/>
    </row>
    <row r="1341" spans="2:2" x14ac:dyDescent="0.2">
      <c r="B1341" s="10"/>
    </row>
    <row r="1342" spans="2:2" x14ac:dyDescent="0.2">
      <c r="B1342" s="10"/>
    </row>
    <row r="1343" spans="2:2" x14ac:dyDescent="0.2">
      <c r="B1343" s="10"/>
    </row>
    <row r="1344" spans="2:2" x14ac:dyDescent="0.2">
      <c r="B1344" s="10"/>
    </row>
    <row r="1345" spans="2:2" x14ac:dyDescent="0.2">
      <c r="B1345" s="10"/>
    </row>
    <row r="1346" spans="2:2" x14ac:dyDescent="0.2">
      <c r="B1346" s="10"/>
    </row>
    <row r="1347" spans="2:2" x14ac:dyDescent="0.2">
      <c r="B1347" s="10"/>
    </row>
    <row r="1348" spans="2:2" x14ac:dyDescent="0.2">
      <c r="B1348" s="10"/>
    </row>
    <row r="1349" spans="2:2" x14ac:dyDescent="0.2">
      <c r="B1349" s="10"/>
    </row>
    <row r="1350" spans="2:2" x14ac:dyDescent="0.2">
      <c r="B1350" s="10"/>
    </row>
    <row r="1351" spans="2:2" x14ac:dyDescent="0.2">
      <c r="B1351" s="10"/>
    </row>
    <row r="1352" spans="2:2" x14ac:dyDescent="0.2">
      <c r="B1352" s="10"/>
    </row>
    <row r="1353" spans="2:2" x14ac:dyDescent="0.2">
      <c r="B1353" s="10"/>
    </row>
    <row r="1354" spans="2:2" x14ac:dyDescent="0.2">
      <c r="B1354" s="10"/>
    </row>
    <row r="1355" spans="2:2" x14ac:dyDescent="0.2">
      <c r="B1355" s="10"/>
    </row>
    <row r="1356" spans="2:2" x14ac:dyDescent="0.2">
      <c r="B1356" s="10"/>
    </row>
    <row r="1357" spans="2:2" x14ac:dyDescent="0.2">
      <c r="B1357" s="10"/>
    </row>
    <row r="1358" spans="2:2" x14ac:dyDescent="0.2">
      <c r="B1358" s="10"/>
    </row>
    <row r="1359" spans="2:2" x14ac:dyDescent="0.2">
      <c r="B1359" s="10"/>
    </row>
    <row r="1360" spans="2:2" x14ac:dyDescent="0.2">
      <c r="B1360" s="10"/>
    </row>
    <row r="1361" spans="2:2" x14ac:dyDescent="0.2">
      <c r="B1361" s="10"/>
    </row>
    <row r="1362" spans="2:2" x14ac:dyDescent="0.2">
      <c r="B1362" s="10"/>
    </row>
    <row r="1363" spans="2:2" x14ac:dyDescent="0.2">
      <c r="B1363" s="10"/>
    </row>
    <row r="1364" spans="2:2" x14ac:dyDescent="0.2">
      <c r="B1364" s="10"/>
    </row>
    <row r="1365" spans="2:2" x14ac:dyDescent="0.2">
      <c r="B1365" s="10"/>
    </row>
    <row r="1366" spans="2:2" x14ac:dyDescent="0.2">
      <c r="B1366" s="10"/>
    </row>
    <row r="1367" spans="2:2" x14ac:dyDescent="0.2">
      <c r="B1367" s="10"/>
    </row>
    <row r="1368" spans="2:2" x14ac:dyDescent="0.2">
      <c r="B1368" s="10"/>
    </row>
    <row r="1369" spans="2:2" x14ac:dyDescent="0.2">
      <c r="B1369" s="10"/>
    </row>
    <row r="1370" spans="2:2" x14ac:dyDescent="0.2">
      <c r="B1370" s="10"/>
    </row>
    <row r="1371" spans="2:2" x14ac:dyDescent="0.2">
      <c r="B1371" s="10"/>
    </row>
    <row r="1372" spans="2:2" x14ac:dyDescent="0.2">
      <c r="B1372" s="10"/>
    </row>
    <row r="1373" spans="2:2" x14ac:dyDescent="0.2">
      <c r="B1373" s="10"/>
    </row>
    <row r="1374" spans="2:2" x14ac:dyDescent="0.2">
      <c r="B1374" s="10"/>
    </row>
    <row r="1375" spans="2:2" x14ac:dyDescent="0.2">
      <c r="B1375" s="10"/>
    </row>
    <row r="1376" spans="2:2" x14ac:dyDescent="0.2">
      <c r="B1376" s="10"/>
    </row>
    <row r="1377" spans="2:2" x14ac:dyDescent="0.2">
      <c r="B1377" s="10"/>
    </row>
    <row r="1378" spans="2:2" x14ac:dyDescent="0.2">
      <c r="B1378" s="10"/>
    </row>
    <row r="1379" spans="2:2" x14ac:dyDescent="0.2">
      <c r="B1379" s="10"/>
    </row>
    <row r="1380" spans="2:2" x14ac:dyDescent="0.2">
      <c r="B1380" s="10"/>
    </row>
    <row r="1381" spans="2:2" x14ac:dyDescent="0.2">
      <c r="B1381" s="10"/>
    </row>
    <row r="1382" spans="2:2" x14ac:dyDescent="0.2">
      <c r="B1382" s="10"/>
    </row>
    <row r="1383" spans="2:2" x14ac:dyDescent="0.2">
      <c r="B1383" s="10"/>
    </row>
    <row r="1384" spans="2:2" x14ac:dyDescent="0.2">
      <c r="B1384" s="10"/>
    </row>
    <row r="1385" spans="2:2" x14ac:dyDescent="0.2">
      <c r="B1385" s="10"/>
    </row>
    <row r="1386" spans="2:2" x14ac:dyDescent="0.2">
      <c r="B1386" s="10"/>
    </row>
    <row r="1387" spans="2:2" x14ac:dyDescent="0.2">
      <c r="B1387" s="10"/>
    </row>
    <row r="1388" spans="2:2" x14ac:dyDescent="0.2">
      <c r="B1388" s="10"/>
    </row>
    <row r="1389" spans="2:2" x14ac:dyDescent="0.2">
      <c r="B1389" s="10"/>
    </row>
    <row r="1390" spans="2:2" x14ac:dyDescent="0.2">
      <c r="B1390" s="10"/>
    </row>
    <row r="1391" spans="2:2" x14ac:dyDescent="0.2">
      <c r="B1391" s="10"/>
    </row>
    <row r="1392" spans="2:2" x14ac:dyDescent="0.2">
      <c r="B1392" s="10"/>
    </row>
    <row r="1393" spans="2:2" x14ac:dyDescent="0.2">
      <c r="B1393" s="10"/>
    </row>
    <row r="1394" spans="2:2" x14ac:dyDescent="0.2">
      <c r="B1394" s="10"/>
    </row>
    <row r="1395" spans="2:2" x14ac:dyDescent="0.2">
      <c r="B1395" s="10"/>
    </row>
    <row r="1396" spans="2:2" x14ac:dyDescent="0.2">
      <c r="B1396" s="10"/>
    </row>
    <row r="1397" spans="2:2" x14ac:dyDescent="0.2">
      <c r="B1397" s="10"/>
    </row>
    <row r="1398" spans="2:2" x14ac:dyDescent="0.2">
      <c r="B1398" s="10"/>
    </row>
    <row r="1399" spans="2:2" x14ac:dyDescent="0.2">
      <c r="B1399" s="10"/>
    </row>
    <row r="1400" spans="2:2" x14ac:dyDescent="0.2">
      <c r="B1400" s="10"/>
    </row>
    <row r="1401" spans="2:2" x14ac:dyDescent="0.2">
      <c r="B1401" s="10"/>
    </row>
    <row r="1402" spans="2:2" x14ac:dyDescent="0.2">
      <c r="B1402" s="10"/>
    </row>
    <row r="1403" spans="2:2" x14ac:dyDescent="0.2">
      <c r="B1403" s="10"/>
    </row>
    <row r="1404" spans="2:2" x14ac:dyDescent="0.2">
      <c r="B1404" s="10"/>
    </row>
    <row r="1405" spans="2:2" x14ac:dyDescent="0.2">
      <c r="B1405" s="10"/>
    </row>
    <row r="1406" spans="2:2" x14ac:dyDescent="0.2">
      <c r="B1406" s="10"/>
    </row>
    <row r="1407" spans="2:2" x14ac:dyDescent="0.2">
      <c r="B1407" s="10"/>
    </row>
    <row r="1408" spans="2:2" x14ac:dyDescent="0.2">
      <c r="B1408" s="10"/>
    </row>
    <row r="1409" spans="2:2" x14ac:dyDescent="0.2">
      <c r="B1409" s="10"/>
    </row>
    <row r="1410" spans="2:2" x14ac:dyDescent="0.2">
      <c r="B1410" s="10"/>
    </row>
    <row r="1411" spans="2:2" x14ac:dyDescent="0.2">
      <c r="B1411" s="10"/>
    </row>
    <row r="1412" spans="2:2" x14ac:dyDescent="0.2">
      <c r="B1412" s="10"/>
    </row>
    <row r="1413" spans="2:2" x14ac:dyDescent="0.2">
      <c r="B1413" s="10"/>
    </row>
    <row r="1414" spans="2:2" x14ac:dyDescent="0.2">
      <c r="B1414" s="10"/>
    </row>
    <row r="1415" spans="2:2" x14ac:dyDescent="0.2">
      <c r="B1415" s="10"/>
    </row>
    <row r="1416" spans="2:2" x14ac:dyDescent="0.2">
      <c r="B1416" s="10"/>
    </row>
    <row r="1417" spans="2:2" x14ac:dyDescent="0.2">
      <c r="B1417" s="10"/>
    </row>
    <row r="1418" spans="2:2" x14ac:dyDescent="0.2">
      <c r="B1418" s="10"/>
    </row>
    <row r="1419" spans="2:2" x14ac:dyDescent="0.2">
      <c r="B1419" s="10"/>
    </row>
    <row r="1420" spans="2:2" x14ac:dyDescent="0.2">
      <c r="B1420" s="10"/>
    </row>
    <row r="1421" spans="2:2" x14ac:dyDescent="0.2">
      <c r="B1421" s="10"/>
    </row>
    <row r="1422" spans="2:2" x14ac:dyDescent="0.2">
      <c r="B1422" s="10"/>
    </row>
    <row r="1423" spans="2:2" x14ac:dyDescent="0.2">
      <c r="B1423" s="10"/>
    </row>
    <row r="1424" spans="2:2" x14ac:dyDescent="0.2">
      <c r="B1424" s="10"/>
    </row>
    <row r="1425" spans="2:2" x14ac:dyDescent="0.2">
      <c r="B1425" s="10"/>
    </row>
    <row r="1426" spans="2:2" x14ac:dyDescent="0.2">
      <c r="B1426" s="10"/>
    </row>
    <row r="1427" spans="2:2" x14ac:dyDescent="0.2">
      <c r="B1427" s="10"/>
    </row>
    <row r="1428" spans="2:2" x14ac:dyDescent="0.2">
      <c r="B1428" s="10"/>
    </row>
    <row r="1429" spans="2:2" x14ac:dyDescent="0.2">
      <c r="B1429" s="10"/>
    </row>
    <row r="1430" spans="2:2" x14ac:dyDescent="0.2">
      <c r="B1430" s="10"/>
    </row>
    <row r="1431" spans="2:2" x14ac:dyDescent="0.2">
      <c r="B1431" s="10"/>
    </row>
    <row r="1432" spans="2:2" x14ac:dyDescent="0.2">
      <c r="B1432" s="10"/>
    </row>
    <row r="1433" spans="2:2" x14ac:dyDescent="0.2">
      <c r="B1433" s="10"/>
    </row>
    <row r="1434" spans="2:2" x14ac:dyDescent="0.2">
      <c r="B1434" s="10"/>
    </row>
    <row r="1435" spans="2:2" x14ac:dyDescent="0.2">
      <c r="B1435" s="10"/>
    </row>
    <row r="1436" spans="2:2" x14ac:dyDescent="0.2">
      <c r="B1436" s="10"/>
    </row>
    <row r="1437" spans="2:2" x14ac:dyDescent="0.2">
      <c r="B1437" s="10"/>
    </row>
    <row r="1438" spans="2:2" x14ac:dyDescent="0.2">
      <c r="B1438" s="10"/>
    </row>
    <row r="1439" spans="2:2" x14ac:dyDescent="0.2">
      <c r="B1439" s="10"/>
    </row>
    <row r="1440" spans="2:2" x14ac:dyDescent="0.2">
      <c r="B1440" s="10"/>
    </row>
    <row r="1441" spans="2:2" x14ac:dyDescent="0.2">
      <c r="B1441" s="10"/>
    </row>
    <row r="1442" spans="2:2" x14ac:dyDescent="0.2">
      <c r="B1442" s="10"/>
    </row>
    <row r="1443" spans="2:2" x14ac:dyDescent="0.2">
      <c r="B1443" s="10"/>
    </row>
    <row r="1444" spans="2:2" x14ac:dyDescent="0.2">
      <c r="B1444" s="10"/>
    </row>
    <row r="1445" spans="2:2" x14ac:dyDescent="0.2">
      <c r="B1445" s="10"/>
    </row>
    <row r="1446" spans="2:2" x14ac:dyDescent="0.2">
      <c r="B1446" s="10"/>
    </row>
    <row r="1447" spans="2:2" x14ac:dyDescent="0.2">
      <c r="B1447" s="10"/>
    </row>
    <row r="1448" spans="2:2" x14ac:dyDescent="0.2">
      <c r="B1448" s="10"/>
    </row>
    <row r="1449" spans="2:2" x14ac:dyDescent="0.2">
      <c r="B1449" s="10"/>
    </row>
    <row r="1450" spans="2:2" x14ac:dyDescent="0.2">
      <c r="B1450" s="10"/>
    </row>
    <row r="1451" spans="2:2" x14ac:dyDescent="0.2">
      <c r="B1451" s="10"/>
    </row>
    <row r="1452" spans="2:2" x14ac:dyDescent="0.2">
      <c r="B1452" s="10"/>
    </row>
    <row r="1453" spans="2:2" x14ac:dyDescent="0.2">
      <c r="B1453" s="10"/>
    </row>
    <row r="1454" spans="2:2" x14ac:dyDescent="0.2">
      <c r="B1454" s="10"/>
    </row>
    <row r="1455" spans="2:2" x14ac:dyDescent="0.2">
      <c r="B1455" s="10"/>
    </row>
    <row r="1456" spans="2:2" x14ac:dyDescent="0.2">
      <c r="B1456" s="10"/>
    </row>
    <row r="1457" spans="2:2" x14ac:dyDescent="0.2">
      <c r="B1457" s="10"/>
    </row>
    <row r="1458" spans="2:2" x14ac:dyDescent="0.2">
      <c r="B1458" s="10"/>
    </row>
    <row r="1459" spans="2:2" x14ac:dyDescent="0.2">
      <c r="B1459" s="10"/>
    </row>
    <row r="1460" spans="2:2" x14ac:dyDescent="0.2">
      <c r="B1460" s="10"/>
    </row>
    <row r="1461" spans="2:2" x14ac:dyDescent="0.2">
      <c r="B1461" s="10"/>
    </row>
    <row r="1462" spans="2:2" x14ac:dyDescent="0.2">
      <c r="B1462" s="10"/>
    </row>
    <row r="1463" spans="2:2" x14ac:dyDescent="0.2">
      <c r="B1463" s="10"/>
    </row>
    <row r="1464" spans="2:2" x14ac:dyDescent="0.2">
      <c r="B1464" s="10"/>
    </row>
    <row r="1465" spans="2:2" x14ac:dyDescent="0.2">
      <c r="B1465" s="10"/>
    </row>
    <row r="1466" spans="2:2" x14ac:dyDescent="0.2">
      <c r="B1466" s="10"/>
    </row>
    <row r="1467" spans="2:2" x14ac:dyDescent="0.2">
      <c r="B1467" s="10"/>
    </row>
    <row r="1468" spans="2:2" x14ac:dyDescent="0.2">
      <c r="B1468" s="10"/>
    </row>
    <row r="1469" spans="2:2" x14ac:dyDescent="0.2">
      <c r="B1469" s="10"/>
    </row>
    <row r="1470" spans="2:2" x14ac:dyDescent="0.2">
      <c r="B1470" s="10"/>
    </row>
    <row r="1471" spans="2:2" x14ac:dyDescent="0.2">
      <c r="B1471" s="10"/>
    </row>
    <row r="1472" spans="2:2" x14ac:dyDescent="0.2">
      <c r="B1472" s="10"/>
    </row>
    <row r="1473" spans="2:2" x14ac:dyDescent="0.2">
      <c r="B1473" s="10"/>
    </row>
    <row r="1474" spans="2:2" x14ac:dyDescent="0.2">
      <c r="B1474" s="10"/>
    </row>
    <row r="1475" spans="2:2" x14ac:dyDescent="0.2">
      <c r="B1475" s="10"/>
    </row>
    <row r="1476" spans="2:2" x14ac:dyDescent="0.2">
      <c r="B1476" s="10"/>
    </row>
    <row r="1477" spans="2:2" x14ac:dyDescent="0.2">
      <c r="B1477" s="10"/>
    </row>
    <row r="1478" spans="2:2" x14ac:dyDescent="0.2">
      <c r="B1478" s="10"/>
    </row>
    <row r="1479" spans="2:2" x14ac:dyDescent="0.2">
      <c r="B1479" s="10"/>
    </row>
    <row r="1480" spans="2:2" x14ac:dyDescent="0.2">
      <c r="B1480" s="10"/>
    </row>
    <row r="1481" spans="2:2" x14ac:dyDescent="0.2">
      <c r="B1481" s="10"/>
    </row>
    <row r="1482" spans="2:2" x14ac:dyDescent="0.2">
      <c r="B1482" s="10"/>
    </row>
    <row r="1483" spans="2:2" x14ac:dyDescent="0.2">
      <c r="B1483" s="10"/>
    </row>
    <row r="1484" spans="2:2" x14ac:dyDescent="0.2">
      <c r="B1484" s="10"/>
    </row>
    <row r="1485" spans="2:2" x14ac:dyDescent="0.2">
      <c r="B1485" s="10"/>
    </row>
    <row r="1486" spans="2:2" x14ac:dyDescent="0.2">
      <c r="B1486" s="10"/>
    </row>
    <row r="1487" spans="2:2" x14ac:dyDescent="0.2">
      <c r="B1487" s="10"/>
    </row>
    <row r="1488" spans="2:2" x14ac:dyDescent="0.2">
      <c r="B1488" s="10"/>
    </row>
    <row r="1489" spans="2:2" x14ac:dyDescent="0.2">
      <c r="B1489" s="10"/>
    </row>
    <row r="1490" spans="2:2" x14ac:dyDescent="0.2">
      <c r="B1490" s="10"/>
    </row>
    <row r="1491" spans="2:2" x14ac:dyDescent="0.2">
      <c r="B1491" s="10"/>
    </row>
    <row r="1492" spans="2:2" x14ac:dyDescent="0.2">
      <c r="B1492" s="10"/>
    </row>
    <row r="1493" spans="2:2" x14ac:dyDescent="0.2">
      <c r="B1493" s="10"/>
    </row>
    <row r="1494" spans="2:2" x14ac:dyDescent="0.2">
      <c r="B1494" s="10"/>
    </row>
    <row r="1495" spans="2:2" x14ac:dyDescent="0.2">
      <c r="B1495" s="10"/>
    </row>
    <row r="1496" spans="2:2" x14ac:dyDescent="0.2">
      <c r="B1496" s="10"/>
    </row>
    <row r="1497" spans="2:2" x14ac:dyDescent="0.2">
      <c r="B1497" s="10"/>
    </row>
    <row r="1498" spans="2:2" x14ac:dyDescent="0.2">
      <c r="B1498" s="10"/>
    </row>
    <row r="1499" spans="2:2" x14ac:dyDescent="0.2">
      <c r="B1499" s="10"/>
    </row>
    <row r="1500" spans="2:2" x14ac:dyDescent="0.2">
      <c r="B1500" s="10"/>
    </row>
    <row r="1501" spans="2:2" x14ac:dyDescent="0.2">
      <c r="B1501" s="10"/>
    </row>
    <row r="1502" spans="2:2" x14ac:dyDescent="0.2">
      <c r="B1502" s="10"/>
    </row>
    <row r="1503" spans="2:2" x14ac:dyDescent="0.2">
      <c r="B1503" s="10"/>
    </row>
    <row r="1504" spans="2:2" x14ac:dyDescent="0.2">
      <c r="B1504" s="10"/>
    </row>
    <row r="1505" spans="2:2" x14ac:dyDescent="0.2">
      <c r="B1505" s="10"/>
    </row>
    <row r="1506" spans="2:2" x14ac:dyDescent="0.2">
      <c r="B1506" s="10"/>
    </row>
    <row r="1507" spans="2:2" x14ac:dyDescent="0.2">
      <c r="B1507" s="10"/>
    </row>
    <row r="1508" spans="2:2" x14ac:dyDescent="0.2">
      <c r="B1508" s="10"/>
    </row>
    <row r="1509" spans="2:2" x14ac:dyDescent="0.2">
      <c r="B1509" s="10"/>
    </row>
    <row r="1510" spans="2:2" x14ac:dyDescent="0.2">
      <c r="B1510" s="10"/>
    </row>
    <row r="1511" spans="2:2" x14ac:dyDescent="0.2">
      <c r="B1511" s="10"/>
    </row>
    <row r="1512" spans="2:2" x14ac:dyDescent="0.2">
      <c r="B1512" s="10"/>
    </row>
    <row r="1513" spans="2:2" x14ac:dyDescent="0.2">
      <c r="B1513" s="10"/>
    </row>
    <row r="1514" spans="2:2" x14ac:dyDescent="0.2">
      <c r="B1514" s="10"/>
    </row>
    <row r="1515" spans="2:2" x14ac:dyDescent="0.2">
      <c r="B1515" s="10"/>
    </row>
    <row r="1516" spans="2:2" x14ac:dyDescent="0.2">
      <c r="B1516" s="10"/>
    </row>
    <row r="1517" spans="2:2" x14ac:dyDescent="0.2">
      <c r="B1517" s="10"/>
    </row>
    <row r="1518" spans="2:2" x14ac:dyDescent="0.2">
      <c r="B1518" s="10"/>
    </row>
    <row r="1519" spans="2:2" x14ac:dyDescent="0.2">
      <c r="B1519" s="10"/>
    </row>
    <row r="1520" spans="2:2" x14ac:dyDescent="0.2">
      <c r="B1520" s="10"/>
    </row>
    <row r="1521" spans="2:2" x14ac:dyDescent="0.2">
      <c r="B1521" s="10"/>
    </row>
    <row r="1522" spans="2:2" x14ac:dyDescent="0.2">
      <c r="B1522" s="10"/>
    </row>
    <row r="1523" spans="2:2" x14ac:dyDescent="0.2">
      <c r="B1523" s="10"/>
    </row>
    <row r="1524" spans="2:2" x14ac:dyDescent="0.2">
      <c r="B1524" s="10"/>
    </row>
    <row r="1525" spans="2:2" x14ac:dyDescent="0.2">
      <c r="B1525" s="10"/>
    </row>
    <row r="1526" spans="2:2" x14ac:dyDescent="0.2">
      <c r="B1526" s="10"/>
    </row>
    <row r="1527" spans="2:2" x14ac:dyDescent="0.2">
      <c r="B1527" s="10"/>
    </row>
    <row r="1528" spans="2:2" x14ac:dyDescent="0.2">
      <c r="B1528" s="10"/>
    </row>
    <row r="1529" spans="2:2" x14ac:dyDescent="0.2">
      <c r="B1529" s="10"/>
    </row>
    <row r="1530" spans="2:2" x14ac:dyDescent="0.2">
      <c r="B1530" s="10"/>
    </row>
    <row r="1531" spans="2:2" x14ac:dyDescent="0.2">
      <c r="B1531" s="10"/>
    </row>
    <row r="1532" spans="2:2" x14ac:dyDescent="0.2">
      <c r="B1532" s="10"/>
    </row>
    <row r="1533" spans="2:2" x14ac:dyDescent="0.2">
      <c r="B1533" s="10"/>
    </row>
    <row r="1534" spans="2:2" x14ac:dyDescent="0.2">
      <c r="B1534" s="10"/>
    </row>
    <row r="1535" spans="2:2" x14ac:dyDescent="0.2">
      <c r="B1535" s="10"/>
    </row>
    <row r="1536" spans="2:2" x14ac:dyDescent="0.2">
      <c r="B1536" s="10"/>
    </row>
    <row r="1537" spans="2:2" x14ac:dyDescent="0.2">
      <c r="B1537" s="10"/>
    </row>
    <row r="1538" spans="2:2" x14ac:dyDescent="0.2">
      <c r="B1538" s="10"/>
    </row>
    <row r="1539" spans="2:2" x14ac:dyDescent="0.2">
      <c r="B1539" s="10"/>
    </row>
    <row r="1540" spans="2:2" x14ac:dyDescent="0.2">
      <c r="B1540" s="10"/>
    </row>
    <row r="1541" spans="2:2" x14ac:dyDescent="0.2">
      <c r="B1541" s="10"/>
    </row>
    <row r="1542" spans="2:2" x14ac:dyDescent="0.2">
      <c r="B1542" s="10"/>
    </row>
    <row r="1543" spans="2:2" x14ac:dyDescent="0.2">
      <c r="B1543" s="10"/>
    </row>
    <row r="1544" spans="2:2" x14ac:dyDescent="0.2">
      <c r="B1544" s="10"/>
    </row>
    <row r="1545" spans="2:2" x14ac:dyDescent="0.2">
      <c r="B1545" s="10"/>
    </row>
    <row r="1546" spans="2:2" x14ac:dyDescent="0.2">
      <c r="B1546" s="10"/>
    </row>
    <row r="1547" spans="2:2" x14ac:dyDescent="0.2">
      <c r="B1547" s="10"/>
    </row>
    <row r="1548" spans="2:2" x14ac:dyDescent="0.2">
      <c r="B1548" s="10"/>
    </row>
    <row r="1549" spans="2:2" x14ac:dyDescent="0.2">
      <c r="B1549" s="10"/>
    </row>
    <row r="1550" spans="2:2" x14ac:dyDescent="0.2">
      <c r="B1550" s="10"/>
    </row>
    <row r="1551" spans="2:2" x14ac:dyDescent="0.2">
      <c r="B1551" s="10"/>
    </row>
    <row r="1552" spans="2:2" x14ac:dyDescent="0.2">
      <c r="B1552" s="10"/>
    </row>
    <row r="1553" spans="2:2" x14ac:dyDescent="0.2">
      <c r="B1553" s="10"/>
    </row>
    <row r="1554" spans="2:2" x14ac:dyDescent="0.2">
      <c r="B1554" s="10"/>
    </row>
    <row r="1555" spans="2:2" x14ac:dyDescent="0.2">
      <c r="B1555" s="10"/>
    </row>
    <row r="1556" spans="2:2" x14ac:dyDescent="0.2">
      <c r="B1556" s="10"/>
    </row>
    <row r="1557" spans="2:2" x14ac:dyDescent="0.2">
      <c r="B1557" s="10"/>
    </row>
    <row r="1558" spans="2:2" x14ac:dyDescent="0.2">
      <c r="B1558" s="10"/>
    </row>
    <row r="1559" spans="2:2" x14ac:dyDescent="0.2">
      <c r="B1559" s="10"/>
    </row>
    <row r="1560" spans="2:2" x14ac:dyDescent="0.2">
      <c r="B1560" s="10"/>
    </row>
    <row r="1561" spans="2:2" x14ac:dyDescent="0.2">
      <c r="B1561" s="10"/>
    </row>
    <row r="1562" spans="2:2" x14ac:dyDescent="0.2">
      <c r="B1562" s="10"/>
    </row>
    <row r="1563" spans="2:2" x14ac:dyDescent="0.2">
      <c r="B1563" s="10"/>
    </row>
    <row r="1564" spans="2:2" x14ac:dyDescent="0.2">
      <c r="B1564" s="10"/>
    </row>
    <row r="1565" spans="2:2" x14ac:dyDescent="0.2">
      <c r="B1565" s="10"/>
    </row>
    <row r="1566" spans="2:2" x14ac:dyDescent="0.2">
      <c r="B1566" s="10"/>
    </row>
    <row r="1567" spans="2:2" x14ac:dyDescent="0.2">
      <c r="B1567" s="10"/>
    </row>
    <row r="1568" spans="2:2" x14ac:dyDescent="0.2">
      <c r="B1568" s="10"/>
    </row>
    <row r="1569" spans="2:2" x14ac:dyDescent="0.2">
      <c r="B1569" s="10"/>
    </row>
    <row r="1570" spans="2:2" x14ac:dyDescent="0.2">
      <c r="B1570" s="10"/>
    </row>
    <row r="1571" spans="2:2" x14ac:dyDescent="0.2">
      <c r="B1571" s="10"/>
    </row>
    <row r="1572" spans="2:2" x14ac:dyDescent="0.2">
      <c r="B1572" s="10"/>
    </row>
    <row r="1573" spans="2:2" x14ac:dyDescent="0.2">
      <c r="B1573" s="10"/>
    </row>
    <row r="1574" spans="2:2" x14ac:dyDescent="0.2">
      <c r="B1574" s="10"/>
    </row>
    <row r="1575" spans="2:2" x14ac:dyDescent="0.2">
      <c r="B1575" s="10"/>
    </row>
    <row r="1576" spans="2:2" x14ac:dyDescent="0.2">
      <c r="B1576" s="10"/>
    </row>
    <row r="1577" spans="2:2" x14ac:dyDescent="0.2">
      <c r="B1577" s="10"/>
    </row>
    <row r="1578" spans="2:2" x14ac:dyDescent="0.2">
      <c r="B1578" s="10"/>
    </row>
    <row r="1579" spans="2:2" x14ac:dyDescent="0.2">
      <c r="B1579" s="10"/>
    </row>
    <row r="1580" spans="2:2" x14ac:dyDescent="0.2">
      <c r="B1580" s="10"/>
    </row>
    <row r="1581" spans="2:2" x14ac:dyDescent="0.2">
      <c r="B1581" s="10"/>
    </row>
    <row r="1582" spans="2:2" x14ac:dyDescent="0.2">
      <c r="B1582" s="10"/>
    </row>
    <row r="1583" spans="2:2" x14ac:dyDescent="0.2">
      <c r="B1583" s="10"/>
    </row>
    <row r="1584" spans="2:2" x14ac:dyDescent="0.2">
      <c r="B1584" s="10"/>
    </row>
    <row r="1585" spans="2:2" x14ac:dyDescent="0.2">
      <c r="B1585" s="10"/>
    </row>
    <row r="1586" spans="2:2" x14ac:dyDescent="0.2">
      <c r="B1586" s="10"/>
    </row>
    <row r="1587" spans="2:2" x14ac:dyDescent="0.2">
      <c r="B1587" s="10"/>
    </row>
    <row r="1588" spans="2:2" x14ac:dyDescent="0.2">
      <c r="B1588" s="10"/>
    </row>
    <row r="1589" spans="2:2" x14ac:dyDescent="0.2">
      <c r="B1589" s="10"/>
    </row>
    <row r="1590" spans="2:2" x14ac:dyDescent="0.2">
      <c r="B1590" s="10"/>
    </row>
    <row r="1591" spans="2:2" x14ac:dyDescent="0.2">
      <c r="B1591" s="10"/>
    </row>
    <row r="1592" spans="2:2" x14ac:dyDescent="0.2">
      <c r="B1592" s="10"/>
    </row>
    <row r="1593" spans="2:2" x14ac:dyDescent="0.2">
      <c r="B1593" s="10"/>
    </row>
    <row r="1594" spans="2:2" x14ac:dyDescent="0.2">
      <c r="B1594" s="10"/>
    </row>
    <row r="1595" spans="2:2" x14ac:dyDescent="0.2">
      <c r="B1595" s="10"/>
    </row>
    <row r="1596" spans="2:2" x14ac:dyDescent="0.2">
      <c r="B1596" s="10"/>
    </row>
    <row r="1597" spans="2:2" x14ac:dyDescent="0.2">
      <c r="B1597" s="10"/>
    </row>
    <row r="1598" spans="2:2" x14ac:dyDescent="0.2">
      <c r="B1598" s="10"/>
    </row>
    <row r="1599" spans="2:2" x14ac:dyDescent="0.2">
      <c r="B1599" s="10"/>
    </row>
    <row r="1600" spans="2:2" x14ac:dyDescent="0.2">
      <c r="B1600" s="10"/>
    </row>
    <row r="1601" spans="2:2" x14ac:dyDescent="0.2">
      <c r="B1601" s="10"/>
    </row>
    <row r="1602" spans="2:2" x14ac:dyDescent="0.2">
      <c r="B1602" s="10"/>
    </row>
    <row r="1603" spans="2:2" x14ac:dyDescent="0.2">
      <c r="B1603" s="10"/>
    </row>
    <row r="1604" spans="2:2" x14ac:dyDescent="0.2">
      <c r="B1604" s="10"/>
    </row>
    <row r="1605" spans="2:2" x14ac:dyDescent="0.2">
      <c r="B1605" s="10"/>
    </row>
    <row r="1606" spans="2:2" x14ac:dyDescent="0.2">
      <c r="B1606" s="10"/>
    </row>
    <row r="1607" spans="2:2" x14ac:dyDescent="0.2">
      <c r="B1607" s="10"/>
    </row>
    <row r="1608" spans="2:2" x14ac:dyDescent="0.2">
      <c r="B1608" s="10"/>
    </row>
    <row r="1609" spans="2:2" x14ac:dyDescent="0.2">
      <c r="B1609" s="10"/>
    </row>
    <row r="1610" spans="2:2" x14ac:dyDescent="0.2">
      <c r="B1610" s="10"/>
    </row>
    <row r="1611" spans="2:2" x14ac:dyDescent="0.2">
      <c r="B1611" s="10"/>
    </row>
    <row r="1612" spans="2:2" x14ac:dyDescent="0.2">
      <c r="B1612" s="10"/>
    </row>
    <row r="1613" spans="2:2" x14ac:dyDescent="0.2">
      <c r="B1613" s="10"/>
    </row>
    <row r="1614" spans="2:2" x14ac:dyDescent="0.2">
      <c r="B1614" s="10"/>
    </row>
    <row r="1615" spans="2:2" x14ac:dyDescent="0.2">
      <c r="B1615" s="10"/>
    </row>
    <row r="1616" spans="2:2" x14ac:dyDescent="0.2">
      <c r="B1616" s="10"/>
    </row>
    <row r="1617" spans="2:2" x14ac:dyDescent="0.2">
      <c r="B1617" s="10"/>
    </row>
    <row r="1618" spans="2:2" x14ac:dyDescent="0.2">
      <c r="B1618" s="10"/>
    </row>
    <row r="1619" spans="2:2" x14ac:dyDescent="0.2">
      <c r="B1619" s="10"/>
    </row>
    <row r="1620" spans="2:2" x14ac:dyDescent="0.2">
      <c r="B1620" s="10"/>
    </row>
    <row r="1621" spans="2:2" x14ac:dyDescent="0.2">
      <c r="B1621" s="10"/>
    </row>
    <row r="1622" spans="2:2" x14ac:dyDescent="0.2">
      <c r="B1622" s="10"/>
    </row>
    <row r="1623" spans="2:2" x14ac:dyDescent="0.2">
      <c r="B1623" s="10"/>
    </row>
    <row r="1624" spans="2:2" x14ac:dyDescent="0.2">
      <c r="B1624" s="10"/>
    </row>
    <row r="1625" spans="2:2" x14ac:dyDescent="0.2">
      <c r="B1625" s="10"/>
    </row>
    <row r="1626" spans="2:2" x14ac:dyDescent="0.2">
      <c r="B1626" s="10"/>
    </row>
    <row r="1627" spans="2:2" x14ac:dyDescent="0.2">
      <c r="B1627" s="10"/>
    </row>
    <row r="1628" spans="2:2" x14ac:dyDescent="0.2">
      <c r="B1628" s="10"/>
    </row>
    <row r="1629" spans="2:2" x14ac:dyDescent="0.2">
      <c r="B1629" s="10"/>
    </row>
    <row r="1630" spans="2:2" x14ac:dyDescent="0.2">
      <c r="B1630" s="10"/>
    </row>
    <row r="1631" spans="2:2" x14ac:dyDescent="0.2">
      <c r="B1631" s="10"/>
    </row>
    <row r="1632" spans="2:2" x14ac:dyDescent="0.2">
      <c r="B1632" s="10"/>
    </row>
    <row r="1633" spans="2:2" x14ac:dyDescent="0.2">
      <c r="B1633" s="10"/>
    </row>
    <row r="1634" spans="2:2" x14ac:dyDescent="0.2">
      <c r="B1634" s="10"/>
    </row>
    <row r="1635" spans="2:2" x14ac:dyDescent="0.2">
      <c r="B1635" s="10"/>
    </row>
    <row r="1636" spans="2:2" x14ac:dyDescent="0.2">
      <c r="B1636" s="10"/>
    </row>
    <row r="1637" spans="2:2" x14ac:dyDescent="0.2">
      <c r="B1637" s="10"/>
    </row>
    <row r="1638" spans="2:2" x14ac:dyDescent="0.2">
      <c r="B1638" s="10"/>
    </row>
    <row r="1639" spans="2:2" x14ac:dyDescent="0.2">
      <c r="B1639" s="10"/>
    </row>
    <row r="1640" spans="2:2" x14ac:dyDescent="0.2">
      <c r="B1640" s="10"/>
    </row>
    <row r="1641" spans="2:2" x14ac:dyDescent="0.2">
      <c r="B1641" s="10"/>
    </row>
    <row r="1642" spans="2:2" x14ac:dyDescent="0.2">
      <c r="B1642" s="10"/>
    </row>
    <row r="1643" spans="2:2" x14ac:dyDescent="0.2">
      <c r="B1643" s="10"/>
    </row>
    <row r="1644" spans="2:2" x14ac:dyDescent="0.2">
      <c r="B1644" s="10"/>
    </row>
    <row r="1645" spans="2:2" x14ac:dyDescent="0.2">
      <c r="B1645" s="10"/>
    </row>
    <row r="1646" spans="2:2" x14ac:dyDescent="0.2">
      <c r="B1646" s="10"/>
    </row>
    <row r="1647" spans="2:2" x14ac:dyDescent="0.2">
      <c r="B1647" s="10"/>
    </row>
    <row r="1648" spans="2:2" x14ac:dyDescent="0.2">
      <c r="B1648" s="10"/>
    </row>
    <row r="1649" spans="2:2" x14ac:dyDescent="0.2">
      <c r="B1649" s="10"/>
    </row>
    <row r="1650" spans="2:2" x14ac:dyDescent="0.2">
      <c r="B1650" s="10"/>
    </row>
    <row r="1651" spans="2:2" x14ac:dyDescent="0.2">
      <c r="B1651" s="10"/>
    </row>
    <row r="1652" spans="2:2" x14ac:dyDescent="0.2">
      <c r="B1652" s="10"/>
    </row>
    <row r="1653" spans="2:2" x14ac:dyDescent="0.2">
      <c r="B1653" s="10"/>
    </row>
    <row r="1654" spans="2:2" x14ac:dyDescent="0.2">
      <c r="B1654" s="10"/>
    </row>
    <row r="1655" spans="2:2" x14ac:dyDescent="0.2">
      <c r="B1655" s="10"/>
    </row>
    <row r="1656" spans="2:2" x14ac:dyDescent="0.2">
      <c r="B1656" s="10"/>
    </row>
    <row r="1657" spans="2:2" x14ac:dyDescent="0.2">
      <c r="B1657" s="10"/>
    </row>
    <row r="1658" spans="2:2" x14ac:dyDescent="0.2">
      <c r="B1658" s="10"/>
    </row>
    <row r="1659" spans="2:2" x14ac:dyDescent="0.2">
      <c r="B1659" s="10"/>
    </row>
    <row r="1660" spans="2:2" x14ac:dyDescent="0.2">
      <c r="B1660" s="10"/>
    </row>
    <row r="1661" spans="2:2" x14ac:dyDescent="0.2">
      <c r="B1661" s="10"/>
    </row>
    <row r="1662" spans="2:2" x14ac:dyDescent="0.2">
      <c r="B1662" s="10"/>
    </row>
    <row r="1663" spans="2:2" x14ac:dyDescent="0.2">
      <c r="B1663" s="10"/>
    </row>
    <row r="1664" spans="2:2" x14ac:dyDescent="0.2">
      <c r="B1664" s="10"/>
    </row>
    <row r="1665" spans="2:2" x14ac:dyDescent="0.2">
      <c r="B1665" s="10"/>
    </row>
    <row r="1666" spans="2:2" x14ac:dyDescent="0.2">
      <c r="B1666" s="10"/>
    </row>
    <row r="1667" spans="2:2" x14ac:dyDescent="0.2">
      <c r="B1667" s="10"/>
    </row>
    <row r="1668" spans="2:2" x14ac:dyDescent="0.2">
      <c r="B1668" s="10"/>
    </row>
    <row r="1669" spans="2:2" x14ac:dyDescent="0.2">
      <c r="B1669" s="10"/>
    </row>
    <row r="1670" spans="2:2" x14ac:dyDescent="0.2">
      <c r="B1670" s="10"/>
    </row>
    <row r="1671" spans="2:2" x14ac:dyDescent="0.2">
      <c r="B1671" s="10"/>
    </row>
    <row r="1672" spans="2:2" x14ac:dyDescent="0.2">
      <c r="B1672" s="10"/>
    </row>
    <row r="1673" spans="2:2" x14ac:dyDescent="0.2">
      <c r="B1673" s="10"/>
    </row>
    <row r="1674" spans="2:2" x14ac:dyDescent="0.2">
      <c r="B1674" s="10"/>
    </row>
    <row r="1675" spans="2:2" x14ac:dyDescent="0.2">
      <c r="B1675" s="10"/>
    </row>
    <row r="1676" spans="2:2" x14ac:dyDescent="0.2">
      <c r="B1676" s="10"/>
    </row>
    <row r="1677" spans="2:2" x14ac:dyDescent="0.2">
      <c r="B1677" s="10"/>
    </row>
    <row r="1678" spans="2:2" x14ac:dyDescent="0.2">
      <c r="B1678" s="10"/>
    </row>
    <row r="1679" spans="2:2" x14ac:dyDescent="0.2">
      <c r="B1679" s="10"/>
    </row>
    <row r="1680" spans="2:2" x14ac:dyDescent="0.2">
      <c r="B1680" s="10"/>
    </row>
    <row r="1681" spans="2:2" x14ac:dyDescent="0.2">
      <c r="B1681" s="10"/>
    </row>
    <row r="1682" spans="2:2" x14ac:dyDescent="0.2">
      <c r="B1682" s="10"/>
    </row>
    <row r="1683" spans="2:2" x14ac:dyDescent="0.2">
      <c r="B1683" s="10"/>
    </row>
    <row r="1684" spans="2:2" x14ac:dyDescent="0.2">
      <c r="B1684" s="10"/>
    </row>
    <row r="1685" spans="2:2" x14ac:dyDescent="0.2">
      <c r="B1685" s="10"/>
    </row>
    <row r="1686" spans="2:2" x14ac:dyDescent="0.2">
      <c r="B1686" s="10"/>
    </row>
    <row r="1687" spans="2:2" x14ac:dyDescent="0.2">
      <c r="B1687" s="10"/>
    </row>
    <row r="1688" spans="2:2" x14ac:dyDescent="0.2">
      <c r="B1688" s="10"/>
    </row>
    <row r="1689" spans="2:2" x14ac:dyDescent="0.2">
      <c r="B1689" s="10"/>
    </row>
    <row r="1690" spans="2:2" x14ac:dyDescent="0.2">
      <c r="B1690" s="10"/>
    </row>
    <row r="1691" spans="2:2" x14ac:dyDescent="0.2">
      <c r="B1691" s="10"/>
    </row>
    <row r="1692" spans="2:2" x14ac:dyDescent="0.2">
      <c r="B1692" s="10"/>
    </row>
    <row r="1693" spans="2:2" x14ac:dyDescent="0.2">
      <c r="B1693" s="10"/>
    </row>
    <row r="1694" spans="2:2" x14ac:dyDescent="0.2">
      <c r="B1694" s="10"/>
    </row>
    <row r="1695" spans="2:2" x14ac:dyDescent="0.2">
      <c r="B1695" s="10"/>
    </row>
    <row r="1696" spans="2:2" x14ac:dyDescent="0.2">
      <c r="B1696" s="10"/>
    </row>
    <row r="1697" spans="2:2" x14ac:dyDescent="0.2">
      <c r="B1697" s="10"/>
    </row>
    <row r="1698" spans="2:2" x14ac:dyDescent="0.2">
      <c r="B1698" s="10"/>
    </row>
    <row r="1699" spans="2:2" x14ac:dyDescent="0.2">
      <c r="B1699" s="10"/>
    </row>
    <row r="1700" spans="2:2" x14ac:dyDescent="0.2">
      <c r="B1700" s="10"/>
    </row>
    <row r="1701" spans="2:2" x14ac:dyDescent="0.2">
      <c r="B1701" s="10"/>
    </row>
    <row r="1702" spans="2:2" x14ac:dyDescent="0.2">
      <c r="B1702" s="10"/>
    </row>
    <row r="1703" spans="2:2" x14ac:dyDescent="0.2">
      <c r="B1703" s="10"/>
    </row>
    <row r="1704" spans="2:2" x14ac:dyDescent="0.2">
      <c r="B1704" s="10"/>
    </row>
    <row r="1705" spans="2:2" x14ac:dyDescent="0.2">
      <c r="B1705" s="10"/>
    </row>
    <row r="1706" spans="2:2" x14ac:dyDescent="0.2">
      <c r="B1706" s="10"/>
    </row>
    <row r="1707" spans="2:2" x14ac:dyDescent="0.2">
      <c r="B1707" s="10"/>
    </row>
    <row r="1708" spans="2:2" x14ac:dyDescent="0.2">
      <c r="B1708" s="10"/>
    </row>
    <row r="1709" spans="2:2" x14ac:dyDescent="0.2">
      <c r="B1709" s="10"/>
    </row>
    <row r="1710" spans="2:2" x14ac:dyDescent="0.2">
      <c r="B1710" s="10"/>
    </row>
    <row r="1711" spans="2:2" x14ac:dyDescent="0.2">
      <c r="B1711" s="10"/>
    </row>
    <row r="1712" spans="2:2" x14ac:dyDescent="0.2">
      <c r="B1712" s="10"/>
    </row>
    <row r="1713" spans="2:2" x14ac:dyDescent="0.2">
      <c r="B1713" s="10"/>
    </row>
    <row r="1714" spans="2:2" x14ac:dyDescent="0.2">
      <c r="B1714" s="10"/>
    </row>
    <row r="1715" spans="2:2" x14ac:dyDescent="0.2">
      <c r="B1715" s="10"/>
    </row>
    <row r="1716" spans="2:2" x14ac:dyDescent="0.2">
      <c r="B1716" s="10"/>
    </row>
    <row r="1717" spans="2:2" x14ac:dyDescent="0.2">
      <c r="B1717" s="10"/>
    </row>
    <row r="1718" spans="2:2" x14ac:dyDescent="0.2">
      <c r="B1718" s="10"/>
    </row>
    <row r="1719" spans="2:2" x14ac:dyDescent="0.2">
      <c r="B1719" s="10"/>
    </row>
    <row r="1720" spans="2:2" x14ac:dyDescent="0.2">
      <c r="B1720" s="10"/>
    </row>
    <row r="1721" spans="2:2" x14ac:dyDescent="0.2">
      <c r="B1721" s="10"/>
    </row>
    <row r="1722" spans="2:2" x14ac:dyDescent="0.2">
      <c r="B1722" s="10"/>
    </row>
    <row r="1723" spans="2:2" x14ac:dyDescent="0.2">
      <c r="B1723" s="10"/>
    </row>
    <row r="1724" spans="2:2" x14ac:dyDescent="0.2">
      <c r="B1724" s="10"/>
    </row>
    <row r="1725" spans="2:2" x14ac:dyDescent="0.2">
      <c r="B1725" s="10"/>
    </row>
    <row r="1726" spans="2:2" x14ac:dyDescent="0.2">
      <c r="B1726" s="10"/>
    </row>
    <row r="1727" spans="2:2" x14ac:dyDescent="0.2">
      <c r="B1727" s="10"/>
    </row>
    <row r="1728" spans="2:2" x14ac:dyDescent="0.2">
      <c r="B1728" s="10"/>
    </row>
    <row r="1729" spans="2:2" x14ac:dyDescent="0.2">
      <c r="B1729" s="10"/>
    </row>
    <row r="1730" spans="2:2" x14ac:dyDescent="0.2">
      <c r="B1730" s="10"/>
    </row>
    <row r="1731" spans="2:2" x14ac:dyDescent="0.2">
      <c r="B1731" s="10"/>
    </row>
    <row r="1732" spans="2:2" x14ac:dyDescent="0.2">
      <c r="B1732" s="10"/>
    </row>
    <row r="1733" spans="2:2" x14ac:dyDescent="0.2">
      <c r="B1733" s="10"/>
    </row>
    <row r="1734" spans="2:2" x14ac:dyDescent="0.2">
      <c r="B1734" s="10"/>
    </row>
    <row r="1735" spans="2:2" x14ac:dyDescent="0.2">
      <c r="B1735" s="10"/>
    </row>
    <row r="1736" spans="2:2" x14ac:dyDescent="0.2">
      <c r="B1736" s="10"/>
    </row>
    <row r="1737" spans="2:2" x14ac:dyDescent="0.2">
      <c r="B1737" s="10"/>
    </row>
    <row r="1738" spans="2:2" x14ac:dyDescent="0.2">
      <c r="B1738" s="10"/>
    </row>
    <row r="1739" spans="2:2" x14ac:dyDescent="0.2">
      <c r="B1739" s="10"/>
    </row>
    <row r="1740" spans="2:2" x14ac:dyDescent="0.2">
      <c r="B1740" s="10"/>
    </row>
    <row r="1741" spans="2:2" x14ac:dyDescent="0.2">
      <c r="B1741" s="10"/>
    </row>
    <row r="1742" spans="2:2" x14ac:dyDescent="0.2">
      <c r="B1742" s="10"/>
    </row>
    <row r="1743" spans="2:2" x14ac:dyDescent="0.2">
      <c r="B1743" s="10"/>
    </row>
    <row r="1744" spans="2:2" x14ac:dyDescent="0.2">
      <c r="B1744" s="10"/>
    </row>
    <row r="1745" spans="2:2" x14ac:dyDescent="0.2">
      <c r="B1745" s="10"/>
    </row>
    <row r="1746" spans="2:2" x14ac:dyDescent="0.2">
      <c r="B1746" s="10"/>
    </row>
    <row r="1747" spans="2:2" x14ac:dyDescent="0.2">
      <c r="B1747" s="10"/>
    </row>
    <row r="1748" spans="2:2" x14ac:dyDescent="0.2">
      <c r="B1748" s="10"/>
    </row>
    <row r="1749" spans="2:2" x14ac:dyDescent="0.2">
      <c r="B1749" s="10"/>
    </row>
    <row r="1750" spans="2:2" x14ac:dyDescent="0.2">
      <c r="B1750" s="10"/>
    </row>
    <row r="1751" spans="2:2" x14ac:dyDescent="0.2">
      <c r="B1751" s="10"/>
    </row>
    <row r="1752" spans="2:2" x14ac:dyDescent="0.2">
      <c r="B1752" s="10"/>
    </row>
    <row r="1753" spans="2:2" x14ac:dyDescent="0.2">
      <c r="B1753" s="10"/>
    </row>
    <row r="1754" spans="2:2" x14ac:dyDescent="0.2">
      <c r="B1754" s="10"/>
    </row>
    <row r="1755" spans="2:2" x14ac:dyDescent="0.2">
      <c r="B1755" s="10"/>
    </row>
    <row r="1756" spans="2:2" x14ac:dyDescent="0.2">
      <c r="B1756" s="10"/>
    </row>
    <row r="1757" spans="2:2" x14ac:dyDescent="0.2">
      <c r="B1757" s="10"/>
    </row>
    <row r="1758" spans="2:2" x14ac:dyDescent="0.2">
      <c r="B1758" s="10"/>
    </row>
    <row r="1759" spans="2:2" x14ac:dyDescent="0.2">
      <c r="B1759" s="10"/>
    </row>
    <row r="1760" spans="2:2" x14ac:dyDescent="0.2">
      <c r="B1760" s="10"/>
    </row>
    <row r="1761" spans="2:2" x14ac:dyDescent="0.2">
      <c r="B1761" s="10"/>
    </row>
    <row r="1762" spans="2:2" x14ac:dyDescent="0.2">
      <c r="B1762" s="10"/>
    </row>
    <row r="1763" spans="2:2" x14ac:dyDescent="0.2">
      <c r="B1763" s="10"/>
    </row>
    <row r="1764" spans="2:2" x14ac:dyDescent="0.2">
      <c r="B1764" s="10"/>
    </row>
    <row r="1765" spans="2:2" x14ac:dyDescent="0.2">
      <c r="B1765" s="10"/>
    </row>
    <row r="1766" spans="2:2" x14ac:dyDescent="0.2">
      <c r="B1766" s="10"/>
    </row>
    <row r="1767" spans="2:2" x14ac:dyDescent="0.2">
      <c r="B1767" s="10"/>
    </row>
    <row r="1768" spans="2:2" x14ac:dyDescent="0.2">
      <c r="B1768" s="10"/>
    </row>
    <row r="1769" spans="2:2" x14ac:dyDescent="0.2">
      <c r="B1769" s="10"/>
    </row>
    <row r="1770" spans="2:2" x14ac:dyDescent="0.2">
      <c r="B1770" s="10"/>
    </row>
    <row r="1771" spans="2:2" x14ac:dyDescent="0.2">
      <c r="B1771" s="10"/>
    </row>
    <row r="1772" spans="2:2" x14ac:dyDescent="0.2">
      <c r="B1772" s="10"/>
    </row>
    <row r="1773" spans="2:2" x14ac:dyDescent="0.2">
      <c r="B1773" s="10"/>
    </row>
    <row r="1774" spans="2:2" x14ac:dyDescent="0.2">
      <c r="B1774" s="10"/>
    </row>
    <row r="1775" spans="2:2" x14ac:dyDescent="0.2">
      <c r="B1775" s="10"/>
    </row>
    <row r="1776" spans="2:2" x14ac:dyDescent="0.2">
      <c r="B1776" s="10"/>
    </row>
    <row r="1777" spans="2:2" x14ac:dyDescent="0.2">
      <c r="B1777" s="10"/>
    </row>
    <row r="1778" spans="2:2" x14ac:dyDescent="0.2">
      <c r="B1778" s="10"/>
    </row>
    <row r="1779" spans="2:2" x14ac:dyDescent="0.2">
      <c r="B1779" s="10"/>
    </row>
    <row r="1780" spans="2:2" x14ac:dyDescent="0.2">
      <c r="B1780" s="10"/>
    </row>
    <row r="1781" spans="2:2" x14ac:dyDescent="0.2">
      <c r="B1781" s="10"/>
    </row>
    <row r="1782" spans="2:2" x14ac:dyDescent="0.2">
      <c r="B1782" s="10"/>
    </row>
    <row r="1783" spans="2:2" x14ac:dyDescent="0.2">
      <c r="B1783" s="10"/>
    </row>
    <row r="1784" spans="2:2" x14ac:dyDescent="0.2">
      <c r="B1784" s="10"/>
    </row>
    <row r="1785" spans="2:2" x14ac:dyDescent="0.2">
      <c r="B1785" s="10"/>
    </row>
    <row r="1786" spans="2:2" x14ac:dyDescent="0.2">
      <c r="B1786" s="10"/>
    </row>
    <row r="1787" spans="2:2" x14ac:dyDescent="0.2">
      <c r="B1787" s="10"/>
    </row>
    <row r="1788" spans="2:2" x14ac:dyDescent="0.2">
      <c r="B1788" s="10"/>
    </row>
    <row r="1789" spans="2:2" x14ac:dyDescent="0.2">
      <c r="B1789" s="10"/>
    </row>
    <row r="1790" spans="2:2" x14ac:dyDescent="0.2">
      <c r="B1790" s="10"/>
    </row>
    <row r="1791" spans="2:2" x14ac:dyDescent="0.2">
      <c r="B1791" s="10"/>
    </row>
    <row r="1792" spans="2:2" x14ac:dyDescent="0.2">
      <c r="B1792" s="10"/>
    </row>
    <row r="1793" spans="2:2" x14ac:dyDescent="0.2">
      <c r="B1793" s="10"/>
    </row>
    <row r="1794" spans="2:2" x14ac:dyDescent="0.2">
      <c r="B1794" s="10"/>
    </row>
    <row r="1795" spans="2:2" x14ac:dyDescent="0.2">
      <c r="B1795" s="10"/>
    </row>
    <row r="1796" spans="2:2" x14ac:dyDescent="0.2">
      <c r="B1796" s="10"/>
    </row>
    <row r="1797" spans="2:2" x14ac:dyDescent="0.2">
      <c r="B1797" s="10"/>
    </row>
    <row r="1798" spans="2:2" x14ac:dyDescent="0.2">
      <c r="B1798" s="10"/>
    </row>
    <row r="1799" spans="2:2" x14ac:dyDescent="0.2">
      <c r="B1799" s="10"/>
    </row>
    <row r="1800" spans="2:2" x14ac:dyDescent="0.2">
      <c r="B1800" s="10"/>
    </row>
    <row r="1801" spans="2:2" x14ac:dyDescent="0.2">
      <c r="B1801" s="10"/>
    </row>
    <row r="1802" spans="2:2" x14ac:dyDescent="0.2">
      <c r="B1802" s="10"/>
    </row>
    <row r="1803" spans="2:2" x14ac:dyDescent="0.2">
      <c r="B1803" s="10"/>
    </row>
    <row r="1804" spans="2:2" x14ac:dyDescent="0.2">
      <c r="B1804" s="10"/>
    </row>
    <row r="1805" spans="2:2" x14ac:dyDescent="0.2">
      <c r="B1805" s="10"/>
    </row>
    <row r="1806" spans="2:2" x14ac:dyDescent="0.2">
      <c r="B1806" s="10"/>
    </row>
    <row r="1807" spans="2:2" x14ac:dyDescent="0.2">
      <c r="B1807" s="10"/>
    </row>
    <row r="1808" spans="2:2" x14ac:dyDescent="0.2">
      <c r="B1808" s="10"/>
    </row>
    <row r="1809" spans="2:2" x14ac:dyDescent="0.2">
      <c r="B1809" s="10"/>
    </row>
    <row r="1810" spans="2:2" x14ac:dyDescent="0.2">
      <c r="B1810" s="10"/>
    </row>
    <row r="1811" spans="2:2" x14ac:dyDescent="0.2">
      <c r="B1811" s="10"/>
    </row>
    <row r="1812" spans="2:2" x14ac:dyDescent="0.2">
      <c r="B1812" s="10"/>
    </row>
    <row r="1813" spans="2:2" x14ac:dyDescent="0.2">
      <c r="B1813" s="10"/>
    </row>
    <row r="1814" spans="2:2" x14ac:dyDescent="0.2">
      <c r="B1814" s="10"/>
    </row>
    <row r="1815" spans="2:2" x14ac:dyDescent="0.2">
      <c r="B1815" s="10"/>
    </row>
    <row r="1816" spans="2:2" x14ac:dyDescent="0.2">
      <c r="B1816" s="10"/>
    </row>
    <row r="1817" spans="2:2" x14ac:dyDescent="0.2">
      <c r="B1817" s="10"/>
    </row>
    <row r="1818" spans="2:2" x14ac:dyDescent="0.2">
      <c r="B1818" s="10"/>
    </row>
    <row r="1819" spans="2:2" x14ac:dyDescent="0.2">
      <c r="B1819" s="10"/>
    </row>
    <row r="1820" spans="2:2" x14ac:dyDescent="0.2">
      <c r="B1820" s="10"/>
    </row>
    <row r="1821" spans="2:2" x14ac:dyDescent="0.2">
      <c r="B1821" s="10"/>
    </row>
    <row r="1822" spans="2:2" x14ac:dyDescent="0.2">
      <c r="B1822" s="10"/>
    </row>
    <row r="1823" spans="2:2" x14ac:dyDescent="0.2">
      <c r="B1823" s="10"/>
    </row>
    <row r="1824" spans="2:2" x14ac:dyDescent="0.2">
      <c r="B1824" s="10"/>
    </row>
    <row r="1825" spans="2:2" x14ac:dyDescent="0.2">
      <c r="B1825" s="10"/>
    </row>
    <row r="1826" spans="2:2" x14ac:dyDescent="0.2">
      <c r="B1826" s="10"/>
    </row>
    <row r="1827" spans="2:2" x14ac:dyDescent="0.2">
      <c r="B1827" s="10"/>
    </row>
    <row r="1828" spans="2:2" x14ac:dyDescent="0.2">
      <c r="B1828" s="10"/>
    </row>
    <row r="1829" spans="2:2" x14ac:dyDescent="0.2">
      <c r="B1829" s="10"/>
    </row>
    <row r="1830" spans="2:2" x14ac:dyDescent="0.2">
      <c r="B1830" s="10"/>
    </row>
    <row r="1831" spans="2:2" x14ac:dyDescent="0.2">
      <c r="B1831" s="10"/>
    </row>
    <row r="1832" spans="2:2" x14ac:dyDescent="0.2">
      <c r="B1832" s="10"/>
    </row>
    <row r="1833" spans="2:2" x14ac:dyDescent="0.2">
      <c r="B1833" s="10"/>
    </row>
    <row r="1834" spans="2:2" x14ac:dyDescent="0.2">
      <c r="B1834" s="10"/>
    </row>
    <row r="1835" spans="2:2" x14ac:dyDescent="0.2">
      <c r="B1835" s="10"/>
    </row>
    <row r="1836" spans="2:2" x14ac:dyDescent="0.2">
      <c r="B1836" s="10"/>
    </row>
    <row r="1837" spans="2:2" x14ac:dyDescent="0.2">
      <c r="B1837" s="10"/>
    </row>
    <row r="1838" spans="2:2" x14ac:dyDescent="0.2">
      <c r="B1838" s="10"/>
    </row>
    <row r="1839" spans="2:2" x14ac:dyDescent="0.2">
      <c r="B1839" s="10"/>
    </row>
    <row r="1840" spans="2:2" x14ac:dyDescent="0.2">
      <c r="B1840" s="10"/>
    </row>
    <row r="1841" spans="2:2" x14ac:dyDescent="0.2">
      <c r="B1841" s="10"/>
    </row>
    <row r="1842" spans="2:2" x14ac:dyDescent="0.2">
      <c r="B1842" s="10"/>
    </row>
    <row r="1843" spans="2:2" x14ac:dyDescent="0.2">
      <c r="B1843" s="10"/>
    </row>
    <row r="1844" spans="2:2" x14ac:dyDescent="0.2">
      <c r="B1844" s="10"/>
    </row>
    <row r="1845" spans="2:2" x14ac:dyDescent="0.2">
      <c r="B1845" s="10"/>
    </row>
    <row r="1846" spans="2:2" x14ac:dyDescent="0.2">
      <c r="B1846" s="10"/>
    </row>
    <row r="1847" spans="2:2" x14ac:dyDescent="0.2">
      <c r="B1847" s="10"/>
    </row>
    <row r="1848" spans="2:2" x14ac:dyDescent="0.2">
      <c r="B1848" s="10"/>
    </row>
    <row r="1849" spans="2:2" x14ac:dyDescent="0.2">
      <c r="B1849" s="10"/>
    </row>
    <row r="1850" spans="2:2" x14ac:dyDescent="0.2">
      <c r="B1850" s="10"/>
    </row>
    <row r="1851" spans="2:2" x14ac:dyDescent="0.2">
      <c r="B1851" s="10"/>
    </row>
    <row r="1852" spans="2:2" x14ac:dyDescent="0.2">
      <c r="B1852" s="10"/>
    </row>
    <row r="1853" spans="2:2" x14ac:dyDescent="0.2">
      <c r="B1853" s="10"/>
    </row>
    <row r="1854" spans="2:2" x14ac:dyDescent="0.2">
      <c r="B1854" s="10"/>
    </row>
    <row r="1855" spans="2:2" x14ac:dyDescent="0.2">
      <c r="B1855" s="10"/>
    </row>
    <row r="1856" spans="2:2" x14ac:dyDescent="0.2">
      <c r="B1856" s="10"/>
    </row>
    <row r="1857" spans="2:2" x14ac:dyDescent="0.2">
      <c r="B1857" s="10"/>
    </row>
    <row r="1858" spans="2:2" x14ac:dyDescent="0.2">
      <c r="B1858" s="10"/>
    </row>
    <row r="1859" spans="2:2" x14ac:dyDescent="0.2">
      <c r="B1859" s="10"/>
    </row>
    <row r="1860" spans="2:2" x14ac:dyDescent="0.2">
      <c r="B1860" s="10"/>
    </row>
    <row r="1861" spans="2:2" x14ac:dyDescent="0.2">
      <c r="B1861" s="10"/>
    </row>
    <row r="1862" spans="2:2" x14ac:dyDescent="0.2">
      <c r="B1862" s="10"/>
    </row>
    <row r="1863" spans="2:2" x14ac:dyDescent="0.2">
      <c r="B1863" s="10"/>
    </row>
    <row r="1864" spans="2:2" x14ac:dyDescent="0.2">
      <c r="B1864" s="10"/>
    </row>
    <row r="1865" spans="2:2" x14ac:dyDescent="0.2">
      <c r="B1865" s="10"/>
    </row>
    <row r="1866" spans="2:2" x14ac:dyDescent="0.2">
      <c r="B1866" s="10"/>
    </row>
    <row r="1867" spans="2:2" x14ac:dyDescent="0.2">
      <c r="B1867" s="10"/>
    </row>
    <row r="1868" spans="2:2" x14ac:dyDescent="0.2">
      <c r="B1868" s="10"/>
    </row>
    <row r="1869" spans="2:2" x14ac:dyDescent="0.2">
      <c r="B1869" s="10"/>
    </row>
    <row r="1870" spans="2:2" x14ac:dyDescent="0.2">
      <c r="B1870" s="10"/>
    </row>
    <row r="1871" spans="2:2" x14ac:dyDescent="0.2">
      <c r="B1871" s="10"/>
    </row>
    <row r="1872" spans="2:2" x14ac:dyDescent="0.2">
      <c r="B1872" s="10"/>
    </row>
    <row r="1873" spans="2:2" x14ac:dyDescent="0.2">
      <c r="B1873" s="10"/>
    </row>
    <row r="1874" spans="2:2" x14ac:dyDescent="0.2">
      <c r="B1874" s="10"/>
    </row>
    <row r="1875" spans="2:2" x14ac:dyDescent="0.2">
      <c r="B1875" s="10"/>
    </row>
    <row r="1876" spans="2:2" x14ac:dyDescent="0.2">
      <c r="B1876" s="10"/>
    </row>
    <row r="1877" spans="2:2" x14ac:dyDescent="0.2">
      <c r="B1877" s="10"/>
    </row>
    <row r="1878" spans="2:2" x14ac:dyDescent="0.2">
      <c r="B1878" s="10"/>
    </row>
    <row r="1879" spans="2:2" x14ac:dyDescent="0.2">
      <c r="B1879" s="10"/>
    </row>
    <row r="1880" spans="2:2" x14ac:dyDescent="0.2">
      <c r="B1880" s="10"/>
    </row>
    <row r="1881" spans="2:2" x14ac:dyDescent="0.2">
      <c r="B1881" s="10"/>
    </row>
    <row r="1882" spans="2:2" x14ac:dyDescent="0.2">
      <c r="B1882" s="10"/>
    </row>
    <row r="1883" spans="2:2" x14ac:dyDescent="0.2">
      <c r="B1883" s="10"/>
    </row>
    <row r="1884" spans="2:2" x14ac:dyDescent="0.2">
      <c r="B1884" s="10"/>
    </row>
    <row r="1885" spans="2:2" x14ac:dyDescent="0.2">
      <c r="B1885" s="10"/>
    </row>
    <row r="1886" spans="2:2" x14ac:dyDescent="0.2">
      <c r="B1886" s="10"/>
    </row>
    <row r="1887" spans="2:2" x14ac:dyDescent="0.2">
      <c r="B1887" s="10"/>
    </row>
    <row r="1888" spans="2:2" x14ac:dyDescent="0.2">
      <c r="B1888" s="10"/>
    </row>
    <row r="1889" spans="2:2" x14ac:dyDescent="0.2">
      <c r="B1889" s="10"/>
    </row>
    <row r="1890" spans="2:2" x14ac:dyDescent="0.2">
      <c r="B1890" s="10"/>
    </row>
    <row r="1891" spans="2:2" x14ac:dyDescent="0.2">
      <c r="B1891" s="10"/>
    </row>
    <row r="1892" spans="2:2" x14ac:dyDescent="0.2">
      <c r="B1892" s="10"/>
    </row>
    <row r="1893" spans="2:2" x14ac:dyDescent="0.2">
      <c r="B1893" s="10"/>
    </row>
    <row r="1894" spans="2:2" x14ac:dyDescent="0.2">
      <c r="B1894" s="10"/>
    </row>
    <row r="1895" spans="2:2" x14ac:dyDescent="0.2">
      <c r="B1895" s="10"/>
    </row>
    <row r="1896" spans="2:2" x14ac:dyDescent="0.2">
      <c r="B1896" s="10"/>
    </row>
    <row r="1897" spans="2:2" x14ac:dyDescent="0.2">
      <c r="B1897" s="10"/>
    </row>
    <row r="1898" spans="2:2" x14ac:dyDescent="0.2">
      <c r="B1898" s="10"/>
    </row>
    <row r="1899" spans="2:2" x14ac:dyDescent="0.2">
      <c r="B1899" s="10"/>
    </row>
    <row r="1900" spans="2:2" x14ac:dyDescent="0.2">
      <c r="B1900" s="10"/>
    </row>
    <row r="1901" spans="2:2" x14ac:dyDescent="0.2">
      <c r="B1901" s="10"/>
    </row>
    <row r="1902" spans="2:2" x14ac:dyDescent="0.2">
      <c r="B1902" s="10"/>
    </row>
    <row r="1903" spans="2:2" x14ac:dyDescent="0.2">
      <c r="B1903" s="10"/>
    </row>
    <row r="1904" spans="2:2" x14ac:dyDescent="0.2">
      <c r="B1904" s="10"/>
    </row>
    <row r="1905" spans="2:2" x14ac:dyDescent="0.2">
      <c r="B1905" s="10"/>
    </row>
    <row r="1906" spans="2:2" x14ac:dyDescent="0.2">
      <c r="B1906" s="10"/>
    </row>
    <row r="1907" spans="2:2" x14ac:dyDescent="0.2">
      <c r="B1907" s="10"/>
    </row>
    <row r="1908" spans="2:2" x14ac:dyDescent="0.2">
      <c r="B1908" s="10"/>
    </row>
    <row r="1909" spans="2:2" x14ac:dyDescent="0.2">
      <c r="B1909" s="10"/>
    </row>
    <row r="1910" spans="2:2" x14ac:dyDescent="0.2">
      <c r="B1910" s="10"/>
    </row>
    <row r="1911" spans="2:2" x14ac:dyDescent="0.2">
      <c r="B1911" s="10"/>
    </row>
    <row r="1912" spans="2:2" x14ac:dyDescent="0.2">
      <c r="B1912" s="10"/>
    </row>
    <row r="1913" spans="2:2" x14ac:dyDescent="0.2">
      <c r="B1913" s="10"/>
    </row>
    <row r="1914" spans="2:2" x14ac:dyDescent="0.2">
      <c r="B1914" s="10"/>
    </row>
    <row r="1915" spans="2:2" x14ac:dyDescent="0.2">
      <c r="B1915" s="10"/>
    </row>
    <row r="1916" spans="2:2" x14ac:dyDescent="0.2">
      <c r="B1916" s="10"/>
    </row>
    <row r="1917" spans="2:2" x14ac:dyDescent="0.2">
      <c r="B1917" s="10"/>
    </row>
    <row r="1918" spans="2:2" x14ac:dyDescent="0.2">
      <c r="B1918" s="10"/>
    </row>
    <row r="1919" spans="2:2" x14ac:dyDescent="0.2">
      <c r="B1919" s="10"/>
    </row>
    <row r="1920" spans="2:2" x14ac:dyDescent="0.2">
      <c r="B1920" s="10"/>
    </row>
    <row r="1921" spans="2:2" x14ac:dyDescent="0.2">
      <c r="B1921" s="10"/>
    </row>
    <row r="1922" spans="2:2" x14ac:dyDescent="0.2">
      <c r="B1922" s="10"/>
    </row>
    <row r="1923" spans="2:2" x14ac:dyDescent="0.2">
      <c r="B1923" s="10"/>
    </row>
    <row r="1924" spans="2:2" x14ac:dyDescent="0.2">
      <c r="B1924" s="10"/>
    </row>
    <row r="1925" spans="2:2" x14ac:dyDescent="0.2">
      <c r="B1925" s="10"/>
    </row>
    <row r="1926" spans="2:2" x14ac:dyDescent="0.2">
      <c r="B1926" s="10"/>
    </row>
    <row r="1927" spans="2:2" x14ac:dyDescent="0.2">
      <c r="B1927" s="10"/>
    </row>
    <row r="1928" spans="2:2" x14ac:dyDescent="0.2">
      <c r="B1928" s="10"/>
    </row>
    <row r="1929" spans="2:2" x14ac:dyDescent="0.2">
      <c r="B1929" s="10"/>
    </row>
    <row r="1930" spans="2:2" x14ac:dyDescent="0.2">
      <c r="B1930" s="10"/>
    </row>
    <row r="1931" spans="2:2" x14ac:dyDescent="0.2">
      <c r="B1931" s="10"/>
    </row>
    <row r="1932" spans="2:2" x14ac:dyDescent="0.2">
      <c r="B1932" s="10"/>
    </row>
    <row r="1933" spans="2:2" x14ac:dyDescent="0.2">
      <c r="B1933" s="10"/>
    </row>
    <row r="1934" spans="2:2" x14ac:dyDescent="0.2">
      <c r="B1934" s="10"/>
    </row>
    <row r="1935" spans="2:2" x14ac:dyDescent="0.2">
      <c r="B1935" s="10"/>
    </row>
    <row r="1936" spans="2:2" x14ac:dyDescent="0.2">
      <c r="B1936" s="10"/>
    </row>
    <row r="1937" spans="2:2" x14ac:dyDescent="0.2">
      <c r="B1937" s="10"/>
    </row>
    <row r="1938" spans="2:2" x14ac:dyDescent="0.2">
      <c r="B1938" s="10"/>
    </row>
    <row r="1939" spans="2:2" x14ac:dyDescent="0.2">
      <c r="B1939" s="10"/>
    </row>
    <row r="1940" spans="2:2" x14ac:dyDescent="0.2">
      <c r="B1940" s="10"/>
    </row>
    <row r="1941" spans="2:2" x14ac:dyDescent="0.2">
      <c r="B1941" s="10"/>
    </row>
    <row r="1942" spans="2:2" x14ac:dyDescent="0.2">
      <c r="B1942" s="10"/>
    </row>
    <row r="1943" spans="2:2" x14ac:dyDescent="0.2">
      <c r="B1943" s="10"/>
    </row>
    <row r="1944" spans="2:2" x14ac:dyDescent="0.2">
      <c r="B1944" s="10"/>
    </row>
    <row r="1945" spans="2:2" x14ac:dyDescent="0.2">
      <c r="B1945" s="10"/>
    </row>
    <row r="1946" spans="2:2" x14ac:dyDescent="0.2">
      <c r="B1946" s="10"/>
    </row>
    <row r="1947" spans="2:2" x14ac:dyDescent="0.2">
      <c r="B1947" s="10"/>
    </row>
    <row r="1948" spans="2:2" x14ac:dyDescent="0.2">
      <c r="B1948" s="10"/>
    </row>
    <row r="1949" spans="2:2" x14ac:dyDescent="0.2">
      <c r="B1949" s="10"/>
    </row>
    <row r="1950" spans="2:2" x14ac:dyDescent="0.2">
      <c r="B1950" s="10"/>
    </row>
    <row r="1951" spans="2:2" x14ac:dyDescent="0.2">
      <c r="B1951" s="10"/>
    </row>
    <row r="1952" spans="2:2" x14ac:dyDescent="0.2">
      <c r="B1952" s="10"/>
    </row>
    <row r="1953" spans="2:2" x14ac:dyDescent="0.2">
      <c r="B1953" s="10"/>
    </row>
    <row r="1954" spans="2:2" x14ac:dyDescent="0.2">
      <c r="B1954" s="10"/>
    </row>
    <row r="1955" spans="2:2" x14ac:dyDescent="0.2">
      <c r="B1955" s="10"/>
    </row>
    <row r="1956" spans="2:2" x14ac:dyDescent="0.2">
      <c r="B1956" s="10"/>
    </row>
    <row r="1957" spans="2:2" x14ac:dyDescent="0.2">
      <c r="B1957" s="10"/>
    </row>
    <row r="1958" spans="2:2" x14ac:dyDescent="0.2">
      <c r="B1958" s="10"/>
    </row>
    <row r="1959" spans="2:2" x14ac:dyDescent="0.2">
      <c r="B1959" s="10"/>
    </row>
    <row r="1960" spans="2:2" x14ac:dyDescent="0.2">
      <c r="B1960" s="10"/>
    </row>
    <row r="1961" spans="2:2" x14ac:dyDescent="0.2">
      <c r="B1961" s="10"/>
    </row>
    <row r="1962" spans="2:2" x14ac:dyDescent="0.2">
      <c r="B1962" s="10"/>
    </row>
    <row r="1963" spans="2:2" x14ac:dyDescent="0.2">
      <c r="B1963" s="10"/>
    </row>
    <row r="1964" spans="2:2" x14ac:dyDescent="0.2">
      <c r="B1964" s="10"/>
    </row>
    <row r="1965" spans="2:2" x14ac:dyDescent="0.2">
      <c r="B1965" s="10"/>
    </row>
    <row r="1966" spans="2:2" x14ac:dyDescent="0.2">
      <c r="B1966" s="10"/>
    </row>
    <row r="1967" spans="2:2" x14ac:dyDescent="0.2">
      <c r="B1967" s="10"/>
    </row>
    <row r="1968" spans="2:2" x14ac:dyDescent="0.2">
      <c r="B1968" s="10"/>
    </row>
    <row r="1969" spans="2:2" x14ac:dyDescent="0.2">
      <c r="B1969" s="10"/>
    </row>
    <row r="1970" spans="2:2" x14ac:dyDescent="0.2">
      <c r="B1970" s="10"/>
    </row>
    <row r="1971" spans="2:2" x14ac:dyDescent="0.2">
      <c r="B1971" s="10"/>
    </row>
    <row r="1972" spans="2:2" x14ac:dyDescent="0.2">
      <c r="B1972" s="10"/>
    </row>
    <row r="1973" spans="2:2" x14ac:dyDescent="0.2">
      <c r="B1973" s="10"/>
    </row>
    <row r="1974" spans="2:2" x14ac:dyDescent="0.2">
      <c r="B1974" s="10"/>
    </row>
    <row r="1975" spans="2:2" x14ac:dyDescent="0.2">
      <c r="B1975" s="10"/>
    </row>
    <row r="1976" spans="2:2" x14ac:dyDescent="0.2">
      <c r="B1976" s="10"/>
    </row>
    <row r="1977" spans="2:2" x14ac:dyDescent="0.2">
      <c r="B1977" s="10"/>
    </row>
    <row r="1978" spans="2:2" x14ac:dyDescent="0.2">
      <c r="B1978" s="10"/>
    </row>
    <row r="1979" spans="2:2" x14ac:dyDescent="0.2">
      <c r="B1979" s="10"/>
    </row>
    <row r="1980" spans="2:2" x14ac:dyDescent="0.2">
      <c r="B1980" s="10"/>
    </row>
    <row r="1981" spans="2:2" x14ac:dyDescent="0.2">
      <c r="B1981" s="10"/>
    </row>
    <row r="1982" spans="2:2" x14ac:dyDescent="0.2">
      <c r="B1982" s="10"/>
    </row>
    <row r="1983" spans="2:2" x14ac:dyDescent="0.2">
      <c r="B1983" s="10"/>
    </row>
    <row r="1984" spans="2:2" x14ac:dyDescent="0.2">
      <c r="B1984" s="10"/>
    </row>
    <row r="1985" spans="2:2" x14ac:dyDescent="0.2">
      <c r="B1985" s="10"/>
    </row>
    <row r="1986" spans="2:2" x14ac:dyDescent="0.2">
      <c r="B1986" s="10"/>
    </row>
    <row r="1987" spans="2:2" x14ac:dyDescent="0.2">
      <c r="B1987" s="10"/>
    </row>
    <row r="1988" spans="2:2" x14ac:dyDescent="0.2">
      <c r="B1988" s="10"/>
    </row>
    <row r="1989" spans="2:2" x14ac:dyDescent="0.2">
      <c r="B1989" s="10"/>
    </row>
    <row r="1990" spans="2:2" x14ac:dyDescent="0.2">
      <c r="B1990" s="10"/>
    </row>
    <row r="1991" spans="2:2" x14ac:dyDescent="0.2">
      <c r="B1991" s="10"/>
    </row>
    <row r="1992" spans="2:2" x14ac:dyDescent="0.2">
      <c r="B1992" s="10"/>
    </row>
    <row r="1993" spans="2:2" x14ac:dyDescent="0.2">
      <c r="B1993" s="10"/>
    </row>
    <row r="1994" spans="2:2" x14ac:dyDescent="0.2">
      <c r="B1994" s="10"/>
    </row>
    <row r="1995" spans="2:2" x14ac:dyDescent="0.2">
      <c r="B1995" s="10"/>
    </row>
    <row r="1996" spans="2:2" x14ac:dyDescent="0.2">
      <c r="B1996" s="10"/>
    </row>
    <row r="1997" spans="2:2" x14ac:dyDescent="0.2">
      <c r="B1997" s="10"/>
    </row>
    <row r="1998" spans="2:2" x14ac:dyDescent="0.2">
      <c r="B1998" s="10"/>
    </row>
    <row r="1999" spans="2:2" x14ac:dyDescent="0.2">
      <c r="B1999" s="10"/>
    </row>
    <row r="2000" spans="2:2" x14ac:dyDescent="0.2">
      <c r="B2000" s="10"/>
    </row>
    <row r="2001" spans="2:2" x14ac:dyDescent="0.2">
      <c r="B2001" s="10"/>
    </row>
    <row r="2002" spans="2:2" x14ac:dyDescent="0.2">
      <c r="B2002" s="10"/>
    </row>
    <row r="2003" spans="2:2" x14ac:dyDescent="0.2">
      <c r="B2003" s="10"/>
    </row>
    <row r="2004" spans="2:2" x14ac:dyDescent="0.2">
      <c r="B2004" s="10"/>
    </row>
    <row r="2005" spans="2:2" x14ac:dyDescent="0.2">
      <c r="B2005" s="10"/>
    </row>
    <row r="2006" spans="2:2" x14ac:dyDescent="0.2">
      <c r="B2006" s="10"/>
    </row>
    <row r="2007" spans="2:2" x14ac:dyDescent="0.2">
      <c r="B2007" s="10"/>
    </row>
    <row r="2008" spans="2:2" x14ac:dyDescent="0.2">
      <c r="B2008" s="10"/>
    </row>
    <row r="2009" spans="2:2" x14ac:dyDescent="0.2">
      <c r="B2009" s="10"/>
    </row>
    <row r="2010" spans="2:2" x14ac:dyDescent="0.2">
      <c r="B2010" s="10"/>
    </row>
    <row r="2011" spans="2:2" x14ac:dyDescent="0.2">
      <c r="B2011" s="10"/>
    </row>
    <row r="2012" spans="2:2" x14ac:dyDescent="0.2">
      <c r="B2012" s="10"/>
    </row>
    <row r="2013" spans="2:2" x14ac:dyDescent="0.2">
      <c r="B2013" s="10"/>
    </row>
    <row r="2014" spans="2:2" x14ac:dyDescent="0.2">
      <c r="B2014" s="10"/>
    </row>
    <row r="2015" spans="2:2" x14ac:dyDescent="0.2">
      <c r="B2015" s="10"/>
    </row>
    <row r="2016" spans="2:2" x14ac:dyDescent="0.2">
      <c r="B2016" s="10"/>
    </row>
    <row r="2017" spans="2:2" x14ac:dyDescent="0.2">
      <c r="B2017" s="10"/>
    </row>
    <row r="2018" spans="2:2" x14ac:dyDescent="0.2">
      <c r="B2018" s="10"/>
    </row>
    <row r="2019" spans="2:2" x14ac:dyDescent="0.2">
      <c r="B2019" s="10"/>
    </row>
    <row r="2020" spans="2:2" x14ac:dyDescent="0.2">
      <c r="B2020" s="10"/>
    </row>
    <row r="2021" spans="2:2" x14ac:dyDescent="0.2">
      <c r="B2021" s="10"/>
    </row>
    <row r="2022" spans="2:2" x14ac:dyDescent="0.2">
      <c r="B2022" s="10"/>
    </row>
    <row r="2023" spans="2:2" x14ac:dyDescent="0.2">
      <c r="B2023" s="10"/>
    </row>
    <row r="2024" spans="2:2" x14ac:dyDescent="0.2">
      <c r="B2024" s="10"/>
    </row>
    <row r="2025" spans="2:2" x14ac:dyDescent="0.2">
      <c r="B2025" s="10"/>
    </row>
    <row r="2026" spans="2:2" x14ac:dyDescent="0.2">
      <c r="B2026" s="10"/>
    </row>
    <row r="2027" spans="2:2" x14ac:dyDescent="0.2">
      <c r="B2027" s="10"/>
    </row>
    <row r="2028" spans="2:2" x14ac:dyDescent="0.2">
      <c r="B2028" s="10"/>
    </row>
    <row r="2029" spans="2:2" x14ac:dyDescent="0.2">
      <c r="B2029" s="10"/>
    </row>
    <row r="2030" spans="2:2" x14ac:dyDescent="0.2">
      <c r="B2030" s="10"/>
    </row>
    <row r="2031" spans="2:2" x14ac:dyDescent="0.2">
      <c r="B2031" s="10"/>
    </row>
    <row r="2032" spans="2:2" x14ac:dyDescent="0.2">
      <c r="B2032" s="10"/>
    </row>
    <row r="2033" spans="2:2" x14ac:dyDescent="0.2">
      <c r="B2033" s="10"/>
    </row>
    <row r="2034" spans="2:2" x14ac:dyDescent="0.2">
      <c r="B2034" s="10"/>
    </row>
    <row r="2035" spans="2:2" x14ac:dyDescent="0.2">
      <c r="B2035" s="10"/>
    </row>
    <row r="2036" spans="2:2" x14ac:dyDescent="0.2">
      <c r="B2036" s="10"/>
    </row>
    <row r="2037" spans="2:2" x14ac:dyDescent="0.2">
      <c r="B2037" s="10"/>
    </row>
    <row r="2038" spans="2:2" x14ac:dyDescent="0.2">
      <c r="B2038" s="10"/>
    </row>
    <row r="2039" spans="2:2" x14ac:dyDescent="0.2">
      <c r="B2039" s="10"/>
    </row>
    <row r="2040" spans="2:2" x14ac:dyDescent="0.2">
      <c r="B2040" s="10"/>
    </row>
    <row r="2041" spans="2:2" x14ac:dyDescent="0.2">
      <c r="B2041" s="10"/>
    </row>
    <row r="2042" spans="2:2" x14ac:dyDescent="0.2">
      <c r="B2042" s="10"/>
    </row>
    <row r="2043" spans="2:2" x14ac:dyDescent="0.2">
      <c r="B2043" s="10"/>
    </row>
    <row r="2044" spans="2:2" x14ac:dyDescent="0.2">
      <c r="B2044" s="10"/>
    </row>
    <row r="2045" spans="2:2" x14ac:dyDescent="0.2">
      <c r="B2045" s="10"/>
    </row>
    <row r="2046" spans="2:2" x14ac:dyDescent="0.2">
      <c r="B2046" s="10"/>
    </row>
    <row r="2047" spans="2:2" x14ac:dyDescent="0.2">
      <c r="B2047" s="10"/>
    </row>
    <row r="2048" spans="2:2" x14ac:dyDescent="0.2">
      <c r="B2048" s="10"/>
    </row>
    <row r="2049" spans="2:2" x14ac:dyDescent="0.2">
      <c r="B2049" s="10"/>
    </row>
    <row r="2050" spans="2:2" x14ac:dyDescent="0.2">
      <c r="B2050" s="10"/>
    </row>
    <row r="2051" spans="2:2" x14ac:dyDescent="0.2">
      <c r="B2051" s="10"/>
    </row>
    <row r="2052" spans="2:2" x14ac:dyDescent="0.2">
      <c r="B2052" s="10"/>
    </row>
    <row r="2053" spans="2:2" x14ac:dyDescent="0.2">
      <c r="B2053" s="10"/>
    </row>
    <row r="2054" spans="2:2" x14ac:dyDescent="0.2">
      <c r="B2054" s="10"/>
    </row>
    <row r="2055" spans="2:2" x14ac:dyDescent="0.2">
      <c r="B2055" s="10"/>
    </row>
    <row r="2056" spans="2:2" x14ac:dyDescent="0.2">
      <c r="B2056" s="10"/>
    </row>
    <row r="2057" spans="2:2" x14ac:dyDescent="0.2">
      <c r="B2057" s="10"/>
    </row>
    <row r="2058" spans="2:2" x14ac:dyDescent="0.2">
      <c r="B2058" s="10"/>
    </row>
    <row r="2059" spans="2:2" x14ac:dyDescent="0.2">
      <c r="B2059" s="10"/>
    </row>
    <row r="2060" spans="2:2" x14ac:dyDescent="0.2">
      <c r="B2060" s="10"/>
    </row>
    <row r="2061" spans="2:2" x14ac:dyDescent="0.2">
      <c r="B2061" s="10"/>
    </row>
    <row r="2062" spans="2:2" x14ac:dyDescent="0.2">
      <c r="B2062" s="10"/>
    </row>
    <row r="2063" spans="2:2" x14ac:dyDescent="0.2">
      <c r="B2063" s="10"/>
    </row>
    <row r="2064" spans="2:2" x14ac:dyDescent="0.2">
      <c r="B2064" s="10"/>
    </row>
    <row r="2065" spans="2:2" x14ac:dyDescent="0.2">
      <c r="B2065" s="10"/>
    </row>
    <row r="2066" spans="2:2" x14ac:dyDescent="0.2">
      <c r="B2066" s="10"/>
    </row>
    <row r="2067" spans="2:2" x14ac:dyDescent="0.2">
      <c r="B2067" s="10"/>
    </row>
    <row r="2068" spans="2:2" x14ac:dyDescent="0.2">
      <c r="B2068" s="10"/>
    </row>
    <row r="2069" spans="2:2" x14ac:dyDescent="0.2">
      <c r="B2069" s="10"/>
    </row>
    <row r="2070" spans="2:2" x14ac:dyDescent="0.2">
      <c r="B2070" s="10"/>
    </row>
    <row r="2071" spans="2:2" x14ac:dyDescent="0.2">
      <c r="B2071" s="10"/>
    </row>
    <row r="2072" spans="2:2" x14ac:dyDescent="0.2">
      <c r="B2072" s="10"/>
    </row>
    <row r="2073" spans="2:2" x14ac:dyDescent="0.2">
      <c r="B2073" s="10"/>
    </row>
    <row r="2074" spans="2:2" x14ac:dyDescent="0.2">
      <c r="B2074" s="10"/>
    </row>
    <row r="2075" spans="2:2" x14ac:dyDescent="0.2">
      <c r="B2075" s="10"/>
    </row>
    <row r="2076" spans="2:2" x14ac:dyDescent="0.2">
      <c r="B2076" s="10"/>
    </row>
    <row r="2077" spans="2:2" x14ac:dyDescent="0.2">
      <c r="B2077" s="10"/>
    </row>
    <row r="2078" spans="2:2" x14ac:dyDescent="0.2">
      <c r="B2078" s="10"/>
    </row>
    <row r="2079" spans="2:2" x14ac:dyDescent="0.2">
      <c r="B2079" s="10"/>
    </row>
    <row r="2080" spans="2:2" x14ac:dyDescent="0.2">
      <c r="B2080" s="10"/>
    </row>
    <row r="2081" spans="2:2" x14ac:dyDescent="0.2">
      <c r="B2081" s="10"/>
    </row>
    <row r="2082" spans="2:2" x14ac:dyDescent="0.2">
      <c r="B2082" s="10"/>
    </row>
    <row r="2083" spans="2:2" x14ac:dyDescent="0.2">
      <c r="B2083" s="10"/>
    </row>
    <row r="2084" spans="2:2" x14ac:dyDescent="0.2">
      <c r="B2084" s="10"/>
    </row>
    <row r="2085" spans="2:2" x14ac:dyDescent="0.2">
      <c r="B2085" s="10"/>
    </row>
    <row r="2086" spans="2:2" x14ac:dyDescent="0.2">
      <c r="B2086" s="10"/>
    </row>
    <row r="2087" spans="2:2" x14ac:dyDescent="0.2">
      <c r="B2087" s="10"/>
    </row>
    <row r="2088" spans="2:2" x14ac:dyDescent="0.2">
      <c r="B2088" s="10"/>
    </row>
    <row r="2089" spans="2:2" x14ac:dyDescent="0.2">
      <c r="B2089" s="10"/>
    </row>
    <row r="2090" spans="2:2" x14ac:dyDescent="0.2">
      <c r="B2090" s="10"/>
    </row>
    <row r="2091" spans="2:2" x14ac:dyDescent="0.2">
      <c r="B2091" s="10"/>
    </row>
    <row r="2092" spans="2:2" x14ac:dyDescent="0.2">
      <c r="B2092" s="10"/>
    </row>
    <row r="2093" spans="2:2" x14ac:dyDescent="0.2">
      <c r="B2093" s="10"/>
    </row>
    <row r="2094" spans="2:2" x14ac:dyDescent="0.2">
      <c r="B2094" s="10"/>
    </row>
    <row r="2095" spans="2:2" x14ac:dyDescent="0.2">
      <c r="B2095" s="10"/>
    </row>
    <row r="2096" spans="2:2" x14ac:dyDescent="0.2">
      <c r="B2096" s="10"/>
    </row>
    <row r="2097" spans="2:2" x14ac:dyDescent="0.2">
      <c r="B2097" s="10"/>
    </row>
    <row r="2098" spans="2:2" x14ac:dyDescent="0.2">
      <c r="B2098" s="10"/>
    </row>
    <row r="2099" spans="2:2" x14ac:dyDescent="0.2">
      <c r="B2099" s="10"/>
    </row>
    <row r="2100" spans="2:2" x14ac:dyDescent="0.2">
      <c r="B2100" s="10"/>
    </row>
    <row r="2101" spans="2:2" x14ac:dyDescent="0.2">
      <c r="B2101" s="10"/>
    </row>
    <row r="2102" spans="2:2" x14ac:dyDescent="0.2">
      <c r="B2102" s="10"/>
    </row>
    <row r="2103" spans="2:2" x14ac:dyDescent="0.2">
      <c r="B2103" s="10"/>
    </row>
    <row r="2104" spans="2:2" x14ac:dyDescent="0.2">
      <c r="B2104" s="10"/>
    </row>
    <row r="2105" spans="2:2" x14ac:dyDescent="0.2">
      <c r="B2105" s="10"/>
    </row>
    <row r="2106" spans="2:2" x14ac:dyDescent="0.2">
      <c r="B2106" s="10"/>
    </row>
    <row r="2107" spans="2:2" x14ac:dyDescent="0.2">
      <c r="B2107" s="10"/>
    </row>
    <row r="2108" spans="2:2" x14ac:dyDescent="0.2">
      <c r="B2108" s="10"/>
    </row>
    <row r="2109" spans="2:2" x14ac:dyDescent="0.2">
      <c r="B2109" s="10"/>
    </row>
    <row r="2110" spans="2:2" x14ac:dyDescent="0.2">
      <c r="B2110" s="10"/>
    </row>
    <row r="2111" spans="2:2" x14ac:dyDescent="0.2">
      <c r="B2111" s="10"/>
    </row>
    <row r="2112" spans="2:2" x14ac:dyDescent="0.2">
      <c r="B2112" s="10"/>
    </row>
    <row r="2113" spans="2:2" x14ac:dyDescent="0.2">
      <c r="B2113" s="10"/>
    </row>
    <row r="2114" spans="2:2" x14ac:dyDescent="0.2">
      <c r="B2114" s="10"/>
    </row>
    <row r="2115" spans="2:2" x14ac:dyDescent="0.2">
      <c r="B2115" s="10"/>
    </row>
    <row r="2116" spans="2:2" x14ac:dyDescent="0.2">
      <c r="B2116" s="10"/>
    </row>
    <row r="2117" spans="2:2" x14ac:dyDescent="0.2">
      <c r="B2117" s="10"/>
    </row>
    <row r="2118" spans="2:2" x14ac:dyDescent="0.2">
      <c r="B2118" s="10"/>
    </row>
    <row r="2119" spans="2:2" x14ac:dyDescent="0.2">
      <c r="B2119" s="10"/>
    </row>
    <row r="2120" spans="2:2" x14ac:dyDescent="0.2">
      <c r="B2120" s="10"/>
    </row>
    <row r="2121" spans="2:2" x14ac:dyDescent="0.2">
      <c r="B2121" s="10"/>
    </row>
    <row r="2122" spans="2:2" x14ac:dyDescent="0.2">
      <c r="B2122" s="10"/>
    </row>
    <row r="2123" spans="2:2" x14ac:dyDescent="0.2">
      <c r="B2123" s="10"/>
    </row>
    <row r="2124" spans="2:2" x14ac:dyDescent="0.2">
      <c r="B2124" s="10"/>
    </row>
    <row r="2125" spans="2:2" x14ac:dyDescent="0.2">
      <c r="B2125" s="10"/>
    </row>
    <row r="2126" spans="2:2" x14ac:dyDescent="0.2">
      <c r="B2126" s="10"/>
    </row>
    <row r="2127" spans="2:2" x14ac:dyDescent="0.2">
      <c r="B2127" s="10"/>
    </row>
    <row r="2128" spans="2:2" x14ac:dyDescent="0.2">
      <c r="B2128" s="10"/>
    </row>
    <row r="2129" spans="2:2" x14ac:dyDescent="0.2">
      <c r="B2129" s="10"/>
    </row>
    <row r="2130" spans="2:2" x14ac:dyDescent="0.2">
      <c r="B2130" s="10"/>
    </row>
    <row r="2131" spans="2:2" x14ac:dyDescent="0.2">
      <c r="B2131" s="10"/>
    </row>
    <row r="2132" spans="2:2" x14ac:dyDescent="0.2">
      <c r="B2132" s="10"/>
    </row>
    <row r="2133" spans="2:2" x14ac:dyDescent="0.2">
      <c r="B2133" s="10"/>
    </row>
    <row r="2134" spans="2:2" x14ac:dyDescent="0.2">
      <c r="B2134" s="10"/>
    </row>
    <row r="2135" spans="2:2" x14ac:dyDescent="0.2">
      <c r="B2135" s="10"/>
    </row>
    <row r="2136" spans="2:2" x14ac:dyDescent="0.2">
      <c r="B2136" s="10"/>
    </row>
    <row r="2137" spans="2:2" x14ac:dyDescent="0.2">
      <c r="B2137" s="10"/>
    </row>
    <row r="2138" spans="2:2" x14ac:dyDescent="0.2">
      <c r="B2138" s="10"/>
    </row>
    <row r="2139" spans="2:2" x14ac:dyDescent="0.2">
      <c r="B2139" s="10"/>
    </row>
    <row r="2140" spans="2:2" x14ac:dyDescent="0.2">
      <c r="B2140" s="10"/>
    </row>
    <row r="2141" spans="2:2" x14ac:dyDescent="0.2">
      <c r="B2141" s="10"/>
    </row>
    <row r="2142" spans="2:2" x14ac:dyDescent="0.2">
      <c r="B2142" s="10"/>
    </row>
    <row r="2143" spans="2:2" x14ac:dyDescent="0.2">
      <c r="B2143" s="10"/>
    </row>
    <row r="2144" spans="2:2" x14ac:dyDescent="0.2">
      <c r="B2144" s="10"/>
    </row>
    <row r="2145" spans="2:2" x14ac:dyDescent="0.2">
      <c r="B2145" s="10"/>
    </row>
    <row r="2146" spans="2:2" x14ac:dyDescent="0.2">
      <c r="B2146" s="10"/>
    </row>
    <row r="2147" spans="2:2" x14ac:dyDescent="0.2">
      <c r="B2147" s="10"/>
    </row>
    <row r="2148" spans="2:2" x14ac:dyDescent="0.2">
      <c r="B2148" s="10"/>
    </row>
    <row r="2149" spans="2:2" x14ac:dyDescent="0.2">
      <c r="B2149" s="10"/>
    </row>
    <row r="2150" spans="2:2" x14ac:dyDescent="0.2">
      <c r="B2150" s="10"/>
    </row>
    <row r="2151" spans="2:2" x14ac:dyDescent="0.2">
      <c r="B2151" s="10"/>
    </row>
    <row r="2152" spans="2:2" x14ac:dyDescent="0.2">
      <c r="B2152" s="10"/>
    </row>
    <row r="2153" spans="2:2" x14ac:dyDescent="0.2">
      <c r="B2153" s="10"/>
    </row>
    <row r="2154" spans="2:2" x14ac:dyDescent="0.2">
      <c r="B2154" s="10"/>
    </row>
    <row r="2155" spans="2:2" x14ac:dyDescent="0.2">
      <c r="B2155" s="10"/>
    </row>
    <row r="2156" spans="2:2" x14ac:dyDescent="0.2">
      <c r="B2156" s="10"/>
    </row>
    <row r="2157" spans="2:2" x14ac:dyDescent="0.2">
      <c r="B2157" s="10"/>
    </row>
    <row r="2158" spans="2:2" x14ac:dyDescent="0.2">
      <c r="B2158" s="10"/>
    </row>
    <row r="2159" spans="2:2" x14ac:dyDescent="0.2">
      <c r="B2159" s="10"/>
    </row>
    <row r="2160" spans="2:2" x14ac:dyDescent="0.2">
      <c r="B2160" s="10"/>
    </row>
    <row r="2161" spans="2:2" x14ac:dyDescent="0.2">
      <c r="B2161" s="10"/>
    </row>
    <row r="2162" spans="2:2" x14ac:dyDescent="0.2">
      <c r="B2162" s="10"/>
    </row>
    <row r="2163" spans="2:2" x14ac:dyDescent="0.2">
      <c r="B2163" s="10"/>
    </row>
    <row r="2164" spans="2:2" x14ac:dyDescent="0.2">
      <c r="B2164" s="10"/>
    </row>
    <row r="2165" spans="2:2" x14ac:dyDescent="0.2">
      <c r="B2165" s="10"/>
    </row>
    <row r="2166" spans="2:2" x14ac:dyDescent="0.2">
      <c r="B2166" s="10"/>
    </row>
    <row r="2167" spans="2:2" x14ac:dyDescent="0.2">
      <c r="B2167" s="10"/>
    </row>
    <row r="2168" spans="2:2" x14ac:dyDescent="0.2">
      <c r="B2168" s="10"/>
    </row>
    <row r="2169" spans="2:2" x14ac:dyDescent="0.2">
      <c r="B2169" s="10"/>
    </row>
    <row r="2170" spans="2:2" x14ac:dyDescent="0.2">
      <c r="B2170" s="10"/>
    </row>
    <row r="2171" spans="2:2" x14ac:dyDescent="0.2">
      <c r="B2171" s="10"/>
    </row>
    <row r="2172" spans="2:2" x14ac:dyDescent="0.2">
      <c r="B2172" s="10"/>
    </row>
    <row r="2173" spans="2:2" x14ac:dyDescent="0.2">
      <c r="B2173" s="10"/>
    </row>
    <row r="2174" spans="2:2" x14ac:dyDescent="0.2">
      <c r="B2174" s="10"/>
    </row>
    <row r="2175" spans="2:2" x14ac:dyDescent="0.2">
      <c r="B2175" s="10"/>
    </row>
    <row r="2176" spans="2:2" x14ac:dyDescent="0.2">
      <c r="B2176" s="10"/>
    </row>
    <row r="2177" spans="2:2" x14ac:dyDescent="0.2">
      <c r="B2177" s="10"/>
    </row>
    <row r="2178" spans="2:2" x14ac:dyDescent="0.2">
      <c r="B2178" s="10"/>
    </row>
    <row r="2179" spans="2:2" x14ac:dyDescent="0.2">
      <c r="B2179" s="10"/>
    </row>
    <row r="2180" spans="2:2" x14ac:dyDescent="0.2">
      <c r="B2180" s="10"/>
    </row>
    <row r="2181" spans="2:2" x14ac:dyDescent="0.2">
      <c r="B2181" s="10"/>
    </row>
    <row r="2182" spans="2:2" x14ac:dyDescent="0.2">
      <c r="B2182" s="10"/>
    </row>
    <row r="2183" spans="2:2" x14ac:dyDescent="0.2">
      <c r="B2183" s="10"/>
    </row>
    <row r="2184" spans="2:2" x14ac:dyDescent="0.2">
      <c r="B2184" s="10"/>
    </row>
    <row r="2185" spans="2:2" x14ac:dyDescent="0.2">
      <c r="B2185" s="10"/>
    </row>
    <row r="2186" spans="2:2" x14ac:dyDescent="0.2">
      <c r="B2186" s="10"/>
    </row>
    <row r="2187" spans="2:2" x14ac:dyDescent="0.2">
      <c r="B2187" s="10"/>
    </row>
    <row r="2188" spans="2:2" x14ac:dyDescent="0.2">
      <c r="B2188" s="10"/>
    </row>
    <row r="2189" spans="2:2" x14ac:dyDescent="0.2">
      <c r="B2189" s="10"/>
    </row>
    <row r="2190" spans="2:2" x14ac:dyDescent="0.2">
      <c r="B2190" s="10"/>
    </row>
    <row r="2191" spans="2:2" x14ac:dyDescent="0.2">
      <c r="B2191" s="10"/>
    </row>
    <row r="2192" spans="2:2" x14ac:dyDescent="0.2">
      <c r="B2192" s="10"/>
    </row>
    <row r="2193" spans="2:2" x14ac:dyDescent="0.2">
      <c r="B2193" s="10"/>
    </row>
    <row r="2194" spans="2:2" x14ac:dyDescent="0.2">
      <c r="B2194" s="10"/>
    </row>
    <row r="2195" spans="2:2" x14ac:dyDescent="0.2">
      <c r="B2195" s="10"/>
    </row>
    <row r="2196" spans="2:2" x14ac:dyDescent="0.2">
      <c r="B2196" s="10"/>
    </row>
    <row r="2197" spans="2:2" x14ac:dyDescent="0.2">
      <c r="B2197" s="10"/>
    </row>
    <row r="2198" spans="2:2" x14ac:dyDescent="0.2">
      <c r="B2198" s="10"/>
    </row>
    <row r="2199" spans="2:2" x14ac:dyDescent="0.2">
      <c r="B2199" s="10"/>
    </row>
    <row r="2200" spans="2:2" x14ac:dyDescent="0.2">
      <c r="B2200" s="10"/>
    </row>
    <row r="2201" spans="2:2" x14ac:dyDescent="0.2">
      <c r="B2201" s="10"/>
    </row>
    <row r="2202" spans="2:2" x14ac:dyDescent="0.2">
      <c r="B2202" s="10"/>
    </row>
    <row r="2203" spans="2:2" x14ac:dyDescent="0.2">
      <c r="B2203" s="10"/>
    </row>
    <row r="2204" spans="2:2" x14ac:dyDescent="0.2">
      <c r="B2204" s="10"/>
    </row>
    <row r="2205" spans="2:2" x14ac:dyDescent="0.2">
      <c r="B2205" s="10"/>
    </row>
    <row r="2206" spans="2:2" x14ac:dyDescent="0.2">
      <c r="B2206" s="10"/>
    </row>
    <row r="2207" spans="2:2" x14ac:dyDescent="0.2">
      <c r="B2207" s="10"/>
    </row>
    <row r="2208" spans="2:2" x14ac:dyDescent="0.2">
      <c r="B2208" s="10"/>
    </row>
    <row r="2209" spans="2:2" x14ac:dyDescent="0.2">
      <c r="B2209" s="10"/>
    </row>
    <row r="2210" spans="2:2" x14ac:dyDescent="0.2">
      <c r="B2210" s="10"/>
    </row>
    <row r="2211" spans="2:2" x14ac:dyDescent="0.2">
      <c r="B2211" s="10"/>
    </row>
    <row r="2212" spans="2:2" x14ac:dyDescent="0.2">
      <c r="B2212" s="10"/>
    </row>
    <row r="2213" spans="2:2" x14ac:dyDescent="0.2">
      <c r="B2213" s="10"/>
    </row>
    <row r="2214" spans="2:2" x14ac:dyDescent="0.2">
      <c r="B2214" s="10"/>
    </row>
    <row r="2215" spans="2:2" x14ac:dyDescent="0.2">
      <c r="B2215" s="10"/>
    </row>
    <row r="2216" spans="2:2" x14ac:dyDescent="0.2">
      <c r="B2216" s="10"/>
    </row>
    <row r="2217" spans="2:2" x14ac:dyDescent="0.2">
      <c r="B2217" s="10"/>
    </row>
    <row r="2218" spans="2:2" x14ac:dyDescent="0.2">
      <c r="B2218" s="10"/>
    </row>
    <row r="2219" spans="2:2" x14ac:dyDescent="0.2">
      <c r="B2219" s="10"/>
    </row>
    <row r="2220" spans="2:2" x14ac:dyDescent="0.2">
      <c r="B2220" s="10"/>
    </row>
    <row r="2221" spans="2:2" x14ac:dyDescent="0.2">
      <c r="B2221" s="10"/>
    </row>
    <row r="2222" spans="2:2" x14ac:dyDescent="0.2">
      <c r="B2222" s="10"/>
    </row>
    <row r="2223" spans="2:2" x14ac:dyDescent="0.2">
      <c r="B2223" s="10"/>
    </row>
    <row r="2224" spans="2:2" x14ac:dyDescent="0.2">
      <c r="B2224" s="10"/>
    </row>
    <row r="2225" spans="2:2" x14ac:dyDescent="0.2">
      <c r="B2225" s="10"/>
    </row>
    <row r="2226" spans="2:2" x14ac:dyDescent="0.2">
      <c r="B2226" s="10"/>
    </row>
    <row r="2227" spans="2:2" x14ac:dyDescent="0.2">
      <c r="B2227" s="10"/>
    </row>
    <row r="2228" spans="2:2" x14ac:dyDescent="0.2">
      <c r="B2228" s="10"/>
    </row>
    <row r="2229" spans="2:2" x14ac:dyDescent="0.2">
      <c r="B2229" s="10"/>
    </row>
    <row r="2230" spans="2:2" x14ac:dyDescent="0.2">
      <c r="B2230" s="10"/>
    </row>
    <row r="2231" spans="2:2" x14ac:dyDescent="0.2">
      <c r="B2231" s="10"/>
    </row>
    <row r="2232" spans="2:2" x14ac:dyDescent="0.2">
      <c r="B2232" s="10"/>
    </row>
    <row r="2233" spans="2:2" x14ac:dyDescent="0.2">
      <c r="B2233" s="10"/>
    </row>
    <row r="2234" spans="2:2" x14ac:dyDescent="0.2">
      <c r="B2234" s="10"/>
    </row>
    <row r="2235" spans="2:2" x14ac:dyDescent="0.2">
      <c r="B2235" s="10"/>
    </row>
    <row r="2236" spans="2:2" x14ac:dyDescent="0.2">
      <c r="B2236" s="10"/>
    </row>
    <row r="2237" spans="2:2" x14ac:dyDescent="0.2">
      <c r="B2237" s="10"/>
    </row>
    <row r="2238" spans="2:2" x14ac:dyDescent="0.2">
      <c r="B2238" s="10"/>
    </row>
    <row r="2239" spans="2:2" x14ac:dyDescent="0.2">
      <c r="B2239" s="10"/>
    </row>
    <row r="2240" spans="2:2" x14ac:dyDescent="0.2">
      <c r="B2240" s="10"/>
    </row>
    <row r="2241" spans="2:2" x14ac:dyDescent="0.2">
      <c r="B2241" s="10"/>
    </row>
    <row r="2242" spans="2:2" x14ac:dyDescent="0.2">
      <c r="B2242" s="10"/>
    </row>
    <row r="2243" spans="2:2" x14ac:dyDescent="0.2">
      <c r="B2243" s="10"/>
    </row>
    <row r="2244" spans="2:2" x14ac:dyDescent="0.2">
      <c r="B2244" s="10"/>
    </row>
    <row r="2245" spans="2:2" x14ac:dyDescent="0.2">
      <c r="B2245" s="10"/>
    </row>
    <row r="2246" spans="2:2" x14ac:dyDescent="0.2">
      <c r="B2246" s="10"/>
    </row>
    <row r="2247" spans="2:2" x14ac:dyDescent="0.2">
      <c r="B2247" s="10"/>
    </row>
    <row r="2248" spans="2:2" x14ac:dyDescent="0.2">
      <c r="B2248" s="10"/>
    </row>
    <row r="2249" spans="2:2" x14ac:dyDescent="0.2">
      <c r="B2249" s="10"/>
    </row>
    <row r="2250" spans="2:2" x14ac:dyDescent="0.2">
      <c r="B2250" s="10"/>
    </row>
    <row r="2251" spans="2:2" x14ac:dyDescent="0.2">
      <c r="B2251" s="10"/>
    </row>
    <row r="2252" spans="2:2" x14ac:dyDescent="0.2">
      <c r="B2252" s="10"/>
    </row>
    <row r="2253" spans="2:2" x14ac:dyDescent="0.2">
      <c r="B2253" s="10"/>
    </row>
    <row r="2254" spans="2:2" x14ac:dyDescent="0.2">
      <c r="B2254" s="10"/>
    </row>
    <row r="2255" spans="2:2" x14ac:dyDescent="0.2">
      <c r="B2255" s="10"/>
    </row>
    <row r="2256" spans="2:2" x14ac:dyDescent="0.2">
      <c r="B2256" s="10"/>
    </row>
    <row r="2257" spans="2:2" x14ac:dyDescent="0.2">
      <c r="B2257" s="10"/>
    </row>
    <row r="2258" spans="2:2" x14ac:dyDescent="0.2">
      <c r="B2258" s="10"/>
    </row>
    <row r="2259" spans="2:2" x14ac:dyDescent="0.2">
      <c r="B2259" s="10"/>
    </row>
    <row r="2260" spans="2:2" x14ac:dyDescent="0.2">
      <c r="B2260" s="10"/>
    </row>
    <row r="2261" spans="2:2" x14ac:dyDescent="0.2">
      <c r="B2261" s="10"/>
    </row>
    <row r="2262" spans="2:2" x14ac:dyDescent="0.2">
      <c r="B2262" s="10"/>
    </row>
    <row r="2263" spans="2:2" x14ac:dyDescent="0.2">
      <c r="B2263" s="10"/>
    </row>
    <row r="2264" spans="2:2" x14ac:dyDescent="0.2">
      <c r="B2264" s="10"/>
    </row>
    <row r="2265" spans="2:2" x14ac:dyDescent="0.2">
      <c r="B2265" s="10"/>
    </row>
    <row r="2266" spans="2:2" x14ac:dyDescent="0.2">
      <c r="B2266" s="10"/>
    </row>
    <row r="2267" spans="2:2" x14ac:dyDescent="0.2">
      <c r="B2267" s="10"/>
    </row>
    <row r="2268" spans="2:2" x14ac:dyDescent="0.2">
      <c r="B2268" s="10"/>
    </row>
    <row r="2269" spans="2:2" x14ac:dyDescent="0.2">
      <c r="B2269" s="10"/>
    </row>
    <row r="2270" spans="2:2" x14ac:dyDescent="0.2">
      <c r="B2270" s="10"/>
    </row>
    <row r="2271" spans="2:2" x14ac:dyDescent="0.2">
      <c r="B2271" s="10"/>
    </row>
    <row r="2272" spans="2:2" x14ac:dyDescent="0.2">
      <c r="B2272" s="10"/>
    </row>
    <row r="2273" spans="2:2" x14ac:dyDescent="0.2">
      <c r="B2273" s="10"/>
    </row>
    <row r="2274" spans="2:2" x14ac:dyDescent="0.2">
      <c r="B2274" s="10"/>
    </row>
    <row r="2275" spans="2:2" x14ac:dyDescent="0.2">
      <c r="B2275" s="10"/>
    </row>
    <row r="2276" spans="2:2" x14ac:dyDescent="0.2">
      <c r="B2276" s="10"/>
    </row>
    <row r="2277" spans="2:2" x14ac:dyDescent="0.2">
      <c r="B2277" s="10"/>
    </row>
    <row r="2278" spans="2:2" x14ac:dyDescent="0.2">
      <c r="B2278" s="10"/>
    </row>
    <row r="2279" spans="2:2" x14ac:dyDescent="0.2">
      <c r="B2279" s="10"/>
    </row>
    <row r="2280" spans="2:2" x14ac:dyDescent="0.2">
      <c r="B2280" s="10"/>
    </row>
    <row r="2281" spans="2:2" x14ac:dyDescent="0.2">
      <c r="B2281" s="10"/>
    </row>
    <row r="2282" spans="2:2" x14ac:dyDescent="0.2">
      <c r="B2282" s="10"/>
    </row>
    <row r="2283" spans="2:2" x14ac:dyDescent="0.2">
      <c r="B2283" s="10"/>
    </row>
    <row r="2284" spans="2:2" x14ac:dyDescent="0.2">
      <c r="B2284" s="10"/>
    </row>
    <row r="2285" spans="2:2" x14ac:dyDescent="0.2">
      <c r="B2285" s="10"/>
    </row>
    <row r="2286" spans="2:2" x14ac:dyDescent="0.2">
      <c r="B2286" s="10"/>
    </row>
    <row r="2287" spans="2:2" x14ac:dyDescent="0.2">
      <c r="B2287" s="10"/>
    </row>
    <row r="2288" spans="2:2" x14ac:dyDescent="0.2">
      <c r="B2288" s="10"/>
    </row>
    <row r="2289" spans="2:2" x14ac:dyDescent="0.2">
      <c r="B2289" s="10"/>
    </row>
    <row r="2290" spans="2:2" x14ac:dyDescent="0.2">
      <c r="B2290" s="10"/>
    </row>
    <row r="2291" spans="2:2" x14ac:dyDescent="0.2">
      <c r="B2291" s="10"/>
    </row>
    <row r="2292" spans="2:2" x14ac:dyDescent="0.2">
      <c r="B2292" s="10"/>
    </row>
    <row r="2293" spans="2:2" x14ac:dyDescent="0.2">
      <c r="B2293" s="10"/>
    </row>
    <row r="2294" spans="2:2" x14ac:dyDescent="0.2">
      <c r="B2294" s="10"/>
    </row>
    <row r="2295" spans="2:2" x14ac:dyDescent="0.2">
      <c r="B2295" s="10"/>
    </row>
    <row r="2296" spans="2:2" x14ac:dyDescent="0.2">
      <c r="B2296" s="10"/>
    </row>
    <row r="2297" spans="2:2" x14ac:dyDescent="0.2">
      <c r="B2297" s="10"/>
    </row>
    <row r="2298" spans="2:2" x14ac:dyDescent="0.2">
      <c r="B2298" s="10"/>
    </row>
    <row r="2299" spans="2:2" x14ac:dyDescent="0.2">
      <c r="B2299" s="10"/>
    </row>
    <row r="2300" spans="2:2" x14ac:dyDescent="0.2">
      <c r="B2300" s="10"/>
    </row>
    <row r="2301" spans="2:2" x14ac:dyDescent="0.2">
      <c r="B2301" s="10"/>
    </row>
    <row r="2302" spans="2:2" x14ac:dyDescent="0.2">
      <c r="B2302" s="10"/>
    </row>
    <row r="2303" spans="2:2" x14ac:dyDescent="0.2">
      <c r="B2303" s="10"/>
    </row>
    <row r="2304" spans="2:2" x14ac:dyDescent="0.2">
      <c r="B2304" s="10"/>
    </row>
    <row r="2305" spans="2:2" x14ac:dyDescent="0.2">
      <c r="B2305" s="10"/>
    </row>
    <row r="2306" spans="2:2" x14ac:dyDescent="0.2">
      <c r="B2306" s="10"/>
    </row>
    <row r="2307" spans="2:2" x14ac:dyDescent="0.2">
      <c r="B2307" s="10"/>
    </row>
    <row r="2308" spans="2:2" x14ac:dyDescent="0.2">
      <c r="B2308" s="10"/>
    </row>
    <row r="2309" spans="2:2" x14ac:dyDescent="0.2">
      <c r="B2309" s="10"/>
    </row>
    <row r="2310" spans="2:2" x14ac:dyDescent="0.2">
      <c r="B2310" s="10"/>
    </row>
    <row r="2311" spans="2:2" x14ac:dyDescent="0.2">
      <c r="B2311" s="10"/>
    </row>
    <row r="2312" spans="2:2" x14ac:dyDescent="0.2">
      <c r="B2312" s="10"/>
    </row>
    <row r="2313" spans="2:2" x14ac:dyDescent="0.2">
      <c r="B2313" s="10"/>
    </row>
    <row r="2314" spans="2:2" x14ac:dyDescent="0.2">
      <c r="B2314" s="10"/>
    </row>
    <row r="2315" spans="2:2" x14ac:dyDescent="0.2">
      <c r="B2315" s="10"/>
    </row>
    <row r="2316" spans="2:2" x14ac:dyDescent="0.2">
      <c r="B2316" s="10"/>
    </row>
    <row r="2317" spans="2:2" x14ac:dyDescent="0.2">
      <c r="B2317" s="10"/>
    </row>
    <row r="2318" spans="2:2" x14ac:dyDescent="0.2">
      <c r="B2318" s="10"/>
    </row>
    <row r="2319" spans="2:2" x14ac:dyDescent="0.2">
      <c r="B2319" s="10"/>
    </row>
    <row r="2320" spans="2:2" x14ac:dyDescent="0.2">
      <c r="B2320" s="10"/>
    </row>
    <row r="2321" spans="2:2" x14ac:dyDescent="0.2">
      <c r="B2321" s="10"/>
    </row>
    <row r="2322" spans="2:2" x14ac:dyDescent="0.2">
      <c r="B2322" s="10"/>
    </row>
    <row r="2323" spans="2:2" x14ac:dyDescent="0.2">
      <c r="B2323" s="10"/>
    </row>
    <row r="2324" spans="2:2" x14ac:dyDescent="0.2">
      <c r="B2324" s="10"/>
    </row>
    <row r="2325" spans="2:2" x14ac:dyDescent="0.2">
      <c r="B2325" s="10"/>
    </row>
    <row r="2326" spans="2:2" x14ac:dyDescent="0.2">
      <c r="B2326" s="10"/>
    </row>
    <row r="2327" spans="2:2" x14ac:dyDescent="0.2">
      <c r="B2327" s="10"/>
    </row>
    <row r="2328" spans="2:2" x14ac:dyDescent="0.2">
      <c r="B2328" s="10"/>
    </row>
    <row r="2329" spans="2:2" x14ac:dyDescent="0.2">
      <c r="B2329" s="10"/>
    </row>
    <row r="2330" spans="2:2" x14ac:dyDescent="0.2">
      <c r="B2330" s="10"/>
    </row>
    <row r="2331" spans="2:2" x14ac:dyDescent="0.2">
      <c r="B2331" s="10"/>
    </row>
    <row r="2332" spans="2:2" x14ac:dyDescent="0.2">
      <c r="B2332" s="10"/>
    </row>
    <row r="2333" spans="2:2" x14ac:dyDescent="0.2">
      <c r="B2333" s="10"/>
    </row>
    <row r="2334" spans="2:2" x14ac:dyDescent="0.2">
      <c r="B2334" s="10"/>
    </row>
    <row r="2335" spans="2:2" x14ac:dyDescent="0.2">
      <c r="B2335" s="10"/>
    </row>
    <row r="2336" spans="2:2" x14ac:dyDescent="0.2">
      <c r="B2336" s="10"/>
    </row>
    <row r="2337" spans="2:2" x14ac:dyDescent="0.2">
      <c r="B2337" s="10"/>
    </row>
    <row r="2338" spans="2:2" x14ac:dyDescent="0.2">
      <c r="B2338" s="10"/>
    </row>
    <row r="2339" spans="2:2" x14ac:dyDescent="0.2">
      <c r="B2339" s="10"/>
    </row>
    <row r="2340" spans="2:2" x14ac:dyDescent="0.2">
      <c r="B2340" s="10"/>
    </row>
    <row r="2341" spans="2:2" x14ac:dyDescent="0.2">
      <c r="B2341" s="10"/>
    </row>
    <row r="2342" spans="2:2" x14ac:dyDescent="0.2">
      <c r="B2342" s="10"/>
    </row>
    <row r="2343" spans="2:2" x14ac:dyDescent="0.2">
      <c r="B2343" s="10"/>
    </row>
    <row r="2344" spans="2:2" x14ac:dyDescent="0.2">
      <c r="B2344" s="10"/>
    </row>
    <row r="2345" spans="2:2" x14ac:dyDescent="0.2">
      <c r="B2345" s="10"/>
    </row>
    <row r="2346" spans="2:2" x14ac:dyDescent="0.2">
      <c r="B2346" s="10"/>
    </row>
    <row r="2347" spans="2:2" x14ac:dyDescent="0.2">
      <c r="B2347" s="10"/>
    </row>
    <row r="2348" spans="2:2" x14ac:dyDescent="0.2">
      <c r="B2348" s="10"/>
    </row>
    <row r="2349" spans="2:2" x14ac:dyDescent="0.2">
      <c r="B2349" s="10"/>
    </row>
    <row r="2350" spans="2:2" x14ac:dyDescent="0.2">
      <c r="B2350" s="10"/>
    </row>
    <row r="2351" spans="2:2" x14ac:dyDescent="0.2">
      <c r="B2351" s="10"/>
    </row>
    <row r="2352" spans="2:2" x14ac:dyDescent="0.2">
      <c r="B2352" s="10"/>
    </row>
    <row r="2353" spans="2:2" x14ac:dyDescent="0.2">
      <c r="B2353" s="10"/>
    </row>
    <row r="2354" spans="2:2" x14ac:dyDescent="0.2">
      <c r="B2354" s="10"/>
    </row>
    <row r="2355" spans="2:2" x14ac:dyDescent="0.2">
      <c r="B2355" s="10"/>
    </row>
    <row r="2356" spans="2:2" x14ac:dyDescent="0.2">
      <c r="B2356" s="10"/>
    </row>
    <row r="2357" spans="2:2" x14ac:dyDescent="0.2">
      <c r="B2357" s="10"/>
    </row>
    <row r="2358" spans="2:2" x14ac:dyDescent="0.2">
      <c r="B2358" s="10"/>
    </row>
    <row r="2359" spans="2:2" x14ac:dyDescent="0.2">
      <c r="B2359" s="10"/>
    </row>
    <row r="2360" spans="2:2" x14ac:dyDescent="0.2">
      <c r="B2360" s="10"/>
    </row>
    <row r="2361" spans="2:2" x14ac:dyDescent="0.2">
      <c r="B2361" s="10"/>
    </row>
    <row r="2362" spans="2:2" x14ac:dyDescent="0.2">
      <c r="B2362" s="10"/>
    </row>
    <row r="2363" spans="2:2" x14ac:dyDescent="0.2">
      <c r="B2363" s="10"/>
    </row>
    <row r="2364" spans="2:2" x14ac:dyDescent="0.2">
      <c r="B2364" s="10"/>
    </row>
    <row r="2365" spans="2:2" x14ac:dyDescent="0.2">
      <c r="B2365" s="10"/>
    </row>
    <row r="2366" spans="2:2" x14ac:dyDescent="0.2">
      <c r="B2366" s="10"/>
    </row>
    <row r="2367" spans="2:2" x14ac:dyDescent="0.2">
      <c r="B2367" s="10"/>
    </row>
    <row r="2368" spans="2:2" x14ac:dyDescent="0.2">
      <c r="B2368" s="10"/>
    </row>
    <row r="2369" spans="2:2" x14ac:dyDescent="0.2">
      <c r="B2369" s="10"/>
    </row>
    <row r="2370" spans="2:2" x14ac:dyDescent="0.2">
      <c r="B2370" s="10"/>
    </row>
    <row r="2371" spans="2:2" x14ac:dyDescent="0.2">
      <c r="B2371" s="10"/>
    </row>
    <row r="2372" spans="2:2" x14ac:dyDescent="0.2">
      <c r="B2372" s="10"/>
    </row>
    <row r="2373" spans="2:2" x14ac:dyDescent="0.2">
      <c r="B2373" s="10"/>
    </row>
    <row r="2374" spans="2:2" x14ac:dyDescent="0.2">
      <c r="B2374" s="10"/>
    </row>
    <row r="2375" spans="2:2" x14ac:dyDescent="0.2">
      <c r="B2375" s="10"/>
    </row>
    <row r="2376" spans="2:2" x14ac:dyDescent="0.2">
      <c r="B2376" s="10"/>
    </row>
    <row r="2377" spans="2:2" x14ac:dyDescent="0.2">
      <c r="B2377" s="10"/>
    </row>
    <row r="2378" spans="2:2" x14ac:dyDescent="0.2">
      <c r="B2378" s="10"/>
    </row>
    <row r="2379" spans="2:2" x14ac:dyDescent="0.2">
      <c r="B2379" s="10"/>
    </row>
    <row r="2380" spans="2:2" x14ac:dyDescent="0.2">
      <c r="B2380" s="10"/>
    </row>
    <row r="2381" spans="2:2" x14ac:dyDescent="0.2">
      <c r="B2381" s="10"/>
    </row>
    <row r="2382" spans="2:2" x14ac:dyDescent="0.2">
      <c r="B2382" s="10"/>
    </row>
    <row r="2383" spans="2:2" x14ac:dyDescent="0.2">
      <c r="B2383" s="10"/>
    </row>
    <row r="2384" spans="2:2" x14ac:dyDescent="0.2">
      <c r="B2384" s="10"/>
    </row>
    <row r="2385" spans="2:2" x14ac:dyDescent="0.2">
      <c r="B2385" s="10"/>
    </row>
    <row r="2386" spans="2:2" x14ac:dyDescent="0.2">
      <c r="B2386" s="10"/>
    </row>
    <row r="2387" spans="2:2" x14ac:dyDescent="0.2">
      <c r="B2387" s="10"/>
    </row>
    <row r="2388" spans="2:2" x14ac:dyDescent="0.2">
      <c r="B2388" s="10"/>
    </row>
    <row r="2389" spans="2:2" x14ac:dyDescent="0.2">
      <c r="B2389" s="10"/>
    </row>
    <row r="2390" spans="2:2" x14ac:dyDescent="0.2">
      <c r="B2390" s="10"/>
    </row>
    <row r="2391" spans="2:2" x14ac:dyDescent="0.2">
      <c r="B2391" s="10"/>
    </row>
    <row r="2392" spans="2:2" x14ac:dyDescent="0.2">
      <c r="B2392" s="10"/>
    </row>
    <row r="2393" spans="2:2" x14ac:dyDescent="0.2">
      <c r="B2393" s="10"/>
    </row>
    <row r="2394" spans="2:2" x14ac:dyDescent="0.2">
      <c r="B2394" s="10"/>
    </row>
    <row r="2395" spans="2:2" x14ac:dyDescent="0.2">
      <c r="B2395" s="10"/>
    </row>
    <row r="2396" spans="2:2" x14ac:dyDescent="0.2">
      <c r="B2396" s="10"/>
    </row>
    <row r="2397" spans="2:2" x14ac:dyDescent="0.2">
      <c r="B2397" s="10"/>
    </row>
    <row r="2398" spans="2:2" x14ac:dyDescent="0.2">
      <c r="B2398" s="10"/>
    </row>
    <row r="2399" spans="2:2" x14ac:dyDescent="0.2">
      <c r="B2399" s="10"/>
    </row>
    <row r="2400" spans="2:2" x14ac:dyDescent="0.2">
      <c r="B2400" s="10"/>
    </row>
    <row r="2401" spans="2:2" x14ac:dyDescent="0.2">
      <c r="B2401" s="10"/>
    </row>
    <row r="2402" spans="2:2" x14ac:dyDescent="0.2">
      <c r="B2402" s="10"/>
    </row>
    <row r="2403" spans="2:2" x14ac:dyDescent="0.2">
      <c r="B2403" s="10"/>
    </row>
    <row r="2404" spans="2:2" x14ac:dyDescent="0.2">
      <c r="B2404" s="10"/>
    </row>
    <row r="2405" spans="2:2" x14ac:dyDescent="0.2">
      <c r="B2405" s="10"/>
    </row>
    <row r="2406" spans="2:2" x14ac:dyDescent="0.2">
      <c r="B2406" s="10"/>
    </row>
    <row r="2407" spans="2:2" x14ac:dyDescent="0.2">
      <c r="B2407" s="10"/>
    </row>
    <row r="2408" spans="2:2" x14ac:dyDescent="0.2">
      <c r="B2408" s="10"/>
    </row>
    <row r="2409" spans="2:2" x14ac:dyDescent="0.2">
      <c r="B2409" s="10"/>
    </row>
    <row r="2410" spans="2:2" x14ac:dyDescent="0.2">
      <c r="B2410" s="10"/>
    </row>
    <row r="2411" spans="2:2" x14ac:dyDescent="0.2">
      <c r="B2411" s="10"/>
    </row>
    <row r="2412" spans="2:2" x14ac:dyDescent="0.2">
      <c r="B2412" s="10"/>
    </row>
    <row r="2413" spans="2:2" x14ac:dyDescent="0.2">
      <c r="B2413" s="10"/>
    </row>
    <row r="2414" spans="2:2" x14ac:dyDescent="0.2">
      <c r="B2414" s="10"/>
    </row>
    <row r="2415" spans="2:2" x14ac:dyDescent="0.2">
      <c r="B2415" s="10"/>
    </row>
    <row r="2416" spans="2:2" x14ac:dyDescent="0.2">
      <c r="B2416" s="10"/>
    </row>
    <row r="2417" spans="2:2" x14ac:dyDescent="0.2">
      <c r="B2417" s="10"/>
    </row>
    <row r="2418" spans="2:2" x14ac:dyDescent="0.2">
      <c r="B2418" s="10"/>
    </row>
    <row r="2419" spans="2:2" x14ac:dyDescent="0.2">
      <c r="B2419" s="10"/>
    </row>
    <row r="2420" spans="2:2" x14ac:dyDescent="0.2">
      <c r="B2420" s="10"/>
    </row>
    <row r="2421" spans="2:2" x14ac:dyDescent="0.2">
      <c r="B2421" s="10"/>
    </row>
    <row r="2422" spans="2:2" x14ac:dyDescent="0.2">
      <c r="B2422" s="10"/>
    </row>
    <row r="2423" spans="2:2" x14ac:dyDescent="0.2">
      <c r="B2423" s="10"/>
    </row>
    <row r="2424" spans="2:2" x14ac:dyDescent="0.2">
      <c r="B2424" s="10"/>
    </row>
    <row r="2425" spans="2:2" x14ac:dyDescent="0.2">
      <c r="B2425" s="10"/>
    </row>
    <row r="2426" spans="2:2" x14ac:dyDescent="0.2">
      <c r="B2426" s="10"/>
    </row>
    <row r="2427" spans="2:2" x14ac:dyDescent="0.2">
      <c r="B2427" s="10"/>
    </row>
    <row r="2428" spans="2:2" x14ac:dyDescent="0.2">
      <c r="B2428" s="10"/>
    </row>
    <row r="2429" spans="2:2" x14ac:dyDescent="0.2">
      <c r="B2429" s="10"/>
    </row>
    <row r="2430" spans="2:2" x14ac:dyDescent="0.2">
      <c r="B2430" s="10"/>
    </row>
    <row r="2431" spans="2:2" x14ac:dyDescent="0.2">
      <c r="B2431" s="10"/>
    </row>
    <row r="2432" spans="2:2" x14ac:dyDescent="0.2">
      <c r="B2432" s="10"/>
    </row>
    <row r="2433" spans="2:2" x14ac:dyDescent="0.2">
      <c r="B2433" s="10"/>
    </row>
    <row r="2434" spans="2:2" x14ac:dyDescent="0.2">
      <c r="B2434" s="10"/>
    </row>
    <row r="2435" spans="2:2" x14ac:dyDescent="0.2">
      <c r="B2435" s="10"/>
    </row>
    <row r="2436" spans="2:2" x14ac:dyDescent="0.2">
      <c r="B2436" s="10"/>
    </row>
    <row r="2437" spans="2:2" x14ac:dyDescent="0.2">
      <c r="B2437" s="10"/>
    </row>
    <row r="2438" spans="2:2" x14ac:dyDescent="0.2">
      <c r="B2438" s="10"/>
    </row>
    <row r="2439" spans="2:2" x14ac:dyDescent="0.2">
      <c r="B2439" s="10"/>
    </row>
    <row r="2440" spans="2:2" x14ac:dyDescent="0.2">
      <c r="B2440" s="10"/>
    </row>
    <row r="2441" spans="2:2" x14ac:dyDescent="0.2">
      <c r="B2441" s="10"/>
    </row>
    <row r="2442" spans="2:2" x14ac:dyDescent="0.2">
      <c r="B2442" s="10"/>
    </row>
    <row r="2443" spans="2:2" x14ac:dyDescent="0.2">
      <c r="B2443" s="10"/>
    </row>
    <row r="2444" spans="2:2" x14ac:dyDescent="0.2">
      <c r="B2444" s="10"/>
    </row>
    <row r="2445" spans="2:2" x14ac:dyDescent="0.2">
      <c r="B2445" s="10"/>
    </row>
    <row r="2446" spans="2:2" x14ac:dyDescent="0.2">
      <c r="B2446" s="10"/>
    </row>
    <row r="2447" spans="2:2" x14ac:dyDescent="0.2">
      <c r="B2447" s="10"/>
    </row>
    <row r="2448" spans="2:2" x14ac:dyDescent="0.2">
      <c r="B2448" s="10"/>
    </row>
    <row r="2449" spans="2:2" x14ac:dyDescent="0.2">
      <c r="B2449" s="10"/>
    </row>
    <row r="2450" spans="2:2" x14ac:dyDescent="0.2">
      <c r="B2450" s="10"/>
    </row>
    <row r="2451" spans="2:2" x14ac:dyDescent="0.2">
      <c r="B2451" s="10"/>
    </row>
    <row r="2452" spans="2:2" x14ac:dyDescent="0.2">
      <c r="B2452" s="10"/>
    </row>
    <row r="2453" spans="2:2" x14ac:dyDescent="0.2">
      <c r="B2453" s="10"/>
    </row>
    <row r="2454" spans="2:2" x14ac:dyDescent="0.2">
      <c r="B2454" s="10"/>
    </row>
    <row r="2455" spans="2:2" x14ac:dyDescent="0.2">
      <c r="B2455" s="10"/>
    </row>
    <row r="2456" spans="2:2" x14ac:dyDescent="0.2">
      <c r="B2456" s="10"/>
    </row>
    <row r="2457" spans="2:2" x14ac:dyDescent="0.2">
      <c r="B2457" s="10"/>
    </row>
    <row r="2458" spans="2:2" x14ac:dyDescent="0.2">
      <c r="B2458" s="10"/>
    </row>
    <row r="2459" spans="2:2" x14ac:dyDescent="0.2">
      <c r="B2459" s="10"/>
    </row>
    <row r="2460" spans="2:2" x14ac:dyDescent="0.2">
      <c r="B2460" s="10"/>
    </row>
    <row r="2461" spans="2:2" x14ac:dyDescent="0.2">
      <c r="B2461" s="10"/>
    </row>
    <row r="2462" spans="2:2" x14ac:dyDescent="0.2">
      <c r="B2462" s="10"/>
    </row>
    <row r="2463" spans="2:2" x14ac:dyDescent="0.2">
      <c r="B2463" s="10"/>
    </row>
    <row r="2464" spans="2:2" x14ac:dyDescent="0.2">
      <c r="B2464" s="10"/>
    </row>
    <row r="2465" spans="2:2" x14ac:dyDescent="0.2">
      <c r="B2465" s="10"/>
    </row>
    <row r="2466" spans="2:2" x14ac:dyDescent="0.2">
      <c r="B2466" s="10"/>
    </row>
    <row r="2467" spans="2:2" x14ac:dyDescent="0.2">
      <c r="B2467" s="10"/>
    </row>
    <row r="2468" spans="2:2" x14ac:dyDescent="0.2">
      <c r="B2468" s="10"/>
    </row>
    <row r="2469" spans="2:2" x14ac:dyDescent="0.2">
      <c r="B2469" s="10"/>
    </row>
    <row r="2470" spans="2:2" x14ac:dyDescent="0.2">
      <c r="B2470" s="10"/>
    </row>
    <row r="2471" spans="2:2" x14ac:dyDescent="0.2">
      <c r="B2471" s="10"/>
    </row>
    <row r="2472" spans="2:2" x14ac:dyDescent="0.2">
      <c r="B2472" s="10"/>
    </row>
    <row r="2473" spans="2:2" x14ac:dyDescent="0.2">
      <c r="B2473" s="10"/>
    </row>
    <row r="2474" spans="2:2" x14ac:dyDescent="0.2">
      <c r="B2474" s="10"/>
    </row>
    <row r="2475" spans="2:2" x14ac:dyDescent="0.2">
      <c r="B2475" s="10"/>
    </row>
    <row r="2476" spans="2:2" x14ac:dyDescent="0.2">
      <c r="B2476" s="10"/>
    </row>
    <row r="2477" spans="2:2" x14ac:dyDescent="0.2">
      <c r="B2477" s="10"/>
    </row>
    <row r="2478" spans="2:2" x14ac:dyDescent="0.2">
      <c r="B2478" s="10"/>
    </row>
    <row r="2479" spans="2:2" x14ac:dyDescent="0.2">
      <c r="B2479" s="10"/>
    </row>
    <row r="2480" spans="2:2" x14ac:dyDescent="0.2">
      <c r="B2480" s="10"/>
    </row>
    <row r="2481" spans="2:2" x14ac:dyDescent="0.2">
      <c r="B2481" s="10"/>
    </row>
    <row r="2482" spans="2:2" x14ac:dyDescent="0.2">
      <c r="B2482" s="10"/>
    </row>
    <row r="2483" spans="2:2" x14ac:dyDescent="0.2">
      <c r="B2483" s="10"/>
    </row>
    <row r="2484" spans="2:2" x14ac:dyDescent="0.2">
      <c r="B2484" s="10"/>
    </row>
    <row r="2485" spans="2:2" x14ac:dyDescent="0.2">
      <c r="B2485" s="10"/>
    </row>
    <row r="2486" spans="2:2" x14ac:dyDescent="0.2">
      <c r="B2486" s="10"/>
    </row>
    <row r="2487" spans="2:2" x14ac:dyDescent="0.2">
      <c r="B2487" s="10"/>
    </row>
    <row r="2488" spans="2:2" x14ac:dyDescent="0.2">
      <c r="B2488" s="10"/>
    </row>
    <row r="2489" spans="2:2" x14ac:dyDescent="0.2">
      <c r="B2489" s="10"/>
    </row>
    <row r="2490" spans="2:2" x14ac:dyDescent="0.2">
      <c r="B2490" s="10"/>
    </row>
    <row r="2491" spans="2:2" x14ac:dyDescent="0.2">
      <c r="B2491" s="10"/>
    </row>
    <row r="2492" spans="2:2" x14ac:dyDescent="0.2">
      <c r="B2492" s="10"/>
    </row>
    <row r="2493" spans="2:2" x14ac:dyDescent="0.2">
      <c r="B2493" s="10"/>
    </row>
    <row r="2494" spans="2:2" x14ac:dyDescent="0.2">
      <c r="B2494" s="10"/>
    </row>
    <row r="2495" spans="2:2" x14ac:dyDescent="0.2">
      <c r="B2495" s="10"/>
    </row>
    <row r="2496" spans="2:2" x14ac:dyDescent="0.2">
      <c r="B2496" s="10"/>
    </row>
    <row r="2497" spans="2:2" x14ac:dyDescent="0.2">
      <c r="B2497" s="10"/>
    </row>
    <row r="2498" spans="2:2" x14ac:dyDescent="0.2">
      <c r="B2498" s="10"/>
    </row>
    <row r="2499" spans="2:2" x14ac:dyDescent="0.2">
      <c r="B2499" s="10"/>
    </row>
    <row r="2500" spans="2:2" x14ac:dyDescent="0.2">
      <c r="B2500" s="10"/>
    </row>
    <row r="2501" spans="2:2" x14ac:dyDescent="0.2">
      <c r="B2501" s="10"/>
    </row>
    <row r="2502" spans="2:2" x14ac:dyDescent="0.2">
      <c r="B2502" s="10"/>
    </row>
    <row r="2503" spans="2:2" x14ac:dyDescent="0.2">
      <c r="B2503" s="10"/>
    </row>
    <row r="2504" spans="2:2" x14ac:dyDescent="0.2">
      <c r="B2504" s="10"/>
    </row>
    <row r="2505" spans="2:2" x14ac:dyDescent="0.2">
      <c r="B2505" s="10"/>
    </row>
    <row r="2506" spans="2:2" x14ac:dyDescent="0.2">
      <c r="B2506" s="10"/>
    </row>
    <row r="2507" spans="2:2" x14ac:dyDescent="0.2">
      <c r="B2507" s="10"/>
    </row>
    <row r="2508" spans="2:2" x14ac:dyDescent="0.2">
      <c r="B2508" s="10"/>
    </row>
    <row r="2509" spans="2:2" x14ac:dyDescent="0.2">
      <c r="B2509" s="10"/>
    </row>
    <row r="2510" spans="2:2" x14ac:dyDescent="0.2">
      <c r="B2510" s="10"/>
    </row>
    <row r="2511" spans="2:2" x14ac:dyDescent="0.2">
      <c r="B2511" s="10"/>
    </row>
    <row r="2512" spans="2:2" x14ac:dyDescent="0.2">
      <c r="B2512" s="10"/>
    </row>
    <row r="2513" spans="2:2" x14ac:dyDescent="0.2">
      <c r="B2513" s="10"/>
    </row>
    <row r="2514" spans="2:2" x14ac:dyDescent="0.2">
      <c r="B2514" s="10"/>
    </row>
    <row r="2515" spans="2:2" x14ac:dyDescent="0.2">
      <c r="B2515" s="10"/>
    </row>
    <row r="2516" spans="2:2" x14ac:dyDescent="0.2">
      <c r="B2516" s="10"/>
    </row>
    <row r="2517" spans="2:2" x14ac:dyDescent="0.2">
      <c r="B2517" s="10"/>
    </row>
    <row r="2518" spans="2:2" x14ac:dyDescent="0.2">
      <c r="B2518" s="10"/>
    </row>
    <row r="2519" spans="2:2" x14ac:dyDescent="0.2">
      <c r="B2519" s="10"/>
    </row>
    <row r="2520" spans="2:2" x14ac:dyDescent="0.2">
      <c r="B2520" s="10"/>
    </row>
    <row r="2521" spans="2:2" x14ac:dyDescent="0.2">
      <c r="B2521" s="10"/>
    </row>
    <row r="2522" spans="2:2" x14ac:dyDescent="0.2">
      <c r="B2522" s="10"/>
    </row>
    <row r="2523" spans="2:2" x14ac:dyDescent="0.2">
      <c r="B2523" s="10"/>
    </row>
    <row r="2524" spans="2:2" x14ac:dyDescent="0.2">
      <c r="B2524" s="10"/>
    </row>
    <row r="2525" spans="2:2" x14ac:dyDescent="0.2">
      <c r="B2525" s="10"/>
    </row>
    <row r="2526" spans="2:2" x14ac:dyDescent="0.2">
      <c r="B2526" s="10"/>
    </row>
    <row r="2527" spans="2:2" x14ac:dyDescent="0.2">
      <c r="B2527" s="10"/>
    </row>
    <row r="2528" spans="2:2" x14ac:dyDescent="0.2">
      <c r="B2528" s="10"/>
    </row>
    <row r="2529" spans="2:2" x14ac:dyDescent="0.2">
      <c r="B2529" s="10"/>
    </row>
    <row r="2530" spans="2:2" x14ac:dyDescent="0.2">
      <c r="B2530" s="10"/>
    </row>
    <row r="2531" spans="2:2" x14ac:dyDescent="0.2">
      <c r="B2531" s="10"/>
    </row>
    <row r="2532" spans="2:2" x14ac:dyDescent="0.2">
      <c r="B2532" s="10"/>
    </row>
    <row r="2533" spans="2:2" x14ac:dyDescent="0.2">
      <c r="B2533" s="10"/>
    </row>
    <row r="2534" spans="2:2" x14ac:dyDescent="0.2">
      <c r="B2534" s="10"/>
    </row>
    <row r="2535" spans="2:2" x14ac:dyDescent="0.2">
      <c r="B2535" s="10"/>
    </row>
    <row r="2536" spans="2:2" x14ac:dyDescent="0.2">
      <c r="B2536" s="10"/>
    </row>
    <row r="2537" spans="2:2" x14ac:dyDescent="0.2">
      <c r="B2537" s="10"/>
    </row>
    <row r="2538" spans="2:2" x14ac:dyDescent="0.2">
      <c r="B2538" s="10"/>
    </row>
    <row r="2539" spans="2:2" x14ac:dyDescent="0.2">
      <c r="B2539" s="10"/>
    </row>
    <row r="2540" spans="2:2" x14ac:dyDescent="0.2">
      <c r="B2540" s="10"/>
    </row>
    <row r="2541" spans="2:2" x14ac:dyDescent="0.2">
      <c r="B2541" s="10"/>
    </row>
    <row r="2542" spans="2:2" x14ac:dyDescent="0.2">
      <c r="B2542" s="10"/>
    </row>
    <row r="2543" spans="2:2" x14ac:dyDescent="0.2">
      <c r="B2543" s="10"/>
    </row>
    <row r="2544" spans="2:2" x14ac:dyDescent="0.2">
      <c r="B2544" s="10"/>
    </row>
    <row r="2545" spans="2:2" x14ac:dyDescent="0.2">
      <c r="B2545" s="10"/>
    </row>
    <row r="2546" spans="2:2" x14ac:dyDescent="0.2">
      <c r="B2546" s="10"/>
    </row>
    <row r="2547" spans="2:2" x14ac:dyDescent="0.2">
      <c r="B2547" s="10"/>
    </row>
    <row r="2548" spans="2:2" x14ac:dyDescent="0.2">
      <c r="B2548" s="10"/>
    </row>
    <row r="2549" spans="2:2" x14ac:dyDescent="0.2">
      <c r="B2549" s="10"/>
    </row>
    <row r="2550" spans="2:2" x14ac:dyDescent="0.2">
      <c r="B2550" s="10"/>
    </row>
    <row r="2551" spans="2:2" x14ac:dyDescent="0.2">
      <c r="B2551" s="10"/>
    </row>
    <row r="2552" spans="2:2" x14ac:dyDescent="0.2">
      <c r="B2552" s="10"/>
    </row>
    <row r="2553" spans="2:2" x14ac:dyDescent="0.2">
      <c r="B2553" s="10"/>
    </row>
    <row r="2554" spans="2:2" x14ac:dyDescent="0.2">
      <c r="B2554" s="10"/>
    </row>
    <row r="2555" spans="2:2" x14ac:dyDescent="0.2">
      <c r="B2555" s="10"/>
    </row>
    <row r="2556" spans="2:2" x14ac:dyDescent="0.2">
      <c r="B2556" s="10"/>
    </row>
    <row r="2557" spans="2:2" x14ac:dyDescent="0.2">
      <c r="B2557" s="10"/>
    </row>
    <row r="2558" spans="2:2" x14ac:dyDescent="0.2">
      <c r="B2558" s="10"/>
    </row>
    <row r="2559" spans="2:2" x14ac:dyDescent="0.2">
      <c r="B2559" s="10"/>
    </row>
    <row r="2560" spans="2:2" x14ac:dyDescent="0.2">
      <c r="B2560" s="10"/>
    </row>
    <row r="2561" spans="2:2" x14ac:dyDescent="0.2">
      <c r="B2561" s="10"/>
    </row>
    <row r="2562" spans="2:2" x14ac:dyDescent="0.2">
      <c r="B2562" s="10"/>
    </row>
    <row r="2563" spans="2:2" x14ac:dyDescent="0.2">
      <c r="B2563" s="10"/>
    </row>
    <row r="2564" spans="2:2" x14ac:dyDescent="0.2">
      <c r="B2564" s="10"/>
    </row>
    <row r="2565" spans="2:2" x14ac:dyDescent="0.2">
      <c r="B2565" s="10"/>
    </row>
    <row r="2566" spans="2:2" x14ac:dyDescent="0.2">
      <c r="B2566" s="10"/>
    </row>
    <row r="2567" spans="2:2" x14ac:dyDescent="0.2">
      <c r="B2567" s="10"/>
    </row>
    <row r="2568" spans="2:2" x14ac:dyDescent="0.2">
      <c r="B2568" s="10"/>
    </row>
    <row r="2569" spans="2:2" x14ac:dyDescent="0.2">
      <c r="B2569" s="10"/>
    </row>
    <row r="2570" spans="2:2" x14ac:dyDescent="0.2">
      <c r="B2570" s="10"/>
    </row>
    <row r="2571" spans="2:2" x14ac:dyDescent="0.2">
      <c r="B2571" s="10"/>
    </row>
    <row r="2572" spans="2:2" x14ac:dyDescent="0.2">
      <c r="B2572" s="10"/>
    </row>
    <row r="2573" spans="2:2" x14ac:dyDescent="0.2">
      <c r="B2573" s="10"/>
    </row>
    <row r="2574" spans="2:2" x14ac:dyDescent="0.2">
      <c r="B2574" s="10"/>
    </row>
    <row r="2575" spans="2:2" x14ac:dyDescent="0.2">
      <c r="B2575" s="10"/>
    </row>
    <row r="2576" spans="2:2" x14ac:dyDescent="0.2">
      <c r="B2576" s="10"/>
    </row>
    <row r="2577" spans="2:2" x14ac:dyDescent="0.2">
      <c r="B2577" s="10"/>
    </row>
    <row r="2578" spans="2:2" x14ac:dyDescent="0.2">
      <c r="B2578" s="10"/>
    </row>
    <row r="2579" spans="2:2" x14ac:dyDescent="0.2">
      <c r="B2579" s="10"/>
    </row>
    <row r="2580" spans="2:2" x14ac:dyDescent="0.2">
      <c r="B2580" s="10"/>
    </row>
    <row r="2581" spans="2:2" x14ac:dyDescent="0.2">
      <c r="B2581" s="10"/>
    </row>
    <row r="2582" spans="2:2" x14ac:dyDescent="0.2">
      <c r="B2582" s="10"/>
    </row>
    <row r="2583" spans="2:2" x14ac:dyDescent="0.2">
      <c r="B2583" s="10"/>
    </row>
    <row r="2584" spans="2:2" x14ac:dyDescent="0.2">
      <c r="B2584" s="10"/>
    </row>
    <row r="2585" spans="2:2" x14ac:dyDescent="0.2">
      <c r="B2585" s="10"/>
    </row>
    <row r="2586" spans="2:2" x14ac:dyDescent="0.2">
      <c r="B2586" s="10"/>
    </row>
    <row r="2587" spans="2:2" x14ac:dyDescent="0.2">
      <c r="B2587" s="10"/>
    </row>
    <row r="2588" spans="2:2" x14ac:dyDescent="0.2">
      <c r="B2588" s="10"/>
    </row>
    <row r="2589" spans="2:2" x14ac:dyDescent="0.2">
      <c r="B2589" s="10"/>
    </row>
    <row r="2590" spans="2:2" x14ac:dyDescent="0.2">
      <c r="B2590" s="10"/>
    </row>
    <row r="2591" spans="2:2" x14ac:dyDescent="0.2">
      <c r="B2591" s="10"/>
    </row>
    <row r="2592" spans="2:2" x14ac:dyDescent="0.2">
      <c r="B2592" s="10"/>
    </row>
    <row r="2593" spans="2:2" x14ac:dyDescent="0.2">
      <c r="B2593" s="10"/>
    </row>
    <row r="2594" spans="2:2" x14ac:dyDescent="0.2">
      <c r="B2594" s="10"/>
    </row>
    <row r="2595" spans="2:2" x14ac:dyDescent="0.2">
      <c r="B2595" s="10"/>
    </row>
    <row r="2596" spans="2:2" x14ac:dyDescent="0.2">
      <c r="B2596" s="10"/>
    </row>
    <row r="2597" spans="2:2" x14ac:dyDescent="0.2">
      <c r="B2597" s="10"/>
    </row>
    <row r="2598" spans="2:2" x14ac:dyDescent="0.2">
      <c r="B2598" s="10"/>
    </row>
    <row r="2599" spans="2:2" x14ac:dyDescent="0.2">
      <c r="B2599" s="10"/>
    </row>
    <row r="2600" spans="2:2" x14ac:dyDescent="0.2">
      <c r="B2600" s="10"/>
    </row>
    <row r="2601" spans="2:2" x14ac:dyDescent="0.2">
      <c r="B2601" s="10"/>
    </row>
    <row r="2602" spans="2:2" x14ac:dyDescent="0.2">
      <c r="B2602" s="10"/>
    </row>
    <row r="2603" spans="2:2" x14ac:dyDescent="0.2">
      <c r="B2603" s="10"/>
    </row>
    <row r="2604" spans="2:2" x14ac:dyDescent="0.2">
      <c r="B2604" s="10"/>
    </row>
    <row r="2605" spans="2:2" x14ac:dyDescent="0.2">
      <c r="B2605" s="10"/>
    </row>
    <row r="2606" spans="2:2" x14ac:dyDescent="0.2">
      <c r="B2606" s="10"/>
    </row>
    <row r="2607" spans="2:2" x14ac:dyDescent="0.2">
      <c r="B2607" s="10"/>
    </row>
    <row r="2608" spans="2:2" x14ac:dyDescent="0.2">
      <c r="B2608" s="10"/>
    </row>
    <row r="2609" spans="2:2" x14ac:dyDescent="0.2">
      <c r="B2609" s="10"/>
    </row>
    <row r="2610" spans="2:2" x14ac:dyDescent="0.2">
      <c r="B2610" s="10"/>
    </row>
    <row r="2611" spans="2:2" x14ac:dyDescent="0.2">
      <c r="B2611" s="10"/>
    </row>
    <row r="2612" spans="2:2" x14ac:dyDescent="0.2">
      <c r="B2612" s="10"/>
    </row>
    <row r="2613" spans="2:2" x14ac:dyDescent="0.2">
      <c r="B2613" s="10"/>
    </row>
    <row r="2614" spans="2:2" x14ac:dyDescent="0.2">
      <c r="B2614" s="10"/>
    </row>
    <row r="2615" spans="2:2" x14ac:dyDescent="0.2">
      <c r="B2615" s="10"/>
    </row>
    <row r="2616" spans="2:2" x14ac:dyDescent="0.2">
      <c r="B2616" s="10"/>
    </row>
    <row r="2617" spans="2:2" x14ac:dyDescent="0.2">
      <c r="B2617" s="10"/>
    </row>
    <row r="2618" spans="2:2" x14ac:dyDescent="0.2">
      <c r="B2618" s="10"/>
    </row>
    <row r="2619" spans="2:2" x14ac:dyDescent="0.2">
      <c r="B2619" s="10"/>
    </row>
    <row r="2620" spans="2:2" x14ac:dyDescent="0.2">
      <c r="B2620" s="10"/>
    </row>
    <row r="2621" spans="2:2" x14ac:dyDescent="0.2">
      <c r="B2621" s="10"/>
    </row>
    <row r="2622" spans="2:2" x14ac:dyDescent="0.2">
      <c r="B2622" s="10"/>
    </row>
    <row r="2623" spans="2:2" x14ac:dyDescent="0.2">
      <c r="B2623" s="10"/>
    </row>
    <row r="2624" spans="2:2" x14ac:dyDescent="0.2">
      <c r="B2624" s="10"/>
    </row>
    <row r="2625" spans="2:2" x14ac:dyDescent="0.2">
      <c r="B2625" s="10"/>
    </row>
    <row r="2626" spans="2:2" x14ac:dyDescent="0.2">
      <c r="B2626" s="10"/>
    </row>
    <row r="2627" spans="2:2" x14ac:dyDescent="0.2">
      <c r="B2627" s="10"/>
    </row>
    <row r="2628" spans="2:2" x14ac:dyDescent="0.2">
      <c r="B2628" s="10"/>
    </row>
    <row r="2629" spans="2:2" x14ac:dyDescent="0.2">
      <c r="B2629" s="10"/>
    </row>
    <row r="2630" spans="2:2" x14ac:dyDescent="0.2">
      <c r="B2630" s="10"/>
    </row>
    <row r="2631" spans="2:2" x14ac:dyDescent="0.2">
      <c r="B2631" s="10"/>
    </row>
    <row r="2632" spans="2:2" x14ac:dyDescent="0.2">
      <c r="B2632" s="10"/>
    </row>
    <row r="2633" spans="2:2" x14ac:dyDescent="0.2">
      <c r="B2633" s="10"/>
    </row>
    <row r="2634" spans="2:2" x14ac:dyDescent="0.2">
      <c r="B2634" s="10"/>
    </row>
    <row r="2635" spans="2:2" x14ac:dyDescent="0.2">
      <c r="B2635" s="10"/>
    </row>
    <row r="2636" spans="2:2" x14ac:dyDescent="0.2">
      <c r="B2636" s="10"/>
    </row>
    <row r="2637" spans="2:2" x14ac:dyDescent="0.2">
      <c r="B2637" s="10"/>
    </row>
    <row r="2638" spans="2:2" x14ac:dyDescent="0.2">
      <c r="B2638" s="10"/>
    </row>
    <row r="2639" spans="2:2" x14ac:dyDescent="0.2">
      <c r="B2639" s="10"/>
    </row>
    <row r="2640" spans="2:2" x14ac:dyDescent="0.2">
      <c r="B2640" s="10"/>
    </row>
    <row r="2641" spans="2:2" x14ac:dyDescent="0.2">
      <c r="B2641" s="10"/>
    </row>
    <row r="2642" spans="2:2" x14ac:dyDescent="0.2">
      <c r="B2642" s="10"/>
    </row>
    <row r="2643" spans="2:2" x14ac:dyDescent="0.2">
      <c r="B2643" s="10"/>
    </row>
    <row r="2644" spans="2:2" x14ac:dyDescent="0.2">
      <c r="B2644" s="10"/>
    </row>
    <row r="2645" spans="2:2" x14ac:dyDescent="0.2">
      <c r="B2645" s="10"/>
    </row>
    <row r="2646" spans="2:2" x14ac:dyDescent="0.2">
      <c r="B2646" s="10"/>
    </row>
    <row r="2647" spans="2:2" x14ac:dyDescent="0.2">
      <c r="B2647" s="10"/>
    </row>
    <row r="2648" spans="2:2" x14ac:dyDescent="0.2">
      <c r="B2648" s="10"/>
    </row>
    <row r="2649" spans="2:2" x14ac:dyDescent="0.2">
      <c r="B2649" s="10"/>
    </row>
    <row r="2650" spans="2:2" x14ac:dyDescent="0.2">
      <c r="B2650" s="10"/>
    </row>
    <row r="2651" spans="2:2" x14ac:dyDescent="0.2">
      <c r="B2651" s="10"/>
    </row>
    <row r="2652" spans="2:2" x14ac:dyDescent="0.2">
      <c r="B2652" s="10"/>
    </row>
    <row r="2653" spans="2:2" x14ac:dyDescent="0.2">
      <c r="B2653" s="10"/>
    </row>
    <row r="2654" spans="2:2" x14ac:dyDescent="0.2">
      <c r="B2654" s="10"/>
    </row>
    <row r="2655" spans="2:2" x14ac:dyDescent="0.2">
      <c r="B2655" s="10"/>
    </row>
    <row r="2656" spans="2:2" x14ac:dyDescent="0.2">
      <c r="B2656" s="10"/>
    </row>
    <row r="2657" spans="2:2" x14ac:dyDescent="0.2">
      <c r="B2657" s="10"/>
    </row>
    <row r="2658" spans="2:2" x14ac:dyDescent="0.2">
      <c r="B2658" s="10"/>
    </row>
    <row r="2659" spans="2:2" x14ac:dyDescent="0.2">
      <c r="B2659" s="10"/>
    </row>
    <row r="2660" spans="2:2" x14ac:dyDescent="0.2">
      <c r="B2660" s="10"/>
    </row>
    <row r="2661" spans="2:2" x14ac:dyDescent="0.2">
      <c r="B2661" s="10"/>
    </row>
    <row r="2662" spans="2:2" x14ac:dyDescent="0.2">
      <c r="B2662" s="10"/>
    </row>
    <row r="2663" spans="2:2" x14ac:dyDescent="0.2">
      <c r="B2663" s="10"/>
    </row>
    <row r="2664" spans="2:2" x14ac:dyDescent="0.2">
      <c r="B2664" s="10"/>
    </row>
    <row r="2665" spans="2:2" x14ac:dyDescent="0.2">
      <c r="B2665" s="10"/>
    </row>
    <row r="2666" spans="2:2" x14ac:dyDescent="0.2">
      <c r="B2666" s="10"/>
    </row>
    <row r="2667" spans="2:2" x14ac:dyDescent="0.2">
      <c r="B2667" s="10"/>
    </row>
    <row r="2668" spans="2:2" x14ac:dyDescent="0.2">
      <c r="B2668" s="10"/>
    </row>
    <row r="2669" spans="2:2" x14ac:dyDescent="0.2">
      <c r="B2669" s="10"/>
    </row>
    <row r="2670" spans="2:2" x14ac:dyDescent="0.2">
      <c r="B2670" s="10"/>
    </row>
    <row r="2671" spans="2:2" x14ac:dyDescent="0.2">
      <c r="B2671" s="10"/>
    </row>
    <row r="2672" spans="2:2" x14ac:dyDescent="0.2">
      <c r="B2672" s="10"/>
    </row>
    <row r="2673" spans="2:2" x14ac:dyDescent="0.2">
      <c r="B2673" s="10"/>
    </row>
    <row r="2674" spans="2:2" x14ac:dyDescent="0.2">
      <c r="B2674" s="10"/>
    </row>
    <row r="2675" spans="2:2" x14ac:dyDescent="0.2">
      <c r="B2675" s="10"/>
    </row>
    <row r="2676" spans="2:2" x14ac:dyDescent="0.2">
      <c r="B2676" s="10"/>
    </row>
    <row r="2677" spans="2:2" x14ac:dyDescent="0.2">
      <c r="B2677" s="10"/>
    </row>
    <row r="2678" spans="2:2" x14ac:dyDescent="0.2">
      <c r="B2678" s="10"/>
    </row>
    <row r="2679" spans="2:2" x14ac:dyDescent="0.2">
      <c r="B2679" s="10"/>
    </row>
    <row r="2680" spans="2:2" x14ac:dyDescent="0.2">
      <c r="B2680" s="10"/>
    </row>
    <row r="2681" spans="2:2" x14ac:dyDescent="0.2">
      <c r="B2681" s="10"/>
    </row>
    <row r="2682" spans="2:2" x14ac:dyDescent="0.2">
      <c r="B2682" s="10"/>
    </row>
    <row r="2683" spans="2:2" x14ac:dyDescent="0.2">
      <c r="B2683" s="10"/>
    </row>
    <row r="2684" spans="2:2" x14ac:dyDescent="0.2">
      <c r="B2684" s="10"/>
    </row>
    <row r="2685" spans="2:2" x14ac:dyDescent="0.2">
      <c r="B2685" s="10"/>
    </row>
    <row r="2686" spans="2:2" x14ac:dyDescent="0.2">
      <c r="B2686" s="10"/>
    </row>
    <row r="2687" spans="2:2" x14ac:dyDescent="0.2">
      <c r="B2687" s="10"/>
    </row>
    <row r="2688" spans="2:2" x14ac:dyDescent="0.2">
      <c r="B2688" s="10"/>
    </row>
    <row r="2689" spans="2:2" x14ac:dyDescent="0.2">
      <c r="B2689" s="10"/>
    </row>
    <row r="2690" spans="2:2" x14ac:dyDescent="0.2">
      <c r="B2690" s="10"/>
    </row>
    <row r="2691" spans="2:2" x14ac:dyDescent="0.2">
      <c r="B2691" s="10"/>
    </row>
    <row r="2692" spans="2:2" x14ac:dyDescent="0.2">
      <c r="B2692" s="10"/>
    </row>
    <row r="2693" spans="2:2" x14ac:dyDescent="0.2">
      <c r="B2693" s="10"/>
    </row>
    <row r="2694" spans="2:2" x14ac:dyDescent="0.2">
      <c r="B2694" s="10"/>
    </row>
    <row r="2695" spans="2:2" x14ac:dyDescent="0.2">
      <c r="B2695" s="10"/>
    </row>
    <row r="2696" spans="2:2" x14ac:dyDescent="0.2">
      <c r="B2696" s="10"/>
    </row>
    <row r="2697" spans="2:2" x14ac:dyDescent="0.2">
      <c r="B2697" s="10"/>
    </row>
    <row r="2698" spans="2:2" x14ac:dyDescent="0.2">
      <c r="B2698" s="10"/>
    </row>
    <row r="2699" spans="2:2" x14ac:dyDescent="0.2">
      <c r="B2699" s="10"/>
    </row>
    <row r="2700" spans="2:2" x14ac:dyDescent="0.2">
      <c r="B2700" s="10"/>
    </row>
    <row r="2701" spans="2:2" x14ac:dyDescent="0.2">
      <c r="B2701" s="10"/>
    </row>
    <row r="2702" spans="2:2" x14ac:dyDescent="0.2">
      <c r="B2702" s="10"/>
    </row>
    <row r="2703" spans="2:2" x14ac:dyDescent="0.2">
      <c r="B2703" s="10"/>
    </row>
    <row r="2704" spans="2:2" x14ac:dyDescent="0.2">
      <c r="B2704" s="10"/>
    </row>
    <row r="2705" spans="2:2" x14ac:dyDescent="0.2">
      <c r="B2705" s="10"/>
    </row>
    <row r="2706" spans="2:2" x14ac:dyDescent="0.2">
      <c r="B2706" s="10"/>
    </row>
    <row r="2707" spans="2:2" x14ac:dyDescent="0.2">
      <c r="B2707" s="10"/>
    </row>
    <row r="2708" spans="2:2" x14ac:dyDescent="0.2">
      <c r="B2708" s="10"/>
    </row>
    <row r="2709" spans="2:2" x14ac:dyDescent="0.2">
      <c r="B2709" s="10"/>
    </row>
    <row r="2710" spans="2:2" x14ac:dyDescent="0.2">
      <c r="B2710" s="10"/>
    </row>
    <row r="2711" spans="2:2" x14ac:dyDescent="0.2">
      <c r="B2711" s="10"/>
    </row>
    <row r="2712" spans="2:2" x14ac:dyDescent="0.2">
      <c r="B2712" s="10"/>
    </row>
    <row r="2713" spans="2:2" x14ac:dyDescent="0.2">
      <c r="B2713" s="10"/>
    </row>
    <row r="2714" spans="2:2" x14ac:dyDescent="0.2">
      <c r="B2714" s="10"/>
    </row>
    <row r="2715" spans="2:2" x14ac:dyDescent="0.2">
      <c r="B2715" s="10"/>
    </row>
    <row r="2716" spans="2:2" x14ac:dyDescent="0.2">
      <c r="B2716" s="10"/>
    </row>
    <row r="2717" spans="2:2" x14ac:dyDescent="0.2">
      <c r="B2717" s="10"/>
    </row>
    <row r="2718" spans="2:2" x14ac:dyDescent="0.2">
      <c r="B2718" s="10"/>
    </row>
    <row r="2719" spans="2:2" x14ac:dyDescent="0.2">
      <c r="B2719" s="10"/>
    </row>
    <row r="2720" spans="2:2" x14ac:dyDescent="0.2">
      <c r="B2720" s="10"/>
    </row>
    <row r="2721" spans="2:2" x14ac:dyDescent="0.2">
      <c r="B2721" s="10"/>
    </row>
    <row r="2722" spans="2:2" x14ac:dyDescent="0.2">
      <c r="B2722" s="10"/>
    </row>
    <row r="2723" spans="2:2" x14ac:dyDescent="0.2">
      <c r="B2723" s="10"/>
    </row>
    <row r="2724" spans="2:2" x14ac:dyDescent="0.2">
      <c r="B2724" s="10"/>
    </row>
    <row r="2725" spans="2:2" x14ac:dyDescent="0.2">
      <c r="B2725" s="10"/>
    </row>
    <row r="2726" spans="2:2" x14ac:dyDescent="0.2">
      <c r="B2726" s="10"/>
    </row>
    <row r="2727" spans="2:2" x14ac:dyDescent="0.2">
      <c r="B2727" s="10"/>
    </row>
    <row r="2728" spans="2:2" x14ac:dyDescent="0.2">
      <c r="B2728" s="10"/>
    </row>
    <row r="2729" spans="2:2" x14ac:dyDescent="0.2">
      <c r="B2729" s="10"/>
    </row>
    <row r="2730" spans="2:2" x14ac:dyDescent="0.2">
      <c r="B2730" s="10"/>
    </row>
    <row r="2731" spans="2:2" x14ac:dyDescent="0.2">
      <c r="B2731" s="10"/>
    </row>
    <row r="2732" spans="2:2" x14ac:dyDescent="0.2">
      <c r="B2732" s="10"/>
    </row>
    <row r="2733" spans="2:2" x14ac:dyDescent="0.2">
      <c r="B2733" s="10"/>
    </row>
    <row r="2734" spans="2:2" x14ac:dyDescent="0.2">
      <c r="B2734" s="10"/>
    </row>
    <row r="2735" spans="2:2" x14ac:dyDescent="0.2">
      <c r="B2735" s="10"/>
    </row>
    <row r="2736" spans="2:2" x14ac:dyDescent="0.2">
      <c r="B2736" s="10"/>
    </row>
    <row r="2737" spans="2:2" x14ac:dyDescent="0.2">
      <c r="B2737" s="10"/>
    </row>
    <row r="2738" spans="2:2" x14ac:dyDescent="0.2">
      <c r="B2738" s="10"/>
    </row>
    <row r="2739" spans="2:2" x14ac:dyDescent="0.2">
      <c r="B2739" s="10"/>
    </row>
    <row r="2740" spans="2:2" x14ac:dyDescent="0.2">
      <c r="B2740" s="10"/>
    </row>
    <row r="2741" spans="2:2" x14ac:dyDescent="0.2">
      <c r="B2741" s="10"/>
    </row>
    <row r="2742" spans="2:2" x14ac:dyDescent="0.2">
      <c r="B2742" s="10"/>
    </row>
    <row r="2743" spans="2:2" x14ac:dyDescent="0.2">
      <c r="B2743" s="10"/>
    </row>
    <row r="2744" spans="2:2" x14ac:dyDescent="0.2">
      <c r="B2744" s="10"/>
    </row>
    <row r="2745" spans="2:2" x14ac:dyDescent="0.2">
      <c r="B2745" s="10"/>
    </row>
    <row r="2746" spans="2:2" x14ac:dyDescent="0.2">
      <c r="B2746" s="10"/>
    </row>
    <row r="2747" spans="2:2" x14ac:dyDescent="0.2">
      <c r="B2747" s="10"/>
    </row>
    <row r="2748" spans="2:2" x14ac:dyDescent="0.2">
      <c r="B2748" s="10"/>
    </row>
    <row r="2749" spans="2:2" x14ac:dyDescent="0.2">
      <c r="B2749" s="10"/>
    </row>
    <row r="2750" spans="2:2" x14ac:dyDescent="0.2">
      <c r="B2750" s="10"/>
    </row>
    <row r="2751" spans="2:2" x14ac:dyDescent="0.2">
      <c r="B2751" s="10"/>
    </row>
    <row r="2752" spans="2:2" x14ac:dyDescent="0.2">
      <c r="B2752" s="10"/>
    </row>
    <row r="2753" spans="2:2" x14ac:dyDescent="0.2">
      <c r="B2753" s="10"/>
    </row>
    <row r="2754" spans="2:2" x14ac:dyDescent="0.2">
      <c r="B2754" s="10"/>
    </row>
    <row r="2755" spans="2:2" x14ac:dyDescent="0.2">
      <c r="B2755" s="10"/>
    </row>
    <row r="2756" spans="2:2" x14ac:dyDescent="0.2">
      <c r="B2756" s="10"/>
    </row>
    <row r="2757" spans="2:2" x14ac:dyDescent="0.2">
      <c r="B2757" s="10"/>
    </row>
    <row r="2758" spans="2:2" x14ac:dyDescent="0.2">
      <c r="B2758" s="10"/>
    </row>
    <row r="2759" spans="2:2" x14ac:dyDescent="0.2">
      <c r="B2759" s="10"/>
    </row>
    <row r="2760" spans="2:2" x14ac:dyDescent="0.2">
      <c r="B2760" s="10"/>
    </row>
    <row r="2761" spans="2:2" x14ac:dyDescent="0.2">
      <c r="B2761" s="10"/>
    </row>
    <row r="2762" spans="2:2" x14ac:dyDescent="0.2">
      <c r="B2762" s="10"/>
    </row>
    <row r="2763" spans="2:2" x14ac:dyDescent="0.2">
      <c r="B2763" s="10"/>
    </row>
    <row r="2764" spans="2:2" x14ac:dyDescent="0.2">
      <c r="B2764" s="10"/>
    </row>
    <row r="2765" spans="2:2" x14ac:dyDescent="0.2">
      <c r="B2765" s="10"/>
    </row>
    <row r="2766" spans="2:2" x14ac:dyDescent="0.2">
      <c r="B2766" s="10"/>
    </row>
    <row r="2767" spans="2:2" x14ac:dyDescent="0.2">
      <c r="B2767" s="10"/>
    </row>
    <row r="2768" spans="2:2" x14ac:dyDescent="0.2">
      <c r="B2768" s="10"/>
    </row>
    <row r="2769" spans="2:2" x14ac:dyDescent="0.2">
      <c r="B2769" s="10"/>
    </row>
    <row r="2770" spans="2:2" x14ac:dyDescent="0.2">
      <c r="B2770" s="10"/>
    </row>
    <row r="2771" spans="2:2" x14ac:dyDescent="0.2">
      <c r="B2771" s="10"/>
    </row>
    <row r="2772" spans="2:2" x14ac:dyDescent="0.2">
      <c r="B2772" s="10"/>
    </row>
    <row r="2773" spans="2:2" x14ac:dyDescent="0.2">
      <c r="B2773" s="10"/>
    </row>
    <row r="2774" spans="2:2" x14ac:dyDescent="0.2">
      <c r="B2774" s="10"/>
    </row>
    <row r="2775" spans="2:2" x14ac:dyDescent="0.2">
      <c r="B2775" s="10"/>
    </row>
    <row r="2776" spans="2:2" x14ac:dyDescent="0.2">
      <c r="B2776" s="10"/>
    </row>
    <row r="2777" spans="2:2" x14ac:dyDescent="0.2">
      <c r="B2777" s="10"/>
    </row>
    <row r="2778" spans="2:2" x14ac:dyDescent="0.2">
      <c r="B2778" s="10"/>
    </row>
    <row r="2779" spans="2:2" x14ac:dyDescent="0.2">
      <c r="B2779" s="10"/>
    </row>
    <row r="2780" spans="2:2" x14ac:dyDescent="0.2">
      <c r="B2780" s="10"/>
    </row>
    <row r="2781" spans="2:2" x14ac:dyDescent="0.2">
      <c r="B2781" s="10"/>
    </row>
    <row r="2782" spans="2:2" x14ac:dyDescent="0.2">
      <c r="B2782" s="10"/>
    </row>
    <row r="2783" spans="2:2" x14ac:dyDescent="0.2">
      <c r="B2783" s="10"/>
    </row>
    <row r="2784" spans="2:2" x14ac:dyDescent="0.2">
      <c r="B2784" s="10"/>
    </row>
    <row r="2785" spans="2:2" x14ac:dyDescent="0.2">
      <c r="B2785" s="10"/>
    </row>
    <row r="2786" spans="2:2" x14ac:dyDescent="0.2">
      <c r="B2786" s="10"/>
    </row>
    <row r="2787" spans="2:2" x14ac:dyDescent="0.2">
      <c r="B2787" s="10"/>
    </row>
    <row r="2788" spans="2:2" x14ac:dyDescent="0.2">
      <c r="B2788" s="10"/>
    </row>
    <row r="2789" spans="2:2" x14ac:dyDescent="0.2">
      <c r="B2789" s="10"/>
    </row>
    <row r="2790" spans="2:2" x14ac:dyDescent="0.2">
      <c r="B2790" s="10"/>
    </row>
    <row r="2791" spans="2:2" x14ac:dyDescent="0.2">
      <c r="B2791" s="10"/>
    </row>
    <row r="2792" spans="2:2" x14ac:dyDescent="0.2">
      <c r="B2792" s="10"/>
    </row>
    <row r="2793" spans="2:2" x14ac:dyDescent="0.2">
      <c r="B2793" s="10"/>
    </row>
    <row r="2794" spans="2:2" x14ac:dyDescent="0.2">
      <c r="B2794" s="10"/>
    </row>
    <row r="2795" spans="2:2" x14ac:dyDescent="0.2">
      <c r="B2795" s="10"/>
    </row>
    <row r="2796" spans="2:2" x14ac:dyDescent="0.2">
      <c r="B2796" s="10"/>
    </row>
    <row r="2797" spans="2:2" x14ac:dyDescent="0.2">
      <c r="B2797" s="10"/>
    </row>
    <row r="2798" spans="2:2" x14ac:dyDescent="0.2">
      <c r="B2798" s="10"/>
    </row>
    <row r="2799" spans="2:2" x14ac:dyDescent="0.2">
      <c r="B2799" s="10"/>
    </row>
    <row r="2800" spans="2:2" x14ac:dyDescent="0.2">
      <c r="B2800" s="10"/>
    </row>
    <row r="2801" spans="2:2" x14ac:dyDescent="0.2">
      <c r="B2801" s="10"/>
    </row>
    <row r="2802" spans="2:2" x14ac:dyDescent="0.2">
      <c r="B2802" s="10"/>
    </row>
    <row r="2803" spans="2:2" x14ac:dyDescent="0.2">
      <c r="B2803" s="10"/>
    </row>
    <row r="2804" spans="2:2" x14ac:dyDescent="0.2">
      <c r="B2804" s="10"/>
    </row>
    <row r="2805" spans="2:2" x14ac:dyDescent="0.2">
      <c r="B2805" s="10"/>
    </row>
    <row r="2806" spans="2:2" x14ac:dyDescent="0.2">
      <c r="B2806" s="10"/>
    </row>
    <row r="2807" spans="2:2" x14ac:dyDescent="0.2">
      <c r="B2807" s="10"/>
    </row>
    <row r="2808" spans="2:2" x14ac:dyDescent="0.2">
      <c r="B2808" s="10"/>
    </row>
    <row r="2809" spans="2:2" x14ac:dyDescent="0.2">
      <c r="B2809" s="10"/>
    </row>
    <row r="2810" spans="2:2" x14ac:dyDescent="0.2">
      <c r="B2810" s="10"/>
    </row>
    <row r="2811" spans="2:2" x14ac:dyDescent="0.2">
      <c r="B2811" s="10"/>
    </row>
    <row r="2812" spans="2:2" x14ac:dyDescent="0.2">
      <c r="B2812" s="10"/>
    </row>
    <row r="2813" spans="2:2" x14ac:dyDescent="0.2">
      <c r="B2813" s="10"/>
    </row>
    <row r="2814" spans="2:2" x14ac:dyDescent="0.2">
      <c r="B2814" s="10"/>
    </row>
    <row r="2815" spans="2:2" x14ac:dyDescent="0.2">
      <c r="B2815" s="10"/>
    </row>
    <row r="2816" spans="2:2" x14ac:dyDescent="0.2">
      <c r="B2816" s="10"/>
    </row>
    <row r="2817" spans="2:2" x14ac:dyDescent="0.2">
      <c r="B2817" s="10"/>
    </row>
    <row r="2818" spans="2:2" x14ac:dyDescent="0.2">
      <c r="B2818" s="10"/>
    </row>
    <row r="2819" spans="2:2" x14ac:dyDescent="0.2">
      <c r="B2819" s="10"/>
    </row>
    <row r="2820" spans="2:2" x14ac:dyDescent="0.2">
      <c r="B2820" s="10"/>
    </row>
    <row r="2821" spans="2:2" x14ac:dyDescent="0.2">
      <c r="B2821" s="10"/>
    </row>
    <row r="2822" spans="2:2" x14ac:dyDescent="0.2">
      <c r="B2822" s="10"/>
    </row>
    <row r="2823" spans="2:2" x14ac:dyDescent="0.2">
      <c r="B2823" s="10"/>
    </row>
    <row r="2824" spans="2:2" x14ac:dyDescent="0.2">
      <c r="B2824" s="10"/>
    </row>
    <row r="2825" spans="2:2" x14ac:dyDescent="0.2">
      <c r="B2825" s="10"/>
    </row>
    <row r="2826" spans="2:2" x14ac:dyDescent="0.2">
      <c r="B2826" s="10"/>
    </row>
    <row r="2827" spans="2:2" x14ac:dyDescent="0.2">
      <c r="B2827" s="10"/>
    </row>
    <row r="2828" spans="2:2" x14ac:dyDescent="0.2">
      <c r="B2828" s="10"/>
    </row>
    <row r="2829" spans="2:2" x14ac:dyDescent="0.2">
      <c r="B2829" s="10"/>
    </row>
    <row r="2830" spans="2:2" x14ac:dyDescent="0.2">
      <c r="B2830" s="10"/>
    </row>
    <row r="2831" spans="2:2" x14ac:dyDescent="0.2">
      <c r="B2831" s="10"/>
    </row>
    <row r="2832" spans="2:2" x14ac:dyDescent="0.2">
      <c r="B2832" s="10"/>
    </row>
    <row r="2833" spans="2:2" x14ac:dyDescent="0.2">
      <c r="B2833" s="10"/>
    </row>
    <row r="2834" spans="2:2" x14ac:dyDescent="0.2">
      <c r="B2834" s="10"/>
    </row>
    <row r="2835" spans="2:2" x14ac:dyDescent="0.2">
      <c r="B2835" s="10"/>
    </row>
    <row r="2836" spans="2:2" x14ac:dyDescent="0.2">
      <c r="B2836" s="10"/>
    </row>
    <row r="2837" spans="2:2" x14ac:dyDescent="0.2">
      <c r="B2837" s="10"/>
    </row>
    <row r="2838" spans="2:2" x14ac:dyDescent="0.2">
      <c r="B2838" s="10"/>
    </row>
    <row r="2839" spans="2:2" x14ac:dyDescent="0.2">
      <c r="B2839" s="10"/>
    </row>
    <row r="2840" spans="2:2" x14ac:dyDescent="0.2">
      <c r="B2840" s="10"/>
    </row>
    <row r="2841" spans="2:2" x14ac:dyDescent="0.2">
      <c r="B2841" s="10"/>
    </row>
    <row r="2842" spans="2:2" x14ac:dyDescent="0.2">
      <c r="B2842" s="10"/>
    </row>
    <row r="2843" spans="2:2" x14ac:dyDescent="0.2">
      <c r="B2843" s="10"/>
    </row>
    <row r="2844" spans="2:2" x14ac:dyDescent="0.2">
      <c r="B2844" s="10"/>
    </row>
    <row r="2845" spans="2:2" x14ac:dyDescent="0.2">
      <c r="B2845" s="10"/>
    </row>
    <row r="2846" spans="2:2" x14ac:dyDescent="0.2">
      <c r="B2846" s="10"/>
    </row>
    <row r="2847" spans="2:2" x14ac:dyDescent="0.2">
      <c r="B2847" s="10"/>
    </row>
    <row r="2848" spans="2:2" x14ac:dyDescent="0.2">
      <c r="B2848" s="10"/>
    </row>
    <row r="2849" spans="2:2" x14ac:dyDescent="0.2">
      <c r="B2849" s="10"/>
    </row>
    <row r="2850" spans="2:2" x14ac:dyDescent="0.2">
      <c r="B2850" s="10"/>
    </row>
    <row r="2851" spans="2:2" x14ac:dyDescent="0.2">
      <c r="B2851" s="10"/>
    </row>
    <row r="2852" spans="2:2" x14ac:dyDescent="0.2">
      <c r="B2852" s="10"/>
    </row>
    <row r="2853" spans="2:2" x14ac:dyDescent="0.2">
      <c r="B2853" s="10"/>
    </row>
    <row r="2854" spans="2:2" x14ac:dyDescent="0.2">
      <c r="B2854" s="10"/>
    </row>
    <row r="2855" spans="2:2" x14ac:dyDescent="0.2">
      <c r="B2855" s="10"/>
    </row>
    <row r="2856" spans="2:2" x14ac:dyDescent="0.2">
      <c r="B2856" s="10"/>
    </row>
    <row r="2857" spans="2:2" x14ac:dyDescent="0.2">
      <c r="B2857" s="10"/>
    </row>
    <row r="2858" spans="2:2" x14ac:dyDescent="0.2">
      <c r="B2858" s="10"/>
    </row>
    <row r="2859" spans="2:2" x14ac:dyDescent="0.2">
      <c r="B2859" s="10"/>
    </row>
    <row r="2860" spans="2:2" x14ac:dyDescent="0.2">
      <c r="B2860" s="10"/>
    </row>
    <row r="2861" spans="2:2" x14ac:dyDescent="0.2">
      <c r="B2861" s="10"/>
    </row>
    <row r="2862" spans="2:2" x14ac:dyDescent="0.2">
      <c r="B2862" s="10"/>
    </row>
    <row r="2863" spans="2:2" x14ac:dyDescent="0.2">
      <c r="B2863" s="10"/>
    </row>
    <row r="2864" spans="2:2" x14ac:dyDescent="0.2">
      <c r="B2864" s="10"/>
    </row>
    <row r="2865" spans="2:2" x14ac:dyDescent="0.2">
      <c r="B2865" s="10"/>
    </row>
    <row r="2866" spans="2:2" x14ac:dyDescent="0.2">
      <c r="B2866" s="10"/>
    </row>
    <row r="2867" spans="2:2" x14ac:dyDescent="0.2">
      <c r="B2867" s="10"/>
    </row>
    <row r="2868" spans="2:2" x14ac:dyDescent="0.2">
      <c r="B2868" s="10"/>
    </row>
    <row r="2869" spans="2:2" x14ac:dyDescent="0.2">
      <c r="B2869" s="10"/>
    </row>
    <row r="2870" spans="2:2" x14ac:dyDescent="0.2">
      <c r="B2870" s="10"/>
    </row>
    <row r="2871" spans="2:2" x14ac:dyDescent="0.2">
      <c r="B2871" s="10"/>
    </row>
    <row r="2872" spans="2:2" x14ac:dyDescent="0.2">
      <c r="B2872" s="10"/>
    </row>
    <row r="2873" spans="2:2" x14ac:dyDescent="0.2">
      <c r="B2873" s="10"/>
    </row>
    <row r="2874" spans="2:2" x14ac:dyDescent="0.2">
      <c r="B2874" s="10"/>
    </row>
    <row r="2875" spans="2:2" x14ac:dyDescent="0.2">
      <c r="B2875" s="10"/>
    </row>
    <row r="2876" spans="2:2" x14ac:dyDescent="0.2">
      <c r="B2876" s="10"/>
    </row>
    <row r="2877" spans="2:2" x14ac:dyDescent="0.2">
      <c r="B2877" s="10"/>
    </row>
    <row r="2878" spans="2:2" x14ac:dyDescent="0.2">
      <c r="B2878" s="10"/>
    </row>
    <row r="2879" spans="2:2" x14ac:dyDescent="0.2">
      <c r="B2879" s="10"/>
    </row>
    <row r="2880" spans="2:2" x14ac:dyDescent="0.2">
      <c r="B2880" s="10"/>
    </row>
    <row r="2881" spans="2:2" x14ac:dyDescent="0.2">
      <c r="B2881" s="10"/>
    </row>
    <row r="2882" spans="2:2" x14ac:dyDescent="0.2">
      <c r="B2882" s="10"/>
    </row>
    <row r="2883" spans="2:2" x14ac:dyDescent="0.2">
      <c r="B2883" s="10"/>
    </row>
    <row r="2884" spans="2:2" x14ac:dyDescent="0.2">
      <c r="B2884" s="10"/>
    </row>
    <row r="2885" spans="2:2" x14ac:dyDescent="0.2">
      <c r="B2885" s="10"/>
    </row>
    <row r="2886" spans="2:2" x14ac:dyDescent="0.2">
      <c r="B2886" s="10"/>
    </row>
    <row r="2887" spans="2:2" x14ac:dyDescent="0.2">
      <c r="B2887" s="10"/>
    </row>
    <row r="2888" spans="2:2" x14ac:dyDescent="0.2">
      <c r="B2888" s="10"/>
    </row>
    <row r="2889" spans="2:2" x14ac:dyDescent="0.2">
      <c r="B2889" s="10"/>
    </row>
    <row r="2890" spans="2:2" x14ac:dyDescent="0.2">
      <c r="B2890" s="10"/>
    </row>
    <row r="2891" spans="2:2" x14ac:dyDescent="0.2">
      <c r="B2891" s="10"/>
    </row>
    <row r="2892" spans="2:2" x14ac:dyDescent="0.2">
      <c r="B2892" s="10"/>
    </row>
    <row r="2893" spans="2:2" x14ac:dyDescent="0.2">
      <c r="B2893" s="10"/>
    </row>
    <row r="2894" spans="2:2" x14ac:dyDescent="0.2">
      <c r="B2894" s="10"/>
    </row>
    <row r="2895" spans="2:2" x14ac:dyDescent="0.2">
      <c r="B2895" s="10"/>
    </row>
    <row r="2896" spans="2:2" x14ac:dyDescent="0.2">
      <c r="B2896" s="10"/>
    </row>
    <row r="2897" spans="2:2" x14ac:dyDescent="0.2">
      <c r="B2897" s="10"/>
    </row>
    <row r="2898" spans="2:2" x14ac:dyDescent="0.2">
      <c r="B2898" s="10"/>
    </row>
    <row r="2899" spans="2:2" x14ac:dyDescent="0.2">
      <c r="B2899" s="10"/>
    </row>
    <row r="2900" spans="2:2" x14ac:dyDescent="0.2">
      <c r="B2900" s="10"/>
    </row>
    <row r="2901" spans="2:2" x14ac:dyDescent="0.2">
      <c r="B2901" s="10"/>
    </row>
    <row r="2902" spans="2:2" x14ac:dyDescent="0.2">
      <c r="B2902" s="10"/>
    </row>
    <row r="2903" spans="2:2" x14ac:dyDescent="0.2">
      <c r="B2903" s="10"/>
    </row>
    <row r="2904" spans="2:2" x14ac:dyDescent="0.2">
      <c r="B2904" s="10"/>
    </row>
    <row r="2905" spans="2:2" x14ac:dyDescent="0.2">
      <c r="B2905" s="10"/>
    </row>
    <row r="2906" spans="2:2" x14ac:dyDescent="0.2">
      <c r="B2906" s="10"/>
    </row>
    <row r="2907" spans="2:2" x14ac:dyDescent="0.2">
      <c r="B2907" s="10"/>
    </row>
    <row r="2908" spans="2:2" x14ac:dyDescent="0.2">
      <c r="B2908" s="10"/>
    </row>
    <row r="2909" spans="2:2" x14ac:dyDescent="0.2">
      <c r="B2909" s="10"/>
    </row>
    <row r="2910" spans="2:2" x14ac:dyDescent="0.2">
      <c r="B2910" s="10"/>
    </row>
    <row r="2911" spans="2:2" x14ac:dyDescent="0.2">
      <c r="B2911" s="10"/>
    </row>
    <row r="2912" spans="2:2" x14ac:dyDescent="0.2">
      <c r="B2912" s="10"/>
    </row>
    <row r="2913" spans="2:2" x14ac:dyDescent="0.2">
      <c r="B2913" s="10"/>
    </row>
    <row r="2914" spans="2:2" x14ac:dyDescent="0.2">
      <c r="B2914" s="10"/>
    </row>
    <row r="2915" spans="2:2" x14ac:dyDescent="0.2">
      <c r="B2915" s="10"/>
    </row>
    <row r="2916" spans="2:2" x14ac:dyDescent="0.2">
      <c r="B2916" s="10"/>
    </row>
    <row r="2917" spans="2:2" x14ac:dyDescent="0.2">
      <c r="B2917" s="10"/>
    </row>
    <row r="2918" spans="2:2" x14ac:dyDescent="0.2">
      <c r="B2918" s="10"/>
    </row>
    <row r="2919" spans="2:2" x14ac:dyDescent="0.2">
      <c r="B2919" s="10"/>
    </row>
    <row r="2920" spans="2:2" x14ac:dyDescent="0.2">
      <c r="B2920" s="10"/>
    </row>
    <row r="2921" spans="2:2" x14ac:dyDescent="0.2">
      <c r="B2921" s="10"/>
    </row>
    <row r="2922" spans="2:2" x14ac:dyDescent="0.2">
      <c r="B2922" s="10"/>
    </row>
    <row r="2923" spans="2:2" x14ac:dyDescent="0.2">
      <c r="B2923" s="10"/>
    </row>
    <row r="2924" spans="2:2" x14ac:dyDescent="0.2">
      <c r="B2924" s="10"/>
    </row>
    <row r="2925" spans="2:2" x14ac:dyDescent="0.2">
      <c r="B2925" s="10"/>
    </row>
    <row r="2926" spans="2:2" x14ac:dyDescent="0.2">
      <c r="B2926" s="10"/>
    </row>
    <row r="2927" spans="2:2" x14ac:dyDescent="0.2">
      <c r="B2927" s="10"/>
    </row>
    <row r="2928" spans="2:2" x14ac:dyDescent="0.2">
      <c r="B2928" s="10"/>
    </row>
    <row r="2929" spans="2:2" x14ac:dyDescent="0.2">
      <c r="B2929" s="10"/>
    </row>
    <row r="2930" spans="2:2" x14ac:dyDescent="0.2">
      <c r="B2930" s="10"/>
    </row>
    <row r="2931" spans="2:2" x14ac:dyDescent="0.2">
      <c r="B2931" s="10"/>
    </row>
    <row r="2932" spans="2:2" x14ac:dyDescent="0.2">
      <c r="B2932" s="10"/>
    </row>
    <row r="2933" spans="2:2" x14ac:dyDescent="0.2">
      <c r="B2933" s="10"/>
    </row>
    <row r="2934" spans="2:2" x14ac:dyDescent="0.2">
      <c r="B2934" s="10"/>
    </row>
    <row r="2935" spans="2:2" x14ac:dyDescent="0.2">
      <c r="B2935" s="10"/>
    </row>
    <row r="2936" spans="2:2" x14ac:dyDescent="0.2">
      <c r="B2936" s="10"/>
    </row>
    <row r="2937" spans="2:2" x14ac:dyDescent="0.2">
      <c r="B2937" s="10"/>
    </row>
    <row r="2938" spans="2:2" x14ac:dyDescent="0.2">
      <c r="B2938" s="10"/>
    </row>
    <row r="2939" spans="2:2" x14ac:dyDescent="0.2">
      <c r="B2939" s="10"/>
    </row>
    <row r="2940" spans="2:2" x14ac:dyDescent="0.2">
      <c r="B2940" s="10"/>
    </row>
    <row r="2941" spans="2:2" x14ac:dyDescent="0.2">
      <c r="B2941" s="10"/>
    </row>
    <row r="2942" spans="2:2" x14ac:dyDescent="0.2">
      <c r="B2942" s="10"/>
    </row>
    <row r="2943" spans="2:2" x14ac:dyDescent="0.2">
      <c r="B2943" s="10"/>
    </row>
    <row r="2944" spans="2:2" x14ac:dyDescent="0.2">
      <c r="B2944" s="10"/>
    </row>
    <row r="2945" spans="2:2" x14ac:dyDescent="0.2">
      <c r="B2945" s="10"/>
    </row>
    <row r="2946" spans="2:2" x14ac:dyDescent="0.2">
      <c r="B2946" s="10"/>
    </row>
    <row r="2947" spans="2:2" x14ac:dyDescent="0.2">
      <c r="B2947" s="10"/>
    </row>
    <row r="2948" spans="2:2" x14ac:dyDescent="0.2">
      <c r="B2948" s="10"/>
    </row>
    <row r="2949" spans="2:2" x14ac:dyDescent="0.2">
      <c r="B2949" s="10"/>
    </row>
    <row r="2950" spans="2:2" x14ac:dyDescent="0.2">
      <c r="B2950" s="10"/>
    </row>
    <row r="2951" spans="2:2" x14ac:dyDescent="0.2">
      <c r="B2951" s="10"/>
    </row>
    <row r="2952" spans="2:2" x14ac:dyDescent="0.2">
      <c r="B2952" s="10"/>
    </row>
    <row r="2953" spans="2:2" x14ac:dyDescent="0.2">
      <c r="B2953" s="10"/>
    </row>
    <row r="2954" spans="2:2" x14ac:dyDescent="0.2">
      <c r="B2954" s="10"/>
    </row>
    <row r="2955" spans="2:2" x14ac:dyDescent="0.2">
      <c r="B2955" s="10"/>
    </row>
    <row r="2956" spans="2:2" x14ac:dyDescent="0.2">
      <c r="B2956" s="10"/>
    </row>
    <row r="2957" spans="2:2" x14ac:dyDescent="0.2">
      <c r="B2957" s="10"/>
    </row>
    <row r="2958" spans="2:2" x14ac:dyDescent="0.2">
      <c r="B2958" s="10"/>
    </row>
    <row r="2959" spans="2:2" x14ac:dyDescent="0.2">
      <c r="B2959" s="10"/>
    </row>
    <row r="2960" spans="2:2" x14ac:dyDescent="0.2">
      <c r="B2960" s="10"/>
    </row>
    <row r="2961" spans="2:2" x14ac:dyDescent="0.2">
      <c r="B2961" s="10"/>
    </row>
    <row r="2962" spans="2:2" x14ac:dyDescent="0.2">
      <c r="B2962" s="10"/>
    </row>
    <row r="2963" spans="2:2" x14ac:dyDescent="0.2">
      <c r="B2963" s="10"/>
    </row>
    <row r="2964" spans="2:2" x14ac:dyDescent="0.2">
      <c r="B2964" s="10"/>
    </row>
    <row r="2965" spans="2:2" x14ac:dyDescent="0.2">
      <c r="B2965" s="10"/>
    </row>
    <row r="2966" spans="2:2" x14ac:dyDescent="0.2">
      <c r="B2966" s="10"/>
    </row>
    <row r="2967" spans="2:2" x14ac:dyDescent="0.2">
      <c r="B2967" s="10"/>
    </row>
    <row r="2968" spans="2:2" x14ac:dyDescent="0.2">
      <c r="B2968" s="10"/>
    </row>
    <row r="2969" spans="2:2" x14ac:dyDescent="0.2">
      <c r="B2969" s="10"/>
    </row>
    <row r="2970" spans="2:2" x14ac:dyDescent="0.2">
      <c r="B2970" s="10"/>
    </row>
    <row r="2971" spans="2:2" x14ac:dyDescent="0.2">
      <c r="B2971" s="10"/>
    </row>
    <row r="2972" spans="2:2" x14ac:dyDescent="0.2">
      <c r="B2972" s="10"/>
    </row>
    <row r="2973" spans="2:2" x14ac:dyDescent="0.2">
      <c r="B2973" s="10"/>
    </row>
    <row r="2974" spans="2:2" x14ac:dyDescent="0.2">
      <c r="B2974" s="10"/>
    </row>
    <row r="2975" spans="2:2" x14ac:dyDescent="0.2">
      <c r="B2975" s="10"/>
    </row>
    <row r="2976" spans="2:2" x14ac:dyDescent="0.2">
      <c r="B2976" s="10"/>
    </row>
    <row r="2977" spans="2:2" x14ac:dyDescent="0.2">
      <c r="B2977" s="10"/>
    </row>
    <row r="2978" spans="2:2" x14ac:dyDescent="0.2">
      <c r="B2978" s="10"/>
    </row>
    <row r="2979" spans="2:2" x14ac:dyDescent="0.2">
      <c r="B2979" s="10"/>
    </row>
    <row r="2980" spans="2:2" x14ac:dyDescent="0.2">
      <c r="B2980" s="10"/>
    </row>
    <row r="2981" spans="2:2" x14ac:dyDescent="0.2">
      <c r="B2981" s="10"/>
    </row>
    <row r="2982" spans="2:2" x14ac:dyDescent="0.2">
      <c r="B2982" s="10"/>
    </row>
    <row r="2983" spans="2:2" x14ac:dyDescent="0.2">
      <c r="B2983" s="10"/>
    </row>
    <row r="2984" spans="2:2" x14ac:dyDescent="0.2">
      <c r="B2984" s="10"/>
    </row>
    <row r="2985" spans="2:2" x14ac:dyDescent="0.2">
      <c r="B2985" s="10"/>
    </row>
    <row r="2986" spans="2:2" x14ac:dyDescent="0.2">
      <c r="B2986" s="10"/>
    </row>
    <row r="2987" spans="2:2" x14ac:dyDescent="0.2">
      <c r="B2987" s="10"/>
    </row>
    <row r="2988" spans="2:2" x14ac:dyDescent="0.2">
      <c r="B2988" s="10"/>
    </row>
    <row r="2989" spans="2:2" x14ac:dyDescent="0.2">
      <c r="B2989" s="10"/>
    </row>
    <row r="2990" spans="2:2" x14ac:dyDescent="0.2">
      <c r="B2990" s="10"/>
    </row>
    <row r="2991" spans="2:2" x14ac:dyDescent="0.2">
      <c r="B2991" s="10"/>
    </row>
    <row r="2992" spans="2:2" x14ac:dyDescent="0.2">
      <c r="B2992" s="10"/>
    </row>
    <row r="2993" spans="2:2" x14ac:dyDescent="0.2">
      <c r="B2993" s="10"/>
    </row>
    <row r="2994" spans="2:2" x14ac:dyDescent="0.2">
      <c r="B2994" s="10"/>
    </row>
    <row r="2995" spans="2:2" x14ac:dyDescent="0.2">
      <c r="B2995" s="10"/>
    </row>
    <row r="2996" spans="2:2" x14ac:dyDescent="0.2">
      <c r="B2996" s="10"/>
    </row>
    <row r="2997" spans="2:2" x14ac:dyDescent="0.2">
      <c r="B2997" s="10"/>
    </row>
    <row r="2998" spans="2:2" x14ac:dyDescent="0.2">
      <c r="B2998" s="10"/>
    </row>
    <row r="2999" spans="2:2" x14ac:dyDescent="0.2">
      <c r="B2999" s="10"/>
    </row>
    <row r="3000" spans="2:2" x14ac:dyDescent="0.2">
      <c r="B3000" s="10"/>
    </row>
    <row r="3001" spans="2:2" x14ac:dyDescent="0.2">
      <c r="B3001" s="10"/>
    </row>
    <row r="3002" spans="2:2" x14ac:dyDescent="0.2">
      <c r="B3002" s="10"/>
    </row>
    <row r="3003" spans="2:2" x14ac:dyDescent="0.2">
      <c r="B3003" s="10"/>
    </row>
    <row r="3004" spans="2:2" x14ac:dyDescent="0.2">
      <c r="B3004" s="10"/>
    </row>
    <row r="3005" spans="2:2" x14ac:dyDescent="0.2">
      <c r="B3005" s="10"/>
    </row>
    <row r="3006" spans="2:2" x14ac:dyDescent="0.2">
      <c r="B3006" s="10"/>
    </row>
    <row r="3007" spans="2:2" x14ac:dyDescent="0.2">
      <c r="B3007" s="10"/>
    </row>
    <row r="3008" spans="2:2" x14ac:dyDescent="0.2">
      <c r="B3008" s="10"/>
    </row>
    <row r="3009" spans="2:2" x14ac:dyDescent="0.2">
      <c r="B3009" s="10"/>
    </row>
    <row r="3010" spans="2:2" x14ac:dyDescent="0.2">
      <c r="B3010" s="10"/>
    </row>
    <row r="3011" spans="2:2" x14ac:dyDescent="0.2">
      <c r="B3011" s="10"/>
    </row>
    <row r="3012" spans="2:2" x14ac:dyDescent="0.2">
      <c r="B3012" s="10"/>
    </row>
    <row r="3013" spans="2:2" x14ac:dyDescent="0.2">
      <c r="B3013" s="10"/>
    </row>
    <row r="3014" spans="2:2" x14ac:dyDescent="0.2">
      <c r="B3014" s="10"/>
    </row>
    <row r="3015" spans="2:2" x14ac:dyDescent="0.2">
      <c r="B3015" s="10"/>
    </row>
    <row r="3016" spans="2:2" x14ac:dyDescent="0.2">
      <c r="B3016" s="10"/>
    </row>
    <row r="3017" spans="2:2" x14ac:dyDescent="0.2">
      <c r="B3017" s="10"/>
    </row>
    <row r="3018" spans="2:2" x14ac:dyDescent="0.2">
      <c r="B3018" s="10"/>
    </row>
    <row r="3019" spans="2:2" x14ac:dyDescent="0.2">
      <c r="B3019" s="10"/>
    </row>
    <row r="3020" spans="2:2" x14ac:dyDescent="0.2">
      <c r="B3020" s="10"/>
    </row>
    <row r="3021" spans="2:2" x14ac:dyDescent="0.2">
      <c r="B3021" s="10"/>
    </row>
    <row r="3022" spans="2:2" x14ac:dyDescent="0.2">
      <c r="B3022" s="10"/>
    </row>
    <row r="3023" spans="2:2" x14ac:dyDescent="0.2">
      <c r="B3023" s="10"/>
    </row>
    <row r="3024" spans="2:2" x14ac:dyDescent="0.2">
      <c r="B3024" s="10"/>
    </row>
    <row r="3025" spans="2:2" x14ac:dyDescent="0.2">
      <c r="B3025" s="10"/>
    </row>
    <row r="3026" spans="2:2" x14ac:dyDescent="0.2">
      <c r="B3026" s="10"/>
    </row>
    <row r="3027" spans="2:2" x14ac:dyDescent="0.2">
      <c r="B3027" s="10"/>
    </row>
    <row r="3028" spans="2:2" x14ac:dyDescent="0.2">
      <c r="B3028" s="10"/>
    </row>
    <row r="3029" spans="2:2" x14ac:dyDescent="0.2">
      <c r="B3029" s="10"/>
    </row>
    <row r="3030" spans="2:2" x14ac:dyDescent="0.2">
      <c r="B3030" s="10"/>
    </row>
    <row r="3031" spans="2:2" x14ac:dyDescent="0.2">
      <c r="B3031" s="10"/>
    </row>
    <row r="3032" spans="2:2" x14ac:dyDescent="0.2">
      <c r="B3032" s="10"/>
    </row>
    <row r="3033" spans="2:2" x14ac:dyDescent="0.2">
      <c r="B3033" s="10"/>
    </row>
    <row r="3034" spans="2:2" x14ac:dyDescent="0.2">
      <c r="B3034" s="10"/>
    </row>
    <row r="3035" spans="2:2" x14ac:dyDescent="0.2">
      <c r="B3035" s="10"/>
    </row>
    <row r="3036" spans="2:2" x14ac:dyDescent="0.2">
      <c r="B3036" s="10"/>
    </row>
    <row r="3037" spans="2:2" x14ac:dyDescent="0.2">
      <c r="B3037" s="10"/>
    </row>
    <row r="3038" spans="2:2" x14ac:dyDescent="0.2">
      <c r="B3038" s="10"/>
    </row>
    <row r="3039" spans="2:2" x14ac:dyDescent="0.2">
      <c r="B3039" s="10"/>
    </row>
    <row r="3040" spans="2:2" x14ac:dyDescent="0.2">
      <c r="B3040" s="10"/>
    </row>
    <row r="3041" spans="2:2" x14ac:dyDescent="0.2">
      <c r="B3041" s="10"/>
    </row>
    <row r="3042" spans="2:2" x14ac:dyDescent="0.2">
      <c r="B3042" s="10"/>
    </row>
    <row r="3043" spans="2:2" x14ac:dyDescent="0.2">
      <c r="B3043" s="10"/>
    </row>
    <row r="3044" spans="2:2" x14ac:dyDescent="0.2">
      <c r="B3044" s="10"/>
    </row>
    <row r="3045" spans="2:2" x14ac:dyDescent="0.2">
      <c r="B3045" s="10"/>
    </row>
    <row r="3046" spans="2:2" x14ac:dyDescent="0.2">
      <c r="B3046" s="10"/>
    </row>
    <row r="3047" spans="2:2" x14ac:dyDescent="0.2">
      <c r="B3047" s="10"/>
    </row>
    <row r="3048" spans="2:2" x14ac:dyDescent="0.2">
      <c r="B3048" s="10"/>
    </row>
    <row r="3049" spans="2:2" x14ac:dyDescent="0.2">
      <c r="B3049" s="10"/>
    </row>
    <row r="3050" spans="2:2" x14ac:dyDescent="0.2">
      <c r="B3050" s="10"/>
    </row>
    <row r="3051" spans="2:2" x14ac:dyDescent="0.2">
      <c r="B3051" s="10"/>
    </row>
    <row r="3052" spans="2:2" x14ac:dyDescent="0.2">
      <c r="B3052" s="10"/>
    </row>
    <row r="3053" spans="2:2" x14ac:dyDescent="0.2">
      <c r="B3053" s="10"/>
    </row>
    <row r="3054" spans="2:2" x14ac:dyDescent="0.2">
      <c r="B3054" s="10"/>
    </row>
    <row r="3055" spans="2:2" x14ac:dyDescent="0.2">
      <c r="B3055" s="10"/>
    </row>
    <row r="3056" spans="2:2" x14ac:dyDescent="0.2">
      <c r="B3056" s="10"/>
    </row>
    <row r="3057" spans="2:2" x14ac:dyDescent="0.2">
      <c r="B3057" s="10"/>
    </row>
    <row r="3058" spans="2:2" x14ac:dyDescent="0.2">
      <c r="B3058" s="10"/>
    </row>
    <row r="3059" spans="2:2" x14ac:dyDescent="0.2">
      <c r="B3059" s="10"/>
    </row>
    <row r="3060" spans="2:2" x14ac:dyDescent="0.2">
      <c r="B3060" s="10"/>
    </row>
    <row r="3061" spans="2:2" x14ac:dyDescent="0.2">
      <c r="B3061" s="10"/>
    </row>
    <row r="3062" spans="2:2" x14ac:dyDescent="0.2">
      <c r="B3062" s="10"/>
    </row>
    <row r="3063" spans="2:2" x14ac:dyDescent="0.2">
      <c r="B3063" s="10"/>
    </row>
    <row r="3064" spans="2:2" x14ac:dyDescent="0.2">
      <c r="B3064" s="10"/>
    </row>
    <row r="3065" spans="2:2" x14ac:dyDescent="0.2">
      <c r="B3065" s="10"/>
    </row>
    <row r="3066" spans="2:2" x14ac:dyDescent="0.2">
      <c r="B3066" s="10"/>
    </row>
    <row r="3067" spans="2:2" x14ac:dyDescent="0.2">
      <c r="B3067" s="10"/>
    </row>
    <row r="3068" spans="2:2" x14ac:dyDescent="0.2">
      <c r="B3068" s="10"/>
    </row>
    <row r="3069" spans="2:2" x14ac:dyDescent="0.2">
      <c r="B3069" s="10"/>
    </row>
    <row r="3070" spans="2:2" x14ac:dyDescent="0.2">
      <c r="B3070" s="10"/>
    </row>
    <row r="3071" spans="2:2" x14ac:dyDescent="0.2">
      <c r="B3071" s="10"/>
    </row>
    <row r="3072" spans="2:2" x14ac:dyDescent="0.2">
      <c r="B3072" s="10"/>
    </row>
    <row r="3073" spans="2:2" x14ac:dyDescent="0.2">
      <c r="B3073" s="10"/>
    </row>
    <row r="3074" spans="2:2" x14ac:dyDescent="0.2">
      <c r="B3074" s="10"/>
    </row>
    <row r="3075" spans="2:2" x14ac:dyDescent="0.2">
      <c r="B3075" s="10"/>
    </row>
    <row r="3076" spans="2:2" x14ac:dyDescent="0.2">
      <c r="B3076" s="10"/>
    </row>
    <row r="3077" spans="2:2" x14ac:dyDescent="0.2">
      <c r="B3077" s="10"/>
    </row>
    <row r="3078" spans="2:2" x14ac:dyDescent="0.2">
      <c r="B3078" s="10"/>
    </row>
    <row r="3079" spans="2:2" x14ac:dyDescent="0.2">
      <c r="B3079" s="10"/>
    </row>
    <row r="3080" spans="2:2" x14ac:dyDescent="0.2">
      <c r="B3080" s="10"/>
    </row>
    <row r="3081" spans="2:2" x14ac:dyDescent="0.2">
      <c r="B3081" s="10"/>
    </row>
    <row r="3082" spans="2:2" x14ac:dyDescent="0.2">
      <c r="B3082" s="10"/>
    </row>
    <row r="3083" spans="2:2" x14ac:dyDescent="0.2">
      <c r="B3083" s="10"/>
    </row>
    <row r="3084" spans="2:2" x14ac:dyDescent="0.2">
      <c r="B3084" s="10"/>
    </row>
    <row r="3085" spans="2:2" x14ac:dyDescent="0.2">
      <c r="B3085" s="10"/>
    </row>
    <row r="3086" spans="2:2" x14ac:dyDescent="0.2">
      <c r="B3086" s="10"/>
    </row>
    <row r="3087" spans="2:2" x14ac:dyDescent="0.2">
      <c r="B3087" s="10"/>
    </row>
    <row r="3088" spans="2:2" x14ac:dyDescent="0.2">
      <c r="B3088" s="10"/>
    </row>
    <row r="3089" spans="2:2" x14ac:dyDescent="0.2">
      <c r="B3089" s="10"/>
    </row>
    <row r="3090" spans="2:2" x14ac:dyDescent="0.2">
      <c r="B3090" s="10"/>
    </row>
    <row r="3091" spans="2:2" x14ac:dyDescent="0.2">
      <c r="B3091" s="10"/>
    </row>
    <row r="3092" spans="2:2" x14ac:dyDescent="0.2">
      <c r="B3092" s="10"/>
    </row>
    <row r="3093" spans="2:2" x14ac:dyDescent="0.2">
      <c r="B3093" s="10"/>
    </row>
    <row r="3094" spans="2:2" x14ac:dyDescent="0.2">
      <c r="B3094" s="10"/>
    </row>
    <row r="3095" spans="2:2" x14ac:dyDescent="0.2">
      <c r="B3095" s="10"/>
    </row>
    <row r="3096" spans="2:2" x14ac:dyDescent="0.2">
      <c r="B3096" s="10"/>
    </row>
    <row r="3097" spans="2:2" x14ac:dyDescent="0.2">
      <c r="B3097" s="10"/>
    </row>
    <row r="3098" spans="2:2" x14ac:dyDescent="0.2">
      <c r="B3098" s="10"/>
    </row>
    <row r="3099" spans="2:2" x14ac:dyDescent="0.2">
      <c r="B3099" s="10"/>
    </row>
    <row r="3100" spans="2:2" x14ac:dyDescent="0.2">
      <c r="B3100" s="10"/>
    </row>
    <row r="3101" spans="2:2" x14ac:dyDescent="0.2">
      <c r="B3101" s="10"/>
    </row>
    <row r="3102" spans="2:2" x14ac:dyDescent="0.2">
      <c r="B3102" s="10"/>
    </row>
    <row r="3103" spans="2:2" x14ac:dyDescent="0.2">
      <c r="B3103" s="10"/>
    </row>
    <row r="3104" spans="2:2" x14ac:dyDescent="0.2">
      <c r="B3104" s="10"/>
    </row>
    <row r="3105" spans="2:2" x14ac:dyDescent="0.2">
      <c r="B3105" s="10"/>
    </row>
    <row r="3106" spans="2:2" x14ac:dyDescent="0.2">
      <c r="B3106" s="10"/>
    </row>
    <row r="3107" spans="2:2" x14ac:dyDescent="0.2">
      <c r="B3107" s="10"/>
    </row>
    <row r="3108" spans="2:2" x14ac:dyDescent="0.2">
      <c r="B3108" s="10"/>
    </row>
    <row r="3109" spans="2:2" x14ac:dyDescent="0.2">
      <c r="B3109" s="10"/>
    </row>
    <row r="3110" spans="2:2" x14ac:dyDescent="0.2">
      <c r="B3110" s="10"/>
    </row>
    <row r="3111" spans="2:2" x14ac:dyDescent="0.2">
      <c r="B3111" s="10"/>
    </row>
    <row r="3112" spans="2:2" x14ac:dyDescent="0.2">
      <c r="B3112" s="10"/>
    </row>
    <row r="3113" spans="2:2" x14ac:dyDescent="0.2">
      <c r="B3113" s="10"/>
    </row>
    <row r="3114" spans="2:2" x14ac:dyDescent="0.2">
      <c r="B3114" s="10"/>
    </row>
    <row r="3115" spans="2:2" x14ac:dyDescent="0.2">
      <c r="B3115" s="10"/>
    </row>
    <row r="3116" spans="2:2" x14ac:dyDescent="0.2">
      <c r="B3116" s="10"/>
    </row>
    <row r="3117" spans="2:2" x14ac:dyDescent="0.2">
      <c r="B3117" s="10"/>
    </row>
    <row r="3118" spans="2:2" x14ac:dyDescent="0.2">
      <c r="B3118" s="10"/>
    </row>
    <row r="3119" spans="2:2" x14ac:dyDescent="0.2">
      <c r="B3119" s="10"/>
    </row>
    <row r="3120" spans="2:2" x14ac:dyDescent="0.2">
      <c r="B3120" s="10"/>
    </row>
    <row r="3121" spans="2:2" x14ac:dyDescent="0.2">
      <c r="B3121" s="10"/>
    </row>
    <row r="3122" spans="2:2" x14ac:dyDescent="0.2">
      <c r="B3122" s="10"/>
    </row>
    <row r="3123" spans="2:2" x14ac:dyDescent="0.2">
      <c r="B3123" s="10"/>
    </row>
    <row r="3124" spans="2:2" x14ac:dyDescent="0.2">
      <c r="B3124" s="10"/>
    </row>
    <row r="3125" spans="2:2" x14ac:dyDescent="0.2">
      <c r="B3125" s="10"/>
    </row>
    <row r="3126" spans="2:2" x14ac:dyDescent="0.2">
      <c r="B3126" s="10"/>
    </row>
    <row r="3127" spans="2:2" x14ac:dyDescent="0.2">
      <c r="B3127" s="10"/>
    </row>
    <row r="3128" spans="2:2" x14ac:dyDescent="0.2">
      <c r="B3128" s="10"/>
    </row>
    <row r="3129" spans="2:2" x14ac:dyDescent="0.2">
      <c r="B3129" s="10"/>
    </row>
    <row r="3130" spans="2:2" x14ac:dyDescent="0.2">
      <c r="B3130" s="10"/>
    </row>
    <row r="3131" spans="2:2" x14ac:dyDescent="0.2">
      <c r="B3131" s="10"/>
    </row>
    <row r="3132" spans="2:2" x14ac:dyDescent="0.2">
      <c r="B3132" s="10"/>
    </row>
    <row r="3133" spans="2:2" x14ac:dyDescent="0.2">
      <c r="B3133" s="10"/>
    </row>
    <row r="3134" spans="2:2" x14ac:dyDescent="0.2">
      <c r="B3134" s="10"/>
    </row>
    <row r="3135" spans="2:2" x14ac:dyDescent="0.2">
      <c r="B3135" s="10"/>
    </row>
    <row r="3136" spans="2:2" x14ac:dyDescent="0.2">
      <c r="B3136" s="10"/>
    </row>
    <row r="3137" spans="2:2" x14ac:dyDescent="0.2">
      <c r="B3137" s="10"/>
    </row>
    <row r="3138" spans="2:2" x14ac:dyDescent="0.2">
      <c r="B3138" s="10"/>
    </row>
    <row r="3139" spans="2:2" x14ac:dyDescent="0.2">
      <c r="B3139" s="10"/>
    </row>
    <row r="3140" spans="2:2" x14ac:dyDescent="0.2">
      <c r="B3140" s="10"/>
    </row>
    <row r="3141" spans="2:2" x14ac:dyDescent="0.2">
      <c r="B3141" s="10"/>
    </row>
    <row r="3142" spans="2:2" x14ac:dyDescent="0.2">
      <c r="B3142" s="10"/>
    </row>
    <row r="3143" spans="2:2" x14ac:dyDescent="0.2">
      <c r="B3143" s="10"/>
    </row>
    <row r="3144" spans="2:2" x14ac:dyDescent="0.2">
      <c r="B3144" s="10"/>
    </row>
    <row r="3145" spans="2:2" x14ac:dyDescent="0.2">
      <c r="B3145" s="10"/>
    </row>
    <row r="3146" spans="2:2" x14ac:dyDescent="0.2">
      <c r="B3146" s="10"/>
    </row>
    <row r="3147" spans="2:2" x14ac:dyDescent="0.2">
      <c r="B3147" s="10"/>
    </row>
    <row r="3148" spans="2:2" x14ac:dyDescent="0.2">
      <c r="B3148" s="10"/>
    </row>
    <row r="3149" spans="2:2" x14ac:dyDescent="0.2">
      <c r="B3149" s="10"/>
    </row>
    <row r="3150" spans="2:2" x14ac:dyDescent="0.2">
      <c r="B3150" s="10"/>
    </row>
    <row r="3151" spans="2:2" x14ac:dyDescent="0.2">
      <c r="B3151" s="10"/>
    </row>
    <row r="3152" spans="2:2" x14ac:dyDescent="0.2">
      <c r="B3152" s="10"/>
    </row>
    <row r="3153" spans="2:2" x14ac:dyDescent="0.2">
      <c r="B3153" s="10"/>
    </row>
    <row r="3154" spans="2:2" x14ac:dyDescent="0.2">
      <c r="B3154" s="10"/>
    </row>
    <row r="3155" spans="2:2" x14ac:dyDescent="0.2">
      <c r="B3155" s="10"/>
    </row>
    <row r="3156" spans="2:2" x14ac:dyDescent="0.2">
      <c r="B3156" s="10"/>
    </row>
    <row r="3157" spans="2:2" x14ac:dyDescent="0.2">
      <c r="B3157" s="10"/>
    </row>
    <row r="3158" spans="2:2" x14ac:dyDescent="0.2">
      <c r="B3158" s="10"/>
    </row>
    <row r="3159" spans="2:2" x14ac:dyDescent="0.2">
      <c r="B3159" s="10"/>
    </row>
    <row r="3160" spans="2:2" x14ac:dyDescent="0.2">
      <c r="B3160" s="10"/>
    </row>
    <row r="3161" spans="2:2" x14ac:dyDescent="0.2">
      <c r="B3161" s="10"/>
    </row>
    <row r="3162" spans="2:2" x14ac:dyDescent="0.2">
      <c r="B3162" s="10"/>
    </row>
    <row r="3163" spans="2:2" x14ac:dyDescent="0.2">
      <c r="B3163" s="10"/>
    </row>
    <row r="3164" spans="2:2" x14ac:dyDescent="0.2">
      <c r="B3164" s="10"/>
    </row>
    <row r="3165" spans="2:2" x14ac:dyDescent="0.2">
      <c r="B3165" s="10"/>
    </row>
    <row r="3166" spans="2:2" x14ac:dyDescent="0.2">
      <c r="B3166" s="10"/>
    </row>
    <row r="3167" spans="2:2" x14ac:dyDescent="0.2">
      <c r="B3167" s="10"/>
    </row>
    <row r="3168" spans="2:2" x14ac:dyDescent="0.2">
      <c r="B3168" s="10"/>
    </row>
    <row r="3169" spans="2:2" x14ac:dyDescent="0.2">
      <c r="B3169" s="10"/>
    </row>
    <row r="3170" spans="2:2" x14ac:dyDescent="0.2">
      <c r="B3170" s="10"/>
    </row>
    <row r="3171" spans="2:2" x14ac:dyDescent="0.2">
      <c r="B3171" s="10"/>
    </row>
    <row r="3172" spans="2:2" x14ac:dyDescent="0.2">
      <c r="B3172" s="10"/>
    </row>
    <row r="3173" spans="2:2" x14ac:dyDescent="0.2">
      <c r="B3173" s="10"/>
    </row>
    <row r="3174" spans="2:2" x14ac:dyDescent="0.2">
      <c r="B3174" s="10"/>
    </row>
    <row r="3175" spans="2:2" x14ac:dyDescent="0.2">
      <c r="B3175" s="10"/>
    </row>
    <row r="3176" spans="2:2" x14ac:dyDescent="0.2">
      <c r="B3176" s="10"/>
    </row>
    <row r="3177" spans="2:2" x14ac:dyDescent="0.2">
      <c r="B3177" s="10"/>
    </row>
    <row r="3178" spans="2:2" x14ac:dyDescent="0.2">
      <c r="B3178" s="10"/>
    </row>
    <row r="3179" spans="2:2" x14ac:dyDescent="0.2">
      <c r="B3179" s="10"/>
    </row>
    <row r="3180" spans="2:2" x14ac:dyDescent="0.2">
      <c r="B3180" s="10"/>
    </row>
    <row r="3181" spans="2:2" x14ac:dyDescent="0.2">
      <c r="B3181" s="10"/>
    </row>
    <row r="3182" spans="2:2" x14ac:dyDescent="0.2">
      <c r="B3182" s="10"/>
    </row>
    <row r="3183" spans="2:2" x14ac:dyDescent="0.2">
      <c r="B3183" s="10"/>
    </row>
    <row r="3184" spans="2:2" x14ac:dyDescent="0.2">
      <c r="B3184" s="10"/>
    </row>
    <row r="3185" spans="2:2" x14ac:dyDescent="0.2">
      <c r="B3185" s="10"/>
    </row>
    <row r="3186" spans="2:2" x14ac:dyDescent="0.2">
      <c r="B3186" s="10"/>
    </row>
    <row r="3187" spans="2:2" x14ac:dyDescent="0.2">
      <c r="B3187" s="10"/>
    </row>
    <row r="3188" spans="2:2" x14ac:dyDescent="0.2">
      <c r="B3188" s="10"/>
    </row>
    <row r="3189" spans="2:2" x14ac:dyDescent="0.2">
      <c r="B3189" s="10"/>
    </row>
    <row r="3190" spans="2:2" x14ac:dyDescent="0.2">
      <c r="B3190" s="10"/>
    </row>
    <row r="3191" spans="2:2" x14ac:dyDescent="0.2">
      <c r="B3191" s="10"/>
    </row>
    <row r="3192" spans="2:2" x14ac:dyDescent="0.2">
      <c r="B3192" s="10"/>
    </row>
    <row r="3193" spans="2:2" x14ac:dyDescent="0.2">
      <c r="B3193" s="10"/>
    </row>
    <row r="3194" spans="2:2" x14ac:dyDescent="0.2">
      <c r="B3194" s="10"/>
    </row>
    <row r="3195" spans="2:2" x14ac:dyDescent="0.2">
      <c r="B3195" s="10"/>
    </row>
    <row r="3196" spans="2:2" x14ac:dyDescent="0.2">
      <c r="B3196" s="10"/>
    </row>
    <row r="3197" spans="2:2" x14ac:dyDescent="0.2">
      <c r="B3197" s="10"/>
    </row>
    <row r="3198" spans="2:2" x14ac:dyDescent="0.2">
      <c r="B3198" s="10"/>
    </row>
    <row r="3199" spans="2:2" x14ac:dyDescent="0.2">
      <c r="B3199" s="10"/>
    </row>
    <row r="3200" spans="2:2" x14ac:dyDescent="0.2">
      <c r="B3200" s="10"/>
    </row>
    <row r="3201" spans="2:2" x14ac:dyDescent="0.2">
      <c r="B3201" s="10"/>
    </row>
    <row r="3202" spans="2:2" x14ac:dyDescent="0.2">
      <c r="B3202" s="10"/>
    </row>
    <row r="3203" spans="2:2" x14ac:dyDescent="0.2">
      <c r="B3203" s="10"/>
    </row>
    <row r="3204" spans="2:2" x14ac:dyDescent="0.2">
      <c r="B3204" s="10"/>
    </row>
    <row r="3205" spans="2:2" x14ac:dyDescent="0.2">
      <c r="B3205" s="10"/>
    </row>
    <row r="3206" spans="2:2" x14ac:dyDescent="0.2">
      <c r="B3206" s="10"/>
    </row>
    <row r="3207" spans="2:2" x14ac:dyDescent="0.2">
      <c r="B3207" s="10"/>
    </row>
    <row r="3208" spans="2:2" x14ac:dyDescent="0.2">
      <c r="B3208" s="10"/>
    </row>
    <row r="3209" spans="2:2" x14ac:dyDescent="0.2">
      <c r="B3209" s="10"/>
    </row>
    <row r="3210" spans="2:2" x14ac:dyDescent="0.2">
      <c r="B3210" s="10"/>
    </row>
    <row r="3211" spans="2:2" x14ac:dyDescent="0.2">
      <c r="B3211" s="10"/>
    </row>
    <row r="3212" spans="2:2" x14ac:dyDescent="0.2">
      <c r="B3212" s="10"/>
    </row>
    <row r="3213" spans="2:2" x14ac:dyDescent="0.2">
      <c r="B3213" s="10"/>
    </row>
    <row r="3214" spans="2:2" x14ac:dyDescent="0.2">
      <c r="B3214" s="10"/>
    </row>
    <row r="3215" spans="2:2" x14ac:dyDescent="0.2">
      <c r="B3215" s="10"/>
    </row>
    <row r="3216" spans="2:2" x14ac:dyDescent="0.2">
      <c r="B3216" s="10"/>
    </row>
    <row r="3217" spans="2:2" x14ac:dyDescent="0.2">
      <c r="B3217" s="10"/>
    </row>
    <row r="3218" spans="2:2" x14ac:dyDescent="0.2">
      <c r="B3218" s="10"/>
    </row>
    <row r="3219" spans="2:2" x14ac:dyDescent="0.2">
      <c r="B3219" s="10"/>
    </row>
    <row r="3220" spans="2:2" x14ac:dyDescent="0.2">
      <c r="B3220" s="10"/>
    </row>
    <row r="3221" spans="2:2" x14ac:dyDescent="0.2">
      <c r="B3221" s="10"/>
    </row>
    <row r="3222" spans="2:2" x14ac:dyDescent="0.2">
      <c r="B3222" s="10"/>
    </row>
    <row r="3223" spans="2:2" x14ac:dyDescent="0.2">
      <c r="B3223" s="10"/>
    </row>
    <row r="3224" spans="2:2" x14ac:dyDescent="0.2">
      <c r="B3224" s="10"/>
    </row>
    <row r="3225" spans="2:2" x14ac:dyDescent="0.2">
      <c r="B3225" s="10"/>
    </row>
    <row r="3226" spans="2:2" x14ac:dyDescent="0.2">
      <c r="B3226" s="10"/>
    </row>
    <row r="3227" spans="2:2" x14ac:dyDescent="0.2">
      <c r="B3227" s="10"/>
    </row>
    <row r="3228" spans="2:2" x14ac:dyDescent="0.2">
      <c r="B3228" s="10"/>
    </row>
    <row r="3229" spans="2:2" x14ac:dyDescent="0.2">
      <c r="B3229" s="10"/>
    </row>
    <row r="3230" spans="2:2" x14ac:dyDescent="0.2">
      <c r="B3230" s="10"/>
    </row>
    <row r="3231" spans="2:2" x14ac:dyDescent="0.2">
      <c r="B3231" s="10"/>
    </row>
    <row r="3232" spans="2:2" x14ac:dyDescent="0.2">
      <c r="B3232" s="10"/>
    </row>
    <row r="3233" spans="2:2" x14ac:dyDescent="0.2">
      <c r="B3233" s="10"/>
    </row>
    <row r="3234" spans="2:2" x14ac:dyDescent="0.2">
      <c r="B3234" s="10"/>
    </row>
    <row r="3235" spans="2:2" x14ac:dyDescent="0.2">
      <c r="B3235" s="10"/>
    </row>
    <row r="3236" spans="2:2" x14ac:dyDescent="0.2">
      <c r="B3236" s="10"/>
    </row>
    <row r="3237" spans="2:2" x14ac:dyDescent="0.2">
      <c r="B3237" s="10"/>
    </row>
    <row r="3238" spans="2:2" x14ac:dyDescent="0.2">
      <c r="B3238" s="10"/>
    </row>
    <row r="3239" spans="2:2" x14ac:dyDescent="0.2">
      <c r="B3239" s="10"/>
    </row>
    <row r="3240" spans="2:2" x14ac:dyDescent="0.2">
      <c r="B3240" s="10"/>
    </row>
    <row r="3241" spans="2:2" x14ac:dyDescent="0.2">
      <c r="B3241" s="10"/>
    </row>
    <row r="3242" spans="2:2" x14ac:dyDescent="0.2">
      <c r="B3242" s="10"/>
    </row>
    <row r="3243" spans="2:2" x14ac:dyDescent="0.2">
      <c r="B3243" s="10"/>
    </row>
    <row r="3244" spans="2:2" x14ac:dyDescent="0.2">
      <c r="B3244" s="10"/>
    </row>
    <row r="3245" spans="2:2" x14ac:dyDescent="0.2">
      <c r="B3245" s="10"/>
    </row>
    <row r="3246" spans="2:2" x14ac:dyDescent="0.2">
      <c r="B3246" s="10"/>
    </row>
    <row r="3247" spans="2:2" x14ac:dyDescent="0.2">
      <c r="B3247" s="10"/>
    </row>
    <row r="3248" spans="2:2" x14ac:dyDescent="0.2">
      <c r="B3248" s="10"/>
    </row>
    <row r="3249" spans="2:2" x14ac:dyDescent="0.2">
      <c r="B3249" s="10"/>
    </row>
    <row r="3250" spans="2:2" x14ac:dyDescent="0.2">
      <c r="B3250" s="10"/>
    </row>
    <row r="3251" spans="2:2" x14ac:dyDescent="0.2">
      <c r="B3251" s="10"/>
    </row>
    <row r="3252" spans="2:2" x14ac:dyDescent="0.2">
      <c r="B3252" s="10"/>
    </row>
    <row r="3253" spans="2:2" x14ac:dyDescent="0.2">
      <c r="B3253" s="10"/>
    </row>
    <row r="3254" spans="2:2" x14ac:dyDescent="0.2">
      <c r="B3254" s="10"/>
    </row>
    <row r="3255" spans="2:2" x14ac:dyDescent="0.2">
      <c r="B3255" s="10"/>
    </row>
    <row r="3256" spans="2:2" x14ac:dyDescent="0.2">
      <c r="B3256" s="10"/>
    </row>
    <row r="3257" spans="2:2" x14ac:dyDescent="0.2">
      <c r="B3257" s="10"/>
    </row>
    <row r="3258" spans="2:2" x14ac:dyDescent="0.2">
      <c r="B3258" s="10"/>
    </row>
    <row r="3259" spans="2:2" x14ac:dyDescent="0.2">
      <c r="B3259" s="10"/>
    </row>
    <row r="3260" spans="2:2" x14ac:dyDescent="0.2">
      <c r="B3260" s="10"/>
    </row>
    <row r="3261" spans="2:2" x14ac:dyDescent="0.2">
      <c r="B3261" s="10"/>
    </row>
    <row r="3262" spans="2:2" x14ac:dyDescent="0.2">
      <c r="B3262" s="10"/>
    </row>
    <row r="3263" spans="2:2" x14ac:dyDescent="0.2">
      <c r="B3263" s="10"/>
    </row>
    <row r="3264" spans="2:2" x14ac:dyDescent="0.2">
      <c r="B3264" s="10"/>
    </row>
    <row r="3265" spans="2:2" x14ac:dyDescent="0.2">
      <c r="B3265" s="10"/>
    </row>
    <row r="3266" spans="2:2" x14ac:dyDescent="0.2">
      <c r="B3266" s="10"/>
    </row>
    <row r="3267" spans="2:2" x14ac:dyDescent="0.2">
      <c r="B3267" s="10"/>
    </row>
    <row r="3268" spans="2:2" x14ac:dyDescent="0.2">
      <c r="B3268" s="10"/>
    </row>
    <row r="3269" spans="2:2" x14ac:dyDescent="0.2">
      <c r="B3269" s="10"/>
    </row>
    <row r="3270" spans="2:2" x14ac:dyDescent="0.2">
      <c r="B3270" s="10"/>
    </row>
    <row r="3271" spans="2:2" x14ac:dyDescent="0.2">
      <c r="B3271" s="10"/>
    </row>
    <row r="3272" spans="2:2" x14ac:dyDescent="0.2">
      <c r="B3272" s="10"/>
    </row>
    <row r="3273" spans="2:2" x14ac:dyDescent="0.2">
      <c r="B3273" s="10"/>
    </row>
    <row r="3274" spans="2:2" x14ac:dyDescent="0.2">
      <c r="B3274" s="10"/>
    </row>
    <row r="3275" spans="2:2" x14ac:dyDescent="0.2">
      <c r="B3275" s="10"/>
    </row>
    <row r="3276" spans="2:2" x14ac:dyDescent="0.2">
      <c r="B3276" s="10"/>
    </row>
    <row r="3277" spans="2:2" x14ac:dyDescent="0.2">
      <c r="B3277" s="10"/>
    </row>
    <row r="3278" spans="2:2" x14ac:dyDescent="0.2">
      <c r="B3278" s="10"/>
    </row>
    <row r="3279" spans="2:2" x14ac:dyDescent="0.2">
      <c r="B3279" s="10"/>
    </row>
    <row r="3280" spans="2:2" x14ac:dyDescent="0.2">
      <c r="B3280" s="10"/>
    </row>
    <row r="3281" spans="2:2" x14ac:dyDescent="0.2">
      <c r="B3281" s="10"/>
    </row>
    <row r="3282" spans="2:2" x14ac:dyDescent="0.2">
      <c r="B3282" s="10"/>
    </row>
    <row r="3283" spans="2:2" x14ac:dyDescent="0.2">
      <c r="B3283" s="10"/>
    </row>
    <row r="3284" spans="2:2" x14ac:dyDescent="0.2">
      <c r="B3284" s="10"/>
    </row>
    <row r="3285" spans="2:2" x14ac:dyDescent="0.2">
      <c r="B3285" s="10"/>
    </row>
    <row r="3286" spans="2:2" x14ac:dyDescent="0.2">
      <c r="B3286" s="10"/>
    </row>
    <row r="3287" spans="2:2" x14ac:dyDescent="0.2">
      <c r="B3287" s="10"/>
    </row>
    <row r="3288" spans="2:2" x14ac:dyDescent="0.2">
      <c r="B3288" s="10"/>
    </row>
    <row r="3289" spans="2:2" x14ac:dyDescent="0.2">
      <c r="B3289" s="10"/>
    </row>
    <row r="3290" spans="2:2" x14ac:dyDescent="0.2">
      <c r="B3290" s="10"/>
    </row>
    <row r="3291" spans="2:2" x14ac:dyDescent="0.2">
      <c r="B3291" s="10"/>
    </row>
    <row r="3292" spans="2:2" x14ac:dyDescent="0.2">
      <c r="B3292" s="10"/>
    </row>
    <row r="3293" spans="2:2" x14ac:dyDescent="0.2">
      <c r="B3293" s="10"/>
    </row>
    <row r="3294" spans="2:2" x14ac:dyDescent="0.2">
      <c r="B3294" s="10"/>
    </row>
    <row r="3295" spans="2:2" x14ac:dyDescent="0.2">
      <c r="B3295" s="10"/>
    </row>
    <row r="3296" spans="2:2" x14ac:dyDescent="0.2">
      <c r="B3296" s="10"/>
    </row>
    <row r="3297" spans="2:2" x14ac:dyDescent="0.2">
      <c r="B3297" s="10"/>
    </row>
    <row r="3298" spans="2:2" x14ac:dyDescent="0.2">
      <c r="B3298" s="10"/>
    </row>
    <row r="3299" spans="2:2" x14ac:dyDescent="0.2">
      <c r="B3299" s="10"/>
    </row>
    <row r="3300" spans="2:2" x14ac:dyDescent="0.2">
      <c r="B3300" s="10"/>
    </row>
    <row r="3301" spans="2:2" x14ac:dyDescent="0.2">
      <c r="B3301" s="10"/>
    </row>
    <row r="3302" spans="2:2" x14ac:dyDescent="0.2">
      <c r="B3302" s="10"/>
    </row>
    <row r="3303" spans="2:2" x14ac:dyDescent="0.2">
      <c r="B3303" s="10"/>
    </row>
    <row r="3304" spans="2:2" x14ac:dyDescent="0.2">
      <c r="B3304" s="10"/>
    </row>
    <row r="3305" spans="2:2" x14ac:dyDescent="0.2">
      <c r="B3305" s="10"/>
    </row>
    <row r="3306" spans="2:2" x14ac:dyDescent="0.2">
      <c r="B3306" s="10"/>
    </row>
    <row r="3307" spans="2:2" x14ac:dyDescent="0.2">
      <c r="B3307" s="10"/>
    </row>
    <row r="3308" spans="2:2" x14ac:dyDescent="0.2">
      <c r="B3308" s="10"/>
    </row>
    <row r="3309" spans="2:2" x14ac:dyDescent="0.2">
      <c r="B3309" s="10"/>
    </row>
    <row r="3310" spans="2:2" x14ac:dyDescent="0.2">
      <c r="B3310" s="10"/>
    </row>
    <row r="3311" spans="2:2" x14ac:dyDescent="0.2">
      <c r="B3311" s="10"/>
    </row>
    <row r="3312" spans="2:2" x14ac:dyDescent="0.2">
      <c r="B3312" s="10"/>
    </row>
    <row r="3313" spans="2:2" x14ac:dyDescent="0.2">
      <c r="B3313" s="10"/>
    </row>
    <row r="3314" spans="2:2" x14ac:dyDescent="0.2">
      <c r="B3314" s="10"/>
    </row>
    <row r="3315" spans="2:2" x14ac:dyDescent="0.2">
      <c r="B3315" s="10"/>
    </row>
    <row r="3316" spans="2:2" x14ac:dyDescent="0.2">
      <c r="B3316" s="10"/>
    </row>
    <row r="3317" spans="2:2" x14ac:dyDescent="0.2">
      <c r="B3317" s="10"/>
    </row>
    <row r="3318" spans="2:2" x14ac:dyDescent="0.2">
      <c r="B3318" s="10"/>
    </row>
    <row r="3319" spans="2:2" x14ac:dyDescent="0.2">
      <c r="B3319" s="10"/>
    </row>
    <row r="3320" spans="2:2" x14ac:dyDescent="0.2">
      <c r="B3320" s="10"/>
    </row>
    <row r="3321" spans="2:2" x14ac:dyDescent="0.2">
      <c r="B3321" s="10"/>
    </row>
    <row r="3322" spans="2:2" x14ac:dyDescent="0.2">
      <c r="B3322" s="10"/>
    </row>
    <row r="3323" spans="2:2" x14ac:dyDescent="0.2">
      <c r="B3323" s="10"/>
    </row>
    <row r="3324" spans="2:2" x14ac:dyDescent="0.2">
      <c r="B3324" s="10"/>
    </row>
    <row r="3325" spans="2:2" x14ac:dyDescent="0.2">
      <c r="B3325" s="10"/>
    </row>
    <row r="3326" spans="2:2" x14ac:dyDescent="0.2">
      <c r="B3326" s="10"/>
    </row>
    <row r="3327" spans="2:2" x14ac:dyDescent="0.2">
      <c r="B3327" s="10"/>
    </row>
    <row r="3328" spans="2:2" x14ac:dyDescent="0.2">
      <c r="B3328" s="10"/>
    </row>
    <row r="3329" spans="2:2" x14ac:dyDescent="0.2">
      <c r="B3329" s="10"/>
    </row>
    <row r="3330" spans="2:2" x14ac:dyDescent="0.2">
      <c r="B3330" s="10"/>
    </row>
    <row r="3331" spans="2:2" x14ac:dyDescent="0.2">
      <c r="B3331" s="10"/>
    </row>
    <row r="3332" spans="2:2" x14ac:dyDescent="0.2">
      <c r="B3332" s="10"/>
    </row>
    <row r="3333" spans="2:2" x14ac:dyDescent="0.2">
      <c r="B3333" s="10"/>
    </row>
    <row r="3334" spans="2:2" x14ac:dyDescent="0.2">
      <c r="B3334" s="10"/>
    </row>
    <row r="3335" spans="2:2" x14ac:dyDescent="0.2">
      <c r="B3335" s="10"/>
    </row>
    <row r="3336" spans="2:2" x14ac:dyDescent="0.2">
      <c r="B3336" s="10"/>
    </row>
    <row r="3337" spans="2:2" x14ac:dyDescent="0.2">
      <c r="B3337" s="10"/>
    </row>
    <row r="3338" spans="2:2" x14ac:dyDescent="0.2">
      <c r="B3338" s="10"/>
    </row>
    <row r="3339" spans="2:2" x14ac:dyDescent="0.2">
      <c r="B3339" s="10"/>
    </row>
    <row r="3340" spans="2:2" x14ac:dyDescent="0.2">
      <c r="B3340" s="10"/>
    </row>
    <row r="3341" spans="2:2" x14ac:dyDescent="0.2">
      <c r="B3341" s="10"/>
    </row>
    <row r="3342" spans="2:2" x14ac:dyDescent="0.2">
      <c r="B3342" s="10"/>
    </row>
    <row r="3343" spans="2:2" x14ac:dyDescent="0.2">
      <c r="B3343" s="10"/>
    </row>
    <row r="3344" spans="2:2" x14ac:dyDescent="0.2">
      <c r="B3344" s="10"/>
    </row>
    <row r="3345" spans="2:2" x14ac:dyDescent="0.2">
      <c r="B3345" s="10"/>
    </row>
    <row r="3346" spans="2:2" x14ac:dyDescent="0.2">
      <c r="B3346" s="10"/>
    </row>
    <row r="3347" spans="2:2" x14ac:dyDescent="0.2">
      <c r="B3347" s="10"/>
    </row>
    <row r="3348" spans="2:2" x14ac:dyDescent="0.2">
      <c r="B3348" s="10"/>
    </row>
    <row r="3349" spans="2:2" x14ac:dyDescent="0.2">
      <c r="B3349" s="10"/>
    </row>
    <row r="3350" spans="2:2" x14ac:dyDescent="0.2">
      <c r="B3350" s="10"/>
    </row>
    <row r="3351" spans="2:2" x14ac:dyDescent="0.2">
      <c r="B3351" s="10"/>
    </row>
    <row r="3352" spans="2:2" x14ac:dyDescent="0.2">
      <c r="B3352" s="10"/>
    </row>
    <row r="3353" spans="2:2" x14ac:dyDescent="0.2">
      <c r="B3353" s="10"/>
    </row>
    <row r="3354" spans="2:2" x14ac:dyDescent="0.2">
      <c r="B3354" s="10"/>
    </row>
    <row r="3355" spans="2:2" x14ac:dyDescent="0.2">
      <c r="B3355" s="10"/>
    </row>
    <row r="3356" spans="2:2" x14ac:dyDescent="0.2">
      <c r="B3356" s="10"/>
    </row>
    <row r="3357" spans="2:2" x14ac:dyDescent="0.2">
      <c r="B3357" s="10"/>
    </row>
    <row r="3358" spans="2:2" x14ac:dyDescent="0.2">
      <c r="B3358" s="10"/>
    </row>
    <row r="3359" spans="2:2" x14ac:dyDescent="0.2">
      <c r="B3359" s="10"/>
    </row>
    <row r="3360" spans="2:2" x14ac:dyDescent="0.2">
      <c r="B3360" s="10"/>
    </row>
    <row r="3361" spans="2:2" x14ac:dyDescent="0.2">
      <c r="B3361" s="10"/>
    </row>
    <row r="3362" spans="2:2" x14ac:dyDescent="0.2">
      <c r="B3362" s="10"/>
    </row>
    <row r="3363" spans="2:2" x14ac:dyDescent="0.2">
      <c r="B3363" s="10"/>
    </row>
    <row r="3364" spans="2:2" x14ac:dyDescent="0.2">
      <c r="B3364" s="10"/>
    </row>
    <row r="3365" spans="2:2" x14ac:dyDescent="0.2">
      <c r="B3365" s="10"/>
    </row>
    <row r="3366" spans="2:2" x14ac:dyDescent="0.2">
      <c r="B3366" s="10"/>
    </row>
    <row r="3367" spans="2:2" x14ac:dyDescent="0.2">
      <c r="B3367" s="10"/>
    </row>
    <row r="3368" spans="2:2" x14ac:dyDescent="0.2">
      <c r="B3368" s="10"/>
    </row>
    <row r="3369" spans="2:2" x14ac:dyDescent="0.2">
      <c r="B3369" s="10"/>
    </row>
    <row r="3370" spans="2:2" x14ac:dyDescent="0.2">
      <c r="B3370" s="10"/>
    </row>
    <row r="3371" spans="2:2" x14ac:dyDescent="0.2">
      <c r="B3371" s="10"/>
    </row>
    <row r="3372" spans="2:2" x14ac:dyDescent="0.2">
      <c r="B3372" s="10"/>
    </row>
    <row r="3373" spans="2:2" x14ac:dyDescent="0.2">
      <c r="B3373" s="10"/>
    </row>
    <row r="3374" spans="2:2" x14ac:dyDescent="0.2">
      <c r="B3374" s="10"/>
    </row>
    <row r="3375" spans="2:2" x14ac:dyDescent="0.2">
      <c r="B3375" s="10"/>
    </row>
    <row r="3376" spans="2:2" x14ac:dyDescent="0.2">
      <c r="B3376" s="10"/>
    </row>
    <row r="3377" spans="2:2" x14ac:dyDescent="0.2">
      <c r="B3377" s="10"/>
    </row>
    <row r="3378" spans="2:2" x14ac:dyDescent="0.2">
      <c r="B3378" s="10"/>
    </row>
    <row r="3379" spans="2:2" x14ac:dyDescent="0.2">
      <c r="B3379" s="10"/>
    </row>
    <row r="3380" spans="2:2" x14ac:dyDescent="0.2">
      <c r="B3380" s="10"/>
    </row>
    <row r="3381" spans="2:2" x14ac:dyDescent="0.2">
      <c r="B3381" s="10"/>
    </row>
    <row r="3382" spans="2:2" x14ac:dyDescent="0.2">
      <c r="B3382" s="10"/>
    </row>
    <row r="3383" spans="2:2" x14ac:dyDescent="0.2">
      <c r="B3383" s="10"/>
    </row>
    <row r="3384" spans="2:2" x14ac:dyDescent="0.2">
      <c r="B3384" s="10"/>
    </row>
    <row r="3385" spans="2:2" x14ac:dyDescent="0.2">
      <c r="B3385" s="10"/>
    </row>
    <row r="3386" spans="2:2" x14ac:dyDescent="0.2">
      <c r="B3386" s="10"/>
    </row>
    <row r="3387" spans="2:2" x14ac:dyDescent="0.2">
      <c r="B3387" s="10"/>
    </row>
    <row r="3388" spans="2:2" x14ac:dyDescent="0.2">
      <c r="B3388" s="10"/>
    </row>
    <row r="3389" spans="2:2" x14ac:dyDescent="0.2">
      <c r="B3389" s="10"/>
    </row>
    <row r="3390" spans="2:2" x14ac:dyDescent="0.2">
      <c r="B3390" s="10"/>
    </row>
    <row r="3391" spans="2:2" x14ac:dyDescent="0.2">
      <c r="B3391" s="10"/>
    </row>
    <row r="3392" spans="2:2" x14ac:dyDescent="0.2">
      <c r="B3392" s="10"/>
    </row>
    <row r="3393" spans="2:2" x14ac:dyDescent="0.2">
      <c r="B3393" s="10"/>
    </row>
    <row r="3394" spans="2:2" x14ac:dyDescent="0.2">
      <c r="B3394" s="10"/>
    </row>
    <row r="3395" spans="2:2" x14ac:dyDescent="0.2">
      <c r="B3395" s="10"/>
    </row>
    <row r="3396" spans="2:2" x14ac:dyDescent="0.2">
      <c r="B3396" s="10"/>
    </row>
    <row r="3397" spans="2:2" x14ac:dyDescent="0.2">
      <c r="B3397" s="10"/>
    </row>
    <row r="3398" spans="2:2" x14ac:dyDescent="0.2">
      <c r="B3398" s="10"/>
    </row>
    <row r="3399" spans="2:2" x14ac:dyDescent="0.2">
      <c r="B3399" s="10"/>
    </row>
    <row r="3400" spans="2:2" x14ac:dyDescent="0.2">
      <c r="B3400" s="10"/>
    </row>
    <row r="3401" spans="2:2" x14ac:dyDescent="0.2">
      <c r="B3401" s="10"/>
    </row>
    <row r="3402" spans="2:2" x14ac:dyDescent="0.2">
      <c r="B3402" s="10"/>
    </row>
    <row r="3403" spans="2:2" x14ac:dyDescent="0.2">
      <c r="B3403" s="10"/>
    </row>
    <row r="3404" spans="2:2" x14ac:dyDescent="0.2">
      <c r="B3404" s="10"/>
    </row>
    <row r="3405" spans="2:2" x14ac:dyDescent="0.2">
      <c r="B3405" s="10"/>
    </row>
    <row r="3406" spans="2:2" x14ac:dyDescent="0.2">
      <c r="B3406" s="10"/>
    </row>
    <row r="3407" spans="2:2" x14ac:dyDescent="0.2">
      <c r="B3407" s="10"/>
    </row>
    <row r="3408" spans="2:2" x14ac:dyDescent="0.2">
      <c r="B3408" s="10"/>
    </row>
    <row r="3409" spans="2:2" x14ac:dyDescent="0.2">
      <c r="B3409" s="10"/>
    </row>
    <row r="3410" spans="2:2" x14ac:dyDescent="0.2">
      <c r="B3410" s="10"/>
    </row>
    <row r="3411" spans="2:2" x14ac:dyDescent="0.2">
      <c r="B3411" s="10"/>
    </row>
    <row r="3412" spans="2:2" x14ac:dyDescent="0.2">
      <c r="B3412" s="10"/>
    </row>
    <row r="3413" spans="2:2" x14ac:dyDescent="0.2">
      <c r="B3413" s="10"/>
    </row>
    <row r="3414" spans="2:2" x14ac:dyDescent="0.2">
      <c r="B3414" s="10"/>
    </row>
    <row r="3415" spans="2:2" x14ac:dyDescent="0.2">
      <c r="B3415" s="10"/>
    </row>
    <row r="3416" spans="2:2" x14ac:dyDescent="0.2">
      <c r="B3416" s="10"/>
    </row>
    <row r="3417" spans="2:2" x14ac:dyDescent="0.2">
      <c r="B3417" s="10"/>
    </row>
    <row r="3418" spans="2:2" x14ac:dyDescent="0.2">
      <c r="B3418" s="10"/>
    </row>
    <row r="3419" spans="2:2" x14ac:dyDescent="0.2">
      <c r="B3419" s="10"/>
    </row>
    <row r="3420" spans="2:2" x14ac:dyDescent="0.2">
      <c r="B3420" s="10"/>
    </row>
    <row r="3421" spans="2:2" x14ac:dyDescent="0.2">
      <c r="B3421" s="10"/>
    </row>
    <row r="3422" spans="2:2" x14ac:dyDescent="0.2">
      <c r="B3422" s="10"/>
    </row>
    <row r="3423" spans="2:2" x14ac:dyDescent="0.2">
      <c r="B3423" s="10"/>
    </row>
    <row r="3424" spans="2:2" x14ac:dyDescent="0.2">
      <c r="B3424" s="10"/>
    </row>
    <row r="3425" spans="2:2" x14ac:dyDescent="0.2">
      <c r="B3425" s="10"/>
    </row>
    <row r="3426" spans="2:2" x14ac:dyDescent="0.2">
      <c r="B3426" s="10"/>
    </row>
    <row r="3427" spans="2:2" x14ac:dyDescent="0.2">
      <c r="B3427" s="10"/>
    </row>
    <row r="3428" spans="2:2" x14ac:dyDescent="0.2">
      <c r="B3428" s="10"/>
    </row>
    <row r="3429" spans="2:2" x14ac:dyDescent="0.2">
      <c r="B3429" s="10"/>
    </row>
    <row r="3430" spans="2:2" x14ac:dyDescent="0.2">
      <c r="B3430" s="10"/>
    </row>
    <row r="3431" spans="2:2" x14ac:dyDescent="0.2">
      <c r="B3431" s="10"/>
    </row>
    <row r="3432" spans="2:2" x14ac:dyDescent="0.2">
      <c r="B3432" s="10"/>
    </row>
    <row r="3433" spans="2:2" x14ac:dyDescent="0.2">
      <c r="B3433" s="10"/>
    </row>
    <row r="3434" spans="2:2" x14ac:dyDescent="0.2">
      <c r="B3434" s="10"/>
    </row>
    <row r="3435" spans="2:2" x14ac:dyDescent="0.2">
      <c r="B3435" s="10"/>
    </row>
    <row r="3436" spans="2:2" x14ac:dyDescent="0.2">
      <c r="B3436" s="10"/>
    </row>
    <row r="3437" spans="2:2" x14ac:dyDescent="0.2">
      <c r="B3437" s="10"/>
    </row>
    <row r="3438" spans="2:2" x14ac:dyDescent="0.2">
      <c r="B3438" s="10"/>
    </row>
    <row r="3439" spans="2:2" x14ac:dyDescent="0.2">
      <c r="B3439" s="10"/>
    </row>
    <row r="3440" spans="2:2" x14ac:dyDescent="0.2">
      <c r="B3440" s="10"/>
    </row>
    <row r="3441" spans="2:2" x14ac:dyDescent="0.2">
      <c r="B3441" s="10"/>
    </row>
    <row r="3442" spans="2:2" x14ac:dyDescent="0.2">
      <c r="B3442" s="10"/>
    </row>
    <row r="3443" spans="2:2" x14ac:dyDescent="0.2">
      <c r="B3443" s="10"/>
    </row>
    <row r="3444" spans="2:2" x14ac:dyDescent="0.2">
      <c r="B3444" s="10"/>
    </row>
    <row r="3445" spans="2:2" x14ac:dyDescent="0.2">
      <c r="B3445" s="10"/>
    </row>
    <row r="3446" spans="2:2" x14ac:dyDescent="0.2">
      <c r="B3446" s="10"/>
    </row>
    <row r="3447" spans="2:2" x14ac:dyDescent="0.2">
      <c r="B3447" s="10"/>
    </row>
    <row r="3448" spans="2:2" x14ac:dyDescent="0.2">
      <c r="B3448" s="10"/>
    </row>
    <row r="3449" spans="2:2" x14ac:dyDescent="0.2">
      <c r="B3449" s="10"/>
    </row>
    <row r="3450" spans="2:2" x14ac:dyDescent="0.2">
      <c r="B3450" s="10"/>
    </row>
    <row r="3451" spans="2:2" x14ac:dyDescent="0.2">
      <c r="B3451" s="10"/>
    </row>
    <row r="3452" spans="2:2" x14ac:dyDescent="0.2">
      <c r="B3452" s="10"/>
    </row>
    <row r="3453" spans="2:2" x14ac:dyDescent="0.2">
      <c r="B3453" s="10"/>
    </row>
    <row r="3454" spans="2:2" x14ac:dyDescent="0.2">
      <c r="B3454" s="10"/>
    </row>
    <row r="3455" spans="2:2" x14ac:dyDescent="0.2">
      <c r="B3455" s="10"/>
    </row>
    <row r="3456" spans="2:2" x14ac:dyDescent="0.2">
      <c r="B3456" s="10"/>
    </row>
    <row r="3457" spans="2:2" x14ac:dyDescent="0.2">
      <c r="B3457" s="10"/>
    </row>
    <row r="3458" spans="2:2" x14ac:dyDescent="0.2">
      <c r="B3458" s="10"/>
    </row>
    <row r="3459" spans="2:2" x14ac:dyDescent="0.2">
      <c r="B3459" s="10"/>
    </row>
    <row r="3460" spans="2:2" x14ac:dyDescent="0.2">
      <c r="B3460" s="10"/>
    </row>
    <row r="3461" spans="2:2" x14ac:dyDescent="0.2">
      <c r="B3461" s="10"/>
    </row>
    <row r="3462" spans="2:2" x14ac:dyDescent="0.2">
      <c r="B3462" s="10"/>
    </row>
    <row r="3463" spans="2:2" x14ac:dyDescent="0.2">
      <c r="B3463" s="10"/>
    </row>
    <row r="3464" spans="2:2" x14ac:dyDescent="0.2">
      <c r="B3464" s="10"/>
    </row>
    <row r="3465" spans="2:2" x14ac:dyDescent="0.2">
      <c r="B3465" s="10"/>
    </row>
    <row r="3466" spans="2:2" x14ac:dyDescent="0.2">
      <c r="B3466" s="10"/>
    </row>
    <row r="3467" spans="2:2" x14ac:dyDescent="0.2">
      <c r="B3467" s="10"/>
    </row>
    <row r="3468" spans="2:2" x14ac:dyDescent="0.2">
      <c r="B3468" s="10"/>
    </row>
    <row r="3469" spans="2:2" x14ac:dyDescent="0.2">
      <c r="B3469" s="10"/>
    </row>
    <row r="3470" spans="2:2" x14ac:dyDescent="0.2">
      <c r="B3470" s="10"/>
    </row>
    <row r="3471" spans="2:2" x14ac:dyDescent="0.2">
      <c r="B3471" s="10"/>
    </row>
    <row r="3472" spans="2:2" x14ac:dyDescent="0.2">
      <c r="B3472" s="10"/>
    </row>
    <row r="3473" spans="2:2" x14ac:dyDescent="0.2">
      <c r="B3473" s="10"/>
    </row>
    <row r="3474" spans="2:2" x14ac:dyDescent="0.2">
      <c r="B3474" s="10"/>
    </row>
    <row r="3475" spans="2:2" x14ac:dyDescent="0.2">
      <c r="B3475" s="10"/>
    </row>
    <row r="3476" spans="2:2" x14ac:dyDescent="0.2">
      <c r="B3476" s="10"/>
    </row>
    <row r="3477" spans="2:2" x14ac:dyDescent="0.2">
      <c r="B3477" s="10"/>
    </row>
    <row r="3478" spans="2:2" x14ac:dyDescent="0.2">
      <c r="B3478" s="10"/>
    </row>
    <row r="3479" spans="2:2" x14ac:dyDescent="0.2">
      <c r="B3479" s="10"/>
    </row>
    <row r="3480" spans="2:2" x14ac:dyDescent="0.2">
      <c r="B3480" s="10"/>
    </row>
    <row r="3481" spans="2:2" x14ac:dyDescent="0.2">
      <c r="B3481" s="10"/>
    </row>
    <row r="3482" spans="2:2" x14ac:dyDescent="0.2">
      <c r="B3482" s="10"/>
    </row>
    <row r="3483" spans="2:2" x14ac:dyDescent="0.2">
      <c r="B3483" s="10"/>
    </row>
    <row r="3484" spans="2:2" x14ac:dyDescent="0.2">
      <c r="B3484" s="10"/>
    </row>
    <row r="3485" spans="2:2" x14ac:dyDescent="0.2">
      <c r="B3485" s="10"/>
    </row>
    <row r="3486" spans="2:2" x14ac:dyDescent="0.2">
      <c r="B3486" s="10"/>
    </row>
    <row r="3487" spans="2:2" x14ac:dyDescent="0.2">
      <c r="B3487" s="10"/>
    </row>
    <row r="3488" spans="2:2" x14ac:dyDescent="0.2">
      <c r="B3488" s="10"/>
    </row>
    <row r="3489" spans="2:2" x14ac:dyDescent="0.2">
      <c r="B3489" s="10"/>
    </row>
    <row r="3490" spans="2:2" x14ac:dyDescent="0.2">
      <c r="B3490" s="10"/>
    </row>
    <row r="3491" spans="2:2" x14ac:dyDescent="0.2">
      <c r="B3491" s="10"/>
    </row>
    <row r="3492" spans="2:2" x14ac:dyDescent="0.2">
      <c r="B3492" s="10"/>
    </row>
    <row r="3493" spans="2:2" x14ac:dyDescent="0.2">
      <c r="B3493" s="10"/>
    </row>
    <row r="3494" spans="2:2" x14ac:dyDescent="0.2">
      <c r="B3494" s="10"/>
    </row>
    <row r="3495" spans="2:2" x14ac:dyDescent="0.2">
      <c r="B3495" s="10"/>
    </row>
    <row r="3496" spans="2:2" x14ac:dyDescent="0.2">
      <c r="B3496" s="10"/>
    </row>
    <row r="3497" spans="2:2" x14ac:dyDescent="0.2">
      <c r="B3497" s="10"/>
    </row>
    <row r="3498" spans="2:2" x14ac:dyDescent="0.2">
      <c r="B3498" s="10"/>
    </row>
    <row r="3499" spans="2:2" x14ac:dyDescent="0.2">
      <c r="B3499" s="10"/>
    </row>
    <row r="3500" spans="2:2" x14ac:dyDescent="0.2">
      <c r="B3500" s="10"/>
    </row>
    <row r="3501" spans="2:2" x14ac:dyDescent="0.2">
      <c r="B3501" s="10"/>
    </row>
    <row r="3502" spans="2:2" x14ac:dyDescent="0.2">
      <c r="B3502" s="10"/>
    </row>
    <row r="3503" spans="2:2" x14ac:dyDescent="0.2">
      <c r="B3503" s="10"/>
    </row>
    <row r="3504" spans="2:2" x14ac:dyDescent="0.2">
      <c r="B3504" s="10"/>
    </row>
    <row r="3505" spans="2:2" x14ac:dyDescent="0.2">
      <c r="B3505" s="10"/>
    </row>
    <row r="3506" spans="2:2" x14ac:dyDescent="0.2">
      <c r="B3506" s="10"/>
    </row>
    <row r="3507" spans="2:2" x14ac:dyDescent="0.2">
      <c r="B3507" s="10"/>
    </row>
    <row r="3508" spans="2:2" x14ac:dyDescent="0.2">
      <c r="B3508" s="10"/>
    </row>
    <row r="3509" spans="2:2" x14ac:dyDescent="0.2">
      <c r="B3509" s="10"/>
    </row>
    <row r="3510" spans="2:2" x14ac:dyDescent="0.2">
      <c r="B3510" s="10"/>
    </row>
    <row r="3511" spans="2:2" x14ac:dyDescent="0.2">
      <c r="B3511" s="10"/>
    </row>
    <row r="3512" spans="2:2" x14ac:dyDescent="0.2">
      <c r="B3512" s="10"/>
    </row>
    <row r="3513" spans="2:2" x14ac:dyDescent="0.2">
      <c r="B3513" s="10"/>
    </row>
    <row r="3514" spans="2:2" x14ac:dyDescent="0.2">
      <c r="B3514" s="10"/>
    </row>
    <row r="3515" spans="2:2" x14ac:dyDescent="0.2">
      <c r="B3515" s="10"/>
    </row>
    <row r="3516" spans="2:2" x14ac:dyDescent="0.2">
      <c r="B3516" s="10"/>
    </row>
    <row r="3517" spans="2:2" x14ac:dyDescent="0.2">
      <c r="B3517" s="10"/>
    </row>
    <row r="3518" spans="2:2" x14ac:dyDescent="0.2">
      <c r="B3518" s="10"/>
    </row>
    <row r="3519" spans="2:2" x14ac:dyDescent="0.2">
      <c r="B3519" s="10"/>
    </row>
    <row r="3520" spans="2:2" x14ac:dyDescent="0.2">
      <c r="B3520" s="10"/>
    </row>
    <row r="3521" spans="2:2" x14ac:dyDescent="0.2">
      <c r="B3521" s="10"/>
    </row>
    <row r="3522" spans="2:2" x14ac:dyDescent="0.2">
      <c r="B3522" s="10"/>
    </row>
    <row r="3523" spans="2:2" x14ac:dyDescent="0.2">
      <c r="B3523" s="10"/>
    </row>
    <row r="3524" spans="2:2" x14ac:dyDescent="0.2">
      <c r="B3524" s="10"/>
    </row>
    <row r="3525" spans="2:2" x14ac:dyDescent="0.2">
      <c r="B3525" s="10"/>
    </row>
    <row r="3526" spans="2:2" x14ac:dyDescent="0.2">
      <c r="B3526" s="10"/>
    </row>
    <row r="3527" spans="2:2" x14ac:dyDescent="0.2">
      <c r="B3527" s="10"/>
    </row>
    <row r="3528" spans="2:2" x14ac:dyDescent="0.2">
      <c r="B3528" s="10"/>
    </row>
    <row r="3529" spans="2:2" x14ac:dyDescent="0.2">
      <c r="B3529" s="10"/>
    </row>
    <row r="3530" spans="2:2" x14ac:dyDescent="0.2">
      <c r="B3530" s="10"/>
    </row>
    <row r="3531" spans="2:2" x14ac:dyDescent="0.2">
      <c r="B3531" s="10"/>
    </row>
    <row r="3532" spans="2:2" x14ac:dyDescent="0.2">
      <c r="B3532" s="10"/>
    </row>
    <row r="3533" spans="2:2" x14ac:dyDescent="0.2">
      <c r="B3533" s="10"/>
    </row>
    <row r="3534" spans="2:2" x14ac:dyDescent="0.2">
      <c r="B3534" s="10"/>
    </row>
    <row r="3535" spans="2:2" x14ac:dyDescent="0.2">
      <c r="B3535" s="10"/>
    </row>
    <row r="3536" spans="2:2" x14ac:dyDescent="0.2">
      <c r="B3536" s="10"/>
    </row>
    <row r="3537" spans="2:2" x14ac:dyDescent="0.2">
      <c r="B3537" s="10"/>
    </row>
    <row r="3538" spans="2:2" x14ac:dyDescent="0.2">
      <c r="B3538" s="10"/>
    </row>
    <row r="3539" spans="2:2" x14ac:dyDescent="0.2">
      <c r="B3539" s="10"/>
    </row>
    <row r="3540" spans="2:2" x14ac:dyDescent="0.2">
      <c r="B3540" s="10"/>
    </row>
    <row r="3541" spans="2:2" x14ac:dyDescent="0.2">
      <c r="B3541" s="10"/>
    </row>
    <row r="3542" spans="2:2" x14ac:dyDescent="0.2">
      <c r="B3542" s="10"/>
    </row>
    <row r="3543" spans="2:2" x14ac:dyDescent="0.2">
      <c r="B3543" s="10"/>
    </row>
    <row r="3544" spans="2:2" x14ac:dyDescent="0.2">
      <c r="B3544" s="10"/>
    </row>
    <row r="3545" spans="2:2" x14ac:dyDescent="0.2">
      <c r="B3545" s="10"/>
    </row>
    <row r="3546" spans="2:2" x14ac:dyDescent="0.2">
      <c r="B3546" s="10"/>
    </row>
    <row r="3547" spans="2:2" x14ac:dyDescent="0.2">
      <c r="B3547" s="10"/>
    </row>
    <row r="3548" spans="2:2" x14ac:dyDescent="0.2">
      <c r="B3548" s="10"/>
    </row>
    <row r="3549" spans="2:2" x14ac:dyDescent="0.2">
      <c r="B3549" s="10"/>
    </row>
    <row r="3550" spans="2:2" x14ac:dyDescent="0.2">
      <c r="B3550" s="10"/>
    </row>
    <row r="3551" spans="2:2" x14ac:dyDescent="0.2">
      <c r="B3551" s="10"/>
    </row>
    <row r="3552" spans="2:2" x14ac:dyDescent="0.2">
      <c r="B3552" s="10"/>
    </row>
    <row r="3553" spans="2:2" x14ac:dyDescent="0.2">
      <c r="B3553" s="10"/>
    </row>
    <row r="3554" spans="2:2" x14ac:dyDescent="0.2">
      <c r="B3554" s="10"/>
    </row>
    <row r="3555" spans="2:2" x14ac:dyDescent="0.2">
      <c r="B3555" s="10"/>
    </row>
    <row r="3556" spans="2:2" x14ac:dyDescent="0.2">
      <c r="B3556" s="10"/>
    </row>
    <row r="3557" spans="2:2" x14ac:dyDescent="0.2">
      <c r="B3557" s="10"/>
    </row>
    <row r="3558" spans="2:2" x14ac:dyDescent="0.2">
      <c r="B3558" s="10"/>
    </row>
    <row r="3559" spans="2:2" x14ac:dyDescent="0.2">
      <c r="B3559" s="10"/>
    </row>
    <row r="3560" spans="2:2" x14ac:dyDescent="0.2">
      <c r="B3560" s="10"/>
    </row>
    <row r="3561" spans="2:2" x14ac:dyDescent="0.2">
      <c r="B3561" s="10"/>
    </row>
    <row r="3562" spans="2:2" x14ac:dyDescent="0.2">
      <c r="B3562" s="10"/>
    </row>
    <row r="3563" spans="2:2" x14ac:dyDescent="0.2">
      <c r="B3563" s="10"/>
    </row>
    <row r="3564" spans="2:2" x14ac:dyDescent="0.2">
      <c r="B3564" s="10"/>
    </row>
    <row r="3565" spans="2:2" x14ac:dyDescent="0.2">
      <c r="B3565" s="10"/>
    </row>
    <row r="3566" spans="2:2" x14ac:dyDescent="0.2">
      <c r="B3566" s="10"/>
    </row>
    <row r="3567" spans="2:2" x14ac:dyDescent="0.2">
      <c r="B3567" s="10"/>
    </row>
    <row r="3568" spans="2:2" x14ac:dyDescent="0.2">
      <c r="B3568" s="10"/>
    </row>
    <row r="3569" spans="2:2" x14ac:dyDescent="0.2">
      <c r="B3569" s="10"/>
    </row>
    <row r="3570" spans="2:2" x14ac:dyDescent="0.2">
      <c r="B3570" s="10"/>
    </row>
    <row r="3571" spans="2:2" x14ac:dyDescent="0.2">
      <c r="B3571" s="10"/>
    </row>
    <row r="3572" spans="2:2" x14ac:dyDescent="0.2">
      <c r="B3572" s="10"/>
    </row>
    <row r="3573" spans="2:2" x14ac:dyDescent="0.2">
      <c r="B3573" s="10"/>
    </row>
    <row r="3574" spans="2:2" x14ac:dyDescent="0.2">
      <c r="B3574" s="10"/>
    </row>
    <row r="3575" spans="2:2" x14ac:dyDescent="0.2">
      <c r="B3575" s="10"/>
    </row>
    <row r="3576" spans="2:2" x14ac:dyDescent="0.2">
      <c r="B3576" s="10"/>
    </row>
    <row r="3577" spans="2:2" x14ac:dyDescent="0.2">
      <c r="B3577" s="10"/>
    </row>
    <row r="3578" spans="2:2" x14ac:dyDescent="0.2">
      <c r="B3578" s="10"/>
    </row>
    <row r="3579" spans="2:2" x14ac:dyDescent="0.2">
      <c r="B3579" s="10"/>
    </row>
    <row r="3580" spans="2:2" x14ac:dyDescent="0.2">
      <c r="B3580" s="10"/>
    </row>
    <row r="3581" spans="2:2" x14ac:dyDescent="0.2">
      <c r="B3581" s="10"/>
    </row>
    <row r="3582" spans="2:2" x14ac:dyDescent="0.2">
      <c r="B3582" s="10"/>
    </row>
    <row r="3583" spans="2:2" x14ac:dyDescent="0.2">
      <c r="B3583" s="10"/>
    </row>
    <row r="3584" spans="2:2" x14ac:dyDescent="0.2">
      <c r="B3584" s="10"/>
    </row>
    <row r="3585" spans="2:2" x14ac:dyDescent="0.2">
      <c r="B3585" s="10"/>
    </row>
    <row r="3586" spans="2:2" x14ac:dyDescent="0.2">
      <c r="B3586" s="10"/>
    </row>
    <row r="3587" spans="2:2" x14ac:dyDescent="0.2">
      <c r="B3587" s="10"/>
    </row>
    <row r="3588" spans="2:2" x14ac:dyDescent="0.2">
      <c r="B3588" s="10"/>
    </row>
    <row r="3589" spans="2:2" x14ac:dyDescent="0.2">
      <c r="B3589" s="10"/>
    </row>
    <row r="3590" spans="2:2" x14ac:dyDescent="0.2">
      <c r="B3590" s="10"/>
    </row>
    <row r="3591" spans="2:2" x14ac:dyDescent="0.2">
      <c r="B3591" s="10"/>
    </row>
    <row r="3592" spans="2:2" x14ac:dyDescent="0.2">
      <c r="B3592" s="10"/>
    </row>
    <row r="3593" spans="2:2" x14ac:dyDescent="0.2">
      <c r="B3593" s="10"/>
    </row>
    <row r="3594" spans="2:2" x14ac:dyDescent="0.2">
      <c r="B3594" s="10"/>
    </row>
    <row r="3595" spans="2:2" x14ac:dyDescent="0.2">
      <c r="B3595" s="10"/>
    </row>
    <row r="3596" spans="2:2" x14ac:dyDescent="0.2">
      <c r="B3596" s="10"/>
    </row>
    <row r="3597" spans="2:2" x14ac:dyDescent="0.2">
      <c r="B3597" s="10"/>
    </row>
    <row r="3598" spans="2:2" x14ac:dyDescent="0.2">
      <c r="B3598" s="10"/>
    </row>
    <row r="3599" spans="2:2" x14ac:dyDescent="0.2">
      <c r="B3599" s="10"/>
    </row>
    <row r="3600" spans="2:2" x14ac:dyDescent="0.2">
      <c r="B3600" s="10"/>
    </row>
    <row r="3601" spans="2:2" x14ac:dyDescent="0.2">
      <c r="B3601" s="10"/>
    </row>
    <row r="3602" spans="2:2" x14ac:dyDescent="0.2">
      <c r="B3602" s="10"/>
    </row>
    <row r="3603" spans="2:2" x14ac:dyDescent="0.2">
      <c r="B3603" s="10"/>
    </row>
    <row r="3604" spans="2:2" x14ac:dyDescent="0.2">
      <c r="B3604" s="10"/>
    </row>
    <row r="3605" spans="2:2" x14ac:dyDescent="0.2">
      <c r="B3605" s="10"/>
    </row>
    <row r="3606" spans="2:2" x14ac:dyDescent="0.2">
      <c r="B3606" s="10"/>
    </row>
    <row r="3607" spans="2:2" x14ac:dyDescent="0.2">
      <c r="B3607" s="10"/>
    </row>
    <row r="3608" spans="2:2" x14ac:dyDescent="0.2">
      <c r="B3608" s="10"/>
    </row>
    <row r="3609" spans="2:2" x14ac:dyDescent="0.2">
      <c r="B3609" s="10"/>
    </row>
    <row r="3610" spans="2:2" x14ac:dyDescent="0.2">
      <c r="B3610" s="10"/>
    </row>
    <row r="3611" spans="2:2" x14ac:dyDescent="0.2">
      <c r="B3611" s="10"/>
    </row>
    <row r="3612" spans="2:2" x14ac:dyDescent="0.2">
      <c r="B3612" s="10"/>
    </row>
    <row r="3613" spans="2:2" x14ac:dyDescent="0.2">
      <c r="B3613" s="10"/>
    </row>
    <row r="3614" spans="2:2" x14ac:dyDescent="0.2">
      <c r="B3614" s="10"/>
    </row>
    <row r="3615" spans="2:2" x14ac:dyDescent="0.2">
      <c r="B3615" s="10"/>
    </row>
    <row r="3616" spans="2:2" x14ac:dyDescent="0.2">
      <c r="B3616" s="10"/>
    </row>
    <row r="3617" spans="2:2" x14ac:dyDescent="0.2">
      <c r="B3617" s="10"/>
    </row>
    <row r="3618" spans="2:2" x14ac:dyDescent="0.2">
      <c r="B3618" s="10"/>
    </row>
    <row r="3619" spans="2:2" x14ac:dyDescent="0.2">
      <c r="B3619" s="10"/>
    </row>
    <row r="3620" spans="2:2" x14ac:dyDescent="0.2">
      <c r="B3620" s="10"/>
    </row>
    <row r="3621" spans="2:2" x14ac:dyDescent="0.2">
      <c r="B3621" s="10"/>
    </row>
    <row r="3622" spans="2:2" x14ac:dyDescent="0.2">
      <c r="B3622" s="10"/>
    </row>
    <row r="3623" spans="2:2" x14ac:dyDescent="0.2">
      <c r="B3623" s="10"/>
    </row>
    <row r="3624" spans="2:2" x14ac:dyDescent="0.2">
      <c r="B3624" s="10"/>
    </row>
    <row r="3625" spans="2:2" x14ac:dyDescent="0.2">
      <c r="B3625" s="10"/>
    </row>
    <row r="3626" spans="2:2" x14ac:dyDescent="0.2">
      <c r="B3626" s="10"/>
    </row>
    <row r="3627" spans="2:2" x14ac:dyDescent="0.2">
      <c r="B3627" s="10"/>
    </row>
    <row r="3628" spans="2:2" x14ac:dyDescent="0.2">
      <c r="B3628" s="10"/>
    </row>
    <row r="3629" spans="2:2" x14ac:dyDescent="0.2">
      <c r="B3629" s="10"/>
    </row>
    <row r="3630" spans="2:2" x14ac:dyDescent="0.2">
      <c r="B3630" s="10"/>
    </row>
    <row r="3631" spans="2:2" x14ac:dyDescent="0.2">
      <c r="B3631" s="10"/>
    </row>
    <row r="3632" spans="2:2" x14ac:dyDescent="0.2">
      <c r="B3632" s="10"/>
    </row>
    <row r="3633" spans="2:2" x14ac:dyDescent="0.2">
      <c r="B3633" s="10"/>
    </row>
    <row r="3634" spans="2:2" x14ac:dyDescent="0.2">
      <c r="B3634" s="10"/>
    </row>
    <row r="3635" spans="2:2" x14ac:dyDescent="0.2">
      <c r="B3635" s="10"/>
    </row>
    <row r="3636" spans="2:2" x14ac:dyDescent="0.2">
      <c r="B3636" s="10"/>
    </row>
    <row r="3637" spans="2:2" x14ac:dyDescent="0.2">
      <c r="B3637" s="10"/>
    </row>
    <row r="3638" spans="2:2" x14ac:dyDescent="0.2">
      <c r="B3638" s="10"/>
    </row>
    <row r="3639" spans="2:2" x14ac:dyDescent="0.2">
      <c r="B3639" s="10"/>
    </row>
    <row r="3640" spans="2:2" x14ac:dyDescent="0.2">
      <c r="B3640" s="10"/>
    </row>
    <row r="3641" spans="2:2" x14ac:dyDescent="0.2">
      <c r="B3641" s="10"/>
    </row>
    <row r="3642" spans="2:2" x14ac:dyDescent="0.2">
      <c r="B3642" s="10"/>
    </row>
    <row r="3643" spans="2:2" x14ac:dyDescent="0.2">
      <c r="B3643" s="10"/>
    </row>
    <row r="3644" spans="2:2" x14ac:dyDescent="0.2">
      <c r="B3644" s="10"/>
    </row>
    <row r="3645" spans="2:2" x14ac:dyDescent="0.2">
      <c r="B3645" s="10"/>
    </row>
    <row r="3646" spans="2:2" x14ac:dyDescent="0.2">
      <c r="B3646" s="10"/>
    </row>
    <row r="3647" spans="2:2" x14ac:dyDescent="0.2">
      <c r="B3647" s="10"/>
    </row>
    <row r="3648" spans="2:2" x14ac:dyDescent="0.2">
      <c r="B3648" s="10"/>
    </row>
    <row r="3649" spans="2:2" x14ac:dyDescent="0.2">
      <c r="B3649" s="10"/>
    </row>
    <row r="3650" spans="2:2" x14ac:dyDescent="0.2">
      <c r="B3650" s="10"/>
    </row>
    <row r="3651" spans="2:2" x14ac:dyDescent="0.2">
      <c r="B3651" s="10"/>
    </row>
    <row r="3652" spans="2:2" x14ac:dyDescent="0.2">
      <c r="B3652" s="10"/>
    </row>
    <row r="3653" spans="2:2" x14ac:dyDescent="0.2">
      <c r="B3653" s="10"/>
    </row>
    <row r="3654" spans="2:2" x14ac:dyDescent="0.2">
      <c r="B3654" s="10"/>
    </row>
    <row r="3655" spans="2:2" x14ac:dyDescent="0.2">
      <c r="B3655" s="10"/>
    </row>
    <row r="3656" spans="2:2" x14ac:dyDescent="0.2">
      <c r="B3656" s="10"/>
    </row>
    <row r="3657" spans="2:2" x14ac:dyDescent="0.2">
      <c r="B3657" s="10"/>
    </row>
    <row r="3658" spans="2:2" x14ac:dyDescent="0.2">
      <c r="B3658" s="10"/>
    </row>
    <row r="3659" spans="2:2" x14ac:dyDescent="0.2">
      <c r="B3659" s="10"/>
    </row>
    <row r="3660" spans="2:2" x14ac:dyDescent="0.2">
      <c r="B3660" s="10"/>
    </row>
    <row r="3661" spans="2:2" x14ac:dyDescent="0.2">
      <c r="B3661" s="10"/>
    </row>
    <row r="3662" spans="2:2" x14ac:dyDescent="0.2">
      <c r="B3662" s="10"/>
    </row>
    <row r="3663" spans="2:2" x14ac:dyDescent="0.2">
      <c r="B3663" s="10"/>
    </row>
    <row r="3664" spans="2:2" x14ac:dyDescent="0.2">
      <c r="B3664" s="10"/>
    </row>
    <row r="3665" spans="2:2" x14ac:dyDescent="0.2">
      <c r="B3665" s="10"/>
    </row>
    <row r="3666" spans="2:2" x14ac:dyDescent="0.2">
      <c r="B3666" s="10"/>
    </row>
    <row r="3667" spans="2:2" x14ac:dyDescent="0.2">
      <c r="B3667" s="10"/>
    </row>
    <row r="3668" spans="2:2" x14ac:dyDescent="0.2">
      <c r="B3668" s="10"/>
    </row>
    <row r="3669" spans="2:2" x14ac:dyDescent="0.2">
      <c r="B3669" s="10"/>
    </row>
    <row r="3670" spans="2:2" x14ac:dyDescent="0.2">
      <c r="B3670" s="10"/>
    </row>
    <row r="3671" spans="2:2" x14ac:dyDescent="0.2">
      <c r="B3671" s="10"/>
    </row>
    <row r="3672" spans="2:2" x14ac:dyDescent="0.2">
      <c r="B3672" s="10"/>
    </row>
    <row r="3673" spans="2:2" x14ac:dyDescent="0.2">
      <c r="B3673" s="10"/>
    </row>
    <row r="3674" spans="2:2" x14ac:dyDescent="0.2">
      <c r="B3674" s="10"/>
    </row>
    <row r="3675" spans="2:2" x14ac:dyDescent="0.2">
      <c r="B3675" s="10"/>
    </row>
    <row r="3676" spans="2:2" x14ac:dyDescent="0.2">
      <c r="B3676" s="10"/>
    </row>
    <row r="3677" spans="2:2" x14ac:dyDescent="0.2">
      <c r="B3677" s="10"/>
    </row>
    <row r="3678" spans="2:2" x14ac:dyDescent="0.2">
      <c r="B3678" s="10"/>
    </row>
    <row r="3679" spans="2:2" x14ac:dyDescent="0.2">
      <c r="B3679" s="10"/>
    </row>
    <row r="3680" spans="2:2" x14ac:dyDescent="0.2">
      <c r="B3680" s="10"/>
    </row>
    <row r="3681" spans="2:2" x14ac:dyDescent="0.2">
      <c r="B3681" s="10"/>
    </row>
    <row r="3682" spans="2:2" x14ac:dyDescent="0.2">
      <c r="B3682" s="10"/>
    </row>
    <row r="3683" spans="2:2" x14ac:dyDescent="0.2">
      <c r="B3683" s="10"/>
    </row>
    <row r="3684" spans="2:2" x14ac:dyDescent="0.2">
      <c r="B3684" s="10"/>
    </row>
    <row r="3685" spans="2:2" x14ac:dyDescent="0.2">
      <c r="B3685" s="10"/>
    </row>
    <row r="3686" spans="2:2" x14ac:dyDescent="0.2">
      <c r="B3686" s="10"/>
    </row>
    <row r="3687" spans="2:2" x14ac:dyDescent="0.2">
      <c r="B3687" s="10"/>
    </row>
    <row r="3688" spans="2:2" x14ac:dyDescent="0.2">
      <c r="B3688" s="10"/>
    </row>
    <row r="3689" spans="2:2" x14ac:dyDescent="0.2">
      <c r="B3689" s="10"/>
    </row>
    <row r="3690" spans="2:2" x14ac:dyDescent="0.2">
      <c r="B3690" s="10"/>
    </row>
    <row r="3691" spans="2:2" x14ac:dyDescent="0.2">
      <c r="B3691" s="10"/>
    </row>
    <row r="3692" spans="2:2" x14ac:dyDescent="0.2">
      <c r="B3692" s="10"/>
    </row>
    <row r="3693" spans="2:2" x14ac:dyDescent="0.2">
      <c r="B3693" s="10"/>
    </row>
    <row r="3694" spans="2:2" x14ac:dyDescent="0.2">
      <c r="B3694" s="10"/>
    </row>
    <row r="3695" spans="2:2" x14ac:dyDescent="0.2">
      <c r="B3695" s="10"/>
    </row>
    <row r="3696" spans="2:2" x14ac:dyDescent="0.2">
      <c r="B3696" s="10"/>
    </row>
    <row r="3697" spans="2:2" x14ac:dyDescent="0.2">
      <c r="B3697" s="10"/>
    </row>
    <row r="3698" spans="2:2" x14ac:dyDescent="0.2">
      <c r="B3698" s="10"/>
    </row>
    <row r="3699" spans="2:2" x14ac:dyDescent="0.2">
      <c r="B3699" s="10"/>
    </row>
    <row r="3700" spans="2:2" x14ac:dyDescent="0.2">
      <c r="B3700" s="10"/>
    </row>
    <row r="3701" spans="2:2" x14ac:dyDescent="0.2">
      <c r="B3701" s="10"/>
    </row>
    <row r="3702" spans="2:2" x14ac:dyDescent="0.2">
      <c r="B3702" s="10"/>
    </row>
    <row r="3703" spans="2:2" x14ac:dyDescent="0.2">
      <c r="B3703" s="10"/>
    </row>
    <row r="3704" spans="2:2" x14ac:dyDescent="0.2">
      <c r="B3704" s="10"/>
    </row>
    <row r="3705" spans="2:2" x14ac:dyDescent="0.2">
      <c r="B3705" s="10"/>
    </row>
    <row r="3706" spans="2:2" x14ac:dyDescent="0.2">
      <c r="B3706" s="10"/>
    </row>
    <row r="3707" spans="2:2" x14ac:dyDescent="0.2">
      <c r="B3707" s="10"/>
    </row>
    <row r="3708" spans="2:2" x14ac:dyDescent="0.2">
      <c r="B3708" s="10"/>
    </row>
    <row r="3709" spans="2:2" x14ac:dyDescent="0.2">
      <c r="B3709" s="10"/>
    </row>
    <row r="3710" spans="2:2" x14ac:dyDescent="0.2">
      <c r="B3710" s="10"/>
    </row>
    <row r="3711" spans="2:2" x14ac:dyDescent="0.2">
      <c r="B3711" s="10"/>
    </row>
    <row r="3712" spans="2:2" x14ac:dyDescent="0.2">
      <c r="B3712" s="10"/>
    </row>
    <row r="3713" spans="2:2" x14ac:dyDescent="0.2">
      <c r="B3713" s="10"/>
    </row>
    <row r="3714" spans="2:2" x14ac:dyDescent="0.2">
      <c r="B3714" s="10"/>
    </row>
    <row r="3715" spans="2:2" x14ac:dyDescent="0.2">
      <c r="B3715" s="10"/>
    </row>
    <row r="3716" spans="2:2" x14ac:dyDescent="0.2">
      <c r="B3716" s="10"/>
    </row>
    <row r="3717" spans="2:2" x14ac:dyDescent="0.2">
      <c r="B3717" s="10"/>
    </row>
    <row r="3718" spans="2:2" x14ac:dyDescent="0.2">
      <c r="B3718" s="10"/>
    </row>
    <row r="3719" spans="2:2" x14ac:dyDescent="0.2">
      <c r="B3719" s="10"/>
    </row>
    <row r="3720" spans="2:2" x14ac:dyDescent="0.2">
      <c r="B3720" s="10"/>
    </row>
    <row r="3721" spans="2:2" x14ac:dyDescent="0.2">
      <c r="B3721" s="10"/>
    </row>
    <row r="3722" spans="2:2" x14ac:dyDescent="0.2">
      <c r="B3722" s="10"/>
    </row>
    <row r="3723" spans="2:2" x14ac:dyDescent="0.2">
      <c r="B3723" s="10"/>
    </row>
    <row r="3724" spans="2:2" x14ac:dyDescent="0.2">
      <c r="B3724" s="10"/>
    </row>
    <row r="3725" spans="2:2" x14ac:dyDescent="0.2">
      <c r="B3725" s="10"/>
    </row>
    <row r="3726" spans="2:2" x14ac:dyDescent="0.2">
      <c r="B3726" s="10"/>
    </row>
    <row r="3727" spans="2:2" x14ac:dyDescent="0.2">
      <c r="B3727" s="10"/>
    </row>
    <row r="3728" spans="2:2" x14ac:dyDescent="0.2">
      <c r="B3728" s="10"/>
    </row>
    <row r="3729" spans="2:2" x14ac:dyDescent="0.2">
      <c r="B3729" s="10"/>
    </row>
    <row r="3730" spans="2:2" x14ac:dyDescent="0.2">
      <c r="B3730" s="10"/>
    </row>
    <row r="3731" spans="2:2" x14ac:dyDescent="0.2">
      <c r="B3731" s="10"/>
    </row>
    <row r="3732" spans="2:2" x14ac:dyDescent="0.2">
      <c r="B3732" s="10"/>
    </row>
    <row r="3733" spans="2:2" x14ac:dyDescent="0.2">
      <c r="B3733" s="10"/>
    </row>
    <row r="3734" spans="2:2" x14ac:dyDescent="0.2">
      <c r="B3734" s="10"/>
    </row>
    <row r="3735" spans="2:2" x14ac:dyDescent="0.2">
      <c r="B3735" s="10"/>
    </row>
    <row r="3736" spans="2:2" x14ac:dyDescent="0.2">
      <c r="B3736" s="10"/>
    </row>
    <row r="3737" spans="2:2" x14ac:dyDescent="0.2">
      <c r="B3737" s="10"/>
    </row>
    <row r="3738" spans="2:2" x14ac:dyDescent="0.2">
      <c r="B3738" s="10"/>
    </row>
    <row r="3739" spans="2:2" x14ac:dyDescent="0.2">
      <c r="B3739" s="10"/>
    </row>
    <row r="3740" spans="2:2" x14ac:dyDescent="0.2">
      <c r="B3740" s="10"/>
    </row>
    <row r="3741" spans="2:2" x14ac:dyDescent="0.2">
      <c r="B3741" s="10"/>
    </row>
    <row r="3742" spans="2:2" x14ac:dyDescent="0.2">
      <c r="B3742" s="10"/>
    </row>
    <row r="3743" spans="2:2" x14ac:dyDescent="0.2">
      <c r="B3743" s="10"/>
    </row>
    <row r="3744" spans="2:2" x14ac:dyDescent="0.2">
      <c r="B3744" s="10"/>
    </row>
    <row r="3745" spans="2:2" x14ac:dyDescent="0.2">
      <c r="B3745" s="10"/>
    </row>
    <row r="3746" spans="2:2" x14ac:dyDescent="0.2">
      <c r="B3746" s="10"/>
    </row>
    <row r="3747" spans="2:2" x14ac:dyDescent="0.2">
      <c r="B3747" s="10"/>
    </row>
    <row r="3748" spans="2:2" x14ac:dyDescent="0.2">
      <c r="B3748" s="10"/>
    </row>
    <row r="3749" spans="2:2" x14ac:dyDescent="0.2">
      <c r="B3749" s="10"/>
    </row>
    <row r="3750" spans="2:2" x14ac:dyDescent="0.2">
      <c r="B3750" s="10"/>
    </row>
    <row r="3751" spans="2:2" x14ac:dyDescent="0.2">
      <c r="B3751" s="10"/>
    </row>
    <row r="3752" spans="2:2" x14ac:dyDescent="0.2">
      <c r="B3752" s="10"/>
    </row>
    <row r="3753" spans="2:2" x14ac:dyDescent="0.2">
      <c r="B3753" s="10"/>
    </row>
    <row r="3754" spans="2:2" x14ac:dyDescent="0.2">
      <c r="B3754" s="10"/>
    </row>
    <row r="3755" spans="2:2" x14ac:dyDescent="0.2">
      <c r="B3755" s="10"/>
    </row>
    <row r="3756" spans="2:2" x14ac:dyDescent="0.2">
      <c r="B3756" s="10"/>
    </row>
    <row r="3757" spans="2:2" x14ac:dyDescent="0.2">
      <c r="B3757" s="10"/>
    </row>
    <row r="3758" spans="2:2" x14ac:dyDescent="0.2">
      <c r="B3758" s="10"/>
    </row>
    <row r="3759" spans="2:2" x14ac:dyDescent="0.2">
      <c r="B3759" s="10"/>
    </row>
    <row r="3760" spans="2:2" x14ac:dyDescent="0.2">
      <c r="B3760" s="10"/>
    </row>
    <row r="3761" spans="2:2" x14ac:dyDescent="0.2">
      <c r="B3761" s="10"/>
    </row>
    <row r="3762" spans="2:2" x14ac:dyDescent="0.2">
      <c r="B3762" s="10"/>
    </row>
    <row r="3763" spans="2:2" x14ac:dyDescent="0.2">
      <c r="B3763" s="10"/>
    </row>
    <row r="3764" spans="2:2" x14ac:dyDescent="0.2">
      <c r="B3764" s="10"/>
    </row>
    <row r="3765" spans="2:2" x14ac:dyDescent="0.2">
      <c r="B3765" s="10"/>
    </row>
    <row r="3766" spans="2:2" x14ac:dyDescent="0.2">
      <c r="B3766" s="10"/>
    </row>
    <row r="3767" spans="2:2" x14ac:dyDescent="0.2">
      <c r="B3767" s="10"/>
    </row>
    <row r="3768" spans="2:2" x14ac:dyDescent="0.2">
      <c r="B3768" s="10"/>
    </row>
    <row r="3769" spans="2:2" x14ac:dyDescent="0.2">
      <c r="B3769" s="10"/>
    </row>
    <row r="3770" spans="2:2" x14ac:dyDescent="0.2">
      <c r="B3770" s="10"/>
    </row>
    <row r="3771" spans="2:2" x14ac:dyDescent="0.2">
      <c r="B3771" s="10"/>
    </row>
    <row r="3772" spans="2:2" x14ac:dyDescent="0.2">
      <c r="B3772" s="10"/>
    </row>
    <row r="3773" spans="2:2" x14ac:dyDescent="0.2">
      <c r="B3773" s="10"/>
    </row>
    <row r="3774" spans="2:2" x14ac:dyDescent="0.2">
      <c r="B3774" s="10"/>
    </row>
    <row r="3775" spans="2:2" x14ac:dyDescent="0.2">
      <c r="B3775" s="10"/>
    </row>
    <row r="3776" spans="2:2" x14ac:dyDescent="0.2">
      <c r="B3776" s="10"/>
    </row>
    <row r="3777" spans="2:2" x14ac:dyDescent="0.2">
      <c r="B3777" s="10"/>
    </row>
    <row r="3778" spans="2:2" x14ac:dyDescent="0.2">
      <c r="B3778" s="10"/>
    </row>
    <row r="3779" spans="2:2" x14ac:dyDescent="0.2">
      <c r="B3779" s="10"/>
    </row>
    <row r="3780" spans="2:2" x14ac:dyDescent="0.2">
      <c r="B3780" s="10"/>
    </row>
    <row r="3781" spans="2:2" x14ac:dyDescent="0.2">
      <c r="B3781" s="10"/>
    </row>
    <row r="3782" spans="2:2" x14ac:dyDescent="0.2">
      <c r="B3782" s="10"/>
    </row>
    <row r="3783" spans="2:2" x14ac:dyDescent="0.2">
      <c r="B3783" s="10"/>
    </row>
    <row r="3784" spans="2:2" x14ac:dyDescent="0.2">
      <c r="B3784" s="10"/>
    </row>
    <row r="3785" spans="2:2" x14ac:dyDescent="0.2">
      <c r="B3785" s="10"/>
    </row>
    <row r="3786" spans="2:2" x14ac:dyDescent="0.2">
      <c r="B3786" s="10"/>
    </row>
    <row r="3787" spans="2:2" x14ac:dyDescent="0.2">
      <c r="B3787" s="10"/>
    </row>
    <row r="3788" spans="2:2" x14ac:dyDescent="0.2">
      <c r="B3788" s="10"/>
    </row>
    <row r="3789" spans="2:2" x14ac:dyDescent="0.2">
      <c r="B3789" s="10"/>
    </row>
    <row r="3790" spans="2:2" x14ac:dyDescent="0.2">
      <c r="B3790" s="10"/>
    </row>
    <row r="3791" spans="2:2" x14ac:dyDescent="0.2">
      <c r="B3791" s="10"/>
    </row>
    <row r="3792" spans="2:2" x14ac:dyDescent="0.2">
      <c r="B3792" s="10"/>
    </row>
    <row r="3793" spans="2:2" x14ac:dyDescent="0.2">
      <c r="B3793" s="10"/>
    </row>
    <row r="3794" spans="2:2" x14ac:dyDescent="0.2">
      <c r="B3794" s="10"/>
    </row>
    <row r="3795" spans="2:2" x14ac:dyDescent="0.2">
      <c r="B3795" s="10"/>
    </row>
    <row r="3796" spans="2:2" x14ac:dyDescent="0.2">
      <c r="B3796" s="10"/>
    </row>
    <row r="3797" spans="2:2" x14ac:dyDescent="0.2">
      <c r="B3797" s="10"/>
    </row>
    <row r="3798" spans="2:2" x14ac:dyDescent="0.2">
      <c r="B3798" s="10"/>
    </row>
    <row r="3799" spans="2:2" x14ac:dyDescent="0.2">
      <c r="B3799" s="10"/>
    </row>
    <row r="3800" spans="2:2" x14ac:dyDescent="0.2">
      <c r="B3800" s="10"/>
    </row>
    <row r="3801" spans="2:2" x14ac:dyDescent="0.2">
      <c r="B3801" s="10"/>
    </row>
    <row r="3802" spans="2:2" x14ac:dyDescent="0.2">
      <c r="B3802" s="10"/>
    </row>
    <row r="3803" spans="2:2" x14ac:dyDescent="0.2">
      <c r="B3803" s="10"/>
    </row>
    <row r="3804" spans="2:2" x14ac:dyDescent="0.2">
      <c r="B3804" s="10"/>
    </row>
    <row r="3805" spans="2:2" x14ac:dyDescent="0.2">
      <c r="B3805" s="10"/>
    </row>
    <row r="3806" spans="2:2" x14ac:dyDescent="0.2">
      <c r="B3806" s="10"/>
    </row>
    <row r="3807" spans="2:2" x14ac:dyDescent="0.2">
      <c r="B3807" s="10"/>
    </row>
    <row r="3808" spans="2:2" x14ac:dyDescent="0.2">
      <c r="B3808" s="10"/>
    </row>
    <row r="3809" spans="2:2" x14ac:dyDescent="0.2">
      <c r="B3809" s="10"/>
    </row>
    <row r="3810" spans="2:2" x14ac:dyDescent="0.2">
      <c r="B3810" s="10"/>
    </row>
    <row r="3811" spans="2:2" x14ac:dyDescent="0.2">
      <c r="B3811" s="10"/>
    </row>
    <row r="3812" spans="2:2" x14ac:dyDescent="0.2">
      <c r="B3812" s="10"/>
    </row>
    <row r="3813" spans="2:2" x14ac:dyDescent="0.2">
      <c r="B3813" s="10"/>
    </row>
    <row r="3814" spans="2:2" x14ac:dyDescent="0.2">
      <c r="B3814" s="10"/>
    </row>
    <row r="3815" spans="2:2" x14ac:dyDescent="0.2">
      <c r="B3815" s="10"/>
    </row>
    <row r="3816" spans="2:2" x14ac:dyDescent="0.2">
      <c r="B3816" s="10"/>
    </row>
    <row r="3817" spans="2:2" x14ac:dyDescent="0.2">
      <c r="B3817" s="10"/>
    </row>
    <row r="3818" spans="2:2" x14ac:dyDescent="0.2">
      <c r="B3818" s="10"/>
    </row>
    <row r="3819" spans="2:2" x14ac:dyDescent="0.2">
      <c r="B3819" s="10"/>
    </row>
    <row r="3820" spans="2:2" x14ac:dyDescent="0.2">
      <c r="B3820" s="10"/>
    </row>
    <row r="3821" spans="2:2" x14ac:dyDescent="0.2">
      <c r="B3821" s="10"/>
    </row>
    <row r="3822" spans="2:2" x14ac:dyDescent="0.2">
      <c r="B3822" s="10"/>
    </row>
    <row r="3823" spans="2:2" x14ac:dyDescent="0.2">
      <c r="B3823" s="10"/>
    </row>
    <row r="3824" spans="2:2" x14ac:dyDescent="0.2">
      <c r="B3824" s="10"/>
    </row>
    <row r="3825" spans="2:2" x14ac:dyDescent="0.2">
      <c r="B3825" s="10"/>
    </row>
    <row r="3826" spans="2:2" x14ac:dyDescent="0.2">
      <c r="B3826" s="10"/>
    </row>
    <row r="3827" spans="2:2" x14ac:dyDescent="0.2">
      <c r="B3827" s="10"/>
    </row>
    <row r="3828" spans="2:2" x14ac:dyDescent="0.2">
      <c r="B3828" s="10"/>
    </row>
    <row r="3829" spans="2:2" x14ac:dyDescent="0.2">
      <c r="B3829" s="10"/>
    </row>
    <row r="3830" spans="2:2" x14ac:dyDescent="0.2">
      <c r="B3830" s="10"/>
    </row>
    <row r="3831" spans="2:2" x14ac:dyDescent="0.2">
      <c r="B3831" s="10"/>
    </row>
    <row r="3832" spans="2:2" x14ac:dyDescent="0.2">
      <c r="B3832" s="10"/>
    </row>
    <row r="3833" spans="2:2" x14ac:dyDescent="0.2">
      <c r="B3833" s="10"/>
    </row>
    <row r="3834" spans="2:2" x14ac:dyDescent="0.2">
      <c r="B3834" s="10"/>
    </row>
    <row r="3835" spans="2:2" x14ac:dyDescent="0.2">
      <c r="B3835" s="10"/>
    </row>
    <row r="3836" spans="2:2" x14ac:dyDescent="0.2">
      <c r="B3836" s="10"/>
    </row>
    <row r="3837" spans="2:2" x14ac:dyDescent="0.2">
      <c r="B3837" s="10"/>
    </row>
    <row r="3838" spans="2:2" x14ac:dyDescent="0.2">
      <c r="B3838" s="10"/>
    </row>
    <row r="3839" spans="2:2" x14ac:dyDescent="0.2">
      <c r="B3839" s="10"/>
    </row>
    <row r="3840" spans="2:2" x14ac:dyDescent="0.2">
      <c r="B3840" s="10"/>
    </row>
    <row r="3841" spans="2:2" x14ac:dyDescent="0.2">
      <c r="B3841" s="10"/>
    </row>
    <row r="3842" spans="2:2" x14ac:dyDescent="0.2">
      <c r="B3842" s="10"/>
    </row>
    <row r="3843" spans="2:2" x14ac:dyDescent="0.2">
      <c r="B3843" s="10"/>
    </row>
    <row r="3844" spans="2:2" x14ac:dyDescent="0.2">
      <c r="B3844" s="10"/>
    </row>
    <row r="3845" spans="2:2" x14ac:dyDescent="0.2">
      <c r="B3845" s="10"/>
    </row>
    <row r="3846" spans="2:2" x14ac:dyDescent="0.2">
      <c r="B3846" s="10"/>
    </row>
    <row r="3847" spans="2:2" x14ac:dyDescent="0.2">
      <c r="B3847" s="10"/>
    </row>
    <row r="3848" spans="2:2" x14ac:dyDescent="0.2">
      <c r="B3848" s="10"/>
    </row>
    <row r="3849" spans="2:2" x14ac:dyDescent="0.2">
      <c r="B3849" s="10"/>
    </row>
    <row r="3850" spans="2:2" x14ac:dyDescent="0.2">
      <c r="B3850" s="10"/>
    </row>
    <row r="3851" spans="2:2" x14ac:dyDescent="0.2">
      <c r="B3851" s="10"/>
    </row>
    <row r="3852" spans="2:2" x14ac:dyDescent="0.2">
      <c r="B3852" s="10"/>
    </row>
    <row r="3853" spans="2:2" x14ac:dyDescent="0.2">
      <c r="B3853" s="10"/>
    </row>
    <row r="3854" spans="2:2" x14ac:dyDescent="0.2">
      <c r="B3854" s="10"/>
    </row>
    <row r="3855" spans="2:2" x14ac:dyDescent="0.2">
      <c r="B3855" s="10"/>
    </row>
    <row r="3856" spans="2:2" x14ac:dyDescent="0.2">
      <c r="B3856" s="10"/>
    </row>
    <row r="3857" spans="2:2" x14ac:dyDescent="0.2">
      <c r="B3857" s="10"/>
    </row>
    <row r="3858" spans="2:2" x14ac:dyDescent="0.2">
      <c r="B3858" s="10"/>
    </row>
    <row r="3859" spans="2:2" x14ac:dyDescent="0.2">
      <c r="B3859" s="10"/>
    </row>
    <row r="3860" spans="2:2" x14ac:dyDescent="0.2">
      <c r="B3860" s="10"/>
    </row>
    <row r="3861" spans="2:2" x14ac:dyDescent="0.2">
      <c r="B3861" s="10"/>
    </row>
    <row r="3862" spans="2:2" x14ac:dyDescent="0.2">
      <c r="B3862" s="10"/>
    </row>
    <row r="3863" spans="2:2" x14ac:dyDescent="0.2">
      <c r="B3863" s="10"/>
    </row>
    <row r="3864" spans="2:2" x14ac:dyDescent="0.2">
      <c r="B3864" s="10"/>
    </row>
    <row r="3865" spans="2:2" x14ac:dyDescent="0.2">
      <c r="B3865" s="10"/>
    </row>
    <row r="3866" spans="2:2" x14ac:dyDescent="0.2">
      <c r="B3866" s="10"/>
    </row>
    <row r="3867" spans="2:2" x14ac:dyDescent="0.2">
      <c r="B3867" s="10"/>
    </row>
    <row r="3868" spans="2:2" x14ac:dyDescent="0.2">
      <c r="B3868" s="10"/>
    </row>
    <row r="3869" spans="2:2" x14ac:dyDescent="0.2">
      <c r="B3869" s="10"/>
    </row>
    <row r="3870" spans="2:2" x14ac:dyDescent="0.2">
      <c r="B3870" s="10"/>
    </row>
    <row r="3871" spans="2:2" x14ac:dyDescent="0.2">
      <c r="B3871" s="10"/>
    </row>
    <row r="3872" spans="2:2" x14ac:dyDescent="0.2">
      <c r="B3872" s="10"/>
    </row>
    <row r="3873" spans="2:2" x14ac:dyDescent="0.2">
      <c r="B3873" s="10"/>
    </row>
    <row r="3874" spans="2:2" x14ac:dyDescent="0.2">
      <c r="B3874" s="10"/>
    </row>
    <row r="3875" spans="2:2" x14ac:dyDescent="0.2">
      <c r="B3875" s="10"/>
    </row>
    <row r="3876" spans="2:2" x14ac:dyDescent="0.2">
      <c r="B3876" s="10"/>
    </row>
    <row r="3877" spans="2:2" x14ac:dyDescent="0.2">
      <c r="B3877" s="10"/>
    </row>
    <row r="3878" spans="2:2" x14ac:dyDescent="0.2">
      <c r="B3878" s="10"/>
    </row>
    <row r="3879" spans="2:2" x14ac:dyDescent="0.2">
      <c r="B3879" s="10"/>
    </row>
    <row r="3880" spans="2:2" x14ac:dyDescent="0.2">
      <c r="B3880" s="10"/>
    </row>
    <row r="3881" spans="2:2" x14ac:dyDescent="0.2">
      <c r="B3881" s="10"/>
    </row>
    <row r="3882" spans="2:2" x14ac:dyDescent="0.2">
      <c r="B3882" s="10"/>
    </row>
    <row r="3883" spans="2:2" x14ac:dyDescent="0.2">
      <c r="B3883" s="10"/>
    </row>
    <row r="3884" spans="2:2" x14ac:dyDescent="0.2">
      <c r="B3884" s="10"/>
    </row>
    <row r="3885" spans="2:2" x14ac:dyDescent="0.2">
      <c r="B3885" s="10"/>
    </row>
    <row r="3886" spans="2:2" x14ac:dyDescent="0.2">
      <c r="B3886" s="10"/>
    </row>
    <row r="3887" spans="2:2" x14ac:dyDescent="0.2">
      <c r="B3887" s="10"/>
    </row>
    <row r="3888" spans="2:2" x14ac:dyDescent="0.2">
      <c r="B3888" s="10"/>
    </row>
    <row r="3889" spans="2:2" x14ac:dyDescent="0.2">
      <c r="B3889" s="10"/>
    </row>
    <row r="3890" spans="2:2" x14ac:dyDescent="0.2">
      <c r="B3890" s="10"/>
    </row>
    <row r="3891" spans="2:2" x14ac:dyDescent="0.2">
      <c r="B3891" s="10"/>
    </row>
    <row r="3892" spans="2:2" x14ac:dyDescent="0.2">
      <c r="B3892" s="10"/>
    </row>
    <row r="3893" spans="2:2" x14ac:dyDescent="0.2">
      <c r="B3893" s="10"/>
    </row>
    <row r="3894" spans="2:2" x14ac:dyDescent="0.2">
      <c r="B3894" s="10"/>
    </row>
    <row r="3895" spans="2:2" x14ac:dyDescent="0.2">
      <c r="B3895" s="10"/>
    </row>
    <row r="3896" spans="2:2" x14ac:dyDescent="0.2">
      <c r="B3896" s="10"/>
    </row>
    <row r="3897" spans="2:2" x14ac:dyDescent="0.2">
      <c r="B3897" s="10"/>
    </row>
    <row r="3898" spans="2:2" x14ac:dyDescent="0.2">
      <c r="B3898" s="10"/>
    </row>
    <row r="3899" spans="2:2" x14ac:dyDescent="0.2">
      <c r="B3899" s="10"/>
    </row>
    <row r="3900" spans="2:2" x14ac:dyDescent="0.2">
      <c r="B3900" s="10"/>
    </row>
    <row r="3901" spans="2:2" x14ac:dyDescent="0.2">
      <c r="B3901" s="10"/>
    </row>
    <row r="3902" spans="2:2" x14ac:dyDescent="0.2">
      <c r="B3902" s="10"/>
    </row>
    <row r="3903" spans="2:2" x14ac:dyDescent="0.2">
      <c r="B3903" s="10"/>
    </row>
    <row r="3904" spans="2:2" x14ac:dyDescent="0.2">
      <c r="B3904" s="10"/>
    </row>
    <row r="3905" spans="2:2" x14ac:dyDescent="0.2">
      <c r="B3905" s="10"/>
    </row>
    <row r="3906" spans="2:2" x14ac:dyDescent="0.2">
      <c r="B3906" s="10"/>
    </row>
    <row r="3907" spans="2:2" x14ac:dyDescent="0.2">
      <c r="B3907" s="10"/>
    </row>
    <row r="3908" spans="2:2" x14ac:dyDescent="0.2">
      <c r="B3908" s="10"/>
    </row>
    <row r="3909" spans="2:2" x14ac:dyDescent="0.2">
      <c r="B3909" s="10"/>
    </row>
    <row r="3910" spans="2:2" x14ac:dyDescent="0.2">
      <c r="B3910" s="10"/>
    </row>
    <row r="3911" spans="2:2" x14ac:dyDescent="0.2">
      <c r="B3911" s="10"/>
    </row>
    <row r="3912" spans="2:2" x14ac:dyDescent="0.2">
      <c r="B3912" s="10"/>
    </row>
    <row r="3913" spans="2:2" x14ac:dyDescent="0.2">
      <c r="B3913" s="10"/>
    </row>
    <row r="3914" spans="2:2" x14ac:dyDescent="0.2">
      <c r="B3914" s="10"/>
    </row>
    <row r="3915" spans="2:2" x14ac:dyDescent="0.2">
      <c r="B3915" s="10"/>
    </row>
    <row r="3916" spans="2:2" x14ac:dyDescent="0.2">
      <c r="B3916" s="10"/>
    </row>
    <row r="3917" spans="2:2" x14ac:dyDescent="0.2">
      <c r="B3917" s="10"/>
    </row>
    <row r="3918" spans="2:2" x14ac:dyDescent="0.2">
      <c r="B3918" s="10"/>
    </row>
    <row r="3919" spans="2:2" x14ac:dyDescent="0.2">
      <c r="B3919" s="10"/>
    </row>
    <row r="3920" spans="2:2" x14ac:dyDescent="0.2">
      <c r="B3920" s="10"/>
    </row>
    <row r="3921" spans="2:2" x14ac:dyDescent="0.2">
      <c r="B3921" s="10"/>
    </row>
    <row r="3922" spans="2:2" x14ac:dyDescent="0.2">
      <c r="B3922" s="10"/>
    </row>
    <row r="3923" spans="2:2" x14ac:dyDescent="0.2">
      <c r="B3923" s="10"/>
    </row>
    <row r="3924" spans="2:2" x14ac:dyDescent="0.2">
      <c r="B3924" s="10"/>
    </row>
    <row r="3925" spans="2:2" x14ac:dyDescent="0.2">
      <c r="B3925" s="10"/>
    </row>
    <row r="3926" spans="2:2" x14ac:dyDescent="0.2">
      <c r="B3926" s="10"/>
    </row>
    <row r="3927" spans="2:2" x14ac:dyDescent="0.2">
      <c r="B3927" s="10"/>
    </row>
    <row r="3928" spans="2:2" x14ac:dyDescent="0.2">
      <c r="B3928" s="10"/>
    </row>
    <row r="3929" spans="2:2" x14ac:dyDescent="0.2">
      <c r="B3929" s="10"/>
    </row>
    <row r="3930" spans="2:2" x14ac:dyDescent="0.2">
      <c r="B3930" s="10"/>
    </row>
    <row r="3931" spans="2:2" x14ac:dyDescent="0.2">
      <c r="B3931" s="10"/>
    </row>
    <row r="3932" spans="2:2" x14ac:dyDescent="0.2">
      <c r="B3932" s="10"/>
    </row>
    <row r="3933" spans="2:2" x14ac:dyDescent="0.2">
      <c r="B3933" s="10"/>
    </row>
    <row r="3934" spans="2:2" x14ac:dyDescent="0.2">
      <c r="B3934" s="10"/>
    </row>
    <row r="3935" spans="2:2" x14ac:dyDescent="0.2">
      <c r="B3935" s="10"/>
    </row>
    <row r="3936" spans="2:2" x14ac:dyDescent="0.2">
      <c r="B3936" s="10"/>
    </row>
    <row r="3937" spans="2:2" x14ac:dyDescent="0.2">
      <c r="B3937" s="10"/>
    </row>
    <row r="3938" spans="2:2" x14ac:dyDescent="0.2">
      <c r="B3938" s="10"/>
    </row>
    <row r="3939" spans="2:2" x14ac:dyDescent="0.2">
      <c r="B3939" s="10"/>
    </row>
    <row r="3940" spans="2:2" x14ac:dyDescent="0.2">
      <c r="B3940" s="10"/>
    </row>
    <row r="3941" spans="2:2" x14ac:dyDescent="0.2">
      <c r="B3941" s="10"/>
    </row>
    <row r="3942" spans="2:2" x14ac:dyDescent="0.2">
      <c r="B3942" s="10"/>
    </row>
    <row r="3943" spans="2:2" x14ac:dyDescent="0.2">
      <c r="B3943" s="10"/>
    </row>
    <row r="3944" spans="2:2" x14ac:dyDescent="0.2">
      <c r="B3944" s="10"/>
    </row>
    <row r="3945" spans="2:2" x14ac:dyDescent="0.2">
      <c r="B3945" s="10"/>
    </row>
    <row r="3946" spans="2:2" x14ac:dyDescent="0.2">
      <c r="B3946" s="10"/>
    </row>
    <row r="3947" spans="2:2" x14ac:dyDescent="0.2">
      <c r="B3947" s="10"/>
    </row>
    <row r="3948" spans="2:2" x14ac:dyDescent="0.2">
      <c r="B3948" s="10"/>
    </row>
    <row r="3949" spans="2:2" x14ac:dyDescent="0.2">
      <c r="B3949" s="10"/>
    </row>
    <row r="3950" spans="2:2" x14ac:dyDescent="0.2">
      <c r="B3950" s="10"/>
    </row>
    <row r="3951" spans="2:2" x14ac:dyDescent="0.2">
      <c r="B3951" s="10"/>
    </row>
    <row r="3952" spans="2:2" x14ac:dyDescent="0.2">
      <c r="B3952" s="10"/>
    </row>
    <row r="3953" spans="2:2" x14ac:dyDescent="0.2">
      <c r="B3953" s="10"/>
    </row>
    <row r="3954" spans="2:2" x14ac:dyDescent="0.2">
      <c r="B3954" s="10"/>
    </row>
    <row r="3955" spans="2:2" x14ac:dyDescent="0.2">
      <c r="B3955" s="10"/>
    </row>
    <row r="3956" spans="2:2" x14ac:dyDescent="0.2">
      <c r="B3956" s="10"/>
    </row>
    <row r="3957" spans="2:2" x14ac:dyDescent="0.2">
      <c r="B3957" s="10"/>
    </row>
    <row r="3958" spans="2:2" x14ac:dyDescent="0.2">
      <c r="B3958" s="10"/>
    </row>
    <row r="3959" spans="2:2" x14ac:dyDescent="0.2">
      <c r="B3959" s="10"/>
    </row>
    <row r="3960" spans="2:2" x14ac:dyDescent="0.2">
      <c r="B3960" s="10"/>
    </row>
    <row r="3961" spans="2:2" x14ac:dyDescent="0.2">
      <c r="B3961" s="10"/>
    </row>
    <row r="3962" spans="2:2" x14ac:dyDescent="0.2">
      <c r="B3962" s="10"/>
    </row>
    <row r="3963" spans="2:2" x14ac:dyDescent="0.2">
      <c r="B3963" s="10"/>
    </row>
    <row r="3964" spans="2:2" x14ac:dyDescent="0.2">
      <c r="B3964" s="10"/>
    </row>
    <row r="3965" spans="2:2" x14ac:dyDescent="0.2">
      <c r="B3965" s="10"/>
    </row>
    <row r="3966" spans="2:2" x14ac:dyDescent="0.2">
      <c r="B3966" s="10"/>
    </row>
    <row r="3967" spans="2:2" x14ac:dyDescent="0.2">
      <c r="B3967" s="10"/>
    </row>
    <row r="3968" spans="2:2" x14ac:dyDescent="0.2">
      <c r="B3968" s="10"/>
    </row>
    <row r="3969" spans="2:2" x14ac:dyDescent="0.2">
      <c r="B3969" s="10"/>
    </row>
    <row r="3970" spans="2:2" x14ac:dyDescent="0.2">
      <c r="B3970" s="10"/>
    </row>
    <row r="3971" spans="2:2" x14ac:dyDescent="0.2">
      <c r="B3971" s="10"/>
    </row>
    <row r="3972" spans="2:2" x14ac:dyDescent="0.2">
      <c r="B3972" s="10"/>
    </row>
    <row r="3973" spans="2:2" x14ac:dyDescent="0.2">
      <c r="B3973" s="10"/>
    </row>
    <row r="3974" spans="2:2" x14ac:dyDescent="0.2">
      <c r="B3974" s="10"/>
    </row>
    <row r="3975" spans="2:2" x14ac:dyDescent="0.2">
      <c r="B3975" s="10"/>
    </row>
    <row r="3976" spans="2:2" x14ac:dyDescent="0.2">
      <c r="B3976" s="10"/>
    </row>
    <row r="3977" spans="2:2" x14ac:dyDescent="0.2">
      <c r="B3977" s="10"/>
    </row>
    <row r="3978" spans="2:2" x14ac:dyDescent="0.2">
      <c r="B3978" s="10"/>
    </row>
    <row r="3979" spans="2:2" x14ac:dyDescent="0.2">
      <c r="B3979" s="10"/>
    </row>
    <row r="3980" spans="2:2" x14ac:dyDescent="0.2">
      <c r="B3980" s="10"/>
    </row>
    <row r="3981" spans="2:2" x14ac:dyDescent="0.2">
      <c r="B3981" s="10"/>
    </row>
    <row r="3982" spans="2:2" x14ac:dyDescent="0.2">
      <c r="B3982" s="10"/>
    </row>
    <row r="3983" spans="2:2" x14ac:dyDescent="0.2">
      <c r="B3983" s="10"/>
    </row>
    <row r="3984" spans="2:2" x14ac:dyDescent="0.2">
      <c r="B3984" s="10"/>
    </row>
    <row r="3985" spans="2:2" x14ac:dyDescent="0.2">
      <c r="B3985" s="10"/>
    </row>
    <row r="3986" spans="2:2" x14ac:dyDescent="0.2">
      <c r="B3986" s="10"/>
    </row>
    <row r="3987" spans="2:2" x14ac:dyDescent="0.2">
      <c r="B3987" s="10"/>
    </row>
    <row r="3988" spans="2:2" x14ac:dyDescent="0.2">
      <c r="B3988" s="10"/>
    </row>
    <row r="3989" spans="2:2" x14ac:dyDescent="0.2">
      <c r="B3989" s="10"/>
    </row>
    <row r="3990" spans="2:2" x14ac:dyDescent="0.2">
      <c r="B3990" s="10"/>
    </row>
    <row r="3991" spans="2:2" x14ac:dyDescent="0.2">
      <c r="B3991" s="10"/>
    </row>
    <row r="3992" spans="2:2" x14ac:dyDescent="0.2">
      <c r="B3992" s="10"/>
    </row>
    <row r="3993" spans="2:2" x14ac:dyDescent="0.2">
      <c r="B3993" s="10"/>
    </row>
    <row r="3994" spans="2:2" x14ac:dyDescent="0.2">
      <c r="B3994" s="10"/>
    </row>
    <row r="3995" spans="2:2" x14ac:dyDescent="0.2">
      <c r="B3995" s="10"/>
    </row>
    <row r="3996" spans="2:2" x14ac:dyDescent="0.2">
      <c r="B3996" s="10"/>
    </row>
    <row r="3997" spans="2:2" x14ac:dyDescent="0.2">
      <c r="B3997" s="10"/>
    </row>
    <row r="3998" spans="2:2" x14ac:dyDescent="0.2">
      <c r="B3998" s="10"/>
    </row>
    <row r="3999" spans="2:2" x14ac:dyDescent="0.2">
      <c r="B3999" s="10"/>
    </row>
    <row r="4000" spans="2:2" x14ac:dyDescent="0.2">
      <c r="B4000" s="10"/>
    </row>
    <row r="4001" spans="2:2" x14ac:dyDescent="0.2">
      <c r="B4001" s="10"/>
    </row>
    <row r="4002" spans="2:2" x14ac:dyDescent="0.2">
      <c r="B4002" s="10"/>
    </row>
    <row r="4003" spans="2:2" x14ac:dyDescent="0.2">
      <c r="B4003" s="10"/>
    </row>
    <row r="4004" spans="2:2" x14ac:dyDescent="0.2">
      <c r="B4004" s="10"/>
    </row>
    <row r="4005" spans="2:2" x14ac:dyDescent="0.2">
      <c r="B4005" s="10"/>
    </row>
    <row r="4006" spans="2:2" x14ac:dyDescent="0.2">
      <c r="B4006" s="10"/>
    </row>
    <row r="4007" spans="2:2" x14ac:dyDescent="0.2">
      <c r="B4007" s="10"/>
    </row>
    <row r="4008" spans="2:2" x14ac:dyDescent="0.2">
      <c r="B4008" s="10"/>
    </row>
    <row r="4009" spans="2:2" x14ac:dyDescent="0.2">
      <c r="B4009" s="10"/>
    </row>
    <row r="4010" spans="2:2" x14ac:dyDescent="0.2">
      <c r="B4010" s="10"/>
    </row>
    <row r="4011" spans="2:2" x14ac:dyDescent="0.2">
      <c r="B4011" s="10"/>
    </row>
    <row r="4012" spans="2:2" x14ac:dyDescent="0.2">
      <c r="B4012" s="10"/>
    </row>
    <row r="4013" spans="2:2" x14ac:dyDescent="0.2">
      <c r="B4013" s="10"/>
    </row>
    <row r="4014" spans="2:2" x14ac:dyDescent="0.2">
      <c r="B4014" s="10"/>
    </row>
    <row r="4015" spans="2:2" x14ac:dyDescent="0.2">
      <c r="B4015" s="10"/>
    </row>
    <row r="4016" spans="2:2" x14ac:dyDescent="0.2">
      <c r="B4016" s="10"/>
    </row>
    <row r="4017" spans="2:2" x14ac:dyDescent="0.2">
      <c r="B4017" s="10"/>
    </row>
    <row r="4018" spans="2:2" x14ac:dyDescent="0.2">
      <c r="B4018" s="10"/>
    </row>
    <row r="4019" spans="2:2" x14ac:dyDescent="0.2">
      <c r="B4019" s="10"/>
    </row>
    <row r="4020" spans="2:2" x14ac:dyDescent="0.2">
      <c r="B4020" s="10"/>
    </row>
    <row r="4021" spans="2:2" x14ac:dyDescent="0.2">
      <c r="B4021" s="10"/>
    </row>
    <row r="4022" spans="2:2" x14ac:dyDescent="0.2">
      <c r="B4022" s="10"/>
    </row>
    <row r="4023" spans="2:2" x14ac:dyDescent="0.2">
      <c r="B4023" s="10"/>
    </row>
    <row r="4024" spans="2:2" x14ac:dyDescent="0.2">
      <c r="B4024" s="10"/>
    </row>
    <row r="4025" spans="2:2" x14ac:dyDescent="0.2">
      <c r="B4025" s="10"/>
    </row>
    <row r="4026" spans="2:2" x14ac:dyDescent="0.2">
      <c r="B4026" s="10"/>
    </row>
    <row r="4027" spans="2:2" x14ac:dyDescent="0.2">
      <c r="B4027" s="10"/>
    </row>
    <row r="4028" spans="2:2" x14ac:dyDescent="0.2">
      <c r="B4028" s="10"/>
    </row>
    <row r="4029" spans="2:2" x14ac:dyDescent="0.2">
      <c r="B4029" s="10"/>
    </row>
    <row r="4030" spans="2:2" x14ac:dyDescent="0.2">
      <c r="B4030" s="10"/>
    </row>
    <row r="4031" spans="2:2" x14ac:dyDescent="0.2">
      <c r="B4031" s="10"/>
    </row>
    <row r="4032" spans="2:2" x14ac:dyDescent="0.2">
      <c r="B4032" s="10"/>
    </row>
    <row r="4033" spans="2:2" x14ac:dyDescent="0.2">
      <c r="B4033" s="10"/>
    </row>
    <row r="4034" spans="2:2" x14ac:dyDescent="0.2">
      <c r="B4034" s="10"/>
    </row>
    <row r="4035" spans="2:2" x14ac:dyDescent="0.2">
      <c r="B4035" s="10"/>
    </row>
    <row r="4036" spans="2:2" x14ac:dyDescent="0.2">
      <c r="B4036" s="10"/>
    </row>
    <row r="4037" spans="2:2" x14ac:dyDescent="0.2">
      <c r="B4037" s="10"/>
    </row>
    <row r="4038" spans="2:2" x14ac:dyDescent="0.2">
      <c r="B4038" s="10"/>
    </row>
    <row r="4039" spans="2:2" x14ac:dyDescent="0.2">
      <c r="B4039" s="10"/>
    </row>
    <row r="4040" spans="2:2" x14ac:dyDescent="0.2">
      <c r="B4040" s="10"/>
    </row>
    <row r="4041" spans="2:2" x14ac:dyDescent="0.2">
      <c r="B4041" s="10"/>
    </row>
    <row r="4042" spans="2:2" x14ac:dyDescent="0.2">
      <c r="B4042" s="10"/>
    </row>
    <row r="4043" spans="2:2" x14ac:dyDescent="0.2">
      <c r="B4043" s="10"/>
    </row>
    <row r="4044" spans="2:2" x14ac:dyDescent="0.2">
      <c r="B4044" s="10"/>
    </row>
    <row r="4045" spans="2:2" x14ac:dyDescent="0.2">
      <c r="B4045" s="10"/>
    </row>
    <row r="4046" spans="2:2" x14ac:dyDescent="0.2">
      <c r="B4046" s="10"/>
    </row>
    <row r="4047" spans="2:2" x14ac:dyDescent="0.2">
      <c r="B4047" s="10"/>
    </row>
    <row r="4048" spans="2:2" x14ac:dyDescent="0.2">
      <c r="B4048" s="10"/>
    </row>
    <row r="4049" spans="2:2" x14ac:dyDescent="0.2">
      <c r="B4049" s="10"/>
    </row>
    <row r="4050" spans="2:2" x14ac:dyDescent="0.2">
      <c r="B4050" s="10"/>
    </row>
    <row r="4051" spans="2:2" x14ac:dyDescent="0.2">
      <c r="B4051" s="10"/>
    </row>
    <row r="4052" spans="2:2" x14ac:dyDescent="0.2">
      <c r="B4052" s="10"/>
    </row>
    <row r="4053" spans="2:2" x14ac:dyDescent="0.2">
      <c r="B4053" s="10"/>
    </row>
    <row r="4054" spans="2:2" x14ac:dyDescent="0.2">
      <c r="B4054" s="10"/>
    </row>
    <row r="4055" spans="2:2" x14ac:dyDescent="0.2">
      <c r="B4055" s="10"/>
    </row>
    <row r="4056" spans="2:2" x14ac:dyDescent="0.2">
      <c r="B4056" s="10"/>
    </row>
    <row r="4057" spans="2:2" x14ac:dyDescent="0.2">
      <c r="B4057" s="10"/>
    </row>
    <row r="4058" spans="2:2" x14ac:dyDescent="0.2">
      <c r="B4058" s="10"/>
    </row>
    <row r="4059" spans="2:2" x14ac:dyDescent="0.2">
      <c r="B4059" s="10"/>
    </row>
    <row r="4060" spans="2:2" x14ac:dyDescent="0.2">
      <c r="B4060" s="10"/>
    </row>
    <row r="4061" spans="2:2" x14ac:dyDescent="0.2">
      <c r="B4061" s="10"/>
    </row>
    <row r="4062" spans="2:2" x14ac:dyDescent="0.2">
      <c r="B4062" s="10"/>
    </row>
    <row r="4063" spans="2:2" x14ac:dyDescent="0.2">
      <c r="B4063" s="10"/>
    </row>
    <row r="4064" spans="2:2" x14ac:dyDescent="0.2">
      <c r="B4064" s="10"/>
    </row>
    <row r="4065" spans="2:2" x14ac:dyDescent="0.2">
      <c r="B4065" s="10"/>
    </row>
    <row r="4066" spans="2:2" x14ac:dyDescent="0.2">
      <c r="B4066" s="10"/>
    </row>
    <row r="4067" spans="2:2" x14ac:dyDescent="0.2">
      <c r="B4067" s="10"/>
    </row>
    <row r="4068" spans="2:2" x14ac:dyDescent="0.2">
      <c r="B4068" s="10"/>
    </row>
    <row r="4069" spans="2:2" x14ac:dyDescent="0.2">
      <c r="B4069" s="10"/>
    </row>
    <row r="4070" spans="2:2" x14ac:dyDescent="0.2">
      <c r="B4070" s="10"/>
    </row>
    <row r="4071" spans="2:2" x14ac:dyDescent="0.2">
      <c r="B4071" s="10"/>
    </row>
    <row r="4072" spans="2:2" x14ac:dyDescent="0.2">
      <c r="B4072" s="10"/>
    </row>
    <row r="4073" spans="2:2" x14ac:dyDescent="0.2">
      <c r="B4073" s="10"/>
    </row>
    <row r="4074" spans="2:2" x14ac:dyDescent="0.2">
      <c r="B4074" s="10"/>
    </row>
    <row r="4075" spans="2:2" x14ac:dyDescent="0.2">
      <c r="B4075" s="10"/>
    </row>
    <row r="4076" spans="2:2" x14ac:dyDescent="0.2">
      <c r="B4076" s="10"/>
    </row>
    <row r="4077" spans="2:2" x14ac:dyDescent="0.2">
      <c r="B4077" s="10"/>
    </row>
    <row r="4078" spans="2:2" x14ac:dyDescent="0.2">
      <c r="B4078" s="10"/>
    </row>
    <row r="4079" spans="2:2" x14ac:dyDescent="0.2">
      <c r="B4079" s="10"/>
    </row>
    <row r="4080" spans="2:2" x14ac:dyDescent="0.2">
      <c r="B4080" s="10"/>
    </row>
    <row r="4081" spans="2:2" x14ac:dyDescent="0.2">
      <c r="B4081" s="10"/>
    </row>
    <row r="4082" spans="2:2" x14ac:dyDescent="0.2">
      <c r="B4082" s="10"/>
    </row>
    <row r="4083" spans="2:2" x14ac:dyDescent="0.2">
      <c r="B4083" s="10"/>
    </row>
    <row r="4084" spans="2:2" x14ac:dyDescent="0.2">
      <c r="B4084" s="10"/>
    </row>
    <row r="4085" spans="2:2" x14ac:dyDescent="0.2">
      <c r="B4085" s="10"/>
    </row>
    <row r="4086" spans="2:2" x14ac:dyDescent="0.2">
      <c r="B4086" s="10"/>
    </row>
    <row r="4087" spans="2:2" x14ac:dyDescent="0.2">
      <c r="B4087" s="10"/>
    </row>
    <row r="4088" spans="2:2" x14ac:dyDescent="0.2">
      <c r="B4088" s="10"/>
    </row>
    <row r="4089" spans="2:2" x14ac:dyDescent="0.2">
      <c r="B4089" s="10"/>
    </row>
    <row r="4090" spans="2:2" x14ac:dyDescent="0.2">
      <c r="B4090" s="10"/>
    </row>
    <row r="4091" spans="2:2" x14ac:dyDescent="0.2">
      <c r="B4091" s="10"/>
    </row>
    <row r="4092" spans="2:2" x14ac:dyDescent="0.2">
      <c r="B4092" s="10"/>
    </row>
    <row r="4093" spans="2:2" x14ac:dyDescent="0.2">
      <c r="B4093" s="10"/>
    </row>
    <row r="4094" spans="2:2" x14ac:dyDescent="0.2">
      <c r="B4094" s="10"/>
    </row>
    <row r="4095" spans="2:2" x14ac:dyDescent="0.2">
      <c r="B4095" s="10"/>
    </row>
    <row r="4096" spans="2:2" x14ac:dyDescent="0.2">
      <c r="B4096" s="10"/>
    </row>
    <row r="4097" spans="2:2" x14ac:dyDescent="0.2">
      <c r="B4097" s="10"/>
    </row>
    <row r="4098" spans="2:2" x14ac:dyDescent="0.2">
      <c r="B4098" s="10"/>
    </row>
    <row r="4099" spans="2:2" x14ac:dyDescent="0.2">
      <c r="B4099" s="10"/>
    </row>
    <row r="4100" spans="2:2" x14ac:dyDescent="0.2">
      <c r="B4100" s="10"/>
    </row>
    <row r="4101" spans="2:2" x14ac:dyDescent="0.2">
      <c r="B4101" s="10"/>
    </row>
    <row r="4102" spans="2:2" x14ac:dyDescent="0.2">
      <c r="B4102" s="10"/>
    </row>
    <row r="4103" spans="2:2" x14ac:dyDescent="0.2">
      <c r="B4103" s="10"/>
    </row>
    <row r="4104" spans="2:2" x14ac:dyDescent="0.2">
      <c r="B4104" s="10"/>
    </row>
    <row r="4105" spans="2:2" x14ac:dyDescent="0.2">
      <c r="B4105" s="10"/>
    </row>
    <row r="4106" spans="2:2" x14ac:dyDescent="0.2">
      <c r="B4106" s="10"/>
    </row>
    <row r="4107" spans="2:2" x14ac:dyDescent="0.2">
      <c r="B4107" s="10"/>
    </row>
    <row r="4108" spans="2:2" x14ac:dyDescent="0.2">
      <c r="B4108" s="10"/>
    </row>
    <row r="4109" spans="2:2" x14ac:dyDescent="0.2">
      <c r="B4109" s="10"/>
    </row>
    <row r="4110" spans="2:2" x14ac:dyDescent="0.2">
      <c r="B4110" s="10"/>
    </row>
    <row r="4111" spans="2:2" x14ac:dyDescent="0.2">
      <c r="B4111" s="10"/>
    </row>
    <row r="4112" spans="2:2" x14ac:dyDescent="0.2">
      <c r="B4112" s="10"/>
    </row>
    <row r="4113" spans="2:2" x14ac:dyDescent="0.2">
      <c r="B4113" s="10"/>
    </row>
    <row r="4114" spans="2:2" x14ac:dyDescent="0.2">
      <c r="B4114" s="10"/>
    </row>
    <row r="4115" spans="2:2" x14ac:dyDescent="0.2">
      <c r="B4115" s="10"/>
    </row>
    <row r="4116" spans="2:2" x14ac:dyDescent="0.2">
      <c r="B4116" s="10"/>
    </row>
    <row r="4117" spans="2:2" x14ac:dyDescent="0.2">
      <c r="B4117" s="10"/>
    </row>
    <row r="4118" spans="2:2" x14ac:dyDescent="0.2">
      <c r="B4118" s="10"/>
    </row>
    <row r="4119" spans="2:2" x14ac:dyDescent="0.2">
      <c r="B4119" s="10"/>
    </row>
    <row r="4120" spans="2:2" x14ac:dyDescent="0.2">
      <c r="B4120" s="10"/>
    </row>
    <row r="4121" spans="2:2" x14ac:dyDescent="0.2">
      <c r="B4121" s="10"/>
    </row>
    <row r="4122" spans="2:2" x14ac:dyDescent="0.2">
      <c r="B4122" s="10"/>
    </row>
    <row r="4123" spans="2:2" x14ac:dyDescent="0.2">
      <c r="B4123" s="10"/>
    </row>
    <row r="4124" spans="2:2" x14ac:dyDescent="0.2">
      <c r="B4124" s="10"/>
    </row>
    <row r="4125" spans="2:2" x14ac:dyDescent="0.2">
      <c r="B4125" s="10"/>
    </row>
    <row r="4126" spans="2:2" x14ac:dyDescent="0.2">
      <c r="B4126" s="10"/>
    </row>
    <row r="4127" spans="2:2" x14ac:dyDescent="0.2">
      <c r="B4127" s="10"/>
    </row>
    <row r="4128" spans="2:2" x14ac:dyDescent="0.2">
      <c r="B4128" s="10"/>
    </row>
    <row r="4129" spans="2:2" x14ac:dyDescent="0.2">
      <c r="B4129" s="10"/>
    </row>
    <row r="4130" spans="2:2" x14ac:dyDescent="0.2">
      <c r="B4130" s="10"/>
    </row>
    <row r="4131" spans="2:2" x14ac:dyDescent="0.2">
      <c r="B4131" s="10"/>
    </row>
    <row r="4132" spans="2:2" x14ac:dyDescent="0.2">
      <c r="B4132" s="10"/>
    </row>
    <row r="4133" spans="2:2" x14ac:dyDescent="0.2">
      <c r="B4133" s="10"/>
    </row>
    <row r="4134" spans="2:2" x14ac:dyDescent="0.2">
      <c r="B4134" s="10"/>
    </row>
    <row r="4135" spans="2:2" x14ac:dyDescent="0.2">
      <c r="B4135" s="10"/>
    </row>
    <row r="4136" spans="2:2" x14ac:dyDescent="0.2">
      <c r="B4136" s="10"/>
    </row>
    <row r="4137" spans="2:2" x14ac:dyDescent="0.2">
      <c r="B4137" s="10"/>
    </row>
    <row r="4138" spans="2:2" x14ac:dyDescent="0.2">
      <c r="B4138" s="10"/>
    </row>
    <row r="4139" spans="2:2" x14ac:dyDescent="0.2">
      <c r="B4139" s="10"/>
    </row>
    <row r="4140" spans="2:2" x14ac:dyDescent="0.2">
      <c r="B4140" s="10"/>
    </row>
    <row r="4141" spans="2:2" x14ac:dyDescent="0.2">
      <c r="B4141" s="10"/>
    </row>
    <row r="4142" spans="2:2" x14ac:dyDescent="0.2">
      <c r="B4142" s="10"/>
    </row>
    <row r="4143" spans="2:2" x14ac:dyDescent="0.2">
      <c r="B4143" s="10"/>
    </row>
    <row r="4144" spans="2:2" x14ac:dyDescent="0.2">
      <c r="B4144" s="10"/>
    </row>
    <row r="4145" spans="2:2" x14ac:dyDescent="0.2">
      <c r="B4145" s="10"/>
    </row>
    <row r="4146" spans="2:2" x14ac:dyDescent="0.2">
      <c r="B4146" s="10"/>
    </row>
    <row r="4147" spans="2:2" x14ac:dyDescent="0.2">
      <c r="B4147" s="10"/>
    </row>
    <row r="4148" spans="2:2" x14ac:dyDescent="0.2">
      <c r="B4148" s="10"/>
    </row>
    <row r="4149" spans="2:2" x14ac:dyDescent="0.2">
      <c r="B4149" s="10"/>
    </row>
    <row r="4150" spans="2:2" x14ac:dyDescent="0.2">
      <c r="B4150" s="10"/>
    </row>
    <row r="4151" spans="2:2" x14ac:dyDescent="0.2">
      <c r="B4151" s="10"/>
    </row>
    <row r="4152" spans="2:2" x14ac:dyDescent="0.2">
      <c r="B4152" s="10"/>
    </row>
    <row r="4153" spans="2:2" x14ac:dyDescent="0.2">
      <c r="B4153" s="10"/>
    </row>
    <row r="4154" spans="2:2" x14ac:dyDescent="0.2">
      <c r="B4154" s="10"/>
    </row>
    <row r="4155" spans="2:2" x14ac:dyDescent="0.2">
      <c r="B4155" s="10"/>
    </row>
    <row r="4156" spans="2:2" x14ac:dyDescent="0.2">
      <c r="B4156" s="10"/>
    </row>
    <row r="4157" spans="2:2" x14ac:dyDescent="0.2">
      <c r="B4157" s="10"/>
    </row>
    <row r="4158" spans="2:2" x14ac:dyDescent="0.2">
      <c r="B4158" s="10"/>
    </row>
    <row r="4159" spans="2:2" x14ac:dyDescent="0.2">
      <c r="B4159" s="10"/>
    </row>
    <row r="4160" spans="2:2" x14ac:dyDescent="0.2">
      <c r="B4160" s="10"/>
    </row>
    <row r="4161" spans="2:2" x14ac:dyDescent="0.2">
      <c r="B4161" s="10"/>
    </row>
    <row r="4162" spans="2:2" x14ac:dyDescent="0.2">
      <c r="B4162" s="10"/>
    </row>
    <row r="4163" spans="2:2" x14ac:dyDescent="0.2">
      <c r="B4163" s="10"/>
    </row>
    <row r="4164" spans="2:2" x14ac:dyDescent="0.2">
      <c r="B4164" s="10"/>
    </row>
    <row r="4165" spans="2:2" x14ac:dyDescent="0.2">
      <c r="B4165" s="10"/>
    </row>
    <row r="4166" spans="2:2" x14ac:dyDescent="0.2">
      <c r="B4166" s="10"/>
    </row>
    <row r="4167" spans="2:2" x14ac:dyDescent="0.2">
      <c r="B4167" s="10"/>
    </row>
    <row r="4168" spans="2:2" x14ac:dyDescent="0.2">
      <c r="B4168" s="10"/>
    </row>
    <row r="4169" spans="2:2" x14ac:dyDescent="0.2">
      <c r="B4169" s="10"/>
    </row>
    <row r="4170" spans="2:2" x14ac:dyDescent="0.2">
      <c r="B4170" s="10"/>
    </row>
    <row r="4171" spans="2:2" x14ac:dyDescent="0.2">
      <c r="B4171" s="10"/>
    </row>
    <row r="4172" spans="2:2" x14ac:dyDescent="0.2">
      <c r="B4172" s="10"/>
    </row>
    <row r="4173" spans="2:2" x14ac:dyDescent="0.2">
      <c r="B4173" s="10"/>
    </row>
    <row r="4174" spans="2:2" x14ac:dyDescent="0.2">
      <c r="B4174" s="10"/>
    </row>
    <row r="4175" spans="2:2" x14ac:dyDescent="0.2">
      <c r="B4175" s="10"/>
    </row>
    <row r="4176" spans="2:2" x14ac:dyDescent="0.2">
      <c r="B4176" s="10"/>
    </row>
    <row r="4177" spans="2:2" x14ac:dyDescent="0.2">
      <c r="B4177" s="10"/>
    </row>
    <row r="4178" spans="2:2" x14ac:dyDescent="0.2">
      <c r="B4178" s="10"/>
    </row>
    <row r="4179" spans="2:2" x14ac:dyDescent="0.2">
      <c r="B4179" s="10"/>
    </row>
    <row r="4180" spans="2:2" x14ac:dyDescent="0.2">
      <c r="B4180" s="10"/>
    </row>
    <row r="4181" spans="2:2" x14ac:dyDescent="0.2">
      <c r="B4181" s="10"/>
    </row>
    <row r="4182" spans="2:2" x14ac:dyDescent="0.2">
      <c r="B4182" s="10"/>
    </row>
    <row r="4183" spans="2:2" x14ac:dyDescent="0.2">
      <c r="B4183" s="10"/>
    </row>
    <row r="4184" spans="2:2" x14ac:dyDescent="0.2">
      <c r="B4184" s="10"/>
    </row>
    <row r="4185" spans="2:2" x14ac:dyDescent="0.2">
      <c r="B4185" s="10"/>
    </row>
    <row r="4186" spans="2:2" x14ac:dyDescent="0.2">
      <c r="B4186" s="10"/>
    </row>
    <row r="4187" spans="2:2" x14ac:dyDescent="0.2">
      <c r="B4187" s="10"/>
    </row>
    <row r="4188" spans="2:2" x14ac:dyDescent="0.2">
      <c r="B4188" s="10"/>
    </row>
    <row r="4189" spans="2:2" x14ac:dyDescent="0.2">
      <c r="B4189" s="10"/>
    </row>
    <row r="4190" spans="2:2" x14ac:dyDescent="0.2">
      <c r="B4190" s="10"/>
    </row>
    <row r="4191" spans="2:2" x14ac:dyDescent="0.2">
      <c r="B4191" s="10"/>
    </row>
    <row r="4192" spans="2:2" x14ac:dyDescent="0.2">
      <c r="B4192" s="10"/>
    </row>
    <row r="4193" spans="2:2" x14ac:dyDescent="0.2">
      <c r="B4193" s="10"/>
    </row>
    <row r="4194" spans="2:2" x14ac:dyDescent="0.2">
      <c r="B4194" s="10"/>
    </row>
    <row r="4195" spans="2:2" x14ac:dyDescent="0.2">
      <c r="B4195" s="10"/>
    </row>
    <row r="4196" spans="2:2" x14ac:dyDescent="0.2">
      <c r="B4196" s="10"/>
    </row>
    <row r="4197" spans="2:2" x14ac:dyDescent="0.2">
      <c r="B4197" s="10"/>
    </row>
    <row r="4198" spans="2:2" x14ac:dyDescent="0.2">
      <c r="B4198" s="10"/>
    </row>
    <row r="4199" spans="2:2" x14ac:dyDescent="0.2">
      <c r="B4199" s="10"/>
    </row>
    <row r="4200" spans="2:2" x14ac:dyDescent="0.2">
      <c r="B4200" s="10"/>
    </row>
    <row r="4201" spans="2:2" x14ac:dyDescent="0.2">
      <c r="B4201" s="10"/>
    </row>
    <row r="4202" spans="2:2" x14ac:dyDescent="0.2">
      <c r="B4202" s="10"/>
    </row>
    <row r="4203" spans="2:2" x14ac:dyDescent="0.2">
      <c r="B4203" s="10"/>
    </row>
    <row r="4204" spans="2:2" x14ac:dyDescent="0.2">
      <c r="B4204" s="10"/>
    </row>
    <row r="4205" spans="2:2" x14ac:dyDescent="0.2">
      <c r="B4205" s="10"/>
    </row>
    <row r="4206" spans="2:2" x14ac:dyDescent="0.2">
      <c r="B4206" s="10"/>
    </row>
    <row r="4207" spans="2:2" x14ac:dyDescent="0.2">
      <c r="B4207" s="10"/>
    </row>
    <row r="4208" spans="2:2" x14ac:dyDescent="0.2">
      <c r="B4208" s="10"/>
    </row>
    <row r="4209" spans="2:2" x14ac:dyDescent="0.2">
      <c r="B4209" s="10"/>
    </row>
    <row r="4210" spans="2:2" x14ac:dyDescent="0.2">
      <c r="B4210" s="10"/>
    </row>
    <row r="4211" spans="2:2" x14ac:dyDescent="0.2">
      <c r="B4211" s="10"/>
    </row>
    <row r="4212" spans="2:2" x14ac:dyDescent="0.2">
      <c r="B4212" s="10"/>
    </row>
    <row r="4213" spans="2:2" x14ac:dyDescent="0.2">
      <c r="B4213" s="10"/>
    </row>
    <row r="4214" spans="2:2" x14ac:dyDescent="0.2">
      <c r="B4214" s="10"/>
    </row>
    <row r="4215" spans="2:2" x14ac:dyDescent="0.2">
      <c r="B4215" s="10"/>
    </row>
    <row r="4216" spans="2:2" x14ac:dyDescent="0.2">
      <c r="B4216" s="10"/>
    </row>
    <row r="4217" spans="2:2" x14ac:dyDescent="0.2">
      <c r="B4217" s="10"/>
    </row>
    <row r="4218" spans="2:2" x14ac:dyDescent="0.2">
      <c r="B4218" s="10"/>
    </row>
    <row r="4219" spans="2:2" x14ac:dyDescent="0.2">
      <c r="B4219" s="10"/>
    </row>
    <row r="4220" spans="2:2" x14ac:dyDescent="0.2">
      <c r="B4220" s="10"/>
    </row>
    <row r="4221" spans="2:2" x14ac:dyDescent="0.2">
      <c r="B4221" s="10"/>
    </row>
    <row r="4222" spans="2:2" x14ac:dyDescent="0.2">
      <c r="B4222" s="10"/>
    </row>
    <row r="4223" spans="2:2" x14ac:dyDescent="0.2">
      <c r="B4223" s="10"/>
    </row>
    <row r="4224" spans="2:2" x14ac:dyDescent="0.2">
      <c r="B4224" s="10"/>
    </row>
    <row r="4225" spans="2:2" x14ac:dyDescent="0.2">
      <c r="B4225" s="10"/>
    </row>
    <row r="4226" spans="2:2" x14ac:dyDescent="0.2">
      <c r="B4226" s="10"/>
    </row>
    <row r="4227" spans="2:2" x14ac:dyDescent="0.2">
      <c r="B4227" s="10"/>
    </row>
    <row r="4228" spans="2:2" x14ac:dyDescent="0.2">
      <c r="B4228" s="10"/>
    </row>
    <row r="4229" spans="2:2" x14ac:dyDescent="0.2">
      <c r="B4229" s="10"/>
    </row>
    <row r="4230" spans="2:2" x14ac:dyDescent="0.2">
      <c r="B4230" s="10"/>
    </row>
    <row r="4231" spans="2:2" x14ac:dyDescent="0.2">
      <c r="B4231" s="10"/>
    </row>
    <row r="4232" spans="2:2" x14ac:dyDescent="0.2">
      <c r="B4232" s="10"/>
    </row>
    <row r="4233" spans="2:2" x14ac:dyDescent="0.2">
      <c r="B4233" s="10"/>
    </row>
    <row r="4234" spans="2:2" x14ac:dyDescent="0.2">
      <c r="B4234" s="10"/>
    </row>
    <row r="4235" spans="2:2" x14ac:dyDescent="0.2">
      <c r="B4235" s="10"/>
    </row>
    <row r="4236" spans="2:2" x14ac:dyDescent="0.2">
      <c r="B4236" s="10"/>
    </row>
    <row r="4237" spans="2:2" x14ac:dyDescent="0.2">
      <c r="B4237" s="10"/>
    </row>
    <row r="4238" spans="2:2" x14ac:dyDescent="0.2">
      <c r="B4238" s="10"/>
    </row>
    <row r="4239" spans="2:2" x14ac:dyDescent="0.2">
      <c r="B4239" s="10"/>
    </row>
    <row r="4240" spans="2:2" x14ac:dyDescent="0.2">
      <c r="B4240" s="10"/>
    </row>
    <row r="4241" spans="2:2" x14ac:dyDescent="0.2">
      <c r="B4241" s="10"/>
    </row>
    <row r="4242" spans="2:2" x14ac:dyDescent="0.2">
      <c r="B4242" s="10"/>
    </row>
    <row r="4243" spans="2:2" x14ac:dyDescent="0.2">
      <c r="B4243" s="10"/>
    </row>
    <row r="4244" spans="2:2" x14ac:dyDescent="0.2">
      <c r="B4244" s="10"/>
    </row>
    <row r="4245" spans="2:2" x14ac:dyDescent="0.2">
      <c r="B4245" s="10"/>
    </row>
    <row r="4246" spans="2:2" x14ac:dyDescent="0.2">
      <c r="B4246" s="10"/>
    </row>
    <row r="4247" spans="2:2" x14ac:dyDescent="0.2">
      <c r="B4247" s="10"/>
    </row>
    <row r="4248" spans="2:2" x14ac:dyDescent="0.2">
      <c r="B4248" s="10"/>
    </row>
    <row r="4249" spans="2:2" x14ac:dyDescent="0.2">
      <c r="B4249" s="10"/>
    </row>
    <row r="4250" spans="2:2" x14ac:dyDescent="0.2">
      <c r="B4250" s="10"/>
    </row>
    <row r="4251" spans="2:2" x14ac:dyDescent="0.2">
      <c r="B4251" s="10"/>
    </row>
    <row r="4252" spans="2:2" x14ac:dyDescent="0.2">
      <c r="B4252" s="10"/>
    </row>
    <row r="4253" spans="2:2" x14ac:dyDescent="0.2">
      <c r="B4253" s="10"/>
    </row>
    <row r="4254" spans="2:2" x14ac:dyDescent="0.2">
      <c r="B4254" s="10"/>
    </row>
    <row r="4255" spans="2:2" x14ac:dyDescent="0.2">
      <c r="B4255" s="10"/>
    </row>
    <row r="4256" spans="2:2" x14ac:dyDescent="0.2">
      <c r="B4256" s="10"/>
    </row>
    <row r="4257" spans="2:2" x14ac:dyDescent="0.2">
      <c r="B4257" s="10"/>
    </row>
    <row r="4258" spans="2:2" x14ac:dyDescent="0.2">
      <c r="B4258" s="10"/>
    </row>
    <row r="4259" spans="2:2" x14ac:dyDescent="0.2">
      <c r="B4259" s="10"/>
    </row>
    <row r="4260" spans="2:2" x14ac:dyDescent="0.2">
      <c r="B4260" s="10"/>
    </row>
    <row r="4261" spans="2:2" x14ac:dyDescent="0.2">
      <c r="B4261" s="10"/>
    </row>
    <row r="4262" spans="2:2" x14ac:dyDescent="0.2">
      <c r="B4262" s="10"/>
    </row>
    <row r="4263" spans="2:2" x14ac:dyDescent="0.2">
      <c r="B4263" s="10"/>
    </row>
    <row r="4264" spans="2:2" x14ac:dyDescent="0.2">
      <c r="B4264" s="10"/>
    </row>
    <row r="4265" spans="2:2" x14ac:dyDescent="0.2">
      <c r="B4265" s="10"/>
    </row>
    <row r="4266" spans="2:2" x14ac:dyDescent="0.2">
      <c r="B4266" s="10"/>
    </row>
    <row r="4267" spans="2:2" x14ac:dyDescent="0.2">
      <c r="B4267" s="10"/>
    </row>
    <row r="4268" spans="2:2" x14ac:dyDescent="0.2">
      <c r="B4268" s="10"/>
    </row>
    <row r="4269" spans="2:2" x14ac:dyDescent="0.2">
      <c r="B4269" s="10"/>
    </row>
    <row r="4270" spans="2:2" x14ac:dyDescent="0.2">
      <c r="B4270" s="10"/>
    </row>
    <row r="4271" spans="2:2" x14ac:dyDescent="0.2">
      <c r="B4271" s="10"/>
    </row>
    <row r="4272" spans="2:2" x14ac:dyDescent="0.2">
      <c r="B4272" s="10"/>
    </row>
    <row r="4273" spans="2:2" x14ac:dyDescent="0.2">
      <c r="B4273" s="10"/>
    </row>
    <row r="4274" spans="2:2" x14ac:dyDescent="0.2">
      <c r="B4274" s="10"/>
    </row>
    <row r="4275" spans="2:2" x14ac:dyDescent="0.2">
      <c r="B4275" s="10"/>
    </row>
    <row r="4276" spans="2:2" x14ac:dyDescent="0.2">
      <c r="B4276" s="10"/>
    </row>
    <row r="4277" spans="2:2" x14ac:dyDescent="0.2">
      <c r="B4277" s="10"/>
    </row>
    <row r="4278" spans="2:2" x14ac:dyDescent="0.2">
      <c r="B4278" s="10"/>
    </row>
    <row r="4279" spans="2:2" x14ac:dyDescent="0.2">
      <c r="B4279" s="10"/>
    </row>
    <row r="4280" spans="2:2" x14ac:dyDescent="0.2">
      <c r="B4280" s="10"/>
    </row>
    <row r="4281" spans="2:2" x14ac:dyDescent="0.2">
      <c r="B4281" s="10"/>
    </row>
    <row r="4282" spans="2:2" x14ac:dyDescent="0.2">
      <c r="B4282" s="10"/>
    </row>
    <row r="4283" spans="2:2" x14ac:dyDescent="0.2">
      <c r="B4283" s="10"/>
    </row>
    <row r="4284" spans="2:2" x14ac:dyDescent="0.2">
      <c r="B4284" s="10"/>
    </row>
    <row r="4285" spans="2:2" x14ac:dyDescent="0.2">
      <c r="B4285" s="10"/>
    </row>
    <row r="4286" spans="2:2" x14ac:dyDescent="0.2">
      <c r="B4286" s="10"/>
    </row>
    <row r="4287" spans="2:2" x14ac:dyDescent="0.2">
      <c r="B4287" s="10"/>
    </row>
    <row r="4288" spans="2:2" x14ac:dyDescent="0.2">
      <c r="B4288" s="10"/>
    </row>
    <row r="4289" spans="2:2" x14ac:dyDescent="0.2">
      <c r="B4289" s="10"/>
    </row>
    <row r="4290" spans="2:2" x14ac:dyDescent="0.2">
      <c r="B4290" s="10"/>
    </row>
    <row r="4291" spans="2:2" x14ac:dyDescent="0.2">
      <c r="B4291" s="10"/>
    </row>
    <row r="4292" spans="2:2" x14ac:dyDescent="0.2">
      <c r="B4292" s="10"/>
    </row>
    <row r="4293" spans="2:2" x14ac:dyDescent="0.2">
      <c r="B4293" s="10"/>
    </row>
    <row r="4294" spans="2:2" x14ac:dyDescent="0.2">
      <c r="B4294" s="10"/>
    </row>
    <row r="4295" spans="2:2" x14ac:dyDescent="0.2">
      <c r="B4295" s="10"/>
    </row>
    <row r="4296" spans="2:2" x14ac:dyDescent="0.2">
      <c r="B4296" s="10"/>
    </row>
    <row r="4297" spans="2:2" x14ac:dyDescent="0.2">
      <c r="B4297" s="10"/>
    </row>
    <row r="4298" spans="2:2" x14ac:dyDescent="0.2">
      <c r="B4298" s="10"/>
    </row>
    <row r="4299" spans="2:2" x14ac:dyDescent="0.2">
      <c r="B4299" s="10"/>
    </row>
    <row r="4300" spans="2:2" x14ac:dyDescent="0.2">
      <c r="B4300" s="10"/>
    </row>
    <row r="4301" spans="2:2" x14ac:dyDescent="0.2">
      <c r="B4301" s="10"/>
    </row>
    <row r="4302" spans="2:2" x14ac:dyDescent="0.2">
      <c r="B4302" s="10"/>
    </row>
    <row r="4303" spans="2:2" x14ac:dyDescent="0.2">
      <c r="B4303" s="10"/>
    </row>
    <row r="4304" spans="2:2" x14ac:dyDescent="0.2">
      <c r="B4304" s="10"/>
    </row>
    <row r="4305" spans="2:2" x14ac:dyDescent="0.2">
      <c r="B4305" s="10"/>
    </row>
    <row r="4306" spans="2:2" x14ac:dyDescent="0.2">
      <c r="B4306" s="10"/>
    </row>
    <row r="4307" spans="2:2" x14ac:dyDescent="0.2">
      <c r="B4307" s="10"/>
    </row>
    <row r="4308" spans="2:2" x14ac:dyDescent="0.2">
      <c r="B4308" s="10"/>
    </row>
    <row r="4309" spans="2:2" x14ac:dyDescent="0.2">
      <c r="B4309" s="10"/>
    </row>
    <row r="4310" spans="2:2" x14ac:dyDescent="0.2">
      <c r="B4310" s="10"/>
    </row>
    <row r="4311" spans="2:2" x14ac:dyDescent="0.2">
      <c r="B4311" s="10"/>
    </row>
    <row r="4312" spans="2:2" x14ac:dyDescent="0.2">
      <c r="B4312" s="10"/>
    </row>
    <row r="4313" spans="2:2" x14ac:dyDescent="0.2">
      <c r="B4313" s="10"/>
    </row>
    <row r="4314" spans="2:2" x14ac:dyDescent="0.2">
      <c r="B4314" s="10"/>
    </row>
    <row r="4315" spans="2:2" x14ac:dyDescent="0.2">
      <c r="B4315" s="10"/>
    </row>
    <row r="4316" spans="2:2" x14ac:dyDescent="0.2">
      <c r="B4316" s="10"/>
    </row>
    <row r="4317" spans="2:2" x14ac:dyDescent="0.2">
      <c r="B4317" s="10"/>
    </row>
    <row r="4318" spans="2:2" x14ac:dyDescent="0.2">
      <c r="B4318" s="10"/>
    </row>
    <row r="4319" spans="2:2" x14ac:dyDescent="0.2">
      <c r="B4319" s="10"/>
    </row>
    <row r="4320" spans="2:2" x14ac:dyDescent="0.2">
      <c r="B4320" s="10"/>
    </row>
    <row r="4321" spans="2:2" x14ac:dyDescent="0.2">
      <c r="B4321" s="10"/>
    </row>
    <row r="4322" spans="2:2" x14ac:dyDescent="0.2">
      <c r="B4322" s="10"/>
    </row>
    <row r="4323" spans="2:2" x14ac:dyDescent="0.2">
      <c r="B4323" s="10"/>
    </row>
    <row r="4324" spans="2:2" x14ac:dyDescent="0.2">
      <c r="B4324" s="10"/>
    </row>
    <row r="4325" spans="2:2" x14ac:dyDescent="0.2">
      <c r="B4325" s="10"/>
    </row>
    <row r="4326" spans="2:2" x14ac:dyDescent="0.2">
      <c r="B4326" s="10"/>
    </row>
    <row r="4327" spans="2:2" x14ac:dyDescent="0.2">
      <c r="B4327" s="10"/>
    </row>
    <row r="4328" spans="2:2" x14ac:dyDescent="0.2">
      <c r="B4328" s="10"/>
    </row>
    <row r="4329" spans="2:2" x14ac:dyDescent="0.2">
      <c r="B4329" s="10"/>
    </row>
    <row r="4330" spans="2:2" x14ac:dyDescent="0.2">
      <c r="B4330" s="10"/>
    </row>
    <row r="4331" spans="2:2" x14ac:dyDescent="0.2">
      <c r="B4331" s="10"/>
    </row>
    <row r="4332" spans="2:2" x14ac:dyDescent="0.2">
      <c r="B4332" s="10"/>
    </row>
    <row r="4333" spans="2:2" x14ac:dyDescent="0.2">
      <c r="B4333" s="10"/>
    </row>
    <row r="4334" spans="2:2" x14ac:dyDescent="0.2">
      <c r="B4334" s="10"/>
    </row>
    <row r="4335" spans="2:2" x14ac:dyDescent="0.2">
      <c r="B4335" s="10"/>
    </row>
    <row r="4336" spans="2:2" x14ac:dyDescent="0.2">
      <c r="B4336" s="10"/>
    </row>
    <row r="4337" spans="2:2" x14ac:dyDescent="0.2">
      <c r="B4337" s="10"/>
    </row>
    <row r="4338" spans="2:2" x14ac:dyDescent="0.2">
      <c r="B4338" s="10"/>
    </row>
    <row r="4339" spans="2:2" x14ac:dyDescent="0.2">
      <c r="B4339" s="10"/>
    </row>
    <row r="4340" spans="2:2" x14ac:dyDescent="0.2">
      <c r="B4340" s="10"/>
    </row>
    <row r="4341" spans="2:2" x14ac:dyDescent="0.2">
      <c r="B4341" s="10"/>
    </row>
    <row r="4342" spans="2:2" x14ac:dyDescent="0.2">
      <c r="B4342" s="10"/>
    </row>
    <row r="4343" spans="2:2" x14ac:dyDescent="0.2">
      <c r="B4343" s="10"/>
    </row>
    <row r="4344" spans="2:2" x14ac:dyDescent="0.2">
      <c r="B4344" s="10"/>
    </row>
    <row r="4345" spans="2:2" x14ac:dyDescent="0.2">
      <c r="B4345" s="10"/>
    </row>
    <row r="4346" spans="2:2" x14ac:dyDescent="0.2">
      <c r="B4346" s="10"/>
    </row>
    <row r="4347" spans="2:2" x14ac:dyDescent="0.2">
      <c r="B4347" s="10"/>
    </row>
    <row r="4348" spans="2:2" x14ac:dyDescent="0.2">
      <c r="B4348" s="10"/>
    </row>
    <row r="4349" spans="2:2" x14ac:dyDescent="0.2">
      <c r="B4349" s="10"/>
    </row>
    <row r="4350" spans="2:2" x14ac:dyDescent="0.2">
      <c r="B4350" s="10"/>
    </row>
    <row r="4351" spans="2:2" x14ac:dyDescent="0.2">
      <c r="B4351" s="10"/>
    </row>
    <row r="4352" spans="2:2" x14ac:dyDescent="0.2">
      <c r="B4352" s="10"/>
    </row>
    <row r="4353" spans="2:2" x14ac:dyDescent="0.2">
      <c r="B4353" s="10"/>
    </row>
    <row r="4354" spans="2:2" x14ac:dyDescent="0.2">
      <c r="B4354" s="10"/>
    </row>
    <row r="4355" spans="2:2" x14ac:dyDescent="0.2">
      <c r="B4355" s="10"/>
    </row>
    <row r="4356" spans="2:2" x14ac:dyDescent="0.2">
      <c r="B4356" s="10"/>
    </row>
    <row r="4357" spans="2:2" x14ac:dyDescent="0.2">
      <c r="B4357" s="10"/>
    </row>
    <row r="4358" spans="2:2" x14ac:dyDescent="0.2">
      <c r="B4358" s="10"/>
    </row>
    <row r="4359" spans="2:2" x14ac:dyDescent="0.2">
      <c r="B4359" s="10"/>
    </row>
    <row r="4360" spans="2:2" x14ac:dyDescent="0.2">
      <c r="B4360" s="10"/>
    </row>
    <row r="4361" spans="2:2" x14ac:dyDescent="0.2">
      <c r="B4361" s="10"/>
    </row>
    <row r="4362" spans="2:2" x14ac:dyDescent="0.2">
      <c r="B4362" s="10"/>
    </row>
    <row r="4363" spans="2:2" x14ac:dyDescent="0.2">
      <c r="B4363" s="10"/>
    </row>
    <row r="4364" spans="2:2" x14ac:dyDescent="0.2">
      <c r="B4364" s="10"/>
    </row>
    <row r="4365" spans="2:2" x14ac:dyDescent="0.2">
      <c r="B4365" s="10"/>
    </row>
    <row r="4366" spans="2:2" x14ac:dyDescent="0.2">
      <c r="B4366" s="10"/>
    </row>
    <row r="4367" spans="2:2" x14ac:dyDescent="0.2">
      <c r="B4367" s="10"/>
    </row>
    <row r="4368" spans="2:2" x14ac:dyDescent="0.2">
      <c r="B4368" s="10"/>
    </row>
    <row r="4369" spans="2:2" x14ac:dyDescent="0.2">
      <c r="B4369" s="10"/>
    </row>
    <row r="4370" spans="2:2" x14ac:dyDescent="0.2">
      <c r="B4370" s="10"/>
    </row>
    <row r="4371" spans="2:2" x14ac:dyDescent="0.2">
      <c r="B4371" s="10"/>
    </row>
    <row r="4372" spans="2:2" x14ac:dyDescent="0.2">
      <c r="B4372" s="10"/>
    </row>
    <row r="4373" spans="2:2" x14ac:dyDescent="0.2">
      <c r="B4373" s="10"/>
    </row>
    <row r="4374" spans="2:2" x14ac:dyDescent="0.2">
      <c r="B4374" s="10"/>
    </row>
    <row r="4375" spans="2:2" x14ac:dyDescent="0.2">
      <c r="B4375" s="10"/>
    </row>
    <row r="4376" spans="2:2" x14ac:dyDescent="0.2">
      <c r="B4376" s="10"/>
    </row>
    <row r="4377" spans="2:2" x14ac:dyDescent="0.2">
      <c r="B4377" s="10"/>
    </row>
    <row r="4378" spans="2:2" x14ac:dyDescent="0.2">
      <c r="B4378" s="10"/>
    </row>
    <row r="4379" spans="2:2" x14ac:dyDescent="0.2">
      <c r="B4379" s="10"/>
    </row>
    <row r="4380" spans="2:2" x14ac:dyDescent="0.2">
      <c r="B4380" s="10"/>
    </row>
    <row r="4381" spans="2:2" x14ac:dyDescent="0.2">
      <c r="B4381" s="10"/>
    </row>
    <row r="4382" spans="2:2" x14ac:dyDescent="0.2">
      <c r="B4382" s="10"/>
    </row>
    <row r="4383" spans="2:2" x14ac:dyDescent="0.2">
      <c r="B4383" s="10"/>
    </row>
    <row r="4384" spans="2:2" x14ac:dyDescent="0.2">
      <c r="B4384" s="10"/>
    </row>
    <row r="4385" spans="2:2" x14ac:dyDescent="0.2">
      <c r="B4385" s="10"/>
    </row>
    <row r="4386" spans="2:2" x14ac:dyDescent="0.2">
      <c r="B4386" s="10"/>
    </row>
    <row r="4387" spans="2:2" x14ac:dyDescent="0.2">
      <c r="B4387" s="10"/>
    </row>
    <row r="4388" spans="2:2" x14ac:dyDescent="0.2">
      <c r="B4388" s="10"/>
    </row>
    <row r="4389" spans="2:2" x14ac:dyDescent="0.2">
      <c r="B4389" s="10"/>
    </row>
    <row r="4390" spans="2:2" x14ac:dyDescent="0.2">
      <c r="B4390" s="10"/>
    </row>
    <row r="4391" spans="2:2" x14ac:dyDescent="0.2">
      <c r="B4391" s="10"/>
    </row>
    <row r="4392" spans="2:2" x14ac:dyDescent="0.2">
      <c r="B4392" s="10"/>
    </row>
    <row r="4393" spans="2:2" x14ac:dyDescent="0.2">
      <c r="B4393" s="10"/>
    </row>
    <row r="4394" spans="2:2" x14ac:dyDescent="0.2">
      <c r="B4394" s="10"/>
    </row>
    <row r="4395" spans="2:2" x14ac:dyDescent="0.2">
      <c r="B4395" s="10"/>
    </row>
    <row r="4396" spans="2:2" x14ac:dyDescent="0.2">
      <c r="B4396" s="10"/>
    </row>
    <row r="4397" spans="2:2" x14ac:dyDescent="0.2">
      <c r="B4397" s="10"/>
    </row>
    <row r="4398" spans="2:2" x14ac:dyDescent="0.2">
      <c r="B4398" s="10"/>
    </row>
    <row r="4399" spans="2:2" x14ac:dyDescent="0.2">
      <c r="B4399" s="10"/>
    </row>
    <row r="4400" spans="2:2" x14ac:dyDescent="0.2">
      <c r="B4400" s="10"/>
    </row>
    <row r="4401" spans="2:2" x14ac:dyDescent="0.2">
      <c r="B4401" s="10"/>
    </row>
    <row r="4402" spans="2:2" x14ac:dyDescent="0.2">
      <c r="B4402" s="10"/>
    </row>
    <row r="4403" spans="2:2" x14ac:dyDescent="0.2">
      <c r="B4403" s="10"/>
    </row>
    <row r="4404" spans="2:2" x14ac:dyDescent="0.2">
      <c r="B4404" s="10"/>
    </row>
    <row r="4405" spans="2:2" x14ac:dyDescent="0.2">
      <c r="B4405" s="10"/>
    </row>
    <row r="4406" spans="2:2" x14ac:dyDescent="0.2">
      <c r="B4406" s="10"/>
    </row>
    <row r="4407" spans="2:2" x14ac:dyDescent="0.2">
      <c r="B4407" s="10"/>
    </row>
    <row r="4408" spans="2:2" x14ac:dyDescent="0.2">
      <c r="B4408" s="10"/>
    </row>
    <row r="4409" spans="2:2" x14ac:dyDescent="0.2">
      <c r="B4409" s="10"/>
    </row>
    <row r="4410" spans="2:2" x14ac:dyDescent="0.2">
      <c r="B4410" s="10"/>
    </row>
    <row r="4411" spans="2:2" x14ac:dyDescent="0.2">
      <c r="B4411" s="10"/>
    </row>
    <row r="4412" spans="2:2" x14ac:dyDescent="0.2">
      <c r="B4412" s="10"/>
    </row>
    <row r="4413" spans="2:2" x14ac:dyDescent="0.2">
      <c r="B4413" s="10"/>
    </row>
    <row r="4414" spans="2:2" x14ac:dyDescent="0.2">
      <c r="B4414" s="10"/>
    </row>
    <row r="4415" spans="2:2" x14ac:dyDescent="0.2">
      <c r="B4415" s="10"/>
    </row>
    <row r="4416" spans="2:2" x14ac:dyDescent="0.2">
      <c r="B4416" s="10"/>
    </row>
    <row r="4417" spans="2:2" x14ac:dyDescent="0.2">
      <c r="B4417" s="10"/>
    </row>
    <row r="4418" spans="2:2" x14ac:dyDescent="0.2">
      <c r="B4418" s="10"/>
    </row>
    <row r="4419" spans="2:2" x14ac:dyDescent="0.2">
      <c r="B4419" s="10"/>
    </row>
    <row r="4420" spans="2:2" x14ac:dyDescent="0.2">
      <c r="B4420" s="10"/>
    </row>
    <row r="4421" spans="2:2" x14ac:dyDescent="0.2">
      <c r="B4421" s="10"/>
    </row>
    <row r="4422" spans="2:2" x14ac:dyDescent="0.2">
      <c r="B4422" s="10"/>
    </row>
    <row r="4423" spans="2:2" x14ac:dyDescent="0.2">
      <c r="B4423" s="10"/>
    </row>
    <row r="4424" spans="2:2" x14ac:dyDescent="0.2">
      <c r="B4424" s="10"/>
    </row>
    <row r="4425" spans="2:2" x14ac:dyDescent="0.2">
      <c r="B4425" s="10"/>
    </row>
    <row r="4426" spans="2:2" x14ac:dyDescent="0.2">
      <c r="B4426" s="10"/>
    </row>
    <row r="4427" spans="2:2" x14ac:dyDescent="0.2">
      <c r="B4427" s="10"/>
    </row>
    <row r="4428" spans="2:2" x14ac:dyDescent="0.2">
      <c r="B4428" s="10"/>
    </row>
    <row r="4429" spans="2:2" x14ac:dyDescent="0.2">
      <c r="B4429" s="10"/>
    </row>
    <row r="4430" spans="2:2" x14ac:dyDescent="0.2">
      <c r="B4430" s="10"/>
    </row>
    <row r="4431" spans="2:2" x14ac:dyDescent="0.2">
      <c r="B4431" s="10"/>
    </row>
    <row r="4432" spans="2:2" x14ac:dyDescent="0.2">
      <c r="B4432" s="10"/>
    </row>
    <row r="4433" spans="2:2" x14ac:dyDescent="0.2">
      <c r="B4433" s="10"/>
    </row>
    <row r="4434" spans="2:2" x14ac:dyDescent="0.2">
      <c r="B4434" s="10"/>
    </row>
    <row r="4435" spans="2:2" x14ac:dyDescent="0.2">
      <c r="B4435" s="10"/>
    </row>
    <row r="4436" spans="2:2" x14ac:dyDescent="0.2">
      <c r="B4436" s="10"/>
    </row>
    <row r="4437" spans="2:2" x14ac:dyDescent="0.2">
      <c r="B4437" s="10"/>
    </row>
    <row r="4438" spans="2:2" x14ac:dyDescent="0.2">
      <c r="B4438" s="10"/>
    </row>
    <row r="4439" spans="2:2" x14ac:dyDescent="0.2">
      <c r="B4439" s="10"/>
    </row>
    <row r="4440" spans="2:2" x14ac:dyDescent="0.2">
      <c r="B4440" s="10"/>
    </row>
    <row r="4441" spans="2:2" x14ac:dyDescent="0.2">
      <c r="B4441" s="10"/>
    </row>
    <row r="4442" spans="2:2" x14ac:dyDescent="0.2">
      <c r="B4442" s="10"/>
    </row>
    <row r="4443" spans="2:2" x14ac:dyDescent="0.2">
      <c r="B4443" s="10"/>
    </row>
    <row r="4444" spans="2:2" x14ac:dyDescent="0.2">
      <c r="B4444" s="10"/>
    </row>
    <row r="4445" spans="2:2" x14ac:dyDescent="0.2">
      <c r="B4445" s="10"/>
    </row>
    <row r="4446" spans="2:2" x14ac:dyDescent="0.2">
      <c r="B4446" s="10"/>
    </row>
    <row r="4447" spans="2:2" x14ac:dyDescent="0.2">
      <c r="B4447" s="10"/>
    </row>
    <row r="4448" spans="2:2" x14ac:dyDescent="0.2">
      <c r="B4448" s="10"/>
    </row>
    <row r="4449" spans="2:2" x14ac:dyDescent="0.2">
      <c r="B4449" s="10"/>
    </row>
    <row r="4450" spans="2:2" x14ac:dyDescent="0.2">
      <c r="B4450" s="10"/>
    </row>
    <row r="4451" spans="2:2" x14ac:dyDescent="0.2">
      <c r="B4451" s="10"/>
    </row>
    <row r="4452" spans="2:2" x14ac:dyDescent="0.2">
      <c r="B4452" s="10"/>
    </row>
    <row r="4453" spans="2:2" x14ac:dyDescent="0.2">
      <c r="B4453" s="10"/>
    </row>
    <row r="4454" spans="2:2" x14ac:dyDescent="0.2">
      <c r="B4454" s="10"/>
    </row>
    <row r="4455" spans="2:2" x14ac:dyDescent="0.2">
      <c r="B4455" s="10"/>
    </row>
    <row r="4456" spans="2:2" x14ac:dyDescent="0.2">
      <c r="B4456" s="10"/>
    </row>
    <row r="4457" spans="2:2" x14ac:dyDescent="0.2">
      <c r="B4457" s="10"/>
    </row>
    <row r="4458" spans="2:2" x14ac:dyDescent="0.2">
      <c r="B4458" s="10"/>
    </row>
    <row r="4459" spans="2:2" x14ac:dyDescent="0.2">
      <c r="B4459" s="10"/>
    </row>
    <row r="4460" spans="2:2" x14ac:dyDescent="0.2">
      <c r="B4460" s="10"/>
    </row>
    <row r="4461" spans="2:2" x14ac:dyDescent="0.2">
      <c r="B4461" s="10"/>
    </row>
    <row r="4462" spans="2:2" x14ac:dyDescent="0.2">
      <c r="B4462" s="10"/>
    </row>
    <row r="4463" spans="2:2" x14ac:dyDescent="0.2">
      <c r="B4463" s="10"/>
    </row>
    <row r="4464" spans="2:2" x14ac:dyDescent="0.2">
      <c r="B4464" s="10"/>
    </row>
    <row r="4465" spans="2:2" x14ac:dyDescent="0.2">
      <c r="B4465" s="10"/>
    </row>
    <row r="4466" spans="2:2" x14ac:dyDescent="0.2">
      <c r="B4466" s="10"/>
    </row>
    <row r="4467" spans="2:2" x14ac:dyDescent="0.2">
      <c r="B4467" s="10"/>
    </row>
    <row r="4468" spans="2:2" x14ac:dyDescent="0.2">
      <c r="B4468" s="10"/>
    </row>
    <row r="4469" spans="2:2" x14ac:dyDescent="0.2">
      <c r="B4469" s="10"/>
    </row>
    <row r="4470" spans="2:2" x14ac:dyDescent="0.2">
      <c r="B4470" s="10"/>
    </row>
    <row r="4471" spans="2:2" x14ac:dyDescent="0.2">
      <c r="B4471" s="10"/>
    </row>
    <row r="4472" spans="2:2" x14ac:dyDescent="0.2">
      <c r="B4472" s="10"/>
    </row>
    <row r="4473" spans="2:2" x14ac:dyDescent="0.2">
      <c r="B4473" s="10"/>
    </row>
    <row r="4474" spans="2:2" x14ac:dyDescent="0.2">
      <c r="B4474" s="10"/>
    </row>
    <row r="4475" spans="2:2" x14ac:dyDescent="0.2">
      <c r="B4475" s="10"/>
    </row>
    <row r="4476" spans="2:2" x14ac:dyDescent="0.2">
      <c r="B4476" s="10"/>
    </row>
    <row r="4477" spans="2:2" x14ac:dyDescent="0.2">
      <c r="B4477" s="10"/>
    </row>
    <row r="4478" spans="2:2" x14ac:dyDescent="0.2">
      <c r="B4478" s="10"/>
    </row>
    <row r="4479" spans="2:2" x14ac:dyDescent="0.2">
      <c r="B4479" s="10"/>
    </row>
    <row r="4480" spans="2:2" x14ac:dyDescent="0.2">
      <c r="B4480" s="10"/>
    </row>
    <row r="4481" spans="2:2" x14ac:dyDescent="0.2">
      <c r="B4481" s="10"/>
    </row>
    <row r="4482" spans="2:2" x14ac:dyDescent="0.2">
      <c r="B4482" s="10"/>
    </row>
    <row r="4483" spans="2:2" x14ac:dyDescent="0.2">
      <c r="B4483" s="10"/>
    </row>
    <row r="4484" spans="2:2" x14ac:dyDescent="0.2">
      <c r="B4484" s="10"/>
    </row>
    <row r="4485" spans="2:2" x14ac:dyDescent="0.2">
      <c r="B4485" s="10"/>
    </row>
    <row r="4486" spans="2:2" x14ac:dyDescent="0.2">
      <c r="B4486" s="10"/>
    </row>
    <row r="4487" spans="2:2" x14ac:dyDescent="0.2">
      <c r="B4487" s="10"/>
    </row>
    <row r="4488" spans="2:2" x14ac:dyDescent="0.2">
      <c r="B4488" s="10"/>
    </row>
    <row r="4489" spans="2:2" x14ac:dyDescent="0.2">
      <c r="B4489" s="10"/>
    </row>
    <row r="4490" spans="2:2" x14ac:dyDescent="0.2">
      <c r="B4490" s="10"/>
    </row>
    <row r="4491" spans="2:2" x14ac:dyDescent="0.2">
      <c r="B4491" s="10"/>
    </row>
    <row r="4492" spans="2:2" x14ac:dyDescent="0.2">
      <c r="B4492" s="10"/>
    </row>
    <row r="4493" spans="2:2" x14ac:dyDescent="0.2">
      <c r="B4493" s="10"/>
    </row>
    <row r="4494" spans="2:2" x14ac:dyDescent="0.2">
      <c r="B4494" s="10"/>
    </row>
    <row r="4495" spans="2:2" x14ac:dyDescent="0.2">
      <c r="B4495" s="10"/>
    </row>
    <row r="4496" spans="2:2" x14ac:dyDescent="0.2">
      <c r="B4496" s="10"/>
    </row>
    <row r="4497" spans="2:2" x14ac:dyDescent="0.2">
      <c r="B4497" s="10"/>
    </row>
    <row r="4498" spans="2:2" x14ac:dyDescent="0.2">
      <c r="B4498" s="10"/>
    </row>
    <row r="4499" spans="2:2" x14ac:dyDescent="0.2">
      <c r="B4499" s="10"/>
    </row>
    <row r="4500" spans="2:2" x14ac:dyDescent="0.2">
      <c r="B4500" s="10"/>
    </row>
    <row r="4501" spans="2:2" x14ac:dyDescent="0.2">
      <c r="B4501" s="10"/>
    </row>
    <row r="4502" spans="2:2" x14ac:dyDescent="0.2">
      <c r="B4502" s="10"/>
    </row>
    <row r="4503" spans="2:2" x14ac:dyDescent="0.2">
      <c r="B4503" s="10"/>
    </row>
    <row r="4504" spans="2:2" x14ac:dyDescent="0.2">
      <c r="B4504" s="10"/>
    </row>
    <row r="4505" spans="2:2" x14ac:dyDescent="0.2">
      <c r="B4505" s="10"/>
    </row>
    <row r="4506" spans="2:2" x14ac:dyDescent="0.2">
      <c r="B4506" s="10"/>
    </row>
    <row r="4507" spans="2:2" x14ac:dyDescent="0.2">
      <c r="B4507" s="10"/>
    </row>
    <row r="4508" spans="2:2" x14ac:dyDescent="0.2">
      <c r="B4508" s="10"/>
    </row>
    <row r="4509" spans="2:2" x14ac:dyDescent="0.2">
      <c r="B4509" s="10"/>
    </row>
    <row r="4510" spans="2:2" x14ac:dyDescent="0.2">
      <c r="B4510" s="10"/>
    </row>
    <row r="4511" spans="2:2" x14ac:dyDescent="0.2">
      <c r="B4511" s="10"/>
    </row>
    <row r="4512" spans="2:2" x14ac:dyDescent="0.2">
      <c r="B4512" s="10"/>
    </row>
    <row r="4513" spans="2:2" x14ac:dyDescent="0.2">
      <c r="B4513" s="10"/>
    </row>
    <row r="4514" spans="2:2" x14ac:dyDescent="0.2">
      <c r="B4514" s="10"/>
    </row>
    <row r="4515" spans="2:2" x14ac:dyDescent="0.2">
      <c r="B4515" s="10"/>
    </row>
    <row r="4516" spans="2:2" x14ac:dyDescent="0.2">
      <c r="B4516" s="10"/>
    </row>
    <row r="4517" spans="2:2" x14ac:dyDescent="0.2">
      <c r="B4517" s="10"/>
    </row>
    <row r="4518" spans="2:2" x14ac:dyDescent="0.2">
      <c r="B4518" s="10"/>
    </row>
    <row r="4519" spans="2:2" x14ac:dyDescent="0.2">
      <c r="B4519" s="10"/>
    </row>
    <row r="4520" spans="2:2" x14ac:dyDescent="0.2">
      <c r="B4520" s="10"/>
    </row>
    <row r="4521" spans="2:2" x14ac:dyDescent="0.2">
      <c r="B4521" s="10"/>
    </row>
    <row r="4522" spans="2:2" x14ac:dyDescent="0.2">
      <c r="B4522" s="10"/>
    </row>
    <row r="4523" spans="2:2" x14ac:dyDescent="0.2">
      <c r="B4523" s="10"/>
    </row>
    <row r="4524" spans="2:2" x14ac:dyDescent="0.2">
      <c r="B4524" s="10"/>
    </row>
    <row r="4525" spans="2:2" x14ac:dyDescent="0.2">
      <c r="B4525" s="10"/>
    </row>
    <row r="4526" spans="2:2" x14ac:dyDescent="0.2">
      <c r="B4526" s="10"/>
    </row>
    <row r="4527" spans="2:2" x14ac:dyDescent="0.2">
      <c r="B4527" s="10"/>
    </row>
    <row r="4528" spans="2:2" x14ac:dyDescent="0.2">
      <c r="B4528" s="10"/>
    </row>
    <row r="4529" spans="2:2" x14ac:dyDescent="0.2">
      <c r="B4529" s="10"/>
    </row>
    <row r="4530" spans="2:2" x14ac:dyDescent="0.2">
      <c r="B4530" s="10"/>
    </row>
    <row r="4531" spans="2:2" x14ac:dyDescent="0.2">
      <c r="B4531" s="10"/>
    </row>
    <row r="4532" spans="2:2" x14ac:dyDescent="0.2">
      <c r="B4532" s="10"/>
    </row>
    <row r="4533" spans="2:2" x14ac:dyDescent="0.2">
      <c r="B4533" s="10"/>
    </row>
    <row r="4534" spans="2:2" x14ac:dyDescent="0.2">
      <c r="B4534" s="10"/>
    </row>
    <row r="4535" spans="2:2" x14ac:dyDescent="0.2">
      <c r="B4535" s="10"/>
    </row>
    <row r="4536" spans="2:2" x14ac:dyDescent="0.2">
      <c r="B4536" s="10"/>
    </row>
    <row r="4537" spans="2:2" x14ac:dyDescent="0.2">
      <c r="B4537" s="10"/>
    </row>
    <row r="4538" spans="2:2" x14ac:dyDescent="0.2">
      <c r="B4538" s="10"/>
    </row>
    <row r="4539" spans="2:2" x14ac:dyDescent="0.2">
      <c r="B4539" s="10"/>
    </row>
    <row r="4540" spans="2:2" x14ac:dyDescent="0.2">
      <c r="B4540" s="10"/>
    </row>
    <row r="4541" spans="2:2" x14ac:dyDescent="0.2">
      <c r="B4541" s="10"/>
    </row>
    <row r="4542" spans="2:2" x14ac:dyDescent="0.2">
      <c r="B4542" s="10"/>
    </row>
    <row r="4543" spans="2:2" x14ac:dyDescent="0.2">
      <c r="B4543" s="10"/>
    </row>
    <row r="4544" spans="2:2" x14ac:dyDescent="0.2">
      <c r="B4544" s="10"/>
    </row>
    <row r="4545" spans="2:2" x14ac:dyDescent="0.2">
      <c r="B4545" s="10"/>
    </row>
    <row r="4546" spans="2:2" x14ac:dyDescent="0.2">
      <c r="B4546" s="10"/>
    </row>
    <row r="4547" spans="2:2" x14ac:dyDescent="0.2">
      <c r="B4547" s="10"/>
    </row>
    <row r="4548" spans="2:2" x14ac:dyDescent="0.2">
      <c r="B4548" s="10"/>
    </row>
    <row r="4549" spans="2:2" x14ac:dyDescent="0.2">
      <c r="B4549" s="10"/>
    </row>
    <row r="4550" spans="2:2" x14ac:dyDescent="0.2">
      <c r="B4550" s="10"/>
    </row>
    <row r="4551" spans="2:2" x14ac:dyDescent="0.2">
      <c r="B4551" s="10"/>
    </row>
    <row r="4552" spans="2:2" x14ac:dyDescent="0.2">
      <c r="B4552" s="10"/>
    </row>
    <row r="4553" spans="2:2" x14ac:dyDescent="0.2">
      <c r="B4553" s="10"/>
    </row>
    <row r="4554" spans="2:2" x14ac:dyDescent="0.2">
      <c r="B4554" s="10"/>
    </row>
    <row r="4555" spans="2:2" x14ac:dyDescent="0.2">
      <c r="B4555" s="10"/>
    </row>
    <row r="4556" spans="2:2" x14ac:dyDescent="0.2">
      <c r="B4556" s="10"/>
    </row>
    <row r="4557" spans="2:2" x14ac:dyDescent="0.2">
      <c r="B4557" s="10"/>
    </row>
    <row r="4558" spans="2:2" x14ac:dyDescent="0.2">
      <c r="B4558" s="10"/>
    </row>
    <row r="4559" spans="2:2" x14ac:dyDescent="0.2">
      <c r="B4559" s="10"/>
    </row>
    <row r="4560" spans="2:2" x14ac:dyDescent="0.2">
      <c r="B4560" s="10"/>
    </row>
    <row r="4561" spans="2:2" x14ac:dyDescent="0.2">
      <c r="B4561" s="10"/>
    </row>
    <row r="4562" spans="2:2" x14ac:dyDescent="0.2">
      <c r="B4562" s="10"/>
    </row>
    <row r="4563" spans="2:2" x14ac:dyDescent="0.2">
      <c r="B4563" s="10"/>
    </row>
    <row r="4564" spans="2:2" x14ac:dyDescent="0.2">
      <c r="B4564" s="10"/>
    </row>
    <row r="4565" spans="2:2" x14ac:dyDescent="0.2">
      <c r="B4565" s="10"/>
    </row>
    <row r="4566" spans="2:2" x14ac:dyDescent="0.2">
      <c r="B4566" s="10"/>
    </row>
    <row r="4567" spans="2:2" x14ac:dyDescent="0.2">
      <c r="B4567" s="10"/>
    </row>
    <row r="4568" spans="2:2" x14ac:dyDescent="0.2">
      <c r="B4568" s="10"/>
    </row>
    <row r="4569" spans="2:2" x14ac:dyDescent="0.2">
      <c r="B4569" s="10"/>
    </row>
    <row r="4570" spans="2:2" x14ac:dyDescent="0.2">
      <c r="B4570" s="10"/>
    </row>
    <row r="4571" spans="2:2" x14ac:dyDescent="0.2">
      <c r="B4571" s="10"/>
    </row>
    <row r="4572" spans="2:2" x14ac:dyDescent="0.2">
      <c r="B4572" s="10"/>
    </row>
    <row r="4573" spans="2:2" x14ac:dyDescent="0.2">
      <c r="B4573" s="10"/>
    </row>
    <row r="4574" spans="2:2" x14ac:dyDescent="0.2">
      <c r="B4574" s="10"/>
    </row>
    <row r="4575" spans="2:2" x14ac:dyDescent="0.2">
      <c r="B4575" s="10"/>
    </row>
    <row r="4576" spans="2:2" x14ac:dyDescent="0.2">
      <c r="B4576" s="10"/>
    </row>
    <row r="4577" spans="2:2" x14ac:dyDescent="0.2">
      <c r="B4577" s="10"/>
    </row>
    <row r="4578" spans="2:2" x14ac:dyDescent="0.2">
      <c r="B4578" s="10"/>
    </row>
    <row r="4579" spans="2:2" x14ac:dyDescent="0.2">
      <c r="B4579" s="10"/>
    </row>
    <row r="4580" spans="2:2" x14ac:dyDescent="0.2">
      <c r="B4580" s="10"/>
    </row>
    <row r="4581" spans="2:2" x14ac:dyDescent="0.2">
      <c r="B4581" s="10"/>
    </row>
    <row r="4582" spans="2:2" x14ac:dyDescent="0.2">
      <c r="B4582" s="10"/>
    </row>
    <row r="4583" spans="2:2" x14ac:dyDescent="0.2">
      <c r="B4583" s="10"/>
    </row>
    <row r="4584" spans="2:2" x14ac:dyDescent="0.2">
      <c r="B4584" s="10"/>
    </row>
    <row r="4585" spans="2:2" x14ac:dyDescent="0.2">
      <c r="B4585" s="10"/>
    </row>
    <row r="4586" spans="2:2" x14ac:dyDescent="0.2">
      <c r="B4586" s="10"/>
    </row>
    <row r="4587" spans="2:2" x14ac:dyDescent="0.2">
      <c r="B4587" s="10"/>
    </row>
    <row r="4588" spans="2:2" x14ac:dyDescent="0.2">
      <c r="B4588" s="10"/>
    </row>
    <row r="4589" spans="2:2" x14ac:dyDescent="0.2">
      <c r="B4589" s="10"/>
    </row>
    <row r="4590" spans="2:2" x14ac:dyDescent="0.2">
      <c r="B4590" s="10"/>
    </row>
    <row r="4591" spans="2:2" x14ac:dyDescent="0.2">
      <c r="B4591" s="10"/>
    </row>
    <row r="4592" spans="2:2" x14ac:dyDescent="0.2">
      <c r="B4592" s="10"/>
    </row>
    <row r="4593" spans="2:2" x14ac:dyDescent="0.2">
      <c r="B4593" s="10"/>
    </row>
    <row r="4594" spans="2:2" x14ac:dyDescent="0.2">
      <c r="B4594" s="10"/>
    </row>
    <row r="4595" spans="2:2" x14ac:dyDescent="0.2">
      <c r="B4595" s="10"/>
    </row>
    <row r="4596" spans="2:2" x14ac:dyDescent="0.2">
      <c r="B4596" s="10"/>
    </row>
    <row r="4597" spans="2:2" x14ac:dyDescent="0.2">
      <c r="B4597" s="10"/>
    </row>
    <row r="4598" spans="2:2" x14ac:dyDescent="0.2">
      <c r="B4598" s="10"/>
    </row>
    <row r="4599" spans="2:2" x14ac:dyDescent="0.2">
      <c r="B4599" s="10"/>
    </row>
    <row r="4600" spans="2:2" x14ac:dyDescent="0.2">
      <c r="B4600" s="10"/>
    </row>
    <row r="4601" spans="2:2" x14ac:dyDescent="0.2">
      <c r="B4601" s="10"/>
    </row>
    <row r="4602" spans="2:2" x14ac:dyDescent="0.2">
      <c r="B4602" s="10"/>
    </row>
    <row r="4603" spans="2:2" x14ac:dyDescent="0.2">
      <c r="B4603" s="10"/>
    </row>
    <row r="4604" spans="2:2" x14ac:dyDescent="0.2">
      <c r="B4604" s="10"/>
    </row>
    <row r="4605" spans="2:2" x14ac:dyDescent="0.2">
      <c r="B4605" s="10"/>
    </row>
    <row r="4606" spans="2:2" x14ac:dyDescent="0.2">
      <c r="B4606" s="10"/>
    </row>
    <row r="4607" spans="2:2" x14ac:dyDescent="0.2">
      <c r="B4607" s="10"/>
    </row>
    <row r="4608" spans="2:2" x14ac:dyDescent="0.2">
      <c r="B4608" s="10"/>
    </row>
    <row r="4609" spans="2:2" x14ac:dyDescent="0.2">
      <c r="B4609" s="10"/>
    </row>
    <row r="4610" spans="2:2" x14ac:dyDescent="0.2">
      <c r="B4610" s="10"/>
    </row>
    <row r="4611" spans="2:2" x14ac:dyDescent="0.2">
      <c r="B4611" s="10"/>
    </row>
    <row r="4612" spans="2:2" x14ac:dyDescent="0.2">
      <c r="B4612" s="10"/>
    </row>
    <row r="4613" spans="2:2" x14ac:dyDescent="0.2">
      <c r="B4613" s="10"/>
    </row>
    <row r="4614" spans="2:2" x14ac:dyDescent="0.2">
      <c r="B4614" s="10"/>
    </row>
    <row r="4615" spans="2:2" x14ac:dyDescent="0.2">
      <c r="B4615" s="10"/>
    </row>
    <row r="4616" spans="2:2" x14ac:dyDescent="0.2">
      <c r="B4616" s="10"/>
    </row>
    <row r="4617" spans="2:2" x14ac:dyDescent="0.2">
      <c r="B4617" s="10"/>
    </row>
    <row r="4618" spans="2:2" x14ac:dyDescent="0.2">
      <c r="B4618" s="10"/>
    </row>
    <row r="4619" spans="2:2" x14ac:dyDescent="0.2">
      <c r="B4619" s="10"/>
    </row>
    <row r="4620" spans="2:2" x14ac:dyDescent="0.2">
      <c r="B4620" s="10"/>
    </row>
    <row r="4621" spans="2:2" x14ac:dyDescent="0.2">
      <c r="B4621" s="10"/>
    </row>
    <row r="4622" spans="2:2" x14ac:dyDescent="0.2">
      <c r="B4622" s="10"/>
    </row>
    <row r="4623" spans="2:2" x14ac:dyDescent="0.2">
      <c r="B4623" s="10"/>
    </row>
    <row r="4624" spans="2:2" x14ac:dyDescent="0.2">
      <c r="B4624" s="10"/>
    </row>
    <row r="4625" spans="2:2" x14ac:dyDescent="0.2">
      <c r="B4625" s="10"/>
    </row>
    <row r="4626" spans="2:2" x14ac:dyDescent="0.2">
      <c r="B4626" s="10"/>
    </row>
    <row r="4627" spans="2:2" x14ac:dyDescent="0.2">
      <c r="B4627" s="10"/>
    </row>
    <row r="4628" spans="2:2" x14ac:dyDescent="0.2">
      <c r="B4628" s="10"/>
    </row>
    <row r="4629" spans="2:2" x14ac:dyDescent="0.2">
      <c r="B4629" s="10"/>
    </row>
    <row r="4630" spans="2:2" x14ac:dyDescent="0.2">
      <c r="B4630" s="10"/>
    </row>
    <row r="4631" spans="2:2" x14ac:dyDescent="0.2">
      <c r="B4631" s="10"/>
    </row>
    <row r="4632" spans="2:2" x14ac:dyDescent="0.2">
      <c r="B4632" s="10"/>
    </row>
    <row r="4633" spans="2:2" x14ac:dyDescent="0.2">
      <c r="B4633" s="10"/>
    </row>
    <row r="4634" spans="2:2" x14ac:dyDescent="0.2">
      <c r="B4634" s="10"/>
    </row>
    <row r="4635" spans="2:2" x14ac:dyDescent="0.2">
      <c r="B4635" s="10"/>
    </row>
    <row r="4636" spans="2:2" x14ac:dyDescent="0.2">
      <c r="B4636" s="10"/>
    </row>
    <row r="4637" spans="2:2" x14ac:dyDescent="0.2">
      <c r="B4637" s="10"/>
    </row>
    <row r="4638" spans="2:2" x14ac:dyDescent="0.2">
      <c r="B4638" s="10"/>
    </row>
    <row r="4639" spans="2:2" x14ac:dyDescent="0.2">
      <c r="B4639" s="10"/>
    </row>
    <row r="4640" spans="2:2" x14ac:dyDescent="0.2">
      <c r="B4640" s="10"/>
    </row>
    <row r="4641" spans="2:2" x14ac:dyDescent="0.2">
      <c r="B4641" s="10"/>
    </row>
    <row r="4642" spans="2:2" x14ac:dyDescent="0.2">
      <c r="B4642" s="10"/>
    </row>
    <row r="4643" spans="2:2" x14ac:dyDescent="0.2">
      <c r="B4643" s="10"/>
    </row>
    <row r="4644" spans="2:2" x14ac:dyDescent="0.2">
      <c r="B4644" s="10"/>
    </row>
    <row r="4645" spans="2:2" x14ac:dyDescent="0.2">
      <c r="B4645" s="10"/>
    </row>
    <row r="4646" spans="2:2" x14ac:dyDescent="0.2">
      <c r="B4646" s="10"/>
    </row>
    <row r="4647" spans="2:2" x14ac:dyDescent="0.2">
      <c r="B4647" s="10"/>
    </row>
    <row r="4648" spans="2:2" x14ac:dyDescent="0.2">
      <c r="B4648" s="10"/>
    </row>
    <row r="4649" spans="2:2" x14ac:dyDescent="0.2">
      <c r="B4649" s="10"/>
    </row>
    <row r="4650" spans="2:2" x14ac:dyDescent="0.2">
      <c r="B4650" s="10"/>
    </row>
    <row r="4651" spans="2:2" x14ac:dyDescent="0.2">
      <c r="B4651" s="10"/>
    </row>
    <row r="4652" spans="2:2" x14ac:dyDescent="0.2">
      <c r="B4652" s="10"/>
    </row>
    <row r="4653" spans="2:2" x14ac:dyDescent="0.2">
      <c r="B4653" s="10"/>
    </row>
    <row r="4654" spans="2:2" x14ac:dyDescent="0.2">
      <c r="B4654" s="10"/>
    </row>
    <row r="4655" spans="2:2" x14ac:dyDescent="0.2">
      <c r="B4655" s="10"/>
    </row>
    <row r="4656" spans="2:2" x14ac:dyDescent="0.2">
      <c r="B4656" s="10"/>
    </row>
    <row r="4657" spans="2:2" x14ac:dyDescent="0.2">
      <c r="B4657" s="10"/>
    </row>
    <row r="4658" spans="2:2" x14ac:dyDescent="0.2">
      <c r="B4658" s="10"/>
    </row>
    <row r="4659" spans="2:2" x14ac:dyDescent="0.2">
      <c r="B4659" s="10"/>
    </row>
    <row r="4660" spans="2:2" x14ac:dyDescent="0.2">
      <c r="B4660" s="10"/>
    </row>
    <row r="4661" spans="2:2" x14ac:dyDescent="0.2">
      <c r="B4661" s="10"/>
    </row>
    <row r="4662" spans="2:2" x14ac:dyDescent="0.2">
      <c r="B4662" s="10"/>
    </row>
    <row r="4663" spans="2:2" x14ac:dyDescent="0.2">
      <c r="B4663" s="10"/>
    </row>
    <row r="4664" spans="2:2" x14ac:dyDescent="0.2">
      <c r="B4664" s="10"/>
    </row>
    <row r="4665" spans="2:2" x14ac:dyDescent="0.2">
      <c r="B4665" s="10"/>
    </row>
    <row r="4666" spans="2:2" x14ac:dyDescent="0.2">
      <c r="B4666" s="10"/>
    </row>
    <row r="4667" spans="2:2" x14ac:dyDescent="0.2">
      <c r="B4667" s="10"/>
    </row>
    <row r="4668" spans="2:2" x14ac:dyDescent="0.2">
      <c r="B4668" s="10"/>
    </row>
    <row r="4669" spans="2:2" x14ac:dyDescent="0.2">
      <c r="B4669" s="10"/>
    </row>
    <row r="4670" spans="2:2" x14ac:dyDescent="0.2">
      <c r="B4670" s="10"/>
    </row>
    <row r="4671" spans="2:2" x14ac:dyDescent="0.2">
      <c r="B4671" s="10"/>
    </row>
    <row r="4672" spans="2:2" x14ac:dyDescent="0.2">
      <c r="B4672" s="10"/>
    </row>
    <row r="4673" spans="2:2" x14ac:dyDescent="0.2">
      <c r="B4673" s="10"/>
    </row>
    <row r="4674" spans="2:2" x14ac:dyDescent="0.2">
      <c r="B4674" s="10"/>
    </row>
    <row r="4675" spans="2:2" x14ac:dyDescent="0.2">
      <c r="B4675" s="10"/>
    </row>
    <row r="4676" spans="2:2" x14ac:dyDescent="0.2">
      <c r="B4676" s="10"/>
    </row>
    <row r="4677" spans="2:2" x14ac:dyDescent="0.2">
      <c r="B4677" s="10"/>
    </row>
    <row r="4678" spans="2:2" x14ac:dyDescent="0.2">
      <c r="B4678" s="10"/>
    </row>
    <row r="4679" spans="2:2" x14ac:dyDescent="0.2">
      <c r="B4679" s="10"/>
    </row>
    <row r="4680" spans="2:2" x14ac:dyDescent="0.2">
      <c r="B4680" s="10"/>
    </row>
    <row r="4681" spans="2:2" x14ac:dyDescent="0.2">
      <c r="B4681" s="10"/>
    </row>
    <row r="4682" spans="2:2" x14ac:dyDescent="0.2">
      <c r="B4682" s="10"/>
    </row>
    <row r="4683" spans="2:2" x14ac:dyDescent="0.2">
      <c r="B4683" s="10"/>
    </row>
    <row r="4684" spans="2:2" x14ac:dyDescent="0.2">
      <c r="B4684" s="10"/>
    </row>
    <row r="4685" spans="2:2" x14ac:dyDescent="0.2">
      <c r="B4685" s="10"/>
    </row>
    <row r="4686" spans="2:2" x14ac:dyDescent="0.2">
      <c r="B4686" s="10"/>
    </row>
    <row r="4687" spans="2:2" x14ac:dyDescent="0.2">
      <c r="B4687" s="10"/>
    </row>
    <row r="4688" spans="2:2" x14ac:dyDescent="0.2">
      <c r="B4688" s="10"/>
    </row>
    <row r="4689" spans="2:2" x14ac:dyDescent="0.2">
      <c r="B4689" s="10"/>
    </row>
    <row r="4690" spans="2:2" x14ac:dyDescent="0.2">
      <c r="B4690" s="10"/>
    </row>
    <row r="4691" spans="2:2" x14ac:dyDescent="0.2">
      <c r="B4691" s="10"/>
    </row>
    <row r="4692" spans="2:2" x14ac:dyDescent="0.2">
      <c r="B4692" s="10"/>
    </row>
    <row r="4693" spans="2:2" x14ac:dyDescent="0.2">
      <c r="B4693" s="10"/>
    </row>
    <row r="4694" spans="2:2" x14ac:dyDescent="0.2">
      <c r="B4694" s="10"/>
    </row>
    <row r="4695" spans="2:2" x14ac:dyDescent="0.2">
      <c r="B4695" s="10"/>
    </row>
    <row r="4696" spans="2:2" x14ac:dyDescent="0.2">
      <c r="B4696" s="10"/>
    </row>
    <row r="4697" spans="2:2" x14ac:dyDescent="0.2">
      <c r="B4697" s="10"/>
    </row>
    <row r="4698" spans="2:2" x14ac:dyDescent="0.2">
      <c r="B4698" s="10"/>
    </row>
    <row r="4699" spans="2:2" x14ac:dyDescent="0.2">
      <c r="B4699" s="10"/>
    </row>
    <row r="4700" spans="2:2" x14ac:dyDescent="0.2">
      <c r="B4700" s="10"/>
    </row>
    <row r="4701" spans="2:2" x14ac:dyDescent="0.2">
      <c r="B4701" s="10"/>
    </row>
    <row r="4702" spans="2:2" x14ac:dyDescent="0.2">
      <c r="B4702" s="10"/>
    </row>
    <row r="4703" spans="2:2" x14ac:dyDescent="0.2">
      <c r="B4703" s="10"/>
    </row>
    <row r="4704" spans="2:2" x14ac:dyDescent="0.2">
      <c r="B4704" s="10"/>
    </row>
    <row r="4705" spans="2:2" x14ac:dyDescent="0.2">
      <c r="B4705" s="10"/>
    </row>
    <row r="4706" spans="2:2" x14ac:dyDescent="0.2">
      <c r="B4706" s="10"/>
    </row>
    <row r="4707" spans="2:2" x14ac:dyDescent="0.2">
      <c r="B4707" s="10"/>
    </row>
    <row r="4708" spans="2:2" x14ac:dyDescent="0.2">
      <c r="B4708" s="10"/>
    </row>
    <row r="4709" spans="2:2" x14ac:dyDescent="0.2">
      <c r="B4709" s="10"/>
    </row>
    <row r="4710" spans="2:2" x14ac:dyDescent="0.2">
      <c r="B4710" s="10"/>
    </row>
    <row r="4711" spans="2:2" x14ac:dyDescent="0.2">
      <c r="B4711" s="10"/>
    </row>
    <row r="4712" spans="2:2" x14ac:dyDescent="0.2">
      <c r="B4712" s="10"/>
    </row>
    <row r="4713" spans="2:2" x14ac:dyDescent="0.2">
      <c r="B4713" s="10"/>
    </row>
    <row r="4714" spans="2:2" x14ac:dyDescent="0.2">
      <c r="B4714" s="10"/>
    </row>
    <row r="4715" spans="2:2" x14ac:dyDescent="0.2">
      <c r="B4715" s="10"/>
    </row>
    <row r="4716" spans="2:2" x14ac:dyDescent="0.2">
      <c r="B4716" s="10"/>
    </row>
    <row r="4717" spans="2:2" x14ac:dyDescent="0.2">
      <c r="B4717" s="10"/>
    </row>
    <row r="4718" spans="2:2" x14ac:dyDescent="0.2">
      <c r="B4718" s="10"/>
    </row>
    <row r="4719" spans="2:2" x14ac:dyDescent="0.2">
      <c r="B4719" s="10"/>
    </row>
    <row r="4720" spans="2:2" x14ac:dyDescent="0.2">
      <c r="B4720" s="10"/>
    </row>
    <row r="4721" spans="2:2" x14ac:dyDescent="0.2">
      <c r="B4721" s="10"/>
    </row>
    <row r="4722" spans="2:2" x14ac:dyDescent="0.2">
      <c r="B4722" s="10"/>
    </row>
    <row r="4723" spans="2:2" x14ac:dyDescent="0.2">
      <c r="B4723" s="10"/>
    </row>
    <row r="4724" spans="2:2" x14ac:dyDescent="0.2">
      <c r="B4724" s="10"/>
    </row>
    <row r="4725" spans="2:2" x14ac:dyDescent="0.2">
      <c r="B4725" s="10"/>
    </row>
    <row r="4726" spans="2:2" x14ac:dyDescent="0.2">
      <c r="B4726" s="10"/>
    </row>
    <row r="4727" spans="2:2" x14ac:dyDescent="0.2">
      <c r="B4727" s="10"/>
    </row>
    <row r="4728" spans="2:2" x14ac:dyDescent="0.2">
      <c r="B4728" s="10"/>
    </row>
    <row r="4729" spans="2:2" x14ac:dyDescent="0.2">
      <c r="B4729" s="10"/>
    </row>
    <row r="4730" spans="2:2" x14ac:dyDescent="0.2">
      <c r="B4730" s="10"/>
    </row>
    <row r="4731" spans="2:2" x14ac:dyDescent="0.2">
      <c r="B4731" s="10"/>
    </row>
    <row r="4732" spans="2:2" x14ac:dyDescent="0.2">
      <c r="B4732" s="10"/>
    </row>
    <row r="4733" spans="2:2" x14ac:dyDescent="0.2">
      <c r="B4733" s="10"/>
    </row>
    <row r="4734" spans="2:2" x14ac:dyDescent="0.2">
      <c r="B4734" s="10"/>
    </row>
    <row r="4735" spans="2:2" x14ac:dyDescent="0.2">
      <c r="B4735" s="10"/>
    </row>
    <row r="4736" spans="2:2" x14ac:dyDescent="0.2">
      <c r="B4736" s="10"/>
    </row>
    <row r="4737" spans="2:2" x14ac:dyDescent="0.2">
      <c r="B4737" s="10"/>
    </row>
    <row r="4738" spans="2:2" x14ac:dyDescent="0.2">
      <c r="B4738" s="10"/>
    </row>
    <row r="4739" spans="2:2" x14ac:dyDescent="0.2">
      <c r="B4739" s="10"/>
    </row>
    <row r="4740" spans="2:2" x14ac:dyDescent="0.2">
      <c r="B4740" s="10"/>
    </row>
    <row r="4741" spans="2:2" x14ac:dyDescent="0.2">
      <c r="B4741" s="10"/>
    </row>
    <row r="4742" spans="2:2" x14ac:dyDescent="0.2">
      <c r="B4742" s="10"/>
    </row>
    <row r="4743" spans="2:2" x14ac:dyDescent="0.2">
      <c r="B4743" s="10"/>
    </row>
    <row r="4744" spans="2:2" x14ac:dyDescent="0.2">
      <c r="B4744" s="10"/>
    </row>
    <row r="4745" spans="2:2" x14ac:dyDescent="0.2">
      <c r="B4745" s="10"/>
    </row>
    <row r="4746" spans="2:2" x14ac:dyDescent="0.2">
      <c r="B4746" s="10"/>
    </row>
    <row r="4747" spans="2:2" x14ac:dyDescent="0.2">
      <c r="B4747" s="10"/>
    </row>
    <row r="4748" spans="2:2" x14ac:dyDescent="0.2">
      <c r="B4748" s="10"/>
    </row>
    <row r="4749" spans="2:2" x14ac:dyDescent="0.2">
      <c r="B4749" s="10"/>
    </row>
    <row r="4750" spans="2:2" x14ac:dyDescent="0.2">
      <c r="B4750" s="10"/>
    </row>
    <row r="4751" spans="2:2" x14ac:dyDescent="0.2">
      <c r="B4751" s="10"/>
    </row>
    <row r="4752" spans="2:2" x14ac:dyDescent="0.2">
      <c r="B4752" s="10"/>
    </row>
    <row r="4753" spans="2:2" x14ac:dyDescent="0.2">
      <c r="B4753" s="10"/>
    </row>
    <row r="4754" spans="2:2" x14ac:dyDescent="0.2">
      <c r="B4754" s="10"/>
    </row>
    <row r="4755" spans="2:2" x14ac:dyDescent="0.2">
      <c r="B4755" s="10"/>
    </row>
    <row r="4756" spans="2:2" x14ac:dyDescent="0.2">
      <c r="B4756" s="10"/>
    </row>
    <row r="4757" spans="2:2" x14ac:dyDescent="0.2">
      <c r="B4757" s="10"/>
    </row>
    <row r="4758" spans="2:2" x14ac:dyDescent="0.2">
      <c r="B4758" s="10"/>
    </row>
    <row r="4759" spans="2:2" x14ac:dyDescent="0.2">
      <c r="B4759" s="10"/>
    </row>
    <row r="4760" spans="2:2" x14ac:dyDescent="0.2">
      <c r="B4760" s="10"/>
    </row>
    <row r="4761" spans="2:2" x14ac:dyDescent="0.2">
      <c r="B4761" s="10"/>
    </row>
    <row r="4762" spans="2:2" x14ac:dyDescent="0.2">
      <c r="B4762" s="10"/>
    </row>
    <row r="4763" spans="2:2" x14ac:dyDescent="0.2">
      <c r="B4763" s="10"/>
    </row>
    <row r="4764" spans="2:2" x14ac:dyDescent="0.2">
      <c r="B4764" s="10"/>
    </row>
    <row r="4765" spans="2:2" x14ac:dyDescent="0.2">
      <c r="B4765" s="10"/>
    </row>
    <row r="4766" spans="2:2" x14ac:dyDescent="0.2">
      <c r="B4766" s="10"/>
    </row>
    <row r="4767" spans="2:2" x14ac:dyDescent="0.2">
      <c r="B4767" s="10"/>
    </row>
    <row r="4768" spans="2:2" x14ac:dyDescent="0.2">
      <c r="B4768" s="10"/>
    </row>
    <row r="4769" spans="2:2" x14ac:dyDescent="0.2">
      <c r="B4769" s="10"/>
    </row>
    <row r="4770" spans="2:2" x14ac:dyDescent="0.2">
      <c r="B4770" s="10"/>
    </row>
    <row r="4771" spans="2:2" x14ac:dyDescent="0.2">
      <c r="B4771" s="10"/>
    </row>
    <row r="4772" spans="2:2" x14ac:dyDescent="0.2">
      <c r="B4772" s="10"/>
    </row>
    <row r="4773" spans="2:2" x14ac:dyDescent="0.2">
      <c r="B4773" s="10"/>
    </row>
    <row r="4774" spans="2:2" x14ac:dyDescent="0.2">
      <c r="B4774" s="10"/>
    </row>
    <row r="4775" spans="2:2" x14ac:dyDescent="0.2">
      <c r="B4775" s="10"/>
    </row>
    <row r="4776" spans="2:2" x14ac:dyDescent="0.2">
      <c r="B4776" s="10"/>
    </row>
    <row r="4777" spans="2:2" x14ac:dyDescent="0.2">
      <c r="B4777" s="10"/>
    </row>
    <row r="4778" spans="2:2" x14ac:dyDescent="0.2">
      <c r="B4778" s="10"/>
    </row>
    <row r="4779" spans="2:2" x14ac:dyDescent="0.2">
      <c r="B4779" s="10"/>
    </row>
    <row r="4780" spans="2:2" x14ac:dyDescent="0.2">
      <c r="B4780" s="10"/>
    </row>
    <row r="4781" spans="2:2" x14ac:dyDescent="0.2">
      <c r="B4781" s="10"/>
    </row>
    <row r="4782" spans="2:2" x14ac:dyDescent="0.2">
      <c r="B4782" s="10"/>
    </row>
    <row r="4783" spans="2:2" x14ac:dyDescent="0.2">
      <c r="B4783" s="10"/>
    </row>
    <row r="4784" spans="2:2" x14ac:dyDescent="0.2">
      <c r="B4784" s="10"/>
    </row>
    <row r="4785" spans="2:2" x14ac:dyDescent="0.2">
      <c r="B4785" s="10"/>
    </row>
    <row r="4786" spans="2:2" x14ac:dyDescent="0.2">
      <c r="B4786" s="10"/>
    </row>
    <row r="4787" spans="2:2" x14ac:dyDescent="0.2">
      <c r="B4787" s="10"/>
    </row>
    <row r="4788" spans="2:2" x14ac:dyDescent="0.2">
      <c r="B4788" s="10"/>
    </row>
    <row r="4789" spans="2:2" x14ac:dyDescent="0.2">
      <c r="B4789" s="10"/>
    </row>
    <row r="4790" spans="2:2" x14ac:dyDescent="0.2">
      <c r="B4790" s="10"/>
    </row>
    <row r="4791" spans="2:2" x14ac:dyDescent="0.2">
      <c r="B4791" s="10"/>
    </row>
    <row r="4792" spans="2:2" x14ac:dyDescent="0.2">
      <c r="B4792" s="10"/>
    </row>
    <row r="4793" spans="2:2" x14ac:dyDescent="0.2">
      <c r="B4793" s="10"/>
    </row>
    <row r="4794" spans="2:2" x14ac:dyDescent="0.2">
      <c r="B4794" s="10"/>
    </row>
    <row r="4795" spans="2:2" x14ac:dyDescent="0.2">
      <c r="B4795" s="10"/>
    </row>
    <row r="4796" spans="2:2" x14ac:dyDescent="0.2">
      <c r="B4796" s="10"/>
    </row>
    <row r="4797" spans="2:2" x14ac:dyDescent="0.2">
      <c r="B4797" s="10"/>
    </row>
    <row r="4798" spans="2:2" x14ac:dyDescent="0.2">
      <c r="B4798" s="10"/>
    </row>
    <row r="4799" spans="2:2" x14ac:dyDescent="0.2">
      <c r="B4799" s="10"/>
    </row>
    <row r="4800" spans="2:2" x14ac:dyDescent="0.2">
      <c r="B4800" s="10"/>
    </row>
    <row r="4801" spans="2:2" x14ac:dyDescent="0.2">
      <c r="B4801" s="10"/>
    </row>
    <row r="4802" spans="2:2" x14ac:dyDescent="0.2">
      <c r="B4802" s="10"/>
    </row>
    <row r="4803" spans="2:2" x14ac:dyDescent="0.2">
      <c r="B4803" s="10"/>
    </row>
    <row r="4804" spans="2:2" x14ac:dyDescent="0.2">
      <c r="B4804" s="10"/>
    </row>
    <row r="4805" spans="2:2" x14ac:dyDescent="0.2">
      <c r="B4805" s="10"/>
    </row>
    <row r="4806" spans="2:2" x14ac:dyDescent="0.2">
      <c r="B4806" s="10"/>
    </row>
    <row r="4807" spans="2:2" x14ac:dyDescent="0.2">
      <c r="B4807" s="10"/>
    </row>
    <row r="4808" spans="2:2" x14ac:dyDescent="0.2">
      <c r="B4808" s="10"/>
    </row>
    <row r="4809" spans="2:2" x14ac:dyDescent="0.2">
      <c r="B4809" s="10"/>
    </row>
    <row r="4810" spans="2:2" x14ac:dyDescent="0.2">
      <c r="B4810" s="10"/>
    </row>
    <row r="4811" spans="2:2" x14ac:dyDescent="0.2">
      <c r="B4811" s="10"/>
    </row>
    <row r="4812" spans="2:2" x14ac:dyDescent="0.2">
      <c r="B4812" s="10"/>
    </row>
    <row r="4813" spans="2:2" x14ac:dyDescent="0.2">
      <c r="B4813" s="10"/>
    </row>
    <row r="4814" spans="2:2" x14ac:dyDescent="0.2">
      <c r="B4814" s="10"/>
    </row>
    <row r="4815" spans="2:2" x14ac:dyDescent="0.2">
      <c r="B4815" s="10"/>
    </row>
    <row r="4816" spans="2:2" x14ac:dyDescent="0.2">
      <c r="B4816" s="10"/>
    </row>
    <row r="4817" spans="2:2" x14ac:dyDescent="0.2">
      <c r="B4817" s="10"/>
    </row>
    <row r="4818" spans="2:2" x14ac:dyDescent="0.2">
      <c r="B4818" s="10"/>
    </row>
    <row r="4819" spans="2:2" x14ac:dyDescent="0.2">
      <c r="B4819" s="10"/>
    </row>
    <row r="4820" spans="2:2" x14ac:dyDescent="0.2">
      <c r="B4820" s="10"/>
    </row>
    <row r="4821" spans="2:2" x14ac:dyDescent="0.2">
      <c r="B4821" s="10"/>
    </row>
    <row r="4822" spans="2:2" x14ac:dyDescent="0.2">
      <c r="B4822" s="10"/>
    </row>
    <row r="4823" spans="2:2" x14ac:dyDescent="0.2">
      <c r="B4823" s="10"/>
    </row>
    <row r="4824" spans="2:2" x14ac:dyDescent="0.2">
      <c r="B4824" s="10"/>
    </row>
    <row r="4825" spans="2:2" x14ac:dyDescent="0.2">
      <c r="B4825" s="10"/>
    </row>
    <row r="4826" spans="2:2" x14ac:dyDescent="0.2">
      <c r="B4826" s="10"/>
    </row>
    <row r="4827" spans="2:2" x14ac:dyDescent="0.2">
      <c r="B4827" s="10"/>
    </row>
    <row r="4828" spans="2:2" x14ac:dyDescent="0.2">
      <c r="B4828" s="10"/>
    </row>
    <row r="4829" spans="2:2" x14ac:dyDescent="0.2">
      <c r="B4829" s="10"/>
    </row>
    <row r="4830" spans="2:2" x14ac:dyDescent="0.2">
      <c r="B4830" s="10"/>
    </row>
    <row r="4831" spans="2:2" x14ac:dyDescent="0.2">
      <c r="B4831" s="10"/>
    </row>
    <row r="4832" spans="2:2" x14ac:dyDescent="0.2">
      <c r="B4832" s="10"/>
    </row>
    <row r="4833" spans="2:2" x14ac:dyDescent="0.2">
      <c r="B4833" s="10"/>
    </row>
    <row r="4834" spans="2:2" x14ac:dyDescent="0.2">
      <c r="B4834" s="10"/>
    </row>
    <row r="4835" spans="2:2" x14ac:dyDescent="0.2">
      <c r="B4835" s="10"/>
    </row>
    <row r="4836" spans="2:2" x14ac:dyDescent="0.2">
      <c r="B4836" s="10"/>
    </row>
    <row r="4837" spans="2:2" x14ac:dyDescent="0.2">
      <c r="B4837" s="10"/>
    </row>
    <row r="4838" spans="2:2" x14ac:dyDescent="0.2">
      <c r="B4838" s="10"/>
    </row>
    <row r="4839" spans="2:2" x14ac:dyDescent="0.2">
      <c r="B4839" s="10"/>
    </row>
    <row r="4840" spans="2:2" x14ac:dyDescent="0.2">
      <c r="B4840" s="10"/>
    </row>
    <row r="4841" spans="2:2" x14ac:dyDescent="0.2">
      <c r="B4841" s="10"/>
    </row>
    <row r="4842" spans="2:2" x14ac:dyDescent="0.2">
      <c r="B4842" s="10"/>
    </row>
    <row r="4843" spans="2:2" x14ac:dyDescent="0.2">
      <c r="B4843" s="10"/>
    </row>
    <row r="4844" spans="2:2" x14ac:dyDescent="0.2">
      <c r="B4844" s="10"/>
    </row>
    <row r="4845" spans="2:2" x14ac:dyDescent="0.2">
      <c r="B4845" s="10"/>
    </row>
    <row r="4846" spans="2:2" x14ac:dyDescent="0.2">
      <c r="B4846" s="10"/>
    </row>
    <row r="4847" spans="2:2" x14ac:dyDescent="0.2">
      <c r="B4847" s="10"/>
    </row>
    <row r="4848" spans="2:2" x14ac:dyDescent="0.2">
      <c r="B4848" s="10"/>
    </row>
    <row r="4849" spans="2:2" x14ac:dyDescent="0.2">
      <c r="B4849" s="10"/>
    </row>
    <row r="4850" spans="2:2" x14ac:dyDescent="0.2">
      <c r="B4850" s="10"/>
    </row>
    <row r="4851" spans="2:2" x14ac:dyDescent="0.2">
      <c r="B4851" s="10"/>
    </row>
    <row r="4852" spans="2:2" x14ac:dyDescent="0.2">
      <c r="B4852" s="10"/>
    </row>
    <row r="4853" spans="2:2" x14ac:dyDescent="0.2">
      <c r="B4853" s="10"/>
    </row>
    <row r="4854" spans="2:2" x14ac:dyDescent="0.2">
      <c r="B4854" s="10"/>
    </row>
    <row r="4855" spans="2:2" x14ac:dyDescent="0.2">
      <c r="B4855" s="10"/>
    </row>
    <row r="4856" spans="2:2" x14ac:dyDescent="0.2">
      <c r="B4856" s="10"/>
    </row>
    <row r="4857" spans="2:2" x14ac:dyDescent="0.2">
      <c r="B4857" s="10"/>
    </row>
    <row r="4858" spans="2:2" x14ac:dyDescent="0.2">
      <c r="B4858" s="10"/>
    </row>
    <row r="4859" spans="2:2" x14ac:dyDescent="0.2">
      <c r="B4859" s="10"/>
    </row>
    <row r="4860" spans="2:2" x14ac:dyDescent="0.2">
      <c r="B4860" s="10"/>
    </row>
    <row r="4861" spans="2:2" x14ac:dyDescent="0.2">
      <c r="B4861" s="10"/>
    </row>
    <row r="4862" spans="2:2" x14ac:dyDescent="0.2">
      <c r="B4862" s="10"/>
    </row>
    <row r="4863" spans="2:2" x14ac:dyDescent="0.2">
      <c r="B4863" s="10"/>
    </row>
    <row r="4864" spans="2:2" x14ac:dyDescent="0.2">
      <c r="B4864" s="10"/>
    </row>
    <row r="4865" spans="2:2" x14ac:dyDescent="0.2">
      <c r="B4865" s="10"/>
    </row>
    <row r="4866" spans="2:2" x14ac:dyDescent="0.2">
      <c r="B4866" s="10"/>
    </row>
    <row r="4867" spans="2:2" x14ac:dyDescent="0.2">
      <c r="B4867" s="10"/>
    </row>
    <row r="4868" spans="2:2" x14ac:dyDescent="0.2">
      <c r="B4868" s="10"/>
    </row>
    <row r="4869" spans="2:2" x14ac:dyDescent="0.2">
      <c r="B4869" s="10"/>
    </row>
    <row r="4870" spans="2:2" x14ac:dyDescent="0.2">
      <c r="B4870" s="10"/>
    </row>
    <row r="4871" spans="2:2" x14ac:dyDescent="0.2">
      <c r="B4871" s="10"/>
    </row>
    <row r="4872" spans="2:2" x14ac:dyDescent="0.2">
      <c r="B4872" s="10"/>
    </row>
    <row r="4873" spans="2:2" x14ac:dyDescent="0.2">
      <c r="B4873" s="10"/>
    </row>
    <row r="4874" spans="2:2" x14ac:dyDescent="0.2">
      <c r="B4874" s="10"/>
    </row>
    <row r="4875" spans="2:2" x14ac:dyDescent="0.2">
      <c r="B4875" s="10"/>
    </row>
    <row r="4876" spans="2:2" x14ac:dyDescent="0.2">
      <c r="B4876" s="10"/>
    </row>
    <row r="4877" spans="2:2" x14ac:dyDescent="0.2">
      <c r="B4877" s="10"/>
    </row>
    <row r="4878" spans="2:2" x14ac:dyDescent="0.2">
      <c r="B4878" s="10"/>
    </row>
    <row r="4879" spans="2:2" x14ac:dyDescent="0.2">
      <c r="B4879" s="10"/>
    </row>
    <row r="4880" spans="2:2" x14ac:dyDescent="0.2">
      <c r="B4880" s="10"/>
    </row>
    <row r="4881" spans="2:2" x14ac:dyDescent="0.2">
      <c r="B4881" s="10"/>
    </row>
    <row r="4882" spans="2:2" x14ac:dyDescent="0.2">
      <c r="B4882" s="10"/>
    </row>
    <row r="4883" spans="2:2" x14ac:dyDescent="0.2">
      <c r="B4883" s="10"/>
    </row>
    <row r="4884" spans="2:2" x14ac:dyDescent="0.2">
      <c r="B4884" s="10"/>
    </row>
    <row r="4885" spans="2:2" x14ac:dyDescent="0.2">
      <c r="B4885" s="10"/>
    </row>
    <row r="4886" spans="2:2" x14ac:dyDescent="0.2">
      <c r="B4886" s="10"/>
    </row>
    <row r="4887" spans="2:2" x14ac:dyDescent="0.2">
      <c r="B4887" s="10"/>
    </row>
    <row r="4888" spans="2:2" x14ac:dyDescent="0.2">
      <c r="B4888" s="10"/>
    </row>
    <row r="4889" spans="2:2" x14ac:dyDescent="0.2">
      <c r="B4889" s="10"/>
    </row>
    <row r="4890" spans="2:2" x14ac:dyDescent="0.2">
      <c r="B4890" s="10"/>
    </row>
    <row r="4891" spans="2:2" x14ac:dyDescent="0.2">
      <c r="B4891" s="10"/>
    </row>
    <row r="4892" spans="2:2" x14ac:dyDescent="0.2">
      <c r="B4892" s="10"/>
    </row>
    <row r="4893" spans="2:2" x14ac:dyDescent="0.2">
      <c r="B4893" s="10"/>
    </row>
    <row r="4894" spans="2:2" x14ac:dyDescent="0.2">
      <c r="B4894" s="10"/>
    </row>
    <row r="4895" spans="2:2" x14ac:dyDescent="0.2">
      <c r="B4895" s="10"/>
    </row>
    <row r="4896" spans="2:2" x14ac:dyDescent="0.2">
      <c r="B4896" s="10"/>
    </row>
    <row r="4897" spans="2:2" x14ac:dyDescent="0.2">
      <c r="B4897" s="10"/>
    </row>
    <row r="4898" spans="2:2" x14ac:dyDescent="0.2">
      <c r="B4898" s="10"/>
    </row>
    <row r="4899" spans="2:2" x14ac:dyDescent="0.2">
      <c r="B4899" s="10"/>
    </row>
    <row r="4900" spans="2:2" x14ac:dyDescent="0.2">
      <c r="B4900" s="10"/>
    </row>
    <row r="4901" spans="2:2" x14ac:dyDescent="0.2">
      <c r="B4901" s="10"/>
    </row>
    <row r="4902" spans="2:2" x14ac:dyDescent="0.2">
      <c r="B4902" s="10"/>
    </row>
    <row r="4903" spans="2:2" x14ac:dyDescent="0.2">
      <c r="B4903" s="10"/>
    </row>
    <row r="4904" spans="2:2" x14ac:dyDescent="0.2">
      <c r="B4904" s="10"/>
    </row>
    <row r="4905" spans="2:2" x14ac:dyDescent="0.2">
      <c r="B4905" s="10"/>
    </row>
    <row r="4906" spans="2:2" x14ac:dyDescent="0.2">
      <c r="B4906" s="10"/>
    </row>
    <row r="4907" spans="2:2" x14ac:dyDescent="0.2">
      <c r="B4907" s="10"/>
    </row>
    <row r="4908" spans="2:2" x14ac:dyDescent="0.2">
      <c r="B4908" s="10"/>
    </row>
    <row r="4909" spans="2:2" x14ac:dyDescent="0.2">
      <c r="B4909" s="10"/>
    </row>
    <row r="4910" spans="2:2" x14ac:dyDescent="0.2">
      <c r="B4910" s="10"/>
    </row>
    <row r="4911" spans="2:2" x14ac:dyDescent="0.2">
      <c r="B4911" s="10"/>
    </row>
    <row r="4912" spans="2:2" x14ac:dyDescent="0.2">
      <c r="B4912" s="10"/>
    </row>
    <row r="4913" spans="2:2" x14ac:dyDescent="0.2">
      <c r="B4913" s="10"/>
    </row>
    <row r="4914" spans="2:2" x14ac:dyDescent="0.2">
      <c r="B4914" s="10"/>
    </row>
    <row r="4915" spans="2:2" x14ac:dyDescent="0.2">
      <c r="B4915" s="10"/>
    </row>
    <row r="4916" spans="2:2" x14ac:dyDescent="0.2">
      <c r="B4916" s="10"/>
    </row>
    <row r="4917" spans="2:2" x14ac:dyDescent="0.2">
      <c r="B4917" s="10"/>
    </row>
    <row r="4918" spans="2:2" x14ac:dyDescent="0.2">
      <c r="B4918" s="10"/>
    </row>
    <row r="4919" spans="2:2" x14ac:dyDescent="0.2">
      <c r="B4919" s="10"/>
    </row>
    <row r="4920" spans="2:2" x14ac:dyDescent="0.2">
      <c r="B4920" s="10"/>
    </row>
    <row r="4921" spans="2:2" x14ac:dyDescent="0.2">
      <c r="B4921" s="10"/>
    </row>
    <row r="4922" spans="2:2" x14ac:dyDescent="0.2">
      <c r="B4922" s="10"/>
    </row>
    <row r="4923" spans="2:2" x14ac:dyDescent="0.2">
      <c r="B4923" s="10"/>
    </row>
    <row r="4924" spans="2:2" x14ac:dyDescent="0.2">
      <c r="B4924" s="10"/>
    </row>
    <row r="4925" spans="2:2" x14ac:dyDescent="0.2">
      <c r="B4925" s="10"/>
    </row>
    <row r="4926" spans="2:2" x14ac:dyDescent="0.2">
      <c r="B4926" s="10"/>
    </row>
    <row r="4927" spans="2:2" x14ac:dyDescent="0.2">
      <c r="B4927" s="10"/>
    </row>
    <row r="4928" spans="2:2" x14ac:dyDescent="0.2">
      <c r="B4928" s="10"/>
    </row>
    <row r="4929" spans="2:2" x14ac:dyDescent="0.2">
      <c r="B4929" s="10"/>
    </row>
    <row r="4930" spans="2:2" x14ac:dyDescent="0.2">
      <c r="B4930" s="10"/>
    </row>
    <row r="4931" spans="2:2" x14ac:dyDescent="0.2">
      <c r="B4931" s="10"/>
    </row>
    <row r="4932" spans="2:2" x14ac:dyDescent="0.2">
      <c r="B4932" s="10"/>
    </row>
    <row r="4933" spans="2:2" x14ac:dyDescent="0.2">
      <c r="B4933" s="10"/>
    </row>
    <row r="4934" spans="2:2" x14ac:dyDescent="0.2">
      <c r="B4934" s="10"/>
    </row>
    <row r="4935" spans="2:2" x14ac:dyDescent="0.2">
      <c r="B4935" s="10"/>
    </row>
    <row r="4936" spans="2:2" x14ac:dyDescent="0.2">
      <c r="B4936" s="10"/>
    </row>
    <row r="4937" spans="2:2" x14ac:dyDescent="0.2">
      <c r="B4937" s="10"/>
    </row>
    <row r="4938" spans="2:2" x14ac:dyDescent="0.2">
      <c r="B4938" s="10"/>
    </row>
    <row r="4939" spans="2:2" x14ac:dyDescent="0.2">
      <c r="B4939" s="10"/>
    </row>
    <row r="4940" spans="2:2" x14ac:dyDescent="0.2">
      <c r="B4940" s="10"/>
    </row>
    <row r="4941" spans="2:2" x14ac:dyDescent="0.2">
      <c r="B4941" s="10"/>
    </row>
    <row r="4942" spans="2:2" x14ac:dyDescent="0.2">
      <c r="B4942" s="10"/>
    </row>
    <row r="4943" spans="2:2" x14ac:dyDescent="0.2">
      <c r="B4943" s="10"/>
    </row>
    <row r="4944" spans="2:2" x14ac:dyDescent="0.2">
      <c r="B4944" s="10"/>
    </row>
    <row r="4945" spans="2:2" x14ac:dyDescent="0.2">
      <c r="B4945" s="10"/>
    </row>
    <row r="4946" spans="2:2" x14ac:dyDescent="0.2">
      <c r="B4946" s="10"/>
    </row>
    <row r="4947" spans="2:2" x14ac:dyDescent="0.2">
      <c r="B4947" s="10"/>
    </row>
    <row r="4948" spans="2:2" x14ac:dyDescent="0.2">
      <c r="B4948" s="10"/>
    </row>
    <row r="4949" spans="2:2" x14ac:dyDescent="0.2">
      <c r="B4949" s="10"/>
    </row>
    <row r="4950" spans="2:2" x14ac:dyDescent="0.2">
      <c r="B4950" s="10"/>
    </row>
    <row r="4951" spans="2:2" x14ac:dyDescent="0.2">
      <c r="B4951" s="10"/>
    </row>
    <row r="4952" spans="2:2" x14ac:dyDescent="0.2">
      <c r="B4952" s="10"/>
    </row>
    <row r="4953" spans="2:2" x14ac:dyDescent="0.2">
      <c r="B4953" s="10"/>
    </row>
    <row r="4954" spans="2:2" x14ac:dyDescent="0.2">
      <c r="B4954" s="10"/>
    </row>
    <row r="4955" spans="2:2" x14ac:dyDescent="0.2">
      <c r="B4955" s="10"/>
    </row>
    <row r="4956" spans="2:2" x14ac:dyDescent="0.2">
      <c r="B4956" s="10"/>
    </row>
    <row r="4957" spans="2:2" x14ac:dyDescent="0.2">
      <c r="B4957" s="10"/>
    </row>
    <row r="4958" spans="2:2" x14ac:dyDescent="0.2">
      <c r="B4958" s="10"/>
    </row>
    <row r="4959" spans="2:2" x14ac:dyDescent="0.2">
      <c r="B4959" s="10"/>
    </row>
    <row r="4960" spans="2:2" x14ac:dyDescent="0.2">
      <c r="B4960" s="10"/>
    </row>
    <row r="4961" spans="2:2" x14ac:dyDescent="0.2">
      <c r="B4961" s="10"/>
    </row>
    <row r="4962" spans="2:2" x14ac:dyDescent="0.2">
      <c r="B4962" s="10"/>
    </row>
    <row r="4963" spans="2:2" x14ac:dyDescent="0.2">
      <c r="B4963" s="10"/>
    </row>
    <row r="4964" spans="2:2" x14ac:dyDescent="0.2">
      <c r="B4964" s="10"/>
    </row>
    <row r="4965" spans="2:2" x14ac:dyDescent="0.2">
      <c r="B4965" s="10"/>
    </row>
    <row r="4966" spans="2:2" x14ac:dyDescent="0.2">
      <c r="B4966" s="10"/>
    </row>
    <row r="4967" spans="2:2" x14ac:dyDescent="0.2">
      <c r="B4967" s="10"/>
    </row>
    <row r="4968" spans="2:2" x14ac:dyDescent="0.2">
      <c r="B4968" s="10"/>
    </row>
    <row r="4969" spans="2:2" x14ac:dyDescent="0.2">
      <c r="B4969" s="10"/>
    </row>
    <row r="4970" spans="2:2" x14ac:dyDescent="0.2">
      <c r="B4970" s="10"/>
    </row>
    <row r="4971" spans="2:2" x14ac:dyDescent="0.2">
      <c r="B4971" s="10"/>
    </row>
    <row r="4972" spans="2:2" x14ac:dyDescent="0.2">
      <c r="B4972" s="10"/>
    </row>
    <row r="4973" spans="2:2" x14ac:dyDescent="0.2">
      <c r="B4973" s="10"/>
    </row>
    <row r="4974" spans="2:2" x14ac:dyDescent="0.2">
      <c r="B4974" s="10"/>
    </row>
    <row r="4975" spans="2:2" x14ac:dyDescent="0.2">
      <c r="B4975" s="10"/>
    </row>
    <row r="4976" spans="2:2" x14ac:dyDescent="0.2">
      <c r="B4976" s="10"/>
    </row>
    <row r="4977" spans="2:2" x14ac:dyDescent="0.2">
      <c r="B4977" s="10"/>
    </row>
    <row r="4978" spans="2:2" x14ac:dyDescent="0.2">
      <c r="B4978" s="10"/>
    </row>
    <row r="4979" spans="2:2" x14ac:dyDescent="0.2">
      <c r="B4979" s="10"/>
    </row>
    <row r="4980" spans="2:2" x14ac:dyDescent="0.2">
      <c r="B4980" s="10"/>
    </row>
    <row r="4981" spans="2:2" x14ac:dyDescent="0.2">
      <c r="B4981" s="10"/>
    </row>
    <row r="4982" spans="2:2" x14ac:dyDescent="0.2">
      <c r="B4982" s="10"/>
    </row>
    <row r="4983" spans="2:2" x14ac:dyDescent="0.2">
      <c r="B4983" s="10"/>
    </row>
    <row r="4984" spans="2:2" x14ac:dyDescent="0.2">
      <c r="B4984" s="10"/>
    </row>
    <row r="4985" spans="2:2" x14ac:dyDescent="0.2">
      <c r="B4985" s="10"/>
    </row>
    <row r="4986" spans="2:2" x14ac:dyDescent="0.2">
      <c r="B4986" s="10"/>
    </row>
    <row r="4987" spans="2:2" x14ac:dyDescent="0.2">
      <c r="B4987" s="10"/>
    </row>
    <row r="4988" spans="2:2" x14ac:dyDescent="0.2">
      <c r="B4988" s="10"/>
    </row>
    <row r="4989" spans="2:2" x14ac:dyDescent="0.2">
      <c r="B4989" s="10"/>
    </row>
    <row r="4990" spans="2:2" x14ac:dyDescent="0.2">
      <c r="B4990" s="10"/>
    </row>
    <row r="4991" spans="2:2" x14ac:dyDescent="0.2">
      <c r="B4991" s="10"/>
    </row>
    <row r="4992" spans="2:2" x14ac:dyDescent="0.2">
      <c r="B4992" s="10"/>
    </row>
    <row r="4993" spans="2:2" x14ac:dyDescent="0.2">
      <c r="B4993" s="10"/>
    </row>
    <row r="4994" spans="2:2" x14ac:dyDescent="0.2">
      <c r="B4994" s="10"/>
    </row>
    <row r="4995" spans="2:2" x14ac:dyDescent="0.2">
      <c r="B4995" s="10"/>
    </row>
    <row r="4996" spans="2:2" x14ac:dyDescent="0.2">
      <c r="B4996" s="10"/>
    </row>
    <row r="4997" spans="2:2" x14ac:dyDescent="0.2">
      <c r="B4997" s="10"/>
    </row>
    <row r="4998" spans="2:2" x14ac:dyDescent="0.2">
      <c r="B4998" s="10"/>
    </row>
    <row r="4999" spans="2:2" x14ac:dyDescent="0.2">
      <c r="B4999" s="10"/>
    </row>
    <row r="5000" spans="2:2" x14ac:dyDescent="0.2">
      <c r="B5000" s="10"/>
    </row>
    <row r="5001" spans="2:2" x14ac:dyDescent="0.2">
      <c r="B5001" s="10"/>
    </row>
    <row r="5002" spans="2:2" x14ac:dyDescent="0.2">
      <c r="B5002" s="10"/>
    </row>
    <row r="5003" spans="2:2" x14ac:dyDescent="0.2">
      <c r="B5003" s="10"/>
    </row>
    <row r="5004" spans="2:2" x14ac:dyDescent="0.2">
      <c r="B5004" s="10"/>
    </row>
    <row r="5005" spans="2:2" x14ac:dyDescent="0.2">
      <c r="B5005" s="10"/>
    </row>
    <row r="5006" spans="2:2" x14ac:dyDescent="0.2">
      <c r="B5006" s="10"/>
    </row>
    <row r="5007" spans="2:2" x14ac:dyDescent="0.2">
      <c r="B5007" s="10"/>
    </row>
    <row r="5008" spans="2:2" x14ac:dyDescent="0.2">
      <c r="B5008" s="10"/>
    </row>
    <row r="5009" spans="2:2" x14ac:dyDescent="0.2">
      <c r="B5009" s="10"/>
    </row>
    <row r="5010" spans="2:2" x14ac:dyDescent="0.2">
      <c r="B5010" s="10"/>
    </row>
    <row r="5011" spans="2:2" x14ac:dyDescent="0.2">
      <c r="B5011" s="10"/>
    </row>
    <row r="5012" spans="2:2" x14ac:dyDescent="0.2">
      <c r="B5012" s="10"/>
    </row>
    <row r="5013" spans="2:2" x14ac:dyDescent="0.2">
      <c r="B5013" s="10"/>
    </row>
    <row r="5014" spans="2:2" x14ac:dyDescent="0.2">
      <c r="B5014" s="10"/>
    </row>
    <row r="5015" spans="2:2" x14ac:dyDescent="0.2">
      <c r="B5015" s="10"/>
    </row>
    <row r="5016" spans="2:2" x14ac:dyDescent="0.2">
      <c r="B5016" s="10"/>
    </row>
    <row r="5017" spans="2:2" x14ac:dyDescent="0.2">
      <c r="B5017" s="10"/>
    </row>
    <row r="5018" spans="2:2" x14ac:dyDescent="0.2">
      <c r="B5018" s="10"/>
    </row>
    <row r="5019" spans="2:2" x14ac:dyDescent="0.2">
      <c r="B5019" s="10"/>
    </row>
    <row r="5020" spans="2:2" x14ac:dyDescent="0.2">
      <c r="B5020" s="10"/>
    </row>
    <row r="5021" spans="2:2" x14ac:dyDescent="0.2">
      <c r="B5021" s="10"/>
    </row>
    <row r="5022" spans="2:2" x14ac:dyDescent="0.2">
      <c r="B5022" s="10"/>
    </row>
    <row r="5023" spans="2:2" x14ac:dyDescent="0.2">
      <c r="B5023" s="10"/>
    </row>
    <row r="5024" spans="2:2" x14ac:dyDescent="0.2">
      <c r="B5024" s="10"/>
    </row>
    <row r="5025" spans="2:2" x14ac:dyDescent="0.2">
      <c r="B5025" s="10"/>
    </row>
    <row r="5026" spans="2:2" x14ac:dyDescent="0.2">
      <c r="B5026" s="10"/>
    </row>
    <row r="5027" spans="2:2" x14ac:dyDescent="0.2">
      <c r="B5027" s="10"/>
    </row>
    <row r="5028" spans="2:2" x14ac:dyDescent="0.2">
      <c r="B5028" s="10"/>
    </row>
    <row r="5029" spans="2:2" x14ac:dyDescent="0.2">
      <c r="B5029" s="10"/>
    </row>
    <row r="5030" spans="2:2" x14ac:dyDescent="0.2">
      <c r="B5030" s="10"/>
    </row>
    <row r="5031" spans="2:2" x14ac:dyDescent="0.2">
      <c r="B5031" s="10"/>
    </row>
    <row r="5032" spans="2:2" x14ac:dyDescent="0.2">
      <c r="B5032" s="10"/>
    </row>
    <row r="5033" spans="2:2" x14ac:dyDescent="0.2">
      <c r="B5033" s="10"/>
    </row>
    <row r="5034" spans="2:2" x14ac:dyDescent="0.2">
      <c r="B5034" s="10"/>
    </row>
    <row r="5035" spans="2:2" x14ac:dyDescent="0.2">
      <c r="B5035" s="10"/>
    </row>
    <row r="5036" spans="2:2" x14ac:dyDescent="0.2">
      <c r="B5036" s="10"/>
    </row>
    <row r="5037" spans="2:2" x14ac:dyDescent="0.2">
      <c r="B5037" s="10"/>
    </row>
    <row r="5038" spans="2:2" x14ac:dyDescent="0.2">
      <c r="B5038" s="10"/>
    </row>
    <row r="5039" spans="2:2" x14ac:dyDescent="0.2">
      <c r="B5039" s="10"/>
    </row>
    <row r="5040" spans="2:2" x14ac:dyDescent="0.2">
      <c r="B5040" s="10"/>
    </row>
    <row r="5041" spans="2:2" x14ac:dyDescent="0.2">
      <c r="B5041" s="10"/>
    </row>
    <row r="5042" spans="2:2" x14ac:dyDescent="0.2">
      <c r="B5042" s="10"/>
    </row>
    <row r="5043" spans="2:2" x14ac:dyDescent="0.2">
      <c r="B5043" s="10"/>
    </row>
    <row r="5044" spans="2:2" x14ac:dyDescent="0.2">
      <c r="B5044" s="10"/>
    </row>
    <row r="5045" spans="2:2" x14ac:dyDescent="0.2">
      <c r="B5045" s="10"/>
    </row>
    <row r="5046" spans="2:2" x14ac:dyDescent="0.2">
      <c r="B5046" s="10"/>
    </row>
    <row r="5047" spans="2:2" x14ac:dyDescent="0.2">
      <c r="B5047" s="10"/>
    </row>
    <row r="5048" spans="2:2" x14ac:dyDescent="0.2">
      <c r="B5048" s="10"/>
    </row>
    <row r="5049" spans="2:2" x14ac:dyDescent="0.2">
      <c r="B5049" s="10"/>
    </row>
    <row r="5050" spans="2:2" x14ac:dyDescent="0.2">
      <c r="B5050" s="10"/>
    </row>
    <row r="5051" spans="2:2" x14ac:dyDescent="0.2">
      <c r="B5051" s="10"/>
    </row>
    <row r="5052" spans="2:2" x14ac:dyDescent="0.2">
      <c r="B5052" s="10"/>
    </row>
    <row r="5053" spans="2:2" x14ac:dyDescent="0.2">
      <c r="B5053" s="10"/>
    </row>
    <row r="5054" spans="2:2" x14ac:dyDescent="0.2">
      <c r="B5054" s="10"/>
    </row>
    <row r="5055" spans="2:2" x14ac:dyDescent="0.2">
      <c r="B5055" s="10"/>
    </row>
    <row r="5056" spans="2:2" x14ac:dyDescent="0.2">
      <c r="B5056" s="10"/>
    </row>
    <row r="5057" spans="2:2" x14ac:dyDescent="0.2">
      <c r="B5057" s="10"/>
    </row>
    <row r="5058" spans="2:2" x14ac:dyDescent="0.2">
      <c r="B5058" s="10"/>
    </row>
    <row r="5059" spans="2:2" x14ac:dyDescent="0.2">
      <c r="B5059" s="10"/>
    </row>
    <row r="5060" spans="2:2" x14ac:dyDescent="0.2">
      <c r="B5060" s="10"/>
    </row>
    <row r="5061" spans="2:2" x14ac:dyDescent="0.2">
      <c r="B5061" s="10"/>
    </row>
    <row r="5062" spans="2:2" x14ac:dyDescent="0.2">
      <c r="B5062" s="10"/>
    </row>
    <row r="5063" spans="2:2" x14ac:dyDescent="0.2">
      <c r="B5063" s="10"/>
    </row>
    <row r="5064" spans="2:2" x14ac:dyDescent="0.2">
      <c r="B5064" s="10"/>
    </row>
    <row r="5065" spans="2:2" x14ac:dyDescent="0.2">
      <c r="B5065" s="10"/>
    </row>
    <row r="5066" spans="2:2" x14ac:dyDescent="0.2">
      <c r="B5066" s="10"/>
    </row>
    <row r="5067" spans="2:2" x14ac:dyDescent="0.2">
      <c r="B5067" s="10"/>
    </row>
    <row r="5068" spans="2:2" x14ac:dyDescent="0.2">
      <c r="B5068" s="10"/>
    </row>
    <row r="5069" spans="2:2" x14ac:dyDescent="0.2">
      <c r="B5069" s="10"/>
    </row>
    <row r="5070" spans="2:2" x14ac:dyDescent="0.2">
      <c r="B5070" s="10"/>
    </row>
    <row r="5071" spans="2:2" x14ac:dyDescent="0.2">
      <c r="B5071" s="10"/>
    </row>
    <row r="5072" spans="2:2" x14ac:dyDescent="0.2">
      <c r="B5072" s="10"/>
    </row>
    <row r="5073" spans="2:2" x14ac:dyDescent="0.2">
      <c r="B5073" s="10"/>
    </row>
    <row r="5074" spans="2:2" x14ac:dyDescent="0.2">
      <c r="B5074" s="10"/>
    </row>
    <row r="5075" spans="2:2" x14ac:dyDescent="0.2">
      <c r="B5075" s="10"/>
    </row>
    <row r="5076" spans="2:2" x14ac:dyDescent="0.2">
      <c r="B5076" s="10"/>
    </row>
    <row r="5077" spans="2:2" x14ac:dyDescent="0.2">
      <c r="B5077" s="10"/>
    </row>
    <row r="5078" spans="2:2" x14ac:dyDescent="0.2">
      <c r="B5078" s="10"/>
    </row>
    <row r="5079" spans="2:2" x14ac:dyDescent="0.2">
      <c r="B5079" s="10"/>
    </row>
    <row r="5080" spans="2:2" x14ac:dyDescent="0.2">
      <c r="B5080" s="10"/>
    </row>
    <row r="5081" spans="2:2" x14ac:dyDescent="0.2">
      <c r="B5081" s="10"/>
    </row>
    <row r="5082" spans="2:2" x14ac:dyDescent="0.2">
      <c r="B5082" s="10"/>
    </row>
    <row r="5083" spans="2:2" x14ac:dyDescent="0.2">
      <c r="B5083" s="10"/>
    </row>
    <row r="5084" spans="2:2" x14ac:dyDescent="0.2">
      <c r="B5084" s="10"/>
    </row>
    <row r="5085" spans="2:2" x14ac:dyDescent="0.2">
      <c r="B5085" s="10"/>
    </row>
    <row r="5086" spans="2:2" x14ac:dyDescent="0.2">
      <c r="B5086" s="10"/>
    </row>
    <row r="5087" spans="2:2" x14ac:dyDescent="0.2">
      <c r="B5087" s="10"/>
    </row>
    <row r="5088" spans="2:2" x14ac:dyDescent="0.2">
      <c r="B5088" s="10"/>
    </row>
    <row r="5089" spans="2:2" x14ac:dyDescent="0.2">
      <c r="B5089" s="10"/>
    </row>
    <row r="5090" spans="2:2" x14ac:dyDescent="0.2">
      <c r="B5090" s="10"/>
    </row>
    <row r="5091" spans="2:2" x14ac:dyDescent="0.2">
      <c r="B5091" s="10"/>
    </row>
    <row r="5092" spans="2:2" x14ac:dyDescent="0.2">
      <c r="B5092" s="10"/>
    </row>
    <row r="5093" spans="2:2" x14ac:dyDescent="0.2">
      <c r="B5093" s="10"/>
    </row>
    <row r="5094" spans="2:2" x14ac:dyDescent="0.2">
      <c r="B5094" s="10"/>
    </row>
    <row r="5095" spans="2:2" x14ac:dyDescent="0.2">
      <c r="B5095" s="10"/>
    </row>
    <row r="5096" spans="2:2" x14ac:dyDescent="0.2">
      <c r="B5096" s="10"/>
    </row>
    <row r="5097" spans="2:2" x14ac:dyDescent="0.2">
      <c r="B5097" s="10"/>
    </row>
    <row r="5098" spans="2:2" x14ac:dyDescent="0.2">
      <c r="B5098" s="10"/>
    </row>
    <row r="5099" spans="2:2" x14ac:dyDescent="0.2">
      <c r="B5099" s="10"/>
    </row>
    <row r="5100" spans="2:2" x14ac:dyDescent="0.2">
      <c r="B5100" s="10"/>
    </row>
    <row r="5101" spans="2:2" x14ac:dyDescent="0.2">
      <c r="B5101" s="10"/>
    </row>
    <row r="5102" spans="2:2" x14ac:dyDescent="0.2">
      <c r="B5102" s="10"/>
    </row>
    <row r="5103" spans="2:2" x14ac:dyDescent="0.2">
      <c r="B5103" s="10"/>
    </row>
    <row r="5104" spans="2:2" x14ac:dyDescent="0.2">
      <c r="B5104" s="10"/>
    </row>
    <row r="5105" spans="2:2" x14ac:dyDescent="0.2">
      <c r="B5105" s="10"/>
    </row>
    <row r="5106" spans="2:2" x14ac:dyDescent="0.2">
      <c r="B5106" s="10"/>
    </row>
    <row r="5107" spans="2:2" x14ac:dyDescent="0.2">
      <c r="B5107" s="10"/>
    </row>
    <row r="5108" spans="2:2" x14ac:dyDescent="0.2">
      <c r="B5108" s="10"/>
    </row>
    <row r="5109" spans="2:2" x14ac:dyDescent="0.2">
      <c r="B5109" s="10"/>
    </row>
    <row r="5110" spans="2:2" x14ac:dyDescent="0.2">
      <c r="B5110" s="10"/>
    </row>
    <row r="5111" spans="2:2" x14ac:dyDescent="0.2">
      <c r="B5111" s="10"/>
    </row>
    <row r="5112" spans="2:2" x14ac:dyDescent="0.2">
      <c r="B5112" s="10"/>
    </row>
    <row r="5113" spans="2:2" x14ac:dyDescent="0.2">
      <c r="B5113" s="10"/>
    </row>
    <row r="5114" spans="2:2" x14ac:dyDescent="0.2">
      <c r="B5114" s="10"/>
    </row>
    <row r="5115" spans="2:2" x14ac:dyDescent="0.2">
      <c r="B5115" s="10"/>
    </row>
    <row r="5116" spans="2:2" x14ac:dyDescent="0.2">
      <c r="B5116" s="10"/>
    </row>
    <row r="5117" spans="2:2" x14ac:dyDescent="0.2">
      <c r="B5117" s="10"/>
    </row>
    <row r="5118" spans="2:2" x14ac:dyDescent="0.2">
      <c r="B5118" s="10"/>
    </row>
    <row r="5119" spans="2:2" x14ac:dyDescent="0.2">
      <c r="B5119" s="10"/>
    </row>
    <row r="5120" spans="2:2" x14ac:dyDescent="0.2">
      <c r="B5120" s="10"/>
    </row>
    <row r="5121" spans="2:2" x14ac:dyDescent="0.2">
      <c r="B5121" s="10"/>
    </row>
    <row r="5122" spans="2:2" x14ac:dyDescent="0.2">
      <c r="B5122" s="10"/>
    </row>
    <row r="5123" spans="2:2" x14ac:dyDescent="0.2">
      <c r="B5123" s="10"/>
    </row>
    <row r="5124" spans="2:2" x14ac:dyDescent="0.2">
      <c r="B5124" s="10"/>
    </row>
    <row r="5125" spans="2:2" x14ac:dyDescent="0.2">
      <c r="B5125" s="10"/>
    </row>
    <row r="5126" spans="2:2" x14ac:dyDescent="0.2">
      <c r="B5126" s="10"/>
    </row>
    <row r="5127" spans="2:2" x14ac:dyDescent="0.2">
      <c r="B5127" s="10"/>
    </row>
    <row r="5128" spans="2:2" x14ac:dyDescent="0.2">
      <c r="B5128" s="10"/>
    </row>
    <row r="5129" spans="2:2" x14ac:dyDescent="0.2">
      <c r="B5129" s="10"/>
    </row>
    <row r="5130" spans="2:2" x14ac:dyDescent="0.2">
      <c r="B5130" s="10"/>
    </row>
    <row r="5131" spans="2:2" x14ac:dyDescent="0.2">
      <c r="B5131" s="10"/>
    </row>
    <row r="5132" spans="2:2" x14ac:dyDescent="0.2">
      <c r="B5132" s="10"/>
    </row>
    <row r="5133" spans="2:2" x14ac:dyDescent="0.2">
      <c r="B5133" s="10"/>
    </row>
    <row r="5134" spans="2:2" x14ac:dyDescent="0.2">
      <c r="B5134" s="10"/>
    </row>
    <row r="5135" spans="2:2" x14ac:dyDescent="0.2">
      <c r="B5135" s="10"/>
    </row>
    <row r="5136" spans="2:2" x14ac:dyDescent="0.2">
      <c r="B5136" s="10"/>
    </row>
    <row r="5137" spans="2:2" x14ac:dyDescent="0.2">
      <c r="B5137" s="10"/>
    </row>
    <row r="5138" spans="2:2" x14ac:dyDescent="0.2">
      <c r="B5138" s="10"/>
    </row>
    <row r="5139" spans="2:2" x14ac:dyDescent="0.2">
      <c r="B5139" s="10"/>
    </row>
    <row r="5140" spans="2:2" x14ac:dyDescent="0.2">
      <c r="B5140" s="10"/>
    </row>
    <row r="5141" spans="2:2" x14ac:dyDescent="0.2">
      <c r="B5141" s="10"/>
    </row>
    <row r="5142" spans="2:2" x14ac:dyDescent="0.2">
      <c r="B5142" s="10"/>
    </row>
    <row r="5143" spans="2:2" x14ac:dyDescent="0.2">
      <c r="B5143" s="10"/>
    </row>
    <row r="5144" spans="2:2" x14ac:dyDescent="0.2">
      <c r="B5144" s="10"/>
    </row>
    <row r="5145" spans="2:2" x14ac:dyDescent="0.2">
      <c r="B5145" s="10"/>
    </row>
    <row r="5146" spans="2:2" x14ac:dyDescent="0.2">
      <c r="B5146" s="10"/>
    </row>
    <row r="5147" spans="2:2" x14ac:dyDescent="0.2">
      <c r="B5147" s="10"/>
    </row>
    <row r="5148" spans="2:2" x14ac:dyDescent="0.2">
      <c r="B5148" s="10"/>
    </row>
    <row r="5149" spans="2:2" x14ac:dyDescent="0.2">
      <c r="B5149" s="10"/>
    </row>
    <row r="5150" spans="2:2" x14ac:dyDescent="0.2">
      <c r="B5150" s="10"/>
    </row>
    <row r="5151" spans="2:2" x14ac:dyDescent="0.2">
      <c r="B5151" s="10"/>
    </row>
    <row r="5152" spans="2:2" x14ac:dyDescent="0.2">
      <c r="B5152" s="10"/>
    </row>
    <row r="5153" spans="2:2" x14ac:dyDescent="0.2">
      <c r="B5153" s="10"/>
    </row>
    <row r="5154" spans="2:2" x14ac:dyDescent="0.2">
      <c r="B5154" s="10"/>
    </row>
    <row r="5155" spans="2:2" x14ac:dyDescent="0.2">
      <c r="B5155" s="10"/>
    </row>
    <row r="5156" spans="2:2" x14ac:dyDescent="0.2">
      <c r="B5156" s="10"/>
    </row>
    <row r="5157" spans="2:2" x14ac:dyDescent="0.2">
      <c r="B5157" s="10"/>
    </row>
    <row r="5158" spans="2:2" x14ac:dyDescent="0.2">
      <c r="B5158" s="10"/>
    </row>
    <row r="5159" spans="2:2" x14ac:dyDescent="0.2">
      <c r="B5159" s="10"/>
    </row>
    <row r="5160" spans="2:2" x14ac:dyDescent="0.2">
      <c r="B5160" s="10"/>
    </row>
    <row r="5161" spans="2:2" x14ac:dyDescent="0.2">
      <c r="B5161" s="10"/>
    </row>
    <row r="5162" spans="2:2" x14ac:dyDescent="0.2">
      <c r="B5162" s="10"/>
    </row>
    <row r="5163" spans="2:2" x14ac:dyDescent="0.2">
      <c r="B5163" s="10"/>
    </row>
    <row r="5164" spans="2:2" x14ac:dyDescent="0.2">
      <c r="B5164" s="10"/>
    </row>
    <row r="5165" spans="2:2" x14ac:dyDescent="0.2">
      <c r="B5165" s="10"/>
    </row>
    <row r="5166" spans="2:2" x14ac:dyDescent="0.2">
      <c r="B5166" s="10"/>
    </row>
    <row r="5167" spans="2:2" x14ac:dyDescent="0.2">
      <c r="B5167" s="10"/>
    </row>
    <row r="5168" spans="2:2" x14ac:dyDescent="0.2">
      <c r="B5168" s="10"/>
    </row>
    <row r="5169" spans="2:2" x14ac:dyDescent="0.2">
      <c r="B5169" s="10"/>
    </row>
    <row r="5170" spans="2:2" x14ac:dyDescent="0.2">
      <c r="B5170" s="10"/>
    </row>
    <row r="5171" spans="2:2" x14ac:dyDescent="0.2">
      <c r="B5171" s="10"/>
    </row>
    <row r="5172" spans="2:2" x14ac:dyDescent="0.2">
      <c r="B5172" s="10"/>
    </row>
    <row r="5173" spans="2:2" x14ac:dyDescent="0.2">
      <c r="B5173" s="10"/>
    </row>
    <row r="5174" spans="2:2" x14ac:dyDescent="0.2">
      <c r="B5174" s="10"/>
    </row>
    <row r="5175" spans="2:2" x14ac:dyDescent="0.2">
      <c r="B5175" s="10"/>
    </row>
    <row r="5176" spans="2:2" x14ac:dyDescent="0.2">
      <c r="B5176" s="10"/>
    </row>
    <row r="5177" spans="2:2" x14ac:dyDescent="0.2">
      <c r="B5177" s="10"/>
    </row>
    <row r="5178" spans="2:2" x14ac:dyDescent="0.2">
      <c r="B5178" s="10"/>
    </row>
    <row r="5179" spans="2:2" x14ac:dyDescent="0.2">
      <c r="B5179" s="10"/>
    </row>
    <row r="5180" spans="2:2" x14ac:dyDescent="0.2">
      <c r="B5180" s="10"/>
    </row>
    <row r="5181" spans="2:2" x14ac:dyDescent="0.2">
      <c r="B5181" s="10"/>
    </row>
    <row r="5182" spans="2:2" x14ac:dyDescent="0.2">
      <c r="B5182" s="10"/>
    </row>
    <row r="5183" spans="2:2" x14ac:dyDescent="0.2">
      <c r="B5183" s="10"/>
    </row>
    <row r="5184" spans="2:2" x14ac:dyDescent="0.2">
      <c r="B5184" s="10"/>
    </row>
    <row r="5185" spans="2:2" x14ac:dyDescent="0.2">
      <c r="B5185" s="10"/>
    </row>
    <row r="5186" spans="2:2" x14ac:dyDescent="0.2">
      <c r="B5186" s="10"/>
    </row>
    <row r="5187" spans="2:2" x14ac:dyDescent="0.2">
      <c r="B5187" s="10"/>
    </row>
    <row r="5188" spans="2:2" x14ac:dyDescent="0.2">
      <c r="B5188" s="10"/>
    </row>
    <row r="5189" spans="2:2" x14ac:dyDescent="0.2">
      <c r="B5189" s="10"/>
    </row>
    <row r="5190" spans="2:2" x14ac:dyDescent="0.2">
      <c r="B5190" s="10"/>
    </row>
    <row r="5191" spans="2:2" x14ac:dyDescent="0.2">
      <c r="B5191" s="10"/>
    </row>
    <row r="5192" spans="2:2" x14ac:dyDescent="0.2">
      <c r="B5192" s="10"/>
    </row>
    <row r="5193" spans="2:2" x14ac:dyDescent="0.2">
      <c r="B5193" s="10"/>
    </row>
    <row r="5194" spans="2:2" x14ac:dyDescent="0.2">
      <c r="B5194" s="10"/>
    </row>
    <row r="5195" spans="2:2" x14ac:dyDescent="0.2">
      <c r="B5195" s="10"/>
    </row>
    <row r="5196" spans="2:2" x14ac:dyDescent="0.2">
      <c r="B5196" s="10"/>
    </row>
    <row r="5197" spans="2:2" x14ac:dyDescent="0.2">
      <c r="B5197" s="10"/>
    </row>
    <row r="5198" spans="2:2" x14ac:dyDescent="0.2">
      <c r="B5198" s="10"/>
    </row>
    <row r="5199" spans="2:2" x14ac:dyDescent="0.2">
      <c r="B5199" s="10"/>
    </row>
    <row r="5200" spans="2:2" x14ac:dyDescent="0.2">
      <c r="B5200" s="10"/>
    </row>
    <row r="5201" spans="2:2" x14ac:dyDescent="0.2">
      <c r="B5201" s="10"/>
    </row>
    <row r="5202" spans="2:2" x14ac:dyDescent="0.2">
      <c r="B5202" s="10"/>
    </row>
    <row r="5203" spans="2:2" x14ac:dyDescent="0.2">
      <c r="B5203" s="10"/>
    </row>
    <row r="5204" spans="2:2" x14ac:dyDescent="0.2">
      <c r="B5204" s="10"/>
    </row>
    <row r="5205" spans="2:2" x14ac:dyDescent="0.2">
      <c r="B5205" s="10"/>
    </row>
    <row r="5206" spans="2:2" x14ac:dyDescent="0.2">
      <c r="B5206" s="10"/>
    </row>
    <row r="5207" spans="2:2" x14ac:dyDescent="0.2">
      <c r="B5207" s="10"/>
    </row>
    <row r="5208" spans="2:2" x14ac:dyDescent="0.2">
      <c r="B5208" s="10"/>
    </row>
    <row r="5209" spans="2:2" x14ac:dyDescent="0.2">
      <c r="B5209" s="10"/>
    </row>
    <row r="5210" spans="2:2" x14ac:dyDescent="0.2">
      <c r="B5210" s="10"/>
    </row>
    <row r="5211" spans="2:2" x14ac:dyDescent="0.2">
      <c r="B5211" s="10"/>
    </row>
    <row r="5212" spans="2:2" x14ac:dyDescent="0.2">
      <c r="B5212" s="10"/>
    </row>
    <row r="5213" spans="2:2" x14ac:dyDescent="0.2">
      <c r="B5213" s="10"/>
    </row>
    <row r="5214" spans="2:2" x14ac:dyDescent="0.2">
      <c r="B5214" s="10"/>
    </row>
    <row r="5215" spans="2:2" x14ac:dyDescent="0.2">
      <c r="B5215" s="10"/>
    </row>
    <row r="5216" spans="2:2" x14ac:dyDescent="0.2">
      <c r="B5216" s="10"/>
    </row>
    <row r="5217" spans="2:2" x14ac:dyDescent="0.2">
      <c r="B5217" s="10"/>
    </row>
    <row r="5218" spans="2:2" x14ac:dyDescent="0.2">
      <c r="B5218" s="10"/>
    </row>
    <row r="5219" spans="2:2" x14ac:dyDescent="0.2">
      <c r="B5219" s="10"/>
    </row>
    <row r="5220" spans="2:2" x14ac:dyDescent="0.2">
      <c r="B5220" s="10"/>
    </row>
    <row r="5221" spans="2:2" x14ac:dyDescent="0.2">
      <c r="B5221" s="10"/>
    </row>
    <row r="5222" spans="2:2" x14ac:dyDescent="0.2">
      <c r="B5222" s="10"/>
    </row>
    <row r="5223" spans="2:2" x14ac:dyDescent="0.2">
      <c r="B5223" s="10"/>
    </row>
    <row r="5224" spans="2:2" x14ac:dyDescent="0.2">
      <c r="B5224" s="10"/>
    </row>
    <row r="5225" spans="2:2" x14ac:dyDescent="0.2">
      <c r="B5225" s="10"/>
    </row>
    <row r="5226" spans="2:2" x14ac:dyDescent="0.2">
      <c r="B5226" s="10"/>
    </row>
    <row r="5227" spans="2:2" x14ac:dyDescent="0.2">
      <c r="B5227" s="10"/>
    </row>
    <row r="5228" spans="2:2" x14ac:dyDescent="0.2">
      <c r="B5228" s="10"/>
    </row>
    <row r="5229" spans="2:2" x14ac:dyDescent="0.2">
      <c r="B5229" s="10"/>
    </row>
    <row r="5230" spans="2:2" x14ac:dyDescent="0.2">
      <c r="B5230" s="10"/>
    </row>
    <row r="5231" spans="2:2" x14ac:dyDescent="0.2">
      <c r="B5231" s="10"/>
    </row>
    <row r="5232" spans="2:2" x14ac:dyDescent="0.2">
      <c r="B5232" s="10"/>
    </row>
    <row r="5233" spans="2:2" x14ac:dyDescent="0.2">
      <c r="B5233" s="10"/>
    </row>
    <row r="5234" spans="2:2" x14ac:dyDescent="0.2">
      <c r="B5234" s="10"/>
    </row>
    <row r="5235" spans="2:2" x14ac:dyDescent="0.2">
      <c r="B5235" s="10"/>
    </row>
    <row r="5236" spans="2:2" x14ac:dyDescent="0.2">
      <c r="B5236" s="10"/>
    </row>
    <row r="5237" spans="2:2" x14ac:dyDescent="0.2">
      <c r="B5237" s="10"/>
    </row>
    <row r="5238" spans="2:2" x14ac:dyDescent="0.2">
      <c r="B5238" s="10"/>
    </row>
    <row r="5239" spans="2:2" x14ac:dyDescent="0.2">
      <c r="B5239" s="10"/>
    </row>
    <row r="5240" spans="2:2" x14ac:dyDescent="0.2">
      <c r="B5240" s="10"/>
    </row>
    <row r="5241" spans="2:2" x14ac:dyDescent="0.2">
      <c r="B5241" s="10"/>
    </row>
    <row r="5242" spans="2:2" x14ac:dyDescent="0.2">
      <c r="B5242" s="10"/>
    </row>
    <row r="5243" spans="2:2" x14ac:dyDescent="0.2">
      <c r="B5243" s="10"/>
    </row>
    <row r="5244" spans="2:2" x14ac:dyDescent="0.2">
      <c r="B5244" s="10"/>
    </row>
    <row r="5245" spans="2:2" x14ac:dyDescent="0.2">
      <c r="B5245" s="10"/>
    </row>
    <row r="5246" spans="2:2" x14ac:dyDescent="0.2">
      <c r="B5246" s="10"/>
    </row>
    <row r="5247" spans="2:2" x14ac:dyDescent="0.2">
      <c r="B5247" s="10"/>
    </row>
    <row r="5248" spans="2:2" x14ac:dyDescent="0.2">
      <c r="B5248" s="10"/>
    </row>
    <row r="5249" spans="2:2" x14ac:dyDescent="0.2">
      <c r="B5249" s="10"/>
    </row>
    <row r="5250" spans="2:2" x14ac:dyDescent="0.2">
      <c r="B5250" s="10"/>
    </row>
    <row r="5251" spans="2:2" x14ac:dyDescent="0.2">
      <c r="B5251" s="10"/>
    </row>
    <row r="5252" spans="2:2" x14ac:dyDescent="0.2">
      <c r="B5252" s="10"/>
    </row>
    <row r="5253" spans="2:2" x14ac:dyDescent="0.2">
      <c r="B5253" s="10"/>
    </row>
    <row r="5254" spans="2:2" x14ac:dyDescent="0.2">
      <c r="B5254" s="10"/>
    </row>
    <row r="5255" spans="2:2" x14ac:dyDescent="0.2">
      <c r="B5255" s="10"/>
    </row>
    <row r="5256" spans="2:2" x14ac:dyDescent="0.2">
      <c r="B5256" s="10"/>
    </row>
    <row r="5257" spans="2:2" x14ac:dyDescent="0.2">
      <c r="B5257" s="10"/>
    </row>
    <row r="5258" spans="2:2" x14ac:dyDescent="0.2">
      <c r="B5258" s="10"/>
    </row>
    <row r="5259" spans="2:2" x14ac:dyDescent="0.2">
      <c r="B5259" s="10"/>
    </row>
    <row r="5260" spans="2:2" x14ac:dyDescent="0.2">
      <c r="B5260" s="10"/>
    </row>
    <row r="5261" spans="2:2" x14ac:dyDescent="0.2">
      <c r="B5261" s="10"/>
    </row>
    <row r="5262" spans="2:2" x14ac:dyDescent="0.2">
      <c r="B5262" s="10"/>
    </row>
    <row r="5263" spans="2:2" x14ac:dyDescent="0.2">
      <c r="B5263" s="10"/>
    </row>
    <row r="5264" spans="2:2" x14ac:dyDescent="0.2">
      <c r="B5264" s="10"/>
    </row>
    <row r="5265" spans="2:2" x14ac:dyDescent="0.2">
      <c r="B5265" s="10"/>
    </row>
    <row r="5266" spans="2:2" x14ac:dyDescent="0.2">
      <c r="B5266" s="10"/>
    </row>
    <row r="5267" spans="2:2" x14ac:dyDescent="0.2">
      <c r="B5267" s="10"/>
    </row>
    <row r="5268" spans="2:2" x14ac:dyDescent="0.2">
      <c r="B5268" s="10"/>
    </row>
    <row r="5269" spans="2:2" x14ac:dyDescent="0.2">
      <c r="B5269" s="10"/>
    </row>
    <row r="5270" spans="2:2" x14ac:dyDescent="0.2">
      <c r="B5270" s="10"/>
    </row>
    <row r="5271" spans="2:2" x14ac:dyDescent="0.2">
      <c r="B5271" s="10"/>
    </row>
    <row r="5272" spans="2:2" x14ac:dyDescent="0.2">
      <c r="B5272" s="10"/>
    </row>
    <row r="5273" spans="2:2" x14ac:dyDescent="0.2">
      <c r="B5273" s="10"/>
    </row>
    <row r="5274" spans="2:2" x14ac:dyDescent="0.2">
      <c r="B5274" s="10"/>
    </row>
    <row r="5275" spans="2:2" x14ac:dyDescent="0.2">
      <c r="B5275" s="10"/>
    </row>
    <row r="5276" spans="2:2" x14ac:dyDescent="0.2">
      <c r="B5276" s="10"/>
    </row>
    <row r="5277" spans="2:2" x14ac:dyDescent="0.2">
      <c r="B5277" s="10"/>
    </row>
    <row r="5278" spans="2:2" x14ac:dyDescent="0.2">
      <c r="B5278" s="10"/>
    </row>
    <row r="5279" spans="2:2" x14ac:dyDescent="0.2">
      <c r="B5279" s="10"/>
    </row>
    <row r="5280" spans="2:2" x14ac:dyDescent="0.2">
      <c r="B5280" s="10"/>
    </row>
    <row r="5281" spans="2:2" x14ac:dyDescent="0.2">
      <c r="B5281" s="10"/>
    </row>
    <row r="5282" spans="2:2" x14ac:dyDescent="0.2">
      <c r="B5282" s="10"/>
    </row>
    <row r="5283" spans="2:2" x14ac:dyDescent="0.2">
      <c r="B5283" s="10"/>
    </row>
    <row r="5284" spans="2:2" x14ac:dyDescent="0.2">
      <c r="B5284" s="10"/>
    </row>
    <row r="5285" spans="2:2" x14ac:dyDescent="0.2">
      <c r="B5285" s="10"/>
    </row>
    <row r="5286" spans="2:2" x14ac:dyDescent="0.2">
      <c r="B5286" s="10"/>
    </row>
    <row r="5287" spans="2:2" x14ac:dyDescent="0.2">
      <c r="B5287" s="10"/>
    </row>
    <row r="5288" spans="2:2" x14ac:dyDescent="0.2">
      <c r="B5288" s="10"/>
    </row>
    <row r="5289" spans="2:2" x14ac:dyDescent="0.2">
      <c r="B5289" s="10"/>
    </row>
    <row r="5290" spans="2:2" x14ac:dyDescent="0.2">
      <c r="B5290" s="10"/>
    </row>
    <row r="5291" spans="2:2" x14ac:dyDescent="0.2">
      <c r="B5291" s="10"/>
    </row>
    <row r="5292" spans="2:2" x14ac:dyDescent="0.2">
      <c r="B5292" s="10"/>
    </row>
    <row r="5293" spans="2:2" x14ac:dyDescent="0.2">
      <c r="B5293" s="10"/>
    </row>
    <row r="5294" spans="2:2" x14ac:dyDescent="0.2">
      <c r="B5294" s="10"/>
    </row>
    <row r="5295" spans="2:2" x14ac:dyDescent="0.2">
      <c r="B5295" s="10"/>
    </row>
    <row r="5296" spans="2:2" x14ac:dyDescent="0.2">
      <c r="B5296" s="10"/>
    </row>
    <row r="5297" spans="2:2" x14ac:dyDescent="0.2">
      <c r="B5297" s="10"/>
    </row>
    <row r="5298" spans="2:2" x14ac:dyDescent="0.2">
      <c r="B5298" s="10"/>
    </row>
    <row r="5299" spans="2:2" x14ac:dyDescent="0.2">
      <c r="B5299" s="10"/>
    </row>
    <row r="5300" spans="2:2" x14ac:dyDescent="0.2">
      <c r="B5300" s="10"/>
    </row>
    <row r="5301" spans="2:2" x14ac:dyDescent="0.2">
      <c r="B5301" s="10"/>
    </row>
    <row r="5302" spans="2:2" x14ac:dyDescent="0.2">
      <c r="B5302" s="10"/>
    </row>
    <row r="5303" spans="2:2" x14ac:dyDescent="0.2">
      <c r="B5303" s="10"/>
    </row>
    <row r="5304" spans="2:2" x14ac:dyDescent="0.2">
      <c r="B5304" s="10"/>
    </row>
    <row r="5305" spans="2:2" x14ac:dyDescent="0.2">
      <c r="B5305" s="10"/>
    </row>
    <row r="5306" spans="2:2" x14ac:dyDescent="0.2">
      <c r="B5306" s="10"/>
    </row>
    <row r="5307" spans="2:2" x14ac:dyDescent="0.2">
      <c r="B5307" s="10"/>
    </row>
    <row r="5308" spans="2:2" x14ac:dyDescent="0.2">
      <c r="B5308" s="10"/>
    </row>
    <row r="5309" spans="2:2" x14ac:dyDescent="0.2">
      <c r="B5309" s="10"/>
    </row>
    <row r="5310" spans="2:2" x14ac:dyDescent="0.2">
      <c r="B5310" s="10"/>
    </row>
    <row r="5311" spans="2:2" x14ac:dyDescent="0.2">
      <c r="B5311" s="10"/>
    </row>
    <row r="5312" spans="2:2" x14ac:dyDescent="0.2">
      <c r="B5312" s="10"/>
    </row>
    <row r="5313" spans="2:2" x14ac:dyDescent="0.2">
      <c r="B5313" s="10"/>
    </row>
    <row r="5314" spans="2:2" x14ac:dyDescent="0.2">
      <c r="B5314" s="10"/>
    </row>
    <row r="5315" spans="2:2" x14ac:dyDescent="0.2">
      <c r="B5315" s="10"/>
    </row>
    <row r="5316" spans="2:2" x14ac:dyDescent="0.2">
      <c r="B5316" s="10"/>
    </row>
    <row r="5317" spans="2:2" x14ac:dyDescent="0.2">
      <c r="B5317" s="10"/>
    </row>
    <row r="5318" spans="2:2" x14ac:dyDescent="0.2">
      <c r="B5318" s="10"/>
    </row>
    <row r="5319" spans="2:2" x14ac:dyDescent="0.2">
      <c r="B5319" s="10"/>
    </row>
    <row r="5320" spans="2:2" x14ac:dyDescent="0.2">
      <c r="B5320" s="10"/>
    </row>
    <row r="5321" spans="2:2" x14ac:dyDescent="0.2">
      <c r="B5321" s="10"/>
    </row>
    <row r="5322" spans="2:2" x14ac:dyDescent="0.2">
      <c r="B5322" s="10"/>
    </row>
    <row r="5323" spans="2:2" x14ac:dyDescent="0.2">
      <c r="B5323" s="10"/>
    </row>
    <row r="5324" spans="2:2" x14ac:dyDescent="0.2">
      <c r="B5324" s="10"/>
    </row>
    <row r="5325" spans="2:2" x14ac:dyDescent="0.2">
      <c r="B5325" s="10"/>
    </row>
    <row r="5326" spans="2:2" x14ac:dyDescent="0.2">
      <c r="B5326" s="10"/>
    </row>
    <row r="5327" spans="2:2" x14ac:dyDescent="0.2">
      <c r="B5327" s="10"/>
    </row>
    <row r="5328" spans="2:2" x14ac:dyDescent="0.2">
      <c r="B5328" s="10"/>
    </row>
    <row r="5329" spans="2:2" x14ac:dyDescent="0.2">
      <c r="B5329" s="10"/>
    </row>
    <row r="5330" spans="2:2" x14ac:dyDescent="0.2">
      <c r="B5330" s="10"/>
    </row>
    <row r="5331" spans="2:2" x14ac:dyDescent="0.2">
      <c r="B5331" s="10"/>
    </row>
    <row r="5332" spans="2:2" x14ac:dyDescent="0.2">
      <c r="B5332" s="10"/>
    </row>
    <row r="5333" spans="2:2" x14ac:dyDescent="0.2">
      <c r="B5333" s="10"/>
    </row>
    <row r="5334" spans="2:2" x14ac:dyDescent="0.2">
      <c r="B5334" s="10"/>
    </row>
    <row r="5335" spans="2:2" x14ac:dyDescent="0.2">
      <c r="B5335" s="10"/>
    </row>
    <row r="5336" spans="2:2" x14ac:dyDescent="0.2">
      <c r="B5336" s="10"/>
    </row>
    <row r="5337" spans="2:2" x14ac:dyDescent="0.2">
      <c r="B5337" s="10"/>
    </row>
    <row r="5338" spans="2:2" x14ac:dyDescent="0.2">
      <c r="B5338" s="10"/>
    </row>
    <row r="5339" spans="2:2" x14ac:dyDescent="0.2">
      <c r="B5339" s="10"/>
    </row>
    <row r="5340" spans="2:2" x14ac:dyDescent="0.2">
      <c r="B5340" s="10"/>
    </row>
    <row r="5341" spans="2:2" x14ac:dyDescent="0.2">
      <c r="B5341" s="10"/>
    </row>
    <row r="5342" spans="2:2" x14ac:dyDescent="0.2">
      <c r="B5342" s="10"/>
    </row>
    <row r="5343" spans="2:2" x14ac:dyDescent="0.2">
      <c r="B5343" s="10"/>
    </row>
    <row r="5344" spans="2:2" x14ac:dyDescent="0.2">
      <c r="B5344" s="10"/>
    </row>
    <row r="5345" spans="2:2" x14ac:dyDescent="0.2">
      <c r="B5345" s="10"/>
    </row>
    <row r="5346" spans="2:2" x14ac:dyDescent="0.2">
      <c r="B5346" s="10"/>
    </row>
    <row r="5347" spans="2:2" x14ac:dyDescent="0.2">
      <c r="B5347" s="10"/>
    </row>
    <row r="5348" spans="2:2" x14ac:dyDescent="0.2">
      <c r="B5348" s="10"/>
    </row>
    <row r="5349" spans="2:2" x14ac:dyDescent="0.2">
      <c r="B5349" s="10"/>
    </row>
    <row r="5350" spans="2:2" x14ac:dyDescent="0.2">
      <c r="B5350" s="10"/>
    </row>
    <row r="5351" spans="2:2" x14ac:dyDescent="0.2">
      <c r="B5351" s="10"/>
    </row>
    <row r="5352" spans="2:2" x14ac:dyDescent="0.2">
      <c r="B5352" s="10"/>
    </row>
    <row r="5353" spans="2:2" x14ac:dyDescent="0.2">
      <c r="B5353" s="10"/>
    </row>
    <row r="5354" spans="2:2" x14ac:dyDescent="0.2">
      <c r="B5354" s="10"/>
    </row>
    <row r="5355" spans="2:2" x14ac:dyDescent="0.2">
      <c r="B5355" s="10"/>
    </row>
    <row r="5356" spans="2:2" x14ac:dyDescent="0.2">
      <c r="B5356" s="10"/>
    </row>
    <row r="5357" spans="2:2" x14ac:dyDescent="0.2">
      <c r="B5357" s="10"/>
    </row>
    <row r="5358" spans="2:2" x14ac:dyDescent="0.2">
      <c r="B5358" s="10"/>
    </row>
    <row r="5359" spans="2:2" x14ac:dyDescent="0.2">
      <c r="B5359" s="10"/>
    </row>
    <row r="5360" spans="2:2" x14ac:dyDescent="0.2">
      <c r="B5360" s="10"/>
    </row>
    <row r="5361" spans="2:2" x14ac:dyDescent="0.2">
      <c r="B5361" s="10"/>
    </row>
    <row r="5362" spans="2:2" x14ac:dyDescent="0.2">
      <c r="B5362" s="10"/>
    </row>
    <row r="5363" spans="2:2" x14ac:dyDescent="0.2">
      <c r="B5363" s="10"/>
    </row>
    <row r="5364" spans="2:2" x14ac:dyDescent="0.2">
      <c r="B5364" s="10"/>
    </row>
    <row r="5365" spans="2:2" x14ac:dyDescent="0.2">
      <c r="B5365" s="10"/>
    </row>
    <row r="5366" spans="2:2" x14ac:dyDescent="0.2">
      <c r="B5366" s="10"/>
    </row>
    <row r="5367" spans="2:2" x14ac:dyDescent="0.2">
      <c r="B5367" s="10"/>
    </row>
    <row r="5368" spans="2:2" x14ac:dyDescent="0.2">
      <c r="B5368" s="10"/>
    </row>
    <row r="5369" spans="2:2" x14ac:dyDescent="0.2">
      <c r="B5369" s="10"/>
    </row>
    <row r="5370" spans="2:2" x14ac:dyDescent="0.2">
      <c r="B5370" s="10"/>
    </row>
    <row r="5371" spans="2:2" x14ac:dyDescent="0.2">
      <c r="B5371" s="10"/>
    </row>
    <row r="5372" spans="2:2" x14ac:dyDescent="0.2">
      <c r="B5372" s="10"/>
    </row>
    <row r="5373" spans="2:2" x14ac:dyDescent="0.2">
      <c r="B5373" s="10"/>
    </row>
    <row r="5374" spans="2:2" x14ac:dyDescent="0.2">
      <c r="B5374" s="10"/>
    </row>
    <row r="5375" spans="2:2" x14ac:dyDescent="0.2">
      <c r="B5375" s="10"/>
    </row>
    <row r="5376" spans="2:2" x14ac:dyDescent="0.2">
      <c r="B5376" s="10"/>
    </row>
    <row r="5377" spans="2:2" x14ac:dyDescent="0.2">
      <c r="B5377" s="10"/>
    </row>
    <row r="5378" spans="2:2" x14ac:dyDescent="0.2">
      <c r="B5378" s="10"/>
    </row>
    <row r="5379" spans="2:2" x14ac:dyDescent="0.2">
      <c r="B5379" s="10"/>
    </row>
    <row r="5380" spans="2:2" x14ac:dyDescent="0.2">
      <c r="B5380" s="10"/>
    </row>
    <row r="5381" spans="2:2" x14ac:dyDescent="0.2">
      <c r="B5381" s="10"/>
    </row>
    <row r="5382" spans="2:2" x14ac:dyDescent="0.2">
      <c r="B5382" s="10"/>
    </row>
    <row r="5383" spans="2:2" x14ac:dyDescent="0.2">
      <c r="B5383" s="10"/>
    </row>
    <row r="5384" spans="2:2" x14ac:dyDescent="0.2">
      <c r="B5384" s="10"/>
    </row>
    <row r="5385" spans="2:2" x14ac:dyDescent="0.2">
      <c r="B5385" s="10"/>
    </row>
    <row r="5386" spans="2:2" x14ac:dyDescent="0.2">
      <c r="B5386" s="10"/>
    </row>
    <row r="5387" spans="2:2" x14ac:dyDescent="0.2">
      <c r="B5387" s="10"/>
    </row>
    <row r="5388" spans="2:2" x14ac:dyDescent="0.2">
      <c r="B5388" s="10"/>
    </row>
    <row r="5389" spans="2:2" x14ac:dyDescent="0.2">
      <c r="B5389" s="10"/>
    </row>
    <row r="5390" spans="2:2" x14ac:dyDescent="0.2">
      <c r="B5390" s="10"/>
    </row>
    <row r="5391" spans="2:2" x14ac:dyDescent="0.2">
      <c r="B5391" s="10"/>
    </row>
    <row r="5392" spans="2:2" x14ac:dyDescent="0.2">
      <c r="B5392" s="10"/>
    </row>
    <row r="5393" spans="2:2" x14ac:dyDescent="0.2">
      <c r="B5393" s="10"/>
    </row>
    <row r="5394" spans="2:2" x14ac:dyDescent="0.2">
      <c r="B5394" s="10"/>
    </row>
    <row r="5395" spans="2:2" x14ac:dyDescent="0.2">
      <c r="B5395" s="10"/>
    </row>
    <row r="5396" spans="2:2" x14ac:dyDescent="0.2">
      <c r="B5396" s="10"/>
    </row>
    <row r="5397" spans="2:2" x14ac:dyDescent="0.2">
      <c r="B5397" s="10"/>
    </row>
    <row r="5398" spans="2:2" x14ac:dyDescent="0.2">
      <c r="B5398" s="10"/>
    </row>
    <row r="5399" spans="2:2" x14ac:dyDescent="0.2">
      <c r="B5399" s="10"/>
    </row>
    <row r="5400" spans="2:2" x14ac:dyDescent="0.2">
      <c r="B5400" s="10"/>
    </row>
    <row r="5401" spans="2:2" x14ac:dyDescent="0.2">
      <c r="B5401" s="10"/>
    </row>
    <row r="5402" spans="2:2" x14ac:dyDescent="0.2">
      <c r="B5402" s="10"/>
    </row>
    <row r="5403" spans="2:2" x14ac:dyDescent="0.2">
      <c r="B5403" s="10"/>
    </row>
    <row r="5404" spans="2:2" x14ac:dyDescent="0.2">
      <c r="B5404" s="10"/>
    </row>
    <row r="5405" spans="2:2" x14ac:dyDescent="0.2">
      <c r="B5405" s="10"/>
    </row>
    <row r="5406" spans="2:2" x14ac:dyDescent="0.2">
      <c r="B5406" s="10"/>
    </row>
    <row r="5407" spans="2:2" x14ac:dyDescent="0.2">
      <c r="B5407" s="10"/>
    </row>
    <row r="5408" spans="2:2" x14ac:dyDescent="0.2">
      <c r="B5408" s="10"/>
    </row>
    <row r="5409" spans="2:2" x14ac:dyDescent="0.2">
      <c r="B5409" s="10"/>
    </row>
    <row r="5410" spans="2:2" x14ac:dyDescent="0.2">
      <c r="B5410" s="10"/>
    </row>
    <row r="5411" spans="2:2" x14ac:dyDescent="0.2">
      <c r="B5411" s="10"/>
    </row>
    <row r="5412" spans="2:2" x14ac:dyDescent="0.2">
      <c r="B5412" s="10"/>
    </row>
    <row r="5413" spans="2:2" x14ac:dyDescent="0.2">
      <c r="B5413" s="10"/>
    </row>
    <row r="5414" spans="2:2" x14ac:dyDescent="0.2">
      <c r="B5414" s="10"/>
    </row>
    <row r="5415" spans="2:2" x14ac:dyDescent="0.2">
      <c r="B5415" s="10"/>
    </row>
    <row r="5416" spans="2:2" x14ac:dyDescent="0.2">
      <c r="B5416" s="10"/>
    </row>
    <row r="5417" spans="2:2" x14ac:dyDescent="0.2">
      <c r="B5417" s="10"/>
    </row>
    <row r="5418" spans="2:2" x14ac:dyDescent="0.2">
      <c r="B5418" s="10"/>
    </row>
    <row r="5419" spans="2:2" x14ac:dyDescent="0.2">
      <c r="B5419" s="10"/>
    </row>
    <row r="5420" spans="2:2" x14ac:dyDescent="0.2">
      <c r="B5420" s="10"/>
    </row>
    <row r="5421" spans="2:2" x14ac:dyDescent="0.2">
      <c r="B5421" s="10"/>
    </row>
    <row r="5422" spans="2:2" x14ac:dyDescent="0.2">
      <c r="B5422" s="10"/>
    </row>
    <row r="5423" spans="2:2" x14ac:dyDescent="0.2">
      <c r="B5423" s="10"/>
    </row>
    <row r="5424" spans="2:2" x14ac:dyDescent="0.2">
      <c r="B5424" s="10"/>
    </row>
    <row r="5425" spans="2:2" x14ac:dyDescent="0.2">
      <c r="B5425" s="10"/>
    </row>
    <row r="5426" spans="2:2" x14ac:dyDescent="0.2">
      <c r="B5426" s="10"/>
    </row>
    <row r="5427" spans="2:2" x14ac:dyDescent="0.2">
      <c r="B5427" s="10"/>
    </row>
    <row r="5428" spans="2:2" x14ac:dyDescent="0.2">
      <c r="B5428" s="10"/>
    </row>
    <row r="5429" spans="2:2" x14ac:dyDescent="0.2">
      <c r="B5429" s="10"/>
    </row>
    <row r="5430" spans="2:2" x14ac:dyDescent="0.2">
      <c r="B5430" s="10"/>
    </row>
    <row r="5431" spans="2:2" x14ac:dyDescent="0.2">
      <c r="B5431" s="10"/>
    </row>
    <row r="5432" spans="2:2" x14ac:dyDescent="0.2">
      <c r="B5432" s="10"/>
    </row>
    <row r="5433" spans="2:2" x14ac:dyDescent="0.2">
      <c r="B5433" s="10"/>
    </row>
    <row r="5434" spans="2:2" x14ac:dyDescent="0.2">
      <c r="B5434" s="10"/>
    </row>
    <row r="5435" spans="2:2" x14ac:dyDescent="0.2">
      <c r="B5435" s="10"/>
    </row>
    <row r="5436" spans="2:2" x14ac:dyDescent="0.2">
      <c r="B5436" s="10"/>
    </row>
    <row r="5437" spans="2:2" x14ac:dyDescent="0.2">
      <c r="B5437" s="10"/>
    </row>
    <row r="5438" spans="2:2" x14ac:dyDescent="0.2">
      <c r="B5438" s="10"/>
    </row>
    <row r="5439" spans="2:2" x14ac:dyDescent="0.2">
      <c r="B5439" s="10"/>
    </row>
    <row r="5440" spans="2:2" x14ac:dyDescent="0.2">
      <c r="B5440" s="10"/>
    </row>
    <row r="5441" spans="2:2" x14ac:dyDescent="0.2">
      <c r="B5441" s="10"/>
    </row>
    <row r="5442" spans="2:2" x14ac:dyDescent="0.2">
      <c r="B5442" s="10"/>
    </row>
    <row r="5443" spans="2:2" x14ac:dyDescent="0.2">
      <c r="B5443" s="10"/>
    </row>
    <row r="5444" spans="2:2" x14ac:dyDescent="0.2">
      <c r="B5444" s="10"/>
    </row>
    <row r="5445" spans="2:2" x14ac:dyDescent="0.2">
      <c r="B5445" s="10"/>
    </row>
    <row r="5446" spans="2:2" x14ac:dyDescent="0.2">
      <c r="B5446" s="10"/>
    </row>
    <row r="5447" spans="2:2" x14ac:dyDescent="0.2">
      <c r="B5447" s="10"/>
    </row>
    <row r="5448" spans="2:2" x14ac:dyDescent="0.2">
      <c r="B5448" s="10"/>
    </row>
    <row r="5449" spans="2:2" x14ac:dyDescent="0.2">
      <c r="B5449" s="10"/>
    </row>
    <row r="5450" spans="2:2" x14ac:dyDescent="0.2">
      <c r="B5450" s="10"/>
    </row>
    <row r="5451" spans="2:2" x14ac:dyDescent="0.2">
      <c r="B5451" s="10"/>
    </row>
    <row r="5452" spans="2:2" x14ac:dyDescent="0.2">
      <c r="B5452" s="10"/>
    </row>
    <row r="5453" spans="2:2" x14ac:dyDescent="0.2">
      <c r="B5453" s="10"/>
    </row>
    <row r="5454" spans="2:2" x14ac:dyDescent="0.2">
      <c r="B5454" s="10"/>
    </row>
    <row r="5455" spans="2:2" x14ac:dyDescent="0.2">
      <c r="B5455" s="10"/>
    </row>
    <row r="5456" spans="2:2" x14ac:dyDescent="0.2">
      <c r="B5456" s="10"/>
    </row>
    <row r="5457" spans="2:2" x14ac:dyDescent="0.2">
      <c r="B5457" s="10"/>
    </row>
    <row r="5458" spans="2:2" x14ac:dyDescent="0.2">
      <c r="B5458" s="10"/>
    </row>
    <row r="5459" spans="2:2" x14ac:dyDescent="0.2">
      <c r="B5459" s="10"/>
    </row>
    <row r="5460" spans="2:2" x14ac:dyDescent="0.2">
      <c r="B5460" s="10"/>
    </row>
    <row r="5461" spans="2:2" x14ac:dyDescent="0.2">
      <c r="B5461" s="10"/>
    </row>
    <row r="5462" spans="2:2" x14ac:dyDescent="0.2">
      <c r="B5462" s="10"/>
    </row>
    <row r="5463" spans="2:2" x14ac:dyDescent="0.2">
      <c r="B5463" s="10"/>
    </row>
    <row r="5464" spans="2:2" x14ac:dyDescent="0.2">
      <c r="B5464" s="10"/>
    </row>
    <row r="5465" spans="2:2" x14ac:dyDescent="0.2">
      <c r="B5465" s="10"/>
    </row>
    <row r="5466" spans="2:2" x14ac:dyDescent="0.2">
      <c r="B5466" s="10"/>
    </row>
    <row r="5467" spans="2:2" x14ac:dyDescent="0.2">
      <c r="B5467" s="10"/>
    </row>
    <row r="5468" spans="2:2" x14ac:dyDescent="0.2">
      <c r="B5468" s="10"/>
    </row>
    <row r="5469" spans="2:2" x14ac:dyDescent="0.2">
      <c r="B5469" s="10"/>
    </row>
    <row r="5470" spans="2:2" x14ac:dyDescent="0.2">
      <c r="B5470" s="10"/>
    </row>
    <row r="5471" spans="2:2" x14ac:dyDescent="0.2">
      <c r="B5471" s="10"/>
    </row>
    <row r="5472" spans="2:2" x14ac:dyDescent="0.2">
      <c r="B5472" s="10"/>
    </row>
    <row r="5473" spans="2:2" x14ac:dyDescent="0.2">
      <c r="B5473" s="10"/>
    </row>
    <row r="5474" spans="2:2" x14ac:dyDescent="0.2">
      <c r="B5474" s="10"/>
    </row>
    <row r="5475" spans="2:2" x14ac:dyDescent="0.2">
      <c r="B5475" s="10"/>
    </row>
    <row r="5476" spans="2:2" x14ac:dyDescent="0.2">
      <c r="B5476" s="10"/>
    </row>
    <row r="5477" spans="2:2" x14ac:dyDescent="0.2">
      <c r="B5477" s="10"/>
    </row>
    <row r="5478" spans="2:2" x14ac:dyDescent="0.2">
      <c r="B5478" s="10"/>
    </row>
    <row r="5479" spans="2:2" x14ac:dyDescent="0.2">
      <c r="B5479" s="10"/>
    </row>
    <row r="5480" spans="2:2" x14ac:dyDescent="0.2">
      <c r="B5480" s="10"/>
    </row>
    <row r="5481" spans="2:2" x14ac:dyDescent="0.2">
      <c r="B5481" s="10"/>
    </row>
    <row r="5482" spans="2:2" x14ac:dyDescent="0.2">
      <c r="B5482" s="10"/>
    </row>
    <row r="5483" spans="2:2" x14ac:dyDescent="0.2">
      <c r="B5483" s="10"/>
    </row>
    <row r="5484" spans="2:2" x14ac:dyDescent="0.2">
      <c r="B5484" s="10"/>
    </row>
    <row r="5485" spans="2:2" x14ac:dyDescent="0.2">
      <c r="B5485" s="10"/>
    </row>
    <row r="5486" spans="2:2" x14ac:dyDescent="0.2">
      <c r="B5486" s="10"/>
    </row>
    <row r="5487" spans="2:2" x14ac:dyDescent="0.2">
      <c r="B5487" s="10"/>
    </row>
    <row r="5488" spans="2:2" x14ac:dyDescent="0.2">
      <c r="B5488" s="10"/>
    </row>
    <row r="5489" spans="2:2" x14ac:dyDescent="0.2">
      <c r="B5489" s="10"/>
    </row>
    <row r="5490" spans="2:2" x14ac:dyDescent="0.2">
      <c r="B5490" s="10"/>
    </row>
    <row r="5491" spans="2:2" x14ac:dyDescent="0.2">
      <c r="B5491" s="10"/>
    </row>
    <row r="5492" spans="2:2" x14ac:dyDescent="0.2">
      <c r="B5492" s="10"/>
    </row>
    <row r="5493" spans="2:2" x14ac:dyDescent="0.2">
      <c r="B5493" s="10"/>
    </row>
    <row r="5494" spans="2:2" x14ac:dyDescent="0.2">
      <c r="B5494" s="10"/>
    </row>
    <row r="5495" spans="2:2" x14ac:dyDescent="0.2">
      <c r="B5495" s="10"/>
    </row>
    <row r="5496" spans="2:2" x14ac:dyDescent="0.2">
      <c r="B5496" s="10"/>
    </row>
    <row r="5497" spans="2:2" x14ac:dyDescent="0.2">
      <c r="B5497" s="10"/>
    </row>
    <row r="5498" spans="2:2" x14ac:dyDescent="0.2">
      <c r="B5498" s="10"/>
    </row>
    <row r="5499" spans="2:2" x14ac:dyDescent="0.2">
      <c r="B5499" s="10"/>
    </row>
    <row r="5500" spans="2:2" x14ac:dyDescent="0.2">
      <c r="B5500" s="10"/>
    </row>
    <row r="5501" spans="2:2" x14ac:dyDescent="0.2">
      <c r="B5501" s="10"/>
    </row>
    <row r="5502" spans="2:2" x14ac:dyDescent="0.2">
      <c r="B5502" s="10"/>
    </row>
    <row r="5503" spans="2:2" x14ac:dyDescent="0.2">
      <c r="B5503" s="10"/>
    </row>
    <row r="5504" spans="2:2" x14ac:dyDescent="0.2">
      <c r="B5504" s="10"/>
    </row>
    <row r="5505" spans="2:2" x14ac:dyDescent="0.2">
      <c r="B5505" s="10"/>
    </row>
    <row r="5506" spans="2:2" x14ac:dyDescent="0.2">
      <c r="B5506" s="10"/>
    </row>
    <row r="5507" spans="2:2" x14ac:dyDescent="0.2">
      <c r="B5507" s="10"/>
    </row>
    <row r="5508" spans="2:2" x14ac:dyDescent="0.2">
      <c r="B5508" s="10"/>
    </row>
    <row r="5509" spans="2:2" x14ac:dyDescent="0.2">
      <c r="B5509" s="10"/>
    </row>
    <row r="5510" spans="2:2" x14ac:dyDescent="0.2">
      <c r="B5510" s="10"/>
    </row>
    <row r="5511" spans="2:2" x14ac:dyDescent="0.2">
      <c r="B5511" s="10"/>
    </row>
    <row r="5512" spans="2:2" x14ac:dyDescent="0.2">
      <c r="B5512" s="10"/>
    </row>
    <row r="5513" spans="2:2" x14ac:dyDescent="0.2">
      <c r="B5513" s="10"/>
    </row>
    <row r="5514" spans="2:2" x14ac:dyDescent="0.2">
      <c r="B5514" s="10"/>
    </row>
    <row r="5515" spans="2:2" x14ac:dyDescent="0.2">
      <c r="B5515" s="10"/>
    </row>
    <row r="5516" spans="2:2" x14ac:dyDescent="0.2">
      <c r="B5516" s="10"/>
    </row>
    <row r="5517" spans="2:2" x14ac:dyDescent="0.2">
      <c r="B5517" s="10"/>
    </row>
    <row r="5518" spans="2:2" x14ac:dyDescent="0.2">
      <c r="B5518" s="10"/>
    </row>
    <row r="5519" spans="2:2" x14ac:dyDescent="0.2">
      <c r="B5519" s="10"/>
    </row>
    <row r="5520" spans="2:2" x14ac:dyDescent="0.2">
      <c r="B5520" s="10"/>
    </row>
    <row r="5521" spans="2:2" x14ac:dyDescent="0.2">
      <c r="B5521" s="10"/>
    </row>
    <row r="5522" spans="2:2" x14ac:dyDescent="0.2">
      <c r="B5522" s="10"/>
    </row>
    <row r="5523" spans="2:2" x14ac:dyDescent="0.2">
      <c r="B5523" s="10"/>
    </row>
    <row r="5524" spans="2:2" x14ac:dyDescent="0.2">
      <c r="B5524" s="10"/>
    </row>
    <row r="5525" spans="2:2" x14ac:dyDescent="0.2">
      <c r="B5525" s="10"/>
    </row>
    <row r="5526" spans="2:2" x14ac:dyDescent="0.2">
      <c r="B5526" s="10"/>
    </row>
    <row r="5527" spans="2:2" x14ac:dyDescent="0.2">
      <c r="B5527" s="10"/>
    </row>
    <row r="5528" spans="2:2" x14ac:dyDescent="0.2">
      <c r="B5528" s="10"/>
    </row>
    <row r="5529" spans="2:2" x14ac:dyDescent="0.2">
      <c r="B5529" s="10"/>
    </row>
    <row r="5530" spans="2:2" x14ac:dyDescent="0.2">
      <c r="B5530" s="10"/>
    </row>
    <row r="5531" spans="2:2" x14ac:dyDescent="0.2">
      <c r="B5531" s="10"/>
    </row>
    <row r="5532" spans="2:2" x14ac:dyDescent="0.2">
      <c r="B5532" s="10"/>
    </row>
    <row r="5533" spans="2:2" x14ac:dyDescent="0.2">
      <c r="B5533" s="10"/>
    </row>
    <row r="5534" spans="2:2" x14ac:dyDescent="0.2">
      <c r="B5534" s="10"/>
    </row>
    <row r="5535" spans="2:2" x14ac:dyDescent="0.2">
      <c r="B5535" s="10"/>
    </row>
    <row r="5536" spans="2:2" x14ac:dyDescent="0.2">
      <c r="B5536" s="10"/>
    </row>
    <row r="5537" spans="2:2" x14ac:dyDescent="0.2">
      <c r="B5537" s="10"/>
    </row>
    <row r="5538" spans="2:2" x14ac:dyDescent="0.2">
      <c r="B5538" s="10"/>
    </row>
    <row r="5539" spans="2:2" x14ac:dyDescent="0.2">
      <c r="B5539" s="10"/>
    </row>
    <row r="5540" spans="2:2" x14ac:dyDescent="0.2">
      <c r="B5540" s="10"/>
    </row>
    <row r="5541" spans="2:2" x14ac:dyDescent="0.2">
      <c r="B5541" s="10"/>
    </row>
    <row r="5542" spans="2:2" x14ac:dyDescent="0.2">
      <c r="B5542" s="10"/>
    </row>
    <row r="5543" spans="2:2" x14ac:dyDescent="0.2">
      <c r="B5543" s="10"/>
    </row>
    <row r="5544" spans="2:2" x14ac:dyDescent="0.2">
      <c r="B5544" s="10"/>
    </row>
    <row r="5545" spans="2:2" x14ac:dyDescent="0.2">
      <c r="B5545" s="10"/>
    </row>
    <row r="5546" spans="2:2" x14ac:dyDescent="0.2">
      <c r="B5546" s="10"/>
    </row>
    <row r="5547" spans="2:2" x14ac:dyDescent="0.2">
      <c r="B5547" s="10"/>
    </row>
    <row r="5548" spans="2:2" x14ac:dyDescent="0.2">
      <c r="B5548" s="10"/>
    </row>
    <row r="5549" spans="2:2" x14ac:dyDescent="0.2">
      <c r="B5549" s="10"/>
    </row>
    <row r="5550" spans="2:2" x14ac:dyDescent="0.2">
      <c r="B5550" s="10"/>
    </row>
    <row r="5551" spans="2:2" x14ac:dyDescent="0.2">
      <c r="B5551" s="10"/>
    </row>
    <row r="5552" spans="2:2" x14ac:dyDescent="0.2">
      <c r="B5552" s="10"/>
    </row>
    <row r="5553" spans="2:2" x14ac:dyDescent="0.2">
      <c r="B5553" s="10"/>
    </row>
    <row r="5554" spans="2:2" x14ac:dyDescent="0.2">
      <c r="B5554" s="10"/>
    </row>
    <row r="5555" spans="2:2" x14ac:dyDescent="0.2">
      <c r="B5555" s="10"/>
    </row>
    <row r="5556" spans="2:2" x14ac:dyDescent="0.2">
      <c r="B5556" s="10"/>
    </row>
    <row r="5557" spans="2:2" x14ac:dyDescent="0.2">
      <c r="B5557" s="10"/>
    </row>
    <row r="5558" spans="2:2" x14ac:dyDescent="0.2">
      <c r="B5558" s="10"/>
    </row>
    <row r="5559" spans="2:2" x14ac:dyDescent="0.2">
      <c r="B5559" s="10"/>
    </row>
    <row r="5560" spans="2:2" x14ac:dyDescent="0.2">
      <c r="B5560" s="10"/>
    </row>
    <row r="5561" spans="2:2" x14ac:dyDescent="0.2">
      <c r="B5561" s="10"/>
    </row>
    <row r="5562" spans="2:2" x14ac:dyDescent="0.2">
      <c r="B5562" s="10"/>
    </row>
    <row r="5563" spans="2:2" x14ac:dyDescent="0.2">
      <c r="B5563" s="10"/>
    </row>
    <row r="5564" spans="2:2" x14ac:dyDescent="0.2">
      <c r="B5564" s="10"/>
    </row>
    <row r="5565" spans="2:2" x14ac:dyDescent="0.2">
      <c r="B5565" s="10"/>
    </row>
    <row r="5566" spans="2:2" x14ac:dyDescent="0.2">
      <c r="B5566" s="10"/>
    </row>
    <row r="5567" spans="2:2" x14ac:dyDescent="0.2">
      <c r="B5567" s="10"/>
    </row>
    <row r="5568" spans="2:2" x14ac:dyDescent="0.2">
      <c r="B5568" s="10"/>
    </row>
    <row r="5569" spans="2:2" x14ac:dyDescent="0.2">
      <c r="B5569" s="10"/>
    </row>
    <row r="5570" spans="2:2" x14ac:dyDescent="0.2">
      <c r="B5570" s="10"/>
    </row>
    <row r="5571" spans="2:2" x14ac:dyDescent="0.2">
      <c r="B5571" s="10"/>
    </row>
    <row r="5572" spans="2:2" x14ac:dyDescent="0.2">
      <c r="B5572" s="10"/>
    </row>
    <row r="5573" spans="2:2" x14ac:dyDescent="0.2">
      <c r="B5573" s="10"/>
    </row>
    <row r="5574" spans="2:2" x14ac:dyDescent="0.2">
      <c r="B5574" s="10"/>
    </row>
    <row r="5575" spans="2:2" x14ac:dyDescent="0.2">
      <c r="B5575" s="10"/>
    </row>
    <row r="5576" spans="2:2" x14ac:dyDescent="0.2">
      <c r="B5576" s="10"/>
    </row>
    <row r="5577" spans="2:2" x14ac:dyDescent="0.2">
      <c r="B5577" s="10"/>
    </row>
    <row r="5578" spans="2:2" x14ac:dyDescent="0.2">
      <c r="B5578" s="10"/>
    </row>
    <row r="5579" spans="2:2" x14ac:dyDescent="0.2">
      <c r="B5579" s="10"/>
    </row>
    <row r="5580" spans="2:2" x14ac:dyDescent="0.2">
      <c r="B5580" s="10"/>
    </row>
    <row r="5581" spans="2:2" x14ac:dyDescent="0.2">
      <c r="B5581" s="10"/>
    </row>
    <row r="5582" spans="2:2" x14ac:dyDescent="0.2">
      <c r="B5582" s="10"/>
    </row>
    <row r="5583" spans="2:2" x14ac:dyDescent="0.2">
      <c r="B5583" s="10"/>
    </row>
    <row r="5584" spans="2:2" x14ac:dyDescent="0.2">
      <c r="B5584" s="10"/>
    </row>
    <row r="5585" spans="2:2" x14ac:dyDescent="0.2">
      <c r="B5585" s="10"/>
    </row>
    <row r="5586" spans="2:2" x14ac:dyDescent="0.2">
      <c r="B5586" s="10"/>
    </row>
    <row r="5587" spans="2:2" x14ac:dyDescent="0.2">
      <c r="B5587" s="10"/>
    </row>
    <row r="5588" spans="2:2" x14ac:dyDescent="0.2">
      <c r="B5588" s="10"/>
    </row>
    <row r="5589" spans="2:2" x14ac:dyDescent="0.2">
      <c r="B5589" s="10"/>
    </row>
    <row r="5590" spans="2:2" x14ac:dyDescent="0.2">
      <c r="B5590" s="10"/>
    </row>
    <row r="5591" spans="2:2" x14ac:dyDescent="0.2">
      <c r="B5591" s="10"/>
    </row>
    <row r="5592" spans="2:2" x14ac:dyDescent="0.2">
      <c r="B5592" s="10"/>
    </row>
    <row r="5593" spans="2:2" x14ac:dyDescent="0.2">
      <c r="B5593" s="10"/>
    </row>
    <row r="5594" spans="2:2" x14ac:dyDescent="0.2">
      <c r="B5594" s="10"/>
    </row>
    <row r="5595" spans="2:2" x14ac:dyDescent="0.2">
      <c r="B5595" s="10"/>
    </row>
    <row r="5596" spans="2:2" x14ac:dyDescent="0.2">
      <c r="B5596" s="10"/>
    </row>
    <row r="5597" spans="2:2" x14ac:dyDescent="0.2">
      <c r="B5597" s="10"/>
    </row>
    <row r="5598" spans="2:2" x14ac:dyDescent="0.2">
      <c r="B5598" s="10"/>
    </row>
    <row r="5599" spans="2:2" x14ac:dyDescent="0.2">
      <c r="B5599" s="10"/>
    </row>
    <row r="5600" spans="2:2" x14ac:dyDescent="0.2">
      <c r="B5600" s="10"/>
    </row>
    <row r="5601" spans="2:2" x14ac:dyDescent="0.2">
      <c r="B5601" s="10"/>
    </row>
    <row r="5602" spans="2:2" x14ac:dyDescent="0.2">
      <c r="B5602" s="10"/>
    </row>
    <row r="5603" spans="2:2" x14ac:dyDescent="0.2">
      <c r="B5603" s="10"/>
    </row>
    <row r="5604" spans="2:2" x14ac:dyDescent="0.2">
      <c r="B5604" s="10"/>
    </row>
    <row r="5605" spans="2:2" x14ac:dyDescent="0.2">
      <c r="B5605" s="10"/>
    </row>
    <row r="5606" spans="2:2" x14ac:dyDescent="0.2">
      <c r="B5606" s="10"/>
    </row>
    <row r="5607" spans="2:2" x14ac:dyDescent="0.2">
      <c r="B5607" s="10"/>
    </row>
    <row r="5608" spans="2:2" x14ac:dyDescent="0.2">
      <c r="B5608" s="10"/>
    </row>
    <row r="5609" spans="2:2" x14ac:dyDescent="0.2">
      <c r="B5609" s="10"/>
    </row>
    <row r="5610" spans="2:2" x14ac:dyDescent="0.2">
      <c r="B5610" s="10"/>
    </row>
    <row r="5611" spans="2:2" x14ac:dyDescent="0.2">
      <c r="B5611" s="10"/>
    </row>
    <row r="5612" spans="2:2" x14ac:dyDescent="0.2">
      <c r="B5612" s="10"/>
    </row>
    <row r="5613" spans="2:2" x14ac:dyDescent="0.2">
      <c r="B5613" s="10"/>
    </row>
    <row r="5614" spans="2:2" x14ac:dyDescent="0.2">
      <c r="B5614" s="10"/>
    </row>
    <row r="5615" spans="2:2" x14ac:dyDescent="0.2">
      <c r="B5615" s="10"/>
    </row>
    <row r="5616" spans="2:2" x14ac:dyDescent="0.2">
      <c r="B5616" s="10"/>
    </row>
    <row r="5617" spans="2:2" x14ac:dyDescent="0.2">
      <c r="B5617" s="10"/>
    </row>
    <row r="5618" spans="2:2" x14ac:dyDescent="0.2">
      <c r="B5618" s="10"/>
    </row>
    <row r="5619" spans="2:2" x14ac:dyDescent="0.2">
      <c r="B5619" s="10"/>
    </row>
    <row r="5620" spans="2:2" x14ac:dyDescent="0.2">
      <c r="B5620" s="10"/>
    </row>
    <row r="5621" spans="2:2" x14ac:dyDescent="0.2">
      <c r="B5621" s="10"/>
    </row>
    <row r="5622" spans="2:2" x14ac:dyDescent="0.2">
      <c r="B5622" s="10"/>
    </row>
    <row r="5623" spans="2:2" x14ac:dyDescent="0.2">
      <c r="B5623" s="10"/>
    </row>
    <row r="5624" spans="2:2" x14ac:dyDescent="0.2">
      <c r="B5624" s="10"/>
    </row>
    <row r="5625" spans="2:2" x14ac:dyDescent="0.2">
      <c r="B5625" s="10"/>
    </row>
    <row r="5626" spans="2:2" x14ac:dyDescent="0.2">
      <c r="B5626" s="10"/>
    </row>
    <row r="5627" spans="2:2" x14ac:dyDescent="0.2">
      <c r="B5627" s="10"/>
    </row>
    <row r="5628" spans="2:2" x14ac:dyDescent="0.2">
      <c r="B5628" s="10"/>
    </row>
    <row r="5629" spans="2:2" x14ac:dyDescent="0.2">
      <c r="B5629" s="10"/>
    </row>
    <row r="5630" spans="2:2" x14ac:dyDescent="0.2">
      <c r="B5630" s="10"/>
    </row>
    <row r="5631" spans="2:2" x14ac:dyDescent="0.2">
      <c r="B5631" s="10"/>
    </row>
    <row r="5632" spans="2:2" x14ac:dyDescent="0.2">
      <c r="B5632" s="10"/>
    </row>
    <row r="5633" spans="2:2" x14ac:dyDescent="0.2">
      <c r="B5633" s="10"/>
    </row>
    <row r="5634" spans="2:2" x14ac:dyDescent="0.2">
      <c r="B5634" s="10"/>
    </row>
    <row r="5635" spans="2:2" x14ac:dyDescent="0.2">
      <c r="B5635" s="10"/>
    </row>
    <row r="5636" spans="2:2" x14ac:dyDescent="0.2">
      <c r="B5636" s="10"/>
    </row>
    <row r="5637" spans="2:2" x14ac:dyDescent="0.2">
      <c r="B5637" s="10"/>
    </row>
    <row r="5638" spans="2:2" x14ac:dyDescent="0.2">
      <c r="B5638" s="10"/>
    </row>
    <row r="5639" spans="2:2" x14ac:dyDescent="0.2">
      <c r="B5639" s="10"/>
    </row>
    <row r="5640" spans="2:2" x14ac:dyDescent="0.2">
      <c r="B5640" s="10"/>
    </row>
    <row r="5641" spans="2:2" x14ac:dyDescent="0.2">
      <c r="B5641" s="10"/>
    </row>
    <row r="5642" spans="2:2" x14ac:dyDescent="0.2">
      <c r="B5642" s="10"/>
    </row>
    <row r="5643" spans="2:2" x14ac:dyDescent="0.2">
      <c r="B5643" s="10"/>
    </row>
    <row r="5644" spans="2:2" x14ac:dyDescent="0.2">
      <c r="B5644" s="10"/>
    </row>
    <row r="5645" spans="2:2" x14ac:dyDescent="0.2">
      <c r="B5645" s="10"/>
    </row>
    <row r="5646" spans="2:2" x14ac:dyDescent="0.2">
      <c r="B5646" s="10"/>
    </row>
    <row r="5647" spans="2:2" x14ac:dyDescent="0.2">
      <c r="B5647" s="10"/>
    </row>
    <row r="5648" spans="2:2" x14ac:dyDescent="0.2">
      <c r="B5648" s="10"/>
    </row>
    <row r="5649" spans="2:2" x14ac:dyDescent="0.2">
      <c r="B5649" s="10"/>
    </row>
    <row r="5650" spans="2:2" x14ac:dyDescent="0.2">
      <c r="B5650" s="10"/>
    </row>
    <row r="5651" spans="2:2" x14ac:dyDescent="0.2">
      <c r="B5651" s="10"/>
    </row>
    <row r="5652" spans="2:2" x14ac:dyDescent="0.2">
      <c r="B5652" s="10"/>
    </row>
    <row r="5653" spans="2:2" x14ac:dyDescent="0.2">
      <c r="B5653" s="10"/>
    </row>
    <row r="5654" spans="2:2" x14ac:dyDescent="0.2">
      <c r="B5654" s="10"/>
    </row>
    <row r="5655" spans="2:2" x14ac:dyDescent="0.2">
      <c r="B5655" s="10"/>
    </row>
    <row r="5656" spans="2:2" x14ac:dyDescent="0.2">
      <c r="B5656" s="10"/>
    </row>
    <row r="5657" spans="2:2" x14ac:dyDescent="0.2">
      <c r="B5657" s="10"/>
    </row>
    <row r="5658" spans="2:2" x14ac:dyDescent="0.2">
      <c r="B5658" s="10"/>
    </row>
    <row r="5659" spans="2:2" x14ac:dyDescent="0.2">
      <c r="B5659" s="10"/>
    </row>
    <row r="5660" spans="2:2" x14ac:dyDescent="0.2">
      <c r="B5660" s="10"/>
    </row>
    <row r="5661" spans="2:2" x14ac:dyDescent="0.2">
      <c r="B5661" s="10"/>
    </row>
    <row r="5662" spans="2:2" x14ac:dyDescent="0.2">
      <c r="B5662" s="10"/>
    </row>
    <row r="5663" spans="2:2" x14ac:dyDescent="0.2">
      <c r="B5663" s="10"/>
    </row>
    <row r="5664" spans="2:2" x14ac:dyDescent="0.2">
      <c r="B5664" s="10"/>
    </row>
    <row r="5665" spans="2:2" x14ac:dyDescent="0.2">
      <c r="B5665" s="10"/>
    </row>
    <row r="5666" spans="2:2" x14ac:dyDescent="0.2">
      <c r="B5666" s="10"/>
    </row>
    <row r="5667" spans="2:2" x14ac:dyDescent="0.2">
      <c r="B5667" s="10"/>
    </row>
    <row r="5668" spans="2:2" x14ac:dyDescent="0.2">
      <c r="B5668" s="10"/>
    </row>
    <row r="5669" spans="2:2" x14ac:dyDescent="0.2">
      <c r="B5669" s="10"/>
    </row>
    <row r="5670" spans="2:2" x14ac:dyDescent="0.2">
      <c r="B5670" s="10"/>
    </row>
    <row r="5671" spans="2:2" x14ac:dyDescent="0.2">
      <c r="B5671" s="10"/>
    </row>
    <row r="5672" spans="2:2" x14ac:dyDescent="0.2">
      <c r="B5672" s="10"/>
    </row>
    <row r="5673" spans="2:2" x14ac:dyDescent="0.2">
      <c r="B5673" s="10"/>
    </row>
    <row r="5674" spans="2:2" x14ac:dyDescent="0.2">
      <c r="B5674" s="10"/>
    </row>
    <row r="5675" spans="2:2" x14ac:dyDescent="0.2">
      <c r="B5675" s="10"/>
    </row>
    <row r="5676" spans="2:2" x14ac:dyDescent="0.2">
      <c r="B5676" s="10"/>
    </row>
    <row r="5677" spans="2:2" x14ac:dyDescent="0.2">
      <c r="B5677" s="10"/>
    </row>
    <row r="5678" spans="2:2" x14ac:dyDescent="0.2">
      <c r="B5678" s="10"/>
    </row>
    <row r="5679" spans="2:2" x14ac:dyDescent="0.2">
      <c r="B5679" s="10"/>
    </row>
    <row r="5680" spans="2:2" x14ac:dyDescent="0.2">
      <c r="B5680" s="10"/>
    </row>
    <row r="5681" spans="2:2" x14ac:dyDescent="0.2">
      <c r="B5681" s="10"/>
    </row>
    <row r="5682" spans="2:2" x14ac:dyDescent="0.2">
      <c r="B5682" s="10"/>
    </row>
    <row r="5683" spans="2:2" x14ac:dyDescent="0.2">
      <c r="B5683" s="10"/>
    </row>
    <row r="5684" spans="2:2" x14ac:dyDescent="0.2">
      <c r="B5684" s="10"/>
    </row>
    <row r="5685" spans="2:2" x14ac:dyDescent="0.2">
      <c r="B5685" s="10"/>
    </row>
    <row r="5686" spans="2:2" x14ac:dyDescent="0.2">
      <c r="B5686" s="10"/>
    </row>
    <row r="5687" spans="2:2" x14ac:dyDescent="0.2">
      <c r="B5687" s="10"/>
    </row>
    <row r="5688" spans="2:2" x14ac:dyDescent="0.2">
      <c r="B5688" s="10"/>
    </row>
    <row r="5689" spans="2:2" x14ac:dyDescent="0.2">
      <c r="B5689" s="10"/>
    </row>
    <row r="5690" spans="2:2" x14ac:dyDescent="0.2">
      <c r="B5690" s="10"/>
    </row>
    <row r="5691" spans="2:2" x14ac:dyDescent="0.2">
      <c r="B5691" s="10"/>
    </row>
    <row r="5692" spans="2:2" x14ac:dyDescent="0.2">
      <c r="B5692" s="10"/>
    </row>
    <row r="5693" spans="2:2" x14ac:dyDescent="0.2">
      <c r="B5693" s="10"/>
    </row>
    <row r="5694" spans="2:2" x14ac:dyDescent="0.2">
      <c r="B5694" s="10"/>
    </row>
    <row r="5695" spans="2:2" x14ac:dyDescent="0.2">
      <c r="B5695" s="10"/>
    </row>
    <row r="5696" spans="2:2" x14ac:dyDescent="0.2">
      <c r="B5696" s="10"/>
    </row>
    <row r="5697" spans="2:2" x14ac:dyDescent="0.2">
      <c r="B5697" s="10"/>
    </row>
    <row r="5698" spans="2:2" x14ac:dyDescent="0.2">
      <c r="B5698" s="10"/>
    </row>
    <row r="5699" spans="2:2" x14ac:dyDescent="0.2">
      <c r="B5699" s="10"/>
    </row>
    <row r="5700" spans="2:2" x14ac:dyDescent="0.2">
      <c r="B5700" s="10"/>
    </row>
    <row r="5701" spans="2:2" x14ac:dyDescent="0.2">
      <c r="B5701" s="10"/>
    </row>
    <row r="5702" spans="2:2" x14ac:dyDescent="0.2">
      <c r="B5702" s="10"/>
    </row>
    <row r="5703" spans="2:2" x14ac:dyDescent="0.2">
      <c r="B5703" s="10"/>
    </row>
    <row r="5704" spans="2:2" x14ac:dyDescent="0.2">
      <c r="B5704" s="10"/>
    </row>
    <row r="5705" spans="2:2" x14ac:dyDescent="0.2">
      <c r="B5705" s="10"/>
    </row>
    <row r="5706" spans="2:2" x14ac:dyDescent="0.2">
      <c r="B5706" s="10"/>
    </row>
    <row r="5707" spans="2:2" x14ac:dyDescent="0.2">
      <c r="B5707" s="10"/>
    </row>
    <row r="5708" spans="2:2" x14ac:dyDescent="0.2">
      <c r="B5708" s="10"/>
    </row>
    <row r="5709" spans="2:2" x14ac:dyDescent="0.2">
      <c r="B5709" s="10"/>
    </row>
    <row r="5710" spans="2:2" x14ac:dyDescent="0.2">
      <c r="B5710" s="10"/>
    </row>
    <row r="5711" spans="2:2" x14ac:dyDescent="0.2">
      <c r="B5711" s="10"/>
    </row>
    <row r="5712" spans="2:2" x14ac:dyDescent="0.2">
      <c r="B5712" s="10"/>
    </row>
    <row r="5713" spans="2:2" x14ac:dyDescent="0.2">
      <c r="B5713" s="10"/>
    </row>
    <row r="5714" spans="2:2" x14ac:dyDescent="0.2">
      <c r="B5714" s="10"/>
    </row>
    <row r="5715" spans="2:2" x14ac:dyDescent="0.2">
      <c r="B5715" s="10"/>
    </row>
    <row r="5716" spans="2:2" x14ac:dyDescent="0.2">
      <c r="B5716" s="10"/>
    </row>
    <row r="5717" spans="2:2" x14ac:dyDescent="0.2">
      <c r="B5717" s="10"/>
    </row>
    <row r="5718" spans="2:2" x14ac:dyDescent="0.2">
      <c r="B5718" s="10"/>
    </row>
    <row r="5719" spans="2:2" x14ac:dyDescent="0.2">
      <c r="B5719" s="10"/>
    </row>
    <row r="5720" spans="2:2" x14ac:dyDescent="0.2">
      <c r="B5720" s="10"/>
    </row>
    <row r="5721" spans="2:2" x14ac:dyDescent="0.2">
      <c r="B5721" s="10"/>
    </row>
    <row r="5722" spans="2:2" x14ac:dyDescent="0.2">
      <c r="B5722" s="10"/>
    </row>
    <row r="5723" spans="2:2" x14ac:dyDescent="0.2">
      <c r="B5723" s="10"/>
    </row>
    <row r="5724" spans="2:2" x14ac:dyDescent="0.2">
      <c r="B5724" s="10"/>
    </row>
    <row r="5725" spans="2:2" x14ac:dyDescent="0.2">
      <c r="B5725" s="10"/>
    </row>
    <row r="5726" spans="2:2" x14ac:dyDescent="0.2">
      <c r="B5726" s="10"/>
    </row>
    <row r="5727" spans="2:2" x14ac:dyDescent="0.2">
      <c r="B5727" s="10"/>
    </row>
    <row r="5728" spans="2:2" x14ac:dyDescent="0.2">
      <c r="B5728" s="10"/>
    </row>
    <row r="5729" spans="2:2" x14ac:dyDescent="0.2">
      <c r="B5729" s="10"/>
    </row>
    <row r="5730" spans="2:2" x14ac:dyDescent="0.2">
      <c r="B5730" s="10"/>
    </row>
    <row r="5731" spans="2:2" x14ac:dyDescent="0.2">
      <c r="B5731" s="10"/>
    </row>
    <row r="5732" spans="2:2" x14ac:dyDescent="0.2">
      <c r="B5732" s="10"/>
    </row>
    <row r="5733" spans="2:2" x14ac:dyDescent="0.2">
      <c r="B5733" s="10"/>
    </row>
    <row r="5734" spans="2:2" x14ac:dyDescent="0.2">
      <c r="B5734" s="10"/>
    </row>
    <row r="5735" spans="2:2" x14ac:dyDescent="0.2">
      <c r="B5735" s="10"/>
    </row>
    <row r="5736" spans="2:2" x14ac:dyDescent="0.2">
      <c r="B5736" s="10"/>
    </row>
    <row r="5737" spans="2:2" x14ac:dyDescent="0.2">
      <c r="B5737" s="10"/>
    </row>
    <row r="5738" spans="2:2" x14ac:dyDescent="0.2">
      <c r="B5738" s="10"/>
    </row>
    <row r="5739" spans="2:2" x14ac:dyDescent="0.2">
      <c r="B5739" s="10"/>
    </row>
    <row r="5740" spans="2:2" x14ac:dyDescent="0.2">
      <c r="B5740" s="10"/>
    </row>
    <row r="5741" spans="2:2" x14ac:dyDescent="0.2">
      <c r="B5741" s="10"/>
    </row>
    <row r="5742" spans="2:2" x14ac:dyDescent="0.2">
      <c r="B5742" s="10"/>
    </row>
    <row r="5743" spans="2:2" x14ac:dyDescent="0.2">
      <c r="B5743" s="10"/>
    </row>
    <row r="5744" spans="2:2" x14ac:dyDescent="0.2">
      <c r="B5744" s="10"/>
    </row>
    <row r="5745" spans="2:2" x14ac:dyDescent="0.2">
      <c r="B5745" s="10"/>
    </row>
    <row r="5746" spans="2:2" x14ac:dyDescent="0.2">
      <c r="B5746" s="10"/>
    </row>
    <row r="5747" spans="2:2" x14ac:dyDescent="0.2">
      <c r="B5747" s="10"/>
    </row>
    <row r="5748" spans="2:2" x14ac:dyDescent="0.2">
      <c r="B5748" s="10"/>
    </row>
    <row r="5749" spans="2:2" x14ac:dyDescent="0.2">
      <c r="B5749" s="10"/>
    </row>
    <row r="5750" spans="2:2" x14ac:dyDescent="0.2">
      <c r="B5750" s="10"/>
    </row>
    <row r="5751" spans="2:2" x14ac:dyDescent="0.2">
      <c r="B5751" s="10"/>
    </row>
    <row r="5752" spans="2:2" x14ac:dyDescent="0.2">
      <c r="B5752" s="10"/>
    </row>
    <row r="5753" spans="2:2" x14ac:dyDescent="0.2">
      <c r="B5753" s="10"/>
    </row>
    <row r="5754" spans="2:2" x14ac:dyDescent="0.2">
      <c r="B5754" s="10"/>
    </row>
    <row r="5755" spans="2:2" x14ac:dyDescent="0.2">
      <c r="B5755" s="10"/>
    </row>
    <row r="5756" spans="2:2" x14ac:dyDescent="0.2">
      <c r="B5756" s="10"/>
    </row>
    <row r="5757" spans="2:2" x14ac:dyDescent="0.2">
      <c r="B5757" s="10"/>
    </row>
    <row r="5758" spans="2:2" x14ac:dyDescent="0.2">
      <c r="B5758" s="10"/>
    </row>
    <row r="5759" spans="2:2" x14ac:dyDescent="0.2">
      <c r="B5759" s="10"/>
    </row>
    <row r="5760" spans="2:2" x14ac:dyDescent="0.2">
      <c r="B5760" s="10"/>
    </row>
    <row r="5761" spans="2:2" x14ac:dyDescent="0.2">
      <c r="B5761" s="10"/>
    </row>
    <row r="5762" spans="2:2" x14ac:dyDescent="0.2">
      <c r="B5762" s="10"/>
    </row>
    <row r="5763" spans="2:2" x14ac:dyDescent="0.2">
      <c r="B5763" s="10"/>
    </row>
    <row r="5764" spans="2:2" x14ac:dyDescent="0.2">
      <c r="B5764" s="10"/>
    </row>
    <row r="5765" spans="2:2" x14ac:dyDescent="0.2">
      <c r="B5765" s="10"/>
    </row>
    <row r="5766" spans="2:2" x14ac:dyDescent="0.2">
      <c r="B5766" s="10"/>
    </row>
    <row r="5767" spans="2:2" x14ac:dyDescent="0.2">
      <c r="B5767" s="10"/>
    </row>
    <row r="5768" spans="2:2" x14ac:dyDescent="0.2">
      <c r="B5768" s="10"/>
    </row>
    <row r="5769" spans="2:2" x14ac:dyDescent="0.2">
      <c r="B5769" s="10"/>
    </row>
    <row r="5770" spans="2:2" x14ac:dyDescent="0.2">
      <c r="B5770" s="10"/>
    </row>
    <row r="5771" spans="2:2" x14ac:dyDescent="0.2">
      <c r="B5771" s="10"/>
    </row>
    <row r="5772" spans="2:2" x14ac:dyDescent="0.2">
      <c r="B5772" s="10"/>
    </row>
    <row r="5773" spans="2:2" x14ac:dyDescent="0.2">
      <c r="B5773" s="10"/>
    </row>
    <row r="5774" spans="2:2" x14ac:dyDescent="0.2">
      <c r="B5774" s="10"/>
    </row>
    <row r="5775" spans="2:2" x14ac:dyDescent="0.2">
      <c r="B5775" s="10"/>
    </row>
    <row r="5776" spans="2:2" x14ac:dyDescent="0.2">
      <c r="B5776" s="10"/>
    </row>
    <row r="5777" spans="2:2" x14ac:dyDescent="0.2">
      <c r="B5777" s="10"/>
    </row>
    <row r="5778" spans="2:2" x14ac:dyDescent="0.2">
      <c r="B5778" s="10"/>
    </row>
    <row r="5779" spans="2:2" x14ac:dyDescent="0.2">
      <c r="B5779" s="10"/>
    </row>
    <row r="5780" spans="2:2" x14ac:dyDescent="0.2">
      <c r="B5780" s="10"/>
    </row>
    <row r="5781" spans="2:2" x14ac:dyDescent="0.2">
      <c r="B5781" s="10"/>
    </row>
    <row r="5782" spans="2:2" x14ac:dyDescent="0.2">
      <c r="B5782" s="10"/>
    </row>
    <row r="5783" spans="2:2" x14ac:dyDescent="0.2">
      <c r="B5783" s="10"/>
    </row>
    <row r="5784" spans="2:2" x14ac:dyDescent="0.2">
      <c r="B5784" s="10"/>
    </row>
    <row r="5785" spans="2:2" x14ac:dyDescent="0.2">
      <c r="B5785" s="10"/>
    </row>
    <row r="5786" spans="2:2" x14ac:dyDescent="0.2">
      <c r="B5786" s="10"/>
    </row>
    <row r="5787" spans="2:2" x14ac:dyDescent="0.2">
      <c r="B5787" s="10"/>
    </row>
    <row r="5788" spans="2:2" x14ac:dyDescent="0.2">
      <c r="B5788" s="10"/>
    </row>
    <row r="5789" spans="2:2" x14ac:dyDescent="0.2">
      <c r="B5789" s="10"/>
    </row>
    <row r="5790" spans="2:2" x14ac:dyDescent="0.2">
      <c r="B5790" s="10"/>
    </row>
    <row r="5791" spans="2:2" x14ac:dyDescent="0.2">
      <c r="B5791" s="10"/>
    </row>
    <row r="5792" spans="2:2" x14ac:dyDescent="0.2">
      <c r="B5792" s="10"/>
    </row>
    <row r="5793" spans="2:2" x14ac:dyDescent="0.2">
      <c r="B5793" s="10"/>
    </row>
    <row r="5794" spans="2:2" x14ac:dyDescent="0.2">
      <c r="B5794" s="10"/>
    </row>
    <row r="5795" spans="2:2" x14ac:dyDescent="0.2">
      <c r="B5795" s="10"/>
    </row>
    <row r="5796" spans="2:2" x14ac:dyDescent="0.2">
      <c r="B5796" s="10"/>
    </row>
    <row r="5797" spans="2:2" x14ac:dyDescent="0.2">
      <c r="B5797" s="10"/>
    </row>
    <row r="5798" spans="2:2" x14ac:dyDescent="0.2">
      <c r="B5798" s="10"/>
    </row>
    <row r="5799" spans="2:2" x14ac:dyDescent="0.2">
      <c r="B5799" s="10"/>
    </row>
    <row r="5800" spans="2:2" x14ac:dyDescent="0.2">
      <c r="B5800" s="10"/>
    </row>
    <row r="5801" spans="2:2" x14ac:dyDescent="0.2">
      <c r="B5801" s="10"/>
    </row>
    <row r="5802" spans="2:2" x14ac:dyDescent="0.2">
      <c r="B5802" s="10"/>
    </row>
    <row r="5803" spans="2:2" x14ac:dyDescent="0.2">
      <c r="B5803" s="10"/>
    </row>
    <row r="5804" spans="2:2" x14ac:dyDescent="0.2">
      <c r="B5804" s="10"/>
    </row>
    <row r="5805" spans="2:2" x14ac:dyDescent="0.2">
      <c r="B5805" s="10"/>
    </row>
    <row r="5806" spans="2:2" x14ac:dyDescent="0.2">
      <c r="B5806" s="10"/>
    </row>
    <row r="5807" spans="2:2" x14ac:dyDescent="0.2">
      <c r="B5807" s="10"/>
    </row>
    <row r="5808" spans="2:2" x14ac:dyDescent="0.2">
      <c r="B5808" s="10"/>
    </row>
    <row r="5809" spans="2:2" x14ac:dyDescent="0.2">
      <c r="B5809" s="10"/>
    </row>
    <row r="5810" spans="2:2" x14ac:dyDescent="0.2">
      <c r="B5810" s="10"/>
    </row>
    <row r="5811" spans="2:2" x14ac:dyDescent="0.2">
      <c r="B5811" s="10"/>
    </row>
    <row r="5812" spans="2:2" x14ac:dyDescent="0.2">
      <c r="B5812" s="10"/>
    </row>
    <row r="5813" spans="2:2" x14ac:dyDescent="0.2">
      <c r="B5813" s="10"/>
    </row>
    <row r="5814" spans="2:2" x14ac:dyDescent="0.2">
      <c r="B5814" s="10"/>
    </row>
    <row r="5815" spans="2:2" x14ac:dyDescent="0.2">
      <c r="B5815" s="10"/>
    </row>
    <row r="5816" spans="2:2" x14ac:dyDescent="0.2">
      <c r="B5816" s="10"/>
    </row>
    <row r="5817" spans="2:2" x14ac:dyDescent="0.2">
      <c r="B5817" s="10"/>
    </row>
    <row r="5818" spans="2:2" x14ac:dyDescent="0.2">
      <c r="B5818" s="10"/>
    </row>
    <row r="5819" spans="2:2" x14ac:dyDescent="0.2">
      <c r="B5819" s="10"/>
    </row>
    <row r="5820" spans="2:2" x14ac:dyDescent="0.2">
      <c r="B5820" s="10"/>
    </row>
    <row r="5821" spans="2:2" x14ac:dyDescent="0.2">
      <c r="B5821" s="10"/>
    </row>
    <row r="5822" spans="2:2" x14ac:dyDescent="0.2">
      <c r="B5822" s="10"/>
    </row>
    <row r="5823" spans="2:2" x14ac:dyDescent="0.2">
      <c r="B5823" s="10"/>
    </row>
    <row r="5824" spans="2:2" x14ac:dyDescent="0.2">
      <c r="B5824" s="10"/>
    </row>
    <row r="5825" spans="2:2" x14ac:dyDescent="0.2">
      <c r="B5825" s="10"/>
    </row>
    <row r="5826" spans="2:2" x14ac:dyDescent="0.2">
      <c r="B5826" s="10"/>
    </row>
    <row r="5827" spans="2:2" x14ac:dyDescent="0.2">
      <c r="B5827" s="10"/>
    </row>
    <row r="5828" spans="2:2" x14ac:dyDescent="0.2">
      <c r="B5828" s="10"/>
    </row>
    <row r="5829" spans="2:2" x14ac:dyDescent="0.2">
      <c r="B5829" s="10"/>
    </row>
    <row r="5830" spans="2:2" x14ac:dyDescent="0.2">
      <c r="B5830" s="10"/>
    </row>
    <row r="5831" spans="2:2" x14ac:dyDescent="0.2">
      <c r="B5831" s="10"/>
    </row>
    <row r="5832" spans="2:2" x14ac:dyDescent="0.2">
      <c r="B5832" s="10"/>
    </row>
    <row r="5833" spans="2:2" x14ac:dyDescent="0.2">
      <c r="B5833" s="10"/>
    </row>
    <row r="5834" spans="2:2" x14ac:dyDescent="0.2">
      <c r="B5834" s="10"/>
    </row>
    <row r="5835" spans="2:2" x14ac:dyDescent="0.2">
      <c r="B5835" s="10"/>
    </row>
    <row r="5836" spans="2:2" x14ac:dyDescent="0.2">
      <c r="B5836" s="10"/>
    </row>
    <row r="5837" spans="2:2" x14ac:dyDescent="0.2">
      <c r="B5837" s="10"/>
    </row>
    <row r="5838" spans="2:2" x14ac:dyDescent="0.2">
      <c r="B5838" s="10"/>
    </row>
    <row r="5839" spans="2:2" x14ac:dyDescent="0.2">
      <c r="B5839" s="10"/>
    </row>
    <row r="5840" spans="2:2" x14ac:dyDescent="0.2">
      <c r="B5840" s="10"/>
    </row>
    <row r="5841" spans="2:2" x14ac:dyDescent="0.2">
      <c r="B5841" s="10"/>
    </row>
    <row r="5842" spans="2:2" x14ac:dyDescent="0.2">
      <c r="B5842" s="10"/>
    </row>
    <row r="5843" spans="2:2" x14ac:dyDescent="0.2">
      <c r="B5843" s="10"/>
    </row>
    <row r="5844" spans="2:2" x14ac:dyDescent="0.2">
      <c r="B5844" s="10"/>
    </row>
    <row r="5845" spans="2:2" x14ac:dyDescent="0.2">
      <c r="B5845" s="10"/>
    </row>
    <row r="5846" spans="2:2" x14ac:dyDescent="0.2">
      <c r="B5846" s="10"/>
    </row>
    <row r="5847" spans="2:2" x14ac:dyDescent="0.2">
      <c r="B5847" s="10"/>
    </row>
    <row r="5848" spans="2:2" x14ac:dyDescent="0.2">
      <c r="B5848" s="10"/>
    </row>
    <row r="5849" spans="2:2" x14ac:dyDescent="0.2">
      <c r="B5849" s="10"/>
    </row>
    <row r="5850" spans="2:2" x14ac:dyDescent="0.2">
      <c r="B5850" s="10"/>
    </row>
    <row r="5851" spans="2:2" x14ac:dyDescent="0.2">
      <c r="B5851" s="10"/>
    </row>
    <row r="5852" spans="2:2" x14ac:dyDescent="0.2">
      <c r="B5852" s="10"/>
    </row>
    <row r="5853" spans="2:2" x14ac:dyDescent="0.2">
      <c r="B5853" s="10"/>
    </row>
    <row r="5854" spans="2:2" x14ac:dyDescent="0.2">
      <c r="B5854" s="10"/>
    </row>
    <row r="5855" spans="2:2" x14ac:dyDescent="0.2">
      <c r="B5855" s="10"/>
    </row>
    <row r="5856" spans="2:2" x14ac:dyDescent="0.2">
      <c r="B5856" s="10"/>
    </row>
    <row r="5857" spans="2:2" x14ac:dyDescent="0.2">
      <c r="B5857" s="10"/>
    </row>
    <row r="5858" spans="2:2" x14ac:dyDescent="0.2">
      <c r="B5858" s="10"/>
    </row>
    <row r="5859" spans="2:2" x14ac:dyDescent="0.2">
      <c r="B5859" s="10"/>
    </row>
    <row r="5860" spans="2:2" x14ac:dyDescent="0.2">
      <c r="B5860" s="10"/>
    </row>
    <row r="5861" spans="2:2" x14ac:dyDescent="0.2">
      <c r="B5861" s="10"/>
    </row>
    <row r="5862" spans="2:2" x14ac:dyDescent="0.2">
      <c r="B5862" s="10"/>
    </row>
    <row r="5863" spans="2:2" x14ac:dyDescent="0.2">
      <c r="B5863" s="10"/>
    </row>
    <row r="5864" spans="2:2" x14ac:dyDescent="0.2">
      <c r="B5864" s="10"/>
    </row>
    <row r="5865" spans="2:2" x14ac:dyDescent="0.2">
      <c r="B5865" s="10"/>
    </row>
    <row r="5866" spans="2:2" x14ac:dyDescent="0.2">
      <c r="B5866" s="10"/>
    </row>
    <row r="5867" spans="2:2" x14ac:dyDescent="0.2">
      <c r="B5867" s="10"/>
    </row>
    <row r="5868" spans="2:2" x14ac:dyDescent="0.2">
      <c r="B5868" s="10"/>
    </row>
    <row r="5869" spans="2:2" x14ac:dyDescent="0.2">
      <c r="B5869" s="10"/>
    </row>
    <row r="5870" spans="2:2" x14ac:dyDescent="0.2">
      <c r="B5870" s="10"/>
    </row>
    <row r="5871" spans="2:2" x14ac:dyDescent="0.2">
      <c r="B5871" s="10"/>
    </row>
    <row r="5872" spans="2:2" x14ac:dyDescent="0.2">
      <c r="B5872" s="10"/>
    </row>
    <row r="5873" spans="2:2" x14ac:dyDescent="0.2">
      <c r="B5873" s="10"/>
    </row>
    <row r="5874" spans="2:2" x14ac:dyDescent="0.2">
      <c r="B5874" s="10"/>
    </row>
    <row r="5875" spans="2:2" x14ac:dyDescent="0.2">
      <c r="B5875" s="10"/>
    </row>
    <row r="5876" spans="2:2" x14ac:dyDescent="0.2">
      <c r="B5876" s="10"/>
    </row>
    <row r="5877" spans="2:2" x14ac:dyDescent="0.2">
      <c r="B5877" s="10"/>
    </row>
    <row r="5878" spans="2:2" x14ac:dyDescent="0.2">
      <c r="B5878" s="10"/>
    </row>
    <row r="5879" spans="2:2" x14ac:dyDescent="0.2">
      <c r="B5879" s="10"/>
    </row>
    <row r="5880" spans="2:2" x14ac:dyDescent="0.2">
      <c r="B5880" s="10"/>
    </row>
    <row r="5881" spans="2:2" x14ac:dyDescent="0.2">
      <c r="B5881" s="10"/>
    </row>
    <row r="5882" spans="2:2" x14ac:dyDescent="0.2">
      <c r="B5882" s="10"/>
    </row>
    <row r="5883" spans="2:2" x14ac:dyDescent="0.2">
      <c r="B5883" s="10"/>
    </row>
    <row r="5884" spans="2:2" x14ac:dyDescent="0.2">
      <c r="B5884" s="10"/>
    </row>
    <row r="5885" spans="2:2" x14ac:dyDescent="0.2">
      <c r="B5885" s="10"/>
    </row>
    <row r="5886" spans="2:2" x14ac:dyDescent="0.2">
      <c r="B5886" s="10"/>
    </row>
    <row r="5887" spans="2:2" x14ac:dyDescent="0.2">
      <c r="B5887" s="10"/>
    </row>
    <row r="5888" spans="2:2" x14ac:dyDescent="0.2">
      <c r="B5888" s="10"/>
    </row>
    <row r="5889" spans="2:2" x14ac:dyDescent="0.2">
      <c r="B5889" s="10"/>
    </row>
    <row r="5890" spans="2:2" x14ac:dyDescent="0.2">
      <c r="B5890" s="10"/>
    </row>
    <row r="5891" spans="2:2" x14ac:dyDescent="0.2">
      <c r="B5891" s="10"/>
    </row>
    <row r="5892" spans="2:2" x14ac:dyDescent="0.2">
      <c r="B5892" s="10"/>
    </row>
    <row r="5893" spans="2:2" x14ac:dyDescent="0.2">
      <c r="B5893" s="10"/>
    </row>
    <row r="5894" spans="2:2" x14ac:dyDescent="0.2">
      <c r="B5894" s="10"/>
    </row>
    <row r="5895" spans="2:2" x14ac:dyDescent="0.2">
      <c r="B5895" s="10"/>
    </row>
    <row r="5896" spans="2:2" x14ac:dyDescent="0.2">
      <c r="B5896" s="10"/>
    </row>
    <row r="5897" spans="2:2" x14ac:dyDescent="0.2">
      <c r="B5897" s="10"/>
    </row>
    <row r="5898" spans="2:2" x14ac:dyDescent="0.2">
      <c r="B5898" s="10"/>
    </row>
    <row r="5899" spans="2:2" x14ac:dyDescent="0.2">
      <c r="B5899" s="10"/>
    </row>
    <row r="5900" spans="2:2" x14ac:dyDescent="0.2">
      <c r="B5900" s="10"/>
    </row>
    <row r="5901" spans="2:2" x14ac:dyDescent="0.2">
      <c r="B5901" s="10"/>
    </row>
    <row r="5902" spans="2:2" x14ac:dyDescent="0.2">
      <c r="B5902" s="10"/>
    </row>
    <row r="5903" spans="2:2" x14ac:dyDescent="0.2">
      <c r="B5903" s="10"/>
    </row>
    <row r="5904" spans="2:2" x14ac:dyDescent="0.2">
      <c r="B5904" s="10"/>
    </row>
    <row r="5905" spans="2:2" x14ac:dyDescent="0.2">
      <c r="B5905" s="10"/>
    </row>
    <row r="5906" spans="2:2" x14ac:dyDescent="0.2">
      <c r="B5906" s="10"/>
    </row>
    <row r="5907" spans="2:2" x14ac:dyDescent="0.2">
      <c r="B5907" s="10"/>
    </row>
    <row r="5908" spans="2:2" x14ac:dyDescent="0.2">
      <c r="B5908" s="10"/>
    </row>
    <row r="5909" spans="2:2" x14ac:dyDescent="0.2">
      <c r="B5909" s="10"/>
    </row>
    <row r="5910" spans="2:2" x14ac:dyDescent="0.2">
      <c r="B5910" s="10"/>
    </row>
    <row r="5911" spans="2:2" x14ac:dyDescent="0.2">
      <c r="B5911" s="10"/>
    </row>
    <row r="5912" spans="2:2" x14ac:dyDescent="0.2">
      <c r="B5912" s="10"/>
    </row>
    <row r="5913" spans="2:2" x14ac:dyDescent="0.2">
      <c r="B5913" s="10"/>
    </row>
    <row r="5914" spans="2:2" x14ac:dyDescent="0.2">
      <c r="B5914" s="10"/>
    </row>
    <row r="5915" spans="2:2" x14ac:dyDescent="0.2">
      <c r="B5915" s="10"/>
    </row>
    <row r="5916" spans="2:2" x14ac:dyDescent="0.2">
      <c r="B5916" s="10"/>
    </row>
    <row r="5917" spans="2:2" x14ac:dyDescent="0.2">
      <c r="B5917" s="10"/>
    </row>
    <row r="5918" spans="2:2" x14ac:dyDescent="0.2">
      <c r="B5918" s="10"/>
    </row>
    <row r="5919" spans="2:2" x14ac:dyDescent="0.2">
      <c r="B5919" s="10"/>
    </row>
    <row r="5920" spans="2:2" x14ac:dyDescent="0.2">
      <c r="B5920" s="10"/>
    </row>
    <row r="5921" spans="2:2" x14ac:dyDescent="0.2">
      <c r="B5921" s="10"/>
    </row>
    <row r="5922" spans="2:2" x14ac:dyDescent="0.2">
      <c r="B5922" s="10"/>
    </row>
    <row r="5923" spans="2:2" x14ac:dyDescent="0.2">
      <c r="B5923" s="10"/>
    </row>
    <row r="5924" spans="2:2" x14ac:dyDescent="0.2">
      <c r="B5924" s="10"/>
    </row>
    <row r="5925" spans="2:2" x14ac:dyDescent="0.2">
      <c r="B5925" s="10"/>
    </row>
    <row r="5926" spans="2:2" x14ac:dyDescent="0.2">
      <c r="B5926" s="10"/>
    </row>
    <row r="5927" spans="2:2" x14ac:dyDescent="0.2">
      <c r="B5927" s="10"/>
    </row>
    <row r="5928" spans="2:2" x14ac:dyDescent="0.2">
      <c r="B5928" s="10"/>
    </row>
    <row r="5929" spans="2:2" x14ac:dyDescent="0.2">
      <c r="B5929" s="10"/>
    </row>
    <row r="5930" spans="2:2" x14ac:dyDescent="0.2">
      <c r="B5930" s="10"/>
    </row>
    <row r="5931" spans="2:2" x14ac:dyDescent="0.2">
      <c r="B5931" s="10"/>
    </row>
    <row r="5932" spans="2:2" x14ac:dyDescent="0.2">
      <c r="B5932" s="10"/>
    </row>
    <row r="5933" spans="2:2" x14ac:dyDescent="0.2">
      <c r="B5933" s="10"/>
    </row>
    <row r="5934" spans="2:2" x14ac:dyDescent="0.2">
      <c r="B5934" s="10"/>
    </row>
    <row r="5935" spans="2:2" x14ac:dyDescent="0.2">
      <c r="B5935" s="10"/>
    </row>
    <row r="5936" spans="2:2" x14ac:dyDescent="0.2">
      <c r="B5936" s="10"/>
    </row>
    <row r="5937" spans="2:2" x14ac:dyDescent="0.2">
      <c r="B5937" s="10"/>
    </row>
    <row r="5938" spans="2:2" x14ac:dyDescent="0.2">
      <c r="B5938" s="10"/>
    </row>
    <row r="5939" spans="2:2" x14ac:dyDescent="0.2">
      <c r="B5939" s="10"/>
    </row>
    <row r="5940" spans="2:2" x14ac:dyDescent="0.2">
      <c r="B5940" s="10"/>
    </row>
    <row r="5941" spans="2:2" x14ac:dyDescent="0.2">
      <c r="B5941" s="10"/>
    </row>
    <row r="5942" spans="2:2" x14ac:dyDescent="0.2">
      <c r="B5942" s="10"/>
    </row>
    <row r="5943" spans="2:2" x14ac:dyDescent="0.2">
      <c r="B5943" s="10"/>
    </row>
    <row r="5944" spans="2:2" x14ac:dyDescent="0.2">
      <c r="B5944" s="10"/>
    </row>
    <row r="5945" spans="2:2" x14ac:dyDescent="0.2">
      <c r="B5945" s="10"/>
    </row>
    <row r="5946" spans="2:2" x14ac:dyDescent="0.2">
      <c r="B5946" s="10"/>
    </row>
    <row r="5947" spans="2:2" x14ac:dyDescent="0.2">
      <c r="B5947" s="10"/>
    </row>
    <row r="5948" spans="2:2" x14ac:dyDescent="0.2">
      <c r="B5948" s="10"/>
    </row>
    <row r="5949" spans="2:2" x14ac:dyDescent="0.2">
      <c r="B5949" s="10"/>
    </row>
    <row r="5950" spans="2:2" x14ac:dyDescent="0.2">
      <c r="B5950" s="10"/>
    </row>
    <row r="5951" spans="2:2" x14ac:dyDescent="0.2">
      <c r="B5951" s="10"/>
    </row>
    <row r="5952" spans="2:2" x14ac:dyDescent="0.2">
      <c r="B5952" s="10"/>
    </row>
    <row r="5953" spans="2:2" x14ac:dyDescent="0.2">
      <c r="B5953" s="10"/>
    </row>
    <row r="5954" spans="2:2" x14ac:dyDescent="0.2">
      <c r="B5954" s="10"/>
    </row>
    <row r="5955" spans="2:2" x14ac:dyDescent="0.2">
      <c r="B5955" s="10"/>
    </row>
    <row r="5956" spans="2:2" x14ac:dyDescent="0.2">
      <c r="B5956" s="10"/>
    </row>
    <row r="5957" spans="2:2" x14ac:dyDescent="0.2">
      <c r="B5957" s="10"/>
    </row>
    <row r="5958" spans="2:2" x14ac:dyDescent="0.2">
      <c r="B5958" s="10"/>
    </row>
    <row r="5959" spans="2:2" x14ac:dyDescent="0.2">
      <c r="B5959" s="10"/>
    </row>
    <row r="5960" spans="2:2" x14ac:dyDescent="0.2">
      <c r="B5960" s="10"/>
    </row>
    <row r="5961" spans="2:2" x14ac:dyDescent="0.2">
      <c r="B5961" s="10"/>
    </row>
    <row r="5962" spans="2:2" x14ac:dyDescent="0.2">
      <c r="B5962" s="10"/>
    </row>
    <row r="5963" spans="2:2" x14ac:dyDescent="0.2">
      <c r="B5963" s="10"/>
    </row>
    <row r="5964" spans="2:2" x14ac:dyDescent="0.2">
      <c r="B5964" s="10"/>
    </row>
    <row r="5965" spans="2:2" x14ac:dyDescent="0.2">
      <c r="B5965" s="10"/>
    </row>
    <row r="5966" spans="2:2" x14ac:dyDescent="0.2">
      <c r="B5966" s="10"/>
    </row>
    <row r="5967" spans="2:2" x14ac:dyDescent="0.2">
      <c r="B5967" s="10"/>
    </row>
    <row r="5968" spans="2:2" x14ac:dyDescent="0.2">
      <c r="B5968" s="10"/>
    </row>
    <row r="5969" spans="2:2" x14ac:dyDescent="0.2">
      <c r="B5969" s="10"/>
    </row>
    <row r="5970" spans="2:2" x14ac:dyDescent="0.2">
      <c r="B5970" s="10"/>
    </row>
    <row r="5971" spans="2:2" x14ac:dyDescent="0.2">
      <c r="B5971" s="10"/>
    </row>
    <row r="5972" spans="2:2" x14ac:dyDescent="0.2">
      <c r="B5972" s="10"/>
    </row>
    <row r="5973" spans="2:2" x14ac:dyDescent="0.2">
      <c r="B5973" s="10"/>
    </row>
    <row r="5974" spans="2:2" x14ac:dyDescent="0.2">
      <c r="B5974" s="10"/>
    </row>
    <row r="5975" spans="2:2" x14ac:dyDescent="0.2">
      <c r="B5975" s="10"/>
    </row>
    <row r="5976" spans="2:2" x14ac:dyDescent="0.2">
      <c r="B5976" s="10"/>
    </row>
    <row r="5977" spans="2:2" x14ac:dyDescent="0.2">
      <c r="B5977" s="10"/>
    </row>
    <row r="5978" spans="2:2" x14ac:dyDescent="0.2">
      <c r="B5978" s="10"/>
    </row>
    <row r="5979" spans="2:2" x14ac:dyDescent="0.2">
      <c r="B5979" s="10"/>
    </row>
    <row r="5980" spans="2:2" x14ac:dyDescent="0.2">
      <c r="B5980" s="10"/>
    </row>
    <row r="5981" spans="2:2" x14ac:dyDescent="0.2">
      <c r="B5981" s="10"/>
    </row>
    <row r="5982" spans="2:2" x14ac:dyDescent="0.2">
      <c r="B5982" s="10"/>
    </row>
    <row r="5983" spans="2:2" x14ac:dyDescent="0.2">
      <c r="B5983" s="10"/>
    </row>
    <row r="5984" spans="2:2" x14ac:dyDescent="0.2">
      <c r="B5984" s="10"/>
    </row>
    <row r="5985" spans="2:2" x14ac:dyDescent="0.2">
      <c r="B5985" s="10"/>
    </row>
    <row r="5986" spans="2:2" x14ac:dyDescent="0.2">
      <c r="B5986" s="10"/>
    </row>
    <row r="5987" spans="2:2" x14ac:dyDescent="0.2">
      <c r="B5987" s="10"/>
    </row>
    <row r="5988" spans="2:2" x14ac:dyDescent="0.2">
      <c r="B5988" s="10"/>
    </row>
    <row r="5989" spans="2:2" x14ac:dyDescent="0.2">
      <c r="B5989" s="10"/>
    </row>
    <row r="5990" spans="2:2" x14ac:dyDescent="0.2">
      <c r="B5990" s="10"/>
    </row>
    <row r="5991" spans="2:2" x14ac:dyDescent="0.2">
      <c r="B5991" s="10"/>
    </row>
    <row r="5992" spans="2:2" x14ac:dyDescent="0.2">
      <c r="B5992" s="10"/>
    </row>
    <row r="5993" spans="2:2" x14ac:dyDescent="0.2">
      <c r="B5993" s="10"/>
    </row>
    <row r="5994" spans="2:2" x14ac:dyDescent="0.2">
      <c r="B5994" s="10"/>
    </row>
    <row r="5995" spans="2:2" x14ac:dyDescent="0.2">
      <c r="B5995" s="10"/>
    </row>
    <row r="5996" spans="2:2" x14ac:dyDescent="0.2">
      <c r="B5996" s="10"/>
    </row>
    <row r="5997" spans="2:2" x14ac:dyDescent="0.2">
      <c r="B5997" s="10"/>
    </row>
    <row r="5998" spans="2:2" x14ac:dyDescent="0.2">
      <c r="B5998" s="10"/>
    </row>
    <row r="5999" spans="2:2" x14ac:dyDescent="0.2">
      <c r="B5999" s="10"/>
    </row>
    <row r="6000" spans="2:2" x14ac:dyDescent="0.2">
      <c r="B6000" s="10"/>
    </row>
    <row r="6001" spans="2:2" x14ac:dyDescent="0.2">
      <c r="B6001" s="10"/>
    </row>
    <row r="6002" spans="2:2" x14ac:dyDescent="0.2">
      <c r="B6002" s="10"/>
    </row>
    <row r="6003" spans="2:2" x14ac:dyDescent="0.2">
      <c r="B6003" s="10"/>
    </row>
    <row r="6004" spans="2:2" x14ac:dyDescent="0.2">
      <c r="B6004" s="10"/>
    </row>
    <row r="6005" spans="2:2" x14ac:dyDescent="0.2">
      <c r="B6005" s="10"/>
    </row>
    <row r="6006" spans="2:2" x14ac:dyDescent="0.2">
      <c r="B6006" s="10"/>
    </row>
    <row r="6007" spans="2:2" x14ac:dyDescent="0.2">
      <c r="B6007" s="10"/>
    </row>
    <row r="6008" spans="2:2" x14ac:dyDescent="0.2">
      <c r="B6008" s="10"/>
    </row>
    <row r="6009" spans="2:2" x14ac:dyDescent="0.2">
      <c r="B6009" s="10"/>
    </row>
    <row r="6010" spans="2:2" x14ac:dyDescent="0.2">
      <c r="B6010" s="10"/>
    </row>
    <row r="6011" spans="2:2" x14ac:dyDescent="0.2">
      <c r="B6011" s="10"/>
    </row>
    <row r="6012" spans="2:2" x14ac:dyDescent="0.2">
      <c r="B6012" s="10"/>
    </row>
    <row r="6013" spans="2:2" x14ac:dyDescent="0.2">
      <c r="B6013" s="10"/>
    </row>
    <row r="6014" spans="2:2" x14ac:dyDescent="0.2">
      <c r="B6014" s="10"/>
    </row>
    <row r="6015" spans="2:2" x14ac:dyDescent="0.2">
      <c r="B6015" s="10"/>
    </row>
    <row r="6016" spans="2:2" x14ac:dyDescent="0.2">
      <c r="B6016" s="10"/>
    </row>
    <row r="6017" spans="2:2" x14ac:dyDescent="0.2">
      <c r="B6017" s="10"/>
    </row>
    <row r="6018" spans="2:2" x14ac:dyDescent="0.2">
      <c r="B6018" s="10"/>
    </row>
    <row r="6019" spans="2:2" x14ac:dyDescent="0.2">
      <c r="B6019" s="10"/>
    </row>
    <row r="6020" spans="2:2" x14ac:dyDescent="0.2">
      <c r="B6020" s="10"/>
    </row>
    <row r="6021" spans="2:2" x14ac:dyDescent="0.2">
      <c r="B6021" s="10"/>
    </row>
    <row r="6022" spans="2:2" x14ac:dyDescent="0.2">
      <c r="B6022" s="10"/>
    </row>
    <row r="6023" spans="2:2" x14ac:dyDescent="0.2">
      <c r="B6023" s="10"/>
    </row>
    <row r="6024" spans="2:2" x14ac:dyDescent="0.2">
      <c r="B6024" s="10"/>
    </row>
    <row r="6025" spans="2:2" x14ac:dyDescent="0.2">
      <c r="B6025" s="10"/>
    </row>
    <row r="6026" spans="2:2" x14ac:dyDescent="0.2">
      <c r="B6026" s="10"/>
    </row>
    <row r="6027" spans="2:2" x14ac:dyDescent="0.2">
      <c r="B6027" s="10"/>
    </row>
    <row r="6028" spans="2:2" x14ac:dyDescent="0.2">
      <c r="B6028" s="10"/>
    </row>
    <row r="6029" spans="2:2" x14ac:dyDescent="0.2">
      <c r="B6029" s="10"/>
    </row>
    <row r="6030" spans="2:2" x14ac:dyDescent="0.2">
      <c r="B6030" s="10"/>
    </row>
    <row r="6031" spans="2:2" x14ac:dyDescent="0.2">
      <c r="B6031" s="10"/>
    </row>
    <row r="6032" spans="2:2" x14ac:dyDescent="0.2">
      <c r="B6032" s="10"/>
    </row>
    <row r="6033" spans="2:2" x14ac:dyDescent="0.2">
      <c r="B6033" s="10"/>
    </row>
    <row r="6034" spans="2:2" x14ac:dyDescent="0.2">
      <c r="B6034" s="10"/>
    </row>
    <row r="6035" spans="2:2" x14ac:dyDescent="0.2">
      <c r="B6035" s="10"/>
    </row>
    <row r="6036" spans="2:2" x14ac:dyDescent="0.2">
      <c r="B6036" s="10"/>
    </row>
    <row r="6037" spans="2:2" x14ac:dyDescent="0.2">
      <c r="B6037" s="10"/>
    </row>
    <row r="6038" spans="2:2" x14ac:dyDescent="0.2">
      <c r="B6038" s="10"/>
    </row>
    <row r="6039" spans="2:2" x14ac:dyDescent="0.2">
      <c r="B6039" s="10"/>
    </row>
    <row r="6040" spans="2:2" x14ac:dyDescent="0.2">
      <c r="B6040" s="10"/>
    </row>
    <row r="6041" spans="2:2" x14ac:dyDescent="0.2">
      <c r="B6041" s="10"/>
    </row>
    <row r="6042" spans="2:2" x14ac:dyDescent="0.2">
      <c r="B6042" s="10"/>
    </row>
    <row r="6043" spans="2:2" x14ac:dyDescent="0.2">
      <c r="B6043" s="10"/>
    </row>
    <row r="6044" spans="2:2" x14ac:dyDescent="0.2">
      <c r="B6044" s="10"/>
    </row>
    <row r="6045" spans="2:2" x14ac:dyDescent="0.2">
      <c r="B6045" s="10"/>
    </row>
    <row r="6046" spans="2:2" x14ac:dyDescent="0.2">
      <c r="B6046" s="10"/>
    </row>
    <row r="6047" spans="2:2" x14ac:dyDescent="0.2">
      <c r="B6047" s="10"/>
    </row>
    <row r="6048" spans="2:2" x14ac:dyDescent="0.2">
      <c r="B6048" s="10"/>
    </row>
    <row r="6049" spans="2:2" x14ac:dyDescent="0.2">
      <c r="B6049" s="10"/>
    </row>
    <row r="6050" spans="2:2" x14ac:dyDescent="0.2">
      <c r="B6050" s="10"/>
    </row>
    <row r="6051" spans="2:2" x14ac:dyDescent="0.2">
      <c r="B6051" s="10"/>
    </row>
    <row r="6052" spans="2:2" x14ac:dyDescent="0.2">
      <c r="B6052" s="10"/>
    </row>
    <row r="6053" spans="2:2" x14ac:dyDescent="0.2">
      <c r="B6053" s="10"/>
    </row>
    <row r="6054" spans="2:2" x14ac:dyDescent="0.2">
      <c r="B6054" s="10"/>
    </row>
    <row r="6055" spans="2:2" x14ac:dyDescent="0.2">
      <c r="B6055" s="10"/>
    </row>
    <row r="6056" spans="2:2" x14ac:dyDescent="0.2">
      <c r="B6056" s="10"/>
    </row>
    <row r="6057" spans="2:2" x14ac:dyDescent="0.2">
      <c r="B6057" s="10"/>
    </row>
    <row r="6058" spans="2:2" x14ac:dyDescent="0.2">
      <c r="B6058" s="10"/>
    </row>
    <row r="6059" spans="2:2" x14ac:dyDescent="0.2">
      <c r="B6059" s="10"/>
    </row>
    <row r="6060" spans="2:2" x14ac:dyDescent="0.2">
      <c r="B6060" s="10"/>
    </row>
    <row r="6061" spans="2:2" x14ac:dyDescent="0.2">
      <c r="B6061" s="10"/>
    </row>
    <row r="6062" spans="2:2" x14ac:dyDescent="0.2">
      <c r="B6062" s="10"/>
    </row>
    <row r="6063" spans="2:2" x14ac:dyDescent="0.2">
      <c r="B6063" s="10"/>
    </row>
    <row r="6064" spans="2:2" x14ac:dyDescent="0.2">
      <c r="B6064" s="10"/>
    </row>
    <row r="6065" spans="2:2" x14ac:dyDescent="0.2">
      <c r="B6065" s="10"/>
    </row>
    <row r="6066" spans="2:2" x14ac:dyDescent="0.2">
      <c r="B6066" s="10"/>
    </row>
    <row r="6067" spans="2:2" x14ac:dyDescent="0.2">
      <c r="B6067" s="10"/>
    </row>
    <row r="6068" spans="2:2" x14ac:dyDescent="0.2">
      <c r="B6068" s="10"/>
    </row>
    <row r="6069" spans="2:2" x14ac:dyDescent="0.2">
      <c r="B6069" s="10"/>
    </row>
    <row r="6070" spans="2:2" x14ac:dyDescent="0.2">
      <c r="B6070" s="10"/>
    </row>
    <row r="6071" spans="2:2" x14ac:dyDescent="0.2">
      <c r="B6071" s="10"/>
    </row>
    <row r="6072" spans="2:2" x14ac:dyDescent="0.2">
      <c r="B6072" s="10"/>
    </row>
    <row r="6073" spans="2:2" x14ac:dyDescent="0.2">
      <c r="B6073" s="10"/>
    </row>
    <row r="6074" spans="2:2" x14ac:dyDescent="0.2">
      <c r="B6074" s="10"/>
    </row>
    <row r="6075" spans="2:2" x14ac:dyDescent="0.2">
      <c r="B6075" s="10"/>
    </row>
    <row r="6076" spans="2:2" x14ac:dyDescent="0.2">
      <c r="B6076" s="10"/>
    </row>
    <row r="6077" spans="2:2" x14ac:dyDescent="0.2">
      <c r="B6077" s="10"/>
    </row>
    <row r="6078" spans="2:2" x14ac:dyDescent="0.2">
      <c r="B6078" s="10"/>
    </row>
    <row r="6079" spans="2:2" x14ac:dyDescent="0.2">
      <c r="B6079" s="10"/>
    </row>
    <row r="6080" spans="2:2" x14ac:dyDescent="0.2">
      <c r="B6080" s="10"/>
    </row>
    <row r="6081" spans="2:2" x14ac:dyDescent="0.2">
      <c r="B6081" s="10"/>
    </row>
    <row r="6082" spans="2:2" x14ac:dyDescent="0.2">
      <c r="B6082" s="10"/>
    </row>
    <row r="6083" spans="2:2" x14ac:dyDescent="0.2">
      <c r="B6083" s="10"/>
    </row>
    <row r="6084" spans="2:2" x14ac:dyDescent="0.2">
      <c r="B6084" s="10"/>
    </row>
    <row r="6085" spans="2:2" x14ac:dyDescent="0.2">
      <c r="B6085" s="10"/>
    </row>
    <row r="6086" spans="2:2" x14ac:dyDescent="0.2">
      <c r="B6086" s="10"/>
    </row>
    <row r="6087" spans="2:2" x14ac:dyDescent="0.2">
      <c r="B6087" s="10"/>
    </row>
    <row r="6088" spans="2:2" x14ac:dyDescent="0.2">
      <c r="B6088" s="10"/>
    </row>
    <row r="6089" spans="2:2" x14ac:dyDescent="0.2">
      <c r="B6089" s="10"/>
    </row>
    <row r="6090" spans="2:2" x14ac:dyDescent="0.2">
      <c r="B6090" s="10"/>
    </row>
    <row r="6091" spans="2:2" x14ac:dyDescent="0.2">
      <c r="B6091" s="10"/>
    </row>
    <row r="6092" spans="2:2" x14ac:dyDescent="0.2">
      <c r="B6092" s="10"/>
    </row>
    <row r="6093" spans="2:2" x14ac:dyDescent="0.2">
      <c r="B6093" s="10"/>
    </row>
    <row r="6094" spans="2:2" x14ac:dyDescent="0.2">
      <c r="B6094" s="10"/>
    </row>
    <row r="6095" spans="2:2" x14ac:dyDescent="0.2">
      <c r="B6095" s="10"/>
    </row>
    <row r="6096" spans="2:2" x14ac:dyDescent="0.2">
      <c r="B6096" s="10"/>
    </row>
    <row r="6097" spans="2:2" x14ac:dyDescent="0.2">
      <c r="B6097" s="10"/>
    </row>
    <row r="6098" spans="2:2" x14ac:dyDescent="0.2">
      <c r="B6098" s="10"/>
    </row>
    <row r="6099" spans="2:2" x14ac:dyDescent="0.2">
      <c r="B6099" s="10"/>
    </row>
    <row r="6100" spans="2:2" x14ac:dyDescent="0.2">
      <c r="B6100" s="10"/>
    </row>
    <row r="6101" spans="2:2" x14ac:dyDescent="0.2">
      <c r="B6101" s="10"/>
    </row>
    <row r="6102" spans="2:2" x14ac:dyDescent="0.2">
      <c r="B6102" s="10"/>
    </row>
    <row r="6103" spans="2:2" x14ac:dyDescent="0.2">
      <c r="B6103" s="10"/>
    </row>
    <row r="6104" spans="2:2" x14ac:dyDescent="0.2">
      <c r="B6104" s="10"/>
    </row>
    <row r="6105" spans="2:2" x14ac:dyDescent="0.2">
      <c r="B6105" s="10"/>
    </row>
    <row r="6106" spans="2:2" x14ac:dyDescent="0.2">
      <c r="B6106" s="10"/>
    </row>
    <row r="6107" spans="2:2" x14ac:dyDescent="0.2">
      <c r="B6107" s="10"/>
    </row>
    <row r="6108" spans="2:2" x14ac:dyDescent="0.2">
      <c r="B6108" s="10"/>
    </row>
    <row r="6109" spans="2:2" x14ac:dyDescent="0.2">
      <c r="B6109" s="10"/>
    </row>
    <row r="6110" spans="2:2" x14ac:dyDescent="0.2">
      <c r="B6110" s="10"/>
    </row>
    <row r="6111" spans="2:2" x14ac:dyDescent="0.2">
      <c r="B6111" s="10"/>
    </row>
    <row r="6112" spans="2:2" x14ac:dyDescent="0.2">
      <c r="B6112" s="10"/>
    </row>
    <row r="6113" spans="2:2" x14ac:dyDescent="0.2">
      <c r="B6113" s="10"/>
    </row>
    <row r="6114" spans="2:2" x14ac:dyDescent="0.2">
      <c r="B6114" s="10"/>
    </row>
    <row r="6115" spans="2:2" x14ac:dyDescent="0.2">
      <c r="B6115" s="10"/>
    </row>
    <row r="6116" spans="2:2" x14ac:dyDescent="0.2">
      <c r="B6116" s="10"/>
    </row>
    <row r="6117" spans="2:2" x14ac:dyDescent="0.2">
      <c r="B6117" s="10"/>
    </row>
    <row r="6118" spans="2:2" x14ac:dyDescent="0.2">
      <c r="B6118" s="10"/>
    </row>
    <row r="6119" spans="2:2" x14ac:dyDescent="0.2">
      <c r="B6119" s="10"/>
    </row>
    <row r="6120" spans="2:2" x14ac:dyDescent="0.2">
      <c r="B6120" s="10"/>
    </row>
    <row r="6121" spans="2:2" x14ac:dyDescent="0.2">
      <c r="B6121" s="10"/>
    </row>
    <row r="6122" spans="2:2" x14ac:dyDescent="0.2">
      <c r="B6122" s="10"/>
    </row>
    <row r="6123" spans="2:2" x14ac:dyDescent="0.2">
      <c r="B6123" s="10"/>
    </row>
    <row r="6124" spans="2:2" x14ac:dyDescent="0.2">
      <c r="B6124" s="10"/>
    </row>
    <row r="6125" spans="2:2" x14ac:dyDescent="0.2">
      <c r="B6125" s="10"/>
    </row>
    <row r="6126" spans="2:2" x14ac:dyDescent="0.2">
      <c r="B6126" s="10"/>
    </row>
    <row r="6127" spans="2:2" x14ac:dyDescent="0.2">
      <c r="B6127" s="10"/>
    </row>
    <row r="6128" spans="2:2" x14ac:dyDescent="0.2">
      <c r="B6128" s="10"/>
    </row>
    <row r="6129" spans="2:2" x14ac:dyDescent="0.2">
      <c r="B6129" s="10"/>
    </row>
    <row r="6130" spans="2:2" x14ac:dyDescent="0.2">
      <c r="B6130" s="10"/>
    </row>
    <row r="6131" spans="2:2" x14ac:dyDescent="0.2">
      <c r="B6131" s="10"/>
    </row>
    <row r="6132" spans="2:2" x14ac:dyDescent="0.2">
      <c r="B6132" s="10"/>
    </row>
    <row r="6133" spans="2:2" x14ac:dyDescent="0.2">
      <c r="B6133" s="10"/>
    </row>
    <row r="6134" spans="2:2" x14ac:dyDescent="0.2">
      <c r="B6134" s="10"/>
    </row>
    <row r="6135" spans="2:2" x14ac:dyDescent="0.2">
      <c r="B6135" s="10"/>
    </row>
    <row r="6136" spans="2:2" x14ac:dyDescent="0.2">
      <c r="B6136" s="10"/>
    </row>
    <row r="6137" spans="2:2" x14ac:dyDescent="0.2">
      <c r="B6137" s="10"/>
    </row>
    <row r="6138" spans="2:2" x14ac:dyDescent="0.2">
      <c r="B6138" s="10"/>
    </row>
    <row r="6139" spans="2:2" x14ac:dyDescent="0.2">
      <c r="B6139" s="10"/>
    </row>
    <row r="6140" spans="2:2" x14ac:dyDescent="0.2">
      <c r="B6140" s="10"/>
    </row>
    <row r="6141" spans="2:2" x14ac:dyDescent="0.2">
      <c r="B6141" s="10"/>
    </row>
    <row r="6142" spans="2:2" x14ac:dyDescent="0.2">
      <c r="B6142" s="10"/>
    </row>
    <row r="6143" spans="2:2" x14ac:dyDescent="0.2">
      <c r="B6143" s="10"/>
    </row>
    <row r="6144" spans="2:2" x14ac:dyDescent="0.2">
      <c r="B6144" s="10"/>
    </row>
    <row r="6145" spans="2:2" x14ac:dyDescent="0.2">
      <c r="B6145" s="10"/>
    </row>
    <row r="6146" spans="2:2" x14ac:dyDescent="0.2">
      <c r="B6146" s="10"/>
    </row>
    <row r="6147" spans="2:2" x14ac:dyDescent="0.2">
      <c r="B6147" s="10"/>
    </row>
    <row r="6148" spans="2:2" x14ac:dyDescent="0.2">
      <c r="B6148" s="10"/>
    </row>
    <row r="6149" spans="2:2" x14ac:dyDescent="0.2">
      <c r="B6149" s="10"/>
    </row>
    <row r="6150" spans="2:2" x14ac:dyDescent="0.2">
      <c r="B6150" s="10"/>
    </row>
    <row r="6151" spans="2:2" x14ac:dyDescent="0.2">
      <c r="B6151" s="10"/>
    </row>
    <row r="6152" spans="2:2" x14ac:dyDescent="0.2">
      <c r="B6152" s="10"/>
    </row>
    <row r="6153" spans="2:2" x14ac:dyDescent="0.2">
      <c r="B6153" s="10"/>
    </row>
    <row r="6154" spans="2:2" x14ac:dyDescent="0.2">
      <c r="B6154" s="10"/>
    </row>
    <row r="6155" spans="2:2" x14ac:dyDescent="0.2">
      <c r="B6155" s="10"/>
    </row>
    <row r="6156" spans="2:2" x14ac:dyDescent="0.2">
      <c r="B6156" s="10"/>
    </row>
    <row r="6157" spans="2:2" x14ac:dyDescent="0.2">
      <c r="B6157" s="10"/>
    </row>
    <row r="6158" spans="2:2" x14ac:dyDescent="0.2">
      <c r="B6158" s="10"/>
    </row>
    <row r="6159" spans="2:2" x14ac:dyDescent="0.2">
      <c r="B6159" s="10"/>
    </row>
    <row r="6160" spans="2:2" x14ac:dyDescent="0.2">
      <c r="B6160" s="10"/>
    </row>
    <row r="6161" spans="2:2" x14ac:dyDescent="0.2">
      <c r="B6161" s="10"/>
    </row>
    <row r="6162" spans="2:2" x14ac:dyDescent="0.2">
      <c r="B6162" s="10"/>
    </row>
    <row r="6163" spans="2:2" x14ac:dyDescent="0.2">
      <c r="B6163" s="10"/>
    </row>
    <row r="6164" spans="2:2" x14ac:dyDescent="0.2">
      <c r="B6164" s="10"/>
    </row>
    <row r="6165" spans="2:2" x14ac:dyDescent="0.2">
      <c r="B6165" s="10"/>
    </row>
    <row r="6166" spans="2:2" x14ac:dyDescent="0.2">
      <c r="B6166" s="10"/>
    </row>
    <row r="6167" spans="2:2" x14ac:dyDescent="0.2">
      <c r="B6167" s="10"/>
    </row>
    <row r="6168" spans="2:2" x14ac:dyDescent="0.2">
      <c r="B6168" s="10"/>
    </row>
    <row r="6169" spans="2:2" x14ac:dyDescent="0.2">
      <c r="B6169" s="10"/>
    </row>
    <row r="6170" spans="2:2" x14ac:dyDescent="0.2">
      <c r="B6170" s="10"/>
    </row>
    <row r="6171" spans="2:2" x14ac:dyDescent="0.2">
      <c r="B6171" s="10"/>
    </row>
    <row r="6172" spans="2:2" x14ac:dyDescent="0.2">
      <c r="B6172" s="10"/>
    </row>
    <row r="6173" spans="2:2" x14ac:dyDescent="0.2">
      <c r="B6173" s="10"/>
    </row>
    <row r="6174" spans="2:2" x14ac:dyDescent="0.2">
      <c r="B6174" s="10"/>
    </row>
    <row r="6175" spans="2:2" x14ac:dyDescent="0.2">
      <c r="B6175" s="10"/>
    </row>
    <row r="6176" spans="2:2" x14ac:dyDescent="0.2">
      <c r="B6176" s="10"/>
    </row>
    <row r="6177" spans="2:2" x14ac:dyDescent="0.2">
      <c r="B6177" s="10"/>
    </row>
    <row r="6178" spans="2:2" x14ac:dyDescent="0.2">
      <c r="B6178" s="10"/>
    </row>
    <row r="6179" spans="2:2" x14ac:dyDescent="0.2">
      <c r="B6179" s="10"/>
    </row>
    <row r="6180" spans="2:2" x14ac:dyDescent="0.2">
      <c r="B6180" s="10"/>
    </row>
    <row r="6181" spans="2:2" x14ac:dyDescent="0.2">
      <c r="B6181" s="10"/>
    </row>
    <row r="6182" spans="2:2" x14ac:dyDescent="0.2">
      <c r="B6182" s="10"/>
    </row>
    <row r="6183" spans="2:2" x14ac:dyDescent="0.2">
      <c r="B6183" s="10"/>
    </row>
    <row r="6184" spans="2:2" x14ac:dyDescent="0.2">
      <c r="B6184" s="10"/>
    </row>
    <row r="6185" spans="2:2" x14ac:dyDescent="0.2">
      <c r="B6185" s="10"/>
    </row>
    <row r="6186" spans="2:2" x14ac:dyDescent="0.2">
      <c r="B6186" s="10"/>
    </row>
    <row r="6187" spans="2:2" x14ac:dyDescent="0.2">
      <c r="B6187" s="10"/>
    </row>
    <row r="6188" spans="2:2" x14ac:dyDescent="0.2">
      <c r="B6188" s="10"/>
    </row>
    <row r="6189" spans="2:2" x14ac:dyDescent="0.2">
      <c r="B6189" s="10"/>
    </row>
    <row r="6190" spans="2:2" x14ac:dyDescent="0.2">
      <c r="B6190" s="10"/>
    </row>
    <row r="6191" spans="2:2" x14ac:dyDescent="0.2">
      <c r="B6191" s="10"/>
    </row>
    <row r="6192" spans="2:2" x14ac:dyDescent="0.2">
      <c r="B6192" s="10"/>
    </row>
    <row r="6193" spans="2:2" x14ac:dyDescent="0.2">
      <c r="B6193" s="10"/>
    </row>
    <row r="6194" spans="2:2" x14ac:dyDescent="0.2">
      <c r="B6194" s="10"/>
    </row>
    <row r="6195" spans="2:2" x14ac:dyDescent="0.2">
      <c r="B6195" s="10"/>
    </row>
    <row r="6196" spans="2:2" x14ac:dyDescent="0.2">
      <c r="B6196" s="10"/>
    </row>
    <row r="6197" spans="2:2" x14ac:dyDescent="0.2">
      <c r="B6197" s="10"/>
    </row>
    <row r="6198" spans="2:2" x14ac:dyDescent="0.2">
      <c r="B6198" s="10"/>
    </row>
    <row r="6199" spans="2:2" x14ac:dyDescent="0.2">
      <c r="B6199" s="10"/>
    </row>
    <row r="6200" spans="2:2" x14ac:dyDescent="0.2">
      <c r="B6200" s="10"/>
    </row>
    <row r="6201" spans="2:2" x14ac:dyDescent="0.2">
      <c r="B6201" s="10"/>
    </row>
    <row r="6202" spans="2:2" x14ac:dyDescent="0.2">
      <c r="B6202" s="10"/>
    </row>
    <row r="6203" spans="2:2" x14ac:dyDescent="0.2">
      <c r="B6203" s="10"/>
    </row>
    <row r="6204" spans="2:2" x14ac:dyDescent="0.2">
      <c r="B6204" s="10"/>
    </row>
    <row r="6205" spans="2:2" x14ac:dyDescent="0.2">
      <c r="B6205" s="10"/>
    </row>
    <row r="6206" spans="2:2" x14ac:dyDescent="0.2">
      <c r="B6206" s="10"/>
    </row>
    <row r="6207" spans="2:2" x14ac:dyDescent="0.2">
      <c r="B6207" s="10"/>
    </row>
    <row r="6208" spans="2:2" x14ac:dyDescent="0.2">
      <c r="B6208" s="10"/>
    </row>
    <row r="6209" spans="2:2" x14ac:dyDescent="0.2">
      <c r="B6209" s="10"/>
    </row>
    <row r="6210" spans="2:2" x14ac:dyDescent="0.2">
      <c r="B6210" s="10"/>
    </row>
    <row r="6211" spans="2:2" x14ac:dyDescent="0.2">
      <c r="B6211" s="10"/>
    </row>
    <row r="6212" spans="2:2" x14ac:dyDescent="0.2">
      <c r="B6212" s="10"/>
    </row>
    <row r="6213" spans="2:2" x14ac:dyDescent="0.2">
      <c r="B6213" s="10"/>
    </row>
    <row r="6214" spans="2:2" x14ac:dyDescent="0.2">
      <c r="B6214" s="10"/>
    </row>
    <row r="6215" spans="2:2" x14ac:dyDescent="0.2">
      <c r="B6215" s="10"/>
    </row>
    <row r="6216" spans="2:2" x14ac:dyDescent="0.2">
      <c r="B6216" s="10"/>
    </row>
    <row r="6217" spans="2:2" x14ac:dyDescent="0.2">
      <c r="B6217" s="10"/>
    </row>
    <row r="6218" spans="2:2" x14ac:dyDescent="0.2">
      <c r="B6218" s="10"/>
    </row>
    <row r="6219" spans="2:2" x14ac:dyDescent="0.2">
      <c r="B6219" s="10"/>
    </row>
    <row r="6220" spans="2:2" x14ac:dyDescent="0.2">
      <c r="B6220" s="10"/>
    </row>
    <row r="6221" spans="2:2" x14ac:dyDescent="0.2">
      <c r="B6221" s="10"/>
    </row>
    <row r="6222" spans="2:2" x14ac:dyDescent="0.2">
      <c r="B6222" s="10"/>
    </row>
    <row r="6223" spans="2:2" x14ac:dyDescent="0.2">
      <c r="B6223" s="10"/>
    </row>
    <row r="6224" spans="2:2" x14ac:dyDescent="0.2">
      <c r="B6224" s="10"/>
    </row>
    <row r="6225" spans="2:2" x14ac:dyDescent="0.2">
      <c r="B6225" s="10"/>
    </row>
    <row r="6226" spans="2:2" x14ac:dyDescent="0.2">
      <c r="B6226" s="10"/>
    </row>
    <row r="6227" spans="2:2" x14ac:dyDescent="0.2">
      <c r="B6227" s="10"/>
    </row>
    <row r="6228" spans="2:2" x14ac:dyDescent="0.2">
      <c r="B6228" s="10"/>
    </row>
    <row r="6229" spans="2:2" x14ac:dyDescent="0.2">
      <c r="B6229" s="10"/>
    </row>
    <row r="6230" spans="2:2" x14ac:dyDescent="0.2">
      <c r="B6230" s="10"/>
    </row>
    <row r="6231" spans="2:2" x14ac:dyDescent="0.2">
      <c r="B6231" s="10"/>
    </row>
    <row r="6232" spans="2:2" x14ac:dyDescent="0.2">
      <c r="B6232" s="10"/>
    </row>
    <row r="6233" spans="2:2" x14ac:dyDescent="0.2">
      <c r="B6233" s="10"/>
    </row>
    <row r="6234" spans="2:2" x14ac:dyDescent="0.2">
      <c r="B6234" s="10"/>
    </row>
    <row r="6235" spans="2:2" x14ac:dyDescent="0.2">
      <c r="B6235" s="10"/>
    </row>
    <row r="6236" spans="2:2" x14ac:dyDescent="0.2">
      <c r="B6236" s="10"/>
    </row>
    <row r="6237" spans="2:2" x14ac:dyDescent="0.2">
      <c r="B6237" s="10"/>
    </row>
    <row r="6238" spans="2:2" x14ac:dyDescent="0.2">
      <c r="B6238" s="10"/>
    </row>
    <row r="6239" spans="2:2" x14ac:dyDescent="0.2">
      <c r="B6239" s="10"/>
    </row>
    <row r="6240" spans="2:2" x14ac:dyDescent="0.2">
      <c r="B6240" s="10"/>
    </row>
    <row r="6241" spans="2:2" x14ac:dyDescent="0.2">
      <c r="B6241" s="10"/>
    </row>
    <row r="6242" spans="2:2" x14ac:dyDescent="0.2">
      <c r="B6242" s="10"/>
    </row>
    <row r="6243" spans="2:2" x14ac:dyDescent="0.2">
      <c r="B6243" s="10"/>
    </row>
    <row r="6244" spans="2:2" x14ac:dyDescent="0.2">
      <c r="B6244" s="10"/>
    </row>
    <row r="6245" spans="2:2" x14ac:dyDescent="0.2">
      <c r="B6245" s="10"/>
    </row>
    <row r="6246" spans="2:2" x14ac:dyDescent="0.2">
      <c r="B6246" s="10"/>
    </row>
    <row r="6247" spans="2:2" x14ac:dyDescent="0.2">
      <c r="B6247" s="10"/>
    </row>
    <row r="6248" spans="2:2" x14ac:dyDescent="0.2">
      <c r="B6248" s="10"/>
    </row>
    <row r="6249" spans="2:2" x14ac:dyDescent="0.2">
      <c r="B6249" s="10"/>
    </row>
    <row r="6250" spans="2:2" x14ac:dyDescent="0.2">
      <c r="B6250" s="10"/>
    </row>
    <row r="6251" spans="2:2" x14ac:dyDescent="0.2">
      <c r="B6251" s="10"/>
    </row>
    <row r="6252" spans="2:2" x14ac:dyDescent="0.2">
      <c r="B6252" s="10"/>
    </row>
    <row r="6253" spans="2:2" x14ac:dyDescent="0.2">
      <c r="B6253" s="10"/>
    </row>
    <row r="6254" spans="2:2" x14ac:dyDescent="0.2">
      <c r="B6254" s="10"/>
    </row>
    <row r="6255" spans="2:2" x14ac:dyDescent="0.2">
      <c r="B6255" s="10"/>
    </row>
    <row r="6256" spans="2:2" x14ac:dyDescent="0.2">
      <c r="B6256" s="10"/>
    </row>
    <row r="6257" spans="2:2" x14ac:dyDescent="0.2">
      <c r="B6257" s="10"/>
    </row>
    <row r="6258" spans="2:2" x14ac:dyDescent="0.2">
      <c r="B6258" s="10"/>
    </row>
    <row r="6259" spans="2:2" x14ac:dyDescent="0.2">
      <c r="B6259" s="10"/>
    </row>
    <row r="6260" spans="2:2" x14ac:dyDescent="0.2">
      <c r="B6260" s="10"/>
    </row>
    <row r="6261" spans="2:2" x14ac:dyDescent="0.2">
      <c r="B6261" s="10"/>
    </row>
    <row r="6262" spans="2:2" x14ac:dyDescent="0.2">
      <c r="B6262" s="10"/>
    </row>
    <row r="6263" spans="2:2" x14ac:dyDescent="0.2">
      <c r="B6263" s="10"/>
    </row>
    <row r="6264" spans="2:2" x14ac:dyDescent="0.2">
      <c r="B6264" s="10"/>
    </row>
    <row r="6265" spans="2:2" x14ac:dyDescent="0.2">
      <c r="B6265" s="10"/>
    </row>
    <row r="6266" spans="2:2" x14ac:dyDescent="0.2">
      <c r="B6266" s="10"/>
    </row>
    <row r="6267" spans="2:2" x14ac:dyDescent="0.2">
      <c r="B6267" s="10"/>
    </row>
    <row r="6268" spans="2:2" x14ac:dyDescent="0.2">
      <c r="B6268" s="10"/>
    </row>
    <row r="6269" spans="2:2" x14ac:dyDescent="0.2">
      <c r="B6269" s="10"/>
    </row>
    <row r="6270" spans="2:2" x14ac:dyDescent="0.2">
      <c r="B6270" s="10"/>
    </row>
    <row r="6271" spans="2:2" x14ac:dyDescent="0.2">
      <c r="B6271" s="10"/>
    </row>
    <row r="6272" spans="2:2" x14ac:dyDescent="0.2">
      <c r="B6272" s="10"/>
    </row>
    <row r="6273" spans="2:2" x14ac:dyDescent="0.2">
      <c r="B6273" s="10"/>
    </row>
    <row r="6274" spans="2:2" x14ac:dyDescent="0.2">
      <c r="B6274" s="10"/>
    </row>
    <row r="6275" spans="2:2" x14ac:dyDescent="0.2">
      <c r="B6275" s="10"/>
    </row>
    <row r="6276" spans="2:2" x14ac:dyDescent="0.2">
      <c r="B6276" s="10"/>
    </row>
    <row r="6277" spans="2:2" x14ac:dyDescent="0.2">
      <c r="B6277" s="10"/>
    </row>
    <row r="6278" spans="2:2" x14ac:dyDescent="0.2">
      <c r="B6278" s="10"/>
    </row>
    <row r="6279" spans="2:2" x14ac:dyDescent="0.2">
      <c r="B6279" s="10"/>
    </row>
    <row r="6280" spans="2:2" x14ac:dyDescent="0.2">
      <c r="B6280" s="10"/>
    </row>
    <row r="6281" spans="2:2" x14ac:dyDescent="0.2">
      <c r="B6281" s="10"/>
    </row>
    <row r="6282" spans="2:2" x14ac:dyDescent="0.2">
      <c r="B6282" s="10"/>
    </row>
    <row r="6283" spans="2:2" x14ac:dyDescent="0.2">
      <c r="B6283" s="10"/>
    </row>
    <row r="6284" spans="2:2" x14ac:dyDescent="0.2">
      <c r="B6284" s="10"/>
    </row>
    <row r="6285" spans="2:2" x14ac:dyDescent="0.2">
      <c r="B6285" s="10"/>
    </row>
    <row r="6286" spans="2:2" x14ac:dyDescent="0.2">
      <c r="B6286" s="10"/>
    </row>
    <row r="6287" spans="2:2" x14ac:dyDescent="0.2">
      <c r="B6287" s="10"/>
    </row>
    <row r="6288" spans="2:2" x14ac:dyDescent="0.2">
      <c r="B6288" s="10"/>
    </row>
    <row r="6289" spans="2:2" x14ac:dyDescent="0.2">
      <c r="B6289" s="10"/>
    </row>
    <row r="6290" spans="2:2" x14ac:dyDescent="0.2">
      <c r="B6290" s="10"/>
    </row>
    <row r="6291" spans="2:2" x14ac:dyDescent="0.2">
      <c r="B6291" s="10"/>
    </row>
    <row r="6292" spans="2:2" x14ac:dyDescent="0.2">
      <c r="B6292" s="10"/>
    </row>
    <row r="6293" spans="2:2" x14ac:dyDescent="0.2">
      <c r="B6293" s="10"/>
    </row>
    <row r="6294" spans="2:2" x14ac:dyDescent="0.2">
      <c r="B6294" s="10"/>
    </row>
    <row r="6295" spans="2:2" x14ac:dyDescent="0.2">
      <c r="B6295" s="10"/>
    </row>
    <row r="6296" spans="2:2" x14ac:dyDescent="0.2">
      <c r="B6296" s="10"/>
    </row>
    <row r="6297" spans="2:2" x14ac:dyDescent="0.2">
      <c r="B6297" s="10"/>
    </row>
    <row r="6298" spans="2:2" x14ac:dyDescent="0.2">
      <c r="B6298" s="10"/>
    </row>
    <row r="6299" spans="2:2" x14ac:dyDescent="0.2">
      <c r="B6299" s="10"/>
    </row>
    <row r="6300" spans="2:2" x14ac:dyDescent="0.2">
      <c r="B6300" s="10"/>
    </row>
    <row r="6301" spans="2:2" x14ac:dyDescent="0.2">
      <c r="B6301" s="10"/>
    </row>
    <row r="6302" spans="2:2" x14ac:dyDescent="0.2">
      <c r="B6302" s="10"/>
    </row>
    <row r="6303" spans="2:2" x14ac:dyDescent="0.2">
      <c r="B6303" s="10"/>
    </row>
    <row r="6304" spans="2:2" x14ac:dyDescent="0.2">
      <c r="B6304" s="10"/>
    </row>
    <row r="6305" spans="2:2" x14ac:dyDescent="0.2">
      <c r="B6305" s="10"/>
    </row>
    <row r="6306" spans="2:2" x14ac:dyDescent="0.2">
      <c r="B6306" s="10"/>
    </row>
    <row r="6307" spans="2:2" x14ac:dyDescent="0.2">
      <c r="B6307" s="10"/>
    </row>
    <row r="6308" spans="2:2" x14ac:dyDescent="0.2">
      <c r="B6308" s="10"/>
    </row>
    <row r="6309" spans="2:2" x14ac:dyDescent="0.2">
      <c r="B6309" s="10"/>
    </row>
    <row r="6310" spans="2:2" x14ac:dyDescent="0.2">
      <c r="B6310" s="10"/>
    </row>
    <row r="6311" spans="2:2" x14ac:dyDescent="0.2">
      <c r="B6311" s="10"/>
    </row>
    <row r="6312" spans="2:2" x14ac:dyDescent="0.2">
      <c r="B6312" s="10"/>
    </row>
    <row r="6313" spans="2:2" x14ac:dyDescent="0.2">
      <c r="B6313" s="10"/>
    </row>
    <row r="6314" spans="2:2" x14ac:dyDescent="0.2">
      <c r="B6314" s="10"/>
    </row>
    <row r="6315" spans="2:2" x14ac:dyDescent="0.2">
      <c r="B6315" s="10"/>
    </row>
    <row r="6316" spans="2:2" x14ac:dyDescent="0.2">
      <c r="B6316" s="10"/>
    </row>
    <row r="6317" spans="2:2" x14ac:dyDescent="0.2">
      <c r="B6317" s="10"/>
    </row>
    <row r="6318" spans="2:2" x14ac:dyDescent="0.2">
      <c r="B6318" s="10"/>
    </row>
    <row r="6319" spans="2:2" x14ac:dyDescent="0.2">
      <c r="B6319" s="10"/>
    </row>
    <row r="6320" spans="2:2" x14ac:dyDescent="0.2">
      <c r="B6320" s="10"/>
    </row>
    <row r="6321" spans="2:2" x14ac:dyDescent="0.2">
      <c r="B6321" s="10"/>
    </row>
    <row r="6322" spans="2:2" x14ac:dyDescent="0.2">
      <c r="B6322" s="10"/>
    </row>
    <row r="6323" spans="2:2" x14ac:dyDescent="0.2">
      <c r="B6323" s="10"/>
    </row>
    <row r="6324" spans="2:2" x14ac:dyDescent="0.2">
      <c r="B6324" s="10"/>
    </row>
    <row r="6325" spans="2:2" x14ac:dyDescent="0.2">
      <c r="B6325" s="10"/>
    </row>
    <row r="6326" spans="2:2" x14ac:dyDescent="0.2">
      <c r="B6326" s="10"/>
    </row>
    <row r="6327" spans="2:2" x14ac:dyDescent="0.2">
      <c r="B6327" s="10"/>
    </row>
    <row r="6328" spans="2:2" x14ac:dyDescent="0.2">
      <c r="B6328" s="10"/>
    </row>
    <row r="6329" spans="2:2" x14ac:dyDescent="0.2">
      <c r="B6329" s="10"/>
    </row>
    <row r="6330" spans="2:2" x14ac:dyDescent="0.2">
      <c r="B6330" s="10"/>
    </row>
    <row r="6331" spans="2:2" x14ac:dyDescent="0.2">
      <c r="B6331" s="10"/>
    </row>
    <row r="6332" spans="2:2" x14ac:dyDescent="0.2">
      <c r="B6332" s="10"/>
    </row>
    <row r="6333" spans="2:2" x14ac:dyDescent="0.2">
      <c r="B6333" s="10"/>
    </row>
    <row r="6334" spans="2:2" x14ac:dyDescent="0.2">
      <c r="B6334" s="10"/>
    </row>
    <row r="6335" spans="2:2" x14ac:dyDescent="0.2">
      <c r="B6335" s="10"/>
    </row>
    <row r="6336" spans="2:2" x14ac:dyDescent="0.2">
      <c r="B6336" s="10"/>
    </row>
    <row r="6337" spans="2:2" x14ac:dyDescent="0.2">
      <c r="B6337" s="10"/>
    </row>
    <row r="6338" spans="2:2" x14ac:dyDescent="0.2">
      <c r="B6338" s="10"/>
    </row>
    <row r="6339" spans="2:2" x14ac:dyDescent="0.2">
      <c r="B6339" s="10"/>
    </row>
    <row r="6340" spans="2:2" x14ac:dyDescent="0.2">
      <c r="B6340" s="10"/>
    </row>
    <row r="6341" spans="2:2" x14ac:dyDescent="0.2">
      <c r="B6341" s="10"/>
    </row>
    <row r="6342" spans="2:2" x14ac:dyDescent="0.2">
      <c r="B6342" s="10"/>
    </row>
    <row r="6343" spans="2:2" x14ac:dyDescent="0.2">
      <c r="B6343" s="10"/>
    </row>
    <row r="6344" spans="2:2" x14ac:dyDescent="0.2">
      <c r="B6344" s="10"/>
    </row>
    <row r="6345" spans="2:2" x14ac:dyDescent="0.2">
      <c r="B6345" s="10"/>
    </row>
    <row r="6346" spans="2:2" x14ac:dyDescent="0.2">
      <c r="B6346" s="10"/>
    </row>
    <row r="6347" spans="2:2" x14ac:dyDescent="0.2">
      <c r="B6347" s="10"/>
    </row>
    <row r="6348" spans="2:2" x14ac:dyDescent="0.2">
      <c r="B6348" s="10"/>
    </row>
    <row r="6349" spans="2:2" x14ac:dyDescent="0.2">
      <c r="B6349" s="10"/>
    </row>
    <row r="6350" spans="2:2" x14ac:dyDescent="0.2">
      <c r="B6350" s="10"/>
    </row>
    <row r="6351" spans="2:2" x14ac:dyDescent="0.2">
      <c r="B6351" s="10"/>
    </row>
    <row r="6352" spans="2:2" x14ac:dyDescent="0.2">
      <c r="B6352" s="10"/>
    </row>
    <row r="6353" spans="2:2" x14ac:dyDescent="0.2">
      <c r="B6353" s="10"/>
    </row>
    <row r="6354" spans="2:2" x14ac:dyDescent="0.2">
      <c r="B6354" s="10"/>
    </row>
    <row r="6355" spans="2:2" x14ac:dyDescent="0.2">
      <c r="B6355" s="10"/>
    </row>
    <row r="6356" spans="2:2" x14ac:dyDescent="0.2">
      <c r="B6356" s="10"/>
    </row>
    <row r="6357" spans="2:2" x14ac:dyDescent="0.2">
      <c r="B6357" s="10"/>
    </row>
    <row r="6358" spans="2:2" x14ac:dyDescent="0.2">
      <c r="B6358" s="10"/>
    </row>
    <row r="6359" spans="2:2" x14ac:dyDescent="0.2">
      <c r="B6359" s="10"/>
    </row>
    <row r="6360" spans="2:2" x14ac:dyDescent="0.2">
      <c r="B6360" s="10"/>
    </row>
    <row r="6361" spans="2:2" x14ac:dyDescent="0.2">
      <c r="B6361" s="10"/>
    </row>
    <row r="6362" spans="2:2" x14ac:dyDescent="0.2">
      <c r="B6362" s="10"/>
    </row>
    <row r="6363" spans="2:2" x14ac:dyDescent="0.2">
      <c r="B6363" s="10"/>
    </row>
    <row r="6364" spans="2:2" x14ac:dyDescent="0.2">
      <c r="B6364" s="10"/>
    </row>
    <row r="6365" spans="2:2" x14ac:dyDescent="0.2">
      <c r="B6365" s="10"/>
    </row>
    <row r="6366" spans="2:2" x14ac:dyDescent="0.2">
      <c r="B6366" s="10"/>
    </row>
    <row r="6367" spans="2:2" x14ac:dyDescent="0.2">
      <c r="B6367" s="10"/>
    </row>
    <row r="6368" spans="2:2" x14ac:dyDescent="0.2">
      <c r="B6368" s="10"/>
    </row>
    <row r="6369" spans="2:2" x14ac:dyDescent="0.2">
      <c r="B6369" s="10"/>
    </row>
    <row r="6370" spans="2:2" x14ac:dyDescent="0.2">
      <c r="B6370" s="10"/>
    </row>
    <row r="6371" spans="2:2" x14ac:dyDescent="0.2">
      <c r="B6371" s="10"/>
    </row>
    <row r="6372" spans="2:2" x14ac:dyDescent="0.2">
      <c r="B6372" s="10"/>
    </row>
    <row r="6373" spans="2:2" x14ac:dyDescent="0.2">
      <c r="B6373" s="10"/>
    </row>
    <row r="6374" spans="2:2" x14ac:dyDescent="0.2">
      <c r="B6374" s="10"/>
    </row>
    <row r="6375" spans="2:2" x14ac:dyDescent="0.2">
      <c r="B6375" s="10"/>
    </row>
    <row r="6376" spans="2:2" x14ac:dyDescent="0.2">
      <c r="B6376" s="10"/>
    </row>
    <row r="6377" spans="2:2" x14ac:dyDescent="0.2">
      <c r="B6377" s="10"/>
    </row>
    <row r="6378" spans="2:2" x14ac:dyDescent="0.2">
      <c r="B6378" s="10"/>
    </row>
    <row r="6379" spans="2:2" x14ac:dyDescent="0.2">
      <c r="B6379" s="10"/>
    </row>
    <row r="6380" spans="2:2" x14ac:dyDescent="0.2">
      <c r="B6380" s="10"/>
    </row>
    <row r="6381" spans="2:2" x14ac:dyDescent="0.2">
      <c r="B6381" s="10"/>
    </row>
    <row r="6382" spans="2:2" x14ac:dyDescent="0.2">
      <c r="B6382" s="10"/>
    </row>
    <row r="6383" spans="2:2" x14ac:dyDescent="0.2">
      <c r="B6383" s="10"/>
    </row>
    <row r="6384" spans="2:2" x14ac:dyDescent="0.2">
      <c r="B6384" s="10"/>
    </row>
    <row r="6385" spans="2:2" x14ac:dyDescent="0.2">
      <c r="B6385" s="10"/>
    </row>
    <row r="6386" spans="2:2" x14ac:dyDescent="0.2">
      <c r="B6386" s="10"/>
    </row>
    <row r="6387" spans="2:2" x14ac:dyDescent="0.2">
      <c r="B6387" s="10"/>
    </row>
    <row r="6388" spans="2:2" x14ac:dyDescent="0.2">
      <c r="B6388" s="10"/>
    </row>
    <row r="6389" spans="2:2" x14ac:dyDescent="0.2">
      <c r="B6389" s="10"/>
    </row>
    <row r="6390" spans="2:2" x14ac:dyDescent="0.2">
      <c r="B6390" s="10"/>
    </row>
    <row r="6391" spans="2:2" x14ac:dyDescent="0.2">
      <c r="B6391" s="10"/>
    </row>
    <row r="6392" spans="2:2" x14ac:dyDescent="0.2">
      <c r="B6392" s="10"/>
    </row>
    <row r="6393" spans="2:2" x14ac:dyDescent="0.2">
      <c r="B6393" s="10"/>
    </row>
    <row r="6394" spans="2:2" x14ac:dyDescent="0.2">
      <c r="B6394" s="10"/>
    </row>
    <row r="6395" spans="2:2" x14ac:dyDescent="0.2">
      <c r="B6395" s="10"/>
    </row>
    <row r="6396" spans="2:2" x14ac:dyDescent="0.2">
      <c r="B6396" s="10"/>
    </row>
    <row r="6397" spans="2:2" x14ac:dyDescent="0.2">
      <c r="B6397" s="10"/>
    </row>
    <row r="6398" spans="2:2" x14ac:dyDescent="0.2">
      <c r="B6398" s="10"/>
    </row>
    <row r="6399" spans="2:2" x14ac:dyDescent="0.2">
      <c r="B6399" s="10"/>
    </row>
    <row r="6400" spans="2:2" x14ac:dyDescent="0.2">
      <c r="B6400" s="10"/>
    </row>
    <row r="6401" spans="2:2" x14ac:dyDescent="0.2">
      <c r="B6401" s="10"/>
    </row>
    <row r="6402" spans="2:2" x14ac:dyDescent="0.2">
      <c r="B6402" s="10"/>
    </row>
    <row r="6403" spans="2:2" x14ac:dyDescent="0.2">
      <c r="B6403" s="10"/>
    </row>
    <row r="6404" spans="2:2" x14ac:dyDescent="0.2">
      <c r="B6404" s="10"/>
    </row>
    <row r="6405" spans="2:2" x14ac:dyDescent="0.2">
      <c r="B6405" s="10"/>
    </row>
    <row r="6406" spans="2:2" x14ac:dyDescent="0.2">
      <c r="B6406" s="10"/>
    </row>
    <row r="6407" spans="2:2" x14ac:dyDescent="0.2">
      <c r="B6407" s="10"/>
    </row>
    <row r="6408" spans="2:2" x14ac:dyDescent="0.2">
      <c r="B6408" s="10"/>
    </row>
    <row r="6409" spans="2:2" x14ac:dyDescent="0.2">
      <c r="B6409" s="10"/>
    </row>
    <row r="6410" spans="2:2" x14ac:dyDescent="0.2">
      <c r="B6410" s="10"/>
    </row>
    <row r="6411" spans="2:2" x14ac:dyDescent="0.2">
      <c r="B6411" s="10"/>
    </row>
    <row r="6412" spans="2:2" x14ac:dyDescent="0.2">
      <c r="B6412" s="10"/>
    </row>
    <row r="6413" spans="2:2" x14ac:dyDescent="0.2">
      <c r="B6413" s="10"/>
    </row>
    <row r="6414" spans="2:2" x14ac:dyDescent="0.2">
      <c r="B6414" s="10"/>
    </row>
    <row r="6415" spans="2:2" x14ac:dyDescent="0.2">
      <c r="B6415" s="10"/>
    </row>
    <row r="6416" spans="2:2" x14ac:dyDescent="0.2">
      <c r="B6416" s="10"/>
    </row>
    <row r="6417" spans="2:2" x14ac:dyDescent="0.2">
      <c r="B6417" s="10"/>
    </row>
    <row r="6418" spans="2:2" x14ac:dyDescent="0.2">
      <c r="B6418" s="10"/>
    </row>
    <row r="6419" spans="2:2" x14ac:dyDescent="0.2">
      <c r="B6419" s="10"/>
    </row>
    <row r="6420" spans="2:2" x14ac:dyDescent="0.2">
      <c r="B6420" s="10"/>
    </row>
    <row r="6421" spans="2:2" x14ac:dyDescent="0.2">
      <c r="B6421" s="10"/>
    </row>
    <row r="6422" spans="2:2" x14ac:dyDescent="0.2">
      <c r="B6422" s="10"/>
    </row>
    <row r="6423" spans="2:2" x14ac:dyDescent="0.2">
      <c r="B6423" s="10"/>
    </row>
    <row r="6424" spans="2:2" x14ac:dyDescent="0.2">
      <c r="B6424" s="10"/>
    </row>
    <row r="6425" spans="2:2" x14ac:dyDescent="0.2">
      <c r="B6425" s="10"/>
    </row>
    <row r="6426" spans="2:2" x14ac:dyDescent="0.2">
      <c r="B6426" s="10"/>
    </row>
    <row r="6427" spans="2:2" x14ac:dyDescent="0.2">
      <c r="B6427" s="10"/>
    </row>
    <row r="6428" spans="2:2" x14ac:dyDescent="0.2">
      <c r="B6428" s="10"/>
    </row>
    <row r="6429" spans="2:2" x14ac:dyDescent="0.2">
      <c r="B6429" s="10"/>
    </row>
    <row r="6430" spans="2:2" x14ac:dyDescent="0.2">
      <c r="B6430" s="10"/>
    </row>
    <row r="6431" spans="2:2" x14ac:dyDescent="0.2">
      <c r="B6431" s="10"/>
    </row>
    <row r="6432" spans="2:2" x14ac:dyDescent="0.2">
      <c r="B6432" s="10"/>
    </row>
    <row r="6433" spans="2:2" x14ac:dyDescent="0.2">
      <c r="B6433" s="10"/>
    </row>
    <row r="6434" spans="2:2" x14ac:dyDescent="0.2">
      <c r="B6434" s="10"/>
    </row>
    <row r="6435" spans="2:2" x14ac:dyDescent="0.2">
      <c r="B6435" s="10"/>
    </row>
    <row r="6436" spans="2:2" x14ac:dyDescent="0.2">
      <c r="B6436" s="10"/>
    </row>
    <row r="6437" spans="2:2" x14ac:dyDescent="0.2">
      <c r="B6437" s="10"/>
    </row>
    <row r="6438" spans="2:2" x14ac:dyDescent="0.2">
      <c r="B6438" s="10"/>
    </row>
    <row r="6439" spans="2:2" x14ac:dyDescent="0.2">
      <c r="B6439" s="10"/>
    </row>
    <row r="6440" spans="2:2" x14ac:dyDescent="0.2">
      <c r="B6440" s="10"/>
    </row>
    <row r="6441" spans="2:2" x14ac:dyDescent="0.2">
      <c r="B6441" s="10"/>
    </row>
    <row r="6442" spans="2:2" x14ac:dyDescent="0.2">
      <c r="B6442" s="10"/>
    </row>
    <row r="6443" spans="2:2" x14ac:dyDescent="0.2">
      <c r="B6443" s="10"/>
    </row>
    <row r="6444" spans="2:2" x14ac:dyDescent="0.2">
      <c r="B6444" s="10"/>
    </row>
    <row r="6445" spans="2:2" x14ac:dyDescent="0.2">
      <c r="B6445" s="10"/>
    </row>
    <row r="6446" spans="2:2" x14ac:dyDescent="0.2">
      <c r="B6446" s="10"/>
    </row>
    <row r="6447" spans="2:2" x14ac:dyDescent="0.2">
      <c r="B6447" s="10"/>
    </row>
    <row r="6448" spans="2:2" x14ac:dyDescent="0.2">
      <c r="B6448" s="10"/>
    </row>
    <row r="6449" spans="2:2" x14ac:dyDescent="0.2">
      <c r="B6449" s="10"/>
    </row>
    <row r="6450" spans="2:2" x14ac:dyDescent="0.2">
      <c r="B6450" s="10"/>
    </row>
    <row r="6451" spans="2:2" x14ac:dyDescent="0.2">
      <c r="B6451" s="10"/>
    </row>
    <row r="6452" spans="2:2" x14ac:dyDescent="0.2">
      <c r="B6452" s="10"/>
    </row>
    <row r="6453" spans="2:2" x14ac:dyDescent="0.2">
      <c r="B6453" s="10"/>
    </row>
    <row r="6454" spans="2:2" x14ac:dyDescent="0.2">
      <c r="B6454" s="10"/>
    </row>
    <row r="6455" spans="2:2" x14ac:dyDescent="0.2">
      <c r="B6455" s="10"/>
    </row>
    <row r="6456" spans="2:2" x14ac:dyDescent="0.2">
      <c r="B6456" s="10"/>
    </row>
    <row r="6457" spans="2:2" x14ac:dyDescent="0.2">
      <c r="B6457" s="10"/>
    </row>
    <row r="6458" spans="2:2" x14ac:dyDescent="0.2">
      <c r="B6458" s="10"/>
    </row>
    <row r="6459" spans="2:2" x14ac:dyDescent="0.2">
      <c r="B6459" s="10"/>
    </row>
    <row r="6460" spans="2:2" x14ac:dyDescent="0.2">
      <c r="B6460" s="10"/>
    </row>
    <row r="6461" spans="2:2" x14ac:dyDescent="0.2">
      <c r="B6461" s="10"/>
    </row>
    <row r="6462" spans="2:2" x14ac:dyDescent="0.2">
      <c r="B6462" s="10"/>
    </row>
    <row r="6463" spans="2:2" x14ac:dyDescent="0.2">
      <c r="B6463" s="10"/>
    </row>
    <row r="6464" spans="2:2" x14ac:dyDescent="0.2">
      <c r="B6464" s="10"/>
    </row>
    <row r="6465" spans="2:2" x14ac:dyDescent="0.2">
      <c r="B6465" s="10"/>
    </row>
    <row r="6466" spans="2:2" x14ac:dyDescent="0.2">
      <c r="B6466" s="10"/>
    </row>
    <row r="6467" spans="2:2" x14ac:dyDescent="0.2">
      <c r="B6467" s="10"/>
    </row>
    <row r="6468" spans="2:2" x14ac:dyDescent="0.2">
      <c r="B6468" s="10"/>
    </row>
    <row r="6469" spans="2:2" x14ac:dyDescent="0.2">
      <c r="B6469" s="10"/>
    </row>
    <row r="6470" spans="2:2" x14ac:dyDescent="0.2">
      <c r="B6470" s="10"/>
    </row>
    <row r="6471" spans="2:2" x14ac:dyDescent="0.2">
      <c r="B6471" s="10"/>
    </row>
    <row r="6472" spans="2:2" x14ac:dyDescent="0.2">
      <c r="B6472" s="10"/>
    </row>
    <row r="6473" spans="2:2" x14ac:dyDescent="0.2">
      <c r="B6473" s="10"/>
    </row>
    <row r="6474" spans="2:2" x14ac:dyDescent="0.2">
      <c r="B6474" s="10"/>
    </row>
    <row r="6475" spans="2:2" x14ac:dyDescent="0.2">
      <c r="B6475" s="10"/>
    </row>
    <row r="6476" spans="2:2" x14ac:dyDescent="0.2">
      <c r="B6476" s="10"/>
    </row>
    <row r="6477" spans="2:2" x14ac:dyDescent="0.2">
      <c r="B6477" s="10"/>
    </row>
    <row r="6478" spans="2:2" x14ac:dyDescent="0.2">
      <c r="B6478" s="10"/>
    </row>
    <row r="6479" spans="2:2" x14ac:dyDescent="0.2">
      <c r="B6479" s="10"/>
    </row>
    <row r="6480" spans="2:2" x14ac:dyDescent="0.2">
      <c r="B6480" s="10"/>
    </row>
    <row r="6481" spans="2:2" x14ac:dyDescent="0.2">
      <c r="B6481" s="10"/>
    </row>
    <row r="6482" spans="2:2" x14ac:dyDescent="0.2">
      <c r="B6482" s="10"/>
    </row>
    <row r="6483" spans="2:2" x14ac:dyDescent="0.2">
      <c r="B6483" s="10"/>
    </row>
    <row r="6484" spans="2:2" x14ac:dyDescent="0.2">
      <c r="B6484" s="10"/>
    </row>
    <row r="6485" spans="2:2" x14ac:dyDescent="0.2">
      <c r="B6485" s="10"/>
    </row>
    <row r="6486" spans="2:2" x14ac:dyDescent="0.2">
      <c r="B6486" s="10"/>
    </row>
    <row r="6487" spans="2:2" x14ac:dyDescent="0.2">
      <c r="B6487" s="10"/>
    </row>
    <row r="6488" spans="2:2" x14ac:dyDescent="0.2">
      <c r="B6488" s="10"/>
    </row>
    <row r="6489" spans="2:2" x14ac:dyDescent="0.2">
      <c r="B6489" s="10"/>
    </row>
    <row r="6490" spans="2:2" x14ac:dyDescent="0.2">
      <c r="B6490" s="10"/>
    </row>
    <row r="6491" spans="2:2" x14ac:dyDescent="0.2">
      <c r="B6491" s="10"/>
    </row>
    <row r="6492" spans="2:2" x14ac:dyDescent="0.2">
      <c r="B6492" s="10"/>
    </row>
    <row r="6493" spans="2:2" x14ac:dyDescent="0.2">
      <c r="B6493" s="10"/>
    </row>
    <row r="6494" spans="2:2" x14ac:dyDescent="0.2">
      <c r="B6494" s="10"/>
    </row>
    <row r="6495" spans="2:2" x14ac:dyDescent="0.2">
      <c r="B6495" s="10"/>
    </row>
    <row r="6496" spans="2:2" x14ac:dyDescent="0.2">
      <c r="B6496" s="10"/>
    </row>
    <row r="6497" spans="2:2" x14ac:dyDescent="0.2">
      <c r="B6497" s="10"/>
    </row>
    <row r="6498" spans="2:2" x14ac:dyDescent="0.2">
      <c r="B6498" s="10"/>
    </row>
    <row r="6499" spans="2:2" x14ac:dyDescent="0.2">
      <c r="B6499" s="10"/>
    </row>
    <row r="6500" spans="2:2" x14ac:dyDescent="0.2">
      <c r="B6500" s="10"/>
    </row>
    <row r="6501" spans="2:2" x14ac:dyDescent="0.2">
      <c r="B6501" s="10"/>
    </row>
    <row r="6502" spans="2:2" x14ac:dyDescent="0.2">
      <c r="B6502" s="10"/>
    </row>
    <row r="6503" spans="2:2" x14ac:dyDescent="0.2">
      <c r="B6503" s="10"/>
    </row>
    <row r="6504" spans="2:2" x14ac:dyDescent="0.2">
      <c r="B6504" s="10"/>
    </row>
    <row r="6505" spans="2:2" x14ac:dyDescent="0.2">
      <c r="B6505" s="10"/>
    </row>
    <row r="6506" spans="2:2" x14ac:dyDescent="0.2">
      <c r="B6506" s="10"/>
    </row>
    <row r="6507" spans="2:2" x14ac:dyDescent="0.2">
      <c r="B6507" s="10"/>
    </row>
    <row r="6508" spans="2:2" x14ac:dyDescent="0.2">
      <c r="B6508" s="10"/>
    </row>
    <row r="6509" spans="2:2" x14ac:dyDescent="0.2">
      <c r="B6509" s="10"/>
    </row>
    <row r="6510" spans="2:2" x14ac:dyDescent="0.2">
      <c r="B6510" s="10"/>
    </row>
    <row r="6511" spans="2:2" x14ac:dyDescent="0.2">
      <c r="B6511" s="10"/>
    </row>
    <row r="6512" spans="2:2" x14ac:dyDescent="0.2">
      <c r="B6512" s="10"/>
    </row>
    <row r="6513" spans="2:2" x14ac:dyDescent="0.2">
      <c r="B6513" s="10"/>
    </row>
    <row r="6514" spans="2:2" x14ac:dyDescent="0.2">
      <c r="B6514" s="10"/>
    </row>
    <row r="6515" spans="2:2" x14ac:dyDescent="0.2">
      <c r="B6515" s="10"/>
    </row>
    <row r="6516" spans="2:2" x14ac:dyDescent="0.2">
      <c r="B6516" s="10"/>
    </row>
    <row r="6517" spans="2:2" x14ac:dyDescent="0.2">
      <c r="B6517" s="10"/>
    </row>
    <row r="6518" spans="2:2" x14ac:dyDescent="0.2">
      <c r="B6518" s="10"/>
    </row>
    <row r="6519" spans="2:2" x14ac:dyDescent="0.2">
      <c r="B6519" s="10"/>
    </row>
    <row r="6520" spans="2:2" x14ac:dyDescent="0.2">
      <c r="B6520" s="10"/>
    </row>
    <row r="6521" spans="2:2" x14ac:dyDescent="0.2">
      <c r="B6521" s="10"/>
    </row>
    <row r="6522" spans="2:2" x14ac:dyDescent="0.2">
      <c r="B6522" s="10"/>
    </row>
    <row r="6523" spans="2:2" x14ac:dyDescent="0.2">
      <c r="B6523" s="10"/>
    </row>
    <row r="6524" spans="2:2" x14ac:dyDescent="0.2">
      <c r="B6524" s="10"/>
    </row>
    <row r="6525" spans="2:2" x14ac:dyDescent="0.2">
      <c r="B6525" s="10"/>
    </row>
    <row r="6526" spans="2:2" x14ac:dyDescent="0.2">
      <c r="B6526" s="10"/>
    </row>
    <row r="6527" spans="2:2" x14ac:dyDescent="0.2">
      <c r="B6527" s="10"/>
    </row>
    <row r="6528" spans="2:2" x14ac:dyDescent="0.2">
      <c r="B6528" s="10"/>
    </row>
    <row r="6529" spans="2:2" x14ac:dyDescent="0.2">
      <c r="B6529" s="10"/>
    </row>
    <row r="6530" spans="2:2" x14ac:dyDescent="0.2">
      <c r="B6530" s="10"/>
    </row>
    <row r="6531" spans="2:2" x14ac:dyDescent="0.2">
      <c r="B6531" s="10"/>
    </row>
    <row r="6532" spans="2:2" x14ac:dyDescent="0.2">
      <c r="B6532" s="10"/>
    </row>
    <row r="6533" spans="2:2" x14ac:dyDescent="0.2">
      <c r="B6533" s="10"/>
    </row>
    <row r="6534" spans="2:2" x14ac:dyDescent="0.2">
      <c r="B6534" s="10"/>
    </row>
    <row r="6535" spans="2:2" x14ac:dyDescent="0.2">
      <c r="B6535" s="10"/>
    </row>
    <row r="6536" spans="2:2" x14ac:dyDescent="0.2">
      <c r="B6536" s="10"/>
    </row>
    <row r="6537" spans="2:2" x14ac:dyDescent="0.2">
      <c r="B6537" s="10"/>
    </row>
    <row r="6538" spans="2:2" x14ac:dyDescent="0.2">
      <c r="B6538" s="10"/>
    </row>
    <row r="6539" spans="2:2" x14ac:dyDescent="0.2">
      <c r="B6539" s="10"/>
    </row>
    <row r="6540" spans="2:2" x14ac:dyDescent="0.2">
      <c r="B6540" s="10"/>
    </row>
    <row r="6541" spans="2:2" x14ac:dyDescent="0.2">
      <c r="B6541" s="10"/>
    </row>
    <row r="6542" spans="2:2" x14ac:dyDescent="0.2">
      <c r="B6542" s="10"/>
    </row>
    <row r="6543" spans="2:2" x14ac:dyDescent="0.2">
      <c r="B6543" s="10"/>
    </row>
    <row r="6544" spans="2:2" x14ac:dyDescent="0.2">
      <c r="B6544" s="10"/>
    </row>
    <row r="6545" spans="2:2" x14ac:dyDescent="0.2">
      <c r="B6545" s="10"/>
    </row>
    <row r="6546" spans="2:2" x14ac:dyDescent="0.2">
      <c r="B6546" s="10"/>
    </row>
    <row r="6547" spans="2:2" x14ac:dyDescent="0.2">
      <c r="B6547" s="10"/>
    </row>
    <row r="6548" spans="2:2" x14ac:dyDescent="0.2">
      <c r="B6548" s="10"/>
    </row>
    <row r="6549" spans="2:2" x14ac:dyDescent="0.2">
      <c r="B6549" s="10"/>
    </row>
    <row r="6550" spans="2:2" x14ac:dyDescent="0.2">
      <c r="B6550" s="10"/>
    </row>
    <row r="6551" spans="2:2" x14ac:dyDescent="0.2">
      <c r="B6551" s="10"/>
    </row>
    <row r="6552" spans="2:2" x14ac:dyDescent="0.2">
      <c r="B6552" s="10"/>
    </row>
    <row r="6553" spans="2:2" x14ac:dyDescent="0.2">
      <c r="B6553" s="10"/>
    </row>
    <row r="6554" spans="2:2" x14ac:dyDescent="0.2">
      <c r="B6554" s="10"/>
    </row>
    <row r="6555" spans="2:2" x14ac:dyDescent="0.2">
      <c r="B6555" s="10"/>
    </row>
    <row r="6556" spans="2:2" x14ac:dyDescent="0.2">
      <c r="B6556" s="10"/>
    </row>
    <row r="6557" spans="2:2" x14ac:dyDescent="0.2">
      <c r="B6557" s="10"/>
    </row>
    <row r="6558" spans="2:2" x14ac:dyDescent="0.2">
      <c r="B6558" s="10"/>
    </row>
    <row r="6559" spans="2:2" x14ac:dyDescent="0.2">
      <c r="B6559" s="10"/>
    </row>
    <row r="6560" spans="2:2" x14ac:dyDescent="0.2">
      <c r="B6560" s="10"/>
    </row>
    <row r="6561" spans="2:2" x14ac:dyDescent="0.2">
      <c r="B6561" s="10"/>
    </row>
    <row r="6562" spans="2:2" x14ac:dyDescent="0.2">
      <c r="B6562" s="10"/>
    </row>
    <row r="6563" spans="2:2" x14ac:dyDescent="0.2">
      <c r="B6563" s="10"/>
    </row>
    <row r="6564" spans="2:2" x14ac:dyDescent="0.2">
      <c r="B6564" s="10"/>
    </row>
    <row r="6565" spans="2:2" x14ac:dyDescent="0.2">
      <c r="B6565" s="10"/>
    </row>
    <row r="6566" spans="2:2" x14ac:dyDescent="0.2">
      <c r="B6566" s="10"/>
    </row>
    <row r="6567" spans="2:2" x14ac:dyDescent="0.2">
      <c r="B6567" s="10"/>
    </row>
    <row r="6568" spans="2:2" x14ac:dyDescent="0.2">
      <c r="B6568" s="10"/>
    </row>
    <row r="6569" spans="2:2" x14ac:dyDescent="0.2">
      <c r="B6569" s="10"/>
    </row>
    <row r="6570" spans="2:2" x14ac:dyDescent="0.2">
      <c r="B6570" s="10"/>
    </row>
    <row r="6571" spans="2:2" x14ac:dyDescent="0.2">
      <c r="B6571" s="10"/>
    </row>
    <row r="6572" spans="2:2" x14ac:dyDescent="0.2">
      <c r="B6572" s="10"/>
    </row>
    <row r="6573" spans="2:2" x14ac:dyDescent="0.2">
      <c r="B6573" s="10"/>
    </row>
    <row r="6574" spans="2:2" x14ac:dyDescent="0.2">
      <c r="B6574" s="10"/>
    </row>
    <row r="6575" spans="2:2" x14ac:dyDescent="0.2">
      <c r="B6575" s="10"/>
    </row>
    <row r="6576" spans="2:2" x14ac:dyDescent="0.2">
      <c r="B6576" s="10"/>
    </row>
    <row r="6577" spans="2:2" x14ac:dyDescent="0.2">
      <c r="B6577" s="10"/>
    </row>
    <row r="6578" spans="2:2" x14ac:dyDescent="0.2">
      <c r="B6578" s="10"/>
    </row>
    <row r="6579" spans="2:2" x14ac:dyDescent="0.2">
      <c r="B6579" s="10"/>
    </row>
    <row r="6580" spans="2:2" x14ac:dyDescent="0.2">
      <c r="B6580" s="10"/>
    </row>
    <row r="6581" spans="2:2" x14ac:dyDescent="0.2">
      <c r="B6581" s="10"/>
    </row>
    <row r="6582" spans="2:2" x14ac:dyDescent="0.2">
      <c r="B6582" s="10"/>
    </row>
    <row r="6583" spans="2:2" x14ac:dyDescent="0.2">
      <c r="B6583" s="10"/>
    </row>
    <row r="6584" spans="2:2" x14ac:dyDescent="0.2">
      <c r="B6584" s="10"/>
    </row>
    <row r="6585" spans="2:2" x14ac:dyDescent="0.2">
      <c r="B6585" s="10"/>
    </row>
    <row r="6586" spans="2:2" x14ac:dyDescent="0.2">
      <c r="B6586" s="10"/>
    </row>
    <row r="6587" spans="2:2" x14ac:dyDescent="0.2">
      <c r="B6587" s="10"/>
    </row>
    <row r="6588" spans="2:2" x14ac:dyDescent="0.2">
      <c r="B6588" s="10"/>
    </row>
    <row r="6589" spans="2:2" x14ac:dyDescent="0.2">
      <c r="B6589" s="10"/>
    </row>
    <row r="6590" spans="2:2" x14ac:dyDescent="0.2">
      <c r="B6590" s="10"/>
    </row>
    <row r="6591" spans="2:2" x14ac:dyDescent="0.2">
      <c r="B6591" s="10"/>
    </row>
    <row r="6592" spans="2:2" x14ac:dyDescent="0.2">
      <c r="B6592" s="10"/>
    </row>
    <row r="6593" spans="2:2" x14ac:dyDescent="0.2">
      <c r="B6593" s="10"/>
    </row>
    <row r="6594" spans="2:2" x14ac:dyDescent="0.2">
      <c r="B6594" s="10"/>
    </row>
    <row r="6595" spans="2:2" x14ac:dyDescent="0.2">
      <c r="B6595" s="10"/>
    </row>
    <row r="6596" spans="2:2" x14ac:dyDescent="0.2">
      <c r="B6596" s="10"/>
    </row>
    <row r="6597" spans="2:2" x14ac:dyDescent="0.2">
      <c r="B6597" s="10"/>
    </row>
    <row r="6598" spans="2:2" x14ac:dyDescent="0.2">
      <c r="B6598" s="10"/>
    </row>
    <row r="6599" spans="2:2" x14ac:dyDescent="0.2">
      <c r="B6599" s="10"/>
    </row>
    <row r="6600" spans="2:2" x14ac:dyDescent="0.2">
      <c r="B6600" s="10"/>
    </row>
    <row r="6601" spans="2:2" x14ac:dyDescent="0.2">
      <c r="B6601" s="10"/>
    </row>
    <row r="6602" spans="2:2" x14ac:dyDescent="0.2">
      <c r="B6602" s="10"/>
    </row>
    <row r="6603" spans="2:2" x14ac:dyDescent="0.2">
      <c r="B6603" s="10"/>
    </row>
    <row r="6604" spans="2:2" x14ac:dyDescent="0.2">
      <c r="B6604" s="10"/>
    </row>
    <row r="6605" spans="2:2" x14ac:dyDescent="0.2">
      <c r="B6605" s="10"/>
    </row>
    <row r="6606" spans="2:2" x14ac:dyDescent="0.2">
      <c r="B6606" s="10"/>
    </row>
    <row r="6607" spans="2:2" x14ac:dyDescent="0.2">
      <c r="B6607" s="10"/>
    </row>
    <row r="6608" spans="2:2" x14ac:dyDescent="0.2">
      <c r="B6608" s="10"/>
    </row>
    <row r="6609" spans="2:2" x14ac:dyDescent="0.2">
      <c r="B6609" s="10"/>
    </row>
    <row r="6610" spans="2:2" x14ac:dyDescent="0.2">
      <c r="B6610" s="10"/>
    </row>
    <row r="6611" spans="2:2" x14ac:dyDescent="0.2">
      <c r="B6611" s="10"/>
    </row>
    <row r="6612" spans="2:2" x14ac:dyDescent="0.2">
      <c r="B6612" s="10"/>
    </row>
    <row r="6613" spans="2:2" x14ac:dyDescent="0.2">
      <c r="B6613" s="10"/>
    </row>
    <row r="6614" spans="2:2" x14ac:dyDescent="0.2">
      <c r="B6614" s="10"/>
    </row>
    <row r="6615" spans="2:2" x14ac:dyDescent="0.2">
      <c r="B6615" s="10"/>
    </row>
    <row r="6616" spans="2:2" x14ac:dyDescent="0.2">
      <c r="B6616" s="10"/>
    </row>
    <row r="6617" spans="2:2" x14ac:dyDescent="0.2">
      <c r="B6617" s="10"/>
    </row>
    <row r="6618" spans="2:2" x14ac:dyDescent="0.2">
      <c r="B6618" s="10"/>
    </row>
    <row r="6619" spans="2:2" x14ac:dyDescent="0.2">
      <c r="B6619" s="10"/>
    </row>
    <row r="6620" spans="2:2" x14ac:dyDescent="0.2">
      <c r="B6620" s="10"/>
    </row>
    <row r="6621" spans="2:2" x14ac:dyDescent="0.2">
      <c r="B6621" s="10"/>
    </row>
    <row r="6622" spans="2:2" x14ac:dyDescent="0.2">
      <c r="B6622" s="10"/>
    </row>
    <row r="6623" spans="2:2" x14ac:dyDescent="0.2">
      <c r="B6623" s="10"/>
    </row>
    <row r="6624" spans="2:2" x14ac:dyDescent="0.2">
      <c r="B6624" s="10"/>
    </row>
    <row r="6625" spans="2:2" x14ac:dyDescent="0.2">
      <c r="B6625" s="10"/>
    </row>
    <row r="6626" spans="2:2" x14ac:dyDescent="0.2">
      <c r="B6626" s="10"/>
    </row>
    <row r="6627" spans="2:2" x14ac:dyDescent="0.2">
      <c r="B6627" s="10"/>
    </row>
    <row r="6628" spans="2:2" x14ac:dyDescent="0.2">
      <c r="B6628" s="10"/>
    </row>
    <row r="6629" spans="2:2" x14ac:dyDescent="0.2">
      <c r="B6629" s="10"/>
    </row>
    <row r="6630" spans="2:2" x14ac:dyDescent="0.2">
      <c r="B6630" s="10"/>
    </row>
    <row r="6631" spans="2:2" x14ac:dyDescent="0.2">
      <c r="B6631" s="10"/>
    </row>
    <row r="6632" spans="2:2" x14ac:dyDescent="0.2">
      <c r="B6632" s="10"/>
    </row>
    <row r="6633" spans="2:2" x14ac:dyDescent="0.2">
      <c r="B6633" s="10"/>
    </row>
    <row r="6634" spans="2:2" x14ac:dyDescent="0.2">
      <c r="B6634" s="10"/>
    </row>
    <row r="6635" spans="2:2" x14ac:dyDescent="0.2">
      <c r="B6635" s="10"/>
    </row>
    <row r="6636" spans="2:2" x14ac:dyDescent="0.2">
      <c r="B6636" s="10"/>
    </row>
    <row r="6637" spans="2:2" x14ac:dyDescent="0.2">
      <c r="B6637" s="10"/>
    </row>
    <row r="6638" spans="2:2" x14ac:dyDescent="0.2">
      <c r="B6638" s="10"/>
    </row>
    <row r="6639" spans="2:2" x14ac:dyDescent="0.2">
      <c r="B6639" s="10"/>
    </row>
    <row r="6640" spans="2:2" x14ac:dyDescent="0.2">
      <c r="B6640" s="10"/>
    </row>
    <row r="6641" spans="2:2" x14ac:dyDescent="0.2">
      <c r="B6641" s="10"/>
    </row>
    <row r="6642" spans="2:2" x14ac:dyDescent="0.2">
      <c r="B6642" s="10"/>
    </row>
    <row r="6643" spans="2:2" x14ac:dyDescent="0.2">
      <c r="B6643" s="10"/>
    </row>
    <row r="6644" spans="2:2" x14ac:dyDescent="0.2">
      <c r="B6644" s="10"/>
    </row>
    <row r="6645" spans="2:2" x14ac:dyDescent="0.2">
      <c r="B6645" s="10"/>
    </row>
    <row r="6646" spans="2:2" x14ac:dyDescent="0.2">
      <c r="B6646" s="10"/>
    </row>
    <row r="6647" spans="2:2" x14ac:dyDescent="0.2">
      <c r="B6647" s="10"/>
    </row>
    <row r="6648" spans="2:2" x14ac:dyDescent="0.2">
      <c r="B6648" s="10"/>
    </row>
    <row r="6649" spans="2:2" x14ac:dyDescent="0.2">
      <c r="B6649" s="10"/>
    </row>
    <row r="6650" spans="2:2" x14ac:dyDescent="0.2">
      <c r="B6650" s="10"/>
    </row>
    <row r="6651" spans="2:2" x14ac:dyDescent="0.2">
      <c r="B6651" s="10"/>
    </row>
    <row r="6652" spans="2:2" x14ac:dyDescent="0.2">
      <c r="B6652" s="10"/>
    </row>
    <row r="6653" spans="2:2" x14ac:dyDescent="0.2">
      <c r="B6653" s="10"/>
    </row>
    <row r="6654" spans="2:2" x14ac:dyDescent="0.2">
      <c r="B6654" s="10"/>
    </row>
    <row r="6655" spans="2:2" x14ac:dyDescent="0.2">
      <c r="B6655" s="10"/>
    </row>
    <row r="6656" spans="2:2" x14ac:dyDescent="0.2">
      <c r="B6656" s="10"/>
    </row>
    <row r="6657" spans="2:2" x14ac:dyDescent="0.2">
      <c r="B6657" s="10"/>
    </row>
    <row r="6658" spans="2:2" x14ac:dyDescent="0.2">
      <c r="B6658" s="10"/>
    </row>
    <row r="6659" spans="2:2" x14ac:dyDescent="0.2">
      <c r="B6659" s="10"/>
    </row>
    <row r="6660" spans="2:2" x14ac:dyDescent="0.2">
      <c r="B6660" s="10"/>
    </row>
    <row r="6661" spans="2:2" x14ac:dyDescent="0.2">
      <c r="B6661" s="10"/>
    </row>
    <row r="6662" spans="2:2" x14ac:dyDescent="0.2">
      <c r="B6662" s="10"/>
    </row>
    <row r="6663" spans="2:2" x14ac:dyDescent="0.2">
      <c r="B6663" s="10"/>
    </row>
    <row r="6664" spans="2:2" x14ac:dyDescent="0.2">
      <c r="B6664" s="10"/>
    </row>
    <row r="6665" spans="2:2" x14ac:dyDescent="0.2">
      <c r="B6665" s="10"/>
    </row>
    <row r="6666" spans="2:2" x14ac:dyDescent="0.2">
      <c r="B6666" s="10"/>
    </row>
    <row r="6667" spans="2:2" x14ac:dyDescent="0.2">
      <c r="B6667" s="10"/>
    </row>
    <row r="6668" spans="2:2" x14ac:dyDescent="0.2">
      <c r="B6668" s="10"/>
    </row>
    <row r="6669" spans="2:2" x14ac:dyDescent="0.2">
      <c r="B6669" s="10"/>
    </row>
    <row r="6670" spans="2:2" x14ac:dyDescent="0.2">
      <c r="B6670" s="10"/>
    </row>
    <row r="6671" spans="2:2" x14ac:dyDescent="0.2">
      <c r="B6671" s="10"/>
    </row>
    <row r="6672" spans="2:2" x14ac:dyDescent="0.2">
      <c r="B6672" s="10"/>
    </row>
    <row r="6673" spans="2:2" x14ac:dyDescent="0.2">
      <c r="B6673" s="10"/>
    </row>
    <row r="6674" spans="2:2" x14ac:dyDescent="0.2">
      <c r="B6674" s="10"/>
    </row>
    <row r="6675" spans="2:2" x14ac:dyDescent="0.2">
      <c r="B6675" s="10"/>
    </row>
    <row r="6676" spans="2:2" x14ac:dyDescent="0.2">
      <c r="B6676" s="10"/>
    </row>
    <row r="6677" spans="2:2" x14ac:dyDescent="0.2">
      <c r="B6677" s="10"/>
    </row>
    <row r="6678" spans="2:2" x14ac:dyDescent="0.2">
      <c r="B6678" s="10"/>
    </row>
    <row r="6679" spans="2:2" x14ac:dyDescent="0.2">
      <c r="B6679" s="10"/>
    </row>
    <row r="6680" spans="2:2" x14ac:dyDescent="0.2">
      <c r="B6680" s="10"/>
    </row>
    <row r="6681" spans="2:2" x14ac:dyDescent="0.2">
      <c r="B6681" s="10"/>
    </row>
    <row r="6682" spans="2:2" x14ac:dyDescent="0.2">
      <c r="B6682" s="10"/>
    </row>
    <row r="6683" spans="2:2" x14ac:dyDescent="0.2">
      <c r="B6683" s="10"/>
    </row>
    <row r="6684" spans="2:2" x14ac:dyDescent="0.2">
      <c r="B6684" s="10"/>
    </row>
    <row r="6685" spans="2:2" x14ac:dyDescent="0.2">
      <c r="B6685" s="10"/>
    </row>
    <row r="6686" spans="2:2" x14ac:dyDescent="0.2">
      <c r="B6686" s="10"/>
    </row>
    <row r="6687" spans="2:2" x14ac:dyDescent="0.2">
      <c r="B6687" s="10"/>
    </row>
    <row r="6688" spans="2:2" x14ac:dyDescent="0.2">
      <c r="B6688" s="10"/>
    </row>
    <row r="6689" spans="2:2" x14ac:dyDescent="0.2">
      <c r="B6689" s="10"/>
    </row>
    <row r="6690" spans="2:2" x14ac:dyDescent="0.2">
      <c r="B6690" s="10"/>
    </row>
    <row r="6691" spans="2:2" x14ac:dyDescent="0.2">
      <c r="B6691" s="10"/>
    </row>
    <row r="6692" spans="2:2" x14ac:dyDescent="0.2">
      <c r="B6692" s="10"/>
    </row>
    <row r="6693" spans="2:2" x14ac:dyDescent="0.2">
      <c r="B6693" s="10"/>
    </row>
    <row r="6694" spans="2:2" x14ac:dyDescent="0.2">
      <c r="B6694" s="10"/>
    </row>
    <row r="6695" spans="2:2" x14ac:dyDescent="0.2">
      <c r="B6695" s="10"/>
    </row>
    <row r="6696" spans="2:2" x14ac:dyDescent="0.2">
      <c r="B6696" s="10"/>
    </row>
    <row r="6697" spans="2:2" x14ac:dyDescent="0.2">
      <c r="B6697" s="10"/>
    </row>
    <row r="6698" spans="2:2" x14ac:dyDescent="0.2">
      <c r="B6698" s="10"/>
    </row>
    <row r="6699" spans="2:2" x14ac:dyDescent="0.2">
      <c r="B6699" s="10"/>
    </row>
    <row r="6700" spans="2:2" x14ac:dyDescent="0.2">
      <c r="B6700" s="10"/>
    </row>
    <row r="6701" spans="2:2" x14ac:dyDescent="0.2">
      <c r="B6701" s="10"/>
    </row>
    <row r="6702" spans="2:2" x14ac:dyDescent="0.2">
      <c r="B6702" s="10"/>
    </row>
    <row r="6703" spans="2:2" x14ac:dyDescent="0.2">
      <c r="B6703" s="10"/>
    </row>
    <row r="6704" spans="2:2" x14ac:dyDescent="0.2">
      <c r="B6704" s="10"/>
    </row>
    <row r="6705" spans="2:2" x14ac:dyDescent="0.2">
      <c r="B6705" s="10"/>
    </row>
    <row r="6706" spans="2:2" x14ac:dyDescent="0.2">
      <c r="B6706" s="10"/>
    </row>
    <row r="6707" spans="2:2" x14ac:dyDescent="0.2">
      <c r="B6707" s="10"/>
    </row>
    <row r="6708" spans="2:2" x14ac:dyDescent="0.2">
      <c r="B6708" s="10"/>
    </row>
    <row r="6709" spans="2:2" x14ac:dyDescent="0.2">
      <c r="B6709" s="10"/>
    </row>
    <row r="6710" spans="2:2" x14ac:dyDescent="0.2">
      <c r="B6710" s="10"/>
    </row>
    <row r="6711" spans="2:2" x14ac:dyDescent="0.2">
      <c r="B6711" s="10"/>
    </row>
    <row r="6712" spans="2:2" x14ac:dyDescent="0.2">
      <c r="B6712" s="10"/>
    </row>
    <row r="6713" spans="2:2" x14ac:dyDescent="0.2">
      <c r="B6713" s="10"/>
    </row>
    <row r="6714" spans="2:2" x14ac:dyDescent="0.2">
      <c r="B6714" s="10"/>
    </row>
    <row r="6715" spans="2:2" x14ac:dyDescent="0.2">
      <c r="B6715" s="10"/>
    </row>
    <row r="6716" spans="2:2" x14ac:dyDescent="0.2">
      <c r="B6716" s="10"/>
    </row>
    <row r="6717" spans="2:2" x14ac:dyDescent="0.2">
      <c r="B6717" s="10"/>
    </row>
    <row r="6718" spans="2:2" x14ac:dyDescent="0.2">
      <c r="B6718" s="10"/>
    </row>
    <row r="6719" spans="2:2" x14ac:dyDescent="0.2">
      <c r="B6719" s="10"/>
    </row>
    <row r="6720" spans="2:2" x14ac:dyDescent="0.2">
      <c r="B6720" s="10"/>
    </row>
    <row r="6721" spans="2:2" x14ac:dyDescent="0.2">
      <c r="B6721" s="10"/>
    </row>
    <row r="6722" spans="2:2" x14ac:dyDescent="0.2">
      <c r="B6722" s="10"/>
    </row>
    <row r="6723" spans="2:2" x14ac:dyDescent="0.2">
      <c r="B6723" s="10"/>
    </row>
    <row r="6724" spans="2:2" x14ac:dyDescent="0.2">
      <c r="B6724" s="10"/>
    </row>
    <row r="6725" spans="2:2" x14ac:dyDescent="0.2">
      <c r="B6725" s="10"/>
    </row>
    <row r="6726" spans="2:2" x14ac:dyDescent="0.2">
      <c r="B6726" s="10"/>
    </row>
    <row r="6727" spans="2:2" x14ac:dyDescent="0.2">
      <c r="B6727" s="10"/>
    </row>
    <row r="6728" spans="2:2" x14ac:dyDescent="0.2">
      <c r="B6728" s="10"/>
    </row>
    <row r="6729" spans="2:2" x14ac:dyDescent="0.2">
      <c r="B6729" s="10"/>
    </row>
    <row r="6730" spans="2:2" x14ac:dyDescent="0.2">
      <c r="B6730" s="10"/>
    </row>
    <row r="6731" spans="2:2" x14ac:dyDescent="0.2">
      <c r="B6731" s="10"/>
    </row>
    <row r="6732" spans="2:2" x14ac:dyDescent="0.2">
      <c r="B6732" s="10"/>
    </row>
    <row r="6733" spans="2:2" x14ac:dyDescent="0.2">
      <c r="B6733" s="10"/>
    </row>
    <row r="6734" spans="2:2" x14ac:dyDescent="0.2">
      <c r="B6734" s="10"/>
    </row>
    <row r="6735" spans="2:2" x14ac:dyDescent="0.2">
      <c r="B6735" s="10"/>
    </row>
    <row r="6736" spans="2:2" x14ac:dyDescent="0.2">
      <c r="B6736" s="10"/>
    </row>
    <row r="6737" spans="2:2" x14ac:dyDescent="0.2">
      <c r="B6737" s="10"/>
    </row>
    <row r="6738" spans="2:2" x14ac:dyDescent="0.2">
      <c r="B6738" s="10"/>
    </row>
    <row r="6739" spans="2:2" x14ac:dyDescent="0.2">
      <c r="B6739" s="10"/>
    </row>
    <row r="6740" spans="2:2" x14ac:dyDescent="0.2">
      <c r="B6740" s="10"/>
    </row>
    <row r="6741" spans="2:2" x14ac:dyDescent="0.2">
      <c r="B6741" s="10"/>
    </row>
    <row r="6742" spans="2:2" x14ac:dyDescent="0.2">
      <c r="B6742" s="10"/>
    </row>
    <row r="6743" spans="2:2" x14ac:dyDescent="0.2">
      <c r="B6743" s="10"/>
    </row>
    <row r="6744" spans="2:2" x14ac:dyDescent="0.2">
      <c r="B6744" s="10"/>
    </row>
    <row r="6745" spans="2:2" x14ac:dyDescent="0.2">
      <c r="B6745" s="10"/>
    </row>
    <row r="6746" spans="2:2" x14ac:dyDescent="0.2">
      <c r="B6746" s="10"/>
    </row>
    <row r="6747" spans="2:2" x14ac:dyDescent="0.2">
      <c r="B6747" s="10"/>
    </row>
    <row r="6748" spans="2:2" x14ac:dyDescent="0.2">
      <c r="B6748" s="10"/>
    </row>
    <row r="6749" spans="2:2" x14ac:dyDescent="0.2">
      <c r="B6749" s="10"/>
    </row>
    <row r="6750" spans="2:2" x14ac:dyDescent="0.2">
      <c r="B6750" s="10"/>
    </row>
    <row r="6751" spans="2:2" x14ac:dyDescent="0.2">
      <c r="B6751" s="10"/>
    </row>
    <row r="6752" spans="2:2" x14ac:dyDescent="0.2">
      <c r="B6752" s="10"/>
    </row>
    <row r="6753" spans="2:2" x14ac:dyDescent="0.2">
      <c r="B6753" s="10"/>
    </row>
    <row r="6754" spans="2:2" x14ac:dyDescent="0.2">
      <c r="B6754" s="10"/>
    </row>
    <row r="6755" spans="2:2" x14ac:dyDescent="0.2">
      <c r="B6755" s="10"/>
    </row>
    <row r="6756" spans="2:2" x14ac:dyDescent="0.2">
      <c r="B6756" s="10"/>
    </row>
    <row r="6757" spans="2:2" x14ac:dyDescent="0.2">
      <c r="B6757" s="10"/>
    </row>
    <row r="6758" spans="2:2" x14ac:dyDescent="0.2">
      <c r="B6758" s="10"/>
    </row>
    <row r="6759" spans="2:2" x14ac:dyDescent="0.2">
      <c r="B6759" s="10"/>
    </row>
    <row r="6760" spans="2:2" x14ac:dyDescent="0.2">
      <c r="B6760" s="10"/>
    </row>
    <row r="6761" spans="2:2" x14ac:dyDescent="0.2">
      <c r="B6761" s="10"/>
    </row>
    <row r="6762" spans="2:2" x14ac:dyDescent="0.2">
      <c r="B6762" s="10"/>
    </row>
    <row r="6763" spans="2:2" x14ac:dyDescent="0.2">
      <c r="B6763" s="10"/>
    </row>
    <row r="6764" spans="2:2" x14ac:dyDescent="0.2">
      <c r="B6764" s="10"/>
    </row>
    <row r="6765" spans="2:2" x14ac:dyDescent="0.2">
      <c r="B6765" s="10"/>
    </row>
    <row r="6766" spans="2:2" x14ac:dyDescent="0.2">
      <c r="B6766" s="10"/>
    </row>
    <row r="6767" spans="2:2" x14ac:dyDescent="0.2">
      <c r="B6767" s="10"/>
    </row>
    <row r="6768" spans="2:2" x14ac:dyDescent="0.2">
      <c r="B6768" s="10"/>
    </row>
    <row r="6769" spans="2:2" x14ac:dyDescent="0.2">
      <c r="B6769" s="10"/>
    </row>
    <row r="6770" spans="2:2" x14ac:dyDescent="0.2">
      <c r="B6770" s="10"/>
    </row>
    <row r="6771" spans="2:2" x14ac:dyDescent="0.2">
      <c r="B6771" s="10"/>
    </row>
    <row r="6772" spans="2:2" x14ac:dyDescent="0.2">
      <c r="B6772" s="10"/>
    </row>
    <row r="6773" spans="2:2" x14ac:dyDescent="0.2">
      <c r="B6773" s="10"/>
    </row>
    <row r="6774" spans="2:2" x14ac:dyDescent="0.2">
      <c r="B6774" s="10"/>
    </row>
    <row r="6775" spans="2:2" x14ac:dyDescent="0.2">
      <c r="B6775" s="10"/>
    </row>
    <row r="6776" spans="2:2" x14ac:dyDescent="0.2">
      <c r="B6776" s="10"/>
    </row>
    <row r="6777" spans="2:2" x14ac:dyDescent="0.2">
      <c r="B6777" s="10"/>
    </row>
    <row r="6778" spans="2:2" x14ac:dyDescent="0.2">
      <c r="B6778" s="10"/>
    </row>
    <row r="6779" spans="2:2" x14ac:dyDescent="0.2">
      <c r="B6779" s="10"/>
    </row>
    <row r="6780" spans="2:2" x14ac:dyDescent="0.2">
      <c r="B6780" s="10"/>
    </row>
    <row r="6781" spans="2:2" x14ac:dyDescent="0.2">
      <c r="B6781" s="10"/>
    </row>
    <row r="6782" spans="2:2" x14ac:dyDescent="0.2">
      <c r="B6782" s="10"/>
    </row>
    <row r="6783" spans="2:2" x14ac:dyDescent="0.2">
      <c r="B6783" s="10"/>
    </row>
    <row r="6784" spans="2:2" x14ac:dyDescent="0.2">
      <c r="B6784" s="10"/>
    </row>
    <row r="6785" spans="2:2" x14ac:dyDescent="0.2">
      <c r="B6785" s="10"/>
    </row>
    <row r="6786" spans="2:2" x14ac:dyDescent="0.2">
      <c r="B6786" s="10"/>
    </row>
    <row r="6787" spans="2:2" x14ac:dyDescent="0.2">
      <c r="B6787" s="10"/>
    </row>
    <row r="6788" spans="2:2" x14ac:dyDescent="0.2">
      <c r="B6788" s="10"/>
    </row>
    <row r="6789" spans="2:2" x14ac:dyDescent="0.2">
      <c r="B6789" s="10"/>
    </row>
    <row r="6790" spans="2:2" x14ac:dyDescent="0.2">
      <c r="B6790" s="10"/>
    </row>
    <row r="6791" spans="2:2" x14ac:dyDescent="0.2">
      <c r="B6791" s="10"/>
    </row>
    <row r="6792" spans="2:2" x14ac:dyDescent="0.2">
      <c r="B6792" s="10"/>
    </row>
    <row r="6793" spans="2:2" x14ac:dyDescent="0.2">
      <c r="B6793" s="10"/>
    </row>
    <row r="6794" spans="2:2" x14ac:dyDescent="0.2">
      <c r="B6794" s="10"/>
    </row>
    <row r="6795" spans="2:2" x14ac:dyDescent="0.2">
      <c r="B6795" s="10"/>
    </row>
    <row r="6796" spans="2:2" x14ac:dyDescent="0.2">
      <c r="B6796" s="10"/>
    </row>
    <row r="6797" spans="2:2" x14ac:dyDescent="0.2">
      <c r="B6797" s="10"/>
    </row>
    <row r="6798" spans="2:2" x14ac:dyDescent="0.2">
      <c r="B6798" s="10"/>
    </row>
    <row r="6799" spans="2:2" x14ac:dyDescent="0.2">
      <c r="B6799" s="10"/>
    </row>
    <row r="6800" spans="2:2" x14ac:dyDescent="0.2">
      <c r="B6800" s="10"/>
    </row>
    <row r="6801" spans="2:2" x14ac:dyDescent="0.2">
      <c r="B6801" s="10"/>
    </row>
    <row r="6802" spans="2:2" x14ac:dyDescent="0.2">
      <c r="B6802" s="10"/>
    </row>
    <row r="6803" spans="2:2" x14ac:dyDescent="0.2">
      <c r="B6803" s="10"/>
    </row>
    <row r="6804" spans="2:2" x14ac:dyDescent="0.2">
      <c r="B6804" s="10"/>
    </row>
    <row r="6805" spans="2:2" x14ac:dyDescent="0.2">
      <c r="B6805" s="10"/>
    </row>
    <row r="6806" spans="2:2" x14ac:dyDescent="0.2">
      <c r="B6806" s="10"/>
    </row>
    <row r="6807" spans="2:2" x14ac:dyDescent="0.2">
      <c r="B6807" s="10"/>
    </row>
    <row r="6808" spans="2:2" x14ac:dyDescent="0.2">
      <c r="B6808" s="10"/>
    </row>
    <row r="6809" spans="2:2" x14ac:dyDescent="0.2">
      <c r="B6809" s="10"/>
    </row>
    <row r="6810" spans="2:2" x14ac:dyDescent="0.2">
      <c r="B6810" s="10"/>
    </row>
    <row r="6811" spans="2:2" x14ac:dyDescent="0.2">
      <c r="B6811" s="10"/>
    </row>
    <row r="6812" spans="2:2" x14ac:dyDescent="0.2">
      <c r="B6812" s="10"/>
    </row>
    <row r="6813" spans="2:2" x14ac:dyDescent="0.2">
      <c r="B6813" s="10"/>
    </row>
    <row r="6814" spans="2:2" x14ac:dyDescent="0.2">
      <c r="B6814" s="10"/>
    </row>
    <row r="6815" spans="2:2" x14ac:dyDescent="0.2">
      <c r="B6815" s="10"/>
    </row>
    <row r="6816" spans="2:2" x14ac:dyDescent="0.2">
      <c r="B6816" s="10"/>
    </row>
    <row r="6817" spans="2:2" x14ac:dyDescent="0.2">
      <c r="B6817" s="10"/>
    </row>
    <row r="6818" spans="2:2" x14ac:dyDescent="0.2">
      <c r="B6818" s="10"/>
    </row>
    <row r="6819" spans="2:2" x14ac:dyDescent="0.2">
      <c r="B6819" s="10"/>
    </row>
    <row r="6820" spans="2:2" x14ac:dyDescent="0.2">
      <c r="B6820" s="10"/>
    </row>
    <row r="6821" spans="2:2" x14ac:dyDescent="0.2">
      <c r="B6821" s="10"/>
    </row>
    <row r="6822" spans="2:2" x14ac:dyDescent="0.2">
      <c r="B6822" s="10"/>
    </row>
    <row r="6823" spans="2:2" x14ac:dyDescent="0.2">
      <c r="B6823" s="10"/>
    </row>
    <row r="6824" spans="2:2" x14ac:dyDescent="0.2">
      <c r="B6824" s="10"/>
    </row>
    <row r="6825" spans="2:2" x14ac:dyDescent="0.2">
      <c r="B6825" s="10"/>
    </row>
    <row r="6826" spans="2:2" x14ac:dyDescent="0.2">
      <c r="B6826" s="10"/>
    </row>
    <row r="6827" spans="2:2" x14ac:dyDescent="0.2">
      <c r="B6827" s="10"/>
    </row>
    <row r="6828" spans="2:2" x14ac:dyDescent="0.2">
      <c r="B6828" s="10"/>
    </row>
    <row r="6829" spans="2:2" x14ac:dyDescent="0.2">
      <c r="B6829" s="10"/>
    </row>
    <row r="6830" spans="2:2" x14ac:dyDescent="0.2">
      <c r="B6830" s="10"/>
    </row>
    <row r="6831" spans="2:2" x14ac:dyDescent="0.2">
      <c r="B6831" s="10"/>
    </row>
    <row r="6832" spans="2:2" x14ac:dyDescent="0.2">
      <c r="B6832" s="10"/>
    </row>
    <row r="6833" spans="2:2" x14ac:dyDescent="0.2">
      <c r="B6833" s="10"/>
    </row>
    <row r="6834" spans="2:2" x14ac:dyDescent="0.2">
      <c r="B6834" s="10"/>
    </row>
    <row r="6835" spans="2:2" x14ac:dyDescent="0.2">
      <c r="B6835" s="10"/>
    </row>
    <row r="6836" spans="2:2" x14ac:dyDescent="0.2">
      <c r="B6836" s="10"/>
    </row>
    <row r="6837" spans="2:2" x14ac:dyDescent="0.2">
      <c r="B6837" s="10"/>
    </row>
    <row r="6838" spans="2:2" x14ac:dyDescent="0.2">
      <c r="B6838" s="10"/>
    </row>
    <row r="6839" spans="2:2" x14ac:dyDescent="0.2">
      <c r="B6839" s="10"/>
    </row>
    <row r="6840" spans="2:2" x14ac:dyDescent="0.2">
      <c r="B6840" s="10"/>
    </row>
    <row r="6841" spans="2:2" x14ac:dyDescent="0.2">
      <c r="B6841" s="10"/>
    </row>
    <row r="6842" spans="2:2" x14ac:dyDescent="0.2">
      <c r="B6842" s="10"/>
    </row>
    <row r="6843" spans="2:2" x14ac:dyDescent="0.2">
      <c r="B6843" s="10"/>
    </row>
    <row r="6844" spans="2:2" x14ac:dyDescent="0.2">
      <c r="B6844" s="10"/>
    </row>
    <row r="6845" spans="2:2" x14ac:dyDescent="0.2">
      <c r="B6845" s="10"/>
    </row>
    <row r="6846" spans="2:2" x14ac:dyDescent="0.2">
      <c r="B6846" s="10"/>
    </row>
    <row r="6847" spans="2:2" x14ac:dyDescent="0.2">
      <c r="B6847" s="10"/>
    </row>
    <row r="6848" spans="2:2" x14ac:dyDescent="0.2">
      <c r="B6848" s="10"/>
    </row>
    <row r="6849" spans="2:2" x14ac:dyDescent="0.2">
      <c r="B6849" s="10"/>
    </row>
    <row r="6850" spans="2:2" x14ac:dyDescent="0.2">
      <c r="B6850" s="10"/>
    </row>
    <row r="6851" spans="2:2" x14ac:dyDescent="0.2">
      <c r="B6851" s="10"/>
    </row>
    <row r="6852" spans="2:2" x14ac:dyDescent="0.2">
      <c r="B6852" s="10"/>
    </row>
    <row r="6853" spans="2:2" x14ac:dyDescent="0.2">
      <c r="B6853" s="10"/>
    </row>
    <row r="6854" spans="2:2" x14ac:dyDescent="0.2">
      <c r="B6854" s="10"/>
    </row>
    <row r="6855" spans="2:2" x14ac:dyDescent="0.2">
      <c r="B6855" s="10"/>
    </row>
    <row r="6856" spans="2:2" x14ac:dyDescent="0.2">
      <c r="B6856" s="10"/>
    </row>
    <row r="6857" spans="2:2" x14ac:dyDescent="0.2">
      <c r="B6857" s="10"/>
    </row>
    <row r="6858" spans="2:2" x14ac:dyDescent="0.2">
      <c r="B6858" s="10"/>
    </row>
    <row r="6859" spans="2:2" x14ac:dyDescent="0.2">
      <c r="B6859" s="10"/>
    </row>
    <row r="6860" spans="2:2" x14ac:dyDescent="0.2">
      <c r="B6860" s="10"/>
    </row>
    <row r="6861" spans="2:2" x14ac:dyDescent="0.2">
      <c r="B6861" s="10"/>
    </row>
    <row r="6862" spans="2:2" x14ac:dyDescent="0.2">
      <c r="B6862" s="10"/>
    </row>
    <row r="6863" spans="2:2" x14ac:dyDescent="0.2">
      <c r="B6863" s="10"/>
    </row>
    <row r="6864" spans="2:2" x14ac:dyDescent="0.2">
      <c r="B6864" s="10"/>
    </row>
    <row r="6865" spans="2:2" x14ac:dyDescent="0.2">
      <c r="B6865" s="10"/>
    </row>
    <row r="6866" spans="2:2" x14ac:dyDescent="0.2">
      <c r="B6866" s="10"/>
    </row>
    <row r="6867" spans="2:2" x14ac:dyDescent="0.2">
      <c r="B6867" s="10"/>
    </row>
    <row r="6868" spans="2:2" x14ac:dyDescent="0.2">
      <c r="B6868" s="10"/>
    </row>
    <row r="6869" spans="2:2" x14ac:dyDescent="0.2">
      <c r="B6869" s="10"/>
    </row>
    <row r="6870" spans="2:2" x14ac:dyDescent="0.2">
      <c r="B6870" s="10"/>
    </row>
    <row r="6871" spans="2:2" x14ac:dyDescent="0.2">
      <c r="B6871" s="10"/>
    </row>
    <row r="6872" spans="2:2" x14ac:dyDescent="0.2">
      <c r="B6872" s="10"/>
    </row>
    <row r="6873" spans="2:2" x14ac:dyDescent="0.2">
      <c r="B6873" s="10"/>
    </row>
    <row r="6874" spans="2:2" x14ac:dyDescent="0.2">
      <c r="B6874" s="10"/>
    </row>
    <row r="6875" spans="2:2" x14ac:dyDescent="0.2">
      <c r="B6875" s="10"/>
    </row>
    <row r="6876" spans="2:2" x14ac:dyDescent="0.2">
      <c r="B6876" s="10"/>
    </row>
    <row r="6877" spans="2:2" x14ac:dyDescent="0.2">
      <c r="B6877" s="10"/>
    </row>
    <row r="6878" spans="2:2" x14ac:dyDescent="0.2">
      <c r="B6878" s="10"/>
    </row>
    <row r="6879" spans="2:2" x14ac:dyDescent="0.2">
      <c r="B6879" s="10"/>
    </row>
    <row r="6880" spans="2:2" x14ac:dyDescent="0.2">
      <c r="B6880" s="10"/>
    </row>
    <row r="6881" spans="2:2" x14ac:dyDescent="0.2">
      <c r="B6881" s="10"/>
    </row>
    <row r="6882" spans="2:2" x14ac:dyDescent="0.2">
      <c r="B6882" s="10"/>
    </row>
    <row r="6883" spans="2:2" x14ac:dyDescent="0.2">
      <c r="B6883" s="10"/>
    </row>
    <row r="6884" spans="2:2" x14ac:dyDescent="0.2">
      <c r="B6884" s="10"/>
    </row>
    <row r="6885" spans="2:2" x14ac:dyDescent="0.2">
      <c r="B6885" s="10"/>
    </row>
    <row r="6886" spans="2:2" x14ac:dyDescent="0.2">
      <c r="B6886" s="10"/>
    </row>
    <row r="6887" spans="2:2" x14ac:dyDescent="0.2">
      <c r="B6887" s="10"/>
    </row>
    <row r="6888" spans="2:2" x14ac:dyDescent="0.2">
      <c r="B6888" s="10"/>
    </row>
    <row r="6889" spans="2:2" x14ac:dyDescent="0.2">
      <c r="B6889" s="10"/>
    </row>
    <row r="6890" spans="2:2" x14ac:dyDescent="0.2">
      <c r="B6890" s="10"/>
    </row>
    <row r="6891" spans="2:2" x14ac:dyDescent="0.2">
      <c r="B6891" s="10"/>
    </row>
    <row r="6892" spans="2:2" x14ac:dyDescent="0.2">
      <c r="B6892" s="10"/>
    </row>
    <row r="6893" spans="2:2" x14ac:dyDescent="0.2">
      <c r="B6893" s="10"/>
    </row>
    <row r="6894" spans="2:2" x14ac:dyDescent="0.2">
      <c r="B6894" s="10"/>
    </row>
    <row r="6895" spans="2:2" x14ac:dyDescent="0.2">
      <c r="B6895" s="10"/>
    </row>
    <row r="6896" spans="2:2" x14ac:dyDescent="0.2">
      <c r="B6896" s="10"/>
    </row>
    <row r="6897" spans="2:2" x14ac:dyDescent="0.2">
      <c r="B6897" s="10"/>
    </row>
    <row r="6898" spans="2:2" x14ac:dyDescent="0.2">
      <c r="B6898" s="10"/>
    </row>
    <row r="6899" spans="2:2" x14ac:dyDescent="0.2">
      <c r="B6899" s="10"/>
    </row>
    <row r="6900" spans="2:2" x14ac:dyDescent="0.2">
      <c r="B6900" s="10"/>
    </row>
    <row r="6901" spans="2:2" x14ac:dyDescent="0.2">
      <c r="B6901" s="10"/>
    </row>
    <row r="6902" spans="2:2" x14ac:dyDescent="0.2">
      <c r="B6902" s="10"/>
    </row>
    <row r="6903" spans="2:2" x14ac:dyDescent="0.2">
      <c r="B6903" s="10"/>
    </row>
    <row r="6904" spans="2:2" x14ac:dyDescent="0.2">
      <c r="B6904" s="10"/>
    </row>
    <row r="6905" spans="2:2" x14ac:dyDescent="0.2">
      <c r="B6905" s="10"/>
    </row>
    <row r="6906" spans="2:2" x14ac:dyDescent="0.2">
      <c r="B6906" s="10"/>
    </row>
    <row r="6907" spans="2:2" x14ac:dyDescent="0.2">
      <c r="B6907" s="10"/>
    </row>
    <row r="6908" spans="2:2" x14ac:dyDescent="0.2">
      <c r="B6908" s="10"/>
    </row>
    <row r="6909" spans="2:2" x14ac:dyDescent="0.2">
      <c r="B6909" s="10"/>
    </row>
    <row r="6910" spans="2:2" x14ac:dyDescent="0.2">
      <c r="B6910" s="10"/>
    </row>
    <row r="6911" spans="2:2" x14ac:dyDescent="0.2">
      <c r="B6911" s="10"/>
    </row>
    <row r="6912" spans="2:2" x14ac:dyDescent="0.2">
      <c r="B6912" s="10"/>
    </row>
    <row r="6913" spans="2:2" x14ac:dyDescent="0.2">
      <c r="B6913" s="10"/>
    </row>
    <row r="6914" spans="2:2" x14ac:dyDescent="0.2">
      <c r="B6914" s="10"/>
    </row>
    <row r="6915" spans="2:2" x14ac:dyDescent="0.2">
      <c r="B6915" s="10"/>
    </row>
    <row r="6916" spans="2:2" x14ac:dyDescent="0.2">
      <c r="B6916" s="10"/>
    </row>
    <row r="6917" spans="2:2" x14ac:dyDescent="0.2">
      <c r="B6917" s="10"/>
    </row>
    <row r="6918" spans="2:2" x14ac:dyDescent="0.2">
      <c r="B6918" s="10"/>
    </row>
    <row r="6919" spans="2:2" x14ac:dyDescent="0.2">
      <c r="B6919" s="10"/>
    </row>
    <row r="6920" spans="2:2" x14ac:dyDescent="0.2">
      <c r="B6920" s="10"/>
    </row>
    <row r="6921" spans="2:2" x14ac:dyDescent="0.2">
      <c r="B6921" s="10"/>
    </row>
    <row r="6922" spans="2:2" x14ac:dyDescent="0.2">
      <c r="B6922" s="10"/>
    </row>
    <row r="6923" spans="2:2" x14ac:dyDescent="0.2">
      <c r="B6923" s="10"/>
    </row>
    <row r="6924" spans="2:2" x14ac:dyDescent="0.2">
      <c r="B6924" s="10"/>
    </row>
    <row r="6925" spans="2:2" x14ac:dyDescent="0.2">
      <c r="B6925" s="10"/>
    </row>
    <row r="6926" spans="2:2" x14ac:dyDescent="0.2">
      <c r="B6926" s="10"/>
    </row>
    <row r="6927" spans="2:2" x14ac:dyDescent="0.2">
      <c r="B6927" s="10"/>
    </row>
    <row r="6928" spans="2:2" x14ac:dyDescent="0.2">
      <c r="B6928" s="10"/>
    </row>
    <row r="6929" spans="2:2" x14ac:dyDescent="0.2">
      <c r="B6929" s="10"/>
    </row>
    <row r="6930" spans="2:2" x14ac:dyDescent="0.2">
      <c r="B6930" s="10"/>
    </row>
    <row r="6931" spans="2:2" x14ac:dyDescent="0.2">
      <c r="B6931" s="10"/>
    </row>
    <row r="6932" spans="2:2" x14ac:dyDescent="0.2">
      <c r="B6932" s="10"/>
    </row>
    <row r="6933" spans="2:2" x14ac:dyDescent="0.2">
      <c r="B6933" s="10"/>
    </row>
    <row r="6934" spans="2:2" x14ac:dyDescent="0.2">
      <c r="B6934" s="10"/>
    </row>
    <row r="6935" spans="2:2" x14ac:dyDescent="0.2">
      <c r="B6935" s="10"/>
    </row>
    <row r="6936" spans="2:2" x14ac:dyDescent="0.2">
      <c r="B6936" s="10"/>
    </row>
    <row r="6937" spans="2:2" x14ac:dyDescent="0.2">
      <c r="B6937" s="10"/>
    </row>
    <row r="6938" spans="2:2" x14ac:dyDescent="0.2">
      <c r="B6938" s="10"/>
    </row>
    <row r="6939" spans="2:2" x14ac:dyDescent="0.2">
      <c r="B6939" s="10"/>
    </row>
    <row r="6940" spans="2:2" x14ac:dyDescent="0.2">
      <c r="B6940" s="10"/>
    </row>
    <row r="6941" spans="2:2" x14ac:dyDescent="0.2">
      <c r="B6941" s="10"/>
    </row>
    <row r="6942" spans="2:2" x14ac:dyDescent="0.2">
      <c r="B6942" s="10"/>
    </row>
    <row r="6943" spans="2:2" x14ac:dyDescent="0.2">
      <c r="B6943" s="10"/>
    </row>
    <row r="6944" spans="2:2" x14ac:dyDescent="0.2">
      <c r="B6944" s="10"/>
    </row>
    <row r="6945" spans="2:2" x14ac:dyDescent="0.2">
      <c r="B6945" s="10"/>
    </row>
    <row r="6946" spans="2:2" x14ac:dyDescent="0.2">
      <c r="B6946" s="10"/>
    </row>
    <row r="6947" spans="2:2" x14ac:dyDescent="0.2">
      <c r="B6947" s="10"/>
    </row>
    <row r="6948" spans="2:2" x14ac:dyDescent="0.2">
      <c r="B6948" s="10"/>
    </row>
    <row r="6949" spans="2:2" x14ac:dyDescent="0.2">
      <c r="B6949" s="10"/>
    </row>
    <row r="6950" spans="2:2" x14ac:dyDescent="0.2">
      <c r="B6950" s="10"/>
    </row>
    <row r="6951" spans="2:2" x14ac:dyDescent="0.2">
      <c r="B6951" s="10"/>
    </row>
    <row r="6952" spans="2:2" x14ac:dyDescent="0.2">
      <c r="B6952" s="10"/>
    </row>
    <row r="6953" spans="2:2" x14ac:dyDescent="0.2">
      <c r="B6953" s="10"/>
    </row>
    <row r="6954" spans="2:2" x14ac:dyDescent="0.2">
      <c r="B6954" s="10"/>
    </row>
    <row r="6955" spans="2:2" x14ac:dyDescent="0.2">
      <c r="B6955" s="10"/>
    </row>
    <row r="6956" spans="2:2" x14ac:dyDescent="0.2">
      <c r="B6956" s="10"/>
    </row>
    <row r="6957" spans="2:2" x14ac:dyDescent="0.2">
      <c r="B6957" s="10"/>
    </row>
    <row r="6958" spans="2:2" x14ac:dyDescent="0.2">
      <c r="B6958" s="10"/>
    </row>
    <row r="6959" spans="2:2" x14ac:dyDescent="0.2">
      <c r="B6959" s="10"/>
    </row>
    <row r="6960" spans="2:2" x14ac:dyDescent="0.2">
      <c r="B6960" s="10"/>
    </row>
    <row r="6961" spans="2:2" x14ac:dyDescent="0.2">
      <c r="B6961" s="10"/>
    </row>
    <row r="6962" spans="2:2" x14ac:dyDescent="0.2">
      <c r="B6962" s="10"/>
    </row>
    <row r="6963" spans="2:2" x14ac:dyDescent="0.2">
      <c r="B6963" s="10"/>
    </row>
    <row r="6964" spans="2:2" x14ac:dyDescent="0.2">
      <c r="B6964" s="10"/>
    </row>
    <row r="6965" spans="2:2" x14ac:dyDescent="0.2">
      <c r="B6965" s="10"/>
    </row>
    <row r="6966" spans="2:2" x14ac:dyDescent="0.2">
      <c r="B6966" s="10"/>
    </row>
    <row r="6967" spans="2:2" x14ac:dyDescent="0.2">
      <c r="B6967" s="10"/>
    </row>
    <row r="6968" spans="2:2" x14ac:dyDescent="0.2">
      <c r="B6968" s="10"/>
    </row>
    <row r="6969" spans="2:2" x14ac:dyDescent="0.2">
      <c r="B6969" s="10"/>
    </row>
    <row r="6970" spans="2:2" x14ac:dyDescent="0.2">
      <c r="B6970" s="10"/>
    </row>
    <row r="6971" spans="2:2" x14ac:dyDescent="0.2">
      <c r="B6971" s="10"/>
    </row>
    <row r="6972" spans="2:2" x14ac:dyDescent="0.2">
      <c r="B6972" s="10"/>
    </row>
    <row r="6973" spans="2:2" x14ac:dyDescent="0.2">
      <c r="B6973" s="10"/>
    </row>
    <row r="6974" spans="2:2" x14ac:dyDescent="0.2">
      <c r="B6974" s="10"/>
    </row>
    <row r="6975" spans="2:2" x14ac:dyDescent="0.2">
      <c r="B6975" s="10"/>
    </row>
    <row r="6976" spans="2:2" x14ac:dyDescent="0.2">
      <c r="B6976" s="10"/>
    </row>
    <row r="6977" spans="2:2" x14ac:dyDescent="0.2">
      <c r="B6977" s="10"/>
    </row>
    <row r="6978" spans="2:2" x14ac:dyDescent="0.2">
      <c r="B6978" s="10"/>
    </row>
    <row r="6979" spans="2:2" x14ac:dyDescent="0.2">
      <c r="B6979" s="10"/>
    </row>
    <row r="6980" spans="2:2" x14ac:dyDescent="0.2">
      <c r="B6980" s="10"/>
    </row>
    <row r="6981" spans="2:2" x14ac:dyDescent="0.2">
      <c r="B6981" s="10"/>
    </row>
    <row r="6982" spans="2:2" x14ac:dyDescent="0.2">
      <c r="B6982" s="10"/>
    </row>
    <row r="6983" spans="2:2" x14ac:dyDescent="0.2">
      <c r="B6983" s="10"/>
    </row>
    <row r="6984" spans="2:2" x14ac:dyDescent="0.2">
      <c r="B6984" s="10"/>
    </row>
    <row r="6985" spans="2:2" x14ac:dyDescent="0.2">
      <c r="B6985" s="10"/>
    </row>
    <row r="6986" spans="2:2" x14ac:dyDescent="0.2">
      <c r="B6986" s="10"/>
    </row>
    <row r="6987" spans="2:2" x14ac:dyDescent="0.2">
      <c r="B6987" s="10"/>
    </row>
    <row r="6988" spans="2:2" x14ac:dyDescent="0.2">
      <c r="B6988" s="10"/>
    </row>
    <row r="6989" spans="2:2" x14ac:dyDescent="0.2">
      <c r="B6989" s="10"/>
    </row>
    <row r="6990" spans="2:2" x14ac:dyDescent="0.2">
      <c r="B6990" s="10"/>
    </row>
    <row r="6991" spans="2:2" x14ac:dyDescent="0.2">
      <c r="B6991" s="10"/>
    </row>
    <row r="6992" spans="2:2" x14ac:dyDescent="0.2">
      <c r="B6992" s="10"/>
    </row>
    <row r="6993" spans="2:2" x14ac:dyDescent="0.2">
      <c r="B6993" s="10"/>
    </row>
    <row r="6994" spans="2:2" x14ac:dyDescent="0.2">
      <c r="B6994" s="10"/>
    </row>
    <row r="6995" spans="2:2" x14ac:dyDescent="0.2">
      <c r="B6995" s="10"/>
    </row>
    <row r="6996" spans="2:2" x14ac:dyDescent="0.2">
      <c r="B6996" s="10"/>
    </row>
    <row r="6997" spans="2:2" x14ac:dyDescent="0.2">
      <c r="B6997" s="10"/>
    </row>
    <row r="6998" spans="2:2" x14ac:dyDescent="0.2">
      <c r="B6998" s="10"/>
    </row>
    <row r="6999" spans="2:2" x14ac:dyDescent="0.2">
      <c r="B6999" s="10"/>
    </row>
    <row r="7000" spans="2:2" x14ac:dyDescent="0.2">
      <c r="B7000" s="10"/>
    </row>
    <row r="7001" spans="2:2" x14ac:dyDescent="0.2">
      <c r="B7001" s="10"/>
    </row>
    <row r="7002" spans="2:2" x14ac:dyDescent="0.2">
      <c r="B7002" s="10"/>
    </row>
    <row r="7003" spans="2:2" x14ac:dyDescent="0.2">
      <c r="B7003" s="10"/>
    </row>
    <row r="7004" spans="2:2" x14ac:dyDescent="0.2">
      <c r="B7004" s="10"/>
    </row>
    <row r="7005" spans="2:2" x14ac:dyDescent="0.2">
      <c r="B7005" s="10"/>
    </row>
    <row r="7006" spans="2:2" x14ac:dyDescent="0.2">
      <c r="B7006" s="10"/>
    </row>
    <row r="7007" spans="2:2" x14ac:dyDescent="0.2">
      <c r="B7007" s="10"/>
    </row>
    <row r="7008" spans="2:2" x14ac:dyDescent="0.2">
      <c r="B7008" s="10"/>
    </row>
    <row r="7009" spans="2:2" x14ac:dyDescent="0.2">
      <c r="B7009" s="10"/>
    </row>
    <row r="7010" spans="2:2" x14ac:dyDescent="0.2">
      <c r="B7010" s="10"/>
    </row>
    <row r="7011" spans="2:2" x14ac:dyDescent="0.2">
      <c r="B7011" s="10"/>
    </row>
    <row r="7012" spans="2:2" x14ac:dyDescent="0.2">
      <c r="B7012" s="10"/>
    </row>
    <row r="7013" spans="2:2" x14ac:dyDescent="0.2">
      <c r="B7013" s="10"/>
    </row>
    <row r="7014" spans="2:2" x14ac:dyDescent="0.2">
      <c r="B7014" s="10"/>
    </row>
    <row r="7015" spans="2:2" x14ac:dyDescent="0.2">
      <c r="B7015" s="10"/>
    </row>
    <row r="7016" spans="2:2" x14ac:dyDescent="0.2">
      <c r="B7016" s="10"/>
    </row>
    <row r="7017" spans="2:2" x14ac:dyDescent="0.2">
      <c r="B7017" s="10"/>
    </row>
    <row r="7018" spans="2:2" x14ac:dyDescent="0.2">
      <c r="B7018" s="10"/>
    </row>
    <row r="7019" spans="2:2" x14ac:dyDescent="0.2">
      <c r="B7019" s="10"/>
    </row>
    <row r="7020" spans="2:2" x14ac:dyDescent="0.2">
      <c r="B7020" s="10"/>
    </row>
    <row r="7021" spans="2:2" x14ac:dyDescent="0.2">
      <c r="B7021" s="10"/>
    </row>
    <row r="7022" spans="2:2" x14ac:dyDescent="0.2">
      <c r="B7022" s="10"/>
    </row>
    <row r="7023" spans="2:2" x14ac:dyDescent="0.2">
      <c r="B7023" s="10"/>
    </row>
    <row r="7024" spans="2:2" x14ac:dyDescent="0.2">
      <c r="B7024" s="10"/>
    </row>
    <row r="7025" spans="2:2" x14ac:dyDescent="0.2">
      <c r="B7025" s="10"/>
    </row>
    <row r="7026" spans="2:2" x14ac:dyDescent="0.2">
      <c r="B7026" s="10"/>
    </row>
    <row r="7027" spans="2:2" x14ac:dyDescent="0.2">
      <c r="B7027" s="10"/>
    </row>
    <row r="7028" spans="2:2" x14ac:dyDescent="0.2">
      <c r="B7028" s="10"/>
    </row>
    <row r="7029" spans="2:2" x14ac:dyDescent="0.2">
      <c r="B7029" s="10"/>
    </row>
    <row r="7030" spans="2:2" x14ac:dyDescent="0.2">
      <c r="B7030" s="10"/>
    </row>
    <row r="7031" spans="2:2" x14ac:dyDescent="0.2">
      <c r="B7031" s="10"/>
    </row>
    <row r="7032" spans="2:2" x14ac:dyDescent="0.2">
      <c r="B7032" s="10"/>
    </row>
    <row r="7033" spans="2:2" x14ac:dyDescent="0.2">
      <c r="B7033" s="10"/>
    </row>
    <row r="7034" spans="2:2" x14ac:dyDescent="0.2">
      <c r="B7034" s="10"/>
    </row>
    <row r="7035" spans="2:2" x14ac:dyDescent="0.2">
      <c r="B7035" s="10"/>
    </row>
    <row r="7036" spans="2:2" x14ac:dyDescent="0.2">
      <c r="B7036" s="10"/>
    </row>
    <row r="7037" spans="2:2" x14ac:dyDescent="0.2">
      <c r="B7037" s="10"/>
    </row>
    <row r="7038" spans="2:2" x14ac:dyDescent="0.2">
      <c r="B7038" s="10"/>
    </row>
    <row r="7039" spans="2:2" x14ac:dyDescent="0.2">
      <c r="B7039" s="10"/>
    </row>
    <row r="7040" spans="2:2" x14ac:dyDescent="0.2">
      <c r="B7040" s="10"/>
    </row>
    <row r="7041" spans="2:2" x14ac:dyDescent="0.2">
      <c r="B7041" s="10"/>
    </row>
    <row r="7042" spans="2:2" x14ac:dyDescent="0.2">
      <c r="B7042" s="10"/>
    </row>
    <row r="7043" spans="2:2" x14ac:dyDescent="0.2">
      <c r="B7043" s="10"/>
    </row>
    <row r="7044" spans="2:2" x14ac:dyDescent="0.2">
      <c r="B7044" s="10"/>
    </row>
    <row r="7045" spans="2:2" x14ac:dyDescent="0.2">
      <c r="B7045" s="10"/>
    </row>
    <row r="7046" spans="2:2" x14ac:dyDescent="0.2">
      <c r="B7046" s="10"/>
    </row>
    <row r="7047" spans="2:2" x14ac:dyDescent="0.2">
      <c r="B7047" s="10"/>
    </row>
    <row r="7048" spans="2:2" x14ac:dyDescent="0.2">
      <c r="B7048" s="10"/>
    </row>
    <row r="7049" spans="2:2" x14ac:dyDescent="0.2">
      <c r="B7049" s="10"/>
    </row>
    <row r="7050" spans="2:2" x14ac:dyDescent="0.2">
      <c r="B7050" s="10"/>
    </row>
    <row r="7051" spans="2:2" x14ac:dyDescent="0.2">
      <c r="B7051" s="10"/>
    </row>
    <row r="7052" spans="2:2" x14ac:dyDescent="0.2">
      <c r="B7052" s="10"/>
    </row>
    <row r="7053" spans="2:2" x14ac:dyDescent="0.2">
      <c r="B7053" s="10"/>
    </row>
    <row r="7054" spans="2:2" x14ac:dyDescent="0.2">
      <c r="B7054" s="10"/>
    </row>
    <row r="7055" spans="2:2" x14ac:dyDescent="0.2">
      <c r="B7055" s="10"/>
    </row>
    <row r="7056" spans="2:2" x14ac:dyDescent="0.2">
      <c r="B7056" s="10"/>
    </row>
    <row r="7057" spans="2:2" x14ac:dyDescent="0.2">
      <c r="B7057" s="10"/>
    </row>
    <row r="7058" spans="2:2" x14ac:dyDescent="0.2">
      <c r="B7058" s="10"/>
    </row>
    <row r="7059" spans="2:2" x14ac:dyDescent="0.2">
      <c r="B7059" s="10"/>
    </row>
    <row r="7060" spans="2:2" x14ac:dyDescent="0.2">
      <c r="B7060" s="10"/>
    </row>
    <row r="7061" spans="2:2" x14ac:dyDescent="0.2">
      <c r="B7061" s="10"/>
    </row>
    <row r="7062" spans="2:2" x14ac:dyDescent="0.2">
      <c r="B7062" s="10"/>
    </row>
    <row r="7063" spans="2:2" x14ac:dyDescent="0.2">
      <c r="B7063" s="10"/>
    </row>
    <row r="7064" spans="2:2" x14ac:dyDescent="0.2">
      <c r="B7064" s="10"/>
    </row>
    <row r="7065" spans="2:2" x14ac:dyDescent="0.2">
      <c r="B7065" s="10"/>
    </row>
    <row r="7066" spans="2:2" x14ac:dyDescent="0.2">
      <c r="B7066" s="10"/>
    </row>
    <row r="7067" spans="2:2" x14ac:dyDescent="0.2">
      <c r="B7067" s="10"/>
    </row>
    <row r="7068" spans="2:2" x14ac:dyDescent="0.2">
      <c r="B7068" s="10"/>
    </row>
    <row r="7069" spans="2:2" x14ac:dyDescent="0.2">
      <c r="B7069" s="10"/>
    </row>
    <row r="7070" spans="2:2" x14ac:dyDescent="0.2">
      <c r="B7070" s="10"/>
    </row>
    <row r="7071" spans="2:2" x14ac:dyDescent="0.2">
      <c r="B7071" s="10"/>
    </row>
    <row r="7072" spans="2:2" x14ac:dyDescent="0.2">
      <c r="B7072" s="10"/>
    </row>
    <row r="7073" spans="2:2" x14ac:dyDescent="0.2">
      <c r="B7073" s="10"/>
    </row>
    <row r="7074" spans="2:2" x14ac:dyDescent="0.2">
      <c r="B7074" s="10"/>
    </row>
    <row r="7075" spans="2:2" x14ac:dyDescent="0.2">
      <c r="B7075" s="10"/>
    </row>
    <row r="7076" spans="2:2" x14ac:dyDescent="0.2">
      <c r="B7076" s="10"/>
    </row>
    <row r="7077" spans="2:2" x14ac:dyDescent="0.2">
      <c r="B7077" s="10"/>
    </row>
    <row r="7078" spans="2:2" x14ac:dyDescent="0.2">
      <c r="B7078" s="10"/>
    </row>
    <row r="7079" spans="2:2" x14ac:dyDescent="0.2">
      <c r="B7079" s="10"/>
    </row>
    <row r="7080" spans="2:2" x14ac:dyDescent="0.2">
      <c r="B7080" s="10"/>
    </row>
    <row r="7081" spans="2:2" x14ac:dyDescent="0.2">
      <c r="B7081" s="10"/>
    </row>
    <row r="7082" spans="2:2" x14ac:dyDescent="0.2">
      <c r="B7082" s="10"/>
    </row>
    <row r="7083" spans="2:2" x14ac:dyDescent="0.2">
      <c r="B7083" s="10"/>
    </row>
    <row r="7084" spans="2:2" x14ac:dyDescent="0.2">
      <c r="B7084" s="10"/>
    </row>
    <row r="7085" spans="2:2" x14ac:dyDescent="0.2">
      <c r="B7085" s="10"/>
    </row>
    <row r="7086" spans="2:2" x14ac:dyDescent="0.2">
      <c r="B7086" s="10"/>
    </row>
    <row r="7087" spans="2:2" x14ac:dyDescent="0.2">
      <c r="B7087" s="10"/>
    </row>
    <row r="7088" spans="2:2" x14ac:dyDescent="0.2">
      <c r="B7088" s="10"/>
    </row>
    <row r="7089" spans="2:2" x14ac:dyDescent="0.2">
      <c r="B7089" s="10"/>
    </row>
    <row r="7090" spans="2:2" x14ac:dyDescent="0.2">
      <c r="B7090" s="10"/>
    </row>
    <row r="7091" spans="2:2" x14ac:dyDescent="0.2">
      <c r="B7091" s="10"/>
    </row>
    <row r="7092" spans="2:2" x14ac:dyDescent="0.2">
      <c r="B7092" s="10"/>
    </row>
    <row r="7093" spans="2:2" x14ac:dyDescent="0.2">
      <c r="B7093" s="10"/>
    </row>
    <row r="7094" spans="2:2" x14ac:dyDescent="0.2">
      <c r="B7094" s="10"/>
    </row>
    <row r="7095" spans="2:2" x14ac:dyDescent="0.2">
      <c r="B7095" s="10"/>
    </row>
    <row r="7096" spans="2:2" x14ac:dyDescent="0.2">
      <c r="B7096" s="10"/>
    </row>
    <row r="7097" spans="2:2" x14ac:dyDescent="0.2">
      <c r="B7097" s="10"/>
    </row>
    <row r="7098" spans="2:2" x14ac:dyDescent="0.2">
      <c r="B7098" s="10"/>
    </row>
    <row r="7099" spans="2:2" x14ac:dyDescent="0.2">
      <c r="B7099" s="10"/>
    </row>
    <row r="7100" spans="2:2" x14ac:dyDescent="0.2">
      <c r="B7100" s="10"/>
    </row>
    <row r="7101" spans="2:2" x14ac:dyDescent="0.2">
      <c r="B7101" s="10"/>
    </row>
    <row r="7102" spans="2:2" x14ac:dyDescent="0.2">
      <c r="B7102" s="10"/>
    </row>
    <row r="7103" spans="2:2" x14ac:dyDescent="0.2">
      <c r="B7103" s="10"/>
    </row>
    <row r="7104" spans="2:2" x14ac:dyDescent="0.2">
      <c r="B7104" s="10"/>
    </row>
    <row r="7105" spans="2:2" x14ac:dyDescent="0.2">
      <c r="B7105" s="10"/>
    </row>
    <row r="7106" spans="2:2" x14ac:dyDescent="0.2">
      <c r="B7106" s="10"/>
    </row>
    <row r="7107" spans="2:2" x14ac:dyDescent="0.2">
      <c r="B7107" s="10"/>
    </row>
    <row r="7108" spans="2:2" x14ac:dyDescent="0.2">
      <c r="B7108" s="10"/>
    </row>
    <row r="7109" spans="2:2" x14ac:dyDescent="0.2">
      <c r="B7109" s="10"/>
    </row>
    <row r="7110" spans="2:2" x14ac:dyDescent="0.2">
      <c r="B7110" s="10"/>
    </row>
    <row r="7111" spans="2:2" x14ac:dyDescent="0.2">
      <c r="B7111" s="10"/>
    </row>
    <row r="7112" spans="2:2" x14ac:dyDescent="0.2">
      <c r="B7112" s="10"/>
    </row>
    <row r="7113" spans="2:2" x14ac:dyDescent="0.2">
      <c r="B7113" s="10"/>
    </row>
    <row r="7114" spans="2:2" x14ac:dyDescent="0.2">
      <c r="B7114" s="10"/>
    </row>
    <row r="7115" spans="2:2" x14ac:dyDescent="0.2">
      <c r="B7115" s="10"/>
    </row>
    <row r="7116" spans="2:2" x14ac:dyDescent="0.2">
      <c r="B7116" s="10"/>
    </row>
    <row r="7117" spans="2:2" x14ac:dyDescent="0.2">
      <c r="B7117" s="10"/>
    </row>
    <row r="7118" spans="2:2" x14ac:dyDescent="0.2">
      <c r="B7118" s="10"/>
    </row>
    <row r="7119" spans="2:2" x14ac:dyDescent="0.2">
      <c r="B7119" s="10"/>
    </row>
    <row r="7120" spans="2:2" x14ac:dyDescent="0.2">
      <c r="B7120" s="10"/>
    </row>
    <row r="7121" spans="2:2" x14ac:dyDescent="0.2">
      <c r="B7121" s="10"/>
    </row>
    <row r="7122" spans="2:2" x14ac:dyDescent="0.2">
      <c r="B7122" s="10"/>
    </row>
    <row r="7123" spans="2:2" x14ac:dyDescent="0.2">
      <c r="B7123" s="10"/>
    </row>
    <row r="7124" spans="2:2" x14ac:dyDescent="0.2">
      <c r="B7124" s="10"/>
    </row>
    <row r="7125" spans="2:2" x14ac:dyDescent="0.2">
      <c r="B7125" s="10"/>
    </row>
    <row r="7126" spans="2:2" x14ac:dyDescent="0.2">
      <c r="B7126" s="10"/>
    </row>
    <row r="7127" spans="2:2" x14ac:dyDescent="0.2">
      <c r="B7127" s="10"/>
    </row>
    <row r="7128" spans="2:2" x14ac:dyDescent="0.2">
      <c r="B7128" s="10"/>
    </row>
    <row r="7129" spans="2:2" x14ac:dyDescent="0.2">
      <c r="B7129" s="10"/>
    </row>
    <row r="7130" spans="2:2" x14ac:dyDescent="0.2">
      <c r="B7130" s="10"/>
    </row>
    <row r="7131" spans="2:2" x14ac:dyDescent="0.2">
      <c r="B7131" s="10"/>
    </row>
    <row r="7132" spans="2:2" x14ac:dyDescent="0.2">
      <c r="B7132" s="10"/>
    </row>
    <row r="7133" spans="2:2" x14ac:dyDescent="0.2">
      <c r="B7133" s="10"/>
    </row>
    <row r="7134" spans="2:2" x14ac:dyDescent="0.2">
      <c r="B7134" s="10"/>
    </row>
    <row r="7135" spans="2:2" x14ac:dyDescent="0.2">
      <c r="B7135" s="10"/>
    </row>
    <row r="7136" spans="2:2" x14ac:dyDescent="0.2">
      <c r="B7136" s="10"/>
    </row>
    <row r="7137" spans="2:2" x14ac:dyDescent="0.2">
      <c r="B7137" s="10"/>
    </row>
    <row r="7138" spans="2:2" x14ac:dyDescent="0.2">
      <c r="B7138" s="10"/>
    </row>
    <row r="7139" spans="2:2" x14ac:dyDescent="0.2">
      <c r="B7139" s="10"/>
    </row>
    <row r="7140" spans="2:2" x14ac:dyDescent="0.2">
      <c r="B7140" s="10"/>
    </row>
    <row r="7141" spans="2:2" x14ac:dyDescent="0.2">
      <c r="B7141" s="10"/>
    </row>
    <row r="7142" spans="2:2" x14ac:dyDescent="0.2">
      <c r="B7142" s="10"/>
    </row>
    <row r="7143" spans="2:2" x14ac:dyDescent="0.2">
      <c r="B7143" s="10"/>
    </row>
    <row r="7144" spans="2:2" x14ac:dyDescent="0.2">
      <c r="B7144" s="10"/>
    </row>
    <row r="7145" spans="2:2" x14ac:dyDescent="0.2">
      <c r="B7145" s="10"/>
    </row>
    <row r="7146" spans="2:2" x14ac:dyDescent="0.2">
      <c r="B7146" s="10"/>
    </row>
    <row r="7147" spans="2:2" x14ac:dyDescent="0.2">
      <c r="B7147" s="10"/>
    </row>
    <row r="7148" spans="2:2" x14ac:dyDescent="0.2">
      <c r="B7148" s="10"/>
    </row>
    <row r="7149" spans="2:2" x14ac:dyDescent="0.2">
      <c r="B7149" s="10"/>
    </row>
    <row r="7150" spans="2:2" x14ac:dyDescent="0.2">
      <c r="B7150" s="10"/>
    </row>
    <row r="7151" spans="2:2" x14ac:dyDescent="0.2">
      <c r="B7151" s="10"/>
    </row>
    <row r="7152" spans="2:2" x14ac:dyDescent="0.2">
      <c r="B7152" s="10"/>
    </row>
    <row r="7153" spans="2:2" x14ac:dyDescent="0.2">
      <c r="B7153" s="10"/>
    </row>
    <row r="7154" spans="2:2" x14ac:dyDescent="0.2">
      <c r="B7154" s="10"/>
    </row>
    <row r="7155" spans="2:2" x14ac:dyDescent="0.2">
      <c r="B7155" s="10"/>
    </row>
    <row r="7156" spans="2:2" x14ac:dyDescent="0.2">
      <c r="B7156" s="10"/>
    </row>
    <row r="7157" spans="2:2" x14ac:dyDescent="0.2">
      <c r="B7157" s="10"/>
    </row>
    <row r="7158" spans="2:2" x14ac:dyDescent="0.2">
      <c r="B7158" s="10"/>
    </row>
    <row r="7159" spans="2:2" x14ac:dyDescent="0.2">
      <c r="B7159" s="10"/>
    </row>
    <row r="7160" spans="2:2" x14ac:dyDescent="0.2">
      <c r="B7160" s="10"/>
    </row>
    <row r="7161" spans="2:2" x14ac:dyDescent="0.2">
      <c r="B7161" s="10"/>
    </row>
    <row r="7162" spans="2:2" x14ac:dyDescent="0.2">
      <c r="B7162" s="10"/>
    </row>
    <row r="7163" spans="2:2" x14ac:dyDescent="0.2">
      <c r="B7163" s="10"/>
    </row>
    <row r="7164" spans="2:2" x14ac:dyDescent="0.2">
      <c r="B7164" s="10"/>
    </row>
    <row r="7165" spans="2:2" x14ac:dyDescent="0.2">
      <c r="B7165" s="10"/>
    </row>
    <row r="7166" spans="2:2" x14ac:dyDescent="0.2">
      <c r="B7166" s="10"/>
    </row>
    <row r="7167" spans="2:2" x14ac:dyDescent="0.2">
      <c r="B7167" s="10"/>
    </row>
    <row r="7168" spans="2:2" x14ac:dyDescent="0.2">
      <c r="B7168" s="10"/>
    </row>
    <row r="7169" spans="2:2" x14ac:dyDescent="0.2">
      <c r="B7169" s="10"/>
    </row>
    <row r="7170" spans="2:2" x14ac:dyDescent="0.2">
      <c r="B7170" s="10"/>
    </row>
    <row r="7171" spans="2:2" x14ac:dyDescent="0.2">
      <c r="B7171" s="10"/>
    </row>
    <row r="7172" spans="2:2" x14ac:dyDescent="0.2">
      <c r="B7172" s="10"/>
    </row>
    <row r="7173" spans="2:2" x14ac:dyDescent="0.2">
      <c r="B7173" s="10"/>
    </row>
    <row r="7174" spans="2:2" x14ac:dyDescent="0.2">
      <c r="B7174" s="10"/>
    </row>
    <row r="7175" spans="2:2" x14ac:dyDescent="0.2">
      <c r="B7175" s="10"/>
    </row>
    <row r="7176" spans="2:2" x14ac:dyDescent="0.2">
      <c r="B7176" s="10"/>
    </row>
    <row r="7177" spans="2:2" x14ac:dyDescent="0.2">
      <c r="B7177" s="10"/>
    </row>
    <row r="7178" spans="2:2" x14ac:dyDescent="0.2">
      <c r="B7178" s="10"/>
    </row>
    <row r="7179" spans="2:2" x14ac:dyDescent="0.2">
      <c r="B7179" s="10"/>
    </row>
    <row r="7180" spans="2:2" x14ac:dyDescent="0.2">
      <c r="B7180" s="10"/>
    </row>
    <row r="7181" spans="2:2" x14ac:dyDescent="0.2">
      <c r="B7181" s="10"/>
    </row>
    <row r="7182" spans="2:2" x14ac:dyDescent="0.2">
      <c r="B7182" s="10"/>
    </row>
    <row r="7183" spans="2:2" x14ac:dyDescent="0.2">
      <c r="B7183" s="10"/>
    </row>
    <row r="7184" spans="2:2" x14ac:dyDescent="0.2">
      <c r="B7184" s="10"/>
    </row>
    <row r="7185" spans="2:2" x14ac:dyDescent="0.2">
      <c r="B7185" s="10"/>
    </row>
    <row r="7186" spans="2:2" x14ac:dyDescent="0.2">
      <c r="B7186" s="10"/>
    </row>
    <row r="7187" spans="2:2" x14ac:dyDescent="0.2">
      <c r="B7187" s="10"/>
    </row>
    <row r="7188" spans="2:2" x14ac:dyDescent="0.2">
      <c r="B7188" s="10"/>
    </row>
    <row r="7189" spans="2:2" x14ac:dyDescent="0.2">
      <c r="B7189" s="10"/>
    </row>
    <row r="7190" spans="2:2" x14ac:dyDescent="0.2">
      <c r="B7190" s="10"/>
    </row>
    <row r="7191" spans="2:2" x14ac:dyDescent="0.2">
      <c r="B7191" s="10"/>
    </row>
    <row r="7192" spans="2:2" x14ac:dyDescent="0.2">
      <c r="B7192" s="10"/>
    </row>
    <row r="7193" spans="2:2" x14ac:dyDescent="0.2">
      <c r="B7193" s="10"/>
    </row>
    <row r="7194" spans="2:2" x14ac:dyDescent="0.2">
      <c r="B7194" s="10"/>
    </row>
    <row r="7195" spans="2:2" x14ac:dyDescent="0.2">
      <c r="B7195" s="10"/>
    </row>
    <row r="7196" spans="2:2" x14ac:dyDescent="0.2">
      <c r="B7196" s="10"/>
    </row>
    <row r="7197" spans="2:2" x14ac:dyDescent="0.2">
      <c r="B7197" s="10"/>
    </row>
    <row r="7198" spans="2:2" x14ac:dyDescent="0.2">
      <c r="B7198" s="10"/>
    </row>
    <row r="7199" spans="2:2" x14ac:dyDescent="0.2">
      <c r="B7199" s="10"/>
    </row>
    <row r="7200" spans="2:2" x14ac:dyDescent="0.2">
      <c r="B7200" s="10"/>
    </row>
    <row r="7201" spans="2:2" x14ac:dyDescent="0.2">
      <c r="B7201" s="10"/>
    </row>
    <row r="7202" spans="2:2" x14ac:dyDescent="0.2">
      <c r="B7202" s="10"/>
    </row>
    <row r="7203" spans="2:2" x14ac:dyDescent="0.2">
      <c r="B7203" s="10"/>
    </row>
    <row r="7204" spans="2:2" x14ac:dyDescent="0.2">
      <c r="B7204" s="10"/>
    </row>
    <row r="7205" spans="2:2" x14ac:dyDescent="0.2">
      <c r="B7205" s="10"/>
    </row>
    <row r="7206" spans="2:2" x14ac:dyDescent="0.2">
      <c r="B7206" s="10"/>
    </row>
    <row r="7207" spans="2:2" x14ac:dyDescent="0.2">
      <c r="B7207" s="10"/>
    </row>
    <row r="7208" spans="2:2" x14ac:dyDescent="0.2">
      <c r="B7208" s="10"/>
    </row>
    <row r="7209" spans="2:2" x14ac:dyDescent="0.2">
      <c r="B7209" s="10"/>
    </row>
    <row r="7210" spans="2:2" x14ac:dyDescent="0.2">
      <c r="B7210" s="10"/>
    </row>
    <row r="7211" spans="2:2" x14ac:dyDescent="0.2">
      <c r="B7211" s="10"/>
    </row>
    <row r="7212" spans="2:2" x14ac:dyDescent="0.2">
      <c r="B7212" s="10"/>
    </row>
    <row r="7213" spans="2:2" x14ac:dyDescent="0.2">
      <c r="B7213" s="10"/>
    </row>
    <row r="7214" spans="2:2" x14ac:dyDescent="0.2">
      <c r="B7214" s="10"/>
    </row>
    <row r="7215" spans="2:2" x14ac:dyDescent="0.2">
      <c r="B7215" s="10"/>
    </row>
    <row r="7216" spans="2:2" x14ac:dyDescent="0.2">
      <c r="B7216" s="10"/>
    </row>
    <row r="7217" spans="2:2" x14ac:dyDescent="0.2">
      <c r="B7217" s="10"/>
    </row>
    <row r="7218" spans="2:2" x14ac:dyDescent="0.2">
      <c r="B7218" s="10"/>
    </row>
    <row r="7219" spans="2:2" x14ac:dyDescent="0.2">
      <c r="B7219" s="10"/>
    </row>
    <row r="7220" spans="2:2" x14ac:dyDescent="0.2">
      <c r="B7220" s="10"/>
    </row>
    <row r="7221" spans="2:2" x14ac:dyDescent="0.2">
      <c r="B7221" s="10"/>
    </row>
    <row r="7222" spans="2:2" x14ac:dyDescent="0.2">
      <c r="B7222" s="10"/>
    </row>
    <row r="7223" spans="2:2" x14ac:dyDescent="0.2">
      <c r="B7223" s="10"/>
    </row>
    <row r="7224" spans="2:2" x14ac:dyDescent="0.2">
      <c r="B7224" s="10"/>
    </row>
    <row r="7225" spans="2:2" x14ac:dyDescent="0.2">
      <c r="B7225" s="10"/>
    </row>
    <row r="7226" spans="2:2" x14ac:dyDescent="0.2">
      <c r="B7226" s="10"/>
    </row>
    <row r="7227" spans="2:2" x14ac:dyDescent="0.2">
      <c r="B7227" s="10"/>
    </row>
    <row r="7228" spans="2:2" x14ac:dyDescent="0.2">
      <c r="B7228" s="10"/>
    </row>
    <row r="7229" spans="2:2" x14ac:dyDescent="0.2">
      <c r="B7229" s="10"/>
    </row>
    <row r="7230" spans="2:2" x14ac:dyDescent="0.2">
      <c r="B7230" s="10"/>
    </row>
    <row r="7231" spans="2:2" x14ac:dyDescent="0.2">
      <c r="B7231" s="10"/>
    </row>
    <row r="7232" spans="2:2" x14ac:dyDescent="0.2">
      <c r="B7232" s="10"/>
    </row>
    <row r="7233" spans="2:2" x14ac:dyDescent="0.2">
      <c r="B7233" s="10"/>
    </row>
    <row r="7234" spans="2:2" x14ac:dyDescent="0.2">
      <c r="B7234" s="10"/>
    </row>
    <row r="7235" spans="2:2" x14ac:dyDescent="0.2">
      <c r="B7235" s="10"/>
    </row>
    <row r="7236" spans="2:2" x14ac:dyDescent="0.2">
      <c r="B7236" s="10"/>
    </row>
    <row r="7237" spans="2:2" x14ac:dyDescent="0.2">
      <c r="B7237" s="10"/>
    </row>
    <row r="7238" spans="2:2" x14ac:dyDescent="0.2">
      <c r="B7238" s="10"/>
    </row>
    <row r="7239" spans="2:2" x14ac:dyDescent="0.2">
      <c r="B7239" s="10"/>
    </row>
    <row r="7240" spans="2:2" x14ac:dyDescent="0.2">
      <c r="B7240" s="10"/>
    </row>
    <row r="7241" spans="2:2" x14ac:dyDescent="0.2">
      <c r="B7241" s="10"/>
    </row>
    <row r="7242" spans="2:2" x14ac:dyDescent="0.2">
      <c r="B7242" s="10"/>
    </row>
    <row r="7243" spans="2:2" x14ac:dyDescent="0.2">
      <c r="B7243" s="10"/>
    </row>
    <row r="7244" spans="2:2" x14ac:dyDescent="0.2">
      <c r="B7244" s="10"/>
    </row>
    <row r="7245" spans="2:2" x14ac:dyDescent="0.2">
      <c r="B7245" s="10"/>
    </row>
    <row r="7246" spans="2:2" x14ac:dyDescent="0.2">
      <c r="B7246" s="10"/>
    </row>
    <row r="7247" spans="2:2" x14ac:dyDescent="0.2">
      <c r="B7247" s="10"/>
    </row>
    <row r="7248" spans="2:2" x14ac:dyDescent="0.2">
      <c r="B7248" s="10"/>
    </row>
    <row r="7249" spans="2:2" x14ac:dyDescent="0.2">
      <c r="B7249" s="10"/>
    </row>
    <row r="7250" spans="2:2" x14ac:dyDescent="0.2">
      <c r="B7250" s="10"/>
    </row>
    <row r="7251" spans="2:2" x14ac:dyDescent="0.2">
      <c r="B7251" s="10"/>
    </row>
    <row r="7252" spans="2:2" x14ac:dyDescent="0.2">
      <c r="B7252" s="10"/>
    </row>
    <row r="7253" spans="2:2" x14ac:dyDescent="0.2">
      <c r="B7253" s="10"/>
    </row>
    <row r="7254" spans="2:2" x14ac:dyDescent="0.2">
      <c r="B7254" s="10"/>
    </row>
    <row r="7255" spans="2:2" x14ac:dyDescent="0.2">
      <c r="B7255" s="10"/>
    </row>
    <row r="7256" spans="2:2" x14ac:dyDescent="0.2">
      <c r="B7256" s="10"/>
    </row>
    <row r="7257" spans="2:2" x14ac:dyDescent="0.2">
      <c r="B7257" s="10"/>
    </row>
    <row r="7258" spans="2:2" x14ac:dyDescent="0.2">
      <c r="B7258" s="10"/>
    </row>
    <row r="7259" spans="2:2" x14ac:dyDescent="0.2">
      <c r="B7259" s="10"/>
    </row>
    <row r="7260" spans="2:2" x14ac:dyDescent="0.2">
      <c r="B7260" s="10"/>
    </row>
    <row r="7261" spans="2:2" x14ac:dyDescent="0.2">
      <c r="B7261" s="10"/>
    </row>
    <row r="7262" spans="2:2" x14ac:dyDescent="0.2">
      <c r="B7262" s="10"/>
    </row>
    <row r="7263" spans="2:2" x14ac:dyDescent="0.2">
      <c r="B7263" s="10"/>
    </row>
    <row r="7264" spans="2:2" x14ac:dyDescent="0.2">
      <c r="B7264" s="10"/>
    </row>
    <row r="7265" spans="2:2" x14ac:dyDescent="0.2">
      <c r="B7265" s="10"/>
    </row>
    <row r="7266" spans="2:2" x14ac:dyDescent="0.2">
      <c r="B7266" s="10"/>
    </row>
    <row r="7267" spans="2:2" x14ac:dyDescent="0.2">
      <c r="B7267" s="10"/>
    </row>
    <row r="7268" spans="2:2" x14ac:dyDescent="0.2">
      <c r="B7268" s="10"/>
    </row>
    <row r="7269" spans="2:2" x14ac:dyDescent="0.2">
      <c r="B7269" s="10"/>
    </row>
    <row r="7270" spans="2:2" x14ac:dyDescent="0.2">
      <c r="B7270" s="10"/>
    </row>
    <row r="7271" spans="2:2" x14ac:dyDescent="0.2">
      <c r="B7271" s="10"/>
    </row>
    <row r="7272" spans="2:2" x14ac:dyDescent="0.2">
      <c r="B7272" s="10"/>
    </row>
    <row r="7273" spans="2:2" x14ac:dyDescent="0.2">
      <c r="B7273" s="10"/>
    </row>
    <row r="7274" spans="2:2" x14ac:dyDescent="0.2">
      <c r="B7274" s="10"/>
    </row>
    <row r="7275" spans="2:2" x14ac:dyDescent="0.2">
      <c r="B7275" s="10"/>
    </row>
    <row r="7276" spans="2:2" x14ac:dyDescent="0.2">
      <c r="B7276" s="10"/>
    </row>
    <row r="7277" spans="2:2" x14ac:dyDescent="0.2">
      <c r="B7277" s="10"/>
    </row>
    <row r="7278" spans="2:2" x14ac:dyDescent="0.2">
      <c r="B7278" s="10"/>
    </row>
    <row r="7279" spans="2:2" x14ac:dyDescent="0.2">
      <c r="B7279" s="10"/>
    </row>
    <row r="7280" spans="2:2" x14ac:dyDescent="0.2">
      <c r="B7280" s="10"/>
    </row>
    <row r="7281" spans="2:2" x14ac:dyDescent="0.2">
      <c r="B7281" s="10"/>
    </row>
    <row r="7282" spans="2:2" x14ac:dyDescent="0.2">
      <c r="B7282" s="10"/>
    </row>
    <row r="7283" spans="2:2" x14ac:dyDescent="0.2">
      <c r="B7283" s="10"/>
    </row>
    <row r="7284" spans="2:2" x14ac:dyDescent="0.2">
      <c r="B7284" s="10"/>
    </row>
    <row r="7285" spans="2:2" x14ac:dyDescent="0.2">
      <c r="B7285" s="10"/>
    </row>
    <row r="7286" spans="2:2" x14ac:dyDescent="0.2">
      <c r="B7286" s="10"/>
    </row>
    <row r="7287" spans="2:2" x14ac:dyDescent="0.2">
      <c r="B7287" s="10"/>
    </row>
    <row r="7288" spans="2:2" x14ac:dyDescent="0.2">
      <c r="B7288" s="10"/>
    </row>
    <row r="7289" spans="2:2" x14ac:dyDescent="0.2">
      <c r="B7289" s="10"/>
    </row>
    <row r="7290" spans="2:2" x14ac:dyDescent="0.2">
      <c r="B7290" s="10"/>
    </row>
    <row r="7291" spans="2:2" x14ac:dyDescent="0.2">
      <c r="B7291" s="10"/>
    </row>
    <row r="7292" spans="2:2" x14ac:dyDescent="0.2">
      <c r="B7292" s="10"/>
    </row>
    <row r="7293" spans="2:2" x14ac:dyDescent="0.2">
      <c r="B7293" s="10"/>
    </row>
    <row r="7294" spans="2:2" x14ac:dyDescent="0.2">
      <c r="B7294" s="10"/>
    </row>
    <row r="7295" spans="2:2" x14ac:dyDescent="0.2">
      <c r="B7295" s="10"/>
    </row>
    <row r="7296" spans="2:2" x14ac:dyDescent="0.2">
      <c r="B7296" s="10"/>
    </row>
    <row r="7297" spans="2:2" x14ac:dyDescent="0.2">
      <c r="B7297" s="10"/>
    </row>
    <row r="7298" spans="2:2" x14ac:dyDescent="0.2">
      <c r="B7298" s="10"/>
    </row>
    <row r="7299" spans="2:2" x14ac:dyDescent="0.2">
      <c r="B7299" s="10"/>
    </row>
    <row r="7300" spans="2:2" x14ac:dyDescent="0.2">
      <c r="B7300" s="10"/>
    </row>
    <row r="7301" spans="2:2" x14ac:dyDescent="0.2">
      <c r="B7301" s="10"/>
    </row>
    <row r="7302" spans="2:2" x14ac:dyDescent="0.2">
      <c r="B7302" s="10"/>
    </row>
    <row r="7303" spans="2:2" x14ac:dyDescent="0.2">
      <c r="B7303" s="10"/>
    </row>
    <row r="7304" spans="2:2" x14ac:dyDescent="0.2">
      <c r="B7304" s="10"/>
    </row>
    <row r="7305" spans="2:2" x14ac:dyDescent="0.2">
      <c r="B7305" s="10"/>
    </row>
    <row r="7306" spans="2:2" x14ac:dyDescent="0.2">
      <c r="B7306" s="10"/>
    </row>
    <row r="7307" spans="2:2" x14ac:dyDescent="0.2">
      <c r="B7307" s="10"/>
    </row>
    <row r="7308" spans="2:2" x14ac:dyDescent="0.2">
      <c r="B7308" s="10"/>
    </row>
    <row r="7309" spans="2:2" x14ac:dyDescent="0.2">
      <c r="B7309" s="10"/>
    </row>
    <row r="7310" spans="2:2" x14ac:dyDescent="0.2">
      <c r="B7310" s="10"/>
    </row>
    <row r="7311" spans="2:2" x14ac:dyDescent="0.2">
      <c r="B7311" s="10"/>
    </row>
    <row r="7312" spans="2:2" x14ac:dyDescent="0.2">
      <c r="B7312" s="10"/>
    </row>
    <row r="7313" spans="2:2" x14ac:dyDescent="0.2">
      <c r="B7313" s="10"/>
    </row>
    <row r="7314" spans="2:2" x14ac:dyDescent="0.2">
      <c r="B7314" s="10"/>
    </row>
    <row r="7315" spans="2:2" x14ac:dyDescent="0.2">
      <c r="B7315" s="10"/>
    </row>
    <row r="7316" spans="2:2" x14ac:dyDescent="0.2">
      <c r="B7316" s="10"/>
    </row>
    <row r="7317" spans="2:2" x14ac:dyDescent="0.2">
      <c r="B7317" s="10"/>
    </row>
    <row r="7318" spans="2:2" x14ac:dyDescent="0.2">
      <c r="B7318" s="10"/>
    </row>
    <row r="7319" spans="2:2" x14ac:dyDescent="0.2">
      <c r="B7319" s="10"/>
    </row>
    <row r="7320" spans="2:2" x14ac:dyDescent="0.2">
      <c r="B7320" s="10"/>
    </row>
    <row r="7321" spans="2:2" x14ac:dyDescent="0.2">
      <c r="B7321" s="10"/>
    </row>
    <row r="7322" spans="2:2" x14ac:dyDescent="0.2">
      <c r="B7322" s="10"/>
    </row>
    <row r="7323" spans="2:2" x14ac:dyDescent="0.2">
      <c r="B7323" s="10"/>
    </row>
    <row r="7324" spans="2:2" x14ac:dyDescent="0.2">
      <c r="B7324" s="10"/>
    </row>
    <row r="7325" spans="2:2" x14ac:dyDescent="0.2">
      <c r="B7325" s="10"/>
    </row>
    <row r="7326" spans="2:2" x14ac:dyDescent="0.2">
      <c r="B7326" s="10"/>
    </row>
    <row r="7327" spans="2:2" x14ac:dyDescent="0.2">
      <c r="B7327" s="10"/>
    </row>
    <row r="7328" spans="2:2" x14ac:dyDescent="0.2">
      <c r="B7328" s="10"/>
    </row>
    <row r="7329" spans="2:2" x14ac:dyDescent="0.2">
      <c r="B7329" s="10"/>
    </row>
    <row r="7330" spans="2:2" x14ac:dyDescent="0.2">
      <c r="B7330" s="10"/>
    </row>
    <row r="7331" spans="2:2" x14ac:dyDescent="0.2">
      <c r="B7331" s="10"/>
    </row>
    <row r="7332" spans="2:2" x14ac:dyDescent="0.2">
      <c r="B7332" s="10"/>
    </row>
    <row r="7333" spans="2:2" x14ac:dyDescent="0.2">
      <c r="B7333" s="10"/>
    </row>
    <row r="7334" spans="2:2" x14ac:dyDescent="0.2">
      <c r="B7334" s="10"/>
    </row>
    <row r="7335" spans="2:2" x14ac:dyDescent="0.2">
      <c r="B7335" s="10"/>
    </row>
    <row r="7336" spans="2:2" x14ac:dyDescent="0.2">
      <c r="B7336" s="10"/>
    </row>
    <row r="7337" spans="2:2" x14ac:dyDescent="0.2">
      <c r="B7337" s="10"/>
    </row>
    <row r="7338" spans="2:2" x14ac:dyDescent="0.2">
      <c r="B7338" s="10"/>
    </row>
    <row r="7339" spans="2:2" x14ac:dyDescent="0.2">
      <c r="B7339" s="10"/>
    </row>
    <row r="7340" spans="2:2" x14ac:dyDescent="0.2">
      <c r="B7340" s="10"/>
    </row>
    <row r="7341" spans="2:2" x14ac:dyDescent="0.2">
      <c r="B7341" s="10"/>
    </row>
    <row r="7342" spans="2:2" x14ac:dyDescent="0.2">
      <c r="B7342" s="10"/>
    </row>
    <row r="7343" spans="2:2" x14ac:dyDescent="0.2">
      <c r="B7343" s="10"/>
    </row>
    <row r="7344" spans="2:2" x14ac:dyDescent="0.2">
      <c r="B7344" s="10"/>
    </row>
    <row r="7345" spans="2:2" x14ac:dyDescent="0.2">
      <c r="B7345" s="10"/>
    </row>
    <row r="7346" spans="2:2" x14ac:dyDescent="0.2">
      <c r="B7346" s="10"/>
    </row>
    <row r="7347" spans="2:2" x14ac:dyDescent="0.2">
      <c r="B7347" s="10"/>
    </row>
    <row r="7348" spans="2:2" x14ac:dyDescent="0.2">
      <c r="B7348" s="10"/>
    </row>
    <row r="7349" spans="2:2" x14ac:dyDescent="0.2">
      <c r="B7349" s="10"/>
    </row>
    <row r="7350" spans="2:2" x14ac:dyDescent="0.2">
      <c r="B7350" s="10"/>
    </row>
    <row r="7351" spans="2:2" x14ac:dyDescent="0.2">
      <c r="B7351" s="10"/>
    </row>
    <row r="7352" spans="2:2" x14ac:dyDescent="0.2">
      <c r="B7352" s="10"/>
    </row>
    <row r="7353" spans="2:2" x14ac:dyDescent="0.2">
      <c r="B7353" s="10"/>
    </row>
    <row r="7354" spans="2:2" x14ac:dyDescent="0.2">
      <c r="B7354" s="10"/>
    </row>
    <row r="7355" spans="2:2" x14ac:dyDescent="0.2">
      <c r="B7355" s="10"/>
    </row>
    <row r="7356" spans="2:2" x14ac:dyDescent="0.2">
      <c r="B7356" s="10"/>
    </row>
    <row r="7357" spans="2:2" x14ac:dyDescent="0.2">
      <c r="B7357" s="10"/>
    </row>
    <row r="7358" spans="2:2" x14ac:dyDescent="0.2">
      <c r="B7358" s="10"/>
    </row>
    <row r="7359" spans="2:2" x14ac:dyDescent="0.2">
      <c r="B7359" s="10"/>
    </row>
    <row r="7360" spans="2:2" x14ac:dyDescent="0.2">
      <c r="B7360" s="10"/>
    </row>
    <row r="7361" spans="2:2" x14ac:dyDescent="0.2">
      <c r="B7361" s="10"/>
    </row>
    <row r="7362" spans="2:2" x14ac:dyDescent="0.2">
      <c r="B7362" s="10"/>
    </row>
    <row r="7363" spans="2:2" x14ac:dyDescent="0.2">
      <c r="B7363" s="10"/>
    </row>
    <row r="7364" spans="2:2" x14ac:dyDescent="0.2">
      <c r="B7364" s="10"/>
    </row>
    <row r="7365" spans="2:2" x14ac:dyDescent="0.2">
      <c r="B7365" s="10"/>
    </row>
    <row r="7366" spans="2:2" x14ac:dyDescent="0.2">
      <c r="B7366" s="10"/>
    </row>
    <row r="7367" spans="2:2" x14ac:dyDescent="0.2">
      <c r="B7367" s="10"/>
    </row>
    <row r="7368" spans="2:2" x14ac:dyDescent="0.2">
      <c r="B7368" s="10"/>
    </row>
    <row r="7369" spans="2:2" x14ac:dyDescent="0.2">
      <c r="B7369" s="10"/>
    </row>
    <row r="7370" spans="2:2" x14ac:dyDescent="0.2">
      <c r="B7370" s="10"/>
    </row>
    <row r="7371" spans="2:2" x14ac:dyDescent="0.2">
      <c r="B7371" s="10"/>
    </row>
    <row r="7372" spans="2:2" x14ac:dyDescent="0.2">
      <c r="B7372" s="10"/>
    </row>
    <row r="7373" spans="2:2" x14ac:dyDescent="0.2">
      <c r="B7373" s="10"/>
    </row>
    <row r="7374" spans="2:2" x14ac:dyDescent="0.2">
      <c r="B7374" s="10"/>
    </row>
    <row r="7375" spans="2:2" x14ac:dyDescent="0.2">
      <c r="B7375" s="10"/>
    </row>
    <row r="7376" spans="2:2" x14ac:dyDescent="0.2">
      <c r="B7376" s="10"/>
    </row>
    <row r="7377" spans="2:2" x14ac:dyDescent="0.2">
      <c r="B7377" s="10"/>
    </row>
    <row r="7378" spans="2:2" x14ac:dyDescent="0.2">
      <c r="B7378" s="10"/>
    </row>
    <row r="7379" spans="2:2" x14ac:dyDescent="0.2">
      <c r="B7379" s="10"/>
    </row>
    <row r="7380" spans="2:2" x14ac:dyDescent="0.2">
      <c r="B7380" s="10"/>
    </row>
    <row r="7381" spans="2:2" x14ac:dyDescent="0.2">
      <c r="B7381" s="10"/>
    </row>
    <row r="7382" spans="2:2" x14ac:dyDescent="0.2">
      <c r="B7382" s="10"/>
    </row>
    <row r="7383" spans="2:2" x14ac:dyDescent="0.2">
      <c r="B7383" s="10"/>
    </row>
    <row r="7384" spans="2:2" x14ac:dyDescent="0.2">
      <c r="B7384" s="10"/>
    </row>
    <row r="7385" spans="2:2" x14ac:dyDescent="0.2">
      <c r="B7385" s="10"/>
    </row>
    <row r="7386" spans="2:2" x14ac:dyDescent="0.2">
      <c r="B7386" s="10"/>
    </row>
    <row r="7387" spans="2:2" x14ac:dyDescent="0.2">
      <c r="B7387" s="10"/>
    </row>
    <row r="7388" spans="2:2" x14ac:dyDescent="0.2">
      <c r="B7388" s="10"/>
    </row>
    <row r="7389" spans="2:2" x14ac:dyDescent="0.2">
      <c r="B7389" s="10"/>
    </row>
    <row r="7390" spans="2:2" x14ac:dyDescent="0.2">
      <c r="B7390" s="10"/>
    </row>
    <row r="7391" spans="2:2" x14ac:dyDescent="0.2">
      <c r="B7391" s="10"/>
    </row>
    <row r="7392" spans="2:2" x14ac:dyDescent="0.2">
      <c r="B7392" s="10"/>
    </row>
    <row r="7393" spans="2:2" x14ac:dyDescent="0.2">
      <c r="B7393" s="10"/>
    </row>
    <row r="7394" spans="2:2" x14ac:dyDescent="0.2">
      <c r="B7394" s="10"/>
    </row>
    <row r="7395" spans="2:2" x14ac:dyDescent="0.2">
      <c r="B7395" s="10"/>
    </row>
    <row r="7396" spans="2:2" x14ac:dyDescent="0.2">
      <c r="B7396" s="10"/>
    </row>
    <row r="7397" spans="2:2" x14ac:dyDescent="0.2">
      <c r="B7397" s="10"/>
    </row>
    <row r="7398" spans="2:2" x14ac:dyDescent="0.2">
      <c r="B7398" s="10"/>
    </row>
    <row r="7399" spans="2:2" x14ac:dyDescent="0.2">
      <c r="B7399" s="10"/>
    </row>
    <row r="7400" spans="2:2" x14ac:dyDescent="0.2">
      <c r="B7400" s="10"/>
    </row>
    <row r="7401" spans="2:2" x14ac:dyDescent="0.2">
      <c r="B7401" s="10"/>
    </row>
    <row r="7402" spans="2:2" x14ac:dyDescent="0.2">
      <c r="B7402" s="10"/>
    </row>
    <row r="7403" spans="2:2" x14ac:dyDescent="0.2">
      <c r="B7403" s="10"/>
    </row>
    <row r="7404" spans="2:2" x14ac:dyDescent="0.2">
      <c r="B7404" s="10"/>
    </row>
    <row r="7405" spans="2:2" x14ac:dyDescent="0.2">
      <c r="B7405" s="10"/>
    </row>
    <row r="7406" spans="2:2" x14ac:dyDescent="0.2">
      <c r="B7406" s="10"/>
    </row>
    <row r="7407" spans="2:2" x14ac:dyDescent="0.2">
      <c r="B7407" s="10"/>
    </row>
    <row r="7408" spans="2:2" x14ac:dyDescent="0.2">
      <c r="B7408" s="10"/>
    </row>
    <row r="7409" spans="2:2" x14ac:dyDescent="0.2">
      <c r="B7409" s="10"/>
    </row>
    <row r="7410" spans="2:2" x14ac:dyDescent="0.2">
      <c r="B7410" s="10"/>
    </row>
    <row r="7411" spans="2:2" x14ac:dyDescent="0.2">
      <c r="B7411" s="10"/>
    </row>
    <row r="7412" spans="2:2" x14ac:dyDescent="0.2">
      <c r="B7412" s="10"/>
    </row>
    <row r="7413" spans="2:2" x14ac:dyDescent="0.2">
      <c r="B7413" s="10"/>
    </row>
    <row r="7414" spans="2:2" x14ac:dyDescent="0.2">
      <c r="B7414" s="10"/>
    </row>
    <row r="7415" spans="2:2" x14ac:dyDescent="0.2">
      <c r="B7415" s="10"/>
    </row>
    <row r="7416" spans="2:2" x14ac:dyDescent="0.2">
      <c r="B7416" s="10"/>
    </row>
    <row r="7417" spans="2:2" x14ac:dyDescent="0.2">
      <c r="B7417" s="10"/>
    </row>
    <row r="7418" spans="2:2" x14ac:dyDescent="0.2">
      <c r="B7418" s="10"/>
    </row>
    <row r="7419" spans="2:2" x14ac:dyDescent="0.2">
      <c r="B7419" s="10"/>
    </row>
    <row r="7420" spans="2:2" x14ac:dyDescent="0.2">
      <c r="B7420" s="10"/>
    </row>
    <row r="7421" spans="2:2" x14ac:dyDescent="0.2">
      <c r="B7421" s="10"/>
    </row>
    <row r="7422" spans="2:2" x14ac:dyDescent="0.2">
      <c r="B7422" s="10"/>
    </row>
    <row r="7423" spans="2:2" x14ac:dyDescent="0.2">
      <c r="B7423" s="10"/>
    </row>
    <row r="7424" spans="2:2" x14ac:dyDescent="0.2">
      <c r="B7424" s="10"/>
    </row>
    <row r="7425" spans="2:2" x14ac:dyDescent="0.2">
      <c r="B7425" s="10"/>
    </row>
    <row r="7426" spans="2:2" x14ac:dyDescent="0.2">
      <c r="B7426" s="10"/>
    </row>
    <row r="7427" spans="2:2" x14ac:dyDescent="0.2">
      <c r="B7427" s="10"/>
    </row>
    <row r="7428" spans="2:2" x14ac:dyDescent="0.2">
      <c r="B7428" s="10"/>
    </row>
    <row r="7429" spans="2:2" x14ac:dyDescent="0.2">
      <c r="B7429" s="10"/>
    </row>
    <row r="7430" spans="2:2" x14ac:dyDescent="0.2">
      <c r="B7430" s="10"/>
    </row>
    <row r="7431" spans="2:2" x14ac:dyDescent="0.2">
      <c r="B7431" s="10"/>
    </row>
    <row r="7432" spans="2:2" x14ac:dyDescent="0.2">
      <c r="B7432" s="10"/>
    </row>
    <row r="7433" spans="2:2" x14ac:dyDescent="0.2">
      <c r="B7433" s="10"/>
    </row>
    <row r="7434" spans="2:2" x14ac:dyDescent="0.2">
      <c r="B7434" s="10"/>
    </row>
    <row r="7435" spans="2:2" x14ac:dyDescent="0.2">
      <c r="B7435" s="10"/>
    </row>
    <row r="7436" spans="2:2" x14ac:dyDescent="0.2">
      <c r="B7436" s="10"/>
    </row>
    <row r="7437" spans="2:2" x14ac:dyDescent="0.2">
      <c r="B7437" s="10"/>
    </row>
    <row r="7438" spans="2:2" x14ac:dyDescent="0.2">
      <c r="B7438" s="10"/>
    </row>
    <row r="7439" spans="2:2" x14ac:dyDescent="0.2">
      <c r="B7439" s="10"/>
    </row>
    <row r="7440" spans="2:2" x14ac:dyDescent="0.2">
      <c r="B7440" s="10"/>
    </row>
    <row r="7441" spans="2:2" x14ac:dyDescent="0.2">
      <c r="B7441" s="10"/>
    </row>
    <row r="7442" spans="2:2" x14ac:dyDescent="0.2">
      <c r="B7442" s="10"/>
    </row>
    <row r="7443" spans="2:2" x14ac:dyDescent="0.2">
      <c r="B7443" s="10"/>
    </row>
    <row r="7444" spans="2:2" x14ac:dyDescent="0.2">
      <c r="B7444" s="10"/>
    </row>
    <row r="7445" spans="2:2" x14ac:dyDescent="0.2">
      <c r="B7445" s="10"/>
    </row>
    <row r="7446" spans="2:2" x14ac:dyDescent="0.2">
      <c r="B7446" s="10"/>
    </row>
    <row r="7447" spans="2:2" x14ac:dyDescent="0.2">
      <c r="B7447" s="10"/>
    </row>
    <row r="7448" spans="2:2" x14ac:dyDescent="0.2">
      <c r="B7448" s="10"/>
    </row>
    <row r="7449" spans="2:2" x14ac:dyDescent="0.2">
      <c r="B7449" s="10"/>
    </row>
    <row r="7450" spans="2:2" x14ac:dyDescent="0.2">
      <c r="B7450" s="10"/>
    </row>
    <row r="7451" spans="2:2" x14ac:dyDescent="0.2">
      <c r="B7451" s="10"/>
    </row>
    <row r="7452" spans="2:2" x14ac:dyDescent="0.2">
      <c r="B7452" s="10"/>
    </row>
    <row r="7453" spans="2:2" x14ac:dyDescent="0.2">
      <c r="B7453" s="10"/>
    </row>
    <row r="7454" spans="2:2" x14ac:dyDescent="0.2">
      <c r="B7454" s="10"/>
    </row>
    <row r="7455" spans="2:2" x14ac:dyDescent="0.2">
      <c r="B7455" s="10"/>
    </row>
    <row r="7456" spans="2:2" x14ac:dyDescent="0.2">
      <c r="B7456" s="10"/>
    </row>
    <row r="7457" spans="2:2" x14ac:dyDescent="0.2">
      <c r="B7457" s="10"/>
    </row>
    <row r="7458" spans="2:2" x14ac:dyDescent="0.2">
      <c r="B7458" s="10"/>
    </row>
    <row r="7459" spans="2:2" x14ac:dyDescent="0.2">
      <c r="B7459" s="10"/>
    </row>
    <row r="7460" spans="2:2" x14ac:dyDescent="0.2">
      <c r="B7460" s="10"/>
    </row>
    <row r="7461" spans="2:2" x14ac:dyDescent="0.2">
      <c r="B7461" s="10"/>
    </row>
    <row r="7462" spans="2:2" x14ac:dyDescent="0.2">
      <c r="B7462" s="10"/>
    </row>
    <row r="7463" spans="2:2" x14ac:dyDescent="0.2">
      <c r="B7463" s="10"/>
    </row>
    <row r="7464" spans="2:2" x14ac:dyDescent="0.2">
      <c r="B7464" s="10"/>
    </row>
    <row r="7465" spans="2:2" x14ac:dyDescent="0.2">
      <c r="B7465" s="10"/>
    </row>
    <row r="7466" spans="2:2" x14ac:dyDescent="0.2">
      <c r="B7466" s="10"/>
    </row>
    <row r="7467" spans="2:2" x14ac:dyDescent="0.2">
      <c r="B7467" s="10"/>
    </row>
    <row r="7468" spans="2:2" x14ac:dyDescent="0.2">
      <c r="B7468" s="10"/>
    </row>
    <row r="7469" spans="2:2" x14ac:dyDescent="0.2">
      <c r="B7469" s="10"/>
    </row>
    <row r="7470" spans="2:2" x14ac:dyDescent="0.2">
      <c r="B7470" s="10"/>
    </row>
    <row r="7471" spans="2:2" x14ac:dyDescent="0.2">
      <c r="B7471" s="10"/>
    </row>
    <row r="7472" spans="2:2" x14ac:dyDescent="0.2">
      <c r="B7472" s="10"/>
    </row>
    <row r="7473" spans="2:2" x14ac:dyDescent="0.2">
      <c r="B7473" s="10"/>
    </row>
    <row r="7474" spans="2:2" x14ac:dyDescent="0.2">
      <c r="B7474" s="10"/>
    </row>
    <row r="7475" spans="2:2" x14ac:dyDescent="0.2">
      <c r="B7475" s="10"/>
    </row>
    <row r="7476" spans="2:2" x14ac:dyDescent="0.2">
      <c r="B7476" s="10"/>
    </row>
    <row r="7477" spans="2:2" x14ac:dyDescent="0.2">
      <c r="B7477" s="10"/>
    </row>
    <row r="7478" spans="2:2" x14ac:dyDescent="0.2">
      <c r="B7478" s="10"/>
    </row>
    <row r="7479" spans="2:2" x14ac:dyDescent="0.2">
      <c r="B7479" s="10"/>
    </row>
    <row r="7480" spans="2:2" x14ac:dyDescent="0.2">
      <c r="B7480" s="10"/>
    </row>
    <row r="7481" spans="2:2" x14ac:dyDescent="0.2">
      <c r="B7481" s="10"/>
    </row>
    <row r="7482" spans="2:2" x14ac:dyDescent="0.2">
      <c r="B7482" s="10"/>
    </row>
    <row r="7483" spans="2:2" x14ac:dyDescent="0.2">
      <c r="B7483" s="10"/>
    </row>
    <row r="7484" spans="2:2" x14ac:dyDescent="0.2">
      <c r="B7484" s="10"/>
    </row>
    <row r="7485" spans="2:2" x14ac:dyDescent="0.2">
      <c r="B7485" s="10"/>
    </row>
    <row r="7486" spans="2:2" x14ac:dyDescent="0.2">
      <c r="B7486" s="10"/>
    </row>
    <row r="7487" spans="2:2" x14ac:dyDescent="0.2">
      <c r="B7487" s="10"/>
    </row>
    <row r="7488" spans="2:2" x14ac:dyDescent="0.2">
      <c r="B7488" s="10"/>
    </row>
    <row r="7489" spans="2:2" x14ac:dyDescent="0.2">
      <c r="B7489" s="10"/>
    </row>
    <row r="7490" spans="2:2" x14ac:dyDescent="0.2">
      <c r="B7490" s="10"/>
    </row>
    <row r="7491" spans="2:2" x14ac:dyDescent="0.2">
      <c r="B7491" s="10"/>
    </row>
    <row r="7492" spans="2:2" x14ac:dyDescent="0.2">
      <c r="B7492" s="10"/>
    </row>
    <row r="7493" spans="2:2" x14ac:dyDescent="0.2">
      <c r="B7493" s="10"/>
    </row>
    <row r="7494" spans="2:2" x14ac:dyDescent="0.2">
      <c r="B7494" s="10"/>
    </row>
    <row r="7495" spans="2:2" x14ac:dyDescent="0.2">
      <c r="B7495" s="10"/>
    </row>
    <row r="7496" spans="2:2" x14ac:dyDescent="0.2">
      <c r="B7496" s="10"/>
    </row>
    <row r="7497" spans="2:2" x14ac:dyDescent="0.2">
      <c r="B7497" s="10"/>
    </row>
    <row r="7498" spans="2:2" x14ac:dyDescent="0.2">
      <c r="B7498" s="10"/>
    </row>
    <row r="7499" spans="2:2" x14ac:dyDescent="0.2">
      <c r="B7499" s="10"/>
    </row>
    <row r="7500" spans="2:2" x14ac:dyDescent="0.2">
      <c r="B7500" s="10"/>
    </row>
    <row r="7501" spans="2:2" x14ac:dyDescent="0.2">
      <c r="B7501" s="10"/>
    </row>
    <row r="7502" spans="2:2" x14ac:dyDescent="0.2">
      <c r="B7502" s="10"/>
    </row>
    <row r="7503" spans="2:2" x14ac:dyDescent="0.2">
      <c r="B7503" s="10"/>
    </row>
    <row r="7504" spans="2:2" x14ac:dyDescent="0.2">
      <c r="B7504" s="10"/>
    </row>
    <row r="7505" spans="2:2" x14ac:dyDescent="0.2">
      <c r="B7505" s="10"/>
    </row>
    <row r="7506" spans="2:2" x14ac:dyDescent="0.2">
      <c r="B7506" s="10"/>
    </row>
    <row r="7507" spans="2:2" x14ac:dyDescent="0.2">
      <c r="B7507" s="10"/>
    </row>
    <row r="7508" spans="2:2" x14ac:dyDescent="0.2">
      <c r="B7508" s="10"/>
    </row>
    <row r="7509" spans="2:2" x14ac:dyDescent="0.2">
      <c r="B7509" s="10"/>
    </row>
    <row r="7510" spans="2:2" x14ac:dyDescent="0.2">
      <c r="B7510" s="10"/>
    </row>
    <row r="7511" spans="2:2" x14ac:dyDescent="0.2">
      <c r="B7511" s="10"/>
    </row>
    <row r="7512" spans="2:2" x14ac:dyDescent="0.2">
      <c r="B7512" s="10"/>
    </row>
    <row r="7513" spans="2:2" x14ac:dyDescent="0.2">
      <c r="B7513" s="10"/>
    </row>
    <row r="7514" spans="2:2" x14ac:dyDescent="0.2">
      <c r="B7514" s="10"/>
    </row>
    <row r="7515" spans="2:2" x14ac:dyDescent="0.2">
      <c r="B7515" s="10"/>
    </row>
    <row r="7516" spans="2:2" x14ac:dyDescent="0.2">
      <c r="B7516" s="10"/>
    </row>
    <row r="7517" spans="2:2" x14ac:dyDescent="0.2">
      <c r="B7517" s="10"/>
    </row>
    <row r="7518" spans="2:2" x14ac:dyDescent="0.2">
      <c r="B7518" s="10"/>
    </row>
    <row r="7519" spans="2:2" x14ac:dyDescent="0.2">
      <c r="B7519" s="10"/>
    </row>
    <row r="7520" spans="2:2" x14ac:dyDescent="0.2">
      <c r="B7520" s="10"/>
    </row>
    <row r="7521" spans="2:2" x14ac:dyDescent="0.2">
      <c r="B7521" s="10"/>
    </row>
    <row r="7522" spans="2:2" x14ac:dyDescent="0.2">
      <c r="B7522" s="10"/>
    </row>
    <row r="7523" spans="2:2" x14ac:dyDescent="0.2">
      <c r="B7523" s="10"/>
    </row>
    <row r="7524" spans="2:2" x14ac:dyDescent="0.2">
      <c r="B7524" s="10"/>
    </row>
    <row r="7525" spans="2:2" x14ac:dyDescent="0.2">
      <c r="B7525" s="10"/>
    </row>
    <row r="7526" spans="2:2" x14ac:dyDescent="0.2">
      <c r="B7526" s="10"/>
    </row>
    <row r="7527" spans="2:2" x14ac:dyDescent="0.2">
      <c r="B7527" s="10"/>
    </row>
    <row r="7528" spans="2:2" x14ac:dyDescent="0.2">
      <c r="B7528" s="10"/>
    </row>
    <row r="7529" spans="2:2" x14ac:dyDescent="0.2">
      <c r="B7529" s="10"/>
    </row>
    <row r="7530" spans="2:2" x14ac:dyDescent="0.2">
      <c r="B7530" s="10"/>
    </row>
    <row r="7531" spans="2:2" x14ac:dyDescent="0.2">
      <c r="B7531" s="10"/>
    </row>
    <row r="7532" spans="2:2" x14ac:dyDescent="0.2">
      <c r="B7532" s="10"/>
    </row>
    <row r="7533" spans="2:2" x14ac:dyDescent="0.2">
      <c r="B7533" s="10"/>
    </row>
    <row r="7534" spans="2:2" x14ac:dyDescent="0.2">
      <c r="B7534" s="10"/>
    </row>
    <row r="7535" spans="2:2" x14ac:dyDescent="0.2">
      <c r="B7535" s="10"/>
    </row>
    <row r="7536" spans="2:2" x14ac:dyDescent="0.2">
      <c r="B7536" s="10"/>
    </row>
    <row r="7537" spans="2:2" x14ac:dyDescent="0.2">
      <c r="B7537" s="10"/>
    </row>
    <row r="7538" spans="2:2" x14ac:dyDescent="0.2">
      <c r="B7538" s="10"/>
    </row>
    <row r="7539" spans="2:2" x14ac:dyDescent="0.2">
      <c r="B7539" s="10"/>
    </row>
    <row r="7540" spans="2:2" x14ac:dyDescent="0.2">
      <c r="B7540" s="10"/>
    </row>
    <row r="7541" spans="2:2" x14ac:dyDescent="0.2">
      <c r="B7541" s="10"/>
    </row>
    <row r="7542" spans="2:2" x14ac:dyDescent="0.2">
      <c r="B7542" s="10"/>
    </row>
    <row r="7543" spans="2:2" x14ac:dyDescent="0.2">
      <c r="B7543" s="10"/>
    </row>
    <row r="7544" spans="2:2" x14ac:dyDescent="0.2">
      <c r="B7544" s="10"/>
    </row>
    <row r="7545" spans="2:2" x14ac:dyDescent="0.2">
      <c r="B7545" s="10"/>
    </row>
    <row r="7546" spans="2:2" x14ac:dyDescent="0.2">
      <c r="B7546" s="10"/>
    </row>
    <row r="7547" spans="2:2" x14ac:dyDescent="0.2">
      <c r="B7547" s="10"/>
    </row>
    <row r="7548" spans="2:2" x14ac:dyDescent="0.2">
      <c r="B7548" s="10"/>
    </row>
    <row r="7549" spans="2:2" x14ac:dyDescent="0.2">
      <c r="B7549" s="10"/>
    </row>
    <row r="7550" spans="2:2" x14ac:dyDescent="0.2">
      <c r="B7550" s="10"/>
    </row>
    <row r="7551" spans="2:2" x14ac:dyDescent="0.2">
      <c r="B7551" s="10"/>
    </row>
    <row r="7552" spans="2:2" x14ac:dyDescent="0.2">
      <c r="B7552" s="10"/>
    </row>
    <row r="7553" spans="2:2" x14ac:dyDescent="0.2">
      <c r="B7553" s="10"/>
    </row>
    <row r="7554" spans="2:2" x14ac:dyDescent="0.2">
      <c r="B7554" s="10"/>
    </row>
    <row r="7555" spans="2:2" x14ac:dyDescent="0.2">
      <c r="B7555" s="10"/>
    </row>
    <row r="7556" spans="2:2" x14ac:dyDescent="0.2">
      <c r="B7556" s="10"/>
    </row>
    <row r="7557" spans="2:2" x14ac:dyDescent="0.2">
      <c r="B7557" s="10"/>
    </row>
    <row r="7558" spans="2:2" x14ac:dyDescent="0.2">
      <c r="B7558" s="10"/>
    </row>
    <row r="7559" spans="2:2" x14ac:dyDescent="0.2">
      <c r="B7559" s="10"/>
    </row>
    <row r="7560" spans="2:2" x14ac:dyDescent="0.2">
      <c r="B7560" s="10"/>
    </row>
    <row r="7561" spans="2:2" x14ac:dyDescent="0.2">
      <c r="B7561" s="10"/>
    </row>
    <row r="7562" spans="2:2" x14ac:dyDescent="0.2">
      <c r="B7562" s="10"/>
    </row>
    <row r="7563" spans="2:2" x14ac:dyDescent="0.2">
      <c r="B7563" s="10"/>
    </row>
    <row r="7564" spans="2:2" x14ac:dyDescent="0.2">
      <c r="B7564" s="10"/>
    </row>
    <row r="7565" spans="2:2" x14ac:dyDescent="0.2">
      <c r="B7565" s="10"/>
    </row>
    <row r="7566" spans="2:2" x14ac:dyDescent="0.2">
      <c r="B7566" s="10"/>
    </row>
    <row r="7567" spans="2:2" x14ac:dyDescent="0.2">
      <c r="B7567" s="10"/>
    </row>
    <row r="7568" spans="2:2" x14ac:dyDescent="0.2">
      <c r="B7568" s="10"/>
    </row>
    <row r="7569" spans="2:2" x14ac:dyDescent="0.2">
      <c r="B7569" s="10"/>
    </row>
    <row r="7570" spans="2:2" x14ac:dyDescent="0.2">
      <c r="B7570" s="10"/>
    </row>
    <row r="7571" spans="2:2" x14ac:dyDescent="0.2">
      <c r="B7571" s="10"/>
    </row>
    <row r="7572" spans="2:2" x14ac:dyDescent="0.2">
      <c r="B7572" s="10"/>
    </row>
    <row r="7573" spans="2:2" x14ac:dyDescent="0.2">
      <c r="B7573" s="10"/>
    </row>
    <row r="7574" spans="2:2" x14ac:dyDescent="0.2">
      <c r="B7574" s="10"/>
    </row>
    <row r="7575" spans="2:2" x14ac:dyDescent="0.2">
      <c r="B7575" s="10"/>
    </row>
    <row r="7576" spans="2:2" x14ac:dyDescent="0.2">
      <c r="B7576" s="10"/>
    </row>
    <row r="7577" spans="2:2" x14ac:dyDescent="0.2">
      <c r="B7577" s="10"/>
    </row>
    <row r="7578" spans="2:2" x14ac:dyDescent="0.2">
      <c r="B7578" s="10"/>
    </row>
    <row r="7579" spans="2:2" x14ac:dyDescent="0.2">
      <c r="B7579" s="10"/>
    </row>
    <row r="7580" spans="2:2" x14ac:dyDescent="0.2">
      <c r="B7580" s="10"/>
    </row>
    <row r="7581" spans="2:2" x14ac:dyDescent="0.2">
      <c r="B7581" s="10"/>
    </row>
    <row r="7582" spans="2:2" x14ac:dyDescent="0.2">
      <c r="B7582" s="10"/>
    </row>
    <row r="7583" spans="2:2" x14ac:dyDescent="0.2">
      <c r="B7583" s="10"/>
    </row>
    <row r="7584" spans="2:2" x14ac:dyDescent="0.2">
      <c r="B7584" s="10"/>
    </row>
    <row r="7585" spans="2:2" x14ac:dyDescent="0.2">
      <c r="B7585" s="10"/>
    </row>
    <row r="7586" spans="2:2" x14ac:dyDescent="0.2">
      <c r="B7586" s="10"/>
    </row>
    <row r="7587" spans="2:2" x14ac:dyDescent="0.2">
      <c r="B7587" s="10"/>
    </row>
    <row r="7588" spans="2:2" x14ac:dyDescent="0.2">
      <c r="B7588" s="10"/>
    </row>
    <row r="7589" spans="2:2" x14ac:dyDescent="0.2">
      <c r="B7589" s="10"/>
    </row>
    <row r="7590" spans="2:2" x14ac:dyDescent="0.2">
      <c r="B7590" s="10"/>
    </row>
    <row r="7591" spans="2:2" x14ac:dyDescent="0.2">
      <c r="B7591" s="10"/>
    </row>
    <row r="7592" spans="2:2" x14ac:dyDescent="0.2">
      <c r="B7592" s="10"/>
    </row>
    <row r="7593" spans="2:2" x14ac:dyDescent="0.2">
      <c r="B7593" s="10"/>
    </row>
    <row r="7594" spans="2:2" x14ac:dyDescent="0.2">
      <c r="B7594" s="10"/>
    </row>
    <row r="7595" spans="2:2" x14ac:dyDescent="0.2">
      <c r="B7595" s="10"/>
    </row>
    <row r="7596" spans="2:2" x14ac:dyDescent="0.2">
      <c r="B7596" s="10"/>
    </row>
    <row r="7597" spans="2:2" x14ac:dyDescent="0.2">
      <c r="B7597" s="10"/>
    </row>
    <row r="7598" spans="2:2" x14ac:dyDescent="0.2">
      <c r="B7598" s="10"/>
    </row>
    <row r="7599" spans="2:2" x14ac:dyDescent="0.2">
      <c r="B7599" s="10"/>
    </row>
    <row r="7600" spans="2:2" x14ac:dyDescent="0.2">
      <c r="B7600" s="10"/>
    </row>
    <row r="7601" spans="2:2" x14ac:dyDescent="0.2">
      <c r="B7601" s="10"/>
    </row>
    <row r="7602" spans="2:2" x14ac:dyDescent="0.2">
      <c r="B7602" s="10"/>
    </row>
    <row r="7603" spans="2:2" x14ac:dyDescent="0.2">
      <c r="B7603" s="10"/>
    </row>
    <row r="7604" spans="2:2" x14ac:dyDescent="0.2">
      <c r="B7604" s="10"/>
    </row>
    <row r="7605" spans="2:2" x14ac:dyDescent="0.2">
      <c r="B7605" s="10"/>
    </row>
    <row r="7606" spans="2:2" x14ac:dyDescent="0.2">
      <c r="B7606" s="10"/>
    </row>
    <row r="7607" spans="2:2" x14ac:dyDescent="0.2">
      <c r="B7607" s="10"/>
    </row>
    <row r="7608" spans="2:2" x14ac:dyDescent="0.2">
      <c r="B7608" s="10"/>
    </row>
    <row r="7609" spans="2:2" x14ac:dyDescent="0.2">
      <c r="B7609" s="10"/>
    </row>
    <row r="7610" spans="2:2" x14ac:dyDescent="0.2">
      <c r="B7610" s="10"/>
    </row>
    <row r="7611" spans="2:2" x14ac:dyDescent="0.2">
      <c r="B7611" s="10"/>
    </row>
    <row r="7612" spans="2:2" x14ac:dyDescent="0.2">
      <c r="B7612" s="10"/>
    </row>
    <row r="7613" spans="2:2" x14ac:dyDescent="0.2">
      <c r="B7613" s="10"/>
    </row>
    <row r="7614" spans="2:2" x14ac:dyDescent="0.2">
      <c r="B7614" s="10"/>
    </row>
    <row r="7615" spans="2:2" x14ac:dyDescent="0.2">
      <c r="B7615" s="10"/>
    </row>
    <row r="7616" spans="2:2" x14ac:dyDescent="0.2">
      <c r="B7616" s="10"/>
    </row>
    <row r="7617" spans="2:2" x14ac:dyDescent="0.2">
      <c r="B7617" s="10"/>
    </row>
    <row r="7618" spans="2:2" x14ac:dyDescent="0.2">
      <c r="B7618" s="10"/>
    </row>
    <row r="7619" spans="2:2" x14ac:dyDescent="0.2">
      <c r="B7619" s="10"/>
    </row>
    <row r="7620" spans="2:2" x14ac:dyDescent="0.2">
      <c r="B7620" s="10"/>
    </row>
    <row r="7621" spans="2:2" x14ac:dyDescent="0.2">
      <c r="B7621" s="10"/>
    </row>
    <row r="7622" spans="2:2" x14ac:dyDescent="0.2">
      <c r="B7622" s="10"/>
    </row>
    <row r="7623" spans="2:2" x14ac:dyDescent="0.2">
      <c r="B7623" s="10"/>
    </row>
    <row r="7624" spans="2:2" x14ac:dyDescent="0.2">
      <c r="B7624" s="10"/>
    </row>
    <row r="7625" spans="2:2" x14ac:dyDescent="0.2">
      <c r="B7625" s="10"/>
    </row>
    <row r="7626" spans="2:2" x14ac:dyDescent="0.2">
      <c r="B7626" s="10"/>
    </row>
    <row r="7627" spans="2:2" x14ac:dyDescent="0.2">
      <c r="B7627" s="10"/>
    </row>
    <row r="7628" spans="2:2" x14ac:dyDescent="0.2">
      <c r="B7628" s="10"/>
    </row>
    <row r="7629" spans="2:2" x14ac:dyDescent="0.2">
      <c r="B7629" s="10"/>
    </row>
    <row r="7630" spans="2:2" x14ac:dyDescent="0.2">
      <c r="B7630" s="10"/>
    </row>
    <row r="7631" spans="2:2" x14ac:dyDescent="0.2">
      <c r="B7631" s="10"/>
    </row>
    <row r="7632" spans="2:2" x14ac:dyDescent="0.2">
      <c r="B7632" s="10"/>
    </row>
    <row r="7633" spans="2:2" x14ac:dyDescent="0.2">
      <c r="B7633" s="10"/>
    </row>
    <row r="7634" spans="2:2" x14ac:dyDescent="0.2">
      <c r="B7634" s="10"/>
    </row>
    <row r="7635" spans="2:2" x14ac:dyDescent="0.2">
      <c r="B7635" s="10"/>
    </row>
    <row r="7636" spans="2:2" x14ac:dyDescent="0.2">
      <c r="B7636" s="10"/>
    </row>
    <row r="7637" spans="2:2" x14ac:dyDescent="0.2">
      <c r="B7637" s="10"/>
    </row>
    <row r="7638" spans="2:2" x14ac:dyDescent="0.2">
      <c r="B7638" s="10"/>
    </row>
    <row r="7639" spans="2:2" x14ac:dyDescent="0.2">
      <c r="B7639" s="10"/>
    </row>
    <row r="7640" spans="2:2" x14ac:dyDescent="0.2">
      <c r="B7640" s="10"/>
    </row>
    <row r="7641" spans="2:2" x14ac:dyDescent="0.2">
      <c r="B7641" s="10"/>
    </row>
    <row r="7642" spans="2:2" x14ac:dyDescent="0.2">
      <c r="B7642" s="10"/>
    </row>
    <row r="7643" spans="2:2" x14ac:dyDescent="0.2">
      <c r="B7643" s="10"/>
    </row>
    <row r="7644" spans="2:2" x14ac:dyDescent="0.2">
      <c r="B7644" s="10"/>
    </row>
    <row r="7645" spans="2:2" x14ac:dyDescent="0.2">
      <c r="B7645" s="10"/>
    </row>
    <row r="7646" spans="2:2" x14ac:dyDescent="0.2">
      <c r="B7646" s="10"/>
    </row>
    <row r="7647" spans="2:2" x14ac:dyDescent="0.2">
      <c r="B7647" s="10"/>
    </row>
    <row r="7648" spans="2:2" x14ac:dyDescent="0.2">
      <c r="B7648" s="10"/>
    </row>
    <row r="7649" spans="2:2" x14ac:dyDescent="0.2">
      <c r="B7649" s="10"/>
    </row>
    <row r="7650" spans="2:2" x14ac:dyDescent="0.2">
      <c r="B7650" s="10"/>
    </row>
    <row r="7651" spans="2:2" x14ac:dyDescent="0.2">
      <c r="B7651" s="10"/>
    </row>
    <row r="7652" spans="2:2" x14ac:dyDescent="0.2">
      <c r="B7652" s="10"/>
    </row>
    <row r="7653" spans="2:2" x14ac:dyDescent="0.2">
      <c r="B7653" s="10"/>
    </row>
    <row r="7654" spans="2:2" x14ac:dyDescent="0.2">
      <c r="B7654" s="10"/>
    </row>
    <row r="7655" spans="2:2" x14ac:dyDescent="0.2">
      <c r="B7655" s="10"/>
    </row>
    <row r="7656" spans="2:2" x14ac:dyDescent="0.2">
      <c r="B7656" s="10"/>
    </row>
    <row r="7657" spans="2:2" x14ac:dyDescent="0.2">
      <c r="B7657" s="10"/>
    </row>
    <row r="7658" spans="2:2" x14ac:dyDescent="0.2">
      <c r="B7658" s="10"/>
    </row>
    <row r="7659" spans="2:2" x14ac:dyDescent="0.2">
      <c r="B7659" s="10"/>
    </row>
    <row r="7660" spans="2:2" x14ac:dyDescent="0.2">
      <c r="B7660" s="10"/>
    </row>
    <row r="7661" spans="2:2" x14ac:dyDescent="0.2">
      <c r="B7661" s="10"/>
    </row>
    <row r="7662" spans="2:2" x14ac:dyDescent="0.2">
      <c r="B7662" s="10"/>
    </row>
    <row r="7663" spans="2:2" x14ac:dyDescent="0.2">
      <c r="B7663" s="10"/>
    </row>
    <row r="7664" spans="2:2" x14ac:dyDescent="0.2">
      <c r="B7664" s="10"/>
    </row>
    <row r="7665" spans="2:2" x14ac:dyDescent="0.2">
      <c r="B7665" s="10"/>
    </row>
    <row r="7666" spans="2:2" x14ac:dyDescent="0.2">
      <c r="B7666" s="10"/>
    </row>
    <row r="7667" spans="2:2" x14ac:dyDescent="0.2">
      <c r="B7667" s="10"/>
    </row>
    <row r="7668" spans="2:2" x14ac:dyDescent="0.2">
      <c r="B7668" s="10"/>
    </row>
    <row r="7669" spans="2:2" x14ac:dyDescent="0.2">
      <c r="B7669" s="10"/>
    </row>
    <row r="7670" spans="2:2" x14ac:dyDescent="0.2">
      <c r="B7670" s="10"/>
    </row>
    <row r="7671" spans="2:2" x14ac:dyDescent="0.2">
      <c r="B7671" s="10"/>
    </row>
    <row r="7672" spans="2:2" x14ac:dyDescent="0.2">
      <c r="B7672" s="10"/>
    </row>
    <row r="7673" spans="2:2" x14ac:dyDescent="0.2">
      <c r="B7673" s="10"/>
    </row>
    <row r="7674" spans="2:2" x14ac:dyDescent="0.2">
      <c r="B7674" s="10"/>
    </row>
    <row r="7675" spans="2:2" x14ac:dyDescent="0.2">
      <c r="B7675" s="10"/>
    </row>
    <row r="7676" spans="2:2" x14ac:dyDescent="0.2">
      <c r="B7676" s="10"/>
    </row>
    <row r="7677" spans="2:2" x14ac:dyDescent="0.2">
      <c r="B7677" s="10"/>
    </row>
    <row r="7678" spans="2:2" x14ac:dyDescent="0.2">
      <c r="B7678" s="10"/>
    </row>
    <row r="7679" spans="2:2" x14ac:dyDescent="0.2">
      <c r="B7679" s="10"/>
    </row>
    <row r="7680" spans="2:2" x14ac:dyDescent="0.2">
      <c r="B7680" s="10"/>
    </row>
    <row r="7681" spans="2:2" x14ac:dyDescent="0.2">
      <c r="B7681" s="10"/>
    </row>
    <row r="7682" spans="2:2" x14ac:dyDescent="0.2">
      <c r="B7682" s="10"/>
    </row>
    <row r="7683" spans="2:2" x14ac:dyDescent="0.2">
      <c r="B7683" s="10"/>
    </row>
    <row r="7684" spans="2:2" x14ac:dyDescent="0.2">
      <c r="B7684" s="10"/>
    </row>
    <row r="7685" spans="2:2" x14ac:dyDescent="0.2">
      <c r="B7685" s="10"/>
    </row>
    <row r="7686" spans="2:2" x14ac:dyDescent="0.2">
      <c r="B7686" s="10"/>
    </row>
    <row r="7687" spans="2:2" x14ac:dyDescent="0.2">
      <c r="B7687" s="10"/>
    </row>
    <row r="7688" spans="2:2" x14ac:dyDescent="0.2">
      <c r="B7688" s="10"/>
    </row>
    <row r="7689" spans="2:2" x14ac:dyDescent="0.2">
      <c r="B7689" s="10"/>
    </row>
    <row r="7690" spans="2:2" x14ac:dyDescent="0.2">
      <c r="B7690" s="10"/>
    </row>
    <row r="7691" spans="2:2" x14ac:dyDescent="0.2">
      <c r="B7691" s="10"/>
    </row>
    <row r="7692" spans="2:2" x14ac:dyDescent="0.2">
      <c r="B7692" s="10"/>
    </row>
    <row r="7693" spans="2:2" x14ac:dyDescent="0.2">
      <c r="B7693" s="10"/>
    </row>
    <row r="7694" spans="2:2" x14ac:dyDescent="0.2">
      <c r="B7694" s="10"/>
    </row>
    <row r="7695" spans="2:2" x14ac:dyDescent="0.2">
      <c r="B7695" s="10"/>
    </row>
    <row r="7696" spans="2:2" x14ac:dyDescent="0.2">
      <c r="B7696" s="10"/>
    </row>
    <row r="7697" spans="2:2" x14ac:dyDescent="0.2">
      <c r="B7697" s="10"/>
    </row>
    <row r="7698" spans="2:2" x14ac:dyDescent="0.2">
      <c r="B7698" s="10"/>
    </row>
    <row r="7699" spans="2:2" x14ac:dyDescent="0.2">
      <c r="B7699" s="10"/>
    </row>
    <row r="7700" spans="2:2" x14ac:dyDescent="0.2">
      <c r="B7700" s="10"/>
    </row>
    <row r="7701" spans="2:2" x14ac:dyDescent="0.2">
      <c r="B7701" s="10"/>
    </row>
    <row r="7702" spans="2:2" x14ac:dyDescent="0.2">
      <c r="B7702" s="10"/>
    </row>
    <row r="7703" spans="2:2" x14ac:dyDescent="0.2">
      <c r="B7703" s="10"/>
    </row>
    <row r="7704" spans="2:2" x14ac:dyDescent="0.2">
      <c r="B7704" s="10"/>
    </row>
    <row r="7705" spans="2:2" x14ac:dyDescent="0.2">
      <c r="B7705" s="10"/>
    </row>
    <row r="7706" spans="2:2" x14ac:dyDescent="0.2">
      <c r="B7706" s="10"/>
    </row>
    <row r="7707" spans="2:2" x14ac:dyDescent="0.2">
      <c r="B7707" s="10"/>
    </row>
    <row r="7708" spans="2:2" x14ac:dyDescent="0.2">
      <c r="B7708" s="10"/>
    </row>
    <row r="7709" spans="2:2" x14ac:dyDescent="0.2">
      <c r="B7709" s="10"/>
    </row>
    <row r="7710" spans="2:2" x14ac:dyDescent="0.2">
      <c r="B7710" s="10"/>
    </row>
    <row r="7711" spans="2:2" x14ac:dyDescent="0.2">
      <c r="B7711" s="10"/>
    </row>
    <row r="7712" spans="2:2" x14ac:dyDescent="0.2">
      <c r="B7712" s="10"/>
    </row>
    <row r="7713" spans="2:2" x14ac:dyDescent="0.2">
      <c r="B7713" s="10"/>
    </row>
    <row r="7714" spans="2:2" x14ac:dyDescent="0.2">
      <c r="B7714" s="10"/>
    </row>
    <row r="7715" spans="2:2" x14ac:dyDescent="0.2">
      <c r="B7715" s="10"/>
    </row>
    <row r="7716" spans="2:2" x14ac:dyDescent="0.2">
      <c r="B7716" s="10"/>
    </row>
    <row r="7717" spans="2:2" x14ac:dyDescent="0.2">
      <c r="B7717" s="10"/>
    </row>
    <row r="7718" spans="2:2" x14ac:dyDescent="0.2">
      <c r="B7718" s="10"/>
    </row>
    <row r="7719" spans="2:2" x14ac:dyDescent="0.2">
      <c r="B7719" s="10"/>
    </row>
    <row r="7720" spans="2:2" x14ac:dyDescent="0.2">
      <c r="B7720" s="10"/>
    </row>
    <row r="7721" spans="2:2" x14ac:dyDescent="0.2">
      <c r="B7721" s="10"/>
    </row>
    <row r="7722" spans="2:2" x14ac:dyDescent="0.2">
      <c r="B7722" s="10"/>
    </row>
    <row r="7723" spans="2:2" x14ac:dyDescent="0.2">
      <c r="B7723" s="10"/>
    </row>
    <row r="7724" spans="2:2" x14ac:dyDescent="0.2">
      <c r="B7724" s="10"/>
    </row>
    <row r="7725" spans="2:2" x14ac:dyDescent="0.2">
      <c r="B7725" s="10"/>
    </row>
    <row r="7726" spans="2:2" x14ac:dyDescent="0.2">
      <c r="B7726" s="10"/>
    </row>
    <row r="7727" spans="2:2" x14ac:dyDescent="0.2">
      <c r="B7727" s="10"/>
    </row>
    <row r="7728" spans="2:2" x14ac:dyDescent="0.2">
      <c r="B7728" s="10"/>
    </row>
    <row r="7729" spans="2:2" x14ac:dyDescent="0.2">
      <c r="B7729" s="10"/>
    </row>
    <row r="7730" spans="2:2" x14ac:dyDescent="0.2">
      <c r="B7730" s="10"/>
    </row>
    <row r="7731" spans="2:2" x14ac:dyDescent="0.2">
      <c r="B7731" s="10"/>
    </row>
    <row r="7732" spans="2:2" x14ac:dyDescent="0.2">
      <c r="B7732" s="10"/>
    </row>
    <row r="7733" spans="2:2" x14ac:dyDescent="0.2">
      <c r="B7733" s="10"/>
    </row>
    <row r="7734" spans="2:2" x14ac:dyDescent="0.2">
      <c r="B7734" s="10"/>
    </row>
    <row r="7735" spans="2:2" x14ac:dyDescent="0.2">
      <c r="B7735" s="10"/>
    </row>
    <row r="7736" spans="2:2" x14ac:dyDescent="0.2">
      <c r="B7736" s="10"/>
    </row>
    <row r="7737" spans="2:2" x14ac:dyDescent="0.2">
      <c r="B7737" s="10"/>
    </row>
    <row r="7738" spans="2:2" x14ac:dyDescent="0.2">
      <c r="B7738" s="10"/>
    </row>
    <row r="7739" spans="2:2" x14ac:dyDescent="0.2">
      <c r="B7739" s="10"/>
    </row>
    <row r="7740" spans="2:2" x14ac:dyDescent="0.2">
      <c r="B7740" s="10"/>
    </row>
    <row r="7741" spans="2:2" x14ac:dyDescent="0.2">
      <c r="B7741" s="10"/>
    </row>
    <row r="7742" spans="2:2" x14ac:dyDescent="0.2">
      <c r="B7742" s="10"/>
    </row>
    <row r="7743" spans="2:2" x14ac:dyDescent="0.2">
      <c r="B7743" s="10"/>
    </row>
    <row r="7744" spans="2:2" x14ac:dyDescent="0.2">
      <c r="B7744" s="10"/>
    </row>
    <row r="7745" spans="2:2" x14ac:dyDescent="0.2">
      <c r="B7745" s="10"/>
    </row>
    <row r="7746" spans="2:2" x14ac:dyDescent="0.2">
      <c r="B7746" s="10"/>
    </row>
    <row r="7747" spans="2:2" x14ac:dyDescent="0.2">
      <c r="B7747" s="10"/>
    </row>
    <row r="7748" spans="2:2" x14ac:dyDescent="0.2">
      <c r="B7748" s="10"/>
    </row>
    <row r="7749" spans="2:2" x14ac:dyDescent="0.2">
      <c r="B7749" s="10"/>
    </row>
    <row r="7750" spans="2:2" x14ac:dyDescent="0.2">
      <c r="B7750" s="10"/>
    </row>
    <row r="7751" spans="2:2" x14ac:dyDescent="0.2">
      <c r="B7751" s="10"/>
    </row>
    <row r="7752" spans="2:2" x14ac:dyDescent="0.2">
      <c r="B7752" s="10"/>
    </row>
    <row r="7753" spans="2:2" x14ac:dyDescent="0.2">
      <c r="B7753" s="10"/>
    </row>
    <row r="7754" spans="2:2" x14ac:dyDescent="0.2">
      <c r="B7754" s="10"/>
    </row>
    <row r="7755" spans="2:2" x14ac:dyDescent="0.2">
      <c r="B7755" s="10"/>
    </row>
    <row r="7756" spans="2:2" x14ac:dyDescent="0.2">
      <c r="B7756" s="10"/>
    </row>
    <row r="7757" spans="2:2" x14ac:dyDescent="0.2">
      <c r="B7757" s="10"/>
    </row>
    <row r="7758" spans="2:2" x14ac:dyDescent="0.2">
      <c r="B7758" s="10"/>
    </row>
    <row r="7759" spans="2:2" x14ac:dyDescent="0.2">
      <c r="B7759" s="10"/>
    </row>
    <row r="7760" spans="2:2" x14ac:dyDescent="0.2">
      <c r="B7760" s="10"/>
    </row>
    <row r="7761" spans="2:2" x14ac:dyDescent="0.2">
      <c r="B7761" s="10"/>
    </row>
    <row r="7762" spans="2:2" x14ac:dyDescent="0.2">
      <c r="B7762" s="10"/>
    </row>
    <row r="7763" spans="2:2" x14ac:dyDescent="0.2">
      <c r="B7763" s="10"/>
    </row>
    <row r="7764" spans="2:2" x14ac:dyDescent="0.2">
      <c r="B7764" s="10"/>
    </row>
    <row r="7765" spans="2:2" x14ac:dyDescent="0.2">
      <c r="B7765" s="10"/>
    </row>
    <row r="7766" spans="2:2" x14ac:dyDescent="0.2">
      <c r="B7766" s="10"/>
    </row>
    <row r="7767" spans="2:2" x14ac:dyDescent="0.2">
      <c r="B7767" s="10"/>
    </row>
    <row r="7768" spans="2:2" x14ac:dyDescent="0.2">
      <c r="B7768" s="10"/>
    </row>
    <row r="7769" spans="2:2" x14ac:dyDescent="0.2">
      <c r="B7769" s="10"/>
    </row>
    <row r="7770" spans="2:2" x14ac:dyDescent="0.2">
      <c r="B7770" s="10"/>
    </row>
    <row r="7771" spans="2:2" x14ac:dyDescent="0.2">
      <c r="B7771" s="10"/>
    </row>
    <row r="7772" spans="2:2" x14ac:dyDescent="0.2">
      <c r="B7772" s="10"/>
    </row>
    <row r="7773" spans="2:2" x14ac:dyDescent="0.2">
      <c r="B7773" s="10"/>
    </row>
    <row r="7774" spans="2:2" x14ac:dyDescent="0.2">
      <c r="B7774" s="10"/>
    </row>
    <row r="7775" spans="2:2" x14ac:dyDescent="0.2">
      <c r="B7775" s="10"/>
    </row>
    <row r="7776" spans="2:2" x14ac:dyDescent="0.2">
      <c r="B7776" s="10"/>
    </row>
    <row r="7777" spans="2:2" x14ac:dyDescent="0.2">
      <c r="B7777" s="10"/>
    </row>
    <row r="7778" spans="2:2" x14ac:dyDescent="0.2">
      <c r="B7778" s="10"/>
    </row>
    <row r="7779" spans="2:2" x14ac:dyDescent="0.2">
      <c r="B7779" s="10"/>
    </row>
    <row r="7780" spans="2:2" x14ac:dyDescent="0.2">
      <c r="B7780" s="10"/>
    </row>
    <row r="7781" spans="2:2" x14ac:dyDescent="0.2">
      <c r="B7781" s="10"/>
    </row>
    <row r="7782" spans="2:2" x14ac:dyDescent="0.2">
      <c r="B7782" s="10"/>
    </row>
    <row r="7783" spans="2:2" x14ac:dyDescent="0.2">
      <c r="B7783" s="10"/>
    </row>
    <row r="7784" spans="2:2" x14ac:dyDescent="0.2">
      <c r="B7784" s="10"/>
    </row>
    <row r="7785" spans="2:2" x14ac:dyDescent="0.2">
      <c r="B7785" s="10"/>
    </row>
    <row r="7786" spans="2:2" x14ac:dyDescent="0.2">
      <c r="B7786" s="10"/>
    </row>
    <row r="7787" spans="2:2" x14ac:dyDescent="0.2">
      <c r="B7787" s="10"/>
    </row>
    <row r="7788" spans="2:2" x14ac:dyDescent="0.2">
      <c r="B7788" s="10"/>
    </row>
    <row r="7789" spans="2:2" x14ac:dyDescent="0.2">
      <c r="B7789" s="10"/>
    </row>
    <row r="7790" spans="2:2" x14ac:dyDescent="0.2">
      <c r="B7790" s="10"/>
    </row>
    <row r="7791" spans="2:2" x14ac:dyDescent="0.2">
      <c r="B7791" s="10"/>
    </row>
    <row r="7792" spans="2:2" x14ac:dyDescent="0.2">
      <c r="B7792" s="10"/>
    </row>
    <row r="7793" spans="2:2" x14ac:dyDescent="0.2">
      <c r="B7793" s="10"/>
    </row>
    <row r="7794" spans="2:2" x14ac:dyDescent="0.2">
      <c r="B7794" s="10"/>
    </row>
    <row r="7795" spans="2:2" x14ac:dyDescent="0.2">
      <c r="B7795" s="10"/>
    </row>
    <row r="7796" spans="2:2" x14ac:dyDescent="0.2">
      <c r="B7796" s="10"/>
    </row>
    <row r="7797" spans="2:2" x14ac:dyDescent="0.2">
      <c r="B7797" s="10"/>
    </row>
    <row r="7798" spans="2:2" x14ac:dyDescent="0.2">
      <c r="B7798" s="10"/>
    </row>
    <row r="7799" spans="2:2" x14ac:dyDescent="0.2">
      <c r="B7799" s="10"/>
    </row>
    <row r="7800" spans="2:2" x14ac:dyDescent="0.2">
      <c r="B7800" s="10"/>
    </row>
    <row r="7801" spans="2:2" x14ac:dyDescent="0.2">
      <c r="B7801" s="10"/>
    </row>
    <row r="7802" spans="2:2" x14ac:dyDescent="0.2">
      <c r="B7802" s="10"/>
    </row>
    <row r="7803" spans="2:2" x14ac:dyDescent="0.2">
      <c r="B7803" s="10"/>
    </row>
    <row r="7804" spans="2:2" x14ac:dyDescent="0.2">
      <c r="B7804" s="10"/>
    </row>
    <row r="7805" spans="2:2" x14ac:dyDescent="0.2">
      <c r="B7805" s="10"/>
    </row>
    <row r="7806" spans="2:2" x14ac:dyDescent="0.2">
      <c r="B7806" s="10"/>
    </row>
    <row r="7807" spans="2:2" x14ac:dyDescent="0.2">
      <c r="B7807" s="10"/>
    </row>
    <row r="7808" spans="2:2" x14ac:dyDescent="0.2">
      <c r="B7808" s="10"/>
    </row>
    <row r="7809" spans="2:2" x14ac:dyDescent="0.2">
      <c r="B7809" s="10"/>
    </row>
    <row r="7810" spans="2:2" x14ac:dyDescent="0.2">
      <c r="B7810" s="10"/>
    </row>
    <row r="7811" spans="2:2" x14ac:dyDescent="0.2">
      <c r="B7811" s="10"/>
    </row>
    <row r="7812" spans="2:2" x14ac:dyDescent="0.2">
      <c r="B7812" s="10"/>
    </row>
    <row r="7813" spans="2:2" x14ac:dyDescent="0.2">
      <c r="B7813" s="10"/>
    </row>
    <row r="7814" spans="2:2" x14ac:dyDescent="0.2">
      <c r="B7814" s="10"/>
    </row>
    <row r="7815" spans="2:2" x14ac:dyDescent="0.2">
      <c r="B7815" s="10"/>
    </row>
    <row r="7816" spans="2:2" x14ac:dyDescent="0.2">
      <c r="B7816" s="10"/>
    </row>
    <row r="7817" spans="2:2" x14ac:dyDescent="0.2">
      <c r="B7817" s="10"/>
    </row>
    <row r="7818" spans="2:2" x14ac:dyDescent="0.2">
      <c r="B7818" s="10"/>
    </row>
    <row r="7819" spans="2:2" x14ac:dyDescent="0.2">
      <c r="B7819" s="10"/>
    </row>
    <row r="7820" spans="2:2" x14ac:dyDescent="0.2">
      <c r="B7820" s="10"/>
    </row>
    <row r="7821" spans="2:2" x14ac:dyDescent="0.2">
      <c r="B7821" s="10"/>
    </row>
    <row r="7822" spans="2:2" x14ac:dyDescent="0.2">
      <c r="B7822" s="10"/>
    </row>
    <row r="7823" spans="2:2" x14ac:dyDescent="0.2">
      <c r="B7823" s="10"/>
    </row>
    <row r="7824" spans="2:2" x14ac:dyDescent="0.2">
      <c r="B7824" s="10"/>
    </row>
    <row r="7825" spans="2:2" x14ac:dyDescent="0.2">
      <c r="B7825" s="10"/>
    </row>
    <row r="7826" spans="2:2" x14ac:dyDescent="0.2">
      <c r="B7826" s="10"/>
    </row>
    <row r="7827" spans="2:2" x14ac:dyDescent="0.2">
      <c r="B7827" s="10"/>
    </row>
    <row r="7828" spans="2:2" x14ac:dyDescent="0.2">
      <c r="B7828" s="10"/>
    </row>
    <row r="7829" spans="2:2" x14ac:dyDescent="0.2">
      <c r="B7829" s="10"/>
    </row>
    <row r="7830" spans="2:2" x14ac:dyDescent="0.2">
      <c r="B7830" s="10"/>
    </row>
    <row r="7831" spans="2:2" x14ac:dyDescent="0.2">
      <c r="B7831" s="10"/>
    </row>
    <row r="7832" spans="2:2" x14ac:dyDescent="0.2">
      <c r="B7832" s="10"/>
    </row>
    <row r="7833" spans="2:2" x14ac:dyDescent="0.2">
      <c r="B7833" s="10"/>
    </row>
    <row r="7834" spans="2:2" x14ac:dyDescent="0.2">
      <c r="B7834" s="10"/>
    </row>
    <row r="7835" spans="2:2" x14ac:dyDescent="0.2">
      <c r="B7835" s="10"/>
    </row>
    <row r="7836" spans="2:2" x14ac:dyDescent="0.2">
      <c r="B7836" s="10"/>
    </row>
    <row r="7837" spans="2:2" x14ac:dyDescent="0.2">
      <c r="B7837" s="10"/>
    </row>
    <row r="7838" spans="2:2" x14ac:dyDescent="0.2">
      <c r="B7838" s="10"/>
    </row>
    <row r="7839" spans="2:2" x14ac:dyDescent="0.2">
      <c r="B7839" s="10"/>
    </row>
    <row r="7840" spans="2:2" x14ac:dyDescent="0.2">
      <c r="B7840" s="10"/>
    </row>
    <row r="7841" spans="2:2" x14ac:dyDescent="0.2">
      <c r="B7841" s="10"/>
    </row>
    <row r="7842" spans="2:2" x14ac:dyDescent="0.2">
      <c r="B7842" s="10"/>
    </row>
    <row r="7843" spans="2:2" x14ac:dyDescent="0.2">
      <c r="B7843" s="10"/>
    </row>
    <row r="7844" spans="2:2" x14ac:dyDescent="0.2">
      <c r="B7844" s="10"/>
    </row>
    <row r="7845" spans="2:2" x14ac:dyDescent="0.2">
      <c r="B7845" s="10"/>
    </row>
    <row r="7846" spans="2:2" x14ac:dyDescent="0.2">
      <c r="B7846" s="10"/>
    </row>
    <row r="7847" spans="2:2" x14ac:dyDescent="0.2">
      <c r="B7847" s="10"/>
    </row>
    <row r="7848" spans="2:2" x14ac:dyDescent="0.2">
      <c r="B7848" s="10"/>
    </row>
    <row r="7849" spans="2:2" x14ac:dyDescent="0.2">
      <c r="B7849" s="10"/>
    </row>
    <row r="7850" spans="2:2" x14ac:dyDescent="0.2">
      <c r="B7850" s="10"/>
    </row>
    <row r="7851" spans="2:2" x14ac:dyDescent="0.2">
      <c r="B7851" s="10"/>
    </row>
    <row r="7852" spans="2:2" x14ac:dyDescent="0.2">
      <c r="B7852" s="10"/>
    </row>
    <row r="7853" spans="2:2" x14ac:dyDescent="0.2">
      <c r="B7853" s="10"/>
    </row>
    <row r="7854" spans="2:2" x14ac:dyDescent="0.2">
      <c r="B7854" s="10"/>
    </row>
    <row r="7855" spans="2:2" x14ac:dyDescent="0.2">
      <c r="B7855" s="10"/>
    </row>
    <row r="7856" spans="2:2" x14ac:dyDescent="0.2">
      <c r="B7856" s="10"/>
    </row>
    <row r="7857" spans="2:2" x14ac:dyDescent="0.2">
      <c r="B7857" s="10"/>
    </row>
    <row r="7858" spans="2:2" x14ac:dyDescent="0.2">
      <c r="B7858" s="10"/>
    </row>
    <row r="7859" spans="2:2" x14ac:dyDescent="0.2">
      <c r="B7859" s="10"/>
    </row>
    <row r="7860" spans="2:2" x14ac:dyDescent="0.2">
      <c r="B7860" s="10"/>
    </row>
    <row r="7861" spans="2:2" x14ac:dyDescent="0.2">
      <c r="B7861" s="10"/>
    </row>
    <row r="7862" spans="2:2" x14ac:dyDescent="0.2">
      <c r="B7862" s="10"/>
    </row>
    <row r="7863" spans="2:2" x14ac:dyDescent="0.2">
      <c r="B7863" s="10"/>
    </row>
    <row r="7864" spans="2:2" x14ac:dyDescent="0.2">
      <c r="B7864" s="10"/>
    </row>
    <row r="7865" spans="2:2" x14ac:dyDescent="0.2">
      <c r="B7865" s="10"/>
    </row>
    <row r="7866" spans="2:2" x14ac:dyDescent="0.2">
      <c r="B7866" s="10"/>
    </row>
    <row r="7867" spans="2:2" x14ac:dyDescent="0.2">
      <c r="B7867" s="10"/>
    </row>
    <row r="7868" spans="2:2" x14ac:dyDescent="0.2">
      <c r="B7868" s="10"/>
    </row>
    <row r="7869" spans="2:2" x14ac:dyDescent="0.2">
      <c r="B7869" s="10"/>
    </row>
    <row r="7870" spans="2:2" x14ac:dyDescent="0.2">
      <c r="B7870" s="10"/>
    </row>
    <row r="7871" spans="2:2" x14ac:dyDescent="0.2">
      <c r="B7871" s="10"/>
    </row>
    <row r="7872" spans="2:2" x14ac:dyDescent="0.2">
      <c r="B7872" s="10"/>
    </row>
    <row r="7873" spans="2:2" x14ac:dyDescent="0.2">
      <c r="B7873" s="10"/>
    </row>
    <row r="7874" spans="2:2" x14ac:dyDescent="0.2">
      <c r="B7874" s="10"/>
    </row>
    <row r="7875" spans="2:2" x14ac:dyDescent="0.2">
      <c r="B7875" s="10"/>
    </row>
    <row r="7876" spans="2:2" x14ac:dyDescent="0.2">
      <c r="B7876" s="10"/>
    </row>
    <row r="7877" spans="2:2" x14ac:dyDescent="0.2">
      <c r="B7877" s="10"/>
    </row>
    <row r="7878" spans="2:2" x14ac:dyDescent="0.2">
      <c r="B7878" s="10"/>
    </row>
    <row r="7879" spans="2:2" x14ac:dyDescent="0.2">
      <c r="B7879" s="10"/>
    </row>
    <row r="7880" spans="2:2" x14ac:dyDescent="0.2">
      <c r="B7880" s="10"/>
    </row>
    <row r="7881" spans="2:2" x14ac:dyDescent="0.2">
      <c r="B7881" s="10"/>
    </row>
    <row r="7882" spans="2:2" x14ac:dyDescent="0.2">
      <c r="B7882" s="10"/>
    </row>
    <row r="7883" spans="2:2" x14ac:dyDescent="0.2">
      <c r="B7883" s="10"/>
    </row>
    <row r="7884" spans="2:2" x14ac:dyDescent="0.2">
      <c r="B7884" s="10"/>
    </row>
    <row r="7885" spans="2:2" x14ac:dyDescent="0.2">
      <c r="B7885" s="10"/>
    </row>
    <row r="7886" spans="2:2" x14ac:dyDescent="0.2">
      <c r="B7886" s="10"/>
    </row>
    <row r="7887" spans="2:2" x14ac:dyDescent="0.2">
      <c r="B7887" s="10"/>
    </row>
    <row r="7888" spans="2:2" x14ac:dyDescent="0.2">
      <c r="B7888" s="10"/>
    </row>
    <row r="7889" spans="2:2" x14ac:dyDescent="0.2">
      <c r="B7889" s="10"/>
    </row>
    <row r="7890" spans="2:2" x14ac:dyDescent="0.2">
      <c r="B7890" s="10"/>
    </row>
    <row r="7891" spans="2:2" x14ac:dyDescent="0.2">
      <c r="B7891" s="10"/>
    </row>
    <row r="7892" spans="2:2" x14ac:dyDescent="0.2">
      <c r="B7892" s="10"/>
    </row>
    <row r="7893" spans="2:2" x14ac:dyDescent="0.2">
      <c r="B7893" s="10"/>
    </row>
    <row r="7894" spans="2:2" x14ac:dyDescent="0.2">
      <c r="B7894" s="10"/>
    </row>
    <row r="7895" spans="2:2" x14ac:dyDescent="0.2">
      <c r="B7895" s="10"/>
    </row>
    <row r="7896" spans="2:2" x14ac:dyDescent="0.2">
      <c r="B7896" s="10"/>
    </row>
    <row r="7897" spans="2:2" x14ac:dyDescent="0.2">
      <c r="B7897" s="10"/>
    </row>
    <row r="7898" spans="2:2" x14ac:dyDescent="0.2">
      <c r="B7898" s="10"/>
    </row>
    <row r="7899" spans="2:2" x14ac:dyDescent="0.2">
      <c r="B7899" s="10"/>
    </row>
    <row r="7900" spans="2:2" x14ac:dyDescent="0.2">
      <c r="B7900" s="10"/>
    </row>
    <row r="7901" spans="2:2" x14ac:dyDescent="0.2">
      <c r="B7901" s="10"/>
    </row>
    <row r="7902" spans="2:2" x14ac:dyDescent="0.2">
      <c r="B7902" s="10"/>
    </row>
    <row r="7903" spans="2:2" x14ac:dyDescent="0.2">
      <c r="B7903" s="10"/>
    </row>
    <row r="7904" spans="2:2" x14ac:dyDescent="0.2">
      <c r="B7904" s="10"/>
    </row>
    <row r="7905" spans="2:2" x14ac:dyDescent="0.2">
      <c r="B7905" s="10"/>
    </row>
    <row r="7906" spans="2:2" x14ac:dyDescent="0.2">
      <c r="B7906" s="10"/>
    </row>
    <row r="7907" spans="2:2" x14ac:dyDescent="0.2">
      <c r="B7907" s="10"/>
    </row>
    <row r="7908" spans="2:2" x14ac:dyDescent="0.2">
      <c r="B7908" s="10"/>
    </row>
    <row r="7909" spans="2:2" x14ac:dyDescent="0.2">
      <c r="B7909" s="10"/>
    </row>
    <row r="7910" spans="2:2" x14ac:dyDescent="0.2">
      <c r="B7910" s="10"/>
    </row>
    <row r="7911" spans="2:2" x14ac:dyDescent="0.2">
      <c r="B7911" s="10"/>
    </row>
    <row r="7912" spans="2:2" x14ac:dyDescent="0.2">
      <c r="B7912" s="10"/>
    </row>
    <row r="7913" spans="2:2" x14ac:dyDescent="0.2">
      <c r="B7913" s="10"/>
    </row>
    <row r="7914" spans="2:2" x14ac:dyDescent="0.2">
      <c r="B7914" s="10"/>
    </row>
    <row r="7915" spans="2:2" x14ac:dyDescent="0.2">
      <c r="B7915" s="10"/>
    </row>
    <row r="7916" spans="2:2" x14ac:dyDescent="0.2">
      <c r="B7916" s="10"/>
    </row>
    <row r="7917" spans="2:2" x14ac:dyDescent="0.2">
      <c r="B7917" s="10"/>
    </row>
    <row r="7918" spans="2:2" x14ac:dyDescent="0.2">
      <c r="B7918" s="10"/>
    </row>
    <row r="7919" spans="2:2" x14ac:dyDescent="0.2">
      <c r="B7919" s="10"/>
    </row>
    <row r="7920" spans="2:2" x14ac:dyDescent="0.2">
      <c r="B7920" s="10"/>
    </row>
    <row r="7921" spans="2:2" x14ac:dyDescent="0.2">
      <c r="B7921" s="10"/>
    </row>
    <row r="7922" spans="2:2" x14ac:dyDescent="0.2">
      <c r="B7922" s="10"/>
    </row>
    <row r="7923" spans="2:2" x14ac:dyDescent="0.2">
      <c r="B7923" s="10"/>
    </row>
    <row r="7924" spans="2:2" x14ac:dyDescent="0.2">
      <c r="B7924" s="10"/>
    </row>
    <row r="7925" spans="2:2" x14ac:dyDescent="0.2">
      <c r="B7925" s="10"/>
    </row>
    <row r="7926" spans="2:2" x14ac:dyDescent="0.2">
      <c r="B7926" s="10"/>
    </row>
    <row r="7927" spans="2:2" x14ac:dyDescent="0.2">
      <c r="B7927" s="10"/>
    </row>
    <row r="7928" spans="2:2" x14ac:dyDescent="0.2">
      <c r="B7928" s="10"/>
    </row>
    <row r="7929" spans="2:2" x14ac:dyDescent="0.2">
      <c r="B7929" s="10"/>
    </row>
    <row r="7930" spans="2:2" x14ac:dyDescent="0.2">
      <c r="B7930" s="10"/>
    </row>
    <row r="7931" spans="2:2" x14ac:dyDescent="0.2">
      <c r="B7931" s="10"/>
    </row>
    <row r="7932" spans="2:2" x14ac:dyDescent="0.2">
      <c r="B7932" s="10"/>
    </row>
    <row r="7933" spans="2:2" x14ac:dyDescent="0.2">
      <c r="B7933" s="10"/>
    </row>
    <row r="7934" spans="2:2" x14ac:dyDescent="0.2">
      <c r="B7934" s="10"/>
    </row>
    <row r="7935" spans="2:2" x14ac:dyDescent="0.2">
      <c r="B7935" s="10"/>
    </row>
    <row r="7936" spans="2:2" x14ac:dyDescent="0.2">
      <c r="B7936" s="10"/>
    </row>
    <row r="7937" spans="2:2" x14ac:dyDescent="0.2">
      <c r="B7937" s="10"/>
    </row>
    <row r="7938" spans="2:2" x14ac:dyDescent="0.2">
      <c r="B7938" s="10"/>
    </row>
    <row r="7939" spans="2:2" x14ac:dyDescent="0.2">
      <c r="B7939" s="10"/>
    </row>
    <row r="7940" spans="2:2" x14ac:dyDescent="0.2">
      <c r="B7940" s="10"/>
    </row>
    <row r="7941" spans="2:2" x14ac:dyDescent="0.2">
      <c r="B7941" s="10"/>
    </row>
    <row r="7942" spans="2:2" x14ac:dyDescent="0.2">
      <c r="B7942" s="10"/>
    </row>
    <row r="7943" spans="2:2" x14ac:dyDescent="0.2">
      <c r="B7943" s="10"/>
    </row>
    <row r="7944" spans="2:2" x14ac:dyDescent="0.2">
      <c r="B7944" s="10"/>
    </row>
    <row r="7945" spans="2:2" x14ac:dyDescent="0.2">
      <c r="B7945" s="10"/>
    </row>
    <row r="7946" spans="2:2" x14ac:dyDescent="0.2">
      <c r="B7946" s="10"/>
    </row>
    <row r="7947" spans="2:2" x14ac:dyDescent="0.2">
      <c r="B7947" s="10"/>
    </row>
    <row r="7948" spans="2:2" x14ac:dyDescent="0.2">
      <c r="B7948" s="10"/>
    </row>
    <row r="7949" spans="2:2" x14ac:dyDescent="0.2">
      <c r="B7949" s="10"/>
    </row>
    <row r="7950" spans="2:2" x14ac:dyDescent="0.2">
      <c r="B7950" s="10"/>
    </row>
    <row r="7951" spans="2:2" x14ac:dyDescent="0.2">
      <c r="B7951" s="10"/>
    </row>
    <row r="7952" spans="2:2" x14ac:dyDescent="0.2">
      <c r="B7952" s="10"/>
    </row>
    <row r="7953" spans="2:2" x14ac:dyDescent="0.2">
      <c r="B7953" s="10"/>
    </row>
    <row r="7954" spans="2:2" x14ac:dyDescent="0.2">
      <c r="B7954" s="10"/>
    </row>
    <row r="7955" spans="2:2" x14ac:dyDescent="0.2">
      <c r="B7955" s="10"/>
    </row>
    <row r="7956" spans="2:2" x14ac:dyDescent="0.2">
      <c r="B7956" s="10"/>
    </row>
    <row r="7957" spans="2:2" x14ac:dyDescent="0.2">
      <c r="B7957" s="10"/>
    </row>
    <row r="7958" spans="2:2" x14ac:dyDescent="0.2">
      <c r="B7958" s="10"/>
    </row>
    <row r="7959" spans="2:2" x14ac:dyDescent="0.2">
      <c r="B7959" s="10"/>
    </row>
    <row r="7960" spans="2:2" x14ac:dyDescent="0.2">
      <c r="B7960" s="10"/>
    </row>
    <row r="7961" spans="2:2" x14ac:dyDescent="0.2">
      <c r="B7961" s="10"/>
    </row>
    <row r="7962" spans="2:2" x14ac:dyDescent="0.2">
      <c r="B7962" s="10"/>
    </row>
    <row r="7963" spans="2:2" x14ac:dyDescent="0.2">
      <c r="B7963" s="10"/>
    </row>
    <row r="7964" spans="2:2" x14ac:dyDescent="0.2">
      <c r="B7964" s="10"/>
    </row>
    <row r="7965" spans="2:2" x14ac:dyDescent="0.2">
      <c r="B7965" s="10"/>
    </row>
    <row r="7966" spans="2:2" x14ac:dyDescent="0.2">
      <c r="B7966" s="10"/>
    </row>
    <row r="7967" spans="2:2" x14ac:dyDescent="0.2">
      <c r="B7967" s="10"/>
    </row>
    <row r="7968" spans="2:2" x14ac:dyDescent="0.2">
      <c r="B7968" s="10"/>
    </row>
    <row r="7969" spans="2:2" x14ac:dyDescent="0.2">
      <c r="B7969" s="10"/>
    </row>
    <row r="7970" spans="2:2" x14ac:dyDescent="0.2">
      <c r="B7970" s="10"/>
    </row>
    <row r="7971" spans="2:2" x14ac:dyDescent="0.2">
      <c r="B7971" s="10"/>
    </row>
    <row r="7972" spans="2:2" x14ac:dyDescent="0.2">
      <c r="B7972" s="10"/>
    </row>
    <row r="7973" spans="2:2" x14ac:dyDescent="0.2">
      <c r="B7973" s="10"/>
    </row>
    <row r="7974" spans="2:2" x14ac:dyDescent="0.2">
      <c r="B7974" s="10"/>
    </row>
    <row r="7975" spans="2:2" x14ac:dyDescent="0.2">
      <c r="B7975" s="10"/>
    </row>
    <row r="7976" spans="2:2" x14ac:dyDescent="0.2">
      <c r="B7976" s="10"/>
    </row>
    <row r="7977" spans="2:2" x14ac:dyDescent="0.2">
      <c r="B7977" s="10"/>
    </row>
    <row r="7978" spans="2:2" x14ac:dyDescent="0.2">
      <c r="B7978" s="10"/>
    </row>
    <row r="7979" spans="2:2" x14ac:dyDescent="0.2">
      <c r="B7979" s="10"/>
    </row>
    <row r="7980" spans="2:2" x14ac:dyDescent="0.2">
      <c r="B7980" s="10"/>
    </row>
    <row r="7981" spans="2:2" x14ac:dyDescent="0.2">
      <c r="B7981" s="10"/>
    </row>
    <row r="7982" spans="2:2" x14ac:dyDescent="0.2">
      <c r="B7982" s="10"/>
    </row>
    <row r="7983" spans="2:2" x14ac:dyDescent="0.2">
      <c r="B7983" s="10"/>
    </row>
    <row r="7984" spans="2:2" x14ac:dyDescent="0.2">
      <c r="B7984" s="10"/>
    </row>
    <row r="7985" spans="2:2" x14ac:dyDescent="0.2">
      <c r="B7985" s="10"/>
    </row>
    <row r="7986" spans="2:2" x14ac:dyDescent="0.2">
      <c r="B7986" s="10"/>
    </row>
    <row r="7987" spans="2:2" x14ac:dyDescent="0.2">
      <c r="B7987" s="10"/>
    </row>
    <row r="7988" spans="2:2" x14ac:dyDescent="0.2">
      <c r="B7988" s="10"/>
    </row>
    <row r="7989" spans="2:2" x14ac:dyDescent="0.2">
      <c r="B7989" s="10"/>
    </row>
    <row r="7990" spans="2:2" x14ac:dyDescent="0.2">
      <c r="B7990" s="10"/>
    </row>
    <row r="7991" spans="2:2" x14ac:dyDescent="0.2">
      <c r="B7991" s="10"/>
    </row>
    <row r="7992" spans="2:2" x14ac:dyDescent="0.2">
      <c r="B7992" s="10"/>
    </row>
    <row r="7993" spans="2:2" x14ac:dyDescent="0.2">
      <c r="B7993" s="10"/>
    </row>
    <row r="7994" spans="2:2" x14ac:dyDescent="0.2">
      <c r="B7994" s="10"/>
    </row>
    <row r="7995" spans="2:2" x14ac:dyDescent="0.2">
      <c r="B7995" s="10"/>
    </row>
    <row r="7996" spans="2:2" x14ac:dyDescent="0.2">
      <c r="B7996" s="10"/>
    </row>
    <row r="7997" spans="2:2" x14ac:dyDescent="0.2">
      <c r="B7997" s="10"/>
    </row>
    <row r="7998" spans="2:2" x14ac:dyDescent="0.2">
      <c r="B7998" s="10"/>
    </row>
    <row r="7999" spans="2:2" x14ac:dyDescent="0.2">
      <c r="B7999" s="10"/>
    </row>
    <row r="8000" spans="2:2" x14ac:dyDescent="0.2">
      <c r="B8000" s="10"/>
    </row>
    <row r="8001" spans="2:2" x14ac:dyDescent="0.2">
      <c r="B8001" s="10"/>
    </row>
    <row r="8002" spans="2:2" x14ac:dyDescent="0.2">
      <c r="B8002" s="10"/>
    </row>
    <row r="8003" spans="2:2" x14ac:dyDescent="0.2">
      <c r="B8003" s="10"/>
    </row>
    <row r="8004" spans="2:2" x14ac:dyDescent="0.2">
      <c r="B8004" s="10"/>
    </row>
    <row r="8005" spans="2:2" x14ac:dyDescent="0.2">
      <c r="B8005" s="10"/>
    </row>
    <row r="8006" spans="2:2" x14ac:dyDescent="0.2">
      <c r="B8006" s="10"/>
    </row>
    <row r="8007" spans="2:2" x14ac:dyDescent="0.2">
      <c r="B8007" s="10"/>
    </row>
    <row r="8008" spans="2:2" x14ac:dyDescent="0.2">
      <c r="B8008" s="10"/>
    </row>
    <row r="8009" spans="2:2" x14ac:dyDescent="0.2">
      <c r="B8009" s="10"/>
    </row>
    <row r="8010" spans="2:2" x14ac:dyDescent="0.2">
      <c r="B8010" s="10"/>
    </row>
    <row r="8011" spans="2:2" x14ac:dyDescent="0.2">
      <c r="B8011" s="10"/>
    </row>
    <row r="8012" spans="2:2" x14ac:dyDescent="0.2">
      <c r="B8012" s="10"/>
    </row>
    <row r="8013" spans="2:2" x14ac:dyDescent="0.2">
      <c r="B8013" s="10"/>
    </row>
    <row r="8014" spans="2:2" x14ac:dyDescent="0.2">
      <c r="B8014" s="10"/>
    </row>
    <row r="8015" spans="2:2" x14ac:dyDescent="0.2">
      <c r="B8015" s="10"/>
    </row>
    <row r="8016" spans="2:2" x14ac:dyDescent="0.2">
      <c r="B8016" s="10"/>
    </row>
    <row r="8017" spans="2:2" x14ac:dyDescent="0.2">
      <c r="B8017" s="10"/>
    </row>
    <row r="8018" spans="2:2" x14ac:dyDescent="0.2">
      <c r="B8018" s="10"/>
    </row>
    <row r="8019" spans="2:2" x14ac:dyDescent="0.2">
      <c r="B8019" s="10"/>
    </row>
    <row r="8020" spans="2:2" x14ac:dyDescent="0.2">
      <c r="B8020" s="10"/>
    </row>
    <row r="8021" spans="2:2" x14ac:dyDescent="0.2">
      <c r="B8021" s="10"/>
    </row>
    <row r="8022" spans="2:2" x14ac:dyDescent="0.2">
      <c r="B8022" s="10"/>
    </row>
    <row r="8023" spans="2:2" x14ac:dyDescent="0.2">
      <c r="B8023" s="10"/>
    </row>
    <row r="8024" spans="2:2" x14ac:dyDescent="0.2">
      <c r="B8024" s="10"/>
    </row>
    <row r="8025" spans="2:2" x14ac:dyDescent="0.2">
      <c r="B8025" s="10"/>
    </row>
    <row r="8026" spans="2:2" x14ac:dyDescent="0.2">
      <c r="B8026" s="10"/>
    </row>
    <row r="8027" spans="2:2" x14ac:dyDescent="0.2">
      <c r="B8027" s="10"/>
    </row>
    <row r="8028" spans="2:2" x14ac:dyDescent="0.2">
      <c r="B8028" s="10"/>
    </row>
    <row r="8029" spans="2:2" x14ac:dyDescent="0.2">
      <c r="B8029" s="10"/>
    </row>
    <row r="8030" spans="2:2" x14ac:dyDescent="0.2">
      <c r="B8030" s="10"/>
    </row>
    <row r="8031" spans="2:2" x14ac:dyDescent="0.2">
      <c r="B8031" s="10"/>
    </row>
    <row r="8032" spans="2:2" x14ac:dyDescent="0.2">
      <c r="B8032" s="10"/>
    </row>
    <row r="8033" spans="2:2" x14ac:dyDescent="0.2">
      <c r="B8033" s="10"/>
    </row>
    <row r="8034" spans="2:2" x14ac:dyDescent="0.2">
      <c r="B8034" s="10"/>
    </row>
    <row r="8035" spans="2:2" x14ac:dyDescent="0.2">
      <c r="B8035" s="10"/>
    </row>
    <row r="8036" spans="2:2" x14ac:dyDescent="0.2">
      <c r="B8036" s="10"/>
    </row>
    <row r="8037" spans="2:2" x14ac:dyDescent="0.2">
      <c r="B8037" s="10"/>
    </row>
    <row r="8038" spans="2:2" x14ac:dyDescent="0.2">
      <c r="B8038" s="10"/>
    </row>
    <row r="8039" spans="2:2" x14ac:dyDescent="0.2">
      <c r="B8039" s="10"/>
    </row>
    <row r="8040" spans="2:2" x14ac:dyDescent="0.2">
      <c r="B8040" s="10"/>
    </row>
    <row r="8041" spans="2:2" x14ac:dyDescent="0.2">
      <c r="B8041" s="10"/>
    </row>
    <row r="8042" spans="2:2" x14ac:dyDescent="0.2">
      <c r="B8042" s="10"/>
    </row>
    <row r="8043" spans="2:2" x14ac:dyDescent="0.2">
      <c r="B8043" s="10"/>
    </row>
    <row r="8044" spans="2:2" x14ac:dyDescent="0.2">
      <c r="B8044" s="10"/>
    </row>
    <row r="8045" spans="2:2" x14ac:dyDescent="0.2">
      <c r="B8045" s="10"/>
    </row>
    <row r="8046" spans="2:2" x14ac:dyDescent="0.2">
      <c r="B8046" s="10"/>
    </row>
    <row r="8047" spans="2:2" x14ac:dyDescent="0.2">
      <c r="B8047" s="10"/>
    </row>
    <row r="8048" spans="2:2" x14ac:dyDescent="0.2">
      <c r="B8048" s="10"/>
    </row>
    <row r="8049" spans="2:2" x14ac:dyDescent="0.2">
      <c r="B8049" s="10"/>
    </row>
    <row r="8050" spans="2:2" x14ac:dyDescent="0.2">
      <c r="B8050" s="10"/>
    </row>
    <row r="8051" spans="2:2" x14ac:dyDescent="0.2">
      <c r="B8051" s="10"/>
    </row>
    <row r="8052" spans="2:2" x14ac:dyDescent="0.2">
      <c r="B8052" s="10"/>
    </row>
    <row r="8053" spans="2:2" x14ac:dyDescent="0.2">
      <c r="B8053" s="10"/>
    </row>
    <row r="8054" spans="2:2" x14ac:dyDescent="0.2">
      <c r="B8054" s="10"/>
    </row>
    <row r="8055" spans="2:2" x14ac:dyDescent="0.2">
      <c r="B8055" s="10"/>
    </row>
    <row r="8056" spans="2:2" x14ac:dyDescent="0.2">
      <c r="B8056" s="10"/>
    </row>
    <row r="8057" spans="2:2" x14ac:dyDescent="0.2">
      <c r="B8057" s="10"/>
    </row>
    <row r="8058" spans="2:2" x14ac:dyDescent="0.2">
      <c r="B8058" s="10"/>
    </row>
    <row r="8059" spans="2:2" x14ac:dyDescent="0.2">
      <c r="B8059" s="10"/>
    </row>
    <row r="8060" spans="2:2" x14ac:dyDescent="0.2">
      <c r="B8060" s="10"/>
    </row>
    <row r="8061" spans="2:2" x14ac:dyDescent="0.2">
      <c r="B8061" s="10"/>
    </row>
    <row r="8062" spans="2:2" x14ac:dyDescent="0.2">
      <c r="B8062" s="10"/>
    </row>
    <row r="8063" spans="2:2" x14ac:dyDescent="0.2">
      <c r="B8063" s="10"/>
    </row>
    <row r="8064" spans="2:2" x14ac:dyDescent="0.2">
      <c r="B8064" s="10"/>
    </row>
    <row r="8065" spans="2:2" x14ac:dyDescent="0.2">
      <c r="B8065" s="10"/>
    </row>
    <row r="8066" spans="2:2" x14ac:dyDescent="0.2">
      <c r="B8066" s="10"/>
    </row>
    <row r="8067" spans="2:2" x14ac:dyDescent="0.2">
      <c r="B8067" s="10"/>
    </row>
    <row r="8068" spans="2:2" x14ac:dyDescent="0.2">
      <c r="B8068" s="10"/>
    </row>
    <row r="8069" spans="2:2" x14ac:dyDescent="0.2">
      <c r="B8069" s="10"/>
    </row>
    <row r="8070" spans="2:2" x14ac:dyDescent="0.2">
      <c r="B8070" s="10"/>
    </row>
    <row r="8071" spans="2:2" x14ac:dyDescent="0.2">
      <c r="B8071" s="10"/>
    </row>
    <row r="8072" spans="2:2" x14ac:dyDescent="0.2">
      <c r="B8072" s="10"/>
    </row>
    <row r="8073" spans="2:2" x14ac:dyDescent="0.2">
      <c r="B8073" s="10"/>
    </row>
    <row r="8074" spans="2:2" x14ac:dyDescent="0.2">
      <c r="B8074" s="10"/>
    </row>
    <row r="8075" spans="2:2" x14ac:dyDescent="0.2">
      <c r="B8075" s="10"/>
    </row>
    <row r="8076" spans="2:2" x14ac:dyDescent="0.2">
      <c r="B8076" s="10"/>
    </row>
    <row r="8077" spans="2:2" x14ac:dyDescent="0.2">
      <c r="B8077" s="10"/>
    </row>
    <row r="8078" spans="2:2" x14ac:dyDescent="0.2">
      <c r="B8078" s="10"/>
    </row>
    <row r="8079" spans="2:2" x14ac:dyDescent="0.2">
      <c r="B8079" s="10"/>
    </row>
    <row r="8080" spans="2:2" x14ac:dyDescent="0.2">
      <c r="B8080" s="10"/>
    </row>
    <row r="8081" spans="2:2" x14ac:dyDescent="0.2">
      <c r="B8081" s="10"/>
    </row>
    <row r="8082" spans="2:2" x14ac:dyDescent="0.2">
      <c r="B8082" s="10"/>
    </row>
    <row r="8083" spans="2:2" x14ac:dyDescent="0.2">
      <c r="B8083" s="10"/>
    </row>
    <row r="8084" spans="2:2" x14ac:dyDescent="0.2">
      <c r="B8084" s="10"/>
    </row>
    <row r="8085" spans="2:2" x14ac:dyDescent="0.2">
      <c r="B8085" s="10"/>
    </row>
    <row r="8086" spans="2:2" x14ac:dyDescent="0.2">
      <c r="B8086" s="10"/>
    </row>
    <row r="8087" spans="2:2" x14ac:dyDescent="0.2">
      <c r="B8087" s="10"/>
    </row>
    <row r="8088" spans="2:2" x14ac:dyDescent="0.2">
      <c r="B8088" s="10"/>
    </row>
    <row r="8089" spans="2:2" x14ac:dyDescent="0.2">
      <c r="B8089" s="10"/>
    </row>
    <row r="8090" spans="2:2" x14ac:dyDescent="0.2">
      <c r="B8090" s="10"/>
    </row>
    <row r="8091" spans="2:2" x14ac:dyDescent="0.2">
      <c r="B8091" s="10"/>
    </row>
    <row r="8092" spans="2:2" x14ac:dyDescent="0.2">
      <c r="B8092" s="10"/>
    </row>
    <row r="8093" spans="2:2" x14ac:dyDescent="0.2">
      <c r="B8093" s="10"/>
    </row>
    <row r="8094" spans="2:2" x14ac:dyDescent="0.2">
      <c r="B8094" s="10"/>
    </row>
    <row r="8095" spans="2:2" x14ac:dyDescent="0.2">
      <c r="B8095" s="10"/>
    </row>
    <row r="8096" spans="2:2" x14ac:dyDescent="0.2">
      <c r="B8096" s="10"/>
    </row>
    <row r="8097" spans="2:2" x14ac:dyDescent="0.2">
      <c r="B8097" s="10"/>
    </row>
    <row r="8098" spans="2:2" x14ac:dyDescent="0.2">
      <c r="B8098" s="10"/>
    </row>
    <row r="8099" spans="2:2" x14ac:dyDescent="0.2">
      <c r="B8099" s="10"/>
    </row>
    <row r="8100" spans="2:2" x14ac:dyDescent="0.2">
      <c r="B8100" s="10"/>
    </row>
    <row r="8101" spans="2:2" x14ac:dyDescent="0.2">
      <c r="B8101" s="10"/>
    </row>
    <row r="8102" spans="2:2" x14ac:dyDescent="0.2">
      <c r="B8102" s="10"/>
    </row>
    <row r="8103" spans="2:2" x14ac:dyDescent="0.2">
      <c r="B8103" s="10"/>
    </row>
    <row r="8104" spans="2:2" x14ac:dyDescent="0.2">
      <c r="B8104" s="10"/>
    </row>
    <row r="8105" spans="2:2" x14ac:dyDescent="0.2">
      <c r="B8105" s="10"/>
    </row>
    <row r="8106" spans="2:2" x14ac:dyDescent="0.2">
      <c r="B8106" s="10"/>
    </row>
    <row r="8107" spans="2:2" x14ac:dyDescent="0.2">
      <c r="B8107" s="10"/>
    </row>
    <row r="8108" spans="2:2" x14ac:dyDescent="0.2">
      <c r="B8108" s="10"/>
    </row>
    <row r="8109" spans="2:2" x14ac:dyDescent="0.2">
      <c r="B8109" s="10"/>
    </row>
    <row r="8110" spans="2:2" x14ac:dyDescent="0.2">
      <c r="B8110" s="10"/>
    </row>
    <row r="8111" spans="2:2" x14ac:dyDescent="0.2">
      <c r="B8111" s="10"/>
    </row>
    <row r="8112" spans="2:2" x14ac:dyDescent="0.2">
      <c r="B8112" s="10"/>
    </row>
    <row r="8113" spans="2:2" x14ac:dyDescent="0.2">
      <c r="B8113" s="10"/>
    </row>
    <row r="8114" spans="2:2" x14ac:dyDescent="0.2">
      <c r="B8114" s="10"/>
    </row>
    <row r="8115" spans="2:2" x14ac:dyDescent="0.2">
      <c r="B8115" s="10"/>
    </row>
    <row r="8116" spans="2:2" x14ac:dyDescent="0.2">
      <c r="B8116" s="10"/>
    </row>
    <row r="8117" spans="2:2" x14ac:dyDescent="0.2">
      <c r="B8117" s="10"/>
    </row>
    <row r="8118" spans="2:2" x14ac:dyDescent="0.2">
      <c r="B8118" s="10"/>
    </row>
    <row r="8119" spans="2:2" x14ac:dyDescent="0.2">
      <c r="B8119" s="10"/>
    </row>
    <row r="8120" spans="2:2" x14ac:dyDescent="0.2">
      <c r="B8120" s="10"/>
    </row>
    <row r="8121" spans="2:2" x14ac:dyDescent="0.2">
      <c r="B8121" s="10"/>
    </row>
    <row r="8122" spans="2:2" x14ac:dyDescent="0.2">
      <c r="B8122" s="10"/>
    </row>
    <row r="8123" spans="2:2" x14ac:dyDescent="0.2">
      <c r="B8123" s="10"/>
    </row>
    <row r="8124" spans="2:2" x14ac:dyDescent="0.2">
      <c r="B8124" s="10"/>
    </row>
    <row r="8125" spans="2:2" x14ac:dyDescent="0.2">
      <c r="B8125" s="10"/>
    </row>
    <row r="8126" spans="2:2" x14ac:dyDescent="0.2">
      <c r="B8126" s="10"/>
    </row>
    <row r="8127" spans="2:2" x14ac:dyDescent="0.2">
      <c r="B8127" s="10"/>
    </row>
    <row r="8128" spans="2:2" x14ac:dyDescent="0.2">
      <c r="B8128" s="10"/>
    </row>
    <row r="8129" spans="2:2" x14ac:dyDescent="0.2">
      <c r="B8129" s="10"/>
    </row>
    <row r="8130" spans="2:2" x14ac:dyDescent="0.2">
      <c r="B8130" s="10"/>
    </row>
    <row r="8131" spans="2:2" x14ac:dyDescent="0.2">
      <c r="B8131" s="10"/>
    </row>
    <row r="8132" spans="2:2" x14ac:dyDescent="0.2">
      <c r="B8132" s="10"/>
    </row>
    <row r="8133" spans="2:2" x14ac:dyDescent="0.2">
      <c r="B8133" s="10"/>
    </row>
    <row r="8134" spans="2:2" x14ac:dyDescent="0.2">
      <c r="B8134" s="10"/>
    </row>
    <row r="8135" spans="2:2" x14ac:dyDescent="0.2">
      <c r="B8135" s="10"/>
    </row>
    <row r="8136" spans="2:2" x14ac:dyDescent="0.2">
      <c r="B8136" s="10"/>
    </row>
    <row r="8137" spans="2:2" x14ac:dyDescent="0.2">
      <c r="B8137" s="10"/>
    </row>
    <row r="8138" spans="2:2" x14ac:dyDescent="0.2">
      <c r="B8138" s="10"/>
    </row>
    <row r="8139" spans="2:2" x14ac:dyDescent="0.2">
      <c r="B8139" s="10"/>
    </row>
    <row r="8140" spans="2:2" x14ac:dyDescent="0.2">
      <c r="B8140" s="10"/>
    </row>
    <row r="8141" spans="2:2" x14ac:dyDescent="0.2">
      <c r="B8141" s="10"/>
    </row>
    <row r="8142" spans="2:2" x14ac:dyDescent="0.2">
      <c r="B8142" s="10"/>
    </row>
    <row r="8143" spans="2:2" x14ac:dyDescent="0.2">
      <c r="B8143" s="10"/>
    </row>
    <row r="8144" spans="2:2" x14ac:dyDescent="0.2">
      <c r="B8144" s="10"/>
    </row>
    <row r="8145" spans="2:2" x14ac:dyDescent="0.2">
      <c r="B8145" s="10"/>
    </row>
    <row r="8146" spans="2:2" x14ac:dyDescent="0.2">
      <c r="B8146" s="10"/>
    </row>
    <row r="8147" spans="2:2" x14ac:dyDescent="0.2">
      <c r="B8147" s="10"/>
    </row>
    <row r="8148" spans="2:2" x14ac:dyDescent="0.2">
      <c r="B8148" s="10"/>
    </row>
    <row r="8149" spans="2:2" x14ac:dyDescent="0.2">
      <c r="B8149" s="10"/>
    </row>
    <row r="8150" spans="2:2" x14ac:dyDescent="0.2">
      <c r="B8150" s="10"/>
    </row>
    <row r="8151" spans="2:2" x14ac:dyDescent="0.2">
      <c r="B8151" s="10"/>
    </row>
    <row r="8152" spans="2:2" x14ac:dyDescent="0.2">
      <c r="B8152" s="10"/>
    </row>
    <row r="8153" spans="2:2" x14ac:dyDescent="0.2">
      <c r="B8153" s="10"/>
    </row>
    <row r="8154" spans="2:2" x14ac:dyDescent="0.2">
      <c r="B8154" s="10"/>
    </row>
    <row r="8155" spans="2:2" x14ac:dyDescent="0.2">
      <c r="B8155" s="10"/>
    </row>
    <row r="8156" spans="2:2" x14ac:dyDescent="0.2">
      <c r="B8156" s="10"/>
    </row>
    <row r="8157" spans="2:2" x14ac:dyDescent="0.2">
      <c r="B8157" s="10"/>
    </row>
    <row r="8158" spans="2:2" x14ac:dyDescent="0.2">
      <c r="B8158" s="10"/>
    </row>
    <row r="8159" spans="2:2" x14ac:dyDescent="0.2">
      <c r="B8159" s="10"/>
    </row>
    <row r="8160" spans="2:2" x14ac:dyDescent="0.2">
      <c r="B8160" s="10"/>
    </row>
    <row r="8161" spans="2:2" x14ac:dyDescent="0.2">
      <c r="B8161" s="10"/>
    </row>
    <row r="8162" spans="2:2" x14ac:dyDescent="0.2">
      <c r="B8162" s="10"/>
    </row>
    <row r="8163" spans="2:2" x14ac:dyDescent="0.2">
      <c r="B8163" s="10"/>
    </row>
    <row r="8164" spans="2:2" x14ac:dyDescent="0.2">
      <c r="B8164" s="10"/>
    </row>
    <row r="8165" spans="2:2" x14ac:dyDescent="0.2">
      <c r="B8165" s="10"/>
    </row>
    <row r="8166" spans="2:2" x14ac:dyDescent="0.2">
      <c r="B8166" s="10"/>
    </row>
    <row r="8167" spans="2:2" x14ac:dyDescent="0.2">
      <c r="B8167" s="10"/>
    </row>
    <row r="8168" spans="2:2" x14ac:dyDescent="0.2">
      <c r="B8168" s="10"/>
    </row>
    <row r="8169" spans="2:2" x14ac:dyDescent="0.2">
      <c r="B8169" s="10"/>
    </row>
    <row r="8170" spans="2:2" x14ac:dyDescent="0.2">
      <c r="B8170" s="10"/>
    </row>
    <row r="8171" spans="2:2" x14ac:dyDescent="0.2">
      <c r="B8171" s="10"/>
    </row>
    <row r="8172" spans="2:2" x14ac:dyDescent="0.2">
      <c r="B8172" s="10"/>
    </row>
    <row r="8173" spans="2:2" x14ac:dyDescent="0.2">
      <c r="B8173" s="10"/>
    </row>
    <row r="8174" spans="2:2" x14ac:dyDescent="0.2">
      <c r="B8174" s="10"/>
    </row>
    <row r="8175" spans="2:2" x14ac:dyDescent="0.2">
      <c r="B8175" s="10"/>
    </row>
    <row r="8176" spans="2:2" x14ac:dyDescent="0.2">
      <c r="B8176" s="10"/>
    </row>
    <row r="8177" spans="2:2" x14ac:dyDescent="0.2">
      <c r="B8177" s="10"/>
    </row>
    <row r="8178" spans="2:2" x14ac:dyDescent="0.2">
      <c r="B8178" s="10"/>
    </row>
    <row r="8179" spans="2:2" x14ac:dyDescent="0.2">
      <c r="B8179" s="10"/>
    </row>
    <row r="8180" spans="2:2" x14ac:dyDescent="0.2">
      <c r="B8180" s="10"/>
    </row>
    <row r="8181" spans="2:2" x14ac:dyDescent="0.2">
      <c r="B8181" s="10"/>
    </row>
    <row r="8182" spans="2:2" x14ac:dyDescent="0.2">
      <c r="B8182" s="10"/>
    </row>
    <row r="8183" spans="2:2" x14ac:dyDescent="0.2">
      <c r="B8183" s="10"/>
    </row>
    <row r="8184" spans="2:2" x14ac:dyDescent="0.2">
      <c r="B8184" s="10"/>
    </row>
    <row r="8185" spans="2:2" x14ac:dyDescent="0.2">
      <c r="B8185" s="10"/>
    </row>
    <row r="8186" spans="2:2" x14ac:dyDescent="0.2">
      <c r="B8186" s="10"/>
    </row>
    <row r="8187" spans="2:2" x14ac:dyDescent="0.2">
      <c r="B8187" s="10"/>
    </row>
    <row r="8188" spans="2:2" x14ac:dyDescent="0.2">
      <c r="B8188" s="10"/>
    </row>
    <row r="8189" spans="2:2" x14ac:dyDescent="0.2">
      <c r="B8189" s="10"/>
    </row>
    <row r="8190" spans="2:2" x14ac:dyDescent="0.2">
      <c r="B8190" s="10"/>
    </row>
    <row r="8191" spans="2:2" x14ac:dyDescent="0.2">
      <c r="B8191" s="10"/>
    </row>
    <row r="8192" spans="2:2" x14ac:dyDescent="0.2">
      <c r="B8192" s="10"/>
    </row>
    <row r="8193" spans="2:2" x14ac:dyDescent="0.2">
      <c r="B8193" s="10"/>
    </row>
    <row r="8194" spans="2:2" x14ac:dyDescent="0.2">
      <c r="B8194" s="10"/>
    </row>
    <row r="8195" spans="2:2" x14ac:dyDescent="0.2">
      <c r="B8195" s="10"/>
    </row>
    <row r="8196" spans="2:2" x14ac:dyDescent="0.2">
      <c r="B8196" s="10"/>
    </row>
    <row r="8197" spans="2:2" x14ac:dyDescent="0.2">
      <c r="B8197" s="10"/>
    </row>
    <row r="8198" spans="2:2" x14ac:dyDescent="0.2">
      <c r="B8198" s="10"/>
    </row>
    <row r="8199" spans="2:2" x14ac:dyDescent="0.2">
      <c r="B8199" s="10"/>
    </row>
    <row r="8200" spans="2:2" x14ac:dyDescent="0.2">
      <c r="B8200" s="10"/>
    </row>
    <row r="8201" spans="2:2" x14ac:dyDescent="0.2">
      <c r="B8201" s="10"/>
    </row>
    <row r="8202" spans="2:2" x14ac:dyDescent="0.2">
      <c r="B8202" s="10"/>
    </row>
    <row r="8203" spans="2:2" x14ac:dyDescent="0.2">
      <c r="B8203" s="10"/>
    </row>
    <row r="8204" spans="2:2" x14ac:dyDescent="0.2">
      <c r="B8204" s="10"/>
    </row>
    <row r="8205" spans="2:2" x14ac:dyDescent="0.2">
      <c r="B8205" s="10"/>
    </row>
    <row r="8206" spans="2:2" x14ac:dyDescent="0.2">
      <c r="B8206" s="10"/>
    </row>
    <row r="8207" spans="2:2" x14ac:dyDescent="0.2">
      <c r="B8207" s="10"/>
    </row>
    <row r="8208" spans="2:2" x14ac:dyDescent="0.2">
      <c r="B8208" s="10"/>
    </row>
    <row r="8209" spans="2:2" x14ac:dyDescent="0.2">
      <c r="B8209" s="10"/>
    </row>
    <row r="8210" spans="2:2" x14ac:dyDescent="0.2">
      <c r="B8210" s="10"/>
    </row>
    <row r="8211" spans="2:2" x14ac:dyDescent="0.2">
      <c r="B8211" s="10"/>
    </row>
    <row r="8212" spans="2:2" x14ac:dyDescent="0.2">
      <c r="B8212" s="10"/>
    </row>
    <row r="8213" spans="2:2" x14ac:dyDescent="0.2">
      <c r="B8213" s="10"/>
    </row>
    <row r="8214" spans="2:2" x14ac:dyDescent="0.2">
      <c r="B8214" s="10"/>
    </row>
    <row r="8215" spans="2:2" x14ac:dyDescent="0.2">
      <c r="B8215" s="10"/>
    </row>
    <row r="8216" spans="2:2" x14ac:dyDescent="0.2">
      <c r="B8216" s="10"/>
    </row>
    <row r="8217" spans="2:2" x14ac:dyDescent="0.2">
      <c r="B8217" s="10"/>
    </row>
    <row r="8218" spans="2:2" x14ac:dyDescent="0.2">
      <c r="B8218" s="10"/>
    </row>
    <row r="8219" spans="2:2" x14ac:dyDescent="0.2">
      <c r="B8219" s="10"/>
    </row>
    <row r="8220" spans="2:2" x14ac:dyDescent="0.2">
      <c r="B8220" s="10"/>
    </row>
    <row r="8221" spans="2:2" x14ac:dyDescent="0.2">
      <c r="B8221" s="10"/>
    </row>
    <row r="8222" spans="2:2" x14ac:dyDescent="0.2">
      <c r="B8222" s="10"/>
    </row>
    <row r="8223" spans="2:2" x14ac:dyDescent="0.2">
      <c r="B8223" s="10"/>
    </row>
    <row r="8224" spans="2:2" x14ac:dyDescent="0.2">
      <c r="B8224" s="10"/>
    </row>
    <row r="8225" spans="2:2" x14ac:dyDescent="0.2">
      <c r="B8225" s="10"/>
    </row>
    <row r="8226" spans="2:2" x14ac:dyDescent="0.2">
      <c r="B8226" s="10"/>
    </row>
    <row r="8227" spans="2:2" x14ac:dyDescent="0.2">
      <c r="B8227" s="10"/>
    </row>
    <row r="8228" spans="2:2" x14ac:dyDescent="0.2">
      <c r="B8228" s="10"/>
    </row>
    <row r="8229" spans="2:2" x14ac:dyDescent="0.2">
      <c r="B8229" s="10"/>
    </row>
    <row r="8230" spans="2:2" x14ac:dyDescent="0.2">
      <c r="B8230" s="10"/>
    </row>
    <row r="8231" spans="2:2" x14ac:dyDescent="0.2">
      <c r="B8231" s="10"/>
    </row>
    <row r="8232" spans="2:2" x14ac:dyDescent="0.2">
      <c r="B8232" s="10"/>
    </row>
    <row r="8233" spans="2:2" x14ac:dyDescent="0.2">
      <c r="B8233" s="10"/>
    </row>
    <row r="8234" spans="2:2" x14ac:dyDescent="0.2">
      <c r="B8234" s="10"/>
    </row>
    <row r="8235" spans="2:2" x14ac:dyDescent="0.2">
      <c r="B8235" s="10"/>
    </row>
    <row r="8236" spans="2:2" x14ac:dyDescent="0.2">
      <c r="B8236" s="10"/>
    </row>
    <row r="8237" spans="2:2" x14ac:dyDescent="0.2">
      <c r="B8237" s="10"/>
    </row>
    <row r="8238" spans="2:2" x14ac:dyDescent="0.2">
      <c r="B8238" s="10"/>
    </row>
    <row r="8239" spans="2:2" x14ac:dyDescent="0.2">
      <c r="B8239" s="10"/>
    </row>
    <row r="8240" spans="2:2" x14ac:dyDescent="0.2">
      <c r="B8240" s="10"/>
    </row>
    <row r="8241" spans="2:2" x14ac:dyDescent="0.2">
      <c r="B8241" s="10"/>
    </row>
    <row r="8242" spans="2:2" x14ac:dyDescent="0.2">
      <c r="B8242" s="10"/>
    </row>
    <row r="8243" spans="2:2" x14ac:dyDescent="0.2">
      <c r="B8243" s="10"/>
    </row>
    <row r="8244" spans="2:2" x14ac:dyDescent="0.2">
      <c r="B8244" s="10"/>
    </row>
    <row r="8245" spans="2:2" x14ac:dyDescent="0.2">
      <c r="B8245" s="10"/>
    </row>
    <row r="8246" spans="2:2" x14ac:dyDescent="0.2">
      <c r="B8246" s="10"/>
    </row>
    <row r="8247" spans="2:2" x14ac:dyDescent="0.2">
      <c r="B8247" s="10"/>
    </row>
    <row r="8248" spans="2:2" x14ac:dyDescent="0.2">
      <c r="B8248" s="10"/>
    </row>
    <row r="8249" spans="2:2" x14ac:dyDescent="0.2">
      <c r="B8249" s="10"/>
    </row>
    <row r="8250" spans="2:2" x14ac:dyDescent="0.2">
      <c r="B8250" s="10"/>
    </row>
    <row r="8251" spans="2:2" x14ac:dyDescent="0.2">
      <c r="B8251" s="10"/>
    </row>
    <row r="8252" spans="2:2" x14ac:dyDescent="0.2">
      <c r="B8252" s="10"/>
    </row>
    <row r="8253" spans="2:2" x14ac:dyDescent="0.2">
      <c r="B8253" s="10"/>
    </row>
    <row r="8254" spans="2:2" x14ac:dyDescent="0.2">
      <c r="B8254" s="10"/>
    </row>
    <row r="8255" spans="2:2" x14ac:dyDescent="0.2">
      <c r="B8255" s="10"/>
    </row>
    <row r="8256" spans="2:2" x14ac:dyDescent="0.2">
      <c r="B8256" s="10"/>
    </row>
    <row r="8257" spans="2:2" x14ac:dyDescent="0.2">
      <c r="B8257" s="10"/>
    </row>
    <row r="8258" spans="2:2" x14ac:dyDescent="0.2">
      <c r="B8258" s="10"/>
    </row>
    <row r="8259" spans="2:2" x14ac:dyDescent="0.2">
      <c r="B8259" s="10"/>
    </row>
    <row r="8260" spans="2:2" x14ac:dyDescent="0.2">
      <c r="B8260" s="10"/>
    </row>
    <row r="8261" spans="2:2" x14ac:dyDescent="0.2">
      <c r="B8261" s="10"/>
    </row>
    <row r="8262" spans="2:2" x14ac:dyDescent="0.2">
      <c r="B8262" s="10"/>
    </row>
    <row r="8263" spans="2:2" x14ac:dyDescent="0.2">
      <c r="B8263" s="10"/>
    </row>
    <row r="8264" spans="2:2" x14ac:dyDescent="0.2">
      <c r="B8264" s="10"/>
    </row>
    <row r="8265" spans="2:2" x14ac:dyDescent="0.2">
      <c r="B8265" s="10"/>
    </row>
    <row r="8266" spans="2:2" x14ac:dyDescent="0.2">
      <c r="B8266" s="10"/>
    </row>
    <row r="8267" spans="2:2" x14ac:dyDescent="0.2">
      <c r="B8267" s="10"/>
    </row>
    <row r="8268" spans="2:2" x14ac:dyDescent="0.2">
      <c r="B8268" s="10"/>
    </row>
    <row r="8269" spans="2:2" x14ac:dyDescent="0.2">
      <c r="B8269" s="10"/>
    </row>
    <row r="8270" spans="2:2" x14ac:dyDescent="0.2">
      <c r="B8270" s="10"/>
    </row>
    <row r="8271" spans="2:2" x14ac:dyDescent="0.2">
      <c r="B8271" s="10"/>
    </row>
    <row r="8272" spans="2:2" x14ac:dyDescent="0.2">
      <c r="B8272" s="10"/>
    </row>
    <row r="8273" spans="2:2" x14ac:dyDescent="0.2">
      <c r="B8273" s="10"/>
    </row>
    <row r="8274" spans="2:2" x14ac:dyDescent="0.2">
      <c r="B8274" s="10"/>
    </row>
    <row r="8275" spans="2:2" x14ac:dyDescent="0.2">
      <c r="B8275" s="10"/>
    </row>
    <row r="8276" spans="2:2" x14ac:dyDescent="0.2">
      <c r="B8276" s="10"/>
    </row>
    <row r="8277" spans="2:2" x14ac:dyDescent="0.2">
      <c r="B8277" s="10"/>
    </row>
    <row r="8278" spans="2:2" x14ac:dyDescent="0.2">
      <c r="B8278" s="10"/>
    </row>
    <row r="8279" spans="2:2" x14ac:dyDescent="0.2">
      <c r="B8279" s="10"/>
    </row>
    <row r="8280" spans="2:2" x14ac:dyDescent="0.2">
      <c r="B8280" s="10"/>
    </row>
    <row r="8281" spans="2:2" x14ac:dyDescent="0.2">
      <c r="B8281" s="10"/>
    </row>
    <row r="8282" spans="2:2" x14ac:dyDescent="0.2">
      <c r="B8282" s="10"/>
    </row>
    <row r="8283" spans="2:2" x14ac:dyDescent="0.2">
      <c r="B8283" s="10"/>
    </row>
    <row r="8284" spans="2:2" x14ac:dyDescent="0.2">
      <c r="B8284" s="10"/>
    </row>
    <row r="8285" spans="2:2" x14ac:dyDescent="0.2">
      <c r="B8285" s="10"/>
    </row>
    <row r="8286" spans="2:2" x14ac:dyDescent="0.2">
      <c r="B8286" s="10"/>
    </row>
    <row r="8287" spans="2:2" x14ac:dyDescent="0.2">
      <c r="B8287" s="10"/>
    </row>
    <row r="8288" spans="2:2" x14ac:dyDescent="0.2">
      <c r="B8288" s="10"/>
    </row>
    <row r="8289" spans="2:2" x14ac:dyDescent="0.2">
      <c r="B8289" s="10"/>
    </row>
    <row r="8290" spans="2:2" x14ac:dyDescent="0.2">
      <c r="B8290" s="10"/>
    </row>
    <row r="8291" spans="2:2" x14ac:dyDescent="0.2">
      <c r="B8291" s="10"/>
    </row>
    <row r="8292" spans="2:2" x14ac:dyDescent="0.2">
      <c r="B8292" s="10"/>
    </row>
    <row r="8293" spans="2:2" x14ac:dyDescent="0.2">
      <c r="B8293" s="10"/>
    </row>
    <row r="8294" spans="2:2" x14ac:dyDescent="0.2">
      <c r="B8294" s="10"/>
    </row>
    <row r="8295" spans="2:2" x14ac:dyDescent="0.2">
      <c r="B8295" s="10"/>
    </row>
    <row r="8296" spans="2:2" x14ac:dyDescent="0.2">
      <c r="B8296" s="10"/>
    </row>
    <row r="8297" spans="2:2" x14ac:dyDescent="0.2">
      <c r="B8297" s="10"/>
    </row>
    <row r="8298" spans="2:2" x14ac:dyDescent="0.2">
      <c r="B8298" s="10"/>
    </row>
    <row r="8299" spans="2:2" x14ac:dyDescent="0.2">
      <c r="B8299" s="10"/>
    </row>
    <row r="8300" spans="2:2" x14ac:dyDescent="0.2">
      <c r="B8300" s="10"/>
    </row>
    <row r="8301" spans="2:2" x14ac:dyDescent="0.2">
      <c r="B8301" s="10"/>
    </row>
    <row r="8302" spans="2:2" x14ac:dyDescent="0.2">
      <c r="B8302" s="10"/>
    </row>
    <row r="8303" spans="2:2" x14ac:dyDescent="0.2">
      <c r="B8303" s="10"/>
    </row>
    <row r="8304" spans="2:2" x14ac:dyDescent="0.2">
      <c r="B8304" s="10"/>
    </row>
    <row r="8305" spans="2:2" x14ac:dyDescent="0.2">
      <c r="B8305" s="10"/>
    </row>
    <row r="8306" spans="2:2" x14ac:dyDescent="0.2">
      <c r="B8306" s="10"/>
    </row>
    <row r="8307" spans="2:2" x14ac:dyDescent="0.2">
      <c r="B8307" s="10"/>
    </row>
    <row r="8308" spans="2:2" x14ac:dyDescent="0.2">
      <c r="B8308" s="10"/>
    </row>
    <row r="8309" spans="2:2" x14ac:dyDescent="0.2">
      <c r="B8309" s="10"/>
    </row>
    <row r="8310" spans="2:2" x14ac:dyDescent="0.2">
      <c r="B8310" s="10"/>
    </row>
    <row r="8311" spans="2:2" x14ac:dyDescent="0.2">
      <c r="B8311" s="10"/>
    </row>
    <row r="8312" spans="2:2" x14ac:dyDescent="0.2">
      <c r="B8312" s="10"/>
    </row>
    <row r="8313" spans="2:2" x14ac:dyDescent="0.2">
      <c r="B8313" s="10"/>
    </row>
    <row r="8314" spans="2:2" x14ac:dyDescent="0.2">
      <c r="B8314" s="10"/>
    </row>
    <row r="8315" spans="2:2" x14ac:dyDescent="0.2">
      <c r="B8315" s="10"/>
    </row>
    <row r="8316" spans="2:2" x14ac:dyDescent="0.2">
      <c r="B8316" s="10"/>
    </row>
    <row r="8317" spans="2:2" x14ac:dyDescent="0.2">
      <c r="B8317" s="10"/>
    </row>
    <row r="8318" spans="2:2" x14ac:dyDescent="0.2">
      <c r="B8318" s="10"/>
    </row>
    <row r="8319" spans="2:2" x14ac:dyDescent="0.2">
      <c r="B8319" s="10"/>
    </row>
    <row r="8320" spans="2:2" x14ac:dyDescent="0.2">
      <c r="B8320" s="10"/>
    </row>
    <row r="8321" spans="2:2" x14ac:dyDescent="0.2">
      <c r="B8321" s="10"/>
    </row>
    <row r="8322" spans="2:2" x14ac:dyDescent="0.2">
      <c r="B8322" s="10"/>
    </row>
    <row r="8323" spans="2:2" x14ac:dyDescent="0.2">
      <c r="B8323" s="10"/>
    </row>
    <row r="8324" spans="2:2" x14ac:dyDescent="0.2">
      <c r="B8324" s="10"/>
    </row>
    <row r="8325" spans="2:2" x14ac:dyDescent="0.2">
      <c r="B8325" s="10"/>
    </row>
    <row r="8326" spans="2:2" x14ac:dyDescent="0.2">
      <c r="B8326" s="10"/>
    </row>
    <row r="8327" spans="2:2" x14ac:dyDescent="0.2">
      <c r="B8327" s="10"/>
    </row>
    <row r="8328" spans="2:2" x14ac:dyDescent="0.2">
      <c r="B8328" s="10"/>
    </row>
    <row r="8329" spans="2:2" x14ac:dyDescent="0.2">
      <c r="B8329" s="10"/>
    </row>
    <row r="8330" spans="2:2" x14ac:dyDescent="0.2">
      <c r="B8330" s="10"/>
    </row>
    <row r="8331" spans="2:2" x14ac:dyDescent="0.2">
      <c r="B8331" s="10"/>
    </row>
    <row r="8332" spans="2:2" x14ac:dyDescent="0.2">
      <c r="B8332" s="10"/>
    </row>
    <row r="8333" spans="2:2" x14ac:dyDescent="0.2">
      <c r="B8333" s="10"/>
    </row>
    <row r="8334" spans="2:2" x14ac:dyDescent="0.2">
      <c r="B8334" s="10"/>
    </row>
    <row r="8335" spans="2:2" x14ac:dyDescent="0.2">
      <c r="B8335" s="10"/>
    </row>
    <row r="8336" spans="2:2" x14ac:dyDescent="0.2">
      <c r="B8336" s="10"/>
    </row>
    <row r="8337" spans="2:2" x14ac:dyDescent="0.2">
      <c r="B8337" s="10"/>
    </row>
    <row r="8338" spans="2:2" x14ac:dyDescent="0.2">
      <c r="B8338" s="10"/>
    </row>
    <row r="8339" spans="2:2" x14ac:dyDescent="0.2">
      <c r="B8339" s="10"/>
    </row>
    <row r="8340" spans="2:2" x14ac:dyDescent="0.2">
      <c r="B8340" s="10"/>
    </row>
    <row r="8341" spans="2:2" x14ac:dyDescent="0.2">
      <c r="B8341" s="10"/>
    </row>
    <row r="8342" spans="2:2" x14ac:dyDescent="0.2">
      <c r="B8342" s="10"/>
    </row>
    <row r="8343" spans="2:2" x14ac:dyDescent="0.2">
      <c r="B8343" s="10"/>
    </row>
    <row r="8344" spans="2:2" x14ac:dyDescent="0.2">
      <c r="B8344" s="10"/>
    </row>
    <row r="8345" spans="2:2" x14ac:dyDescent="0.2">
      <c r="B8345" s="10"/>
    </row>
    <row r="8346" spans="2:2" x14ac:dyDescent="0.2">
      <c r="B8346" s="10"/>
    </row>
    <row r="8347" spans="2:2" x14ac:dyDescent="0.2">
      <c r="B8347" s="10"/>
    </row>
    <row r="8348" spans="2:2" x14ac:dyDescent="0.2">
      <c r="B8348" s="10"/>
    </row>
    <row r="8349" spans="2:2" x14ac:dyDescent="0.2">
      <c r="B8349" s="10"/>
    </row>
    <row r="8350" spans="2:2" x14ac:dyDescent="0.2">
      <c r="B8350" s="10"/>
    </row>
    <row r="8351" spans="2:2" x14ac:dyDescent="0.2">
      <c r="B8351" s="10"/>
    </row>
    <row r="8352" spans="2:2" x14ac:dyDescent="0.2">
      <c r="B8352" s="10"/>
    </row>
    <row r="8353" spans="2:2" x14ac:dyDescent="0.2">
      <c r="B8353" s="10"/>
    </row>
    <row r="8354" spans="2:2" x14ac:dyDescent="0.2">
      <c r="B8354" s="10"/>
    </row>
    <row r="8355" spans="2:2" x14ac:dyDescent="0.2">
      <c r="B8355" s="10"/>
    </row>
    <row r="8356" spans="2:2" x14ac:dyDescent="0.2">
      <c r="B8356" s="10"/>
    </row>
    <row r="8357" spans="2:2" x14ac:dyDescent="0.2">
      <c r="B8357" s="10"/>
    </row>
    <row r="8358" spans="2:2" x14ac:dyDescent="0.2">
      <c r="B8358" s="10"/>
    </row>
    <row r="8359" spans="2:2" x14ac:dyDescent="0.2">
      <c r="B8359" s="10"/>
    </row>
    <row r="8360" spans="2:2" x14ac:dyDescent="0.2">
      <c r="B8360" s="10"/>
    </row>
    <row r="8361" spans="2:2" x14ac:dyDescent="0.2">
      <c r="B8361" s="10"/>
    </row>
    <row r="8362" spans="2:2" x14ac:dyDescent="0.2">
      <c r="B8362" s="10"/>
    </row>
    <row r="8363" spans="2:2" x14ac:dyDescent="0.2">
      <c r="B8363" s="10"/>
    </row>
    <row r="8364" spans="2:2" x14ac:dyDescent="0.2">
      <c r="B8364" s="10"/>
    </row>
    <row r="8365" spans="2:2" x14ac:dyDescent="0.2">
      <c r="B8365" s="10"/>
    </row>
    <row r="8366" spans="2:2" x14ac:dyDescent="0.2">
      <c r="B8366" s="10"/>
    </row>
    <row r="8367" spans="2:2" x14ac:dyDescent="0.2">
      <c r="B8367" s="10"/>
    </row>
    <row r="8368" spans="2:2" x14ac:dyDescent="0.2">
      <c r="B8368" s="10"/>
    </row>
    <row r="8369" spans="2:2" x14ac:dyDescent="0.2">
      <c r="B8369" s="10"/>
    </row>
    <row r="8370" spans="2:2" x14ac:dyDescent="0.2">
      <c r="B8370" s="10"/>
    </row>
    <row r="8371" spans="2:2" x14ac:dyDescent="0.2">
      <c r="B8371" s="10"/>
    </row>
    <row r="8372" spans="2:2" x14ac:dyDescent="0.2">
      <c r="B8372" s="10"/>
    </row>
    <row r="8373" spans="2:2" x14ac:dyDescent="0.2">
      <c r="B8373" s="10"/>
    </row>
    <row r="8374" spans="2:2" x14ac:dyDescent="0.2">
      <c r="B8374" s="10"/>
    </row>
    <row r="8375" spans="2:2" x14ac:dyDescent="0.2">
      <c r="B8375" s="10"/>
    </row>
    <row r="8376" spans="2:2" x14ac:dyDescent="0.2">
      <c r="B8376" s="10"/>
    </row>
    <row r="8377" spans="2:2" x14ac:dyDescent="0.2">
      <c r="B8377" s="10"/>
    </row>
    <row r="8378" spans="2:2" x14ac:dyDescent="0.2">
      <c r="B8378" s="10"/>
    </row>
    <row r="8379" spans="2:2" x14ac:dyDescent="0.2">
      <c r="B8379" s="10"/>
    </row>
    <row r="8380" spans="2:2" x14ac:dyDescent="0.2">
      <c r="B8380" s="10"/>
    </row>
    <row r="8381" spans="2:2" x14ac:dyDescent="0.2">
      <c r="B8381" s="10"/>
    </row>
    <row r="8382" spans="2:2" x14ac:dyDescent="0.2">
      <c r="B8382" s="10"/>
    </row>
    <row r="8383" spans="2:2" x14ac:dyDescent="0.2">
      <c r="B8383" s="10"/>
    </row>
    <row r="8384" spans="2:2" x14ac:dyDescent="0.2">
      <c r="B8384" s="10"/>
    </row>
    <row r="8385" spans="2:2" x14ac:dyDescent="0.2">
      <c r="B8385" s="10"/>
    </row>
    <row r="8386" spans="2:2" x14ac:dyDescent="0.2">
      <c r="B8386" s="10"/>
    </row>
    <row r="8387" spans="2:2" x14ac:dyDescent="0.2">
      <c r="B8387" s="10"/>
    </row>
    <row r="8388" spans="2:2" x14ac:dyDescent="0.2">
      <c r="B8388" s="10"/>
    </row>
    <row r="8389" spans="2:2" x14ac:dyDescent="0.2">
      <c r="B8389" s="10"/>
    </row>
    <row r="8390" spans="2:2" x14ac:dyDescent="0.2">
      <c r="B8390" s="10"/>
    </row>
    <row r="8391" spans="2:2" x14ac:dyDescent="0.2">
      <c r="B8391" s="10"/>
    </row>
    <row r="8392" spans="2:2" x14ac:dyDescent="0.2">
      <c r="B8392" s="10"/>
    </row>
    <row r="8393" spans="2:2" x14ac:dyDescent="0.2">
      <c r="B8393" s="10"/>
    </row>
    <row r="8394" spans="2:2" x14ac:dyDescent="0.2">
      <c r="B8394" s="10"/>
    </row>
    <row r="8395" spans="2:2" x14ac:dyDescent="0.2">
      <c r="B8395" s="10"/>
    </row>
    <row r="8396" spans="2:2" x14ac:dyDescent="0.2">
      <c r="B8396" s="10"/>
    </row>
    <row r="8397" spans="2:2" x14ac:dyDescent="0.2">
      <c r="B8397" s="10"/>
    </row>
    <row r="8398" spans="2:2" x14ac:dyDescent="0.2">
      <c r="B8398" s="10"/>
    </row>
    <row r="8399" spans="2:2" x14ac:dyDescent="0.2">
      <c r="B8399" s="10"/>
    </row>
    <row r="8400" spans="2:2" x14ac:dyDescent="0.2">
      <c r="B8400" s="10"/>
    </row>
    <row r="8401" spans="2:2" x14ac:dyDescent="0.2">
      <c r="B8401" s="10"/>
    </row>
    <row r="8402" spans="2:2" x14ac:dyDescent="0.2">
      <c r="B8402" s="10"/>
    </row>
    <row r="8403" spans="2:2" x14ac:dyDescent="0.2">
      <c r="B8403" s="10"/>
    </row>
    <row r="8404" spans="2:2" x14ac:dyDescent="0.2">
      <c r="B8404" s="10"/>
    </row>
    <row r="8405" spans="2:2" x14ac:dyDescent="0.2">
      <c r="B8405" s="10"/>
    </row>
    <row r="8406" spans="2:2" x14ac:dyDescent="0.2">
      <c r="B8406" s="10"/>
    </row>
    <row r="8407" spans="2:2" x14ac:dyDescent="0.2">
      <c r="B8407" s="10"/>
    </row>
    <row r="8408" spans="2:2" x14ac:dyDescent="0.2">
      <c r="B8408" s="10"/>
    </row>
    <row r="8409" spans="2:2" x14ac:dyDescent="0.2">
      <c r="B8409" s="10"/>
    </row>
    <row r="8410" spans="2:2" x14ac:dyDescent="0.2">
      <c r="B8410" s="10"/>
    </row>
    <row r="8411" spans="2:2" x14ac:dyDescent="0.2">
      <c r="B8411" s="10"/>
    </row>
    <row r="8412" spans="2:2" x14ac:dyDescent="0.2">
      <c r="B8412" s="10"/>
    </row>
    <row r="8413" spans="2:2" x14ac:dyDescent="0.2">
      <c r="B8413" s="10"/>
    </row>
    <row r="8414" spans="2:2" x14ac:dyDescent="0.2">
      <c r="B8414" s="10"/>
    </row>
    <row r="8415" spans="2:2" x14ac:dyDescent="0.2">
      <c r="B8415" s="10"/>
    </row>
    <row r="8416" spans="2:2" x14ac:dyDescent="0.2">
      <c r="B8416" s="10"/>
    </row>
    <row r="8417" spans="2:2" x14ac:dyDescent="0.2">
      <c r="B8417" s="10"/>
    </row>
    <row r="8418" spans="2:2" x14ac:dyDescent="0.2">
      <c r="B8418" s="10"/>
    </row>
    <row r="8419" spans="2:2" x14ac:dyDescent="0.2">
      <c r="B8419" s="10"/>
    </row>
    <row r="8420" spans="2:2" x14ac:dyDescent="0.2">
      <c r="B8420" s="10"/>
    </row>
    <row r="8421" spans="2:2" x14ac:dyDescent="0.2">
      <c r="B8421" s="10"/>
    </row>
    <row r="8422" spans="2:2" x14ac:dyDescent="0.2">
      <c r="B8422" s="10"/>
    </row>
    <row r="8423" spans="2:2" x14ac:dyDescent="0.2">
      <c r="B8423" s="10"/>
    </row>
    <row r="8424" spans="2:2" x14ac:dyDescent="0.2">
      <c r="B8424" s="10"/>
    </row>
    <row r="8425" spans="2:2" x14ac:dyDescent="0.2">
      <c r="B8425" s="10"/>
    </row>
    <row r="8426" spans="2:2" x14ac:dyDescent="0.2">
      <c r="B8426" s="10"/>
    </row>
    <row r="8427" spans="2:2" x14ac:dyDescent="0.2">
      <c r="B8427" s="10"/>
    </row>
    <row r="8428" spans="2:2" x14ac:dyDescent="0.2">
      <c r="B8428" s="10"/>
    </row>
    <row r="8429" spans="2:2" x14ac:dyDescent="0.2">
      <c r="B8429" s="10"/>
    </row>
    <row r="8430" spans="2:2" x14ac:dyDescent="0.2">
      <c r="B8430" s="10"/>
    </row>
    <row r="8431" spans="2:2" x14ac:dyDescent="0.2">
      <c r="B8431" s="10"/>
    </row>
    <row r="8432" spans="2:2" x14ac:dyDescent="0.2">
      <c r="B8432" s="10"/>
    </row>
    <row r="8433" spans="2:2" x14ac:dyDescent="0.2">
      <c r="B8433" s="10"/>
    </row>
    <row r="8434" spans="2:2" x14ac:dyDescent="0.2">
      <c r="B8434" s="10"/>
    </row>
    <row r="8435" spans="2:2" x14ac:dyDescent="0.2">
      <c r="B8435" s="10"/>
    </row>
    <row r="8436" spans="2:2" x14ac:dyDescent="0.2">
      <c r="B8436" s="10"/>
    </row>
    <row r="8437" spans="2:2" x14ac:dyDescent="0.2">
      <c r="B8437" s="10"/>
    </row>
    <row r="8438" spans="2:2" x14ac:dyDescent="0.2">
      <c r="B8438" s="10"/>
    </row>
    <row r="8439" spans="2:2" x14ac:dyDescent="0.2">
      <c r="B8439" s="10"/>
    </row>
    <row r="8440" spans="2:2" x14ac:dyDescent="0.2">
      <c r="B8440" s="10"/>
    </row>
    <row r="8441" spans="2:2" x14ac:dyDescent="0.2">
      <c r="B8441" s="10"/>
    </row>
    <row r="8442" spans="2:2" x14ac:dyDescent="0.2">
      <c r="B8442" s="10"/>
    </row>
    <row r="8443" spans="2:2" x14ac:dyDescent="0.2">
      <c r="B8443" s="10"/>
    </row>
    <row r="8444" spans="2:2" x14ac:dyDescent="0.2">
      <c r="B8444" s="10"/>
    </row>
    <row r="8445" spans="2:2" x14ac:dyDescent="0.2">
      <c r="B8445" s="10"/>
    </row>
    <row r="8446" spans="2:2" x14ac:dyDescent="0.2">
      <c r="B8446" s="10"/>
    </row>
    <row r="8447" spans="2:2" x14ac:dyDescent="0.2">
      <c r="B8447" s="10"/>
    </row>
    <row r="8448" spans="2:2" x14ac:dyDescent="0.2">
      <c r="B8448" s="10"/>
    </row>
    <row r="8449" spans="2:2" x14ac:dyDescent="0.2">
      <c r="B8449" s="10"/>
    </row>
    <row r="8450" spans="2:2" x14ac:dyDescent="0.2">
      <c r="B8450" s="10"/>
    </row>
    <row r="8451" spans="2:2" x14ac:dyDescent="0.2">
      <c r="B8451" s="10"/>
    </row>
    <row r="8452" spans="2:2" x14ac:dyDescent="0.2">
      <c r="B8452" s="10"/>
    </row>
    <row r="8453" spans="2:2" x14ac:dyDescent="0.2">
      <c r="B8453" s="10"/>
    </row>
    <row r="8454" spans="2:2" x14ac:dyDescent="0.2">
      <c r="B8454" s="10"/>
    </row>
    <row r="8455" spans="2:2" x14ac:dyDescent="0.2">
      <c r="B8455" s="10"/>
    </row>
    <row r="8456" spans="2:2" x14ac:dyDescent="0.2">
      <c r="B8456" s="10"/>
    </row>
    <row r="8457" spans="2:2" x14ac:dyDescent="0.2">
      <c r="B8457" s="10"/>
    </row>
    <row r="8458" spans="2:2" x14ac:dyDescent="0.2">
      <c r="B8458" s="10"/>
    </row>
    <row r="8459" spans="2:2" x14ac:dyDescent="0.2">
      <c r="B8459" s="10"/>
    </row>
    <row r="8460" spans="2:2" x14ac:dyDescent="0.2">
      <c r="B8460" s="10"/>
    </row>
    <row r="8461" spans="2:2" x14ac:dyDescent="0.2">
      <c r="B8461" s="10"/>
    </row>
    <row r="8462" spans="2:2" x14ac:dyDescent="0.2">
      <c r="B8462" s="10"/>
    </row>
    <row r="8463" spans="2:2" x14ac:dyDescent="0.2">
      <c r="B8463" s="10"/>
    </row>
    <row r="8464" spans="2:2" x14ac:dyDescent="0.2">
      <c r="B8464" s="10"/>
    </row>
    <row r="8465" spans="2:2" x14ac:dyDescent="0.2">
      <c r="B8465" s="10"/>
    </row>
    <row r="8466" spans="2:2" x14ac:dyDescent="0.2">
      <c r="B8466" s="10"/>
    </row>
    <row r="8467" spans="2:2" x14ac:dyDescent="0.2">
      <c r="B8467" s="10"/>
    </row>
    <row r="8468" spans="2:2" x14ac:dyDescent="0.2">
      <c r="B8468" s="10"/>
    </row>
    <row r="8469" spans="2:2" x14ac:dyDescent="0.2">
      <c r="B8469" s="10"/>
    </row>
    <row r="8470" spans="2:2" x14ac:dyDescent="0.2">
      <c r="B8470" s="10"/>
    </row>
    <row r="8471" spans="2:2" x14ac:dyDescent="0.2">
      <c r="B8471" s="10"/>
    </row>
    <row r="8472" spans="2:2" x14ac:dyDescent="0.2">
      <c r="B8472" s="10"/>
    </row>
    <row r="8473" spans="2:2" x14ac:dyDescent="0.2">
      <c r="B8473" s="10"/>
    </row>
    <row r="8474" spans="2:2" x14ac:dyDescent="0.2">
      <c r="B8474" s="10"/>
    </row>
    <row r="8475" spans="2:2" x14ac:dyDescent="0.2">
      <c r="B8475" s="10"/>
    </row>
    <row r="8476" spans="2:2" x14ac:dyDescent="0.2">
      <c r="B8476" s="10"/>
    </row>
    <row r="8477" spans="2:2" x14ac:dyDescent="0.2">
      <c r="B8477" s="10"/>
    </row>
    <row r="8478" spans="2:2" x14ac:dyDescent="0.2">
      <c r="B8478" s="10"/>
    </row>
    <row r="8479" spans="2:2" x14ac:dyDescent="0.2">
      <c r="B8479" s="10"/>
    </row>
    <row r="8480" spans="2:2" x14ac:dyDescent="0.2">
      <c r="B8480" s="10"/>
    </row>
    <row r="8481" spans="2:2" x14ac:dyDescent="0.2">
      <c r="B8481" s="10"/>
    </row>
    <row r="8482" spans="2:2" x14ac:dyDescent="0.2">
      <c r="B8482" s="10"/>
    </row>
    <row r="8483" spans="2:2" x14ac:dyDescent="0.2">
      <c r="B8483" s="10"/>
    </row>
    <row r="8484" spans="2:2" x14ac:dyDescent="0.2">
      <c r="B8484" s="10"/>
    </row>
    <row r="8485" spans="2:2" x14ac:dyDescent="0.2">
      <c r="B8485" s="10"/>
    </row>
    <row r="8486" spans="2:2" x14ac:dyDescent="0.2">
      <c r="B8486" s="10"/>
    </row>
    <row r="8487" spans="2:2" x14ac:dyDescent="0.2">
      <c r="B8487" s="10"/>
    </row>
    <row r="8488" spans="2:2" x14ac:dyDescent="0.2">
      <c r="B8488" s="10"/>
    </row>
    <row r="8489" spans="2:2" x14ac:dyDescent="0.2">
      <c r="B8489" s="10"/>
    </row>
    <row r="8490" spans="2:2" x14ac:dyDescent="0.2">
      <c r="B8490" s="10"/>
    </row>
    <row r="8491" spans="2:2" x14ac:dyDescent="0.2">
      <c r="B8491" s="10"/>
    </row>
    <row r="8492" spans="2:2" x14ac:dyDescent="0.2">
      <c r="B8492" s="10"/>
    </row>
    <row r="8493" spans="2:2" x14ac:dyDescent="0.2">
      <c r="B8493" s="10"/>
    </row>
    <row r="8494" spans="2:2" x14ac:dyDescent="0.2">
      <c r="B8494" s="10"/>
    </row>
    <row r="8495" spans="2:2" x14ac:dyDescent="0.2">
      <c r="B8495" s="10"/>
    </row>
    <row r="8496" spans="2:2" x14ac:dyDescent="0.2">
      <c r="B8496" s="10"/>
    </row>
    <row r="8497" spans="2:2" x14ac:dyDescent="0.2">
      <c r="B8497" s="10"/>
    </row>
    <row r="8498" spans="2:2" x14ac:dyDescent="0.2">
      <c r="B8498" s="10"/>
    </row>
    <row r="8499" spans="2:2" x14ac:dyDescent="0.2">
      <c r="B8499" s="10"/>
    </row>
    <row r="8500" spans="2:2" x14ac:dyDescent="0.2">
      <c r="B8500" s="10"/>
    </row>
    <row r="8501" spans="2:2" x14ac:dyDescent="0.2">
      <c r="B8501" s="10"/>
    </row>
    <row r="8502" spans="2:2" x14ac:dyDescent="0.2">
      <c r="B8502" s="10"/>
    </row>
    <row r="8503" spans="2:2" x14ac:dyDescent="0.2">
      <c r="B8503" s="10"/>
    </row>
    <row r="8504" spans="2:2" x14ac:dyDescent="0.2">
      <c r="B8504" s="10"/>
    </row>
    <row r="8505" spans="2:2" x14ac:dyDescent="0.2">
      <c r="B8505" s="10"/>
    </row>
    <row r="8506" spans="2:2" x14ac:dyDescent="0.2">
      <c r="B8506" s="10"/>
    </row>
    <row r="8507" spans="2:2" x14ac:dyDescent="0.2">
      <c r="B8507" s="10"/>
    </row>
    <row r="8508" spans="2:2" x14ac:dyDescent="0.2">
      <c r="B8508" s="10"/>
    </row>
    <row r="8509" spans="2:2" x14ac:dyDescent="0.2">
      <c r="B8509" s="10"/>
    </row>
    <row r="8510" spans="2:2" x14ac:dyDescent="0.2">
      <c r="B8510" s="10"/>
    </row>
    <row r="8511" spans="2:2" x14ac:dyDescent="0.2">
      <c r="B8511" s="10"/>
    </row>
    <row r="8512" spans="2:2" x14ac:dyDescent="0.2">
      <c r="B8512" s="10"/>
    </row>
    <row r="8513" spans="2:2" x14ac:dyDescent="0.2">
      <c r="B8513" s="10"/>
    </row>
    <row r="8514" spans="2:2" x14ac:dyDescent="0.2">
      <c r="B8514" s="10"/>
    </row>
    <row r="8515" spans="2:2" x14ac:dyDescent="0.2">
      <c r="B8515" s="10"/>
    </row>
    <row r="8516" spans="2:2" x14ac:dyDescent="0.2">
      <c r="B8516" s="10"/>
    </row>
    <row r="8517" spans="2:2" x14ac:dyDescent="0.2">
      <c r="B8517" s="10"/>
    </row>
    <row r="8518" spans="2:2" x14ac:dyDescent="0.2">
      <c r="B8518" s="10"/>
    </row>
    <row r="8519" spans="2:2" x14ac:dyDescent="0.2">
      <c r="B8519" s="10"/>
    </row>
    <row r="8520" spans="2:2" x14ac:dyDescent="0.2">
      <c r="B8520" s="10"/>
    </row>
    <row r="8521" spans="2:2" x14ac:dyDescent="0.2">
      <c r="B8521" s="10"/>
    </row>
    <row r="8522" spans="2:2" x14ac:dyDescent="0.2">
      <c r="B8522" s="10"/>
    </row>
    <row r="8523" spans="2:2" x14ac:dyDescent="0.2">
      <c r="B8523" s="10"/>
    </row>
    <row r="8524" spans="2:2" x14ac:dyDescent="0.2">
      <c r="B8524" s="10"/>
    </row>
    <row r="8525" spans="2:2" x14ac:dyDescent="0.2">
      <c r="B8525" s="10"/>
    </row>
    <row r="8526" spans="2:2" x14ac:dyDescent="0.2">
      <c r="B8526" s="10"/>
    </row>
    <row r="8527" spans="2:2" x14ac:dyDescent="0.2">
      <c r="B8527" s="10"/>
    </row>
    <row r="8528" spans="2:2" x14ac:dyDescent="0.2">
      <c r="B8528" s="10"/>
    </row>
    <row r="8529" spans="2:2" x14ac:dyDescent="0.2">
      <c r="B8529" s="10"/>
    </row>
    <row r="8530" spans="2:2" x14ac:dyDescent="0.2">
      <c r="B8530" s="10"/>
    </row>
    <row r="8531" spans="2:2" x14ac:dyDescent="0.2">
      <c r="B8531" s="10"/>
    </row>
    <row r="8532" spans="2:2" x14ac:dyDescent="0.2">
      <c r="B8532" s="10"/>
    </row>
    <row r="8533" spans="2:2" x14ac:dyDescent="0.2">
      <c r="B8533" s="10"/>
    </row>
    <row r="8534" spans="2:2" x14ac:dyDescent="0.2">
      <c r="B8534" s="10"/>
    </row>
    <row r="8535" spans="2:2" x14ac:dyDescent="0.2">
      <c r="B8535" s="10"/>
    </row>
    <row r="8536" spans="2:2" x14ac:dyDescent="0.2">
      <c r="B8536" s="10"/>
    </row>
    <row r="8537" spans="2:2" x14ac:dyDescent="0.2">
      <c r="B8537" s="10"/>
    </row>
    <row r="8538" spans="2:2" x14ac:dyDescent="0.2">
      <c r="B8538" s="10"/>
    </row>
    <row r="8539" spans="2:2" x14ac:dyDescent="0.2">
      <c r="B8539" s="10"/>
    </row>
    <row r="8540" spans="2:2" x14ac:dyDescent="0.2">
      <c r="B8540" s="10"/>
    </row>
    <row r="8541" spans="2:2" x14ac:dyDescent="0.2">
      <c r="B8541" s="10"/>
    </row>
    <row r="8542" spans="2:2" x14ac:dyDescent="0.2">
      <c r="B8542" s="10"/>
    </row>
    <row r="8543" spans="2:2" x14ac:dyDescent="0.2">
      <c r="B8543" s="10"/>
    </row>
    <row r="8544" spans="2:2" x14ac:dyDescent="0.2">
      <c r="B8544" s="10"/>
    </row>
    <row r="8545" spans="2:2" x14ac:dyDescent="0.2">
      <c r="B8545" s="10"/>
    </row>
    <row r="8546" spans="2:2" x14ac:dyDescent="0.2">
      <c r="B8546" s="10"/>
    </row>
    <row r="8547" spans="2:2" x14ac:dyDescent="0.2">
      <c r="B8547" s="10"/>
    </row>
    <row r="8548" spans="2:2" x14ac:dyDescent="0.2">
      <c r="B8548" s="10"/>
    </row>
    <row r="8549" spans="2:2" x14ac:dyDescent="0.2">
      <c r="B8549" s="10"/>
    </row>
    <row r="8550" spans="2:2" x14ac:dyDescent="0.2">
      <c r="B8550" s="10"/>
    </row>
    <row r="8551" spans="2:2" x14ac:dyDescent="0.2">
      <c r="B8551" s="10"/>
    </row>
    <row r="8552" spans="2:2" x14ac:dyDescent="0.2">
      <c r="B8552" s="10"/>
    </row>
    <row r="8553" spans="2:2" x14ac:dyDescent="0.2">
      <c r="B8553" s="10"/>
    </row>
    <row r="8554" spans="2:2" x14ac:dyDescent="0.2">
      <c r="B8554" s="10"/>
    </row>
    <row r="8555" spans="2:2" x14ac:dyDescent="0.2">
      <c r="B8555" s="10"/>
    </row>
    <row r="8556" spans="2:2" x14ac:dyDescent="0.2">
      <c r="B8556" s="10"/>
    </row>
    <row r="8557" spans="2:2" x14ac:dyDescent="0.2">
      <c r="B8557" s="10"/>
    </row>
    <row r="8558" spans="2:2" x14ac:dyDescent="0.2">
      <c r="B8558" s="10"/>
    </row>
    <row r="8559" spans="2:2" x14ac:dyDescent="0.2">
      <c r="B8559" s="10"/>
    </row>
    <row r="8560" spans="2:2" x14ac:dyDescent="0.2">
      <c r="B8560" s="10"/>
    </row>
    <row r="8561" spans="2:2" x14ac:dyDescent="0.2">
      <c r="B8561" s="10"/>
    </row>
    <row r="8562" spans="2:2" x14ac:dyDescent="0.2">
      <c r="B8562" s="10"/>
    </row>
    <row r="8563" spans="2:2" x14ac:dyDescent="0.2">
      <c r="B8563" s="10"/>
    </row>
    <row r="8564" spans="2:2" x14ac:dyDescent="0.2">
      <c r="B8564" s="10"/>
    </row>
    <row r="8565" spans="2:2" x14ac:dyDescent="0.2">
      <c r="B8565" s="10"/>
    </row>
    <row r="8566" spans="2:2" x14ac:dyDescent="0.2">
      <c r="B8566" s="10"/>
    </row>
    <row r="8567" spans="2:2" x14ac:dyDescent="0.2">
      <c r="B8567" s="10"/>
    </row>
    <row r="8568" spans="2:2" x14ac:dyDescent="0.2">
      <c r="B8568" s="10"/>
    </row>
    <row r="8569" spans="2:2" x14ac:dyDescent="0.2">
      <c r="B8569" s="10"/>
    </row>
    <row r="8570" spans="2:2" x14ac:dyDescent="0.2">
      <c r="B8570" s="10"/>
    </row>
    <row r="8571" spans="2:2" x14ac:dyDescent="0.2">
      <c r="B8571" s="10"/>
    </row>
    <row r="8572" spans="2:2" x14ac:dyDescent="0.2">
      <c r="B8572" s="10"/>
    </row>
    <row r="8573" spans="2:2" x14ac:dyDescent="0.2">
      <c r="B8573" s="10"/>
    </row>
    <row r="8574" spans="2:2" x14ac:dyDescent="0.2">
      <c r="B8574" s="10"/>
    </row>
    <row r="8575" spans="2:2" x14ac:dyDescent="0.2">
      <c r="B8575" s="10"/>
    </row>
    <row r="8576" spans="2:2" x14ac:dyDescent="0.2">
      <c r="B8576" s="10"/>
    </row>
    <row r="8577" spans="2:2" x14ac:dyDescent="0.2">
      <c r="B8577" s="10"/>
    </row>
    <row r="8578" spans="2:2" x14ac:dyDescent="0.2">
      <c r="B8578" s="10"/>
    </row>
    <row r="8579" spans="2:2" x14ac:dyDescent="0.2">
      <c r="B8579" s="10"/>
    </row>
    <row r="8580" spans="2:2" x14ac:dyDescent="0.2">
      <c r="B8580" s="10"/>
    </row>
    <row r="8581" spans="2:2" x14ac:dyDescent="0.2">
      <c r="B8581" s="10"/>
    </row>
    <row r="8582" spans="2:2" x14ac:dyDescent="0.2">
      <c r="B8582" s="10"/>
    </row>
    <row r="8583" spans="2:2" x14ac:dyDescent="0.2">
      <c r="B8583" s="10"/>
    </row>
    <row r="8584" spans="2:2" x14ac:dyDescent="0.2">
      <c r="B8584" s="10"/>
    </row>
    <row r="8585" spans="2:2" x14ac:dyDescent="0.2">
      <c r="B8585" s="10"/>
    </row>
    <row r="8586" spans="2:2" x14ac:dyDescent="0.2">
      <c r="B8586" s="10"/>
    </row>
    <row r="8587" spans="2:2" x14ac:dyDescent="0.2">
      <c r="B8587" s="10"/>
    </row>
    <row r="8588" spans="2:2" x14ac:dyDescent="0.2">
      <c r="B8588" s="10"/>
    </row>
    <row r="8589" spans="2:2" x14ac:dyDescent="0.2">
      <c r="B8589" s="10"/>
    </row>
    <row r="8590" spans="2:2" x14ac:dyDescent="0.2">
      <c r="B8590" s="10"/>
    </row>
    <row r="8591" spans="2:2" x14ac:dyDescent="0.2">
      <c r="B8591" s="10"/>
    </row>
    <row r="8592" spans="2:2" x14ac:dyDescent="0.2">
      <c r="B8592" s="10"/>
    </row>
    <row r="8593" spans="2:2" x14ac:dyDescent="0.2">
      <c r="B8593" s="10"/>
    </row>
    <row r="8594" spans="2:2" x14ac:dyDescent="0.2">
      <c r="B8594" s="10"/>
    </row>
    <row r="8595" spans="2:2" x14ac:dyDescent="0.2">
      <c r="B8595" s="10"/>
    </row>
    <row r="8596" spans="2:2" x14ac:dyDescent="0.2">
      <c r="B8596" s="10"/>
    </row>
    <row r="8597" spans="2:2" x14ac:dyDescent="0.2">
      <c r="B8597" s="10"/>
    </row>
    <row r="8598" spans="2:2" x14ac:dyDescent="0.2">
      <c r="B8598" s="10"/>
    </row>
    <row r="8599" spans="2:2" x14ac:dyDescent="0.2">
      <c r="B8599" s="10"/>
    </row>
    <row r="8600" spans="2:2" x14ac:dyDescent="0.2">
      <c r="B8600" s="10"/>
    </row>
    <row r="8601" spans="2:2" x14ac:dyDescent="0.2">
      <c r="B8601" s="10"/>
    </row>
    <row r="8602" spans="2:2" x14ac:dyDescent="0.2">
      <c r="B8602" s="10"/>
    </row>
    <row r="8603" spans="2:2" x14ac:dyDescent="0.2">
      <c r="B8603" s="10"/>
    </row>
    <row r="8604" spans="2:2" x14ac:dyDescent="0.2">
      <c r="B8604" s="10"/>
    </row>
    <row r="8605" spans="2:2" x14ac:dyDescent="0.2">
      <c r="B8605" s="10"/>
    </row>
    <row r="8606" spans="2:2" x14ac:dyDescent="0.2">
      <c r="B8606" s="10"/>
    </row>
    <row r="8607" spans="2:2" x14ac:dyDescent="0.2">
      <c r="B8607" s="10"/>
    </row>
    <row r="8608" spans="2:2" x14ac:dyDescent="0.2">
      <c r="B8608" s="10"/>
    </row>
    <row r="8609" spans="2:2" x14ac:dyDescent="0.2">
      <c r="B8609" s="10"/>
    </row>
    <row r="8610" spans="2:2" x14ac:dyDescent="0.2">
      <c r="B8610" s="10"/>
    </row>
    <row r="8611" spans="2:2" x14ac:dyDescent="0.2">
      <c r="B8611" s="10"/>
    </row>
    <row r="8612" spans="2:2" x14ac:dyDescent="0.2">
      <c r="B8612" s="10"/>
    </row>
    <row r="8613" spans="2:2" x14ac:dyDescent="0.2">
      <c r="B8613" s="10"/>
    </row>
    <row r="8614" spans="2:2" x14ac:dyDescent="0.2">
      <c r="B8614" s="10"/>
    </row>
    <row r="8615" spans="2:2" x14ac:dyDescent="0.2">
      <c r="B8615" s="10"/>
    </row>
    <row r="8616" spans="2:2" x14ac:dyDescent="0.2">
      <c r="B8616" s="10"/>
    </row>
    <row r="8617" spans="2:2" x14ac:dyDescent="0.2">
      <c r="B8617" s="10"/>
    </row>
    <row r="8618" spans="2:2" x14ac:dyDescent="0.2">
      <c r="B8618" s="10"/>
    </row>
    <row r="8619" spans="2:2" x14ac:dyDescent="0.2">
      <c r="B8619" s="10"/>
    </row>
    <row r="8620" spans="2:2" x14ac:dyDescent="0.2">
      <c r="B8620" s="10"/>
    </row>
    <row r="8621" spans="2:2" x14ac:dyDescent="0.2">
      <c r="B8621" s="10"/>
    </row>
    <row r="8622" spans="2:2" x14ac:dyDescent="0.2">
      <c r="B8622" s="10"/>
    </row>
    <row r="8623" spans="2:2" x14ac:dyDescent="0.2">
      <c r="B8623" s="10"/>
    </row>
    <row r="8624" spans="2:2" x14ac:dyDescent="0.2">
      <c r="B8624" s="10"/>
    </row>
    <row r="8625" spans="2:2" x14ac:dyDescent="0.2">
      <c r="B8625" s="10"/>
    </row>
    <row r="8626" spans="2:2" x14ac:dyDescent="0.2">
      <c r="B8626" s="10"/>
    </row>
    <row r="8627" spans="2:2" x14ac:dyDescent="0.2">
      <c r="B8627" s="10"/>
    </row>
    <row r="8628" spans="2:2" x14ac:dyDescent="0.2">
      <c r="B8628" s="10"/>
    </row>
    <row r="8629" spans="2:2" x14ac:dyDescent="0.2">
      <c r="B8629" s="10"/>
    </row>
    <row r="8630" spans="2:2" x14ac:dyDescent="0.2">
      <c r="B8630" s="10"/>
    </row>
    <row r="8631" spans="2:2" x14ac:dyDescent="0.2">
      <c r="B8631" s="10"/>
    </row>
    <row r="8632" spans="2:2" x14ac:dyDescent="0.2">
      <c r="B8632" s="10"/>
    </row>
    <row r="8633" spans="2:2" x14ac:dyDescent="0.2">
      <c r="B8633" s="10"/>
    </row>
    <row r="8634" spans="2:2" x14ac:dyDescent="0.2">
      <c r="B8634" s="10"/>
    </row>
    <row r="8635" spans="2:2" x14ac:dyDescent="0.2">
      <c r="B8635" s="10"/>
    </row>
    <row r="8636" spans="2:2" x14ac:dyDescent="0.2">
      <c r="B8636" s="10"/>
    </row>
    <row r="8637" spans="2:2" x14ac:dyDescent="0.2">
      <c r="B8637" s="10"/>
    </row>
    <row r="8638" spans="2:2" x14ac:dyDescent="0.2">
      <c r="B8638" s="10"/>
    </row>
    <row r="8639" spans="2:2" x14ac:dyDescent="0.2">
      <c r="B8639" s="10"/>
    </row>
    <row r="8640" spans="2:2" x14ac:dyDescent="0.2">
      <c r="B8640" s="10"/>
    </row>
    <row r="8641" spans="2:2" x14ac:dyDescent="0.2">
      <c r="B8641" s="10"/>
    </row>
    <row r="8642" spans="2:2" x14ac:dyDescent="0.2">
      <c r="B8642" s="10"/>
    </row>
    <row r="8643" spans="2:2" x14ac:dyDescent="0.2">
      <c r="B8643" s="10"/>
    </row>
    <row r="8644" spans="2:2" x14ac:dyDescent="0.2">
      <c r="B8644" s="10"/>
    </row>
    <row r="8645" spans="2:2" x14ac:dyDescent="0.2">
      <c r="B8645" s="10"/>
    </row>
    <row r="8646" spans="2:2" x14ac:dyDescent="0.2">
      <c r="B8646" s="10"/>
    </row>
    <row r="8647" spans="2:2" x14ac:dyDescent="0.2">
      <c r="B8647" s="10"/>
    </row>
    <row r="8648" spans="2:2" x14ac:dyDescent="0.2">
      <c r="B8648" s="10"/>
    </row>
    <row r="8649" spans="2:2" x14ac:dyDescent="0.2">
      <c r="B8649" s="10"/>
    </row>
    <row r="8650" spans="2:2" x14ac:dyDescent="0.2">
      <c r="B8650" s="10"/>
    </row>
    <row r="8651" spans="2:2" x14ac:dyDescent="0.2">
      <c r="B8651" s="10"/>
    </row>
    <row r="8652" spans="2:2" x14ac:dyDescent="0.2">
      <c r="B8652" s="10"/>
    </row>
    <row r="8653" spans="2:2" x14ac:dyDescent="0.2">
      <c r="B8653" s="10"/>
    </row>
    <row r="8654" spans="2:2" x14ac:dyDescent="0.2">
      <c r="B8654" s="10"/>
    </row>
    <row r="8655" spans="2:2" x14ac:dyDescent="0.2">
      <c r="B8655" s="10"/>
    </row>
    <row r="8656" spans="2:2" x14ac:dyDescent="0.2">
      <c r="B8656" s="10"/>
    </row>
    <row r="8657" spans="2:2" x14ac:dyDescent="0.2">
      <c r="B8657" s="10"/>
    </row>
    <row r="8658" spans="2:2" x14ac:dyDescent="0.2">
      <c r="B8658" s="10"/>
    </row>
    <row r="8659" spans="2:2" x14ac:dyDescent="0.2">
      <c r="B8659" s="10"/>
    </row>
    <row r="8660" spans="2:2" x14ac:dyDescent="0.2">
      <c r="B8660" s="10"/>
    </row>
    <row r="8661" spans="2:2" x14ac:dyDescent="0.2">
      <c r="B8661" s="10"/>
    </row>
    <row r="8662" spans="2:2" x14ac:dyDescent="0.2">
      <c r="B8662" s="10"/>
    </row>
    <row r="8663" spans="2:2" x14ac:dyDescent="0.2">
      <c r="B8663" s="10"/>
    </row>
    <row r="8664" spans="2:2" x14ac:dyDescent="0.2">
      <c r="B8664" s="10"/>
    </row>
    <row r="8665" spans="2:2" x14ac:dyDescent="0.2">
      <c r="B8665" s="10"/>
    </row>
    <row r="8666" spans="2:2" x14ac:dyDescent="0.2">
      <c r="B8666" s="10"/>
    </row>
    <row r="8667" spans="2:2" x14ac:dyDescent="0.2">
      <c r="B8667" s="10"/>
    </row>
    <row r="8668" spans="2:2" x14ac:dyDescent="0.2">
      <c r="B8668" s="10"/>
    </row>
    <row r="8669" spans="2:2" x14ac:dyDescent="0.2">
      <c r="B8669" s="10"/>
    </row>
    <row r="8670" spans="2:2" x14ac:dyDescent="0.2">
      <c r="B8670" s="10"/>
    </row>
    <row r="8671" spans="2:2" x14ac:dyDescent="0.2">
      <c r="B8671" s="10"/>
    </row>
    <row r="8672" spans="2:2" x14ac:dyDescent="0.2">
      <c r="B8672" s="10"/>
    </row>
    <row r="8673" spans="2:2" x14ac:dyDescent="0.2">
      <c r="B8673" s="10"/>
    </row>
    <row r="8674" spans="2:2" x14ac:dyDescent="0.2">
      <c r="B8674" s="10"/>
    </row>
    <row r="8675" spans="2:2" x14ac:dyDescent="0.2">
      <c r="B8675" s="10"/>
    </row>
    <row r="8676" spans="2:2" x14ac:dyDescent="0.2">
      <c r="B8676" s="10"/>
    </row>
    <row r="8677" spans="2:2" x14ac:dyDescent="0.2">
      <c r="B8677" s="10"/>
    </row>
    <row r="8678" spans="2:2" x14ac:dyDescent="0.2">
      <c r="B8678" s="10"/>
    </row>
    <row r="8679" spans="2:2" x14ac:dyDescent="0.2">
      <c r="B8679" s="10"/>
    </row>
    <row r="8680" spans="2:2" x14ac:dyDescent="0.2">
      <c r="B8680" s="10"/>
    </row>
    <row r="8681" spans="2:2" x14ac:dyDescent="0.2">
      <c r="B8681" s="10"/>
    </row>
    <row r="8682" spans="2:2" x14ac:dyDescent="0.2">
      <c r="B8682" s="10"/>
    </row>
    <row r="8683" spans="2:2" x14ac:dyDescent="0.2">
      <c r="B8683" s="10"/>
    </row>
    <row r="8684" spans="2:2" x14ac:dyDescent="0.2">
      <c r="B8684" s="10"/>
    </row>
    <row r="8685" spans="2:2" x14ac:dyDescent="0.2">
      <c r="B8685" s="10"/>
    </row>
    <row r="8686" spans="2:2" x14ac:dyDescent="0.2">
      <c r="B8686" s="10"/>
    </row>
    <row r="8687" spans="2:2" x14ac:dyDescent="0.2">
      <c r="B8687" s="10"/>
    </row>
    <row r="8688" spans="2:2" x14ac:dyDescent="0.2">
      <c r="B8688" s="10"/>
    </row>
    <row r="8689" spans="2:2" x14ac:dyDescent="0.2">
      <c r="B8689" s="10"/>
    </row>
    <row r="8690" spans="2:2" x14ac:dyDescent="0.2">
      <c r="B8690" s="10"/>
    </row>
    <row r="8691" spans="2:2" x14ac:dyDescent="0.2">
      <c r="B8691" s="10"/>
    </row>
    <row r="8692" spans="2:2" x14ac:dyDescent="0.2">
      <c r="B8692" s="10"/>
    </row>
    <row r="8693" spans="2:2" x14ac:dyDescent="0.2">
      <c r="B8693" s="10"/>
    </row>
    <row r="8694" spans="2:2" x14ac:dyDescent="0.2">
      <c r="B8694" s="10"/>
    </row>
    <row r="8695" spans="2:2" x14ac:dyDescent="0.2">
      <c r="B8695" s="10"/>
    </row>
    <row r="8696" spans="2:2" x14ac:dyDescent="0.2">
      <c r="B8696" s="10"/>
    </row>
    <row r="8697" spans="2:2" x14ac:dyDescent="0.2">
      <c r="B8697" s="10"/>
    </row>
    <row r="8698" spans="2:2" x14ac:dyDescent="0.2">
      <c r="B8698" s="10"/>
    </row>
    <row r="8699" spans="2:2" x14ac:dyDescent="0.2">
      <c r="B8699" s="10"/>
    </row>
    <row r="8700" spans="2:2" x14ac:dyDescent="0.2">
      <c r="B8700" s="10"/>
    </row>
    <row r="8701" spans="2:2" x14ac:dyDescent="0.2">
      <c r="B8701" s="10"/>
    </row>
    <row r="8702" spans="2:2" x14ac:dyDescent="0.2">
      <c r="B8702" s="10"/>
    </row>
    <row r="8703" spans="2:2" x14ac:dyDescent="0.2">
      <c r="B8703" s="10"/>
    </row>
    <row r="8704" spans="2:2" x14ac:dyDescent="0.2">
      <c r="B8704" s="10"/>
    </row>
    <row r="8705" spans="2:2" x14ac:dyDescent="0.2">
      <c r="B8705" s="10"/>
    </row>
    <row r="8706" spans="2:2" x14ac:dyDescent="0.2">
      <c r="B8706" s="10"/>
    </row>
    <row r="8707" spans="2:2" x14ac:dyDescent="0.2">
      <c r="B8707" s="10"/>
    </row>
    <row r="8708" spans="2:2" x14ac:dyDescent="0.2">
      <c r="B8708" s="10"/>
    </row>
    <row r="8709" spans="2:2" x14ac:dyDescent="0.2">
      <c r="B8709" s="10"/>
    </row>
    <row r="8710" spans="2:2" x14ac:dyDescent="0.2">
      <c r="B8710" s="10"/>
    </row>
    <row r="8711" spans="2:2" x14ac:dyDescent="0.2">
      <c r="B8711" s="10"/>
    </row>
    <row r="8712" spans="2:2" x14ac:dyDescent="0.2">
      <c r="B8712" s="10"/>
    </row>
    <row r="8713" spans="2:2" x14ac:dyDescent="0.2">
      <c r="B8713" s="10"/>
    </row>
    <row r="8714" spans="2:2" x14ac:dyDescent="0.2">
      <c r="B8714" s="10"/>
    </row>
    <row r="8715" spans="2:2" x14ac:dyDescent="0.2">
      <c r="B8715" s="10"/>
    </row>
    <row r="8716" spans="2:2" x14ac:dyDescent="0.2">
      <c r="B8716" s="10"/>
    </row>
    <row r="8717" spans="2:2" x14ac:dyDescent="0.2">
      <c r="B8717" s="10"/>
    </row>
    <row r="8718" spans="2:2" x14ac:dyDescent="0.2">
      <c r="B8718" s="10"/>
    </row>
    <row r="8719" spans="2:2" x14ac:dyDescent="0.2">
      <c r="B8719" s="10"/>
    </row>
    <row r="8720" spans="2:2" x14ac:dyDescent="0.2">
      <c r="B8720" s="10"/>
    </row>
    <row r="8721" spans="2:2" x14ac:dyDescent="0.2">
      <c r="B8721" s="10"/>
    </row>
    <row r="8722" spans="2:2" x14ac:dyDescent="0.2">
      <c r="B8722" s="10"/>
    </row>
    <row r="8723" spans="2:2" x14ac:dyDescent="0.2">
      <c r="B8723" s="10"/>
    </row>
    <row r="8724" spans="2:2" x14ac:dyDescent="0.2">
      <c r="B8724" s="10"/>
    </row>
    <row r="8725" spans="2:2" x14ac:dyDescent="0.2">
      <c r="B8725" s="10"/>
    </row>
    <row r="8726" spans="2:2" x14ac:dyDescent="0.2">
      <c r="B8726" s="10"/>
    </row>
    <row r="8727" spans="2:2" x14ac:dyDescent="0.2">
      <c r="B8727" s="10"/>
    </row>
    <row r="8728" spans="2:2" x14ac:dyDescent="0.2">
      <c r="B8728" s="10"/>
    </row>
    <row r="8729" spans="2:2" x14ac:dyDescent="0.2">
      <c r="B8729" s="10"/>
    </row>
    <row r="8730" spans="2:2" x14ac:dyDescent="0.2">
      <c r="B8730" s="10"/>
    </row>
    <row r="8731" spans="2:2" x14ac:dyDescent="0.2">
      <c r="B8731" s="10"/>
    </row>
    <row r="8732" spans="2:2" x14ac:dyDescent="0.2">
      <c r="B8732" s="10"/>
    </row>
    <row r="8733" spans="2:2" x14ac:dyDescent="0.2">
      <c r="B8733" s="10"/>
    </row>
    <row r="8734" spans="2:2" x14ac:dyDescent="0.2">
      <c r="B8734" s="10"/>
    </row>
    <row r="8735" spans="2:2" x14ac:dyDescent="0.2">
      <c r="B8735" s="10"/>
    </row>
    <row r="8736" spans="2:2" x14ac:dyDescent="0.2">
      <c r="B8736" s="10"/>
    </row>
    <row r="8737" spans="2:2" x14ac:dyDescent="0.2">
      <c r="B8737" s="10"/>
    </row>
    <row r="8738" spans="2:2" x14ac:dyDescent="0.2">
      <c r="B8738" s="10"/>
    </row>
    <row r="8739" spans="2:2" x14ac:dyDescent="0.2">
      <c r="B8739" s="10"/>
    </row>
    <row r="8740" spans="2:2" x14ac:dyDescent="0.2">
      <c r="B8740" s="10"/>
    </row>
    <row r="8741" spans="2:2" x14ac:dyDescent="0.2">
      <c r="B8741" s="10"/>
    </row>
    <row r="8742" spans="2:2" x14ac:dyDescent="0.2">
      <c r="B8742" s="10"/>
    </row>
    <row r="8743" spans="2:2" x14ac:dyDescent="0.2">
      <c r="B8743" s="10"/>
    </row>
    <row r="8744" spans="2:2" x14ac:dyDescent="0.2">
      <c r="B8744" s="10"/>
    </row>
    <row r="8745" spans="2:2" x14ac:dyDescent="0.2">
      <c r="B8745" s="10"/>
    </row>
    <row r="8746" spans="2:2" x14ac:dyDescent="0.2">
      <c r="B8746" s="10"/>
    </row>
    <row r="8747" spans="2:2" x14ac:dyDescent="0.2">
      <c r="B8747" s="10"/>
    </row>
    <row r="8748" spans="2:2" x14ac:dyDescent="0.2">
      <c r="B8748" s="10"/>
    </row>
    <row r="8749" spans="2:2" x14ac:dyDescent="0.2">
      <c r="B8749" s="10"/>
    </row>
    <row r="8750" spans="2:2" x14ac:dyDescent="0.2">
      <c r="B8750" s="10"/>
    </row>
    <row r="8751" spans="2:2" x14ac:dyDescent="0.2">
      <c r="B8751" s="10"/>
    </row>
    <row r="8752" spans="2:2" x14ac:dyDescent="0.2">
      <c r="B8752" s="10"/>
    </row>
    <row r="8753" spans="2:2" x14ac:dyDescent="0.2">
      <c r="B8753" s="10"/>
    </row>
    <row r="8754" spans="2:2" x14ac:dyDescent="0.2">
      <c r="B8754" s="10"/>
    </row>
    <row r="8755" spans="2:2" x14ac:dyDescent="0.2">
      <c r="B8755" s="10"/>
    </row>
    <row r="8756" spans="2:2" x14ac:dyDescent="0.2">
      <c r="B8756" s="10"/>
    </row>
    <row r="8757" spans="2:2" x14ac:dyDescent="0.2">
      <c r="B8757" s="10"/>
    </row>
    <row r="8758" spans="2:2" x14ac:dyDescent="0.2">
      <c r="B8758" s="10"/>
    </row>
    <row r="8759" spans="2:2" x14ac:dyDescent="0.2">
      <c r="B8759" s="10"/>
    </row>
    <row r="8760" spans="2:2" x14ac:dyDescent="0.2">
      <c r="B8760" s="10"/>
    </row>
    <row r="8761" spans="2:2" x14ac:dyDescent="0.2">
      <c r="B8761" s="10"/>
    </row>
    <row r="8762" spans="2:2" x14ac:dyDescent="0.2">
      <c r="B8762" s="10"/>
    </row>
    <row r="8763" spans="2:2" x14ac:dyDescent="0.2">
      <c r="B8763" s="10"/>
    </row>
    <row r="8764" spans="2:2" x14ac:dyDescent="0.2">
      <c r="B8764" s="10"/>
    </row>
    <row r="8765" spans="2:2" x14ac:dyDescent="0.2">
      <c r="B8765" s="10"/>
    </row>
    <row r="8766" spans="2:2" x14ac:dyDescent="0.2">
      <c r="B8766" s="10"/>
    </row>
    <row r="8767" spans="2:2" x14ac:dyDescent="0.2">
      <c r="B8767" s="10"/>
    </row>
    <row r="8768" spans="2:2" x14ac:dyDescent="0.2">
      <c r="B8768" s="10"/>
    </row>
    <row r="8769" spans="2:2" x14ac:dyDescent="0.2">
      <c r="B8769" s="10"/>
    </row>
    <row r="8770" spans="2:2" x14ac:dyDescent="0.2">
      <c r="B8770" s="10"/>
    </row>
    <row r="8771" spans="2:2" x14ac:dyDescent="0.2">
      <c r="B8771" s="10"/>
    </row>
    <row r="8772" spans="2:2" x14ac:dyDescent="0.2">
      <c r="B8772" s="10"/>
    </row>
    <row r="8773" spans="2:2" x14ac:dyDescent="0.2">
      <c r="B8773" s="10"/>
    </row>
    <row r="8774" spans="2:2" x14ac:dyDescent="0.2">
      <c r="B8774" s="10"/>
    </row>
    <row r="8775" spans="2:2" x14ac:dyDescent="0.2">
      <c r="B8775" s="10"/>
    </row>
    <row r="8776" spans="2:2" x14ac:dyDescent="0.2">
      <c r="B8776" s="10"/>
    </row>
    <row r="8777" spans="2:2" x14ac:dyDescent="0.2">
      <c r="B8777" s="10"/>
    </row>
    <row r="8778" spans="2:2" x14ac:dyDescent="0.2">
      <c r="B8778" s="10"/>
    </row>
    <row r="8779" spans="2:2" x14ac:dyDescent="0.2">
      <c r="B8779" s="10"/>
    </row>
    <row r="8780" spans="2:2" x14ac:dyDescent="0.2">
      <c r="B8780" s="10"/>
    </row>
    <row r="8781" spans="2:2" x14ac:dyDescent="0.2">
      <c r="B8781" s="10"/>
    </row>
    <row r="8782" spans="2:2" x14ac:dyDescent="0.2">
      <c r="B8782" s="10"/>
    </row>
    <row r="8783" spans="2:2" x14ac:dyDescent="0.2">
      <c r="B8783" s="10"/>
    </row>
    <row r="8784" spans="2:2" x14ac:dyDescent="0.2">
      <c r="B8784" s="10"/>
    </row>
    <row r="8785" spans="2:2" x14ac:dyDescent="0.2">
      <c r="B8785" s="10"/>
    </row>
    <row r="8786" spans="2:2" x14ac:dyDescent="0.2">
      <c r="B8786" s="10"/>
    </row>
    <row r="8787" spans="2:2" x14ac:dyDescent="0.2">
      <c r="B8787" s="10"/>
    </row>
    <row r="8788" spans="2:2" x14ac:dyDescent="0.2">
      <c r="B8788" s="10"/>
    </row>
    <row r="8789" spans="2:2" x14ac:dyDescent="0.2">
      <c r="B8789" s="10"/>
    </row>
    <row r="8790" spans="2:2" x14ac:dyDescent="0.2">
      <c r="B8790" s="10"/>
    </row>
    <row r="8791" spans="2:2" x14ac:dyDescent="0.2">
      <c r="B8791" s="10"/>
    </row>
    <row r="8792" spans="2:2" x14ac:dyDescent="0.2">
      <c r="B8792" s="10"/>
    </row>
    <row r="8793" spans="2:2" x14ac:dyDescent="0.2">
      <c r="B8793" s="10"/>
    </row>
    <row r="8794" spans="2:2" x14ac:dyDescent="0.2">
      <c r="B8794" s="10"/>
    </row>
    <row r="8795" spans="2:2" x14ac:dyDescent="0.2">
      <c r="B8795" s="10"/>
    </row>
    <row r="8796" spans="2:2" x14ac:dyDescent="0.2">
      <c r="B8796" s="10"/>
    </row>
    <row r="8797" spans="2:2" x14ac:dyDescent="0.2">
      <c r="B8797" s="10"/>
    </row>
    <row r="8798" spans="2:2" x14ac:dyDescent="0.2">
      <c r="B8798" s="10"/>
    </row>
    <row r="8799" spans="2:2" x14ac:dyDescent="0.2">
      <c r="B8799" s="10"/>
    </row>
    <row r="8800" spans="2:2" x14ac:dyDescent="0.2">
      <c r="B8800" s="10"/>
    </row>
    <row r="8801" spans="2:2" x14ac:dyDescent="0.2">
      <c r="B8801" s="10"/>
    </row>
    <row r="8802" spans="2:2" x14ac:dyDescent="0.2">
      <c r="B8802" s="10"/>
    </row>
    <row r="8803" spans="2:2" x14ac:dyDescent="0.2">
      <c r="B8803" s="10"/>
    </row>
    <row r="8804" spans="2:2" x14ac:dyDescent="0.2">
      <c r="B8804" s="10"/>
    </row>
    <row r="8805" spans="2:2" x14ac:dyDescent="0.2">
      <c r="B8805" s="10"/>
    </row>
    <row r="8806" spans="2:2" x14ac:dyDescent="0.2">
      <c r="B8806" s="10"/>
    </row>
    <row r="8807" spans="2:2" x14ac:dyDescent="0.2">
      <c r="B8807" s="10"/>
    </row>
    <row r="8808" spans="2:2" x14ac:dyDescent="0.2">
      <c r="B8808" s="10"/>
    </row>
    <row r="8809" spans="2:2" x14ac:dyDescent="0.2">
      <c r="B8809" s="10"/>
    </row>
    <row r="8810" spans="2:2" x14ac:dyDescent="0.2">
      <c r="B8810" s="10"/>
    </row>
    <row r="8811" spans="2:2" x14ac:dyDescent="0.2">
      <c r="B8811" s="10"/>
    </row>
    <row r="8812" spans="2:2" x14ac:dyDescent="0.2">
      <c r="B8812" s="10"/>
    </row>
    <row r="8813" spans="2:2" x14ac:dyDescent="0.2">
      <c r="B8813" s="10"/>
    </row>
    <row r="8814" spans="2:2" x14ac:dyDescent="0.2">
      <c r="B8814" s="10"/>
    </row>
    <row r="8815" spans="2:2" x14ac:dyDescent="0.2">
      <c r="B8815" s="10"/>
    </row>
    <row r="8816" spans="2:2" x14ac:dyDescent="0.2">
      <c r="B8816" s="10"/>
    </row>
    <row r="8817" spans="2:2" x14ac:dyDescent="0.2">
      <c r="B8817" s="10"/>
    </row>
    <row r="8818" spans="2:2" x14ac:dyDescent="0.2">
      <c r="B8818" s="10"/>
    </row>
    <row r="8819" spans="2:2" x14ac:dyDescent="0.2">
      <c r="B8819" s="10"/>
    </row>
    <row r="8820" spans="2:2" x14ac:dyDescent="0.2">
      <c r="B8820" s="10"/>
    </row>
    <row r="8821" spans="2:2" x14ac:dyDescent="0.2">
      <c r="B8821" s="10"/>
    </row>
    <row r="8822" spans="2:2" x14ac:dyDescent="0.2">
      <c r="B8822" s="10"/>
    </row>
    <row r="8823" spans="2:2" x14ac:dyDescent="0.2">
      <c r="B8823" s="10"/>
    </row>
    <row r="8824" spans="2:2" x14ac:dyDescent="0.2">
      <c r="B8824" s="10"/>
    </row>
    <row r="8825" spans="2:2" x14ac:dyDescent="0.2">
      <c r="B8825" s="10"/>
    </row>
    <row r="8826" spans="2:2" x14ac:dyDescent="0.2">
      <c r="B8826" s="10"/>
    </row>
    <row r="8827" spans="2:2" x14ac:dyDescent="0.2">
      <c r="B8827" s="10"/>
    </row>
    <row r="8828" spans="2:2" x14ac:dyDescent="0.2">
      <c r="B8828" s="10"/>
    </row>
    <row r="8829" spans="2:2" x14ac:dyDescent="0.2">
      <c r="B8829" s="10"/>
    </row>
    <row r="8830" spans="2:2" x14ac:dyDescent="0.2">
      <c r="B8830" s="10"/>
    </row>
    <row r="8831" spans="2:2" x14ac:dyDescent="0.2">
      <c r="B8831" s="10"/>
    </row>
    <row r="8832" spans="2:2" x14ac:dyDescent="0.2">
      <c r="B8832" s="10"/>
    </row>
    <row r="8833" spans="2:2" x14ac:dyDescent="0.2">
      <c r="B8833" s="10"/>
    </row>
    <row r="8834" spans="2:2" x14ac:dyDescent="0.2">
      <c r="B8834" s="10"/>
    </row>
    <row r="8835" spans="2:2" x14ac:dyDescent="0.2">
      <c r="B8835" s="10"/>
    </row>
    <row r="8836" spans="2:2" x14ac:dyDescent="0.2">
      <c r="B8836" s="10"/>
    </row>
    <row r="8837" spans="2:2" x14ac:dyDescent="0.2">
      <c r="B8837" s="10"/>
    </row>
    <row r="8838" spans="2:2" x14ac:dyDescent="0.2">
      <c r="B8838" s="10"/>
    </row>
    <row r="8839" spans="2:2" x14ac:dyDescent="0.2">
      <c r="B8839" s="10"/>
    </row>
    <row r="8840" spans="2:2" x14ac:dyDescent="0.2">
      <c r="B8840" s="10"/>
    </row>
    <row r="8841" spans="2:2" x14ac:dyDescent="0.2">
      <c r="B8841" s="10"/>
    </row>
    <row r="8842" spans="2:2" x14ac:dyDescent="0.2">
      <c r="B8842" s="10"/>
    </row>
    <row r="8843" spans="2:2" x14ac:dyDescent="0.2">
      <c r="B8843" s="10"/>
    </row>
    <row r="8844" spans="2:2" x14ac:dyDescent="0.2">
      <c r="B8844" s="10"/>
    </row>
    <row r="8845" spans="2:2" x14ac:dyDescent="0.2">
      <c r="B8845" s="10"/>
    </row>
    <row r="8846" spans="2:2" x14ac:dyDescent="0.2">
      <c r="B8846" s="10"/>
    </row>
    <row r="8847" spans="2:2" x14ac:dyDescent="0.2">
      <c r="B8847" s="10"/>
    </row>
    <row r="8848" spans="2:2" x14ac:dyDescent="0.2">
      <c r="B8848" s="10"/>
    </row>
    <row r="8849" spans="2:2" x14ac:dyDescent="0.2">
      <c r="B8849" s="10"/>
    </row>
    <row r="8850" spans="2:2" x14ac:dyDescent="0.2">
      <c r="B8850" s="10"/>
    </row>
    <row r="8851" spans="2:2" x14ac:dyDescent="0.2">
      <c r="B8851" s="10"/>
    </row>
    <row r="8852" spans="2:2" x14ac:dyDescent="0.2">
      <c r="B8852" s="10"/>
    </row>
    <row r="8853" spans="2:2" x14ac:dyDescent="0.2">
      <c r="B8853" s="10"/>
    </row>
    <row r="8854" spans="2:2" x14ac:dyDescent="0.2">
      <c r="B8854" s="10"/>
    </row>
    <row r="8855" spans="2:2" x14ac:dyDescent="0.2">
      <c r="B8855" s="10"/>
    </row>
    <row r="8856" spans="2:2" x14ac:dyDescent="0.2">
      <c r="B8856" s="10"/>
    </row>
    <row r="8857" spans="2:2" x14ac:dyDescent="0.2">
      <c r="B8857" s="10"/>
    </row>
    <row r="8858" spans="2:2" x14ac:dyDescent="0.2">
      <c r="B8858" s="10"/>
    </row>
    <row r="8859" spans="2:2" x14ac:dyDescent="0.2">
      <c r="B8859" s="10"/>
    </row>
    <row r="8860" spans="2:2" x14ac:dyDescent="0.2">
      <c r="B8860" s="10"/>
    </row>
    <row r="8861" spans="2:2" x14ac:dyDescent="0.2">
      <c r="B8861" s="10"/>
    </row>
    <row r="8862" spans="2:2" x14ac:dyDescent="0.2">
      <c r="B8862" s="10"/>
    </row>
    <row r="8863" spans="2:2" x14ac:dyDescent="0.2">
      <c r="B8863" s="10"/>
    </row>
    <row r="8864" spans="2:2" x14ac:dyDescent="0.2">
      <c r="B8864" s="10"/>
    </row>
    <row r="8865" spans="2:2" x14ac:dyDescent="0.2">
      <c r="B8865" s="10"/>
    </row>
    <row r="8866" spans="2:2" x14ac:dyDescent="0.2">
      <c r="B8866" s="10"/>
    </row>
    <row r="8867" spans="2:2" x14ac:dyDescent="0.2">
      <c r="B8867" s="10"/>
    </row>
    <row r="8868" spans="2:2" x14ac:dyDescent="0.2">
      <c r="B8868" s="10"/>
    </row>
    <row r="8869" spans="2:2" x14ac:dyDescent="0.2">
      <c r="B8869" s="10"/>
    </row>
    <row r="8870" spans="2:2" x14ac:dyDescent="0.2">
      <c r="B8870" s="10"/>
    </row>
    <row r="8871" spans="2:2" x14ac:dyDescent="0.2">
      <c r="B8871" s="10"/>
    </row>
    <row r="8872" spans="2:2" x14ac:dyDescent="0.2">
      <c r="B8872" s="10"/>
    </row>
    <row r="8873" spans="2:2" x14ac:dyDescent="0.2">
      <c r="B8873" s="10"/>
    </row>
    <row r="8874" spans="2:2" x14ac:dyDescent="0.2">
      <c r="B8874" s="10"/>
    </row>
    <row r="8875" spans="2:2" x14ac:dyDescent="0.2">
      <c r="B8875" s="10"/>
    </row>
    <row r="8876" spans="2:2" x14ac:dyDescent="0.2">
      <c r="B8876" s="10"/>
    </row>
    <row r="8877" spans="2:2" x14ac:dyDescent="0.2">
      <c r="B8877" s="10"/>
    </row>
    <row r="8878" spans="2:2" x14ac:dyDescent="0.2">
      <c r="B8878" s="10"/>
    </row>
    <row r="8879" spans="2:2" x14ac:dyDescent="0.2">
      <c r="B8879" s="10"/>
    </row>
    <row r="8880" spans="2:2" x14ac:dyDescent="0.2">
      <c r="B8880" s="10"/>
    </row>
    <row r="8881" spans="2:2" x14ac:dyDescent="0.2">
      <c r="B8881" s="10"/>
    </row>
    <row r="8882" spans="2:2" x14ac:dyDescent="0.2">
      <c r="B8882" s="10"/>
    </row>
    <row r="8883" spans="2:2" x14ac:dyDescent="0.2">
      <c r="B8883" s="10"/>
    </row>
    <row r="8884" spans="2:2" x14ac:dyDescent="0.2">
      <c r="B8884" s="10"/>
    </row>
    <row r="8885" spans="2:2" x14ac:dyDescent="0.2">
      <c r="B8885" s="10"/>
    </row>
    <row r="8886" spans="2:2" x14ac:dyDescent="0.2">
      <c r="B8886" s="10"/>
    </row>
    <row r="8887" spans="2:2" x14ac:dyDescent="0.2">
      <c r="B8887" s="10"/>
    </row>
    <row r="8888" spans="2:2" x14ac:dyDescent="0.2">
      <c r="B8888" s="10"/>
    </row>
    <row r="8889" spans="2:2" x14ac:dyDescent="0.2">
      <c r="B8889" s="10"/>
    </row>
    <row r="8890" spans="2:2" x14ac:dyDescent="0.2">
      <c r="B8890" s="10"/>
    </row>
    <row r="8891" spans="2:2" x14ac:dyDescent="0.2">
      <c r="B8891" s="10"/>
    </row>
    <row r="8892" spans="2:2" x14ac:dyDescent="0.2">
      <c r="B8892" s="10"/>
    </row>
    <row r="8893" spans="2:2" x14ac:dyDescent="0.2">
      <c r="B8893" s="10"/>
    </row>
    <row r="8894" spans="2:2" x14ac:dyDescent="0.2">
      <c r="B8894" s="10"/>
    </row>
    <row r="8895" spans="2:2" x14ac:dyDescent="0.2">
      <c r="B8895" s="10"/>
    </row>
    <row r="8896" spans="2:2" x14ac:dyDescent="0.2">
      <c r="B8896" s="10"/>
    </row>
    <row r="8897" spans="2:2" x14ac:dyDescent="0.2">
      <c r="B8897" s="10"/>
    </row>
    <row r="8898" spans="2:2" x14ac:dyDescent="0.2">
      <c r="B8898" s="10"/>
    </row>
    <row r="8899" spans="2:2" x14ac:dyDescent="0.2">
      <c r="B8899" s="10"/>
    </row>
    <row r="8900" spans="2:2" x14ac:dyDescent="0.2">
      <c r="B8900" s="10"/>
    </row>
    <row r="8901" spans="2:2" x14ac:dyDescent="0.2">
      <c r="B8901" s="10"/>
    </row>
    <row r="8902" spans="2:2" x14ac:dyDescent="0.2">
      <c r="B8902" s="10"/>
    </row>
    <row r="8903" spans="2:2" x14ac:dyDescent="0.2">
      <c r="B8903" s="10"/>
    </row>
    <row r="8904" spans="2:2" x14ac:dyDescent="0.2">
      <c r="B8904" s="10"/>
    </row>
    <row r="8905" spans="2:2" x14ac:dyDescent="0.2">
      <c r="B8905" s="10"/>
    </row>
    <row r="8906" spans="2:2" x14ac:dyDescent="0.2">
      <c r="B8906" s="10"/>
    </row>
    <row r="8907" spans="2:2" x14ac:dyDescent="0.2">
      <c r="B8907" s="10"/>
    </row>
    <row r="8908" spans="2:2" x14ac:dyDescent="0.2">
      <c r="B8908" s="10"/>
    </row>
    <row r="8909" spans="2:2" x14ac:dyDescent="0.2">
      <c r="B8909" s="10"/>
    </row>
    <row r="8910" spans="2:2" x14ac:dyDescent="0.2">
      <c r="B8910" s="10"/>
    </row>
    <row r="8911" spans="2:2" x14ac:dyDescent="0.2">
      <c r="B8911" s="10"/>
    </row>
    <row r="8912" spans="2:2" x14ac:dyDescent="0.2">
      <c r="B8912" s="10"/>
    </row>
    <row r="8913" spans="2:2" x14ac:dyDescent="0.2">
      <c r="B8913" s="10"/>
    </row>
    <row r="8914" spans="2:2" x14ac:dyDescent="0.2">
      <c r="B8914" s="10"/>
    </row>
    <row r="8915" spans="2:2" x14ac:dyDescent="0.2">
      <c r="B8915" s="10"/>
    </row>
    <row r="8916" spans="2:2" x14ac:dyDescent="0.2">
      <c r="B8916" s="10"/>
    </row>
    <row r="8917" spans="2:2" x14ac:dyDescent="0.2">
      <c r="B8917" s="10"/>
    </row>
    <row r="8918" spans="2:2" x14ac:dyDescent="0.2">
      <c r="B8918" s="10"/>
    </row>
    <row r="8919" spans="2:2" x14ac:dyDescent="0.2">
      <c r="B8919" s="10"/>
    </row>
    <row r="8920" spans="2:2" x14ac:dyDescent="0.2">
      <c r="B8920" s="10"/>
    </row>
    <row r="8921" spans="2:2" x14ac:dyDescent="0.2">
      <c r="B8921" s="10"/>
    </row>
    <row r="8922" spans="2:2" x14ac:dyDescent="0.2">
      <c r="B8922" s="10"/>
    </row>
    <row r="8923" spans="2:2" x14ac:dyDescent="0.2">
      <c r="B8923" s="10"/>
    </row>
    <row r="8924" spans="2:2" x14ac:dyDescent="0.2">
      <c r="B8924" s="10"/>
    </row>
    <row r="8925" spans="2:2" x14ac:dyDescent="0.2">
      <c r="B8925" s="10"/>
    </row>
    <row r="8926" spans="2:2" x14ac:dyDescent="0.2">
      <c r="B8926" s="10"/>
    </row>
    <row r="8927" spans="2:2" x14ac:dyDescent="0.2">
      <c r="B8927" s="10"/>
    </row>
    <row r="8928" spans="2:2" x14ac:dyDescent="0.2">
      <c r="B8928" s="10"/>
    </row>
    <row r="8929" spans="2:2" x14ac:dyDescent="0.2">
      <c r="B8929" s="10"/>
    </row>
    <row r="8930" spans="2:2" x14ac:dyDescent="0.2">
      <c r="B8930" s="10"/>
    </row>
    <row r="8931" spans="2:2" x14ac:dyDescent="0.2">
      <c r="B8931" s="10"/>
    </row>
    <row r="8932" spans="2:2" x14ac:dyDescent="0.2">
      <c r="B8932" s="10"/>
    </row>
    <row r="8933" spans="2:2" x14ac:dyDescent="0.2">
      <c r="B8933" s="10"/>
    </row>
    <row r="8934" spans="2:2" x14ac:dyDescent="0.2">
      <c r="B8934" s="10"/>
    </row>
    <row r="8935" spans="2:2" x14ac:dyDescent="0.2">
      <c r="B8935" s="10"/>
    </row>
    <row r="8936" spans="2:2" x14ac:dyDescent="0.2">
      <c r="B8936" s="10"/>
    </row>
    <row r="8937" spans="2:2" x14ac:dyDescent="0.2">
      <c r="B8937" s="10"/>
    </row>
    <row r="8938" spans="2:2" x14ac:dyDescent="0.2">
      <c r="B8938" s="10"/>
    </row>
    <row r="8939" spans="2:2" x14ac:dyDescent="0.2">
      <c r="B8939" s="10"/>
    </row>
    <row r="8940" spans="2:2" x14ac:dyDescent="0.2">
      <c r="B8940" s="10"/>
    </row>
    <row r="8941" spans="2:2" x14ac:dyDescent="0.2">
      <c r="B8941" s="10"/>
    </row>
    <row r="8942" spans="2:2" x14ac:dyDescent="0.2">
      <c r="B8942" s="10"/>
    </row>
    <row r="8943" spans="2:2" x14ac:dyDescent="0.2">
      <c r="B8943" s="10"/>
    </row>
    <row r="8944" spans="2:2" x14ac:dyDescent="0.2">
      <c r="B8944" s="10"/>
    </row>
    <row r="8945" spans="2:2" x14ac:dyDescent="0.2">
      <c r="B8945" s="10"/>
    </row>
    <row r="8946" spans="2:2" x14ac:dyDescent="0.2">
      <c r="B8946" s="10"/>
    </row>
    <row r="8947" spans="2:2" x14ac:dyDescent="0.2">
      <c r="B8947" s="10"/>
    </row>
    <row r="8948" spans="2:2" x14ac:dyDescent="0.2">
      <c r="B8948" s="10"/>
    </row>
    <row r="8949" spans="2:2" x14ac:dyDescent="0.2">
      <c r="B8949" s="10"/>
    </row>
    <row r="8950" spans="2:2" x14ac:dyDescent="0.2">
      <c r="B8950" s="10"/>
    </row>
    <row r="8951" spans="2:2" x14ac:dyDescent="0.2">
      <c r="B8951" s="10"/>
    </row>
    <row r="8952" spans="2:2" x14ac:dyDescent="0.2">
      <c r="B8952" s="10"/>
    </row>
    <row r="8953" spans="2:2" x14ac:dyDescent="0.2">
      <c r="B8953" s="10"/>
    </row>
    <row r="8954" spans="2:2" x14ac:dyDescent="0.2">
      <c r="B8954" s="10"/>
    </row>
    <row r="8955" spans="2:2" x14ac:dyDescent="0.2">
      <c r="B8955" s="10"/>
    </row>
    <row r="8956" spans="2:2" x14ac:dyDescent="0.2">
      <c r="B8956" s="10"/>
    </row>
    <row r="8957" spans="2:2" x14ac:dyDescent="0.2">
      <c r="B8957" s="10"/>
    </row>
    <row r="8958" spans="2:2" x14ac:dyDescent="0.2">
      <c r="B8958" s="10"/>
    </row>
    <row r="8959" spans="2:2" x14ac:dyDescent="0.2">
      <c r="B8959" s="10"/>
    </row>
    <row r="8960" spans="2:2" x14ac:dyDescent="0.2">
      <c r="B8960" s="10"/>
    </row>
    <row r="8961" spans="2:2" x14ac:dyDescent="0.2">
      <c r="B8961" s="10"/>
    </row>
    <row r="8962" spans="2:2" x14ac:dyDescent="0.2">
      <c r="B8962" s="10"/>
    </row>
    <row r="8963" spans="2:2" x14ac:dyDescent="0.2">
      <c r="B8963" s="10"/>
    </row>
    <row r="8964" spans="2:2" x14ac:dyDescent="0.2">
      <c r="B8964" s="10"/>
    </row>
    <row r="8965" spans="2:2" x14ac:dyDescent="0.2">
      <c r="B8965" s="10"/>
    </row>
    <row r="8966" spans="2:2" x14ac:dyDescent="0.2">
      <c r="B8966" s="10"/>
    </row>
    <row r="8967" spans="2:2" x14ac:dyDescent="0.2">
      <c r="B8967" s="10"/>
    </row>
    <row r="8968" spans="2:2" x14ac:dyDescent="0.2">
      <c r="B8968" s="10"/>
    </row>
    <row r="8969" spans="2:2" x14ac:dyDescent="0.2">
      <c r="B8969" s="10"/>
    </row>
    <row r="8970" spans="2:2" x14ac:dyDescent="0.2">
      <c r="B8970" s="10"/>
    </row>
    <row r="8971" spans="2:2" x14ac:dyDescent="0.2">
      <c r="B8971" s="10"/>
    </row>
    <row r="8972" spans="2:2" x14ac:dyDescent="0.2">
      <c r="B8972" s="10"/>
    </row>
    <row r="8973" spans="2:2" x14ac:dyDescent="0.2">
      <c r="B8973" s="10"/>
    </row>
    <row r="8974" spans="2:2" x14ac:dyDescent="0.2">
      <c r="B8974" s="10"/>
    </row>
    <row r="8975" spans="2:2" x14ac:dyDescent="0.2">
      <c r="B8975" s="10"/>
    </row>
    <row r="8976" spans="2:2" x14ac:dyDescent="0.2">
      <c r="B8976" s="10"/>
    </row>
    <row r="8977" spans="2:2" x14ac:dyDescent="0.2">
      <c r="B8977" s="10"/>
    </row>
    <row r="8978" spans="2:2" x14ac:dyDescent="0.2">
      <c r="B8978" s="10"/>
    </row>
    <row r="8979" spans="2:2" x14ac:dyDescent="0.2">
      <c r="B8979" s="10"/>
    </row>
    <row r="8980" spans="2:2" x14ac:dyDescent="0.2">
      <c r="B8980" s="10"/>
    </row>
    <row r="8981" spans="2:2" x14ac:dyDescent="0.2">
      <c r="B8981" s="10"/>
    </row>
    <row r="8982" spans="2:2" x14ac:dyDescent="0.2">
      <c r="B8982" s="10"/>
    </row>
    <row r="8983" spans="2:2" x14ac:dyDescent="0.2">
      <c r="B8983" s="10"/>
    </row>
    <row r="8984" spans="2:2" x14ac:dyDescent="0.2">
      <c r="B8984" s="10"/>
    </row>
    <row r="8985" spans="2:2" x14ac:dyDescent="0.2">
      <c r="B8985" s="10"/>
    </row>
    <row r="8986" spans="2:2" x14ac:dyDescent="0.2">
      <c r="B8986" s="10"/>
    </row>
    <row r="8987" spans="2:2" x14ac:dyDescent="0.2">
      <c r="B8987" s="10"/>
    </row>
    <row r="8988" spans="2:2" x14ac:dyDescent="0.2">
      <c r="B8988" s="10"/>
    </row>
    <row r="8989" spans="2:2" x14ac:dyDescent="0.2">
      <c r="B8989" s="10"/>
    </row>
    <row r="8990" spans="2:2" x14ac:dyDescent="0.2">
      <c r="B8990" s="10"/>
    </row>
    <row r="8991" spans="2:2" x14ac:dyDescent="0.2">
      <c r="B8991" s="10"/>
    </row>
    <row r="8992" spans="2:2" x14ac:dyDescent="0.2">
      <c r="B8992" s="10"/>
    </row>
    <row r="8993" spans="2:2" x14ac:dyDescent="0.2">
      <c r="B8993" s="10"/>
    </row>
    <row r="8994" spans="2:2" x14ac:dyDescent="0.2">
      <c r="B8994" s="10"/>
    </row>
    <row r="8995" spans="2:2" x14ac:dyDescent="0.2">
      <c r="B8995" s="10"/>
    </row>
    <row r="8996" spans="2:2" x14ac:dyDescent="0.2">
      <c r="B8996" s="10"/>
    </row>
    <row r="8997" spans="2:2" x14ac:dyDescent="0.2">
      <c r="B8997" s="10"/>
    </row>
    <row r="8998" spans="2:2" x14ac:dyDescent="0.2">
      <c r="B8998" s="10"/>
    </row>
    <row r="8999" spans="2:2" x14ac:dyDescent="0.2">
      <c r="B8999" s="10"/>
    </row>
    <row r="9000" spans="2:2" x14ac:dyDescent="0.2">
      <c r="B9000" s="10"/>
    </row>
    <row r="9001" spans="2:2" x14ac:dyDescent="0.2">
      <c r="B9001" s="10"/>
    </row>
    <row r="9002" spans="2:2" x14ac:dyDescent="0.2">
      <c r="B9002" s="10"/>
    </row>
    <row r="9003" spans="2:2" x14ac:dyDescent="0.2">
      <c r="B9003" s="10"/>
    </row>
    <row r="9004" spans="2:2" x14ac:dyDescent="0.2">
      <c r="B9004" s="10"/>
    </row>
    <row r="9005" spans="2:2" x14ac:dyDescent="0.2">
      <c r="B9005" s="10"/>
    </row>
    <row r="9006" spans="2:2" x14ac:dyDescent="0.2">
      <c r="B9006" s="10"/>
    </row>
    <row r="9007" spans="2:2" x14ac:dyDescent="0.2">
      <c r="B9007" s="10"/>
    </row>
    <row r="9008" spans="2:2" x14ac:dyDescent="0.2">
      <c r="B9008" s="10"/>
    </row>
    <row r="9009" spans="2:2" x14ac:dyDescent="0.2">
      <c r="B9009" s="10"/>
    </row>
    <row r="9010" spans="2:2" x14ac:dyDescent="0.2">
      <c r="B9010" s="10"/>
    </row>
    <row r="9011" spans="2:2" x14ac:dyDescent="0.2">
      <c r="B9011" s="10"/>
    </row>
    <row r="9012" spans="2:2" x14ac:dyDescent="0.2">
      <c r="B9012" s="10"/>
    </row>
    <row r="9013" spans="2:2" x14ac:dyDescent="0.2">
      <c r="B9013" s="10"/>
    </row>
    <row r="9014" spans="2:2" x14ac:dyDescent="0.2">
      <c r="B9014" s="10"/>
    </row>
    <row r="9015" spans="2:2" x14ac:dyDescent="0.2">
      <c r="B9015" s="10"/>
    </row>
    <row r="9016" spans="2:2" x14ac:dyDescent="0.2">
      <c r="B9016" s="10"/>
    </row>
    <row r="9017" spans="2:2" x14ac:dyDescent="0.2">
      <c r="B9017" s="10"/>
    </row>
    <row r="9018" spans="2:2" x14ac:dyDescent="0.2">
      <c r="B9018" s="10"/>
    </row>
    <row r="9019" spans="2:2" x14ac:dyDescent="0.2">
      <c r="B9019" s="10"/>
    </row>
    <row r="9020" spans="2:2" x14ac:dyDescent="0.2">
      <c r="B9020" s="10"/>
    </row>
    <row r="9021" spans="2:2" x14ac:dyDescent="0.2">
      <c r="B9021" s="10"/>
    </row>
    <row r="9022" spans="2:2" x14ac:dyDescent="0.2">
      <c r="B9022" s="10"/>
    </row>
    <row r="9023" spans="2:2" x14ac:dyDescent="0.2">
      <c r="B9023" s="10"/>
    </row>
    <row r="9024" spans="2:2" x14ac:dyDescent="0.2">
      <c r="B9024" s="10"/>
    </row>
    <row r="9025" spans="2:2" x14ac:dyDescent="0.2">
      <c r="B9025" s="10"/>
    </row>
    <row r="9026" spans="2:2" x14ac:dyDescent="0.2">
      <c r="B9026" s="10"/>
    </row>
    <row r="9027" spans="2:2" x14ac:dyDescent="0.2">
      <c r="B9027" s="10"/>
    </row>
    <row r="9028" spans="2:2" x14ac:dyDescent="0.2">
      <c r="B9028" s="10"/>
    </row>
    <row r="9029" spans="2:2" x14ac:dyDescent="0.2">
      <c r="B9029" s="10"/>
    </row>
    <row r="9030" spans="2:2" x14ac:dyDescent="0.2">
      <c r="B9030" s="10"/>
    </row>
    <row r="9031" spans="2:2" x14ac:dyDescent="0.2">
      <c r="B9031" s="10"/>
    </row>
    <row r="9032" spans="2:2" x14ac:dyDescent="0.2">
      <c r="B9032" s="10"/>
    </row>
    <row r="9033" spans="2:2" x14ac:dyDescent="0.2">
      <c r="B9033" s="10"/>
    </row>
    <row r="9034" spans="2:2" x14ac:dyDescent="0.2">
      <c r="B9034" s="10"/>
    </row>
    <row r="9035" spans="2:2" x14ac:dyDescent="0.2">
      <c r="B9035" s="10"/>
    </row>
    <row r="9036" spans="2:2" x14ac:dyDescent="0.2">
      <c r="B9036" s="10"/>
    </row>
    <row r="9037" spans="2:2" x14ac:dyDescent="0.2">
      <c r="B9037" s="10"/>
    </row>
    <row r="9038" spans="2:2" x14ac:dyDescent="0.2">
      <c r="B9038" s="10"/>
    </row>
    <row r="9039" spans="2:2" x14ac:dyDescent="0.2">
      <c r="B9039" s="10"/>
    </row>
    <row r="9040" spans="2:2" x14ac:dyDescent="0.2">
      <c r="B9040" s="10"/>
    </row>
    <row r="9041" spans="2:2" x14ac:dyDescent="0.2">
      <c r="B9041" s="10"/>
    </row>
    <row r="9042" spans="2:2" x14ac:dyDescent="0.2">
      <c r="B9042" s="10"/>
    </row>
    <row r="9043" spans="2:2" x14ac:dyDescent="0.2">
      <c r="B9043" s="10"/>
    </row>
    <row r="9044" spans="2:2" x14ac:dyDescent="0.2">
      <c r="B9044" s="10"/>
    </row>
    <row r="9045" spans="2:2" x14ac:dyDescent="0.2">
      <c r="B9045" s="10"/>
    </row>
    <row r="9046" spans="2:2" x14ac:dyDescent="0.2">
      <c r="B9046" s="10"/>
    </row>
    <row r="9047" spans="2:2" x14ac:dyDescent="0.2">
      <c r="B9047" s="10"/>
    </row>
    <row r="9048" spans="2:2" x14ac:dyDescent="0.2">
      <c r="B9048" s="10"/>
    </row>
    <row r="9049" spans="2:2" x14ac:dyDescent="0.2">
      <c r="B9049" s="10"/>
    </row>
    <row r="9050" spans="2:2" x14ac:dyDescent="0.2">
      <c r="B9050" s="10"/>
    </row>
    <row r="9051" spans="2:2" x14ac:dyDescent="0.2">
      <c r="B9051" s="10"/>
    </row>
    <row r="9052" spans="2:2" x14ac:dyDescent="0.2">
      <c r="B9052" s="10"/>
    </row>
    <row r="9053" spans="2:2" x14ac:dyDescent="0.2">
      <c r="B9053" s="10"/>
    </row>
    <row r="9054" spans="2:2" x14ac:dyDescent="0.2">
      <c r="B9054" s="10"/>
    </row>
    <row r="9055" spans="2:2" x14ac:dyDescent="0.2">
      <c r="B9055" s="10"/>
    </row>
    <row r="9056" spans="2:2" x14ac:dyDescent="0.2">
      <c r="B9056" s="10"/>
    </row>
    <row r="9057" spans="2:2" x14ac:dyDescent="0.2">
      <c r="B9057" s="10"/>
    </row>
    <row r="9058" spans="2:2" x14ac:dyDescent="0.2">
      <c r="B9058" s="10"/>
    </row>
    <row r="9059" spans="2:2" x14ac:dyDescent="0.2">
      <c r="B9059" s="10"/>
    </row>
    <row r="9060" spans="2:2" x14ac:dyDescent="0.2">
      <c r="B9060" s="10"/>
    </row>
    <row r="9061" spans="2:2" x14ac:dyDescent="0.2">
      <c r="B9061" s="10"/>
    </row>
    <row r="9062" spans="2:2" x14ac:dyDescent="0.2">
      <c r="B9062" s="10"/>
    </row>
    <row r="9063" spans="2:2" x14ac:dyDescent="0.2">
      <c r="B9063" s="10"/>
    </row>
    <row r="9064" spans="2:2" x14ac:dyDescent="0.2">
      <c r="B9064" s="10"/>
    </row>
    <row r="9065" spans="2:2" x14ac:dyDescent="0.2">
      <c r="B9065" s="10"/>
    </row>
    <row r="9066" spans="2:2" x14ac:dyDescent="0.2">
      <c r="B9066" s="10"/>
    </row>
    <row r="9067" spans="2:2" x14ac:dyDescent="0.2">
      <c r="B9067" s="10"/>
    </row>
    <row r="9068" spans="2:2" x14ac:dyDescent="0.2">
      <c r="B9068" s="10"/>
    </row>
    <row r="9069" spans="2:2" x14ac:dyDescent="0.2">
      <c r="B9069" s="10"/>
    </row>
    <row r="9070" spans="2:2" x14ac:dyDescent="0.2">
      <c r="B9070" s="10"/>
    </row>
    <row r="9071" spans="2:2" x14ac:dyDescent="0.2">
      <c r="B9071" s="10"/>
    </row>
    <row r="9072" spans="2:2" x14ac:dyDescent="0.2">
      <c r="B9072" s="10"/>
    </row>
    <row r="9073" spans="2:2" x14ac:dyDescent="0.2">
      <c r="B9073" s="10"/>
    </row>
    <row r="9074" spans="2:2" x14ac:dyDescent="0.2">
      <c r="B9074" s="10"/>
    </row>
    <row r="9075" spans="2:2" x14ac:dyDescent="0.2">
      <c r="B9075" s="10"/>
    </row>
    <row r="9076" spans="2:2" x14ac:dyDescent="0.2">
      <c r="B9076" s="10"/>
    </row>
    <row r="9077" spans="2:2" x14ac:dyDescent="0.2">
      <c r="B9077" s="10"/>
    </row>
    <row r="9078" spans="2:2" x14ac:dyDescent="0.2">
      <c r="B9078" s="10"/>
    </row>
    <row r="9079" spans="2:2" x14ac:dyDescent="0.2">
      <c r="B9079" s="10"/>
    </row>
    <row r="9080" spans="2:2" x14ac:dyDescent="0.2">
      <c r="B9080" s="10"/>
    </row>
    <row r="9081" spans="2:2" x14ac:dyDescent="0.2">
      <c r="B9081" s="10"/>
    </row>
    <row r="9082" spans="2:2" x14ac:dyDescent="0.2">
      <c r="B9082" s="10"/>
    </row>
    <row r="9083" spans="2:2" x14ac:dyDescent="0.2">
      <c r="B9083" s="10"/>
    </row>
    <row r="9084" spans="2:2" x14ac:dyDescent="0.2">
      <c r="B9084" s="10"/>
    </row>
    <row r="9085" spans="2:2" x14ac:dyDescent="0.2">
      <c r="B9085" s="10"/>
    </row>
    <row r="9086" spans="2:2" x14ac:dyDescent="0.2">
      <c r="B9086" s="10"/>
    </row>
    <row r="9087" spans="2:2" x14ac:dyDescent="0.2">
      <c r="B9087" s="10"/>
    </row>
    <row r="9088" spans="2:2" x14ac:dyDescent="0.2">
      <c r="B9088" s="10"/>
    </row>
    <row r="9089" spans="2:2" x14ac:dyDescent="0.2">
      <c r="B9089" s="10"/>
    </row>
    <row r="9090" spans="2:2" x14ac:dyDescent="0.2">
      <c r="B9090" s="10"/>
    </row>
    <row r="9091" spans="2:2" x14ac:dyDescent="0.2">
      <c r="B9091" s="10"/>
    </row>
    <row r="9092" spans="2:2" x14ac:dyDescent="0.2">
      <c r="B9092" s="10"/>
    </row>
    <row r="9093" spans="2:2" x14ac:dyDescent="0.2">
      <c r="B9093" s="10"/>
    </row>
    <row r="9094" spans="2:2" x14ac:dyDescent="0.2">
      <c r="B9094" s="10"/>
    </row>
    <row r="9095" spans="2:2" x14ac:dyDescent="0.2">
      <c r="B9095" s="10"/>
    </row>
    <row r="9096" spans="2:2" x14ac:dyDescent="0.2">
      <c r="B9096" s="10"/>
    </row>
    <row r="9097" spans="2:2" x14ac:dyDescent="0.2">
      <c r="B9097" s="10"/>
    </row>
    <row r="9098" spans="2:2" x14ac:dyDescent="0.2">
      <c r="B9098" s="10"/>
    </row>
    <row r="9099" spans="2:2" x14ac:dyDescent="0.2">
      <c r="B9099" s="10"/>
    </row>
    <row r="9100" spans="2:2" x14ac:dyDescent="0.2">
      <c r="B9100" s="10"/>
    </row>
    <row r="9101" spans="2:2" x14ac:dyDescent="0.2">
      <c r="B9101" s="10"/>
    </row>
    <row r="9102" spans="2:2" x14ac:dyDescent="0.2">
      <c r="B9102" s="10"/>
    </row>
    <row r="9103" spans="2:2" x14ac:dyDescent="0.2">
      <c r="B9103" s="10"/>
    </row>
    <row r="9104" spans="2:2" x14ac:dyDescent="0.2">
      <c r="B9104" s="10"/>
    </row>
    <row r="9105" spans="2:2" x14ac:dyDescent="0.2">
      <c r="B9105" s="10"/>
    </row>
    <row r="9106" spans="2:2" x14ac:dyDescent="0.2">
      <c r="B9106" s="10"/>
    </row>
    <row r="9107" spans="2:2" x14ac:dyDescent="0.2">
      <c r="B9107" s="10"/>
    </row>
    <row r="9108" spans="2:2" x14ac:dyDescent="0.2">
      <c r="B9108" s="10"/>
    </row>
    <row r="9109" spans="2:2" x14ac:dyDescent="0.2">
      <c r="B9109" s="10"/>
    </row>
    <row r="9110" spans="2:2" x14ac:dyDescent="0.2">
      <c r="B9110" s="10"/>
    </row>
    <row r="9111" spans="2:2" x14ac:dyDescent="0.2">
      <c r="B9111" s="10"/>
    </row>
    <row r="9112" spans="2:2" x14ac:dyDescent="0.2">
      <c r="B9112" s="10"/>
    </row>
    <row r="9113" spans="2:2" x14ac:dyDescent="0.2">
      <c r="B9113" s="10"/>
    </row>
    <row r="9114" spans="2:2" x14ac:dyDescent="0.2">
      <c r="B9114" s="10"/>
    </row>
    <row r="9115" spans="2:2" x14ac:dyDescent="0.2">
      <c r="B9115" s="10"/>
    </row>
    <row r="9116" spans="2:2" x14ac:dyDescent="0.2">
      <c r="B9116" s="10"/>
    </row>
    <row r="9117" spans="2:2" x14ac:dyDescent="0.2">
      <c r="B9117" s="10"/>
    </row>
    <row r="9118" spans="2:2" x14ac:dyDescent="0.2">
      <c r="B9118" s="10"/>
    </row>
    <row r="9119" spans="2:2" x14ac:dyDescent="0.2">
      <c r="B9119" s="10"/>
    </row>
    <row r="9120" spans="2:2" x14ac:dyDescent="0.2">
      <c r="B9120" s="10"/>
    </row>
    <row r="9121" spans="2:2" x14ac:dyDescent="0.2">
      <c r="B9121" s="10"/>
    </row>
    <row r="9122" spans="2:2" x14ac:dyDescent="0.2">
      <c r="B9122" s="10"/>
    </row>
    <row r="9123" spans="2:2" x14ac:dyDescent="0.2">
      <c r="B9123" s="10"/>
    </row>
    <row r="9124" spans="2:2" x14ac:dyDescent="0.2">
      <c r="B9124" s="10"/>
    </row>
    <row r="9125" spans="2:2" x14ac:dyDescent="0.2">
      <c r="B9125" s="10"/>
    </row>
    <row r="9126" spans="2:2" x14ac:dyDescent="0.2">
      <c r="B9126" s="10"/>
    </row>
    <row r="9127" spans="2:2" x14ac:dyDescent="0.2">
      <c r="B9127" s="10"/>
    </row>
    <row r="9128" spans="2:2" x14ac:dyDescent="0.2">
      <c r="B9128" s="10"/>
    </row>
    <row r="9129" spans="2:2" x14ac:dyDescent="0.2">
      <c r="B9129" s="10"/>
    </row>
    <row r="9130" spans="2:2" x14ac:dyDescent="0.2">
      <c r="B9130" s="10"/>
    </row>
    <row r="9131" spans="2:2" x14ac:dyDescent="0.2">
      <c r="B9131" s="10"/>
    </row>
    <row r="9132" spans="2:2" x14ac:dyDescent="0.2">
      <c r="B9132" s="10"/>
    </row>
    <row r="9133" spans="2:2" x14ac:dyDescent="0.2">
      <c r="B9133" s="10"/>
    </row>
    <row r="9134" spans="2:2" x14ac:dyDescent="0.2">
      <c r="B9134" s="10"/>
    </row>
    <row r="9135" spans="2:2" x14ac:dyDescent="0.2">
      <c r="B9135" s="10"/>
    </row>
    <row r="9136" spans="2:2" x14ac:dyDescent="0.2">
      <c r="B9136" s="10"/>
    </row>
    <row r="9137" spans="2:2" x14ac:dyDescent="0.2">
      <c r="B9137" s="10"/>
    </row>
    <row r="9138" spans="2:2" x14ac:dyDescent="0.2">
      <c r="B9138" s="10"/>
    </row>
    <row r="9139" spans="2:2" x14ac:dyDescent="0.2">
      <c r="B9139" s="10"/>
    </row>
    <row r="9140" spans="2:2" x14ac:dyDescent="0.2">
      <c r="B9140" s="10"/>
    </row>
    <row r="9141" spans="2:2" x14ac:dyDescent="0.2">
      <c r="B9141" s="10"/>
    </row>
    <row r="9142" spans="2:2" x14ac:dyDescent="0.2">
      <c r="B9142" s="10"/>
    </row>
    <row r="9143" spans="2:2" x14ac:dyDescent="0.2">
      <c r="B9143" s="10"/>
    </row>
    <row r="9144" spans="2:2" x14ac:dyDescent="0.2">
      <c r="B9144" s="10"/>
    </row>
    <row r="9145" spans="2:2" x14ac:dyDescent="0.2">
      <c r="B9145" s="10"/>
    </row>
    <row r="9146" spans="2:2" x14ac:dyDescent="0.2">
      <c r="B9146" s="10"/>
    </row>
    <row r="9147" spans="2:2" x14ac:dyDescent="0.2">
      <c r="B9147" s="10"/>
    </row>
    <row r="9148" spans="2:2" x14ac:dyDescent="0.2">
      <c r="B9148" s="10"/>
    </row>
    <row r="9149" spans="2:2" x14ac:dyDescent="0.2">
      <c r="B9149" s="10"/>
    </row>
    <row r="9150" spans="2:2" x14ac:dyDescent="0.2">
      <c r="B9150" s="10"/>
    </row>
    <row r="9151" spans="2:2" x14ac:dyDescent="0.2">
      <c r="B9151" s="10"/>
    </row>
    <row r="9152" spans="2:2" x14ac:dyDescent="0.2">
      <c r="B9152" s="10"/>
    </row>
    <row r="9153" spans="2:2" x14ac:dyDescent="0.2">
      <c r="B9153" s="10"/>
    </row>
    <row r="9154" spans="2:2" x14ac:dyDescent="0.2">
      <c r="B9154" s="10"/>
    </row>
    <row r="9155" spans="2:2" x14ac:dyDescent="0.2">
      <c r="B9155" s="10"/>
    </row>
    <row r="9156" spans="2:2" x14ac:dyDescent="0.2">
      <c r="B9156" s="10"/>
    </row>
    <row r="9157" spans="2:2" x14ac:dyDescent="0.2">
      <c r="B9157" s="10"/>
    </row>
    <row r="9158" spans="2:2" x14ac:dyDescent="0.2">
      <c r="B9158" s="10"/>
    </row>
    <row r="9159" spans="2:2" x14ac:dyDescent="0.2">
      <c r="B9159" s="10"/>
    </row>
    <row r="9160" spans="2:2" x14ac:dyDescent="0.2">
      <c r="B9160" s="10"/>
    </row>
    <row r="9161" spans="2:2" x14ac:dyDescent="0.2">
      <c r="B9161" s="10"/>
    </row>
    <row r="9162" spans="2:2" x14ac:dyDescent="0.2">
      <c r="B9162" s="10"/>
    </row>
    <row r="9163" spans="2:2" x14ac:dyDescent="0.2">
      <c r="B9163" s="10"/>
    </row>
    <row r="9164" spans="2:2" x14ac:dyDescent="0.2">
      <c r="B9164" s="10"/>
    </row>
    <row r="9165" spans="2:2" x14ac:dyDescent="0.2">
      <c r="B9165" s="10"/>
    </row>
    <row r="9166" spans="2:2" x14ac:dyDescent="0.2">
      <c r="B9166" s="10"/>
    </row>
    <row r="9167" spans="2:2" x14ac:dyDescent="0.2">
      <c r="B9167" s="10"/>
    </row>
    <row r="9168" spans="2:2" x14ac:dyDescent="0.2">
      <c r="B9168" s="10"/>
    </row>
    <row r="9169" spans="2:2" x14ac:dyDescent="0.2">
      <c r="B9169" s="10"/>
    </row>
    <row r="9170" spans="2:2" x14ac:dyDescent="0.2">
      <c r="B9170" s="10"/>
    </row>
    <row r="9171" spans="2:2" x14ac:dyDescent="0.2">
      <c r="B9171" s="10"/>
    </row>
    <row r="9172" spans="2:2" x14ac:dyDescent="0.2">
      <c r="B9172" s="10"/>
    </row>
    <row r="9173" spans="2:2" x14ac:dyDescent="0.2">
      <c r="B9173" s="10"/>
    </row>
    <row r="9174" spans="2:2" x14ac:dyDescent="0.2">
      <c r="B9174" s="10"/>
    </row>
    <row r="9175" spans="2:2" x14ac:dyDescent="0.2">
      <c r="B9175" s="10"/>
    </row>
    <row r="9176" spans="2:2" x14ac:dyDescent="0.2">
      <c r="B9176" s="10"/>
    </row>
    <row r="9177" spans="2:2" x14ac:dyDescent="0.2">
      <c r="B9177" s="10"/>
    </row>
    <row r="9178" spans="2:2" x14ac:dyDescent="0.2">
      <c r="B9178" s="10"/>
    </row>
    <row r="9179" spans="2:2" x14ac:dyDescent="0.2">
      <c r="B9179" s="10"/>
    </row>
    <row r="9180" spans="2:2" x14ac:dyDescent="0.2">
      <c r="B9180" s="10"/>
    </row>
    <row r="9181" spans="2:2" x14ac:dyDescent="0.2">
      <c r="B9181" s="10"/>
    </row>
    <row r="9182" spans="2:2" x14ac:dyDescent="0.2">
      <c r="B9182" s="10"/>
    </row>
    <row r="9183" spans="2:2" x14ac:dyDescent="0.2">
      <c r="B9183" s="10"/>
    </row>
    <row r="9184" spans="2:2" x14ac:dyDescent="0.2">
      <c r="B9184" s="10"/>
    </row>
    <row r="9185" spans="2:2" x14ac:dyDescent="0.2">
      <c r="B9185" s="10"/>
    </row>
    <row r="9186" spans="2:2" x14ac:dyDescent="0.2">
      <c r="B9186" s="10"/>
    </row>
    <row r="9187" spans="2:2" x14ac:dyDescent="0.2">
      <c r="B9187" s="10"/>
    </row>
    <row r="9188" spans="2:2" x14ac:dyDescent="0.2">
      <c r="B9188" s="10"/>
    </row>
    <row r="9189" spans="2:2" x14ac:dyDescent="0.2">
      <c r="B9189" s="10"/>
    </row>
    <row r="9190" spans="2:2" x14ac:dyDescent="0.2">
      <c r="B9190" s="10"/>
    </row>
    <row r="9191" spans="2:2" x14ac:dyDescent="0.2">
      <c r="B9191" s="10"/>
    </row>
    <row r="9192" spans="2:2" x14ac:dyDescent="0.2">
      <c r="B9192" s="10"/>
    </row>
    <row r="9193" spans="2:2" x14ac:dyDescent="0.2">
      <c r="B9193" s="10"/>
    </row>
    <row r="9194" spans="2:2" x14ac:dyDescent="0.2">
      <c r="B9194" s="10"/>
    </row>
    <row r="9195" spans="2:2" x14ac:dyDescent="0.2">
      <c r="B9195" s="10"/>
    </row>
    <row r="9196" spans="2:2" x14ac:dyDescent="0.2">
      <c r="B9196" s="10"/>
    </row>
    <row r="9197" spans="2:2" x14ac:dyDescent="0.2">
      <c r="B9197" s="10"/>
    </row>
    <row r="9198" spans="2:2" x14ac:dyDescent="0.2">
      <c r="B9198" s="10"/>
    </row>
    <row r="9199" spans="2:2" x14ac:dyDescent="0.2">
      <c r="B9199" s="10"/>
    </row>
    <row r="9200" spans="2:2" x14ac:dyDescent="0.2">
      <c r="B9200" s="10"/>
    </row>
    <row r="9201" spans="2:2" x14ac:dyDescent="0.2">
      <c r="B9201" s="10"/>
    </row>
    <row r="9202" spans="2:2" x14ac:dyDescent="0.2">
      <c r="B9202" s="10"/>
    </row>
    <row r="9203" spans="2:2" x14ac:dyDescent="0.2">
      <c r="B9203" s="10"/>
    </row>
    <row r="9204" spans="2:2" x14ac:dyDescent="0.2">
      <c r="B9204" s="10"/>
    </row>
    <row r="9205" spans="2:2" x14ac:dyDescent="0.2">
      <c r="B9205" s="10"/>
    </row>
    <row r="9206" spans="2:2" x14ac:dyDescent="0.2">
      <c r="B9206" s="10"/>
    </row>
    <row r="9207" spans="2:2" x14ac:dyDescent="0.2">
      <c r="B9207" s="10"/>
    </row>
    <row r="9208" spans="2:2" x14ac:dyDescent="0.2">
      <c r="B9208" s="10"/>
    </row>
    <row r="9209" spans="2:2" x14ac:dyDescent="0.2">
      <c r="B9209" s="10"/>
    </row>
    <row r="9210" spans="2:2" x14ac:dyDescent="0.2">
      <c r="B9210" s="10"/>
    </row>
    <row r="9211" spans="2:2" x14ac:dyDescent="0.2">
      <c r="B9211" s="10"/>
    </row>
    <row r="9212" spans="2:2" x14ac:dyDescent="0.2">
      <c r="B9212" s="10"/>
    </row>
    <row r="9213" spans="2:2" x14ac:dyDescent="0.2">
      <c r="B9213" s="10"/>
    </row>
    <row r="9214" spans="2:2" x14ac:dyDescent="0.2">
      <c r="B9214" s="10"/>
    </row>
    <row r="9215" spans="2:2" x14ac:dyDescent="0.2">
      <c r="B9215" s="10"/>
    </row>
    <row r="9216" spans="2:2" x14ac:dyDescent="0.2">
      <c r="B9216" s="10"/>
    </row>
    <row r="9217" spans="2:2" x14ac:dyDescent="0.2">
      <c r="B9217" s="10"/>
    </row>
    <row r="9218" spans="2:2" x14ac:dyDescent="0.2">
      <c r="B9218" s="10"/>
    </row>
    <row r="9219" spans="2:2" x14ac:dyDescent="0.2">
      <c r="B9219" s="10"/>
    </row>
    <row r="9220" spans="2:2" x14ac:dyDescent="0.2">
      <c r="B9220" s="10"/>
    </row>
    <row r="9221" spans="2:2" x14ac:dyDescent="0.2">
      <c r="B9221" s="10"/>
    </row>
    <row r="9222" spans="2:2" x14ac:dyDescent="0.2">
      <c r="B9222" s="10"/>
    </row>
    <row r="9223" spans="2:2" x14ac:dyDescent="0.2">
      <c r="B9223" s="10"/>
    </row>
    <row r="9224" spans="2:2" x14ac:dyDescent="0.2">
      <c r="B9224" s="10"/>
    </row>
    <row r="9225" spans="2:2" x14ac:dyDescent="0.2">
      <c r="B9225" s="10"/>
    </row>
    <row r="9226" spans="2:2" x14ac:dyDescent="0.2">
      <c r="B9226" s="10"/>
    </row>
    <row r="9227" spans="2:2" x14ac:dyDescent="0.2">
      <c r="B9227" s="10"/>
    </row>
    <row r="9228" spans="2:2" x14ac:dyDescent="0.2">
      <c r="B9228" s="10"/>
    </row>
    <row r="9229" spans="2:2" x14ac:dyDescent="0.2">
      <c r="B9229" s="10"/>
    </row>
    <row r="9230" spans="2:2" x14ac:dyDescent="0.2">
      <c r="B9230" s="10"/>
    </row>
    <row r="9231" spans="2:2" x14ac:dyDescent="0.2">
      <c r="B9231" s="10"/>
    </row>
    <row r="9232" spans="2:2" x14ac:dyDescent="0.2">
      <c r="B9232" s="10"/>
    </row>
    <row r="9233" spans="2:2" x14ac:dyDescent="0.2">
      <c r="B9233" s="10"/>
    </row>
    <row r="9234" spans="2:2" x14ac:dyDescent="0.2">
      <c r="B9234" s="10"/>
    </row>
    <row r="9235" spans="2:2" x14ac:dyDescent="0.2">
      <c r="B9235" s="10"/>
    </row>
    <row r="9236" spans="2:2" x14ac:dyDescent="0.2">
      <c r="B9236" s="10"/>
    </row>
    <row r="9237" spans="2:2" x14ac:dyDescent="0.2">
      <c r="B9237" s="10"/>
    </row>
    <row r="9238" spans="2:2" x14ac:dyDescent="0.2">
      <c r="B9238" s="10"/>
    </row>
    <row r="9239" spans="2:2" x14ac:dyDescent="0.2">
      <c r="B9239" s="10"/>
    </row>
    <row r="9240" spans="2:2" x14ac:dyDescent="0.2">
      <c r="B9240" s="10"/>
    </row>
    <row r="9241" spans="2:2" x14ac:dyDescent="0.2">
      <c r="B9241" s="10"/>
    </row>
    <row r="9242" spans="2:2" x14ac:dyDescent="0.2">
      <c r="B9242" s="10"/>
    </row>
    <row r="9243" spans="2:2" x14ac:dyDescent="0.2">
      <c r="B9243" s="10"/>
    </row>
    <row r="9244" spans="2:2" x14ac:dyDescent="0.2">
      <c r="B9244" s="10"/>
    </row>
    <row r="9245" spans="2:2" x14ac:dyDescent="0.2">
      <c r="B9245" s="10"/>
    </row>
    <row r="9246" spans="2:2" x14ac:dyDescent="0.2">
      <c r="B9246" s="10"/>
    </row>
    <row r="9247" spans="2:2" x14ac:dyDescent="0.2">
      <c r="B9247" s="10"/>
    </row>
    <row r="9248" spans="2:2" x14ac:dyDescent="0.2">
      <c r="B9248" s="10"/>
    </row>
    <row r="9249" spans="2:2" x14ac:dyDescent="0.2">
      <c r="B9249" s="10"/>
    </row>
    <row r="9250" spans="2:2" x14ac:dyDescent="0.2">
      <c r="B9250" s="10"/>
    </row>
    <row r="9251" spans="2:2" x14ac:dyDescent="0.2">
      <c r="B9251" s="10"/>
    </row>
    <row r="9252" spans="2:2" x14ac:dyDescent="0.2">
      <c r="B9252" s="10"/>
    </row>
    <row r="9253" spans="2:2" x14ac:dyDescent="0.2">
      <c r="B9253" s="10"/>
    </row>
    <row r="9254" spans="2:2" x14ac:dyDescent="0.2">
      <c r="B9254" s="10"/>
    </row>
    <row r="9255" spans="2:2" x14ac:dyDescent="0.2">
      <c r="B9255" s="10"/>
    </row>
    <row r="9256" spans="2:2" x14ac:dyDescent="0.2">
      <c r="B9256" s="10"/>
    </row>
    <row r="9257" spans="2:2" x14ac:dyDescent="0.2">
      <c r="B9257" s="10"/>
    </row>
    <row r="9258" spans="2:2" x14ac:dyDescent="0.2">
      <c r="B9258" s="10"/>
    </row>
    <row r="9259" spans="2:2" x14ac:dyDescent="0.2">
      <c r="B9259" s="10"/>
    </row>
    <row r="9260" spans="2:2" x14ac:dyDescent="0.2">
      <c r="B9260" s="10"/>
    </row>
    <row r="9261" spans="2:2" x14ac:dyDescent="0.2">
      <c r="B9261" s="10"/>
    </row>
    <row r="9262" spans="2:2" x14ac:dyDescent="0.2">
      <c r="B9262" s="10"/>
    </row>
    <row r="9263" spans="2:2" x14ac:dyDescent="0.2">
      <c r="B9263" s="10"/>
    </row>
    <row r="9264" spans="2:2" x14ac:dyDescent="0.2">
      <c r="B9264" s="10"/>
    </row>
    <row r="9265" spans="2:2" x14ac:dyDescent="0.2">
      <c r="B9265" s="10"/>
    </row>
    <row r="9266" spans="2:2" x14ac:dyDescent="0.2">
      <c r="B9266" s="10"/>
    </row>
    <row r="9267" spans="2:2" x14ac:dyDescent="0.2">
      <c r="B9267" s="10"/>
    </row>
    <row r="9268" spans="2:2" x14ac:dyDescent="0.2">
      <c r="B9268" s="10"/>
    </row>
    <row r="9269" spans="2:2" x14ac:dyDescent="0.2">
      <c r="B9269" s="10"/>
    </row>
    <row r="9270" spans="2:2" x14ac:dyDescent="0.2">
      <c r="B9270" s="10"/>
    </row>
    <row r="9271" spans="2:2" x14ac:dyDescent="0.2">
      <c r="B9271" s="10"/>
    </row>
    <row r="9272" spans="2:2" x14ac:dyDescent="0.2">
      <c r="B9272" s="10"/>
    </row>
    <row r="9273" spans="2:2" x14ac:dyDescent="0.2">
      <c r="B9273" s="10"/>
    </row>
    <row r="9274" spans="2:2" x14ac:dyDescent="0.2">
      <c r="B9274" s="10"/>
    </row>
    <row r="9275" spans="2:2" x14ac:dyDescent="0.2">
      <c r="B9275" s="10"/>
    </row>
    <row r="9276" spans="2:2" x14ac:dyDescent="0.2">
      <c r="B9276" s="10"/>
    </row>
    <row r="9277" spans="2:2" x14ac:dyDescent="0.2">
      <c r="B9277" s="10"/>
    </row>
    <row r="9278" spans="2:2" x14ac:dyDescent="0.2">
      <c r="B9278" s="10"/>
    </row>
    <row r="9279" spans="2:2" x14ac:dyDescent="0.2">
      <c r="B9279" s="10"/>
    </row>
    <row r="9280" spans="2:2" x14ac:dyDescent="0.2">
      <c r="B9280" s="10"/>
    </row>
    <row r="9281" spans="2:2" x14ac:dyDescent="0.2">
      <c r="B9281" s="10"/>
    </row>
    <row r="9282" spans="2:2" x14ac:dyDescent="0.2">
      <c r="B9282" s="10"/>
    </row>
    <row r="9283" spans="2:2" x14ac:dyDescent="0.2">
      <c r="B9283" s="10"/>
    </row>
    <row r="9284" spans="2:2" x14ac:dyDescent="0.2">
      <c r="B9284" s="10"/>
    </row>
    <row r="9285" spans="2:2" x14ac:dyDescent="0.2">
      <c r="B9285" s="10"/>
    </row>
    <row r="9286" spans="2:2" x14ac:dyDescent="0.2">
      <c r="B9286" s="10"/>
    </row>
    <row r="9287" spans="2:2" x14ac:dyDescent="0.2">
      <c r="B9287" s="10"/>
    </row>
    <row r="9288" spans="2:2" x14ac:dyDescent="0.2">
      <c r="B9288" s="10"/>
    </row>
    <row r="9289" spans="2:2" x14ac:dyDescent="0.2">
      <c r="B9289" s="10"/>
    </row>
    <row r="9290" spans="2:2" x14ac:dyDescent="0.2">
      <c r="B9290" s="10"/>
    </row>
    <row r="9291" spans="2:2" x14ac:dyDescent="0.2">
      <c r="B9291" s="10"/>
    </row>
    <row r="9292" spans="2:2" x14ac:dyDescent="0.2">
      <c r="B9292" s="10"/>
    </row>
    <row r="9293" spans="2:2" x14ac:dyDescent="0.2">
      <c r="B9293" s="10"/>
    </row>
    <row r="9294" spans="2:2" x14ac:dyDescent="0.2">
      <c r="B9294" s="10"/>
    </row>
    <row r="9295" spans="2:2" x14ac:dyDescent="0.2">
      <c r="B9295" s="10"/>
    </row>
    <row r="9296" spans="2:2" x14ac:dyDescent="0.2">
      <c r="B9296" s="10"/>
    </row>
    <row r="9297" spans="2:2" x14ac:dyDescent="0.2">
      <c r="B9297" s="10"/>
    </row>
    <row r="9298" spans="2:2" x14ac:dyDescent="0.2">
      <c r="B9298" s="10"/>
    </row>
    <row r="9299" spans="2:2" x14ac:dyDescent="0.2">
      <c r="B9299" s="10"/>
    </row>
    <row r="9300" spans="2:2" x14ac:dyDescent="0.2">
      <c r="B9300" s="10"/>
    </row>
    <row r="9301" spans="2:2" x14ac:dyDescent="0.2">
      <c r="B9301" s="10"/>
    </row>
    <row r="9302" spans="2:2" x14ac:dyDescent="0.2">
      <c r="B9302" s="10"/>
    </row>
    <row r="9303" spans="2:2" x14ac:dyDescent="0.2">
      <c r="B9303" s="10"/>
    </row>
    <row r="9304" spans="2:2" x14ac:dyDescent="0.2">
      <c r="B9304" s="10"/>
    </row>
    <row r="9305" spans="2:2" x14ac:dyDescent="0.2">
      <c r="B9305" s="10"/>
    </row>
    <row r="9306" spans="2:2" x14ac:dyDescent="0.2">
      <c r="B9306" s="10"/>
    </row>
    <row r="9307" spans="2:2" x14ac:dyDescent="0.2">
      <c r="B9307" s="10"/>
    </row>
    <row r="9308" spans="2:2" x14ac:dyDescent="0.2">
      <c r="B9308" s="10"/>
    </row>
    <row r="9309" spans="2:2" x14ac:dyDescent="0.2">
      <c r="B9309" s="10"/>
    </row>
    <row r="9310" spans="2:2" x14ac:dyDescent="0.2">
      <c r="B9310" s="10"/>
    </row>
    <row r="9311" spans="2:2" x14ac:dyDescent="0.2">
      <c r="B9311" s="10"/>
    </row>
    <row r="9312" spans="2:2" x14ac:dyDescent="0.2">
      <c r="B9312" s="10"/>
    </row>
    <row r="9313" spans="2:2" x14ac:dyDescent="0.2">
      <c r="B9313" s="10"/>
    </row>
    <row r="9314" spans="2:2" x14ac:dyDescent="0.2">
      <c r="B9314" s="10"/>
    </row>
    <row r="9315" spans="2:2" x14ac:dyDescent="0.2">
      <c r="B9315" s="10"/>
    </row>
    <row r="9316" spans="2:2" x14ac:dyDescent="0.2">
      <c r="B9316" s="10"/>
    </row>
    <row r="9317" spans="2:2" x14ac:dyDescent="0.2">
      <c r="B9317" s="10"/>
    </row>
    <row r="9318" spans="2:2" x14ac:dyDescent="0.2">
      <c r="B9318" s="10"/>
    </row>
    <row r="9319" spans="2:2" x14ac:dyDescent="0.2">
      <c r="B9319" s="10"/>
    </row>
    <row r="9320" spans="2:2" x14ac:dyDescent="0.2">
      <c r="B9320" s="10"/>
    </row>
    <row r="9321" spans="2:2" x14ac:dyDescent="0.2">
      <c r="B9321" s="10"/>
    </row>
    <row r="9322" spans="2:2" x14ac:dyDescent="0.2">
      <c r="B9322" s="10"/>
    </row>
    <row r="9323" spans="2:2" x14ac:dyDescent="0.2">
      <c r="B9323" s="10"/>
    </row>
    <row r="9324" spans="2:2" x14ac:dyDescent="0.2">
      <c r="B9324" s="10"/>
    </row>
    <row r="9325" spans="2:2" x14ac:dyDescent="0.2">
      <c r="B9325" s="10"/>
    </row>
    <row r="9326" spans="2:2" x14ac:dyDescent="0.2">
      <c r="B9326" s="10"/>
    </row>
    <row r="9327" spans="2:2" x14ac:dyDescent="0.2">
      <c r="B9327" s="10"/>
    </row>
    <row r="9328" spans="2:2" x14ac:dyDescent="0.2">
      <c r="B9328" s="10"/>
    </row>
    <row r="9329" spans="2:2" x14ac:dyDescent="0.2">
      <c r="B9329" s="10"/>
    </row>
    <row r="9330" spans="2:2" x14ac:dyDescent="0.2">
      <c r="B9330" s="10"/>
    </row>
    <row r="9331" spans="2:2" x14ac:dyDescent="0.2">
      <c r="B9331" s="10"/>
    </row>
    <row r="9332" spans="2:2" x14ac:dyDescent="0.2">
      <c r="B9332" s="10"/>
    </row>
    <row r="9333" spans="2:2" x14ac:dyDescent="0.2">
      <c r="B9333" s="10"/>
    </row>
    <row r="9334" spans="2:2" x14ac:dyDescent="0.2">
      <c r="B9334" s="10"/>
    </row>
    <row r="9335" spans="2:2" x14ac:dyDescent="0.2">
      <c r="B9335" s="10"/>
    </row>
    <row r="9336" spans="2:2" x14ac:dyDescent="0.2">
      <c r="B9336" s="10"/>
    </row>
    <row r="9337" spans="2:2" x14ac:dyDescent="0.2">
      <c r="B9337" s="10"/>
    </row>
    <row r="9338" spans="2:2" x14ac:dyDescent="0.2">
      <c r="B9338" s="10"/>
    </row>
    <row r="9339" spans="2:2" x14ac:dyDescent="0.2">
      <c r="B9339" s="10"/>
    </row>
    <row r="9340" spans="2:2" x14ac:dyDescent="0.2">
      <c r="B9340" s="10"/>
    </row>
    <row r="9341" spans="2:2" x14ac:dyDescent="0.2">
      <c r="B9341" s="10"/>
    </row>
    <row r="9342" spans="2:2" x14ac:dyDescent="0.2">
      <c r="B9342" s="10"/>
    </row>
    <row r="9343" spans="2:2" x14ac:dyDescent="0.2">
      <c r="B9343" s="10"/>
    </row>
    <row r="9344" spans="2:2" x14ac:dyDescent="0.2">
      <c r="B9344" s="10"/>
    </row>
    <row r="9345" spans="2:2" x14ac:dyDescent="0.2">
      <c r="B9345" s="10"/>
    </row>
    <row r="9346" spans="2:2" x14ac:dyDescent="0.2">
      <c r="B9346" s="10"/>
    </row>
    <row r="9347" spans="2:2" x14ac:dyDescent="0.2">
      <c r="B9347" s="10"/>
    </row>
    <row r="9348" spans="2:2" x14ac:dyDescent="0.2">
      <c r="B9348" s="10"/>
    </row>
    <row r="9349" spans="2:2" x14ac:dyDescent="0.2">
      <c r="B9349" s="10"/>
    </row>
    <row r="9350" spans="2:2" x14ac:dyDescent="0.2">
      <c r="B9350" s="10"/>
    </row>
    <row r="9351" spans="2:2" x14ac:dyDescent="0.2">
      <c r="B9351" s="10"/>
    </row>
    <row r="9352" spans="2:2" x14ac:dyDescent="0.2">
      <c r="B9352" s="10"/>
    </row>
    <row r="9353" spans="2:2" x14ac:dyDescent="0.2">
      <c r="B9353" s="10"/>
    </row>
    <row r="9354" spans="2:2" x14ac:dyDescent="0.2">
      <c r="B9354" s="10"/>
    </row>
    <row r="9355" spans="2:2" x14ac:dyDescent="0.2">
      <c r="B9355" s="10"/>
    </row>
    <row r="9356" spans="2:2" x14ac:dyDescent="0.2">
      <c r="B9356" s="10"/>
    </row>
    <row r="9357" spans="2:2" x14ac:dyDescent="0.2">
      <c r="B9357" s="10"/>
    </row>
    <row r="9358" spans="2:2" x14ac:dyDescent="0.2">
      <c r="B9358" s="10"/>
    </row>
    <row r="9359" spans="2:2" x14ac:dyDescent="0.2">
      <c r="B9359" s="10"/>
    </row>
    <row r="9360" spans="2:2" x14ac:dyDescent="0.2">
      <c r="B9360" s="10"/>
    </row>
    <row r="9361" spans="2:2" x14ac:dyDescent="0.2">
      <c r="B9361" s="10"/>
    </row>
    <row r="9362" spans="2:2" x14ac:dyDescent="0.2">
      <c r="B9362" s="10"/>
    </row>
    <row r="9363" spans="2:2" x14ac:dyDescent="0.2">
      <c r="B9363" s="10"/>
    </row>
    <row r="9364" spans="2:2" x14ac:dyDescent="0.2">
      <c r="B9364" s="10"/>
    </row>
    <row r="9365" spans="2:2" x14ac:dyDescent="0.2">
      <c r="B9365" s="10"/>
    </row>
    <row r="9366" spans="2:2" x14ac:dyDescent="0.2">
      <c r="B9366" s="10"/>
    </row>
    <row r="9367" spans="2:2" x14ac:dyDescent="0.2">
      <c r="B9367" s="10"/>
    </row>
    <row r="9368" spans="2:2" x14ac:dyDescent="0.2">
      <c r="B9368" s="10"/>
    </row>
    <row r="9369" spans="2:2" x14ac:dyDescent="0.2">
      <c r="B9369" s="10"/>
    </row>
    <row r="9370" spans="2:2" x14ac:dyDescent="0.2">
      <c r="B9370" s="10"/>
    </row>
    <row r="9371" spans="2:2" x14ac:dyDescent="0.2">
      <c r="B9371" s="10"/>
    </row>
    <row r="9372" spans="2:2" x14ac:dyDescent="0.2">
      <c r="B9372" s="10"/>
    </row>
    <row r="9373" spans="2:2" x14ac:dyDescent="0.2">
      <c r="B9373" s="10"/>
    </row>
    <row r="9374" spans="2:2" x14ac:dyDescent="0.2">
      <c r="B9374" s="10"/>
    </row>
    <row r="9375" spans="2:2" x14ac:dyDescent="0.2">
      <c r="B9375" s="10"/>
    </row>
    <row r="9376" spans="2:2" x14ac:dyDescent="0.2">
      <c r="B9376" s="10"/>
    </row>
    <row r="9377" spans="2:2" x14ac:dyDescent="0.2">
      <c r="B9377" s="10"/>
    </row>
    <row r="9378" spans="2:2" x14ac:dyDescent="0.2">
      <c r="B9378" s="10"/>
    </row>
    <row r="9379" spans="2:2" x14ac:dyDescent="0.2">
      <c r="B9379" s="10"/>
    </row>
    <row r="9380" spans="2:2" x14ac:dyDescent="0.2">
      <c r="B9380" s="10"/>
    </row>
    <row r="9381" spans="2:2" x14ac:dyDescent="0.2">
      <c r="B9381" s="10"/>
    </row>
    <row r="9382" spans="2:2" x14ac:dyDescent="0.2">
      <c r="B9382" s="10"/>
    </row>
    <row r="9383" spans="2:2" x14ac:dyDescent="0.2">
      <c r="B9383" s="10"/>
    </row>
    <row r="9384" spans="2:2" x14ac:dyDescent="0.2">
      <c r="B9384" s="10"/>
    </row>
    <row r="9385" spans="2:2" x14ac:dyDescent="0.2">
      <c r="B9385" s="10"/>
    </row>
    <row r="9386" spans="2:2" x14ac:dyDescent="0.2">
      <c r="B9386" s="10"/>
    </row>
    <row r="9387" spans="2:2" x14ac:dyDescent="0.2">
      <c r="B9387" s="10"/>
    </row>
    <row r="9388" spans="2:2" x14ac:dyDescent="0.2">
      <c r="B9388" s="10"/>
    </row>
    <row r="9389" spans="2:2" x14ac:dyDescent="0.2">
      <c r="B9389" s="10"/>
    </row>
    <row r="9390" spans="2:2" x14ac:dyDescent="0.2">
      <c r="B9390" s="10"/>
    </row>
    <row r="9391" spans="2:2" x14ac:dyDescent="0.2">
      <c r="B9391" s="10"/>
    </row>
    <row r="9392" spans="2:2" x14ac:dyDescent="0.2">
      <c r="B9392" s="10"/>
    </row>
    <row r="9393" spans="2:2" x14ac:dyDescent="0.2">
      <c r="B9393" s="10"/>
    </row>
    <row r="9394" spans="2:2" x14ac:dyDescent="0.2">
      <c r="B9394" s="10"/>
    </row>
    <row r="9395" spans="2:2" x14ac:dyDescent="0.2">
      <c r="B9395" s="10"/>
    </row>
    <row r="9396" spans="2:2" x14ac:dyDescent="0.2">
      <c r="B9396" s="10"/>
    </row>
    <row r="9397" spans="2:2" x14ac:dyDescent="0.2">
      <c r="B9397" s="10"/>
    </row>
    <row r="9398" spans="2:2" x14ac:dyDescent="0.2">
      <c r="B9398" s="10"/>
    </row>
    <row r="9399" spans="2:2" x14ac:dyDescent="0.2">
      <c r="B9399" s="10"/>
    </row>
    <row r="9400" spans="2:2" x14ac:dyDescent="0.2">
      <c r="B9400" s="10"/>
    </row>
    <row r="9401" spans="2:2" x14ac:dyDescent="0.2">
      <c r="B9401" s="10"/>
    </row>
    <row r="9402" spans="2:2" x14ac:dyDescent="0.2">
      <c r="B9402" s="10"/>
    </row>
    <row r="9403" spans="2:2" x14ac:dyDescent="0.2">
      <c r="B9403" s="10"/>
    </row>
    <row r="9404" spans="2:2" x14ac:dyDescent="0.2">
      <c r="B9404" s="10"/>
    </row>
    <row r="9405" spans="2:2" x14ac:dyDescent="0.2">
      <c r="B9405" s="10"/>
    </row>
    <row r="9406" spans="2:2" x14ac:dyDescent="0.2">
      <c r="B9406" s="10"/>
    </row>
    <row r="9407" spans="2:2" x14ac:dyDescent="0.2">
      <c r="B9407" s="10"/>
    </row>
    <row r="9408" spans="2:2" x14ac:dyDescent="0.2">
      <c r="B9408" s="10"/>
    </row>
    <row r="9409" spans="2:2" x14ac:dyDescent="0.2">
      <c r="B9409" s="10"/>
    </row>
    <row r="9410" spans="2:2" x14ac:dyDescent="0.2">
      <c r="B9410" s="10"/>
    </row>
    <row r="9411" spans="2:2" x14ac:dyDescent="0.2">
      <c r="B9411" s="10"/>
    </row>
    <row r="9412" spans="2:2" x14ac:dyDescent="0.2">
      <c r="B9412" s="10"/>
    </row>
    <row r="9413" spans="2:2" x14ac:dyDescent="0.2">
      <c r="B9413" s="10"/>
    </row>
    <row r="9414" spans="2:2" x14ac:dyDescent="0.2">
      <c r="B9414" s="10"/>
    </row>
    <row r="9415" spans="2:2" x14ac:dyDescent="0.2">
      <c r="B9415" s="10"/>
    </row>
    <row r="9416" spans="2:2" x14ac:dyDescent="0.2">
      <c r="B9416" s="10"/>
    </row>
    <row r="9417" spans="2:2" x14ac:dyDescent="0.2">
      <c r="B9417" s="10"/>
    </row>
    <row r="9418" spans="2:2" x14ac:dyDescent="0.2">
      <c r="B9418" s="10"/>
    </row>
    <row r="9419" spans="2:2" x14ac:dyDescent="0.2">
      <c r="B9419" s="10"/>
    </row>
    <row r="9420" spans="2:2" x14ac:dyDescent="0.2">
      <c r="B9420" s="10"/>
    </row>
    <row r="9421" spans="2:2" x14ac:dyDescent="0.2">
      <c r="B9421" s="10"/>
    </row>
    <row r="9422" spans="2:2" x14ac:dyDescent="0.2">
      <c r="B9422" s="10"/>
    </row>
    <row r="9423" spans="2:2" x14ac:dyDescent="0.2">
      <c r="B9423" s="10"/>
    </row>
    <row r="9424" spans="2:2" x14ac:dyDescent="0.2">
      <c r="B9424" s="10"/>
    </row>
    <row r="9425" spans="2:2" x14ac:dyDescent="0.2">
      <c r="B9425" s="10"/>
    </row>
    <row r="9426" spans="2:2" x14ac:dyDescent="0.2">
      <c r="B9426" s="10"/>
    </row>
    <row r="9427" spans="2:2" x14ac:dyDescent="0.2">
      <c r="B9427" s="10"/>
    </row>
    <row r="9428" spans="2:2" x14ac:dyDescent="0.2">
      <c r="B9428" s="10"/>
    </row>
    <row r="9429" spans="2:2" x14ac:dyDescent="0.2">
      <c r="B9429" s="10"/>
    </row>
    <row r="9430" spans="2:2" x14ac:dyDescent="0.2">
      <c r="B9430" s="10"/>
    </row>
    <row r="9431" spans="2:2" x14ac:dyDescent="0.2">
      <c r="B9431" s="10"/>
    </row>
    <row r="9432" spans="2:2" x14ac:dyDescent="0.2">
      <c r="B9432" s="10"/>
    </row>
    <row r="9433" spans="2:2" x14ac:dyDescent="0.2">
      <c r="B9433" s="10"/>
    </row>
    <row r="9434" spans="2:2" x14ac:dyDescent="0.2">
      <c r="B9434" s="10"/>
    </row>
    <row r="9435" spans="2:2" x14ac:dyDescent="0.2">
      <c r="B9435" s="10"/>
    </row>
    <row r="9436" spans="2:2" x14ac:dyDescent="0.2">
      <c r="B9436" s="10"/>
    </row>
    <row r="9437" spans="2:2" x14ac:dyDescent="0.2">
      <c r="B9437" s="10"/>
    </row>
    <row r="9438" spans="2:2" x14ac:dyDescent="0.2">
      <c r="B9438" s="10"/>
    </row>
    <row r="9439" spans="2:2" x14ac:dyDescent="0.2">
      <c r="B9439" s="10"/>
    </row>
    <row r="9440" spans="2:2" x14ac:dyDescent="0.2">
      <c r="B9440" s="10"/>
    </row>
    <row r="9441" spans="2:2" x14ac:dyDescent="0.2">
      <c r="B9441" s="10"/>
    </row>
    <row r="9442" spans="2:2" x14ac:dyDescent="0.2">
      <c r="B9442" s="10"/>
    </row>
    <row r="9443" spans="2:2" x14ac:dyDescent="0.2">
      <c r="B9443" s="10"/>
    </row>
    <row r="9444" spans="2:2" x14ac:dyDescent="0.2">
      <c r="B9444" s="10"/>
    </row>
    <row r="9445" spans="2:2" x14ac:dyDescent="0.2">
      <c r="B9445" s="10"/>
    </row>
    <row r="9446" spans="2:2" x14ac:dyDescent="0.2">
      <c r="B9446" s="10"/>
    </row>
    <row r="9447" spans="2:2" x14ac:dyDescent="0.2">
      <c r="B9447" s="10"/>
    </row>
    <row r="9448" spans="2:2" x14ac:dyDescent="0.2">
      <c r="B9448" s="10"/>
    </row>
    <row r="9449" spans="2:2" x14ac:dyDescent="0.2">
      <c r="B9449" s="10"/>
    </row>
    <row r="9450" spans="2:2" x14ac:dyDescent="0.2">
      <c r="B9450" s="10"/>
    </row>
    <row r="9451" spans="2:2" x14ac:dyDescent="0.2">
      <c r="B9451" s="10"/>
    </row>
    <row r="9452" spans="2:2" x14ac:dyDescent="0.2">
      <c r="B9452" s="10"/>
    </row>
    <row r="9453" spans="2:2" x14ac:dyDescent="0.2">
      <c r="B9453" s="10"/>
    </row>
    <row r="9454" spans="2:2" x14ac:dyDescent="0.2">
      <c r="B9454" s="10"/>
    </row>
    <row r="9455" spans="2:2" x14ac:dyDescent="0.2">
      <c r="B9455" s="10"/>
    </row>
    <row r="9456" spans="2:2" x14ac:dyDescent="0.2">
      <c r="B9456" s="10"/>
    </row>
    <row r="9457" spans="2:2" x14ac:dyDescent="0.2">
      <c r="B9457" s="10"/>
    </row>
    <row r="9458" spans="2:2" x14ac:dyDescent="0.2">
      <c r="B9458" s="10"/>
    </row>
    <row r="9459" spans="2:2" x14ac:dyDescent="0.2">
      <c r="B9459" s="10"/>
    </row>
    <row r="9460" spans="2:2" x14ac:dyDescent="0.2">
      <c r="B9460" s="10"/>
    </row>
    <row r="9461" spans="2:2" x14ac:dyDescent="0.2">
      <c r="B9461" s="10"/>
    </row>
    <row r="9462" spans="2:2" x14ac:dyDescent="0.2">
      <c r="B9462" s="10"/>
    </row>
    <row r="9463" spans="2:2" x14ac:dyDescent="0.2">
      <c r="B9463" s="10"/>
    </row>
    <row r="9464" spans="2:2" x14ac:dyDescent="0.2">
      <c r="B9464" s="10"/>
    </row>
    <row r="9465" spans="2:2" x14ac:dyDescent="0.2">
      <c r="B9465" s="10"/>
    </row>
    <row r="9466" spans="2:2" x14ac:dyDescent="0.2">
      <c r="B9466" s="10"/>
    </row>
    <row r="9467" spans="2:2" x14ac:dyDescent="0.2">
      <c r="B9467" s="10"/>
    </row>
    <row r="9468" spans="2:2" x14ac:dyDescent="0.2">
      <c r="B9468" s="10"/>
    </row>
    <row r="9469" spans="2:2" x14ac:dyDescent="0.2">
      <c r="B9469" s="10"/>
    </row>
    <row r="9470" spans="2:2" x14ac:dyDescent="0.2">
      <c r="B9470" s="10"/>
    </row>
    <row r="9471" spans="2:2" x14ac:dyDescent="0.2">
      <c r="B9471" s="10"/>
    </row>
    <row r="9472" spans="2:2" x14ac:dyDescent="0.2">
      <c r="B9472" s="10"/>
    </row>
    <row r="9473" spans="2:2" x14ac:dyDescent="0.2">
      <c r="B9473" s="10"/>
    </row>
    <row r="9474" spans="2:2" x14ac:dyDescent="0.2">
      <c r="B9474" s="10"/>
    </row>
    <row r="9475" spans="2:2" x14ac:dyDescent="0.2">
      <c r="B9475" s="10"/>
    </row>
    <row r="9476" spans="2:2" x14ac:dyDescent="0.2">
      <c r="B9476" s="10"/>
    </row>
    <row r="9477" spans="2:2" x14ac:dyDescent="0.2">
      <c r="B9477" s="10"/>
    </row>
    <row r="9478" spans="2:2" x14ac:dyDescent="0.2">
      <c r="B9478" s="10"/>
    </row>
    <row r="9479" spans="2:2" x14ac:dyDescent="0.2">
      <c r="B9479" s="10"/>
    </row>
    <row r="9480" spans="2:2" x14ac:dyDescent="0.2">
      <c r="B9480" s="10"/>
    </row>
    <row r="9481" spans="2:2" x14ac:dyDescent="0.2">
      <c r="B9481" s="10"/>
    </row>
    <row r="9482" spans="2:2" x14ac:dyDescent="0.2">
      <c r="B9482" s="10"/>
    </row>
    <row r="9483" spans="2:2" x14ac:dyDescent="0.2">
      <c r="B9483" s="10"/>
    </row>
    <row r="9484" spans="2:2" x14ac:dyDescent="0.2">
      <c r="B9484" s="10"/>
    </row>
    <row r="9485" spans="2:2" x14ac:dyDescent="0.2">
      <c r="B9485" s="10"/>
    </row>
    <row r="9486" spans="2:2" x14ac:dyDescent="0.2">
      <c r="B9486" s="10"/>
    </row>
    <row r="9487" spans="2:2" x14ac:dyDescent="0.2">
      <c r="B9487" s="10"/>
    </row>
    <row r="9488" spans="2:2" x14ac:dyDescent="0.2">
      <c r="B9488" s="10"/>
    </row>
    <row r="9489" spans="2:2" x14ac:dyDescent="0.2">
      <c r="B9489" s="10"/>
    </row>
    <row r="9490" spans="2:2" x14ac:dyDescent="0.2">
      <c r="B9490" s="10"/>
    </row>
    <row r="9491" spans="2:2" x14ac:dyDescent="0.2">
      <c r="B9491" s="10"/>
    </row>
    <row r="9492" spans="2:2" x14ac:dyDescent="0.2">
      <c r="B9492" s="10"/>
    </row>
    <row r="9493" spans="2:2" x14ac:dyDescent="0.2">
      <c r="B9493" s="10"/>
    </row>
    <row r="9494" spans="2:2" x14ac:dyDescent="0.2">
      <c r="B9494" s="10"/>
    </row>
    <row r="9495" spans="2:2" x14ac:dyDescent="0.2">
      <c r="B9495" s="10"/>
    </row>
    <row r="9496" spans="2:2" x14ac:dyDescent="0.2">
      <c r="B9496" s="10"/>
    </row>
    <row r="9497" spans="2:2" x14ac:dyDescent="0.2">
      <c r="B9497" s="10"/>
    </row>
    <row r="9498" spans="2:2" x14ac:dyDescent="0.2">
      <c r="B9498" s="10"/>
    </row>
    <row r="9499" spans="2:2" x14ac:dyDescent="0.2">
      <c r="B9499" s="10"/>
    </row>
    <row r="9500" spans="2:2" x14ac:dyDescent="0.2">
      <c r="B9500" s="10"/>
    </row>
    <row r="9501" spans="2:2" x14ac:dyDescent="0.2">
      <c r="B9501" s="10"/>
    </row>
    <row r="9502" spans="2:2" x14ac:dyDescent="0.2">
      <c r="B9502" s="10"/>
    </row>
    <row r="9503" spans="2:2" x14ac:dyDescent="0.2">
      <c r="B9503" s="10"/>
    </row>
    <row r="9504" spans="2:2" x14ac:dyDescent="0.2">
      <c r="B9504" s="10"/>
    </row>
    <row r="9505" spans="2:2" x14ac:dyDescent="0.2">
      <c r="B9505" s="10"/>
    </row>
    <row r="9506" spans="2:2" x14ac:dyDescent="0.2">
      <c r="B9506" s="10"/>
    </row>
    <row r="9507" spans="2:2" x14ac:dyDescent="0.2">
      <c r="B9507" s="10"/>
    </row>
    <row r="9508" spans="2:2" x14ac:dyDescent="0.2">
      <c r="B9508" s="10"/>
    </row>
    <row r="9509" spans="2:2" x14ac:dyDescent="0.2">
      <c r="B9509" s="10"/>
    </row>
    <row r="9510" spans="2:2" x14ac:dyDescent="0.2">
      <c r="B9510" s="10"/>
    </row>
    <row r="9511" spans="2:2" x14ac:dyDescent="0.2">
      <c r="B9511" s="10"/>
    </row>
    <row r="9512" spans="2:2" x14ac:dyDescent="0.2">
      <c r="B9512" s="10"/>
    </row>
    <row r="9513" spans="2:2" x14ac:dyDescent="0.2">
      <c r="B9513" s="10"/>
    </row>
    <row r="9514" spans="2:2" x14ac:dyDescent="0.2">
      <c r="B9514" s="10"/>
    </row>
    <row r="9515" spans="2:2" x14ac:dyDescent="0.2">
      <c r="B9515" s="10"/>
    </row>
    <row r="9516" spans="2:2" x14ac:dyDescent="0.2">
      <c r="B9516" s="10"/>
    </row>
    <row r="9517" spans="2:2" x14ac:dyDescent="0.2">
      <c r="B9517" s="10"/>
    </row>
    <row r="9518" spans="2:2" x14ac:dyDescent="0.2">
      <c r="B9518" s="10"/>
    </row>
    <row r="9519" spans="2:2" x14ac:dyDescent="0.2">
      <c r="B9519" s="10"/>
    </row>
    <row r="9520" spans="2:2" x14ac:dyDescent="0.2">
      <c r="B9520" s="10"/>
    </row>
    <row r="9521" spans="2:2" x14ac:dyDescent="0.2">
      <c r="B9521" s="10"/>
    </row>
    <row r="9522" spans="2:2" x14ac:dyDescent="0.2">
      <c r="B9522" s="10"/>
    </row>
    <row r="9523" spans="2:2" x14ac:dyDescent="0.2">
      <c r="B9523" s="10"/>
    </row>
    <row r="9524" spans="2:2" x14ac:dyDescent="0.2">
      <c r="B9524" s="10"/>
    </row>
    <row r="9525" spans="2:2" x14ac:dyDescent="0.2">
      <c r="B9525" s="10"/>
    </row>
    <row r="9526" spans="2:2" x14ac:dyDescent="0.2">
      <c r="B9526" s="10"/>
    </row>
    <row r="9527" spans="2:2" x14ac:dyDescent="0.2">
      <c r="B9527" s="10"/>
    </row>
    <row r="9528" spans="2:2" x14ac:dyDescent="0.2">
      <c r="B9528" s="10"/>
    </row>
    <row r="9529" spans="2:2" x14ac:dyDescent="0.2">
      <c r="B9529" s="10"/>
    </row>
    <row r="9530" spans="2:2" x14ac:dyDescent="0.2">
      <c r="B9530" s="10"/>
    </row>
    <row r="9531" spans="2:2" x14ac:dyDescent="0.2">
      <c r="B9531" s="10"/>
    </row>
    <row r="9532" spans="2:2" x14ac:dyDescent="0.2">
      <c r="B9532" s="10"/>
    </row>
    <row r="9533" spans="2:2" x14ac:dyDescent="0.2">
      <c r="B9533" s="10"/>
    </row>
    <row r="9534" spans="2:2" x14ac:dyDescent="0.2">
      <c r="B9534" s="10"/>
    </row>
    <row r="9535" spans="2:2" x14ac:dyDescent="0.2">
      <c r="B9535" s="10"/>
    </row>
    <row r="9536" spans="2:2" x14ac:dyDescent="0.2">
      <c r="B9536" s="10"/>
    </row>
    <row r="9537" spans="2:2" x14ac:dyDescent="0.2">
      <c r="B9537" s="10"/>
    </row>
    <row r="9538" spans="2:2" x14ac:dyDescent="0.2">
      <c r="B9538" s="10"/>
    </row>
    <row r="9539" spans="2:2" x14ac:dyDescent="0.2">
      <c r="B9539" s="10"/>
    </row>
    <row r="9540" spans="2:2" x14ac:dyDescent="0.2">
      <c r="B9540" s="10"/>
    </row>
    <row r="9541" spans="2:2" x14ac:dyDescent="0.2">
      <c r="B9541" s="10"/>
    </row>
    <row r="9542" spans="2:2" x14ac:dyDescent="0.2">
      <c r="B9542" s="10"/>
    </row>
    <row r="9543" spans="2:2" x14ac:dyDescent="0.2">
      <c r="B9543" s="10"/>
    </row>
    <row r="9544" spans="2:2" x14ac:dyDescent="0.2">
      <c r="B9544" s="10"/>
    </row>
    <row r="9545" spans="2:2" x14ac:dyDescent="0.2">
      <c r="B9545" s="10"/>
    </row>
    <row r="9546" spans="2:2" x14ac:dyDescent="0.2">
      <c r="B9546" s="10"/>
    </row>
    <row r="9547" spans="2:2" x14ac:dyDescent="0.2">
      <c r="B9547" s="10"/>
    </row>
    <row r="9548" spans="2:2" x14ac:dyDescent="0.2">
      <c r="B9548" s="10"/>
    </row>
    <row r="9549" spans="2:2" x14ac:dyDescent="0.2">
      <c r="B9549" s="10"/>
    </row>
    <row r="9550" spans="2:2" x14ac:dyDescent="0.2">
      <c r="B9550" s="10"/>
    </row>
    <row r="9551" spans="2:2" x14ac:dyDescent="0.2">
      <c r="B9551" s="10"/>
    </row>
    <row r="9552" spans="2:2" x14ac:dyDescent="0.2">
      <c r="B9552" s="10"/>
    </row>
    <row r="9553" spans="2:2" x14ac:dyDescent="0.2">
      <c r="B9553" s="10"/>
    </row>
    <row r="9554" spans="2:2" x14ac:dyDescent="0.2">
      <c r="B9554" s="10"/>
    </row>
    <row r="9555" spans="2:2" x14ac:dyDescent="0.2">
      <c r="B9555" s="10"/>
    </row>
    <row r="9556" spans="2:2" x14ac:dyDescent="0.2">
      <c r="B9556" s="10"/>
    </row>
    <row r="9557" spans="2:2" x14ac:dyDescent="0.2">
      <c r="B9557" s="10"/>
    </row>
    <row r="9558" spans="2:2" x14ac:dyDescent="0.2">
      <c r="B9558" s="10"/>
    </row>
    <row r="9559" spans="2:2" x14ac:dyDescent="0.2">
      <c r="B9559" s="10"/>
    </row>
    <row r="9560" spans="2:2" x14ac:dyDescent="0.2">
      <c r="B9560" s="10"/>
    </row>
    <row r="9561" spans="2:2" x14ac:dyDescent="0.2">
      <c r="B9561" s="10"/>
    </row>
    <row r="9562" spans="2:2" x14ac:dyDescent="0.2">
      <c r="B9562" s="10"/>
    </row>
    <row r="9563" spans="2:2" x14ac:dyDescent="0.2">
      <c r="B9563" s="10"/>
    </row>
    <row r="9564" spans="2:2" x14ac:dyDescent="0.2">
      <c r="B9564" s="10"/>
    </row>
    <row r="9565" spans="2:2" x14ac:dyDescent="0.2">
      <c r="B9565" s="10"/>
    </row>
    <row r="9566" spans="2:2" x14ac:dyDescent="0.2">
      <c r="B9566" s="10"/>
    </row>
    <row r="9567" spans="2:2" x14ac:dyDescent="0.2">
      <c r="B9567" s="10"/>
    </row>
    <row r="9568" spans="2:2" x14ac:dyDescent="0.2">
      <c r="B9568" s="10"/>
    </row>
    <row r="9569" spans="2:2" x14ac:dyDescent="0.2">
      <c r="B9569" s="10"/>
    </row>
    <row r="9570" spans="2:2" x14ac:dyDescent="0.2">
      <c r="B9570" s="10"/>
    </row>
    <row r="9571" spans="2:2" x14ac:dyDescent="0.2">
      <c r="B9571" s="10"/>
    </row>
    <row r="9572" spans="2:2" x14ac:dyDescent="0.2">
      <c r="B9572" s="10"/>
    </row>
    <row r="9573" spans="2:2" x14ac:dyDescent="0.2">
      <c r="B9573" s="10"/>
    </row>
    <row r="9574" spans="2:2" x14ac:dyDescent="0.2">
      <c r="B9574" s="10"/>
    </row>
    <row r="9575" spans="2:2" x14ac:dyDescent="0.2">
      <c r="B9575" s="10"/>
    </row>
    <row r="9576" spans="2:2" x14ac:dyDescent="0.2">
      <c r="B9576" s="10"/>
    </row>
    <row r="9577" spans="2:2" x14ac:dyDescent="0.2">
      <c r="B9577" s="10"/>
    </row>
    <row r="9578" spans="2:2" x14ac:dyDescent="0.2">
      <c r="B9578" s="10"/>
    </row>
    <row r="9579" spans="2:2" x14ac:dyDescent="0.2">
      <c r="B9579" s="10"/>
    </row>
    <row r="9580" spans="2:2" x14ac:dyDescent="0.2">
      <c r="B9580" s="10"/>
    </row>
    <row r="9581" spans="2:2" x14ac:dyDescent="0.2">
      <c r="B9581" s="10"/>
    </row>
    <row r="9582" spans="2:2" x14ac:dyDescent="0.2">
      <c r="B9582" s="10"/>
    </row>
    <row r="9583" spans="2:2" x14ac:dyDescent="0.2">
      <c r="B9583" s="10"/>
    </row>
    <row r="9584" spans="2:2" x14ac:dyDescent="0.2">
      <c r="B9584" s="10"/>
    </row>
    <row r="9585" spans="2:2" x14ac:dyDescent="0.2">
      <c r="B9585" s="10"/>
    </row>
    <row r="9586" spans="2:2" x14ac:dyDescent="0.2">
      <c r="B9586" s="10"/>
    </row>
    <row r="9587" spans="2:2" x14ac:dyDescent="0.2">
      <c r="B9587" s="10"/>
    </row>
    <row r="9588" spans="2:2" x14ac:dyDescent="0.2">
      <c r="B9588" s="10"/>
    </row>
    <row r="9589" spans="2:2" x14ac:dyDescent="0.2">
      <c r="B9589" s="10"/>
    </row>
    <row r="9590" spans="2:2" x14ac:dyDescent="0.2">
      <c r="B9590" s="10"/>
    </row>
    <row r="9591" spans="2:2" x14ac:dyDescent="0.2">
      <c r="B9591" s="10"/>
    </row>
    <row r="9592" spans="2:2" x14ac:dyDescent="0.2">
      <c r="B9592" s="10"/>
    </row>
    <row r="9593" spans="2:2" x14ac:dyDescent="0.2">
      <c r="B9593" s="10"/>
    </row>
    <row r="9594" spans="2:2" x14ac:dyDescent="0.2">
      <c r="B9594" s="10"/>
    </row>
    <row r="9595" spans="2:2" x14ac:dyDescent="0.2">
      <c r="B9595" s="10"/>
    </row>
    <row r="9596" spans="2:2" x14ac:dyDescent="0.2">
      <c r="B9596" s="10"/>
    </row>
    <row r="9597" spans="2:2" x14ac:dyDescent="0.2">
      <c r="B9597" s="10"/>
    </row>
    <row r="9598" spans="2:2" x14ac:dyDescent="0.2">
      <c r="B9598" s="10"/>
    </row>
    <row r="9599" spans="2:2" x14ac:dyDescent="0.2">
      <c r="B9599" s="10"/>
    </row>
    <row r="9600" spans="2:2" x14ac:dyDescent="0.2">
      <c r="B9600" s="10"/>
    </row>
    <row r="9601" spans="2:2" x14ac:dyDescent="0.2">
      <c r="B9601" s="10"/>
    </row>
    <row r="9602" spans="2:2" x14ac:dyDescent="0.2">
      <c r="B9602" s="10"/>
    </row>
    <row r="9603" spans="2:2" x14ac:dyDescent="0.2">
      <c r="B9603" s="10"/>
    </row>
    <row r="9604" spans="2:2" x14ac:dyDescent="0.2">
      <c r="B9604" s="10"/>
    </row>
    <row r="9605" spans="2:2" x14ac:dyDescent="0.2">
      <c r="B9605" s="10"/>
    </row>
    <row r="9606" spans="2:2" x14ac:dyDescent="0.2">
      <c r="B9606" s="10"/>
    </row>
    <row r="9607" spans="2:2" x14ac:dyDescent="0.2">
      <c r="B9607" s="10"/>
    </row>
    <row r="9608" spans="2:2" x14ac:dyDescent="0.2">
      <c r="B9608" s="10"/>
    </row>
    <row r="9609" spans="2:2" x14ac:dyDescent="0.2">
      <c r="B9609" s="10"/>
    </row>
    <row r="9610" spans="2:2" x14ac:dyDescent="0.2">
      <c r="B9610" s="10"/>
    </row>
    <row r="9611" spans="2:2" x14ac:dyDescent="0.2">
      <c r="B9611" s="10"/>
    </row>
    <row r="9612" spans="2:2" x14ac:dyDescent="0.2">
      <c r="B9612" s="10"/>
    </row>
    <row r="9613" spans="2:2" x14ac:dyDescent="0.2">
      <c r="B9613" s="10"/>
    </row>
    <row r="9614" spans="2:2" x14ac:dyDescent="0.2">
      <c r="B9614" s="10"/>
    </row>
    <row r="9615" spans="2:2" x14ac:dyDescent="0.2">
      <c r="B9615" s="10"/>
    </row>
    <row r="9616" spans="2:2" x14ac:dyDescent="0.2">
      <c r="B9616" s="10"/>
    </row>
    <row r="9617" spans="2:2" x14ac:dyDescent="0.2">
      <c r="B9617" s="10"/>
    </row>
    <row r="9618" spans="2:2" x14ac:dyDescent="0.2">
      <c r="B9618" s="10"/>
    </row>
    <row r="9619" spans="2:2" x14ac:dyDescent="0.2">
      <c r="B9619" s="10"/>
    </row>
    <row r="9620" spans="2:2" x14ac:dyDescent="0.2">
      <c r="B9620" s="10"/>
    </row>
    <row r="9621" spans="2:2" x14ac:dyDescent="0.2">
      <c r="B9621" s="10"/>
    </row>
    <row r="9622" spans="2:2" x14ac:dyDescent="0.2">
      <c r="B9622" s="10"/>
    </row>
    <row r="9623" spans="2:2" x14ac:dyDescent="0.2">
      <c r="B9623" s="1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F0D7A-A6D8-466C-B941-05EFD77A5F36}">
  <sheetPr>
    <tabColor rgb="FFFF0000"/>
  </sheetPr>
  <dimension ref="A1:BX603"/>
  <sheetViews>
    <sheetView tabSelected="1" workbookViewId="0">
      <pane xSplit="1" ySplit="1" topLeftCell="AW221" activePane="bottomRight" state="frozen"/>
      <selection pane="topRight" activeCell="B1" sqref="B1"/>
      <selection pane="bottomLeft" activeCell="A2" sqref="A2"/>
      <selection pane="bottomRight" activeCell="BU254" sqref="BU254"/>
    </sheetView>
  </sheetViews>
  <sheetFormatPr defaultRowHeight="15" x14ac:dyDescent="0.25"/>
  <cols>
    <col min="1" max="1" width="10.7109375" bestFit="1" customWidth="1"/>
    <col min="2" max="23" width="10" customWidth="1"/>
  </cols>
  <sheetData>
    <row r="1" spans="1:76" s="30" customFormat="1" ht="18" customHeight="1" x14ac:dyDescent="0.25">
      <c r="B1" s="31" t="s">
        <v>360</v>
      </c>
      <c r="C1" s="31" t="s">
        <v>378</v>
      </c>
      <c r="D1" s="31" t="s">
        <v>377</v>
      </c>
      <c r="E1" s="31" t="s">
        <v>379</v>
      </c>
      <c r="F1" s="31" t="s">
        <v>380</v>
      </c>
      <c r="G1" s="31" t="s">
        <v>381</v>
      </c>
      <c r="H1" s="31" t="s">
        <v>376</v>
      </c>
      <c r="I1" s="31" t="s">
        <v>667</v>
      </c>
      <c r="J1" s="29" t="s">
        <v>372</v>
      </c>
      <c r="K1" s="29" t="s">
        <v>373</v>
      </c>
      <c r="L1" s="29" t="s">
        <v>374</v>
      </c>
      <c r="M1" s="29" t="s">
        <v>375</v>
      </c>
      <c r="N1" s="35" t="s">
        <v>363</v>
      </c>
      <c r="O1" s="35" t="s">
        <v>364</v>
      </c>
      <c r="P1" s="35" t="s">
        <v>365</v>
      </c>
      <c r="Q1" s="35" t="s">
        <v>361</v>
      </c>
      <c r="R1" s="35" t="s">
        <v>366</v>
      </c>
      <c r="S1" s="35" t="s">
        <v>367</v>
      </c>
      <c r="T1" s="35" t="s">
        <v>538</v>
      </c>
      <c r="U1" s="35" t="s">
        <v>539</v>
      </c>
      <c r="V1" s="35" t="s">
        <v>629</v>
      </c>
      <c r="W1" s="35" t="s">
        <v>517</v>
      </c>
      <c r="X1" s="35" t="s">
        <v>540</v>
      </c>
      <c r="Y1" s="35" t="s">
        <v>630</v>
      </c>
      <c r="Z1" s="35" t="s">
        <v>631</v>
      </c>
      <c r="AA1" s="35" t="s">
        <v>632</v>
      </c>
      <c r="AB1" s="35" t="s">
        <v>633</v>
      </c>
      <c r="AC1" s="35" t="s">
        <v>634</v>
      </c>
      <c r="AD1" s="35" t="s">
        <v>635</v>
      </c>
      <c r="AE1" s="35" t="s">
        <v>636</v>
      </c>
      <c r="AF1" s="35" t="s">
        <v>637</v>
      </c>
      <c r="AG1" s="35" t="s">
        <v>638</v>
      </c>
      <c r="AH1" s="35" t="s">
        <v>639</v>
      </c>
      <c r="AI1" s="35" t="s">
        <v>640</v>
      </c>
      <c r="AJ1" s="35" t="s">
        <v>368</v>
      </c>
      <c r="AK1" s="35" t="s">
        <v>369</v>
      </c>
      <c r="AL1" s="35" t="s">
        <v>641</v>
      </c>
      <c r="AM1" s="35" t="s">
        <v>642</v>
      </c>
      <c r="AN1" s="35" t="s">
        <v>643</v>
      </c>
      <c r="AO1" s="35" t="s">
        <v>644</v>
      </c>
      <c r="AP1" s="35" t="s">
        <v>645</v>
      </c>
      <c r="AQ1" s="35" t="s">
        <v>646</v>
      </c>
      <c r="AR1" s="35" t="s">
        <v>370</v>
      </c>
      <c r="AS1" s="35" t="s">
        <v>647</v>
      </c>
      <c r="AT1" s="35" t="s">
        <v>648</v>
      </c>
      <c r="AU1" s="35" t="s">
        <v>362</v>
      </c>
      <c r="AV1" s="35" t="s">
        <v>649</v>
      </c>
      <c r="AW1" s="35" t="s">
        <v>650</v>
      </c>
      <c r="AX1" s="35" t="s">
        <v>371</v>
      </c>
      <c r="AY1" s="35" t="s">
        <v>651</v>
      </c>
      <c r="AZ1" s="35" t="s">
        <v>652</v>
      </c>
      <c r="BA1" s="35" t="s">
        <v>371</v>
      </c>
      <c r="BB1" s="35" t="s">
        <v>653</v>
      </c>
      <c r="BC1" s="35" t="s">
        <v>654</v>
      </c>
      <c r="BD1" s="35" t="s">
        <v>655</v>
      </c>
      <c r="BE1" s="35" t="s">
        <v>656</v>
      </c>
      <c r="BF1" s="35" t="s">
        <v>657</v>
      </c>
      <c r="BG1" s="35" t="s">
        <v>658</v>
      </c>
      <c r="BH1" s="35" t="s">
        <v>659</v>
      </c>
      <c r="BI1" s="35" t="s">
        <v>660</v>
      </c>
      <c r="BJ1" s="35" t="s">
        <v>661</v>
      </c>
      <c r="BK1" s="35" t="s">
        <v>662</v>
      </c>
      <c r="BL1" s="35" t="s">
        <v>427</v>
      </c>
      <c r="BM1" s="35" t="s">
        <v>663</v>
      </c>
      <c r="BN1" s="35" t="s">
        <v>664</v>
      </c>
      <c r="BO1" s="35" t="s">
        <v>665</v>
      </c>
      <c r="BP1" s="35" t="s">
        <v>666</v>
      </c>
      <c r="BQ1" s="35" t="s">
        <v>694</v>
      </c>
      <c r="BR1" s="35" t="s">
        <v>695</v>
      </c>
      <c r="BS1" s="35" t="s">
        <v>696</v>
      </c>
      <c r="BT1" s="35" t="s">
        <v>697</v>
      </c>
      <c r="BU1" s="35" t="s">
        <v>698</v>
      </c>
      <c r="BV1" s="35" t="s">
        <v>699</v>
      </c>
      <c r="BW1" s="35" t="s">
        <v>700</v>
      </c>
      <c r="BX1" s="35" t="s">
        <v>704</v>
      </c>
    </row>
    <row r="2" spans="1:76" x14ac:dyDescent="0.25">
      <c r="A2" s="2">
        <v>36556</v>
      </c>
      <c r="B2" t="str">
        <f>IF(ISNUMBER(VLOOKUP($A2,Haver_Q!$B$1:$L$185,MATCH(data!B$1,Haver_Q!$B$1:$L$1,0),FALSE)),100*(VLOOKUP($A2,Haver_Q!$B$1:$L$185,MATCH(data!B$1,Haver_Q!$B$1:$L$1,0),FALSE)),"")</f>
        <v/>
      </c>
      <c r="C2" t="str">
        <f>IF(ISNUMBER(VLOOKUP($A2,Haver_Q!$B$1:$L$185,MATCH(data!C$1,Haver_Q!$B$1:$L$1,0),FALSE)),100*(VLOOKUP($A2,Haver_Q!$B$1:$L$185,MATCH(data!C$1,Haver_Q!$B$1:$L$1,0),FALSE)),"")</f>
        <v/>
      </c>
      <c r="D2" t="str">
        <f>IF(ISNUMBER(VLOOKUP($A2,Haver_Q!$B$1:$L$185,MATCH(data!D$1,Haver_Q!$B$1:$L$1,0),FALSE)),100*(VLOOKUP($A2,Haver_Q!$B$1:$L$185,MATCH(data!D$1,Haver_Q!$B$1:$L$1,0),FALSE)),"")</f>
        <v/>
      </c>
      <c r="E2" t="str">
        <f>IF(ISNUMBER(VLOOKUP($A2,Haver_Q!$B$1:$L$185,MATCH(data!E$1,Haver_Q!$B$1:$L$1,0),FALSE)),100*(VLOOKUP($A2,Haver_Q!$B$1:$L$185,MATCH(data!E$1,Haver_Q!$B$1:$L$1,0),FALSE)),"")</f>
        <v/>
      </c>
      <c r="F2" t="str">
        <f>IF(ISNUMBER(VLOOKUP($A2,Haver_Q!$B$1:$L$185,MATCH(data!F$1,Haver_Q!$B$1:$L$1,0),FALSE)),100*(VLOOKUP($A2,Haver_Q!$B$1:$L$185,MATCH(data!F$1,Haver_Q!$B$1:$L$1,0),FALSE)),"")</f>
        <v/>
      </c>
      <c r="G2" t="str">
        <f>IF(ISNUMBER(VLOOKUP($A2,Haver_Q!$B$1:$L$185,MATCH(data!G$1,Haver_Q!$B$1:$L$1,0),FALSE)),100*(VLOOKUP($A2,Haver_Q!$B$1:$L$185,MATCH(data!G$1,Haver_Q!$B$1:$L$1,0),FALSE)),"")</f>
        <v/>
      </c>
      <c r="H2" t="str">
        <f>IF(ISNUMBER(VLOOKUP($A2,Haver_Q!$B$1:$L$185,MATCH(data!H$1,Haver_Q!$B$1:$L$1,0),FALSE)),(VLOOKUP($A2,Haver_Q!$B$1:$L$185,MATCH(data!H$1,Haver_Q!$B$1:$L$1,0),FALSE)),"")</f>
        <v/>
      </c>
      <c r="I2" t="str">
        <f>IF(ISNUMBER(VLOOKUP($A2,Haver_Q!$B$1:$L$185,MATCH(data!I$1,Haver_Q!$B$1:$L$1,0),FALSE)),100*(VLOOKUP($A2,Haver_Q!$B$1:$L$185,MATCH(data!I$1,Haver_Q!$B$1:$L$1,0),FALSE)),"")</f>
        <v/>
      </c>
      <c r="J2" s="3">
        <f>IF(ISNUMBER(Bloomberg_m!C18),Bloomberg_m!C18,"")</f>
        <v>1371</v>
      </c>
      <c r="K2" s="3" t="str">
        <f>IF(ISNUMBER(Bloomberg_m!D18),Bloomberg_m!D18,"")</f>
        <v/>
      </c>
      <c r="L2" s="3" t="str">
        <f>IF(ISNUMBER(Bloomberg_m!E18),Bloomberg_m!E18,"")</f>
        <v/>
      </c>
      <c r="M2" s="3" t="str">
        <f>IF(ISNUMBER(Bloomberg_m!F18),Bloomberg_m!F18,"")</f>
        <v/>
      </c>
      <c r="N2" t="str">
        <f>IF(ISNUMBER(VLOOKUP($A2,Haver_M!$B$1:$BZ$300,MATCH(data!N$1,Haver_M!$B$1:$BZ$1,0),FALSE)),VLOOKUP($A2,Haver_M!$B$1:$BZ$300,MATCH(data!N$1,Haver_M!$B$1:$BZ$1,0),FALSE),"")</f>
        <v/>
      </c>
      <c r="O2">
        <f>IF(ISNUMBER(VLOOKUP($A2,Haver_M!$B$1:$BZ$300,MATCH(data!O$1,Haver_M!$B$1:$BZ$1,0),FALSE)),VLOOKUP($A2,Haver_M!$B$1:$BZ$300,MATCH(data!O$1,Haver_M!$B$1:$BZ$1,0),FALSE),"")</f>
        <v>10.9434</v>
      </c>
      <c r="P2">
        <f>IF(ISNUMBER(VLOOKUP($A2,Haver_M!$B$1:$BZ$300,MATCH(data!P$1,Haver_M!$B$1:$BZ$1,0),FALSE)),VLOOKUP($A2,Haver_M!$B$1:$BZ$300,MATCH(data!P$1,Haver_M!$B$1:$BZ$1,0),FALSE),"")</f>
        <v>91.113640000000004</v>
      </c>
      <c r="Q2" t="str">
        <f>IF(ISNUMBER(VLOOKUP($A2,Haver_M!$B$1:$BZ$300,MATCH(data!Q$1,Haver_M!$B$1:$BZ$1,0),FALSE)),VLOOKUP($A2,Haver_M!$B$1:$BZ$300,MATCH(data!Q$1,Haver_M!$B$1:$BZ$1,0),FALSE),"")</f>
        <v/>
      </c>
      <c r="R2" t="str">
        <f>IF(ISNUMBER(VLOOKUP($A2,Haver_M!$B$1:$BZ$300,MATCH(data!R$1,Haver_M!$B$1:$BZ$1,0),FALSE)),VLOOKUP($A2,Haver_M!$B$1:$BZ$300,MATCH(data!R$1,Haver_M!$B$1:$BZ$1,0),FALSE),"")</f>
        <v/>
      </c>
      <c r="S2">
        <f>IF(ISNUMBER(VLOOKUP($A2,Haver_M!$B$1:$BZ$300,MATCH(data!S$1,Haver_M!$B$1:$BZ$1,0),FALSE)),VLOOKUP($A2,Haver_M!$B$1:$BZ$300,MATCH(data!S$1,Haver_M!$B$1:$BZ$1,0),FALSE),"")</f>
        <v>44.61</v>
      </c>
      <c r="T2">
        <f>IF(ISNUMBER(VLOOKUP($A2,Haver_M!$B$1:$BZ$300,MATCH(data!T$1,Haver_M!$B$1:$BZ$1,0),FALSE)),VLOOKUP($A2,Haver_M!$B$1:$BZ$300,MATCH(data!T$1,Haver_M!$B$1:$BZ$1,0),FALSE),"")</f>
        <v>53.7</v>
      </c>
      <c r="U2">
        <f>IF(ISNUMBER(VLOOKUP($A2,Haver_M!$B$1:$BZ$300,MATCH(data!U$1,Haver_M!$B$1:$BZ$1,0),FALSE)),VLOOKUP($A2,Haver_M!$B$1:$BZ$300,MATCH(data!U$1,Haver_M!$B$1:$BZ$1,0),FALSE),"")</f>
        <v>26.22</v>
      </c>
      <c r="V2">
        <f>IF(ISNUMBER(VLOOKUP($A2,Haver_M!$B$1:$BZ$300,MATCH(data!V$1,Haver_M!$B$1:$BZ$1,0),FALSE)),VLOOKUP($A2,Haver_M!$B$1:$BZ$300,MATCH(data!V$1,Haver_M!$B$1:$BZ$1,0),FALSE),"")</f>
        <v>56.45</v>
      </c>
      <c r="W2" t="str">
        <f>IF(ISNUMBER(VLOOKUP($A2,Haver_M!$B$1:$BZ$300,MATCH(data!W$1,Haver_M!$B$1:$BZ$1,0),FALSE)),VLOOKUP($A2,Haver_M!$B$1:$BZ$300,MATCH(data!W$1,Haver_M!$B$1:$BZ$1,0),FALSE),"")</f>
        <v/>
      </c>
      <c r="X2">
        <f>IF(ISNUMBER(VLOOKUP($A2,Haver_M!$B$1:$BZ$300,MATCH(data!X$1,Haver_M!$B$1:$BZ$1,0),FALSE)),VLOOKUP($A2,Haver_M!$B$1:$BZ$300,MATCH(data!X$1,Haver_M!$B$1:$BZ$1,0),FALSE),"")</f>
        <v>22.46</v>
      </c>
      <c r="Y2">
        <f>IF(ISNUMBER(VLOOKUP($A2,Haver_M!$B$1:$BZ$300,MATCH(data!Y$1,Haver_M!$B$1:$BZ$1,0),FALSE)),VLOOKUP($A2,Haver_M!$B$1:$BZ$300,MATCH(data!Y$1,Haver_M!$B$1:$BZ$1,0),FALSE),"")</f>
        <v>45.74</v>
      </c>
      <c r="Z2" t="str">
        <f>IF(ISNUMBER(VLOOKUP($A2,Haver_M!$B$1:$BZ$300,MATCH(data!Z$1,Haver_M!$B$1:$BZ$1,0),FALSE)),VLOOKUP($A2,Haver_M!$B$1:$BZ$300,MATCH(data!Z$1,Haver_M!$B$1:$BZ$1,0),FALSE),"")</f>
        <v/>
      </c>
      <c r="AA2" t="str">
        <f>IF(ISNUMBER(VLOOKUP($A2,Haver_M!$B$1:$BZ$300,MATCH(data!AA$1,Haver_M!$B$1:$BZ$1,0),FALSE)),VLOOKUP($A2,Haver_M!$B$1:$BZ$300,MATCH(data!AA$1,Haver_M!$B$1:$BZ$1,0),FALSE),"")</f>
        <v/>
      </c>
      <c r="AB2" t="str">
        <f>IF(ISNUMBER(VLOOKUP($A2,Haver_M!$B$1:$BZ$300,MATCH(data!AB$1,Haver_M!$B$1:$BZ$1,0),FALSE)),VLOOKUP($A2,Haver_M!$B$1:$BZ$300,MATCH(data!AB$1,Haver_M!$B$1:$BZ$1,0),FALSE),"")</f>
        <v/>
      </c>
      <c r="AC2" t="str">
        <f>IF(ISNUMBER(VLOOKUP($A2,Haver_M!$B$1:$BZ$300,MATCH(data!AC$1,Haver_M!$B$1:$BZ$1,0),FALSE)),VLOOKUP($A2,Haver_M!$B$1:$BZ$300,MATCH(data!AC$1,Haver_M!$B$1:$BZ$1,0),FALSE),"")</f>
        <v/>
      </c>
      <c r="AD2" t="str">
        <f>IF(ISNUMBER(VLOOKUP($A2,Haver_M!$B$1:$BZ$300,MATCH(data!AD$1,Haver_M!$B$1:$BZ$1,0),FALSE)),VLOOKUP($A2,Haver_M!$B$1:$BZ$300,MATCH(data!AD$1,Haver_M!$B$1:$BZ$1,0),FALSE),"")</f>
        <v/>
      </c>
      <c r="AE2" t="str">
        <f>IF(ISNUMBER(VLOOKUP($A2,Haver_M!$B$1:$BZ$300,MATCH(data!AE$1,Haver_M!$B$1:$BZ$1,0),FALSE)),VLOOKUP($A2,Haver_M!$B$1:$BZ$300,MATCH(data!AE$1,Haver_M!$B$1:$BZ$1,0),FALSE),"")</f>
        <v/>
      </c>
      <c r="AF2" t="str">
        <f>IF(ISNUMBER(VLOOKUP($A2,Haver_M!$B$1:$BZ$300,MATCH(data!AF$1,Haver_M!$B$1:$BZ$1,0),FALSE)),VLOOKUP($A2,Haver_M!$B$1:$BZ$300,MATCH(data!AF$1,Haver_M!$B$1:$BZ$1,0),FALSE),"")</f>
        <v/>
      </c>
      <c r="AG2" t="str">
        <f>IF(ISNUMBER(VLOOKUP($A2,Haver_M!$B$1:$BZ$300,MATCH(data!AG$1,Haver_M!$B$1:$BZ$1,0),FALSE)),VLOOKUP($A2,Haver_M!$B$1:$BZ$300,MATCH(data!AG$1,Haver_M!$B$1:$BZ$1,0),FALSE),"")</f>
        <v/>
      </c>
      <c r="AH2" t="str">
        <f>IF(ISNUMBER(VLOOKUP($A2,Haver_M!$B$1:$BZ$300,MATCH(data!AH$1,Haver_M!$B$1:$BZ$1,0),FALSE)),VLOOKUP($A2,Haver_M!$B$1:$BZ$300,MATCH(data!AH$1,Haver_M!$B$1:$BZ$1,0),FALSE),"")</f>
        <v/>
      </c>
      <c r="AI2">
        <f>IF(ISNUMBER(VLOOKUP($A2,Haver_M!$B$1:$BZ$300,MATCH(data!AI$1,Haver_M!$B$1:$BZ$1,0),FALSE)),VLOOKUP($A2,Haver_M!$B$1:$BZ$300,MATCH(data!AI$1,Haver_M!$B$1:$BZ$1,0),FALSE),"")</f>
        <v>7897.1823513155277</v>
      </c>
      <c r="AJ2">
        <f>IF(ISNUMBER(VLOOKUP($A2,Haver_M!$B$1:$BZ$300,MATCH(data!AJ$1,Haver_M!$B$1:$BZ$1,0),FALSE)),VLOOKUP($A2,Haver_M!$B$1:$BZ$300,MATCH(data!AJ$1,Haver_M!$B$1:$BZ$1,0),FALSE),"")</f>
        <v>2739.66</v>
      </c>
      <c r="AK2">
        <f>IF(ISNUMBER(VLOOKUP($A2,Haver_M!$B$1:$BZ$300,MATCH(data!AK$1,Haver_M!$B$1:$BZ$1,0),FALSE)),VLOOKUP($A2,Haver_M!$B$1:$BZ$300,MATCH(data!AK$1,Haver_M!$B$1:$BZ$1,0),FALSE),"")</f>
        <v>3874.06</v>
      </c>
      <c r="AL2" t="str">
        <f>IF(ISNUMBER(VLOOKUP($A2,Haver_M!$B$1:$BZ$300,MATCH(data!AL$1,Haver_M!$B$1:$BZ$1,0),FALSE)),VLOOKUP($A2,Haver_M!$B$1:$BZ$300,MATCH(data!AL$1,Haver_M!$B$1:$BZ$1,0),FALSE),"")</f>
        <v/>
      </c>
      <c r="AM2" t="str">
        <f>IF(ISNUMBER(VLOOKUP($A2,Haver_M!$B$1:$BZ$300,MATCH(data!AM$1,Haver_M!$B$1:$BZ$1,0),FALSE)),VLOOKUP($A2,Haver_M!$B$1:$BZ$300,MATCH(data!AM$1,Haver_M!$B$1:$BZ$1,0),FALSE),"")</f>
        <v/>
      </c>
      <c r="AN2" t="str">
        <f>IF(ISNUMBER(VLOOKUP($A2,Haver_M!$B$1:$BZ$300,MATCH(data!AN$1,Haver_M!$B$1:$BZ$1,0),FALSE)),VLOOKUP($A2,Haver_M!$B$1:$BZ$300,MATCH(data!AN$1,Haver_M!$B$1:$BZ$1,0),FALSE),"")</f>
        <v/>
      </c>
      <c r="AO2" t="str">
        <f>IF(ISNUMBER(VLOOKUP($A2,Haver_M!$B$1:$BZ$300,MATCH(data!AO$1,Haver_M!$B$1:$BZ$1,0),FALSE)),VLOOKUP($A2,Haver_M!$B$1:$BZ$300,MATCH(data!AO$1,Haver_M!$B$1:$BZ$1,0),FALSE),"")</f>
        <v/>
      </c>
      <c r="AP2">
        <f>IF(ISNUMBER(VLOOKUP($A2,Haver_M!$B$1:$BZ$300,MATCH(data!AP$1,Haver_M!$B$1:$BZ$1,0),FALSE)),VLOOKUP($A2,Haver_M!$B$1:$BZ$300,MATCH(data!AP$1,Haver_M!$B$1:$BZ$1,0),FALSE),"")</f>
        <v>58.82576880708875</v>
      </c>
      <c r="AQ2" t="str">
        <f>IF(ISNUMBER(VLOOKUP($A2,Haver_M!$B$1:$BZ$300,MATCH(data!AQ$1,Haver_M!$B$1:$BZ$1,0),FALSE)),VLOOKUP($A2,Haver_M!$B$1:$BZ$300,MATCH(data!AQ$1,Haver_M!$B$1:$BZ$1,0),FALSE),"")</f>
        <v/>
      </c>
      <c r="AR2" t="str">
        <f>IF(ISNUMBER(VLOOKUP($A2,Haver_M!$B$1:$BZ$300,MATCH(data!AR$1,Haver_M!$B$1:$BZ$1,0),FALSE)),VLOOKUP($A2,Haver_M!$B$1:$BZ$300,MATCH(data!AR$1,Haver_M!$B$1:$BZ$1,0),FALSE),"")</f>
        <v/>
      </c>
      <c r="AS2" t="str">
        <f>IF(ISNUMBER(VLOOKUP($A2,Haver_M!$B$1:$BZ$300,MATCH(data!AS$1,Haver_M!$B$1:$BZ$1,0),FALSE)),VLOOKUP($A2,Haver_M!$B$1:$BZ$300,MATCH(data!AS$1,Haver_M!$B$1:$BZ$1,0),FALSE),"")</f>
        <v/>
      </c>
      <c r="AT2" t="str">
        <f>IF(ISNUMBER(VLOOKUP($A2,Haver_M!$B$1:$BZ$300,MATCH(data!AT$1,Haver_M!$B$1:$BZ$1,0),FALSE)),VLOOKUP($A2,Haver_M!$B$1:$BZ$300,MATCH(data!AT$1,Haver_M!$B$1:$BZ$1,0),FALSE),"")</f>
        <v/>
      </c>
      <c r="AU2" t="str">
        <f>IF(ISNUMBER(VLOOKUP($A2,Haver_M!$B$1:$BZ$300,MATCH(data!AU$1,Haver_M!$B$1:$BZ$1,0),FALSE)),VLOOKUP($A2,Haver_M!$B$1:$BZ$300,MATCH(data!AU$1,Haver_M!$B$1:$BZ$1,0),FALSE),"")</f>
        <v/>
      </c>
      <c r="AV2" t="str">
        <f>IF(ISNUMBER(VLOOKUP($A2,Haver_M!$B$1:$BZ$300,MATCH(data!AV$1,Haver_M!$B$1:$BZ$1,0),FALSE)),VLOOKUP($A2,Haver_M!$B$1:$BZ$300,MATCH(data!AV$1,Haver_M!$B$1:$BZ$1,0),FALSE),"")</f>
        <v/>
      </c>
      <c r="AW2" t="str">
        <f>IF(ISNUMBER(VLOOKUP($A2,Haver_M!$B$1:$BZ$300,MATCH(data!AW$1,Haver_M!$B$1:$BZ$1,0),FALSE)),VLOOKUP($A2,Haver_M!$B$1:$BZ$300,MATCH(data!AW$1,Haver_M!$B$1:$BZ$1,0),FALSE),"")</f>
        <v/>
      </c>
      <c r="AX2" t="str">
        <f>IF(ISNUMBER(VLOOKUP($A2,Haver_M!$B$1:$BZ$300,MATCH(data!AX$1,Haver_M!$B$1:$BZ$1,0),FALSE)),VLOOKUP($A2,Haver_M!$B$1:$BZ$300,MATCH(data!AX$1,Haver_M!$B$1:$BZ$1,0),FALSE),"")</f>
        <v/>
      </c>
      <c r="AY2" t="str">
        <f>IF(ISNUMBER(VLOOKUP($A2,Haver_M!$B$1:$BZ$300,MATCH(data!AY$1,Haver_M!$B$1:$BZ$1,0),FALSE)),VLOOKUP($A2,Haver_M!$B$1:$BZ$300,MATCH(data!AY$1,Haver_M!$B$1:$BZ$1,0),FALSE),"")</f>
        <v/>
      </c>
      <c r="AZ2" t="str">
        <f>IF(ISNUMBER(VLOOKUP($A2,Haver_M!$B$1:$BZ$300,MATCH(data!AZ$1,Haver_M!$B$1:$BZ$1,0),FALSE)),VLOOKUP($A2,Haver_M!$B$1:$BZ$300,MATCH(data!AZ$1,Haver_M!$B$1:$BZ$1,0),FALSE),"")</f>
        <v/>
      </c>
      <c r="BA2" t="str">
        <f>IF(ISNUMBER(VLOOKUP($A2,Haver_M!$B$1:$BZ$300,MATCH(data!BA$1,Haver_M!$B$1:$BZ$1,0),FALSE)),VLOOKUP($A2,Haver_M!$B$1:$BZ$300,MATCH(data!BA$1,Haver_M!$B$1:$BZ$1,0),FALSE),"")</f>
        <v/>
      </c>
      <c r="BB2" t="str">
        <f>IF(ISNUMBER(VLOOKUP($A2,Haver_M!$B$1:$BZ$300,MATCH(data!BB$1,Haver_M!$B$1:$BZ$1,0),FALSE)),VLOOKUP($A2,Haver_M!$B$1:$BZ$300,MATCH(data!BB$1,Haver_M!$B$1:$BZ$1,0),FALSE),"")</f>
        <v/>
      </c>
      <c r="BC2" t="str">
        <f>IF(ISNUMBER(VLOOKUP($A2,Haver_M!$B$1:$BZ$300,MATCH(data!BC$1,Haver_M!$B$1:$BZ$1,0),FALSE)),VLOOKUP($A2,Haver_M!$B$1:$BZ$300,MATCH(data!BC$1,Haver_M!$B$1:$BZ$1,0),FALSE),"")</f>
        <v/>
      </c>
      <c r="BD2" t="str">
        <f>IF(ISNUMBER(VLOOKUP($A2,Haver_M!$B$1:$BZ$300,MATCH(data!BD$1,Haver_M!$B$1:$BZ$1,0),FALSE)),VLOOKUP($A2,Haver_M!$B$1:$BZ$300,MATCH(data!BD$1,Haver_M!$B$1:$BZ$1,0),FALSE),"")</f>
        <v/>
      </c>
      <c r="BE2" t="str">
        <f>IF(ISNUMBER(VLOOKUP($A2,Haver_M!$B$1:$BZ$300,MATCH(data!BE$1,Haver_M!$B$1:$BZ$1,0),FALSE)),VLOOKUP($A2,Haver_M!$B$1:$BZ$300,MATCH(data!BE$1,Haver_M!$B$1:$BZ$1,0),FALSE),"")</f>
        <v/>
      </c>
      <c r="BF2" t="str">
        <f>IF(ISNUMBER(VLOOKUP($A2,Haver_M!$B$1:$BZ$300,MATCH(data!BF$1,Haver_M!$B$1:$BZ$1,0),FALSE)),VLOOKUP($A2,Haver_M!$B$1:$BZ$300,MATCH(data!BF$1,Haver_M!$B$1:$BZ$1,0),FALSE),"")</f>
        <v/>
      </c>
      <c r="BG2" t="str">
        <f>IF(ISNUMBER(VLOOKUP($A2,Haver_M!$B$1:$BZ$300,MATCH(data!BG$1,Haver_M!$B$1:$BZ$1,0),FALSE)),VLOOKUP($A2,Haver_M!$B$1:$BZ$300,MATCH(data!BG$1,Haver_M!$B$1:$BZ$1,0),FALSE),"")</f>
        <v/>
      </c>
      <c r="BH2" t="str">
        <f>IF(ISNUMBER(VLOOKUP($A2,Haver_M!$B$1:$BZ$300,MATCH(data!BH$1,Haver_M!$B$1:$BZ$1,0),FALSE)),VLOOKUP($A2,Haver_M!$B$1:$BZ$300,MATCH(data!BH$1,Haver_M!$B$1:$BZ$1,0),FALSE),"")</f>
        <v/>
      </c>
      <c r="BI2" t="str">
        <f>IF(ISNUMBER(VLOOKUP($A2,Haver_M!$B$1:$BZ$300,MATCH(data!BI$1,Haver_M!$B$1:$BZ$1,0),FALSE)),VLOOKUP($A2,Haver_M!$B$1:$BZ$300,MATCH(data!BI$1,Haver_M!$B$1:$BZ$1,0),FALSE),"")</f>
        <v/>
      </c>
      <c r="BJ2" t="str">
        <f>IF(ISNUMBER(VLOOKUP($A2,Haver_M!$B$1:$BZ$300,MATCH(data!BJ$1,Haver_M!$B$1:$BZ$1,0),FALSE)),VLOOKUP($A2,Haver_M!$B$1:$BZ$300,MATCH(data!BJ$1,Haver_M!$B$1:$BZ$1,0),FALSE),"")</f>
        <v/>
      </c>
      <c r="BK2" t="str">
        <f>IF(ISNUMBER(VLOOKUP($A2,Haver_M!$B$1:$BZ$300,MATCH(data!BK$1,Haver_M!$B$1:$BZ$1,0),FALSE)),VLOOKUP($A2,Haver_M!$B$1:$BZ$300,MATCH(data!BK$1,Haver_M!$B$1:$BZ$1,0),FALSE),"")</f>
        <v/>
      </c>
      <c r="BL2">
        <f>IF(ISNUMBER(VLOOKUP($A2,Haver_M!$B$1:$BZ$300,MATCH(data!BL$1,Haver_M!$B$1:$BZ$1,0),FALSE)),VLOOKUP($A2,Haver_M!$B$1:$BZ$300,MATCH(data!BL$1,Haver_M!$B$1:$BZ$1,0),FALSE),"")</f>
        <v>5407.14</v>
      </c>
      <c r="BM2">
        <f>IF(ISNUMBER(VLOOKUP($A2,Haver_M!$B$1:$BZ$300,MATCH(data!BM$1,Haver_M!$B$1:$BZ$1,0),FALSE)),VLOOKUP($A2,Haver_M!$B$1:$BZ$300,MATCH(data!BM$1,Haver_M!$B$1:$BZ$1,0),FALSE),"")</f>
        <v>118.5481652</v>
      </c>
      <c r="BN2" t="str">
        <f>IF(ISNUMBER(VLOOKUP($A2,Haver_M!$B$1:$BZ$300,MATCH(data!BN$1,Haver_M!$B$1:$BZ$1,0),FALSE)),VLOOKUP($A2,Haver_M!$B$1:$BZ$300,MATCH(data!BN$1,Haver_M!$B$1:$BZ$1,0),FALSE),"")</f>
        <v/>
      </c>
      <c r="BO2" t="str">
        <f>IF(ISNUMBER(VLOOKUP($A2,Haver_M!$B$1:$BZ$300,MATCH(data!BO$1,Haver_M!$B$1:$BZ$1,0),FALSE)),VLOOKUP($A2,Haver_M!$B$1:$BZ$300,MATCH(data!BO$1,Haver_M!$B$1:$BZ$1,0),FALSE),"")</f>
        <v/>
      </c>
      <c r="BP2" t="str">
        <f>IF(ISNUMBER(VLOOKUP($A2,Haver_M!$B$1:$BZ$300,MATCH(data!BP$1,Haver_M!$B$1:$BZ$1,0),FALSE)),VLOOKUP($A2,Haver_M!$B$1:$BZ$300,MATCH(data!BP$1,Haver_M!$B$1:$BZ$1,0),FALSE),"")</f>
        <v/>
      </c>
      <c r="BQ2" t="str">
        <f>IF(ISNUMBER(VLOOKUP($A2,Haver_M!$B$1:$BZ$300,MATCH(data!BQ$1,Haver_M!$B$1:$BZ$1,0),FALSE)),VLOOKUP($A2,Haver_M!$B$1:$BZ$300,MATCH(data!BQ$1,Haver_M!$B$1:$BZ$1,0),FALSE),"")</f>
        <v/>
      </c>
      <c r="BR2" t="str">
        <f>IF(ISNUMBER(VLOOKUP($A2,Haver_M!$B$1:$BZ$300,MATCH(data!BR$1,Haver_M!$B$1:$BZ$1,0),FALSE)),VLOOKUP($A2,Haver_M!$B$1:$BZ$300,MATCH(data!BR$1,Haver_M!$B$1:$BZ$1,0),FALSE),"")</f>
        <v/>
      </c>
      <c r="BS2" t="str">
        <f>IF(ISNUMBER(VLOOKUP($A2,Haver_M!$B$1:$BZ$300,MATCH(data!BS$1,Haver_M!$B$1:$BZ$1,0),FALSE)),VLOOKUP($A2,Haver_M!$B$1:$BZ$300,MATCH(data!BS$1,Haver_M!$B$1:$BZ$1,0),FALSE),"")</f>
        <v/>
      </c>
      <c r="BT2" t="str">
        <f>IF(ISNUMBER(VLOOKUP($A2,Haver_M!$B$1:$BZ$300,MATCH(data!BT$1,Haver_M!$B$1:$BZ$1,0),FALSE)),VLOOKUP($A2,Haver_M!$B$1:$BZ$300,MATCH(data!BT$1,Haver_M!$B$1:$BZ$1,0),FALSE),"")</f>
        <v/>
      </c>
      <c r="BU2">
        <f>IF(ISNUMBER(VLOOKUP($A2,Haver_M!$B$1:$BZ$300,MATCH(data!BU$1,Haver_M!$B$1:$BZ$1,0),FALSE)),VLOOKUP($A2,Haver_M!$B$1:$BZ$300,MATCH(data!BU$1,Haver_M!$B$1:$BZ$1,0),FALSE),"")</f>
        <v>2748</v>
      </c>
      <c r="BV2">
        <f>IF(ISNUMBER(VLOOKUP($A2,Haver_M!$B$1:$BZ$300,MATCH(data!BV$1,Haver_M!$B$1:$BZ$1,0),FALSE)),VLOOKUP($A2,Haver_M!$B$1:$BZ$300,MATCH(data!BV$1,Haver_M!$B$1:$BZ$1,0),FALSE),"")</f>
        <v>3879</v>
      </c>
      <c r="BW2">
        <f>IF(ISNUMBER(VLOOKUP($A2,Haver_M!$B$1:$BZ$300,MATCH(data!BW$1,Haver_M!$B$1:$BZ$1,0),FALSE)),VLOOKUP($A2,Haver_M!$B$1:$BZ$300,MATCH(data!BW$1,Haver_M!$B$1:$BZ$1,0),FALSE),"")</f>
        <v>43.55</v>
      </c>
      <c r="BX2">
        <f>IF(ISNUMBER(VLOOKUP($A2,Haver_M!$B$1:$BZ$300,MATCH(data!BX$1,Haver_M!$B$1:$BZ$1,0),FALSE)),VLOOKUP($A2,Haver_M!$B$1:$BZ$300,MATCH(data!BX$1,Haver_M!$B$1:$BZ$1,0),FALSE),"")</f>
        <v>31165</v>
      </c>
    </row>
    <row r="3" spans="1:76" x14ac:dyDescent="0.25">
      <c r="A3" s="2">
        <v>36585</v>
      </c>
      <c r="B3" t="str">
        <f>IF(ISNUMBER(VLOOKUP($A3,Haver_Q!$B$1:$L$185,MATCH(data!B$1,Haver_Q!$B$1:$L$1,0),FALSE)),100*(VLOOKUP($A3,Haver_Q!$B$1:$L$185,MATCH(data!B$1,Haver_Q!$B$1:$L$1,0),FALSE)),"")</f>
        <v/>
      </c>
      <c r="C3" t="str">
        <f>IF(ISNUMBER(VLOOKUP($A3,Haver_Q!$B$1:$L$185,MATCH(data!C$1,Haver_Q!$B$1:$L$1,0),FALSE)),100*(VLOOKUP($A3,Haver_Q!$B$1:$L$185,MATCH(data!C$1,Haver_Q!$B$1:$L$1,0),FALSE)),"")</f>
        <v/>
      </c>
      <c r="D3" t="str">
        <f>IF(ISNUMBER(VLOOKUP($A3,Haver_Q!$B$1:$L$185,MATCH(data!D$1,Haver_Q!$B$1:$L$1,0),FALSE)),100*(VLOOKUP($A3,Haver_Q!$B$1:$L$185,MATCH(data!D$1,Haver_Q!$B$1:$L$1,0),FALSE)),"")</f>
        <v/>
      </c>
      <c r="E3" t="str">
        <f>IF(ISNUMBER(VLOOKUP($A3,Haver_Q!$B$1:$L$185,MATCH(data!E$1,Haver_Q!$B$1:$L$1,0),FALSE)),100*(VLOOKUP($A3,Haver_Q!$B$1:$L$185,MATCH(data!E$1,Haver_Q!$B$1:$L$1,0),FALSE)),"")</f>
        <v/>
      </c>
      <c r="F3" t="str">
        <f>IF(ISNUMBER(VLOOKUP($A3,Haver_Q!$B$1:$L$185,MATCH(data!F$1,Haver_Q!$B$1:$L$1,0),FALSE)),100*(VLOOKUP($A3,Haver_Q!$B$1:$L$185,MATCH(data!F$1,Haver_Q!$B$1:$L$1,0),FALSE)),"")</f>
        <v/>
      </c>
      <c r="G3" t="str">
        <f>IF(ISNUMBER(VLOOKUP($A3,Haver_Q!$B$1:$L$185,MATCH(data!G$1,Haver_Q!$B$1:$L$1,0),FALSE)),100*(VLOOKUP($A3,Haver_Q!$B$1:$L$185,MATCH(data!G$1,Haver_Q!$B$1:$L$1,0),FALSE)),"")</f>
        <v/>
      </c>
      <c r="H3" t="str">
        <f>IF(ISNUMBER(VLOOKUP($A3,Haver_Q!$B$1:$L$185,MATCH(data!H$1,Haver_Q!$B$1:$L$1,0),FALSE)),(VLOOKUP($A3,Haver_Q!$B$1:$L$185,MATCH(data!H$1,Haver_Q!$B$1:$L$1,0),FALSE)),"")</f>
        <v/>
      </c>
      <c r="I3" t="str">
        <f>IF(ISNUMBER(VLOOKUP($A3,Haver_Q!$B$1:$L$185,MATCH(data!I$1,Haver_Q!$B$1:$L$1,0),FALSE)),100*(VLOOKUP($A3,Haver_Q!$B$1:$L$185,MATCH(data!I$1,Haver_Q!$B$1:$L$1,0),FALSE)),"")</f>
        <v/>
      </c>
      <c r="J3" s="3">
        <f>IF(ISNUMBER(Bloomberg_m!C19),Bloomberg_m!C19,"")</f>
        <v>1393</v>
      </c>
      <c r="K3" s="3" t="str">
        <f>IF(ISNUMBER(Bloomberg_m!D19),Bloomberg_m!D19,"")</f>
        <v/>
      </c>
      <c r="L3" s="3" t="str">
        <f>IF(ISNUMBER(Bloomberg_m!E19),Bloomberg_m!E19,"")</f>
        <v/>
      </c>
      <c r="M3" s="3" t="str">
        <f>IF(ISNUMBER(Bloomberg_m!F19),Bloomberg_m!F19,"")</f>
        <v/>
      </c>
      <c r="N3" t="str">
        <f>IF(ISNUMBER(VLOOKUP($A3,Haver_M!$B$1:$BZ$300,MATCH(data!N$1,Haver_M!$B$1:$BZ$1,0),FALSE)),VLOOKUP($A3,Haver_M!$B$1:$BZ$300,MATCH(data!N$1,Haver_M!$B$1:$BZ$1,0),FALSE),"")</f>
        <v/>
      </c>
      <c r="O3">
        <f>IF(ISNUMBER(VLOOKUP($A3,Haver_M!$B$1:$BZ$300,MATCH(data!O$1,Haver_M!$B$1:$BZ$1,0),FALSE)),VLOOKUP($A3,Haver_M!$B$1:$BZ$300,MATCH(data!O$1,Haver_M!$B$1:$BZ$1,0),FALSE),"")</f>
        <v>10.441599999999999</v>
      </c>
      <c r="P3">
        <f>IF(ISNUMBER(VLOOKUP($A3,Haver_M!$B$1:$BZ$300,MATCH(data!P$1,Haver_M!$B$1:$BZ$1,0),FALSE)),VLOOKUP($A3,Haver_M!$B$1:$BZ$300,MATCH(data!P$1,Haver_M!$B$1:$BZ$1,0),FALSE),"")</f>
        <v>92.206590000000006</v>
      </c>
      <c r="Q3" t="str">
        <f>IF(ISNUMBER(VLOOKUP($A3,Haver_M!$B$1:$BZ$300,MATCH(data!Q$1,Haver_M!$B$1:$BZ$1,0),FALSE)),VLOOKUP($A3,Haver_M!$B$1:$BZ$300,MATCH(data!Q$1,Haver_M!$B$1:$BZ$1,0),FALSE),"")</f>
        <v/>
      </c>
      <c r="R3" t="str">
        <f>IF(ISNUMBER(VLOOKUP($A3,Haver_M!$B$1:$BZ$300,MATCH(data!R$1,Haver_M!$B$1:$BZ$1,0),FALSE)),VLOOKUP($A3,Haver_M!$B$1:$BZ$300,MATCH(data!R$1,Haver_M!$B$1:$BZ$1,0),FALSE),"")</f>
        <v/>
      </c>
      <c r="S3">
        <f>IF(ISNUMBER(VLOOKUP($A3,Haver_M!$B$1:$BZ$300,MATCH(data!S$1,Haver_M!$B$1:$BZ$1,0),FALSE)),VLOOKUP($A3,Haver_M!$B$1:$BZ$300,MATCH(data!S$1,Haver_M!$B$1:$BZ$1,0),FALSE),"")</f>
        <v>44.07</v>
      </c>
      <c r="T3">
        <f>IF(ISNUMBER(VLOOKUP($A3,Haver_M!$B$1:$BZ$300,MATCH(data!T$1,Haver_M!$B$1:$BZ$1,0),FALSE)),VLOOKUP($A3,Haver_M!$B$1:$BZ$300,MATCH(data!T$1,Haver_M!$B$1:$BZ$1,0),FALSE),"")</f>
        <v>53.84</v>
      </c>
      <c r="U3">
        <f>IF(ISNUMBER(VLOOKUP($A3,Haver_M!$B$1:$BZ$300,MATCH(data!U$1,Haver_M!$B$1:$BZ$1,0),FALSE)),VLOOKUP($A3,Haver_M!$B$1:$BZ$300,MATCH(data!U$1,Haver_M!$B$1:$BZ$1,0),FALSE),"")</f>
        <v>26.76</v>
      </c>
      <c r="V3">
        <f>IF(ISNUMBER(VLOOKUP($A3,Haver_M!$B$1:$BZ$300,MATCH(data!V$1,Haver_M!$B$1:$BZ$1,0),FALSE)),VLOOKUP($A3,Haver_M!$B$1:$BZ$300,MATCH(data!V$1,Haver_M!$B$1:$BZ$1,0),FALSE),"")</f>
        <v>55.37</v>
      </c>
      <c r="W3" t="str">
        <f>IF(ISNUMBER(VLOOKUP($A3,Haver_M!$B$1:$BZ$300,MATCH(data!W$1,Haver_M!$B$1:$BZ$1,0),FALSE)),VLOOKUP($A3,Haver_M!$B$1:$BZ$300,MATCH(data!W$1,Haver_M!$B$1:$BZ$1,0),FALSE),"")</f>
        <v/>
      </c>
      <c r="X3">
        <f>IF(ISNUMBER(VLOOKUP($A3,Haver_M!$B$1:$BZ$300,MATCH(data!X$1,Haver_M!$B$1:$BZ$1,0),FALSE)),VLOOKUP($A3,Haver_M!$B$1:$BZ$300,MATCH(data!X$1,Haver_M!$B$1:$BZ$1,0),FALSE),"")</f>
        <v>23.3</v>
      </c>
      <c r="Y3">
        <f>IF(ISNUMBER(VLOOKUP($A3,Haver_M!$B$1:$BZ$300,MATCH(data!Y$1,Haver_M!$B$1:$BZ$1,0),FALSE)),VLOOKUP($A3,Haver_M!$B$1:$BZ$300,MATCH(data!Y$1,Haver_M!$B$1:$BZ$1,0),FALSE),"")</f>
        <v>45.97</v>
      </c>
      <c r="Z3" t="str">
        <f>IF(ISNUMBER(VLOOKUP($A3,Haver_M!$B$1:$BZ$300,MATCH(data!Z$1,Haver_M!$B$1:$BZ$1,0),FALSE)),VLOOKUP($A3,Haver_M!$B$1:$BZ$300,MATCH(data!Z$1,Haver_M!$B$1:$BZ$1,0),FALSE),"")</f>
        <v/>
      </c>
      <c r="AA3" t="str">
        <f>IF(ISNUMBER(VLOOKUP($A3,Haver_M!$B$1:$BZ$300,MATCH(data!AA$1,Haver_M!$B$1:$BZ$1,0),FALSE)),VLOOKUP($A3,Haver_M!$B$1:$BZ$300,MATCH(data!AA$1,Haver_M!$B$1:$BZ$1,0),FALSE),"")</f>
        <v/>
      </c>
      <c r="AB3" t="str">
        <f>IF(ISNUMBER(VLOOKUP($A3,Haver_M!$B$1:$BZ$300,MATCH(data!AB$1,Haver_M!$B$1:$BZ$1,0),FALSE)),VLOOKUP($A3,Haver_M!$B$1:$BZ$300,MATCH(data!AB$1,Haver_M!$B$1:$BZ$1,0),FALSE),"")</f>
        <v/>
      </c>
      <c r="AC3" t="str">
        <f>IF(ISNUMBER(VLOOKUP($A3,Haver_M!$B$1:$BZ$300,MATCH(data!AC$1,Haver_M!$B$1:$BZ$1,0),FALSE)),VLOOKUP($A3,Haver_M!$B$1:$BZ$300,MATCH(data!AC$1,Haver_M!$B$1:$BZ$1,0),FALSE),"")</f>
        <v/>
      </c>
      <c r="AD3" t="str">
        <f>IF(ISNUMBER(VLOOKUP($A3,Haver_M!$B$1:$BZ$300,MATCH(data!AD$1,Haver_M!$B$1:$BZ$1,0),FALSE)),VLOOKUP($A3,Haver_M!$B$1:$BZ$300,MATCH(data!AD$1,Haver_M!$B$1:$BZ$1,0),FALSE),"")</f>
        <v/>
      </c>
      <c r="AE3" t="str">
        <f>IF(ISNUMBER(VLOOKUP($A3,Haver_M!$B$1:$BZ$300,MATCH(data!AE$1,Haver_M!$B$1:$BZ$1,0),FALSE)),VLOOKUP($A3,Haver_M!$B$1:$BZ$300,MATCH(data!AE$1,Haver_M!$B$1:$BZ$1,0),FALSE),"")</f>
        <v/>
      </c>
      <c r="AF3" t="str">
        <f>IF(ISNUMBER(VLOOKUP($A3,Haver_M!$B$1:$BZ$300,MATCH(data!AF$1,Haver_M!$B$1:$BZ$1,0),FALSE)),VLOOKUP($A3,Haver_M!$B$1:$BZ$300,MATCH(data!AF$1,Haver_M!$B$1:$BZ$1,0),FALSE),"")</f>
        <v/>
      </c>
      <c r="AG3" t="str">
        <f>IF(ISNUMBER(VLOOKUP($A3,Haver_M!$B$1:$BZ$300,MATCH(data!AG$1,Haver_M!$B$1:$BZ$1,0),FALSE)),VLOOKUP($A3,Haver_M!$B$1:$BZ$300,MATCH(data!AG$1,Haver_M!$B$1:$BZ$1,0),FALSE),"")</f>
        <v/>
      </c>
      <c r="AH3" t="str">
        <f>IF(ISNUMBER(VLOOKUP($A3,Haver_M!$B$1:$BZ$300,MATCH(data!AH$1,Haver_M!$B$1:$BZ$1,0),FALSE)),VLOOKUP($A3,Haver_M!$B$1:$BZ$300,MATCH(data!AH$1,Haver_M!$B$1:$BZ$1,0),FALSE),"")</f>
        <v/>
      </c>
      <c r="AI3">
        <f>IF(ISNUMBER(VLOOKUP($A3,Haver_M!$B$1:$BZ$300,MATCH(data!AI$1,Haver_M!$B$1:$BZ$1,0),FALSE)),VLOOKUP($A3,Haver_M!$B$1:$BZ$300,MATCH(data!AI$1,Haver_M!$B$1:$BZ$1,0),FALSE),"")</f>
        <v>8487.2218183103996</v>
      </c>
      <c r="AJ3">
        <f>IF(ISNUMBER(VLOOKUP($A3,Haver_M!$B$1:$BZ$300,MATCH(data!AJ$1,Haver_M!$B$1:$BZ$1,0),FALSE)),VLOOKUP($A3,Haver_M!$B$1:$BZ$300,MATCH(data!AJ$1,Haver_M!$B$1:$BZ$1,0),FALSE),"")</f>
        <v>3406.19</v>
      </c>
      <c r="AK3">
        <f>IF(ISNUMBER(VLOOKUP($A3,Haver_M!$B$1:$BZ$300,MATCH(data!AK$1,Haver_M!$B$1:$BZ$1,0),FALSE)),VLOOKUP($A3,Haver_M!$B$1:$BZ$300,MATCH(data!AK$1,Haver_M!$B$1:$BZ$1,0),FALSE),"")</f>
        <v>4558.46</v>
      </c>
      <c r="AL3" t="str">
        <f>IF(ISNUMBER(VLOOKUP($A3,Haver_M!$B$1:$BZ$300,MATCH(data!AL$1,Haver_M!$B$1:$BZ$1,0),FALSE)),VLOOKUP($A3,Haver_M!$B$1:$BZ$300,MATCH(data!AL$1,Haver_M!$B$1:$BZ$1,0),FALSE),"")</f>
        <v/>
      </c>
      <c r="AM3" t="str">
        <f>IF(ISNUMBER(VLOOKUP($A3,Haver_M!$B$1:$BZ$300,MATCH(data!AM$1,Haver_M!$B$1:$BZ$1,0),FALSE)),VLOOKUP($A3,Haver_M!$B$1:$BZ$300,MATCH(data!AM$1,Haver_M!$B$1:$BZ$1,0),FALSE),"")</f>
        <v/>
      </c>
      <c r="AN3" t="str">
        <f>IF(ISNUMBER(VLOOKUP($A3,Haver_M!$B$1:$BZ$300,MATCH(data!AN$1,Haver_M!$B$1:$BZ$1,0),FALSE)),VLOOKUP($A3,Haver_M!$B$1:$BZ$300,MATCH(data!AN$1,Haver_M!$B$1:$BZ$1,0),FALSE),"")</f>
        <v/>
      </c>
      <c r="AO3" t="str">
        <f>IF(ISNUMBER(VLOOKUP($A3,Haver_M!$B$1:$BZ$300,MATCH(data!AO$1,Haver_M!$B$1:$BZ$1,0),FALSE)),VLOOKUP($A3,Haver_M!$B$1:$BZ$300,MATCH(data!AO$1,Haver_M!$B$1:$BZ$1,0),FALSE),"")</f>
        <v/>
      </c>
      <c r="AP3">
        <f>IF(ISNUMBER(VLOOKUP($A3,Haver_M!$B$1:$BZ$300,MATCH(data!AP$1,Haver_M!$B$1:$BZ$1,0),FALSE)),VLOOKUP($A3,Haver_M!$B$1:$BZ$300,MATCH(data!AP$1,Haver_M!$B$1:$BZ$1,0),FALSE),"")</f>
        <v>56.396633189140083</v>
      </c>
      <c r="AQ3" t="str">
        <f>IF(ISNUMBER(VLOOKUP($A3,Haver_M!$B$1:$BZ$300,MATCH(data!AQ$1,Haver_M!$B$1:$BZ$1,0),FALSE)),VLOOKUP($A3,Haver_M!$B$1:$BZ$300,MATCH(data!AQ$1,Haver_M!$B$1:$BZ$1,0),FALSE),"")</f>
        <v/>
      </c>
      <c r="AR3" t="str">
        <f>IF(ISNUMBER(VLOOKUP($A3,Haver_M!$B$1:$BZ$300,MATCH(data!AR$1,Haver_M!$B$1:$BZ$1,0),FALSE)),VLOOKUP($A3,Haver_M!$B$1:$BZ$300,MATCH(data!AR$1,Haver_M!$B$1:$BZ$1,0),FALSE),"")</f>
        <v/>
      </c>
      <c r="AS3" t="str">
        <f>IF(ISNUMBER(VLOOKUP($A3,Haver_M!$B$1:$BZ$300,MATCH(data!AS$1,Haver_M!$B$1:$BZ$1,0),FALSE)),VLOOKUP($A3,Haver_M!$B$1:$BZ$300,MATCH(data!AS$1,Haver_M!$B$1:$BZ$1,0),FALSE),"")</f>
        <v/>
      </c>
      <c r="AT3" t="str">
        <f>IF(ISNUMBER(VLOOKUP($A3,Haver_M!$B$1:$BZ$300,MATCH(data!AT$1,Haver_M!$B$1:$BZ$1,0),FALSE)),VLOOKUP($A3,Haver_M!$B$1:$BZ$300,MATCH(data!AT$1,Haver_M!$B$1:$BZ$1,0),FALSE),"")</f>
        <v/>
      </c>
      <c r="AU3" t="str">
        <f>IF(ISNUMBER(VLOOKUP($A3,Haver_M!$B$1:$BZ$300,MATCH(data!AU$1,Haver_M!$B$1:$BZ$1,0),FALSE)),VLOOKUP($A3,Haver_M!$B$1:$BZ$300,MATCH(data!AU$1,Haver_M!$B$1:$BZ$1,0),FALSE),"")</f>
        <v/>
      </c>
      <c r="AV3" t="str">
        <f>IF(ISNUMBER(VLOOKUP($A3,Haver_M!$B$1:$BZ$300,MATCH(data!AV$1,Haver_M!$B$1:$BZ$1,0),FALSE)),VLOOKUP($A3,Haver_M!$B$1:$BZ$300,MATCH(data!AV$1,Haver_M!$B$1:$BZ$1,0),FALSE),"")</f>
        <v/>
      </c>
      <c r="AW3" t="str">
        <f>IF(ISNUMBER(VLOOKUP($A3,Haver_M!$B$1:$BZ$300,MATCH(data!AW$1,Haver_M!$B$1:$BZ$1,0),FALSE)),VLOOKUP($A3,Haver_M!$B$1:$BZ$300,MATCH(data!AW$1,Haver_M!$B$1:$BZ$1,0),FALSE),"")</f>
        <v/>
      </c>
      <c r="AX3" t="str">
        <f>IF(ISNUMBER(VLOOKUP($A3,Haver_M!$B$1:$BZ$300,MATCH(data!AX$1,Haver_M!$B$1:$BZ$1,0),FALSE)),VLOOKUP($A3,Haver_M!$B$1:$BZ$300,MATCH(data!AX$1,Haver_M!$B$1:$BZ$1,0),FALSE),"")</f>
        <v/>
      </c>
      <c r="AY3" t="str">
        <f>IF(ISNUMBER(VLOOKUP($A3,Haver_M!$B$1:$BZ$300,MATCH(data!AY$1,Haver_M!$B$1:$BZ$1,0),FALSE)),VLOOKUP($A3,Haver_M!$B$1:$BZ$300,MATCH(data!AY$1,Haver_M!$B$1:$BZ$1,0),FALSE),"")</f>
        <v/>
      </c>
      <c r="AZ3" t="str">
        <f>IF(ISNUMBER(VLOOKUP($A3,Haver_M!$B$1:$BZ$300,MATCH(data!AZ$1,Haver_M!$B$1:$BZ$1,0),FALSE)),VLOOKUP($A3,Haver_M!$B$1:$BZ$300,MATCH(data!AZ$1,Haver_M!$B$1:$BZ$1,0),FALSE),"")</f>
        <v/>
      </c>
      <c r="BA3" t="str">
        <f>IF(ISNUMBER(VLOOKUP($A3,Haver_M!$B$1:$BZ$300,MATCH(data!BA$1,Haver_M!$B$1:$BZ$1,0),FALSE)),VLOOKUP($A3,Haver_M!$B$1:$BZ$300,MATCH(data!BA$1,Haver_M!$B$1:$BZ$1,0),FALSE),"")</f>
        <v/>
      </c>
      <c r="BB3" t="str">
        <f>IF(ISNUMBER(VLOOKUP($A3,Haver_M!$B$1:$BZ$300,MATCH(data!BB$1,Haver_M!$B$1:$BZ$1,0),FALSE)),VLOOKUP($A3,Haver_M!$B$1:$BZ$300,MATCH(data!BB$1,Haver_M!$B$1:$BZ$1,0),FALSE),"")</f>
        <v/>
      </c>
      <c r="BC3" t="str">
        <f>IF(ISNUMBER(VLOOKUP($A3,Haver_M!$B$1:$BZ$300,MATCH(data!BC$1,Haver_M!$B$1:$BZ$1,0),FALSE)),VLOOKUP($A3,Haver_M!$B$1:$BZ$300,MATCH(data!BC$1,Haver_M!$B$1:$BZ$1,0),FALSE),"")</f>
        <v/>
      </c>
      <c r="BD3" t="str">
        <f>IF(ISNUMBER(VLOOKUP($A3,Haver_M!$B$1:$BZ$300,MATCH(data!BD$1,Haver_M!$B$1:$BZ$1,0),FALSE)),VLOOKUP($A3,Haver_M!$B$1:$BZ$300,MATCH(data!BD$1,Haver_M!$B$1:$BZ$1,0),FALSE),"")</f>
        <v/>
      </c>
      <c r="BE3" t="str">
        <f>IF(ISNUMBER(VLOOKUP($A3,Haver_M!$B$1:$BZ$300,MATCH(data!BE$1,Haver_M!$B$1:$BZ$1,0),FALSE)),VLOOKUP($A3,Haver_M!$B$1:$BZ$300,MATCH(data!BE$1,Haver_M!$B$1:$BZ$1,0),FALSE),"")</f>
        <v/>
      </c>
      <c r="BF3" t="str">
        <f>IF(ISNUMBER(VLOOKUP($A3,Haver_M!$B$1:$BZ$300,MATCH(data!BF$1,Haver_M!$B$1:$BZ$1,0),FALSE)),VLOOKUP($A3,Haver_M!$B$1:$BZ$300,MATCH(data!BF$1,Haver_M!$B$1:$BZ$1,0),FALSE),"")</f>
        <v/>
      </c>
      <c r="BG3" t="str">
        <f>IF(ISNUMBER(VLOOKUP($A3,Haver_M!$B$1:$BZ$300,MATCH(data!BG$1,Haver_M!$B$1:$BZ$1,0),FALSE)),VLOOKUP($A3,Haver_M!$B$1:$BZ$300,MATCH(data!BG$1,Haver_M!$B$1:$BZ$1,0),FALSE),"")</f>
        <v/>
      </c>
      <c r="BH3" t="str">
        <f>IF(ISNUMBER(VLOOKUP($A3,Haver_M!$B$1:$BZ$300,MATCH(data!BH$1,Haver_M!$B$1:$BZ$1,0),FALSE)),VLOOKUP($A3,Haver_M!$B$1:$BZ$300,MATCH(data!BH$1,Haver_M!$B$1:$BZ$1,0),FALSE),"")</f>
        <v/>
      </c>
      <c r="BI3" t="str">
        <f>IF(ISNUMBER(VLOOKUP($A3,Haver_M!$B$1:$BZ$300,MATCH(data!BI$1,Haver_M!$B$1:$BZ$1,0),FALSE)),VLOOKUP($A3,Haver_M!$B$1:$BZ$300,MATCH(data!BI$1,Haver_M!$B$1:$BZ$1,0),FALSE),"")</f>
        <v/>
      </c>
      <c r="BJ3" t="str">
        <f>IF(ISNUMBER(VLOOKUP($A3,Haver_M!$B$1:$BZ$300,MATCH(data!BJ$1,Haver_M!$B$1:$BZ$1,0),FALSE)),VLOOKUP($A3,Haver_M!$B$1:$BZ$300,MATCH(data!BJ$1,Haver_M!$B$1:$BZ$1,0),FALSE),"")</f>
        <v/>
      </c>
      <c r="BK3" t="str">
        <f>IF(ISNUMBER(VLOOKUP($A3,Haver_M!$B$1:$BZ$300,MATCH(data!BK$1,Haver_M!$B$1:$BZ$1,0),FALSE)),VLOOKUP($A3,Haver_M!$B$1:$BZ$300,MATCH(data!BK$1,Haver_M!$B$1:$BZ$1,0),FALSE),"")</f>
        <v/>
      </c>
      <c r="BL3">
        <f>IF(ISNUMBER(VLOOKUP($A3,Haver_M!$B$1:$BZ$300,MATCH(data!BL$1,Haver_M!$B$1:$BZ$1,0),FALSE)),VLOOKUP($A3,Haver_M!$B$1:$BZ$300,MATCH(data!BL$1,Haver_M!$B$1:$BZ$1,0),FALSE),"")</f>
        <v>5650.66</v>
      </c>
      <c r="BM3">
        <f>IF(ISNUMBER(VLOOKUP($A3,Haver_M!$B$1:$BZ$300,MATCH(data!BM$1,Haver_M!$B$1:$BZ$1,0),FALSE)),VLOOKUP($A3,Haver_M!$B$1:$BZ$300,MATCH(data!BM$1,Haver_M!$B$1:$BZ$1,0),FALSE),"")</f>
        <v>118.91702409</v>
      </c>
      <c r="BN3" t="str">
        <f>IF(ISNUMBER(VLOOKUP($A3,Haver_M!$B$1:$BZ$300,MATCH(data!BN$1,Haver_M!$B$1:$BZ$1,0),FALSE)),VLOOKUP($A3,Haver_M!$B$1:$BZ$300,MATCH(data!BN$1,Haver_M!$B$1:$BZ$1,0),FALSE),"")</f>
        <v/>
      </c>
      <c r="BO3" t="str">
        <f>IF(ISNUMBER(VLOOKUP($A3,Haver_M!$B$1:$BZ$300,MATCH(data!BO$1,Haver_M!$B$1:$BZ$1,0),FALSE)),VLOOKUP($A3,Haver_M!$B$1:$BZ$300,MATCH(data!BO$1,Haver_M!$B$1:$BZ$1,0),FALSE),"")</f>
        <v/>
      </c>
      <c r="BP3" t="str">
        <f>IF(ISNUMBER(VLOOKUP($A3,Haver_M!$B$1:$BZ$300,MATCH(data!BP$1,Haver_M!$B$1:$BZ$1,0),FALSE)),VLOOKUP($A3,Haver_M!$B$1:$BZ$300,MATCH(data!BP$1,Haver_M!$B$1:$BZ$1,0),FALSE),"")</f>
        <v/>
      </c>
      <c r="BQ3" t="str">
        <f>IF(ISNUMBER(VLOOKUP($A3,Haver_M!$B$1:$BZ$300,MATCH(data!BQ$1,Haver_M!$B$1:$BZ$1,0),FALSE)),VLOOKUP($A3,Haver_M!$B$1:$BZ$300,MATCH(data!BQ$1,Haver_M!$B$1:$BZ$1,0),FALSE),"")</f>
        <v/>
      </c>
      <c r="BR3" t="str">
        <f>IF(ISNUMBER(VLOOKUP($A3,Haver_M!$B$1:$BZ$300,MATCH(data!BR$1,Haver_M!$B$1:$BZ$1,0),FALSE)),VLOOKUP($A3,Haver_M!$B$1:$BZ$300,MATCH(data!BR$1,Haver_M!$B$1:$BZ$1,0),FALSE),"")</f>
        <v/>
      </c>
      <c r="BS3" t="str">
        <f>IF(ISNUMBER(VLOOKUP($A3,Haver_M!$B$1:$BZ$300,MATCH(data!BS$1,Haver_M!$B$1:$BZ$1,0),FALSE)),VLOOKUP($A3,Haver_M!$B$1:$BZ$300,MATCH(data!BS$1,Haver_M!$B$1:$BZ$1,0),FALSE),"")</f>
        <v/>
      </c>
      <c r="BT3" t="str">
        <f>IF(ISNUMBER(VLOOKUP($A3,Haver_M!$B$1:$BZ$300,MATCH(data!BT$1,Haver_M!$B$1:$BZ$1,0),FALSE)),VLOOKUP($A3,Haver_M!$B$1:$BZ$300,MATCH(data!BT$1,Haver_M!$B$1:$BZ$1,0),FALSE),"")</f>
        <v/>
      </c>
      <c r="BU3">
        <f>IF(ISNUMBER(VLOOKUP($A3,Haver_M!$B$1:$BZ$300,MATCH(data!BU$1,Haver_M!$B$1:$BZ$1,0),FALSE)),VLOOKUP($A3,Haver_M!$B$1:$BZ$300,MATCH(data!BU$1,Haver_M!$B$1:$BZ$1,0),FALSE),"")</f>
        <v>3404</v>
      </c>
      <c r="BV3">
        <f>IF(ISNUMBER(VLOOKUP($A3,Haver_M!$B$1:$BZ$300,MATCH(data!BV$1,Haver_M!$B$1:$BZ$1,0),FALSE)),VLOOKUP($A3,Haver_M!$B$1:$BZ$300,MATCH(data!BV$1,Haver_M!$B$1:$BZ$1,0),FALSE),"")</f>
        <v>4344</v>
      </c>
      <c r="BW3">
        <f>IF(ISNUMBER(VLOOKUP($A3,Haver_M!$B$1:$BZ$300,MATCH(data!BW$1,Haver_M!$B$1:$BZ$1,0),FALSE)),VLOOKUP($A3,Haver_M!$B$1:$BZ$300,MATCH(data!BW$1,Haver_M!$B$1:$BZ$1,0),FALSE),"")</f>
        <v>43.613599999999998</v>
      </c>
      <c r="BX3">
        <f>IF(ISNUMBER(VLOOKUP($A3,Haver_M!$B$1:$BZ$300,MATCH(data!BX$1,Haver_M!$B$1:$BZ$1,0),FALSE)),VLOOKUP($A3,Haver_M!$B$1:$BZ$300,MATCH(data!BX$1,Haver_M!$B$1:$BZ$1,0),FALSE),"")</f>
        <v>30452</v>
      </c>
    </row>
    <row r="4" spans="1:76" x14ac:dyDescent="0.25">
      <c r="A4" s="2">
        <v>36616</v>
      </c>
      <c r="B4">
        <f>IF(ISNUMBER(VLOOKUP($A4,Haver_Q!$B$1:$L$185,MATCH(data!B$1,Haver_Q!$B$1:$L$1,0),FALSE)),100*(VLOOKUP($A4,Haver_Q!$B$1:$L$185,MATCH(data!B$1,Haver_Q!$B$1:$L$1,0),FALSE)),"")</f>
        <v>10.298596211193534</v>
      </c>
      <c r="C4">
        <f>IF(ISNUMBER(VLOOKUP($A4,Haver_Q!$B$1:$L$185,MATCH(data!C$1,Haver_Q!$B$1:$L$1,0),FALSE)),100*(VLOOKUP($A4,Haver_Q!$B$1:$L$185,MATCH(data!C$1,Haver_Q!$B$1:$L$1,0),FALSE)),"")</f>
        <v>-8.0891713862850327</v>
      </c>
      <c r="D4">
        <f>IF(ISNUMBER(VLOOKUP($A4,Haver_Q!$B$1:$L$185,MATCH(data!D$1,Haver_Q!$B$1:$L$1,0),FALSE)),100*(VLOOKUP($A4,Haver_Q!$B$1:$L$185,MATCH(data!D$1,Haver_Q!$B$1:$L$1,0),FALSE)),"")</f>
        <v>-27.771343074339072</v>
      </c>
      <c r="E4">
        <f>IF(ISNUMBER(VLOOKUP($A4,Haver_Q!$B$1:$L$185,MATCH(data!E$1,Haver_Q!$B$1:$L$1,0),FALSE)),100*(VLOOKUP($A4,Haver_Q!$B$1:$L$185,MATCH(data!E$1,Haver_Q!$B$1:$L$1,0),FALSE)),"")</f>
        <v>16.94346424793396</v>
      </c>
      <c r="F4">
        <f>IF(ISNUMBER(VLOOKUP($A4,Haver_Q!$B$1:$L$185,MATCH(data!F$1,Haver_Q!$B$1:$L$1,0),FALSE)),100*(VLOOKUP($A4,Haver_Q!$B$1:$L$185,MATCH(data!F$1,Haver_Q!$B$1:$L$1,0),FALSE)),"")</f>
        <v>41.846563261480775</v>
      </c>
      <c r="G4">
        <f>IF(ISNUMBER(VLOOKUP($A4,Haver_Q!$B$1:$L$185,MATCH(data!G$1,Haver_Q!$B$1:$L$1,0),FALSE)),100*(VLOOKUP($A4,Haver_Q!$B$1:$L$185,MATCH(data!G$1,Haver_Q!$B$1:$L$1,0),FALSE)),"")</f>
        <v>40.045024998823834</v>
      </c>
      <c r="H4">
        <f>IF(ISNUMBER(VLOOKUP($A4,Haver_Q!$B$1:$L$185,MATCH(data!H$1,Haver_Q!$B$1:$L$1,0),FALSE)),(VLOOKUP($A4,Haver_Q!$B$1:$L$185,MATCH(data!H$1,Haver_Q!$B$1:$L$1,0),FALSE)),"")</f>
        <v>5.3384294616773893</v>
      </c>
      <c r="I4">
        <f>IF(ISNUMBER(VLOOKUP($A4,Haver_Q!$B$1:$L$185,MATCH(data!I$1,Haver_Q!$B$1:$L$1,0),FALSE)),100*(VLOOKUP($A4,Haver_Q!$B$1:$L$185,MATCH(data!I$1,Haver_Q!$B$1:$L$1,0),FALSE)),"")</f>
        <v>7.2432585846549324</v>
      </c>
      <c r="J4" s="3">
        <f>IF(ISNUMBER(Bloomberg_m!C20),Bloomberg_m!C20,"")</f>
        <v>1621</v>
      </c>
      <c r="K4" s="3" t="str">
        <f>IF(ISNUMBER(Bloomberg_m!D20),Bloomberg_m!D20,"")</f>
        <v/>
      </c>
      <c r="L4" s="3" t="str">
        <f>IF(ISNUMBER(Bloomberg_m!E20),Bloomberg_m!E20,"")</f>
        <v/>
      </c>
      <c r="M4" s="3" t="str">
        <f>IF(ISNUMBER(Bloomberg_m!F20),Bloomberg_m!F20,"")</f>
        <v/>
      </c>
      <c r="N4" t="str">
        <f>IF(ISNUMBER(VLOOKUP($A4,Haver_M!$B$1:$BZ$300,MATCH(data!N$1,Haver_M!$B$1:$BZ$1,0),FALSE)),VLOOKUP($A4,Haver_M!$B$1:$BZ$300,MATCH(data!N$1,Haver_M!$B$1:$BZ$1,0),FALSE),"")</f>
        <v/>
      </c>
      <c r="O4">
        <f>IF(ISNUMBER(VLOOKUP($A4,Haver_M!$B$1:$BZ$300,MATCH(data!O$1,Haver_M!$B$1:$BZ$1,0),FALSE)),VLOOKUP($A4,Haver_M!$B$1:$BZ$300,MATCH(data!O$1,Haver_M!$B$1:$BZ$1,0),FALSE),"")</f>
        <v>10.866300000000001</v>
      </c>
      <c r="P4">
        <f>IF(ISNUMBER(VLOOKUP($A4,Haver_M!$B$1:$BZ$300,MATCH(data!P$1,Haver_M!$B$1:$BZ$1,0),FALSE)),VLOOKUP($A4,Haver_M!$B$1:$BZ$300,MATCH(data!P$1,Haver_M!$B$1:$BZ$1,0),FALSE),"")</f>
        <v>94.059749999999994</v>
      </c>
      <c r="Q4" t="str">
        <f>IF(ISNUMBER(VLOOKUP($A4,Haver_M!$B$1:$BZ$300,MATCH(data!Q$1,Haver_M!$B$1:$BZ$1,0),FALSE)),VLOOKUP($A4,Haver_M!$B$1:$BZ$300,MATCH(data!Q$1,Haver_M!$B$1:$BZ$1,0),FALSE),"")</f>
        <v/>
      </c>
      <c r="R4" t="str">
        <f>IF(ISNUMBER(VLOOKUP($A4,Haver_M!$B$1:$BZ$300,MATCH(data!R$1,Haver_M!$B$1:$BZ$1,0),FALSE)),VLOOKUP($A4,Haver_M!$B$1:$BZ$300,MATCH(data!R$1,Haver_M!$B$1:$BZ$1,0),FALSE),"")</f>
        <v/>
      </c>
      <c r="S4">
        <f>IF(ISNUMBER(VLOOKUP($A4,Haver_M!$B$1:$BZ$300,MATCH(data!S$1,Haver_M!$B$1:$BZ$1,0),FALSE)),VLOOKUP($A4,Haver_M!$B$1:$BZ$300,MATCH(data!S$1,Haver_M!$B$1:$BZ$1,0),FALSE),"")</f>
        <v>45.67</v>
      </c>
      <c r="T4">
        <f>IF(ISNUMBER(VLOOKUP($A4,Haver_M!$B$1:$BZ$300,MATCH(data!T$1,Haver_M!$B$1:$BZ$1,0),FALSE)),VLOOKUP($A4,Haver_M!$B$1:$BZ$300,MATCH(data!T$1,Haver_M!$B$1:$BZ$1,0),FALSE),"")</f>
        <v>55.16</v>
      </c>
      <c r="U4">
        <f>IF(ISNUMBER(VLOOKUP($A4,Haver_M!$B$1:$BZ$300,MATCH(data!U$1,Haver_M!$B$1:$BZ$1,0),FALSE)),VLOOKUP($A4,Haver_M!$B$1:$BZ$300,MATCH(data!U$1,Haver_M!$B$1:$BZ$1,0),FALSE),"")</f>
        <v>26.04</v>
      </c>
      <c r="V4">
        <f>IF(ISNUMBER(VLOOKUP($A4,Haver_M!$B$1:$BZ$300,MATCH(data!V$1,Haver_M!$B$1:$BZ$1,0),FALSE)),VLOOKUP($A4,Haver_M!$B$1:$BZ$300,MATCH(data!V$1,Haver_M!$B$1:$BZ$1,0),FALSE),"")</f>
        <v>56.77</v>
      </c>
      <c r="W4" t="str">
        <f>IF(ISNUMBER(VLOOKUP($A4,Haver_M!$B$1:$BZ$300,MATCH(data!W$1,Haver_M!$B$1:$BZ$1,0),FALSE)),VLOOKUP($A4,Haver_M!$B$1:$BZ$300,MATCH(data!W$1,Haver_M!$B$1:$BZ$1,0),FALSE),"")</f>
        <v/>
      </c>
      <c r="X4">
        <f>IF(ISNUMBER(VLOOKUP($A4,Haver_M!$B$1:$BZ$300,MATCH(data!X$1,Haver_M!$B$1:$BZ$1,0),FALSE)),VLOOKUP($A4,Haver_M!$B$1:$BZ$300,MATCH(data!X$1,Haver_M!$B$1:$BZ$1,0),FALSE),"")</f>
        <v>25.83</v>
      </c>
      <c r="Y4">
        <f>IF(ISNUMBER(VLOOKUP($A4,Haver_M!$B$1:$BZ$300,MATCH(data!Y$1,Haver_M!$B$1:$BZ$1,0),FALSE)),VLOOKUP($A4,Haver_M!$B$1:$BZ$300,MATCH(data!Y$1,Haver_M!$B$1:$BZ$1,0),FALSE),"")</f>
        <v>46.55</v>
      </c>
      <c r="Z4" t="str">
        <f>IF(ISNUMBER(VLOOKUP($A4,Haver_M!$B$1:$BZ$300,MATCH(data!Z$1,Haver_M!$B$1:$BZ$1,0),FALSE)),VLOOKUP($A4,Haver_M!$B$1:$BZ$300,MATCH(data!Z$1,Haver_M!$B$1:$BZ$1,0),FALSE),"")</f>
        <v/>
      </c>
      <c r="AA4" t="str">
        <f>IF(ISNUMBER(VLOOKUP($A4,Haver_M!$B$1:$BZ$300,MATCH(data!AA$1,Haver_M!$B$1:$BZ$1,0),FALSE)),VLOOKUP($A4,Haver_M!$B$1:$BZ$300,MATCH(data!AA$1,Haver_M!$B$1:$BZ$1,0),FALSE),"")</f>
        <v/>
      </c>
      <c r="AB4" t="str">
        <f>IF(ISNUMBER(VLOOKUP($A4,Haver_M!$B$1:$BZ$300,MATCH(data!AB$1,Haver_M!$B$1:$BZ$1,0),FALSE)),VLOOKUP($A4,Haver_M!$B$1:$BZ$300,MATCH(data!AB$1,Haver_M!$B$1:$BZ$1,0),FALSE),"")</f>
        <v/>
      </c>
      <c r="AC4" t="str">
        <f>IF(ISNUMBER(VLOOKUP($A4,Haver_M!$B$1:$BZ$300,MATCH(data!AC$1,Haver_M!$B$1:$BZ$1,0),FALSE)),VLOOKUP($A4,Haver_M!$B$1:$BZ$300,MATCH(data!AC$1,Haver_M!$B$1:$BZ$1,0),FALSE),"")</f>
        <v/>
      </c>
      <c r="AD4" t="str">
        <f>IF(ISNUMBER(VLOOKUP($A4,Haver_M!$B$1:$BZ$300,MATCH(data!AD$1,Haver_M!$B$1:$BZ$1,0),FALSE)),VLOOKUP($A4,Haver_M!$B$1:$BZ$300,MATCH(data!AD$1,Haver_M!$B$1:$BZ$1,0),FALSE),"")</f>
        <v/>
      </c>
      <c r="AE4" t="str">
        <f>IF(ISNUMBER(VLOOKUP($A4,Haver_M!$B$1:$BZ$300,MATCH(data!AE$1,Haver_M!$B$1:$BZ$1,0),FALSE)),VLOOKUP($A4,Haver_M!$B$1:$BZ$300,MATCH(data!AE$1,Haver_M!$B$1:$BZ$1,0),FALSE),"")</f>
        <v/>
      </c>
      <c r="AF4" t="str">
        <f>IF(ISNUMBER(VLOOKUP($A4,Haver_M!$B$1:$BZ$300,MATCH(data!AF$1,Haver_M!$B$1:$BZ$1,0),FALSE)),VLOOKUP($A4,Haver_M!$B$1:$BZ$300,MATCH(data!AF$1,Haver_M!$B$1:$BZ$1,0),FALSE),"")</f>
        <v/>
      </c>
      <c r="AG4" t="str">
        <f>IF(ISNUMBER(VLOOKUP($A4,Haver_M!$B$1:$BZ$300,MATCH(data!AG$1,Haver_M!$B$1:$BZ$1,0),FALSE)),VLOOKUP($A4,Haver_M!$B$1:$BZ$300,MATCH(data!AG$1,Haver_M!$B$1:$BZ$1,0),FALSE),"")</f>
        <v/>
      </c>
      <c r="AH4" t="str">
        <f>IF(ISNUMBER(VLOOKUP($A4,Haver_M!$B$1:$BZ$300,MATCH(data!AH$1,Haver_M!$B$1:$BZ$1,0),FALSE)),VLOOKUP($A4,Haver_M!$B$1:$BZ$300,MATCH(data!AH$1,Haver_M!$B$1:$BZ$1,0),FALSE),"")</f>
        <v/>
      </c>
      <c r="AI4">
        <f>IF(ISNUMBER(VLOOKUP($A4,Haver_M!$B$1:$BZ$300,MATCH(data!AI$1,Haver_M!$B$1:$BZ$1,0),FALSE)),VLOOKUP($A4,Haver_M!$B$1:$BZ$300,MATCH(data!AI$1,Haver_M!$B$1:$BZ$1,0),FALSE),"")</f>
        <v>8182.9762522134779</v>
      </c>
      <c r="AJ4">
        <f>IF(ISNUMBER(VLOOKUP($A4,Haver_M!$B$1:$BZ$300,MATCH(data!AJ$1,Haver_M!$B$1:$BZ$1,0),FALSE)),VLOOKUP($A4,Haver_M!$B$1:$BZ$300,MATCH(data!AJ$1,Haver_M!$B$1:$BZ$1,0),FALSE),"")</f>
        <v>3354.8</v>
      </c>
      <c r="AK4">
        <f>IF(ISNUMBER(VLOOKUP($A4,Haver_M!$B$1:$BZ$300,MATCH(data!AK$1,Haver_M!$B$1:$BZ$1,0),FALSE)),VLOOKUP($A4,Haver_M!$B$1:$BZ$300,MATCH(data!AK$1,Haver_M!$B$1:$BZ$1,0),FALSE),"")</f>
        <v>4577.21</v>
      </c>
      <c r="AL4" t="str">
        <f>IF(ISNUMBER(VLOOKUP($A4,Haver_M!$B$1:$BZ$300,MATCH(data!AL$1,Haver_M!$B$1:$BZ$1,0),FALSE)),VLOOKUP($A4,Haver_M!$B$1:$BZ$300,MATCH(data!AL$1,Haver_M!$B$1:$BZ$1,0),FALSE),"")</f>
        <v/>
      </c>
      <c r="AM4" t="str">
        <f>IF(ISNUMBER(VLOOKUP($A4,Haver_M!$B$1:$BZ$300,MATCH(data!AM$1,Haver_M!$B$1:$BZ$1,0),FALSE)),VLOOKUP($A4,Haver_M!$B$1:$BZ$300,MATCH(data!AM$1,Haver_M!$B$1:$BZ$1,0),FALSE),"")</f>
        <v/>
      </c>
      <c r="AN4" t="str">
        <f>IF(ISNUMBER(VLOOKUP($A4,Haver_M!$B$1:$BZ$300,MATCH(data!AN$1,Haver_M!$B$1:$BZ$1,0),FALSE)),VLOOKUP($A4,Haver_M!$B$1:$BZ$300,MATCH(data!AN$1,Haver_M!$B$1:$BZ$1,0),FALSE),"")</f>
        <v/>
      </c>
      <c r="AO4" t="str">
        <f>IF(ISNUMBER(VLOOKUP($A4,Haver_M!$B$1:$BZ$300,MATCH(data!AO$1,Haver_M!$B$1:$BZ$1,0),FALSE)),VLOOKUP($A4,Haver_M!$B$1:$BZ$300,MATCH(data!AO$1,Haver_M!$B$1:$BZ$1,0),FALSE),"")</f>
        <v/>
      </c>
      <c r="AP4">
        <f>IF(ISNUMBER(VLOOKUP($A4,Haver_M!$B$1:$BZ$300,MATCH(data!AP$1,Haver_M!$B$1:$BZ$1,0),FALSE)),VLOOKUP($A4,Haver_M!$B$1:$BZ$300,MATCH(data!AP$1,Haver_M!$B$1:$BZ$1,0),FALSE),"")</f>
        <v>62.373813254173541</v>
      </c>
      <c r="AQ4" t="str">
        <f>IF(ISNUMBER(VLOOKUP($A4,Haver_M!$B$1:$BZ$300,MATCH(data!AQ$1,Haver_M!$B$1:$BZ$1,0),FALSE)),VLOOKUP($A4,Haver_M!$B$1:$BZ$300,MATCH(data!AQ$1,Haver_M!$B$1:$BZ$1,0),FALSE),"")</f>
        <v/>
      </c>
      <c r="AR4" t="str">
        <f>IF(ISNUMBER(VLOOKUP($A4,Haver_M!$B$1:$BZ$300,MATCH(data!AR$1,Haver_M!$B$1:$BZ$1,0),FALSE)),VLOOKUP($A4,Haver_M!$B$1:$BZ$300,MATCH(data!AR$1,Haver_M!$B$1:$BZ$1,0),FALSE),"")</f>
        <v/>
      </c>
      <c r="AS4" t="str">
        <f>IF(ISNUMBER(VLOOKUP($A4,Haver_M!$B$1:$BZ$300,MATCH(data!AS$1,Haver_M!$B$1:$BZ$1,0),FALSE)),VLOOKUP($A4,Haver_M!$B$1:$BZ$300,MATCH(data!AS$1,Haver_M!$B$1:$BZ$1,0),FALSE),"")</f>
        <v/>
      </c>
      <c r="AT4" t="str">
        <f>IF(ISNUMBER(VLOOKUP($A4,Haver_M!$B$1:$BZ$300,MATCH(data!AT$1,Haver_M!$B$1:$BZ$1,0),FALSE)),VLOOKUP($A4,Haver_M!$B$1:$BZ$300,MATCH(data!AT$1,Haver_M!$B$1:$BZ$1,0),FALSE),"")</f>
        <v/>
      </c>
      <c r="AU4" t="str">
        <f>IF(ISNUMBER(VLOOKUP($A4,Haver_M!$B$1:$BZ$300,MATCH(data!AU$1,Haver_M!$B$1:$BZ$1,0),FALSE)),VLOOKUP($A4,Haver_M!$B$1:$BZ$300,MATCH(data!AU$1,Haver_M!$B$1:$BZ$1,0),FALSE),"")</f>
        <v/>
      </c>
      <c r="AV4" t="str">
        <f>IF(ISNUMBER(VLOOKUP($A4,Haver_M!$B$1:$BZ$300,MATCH(data!AV$1,Haver_M!$B$1:$BZ$1,0),FALSE)),VLOOKUP($A4,Haver_M!$B$1:$BZ$300,MATCH(data!AV$1,Haver_M!$B$1:$BZ$1,0),FALSE),"")</f>
        <v/>
      </c>
      <c r="AW4" t="str">
        <f>IF(ISNUMBER(VLOOKUP($A4,Haver_M!$B$1:$BZ$300,MATCH(data!AW$1,Haver_M!$B$1:$BZ$1,0),FALSE)),VLOOKUP($A4,Haver_M!$B$1:$BZ$300,MATCH(data!AW$1,Haver_M!$B$1:$BZ$1,0),FALSE),"")</f>
        <v/>
      </c>
      <c r="AX4" t="str">
        <f>IF(ISNUMBER(VLOOKUP($A4,Haver_M!$B$1:$BZ$300,MATCH(data!AX$1,Haver_M!$B$1:$BZ$1,0),FALSE)),VLOOKUP($A4,Haver_M!$B$1:$BZ$300,MATCH(data!AX$1,Haver_M!$B$1:$BZ$1,0),FALSE),"")</f>
        <v/>
      </c>
      <c r="AY4" t="str">
        <f>IF(ISNUMBER(VLOOKUP($A4,Haver_M!$B$1:$BZ$300,MATCH(data!AY$1,Haver_M!$B$1:$BZ$1,0),FALSE)),VLOOKUP($A4,Haver_M!$B$1:$BZ$300,MATCH(data!AY$1,Haver_M!$B$1:$BZ$1,0),FALSE),"")</f>
        <v/>
      </c>
      <c r="AZ4" t="str">
        <f>IF(ISNUMBER(VLOOKUP($A4,Haver_M!$B$1:$BZ$300,MATCH(data!AZ$1,Haver_M!$B$1:$BZ$1,0),FALSE)),VLOOKUP($A4,Haver_M!$B$1:$BZ$300,MATCH(data!AZ$1,Haver_M!$B$1:$BZ$1,0),FALSE),"")</f>
        <v/>
      </c>
      <c r="BA4" t="str">
        <f>IF(ISNUMBER(VLOOKUP($A4,Haver_M!$B$1:$BZ$300,MATCH(data!BA$1,Haver_M!$B$1:$BZ$1,0),FALSE)),VLOOKUP($A4,Haver_M!$B$1:$BZ$300,MATCH(data!BA$1,Haver_M!$B$1:$BZ$1,0),FALSE),"")</f>
        <v/>
      </c>
      <c r="BB4" t="str">
        <f>IF(ISNUMBER(VLOOKUP($A4,Haver_M!$B$1:$BZ$300,MATCH(data!BB$1,Haver_M!$B$1:$BZ$1,0),FALSE)),VLOOKUP($A4,Haver_M!$B$1:$BZ$300,MATCH(data!BB$1,Haver_M!$B$1:$BZ$1,0),FALSE),"")</f>
        <v/>
      </c>
      <c r="BC4" t="str">
        <f>IF(ISNUMBER(VLOOKUP($A4,Haver_M!$B$1:$BZ$300,MATCH(data!BC$1,Haver_M!$B$1:$BZ$1,0),FALSE)),VLOOKUP($A4,Haver_M!$B$1:$BZ$300,MATCH(data!BC$1,Haver_M!$B$1:$BZ$1,0),FALSE),"")</f>
        <v/>
      </c>
      <c r="BD4" t="str">
        <f>IF(ISNUMBER(VLOOKUP($A4,Haver_M!$B$1:$BZ$300,MATCH(data!BD$1,Haver_M!$B$1:$BZ$1,0),FALSE)),VLOOKUP($A4,Haver_M!$B$1:$BZ$300,MATCH(data!BD$1,Haver_M!$B$1:$BZ$1,0),FALSE),"")</f>
        <v/>
      </c>
      <c r="BE4" t="str">
        <f>IF(ISNUMBER(VLOOKUP($A4,Haver_M!$B$1:$BZ$300,MATCH(data!BE$1,Haver_M!$B$1:$BZ$1,0),FALSE)),VLOOKUP($A4,Haver_M!$B$1:$BZ$300,MATCH(data!BE$1,Haver_M!$B$1:$BZ$1,0),FALSE),"")</f>
        <v/>
      </c>
      <c r="BF4" t="str">
        <f>IF(ISNUMBER(VLOOKUP($A4,Haver_M!$B$1:$BZ$300,MATCH(data!BF$1,Haver_M!$B$1:$BZ$1,0),FALSE)),VLOOKUP($A4,Haver_M!$B$1:$BZ$300,MATCH(data!BF$1,Haver_M!$B$1:$BZ$1,0),FALSE),"")</f>
        <v/>
      </c>
      <c r="BG4" t="str">
        <f>IF(ISNUMBER(VLOOKUP($A4,Haver_M!$B$1:$BZ$300,MATCH(data!BG$1,Haver_M!$B$1:$BZ$1,0),FALSE)),VLOOKUP($A4,Haver_M!$B$1:$BZ$300,MATCH(data!BG$1,Haver_M!$B$1:$BZ$1,0),FALSE),"")</f>
        <v/>
      </c>
      <c r="BH4" t="str">
        <f>IF(ISNUMBER(VLOOKUP($A4,Haver_M!$B$1:$BZ$300,MATCH(data!BH$1,Haver_M!$B$1:$BZ$1,0),FALSE)),VLOOKUP($A4,Haver_M!$B$1:$BZ$300,MATCH(data!BH$1,Haver_M!$B$1:$BZ$1,0),FALSE),"")</f>
        <v/>
      </c>
      <c r="BI4" t="str">
        <f>IF(ISNUMBER(VLOOKUP($A4,Haver_M!$B$1:$BZ$300,MATCH(data!BI$1,Haver_M!$B$1:$BZ$1,0),FALSE)),VLOOKUP($A4,Haver_M!$B$1:$BZ$300,MATCH(data!BI$1,Haver_M!$B$1:$BZ$1,0),FALSE),"")</f>
        <v/>
      </c>
      <c r="BJ4" t="str">
        <f>IF(ISNUMBER(VLOOKUP($A4,Haver_M!$B$1:$BZ$300,MATCH(data!BJ$1,Haver_M!$B$1:$BZ$1,0),FALSE)),VLOOKUP($A4,Haver_M!$B$1:$BZ$300,MATCH(data!BJ$1,Haver_M!$B$1:$BZ$1,0),FALSE),"")</f>
        <v/>
      </c>
      <c r="BK4" t="str">
        <f>IF(ISNUMBER(VLOOKUP($A4,Haver_M!$B$1:$BZ$300,MATCH(data!BK$1,Haver_M!$B$1:$BZ$1,0),FALSE)),VLOOKUP($A4,Haver_M!$B$1:$BZ$300,MATCH(data!BK$1,Haver_M!$B$1:$BZ$1,0),FALSE),"")</f>
        <v/>
      </c>
      <c r="BL4">
        <f>IF(ISNUMBER(VLOOKUP($A4,Haver_M!$B$1:$BZ$300,MATCH(data!BL$1,Haver_M!$B$1:$BZ$1,0),FALSE)),VLOOKUP($A4,Haver_M!$B$1:$BZ$300,MATCH(data!BL$1,Haver_M!$B$1:$BZ$1,0),FALSE),"")</f>
        <v>5261.77</v>
      </c>
      <c r="BM4">
        <f>IF(ISNUMBER(VLOOKUP($A4,Haver_M!$B$1:$BZ$300,MATCH(data!BM$1,Haver_M!$B$1:$BZ$1,0),FALSE)),VLOOKUP($A4,Haver_M!$B$1:$BZ$300,MATCH(data!BM$1,Haver_M!$B$1:$BZ$1,0),FALSE),"")</f>
        <v>118.53685416</v>
      </c>
      <c r="BN4">
        <f>IF(ISNUMBER(VLOOKUP($A4,Haver_M!$B$1:$BZ$300,MATCH(data!BN$1,Haver_M!$B$1:$BZ$1,0),FALSE)),VLOOKUP($A4,Haver_M!$B$1:$BZ$300,MATCH(data!BN$1,Haver_M!$B$1:$BZ$1,0),FALSE),"")</f>
        <v>122.8</v>
      </c>
      <c r="BO4" t="str">
        <f>IF(ISNUMBER(VLOOKUP($A4,Haver_M!$B$1:$BZ$300,MATCH(data!BO$1,Haver_M!$B$1:$BZ$1,0),FALSE)),VLOOKUP($A4,Haver_M!$B$1:$BZ$300,MATCH(data!BO$1,Haver_M!$B$1:$BZ$1,0),FALSE),"")</f>
        <v/>
      </c>
      <c r="BP4" t="str">
        <f>IF(ISNUMBER(VLOOKUP($A4,Haver_M!$B$1:$BZ$300,MATCH(data!BP$1,Haver_M!$B$1:$BZ$1,0),FALSE)),VLOOKUP($A4,Haver_M!$B$1:$BZ$300,MATCH(data!BP$1,Haver_M!$B$1:$BZ$1,0),FALSE),"")</f>
        <v/>
      </c>
      <c r="BQ4" t="str">
        <f>IF(ISNUMBER(VLOOKUP($A4,Haver_M!$B$1:$BZ$300,MATCH(data!BQ$1,Haver_M!$B$1:$BZ$1,0),FALSE)),VLOOKUP($A4,Haver_M!$B$1:$BZ$300,MATCH(data!BQ$1,Haver_M!$B$1:$BZ$1,0),FALSE),"")</f>
        <v/>
      </c>
      <c r="BR4" t="str">
        <f>IF(ISNUMBER(VLOOKUP($A4,Haver_M!$B$1:$BZ$300,MATCH(data!BR$1,Haver_M!$B$1:$BZ$1,0),FALSE)),VLOOKUP($A4,Haver_M!$B$1:$BZ$300,MATCH(data!BR$1,Haver_M!$B$1:$BZ$1,0),FALSE),"")</f>
        <v/>
      </c>
      <c r="BS4" t="str">
        <f>IF(ISNUMBER(VLOOKUP($A4,Haver_M!$B$1:$BZ$300,MATCH(data!BS$1,Haver_M!$B$1:$BZ$1,0),FALSE)),VLOOKUP($A4,Haver_M!$B$1:$BZ$300,MATCH(data!BS$1,Haver_M!$B$1:$BZ$1,0),FALSE),"")</f>
        <v/>
      </c>
      <c r="BT4" t="str">
        <f>IF(ISNUMBER(VLOOKUP($A4,Haver_M!$B$1:$BZ$300,MATCH(data!BT$1,Haver_M!$B$1:$BZ$1,0),FALSE)),VLOOKUP($A4,Haver_M!$B$1:$BZ$300,MATCH(data!BT$1,Haver_M!$B$1:$BZ$1,0),FALSE),"")</f>
        <v/>
      </c>
      <c r="BU4">
        <f>IF(ISNUMBER(VLOOKUP($A4,Haver_M!$B$1:$BZ$300,MATCH(data!BU$1,Haver_M!$B$1:$BZ$1,0),FALSE)),VLOOKUP($A4,Haver_M!$B$1:$BZ$300,MATCH(data!BU$1,Haver_M!$B$1:$BZ$1,0),FALSE),"")</f>
        <v>3860</v>
      </c>
      <c r="BV4">
        <f>IF(ISNUMBER(VLOOKUP($A4,Haver_M!$B$1:$BZ$300,MATCH(data!BV$1,Haver_M!$B$1:$BZ$1,0),FALSE)),VLOOKUP($A4,Haver_M!$B$1:$BZ$300,MATCH(data!BV$1,Haver_M!$B$1:$BZ$1,0),FALSE),"")</f>
        <v>4871</v>
      </c>
      <c r="BW4">
        <f>IF(ISNUMBER(VLOOKUP($A4,Haver_M!$B$1:$BZ$300,MATCH(data!BW$1,Haver_M!$B$1:$BZ$1,0),FALSE)),VLOOKUP($A4,Haver_M!$B$1:$BZ$300,MATCH(data!BW$1,Haver_M!$B$1:$BZ$1,0),FALSE),"")</f>
        <v>43.585700000000003</v>
      </c>
      <c r="BX4">
        <f>IF(ISNUMBER(VLOOKUP($A4,Haver_M!$B$1:$BZ$300,MATCH(data!BX$1,Haver_M!$B$1:$BZ$1,0),FALSE)),VLOOKUP($A4,Haver_M!$B$1:$BZ$300,MATCH(data!BX$1,Haver_M!$B$1:$BZ$1,0),FALSE),"")</f>
        <v>28906</v>
      </c>
    </row>
    <row r="5" spans="1:76" x14ac:dyDescent="0.25">
      <c r="A5" s="2">
        <v>36646</v>
      </c>
      <c r="B5" t="str">
        <f>IF(ISNUMBER(VLOOKUP($A5,Haver_Q!$B$1:$L$185,MATCH(data!B$1,Haver_Q!$B$1:$L$1,0),FALSE)),100*(VLOOKUP($A5,Haver_Q!$B$1:$L$185,MATCH(data!B$1,Haver_Q!$B$1:$L$1,0),FALSE)),"")</f>
        <v/>
      </c>
      <c r="C5" t="str">
        <f>IF(ISNUMBER(VLOOKUP($A5,Haver_Q!$B$1:$L$185,MATCH(data!C$1,Haver_Q!$B$1:$L$1,0),FALSE)),100*(VLOOKUP($A5,Haver_Q!$B$1:$L$185,MATCH(data!C$1,Haver_Q!$B$1:$L$1,0),FALSE)),"")</f>
        <v/>
      </c>
      <c r="D5" t="str">
        <f>IF(ISNUMBER(VLOOKUP($A5,Haver_Q!$B$1:$L$185,MATCH(data!D$1,Haver_Q!$B$1:$L$1,0),FALSE)),100*(VLOOKUP($A5,Haver_Q!$B$1:$L$185,MATCH(data!D$1,Haver_Q!$B$1:$L$1,0),FALSE)),"")</f>
        <v/>
      </c>
      <c r="E5" t="str">
        <f>IF(ISNUMBER(VLOOKUP($A5,Haver_Q!$B$1:$L$185,MATCH(data!E$1,Haver_Q!$B$1:$L$1,0),FALSE)),100*(VLOOKUP($A5,Haver_Q!$B$1:$L$185,MATCH(data!E$1,Haver_Q!$B$1:$L$1,0),FALSE)),"")</f>
        <v/>
      </c>
      <c r="F5" t="str">
        <f>IF(ISNUMBER(VLOOKUP($A5,Haver_Q!$B$1:$L$185,MATCH(data!F$1,Haver_Q!$B$1:$L$1,0),FALSE)),100*(VLOOKUP($A5,Haver_Q!$B$1:$L$185,MATCH(data!F$1,Haver_Q!$B$1:$L$1,0),FALSE)),"")</f>
        <v/>
      </c>
      <c r="G5" t="str">
        <f>IF(ISNUMBER(VLOOKUP($A5,Haver_Q!$B$1:$L$185,MATCH(data!G$1,Haver_Q!$B$1:$L$1,0),FALSE)),100*(VLOOKUP($A5,Haver_Q!$B$1:$L$185,MATCH(data!G$1,Haver_Q!$B$1:$L$1,0),FALSE)),"")</f>
        <v/>
      </c>
      <c r="H5" t="str">
        <f>IF(ISNUMBER(VLOOKUP($A5,Haver_Q!$B$1:$L$185,MATCH(data!H$1,Haver_Q!$B$1:$L$1,0),FALSE)),(VLOOKUP($A5,Haver_Q!$B$1:$L$185,MATCH(data!H$1,Haver_Q!$B$1:$L$1,0),FALSE)),"")</f>
        <v/>
      </c>
      <c r="I5" t="str">
        <f>IF(ISNUMBER(VLOOKUP($A5,Haver_Q!$B$1:$L$185,MATCH(data!I$1,Haver_Q!$B$1:$L$1,0),FALSE)),100*(VLOOKUP($A5,Haver_Q!$B$1:$L$185,MATCH(data!I$1,Haver_Q!$B$1:$L$1,0),FALSE)),"")</f>
        <v/>
      </c>
      <c r="J5" s="3">
        <f>IF(ISNUMBER(Bloomberg_m!C21),Bloomberg_m!C21,"")</f>
        <v>1667</v>
      </c>
      <c r="K5" s="3" t="str">
        <f>IF(ISNUMBER(Bloomberg_m!D21),Bloomberg_m!D21,"")</f>
        <v/>
      </c>
      <c r="L5" s="3" t="str">
        <f>IF(ISNUMBER(Bloomberg_m!E21),Bloomberg_m!E21,"")</f>
        <v/>
      </c>
      <c r="M5" s="3" t="str">
        <f>IF(ISNUMBER(Bloomberg_m!F21),Bloomberg_m!F21,"")</f>
        <v/>
      </c>
      <c r="N5" t="str">
        <f>IF(ISNUMBER(VLOOKUP($A5,Haver_M!$B$1:$BZ$300,MATCH(data!N$1,Haver_M!$B$1:$BZ$1,0),FALSE)),VLOOKUP($A5,Haver_M!$B$1:$BZ$300,MATCH(data!N$1,Haver_M!$B$1:$BZ$1,0),FALSE),"")</f>
        <v/>
      </c>
      <c r="O5">
        <f>IF(ISNUMBER(VLOOKUP($A5,Haver_M!$B$1:$BZ$300,MATCH(data!O$1,Haver_M!$B$1:$BZ$1,0),FALSE)),VLOOKUP($A5,Haver_M!$B$1:$BZ$300,MATCH(data!O$1,Haver_M!$B$1:$BZ$1,0),FALSE),"")</f>
        <v>10.366300000000001</v>
      </c>
      <c r="P5">
        <f>IF(ISNUMBER(VLOOKUP($A5,Haver_M!$B$1:$BZ$300,MATCH(data!P$1,Haver_M!$B$1:$BZ$1,0),FALSE)),VLOOKUP($A5,Haver_M!$B$1:$BZ$300,MATCH(data!P$1,Haver_M!$B$1:$BZ$1,0),FALSE),"")</f>
        <v>95.740129999999994</v>
      </c>
      <c r="Q5" t="str">
        <f>IF(ISNUMBER(VLOOKUP($A5,Haver_M!$B$1:$BZ$300,MATCH(data!Q$1,Haver_M!$B$1:$BZ$1,0),FALSE)),VLOOKUP($A5,Haver_M!$B$1:$BZ$300,MATCH(data!Q$1,Haver_M!$B$1:$BZ$1,0),FALSE),"")</f>
        <v/>
      </c>
      <c r="R5" t="str">
        <f>IF(ISNUMBER(VLOOKUP($A5,Haver_M!$B$1:$BZ$300,MATCH(data!R$1,Haver_M!$B$1:$BZ$1,0),FALSE)),VLOOKUP($A5,Haver_M!$B$1:$BZ$300,MATCH(data!R$1,Haver_M!$B$1:$BZ$1,0),FALSE),"")</f>
        <v/>
      </c>
      <c r="S5">
        <f>IF(ISNUMBER(VLOOKUP($A5,Haver_M!$B$1:$BZ$300,MATCH(data!S$1,Haver_M!$B$1:$BZ$1,0),FALSE)),VLOOKUP($A5,Haver_M!$B$1:$BZ$300,MATCH(data!S$1,Haver_M!$B$1:$BZ$1,0),FALSE),"")</f>
        <v>45.86</v>
      </c>
      <c r="T5">
        <f>IF(ISNUMBER(VLOOKUP($A5,Haver_M!$B$1:$BZ$300,MATCH(data!T$1,Haver_M!$B$1:$BZ$1,0),FALSE)),VLOOKUP($A5,Haver_M!$B$1:$BZ$300,MATCH(data!T$1,Haver_M!$B$1:$BZ$1,0),FALSE),"")</f>
        <v>54.3</v>
      </c>
      <c r="U5">
        <f>IF(ISNUMBER(VLOOKUP($A5,Haver_M!$B$1:$BZ$300,MATCH(data!U$1,Haver_M!$B$1:$BZ$1,0),FALSE)),VLOOKUP($A5,Haver_M!$B$1:$BZ$300,MATCH(data!U$1,Haver_M!$B$1:$BZ$1,0),FALSE),"")</f>
        <v>29.41</v>
      </c>
      <c r="V5">
        <f>IF(ISNUMBER(VLOOKUP($A5,Haver_M!$B$1:$BZ$300,MATCH(data!V$1,Haver_M!$B$1:$BZ$1,0),FALSE)),VLOOKUP($A5,Haver_M!$B$1:$BZ$300,MATCH(data!V$1,Haver_M!$B$1:$BZ$1,0),FALSE),"")</f>
        <v>57.06</v>
      </c>
      <c r="W5" t="str">
        <f>IF(ISNUMBER(VLOOKUP($A5,Haver_M!$B$1:$BZ$300,MATCH(data!W$1,Haver_M!$B$1:$BZ$1,0),FALSE)),VLOOKUP($A5,Haver_M!$B$1:$BZ$300,MATCH(data!W$1,Haver_M!$B$1:$BZ$1,0),FALSE),"")</f>
        <v/>
      </c>
      <c r="X5">
        <f>IF(ISNUMBER(VLOOKUP($A5,Haver_M!$B$1:$BZ$300,MATCH(data!X$1,Haver_M!$B$1:$BZ$1,0),FALSE)),VLOOKUP($A5,Haver_M!$B$1:$BZ$300,MATCH(data!X$1,Haver_M!$B$1:$BZ$1,0),FALSE),"")</f>
        <v>24.91</v>
      </c>
      <c r="Y5">
        <f>IF(ISNUMBER(VLOOKUP($A5,Haver_M!$B$1:$BZ$300,MATCH(data!Y$1,Haver_M!$B$1:$BZ$1,0),FALSE)),VLOOKUP($A5,Haver_M!$B$1:$BZ$300,MATCH(data!Y$1,Haver_M!$B$1:$BZ$1,0),FALSE),"")</f>
        <v>46.49</v>
      </c>
      <c r="Z5" t="str">
        <f>IF(ISNUMBER(VLOOKUP($A5,Haver_M!$B$1:$BZ$300,MATCH(data!Z$1,Haver_M!$B$1:$BZ$1,0),FALSE)),VLOOKUP($A5,Haver_M!$B$1:$BZ$300,MATCH(data!Z$1,Haver_M!$B$1:$BZ$1,0),FALSE),"")</f>
        <v/>
      </c>
      <c r="AA5" t="str">
        <f>IF(ISNUMBER(VLOOKUP($A5,Haver_M!$B$1:$BZ$300,MATCH(data!AA$1,Haver_M!$B$1:$BZ$1,0),FALSE)),VLOOKUP($A5,Haver_M!$B$1:$BZ$300,MATCH(data!AA$1,Haver_M!$B$1:$BZ$1,0),FALSE),"")</f>
        <v/>
      </c>
      <c r="AB5" t="str">
        <f>IF(ISNUMBER(VLOOKUP($A5,Haver_M!$B$1:$BZ$300,MATCH(data!AB$1,Haver_M!$B$1:$BZ$1,0),FALSE)),VLOOKUP($A5,Haver_M!$B$1:$BZ$300,MATCH(data!AB$1,Haver_M!$B$1:$BZ$1,0),FALSE),"")</f>
        <v/>
      </c>
      <c r="AC5" t="str">
        <f>IF(ISNUMBER(VLOOKUP($A5,Haver_M!$B$1:$BZ$300,MATCH(data!AC$1,Haver_M!$B$1:$BZ$1,0),FALSE)),VLOOKUP($A5,Haver_M!$B$1:$BZ$300,MATCH(data!AC$1,Haver_M!$B$1:$BZ$1,0),FALSE),"")</f>
        <v/>
      </c>
      <c r="AD5" t="str">
        <f>IF(ISNUMBER(VLOOKUP($A5,Haver_M!$B$1:$BZ$300,MATCH(data!AD$1,Haver_M!$B$1:$BZ$1,0),FALSE)),VLOOKUP($A5,Haver_M!$B$1:$BZ$300,MATCH(data!AD$1,Haver_M!$B$1:$BZ$1,0),FALSE),"")</f>
        <v/>
      </c>
      <c r="AE5" t="str">
        <f>IF(ISNUMBER(VLOOKUP($A5,Haver_M!$B$1:$BZ$300,MATCH(data!AE$1,Haver_M!$B$1:$BZ$1,0),FALSE)),VLOOKUP($A5,Haver_M!$B$1:$BZ$300,MATCH(data!AE$1,Haver_M!$B$1:$BZ$1,0),FALSE),"")</f>
        <v/>
      </c>
      <c r="AF5" t="str">
        <f>IF(ISNUMBER(VLOOKUP($A5,Haver_M!$B$1:$BZ$300,MATCH(data!AF$1,Haver_M!$B$1:$BZ$1,0),FALSE)),VLOOKUP($A5,Haver_M!$B$1:$BZ$300,MATCH(data!AF$1,Haver_M!$B$1:$BZ$1,0),FALSE),"")</f>
        <v/>
      </c>
      <c r="AG5" t="str">
        <f>IF(ISNUMBER(VLOOKUP($A5,Haver_M!$B$1:$BZ$300,MATCH(data!AG$1,Haver_M!$B$1:$BZ$1,0),FALSE)),VLOOKUP($A5,Haver_M!$B$1:$BZ$300,MATCH(data!AG$1,Haver_M!$B$1:$BZ$1,0),FALSE),"")</f>
        <v/>
      </c>
      <c r="AH5" t="str">
        <f>IF(ISNUMBER(VLOOKUP($A5,Haver_M!$B$1:$BZ$300,MATCH(data!AH$1,Haver_M!$B$1:$BZ$1,0),FALSE)),VLOOKUP($A5,Haver_M!$B$1:$BZ$300,MATCH(data!AH$1,Haver_M!$B$1:$BZ$1,0),FALSE),"")</f>
        <v/>
      </c>
      <c r="AI5">
        <f>IF(ISNUMBER(VLOOKUP($A5,Haver_M!$B$1:$BZ$300,MATCH(data!AI$1,Haver_M!$B$1:$BZ$1,0),FALSE)),VLOOKUP($A5,Haver_M!$B$1:$BZ$300,MATCH(data!AI$1,Haver_M!$B$1:$BZ$1,0),FALSE),"")</f>
        <v>8274.9538466552713</v>
      </c>
      <c r="AJ5">
        <f>IF(ISNUMBER(VLOOKUP($A5,Haver_M!$B$1:$BZ$300,MATCH(data!AJ$1,Haver_M!$B$1:$BZ$1,0),FALSE)),VLOOKUP($A5,Haver_M!$B$1:$BZ$300,MATCH(data!AJ$1,Haver_M!$B$1:$BZ$1,0),FALSE),"")</f>
        <v>3422.47</v>
      </c>
      <c r="AK5">
        <f>IF(ISNUMBER(VLOOKUP($A5,Haver_M!$B$1:$BZ$300,MATCH(data!AK$1,Haver_M!$B$1:$BZ$1,0),FALSE)),VLOOKUP($A5,Haver_M!$B$1:$BZ$300,MATCH(data!AK$1,Haver_M!$B$1:$BZ$1,0),FALSE),"")</f>
        <v>4551.49</v>
      </c>
      <c r="AL5" t="str">
        <f>IF(ISNUMBER(VLOOKUP($A5,Haver_M!$B$1:$BZ$300,MATCH(data!AL$1,Haver_M!$B$1:$BZ$1,0),FALSE)),VLOOKUP($A5,Haver_M!$B$1:$BZ$300,MATCH(data!AL$1,Haver_M!$B$1:$BZ$1,0),FALSE),"")</f>
        <v/>
      </c>
      <c r="AM5" t="str">
        <f>IF(ISNUMBER(VLOOKUP($A5,Haver_M!$B$1:$BZ$300,MATCH(data!AM$1,Haver_M!$B$1:$BZ$1,0),FALSE)),VLOOKUP($A5,Haver_M!$B$1:$BZ$300,MATCH(data!AM$1,Haver_M!$B$1:$BZ$1,0),FALSE),"")</f>
        <v/>
      </c>
      <c r="AN5" t="str">
        <f>IF(ISNUMBER(VLOOKUP($A5,Haver_M!$B$1:$BZ$300,MATCH(data!AN$1,Haver_M!$B$1:$BZ$1,0),FALSE)),VLOOKUP($A5,Haver_M!$B$1:$BZ$300,MATCH(data!AN$1,Haver_M!$B$1:$BZ$1,0),FALSE),"")</f>
        <v/>
      </c>
      <c r="AO5" t="str">
        <f>IF(ISNUMBER(VLOOKUP($A5,Haver_M!$B$1:$BZ$300,MATCH(data!AO$1,Haver_M!$B$1:$BZ$1,0),FALSE)),VLOOKUP($A5,Haver_M!$B$1:$BZ$300,MATCH(data!AO$1,Haver_M!$B$1:$BZ$1,0),FALSE),"")</f>
        <v/>
      </c>
      <c r="AP5">
        <f>IF(ISNUMBER(VLOOKUP($A5,Haver_M!$B$1:$BZ$300,MATCH(data!AP$1,Haver_M!$B$1:$BZ$1,0),FALSE)),VLOOKUP($A5,Haver_M!$B$1:$BZ$300,MATCH(data!AP$1,Haver_M!$B$1:$BZ$1,0),FALSE),"")</f>
        <v>75.890914205837248</v>
      </c>
      <c r="AQ5" t="str">
        <f>IF(ISNUMBER(VLOOKUP($A5,Haver_M!$B$1:$BZ$300,MATCH(data!AQ$1,Haver_M!$B$1:$BZ$1,0),FALSE)),VLOOKUP($A5,Haver_M!$B$1:$BZ$300,MATCH(data!AQ$1,Haver_M!$B$1:$BZ$1,0),FALSE),"")</f>
        <v/>
      </c>
      <c r="AR5" t="str">
        <f>IF(ISNUMBER(VLOOKUP($A5,Haver_M!$B$1:$BZ$300,MATCH(data!AR$1,Haver_M!$B$1:$BZ$1,0),FALSE)),VLOOKUP($A5,Haver_M!$B$1:$BZ$300,MATCH(data!AR$1,Haver_M!$B$1:$BZ$1,0),FALSE),"")</f>
        <v/>
      </c>
      <c r="AS5" t="str">
        <f>IF(ISNUMBER(VLOOKUP($A5,Haver_M!$B$1:$BZ$300,MATCH(data!AS$1,Haver_M!$B$1:$BZ$1,0),FALSE)),VLOOKUP($A5,Haver_M!$B$1:$BZ$300,MATCH(data!AS$1,Haver_M!$B$1:$BZ$1,0),FALSE),"")</f>
        <v/>
      </c>
      <c r="AT5" t="str">
        <f>IF(ISNUMBER(VLOOKUP($A5,Haver_M!$B$1:$BZ$300,MATCH(data!AT$1,Haver_M!$B$1:$BZ$1,0),FALSE)),VLOOKUP($A5,Haver_M!$B$1:$BZ$300,MATCH(data!AT$1,Haver_M!$B$1:$BZ$1,0),FALSE),"")</f>
        <v/>
      </c>
      <c r="AU5" t="str">
        <f>IF(ISNUMBER(VLOOKUP($A5,Haver_M!$B$1:$BZ$300,MATCH(data!AU$1,Haver_M!$B$1:$BZ$1,0),FALSE)),VLOOKUP($A5,Haver_M!$B$1:$BZ$300,MATCH(data!AU$1,Haver_M!$B$1:$BZ$1,0),FALSE),"")</f>
        <v/>
      </c>
      <c r="AV5" t="str">
        <f>IF(ISNUMBER(VLOOKUP($A5,Haver_M!$B$1:$BZ$300,MATCH(data!AV$1,Haver_M!$B$1:$BZ$1,0),FALSE)),VLOOKUP($A5,Haver_M!$B$1:$BZ$300,MATCH(data!AV$1,Haver_M!$B$1:$BZ$1,0),FALSE),"")</f>
        <v/>
      </c>
      <c r="AW5" t="str">
        <f>IF(ISNUMBER(VLOOKUP($A5,Haver_M!$B$1:$BZ$300,MATCH(data!AW$1,Haver_M!$B$1:$BZ$1,0),FALSE)),VLOOKUP($A5,Haver_M!$B$1:$BZ$300,MATCH(data!AW$1,Haver_M!$B$1:$BZ$1,0),FALSE),"")</f>
        <v/>
      </c>
      <c r="AX5" t="str">
        <f>IF(ISNUMBER(VLOOKUP($A5,Haver_M!$B$1:$BZ$300,MATCH(data!AX$1,Haver_M!$B$1:$BZ$1,0),FALSE)),VLOOKUP($A5,Haver_M!$B$1:$BZ$300,MATCH(data!AX$1,Haver_M!$B$1:$BZ$1,0),FALSE),"")</f>
        <v/>
      </c>
      <c r="AY5" t="str">
        <f>IF(ISNUMBER(VLOOKUP($A5,Haver_M!$B$1:$BZ$300,MATCH(data!AY$1,Haver_M!$B$1:$BZ$1,0),FALSE)),VLOOKUP($A5,Haver_M!$B$1:$BZ$300,MATCH(data!AY$1,Haver_M!$B$1:$BZ$1,0),FALSE),"")</f>
        <v/>
      </c>
      <c r="AZ5" t="str">
        <f>IF(ISNUMBER(VLOOKUP($A5,Haver_M!$B$1:$BZ$300,MATCH(data!AZ$1,Haver_M!$B$1:$BZ$1,0),FALSE)),VLOOKUP($A5,Haver_M!$B$1:$BZ$300,MATCH(data!AZ$1,Haver_M!$B$1:$BZ$1,0),FALSE),"")</f>
        <v/>
      </c>
      <c r="BA5" t="str">
        <f>IF(ISNUMBER(VLOOKUP($A5,Haver_M!$B$1:$BZ$300,MATCH(data!BA$1,Haver_M!$B$1:$BZ$1,0),FALSE)),VLOOKUP($A5,Haver_M!$B$1:$BZ$300,MATCH(data!BA$1,Haver_M!$B$1:$BZ$1,0),FALSE),"")</f>
        <v/>
      </c>
      <c r="BB5" t="str">
        <f>IF(ISNUMBER(VLOOKUP($A5,Haver_M!$B$1:$BZ$300,MATCH(data!BB$1,Haver_M!$B$1:$BZ$1,0),FALSE)),VLOOKUP($A5,Haver_M!$B$1:$BZ$300,MATCH(data!BB$1,Haver_M!$B$1:$BZ$1,0),FALSE),"")</f>
        <v/>
      </c>
      <c r="BC5" t="str">
        <f>IF(ISNUMBER(VLOOKUP($A5,Haver_M!$B$1:$BZ$300,MATCH(data!BC$1,Haver_M!$B$1:$BZ$1,0),FALSE)),VLOOKUP($A5,Haver_M!$B$1:$BZ$300,MATCH(data!BC$1,Haver_M!$B$1:$BZ$1,0),FALSE),"")</f>
        <v/>
      </c>
      <c r="BD5" t="str">
        <f>IF(ISNUMBER(VLOOKUP($A5,Haver_M!$B$1:$BZ$300,MATCH(data!BD$1,Haver_M!$B$1:$BZ$1,0),FALSE)),VLOOKUP($A5,Haver_M!$B$1:$BZ$300,MATCH(data!BD$1,Haver_M!$B$1:$BZ$1,0),FALSE),"")</f>
        <v/>
      </c>
      <c r="BE5" t="str">
        <f>IF(ISNUMBER(VLOOKUP($A5,Haver_M!$B$1:$BZ$300,MATCH(data!BE$1,Haver_M!$B$1:$BZ$1,0),FALSE)),VLOOKUP($A5,Haver_M!$B$1:$BZ$300,MATCH(data!BE$1,Haver_M!$B$1:$BZ$1,0),FALSE),"")</f>
        <v/>
      </c>
      <c r="BF5" t="str">
        <f>IF(ISNUMBER(VLOOKUP($A5,Haver_M!$B$1:$BZ$300,MATCH(data!BF$1,Haver_M!$B$1:$BZ$1,0),FALSE)),VLOOKUP($A5,Haver_M!$B$1:$BZ$300,MATCH(data!BF$1,Haver_M!$B$1:$BZ$1,0),FALSE),"")</f>
        <v/>
      </c>
      <c r="BG5" t="str">
        <f>IF(ISNUMBER(VLOOKUP($A5,Haver_M!$B$1:$BZ$300,MATCH(data!BG$1,Haver_M!$B$1:$BZ$1,0),FALSE)),VLOOKUP($A5,Haver_M!$B$1:$BZ$300,MATCH(data!BG$1,Haver_M!$B$1:$BZ$1,0),FALSE),"")</f>
        <v/>
      </c>
      <c r="BH5" t="str">
        <f>IF(ISNUMBER(VLOOKUP($A5,Haver_M!$B$1:$BZ$300,MATCH(data!BH$1,Haver_M!$B$1:$BZ$1,0),FALSE)),VLOOKUP($A5,Haver_M!$B$1:$BZ$300,MATCH(data!BH$1,Haver_M!$B$1:$BZ$1,0),FALSE),"")</f>
        <v/>
      </c>
      <c r="BI5" t="str">
        <f>IF(ISNUMBER(VLOOKUP($A5,Haver_M!$B$1:$BZ$300,MATCH(data!BI$1,Haver_M!$B$1:$BZ$1,0),FALSE)),VLOOKUP($A5,Haver_M!$B$1:$BZ$300,MATCH(data!BI$1,Haver_M!$B$1:$BZ$1,0),FALSE),"")</f>
        <v/>
      </c>
      <c r="BJ5" t="str">
        <f>IF(ISNUMBER(VLOOKUP($A5,Haver_M!$B$1:$BZ$300,MATCH(data!BJ$1,Haver_M!$B$1:$BZ$1,0),FALSE)),VLOOKUP($A5,Haver_M!$B$1:$BZ$300,MATCH(data!BJ$1,Haver_M!$B$1:$BZ$1,0),FALSE),"")</f>
        <v/>
      </c>
      <c r="BK5" t="str">
        <f>IF(ISNUMBER(VLOOKUP($A5,Haver_M!$B$1:$BZ$300,MATCH(data!BK$1,Haver_M!$B$1:$BZ$1,0),FALSE)),VLOOKUP($A5,Haver_M!$B$1:$BZ$300,MATCH(data!BK$1,Haver_M!$B$1:$BZ$1,0),FALSE),"")</f>
        <v/>
      </c>
      <c r="BL5">
        <f>IF(ISNUMBER(VLOOKUP($A5,Haver_M!$B$1:$BZ$300,MATCH(data!BL$1,Haver_M!$B$1:$BZ$1,0),FALSE)),VLOOKUP($A5,Haver_M!$B$1:$BZ$300,MATCH(data!BL$1,Haver_M!$B$1:$BZ$1,0),FALSE),"")</f>
        <v>4905.3</v>
      </c>
      <c r="BM5">
        <f>IF(ISNUMBER(VLOOKUP($A5,Haver_M!$B$1:$BZ$300,MATCH(data!BM$1,Haver_M!$B$1:$BZ$1,0),FALSE)),VLOOKUP($A5,Haver_M!$B$1:$BZ$300,MATCH(data!BM$1,Haver_M!$B$1:$BZ$1,0),FALSE),"")</f>
        <v>117.60795417999999</v>
      </c>
      <c r="BN5" t="str">
        <f>IF(ISNUMBER(VLOOKUP($A5,Haver_M!$B$1:$BZ$300,MATCH(data!BN$1,Haver_M!$B$1:$BZ$1,0),FALSE)),VLOOKUP($A5,Haver_M!$B$1:$BZ$300,MATCH(data!BN$1,Haver_M!$B$1:$BZ$1,0),FALSE),"")</f>
        <v/>
      </c>
      <c r="BO5" t="str">
        <f>IF(ISNUMBER(VLOOKUP($A5,Haver_M!$B$1:$BZ$300,MATCH(data!BO$1,Haver_M!$B$1:$BZ$1,0),FALSE)),VLOOKUP($A5,Haver_M!$B$1:$BZ$300,MATCH(data!BO$1,Haver_M!$B$1:$BZ$1,0),FALSE),"")</f>
        <v/>
      </c>
      <c r="BP5" t="str">
        <f>IF(ISNUMBER(VLOOKUP($A5,Haver_M!$B$1:$BZ$300,MATCH(data!BP$1,Haver_M!$B$1:$BZ$1,0),FALSE)),VLOOKUP($A5,Haver_M!$B$1:$BZ$300,MATCH(data!BP$1,Haver_M!$B$1:$BZ$1,0),FALSE),"")</f>
        <v/>
      </c>
      <c r="BQ5" t="str">
        <f>IF(ISNUMBER(VLOOKUP($A5,Haver_M!$B$1:$BZ$300,MATCH(data!BQ$1,Haver_M!$B$1:$BZ$1,0),FALSE)),VLOOKUP($A5,Haver_M!$B$1:$BZ$300,MATCH(data!BQ$1,Haver_M!$B$1:$BZ$1,0),FALSE),"")</f>
        <v/>
      </c>
      <c r="BR5" t="str">
        <f>IF(ISNUMBER(VLOOKUP($A5,Haver_M!$B$1:$BZ$300,MATCH(data!BR$1,Haver_M!$B$1:$BZ$1,0),FALSE)),VLOOKUP($A5,Haver_M!$B$1:$BZ$300,MATCH(data!BR$1,Haver_M!$B$1:$BZ$1,0),FALSE),"")</f>
        <v/>
      </c>
      <c r="BS5" t="str">
        <f>IF(ISNUMBER(VLOOKUP($A5,Haver_M!$B$1:$BZ$300,MATCH(data!BS$1,Haver_M!$B$1:$BZ$1,0),FALSE)),VLOOKUP($A5,Haver_M!$B$1:$BZ$300,MATCH(data!BS$1,Haver_M!$B$1:$BZ$1,0),FALSE),"")</f>
        <v/>
      </c>
      <c r="BT5" t="str">
        <f>IF(ISNUMBER(VLOOKUP($A5,Haver_M!$B$1:$BZ$300,MATCH(data!BT$1,Haver_M!$B$1:$BZ$1,0),FALSE)),VLOOKUP($A5,Haver_M!$B$1:$BZ$300,MATCH(data!BT$1,Haver_M!$B$1:$BZ$1,0),FALSE),"")</f>
        <v/>
      </c>
      <c r="BU5">
        <f>IF(ISNUMBER(VLOOKUP($A5,Haver_M!$B$1:$BZ$300,MATCH(data!BU$1,Haver_M!$B$1:$BZ$1,0),FALSE)),VLOOKUP($A5,Haver_M!$B$1:$BZ$300,MATCH(data!BU$1,Haver_M!$B$1:$BZ$1,0),FALSE),"")</f>
        <v>3310</v>
      </c>
      <c r="BV5">
        <f>IF(ISNUMBER(VLOOKUP($A5,Haver_M!$B$1:$BZ$300,MATCH(data!BV$1,Haver_M!$B$1:$BZ$1,0),FALSE)),VLOOKUP($A5,Haver_M!$B$1:$BZ$300,MATCH(data!BV$1,Haver_M!$B$1:$BZ$1,0),FALSE),"")</f>
        <v>4401</v>
      </c>
      <c r="BW5">
        <f>IF(ISNUMBER(VLOOKUP($A5,Haver_M!$B$1:$BZ$300,MATCH(data!BW$1,Haver_M!$B$1:$BZ$1,0),FALSE)),VLOOKUP($A5,Haver_M!$B$1:$BZ$300,MATCH(data!BW$1,Haver_M!$B$1:$BZ$1,0),FALSE),"")</f>
        <v>43.638800000000003</v>
      </c>
      <c r="BX5">
        <f>IF(ISNUMBER(VLOOKUP($A5,Haver_M!$B$1:$BZ$300,MATCH(data!BX$1,Haver_M!$B$1:$BZ$1,0),FALSE)),VLOOKUP($A5,Haver_M!$B$1:$BZ$300,MATCH(data!BX$1,Haver_M!$B$1:$BZ$1,0),FALSE),"")</f>
        <v>36577</v>
      </c>
    </row>
    <row r="6" spans="1:76" x14ac:dyDescent="0.25">
      <c r="A6" s="2">
        <v>36677</v>
      </c>
      <c r="B6" t="str">
        <f>IF(ISNUMBER(VLOOKUP($A6,Haver_Q!$B$1:$L$185,MATCH(data!B$1,Haver_Q!$B$1:$L$1,0),FALSE)),100*(VLOOKUP($A6,Haver_Q!$B$1:$L$185,MATCH(data!B$1,Haver_Q!$B$1:$L$1,0),FALSE)),"")</f>
        <v/>
      </c>
      <c r="C6" t="str">
        <f>IF(ISNUMBER(VLOOKUP($A6,Haver_Q!$B$1:$L$185,MATCH(data!C$1,Haver_Q!$B$1:$L$1,0),FALSE)),100*(VLOOKUP($A6,Haver_Q!$B$1:$L$185,MATCH(data!C$1,Haver_Q!$B$1:$L$1,0),FALSE)),"")</f>
        <v/>
      </c>
      <c r="D6" t="str">
        <f>IF(ISNUMBER(VLOOKUP($A6,Haver_Q!$B$1:$L$185,MATCH(data!D$1,Haver_Q!$B$1:$L$1,0),FALSE)),100*(VLOOKUP($A6,Haver_Q!$B$1:$L$185,MATCH(data!D$1,Haver_Q!$B$1:$L$1,0),FALSE)),"")</f>
        <v/>
      </c>
      <c r="E6" t="str">
        <f>IF(ISNUMBER(VLOOKUP($A6,Haver_Q!$B$1:$L$185,MATCH(data!E$1,Haver_Q!$B$1:$L$1,0),FALSE)),100*(VLOOKUP($A6,Haver_Q!$B$1:$L$185,MATCH(data!E$1,Haver_Q!$B$1:$L$1,0),FALSE)),"")</f>
        <v/>
      </c>
      <c r="F6" t="str">
        <f>IF(ISNUMBER(VLOOKUP($A6,Haver_Q!$B$1:$L$185,MATCH(data!F$1,Haver_Q!$B$1:$L$1,0),FALSE)),100*(VLOOKUP($A6,Haver_Q!$B$1:$L$185,MATCH(data!F$1,Haver_Q!$B$1:$L$1,0),FALSE)),"")</f>
        <v/>
      </c>
      <c r="G6" t="str">
        <f>IF(ISNUMBER(VLOOKUP($A6,Haver_Q!$B$1:$L$185,MATCH(data!G$1,Haver_Q!$B$1:$L$1,0),FALSE)),100*(VLOOKUP($A6,Haver_Q!$B$1:$L$185,MATCH(data!G$1,Haver_Q!$B$1:$L$1,0),FALSE)),"")</f>
        <v/>
      </c>
      <c r="H6" t="str">
        <f>IF(ISNUMBER(VLOOKUP($A6,Haver_Q!$B$1:$L$185,MATCH(data!H$1,Haver_Q!$B$1:$L$1,0),FALSE)),(VLOOKUP($A6,Haver_Q!$B$1:$L$185,MATCH(data!H$1,Haver_Q!$B$1:$L$1,0),FALSE)),"")</f>
        <v/>
      </c>
      <c r="I6" t="str">
        <f>IF(ISNUMBER(VLOOKUP($A6,Haver_Q!$B$1:$L$185,MATCH(data!I$1,Haver_Q!$B$1:$L$1,0),FALSE)),100*(VLOOKUP($A6,Haver_Q!$B$1:$L$185,MATCH(data!I$1,Haver_Q!$B$1:$L$1,0),FALSE)),"")</f>
        <v/>
      </c>
      <c r="J6" s="3">
        <f>IF(ISNUMBER(Bloomberg_m!C22),Bloomberg_m!C22,"")</f>
        <v>1602</v>
      </c>
      <c r="K6" s="3" t="str">
        <f>IF(ISNUMBER(Bloomberg_m!D22),Bloomberg_m!D22,"")</f>
        <v/>
      </c>
      <c r="L6" s="3" t="str">
        <f>IF(ISNUMBER(Bloomberg_m!E22),Bloomberg_m!E22,"")</f>
        <v/>
      </c>
      <c r="M6" s="3" t="str">
        <f>IF(ISNUMBER(Bloomberg_m!F22),Bloomberg_m!F22,"")</f>
        <v/>
      </c>
      <c r="N6" t="str">
        <f>IF(ISNUMBER(VLOOKUP($A6,Haver_M!$B$1:$BZ$300,MATCH(data!N$1,Haver_M!$B$1:$BZ$1,0),FALSE)),VLOOKUP($A6,Haver_M!$B$1:$BZ$300,MATCH(data!N$1,Haver_M!$B$1:$BZ$1,0),FALSE),"")</f>
        <v/>
      </c>
      <c r="O6">
        <f>IF(ISNUMBER(VLOOKUP($A6,Haver_M!$B$1:$BZ$300,MATCH(data!O$1,Haver_M!$B$1:$BZ$1,0),FALSE)),VLOOKUP($A6,Haver_M!$B$1:$BZ$300,MATCH(data!O$1,Haver_M!$B$1:$BZ$1,0),FALSE),"")</f>
        <v>10.8186</v>
      </c>
      <c r="P6">
        <f>IF(ISNUMBER(VLOOKUP($A6,Haver_M!$B$1:$BZ$300,MATCH(data!P$1,Haver_M!$B$1:$BZ$1,0),FALSE)),VLOOKUP($A6,Haver_M!$B$1:$BZ$300,MATCH(data!P$1,Haver_M!$B$1:$BZ$1,0),FALSE),"")</f>
        <v>96.779809999999998</v>
      </c>
      <c r="Q6" t="str">
        <f>IF(ISNUMBER(VLOOKUP($A6,Haver_M!$B$1:$BZ$300,MATCH(data!Q$1,Haver_M!$B$1:$BZ$1,0),FALSE)),VLOOKUP($A6,Haver_M!$B$1:$BZ$300,MATCH(data!Q$1,Haver_M!$B$1:$BZ$1,0),FALSE),"")</f>
        <v/>
      </c>
      <c r="R6" t="str">
        <f>IF(ISNUMBER(VLOOKUP($A6,Haver_M!$B$1:$BZ$300,MATCH(data!R$1,Haver_M!$B$1:$BZ$1,0),FALSE)),VLOOKUP($A6,Haver_M!$B$1:$BZ$300,MATCH(data!R$1,Haver_M!$B$1:$BZ$1,0),FALSE),"")</f>
        <v/>
      </c>
      <c r="S6">
        <f>IF(ISNUMBER(VLOOKUP($A6,Haver_M!$B$1:$BZ$300,MATCH(data!S$1,Haver_M!$B$1:$BZ$1,0),FALSE)),VLOOKUP($A6,Haver_M!$B$1:$BZ$300,MATCH(data!S$1,Haver_M!$B$1:$BZ$1,0),FALSE),"")</f>
        <v>46.05</v>
      </c>
      <c r="T6">
        <f>IF(ISNUMBER(VLOOKUP($A6,Haver_M!$B$1:$BZ$300,MATCH(data!T$1,Haver_M!$B$1:$BZ$1,0),FALSE)),VLOOKUP($A6,Haver_M!$B$1:$BZ$300,MATCH(data!T$1,Haver_M!$B$1:$BZ$1,0),FALSE),"")</f>
        <v>55.04</v>
      </c>
      <c r="U6">
        <f>IF(ISNUMBER(VLOOKUP($A6,Haver_M!$B$1:$BZ$300,MATCH(data!U$1,Haver_M!$B$1:$BZ$1,0),FALSE)),VLOOKUP($A6,Haver_M!$B$1:$BZ$300,MATCH(data!U$1,Haver_M!$B$1:$BZ$1,0),FALSE),"")</f>
        <v>27.13</v>
      </c>
      <c r="V6">
        <f>IF(ISNUMBER(VLOOKUP($A6,Haver_M!$B$1:$BZ$300,MATCH(data!V$1,Haver_M!$B$1:$BZ$1,0),FALSE)),VLOOKUP($A6,Haver_M!$B$1:$BZ$300,MATCH(data!V$1,Haver_M!$B$1:$BZ$1,0),FALSE),"")</f>
        <v>58.18</v>
      </c>
      <c r="W6" t="str">
        <f>IF(ISNUMBER(VLOOKUP($A6,Haver_M!$B$1:$BZ$300,MATCH(data!W$1,Haver_M!$B$1:$BZ$1,0),FALSE)),VLOOKUP($A6,Haver_M!$B$1:$BZ$300,MATCH(data!W$1,Haver_M!$B$1:$BZ$1,0),FALSE),"")</f>
        <v/>
      </c>
      <c r="X6">
        <f>IF(ISNUMBER(VLOOKUP($A6,Haver_M!$B$1:$BZ$300,MATCH(data!X$1,Haver_M!$B$1:$BZ$1,0),FALSE)),VLOOKUP($A6,Haver_M!$B$1:$BZ$300,MATCH(data!X$1,Haver_M!$B$1:$BZ$1,0),FALSE),"")</f>
        <v>25.83</v>
      </c>
      <c r="Y6">
        <f>IF(ISNUMBER(VLOOKUP($A6,Haver_M!$B$1:$BZ$300,MATCH(data!Y$1,Haver_M!$B$1:$BZ$1,0),FALSE)),VLOOKUP($A6,Haver_M!$B$1:$BZ$300,MATCH(data!Y$1,Haver_M!$B$1:$BZ$1,0),FALSE),"")</f>
        <v>46.12</v>
      </c>
      <c r="Z6" t="str">
        <f>IF(ISNUMBER(VLOOKUP($A6,Haver_M!$B$1:$BZ$300,MATCH(data!Z$1,Haver_M!$B$1:$BZ$1,0),FALSE)),VLOOKUP($A6,Haver_M!$B$1:$BZ$300,MATCH(data!Z$1,Haver_M!$B$1:$BZ$1,0),FALSE),"")</f>
        <v/>
      </c>
      <c r="AA6" t="str">
        <f>IF(ISNUMBER(VLOOKUP($A6,Haver_M!$B$1:$BZ$300,MATCH(data!AA$1,Haver_M!$B$1:$BZ$1,0),FALSE)),VLOOKUP($A6,Haver_M!$B$1:$BZ$300,MATCH(data!AA$1,Haver_M!$B$1:$BZ$1,0),FALSE),"")</f>
        <v/>
      </c>
      <c r="AB6" t="str">
        <f>IF(ISNUMBER(VLOOKUP($A6,Haver_M!$B$1:$BZ$300,MATCH(data!AB$1,Haver_M!$B$1:$BZ$1,0),FALSE)),VLOOKUP($A6,Haver_M!$B$1:$BZ$300,MATCH(data!AB$1,Haver_M!$B$1:$BZ$1,0),FALSE),"")</f>
        <v/>
      </c>
      <c r="AC6" t="str">
        <f>IF(ISNUMBER(VLOOKUP($A6,Haver_M!$B$1:$BZ$300,MATCH(data!AC$1,Haver_M!$B$1:$BZ$1,0),FALSE)),VLOOKUP($A6,Haver_M!$B$1:$BZ$300,MATCH(data!AC$1,Haver_M!$B$1:$BZ$1,0),FALSE),"")</f>
        <v/>
      </c>
      <c r="AD6" t="str">
        <f>IF(ISNUMBER(VLOOKUP($A6,Haver_M!$B$1:$BZ$300,MATCH(data!AD$1,Haver_M!$B$1:$BZ$1,0),FALSE)),VLOOKUP($A6,Haver_M!$B$1:$BZ$300,MATCH(data!AD$1,Haver_M!$B$1:$BZ$1,0),FALSE),"")</f>
        <v/>
      </c>
      <c r="AE6" t="str">
        <f>IF(ISNUMBER(VLOOKUP($A6,Haver_M!$B$1:$BZ$300,MATCH(data!AE$1,Haver_M!$B$1:$BZ$1,0),FALSE)),VLOOKUP($A6,Haver_M!$B$1:$BZ$300,MATCH(data!AE$1,Haver_M!$B$1:$BZ$1,0),FALSE),"")</f>
        <v/>
      </c>
      <c r="AF6" t="str">
        <f>IF(ISNUMBER(VLOOKUP($A6,Haver_M!$B$1:$BZ$300,MATCH(data!AF$1,Haver_M!$B$1:$BZ$1,0),FALSE)),VLOOKUP($A6,Haver_M!$B$1:$BZ$300,MATCH(data!AF$1,Haver_M!$B$1:$BZ$1,0),FALSE),"")</f>
        <v/>
      </c>
      <c r="AG6" t="str">
        <f>IF(ISNUMBER(VLOOKUP($A6,Haver_M!$B$1:$BZ$300,MATCH(data!AG$1,Haver_M!$B$1:$BZ$1,0),FALSE)),VLOOKUP($A6,Haver_M!$B$1:$BZ$300,MATCH(data!AG$1,Haver_M!$B$1:$BZ$1,0),FALSE),"")</f>
        <v/>
      </c>
      <c r="AH6" t="str">
        <f>IF(ISNUMBER(VLOOKUP($A6,Haver_M!$B$1:$BZ$300,MATCH(data!AH$1,Haver_M!$B$1:$BZ$1,0),FALSE)),VLOOKUP($A6,Haver_M!$B$1:$BZ$300,MATCH(data!AH$1,Haver_M!$B$1:$BZ$1,0),FALSE),"")</f>
        <v/>
      </c>
      <c r="AI6">
        <f>IF(ISNUMBER(VLOOKUP($A6,Haver_M!$B$1:$BZ$300,MATCH(data!AI$1,Haver_M!$B$1:$BZ$1,0),FALSE)),VLOOKUP($A6,Haver_M!$B$1:$BZ$300,MATCH(data!AI$1,Haver_M!$B$1:$BZ$1,0),FALSE),"")</f>
        <v>8384.7270272133719</v>
      </c>
      <c r="AJ6">
        <f>IF(ISNUMBER(VLOOKUP($A6,Haver_M!$B$1:$BZ$300,MATCH(data!AJ$1,Haver_M!$B$1:$BZ$1,0),FALSE)),VLOOKUP($A6,Haver_M!$B$1:$BZ$300,MATCH(data!AJ$1,Haver_M!$B$1:$BZ$1,0),FALSE),"")</f>
        <v>3687.09</v>
      </c>
      <c r="AK6">
        <f>IF(ISNUMBER(VLOOKUP($A6,Haver_M!$B$1:$BZ$300,MATCH(data!AK$1,Haver_M!$B$1:$BZ$1,0),FALSE)),VLOOKUP($A6,Haver_M!$B$1:$BZ$300,MATCH(data!AK$1,Haver_M!$B$1:$BZ$1,0),FALSE),"")</f>
        <v>4212.82</v>
      </c>
      <c r="AL6" t="str">
        <f>IF(ISNUMBER(VLOOKUP($A6,Haver_M!$B$1:$BZ$300,MATCH(data!AL$1,Haver_M!$B$1:$BZ$1,0),FALSE)),VLOOKUP($A6,Haver_M!$B$1:$BZ$300,MATCH(data!AL$1,Haver_M!$B$1:$BZ$1,0),FALSE),"")</f>
        <v/>
      </c>
      <c r="AM6" t="str">
        <f>IF(ISNUMBER(VLOOKUP($A6,Haver_M!$B$1:$BZ$300,MATCH(data!AM$1,Haver_M!$B$1:$BZ$1,0),FALSE)),VLOOKUP($A6,Haver_M!$B$1:$BZ$300,MATCH(data!AM$1,Haver_M!$B$1:$BZ$1,0),FALSE),"")</f>
        <v/>
      </c>
      <c r="AN6" t="str">
        <f>IF(ISNUMBER(VLOOKUP($A6,Haver_M!$B$1:$BZ$300,MATCH(data!AN$1,Haver_M!$B$1:$BZ$1,0),FALSE)),VLOOKUP($A6,Haver_M!$B$1:$BZ$300,MATCH(data!AN$1,Haver_M!$B$1:$BZ$1,0),FALSE),"")</f>
        <v/>
      </c>
      <c r="AO6" t="str">
        <f>IF(ISNUMBER(VLOOKUP($A6,Haver_M!$B$1:$BZ$300,MATCH(data!AO$1,Haver_M!$B$1:$BZ$1,0),FALSE)),VLOOKUP($A6,Haver_M!$B$1:$BZ$300,MATCH(data!AO$1,Haver_M!$B$1:$BZ$1,0),FALSE),"")</f>
        <v/>
      </c>
      <c r="AP6">
        <f>IF(ISNUMBER(VLOOKUP($A6,Haver_M!$B$1:$BZ$300,MATCH(data!AP$1,Haver_M!$B$1:$BZ$1,0),FALSE)),VLOOKUP($A6,Haver_M!$B$1:$BZ$300,MATCH(data!AP$1,Haver_M!$B$1:$BZ$1,0),FALSE),"")</f>
        <v>66.784843832430838</v>
      </c>
      <c r="AQ6" t="str">
        <f>IF(ISNUMBER(VLOOKUP($A6,Haver_M!$B$1:$BZ$300,MATCH(data!AQ$1,Haver_M!$B$1:$BZ$1,0),FALSE)),VLOOKUP($A6,Haver_M!$B$1:$BZ$300,MATCH(data!AQ$1,Haver_M!$B$1:$BZ$1,0),FALSE),"")</f>
        <v/>
      </c>
      <c r="AR6" t="str">
        <f>IF(ISNUMBER(VLOOKUP($A6,Haver_M!$B$1:$BZ$300,MATCH(data!AR$1,Haver_M!$B$1:$BZ$1,0),FALSE)),VLOOKUP($A6,Haver_M!$B$1:$BZ$300,MATCH(data!AR$1,Haver_M!$B$1:$BZ$1,0),FALSE),"")</f>
        <v/>
      </c>
      <c r="AS6" t="str">
        <f>IF(ISNUMBER(VLOOKUP($A6,Haver_M!$B$1:$BZ$300,MATCH(data!AS$1,Haver_M!$B$1:$BZ$1,0),FALSE)),VLOOKUP($A6,Haver_M!$B$1:$BZ$300,MATCH(data!AS$1,Haver_M!$B$1:$BZ$1,0),FALSE),"")</f>
        <v/>
      </c>
      <c r="AT6" t="str">
        <f>IF(ISNUMBER(VLOOKUP($A6,Haver_M!$B$1:$BZ$300,MATCH(data!AT$1,Haver_M!$B$1:$BZ$1,0),FALSE)),VLOOKUP($A6,Haver_M!$B$1:$BZ$300,MATCH(data!AT$1,Haver_M!$B$1:$BZ$1,0),FALSE),"")</f>
        <v/>
      </c>
      <c r="AU6" t="str">
        <f>IF(ISNUMBER(VLOOKUP($A6,Haver_M!$B$1:$BZ$300,MATCH(data!AU$1,Haver_M!$B$1:$BZ$1,0),FALSE)),VLOOKUP($A6,Haver_M!$B$1:$BZ$300,MATCH(data!AU$1,Haver_M!$B$1:$BZ$1,0),FALSE),"")</f>
        <v/>
      </c>
      <c r="AV6" t="str">
        <f>IF(ISNUMBER(VLOOKUP($A6,Haver_M!$B$1:$BZ$300,MATCH(data!AV$1,Haver_M!$B$1:$BZ$1,0),FALSE)),VLOOKUP($A6,Haver_M!$B$1:$BZ$300,MATCH(data!AV$1,Haver_M!$B$1:$BZ$1,0),FALSE),"")</f>
        <v/>
      </c>
      <c r="AW6" t="str">
        <f>IF(ISNUMBER(VLOOKUP($A6,Haver_M!$B$1:$BZ$300,MATCH(data!AW$1,Haver_M!$B$1:$BZ$1,0),FALSE)),VLOOKUP($A6,Haver_M!$B$1:$BZ$300,MATCH(data!AW$1,Haver_M!$B$1:$BZ$1,0),FALSE),"")</f>
        <v/>
      </c>
      <c r="AX6" t="str">
        <f>IF(ISNUMBER(VLOOKUP($A6,Haver_M!$B$1:$BZ$300,MATCH(data!AX$1,Haver_M!$B$1:$BZ$1,0),FALSE)),VLOOKUP($A6,Haver_M!$B$1:$BZ$300,MATCH(data!AX$1,Haver_M!$B$1:$BZ$1,0),FALSE),"")</f>
        <v/>
      </c>
      <c r="AY6" t="str">
        <f>IF(ISNUMBER(VLOOKUP($A6,Haver_M!$B$1:$BZ$300,MATCH(data!AY$1,Haver_M!$B$1:$BZ$1,0),FALSE)),VLOOKUP($A6,Haver_M!$B$1:$BZ$300,MATCH(data!AY$1,Haver_M!$B$1:$BZ$1,0),FALSE),"")</f>
        <v/>
      </c>
      <c r="AZ6" t="str">
        <f>IF(ISNUMBER(VLOOKUP($A6,Haver_M!$B$1:$BZ$300,MATCH(data!AZ$1,Haver_M!$B$1:$BZ$1,0),FALSE)),VLOOKUP($A6,Haver_M!$B$1:$BZ$300,MATCH(data!AZ$1,Haver_M!$B$1:$BZ$1,0),FALSE),"")</f>
        <v/>
      </c>
      <c r="BA6" t="str">
        <f>IF(ISNUMBER(VLOOKUP($A6,Haver_M!$B$1:$BZ$300,MATCH(data!BA$1,Haver_M!$B$1:$BZ$1,0),FALSE)),VLOOKUP($A6,Haver_M!$B$1:$BZ$300,MATCH(data!BA$1,Haver_M!$B$1:$BZ$1,0),FALSE),"")</f>
        <v/>
      </c>
      <c r="BB6" t="str">
        <f>IF(ISNUMBER(VLOOKUP($A6,Haver_M!$B$1:$BZ$300,MATCH(data!BB$1,Haver_M!$B$1:$BZ$1,0),FALSE)),VLOOKUP($A6,Haver_M!$B$1:$BZ$300,MATCH(data!BB$1,Haver_M!$B$1:$BZ$1,0),FALSE),"")</f>
        <v/>
      </c>
      <c r="BC6" t="str">
        <f>IF(ISNUMBER(VLOOKUP($A6,Haver_M!$B$1:$BZ$300,MATCH(data!BC$1,Haver_M!$B$1:$BZ$1,0),FALSE)),VLOOKUP($A6,Haver_M!$B$1:$BZ$300,MATCH(data!BC$1,Haver_M!$B$1:$BZ$1,0),FALSE),"")</f>
        <v/>
      </c>
      <c r="BD6" t="str">
        <f>IF(ISNUMBER(VLOOKUP($A6,Haver_M!$B$1:$BZ$300,MATCH(data!BD$1,Haver_M!$B$1:$BZ$1,0),FALSE)),VLOOKUP($A6,Haver_M!$B$1:$BZ$300,MATCH(data!BD$1,Haver_M!$B$1:$BZ$1,0),FALSE),"")</f>
        <v/>
      </c>
      <c r="BE6" t="str">
        <f>IF(ISNUMBER(VLOOKUP($A6,Haver_M!$B$1:$BZ$300,MATCH(data!BE$1,Haver_M!$B$1:$BZ$1,0),FALSE)),VLOOKUP($A6,Haver_M!$B$1:$BZ$300,MATCH(data!BE$1,Haver_M!$B$1:$BZ$1,0),FALSE),"")</f>
        <v/>
      </c>
      <c r="BF6" t="str">
        <f>IF(ISNUMBER(VLOOKUP($A6,Haver_M!$B$1:$BZ$300,MATCH(data!BF$1,Haver_M!$B$1:$BZ$1,0),FALSE)),VLOOKUP($A6,Haver_M!$B$1:$BZ$300,MATCH(data!BF$1,Haver_M!$B$1:$BZ$1,0),FALSE),"")</f>
        <v/>
      </c>
      <c r="BG6" t="str">
        <f>IF(ISNUMBER(VLOOKUP($A6,Haver_M!$B$1:$BZ$300,MATCH(data!BG$1,Haver_M!$B$1:$BZ$1,0),FALSE)),VLOOKUP($A6,Haver_M!$B$1:$BZ$300,MATCH(data!BG$1,Haver_M!$B$1:$BZ$1,0),FALSE),"")</f>
        <v/>
      </c>
      <c r="BH6" t="str">
        <f>IF(ISNUMBER(VLOOKUP($A6,Haver_M!$B$1:$BZ$300,MATCH(data!BH$1,Haver_M!$B$1:$BZ$1,0),FALSE)),VLOOKUP($A6,Haver_M!$B$1:$BZ$300,MATCH(data!BH$1,Haver_M!$B$1:$BZ$1,0),FALSE),"")</f>
        <v/>
      </c>
      <c r="BI6" t="str">
        <f>IF(ISNUMBER(VLOOKUP($A6,Haver_M!$B$1:$BZ$300,MATCH(data!BI$1,Haver_M!$B$1:$BZ$1,0),FALSE)),VLOOKUP($A6,Haver_M!$B$1:$BZ$300,MATCH(data!BI$1,Haver_M!$B$1:$BZ$1,0),FALSE),"")</f>
        <v/>
      </c>
      <c r="BJ6" t="str">
        <f>IF(ISNUMBER(VLOOKUP($A6,Haver_M!$B$1:$BZ$300,MATCH(data!BJ$1,Haver_M!$B$1:$BZ$1,0),FALSE)),VLOOKUP($A6,Haver_M!$B$1:$BZ$300,MATCH(data!BJ$1,Haver_M!$B$1:$BZ$1,0),FALSE),"")</f>
        <v/>
      </c>
      <c r="BK6" t="str">
        <f>IF(ISNUMBER(VLOOKUP($A6,Haver_M!$B$1:$BZ$300,MATCH(data!BK$1,Haver_M!$B$1:$BZ$1,0),FALSE)),VLOOKUP($A6,Haver_M!$B$1:$BZ$300,MATCH(data!BK$1,Haver_M!$B$1:$BZ$1,0),FALSE),"")</f>
        <v/>
      </c>
      <c r="BL6">
        <f>IF(ISNUMBER(VLOOKUP($A6,Haver_M!$B$1:$BZ$300,MATCH(data!BL$1,Haver_M!$B$1:$BZ$1,0),FALSE)),VLOOKUP($A6,Haver_M!$B$1:$BZ$300,MATCH(data!BL$1,Haver_M!$B$1:$BZ$1,0),FALSE),"")</f>
        <v>4253.1099999999997</v>
      </c>
      <c r="BM6">
        <f>IF(ISNUMBER(VLOOKUP($A6,Haver_M!$B$1:$BZ$300,MATCH(data!BM$1,Haver_M!$B$1:$BZ$1,0),FALSE)),VLOOKUP($A6,Haver_M!$B$1:$BZ$300,MATCH(data!BM$1,Haver_M!$B$1:$BZ$1,0),FALSE),"")</f>
        <v>116.38075942</v>
      </c>
      <c r="BN6" t="str">
        <f>IF(ISNUMBER(VLOOKUP($A6,Haver_M!$B$1:$BZ$300,MATCH(data!BN$1,Haver_M!$B$1:$BZ$1,0),FALSE)),VLOOKUP($A6,Haver_M!$B$1:$BZ$300,MATCH(data!BN$1,Haver_M!$B$1:$BZ$1,0),FALSE),"")</f>
        <v/>
      </c>
      <c r="BO6" t="str">
        <f>IF(ISNUMBER(VLOOKUP($A6,Haver_M!$B$1:$BZ$300,MATCH(data!BO$1,Haver_M!$B$1:$BZ$1,0),FALSE)),VLOOKUP($A6,Haver_M!$B$1:$BZ$300,MATCH(data!BO$1,Haver_M!$B$1:$BZ$1,0),FALSE),"")</f>
        <v/>
      </c>
      <c r="BP6" t="str">
        <f>IF(ISNUMBER(VLOOKUP($A6,Haver_M!$B$1:$BZ$300,MATCH(data!BP$1,Haver_M!$B$1:$BZ$1,0),FALSE)),VLOOKUP($A6,Haver_M!$B$1:$BZ$300,MATCH(data!BP$1,Haver_M!$B$1:$BZ$1,0),FALSE),"")</f>
        <v/>
      </c>
      <c r="BQ6" t="str">
        <f>IF(ISNUMBER(VLOOKUP($A6,Haver_M!$B$1:$BZ$300,MATCH(data!BQ$1,Haver_M!$B$1:$BZ$1,0),FALSE)),VLOOKUP($A6,Haver_M!$B$1:$BZ$300,MATCH(data!BQ$1,Haver_M!$B$1:$BZ$1,0),FALSE),"")</f>
        <v/>
      </c>
      <c r="BR6" t="str">
        <f>IF(ISNUMBER(VLOOKUP($A6,Haver_M!$B$1:$BZ$300,MATCH(data!BR$1,Haver_M!$B$1:$BZ$1,0),FALSE)),VLOOKUP($A6,Haver_M!$B$1:$BZ$300,MATCH(data!BR$1,Haver_M!$B$1:$BZ$1,0),FALSE),"")</f>
        <v/>
      </c>
      <c r="BS6" t="str">
        <f>IF(ISNUMBER(VLOOKUP($A6,Haver_M!$B$1:$BZ$300,MATCH(data!BS$1,Haver_M!$B$1:$BZ$1,0),FALSE)),VLOOKUP($A6,Haver_M!$B$1:$BZ$300,MATCH(data!BS$1,Haver_M!$B$1:$BZ$1,0),FALSE),"")</f>
        <v/>
      </c>
      <c r="BT6" t="str">
        <f>IF(ISNUMBER(VLOOKUP($A6,Haver_M!$B$1:$BZ$300,MATCH(data!BT$1,Haver_M!$B$1:$BZ$1,0),FALSE)),VLOOKUP($A6,Haver_M!$B$1:$BZ$300,MATCH(data!BT$1,Haver_M!$B$1:$BZ$1,0),FALSE),"")</f>
        <v/>
      </c>
      <c r="BU6">
        <f>IF(ISNUMBER(VLOOKUP($A6,Haver_M!$B$1:$BZ$300,MATCH(data!BU$1,Haver_M!$B$1:$BZ$1,0),FALSE)),VLOOKUP($A6,Haver_M!$B$1:$BZ$300,MATCH(data!BU$1,Haver_M!$B$1:$BZ$1,0),FALSE),"")</f>
        <v>3577</v>
      </c>
      <c r="BV6">
        <f>IF(ISNUMBER(VLOOKUP($A6,Haver_M!$B$1:$BZ$300,MATCH(data!BV$1,Haver_M!$B$1:$BZ$1,0),FALSE)),VLOOKUP($A6,Haver_M!$B$1:$BZ$300,MATCH(data!BV$1,Haver_M!$B$1:$BZ$1,0),FALSE),"")</f>
        <v>4371</v>
      </c>
      <c r="BW6">
        <f>IF(ISNUMBER(VLOOKUP($A6,Haver_M!$B$1:$BZ$300,MATCH(data!BW$1,Haver_M!$B$1:$BZ$1,0),FALSE)),VLOOKUP($A6,Haver_M!$B$1:$BZ$300,MATCH(data!BW$1,Haver_M!$B$1:$BZ$1,0),FALSE),"")</f>
        <v>43.982900000000001</v>
      </c>
      <c r="BX6">
        <f>IF(ISNUMBER(VLOOKUP($A6,Haver_M!$B$1:$BZ$300,MATCH(data!BX$1,Haver_M!$B$1:$BZ$1,0),FALSE)),VLOOKUP($A6,Haver_M!$B$1:$BZ$300,MATCH(data!BX$1,Haver_M!$B$1:$BZ$1,0),FALSE),"")</f>
        <v>42885</v>
      </c>
    </row>
    <row r="7" spans="1:76" x14ac:dyDescent="0.25">
      <c r="A7" s="2">
        <v>36707</v>
      </c>
      <c r="B7">
        <f>IF(ISNUMBER(VLOOKUP($A7,Haver_Q!$B$1:$L$185,MATCH(data!B$1,Haver_Q!$B$1:$L$1,0),FALSE)),100*(VLOOKUP($A7,Haver_Q!$B$1:$L$185,MATCH(data!B$1,Haver_Q!$B$1:$L$1,0),FALSE)),"")</f>
        <v>0.834679305315289</v>
      </c>
      <c r="C7">
        <f>IF(ISNUMBER(VLOOKUP($A7,Haver_Q!$B$1:$L$185,MATCH(data!C$1,Haver_Q!$B$1:$L$1,0),FALSE)),100*(VLOOKUP($A7,Haver_Q!$B$1:$L$185,MATCH(data!C$1,Haver_Q!$B$1:$L$1,0),FALSE)),"")</f>
        <v>-6.9146974152449197</v>
      </c>
      <c r="D7">
        <f>IF(ISNUMBER(VLOOKUP($A7,Haver_Q!$B$1:$L$185,MATCH(data!D$1,Haver_Q!$B$1:$L$1,0),FALSE)),100*(VLOOKUP($A7,Haver_Q!$B$1:$L$185,MATCH(data!D$1,Haver_Q!$B$1:$L$1,0),FALSE)),"")</f>
        <v>-3.6477146983315278</v>
      </c>
      <c r="E7">
        <f>IF(ISNUMBER(VLOOKUP($A7,Haver_Q!$B$1:$L$185,MATCH(data!E$1,Haver_Q!$B$1:$L$1,0),FALSE)),100*(VLOOKUP($A7,Haver_Q!$B$1:$L$185,MATCH(data!E$1,Haver_Q!$B$1:$L$1,0),FALSE)),"")</f>
        <v>-5.6131956477459948</v>
      </c>
      <c r="F7">
        <f>IF(ISNUMBER(VLOOKUP($A7,Haver_Q!$B$1:$L$185,MATCH(data!F$1,Haver_Q!$B$1:$L$1,0),FALSE)),100*(VLOOKUP($A7,Haver_Q!$B$1:$L$185,MATCH(data!F$1,Haver_Q!$B$1:$L$1,0),FALSE)),"")</f>
        <v>1.2632193606735953</v>
      </c>
      <c r="G7">
        <f>IF(ISNUMBER(VLOOKUP($A7,Haver_Q!$B$1:$L$185,MATCH(data!G$1,Haver_Q!$B$1:$L$1,0),FALSE)),100*(VLOOKUP($A7,Haver_Q!$B$1:$L$185,MATCH(data!G$1,Haver_Q!$B$1:$L$1,0),FALSE)),"")</f>
        <v>-45.554435630595528</v>
      </c>
      <c r="H7">
        <f>IF(ISNUMBER(VLOOKUP($A7,Haver_Q!$B$1:$L$185,MATCH(data!H$1,Haver_Q!$B$1:$L$1,0),FALSE)),(VLOOKUP($A7,Haver_Q!$B$1:$L$185,MATCH(data!H$1,Haver_Q!$B$1:$L$1,0),FALSE)),"")</f>
        <v>5.0314880030240685</v>
      </c>
      <c r="I7">
        <f>IF(ISNUMBER(VLOOKUP($A7,Haver_Q!$B$1:$L$185,MATCH(data!I$1,Haver_Q!$B$1:$L$1,0),FALSE)),100*(VLOOKUP($A7,Haver_Q!$B$1:$L$185,MATCH(data!I$1,Haver_Q!$B$1:$L$1,0),FALSE)),"")</f>
        <v>5.2297761368579554</v>
      </c>
      <c r="J7" s="3">
        <f>IF(ISNUMBER(Bloomberg_m!C23),Bloomberg_m!C23,"")</f>
        <v>1589</v>
      </c>
      <c r="K7" s="3" t="str">
        <f>IF(ISNUMBER(Bloomberg_m!D23),Bloomberg_m!D23,"")</f>
        <v/>
      </c>
      <c r="L7" s="3" t="str">
        <f>IF(ISNUMBER(Bloomberg_m!E23),Bloomberg_m!E23,"")</f>
        <v/>
      </c>
      <c r="M7" s="3" t="str">
        <f>IF(ISNUMBER(Bloomberg_m!F23),Bloomberg_m!F23,"")</f>
        <v/>
      </c>
      <c r="N7" t="str">
        <f>IF(ISNUMBER(VLOOKUP($A7,Haver_M!$B$1:$BZ$300,MATCH(data!N$1,Haver_M!$B$1:$BZ$1,0),FALSE)),VLOOKUP($A7,Haver_M!$B$1:$BZ$300,MATCH(data!N$1,Haver_M!$B$1:$BZ$1,0),FALSE),"")</f>
        <v/>
      </c>
      <c r="O7">
        <f>IF(ISNUMBER(VLOOKUP($A7,Haver_M!$B$1:$BZ$300,MATCH(data!O$1,Haver_M!$B$1:$BZ$1,0),FALSE)),VLOOKUP($A7,Haver_M!$B$1:$BZ$300,MATCH(data!O$1,Haver_M!$B$1:$BZ$1,0),FALSE),"")</f>
        <v>11.1004</v>
      </c>
      <c r="P7">
        <f>IF(ISNUMBER(VLOOKUP($A7,Haver_M!$B$1:$BZ$300,MATCH(data!P$1,Haver_M!$B$1:$BZ$1,0),FALSE)),VLOOKUP($A7,Haver_M!$B$1:$BZ$300,MATCH(data!P$1,Haver_M!$B$1:$BZ$1,0),FALSE),"")</f>
        <v>93.666550000000001</v>
      </c>
      <c r="Q7" t="str">
        <f>IF(ISNUMBER(VLOOKUP($A7,Haver_M!$B$1:$BZ$300,MATCH(data!Q$1,Haver_M!$B$1:$BZ$1,0),FALSE)),VLOOKUP($A7,Haver_M!$B$1:$BZ$300,MATCH(data!Q$1,Haver_M!$B$1:$BZ$1,0),FALSE),"")</f>
        <v/>
      </c>
      <c r="R7" t="str">
        <f>IF(ISNUMBER(VLOOKUP($A7,Haver_M!$B$1:$BZ$300,MATCH(data!R$1,Haver_M!$B$1:$BZ$1,0),FALSE)),VLOOKUP($A7,Haver_M!$B$1:$BZ$300,MATCH(data!R$1,Haver_M!$B$1:$BZ$1,0),FALSE),"")</f>
        <v/>
      </c>
      <c r="S7">
        <f>IF(ISNUMBER(VLOOKUP($A7,Haver_M!$B$1:$BZ$300,MATCH(data!S$1,Haver_M!$B$1:$BZ$1,0),FALSE)),VLOOKUP($A7,Haver_M!$B$1:$BZ$300,MATCH(data!S$1,Haver_M!$B$1:$BZ$1,0),FALSE),"")</f>
        <v>45.8</v>
      </c>
      <c r="T7">
        <f>IF(ISNUMBER(VLOOKUP($A7,Haver_M!$B$1:$BZ$300,MATCH(data!T$1,Haver_M!$B$1:$BZ$1,0),FALSE)),VLOOKUP($A7,Haver_M!$B$1:$BZ$300,MATCH(data!T$1,Haver_M!$B$1:$BZ$1,0),FALSE),"")</f>
        <v>55.37</v>
      </c>
      <c r="U7">
        <f>IF(ISNUMBER(VLOOKUP($A7,Haver_M!$B$1:$BZ$300,MATCH(data!U$1,Haver_M!$B$1:$BZ$1,0),FALSE)),VLOOKUP($A7,Haver_M!$B$1:$BZ$300,MATCH(data!U$1,Haver_M!$B$1:$BZ$1,0),FALSE),"")</f>
        <v>27.31</v>
      </c>
      <c r="V7">
        <f>IF(ISNUMBER(VLOOKUP($A7,Haver_M!$B$1:$BZ$300,MATCH(data!V$1,Haver_M!$B$1:$BZ$1,0),FALSE)),VLOOKUP($A7,Haver_M!$B$1:$BZ$300,MATCH(data!V$1,Haver_M!$B$1:$BZ$1,0),FALSE),"")</f>
        <v>57.25</v>
      </c>
      <c r="W7" t="str">
        <f>IF(ISNUMBER(VLOOKUP($A7,Haver_M!$B$1:$BZ$300,MATCH(data!W$1,Haver_M!$B$1:$BZ$1,0),FALSE)),VLOOKUP($A7,Haver_M!$B$1:$BZ$300,MATCH(data!W$1,Haver_M!$B$1:$BZ$1,0),FALSE),"")</f>
        <v/>
      </c>
      <c r="X7">
        <f>IF(ISNUMBER(VLOOKUP($A7,Haver_M!$B$1:$BZ$300,MATCH(data!X$1,Haver_M!$B$1:$BZ$1,0),FALSE)),VLOOKUP($A7,Haver_M!$B$1:$BZ$300,MATCH(data!X$1,Haver_M!$B$1:$BZ$1,0),FALSE),"")</f>
        <v>25.58</v>
      </c>
      <c r="Y7">
        <f>IF(ISNUMBER(VLOOKUP($A7,Haver_M!$B$1:$BZ$300,MATCH(data!Y$1,Haver_M!$B$1:$BZ$1,0),FALSE)),VLOOKUP($A7,Haver_M!$B$1:$BZ$300,MATCH(data!Y$1,Haver_M!$B$1:$BZ$1,0),FALSE),"")</f>
        <v>45.87</v>
      </c>
      <c r="Z7" t="str">
        <f>IF(ISNUMBER(VLOOKUP($A7,Haver_M!$B$1:$BZ$300,MATCH(data!Z$1,Haver_M!$B$1:$BZ$1,0),FALSE)),VLOOKUP($A7,Haver_M!$B$1:$BZ$300,MATCH(data!Z$1,Haver_M!$B$1:$BZ$1,0),FALSE),"")</f>
        <v/>
      </c>
      <c r="AA7" t="str">
        <f>IF(ISNUMBER(VLOOKUP($A7,Haver_M!$B$1:$BZ$300,MATCH(data!AA$1,Haver_M!$B$1:$BZ$1,0),FALSE)),VLOOKUP($A7,Haver_M!$B$1:$BZ$300,MATCH(data!AA$1,Haver_M!$B$1:$BZ$1,0),FALSE),"")</f>
        <v/>
      </c>
      <c r="AB7" t="str">
        <f>IF(ISNUMBER(VLOOKUP($A7,Haver_M!$B$1:$BZ$300,MATCH(data!AB$1,Haver_M!$B$1:$BZ$1,0),FALSE)),VLOOKUP($A7,Haver_M!$B$1:$BZ$300,MATCH(data!AB$1,Haver_M!$B$1:$BZ$1,0),FALSE),"")</f>
        <v/>
      </c>
      <c r="AC7" t="str">
        <f>IF(ISNUMBER(VLOOKUP($A7,Haver_M!$B$1:$BZ$300,MATCH(data!AC$1,Haver_M!$B$1:$BZ$1,0),FALSE)),VLOOKUP($A7,Haver_M!$B$1:$BZ$300,MATCH(data!AC$1,Haver_M!$B$1:$BZ$1,0),FALSE),"")</f>
        <v/>
      </c>
      <c r="AD7" t="str">
        <f>IF(ISNUMBER(VLOOKUP($A7,Haver_M!$B$1:$BZ$300,MATCH(data!AD$1,Haver_M!$B$1:$BZ$1,0),FALSE)),VLOOKUP($A7,Haver_M!$B$1:$BZ$300,MATCH(data!AD$1,Haver_M!$B$1:$BZ$1,0),FALSE),"")</f>
        <v/>
      </c>
      <c r="AE7" t="str">
        <f>IF(ISNUMBER(VLOOKUP($A7,Haver_M!$B$1:$BZ$300,MATCH(data!AE$1,Haver_M!$B$1:$BZ$1,0),FALSE)),VLOOKUP($A7,Haver_M!$B$1:$BZ$300,MATCH(data!AE$1,Haver_M!$B$1:$BZ$1,0),FALSE),"")</f>
        <v/>
      </c>
      <c r="AF7" t="str">
        <f>IF(ISNUMBER(VLOOKUP($A7,Haver_M!$B$1:$BZ$300,MATCH(data!AF$1,Haver_M!$B$1:$BZ$1,0),FALSE)),VLOOKUP($A7,Haver_M!$B$1:$BZ$300,MATCH(data!AF$1,Haver_M!$B$1:$BZ$1,0),FALSE),"")</f>
        <v/>
      </c>
      <c r="AG7" t="str">
        <f>IF(ISNUMBER(VLOOKUP($A7,Haver_M!$B$1:$BZ$300,MATCH(data!AG$1,Haver_M!$B$1:$BZ$1,0),FALSE)),VLOOKUP($A7,Haver_M!$B$1:$BZ$300,MATCH(data!AG$1,Haver_M!$B$1:$BZ$1,0),FALSE),"")</f>
        <v/>
      </c>
      <c r="AH7" t="str">
        <f>IF(ISNUMBER(VLOOKUP($A7,Haver_M!$B$1:$BZ$300,MATCH(data!AH$1,Haver_M!$B$1:$BZ$1,0),FALSE)),VLOOKUP($A7,Haver_M!$B$1:$BZ$300,MATCH(data!AH$1,Haver_M!$B$1:$BZ$1,0),FALSE),"")</f>
        <v/>
      </c>
      <c r="AI7">
        <f>IF(ISNUMBER(VLOOKUP($A7,Haver_M!$B$1:$BZ$300,MATCH(data!AI$1,Haver_M!$B$1:$BZ$1,0),FALSE)),VLOOKUP($A7,Haver_M!$B$1:$BZ$300,MATCH(data!AI$1,Haver_M!$B$1:$BZ$1,0),FALSE),"")</f>
        <v>8235.3561632377496</v>
      </c>
      <c r="AJ7">
        <f>IF(ISNUMBER(VLOOKUP($A7,Haver_M!$B$1:$BZ$300,MATCH(data!AJ$1,Haver_M!$B$1:$BZ$1,0),FALSE)),VLOOKUP($A7,Haver_M!$B$1:$BZ$300,MATCH(data!AJ$1,Haver_M!$B$1:$BZ$1,0),FALSE),"")</f>
        <v>3631.69</v>
      </c>
      <c r="AK7">
        <f>IF(ISNUMBER(VLOOKUP($A7,Haver_M!$B$1:$BZ$300,MATCH(data!AK$1,Haver_M!$B$1:$BZ$1,0),FALSE)),VLOOKUP($A7,Haver_M!$B$1:$BZ$300,MATCH(data!AK$1,Haver_M!$B$1:$BZ$1,0),FALSE),"")</f>
        <v>4263.3</v>
      </c>
      <c r="AL7" t="str">
        <f>IF(ISNUMBER(VLOOKUP($A7,Haver_M!$B$1:$BZ$300,MATCH(data!AL$1,Haver_M!$B$1:$BZ$1,0),FALSE)),VLOOKUP($A7,Haver_M!$B$1:$BZ$300,MATCH(data!AL$1,Haver_M!$B$1:$BZ$1,0),FALSE),"")</f>
        <v/>
      </c>
      <c r="AM7" t="str">
        <f>IF(ISNUMBER(VLOOKUP($A7,Haver_M!$B$1:$BZ$300,MATCH(data!AM$1,Haver_M!$B$1:$BZ$1,0),FALSE)),VLOOKUP($A7,Haver_M!$B$1:$BZ$300,MATCH(data!AM$1,Haver_M!$B$1:$BZ$1,0),FALSE),"")</f>
        <v/>
      </c>
      <c r="AN7" t="str">
        <f>IF(ISNUMBER(VLOOKUP($A7,Haver_M!$B$1:$BZ$300,MATCH(data!AN$1,Haver_M!$B$1:$BZ$1,0),FALSE)),VLOOKUP($A7,Haver_M!$B$1:$BZ$300,MATCH(data!AN$1,Haver_M!$B$1:$BZ$1,0),FALSE),"")</f>
        <v/>
      </c>
      <c r="AO7" t="str">
        <f>IF(ISNUMBER(VLOOKUP($A7,Haver_M!$B$1:$BZ$300,MATCH(data!AO$1,Haver_M!$B$1:$BZ$1,0),FALSE)),VLOOKUP($A7,Haver_M!$B$1:$BZ$300,MATCH(data!AO$1,Haver_M!$B$1:$BZ$1,0),FALSE),"")</f>
        <v/>
      </c>
      <c r="AP7">
        <f>IF(ISNUMBER(VLOOKUP($A7,Haver_M!$B$1:$BZ$300,MATCH(data!AP$1,Haver_M!$B$1:$BZ$1,0),FALSE)),VLOOKUP($A7,Haver_M!$B$1:$BZ$300,MATCH(data!AP$1,Haver_M!$B$1:$BZ$1,0),FALSE),"")</f>
        <v>117.52525919860317</v>
      </c>
      <c r="AQ7" t="str">
        <f>IF(ISNUMBER(VLOOKUP($A7,Haver_M!$B$1:$BZ$300,MATCH(data!AQ$1,Haver_M!$B$1:$BZ$1,0),FALSE)),VLOOKUP($A7,Haver_M!$B$1:$BZ$300,MATCH(data!AQ$1,Haver_M!$B$1:$BZ$1,0),FALSE),"")</f>
        <v/>
      </c>
      <c r="AR7" t="str">
        <f>IF(ISNUMBER(VLOOKUP($A7,Haver_M!$B$1:$BZ$300,MATCH(data!AR$1,Haver_M!$B$1:$BZ$1,0),FALSE)),VLOOKUP($A7,Haver_M!$B$1:$BZ$300,MATCH(data!AR$1,Haver_M!$B$1:$BZ$1,0),FALSE),"")</f>
        <v/>
      </c>
      <c r="AS7" t="str">
        <f>IF(ISNUMBER(VLOOKUP($A7,Haver_M!$B$1:$BZ$300,MATCH(data!AS$1,Haver_M!$B$1:$BZ$1,0),FALSE)),VLOOKUP($A7,Haver_M!$B$1:$BZ$300,MATCH(data!AS$1,Haver_M!$B$1:$BZ$1,0),FALSE),"")</f>
        <v/>
      </c>
      <c r="AT7" t="str">
        <f>IF(ISNUMBER(VLOOKUP($A7,Haver_M!$B$1:$BZ$300,MATCH(data!AT$1,Haver_M!$B$1:$BZ$1,0),FALSE)),VLOOKUP($A7,Haver_M!$B$1:$BZ$300,MATCH(data!AT$1,Haver_M!$B$1:$BZ$1,0),FALSE),"")</f>
        <v/>
      </c>
      <c r="AU7" t="str">
        <f>IF(ISNUMBER(VLOOKUP($A7,Haver_M!$B$1:$BZ$300,MATCH(data!AU$1,Haver_M!$B$1:$BZ$1,0),FALSE)),VLOOKUP($A7,Haver_M!$B$1:$BZ$300,MATCH(data!AU$1,Haver_M!$B$1:$BZ$1,0),FALSE),"")</f>
        <v/>
      </c>
      <c r="AV7" t="str">
        <f>IF(ISNUMBER(VLOOKUP($A7,Haver_M!$B$1:$BZ$300,MATCH(data!AV$1,Haver_M!$B$1:$BZ$1,0),FALSE)),VLOOKUP($A7,Haver_M!$B$1:$BZ$300,MATCH(data!AV$1,Haver_M!$B$1:$BZ$1,0),FALSE),"")</f>
        <v/>
      </c>
      <c r="AW7" t="str">
        <f>IF(ISNUMBER(VLOOKUP($A7,Haver_M!$B$1:$BZ$300,MATCH(data!AW$1,Haver_M!$B$1:$BZ$1,0),FALSE)),VLOOKUP($A7,Haver_M!$B$1:$BZ$300,MATCH(data!AW$1,Haver_M!$B$1:$BZ$1,0),FALSE),"")</f>
        <v/>
      </c>
      <c r="AX7" t="str">
        <f>IF(ISNUMBER(VLOOKUP($A7,Haver_M!$B$1:$BZ$300,MATCH(data!AX$1,Haver_M!$B$1:$BZ$1,0),FALSE)),VLOOKUP($A7,Haver_M!$B$1:$BZ$300,MATCH(data!AX$1,Haver_M!$B$1:$BZ$1,0),FALSE),"")</f>
        <v/>
      </c>
      <c r="AY7" t="str">
        <f>IF(ISNUMBER(VLOOKUP($A7,Haver_M!$B$1:$BZ$300,MATCH(data!AY$1,Haver_M!$B$1:$BZ$1,0),FALSE)),VLOOKUP($A7,Haver_M!$B$1:$BZ$300,MATCH(data!AY$1,Haver_M!$B$1:$BZ$1,0),FALSE),"")</f>
        <v/>
      </c>
      <c r="AZ7" t="str">
        <f>IF(ISNUMBER(VLOOKUP($A7,Haver_M!$B$1:$BZ$300,MATCH(data!AZ$1,Haver_M!$B$1:$BZ$1,0),FALSE)),VLOOKUP($A7,Haver_M!$B$1:$BZ$300,MATCH(data!AZ$1,Haver_M!$B$1:$BZ$1,0),FALSE),"")</f>
        <v/>
      </c>
      <c r="BA7" t="str">
        <f>IF(ISNUMBER(VLOOKUP($A7,Haver_M!$B$1:$BZ$300,MATCH(data!BA$1,Haver_M!$B$1:$BZ$1,0),FALSE)),VLOOKUP($A7,Haver_M!$B$1:$BZ$300,MATCH(data!BA$1,Haver_M!$B$1:$BZ$1,0),FALSE),"")</f>
        <v/>
      </c>
      <c r="BB7" t="str">
        <f>IF(ISNUMBER(VLOOKUP($A7,Haver_M!$B$1:$BZ$300,MATCH(data!BB$1,Haver_M!$B$1:$BZ$1,0),FALSE)),VLOOKUP($A7,Haver_M!$B$1:$BZ$300,MATCH(data!BB$1,Haver_M!$B$1:$BZ$1,0),FALSE),"")</f>
        <v/>
      </c>
      <c r="BC7" t="str">
        <f>IF(ISNUMBER(VLOOKUP($A7,Haver_M!$B$1:$BZ$300,MATCH(data!BC$1,Haver_M!$B$1:$BZ$1,0),FALSE)),VLOOKUP($A7,Haver_M!$B$1:$BZ$300,MATCH(data!BC$1,Haver_M!$B$1:$BZ$1,0),FALSE),"")</f>
        <v/>
      </c>
      <c r="BD7" t="str">
        <f>IF(ISNUMBER(VLOOKUP($A7,Haver_M!$B$1:$BZ$300,MATCH(data!BD$1,Haver_M!$B$1:$BZ$1,0),FALSE)),VLOOKUP($A7,Haver_M!$B$1:$BZ$300,MATCH(data!BD$1,Haver_M!$B$1:$BZ$1,0),FALSE),"")</f>
        <v/>
      </c>
      <c r="BE7" t="str">
        <f>IF(ISNUMBER(VLOOKUP($A7,Haver_M!$B$1:$BZ$300,MATCH(data!BE$1,Haver_M!$B$1:$BZ$1,0),FALSE)),VLOOKUP($A7,Haver_M!$B$1:$BZ$300,MATCH(data!BE$1,Haver_M!$B$1:$BZ$1,0),FALSE),"")</f>
        <v/>
      </c>
      <c r="BF7" t="str">
        <f>IF(ISNUMBER(VLOOKUP($A7,Haver_M!$B$1:$BZ$300,MATCH(data!BF$1,Haver_M!$B$1:$BZ$1,0),FALSE)),VLOOKUP($A7,Haver_M!$B$1:$BZ$300,MATCH(data!BF$1,Haver_M!$B$1:$BZ$1,0),FALSE),"")</f>
        <v/>
      </c>
      <c r="BG7" t="str">
        <f>IF(ISNUMBER(VLOOKUP($A7,Haver_M!$B$1:$BZ$300,MATCH(data!BG$1,Haver_M!$B$1:$BZ$1,0),FALSE)),VLOOKUP($A7,Haver_M!$B$1:$BZ$300,MATCH(data!BG$1,Haver_M!$B$1:$BZ$1,0),FALSE),"")</f>
        <v/>
      </c>
      <c r="BH7" t="str">
        <f>IF(ISNUMBER(VLOOKUP($A7,Haver_M!$B$1:$BZ$300,MATCH(data!BH$1,Haver_M!$B$1:$BZ$1,0),FALSE)),VLOOKUP($A7,Haver_M!$B$1:$BZ$300,MATCH(data!BH$1,Haver_M!$B$1:$BZ$1,0),FALSE),"")</f>
        <v/>
      </c>
      <c r="BI7" t="str">
        <f>IF(ISNUMBER(VLOOKUP($A7,Haver_M!$B$1:$BZ$300,MATCH(data!BI$1,Haver_M!$B$1:$BZ$1,0),FALSE)),VLOOKUP($A7,Haver_M!$B$1:$BZ$300,MATCH(data!BI$1,Haver_M!$B$1:$BZ$1,0),FALSE),"")</f>
        <v/>
      </c>
      <c r="BJ7" t="str">
        <f>IF(ISNUMBER(VLOOKUP($A7,Haver_M!$B$1:$BZ$300,MATCH(data!BJ$1,Haver_M!$B$1:$BZ$1,0),FALSE)),VLOOKUP($A7,Haver_M!$B$1:$BZ$300,MATCH(data!BJ$1,Haver_M!$B$1:$BZ$1,0),FALSE),"")</f>
        <v/>
      </c>
      <c r="BK7" t="str">
        <f>IF(ISNUMBER(VLOOKUP($A7,Haver_M!$B$1:$BZ$300,MATCH(data!BK$1,Haver_M!$B$1:$BZ$1,0),FALSE)),VLOOKUP($A7,Haver_M!$B$1:$BZ$300,MATCH(data!BK$1,Haver_M!$B$1:$BZ$1,0),FALSE),"")</f>
        <v/>
      </c>
      <c r="BL7">
        <f>IF(ISNUMBER(VLOOKUP($A7,Haver_M!$B$1:$BZ$300,MATCH(data!BL$1,Haver_M!$B$1:$BZ$1,0),FALSE)),VLOOKUP($A7,Haver_M!$B$1:$BZ$300,MATCH(data!BL$1,Haver_M!$B$1:$BZ$1,0),FALSE),"")</f>
        <v>4675.3999999999996</v>
      </c>
      <c r="BM7">
        <f>IF(ISNUMBER(VLOOKUP($A7,Haver_M!$B$1:$BZ$300,MATCH(data!BM$1,Haver_M!$B$1:$BZ$1,0),FALSE)),VLOOKUP($A7,Haver_M!$B$1:$BZ$300,MATCH(data!BM$1,Haver_M!$B$1:$BZ$1,0),FALSE),"")</f>
        <v>115.04659426000001</v>
      </c>
      <c r="BN7">
        <f>IF(ISNUMBER(VLOOKUP($A7,Haver_M!$B$1:$BZ$300,MATCH(data!BN$1,Haver_M!$B$1:$BZ$1,0),FALSE)),VLOOKUP($A7,Haver_M!$B$1:$BZ$300,MATCH(data!BN$1,Haver_M!$B$1:$BZ$1,0),FALSE),"")</f>
        <v>115.2</v>
      </c>
      <c r="BO7">
        <f>IF(ISNUMBER(VLOOKUP($A7,Haver_M!$B$1:$BZ$300,MATCH(data!BO$1,Haver_M!$B$1:$BZ$1,0),FALSE)),VLOOKUP($A7,Haver_M!$B$1:$BZ$300,MATCH(data!BO$1,Haver_M!$B$1:$BZ$1,0),FALSE),"")</f>
        <v>125.5</v>
      </c>
      <c r="BP7">
        <f>IF(ISNUMBER(VLOOKUP($A7,Haver_M!$B$1:$BZ$300,MATCH(data!BP$1,Haver_M!$B$1:$BZ$1,0),FALSE)),VLOOKUP($A7,Haver_M!$B$1:$BZ$300,MATCH(data!BP$1,Haver_M!$B$1:$BZ$1,0),FALSE),"")</f>
        <v>53.8</v>
      </c>
      <c r="BQ7" t="str">
        <f>IF(ISNUMBER(VLOOKUP($A7,Haver_M!$B$1:$BZ$300,MATCH(data!BQ$1,Haver_M!$B$1:$BZ$1,0),FALSE)),VLOOKUP($A7,Haver_M!$B$1:$BZ$300,MATCH(data!BQ$1,Haver_M!$B$1:$BZ$1,0),FALSE),"")</f>
        <v/>
      </c>
      <c r="BR7" t="str">
        <f>IF(ISNUMBER(VLOOKUP($A7,Haver_M!$B$1:$BZ$300,MATCH(data!BR$1,Haver_M!$B$1:$BZ$1,0),FALSE)),VLOOKUP($A7,Haver_M!$B$1:$BZ$300,MATCH(data!BR$1,Haver_M!$B$1:$BZ$1,0),FALSE),"")</f>
        <v/>
      </c>
      <c r="BS7" t="str">
        <f>IF(ISNUMBER(VLOOKUP($A7,Haver_M!$B$1:$BZ$300,MATCH(data!BS$1,Haver_M!$B$1:$BZ$1,0),FALSE)),VLOOKUP($A7,Haver_M!$B$1:$BZ$300,MATCH(data!BS$1,Haver_M!$B$1:$BZ$1,0),FALSE),"")</f>
        <v/>
      </c>
      <c r="BT7" t="str">
        <f>IF(ISNUMBER(VLOOKUP($A7,Haver_M!$B$1:$BZ$300,MATCH(data!BT$1,Haver_M!$B$1:$BZ$1,0),FALSE)),VLOOKUP($A7,Haver_M!$B$1:$BZ$300,MATCH(data!BT$1,Haver_M!$B$1:$BZ$1,0),FALSE),"")</f>
        <v/>
      </c>
      <c r="BU7">
        <f>IF(ISNUMBER(VLOOKUP($A7,Haver_M!$B$1:$BZ$300,MATCH(data!BU$1,Haver_M!$B$1:$BZ$1,0),FALSE)),VLOOKUP($A7,Haver_M!$B$1:$BZ$300,MATCH(data!BU$1,Haver_M!$B$1:$BZ$1,0),FALSE),"")</f>
        <v>3455</v>
      </c>
      <c r="BV7">
        <f>IF(ISNUMBER(VLOOKUP($A7,Haver_M!$B$1:$BZ$300,MATCH(data!BV$1,Haver_M!$B$1:$BZ$1,0),FALSE)),VLOOKUP($A7,Haver_M!$B$1:$BZ$300,MATCH(data!BV$1,Haver_M!$B$1:$BZ$1,0),FALSE),"")</f>
        <v>4028</v>
      </c>
      <c r="BW7">
        <f>IF(ISNUMBER(VLOOKUP($A7,Haver_M!$B$1:$BZ$300,MATCH(data!BW$1,Haver_M!$B$1:$BZ$1,0),FALSE)),VLOOKUP($A7,Haver_M!$B$1:$BZ$300,MATCH(data!BW$1,Haver_M!$B$1:$BZ$1,0),FALSE),"")</f>
        <v>44.686300000000003</v>
      </c>
      <c r="BX7">
        <f>IF(ISNUMBER(VLOOKUP($A7,Haver_M!$B$1:$BZ$300,MATCH(data!BX$1,Haver_M!$B$1:$BZ$1,0),FALSE)),VLOOKUP($A7,Haver_M!$B$1:$BZ$300,MATCH(data!BX$1,Haver_M!$B$1:$BZ$1,0),FALSE),"")</f>
        <v>42247</v>
      </c>
    </row>
    <row r="8" spans="1:76" x14ac:dyDescent="0.25">
      <c r="A8" s="2">
        <v>36738</v>
      </c>
      <c r="B8" t="str">
        <f>IF(ISNUMBER(VLOOKUP($A8,Haver_Q!$B$1:$L$185,MATCH(data!B$1,Haver_Q!$B$1:$L$1,0),FALSE)),100*(VLOOKUP($A8,Haver_Q!$B$1:$L$185,MATCH(data!B$1,Haver_Q!$B$1:$L$1,0),FALSE)),"")</f>
        <v/>
      </c>
      <c r="C8" t="str">
        <f>IF(ISNUMBER(VLOOKUP($A8,Haver_Q!$B$1:$L$185,MATCH(data!C$1,Haver_Q!$B$1:$L$1,0),FALSE)),100*(VLOOKUP($A8,Haver_Q!$B$1:$L$185,MATCH(data!C$1,Haver_Q!$B$1:$L$1,0),FALSE)),"")</f>
        <v/>
      </c>
      <c r="D8" t="str">
        <f>IF(ISNUMBER(VLOOKUP($A8,Haver_Q!$B$1:$L$185,MATCH(data!D$1,Haver_Q!$B$1:$L$1,0),FALSE)),100*(VLOOKUP($A8,Haver_Q!$B$1:$L$185,MATCH(data!D$1,Haver_Q!$B$1:$L$1,0),FALSE)),"")</f>
        <v/>
      </c>
      <c r="E8" t="str">
        <f>IF(ISNUMBER(VLOOKUP($A8,Haver_Q!$B$1:$L$185,MATCH(data!E$1,Haver_Q!$B$1:$L$1,0),FALSE)),100*(VLOOKUP($A8,Haver_Q!$B$1:$L$185,MATCH(data!E$1,Haver_Q!$B$1:$L$1,0),FALSE)),"")</f>
        <v/>
      </c>
      <c r="F8" t="str">
        <f>IF(ISNUMBER(VLOOKUP($A8,Haver_Q!$B$1:$L$185,MATCH(data!F$1,Haver_Q!$B$1:$L$1,0),FALSE)),100*(VLOOKUP($A8,Haver_Q!$B$1:$L$185,MATCH(data!F$1,Haver_Q!$B$1:$L$1,0),FALSE)),"")</f>
        <v/>
      </c>
      <c r="G8" t="str">
        <f>IF(ISNUMBER(VLOOKUP($A8,Haver_Q!$B$1:$L$185,MATCH(data!G$1,Haver_Q!$B$1:$L$1,0),FALSE)),100*(VLOOKUP($A8,Haver_Q!$B$1:$L$185,MATCH(data!G$1,Haver_Q!$B$1:$L$1,0),FALSE)),"")</f>
        <v/>
      </c>
      <c r="H8" t="str">
        <f>IF(ISNUMBER(VLOOKUP($A8,Haver_Q!$B$1:$L$185,MATCH(data!H$1,Haver_Q!$B$1:$L$1,0),FALSE)),(VLOOKUP($A8,Haver_Q!$B$1:$L$185,MATCH(data!H$1,Haver_Q!$B$1:$L$1,0),FALSE)),"")</f>
        <v/>
      </c>
      <c r="I8" t="str">
        <f>IF(ISNUMBER(VLOOKUP($A8,Haver_Q!$B$1:$L$185,MATCH(data!I$1,Haver_Q!$B$1:$L$1,0),FALSE)),100*(VLOOKUP($A8,Haver_Q!$B$1:$L$185,MATCH(data!I$1,Haver_Q!$B$1:$L$1,0),FALSE)),"")</f>
        <v/>
      </c>
      <c r="J8" s="3">
        <f>IF(ISNUMBER(Bloomberg_m!C24),Bloomberg_m!C24,"")</f>
        <v>1618</v>
      </c>
      <c r="K8" s="3" t="str">
        <f>IF(ISNUMBER(Bloomberg_m!D24),Bloomberg_m!D24,"")</f>
        <v/>
      </c>
      <c r="L8" s="3" t="str">
        <f>IF(ISNUMBER(Bloomberg_m!E24),Bloomberg_m!E24,"")</f>
        <v/>
      </c>
      <c r="M8" s="3" t="str">
        <f>IF(ISNUMBER(Bloomberg_m!F24),Bloomberg_m!F24,"")</f>
        <v/>
      </c>
      <c r="N8" t="str">
        <f>IF(ISNUMBER(VLOOKUP($A8,Haver_M!$B$1:$BZ$300,MATCH(data!N$1,Haver_M!$B$1:$BZ$1,0),FALSE)),VLOOKUP($A8,Haver_M!$B$1:$BZ$300,MATCH(data!N$1,Haver_M!$B$1:$BZ$1,0),FALSE),"")</f>
        <v/>
      </c>
      <c r="O8">
        <f>IF(ISNUMBER(VLOOKUP($A8,Haver_M!$B$1:$BZ$300,MATCH(data!O$1,Haver_M!$B$1:$BZ$1,0),FALSE)),VLOOKUP($A8,Haver_M!$B$1:$BZ$300,MATCH(data!O$1,Haver_M!$B$1:$BZ$1,0),FALSE),"")</f>
        <v>11.3</v>
      </c>
      <c r="P8">
        <f>IF(ISNUMBER(VLOOKUP($A8,Haver_M!$B$1:$BZ$300,MATCH(data!P$1,Haver_M!$B$1:$BZ$1,0),FALSE)),VLOOKUP($A8,Haver_M!$B$1:$BZ$300,MATCH(data!P$1,Haver_M!$B$1:$BZ$1,0),FALSE),"")</f>
        <v>93.999629999999996</v>
      </c>
      <c r="Q8" t="str">
        <f>IF(ISNUMBER(VLOOKUP($A8,Haver_M!$B$1:$BZ$300,MATCH(data!Q$1,Haver_M!$B$1:$BZ$1,0),FALSE)),VLOOKUP($A8,Haver_M!$B$1:$BZ$300,MATCH(data!Q$1,Haver_M!$B$1:$BZ$1,0),FALSE),"")</f>
        <v/>
      </c>
      <c r="R8" t="str">
        <f>IF(ISNUMBER(VLOOKUP($A8,Haver_M!$B$1:$BZ$300,MATCH(data!R$1,Haver_M!$B$1:$BZ$1,0),FALSE)),VLOOKUP($A8,Haver_M!$B$1:$BZ$300,MATCH(data!R$1,Haver_M!$B$1:$BZ$1,0),FALSE),"")</f>
        <v/>
      </c>
      <c r="S8">
        <f>IF(ISNUMBER(VLOOKUP($A8,Haver_M!$B$1:$BZ$300,MATCH(data!S$1,Haver_M!$B$1:$BZ$1,0),FALSE)),VLOOKUP($A8,Haver_M!$B$1:$BZ$300,MATCH(data!S$1,Haver_M!$B$1:$BZ$1,0),FALSE),"")</f>
        <v>45.93</v>
      </c>
      <c r="T8">
        <f>IF(ISNUMBER(VLOOKUP($A8,Haver_M!$B$1:$BZ$300,MATCH(data!T$1,Haver_M!$B$1:$BZ$1,0),FALSE)),VLOOKUP($A8,Haver_M!$B$1:$BZ$300,MATCH(data!T$1,Haver_M!$B$1:$BZ$1,0),FALSE),"")</f>
        <v>55.24</v>
      </c>
      <c r="U8">
        <f>IF(ISNUMBER(VLOOKUP($A8,Haver_M!$B$1:$BZ$300,MATCH(data!U$1,Haver_M!$B$1:$BZ$1,0),FALSE)),VLOOKUP($A8,Haver_M!$B$1:$BZ$300,MATCH(data!U$1,Haver_M!$B$1:$BZ$1,0),FALSE),"")</f>
        <v>27.83</v>
      </c>
      <c r="V8">
        <f>IF(ISNUMBER(VLOOKUP($A8,Haver_M!$B$1:$BZ$300,MATCH(data!V$1,Haver_M!$B$1:$BZ$1,0),FALSE)),VLOOKUP($A8,Haver_M!$B$1:$BZ$300,MATCH(data!V$1,Haver_M!$B$1:$BZ$1,0),FALSE),"")</f>
        <v>57.28</v>
      </c>
      <c r="W8" t="str">
        <f>IF(ISNUMBER(VLOOKUP($A8,Haver_M!$B$1:$BZ$300,MATCH(data!W$1,Haver_M!$B$1:$BZ$1,0),FALSE)),VLOOKUP($A8,Haver_M!$B$1:$BZ$300,MATCH(data!W$1,Haver_M!$B$1:$BZ$1,0),FALSE),"")</f>
        <v/>
      </c>
      <c r="X8">
        <f>IF(ISNUMBER(VLOOKUP($A8,Haver_M!$B$1:$BZ$300,MATCH(data!X$1,Haver_M!$B$1:$BZ$1,0),FALSE)),VLOOKUP($A8,Haver_M!$B$1:$BZ$300,MATCH(data!X$1,Haver_M!$B$1:$BZ$1,0),FALSE),"")</f>
        <v>25.32</v>
      </c>
      <c r="Y8">
        <f>IF(ISNUMBER(VLOOKUP($A8,Haver_M!$B$1:$BZ$300,MATCH(data!Y$1,Haver_M!$B$1:$BZ$1,0),FALSE)),VLOOKUP($A8,Haver_M!$B$1:$BZ$300,MATCH(data!Y$1,Haver_M!$B$1:$BZ$1,0),FALSE),"")</f>
        <v>44.75</v>
      </c>
      <c r="Z8" t="str">
        <f>IF(ISNUMBER(VLOOKUP($A8,Haver_M!$B$1:$BZ$300,MATCH(data!Z$1,Haver_M!$B$1:$BZ$1,0),FALSE)),VLOOKUP($A8,Haver_M!$B$1:$BZ$300,MATCH(data!Z$1,Haver_M!$B$1:$BZ$1,0),FALSE),"")</f>
        <v/>
      </c>
      <c r="AA8" t="str">
        <f>IF(ISNUMBER(VLOOKUP($A8,Haver_M!$B$1:$BZ$300,MATCH(data!AA$1,Haver_M!$B$1:$BZ$1,0),FALSE)),VLOOKUP($A8,Haver_M!$B$1:$BZ$300,MATCH(data!AA$1,Haver_M!$B$1:$BZ$1,0),FALSE),"")</f>
        <v/>
      </c>
      <c r="AB8" t="str">
        <f>IF(ISNUMBER(VLOOKUP($A8,Haver_M!$B$1:$BZ$300,MATCH(data!AB$1,Haver_M!$B$1:$BZ$1,0),FALSE)),VLOOKUP($A8,Haver_M!$B$1:$BZ$300,MATCH(data!AB$1,Haver_M!$B$1:$BZ$1,0),FALSE),"")</f>
        <v/>
      </c>
      <c r="AC8" t="str">
        <f>IF(ISNUMBER(VLOOKUP($A8,Haver_M!$B$1:$BZ$300,MATCH(data!AC$1,Haver_M!$B$1:$BZ$1,0),FALSE)),VLOOKUP($A8,Haver_M!$B$1:$BZ$300,MATCH(data!AC$1,Haver_M!$B$1:$BZ$1,0),FALSE),"")</f>
        <v/>
      </c>
      <c r="AD8" t="str">
        <f>IF(ISNUMBER(VLOOKUP($A8,Haver_M!$B$1:$BZ$300,MATCH(data!AD$1,Haver_M!$B$1:$BZ$1,0),FALSE)),VLOOKUP($A8,Haver_M!$B$1:$BZ$300,MATCH(data!AD$1,Haver_M!$B$1:$BZ$1,0),FALSE),"")</f>
        <v/>
      </c>
      <c r="AE8" t="str">
        <f>IF(ISNUMBER(VLOOKUP($A8,Haver_M!$B$1:$BZ$300,MATCH(data!AE$1,Haver_M!$B$1:$BZ$1,0),FALSE)),VLOOKUP($A8,Haver_M!$B$1:$BZ$300,MATCH(data!AE$1,Haver_M!$B$1:$BZ$1,0),FALSE),"")</f>
        <v/>
      </c>
      <c r="AF8" t="str">
        <f>IF(ISNUMBER(VLOOKUP($A8,Haver_M!$B$1:$BZ$300,MATCH(data!AF$1,Haver_M!$B$1:$BZ$1,0),FALSE)),VLOOKUP($A8,Haver_M!$B$1:$BZ$300,MATCH(data!AF$1,Haver_M!$B$1:$BZ$1,0),FALSE),"")</f>
        <v/>
      </c>
      <c r="AG8" t="str">
        <f>IF(ISNUMBER(VLOOKUP($A8,Haver_M!$B$1:$BZ$300,MATCH(data!AG$1,Haver_M!$B$1:$BZ$1,0),FALSE)),VLOOKUP($A8,Haver_M!$B$1:$BZ$300,MATCH(data!AG$1,Haver_M!$B$1:$BZ$1,0),FALSE),"")</f>
        <v/>
      </c>
      <c r="AH8" t="str">
        <f>IF(ISNUMBER(VLOOKUP($A8,Haver_M!$B$1:$BZ$300,MATCH(data!AH$1,Haver_M!$B$1:$BZ$1,0),FALSE)),VLOOKUP($A8,Haver_M!$B$1:$BZ$300,MATCH(data!AH$1,Haver_M!$B$1:$BZ$1,0),FALSE),"")</f>
        <v/>
      </c>
      <c r="AI8">
        <f>IF(ISNUMBER(VLOOKUP($A8,Haver_M!$B$1:$BZ$300,MATCH(data!AI$1,Haver_M!$B$1:$BZ$1,0),FALSE)),VLOOKUP($A8,Haver_M!$B$1:$BZ$300,MATCH(data!AI$1,Haver_M!$B$1:$BZ$1,0),FALSE),"")</f>
        <v>8201.1602946819712</v>
      </c>
      <c r="AJ8">
        <f>IF(ISNUMBER(VLOOKUP($A8,Haver_M!$B$1:$BZ$300,MATCH(data!AJ$1,Haver_M!$B$1:$BZ$1,0),FALSE)),VLOOKUP($A8,Haver_M!$B$1:$BZ$300,MATCH(data!AJ$1,Haver_M!$B$1:$BZ$1,0),FALSE),"")</f>
        <v>3516.88</v>
      </c>
      <c r="AK8">
        <f>IF(ISNUMBER(VLOOKUP($A8,Haver_M!$B$1:$BZ$300,MATCH(data!AK$1,Haver_M!$B$1:$BZ$1,0),FALSE)),VLOOKUP($A8,Haver_M!$B$1:$BZ$300,MATCH(data!AK$1,Haver_M!$B$1:$BZ$1,0),FALSE),"")</f>
        <v>4282.13</v>
      </c>
      <c r="AL8" t="str">
        <f>IF(ISNUMBER(VLOOKUP($A8,Haver_M!$B$1:$BZ$300,MATCH(data!AL$1,Haver_M!$B$1:$BZ$1,0),FALSE)),VLOOKUP($A8,Haver_M!$B$1:$BZ$300,MATCH(data!AL$1,Haver_M!$B$1:$BZ$1,0),FALSE),"")</f>
        <v/>
      </c>
      <c r="AM8" t="str">
        <f>IF(ISNUMBER(VLOOKUP($A8,Haver_M!$B$1:$BZ$300,MATCH(data!AM$1,Haver_M!$B$1:$BZ$1,0),FALSE)),VLOOKUP($A8,Haver_M!$B$1:$BZ$300,MATCH(data!AM$1,Haver_M!$B$1:$BZ$1,0),FALSE),"")</f>
        <v/>
      </c>
      <c r="AN8" t="str">
        <f>IF(ISNUMBER(VLOOKUP($A8,Haver_M!$B$1:$BZ$300,MATCH(data!AN$1,Haver_M!$B$1:$BZ$1,0),FALSE)),VLOOKUP($A8,Haver_M!$B$1:$BZ$300,MATCH(data!AN$1,Haver_M!$B$1:$BZ$1,0),FALSE),"")</f>
        <v/>
      </c>
      <c r="AO8" t="str">
        <f>IF(ISNUMBER(VLOOKUP($A8,Haver_M!$B$1:$BZ$300,MATCH(data!AO$1,Haver_M!$B$1:$BZ$1,0),FALSE)),VLOOKUP($A8,Haver_M!$B$1:$BZ$300,MATCH(data!AO$1,Haver_M!$B$1:$BZ$1,0),FALSE),"")</f>
        <v/>
      </c>
      <c r="AP8">
        <f>IF(ISNUMBER(VLOOKUP($A8,Haver_M!$B$1:$BZ$300,MATCH(data!AP$1,Haver_M!$B$1:$BZ$1,0),FALSE)),VLOOKUP($A8,Haver_M!$B$1:$BZ$300,MATCH(data!AP$1,Haver_M!$B$1:$BZ$1,0),FALSE),"")</f>
        <v>67.622725437027952</v>
      </c>
      <c r="AQ8" t="str">
        <f>IF(ISNUMBER(VLOOKUP($A8,Haver_M!$B$1:$BZ$300,MATCH(data!AQ$1,Haver_M!$B$1:$BZ$1,0),FALSE)),VLOOKUP($A8,Haver_M!$B$1:$BZ$300,MATCH(data!AQ$1,Haver_M!$B$1:$BZ$1,0),FALSE),"")</f>
        <v/>
      </c>
      <c r="AR8" t="str">
        <f>IF(ISNUMBER(VLOOKUP($A8,Haver_M!$B$1:$BZ$300,MATCH(data!AR$1,Haver_M!$B$1:$BZ$1,0),FALSE)),VLOOKUP($A8,Haver_M!$B$1:$BZ$300,MATCH(data!AR$1,Haver_M!$B$1:$BZ$1,0),FALSE),"")</f>
        <v/>
      </c>
      <c r="AS8" t="str">
        <f>IF(ISNUMBER(VLOOKUP($A8,Haver_M!$B$1:$BZ$300,MATCH(data!AS$1,Haver_M!$B$1:$BZ$1,0),FALSE)),VLOOKUP($A8,Haver_M!$B$1:$BZ$300,MATCH(data!AS$1,Haver_M!$B$1:$BZ$1,0),FALSE),"")</f>
        <v/>
      </c>
      <c r="AT8" t="str">
        <f>IF(ISNUMBER(VLOOKUP($A8,Haver_M!$B$1:$BZ$300,MATCH(data!AT$1,Haver_M!$B$1:$BZ$1,0),FALSE)),VLOOKUP($A8,Haver_M!$B$1:$BZ$300,MATCH(data!AT$1,Haver_M!$B$1:$BZ$1,0),FALSE),"")</f>
        <v/>
      </c>
      <c r="AU8" t="str">
        <f>IF(ISNUMBER(VLOOKUP($A8,Haver_M!$B$1:$BZ$300,MATCH(data!AU$1,Haver_M!$B$1:$BZ$1,0),FALSE)),VLOOKUP($A8,Haver_M!$B$1:$BZ$300,MATCH(data!AU$1,Haver_M!$B$1:$BZ$1,0),FALSE),"")</f>
        <v/>
      </c>
      <c r="AV8" t="str">
        <f>IF(ISNUMBER(VLOOKUP($A8,Haver_M!$B$1:$BZ$300,MATCH(data!AV$1,Haver_M!$B$1:$BZ$1,0),FALSE)),VLOOKUP($A8,Haver_M!$B$1:$BZ$300,MATCH(data!AV$1,Haver_M!$B$1:$BZ$1,0),FALSE),"")</f>
        <v/>
      </c>
      <c r="AW8" t="str">
        <f>IF(ISNUMBER(VLOOKUP($A8,Haver_M!$B$1:$BZ$300,MATCH(data!AW$1,Haver_M!$B$1:$BZ$1,0),FALSE)),VLOOKUP($A8,Haver_M!$B$1:$BZ$300,MATCH(data!AW$1,Haver_M!$B$1:$BZ$1,0),FALSE),"")</f>
        <v/>
      </c>
      <c r="AX8" t="str">
        <f>IF(ISNUMBER(VLOOKUP($A8,Haver_M!$B$1:$BZ$300,MATCH(data!AX$1,Haver_M!$B$1:$BZ$1,0),FALSE)),VLOOKUP($A8,Haver_M!$B$1:$BZ$300,MATCH(data!AX$1,Haver_M!$B$1:$BZ$1,0),FALSE),"")</f>
        <v/>
      </c>
      <c r="AY8" t="str">
        <f>IF(ISNUMBER(VLOOKUP($A8,Haver_M!$B$1:$BZ$300,MATCH(data!AY$1,Haver_M!$B$1:$BZ$1,0),FALSE)),VLOOKUP($A8,Haver_M!$B$1:$BZ$300,MATCH(data!AY$1,Haver_M!$B$1:$BZ$1,0),FALSE),"")</f>
        <v/>
      </c>
      <c r="AZ8" t="str">
        <f>IF(ISNUMBER(VLOOKUP($A8,Haver_M!$B$1:$BZ$300,MATCH(data!AZ$1,Haver_M!$B$1:$BZ$1,0),FALSE)),VLOOKUP($A8,Haver_M!$B$1:$BZ$300,MATCH(data!AZ$1,Haver_M!$B$1:$BZ$1,0),FALSE),"")</f>
        <v/>
      </c>
      <c r="BA8" t="str">
        <f>IF(ISNUMBER(VLOOKUP($A8,Haver_M!$B$1:$BZ$300,MATCH(data!BA$1,Haver_M!$B$1:$BZ$1,0),FALSE)),VLOOKUP($A8,Haver_M!$B$1:$BZ$300,MATCH(data!BA$1,Haver_M!$B$1:$BZ$1,0),FALSE),"")</f>
        <v/>
      </c>
      <c r="BB8" t="str">
        <f>IF(ISNUMBER(VLOOKUP($A8,Haver_M!$B$1:$BZ$300,MATCH(data!BB$1,Haver_M!$B$1:$BZ$1,0),FALSE)),VLOOKUP($A8,Haver_M!$B$1:$BZ$300,MATCH(data!BB$1,Haver_M!$B$1:$BZ$1,0),FALSE),"")</f>
        <v/>
      </c>
      <c r="BC8" t="str">
        <f>IF(ISNUMBER(VLOOKUP($A8,Haver_M!$B$1:$BZ$300,MATCH(data!BC$1,Haver_M!$B$1:$BZ$1,0),FALSE)),VLOOKUP($A8,Haver_M!$B$1:$BZ$300,MATCH(data!BC$1,Haver_M!$B$1:$BZ$1,0),FALSE),"")</f>
        <v/>
      </c>
      <c r="BD8" t="str">
        <f>IF(ISNUMBER(VLOOKUP($A8,Haver_M!$B$1:$BZ$300,MATCH(data!BD$1,Haver_M!$B$1:$BZ$1,0),FALSE)),VLOOKUP($A8,Haver_M!$B$1:$BZ$300,MATCH(data!BD$1,Haver_M!$B$1:$BZ$1,0),FALSE),"")</f>
        <v/>
      </c>
      <c r="BE8" t="str">
        <f>IF(ISNUMBER(VLOOKUP($A8,Haver_M!$B$1:$BZ$300,MATCH(data!BE$1,Haver_M!$B$1:$BZ$1,0),FALSE)),VLOOKUP($A8,Haver_M!$B$1:$BZ$300,MATCH(data!BE$1,Haver_M!$B$1:$BZ$1,0),FALSE),"")</f>
        <v/>
      </c>
      <c r="BF8" t="str">
        <f>IF(ISNUMBER(VLOOKUP($A8,Haver_M!$B$1:$BZ$300,MATCH(data!BF$1,Haver_M!$B$1:$BZ$1,0),FALSE)),VLOOKUP($A8,Haver_M!$B$1:$BZ$300,MATCH(data!BF$1,Haver_M!$B$1:$BZ$1,0),FALSE),"")</f>
        <v/>
      </c>
      <c r="BG8" t="str">
        <f>IF(ISNUMBER(VLOOKUP($A8,Haver_M!$B$1:$BZ$300,MATCH(data!BG$1,Haver_M!$B$1:$BZ$1,0),FALSE)),VLOOKUP($A8,Haver_M!$B$1:$BZ$300,MATCH(data!BG$1,Haver_M!$B$1:$BZ$1,0),FALSE),"")</f>
        <v/>
      </c>
      <c r="BH8" t="str">
        <f>IF(ISNUMBER(VLOOKUP($A8,Haver_M!$B$1:$BZ$300,MATCH(data!BH$1,Haver_M!$B$1:$BZ$1,0),FALSE)),VLOOKUP($A8,Haver_M!$B$1:$BZ$300,MATCH(data!BH$1,Haver_M!$B$1:$BZ$1,0),FALSE),"")</f>
        <v/>
      </c>
      <c r="BI8" t="str">
        <f>IF(ISNUMBER(VLOOKUP($A8,Haver_M!$B$1:$BZ$300,MATCH(data!BI$1,Haver_M!$B$1:$BZ$1,0),FALSE)),VLOOKUP($A8,Haver_M!$B$1:$BZ$300,MATCH(data!BI$1,Haver_M!$B$1:$BZ$1,0),FALSE),"")</f>
        <v/>
      </c>
      <c r="BJ8" t="str">
        <f>IF(ISNUMBER(VLOOKUP($A8,Haver_M!$B$1:$BZ$300,MATCH(data!BJ$1,Haver_M!$B$1:$BZ$1,0),FALSE)),VLOOKUP($A8,Haver_M!$B$1:$BZ$300,MATCH(data!BJ$1,Haver_M!$B$1:$BZ$1,0),FALSE),"")</f>
        <v/>
      </c>
      <c r="BK8" t="str">
        <f>IF(ISNUMBER(VLOOKUP($A8,Haver_M!$B$1:$BZ$300,MATCH(data!BK$1,Haver_M!$B$1:$BZ$1,0),FALSE)),VLOOKUP($A8,Haver_M!$B$1:$BZ$300,MATCH(data!BK$1,Haver_M!$B$1:$BZ$1,0),FALSE),"")</f>
        <v/>
      </c>
      <c r="BL8">
        <f>IF(ISNUMBER(VLOOKUP($A8,Haver_M!$B$1:$BZ$300,MATCH(data!BL$1,Haver_M!$B$1:$BZ$1,0),FALSE)),VLOOKUP($A8,Haver_M!$B$1:$BZ$300,MATCH(data!BL$1,Haver_M!$B$1:$BZ$1,0),FALSE),"")</f>
        <v>4647.34</v>
      </c>
      <c r="BM8">
        <f>IF(ISNUMBER(VLOOKUP($A8,Haver_M!$B$1:$BZ$300,MATCH(data!BM$1,Haver_M!$B$1:$BZ$1,0),FALSE)),VLOOKUP($A8,Haver_M!$B$1:$BZ$300,MATCH(data!BM$1,Haver_M!$B$1:$BZ$1,0),FALSE),"")</f>
        <v>113.73682199</v>
      </c>
      <c r="BN8" t="str">
        <f>IF(ISNUMBER(VLOOKUP($A8,Haver_M!$B$1:$BZ$300,MATCH(data!BN$1,Haver_M!$B$1:$BZ$1,0),FALSE)),VLOOKUP($A8,Haver_M!$B$1:$BZ$300,MATCH(data!BN$1,Haver_M!$B$1:$BZ$1,0),FALSE),"")</f>
        <v/>
      </c>
      <c r="BO8" t="str">
        <f>IF(ISNUMBER(VLOOKUP($A8,Haver_M!$B$1:$BZ$300,MATCH(data!BO$1,Haver_M!$B$1:$BZ$1,0),FALSE)),VLOOKUP($A8,Haver_M!$B$1:$BZ$300,MATCH(data!BO$1,Haver_M!$B$1:$BZ$1,0),FALSE),"")</f>
        <v/>
      </c>
      <c r="BP8" t="str">
        <f>IF(ISNUMBER(VLOOKUP($A8,Haver_M!$B$1:$BZ$300,MATCH(data!BP$1,Haver_M!$B$1:$BZ$1,0),FALSE)),VLOOKUP($A8,Haver_M!$B$1:$BZ$300,MATCH(data!BP$1,Haver_M!$B$1:$BZ$1,0),FALSE),"")</f>
        <v/>
      </c>
      <c r="BQ8" t="str">
        <f>IF(ISNUMBER(VLOOKUP($A8,Haver_M!$B$1:$BZ$300,MATCH(data!BQ$1,Haver_M!$B$1:$BZ$1,0),FALSE)),VLOOKUP($A8,Haver_M!$B$1:$BZ$300,MATCH(data!BQ$1,Haver_M!$B$1:$BZ$1,0),FALSE),"")</f>
        <v/>
      </c>
      <c r="BR8" t="str">
        <f>IF(ISNUMBER(VLOOKUP($A8,Haver_M!$B$1:$BZ$300,MATCH(data!BR$1,Haver_M!$B$1:$BZ$1,0),FALSE)),VLOOKUP($A8,Haver_M!$B$1:$BZ$300,MATCH(data!BR$1,Haver_M!$B$1:$BZ$1,0),FALSE),"")</f>
        <v/>
      </c>
      <c r="BS8" t="str">
        <f>IF(ISNUMBER(VLOOKUP($A8,Haver_M!$B$1:$BZ$300,MATCH(data!BS$1,Haver_M!$B$1:$BZ$1,0),FALSE)),VLOOKUP($A8,Haver_M!$B$1:$BZ$300,MATCH(data!BS$1,Haver_M!$B$1:$BZ$1,0),FALSE),"")</f>
        <v/>
      </c>
      <c r="BT8" t="str">
        <f>IF(ISNUMBER(VLOOKUP($A8,Haver_M!$B$1:$BZ$300,MATCH(data!BT$1,Haver_M!$B$1:$BZ$1,0),FALSE)),VLOOKUP($A8,Haver_M!$B$1:$BZ$300,MATCH(data!BT$1,Haver_M!$B$1:$BZ$1,0),FALSE),"")</f>
        <v/>
      </c>
      <c r="BU8">
        <f>IF(ISNUMBER(VLOOKUP($A8,Haver_M!$B$1:$BZ$300,MATCH(data!BU$1,Haver_M!$B$1:$BZ$1,0),FALSE)),VLOOKUP($A8,Haver_M!$B$1:$BZ$300,MATCH(data!BU$1,Haver_M!$B$1:$BZ$1,0),FALSE),"")</f>
        <v>3526</v>
      </c>
      <c r="BV8">
        <f>IF(ISNUMBER(VLOOKUP($A8,Haver_M!$B$1:$BZ$300,MATCH(data!BV$1,Haver_M!$B$1:$BZ$1,0),FALSE)),VLOOKUP($A8,Haver_M!$B$1:$BZ$300,MATCH(data!BV$1,Haver_M!$B$1:$BZ$1,0),FALSE),"")</f>
        <v>4487</v>
      </c>
      <c r="BW8">
        <f>IF(ISNUMBER(VLOOKUP($A8,Haver_M!$B$1:$BZ$300,MATCH(data!BW$1,Haver_M!$B$1:$BZ$1,0),FALSE)),VLOOKUP($A8,Haver_M!$B$1:$BZ$300,MATCH(data!BW$1,Haver_M!$B$1:$BZ$1,0),FALSE),"")</f>
        <v>44.778799999999997</v>
      </c>
      <c r="BX8">
        <f>IF(ISNUMBER(VLOOKUP($A8,Haver_M!$B$1:$BZ$300,MATCH(data!BX$1,Haver_M!$B$1:$BZ$1,0),FALSE)),VLOOKUP($A8,Haver_M!$B$1:$BZ$300,MATCH(data!BX$1,Haver_M!$B$1:$BZ$1,0),FALSE),"")</f>
        <v>41250</v>
      </c>
    </row>
    <row r="9" spans="1:76" x14ac:dyDescent="0.25">
      <c r="A9" s="2">
        <v>36769</v>
      </c>
      <c r="B9" t="str">
        <f>IF(ISNUMBER(VLOOKUP($A9,Haver_Q!$B$1:$L$185,MATCH(data!B$1,Haver_Q!$B$1:$L$1,0),FALSE)),100*(VLOOKUP($A9,Haver_Q!$B$1:$L$185,MATCH(data!B$1,Haver_Q!$B$1:$L$1,0),FALSE)),"")</f>
        <v/>
      </c>
      <c r="C9" t="str">
        <f>IF(ISNUMBER(VLOOKUP($A9,Haver_Q!$B$1:$L$185,MATCH(data!C$1,Haver_Q!$B$1:$L$1,0),FALSE)),100*(VLOOKUP($A9,Haver_Q!$B$1:$L$185,MATCH(data!C$1,Haver_Q!$B$1:$L$1,0),FALSE)),"")</f>
        <v/>
      </c>
      <c r="D9" t="str">
        <f>IF(ISNUMBER(VLOOKUP($A9,Haver_Q!$B$1:$L$185,MATCH(data!D$1,Haver_Q!$B$1:$L$1,0),FALSE)),100*(VLOOKUP($A9,Haver_Q!$B$1:$L$185,MATCH(data!D$1,Haver_Q!$B$1:$L$1,0),FALSE)),"")</f>
        <v/>
      </c>
      <c r="E9" t="str">
        <f>IF(ISNUMBER(VLOOKUP($A9,Haver_Q!$B$1:$L$185,MATCH(data!E$1,Haver_Q!$B$1:$L$1,0),FALSE)),100*(VLOOKUP($A9,Haver_Q!$B$1:$L$185,MATCH(data!E$1,Haver_Q!$B$1:$L$1,0),FALSE)),"")</f>
        <v/>
      </c>
      <c r="F9" t="str">
        <f>IF(ISNUMBER(VLOOKUP($A9,Haver_Q!$B$1:$L$185,MATCH(data!F$1,Haver_Q!$B$1:$L$1,0),FALSE)),100*(VLOOKUP($A9,Haver_Q!$B$1:$L$185,MATCH(data!F$1,Haver_Q!$B$1:$L$1,0),FALSE)),"")</f>
        <v/>
      </c>
      <c r="G9" t="str">
        <f>IF(ISNUMBER(VLOOKUP($A9,Haver_Q!$B$1:$L$185,MATCH(data!G$1,Haver_Q!$B$1:$L$1,0),FALSE)),100*(VLOOKUP($A9,Haver_Q!$B$1:$L$185,MATCH(data!G$1,Haver_Q!$B$1:$L$1,0),FALSE)),"")</f>
        <v/>
      </c>
      <c r="H9" t="str">
        <f>IF(ISNUMBER(VLOOKUP($A9,Haver_Q!$B$1:$L$185,MATCH(data!H$1,Haver_Q!$B$1:$L$1,0),FALSE)),(VLOOKUP($A9,Haver_Q!$B$1:$L$185,MATCH(data!H$1,Haver_Q!$B$1:$L$1,0),FALSE)),"")</f>
        <v/>
      </c>
      <c r="I9" t="str">
        <f>IF(ISNUMBER(VLOOKUP($A9,Haver_Q!$B$1:$L$185,MATCH(data!I$1,Haver_Q!$B$1:$L$1,0),FALSE)),100*(VLOOKUP($A9,Haver_Q!$B$1:$L$185,MATCH(data!I$1,Haver_Q!$B$1:$L$1,0),FALSE)),"")</f>
        <v/>
      </c>
      <c r="J9" s="3">
        <f>IF(ISNUMBER(Bloomberg_m!C25),Bloomberg_m!C25,"")</f>
        <v>1639</v>
      </c>
      <c r="K9" s="3" t="str">
        <f>IF(ISNUMBER(Bloomberg_m!D25),Bloomberg_m!D25,"")</f>
        <v/>
      </c>
      <c r="L9" s="3" t="str">
        <f>IF(ISNUMBER(Bloomberg_m!E25),Bloomberg_m!E25,"")</f>
        <v/>
      </c>
      <c r="M9" s="3" t="str">
        <f>IF(ISNUMBER(Bloomberg_m!F25),Bloomberg_m!F25,"")</f>
        <v/>
      </c>
      <c r="N9" t="str">
        <f>IF(ISNUMBER(VLOOKUP($A9,Haver_M!$B$1:$BZ$300,MATCH(data!N$1,Haver_M!$B$1:$BZ$1,0),FALSE)),VLOOKUP($A9,Haver_M!$B$1:$BZ$300,MATCH(data!N$1,Haver_M!$B$1:$BZ$1,0),FALSE),"")</f>
        <v/>
      </c>
      <c r="O9">
        <f>IF(ISNUMBER(VLOOKUP($A9,Haver_M!$B$1:$BZ$300,MATCH(data!O$1,Haver_M!$B$1:$BZ$1,0),FALSE)),VLOOKUP($A9,Haver_M!$B$1:$BZ$300,MATCH(data!O$1,Haver_M!$B$1:$BZ$1,0),FALSE),"")</f>
        <v>11.371499999999999</v>
      </c>
      <c r="P9">
        <f>IF(ISNUMBER(VLOOKUP($A9,Haver_M!$B$1:$BZ$300,MATCH(data!P$1,Haver_M!$B$1:$BZ$1,0),FALSE)),VLOOKUP($A9,Haver_M!$B$1:$BZ$300,MATCH(data!P$1,Haver_M!$B$1:$BZ$1,0),FALSE),"")</f>
        <v>93.4465</v>
      </c>
      <c r="Q9" t="str">
        <f>IF(ISNUMBER(VLOOKUP($A9,Haver_M!$B$1:$BZ$300,MATCH(data!Q$1,Haver_M!$B$1:$BZ$1,0),FALSE)),VLOOKUP($A9,Haver_M!$B$1:$BZ$300,MATCH(data!Q$1,Haver_M!$B$1:$BZ$1,0),FALSE),"")</f>
        <v/>
      </c>
      <c r="R9" t="str">
        <f>IF(ISNUMBER(VLOOKUP($A9,Haver_M!$B$1:$BZ$300,MATCH(data!R$1,Haver_M!$B$1:$BZ$1,0),FALSE)),VLOOKUP($A9,Haver_M!$B$1:$BZ$300,MATCH(data!R$1,Haver_M!$B$1:$BZ$1,0),FALSE),"")</f>
        <v/>
      </c>
      <c r="S9">
        <f>IF(ISNUMBER(VLOOKUP($A9,Haver_M!$B$1:$BZ$300,MATCH(data!S$1,Haver_M!$B$1:$BZ$1,0),FALSE)),VLOOKUP($A9,Haver_M!$B$1:$BZ$300,MATCH(data!S$1,Haver_M!$B$1:$BZ$1,0),FALSE),"")</f>
        <v>45.99</v>
      </c>
      <c r="T9">
        <f>IF(ISNUMBER(VLOOKUP($A9,Haver_M!$B$1:$BZ$300,MATCH(data!T$1,Haver_M!$B$1:$BZ$1,0),FALSE)),VLOOKUP($A9,Haver_M!$B$1:$BZ$300,MATCH(data!T$1,Haver_M!$B$1:$BZ$1,0),FALSE),"")</f>
        <v>55.02</v>
      </c>
      <c r="U9">
        <f>IF(ISNUMBER(VLOOKUP($A9,Haver_M!$B$1:$BZ$300,MATCH(data!U$1,Haver_M!$B$1:$BZ$1,0),FALSE)),VLOOKUP($A9,Haver_M!$B$1:$BZ$300,MATCH(data!U$1,Haver_M!$B$1:$BZ$1,0),FALSE),"")</f>
        <v>27.45</v>
      </c>
      <c r="V9">
        <f>IF(ISNUMBER(VLOOKUP($A9,Haver_M!$B$1:$BZ$300,MATCH(data!V$1,Haver_M!$B$1:$BZ$1,0),FALSE)),VLOOKUP($A9,Haver_M!$B$1:$BZ$300,MATCH(data!V$1,Haver_M!$B$1:$BZ$1,0),FALSE),"")</f>
        <v>58.06</v>
      </c>
      <c r="W9" t="str">
        <f>IF(ISNUMBER(VLOOKUP($A9,Haver_M!$B$1:$BZ$300,MATCH(data!W$1,Haver_M!$B$1:$BZ$1,0),FALSE)),VLOOKUP($A9,Haver_M!$B$1:$BZ$300,MATCH(data!W$1,Haver_M!$B$1:$BZ$1,0),FALSE),"")</f>
        <v/>
      </c>
      <c r="X9">
        <f>IF(ISNUMBER(VLOOKUP($A9,Haver_M!$B$1:$BZ$300,MATCH(data!X$1,Haver_M!$B$1:$BZ$1,0),FALSE)),VLOOKUP($A9,Haver_M!$B$1:$BZ$300,MATCH(data!X$1,Haver_M!$B$1:$BZ$1,0),FALSE),"")</f>
        <v>25.01</v>
      </c>
      <c r="Y9">
        <f>IF(ISNUMBER(VLOOKUP($A9,Haver_M!$B$1:$BZ$300,MATCH(data!Y$1,Haver_M!$B$1:$BZ$1,0),FALSE)),VLOOKUP($A9,Haver_M!$B$1:$BZ$300,MATCH(data!Y$1,Haver_M!$B$1:$BZ$1,0),FALSE),"")</f>
        <v>46.03</v>
      </c>
      <c r="Z9" t="str">
        <f>IF(ISNUMBER(VLOOKUP($A9,Haver_M!$B$1:$BZ$300,MATCH(data!Z$1,Haver_M!$B$1:$BZ$1,0),FALSE)),VLOOKUP($A9,Haver_M!$B$1:$BZ$300,MATCH(data!Z$1,Haver_M!$B$1:$BZ$1,0),FALSE),"")</f>
        <v/>
      </c>
      <c r="AA9" t="str">
        <f>IF(ISNUMBER(VLOOKUP($A9,Haver_M!$B$1:$BZ$300,MATCH(data!AA$1,Haver_M!$B$1:$BZ$1,0),FALSE)),VLOOKUP($A9,Haver_M!$B$1:$BZ$300,MATCH(data!AA$1,Haver_M!$B$1:$BZ$1,0),FALSE),"")</f>
        <v/>
      </c>
      <c r="AB9" t="str">
        <f>IF(ISNUMBER(VLOOKUP($A9,Haver_M!$B$1:$BZ$300,MATCH(data!AB$1,Haver_M!$B$1:$BZ$1,0),FALSE)),VLOOKUP($A9,Haver_M!$B$1:$BZ$300,MATCH(data!AB$1,Haver_M!$B$1:$BZ$1,0),FALSE),"")</f>
        <v/>
      </c>
      <c r="AC9" t="str">
        <f>IF(ISNUMBER(VLOOKUP($A9,Haver_M!$B$1:$BZ$300,MATCH(data!AC$1,Haver_M!$B$1:$BZ$1,0),FALSE)),VLOOKUP($A9,Haver_M!$B$1:$BZ$300,MATCH(data!AC$1,Haver_M!$B$1:$BZ$1,0),FALSE),"")</f>
        <v/>
      </c>
      <c r="AD9" t="str">
        <f>IF(ISNUMBER(VLOOKUP($A9,Haver_M!$B$1:$BZ$300,MATCH(data!AD$1,Haver_M!$B$1:$BZ$1,0),FALSE)),VLOOKUP($A9,Haver_M!$B$1:$BZ$300,MATCH(data!AD$1,Haver_M!$B$1:$BZ$1,0),FALSE),"")</f>
        <v/>
      </c>
      <c r="AE9" t="str">
        <f>IF(ISNUMBER(VLOOKUP($A9,Haver_M!$B$1:$BZ$300,MATCH(data!AE$1,Haver_M!$B$1:$BZ$1,0),FALSE)),VLOOKUP($A9,Haver_M!$B$1:$BZ$300,MATCH(data!AE$1,Haver_M!$B$1:$BZ$1,0),FALSE),"")</f>
        <v/>
      </c>
      <c r="AF9" t="str">
        <f>IF(ISNUMBER(VLOOKUP($A9,Haver_M!$B$1:$BZ$300,MATCH(data!AF$1,Haver_M!$B$1:$BZ$1,0),FALSE)),VLOOKUP($A9,Haver_M!$B$1:$BZ$300,MATCH(data!AF$1,Haver_M!$B$1:$BZ$1,0),FALSE),"")</f>
        <v/>
      </c>
      <c r="AG9" t="str">
        <f>IF(ISNUMBER(VLOOKUP($A9,Haver_M!$B$1:$BZ$300,MATCH(data!AG$1,Haver_M!$B$1:$BZ$1,0),FALSE)),VLOOKUP($A9,Haver_M!$B$1:$BZ$300,MATCH(data!AG$1,Haver_M!$B$1:$BZ$1,0),FALSE),"")</f>
        <v/>
      </c>
      <c r="AH9" t="str">
        <f>IF(ISNUMBER(VLOOKUP($A9,Haver_M!$B$1:$BZ$300,MATCH(data!AH$1,Haver_M!$B$1:$BZ$1,0),FALSE)),VLOOKUP($A9,Haver_M!$B$1:$BZ$300,MATCH(data!AH$1,Haver_M!$B$1:$BZ$1,0),FALSE),"")</f>
        <v/>
      </c>
      <c r="AI9">
        <f>IF(ISNUMBER(VLOOKUP($A9,Haver_M!$B$1:$BZ$300,MATCH(data!AI$1,Haver_M!$B$1:$BZ$1,0),FALSE)),VLOOKUP($A9,Haver_M!$B$1:$BZ$300,MATCH(data!AI$1,Haver_M!$B$1:$BZ$1,0),FALSE),"")</f>
        <v>8701.6669979194339</v>
      </c>
      <c r="AJ9">
        <f>IF(ISNUMBER(VLOOKUP($A9,Haver_M!$B$1:$BZ$300,MATCH(data!AJ$1,Haver_M!$B$1:$BZ$1,0),FALSE)),VLOOKUP($A9,Haver_M!$B$1:$BZ$300,MATCH(data!AJ$1,Haver_M!$B$1:$BZ$1,0),FALSE),"")</f>
        <v>3651.1</v>
      </c>
      <c r="AK9">
        <f>IF(ISNUMBER(VLOOKUP($A9,Haver_M!$B$1:$BZ$300,MATCH(data!AK$1,Haver_M!$B$1:$BZ$1,0),FALSE)),VLOOKUP($A9,Haver_M!$B$1:$BZ$300,MATCH(data!AK$1,Haver_M!$B$1:$BZ$1,0),FALSE),"")</f>
        <v>4054.36</v>
      </c>
      <c r="AL9" t="str">
        <f>IF(ISNUMBER(VLOOKUP($A9,Haver_M!$B$1:$BZ$300,MATCH(data!AL$1,Haver_M!$B$1:$BZ$1,0),FALSE)),VLOOKUP($A9,Haver_M!$B$1:$BZ$300,MATCH(data!AL$1,Haver_M!$B$1:$BZ$1,0),FALSE),"")</f>
        <v/>
      </c>
      <c r="AM9" t="str">
        <f>IF(ISNUMBER(VLOOKUP($A9,Haver_M!$B$1:$BZ$300,MATCH(data!AM$1,Haver_M!$B$1:$BZ$1,0),FALSE)),VLOOKUP($A9,Haver_M!$B$1:$BZ$300,MATCH(data!AM$1,Haver_M!$B$1:$BZ$1,0),FALSE),"")</f>
        <v/>
      </c>
      <c r="AN9" t="str">
        <f>IF(ISNUMBER(VLOOKUP($A9,Haver_M!$B$1:$BZ$300,MATCH(data!AN$1,Haver_M!$B$1:$BZ$1,0),FALSE)),VLOOKUP($A9,Haver_M!$B$1:$BZ$300,MATCH(data!AN$1,Haver_M!$B$1:$BZ$1,0),FALSE),"")</f>
        <v/>
      </c>
      <c r="AO9" t="str">
        <f>IF(ISNUMBER(VLOOKUP($A9,Haver_M!$B$1:$BZ$300,MATCH(data!AO$1,Haver_M!$B$1:$BZ$1,0),FALSE)),VLOOKUP($A9,Haver_M!$B$1:$BZ$300,MATCH(data!AO$1,Haver_M!$B$1:$BZ$1,0),FALSE),"")</f>
        <v/>
      </c>
      <c r="AP9">
        <f>IF(ISNUMBER(VLOOKUP($A9,Haver_M!$B$1:$BZ$300,MATCH(data!AP$1,Haver_M!$B$1:$BZ$1,0),FALSE)),VLOOKUP($A9,Haver_M!$B$1:$BZ$300,MATCH(data!AP$1,Haver_M!$B$1:$BZ$1,0),FALSE),"")</f>
        <v>63.806214100450916</v>
      </c>
      <c r="AQ9" t="str">
        <f>IF(ISNUMBER(VLOOKUP($A9,Haver_M!$B$1:$BZ$300,MATCH(data!AQ$1,Haver_M!$B$1:$BZ$1,0),FALSE)),VLOOKUP($A9,Haver_M!$B$1:$BZ$300,MATCH(data!AQ$1,Haver_M!$B$1:$BZ$1,0),FALSE),"")</f>
        <v/>
      </c>
      <c r="AR9" t="str">
        <f>IF(ISNUMBER(VLOOKUP($A9,Haver_M!$B$1:$BZ$300,MATCH(data!AR$1,Haver_M!$B$1:$BZ$1,0),FALSE)),VLOOKUP($A9,Haver_M!$B$1:$BZ$300,MATCH(data!AR$1,Haver_M!$B$1:$BZ$1,0),FALSE),"")</f>
        <v/>
      </c>
      <c r="AS9" t="str">
        <f>IF(ISNUMBER(VLOOKUP($A9,Haver_M!$B$1:$BZ$300,MATCH(data!AS$1,Haver_M!$B$1:$BZ$1,0),FALSE)),VLOOKUP($A9,Haver_M!$B$1:$BZ$300,MATCH(data!AS$1,Haver_M!$B$1:$BZ$1,0),FALSE),"")</f>
        <v/>
      </c>
      <c r="AT9" t="str">
        <f>IF(ISNUMBER(VLOOKUP($A9,Haver_M!$B$1:$BZ$300,MATCH(data!AT$1,Haver_M!$B$1:$BZ$1,0),FALSE)),VLOOKUP($A9,Haver_M!$B$1:$BZ$300,MATCH(data!AT$1,Haver_M!$B$1:$BZ$1,0),FALSE),"")</f>
        <v/>
      </c>
      <c r="AU9" t="str">
        <f>IF(ISNUMBER(VLOOKUP($A9,Haver_M!$B$1:$BZ$300,MATCH(data!AU$1,Haver_M!$B$1:$BZ$1,0),FALSE)),VLOOKUP($A9,Haver_M!$B$1:$BZ$300,MATCH(data!AU$1,Haver_M!$B$1:$BZ$1,0),FALSE),"")</f>
        <v/>
      </c>
      <c r="AV9" t="str">
        <f>IF(ISNUMBER(VLOOKUP($A9,Haver_M!$B$1:$BZ$300,MATCH(data!AV$1,Haver_M!$B$1:$BZ$1,0),FALSE)),VLOOKUP($A9,Haver_M!$B$1:$BZ$300,MATCH(data!AV$1,Haver_M!$B$1:$BZ$1,0),FALSE),"")</f>
        <v/>
      </c>
      <c r="AW9" t="str">
        <f>IF(ISNUMBER(VLOOKUP($A9,Haver_M!$B$1:$BZ$300,MATCH(data!AW$1,Haver_M!$B$1:$BZ$1,0),FALSE)),VLOOKUP($A9,Haver_M!$B$1:$BZ$300,MATCH(data!AW$1,Haver_M!$B$1:$BZ$1,0),FALSE),"")</f>
        <v/>
      </c>
      <c r="AX9" t="str">
        <f>IF(ISNUMBER(VLOOKUP($A9,Haver_M!$B$1:$BZ$300,MATCH(data!AX$1,Haver_M!$B$1:$BZ$1,0),FALSE)),VLOOKUP($A9,Haver_M!$B$1:$BZ$300,MATCH(data!AX$1,Haver_M!$B$1:$BZ$1,0),FALSE),"")</f>
        <v/>
      </c>
      <c r="AY9" t="str">
        <f>IF(ISNUMBER(VLOOKUP($A9,Haver_M!$B$1:$BZ$300,MATCH(data!AY$1,Haver_M!$B$1:$BZ$1,0),FALSE)),VLOOKUP($A9,Haver_M!$B$1:$BZ$300,MATCH(data!AY$1,Haver_M!$B$1:$BZ$1,0),FALSE),"")</f>
        <v/>
      </c>
      <c r="AZ9" t="str">
        <f>IF(ISNUMBER(VLOOKUP($A9,Haver_M!$B$1:$BZ$300,MATCH(data!AZ$1,Haver_M!$B$1:$BZ$1,0),FALSE)),VLOOKUP($A9,Haver_M!$B$1:$BZ$300,MATCH(data!AZ$1,Haver_M!$B$1:$BZ$1,0),FALSE),"")</f>
        <v/>
      </c>
      <c r="BA9" t="str">
        <f>IF(ISNUMBER(VLOOKUP($A9,Haver_M!$B$1:$BZ$300,MATCH(data!BA$1,Haver_M!$B$1:$BZ$1,0),FALSE)),VLOOKUP($A9,Haver_M!$B$1:$BZ$300,MATCH(data!BA$1,Haver_M!$B$1:$BZ$1,0),FALSE),"")</f>
        <v/>
      </c>
      <c r="BB9" t="str">
        <f>IF(ISNUMBER(VLOOKUP($A9,Haver_M!$B$1:$BZ$300,MATCH(data!BB$1,Haver_M!$B$1:$BZ$1,0),FALSE)),VLOOKUP($A9,Haver_M!$B$1:$BZ$300,MATCH(data!BB$1,Haver_M!$B$1:$BZ$1,0),FALSE),"")</f>
        <v/>
      </c>
      <c r="BC9" t="str">
        <f>IF(ISNUMBER(VLOOKUP($A9,Haver_M!$B$1:$BZ$300,MATCH(data!BC$1,Haver_M!$B$1:$BZ$1,0),FALSE)),VLOOKUP($A9,Haver_M!$B$1:$BZ$300,MATCH(data!BC$1,Haver_M!$B$1:$BZ$1,0),FALSE),"")</f>
        <v/>
      </c>
      <c r="BD9" t="str">
        <f>IF(ISNUMBER(VLOOKUP($A9,Haver_M!$B$1:$BZ$300,MATCH(data!BD$1,Haver_M!$B$1:$BZ$1,0),FALSE)),VLOOKUP($A9,Haver_M!$B$1:$BZ$300,MATCH(data!BD$1,Haver_M!$B$1:$BZ$1,0),FALSE),"")</f>
        <v/>
      </c>
      <c r="BE9" t="str">
        <f>IF(ISNUMBER(VLOOKUP($A9,Haver_M!$B$1:$BZ$300,MATCH(data!BE$1,Haver_M!$B$1:$BZ$1,0),FALSE)),VLOOKUP($A9,Haver_M!$B$1:$BZ$300,MATCH(data!BE$1,Haver_M!$B$1:$BZ$1,0),FALSE),"")</f>
        <v/>
      </c>
      <c r="BF9" t="str">
        <f>IF(ISNUMBER(VLOOKUP($A9,Haver_M!$B$1:$BZ$300,MATCH(data!BF$1,Haver_M!$B$1:$BZ$1,0),FALSE)),VLOOKUP($A9,Haver_M!$B$1:$BZ$300,MATCH(data!BF$1,Haver_M!$B$1:$BZ$1,0),FALSE),"")</f>
        <v/>
      </c>
      <c r="BG9" t="str">
        <f>IF(ISNUMBER(VLOOKUP($A9,Haver_M!$B$1:$BZ$300,MATCH(data!BG$1,Haver_M!$B$1:$BZ$1,0),FALSE)),VLOOKUP($A9,Haver_M!$B$1:$BZ$300,MATCH(data!BG$1,Haver_M!$B$1:$BZ$1,0),FALSE),"")</f>
        <v/>
      </c>
      <c r="BH9" t="str">
        <f>IF(ISNUMBER(VLOOKUP($A9,Haver_M!$B$1:$BZ$300,MATCH(data!BH$1,Haver_M!$B$1:$BZ$1,0),FALSE)),VLOOKUP($A9,Haver_M!$B$1:$BZ$300,MATCH(data!BH$1,Haver_M!$B$1:$BZ$1,0),FALSE),"")</f>
        <v/>
      </c>
      <c r="BI9" t="str">
        <f>IF(ISNUMBER(VLOOKUP($A9,Haver_M!$B$1:$BZ$300,MATCH(data!BI$1,Haver_M!$B$1:$BZ$1,0),FALSE)),VLOOKUP($A9,Haver_M!$B$1:$BZ$300,MATCH(data!BI$1,Haver_M!$B$1:$BZ$1,0),FALSE),"")</f>
        <v/>
      </c>
      <c r="BJ9" t="str">
        <f>IF(ISNUMBER(VLOOKUP($A9,Haver_M!$B$1:$BZ$300,MATCH(data!BJ$1,Haver_M!$B$1:$BZ$1,0),FALSE)),VLOOKUP($A9,Haver_M!$B$1:$BZ$300,MATCH(data!BJ$1,Haver_M!$B$1:$BZ$1,0),FALSE),"")</f>
        <v/>
      </c>
      <c r="BK9" t="str">
        <f>IF(ISNUMBER(VLOOKUP($A9,Haver_M!$B$1:$BZ$300,MATCH(data!BK$1,Haver_M!$B$1:$BZ$1,0),FALSE)),VLOOKUP($A9,Haver_M!$B$1:$BZ$300,MATCH(data!BK$1,Haver_M!$B$1:$BZ$1,0),FALSE),"")</f>
        <v/>
      </c>
      <c r="BL9">
        <f>IF(ISNUMBER(VLOOKUP($A9,Haver_M!$B$1:$BZ$300,MATCH(data!BL$1,Haver_M!$B$1:$BZ$1,0),FALSE)),VLOOKUP($A9,Haver_M!$B$1:$BZ$300,MATCH(data!BL$1,Haver_M!$B$1:$BZ$1,0),FALSE),"")</f>
        <v>4330.3100000000004</v>
      </c>
      <c r="BM9">
        <f>IF(ISNUMBER(VLOOKUP($A9,Haver_M!$B$1:$BZ$300,MATCH(data!BM$1,Haver_M!$B$1:$BZ$1,0),FALSE)),VLOOKUP($A9,Haver_M!$B$1:$BZ$300,MATCH(data!BM$1,Haver_M!$B$1:$BZ$1,0),FALSE),"")</f>
        <v>112.67091533999999</v>
      </c>
      <c r="BN9" t="str">
        <f>IF(ISNUMBER(VLOOKUP($A9,Haver_M!$B$1:$BZ$300,MATCH(data!BN$1,Haver_M!$B$1:$BZ$1,0),FALSE)),VLOOKUP($A9,Haver_M!$B$1:$BZ$300,MATCH(data!BN$1,Haver_M!$B$1:$BZ$1,0),FALSE),"")</f>
        <v/>
      </c>
      <c r="BO9" t="str">
        <f>IF(ISNUMBER(VLOOKUP($A9,Haver_M!$B$1:$BZ$300,MATCH(data!BO$1,Haver_M!$B$1:$BZ$1,0),FALSE)),VLOOKUP($A9,Haver_M!$B$1:$BZ$300,MATCH(data!BO$1,Haver_M!$B$1:$BZ$1,0),FALSE),"")</f>
        <v/>
      </c>
      <c r="BP9" t="str">
        <f>IF(ISNUMBER(VLOOKUP($A9,Haver_M!$B$1:$BZ$300,MATCH(data!BP$1,Haver_M!$B$1:$BZ$1,0),FALSE)),VLOOKUP($A9,Haver_M!$B$1:$BZ$300,MATCH(data!BP$1,Haver_M!$B$1:$BZ$1,0),FALSE),"")</f>
        <v/>
      </c>
      <c r="BQ9" t="str">
        <f>IF(ISNUMBER(VLOOKUP($A9,Haver_M!$B$1:$BZ$300,MATCH(data!BQ$1,Haver_M!$B$1:$BZ$1,0),FALSE)),VLOOKUP($A9,Haver_M!$B$1:$BZ$300,MATCH(data!BQ$1,Haver_M!$B$1:$BZ$1,0),FALSE),"")</f>
        <v/>
      </c>
      <c r="BR9" t="str">
        <f>IF(ISNUMBER(VLOOKUP($A9,Haver_M!$B$1:$BZ$300,MATCH(data!BR$1,Haver_M!$B$1:$BZ$1,0),FALSE)),VLOOKUP($A9,Haver_M!$B$1:$BZ$300,MATCH(data!BR$1,Haver_M!$B$1:$BZ$1,0),FALSE),"")</f>
        <v/>
      </c>
      <c r="BS9" t="str">
        <f>IF(ISNUMBER(VLOOKUP($A9,Haver_M!$B$1:$BZ$300,MATCH(data!BS$1,Haver_M!$B$1:$BZ$1,0),FALSE)),VLOOKUP($A9,Haver_M!$B$1:$BZ$300,MATCH(data!BS$1,Haver_M!$B$1:$BZ$1,0),FALSE),"")</f>
        <v/>
      </c>
      <c r="BT9" t="str">
        <f>IF(ISNUMBER(VLOOKUP($A9,Haver_M!$B$1:$BZ$300,MATCH(data!BT$1,Haver_M!$B$1:$BZ$1,0),FALSE)),VLOOKUP($A9,Haver_M!$B$1:$BZ$300,MATCH(data!BT$1,Haver_M!$B$1:$BZ$1,0),FALSE),"")</f>
        <v/>
      </c>
      <c r="BU9">
        <f>IF(ISNUMBER(VLOOKUP($A9,Haver_M!$B$1:$BZ$300,MATCH(data!BU$1,Haver_M!$B$1:$BZ$1,0),FALSE)),VLOOKUP($A9,Haver_M!$B$1:$BZ$300,MATCH(data!BU$1,Haver_M!$B$1:$BZ$1,0),FALSE),"")</f>
        <v>3670</v>
      </c>
      <c r="BV9">
        <f>IF(ISNUMBER(VLOOKUP($A9,Haver_M!$B$1:$BZ$300,MATCH(data!BV$1,Haver_M!$B$1:$BZ$1,0),FALSE)),VLOOKUP($A9,Haver_M!$B$1:$BZ$300,MATCH(data!BV$1,Haver_M!$B$1:$BZ$1,0),FALSE),"")</f>
        <v>3993</v>
      </c>
      <c r="BW9">
        <f>IF(ISNUMBER(VLOOKUP($A9,Haver_M!$B$1:$BZ$300,MATCH(data!BW$1,Haver_M!$B$1:$BZ$1,0),FALSE)),VLOOKUP($A9,Haver_M!$B$1:$BZ$300,MATCH(data!BW$1,Haver_M!$B$1:$BZ$1,0),FALSE),"")</f>
        <v>45.68</v>
      </c>
      <c r="BX9">
        <f>IF(ISNUMBER(VLOOKUP($A9,Haver_M!$B$1:$BZ$300,MATCH(data!BX$1,Haver_M!$B$1:$BZ$1,0),FALSE)),VLOOKUP($A9,Haver_M!$B$1:$BZ$300,MATCH(data!BX$1,Haver_M!$B$1:$BZ$1,0),FALSE),"")</f>
        <v>40768</v>
      </c>
    </row>
    <row r="10" spans="1:76" x14ac:dyDescent="0.25">
      <c r="A10" s="2">
        <v>36799</v>
      </c>
      <c r="B10">
        <f>IF(ISNUMBER(VLOOKUP($A10,Haver_Q!$B$1:$L$185,MATCH(data!B$1,Haver_Q!$B$1:$L$1,0),FALSE)),100*(VLOOKUP($A10,Haver_Q!$B$1:$L$185,MATCH(data!B$1,Haver_Q!$B$1:$L$1,0),FALSE)),"")</f>
        <v>3.716871393500365</v>
      </c>
      <c r="C10">
        <f>IF(ISNUMBER(VLOOKUP($A10,Haver_Q!$B$1:$L$185,MATCH(data!C$1,Haver_Q!$B$1:$L$1,0),FALSE)),100*(VLOOKUP($A10,Haver_Q!$B$1:$L$185,MATCH(data!C$1,Haver_Q!$B$1:$L$1,0),FALSE)),"")</f>
        <v>9.8204012416659445</v>
      </c>
      <c r="D10">
        <f>IF(ISNUMBER(VLOOKUP($A10,Haver_Q!$B$1:$L$185,MATCH(data!D$1,Haver_Q!$B$1:$L$1,0),FALSE)),100*(VLOOKUP($A10,Haver_Q!$B$1:$L$185,MATCH(data!D$1,Haver_Q!$B$1:$L$1,0),FALSE)),"")</f>
        <v>22.795887773113854</v>
      </c>
      <c r="E10">
        <f>IF(ISNUMBER(VLOOKUP($A10,Haver_Q!$B$1:$L$185,MATCH(data!E$1,Haver_Q!$B$1:$L$1,0),FALSE)),100*(VLOOKUP($A10,Haver_Q!$B$1:$L$185,MATCH(data!E$1,Haver_Q!$B$1:$L$1,0),FALSE)),"")</f>
        <v>-2.6654259385824774</v>
      </c>
      <c r="F10">
        <f>IF(ISNUMBER(VLOOKUP($A10,Haver_Q!$B$1:$L$185,MATCH(data!F$1,Haver_Q!$B$1:$L$1,0),FALSE)),100*(VLOOKUP($A10,Haver_Q!$B$1:$L$185,MATCH(data!F$1,Haver_Q!$B$1:$L$1,0),FALSE)),"")</f>
        <v>3.837615372256975</v>
      </c>
      <c r="G10">
        <f>IF(ISNUMBER(VLOOKUP($A10,Haver_Q!$B$1:$L$185,MATCH(data!G$1,Haver_Q!$B$1:$L$1,0),FALSE)),100*(VLOOKUP($A10,Haver_Q!$B$1:$L$185,MATCH(data!G$1,Haver_Q!$B$1:$L$1,0),FALSE)),"")</f>
        <v>33.707977546745063</v>
      </c>
      <c r="H10">
        <f>IF(ISNUMBER(VLOOKUP($A10,Haver_Q!$B$1:$L$185,MATCH(data!H$1,Haver_Q!$B$1:$L$1,0),FALSE)),(VLOOKUP($A10,Haver_Q!$B$1:$L$185,MATCH(data!H$1,Haver_Q!$B$1:$L$1,0),FALSE)),"")</f>
        <v>3.1388242329642608</v>
      </c>
      <c r="I10">
        <f>IF(ISNUMBER(VLOOKUP($A10,Haver_Q!$B$1:$L$185,MATCH(data!I$1,Haver_Q!$B$1:$L$1,0),FALSE)),100*(VLOOKUP($A10,Haver_Q!$B$1:$L$185,MATCH(data!I$1,Haver_Q!$B$1:$L$1,0),FALSE)),"")</f>
        <v>6.6273571509712692</v>
      </c>
      <c r="J10" s="3">
        <f>IF(ISNUMBER(Bloomberg_m!C26),Bloomberg_m!C26,"")</f>
        <v>1712</v>
      </c>
      <c r="K10" s="3" t="str">
        <f>IF(ISNUMBER(Bloomberg_m!D26),Bloomberg_m!D26,"")</f>
        <v/>
      </c>
      <c r="L10" s="3" t="str">
        <f>IF(ISNUMBER(Bloomberg_m!E26),Bloomberg_m!E26,"")</f>
        <v/>
      </c>
      <c r="M10" s="3" t="str">
        <f>IF(ISNUMBER(Bloomberg_m!F26),Bloomberg_m!F26,"")</f>
        <v/>
      </c>
      <c r="N10" t="str">
        <f>IF(ISNUMBER(VLOOKUP($A10,Haver_M!$B$1:$BZ$300,MATCH(data!N$1,Haver_M!$B$1:$BZ$1,0),FALSE)),VLOOKUP($A10,Haver_M!$B$1:$BZ$300,MATCH(data!N$1,Haver_M!$B$1:$BZ$1,0),FALSE),"")</f>
        <v/>
      </c>
      <c r="O10">
        <f>IF(ISNUMBER(VLOOKUP($A10,Haver_M!$B$1:$BZ$300,MATCH(data!O$1,Haver_M!$B$1:$BZ$1,0),FALSE)),VLOOKUP($A10,Haver_M!$B$1:$BZ$300,MATCH(data!O$1,Haver_M!$B$1:$BZ$1,0),FALSE),"")</f>
        <v>11.805099999999999</v>
      </c>
      <c r="P10">
        <f>IF(ISNUMBER(VLOOKUP($A10,Haver_M!$B$1:$BZ$300,MATCH(data!P$1,Haver_M!$B$1:$BZ$1,0),FALSE)),VLOOKUP($A10,Haver_M!$B$1:$BZ$300,MATCH(data!P$1,Haver_M!$B$1:$BZ$1,0),FALSE),"")</f>
        <v>94.541989999999998</v>
      </c>
      <c r="Q10" t="str">
        <f>IF(ISNUMBER(VLOOKUP($A10,Haver_M!$B$1:$BZ$300,MATCH(data!Q$1,Haver_M!$B$1:$BZ$1,0),FALSE)),VLOOKUP($A10,Haver_M!$B$1:$BZ$300,MATCH(data!Q$1,Haver_M!$B$1:$BZ$1,0),FALSE),"")</f>
        <v/>
      </c>
      <c r="R10" t="str">
        <f>IF(ISNUMBER(VLOOKUP($A10,Haver_M!$B$1:$BZ$300,MATCH(data!R$1,Haver_M!$B$1:$BZ$1,0),FALSE)),VLOOKUP($A10,Haver_M!$B$1:$BZ$300,MATCH(data!R$1,Haver_M!$B$1:$BZ$1,0),FALSE),"")</f>
        <v/>
      </c>
      <c r="S10">
        <f>IF(ISNUMBER(VLOOKUP($A10,Haver_M!$B$1:$BZ$300,MATCH(data!S$1,Haver_M!$B$1:$BZ$1,0),FALSE)),VLOOKUP($A10,Haver_M!$B$1:$BZ$300,MATCH(data!S$1,Haver_M!$B$1:$BZ$1,0),FALSE),"")</f>
        <v>46.55</v>
      </c>
      <c r="T10">
        <f>IF(ISNUMBER(VLOOKUP($A10,Haver_M!$B$1:$BZ$300,MATCH(data!T$1,Haver_M!$B$1:$BZ$1,0),FALSE)),VLOOKUP($A10,Haver_M!$B$1:$BZ$300,MATCH(data!T$1,Haver_M!$B$1:$BZ$1,0),FALSE),"")</f>
        <v>55.53</v>
      </c>
      <c r="U10">
        <f>IF(ISNUMBER(VLOOKUP($A10,Haver_M!$B$1:$BZ$300,MATCH(data!U$1,Haver_M!$B$1:$BZ$1,0),FALSE)),VLOOKUP($A10,Haver_M!$B$1:$BZ$300,MATCH(data!U$1,Haver_M!$B$1:$BZ$1,0),FALSE),"")</f>
        <v>26.98</v>
      </c>
      <c r="V10">
        <f>IF(ISNUMBER(VLOOKUP($A10,Haver_M!$B$1:$BZ$300,MATCH(data!V$1,Haver_M!$B$1:$BZ$1,0),FALSE)),VLOOKUP($A10,Haver_M!$B$1:$BZ$300,MATCH(data!V$1,Haver_M!$B$1:$BZ$1,0),FALSE),"")</f>
        <v>58.23</v>
      </c>
      <c r="W10" t="str">
        <f>IF(ISNUMBER(VLOOKUP($A10,Haver_M!$B$1:$BZ$300,MATCH(data!W$1,Haver_M!$B$1:$BZ$1,0),FALSE)),VLOOKUP($A10,Haver_M!$B$1:$BZ$300,MATCH(data!W$1,Haver_M!$B$1:$BZ$1,0),FALSE),"")</f>
        <v/>
      </c>
      <c r="X10">
        <f>IF(ISNUMBER(VLOOKUP($A10,Haver_M!$B$1:$BZ$300,MATCH(data!X$1,Haver_M!$B$1:$BZ$1,0),FALSE)),VLOOKUP($A10,Haver_M!$B$1:$BZ$300,MATCH(data!X$1,Haver_M!$B$1:$BZ$1,0),FALSE),"")</f>
        <v>24.47</v>
      </c>
      <c r="Y10">
        <f>IF(ISNUMBER(VLOOKUP($A10,Haver_M!$B$1:$BZ$300,MATCH(data!Y$1,Haver_M!$B$1:$BZ$1,0),FALSE)),VLOOKUP($A10,Haver_M!$B$1:$BZ$300,MATCH(data!Y$1,Haver_M!$B$1:$BZ$1,0),FALSE),"")</f>
        <v>48.02</v>
      </c>
      <c r="Z10" t="str">
        <f>IF(ISNUMBER(VLOOKUP($A10,Haver_M!$B$1:$BZ$300,MATCH(data!Z$1,Haver_M!$B$1:$BZ$1,0),FALSE)),VLOOKUP($A10,Haver_M!$B$1:$BZ$300,MATCH(data!Z$1,Haver_M!$B$1:$BZ$1,0),FALSE),"")</f>
        <v/>
      </c>
      <c r="AA10" t="str">
        <f>IF(ISNUMBER(VLOOKUP($A10,Haver_M!$B$1:$BZ$300,MATCH(data!AA$1,Haver_M!$B$1:$BZ$1,0),FALSE)),VLOOKUP($A10,Haver_M!$B$1:$BZ$300,MATCH(data!AA$1,Haver_M!$B$1:$BZ$1,0),FALSE),"")</f>
        <v/>
      </c>
      <c r="AB10" t="str">
        <f>IF(ISNUMBER(VLOOKUP($A10,Haver_M!$B$1:$BZ$300,MATCH(data!AB$1,Haver_M!$B$1:$BZ$1,0),FALSE)),VLOOKUP($A10,Haver_M!$B$1:$BZ$300,MATCH(data!AB$1,Haver_M!$B$1:$BZ$1,0),FALSE),"")</f>
        <v/>
      </c>
      <c r="AC10" t="str">
        <f>IF(ISNUMBER(VLOOKUP($A10,Haver_M!$B$1:$BZ$300,MATCH(data!AC$1,Haver_M!$B$1:$BZ$1,0),FALSE)),VLOOKUP($A10,Haver_M!$B$1:$BZ$300,MATCH(data!AC$1,Haver_M!$B$1:$BZ$1,0),FALSE),"")</f>
        <v/>
      </c>
      <c r="AD10" t="str">
        <f>IF(ISNUMBER(VLOOKUP($A10,Haver_M!$B$1:$BZ$300,MATCH(data!AD$1,Haver_M!$B$1:$BZ$1,0),FALSE)),VLOOKUP($A10,Haver_M!$B$1:$BZ$300,MATCH(data!AD$1,Haver_M!$B$1:$BZ$1,0),FALSE),"")</f>
        <v/>
      </c>
      <c r="AE10" t="str">
        <f>IF(ISNUMBER(VLOOKUP($A10,Haver_M!$B$1:$BZ$300,MATCH(data!AE$1,Haver_M!$B$1:$BZ$1,0),FALSE)),VLOOKUP($A10,Haver_M!$B$1:$BZ$300,MATCH(data!AE$1,Haver_M!$B$1:$BZ$1,0),FALSE),"")</f>
        <v/>
      </c>
      <c r="AF10" t="str">
        <f>IF(ISNUMBER(VLOOKUP($A10,Haver_M!$B$1:$BZ$300,MATCH(data!AF$1,Haver_M!$B$1:$BZ$1,0),FALSE)),VLOOKUP($A10,Haver_M!$B$1:$BZ$300,MATCH(data!AF$1,Haver_M!$B$1:$BZ$1,0),FALSE),"")</f>
        <v/>
      </c>
      <c r="AG10" t="str">
        <f>IF(ISNUMBER(VLOOKUP($A10,Haver_M!$B$1:$BZ$300,MATCH(data!AG$1,Haver_M!$B$1:$BZ$1,0),FALSE)),VLOOKUP($A10,Haver_M!$B$1:$BZ$300,MATCH(data!AG$1,Haver_M!$B$1:$BZ$1,0),FALSE),"")</f>
        <v/>
      </c>
      <c r="AH10" t="str">
        <f>IF(ISNUMBER(VLOOKUP($A10,Haver_M!$B$1:$BZ$300,MATCH(data!AH$1,Haver_M!$B$1:$BZ$1,0),FALSE)),VLOOKUP($A10,Haver_M!$B$1:$BZ$300,MATCH(data!AH$1,Haver_M!$B$1:$BZ$1,0),FALSE),"")</f>
        <v/>
      </c>
      <c r="AI10">
        <f>IF(ISNUMBER(VLOOKUP($A10,Haver_M!$B$1:$BZ$300,MATCH(data!AI$1,Haver_M!$B$1:$BZ$1,0),FALSE)),VLOOKUP($A10,Haver_M!$B$1:$BZ$300,MATCH(data!AI$1,Haver_M!$B$1:$BZ$1,0),FALSE),"")</f>
        <v>9044.4751529955538</v>
      </c>
      <c r="AJ10">
        <f>IF(ISNUMBER(VLOOKUP($A10,Haver_M!$B$1:$BZ$300,MATCH(data!AJ$1,Haver_M!$B$1:$BZ$1,0),FALSE)),VLOOKUP($A10,Haver_M!$B$1:$BZ$300,MATCH(data!AJ$1,Haver_M!$B$1:$BZ$1,0),FALSE),"")</f>
        <v>3758.25</v>
      </c>
      <c r="AK10">
        <f>IF(ISNUMBER(VLOOKUP($A10,Haver_M!$B$1:$BZ$300,MATCH(data!AK$1,Haver_M!$B$1:$BZ$1,0),FALSE)),VLOOKUP($A10,Haver_M!$B$1:$BZ$300,MATCH(data!AK$1,Haver_M!$B$1:$BZ$1,0),FALSE),"")</f>
        <v>4211.38</v>
      </c>
      <c r="AL10" t="str">
        <f>IF(ISNUMBER(VLOOKUP($A10,Haver_M!$B$1:$BZ$300,MATCH(data!AL$1,Haver_M!$B$1:$BZ$1,0),FALSE)),VLOOKUP($A10,Haver_M!$B$1:$BZ$300,MATCH(data!AL$1,Haver_M!$B$1:$BZ$1,0),FALSE),"")</f>
        <v/>
      </c>
      <c r="AM10" t="str">
        <f>IF(ISNUMBER(VLOOKUP($A10,Haver_M!$B$1:$BZ$300,MATCH(data!AM$1,Haver_M!$B$1:$BZ$1,0),FALSE)),VLOOKUP($A10,Haver_M!$B$1:$BZ$300,MATCH(data!AM$1,Haver_M!$B$1:$BZ$1,0),FALSE),"")</f>
        <v/>
      </c>
      <c r="AN10" t="str">
        <f>IF(ISNUMBER(VLOOKUP($A10,Haver_M!$B$1:$BZ$300,MATCH(data!AN$1,Haver_M!$B$1:$BZ$1,0),FALSE)),VLOOKUP($A10,Haver_M!$B$1:$BZ$300,MATCH(data!AN$1,Haver_M!$B$1:$BZ$1,0),FALSE),"")</f>
        <v/>
      </c>
      <c r="AO10" t="str">
        <f>IF(ISNUMBER(VLOOKUP($A10,Haver_M!$B$1:$BZ$300,MATCH(data!AO$1,Haver_M!$B$1:$BZ$1,0),FALSE)),VLOOKUP($A10,Haver_M!$B$1:$BZ$300,MATCH(data!AO$1,Haver_M!$B$1:$BZ$1,0),FALSE),"")</f>
        <v/>
      </c>
      <c r="AP10">
        <f>IF(ISNUMBER(VLOOKUP($A10,Haver_M!$B$1:$BZ$300,MATCH(data!AP$1,Haver_M!$B$1:$BZ$1,0),FALSE)),VLOOKUP($A10,Haver_M!$B$1:$BZ$300,MATCH(data!AP$1,Haver_M!$B$1:$BZ$1,0),FALSE),"")</f>
        <v>49.221946601679491</v>
      </c>
      <c r="AQ10" t="str">
        <f>IF(ISNUMBER(VLOOKUP($A10,Haver_M!$B$1:$BZ$300,MATCH(data!AQ$1,Haver_M!$B$1:$BZ$1,0),FALSE)),VLOOKUP($A10,Haver_M!$B$1:$BZ$300,MATCH(data!AQ$1,Haver_M!$B$1:$BZ$1,0),FALSE),"")</f>
        <v/>
      </c>
      <c r="AR10" t="str">
        <f>IF(ISNUMBER(VLOOKUP($A10,Haver_M!$B$1:$BZ$300,MATCH(data!AR$1,Haver_M!$B$1:$BZ$1,0),FALSE)),VLOOKUP($A10,Haver_M!$B$1:$BZ$300,MATCH(data!AR$1,Haver_M!$B$1:$BZ$1,0),FALSE),"")</f>
        <v/>
      </c>
      <c r="AS10" t="str">
        <f>IF(ISNUMBER(VLOOKUP($A10,Haver_M!$B$1:$BZ$300,MATCH(data!AS$1,Haver_M!$B$1:$BZ$1,0),FALSE)),VLOOKUP($A10,Haver_M!$B$1:$BZ$300,MATCH(data!AS$1,Haver_M!$B$1:$BZ$1,0),FALSE),"")</f>
        <v/>
      </c>
      <c r="AT10" t="str">
        <f>IF(ISNUMBER(VLOOKUP($A10,Haver_M!$B$1:$BZ$300,MATCH(data!AT$1,Haver_M!$B$1:$BZ$1,0),FALSE)),VLOOKUP($A10,Haver_M!$B$1:$BZ$300,MATCH(data!AT$1,Haver_M!$B$1:$BZ$1,0),FALSE),"")</f>
        <v/>
      </c>
      <c r="AU10" t="str">
        <f>IF(ISNUMBER(VLOOKUP($A10,Haver_M!$B$1:$BZ$300,MATCH(data!AU$1,Haver_M!$B$1:$BZ$1,0),FALSE)),VLOOKUP($A10,Haver_M!$B$1:$BZ$300,MATCH(data!AU$1,Haver_M!$B$1:$BZ$1,0),FALSE),"")</f>
        <v/>
      </c>
      <c r="AV10" t="str">
        <f>IF(ISNUMBER(VLOOKUP($A10,Haver_M!$B$1:$BZ$300,MATCH(data!AV$1,Haver_M!$B$1:$BZ$1,0),FALSE)),VLOOKUP($A10,Haver_M!$B$1:$BZ$300,MATCH(data!AV$1,Haver_M!$B$1:$BZ$1,0),FALSE),"")</f>
        <v/>
      </c>
      <c r="AW10" t="str">
        <f>IF(ISNUMBER(VLOOKUP($A10,Haver_M!$B$1:$BZ$300,MATCH(data!AW$1,Haver_M!$B$1:$BZ$1,0),FALSE)),VLOOKUP($A10,Haver_M!$B$1:$BZ$300,MATCH(data!AW$1,Haver_M!$B$1:$BZ$1,0),FALSE),"")</f>
        <v/>
      </c>
      <c r="AX10" t="str">
        <f>IF(ISNUMBER(VLOOKUP($A10,Haver_M!$B$1:$BZ$300,MATCH(data!AX$1,Haver_M!$B$1:$BZ$1,0),FALSE)),VLOOKUP($A10,Haver_M!$B$1:$BZ$300,MATCH(data!AX$1,Haver_M!$B$1:$BZ$1,0),FALSE),"")</f>
        <v/>
      </c>
      <c r="AY10" t="str">
        <f>IF(ISNUMBER(VLOOKUP($A10,Haver_M!$B$1:$BZ$300,MATCH(data!AY$1,Haver_M!$B$1:$BZ$1,0),FALSE)),VLOOKUP($A10,Haver_M!$B$1:$BZ$300,MATCH(data!AY$1,Haver_M!$B$1:$BZ$1,0),FALSE),"")</f>
        <v/>
      </c>
      <c r="AZ10" t="str">
        <f>IF(ISNUMBER(VLOOKUP($A10,Haver_M!$B$1:$BZ$300,MATCH(data!AZ$1,Haver_M!$B$1:$BZ$1,0),FALSE)),VLOOKUP($A10,Haver_M!$B$1:$BZ$300,MATCH(data!AZ$1,Haver_M!$B$1:$BZ$1,0),FALSE),"")</f>
        <v/>
      </c>
      <c r="BA10" t="str">
        <f>IF(ISNUMBER(VLOOKUP($A10,Haver_M!$B$1:$BZ$300,MATCH(data!BA$1,Haver_M!$B$1:$BZ$1,0),FALSE)),VLOOKUP($A10,Haver_M!$B$1:$BZ$300,MATCH(data!BA$1,Haver_M!$B$1:$BZ$1,0),FALSE),"")</f>
        <v/>
      </c>
      <c r="BB10" t="str">
        <f>IF(ISNUMBER(VLOOKUP($A10,Haver_M!$B$1:$BZ$300,MATCH(data!BB$1,Haver_M!$B$1:$BZ$1,0),FALSE)),VLOOKUP($A10,Haver_M!$B$1:$BZ$300,MATCH(data!BB$1,Haver_M!$B$1:$BZ$1,0),FALSE),"")</f>
        <v/>
      </c>
      <c r="BC10" t="str">
        <f>IF(ISNUMBER(VLOOKUP($A10,Haver_M!$B$1:$BZ$300,MATCH(data!BC$1,Haver_M!$B$1:$BZ$1,0),FALSE)),VLOOKUP($A10,Haver_M!$B$1:$BZ$300,MATCH(data!BC$1,Haver_M!$B$1:$BZ$1,0),FALSE),"")</f>
        <v/>
      </c>
      <c r="BD10" t="str">
        <f>IF(ISNUMBER(VLOOKUP($A10,Haver_M!$B$1:$BZ$300,MATCH(data!BD$1,Haver_M!$B$1:$BZ$1,0),FALSE)),VLOOKUP($A10,Haver_M!$B$1:$BZ$300,MATCH(data!BD$1,Haver_M!$B$1:$BZ$1,0),FALSE),"")</f>
        <v/>
      </c>
      <c r="BE10" t="str">
        <f>IF(ISNUMBER(VLOOKUP($A10,Haver_M!$B$1:$BZ$300,MATCH(data!BE$1,Haver_M!$B$1:$BZ$1,0),FALSE)),VLOOKUP($A10,Haver_M!$B$1:$BZ$300,MATCH(data!BE$1,Haver_M!$B$1:$BZ$1,0),FALSE),"")</f>
        <v/>
      </c>
      <c r="BF10" t="str">
        <f>IF(ISNUMBER(VLOOKUP($A10,Haver_M!$B$1:$BZ$300,MATCH(data!BF$1,Haver_M!$B$1:$BZ$1,0),FALSE)),VLOOKUP($A10,Haver_M!$B$1:$BZ$300,MATCH(data!BF$1,Haver_M!$B$1:$BZ$1,0),FALSE),"")</f>
        <v/>
      </c>
      <c r="BG10" t="str">
        <f>IF(ISNUMBER(VLOOKUP($A10,Haver_M!$B$1:$BZ$300,MATCH(data!BG$1,Haver_M!$B$1:$BZ$1,0),FALSE)),VLOOKUP($A10,Haver_M!$B$1:$BZ$300,MATCH(data!BG$1,Haver_M!$B$1:$BZ$1,0),FALSE),"")</f>
        <v/>
      </c>
      <c r="BH10" t="str">
        <f>IF(ISNUMBER(VLOOKUP($A10,Haver_M!$B$1:$BZ$300,MATCH(data!BH$1,Haver_M!$B$1:$BZ$1,0),FALSE)),VLOOKUP($A10,Haver_M!$B$1:$BZ$300,MATCH(data!BH$1,Haver_M!$B$1:$BZ$1,0),FALSE),"")</f>
        <v/>
      </c>
      <c r="BI10" t="str">
        <f>IF(ISNUMBER(VLOOKUP($A10,Haver_M!$B$1:$BZ$300,MATCH(data!BI$1,Haver_M!$B$1:$BZ$1,0),FALSE)),VLOOKUP($A10,Haver_M!$B$1:$BZ$300,MATCH(data!BI$1,Haver_M!$B$1:$BZ$1,0),FALSE),"")</f>
        <v/>
      </c>
      <c r="BJ10" t="str">
        <f>IF(ISNUMBER(VLOOKUP($A10,Haver_M!$B$1:$BZ$300,MATCH(data!BJ$1,Haver_M!$B$1:$BZ$1,0),FALSE)),VLOOKUP($A10,Haver_M!$B$1:$BZ$300,MATCH(data!BJ$1,Haver_M!$B$1:$BZ$1,0),FALSE),"")</f>
        <v/>
      </c>
      <c r="BK10" t="str">
        <f>IF(ISNUMBER(VLOOKUP($A10,Haver_M!$B$1:$BZ$300,MATCH(data!BK$1,Haver_M!$B$1:$BZ$1,0),FALSE)),VLOOKUP($A10,Haver_M!$B$1:$BZ$300,MATCH(data!BK$1,Haver_M!$B$1:$BZ$1,0),FALSE),"")</f>
        <v/>
      </c>
      <c r="BL10">
        <f>IF(ISNUMBER(VLOOKUP($A10,Haver_M!$B$1:$BZ$300,MATCH(data!BL$1,Haver_M!$B$1:$BZ$1,0),FALSE)),VLOOKUP($A10,Haver_M!$B$1:$BZ$300,MATCH(data!BL$1,Haver_M!$B$1:$BZ$1,0),FALSE),"")</f>
        <v>4416.6099999999997</v>
      </c>
      <c r="BM10">
        <f>IF(ISNUMBER(VLOOKUP($A10,Haver_M!$B$1:$BZ$300,MATCH(data!BM$1,Haver_M!$B$1:$BZ$1,0),FALSE)),VLOOKUP($A10,Haver_M!$B$1:$BZ$300,MATCH(data!BM$1,Haver_M!$B$1:$BZ$1,0),FALSE),"")</f>
        <v>111.82206856000001</v>
      </c>
      <c r="BN10">
        <f>IF(ISNUMBER(VLOOKUP($A10,Haver_M!$B$1:$BZ$300,MATCH(data!BN$1,Haver_M!$B$1:$BZ$1,0),FALSE)),VLOOKUP($A10,Haver_M!$B$1:$BZ$300,MATCH(data!BN$1,Haver_M!$B$1:$BZ$1,0),FALSE),"")</f>
        <v>116.1</v>
      </c>
      <c r="BO10">
        <f>IF(ISNUMBER(VLOOKUP($A10,Haver_M!$B$1:$BZ$300,MATCH(data!BO$1,Haver_M!$B$1:$BZ$1,0),FALSE)),VLOOKUP($A10,Haver_M!$B$1:$BZ$300,MATCH(data!BO$1,Haver_M!$B$1:$BZ$1,0),FALSE),"")</f>
        <v>126.1</v>
      </c>
      <c r="BP10">
        <f>IF(ISNUMBER(VLOOKUP($A10,Haver_M!$B$1:$BZ$300,MATCH(data!BP$1,Haver_M!$B$1:$BZ$1,0),FALSE)),VLOOKUP($A10,Haver_M!$B$1:$BZ$300,MATCH(data!BP$1,Haver_M!$B$1:$BZ$1,0),FALSE),"")</f>
        <v>49</v>
      </c>
      <c r="BQ10" t="str">
        <f>IF(ISNUMBER(VLOOKUP($A10,Haver_M!$B$1:$BZ$300,MATCH(data!BQ$1,Haver_M!$B$1:$BZ$1,0),FALSE)),VLOOKUP($A10,Haver_M!$B$1:$BZ$300,MATCH(data!BQ$1,Haver_M!$B$1:$BZ$1,0),FALSE),"")</f>
        <v/>
      </c>
      <c r="BR10" t="str">
        <f>IF(ISNUMBER(VLOOKUP($A10,Haver_M!$B$1:$BZ$300,MATCH(data!BR$1,Haver_M!$B$1:$BZ$1,0),FALSE)),VLOOKUP($A10,Haver_M!$B$1:$BZ$300,MATCH(data!BR$1,Haver_M!$B$1:$BZ$1,0),FALSE),"")</f>
        <v/>
      </c>
      <c r="BS10" t="str">
        <f>IF(ISNUMBER(VLOOKUP($A10,Haver_M!$B$1:$BZ$300,MATCH(data!BS$1,Haver_M!$B$1:$BZ$1,0),FALSE)),VLOOKUP($A10,Haver_M!$B$1:$BZ$300,MATCH(data!BS$1,Haver_M!$B$1:$BZ$1,0),FALSE),"")</f>
        <v/>
      </c>
      <c r="BT10" t="str">
        <f>IF(ISNUMBER(VLOOKUP($A10,Haver_M!$B$1:$BZ$300,MATCH(data!BT$1,Haver_M!$B$1:$BZ$1,0),FALSE)),VLOOKUP($A10,Haver_M!$B$1:$BZ$300,MATCH(data!BT$1,Haver_M!$B$1:$BZ$1,0),FALSE),"")</f>
        <v/>
      </c>
      <c r="BU10">
        <f>IF(ISNUMBER(VLOOKUP($A10,Haver_M!$B$1:$BZ$300,MATCH(data!BU$1,Haver_M!$B$1:$BZ$1,0),FALSE)),VLOOKUP($A10,Haver_M!$B$1:$BZ$300,MATCH(data!BU$1,Haver_M!$B$1:$BZ$1,0),FALSE),"")</f>
        <v>3848</v>
      </c>
      <c r="BV10">
        <f>IF(ISNUMBER(VLOOKUP($A10,Haver_M!$B$1:$BZ$300,MATCH(data!BV$1,Haver_M!$B$1:$BZ$1,0),FALSE)),VLOOKUP($A10,Haver_M!$B$1:$BZ$300,MATCH(data!BV$1,Haver_M!$B$1:$BZ$1,0),FALSE),"")</f>
        <v>4249</v>
      </c>
      <c r="BW10">
        <f>IF(ISNUMBER(VLOOKUP($A10,Haver_M!$B$1:$BZ$300,MATCH(data!BW$1,Haver_M!$B$1:$BZ$1,0),FALSE)),VLOOKUP($A10,Haver_M!$B$1:$BZ$300,MATCH(data!BW$1,Haver_M!$B$1:$BZ$1,0),FALSE),"")</f>
        <v>45.888300000000001</v>
      </c>
      <c r="BX10">
        <f>IF(ISNUMBER(VLOOKUP($A10,Haver_M!$B$1:$BZ$300,MATCH(data!BX$1,Haver_M!$B$1:$BZ$1,0),FALSE)),VLOOKUP($A10,Haver_M!$B$1:$BZ$300,MATCH(data!BX$1,Haver_M!$B$1:$BZ$1,0),FALSE),"")</f>
        <v>40064</v>
      </c>
    </row>
    <row r="11" spans="1:76" x14ac:dyDescent="0.25">
      <c r="A11" s="2">
        <v>36830</v>
      </c>
      <c r="B11" t="str">
        <f>IF(ISNUMBER(VLOOKUP($A11,Haver_Q!$B$1:$L$185,MATCH(data!B$1,Haver_Q!$B$1:$L$1,0),FALSE)),100*(VLOOKUP($A11,Haver_Q!$B$1:$L$185,MATCH(data!B$1,Haver_Q!$B$1:$L$1,0),FALSE)),"")</f>
        <v/>
      </c>
      <c r="C11" t="str">
        <f>IF(ISNUMBER(VLOOKUP($A11,Haver_Q!$B$1:$L$185,MATCH(data!C$1,Haver_Q!$B$1:$L$1,0),FALSE)),100*(VLOOKUP($A11,Haver_Q!$B$1:$L$185,MATCH(data!C$1,Haver_Q!$B$1:$L$1,0),FALSE)),"")</f>
        <v/>
      </c>
      <c r="D11" t="str">
        <f>IF(ISNUMBER(VLOOKUP($A11,Haver_Q!$B$1:$L$185,MATCH(data!D$1,Haver_Q!$B$1:$L$1,0),FALSE)),100*(VLOOKUP($A11,Haver_Q!$B$1:$L$185,MATCH(data!D$1,Haver_Q!$B$1:$L$1,0),FALSE)),"")</f>
        <v/>
      </c>
      <c r="E11" t="str">
        <f>IF(ISNUMBER(VLOOKUP($A11,Haver_Q!$B$1:$L$185,MATCH(data!E$1,Haver_Q!$B$1:$L$1,0),FALSE)),100*(VLOOKUP($A11,Haver_Q!$B$1:$L$185,MATCH(data!E$1,Haver_Q!$B$1:$L$1,0),FALSE)),"")</f>
        <v/>
      </c>
      <c r="F11" t="str">
        <f>IF(ISNUMBER(VLOOKUP($A11,Haver_Q!$B$1:$L$185,MATCH(data!F$1,Haver_Q!$B$1:$L$1,0),FALSE)),100*(VLOOKUP($A11,Haver_Q!$B$1:$L$185,MATCH(data!F$1,Haver_Q!$B$1:$L$1,0),FALSE)),"")</f>
        <v/>
      </c>
      <c r="G11" t="str">
        <f>IF(ISNUMBER(VLOOKUP($A11,Haver_Q!$B$1:$L$185,MATCH(data!G$1,Haver_Q!$B$1:$L$1,0),FALSE)),100*(VLOOKUP($A11,Haver_Q!$B$1:$L$185,MATCH(data!G$1,Haver_Q!$B$1:$L$1,0),FALSE)),"")</f>
        <v/>
      </c>
      <c r="H11" t="str">
        <f>IF(ISNUMBER(VLOOKUP($A11,Haver_Q!$B$1:$L$185,MATCH(data!H$1,Haver_Q!$B$1:$L$1,0),FALSE)),(VLOOKUP($A11,Haver_Q!$B$1:$L$185,MATCH(data!H$1,Haver_Q!$B$1:$L$1,0),FALSE)),"")</f>
        <v/>
      </c>
      <c r="I11" t="str">
        <f>IF(ISNUMBER(VLOOKUP($A11,Haver_Q!$B$1:$L$185,MATCH(data!I$1,Haver_Q!$B$1:$L$1,0),FALSE)),100*(VLOOKUP($A11,Haver_Q!$B$1:$L$185,MATCH(data!I$1,Haver_Q!$B$1:$L$1,0),FALSE)),"")</f>
        <v/>
      </c>
      <c r="J11" s="3">
        <f>IF(ISNUMBER(Bloomberg_m!C27),Bloomberg_m!C27,"")</f>
        <v>1734</v>
      </c>
      <c r="K11" s="3" t="str">
        <f>IF(ISNUMBER(Bloomberg_m!D27),Bloomberg_m!D27,"")</f>
        <v/>
      </c>
      <c r="L11" s="3" t="str">
        <f>IF(ISNUMBER(Bloomberg_m!E27),Bloomberg_m!E27,"")</f>
        <v/>
      </c>
      <c r="M11" s="3" t="str">
        <f>IF(ISNUMBER(Bloomberg_m!F27),Bloomberg_m!F27,"")</f>
        <v/>
      </c>
      <c r="N11" t="str">
        <f>IF(ISNUMBER(VLOOKUP($A11,Haver_M!$B$1:$BZ$300,MATCH(data!N$1,Haver_M!$B$1:$BZ$1,0),FALSE)),VLOOKUP($A11,Haver_M!$B$1:$BZ$300,MATCH(data!N$1,Haver_M!$B$1:$BZ$1,0),FALSE),"")</f>
        <v/>
      </c>
      <c r="O11">
        <f>IF(ISNUMBER(VLOOKUP($A11,Haver_M!$B$1:$BZ$300,MATCH(data!O$1,Haver_M!$B$1:$BZ$1,0),FALSE)),VLOOKUP($A11,Haver_M!$B$1:$BZ$300,MATCH(data!O$1,Haver_M!$B$1:$BZ$1,0),FALSE),"")</f>
        <v>11.607799999999999</v>
      </c>
      <c r="P11">
        <f>IF(ISNUMBER(VLOOKUP($A11,Haver_M!$B$1:$BZ$300,MATCH(data!P$1,Haver_M!$B$1:$BZ$1,0),FALSE)),VLOOKUP($A11,Haver_M!$B$1:$BZ$300,MATCH(data!P$1,Haver_M!$B$1:$BZ$1,0),FALSE),"")</f>
        <v>96.100239999999999</v>
      </c>
      <c r="Q11" t="str">
        <f>IF(ISNUMBER(VLOOKUP($A11,Haver_M!$B$1:$BZ$300,MATCH(data!Q$1,Haver_M!$B$1:$BZ$1,0),FALSE)),VLOOKUP($A11,Haver_M!$B$1:$BZ$300,MATCH(data!Q$1,Haver_M!$B$1:$BZ$1,0),FALSE),"")</f>
        <v/>
      </c>
      <c r="R11" t="str">
        <f>IF(ISNUMBER(VLOOKUP($A11,Haver_M!$B$1:$BZ$300,MATCH(data!R$1,Haver_M!$B$1:$BZ$1,0),FALSE)),VLOOKUP($A11,Haver_M!$B$1:$BZ$300,MATCH(data!R$1,Haver_M!$B$1:$BZ$1,0),FALSE),"")</f>
        <v/>
      </c>
      <c r="S11">
        <f>IF(ISNUMBER(VLOOKUP($A11,Haver_M!$B$1:$BZ$300,MATCH(data!S$1,Haver_M!$B$1:$BZ$1,0),FALSE)),VLOOKUP($A11,Haver_M!$B$1:$BZ$300,MATCH(data!S$1,Haver_M!$B$1:$BZ$1,0),FALSE),"")</f>
        <v>46.87</v>
      </c>
      <c r="T11">
        <f>IF(ISNUMBER(VLOOKUP($A11,Haver_M!$B$1:$BZ$300,MATCH(data!T$1,Haver_M!$B$1:$BZ$1,0),FALSE)),VLOOKUP($A11,Haver_M!$B$1:$BZ$300,MATCH(data!T$1,Haver_M!$B$1:$BZ$1,0),FALSE),"")</f>
        <v>56.6</v>
      </c>
      <c r="U11">
        <f>IF(ISNUMBER(VLOOKUP($A11,Haver_M!$B$1:$BZ$300,MATCH(data!U$1,Haver_M!$B$1:$BZ$1,0),FALSE)),VLOOKUP($A11,Haver_M!$B$1:$BZ$300,MATCH(data!U$1,Haver_M!$B$1:$BZ$1,0),FALSE),"")</f>
        <v>26.79</v>
      </c>
      <c r="V11">
        <f>IF(ISNUMBER(VLOOKUP($A11,Haver_M!$B$1:$BZ$300,MATCH(data!V$1,Haver_M!$B$1:$BZ$1,0),FALSE)),VLOOKUP($A11,Haver_M!$B$1:$BZ$300,MATCH(data!V$1,Haver_M!$B$1:$BZ$1,0),FALSE),"")</f>
        <v>58.53</v>
      </c>
      <c r="W11" t="str">
        <f>IF(ISNUMBER(VLOOKUP($A11,Haver_M!$B$1:$BZ$300,MATCH(data!W$1,Haver_M!$B$1:$BZ$1,0),FALSE)),VLOOKUP($A11,Haver_M!$B$1:$BZ$300,MATCH(data!W$1,Haver_M!$B$1:$BZ$1,0),FALSE),"")</f>
        <v/>
      </c>
      <c r="X11">
        <f>IF(ISNUMBER(VLOOKUP($A11,Haver_M!$B$1:$BZ$300,MATCH(data!X$1,Haver_M!$B$1:$BZ$1,0),FALSE)),VLOOKUP($A11,Haver_M!$B$1:$BZ$300,MATCH(data!X$1,Haver_M!$B$1:$BZ$1,0),FALSE),"")</f>
        <v>24.52</v>
      </c>
      <c r="Y11">
        <f>IF(ISNUMBER(VLOOKUP($A11,Haver_M!$B$1:$BZ$300,MATCH(data!Y$1,Haver_M!$B$1:$BZ$1,0),FALSE)),VLOOKUP($A11,Haver_M!$B$1:$BZ$300,MATCH(data!Y$1,Haver_M!$B$1:$BZ$1,0),FALSE),"")</f>
        <v>48.96</v>
      </c>
      <c r="Z11" t="str">
        <f>IF(ISNUMBER(VLOOKUP($A11,Haver_M!$B$1:$BZ$300,MATCH(data!Z$1,Haver_M!$B$1:$BZ$1,0),FALSE)),VLOOKUP($A11,Haver_M!$B$1:$BZ$300,MATCH(data!Z$1,Haver_M!$B$1:$BZ$1,0),FALSE),"")</f>
        <v/>
      </c>
      <c r="AA11" t="str">
        <f>IF(ISNUMBER(VLOOKUP($A11,Haver_M!$B$1:$BZ$300,MATCH(data!AA$1,Haver_M!$B$1:$BZ$1,0),FALSE)),VLOOKUP($A11,Haver_M!$B$1:$BZ$300,MATCH(data!AA$1,Haver_M!$B$1:$BZ$1,0),FALSE),"")</f>
        <v/>
      </c>
      <c r="AB11" t="str">
        <f>IF(ISNUMBER(VLOOKUP($A11,Haver_M!$B$1:$BZ$300,MATCH(data!AB$1,Haver_M!$B$1:$BZ$1,0),FALSE)),VLOOKUP($A11,Haver_M!$B$1:$BZ$300,MATCH(data!AB$1,Haver_M!$B$1:$BZ$1,0),FALSE),"")</f>
        <v/>
      </c>
      <c r="AC11" t="str">
        <f>IF(ISNUMBER(VLOOKUP($A11,Haver_M!$B$1:$BZ$300,MATCH(data!AC$1,Haver_M!$B$1:$BZ$1,0),FALSE)),VLOOKUP($A11,Haver_M!$B$1:$BZ$300,MATCH(data!AC$1,Haver_M!$B$1:$BZ$1,0),FALSE),"")</f>
        <v/>
      </c>
      <c r="AD11" t="str">
        <f>IF(ISNUMBER(VLOOKUP($A11,Haver_M!$B$1:$BZ$300,MATCH(data!AD$1,Haver_M!$B$1:$BZ$1,0),FALSE)),VLOOKUP($A11,Haver_M!$B$1:$BZ$300,MATCH(data!AD$1,Haver_M!$B$1:$BZ$1,0),FALSE),"")</f>
        <v/>
      </c>
      <c r="AE11" t="str">
        <f>IF(ISNUMBER(VLOOKUP($A11,Haver_M!$B$1:$BZ$300,MATCH(data!AE$1,Haver_M!$B$1:$BZ$1,0),FALSE)),VLOOKUP($A11,Haver_M!$B$1:$BZ$300,MATCH(data!AE$1,Haver_M!$B$1:$BZ$1,0),FALSE),"")</f>
        <v/>
      </c>
      <c r="AF11" t="str">
        <f>IF(ISNUMBER(VLOOKUP($A11,Haver_M!$B$1:$BZ$300,MATCH(data!AF$1,Haver_M!$B$1:$BZ$1,0),FALSE)),VLOOKUP($A11,Haver_M!$B$1:$BZ$300,MATCH(data!AF$1,Haver_M!$B$1:$BZ$1,0),FALSE),"")</f>
        <v/>
      </c>
      <c r="AG11" t="str">
        <f>IF(ISNUMBER(VLOOKUP($A11,Haver_M!$B$1:$BZ$300,MATCH(data!AG$1,Haver_M!$B$1:$BZ$1,0),FALSE)),VLOOKUP($A11,Haver_M!$B$1:$BZ$300,MATCH(data!AG$1,Haver_M!$B$1:$BZ$1,0),FALSE),"")</f>
        <v/>
      </c>
      <c r="AH11" t="str">
        <f>IF(ISNUMBER(VLOOKUP($A11,Haver_M!$B$1:$BZ$300,MATCH(data!AH$1,Haver_M!$B$1:$BZ$1,0),FALSE)),VLOOKUP($A11,Haver_M!$B$1:$BZ$300,MATCH(data!AH$1,Haver_M!$B$1:$BZ$1,0),FALSE),"")</f>
        <v/>
      </c>
      <c r="AI11">
        <f>IF(ISNUMBER(VLOOKUP($A11,Haver_M!$B$1:$BZ$300,MATCH(data!AI$1,Haver_M!$B$1:$BZ$1,0),FALSE)),VLOOKUP($A11,Haver_M!$B$1:$BZ$300,MATCH(data!AI$1,Haver_M!$B$1:$BZ$1,0),FALSE),"")</f>
        <v>7804.4426491804898</v>
      </c>
      <c r="AJ11">
        <f>IF(ISNUMBER(VLOOKUP($A11,Haver_M!$B$1:$BZ$300,MATCH(data!AJ$1,Haver_M!$B$1:$BZ$1,0),FALSE)),VLOOKUP($A11,Haver_M!$B$1:$BZ$300,MATCH(data!AJ$1,Haver_M!$B$1:$BZ$1,0),FALSE),"")</f>
        <v>3661.32</v>
      </c>
      <c r="AK11">
        <f>IF(ISNUMBER(VLOOKUP($A11,Haver_M!$B$1:$BZ$300,MATCH(data!AK$1,Haver_M!$B$1:$BZ$1,0),FALSE)),VLOOKUP($A11,Haver_M!$B$1:$BZ$300,MATCH(data!AK$1,Haver_M!$B$1:$BZ$1,0),FALSE),"")</f>
        <v>4197.55</v>
      </c>
      <c r="AL11" t="str">
        <f>IF(ISNUMBER(VLOOKUP($A11,Haver_M!$B$1:$BZ$300,MATCH(data!AL$1,Haver_M!$B$1:$BZ$1,0),FALSE)),VLOOKUP($A11,Haver_M!$B$1:$BZ$300,MATCH(data!AL$1,Haver_M!$B$1:$BZ$1,0),FALSE),"")</f>
        <v/>
      </c>
      <c r="AM11" t="str">
        <f>IF(ISNUMBER(VLOOKUP($A11,Haver_M!$B$1:$BZ$300,MATCH(data!AM$1,Haver_M!$B$1:$BZ$1,0),FALSE)),VLOOKUP($A11,Haver_M!$B$1:$BZ$300,MATCH(data!AM$1,Haver_M!$B$1:$BZ$1,0),FALSE),"")</f>
        <v/>
      </c>
      <c r="AN11" t="str">
        <f>IF(ISNUMBER(VLOOKUP($A11,Haver_M!$B$1:$BZ$300,MATCH(data!AN$1,Haver_M!$B$1:$BZ$1,0),FALSE)),VLOOKUP($A11,Haver_M!$B$1:$BZ$300,MATCH(data!AN$1,Haver_M!$B$1:$BZ$1,0),FALSE),"")</f>
        <v/>
      </c>
      <c r="AO11" t="str">
        <f>IF(ISNUMBER(VLOOKUP($A11,Haver_M!$B$1:$BZ$300,MATCH(data!AO$1,Haver_M!$B$1:$BZ$1,0),FALSE)),VLOOKUP($A11,Haver_M!$B$1:$BZ$300,MATCH(data!AO$1,Haver_M!$B$1:$BZ$1,0),FALSE),"")</f>
        <v/>
      </c>
      <c r="AP11">
        <f>IF(ISNUMBER(VLOOKUP($A11,Haver_M!$B$1:$BZ$300,MATCH(data!AP$1,Haver_M!$B$1:$BZ$1,0),FALSE)),VLOOKUP($A11,Haver_M!$B$1:$BZ$300,MATCH(data!AP$1,Haver_M!$B$1:$BZ$1,0),FALSE),"")</f>
        <v>55.000217519068748</v>
      </c>
      <c r="AQ11" t="str">
        <f>IF(ISNUMBER(VLOOKUP($A11,Haver_M!$B$1:$BZ$300,MATCH(data!AQ$1,Haver_M!$B$1:$BZ$1,0),FALSE)),VLOOKUP($A11,Haver_M!$B$1:$BZ$300,MATCH(data!AQ$1,Haver_M!$B$1:$BZ$1,0),FALSE),"")</f>
        <v/>
      </c>
      <c r="AR11" t="str">
        <f>IF(ISNUMBER(VLOOKUP($A11,Haver_M!$B$1:$BZ$300,MATCH(data!AR$1,Haver_M!$B$1:$BZ$1,0),FALSE)),VLOOKUP($A11,Haver_M!$B$1:$BZ$300,MATCH(data!AR$1,Haver_M!$B$1:$BZ$1,0),FALSE),"")</f>
        <v/>
      </c>
      <c r="AS11" t="str">
        <f>IF(ISNUMBER(VLOOKUP($A11,Haver_M!$B$1:$BZ$300,MATCH(data!AS$1,Haver_M!$B$1:$BZ$1,0),FALSE)),VLOOKUP($A11,Haver_M!$B$1:$BZ$300,MATCH(data!AS$1,Haver_M!$B$1:$BZ$1,0),FALSE),"")</f>
        <v/>
      </c>
      <c r="AT11" t="str">
        <f>IF(ISNUMBER(VLOOKUP($A11,Haver_M!$B$1:$BZ$300,MATCH(data!AT$1,Haver_M!$B$1:$BZ$1,0),FALSE)),VLOOKUP($A11,Haver_M!$B$1:$BZ$300,MATCH(data!AT$1,Haver_M!$B$1:$BZ$1,0),FALSE),"")</f>
        <v/>
      </c>
      <c r="AU11" t="str">
        <f>IF(ISNUMBER(VLOOKUP($A11,Haver_M!$B$1:$BZ$300,MATCH(data!AU$1,Haver_M!$B$1:$BZ$1,0),FALSE)),VLOOKUP($A11,Haver_M!$B$1:$BZ$300,MATCH(data!AU$1,Haver_M!$B$1:$BZ$1,0),FALSE),"")</f>
        <v/>
      </c>
      <c r="AV11" t="str">
        <f>IF(ISNUMBER(VLOOKUP($A11,Haver_M!$B$1:$BZ$300,MATCH(data!AV$1,Haver_M!$B$1:$BZ$1,0),FALSE)),VLOOKUP($A11,Haver_M!$B$1:$BZ$300,MATCH(data!AV$1,Haver_M!$B$1:$BZ$1,0),FALSE),"")</f>
        <v/>
      </c>
      <c r="AW11" t="str">
        <f>IF(ISNUMBER(VLOOKUP($A11,Haver_M!$B$1:$BZ$300,MATCH(data!AW$1,Haver_M!$B$1:$BZ$1,0),FALSE)),VLOOKUP($A11,Haver_M!$B$1:$BZ$300,MATCH(data!AW$1,Haver_M!$B$1:$BZ$1,0),FALSE),"")</f>
        <v/>
      </c>
      <c r="AX11" t="str">
        <f>IF(ISNUMBER(VLOOKUP($A11,Haver_M!$B$1:$BZ$300,MATCH(data!AX$1,Haver_M!$B$1:$BZ$1,0),FALSE)),VLOOKUP($A11,Haver_M!$B$1:$BZ$300,MATCH(data!AX$1,Haver_M!$B$1:$BZ$1,0),FALSE),"")</f>
        <v/>
      </c>
      <c r="AY11" t="str">
        <f>IF(ISNUMBER(VLOOKUP($A11,Haver_M!$B$1:$BZ$300,MATCH(data!AY$1,Haver_M!$B$1:$BZ$1,0),FALSE)),VLOOKUP($A11,Haver_M!$B$1:$BZ$300,MATCH(data!AY$1,Haver_M!$B$1:$BZ$1,0),FALSE),"")</f>
        <v/>
      </c>
      <c r="AZ11" t="str">
        <f>IF(ISNUMBER(VLOOKUP($A11,Haver_M!$B$1:$BZ$300,MATCH(data!AZ$1,Haver_M!$B$1:$BZ$1,0),FALSE)),VLOOKUP($A11,Haver_M!$B$1:$BZ$300,MATCH(data!AZ$1,Haver_M!$B$1:$BZ$1,0),FALSE),"")</f>
        <v/>
      </c>
      <c r="BA11" t="str">
        <f>IF(ISNUMBER(VLOOKUP($A11,Haver_M!$B$1:$BZ$300,MATCH(data!BA$1,Haver_M!$B$1:$BZ$1,0),FALSE)),VLOOKUP($A11,Haver_M!$B$1:$BZ$300,MATCH(data!BA$1,Haver_M!$B$1:$BZ$1,0),FALSE),"")</f>
        <v/>
      </c>
      <c r="BB11" t="str">
        <f>IF(ISNUMBER(VLOOKUP($A11,Haver_M!$B$1:$BZ$300,MATCH(data!BB$1,Haver_M!$B$1:$BZ$1,0),FALSE)),VLOOKUP($A11,Haver_M!$B$1:$BZ$300,MATCH(data!BB$1,Haver_M!$B$1:$BZ$1,0),FALSE),"")</f>
        <v/>
      </c>
      <c r="BC11" t="str">
        <f>IF(ISNUMBER(VLOOKUP($A11,Haver_M!$B$1:$BZ$300,MATCH(data!BC$1,Haver_M!$B$1:$BZ$1,0),FALSE)),VLOOKUP($A11,Haver_M!$B$1:$BZ$300,MATCH(data!BC$1,Haver_M!$B$1:$BZ$1,0),FALSE),"")</f>
        <v/>
      </c>
      <c r="BD11" t="str">
        <f>IF(ISNUMBER(VLOOKUP($A11,Haver_M!$B$1:$BZ$300,MATCH(data!BD$1,Haver_M!$B$1:$BZ$1,0),FALSE)),VLOOKUP($A11,Haver_M!$B$1:$BZ$300,MATCH(data!BD$1,Haver_M!$B$1:$BZ$1,0),FALSE),"")</f>
        <v/>
      </c>
      <c r="BE11" t="str">
        <f>IF(ISNUMBER(VLOOKUP($A11,Haver_M!$B$1:$BZ$300,MATCH(data!BE$1,Haver_M!$B$1:$BZ$1,0),FALSE)),VLOOKUP($A11,Haver_M!$B$1:$BZ$300,MATCH(data!BE$1,Haver_M!$B$1:$BZ$1,0),FALSE),"")</f>
        <v/>
      </c>
      <c r="BF11" t="str">
        <f>IF(ISNUMBER(VLOOKUP($A11,Haver_M!$B$1:$BZ$300,MATCH(data!BF$1,Haver_M!$B$1:$BZ$1,0),FALSE)),VLOOKUP($A11,Haver_M!$B$1:$BZ$300,MATCH(data!BF$1,Haver_M!$B$1:$BZ$1,0),FALSE),"")</f>
        <v/>
      </c>
      <c r="BG11" t="str">
        <f>IF(ISNUMBER(VLOOKUP($A11,Haver_M!$B$1:$BZ$300,MATCH(data!BG$1,Haver_M!$B$1:$BZ$1,0),FALSE)),VLOOKUP($A11,Haver_M!$B$1:$BZ$300,MATCH(data!BG$1,Haver_M!$B$1:$BZ$1,0),FALSE),"")</f>
        <v/>
      </c>
      <c r="BH11" t="str">
        <f>IF(ISNUMBER(VLOOKUP($A11,Haver_M!$B$1:$BZ$300,MATCH(data!BH$1,Haver_M!$B$1:$BZ$1,0),FALSE)),VLOOKUP($A11,Haver_M!$B$1:$BZ$300,MATCH(data!BH$1,Haver_M!$B$1:$BZ$1,0),FALSE),"")</f>
        <v/>
      </c>
      <c r="BI11" t="str">
        <f>IF(ISNUMBER(VLOOKUP($A11,Haver_M!$B$1:$BZ$300,MATCH(data!BI$1,Haver_M!$B$1:$BZ$1,0),FALSE)),VLOOKUP($A11,Haver_M!$B$1:$BZ$300,MATCH(data!BI$1,Haver_M!$B$1:$BZ$1,0),FALSE),"")</f>
        <v/>
      </c>
      <c r="BJ11" t="str">
        <f>IF(ISNUMBER(VLOOKUP($A11,Haver_M!$B$1:$BZ$300,MATCH(data!BJ$1,Haver_M!$B$1:$BZ$1,0),FALSE)),VLOOKUP($A11,Haver_M!$B$1:$BZ$300,MATCH(data!BJ$1,Haver_M!$B$1:$BZ$1,0),FALSE),"")</f>
        <v/>
      </c>
      <c r="BK11" t="str">
        <f>IF(ISNUMBER(VLOOKUP($A11,Haver_M!$B$1:$BZ$300,MATCH(data!BK$1,Haver_M!$B$1:$BZ$1,0),FALSE)),VLOOKUP($A11,Haver_M!$B$1:$BZ$300,MATCH(data!BK$1,Haver_M!$B$1:$BZ$1,0),FALSE),"")</f>
        <v/>
      </c>
      <c r="BL11">
        <f>IF(ISNUMBER(VLOOKUP($A11,Haver_M!$B$1:$BZ$300,MATCH(data!BL$1,Haver_M!$B$1:$BZ$1,0),FALSE)),VLOOKUP($A11,Haver_M!$B$1:$BZ$300,MATCH(data!BL$1,Haver_M!$B$1:$BZ$1,0),FALSE),"")</f>
        <v>3819.69</v>
      </c>
      <c r="BM11">
        <f>IF(ISNUMBER(VLOOKUP($A11,Haver_M!$B$1:$BZ$300,MATCH(data!BM$1,Haver_M!$B$1:$BZ$1,0),FALSE)),VLOOKUP($A11,Haver_M!$B$1:$BZ$300,MATCH(data!BM$1,Haver_M!$B$1:$BZ$1,0),FALSE),"")</f>
        <v>111.14065089</v>
      </c>
      <c r="BN11" t="str">
        <f>IF(ISNUMBER(VLOOKUP($A11,Haver_M!$B$1:$BZ$300,MATCH(data!BN$1,Haver_M!$B$1:$BZ$1,0),FALSE)),VLOOKUP($A11,Haver_M!$B$1:$BZ$300,MATCH(data!BN$1,Haver_M!$B$1:$BZ$1,0),FALSE),"")</f>
        <v/>
      </c>
      <c r="BO11" t="str">
        <f>IF(ISNUMBER(VLOOKUP($A11,Haver_M!$B$1:$BZ$300,MATCH(data!BO$1,Haver_M!$B$1:$BZ$1,0),FALSE)),VLOOKUP($A11,Haver_M!$B$1:$BZ$300,MATCH(data!BO$1,Haver_M!$B$1:$BZ$1,0),FALSE),"")</f>
        <v/>
      </c>
      <c r="BP11" t="str">
        <f>IF(ISNUMBER(VLOOKUP($A11,Haver_M!$B$1:$BZ$300,MATCH(data!BP$1,Haver_M!$B$1:$BZ$1,0),FALSE)),VLOOKUP($A11,Haver_M!$B$1:$BZ$300,MATCH(data!BP$1,Haver_M!$B$1:$BZ$1,0),FALSE),"")</f>
        <v/>
      </c>
      <c r="BQ11" t="str">
        <f>IF(ISNUMBER(VLOOKUP($A11,Haver_M!$B$1:$BZ$300,MATCH(data!BQ$1,Haver_M!$B$1:$BZ$1,0),FALSE)),VLOOKUP($A11,Haver_M!$B$1:$BZ$300,MATCH(data!BQ$1,Haver_M!$B$1:$BZ$1,0),FALSE),"")</f>
        <v/>
      </c>
      <c r="BR11" t="str">
        <f>IF(ISNUMBER(VLOOKUP($A11,Haver_M!$B$1:$BZ$300,MATCH(data!BR$1,Haver_M!$B$1:$BZ$1,0),FALSE)),VLOOKUP($A11,Haver_M!$B$1:$BZ$300,MATCH(data!BR$1,Haver_M!$B$1:$BZ$1,0),FALSE),"")</f>
        <v/>
      </c>
      <c r="BS11" t="str">
        <f>IF(ISNUMBER(VLOOKUP($A11,Haver_M!$B$1:$BZ$300,MATCH(data!BS$1,Haver_M!$B$1:$BZ$1,0),FALSE)),VLOOKUP($A11,Haver_M!$B$1:$BZ$300,MATCH(data!BS$1,Haver_M!$B$1:$BZ$1,0),FALSE),"")</f>
        <v/>
      </c>
      <c r="BT11" t="str">
        <f>IF(ISNUMBER(VLOOKUP($A11,Haver_M!$B$1:$BZ$300,MATCH(data!BT$1,Haver_M!$B$1:$BZ$1,0),FALSE)),VLOOKUP($A11,Haver_M!$B$1:$BZ$300,MATCH(data!BT$1,Haver_M!$B$1:$BZ$1,0),FALSE),"")</f>
        <v/>
      </c>
      <c r="BU11">
        <f>IF(ISNUMBER(VLOOKUP($A11,Haver_M!$B$1:$BZ$300,MATCH(data!BU$1,Haver_M!$B$1:$BZ$1,0),FALSE)),VLOOKUP($A11,Haver_M!$B$1:$BZ$300,MATCH(data!BU$1,Haver_M!$B$1:$BZ$1,0),FALSE),"")</f>
        <v>3719</v>
      </c>
      <c r="BV11">
        <f>IF(ISNUMBER(VLOOKUP($A11,Haver_M!$B$1:$BZ$300,MATCH(data!BV$1,Haver_M!$B$1:$BZ$1,0),FALSE)),VLOOKUP($A11,Haver_M!$B$1:$BZ$300,MATCH(data!BV$1,Haver_M!$B$1:$BZ$1,0),FALSE),"")</f>
        <v>4264</v>
      </c>
      <c r="BW11">
        <f>IF(ISNUMBER(VLOOKUP($A11,Haver_M!$B$1:$BZ$300,MATCH(data!BW$1,Haver_M!$B$1:$BZ$1,0),FALSE)),VLOOKUP($A11,Haver_M!$B$1:$BZ$300,MATCH(data!BW$1,Haver_M!$B$1:$BZ$1,0),FALSE),"")</f>
        <v>46.344499999999996</v>
      </c>
      <c r="BX11">
        <f>IF(ISNUMBER(VLOOKUP($A11,Haver_M!$B$1:$BZ$300,MATCH(data!BX$1,Haver_M!$B$1:$BZ$1,0),FALSE)),VLOOKUP($A11,Haver_M!$B$1:$BZ$300,MATCH(data!BX$1,Haver_M!$B$1:$BZ$1,0),FALSE),"")</f>
        <v>44486</v>
      </c>
    </row>
    <row r="12" spans="1:76" x14ac:dyDescent="0.25">
      <c r="A12" s="2">
        <v>36860</v>
      </c>
      <c r="B12" t="str">
        <f>IF(ISNUMBER(VLOOKUP($A12,Haver_Q!$B$1:$L$185,MATCH(data!B$1,Haver_Q!$B$1:$L$1,0),FALSE)),100*(VLOOKUP($A12,Haver_Q!$B$1:$L$185,MATCH(data!B$1,Haver_Q!$B$1:$L$1,0),FALSE)),"")</f>
        <v/>
      </c>
      <c r="C12" t="str">
        <f>IF(ISNUMBER(VLOOKUP($A12,Haver_Q!$B$1:$L$185,MATCH(data!C$1,Haver_Q!$B$1:$L$1,0),FALSE)),100*(VLOOKUP($A12,Haver_Q!$B$1:$L$185,MATCH(data!C$1,Haver_Q!$B$1:$L$1,0),FALSE)),"")</f>
        <v/>
      </c>
      <c r="D12" t="str">
        <f>IF(ISNUMBER(VLOOKUP($A12,Haver_Q!$B$1:$L$185,MATCH(data!D$1,Haver_Q!$B$1:$L$1,0),FALSE)),100*(VLOOKUP($A12,Haver_Q!$B$1:$L$185,MATCH(data!D$1,Haver_Q!$B$1:$L$1,0),FALSE)),"")</f>
        <v/>
      </c>
      <c r="E12" t="str">
        <f>IF(ISNUMBER(VLOOKUP($A12,Haver_Q!$B$1:$L$185,MATCH(data!E$1,Haver_Q!$B$1:$L$1,0),FALSE)),100*(VLOOKUP($A12,Haver_Q!$B$1:$L$185,MATCH(data!E$1,Haver_Q!$B$1:$L$1,0),FALSE)),"")</f>
        <v/>
      </c>
      <c r="F12" t="str">
        <f>IF(ISNUMBER(VLOOKUP($A12,Haver_Q!$B$1:$L$185,MATCH(data!F$1,Haver_Q!$B$1:$L$1,0),FALSE)),100*(VLOOKUP($A12,Haver_Q!$B$1:$L$185,MATCH(data!F$1,Haver_Q!$B$1:$L$1,0),FALSE)),"")</f>
        <v/>
      </c>
      <c r="G12" t="str">
        <f>IF(ISNUMBER(VLOOKUP($A12,Haver_Q!$B$1:$L$185,MATCH(data!G$1,Haver_Q!$B$1:$L$1,0),FALSE)),100*(VLOOKUP($A12,Haver_Q!$B$1:$L$185,MATCH(data!G$1,Haver_Q!$B$1:$L$1,0),FALSE)),"")</f>
        <v/>
      </c>
      <c r="H12" t="str">
        <f>IF(ISNUMBER(VLOOKUP($A12,Haver_Q!$B$1:$L$185,MATCH(data!H$1,Haver_Q!$B$1:$L$1,0),FALSE)),(VLOOKUP($A12,Haver_Q!$B$1:$L$185,MATCH(data!H$1,Haver_Q!$B$1:$L$1,0),FALSE)),"")</f>
        <v/>
      </c>
      <c r="I12" t="str">
        <f>IF(ISNUMBER(VLOOKUP($A12,Haver_Q!$B$1:$L$185,MATCH(data!I$1,Haver_Q!$B$1:$L$1,0),FALSE)),100*(VLOOKUP($A12,Haver_Q!$B$1:$L$185,MATCH(data!I$1,Haver_Q!$B$1:$L$1,0),FALSE)),"")</f>
        <v/>
      </c>
      <c r="J12" s="3">
        <f>IF(ISNUMBER(Bloomberg_m!C28),Bloomberg_m!C28,"")</f>
        <v>1722</v>
      </c>
      <c r="K12" s="3" t="str">
        <f>IF(ISNUMBER(Bloomberg_m!D28),Bloomberg_m!D28,"")</f>
        <v/>
      </c>
      <c r="L12" s="3" t="str">
        <f>IF(ISNUMBER(Bloomberg_m!E28),Bloomberg_m!E28,"")</f>
        <v/>
      </c>
      <c r="M12" s="3" t="str">
        <f>IF(ISNUMBER(Bloomberg_m!F28),Bloomberg_m!F28,"")</f>
        <v/>
      </c>
      <c r="N12" t="str">
        <f>IF(ISNUMBER(VLOOKUP($A12,Haver_M!$B$1:$BZ$300,MATCH(data!N$1,Haver_M!$B$1:$BZ$1,0),FALSE)),VLOOKUP($A12,Haver_M!$B$1:$BZ$300,MATCH(data!N$1,Haver_M!$B$1:$BZ$1,0),FALSE),"")</f>
        <v/>
      </c>
      <c r="O12">
        <f>IF(ISNUMBER(VLOOKUP($A12,Haver_M!$B$1:$BZ$300,MATCH(data!O$1,Haver_M!$B$1:$BZ$1,0),FALSE)),VLOOKUP($A12,Haver_M!$B$1:$BZ$300,MATCH(data!O$1,Haver_M!$B$1:$BZ$1,0),FALSE),"")</f>
        <v>11.4009</v>
      </c>
      <c r="P12">
        <f>IF(ISNUMBER(VLOOKUP($A12,Haver_M!$B$1:$BZ$300,MATCH(data!P$1,Haver_M!$B$1:$BZ$1,0),FALSE)),VLOOKUP($A12,Haver_M!$B$1:$BZ$300,MATCH(data!P$1,Haver_M!$B$1:$BZ$1,0),FALSE),"")</f>
        <v>95.652299999999997</v>
      </c>
      <c r="Q12" t="str">
        <f>IF(ISNUMBER(VLOOKUP($A12,Haver_M!$B$1:$BZ$300,MATCH(data!Q$1,Haver_M!$B$1:$BZ$1,0),FALSE)),VLOOKUP($A12,Haver_M!$B$1:$BZ$300,MATCH(data!Q$1,Haver_M!$B$1:$BZ$1,0),FALSE),"")</f>
        <v/>
      </c>
      <c r="R12" t="str">
        <f>IF(ISNUMBER(VLOOKUP($A12,Haver_M!$B$1:$BZ$300,MATCH(data!R$1,Haver_M!$B$1:$BZ$1,0),FALSE)),VLOOKUP($A12,Haver_M!$B$1:$BZ$300,MATCH(data!R$1,Haver_M!$B$1:$BZ$1,0),FALSE),"")</f>
        <v/>
      </c>
      <c r="S12">
        <f>IF(ISNUMBER(VLOOKUP($A12,Haver_M!$B$1:$BZ$300,MATCH(data!S$1,Haver_M!$B$1:$BZ$1,0),FALSE)),VLOOKUP($A12,Haver_M!$B$1:$BZ$300,MATCH(data!S$1,Haver_M!$B$1:$BZ$1,0),FALSE),"")</f>
        <v>46.41</v>
      </c>
      <c r="T12">
        <f>IF(ISNUMBER(VLOOKUP($A12,Haver_M!$B$1:$BZ$300,MATCH(data!T$1,Haver_M!$B$1:$BZ$1,0),FALSE)),VLOOKUP($A12,Haver_M!$B$1:$BZ$300,MATCH(data!T$1,Haver_M!$B$1:$BZ$1,0),FALSE),"")</f>
        <v>55.87</v>
      </c>
      <c r="U12">
        <f>IF(ISNUMBER(VLOOKUP($A12,Haver_M!$B$1:$BZ$300,MATCH(data!U$1,Haver_M!$B$1:$BZ$1,0),FALSE)),VLOOKUP($A12,Haver_M!$B$1:$BZ$300,MATCH(data!U$1,Haver_M!$B$1:$BZ$1,0),FALSE),"")</f>
        <v>25.77</v>
      </c>
      <c r="V12">
        <f>IF(ISNUMBER(VLOOKUP($A12,Haver_M!$B$1:$BZ$300,MATCH(data!V$1,Haver_M!$B$1:$BZ$1,0),FALSE)),VLOOKUP($A12,Haver_M!$B$1:$BZ$300,MATCH(data!V$1,Haver_M!$B$1:$BZ$1,0),FALSE),"")</f>
        <v>58.21</v>
      </c>
      <c r="W12" t="str">
        <f>IF(ISNUMBER(VLOOKUP($A12,Haver_M!$B$1:$BZ$300,MATCH(data!W$1,Haver_M!$B$1:$BZ$1,0),FALSE)),VLOOKUP($A12,Haver_M!$B$1:$BZ$300,MATCH(data!W$1,Haver_M!$B$1:$BZ$1,0),FALSE),"")</f>
        <v/>
      </c>
      <c r="X12">
        <f>IF(ISNUMBER(VLOOKUP($A12,Haver_M!$B$1:$BZ$300,MATCH(data!X$1,Haver_M!$B$1:$BZ$1,0),FALSE)),VLOOKUP($A12,Haver_M!$B$1:$BZ$300,MATCH(data!X$1,Haver_M!$B$1:$BZ$1,0),FALSE),"")</f>
        <v>25.4</v>
      </c>
      <c r="Y12">
        <f>IF(ISNUMBER(VLOOKUP($A12,Haver_M!$B$1:$BZ$300,MATCH(data!Y$1,Haver_M!$B$1:$BZ$1,0),FALSE)),VLOOKUP($A12,Haver_M!$B$1:$BZ$300,MATCH(data!Y$1,Haver_M!$B$1:$BZ$1,0),FALSE),"")</f>
        <v>49.36</v>
      </c>
      <c r="Z12" t="str">
        <f>IF(ISNUMBER(VLOOKUP($A12,Haver_M!$B$1:$BZ$300,MATCH(data!Z$1,Haver_M!$B$1:$BZ$1,0),FALSE)),VLOOKUP($A12,Haver_M!$B$1:$BZ$300,MATCH(data!Z$1,Haver_M!$B$1:$BZ$1,0),FALSE),"")</f>
        <v/>
      </c>
      <c r="AA12" t="str">
        <f>IF(ISNUMBER(VLOOKUP($A12,Haver_M!$B$1:$BZ$300,MATCH(data!AA$1,Haver_M!$B$1:$BZ$1,0),FALSE)),VLOOKUP($A12,Haver_M!$B$1:$BZ$300,MATCH(data!AA$1,Haver_M!$B$1:$BZ$1,0),FALSE),"")</f>
        <v/>
      </c>
      <c r="AB12" t="str">
        <f>IF(ISNUMBER(VLOOKUP($A12,Haver_M!$B$1:$BZ$300,MATCH(data!AB$1,Haver_M!$B$1:$BZ$1,0),FALSE)),VLOOKUP($A12,Haver_M!$B$1:$BZ$300,MATCH(data!AB$1,Haver_M!$B$1:$BZ$1,0),FALSE),"")</f>
        <v/>
      </c>
      <c r="AC12" t="str">
        <f>IF(ISNUMBER(VLOOKUP($A12,Haver_M!$B$1:$BZ$300,MATCH(data!AC$1,Haver_M!$B$1:$BZ$1,0),FALSE)),VLOOKUP($A12,Haver_M!$B$1:$BZ$300,MATCH(data!AC$1,Haver_M!$B$1:$BZ$1,0),FALSE),"")</f>
        <v/>
      </c>
      <c r="AD12" t="str">
        <f>IF(ISNUMBER(VLOOKUP($A12,Haver_M!$B$1:$BZ$300,MATCH(data!AD$1,Haver_M!$B$1:$BZ$1,0),FALSE)),VLOOKUP($A12,Haver_M!$B$1:$BZ$300,MATCH(data!AD$1,Haver_M!$B$1:$BZ$1,0),FALSE),"")</f>
        <v/>
      </c>
      <c r="AE12" t="str">
        <f>IF(ISNUMBER(VLOOKUP($A12,Haver_M!$B$1:$BZ$300,MATCH(data!AE$1,Haver_M!$B$1:$BZ$1,0),FALSE)),VLOOKUP($A12,Haver_M!$B$1:$BZ$300,MATCH(data!AE$1,Haver_M!$B$1:$BZ$1,0),FALSE),"")</f>
        <v/>
      </c>
      <c r="AF12" t="str">
        <f>IF(ISNUMBER(VLOOKUP($A12,Haver_M!$B$1:$BZ$300,MATCH(data!AF$1,Haver_M!$B$1:$BZ$1,0),FALSE)),VLOOKUP($A12,Haver_M!$B$1:$BZ$300,MATCH(data!AF$1,Haver_M!$B$1:$BZ$1,0),FALSE),"")</f>
        <v/>
      </c>
      <c r="AG12" t="str">
        <f>IF(ISNUMBER(VLOOKUP($A12,Haver_M!$B$1:$BZ$300,MATCH(data!AG$1,Haver_M!$B$1:$BZ$1,0),FALSE)),VLOOKUP($A12,Haver_M!$B$1:$BZ$300,MATCH(data!AG$1,Haver_M!$B$1:$BZ$1,0),FALSE),"")</f>
        <v/>
      </c>
      <c r="AH12" t="str">
        <f>IF(ISNUMBER(VLOOKUP($A12,Haver_M!$B$1:$BZ$300,MATCH(data!AH$1,Haver_M!$B$1:$BZ$1,0),FALSE)),VLOOKUP($A12,Haver_M!$B$1:$BZ$300,MATCH(data!AH$1,Haver_M!$B$1:$BZ$1,0),FALSE),"")</f>
        <v/>
      </c>
      <c r="AI12">
        <f>IF(ISNUMBER(VLOOKUP($A12,Haver_M!$B$1:$BZ$300,MATCH(data!AI$1,Haver_M!$B$1:$BZ$1,0),FALSE)),VLOOKUP($A12,Haver_M!$B$1:$BZ$300,MATCH(data!AI$1,Haver_M!$B$1:$BZ$1,0),FALSE),"")</f>
        <v>8274.7940848747348</v>
      </c>
      <c r="AJ12">
        <f>IF(ISNUMBER(VLOOKUP($A12,Haver_M!$B$1:$BZ$300,MATCH(data!AJ$1,Haver_M!$B$1:$BZ$1,0),FALSE)),VLOOKUP($A12,Haver_M!$B$1:$BZ$300,MATCH(data!AJ$1,Haver_M!$B$1:$BZ$1,0),FALSE),"")</f>
        <v>3789.06</v>
      </c>
      <c r="AK12">
        <f>IF(ISNUMBER(VLOOKUP($A12,Haver_M!$B$1:$BZ$300,MATCH(data!AK$1,Haver_M!$B$1:$BZ$1,0),FALSE)),VLOOKUP($A12,Haver_M!$B$1:$BZ$300,MATCH(data!AK$1,Haver_M!$B$1:$BZ$1,0),FALSE),"")</f>
        <v>4803.9799999999996</v>
      </c>
      <c r="AL12" t="str">
        <f>IF(ISNUMBER(VLOOKUP($A12,Haver_M!$B$1:$BZ$300,MATCH(data!AL$1,Haver_M!$B$1:$BZ$1,0),FALSE)),VLOOKUP($A12,Haver_M!$B$1:$BZ$300,MATCH(data!AL$1,Haver_M!$B$1:$BZ$1,0),FALSE),"")</f>
        <v/>
      </c>
      <c r="AM12" t="str">
        <f>IF(ISNUMBER(VLOOKUP($A12,Haver_M!$B$1:$BZ$300,MATCH(data!AM$1,Haver_M!$B$1:$BZ$1,0),FALSE)),VLOOKUP($A12,Haver_M!$B$1:$BZ$300,MATCH(data!AM$1,Haver_M!$B$1:$BZ$1,0),FALSE),"")</f>
        <v/>
      </c>
      <c r="AN12" t="str">
        <f>IF(ISNUMBER(VLOOKUP($A12,Haver_M!$B$1:$BZ$300,MATCH(data!AN$1,Haver_M!$B$1:$BZ$1,0),FALSE)),VLOOKUP($A12,Haver_M!$B$1:$BZ$300,MATCH(data!AN$1,Haver_M!$B$1:$BZ$1,0),FALSE),"")</f>
        <v/>
      </c>
      <c r="AO12" t="str">
        <f>IF(ISNUMBER(VLOOKUP($A12,Haver_M!$B$1:$BZ$300,MATCH(data!AO$1,Haver_M!$B$1:$BZ$1,0),FALSE)),VLOOKUP($A12,Haver_M!$B$1:$BZ$300,MATCH(data!AO$1,Haver_M!$B$1:$BZ$1,0),FALSE),"")</f>
        <v/>
      </c>
      <c r="AP12">
        <f>IF(ISNUMBER(VLOOKUP($A12,Haver_M!$B$1:$BZ$300,MATCH(data!AP$1,Haver_M!$B$1:$BZ$1,0),FALSE)),VLOOKUP($A12,Haver_M!$B$1:$BZ$300,MATCH(data!AP$1,Haver_M!$B$1:$BZ$1,0),FALSE),"")</f>
        <v>82.2922189111178</v>
      </c>
      <c r="AQ12" t="str">
        <f>IF(ISNUMBER(VLOOKUP($A12,Haver_M!$B$1:$BZ$300,MATCH(data!AQ$1,Haver_M!$B$1:$BZ$1,0),FALSE)),VLOOKUP($A12,Haver_M!$B$1:$BZ$300,MATCH(data!AQ$1,Haver_M!$B$1:$BZ$1,0),FALSE),"")</f>
        <v/>
      </c>
      <c r="AR12" t="str">
        <f>IF(ISNUMBER(VLOOKUP($A12,Haver_M!$B$1:$BZ$300,MATCH(data!AR$1,Haver_M!$B$1:$BZ$1,0),FALSE)),VLOOKUP($A12,Haver_M!$B$1:$BZ$300,MATCH(data!AR$1,Haver_M!$B$1:$BZ$1,0),FALSE),"")</f>
        <v/>
      </c>
      <c r="AS12" t="str">
        <f>IF(ISNUMBER(VLOOKUP($A12,Haver_M!$B$1:$BZ$300,MATCH(data!AS$1,Haver_M!$B$1:$BZ$1,0),FALSE)),VLOOKUP($A12,Haver_M!$B$1:$BZ$300,MATCH(data!AS$1,Haver_M!$B$1:$BZ$1,0),FALSE),"")</f>
        <v/>
      </c>
      <c r="AT12" t="str">
        <f>IF(ISNUMBER(VLOOKUP($A12,Haver_M!$B$1:$BZ$300,MATCH(data!AT$1,Haver_M!$B$1:$BZ$1,0),FALSE)),VLOOKUP($A12,Haver_M!$B$1:$BZ$300,MATCH(data!AT$1,Haver_M!$B$1:$BZ$1,0),FALSE),"")</f>
        <v/>
      </c>
      <c r="AU12" t="str">
        <f>IF(ISNUMBER(VLOOKUP($A12,Haver_M!$B$1:$BZ$300,MATCH(data!AU$1,Haver_M!$B$1:$BZ$1,0),FALSE)),VLOOKUP($A12,Haver_M!$B$1:$BZ$300,MATCH(data!AU$1,Haver_M!$B$1:$BZ$1,0),FALSE),"")</f>
        <v/>
      </c>
      <c r="AV12" t="str">
        <f>IF(ISNUMBER(VLOOKUP($A12,Haver_M!$B$1:$BZ$300,MATCH(data!AV$1,Haver_M!$B$1:$BZ$1,0),FALSE)),VLOOKUP($A12,Haver_M!$B$1:$BZ$300,MATCH(data!AV$1,Haver_M!$B$1:$BZ$1,0),FALSE),"")</f>
        <v/>
      </c>
      <c r="AW12" t="str">
        <f>IF(ISNUMBER(VLOOKUP($A12,Haver_M!$B$1:$BZ$300,MATCH(data!AW$1,Haver_M!$B$1:$BZ$1,0),FALSE)),VLOOKUP($A12,Haver_M!$B$1:$BZ$300,MATCH(data!AW$1,Haver_M!$B$1:$BZ$1,0),FALSE),"")</f>
        <v/>
      </c>
      <c r="AX12" t="str">
        <f>IF(ISNUMBER(VLOOKUP($A12,Haver_M!$B$1:$BZ$300,MATCH(data!AX$1,Haver_M!$B$1:$BZ$1,0),FALSE)),VLOOKUP($A12,Haver_M!$B$1:$BZ$300,MATCH(data!AX$1,Haver_M!$B$1:$BZ$1,0),FALSE),"")</f>
        <v/>
      </c>
      <c r="AY12" t="str">
        <f>IF(ISNUMBER(VLOOKUP($A12,Haver_M!$B$1:$BZ$300,MATCH(data!AY$1,Haver_M!$B$1:$BZ$1,0),FALSE)),VLOOKUP($A12,Haver_M!$B$1:$BZ$300,MATCH(data!AY$1,Haver_M!$B$1:$BZ$1,0),FALSE),"")</f>
        <v/>
      </c>
      <c r="AZ12" t="str">
        <f>IF(ISNUMBER(VLOOKUP($A12,Haver_M!$B$1:$BZ$300,MATCH(data!AZ$1,Haver_M!$B$1:$BZ$1,0),FALSE)),VLOOKUP($A12,Haver_M!$B$1:$BZ$300,MATCH(data!AZ$1,Haver_M!$B$1:$BZ$1,0),FALSE),"")</f>
        <v/>
      </c>
      <c r="BA12" t="str">
        <f>IF(ISNUMBER(VLOOKUP($A12,Haver_M!$B$1:$BZ$300,MATCH(data!BA$1,Haver_M!$B$1:$BZ$1,0),FALSE)),VLOOKUP($A12,Haver_M!$B$1:$BZ$300,MATCH(data!BA$1,Haver_M!$B$1:$BZ$1,0),FALSE),"")</f>
        <v/>
      </c>
      <c r="BB12" t="str">
        <f>IF(ISNUMBER(VLOOKUP($A12,Haver_M!$B$1:$BZ$300,MATCH(data!BB$1,Haver_M!$B$1:$BZ$1,0),FALSE)),VLOOKUP($A12,Haver_M!$B$1:$BZ$300,MATCH(data!BB$1,Haver_M!$B$1:$BZ$1,0),FALSE),"")</f>
        <v/>
      </c>
      <c r="BC12" t="str">
        <f>IF(ISNUMBER(VLOOKUP($A12,Haver_M!$B$1:$BZ$300,MATCH(data!BC$1,Haver_M!$B$1:$BZ$1,0),FALSE)),VLOOKUP($A12,Haver_M!$B$1:$BZ$300,MATCH(data!BC$1,Haver_M!$B$1:$BZ$1,0),FALSE),"")</f>
        <v/>
      </c>
      <c r="BD12" t="str">
        <f>IF(ISNUMBER(VLOOKUP($A12,Haver_M!$B$1:$BZ$300,MATCH(data!BD$1,Haver_M!$B$1:$BZ$1,0),FALSE)),VLOOKUP($A12,Haver_M!$B$1:$BZ$300,MATCH(data!BD$1,Haver_M!$B$1:$BZ$1,0),FALSE),"")</f>
        <v/>
      </c>
      <c r="BE12" t="str">
        <f>IF(ISNUMBER(VLOOKUP($A12,Haver_M!$B$1:$BZ$300,MATCH(data!BE$1,Haver_M!$B$1:$BZ$1,0),FALSE)),VLOOKUP($A12,Haver_M!$B$1:$BZ$300,MATCH(data!BE$1,Haver_M!$B$1:$BZ$1,0),FALSE),"")</f>
        <v/>
      </c>
      <c r="BF12" t="str">
        <f>IF(ISNUMBER(VLOOKUP($A12,Haver_M!$B$1:$BZ$300,MATCH(data!BF$1,Haver_M!$B$1:$BZ$1,0),FALSE)),VLOOKUP($A12,Haver_M!$B$1:$BZ$300,MATCH(data!BF$1,Haver_M!$B$1:$BZ$1,0),FALSE),"")</f>
        <v/>
      </c>
      <c r="BG12" t="str">
        <f>IF(ISNUMBER(VLOOKUP($A12,Haver_M!$B$1:$BZ$300,MATCH(data!BG$1,Haver_M!$B$1:$BZ$1,0),FALSE)),VLOOKUP($A12,Haver_M!$B$1:$BZ$300,MATCH(data!BG$1,Haver_M!$B$1:$BZ$1,0),FALSE),"")</f>
        <v/>
      </c>
      <c r="BH12" t="str">
        <f>IF(ISNUMBER(VLOOKUP($A12,Haver_M!$B$1:$BZ$300,MATCH(data!BH$1,Haver_M!$B$1:$BZ$1,0),FALSE)),VLOOKUP($A12,Haver_M!$B$1:$BZ$300,MATCH(data!BH$1,Haver_M!$B$1:$BZ$1,0),FALSE),"")</f>
        <v/>
      </c>
      <c r="BI12" t="str">
        <f>IF(ISNUMBER(VLOOKUP($A12,Haver_M!$B$1:$BZ$300,MATCH(data!BI$1,Haver_M!$B$1:$BZ$1,0),FALSE)),VLOOKUP($A12,Haver_M!$B$1:$BZ$300,MATCH(data!BI$1,Haver_M!$B$1:$BZ$1,0),FALSE),"")</f>
        <v/>
      </c>
      <c r="BJ12" t="str">
        <f>IF(ISNUMBER(VLOOKUP($A12,Haver_M!$B$1:$BZ$300,MATCH(data!BJ$1,Haver_M!$B$1:$BZ$1,0),FALSE)),VLOOKUP($A12,Haver_M!$B$1:$BZ$300,MATCH(data!BJ$1,Haver_M!$B$1:$BZ$1,0),FALSE),"")</f>
        <v/>
      </c>
      <c r="BK12" t="str">
        <f>IF(ISNUMBER(VLOOKUP($A12,Haver_M!$B$1:$BZ$300,MATCH(data!BK$1,Haver_M!$B$1:$BZ$1,0),FALSE)),VLOOKUP($A12,Haver_M!$B$1:$BZ$300,MATCH(data!BK$1,Haver_M!$B$1:$BZ$1,0),FALSE),"")</f>
        <v/>
      </c>
      <c r="BL12">
        <f>IF(ISNUMBER(VLOOKUP($A12,Haver_M!$B$1:$BZ$300,MATCH(data!BL$1,Haver_M!$B$1:$BZ$1,0),FALSE)),VLOOKUP($A12,Haver_M!$B$1:$BZ$300,MATCH(data!BL$1,Haver_M!$B$1:$BZ$1,0),FALSE),"")</f>
        <v>3928.1</v>
      </c>
      <c r="BM12">
        <f>IF(ISNUMBER(VLOOKUP($A12,Haver_M!$B$1:$BZ$300,MATCH(data!BM$1,Haver_M!$B$1:$BZ$1,0),FALSE)),VLOOKUP($A12,Haver_M!$B$1:$BZ$300,MATCH(data!BM$1,Haver_M!$B$1:$BZ$1,0),FALSE),"")</f>
        <v>110.53002087</v>
      </c>
      <c r="BN12" t="str">
        <f>IF(ISNUMBER(VLOOKUP($A12,Haver_M!$B$1:$BZ$300,MATCH(data!BN$1,Haver_M!$B$1:$BZ$1,0),FALSE)),VLOOKUP($A12,Haver_M!$B$1:$BZ$300,MATCH(data!BN$1,Haver_M!$B$1:$BZ$1,0),FALSE),"")</f>
        <v/>
      </c>
      <c r="BO12" t="str">
        <f>IF(ISNUMBER(VLOOKUP($A12,Haver_M!$B$1:$BZ$300,MATCH(data!BO$1,Haver_M!$B$1:$BZ$1,0),FALSE)),VLOOKUP($A12,Haver_M!$B$1:$BZ$300,MATCH(data!BO$1,Haver_M!$B$1:$BZ$1,0),FALSE),"")</f>
        <v/>
      </c>
      <c r="BP12" t="str">
        <f>IF(ISNUMBER(VLOOKUP($A12,Haver_M!$B$1:$BZ$300,MATCH(data!BP$1,Haver_M!$B$1:$BZ$1,0),FALSE)),VLOOKUP($A12,Haver_M!$B$1:$BZ$300,MATCH(data!BP$1,Haver_M!$B$1:$BZ$1,0),FALSE),"")</f>
        <v/>
      </c>
      <c r="BQ12" t="str">
        <f>IF(ISNUMBER(VLOOKUP($A12,Haver_M!$B$1:$BZ$300,MATCH(data!BQ$1,Haver_M!$B$1:$BZ$1,0),FALSE)),VLOOKUP($A12,Haver_M!$B$1:$BZ$300,MATCH(data!BQ$1,Haver_M!$B$1:$BZ$1,0),FALSE),"")</f>
        <v/>
      </c>
      <c r="BR12" t="str">
        <f>IF(ISNUMBER(VLOOKUP($A12,Haver_M!$B$1:$BZ$300,MATCH(data!BR$1,Haver_M!$B$1:$BZ$1,0),FALSE)),VLOOKUP($A12,Haver_M!$B$1:$BZ$300,MATCH(data!BR$1,Haver_M!$B$1:$BZ$1,0),FALSE),"")</f>
        <v/>
      </c>
      <c r="BS12" t="str">
        <f>IF(ISNUMBER(VLOOKUP($A12,Haver_M!$B$1:$BZ$300,MATCH(data!BS$1,Haver_M!$B$1:$BZ$1,0),FALSE)),VLOOKUP($A12,Haver_M!$B$1:$BZ$300,MATCH(data!BS$1,Haver_M!$B$1:$BZ$1,0),FALSE),"")</f>
        <v/>
      </c>
      <c r="BT12" t="str">
        <f>IF(ISNUMBER(VLOOKUP($A12,Haver_M!$B$1:$BZ$300,MATCH(data!BT$1,Haver_M!$B$1:$BZ$1,0),FALSE)),VLOOKUP($A12,Haver_M!$B$1:$BZ$300,MATCH(data!BT$1,Haver_M!$B$1:$BZ$1,0),FALSE),"")</f>
        <v/>
      </c>
      <c r="BU12">
        <f>IF(ISNUMBER(VLOOKUP($A12,Haver_M!$B$1:$BZ$300,MATCH(data!BU$1,Haver_M!$B$1:$BZ$1,0),FALSE)),VLOOKUP($A12,Haver_M!$B$1:$BZ$300,MATCH(data!BU$1,Haver_M!$B$1:$BZ$1,0),FALSE),"")</f>
        <v>3604</v>
      </c>
      <c r="BV12">
        <f>IF(ISNUMBER(VLOOKUP($A12,Haver_M!$B$1:$BZ$300,MATCH(data!BV$1,Haver_M!$B$1:$BZ$1,0),FALSE)),VLOOKUP($A12,Haver_M!$B$1:$BZ$300,MATCH(data!BV$1,Haver_M!$B$1:$BZ$1,0),FALSE),"")</f>
        <v>4698</v>
      </c>
      <c r="BW12">
        <f>IF(ISNUMBER(VLOOKUP($A12,Haver_M!$B$1:$BZ$300,MATCH(data!BW$1,Haver_M!$B$1:$BZ$1,0),FALSE)),VLOOKUP($A12,Haver_M!$B$1:$BZ$300,MATCH(data!BW$1,Haver_M!$B$1:$BZ$1,0),FALSE),"")</f>
        <v>46.7789</v>
      </c>
      <c r="BX12">
        <f>IF(ISNUMBER(VLOOKUP($A12,Haver_M!$B$1:$BZ$300,MATCH(data!BX$1,Haver_M!$B$1:$BZ$1,0),FALSE)),VLOOKUP($A12,Haver_M!$B$1:$BZ$300,MATCH(data!BX$1,Haver_M!$B$1:$BZ$1,0),FALSE),"")</f>
        <v>45510</v>
      </c>
    </row>
    <row r="13" spans="1:76" x14ac:dyDescent="0.25">
      <c r="A13" s="2">
        <v>36891</v>
      </c>
      <c r="B13">
        <f>IF(ISNUMBER(VLOOKUP($A13,Haver_Q!$B$1:$L$185,MATCH(data!B$1,Haver_Q!$B$1:$L$1,0),FALSE)),100*(VLOOKUP($A13,Haver_Q!$B$1:$L$185,MATCH(data!B$1,Haver_Q!$B$1:$L$1,0),FALSE)),"")</f>
        <v>1.3722709861282434</v>
      </c>
      <c r="C13">
        <f>IF(ISNUMBER(VLOOKUP($A13,Haver_Q!$B$1:$L$185,MATCH(data!C$1,Haver_Q!$B$1:$L$1,0),FALSE)),100*(VLOOKUP($A13,Haver_Q!$B$1:$L$185,MATCH(data!C$1,Haver_Q!$B$1:$L$1,0),FALSE)),"")</f>
        <v>13.472019528434043</v>
      </c>
      <c r="D13">
        <f>IF(ISNUMBER(VLOOKUP($A13,Haver_Q!$B$1:$L$185,MATCH(data!D$1,Haver_Q!$B$1:$L$1,0),FALSE)),100*(VLOOKUP($A13,Haver_Q!$B$1:$L$185,MATCH(data!D$1,Haver_Q!$B$1:$L$1,0),FALSE)),"")</f>
        <v>-7.8961033979237367</v>
      </c>
      <c r="E13">
        <f>IF(ISNUMBER(VLOOKUP($A13,Haver_Q!$B$1:$L$185,MATCH(data!E$1,Haver_Q!$B$1:$L$1,0),FALSE)),100*(VLOOKUP($A13,Haver_Q!$B$1:$L$185,MATCH(data!E$1,Haver_Q!$B$1:$L$1,0),FALSE)),"")</f>
        <v>-6.3345715881475861</v>
      </c>
      <c r="F13">
        <f>IF(ISNUMBER(VLOOKUP($A13,Haver_Q!$B$1:$L$185,MATCH(data!F$1,Haver_Q!$B$1:$L$1,0),FALSE)),100*(VLOOKUP($A13,Haver_Q!$B$1:$L$185,MATCH(data!F$1,Haver_Q!$B$1:$L$1,0),FALSE)),"")</f>
        <v>49.90080659396925</v>
      </c>
      <c r="G13">
        <f>IF(ISNUMBER(VLOOKUP($A13,Haver_Q!$B$1:$L$185,MATCH(data!G$1,Haver_Q!$B$1:$L$1,0),FALSE)),100*(VLOOKUP($A13,Haver_Q!$B$1:$L$185,MATCH(data!G$1,Haver_Q!$B$1:$L$1,0),FALSE)),"")</f>
        <v>17.153646125351884</v>
      </c>
      <c r="H13">
        <f>IF(ISNUMBER(VLOOKUP($A13,Haver_Q!$B$1:$L$185,MATCH(data!H$1,Haver_Q!$B$1:$L$1,0),FALSE)),(VLOOKUP($A13,Haver_Q!$B$1:$L$185,MATCH(data!H$1,Haver_Q!$B$1:$L$1,0),FALSE)),"")</f>
        <v>2.8316189682368607</v>
      </c>
      <c r="I13">
        <f>IF(ISNUMBER(VLOOKUP($A13,Haver_Q!$B$1:$L$185,MATCH(data!I$1,Haver_Q!$B$1:$L$1,0),FALSE)),100*(VLOOKUP($A13,Haver_Q!$B$1:$L$185,MATCH(data!I$1,Haver_Q!$B$1:$L$1,0),FALSE)),"")</f>
        <v>3.8146345563484951</v>
      </c>
      <c r="J13" s="3">
        <f>IF(ISNUMBER(Bloomberg_m!C29),Bloomberg_m!C29,"")</f>
        <v>1609</v>
      </c>
      <c r="K13" s="3" t="str">
        <f>IF(ISNUMBER(Bloomberg_m!D29),Bloomberg_m!D29,"")</f>
        <v/>
      </c>
      <c r="L13" s="3" t="str">
        <f>IF(ISNUMBER(Bloomberg_m!E29),Bloomberg_m!E29,"")</f>
        <v/>
      </c>
      <c r="M13" s="3" t="str">
        <f>IF(ISNUMBER(Bloomberg_m!F29),Bloomberg_m!F29,"")</f>
        <v/>
      </c>
      <c r="N13" t="str">
        <f>IF(ISNUMBER(VLOOKUP($A13,Haver_M!$B$1:$BZ$300,MATCH(data!N$1,Haver_M!$B$1:$BZ$1,0),FALSE)),VLOOKUP($A13,Haver_M!$B$1:$BZ$300,MATCH(data!N$1,Haver_M!$B$1:$BZ$1,0),FALSE),"")</f>
        <v/>
      </c>
      <c r="O13">
        <f>IF(ISNUMBER(VLOOKUP($A13,Haver_M!$B$1:$BZ$300,MATCH(data!O$1,Haver_M!$B$1:$BZ$1,0),FALSE)),VLOOKUP($A13,Haver_M!$B$1:$BZ$300,MATCH(data!O$1,Haver_M!$B$1:$BZ$1,0),FALSE),"")</f>
        <v>10.9359</v>
      </c>
      <c r="P13">
        <f>IF(ISNUMBER(VLOOKUP($A13,Haver_M!$B$1:$BZ$300,MATCH(data!P$1,Haver_M!$B$1:$BZ$1,0),FALSE)),VLOOKUP($A13,Haver_M!$B$1:$BZ$300,MATCH(data!P$1,Haver_M!$B$1:$BZ$1,0),FALSE),"")</f>
        <v>94.827089999999998</v>
      </c>
      <c r="Q13" t="str">
        <f>IF(ISNUMBER(VLOOKUP($A13,Haver_M!$B$1:$BZ$300,MATCH(data!Q$1,Haver_M!$B$1:$BZ$1,0),FALSE)),VLOOKUP($A13,Haver_M!$B$1:$BZ$300,MATCH(data!Q$1,Haver_M!$B$1:$BZ$1,0),FALSE),"")</f>
        <v/>
      </c>
      <c r="R13" t="str">
        <f>IF(ISNUMBER(VLOOKUP($A13,Haver_M!$B$1:$BZ$300,MATCH(data!R$1,Haver_M!$B$1:$BZ$1,0),FALSE)),VLOOKUP($A13,Haver_M!$B$1:$BZ$300,MATCH(data!R$1,Haver_M!$B$1:$BZ$1,0),FALSE),"")</f>
        <v/>
      </c>
      <c r="S13">
        <f>IF(ISNUMBER(VLOOKUP($A13,Haver_M!$B$1:$BZ$300,MATCH(data!S$1,Haver_M!$B$1:$BZ$1,0),FALSE)),VLOOKUP($A13,Haver_M!$B$1:$BZ$300,MATCH(data!S$1,Haver_M!$B$1:$BZ$1,0),FALSE),"")</f>
        <v>46.79</v>
      </c>
      <c r="T13">
        <f>IF(ISNUMBER(VLOOKUP($A13,Haver_M!$B$1:$BZ$300,MATCH(data!T$1,Haver_M!$B$1:$BZ$1,0),FALSE)),VLOOKUP($A13,Haver_M!$B$1:$BZ$300,MATCH(data!T$1,Haver_M!$B$1:$BZ$1,0),FALSE),"")</f>
        <v>55.42</v>
      </c>
      <c r="U13">
        <f>IF(ISNUMBER(VLOOKUP($A13,Haver_M!$B$1:$BZ$300,MATCH(data!U$1,Haver_M!$B$1:$BZ$1,0),FALSE)),VLOOKUP($A13,Haver_M!$B$1:$BZ$300,MATCH(data!U$1,Haver_M!$B$1:$BZ$1,0),FALSE),"")</f>
        <v>27.4</v>
      </c>
      <c r="V13">
        <f>IF(ISNUMBER(VLOOKUP($A13,Haver_M!$B$1:$BZ$300,MATCH(data!V$1,Haver_M!$B$1:$BZ$1,0),FALSE)),VLOOKUP($A13,Haver_M!$B$1:$BZ$300,MATCH(data!V$1,Haver_M!$B$1:$BZ$1,0),FALSE),"")</f>
        <v>58.53</v>
      </c>
      <c r="W13" t="str">
        <f>IF(ISNUMBER(VLOOKUP($A13,Haver_M!$B$1:$BZ$300,MATCH(data!W$1,Haver_M!$B$1:$BZ$1,0),FALSE)),VLOOKUP($A13,Haver_M!$B$1:$BZ$300,MATCH(data!W$1,Haver_M!$B$1:$BZ$1,0),FALSE),"")</f>
        <v/>
      </c>
      <c r="X13">
        <f>IF(ISNUMBER(VLOOKUP($A13,Haver_M!$B$1:$BZ$300,MATCH(data!X$1,Haver_M!$B$1:$BZ$1,0),FALSE)),VLOOKUP($A13,Haver_M!$B$1:$BZ$300,MATCH(data!X$1,Haver_M!$B$1:$BZ$1,0),FALSE),"")</f>
        <v>25.59</v>
      </c>
      <c r="Y13">
        <f>IF(ISNUMBER(VLOOKUP($A13,Haver_M!$B$1:$BZ$300,MATCH(data!Y$1,Haver_M!$B$1:$BZ$1,0),FALSE)),VLOOKUP($A13,Haver_M!$B$1:$BZ$300,MATCH(data!Y$1,Haver_M!$B$1:$BZ$1,0),FALSE),"")</f>
        <v>47.9</v>
      </c>
      <c r="Z13" t="str">
        <f>IF(ISNUMBER(VLOOKUP($A13,Haver_M!$B$1:$BZ$300,MATCH(data!Z$1,Haver_M!$B$1:$BZ$1,0),FALSE)),VLOOKUP($A13,Haver_M!$B$1:$BZ$300,MATCH(data!Z$1,Haver_M!$B$1:$BZ$1,0),FALSE),"")</f>
        <v/>
      </c>
      <c r="AA13" t="str">
        <f>IF(ISNUMBER(VLOOKUP($A13,Haver_M!$B$1:$BZ$300,MATCH(data!AA$1,Haver_M!$B$1:$BZ$1,0),FALSE)),VLOOKUP($A13,Haver_M!$B$1:$BZ$300,MATCH(data!AA$1,Haver_M!$B$1:$BZ$1,0),FALSE),"")</f>
        <v/>
      </c>
      <c r="AB13" t="str">
        <f>IF(ISNUMBER(VLOOKUP($A13,Haver_M!$B$1:$BZ$300,MATCH(data!AB$1,Haver_M!$B$1:$BZ$1,0),FALSE)),VLOOKUP($A13,Haver_M!$B$1:$BZ$300,MATCH(data!AB$1,Haver_M!$B$1:$BZ$1,0),FALSE),"")</f>
        <v/>
      </c>
      <c r="AC13" t="str">
        <f>IF(ISNUMBER(VLOOKUP($A13,Haver_M!$B$1:$BZ$300,MATCH(data!AC$1,Haver_M!$B$1:$BZ$1,0),FALSE)),VLOOKUP($A13,Haver_M!$B$1:$BZ$300,MATCH(data!AC$1,Haver_M!$B$1:$BZ$1,0),FALSE),"")</f>
        <v/>
      </c>
      <c r="AD13" t="str">
        <f>IF(ISNUMBER(VLOOKUP($A13,Haver_M!$B$1:$BZ$300,MATCH(data!AD$1,Haver_M!$B$1:$BZ$1,0),FALSE)),VLOOKUP($A13,Haver_M!$B$1:$BZ$300,MATCH(data!AD$1,Haver_M!$B$1:$BZ$1,0),FALSE),"")</f>
        <v/>
      </c>
      <c r="AE13" t="str">
        <f>IF(ISNUMBER(VLOOKUP($A13,Haver_M!$B$1:$BZ$300,MATCH(data!AE$1,Haver_M!$B$1:$BZ$1,0),FALSE)),VLOOKUP($A13,Haver_M!$B$1:$BZ$300,MATCH(data!AE$1,Haver_M!$B$1:$BZ$1,0),FALSE),"")</f>
        <v/>
      </c>
      <c r="AF13" t="str">
        <f>IF(ISNUMBER(VLOOKUP($A13,Haver_M!$B$1:$BZ$300,MATCH(data!AF$1,Haver_M!$B$1:$BZ$1,0),FALSE)),VLOOKUP($A13,Haver_M!$B$1:$BZ$300,MATCH(data!AF$1,Haver_M!$B$1:$BZ$1,0),FALSE),"")</f>
        <v/>
      </c>
      <c r="AG13" t="str">
        <f>IF(ISNUMBER(VLOOKUP($A13,Haver_M!$B$1:$BZ$300,MATCH(data!AG$1,Haver_M!$B$1:$BZ$1,0),FALSE)),VLOOKUP($A13,Haver_M!$B$1:$BZ$300,MATCH(data!AG$1,Haver_M!$B$1:$BZ$1,0),FALSE),"")</f>
        <v/>
      </c>
      <c r="AH13" t="str">
        <f>IF(ISNUMBER(VLOOKUP($A13,Haver_M!$B$1:$BZ$300,MATCH(data!AH$1,Haver_M!$B$1:$BZ$1,0),FALSE)),VLOOKUP($A13,Haver_M!$B$1:$BZ$300,MATCH(data!AH$1,Haver_M!$B$1:$BZ$1,0),FALSE),"")</f>
        <v/>
      </c>
      <c r="AI13">
        <f>IF(ISNUMBER(VLOOKUP($A13,Haver_M!$B$1:$BZ$300,MATCH(data!AI$1,Haver_M!$B$1:$BZ$1,0),FALSE)),VLOOKUP($A13,Haver_M!$B$1:$BZ$300,MATCH(data!AI$1,Haver_M!$B$1:$BZ$1,0),FALSE),"")</f>
        <v>8162.7802033476892</v>
      </c>
      <c r="AJ13">
        <f>IF(ISNUMBER(VLOOKUP($A13,Haver_M!$B$1:$BZ$300,MATCH(data!AJ$1,Haver_M!$B$1:$BZ$1,0),FALSE)),VLOOKUP($A13,Haver_M!$B$1:$BZ$300,MATCH(data!AJ$1,Haver_M!$B$1:$BZ$1,0),FALSE),"")</f>
        <v>3819.91</v>
      </c>
      <c r="AK13">
        <f>IF(ISNUMBER(VLOOKUP($A13,Haver_M!$B$1:$BZ$300,MATCH(data!AK$1,Haver_M!$B$1:$BZ$1,0),FALSE)),VLOOKUP($A13,Haver_M!$B$1:$BZ$300,MATCH(data!AK$1,Haver_M!$B$1:$BZ$1,0),FALSE),"")</f>
        <v>3973.33</v>
      </c>
      <c r="AL13" t="str">
        <f>IF(ISNUMBER(VLOOKUP($A13,Haver_M!$B$1:$BZ$300,MATCH(data!AL$1,Haver_M!$B$1:$BZ$1,0),FALSE)),VLOOKUP($A13,Haver_M!$B$1:$BZ$300,MATCH(data!AL$1,Haver_M!$B$1:$BZ$1,0),FALSE),"")</f>
        <v/>
      </c>
      <c r="AM13" t="str">
        <f>IF(ISNUMBER(VLOOKUP($A13,Haver_M!$B$1:$BZ$300,MATCH(data!AM$1,Haver_M!$B$1:$BZ$1,0),FALSE)),VLOOKUP($A13,Haver_M!$B$1:$BZ$300,MATCH(data!AM$1,Haver_M!$B$1:$BZ$1,0),FALSE),"")</f>
        <v/>
      </c>
      <c r="AN13" t="str">
        <f>IF(ISNUMBER(VLOOKUP($A13,Haver_M!$B$1:$BZ$300,MATCH(data!AN$1,Haver_M!$B$1:$BZ$1,0),FALSE)),VLOOKUP($A13,Haver_M!$B$1:$BZ$300,MATCH(data!AN$1,Haver_M!$B$1:$BZ$1,0),FALSE),"")</f>
        <v/>
      </c>
      <c r="AO13" t="str">
        <f>IF(ISNUMBER(VLOOKUP($A13,Haver_M!$B$1:$BZ$300,MATCH(data!AO$1,Haver_M!$B$1:$BZ$1,0),FALSE)),VLOOKUP($A13,Haver_M!$B$1:$BZ$300,MATCH(data!AO$1,Haver_M!$B$1:$BZ$1,0),FALSE),"")</f>
        <v/>
      </c>
      <c r="AP13">
        <f>IF(ISNUMBER(VLOOKUP($A13,Haver_M!$B$1:$BZ$300,MATCH(data!AP$1,Haver_M!$B$1:$BZ$1,0),FALSE)),VLOOKUP($A13,Haver_M!$B$1:$BZ$300,MATCH(data!AP$1,Haver_M!$B$1:$BZ$1,0),FALSE),"")</f>
        <v>107.32323401624454</v>
      </c>
      <c r="AQ13" t="str">
        <f>IF(ISNUMBER(VLOOKUP($A13,Haver_M!$B$1:$BZ$300,MATCH(data!AQ$1,Haver_M!$B$1:$BZ$1,0),FALSE)),VLOOKUP($A13,Haver_M!$B$1:$BZ$300,MATCH(data!AQ$1,Haver_M!$B$1:$BZ$1,0),FALSE),"")</f>
        <v/>
      </c>
      <c r="AR13" t="str">
        <f>IF(ISNUMBER(VLOOKUP($A13,Haver_M!$B$1:$BZ$300,MATCH(data!AR$1,Haver_M!$B$1:$BZ$1,0),FALSE)),VLOOKUP($A13,Haver_M!$B$1:$BZ$300,MATCH(data!AR$1,Haver_M!$B$1:$BZ$1,0),FALSE),"")</f>
        <v/>
      </c>
      <c r="AS13" t="str">
        <f>IF(ISNUMBER(VLOOKUP($A13,Haver_M!$B$1:$BZ$300,MATCH(data!AS$1,Haver_M!$B$1:$BZ$1,0),FALSE)),VLOOKUP($A13,Haver_M!$B$1:$BZ$300,MATCH(data!AS$1,Haver_M!$B$1:$BZ$1,0),FALSE),"")</f>
        <v/>
      </c>
      <c r="AT13" t="str">
        <f>IF(ISNUMBER(VLOOKUP($A13,Haver_M!$B$1:$BZ$300,MATCH(data!AT$1,Haver_M!$B$1:$BZ$1,0),FALSE)),VLOOKUP($A13,Haver_M!$B$1:$BZ$300,MATCH(data!AT$1,Haver_M!$B$1:$BZ$1,0),FALSE),"")</f>
        <v/>
      </c>
      <c r="AU13" t="str">
        <f>IF(ISNUMBER(VLOOKUP($A13,Haver_M!$B$1:$BZ$300,MATCH(data!AU$1,Haver_M!$B$1:$BZ$1,0),FALSE)),VLOOKUP($A13,Haver_M!$B$1:$BZ$300,MATCH(data!AU$1,Haver_M!$B$1:$BZ$1,0),FALSE),"")</f>
        <v/>
      </c>
      <c r="AV13" t="str">
        <f>IF(ISNUMBER(VLOOKUP($A13,Haver_M!$B$1:$BZ$300,MATCH(data!AV$1,Haver_M!$B$1:$BZ$1,0),FALSE)),VLOOKUP($A13,Haver_M!$B$1:$BZ$300,MATCH(data!AV$1,Haver_M!$B$1:$BZ$1,0),FALSE),"")</f>
        <v/>
      </c>
      <c r="AW13" t="str">
        <f>IF(ISNUMBER(VLOOKUP($A13,Haver_M!$B$1:$BZ$300,MATCH(data!AW$1,Haver_M!$B$1:$BZ$1,0),FALSE)),VLOOKUP($A13,Haver_M!$B$1:$BZ$300,MATCH(data!AW$1,Haver_M!$B$1:$BZ$1,0),FALSE),"")</f>
        <v/>
      </c>
      <c r="AX13" t="str">
        <f>IF(ISNUMBER(VLOOKUP($A13,Haver_M!$B$1:$BZ$300,MATCH(data!AX$1,Haver_M!$B$1:$BZ$1,0),FALSE)),VLOOKUP($A13,Haver_M!$B$1:$BZ$300,MATCH(data!AX$1,Haver_M!$B$1:$BZ$1,0),FALSE),"")</f>
        <v/>
      </c>
      <c r="AY13" t="str">
        <f>IF(ISNUMBER(VLOOKUP($A13,Haver_M!$B$1:$BZ$300,MATCH(data!AY$1,Haver_M!$B$1:$BZ$1,0),FALSE)),VLOOKUP($A13,Haver_M!$B$1:$BZ$300,MATCH(data!AY$1,Haver_M!$B$1:$BZ$1,0),FALSE),"")</f>
        <v/>
      </c>
      <c r="AZ13" t="str">
        <f>IF(ISNUMBER(VLOOKUP($A13,Haver_M!$B$1:$BZ$300,MATCH(data!AZ$1,Haver_M!$B$1:$BZ$1,0),FALSE)),VLOOKUP($A13,Haver_M!$B$1:$BZ$300,MATCH(data!AZ$1,Haver_M!$B$1:$BZ$1,0),FALSE),"")</f>
        <v/>
      </c>
      <c r="BA13" t="str">
        <f>IF(ISNUMBER(VLOOKUP($A13,Haver_M!$B$1:$BZ$300,MATCH(data!BA$1,Haver_M!$B$1:$BZ$1,0),FALSE)),VLOOKUP($A13,Haver_M!$B$1:$BZ$300,MATCH(data!BA$1,Haver_M!$B$1:$BZ$1,0),FALSE),"")</f>
        <v/>
      </c>
      <c r="BB13" t="str">
        <f>IF(ISNUMBER(VLOOKUP($A13,Haver_M!$B$1:$BZ$300,MATCH(data!BB$1,Haver_M!$B$1:$BZ$1,0),FALSE)),VLOOKUP($A13,Haver_M!$B$1:$BZ$300,MATCH(data!BB$1,Haver_M!$B$1:$BZ$1,0),FALSE),"")</f>
        <v/>
      </c>
      <c r="BC13" t="str">
        <f>IF(ISNUMBER(VLOOKUP($A13,Haver_M!$B$1:$BZ$300,MATCH(data!BC$1,Haver_M!$B$1:$BZ$1,0),FALSE)),VLOOKUP($A13,Haver_M!$B$1:$BZ$300,MATCH(data!BC$1,Haver_M!$B$1:$BZ$1,0),FALSE),"")</f>
        <v/>
      </c>
      <c r="BD13" t="str">
        <f>IF(ISNUMBER(VLOOKUP($A13,Haver_M!$B$1:$BZ$300,MATCH(data!BD$1,Haver_M!$B$1:$BZ$1,0),FALSE)),VLOOKUP($A13,Haver_M!$B$1:$BZ$300,MATCH(data!BD$1,Haver_M!$B$1:$BZ$1,0),FALSE),"")</f>
        <v/>
      </c>
      <c r="BE13" t="str">
        <f>IF(ISNUMBER(VLOOKUP($A13,Haver_M!$B$1:$BZ$300,MATCH(data!BE$1,Haver_M!$B$1:$BZ$1,0),FALSE)),VLOOKUP($A13,Haver_M!$B$1:$BZ$300,MATCH(data!BE$1,Haver_M!$B$1:$BZ$1,0),FALSE),"")</f>
        <v/>
      </c>
      <c r="BF13" t="str">
        <f>IF(ISNUMBER(VLOOKUP($A13,Haver_M!$B$1:$BZ$300,MATCH(data!BF$1,Haver_M!$B$1:$BZ$1,0),FALSE)),VLOOKUP($A13,Haver_M!$B$1:$BZ$300,MATCH(data!BF$1,Haver_M!$B$1:$BZ$1,0),FALSE),"")</f>
        <v/>
      </c>
      <c r="BG13" t="str">
        <f>IF(ISNUMBER(VLOOKUP($A13,Haver_M!$B$1:$BZ$300,MATCH(data!BG$1,Haver_M!$B$1:$BZ$1,0),FALSE)),VLOOKUP($A13,Haver_M!$B$1:$BZ$300,MATCH(data!BG$1,Haver_M!$B$1:$BZ$1,0),FALSE),"")</f>
        <v/>
      </c>
      <c r="BH13" t="str">
        <f>IF(ISNUMBER(VLOOKUP($A13,Haver_M!$B$1:$BZ$300,MATCH(data!BH$1,Haver_M!$B$1:$BZ$1,0),FALSE)),VLOOKUP($A13,Haver_M!$B$1:$BZ$300,MATCH(data!BH$1,Haver_M!$B$1:$BZ$1,0),FALSE),"")</f>
        <v/>
      </c>
      <c r="BI13" t="str">
        <f>IF(ISNUMBER(VLOOKUP($A13,Haver_M!$B$1:$BZ$300,MATCH(data!BI$1,Haver_M!$B$1:$BZ$1,0),FALSE)),VLOOKUP($A13,Haver_M!$B$1:$BZ$300,MATCH(data!BI$1,Haver_M!$B$1:$BZ$1,0),FALSE),"")</f>
        <v/>
      </c>
      <c r="BJ13" t="str">
        <f>IF(ISNUMBER(VLOOKUP($A13,Haver_M!$B$1:$BZ$300,MATCH(data!BJ$1,Haver_M!$B$1:$BZ$1,0),FALSE)),VLOOKUP($A13,Haver_M!$B$1:$BZ$300,MATCH(data!BJ$1,Haver_M!$B$1:$BZ$1,0),FALSE),"")</f>
        <v/>
      </c>
      <c r="BK13" t="str">
        <f>IF(ISNUMBER(VLOOKUP($A13,Haver_M!$B$1:$BZ$300,MATCH(data!BK$1,Haver_M!$B$1:$BZ$1,0),FALSE)),VLOOKUP($A13,Haver_M!$B$1:$BZ$300,MATCH(data!BK$1,Haver_M!$B$1:$BZ$1,0),FALSE),"")</f>
        <v/>
      </c>
      <c r="BL13">
        <f>IF(ISNUMBER(VLOOKUP($A13,Haver_M!$B$1:$BZ$300,MATCH(data!BL$1,Haver_M!$B$1:$BZ$1,0),FALSE)),VLOOKUP($A13,Haver_M!$B$1:$BZ$300,MATCH(data!BL$1,Haver_M!$B$1:$BZ$1,0),FALSE),"")</f>
        <v>4081.42</v>
      </c>
      <c r="BM13">
        <f>IF(ISNUMBER(VLOOKUP($A13,Haver_M!$B$1:$BZ$300,MATCH(data!BM$1,Haver_M!$B$1:$BZ$1,0),FALSE)),VLOOKUP($A13,Haver_M!$B$1:$BZ$300,MATCH(data!BM$1,Haver_M!$B$1:$BZ$1,0),FALSE),"")</f>
        <v>109.86881237</v>
      </c>
      <c r="BN13">
        <f>IF(ISNUMBER(VLOOKUP($A13,Haver_M!$B$1:$BZ$300,MATCH(data!BN$1,Haver_M!$B$1:$BZ$1,0),FALSE)),VLOOKUP($A13,Haver_M!$B$1:$BZ$300,MATCH(data!BN$1,Haver_M!$B$1:$BZ$1,0),FALSE),"")</f>
        <v>113.9</v>
      </c>
      <c r="BO13">
        <f>IF(ISNUMBER(VLOOKUP($A13,Haver_M!$B$1:$BZ$300,MATCH(data!BO$1,Haver_M!$B$1:$BZ$1,0),FALSE)),VLOOKUP($A13,Haver_M!$B$1:$BZ$300,MATCH(data!BO$1,Haver_M!$B$1:$BZ$1,0),FALSE),"")</f>
        <v>124.4</v>
      </c>
      <c r="BP13">
        <f>IF(ISNUMBER(VLOOKUP($A13,Haver_M!$B$1:$BZ$300,MATCH(data!BP$1,Haver_M!$B$1:$BZ$1,0),FALSE)),VLOOKUP($A13,Haver_M!$B$1:$BZ$300,MATCH(data!BP$1,Haver_M!$B$1:$BZ$1,0),FALSE),"")</f>
        <v>51.7</v>
      </c>
      <c r="BQ13" t="str">
        <f>IF(ISNUMBER(VLOOKUP($A13,Haver_M!$B$1:$BZ$300,MATCH(data!BQ$1,Haver_M!$B$1:$BZ$1,0),FALSE)),VLOOKUP($A13,Haver_M!$B$1:$BZ$300,MATCH(data!BQ$1,Haver_M!$B$1:$BZ$1,0),FALSE),"")</f>
        <v/>
      </c>
      <c r="BR13" t="str">
        <f>IF(ISNUMBER(VLOOKUP($A13,Haver_M!$B$1:$BZ$300,MATCH(data!BR$1,Haver_M!$B$1:$BZ$1,0),FALSE)),VLOOKUP($A13,Haver_M!$B$1:$BZ$300,MATCH(data!BR$1,Haver_M!$B$1:$BZ$1,0),FALSE),"")</f>
        <v/>
      </c>
      <c r="BS13" t="str">
        <f>IF(ISNUMBER(VLOOKUP($A13,Haver_M!$B$1:$BZ$300,MATCH(data!BS$1,Haver_M!$B$1:$BZ$1,0),FALSE)),VLOOKUP($A13,Haver_M!$B$1:$BZ$300,MATCH(data!BS$1,Haver_M!$B$1:$BZ$1,0),FALSE),"")</f>
        <v/>
      </c>
      <c r="BT13" t="str">
        <f>IF(ISNUMBER(VLOOKUP($A13,Haver_M!$B$1:$BZ$300,MATCH(data!BT$1,Haver_M!$B$1:$BZ$1,0),FALSE)),VLOOKUP($A13,Haver_M!$B$1:$BZ$300,MATCH(data!BT$1,Haver_M!$B$1:$BZ$1,0),FALSE),"")</f>
        <v/>
      </c>
      <c r="BU13">
        <f>IF(ISNUMBER(VLOOKUP($A13,Haver_M!$B$1:$BZ$300,MATCH(data!BU$1,Haver_M!$B$1:$BZ$1,0),FALSE)),VLOOKUP($A13,Haver_M!$B$1:$BZ$300,MATCH(data!BU$1,Haver_M!$B$1:$BZ$1,0),FALSE),"")</f>
        <v>3657</v>
      </c>
      <c r="BV13">
        <f>IF(ISNUMBER(VLOOKUP($A13,Haver_M!$B$1:$BZ$300,MATCH(data!BV$1,Haver_M!$B$1:$BZ$1,0),FALSE)),VLOOKUP($A13,Haver_M!$B$1:$BZ$300,MATCH(data!BV$1,Haver_M!$B$1:$BZ$1,0),FALSE),"")</f>
        <v>3976</v>
      </c>
      <c r="BW13">
        <f>IF(ISNUMBER(VLOOKUP($A13,Haver_M!$B$1:$BZ$300,MATCH(data!BW$1,Haver_M!$B$1:$BZ$1,0),FALSE)),VLOOKUP($A13,Haver_M!$B$1:$BZ$300,MATCH(data!BW$1,Haver_M!$B$1:$BZ$1,0),FALSE),"")</f>
        <v>46.749600000000001</v>
      </c>
      <c r="BX13">
        <f>IF(ISNUMBER(VLOOKUP($A13,Haver_M!$B$1:$BZ$300,MATCH(data!BX$1,Haver_M!$B$1:$BZ$1,0),FALSE)),VLOOKUP($A13,Haver_M!$B$1:$BZ$300,MATCH(data!BX$1,Haver_M!$B$1:$BZ$1,0),FALSE),"")</f>
        <v>45768</v>
      </c>
    </row>
    <row r="14" spans="1:76" x14ac:dyDescent="0.25">
      <c r="A14" s="2">
        <v>36922</v>
      </c>
      <c r="B14" t="str">
        <f>IF(ISNUMBER(VLOOKUP($A14,Haver_Q!$B$1:$L$185,MATCH(data!B$1,Haver_Q!$B$1:$L$1,0),FALSE)),100*(VLOOKUP($A14,Haver_Q!$B$1:$L$185,MATCH(data!B$1,Haver_Q!$B$1:$L$1,0),FALSE)),"")</f>
        <v/>
      </c>
      <c r="C14" t="str">
        <f>IF(ISNUMBER(VLOOKUP($A14,Haver_Q!$B$1:$L$185,MATCH(data!C$1,Haver_Q!$B$1:$L$1,0),FALSE)),100*(VLOOKUP($A14,Haver_Q!$B$1:$L$185,MATCH(data!C$1,Haver_Q!$B$1:$L$1,0),FALSE)),"")</f>
        <v/>
      </c>
      <c r="D14" t="str">
        <f>IF(ISNUMBER(VLOOKUP($A14,Haver_Q!$B$1:$L$185,MATCH(data!D$1,Haver_Q!$B$1:$L$1,0),FALSE)),100*(VLOOKUP($A14,Haver_Q!$B$1:$L$185,MATCH(data!D$1,Haver_Q!$B$1:$L$1,0),FALSE)),"")</f>
        <v/>
      </c>
      <c r="E14" t="str">
        <f>IF(ISNUMBER(VLOOKUP($A14,Haver_Q!$B$1:$L$185,MATCH(data!E$1,Haver_Q!$B$1:$L$1,0),FALSE)),100*(VLOOKUP($A14,Haver_Q!$B$1:$L$185,MATCH(data!E$1,Haver_Q!$B$1:$L$1,0),FALSE)),"")</f>
        <v/>
      </c>
      <c r="F14" t="str">
        <f>IF(ISNUMBER(VLOOKUP($A14,Haver_Q!$B$1:$L$185,MATCH(data!F$1,Haver_Q!$B$1:$L$1,0),FALSE)),100*(VLOOKUP($A14,Haver_Q!$B$1:$L$185,MATCH(data!F$1,Haver_Q!$B$1:$L$1,0),FALSE)),"")</f>
        <v/>
      </c>
      <c r="G14" t="str">
        <f>IF(ISNUMBER(VLOOKUP($A14,Haver_Q!$B$1:$L$185,MATCH(data!G$1,Haver_Q!$B$1:$L$1,0),FALSE)),100*(VLOOKUP($A14,Haver_Q!$B$1:$L$185,MATCH(data!G$1,Haver_Q!$B$1:$L$1,0),FALSE)),"")</f>
        <v/>
      </c>
      <c r="H14" t="str">
        <f>IF(ISNUMBER(VLOOKUP($A14,Haver_Q!$B$1:$L$185,MATCH(data!H$1,Haver_Q!$B$1:$L$1,0),FALSE)),(VLOOKUP($A14,Haver_Q!$B$1:$L$185,MATCH(data!H$1,Haver_Q!$B$1:$L$1,0),FALSE)),"")</f>
        <v/>
      </c>
      <c r="I14" t="str">
        <f>IF(ISNUMBER(VLOOKUP($A14,Haver_Q!$B$1:$L$185,MATCH(data!I$1,Haver_Q!$B$1:$L$1,0),FALSE)),100*(VLOOKUP($A14,Haver_Q!$B$1:$L$185,MATCH(data!I$1,Haver_Q!$B$1:$L$1,0),FALSE)),"")</f>
        <v/>
      </c>
      <c r="J14" s="3">
        <f>IF(ISNUMBER(Bloomberg_m!C30),Bloomberg_m!C30,"")</f>
        <v>1566</v>
      </c>
      <c r="K14" s="3" t="str">
        <f>IF(ISNUMBER(Bloomberg_m!D30),Bloomberg_m!D30,"")</f>
        <v/>
      </c>
      <c r="L14" s="3" t="str">
        <f>IF(ISNUMBER(Bloomberg_m!E30),Bloomberg_m!E30,"")</f>
        <v/>
      </c>
      <c r="M14" s="3" t="str">
        <f>IF(ISNUMBER(Bloomberg_m!F30),Bloomberg_m!F30,"")</f>
        <v/>
      </c>
      <c r="N14" t="str">
        <f>IF(ISNUMBER(VLOOKUP($A14,Haver_M!$B$1:$BZ$300,MATCH(data!N$1,Haver_M!$B$1:$BZ$1,0),FALSE)),VLOOKUP($A14,Haver_M!$B$1:$BZ$300,MATCH(data!N$1,Haver_M!$B$1:$BZ$1,0),FALSE),"")</f>
        <v/>
      </c>
      <c r="O14">
        <f>IF(ISNUMBER(VLOOKUP($A14,Haver_M!$B$1:$BZ$300,MATCH(data!O$1,Haver_M!$B$1:$BZ$1,0),FALSE)),VLOOKUP($A14,Haver_M!$B$1:$BZ$300,MATCH(data!O$1,Haver_M!$B$1:$BZ$1,0),FALSE),"")</f>
        <v>10.4842</v>
      </c>
      <c r="P14">
        <f>IF(ISNUMBER(VLOOKUP($A14,Haver_M!$B$1:$BZ$300,MATCH(data!P$1,Haver_M!$B$1:$BZ$1,0),FALSE)),VLOOKUP($A14,Haver_M!$B$1:$BZ$300,MATCH(data!P$1,Haver_M!$B$1:$BZ$1,0),FALSE),"")</f>
        <v>93.977010000000007</v>
      </c>
      <c r="Q14">
        <f>IF(ISNUMBER(VLOOKUP($A14,Haver_M!$B$1:$BZ$300,MATCH(data!Q$1,Haver_M!$B$1:$BZ$1,0),FALSE)),VLOOKUP($A14,Haver_M!$B$1:$BZ$300,MATCH(data!Q$1,Haver_M!$B$1:$BZ$1,0),FALSE),"")</f>
        <v>46.9</v>
      </c>
      <c r="R14" t="str">
        <f>IF(ISNUMBER(VLOOKUP($A14,Haver_M!$B$1:$BZ$300,MATCH(data!R$1,Haver_M!$B$1:$BZ$1,0),FALSE)),VLOOKUP($A14,Haver_M!$B$1:$BZ$300,MATCH(data!R$1,Haver_M!$B$1:$BZ$1,0),FALSE),"")</f>
        <v/>
      </c>
      <c r="S14">
        <f>IF(ISNUMBER(VLOOKUP($A14,Haver_M!$B$1:$BZ$300,MATCH(data!S$1,Haver_M!$B$1:$BZ$1,0),FALSE)),VLOOKUP($A14,Haver_M!$B$1:$BZ$300,MATCH(data!S$1,Haver_M!$B$1:$BZ$1,0),FALSE),"")</f>
        <v>46.37</v>
      </c>
      <c r="T14">
        <f>IF(ISNUMBER(VLOOKUP($A14,Haver_M!$B$1:$BZ$300,MATCH(data!T$1,Haver_M!$B$1:$BZ$1,0),FALSE)),VLOOKUP($A14,Haver_M!$B$1:$BZ$300,MATCH(data!T$1,Haver_M!$B$1:$BZ$1,0),FALSE),"")</f>
        <v>54.93</v>
      </c>
      <c r="U14">
        <f>IF(ISNUMBER(VLOOKUP($A14,Haver_M!$B$1:$BZ$300,MATCH(data!U$1,Haver_M!$B$1:$BZ$1,0),FALSE)),VLOOKUP($A14,Haver_M!$B$1:$BZ$300,MATCH(data!U$1,Haver_M!$B$1:$BZ$1,0),FALSE),"")</f>
        <v>26.45</v>
      </c>
      <c r="V14">
        <f>IF(ISNUMBER(VLOOKUP($A14,Haver_M!$B$1:$BZ$300,MATCH(data!V$1,Haver_M!$B$1:$BZ$1,0),FALSE)),VLOOKUP($A14,Haver_M!$B$1:$BZ$300,MATCH(data!V$1,Haver_M!$B$1:$BZ$1,0),FALSE),"")</f>
        <v>57.89</v>
      </c>
      <c r="W14" t="str">
        <f>IF(ISNUMBER(VLOOKUP($A14,Haver_M!$B$1:$BZ$300,MATCH(data!W$1,Haver_M!$B$1:$BZ$1,0),FALSE)),VLOOKUP($A14,Haver_M!$B$1:$BZ$300,MATCH(data!W$1,Haver_M!$B$1:$BZ$1,0),FALSE),"")</f>
        <v/>
      </c>
      <c r="X14">
        <f>IF(ISNUMBER(VLOOKUP($A14,Haver_M!$B$1:$BZ$300,MATCH(data!X$1,Haver_M!$B$1:$BZ$1,0),FALSE)),VLOOKUP($A14,Haver_M!$B$1:$BZ$300,MATCH(data!X$1,Haver_M!$B$1:$BZ$1,0),FALSE),"")</f>
        <v>24.5</v>
      </c>
      <c r="Y14">
        <f>IF(ISNUMBER(VLOOKUP($A14,Haver_M!$B$1:$BZ$300,MATCH(data!Y$1,Haver_M!$B$1:$BZ$1,0),FALSE)),VLOOKUP($A14,Haver_M!$B$1:$BZ$300,MATCH(data!Y$1,Haver_M!$B$1:$BZ$1,0),FALSE),"")</f>
        <v>49.62</v>
      </c>
      <c r="Z14" t="str">
        <f>IF(ISNUMBER(VLOOKUP($A14,Haver_M!$B$1:$BZ$300,MATCH(data!Z$1,Haver_M!$B$1:$BZ$1,0),FALSE)),VLOOKUP($A14,Haver_M!$B$1:$BZ$300,MATCH(data!Z$1,Haver_M!$B$1:$BZ$1,0),FALSE),"")</f>
        <v/>
      </c>
      <c r="AA14" t="str">
        <f>IF(ISNUMBER(VLOOKUP($A14,Haver_M!$B$1:$BZ$300,MATCH(data!AA$1,Haver_M!$B$1:$BZ$1,0),FALSE)),VLOOKUP($A14,Haver_M!$B$1:$BZ$300,MATCH(data!AA$1,Haver_M!$B$1:$BZ$1,0),FALSE),"")</f>
        <v/>
      </c>
      <c r="AB14" t="str">
        <f>IF(ISNUMBER(VLOOKUP($A14,Haver_M!$B$1:$BZ$300,MATCH(data!AB$1,Haver_M!$B$1:$BZ$1,0),FALSE)),VLOOKUP($A14,Haver_M!$B$1:$BZ$300,MATCH(data!AB$1,Haver_M!$B$1:$BZ$1,0),FALSE),"")</f>
        <v/>
      </c>
      <c r="AC14" t="str">
        <f>IF(ISNUMBER(VLOOKUP($A14,Haver_M!$B$1:$BZ$300,MATCH(data!AC$1,Haver_M!$B$1:$BZ$1,0),FALSE)),VLOOKUP($A14,Haver_M!$B$1:$BZ$300,MATCH(data!AC$1,Haver_M!$B$1:$BZ$1,0),FALSE),"")</f>
        <v/>
      </c>
      <c r="AD14" t="str">
        <f>IF(ISNUMBER(VLOOKUP($A14,Haver_M!$B$1:$BZ$300,MATCH(data!AD$1,Haver_M!$B$1:$BZ$1,0),FALSE)),VLOOKUP($A14,Haver_M!$B$1:$BZ$300,MATCH(data!AD$1,Haver_M!$B$1:$BZ$1,0),FALSE),"")</f>
        <v/>
      </c>
      <c r="AE14" t="str">
        <f>IF(ISNUMBER(VLOOKUP($A14,Haver_M!$B$1:$BZ$300,MATCH(data!AE$1,Haver_M!$B$1:$BZ$1,0),FALSE)),VLOOKUP($A14,Haver_M!$B$1:$BZ$300,MATCH(data!AE$1,Haver_M!$B$1:$BZ$1,0),FALSE),"")</f>
        <v/>
      </c>
      <c r="AF14" t="str">
        <f>IF(ISNUMBER(VLOOKUP($A14,Haver_M!$B$1:$BZ$300,MATCH(data!AF$1,Haver_M!$B$1:$BZ$1,0),FALSE)),VLOOKUP($A14,Haver_M!$B$1:$BZ$300,MATCH(data!AF$1,Haver_M!$B$1:$BZ$1,0),FALSE),"")</f>
        <v/>
      </c>
      <c r="AG14" t="str">
        <f>IF(ISNUMBER(VLOOKUP($A14,Haver_M!$B$1:$BZ$300,MATCH(data!AG$1,Haver_M!$B$1:$BZ$1,0),FALSE)),VLOOKUP($A14,Haver_M!$B$1:$BZ$300,MATCH(data!AG$1,Haver_M!$B$1:$BZ$1,0),FALSE),"")</f>
        <v/>
      </c>
      <c r="AH14" t="str">
        <f>IF(ISNUMBER(VLOOKUP($A14,Haver_M!$B$1:$BZ$300,MATCH(data!AH$1,Haver_M!$B$1:$BZ$1,0),FALSE)),VLOOKUP($A14,Haver_M!$B$1:$BZ$300,MATCH(data!AH$1,Haver_M!$B$1:$BZ$1,0),FALSE),"")</f>
        <v/>
      </c>
      <c r="AI14">
        <f>IF(ISNUMBER(VLOOKUP($A14,Haver_M!$B$1:$BZ$300,MATCH(data!AI$1,Haver_M!$B$1:$BZ$1,0),FALSE)),VLOOKUP($A14,Haver_M!$B$1:$BZ$300,MATCH(data!AI$1,Haver_M!$B$1:$BZ$1,0),FALSE),"")</f>
        <v>8410.2442627237779</v>
      </c>
      <c r="AJ14">
        <f>IF(ISNUMBER(VLOOKUP($A14,Haver_M!$B$1:$BZ$300,MATCH(data!AJ$1,Haver_M!$B$1:$BZ$1,0),FALSE)),VLOOKUP($A14,Haver_M!$B$1:$BZ$300,MATCH(data!AJ$1,Haver_M!$B$1:$BZ$1,0),FALSE),"")</f>
        <v>3649.92</v>
      </c>
      <c r="AK14">
        <f>IF(ISNUMBER(VLOOKUP($A14,Haver_M!$B$1:$BZ$300,MATCH(data!AK$1,Haver_M!$B$1:$BZ$1,0),FALSE)),VLOOKUP($A14,Haver_M!$B$1:$BZ$300,MATCH(data!AK$1,Haver_M!$B$1:$BZ$1,0),FALSE),"")</f>
        <v>3994.9</v>
      </c>
      <c r="AL14" t="str">
        <f>IF(ISNUMBER(VLOOKUP($A14,Haver_M!$B$1:$BZ$300,MATCH(data!AL$1,Haver_M!$B$1:$BZ$1,0),FALSE)),VLOOKUP($A14,Haver_M!$B$1:$BZ$300,MATCH(data!AL$1,Haver_M!$B$1:$BZ$1,0),FALSE),"")</f>
        <v/>
      </c>
      <c r="AM14" t="str">
        <f>IF(ISNUMBER(VLOOKUP($A14,Haver_M!$B$1:$BZ$300,MATCH(data!AM$1,Haver_M!$B$1:$BZ$1,0),FALSE)),VLOOKUP($A14,Haver_M!$B$1:$BZ$300,MATCH(data!AM$1,Haver_M!$B$1:$BZ$1,0),FALSE),"")</f>
        <v/>
      </c>
      <c r="AN14" t="str">
        <f>IF(ISNUMBER(VLOOKUP($A14,Haver_M!$B$1:$BZ$300,MATCH(data!AN$1,Haver_M!$B$1:$BZ$1,0),FALSE)),VLOOKUP($A14,Haver_M!$B$1:$BZ$300,MATCH(data!AN$1,Haver_M!$B$1:$BZ$1,0),FALSE),"")</f>
        <v/>
      </c>
      <c r="AO14" t="str">
        <f>IF(ISNUMBER(VLOOKUP($A14,Haver_M!$B$1:$BZ$300,MATCH(data!AO$1,Haver_M!$B$1:$BZ$1,0),FALSE)),VLOOKUP($A14,Haver_M!$B$1:$BZ$300,MATCH(data!AO$1,Haver_M!$B$1:$BZ$1,0),FALSE),"")</f>
        <v/>
      </c>
      <c r="AP14">
        <f>IF(ISNUMBER(VLOOKUP($A14,Haver_M!$B$1:$BZ$300,MATCH(data!AP$1,Haver_M!$B$1:$BZ$1,0),FALSE)),VLOOKUP($A14,Haver_M!$B$1:$BZ$300,MATCH(data!AP$1,Haver_M!$B$1:$BZ$1,0),FALSE),"")</f>
        <v>103.76458228686947</v>
      </c>
      <c r="AQ14" t="str">
        <f>IF(ISNUMBER(VLOOKUP($A14,Haver_M!$B$1:$BZ$300,MATCH(data!AQ$1,Haver_M!$B$1:$BZ$1,0),FALSE)),VLOOKUP($A14,Haver_M!$B$1:$BZ$300,MATCH(data!AQ$1,Haver_M!$B$1:$BZ$1,0),FALSE),"")</f>
        <v/>
      </c>
      <c r="AR14" t="str">
        <f>IF(ISNUMBER(VLOOKUP($A14,Haver_M!$B$1:$BZ$300,MATCH(data!AR$1,Haver_M!$B$1:$BZ$1,0),FALSE)),VLOOKUP($A14,Haver_M!$B$1:$BZ$300,MATCH(data!AR$1,Haver_M!$B$1:$BZ$1,0),FALSE),"")</f>
        <v/>
      </c>
      <c r="AS14" t="str">
        <f>IF(ISNUMBER(VLOOKUP($A14,Haver_M!$B$1:$BZ$300,MATCH(data!AS$1,Haver_M!$B$1:$BZ$1,0),FALSE)),VLOOKUP($A14,Haver_M!$B$1:$BZ$300,MATCH(data!AS$1,Haver_M!$B$1:$BZ$1,0),FALSE),"")</f>
        <v/>
      </c>
      <c r="AT14" t="str">
        <f>IF(ISNUMBER(VLOOKUP($A14,Haver_M!$B$1:$BZ$300,MATCH(data!AT$1,Haver_M!$B$1:$BZ$1,0),FALSE)),VLOOKUP($A14,Haver_M!$B$1:$BZ$300,MATCH(data!AT$1,Haver_M!$B$1:$BZ$1,0),FALSE),"")</f>
        <v/>
      </c>
      <c r="AU14" t="str">
        <f>IF(ISNUMBER(VLOOKUP($A14,Haver_M!$B$1:$BZ$300,MATCH(data!AU$1,Haver_M!$B$1:$BZ$1,0),FALSE)),VLOOKUP($A14,Haver_M!$B$1:$BZ$300,MATCH(data!AU$1,Haver_M!$B$1:$BZ$1,0),FALSE),"")</f>
        <v/>
      </c>
      <c r="AV14" t="str">
        <f>IF(ISNUMBER(VLOOKUP($A14,Haver_M!$B$1:$BZ$300,MATCH(data!AV$1,Haver_M!$B$1:$BZ$1,0),FALSE)),VLOOKUP($A14,Haver_M!$B$1:$BZ$300,MATCH(data!AV$1,Haver_M!$B$1:$BZ$1,0),FALSE),"")</f>
        <v/>
      </c>
      <c r="AW14" t="str">
        <f>IF(ISNUMBER(VLOOKUP($A14,Haver_M!$B$1:$BZ$300,MATCH(data!AW$1,Haver_M!$B$1:$BZ$1,0),FALSE)),VLOOKUP($A14,Haver_M!$B$1:$BZ$300,MATCH(data!AW$1,Haver_M!$B$1:$BZ$1,0),FALSE),"")</f>
        <v/>
      </c>
      <c r="AX14" t="str">
        <f>IF(ISNUMBER(VLOOKUP($A14,Haver_M!$B$1:$BZ$300,MATCH(data!AX$1,Haver_M!$B$1:$BZ$1,0),FALSE)),VLOOKUP($A14,Haver_M!$B$1:$BZ$300,MATCH(data!AX$1,Haver_M!$B$1:$BZ$1,0),FALSE),"")</f>
        <v/>
      </c>
      <c r="AY14" t="str">
        <f>IF(ISNUMBER(VLOOKUP($A14,Haver_M!$B$1:$BZ$300,MATCH(data!AY$1,Haver_M!$B$1:$BZ$1,0),FALSE)),VLOOKUP($A14,Haver_M!$B$1:$BZ$300,MATCH(data!AY$1,Haver_M!$B$1:$BZ$1,0),FALSE),"")</f>
        <v/>
      </c>
      <c r="AZ14" t="str">
        <f>IF(ISNUMBER(VLOOKUP($A14,Haver_M!$B$1:$BZ$300,MATCH(data!AZ$1,Haver_M!$B$1:$BZ$1,0),FALSE)),VLOOKUP($A14,Haver_M!$B$1:$BZ$300,MATCH(data!AZ$1,Haver_M!$B$1:$BZ$1,0),FALSE),"")</f>
        <v/>
      </c>
      <c r="BA14" t="str">
        <f>IF(ISNUMBER(VLOOKUP($A14,Haver_M!$B$1:$BZ$300,MATCH(data!BA$1,Haver_M!$B$1:$BZ$1,0),FALSE)),VLOOKUP($A14,Haver_M!$B$1:$BZ$300,MATCH(data!BA$1,Haver_M!$B$1:$BZ$1,0),FALSE),"")</f>
        <v/>
      </c>
      <c r="BB14" t="str">
        <f>IF(ISNUMBER(VLOOKUP($A14,Haver_M!$B$1:$BZ$300,MATCH(data!BB$1,Haver_M!$B$1:$BZ$1,0),FALSE)),VLOOKUP($A14,Haver_M!$B$1:$BZ$300,MATCH(data!BB$1,Haver_M!$B$1:$BZ$1,0),FALSE),"")</f>
        <v/>
      </c>
      <c r="BC14" t="str">
        <f>IF(ISNUMBER(VLOOKUP($A14,Haver_M!$B$1:$BZ$300,MATCH(data!BC$1,Haver_M!$B$1:$BZ$1,0),FALSE)),VLOOKUP($A14,Haver_M!$B$1:$BZ$300,MATCH(data!BC$1,Haver_M!$B$1:$BZ$1,0),FALSE),"")</f>
        <v/>
      </c>
      <c r="BD14" t="str">
        <f>IF(ISNUMBER(VLOOKUP($A14,Haver_M!$B$1:$BZ$300,MATCH(data!BD$1,Haver_M!$B$1:$BZ$1,0),FALSE)),VLOOKUP($A14,Haver_M!$B$1:$BZ$300,MATCH(data!BD$1,Haver_M!$B$1:$BZ$1,0),FALSE),"")</f>
        <v/>
      </c>
      <c r="BE14" t="str">
        <f>IF(ISNUMBER(VLOOKUP($A14,Haver_M!$B$1:$BZ$300,MATCH(data!BE$1,Haver_M!$B$1:$BZ$1,0),FALSE)),VLOOKUP($A14,Haver_M!$B$1:$BZ$300,MATCH(data!BE$1,Haver_M!$B$1:$BZ$1,0),FALSE),"")</f>
        <v/>
      </c>
      <c r="BF14" t="str">
        <f>IF(ISNUMBER(VLOOKUP($A14,Haver_M!$B$1:$BZ$300,MATCH(data!BF$1,Haver_M!$B$1:$BZ$1,0),FALSE)),VLOOKUP($A14,Haver_M!$B$1:$BZ$300,MATCH(data!BF$1,Haver_M!$B$1:$BZ$1,0),FALSE),"")</f>
        <v/>
      </c>
      <c r="BG14" t="str">
        <f>IF(ISNUMBER(VLOOKUP($A14,Haver_M!$B$1:$BZ$300,MATCH(data!BG$1,Haver_M!$B$1:$BZ$1,0),FALSE)),VLOOKUP($A14,Haver_M!$B$1:$BZ$300,MATCH(data!BG$1,Haver_M!$B$1:$BZ$1,0),FALSE),"")</f>
        <v/>
      </c>
      <c r="BH14" t="str">
        <f>IF(ISNUMBER(VLOOKUP($A14,Haver_M!$B$1:$BZ$300,MATCH(data!BH$1,Haver_M!$B$1:$BZ$1,0),FALSE)),VLOOKUP($A14,Haver_M!$B$1:$BZ$300,MATCH(data!BH$1,Haver_M!$B$1:$BZ$1,0),FALSE),"")</f>
        <v/>
      </c>
      <c r="BI14" t="str">
        <f>IF(ISNUMBER(VLOOKUP($A14,Haver_M!$B$1:$BZ$300,MATCH(data!BI$1,Haver_M!$B$1:$BZ$1,0),FALSE)),VLOOKUP($A14,Haver_M!$B$1:$BZ$300,MATCH(data!BI$1,Haver_M!$B$1:$BZ$1,0),FALSE),"")</f>
        <v/>
      </c>
      <c r="BJ14" t="str">
        <f>IF(ISNUMBER(VLOOKUP($A14,Haver_M!$B$1:$BZ$300,MATCH(data!BJ$1,Haver_M!$B$1:$BZ$1,0),FALSE)),VLOOKUP($A14,Haver_M!$B$1:$BZ$300,MATCH(data!BJ$1,Haver_M!$B$1:$BZ$1,0),FALSE),"")</f>
        <v/>
      </c>
      <c r="BK14" t="str">
        <f>IF(ISNUMBER(VLOOKUP($A14,Haver_M!$B$1:$BZ$300,MATCH(data!BK$1,Haver_M!$B$1:$BZ$1,0),FALSE)),VLOOKUP($A14,Haver_M!$B$1:$BZ$300,MATCH(data!BK$1,Haver_M!$B$1:$BZ$1,0),FALSE),"")</f>
        <v/>
      </c>
      <c r="BL14">
        <f>IF(ISNUMBER(VLOOKUP($A14,Haver_M!$B$1:$BZ$300,MATCH(data!BL$1,Haver_M!$B$1:$BZ$1,0),FALSE)),VLOOKUP($A14,Haver_M!$B$1:$BZ$300,MATCH(data!BL$1,Haver_M!$B$1:$BZ$1,0),FALSE),"")</f>
        <v>4152.3900000000003</v>
      </c>
      <c r="BM14">
        <f>IF(ISNUMBER(VLOOKUP($A14,Haver_M!$B$1:$BZ$300,MATCH(data!BM$1,Haver_M!$B$1:$BZ$1,0),FALSE)),VLOOKUP($A14,Haver_M!$B$1:$BZ$300,MATCH(data!BM$1,Haver_M!$B$1:$BZ$1,0),FALSE),"")</f>
        <v>109.07672835</v>
      </c>
      <c r="BN14" t="str">
        <f>IF(ISNUMBER(VLOOKUP($A14,Haver_M!$B$1:$BZ$300,MATCH(data!BN$1,Haver_M!$B$1:$BZ$1,0),FALSE)),VLOOKUP($A14,Haver_M!$B$1:$BZ$300,MATCH(data!BN$1,Haver_M!$B$1:$BZ$1,0),FALSE),"")</f>
        <v/>
      </c>
      <c r="BO14" t="str">
        <f>IF(ISNUMBER(VLOOKUP($A14,Haver_M!$B$1:$BZ$300,MATCH(data!BO$1,Haver_M!$B$1:$BZ$1,0),FALSE)),VLOOKUP($A14,Haver_M!$B$1:$BZ$300,MATCH(data!BO$1,Haver_M!$B$1:$BZ$1,0),FALSE),"")</f>
        <v/>
      </c>
      <c r="BP14" t="str">
        <f>IF(ISNUMBER(VLOOKUP($A14,Haver_M!$B$1:$BZ$300,MATCH(data!BP$1,Haver_M!$B$1:$BZ$1,0),FALSE)),VLOOKUP($A14,Haver_M!$B$1:$BZ$300,MATCH(data!BP$1,Haver_M!$B$1:$BZ$1,0),FALSE),"")</f>
        <v/>
      </c>
      <c r="BQ14" t="str">
        <f>IF(ISNUMBER(VLOOKUP($A14,Haver_M!$B$1:$BZ$300,MATCH(data!BQ$1,Haver_M!$B$1:$BZ$1,0),FALSE)),VLOOKUP($A14,Haver_M!$B$1:$BZ$300,MATCH(data!BQ$1,Haver_M!$B$1:$BZ$1,0),FALSE),"")</f>
        <v/>
      </c>
      <c r="BR14" t="str">
        <f>IF(ISNUMBER(VLOOKUP($A14,Haver_M!$B$1:$BZ$300,MATCH(data!BR$1,Haver_M!$B$1:$BZ$1,0),FALSE)),VLOOKUP($A14,Haver_M!$B$1:$BZ$300,MATCH(data!BR$1,Haver_M!$B$1:$BZ$1,0),FALSE),"")</f>
        <v/>
      </c>
      <c r="BS14" t="str">
        <f>IF(ISNUMBER(VLOOKUP($A14,Haver_M!$B$1:$BZ$300,MATCH(data!BS$1,Haver_M!$B$1:$BZ$1,0),FALSE)),VLOOKUP($A14,Haver_M!$B$1:$BZ$300,MATCH(data!BS$1,Haver_M!$B$1:$BZ$1,0),FALSE),"")</f>
        <v/>
      </c>
      <c r="BT14" t="str">
        <f>IF(ISNUMBER(VLOOKUP($A14,Haver_M!$B$1:$BZ$300,MATCH(data!BT$1,Haver_M!$B$1:$BZ$1,0),FALSE)),VLOOKUP($A14,Haver_M!$B$1:$BZ$300,MATCH(data!BT$1,Haver_M!$B$1:$BZ$1,0),FALSE),"")</f>
        <v/>
      </c>
      <c r="BU14">
        <f>IF(ISNUMBER(VLOOKUP($A14,Haver_M!$B$1:$BZ$300,MATCH(data!BU$1,Haver_M!$B$1:$BZ$1,0),FALSE)),VLOOKUP($A14,Haver_M!$B$1:$BZ$300,MATCH(data!BU$1,Haver_M!$B$1:$BZ$1,0),FALSE),"")</f>
        <v>3666</v>
      </c>
      <c r="BV14">
        <f>IF(ISNUMBER(VLOOKUP($A14,Haver_M!$B$1:$BZ$300,MATCH(data!BV$1,Haver_M!$B$1:$BZ$1,0),FALSE)),VLOOKUP($A14,Haver_M!$B$1:$BZ$300,MATCH(data!BV$1,Haver_M!$B$1:$BZ$1,0),FALSE),"")</f>
        <v>4007</v>
      </c>
      <c r="BW14">
        <f>IF(ISNUMBER(VLOOKUP($A14,Haver_M!$B$1:$BZ$300,MATCH(data!BW$1,Haver_M!$B$1:$BZ$1,0),FALSE)),VLOOKUP($A14,Haver_M!$B$1:$BZ$300,MATCH(data!BW$1,Haver_M!$B$1:$BZ$1,0),FALSE),"")</f>
        <v>46.543900000000001</v>
      </c>
      <c r="BX14">
        <f>IF(ISNUMBER(VLOOKUP($A14,Haver_M!$B$1:$BZ$300,MATCH(data!BX$1,Haver_M!$B$1:$BZ$1,0),FALSE)),VLOOKUP($A14,Haver_M!$B$1:$BZ$300,MATCH(data!BX$1,Haver_M!$B$1:$BZ$1,0),FALSE),"")</f>
        <v>46558</v>
      </c>
    </row>
    <row r="15" spans="1:76" x14ac:dyDescent="0.25">
      <c r="A15" s="2">
        <v>36950</v>
      </c>
      <c r="B15" t="str">
        <f>IF(ISNUMBER(VLOOKUP($A15,Haver_Q!$B$1:$L$185,MATCH(data!B$1,Haver_Q!$B$1:$L$1,0),FALSE)),100*(VLOOKUP($A15,Haver_Q!$B$1:$L$185,MATCH(data!B$1,Haver_Q!$B$1:$L$1,0),FALSE)),"")</f>
        <v/>
      </c>
      <c r="C15" t="str">
        <f>IF(ISNUMBER(VLOOKUP($A15,Haver_Q!$B$1:$L$185,MATCH(data!C$1,Haver_Q!$B$1:$L$1,0),FALSE)),100*(VLOOKUP($A15,Haver_Q!$B$1:$L$185,MATCH(data!C$1,Haver_Q!$B$1:$L$1,0),FALSE)),"")</f>
        <v/>
      </c>
      <c r="D15" t="str">
        <f>IF(ISNUMBER(VLOOKUP($A15,Haver_Q!$B$1:$L$185,MATCH(data!D$1,Haver_Q!$B$1:$L$1,0),FALSE)),100*(VLOOKUP($A15,Haver_Q!$B$1:$L$185,MATCH(data!D$1,Haver_Q!$B$1:$L$1,0),FALSE)),"")</f>
        <v/>
      </c>
      <c r="E15" t="str">
        <f>IF(ISNUMBER(VLOOKUP($A15,Haver_Q!$B$1:$L$185,MATCH(data!E$1,Haver_Q!$B$1:$L$1,0),FALSE)),100*(VLOOKUP($A15,Haver_Q!$B$1:$L$185,MATCH(data!E$1,Haver_Q!$B$1:$L$1,0),FALSE)),"")</f>
        <v/>
      </c>
      <c r="F15" t="str">
        <f>IF(ISNUMBER(VLOOKUP($A15,Haver_Q!$B$1:$L$185,MATCH(data!F$1,Haver_Q!$B$1:$L$1,0),FALSE)),100*(VLOOKUP($A15,Haver_Q!$B$1:$L$185,MATCH(data!F$1,Haver_Q!$B$1:$L$1,0),FALSE)),"")</f>
        <v/>
      </c>
      <c r="G15" t="str">
        <f>IF(ISNUMBER(VLOOKUP($A15,Haver_Q!$B$1:$L$185,MATCH(data!G$1,Haver_Q!$B$1:$L$1,0),FALSE)),100*(VLOOKUP($A15,Haver_Q!$B$1:$L$185,MATCH(data!G$1,Haver_Q!$B$1:$L$1,0),FALSE)),"")</f>
        <v/>
      </c>
      <c r="H15" t="str">
        <f>IF(ISNUMBER(VLOOKUP($A15,Haver_Q!$B$1:$L$185,MATCH(data!H$1,Haver_Q!$B$1:$L$1,0),FALSE)),(VLOOKUP($A15,Haver_Q!$B$1:$L$185,MATCH(data!H$1,Haver_Q!$B$1:$L$1,0),FALSE)),"")</f>
        <v/>
      </c>
      <c r="I15" t="str">
        <f>IF(ISNUMBER(VLOOKUP($A15,Haver_Q!$B$1:$L$185,MATCH(data!I$1,Haver_Q!$B$1:$L$1,0),FALSE)),100*(VLOOKUP($A15,Haver_Q!$B$1:$L$185,MATCH(data!I$1,Haver_Q!$B$1:$L$1,0),FALSE)),"")</f>
        <v/>
      </c>
      <c r="J15" s="3">
        <f>IF(ISNUMBER(Bloomberg_m!C31),Bloomberg_m!C31,"")</f>
        <v>1479</v>
      </c>
      <c r="K15" s="3" t="str">
        <f>IF(ISNUMBER(Bloomberg_m!D31),Bloomberg_m!D31,"")</f>
        <v/>
      </c>
      <c r="L15" s="3" t="str">
        <f>IF(ISNUMBER(Bloomberg_m!E31),Bloomberg_m!E31,"")</f>
        <v/>
      </c>
      <c r="M15" s="3" t="str">
        <f>IF(ISNUMBER(Bloomberg_m!F31),Bloomberg_m!F31,"")</f>
        <v/>
      </c>
      <c r="N15" t="str">
        <f>IF(ISNUMBER(VLOOKUP($A15,Haver_M!$B$1:$BZ$300,MATCH(data!N$1,Haver_M!$B$1:$BZ$1,0),FALSE)),VLOOKUP($A15,Haver_M!$B$1:$BZ$300,MATCH(data!N$1,Haver_M!$B$1:$BZ$1,0),FALSE),"")</f>
        <v/>
      </c>
      <c r="O15">
        <f>IF(ISNUMBER(VLOOKUP($A15,Haver_M!$B$1:$BZ$300,MATCH(data!O$1,Haver_M!$B$1:$BZ$1,0),FALSE)),VLOOKUP($A15,Haver_M!$B$1:$BZ$300,MATCH(data!O$1,Haver_M!$B$1:$BZ$1,0),FALSE),"")</f>
        <v>10.044700000000001</v>
      </c>
      <c r="P15">
        <f>IF(ISNUMBER(VLOOKUP($A15,Haver_M!$B$1:$BZ$300,MATCH(data!P$1,Haver_M!$B$1:$BZ$1,0),FALSE)),VLOOKUP($A15,Haver_M!$B$1:$BZ$300,MATCH(data!P$1,Haver_M!$B$1:$BZ$1,0),FALSE),"")</f>
        <v>95.062430000000006</v>
      </c>
      <c r="Q15">
        <f>IF(ISNUMBER(VLOOKUP($A15,Haver_M!$B$1:$BZ$300,MATCH(data!Q$1,Haver_M!$B$1:$BZ$1,0),FALSE)),VLOOKUP($A15,Haver_M!$B$1:$BZ$300,MATCH(data!Q$1,Haver_M!$B$1:$BZ$1,0),FALSE),"")</f>
        <v>46.8</v>
      </c>
      <c r="R15" t="str">
        <f>IF(ISNUMBER(VLOOKUP($A15,Haver_M!$B$1:$BZ$300,MATCH(data!R$1,Haver_M!$B$1:$BZ$1,0),FALSE)),VLOOKUP($A15,Haver_M!$B$1:$BZ$300,MATCH(data!R$1,Haver_M!$B$1:$BZ$1,0),FALSE),"")</f>
        <v/>
      </c>
      <c r="S15">
        <f>IF(ISNUMBER(VLOOKUP($A15,Haver_M!$B$1:$BZ$300,MATCH(data!S$1,Haver_M!$B$1:$BZ$1,0),FALSE)),VLOOKUP($A15,Haver_M!$B$1:$BZ$300,MATCH(data!S$1,Haver_M!$B$1:$BZ$1,0),FALSE),"")</f>
        <v>47.15</v>
      </c>
      <c r="T15">
        <f>IF(ISNUMBER(VLOOKUP($A15,Haver_M!$B$1:$BZ$300,MATCH(data!T$1,Haver_M!$B$1:$BZ$1,0),FALSE)),VLOOKUP($A15,Haver_M!$B$1:$BZ$300,MATCH(data!T$1,Haver_M!$B$1:$BZ$1,0),FALSE),"")</f>
        <v>55.3</v>
      </c>
      <c r="U15">
        <f>IF(ISNUMBER(VLOOKUP($A15,Haver_M!$B$1:$BZ$300,MATCH(data!U$1,Haver_M!$B$1:$BZ$1,0),FALSE)),VLOOKUP($A15,Haver_M!$B$1:$BZ$300,MATCH(data!U$1,Haver_M!$B$1:$BZ$1,0),FALSE),"")</f>
        <v>26.5</v>
      </c>
      <c r="V15">
        <f>IF(ISNUMBER(VLOOKUP($A15,Haver_M!$B$1:$BZ$300,MATCH(data!V$1,Haver_M!$B$1:$BZ$1,0),FALSE)),VLOOKUP($A15,Haver_M!$B$1:$BZ$300,MATCH(data!V$1,Haver_M!$B$1:$BZ$1,0),FALSE),"")</f>
        <v>58.86</v>
      </c>
      <c r="W15" t="str">
        <f>IF(ISNUMBER(VLOOKUP($A15,Haver_M!$B$1:$BZ$300,MATCH(data!W$1,Haver_M!$B$1:$BZ$1,0),FALSE)),VLOOKUP($A15,Haver_M!$B$1:$BZ$300,MATCH(data!W$1,Haver_M!$B$1:$BZ$1,0),FALSE),"")</f>
        <v/>
      </c>
      <c r="X15">
        <f>IF(ISNUMBER(VLOOKUP($A15,Haver_M!$B$1:$BZ$300,MATCH(data!X$1,Haver_M!$B$1:$BZ$1,0),FALSE)),VLOOKUP($A15,Haver_M!$B$1:$BZ$300,MATCH(data!X$1,Haver_M!$B$1:$BZ$1,0),FALSE),"")</f>
        <v>26.59</v>
      </c>
      <c r="Y15">
        <f>IF(ISNUMBER(VLOOKUP($A15,Haver_M!$B$1:$BZ$300,MATCH(data!Y$1,Haver_M!$B$1:$BZ$1,0),FALSE)),VLOOKUP($A15,Haver_M!$B$1:$BZ$300,MATCH(data!Y$1,Haver_M!$B$1:$BZ$1,0),FALSE),"")</f>
        <v>50.01</v>
      </c>
      <c r="Z15" t="str">
        <f>IF(ISNUMBER(VLOOKUP($A15,Haver_M!$B$1:$BZ$300,MATCH(data!Z$1,Haver_M!$B$1:$BZ$1,0),FALSE)),VLOOKUP($A15,Haver_M!$B$1:$BZ$300,MATCH(data!Z$1,Haver_M!$B$1:$BZ$1,0),FALSE),"")</f>
        <v/>
      </c>
      <c r="AA15" t="str">
        <f>IF(ISNUMBER(VLOOKUP($A15,Haver_M!$B$1:$BZ$300,MATCH(data!AA$1,Haver_M!$B$1:$BZ$1,0),FALSE)),VLOOKUP($A15,Haver_M!$B$1:$BZ$300,MATCH(data!AA$1,Haver_M!$B$1:$BZ$1,0),FALSE),"")</f>
        <v/>
      </c>
      <c r="AB15" t="str">
        <f>IF(ISNUMBER(VLOOKUP($A15,Haver_M!$B$1:$BZ$300,MATCH(data!AB$1,Haver_M!$B$1:$BZ$1,0),FALSE)),VLOOKUP($A15,Haver_M!$B$1:$BZ$300,MATCH(data!AB$1,Haver_M!$B$1:$BZ$1,0),FALSE),"")</f>
        <v/>
      </c>
      <c r="AC15" t="str">
        <f>IF(ISNUMBER(VLOOKUP($A15,Haver_M!$B$1:$BZ$300,MATCH(data!AC$1,Haver_M!$B$1:$BZ$1,0),FALSE)),VLOOKUP($A15,Haver_M!$B$1:$BZ$300,MATCH(data!AC$1,Haver_M!$B$1:$BZ$1,0),FALSE),"")</f>
        <v/>
      </c>
      <c r="AD15" t="str">
        <f>IF(ISNUMBER(VLOOKUP($A15,Haver_M!$B$1:$BZ$300,MATCH(data!AD$1,Haver_M!$B$1:$BZ$1,0),FALSE)),VLOOKUP($A15,Haver_M!$B$1:$BZ$300,MATCH(data!AD$1,Haver_M!$B$1:$BZ$1,0),FALSE),"")</f>
        <v/>
      </c>
      <c r="AE15" t="str">
        <f>IF(ISNUMBER(VLOOKUP($A15,Haver_M!$B$1:$BZ$300,MATCH(data!AE$1,Haver_M!$B$1:$BZ$1,0),FALSE)),VLOOKUP($A15,Haver_M!$B$1:$BZ$300,MATCH(data!AE$1,Haver_M!$B$1:$BZ$1,0),FALSE),"")</f>
        <v/>
      </c>
      <c r="AF15" t="str">
        <f>IF(ISNUMBER(VLOOKUP($A15,Haver_M!$B$1:$BZ$300,MATCH(data!AF$1,Haver_M!$B$1:$BZ$1,0),FALSE)),VLOOKUP($A15,Haver_M!$B$1:$BZ$300,MATCH(data!AF$1,Haver_M!$B$1:$BZ$1,0),FALSE),"")</f>
        <v/>
      </c>
      <c r="AG15" t="str">
        <f>IF(ISNUMBER(VLOOKUP($A15,Haver_M!$B$1:$BZ$300,MATCH(data!AG$1,Haver_M!$B$1:$BZ$1,0),FALSE)),VLOOKUP($A15,Haver_M!$B$1:$BZ$300,MATCH(data!AG$1,Haver_M!$B$1:$BZ$1,0),FALSE),"")</f>
        <v/>
      </c>
      <c r="AH15" t="str">
        <f>IF(ISNUMBER(VLOOKUP($A15,Haver_M!$B$1:$BZ$300,MATCH(data!AH$1,Haver_M!$B$1:$BZ$1,0),FALSE)),VLOOKUP($A15,Haver_M!$B$1:$BZ$300,MATCH(data!AH$1,Haver_M!$B$1:$BZ$1,0),FALSE),"")</f>
        <v/>
      </c>
      <c r="AI15">
        <f>IF(ISNUMBER(VLOOKUP($A15,Haver_M!$B$1:$BZ$300,MATCH(data!AI$1,Haver_M!$B$1:$BZ$1,0),FALSE)),VLOOKUP($A15,Haver_M!$B$1:$BZ$300,MATCH(data!AI$1,Haver_M!$B$1:$BZ$1,0),FALSE),"")</f>
        <v>8119.6426437133387</v>
      </c>
      <c r="AJ15">
        <f>IF(ISNUMBER(VLOOKUP($A15,Haver_M!$B$1:$BZ$300,MATCH(data!AJ$1,Haver_M!$B$1:$BZ$1,0),FALSE)),VLOOKUP($A15,Haver_M!$B$1:$BZ$300,MATCH(data!AJ$1,Haver_M!$B$1:$BZ$1,0),FALSE),"")</f>
        <v>3715.54</v>
      </c>
      <c r="AK15">
        <f>IF(ISNUMBER(VLOOKUP($A15,Haver_M!$B$1:$BZ$300,MATCH(data!AK$1,Haver_M!$B$1:$BZ$1,0),FALSE)),VLOOKUP($A15,Haver_M!$B$1:$BZ$300,MATCH(data!AK$1,Haver_M!$B$1:$BZ$1,0),FALSE),"")</f>
        <v>3713.63</v>
      </c>
      <c r="AL15" t="str">
        <f>IF(ISNUMBER(VLOOKUP($A15,Haver_M!$B$1:$BZ$300,MATCH(data!AL$1,Haver_M!$B$1:$BZ$1,0),FALSE)),VLOOKUP($A15,Haver_M!$B$1:$BZ$300,MATCH(data!AL$1,Haver_M!$B$1:$BZ$1,0),FALSE),"")</f>
        <v/>
      </c>
      <c r="AM15" t="str">
        <f>IF(ISNUMBER(VLOOKUP($A15,Haver_M!$B$1:$BZ$300,MATCH(data!AM$1,Haver_M!$B$1:$BZ$1,0),FALSE)),VLOOKUP($A15,Haver_M!$B$1:$BZ$300,MATCH(data!AM$1,Haver_M!$B$1:$BZ$1,0),FALSE),"")</f>
        <v/>
      </c>
      <c r="AN15" t="str">
        <f>IF(ISNUMBER(VLOOKUP($A15,Haver_M!$B$1:$BZ$300,MATCH(data!AN$1,Haver_M!$B$1:$BZ$1,0),FALSE)),VLOOKUP($A15,Haver_M!$B$1:$BZ$300,MATCH(data!AN$1,Haver_M!$B$1:$BZ$1,0),FALSE),"")</f>
        <v/>
      </c>
      <c r="AO15" t="str">
        <f>IF(ISNUMBER(VLOOKUP($A15,Haver_M!$B$1:$BZ$300,MATCH(data!AO$1,Haver_M!$B$1:$BZ$1,0),FALSE)),VLOOKUP($A15,Haver_M!$B$1:$BZ$300,MATCH(data!AO$1,Haver_M!$B$1:$BZ$1,0),FALSE),"")</f>
        <v/>
      </c>
      <c r="AP15">
        <f>IF(ISNUMBER(VLOOKUP($A15,Haver_M!$B$1:$BZ$300,MATCH(data!AP$1,Haver_M!$B$1:$BZ$1,0),FALSE)),VLOOKUP($A15,Haver_M!$B$1:$BZ$300,MATCH(data!AP$1,Haver_M!$B$1:$BZ$1,0),FALSE),"")</f>
        <v>121.81912990005179</v>
      </c>
      <c r="AQ15" t="str">
        <f>IF(ISNUMBER(VLOOKUP($A15,Haver_M!$B$1:$BZ$300,MATCH(data!AQ$1,Haver_M!$B$1:$BZ$1,0),FALSE)),VLOOKUP($A15,Haver_M!$B$1:$BZ$300,MATCH(data!AQ$1,Haver_M!$B$1:$BZ$1,0),FALSE),"")</f>
        <v/>
      </c>
      <c r="AR15" t="str">
        <f>IF(ISNUMBER(VLOOKUP($A15,Haver_M!$B$1:$BZ$300,MATCH(data!AR$1,Haver_M!$B$1:$BZ$1,0),FALSE)),VLOOKUP($A15,Haver_M!$B$1:$BZ$300,MATCH(data!AR$1,Haver_M!$B$1:$BZ$1,0),FALSE),"")</f>
        <v/>
      </c>
      <c r="AS15" t="str">
        <f>IF(ISNUMBER(VLOOKUP($A15,Haver_M!$B$1:$BZ$300,MATCH(data!AS$1,Haver_M!$B$1:$BZ$1,0),FALSE)),VLOOKUP($A15,Haver_M!$B$1:$BZ$300,MATCH(data!AS$1,Haver_M!$B$1:$BZ$1,0),FALSE),"")</f>
        <v/>
      </c>
      <c r="AT15" t="str">
        <f>IF(ISNUMBER(VLOOKUP($A15,Haver_M!$B$1:$BZ$300,MATCH(data!AT$1,Haver_M!$B$1:$BZ$1,0),FALSE)),VLOOKUP($A15,Haver_M!$B$1:$BZ$300,MATCH(data!AT$1,Haver_M!$B$1:$BZ$1,0),FALSE),"")</f>
        <v/>
      </c>
      <c r="AU15" t="str">
        <f>IF(ISNUMBER(VLOOKUP($A15,Haver_M!$B$1:$BZ$300,MATCH(data!AU$1,Haver_M!$B$1:$BZ$1,0),FALSE)),VLOOKUP($A15,Haver_M!$B$1:$BZ$300,MATCH(data!AU$1,Haver_M!$B$1:$BZ$1,0),FALSE),"")</f>
        <v/>
      </c>
      <c r="AV15" t="str">
        <f>IF(ISNUMBER(VLOOKUP($A15,Haver_M!$B$1:$BZ$300,MATCH(data!AV$1,Haver_M!$B$1:$BZ$1,0),FALSE)),VLOOKUP($A15,Haver_M!$B$1:$BZ$300,MATCH(data!AV$1,Haver_M!$B$1:$BZ$1,0),FALSE),"")</f>
        <v/>
      </c>
      <c r="AW15" t="str">
        <f>IF(ISNUMBER(VLOOKUP($A15,Haver_M!$B$1:$BZ$300,MATCH(data!AW$1,Haver_M!$B$1:$BZ$1,0),FALSE)),VLOOKUP($A15,Haver_M!$B$1:$BZ$300,MATCH(data!AW$1,Haver_M!$B$1:$BZ$1,0),FALSE),"")</f>
        <v/>
      </c>
      <c r="AX15" t="str">
        <f>IF(ISNUMBER(VLOOKUP($A15,Haver_M!$B$1:$BZ$300,MATCH(data!AX$1,Haver_M!$B$1:$BZ$1,0),FALSE)),VLOOKUP($A15,Haver_M!$B$1:$BZ$300,MATCH(data!AX$1,Haver_M!$B$1:$BZ$1,0),FALSE),"")</f>
        <v/>
      </c>
      <c r="AY15" t="str">
        <f>IF(ISNUMBER(VLOOKUP($A15,Haver_M!$B$1:$BZ$300,MATCH(data!AY$1,Haver_M!$B$1:$BZ$1,0),FALSE)),VLOOKUP($A15,Haver_M!$B$1:$BZ$300,MATCH(data!AY$1,Haver_M!$B$1:$BZ$1,0),FALSE),"")</f>
        <v/>
      </c>
      <c r="AZ15" t="str">
        <f>IF(ISNUMBER(VLOOKUP($A15,Haver_M!$B$1:$BZ$300,MATCH(data!AZ$1,Haver_M!$B$1:$BZ$1,0),FALSE)),VLOOKUP($A15,Haver_M!$B$1:$BZ$300,MATCH(data!AZ$1,Haver_M!$B$1:$BZ$1,0),FALSE),"")</f>
        <v/>
      </c>
      <c r="BA15" t="str">
        <f>IF(ISNUMBER(VLOOKUP($A15,Haver_M!$B$1:$BZ$300,MATCH(data!BA$1,Haver_M!$B$1:$BZ$1,0),FALSE)),VLOOKUP($A15,Haver_M!$B$1:$BZ$300,MATCH(data!BA$1,Haver_M!$B$1:$BZ$1,0),FALSE),"")</f>
        <v/>
      </c>
      <c r="BB15" t="str">
        <f>IF(ISNUMBER(VLOOKUP($A15,Haver_M!$B$1:$BZ$300,MATCH(data!BB$1,Haver_M!$B$1:$BZ$1,0),FALSE)),VLOOKUP($A15,Haver_M!$B$1:$BZ$300,MATCH(data!BB$1,Haver_M!$B$1:$BZ$1,0),FALSE),"")</f>
        <v/>
      </c>
      <c r="BC15" t="str">
        <f>IF(ISNUMBER(VLOOKUP($A15,Haver_M!$B$1:$BZ$300,MATCH(data!BC$1,Haver_M!$B$1:$BZ$1,0),FALSE)),VLOOKUP($A15,Haver_M!$B$1:$BZ$300,MATCH(data!BC$1,Haver_M!$B$1:$BZ$1,0),FALSE),"")</f>
        <v/>
      </c>
      <c r="BD15" t="str">
        <f>IF(ISNUMBER(VLOOKUP($A15,Haver_M!$B$1:$BZ$300,MATCH(data!BD$1,Haver_M!$B$1:$BZ$1,0),FALSE)),VLOOKUP($A15,Haver_M!$B$1:$BZ$300,MATCH(data!BD$1,Haver_M!$B$1:$BZ$1,0),FALSE),"")</f>
        <v/>
      </c>
      <c r="BE15" t="str">
        <f>IF(ISNUMBER(VLOOKUP($A15,Haver_M!$B$1:$BZ$300,MATCH(data!BE$1,Haver_M!$B$1:$BZ$1,0),FALSE)),VLOOKUP($A15,Haver_M!$B$1:$BZ$300,MATCH(data!BE$1,Haver_M!$B$1:$BZ$1,0),FALSE),"")</f>
        <v/>
      </c>
      <c r="BF15" t="str">
        <f>IF(ISNUMBER(VLOOKUP($A15,Haver_M!$B$1:$BZ$300,MATCH(data!BF$1,Haver_M!$B$1:$BZ$1,0),FALSE)),VLOOKUP($A15,Haver_M!$B$1:$BZ$300,MATCH(data!BF$1,Haver_M!$B$1:$BZ$1,0),FALSE),"")</f>
        <v/>
      </c>
      <c r="BG15" t="str">
        <f>IF(ISNUMBER(VLOOKUP($A15,Haver_M!$B$1:$BZ$300,MATCH(data!BG$1,Haver_M!$B$1:$BZ$1,0),FALSE)),VLOOKUP($A15,Haver_M!$B$1:$BZ$300,MATCH(data!BG$1,Haver_M!$B$1:$BZ$1,0),FALSE),"")</f>
        <v/>
      </c>
      <c r="BH15" t="str">
        <f>IF(ISNUMBER(VLOOKUP($A15,Haver_M!$B$1:$BZ$300,MATCH(data!BH$1,Haver_M!$B$1:$BZ$1,0),FALSE)),VLOOKUP($A15,Haver_M!$B$1:$BZ$300,MATCH(data!BH$1,Haver_M!$B$1:$BZ$1,0),FALSE),"")</f>
        <v/>
      </c>
      <c r="BI15" t="str">
        <f>IF(ISNUMBER(VLOOKUP($A15,Haver_M!$B$1:$BZ$300,MATCH(data!BI$1,Haver_M!$B$1:$BZ$1,0),FALSE)),VLOOKUP($A15,Haver_M!$B$1:$BZ$300,MATCH(data!BI$1,Haver_M!$B$1:$BZ$1,0),FALSE),"")</f>
        <v/>
      </c>
      <c r="BJ15" t="str">
        <f>IF(ISNUMBER(VLOOKUP($A15,Haver_M!$B$1:$BZ$300,MATCH(data!BJ$1,Haver_M!$B$1:$BZ$1,0),FALSE)),VLOOKUP($A15,Haver_M!$B$1:$BZ$300,MATCH(data!BJ$1,Haver_M!$B$1:$BZ$1,0),FALSE),"")</f>
        <v/>
      </c>
      <c r="BK15" t="str">
        <f>IF(ISNUMBER(VLOOKUP($A15,Haver_M!$B$1:$BZ$300,MATCH(data!BK$1,Haver_M!$B$1:$BZ$1,0),FALSE)),VLOOKUP($A15,Haver_M!$B$1:$BZ$300,MATCH(data!BK$1,Haver_M!$B$1:$BZ$1,0),FALSE),"")</f>
        <v/>
      </c>
      <c r="BL15">
        <f>IF(ISNUMBER(VLOOKUP($A15,Haver_M!$B$1:$BZ$300,MATCH(data!BL$1,Haver_M!$B$1:$BZ$1,0),FALSE)),VLOOKUP($A15,Haver_M!$B$1:$BZ$300,MATCH(data!BL$1,Haver_M!$B$1:$BZ$1,0),FALSE),"")</f>
        <v>4310.13</v>
      </c>
      <c r="BM15">
        <f>IF(ISNUMBER(VLOOKUP($A15,Haver_M!$B$1:$BZ$300,MATCH(data!BM$1,Haver_M!$B$1:$BZ$1,0),FALSE)),VLOOKUP($A15,Haver_M!$B$1:$BZ$300,MATCH(data!BM$1,Haver_M!$B$1:$BZ$1,0),FALSE),"")</f>
        <v>108.10664731999999</v>
      </c>
      <c r="BN15" t="str">
        <f>IF(ISNUMBER(VLOOKUP($A15,Haver_M!$B$1:$BZ$300,MATCH(data!BN$1,Haver_M!$B$1:$BZ$1,0),FALSE)),VLOOKUP($A15,Haver_M!$B$1:$BZ$300,MATCH(data!BN$1,Haver_M!$B$1:$BZ$1,0),FALSE),"")</f>
        <v/>
      </c>
      <c r="BO15" t="str">
        <f>IF(ISNUMBER(VLOOKUP($A15,Haver_M!$B$1:$BZ$300,MATCH(data!BO$1,Haver_M!$B$1:$BZ$1,0),FALSE)),VLOOKUP($A15,Haver_M!$B$1:$BZ$300,MATCH(data!BO$1,Haver_M!$B$1:$BZ$1,0),FALSE),"")</f>
        <v/>
      </c>
      <c r="BP15" t="str">
        <f>IF(ISNUMBER(VLOOKUP($A15,Haver_M!$B$1:$BZ$300,MATCH(data!BP$1,Haver_M!$B$1:$BZ$1,0),FALSE)),VLOOKUP($A15,Haver_M!$B$1:$BZ$300,MATCH(data!BP$1,Haver_M!$B$1:$BZ$1,0),FALSE),"")</f>
        <v/>
      </c>
      <c r="BQ15" t="str">
        <f>IF(ISNUMBER(VLOOKUP($A15,Haver_M!$B$1:$BZ$300,MATCH(data!BQ$1,Haver_M!$B$1:$BZ$1,0),FALSE)),VLOOKUP($A15,Haver_M!$B$1:$BZ$300,MATCH(data!BQ$1,Haver_M!$B$1:$BZ$1,0),FALSE),"")</f>
        <v/>
      </c>
      <c r="BR15" t="str">
        <f>IF(ISNUMBER(VLOOKUP($A15,Haver_M!$B$1:$BZ$300,MATCH(data!BR$1,Haver_M!$B$1:$BZ$1,0),FALSE)),VLOOKUP($A15,Haver_M!$B$1:$BZ$300,MATCH(data!BR$1,Haver_M!$B$1:$BZ$1,0),FALSE),"")</f>
        <v/>
      </c>
      <c r="BS15" t="str">
        <f>IF(ISNUMBER(VLOOKUP($A15,Haver_M!$B$1:$BZ$300,MATCH(data!BS$1,Haver_M!$B$1:$BZ$1,0),FALSE)),VLOOKUP($A15,Haver_M!$B$1:$BZ$300,MATCH(data!BS$1,Haver_M!$B$1:$BZ$1,0),FALSE),"")</f>
        <v/>
      </c>
      <c r="BT15" t="str">
        <f>IF(ISNUMBER(VLOOKUP($A15,Haver_M!$B$1:$BZ$300,MATCH(data!BT$1,Haver_M!$B$1:$BZ$1,0),FALSE)),VLOOKUP($A15,Haver_M!$B$1:$BZ$300,MATCH(data!BT$1,Haver_M!$B$1:$BZ$1,0),FALSE),"")</f>
        <v/>
      </c>
      <c r="BU15">
        <f>IF(ISNUMBER(VLOOKUP($A15,Haver_M!$B$1:$BZ$300,MATCH(data!BU$1,Haver_M!$B$1:$BZ$1,0),FALSE)),VLOOKUP($A15,Haver_M!$B$1:$BZ$300,MATCH(data!BU$1,Haver_M!$B$1:$BZ$1,0),FALSE),"")</f>
        <v>3695</v>
      </c>
      <c r="BV15">
        <f>IF(ISNUMBER(VLOOKUP($A15,Haver_M!$B$1:$BZ$300,MATCH(data!BV$1,Haver_M!$B$1:$BZ$1,0),FALSE)),VLOOKUP($A15,Haver_M!$B$1:$BZ$300,MATCH(data!BV$1,Haver_M!$B$1:$BZ$1,0),FALSE),"")</f>
        <v>3457</v>
      </c>
      <c r="BW15">
        <f>IF(ISNUMBER(VLOOKUP($A15,Haver_M!$B$1:$BZ$300,MATCH(data!BW$1,Haver_M!$B$1:$BZ$1,0),FALSE)),VLOOKUP($A15,Haver_M!$B$1:$BZ$300,MATCH(data!BW$1,Haver_M!$B$1:$BZ$1,0),FALSE),"")</f>
        <v>46.5167</v>
      </c>
      <c r="BX15">
        <f>IF(ISNUMBER(VLOOKUP($A15,Haver_M!$B$1:$BZ$300,MATCH(data!BX$1,Haver_M!$B$1:$BZ$1,0),FALSE)),VLOOKUP($A15,Haver_M!$B$1:$BZ$300,MATCH(data!BX$1,Haver_M!$B$1:$BZ$1,0),FALSE),"")</f>
        <v>46752</v>
      </c>
    </row>
    <row r="16" spans="1:76" x14ac:dyDescent="0.25">
      <c r="A16" s="2">
        <v>36981</v>
      </c>
      <c r="B16">
        <f>IF(ISNUMBER(VLOOKUP($A16,Haver_Q!$B$1:$L$185,MATCH(data!B$1,Haver_Q!$B$1:$L$1,0),FALSE)),100*(VLOOKUP($A16,Haver_Q!$B$1:$L$185,MATCH(data!B$1,Haver_Q!$B$1:$L$1,0),FALSE)),"")</f>
        <v>0.76315179446240222</v>
      </c>
      <c r="C16">
        <f>IF(ISNUMBER(VLOOKUP($A16,Haver_Q!$B$1:$L$185,MATCH(data!C$1,Haver_Q!$B$1:$L$1,0),FALSE)),100*(VLOOKUP($A16,Haver_Q!$B$1:$L$185,MATCH(data!C$1,Haver_Q!$B$1:$L$1,0),FALSE)),"")</f>
        <v>1.8739009159445708</v>
      </c>
      <c r="D16">
        <f>IF(ISNUMBER(VLOOKUP($A16,Haver_Q!$B$1:$L$185,MATCH(data!D$1,Haver_Q!$B$1:$L$1,0),FALSE)),100*(VLOOKUP($A16,Haver_Q!$B$1:$L$185,MATCH(data!D$1,Haver_Q!$B$1:$L$1,0),FALSE)),"")</f>
        <v>42.811470437073766</v>
      </c>
      <c r="E16">
        <f>IF(ISNUMBER(VLOOKUP($A16,Haver_Q!$B$1:$L$185,MATCH(data!E$1,Haver_Q!$B$1:$L$1,0),FALSE)),100*(VLOOKUP($A16,Haver_Q!$B$1:$L$185,MATCH(data!E$1,Haver_Q!$B$1:$L$1,0),FALSE)),"")</f>
        <v>-3.8028668007588862</v>
      </c>
      <c r="F16">
        <f>IF(ISNUMBER(VLOOKUP($A16,Haver_Q!$B$1:$L$185,MATCH(data!F$1,Haver_Q!$B$1:$L$1,0),FALSE)),100*(VLOOKUP($A16,Haver_Q!$B$1:$L$185,MATCH(data!F$1,Haver_Q!$B$1:$L$1,0),FALSE)),"")</f>
        <v>5.9094445108972771</v>
      </c>
      <c r="G16">
        <f>IF(ISNUMBER(VLOOKUP($A16,Haver_Q!$B$1:$L$185,MATCH(data!G$1,Haver_Q!$B$1:$L$1,0),FALSE)),100*(VLOOKUP($A16,Haver_Q!$B$1:$L$185,MATCH(data!G$1,Haver_Q!$B$1:$L$1,0),FALSE)),"")</f>
        <v>-8.5866707479984932</v>
      </c>
      <c r="H16">
        <f>IF(ISNUMBER(VLOOKUP($A16,Haver_Q!$B$1:$L$185,MATCH(data!H$1,Haver_Q!$B$1:$L$1,0),FALSE)),(VLOOKUP($A16,Haver_Q!$B$1:$L$185,MATCH(data!H$1,Haver_Q!$B$1:$L$1,0),FALSE)),"")</f>
        <v>1.8286258170815333</v>
      </c>
      <c r="I16">
        <f>IF(ISNUMBER(VLOOKUP($A16,Haver_Q!$B$1:$L$185,MATCH(data!I$1,Haver_Q!$B$1:$L$1,0),FALSE)),100*(VLOOKUP($A16,Haver_Q!$B$1:$L$185,MATCH(data!I$1,Haver_Q!$B$1:$L$1,0),FALSE)),"")</f>
        <v>1.0917663633603913</v>
      </c>
      <c r="J16" s="3">
        <f>IF(ISNUMBER(Bloomberg_m!C32),Bloomberg_m!C32,"")</f>
        <v>1502</v>
      </c>
      <c r="K16" s="3" t="str">
        <f>IF(ISNUMBER(Bloomberg_m!D32),Bloomberg_m!D32,"")</f>
        <v/>
      </c>
      <c r="L16" s="3" t="str">
        <f>IF(ISNUMBER(Bloomberg_m!E32),Bloomberg_m!E32,"")</f>
        <v/>
      </c>
      <c r="M16" s="3" t="str">
        <f>IF(ISNUMBER(Bloomberg_m!F32),Bloomberg_m!F32,"")</f>
        <v/>
      </c>
      <c r="N16" t="str">
        <f>IF(ISNUMBER(VLOOKUP($A16,Haver_M!$B$1:$BZ$300,MATCH(data!N$1,Haver_M!$B$1:$BZ$1,0),FALSE)),VLOOKUP($A16,Haver_M!$B$1:$BZ$300,MATCH(data!N$1,Haver_M!$B$1:$BZ$1,0),FALSE),"")</f>
        <v/>
      </c>
      <c r="O16">
        <f>IF(ISNUMBER(VLOOKUP($A16,Haver_M!$B$1:$BZ$300,MATCH(data!O$1,Haver_M!$B$1:$BZ$1,0),FALSE)),VLOOKUP($A16,Haver_M!$B$1:$BZ$300,MATCH(data!O$1,Haver_M!$B$1:$BZ$1,0),FALSE),"")</f>
        <v>10.2737</v>
      </c>
      <c r="P16">
        <f>IF(ISNUMBER(VLOOKUP($A16,Haver_M!$B$1:$BZ$300,MATCH(data!P$1,Haver_M!$B$1:$BZ$1,0),FALSE)),VLOOKUP($A16,Haver_M!$B$1:$BZ$300,MATCH(data!P$1,Haver_M!$B$1:$BZ$1,0),FALSE),"")</f>
        <v>96.515690000000006</v>
      </c>
      <c r="Q16">
        <f>IF(ISNUMBER(VLOOKUP($A16,Haver_M!$B$1:$BZ$300,MATCH(data!Q$1,Haver_M!$B$1:$BZ$1,0),FALSE)),VLOOKUP($A16,Haver_M!$B$1:$BZ$300,MATCH(data!Q$1,Haver_M!$B$1:$BZ$1,0),FALSE),"")</f>
        <v>47.1</v>
      </c>
      <c r="R16" t="str">
        <f>IF(ISNUMBER(VLOOKUP($A16,Haver_M!$B$1:$BZ$300,MATCH(data!R$1,Haver_M!$B$1:$BZ$1,0),FALSE)),VLOOKUP($A16,Haver_M!$B$1:$BZ$300,MATCH(data!R$1,Haver_M!$B$1:$BZ$1,0),FALSE),"")</f>
        <v/>
      </c>
      <c r="S16">
        <f>IF(ISNUMBER(VLOOKUP($A16,Haver_M!$B$1:$BZ$300,MATCH(data!S$1,Haver_M!$B$1:$BZ$1,0),FALSE)),VLOOKUP($A16,Haver_M!$B$1:$BZ$300,MATCH(data!S$1,Haver_M!$B$1:$BZ$1,0),FALSE),"")</f>
        <v>46.95</v>
      </c>
      <c r="T16">
        <f>IF(ISNUMBER(VLOOKUP($A16,Haver_M!$B$1:$BZ$300,MATCH(data!T$1,Haver_M!$B$1:$BZ$1,0),FALSE)),VLOOKUP($A16,Haver_M!$B$1:$BZ$300,MATCH(data!T$1,Haver_M!$B$1:$BZ$1,0),FALSE),"")</f>
        <v>55.14</v>
      </c>
      <c r="U16">
        <f>IF(ISNUMBER(VLOOKUP($A16,Haver_M!$B$1:$BZ$300,MATCH(data!U$1,Haver_M!$B$1:$BZ$1,0),FALSE)),VLOOKUP($A16,Haver_M!$B$1:$BZ$300,MATCH(data!U$1,Haver_M!$B$1:$BZ$1,0),FALSE),"")</f>
        <v>25.92</v>
      </c>
      <c r="V16">
        <f>IF(ISNUMBER(VLOOKUP($A16,Haver_M!$B$1:$BZ$300,MATCH(data!V$1,Haver_M!$B$1:$BZ$1,0),FALSE)),VLOOKUP($A16,Haver_M!$B$1:$BZ$300,MATCH(data!V$1,Haver_M!$B$1:$BZ$1,0),FALSE),"")</f>
        <v>60.54</v>
      </c>
      <c r="W16" t="str">
        <f>IF(ISNUMBER(VLOOKUP($A16,Haver_M!$B$1:$BZ$300,MATCH(data!W$1,Haver_M!$B$1:$BZ$1,0),FALSE)),VLOOKUP($A16,Haver_M!$B$1:$BZ$300,MATCH(data!W$1,Haver_M!$B$1:$BZ$1,0),FALSE),"")</f>
        <v/>
      </c>
      <c r="X16">
        <f>IF(ISNUMBER(VLOOKUP($A16,Haver_M!$B$1:$BZ$300,MATCH(data!X$1,Haver_M!$B$1:$BZ$1,0),FALSE)),VLOOKUP($A16,Haver_M!$B$1:$BZ$300,MATCH(data!X$1,Haver_M!$B$1:$BZ$1,0),FALSE),"")</f>
        <v>25.99</v>
      </c>
      <c r="Y16">
        <f>IF(ISNUMBER(VLOOKUP($A16,Haver_M!$B$1:$BZ$300,MATCH(data!Y$1,Haver_M!$B$1:$BZ$1,0),FALSE)),VLOOKUP($A16,Haver_M!$B$1:$BZ$300,MATCH(data!Y$1,Haver_M!$B$1:$BZ$1,0),FALSE),"")</f>
        <v>48.52</v>
      </c>
      <c r="Z16" t="str">
        <f>IF(ISNUMBER(VLOOKUP($A16,Haver_M!$B$1:$BZ$300,MATCH(data!Z$1,Haver_M!$B$1:$BZ$1,0),FALSE)),VLOOKUP($A16,Haver_M!$B$1:$BZ$300,MATCH(data!Z$1,Haver_M!$B$1:$BZ$1,0),FALSE),"")</f>
        <v/>
      </c>
      <c r="AA16" t="str">
        <f>IF(ISNUMBER(VLOOKUP($A16,Haver_M!$B$1:$BZ$300,MATCH(data!AA$1,Haver_M!$B$1:$BZ$1,0),FALSE)),VLOOKUP($A16,Haver_M!$B$1:$BZ$300,MATCH(data!AA$1,Haver_M!$B$1:$BZ$1,0),FALSE),"")</f>
        <v/>
      </c>
      <c r="AB16" t="str">
        <f>IF(ISNUMBER(VLOOKUP($A16,Haver_M!$B$1:$BZ$300,MATCH(data!AB$1,Haver_M!$B$1:$BZ$1,0),FALSE)),VLOOKUP($A16,Haver_M!$B$1:$BZ$300,MATCH(data!AB$1,Haver_M!$B$1:$BZ$1,0),FALSE),"")</f>
        <v/>
      </c>
      <c r="AC16" t="str">
        <f>IF(ISNUMBER(VLOOKUP($A16,Haver_M!$B$1:$BZ$300,MATCH(data!AC$1,Haver_M!$B$1:$BZ$1,0),FALSE)),VLOOKUP($A16,Haver_M!$B$1:$BZ$300,MATCH(data!AC$1,Haver_M!$B$1:$BZ$1,0),FALSE),"")</f>
        <v/>
      </c>
      <c r="AD16" t="str">
        <f>IF(ISNUMBER(VLOOKUP($A16,Haver_M!$B$1:$BZ$300,MATCH(data!AD$1,Haver_M!$B$1:$BZ$1,0),FALSE)),VLOOKUP($A16,Haver_M!$B$1:$BZ$300,MATCH(data!AD$1,Haver_M!$B$1:$BZ$1,0),FALSE),"")</f>
        <v/>
      </c>
      <c r="AE16" t="str">
        <f>IF(ISNUMBER(VLOOKUP($A16,Haver_M!$B$1:$BZ$300,MATCH(data!AE$1,Haver_M!$B$1:$BZ$1,0),FALSE)),VLOOKUP($A16,Haver_M!$B$1:$BZ$300,MATCH(data!AE$1,Haver_M!$B$1:$BZ$1,0),FALSE),"")</f>
        <v/>
      </c>
      <c r="AF16" t="str">
        <f>IF(ISNUMBER(VLOOKUP($A16,Haver_M!$B$1:$BZ$300,MATCH(data!AF$1,Haver_M!$B$1:$BZ$1,0),FALSE)),VLOOKUP($A16,Haver_M!$B$1:$BZ$300,MATCH(data!AF$1,Haver_M!$B$1:$BZ$1,0),FALSE),"")</f>
        <v/>
      </c>
      <c r="AG16" t="str">
        <f>IF(ISNUMBER(VLOOKUP($A16,Haver_M!$B$1:$BZ$300,MATCH(data!AG$1,Haver_M!$B$1:$BZ$1,0),FALSE)),VLOOKUP($A16,Haver_M!$B$1:$BZ$300,MATCH(data!AG$1,Haver_M!$B$1:$BZ$1,0),FALSE),"")</f>
        <v/>
      </c>
      <c r="AH16" t="str">
        <f>IF(ISNUMBER(VLOOKUP($A16,Haver_M!$B$1:$BZ$300,MATCH(data!AH$1,Haver_M!$B$1:$BZ$1,0),FALSE)),VLOOKUP($A16,Haver_M!$B$1:$BZ$300,MATCH(data!AH$1,Haver_M!$B$1:$BZ$1,0),FALSE),"")</f>
        <v/>
      </c>
      <c r="AI16">
        <f>IF(ISNUMBER(VLOOKUP($A16,Haver_M!$B$1:$BZ$300,MATCH(data!AI$1,Haver_M!$B$1:$BZ$1,0),FALSE)),VLOOKUP($A16,Haver_M!$B$1:$BZ$300,MATCH(data!AI$1,Haver_M!$B$1:$BZ$1,0),FALSE),"")</f>
        <v>8485.749814185634</v>
      </c>
      <c r="AJ16">
        <f>IF(ISNUMBER(VLOOKUP($A16,Haver_M!$B$1:$BZ$300,MATCH(data!AJ$1,Haver_M!$B$1:$BZ$1,0),FALSE)),VLOOKUP($A16,Haver_M!$B$1:$BZ$300,MATCH(data!AJ$1,Haver_M!$B$1:$BZ$1,0),FALSE),"")</f>
        <v>3741.73</v>
      </c>
      <c r="AK16">
        <f>IF(ISNUMBER(VLOOKUP($A16,Haver_M!$B$1:$BZ$300,MATCH(data!AK$1,Haver_M!$B$1:$BZ$1,0),FALSE)),VLOOKUP($A16,Haver_M!$B$1:$BZ$300,MATCH(data!AK$1,Haver_M!$B$1:$BZ$1,0),FALSE),"")</f>
        <v>4323.55</v>
      </c>
      <c r="AL16" t="str">
        <f>IF(ISNUMBER(VLOOKUP($A16,Haver_M!$B$1:$BZ$300,MATCH(data!AL$1,Haver_M!$B$1:$BZ$1,0),FALSE)),VLOOKUP($A16,Haver_M!$B$1:$BZ$300,MATCH(data!AL$1,Haver_M!$B$1:$BZ$1,0),FALSE),"")</f>
        <v/>
      </c>
      <c r="AM16" t="str">
        <f>IF(ISNUMBER(VLOOKUP($A16,Haver_M!$B$1:$BZ$300,MATCH(data!AM$1,Haver_M!$B$1:$BZ$1,0),FALSE)),VLOOKUP($A16,Haver_M!$B$1:$BZ$300,MATCH(data!AM$1,Haver_M!$B$1:$BZ$1,0),FALSE),"")</f>
        <v/>
      </c>
      <c r="AN16" t="str">
        <f>IF(ISNUMBER(VLOOKUP($A16,Haver_M!$B$1:$BZ$300,MATCH(data!AN$1,Haver_M!$B$1:$BZ$1,0),FALSE)),VLOOKUP($A16,Haver_M!$B$1:$BZ$300,MATCH(data!AN$1,Haver_M!$B$1:$BZ$1,0),FALSE),"")</f>
        <v/>
      </c>
      <c r="AO16" t="str">
        <f>IF(ISNUMBER(VLOOKUP($A16,Haver_M!$B$1:$BZ$300,MATCH(data!AO$1,Haver_M!$B$1:$BZ$1,0),FALSE)),VLOOKUP($A16,Haver_M!$B$1:$BZ$300,MATCH(data!AO$1,Haver_M!$B$1:$BZ$1,0),FALSE),"")</f>
        <v/>
      </c>
      <c r="AP16">
        <f>IF(ISNUMBER(VLOOKUP($A16,Haver_M!$B$1:$BZ$300,MATCH(data!AP$1,Haver_M!$B$1:$BZ$1,0),FALSE)),VLOOKUP($A16,Haver_M!$B$1:$BZ$300,MATCH(data!AP$1,Haver_M!$B$1:$BZ$1,0),FALSE),"")</f>
        <v>143.45661376240778</v>
      </c>
      <c r="AQ16" t="str">
        <f>IF(ISNUMBER(VLOOKUP($A16,Haver_M!$B$1:$BZ$300,MATCH(data!AQ$1,Haver_M!$B$1:$BZ$1,0),FALSE)),VLOOKUP($A16,Haver_M!$B$1:$BZ$300,MATCH(data!AQ$1,Haver_M!$B$1:$BZ$1,0),FALSE),"")</f>
        <v/>
      </c>
      <c r="AR16" t="str">
        <f>IF(ISNUMBER(VLOOKUP($A16,Haver_M!$B$1:$BZ$300,MATCH(data!AR$1,Haver_M!$B$1:$BZ$1,0),FALSE)),VLOOKUP($A16,Haver_M!$B$1:$BZ$300,MATCH(data!AR$1,Haver_M!$B$1:$BZ$1,0),FALSE),"")</f>
        <v/>
      </c>
      <c r="AS16" t="str">
        <f>IF(ISNUMBER(VLOOKUP($A16,Haver_M!$B$1:$BZ$300,MATCH(data!AS$1,Haver_M!$B$1:$BZ$1,0),FALSE)),VLOOKUP($A16,Haver_M!$B$1:$BZ$300,MATCH(data!AS$1,Haver_M!$B$1:$BZ$1,0),FALSE),"")</f>
        <v/>
      </c>
      <c r="AT16" t="str">
        <f>IF(ISNUMBER(VLOOKUP($A16,Haver_M!$B$1:$BZ$300,MATCH(data!AT$1,Haver_M!$B$1:$BZ$1,0),FALSE)),VLOOKUP($A16,Haver_M!$B$1:$BZ$300,MATCH(data!AT$1,Haver_M!$B$1:$BZ$1,0),FALSE),"")</f>
        <v/>
      </c>
      <c r="AU16" t="str">
        <f>IF(ISNUMBER(VLOOKUP($A16,Haver_M!$B$1:$BZ$300,MATCH(data!AU$1,Haver_M!$B$1:$BZ$1,0),FALSE)),VLOOKUP($A16,Haver_M!$B$1:$BZ$300,MATCH(data!AU$1,Haver_M!$B$1:$BZ$1,0),FALSE),"")</f>
        <v/>
      </c>
      <c r="AV16" t="str">
        <f>IF(ISNUMBER(VLOOKUP($A16,Haver_M!$B$1:$BZ$300,MATCH(data!AV$1,Haver_M!$B$1:$BZ$1,0),FALSE)),VLOOKUP($A16,Haver_M!$B$1:$BZ$300,MATCH(data!AV$1,Haver_M!$B$1:$BZ$1,0),FALSE),"")</f>
        <v/>
      </c>
      <c r="AW16" t="str">
        <f>IF(ISNUMBER(VLOOKUP($A16,Haver_M!$B$1:$BZ$300,MATCH(data!AW$1,Haver_M!$B$1:$BZ$1,0),FALSE)),VLOOKUP($A16,Haver_M!$B$1:$BZ$300,MATCH(data!AW$1,Haver_M!$B$1:$BZ$1,0),FALSE),"")</f>
        <v/>
      </c>
      <c r="AX16" t="str">
        <f>IF(ISNUMBER(VLOOKUP($A16,Haver_M!$B$1:$BZ$300,MATCH(data!AX$1,Haver_M!$B$1:$BZ$1,0),FALSE)),VLOOKUP($A16,Haver_M!$B$1:$BZ$300,MATCH(data!AX$1,Haver_M!$B$1:$BZ$1,0),FALSE),"")</f>
        <v/>
      </c>
      <c r="AY16" t="str">
        <f>IF(ISNUMBER(VLOOKUP($A16,Haver_M!$B$1:$BZ$300,MATCH(data!AY$1,Haver_M!$B$1:$BZ$1,0),FALSE)),VLOOKUP($A16,Haver_M!$B$1:$BZ$300,MATCH(data!AY$1,Haver_M!$B$1:$BZ$1,0),FALSE),"")</f>
        <v/>
      </c>
      <c r="AZ16" t="str">
        <f>IF(ISNUMBER(VLOOKUP($A16,Haver_M!$B$1:$BZ$300,MATCH(data!AZ$1,Haver_M!$B$1:$BZ$1,0),FALSE)),VLOOKUP($A16,Haver_M!$B$1:$BZ$300,MATCH(data!AZ$1,Haver_M!$B$1:$BZ$1,0),FALSE),"")</f>
        <v/>
      </c>
      <c r="BA16" t="str">
        <f>IF(ISNUMBER(VLOOKUP($A16,Haver_M!$B$1:$BZ$300,MATCH(data!BA$1,Haver_M!$B$1:$BZ$1,0),FALSE)),VLOOKUP($A16,Haver_M!$B$1:$BZ$300,MATCH(data!BA$1,Haver_M!$B$1:$BZ$1,0),FALSE),"")</f>
        <v/>
      </c>
      <c r="BB16" t="str">
        <f>IF(ISNUMBER(VLOOKUP($A16,Haver_M!$B$1:$BZ$300,MATCH(data!BB$1,Haver_M!$B$1:$BZ$1,0),FALSE)),VLOOKUP($A16,Haver_M!$B$1:$BZ$300,MATCH(data!BB$1,Haver_M!$B$1:$BZ$1,0),FALSE),"")</f>
        <v/>
      </c>
      <c r="BC16" t="str">
        <f>IF(ISNUMBER(VLOOKUP($A16,Haver_M!$B$1:$BZ$300,MATCH(data!BC$1,Haver_M!$B$1:$BZ$1,0),FALSE)),VLOOKUP($A16,Haver_M!$B$1:$BZ$300,MATCH(data!BC$1,Haver_M!$B$1:$BZ$1,0),FALSE),"")</f>
        <v/>
      </c>
      <c r="BD16" t="str">
        <f>IF(ISNUMBER(VLOOKUP($A16,Haver_M!$B$1:$BZ$300,MATCH(data!BD$1,Haver_M!$B$1:$BZ$1,0),FALSE)),VLOOKUP($A16,Haver_M!$B$1:$BZ$300,MATCH(data!BD$1,Haver_M!$B$1:$BZ$1,0),FALSE),"")</f>
        <v/>
      </c>
      <c r="BE16" t="str">
        <f>IF(ISNUMBER(VLOOKUP($A16,Haver_M!$B$1:$BZ$300,MATCH(data!BE$1,Haver_M!$B$1:$BZ$1,0),FALSE)),VLOOKUP($A16,Haver_M!$B$1:$BZ$300,MATCH(data!BE$1,Haver_M!$B$1:$BZ$1,0),FALSE),"")</f>
        <v/>
      </c>
      <c r="BF16" t="str">
        <f>IF(ISNUMBER(VLOOKUP($A16,Haver_M!$B$1:$BZ$300,MATCH(data!BF$1,Haver_M!$B$1:$BZ$1,0),FALSE)),VLOOKUP($A16,Haver_M!$B$1:$BZ$300,MATCH(data!BF$1,Haver_M!$B$1:$BZ$1,0),FALSE),"")</f>
        <v/>
      </c>
      <c r="BG16" t="str">
        <f>IF(ISNUMBER(VLOOKUP($A16,Haver_M!$B$1:$BZ$300,MATCH(data!BG$1,Haver_M!$B$1:$BZ$1,0),FALSE)),VLOOKUP($A16,Haver_M!$B$1:$BZ$300,MATCH(data!BG$1,Haver_M!$B$1:$BZ$1,0),FALSE),"")</f>
        <v/>
      </c>
      <c r="BH16" t="str">
        <f>IF(ISNUMBER(VLOOKUP($A16,Haver_M!$B$1:$BZ$300,MATCH(data!BH$1,Haver_M!$B$1:$BZ$1,0),FALSE)),VLOOKUP($A16,Haver_M!$B$1:$BZ$300,MATCH(data!BH$1,Haver_M!$B$1:$BZ$1,0),FALSE),"")</f>
        <v/>
      </c>
      <c r="BI16" t="str">
        <f>IF(ISNUMBER(VLOOKUP($A16,Haver_M!$B$1:$BZ$300,MATCH(data!BI$1,Haver_M!$B$1:$BZ$1,0),FALSE)),VLOOKUP($A16,Haver_M!$B$1:$BZ$300,MATCH(data!BI$1,Haver_M!$B$1:$BZ$1,0),FALSE),"")</f>
        <v/>
      </c>
      <c r="BJ16" t="str">
        <f>IF(ISNUMBER(VLOOKUP($A16,Haver_M!$B$1:$BZ$300,MATCH(data!BJ$1,Haver_M!$B$1:$BZ$1,0),FALSE)),VLOOKUP($A16,Haver_M!$B$1:$BZ$300,MATCH(data!BJ$1,Haver_M!$B$1:$BZ$1,0),FALSE),"")</f>
        <v/>
      </c>
      <c r="BK16" t="str">
        <f>IF(ISNUMBER(VLOOKUP($A16,Haver_M!$B$1:$BZ$300,MATCH(data!BK$1,Haver_M!$B$1:$BZ$1,0),FALSE)),VLOOKUP($A16,Haver_M!$B$1:$BZ$300,MATCH(data!BK$1,Haver_M!$B$1:$BZ$1,0),FALSE),"")</f>
        <v/>
      </c>
      <c r="BL16">
        <f>IF(ISNUMBER(VLOOKUP($A16,Haver_M!$B$1:$BZ$300,MATCH(data!BL$1,Haver_M!$B$1:$BZ$1,0),FALSE)),VLOOKUP($A16,Haver_M!$B$1:$BZ$300,MATCH(data!BL$1,Haver_M!$B$1:$BZ$1,0),FALSE),"")</f>
        <v>3807.64</v>
      </c>
      <c r="BM16">
        <f>IF(ISNUMBER(VLOOKUP($A16,Haver_M!$B$1:$BZ$300,MATCH(data!BM$1,Haver_M!$B$1:$BZ$1,0),FALSE)),VLOOKUP($A16,Haver_M!$B$1:$BZ$300,MATCH(data!BM$1,Haver_M!$B$1:$BZ$1,0),FALSE),"")</f>
        <v>106.87328626999999</v>
      </c>
      <c r="BN16">
        <f>IF(ISNUMBER(VLOOKUP($A16,Haver_M!$B$1:$BZ$300,MATCH(data!BN$1,Haver_M!$B$1:$BZ$1,0),FALSE)),VLOOKUP($A16,Haver_M!$B$1:$BZ$300,MATCH(data!BN$1,Haver_M!$B$1:$BZ$1,0),FALSE),"")</f>
        <v>115.2</v>
      </c>
      <c r="BO16">
        <f>IF(ISNUMBER(VLOOKUP($A16,Haver_M!$B$1:$BZ$300,MATCH(data!BO$1,Haver_M!$B$1:$BZ$1,0),FALSE)),VLOOKUP($A16,Haver_M!$B$1:$BZ$300,MATCH(data!BO$1,Haver_M!$B$1:$BZ$1,0),FALSE),"")</f>
        <v>122.5</v>
      </c>
      <c r="BP16">
        <f>IF(ISNUMBER(VLOOKUP($A16,Haver_M!$B$1:$BZ$300,MATCH(data!BP$1,Haver_M!$B$1:$BZ$1,0),FALSE)),VLOOKUP($A16,Haver_M!$B$1:$BZ$300,MATCH(data!BP$1,Haver_M!$B$1:$BZ$1,0),FALSE),"")</f>
        <v>49</v>
      </c>
      <c r="BQ16" t="str">
        <f>IF(ISNUMBER(VLOOKUP($A16,Haver_M!$B$1:$BZ$300,MATCH(data!BQ$1,Haver_M!$B$1:$BZ$1,0),FALSE)),VLOOKUP($A16,Haver_M!$B$1:$BZ$300,MATCH(data!BQ$1,Haver_M!$B$1:$BZ$1,0),FALSE),"")</f>
        <v/>
      </c>
      <c r="BR16" t="str">
        <f>IF(ISNUMBER(VLOOKUP($A16,Haver_M!$B$1:$BZ$300,MATCH(data!BR$1,Haver_M!$B$1:$BZ$1,0),FALSE)),VLOOKUP($A16,Haver_M!$B$1:$BZ$300,MATCH(data!BR$1,Haver_M!$B$1:$BZ$1,0),FALSE),"")</f>
        <v/>
      </c>
      <c r="BS16" t="str">
        <f>IF(ISNUMBER(VLOOKUP($A16,Haver_M!$B$1:$BZ$300,MATCH(data!BS$1,Haver_M!$B$1:$BZ$1,0),FALSE)),VLOOKUP($A16,Haver_M!$B$1:$BZ$300,MATCH(data!BS$1,Haver_M!$B$1:$BZ$1,0),FALSE),"")</f>
        <v/>
      </c>
      <c r="BT16" t="str">
        <f>IF(ISNUMBER(VLOOKUP($A16,Haver_M!$B$1:$BZ$300,MATCH(data!BT$1,Haver_M!$B$1:$BZ$1,0),FALSE)),VLOOKUP($A16,Haver_M!$B$1:$BZ$300,MATCH(data!BT$1,Haver_M!$B$1:$BZ$1,0),FALSE),"")</f>
        <v/>
      </c>
      <c r="BU16">
        <f>IF(ISNUMBER(VLOOKUP($A16,Haver_M!$B$1:$BZ$300,MATCH(data!BU$1,Haver_M!$B$1:$BZ$1,0),FALSE)),VLOOKUP($A16,Haver_M!$B$1:$BZ$300,MATCH(data!BU$1,Haver_M!$B$1:$BZ$1,0),FALSE),"")</f>
        <v>4309</v>
      </c>
      <c r="BV16">
        <f>IF(ISNUMBER(VLOOKUP($A16,Haver_M!$B$1:$BZ$300,MATCH(data!BV$1,Haver_M!$B$1:$BZ$1,0),FALSE)),VLOOKUP($A16,Haver_M!$B$1:$BZ$300,MATCH(data!BV$1,Haver_M!$B$1:$BZ$1,0),FALSE),"")</f>
        <v>4625</v>
      </c>
      <c r="BW16">
        <f>IF(ISNUMBER(VLOOKUP($A16,Haver_M!$B$1:$BZ$300,MATCH(data!BW$1,Haver_M!$B$1:$BZ$1,0),FALSE)),VLOOKUP($A16,Haver_M!$B$1:$BZ$300,MATCH(data!BW$1,Haver_M!$B$1:$BZ$1,0),FALSE),"")</f>
        <v>46.6205</v>
      </c>
      <c r="BX16">
        <f>IF(ISNUMBER(VLOOKUP($A16,Haver_M!$B$1:$BZ$300,MATCH(data!BX$1,Haver_M!$B$1:$BZ$1,0),FALSE)),VLOOKUP($A16,Haver_M!$B$1:$BZ$300,MATCH(data!BX$1,Haver_M!$B$1:$BZ$1,0),FALSE),"")</f>
        <v>44978</v>
      </c>
    </row>
    <row r="17" spans="1:76" x14ac:dyDescent="0.25">
      <c r="A17" s="2">
        <v>37011</v>
      </c>
      <c r="B17" t="str">
        <f>IF(ISNUMBER(VLOOKUP($A17,Haver_Q!$B$1:$L$185,MATCH(data!B$1,Haver_Q!$B$1:$L$1,0),FALSE)),100*(VLOOKUP($A17,Haver_Q!$B$1:$L$185,MATCH(data!B$1,Haver_Q!$B$1:$L$1,0),FALSE)),"")</f>
        <v/>
      </c>
      <c r="C17" t="str">
        <f>IF(ISNUMBER(VLOOKUP($A17,Haver_Q!$B$1:$L$185,MATCH(data!C$1,Haver_Q!$B$1:$L$1,0),FALSE)),100*(VLOOKUP($A17,Haver_Q!$B$1:$L$185,MATCH(data!C$1,Haver_Q!$B$1:$L$1,0),FALSE)),"")</f>
        <v/>
      </c>
      <c r="D17" t="str">
        <f>IF(ISNUMBER(VLOOKUP($A17,Haver_Q!$B$1:$L$185,MATCH(data!D$1,Haver_Q!$B$1:$L$1,0),FALSE)),100*(VLOOKUP($A17,Haver_Q!$B$1:$L$185,MATCH(data!D$1,Haver_Q!$B$1:$L$1,0),FALSE)),"")</f>
        <v/>
      </c>
      <c r="E17" t="str">
        <f>IF(ISNUMBER(VLOOKUP($A17,Haver_Q!$B$1:$L$185,MATCH(data!E$1,Haver_Q!$B$1:$L$1,0),FALSE)),100*(VLOOKUP($A17,Haver_Q!$B$1:$L$185,MATCH(data!E$1,Haver_Q!$B$1:$L$1,0),FALSE)),"")</f>
        <v/>
      </c>
      <c r="F17" t="str">
        <f>IF(ISNUMBER(VLOOKUP($A17,Haver_Q!$B$1:$L$185,MATCH(data!F$1,Haver_Q!$B$1:$L$1,0),FALSE)),100*(VLOOKUP($A17,Haver_Q!$B$1:$L$185,MATCH(data!F$1,Haver_Q!$B$1:$L$1,0),FALSE)),"")</f>
        <v/>
      </c>
      <c r="G17" t="str">
        <f>IF(ISNUMBER(VLOOKUP($A17,Haver_Q!$B$1:$L$185,MATCH(data!G$1,Haver_Q!$B$1:$L$1,0),FALSE)),100*(VLOOKUP($A17,Haver_Q!$B$1:$L$185,MATCH(data!G$1,Haver_Q!$B$1:$L$1,0),FALSE)),"")</f>
        <v/>
      </c>
      <c r="H17" t="str">
        <f>IF(ISNUMBER(VLOOKUP($A17,Haver_Q!$B$1:$L$185,MATCH(data!H$1,Haver_Q!$B$1:$L$1,0),FALSE)),(VLOOKUP($A17,Haver_Q!$B$1:$L$185,MATCH(data!H$1,Haver_Q!$B$1:$L$1,0),FALSE)),"")</f>
        <v/>
      </c>
      <c r="I17" t="str">
        <f>IF(ISNUMBER(VLOOKUP($A17,Haver_Q!$B$1:$L$185,MATCH(data!I$1,Haver_Q!$B$1:$L$1,0),FALSE)),100*(VLOOKUP($A17,Haver_Q!$B$1:$L$185,MATCH(data!I$1,Haver_Q!$B$1:$L$1,0),FALSE)),"")</f>
        <v/>
      </c>
      <c r="J17" s="3">
        <f>IF(ISNUMBER(Bloomberg_m!C33),Bloomberg_m!C33,"")</f>
        <v>1440</v>
      </c>
      <c r="K17" s="3" t="str">
        <f>IF(ISNUMBER(Bloomberg_m!D33),Bloomberg_m!D33,"")</f>
        <v/>
      </c>
      <c r="L17" s="3" t="str">
        <f>IF(ISNUMBER(Bloomberg_m!E33),Bloomberg_m!E33,"")</f>
        <v/>
      </c>
      <c r="M17" s="3" t="str">
        <f>IF(ISNUMBER(Bloomberg_m!F33),Bloomberg_m!F33,"")</f>
        <v/>
      </c>
      <c r="N17">
        <f>IF(ISNUMBER(VLOOKUP($A17,Haver_M!$B$1:$BZ$300,MATCH(data!N$1,Haver_M!$B$1:$BZ$1,0),FALSE)),VLOOKUP($A17,Haver_M!$B$1:$BZ$300,MATCH(data!N$1,Haver_M!$B$1:$BZ$1,0),FALSE),"")</f>
        <v>8.75</v>
      </c>
      <c r="O17">
        <f>IF(ISNUMBER(VLOOKUP($A17,Haver_M!$B$1:$BZ$300,MATCH(data!O$1,Haver_M!$B$1:$BZ$1,0),FALSE)),VLOOKUP($A17,Haver_M!$B$1:$BZ$300,MATCH(data!O$1,Haver_M!$B$1:$BZ$1,0),FALSE),"")</f>
        <v>10.0779</v>
      </c>
      <c r="P17">
        <f>IF(ISNUMBER(VLOOKUP($A17,Haver_M!$B$1:$BZ$300,MATCH(data!P$1,Haver_M!$B$1:$BZ$1,0),FALSE)),VLOOKUP($A17,Haver_M!$B$1:$BZ$300,MATCH(data!P$1,Haver_M!$B$1:$BZ$1,0),FALSE),"")</f>
        <v>97.442239999999998</v>
      </c>
      <c r="Q17">
        <f>IF(ISNUMBER(VLOOKUP($A17,Haver_M!$B$1:$BZ$300,MATCH(data!Q$1,Haver_M!$B$1:$BZ$1,0),FALSE)),VLOOKUP($A17,Haver_M!$B$1:$BZ$300,MATCH(data!Q$1,Haver_M!$B$1:$BZ$1,0),FALSE),"")</f>
        <v>47.4</v>
      </c>
      <c r="R17" t="str">
        <f>IF(ISNUMBER(VLOOKUP($A17,Haver_M!$B$1:$BZ$300,MATCH(data!R$1,Haver_M!$B$1:$BZ$1,0),FALSE)),VLOOKUP($A17,Haver_M!$B$1:$BZ$300,MATCH(data!R$1,Haver_M!$B$1:$BZ$1,0),FALSE),"")</f>
        <v/>
      </c>
      <c r="S17">
        <f>IF(ISNUMBER(VLOOKUP($A17,Haver_M!$B$1:$BZ$300,MATCH(data!S$1,Haver_M!$B$1:$BZ$1,0),FALSE)),VLOOKUP($A17,Haver_M!$B$1:$BZ$300,MATCH(data!S$1,Haver_M!$B$1:$BZ$1,0),FALSE),"")</f>
        <v>47.04</v>
      </c>
      <c r="T17">
        <f>IF(ISNUMBER(VLOOKUP($A17,Haver_M!$B$1:$BZ$300,MATCH(data!T$1,Haver_M!$B$1:$BZ$1,0),FALSE)),VLOOKUP($A17,Haver_M!$B$1:$BZ$300,MATCH(data!T$1,Haver_M!$B$1:$BZ$1,0),FALSE),"")</f>
        <v>55.86</v>
      </c>
      <c r="U17">
        <f>IF(ISNUMBER(VLOOKUP($A17,Haver_M!$B$1:$BZ$300,MATCH(data!U$1,Haver_M!$B$1:$BZ$1,0),FALSE)),VLOOKUP($A17,Haver_M!$B$1:$BZ$300,MATCH(data!U$1,Haver_M!$B$1:$BZ$1,0),FALSE),"")</f>
        <v>27.95</v>
      </c>
      <c r="V17">
        <f>IF(ISNUMBER(VLOOKUP($A17,Haver_M!$B$1:$BZ$300,MATCH(data!V$1,Haver_M!$B$1:$BZ$1,0),FALSE)),VLOOKUP($A17,Haver_M!$B$1:$BZ$300,MATCH(data!V$1,Haver_M!$B$1:$BZ$1,0),FALSE),"")</f>
        <v>59.6</v>
      </c>
      <c r="W17" t="str">
        <f>IF(ISNUMBER(VLOOKUP($A17,Haver_M!$B$1:$BZ$300,MATCH(data!W$1,Haver_M!$B$1:$BZ$1,0),FALSE)),VLOOKUP($A17,Haver_M!$B$1:$BZ$300,MATCH(data!W$1,Haver_M!$B$1:$BZ$1,0),FALSE),"")</f>
        <v/>
      </c>
      <c r="X17">
        <f>IF(ISNUMBER(VLOOKUP($A17,Haver_M!$B$1:$BZ$300,MATCH(data!X$1,Haver_M!$B$1:$BZ$1,0),FALSE)),VLOOKUP($A17,Haver_M!$B$1:$BZ$300,MATCH(data!X$1,Haver_M!$B$1:$BZ$1,0),FALSE),"")</f>
        <v>26.52</v>
      </c>
      <c r="Y17">
        <f>IF(ISNUMBER(VLOOKUP($A17,Haver_M!$B$1:$BZ$300,MATCH(data!Y$1,Haver_M!$B$1:$BZ$1,0),FALSE)),VLOOKUP($A17,Haver_M!$B$1:$BZ$300,MATCH(data!Y$1,Haver_M!$B$1:$BZ$1,0),FALSE),"")</f>
        <v>47.52</v>
      </c>
      <c r="Z17" t="str">
        <f>IF(ISNUMBER(VLOOKUP($A17,Haver_M!$B$1:$BZ$300,MATCH(data!Z$1,Haver_M!$B$1:$BZ$1,0),FALSE)),VLOOKUP($A17,Haver_M!$B$1:$BZ$300,MATCH(data!Z$1,Haver_M!$B$1:$BZ$1,0),FALSE),"")</f>
        <v/>
      </c>
      <c r="AA17" t="str">
        <f>IF(ISNUMBER(VLOOKUP($A17,Haver_M!$B$1:$BZ$300,MATCH(data!AA$1,Haver_M!$B$1:$BZ$1,0),FALSE)),VLOOKUP($A17,Haver_M!$B$1:$BZ$300,MATCH(data!AA$1,Haver_M!$B$1:$BZ$1,0),FALSE),"")</f>
        <v/>
      </c>
      <c r="AB17" t="str">
        <f>IF(ISNUMBER(VLOOKUP($A17,Haver_M!$B$1:$BZ$300,MATCH(data!AB$1,Haver_M!$B$1:$BZ$1,0),FALSE)),VLOOKUP($A17,Haver_M!$B$1:$BZ$300,MATCH(data!AB$1,Haver_M!$B$1:$BZ$1,0),FALSE),"")</f>
        <v/>
      </c>
      <c r="AC17" t="str">
        <f>IF(ISNUMBER(VLOOKUP($A17,Haver_M!$B$1:$BZ$300,MATCH(data!AC$1,Haver_M!$B$1:$BZ$1,0),FALSE)),VLOOKUP($A17,Haver_M!$B$1:$BZ$300,MATCH(data!AC$1,Haver_M!$B$1:$BZ$1,0),FALSE),"")</f>
        <v/>
      </c>
      <c r="AD17" t="str">
        <f>IF(ISNUMBER(VLOOKUP($A17,Haver_M!$B$1:$BZ$300,MATCH(data!AD$1,Haver_M!$B$1:$BZ$1,0),FALSE)),VLOOKUP($A17,Haver_M!$B$1:$BZ$300,MATCH(data!AD$1,Haver_M!$B$1:$BZ$1,0),FALSE),"")</f>
        <v/>
      </c>
      <c r="AE17" t="str">
        <f>IF(ISNUMBER(VLOOKUP($A17,Haver_M!$B$1:$BZ$300,MATCH(data!AE$1,Haver_M!$B$1:$BZ$1,0),FALSE)),VLOOKUP($A17,Haver_M!$B$1:$BZ$300,MATCH(data!AE$1,Haver_M!$B$1:$BZ$1,0),FALSE),"")</f>
        <v/>
      </c>
      <c r="AF17" t="str">
        <f>IF(ISNUMBER(VLOOKUP($A17,Haver_M!$B$1:$BZ$300,MATCH(data!AF$1,Haver_M!$B$1:$BZ$1,0),FALSE)),VLOOKUP($A17,Haver_M!$B$1:$BZ$300,MATCH(data!AF$1,Haver_M!$B$1:$BZ$1,0),FALSE),"")</f>
        <v/>
      </c>
      <c r="AG17" t="str">
        <f>IF(ISNUMBER(VLOOKUP($A17,Haver_M!$B$1:$BZ$300,MATCH(data!AG$1,Haver_M!$B$1:$BZ$1,0),FALSE)),VLOOKUP($A17,Haver_M!$B$1:$BZ$300,MATCH(data!AG$1,Haver_M!$B$1:$BZ$1,0),FALSE),"")</f>
        <v/>
      </c>
      <c r="AH17" t="str">
        <f>IF(ISNUMBER(VLOOKUP($A17,Haver_M!$B$1:$BZ$300,MATCH(data!AH$1,Haver_M!$B$1:$BZ$1,0),FALSE)),VLOOKUP($A17,Haver_M!$B$1:$BZ$300,MATCH(data!AH$1,Haver_M!$B$1:$BZ$1,0),FALSE),"")</f>
        <v/>
      </c>
      <c r="AI17">
        <f>IF(ISNUMBER(VLOOKUP($A17,Haver_M!$B$1:$BZ$300,MATCH(data!AI$1,Haver_M!$B$1:$BZ$1,0),FALSE)),VLOOKUP($A17,Haver_M!$B$1:$BZ$300,MATCH(data!AI$1,Haver_M!$B$1:$BZ$1,0),FALSE),"")</f>
        <v>8308.7308201162614</v>
      </c>
      <c r="AJ17">
        <f>IF(ISNUMBER(VLOOKUP($A17,Haver_M!$B$1:$BZ$300,MATCH(data!AJ$1,Haver_M!$B$1:$BZ$1,0),FALSE)),VLOOKUP($A17,Haver_M!$B$1:$BZ$300,MATCH(data!AJ$1,Haver_M!$B$1:$BZ$1,0),FALSE),"")</f>
        <v>3226.88</v>
      </c>
      <c r="AK17">
        <f>IF(ISNUMBER(VLOOKUP($A17,Haver_M!$B$1:$BZ$300,MATCH(data!AK$1,Haver_M!$B$1:$BZ$1,0),FALSE)),VLOOKUP($A17,Haver_M!$B$1:$BZ$300,MATCH(data!AK$1,Haver_M!$B$1:$BZ$1,0),FALSE),"")</f>
        <v>4209.42</v>
      </c>
      <c r="AL17" t="str">
        <f>IF(ISNUMBER(VLOOKUP($A17,Haver_M!$B$1:$BZ$300,MATCH(data!AL$1,Haver_M!$B$1:$BZ$1,0),FALSE)),VLOOKUP($A17,Haver_M!$B$1:$BZ$300,MATCH(data!AL$1,Haver_M!$B$1:$BZ$1,0),FALSE),"")</f>
        <v/>
      </c>
      <c r="AM17" t="str">
        <f>IF(ISNUMBER(VLOOKUP($A17,Haver_M!$B$1:$BZ$300,MATCH(data!AM$1,Haver_M!$B$1:$BZ$1,0),FALSE)),VLOOKUP($A17,Haver_M!$B$1:$BZ$300,MATCH(data!AM$1,Haver_M!$B$1:$BZ$1,0),FALSE),"")</f>
        <v/>
      </c>
      <c r="AN17" t="str">
        <f>IF(ISNUMBER(VLOOKUP($A17,Haver_M!$B$1:$BZ$300,MATCH(data!AN$1,Haver_M!$B$1:$BZ$1,0),FALSE)),VLOOKUP($A17,Haver_M!$B$1:$BZ$300,MATCH(data!AN$1,Haver_M!$B$1:$BZ$1,0),FALSE),"")</f>
        <v/>
      </c>
      <c r="AO17" t="str">
        <f>IF(ISNUMBER(VLOOKUP($A17,Haver_M!$B$1:$BZ$300,MATCH(data!AO$1,Haver_M!$B$1:$BZ$1,0),FALSE)),VLOOKUP($A17,Haver_M!$B$1:$BZ$300,MATCH(data!AO$1,Haver_M!$B$1:$BZ$1,0),FALSE),"")</f>
        <v/>
      </c>
      <c r="AP17">
        <f>IF(ISNUMBER(VLOOKUP($A17,Haver_M!$B$1:$BZ$300,MATCH(data!AP$1,Haver_M!$B$1:$BZ$1,0),FALSE)),VLOOKUP($A17,Haver_M!$B$1:$BZ$300,MATCH(data!AP$1,Haver_M!$B$1:$BZ$1,0),FALSE),"")</f>
        <v>121.8110391901716</v>
      </c>
      <c r="AQ17" t="str">
        <f>IF(ISNUMBER(VLOOKUP($A17,Haver_M!$B$1:$BZ$300,MATCH(data!AQ$1,Haver_M!$B$1:$BZ$1,0),FALSE)),VLOOKUP($A17,Haver_M!$B$1:$BZ$300,MATCH(data!AQ$1,Haver_M!$B$1:$BZ$1,0),FALSE),"")</f>
        <v/>
      </c>
      <c r="AR17" t="str">
        <f>IF(ISNUMBER(VLOOKUP($A17,Haver_M!$B$1:$BZ$300,MATCH(data!AR$1,Haver_M!$B$1:$BZ$1,0),FALSE)),VLOOKUP($A17,Haver_M!$B$1:$BZ$300,MATCH(data!AR$1,Haver_M!$B$1:$BZ$1,0),FALSE),"")</f>
        <v/>
      </c>
      <c r="AS17" t="str">
        <f>IF(ISNUMBER(VLOOKUP($A17,Haver_M!$B$1:$BZ$300,MATCH(data!AS$1,Haver_M!$B$1:$BZ$1,0),FALSE)),VLOOKUP($A17,Haver_M!$B$1:$BZ$300,MATCH(data!AS$1,Haver_M!$B$1:$BZ$1,0),FALSE),"")</f>
        <v/>
      </c>
      <c r="AT17" t="str">
        <f>IF(ISNUMBER(VLOOKUP($A17,Haver_M!$B$1:$BZ$300,MATCH(data!AT$1,Haver_M!$B$1:$BZ$1,0),FALSE)),VLOOKUP($A17,Haver_M!$B$1:$BZ$300,MATCH(data!AT$1,Haver_M!$B$1:$BZ$1,0),FALSE),"")</f>
        <v/>
      </c>
      <c r="AU17" t="str">
        <f>IF(ISNUMBER(VLOOKUP($A17,Haver_M!$B$1:$BZ$300,MATCH(data!AU$1,Haver_M!$B$1:$BZ$1,0),FALSE)),VLOOKUP($A17,Haver_M!$B$1:$BZ$300,MATCH(data!AU$1,Haver_M!$B$1:$BZ$1,0),FALSE),"")</f>
        <v/>
      </c>
      <c r="AV17" t="str">
        <f>IF(ISNUMBER(VLOOKUP($A17,Haver_M!$B$1:$BZ$300,MATCH(data!AV$1,Haver_M!$B$1:$BZ$1,0),FALSE)),VLOOKUP($A17,Haver_M!$B$1:$BZ$300,MATCH(data!AV$1,Haver_M!$B$1:$BZ$1,0),FALSE),"")</f>
        <v/>
      </c>
      <c r="AW17" t="str">
        <f>IF(ISNUMBER(VLOOKUP($A17,Haver_M!$B$1:$BZ$300,MATCH(data!AW$1,Haver_M!$B$1:$BZ$1,0),FALSE)),VLOOKUP($A17,Haver_M!$B$1:$BZ$300,MATCH(data!AW$1,Haver_M!$B$1:$BZ$1,0),FALSE),"")</f>
        <v/>
      </c>
      <c r="AX17" t="str">
        <f>IF(ISNUMBER(VLOOKUP($A17,Haver_M!$B$1:$BZ$300,MATCH(data!AX$1,Haver_M!$B$1:$BZ$1,0),FALSE)),VLOOKUP($A17,Haver_M!$B$1:$BZ$300,MATCH(data!AX$1,Haver_M!$B$1:$BZ$1,0),FALSE),"")</f>
        <v/>
      </c>
      <c r="AY17" t="str">
        <f>IF(ISNUMBER(VLOOKUP($A17,Haver_M!$B$1:$BZ$300,MATCH(data!AY$1,Haver_M!$B$1:$BZ$1,0),FALSE)),VLOOKUP($A17,Haver_M!$B$1:$BZ$300,MATCH(data!AY$1,Haver_M!$B$1:$BZ$1,0),FALSE),"")</f>
        <v/>
      </c>
      <c r="AZ17" t="str">
        <f>IF(ISNUMBER(VLOOKUP($A17,Haver_M!$B$1:$BZ$300,MATCH(data!AZ$1,Haver_M!$B$1:$BZ$1,0),FALSE)),VLOOKUP($A17,Haver_M!$B$1:$BZ$300,MATCH(data!AZ$1,Haver_M!$B$1:$BZ$1,0),FALSE),"")</f>
        <v/>
      </c>
      <c r="BA17" t="str">
        <f>IF(ISNUMBER(VLOOKUP($A17,Haver_M!$B$1:$BZ$300,MATCH(data!BA$1,Haver_M!$B$1:$BZ$1,0),FALSE)),VLOOKUP($A17,Haver_M!$B$1:$BZ$300,MATCH(data!BA$1,Haver_M!$B$1:$BZ$1,0),FALSE),"")</f>
        <v/>
      </c>
      <c r="BB17" t="str">
        <f>IF(ISNUMBER(VLOOKUP($A17,Haver_M!$B$1:$BZ$300,MATCH(data!BB$1,Haver_M!$B$1:$BZ$1,0),FALSE)),VLOOKUP($A17,Haver_M!$B$1:$BZ$300,MATCH(data!BB$1,Haver_M!$B$1:$BZ$1,0),FALSE),"")</f>
        <v/>
      </c>
      <c r="BC17" t="str">
        <f>IF(ISNUMBER(VLOOKUP($A17,Haver_M!$B$1:$BZ$300,MATCH(data!BC$1,Haver_M!$B$1:$BZ$1,0),FALSE)),VLOOKUP($A17,Haver_M!$B$1:$BZ$300,MATCH(data!BC$1,Haver_M!$B$1:$BZ$1,0),FALSE),"")</f>
        <v/>
      </c>
      <c r="BD17" t="str">
        <f>IF(ISNUMBER(VLOOKUP($A17,Haver_M!$B$1:$BZ$300,MATCH(data!BD$1,Haver_M!$B$1:$BZ$1,0),FALSE)),VLOOKUP($A17,Haver_M!$B$1:$BZ$300,MATCH(data!BD$1,Haver_M!$B$1:$BZ$1,0),FALSE),"")</f>
        <v/>
      </c>
      <c r="BE17" t="str">
        <f>IF(ISNUMBER(VLOOKUP($A17,Haver_M!$B$1:$BZ$300,MATCH(data!BE$1,Haver_M!$B$1:$BZ$1,0),FALSE)),VLOOKUP($A17,Haver_M!$B$1:$BZ$300,MATCH(data!BE$1,Haver_M!$B$1:$BZ$1,0),FALSE),"")</f>
        <v/>
      </c>
      <c r="BF17" t="str">
        <f>IF(ISNUMBER(VLOOKUP($A17,Haver_M!$B$1:$BZ$300,MATCH(data!BF$1,Haver_M!$B$1:$BZ$1,0),FALSE)),VLOOKUP($A17,Haver_M!$B$1:$BZ$300,MATCH(data!BF$1,Haver_M!$B$1:$BZ$1,0),FALSE),"")</f>
        <v/>
      </c>
      <c r="BG17" t="str">
        <f>IF(ISNUMBER(VLOOKUP($A17,Haver_M!$B$1:$BZ$300,MATCH(data!BG$1,Haver_M!$B$1:$BZ$1,0),FALSE)),VLOOKUP($A17,Haver_M!$B$1:$BZ$300,MATCH(data!BG$1,Haver_M!$B$1:$BZ$1,0),FALSE),"")</f>
        <v/>
      </c>
      <c r="BH17" t="str">
        <f>IF(ISNUMBER(VLOOKUP($A17,Haver_M!$B$1:$BZ$300,MATCH(data!BH$1,Haver_M!$B$1:$BZ$1,0),FALSE)),VLOOKUP($A17,Haver_M!$B$1:$BZ$300,MATCH(data!BH$1,Haver_M!$B$1:$BZ$1,0),FALSE),"")</f>
        <v/>
      </c>
      <c r="BI17" t="str">
        <f>IF(ISNUMBER(VLOOKUP($A17,Haver_M!$B$1:$BZ$300,MATCH(data!BI$1,Haver_M!$B$1:$BZ$1,0),FALSE)),VLOOKUP($A17,Haver_M!$B$1:$BZ$300,MATCH(data!BI$1,Haver_M!$B$1:$BZ$1,0),FALSE),"")</f>
        <v/>
      </c>
      <c r="BJ17" t="str">
        <f>IF(ISNUMBER(VLOOKUP($A17,Haver_M!$B$1:$BZ$300,MATCH(data!BJ$1,Haver_M!$B$1:$BZ$1,0),FALSE)),VLOOKUP($A17,Haver_M!$B$1:$BZ$300,MATCH(data!BJ$1,Haver_M!$B$1:$BZ$1,0),FALSE),"")</f>
        <v/>
      </c>
      <c r="BK17" t="str">
        <f>IF(ISNUMBER(VLOOKUP($A17,Haver_M!$B$1:$BZ$300,MATCH(data!BK$1,Haver_M!$B$1:$BZ$1,0),FALSE)),VLOOKUP($A17,Haver_M!$B$1:$BZ$300,MATCH(data!BK$1,Haver_M!$B$1:$BZ$1,0),FALSE),"")</f>
        <v/>
      </c>
      <c r="BL17">
        <f>IF(ISNUMBER(VLOOKUP($A17,Haver_M!$B$1:$BZ$300,MATCH(data!BL$1,Haver_M!$B$1:$BZ$1,0),FALSE)),VLOOKUP($A17,Haver_M!$B$1:$BZ$300,MATCH(data!BL$1,Haver_M!$B$1:$BZ$1,0),FALSE),"")</f>
        <v>3487.44</v>
      </c>
      <c r="BM17">
        <f>IF(ISNUMBER(VLOOKUP($A17,Haver_M!$B$1:$BZ$300,MATCH(data!BM$1,Haver_M!$B$1:$BZ$1,0),FALSE)),VLOOKUP($A17,Haver_M!$B$1:$BZ$300,MATCH(data!BM$1,Haver_M!$B$1:$BZ$1,0),FALSE),"")</f>
        <v>105.39878494</v>
      </c>
      <c r="BN17" t="str">
        <f>IF(ISNUMBER(VLOOKUP($A17,Haver_M!$B$1:$BZ$300,MATCH(data!BN$1,Haver_M!$B$1:$BZ$1,0),FALSE)),VLOOKUP($A17,Haver_M!$B$1:$BZ$300,MATCH(data!BN$1,Haver_M!$B$1:$BZ$1,0),FALSE),"")</f>
        <v/>
      </c>
      <c r="BO17" t="str">
        <f>IF(ISNUMBER(VLOOKUP($A17,Haver_M!$B$1:$BZ$300,MATCH(data!BO$1,Haver_M!$B$1:$BZ$1,0),FALSE)),VLOOKUP($A17,Haver_M!$B$1:$BZ$300,MATCH(data!BO$1,Haver_M!$B$1:$BZ$1,0),FALSE),"")</f>
        <v/>
      </c>
      <c r="BP17" t="str">
        <f>IF(ISNUMBER(VLOOKUP($A17,Haver_M!$B$1:$BZ$300,MATCH(data!BP$1,Haver_M!$B$1:$BZ$1,0),FALSE)),VLOOKUP($A17,Haver_M!$B$1:$BZ$300,MATCH(data!BP$1,Haver_M!$B$1:$BZ$1,0),FALSE),"")</f>
        <v/>
      </c>
      <c r="BQ17" t="str">
        <f>IF(ISNUMBER(VLOOKUP($A17,Haver_M!$B$1:$BZ$300,MATCH(data!BQ$1,Haver_M!$B$1:$BZ$1,0),FALSE)),VLOOKUP($A17,Haver_M!$B$1:$BZ$300,MATCH(data!BQ$1,Haver_M!$B$1:$BZ$1,0),FALSE),"")</f>
        <v/>
      </c>
      <c r="BR17" t="str">
        <f>IF(ISNUMBER(VLOOKUP($A17,Haver_M!$B$1:$BZ$300,MATCH(data!BR$1,Haver_M!$B$1:$BZ$1,0),FALSE)),VLOOKUP($A17,Haver_M!$B$1:$BZ$300,MATCH(data!BR$1,Haver_M!$B$1:$BZ$1,0),FALSE),"")</f>
        <v/>
      </c>
      <c r="BS17" t="str">
        <f>IF(ISNUMBER(VLOOKUP($A17,Haver_M!$B$1:$BZ$300,MATCH(data!BS$1,Haver_M!$B$1:$BZ$1,0),FALSE)),VLOOKUP($A17,Haver_M!$B$1:$BZ$300,MATCH(data!BS$1,Haver_M!$B$1:$BZ$1,0),FALSE),"")</f>
        <v/>
      </c>
      <c r="BT17" t="str">
        <f>IF(ISNUMBER(VLOOKUP($A17,Haver_M!$B$1:$BZ$300,MATCH(data!BT$1,Haver_M!$B$1:$BZ$1,0),FALSE)),VLOOKUP($A17,Haver_M!$B$1:$BZ$300,MATCH(data!BT$1,Haver_M!$B$1:$BZ$1,0),FALSE),"")</f>
        <v/>
      </c>
      <c r="BU17">
        <f>IF(ISNUMBER(VLOOKUP($A17,Haver_M!$B$1:$BZ$300,MATCH(data!BU$1,Haver_M!$B$1:$BZ$1,0),FALSE)),VLOOKUP($A17,Haver_M!$B$1:$BZ$300,MATCH(data!BU$1,Haver_M!$B$1:$BZ$1,0),FALSE),"")</f>
        <v>3115</v>
      </c>
      <c r="BV17">
        <f>IF(ISNUMBER(VLOOKUP($A17,Haver_M!$B$1:$BZ$300,MATCH(data!BV$1,Haver_M!$B$1:$BZ$1,0),FALSE)),VLOOKUP($A17,Haver_M!$B$1:$BZ$300,MATCH(data!BV$1,Haver_M!$B$1:$BZ$1,0),FALSE),"")</f>
        <v>4094</v>
      </c>
      <c r="BW17">
        <f>IF(ISNUMBER(VLOOKUP($A17,Haver_M!$B$1:$BZ$300,MATCH(data!BW$1,Haver_M!$B$1:$BZ$1,0),FALSE)),VLOOKUP($A17,Haver_M!$B$1:$BZ$300,MATCH(data!BW$1,Haver_M!$B$1:$BZ$1,0),FALSE),"")</f>
        <v>46.783499999999997</v>
      </c>
      <c r="BX17">
        <f>IF(ISNUMBER(VLOOKUP($A17,Haver_M!$B$1:$BZ$300,MATCH(data!BX$1,Haver_M!$B$1:$BZ$1,0),FALSE)),VLOOKUP($A17,Haver_M!$B$1:$BZ$300,MATCH(data!BX$1,Haver_M!$B$1:$BZ$1,0),FALSE),"")</f>
        <v>52444</v>
      </c>
    </row>
    <row r="18" spans="1:76" x14ac:dyDescent="0.25">
      <c r="A18" s="2">
        <v>37042</v>
      </c>
      <c r="B18" t="str">
        <f>IF(ISNUMBER(VLOOKUP($A18,Haver_Q!$B$1:$L$185,MATCH(data!B$1,Haver_Q!$B$1:$L$1,0),FALSE)),100*(VLOOKUP($A18,Haver_Q!$B$1:$L$185,MATCH(data!B$1,Haver_Q!$B$1:$L$1,0),FALSE)),"")</f>
        <v/>
      </c>
      <c r="C18" t="str">
        <f>IF(ISNUMBER(VLOOKUP($A18,Haver_Q!$B$1:$L$185,MATCH(data!C$1,Haver_Q!$B$1:$L$1,0),FALSE)),100*(VLOOKUP($A18,Haver_Q!$B$1:$L$185,MATCH(data!C$1,Haver_Q!$B$1:$L$1,0),FALSE)),"")</f>
        <v/>
      </c>
      <c r="D18" t="str">
        <f>IF(ISNUMBER(VLOOKUP($A18,Haver_Q!$B$1:$L$185,MATCH(data!D$1,Haver_Q!$B$1:$L$1,0),FALSE)),100*(VLOOKUP($A18,Haver_Q!$B$1:$L$185,MATCH(data!D$1,Haver_Q!$B$1:$L$1,0),FALSE)),"")</f>
        <v/>
      </c>
      <c r="E18" t="str">
        <f>IF(ISNUMBER(VLOOKUP($A18,Haver_Q!$B$1:$L$185,MATCH(data!E$1,Haver_Q!$B$1:$L$1,0),FALSE)),100*(VLOOKUP($A18,Haver_Q!$B$1:$L$185,MATCH(data!E$1,Haver_Q!$B$1:$L$1,0),FALSE)),"")</f>
        <v/>
      </c>
      <c r="F18" t="str">
        <f>IF(ISNUMBER(VLOOKUP($A18,Haver_Q!$B$1:$L$185,MATCH(data!F$1,Haver_Q!$B$1:$L$1,0),FALSE)),100*(VLOOKUP($A18,Haver_Q!$B$1:$L$185,MATCH(data!F$1,Haver_Q!$B$1:$L$1,0),FALSE)),"")</f>
        <v/>
      </c>
      <c r="G18" t="str">
        <f>IF(ISNUMBER(VLOOKUP($A18,Haver_Q!$B$1:$L$185,MATCH(data!G$1,Haver_Q!$B$1:$L$1,0),FALSE)),100*(VLOOKUP($A18,Haver_Q!$B$1:$L$185,MATCH(data!G$1,Haver_Q!$B$1:$L$1,0),FALSE)),"")</f>
        <v/>
      </c>
      <c r="H18" t="str">
        <f>IF(ISNUMBER(VLOOKUP($A18,Haver_Q!$B$1:$L$185,MATCH(data!H$1,Haver_Q!$B$1:$L$1,0),FALSE)),(VLOOKUP($A18,Haver_Q!$B$1:$L$185,MATCH(data!H$1,Haver_Q!$B$1:$L$1,0),FALSE)),"")</f>
        <v/>
      </c>
      <c r="I18" t="str">
        <f>IF(ISNUMBER(VLOOKUP($A18,Haver_Q!$B$1:$L$185,MATCH(data!I$1,Haver_Q!$B$1:$L$1,0),FALSE)),100*(VLOOKUP($A18,Haver_Q!$B$1:$L$185,MATCH(data!I$1,Haver_Q!$B$1:$L$1,0),FALSE)),"")</f>
        <v/>
      </c>
      <c r="J18" s="3">
        <f>IF(ISNUMBER(Bloomberg_m!C34),Bloomberg_m!C34,"")</f>
        <v>1448</v>
      </c>
      <c r="K18" s="3" t="str">
        <f>IF(ISNUMBER(Bloomberg_m!D34),Bloomberg_m!D34,"")</f>
        <v/>
      </c>
      <c r="L18" s="3" t="str">
        <f>IF(ISNUMBER(Bloomberg_m!E34),Bloomberg_m!E34,"")</f>
        <v/>
      </c>
      <c r="M18" s="3" t="str">
        <f>IF(ISNUMBER(Bloomberg_m!F34),Bloomberg_m!F34,"")</f>
        <v/>
      </c>
      <c r="N18">
        <f>IF(ISNUMBER(VLOOKUP($A18,Haver_M!$B$1:$BZ$300,MATCH(data!N$1,Haver_M!$B$1:$BZ$1,0),FALSE)),VLOOKUP($A18,Haver_M!$B$1:$BZ$300,MATCH(data!N$1,Haver_M!$B$1:$BZ$1,0),FALSE),"")</f>
        <v>8.75</v>
      </c>
      <c r="O18">
        <f>IF(ISNUMBER(VLOOKUP($A18,Haver_M!$B$1:$BZ$300,MATCH(data!O$1,Haver_M!$B$1:$BZ$1,0),FALSE)),VLOOKUP($A18,Haver_M!$B$1:$BZ$300,MATCH(data!O$1,Haver_M!$B$1:$BZ$1,0),FALSE),"")</f>
        <v>9.7149000000000001</v>
      </c>
      <c r="P18">
        <f>IF(ISNUMBER(VLOOKUP($A18,Haver_M!$B$1:$BZ$300,MATCH(data!P$1,Haver_M!$B$1:$BZ$1,0),FALSE)),VLOOKUP($A18,Haver_M!$B$1:$BZ$300,MATCH(data!P$1,Haver_M!$B$1:$BZ$1,0),FALSE),"")</f>
        <v>97.516210000000001</v>
      </c>
      <c r="Q18">
        <f>IF(ISNUMBER(VLOOKUP($A18,Haver_M!$B$1:$BZ$300,MATCH(data!Q$1,Haver_M!$B$1:$BZ$1,0),FALSE)),VLOOKUP($A18,Haver_M!$B$1:$BZ$300,MATCH(data!Q$1,Haver_M!$B$1:$BZ$1,0),FALSE),"")</f>
        <v>47.8</v>
      </c>
      <c r="R18" t="str">
        <f>IF(ISNUMBER(VLOOKUP($A18,Haver_M!$B$1:$BZ$300,MATCH(data!R$1,Haver_M!$B$1:$BZ$1,0),FALSE)),VLOOKUP($A18,Haver_M!$B$1:$BZ$300,MATCH(data!R$1,Haver_M!$B$1:$BZ$1,0),FALSE),"")</f>
        <v/>
      </c>
      <c r="S18">
        <f>IF(ISNUMBER(VLOOKUP($A18,Haver_M!$B$1:$BZ$300,MATCH(data!S$1,Haver_M!$B$1:$BZ$1,0),FALSE)),VLOOKUP($A18,Haver_M!$B$1:$BZ$300,MATCH(data!S$1,Haver_M!$B$1:$BZ$1,0),FALSE),"")</f>
        <v>46.86</v>
      </c>
      <c r="T18">
        <f>IF(ISNUMBER(VLOOKUP($A18,Haver_M!$B$1:$BZ$300,MATCH(data!T$1,Haver_M!$B$1:$BZ$1,0),FALSE)),VLOOKUP($A18,Haver_M!$B$1:$BZ$300,MATCH(data!T$1,Haver_M!$B$1:$BZ$1,0),FALSE),"")</f>
        <v>55.5</v>
      </c>
      <c r="U18">
        <f>IF(ISNUMBER(VLOOKUP($A18,Haver_M!$B$1:$BZ$300,MATCH(data!U$1,Haver_M!$B$1:$BZ$1,0),FALSE)),VLOOKUP($A18,Haver_M!$B$1:$BZ$300,MATCH(data!U$1,Haver_M!$B$1:$BZ$1,0),FALSE),"")</f>
        <v>26.1</v>
      </c>
      <c r="V18">
        <f>IF(ISNUMBER(VLOOKUP($A18,Haver_M!$B$1:$BZ$300,MATCH(data!V$1,Haver_M!$B$1:$BZ$1,0),FALSE)),VLOOKUP($A18,Haver_M!$B$1:$BZ$300,MATCH(data!V$1,Haver_M!$B$1:$BZ$1,0),FALSE),"")</f>
        <v>59.65</v>
      </c>
      <c r="W18" t="str">
        <f>IF(ISNUMBER(VLOOKUP($A18,Haver_M!$B$1:$BZ$300,MATCH(data!W$1,Haver_M!$B$1:$BZ$1,0),FALSE)),VLOOKUP($A18,Haver_M!$B$1:$BZ$300,MATCH(data!W$1,Haver_M!$B$1:$BZ$1,0),FALSE),"")</f>
        <v/>
      </c>
      <c r="X18">
        <f>IF(ISNUMBER(VLOOKUP($A18,Haver_M!$B$1:$BZ$300,MATCH(data!X$1,Haver_M!$B$1:$BZ$1,0),FALSE)),VLOOKUP($A18,Haver_M!$B$1:$BZ$300,MATCH(data!X$1,Haver_M!$B$1:$BZ$1,0),FALSE),"")</f>
        <v>27.44</v>
      </c>
      <c r="Y18">
        <f>IF(ISNUMBER(VLOOKUP($A18,Haver_M!$B$1:$BZ$300,MATCH(data!Y$1,Haver_M!$B$1:$BZ$1,0),FALSE)),VLOOKUP($A18,Haver_M!$B$1:$BZ$300,MATCH(data!Y$1,Haver_M!$B$1:$BZ$1,0),FALSE),"")</f>
        <v>46.95</v>
      </c>
      <c r="Z18" t="str">
        <f>IF(ISNUMBER(VLOOKUP($A18,Haver_M!$B$1:$BZ$300,MATCH(data!Z$1,Haver_M!$B$1:$BZ$1,0),FALSE)),VLOOKUP($A18,Haver_M!$B$1:$BZ$300,MATCH(data!Z$1,Haver_M!$B$1:$BZ$1,0),FALSE),"")</f>
        <v/>
      </c>
      <c r="AA18" t="str">
        <f>IF(ISNUMBER(VLOOKUP($A18,Haver_M!$B$1:$BZ$300,MATCH(data!AA$1,Haver_M!$B$1:$BZ$1,0),FALSE)),VLOOKUP($A18,Haver_M!$B$1:$BZ$300,MATCH(data!AA$1,Haver_M!$B$1:$BZ$1,0),FALSE),"")</f>
        <v/>
      </c>
      <c r="AB18" t="str">
        <f>IF(ISNUMBER(VLOOKUP($A18,Haver_M!$B$1:$BZ$300,MATCH(data!AB$1,Haver_M!$B$1:$BZ$1,0),FALSE)),VLOOKUP($A18,Haver_M!$B$1:$BZ$300,MATCH(data!AB$1,Haver_M!$B$1:$BZ$1,0),FALSE),"")</f>
        <v/>
      </c>
      <c r="AC18" t="str">
        <f>IF(ISNUMBER(VLOOKUP($A18,Haver_M!$B$1:$BZ$300,MATCH(data!AC$1,Haver_M!$B$1:$BZ$1,0),FALSE)),VLOOKUP($A18,Haver_M!$B$1:$BZ$300,MATCH(data!AC$1,Haver_M!$B$1:$BZ$1,0),FALSE),"")</f>
        <v/>
      </c>
      <c r="AD18" t="str">
        <f>IF(ISNUMBER(VLOOKUP($A18,Haver_M!$B$1:$BZ$300,MATCH(data!AD$1,Haver_M!$B$1:$BZ$1,0),FALSE)),VLOOKUP($A18,Haver_M!$B$1:$BZ$300,MATCH(data!AD$1,Haver_M!$B$1:$BZ$1,0),FALSE),"")</f>
        <v/>
      </c>
      <c r="AE18" t="str">
        <f>IF(ISNUMBER(VLOOKUP($A18,Haver_M!$B$1:$BZ$300,MATCH(data!AE$1,Haver_M!$B$1:$BZ$1,0),FALSE)),VLOOKUP($A18,Haver_M!$B$1:$BZ$300,MATCH(data!AE$1,Haver_M!$B$1:$BZ$1,0),FALSE),"")</f>
        <v/>
      </c>
      <c r="AF18" t="str">
        <f>IF(ISNUMBER(VLOOKUP($A18,Haver_M!$B$1:$BZ$300,MATCH(data!AF$1,Haver_M!$B$1:$BZ$1,0),FALSE)),VLOOKUP($A18,Haver_M!$B$1:$BZ$300,MATCH(data!AF$1,Haver_M!$B$1:$BZ$1,0),FALSE),"")</f>
        <v/>
      </c>
      <c r="AG18" t="str">
        <f>IF(ISNUMBER(VLOOKUP($A18,Haver_M!$B$1:$BZ$300,MATCH(data!AG$1,Haver_M!$B$1:$BZ$1,0),FALSE)),VLOOKUP($A18,Haver_M!$B$1:$BZ$300,MATCH(data!AG$1,Haver_M!$B$1:$BZ$1,0),FALSE),"")</f>
        <v/>
      </c>
      <c r="AH18" t="str">
        <f>IF(ISNUMBER(VLOOKUP($A18,Haver_M!$B$1:$BZ$300,MATCH(data!AH$1,Haver_M!$B$1:$BZ$1,0),FALSE)),VLOOKUP($A18,Haver_M!$B$1:$BZ$300,MATCH(data!AH$1,Haver_M!$B$1:$BZ$1,0),FALSE),"")</f>
        <v/>
      </c>
      <c r="AI18">
        <f>IF(ISNUMBER(VLOOKUP($A18,Haver_M!$B$1:$BZ$300,MATCH(data!AI$1,Haver_M!$B$1:$BZ$1,0),FALSE)),VLOOKUP($A18,Haver_M!$B$1:$BZ$300,MATCH(data!AI$1,Haver_M!$B$1:$BZ$1,0),FALSE),"")</f>
        <v>8356.4908359369565</v>
      </c>
      <c r="AJ18">
        <f>IF(ISNUMBER(VLOOKUP($A18,Haver_M!$B$1:$BZ$300,MATCH(data!AJ$1,Haver_M!$B$1:$BZ$1,0),FALSE)),VLOOKUP($A18,Haver_M!$B$1:$BZ$300,MATCH(data!AJ$1,Haver_M!$B$1:$BZ$1,0),FALSE),"")</f>
        <v>3687.82</v>
      </c>
      <c r="AK18">
        <f>IF(ISNUMBER(VLOOKUP($A18,Haver_M!$B$1:$BZ$300,MATCH(data!AK$1,Haver_M!$B$1:$BZ$1,0),FALSE)),VLOOKUP($A18,Haver_M!$B$1:$BZ$300,MATCH(data!AK$1,Haver_M!$B$1:$BZ$1,0),FALSE),"")</f>
        <v>4455.2299999999996</v>
      </c>
      <c r="AL18" t="str">
        <f>IF(ISNUMBER(VLOOKUP($A18,Haver_M!$B$1:$BZ$300,MATCH(data!AL$1,Haver_M!$B$1:$BZ$1,0),FALSE)),VLOOKUP($A18,Haver_M!$B$1:$BZ$300,MATCH(data!AL$1,Haver_M!$B$1:$BZ$1,0),FALSE),"")</f>
        <v/>
      </c>
      <c r="AM18" t="str">
        <f>IF(ISNUMBER(VLOOKUP($A18,Haver_M!$B$1:$BZ$300,MATCH(data!AM$1,Haver_M!$B$1:$BZ$1,0),FALSE)),VLOOKUP($A18,Haver_M!$B$1:$BZ$300,MATCH(data!AM$1,Haver_M!$B$1:$BZ$1,0),FALSE),"")</f>
        <v/>
      </c>
      <c r="AN18" t="str">
        <f>IF(ISNUMBER(VLOOKUP($A18,Haver_M!$B$1:$BZ$300,MATCH(data!AN$1,Haver_M!$B$1:$BZ$1,0),FALSE)),VLOOKUP($A18,Haver_M!$B$1:$BZ$300,MATCH(data!AN$1,Haver_M!$B$1:$BZ$1,0),FALSE),"")</f>
        <v/>
      </c>
      <c r="AO18" t="str">
        <f>IF(ISNUMBER(VLOOKUP($A18,Haver_M!$B$1:$BZ$300,MATCH(data!AO$1,Haver_M!$B$1:$BZ$1,0),FALSE)),VLOOKUP($A18,Haver_M!$B$1:$BZ$300,MATCH(data!AO$1,Haver_M!$B$1:$BZ$1,0),FALSE),"")</f>
        <v/>
      </c>
      <c r="AP18">
        <f>IF(ISNUMBER(VLOOKUP($A18,Haver_M!$B$1:$BZ$300,MATCH(data!AP$1,Haver_M!$B$1:$BZ$1,0),FALSE)),VLOOKUP($A18,Haver_M!$B$1:$BZ$300,MATCH(data!AP$1,Haver_M!$B$1:$BZ$1,0),FALSE),"")</f>
        <v>88.793829179088362</v>
      </c>
      <c r="AQ18" t="str">
        <f>IF(ISNUMBER(VLOOKUP($A18,Haver_M!$B$1:$BZ$300,MATCH(data!AQ$1,Haver_M!$B$1:$BZ$1,0),FALSE)),VLOOKUP($A18,Haver_M!$B$1:$BZ$300,MATCH(data!AQ$1,Haver_M!$B$1:$BZ$1,0),FALSE),"")</f>
        <v/>
      </c>
      <c r="AR18" t="str">
        <f>IF(ISNUMBER(VLOOKUP($A18,Haver_M!$B$1:$BZ$300,MATCH(data!AR$1,Haver_M!$B$1:$BZ$1,0),FALSE)),VLOOKUP($A18,Haver_M!$B$1:$BZ$300,MATCH(data!AR$1,Haver_M!$B$1:$BZ$1,0),FALSE),"")</f>
        <v/>
      </c>
      <c r="AS18" t="str">
        <f>IF(ISNUMBER(VLOOKUP($A18,Haver_M!$B$1:$BZ$300,MATCH(data!AS$1,Haver_M!$B$1:$BZ$1,0),FALSE)),VLOOKUP($A18,Haver_M!$B$1:$BZ$300,MATCH(data!AS$1,Haver_M!$B$1:$BZ$1,0),FALSE),"")</f>
        <v/>
      </c>
      <c r="AT18" t="str">
        <f>IF(ISNUMBER(VLOOKUP($A18,Haver_M!$B$1:$BZ$300,MATCH(data!AT$1,Haver_M!$B$1:$BZ$1,0),FALSE)),VLOOKUP($A18,Haver_M!$B$1:$BZ$300,MATCH(data!AT$1,Haver_M!$B$1:$BZ$1,0),FALSE),"")</f>
        <v/>
      </c>
      <c r="AU18" t="str">
        <f>IF(ISNUMBER(VLOOKUP($A18,Haver_M!$B$1:$BZ$300,MATCH(data!AU$1,Haver_M!$B$1:$BZ$1,0),FALSE)),VLOOKUP($A18,Haver_M!$B$1:$BZ$300,MATCH(data!AU$1,Haver_M!$B$1:$BZ$1,0),FALSE),"")</f>
        <v/>
      </c>
      <c r="AV18" t="str">
        <f>IF(ISNUMBER(VLOOKUP($A18,Haver_M!$B$1:$BZ$300,MATCH(data!AV$1,Haver_M!$B$1:$BZ$1,0),FALSE)),VLOOKUP($A18,Haver_M!$B$1:$BZ$300,MATCH(data!AV$1,Haver_M!$B$1:$BZ$1,0),FALSE),"")</f>
        <v/>
      </c>
      <c r="AW18" t="str">
        <f>IF(ISNUMBER(VLOOKUP($A18,Haver_M!$B$1:$BZ$300,MATCH(data!AW$1,Haver_M!$B$1:$BZ$1,0),FALSE)),VLOOKUP($A18,Haver_M!$B$1:$BZ$300,MATCH(data!AW$1,Haver_M!$B$1:$BZ$1,0),FALSE),"")</f>
        <v/>
      </c>
      <c r="AX18" t="str">
        <f>IF(ISNUMBER(VLOOKUP($A18,Haver_M!$B$1:$BZ$300,MATCH(data!AX$1,Haver_M!$B$1:$BZ$1,0),FALSE)),VLOOKUP($A18,Haver_M!$B$1:$BZ$300,MATCH(data!AX$1,Haver_M!$B$1:$BZ$1,0),FALSE),"")</f>
        <v/>
      </c>
      <c r="AY18" t="str">
        <f>IF(ISNUMBER(VLOOKUP($A18,Haver_M!$B$1:$BZ$300,MATCH(data!AY$1,Haver_M!$B$1:$BZ$1,0),FALSE)),VLOOKUP($A18,Haver_M!$B$1:$BZ$300,MATCH(data!AY$1,Haver_M!$B$1:$BZ$1,0),FALSE),"")</f>
        <v/>
      </c>
      <c r="AZ18" t="str">
        <f>IF(ISNUMBER(VLOOKUP($A18,Haver_M!$B$1:$BZ$300,MATCH(data!AZ$1,Haver_M!$B$1:$BZ$1,0),FALSE)),VLOOKUP($A18,Haver_M!$B$1:$BZ$300,MATCH(data!AZ$1,Haver_M!$B$1:$BZ$1,0),FALSE),"")</f>
        <v/>
      </c>
      <c r="BA18" t="str">
        <f>IF(ISNUMBER(VLOOKUP($A18,Haver_M!$B$1:$BZ$300,MATCH(data!BA$1,Haver_M!$B$1:$BZ$1,0),FALSE)),VLOOKUP($A18,Haver_M!$B$1:$BZ$300,MATCH(data!BA$1,Haver_M!$B$1:$BZ$1,0),FALSE),"")</f>
        <v/>
      </c>
      <c r="BB18" t="str">
        <f>IF(ISNUMBER(VLOOKUP($A18,Haver_M!$B$1:$BZ$300,MATCH(data!BB$1,Haver_M!$B$1:$BZ$1,0),FALSE)),VLOOKUP($A18,Haver_M!$B$1:$BZ$300,MATCH(data!BB$1,Haver_M!$B$1:$BZ$1,0),FALSE),"")</f>
        <v/>
      </c>
      <c r="BC18" t="str">
        <f>IF(ISNUMBER(VLOOKUP($A18,Haver_M!$B$1:$BZ$300,MATCH(data!BC$1,Haver_M!$B$1:$BZ$1,0),FALSE)),VLOOKUP($A18,Haver_M!$B$1:$BZ$300,MATCH(data!BC$1,Haver_M!$B$1:$BZ$1,0),FALSE),"")</f>
        <v/>
      </c>
      <c r="BD18" t="str">
        <f>IF(ISNUMBER(VLOOKUP($A18,Haver_M!$B$1:$BZ$300,MATCH(data!BD$1,Haver_M!$B$1:$BZ$1,0),FALSE)),VLOOKUP($A18,Haver_M!$B$1:$BZ$300,MATCH(data!BD$1,Haver_M!$B$1:$BZ$1,0),FALSE),"")</f>
        <v/>
      </c>
      <c r="BE18" t="str">
        <f>IF(ISNUMBER(VLOOKUP($A18,Haver_M!$B$1:$BZ$300,MATCH(data!BE$1,Haver_M!$B$1:$BZ$1,0),FALSE)),VLOOKUP($A18,Haver_M!$B$1:$BZ$300,MATCH(data!BE$1,Haver_M!$B$1:$BZ$1,0),FALSE),"")</f>
        <v/>
      </c>
      <c r="BF18" t="str">
        <f>IF(ISNUMBER(VLOOKUP($A18,Haver_M!$B$1:$BZ$300,MATCH(data!BF$1,Haver_M!$B$1:$BZ$1,0),FALSE)),VLOOKUP($A18,Haver_M!$B$1:$BZ$300,MATCH(data!BF$1,Haver_M!$B$1:$BZ$1,0),FALSE),"")</f>
        <v/>
      </c>
      <c r="BG18" t="str">
        <f>IF(ISNUMBER(VLOOKUP($A18,Haver_M!$B$1:$BZ$300,MATCH(data!BG$1,Haver_M!$B$1:$BZ$1,0),FALSE)),VLOOKUP($A18,Haver_M!$B$1:$BZ$300,MATCH(data!BG$1,Haver_M!$B$1:$BZ$1,0),FALSE),"")</f>
        <v/>
      </c>
      <c r="BH18" t="str">
        <f>IF(ISNUMBER(VLOOKUP($A18,Haver_M!$B$1:$BZ$300,MATCH(data!BH$1,Haver_M!$B$1:$BZ$1,0),FALSE)),VLOOKUP($A18,Haver_M!$B$1:$BZ$300,MATCH(data!BH$1,Haver_M!$B$1:$BZ$1,0),FALSE),"")</f>
        <v/>
      </c>
      <c r="BI18" t="str">
        <f>IF(ISNUMBER(VLOOKUP($A18,Haver_M!$B$1:$BZ$300,MATCH(data!BI$1,Haver_M!$B$1:$BZ$1,0),FALSE)),VLOOKUP($A18,Haver_M!$B$1:$BZ$300,MATCH(data!BI$1,Haver_M!$B$1:$BZ$1,0),FALSE),"")</f>
        <v/>
      </c>
      <c r="BJ18" t="str">
        <f>IF(ISNUMBER(VLOOKUP($A18,Haver_M!$B$1:$BZ$300,MATCH(data!BJ$1,Haver_M!$B$1:$BZ$1,0),FALSE)),VLOOKUP($A18,Haver_M!$B$1:$BZ$300,MATCH(data!BJ$1,Haver_M!$B$1:$BZ$1,0),FALSE),"")</f>
        <v/>
      </c>
      <c r="BK18" t="str">
        <f>IF(ISNUMBER(VLOOKUP($A18,Haver_M!$B$1:$BZ$300,MATCH(data!BK$1,Haver_M!$B$1:$BZ$1,0),FALSE)),VLOOKUP($A18,Haver_M!$B$1:$BZ$300,MATCH(data!BK$1,Haver_M!$B$1:$BZ$1,0),FALSE),"")</f>
        <v/>
      </c>
      <c r="BL18">
        <f>IF(ISNUMBER(VLOOKUP($A18,Haver_M!$B$1:$BZ$300,MATCH(data!BL$1,Haver_M!$B$1:$BZ$1,0),FALSE)),VLOOKUP($A18,Haver_M!$B$1:$BZ$300,MATCH(data!BL$1,Haver_M!$B$1:$BZ$1,0),FALSE),"")</f>
        <v>3613.84</v>
      </c>
      <c r="BM18">
        <f>IF(ISNUMBER(VLOOKUP($A18,Haver_M!$B$1:$BZ$300,MATCH(data!BM$1,Haver_M!$B$1:$BZ$1,0),FALSE)),VLOOKUP($A18,Haver_M!$B$1:$BZ$300,MATCH(data!BM$1,Haver_M!$B$1:$BZ$1,0),FALSE),"")</f>
        <v>103.6767114</v>
      </c>
      <c r="BN18" t="str">
        <f>IF(ISNUMBER(VLOOKUP($A18,Haver_M!$B$1:$BZ$300,MATCH(data!BN$1,Haver_M!$B$1:$BZ$1,0),FALSE)),VLOOKUP($A18,Haver_M!$B$1:$BZ$300,MATCH(data!BN$1,Haver_M!$B$1:$BZ$1,0),FALSE),"")</f>
        <v/>
      </c>
      <c r="BO18" t="str">
        <f>IF(ISNUMBER(VLOOKUP($A18,Haver_M!$B$1:$BZ$300,MATCH(data!BO$1,Haver_M!$B$1:$BZ$1,0),FALSE)),VLOOKUP($A18,Haver_M!$B$1:$BZ$300,MATCH(data!BO$1,Haver_M!$B$1:$BZ$1,0),FALSE),"")</f>
        <v/>
      </c>
      <c r="BP18" t="str">
        <f>IF(ISNUMBER(VLOOKUP($A18,Haver_M!$B$1:$BZ$300,MATCH(data!BP$1,Haver_M!$B$1:$BZ$1,0),FALSE)),VLOOKUP($A18,Haver_M!$B$1:$BZ$300,MATCH(data!BP$1,Haver_M!$B$1:$BZ$1,0),FALSE),"")</f>
        <v/>
      </c>
      <c r="BQ18" t="str">
        <f>IF(ISNUMBER(VLOOKUP($A18,Haver_M!$B$1:$BZ$300,MATCH(data!BQ$1,Haver_M!$B$1:$BZ$1,0),FALSE)),VLOOKUP($A18,Haver_M!$B$1:$BZ$300,MATCH(data!BQ$1,Haver_M!$B$1:$BZ$1,0),FALSE),"")</f>
        <v/>
      </c>
      <c r="BR18" t="str">
        <f>IF(ISNUMBER(VLOOKUP($A18,Haver_M!$B$1:$BZ$300,MATCH(data!BR$1,Haver_M!$B$1:$BZ$1,0),FALSE)),VLOOKUP($A18,Haver_M!$B$1:$BZ$300,MATCH(data!BR$1,Haver_M!$B$1:$BZ$1,0),FALSE),"")</f>
        <v/>
      </c>
      <c r="BS18" t="str">
        <f>IF(ISNUMBER(VLOOKUP($A18,Haver_M!$B$1:$BZ$300,MATCH(data!BS$1,Haver_M!$B$1:$BZ$1,0),FALSE)),VLOOKUP($A18,Haver_M!$B$1:$BZ$300,MATCH(data!BS$1,Haver_M!$B$1:$BZ$1,0),FALSE),"")</f>
        <v/>
      </c>
      <c r="BT18" t="str">
        <f>IF(ISNUMBER(VLOOKUP($A18,Haver_M!$B$1:$BZ$300,MATCH(data!BT$1,Haver_M!$B$1:$BZ$1,0),FALSE)),VLOOKUP($A18,Haver_M!$B$1:$BZ$300,MATCH(data!BT$1,Haver_M!$B$1:$BZ$1,0),FALSE),"")</f>
        <v/>
      </c>
      <c r="BU18">
        <f>IF(ISNUMBER(VLOOKUP($A18,Haver_M!$B$1:$BZ$300,MATCH(data!BU$1,Haver_M!$B$1:$BZ$1,0),FALSE)),VLOOKUP($A18,Haver_M!$B$1:$BZ$300,MATCH(data!BU$1,Haver_M!$B$1:$BZ$1,0),FALSE),"")</f>
        <v>3629</v>
      </c>
      <c r="BV18">
        <f>IF(ISNUMBER(VLOOKUP($A18,Haver_M!$B$1:$BZ$300,MATCH(data!BV$1,Haver_M!$B$1:$BZ$1,0),FALSE)),VLOOKUP($A18,Haver_M!$B$1:$BZ$300,MATCH(data!BV$1,Haver_M!$B$1:$BZ$1,0),FALSE),"")</f>
        <v>4674</v>
      </c>
      <c r="BW18">
        <f>IF(ISNUMBER(VLOOKUP($A18,Haver_M!$B$1:$BZ$300,MATCH(data!BW$1,Haver_M!$B$1:$BZ$1,0),FALSE)),VLOOKUP($A18,Haver_M!$B$1:$BZ$300,MATCH(data!BW$1,Haver_M!$B$1:$BZ$1,0),FALSE),"")</f>
        <v>46.920200000000001</v>
      </c>
      <c r="BX18">
        <f>IF(ISNUMBER(VLOOKUP($A18,Haver_M!$B$1:$BZ$300,MATCH(data!BX$1,Haver_M!$B$1:$BZ$1,0),FALSE)),VLOOKUP($A18,Haver_M!$B$1:$BZ$300,MATCH(data!BX$1,Haver_M!$B$1:$BZ$1,0),FALSE),"")</f>
        <v>60701</v>
      </c>
    </row>
    <row r="19" spans="1:76" x14ac:dyDescent="0.25">
      <c r="A19" s="2">
        <v>37072</v>
      </c>
      <c r="B19">
        <f>IF(ISNUMBER(VLOOKUP($A19,Haver_Q!$B$1:$L$185,MATCH(data!B$1,Haver_Q!$B$1:$L$1,0),FALSE)),100*(VLOOKUP($A19,Haver_Q!$B$1:$L$185,MATCH(data!B$1,Haver_Q!$B$1:$L$1,0),FALSE)),"")</f>
        <v>9.4898378719643581</v>
      </c>
      <c r="C19">
        <f>IF(ISNUMBER(VLOOKUP($A19,Haver_Q!$B$1:$L$185,MATCH(data!C$1,Haver_Q!$B$1:$L$1,0),FALSE)),100*(VLOOKUP($A19,Haver_Q!$B$1:$L$185,MATCH(data!C$1,Haver_Q!$B$1:$L$1,0),FALSE)),"")</f>
        <v>10.341267560135403</v>
      </c>
      <c r="D19">
        <f>IF(ISNUMBER(VLOOKUP($A19,Haver_Q!$B$1:$L$185,MATCH(data!D$1,Haver_Q!$B$1:$L$1,0),FALSE)),100*(VLOOKUP($A19,Haver_Q!$B$1:$L$185,MATCH(data!D$1,Haver_Q!$B$1:$L$1,0),FALSE)),"")</f>
        <v>-14.356514421490985</v>
      </c>
      <c r="E19">
        <f>IF(ISNUMBER(VLOOKUP($A19,Haver_Q!$B$1:$L$185,MATCH(data!E$1,Haver_Q!$B$1:$L$1,0),FALSE)),100*(VLOOKUP($A19,Haver_Q!$B$1:$L$185,MATCH(data!E$1,Haver_Q!$B$1:$L$1,0),FALSE)),"")</f>
        <v>34.125044705501885</v>
      </c>
      <c r="F19">
        <f>IF(ISNUMBER(VLOOKUP($A19,Haver_Q!$B$1:$L$185,MATCH(data!F$1,Haver_Q!$B$1:$L$1,0),FALSE)),100*(VLOOKUP($A19,Haver_Q!$B$1:$L$185,MATCH(data!F$1,Haver_Q!$B$1:$L$1,0),FALSE)),"")</f>
        <v>14.381383840293438</v>
      </c>
      <c r="G19">
        <f>IF(ISNUMBER(VLOOKUP($A19,Haver_Q!$B$1:$L$185,MATCH(data!G$1,Haver_Q!$B$1:$L$1,0),FALSE)),100*(VLOOKUP($A19,Haver_Q!$B$1:$L$185,MATCH(data!G$1,Haver_Q!$B$1:$L$1,0),FALSE)),"")</f>
        <v>13.768822993176988</v>
      </c>
      <c r="H19">
        <f>IF(ISNUMBER(VLOOKUP($A19,Haver_Q!$B$1:$L$185,MATCH(data!H$1,Haver_Q!$B$1:$L$1,0),FALSE)),(VLOOKUP($A19,Haver_Q!$B$1:$L$185,MATCH(data!H$1,Haver_Q!$B$1:$L$1,0),FALSE)),"")</f>
        <v>1.9835864009062227</v>
      </c>
      <c r="I19">
        <f>IF(ISNUMBER(VLOOKUP($A19,Haver_Q!$B$1:$L$185,MATCH(data!I$1,Haver_Q!$B$1:$L$1,0),FALSE)),100*(VLOOKUP($A19,Haver_Q!$B$1:$L$185,MATCH(data!I$1,Haver_Q!$B$1:$L$1,0),FALSE)),"")</f>
        <v>3.841364045688378</v>
      </c>
      <c r="J19" s="3">
        <f>IF(ISNUMBER(Bloomberg_m!C35),Bloomberg_m!C35,"")</f>
        <v>1377</v>
      </c>
      <c r="K19" s="3" t="str">
        <f>IF(ISNUMBER(Bloomberg_m!D35),Bloomberg_m!D35,"")</f>
        <v/>
      </c>
      <c r="L19" s="3" t="str">
        <f>IF(ISNUMBER(Bloomberg_m!E35),Bloomberg_m!E35,"")</f>
        <v/>
      </c>
      <c r="M19" s="3" t="str">
        <f>IF(ISNUMBER(Bloomberg_m!F35),Bloomberg_m!F35,"")</f>
        <v/>
      </c>
      <c r="N19">
        <f>IF(ISNUMBER(VLOOKUP($A19,Haver_M!$B$1:$BZ$300,MATCH(data!N$1,Haver_M!$B$1:$BZ$1,0),FALSE)),VLOOKUP($A19,Haver_M!$B$1:$BZ$300,MATCH(data!N$1,Haver_M!$B$1:$BZ$1,0),FALSE),"")</f>
        <v>8.5</v>
      </c>
      <c r="O19">
        <f>IF(ISNUMBER(VLOOKUP($A19,Haver_M!$B$1:$BZ$300,MATCH(data!O$1,Haver_M!$B$1:$BZ$1,0),FALSE)),VLOOKUP($A19,Haver_M!$B$1:$BZ$300,MATCH(data!O$1,Haver_M!$B$1:$BZ$1,0),FALSE),"")</f>
        <v>9.4550999999999998</v>
      </c>
      <c r="P19">
        <f>IF(ISNUMBER(VLOOKUP($A19,Haver_M!$B$1:$BZ$300,MATCH(data!P$1,Haver_M!$B$1:$BZ$1,0),FALSE)),VLOOKUP($A19,Haver_M!$B$1:$BZ$300,MATCH(data!P$1,Haver_M!$B$1:$BZ$1,0),FALSE),"")</f>
        <v>98.845179999999999</v>
      </c>
      <c r="Q19">
        <f>IF(ISNUMBER(VLOOKUP($A19,Haver_M!$B$1:$BZ$300,MATCH(data!Q$1,Haver_M!$B$1:$BZ$1,0),FALSE)),VLOOKUP($A19,Haver_M!$B$1:$BZ$300,MATCH(data!Q$1,Haver_M!$B$1:$BZ$1,0),FALSE),"")</f>
        <v>48.3</v>
      </c>
      <c r="R19" t="str">
        <f>IF(ISNUMBER(VLOOKUP($A19,Haver_M!$B$1:$BZ$300,MATCH(data!R$1,Haver_M!$B$1:$BZ$1,0),FALSE)),VLOOKUP($A19,Haver_M!$B$1:$BZ$300,MATCH(data!R$1,Haver_M!$B$1:$BZ$1,0),FALSE),"")</f>
        <v/>
      </c>
      <c r="S19">
        <f>IF(ISNUMBER(VLOOKUP($A19,Haver_M!$B$1:$BZ$300,MATCH(data!S$1,Haver_M!$B$1:$BZ$1,0),FALSE)),VLOOKUP($A19,Haver_M!$B$1:$BZ$300,MATCH(data!S$1,Haver_M!$B$1:$BZ$1,0),FALSE),"")</f>
        <v>47.17</v>
      </c>
      <c r="T19">
        <f>IF(ISNUMBER(VLOOKUP($A19,Haver_M!$B$1:$BZ$300,MATCH(data!T$1,Haver_M!$B$1:$BZ$1,0),FALSE)),VLOOKUP($A19,Haver_M!$B$1:$BZ$300,MATCH(data!T$1,Haver_M!$B$1:$BZ$1,0),FALSE),"")</f>
        <v>55.4</v>
      </c>
      <c r="U19">
        <f>IF(ISNUMBER(VLOOKUP($A19,Haver_M!$B$1:$BZ$300,MATCH(data!U$1,Haver_M!$B$1:$BZ$1,0),FALSE)),VLOOKUP($A19,Haver_M!$B$1:$BZ$300,MATCH(data!U$1,Haver_M!$B$1:$BZ$1,0),FALSE),"")</f>
        <v>24.9</v>
      </c>
      <c r="V19">
        <f>IF(ISNUMBER(VLOOKUP($A19,Haver_M!$B$1:$BZ$300,MATCH(data!V$1,Haver_M!$B$1:$BZ$1,0),FALSE)),VLOOKUP($A19,Haver_M!$B$1:$BZ$300,MATCH(data!V$1,Haver_M!$B$1:$BZ$1,0),FALSE),"")</f>
        <v>59.36</v>
      </c>
      <c r="W19" t="str">
        <f>IF(ISNUMBER(VLOOKUP($A19,Haver_M!$B$1:$BZ$300,MATCH(data!W$1,Haver_M!$B$1:$BZ$1,0),FALSE)),VLOOKUP($A19,Haver_M!$B$1:$BZ$300,MATCH(data!W$1,Haver_M!$B$1:$BZ$1,0),FALSE),"")</f>
        <v/>
      </c>
      <c r="X19">
        <f>IF(ISNUMBER(VLOOKUP($A19,Haver_M!$B$1:$BZ$300,MATCH(data!X$1,Haver_M!$B$1:$BZ$1,0),FALSE)),VLOOKUP($A19,Haver_M!$B$1:$BZ$300,MATCH(data!X$1,Haver_M!$B$1:$BZ$1,0),FALSE),"")</f>
        <v>27.78</v>
      </c>
      <c r="Y19">
        <f>IF(ISNUMBER(VLOOKUP($A19,Haver_M!$B$1:$BZ$300,MATCH(data!Y$1,Haver_M!$B$1:$BZ$1,0),FALSE)),VLOOKUP($A19,Haver_M!$B$1:$BZ$300,MATCH(data!Y$1,Haver_M!$B$1:$BZ$1,0),FALSE),"")</f>
        <v>50.49</v>
      </c>
      <c r="Z19" t="str">
        <f>IF(ISNUMBER(VLOOKUP($A19,Haver_M!$B$1:$BZ$300,MATCH(data!Z$1,Haver_M!$B$1:$BZ$1,0),FALSE)),VLOOKUP($A19,Haver_M!$B$1:$BZ$300,MATCH(data!Z$1,Haver_M!$B$1:$BZ$1,0),FALSE),"")</f>
        <v/>
      </c>
      <c r="AA19" t="str">
        <f>IF(ISNUMBER(VLOOKUP($A19,Haver_M!$B$1:$BZ$300,MATCH(data!AA$1,Haver_M!$B$1:$BZ$1,0),FALSE)),VLOOKUP($A19,Haver_M!$B$1:$BZ$300,MATCH(data!AA$1,Haver_M!$B$1:$BZ$1,0),FALSE),"")</f>
        <v/>
      </c>
      <c r="AB19" t="str">
        <f>IF(ISNUMBER(VLOOKUP($A19,Haver_M!$B$1:$BZ$300,MATCH(data!AB$1,Haver_M!$B$1:$BZ$1,0),FALSE)),VLOOKUP($A19,Haver_M!$B$1:$BZ$300,MATCH(data!AB$1,Haver_M!$B$1:$BZ$1,0),FALSE),"")</f>
        <v/>
      </c>
      <c r="AC19" t="str">
        <f>IF(ISNUMBER(VLOOKUP($A19,Haver_M!$B$1:$BZ$300,MATCH(data!AC$1,Haver_M!$B$1:$BZ$1,0),FALSE)),VLOOKUP($A19,Haver_M!$B$1:$BZ$300,MATCH(data!AC$1,Haver_M!$B$1:$BZ$1,0),FALSE),"")</f>
        <v/>
      </c>
      <c r="AD19" t="str">
        <f>IF(ISNUMBER(VLOOKUP($A19,Haver_M!$B$1:$BZ$300,MATCH(data!AD$1,Haver_M!$B$1:$BZ$1,0),FALSE)),VLOOKUP($A19,Haver_M!$B$1:$BZ$300,MATCH(data!AD$1,Haver_M!$B$1:$BZ$1,0),FALSE),"")</f>
        <v/>
      </c>
      <c r="AE19" t="str">
        <f>IF(ISNUMBER(VLOOKUP($A19,Haver_M!$B$1:$BZ$300,MATCH(data!AE$1,Haver_M!$B$1:$BZ$1,0),FALSE)),VLOOKUP($A19,Haver_M!$B$1:$BZ$300,MATCH(data!AE$1,Haver_M!$B$1:$BZ$1,0),FALSE),"")</f>
        <v/>
      </c>
      <c r="AF19" t="str">
        <f>IF(ISNUMBER(VLOOKUP($A19,Haver_M!$B$1:$BZ$300,MATCH(data!AF$1,Haver_M!$B$1:$BZ$1,0),FALSE)),VLOOKUP($A19,Haver_M!$B$1:$BZ$300,MATCH(data!AF$1,Haver_M!$B$1:$BZ$1,0),FALSE),"")</f>
        <v/>
      </c>
      <c r="AG19" t="str">
        <f>IF(ISNUMBER(VLOOKUP($A19,Haver_M!$B$1:$BZ$300,MATCH(data!AG$1,Haver_M!$B$1:$BZ$1,0),FALSE)),VLOOKUP($A19,Haver_M!$B$1:$BZ$300,MATCH(data!AG$1,Haver_M!$B$1:$BZ$1,0),FALSE),"")</f>
        <v/>
      </c>
      <c r="AH19" t="str">
        <f>IF(ISNUMBER(VLOOKUP($A19,Haver_M!$B$1:$BZ$300,MATCH(data!AH$1,Haver_M!$B$1:$BZ$1,0),FALSE)),VLOOKUP($A19,Haver_M!$B$1:$BZ$300,MATCH(data!AH$1,Haver_M!$B$1:$BZ$1,0),FALSE),"")</f>
        <v/>
      </c>
      <c r="AI19">
        <f>IF(ISNUMBER(VLOOKUP($A19,Haver_M!$B$1:$BZ$300,MATCH(data!AI$1,Haver_M!$B$1:$BZ$1,0),FALSE)),VLOOKUP($A19,Haver_M!$B$1:$BZ$300,MATCH(data!AI$1,Haver_M!$B$1:$BZ$1,0),FALSE),"")</f>
        <v>8609.3938223319783</v>
      </c>
      <c r="AJ19">
        <f>IF(ISNUMBER(VLOOKUP($A19,Haver_M!$B$1:$BZ$300,MATCH(data!AJ$1,Haver_M!$B$1:$BZ$1,0),FALSE)),VLOOKUP($A19,Haver_M!$B$1:$BZ$300,MATCH(data!AJ$1,Haver_M!$B$1:$BZ$1,0),FALSE),"")</f>
        <v>3782.77</v>
      </c>
      <c r="AK19">
        <f>IF(ISNUMBER(VLOOKUP($A19,Haver_M!$B$1:$BZ$300,MATCH(data!AK$1,Haver_M!$B$1:$BZ$1,0),FALSE)),VLOOKUP($A19,Haver_M!$B$1:$BZ$300,MATCH(data!AK$1,Haver_M!$B$1:$BZ$1,0),FALSE),"")</f>
        <v>4247.93</v>
      </c>
      <c r="AL19" t="str">
        <f>IF(ISNUMBER(VLOOKUP($A19,Haver_M!$B$1:$BZ$300,MATCH(data!AL$1,Haver_M!$B$1:$BZ$1,0),FALSE)),VLOOKUP($A19,Haver_M!$B$1:$BZ$300,MATCH(data!AL$1,Haver_M!$B$1:$BZ$1,0),FALSE),"")</f>
        <v/>
      </c>
      <c r="AM19" t="str">
        <f>IF(ISNUMBER(VLOOKUP($A19,Haver_M!$B$1:$BZ$300,MATCH(data!AM$1,Haver_M!$B$1:$BZ$1,0),FALSE)),VLOOKUP($A19,Haver_M!$B$1:$BZ$300,MATCH(data!AM$1,Haver_M!$B$1:$BZ$1,0),FALSE),"")</f>
        <v/>
      </c>
      <c r="AN19" t="str">
        <f>IF(ISNUMBER(VLOOKUP($A19,Haver_M!$B$1:$BZ$300,MATCH(data!AN$1,Haver_M!$B$1:$BZ$1,0),FALSE)),VLOOKUP($A19,Haver_M!$B$1:$BZ$300,MATCH(data!AN$1,Haver_M!$B$1:$BZ$1,0),FALSE),"")</f>
        <v/>
      </c>
      <c r="AO19" t="str">
        <f>IF(ISNUMBER(VLOOKUP($A19,Haver_M!$B$1:$BZ$300,MATCH(data!AO$1,Haver_M!$B$1:$BZ$1,0),FALSE)),VLOOKUP($A19,Haver_M!$B$1:$BZ$300,MATCH(data!AO$1,Haver_M!$B$1:$BZ$1,0),FALSE),"")</f>
        <v/>
      </c>
      <c r="AP19">
        <f>IF(ISNUMBER(VLOOKUP($A19,Haver_M!$B$1:$BZ$300,MATCH(data!AP$1,Haver_M!$B$1:$BZ$1,0),FALSE)),VLOOKUP($A19,Haver_M!$B$1:$BZ$300,MATCH(data!AP$1,Haver_M!$B$1:$BZ$1,0),FALSE),"")</f>
        <v>88.922302829080763</v>
      </c>
      <c r="AQ19" t="str">
        <f>IF(ISNUMBER(VLOOKUP($A19,Haver_M!$B$1:$BZ$300,MATCH(data!AQ$1,Haver_M!$B$1:$BZ$1,0),FALSE)),VLOOKUP($A19,Haver_M!$B$1:$BZ$300,MATCH(data!AQ$1,Haver_M!$B$1:$BZ$1,0),FALSE),"")</f>
        <v/>
      </c>
      <c r="AR19" t="str">
        <f>IF(ISNUMBER(VLOOKUP($A19,Haver_M!$B$1:$BZ$300,MATCH(data!AR$1,Haver_M!$B$1:$BZ$1,0),FALSE)),VLOOKUP($A19,Haver_M!$B$1:$BZ$300,MATCH(data!AR$1,Haver_M!$B$1:$BZ$1,0),FALSE),"")</f>
        <v/>
      </c>
      <c r="AS19" t="str">
        <f>IF(ISNUMBER(VLOOKUP($A19,Haver_M!$B$1:$BZ$300,MATCH(data!AS$1,Haver_M!$B$1:$BZ$1,0),FALSE)),VLOOKUP($A19,Haver_M!$B$1:$BZ$300,MATCH(data!AS$1,Haver_M!$B$1:$BZ$1,0),FALSE),"")</f>
        <v/>
      </c>
      <c r="AT19" t="str">
        <f>IF(ISNUMBER(VLOOKUP($A19,Haver_M!$B$1:$BZ$300,MATCH(data!AT$1,Haver_M!$B$1:$BZ$1,0),FALSE)),VLOOKUP($A19,Haver_M!$B$1:$BZ$300,MATCH(data!AT$1,Haver_M!$B$1:$BZ$1,0),FALSE),"")</f>
        <v/>
      </c>
      <c r="AU19" t="str">
        <f>IF(ISNUMBER(VLOOKUP($A19,Haver_M!$B$1:$BZ$300,MATCH(data!AU$1,Haver_M!$B$1:$BZ$1,0),FALSE)),VLOOKUP($A19,Haver_M!$B$1:$BZ$300,MATCH(data!AU$1,Haver_M!$B$1:$BZ$1,0),FALSE),"")</f>
        <v/>
      </c>
      <c r="AV19" t="str">
        <f>IF(ISNUMBER(VLOOKUP($A19,Haver_M!$B$1:$BZ$300,MATCH(data!AV$1,Haver_M!$B$1:$BZ$1,0),FALSE)),VLOOKUP($A19,Haver_M!$B$1:$BZ$300,MATCH(data!AV$1,Haver_M!$B$1:$BZ$1,0),FALSE),"")</f>
        <v/>
      </c>
      <c r="AW19" t="str">
        <f>IF(ISNUMBER(VLOOKUP($A19,Haver_M!$B$1:$BZ$300,MATCH(data!AW$1,Haver_M!$B$1:$BZ$1,0),FALSE)),VLOOKUP($A19,Haver_M!$B$1:$BZ$300,MATCH(data!AW$1,Haver_M!$B$1:$BZ$1,0),FALSE),"")</f>
        <v/>
      </c>
      <c r="AX19" t="str">
        <f>IF(ISNUMBER(VLOOKUP($A19,Haver_M!$B$1:$BZ$300,MATCH(data!AX$1,Haver_M!$B$1:$BZ$1,0),FALSE)),VLOOKUP($A19,Haver_M!$B$1:$BZ$300,MATCH(data!AX$1,Haver_M!$B$1:$BZ$1,0),FALSE),"")</f>
        <v/>
      </c>
      <c r="AY19" t="str">
        <f>IF(ISNUMBER(VLOOKUP($A19,Haver_M!$B$1:$BZ$300,MATCH(data!AY$1,Haver_M!$B$1:$BZ$1,0),FALSE)),VLOOKUP($A19,Haver_M!$B$1:$BZ$300,MATCH(data!AY$1,Haver_M!$B$1:$BZ$1,0),FALSE),"")</f>
        <v/>
      </c>
      <c r="AZ19" t="str">
        <f>IF(ISNUMBER(VLOOKUP($A19,Haver_M!$B$1:$BZ$300,MATCH(data!AZ$1,Haver_M!$B$1:$BZ$1,0),FALSE)),VLOOKUP($A19,Haver_M!$B$1:$BZ$300,MATCH(data!AZ$1,Haver_M!$B$1:$BZ$1,0),FALSE),"")</f>
        <v/>
      </c>
      <c r="BA19" t="str">
        <f>IF(ISNUMBER(VLOOKUP($A19,Haver_M!$B$1:$BZ$300,MATCH(data!BA$1,Haver_M!$B$1:$BZ$1,0),FALSE)),VLOOKUP($A19,Haver_M!$B$1:$BZ$300,MATCH(data!BA$1,Haver_M!$B$1:$BZ$1,0),FALSE),"")</f>
        <v/>
      </c>
      <c r="BB19" t="str">
        <f>IF(ISNUMBER(VLOOKUP($A19,Haver_M!$B$1:$BZ$300,MATCH(data!BB$1,Haver_M!$B$1:$BZ$1,0),FALSE)),VLOOKUP($A19,Haver_M!$B$1:$BZ$300,MATCH(data!BB$1,Haver_M!$B$1:$BZ$1,0),FALSE),"")</f>
        <v/>
      </c>
      <c r="BC19" t="str">
        <f>IF(ISNUMBER(VLOOKUP($A19,Haver_M!$B$1:$BZ$300,MATCH(data!BC$1,Haver_M!$B$1:$BZ$1,0),FALSE)),VLOOKUP($A19,Haver_M!$B$1:$BZ$300,MATCH(data!BC$1,Haver_M!$B$1:$BZ$1,0),FALSE),"")</f>
        <v/>
      </c>
      <c r="BD19" t="str">
        <f>IF(ISNUMBER(VLOOKUP($A19,Haver_M!$B$1:$BZ$300,MATCH(data!BD$1,Haver_M!$B$1:$BZ$1,0),FALSE)),VLOOKUP($A19,Haver_M!$B$1:$BZ$300,MATCH(data!BD$1,Haver_M!$B$1:$BZ$1,0),FALSE),"")</f>
        <v/>
      </c>
      <c r="BE19" t="str">
        <f>IF(ISNUMBER(VLOOKUP($A19,Haver_M!$B$1:$BZ$300,MATCH(data!BE$1,Haver_M!$B$1:$BZ$1,0),FALSE)),VLOOKUP($A19,Haver_M!$B$1:$BZ$300,MATCH(data!BE$1,Haver_M!$B$1:$BZ$1,0),FALSE),"")</f>
        <v/>
      </c>
      <c r="BF19" t="str">
        <f>IF(ISNUMBER(VLOOKUP($A19,Haver_M!$B$1:$BZ$300,MATCH(data!BF$1,Haver_M!$B$1:$BZ$1,0),FALSE)),VLOOKUP($A19,Haver_M!$B$1:$BZ$300,MATCH(data!BF$1,Haver_M!$B$1:$BZ$1,0),FALSE),"")</f>
        <v/>
      </c>
      <c r="BG19" t="str">
        <f>IF(ISNUMBER(VLOOKUP($A19,Haver_M!$B$1:$BZ$300,MATCH(data!BG$1,Haver_M!$B$1:$BZ$1,0),FALSE)),VLOOKUP($A19,Haver_M!$B$1:$BZ$300,MATCH(data!BG$1,Haver_M!$B$1:$BZ$1,0),FALSE),"")</f>
        <v/>
      </c>
      <c r="BH19" t="str">
        <f>IF(ISNUMBER(VLOOKUP($A19,Haver_M!$B$1:$BZ$300,MATCH(data!BH$1,Haver_M!$B$1:$BZ$1,0),FALSE)),VLOOKUP($A19,Haver_M!$B$1:$BZ$300,MATCH(data!BH$1,Haver_M!$B$1:$BZ$1,0),FALSE),"")</f>
        <v/>
      </c>
      <c r="BI19" t="str">
        <f>IF(ISNUMBER(VLOOKUP($A19,Haver_M!$B$1:$BZ$300,MATCH(data!BI$1,Haver_M!$B$1:$BZ$1,0),FALSE)),VLOOKUP($A19,Haver_M!$B$1:$BZ$300,MATCH(data!BI$1,Haver_M!$B$1:$BZ$1,0),FALSE),"")</f>
        <v/>
      </c>
      <c r="BJ19" t="str">
        <f>IF(ISNUMBER(VLOOKUP($A19,Haver_M!$B$1:$BZ$300,MATCH(data!BJ$1,Haver_M!$B$1:$BZ$1,0),FALSE)),VLOOKUP($A19,Haver_M!$B$1:$BZ$300,MATCH(data!BJ$1,Haver_M!$B$1:$BZ$1,0),FALSE),"")</f>
        <v/>
      </c>
      <c r="BK19" t="str">
        <f>IF(ISNUMBER(VLOOKUP($A19,Haver_M!$B$1:$BZ$300,MATCH(data!BK$1,Haver_M!$B$1:$BZ$1,0),FALSE)),VLOOKUP($A19,Haver_M!$B$1:$BZ$300,MATCH(data!BK$1,Haver_M!$B$1:$BZ$1,0),FALSE),"")</f>
        <v/>
      </c>
      <c r="BL19">
        <f>IF(ISNUMBER(VLOOKUP($A19,Haver_M!$B$1:$BZ$300,MATCH(data!BL$1,Haver_M!$B$1:$BZ$1,0),FALSE)),VLOOKUP($A19,Haver_M!$B$1:$BZ$300,MATCH(data!BL$1,Haver_M!$B$1:$BZ$1,0),FALSE),"")</f>
        <v>3439.01</v>
      </c>
      <c r="BM19">
        <f>IF(ISNUMBER(VLOOKUP($A19,Haver_M!$B$1:$BZ$300,MATCH(data!BM$1,Haver_M!$B$1:$BZ$1,0),FALSE)),VLOOKUP($A19,Haver_M!$B$1:$BZ$300,MATCH(data!BM$1,Haver_M!$B$1:$BZ$1,0),FALSE),"")</f>
        <v>101.57750832000001</v>
      </c>
      <c r="BN19">
        <f>IF(ISNUMBER(VLOOKUP($A19,Haver_M!$B$1:$BZ$300,MATCH(data!BN$1,Haver_M!$B$1:$BZ$1,0),FALSE)),VLOOKUP($A19,Haver_M!$B$1:$BZ$300,MATCH(data!BN$1,Haver_M!$B$1:$BZ$1,0),FALSE),"")</f>
        <v>109.9</v>
      </c>
      <c r="BO19">
        <f>IF(ISNUMBER(VLOOKUP($A19,Haver_M!$B$1:$BZ$300,MATCH(data!BO$1,Haver_M!$B$1:$BZ$1,0),FALSE)),VLOOKUP($A19,Haver_M!$B$1:$BZ$300,MATCH(data!BO$1,Haver_M!$B$1:$BZ$1,0),FALSE),"")</f>
        <v>120.7</v>
      </c>
      <c r="BP19">
        <f>IF(ISNUMBER(VLOOKUP($A19,Haver_M!$B$1:$BZ$300,MATCH(data!BP$1,Haver_M!$B$1:$BZ$1,0),FALSE)),VLOOKUP($A19,Haver_M!$B$1:$BZ$300,MATCH(data!BP$1,Haver_M!$B$1:$BZ$1,0),FALSE),"")</f>
        <v>43.7</v>
      </c>
      <c r="BQ19" t="str">
        <f>IF(ISNUMBER(VLOOKUP($A19,Haver_M!$B$1:$BZ$300,MATCH(data!BQ$1,Haver_M!$B$1:$BZ$1,0),FALSE)),VLOOKUP($A19,Haver_M!$B$1:$BZ$300,MATCH(data!BQ$1,Haver_M!$B$1:$BZ$1,0),FALSE),"")</f>
        <v/>
      </c>
      <c r="BR19" t="str">
        <f>IF(ISNUMBER(VLOOKUP($A19,Haver_M!$B$1:$BZ$300,MATCH(data!BR$1,Haver_M!$B$1:$BZ$1,0),FALSE)),VLOOKUP($A19,Haver_M!$B$1:$BZ$300,MATCH(data!BR$1,Haver_M!$B$1:$BZ$1,0),FALSE),"")</f>
        <v/>
      </c>
      <c r="BS19" t="str">
        <f>IF(ISNUMBER(VLOOKUP($A19,Haver_M!$B$1:$BZ$300,MATCH(data!BS$1,Haver_M!$B$1:$BZ$1,0),FALSE)),VLOOKUP($A19,Haver_M!$B$1:$BZ$300,MATCH(data!BS$1,Haver_M!$B$1:$BZ$1,0),FALSE),"")</f>
        <v/>
      </c>
      <c r="BT19" t="str">
        <f>IF(ISNUMBER(VLOOKUP($A19,Haver_M!$B$1:$BZ$300,MATCH(data!BT$1,Haver_M!$B$1:$BZ$1,0),FALSE)),VLOOKUP($A19,Haver_M!$B$1:$BZ$300,MATCH(data!BT$1,Haver_M!$B$1:$BZ$1,0),FALSE),"")</f>
        <v/>
      </c>
      <c r="BU19">
        <f>IF(ISNUMBER(VLOOKUP($A19,Haver_M!$B$1:$BZ$300,MATCH(data!BU$1,Haver_M!$B$1:$BZ$1,0),FALSE)),VLOOKUP($A19,Haver_M!$B$1:$BZ$300,MATCH(data!BU$1,Haver_M!$B$1:$BZ$1,0),FALSE),"")</f>
        <v>3612</v>
      </c>
      <c r="BV19">
        <f>IF(ISNUMBER(VLOOKUP($A19,Haver_M!$B$1:$BZ$300,MATCH(data!BV$1,Haver_M!$B$1:$BZ$1,0),FALSE)),VLOOKUP($A19,Haver_M!$B$1:$BZ$300,MATCH(data!BV$1,Haver_M!$B$1:$BZ$1,0),FALSE),"")</f>
        <v>4017</v>
      </c>
      <c r="BW19">
        <f>IF(ISNUMBER(VLOOKUP($A19,Haver_M!$B$1:$BZ$300,MATCH(data!BW$1,Haver_M!$B$1:$BZ$1,0),FALSE)),VLOOKUP($A19,Haver_M!$B$1:$BZ$300,MATCH(data!BW$1,Haver_M!$B$1:$BZ$1,0),FALSE),"")</f>
        <v>47.003799999999998</v>
      </c>
      <c r="BX19">
        <f>IF(ISNUMBER(VLOOKUP($A19,Haver_M!$B$1:$BZ$300,MATCH(data!BX$1,Haver_M!$B$1:$BZ$1,0),FALSE)),VLOOKUP($A19,Haver_M!$B$1:$BZ$300,MATCH(data!BX$1,Haver_M!$B$1:$BZ$1,0),FALSE),"")</f>
        <v>61958</v>
      </c>
    </row>
    <row r="20" spans="1:76" x14ac:dyDescent="0.25">
      <c r="A20" s="2">
        <v>37103</v>
      </c>
      <c r="B20" t="str">
        <f>IF(ISNUMBER(VLOOKUP($A20,Haver_Q!$B$1:$L$185,MATCH(data!B$1,Haver_Q!$B$1:$L$1,0),FALSE)),100*(VLOOKUP($A20,Haver_Q!$B$1:$L$185,MATCH(data!B$1,Haver_Q!$B$1:$L$1,0),FALSE)),"")</f>
        <v/>
      </c>
      <c r="C20" t="str">
        <f>IF(ISNUMBER(VLOOKUP($A20,Haver_Q!$B$1:$L$185,MATCH(data!C$1,Haver_Q!$B$1:$L$1,0),FALSE)),100*(VLOOKUP($A20,Haver_Q!$B$1:$L$185,MATCH(data!C$1,Haver_Q!$B$1:$L$1,0),FALSE)),"")</f>
        <v/>
      </c>
      <c r="D20" t="str">
        <f>IF(ISNUMBER(VLOOKUP($A20,Haver_Q!$B$1:$L$185,MATCH(data!D$1,Haver_Q!$B$1:$L$1,0),FALSE)),100*(VLOOKUP($A20,Haver_Q!$B$1:$L$185,MATCH(data!D$1,Haver_Q!$B$1:$L$1,0),FALSE)),"")</f>
        <v/>
      </c>
      <c r="E20" t="str">
        <f>IF(ISNUMBER(VLOOKUP($A20,Haver_Q!$B$1:$L$185,MATCH(data!E$1,Haver_Q!$B$1:$L$1,0),FALSE)),100*(VLOOKUP($A20,Haver_Q!$B$1:$L$185,MATCH(data!E$1,Haver_Q!$B$1:$L$1,0),FALSE)),"")</f>
        <v/>
      </c>
      <c r="F20" t="str">
        <f>IF(ISNUMBER(VLOOKUP($A20,Haver_Q!$B$1:$L$185,MATCH(data!F$1,Haver_Q!$B$1:$L$1,0),FALSE)),100*(VLOOKUP($A20,Haver_Q!$B$1:$L$185,MATCH(data!F$1,Haver_Q!$B$1:$L$1,0),FALSE)),"")</f>
        <v/>
      </c>
      <c r="G20" t="str">
        <f>IF(ISNUMBER(VLOOKUP($A20,Haver_Q!$B$1:$L$185,MATCH(data!G$1,Haver_Q!$B$1:$L$1,0),FALSE)),100*(VLOOKUP($A20,Haver_Q!$B$1:$L$185,MATCH(data!G$1,Haver_Q!$B$1:$L$1,0),FALSE)),"")</f>
        <v/>
      </c>
      <c r="H20" t="str">
        <f>IF(ISNUMBER(VLOOKUP($A20,Haver_Q!$B$1:$L$185,MATCH(data!H$1,Haver_Q!$B$1:$L$1,0),FALSE)),(VLOOKUP($A20,Haver_Q!$B$1:$L$185,MATCH(data!H$1,Haver_Q!$B$1:$L$1,0),FALSE)),"")</f>
        <v/>
      </c>
      <c r="I20" t="str">
        <f>IF(ISNUMBER(VLOOKUP($A20,Haver_Q!$B$1:$L$185,MATCH(data!I$1,Haver_Q!$B$1:$L$1,0),FALSE)),100*(VLOOKUP($A20,Haver_Q!$B$1:$L$185,MATCH(data!I$1,Haver_Q!$B$1:$L$1,0),FALSE)),"")</f>
        <v/>
      </c>
      <c r="J20" s="3">
        <f>IF(ISNUMBER(Bloomberg_m!C36),Bloomberg_m!C36,"")</f>
        <v>1221</v>
      </c>
      <c r="K20" s="3" t="str">
        <f>IF(ISNUMBER(Bloomberg_m!D36),Bloomberg_m!D36,"")</f>
        <v/>
      </c>
      <c r="L20" s="3" t="str">
        <f>IF(ISNUMBER(Bloomberg_m!E36),Bloomberg_m!E36,"")</f>
        <v/>
      </c>
      <c r="M20" s="3" t="str">
        <f>IF(ISNUMBER(Bloomberg_m!F36),Bloomberg_m!F36,"")</f>
        <v/>
      </c>
      <c r="N20">
        <f>IF(ISNUMBER(VLOOKUP($A20,Haver_M!$B$1:$BZ$300,MATCH(data!N$1,Haver_M!$B$1:$BZ$1,0),FALSE)),VLOOKUP($A20,Haver_M!$B$1:$BZ$300,MATCH(data!N$1,Haver_M!$B$1:$BZ$1,0),FALSE),"")</f>
        <v>8.5</v>
      </c>
      <c r="O20">
        <f>IF(ISNUMBER(VLOOKUP($A20,Haver_M!$B$1:$BZ$300,MATCH(data!O$1,Haver_M!$B$1:$BZ$1,0),FALSE)),VLOOKUP($A20,Haver_M!$B$1:$BZ$300,MATCH(data!O$1,Haver_M!$B$1:$BZ$1,0),FALSE),"")</f>
        <v>9.2608999999999995</v>
      </c>
      <c r="P20">
        <f>IF(ISNUMBER(VLOOKUP($A20,Haver_M!$B$1:$BZ$300,MATCH(data!P$1,Haver_M!$B$1:$BZ$1,0),FALSE)),VLOOKUP($A20,Haver_M!$B$1:$BZ$300,MATCH(data!P$1,Haver_M!$B$1:$BZ$1,0),FALSE),"")</f>
        <v>99.140739999999994</v>
      </c>
      <c r="Q20">
        <f>IF(ISNUMBER(VLOOKUP($A20,Haver_M!$B$1:$BZ$300,MATCH(data!Q$1,Haver_M!$B$1:$BZ$1,0),FALSE)),VLOOKUP($A20,Haver_M!$B$1:$BZ$300,MATCH(data!Q$1,Haver_M!$B$1:$BZ$1,0),FALSE),"")</f>
        <v>48.8</v>
      </c>
      <c r="R20" t="str">
        <f>IF(ISNUMBER(VLOOKUP($A20,Haver_M!$B$1:$BZ$300,MATCH(data!R$1,Haver_M!$B$1:$BZ$1,0),FALSE)),VLOOKUP($A20,Haver_M!$B$1:$BZ$300,MATCH(data!R$1,Haver_M!$B$1:$BZ$1,0),FALSE),"")</f>
        <v/>
      </c>
      <c r="S20">
        <f>IF(ISNUMBER(VLOOKUP($A20,Haver_M!$B$1:$BZ$300,MATCH(data!S$1,Haver_M!$B$1:$BZ$1,0),FALSE)),VLOOKUP($A20,Haver_M!$B$1:$BZ$300,MATCH(data!S$1,Haver_M!$B$1:$BZ$1,0),FALSE),"")</f>
        <v>46.86</v>
      </c>
      <c r="T20">
        <f>IF(ISNUMBER(VLOOKUP($A20,Haver_M!$B$1:$BZ$300,MATCH(data!T$1,Haver_M!$B$1:$BZ$1,0),FALSE)),VLOOKUP($A20,Haver_M!$B$1:$BZ$300,MATCH(data!T$1,Haver_M!$B$1:$BZ$1,0),FALSE),"")</f>
        <v>55.32</v>
      </c>
      <c r="U20">
        <f>IF(ISNUMBER(VLOOKUP($A20,Haver_M!$B$1:$BZ$300,MATCH(data!U$1,Haver_M!$B$1:$BZ$1,0),FALSE)),VLOOKUP($A20,Haver_M!$B$1:$BZ$300,MATCH(data!U$1,Haver_M!$B$1:$BZ$1,0),FALSE),"")</f>
        <v>25.39</v>
      </c>
      <c r="V20">
        <f>IF(ISNUMBER(VLOOKUP($A20,Haver_M!$B$1:$BZ$300,MATCH(data!V$1,Haver_M!$B$1:$BZ$1,0),FALSE)),VLOOKUP($A20,Haver_M!$B$1:$BZ$300,MATCH(data!V$1,Haver_M!$B$1:$BZ$1,0),FALSE),"")</f>
        <v>58.94</v>
      </c>
      <c r="W20" t="str">
        <f>IF(ISNUMBER(VLOOKUP($A20,Haver_M!$B$1:$BZ$300,MATCH(data!W$1,Haver_M!$B$1:$BZ$1,0),FALSE)),VLOOKUP($A20,Haver_M!$B$1:$BZ$300,MATCH(data!W$1,Haver_M!$B$1:$BZ$1,0),FALSE),"")</f>
        <v/>
      </c>
      <c r="X20">
        <f>IF(ISNUMBER(VLOOKUP($A20,Haver_M!$B$1:$BZ$300,MATCH(data!X$1,Haver_M!$B$1:$BZ$1,0),FALSE)),VLOOKUP($A20,Haver_M!$B$1:$BZ$300,MATCH(data!X$1,Haver_M!$B$1:$BZ$1,0),FALSE),"")</f>
        <v>29.17</v>
      </c>
      <c r="Y20">
        <f>IF(ISNUMBER(VLOOKUP($A20,Haver_M!$B$1:$BZ$300,MATCH(data!Y$1,Haver_M!$B$1:$BZ$1,0),FALSE)),VLOOKUP($A20,Haver_M!$B$1:$BZ$300,MATCH(data!Y$1,Haver_M!$B$1:$BZ$1,0),FALSE),"")</f>
        <v>47.11</v>
      </c>
      <c r="Z20" t="str">
        <f>IF(ISNUMBER(VLOOKUP($A20,Haver_M!$B$1:$BZ$300,MATCH(data!Z$1,Haver_M!$B$1:$BZ$1,0),FALSE)),VLOOKUP($A20,Haver_M!$B$1:$BZ$300,MATCH(data!Z$1,Haver_M!$B$1:$BZ$1,0),FALSE),"")</f>
        <v/>
      </c>
      <c r="AA20" t="str">
        <f>IF(ISNUMBER(VLOOKUP($A20,Haver_M!$B$1:$BZ$300,MATCH(data!AA$1,Haver_M!$B$1:$BZ$1,0),FALSE)),VLOOKUP($A20,Haver_M!$B$1:$BZ$300,MATCH(data!AA$1,Haver_M!$B$1:$BZ$1,0),FALSE),"")</f>
        <v/>
      </c>
      <c r="AB20" t="str">
        <f>IF(ISNUMBER(VLOOKUP($A20,Haver_M!$B$1:$BZ$300,MATCH(data!AB$1,Haver_M!$B$1:$BZ$1,0),FALSE)),VLOOKUP($A20,Haver_M!$B$1:$BZ$300,MATCH(data!AB$1,Haver_M!$B$1:$BZ$1,0),FALSE),"")</f>
        <v/>
      </c>
      <c r="AC20" t="str">
        <f>IF(ISNUMBER(VLOOKUP($A20,Haver_M!$B$1:$BZ$300,MATCH(data!AC$1,Haver_M!$B$1:$BZ$1,0),FALSE)),VLOOKUP($A20,Haver_M!$B$1:$BZ$300,MATCH(data!AC$1,Haver_M!$B$1:$BZ$1,0),FALSE),"")</f>
        <v/>
      </c>
      <c r="AD20" t="str">
        <f>IF(ISNUMBER(VLOOKUP($A20,Haver_M!$B$1:$BZ$300,MATCH(data!AD$1,Haver_M!$B$1:$BZ$1,0),FALSE)),VLOOKUP($A20,Haver_M!$B$1:$BZ$300,MATCH(data!AD$1,Haver_M!$B$1:$BZ$1,0),FALSE),"")</f>
        <v/>
      </c>
      <c r="AE20" t="str">
        <f>IF(ISNUMBER(VLOOKUP($A20,Haver_M!$B$1:$BZ$300,MATCH(data!AE$1,Haver_M!$B$1:$BZ$1,0),FALSE)),VLOOKUP($A20,Haver_M!$B$1:$BZ$300,MATCH(data!AE$1,Haver_M!$B$1:$BZ$1,0),FALSE),"")</f>
        <v/>
      </c>
      <c r="AF20" t="str">
        <f>IF(ISNUMBER(VLOOKUP($A20,Haver_M!$B$1:$BZ$300,MATCH(data!AF$1,Haver_M!$B$1:$BZ$1,0),FALSE)),VLOOKUP($A20,Haver_M!$B$1:$BZ$300,MATCH(data!AF$1,Haver_M!$B$1:$BZ$1,0),FALSE),"")</f>
        <v/>
      </c>
      <c r="AG20" t="str">
        <f>IF(ISNUMBER(VLOOKUP($A20,Haver_M!$B$1:$BZ$300,MATCH(data!AG$1,Haver_M!$B$1:$BZ$1,0),FALSE)),VLOOKUP($A20,Haver_M!$B$1:$BZ$300,MATCH(data!AG$1,Haver_M!$B$1:$BZ$1,0),FALSE),"")</f>
        <v/>
      </c>
      <c r="AH20" t="str">
        <f>IF(ISNUMBER(VLOOKUP($A20,Haver_M!$B$1:$BZ$300,MATCH(data!AH$1,Haver_M!$B$1:$BZ$1,0),FALSE)),VLOOKUP($A20,Haver_M!$B$1:$BZ$300,MATCH(data!AH$1,Haver_M!$B$1:$BZ$1,0),FALSE),"")</f>
        <v/>
      </c>
      <c r="AI20">
        <f>IF(ISNUMBER(VLOOKUP($A20,Haver_M!$B$1:$BZ$300,MATCH(data!AI$1,Haver_M!$B$1:$BZ$1,0),FALSE)),VLOOKUP($A20,Haver_M!$B$1:$BZ$300,MATCH(data!AI$1,Haver_M!$B$1:$BZ$1,0),FALSE),"")</f>
        <v>7897.0122436912588</v>
      </c>
      <c r="AJ20">
        <f>IF(ISNUMBER(VLOOKUP($A20,Haver_M!$B$1:$BZ$300,MATCH(data!AJ$1,Haver_M!$B$1:$BZ$1,0),FALSE)),VLOOKUP($A20,Haver_M!$B$1:$BZ$300,MATCH(data!AJ$1,Haver_M!$B$1:$BZ$1,0),FALSE),"")</f>
        <v>3456.32</v>
      </c>
      <c r="AK20">
        <f>IF(ISNUMBER(VLOOKUP($A20,Haver_M!$B$1:$BZ$300,MATCH(data!AK$1,Haver_M!$B$1:$BZ$1,0),FALSE)),VLOOKUP($A20,Haver_M!$B$1:$BZ$300,MATCH(data!AK$1,Haver_M!$B$1:$BZ$1,0),FALSE),"")</f>
        <v>4765.93</v>
      </c>
      <c r="AL20" t="str">
        <f>IF(ISNUMBER(VLOOKUP($A20,Haver_M!$B$1:$BZ$300,MATCH(data!AL$1,Haver_M!$B$1:$BZ$1,0),FALSE)),VLOOKUP($A20,Haver_M!$B$1:$BZ$300,MATCH(data!AL$1,Haver_M!$B$1:$BZ$1,0),FALSE),"")</f>
        <v/>
      </c>
      <c r="AM20" t="str">
        <f>IF(ISNUMBER(VLOOKUP($A20,Haver_M!$B$1:$BZ$300,MATCH(data!AM$1,Haver_M!$B$1:$BZ$1,0),FALSE)),VLOOKUP($A20,Haver_M!$B$1:$BZ$300,MATCH(data!AM$1,Haver_M!$B$1:$BZ$1,0),FALSE),"")</f>
        <v/>
      </c>
      <c r="AN20" t="str">
        <f>IF(ISNUMBER(VLOOKUP($A20,Haver_M!$B$1:$BZ$300,MATCH(data!AN$1,Haver_M!$B$1:$BZ$1,0),FALSE)),VLOOKUP($A20,Haver_M!$B$1:$BZ$300,MATCH(data!AN$1,Haver_M!$B$1:$BZ$1,0),FALSE),"")</f>
        <v/>
      </c>
      <c r="AO20" t="str">
        <f>IF(ISNUMBER(VLOOKUP($A20,Haver_M!$B$1:$BZ$300,MATCH(data!AO$1,Haver_M!$B$1:$BZ$1,0),FALSE)),VLOOKUP($A20,Haver_M!$B$1:$BZ$300,MATCH(data!AO$1,Haver_M!$B$1:$BZ$1,0),FALSE),"")</f>
        <v/>
      </c>
      <c r="AP20">
        <f>IF(ISNUMBER(VLOOKUP($A20,Haver_M!$B$1:$BZ$300,MATCH(data!AP$1,Haver_M!$B$1:$BZ$1,0),FALSE)),VLOOKUP($A20,Haver_M!$B$1:$BZ$300,MATCH(data!AP$1,Haver_M!$B$1:$BZ$1,0),FALSE),"")</f>
        <v>115.32456204265819</v>
      </c>
      <c r="AQ20" t="str">
        <f>IF(ISNUMBER(VLOOKUP($A20,Haver_M!$B$1:$BZ$300,MATCH(data!AQ$1,Haver_M!$B$1:$BZ$1,0),FALSE)),VLOOKUP($A20,Haver_M!$B$1:$BZ$300,MATCH(data!AQ$1,Haver_M!$B$1:$BZ$1,0),FALSE),"")</f>
        <v/>
      </c>
      <c r="AR20" t="str">
        <f>IF(ISNUMBER(VLOOKUP($A20,Haver_M!$B$1:$BZ$300,MATCH(data!AR$1,Haver_M!$B$1:$BZ$1,0),FALSE)),VLOOKUP($A20,Haver_M!$B$1:$BZ$300,MATCH(data!AR$1,Haver_M!$B$1:$BZ$1,0),FALSE),"")</f>
        <v/>
      </c>
      <c r="AS20" t="str">
        <f>IF(ISNUMBER(VLOOKUP($A20,Haver_M!$B$1:$BZ$300,MATCH(data!AS$1,Haver_M!$B$1:$BZ$1,0),FALSE)),VLOOKUP($A20,Haver_M!$B$1:$BZ$300,MATCH(data!AS$1,Haver_M!$B$1:$BZ$1,0),FALSE),"")</f>
        <v/>
      </c>
      <c r="AT20" t="str">
        <f>IF(ISNUMBER(VLOOKUP($A20,Haver_M!$B$1:$BZ$300,MATCH(data!AT$1,Haver_M!$B$1:$BZ$1,0),FALSE)),VLOOKUP($A20,Haver_M!$B$1:$BZ$300,MATCH(data!AT$1,Haver_M!$B$1:$BZ$1,0),FALSE),"")</f>
        <v/>
      </c>
      <c r="AU20" t="str">
        <f>IF(ISNUMBER(VLOOKUP($A20,Haver_M!$B$1:$BZ$300,MATCH(data!AU$1,Haver_M!$B$1:$BZ$1,0),FALSE)),VLOOKUP($A20,Haver_M!$B$1:$BZ$300,MATCH(data!AU$1,Haver_M!$B$1:$BZ$1,0),FALSE),"")</f>
        <v/>
      </c>
      <c r="AV20" t="str">
        <f>IF(ISNUMBER(VLOOKUP($A20,Haver_M!$B$1:$BZ$300,MATCH(data!AV$1,Haver_M!$B$1:$BZ$1,0),FALSE)),VLOOKUP($A20,Haver_M!$B$1:$BZ$300,MATCH(data!AV$1,Haver_M!$B$1:$BZ$1,0),FALSE),"")</f>
        <v/>
      </c>
      <c r="AW20" t="str">
        <f>IF(ISNUMBER(VLOOKUP($A20,Haver_M!$B$1:$BZ$300,MATCH(data!AW$1,Haver_M!$B$1:$BZ$1,0),FALSE)),VLOOKUP($A20,Haver_M!$B$1:$BZ$300,MATCH(data!AW$1,Haver_M!$B$1:$BZ$1,0),FALSE),"")</f>
        <v/>
      </c>
      <c r="AX20" t="str">
        <f>IF(ISNUMBER(VLOOKUP($A20,Haver_M!$B$1:$BZ$300,MATCH(data!AX$1,Haver_M!$B$1:$BZ$1,0),FALSE)),VLOOKUP($A20,Haver_M!$B$1:$BZ$300,MATCH(data!AX$1,Haver_M!$B$1:$BZ$1,0),FALSE),"")</f>
        <v/>
      </c>
      <c r="AY20" t="str">
        <f>IF(ISNUMBER(VLOOKUP($A20,Haver_M!$B$1:$BZ$300,MATCH(data!AY$1,Haver_M!$B$1:$BZ$1,0),FALSE)),VLOOKUP($A20,Haver_M!$B$1:$BZ$300,MATCH(data!AY$1,Haver_M!$B$1:$BZ$1,0),FALSE),"")</f>
        <v/>
      </c>
      <c r="AZ20" t="str">
        <f>IF(ISNUMBER(VLOOKUP($A20,Haver_M!$B$1:$BZ$300,MATCH(data!AZ$1,Haver_M!$B$1:$BZ$1,0),FALSE)),VLOOKUP($A20,Haver_M!$B$1:$BZ$300,MATCH(data!AZ$1,Haver_M!$B$1:$BZ$1,0),FALSE),"")</f>
        <v/>
      </c>
      <c r="BA20" t="str">
        <f>IF(ISNUMBER(VLOOKUP($A20,Haver_M!$B$1:$BZ$300,MATCH(data!BA$1,Haver_M!$B$1:$BZ$1,0),FALSE)),VLOOKUP($A20,Haver_M!$B$1:$BZ$300,MATCH(data!BA$1,Haver_M!$B$1:$BZ$1,0),FALSE),"")</f>
        <v/>
      </c>
      <c r="BB20" t="str">
        <f>IF(ISNUMBER(VLOOKUP($A20,Haver_M!$B$1:$BZ$300,MATCH(data!BB$1,Haver_M!$B$1:$BZ$1,0),FALSE)),VLOOKUP($A20,Haver_M!$B$1:$BZ$300,MATCH(data!BB$1,Haver_M!$B$1:$BZ$1,0),FALSE),"")</f>
        <v/>
      </c>
      <c r="BC20" t="str">
        <f>IF(ISNUMBER(VLOOKUP($A20,Haver_M!$B$1:$BZ$300,MATCH(data!BC$1,Haver_M!$B$1:$BZ$1,0),FALSE)),VLOOKUP($A20,Haver_M!$B$1:$BZ$300,MATCH(data!BC$1,Haver_M!$B$1:$BZ$1,0),FALSE),"")</f>
        <v/>
      </c>
      <c r="BD20" t="str">
        <f>IF(ISNUMBER(VLOOKUP($A20,Haver_M!$B$1:$BZ$300,MATCH(data!BD$1,Haver_M!$B$1:$BZ$1,0),FALSE)),VLOOKUP($A20,Haver_M!$B$1:$BZ$300,MATCH(data!BD$1,Haver_M!$B$1:$BZ$1,0),FALSE),"")</f>
        <v/>
      </c>
      <c r="BE20" t="str">
        <f>IF(ISNUMBER(VLOOKUP($A20,Haver_M!$B$1:$BZ$300,MATCH(data!BE$1,Haver_M!$B$1:$BZ$1,0),FALSE)),VLOOKUP($A20,Haver_M!$B$1:$BZ$300,MATCH(data!BE$1,Haver_M!$B$1:$BZ$1,0),FALSE),"")</f>
        <v/>
      </c>
      <c r="BF20" t="str">
        <f>IF(ISNUMBER(VLOOKUP($A20,Haver_M!$B$1:$BZ$300,MATCH(data!BF$1,Haver_M!$B$1:$BZ$1,0),FALSE)),VLOOKUP($A20,Haver_M!$B$1:$BZ$300,MATCH(data!BF$1,Haver_M!$B$1:$BZ$1,0),FALSE),"")</f>
        <v/>
      </c>
      <c r="BG20" t="str">
        <f>IF(ISNUMBER(VLOOKUP($A20,Haver_M!$B$1:$BZ$300,MATCH(data!BG$1,Haver_M!$B$1:$BZ$1,0),FALSE)),VLOOKUP($A20,Haver_M!$B$1:$BZ$300,MATCH(data!BG$1,Haver_M!$B$1:$BZ$1,0),FALSE),"")</f>
        <v/>
      </c>
      <c r="BH20" t="str">
        <f>IF(ISNUMBER(VLOOKUP($A20,Haver_M!$B$1:$BZ$300,MATCH(data!BH$1,Haver_M!$B$1:$BZ$1,0),FALSE)),VLOOKUP($A20,Haver_M!$B$1:$BZ$300,MATCH(data!BH$1,Haver_M!$B$1:$BZ$1,0),FALSE),"")</f>
        <v/>
      </c>
      <c r="BI20" t="str">
        <f>IF(ISNUMBER(VLOOKUP($A20,Haver_M!$B$1:$BZ$300,MATCH(data!BI$1,Haver_M!$B$1:$BZ$1,0),FALSE)),VLOOKUP($A20,Haver_M!$B$1:$BZ$300,MATCH(data!BI$1,Haver_M!$B$1:$BZ$1,0),FALSE),"")</f>
        <v/>
      </c>
      <c r="BJ20" t="str">
        <f>IF(ISNUMBER(VLOOKUP($A20,Haver_M!$B$1:$BZ$300,MATCH(data!BJ$1,Haver_M!$B$1:$BZ$1,0),FALSE)),VLOOKUP($A20,Haver_M!$B$1:$BZ$300,MATCH(data!BJ$1,Haver_M!$B$1:$BZ$1,0),FALSE),"")</f>
        <v/>
      </c>
      <c r="BK20" t="str">
        <f>IF(ISNUMBER(VLOOKUP($A20,Haver_M!$B$1:$BZ$300,MATCH(data!BK$1,Haver_M!$B$1:$BZ$1,0),FALSE)),VLOOKUP($A20,Haver_M!$B$1:$BZ$300,MATCH(data!BK$1,Haver_M!$B$1:$BZ$1,0),FALSE),"")</f>
        <v/>
      </c>
      <c r="BL20">
        <f>IF(ISNUMBER(VLOOKUP($A20,Haver_M!$B$1:$BZ$300,MATCH(data!BL$1,Haver_M!$B$1:$BZ$1,0),FALSE)),VLOOKUP($A20,Haver_M!$B$1:$BZ$300,MATCH(data!BL$1,Haver_M!$B$1:$BZ$1,0),FALSE),"")</f>
        <v>3346.88</v>
      </c>
      <c r="BM20">
        <f>IF(ISNUMBER(VLOOKUP($A20,Haver_M!$B$1:$BZ$300,MATCH(data!BM$1,Haver_M!$B$1:$BZ$1,0),FALSE)),VLOOKUP($A20,Haver_M!$B$1:$BZ$300,MATCH(data!BM$1,Haver_M!$B$1:$BZ$1,0),FALSE),"")</f>
        <v>99.306173189999996</v>
      </c>
      <c r="BN20" t="str">
        <f>IF(ISNUMBER(VLOOKUP($A20,Haver_M!$B$1:$BZ$300,MATCH(data!BN$1,Haver_M!$B$1:$BZ$1,0),FALSE)),VLOOKUP($A20,Haver_M!$B$1:$BZ$300,MATCH(data!BN$1,Haver_M!$B$1:$BZ$1,0),FALSE),"")</f>
        <v/>
      </c>
      <c r="BO20" t="str">
        <f>IF(ISNUMBER(VLOOKUP($A20,Haver_M!$B$1:$BZ$300,MATCH(data!BO$1,Haver_M!$B$1:$BZ$1,0),FALSE)),VLOOKUP($A20,Haver_M!$B$1:$BZ$300,MATCH(data!BO$1,Haver_M!$B$1:$BZ$1,0),FALSE),"")</f>
        <v/>
      </c>
      <c r="BP20" t="str">
        <f>IF(ISNUMBER(VLOOKUP($A20,Haver_M!$B$1:$BZ$300,MATCH(data!BP$1,Haver_M!$B$1:$BZ$1,0),FALSE)),VLOOKUP($A20,Haver_M!$B$1:$BZ$300,MATCH(data!BP$1,Haver_M!$B$1:$BZ$1,0),FALSE),"")</f>
        <v/>
      </c>
      <c r="BQ20" t="str">
        <f>IF(ISNUMBER(VLOOKUP($A20,Haver_M!$B$1:$BZ$300,MATCH(data!BQ$1,Haver_M!$B$1:$BZ$1,0),FALSE)),VLOOKUP($A20,Haver_M!$B$1:$BZ$300,MATCH(data!BQ$1,Haver_M!$B$1:$BZ$1,0),FALSE),"")</f>
        <v/>
      </c>
      <c r="BR20" t="str">
        <f>IF(ISNUMBER(VLOOKUP($A20,Haver_M!$B$1:$BZ$300,MATCH(data!BR$1,Haver_M!$B$1:$BZ$1,0),FALSE)),VLOOKUP($A20,Haver_M!$B$1:$BZ$300,MATCH(data!BR$1,Haver_M!$B$1:$BZ$1,0),FALSE),"")</f>
        <v/>
      </c>
      <c r="BS20" t="str">
        <f>IF(ISNUMBER(VLOOKUP($A20,Haver_M!$B$1:$BZ$300,MATCH(data!BS$1,Haver_M!$B$1:$BZ$1,0),FALSE)),VLOOKUP($A20,Haver_M!$B$1:$BZ$300,MATCH(data!BS$1,Haver_M!$B$1:$BZ$1,0),FALSE),"")</f>
        <v/>
      </c>
      <c r="BT20" t="str">
        <f>IF(ISNUMBER(VLOOKUP($A20,Haver_M!$B$1:$BZ$300,MATCH(data!BT$1,Haver_M!$B$1:$BZ$1,0),FALSE)),VLOOKUP($A20,Haver_M!$B$1:$BZ$300,MATCH(data!BT$1,Haver_M!$B$1:$BZ$1,0),FALSE),"")</f>
        <v/>
      </c>
      <c r="BU20">
        <f>IF(ISNUMBER(VLOOKUP($A20,Haver_M!$B$1:$BZ$300,MATCH(data!BU$1,Haver_M!$B$1:$BZ$1,0),FALSE)),VLOOKUP($A20,Haver_M!$B$1:$BZ$300,MATCH(data!BU$1,Haver_M!$B$1:$BZ$1,0),FALSE),"")</f>
        <v>3433</v>
      </c>
      <c r="BV20">
        <f>IF(ISNUMBER(VLOOKUP($A20,Haver_M!$B$1:$BZ$300,MATCH(data!BV$1,Haver_M!$B$1:$BZ$1,0),FALSE)),VLOOKUP($A20,Haver_M!$B$1:$BZ$300,MATCH(data!BV$1,Haver_M!$B$1:$BZ$1,0),FALSE),"")</f>
        <v>4923</v>
      </c>
      <c r="BW20">
        <f>IF(ISNUMBER(VLOOKUP($A20,Haver_M!$B$1:$BZ$300,MATCH(data!BW$1,Haver_M!$B$1:$BZ$1,0),FALSE)),VLOOKUP($A20,Haver_M!$B$1:$BZ$300,MATCH(data!BW$1,Haver_M!$B$1:$BZ$1,0),FALSE),"")</f>
        <v>47.139299999999999</v>
      </c>
      <c r="BX20">
        <f>IF(ISNUMBER(VLOOKUP($A20,Haver_M!$B$1:$BZ$300,MATCH(data!BX$1,Haver_M!$B$1:$BZ$1,0),FALSE)),VLOOKUP($A20,Haver_M!$B$1:$BZ$300,MATCH(data!BX$1,Haver_M!$B$1:$BZ$1,0),FALSE),"")</f>
        <v>61008</v>
      </c>
    </row>
    <row r="21" spans="1:76" x14ac:dyDescent="0.25">
      <c r="A21" s="2">
        <v>37134</v>
      </c>
      <c r="B21" t="str">
        <f>IF(ISNUMBER(VLOOKUP($A21,Haver_Q!$B$1:$L$185,MATCH(data!B$1,Haver_Q!$B$1:$L$1,0),FALSE)),100*(VLOOKUP($A21,Haver_Q!$B$1:$L$185,MATCH(data!B$1,Haver_Q!$B$1:$L$1,0),FALSE)),"")</f>
        <v/>
      </c>
      <c r="C21" t="str">
        <f>IF(ISNUMBER(VLOOKUP($A21,Haver_Q!$B$1:$L$185,MATCH(data!C$1,Haver_Q!$B$1:$L$1,0),FALSE)),100*(VLOOKUP($A21,Haver_Q!$B$1:$L$185,MATCH(data!C$1,Haver_Q!$B$1:$L$1,0),FALSE)),"")</f>
        <v/>
      </c>
      <c r="D21" t="str">
        <f>IF(ISNUMBER(VLOOKUP($A21,Haver_Q!$B$1:$L$185,MATCH(data!D$1,Haver_Q!$B$1:$L$1,0),FALSE)),100*(VLOOKUP($A21,Haver_Q!$B$1:$L$185,MATCH(data!D$1,Haver_Q!$B$1:$L$1,0),FALSE)),"")</f>
        <v/>
      </c>
      <c r="E21" t="str">
        <f>IF(ISNUMBER(VLOOKUP($A21,Haver_Q!$B$1:$L$185,MATCH(data!E$1,Haver_Q!$B$1:$L$1,0),FALSE)),100*(VLOOKUP($A21,Haver_Q!$B$1:$L$185,MATCH(data!E$1,Haver_Q!$B$1:$L$1,0),FALSE)),"")</f>
        <v/>
      </c>
      <c r="F21" t="str">
        <f>IF(ISNUMBER(VLOOKUP($A21,Haver_Q!$B$1:$L$185,MATCH(data!F$1,Haver_Q!$B$1:$L$1,0),FALSE)),100*(VLOOKUP($A21,Haver_Q!$B$1:$L$185,MATCH(data!F$1,Haver_Q!$B$1:$L$1,0),FALSE)),"")</f>
        <v/>
      </c>
      <c r="G21" t="str">
        <f>IF(ISNUMBER(VLOOKUP($A21,Haver_Q!$B$1:$L$185,MATCH(data!G$1,Haver_Q!$B$1:$L$1,0),FALSE)),100*(VLOOKUP($A21,Haver_Q!$B$1:$L$185,MATCH(data!G$1,Haver_Q!$B$1:$L$1,0),FALSE)),"")</f>
        <v/>
      </c>
      <c r="H21" t="str">
        <f>IF(ISNUMBER(VLOOKUP($A21,Haver_Q!$B$1:$L$185,MATCH(data!H$1,Haver_Q!$B$1:$L$1,0),FALSE)),(VLOOKUP($A21,Haver_Q!$B$1:$L$185,MATCH(data!H$1,Haver_Q!$B$1:$L$1,0),FALSE)),"")</f>
        <v/>
      </c>
      <c r="I21" t="str">
        <f>IF(ISNUMBER(VLOOKUP($A21,Haver_Q!$B$1:$L$185,MATCH(data!I$1,Haver_Q!$B$1:$L$1,0),FALSE)),100*(VLOOKUP($A21,Haver_Q!$B$1:$L$185,MATCH(data!I$1,Haver_Q!$B$1:$L$1,0),FALSE)),"")</f>
        <v/>
      </c>
      <c r="J21" s="3">
        <f>IF(ISNUMBER(Bloomberg_m!C37),Bloomberg_m!C37,"")</f>
        <v>980</v>
      </c>
      <c r="K21" s="3" t="str">
        <f>IF(ISNUMBER(Bloomberg_m!D37),Bloomberg_m!D37,"")</f>
        <v/>
      </c>
      <c r="L21" s="3" t="str">
        <f>IF(ISNUMBER(Bloomberg_m!E37),Bloomberg_m!E37,"")</f>
        <v/>
      </c>
      <c r="M21" s="3" t="str">
        <f>IF(ISNUMBER(Bloomberg_m!F37),Bloomberg_m!F37,"")</f>
        <v/>
      </c>
      <c r="N21">
        <f>IF(ISNUMBER(VLOOKUP($A21,Haver_M!$B$1:$BZ$300,MATCH(data!N$1,Haver_M!$B$1:$BZ$1,0),FALSE)),VLOOKUP($A21,Haver_M!$B$1:$BZ$300,MATCH(data!N$1,Haver_M!$B$1:$BZ$1,0),FALSE),"")</f>
        <v>8.5</v>
      </c>
      <c r="O21">
        <f>IF(ISNUMBER(VLOOKUP($A21,Haver_M!$B$1:$BZ$300,MATCH(data!O$1,Haver_M!$B$1:$BZ$1,0),FALSE)),VLOOKUP($A21,Haver_M!$B$1:$BZ$300,MATCH(data!O$1,Haver_M!$B$1:$BZ$1,0),FALSE),"")</f>
        <v>9.1394000000000002</v>
      </c>
      <c r="P21">
        <f>IF(ISNUMBER(VLOOKUP($A21,Haver_M!$B$1:$BZ$300,MATCH(data!P$1,Haver_M!$B$1:$BZ$1,0),FALSE)),VLOOKUP($A21,Haver_M!$B$1:$BZ$300,MATCH(data!P$1,Haver_M!$B$1:$BZ$1,0),FALSE),"")</f>
        <v>97.716759999999994</v>
      </c>
      <c r="Q21">
        <f>IF(ISNUMBER(VLOOKUP($A21,Haver_M!$B$1:$BZ$300,MATCH(data!Q$1,Haver_M!$B$1:$BZ$1,0),FALSE)),VLOOKUP($A21,Haver_M!$B$1:$BZ$300,MATCH(data!Q$1,Haver_M!$B$1:$BZ$1,0),FALSE),"")</f>
        <v>49.2</v>
      </c>
      <c r="R21" t="str">
        <f>IF(ISNUMBER(VLOOKUP($A21,Haver_M!$B$1:$BZ$300,MATCH(data!R$1,Haver_M!$B$1:$BZ$1,0),FALSE)),VLOOKUP($A21,Haver_M!$B$1:$BZ$300,MATCH(data!R$1,Haver_M!$B$1:$BZ$1,0),FALSE),"")</f>
        <v/>
      </c>
      <c r="S21">
        <f>IF(ISNUMBER(VLOOKUP($A21,Haver_M!$B$1:$BZ$300,MATCH(data!S$1,Haver_M!$B$1:$BZ$1,0),FALSE)),VLOOKUP($A21,Haver_M!$B$1:$BZ$300,MATCH(data!S$1,Haver_M!$B$1:$BZ$1,0),FALSE),"")</f>
        <v>47.28</v>
      </c>
      <c r="T21">
        <f>IF(ISNUMBER(VLOOKUP($A21,Haver_M!$B$1:$BZ$300,MATCH(data!T$1,Haver_M!$B$1:$BZ$1,0),FALSE)),VLOOKUP($A21,Haver_M!$B$1:$BZ$300,MATCH(data!T$1,Haver_M!$B$1:$BZ$1,0),FALSE),"")</f>
        <v>56.84</v>
      </c>
      <c r="U21">
        <f>IF(ISNUMBER(VLOOKUP($A21,Haver_M!$B$1:$BZ$300,MATCH(data!U$1,Haver_M!$B$1:$BZ$1,0),FALSE)),VLOOKUP($A21,Haver_M!$B$1:$BZ$300,MATCH(data!U$1,Haver_M!$B$1:$BZ$1,0),FALSE),"")</f>
        <v>25.28</v>
      </c>
      <c r="V21">
        <f>IF(ISNUMBER(VLOOKUP($A21,Haver_M!$B$1:$BZ$300,MATCH(data!V$1,Haver_M!$B$1:$BZ$1,0),FALSE)),VLOOKUP($A21,Haver_M!$B$1:$BZ$300,MATCH(data!V$1,Haver_M!$B$1:$BZ$1,0),FALSE),"")</f>
        <v>58.79</v>
      </c>
      <c r="W21" t="str">
        <f>IF(ISNUMBER(VLOOKUP($A21,Haver_M!$B$1:$BZ$300,MATCH(data!W$1,Haver_M!$B$1:$BZ$1,0),FALSE)),VLOOKUP($A21,Haver_M!$B$1:$BZ$300,MATCH(data!W$1,Haver_M!$B$1:$BZ$1,0),FALSE),"")</f>
        <v/>
      </c>
      <c r="X21">
        <f>IF(ISNUMBER(VLOOKUP($A21,Haver_M!$B$1:$BZ$300,MATCH(data!X$1,Haver_M!$B$1:$BZ$1,0),FALSE)),VLOOKUP($A21,Haver_M!$B$1:$BZ$300,MATCH(data!X$1,Haver_M!$B$1:$BZ$1,0),FALSE),"")</f>
        <v>28.98</v>
      </c>
      <c r="Y21">
        <f>IF(ISNUMBER(VLOOKUP($A21,Haver_M!$B$1:$BZ$300,MATCH(data!Y$1,Haver_M!$B$1:$BZ$1,0),FALSE)),VLOOKUP($A21,Haver_M!$B$1:$BZ$300,MATCH(data!Y$1,Haver_M!$B$1:$BZ$1,0),FALSE),"")</f>
        <v>48.38</v>
      </c>
      <c r="Z21" t="str">
        <f>IF(ISNUMBER(VLOOKUP($A21,Haver_M!$B$1:$BZ$300,MATCH(data!Z$1,Haver_M!$B$1:$BZ$1,0),FALSE)),VLOOKUP($A21,Haver_M!$B$1:$BZ$300,MATCH(data!Z$1,Haver_M!$B$1:$BZ$1,0),FALSE),"")</f>
        <v/>
      </c>
      <c r="AA21" t="str">
        <f>IF(ISNUMBER(VLOOKUP($A21,Haver_M!$B$1:$BZ$300,MATCH(data!AA$1,Haver_M!$B$1:$BZ$1,0),FALSE)),VLOOKUP($A21,Haver_M!$B$1:$BZ$300,MATCH(data!AA$1,Haver_M!$B$1:$BZ$1,0),FALSE),"")</f>
        <v/>
      </c>
      <c r="AB21" t="str">
        <f>IF(ISNUMBER(VLOOKUP($A21,Haver_M!$B$1:$BZ$300,MATCH(data!AB$1,Haver_M!$B$1:$BZ$1,0),FALSE)),VLOOKUP($A21,Haver_M!$B$1:$BZ$300,MATCH(data!AB$1,Haver_M!$B$1:$BZ$1,0),FALSE),"")</f>
        <v/>
      </c>
      <c r="AC21" t="str">
        <f>IF(ISNUMBER(VLOOKUP($A21,Haver_M!$B$1:$BZ$300,MATCH(data!AC$1,Haver_M!$B$1:$BZ$1,0),FALSE)),VLOOKUP($A21,Haver_M!$B$1:$BZ$300,MATCH(data!AC$1,Haver_M!$B$1:$BZ$1,0),FALSE),"")</f>
        <v/>
      </c>
      <c r="AD21" t="str">
        <f>IF(ISNUMBER(VLOOKUP($A21,Haver_M!$B$1:$BZ$300,MATCH(data!AD$1,Haver_M!$B$1:$BZ$1,0),FALSE)),VLOOKUP($A21,Haver_M!$B$1:$BZ$300,MATCH(data!AD$1,Haver_M!$B$1:$BZ$1,0),FALSE),"")</f>
        <v/>
      </c>
      <c r="AE21" t="str">
        <f>IF(ISNUMBER(VLOOKUP($A21,Haver_M!$B$1:$BZ$300,MATCH(data!AE$1,Haver_M!$B$1:$BZ$1,0),FALSE)),VLOOKUP($A21,Haver_M!$B$1:$BZ$300,MATCH(data!AE$1,Haver_M!$B$1:$BZ$1,0),FALSE),"")</f>
        <v/>
      </c>
      <c r="AF21" t="str">
        <f>IF(ISNUMBER(VLOOKUP($A21,Haver_M!$B$1:$BZ$300,MATCH(data!AF$1,Haver_M!$B$1:$BZ$1,0),FALSE)),VLOOKUP($A21,Haver_M!$B$1:$BZ$300,MATCH(data!AF$1,Haver_M!$B$1:$BZ$1,0),FALSE),"")</f>
        <v/>
      </c>
      <c r="AG21" t="str">
        <f>IF(ISNUMBER(VLOOKUP($A21,Haver_M!$B$1:$BZ$300,MATCH(data!AG$1,Haver_M!$B$1:$BZ$1,0),FALSE)),VLOOKUP($A21,Haver_M!$B$1:$BZ$300,MATCH(data!AG$1,Haver_M!$B$1:$BZ$1,0),FALSE),"")</f>
        <v/>
      </c>
      <c r="AH21" t="str">
        <f>IF(ISNUMBER(VLOOKUP($A21,Haver_M!$B$1:$BZ$300,MATCH(data!AH$1,Haver_M!$B$1:$BZ$1,0),FALSE)),VLOOKUP($A21,Haver_M!$B$1:$BZ$300,MATCH(data!AH$1,Haver_M!$B$1:$BZ$1,0),FALSE),"")</f>
        <v/>
      </c>
      <c r="AI21">
        <f>IF(ISNUMBER(VLOOKUP($A21,Haver_M!$B$1:$BZ$300,MATCH(data!AI$1,Haver_M!$B$1:$BZ$1,0),FALSE)),VLOOKUP($A21,Haver_M!$B$1:$BZ$300,MATCH(data!AI$1,Haver_M!$B$1:$BZ$1,0),FALSE),"")</f>
        <v>8479.2019992932965</v>
      </c>
      <c r="AJ21">
        <f>IF(ISNUMBER(VLOOKUP($A21,Haver_M!$B$1:$BZ$300,MATCH(data!AJ$1,Haver_M!$B$1:$BZ$1,0),FALSE)),VLOOKUP($A21,Haver_M!$B$1:$BZ$300,MATCH(data!AJ$1,Haver_M!$B$1:$BZ$1,0),FALSE),"")</f>
        <v>3656.43</v>
      </c>
      <c r="AK21">
        <f>IF(ISNUMBER(VLOOKUP($A21,Haver_M!$B$1:$BZ$300,MATCH(data!AK$1,Haver_M!$B$1:$BZ$1,0),FALSE)),VLOOKUP($A21,Haver_M!$B$1:$BZ$300,MATCH(data!AK$1,Haver_M!$B$1:$BZ$1,0),FALSE),"")</f>
        <v>4430.63</v>
      </c>
      <c r="AL21" t="str">
        <f>IF(ISNUMBER(VLOOKUP($A21,Haver_M!$B$1:$BZ$300,MATCH(data!AL$1,Haver_M!$B$1:$BZ$1,0),FALSE)),VLOOKUP($A21,Haver_M!$B$1:$BZ$300,MATCH(data!AL$1,Haver_M!$B$1:$BZ$1,0),FALSE),"")</f>
        <v/>
      </c>
      <c r="AM21" t="str">
        <f>IF(ISNUMBER(VLOOKUP($A21,Haver_M!$B$1:$BZ$300,MATCH(data!AM$1,Haver_M!$B$1:$BZ$1,0),FALSE)),VLOOKUP($A21,Haver_M!$B$1:$BZ$300,MATCH(data!AM$1,Haver_M!$B$1:$BZ$1,0),FALSE),"")</f>
        <v/>
      </c>
      <c r="AN21" t="str">
        <f>IF(ISNUMBER(VLOOKUP($A21,Haver_M!$B$1:$BZ$300,MATCH(data!AN$1,Haver_M!$B$1:$BZ$1,0),FALSE)),VLOOKUP($A21,Haver_M!$B$1:$BZ$300,MATCH(data!AN$1,Haver_M!$B$1:$BZ$1,0),FALSE),"")</f>
        <v/>
      </c>
      <c r="AO21" t="str">
        <f>IF(ISNUMBER(VLOOKUP($A21,Haver_M!$B$1:$BZ$300,MATCH(data!AO$1,Haver_M!$B$1:$BZ$1,0),FALSE)),VLOOKUP($A21,Haver_M!$B$1:$BZ$300,MATCH(data!AO$1,Haver_M!$B$1:$BZ$1,0),FALSE),"")</f>
        <v/>
      </c>
      <c r="AP21">
        <f>IF(ISNUMBER(VLOOKUP($A21,Haver_M!$B$1:$BZ$300,MATCH(data!AP$1,Haver_M!$B$1:$BZ$1,0),FALSE)),VLOOKUP($A21,Haver_M!$B$1:$BZ$300,MATCH(data!AP$1,Haver_M!$B$1:$BZ$1,0),FALSE),"")</f>
        <v>89.274069973371496</v>
      </c>
      <c r="AQ21" t="str">
        <f>IF(ISNUMBER(VLOOKUP($A21,Haver_M!$B$1:$BZ$300,MATCH(data!AQ$1,Haver_M!$B$1:$BZ$1,0),FALSE)),VLOOKUP($A21,Haver_M!$B$1:$BZ$300,MATCH(data!AQ$1,Haver_M!$B$1:$BZ$1,0),FALSE),"")</f>
        <v/>
      </c>
      <c r="AR21" t="str">
        <f>IF(ISNUMBER(VLOOKUP($A21,Haver_M!$B$1:$BZ$300,MATCH(data!AR$1,Haver_M!$B$1:$BZ$1,0),FALSE)),VLOOKUP($A21,Haver_M!$B$1:$BZ$300,MATCH(data!AR$1,Haver_M!$B$1:$BZ$1,0),FALSE),"")</f>
        <v/>
      </c>
      <c r="AS21" t="str">
        <f>IF(ISNUMBER(VLOOKUP($A21,Haver_M!$B$1:$BZ$300,MATCH(data!AS$1,Haver_M!$B$1:$BZ$1,0),FALSE)),VLOOKUP($A21,Haver_M!$B$1:$BZ$300,MATCH(data!AS$1,Haver_M!$B$1:$BZ$1,0),FALSE),"")</f>
        <v/>
      </c>
      <c r="AT21" t="str">
        <f>IF(ISNUMBER(VLOOKUP($A21,Haver_M!$B$1:$BZ$300,MATCH(data!AT$1,Haver_M!$B$1:$BZ$1,0),FALSE)),VLOOKUP($A21,Haver_M!$B$1:$BZ$300,MATCH(data!AT$1,Haver_M!$B$1:$BZ$1,0),FALSE),"")</f>
        <v/>
      </c>
      <c r="AU21" t="str">
        <f>IF(ISNUMBER(VLOOKUP($A21,Haver_M!$B$1:$BZ$300,MATCH(data!AU$1,Haver_M!$B$1:$BZ$1,0),FALSE)),VLOOKUP($A21,Haver_M!$B$1:$BZ$300,MATCH(data!AU$1,Haver_M!$B$1:$BZ$1,0),FALSE),"")</f>
        <v/>
      </c>
      <c r="AV21" t="str">
        <f>IF(ISNUMBER(VLOOKUP($A21,Haver_M!$B$1:$BZ$300,MATCH(data!AV$1,Haver_M!$B$1:$BZ$1,0),FALSE)),VLOOKUP($A21,Haver_M!$B$1:$BZ$300,MATCH(data!AV$1,Haver_M!$B$1:$BZ$1,0),FALSE),"")</f>
        <v/>
      </c>
      <c r="AW21" t="str">
        <f>IF(ISNUMBER(VLOOKUP($A21,Haver_M!$B$1:$BZ$300,MATCH(data!AW$1,Haver_M!$B$1:$BZ$1,0),FALSE)),VLOOKUP($A21,Haver_M!$B$1:$BZ$300,MATCH(data!AW$1,Haver_M!$B$1:$BZ$1,0),FALSE),"")</f>
        <v/>
      </c>
      <c r="AX21" t="str">
        <f>IF(ISNUMBER(VLOOKUP($A21,Haver_M!$B$1:$BZ$300,MATCH(data!AX$1,Haver_M!$B$1:$BZ$1,0),FALSE)),VLOOKUP($A21,Haver_M!$B$1:$BZ$300,MATCH(data!AX$1,Haver_M!$B$1:$BZ$1,0),FALSE),"")</f>
        <v/>
      </c>
      <c r="AY21" t="str">
        <f>IF(ISNUMBER(VLOOKUP($A21,Haver_M!$B$1:$BZ$300,MATCH(data!AY$1,Haver_M!$B$1:$BZ$1,0),FALSE)),VLOOKUP($A21,Haver_M!$B$1:$BZ$300,MATCH(data!AY$1,Haver_M!$B$1:$BZ$1,0),FALSE),"")</f>
        <v/>
      </c>
      <c r="AZ21" t="str">
        <f>IF(ISNUMBER(VLOOKUP($A21,Haver_M!$B$1:$BZ$300,MATCH(data!AZ$1,Haver_M!$B$1:$BZ$1,0),FALSE)),VLOOKUP($A21,Haver_M!$B$1:$BZ$300,MATCH(data!AZ$1,Haver_M!$B$1:$BZ$1,0),FALSE),"")</f>
        <v/>
      </c>
      <c r="BA21" t="str">
        <f>IF(ISNUMBER(VLOOKUP($A21,Haver_M!$B$1:$BZ$300,MATCH(data!BA$1,Haver_M!$B$1:$BZ$1,0),FALSE)),VLOOKUP($A21,Haver_M!$B$1:$BZ$300,MATCH(data!BA$1,Haver_M!$B$1:$BZ$1,0),FALSE),"")</f>
        <v/>
      </c>
      <c r="BB21" t="str">
        <f>IF(ISNUMBER(VLOOKUP($A21,Haver_M!$B$1:$BZ$300,MATCH(data!BB$1,Haver_M!$B$1:$BZ$1,0),FALSE)),VLOOKUP($A21,Haver_M!$B$1:$BZ$300,MATCH(data!BB$1,Haver_M!$B$1:$BZ$1,0),FALSE),"")</f>
        <v/>
      </c>
      <c r="BC21" t="str">
        <f>IF(ISNUMBER(VLOOKUP($A21,Haver_M!$B$1:$BZ$300,MATCH(data!BC$1,Haver_M!$B$1:$BZ$1,0),FALSE)),VLOOKUP($A21,Haver_M!$B$1:$BZ$300,MATCH(data!BC$1,Haver_M!$B$1:$BZ$1,0),FALSE),"")</f>
        <v/>
      </c>
      <c r="BD21" t="str">
        <f>IF(ISNUMBER(VLOOKUP($A21,Haver_M!$B$1:$BZ$300,MATCH(data!BD$1,Haver_M!$B$1:$BZ$1,0),FALSE)),VLOOKUP($A21,Haver_M!$B$1:$BZ$300,MATCH(data!BD$1,Haver_M!$B$1:$BZ$1,0),FALSE),"")</f>
        <v/>
      </c>
      <c r="BE21" t="str">
        <f>IF(ISNUMBER(VLOOKUP($A21,Haver_M!$B$1:$BZ$300,MATCH(data!BE$1,Haver_M!$B$1:$BZ$1,0),FALSE)),VLOOKUP($A21,Haver_M!$B$1:$BZ$300,MATCH(data!BE$1,Haver_M!$B$1:$BZ$1,0),FALSE),"")</f>
        <v/>
      </c>
      <c r="BF21" t="str">
        <f>IF(ISNUMBER(VLOOKUP($A21,Haver_M!$B$1:$BZ$300,MATCH(data!BF$1,Haver_M!$B$1:$BZ$1,0),FALSE)),VLOOKUP($A21,Haver_M!$B$1:$BZ$300,MATCH(data!BF$1,Haver_M!$B$1:$BZ$1,0),FALSE),"")</f>
        <v/>
      </c>
      <c r="BG21" t="str">
        <f>IF(ISNUMBER(VLOOKUP($A21,Haver_M!$B$1:$BZ$300,MATCH(data!BG$1,Haver_M!$B$1:$BZ$1,0),FALSE)),VLOOKUP($A21,Haver_M!$B$1:$BZ$300,MATCH(data!BG$1,Haver_M!$B$1:$BZ$1,0),FALSE),"")</f>
        <v/>
      </c>
      <c r="BH21" t="str">
        <f>IF(ISNUMBER(VLOOKUP($A21,Haver_M!$B$1:$BZ$300,MATCH(data!BH$1,Haver_M!$B$1:$BZ$1,0),FALSE)),VLOOKUP($A21,Haver_M!$B$1:$BZ$300,MATCH(data!BH$1,Haver_M!$B$1:$BZ$1,0),FALSE),"")</f>
        <v/>
      </c>
      <c r="BI21" t="str">
        <f>IF(ISNUMBER(VLOOKUP($A21,Haver_M!$B$1:$BZ$300,MATCH(data!BI$1,Haver_M!$B$1:$BZ$1,0),FALSE)),VLOOKUP($A21,Haver_M!$B$1:$BZ$300,MATCH(data!BI$1,Haver_M!$B$1:$BZ$1,0),FALSE),"")</f>
        <v/>
      </c>
      <c r="BJ21" t="str">
        <f>IF(ISNUMBER(VLOOKUP($A21,Haver_M!$B$1:$BZ$300,MATCH(data!BJ$1,Haver_M!$B$1:$BZ$1,0),FALSE)),VLOOKUP($A21,Haver_M!$B$1:$BZ$300,MATCH(data!BJ$1,Haver_M!$B$1:$BZ$1,0),FALSE),"")</f>
        <v/>
      </c>
      <c r="BK21" t="str">
        <f>IF(ISNUMBER(VLOOKUP($A21,Haver_M!$B$1:$BZ$300,MATCH(data!BK$1,Haver_M!$B$1:$BZ$1,0),FALSE)),VLOOKUP($A21,Haver_M!$B$1:$BZ$300,MATCH(data!BK$1,Haver_M!$B$1:$BZ$1,0),FALSE),"")</f>
        <v/>
      </c>
      <c r="BL21">
        <f>IF(ISNUMBER(VLOOKUP($A21,Haver_M!$B$1:$BZ$300,MATCH(data!BL$1,Haver_M!$B$1:$BZ$1,0),FALSE)),VLOOKUP($A21,Haver_M!$B$1:$BZ$300,MATCH(data!BL$1,Haver_M!$B$1:$BZ$1,0),FALSE),"")</f>
        <v>3304.99</v>
      </c>
      <c r="BM21">
        <f>IF(ISNUMBER(VLOOKUP($A21,Haver_M!$B$1:$BZ$300,MATCH(data!BM$1,Haver_M!$B$1:$BZ$1,0),FALSE)),VLOOKUP($A21,Haver_M!$B$1:$BZ$300,MATCH(data!BM$1,Haver_M!$B$1:$BZ$1,0),FALSE),"")</f>
        <v>97.069076260000003</v>
      </c>
      <c r="BN21" t="str">
        <f>IF(ISNUMBER(VLOOKUP($A21,Haver_M!$B$1:$BZ$300,MATCH(data!BN$1,Haver_M!$B$1:$BZ$1,0),FALSE)),VLOOKUP($A21,Haver_M!$B$1:$BZ$300,MATCH(data!BN$1,Haver_M!$B$1:$BZ$1,0),FALSE),"")</f>
        <v/>
      </c>
      <c r="BO21" t="str">
        <f>IF(ISNUMBER(VLOOKUP($A21,Haver_M!$B$1:$BZ$300,MATCH(data!BO$1,Haver_M!$B$1:$BZ$1,0),FALSE)),VLOOKUP($A21,Haver_M!$B$1:$BZ$300,MATCH(data!BO$1,Haver_M!$B$1:$BZ$1,0),FALSE),"")</f>
        <v/>
      </c>
      <c r="BP21" t="str">
        <f>IF(ISNUMBER(VLOOKUP($A21,Haver_M!$B$1:$BZ$300,MATCH(data!BP$1,Haver_M!$B$1:$BZ$1,0),FALSE)),VLOOKUP($A21,Haver_M!$B$1:$BZ$300,MATCH(data!BP$1,Haver_M!$B$1:$BZ$1,0),FALSE),"")</f>
        <v/>
      </c>
      <c r="BQ21" t="str">
        <f>IF(ISNUMBER(VLOOKUP($A21,Haver_M!$B$1:$BZ$300,MATCH(data!BQ$1,Haver_M!$B$1:$BZ$1,0),FALSE)),VLOOKUP($A21,Haver_M!$B$1:$BZ$300,MATCH(data!BQ$1,Haver_M!$B$1:$BZ$1,0),FALSE),"")</f>
        <v/>
      </c>
      <c r="BR21" t="str">
        <f>IF(ISNUMBER(VLOOKUP($A21,Haver_M!$B$1:$BZ$300,MATCH(data!BR$1,Haver_M!$B$1:$BZ$1,0),FALSE)),VLOOKUP($A21,Haver_M!$B$1:$BZ$300,MATCH(data!BR$1,Haver_M!$B$1:$BZ$1,0),FALSE),"")</f>
        <v/>
      </c>
      <c r="BS21" t="str">
        <f>IF(ISNUMBER(VLOOKUP($A21,Haver_M!$B$1:$BZ$300,MATCH(data!BS$1,Haver_M!$B$1:$BZ$1,0),FALSE)),VLOOKUP($A21,Haver_M!$B$1:$BZ$300,MATCH(data!BS$1,Haver_M!$B$1:$BZ$1,0),FALSE),"")</f>
        <v/>
      </c>
      <c r="BT21" t="str">
        <f>IF(ISNUMBER(VLOOKUP($A21,Haver_M!$B$1:$BZ$300,MATCH(data!BT$1,Haver_M!$B$1:$BZ$1,0),FALSE)),VLOOKUP($A21,Haver_M!$B$1:$BZ$300,MATCH(data!BT$1,Haver_M!$B$1:$BZ$1,0),FALSE),"")</f>
        <v/>
      </c>
      <c r="BU21">
        <f>IF(ISNUMBER(VLOOKUP($A21,Haver_M!$B$1:$BZ$300,MATCH(data!BU$1,Haver_M!$B$1:$BZ$1,0),FALSE)),VLOOKUP($A21,Haver_M!$B$1:$BZ$300,MATCH(data!BU$1,Haver_M!$B$1:$BZ$1,0),FALSE),"")</f>
        <v>3647</v>
      </c>
      <c r="BV21">
        <f>IF(ISNUMBER(VLOOKUP($A21,Haver_M!$B$1:$BZ$300,MATCH(data!BV$1,Haver_M!$B$1:$BZ$1,0),FALSE)),VLOOKUP($A21,Haver_M!$B$1:$BZ$300,MATCH(data!BV$1,Haver_M!$B$1:$BZ$1,0),FALSE),"")</f>
        <v>4372</v>
      </c>
      <c r="BW21">
        <f>IF(ISNUMBER(VLOOKUP($A21,Haver_M!$B$1:$BZ$300,MATCH(data!BW$1,Haver_M!$B$1:$BZ$1,0),FALSE)),VLOOKUP($A21,Haver_M!$B$1:$BZ$300,MATCH(data!BW$1,Haver_M!$B$1:$BZ$1,0),FALSE),"")</f>
        <v>47.1265</v>
      </c>
      <c r="BX21">
        <f>IF(ISNUMBER(VLOOKUP($A21,Haver_M!$B$1:$BZ$300,MATCH(data!BX$1,Haver_M!$B$1:$BZ$1,0),FALSE)),VLOOKUP($A21,Haver_M!$B$1:$BZ$300,MATCH(data!BX$1,Haver_M!$B$1:$BZ$1,0),FALSE),"")</f>
        <v>59458</v>
      </c>
    </row>
    <row r="22" spans="1:76" x14ac:dyDescent="0.25">
      <c r="A22" s="2">
        <v>37164</v>
      </c>
      <c r="B22">
        <f>IF(ISNUMBER(VLOOKUP($A22,Haver_Q!$B$1:$L$185,MATCH(data!B$1,Haver_Q!$B$1:$L$1,0),FALSE)),100*(VLOOKUP($A22,Haver_Q!$B$1:$L$185,MATCH(data!B$1,Haver_Q!$B$1:$L$1,0),FALSE)),"")</f>
        <v>3.1243568503757757</v>
      </c>
      <c r="C22">
        <f>IF(ISNUMBER(VLOOKUP($A22,Haver_Q!$B$1:$L$185,MATCH(data!C$1,Haver_Q!$B$1:$L$1,0),FALSE)),100*(VLOOKUP($A22,Haver_Q!$B$1:$L$185,MATCH(data!C$1,Haver_Q!$B$1:$L$1,0),FALSE)),"")</f>
        <v>1.7037228471589838</v>
      </c>
      <c r="D22">
        <f>IF(ISNUMBER(VLOOKUP($A22,Haver_Q!$B$1:$L$185,MATCH(data!D$1,Haver_Q!$B$1:$L$1,0),FALSE)),100*(VLOOKUP($A22,Haver_Q!$B$1:$L$185,MATCH(data!D$1,Haver_Q!$B$1:$L$1,0),FALSE)),"")</f>
        <v>-10.329024812648546</v>
      </c>
      <c r="E22">
        <f>IF(ISNUMBER(VLOOKUP($A22,Haver_Q!$B$1:$L$185,MATCH(data!E$1,Haver_Q!$B$1:$L$1,0),FALSE)),100*(VLOOKUP($A22,Haver_Q!$B$1:$L$185,MATCH(data!E$1,Haver_Q!$B$1:$L$1,0),FALSE)),"")</f>
        <v>-4.6892376794621331</v>
      </c>
      <c r="F22">
        <f>IF(ISNUMBER(VLOOKUP($A22,Haver_Q!$B$1:$L$185,MATCH(data!F$1,Haver_Q!$B$1:$L$1,0),FALSE)),100*(VLOOKUP($A22,Haver_Q!$B$1:$L$185,MATCH(data!F$1,Haver_Q!$B$1:$L$1,0),FALSE)),"")</f>
        <v>-30.57956572370205</v>
      </c>
      <c r="G22">
        <f>IF(ISNUMBER(VLOOKUP($A22,Haver_Q!$B$1:$L$185,MATCH(data!G$1,Haver_Q!$B$1:$L$1,0),FALSE)),100*(VLOOKUP($A22,Haver_Q!$B$1:$L$185,MATCH(data!G$1,Haver_Q!$B$1:$L$1,0),FALSE)),"")</f>
        <v>1.3098135182430637</v>
      </c>
      <c r="H22">
        <f>IF(ISNUMBER(VLOOKUP($A22,Haver_Q!$B$1:$L$185,MATCH(data!H$1,Haver_Q!$B$1:$L$1,0),FALSE)),(VLOOKUP($A22,Haver_Q!$B$1:$L$185,MATCH(data!H$1,Haver_Q!$B$1:$L$1,0),FALSE)),"")</f>
        <v>0.8884061635676046</v>
      </c>
      <c r="I22">
        <f>IF(ISNUMBER(VLOOKUP($A22,Haver_Q!$B$1:$L$185,MATCH(data!I$1,Haver_Q!$B$1:$L$1,0),FALSE)),100*(VLOOKUP($A22,Haver_Q!$B$1:$L$185,MATCH(data!I$1,Haver_Q!$B$1:$L$1,0),FALSE)),"")</f>
        <v>4.3623591297255127</v>
      </c>
      <c r="J22" s="3">
        <f>IF(ISNUMBER(Bloomberg_m!C38),Bloomberg_m!C38,"")</f>
        <v>945</v>
      </c>
      <c r="K22" s="3" t="str">
        <f>IF(ISNUMBER(Bloomberg_m!D38),Bloomberg_m!D38,"")</f>
        <v/>
      </c>
      <c r="L22" s="3" t="str">
        <f>IF(ISNUMBER(Bloomberg_m!E38),Bloomberg_m!E38,"")</f>
        <v/>
      </c>
      <c r="M22" s="3" t="str">
        <f>IF(ISNUMBER(Bloomberg_m!F38),Bloomberg_m!F38,"")</f>
        <v/>
      </c>
      <c r="N22">
        <f>IF(ISNUMBER(VLOOKUP($A22,Haver_M!$B$1:$BZ$300,MATCH(data!N$1,Haver_M!$B$1:$BZ$1,0),FALSE)),VLOOKUP($A22,Haver_M!$B$1:$BZ$300,MATCH(data!N$1,Haver_M!$B$1:$BZ$1,0),FALSE),"")</f>
        <v>8.5</v>
      </c>
      <c r="O22">
        <f>IF(ISNUMBER(VLOOKUP($A22,Haver_M!$B$1:$BZ$300,MATCH(data!O$1,Haver_M!$B$1:$BZ$1,0),FALSE)),VLOOKUP($A22,Haver_M!$B$1:$BZ$300,MATCH(data!O$1,Haver_M!$B$1:$BZ$1,0),FALSE),"")</f>
        <v>9.1468000000000007</v>
      </c>
      <c r="P22">
        <f>IF(ISNUMBER(VLOOKUP($A22,Haver_M!$B$1:$BZ$300,MATCH(data!P$1,Haver_M!$B$1:$BZ$1,0),FALSE)),VLOOKUP($A22,Haver_M!$B$1:$BZ$300,MATCH(data!P$1,Haver_M!$B$1:$BZ$1,0),FALSE),"")</f>
        <v>96.229230000000001</v>
      </c>
      <c r="Q22">
        <f>IF(ISNUMBER(VLOOKUP($A22,Haver_M!$B$1:$BZ$300,MATCH(data!Q$1,Haver_M!$B$1:$BZ$1,0),FALSE)),VLOOKUP($A22,Haver_M!$B$1:$BZ$300,MATCH(data!Q$1,Haver_M!$B$1:$BZ$1,0),FALSE),"")</f>
        <v>49</v>
      </c>
      <c r="R22" t="str">
        <f>IF(ISNUMBER(VLOOKUP($A22,Haver_M!$B$1:$BZ$300,MATCH(data!R$1,Haver_M!$B$1:$BZ$1,0),FALSE)),VLOOKUP($A22,Haver_M!$B$1:$BZ$300,MATCH(data!R$1,Haver_M!$B$1:$BZ$1,0),FALSE),"")</f>
        <v/>
      </c>
      <c r="S22">
        <f>IF(ISNUMBER(VLOOKUP($A22,Haver_M!$B$1:$BZ$300,MATCH(data!S$1,Haver_M!$B$1:$BZ$1,0),FALSE)),VLOOKUP($A22,Haver_M!$B$1:$BZ$300,MATCH(data!S$1,Haver_M!$B$1:$BZ$1,0),FALSE),"")</f>
        <v>47.45</v>
      </c>
      <c r="T22">
        <f>IF(ISNUMBER(VLOOKUP($A22,Haver_M!$B$1:$BZ$300,MATCH(data!T$1,Haver_M!$B$1:$BZ$1,0),FALSE)),VLOOKUP($A22,Haver_M!$B$1:$BZ$300,MATCH(data!T$1,Haver_M!$B$1:$BZ$1,0),FALSE),"")</f>
        <v>58.18</v>
      </c>
      <c r="U22">
        <f>IF(ISNUMBER(VLOOKUP($A22,Haver_M!$B$1:$BZ$300,MATCH(data!U$1,Haver_M!$B$1:$BZ$1,0),FALSE)),VLOOKUP($A22,Haver_M!$B$1:$BZ$300,MATCH(data!U$1,Haver_M!$B$1:$BZ$1,0),FALSE),"")</f>
        <v>25.16</v>
      </c>
      <c r="V22">
        <f>IF(ISNUMBER(VLOOKUP($A22,Haver_M!$B$1:$BZ$300,MATCH(data!V$1,Haver_M!$B$1:$BZ$1,0),FALSE)),VLOOKUP($A22,Haver_M!$B$1:$BZ$300,MATCH(data!V$1,Haver_M!$B$1:$BZ$1,0),FALSE),"")</f>
        <v>59.67</v>
      </c>
      <c r="W22" t="str">
        <f>IF(ISNUMBER(VLOOKUP($A22,Haver_M!$B$1:$BZ$300,MATCH(data!W$1,Haver_M!$B$1:$BZ$1,0),FALSE)),VLOOKUP($A22,Haver_M!$B$1:$BZ$300,MATCH(data!W$1,Haver_M!$B$1:$BZ$1,0),FALSE),"")</f>
        <v/>
      </c>
      <c r="X22">
        <f>IF(ISNUMBER(VLOOKUP($A22,Haver_M!$B$1:$BZ$300,MATCH(data!X$1,Haver_M!$B$1:$BZ$1,0),FALSE)),VLOOKUP($A22,Haver_M!$B$1:$BZ$300,MATCH(data!X$1,Haver_M!$B$1:$BZ$1,0),FALSE),"")</f>
        <v>29.32</v>
      </c>
      <c r="Y22">
        <f>IF(ISNUMBER(VLOOKUP($A22,Haver_M!$B$1:$BZ$300,MATCH(data!Y$1,Haver_M!$B$1:$BZ$1,0),FALSE)),VLOOKUP($A22,Haver_M!$B$1:$BZ$300,MATCH(data!Y$1,Haver_M!$B$1:$BZ$1,0),FALSE),"")</f>
        <v>45.08</v>
      </c>
      <c r="Z22" t="str">
        <f>IF(ISNUMBER(VLOOKUP($A22,Haver_M!$B$1:$BZ$300,MATCH(data!Z$1,Haver_M!$B$1:$BZ$1,0),FALSE)),VLOOKUP($A22,Haver_M!$B$1:$BZ$300,MATCH(data!Z$1,Haver_M!$B$1:$BZ$1,0),FALSE),"")</f>
        <v/>
      </c>
      <c r="AA22" t="str">
        <f>IF(ISNUMBER(VLOOKUP($A22,Haver_M!$B$1:$BZ$300,MATCH(data!AA$1,Haver_M!$B$1:$BZ$1,0),FALSE)),VLOOKUP($A22,Haver_M!$B$1:$BZ$300,MATCH(data!AA$1,Haver_M!$B$1:$BZ$1,0),FALSE),"")</f>
        <v/>
      </c>
      <c r="AB22" t="str">
        <f>IF(ISNUMBER(VLOOKUP($A22,Haver_M!$B$1:$BZ$300,MATCH(data!AB$1,Haver_M!$B$1:$BZ$1,0),FALSE)),VLOOKUP($A22,Haver_M!$B$1:$BZ$300,MATCH(data!AB$1,Haver_M!$B$1:$BZ$1,0),FALSE),"")</f>
        <v/>
      </c>
      <c r="AC22" t="str">
        <f>IF(ISNUMBER(VLOOKUP($A22,Haver_M!$B$1:$BZ$300,MATCH(data!AC$1,Haver_M!$B$1:$BZ$1,0),FALSE)),VLOOKUP($A22,Haver_M!$B$1:$BZ$300,MATCH(data!AC$1,Haver_M!$B$1:$BZ$1,0),FALSE),"")</f>
        <v/>
      </c>
      <c r="AD22" t="str">
        <f>IF(ISNUMBER(VLOOKUP($A22,Haver_M!$B$1:$BZ$300,MATCH(data!AD$1,Haver_M!$B$1:$BZ$1,0),FALSE)),VLOOKUP($A22,Haver_M!$B$1:$BZ$300,MATCH(data!AD$1,Haver_M!$B$1:$BZ$1,0),FALSE),"")</f>
        <v/>
      </c>
      <c r="AE22" t="str">
        <f>IF(ISNUMBER(VLOOKUP($A22,Haver_M!$B$1:$BZ$300,MATCH(data!AE$1,Haver_M!$B$1:$BZ$1,0),FALSE)),VLOOKUP($A22,Haver_M!$B$1:$BZ$300,MATCH(data!AE$1,Haver_M!$B$1:$BZ$1,0),FALSE),"")</f>
        <v/>
      </c>
      <c r="AF22" t="str">
        <f>IF(ISNUMBER(VLOOKUP($A22,Haver_M!$B$1:$BZ$300,MATCH(data!AF$1,Haver_M!$B$1:$BZ$1,0),FALSE)),VLOOKUP($A22,Haver_M!$B$1:$BZ$300,MATCH(data!AF$1,Haver_M!$B$1:$BZ$1,0),FALSE),"")</f>
        <v/>
      </c>
      <c r="AG22" t="str">
        <f>IF(ISNUMBER(VLOOKUP($A22,Haver_M!$B$1:$BZ$300,MATCH(data!AG$1,Haver_M!$B$1:$BZ$1,0),FALSE)),VLOOKUP($A22,Haver_M!$B$1:$BZ$300,MATCH(data!AG$1,Haver_M!$B$1:$BZ$1,0),FALSE),"")</f>
        <v/>
      </c>
      <c r="AH22" t="str">
        <f>IF(ISNUMBER(VLOOKUP($A22,Haver_M!$B$1:$BZ$300,MATCH(data!AH$1,Haver_M!$B$1:$BZ$1,0),FALSE)),VLOOKUP($A22,Haver_M!$B$1:$BZ$300,MATCH(data!AH$1,Haver_M!$B$1:$BZ$1,0),FALSE),"")</f>
        <v/>
      </c>
      <c r="AI22">
        <f>IF(ISNUMBER(VLOOKUP($A22,Haver_M!$B$1:$BZ$300,MATCH(data!AI$1,Haver_M!$B$1:$BZ$1,0),FALSE)),VLOOKUP($A22,Haver_M!$B$1:$BZ$300,MATCH(data!AI$1,Haver_M!$B$1:$BZ$1,0),FALSE),"")</f>
        <v>8718.114258364556</v>
      </c>
      <c r="AJ22">
        <f>IF(ISNUMBER(VLOOKUP($A22,Haver_M!$B$1:$BZ$300,MATCH(data!AJ$1,Haver_M!$B$1:$BZ$1,0),FALSE)),VLOOKUP($A22,Haver_M!$B$1:$BZ$300,MATCH(data!AJ$1,Haver_M!$B$1:$BZ$1,0),FALSE),"")</f>
        <v>3598.84</v>
      </c>
      <c r="AK22">
        <f>IF(ISNUMBER(VLOOKUP($A22,Haver_M!$B$1:$BZ$300,MATCH(data!AK$1,Haver_M!$B$1:$BZ$1,0),FALSE)),VLOOKUP($A22,Haver_M!$B$1:$BZ$300,MATCH(data!AK$1,Haver_M!$B$1:$BZ$1,0),FALSE),"")</f>
        <v>3848.47</v>
      </c>
      <c r="AL22" t="str">
        <f>IF(ISNUMBER(VLOOKUP($A22,Haver_M!$B$1:$BZ$300,MATCH(data!AL$1,Haver_M!$B$1:$BZ$1,0),FALSE)),VLOOKUP($A22,Haver_M!$B$1:$BZ$300,MATCH(data!AL$1,Haver_M!$B$1:$BZ$1,0),FALSE),"")</f>
        <v/>
      </c>
      <c r="AM22" t="str">
        <f>IF(ISNUMBER(VLOOKUP($A22,Haver_M!$B$1:$BZ$300,MATCH(data!AM$1,Haver_M!$B$1:$BZ$1,0),FALSE)),VLOOKUP($A22,Haver_M!$B$1:$BZ$300,MATCH(data!AM$1,Haver_M!$B$1:$BZ$1,0),FALSE),"")</f>
        <v/>
      </c>
      <c r="AN22" t="str">
        <f>IF(ISNUMBER(VLOOKUP($A22,Haver_M!$B$1:$BZ$300,MATCH(data!AN$1,Haver_M!$B$1:$BZ$1,0),FALSE)),VLOOKUP($A22,Haver_M!$B$1:$BZ$300,MATCH(data!AN$1,Haver_M!$B$1:$BZ$1,0),FALSE),"")</f>
        <v/>
      </c>
      <c r="AO22" t="str">
        <f>IF(ISNUMBER(VLOOKUP($A22,Haver_M!$B$1:$BZ$300,MATCH(data!AO$1,Haver_M!$B$1:$BZ$1,0),FALSE)),VLOOKUP($A22,Haver_M!$B$1:$BZ$300,MATCH(data!AO$1,Haver_M!$B$1:$BZ$1,0),FALSE),"")</f>
        <v/>
      </c>
      <c r="AP22">
        <f>IF(ISNUMBER(VLOOKUP($A22,Haver_M!$B$1:$BZ$300,MATCH(data!AP$1,Haver_M!$B$1:$BZ$1,0),FALSE)),VLOOKUP($A22,Haver_M!$B$1:$BZ$300,MATCH(data!AP$1,Haver_M!$B$1:$BZ$1,0),FALSE),"")</f>
        <v>125.07715743802599</v>
      </c>
      <c r="AQ22" t="str">
        <f>IF(ISNUMBER(VLOOKUP($A22,Haver_M!$B$1:$BZ$300,MATCH(data!AQ$1,Haver_M!$B$1:$BZ$1,0),FALSE)),VLOOKUP($A22,Haver_M!$B$1:$BZ$300,MATCH(data!AQ$1,Haver_M!$B$1:$BZ$1,0),FALSE),"")</f>
        <v/>
      </c>
      <c r="AR22" t="str">
        <f>IF(ISNUMBER(VLOOKUP($A22,Haver_M!$B$1:$BZ$300,MATCH(data!AR$1,Haver_M!$B$1:$BZ$1,0),FALSE)),VLOOKUP($A22,Haver_M!$B$1:$BZ$300,MATCH(data!AR$1,Haver_M!$B$1:$BZ$1,0),FALSE),"")</f>
        <v/>
      </c>
      <c r="AS22" t="str">
        <f>IF(ISNUMBER(VLOOKUP($A22,Haver_M!$B$1:$BZ$300,MATCH(data!AS$1,Haver_M!$B$1:$BZ$1,0),FALSE)),VLOOKUP($A22,Haver_M!$B$1:$BZ$300,MATCH(data!AS$1,Haver_M!$B$1:$BZ$1,0),FALSE),"")</f>
        <v/>
      </c>
      <c r="AT22" t="str">
        <f>IF(ISNUMBER(VLOOKUP($A22,Haver_M!$B$1:$BZ$300,MATCH(data!AT$1,Haver_M!$B$1:$BZ$1,0),FALSE)),VLOOKUP($A22,Haver_M!$B$1:$BZ$300,MATCH(data!AT$1,Haver_M!$B$1:$BZ$1,0),FALSE),"")</f>
        <v/>
      </c>
      <c r="AU22" t="str">
        <f>IF(ISNUMBER(VLOOKUP($A22,Haver_M!$B$1:$BZ$300,MATCH(data!AU$1,Haver_M!$B$1:$BZ$1,0),FALSE)),VLOOKUP($A22,Haver_M!$B$1:$BZ$300,MATCH(data!AU$1,Haver_M!$B$1:$BZ$1,0),FALSE),"")</f>
        <v/>
      </c>
      <c r="AV22" t="str">
        <f>IF(ISNUMBER(VLOOKUP($A22,Haver_M!$B$1:$BZ$300,MATCH(data!AV$1,Haver_M!$B$1:$BZ$1,0),FALSE)),VLOOKUP($A22,Haver_M!$B$1:$BZ$300,MATCH(data!AV$1,Haver_M!$B$1:$BZ$1,0),FALSE),"")</f>
        <v/>
      </c>
      <c r="AW22" t="str">
        <f>IF(ISNUMBER(VLOOKUP($A22,Haver_M!$B$1:$BZ$300,MATCH(data!AW$1,Haver_M!$B$1:$BZ$1,0),FALSE)),VLOOKUP($A22,Haver_M!$B$1:$BZ$300,MATCH(data!AW$1,Haver_M!$B$1:$BZ$1,0),FALSE),"")</f>
        <v/>
      </c>
      <c r="AX22" t="str">
        <f>IF(ISNUMBER(VLOOKUP($A22,Haver_M!$B$1:$BZ$300,MATCH(data!AX$1,Haver_M!$B$1:$BZ$1,0),FALSE)),VLOOKUP($A22,Haver_M!$B$1:$BZ$300,MATCH(data!AX$1,Haver_M!$B$1:$BZ$1,0),FALSE),"")</f>
        <v/>
      </c>
      <c r="AY22" t="str">
        <f>IF(ISNUMBER(VLOOKUP($A22,Haver_M!$B$1:$BZ$300,MATCH(data!AY$1,Haver_M!$B$1:$BZ$1,0),FALSE)),VLOOKUP($A22,Haver_M!$B$1:$BZ$300,MATCH(data!AY$1,Haver_M!$B$1:$BZ$1,0),FALSE),"")</f>
        <v/>
      </c>
      <c r="AZ22" t="str">
        <f>IF(ISNUMBER(VLOOKUP($A22,Haver_M!$B$1:$BZ$300,MATCH(data!AZ$1,Haver_M!$B$1:$BZ$1,0),FALSE)),VLOOKUP($A22,Haver_M!$B$1:$BZ$300,MATCH(data!AZ$1,Haver_M!$B$1:$BZ$1,0),FALSE),"")</f>
        <v/>
      </c>
      <c r="BA22" t="str">
        <f>IF(ISNUMBER(VLOOKUP($A22,Haver_M!$B$1:$BZ$300,MATCH(data!BA$1,Haver_M!$B$1:$BZ$1,0),FALSE)),VLOOKUP($A22,Haver_M!$B$1:$BZ$300,MATCH(data!BA$1,Haver_M!$B$1:$BZ$1,0),FALSE),"")</f>
        <v/>
      </c>
      <c r="BB22" t="str">
        <f>IF(ISNUMBER(VLOOKUP($A22,Haver_M!$B$1:$BZ$300,MATCH(data!BB$1,Haver_M!$B$1:$BZ$1,0),FALSE)),VLOOKUP($A22,Haver_M!$B$1:$BZ$300,MATCH(data!BB$1,Haver_M!$B$1:$BZ$1,0),FALSE),"")</f>
        <v/>
      </c>
      <c r="BC22" t="str">
        <f>IF(ISNUMBER(VLOOKUP($A22,Haver_M!$B$1:$BZ$300,MATCH(data!BC$1,Haver_M!$B$1:$BZ$1,0),FALSE)),VLOOKUP($A22,Haver_M!$B$1:$BZ$300,MATCH(data!BC$1,Haver_M!$B$1:$BZ$1,0),FALSE),"")</f>
        <v/>
      </c>
      <c r="BD22" t="str">
        <f>IF(ISNUMBER(VLOOKUP($A22,Haver_M!$B$1:$BZ$300,MATCH(data!BD$1,Haver_M!$B$1:$BZ$1,0),FALSE)),VLOOKUP($A22,Haver_M!$B$1:$BZ$300,MATCH(data!BD$1,Haver_M!$B$1:$BZ$1,0),FALSE),"")</f>
        <v/>
      </c>
      <c r="BE22" t="str">
        <f>IF(ISNUMBER(VLOOKUP($A22,Haver_M!$B$1:$BZ$300,MATCH(data!BE$1,Haver_M!$B$1:$BZ$1,0),FALSE)),VLOOKUP($A22,Haver_M!$B$1:$BZ$300,MATCH(data!BE$1,Haver_M!$B$1:$BZ$1,0),FALSE),"")</f>
        <v/>
      </c>
      <c r="BF22" t="str">
        <f>IF(ISNUMBER(VLOOKUP($A22,Haver_M!$B$1:$BZ$300,MATCH(data!BF$1,Haver_M!$B$1:$BZ$1,0),FALSE)),VLOOKUP($A22,Haver_M!$B$1:$BZ$300,MATCH(data!BF$1,Haver_M!$B$1:$BZ$1,0),FALSE),"")</f>
        <v/>
      </c>
      <c r="BG22" t="str">
        <f>IF(ISNUMBER(VLOOKUP($A22,Haver_M!$B$1:$BZ$300,MATCH(data!BG$1,Haver_M!$B$1:$BZ$1,0),FALSE)),VLOOKUP($A22,Haver_M!$B$1:$BZ$300,MATCH(data!BG$1,Haver_M!$B$1:$BZ$1,0),FALSE),"")</f>
        <v/>
      </c>
      <c r="BH22" t="str">
        <f>IF(ISNUMBER(VLOOKUP($A22,Haver_M!$B$1:$BZ$300,MATCH(data!BH$1,Haver_M!$B$1:$BZ$1,0),FALSE)),VLOOKUP($A22,Haver_M!$B$1:$BZ$300,MATCH(data!BH$1,Haver_M!$B$1:$BZ$1,0),FALSE),"")</f>
        <v/>
      </c>
      <c r="BI22" t="str">
        <f>IF(ISNUMBER(VLOOKUP($A22,Haver_M!$B$1:$BZ$300,MATCH(data!BI$1,Haver_M!$B$1:$BZ$1,0),FALSE)),VLOOKUP($A22,Haver_M!$B$1:$BZ$300,MATCH(data!BI$1,Haver_M!$B$1:$BZ$1,0),FALSE),"")</f>
        <v/>
      </c>
      <c r="BJ22" t="str">
        <f>IF(ISNUMBER(VLOOKUP($A22,Haver_M!$B$1:$BZ$300,MATCH(data!BJ$1,Haver_M!$B$1:$BZ$1,0),FALSE)),VLOOKUP($A22,Haver_M!$B$1:$BZ$300,MATCH(data!BJ$1,Haver_M!$B$1:$BZ$1,0),FALSE),"")</f>
        <v/>
      </c>
      <c r="BK22" t="str">
        <f>IF(ISNUMBER(VLOOKUP($A22,Haver_M!$B$1:$BZ$300,MATCH(data!BK$1,Haver_M!$B$1:$BZ$1,0),FALSE)),VLOOKUP($A22,Haver_M!$B$1:$BZ$300,MATCH(data!BK$1,Haver_M!$B$1:$BZ$1,0),FALSE),"")</f>
        <v/>
      </c>
      <c r="BL22">
        <f>IF(ISNUMBER(VLOOKUP($A22,Haver_M!$B$1:$BZ$300,MATCH(data!BL$1,Haver_M!$B$1:$BZ$1,0),FALSE)),VLOOKUP($A22,Haver_M!$B$1:$BZ$300,MATCH(data!BL$1,Haver_M!$B$1:$BZ$1,0),FALSE),"")</f>
        <v>2918.28</v>
      </c>
      <c r="BM22">
        <f>IF(ISNUMBER(VLOOKUP($A22,Haver_M!$B$1:$BZ$300,MATCH(data!BM$1,Haver_M!$B$1:$BZ$1,0),FALSE)),VLOOKUP($A22,Haver_M!$B$1:$BZ$300,MATCH(data!BM$1,Haver_M!$B$1:$BZ$1,0),FALSE),"")</f>
        <v>95.091249989999994</v>
      </c>
      <c r="BN22">
        <f>IF(ISNUMBER(VLOOKUP($A22,Haver_M!$B$1:$BZ$300,MATCH(data!BN$1,Haver_M!$B$1:$BZ$1,0),FALSE)),VLOOKUP($A22,Haver_M!$B$1:$BZ$300,MATCH(data!BN$1,Haver_M!$B$1:$BZ$1,0),FALSE),"")</f>
        <v>108.7</v>
      </c>
      <c r="BO22">
        <f>IF(ISNUMBER(VLOOKUP($A22,Haver_M!$B$1:$BZ$300,MATCH(data!BO$1,Haver_M!$B$1:$BZ$1,0),FALSE)),VLOOKUP($A22,Haver_M!$B$1:$BZ$300,MATCH(data!BO$1,Haver_M!$B$1:$BZ$1,0),FALSE),"")</f>
        <v>118.9</v>
      </c>
      <c r="BP22">
        <f>IF(ISNUMBER(VLOOKUP($A22,Haver_M!$B$1:$BZ$300,MATCH(data!BP$1,Haver_M!$B$1:$BZ$1,0),FALSE)),VLOOKUP($A22,Haver_M!$B$1:$BZ$300,MATCH(data!BP$1,Haver_M!$B$1:$BZ$1,0),FALSE),"")</f>
        <v>39.700000000000003</v>
      </c>
      <c r="BQ22" t="str">
        <f>IF(ISNUMBER(VLOOKUP($A22,Haver_M!$B$1:$BZ$300,MATCH(data!BQ$1,Haver_M!$B$1:$BZ$1,0),FALSE)),VLOOKUP($A22,Haver_M!$B$1:$BZ$300,MATCH(data!BQ$1,Haver_M!$B$1:$BZ$1,0),FALSE),"")</f>
        <v/>
      </c>
      <c r="BR22" t="str">
        <f>IF(ISNUMBER(VLOOKUP($A22,Haver_M!$B$1:$BZ$300,MATCH(data!BR$1,Haver_M!$B$1:$BZ$1,0),FALSE)),VLOOKUP($A22,Haver_M!$B$1:$BZ$300,MATCH(data!BR$1,Haver_M!$B$1:$BZ$1,0),FALSE),"")</f>
        <v/>
      </c>
      <c r="BS22" t="str">
        <f>IF(ISNUMBER(VLOOKUP($A22,Haver_M!$B$1:$BZ$300,MATCH(data!BS$1,Haver_M!$B$1:$BZ$1,0),FALSE)),VLOOKUP($A22,Haver_M!$B$1:$BZ$300,MATCH(data!BS$1,Haver_M!$B$1:$BZ$1,0),FALSE),"")</f>
        <v/>
      </c>
      <c r="BT22" t="str">
        <f>IF(ISNUMBER(VLOOKUP($A22,Haver_M!$B$1:$BZ$300,MATCH(data!BT$1,Haver_M!$B$1:$BZ$1,0),FALSE)),VLOOKUP($A22,Haver_M!$B$1:$BZ$300,MATCH(data!BT$1,Haver_M!$B$1:$BZ$1,0),FALSE),"")</f>
        <v/>
      </c>
      <c r="BU22">
        <f>IF(ISNUMBER(VLOOKUP($A22,Haver_M!$B$1:$BZ$300,MATCH(data!BU$1,Haver_M!$B$1:$BZ$1,0),FALSE)),VLOOKUP($A22,Haver_M!$B$1:$BZ$300,MATCH(data!BU$1,Haver_M!$B$1:$BZ$1,0),FALSE),"")</f>
        <v>3702</v>
      </c>
      <c r="BV22">
        <f>IF(ISNUMBER(VLOOKUP($A22,Haver_M!$B$1:$BZ$300,MATCH(data!BV$1,Haver_M!$B$1:$BZ$1,0),FALSE)),VLOOKUP($A22,Haver_M!$B$1:$BZ$300,MATCH(data!BV$1,Haver_M!$B$1:$BZ$1,0),FALSE),"")</f>
        <v>3902</v>
      </c>
      <c r="BW22">
        <f>IF(ISNUMBER(VLOOKUP($A22,Haver_M!$B$1:$BZ$300,MATCH(data!BW$1,Haver_M!$B$1:$BZ$1,0),FALSE)),VLOOKUP($A22,Haver_M!$B$1:$BZ$300,MATCH(data!BW$1,Haver_M!$B$1:$BZ$1,0),FALSE),"")</f>
        <v>47.642000000000003</v>
      </c>
      <c r="BX22">
        <f>IF(ISNUMBER(VLOOKUP($A22,Haver_M!$B$1:$BZ$300,MATCH(data!BX$1,Haver_M!$B$1:$BZ$1,0),FALSE)),VLOOKUP($A22,Haver_M!$B$1:$BZ$300,MATCH(data!BX$1,Haver_M!$B$1:$BZ$1,0),FALSE),"")</f>
        <v>58280</v>
      </c>
    </row>
    <row r="23" spans="1:76" x14ac:dyDescent="0.25">
      <c r="A23" s="2">
        <v>37195</v>
      </c>
      <c r="B23" t="str">
        <f>IF(ISNUMBER(VLOOKUP($A23,Haver_Q!$B$1:$L$185,MATCH(data!B$1,Haver_Q!$B$1:$L$1,0),FALSE)),100*(VLOOKUP($A23,Haver_Q!$B$1:$L$185,MATCH(data!B$1,Haver_Q!$B$1:$L$1,0),FALSE)),"")</f>
        <v/>
      </c>
      <c r="C23" t="str">
        <f>IF(ISNUMBER(VLOOKUP($A23,Haver_Q!$B$1:$L$185,MATCH(data!C$1,Haver_Q!$B$1:$L$1,0),FALSE)),100*(VLOOKUP($A23,Haver_Q!$B$1:$L$185,MATCH(data!C$1,Haver_Q!$B$1:$L$1,0),FALSE)),"")</f>
        <v/>
      </c>
      <c r="D23" t="str">
        <f>IF(ISNUMBER(VLOOKUP($A23,Haver_Q!$B$1:$L$185,MATCH(data!D$1,Haver_Q!$B$1:$L$1,0),FALSE)),100*(VLOOKUP($A23,Haver_Q!$B$1:$L$185,MATCH(data!D$1,Haver_Q!$B$1:$L$1,0),FALSE)),"")</f>
        <v/>
      </c>
      <c r="E23" t="str">
        <f>IF(ISNUMBER(VLOOKUP($A23,Haver_Q!$B$1:$L$185,MATCH(data!E$1,Haver_Q!$B$1:$L$1,0),FALSE)),100*(VLOOKUP($A23,Haver_Q!$B$1:$L$185,MATCH(data!E$1,Haver_Q!$B$1:$L$1,0),FALSE)),"")</f>
        <v/>
      </c>
      <c r="F23" t="str">
        <f>IF(ISNUMBER(VLOOKUP($A23,Haver_Q!$B$1:$L$185,MATCH(data!F$1,Haver_Q!$B$1:$L$1,0),FALSE)),100*(VLOOKUP($A23,Haver_Q!$B$1:$L$185,MATCH(data!F$1,Haver_Q!$B$1:$L$1,0),FALSE)),"")</f>
        <v/>
      </c>
      <c r="G23" t="str">
        <f>IF(ISNUMBER(VLOOKUP($A23,Haver_Q!$B$1:$L$185,MATCH(data!G$1,Haver_Q!$B$1:$L$1,0),FALSE)),100*(VLOOKUP($A23,Haver_Q!$B$1:$L$185,MATCH(data!G$1,Haver_Q!$B$1:$L$1,0),FALSE)),"")</f>
        <v/>
      </c>
      <c r="H23" t="str">
        <f>IF(ISNUMBER(VLOOKUP($A23,Haver_Q!$B$1:$L$185,MATCH(data!H$1,Haver_Q!$B$1:$L$1,0),FALSE)),(VLOOKUP($A23,Haver_Q!$B$1:$L$185,MATCH(data!H$1,Haver_Q!$B$1:$L$1,0),FALSE)),"")</f>
        <v/>
      </c>
      <c r="I23" t="str">
        <f>IF(ISNUMBER(VLOOKUP($A23,Haver_Q!$B$1:$L$185,MATCH(data!I$1,Haver_Q!$B$1:$L$1,0),FALSE)),100*(VLOOKUP($A23,Haver_Q!$B$1:$L$185,MATCH(data!I$1,Haver_Q!$B$1:$L$1,0),FALSE)),"")</f>
        <v/>
      </c>
      <c r="J23" s="3">
        <f>IF(ISNUMBER(Bloomberg_m!C39),Bloomberg_m!C39,"")</f>
        <v>898</v>
      </c>
      <c r="K23" s="3" t="str">
        <f>IF(ISNUMBER(Bloomberg_m!D39),Bloomberg_m!D39,"")</f>
        <v/>
      </c>
      <c r="L23" s="3" t="str">
        <f>IF(ISNUMBER(Bloomberg_m!E39),Bloomberg_m!E39,"")</f>
        <v/>
      </c>
      <c r="M23" s="3" t="str">
        <f>IF(ISNUMBER(Bloomberg_m!F39),Bloomberg_m!F39,"")</f>
        <v/>
      </c>
      <c r="N23">
        <f>IF(ISNUMBER(VLOOKUP($A23,Haver_M!$B$1:$BZ$300,MATCH(data!N$1,Haver_M!$B$1:$BZ$1,0),FALSE)),VLOOKUP($A23,Haver_M!$B$1:$BZ$300,MATCH(data!N$1,Haver_M!$B$1:$BZ$1,0),FALSE),"")</f>
        <v>8.5</v>
      </c>
      <c r="O23">
        <f>IF(ISNUMBER(VLOOKUP($A23,Haver_M!$B$1:$BZ$300,MATCH(data!O$1,Haver_M!$B$1:$BZ$1,0),FALSE)),VLOOKUP($A23,Haver_M!$B$1:$BZ$300,MATCH(data!O$1,Haver_M!$B$1:$BZ$1,0),FALSE),"")</f>
        <v>8.7893000000000008</v>
      </c>
      <c r="P23">
        <f>IF(ISNUMBER(VLOOKUP($A23,Haver_M!$B$1:$BZ$300,MATCH(data!P$1,Haver_M!$B$1:$BZ$1,0),FALSE)),VLOOKUP($A23,Haver_M!$B$1:$BZ$300,MATCH(data!P$1,Haver_M!$B$1:$BZ$1,0),FALSE),"")</f>
        <v>97.512820000000005</v>
      </c>
      <c r="Q23">
        <f>IF(ISNUMBER(VLOOKUP($A23,Haver_M!$B$1:$BZ$300,MATCH(data!Q$1,Haver_M!$B$1:$BZ$1,0),FALSE)),VLOOKUP($A23,Haver_M!$B$1:$BZ$300,MATCH(data!Q$1,Haver_M!$B$1:$BZ$1,0),FALSE),"")</f>
        <v>49.5</v>
      </c>
      <c r="R23" t="str">
        <f>IF(ISNUMBER(VLOOKUP($A23,Haver_M!$B$1:$BZ$300,MATCH(data!R$1,Haver_M!$B$1:$BZ$1,0),FALSE)),VLOOKUP($A23,Haver_M!$B$1:$BZ$300,MATCH(data!R$1,Haver_M!$B$1:$BZ$1,0),FALSE),"")</f>
        <v/>
      </c>
      <c r="S23">
        <f>IF(ISNUMBER(VLOOKUP($A23,Haver_M!$B$1:$BZ$300,MATCH(data!S$1,Haver_M!$B$1:$BZ$1,0),FALSE)),VLOOKUP($A23,Haver_M!$B$1:$BZ$300,MATCH(data!S$1,Haver_M!$B$1:$BZ$1,0),FALSE),"")</f>
        <v>47.3</v>
      </c>
      <c r="T23">
        <f>IF(ISNUMBER(VLOOKUP($A23,Haver_M!$B$1:$BZ$300,MATCH(data!T$1,Haver_M!$B$1:$BZ$1,0),FALSE)),VLOOKUP($A23,Haver_M!$B$1:$BZ$300,MATCH(data!T$1,Haver_M!$B$1:$BZ$1,0),FALSE),"")</f>
        <v>57.01</v>
      </c>
      <c r="U23">
        <f>IF(ISNUMBER(VLOOKUP($A23,Haver_M!$B$1:$BZ$300,MATCH(data!U$1,Haver_M!$B$1:$BZ$1,0),FALSE)),VLOOKUP($A23,Haver_M!$B$1:$BZ$300,MATCH(data!U$1,Haver_M!$B$1:$BZ$1,0),FALSE),"")</f>
        <v>25.86</v>
      </c>
      <c r="V23">
        <f>IF(ISNUMBER(VLOOKUP($A23,Haver_M!$B$1:$BZ$300,MATCH(data!V$1,Haver_M!$B$1:$BZ$1,0),FALSE)),VLOOKUP($A23,Haver_M!$B$1:$BZ$300,MATCH(data!V$1,Haver_M!$B$1:$BZ$1,0),FALSE),"")</f>
        <v>57.67</v>
      </c>
      <c r="W23" t="str">
        <f>IF(ISNUMBER(VLOOKUP($A23,Haver_M!$B$1:$BZ$300,MATCH(data!W$1,Haver_M!$B$1:$BZ$1,0),FALSE)),VLOOKUP($A23,Haver_M!$B$1:$BZ$300,MATCH(data!W$1,Haver_M!$B$1:$BZ$1,0),FALSE),"")</f>
        <v/>
      </c>
      <c r="X23">
        <f>IF(ISNUMBER(VLOOKUP($A23,Haver_M!$B$1:$BZ$300,MATCH(data!X$1,Haver_M!$B$1:$BZ$1,0),FALSE)),VLOOKUP($A23,Haver_M!$B$1:$BZ$300,MATCH(data!X$1,Haver_M!$B$1:$BZ$1,0),FALSE),"")</f>
        <v>28.64</v>
      </c>
      <c r="Y23">
        <f>IF(ISNUMBER(VLOOKUP($A23,Haver_M!$B$1:$BZ$300,MATCH(data!Y$1,Haver_M!$B$1:$BZ$1,0),FALSE)),VLOOKUP($A23,Haver_M!$B$1:$BZ$300,MATCH(data!Y$1,Haver_M!$B$1:$BZ$1,0),FALSE),"")</f>
        <v>48.45</v>
      </c>
      <c r="Z23" t="str">
        <f>IF(ISNUMBER(VLOOKUP($A23,Haver_M!$B$1:$BZ$300,MATCH(data!Z$1,Haver_M!$B$1:$BZ$1,0),FALSE)),VLOOKUP($A23,Haver_M!$B$1:$BZ$300,MATCH(data!Z$1,Haver_M!$B$1:$BZ$1,0),FALSE),"")</f>
        <v/>
      </c>
      <c r="AA23" t="str">
        <f>IF(ISNUMBER(VLOOKUP($A23,Haver_M!$B$1:$BZ$300,MATCH(data!AA$1,Haver_M!$B$1:$BZ$1,0),FALSE)),VLOOKUP($A23,Haver_M!$B$1:$BZ$300,MATCH(data!AA$1,Haver_M!$B$1:$BZ$1,0),FALSE),"")</f>
        <v/>
      </c>
      <c r="AB23" t="str">
        <f>IF(ISNUMBER(VLOOKUP($A23,Haver_M!$B$1:$BZ$300,MATCH(data!AB$1,Haver_M!$B$1:$BZ$1,0),FALSE)),VLOOKUP($A23,Haver_M!$B$1:$BZ$300,MATCH(data!AB$1,Haver_M!$B$1:$BZ$1,0),FALSE),"")</f>
        <v/>
      </c>
      <c r="AC23" t="str">
        <f>IF(ISNUMBER(VLOOKUP($A23,Haver_M!$B$1:$BZ$300,MATCH(data!AC$1,Haver_M!$B$1:$BZ$1,0),FALSE)),VLOOKUP($A23,Haver_M!$B$1:$BZ$300,MATCH(data!AC$1,Haver_M!$B$1:$BZ$1,0),FALSE),"")</f>
        <v/>
      </c>
      <c r="AD23" t="str">
        <f>IF(ISNUMBER(VLOOKUP($A23,Haver_M!$B$1:$BZ$300,MATCH(data!AD$1,Haver_M!$B$1:$BZ$1,0),FALSE)),VLOOKUP($A23,Haver_M!$B$1:$BZ$300,MATCH(data!AD$1,Haver_M!$B$1:$BZ$1,0),FALSE),"")</f>
        <v/>
      </c>
      <c r="AE23" t="str">
        <f>IF(ISNUMBER(VLOOKUP($A23,Haver_M!$B$1:$BZ$300,MATCH(data!AE$1,Haver_M!$B$1:$BZ$1,0),FALSE)),VLOOKUP($A23,Haver_M!$B$1:$BZ$300,MATCH(data!AE$1,Haver_M!$B$1:$BZ$1,0),FALSE),"")</f>
        <v/>
      </c>
      <c r="AF23" t="str">
        <f>IF(ISNUMBER(VLOOKUP($A23,Haver_M!$B$1:$BZ$300,MATCH(data!AF$1,Haver_M!$B$1:$BZ$1,0),FALSE)),VLOOKUP($A23,Haver_M!$B$1:$BZ$300,MATCH(data!AF$1,Haver_M!$B$1:$BZ$1,0),FALSE),"")</f>
        <v/>
      </c>
      <c r="AG23" t="str">
        <f>IF(ISNUMBER(VLOOKUP($A23,Haver_M!$B$1:$BZ$300,MATCH(data!AG$1,Haver_M!$B$1:$BZ$1,0),FALSE)),VLOOKUP($A23,Haver_M!$B$1:$BZ$300,MATCH(data!AG$1,Haver_M!$B$1:$BZ$1,0),FALSE),"")</f>
        <v/>
      </c>
      <c r="AH23" t="str">
        <f>IF(ISNUMBER(VLOOKUP($A23,Haver_M!$B$1:$BZ$300,MATCH(data!AH$1,Haver_M!$B$1:$BZ$1,0),FALSE)),VLOOKUP($A23,Haver_M!$B$1:$BZ$300,MATCH(data!AH$1,Haver_M!$B$1:$BZ$1,0),FALSE),"")</f>
        <v/>
      </c>
      <c r="AI23">
        <f>IF(ISNUMBER(VLOOKUP($A23,Haver_M!$B$1:$BZ$300,MATCH(data!AI$1,Haver_M!$B$1:$BZ$1,0),FALSE)),VLOOKUP($A23,Haver_M!$B$1:$BZ$300,MATCH(data!AI$1,Haver_M!$B$1:$BZ$1,0),FALSE),"")</f>
        <v>8342.8517228501096</v>
      </c>
      <c r="AJ23">
        <f>IF(ISNUMBER(VLOOKUP($A23,Haver_M!$B$1:$BZ$300,MATCH(data!AJ$1,Haver_M!$B$1:$BZ$1,0),FALSE)),VLOOKUP($A23,Haver_M!$B$1:$BZ$300,MATCH(data!AJ$1,Haver_M!$B$1:$BZ$1,0),FALSE),"")</f>
        <v>3648.16</v>
      </c>
      <c r="AK23">
        <f>IF(ISNUMBER(VLOOKUP($A23,Haver_M!$B$1:$BZ$300,MATCH(data!AK$1,Haver_M!$B$1:$BZ$1,0),FALSE)),VLOOKUP($A23,Haver_M!$B$1:$BZ$300,MATCH(data!AK$1,Haver_M!$B$1:$BZ$1,0),FALSE),"")</f>
        <v>3987.97</v>
      </c>
      <c r="AL23" t="str">
        <f>IF(ISNUMBER(VLOOKUP($A23,Haver_M!$B$1:$BZ$300,MATCH(data!AL$1,Haver_M!$B$1:$BZ$1,0),FALSE)),VLOOKUP($A23,Haver_M!$B$1:$BZ$300,MATCH(data!AL$1,Haver_M!$B$1:$BZ$1,0),FALSE),"")</f>
        <v/>
      </c>
      <c r="AM23" t="str">
        <f>IF(ISNUMBER(VLOOKUP($A23,Haver_M!$B$1:$BZ$300,MATCH(data!AM$1,Haver_M!$B$1:$BZ$1,0),FALSE)),VLOOKUP($A23,Haver_M!$B$1:$BZ$300,MATCH(data!AM$1,Haver_M!$B$1:$BZ$1,0),FALSE),"")</f>
        <v/>
      </c>
      <c r="AN23" t="str">
        <f>IF(ISNUMBER(VLOOKUP($A23,Haver_M!$B$1:$BZ$300,MATCH(data!AN$1,Haver_M!$B$1:$BZ$1,0),FALSE)),VLOOKUP($A23,Haver_M!$B$1:$BZ$300,MATCH(data!AN$1,Haver_M!$B$1:$BZ$1,0),FALSE),"")</f>
        <v/>
      </c>
      <c r="AO23" t="str">
        <f>IF(ISNUMBER(VLOOKUP($A23,Haver_M!$B$1:$BZ$300,MATCH(data!AO$1,Haver_M!$B$1:$BZ$1,0),FALSE)),VLOOKUP($A23,Haver_M!$B$1:$BZ$300,MATCH(data!AO$1,Haver_M!$B$1:$BZ$1,0),FALSE),"")</f>
        <v/>
      </c>
      <c r="AP23">
        <f>IF(ISNUMBER(VLOOKUP($A23,Haver_M!$B$1:$BZ$300,MATCH(data!AP$1,Haver_M!$B$1:$BZ$1,0),FALSE)),VLOOKUP($A23,Haver_M!$B$1:$BZ$300,MATCH(data!AP$1,Haver_M!$B$1:$BZ$1,0),FALSE),"")</f>
        <v>90.841403761476968</v>
      </c>
      <c r="AQ23" t="str">
        <f>IF(ISNUMBER(VLOOKUP($A23,Haver_M!$B$1:$BZ$300,MATCH(data!AQ$1,Haver_M!$B$1:$BZ$1,0),FALSE)),VLOOKUP($A23,Haver_M!$B$1:$BZ$300,MATCH(data!AQ$1,Haver_M!$B$1:$BZ$1,0),FALSE),"")</f>
        <v/>
      </c>
      <c r="AR23" t="str">
        <f>IF(ISNUMBER(VLOOKUP($A23,Haver_M!$B$1:$BZ$300,MATCH(data!AR$1,Haver_M!$B$1:$BZ$1,0),FALSE)),VLOOKUP($A23,Haver_M!$B$1:$BZ$300,MATCH(data!AR$1,Haver_M!$B$1:$BZ$1,0),FALSE),"")</f>
        <v/>
      </c>
      <c r="AS23" t="str">
        <f>IF(ISNUMBER(VLOOKUP($A23,Haver_M!$B$1:$BZ$300,MATCH(data!AS$1,Haver_M!$B$1:$BZ$1,0),FALSE)),VLOOKUP($A23,Haver_M!$B$1:$BZ$300,MATCH(data!AS$1,Haver_M!$B$1:$BZ$1,0),FALSE),"")</f>
        <v/>
      </c>
      <c r="AT23" t="str">
        <f>IF(ISNUMBER(VLOOKUP($A23,Haver_M!$B$1:$BZ$300,MATCH(data!AT$1,Haver_M!$B$1:$BZ$1,0),FALSE)),VLOOKUP($A23,Haver_M!$B$1:$BZ$300,MATCH(data!AT$1,Haver_M!$B$1:$BZ$1,0),FALSE),"")</f>
        <v/>
      </c>
      <c r="AU23" t="str">
        <f>IF(ISNUMBER(VLOOKUP($A23,Haver_M!$B$1:$BZ$300,MATCH(data!AU$1,Haver_M!$B$1:$BZ$1,0),FALSE)),VLOOKUP($A23,Haver_M!$B$1:$BZ$300,MATCH(data!AU$1,Haver_M!$B$1:$BZ$1,0),FALSE),"")</f>
        <v/>
      </c>
      <c r="AV23" t="str">
        <f>IF(ISNUMBER(VLOOKUP($A23,Haver_M!$B$1:$BZ$300,MATCH(data!AV$1,Haver_M!$B$1:$BZ$1,0),FALSE)),VLOOKUP($A23,Haver_M!$B$1:$BZ$300,MATCH(data!AV$1,Haver_M!$B$1:$BZ$1,0),FALSE),"")</f>
        <v/>
      </c>
      <c r="AW23" t="str">
        <f>IF(ISNUMBER(VLOOKUP($A23,Haver_M!$B$1:$BZ$300,MATCH(data!AW$1,Haver_M!$B$1:$BZ$1,0),FALSE)),VLOOKUP($A23,Haver_M!$B$1:$BZ$300,MATCH(data!AW$1,Haver_M!$B$1:$BZ$1,0),FALSE),"")</f>
        <v/>
      </c>
      <c r="AX23" t="str">
        <f>IF(ISNUMBER(VLOOKUP($A23,Haver_M!$B$1:$BZ$300,MATCH(data!AX$1,Haver_M!$B$1:$BZ$1,0),FALSE)),VLOOKUP($A23,Haver_M!$B$1:$BZ$300,MATCH(data!AX$1,Haver_M!$B$1:$BZ$1,0),FALSE),"")</f>
        <v/>
      </c>
      <c r="AY23" t="str">
        <f>IF(ISNUMBER(VLOOKUP($A23,Haver_M!$B$1:$BZ$300,MATCH(data!AY$1,Haver_M!$B$1:$BZ$1,0),FALSE)),VLOOKUP($A23,Haver_M!$B$1:$BZ$300,MATCH(data!AY$1,Haver_M!$B$1:$BZ$1,0),FALSE),"")</f>
        <v/>
      </c>
      <c r="AZ23" t="str">
        <f>IF(ISNUMBER(VLOOKUP($A23,Haver_M!$B$1:$BZ$300,MATCH(data!AZ$1,Haver_M!$B$1:$BZ$1,0),FALSE)),VLOOKUP($A23,Haver_M!$B$1:$BZ$300,MATCH(data!AZ$1,Haver_M!$B$1:$BZ$1,0),FALSE),"")</f>
        <v/>
      </c>
      <c r="BA23" t="str">
        <f>IF(ISNUMBER(VLOOKUP($A23,Haver_M!$B$1:$BZ$300,MATCH(data!BA$1,Haver_M!$B$1:$BZ$1,0),FALSE)),VLOOKUP($A23,Haver_M!$B$1:$BZ$300,MATCH(data!BA$1,Haver_M!$B$1:$BZ$1,0),FALSE),"")</f>
        <v/>
      </c>
      <c r="BB23" t="str">
        <f>IF(ISNUMBER(VLOOKUP($A23,Haver_M!$B$1:$BZ$300,MATCH(data!BB$1,Haver_M!$B$1:$BZ$1,0),FALSE)),VLOOKUP($A23,Haver_M!$B$1:$BZ$300,MATCH(data!BB$1,Haver_M!$B$1:$BZ$1,0),FALSE),"")</f>
        <v/>
      </c>
      <c r="BC23" t="str">
        <f>IF(ISNUMBER(VLOOKUP($A23,Haver_M!$B$1:$BZ$300,MATCH(data!BC$1,Haver_M!$B$1:$BZ$1,0),FALSE)),VLOOKUP($A23,Haver_M!$B$1:$BZ$300,MATCH(data!BC$1,Haver_M!$B$1:$BZ$1,0),FALSE),"")</f>
        <v/>
      </c>
      <c r="BD23" t="str">
        <f>IF(ISNUMBER(VLOOKUP($A23,Haver_M!$B$1:$BZ$300,MATCH(data!BD$1,Haver_M!$B$1:$BZ$1,0),FALSE)),VLOOKUP($A23,Haver_M!$B$1:$BZ$300,MATCH(data!BD$1,Haver_M!$B$1:$BZ$1,0),FALSE),"")</f>
        <v/>
      </c>
      <c r="BE23" t="str">
        <f>IF(ISNUMBER(VLOOKUP($A23,Haver_M!$B$1:$BZ$300,MATCH(data!BE$1,Haver_M!$B$1:$BZ$1,0),FALSE)),VLOOKUP($A23,Haver_M!$B$1:$BZ$300,MATCH(data!BE$1,Haver_M!$B$1:$BZ$1,0),FALSE),"")</f>
        <v/>
      </c>
      <c r="BF23" t="str">
        <f>IF(ISNUMBER(VLOOKUP($A23,Haver_M!$B$1:$BZ$300,MATCH(data!BF$1,Haver_M!$B$1:$BZ$1,0),FALSE)),VLOOKUP($A23,Haver_M!$B$1:$BZ$300,MATCH(data!BF$1,Haver_M!$B$1:$BZ$1,0),FALSE),"")</f>
        <v/>
      </c>
      <c r="BG23" t="str">
        <f>IF(ISNUMBER(VLOOKUP($A23,Haver_M!$B$1:$BZ$300,MATCH(data!BG$1,Haver_M!$B$1:$BZ$1,0),FALSE)),VLOOKUP($A23,Haver_M!$B$1:$BZ$300,MATCH(data!BG$1,Haver_M!$B$1:$BZ$1,0),FALSE),"")</f>
        <v/>
      </c>
      <c r="BH23" t="str">
        <f>IF(ISNUMBER(VLOOKUP($A23,Haver_M!$B$1:$BZ$300,MATCH(data!BH$1,Haver_M!$B$1:$BZ$1,0),FALSE)),VLOOKUP($A23,Haver_M!$B$1:$BZ$300,MATCH(data!BH$1,Haver_M!$B$1:$BZ$1,0),FALSE),"")</f>
        <v/>
      </c>
      <c r="BI23" t="str">
        <f>IF(ISNUMBER(VLOOKUP($A23,Haver_M!$B$1:$BZ$300,MATCH(data!BI$1,Haver_M!$B$1:$BZ$1,0),FALSE)),VLOOKUP($A23,Haver_M!$B$1:$BZ$300,MATCH(data!BI$1,Haver_M!$B$1:$BZ$1,0),FALSE),"")</f>
        <v/>
      </c>
      <c r="BJ23" t="str">
        <f>IF(ISNUMBER(VLOOKUP($A23,Haver_M!$B$1:$BZ$300,MATCH(data!BJ$1,Haver_M!$B$1:$BZ$1,0),FALSE)),VLOOKUP($A23,Haver_M!$B$1:$BZ$300,MATCH(data!BJ$1,Haver_M!$B$1:$BZ$1,0),FALSE),"")</f>
        <v/>
      </c>
      <c r="BK23" t="str">
        <f>IF(ISNUMBER(VLOOKUP($A23,Haver_M!$B$1:$BZ$300,MATCH(data!BK$1,Haver_M!$B$1:$BZ$1,0),FALSE)),VLOOKUP($A23,Haver_M!$B$1:$BZ$300,MATCH(data!BK$1,Haver_M!$B$1:$BZ$1,0),FALSE),"")</f>
        <v/>
      </c>
      <c r="BL23">
        <f>IF(ISNUMBER(VLOOKUP($A23,Haver_M!$B$1:$BZ$300,MATCH(data!BL$1,Haver_M!$B$1:$BZ$1,0),FALSE)),VLOOKUP($A23,Haver_M!$B$1:$BZ$300,MATCH(data!BL$1,Haver_M!$B$1:$BZ$1,0),FALSE),"")</f>
        <v>2933.55</v>
      </c>
      <c r="BM23">
        <f>IF(ISNUMBER(VLOOKUP($A23,Haver_M!$B$1:$BZ$300,MATCH(data!BM$1,Haver_M!$B$1:$BZ$1,0),FALSE)),VLOOKUP($A23,Haver_M!$B$1:$BZ$300,MATCH(data!BM$1,Haver_M!$B$1:$BZ$1,0),FALSE),"")</f>
        <v>93.64775856</v>
      </c>
      <c r="BN23" t="str">
        <f>IF(ISNUMBER(VLOOKUP($A23,Haver_M!$B$1:$BZ$300,MATCH(data!BN$1,Haver_M!$B$1:$BZ$1,0),FALSE)),VLOOKUP($A23,Haver_M!$B$1:$BZ$300,MATCH(data!BN$1,Haver_M!$B$1:$BZ$1,0),FALSE),"")</f>
        <v/>
      </c>
      <c r="BO23" t="str">
        <f>IF(ISNUMBER(VLOOKUP($A23,Haver_M!$B$1:$BZ$300,MATCH(data!BO$1,Haver_M!$B$1:$BZ$1,0),FALSE)),VLOOKUP($A23,Haver_M!$B$1:$BZ$300,MATCH(data!BO$1,Haver_M!$B$1:$BZ$1,0),FALSE),"")</f>
        <v/>
      </c>
      <c r="BP23" t="str">
        <f>IF(ISNUMBER(VLOOKUP($A23,Haver_M!$B$1:$BZ$300,MATCH(data!BP$1,Haver_M!$B$1:$BZ$1,0),FALSE)),VLOOKUP($A23,Haver_M!$B$1:$BZ$300,MATCH(data!BP$1,Haver_M!$B$1:$BZ$1,0),FALSE),"")</f>
        <v/>
      </c>
      <c r="BQ23" t="str">
        <f>IF(ISNUMBER(VLOOKUP($A23,Haver_M!$B$1:$BZ$300,MATCH(data!BQ$1,Haver_M!$B$1:$BZ$1,0),FALSE)),VLOOKUP($A23,Haver_M!$B$1:$BZ$300,MATCH(data!BQ$1,Haver_M!$B$1:$BZ$1,0),FALSE),"")</f>
        <v/>
      </c>
      <c r="BR23" t="str">
        <f>IF(ISNUMBER(VLOOKUP($A23,Haver_M!$B$1:$BZ$300,MATCH(data!BR$1,Haver_M!$B$1:$BZ$1,0),FALSE)),VLOOKUP($A23,Haver_M!$B$1:$BZ$300,MATCH(data!BR$1,Haver_M!$B$1:$BZ$1,0),FALSE),"")</f>
        <v/>
      </c>
      <c r="BS23" t="str">
        <f>IF(ISNUMBER(VLOOKUP($A23,Haver_M!$B$1:$BZ$300,MATCH(data!BS$1,Haver_M!$B$1:$BZ$1,0),FALSE)),VLOOKUP($A23,Haver_M!$B$1:$BZ$300,MATCH(data!BS$1,Haver_M!$B$1:$BZ$1,0),FALSE),"")</f>
        <v/>
      </c>
      <c r="BT23" t="str">
        <f>IF(ISNUMBER(VLOOKUP($A23,Haver_M!$B$1:$BZ$300,MATCH(data!BT$1,Haver_M!$B$1:$BZ$1,0),FALSE)),VLOOKUP($A23,Haver_M!$B$1:$BZ$300,MATCH(data!BT$1,Haver_M!$B$1:$BZ$1,0),FALSE),"")</f>
        <v/>
      </c>
      <c r="BU23">
        <f>IF(ISNUMBER(VLOOKUP($A23,Haver_M!$B$1:$BZ$300,MATCH(data!BU$1,Haver_M!$B$1:$BZ$1,0),FALSE)),VLOOKUP($A23,Haver_M!$B$1:$BZ$300,MATCH(data!BU$1,Haver_M!$B$1:$BZ$1,0),FALSE),"")</f>
        <v>3718</v>
      </c>
      <c r="BV23">
        <f>IF(ISNUMBER(VLOOKUP($A23,Haver_M!$B$1:$BZ$300,MATCH(data!BV$1,Haver_M!$B$1:$BZ$1,0),FALSE)),VLOOKUP($A23,Haver_M!$B$1:$BZ$300,MATCH(data!BV$1,Haver_M!$B$1:$BZ$1,0),FALSE),"")</f>
        <v>4093</v>
      </c>
      <c r="BW23">
        <f>IF(ISNUMBER(VLOOKUP($A23,Haver_M!$B$1:$BZ$300,MATCH(data!BW$1,Haver_M!$B$1:$BZ$1,0),FALSE)),VLOOKUP($A23,Haver_M!$B$1:$BZ$300,MATCH(data!BW$1,Haver_M!$B$1:$BZ$1,0),FALSE),"")</f>
        <v>48.019799999999996</v>
      </c>
      <c r="BX23">
        <f>IF(ISNUMBER(VLOOKUP($A23,Haver_M!$B$1:$BZ$300,MATCH(data!BX$1,Haver_M!$B$1:$BZ$1,0),FALSE)),VLOOKUP($A23,Haver_M!$B$1:$BZ$300,MATCH(data!BX$1,Haver_M!$B$1:$BZ$1,0),FALSE),"")</f>
        <v>62302</v>
      </c>
    </row>
    <row r="24" spans="1:76" x14ac:dyDescent="0.25">
      <c r="A24" s="2">
        <v>37225</v>
      </c>
      <c r="B24" t="str">
        <f>IF(ISNUMBER(VLOOKUP($A24,Haver_Q!$B$1:$L$185,MATCH(data!B$1,Haver_Q!$B$1:$L$1,0),FALSE)),100*(VLOOKUP($A24,Haver_Q!$B$1:$L$185,MATCH(data!B$1,Haver_Q!$B$1:$L$1,0),FALSE)),"")</f>
        <v/>
      </c>
      <c r="C24" t="str">
        <f>IF(ISNUMBER(VLOOKUP($A24,Haver_Q!$B$1:$L$185,MATCH(data!C$1,Haver_Q!$B$1:$L$1,0),FALSE)),100*(VLOOKUP($A24,Haver_Q!$B$1:$L$185,MATCH(data!C$1,Haver_Q!$B$1:$L$1,0),FALSE)),"")</f>
        <v/>
      </c>
      <c r="D24" t="str">
        <f>IF(ISNUMBER(VLOOKUP($A24,Haver_Q!$B$1:$L$185,MATCH(data!D$1,Haver_Q!$B$1:$L$1,0),FALSE)),100*(VLOOKUP($A24,Haver_Q!$B$1:$L$185,MATCH(data!D$1,Haver_Q!$B$1:$L$1,0),FALSE)),"")</f>
        <v/>
      </c>
      <c r="E24" t="str">
        <f>IF(ISNUMBER(VLOOKUP($A24,Haver_Q!$B$1:$L$185,MATCH(data!E$1,Haver_Q!$B$1:$L$1,0),FALSE)),100*(VLOOKUP($A24,Haver_Q!$B$1:$L$185,MATCH(data!E$1,Haver_Q!$B$1:$L$1,0),FALSE)),"")</f>
        <v/>
      </c>
      <c r="F24" t="str">
        <f>IF(ISNUMBER(VLOOKUP($A24,Haver_Q!$B$1:$L$185,MATCH(data!F$1,Haver_Q!$B$1:$L$1,0),FALSE)),100*(VLOOKUP($A24,Haver_Q!$B$1:$L$185,MATCH(data!F$1,Haver_Q!$B$1:$L$1,0),FALSE)),"")</f>
        <v/>
      </c>
      <c r="G24" t="str">
        <f>IF(ISNUMBER(VLOOKUP($A24,Haver_Q!$B$1:$L$185,MATCH(data!G$1,Haver_Q!$B$1:$L$1,0),FALSE)),100*(VLOOKUP($A24,Haver_Q!$B$1:$L$185,MATCH(data!G$1,Haver_Q!$B$1:$L$1,0),FALSE)),"")</f>
        <v/>
      </c>
      <c r="H24" t="str">
        <f>IF(ISNUMBER(VLOOKUP($A24,Haver_Q!$B$1:$L$185,MATCH(data!H$1,Haver_Q!$B$1:$L$1,0),FALSE)),(VLOOKUP($A24,Haver_Q!$B$1:$L$185,MATCH(data!H$1,Haver_Q!$B$1:$L$1,0),FALSE)),"")</f>
        <v/>
      </c>
      <c r="I24" t="str">
        <f>IF(ISNUMBER(VLOOKUP($A24,Haver_Q!$B$1:$L$185,MATCH(data!I$1,Haver_Q!$B$1:$L$1,0),FALSE)),100*(VLOOKUP($A24,Haver_Q!$B$1:$L$185,MATCH(data!I$1,Haver_Q!$B$1:$L$1,0),FALSE)),"")</f>
        <v/>
      </c>
      <c r="J24" s="3">
        <f>IF(ISNUMBER(Bloomberg_m!C40),Bloomberg_m!C40,"")</f>
        <v>855</v>
      </c>
      <c r="K24" s="3" t="str">
        <f>IF(ISNUMBER(Bloomberg_m!D40),Bloomberg_m!D40,"")</f>
        <v/>
      </c>
      <c r="L24" s="3" t="str">
        <f>IF(ISNUMBER(Bloomberg_m!E40),Bloomberg_m!E40,"")</f>
        <v/>
      </c>
      <c r="M24" s="3" t="str">
        <f>IF(ISNUMBER(Bloomberg_m!F40),Bloomberg_m!F40,"")</f>
        <v/>
      </c>
      <c r="N24">
        <f>IF(ISNUMBER(VLOOKUP($A24,Haver_M!$B$1:$BZ$300,MATCH(data!N$1,Haver_M!$B$1:$BZ$1,0),FALSE)),VLOOKUP($A24,Haver_M!$B$1:$BZ$300,MATCH(data!N$1,Haver_M!$B$1:$BZ$1,0),FALSE),"")</f>
        <v>8.5</v>
      </c>
      <c r="O24">
        <f>IF(ISNUMBER(VLOOKUP($A24,Haver_M!$B$1:$BZ$300,MATCH(data!O$1,Haver_M!$B$1:$BZ$1,0),FALSE)),VLOOKUP($A24,Haver_M!$B$1:$BZ$300,MATCH(data!O$1,Haver_M!$B$1:$BZ$1,0),FALSE),"")</f>
        <v>7.9238999999999997</v>
      </c>
      <c r="P24">
        <f>IF(ISNUMBER(VLOOKUP($A24,Haver_M!$B$1:$BZ$300,MATCH(data!P$1,Haver_M!$B$1:$BZ$1,0),FALSE)),VLOOKUP($A24,Haver_M!$B$1:$BZ$300,MATCH(data!P$1,Haver_M!$B$1:$BZ$1,0),FALSE),"")</f>
        <v>98.421419999999998</v>
      </c>
      <c r="Q24">
        <f>IF(ISNUMBER(VLOOKUP($A24,Haver_M!$B$1:$BZ$300,MATCH(data!Q$1,Haver_M!$B$1:$BZ$1,0),FALSE)),VLOOKUP($A24,Haver_M!$B$1:$BZ$300,MATCH(data!Q$1,Haver_M!$B$1:$BZ$1,0),FALSE),"")</f>
        <v>49.9</v>
      </c>
      <c r="R24" t="str">
        <f>IF(ISNUMBER(VLOOKUP($A24,Haver_M!$B$1:$BZ$300,MATCH(data!R$1,Haver_M!$B$1:$BZ$1,0),FALSE)),VLOOKUP($A24,Haver_M!$B$1:$BZ$300,MATCH(data!R$1,Haver_M!$B$1:$BZ$1,0),FALSE),"")</f>
        <v/>
      </c>
      <c r="S24">
        <f>IF(ISNUMBER(VLOOKUP($A24,Haver_M!$B$1:$BZ$300,MATCH(data!S$1,Haver_M!$B$1:$BZ$1,0),FALSE)),VLOOKUP($A24,Haver_M!$B$1:$BZ$300,MATCH(data!S$1,Haver_M!$B$1:$BZ$1,0),FALSE),"")</f>
        <v>48.28</v>
      </c>
      <c r="T24">
        <f>IF(ISNUMBER(VLOOKUP($A24,Haver_M!$B$1:$BZ$300,MATCH(data!T$1,Haver_M!$B$1:$BZ$1,0),FALSE)),VLOOKUP($A24,Haver_M!$B$1:$BZ$300,MATCH(data!T$1,Haver_M!$B$1:$BZ$1,0),FALSE),"")</f>
        <v>57.59</v>
      </c>
      <c r="U24">
        <f>IF(ISNUMBER(VLOOKUP($A24,Haver_M!$B$1:$BZ$300,MATCH(data!U$1,Haver_M!$B$1:$BZ$1,0),FALSE)),VLOOKUP($A24,Haver_M!$B$1:$BZ$300,MATCH(data!U$1,Haver_M!$B$1:$BZ$1,0),FALSE),"")</f>
        <v>26.81</v>
      </c>
      <c r="V24">
        <f>IF(ISNUMBER(VLOOKUP($A24,Haver_M!$B$1:$BZ$300,MATCH(data!V$1,Haver_M!$B$1:$BZ$1,0),FALSE)),VLOOKUP($A24,Haver_M!$B$1:$BZ$300,MATCH(data!V$1,Haver_M!$B$1:$BZ$1,0),FALSE),"")</f>
        <v>59.24</v>
      </c>
      <c r="W24" t="str">
        <f>IF(ISNUMBER(VLOOKUP($A24,Haver_M!$B$1:$BZ$300,MATCH(data!W$1,Haver_M!$B$1:$BZ$1,0),FALSE)),VLOOKUP($A24,Haver_M!$B$1:$BZ$300,MATCH(data!W$1,Haver_M!$B$1:$BZ$1,0),FALSE),"")</f>
        <v/>
      </c>
      <c r="X24">
        <f>IF(ISNUMBER(VLOOKUP($A24,Haver_M!$B$1:$BZ$300,MATCH(data!X$1,Haver_M!$B$1:$BZ$1,0),FALSE)),VLOOKUP($A24,Haver_M!$B$1:$BZ$300,MATCH(data!X$1,Haver_M!$B$1:$BZ$1,0),FALSE),"")</f>
        <v>27.83</v>
      </c>
      <c r="Y24">
        <f>IF(ISNUMBER(VLOOKUP($A24,Haver_M!$B$1:$BZ$300,MATCH(data!Y$1,Haver_M!$B$1:$BZ$1,0),FALSE)),VLOOKUP($A24,Haver_M!$B$1:$BZ$300,MATCH(data!Y$1,Haver_M!$B$1:$BZ$1,0),FALSE),"")</f>
        <v>53.35</v>
      </c>
      <c r="Z24" t="str">
        <f>IF(ISNUMBER(VLOOKUP($A24,Haver_M!$B$1:$BZ$300,MATCH(data!Z$1,Haver_M!$B$1:$BZ$1,0),FALSE)),VLOOKUP($A24,Haver_M!$B$1:$BZ$300,MATCH(data!Z$1,Haver_M!$B$1:$BZ$1,0),FALSE),"")</f>
        <v/>
      </c>
      <c r="AA24" t="str">
        <f>IF(ISNUMBER(VLOOKUP($A24,Haver_M!$B$1:$BZ$300,MATCH(data!AA$1,Haver_M!$B$1:$BZ$1,0),FALSE)),VLOOKUP($A24,Haver_M!$B$1:$BZ$300,MATCH(data!AA$1,Haver_M!$B$1:$BZ$1,0),FALSE),"")</f>
        <v/>
      </c>
      <c r="AB24" t="str">
        <f>IF(ISNUMBER(VLOOKUP($A24,Haver_M!$B$1:$BZ$300,MATCH(data!AB$1,Haver_M!$B$1:$BZ$1,0),FALSE)),VLOOKUP($A24,Haver_M!$B$1:$BZ$300,MATCH(data!AB$1,Haver_M!$B$1:$BZ$1,0),FALSE),"")</f>
        <v/>
      </c>
      <c r="AC24" t="str">
        <f>IF(ISNUMBER(VLOOKUP($A24,Haver_M!$B$1:$BZ$300,MATCH(data!AC$1,Haver_M!$B$1:$BZ$1,0),FALSE)),VLOOKUP($A24,Haver_M!$B$1:$BZ$300,MATCH(data!AC$1,Haver_M!$B$1:$BZ$1,0),FALSE),"")</f>
        <v/>
      </c>
      <c r="AD24" t="str">
        <f>IF(ISNUMBER(VLOOKUP($A24,Haver_M!$B$1:$BZ$300,MATCH(data!AD$1,Haver_M!$B$1:$BZ$1,0),FALSE)),VLOOKUP($A24,Haver_M!$B$1:$BZ$300,MATCH(data!AD$1,Haver_M!$B$1:$BZ$1,0),FALSE),"")</f>
        <v/>
      </c>
      <c r="AE24" t="str">
        <f>IF(ISNUMBER(VLOOKUP($A24,Haver_M!$B$1:$BZ$300,MATCH(data!AE$1,Haver_M!$B$1:$BZ$1,0),FALSE)),VLOOKUP($A24,Haver_M!$B$1:$BZ$300,MATCH(data!AE$1,Haver_M!$B$1:$BZ$1,0),FALSE),"")</f>
        <v/>
      </c>
      <c r="AF24" t="str">
        <f>IF(ISNUMBER(VLOOKUP($A24,Haver_M!$B$1:$BZ$300,MATCH(data!AF$1,Haver_M!$B$1:$BZ$1,0),FALSE)),VLOOKUP($A24,Haver_M!$B$1:$BZ$300,MATCH(data!AF$1,Haver_M!$B$1:$BZ$1,0),FALSE),"")</f>
        <v/>
      </c>
      <c r="AG24" t="str">
        <f>IF(ISNUMBER(VLOOKUP($A24,Haver_M!$B$1:$BZ$300,MATCH(data!AG$1,Haver_M!$B$1:$BZ$1,0),FALSE)),VLOOKUP($A24,Haver_M!$B$1:$BZ$300,MATCH(data!AG$1,Haver_M!$B$1:$BZ$1,0),FALSE),"")</f>
        <v/>
      </c>
      <c r="AH24" t="str">
        <f>IF(ISNUMBER(VLOOKUP($A24,Haver_M!$B$1:$BZ$300,MATCH(data!AH$1,Haver_M!$B$1:$BZ$1,0),FALSE)),VLOOKUP($A24,Haver_M!$B$1:$BZ$300,MATCH(data!AH$1,Haver_M!$B$1:$BZ$1,0),FALSE),"")</f>
        <v/>
      </c>
      <c r="AI24">
        <f>IF(ISNUMBER(VLOOKUP($A24,Haver_M!$B$1:$BZ$300,MATCH(data!AI$1,Haver_M!$B$1:$BZ$1,0),FALSE)),VLOOKUP($A24,Haver_M!$B$1:$BZ$300,MATCH(data!AI$1,Haver_M!$B$1:$BZ$1,0),FALSE),"")</f>
        <v>8378.7634517245733</v>
      </c>
      <c r="AJ24">
        <f>IF(ISNUMBER(VLOOKUP($A24,Haver_M!$B$1:$BZ$300,MATCH(data!AJ$1,Haver_M!$B$1:$BZ$1,0),FALSE)),VLOOKUP($A24,Haver_M!$B$1:$BZ$300,MATCH(data!AJ$1,Haver_M!$B$1:$BZ$1,0),FALSE),"")</f>
        <v>3782.36</v>
      </c>
      <c r="AK24">
        <f>IF(ISNUMBER(VLOOKUP($A24,Haver_M!$B$1:$BZ$300,MATCH(data!AK$1,Haver_M!$B$1:$BZ$1,0),FALSE)),VLOOKUP($A24,Haver_M!$B$1:$BZ$300,MATCH(data!AK$1,Haver_M!$B$1:$BZ$1,0),FALSE),"")</f>
        <v>4251.75</v>
      </c>
      <c r="AL24" t="str">
        <f>IF(ISNUMBER(VLOOKUP($A24,Haver_M!$B$1:$BZ$300,MATCH(data!AL$1,Haver_M!$B$1:$BZ$1,0),FALSE)),VLOOKUP($A24,Haver_M!$B$1:$BZ$300,MATCH(data!AL$1,Haver_M!$B$1:$BZ$1,0),FALSE),"")</f>
        <v/>
      </c>
      <c r="AM24" t="str">
        <f>IF(ISNUMBER(VLOOKUP($A24,Haver_M!$B$1:$BZ$300,MATCH(data!AM$1,Haver_M!$B$1:$BZ$1,0),FALSE)),VLOOKUP($A24,Haver_M!$B$1:$BZ$300,MATCH(data!AM$1,Haver_M!$B$1:$BZ$1,0),FALSE),"")</f>
        <v/>
      </c>
      <c r="AN24" t="str">
        <f>IF(ISNUMBER(VLOOKUP($A24,Haver_M!$B$1:$BZ$300,MATCH(data!AN$1,Haver_M!$B$1:$BZ$1,0),FALSE)),VLOOKUP($A24,Haver_M!$B$1:$BZ$300,MATCH(data!AN$1,Haver_M!$B$1:$BZ$1,0),FALSE),"")</f>
        <v/>
      </c>
      <c r="AO24" t="str">
        <f>IF(ISNUMBER(VLOOKUP($A24,Haver_M!$B$1:$BZ$300,MATCH(data!AO$1,Haver_M!$B$1:$BZ$1,0),FALSE)),VLOOKUP($A24,Haver_M!$B$1:$BZ$300,MATCH(data!AO$1,Haver_M!$B$1:$BZ$1,0),FALSE),"")</f>
        <v/>
      </c>
      <c r="AP24">
        <f>IF(ISNUMBER(VLOOKUP($A24,Haver_M!$B$1:$BZ$300,MATCH(data!AP$1,Haver_M!$B$1:$BZ$1,0),FALSE)),VLOOKUP($A24,Haver_M!$B$1:$BZ$300,MATCH(data!AP$1,Haver_M!$B$1:$BZ$1,0),FALSE),"")</f>
        <v>109.01472770128684</v>
      </c>
      <c r="AQ24" t="str">
        <f>IF(ISNUMBER(VLOOKUP($A24,Haver_M!$B$1:$BZ$300,MATCH(data!AQ$1,Haver_M!$B$1:$BZ$1,0),FALSE)),VLOOKUP($A24,Haver_M!$B$1:$BZ$300,MATCH(data!AQ$1,Haver_M!$B$1:$BZ$1,0),FALSE),"")</f>
        <v/>
      </c>
      <c r="AR24" t="str">
        <f>IF(ISNUMBER(VLOOKUP($A24,Haver_M!$B$1:$BZ$300,MATCH(data!AR$1,Haver_M!$B$1:$BZ$1,0),FALSE)),VLOOKUP($A24,Haver_M!$B$1:$BZ$300,MATCH(data!AR$1,Haver_M!$B$1:$BZ$1,0),FALSE),"")</f>
        <v/>
      </c>
      <c r="AS24" t="str">
        <f>IF(ISNUMBER(VLOOKUP($A24,Haver_M!$B$1:$BZ$300,MATCH(data!AS$1,Haver_M!$B$1:$BZ$1,0),FALSE)),VLOOKUP($A24,Haver_M!$B$1:$BZ$300,MATCH(data!AS$1,Haver_M!$B$1:$BZ$1,0),FALSE),"")</f>
        <v/>
      </c>
      <c r="AT24" t="str">
        <f>IF(ISNUMBER(VLOOKUP($A24,Haver_M!$B$1:$BZ$300,MATCH(data!AT$1,Haver_M!$B$1:$BZ$1,0),FALSE)),VLOOKUP($A24,Haver_M!$B$1:$BZ$300,MATCH(data!AT$1,Haver_M!$B$1:$BZ$1,0),FALSE),"")</f>
        <v/>
      </c>
      <c r="AU24" t="str">
        <f>IF(ISNUMBER(VLOOKUP($A24,Haver_M!$B$1:$BZ$300,MATCH(data!AU$1,Haver_M!$B$1:$BZ$1,0),FALSE)),VLOOKUP($A24,Haver_M!$B$1:$BZ$300,MATCH(data!AU$1,Haver_M!$B$1:$BZ$1,0),FALSE),"")</f>
        <v/>
      </c>
      <c r="AV24" t="str">
        <f>IF(ISNUMBER(VLOOKUP($A24,Haver_M!$B$1:$BZ$300,MATCH(data!AV$1,Haver_M!$B$1:$BZ$1,0),FALSE)),VLOOKUP($A24,Haver_M!$B$1:$BZ$300,MATCH(data!AV$1,Haver_M!$B$1:$BZ$1,0),FALSE),"")</f>
        <v/>
      </c>
      <c r="AW24" t="str">
        <f>IF(ISNUMBER(VLOOKUP($A24,Haver_M!$B$1:$BZ$300,MATCH(data!AW$1,Haver_M!$B$1:$BZ$1,0),FALSE)),VLOOKUP($A24,Haver_M!$B$1:$BZ$300,MATCH(data!AW$1,Haver_M!$B$1:$BZ$1,0),FALSE),"")</f>
        <v/>
      </c>
      <c r="AX24" t="str">
        <f>IF(ISNUMBER(VLOOKUP($A24,Haver_M!$B$1:$BZ$300,MATCH(data!AX$1,Haver_M!$B$1:$BZ$1,0),FALSE)),VLOOKUP($A24,Haver_M!$B$1:$BZ$300,MATCH(data!AX$1,Haver_M!$B$1:$BZ$1,0),FALSE),"")</f>
        <v/>
      </c>
      <c r="AY24" t="str">
        <f>IF(ISNUMBER(VLOOKUP($A24,Haver_M!$B$1:$BZ$300,MATCH(data!AY$1,Haver_M!$B$1:$BZ$1,0),FALSE)),VLOOKUP($A24,Haver_M!$B$1:$BZ$300,MATCH(data!AY$1,Haver_M!$B$1:$BZ$1,0),FALSE),"")</f>
        <v/>
      </c>
      <c r="AZ24" t="str">
        <f>IF(ISNUMBER(VLOOKUP($A24,Haver_M!$B$1:$BZ$300,MATCH(data!AZ$1,Haver_M!$B$1:$BZ$1,0),FALSE)),VLOOKUP($A24,Haver_M!$B$1:$BZ$300,MATCH(data!AZ$1,Haver_M!$B$1:$BZ$1,0),FALSE),"")</f>
        <v/>
      </c>
      <c r="BA24" t="str">
        <f>IF(ISNUMBER(VLOOKUP($A24,Haver_M!$B$1:$BZ$300,MATCH(data!BA$1,Haver_M!$B$1:$BZ$1,0),FALSE)),VLOOKUP($A24,Haver_M!$B$1:$BZ$300,MATCH(data!BA$1,Haver_M!$B$1:$BZ$1,0),FALSE),"")</f>
        <v/>
      </c>
      <c r="BB24" t="str">
        <f>IF(ISNUMBER(VLOOKUP($A24,Haver_M!$B$1:$BZ$300,MATCH(data!BB$1,Haver_M!$B$1:$BZ$1,0),FALSE)),VLOOKUP($A24,Haver_M!$B$1:$BZ$300,MATCH(data!BB$1,Haver_M!$B$1:$BZ$1,0),FALSE),"")</f>
        <v/>
      </c>
      <c r="BC24" t="str">
        <f>IF(ISNUMBER(VLOOKUP($A24,Haver_M!$B$1:$BZ$300,MATCH(data!BC$1,Haver_M!$B$1:$BZ$1,0),FALSE)),VLOOKUP($A24,Haver_M!$B$1:$BZ$300,MATCH(data!BC$1,Haver_M!$B$1:$BZ$1,0),FALSE),"")</f>
        <v/>
      </c>
      <c r="BD24" t="str">
        <f>IF(ISNUMBER(VLOOKUP($A24,Haver_M!$B$1:$BZ$300,MATCH(data!BD$1,Haver_M!$B$1:$BZ$1,0),FALSE)),VLOOKUP($A24,Haver_M!$B$1:$BZ$300,MATCH(data!BD$1,Haver_M!$B$1:$BZ$1,0),FALSE),"")</f>
        <v/>
      </c>
      <c r="BE24" t="str">
        <f>IF(ISNUMBER(VLOOKUP($A24,Haver_M!$B$1:$BZ$300,MATCH(data!BE$1,Haver_M!$B$1:$BZ$1,0),FALSE)),VLOOKUP($A24,Haver_M!$B$1:$BZ$300,MATCH(data!BE$1,Haver_M!$B$1:$BZ$1,0),FALSE),"")</f>
        <v/>
      </c>
      <c r="BF24" t="str">
        <f>IF(ISNUMBER(VLOOKUP($A24,Haver_M!$B$1:$BZ$300,MATCH(data!BF$1,Haver_M!$B$1:$BZ$1,0),FALSE)),VLOOKUP($A24,Haver_M!$B$1:$BZ$300,MATCH(data!BF$1,Haver_M!$B$1:$BZ$1,0),FALSE),"")</f>
        <v/>
      </c>
      <c r="BG24" t="str">
        <f>IF(ISNUMBER(VLOOKUP($A24,Haver_M!$B$1:$BZ$300,MATCH(data!BG$1,Haver_M!$B$1:$BZ$1,0),FALSE)),VLOOKUP($A24,Haver_M!$B$1:$BZ$300,MATCH(data!BG$1,Haver_M!$B$1:$BZ$1,0),FALSE),"")</f>
        <v/>
      </c>
      <c r="BH24" t="str">
        <f>IF(ISNUMBER(VLOOKUP($A24,Haver_M!$B$1:$BZ$300,MATCH(data!BH$1,Haver_M!$B$1:$BZ$1,0),FALSE)),VLOOKUP($A24,Haver_M!$B$1:$BZ$300,MATCH(data!BH$1,Haver_M!$B$1:$BZ$1,0),FALSE),"")</f>
        <v/>
      </c>
      <c r="BI24" t="str">
        <f>IF(ISNUMBER(VLOOKUP($A24,Haver_M!$B$1:$BZ$300,MATCH(data!BI$1,Haver_M!$B$1:$BZ$1,0),FALSE)),VLOOKUP($A24,Haver_M!$B$1:$BZ$300,MATCH(data!BI$1,Haver_M!$B$1:$BZ$1,0),FALSE),"")</f>
        <v/>
      </c>
      <c r="BJ24" t="str">
        <f>IF(ISNUMBER(VLOOKUP($A24,Haver_M!$B$1:$BZ$300,MATCH(data!BJ$1,Haver_M!$B$1:$BZ$1,0),FALSE)),VLOOKUP($A24,Haver_M!$B$1:$BZ$300,MATCH(data!BJ$1,Haver_M!$B$1:$BZ$1,0),FALSE),"")</f>
        <v/>
      </c>
      <c r="BK24" t="str">
        <f>IF(ISNUMBER(VLOOKUP($A24,Haver_M!$B$1:$BZ$300,MATCH(data!BK$1,Haver_M!$B$1:$BZ$1,0),FALSE)),VLOOKUP($A24,Haver_M!$B$1:$BZ$300,MATCH(data!BK$1,Haver_M!$B$1:$BZ$1,0),FALSE),"")</f>
        <v/>
      </c>
      <c r="BL24">
        <f>IF(ISNUMBER(VLOOKUP($A24,Haver_M!$B$1:$BZ$300,MATCH(data!BL$1,Haver_M!$B$1:$BZ$1,0),FALSE)),VLOOKUP($A24,Haver_M!$B$1:$BZ$300,MATCH(data!BL$1,Haver_M!$B$1:$BZ$1,0),FALSE),"")</f>
        <v>3164.25</v>
      </c>
      <c r="BM24">
        <f>IF(ISNUMBER(VLOOKUP($A24,Haver_M!$B$1:$BZ$300,MATCH(data!BM$1,Haver_M!$B$1:$BZ$1,0),FALSE)),VLOOKUP($A24,Haver_M!$B$1:$BZ$300,MATCH(data!BM$1,Haver_M!$B$1:$BZ$1,0),FALSE),"")</f>
        <v>93.055199619999996</v>
      </c>
      <c r="BN24" t="str">
        <f>IF(ISNUMBER(VLOOKUP($A24,Haver_M!$B$1:$BZ$300,MATCH(data!BN$1,Haver_M!$B$1:$BZ$1,0),FALSE)),VLOOKUP($A24,Haver_M!$B$1:$BZ$300,MATCH(data!BN$1,Haver_M!$B$1:$BZ$1,0),FALSE),"")</f>
        <v/>
      </c>
      <c r="BO24" t="str">
        <f>IF(ISNUMBER(VLOOKUP($A24,Haver_M!$B$1:$BZ$300,MATCH(data!BO$1,Haver_M!$B$1:$BZ$1,0),FALSE)),VLOOKUP($A24,Haver_M!$B$1:$BZ$300,MATCH(data!BO$1,Haver_M!$B$1:$BZ$1,0),FALSE),"")</f>
        <v/>
      </c>
      <c r="BP24" t="str">
        <f>IF(ISNUMBER(VLOOKUP($A24,Haver_M!$B$1:$BZ$300,MATCH(data!BP$1,Haver_M!$B$1:$BZ$1,0),FALSE)),VLOOKUP($A24,Haver_M!$B$1:$BZ$300,MATCH(data!BP$1,Haver_M!$B$1:$BZ$1,0),FALSE),"")</f>
        <v/>
      </c>
      <c r="BQ24" t="str">
        <f>IF(ISNUMBER(VLOOKUP($A24,Haver_M!$B$1:$BZ$300,MATCH(data!BQ$1,Haver_M!$B$1:$BZ$1,0),FALSE)),VLOOKUP($A24,Haver_M!$B$1:$BZ$300,MATCH(data!BQ$1,Haver_M!$B$1:$BZ$1,0),FALSE),"")</f>
        <v/>
      </c>
      <c r="BR24" t="str">
        <f>IF(ISNUMBER(VLOOKUP($A24,Haver_M!$B$1:$BZ$300,MATCH(data!BR$1,Haver_M!$B$1:$BZ$1,0),FALSE)),VLOOKUP($A24,Haver_M!$B$1:$BZ$300,MATCH(data!BR$1,Haver_M!$B$1:$BZ$1,0),FALSE),"")</f>
        <v/>
      </c>
      <c r="BS24" t="str">
        <f>IF(ISNUMBER(VLOOKUP($A24,Haver_M!$B$1:$BZ$300,MATCH(data!BS$1,Haver_M!$B$1:$BZ$1,0),FALSE)),VLOOKUP($A24,Haver_M!$B$1:$BZ$300,MATCH(data!BS$1,Haver_M!$B$1:$BZ$1,0),FALSE),"")</f>
        <v/>
      </c>
      <c r="BT24" t="str">
        <f>IF(ISNUMBER(VLOOKUP($A24,Haver_M!$B$1:$BZ$300,MATCH(data!BT$1,Haver_M!$B$1:$BZ$1,0),FALSE)),VLOOKUP($A24,Haver_M!$B$1:$BZ$300,MATCH(data!BT$1,Haver_M!$B$1:$BZ$1,0),FALSE),"")</f>
        <v/>
      </c>
      <c r="BU24">
        <f>IF(ISNUMBER(VLOOKUP($A24,Haver_M!$B$1:$BZ$300,MATCH(data!BU$1,Haver_M!$B$1:$BZ$1,0),FALSE)),VLOOKUP($A24,Haver_M!$B$1:$BZ$300,MATCH(data!BU$1,Haver_M!$B$1:$BZ$1,0),FALSE),"")</f>
        <v>3576</v>
      </c>
      <c r="BV24">
        <f>IF(ISNUMBER(VLOOKUP($A24,Haver_M!$B$1:$BZ$300,MATCH(data!BV$1,Haver_M!$B$1:$BZ$1,0),FALSE)),VLOOKUP($A24,Haver_M!$B$1:$BZ$300,MATCH(data!BV$1,Haver_M!$B$1:$BZ$1,0),FALSE),"")</f>
        <v>4158</v>
      </c>
      <c r="BW24">
        <f>IF(ISNUMBER(VLOOKUP($A24,Haver_M!$B$1:$BZ$300,MATCH(data!BW$1,Haver_M!$B$1:$BZ$1,0),FALSE)),VLOOKUP($A24,Haver_M!$B$1:$BZ$300,MATCH(data!BW$1,Haver_M!$B$1:$BZ$1,0),FALSE),"")</f>
        <v>47.994700000000002</v>
      </c>
      <c r="BX24">
        <f>IF(ISNUMBER(VLOOKUP($A24,Haver_M!$B$1:$BZ$300,MATCH(data!BX$1,Haver_M!$B$1:$BZ$1,0),FALSE)),VLOOKUP($A24,Haver_M!$B$1:$BZ$300,MATCH(data!BX$1,Haver_M!$B$1:$BZ$1,0),FALSE),"")</f>
        <v>59150</v>
      </c>
    </row>
    <row r="25" spans="1:76" x14ac:dyDescent="0.25">
      <c r="A25" s="2">
        <v>37256</v>
      </c>
      <c r="B25">
        <f>IF(ISNUMBER(VLOOKUP($A25,Haver_Q!$B$1:$L$185,MATCH(data!B$1,Haver_Q!$B$1:$L$1,0),FALSE)),100*(VLOOKUP($A25,Haver_Q!$B$1:$L$185,MATCH(data!B$1,Haver_Q!$B$1:$L$1,0),FALSE)),"")</f>
        <v>12.925020329535485</v>
      </c>
      <c r="C25">
        <f>IF(ISNUMBER(VLOOKUP($A25,Haver_Q!$B$1:$L$185,MATCH(data!C$1,Haver_Q!$B$1:$L$1,0),FALSE)),100*(VLOOKUP($A25,Haver_Q!$B$1:$L$185,MATCH(data!C$1,Haver_Q!$B$1:$L$1,0),FALSE)),"")</f>
        <v>5.9153326935193817</v>
      </c>
      <c r="D25">
        <f>IF(ISNUMBER(VLOOKUP($A25,Haver_Q!$B$1:$L$185,MATCH(data!D$1,Haver_Q!$B$1:$L$1,0),FALSE)),100*(VLOOKUP($A25,Haver_Q!$B$1:$L$185,MATCH(data!D$1,Haver_Q!$B$1:$L$1,0),FALSE)),"")</f>
        <v>35.318164897942573</v>
      </c>
      <c r="E25">
        <f>IF(ISNUMBER(VLOOKUP($A25,Haver_Q!$B$1:$L$185,MATCH(data!E$1,Haver_Q!$B$1:$L$1,0),FALSE)),100*(VLOOKUP($A25,Haver_Q!$B$1:$L$185,MATCH(data!E$1,Haver_Q!$B$1:$L$1,0),FALSE)),"")</f>
        <v>15.527606519868353</v>
      </c>
      <c r="F25">
        <f>IF(ISNUMBER(VLOOKUP($A25,Haver_Q!$B$1:$L$185,MATCH(data!F$1,Haver_Q!$B$1:$L$1,0),FALSE)),100*(VLOOKUP($A25,Haver_Q!$B$1:$L$185,MATCH(data!F$1,Haver_Q!$B$1:$L$1,0),FALSE)),"")</f>
        <v>6.8431059848190312</v>
      </c>
      <c r="G25">
        <f>IF(ISNUMBER(VLOOKUP($A25,Haver_Q!$B$1:$L$185,MATCH(data!G$1,Haver_Q!$B$1:$L$1,0),FALSE)),100*(VLOOKUP($A25,Haver_Q!$B$1:$L$185,MATCH(data!G$1,Haver_Q!$B$1:$L$1,0),FALSE)),"")</f>
        <v>-18.175974663787375</v>
      </c>
      <c r="H25">
        <f>IF(ISNUMBER(VLOOKUP($A25,Haver_Q!$B$1:$L$185,MATCH(data!H$1,Haver_Q!$B$1:$L$1,0),FALSE)),(VLOOKUP($A25,Haver_Q!$B$1:$L$185,MATCH(data!H$1,Haver_Q!$B$1:$L$1,0),FALSE)),"")</f>
        <v>1.8425459081979245</v>
      </c>
      <c r="I25">
        <f>IF(ISNUMBER(VLOOKUP($A25,Haver_Q!$B$1:$L$185,MATCH(data!I$1,Haver_Q!$B$1:$L$1,0),FALSE)),100*(VLOOKUP($A25,Haver_Q!$B$1:$L$185,MATCH(data!I$1,Haver_Q!$B$1:$L$1,0),FALSE)),"")</f>
        <v>6.2866803339916455</v>
      </c>
      <c r="J25" s="3">
        <f>IF(ISNUMBER(Bloomberg_m!C41),Bloomberg_m!C41,"")</f>
        <v>870</v>
      </c>
      <c r="K25" s="3" t="str">
        <f>IF(ISNUMBER(Bloomberg_m!D41),Bloomberg_m!D41,"")</f>
        <v/>
      </c>
      <c r="L25" s="3" t="str">
        <f>IF(ISNUMBER(Bloomberg_m!E41),Bloomberg_m!E41,"")</f>
        <v/>
      </c>
      <c r="M25" s="3" t="str">
        <f>IF(ISNUMBER(Bloomberg_m!F41),Bloomberg_m!F41,"")</f>
        <v/>
      </c>
      <c r="N25">
        <f>IF(ISNUMBER(VLOOKUP($A25,Haver_M!$B$1:$BZ$300,MATCH(data!N$1,Haver_M!$B$1:$BZ$1,0),FALSE)),VLOOKUP($A25,Haver_M!$B$1:$BZ$300,MATCH(data!N$1,Haver_M!$B$1:$BZ$1,0),FALSE),"")</f>
        <v>8.5</v>
      </c>
      <c r="O25">
        <f>IF(ISNUMBER(VLOOKUP($A25,Haver_M!$B$1:$BZ$300,MATCH(data!O$1,Haver_M!$B$1:$BZ$1,0),FALSE)),VLOOKUP($A25,Haver_M!$B$1:$BZ$300,MATCH(data!O$1,Haver_M!$B$1:$BZ$1,0),FALSE),"")</f>
        <v>8.2666000000000004</v>
      </c>
      <c r="P25">
        <f>IF(ISNUMBER(VLOOKUP($A25,Haver_M!$B$1:$BZ$300,MATCH(data!P$1,Haver_M!$B$1:$BZ$1,0),FALSE)),VLOOKUP($A25,Haver_M!$B$1:$BZ$300,MATCH(data!P$1,Haver_M!$B$1:$BZ$1,0),FALSE),"")</f>
        <v>99.125569999999996</v>
      </c>
      <c r="Q25">
        <f>IF(ISNUMBER(VLOOKUP($A25,Haver_M!$B$1:$BZ$300,MATCH(data!Q$1,Haver_M!$B$1:$BZ$1,0),FALSE)),VLOOKUP($A25,Haver_M!$B$1:$BZ$300,MATCH(data!Q$1,Haver_M!$B$1:$BZ$1,0),FALSE),"")</f>
        <v>49.7</v>
      </c>
      <c r="R25" t="str">
        <f>IF(ISNUMBER(VLOOKUP($A25,Haver_M!$B$1:$BZ$300,MATCH(data!R$1,Haver_M!$B$1:$BZ$1,0),FALSE)),VLOOKUP($A25,Haver_M!$B$1:$BZ$300,MATCH(data!R$1,Haver_M!$B$1:$BZ$1,0),FALSE),"")</f>
        <v/>
      </c>
      <c r="S25">
        <f>IF(ISNUMBER(VLOOKUP($A25,Haver_M!$B$1:$BZ$300,MATCH(data!S$1,Haver_M!$B$1:$BZ$1,0),FALSE)),VLOOKUP($A25,Haver_M!$B$1:$BZ$300,MATCH(data!S$1,Haver_M!$B$1:$BZ$1,0),FALSE),"")</f>
        <v>48.15</v>
      </c>
      <c r="T25">
        <f>IF(ISNUMBER(VLOOKUP($A25,Haver_M!$B$1:$BZ$300,MATCH(data!T$1,Haver_M!$B$1:$BZ$1,0),FALSE)),VLOOKUP($A25,Haver_M!$B$1:$BZ$300,MATCH(data!T$1,Haver_M!$B$1:$BZ$1,0),FALSE),"")</f>
        <v>57.2</v>
      </c>
      <c r="U25">
        <f>IF(ISNUMBER(VLOOKUP($A25,Haver_M!$B$1:$BZ$300,MATCH(data!U$1,Haver_M!$B$1:$BZ$1,0),FALSE)),VLOOKUP($A25,Haver_M!$B$1:$BZ$300,MATCH(data!U$1,Haver_M!$B$1:$BZ$1,0),FALSE),"")</f>
        <v>25.9</v>
      </c>
      <c r="V25">
        <f>IF(ISNUMBER(VLOOKUP($A25,Haver_M!$B$1:$BZ$300,MATCH(data!V$1,Haver_M!$B$1:$BZ$1,0),FALSE)),VLOOKUP($A25,Haver_M!$B$1:$BZ$300,MATCH(data!V$1,Haver_M!$B$1:$BZ$1,0),FALSE),"")</f>
        <v>59.14</v>
      </c>
      <c r="W25" t="str">
        <f>IF(ISNUMBER(VLOOKUP($A25,Haver_M!$B$1:$BZ$300,MATCH(data!W$1,Haver_M!$B$1:$BZ$1,0),FALSE)),VLOOKUP($A25,Haver_M!$B$1:$BZ$300,MATCH(data!W$1,Haver_M!$B$1:$BZ$1,0),FALSE),"")</f>
        <v/>
      </c>
      <c r="X25">
        <f>IF(ISNUMBER(VLOOKUP($A25,Haver_M!$B$1:$BZ$300,MATCH(data!X$1,Haver_M!$B$1:$BZ$1,0),FALSE)),VLOOKUP($A25,Haver_M!$B$1:$BZ$300,MATCH(data!X$1,Haver_M!$B$1:$BZ$1,0),FALSE),"")</f>
        <v>27.57</v>
      </c>
      <c r="Y25">
        <f>IF(ISNUMBER(VLOOKUP($A25,Haver_M!$B$1:$BZ$300,MATCH(data!Y$1,Haver_M!$B$1:$BZ$1,0),FALSE)),VLOOKUP($A25,Haver_M!$B$1:$BZ$300,MATCH(data!Y$1,Haver_M!$B$1:$BZ$1,0),FALSE),"")</f>
        <v>51.56</v>
      </c>
      <c r="Z25" t="str">
        <f>IF(ISNUMBER(VLOOKUP($A25,Haver_M!$B$1:$BZ$300,MATCH(data!Z$1,Haver_M!$B$1:$BZ$1,0),FALSE)),VLOOKUP($A25,Haver_M!$B$1:$BZ$300,MATCH(data!Z$1,Haver_M!$B$1:$BZ$1,0),FALSE),"")</f>
        <v/>
      </c>
      <c r="AA25" t="str">
        <f>IF(ISNUMBER(VLOOKUP($A25,Haver_M!$B$1:$BZ$300,MATCH(data!AA$1,Haver_M!$B$1:$BZ$1,0),FALSE)),VLOOKUP($A25,Haver_M!$B$1:$BZ$300,MATCH(data!AA$1,Haver_M!$B$1:$BZ$1,0),FALSE),"")</f>
        <v/>
      </c>
      <c r="AB25" t="str">
        <f>IF(ISNUMBER(VLOOKUP($A25,Haver_M!$B$1:$BZ$300,MATCH(data!AB$1,Haver_M!$B$1:$BZ$1,0),FALSE)),VLOOKUP($A25,Haver_M!$B$1:$BZ$300,MATCH(data!AB$1,Haver_M!$B$1:$BZ$1,0),FALSE),"")</f>
        <v/>
      </c>
      <c r="AC25" t="str">
        <f>IF(ISNUMBER(VLOOKUP($A25,Haver_M!$B$1:$BZ$300,MATCH(data!AC$1,Haver_M!$B$1:$BZ$1,0),FALSE)),VLOOKUP($A25,Haver_M!$B$1:$BZ$300,MATCH(data!AC$1,Haver_M!$B$1:$BZ$1,0),FALSE),"")</f>
        <v/>
      </c>
      <c r="AD25" t="str">
        <f>IF(ISNUMBER(VLOOKUP($A25,Haver_M!$B$1:$BZ$300,MATCH(data!AD$1,Haver_M!$B$1:$BZ$1,0),FALSE)),VLOOKUP($A25,Haver_M!$B$1:$BZ$300,MATCH(data!AD$1,Haver_M!$B$1:$BZ$1,0),FALSE),"")</f>
        <v/>
      </c>
      <c r="AE25" t="str">
        <f>IF(ISNUMBER(VLOOKUP($A25,Haver_M!$B$1:$BZ$300,MATCH(data!AE$1,Haver_M!$B$1:$BZ$1,0),FALSE)),VLOOKUP($A25,Haver_M!$B$1:$BZ$300,MATCH(data!AE$1,Haver_M!$B$1:$BZ$1,0),FALSE),"")</f>
        <v/>
      </c>
      <c r="AF25" t="str">
        <f>IF(ISNUMBER(VLOOKUP($A25,Haver_M!$B$1:$BZ$300,MATCH(data!AF$1,Haver_M!$B$1:$BZ$1,0),FALSE)),VLOOKUP($A25,Haver_M!$B$1:$BZ$300,MATCH(data!AF$1,Haver_M!$B$1:$BZ$1,0),FALSE),"")</f>
        <v/>
      </c>
      <c r="AG25" t="str">
        <f>IF(ISNUMBER(VLOOKUP($A25,Haver_M!$B$1:$BZ$300,MATCH(data!AG$1,Haver_M!$B$1:$BZ$1,0),FALSE)),VLOOKUP($A25,Haver_M!$B$1:$BZ$300,MATCH(data!AG$1,Haver_M!$B$1:$BZ$1,0),FALSE),"")</f>
        <v/>
      </c>
      <c r="AH25" t="str">
        <f>IF(ISNUMBER(VLOOKUP($A25,Haver_M!$B$1:$BZ$300,MATCH(data!AH$1,Haver_M!$B$1:$BZ$1,0),FALSE)),VLOOKUP($A25,Haver_M!$B$1:$BZ$300,MATCH(data!AH$1,Haver_M!$B$1:$BZ$1,0),FALSE),"")</f>
        <v/>
      </c>
      <c r="AI25">
        <f>IF(ISNUMBER(VLOOKUP($A25,Haver_M!$B$1:$BZ$300,MATCH(data!AI$1,Haver_M!$B$1:$BZ$1,0),FALSE)),VLOOKUP($A25,Haver_M!$B$1:$BZ$300,MATCH(data!AI$1,Haver_M!$B$1:$BZ$1,0),FALSE),"")</f>
        <v>8324.8962480603204</v>
      </c>
      <c r="AJ25">
        <f>IF(ISNUMBER(VLOOKUP($A25,Haver_M!$B$1:$BZ$300,MATCH(data!AJ$1,Haver_M!$B$1:$BZ$1,0),FALSE)),VLOOKUP($A25,Haver_M!$B$1:$BZ$300,MATCH(data!AJ$1,Haver_M!$B$1:$BZ$1,0),FALSE),"")</f>
        <v>3418.02</v>
      </c>
      <c r="AK25">
        <f>IF(ISNUMBER(VLOOKUP($A25,Haver_M!$B$1:$BZ$300,MATCH(data!AK$1,Haver_M!$B$1:$BZ$1,0),FALSE)),VLOOKUP($A25,Haver_M!$B$1:$BZ$300,MATCH(data!AK$1,Haver_M!$B$1:$BZ$1,0),FALSE),"")</f>
        <v>4108.8999999999996</v>
      </c>
      <c r="AL25" t="str">
        <f>IF(ISNUMBER(VLOOKUP($A25,Haver_M!$B$1:$BZ$300,MATCH(data!AL$1,Haver_M!$B$1:$BZ$1,0),FALSE)),VLOOKUP($A25,Haver_M!$B$1:$BZ$300,MATCH(data!AL$1,Haver_M!$B$1:$BZ$1,0),FALSE),"")</f>
        <v/>
      </c>
      <c r="AM25" t="str">
        <f>IF(ISNUMBER(VLOOKUP($A25,Haver_M!$B$1:$BZ$300,MATCH(data!AM$1,Haver_M!$B$1:$BZ$1,0),FALSE)),VLOOKUP($A25,Haver_M!$B$1:$BZ$300,MATCH(data!AM$1,Haver_M!$B$1:$BZ$1,0),FALSE),"")</f>
        <v/>
      </c>
      <c r="AN25" t="str">
        <f>IF(ISNUMBER(VLOOKUP($A25,Haver_M!$B$1:$BZ$300,MATCH(data!AN$1,Haver_M!$B$1:$BZ$1,0),FALSE)),VLOOKUP($A25,Haver_M!$B$1:$BZ$300,MATCH(data!AN$1,Haver_M!$B$1:$BZ$1,0),FALSE),"")</f>
        <v/>
      </c>
      <c r="AO25" t="str">
        <f>IF(ISNUMBER(VLOOKUP($A25,Haver_M!$B$1:$BZ$300,MATCH(data!AO$1,Haver_M!$B$1:$BZ$1,0),FALSE)),VLOOKUP($A25,Haver_M!$B$1:$BZ$300,MATCH(data!AO$1,Haver_M!$B$1:$BZ$1,0),FALSE),"")</f>
        <v/>
      </c>
      <c r="AP25">
        <f>IF(ISNUMBER(VLOOKUP($A25,Haver_M!$B$1:$BZ$300,MATCH(data!AP$1,Haver_M!$B$1:$BZ$1,0),FALSE)),VLOOKUP($A25,Haver_M!$B$1:$BZ$300,MATCH(data!AP$1,Haver_M!$B$1:$BZ$1,0),FALSE),"")</f>
        <v>92.307132735474141</v>
      </c>
      <c r="AQ25" t="str">
        <f>IF(ISNUMBER(VLOOKUP($A25,Haver_M!$B$1:$BZ$300,MATCH(data!AQ$1,Haver_M!$B$1:$BZ$1,0),FALSE)),VLOOKUP($A25,Haver_M!$B$1:$BZ$300,MATCH(data!AQ$1,Haver_M!$B$1:$BZ$1,0),FALSE),"")</f>
        <v/>
      </c>
      <c r="AR25" t="str">
        <f>IF(ISNUMBER(VLOOKUP($A25,Haver_M!$B$1:$BZ$300,MATCH(data!AR$1,Haver_M!$B$1:$BZ$1,0),FALSE)),VLOOKUP($A25,Haver_M!$B$1:$BZ$300,MATCH(data!AR$1,Haver_M!$B$1:$BZ$1,0),FALSE),"")</f>
        <v/>
      </c>
      <c r="AS25" t="str">
        <f>IF(ISNUMBER(VLOOKUP($A25,Haver_M!$B$1:$BZ$300,MATCH(data!AS$1,Haver_M!$B$1:$BZ$1,0),FALSE)),VLOOKUP($A25,Haver_M!$B$1:$BZ$300,MATCH(data!AS$1,Haver_M!$B$1:$BZ$1,0),FALSE),"")</f>
        <v/>
      </c>
      <c r="AT25" t="str">
        <f>IF(ISNUMBER(VLOOKUP($A25,Haver_M!$B$1:$BZ$300,MATCH(data!AT$1,Haver_M!$B$1:$BZ$1,0),FALSE)),VLOOKUP($A25,Haver_M!$B$1:$BZ$300,MATCH(data!AT$1,Haver_M!$B$1:$BZ$1,0),FALSE),"")</f>
        <v/>
      </c>
      <c r="AU25" t="str">
        <f>IF(ISNUMBER(VLOOKUP($A25,Haver_M!$B$1:$BZ$300,MATCH(data!AU$1,Haver_M!$B$1:$BZ$1,0),FALSE)),VLOOKUP($A25,Haver_M!$B$1:$BZ$300,MATCH(data!AU$1,Haver_M!$B$1:$BZ$1,0),FALSE),"")</f>
        <v/>
      </c>
      <c r="AV25" t="str">
        <f>IF(ISNUMBER(VLOOKUP($A25,Haver_M!$B$1:$BZ$300,MATCH(data!AV$1,Haver_M!$B$1:$BZ$1,0),FALSE)),VLOOKUP($A25,Haver_M!$B$1:$BZ$300,MATCH(data!AV$1,Haver_M!$B$1:$BZ$1,0),FALSE),"")</f>
        <v/>
      </c>
      <c r="AW25" t="str">
        <f>IF(ISNUMBER(VLOOKUP($A25,Haver_M!$B$1:$BZ$300,MATCH(data!AW$1,Haver_M!$B$1:$BZ$1,0),FALSE)),VLOOKUP($A25,Haver_M!$B$1:$BZ$300,MATCH(data!AW$1,Haver_M!$B$1:$BZ$1,0),FALSE),"")</f>
        <v/>
      </c>
      <c r="AX25" t="str">
        <f>IF(ISNUMBER(VLOOKUP($A25,Haver_M!$B$1:$BZ$300,MATCH(data!AX$1,Haver_M!$B$1:$BZ$1,0),FALSE)),VLOOKUP($A25,Haver_M!$B$1:$BZ$300,MATCH(data!AX$1,Haver_M!$B$1:$BZ$1,0),FALSE),"")</f>
        <v/>
      </c>
      <c r="AY25" t="str">
        <f>IF(ISNUMBER(VLOOKUP($A25,Haver_M!$B$1:$BZ$300,MATCH(data!AY$1,Haver_M!$B$1:$BZ$1,0),FALSE)),VLOOKUP($A25,Haver_M!$B$1:$BZ$300,MATCH(data!AY$1,Haver_M!$B$1:$BZ$1,0),FALSE),"")</f>
        <v/>
      </c>
      <c r="AZ25" t="str">
        <f>IF(ISNUMBER(VLOOKUP($A25,Haver_M!$B$1:$BZ$300,MATCH(data!AZ$1,Haver_M!$B$1:$BZ$1,0),FALSE)),VLOOKUP($A25,Haver_M!$B$1:$BZ$300,MATCH(data!AZ$1,Haver_M!$B$1:$BZ$1,0),FALSE),"")</f>
        <v/>
      </c>
      <c r="BA25" t="str">
        <f>IF(ISNUMBER(VLOOKUP($A25,Haver_M!$B$1:$BZ$300,MATCH(data!BA$1,Haver_M!$B$1:$BZ$1,0),FALSE)),VLOOKUP($A25,Haver_M!$B$1:$BZ$300,MATCH(data!BA$1,Haver_M!$B$1:$BZ$1,0),FALSE),"")</f>
        <v/>
      </c>
      <c r="BB25" t="str">
        <f>IF(ISNUMBER(VLOOKUP($A25,Haver_M!$B$1:$BZ$300,MATCH(data!BB$1,Haver_M!$B$1:$BZ$1,0),FALSE)),VLOOKUP($A25,Haver_M!$B$1:$BZ$300,MATCH(data!BB$1,Haver_M!$B$1:$BZ$1,0),FALSE),"")</f>
        <v/>
      </c>
      <c r="BC25" t="str">
        <f>IF(ISNUMBER(VLOOKUP($A25,Haver_M!$B$1:$BZ$300,MATCH(data!BC$1,Haver_M!$B$1:$BZ$1,0),FALSE)),VLOOKUP($A25,Haver_M!$B$1:$BZ$300,MATCH(data!BC$1,Haver_M!$B$1:$BZ$1,0),FALSE),"")</f>
        <v/>
      </c>
      <c r="BD25" t="str">
        <f>IF(ISNUMBER(VLOOKUP($A25,Haver_M!$B$1:$BZ$300,MATCH(data!BD$1,Haver_M!$B$1:$BZ$1,0),FALSE)),VLOOKUP($A25,Haver_M!$B$1:$BZ$300,MATCH(data!BD$1,Haver_M!$B$1:$BZ$1,0),FALSE),"")</f>
        <v/>
      </c>
      <c r="BE25" t="str">
        <f>IF(ISNUMBER(VLOOKUP($A25,Haver_M!$B$1:$BZ$300,MATCH(data!BE$1,Haver_M!$B$1:$BZ$1,0),FALSE)),VLOOKUP($A25,Haver_M!$B$1:$BZ$300,MATCH(data!BE$1,Haver_M!$B$1:$BZ$1,0),FALSE),"")</f>
        <v/>
      </c>
      <c r="BF25" t="str">
        <f>IF(ISNUMBER(VLOOKUP($A25,Haver_M!$B$1:$BZ$300,MATCH(data!BF$1,Haver_M!$B$1:$BZ$1,0),FALSE)),VLOOKUP($A25,Haver_M!$B$1:$BZ$300,MATCH(data!BF$1,Haver_M!$B$1:$BZ$1,0),FALSE),"")</f>
        <v/>
      </c>
      <c r="BG25" t="str">
        <f>IF(ISNUMBER(VLOOKUP($A25,Haver_M!$B$1:$BZ$300,MATCH(data!BG$1,Haver_M!$B$1:$BZ$1,0),FALSE)),VLOOKUP($A25,Haver_M!$B$1:$BZ$300,MATCH(data!BG$1,Haver_M!$B$1:$BZ$1,0),FALSE),"")</f>
        <v/>
      </c>
      <c r="BH25" t="str">
        <f>IF(ISNUMBER(VLOOKUP($A25,Haver_M!$B$1:$BZ$300,MATCH(data!BH$1,Haver_M!$B$1:$BZ$1,0),FALSE)),VLOOKUP($A25,Haver_M!$B$1:$BZ$300,MATCH(data!BH$1,Haver_M!$B$1:$BZ$1,0),FALSE),"")</f>
        <v/>
      </c>
      <c r="BI25" t="str">
        <f>IF(ISNUMBER(VLOOKUP($A25,Haver_M!$B$1:$BZ$300,MATCH(data!BI$1,Haver_M!$B$1:$BZ$1,0),FALSE)),VLOOKUP($A25,Haver_M!$B$1:$BZ$300,MATCH(data!BI$1,Haver_M!$B$1:$BZ$1,0),FALSE),"")</f>
        <v/>
      </c>
      <c r="BJ25" t="str">
        <f>IF(ISNUMBER(VLOOKUP($A25,Haver_M!$B$1:$BZ$300,MATCH(data!BJ$1,Haver_M!$B$1:$BZ$1,0),FALSE)),VLOOKUP($A25,Haver_M!$B$1:$BZ$300,MATCH(data!BJ$1,Haver_M!$B$1:$BZ$1,0),FALSE),"")</f>
        <v/>
      </c>
      <c r="BK25" t="str">
        <f>IF(ISNUMBER(VLOOKUP($A25,Haver_M!$B$1:$BZ$300,MATCH(data!BK$1,Haver_M!$B$1:$BZ$1,0),FALSE)),VLOOKUP($A25,Haver_M!$B$1:$BZ$300,MATCH(data!BK$1,Haver_M!$B$1:$BZ$1,0),FALSE),"")</f>
        <v/>
      </c>
      <c r="BL25">
        <f>IF(ISNUMBER(VLOOKUP($A25,Haver_M!$B$1:$BZ$300,MATCH(data!BL$1,Haver_M!$B$1:$BZ$1,0),FALSE)),VLOOKUP($A25,Haver_M!$B$1:$BZ$300,MATCH(data!BL$1,Haver_M!$B$1:$BZ$1,0),FALSE),"")</f>
        <v>3314.88</v>
      </c>
      <c r="BM25">
        <f>IF(ISNUMBER(VLOOKUP($A25,Haver_M!$B$1:$BZ$300,MATCH(data!BM$1,Haver_M!$B$1:$BZ$1,0),FALSE)),VLOOKUP($A25,Haver_M!$B$1:$BZ$300,MATCH(data!BM$1,Haver_M!$B$1:$BZ$1,0),FALSE),"")</f>
        <v>93.110435859999996</v>
      </c>
      <c r="BN25">
        <f>IF(ISNUMBER(VLOOKUP($A25,Haver_M!$B$1:$BZ$300,MATCH(data!BN$1,Haver_M!$B$1:$BZ$1,0),FALSE)),VLOOKUP($A25,Haver_M!$B$1:$BZ$300,MATCH(data!BN$1,Haver_M!$B$1:$BZ$1,0),FALSE),"")</f>
        <v>100.7</v>
      </c>
      <c r="BO25">
        <f>IF(ISNUMBER(VLOOKUP($A25,Haver_M!$B$1:$BZ$300,MATCH(data!BO$1,Haver_M!$B$1:$BZ$1,0),FALSE)),VLOOKUP($A25,Haver_M!$B$1:$BZ$300,MATCH(data!BO$1,Haver_M!$B$1:$BZ$1,0),FALSE),"")</f>
        <v>119.5</v>
      </c>
      <c r="BP25">
        <f>IF(ISNUMBER(VLOOKUP($A25,Haver_M!$B$1:$BZ$300,MATCH(data!BP$1,Haver_M!$B$1:$BZ$1,0),FALSE)),VLOOKUP($A25,Haver_M!$B$1:$BZ$300,MATCH(data!BP$1,Haver_M!$B$1:$BZ$1,0),FALSE),"")</f>
        <v>42.9</v>
      </c>
      <c r="BQ25" t="str">
        <f>IF(ISNUMBER(VLOOKUP($A25,Haver_M!$B$1:$BZ$300,MATCH(data!BQ$1,Haver_M!$B$1:$BZ$1,0),FALSE)),VLOOKUP($A25,Haver_M!$B$1:$BZ$300,MATCH(data!BQ$1,Haver_M!$B$1:$BZ$1,0),FALSE),"")</f>
        <v/>
      </c>
      <c r="BR25" t="str">
        <f>IF(ISNUMBER(VLOOKUP($A25,Haver_M!$B$1:$BZ$300,MATCH(data!BR$1,Haver_M!$B$1:$BZ$1,0),FALSE)),VLOOKUP($A25,Haver_M!$B$1:$BZ$300,MATCH(data!BR$1,Haver_M!$B$1:$BZ$1,0),FALSE),"")</f>
        <v/>
      </c>
      <c r="BS25" t="str">
        <f>IF(ISNUMBER(VLOOKUP($A25,Haver_M!$B$1:$BZ$300,MATCH(data!BS$1,Haver_M!$B$1:$BZ$1,0),FALSE)),VLOOKUP($A25,Haver_M!$B$1:$BZ$300,MATCH(data!BS$1,Haver_M!$B$1:$BZ$1,0),FALSE),"")</f>
        <v/>
      </c>
      <c r="BT25" t="str">
        <f>IF(ISNUMBER(VLOOKUP($A25,Haver_M!$B$1:$BZ$300,MATCH(data!BT$1,Haver_M!$B$1:$BZ$1,0),FALSE)),VLOOKUP($A25,Haver_M!$B$1:$BZ$300,MATCH(data!BT$1,Haver_M!$B$1:$BZ$1,0),FALSE),"")</f>
        <v/>
      </c>
      <c r="BU25">
        <f>IF(ISNUMBER(VLOOKUP($A25,Haver_M!$B$1:$BZ$300,MATCH(data!BU$1,Haver_M!$B$1:$BZ$1,0),FALSE)),VLOOKUP($A25,Haver_M!$B$1:$BZ$300,MATCH(data!BU$1,Haver_M!$B$1:$BZ$1,0),FALSE),"")</f>
        <v>3250</v>
      </c>
      <c r="BV25">
        <f>IF(ISNUMBER(VLOOKUP($A25,Haver_M!$B$1:$BZ$300,MATCH(data!BV$1,Haver_M!$B$1:$BZ$1,0),FALSE)),VLOOKUP($A25,Haver_M!$B$1:$BZ$300,MATCH(data!BV$1,Haver_M!$B$1:$BZ$1,0),FALSE),"")</f>
        <v>4079</v>
      </c>
      <c r="BW25">
        <f>IF(ISNUMBER(VLOOKUP($A25,Haver_M!$B$1:$BZ$300,MATCH(data!BW$1,Haver_M!$B$1:$BZ$1,0),FALSE)),VLOOKUP($A25,Haver_M!$B$1:$BZ$300,MATCH(data!BW$1,Haver_M!$B$1:$BZ$1,0),FALSE),"")</f>
        <v>47.9176</v>
      </c>
      <c r="BX25">
        <f>IF(ISNUMBER(VLOOKUP($A25,Haver_M!$B$1:$BZ$300,MATCH(data!BX$1,Haver_M!$B$1:$BZ$1,0),FALSE)),VLOOKUP($A25,Haver_M!$B$1:$BZ$300,MATCH(data!BX$1,Haver_M!$B$1:$BZ$1,0),FALSE),"")</f>
        <v>58112</v>
      </c>
    </row>
    <row r="26" spans="1:76" x14ac:dyDescent="0.25">
      <c r="A26" s="2">
        <v>37287</v>
      </c>
      <c r="B26" t="str">
        <f>IF(ISNUMBER(VLOOKUP($A26,Haver_Q!$B$1:$L$185,MATCH(data!B$1,Haver_Q!$B$1:$L$1,0),FALSE)),100*(VLOOKUP($A26,Haver_Q!$B$1:$L$185,MATCH(data!B$1,Haver_Q!$B$1:$L$1,0),FALSE)),"")</f>
        <v/>
      </c>
      <c r="C26" t="str">
        <f>IF(ISNUMBER(VLOOKUP($A26,Haver_Q!$B$1:$L$185,MATCH(data!C$1,Haver_Q!$B$1:$L$1,0),FALSE)),100*(VLOOKUP($A26,Haver_Q!$B$1:$L$185,MATCH(data!C$1,Haver_Q!$B$1:$L$1,0),FALSE)),"")</f>
        <v/>
      </c>
      <c r="D26" t="str">
        <f>IF(ISNUMBER(VLOOKUP($A26,Haver_Q!$B$1:$L$185,MATCH(data!D$1,Haver_Q!$B$1:$L$1,0),FALSE)),100*(VLOOKUP($A26,Haver_Q!$B$1:$L$185,MATCH(data!D$1,Haver_Q!$B$1:$L$1,0),FALSE)),"")</f>
        <v/>
      </c>
      <c r="E26" t="str">
        <f>IF(ISNUMBER(VLOOKUP($A26,Haver_Q!$B$1:$L$185,MATCH(data!E$1,Haver_Q!$B$1:$L$1,0),FALSE)),100*(VLOOKUP($A26,Haver_Q!$B$1:$L$185,MATCH(data!E$1,Haver_Q!$B$1:$L$1,0),FALSE)),"")</f>
        <v/>
      </c>
      <c r="F26" t="str">
        <f>IF(ISNUMBER(VLOOKUP($A26,Haver_Q!$B$1:$L$185,MATCH(data!F$1,Haver_Q!$B$1:$L$1,0),FALSE)),100*(VLOOKUP($A26,Haver_Q!$B$1:$L$185,MATCH(data!F$1,Haver_Q!$B$1:$L$1,0),FALSE)),"")</f>
        <v/>
      </c>
      <c r="G26" t="str">
        <f>IF(ISNUMBER(VLOOKUP($A26,Haver_Q!$B$1:$L$185,MATCH(data!G$1,Haver_Q!$B$1:$L$1,0),FALSE)),100*(VLOOKUP($A26,Haver_Q!$B$1:$L$185,MATCH(data!G$1,Haver_Q!$B$1:$L$1,0),FALSE)),"")</f>
        <v/>
      </c>
      <c r="H26" t="str">
        <f>IF(ISNUMBER(VLOOKUP($A26,Haver_Q!$B$1:$L$185,MATCH(data!H$1,Haver_Q!$B$1:$L$1,0),FALSE)),(VLOOKUP($A26,Haver_Q!$B$1:$L$185,MATCH(data!H$1,Haver_Q!$B$1:$L$1,0),FALSE)),"")</f>
        <v/>
      </c>
      <c r="I26" t="str">
        <f>IF(ISNUMBER(VLOOKUP($A26,Haver_Q!$B$1:$L$185,MATCH(data!I$1,Haver_Q!$B$1:$L$1,0),FALSE)),100*(VLOOKUP($A26,Haver_Q!$B$1:$L$185,MATCH(data!I$1,Haver_Q!$B$1:$L$1,0),FALSE)),"")</f>
        <v/>
      </c>
      <c r="J26" s="3">
        <f>IF(ISNUMBER(Bloomberg_m!C42),Bloomberg_m!C42,"")</f>
        <v>931</v>
      </c>
      <c r="K26" s="3" t="str">
        <f>IF(ISNUMBER(Bloomberg_m!D42),Bloomberg_m!D42,"")</f>
        <v/>
      </c>
      <c r="L26" s="3" t="str">
        <f>IF(ISNUMBER(Bloomberg_m!E42),Bloomberg_m!E42,"")</f>
        <v/>
      </c>
      <c r="M26" s="3" t="str">
        <f>IF(ISNUMBER(Bloomberg_m!F42),Bloomberg_m!F42,"")</f>
        <v/>
      </c>
      <c r="N26">
        <f>IF(ISNUMBER(VLOOKUP($A26,Haver_M!$B$1:$BZ$300,MATCH(data!N$1,Haver_M!$B$1:$BZ$1,0),FALSE)),VLOOKUP($A26,Haver_M!$B$1:$BZ$300,MATCH(data!N$1,Haver_M!$B$1:$BZ$1,0),FALSE),"")</f>
        <v>8.5</v>
      </c>
      <c r="O26">
        <f>IF(ISNUMBER(VLOOKUP($A26,Haver_M!$B$1:$BZ$300,MATCH(data!O$1,Haver_M!$B$1:$BZ$1,0),FALSE)),VLOOKUP($A26,Haver_M!$B$1:$BZ$300,MATCH(data!O$1,Haver_M!$B$1:$BZ$1,0),FALSE),"")</f>
        <v>7.6474000000000002</v>
      </c>
      <c r="P26">
        <f>IF(ISNUMBER(VLOOKUP($A26,Haver_M!$B$1:$BZ$300,MATCH(data!P$1,Haver_M!$B$1:$BZ$1,0),FALSE)),VLOOKUP($A26,Haver_M!$B$1:$BZ$300,MATCH(data!P$1,Haver_M!$B$1:$BZ$1,0),FALSE),"")</f>
        <v>98.433030000000002</v>
      </c>
      <c r="Q26">
        <f>IF(ISNUMBER(VLOOKUP($A26,Haver_M!$B$1:$BZ$300,MATCH(data!Q$1,Haver_M!$B$1:$BZ$1,0),FALSE)),VLOOKUP($A26,Haver_M!$B$1:$BZ$300,MATCH(data!Q$1,Haver_M!$B$1:$BZ$1,0),FALSE),"")</f>
        <v>49.5</v>
      </c>
      <c r="R26" t="str">
        <f>IF(ISNUMBER(VLOOKUP($A26,Haver_M!$B$1:$BZ$300,MATCH(data!R$1,Haver_M!$B$1:$BZ$1,0),FALSE)),VLOOKUP($A26,Haver_M!$B$1:$BZ$300,MATCH(data!R$1,Haver_M!$B$1:$BZ$1,0),FALSE),"")</f>
        <v/>
      </c>
      <c r="S26">
        <f>IF(ISNUMBER(VLOOKUP($A26,Haver_M!$B$1:$BZ$300,MATCH(data!S$1,Haver_M!$B$1:$BZ$1,0),FALSE)),VLOOKUP($A26,Haver_M!$B$1:$BZ$300,MATCH(data!S$1,Haver_M!$B$1:$BZ$1,0),FALSE),"")</f>
        <v>48.15</v>
      </c>
      <c r="T26">
        <f>IF(ISNUMBER(VLOOKUP($A26,Haver_M!$B$1:$BZ$300,MATCH(data!T$1,Haver_M!$B$1:$BZ$1,0),FALSE)),VLOOKUP($A26,Haver_M!$B$1:$BZ$300,MATCH(data!T$1,Haver_M!$B$1:$BZ$1,0),FALSE),"")</f>
        <v>57.31</v>
      </c>
      <c r="U26">
        <f>IF(ISNUMBER(VLOOKUP($A26,Haver_M!$B$1:$BZ$300,MATCH(data!U$1,Haver_M!$B$1:$BZ$1,0),FALSE)),VLOOKUP($A26,Haver_M!$B$1:$BZ$300,MATCH(data!U$1,Haver_M!$B$1:$BZ$1,0),FALSE),"")</f>
        <v>25.77</v>
      </c>
      <c r="V26">
        <f>IF(ISNUMBER(VLOOKUP($A26,Haver_M!$B$1:$BZ$300,MATCH(data!V$1,Haver_M!$B$1:$BZ$1,0),FALSE)),VLOOKUP($A26,Haver_M!$B$1:$BZ$300,MATCH(data!V$1,Haver_M!$B$1:$BZ$1,0),FALSE),"")</f>
        <v>59.01</v>
      </c>
      <c r="W26" t="str">
        <f>IF(ISNUMBER(VLOOKUP($A26,Haver_M!$B$1:$BZ$300,MATCH(data!W$1,Haver_M!$B$1:$BZ$1,0),FALSE)),VLOOKUP($A26,Haver_M!$B$1:$BZ$300,MATCH(data!W$1,Haver_M!$B$1:$BZ$1,0),FALSE),"")</f>
        <v/>
      </c>
      <c r="X26">
        <f>IF(ISNUMBER(VLOOKUP($A26,Haver_M!$B$1:$BZ$300,MATCH(data!X$1,Haver_M!$B$1:$BZ$1,0),FALSE)),VLOOKUP($A26,Haver_M!$B$1:$BZ$300,MATCH(data!X$1,Haver_M!$B$1:$BZ$1,0),FALSE),"")</f>
        <v>28.3</v>
      </c>
      <c r="Y26">
        <f>IF(ISNUMBER(VLOOKUP($A26,Haver_M!$B$1:$BZ$300,MATCH(data!Y$1,Haver_M!$B$1:$BZ$1,0),FALSE)),VLOOKUP($A26,Haver_M!$B$1:$BZ$300,MATCH(data!Y$1,Haver_M!$B$1:$BZ$1,0),FALSE),"")</f>
        <v>51.69</v>
      </c>
      <c r="Z26" t="str">
        <f>IF(ISNUMBER(VLOOKUP($A26,Haver_M!$B$1:$BZ$300,MATCH(data!Z$1,Haver_M!$B$1:$BZ$1,0),FALSE)),VLOOKUP($A26,Haver_M!$B$1:$BZ$300,MATCH(data!Z$1,Haver_M!$B$1:$BZ$1,0),FALSE),"")</f>
        <v/>
      </c>
      <c r="AA26" t="str">
        <f>IF(ISNUMBER(VLOOKUP($A26,Haver_M!$B$1:$BZ$300,MATCH(data!AA$1,Haver_M!$B$1:$BZ$1,0),FALSE)),VLOOKUP($A26,Haver_M!$B$1:$BZ$300,MATCH(data!AA$1,Haver_M!$B$1:$BZ$1,0),FALSE),"")</f>
        <v/>
      </c>
      <c r="AB26" t="str">
        <f>IF(ISNUMBER(VLOOKUP($A26,Haver_M!$B$1:$BZ$300,MATCH(data!AB$1,Haver_M!$B$1:$BZ$1,0),FALSE)),VLOOKUP($A26,Haver_M!$B$1:$BZ$300,MATCH(data!AB$1,Haver_M!$B$1:$BZ$1,0),FALSE),"")</f>
        <v/>
      </c>
      <c r="AC26" t="str">
        <f>IF(ISNUMBER(VLOOKUP($A26,Haver_M!$B$1:$BZ$300,MATCH(data!AC$1,Haver_M!$B$1:$BZ$1,0),FALSE)),VLOOKUP($A26,Haver_M!$B$1:$BZ$300,MATCH(data!AC$1,Haver_M!$B$1:$BZ$1,0),FALSE),"")</f>
        <v/>
      </c>
      <c r="AD26" t="str">
        <f>IF(ISNUMBER(VLOOKUP($A26,Haver_M!$B$1:$BZ$300,MATCH(data!AD$1,Haver_M!$B$1:$BZ$1,0),FALSE)),VLOOKUP($A26,Haver_M!$B$1:$BZ$300,MATCH(data!AD$1,Haver_M!$B$1:$BZ$1,0),FALSE),"")</f>
        <v/>
      </c>
      <c r="AE26" t="str">
        <f>IF(ISNUMBER(VLOOKUP($A26,Haver_M!$B$1:$BZ$300,MATCH(data!AE$1,Haver_M!$B$1:$BZ$1,0),FALSE)),VLOOKUP($A26,Haver_M!$B$1:$BZ$300,MATCH(data!AE$1,Haver_M!$B$1:$BZ$1,0),FALSE),"")</f>
        <v/>
      </c>
      <c r="AF26" t="str">
        <f>IF(ISNUMBER(VLOOKUP($A26,Haver_M!$B$1:$BZ$300,MATCH(data!AF$1,Haver_M!$B$1:$BZ$1,0),FALSE)),VLOOKUP($A26,Haver_M!$B$1:$BZ$300,MATCH(data!AF$1,Haver_M!$B$1:$BZ$1,0),FALSE),"")</f>
        <v/>
      </c>
      <c r="AG26" t="str">
        <f>IF(ISNUMBER(VLOOKUP($A26,Haver_M!$B$1:$BZ$300,MATCH(data!AG$1,Haver_M!$B$1:$BZ$1,0),FALSE)),VLOOKUP($A26,Haver_M!$B$1:$BZ$300,MATCH(data!AG$1,Haver_M!$B$1:$BZ$1,0),FALSE),"")</f>
        <v/>
      </c>
      <c r="AH26" t="str">
        <f>IF(ISNUMBER(VLOOKUP($A26,Haver_M!$B$1:$BZ$300,MATCH(data!AH$1,Haver_M!$B$1:$BZ$1,0),FALSE)),VLOOKUP($A26,Haver_M!$B$1:$BZ$300,MATCH(data!AH$1,Haver_M!$B$1:$BZ$1,0),FALSE),"")</f>
        <v/>
      </c>
      <c r="AI26">
        <f>IF(ISNUMBER(VLOOKUP($A26,Haver_M!$B$1:$BZ$300,MATCH(data!AI$1,Haver_M!$B$1:$BZ$1,0),FALSE)),VLOOKUP($A26,Haver_M!$B$1:$BZ$300,MATCH(data!AI$1,Haver_M!$B$1:$BZ$1,0),FALSE),"")</f>
        <v>8351.6855576949038</v>
      </c>
      <c r="AJ26">
        <f>IF(ISNUMBER(VLOOKUP($A26,Haver_M!$B$1:$BZ$300,MATCH(data!AJ$1,Haver_M!$B$1:$BZ$1,0),FALSE)),VLOOKUP($A26,Haver_M!$B$1:$BZ$300,MATCH(data!AJ$1,Haver_M!$B$1:$BZ$1,0),FALSE),"")</f>
        <v>4201.29</v>
      </c>
      <c r="AK26">
        <f>IF(ISNUMBER(VLOOKUP($A26,Haver_M!$B$1:$BZ$300,MATCH(data!AK$1,Haver_M!$B$1:$BZ$1,0),FALSE)),VLOOKUP($A26,Haver_M!$B$1:$BZ$300,MATCH(data!AK$1,Haver_M!$B$1:$BZ$1,0),FALSE),"")</f>
        <v>4221.9399999999996</v>
      </c>
      <c r="AL26" t="str">
        <f>IF(ISNUMBER(VLOOKUP($A26,Haver_M!$B$1:$BZ$300,MATCH(data!AL$1,Haver_M!$B$1:$BZ$1,0),FALSE)),VLOOKUP($A26,Haver_M!$B$1:$BZ$300,MATCH(data!AL$1,Haver_M!$B$1:$BZ$1,0),FALSE),"")</f>
        <v/>
      </c>
      <c r="AM26" t="str">
        <f>IF(ISNUMBER(VLOOKUP($A26,Haver_M!$B$1:$BZ$300,MATCH(data!AM$1,Haver_M!$B$1:$BZ$1,0),FALSE)),VLOOKUP($A26,Haver_M!$B$1:$BZ$300,MATCH(data!AM$1,Haver_M!$B$1:$BZ$1,0),FALSE),"")</f>
        <v/>
      </c>
      <c r="AN26" t="str">
        <f>IF(ISNUMBER(VLOOKUP($A26,Haver_M!$B$1:$BZ$300,MATCH(data!AN$1,Haver_M!$B$1:$BZ$1,0),FALSE)),VLOOKUP($A26,Haver_M!$B$1:$BZ$300,MATCH(data!AN$1,Haver_M!$B$1:$BZ$1,0),FALSE),"")</f>
        <v/>
      </c>
      <c r="AO26" t="str">
        <f>IF(ISNUMBER(VLOOKUP($A26,Haver_M!$B$1:$BZ$300,MATCH(data!AO$1,Haver_M!$B$1:$BZ$1,0),FALSE)),VLOOKUP($A26,Haver_M!$B$1:$BZ$300,MATCH(data!AO$1,Haver_M!$B$1:$BZ$1,0),FALSE),"")</f>
        <v/>
      </c>
      <c r="AP26">
        <f>IF(ISNUMBER(VLOOKUP($A26,Haver_M!$B$1:$BZ$300,MATCH(data!AP$1,Haver_M!$B$1:$BZ$1,0),FALSE)),VLOOKUP($A26,Haver_M!$B$1:$BZ$300,MATCH(data!AP$1,Haver_M!$B$1:$BZ$1,0),FALSE),"")</f>
        <v>104.03094628805339</v>
      </c>
      <c r="AQ26" t="str">
        <f>IF(ISNUMBER(VLOOKUP($A26,Haver_M!$B$1:$BZ$300,MATCH(data!AQ$1,Haver_M!$B$1:$BZ$1,0),FALSE)),VLOOKUP($A26,Haver_M!$B$1:$BZ$300,MATCH(data!AQ$1,Haver_M!$B$1:$BZ$1,0),FALSE),"")</f>
        <v/>
      </c>
      <c r="AR26" t="str">
        <f>IF(ISNUMBER(VLOOKUP($A26,Haver_M!$B$1:$BZ$300,MATCH(data!AR$1,Haver_M!$B$1:$BZ$1,0),FALSE)),VLOOKUP($A26,Haver_M!$B$1:$BZ$300,MATCH(data!AR$1,Haver_M!$B$1:$BZ$1,0),FALSE),"")</f>
        <v/>
      </c>
      <c r="AS26" t="str">
        <f>IF(ISNUMBER(VLOOKUP($A26,Haver_M!$B$1:$BZ$300,MATCH(data!AS$1,Haver_M!$B$1:$BZ$1,0),FALSE)),VLOOKUP($A26,Haver_M!$B$1:$BZ$300,MATCH(data!AS$1,Haver_M!$B$1:$BZ$1,0),FALSE),"")</f>
        <v/>
      </c>
      <c r="AT26" t="str">
        <f>IF(ISNUMBER(VLOOKUP($A26,Haver_M!$B$1:$BZ$300,MATCH(data!AT$1,Haver_M!$B$1:$BZ$1,0),FALSE)),VLOOKUP($A26,Haver_M!$B$1:$BZ$300,MATCH(data!AT$1,Haver_M!$B$1:$BZ$1,0),FALSE),"")</f>
        <v/>
      </c>
      <c r="AU26" t="str">
        <f>IF(ISNUMBER(VLOOKUP($A26,Haver_M!$B$1:$BZ$300,MATCH(data!AU$1,Haver_M!$B$1:$BZ$1,0),FALSE)),VLOOKUP($A26,Haver_M!$B$1:$BZ$300,MATCH(data!AU$1,Haver_M!$B$1:$BZ$1,0),FALSE),"")</f>
        <v/>
      </c>
      <c r="AV26" t="str">
        <f>IF(ISNUMBER(VLOOKUP($A26,Haver_M!$B$1:$BZ$300,MATCH(data!AV$1,Haver_M!$B$1:$BZ$1,0),FALSE)),VLOOKUP($A26,Haver_M!$B$1:$BZ$300,MATCH(data!AV$1,Haver_M!$B$1:$BZ$1,0),FALSE),"")</f>
        <v/>
      </c>
      <c r="AW26" t="str">
        <f>IF(ISNUMBER(VLOOKUP($A26,Haver_M!$B$1:$BZ$300,MATCH(data!AW$1,Haver_M!$B$1:$BZ$1,0),FALSE)),VLOOKUP($A26,Haver_M!$B$1:$BZ$300,MATCH(data!AW$1,Haver_M!$B$1:$BZ$1,0),FALSE),"")</f>
        <v/>
      </c>
      <c r="AX26" t="str">
        <f>IF(ISNUMBER(VLOOKUP($A26,Haver_M!$B$1:$BZ$300,MATCH(data!AX$1,Haver_M!$B$1:$BZ$1,0),FALSE)),VLOOKUP($A26,Haver_M!$B$1:$BZ$300,MATCH(data!AX$1,Haver_M!$B$1:$BZ$1,0),FALSE),"")</f>
        <v/>
      </c>
      <c r="AY26" t="str">
        <f>IF(ISNUMBER(VLOOKUP($A26,Haver_M!$B$1:$BZ$300,MATCH(data!AY$1,Haver_M!$B$1:$BZ$1,0),FALSE)),VLOOKUP($A26,Haver_M!$B$1:$BZ$300,MATCH(data!AY$1,Haver_M!$B$1:$BZ$1,0),FALSE),"")</f>
        <v/>
      </c>
      <c r="AZ26" t="str">
        <f>IF(ISNUMBER(VLOOKUP($A26,Haver_M!$B$1:$BZ$300,MATCH(data!AZ$1,Haver_M!$B$1:$BZ$1,0),FALSE)),VLOOKUP($A26,Haver_M!$B$1:$BZ$300,MATCH(data!AZ$1,Haver_M!$B$1:$BZ$1,0),FALSE),"")</f>
        <v/>
      </c>
      <c r="BA26" t="str">
        <f>IF(ISNUMBER(VLOOKUP($A26,Haver_M!$B$1:$BZ$300,MATCH(data!BA$1,Haver_M!$B$1:$BZ$1,0),FALSE)),VLOOKUP($A26,Haver_M!$B$1:$BZ$300,MATCH(data!BA$1,Haver_M!$B$1:$BZ$1,0),FALSE),"")</f>
        <v/>
      </c>
      <c r="BB26" t="str">
        <f>IF(ISNUMBER(VLOOKUP($A26,Haver_M!$B$1:$BZ$300,MATCH(data!BB$1,Haver_M!$B$1:$BZ$1,0),FALSE)),VLOOKUP($A26,Haver_M!$B$1:$BZ$300,MATCH(data!BB$1,Haver_M!$B$1:$BZ$1,0),FALSE),"")</f>
        <v/>
      </c>
      <c r="BC26" t="str">
        <f>IF(ISNUMBER(VLOOKUP($A26,Haver_M!$B$1:$BZ$300,MATCH(data!BC$1,Haver_M!$B$1:$BZ$1,0),FALSE)),VLOOKUP($A26,Haver_M!$B$1:$BZ$300,MATCH(data!BC$1,Haver_M!$B$1:$BZ$1,0),FALSE),"")</f>
        <v/>
      </c>
      <c r="BD26" t="str">
        <f>IF(ISNUMBER(VLOOKUP($A26,Haver_M!$B$1:$BZ$300,MATCH(data!BD$1,Haver_M!$B$1:$BZ$1,0),FALSE)),VLOOKUP($A26,Haver_M!$B$1:$BZ$300,MATCH(data!BD$1,Haver_M!$B$1:$BZ$1,0),FALSE),"")</f>
        <v/>
      </c>
      <c r="BE26" t="str">
        <f>IF(ISNUMBER(VLOOKUP($A26,Haver_M!$B$1:$BZ$300,MATCH(data!BE$1,Haver_M!$B$1:$BZ$1,0),FALSE)),VLOOKUP($A26,Haver_M!$B$1:$BZ$300,MATCH(data!BE$1,Haver_M!$B$1:$BZ$1,0),FALSE),"")</f>
        <v/>
      </c>
      <c r="BF26" t="str">
        <f>IF(ISNUMBER(VLOOKUP($A26,Haver_M!$B$1:$BZ$300,MATCH(data!BF$1,Haver_M!$B$1:$BZ$1,0),FALSE)),VLOOKUP($A26,Haver_M!$B$1:$BZ$300,MATCH(data!BF$1,Haver_M!$B$1:$BZ$1,0),FALSE),"")</f>
        <v/>
      </c>
      <c r="BG26" t="str">
        <f>IF(ISNUMBER(VLOOKUP($A26,Haver_M!$B$1:$BZ$300,MATCH(data!BG$1,Haver_M!$B$1:$BZ$1,0),FALSE)),VLOOKUP($A26,Haver_M!$B$1:$BZ$300,MATCH(data!BG$1,Haver_M!$B$1:$BZ$1,0),FALSE),"")</f>
        <v/>
      </c>
      <c r="BH26" t="str">
        <f>IF(ISNUMBER(VLOOKUP($A26,Haver_M!$B$1:$BZ$300,MATCH(data!BH$1,Haver_M!$B$1:$BZ$1,0),FALSE)),VLOOKUP($A26,Haver_M!$B$1:$BZ$300,MATCH(data!BH$1,Haver_M!$B$1:$BZ$1,0),FALSE),"")</f>
        <v/>
      </c>
      <c r="BI26" t="str">
        <f>IF(ISNUMBER(VLOOKUP($A26,Haver_M!$B$1:$BZ$300,MATCH(data!BI$1,Haver_M!$B$1:$BZ$1,0),FALSE)),VLOOKUP($A26,Haver_M!$B$1:$BZ$300,MATCH(data!BI$1,Haver_M!$B$1:$BZ$1,0),FALSE),"")</f>
        <v/>
      </c>
      <c r="BJ26" t="str">
        <f>IF(ISNUMBER(VLOOKUP($A26,Haver_M!$B$1:$BZ$300,MATCH(data!BJ$1,Haver_M!$B$1:$BZ$1,0),FALSE)),VLOOKUP($A26,Haver_M!$B$1:$BZ$300,MATCH(data!BJ$1,Haver_M!$B$1:$BZ$1,0),FALSE),"")</f>
        <v/>
      </c>
      <c r="BK26" t="str">
        <f>IF(ISNUMBER(VLOOKUP($A26,Haver_M!$B$1:$BZ$300,MATCH(data!BK$1,Haver_M!$B$1:$BZ$1,0),FALSE)),VLOOKUP($A26,Haver_M!$B$1:$BZ$300,MATCH(data!BK$1,Haver_M!$B$1:$BZ$1,0),FALSE),"")</f>
        <v/>
      </c>
      <c r="BL26">
        <f>IF(ISNUMBER(VLOOKUP($A26,Haver_M!$B$1:$BZ$300,MATCH(data!BL$1,Haver_M!$B$1:$BZ$1,0),FALSE)),VLOOKUP($A26,Haver_M!$B$1:$BZ$300,MATCH(data!BL$1,Haver_M!$B$1:$BZ$1,0),FALSE),"")</f>
        <v>3353.31</v>
      </c>
      <c r="BM26">
        <f>IF(ISNUMBER(VLOOKUP($A26,Haver_M!$B$1:$BZ$300,MATCH(data!BM$1,Haver_M!$B$1:$BZ$1,0),FALSE)),VLOOKUP($A26,Haver_M!$B$1:$BZ$300,MATCH(data!BM$1,Haver_M!$B$1:$BZ$1,0),FALSE),"")</f>
        <v>93.477944669999999</v>
      </c>
      <c r="BN26" t="str">
        <f>IF(ISNUMBER(VLOOKUP($A26,Haver_M!$B$1:$BZ$300,MATCH(data!BN$1,Haver_M!$B$1:$BZ$1,0),FALSE)),VLOOKUP($A26,Haver_M!$B$1:$BZ$300,MATCH(data!BN$1,Haver_M!$B$1:$BZ$1,0),FALSE),"")</f>
        <v/>
      </c>
      <c r="BO26" t="str">
        <f>IF(ISNUMBER(VLOOKUP($A26,Haver_M!$B$1:$BZ$300,MATCH(data!BO$1,Haver_M!$B$1:$BZ$1,0),FALSE)),VLOOKUP($A26,Haver_M!$B$1:$BZ$300,MATCH(data!BO$1,Haver_M!$B$1:$BZ$1,0),FALSE),"")</f>
        <v/>
      </c>
      <c r="BP26" t="str">
        <f>IF(ISNUMBER(VLOOKUP($A26,Haver_M!$B$1:$BZ$300,MATCH(data!BP$1,Haver_M!$B$1:$BZ$1,0),FALSE)),VLOOKUP($A26,Haver_M!$B$1:$BZ$300,MATCH(data!BP$1,Haver_M!$B$1:$BZ$1,0),FALSE),"")</f>
        <v/>
      </c>
      <c r="BQ26" t="str">
        <f>IF(ISNUMBER(VLOOKUP($A26,Haver_M!$B$1:$BZ$300,MATCH(data!BQ$1,Haver_M!$B$1:$BZ$1,0),FALSE)),VLOOKUP($A26,Haver_M!$B$1:$BZ$300,MATCH(data!BQ$1,Haver_M!$B$1:$BZ$1,0),FALSE),"")</f>
        <v/>
      </c>
      <c r="BR26" t="str">
        <f>IF(ISNUMBER(VLOOKUP($A26,Haver_M!$B$1:$BZ$300,MATCH(data!BR$1,Haver_M!$B$1:$BZ$1,0),FALSE)),VLOOKUP($A26,Haver_M!$B$1:$BZ$300,MATCH(data!BR$1,Haver_M!$B$1:$BZ$1,0),FALSE),"")</f>
        <v/>
      </c>
      <c r="BS26" t="str">
        <f>IF(ISNUMBER(VLOOKUP($A26,Haver_M!$B$1:$BZ$300,MATCH(data!BS$1,Haver_M!$B$1:$BZ$1,0),FALSE)),VLOOKUP($A26,Haver_M!$B$1:$BZ$300,MATCH(data!BS$1,Haver_M!$B$1:$BZ$1,0),FALSE),"")</f>
        <v/>
      </c>
      <c r="BT26" t="str">
        <f>IF(ISNUMBER(VLOOKUP($A26,Haver_M!$B$1:$BZ$300,MATCH(data!BT$1,Haver_M!$B$1:$BZ$1,0),FALSE)),VLOOKUP($A26,Haver_M!$B$1:$BZ$300,MATCH(data!BT$1,Haver_M!$B$1:$BZ$1,0),FALSE),"")</f>
        <v/>
      </c>
      <c r="BU26">
        <f>IF(ISNUMBER(VLOOKUP($A26,Haver_M!$B$1:$BZ$300,MATCH(data!BU$1,Haver_M!$B$1:$BZ$1,0),FALSE)),VLOOKUP($A26,Haver_M!$B$1:$BZ$300,MATCH(data!BU$1,Haver_M!$B$1:$BZ$1,0),FALSE),"")</f>
        <v>4253</v>
      </c>
      <c r="BV26">
        <f>IF(ISNUMBER(VLOOKUP($A26,Haver_M!$B$1:$BZ$300,MATCH(data!BV$1,Haver_M!$B$1:$BZ$1,0),FALSE)),VLOOKUP($A26,Haver_M!$B$1:$BZ$300,MATCH(data!BV$1,Haver_M!$B$1:$BZ$1,0),FALSE),"")</f>
        <v>4243</v>
      </c>
      <c r="BW26">
        <f>IF(ISNUMBER(VLOOKUP($A26,Haver_M!$B$1:$BZ$300,MATCH(data!BW$1,Haver_M!$B$1:$BZ$1,0),FALSE)),VLOOKUP($A26,Haver_M!$B$1:$BZ$300,MATCH(data!BW$1,Haver_M!$B$1:$BZ$1,0),FALSE),"")</f>
        <v>48.328699999999998</v>
      </c>
      <c r="BX26">
        <f>IF(ISNUMBER(VLOOKUP($A26,Haver_M!$B$1:$BZ$300,MATCH(data!BX$1,Haver_M!$B$1:$BZ$1,0),FALSE)),VLOOKUP($A26,Haver_M!$B$1:$BZ$300,MATCH(data!BX$1,Haver_M!$B$1:$BZ$1,0),FALSE),"")</f>
        <v>56426</v>
      </c>
    </row>
    <row r="27" spans="1:76" x14ac:dyDescent="0.25">
      <c r="A27" s="2">
        <v>37315</v>
      </c>
      <c r="B27" t="str">
        <f>IF(ISNUMBER(VLOOKUP($A27,Haver_Q!$B$1:$L$185,MATCH(data!B$1,Haver_Q!$B$1:$L$1,0),FALSE)),100*(VLOOKUP($A27,Haver_Q!$B$1:$L$185,MATCH(data!B$1,Haver_Q!$B$1:$L$1,0),FALSE)),"")</f>
        <v/>
      </c>
      <c r="C27" t="str">
        <f>IF(ISNUMBER(VLOOKUP($A27,Haver_Q!$B$1:$L$185,MATCH(data!C$1,Haver_Q!$B$1:$L$1,0),FALSE)),100*(VLOOKUP($A27,Haver_Q!$B$1:$L$185,MATCH(data!C$1,Haver_Q!$B$1:$L$1,0),FALSE)),"")</f>
        <v/>
      </c>
      <c r="D27" t="str">
        <f>IF(ISNUMBER(VLOOKUP($A27,Haver_Q!$B$1:$L$185,MATCH(data!D$1,Haver_Q!$B$1:$L$1,0),FALSE)),100*(VLOOKUP($A27,Haver_Q!$B$1:$L$185,MATCH(data!D$1,Haver_Q!$B$1:$L$1,0),FALSE)),"")</f>
        <v/>
      </c>
      <c r="E27" t="str">
        <f>IF(ISNUMBER(VLOOKUP($A27,Haver_Q!$B$1:$L$185,MATCH(data!E$1,Haver_Q!$B$1:$L$1,0),FALSE)),100*(VLOOKUP($A27,Haver_Q!$B$1:$L$185,MATCH(data!E$1,Haver_Q!$B$1:$L$1,0),FALSE)),"")</f>
        <v/>
      </c>
      <c r="F27" t="str">
        <f>IF(ISNUMBER(VLOOKUP($A27,Haver_Q!$B$1:$L$185,MATCH(data!F$1,Haver_Q!$B$1:$L$1,0),FALSE)),100*(VLOOKUP($A27,Haver_Q!$B$1:$L$185,MATCH(data!F$1,Haver_Q!$B$1:$L$1,0),FALSE)),"")</f>
        <v/>
      </c>
      <c r="G27" t="str">
        <f>IF(ISNUMBER(VLOOKUP($A27,Haver_Q!$B$1:$L$185,MATCH(data!G$1,Haver_Q!$B$1:$L$1,0),FALSE)),100*(VLOOKUP($A27,Haver_Q!$B$1:$L$185,MATCH(data!G$1,Haver_Q!$B$1:$L$1,0),FALSE)),"")</f>
        <v/>
      </c>
      <c r="H27" t="str">
        <f>IF(ISNUMBER(VLOOKUP($A27,Haver_Q!$B$1:$L$185,MATCH(data!H$1,Haver_Q!$B$1:$L$1,0),FALSE)),(VLOOKUP($A27,Haver_Q!$B$1:$L$185,MATCH(data!H$1,Haver_Q!$B$1:$L$1,0),FALSE)),"")</f>
        <v/>
      </c>
      <c r="I27" t="str">
        <f>IF(ISNUMBER(VLOOKUP($A27,Haver_Q!$B$1:$L$185,MATCH(data!I$1,Haver_Q!$B$1:$L$1,0),FALSE)),100*(VLOOKUP($A27,Haver_Q!$B$1:$L$185,MATCH(data!I$1,Haver_Q!$B$1:$L$1,0),FALSE)),"")</f>
        <v/>
      </c>
      <c r="J27" s="3">
        <f>IF(ISNUMBER(Bloomberg_m!C43),Bloomberg_m!C43,"")</f>
        <v>960</v>
      </c>
      <c r="K27" s="3" t="str">
        <f>IF(ISNUMBER(Bloomberg_m!D43),Bloomberg_m!D43,"")</f>
        <v/>
      </c>
      <c r="L27" s="3" t="str">
        <f>IF(ISNUMBER(Bloomberg_m!E43),Bloomberg_m!E43,"")</f>
        <v/>
      </c>
      <c r="M27" s="3" t="str">
        <f>IF(ISNUMBER(Bloomberg_m!F43),Bloomberg_m!F43,"")</f>
        <v/>
      </c>
      <c r="N27">
        <f>IF(ISNUMBER(VLOOKUP($A27,Haver_M!$B$1:$BZ$300,MATCH(data!N$1,Haver_M!$B$1:$BZ$1,0),FALSE)),VLOOKUP($A27,Haver_M!$B$1:$BZ$300,MATCH(data!N$1,Haver_M!$B$1:$BZ$1,0),FALSE),"")</f>
        <v>8.5</v>
      </c>
      <c r="O27">
        <f>IF(ISNUMBER(VLOOKUP($A27,Haver_M!$B$1:$BZ$300,MATCH(data!O$1,Haver_M!$B$1:$BZ$1,0),FALSE)),VLOOKUP($A27,Haver_M!$B$1:$BZ$300,MATCH(data!O$1,Haver_M!$B$1:$BZ$1,0),FALSE),"")</f>
        <v>7.4725000000000001</v>
      </c>
      <c r="P27">
        <f>IF(ISNUMBER(VLOOKUP($A27,Haver_M!$B$1:$BZ$300,MATCH(data!P$1,Haver_M!$B$1:$BZ$1,0),FALSE)),VLOOKUP($A27,Haver_M!$B$1:$BZ$300,MATCH(data!P$1,Haver_M!$B$1:$BZ$1,0),FALSE),"")</f>
        <v>98.150469999999999</v>
      </c>
      <c r="Q27">
        <f>IF(ISNUMBER(VLOOKUP($A27,Haver_M!$B$1:$BZ$300,MATCH(data!Q$1,Haver_M!$B$1:$BZ$1,0),FALSE)),VLOOKUP($A27,Haver_M!$B$1:$BZ$300,MATCH(data!Q$1,Haver_M!$B$1:$BZ$1,0),FALSE),"")</f>
        <v>49.4</v>
      </c>
      <c r="R27" t="str">
        <f>IF(ISNUMBER(VLOOKUP($A27,Haver_M!$B$1:$BZ$300,MATCH(data!R$1,Haver_M!$B$1:$BZ$1,0),FALSE)),VLOOKUP($A27,Haver_M!$B$1:$BZ$300,MATCH(data!R$1,Haver_M!$B$1:$BZ$1,0),FALSE),"")</f>
        <v/>
      </c>
      <c r="S27">
        <f>IF(ISNUMBER(VLOOKUP($A27,Haver_M!$B$1:$BZ$300,MATCH(data!S$1,Haver_M!$B$1:$BZ$1,0),FALSE)),VLOOKUP($A27,Haver_M!$B$1:$BZ$300,MATCH(data!S$1,Haver_M!$B$1:$BZ$1,0),FALSE),"")</f>
        <v>48.46</v>
      </c>
      <c r="T27">
        <f>IF(ISNUMBER(VLOOKUP($A27,Haver_M!$B$1:$BZ$300,MATCH(data!T$1,Haver_M!$B$1:$BZ$1,0),FALSE)),VLOOKUP($A27,Haver_M!$B$1:$BZ$300,MATCH(data!T$1,Haver_M!$B$1:$BZ$1,0),FALSE),"")</f>
        <v>57.37</v>
      </c>
      <c r="U27">
        <f>IF(ISNUMBER(VLOOKUP($A27,Haver_M!$B$1:$BZ$300,MATCH(data!U$1,Haver_M!$B$1:$BZ$1,0),FALSE)),VLOOKUP($A27,Haver_M!$B$1:$BZ$300,MATCH(data!U$1,Haver_M!$B$1:$BZ$1,0),FALSE),"")</f>
        <v>26.9</v>
      </c>
      <c r="V27">
        <f>IF(ISNUMBER(VLOOKUP($A27,Haver_M!$B$1:$BZ$300,MATCH(data!V$1,Haver_M!$B$1:$BZ$1,0),FALSE)),VLOOKUP($A27,Haver_M!$B$1:$BZ$300,MATCH(data!V$1,Haver_M!$B$1:$BZ$1,0),FALSE),"")</f>
        <v>59.81</v>
      </c>
      <c r="W27" t="str">
        <f>IF(ISNUMBER(VLOOKUP($A27,Haver_M!$B$1:$BZ$300,MATCH(data!W$1,Haver_M!$B$1:$BZ$1,0),FALSE)),VLOOKUP($A27,Haver_M!$B$1:$BZ$300,MATCH(data!W$1,Haver_M!$B$1:$BZ$1,0),FALSE),"")</f>
        <v/>
      </c>
      <c r="X27">
        <f>IF(ISNUMBER(VLOOKUP($A27,Haver_M!$B$1:$BZ$300,MATCH(data!X$1,Haver_M!$B$1:$BZ$1,0),FALSE)),VLOOKUP($A27,Haver_M!$B$1:$BZ$300,MATCH(data!X$1,Haver_M!$B$1:$BZ$1,0),FALSE),"")</f>
        <v>28.53</v>
      </c>
      <c r="Y27">
        <f>IF(ISNUMBER(VLOOKUP($A27,Haver_M!$B$1:$BZ$300,MATCH(data!Y$1,Haver_M!$B$1:$BZ$1,0),FALSE)),VLOOKUP($A27,Haver_M!$B$1:$BZ$300,MATCH(data!Y$1,Haver_M!$B$1:$BZ$1,0),FALSE),"")</f>
        <v>51.58</v>
      </c>
      <c r="Z27" t="str">
        <f>IF(ISNUMBER(VLOOKUP($A27,Haver_M!$B$1:$BZ$300,MATCH(data!Z$1,Haver_M!$B$1:$BZ$1,0),FALSE)),VLOOKUP($A27,Haver_M!$B$1:$BZ$300,MATCH(data!Z$1,Haver_M!$B$1:$BZ$1,0),FALSE),"")</f>
        <v/>
      </c>
      <c r="AA27" t="str">
        <f>IF(ISNUMBER(VLOOKUP($A27,Haver_M!$B$1:$BZ$300,MATCH(data!AA$1,Haver_M!$B$1:$BZ$1,0),FALSE)),VLOOKUP($A27,Haver_M!$B$1:$BZ$300,MATCH(data!AA$1,Haver_M!$B$1:$BZ$1,0),FALSE),"")</f>
        <v/>
      </c>
      <c r="AB27" t="str">
        <f>IF(ISNUMBER(VLOOKUP($A27,Haver_M!$B$1:$BZ$300,MATCH(data!AB$1,Haver_M!$B$1:$BZ$1,0),FALSE)),VLOOKUP($A27,Haver_M!$B$1:$BZ$300,MATCH(data!AB$1,Haver_M!$B$1:$BZ$1,0),FALSE),"")</f>
        <v/>
      </c>
      <c r="AC27" t="str">
        <f>IF(ISNUMBER(VLOOKUP($A27,Haver_M!$B$1:$BZ$300,MATCH(data!AC$1,Haver_M!$B$1:$BZ$1,0),FALSE)),VLOOKUP($A27,Haver_M!$B$1:$BZ$300,MATCH(data!AC$1,Haver_M!$B$1:$BZ$1,0),FALSE),"")</f>
        <v/>
      </c>
      <c r="AD27" t="str">
        <f>IF(ISNUMBER(VLOOKUP($A27,Haver_M!$B$1:$BZ$300,MATCH(data!AD$1,Haver_M!$B$1:$BZ$1,0),FALSE)),VLOOKUP($A27,Haver_M!$B$1:$BZ$300,MATCH(data!AD$1,Haver_M!$B$1:$BZ$1,0),FALSE),"")</f>
        <v/>
      </c>
      <c r="AE27" t="str">
        <f>IF(ISNUMBER(VLOOKUP($A27,Haver_M!$B$1:$BZ$300,MATCH(data!AE$1,Haver_M!$B$1:$BZ$1,0),FALSE)),VLOOKUP($A27,Haver_M!$B$1:$BZ$300,MATCH(data!AE$1,Haver_M!$B$1:$BZ$1,0),FALSE),"")</f>
        <v/>
      </c>
      <c r="AF27" t="str">
        <f>IF(ISNUMBER(VLOOKUP($A27,Haver_M!$B$1:$BZ$300,MATCH(data!AF$1,Haver_M!$B$1:$BZ$1,0),FALSE)),VLOOKUP($A27,Haver_M!$B$1:$BZ$300,MATCH(data!AF$1,Haver_M!$B$1:$BZ$1,0),FALSE),"")</f>
        <v/>
      </c>
      <c r="AG27" t="str">
        <f>IF(ISNUMBER(VLOOKUP($A27,Haver_M!$B$1:$BZ$300,MATCH(data!AG$1,Haver_M!$B$1:$BZ$1,0),FALSE)),VLOOKUP($A27,Haver_M!$B$1:$BZ$300,MATCH(data!AG$1,Haver_M!$B$1:$BZ$1,0),FALSE),"")</f>
        <v/>
      </c>
      <c r="AH27" t="str">
        <f>IF(ISNUMBER(VLOOKUP($A27,Haver_M!$B$1:$BZ$300,MATCH(data!AH$1,Haver_M!$B$1:$BZ$1,0),FALSE)),VLOOKUP($A27,Haver_M!$B$1:$BZ$300,MATCH(data!AH$1,Haver_M!$B$1:$BZ$1,0),FALSE),"")</f>
        <v/>
      </c>
      <c r="AI27">
        <f>IF(ISNUMBER(VLOOKUP($A27,Haver_M!$B$1:$BZ$300,MATCH(data!AI$1,Haver_M!$B$1:$BZ$1,0),FALSE)),VLOOKUP($A27,Haver_M!$B$1:$BZ$300,MATCH(data!AI$1,Haver_M!$B$1:$BZ$1,0),FALSE),"")</f>
        <v>8216.0009282805313</v>
      </c>
      <c r="AJ27">
        <f>IF(ISNUMBER(VLOOKUP($A27,Haver_M!$B$1:$BZ$300,MATCH(data!AJ$1,Haver_M!$B$1:$BZ$1,0),FALSE)),VLOOKUP($A27,Haver_M!$B$1:$BZ$300,MATCH(data!AJ$1,Haver_M!$B$1:$BZ$1,0),FALSE),"")</f>
        <v>3569.87</v>
      </c>
      <c r="AK27">
        <f>IF(ISNUMBER(VLOOKUP($A27,Haver_M!$B$1:$BZ$300,MATCH(data!AK$1,Haver_M!$B$1:$BZ$1,0),FALSE)),VLOOKUP($A27,Haver_M!$B$1:$BZ$300,MATCH(data!AK$1,Haver_M!$B$1:$BZ$1,0),FALSE),"")</f>
        <v>4104.46</v>
      </c>
      <c r="AL27" t="str">
        <f>IF(ISNUMBER(VLOOKUP($A27,Haver_M!$B$1:$BZ$300,MATCH(data!AL$1,Haver_M!$B$1:$BZ$1,0),FALSE)),VLOOKUP($A27,Haver_M!$B$1:$BZ$300,MATCH(data!AL$1,Haver_M!$B$1:$BZ$1,0),FALSE),"")</f>
        <v/>
      </c>
      <c r="AM27" t="str">
        <f>IF(ISNUMBER(VLOOKUP($A27,Haver_M!$B$1:$BZ$300,MATCH(data!AM$1,Haver_M!$B$1:$BZ$1,0),FALSE)),VLOOKUP($A27,Haver_M!$B$1:$BZ$300,MATCH(data!AM$1,Haver_M!$B$1:$BZ$1,0),FALSE),"")</f>
        <v/>
      </c>
      <c r="AN27" t="str">
        <f>IF(ISNUMBER(VLOOKUP($A27,Haver_M!$B$1:$BZ$300,MATCH(data!AN$1,Haver_M!$B$1:$BZ$1,0),FALSE)),VLOOKUP($A27,Haver_M!$B$1:$BZ$300,MATCH(data!AN$1,Haver_M!$B$1:$BZ$1,0),FALSE),"")</f>
        <v/>
      </c>
      <c r="AO27" t="str">
        <f>IF(ISNUMBER(VLOOKUP($A27,Haver_M!$B$1:$BZ$300,MATCH(data!AO$1,Haver_M!$B$1:$BZ$1,0),FALSE)),VLOOKUP($A27,Haver_M!$B$1:$BZ$300,MATCH(data!AO$1,Haver_M!$B$1:$BZ$1,0),FALSE),"")</f>
        <v/>
      </c>
      <c r="AP27">
        <f>IF(ISNUMBER(VLOOKUP($A27,Haver_M!$B$1:$BZ$300,MATCH(data!AP$1,Haver_M!$B$1:$BZ$1,0),FALSE)),VLOOKUP($A27,Haver_M!$B$1:$BZ$300,MATCH(data!AP$1,Haver_M!$B$1:$BZ$1,0),FALSE),"")</f>
        <v>103.68668168719469</v>
      </c>
      <c r="AQ27" t="str">
        <f>IF(ISNUMBER(VLOOKUP($A27,Haver_M!$B$1:$BZ$300,MATCH(data!AQ$1,Haver_M!$B$1:$BZ$1,0),FALSE)),VLOOKUP($A27,Haver_M!$B$1:$BZ$300,MATCH(data!AQ$1,Haver_M!$B$1:$BZ$1,0),FALSE),"")</f>
        <v/>
      </c>
      <c r="AR27" t="str">
        <f>IF(ISNUMBER(VLOOKUP($A27,Haver_M!$B$1:$BZ$300,MATCH(data!AR$1,Haver_M!$B$1:$BZ$1,0),FALSE)),VLOOKUP($A27,Haver_M!$B$1:$BZ$300,MATCH(data!AR$1,Haver_M!$B$1:$BZ$1,0),FALSE),"")</f>
        <v/>
      </c>
      <c r="AS27" t="str">
        <f>IF(ISNUMBER(VLOOKUP($A27,Haver_M!$B$1:$BZ$300,MATCH(data!AS$1,Haver_M!$B$1:$BZ$1,0),FALSE)),VLOOKUP($A27,Haver_M!$B$1:$BZ$300,MATCH(data!AS$1,Haver_M!$B$1:$BZ$1,0),FALSE),"")</f>
        <v/>
      </c>
      <c r="AT27" t="str">
        <f>IF(ISNUMBER(VLOOKUP($A27,Haver_M!$B$1:$BZ$300,MATCH(data!AT$1,Haver_M!$B$1:$BZ$1,0),FALSE)),VLOOKUP($A27,Haver_M!$B$1:$BZ$300,MATCH(data!AT$1,Haver_M!$B$1:$BZ$1,0),FALSE),"")</f>
        <v/>
      </c>
      <c r="AU27" t="str">
        <f>IF(ISNUMBER(VLOOKUP($A27,Haver_M!$B$1:$BZ$300,MATCH(data!AU$1,Haver_M!$B$1:$BZ$1,0),FALSE)),VLOOKUP($A27,Haver_M!$B$1:$BZ$300,MATCH(data!AU$1,Haver_M!$B$1:$BZ$1,0),FALSE),"")</f>
        <v/>
      </c>
      <c r="AV27" t="str">
        <f>IF(ISNUMBER(VLOOKUP($A27,Haver_M!$B$1:$BZ$300,MATCH(data!AV$1,Haver_M!$B$1:$BZ$1,0),FALSE)),VLOOKUP($A27,Haver_M!$B$1:$BZ$300,MATCH(data!AV$1,Haver_M!$B$1:$BZ$1,0),FALSE),"")</f>
        <v/>
      </c>
      <c r="AW27" t="str">
        <f>IF(ISNUMBER(VLOOKUP($A27,Haver_M!$B$1:$BZ$300,MATCH(data!AW$1,Haver_M!$B$1:$BZ$1,0),FALSE)),VLOOKUP($A27,Haver_M!$B$1:$BZ$300,MATCH(data!AW$1,Haver_M!$B$1:$BZ$1,0),FALSE),"")</f>
        <v/>
      </c>
      <c r="AX27" t="str">
        <f>IF(ISNUMBER(VLOOKUP($A27,Haver_M!$B$1:$BZ$300,MATCH(data!AX$1,Haver_M!$B$1:$BZ$1,0),FALSE)),VLOOKUP($A27,Haver_M!$B$1:$BZ$300,MATCH(data!AX$1,Haver_M!$B$1:$BZ$1,0),FALSE),"")</f>
        <v/>
      </c>
      <c r="AY27" t="str">
        <f>IF(ISNUMBER(VLOOKUP($A27,Haver_M!$B$1:$BZ$300,MATCH(data!AY$1,Haver_M!$B$1:$BZ$1,0),FALSE)),VLOOKUP($A27,Haver_M!$B$1:$BZ$300,MATCH(data!AY$1,Haver_M!$B$1:$BZ$1,0),FALSE),"")</f>
        <v/>
      </c>
      <c r="AZ27" t="str">
        <f>IF(ISNUMBER(VLOOKUP($A27,Haver_M!$B$1:$BZ$300,MATCH(data!AZ$1,Haver_M!$B$1:$BZ$1,0),FALSE)),VLOOKUP($A27,Haver_M!$B$1:$BZ$300,MATCH(data!AZ$1,Haver_M!$B$1:$BZ$1,0),FALSE),"")</f>
        <v/>
      </c>
      <c r="BA27" t="str">
        <f>IF(ISNUMBER(VLOOKUP($A27,Haver_M!$B$1:$BZ$300,MATCH(data!BA$1,Haver_M!$B$1:$BZ$1,0),FALSE)),VLOOKUP($A27,Haver_M!$B$1:$BZ$300,MATCH(data!BA$1,Haver_M!$B$1:$BZ$1,0),FALSE),"")</f>
        <v/>
      </c>
      <c r="BB27" t="str">
        <f>IF(ISNUMBER(VLOOKUP($A27,Haver_M!$B$1:$BZ$300,MATCH(data!BB$1,Haver_M!$B$1:$BZ$1,0),FALSE)),VLOOKUP($A27,Haver_M!$B$1:$BZ$300,MATCH(data!BB$1,Haver_M!$B$1:$BZ$1,0),FALSE),"")</f>
        <v/>
      </c>
      <c r="BC27" t="str">
        <f>IF(ISNUMBER(VLOOKUP($A27,Haver_M!$B$1:$BZ$300,MATCH(data!BC$1,Haver_M!$B$1:$BZ$1,0),FALSE)),VLOOKUP($A27,Haver_M!$B$1:$BZ$300,MATCH(data!BC$1,Haver_M!$B$1:$BZ$1,0),FALSE),"")</f>
        <v/>
      </c>
      <c r="BD27" t="str">
        <f>IF(ISNUMBER(VLOOKUP($A27,Haver_M!$B$1:$BZ$300,MATCH(data!BD$1,Haver_M!$B$1:$BZ$1,0),FALSE)),VLOOKUP($A27,Haver_M!$B$1:$BZ$300,MATCH(data!BD$1,Haver_M!$B$1:$BZ$1,0),FALSE),"")</f>
        <v/>
      </c>
      <c r="BE27" t="str">
        <f>IF(ISNUMBER(VLOOKUP($A27,Haver_M!$B$1:$BZ$300,MATCH(data!BE$1,Haver_M!$B$1:$BZ$1,0),FALSE)),VLOOKUP($A27,Haver_M!$B$1:$BZ$300,MATCH(data!BE$1,Haver_M!$B$1:$BZ$1,0),FALSE),"")</f>
        <v/>
      </c>
      <c r="BF27" t="str">
        <f>IF(ISNUMBER(VLOOKUP($A27,Haver_M!$B$1:$BZ$300,MATCH(data!BF$1,Haver_M!$B$1:$BZ$1,0),FALSE)),VLOOKUP($A27,Haver_M!$B$1:$BZ$300,MATCH(data!BF$1,Haver_M!$B$1:$BZ$1,0),FALSE),"")</f>
        <v/>
      </c>
      <c r="BG27" t="str">
        <f>IF(ISNUMBER(VLOOKUP($A27,Haver_M!$B$1:$BZ$300,MATCH(data!BG$1,Haver_M!$B$1:$BZ$1,0),FALSE)),VLOOKUP($A27,Haver_M!$B$1:$BZ$300,MATCH(data!BG$1,Haver_M!$B$1:$BZ$1,0),FALSE),"")</f>
        <v/>
      </c>
      <c r="BH27" t="str">
        <f>IF(ISNUMBER(VLOOKUP($A27,Haver_M!$B$1:$BZ$300,MATCH(data!BH$1,Haver_M!$B$1:$BZ$1,0),FALSE)),VLOOKUP($A27,Haver_M!$B$1:$BZ$300,MATCH(data!BH$1,Haver_M!$B$1:$BZ$1,0),FALSE),"")</f>
        <v/>
      </c>
      <c r="BI27" t="str">
        <f>IF(ISNUMBER(VLOOKUP($A27,Haver_M!$B$1:$BZ$300,MATCH(data!BI$1,Haver_M!$B$1:$BZ$1,0),FALSE)),VLOOKUP($A27,Haver_M!$B$1:$BZ$300,MATCH(data!BI$1,Haver_M!$B$1:$BZ$1,0),FALSE),"")</f>
        <v/>
      </c>
      <c r="BJ27" t="str">
        <f>IF(ISNUMBER(VLOOKUP($A27,Haver_M!$B$1:$BZ$300,MATCH(data!BJ$1,Haver_M!$B$1:$BZ$1,0),FALSE)),VLOOKUP($A27,Haver_M!$B$1:$BZ$300,MATCH(data!BJ$1,Haver_M!$B$1:$BZ$1,0),FALSE),"")</f>
        <v/>
      </c>
      <c r="BK27" t="str">
        <f>IF(ISNUMBER(VLOOKUP($A27,Haver_M!$B$1:$BZ$300,MATCH(data!BK$1,Haver_M!$B$1:$BZ$1,0),FALSE)),VLOOKUP($A27,Haver_M!$B$1:$BZ$300,MATCH(data!BK$1,Haver_M!$B$1:$BZ$1,0),FALSE),"")</f>
        <v/>
      </c>
      <c r="BL27">
        <f>IF(ISNUMBER(VLOOKUP($A27,Haver_M!$B$1:$BZ$300,MATCH(data!BL$1,Haver_M!$B$1:$BZ$1,0),FALSE)),VLOOKUP($A27,Haver_M!$B$1:$BZ$300,MATCH(data!BL$1,Haver_M!$B$1:$BZ$1,0),FALSE),"")</f>
        <v>3528.58</v>
      </c>
      <c r="BM27">
        <f>IF(ISNUMBER(VLOOKUP($A27,Haver_M!$B$1:$BZ$300,MATCH(data!BM$1,Haver_M!$B$1:$BZ$1,0),FALSE)),VLOOKUP($A27,Haver_M!$B$1:$BZ$300,MATCH(data!BM$1,Haver_M!$B$1:$BZ$1,0),FALSE),"")</f>
        <v>93.88530025</v>
      </c>
      <c r="BN27" t="str">
        <f>IF(ISNUMBER(VLOOKUP($A27,Haver_M!$B$1:$BZ$300,MATCH(data!BN$1,Haver_M!$B$1:$BZ$1,0),FALSE)),VLOOKUP($A27,Haver_M!$B$1:$BZ$300,MATCH(data!BN$1,Haver_M!$B$1:$BZ$1,0),FALSE),"")</f>
        <v/>
      </c>
      <c r="BO27" t="str">
        <f>IF(ISNUMBER(VLOOKUP($A27,Haver_M!$B$1:$BZ$300,MATCH(data!BO$1,Haver_M!$B$1:$BZ$1,0),FALSE)),VLOOKUP($A27,Haver_M!$B$1:$BZ$300,MATCH(data!BO$1,Haver_M!$B$1:$BZ$1,0),FALSE),"")</f>
        <v/>
      </c>
      <c r="BP27" t="str">
        <f>IF(ISNUMBER(VLOOKUP($A27,Haver_M!$B$1:$BZ$300,MATCH(data!BP$1,Haver_M!$B$1:$BZ$1,0),FALSE)),VLOOKUP($A27,Haver_M!$B$1:$BZ$300,MATCH(data!BP$1,Haver_M!$B$1:$BZ$1,0),FALSE),"")</f>
        <v/>
      </c>
      <c r="BQ27" t="str">
        <f>IF(ISNUMBER(VLOOKUP($A27,Haver_M!$B$1:$BZ$300,MATCH(data!BQ$1,Haver_M!$B$1:$BZ$1,0),FALSE)),VLOOKUP($A27,Haver_M!$B$1:$BZ$300,MATCH(data!BQ$1,Haver_M!$B$1:$BZ$1,0),FALSE),"")</f>
        <v/>
      </c>
      <c r="BR27" t="str">
        <f>IF(ISNUMBER(VLOOKUP($A27,Haver_M!$B$1:$BZ$300,MATCH(data!BR$1,Haver_M!$B$1:$BZ$1,0),FALSE)),VLOOKUP($A27,Haver_M!$B$1:$BZ$300,MATCH(data!BR$1,Haver_M!$B$1:$BZ$1,0),FALSE),"")</f>
        <v/>
      </c>
      <c r="BS27" t="str">
        <f>IF(ISNUMBER(VLOOKUP($A27,Haver_M!$B$1:$BZ$300,MATCH(data!BS$1,Haver_M!$B$1:$BZ$1,0),FALSE)),VLOOKUP($A27,Haver_M!$B$1:$BZ$300,MATCH(data!BS$1,Haver_M!$B$1:$BZ$1,0),FALSE),"")</f>
        <v/>
      </c>
      <c r="BT27" t="str">
        <f>IF(ISNUMBER(VLOOKUP($A27,Haver_M!$B$1:$BZ$300,MATCH(data!BT$1,Haver_M!$B$1:$BZ$1,0),FALSE)),VLOOKUP($A27,Haver_M!$B$1:$BZ$300,MATCH(data!BT$1,Haver_M!$B$1:$BZ$1,0),FALSE),"")</f>
        <v/>
      </c>
      <c r="BU27">
        <f>IF(ISNUMBER(VLOOKUP($A27,Haver_M!$B$1:$BZ$300,MATCH(data!BU$1,Haver_M!$B$1:$BZ$1,0),FALSE)),VLOOKUP($A27,Haver_M!$B$1:$BZ$300,MATCH(data!BU$1,Haver_M!$B$1:$BZ$1,0),FALSE),"")</f>
        <v>3535</v>
      </c>
      <c r="BV27">
        <f>IF(ISNUMBER(VLOOKUP($A27,Haver_M!$B$1:$BZ$300,MATCH(data!BV$1,Haver_M!$B$1:$BZ$1,0),FALSE)),VLOOKUP($A27,Haver_M!$B$1:$BZ$300,MATCH(data!BV$1,Haver_M!$B$1:$BZ$1,0),FALSE),"")</f>
        <v>3759</v>
      </c>
      <c r="BW27">
        <f>IF(ISNUMBER(VLOOKUP($A27,Haver_M!$B$1:$BZ$300,MATCH(data!BW$1,Haver_M!$B$1:$BZ$1,0),FALSE)),VLOOKUP($A27,Haver_M!$B$1:$BZ$300,MATCH(data!BW$1,Haver_M!$B$1:$BZ$1,0),FALSE),"")</f>
        <v>48.689300000000003</v>
      </c>
      <c r="BX27">
        <f>IF(ISNUMBER(VLOOKUP($A27,Haver_M!$B$1:$BZ$300,MATCH(data!BX$1,Haver_M!$B$1:$BZ$1,0),FALSE)),VLOOKUP($A27,Haver_M!$B$1:$BZ$300,MATCH(data!BX$1,Haver_M!$B$1:$BZ$1,0),FALSE),"")</f>
        <v>54524</v>
      </c>
    </row>
    <row r="28" spans="1:76" x14ac:dyDescent="0.25">
      <c r="A28" s="2">
        <v>37346</v>
      </c>
      <c r="B28">
        <f>IF(ISNUMBER(VLOOKUP($A28,Haver_Q!$B$1:$L$185,MATCH(data!B$1,Haver_Q!$B$1:$L$1,0),FALSE)),100*(VLOOKUP($A28,Haver_Q!$B$1:$L$185,MATCH(data!B$1,Haver_Q!$B$1:$L$1,0),FALSE)),"")</f>
        <v>0.90161958770564876</v>
      </c>
      <c r="C28">
        <f>IF(ISNUMBER(VLOOKUP($A28,Haver_Q!$B$1:$L$185,MATCH(data!C$1,Haver_Q!$B$1:$L$1,0),FALSE)),100*(VLOOKUP($A28,Haver_Q!$B$1:$L$185,MATCH(data!C$1,Haver_Q!$B$1:$L$1,0),FALSE)),"")</f>
        <v>1.2663961350600772</v>
      </c>
      <c r="D28">
        <f>IF(ISNUMBER(VLOOKUP($A28,Haver_Q!$B$1:$L$185,MATCH(data!D$1,Haver_Q!$B$1:$L$1,0),FALSE)),100*(VLOOKUP($A28,Haver_Q!$B$1:$L$185,MATCH(data!D$1,Haver_Q!$B$1:$L$1,0),FALSE)),"")</f>
        <v>-17.575370055726157</v>
      </c>
      <c r="E28">
        <f>IF(ISNUMBER(VLOOKUP($A28,Haver_Q!$B$1:$L$185,MATCH(data!E$1,Haver_Q!$B$1:$L$1,0),FALSE)),100*(VLOOKUP($A28,Haver_Q!$B$1:$L$185,MATCH(data!E$1,Haver_Q!$B$1:$L$1,0),FALSE)),"")</f>
        <v>7.0197837148045172</v>
      </c>
      <c r="F28">
        <f>IF(ISNUMBER(VLOOKUP($A28,Haver_Q!$B$1:$L$185,MATCH(data!F$1,Haver_Q!$B$1:$L$1,0),FALSE)),100*(VLOOKUP($A28,Haver_Q!$B$1:$L$185,MATCH(data!F$1,Haver_Q!$B$1:$L$1,0),FALSE)),"")</f>
        <v>26.209661453732245</v>
      </c>
      <c r="G28">
        <f>IF(ISNUMBER(VLOOKUP($A28,Haver_Q!$B$1:$L$185,MATCH(data!G$1,Haver_Q!$B$1:$L$1,0),FALSE)),100*(VLOOKUP($A28,Haver_Q!$B$1:$L$185,MATCH(data!G$1,Haver_Q!$B$1:$L$1,0),FALSE)),"")</f>
        <v>6.2915773051510859</v>
      </c>
      <c r="H28">
        <f>IF(ISNUMBER(VLOOKUP($A28,Haver_Q!$B$1:$L$185,MATCH(data!H$1,Haver_Q!$B$1:$L$1,0),FALSE)),(VLOOKUP($A28,Haver_Q!$B$1:$L$185,MATCH(data!H$1,Haver_Q!$B$1:$L$1,0),FALSE)),"")</f>
        <v>3.3692313686919055</v>
      </c>
      <c r="I28">
        <f>IF(ISNUMBER(VLOOKUP($A28,Haver_Q!$B$1:$L$185,MATCH(data!I$1,Haver_Q!$B$1:$L$1,0),FALSE)),100*(VLOOKUP($A28,Haver_Q!$B$1:$L$185,MATCH(data!I$1,Haver_Q!$B$1:$L$1,0),FALSE)),"")</f>
        <v>6.1150812556243883</v>
      </c>
      <c r="J28" s="3">
        <f>IF(ISNUMBER(Bloomberg_m!C44),Bloomberg_m!C44,"")</f>
        <v>1065</v>
      </c>
      <c r="K28" s="3" t="str">
        <f>IF(ISNUMBER(Bloomberg_m!D44),Bloomberg_m!D44,"")</f>
        <v/>
      </c>
      <c r="L28" s="3" t="str">
        <f>IF(ISNUMBER(Bloomberg_m!E44),Bloomberg_m!E44,"")</f>
        <v/>
      </c>
      <c r="M28" s="3" t="str">
        <f>IF(ISNUMBER(Bloomberg_m!F44),Bloomberg_m!F44,"")</f>
        <v/>
      </c>
      <c r="N28">
        <f>IF(ISNUMBER(VLOOKUP($A28,Haver_M!$B$1:$BZ$300,MATCH(data!N$1,Haver_M!$B$1:$BZ$1,0),FALSE)),VLOOKUP($A28,Haver_M!$B$1:$BZ$300,MATCH(data!N$1,Haver_M!$B$1:$BZ$1,0),FALSE),"")</f>
        <v>8</v>
      </c>
      <c r="O28">
        <f>IF(ISNUMBER(VLOOKUP($A28,Haver_M!$B$1:$BZ$300,MATCH(data!O$1,Haver_M!$B$1:$BZ$1,0),FALSE)),VLOOKUP($A28,Haver_M!$B$1:$BZ$300,MATCH(data!O$1,Haver_M!$B$1:$BZ$1,0),FALSE),"")</f>
        <v>7.3437000000000001</v>
      </c>
      <c r="P28">
        <f>IF(ISNUMBER(VLOOKUP($A28,Haver_M!$B$1:$BZ$300,MATCH(data!P$1,Haver_M!$B$1:$BZ$1,0),FALSE)),VLOOKUP($A28,Haver_M!$B$1:$BZ$300,MATCH(data!P$1,Haver_M!$B$1:$BZ$1,0),FALSE),"")</f>
        <v>97.707819999999998</v>
      </c>
      <c r="Q28">
        <f>IF(ISNUMBER(VLOOKUP($A28,Haver_M!$B$1:$BZ$300,MATCH(data!Q$1,Haver_M!$B$1:$BZ$1,0),FALSE)),VLOOKUP($A28,Haver_M!$B$1:$BZ$300,MATCH(data!Q$1,Haver_M!$B$1:$BZ$1,0),FALSE),"")</f>
        <v>49.8</v>
      </c>
      <c r="R28" t="str">
        <f>IF(ISNUMBER(VLOOKUP($A28,Haver_M!$B$1:$BZ$300,MATCH(data!R$1,Haver_M!$B$1:$BZ$1,0),FALSE)),VLOOKUP($A28,Haver_M!$B$1:$BZ$300,MATCH(data!R$1,Haver_M!$B$1:$BZ$1,0),FALSE),"")</f>
        <v/>
      </c>
      <c r="S28">
        <f>IF(ISNUMBER(VLOOKUP($A28,Haver_M!$B$1:$BZ$300,MATCH(data!S$1,Haver_M!$B$1:$BZ$1,0),FALSE)),VLOOKUP($A28,Haver_M!$B$1:$BZ$300,MATCH(data!S$1,Haver_M!$B$1:$BZ$1,0),FALSE),"")</f>
        <v>48.59</v>
      </c>
      <c r="T28">
        <f>IF(ISNUMBER(VLOOKUP($A28,Haver_M!$B$1:$BZ$300,MATCH(data!T$1,Haver_M!$B$1:$BZ$1,0),FALSE)),VLOOKUP($A28,Haver_M!$B$1:$BZ$300,MATCH(data!T$1,Haver_M!$B$1:$BZ$1,0),FALSE),"")</f>
        <v>57.44</v>
      </c>
      <c r="U28">
        <f>IF(ISNUMBER(VLOOKUP($A28,Haver_M!$B$1:$BZ$300,MATCH(data!U$1,Haver_M!$B$1:$BZ$1,0),FALSE)),VLOOKUP($A28,Haver_M!$B$1:$BZ$300,MATCH(data!U$1,Haver_M!$B$1:$BZ$1,0),FALSE),"")</f>
        <v>27.22</v>
      </c>
      <c r="V28">
        <f>IF(ISNUMBER(VLOOKUP($A28,Haver_M!$B$1:$BZ$300,MATCH(data!V$1,Haver_M!$B$1:$BZ$1,0),FALSE)),VLOOKUP($A28,Haver_M!$B$1:$BZ$300,MATCH(data!V$1,Haver_M!$B$1:$BZ$1,0),FALSE),"")</f>
        <v>58.66</v>
      </c>
      <c r="W28" t="str">
        <f>IF(ISNUMBER(VLOOKUP($A28,Haver_M!$B$1:$BZ$300,MATCH(data!W$1,Haver_M!$B$1:$BZ$1,0),FALSE)),VLOOKUP($A28,Haver_M!$B$1:$BZ$300,MATCH(data!W$1,Haver_M!$B$1:$BZ$1,0),FALSE),"")</f>
        <v/>
      </c>
      <c r="X28">
        <f>IF(ISNUMBER(VLOOKUP($A28,Haver_M!$B$1:$BZ$300,MATCH(data!X$1,Haver_M!$B$1:$BZ$1,0),FALSE)),VLOOKUP($A28,Haver_M!$B$1:$BZ$300,MATCH(data!X$1,Haver_M!$B$1:$BZ$1,0),FALSE),"")</f>
        <v>28.32</v>
      </c>
      <c r="Y28">
        <f>IF(ISNUMBER(VLOOKUP($A28,Haver_M!$B$1:$BZ$300,MATCH(data!Y$1,Haver_M!$B$1:$BZ$1,0),FALSE)),VLOOKUP($A28,Haver_M!$B$1:$BZ$300,MATCH(data!Y$1,Haver_M!$B$1:$BZ$1,0),FALSE),"")</f>
        <v>52.87</v>
      </c>
      <c r="Z28" t="str">
        <f>IF(ISNUMBER(VLOOKUP($A28,Haver_M!$B$1:$BZ$300,MATCH(data!Z$1,Haver_M!$B$1:$BZ$1,0),FALSE)),VLOOKUP($A28,Haver_M!$B$1:$BZ$300,MATCH(data!Z$1,Haver_M!$B$1:$BZ$1,0),FALSE),"")</f>
        <v/>
      </c>
      <c r="AA28" t="str">
        <f>IF(ISNUMBER(VLOOKUP($A28,Haver_M!$B$1:$BZ$300,MATCH(data!AA$1,Haver_M!$B$1:$BZ$1,0),FALSE)),VLOOKUP($A28,Haver_M!$B$1:$BZ$300,MATCH(data!AA$1,Haver_M!$B$1:$BZ$1,0),FALSE),"")</f>
        <v/>
      </c>
      <c r="AB28" t="str">
        <f>IF(ISNUMBER(VLOOKUP($A28,Haver_M!$B$1:$BZ$300,MATCH(data!AB$1,Haver_M!$B$1:$BZ$1,0),FALSE)),VLOOKUP($A28,Haver_M!$B$1:$BZ$300,MATCH(data!AB$1,Haver_M!$B$1:$BZ$1,0),FALSE),"")</f>
        <v/>
      </c>
      <c r="AC28" t="str">
        <f>IF(ISNUMBER(VLOOKUP($A28,Haver_M!$B$1:$BZ$300,MATCH(data!AC$1,Haver_M!$B$1:$BZ$1,0),FALSE)),VLOOKUP($A28,Haver_M!$B$1:$BZ$300,MATCH(data!AC$1,Haver_M!$B$1:$BZ$1,0),FALSE),"")</f>
        <v/>
      </c>
      <c r="AD28" t="str">
        <f>IF(ISNUMBER(VLOOKUP($A28,Haver_M!$B$1:$BZ$300,MATCH(data!AD$1,Haver_M!$B$1:$BZ$1,0),FALSE)),VLOOKUP($A28,Haver_M!$B$1:$BZ$300,MATCH(data!AD$1,Haver_M!$B$1:$BZ$1,0),FALSE),"")</f>
        <v/>
      </c>
      <c r="AE28" t="str">
        <f>IF(ISNUMBER(VLOOKUP($A28,Haver_M!$B$1:$BZ$300,MATCH(data!AE$1,Haver_M!$B$1:$BZ$1,0),FALSE)),VLOOKUP($A28,Haver_M!$B$1:$BZ$300,MATCH(data!AE$1,Haver_M!$B$1:$BZ$1,0),FALSE),"")</f>
        <v/>
      </c>
      <c r="AF28" t="str">
        <f>IF(ISNUMBER(VLOOKUP($A28,Haver_M!$B$1:$BZ$300,MATCH(data!AF$1,Haver_M!$B$1:$BZ$1,0),FALSE)),VLOOKUP($A28,Haver_M!$B$1:$BZ$300,MATCH(data!AF$1,Haver_M!$B$1:$BZ$1,0),FALSE),"")</f>
        <v/>
      </c>
      <c r="AG28" t="str">
        <f>IF(ISNUMBER(VLOOKUP($A28,Haver_M!$B$1:$BZ$300,MATCH(data!AG$1,Haver_M!$B$1:$BZ$1,0),FALSE)),VLOOKUP($A28,Haver_M!$B$1:$BZ$300,MATCH(data!AG$1,Haver_M!$B$1:$BZ$1,0),FALSE),"")</f>
        <v/>
      </c>
      <c r="AH28" t="str">
        <f>IF(ISNUMBER(VLOOKUP($A28,Haver_M!$B$1:$BZ$300,MATCH(data!AH$1,Haver_M!$B$1:$BZ$1,0),FALSE)),VLOOKUP($A28,Haver_M!$B$1:$BZ$300,MATCH(data!AH$1,Haver_M!$B$1:$BZ$1,0),FALSE),"")</f>
        <v/>
      </c>
      <c r="AI28">
        <f>IF(ISNUMBER(VLOOKUP($A28,Haver_M!$B$1:$BZ$300,MATCH(data!AI$1,Haver_M!$B$1:$BZ$1,0),FALSE)),VLOOKUP($A28,Haver_M!$B$1:$BZ$300,MATCH(data!AI$1,Haver_M!$B$1:$BZ$1,0),FALSE),"")</f>
        <v>8430.5678366380944</v>
      </c>
      <c r="AJ28">
        <f>IF(ISNUMBER(VLOOKUP($A28,Haver_M!$B$1:$BZ$300,MATCH(data!AJ$1,Haver_M!$B$1:$BZ$1,0),FALSE)),VLOOKUP($A28,Haver_M!$B$1:$BZ$300,MATCH(data!AJ$1,Haver_M!$B$1:$BZ$1,0),FALSE),"")</f>
        <v>3548.09</v>
      </c>
      <c r="AK28">
        <f>IF(ISNUMBER(VLOOKUP($A28,Haver_M!$B$1:$BZ$300,MATCH(data!AK$1,Haver_M!$B$1:$BZ$1,0),FALSE)),VLOOKUP($A28,Haver_M!$B$1:$BZ$300,MATCH(data!AK$1,Haver_M!$B$1:$BZ$1,0),FALSE),"")</f>
        <v>4129.8</v>
      </c>
      <c r="AL28" t="str">
        <f>IF(ISNUMBER(VLOOKUP($A28,Haver_M!$B$1:$BZ$300,MATCH(data!AL$1,Haver_M!$B$1:$BZ$1,0),FALSE)),VLOOKUP($A28,Haver_M!$B$1:$BZ$300,MATCH(data!AL$1,Haver_M!$B$1:$BZ$1,0),FALSE),"")</f>
        <v/>
      </c>
      <c r="AM28" t="str">
        <f>IF(ISNUMBER(VLOOKUP($A28,Haver_M!$B$1:$BZ$300,MATCH(data!AM$1,Haver_M!$B$1:$BZ$1,0),FALSE)),VLOOKUP($A28,Haver_M!$B$1:$BZ$300,MATCH(data!AM$1,Haver_M!$B$1:$BZ$1,0),FALSE),"")</f>
        <v/>
      </c>
      <c r="AN28" t="str">
        <f>IF(ISNUMBER(VLOOKUP($A28,Haver_M!$B$1:$BZ$300,MATCH(data!AN$1,Haver_M!$B$1:$BZ$1,0),FALSE)),VLOOKUP($A28,Haver_M!$B$1:$BZ$300,MATCH(data!AN$1,Haver_M!$B$1:$BZ$1,0),FALSE),"")</f>
        <v/>
      </c>
      <c r="AO28" t="str">
        <f>IF(ISNUMBER(VLOOKUP($A28,Haver_M!$B$1:$BZ$300,MATCH(data!AO$1,Haver_M!$B$1:$BZ$1,0),FALSE)),VLOOKUP($A28,Haver_M!$B$1:$BZ$300,MATCH(data!AO$1,Haver_M!$B$1:$BZ$1,0),FALSE),"")</f>
        <v/>
      </c>
      <c r="AP28">
        <f>IF(ISNUMBER(VLOOKUP($A28,Haver_M!$B$1:$BZ$300,MATCH(data!AP$1,Haver_M!$B$1:$BZ$1,0),FALSE)),VLOOKUP($A28,Haver_M!$B$1:$BZ$300,MATCH(data!AP$1,Haver_M!$B$1:$BZ$1,0),FALSE),"")</f>
        <v>75.32064643678865</v>
      </c>
      <c r="AQ28" t="str">
        <f>IF(ISNUMBER(VLOOKUP($A28,Haver_M!$B$1:$BZ$300,MATCH(data!AQ$1,Haver_M!$B$1:$BZ$1,0),FALSE)),VLOOKUP($A28,Haver_M!$B$1:$BZ$300,MATCH(data!AQ$1,Haver_M!$B$1:$BZ$1,0),FALSE),"")</f>
        <v/>
      </c>
      <c r="AR28" t="str">
        <f>IF(ISNUMBER(VLOOKUP($A28,Haver_M!$B$1:$BZ$300,MATCH(data!AR$1,Haver_M!$B$1:$BZ$1,0),FALSE)),VLOOKUP($A28,Haver_M!$B$1:$BZ$300,MATCH(data!AR$1,Haver_M!$B$1:$BZ$1,0),FALSE),"")</f>
        <v/>
      </c>
      <c r="AS28" t="str">
        <f>IF(ISNUMBER(VLOOKUP($A28,Haver_M!$B$1:$BZ$300,MATCH(data!AS$1,Haver_M!$B$1:$BZ$1,0),FALSE)),VLOOKUP($A28,Haver_M!$B$1:$BZ$300,MATCH(data!AS$1,Haver_M!$B$1:$BZ$1,0),FALSE),"")</f>
        <v/>
      </c>
      <c r="AT28" t="str">
        <f>IF(ISNUMBER(VLOOKUP($A28,Haver_M!$B$1:$BZ$300,MATCH(data!AT$1,Haver_M!$B$1:$BZ$1,0),FALSE)),VLOOKUP($A28,Haver_M!$B$1:$BZ$300,MATCH(data!AT$1,Haver_M!$B$1:$BZ$1,0),FALSE),"")</f>
        <v/>
      </c>
      <c r="AU28" t="str">
        <f>IF(ISNUMBER(VLOOKUP($A28,Haver_M!$B$1:$BZ$300,MATCH(data!AU$1,Haver_M!$B$1:$BZ$1,0),FALSE)),VLOOKUP($A28,Haver_M!$B$1:$BZ$300,MATCH(data!AU$1,Haver_M!$B$1:$BZ$1,0),FALSE),"")</f>
        <v/>
      </c>
      <c r="AV28" t="str">
        <f>IF(ISNUMBER(VLOOKUP($A28,Haver_M!$B$1:$BZ$300,MATCH(data!AV$1,Haver_M!$B$1:$BZ$1,0),FALSE)),VLOOKUP($A28,Haver_M!$B$1:$BZ$300,MATCH(data!AV$1,Haver_M!$B$1:$BZ$1,0),FALSE),"")</f>
        <v/>
      </c>
      <c r="AW28" t="str">
        <f>IF(ISNUMBER(VLOOKUP($A28,Haver_M!$B$1:$BZ$300,MATCH(data!AW$1,Haver_M!$B$1:$BZ$1,0),FALSE)),VLOOKUP($A28,Haver_M!$B$1:$BZ$300,MATCH(data!AW$1,Haver_M!$B$1:$BZ$1,0),FALSE),"")</f>
        <v/>
      </c>
      <c r="AX28" t="str">
        <f>IF(ISNUMBER(VLOOKUP($A28,Haver_M!$B$1:$BZ$300,MATCH(data!AX$1,Haver_M!$B$1:$BZ$1,0),FALSE)),VLOOKUP($A28,Haver_M!$B$1:$BZ$300,MATCH(data!AX$1,Haver_M!$B$1:$BZ$1,0),FALSE),"")</f>
        <v/>
      </c>
      <c r="AY28" t="str">
        <f>IF(ISNUMBER(VLOOKUP($A28,Haver_M!$B$1:$BZ$300,MATCH(data!AY$1,Haver_M!$B$1:$BZ$1,0),FALSE)),VLOOKUP($A28,Haver_M!$B$1:$BZ$300,MATCH(data!AY$1,Haver_M!$B$1:$BZ$1,0),FALSE),"")</f>
        <v/>
      </c>
      <c r="AZ28" t="str">
        <f>IF(ISNUMBER(VLOOKUP($A28,Haver_M!$B$1:$BZ$300,MATCH(data!AZ$1,Haver_M!$B$1:$BZ$1,0),FALSE)),VLOOKUP($A28,Haver_M!$B$1:$BZ$300,MATCH(data!AZ$1,Haver_M!$B$1:$BZ$1,0),FALSE),"")</f>
        <v/>
      </c>
      <c r="BA28" t="str">
        <f>IF(ISNUMBER(VLOOKUP($A28,Haver_M!$B$1:$BZ$300,MATCH(data!BA$1,Haver_M!$B$1:$BZ$1,0),FALSE)),VLOOKUP($A28,Haver_M!$B$1:$BZ$300,MATCH(data!BA$1,Haver_M!$B$1:$BZ$1,0),FALSE),"")</f>
        <v/>
      </c>
      <c r="BB28" t="str">
        <f>IF(ISNUMBER(VLOOKUP($A28,Haver_M!$B$1:$BZ$300,MATCH(data!BB$1,Haver_M!$B$1:$BZ$1,0),FALSE)),VLOOKUP($A28,Haver_M!$B$1:$BZ$300,MATCH(data!BB$1,Haver_M!$B$1:$BZ$1,0),FALSE),"")</f>
        <v/>
      </c>
      <c r="BC28" t="str">
        <f>IF(ISNUMBER(VLOOKUP($A28,Haver_M!$B$1:$BZ$300,MATCH(data!BC$1,Haver_M!$B$1:$BZ$1,0),FALSE)),VLOOKUP($A28,Haver_M!$B$1:$BZ$300,MATCH(data!BC$1,Haver_M!$B$1:$BZ$1,0),FALSE),"")</f>
        <v/>
      </c>
      <c r="BD28" t="str">
        <f>IF(ISNUMBER(VLOOKUP($A28,Haver_M!$B$1:$BZ$300,MATCH(data!BD$1,Haver_M!$B$1:$BZ$1,0),FALSE)),VLOOKUP($A28,Haver_M!$B$1:$BZ$300,MATCH(data!BD$1,Haver_M!$B$1:$BZ$1,0),FALSE),"")</f>
        <v/>
      </c>
      <c r="BE28" t="str">
        <f>IF(ISNUMBER(VLOOKUP($A28,Haver_M!$B$1:$BZ$300,MATCH(data!BE$1,Haver_M!$B$1:$BZ$1,0),FALSE)),VLOOKUP($A28,Haver_M!$B$1:$BZ$300,MATCH(data!BE$1,Haver_M!$B$1:$BZ$1,0),FALSE),"")</f>
        <v/>
      </c>
      <c r="BF28" t="str">
        <f>IF(ISNUMBER(VLOOKUP($A28,Haver_M!$B$1:$BZ$300,MATCH(data!BF$1,Haver_M!$B$1:$BZ$1,0),FALSE)),VLOOKUP($A28,Haver_M!$B$1:$BZ$300,MATCH(data!BF$1,Haver_M!$B$1:$BZ$1,0),FALSE),"")</f>
        <v/>
      </c>
      <c r="BG28" t="str">
        <f>IF(ISNUMBER(VLOOKUP($A28,Haver_M!$B$1:$BZ$300,MATCH(data!BG$1,Haver_M!$B$1:$BZ$1,0),FALSE)),VLOOKUP($A28,Haver_M!$B$1:$BZ$300,MATCH(data!BG$1,Haver_M!$B$1:$BZ$1,0),FALSE),"")</f>
        <v/>
      </c>
      <c r="BH28" t="str">
        <f>IF(ISNUMBER(VLOOKUP($A28,Haver_M!$B$1:$BZ$300,MATCH(data!BH$1,Haver_M!$B$1:$BZ$1,0),FALSE)),VLOOKUP($A28,Haver_M!$B$1:$BZ$300,MATCH(data!BH$1,Haver_M!$B$1:$BZ$1,0),FALSE),"")</f>
        <v/>
      </c>
      <c r="BI28" t="str">
        <f>IF(ISNUMBER(VLOOKUP($A28,Haver_M!$B$1:$BZ$300,MATCH(data!BI$1,Haver_M!$B$1:$BZ$1,0),FALSE)),VLOOKUP($A28,Haver_M!$B$1:$BZ$300,MATCH(data!BI$1,Haver_M!$B$1:$BZ$1,0),FALSE),"")</f>
        <v/>
      </c>
      <c r="BJ28" t="str">
        <f>IF(ISNUMBER(VLOOKUP($A28,Haver_M!$B$1:$BZ$300,MATCH(data!BJ$1,Haver_M!$B$1:$BZ$1,0),FALSE)),VLOOKUP($A28,Haver_M!$B$1:$BZ$300,MATCH(data!BJ$1,Haver_M!$B$1:$BZ$1,0),FALSE),"")</f>
        <v/>
      </c>
      <c r="BK28" t="str">
        <f>IF(ISNUMBER(VLOOKUP($A28,Haver_M!$B$1:$BZ$300,MATCH(data!BK$1,Haver_M!$B$1:$BZ$1,0),FALSE)),VLOOKUP($A28,Haver_M!$B$1:$BZ$300,MATCH(data!BK$1,Haver_M!$B$1:$BZ$1,0),FALSE),"")</f>
        <v/>
      </c>
      <c r="BL28">
        <f>IF(ISNUMBER(VLOOKUP($A28,Haver_M!$B$1:$BZ$300,MATCH(data!BL$1,Haver_M!$B$1:$BZ$1,0),FALSE)),VLOOKUP($A28,Haver_M!$B$1:$BZ$300,MATCH(data!BL$1,Haver_M!$B$1:$BZ$1,0),FALSE),"")</f>
        <v>3580.73</v>
      </c>
      <c r="BM28">
        <f>IF(ISNUMBER(VLOOKUP($A28,Haver_M!$B$1:$BZ$300,MATCH(data!BM$1,Haver_M!$B$1:$BZ$1,0),FALSE)),VLOOKUP($A28,Haver_M!$B$1:$BZ$300,MATCH(data!BM$1,Haver_M!$B$1:$BZ$1,0),FALSE),"")</f>
        <v>94.096980810000005</v>
      </c>
      <c r="BN28">
        <f>IF(ISNUMBER(VLOOKUP($A28,Haver_M!$B$1:$BZ$300,MATCH(data!BN$1,Haver_M!$B$1:$BZ$1,0),FALSE)),VLOOKUP($A28,Haver_M!$B$1:$BZ$300,MATCH(data!BN$1,Haver_M!$B$1:$BZ$1,0),FALSE),"")</f>
        <v>108.4</v>
      </c>
      <c r="BO28">
        <f>IF(ISNUMBER(VLOOKUP($A28,Haver_M!$B$1:$BZ$300,MATCH(data!BO$1,Haver_M!$B$1:$BZ$1,0),FALSE)),VLOOKUP($A28,Haver_M!$B$1:$BZ$300,MATCH(data!BO$1,Haver_M!$B$1:$BZ$1,0),FALSE),"")</f>
        <v>105.3</v>
      </c>
      <c r="BP28">
        <f>IF(ISNUMBER(VLOOKUP($A28,Haver_M!$B$1:$BZ$300,MATCH(data!BP$1,Haver_M!$B$1:$BZ$1,0),FALSE)),VLOOKUP($A28,Haver_M!$B$1:$BZ$300,MATCH(data!BP$1,Haver_M!$B$1:$BZ$1,0),FALSE),"")</f>
        <v>28.5</v>
      </c>
      <c r="BQ28" t="str">
        <f>IF(ISNUMBER(VLOOKUP($A28,Haver_M!$B$1:$BZ$300,MATCH(data!BQ$1,Haver_M!$B$1:$BZ$1,0),FALSE)),VLOOKUP($A28,Haver_M!$B$1:$BZ$300,MATCH(data!BQ$1,Haver_M!$B$1:$BZ$1,0),FALSE),"")</f>
        <v/>
      </c>
      <c r="BR28" t="str">
        <f>IF(ISNUMBER(VLOOKUP($A28,Haver_M!$B$1:$BZ$300,MATCH(data!BR$1,Haver_M!$B$1:$BZ$1,0),FALSE)),VLOOKUP($A28,Haver_M!$B$1:$BZ$300,MATCH(data!BR$1,Haver_M!$B$1:$BZ$1,0),FALSE),"")</f>
        <v/>
      </c>
      <c r="BS28" t="str">
        <f>IF(ISNUMBER(VLOOKUP($A28,Haver_M!$B$1:$BZ$300,MATCH(data!BS$1,Haver_M!$B$1:$BZ$1,0),FALSE)),VLOOKUP($A28,Haver_M!$B$1:$BZ$300,MATCH(data!BS$1,Haver_M!$B$1:$BZ$1,0),FALSE),"")</f>
        <v/>
      </c>
      <c r="BT28" t="str">
        <f>IF(ISNUMBER(VLOOKUP($A28,Haver_M!$B$1:$BZ$300,MATCH(data!BT$1,Haver_M!$B$1:$BZ$1,0),FALSE)),VLOOKUP($A28,Haver_M!$B$1:$BZ$300,MATCH(data!BT$1,Haver_M!$B$1:$BZ$1,0),FALSE),"")</f>
        <v/>
      </c>
      <c r="BU28">
        <f>IF(ISNUMBER(VLOOKUP($A28,Haver_M!$B$1:$BZ$300,MATCH(data!BU$1,Haver_M!$B$1:$BZ$1,0),FALSE)),VLOOKUP($A28,Haver_M!$B$1:$BZ$300,MATCH(data!BU$1,Haver_M!$B$1:$BZ$1,0),FALSE),"")</f>
        <v>4141</v>
      </c>
      <c r="BV28">
        <f>IF(ISNUMBER(VLOOKUP($A28,Haver_M!$B$1:$BZ$300,MATCH(data!BV$1,Haver_M!$B$1:$BZ$1,0),FALSE)),VLOOKUP($A28,Haver_M!$B$1:$BZ$300,MATCH(data!BV$1,Haver_M!$B$1:$BZ$1,0),FALSE),"")</f>
        <v>4433</v>
      </c>
      <c r="BW28">
        <f>IF(ISNUMBER(VLOOKUP($A28,Haver_M!$B$1:$BZ$300,MATCH(data!BW$1,Haver_M!$B$1:$BZ$1,0),FALSE)),VLOOKUP($A28,Haver_M!$B$1:$BZ$300,MATCH(data!BW$1,Haver_M!$B$1:$BZ$1,0),FALSE),"")</f>
        <v>48.737099999999998</v>
      </c>
      <c r="BX28">
        <f>IF(ISNUMBER(VLOOKUP($A28,Haver_M!$B$1:$BZ$300,MATCH(data!BX$1,Haver_M!$B$1:$BZ$1,0),FALSE)),VLOOKUP($A28,Haver_M!$B$1:$BZ$300,MATCH(data!BX$1,Haver_M!$B$1:$BZ$1,0),FALSE),"")</f>
        <v>51023</v>
      </c>
    </row>
    <row r="29" spans="1:76" x14ac:dyDescent="0.25">
      <c r="A29" s="2">
        <v>37376</v>
      </c>
      <c r="B29" t="str">
        <f>IF(ISNUMBER(VLOOKUP($A29,Haver_Q!$B$1:$L$185,MATCH(data!B$1,Haver_Q!$B$1:$L$1,0),FALSE)),100*(VLOOKUP($A29,Haver_Q!$B$1:$L$185,MATCH(data!B$1,Haver_Q!$B$1:$L$1,0),FALSE)),"")</f>
        <v/>
      </c>
      <c r="C29" t="str">
        <f>IF(ISNUMBER(VLOOKUP($A29,Haver_Q!$B$1:$L$185,MATCH(data!C$1,Haver_Q!$B$1:$L$1,0),FALSE)),100*(VLOOKUP($A29,Haver_Q!$B$1:$L$185,MATCH(data!C$1,Haver_Q!$B$1:$L$1,0),FALSE)),"")</f>
        <v/>
      </c>
      <c r="D29" t="str">
        <f>IF(ISNUMBER(VLOOKUP($A29,Haver_Q!$B$1:$L$185,MATCH(data!D$1,Haver_Q!$B$1:$L$1,0),FALSE)),100*(VLOOKUP($A29,Haver_Q!$B$1:$L$185,MATCH(data!D$1,Haver_Q!$B$1:$L$1,0),FALSE)),"")</f>
        <v/>
      </c>
      <c r="E29" t="str">
        <f>IF(ISNUMBER(VLOOKUP($A29,Haver_Q!$B$1:$L$185,MATCH(data!E$1,Haver_Q!$B$1:$L$1,0),FALSE)),100*(VLOOKUP($A29,Haver_Q!$B$1:$L$185,MATCH(data!E$1,Haver_Q!$B$1:$L$1,0),FALSE)),"")</f>
        <v/>
      </c>
      <c r="F29" t="str">
        <f>IF(ISNUMBER(VLOOKUP($A29,Haver_Q!$B$1:$L$185,MATCH(data!F$1,Haver_Q!$B$1:$L$1,0),FALSE)),100*(VLOOKUP($A29,Haver_Q!$B$1:$L$185,MATCH(data!F$1,Haver_Q!$B$1:$L$1,0),FALSE)),"")</f>
        <v/>
      </c>
      <c r="G29" t="str">
        <f>IF(ISNUMBER(VLOOKUP($A29,Haver_Q!$B$1:$L$185,MATCH(data!G$1,Haver_Q!$B$1:$L$1,0),FALSE)),100*(VLOOKUP($A29,Haver_Q!$B$1:$L$185,MATCH(data!G$1,Haver_Q!$B$1:$L$1,0),FALSE)),"")</f>
        <v/>
      </c>
      <c r="H29" t="str">
        <f>IF(ISNUMBER(VLOOKUP($A29,Haver_Q!$B$1:$L$185,MATCH(data!H$1,Haver_Q!$B$1:$L$1,0),FALSE)),(VLOOKUP($A29,Haver_Q!$B$1:$L$185,MATCH(data!H$1,Haver_Q!$B$1:$L$1,0),FALSE)),"")</f>
        <v/>
      </c>
      <c r="I29" t="str">
        <f>IF(ISNUMBER(VLOOKUP($A29,Haver_Q!$B$1:$L$185,MATCH(data!I$1,Haver_Q!$B$1:$L$1,0),FALSE)),100*(VLOOKUP($A29,Haver_Q!$B$1:$L$185,MATCH(data!I$1,Haver_Q!$B$1:$L$1,0),FALSE)),"")</f>
        <v/>
      </c>
      <c r="J29" s="3">
        <f>IF(ISNUMBER(Bloomberg_m!C45),Bloomberg_m!C45,"")</f>
        <v>1077</v>
      </c>
      <c r="K29" s="3" t="str">
        <f>IF(ISNUMBER(Bloomberg_m!D45),Bloomberg_m!D45,"")</f>
        <v/>
      </c>
      <c r="L29" s="3" t="str">
        <f>IF(ISNUMBER(Bloomberg_m!E45),Bloomberg_m!E45,"")</f>
        <v/>
      </c>
      <c r="M29" s="3" t="str">
        <f>IF(ISNUMBER(Bloomberg_m!F45),Bloomberg_m!F45,"")</f>
        <v/>
      </c>
      <c r="N29">
        <f>IF(ISNUMBER(VLOOKUP($A29,Haver_M!$B$1:$BZ$300,MATCH(data!N$1,Haver_M!$B$1:$BZ$1,0),FALSE)),VLOOKUP($A29,Haver_M!$B$1:$BZ$300,MATCH(data!N$1,Haver_M!$B$1:$BZ$1,0),FALSE),"")</f>
        <v>8</v>
      </c>
      <c r="O29">
        <f>IF(ISNUMBER(VLOOKUP($A29,Haver_M!$B$1:$BZ$300,MATCH(data!O$1,Haver_M!$B$1:$BZ$1,0),FALSE)),VLOOKUP($A29,Haver_M!$B$1:$BZ$300,MATCH(data!O$1,Haver_M!$B$1:$BZ$1,0),FALSE),"")</f>
        <v>7.3952</v>
      </c>
      <c r="P29">
        <f>IF(ISNUMBER(VLOOKUP($A29,Haver_M!$B$1:$BZ$300,MATCH(data!P$1,Haver_M!$B$1:$BZ$1,0),FALSE)),VLOOKUP($A29,Haver_M!$B$1:$BZ$300,MATCH(data!P$1,Haver_M!$B$1:$BZ$1,0),FALSE),"")</f>
        <v>96.445980000000006</v>
      </c>
      <c r="Q29">
        <f>IF(ISNUMBER(VLOOKUP($A29,Haver_M!$B$1:$BZ$300,MATCH(data!Q$1,Haver_M!$B$1:$BZ$1,0),FALSE)),VLOOKUP($A29,Haver_M!$B$1:$BZ$300,MATCH(data!Q$1,Haver_M!$B$1:$BZ$1,0),FALSE),"")</f>
        <v>50</v>
      </c>
      <c r="R29" t="str">
        <f>IF(ISNUMBER(VLOOKUP($A29,Haver_M!$B$1:$BZ$300,MATCH(data!R$1,Haver_M!$B$1:$BZ$1,0),FALSE)),VLOOKUP($A29,Haver_M!$B$1:$BZ$300,MATCH(data!R$1,Haver_M!$B$1:$BZ$1,0),FALSE),"")</f>
        <v/>
      </c>
      <c r="S29">
        <f>IF(ISNUMBER(VLOOKUP($A29,Haver_M!$B$1:$BZ$300,MATCH(data!S$1,Haver_M!$B$1:$BZ$1,0),FALSE)),VLOOKUP($A29,Haver_M!$B$1:$BZ$300,MATCH(data!S$1,Haver_M!$B$1:$BZ$1,0),FALSE),"")</f>
        <v>49.07</v>
      </c>
      <c r="T29">
        <f>IF(ISNUMBER(VLOOKUP($A29,Haver_M!$B$1:$BZ$300,MATCH(data!T$1,Haver_M!$B$1:$BZ$1,0),FALSE)),VLOOKUP($A29,Haver_M!$B$1:$BZ$300,MATCH(data!T$1,Haver_M!$B$1:$BZ$1,0),FALSE),"")</f>
        <v>58.21</v>
      </c>
      <c r="U29">
        <f>IF(ISNUMBER(VLOOKUP($A29,Haver_M!$B$1:$BZ$300,MATCH(data!U$1,Haver_M!$B$1:$BZ$1,0),FALSE)),VLOOKUP($A29,Haver_M!$B$1:$BZ$300,MATCH(data!U$1,Haver_M!$B$1:$BZ$1,0),FALSE),"")</f>
        <v>27.71</v>
      </c>
      <c r="V29">
        <f>IF(ISNUMBER(VLOOKUP($A29,Haver_M!$B$1:$BZ$300,MATCH(data!V$1,Haver_M!$B$1:$BZ$1,0),FALSE)),VLOOKUP($A29,Haver_M!$B$1:$BZ$300,MATCH(data!V$1,Haver_M!$B$1:$BZ$1,0),FALSE),"")</f>
        <v>60.01</v>
      </c>
      <c r="W29" t="str">
        <f>IF(ISNUMBER(VLOOKUP($A29,Haver_M!$B$1:$BZ$300,MATCH(data!W$1,Haver_M!$B$1:$BZ$1,0),FALSE)),VLOOKUP($A29,Haver_M!$B$1:$BZ$300,MATCH(data!W$1,Haver_M!$B$1:$BZ$1,0),FALSE),"")</f>
        <v/>
      </c>
      <c r="X29">
        <f>IF(ISNUMBER(VLOOKUP($A29,Haver_M!$B$1:$BZ$300,MATCH(data!X$1,Haver_M!$B$1:$BZ$1,0),FALSE)),VLOOKUP($A29,Haver_M!$B$1:$BZ$300,MATCH(data!X$1,Haver_M!$B$1:$BZ$1,0),FALSE),"")</f>
        <v>27.56</v>
      </c>
      <c r="Y29">
        <f>IF(ISNUMBER(VLOOKUP($A29,Haver_M!$B$1:$BZ$300,MATCH(data!Y$1,Haver_M!$B$1:$BZ$1,0),FALSE)),VLOOKUP($A29,Haver_M!$B$1:$BZ$300,MATCH(data!Y$1,Haver_M!$B$1:$BZ$1,0),FALSE),"")</f>
        <v>53</v>
      </c>
      <c r="Z29" t="str">
        <f>IF(ISNUMBER(VLOOKUP($A29,Haver_M!$B$1:$BZ$300,MATCH(data!Z$1,Haver_M!$B$1:$BZ$1,0),FALSE)),VLOOKUP($A29,Haver_M!$B$1:$BZ$300,MATCH(data!Z$1,Haver_M!$B$1:$BZ$1,0),FALSE),"")</f>
        <v/>
      </c>
      <c r="AA29" t="str">
        <f>IF(ISNUMBER(VLOOKUP($A29,Haver_M!$B$1:$BZ$300,MATCH(data!AA$1,Haver_M!$B$1:$BZ$1,0),FALSE)),VLOOKUP($A29,Haver_M!$B$1:$BZ$300,MATCH(data!AA$1,Haver_M!$B$1:$BZ$1,0),FALSE),"")</f>
        <v/>
      </c>
      <c r="AB29" t="str">
        <f>IF(ISNUMBER(VLOOKUP($A29,Haver_M!$B$1:$BZ$300,MATCH(data!AB$1,Haver_M!$B$1:$BZ$1,0),FALSE)),VLOOKUP($A29,Haver_M!$B$1:$BZ$300,MATCH(data!AB$1,Haver_M!$B$1:$BZ$1,0),FALSE),"")</f>
        <v/>
      </c>
      <c r="AC29" t="str">
        <f>IF(ISNUMBER(VLOOKUP($A29,Haver_M!$B$1:$BZ$300,MATCH(data!AC$1,Haver_M!$B$1:$BZ$1,0),FALSE)),VLOOKUP($A29,Haver_M!$B$1:$BZ$300,MATCH(data!AC$1,Haver_M!$B$1:$BZ$1,0),FALSE),"")</f>
        <v/>
      </c>
      <c r="AD29" t="str">
        <f>IF(ISNUMBER(VLOOKUP($A29,Haver_M!$B$1:$BZ$300,MATCH(data!AD$1,Haver_M!$B$1:$BZ$1,0),FALSE)),VLOOKUP($A29,Haver_M!$B$1:$BZ$300,MATCH(data!AD$1,Haver_M!$B$1:$BZ$1,0),FALSE),"")</f>
        <v/>
      </c>
      <c r="AE29" t="str">
        <f>IF(ISNUMBER(VLOOKUP($A29,Haver_M!$B$1:$BZ$300,MATCH(data!AE$1,Haver_M!$B$1:$BZ$1,0),FALSE)),VLOOKUP($A29,Haver_M!$B$1:$BZ$300,MATCH(data!AE$1,Haver_M!$B$1:$BZ$1,0),FALSE),"")</f>
        <v/>
      </c>
      <c r="AF29" t="str">
        <f>IF(ISNUMBER(VLOOKUP($A29,Haver_M!$B$1:$BZ$300,MATCH(data!AF$1,Haver_M!$B$1:$BZ$1,0),FALSE)),VLOOKUP($A29,Haver_M!$B$1:$BZ$300,MATCH(data!AF$1,Haver_M!$B$1:$BZ$1,0),FALSE),"")</f>
        <v/>
      </c>
      <c r="AG29" t="str">
        <f>IF(ISNUMBER(VLOOKUP($A29,Haver_M!$B$1:$BZ$300,MATCH(data!AG$1,Haver_M!$B$1:$BZ$1,0),FALSE)),VLOOKUP($A29,Haver_M!$B$1:$BZ$300,MATCH(data!AG$1,Haver_M!$B$1:$BZ$1,0),FALSE),"")</f>
        <v/>
      </c>
      <c r="AH29" t="str">
        <f>IF(ISNUMBER(VLOOKUP($A29,Haver_M!$B$1:$BZ$300,MATCH(data!AH$1,Haver_M!$B$1:$BZ$1,0),FALSE)),VLOOKUP($A29,Haver_M!$B$1:$BZ$300,MATCH(data!AH$1,Haver_M!$B$1:$BZ$1,0),FALSE),"")</f>
        <v/>
      </c>
      <c r="AI29">
        <f>IF(ISNUMBER(VLOOKUP($A29,Haver_M!$B$1:$BZ$300,MATCH(data!AI$1,Haver_M!$B$1:$BZ$1,0),FALSE)),VLOOKUP($A29,Haver_M!$B$1:$BZ$300,MATCH(data!AI$1,Haver_M!$B$1:$BZ$1,0),FALSE),"")</f>
        <v>8637.3255290521411</v>
      </c>
      <c r="AJ29">
        <f>IF(ISNUMBER(VLOOKUP($A29,Haver_M!$B$1:$BZ$300,MATCH(data!AJ$1,Haver_M!$B$1:$BZ$1,0),FALSE)),VLOOKUP($A29,Haver_M!$B$1:$BZ$300,MATCH(data!AJ$1,Haver_M!$B$1:$BZ$1,0),FALSE),"")</f>
        <v>4196.67</v>
      </c>
      <c r="AK29">
        <f>IF(ISNUMBER(VLOOKUP($A29,Haver_M!$B$1:$BZ$300,MATCH(data!AK$1,Haver_M!$B$1:$BZ$1,0),FALSE)),VLOOKUP($A29,Haver_M!$B$1:$BZ$300,MATCH(data!AK$1,Haver_M!$B$1:$BZ$1,0),FALSE),"")</f>
        <v>4324.17</v>
      </c>
      <c r="AL29" t="str">
        <f>IF(ISNUMBER(VLOOKUP($A29,Haver_M!$B$1:$BZ$300,MATCH(data!AL$1,Haver_M!$B$1:$BZ$1,0),FALSE)),VLOOKUP($A29,Haver_M!$B$1:$BZ$300,MATCH(data!AL$1,Haver_M!$B$1:$BZ$1,0),FALSE),"")</f>
        <v/>
      </c>
      <c r="AM29" t="str">
        <f>IF(ISNUMBER(VLOOKUP($A29,Haver_M!$B$1:$BZ$300,MATCH(data!AM$1,Haver_M!$B$1:$BZ$1,0),FALSE)),VLOOKUP($A29,Haver_M!$B$1:$BZ$300,MATCH(data!AM$1,Haver_M!$B$1:$BZ$1,0),FALSE),"")</f>
        <v/>
      </c>
      <c r="AN29" t="str">
        <f>IF(ISNUMBER(VLOOKUP($A29,Haver_M!$B$1:$BZ$300,MATCH(data!AN$1,Haver_M!$B$1:$BZ$1,0),FALSE)),VLOOKUP($A29,Haver_M!$B$1:$BZ$300,MATCH(data!AN$1,Haver_M!$B$1:$BZ$1,0),FALSE),"")</f>
        <v/>
      </c>
      <c r="AO29" t="str">
        <f>IF(ISNUMBER(VLOOKUP($A29,Haver_M!$B$1:$BZ$300,MATCH(data!AO$1,Haver_M!$B$1:$BZ$1,0),FALSE)),VLOOKUP($A29,Haver_M!$B$1:$BZ$300,MATCH(data!AO$1,Haver_M!$B$1:$BZ$1,0),FALSE),"")</f>
        <v/>
      </c>
      <c r="AP29">
        <f>IF(ISNUMBER(VLOOKUP($A29,Haver_M!$B$1:$BZ$300,MATCH(data!AP$1,Haver_M!$B$1:$BZ$1,0),FALSE)),VLOOKUP($A29,Haver_M!$B$1:$BZ$300,MATCH(data!AP$1,Haver_M!$B$1:$BZ$1,0),FALSE),"")</f>
        <v>69.959349292684067</v>
      </c>
      <c r="AQ29" t="str">
        <f>IF(ISNUMBER(VLOOKUP($A29,Haver_M!$B$1:$BZ$300,MATCH(data!AQ$1,Haver_M!$B$1:$BZ$1,0),FALSE)),VLOOKUP($A29,Haver_M!$B$1:$BZ$300,MATCH(data!AQ$1,Haver_M!$B$1:$BZ$1,0),FALSE),"")</f>
        <v/>
      </c>
      <c r="AR29" t="str">
        <f>IF(ISNUMBER(VLOOKUP($A29,Haver_M!$B$1:$BZ$300,MATCH(data!AR$1,Haver_M!$B$1:$BZ$1,0),FALSE)),VLOOKUP($A29,Haver_M!$B$1:$BZ$300,MATCH(data!AR$1,Haver_M!$B$1:$BZ$1,0),FALSE),"")</f>
        <v/>
      </c>
      <c r="AS29" t="str">
        <f>IF(ISNUMBER(VLOOKUP($A29,Haver_M!$B$1:$BZ$300,MATCH(data!AS$1,Haver_M!$B$1:$BZ$1,0),FALSE)),VLOOKUP($A29,Haver_M!$B$1:$BZ$300,MATCH(data!AS$1,Haver_M!$B$1:$BZ$1,0),FALSE),"")</f>
        <v/>
      </c>
      <c r="AT29" t="str">
        <f>IF(ISNUMBER(VLOOKUP($A29,Haver_M!$B$1:$BZ$300,MATCH(data!AT$1,Haver_M!$B$1:$BZ$1,0),FALSE)),VLOOKUP($A29,Haver_M!$B$1:$BZ$300,MATCH(data!AT$1,Haver_M!$B$1:$BZ$1,0),FALSE),"")</f>
        <v/>
      </c>
      <c r="AU29" t="str">
        <f>IF(ISNUMBER(VLOOKUP($A29,Haver_M!$B$1:$BZ$300,MATCH(data!AU$1,Haver_M!$B$1:$BZ$1,0),FALSE)),VLOOKUP($A29,Haver_M!$B$1:$BZ$300,MATCH(data!AU$1,Haver_M!$B$1:$BZ$1,0),FALSE),"")</f>
        <v/>
      </c>
      <c r="AV29" t="str">
        <f>IF(ISNUMBER(VLOOKUP($A29,Haver_M!$B$1:$BZ$300,MATCH(data!AV$1,Haver_M!$B$1:$BZ$1,0),FALSE)),VLOOKUP($A29,Haver_M!$B$1:$BZ$300,MATCH(data!AV$1,Haver_M!$B$1:$BZ$1,0),FALSE),"")</f>
        <v/>
      </c>
      <c r="AW29" t="str">
        <f>IF(ISNUMBER(VLOOKUP($A29,Haver_M!$B$1:$BZ$300,MATCH(data!AW$1,Haver_M!$B$1:$BZ$1,0),FALSE)),VLOOKUP($A29,Haver_M!$B$1:$BZ$300,MATCH(data!AW$1,Haver_M!$B$1:$BZ$1,0),FALSE),"")</f>
        <v/>
      </c>
      <c r="AX29" t="str">
        <f>IF(ISNUMBER(VLOOKUP($A29,Haver_M!$B$1:$BZ$300,MATCH(data!AX$1,Haver_M!$B$1:$BZ$1,0),FALSE)),VLOOKUP($A29,Haver_M!$B$1:$BZ$300,MATCH(data!AX$1,Haver_M!$B$1:$BZ$1,0),FALSE),"")</f>
        <v/>
      </c>
      <c r="AY29" t="str">
        <f>IF(ISNUMBER(VLOOKUP($A29,Haver_M!$B$1:$BZ$300,MATCH(data!AY$1,Haver_M!$B$1:$BZ$1,0),FALSE)),VLOOKUP($A29,Haver_M!$B$1:$BZ$300,MATCH(data!AY$1,Haver_M!$B$1:$BZ$1,0),FALSE),"")</f>
        <v/>
      </c>
      <c r="AZ29" t="str">
        <f>IF(ISNUMBER(VLOOKUP($A29,Haver_M!$B$1:$BZ$300,MATCH(data!AZ$1,Haver_M!$B$1:$BZ$1,0),FALSE)),VLOOKUP($A29,Haver_M!$B$1:$BZ$300,MATCH(data!AZ$1,Haver_M!$B$1:$BZ$1,0),FALSE),"")</f>
        <v/>
      </c>
      <c r="BA29" t="str">
        <f>IF(ISNUMBER(VLOOKUP($A29,Haver_M!$B$1:$BZ$300,MATCH(data!BA$1,Haver_M!$B$1:$BZ$1,0),FALSE)),VLOOKUP($A29,Haver_M!$B$1:$BZ$300,MATCH(data!BA$1,Haver_M!$B$1:$BZ$1,0),FALSE),"")</f>
        <v/>
      </c>
      <c r="BB29" t="str">
        <f>IF(ISNUMBER(VLOOKUP($A29,Haver_M!$B$1:$BZ$300,MATCH(data!BB$1,Haver_M!$B$1:$BZ$1,0),FALSE)),VLOOKUP($A29,Haver_M!$B$1:$BZ$300,MATCH(data!BB$1,Haver_M!$B$1:$BZ$1,0),FALSE),"")</f>
        <v/>
      </c>
      <c r="BC29" t="str">
        <f>IF(ISNUMBER(VLOOKUP($A29,Haver_M!$B$1:$BZ$300,MATCH(data!BC$1,Haver_M!$B$1:$BZ$1,0),FALSE)),VLOOKUP($A29,Haver_M!$B$1:$BZ$300,MATCH(data!BC$1,Haver_M!$B$1:$BZ$1,0),FALSE),"")</f>
        <v/>
      </c>
      <c r="BD29" t="str">
        <f>IF(ISNUMBER(VLOOKUP($A29,Haver_M!$B$1:$BZ$300,MATCH(data!BD$1,Haver_M!$B$1:$BZ$1,0),FALSE)),VLOOKUP($A29,Haver_M!$B$1:$BZ$300,MATCH(data!BD$1,Haver_M!$B$1:$BZ$1,0),FALSE),"")</f>
        <v/>
      </c>
      <c r="BE29" t="str">
        <f>IF(ISNUMBER(VLOOKUP($A29,Haver_M!$B$1:$BZ$300,MATCH(data!BE$1,Haver_M!$B$1:$BZ$1,0),FALSE)),VLOOKUP($A29,Haver_M!$B$1:$BZ$300,MATCH(data!BE$1,Haver_M!$B$1:$BZ$1,0),FALSE),"")</f>
        <v/>
      </c>
      <c r="BF29" t="str">
        <f>IF(ISNUMBER(VLOOKUP($A29,Haver_M!$B$1:$BZ$300,MATCH(data!BF$1,Haver_M!$B$1:$BZ$1,0),FALSE)),VLOOKUP($A29,Haver_M!$B$1:$BZ$300,MATCH(data!BF$1,Haver_M!$B$1:$BZ$1,0),FALSE),"")</f>
        <v/>
      </c>
      <c r="BG29" t="str">
        <f>IF(ISNUMBER(VLOOKUP($A29,Haver_M!$B$1:$BZ$300,MATCH(data!BG$1,Haver_M!$B$1:$BZ$1,0),FALSE)),VLOOKUP($A29,Haver_M!$B$1:$BZ$300,MATCH(data!BG$1,Haver_M!$B$1:$BZ$1,0),FALSE),"")</f>
        <v/>
      </c>
      <c r="BH29" t="str">
        <f>IF(ISNUMBER(VLOOKUP($A29,Haver_M!$B$1:$BZ$300,MATCH(data!BH$1,Haver_M!$B$1:$BZ$1,0),FALSE)),VLOOKUP($A29,Haver_M!$B$1:$BZ$300,MATCH(data!BH$1,Haver_M!$B$1:$BZ$1,0),FALSE),"")</f>
        <v/>
      </c>
      <c r="BI29" t="str">
        <f>IF(ISNUMBER(VLOOKUP($A29,Haver_M!$B$1:$BZ$300,MATCH(data!BI$1,Haver_M!$B$1:$BZ$1,0),FALSE)),VLOOKUP($A29,Haver_M!$B$1:$BZ$300,MATCH(data!BI$1,Haver_M!$B$1:$BZ$1,0),FALSE),"")</f>
        <v/>
      </c>
      <c r="BJ29" t="str">
        <f>IF(ISNUMBER(VLOOKUP($A29,Haver_M!$B$1:$BZ$300,MATCH(data!BJ$1,Haver_M!$B$1:$BZ$1,0),FALSE)),VLOOKUP($A29,Haver_M!$B$1:$BZ$300,MATCH(data!BJ$1,Haver_M!$B$1:$BZ$1,0),FALSE),"")</f>
        <v/>
      </c>
      <c r="BK29" t="str">
        <f>IF(ISNUMBER(VLOOKUP($A29,Haver_M!$B$1:$BZ$300,MATCH(data!BK$1,Haver_M!$B$1:$BZ$1,0),FALSE)),VLOOKUP($A29,Haver_M!$B$1:$BZ$300,MATCH(data!BK$1,Haver_M!$B$1:$BZ$1,0),FALSE),"")</f>
        <v/>
      </c>
      <c r="BL29">
        <f>IF(ISNUMBER(VLOOKUP($A29,Haver_M!$B$1:$BZ$300,MATCH(data!BL$1,Haver_M!$B$1:$BZ$1,0),FALSE)),VLOOKUP($A29,Haver_M!$B$1:$BZ$300,MATCH(data!BL$1,Haver_M!$B$1:$BZ$1,0),FALSE),"")</f>
        <v>3435.13</v>
      </c>
      <c r="BM29">
        <f>IF(ISNUMBER(VLOOKUP($A29,Haver_M!$B$1:$BZ$300,MATCH(data!BM$1,Haver_M!$B$1:$BZ$1,0),FALSE)),VLOOKUP($A29,Haver_M!$B$1:$BZ$300,MATCH(data!BM$1,Haver_M!$B$1:$BZ$1,0),FALSE),"")</f>
        <v>93.985892590000006</v>
      </c>
      <c r="BN29" t="str">
        <f>IF(ISNUMBER(VLOOKUP($A29,Haver_M!$B$1:$BZ$300,MATCH(data!BN$1,Haver_M!$B$1:$BZ$1,0),FALSE)),VLOOKUP($A29,Haver_M!$B$1:$BZ$300,MATCH(data!BN$1,Haver_M!$B$1:$BZ$1,0),FALSE),"")</f>
        <v/>
      </c>
      <c r="BO29" t="str">
        <f>IF(ISNUMBER(VLOOKUP($A29,Haver_M!$B$1:$BZ$300,MATCH(data!BO$1,Haver_M!$B$1:$BZ$1,0),FALSE)),VLOOKUP($A29,Haver_M!$B$1:$BZ$300,MATCH(data!BO$1,Haver_M!$B$1:$BZ$1,0),FALSE),"")</f>
        <v/>
      </c>
      <c r="BP29" t="str">
        <f>IF(ISNUMBER(VLOOKUP($A29,Haver_M!$B$1:$BZ$300,MATCH(data!BP$1,Haver_M!$B$1:$BZ$1,0),FALSE)),VLOOKUP($A29,Haver_M!$B$1:$BZ$300,MATCH(data!BP$1,Haver_M!$B$1:$BZ$1,0),FALSE),"")</f>
        <v/>
      </c>
      <c r="BQ29" t="str">
        <f>IF(ISNUMBER(VLOOKUP($A29,Haver_M!$B$1:$BZ$300,MATCH(data!BQ$1,Haver_M!$B$1:$BZ$1,0),FALSE)),VLOOKUP($A29,Haver_M!$B$1:$BZ$300,MATCH(data!BQ$1,Haver_M!$B$1:$BZ$1,0),FALSE),"")</f>
        <v/>
      </c>
      <c r="BR29" t="str">
        <f>IF(ISNUMBER(VLOOKUP($A29,Haver_M!$B$1:$BZ$300,MATCH(data!BR$1,Haver_M!$B$1:$BZ$1,0),FALSE)),VLOOKUP($A29,Haver_M!$B$1:$BZ$300,MATCH(data!BR$1,Haver_M!$B$1:$BZ$1,0),FALSE),"")</f>
        <v/>
      </c>
      <c r="BS29" t="str">
        <f>IF(ISNUMBER(VLOOKUP($A29,Haver_M!$B$1:$BZ$300,MATCH(data!BS$1,Haver_M!$B$1:$BZ$1,0),FALSE)),VLOOKUP($A29,Haver_M!$B$1:$BZ$300,MATCH(data!BS$1,Haver_M!$B$1:$BZ$1,0),FALSE),"")</f>
        <v/>
      </c>
      <c r="BT29" t="str">
        <f>IF(ISNUMBER(VLOOKUP($A29,Haver_M!$B$1:$BZ$300,MATCH(data!BT$1,Haver_M!$B$1:$BZ$1,0),FALSE)),VLOOKUP($A29,Haver_M!$B$1:$BZ$300,MATCH(data!BT$1,Haver_M!$B$1:$BZ$1,0),FALSE),"")</f>
        <v/>
      </c>
      <c r="BU29">
        <f>IF(ISNUMBER(VLOOKUP($A29,Haver_M!$B$1:$BZ$300,MATCH(data!BU$1,Haver_M!$B$1:$BZ$1,0),FALSE)),VLOOKUP($A29,Haver_M!$B$1:$BZ$300,MATCH(data!BU$1,Haver_M!$B$1:$BZ$1,0),FALSE),"")</f>
        <v>4035</v>
      </c>
      <c r="BV29">
        <f>IF(ISNUMBER(VLOOKUP($A29,Haver_M!$B$1:$BZ$300,MATCH(data!BV$1,Haver_M!$B$1:$BZ$1,0),FALSE)),VLOOKUP($A29,Haver_M!$B$1:$BZ$300,MATCH(data!BV$1,Haver_M!$B$1:$BZ$1,0),FALSE),"")</f>
        <v>4207</v>
      </c>
      <c r="BW29">
        <f>IF(ISNUMBER(VLOOKUP($A29,Haver_M!$B$1:$BZ$300,MATCH(data!BW$1,Haver_M!$B$1:$BZ$1,0),FALSE)),VLOOKUP($A29,Haver_M!$B$1:$BZ$300,MATCH(data!BW$1,Haver_M!$B$1:$BZ$1,0),FALSE),"")</f>
        <v>48.918300000000002</v>
      </c>
      <c r="BX29">
        <f>IF(ISNUMBER(VLOOKUP($A29,Haver_M!$B$1:$BZ$300,MATCH(data!BX$1,Haver_M!$B$1:$BZ$1,0),FALSE)),VLOOKUP($A29,Haver_M!$B$1:$BZ$300,MATCH(data!BX$1,Haver_M!$B$1:$BZ$1,0),FALSE),"")</f>
        <v>62547</v>
      </c>
    </row>
    <row r="30" spans="1:76" x14ac:dyDescent="0.25">
      <c r="A30" s="2">
        <v>37407</v>
      </c>
      <c r="B30" t="str">
        <f>IF(ISNUMBER(VLOOKUP($A30,Haver_Q!$B$1:$L$185,MATCH(data!B$1,Haver_Q!$B$1:$L$1,0),FALSE)),100*(VLOOKUP($A30,Haver_Q!$B$1:$L$185,MATCH(data!B$1,Haver_Q!$B$1:$L$1,0),FALSE)),"")</f>
        <v/>
      </c>
      <c r="C30" t="str">
        <f>IF(ISNUMBER(VLOOKUP($A30,Haver_Q!$B$1:$L$185,MATCH(data!C$1,Haver_Q!$B$1:$L$1,0),FALSE)),100*(VLOOKUP($A30,Haver_Q!$B$1:$L$185,MATCH(data!C$1,Haver_Q!$B$1:$L$1,0),FALSE)),"")</f>
        <v/>
      </c>
      <c r="D30" t="str">
        <f>IF(ISNUMBER(VLOOKUP($A30,Haver_Q!$B$1:$L$185,MATCH(data!D$1,Haver_Q!$B$1:$L$1,0),FALSE)),100*(VLOOKUP($A30,Haver_Q!$B$1:$L$185,MATCH(data!D$1,Haver_Q!$B$1:$L$1,0),FALSE)),"")</f>
        <v/>
      </c>
      <c r="E30" t="str">
        <f>IF(ISNUMBER(VLOOKUP($A30,Haver_Q!$B$1:$L$185,MATCH(data!E$1,Haver_Q!$B$1:$L$1,0),FALSE)),100*(VLOOKUP($A30,Haver_Q!$B$1:$L$185,MATCH(data!E$1,Haver_Q!$B$1:$L$1,0),FALSE)),"")</f>
        <v/>
      </c>
      <c r="F30" t="str">
        <f>IF(ISNUMBER(VLOOKUP($A30,Haver_Q!$B$1:$L$185,MATCH(data!F$1,Haver_Q!$B$1:$L$1,0),FALSE)),100*(VLOOKUP($A30,Haver_Q!$B$1:$L$185,MATCH(data!F$1,Haver_Q!$B$1:$L$1,0),FALSE)),"")</f>
        <v/>
      </c>
      <c r="G30" t="str">
        <f>IF(ISNUMBER(VLOOKUP($A30,Haver_Q!$B$1:$L$185,MATCH(data!G$1,Haver_Q!$B$1:$L$1,0),FALSE)),100*(VLOOKUP($A30,Haver_Q!$B$1:$L$185,MATCH(data!G$1,Haver_Q!$B$1:$L$1,0),FALSE)),"")</f>
        <v/>
      </c>
      <c r="H30" t="str">
        <f>IF(ISNUMBER(VLOOKUP($A30,Haver_Q!$B$1:$L$185,MATCH(data!H$1,Haver_Q!$B$1:$L$1,0),FALSE)),(VLOOKUP($A30,Haver_Q!$B$1:$L$185,MATCH(data!H$1,Haver_Q!$B$1:$L$1,0),FALSE)),"")</f>
        <v/>
      </c>
      <c r="I30" t="str">
        <f>IF(ISNUMBER(VLOOKUP($A30,Haver_Q!$B$1:$L$185,MATCH(data!I$1,Haver_Q!$B$1:$L$1,0),FALSE)),100*(VLOOKUP($A30,Haver_Q!$B$1:$L$185,MATCH(data!I$1,Haver_Q!$B$1:$L$1,0),FALSE)),"")</f>
        <v/>
      </c>
      <c r="J30" s="3">
        <f>IF(ISNUMBER(Bloomberg_m!C46),Bloomberg_m!C46,"")</f>
        <v>1033</v>
      </c>
      <c r="K30" s="3" t="str">
        <f>IF(ISNUMBER(Bloomberg_m!D46),Bloomberg_m!D46,"")</f>
        <v/>
      </c>
      <c r="L30" s="3" t="str">
        <f>IF(ISNUMBER(Bloomberg_m!E46),Bloomberg_m!E46,"")</f>
        <v/>
      </c>
      <c r="M30" s="3" t="str">
        <f>IF(ISNUMBER(Bloomberg_m!F46),Bloomberg_m!F46,"")</f>
        <v/>
      </c>
      <c r="N30">
        <f>IF(ISNUMBER(VLOOKUP($A30,Haver_M!$B$1:$BZ$300,MATCH(data!N$1,Haver_M!$B$1:$BZ$1,0),FALSE)),VLOOKUP($A30,Haver_M!$B$1:$BZ$300,MATCH(data!N$1,Haver_M!$B$1:$BZ$1,0),FALSE),"")</f>
        <v>8</v>
      </c>
      <c r="O30">
        <f>IF(ISNUMBER(VLOOKUP($A30,Haver_M!$B$1:$BZ$300,MATCH(data!O$1,Haver_M!$B$1:$BZ$1,0),FALSE)),VLOOKUP($A30,Haver_M!$B$1:$BZ$300,MATCH(data!O$1,Haver_M!$B$1:$BZ$1,0),FALSE),"")</f>
        <v>7.6528999999999998</v>
      </c>
      <c r="P30">
        <f>IF(ISNUMBER(VLOOKUP($A30,Haver_M!$B$1:$BZ$300,MATCH(data!P$1,Haver_M!$B$1:$BZ$1,0),FALSE)),VLOOKUP($A30,Haver_M!$B$1:$BZ$300,MATCH(data!P$1,Haver_M!$B$1:$BZ$1,0),FALSE),"")</f>
        <v>94.777760000000001</v>
      </c>
      <c r="Q30">
        <f>IF(ISNUMBER(VLOOKUP($A30,Haver_M!$B$1:$BZ$300,MATCH(data!Q$1,Haver_M!$B$1:$BZ$1,0),FALSE)),VLOOKUP($A30,Haver_M!$B$1:$BZ$300,MATCH(data!Q$1,Haver_M!$B$1:$BZ$1,0),FALSE),"")</f>
        <v>50.4</v>
      </c>
      <c r="R30" t="str">
        <f>IF(ISNUMBER(VLOOKUP($A30,Haver_M!$B$1:$BZ$300,MATCH(data!R$1,Haver_M!$B$1:$BZ$1,0),FALSE)),VLOOKUP($A30,Haver_M!$B$1:$BZ$300,MATCH(data!R$1,Haver_M!$B$1:$BZ$1,0),FALSE),"")</f>
        <v/>
      </c>
      <c r="S30">
        <f>IF(ISNUMBER(VLOOKUP($A30,Haver_M!$B$1:$BZ$300,MATCH(data!S$1,Haver_M!$B$1:$BZ$1,0),FALSE)),VLOOKUP($A30,Haver_M!$B$1:$BZ$300,MATCH(data!S$1,Haver_M!$B$1:$BZ$1,0),FALSE),"")</f>
        <v>48.87</v>
      </c>
      <c r="T30">
        <f>IF(ISNUMBER(VLOOKUP($A30,Haver_M!$B$1:$BZ$300,MATCH(data!T$1,Haver_M!$B$1:$BZ$1,0),FALSE)),VLOOKUP($A30,Haver_M!$B$1:$BZ$300,MATCH(data!T$1,Haver_M!$B$1:$BZ$1,0),FALSE),"")</f>
        <v>58.57</v>
      </c>
      <c r="U30">
        <f>IF(ISNUMBER(VLOOKUP($A30,Haver_M!$B$1:$BZ$300,MATCH(data!U$1,Haver_M!$B$1:$BZ$1,0),FALSE)),VLOOKUP($A30,Haver_M!$B$1:$BZ$300,MATCH(data!U$1,Haver_M!$B$1:$BZ$1,0),FALSE),"")</f>
        <v>27.53</v>
      </c>
      <c r="V30">
        <f>IF(ISNUMBER(VLOOKUP($A30,Haver_M!$B$1:$BZ$300,MATCH(data!V$1,Haver_M!$B$1:$BZ$1,0),FALSE)),VLOOKUP($A30,Haver_M!$B$1:$BZ$300,MATCH(data!V$1,Haver_M!$B$1:$BZ$1,0),FALSE),"")</f>
        <v>59.74</v>
      </c>
      <c r="W30" t="str">
        <f>IF(ISNUMBER(VLOOKUP($A30,Haver_M!$B$1:$BZ$300,MATCH(data!W$1,Haver_M!$B$1:$BZ$1,0),FALSE)),VLOOKUP($A30,Haver_M!$B$1:$BZ$300,MATCH(data!W$1,Haver_M!$B$1:$BZ$1,0),FALSE),"")</f>
        <v/>
      </c>
      <c r="X30">
        <f>IF(ISNUMBER(VLOOKUP($A30,Haver_M!$B$1:$BZ$300,MATCH(data!X$1,Haver_M!$B$1:$BZ$1,0),FALSE)),VLOOKUP($A30,Haver_M!$B$1:$BZ$300,MATCH(data!X$1,Haver_M!$B$1:$BZ$1,0),FALSE),"")</f>
        <v>25.42</v>
      </c>
      <c r="Y30">
        <f>IF(ISNUMBER(VLOOKUP($A30,Haver_M!$B$1:$BZ$300,MATCH(data!Y$1,Haver_M!$B$1:$BZ$1,0),FALSE)),VLOOKUP($A30,Haver_M!$B$1:$BZ$300,MATCH(data!Y$1,Haver_M!$B$1:$BZ$1,0),FALSE),"")</f>
        <v>52.55</v>
      </c>
      <c r="Z30" t="str">
        <f>IF(ISNUMBER(VLOOKUP($A30,Haver_M!$B$1:$BZ$300,MATCH(data!Z$1,Haver_M!$B$1:$BZ$1,0),FALSE)),VLOOKUP($A30,Haver_M!$B$1:$BZ$300,MATCH(data!Z$1,Haver_M!$B$1:$BZ$1,0),FALSE),"")</f>
        <v/>
      </c>
      <c r="AA30" t="str">
        <f>IF(ISNUMBER(VLOOKUP($A30,Haver_M!$B$1:$BZ$300,MATCH(data!AA$1,Haver_M!$B$1:$BZ$1,0),FALSE)),VLOOKUP($A30,Haver_M!$B$1:$BZ$300,MATCH(data!AA$1,Haver_M!$B$1:$BZ$1,0),FALSE),"")</f>
        <v/>
      </c>
      <c r="AB30" t="str">
        <f>IF(ISNUMBER(VLOOKUP($A30,Haver_M!$B$1:$BZ$300,MATCH(data!AB$1,Haver_M!$B$1:$BZ$1,0),FALSE)),VLOOKUP($A30,Haver_M!$B$1:$BZ$300,MATCH(data!AB$1,Haver_M!$B$1:$BZ$1,0),FALSE),"")</f>
        <v/>
      </c>
      <c r="AC30" t="str">
        <f>IF(ISNUMBER(VLOOKUP($A30,Haver_M!$B$1:$BZ$300,MATCH(data!AC$1,Haver_M!$B$1:$BZ$1,0),FALSE)),VLOOKUP($A30,Haver_M!$B$1:$BZ$300,MATCH(data!AC$1,Haver_M!$B$1:$BZ$1,0),FALSE),"")</f>
        <v/>
      </c>
      <c r="AD30" t="str">
        <f>IF(ISNUMBER(VLOOKUP($A30,Haver_M!$B$1:$BZ$300,MATCH(data!AD$1,Haver_M!$B$1:$BZ$1,0),FALSE)),VLOOKUP($A30,Haver_M!$B$1:$BZ$300,MATCH(data!AD$1,Haver_M!$B$1:$BZ$1,0),FALSE),"")</f>
        <v/>
      </c>
      <c r="AE30" t="str">
        <f>IF(ISNUMBER(VLOOKUP($A30,Haver_M!$B$1:$BZ$300,MATCH(data!AE$1,Haver_M!$B$1:$BZ$1,0),FALSE)),VLOOKUP($A30,Haver_M!$B$1:$BZ$300,MATCH(data!AE$1,Haver_M!$B$1:$BZ$1,0),FALSE),"")</f>
        <v/>
      </c>
      <c r="AF30" t="str">
        <f>IF(ISNUMBER(VLOOKUP($A30,Haver_M!$B$1:$BZ$300,MATCH(data!AF$1,Haver_M!$B$1:$BZ$1,0),FALSE)),VLOOKUP($A30,Haver_M!$B$1:$BZ$300,MATCH(data!AF$1,Haver_M!$B$1:$BZ$1,0),FALSE),"")</f>
        <v/>
      </c>
      <c r="AG30" t="str">
        <f>IF(ISNUMBER(VLOOKUP($A30,Haver_M!$B$1:$BZ$300,MATCH(data!AG$1,Haver_M!$B$1:$BZ$1,0),FALSE)),VLOOKUP($A30,Haver_M!$B$1:$BZ$300,MATCH(data!AG$1,Haver_M!$B$1:$BZ$1,0),FALSE),"")</f>
        <v/>
      </c>
      <c r="AH30" t="str">
        <f>IF(ISNUMBER(VLOOKUP($A30,Haver_M!$B$1:$BZ$300,MATCH(data!AH$1,Haver_M!$B$1:$BZ$1,0),FALSE)),VLOOKUP($A30,Haver_M!$B$1:$BZ$300,MATCH(data!AH$1,Haver_M!$B$1:$BZ$1,0),FALSE),"")</f>
        <v/>
      </c>
      <c r="AI30">
        <f>IF(ISNUMBER(VLOOKUP($A30,Haver_M!$B$1:$BZ$300,MATCH(data!AI$1,Haver_M!$B$1:$BZ$1,0),FALSE)),VLOOKUP($A30,Haver_M!$B$1:$BZ$300,MATCH(data!AI$1,Haver_M!$B$1:$BZ$1,0),FALSE),"")</f>
        <v>8893.1183434603172</v>
      </c>
      <c r="AJ30">
        <f>IF(ISNUMBER(VLOOKUP($A30,Haver_M!$B$1:$BZ$300,MATCH(data!AJ$1,Haver_M!$B$1:$BZ$1,0),FALSE)),VLOOKUP($A30,Haver_M!$B$1:$BZ$300,MATCH(data!AJ$1,Haver_M!$B$1:$BZ$1,0),FALSE),"")</f>
        <v>4108.5200000000004</v>
      </c>
      <c r="AK30">
        <f>IF(ISNUMBER(VLOOKUP($A30,Haver_M!$B$1:$BZ$300,MATCH(data!AK$1,Haver_M!$B$1:$BZ$1,0),FALSE)),VLOOKUP($A30,Haver_M!$B$1:$BZ$300,MATCH(data!AK$1,Haver_M!$B$1:$BZ$1,0),FALSE),"")</f>
        <v>4871.34</v>
      </c>
      <c r="AL30" t="str">
        <f>IF(ISNUMBER(VLOOKUP($A30,Haver_M!$B$1:$BZ$300,MATCH(data!AL$1,Haver_M!$B$1:$BZ$1,0),FALSE)),VLOOKUP($A30,Haver_M!$B$1:$BZ$300,MATCH(data!AL$1,Haver_M!$B$1:$BZ$1,0),FALSE),"")</f>
        <v/>
      </c>
      <c r="AM30" t="str">
        <f>IF(ISNUMBER(VLOOKUP($A30,Haver_M!$B$1:$BZ$300,MATCH(data!AM$1,Haver_M!$B$1:$BZ$1,0),FALSE)),VLOOKUP($A30,Haver_M!$B$1:$BZ$300,MATCH(data!AM$1,Haver_M!$B$1:$BZ$1,0),FALSE),"")</f>
        <v/>
      </c>
      <c r="AN30" t="str">
        <f>IF(ISNUMBER(VLOOKUP($A30,Haver_M!$B$1:$BZ$300,MATCH(data!AN$1,Haver_M!$B$1:$BZ$1,0),FALSE)),VLOOKUP($A30,Haver_M!$B$1:$BZ$300,MATCH(data!AN$1,Haver_M!$B$1:$BZ$1,0),FALSE),"")</f>
        <v/>
      </c>
      <c r="AO30" t="str">
        <f>IF(ISNUMBER(VLOOKUP($A30,Haver_M!$B$1:$BZ$300,MATCH(data!AO$1,Haver_M!$B$1:$BZ$1,0),FALSE)),VLOOKUP($A30,Haver_M!$B$1:$BZ$300,MATCH(data!AO$1,Haver_M!$B$1:$BZ$1,0),FALSE),"")</f>
        <v/>
      </c>
      <c r="AP30">
        <f>IF(ISNUMBER(VLOOKUP($A30,Haver_M!$B$1:$BZ$300,MATCH(data!AP$1,Haver_M!$B$1:$BZ$1,0),FALSE)),VLOOKUP($A30,Haver_M!$B$1:$BZ$300,MATCH(data!AP$1,Haver_M!$B$1:$BZ$1,0),FALSE),"")</f>
        <v>91.282473394833048</v>
      </c>
      <c r="AQ30" t="str">
        <f>IF(ISNUMBER(VLOOKUP($A30,Haver_M!$B$1:$BZ$300,MATCH(data!AQ$1,Haver_M!$B$1:$BZ$1,0),FALSE)),VLOOKUP($A30,Haver_M!$B$1:$BZ$300,MATCH(data!AQ$1,Haver_M!$B$1:$BZ$1,0),FALSE),"")</f>
        <v/>
      </c>
      <c r="AR30" t="str">
        <f>IF(ISNUMBER(VLOOKUP($A30,Haver_M!$B$1:$BZ$300,MATCH(data!AR$1,Haver_M!$B$1:$BZ$1,0),FALSE)),VLOOKUP($A30,Haver_M!$B$1:$BZ$300,MATCH(data!AR$1,Haver_M!$B$1:$BZ$1,0),FALSE),"")</f>
        <v/>
      </c>
      <c r="AS30" t="str">
        <f>IF(ISNUMBER(VLOOKUP($A30,Haver_M!$B$1:$BZ$300,MATCH(data!AS$1,Haver_M!$B$1:$BZ$1,0),FALSE)),VLOOKUP($A30,Haver_M!$B$1:$BZ$300,MATCH(data!AS$1,Haver_M!$B$1:$BZ$1,0),FALSE),"")</f>
        <v/>
      </c>
      <c r="AT30" t="str">
        <f>IF(ISNUMBER(VLOOKUP($A30,Haver_M!$B$1:$BZ$300,MATCH(data!AT$1,Haver_M!$B$1:$BZ$1,0),FALSE)),VLOOKUP($A30,Haver_M!$B$1:$BZ$300,MATCH(data!AT$1,Haver_M!$B$1:$BZ$1,0),FALSE),"")</f>
        <v/>
      </c>
      <c r="AU30" t="str">
        <f>IF(ISNUMBER(VLOOKUP($A30,Haver_M!$B$1:$BZ$300,MATCH(data!AU$1,Haver_M!$B$1:$BZ$1,0),FALSE)),VLOOKUP($A30,Haver_M!$B$1:$BZ$300,MATCH(data!AU$1,Haver_M!$B$1:$BZ$1,0),FALSE),"")</f>
        <v/>
      </c>
      <c r="AV30" t="str">
        <f>IF(ISNUMBER(VLOOKUP($A30,Haver_M!$B$1:$BZ$300,MATCH(data!AV$1,Haver_M!$B$1:$BZ$1,0),FALSE)),VLOOKUP($A30,Haver_M!$B$1:$BZ$300,MATCH(data!AV$1,Haver_M!$B$1:$BZ$1,0),FALSE),"")</f>
        <v/>
      </c>
      <c r="AW30" t="str">
        <f>IF(ISNUMBER(VLOOKUP($A30,Haver_M!$B$1:$BZ$300,MATCH(data!AW$1,Haver_M!$B$1:$BZ$1,0),FALSE)),VLOOKUP($A30,Haver_M!$B$1:$BZ$300,MATCH(data!AW$1,Haver_M!$B$1:$BZ$1,0),FALSE),"")</f>
        <v/>
      </c>
      <c r="AX30" t="str">
        <f>IF(ISNUMBER(VLOOKUP($A30,Haver_M!$B$1:$BZ$300,MATCH(data!AX$1,Haver_M!$B$1:$BZ$1,0),FALSE)),VLOOKUP($A30,Haver_M!$B$1:$BZ$300,MATCH(data!AX$1,Haver_M!$B$1:$BZ$1,0),FALSE),"")</f>
        <v/>
      </c>
      <c r="AY30" t="str">
        <f>IF(ISNUMBER(VLOOKUP($A30,Haver_M!$B$1:$BZ$300,MATCH(data!AY$1,Haver_M!$B$1:$BZ$1,0),FALSE)),VLOOKUP($A30,Haver_M!$B$1:$BZ$300,MATCH(data!AY$1,Haver_M!$B$1:$BZ$1,0),FALSE),"")</f>
        <v/>
      </c>
      <c r="AZ30" t="str">
        <f>IF(ISNUMBER(VLOOKUP($A30,Haver_M!$B$1:$BZ$300,MATCH(data!AZ$1,Haver_M!$B$1:$BZ$1,0),FALSE)),VLOOKUP($A30,Haver_M!$B$1:$BZ$300,MATCH(data!AZ$1,Haver_M!$B$1:$BZ$1,0),FALSE),"")</f>
        <v/>
      </c>
      <c r="BA30" t="str">
        <f>IF(ISNUMBER(VLOOKUP($A30,Haver_M!$B$1:$BZ$300,MATCH(data!BA$1,Haver_M!$B$1:$BZ$1,0),FALSE)),VLOOKUP($A30,Haver_M!$B$1:$BZ$300,MATCH(data!BA$1,Haver_M!$B$1:$BZ$1,0),FALSE),"")</f>
        <v/>
      </c>
      <c r="BB30" t="str">
        <f>IF(ISNUMBER(VLOOKUP($A30,Haver_M!$B$1:$BZ$300,MATCH(data!BB$1,Haver_M!$B$1:$BZ$1,0),FALSE)),VLOOKUP($A30,Haver_M!$B$1:$BZ$300,MATCH(data!BB$1,Haver_M!$B$1:$BZ$1,0),FALSE),"")</f>
        <v/>
      </c>
      <c r="BC30" t="str">
        <f>IF(ISNUMBER(VLOOKUP($A30,Haver_M!$B$1:$BZ$300,MATCH(data!BC$1,Haver_M!$B$1:$BZ$1,0),FALSE)),VLOOKUP($A30,Haver_M!$B$1:$BZ$300,MATCH(data!BC$1,Haver_M!$B$1:$BZ$1,0),FALSE),"")</f>
        <v/>
      </c>
      <c r="BD30" t="str">
        <f>IF(ISNUMBER(VLOOKUP($A30,Haver_M!$B$1:$BZ$300,MATCH(data!BD$1,Haver_M!$B$1:$BZ$1,0),FALSE)),VLOOKUP($A30,Haver_M!$B$1:$BZ$300,MATCH(data!BD$1,Haver_M!$B$1:$BZ$1,0),FALSE),"")</f>
        <v/>
      </c>
      <c r="BE30" t="str">
        <f>IF(ISNUMBER(VLOOKUP($A30,Haver_M!$B$1:$BZ$300,MATCH(data!BE$1,Haver_M!$B$1:$BZ$1,0),FALSE)),VLOOKUP($A30,Haver_M!$B$1:$BZ$300,MATCH(data!BE$1,Haver_M!$B$1:$BZ$1,0),FALSE),"")</f>
        <v/>
      </c>
      <c r="BF30" t="str">
        <f>IF(ISNUMBER(VLOOKUP($A30,Haver_M!$B$1:$BZ$300,MATCH(data!BF$1,Haver_M!$B$1:$BZ$1,0),FALSE)),VLOOKUP($A30,Haver_M!$B$1:$BZ$300,MATCH(data!BF$1,Haver_M!$B$1:$BZ$1,0),FALSE),"")</f>
        <v/>
      </c>
      <c r="BG30" t="str">
        <f>IF(ISNUMBER(VLOOKUP($A30,Haver_M!$B$1:$BZ$300,MATCH(data!BG$1,Haver_M!$B$1:$BZ$1,0),FALSE)),VLOOKUP($A30,Haver_M!$B$1:$BZ$300,MATCH(data!BG$1,Haver_M!$B$1:$BZ$1,0),FALSE),"")</f>
        <v/>
      </c>
      <c r="BH30" t="str">
        <f>IF(ISNUMBER(VLOOKUP($A30,Haver_M!$B$1:$BZ$300,MATCH(data!BH$1,Haver_M!$B$1:$BZ$1,0),FALSE)),VLOOKUP($A30,Haver_M!$B$1:$BZ$300,MATCH(data!BH$1,Haver_M!$B$1:$BZ$1,0),FALSE),"")</f>
        <v/>
      </c>
      <c r="BI30" t="str">
        <f>IF(ISNUMBER(VLOOKUP($A30,Haver_M!$B$1:$BZ$300,MATCH(data!BI$1,Haver_M!$B$1:$BZ$1,0),FALSE)),VLOOKUP($A30,Haver_M!$B$1:$BZ$300,MATCH(data!BI$1,Haver_M!$B$1:$BZ$1,0),FALSE),"")</f>
        <v/>
      </c>
      <c r="BJ30" t="str">
        <f>IF(ISNUMBER(VLOOKUP($A30,Haver_M!$B$1:$BZ$300,MATCH(data!BJ$1,Haver_M!$B$1:$BZ$1,0),FALSE)),VLOOKUP($A30,Haver_M!$B$1:$BZ$300,MATCH(data!BJ$1,Haver_M!$B$1:$BZ$1,0),FALSE),"")</f>
        <v/>
      </c>
      <c r="BK30" t="str">
        <f>IF(ISNUMBER(VLOOKUP($A30,Haver_M!$B$1:$BZ$300,MATCH(data!BK$1,Haver_M!$B$1:$BZ$1,0),FALSE)),VLOOKUP($A30,Haver_M!$B$1:$BZ$300,MATCH(data!BK$1,Haver_M!$B$1:$BZ$1,0),FALSE),"")</f>
        <v/>
      </c>
      <c r="BL30">
        <f>IF(ISNUMBER(VLOOKUP($A30,Haver_M!$B$1:$BZ$300,MATCH(data!BL$1,Haver_M!$B$1:$BZ$1,0),FALSE)),VLOOKUP($A30,Haver_M!$B$1:$BZ$300,MATCH(data!BL$1,Haver_M!$B$1:$BZ$1,0),FALSE),"")</f>
        <v>3302.91</v>
      </c>
      <c r="BM30">
        <f>IF(ISNUMBER(VLOOKUP($A30,Haver_M!$B$1:$BZ$300,MATCH(data!BM$1,Haver_M!$B$1:$BZ$1,0),FALSE)),VLOOKUP($A30,Haver_M!$B$1:$BZ$300,MATCH(data!BM$1,Haver_M!$B$1:$BZ$1,0),FALSE),"")</f>
        <v>93.774346050000005</v>
      </c>
      <c r="BN30" t="str">
        <f>IF(ISNUMBER(VLOOKUP($A30,Haver_M!$B$1:$BZ$300,MATCH(data!BN$1,Haver_M!$B$1:$BZ$1,0),FALSE)),VLOOKUP($A30,Haver_M!$B$1:$BZ$300,MATCH(data!BN$1,Haver_M!$B$1:$BZ$1,0),FALSE),"")</f>
        <v/>
      </c>
      <c r="BO30" t="str">
        <f>IF(ISNUMBER(VLOOKUP($A30,Haver_M!$B$1:$BZ$300,MATCH(data!BO$1,Haver_M!$B$1:$BZ$1,0),FALSE)),VLOOKUP($A30,Haver_M!$B$1:$BZ$300,MATCH(data!BO$1,Haver_M!$B$1:$BZ$1,0),FALSE),"")</f>
        <v/>
      </c>
      <c r="BP30" t="str">
        <f>IF(ISNUMBER(VLOOKUP($A30,Haver_M!$B$1:$BZ$300,MATCH(data!BP$1,Haver_M!$B$1:$BZ$1,0),FALSE)),VLOOKUP($A30,Haver_M!$B$1:$BZ$300,MATCH(data!BP$1,Haver_M!$B$1:$BZ$1,0),FALSE),"")</f>
        <v/>
      </c>
      <c r="BQ30" t="str">
        <f>IF(ISNUMBER(VLOOKUP($A30,Haver_M!$B$1:$BZ$300,MATCH(data!BQ$1,Haver_M!$B$1:$BZ$1,0),FALSE)),VLOOKUP($A30,Haver_M!$B$1:$BZ$300,MATCH(data!BQ$1,Haver_M!$B$1:$BZ$1,0),FALSE),"")</f>
        <v/>
      </c>
      <c r="BR30" t="str">
        <f>IF(ISNUMBER(VLOOKUP($A30,Haver_M!$B$1:$BZ$300,MATCH(data!BR$1,Haver_M!$B$1:$BZ$1,0),FALSE)),VLOOKUP($A30,Haver_M!$B$1:$BZ$300,MATCH(data!BR$1,Haver_M!$B$1:$BZ$1,0),FALSE),"")</f>
        <v/>
      </c>
      <c r="BS30" t="str">
        <f>IF(ISNUMBER(VLOOKUP($A30,Haver_M!$B$1:$BZ$300,MATCH(data!BS$1,Haver_M!$B$1:$BZ$1,0),FALSE)),VLOOKUP($A30,Haver_M!$B$1:$BZ$300,MATCH(data!BS$1,Haver_M!$B$1:$BZ$1,0),FALSE),"")</f>
        <v/>
      </c>
      <c r="BT30" t="str">
        <f>IF(ISNUMBER(VLOOKUP($A30,Haver_M!$B$1:$BZ$300,MATCH(data!BT$1,Haver_M!$B$1:$BZ$1,0),FALSE)),VLOOKUP($A30,Haver_M!$B$1:$BZ$300,MATCH(data!BT$1,Haver_M!$B$1:$BZ$1,0),FALSE),"")</f>
        <v/>
      </c>
      <c r="BU30">
        <f>IF(ISNUMBER(VLOOKUP($A30,Haver_M!$B$1:$BZ$300,MATCH(data!BU$1,Haver_M!$B$1:$BZ$1,0),FALSE)),VLOOKUP($A30,Haver_M!$B$1:$BZ$300,MATCH(data!BU$1,Haver_M!$B$1:$BZ$1,0),FALSE),"")</f>
        <v>4080</v>
      </c>
      <c r="BV30">
        <f>IF(ISNUMBER(VLOOKUP($A30,Haver_M!$B$1:$BZ$300,MATCH(data!BV$1,Haver_M!$B$1:$BZ$1,0),FALSE)),VLOOKUP($A30,Haver_M!$B$1:$BZ$300,MATCH(data!BV$1,Haver_M!$B$1:$BZ$1,0),FALSE),"")</f>
        <v>5181</v>
      </c>
      <c r="BW30">
        <f>IF(ISNUMBER(VLOOKUP($A30,Haver_M!$B$1:$BZ$300,MATCH(data!BW$1,Haver_M!$B$1:$BZ$1,0),FALSE)),VLOOKUP($A30,Haver_M!$B$1:$BZ$300,MATCH(data!BW$1,Haver_M!$B$1:$BZ$1,0),FALSE),"")</f>
        <v>48.9968</v>
      </c>
      <c r="BX30">
        <f>IF(ISNUMBER(VLOOKUP($A30,Haver_M!$B$1:$BZ$300,MATCH(data!BX$1,Haver_M!$B$1:$BZ$1,0),FALSE)),VLOOKUP($A30,Haver_M!$B$1:$BZ$300,MATCH(data!BX$1,Haver_M!$B$1:$BZ$1,0),FALSE),"")</f>
        <v>64830</v>
      </c>
    </row>
    <row r="31" spans="1:76" x14ac:dyDescent="0.25">
      <c r="A31" s="2">
        <v>37437</v>
      </c>
      <c r="B31">
        <f>IF(ISNUMBER(VLOOKUP($A31,Haver_Q!$B$1:$L$185,MATCH(data!B$1,Haver_Q!$B$1:$L$1,0),FALSE)),100*(VLOOKUP($A31,Haver_Q!$B$1:$L$185,MATCH(data!B$1,Haver_Q!$B$1:$L$1,0),FALSE)),"")</f>
        <v>4.337193514187021</v>
      </c>
      <c r="C31">
        <f>IF(ISNUMBER(VLOOKUP($A31,Haver_Q!$B$1:$L$185,MATCH(data!C$1,Haver_Q!$B$1:$L$1,0),FALSE)),100*(VLOOKUP($A31,Haver_Q!$B$1:$L$185,MATCH(data!C$1,Haver_Q!$B$1:$L$1,0),FALSE)),"")</f>
        <v>-1.6841461494528809</v>
      </c>
      <c r="D31">
        <f>IF(ISNUMBER(VLOOKUP($A31,Haver_Q!$B$1:$L$185,MATCH(data!D$1,Haver_Q!$B$1:$L$1,0),FALSE)),100*(VLOOKUP($A31,Haver_Q!$B$1:$L$185,MATCH(data!D$1,Haver_Q!$B$1:$L$1,0),FALSE)),"")</f>
        <v>-15.08282087957461</v>
      </c>
      <c r="E31">
        <f>IF(ISNUMBER(VLOOKUP($A31,Haver_Q!$B$1:$L$185,MATCH(data!E$1,Haver_Q!$B$1:$L$1,0),FALSE)),100*(VLOOKUP($A31,Haver_Q!$B$1:$L$185,MATCH(data!E$1,Haver_Q!$B$1:$L$1,0),FALSE)),"")</f>
        <v>1.0656611493461865</v>
      </c>
      <c r="F31">
        <f>IF(ISNUMBER(VLOOKUP($A31,Haver_Q!$B$1:$L$185,MATCH(data!F$1,Haver_Q!$B$1:$L$1,0),FALSE)),100*(VLOOKUP($A31,Haver_Q!$B$1:$L$185,MATCH(data!F$1,Haver_Q!$B$1:$L$1,0),FALSE)),"")</f>
        <v>109.94839029976049</v>
      </c>
      <c r="G31">
        <f>IF(ISNUMBER(VLOOKUP($A31,Haver_Q!$B$1:$L$185,MATCH(data!G$1,Haver_Q!$B$1:$L$1,0),FALSE)),100*(VLOOKUP($A31,Haver_Q!$B$1:$L$185,MATCH(data!G$1,Haver_Q!$B$1:$L$1,0),FALSE)),"")</f>
        <v>11.644551013405424</v>
      </c>
      <c r="H31">
        <f>IF(ISNUMBER(VLOOKUP($A31,Haver_Q!$B$1:$L$185,MATCH(data!H$1,Haver_Q!$B$1:$L$1,0),FALSE)),(VLOOKUP($A31,Haver_Q!$B$1:$L$185,MATCH(data!H$1,Haver_Q!$B$1:$L$1,0),FALSE)),"")</f>
        <v>4.3446295570929898</v>
      </c>
      <c r="I31">
        <f>IF(ISNUMBER(VLOOKUP($A31,Haver_Q!$B$1:$L$185,MATCH(data!I$1,Haver_Q!$B$1:$L$1,0),FALSE)),100*(VLOOKUP($A31,Haver_Q!$B$1:$L$185,MATCH(data!I$1,Haver_Q!$B$1:$L$1,0),FALSE)),"")</f>
        <v>5.07238186497454</v>
      </c>
      <c r="J31" s="3">
        <f>IF(ISNUMBER(Bloomberg_m!C47),Bloomberg_m!C47,"")</f>
        <v>995</v>
      </c>
      <c r="K31" s="3" t="str">
        <f>IF(ISNUMBER(Bloomberg_m!D47),Bloomberg_m!D47,"")</f>
        <v/>
      </c>
      <c r="L31" s="3" t="str">
        <f>IF(ISNUMBER(Bloomberg_m!E47),Bloomberg_m!E47,"")</f>
        <v/>
      </c>
      <c r="M31" s="3" t="str">
        <f>IF(ISNUMBER(Bloomberg_m!F47),Bloomberg_m!F47,"")</f>
        <v/>
      </c>
      <c r="N31">
        <f>IF(ISNUMBER(VLOOKUP($A31,Haver_M!$B$1:$BZ$300,MATCH(data!N$1,Haver_M!$B$1:$BZ$1,0),FALSE)),VLOOKUP($A31,Haver_M!$B$1:$BZ$300,MATCH(data!N$1,Haver_M!$B$1:$BZ$1,0),FALSE),"")</f>
        <v>8</v>
      </c>
      <c r="O31">
        <f>IF(ISNUMBER(VLOOKUP($A31,Haver_M!$B$1:$BZ$300,MATCH(data!O$1,Haver_M!$B$1:$BZ$1,0),FALSE)),VLOOKUP($A31,Haver_M!$B$1:$BZ$300,MATCH(data!O$1,Haver_M!$B$1:$BZ$1,0),FALSE),"")</f>
        <v>7.5701000000000001</v>
      </c>
      <c r="P31">
        <f>IF(ISNUMBER(VLOOKUP($A31,Haver_M!$B$1:$BZ$300,MATCH(data!P$1,Haver_M!$B$1:$BZ$1,0),FALSE)),VLOOKUP($A31,Haver_M!$B$1:$BZ$300,MATCH(data!P$1,Haver_M!$B$1:$BZ$1,0),FALSE),"")</f>
        <v>94.444630000000004</v>
      </c>
      <c r="Q31">
        <f>IF(ISNUMBER(VLOOKUP($A31,Haver_M!$B$1:$BZ$300,MATCH(data!Q$1,Haver_M!$B$1:$BZ$1,0),FALSE)),VLOOKUP($A31,Haver_M!$B$1:$BZ$300,MATCH(data!Q$1,Haver_M!$B$1:$BZ$1,0),FALSE),"")</f>
        <v>50.9</v>
      </c>
      <c r="R31" t="str">
        <f>IF(ISNUMBER(VLOOKUP($A31,Haver_M!$B$1:$BZ$300,MATCH(data!R$1,Haver_M!$B$1:$BZ$1,0),FALSE)),VLOOKUP($A31,Haver_M!$B$1:$BZ$300,MATCH(data!R$1,Haver_M!$B$1:$BZ$1,0),FALSE),"")</f>
        <v/>
      </c>
      <c r="S31">
        <f>IF(ISNUMBER(VLOOKUP($A31,Haver_M!$B$1:$BZ$300,MATCH(data!S$1,Haver_M!$B$1:$BZ$1,0),FALSE)),VLOOKUP($A31,Haver_M!$B$1:$BZ$300,MATCH(data!S$1,Haver_M!$B$1:$BZ$1,0),FALSE),"")</f>
        <v>49.37</v>
      </c>
      <c r="T31">
        <f>IF(ISNUMBER(VLOOKUP($A31,Haver_M!$B$1:$BZ$300,MATCH(data!T$1,Haver_M!$B$1:$BZ$1,0),FALSE)),VLOOKUP($A31,Haver_M!$B$1:$BZ$300,MATCH(data!T$1,Haver_M!$B$1:$BZ$1,0),FALSE),"")</f>
        <v>58.76</v>
      </c>
      <c r="U31">
        <f>IF(ISNUMBER(VLOOKUP($A31,Haver_M!$B$1:$BZ$300,MATCH(data!U$1,Haver_M!$B$1:$BZ$1,0),FALSE)),VLOOKUP($A31,Haver_M!$B$1:$BZ$300,MATCH(data!U$1,Haver_M!$B$1:$BZ$1,0),FALSE),"")</f>
        <v>28.11</v>
      </c>
      <c r="V31">
        <f>IF(ISNUMBER(VLOOKUP($A31,Haver_M!$B$1:$BZ$300,MATCH(data!V$1,Haver_M!$B$1:$BZ$1,0),FALSE)),VLOOKUP($A31,Haver_M!$B$1:$BZ$300,MATCH(data!V$1,Haver_M!$B$1:$BZ$1,0),FALSE),"")</f>
        <v>59.78</v>
      </c>
      <c r="W31" t="str">
        <f>IF(ISNUMBER(VLOOKUP($A31,Haver_M!$B$1:$BZ$300,MATCH(data!W$1,Haver_M!$B$1:$BZ$1,0),FALSE)),VLOOKUP($A31,Haver_M!$B$1:$BZ$300,MATCH(data!W$1,Haver_M!$B$1:$BZ$1,0),FALSE),"")</f>
        <v/>
      </c>
      <c r="X31">
        <f>IF(ISNUMBER(VLOOKUP($A31,Haver_M!$B$1:$BZ$300,MATCH(data!X$1,Haver_M!$B$1:$BZ$1,0),FALSE)),VLOOKUP($A31,Haver_M!$B$1:$BZ$300,MATCH(data!X$1,Haver_M!$B$1:$BZ$1,0),FALSE),"")</f>
        <v>27.27</v>
      </c>
      <c r="Y31">
        <f>IF(ISNUMBER(VLOOKUP($A31,Haver_M!$B$1:$BZ$300,MATCH(data!Y$1,Haver_M!$B$1:$BZ$1,0),FALSE)),VLOOKUP($A31,Haver_M!$B$1:$BZ$300,MATCH(data!Y$1,Haver_M!$B$1:$BZ$1,0),FALSE),"")</f>
        <v>53.97</v>
      </c>
      <c r="Z31" t="str">
        <f>IF(ISNUMBER(VLOOKUP($A31,Haver_M!$B$1:$BZ$300,MATCH(data!Z$1,Haver_M!$B$1:$BZ$1,0),FALSE)),VLOOKUP($A31,Haver_M!$B$1:$BZ$300,MATCH(data!Z$1,Haver_M!$B$1:$BZ$1,0),FALSE),"")</f>
        <v/>
      </c>
      <c r="AA31" t="str">
        <f>IF(ISNUMBER(VLOOKUP($A31,Haver_M!$B$1:$BZ$300,MATCH(data!AA$1,Haver_M!$B$1:$BZ$1,0),FALSE)),VLOOKUP($A31,Haver_M!$B$1:$BZ$300,MATCH(data!AA$1,Haver_M!$B$1:$BZ$1,0),FALSE),"")</f>
        <v/>
      </c>
      <c r="AB31" t="str">
        <f>IF(ISNUMBER(VLOOKUP($A31,Haver_M!$B$1:$BZ$300,MATCH(data!AB$1,Haver_M!$B$1:$BZ$1,0),FALSE)),VLOOKUP($A31,Haver_M!$B$1:$BZ$300,MATCH(data!AB$1,Haver_M!$B$1:$BZ$1,0),FALSE),"")</f>
        <v/>
      </c>
      <c r="AC31" t="str">
        <f>IF(ISNUMBER(VLOOKUP($A31,Haver_M!$B$1:$BZ$300,MATCH(data!AC$1,Haver_M!$B$1:$BZ$1,0),FALSE)),VLOOKUP($A31,Haver_M!$B$1:$BZ$300,MATCH(data!AC$1,Haver_M!$B$1:$BZ$1,0),FALSE),"")</f>
        <v/>
      </c>
      <c r="AD31" t="str">
        <f>IF(ISNUMBER(VLOOKUP($A31,Haver_M!$B$1:$BZ$300,MATCH(data!AD$1,Haver_M!$B$1:$BZ$1,0),FALSE)),VLOOKUP($A31,Haver_M!$B$1:$BZ$300,MATCH(data!AD$1,Haver_M!$B$1:$BZ$1,0),FALSE),"")</f>
        <v/>
      </c>
      <c r="AE31" t="str">
        <f>IF(ISNUMBER(VLOOKUP($A31,Haver_M!$B$1:$BZ$300,MATCH(data!AE$1,Haver_M!$B$1:$BZ$1,0),FALSE)),VLOOKUP($A31,Haver_M!$B$1:$BZ$300,MATCH(data!AE$1,Haver_M!$B$1:$BZ$1,0),FALSE),"")</f>
        <v/>
      </c>
      <c r="AF31" t="str">
        <f>IF(ISNUMBER(VLOOKUP($A31,Haver_M!$B$1:$BZ$300,MATCH(data!AF$1,Haver_M!$B$1:$BZ$1,0),FALSE)),VLOOKUP($A31,Haver_M!$B$1:$BZ$300,MATCH(data!AF$1,Haver_M!$B$1:$BZ$1,0),FALSE),"")</f>
        <v/>
      </c>
      <c r="AG31" t="str">
        <f>IF(ISNUMBER(VLOOKUP($A31,Haver_M!$B$1:$BZ$300,MATCH(data!AG$1,Haver_M!$B$1:$BZ$1,0),FALSE)),VLOOKUP($A31,Haver_M!$B$1:$BZ$300,MATCH(data!AG$1,Haver_M!$B$1:$BZ$1,0),FALSE),"")</f>
        <v/>
      </c>
      <c r="AH31" t="str">
        <f>IF(ISNUMBER(VLOOKUP($A31,Haver_M!$B$1:$BZ$300,MATCH(data!AH$1,Haver_M!$B$1:$BZ$1,0),FALSE)),VLOOKUP($A31,Haver_M!$B$1:$BZ$300,MATCH(data!AH$1,Haver_M!$B$1:$BZ$1,0),FALSE),"")</f>
        <v/>
      </c>
      <c r="AI31">
        <f>IF(ISNUMBER(VLOOKUP($A31,Haver_M!$B$1:$BZ$300,MATCH(data!AI$1,Haver_M!$B$1:$BZ$1,0),FALSE)),VLOOKUP($A31,Haver_M!$B$1:$BZ$300,MATCH(data!AI$1,Haver_M!$B$1:$BZ$1,0),FALSE),"")</f>
        <v>8352.0157383026417</v>
      </c>
      <c r="AJ31">
        <f>IF(ISNUMBER(VLOOKUP($A31,Haver_M!$B$1:$BZ$300,MATCH(data!AJ$1,Haver_M!$B$1:$BZ$1,0),FALSE)),VLOOKUP($A31,Haver_M!$B$1:$BZ$300,MATCH(data!AJ$1,Haver_M!$B$1:$BZ$1,0),FALSE),"")</f>
        <v>4128.26</v>
      </c>
      <c r="AK31">
        <f>IF(ISNUMBER(VLOOKUP($A31,Haver_M!$B$1:$BZ$300,MATCH(data!AK$1,Haver_M!$B$1:$BZ$1,0),FALSE)),VLOOKUP($A31,Haver_M!$B$1:$BZ$300,MATCH(data!AK$1,Haver_M!$B$1:$BZ$1,0),FALSE),"")</f>
        <v>4460.05</v>
      </c>
      <c r="AL31" t="str">
        <f>IF(ISNUMBER(VLOOKUP($A31,Haver_M!$B$1:$BZ$300,MATCH(data!AL$1,Haver_M!$B$1:$BZ$1,0),FALSE)),VLOOKUP($A31,Haver_M!$B$1:$BZ$300,MATCH(data!AL$1,Haver_M!$B$1:$BZ$1,0),FALSE),"")</f>
        <v/>
      </c>
      <c r="AM31" t="str">
        <f>IF(ISNUMBER(VLOOKUP($A31,Haver_M!$B$1:$BZ$300,MATCH(data!AM$1,Haver_M!$B$1:$BZ$1,0),FALSE)),VLOOKUP($A31,Haver_M!$B$1:$BZ$300,MATCH(data!AM$1,Haver_M!$B$1:$BZ$1,0),FALSE),"")</f>
        <v/>
      </c>
      <c r="AN31" t="str">
        <f>IF(ISNUMBER(VLOOKUP($A31,Haver_M!$B$1:$BZ$300,MATCH(data!AN$1,Haver_M!$B$1:$BZ$1,0),FALSE)),VLOOKUP($A31,Haver_M!$B$1:$BZ$300,MATCH(data!AN$1,Haver_M!$B$1:$BZ$1,0),FALSE),"")</f>
        <v/>
      </c>
      <c r="AO31" t="str">
        <f>IF(ISNUMBER(VLOOKUP($A31,Haver_M!$B$1:$BZ$300,MATCH(data!AO$1,Haver_M!$B$1:$BZ$1,0),FALSE)),VLOOKUP($A31,Haver_M!$B$1:$BZ$300,MATCH(data!AO$1,Haver_M!$B$1:$BZ$1,0),FALSE),"")</f>
        <v/>
      </c>
      <c r="AP31">
        <f>IF(ISNUMBER(VLOOKUP($A31,Haver_M!$B$1:$BZ$300,MATCH(data!AP$1,Haver_M!$B$1:$BZ$1,0),FALSE)),VLOOKUP($A31,Haver_M!$B$1:$BZ$300,MATCH(data!AP$1,Haver_M!$B$1:$BZ$1,0),FALSE),"")</f>
        <v>104.45714597277198</v>
      </c>
      <c r="AQ31" t="str">
        <f>IF(ISNUMBER(VLOOKUP($A31,Haver_M!$B$1:$BZ$300,MATCH(data!AQ$1,Haver_M!$B$1:$BZ$1,0),FALSE)),VLOOKUP($A31,Haver_M!$B$1:$BZ$300,MATCH(data!AQ$1,Haver_M!$B$1:$BZ$1,0),FALSE),"")</f>
        <v/>
      </c>
      <c r="AR31" t="str">
        <f>IF(ISNUMBER(VLOOKUP($A31,Haver_M!$B$1:$BZ$300,MATCH(data!AR$1,Haver_M!$B$1:$BZ$1,0),FALSE)),VLOOKUP($A31,Haver_M!$B$1:$BZ$300,MATCH(data!AR$1,Haver_M!$B$1:$BZ$1,0),FALSE),"")</f>
        <v/>
      </c>
      <c r="AS31" t="str">
        <f>IF(ISNUMBER(VLOOKUP($A31,Haver_M!$B$1:$BZ$300,MATCH(data!AS$1,Haver_M!$B$1:$BZ$1,0),FALSE)),VLOOKUP($A31,Haver_M!$B$1:$BZ$300,MATCH(data!AS$1,Haver_M!$B$1:$BZ$1,0),FALSE),"")</f>
        <v/>
      </c>
      <c r="AT31" t="str">
        <f>IF(ISNUMBER(VLOOKUP($A31,Haver_M!$B$1:$BZ$300,MATCH(data!AT$1,Haver_M!$B$1:$BZ$1,0),FALSE)),VLOOKUP($A31,Haver_M!$B$1:$BZ$300,MATCH(data!AT$1,Haver_M!$B$1:$BZ$1,0),FALSE),"")</f>
        <v/>
      </c>
      <c r="AU31" t="str">
        <f>IF(ISNUMBER(VLOOKUP($A31,Haver_M!$B$1:$BZ$300,MATCH(data!AU$1,Haver_M!$B$1:$BZ$1,0),FALSE)),VLOOKUP($A31,Haver_M!$B$1:$BZ$300,MATCH(data!AU$1,Haver_M!$B$1:$BZ$1,0),FALSE),"")</f>
        <v/>
      </c>
      <c r="AV31" t="str">
        <f>IF(ISNUMBER(VLOOKUP($A31,Haver_M!$B$1:$BZ$300,MATCH(data!AV$1,Haver_M!$B$1:$BZ$1,0),FALSE)),VLOOKUP($A31,Haver_M!$B$1:$BZ$300,MATCH(data!AV$1,Haver_M!$B$1:$BZ$1,0),FALSE),"")</f>
        <v/>
      </c>
      <c r="AW31" t="str">
        <f>IF(ISNUMBER(VLOOKUP($A31,Haver_M!$B$1:$BZ$300,MATCH(data!AW$1,Haver_M!$B$1:$BZ$1,0),FALSE)),VLOOKUP($A31,Haver_M!$B$1:$BZ$300,MATCH(data!AW$1,Haver_M!$B$1:$BZ$1,0),FALSE),"")</f>
        <v/>
      </c>
      <c r="AX31" t="str">
        <f>IF(ISNUMBER(VLOOKUP($A31,Haver_M!$B$1:$BZ$300,MATCH(data!AX$1,Haver_M!$B$1:$BZ$1,0),FALSE)),VLOOKUP($A31,Haver_M!$B$1:$BZ$300,MATCH(data!AX$1,Haver_M!$B$1:$BZ$1,0),FALSE),"")</f>
        <v/>
      </c>
      <c r="AY31" t="str">
        <f>IF(ISNUMBER(VLOOKUP($A31,Haver_M!$B$1:$BZ$300,MATCH(data!AY$1,Haver_M!$B$1:$BZ$1,0),FALSE)),VLOOKUP($A31,Haver_M!$B$1:$BZ$300,MATCH(data!AY$1,Haver_M!$B$1:$BZ$1,0),FALSE),"")</f>
        <v/>
      </c>
      <c r="AZ31" t="str">
        <f>IF(ISNUMBER(VLOOKUP($A31,Haver_M!$B$1:$BZ$300,MATCH(data!AZ$1,Haver_M!$B$1:$BZ$1,0),FALSE)),VLOOKUP($A31,Haver_M!$B$1:$BZ$300,MATCH(data!AZ$1,Haver_M!$B$1:$BZ$1,0),FALSE),"")</f>
        <v/>
      </c>
      <c r="BA31" t="str">
        <f>IF(ISNUMBER(VLOOKUP($A31,Haver_M!$B$1:$BZ$300,MATCH(data!BA$1,Haver_M!$B$1:$BZ$1,0),FALSE)),VLOOKUP($A31,Haver_M!$B$1:$BZ$300,MATCH(data!BA$1,Haver_M!$B$1:$BZ$1,0),FALSE),"")</f>
        <v/>
      </c>
      <c r="BB31" t="str">
        <f>IF(ISNUMBER(VLOOKUP($A31,Haver_M!$B$1:$BZ$300,MATCH(data!BB$1,Haver_M!$B$1:$BZ$1,0),FALSE)),VLOOKUP($A31,Haver_M!$B$1:$BZ$300,MATCH(data!BB$1,Haver_M!$B$1:$BZ$1,0),FALSE),"")</f>
        <v/>
      </c>
      <c r="BC31" t="str">
        <f>IF(ISNUMBER(VLOOKUP($A31,Haver_M!$B$1:$BZ$300,MATCH(data!BC$1,Haver_M!$B$1:$BZ$1,0),FALSE)),VLOOKUP($A31,Haver_M!$B$1:$BZ$300,MATCH(data!BC$1,Haver_M!$B$1:$BZ$1,0),FALSE),"")</f>
        <v/>
      </c>
      <c r="BD31" t="str">
        <f>IF(ISNUMBER(VLOOKUP($A31,Haver_M!$B$1:$BZ$300,MATCH(data!BD$1,Haver_M!$B$1:$BZ$1,0),FALSE)),VLOOKUP($A31,Haver_M!$B$1:$BZ$300,MATCH(data!BD$1,Haver_M!$B$1:$BZ$1,0),FALSE),"")</f>
        <v/>
      </c>
      <c r="BE31" t="str">
        <f>IF(ISNUMBER(VLOOKUP($A31,Haver_M!$B$1:$BZ$300,MATCH(data!BE$1,Haver_M!$B$1:$BZ$1,0),FALSE)),VLOOKUP($A31,Haver_M!$B$1:$BZ$300,MATCH(data!BE$1,Haver_M!$B$1:$BZ$1,0),FALSE),"")</f>
        <v/>
      </c>
      <c r="BF31" t="str">
        <f>IF(ISNUMBER(VLOOKUP($A31,Haver_M!$B$1:$BZ$300,MATCH(data!BF$1,Haver_M!$B$1:$BZ$1,0),FALSE)),VLOOKUP($A31,Haver_M!$B$1:$BZ$300,MATCH(data!BF$1,Haver_M!$B$1:$BZ$1,0),FALSE),"")</f>
        <v/>
      </c>
      <c r="BG31" t="str">
        <f>IF(ISNUMBER(VLOOKUP($A31,Haver_M!$B$1:$BZ$300,MATCH(data!BG$1,Haver_M!$B$1:$BZ$1,0),FALSE)),VLOOKUP($A31,Haver_M!$B$1:$BZ$300,MATCH(data!BG$1,Haver_M!$B$1:$BZ$1,0),FALSE),"")</f>
        <v/>
      </c>
      <c r="BH31" t="str">
        <f>IF(ISNUMBER(VLOOKUP($A31,Haver_M!$B$1:$BZ$300,MATCH(data!BH$1,Haver_M!$B$1:$BZ$1,0),FALSE)),VLOOKUP($A31,Haver_M!$B$1:$BZ$300,MATCH(data!BH$1,Haver_M!$B$1:$BZ$1,0),FALSE),"")</f>
        <v/>
      </c>
      <c r="BI31" t="str">
        <f>IF(ISNUMBER(VLOOKUP($A31,Haver_M!$B$1:$BZ$300,MATCH(data!BI$1,Haver_M!$B$1:$BZ$1,0),FALSE)),VLOOKUP($A31,Haver_M!$B$1:$BZ$300,MATCH(data!BI$1,Haver_M!$B$1:$BZ$1,0),FALSE),"")</f>
        <v/>
      </c>
      <c r="BJ31" t="str">
        <f>IF(ISNUMBER(VLOOKUP($A31,Haver_M!$B$1:$BZ$300,MATCH(data!BJ$1,Haver_M!$B$1:$BZ$1,0),FALSE)),VLOOKUP($A31,Haver_M!$B$1:$BZ$300,MATCH(data!BJ$1,Haver_M!$B$1:$BZ$1,0),FALSE),"")</f>
        <v/>
      </c>
      <c r="BK31" t="str">
        <f>IF(ISNUMBER(VLOOKUP($A31,Haver_M!$B$1:$BZ$300,MATCH(data!BK$1,Haver_M!$B$1:$BZ$1,0),FALSE)),VLOOKUP($A31,Haver_M!$B$1:$BZ$300,MATCH(data!BK$1,Haver_M!$B$1:$BZ$1,0),FALSE),"")</f>
        <v/>
      </c>
      <c r="BL31">
        <f>IF(ISNUMBER(VLOOKUP($A31,Haver_M!$B$1:$BZ$300,MATCH(data!BL$1,Haver_M!$B$1:$BZ$1,0),FALSE)),VLOOKUP($A31,Haver_M!$B$1:$BZ$300,MATCH(data!BL$1,Haver_M!$B$1:$BZ$1,0),FALSE),"")</f>
        <v>3257.03</v>
      </c>
      <c r="BM31">
        <f>IF(ISNUMBER(VLOOKUP($A31,Haver_M!$B$1:$BZ$300,MATCH(data!BM$1,Haver_M!$B$1:$BZ$1,0),FALSE)),VLOOKUP($A31,Haver_M!$B$1:$BZ$300,MATCH(data!BM$1,Haver_M!$B$1:$BZ$1,0),FALSE),"")</f>
        <v>93.577385699999994</v>
      </c>
      <c r="BN31">
        <f>IF(ISNUMBER(VLOOKUP($A31,Haver_M!$B$1:$BZ$300,MATCH(data!BN$1,Haver_M!$B$1:$BZ$1,0),FALSE)),VLOOKUP($A31,Haver_M!$B$1:$BZ$300,MATCH(data!BN$1,Haver_M!$B$1:$BZ$1,0),FALSE),"")</f>
        <v>110.8</v>
      </c>
      <c r="BO31">
        <f>IF(ISNUMBER(VLOOKUP($A31,Haver_M!$B$1:$BZ$300,MATCH(data!BO$1,Haver_M!$B$1:$BZ$1,0),FALSE)),VLOOKUP($A31,Haver_M!$B$1:$BZ$300,MATCH(data!BO$1,Haver_M!$B$1:$BZ$1,0),FALSE),"")</f>
        <v>112.3</v>
      </c>
      <c r="BP31">
        <f>IF(ISNUMBER(VLOOKUP($A31,Haver_M!$B$1:$BZ$300,MATCH(data!BP$1,Haver_M!$B$1:$BZ$1,0),FALSE)),VLOOKUP($A31,Haver_M!$B$1:$BZ$300,MATCH(data!BP$1,Haver_M!$B$1:$BZ$1,0),FALSE),"")</f>
        <v>30.2</v>
      </c>
      <c r="BQ31" t="str">
        <f>IF(ISNUMBER(VLOOKUP($A31,Haver_M!$B$1:$BZ$300,MATCH(data!BQ$1,Haver_M!$B$1:$BZ$1,0),FALSE)),VLOOKUP($A31,Haver_M!$B$1:$BZ$300,MATCH(data!BQ$1,Haver_M!$B$1:$BZ$1,0),FALSE),"")</f>
        <v/>
      </c>
      <c r="BR31" t="str">
        <f>IF(ISNUMBER(VLOOKUP($A31,Haver_M!$B$1:$BZ$300,MATCH(data!BR$1,Haver_M!$B$1:$BZ$1,0),FALSE)),VLOOKUP($A31,Haver_M!$B$1:$BZ$300,MATCH(data!BR$1,Haver_M!$B$1:$BZ$1,0),FALSE),"")</f>
        <v/>
      </c>
      <c r="BS31" t="str">
        <f>IF(ISNUMBER(VLOOKUP($A31,Haver_M!$B$1:$BZ$300,MATCH(data!BS$1,Haver_M!$B$1:$BZ$1,0),FALSE)),VLOOKUP($A31,Haver_M!$B$1:$BZ$300,MATCH(data!BS$1,Haver_M!$B$1:$BZ$1,0),FALSE),"")</f>
        <v/>
      </c>
      <c r="BT31" t="str">
        <f>IF(ISNUMBER(VLOOKUP($A31,Haver_M!$B$1:$BZ$300,MATCH(data!BT$1,Haver_M!$B$1:$BZ$1,0),FALSE)),VLOOKUP($A31,Haver_M!$B$1:$BZ$300,MATCH(data!BT$1,Haver_M!$B$1:$BZ$1,0),FALSE),"")</f>
        <v/>
      </c>
      <c r="BU31">
        <f>IF(ISNUMBER(VLOOKUP($A31,Haver_M!$B$1:$BZ$300,MATCH(data!BU$1,Haver_M!$B$1:$BZ$1,0),FALSE)),VLOOKUP($A31,Haver_M!$B$1:$BZ$300,MATCH(data!BU$1,Haver_M!$B$1:$BZ$1,0),FALSE),"")</f>
        <v>3963</v>
      </c>
      <c r="BV31">
        <f>IF(ISNUMBER(VLOOKUP($A31,Haver_M!$B$1:$BZ$300,MATCH(data!BV$1,Haver_M!$B$1:$BZ$1,0),FALSE)),VLOOKUP($A31,Haver_M!$B$1:$BZ$300,MATCH(data!BV$1,Haver_M!$B$1:$BZ$1,0),FALSE),"")</f>
        <v>4251</v>
      </c>
      <c r="BW31">
        <f>IF(ISNUMBER(VLOOKUP($A31,Haver_M!$B$1:$BZ$300,MATCH(data!BW$1,Haver_M!$B$1:$BZ$1,0),FALSE)),VLOOKUP($A31,Haver_M!$B$1:$BZ$300,MATCH(data!BW$1,Haver_M!$B$1:$BZ$1,0),FALSE),"")</f>
        <v>48.966500000000003</v>
      </c>
      <c r="BX31">
        <f>IF(ISNUMBER(VLOOKUP($A31,Haver_M!$B$1:$BZ$300,MATCH(data!BX$1,Haver_M!$B$1:$BZ$1,0),FALSE)),VLOOKUP($A31,Haver_M!$B$1:$BZ$300,MATCH(data!BX$1,Haver_M!$B$1:$BZ$1,0),FALSE),"")</f>
        <v>63047</v>
      </c>
    </row>
    <row r="32" spans="1:76" x14ac:dyDescent="0.25">
      <c r="A32" s="2">
        <v>37468</v>
      </c>
      <c r="B32" t="str">
        <f>IF(ISNUMBER(VLOOKUP($A32,Haver_Q!$B$1:$L$185,MATCH(data!B$1,Haver_Q!$B$1:$L$1,0),FALSE)),100*(VLOOKUP($A32,Haver_Q!$B$1:$L$185,MATCH(data!B$1,Haver_Q!$B$1:$L$1,0),FALSE)),"")</f>
        <v/>
      </c>
      <c r="C32" t="str">
        <f>IF(ISNUMBER(VLOOKUP($A32,Haver_Q!$B$1:$L$185,MATCH(data!C$1,Haver_Q!$B$1:$L$1,0),FALSE)),100*(VLOOKUP($A32,Haver_Q!$B$1:$L$185,MATCH(data!C$1,Haver_Q!$B$1:$L$1,0),FALSE)),"")</f>
        <v/>
      </c>
      <c r="D32" t="str">
        <f>IF(ISNUMBER(VLOOKUP($A32,Haver_Q!$B$1:$L$185,MATCH(data!D$1,Haver_Q!$B$1:$L$1,0),FALSE)),100*(VLOOKUP($A32,Haver_Q!$B$1:$L$185,MATCH(data!D$1,Haver_Q!$B$1:$L$1,0),FALSE)),"")</f>
        <v/>
      </c>
      <c r="E32" t="str">
        <f>IF(ISNUMBER(VLOOKUP($A32,Haver_Q!$B$1:$L$185,MATCH(data!E$1,Haver_Q!$B$1:$L$1,0),FALSE)),100*(VLOOKUP($A32,Haver_Q!$B$1:$L$185,MATCH(data!E$1,Haver_Q!$B$1:$L$1,0),FALSE)),"")</f>
        <v/>
      </c>
      <c r="F32" t="str">
        <f>IF(ISNUMBER(VLOOKUP($A32,Haver_Q!$B$1:$L$185,MATCH(data!F$1,Haver_Q!$B$1:$L$1,0),FALSE)),100*(VLOOKUP($A32,Haver_Q!$B$1:$L$185,MATCH(data!F$1,Haver_Q!$B$1:$L$1,0),FALSE)),"")</f>
        <v/>
      </c>
      <c r="G32" t="str">
        <f>IF(ISNUMBER(VLOOKUP($A32,Haver_Q!$B$1:$L$185,MATCH(data!G$1,Haver_Q!$B$1:$L$1,0),FALSE)),100*(VLOOKUP($A32,Haver_Q!$B$1:$L$185,MATCH(data!G$1,Haver_Q!$B$1:$L$1,0),FALSE)),"")</f>
        <v/>
      </c>
      <c r="H32" t="str">
        <f>IF(ISNUMBER(VLOOKUP($A32,Haver_Q!$B$1:$L$185,MATCH(data!H$1,Haver_Q!$B$1:$L$1,0),FALSE)),(VLOOKUP($A32,Haver_Q!$B$1:$L$185,MATCH(data!H$1,Haver_Q!$B$1:$L$1,0),FALSE)),"")</f>
        <v/>
      </c>
      <c r="I32" t="str">
        <f>IF(ISNUMBER(VLOOKUP($A32,Haver_Q!$B$1:$L$185,MATCH(data!I$1,Haver_Q!$B$1:$L$1,0),FALSE)),100*(VLOOKUP($A32,Haver_Q!$B$1:$L$185,MATCH(data!I$1,Haver_Q!$B$1:$L$1,0),FALSE)),"")</f>
        <v/>
      </c>
      <c r="J32" s="3">
        <f>IF(ISNUMBER(Bloomberg_m!C48),Bloomberg_m!C48,"")</f>
        <v>989</v>
      </c>
      <c r="K32" s="3" t="str">
        <f>IF(ISNUMBER(Bloomberg_m!D48),Bloomberg_m!D48,"")</f>
        <v/>
      </c>
      <c r="L32" s="3" t="str">
        <f>IF(ISNUMBER(Bloomberg_m!E48),Bloomberg_m!E48,"")</f>
        <v/>
      </c>
      <c r="M32" s="3" t="str">
        <f>IF(ISNUMBER(Bloomberg_m!F48),Bloomberg_m!F48,"")</f>
        <v/>
      </c>
      <c r="N32">
        <f>IF(ISNUMBER(VLOOKUP($A32,Haver_M!$B$1:$BZ$300,MATCH(data!N$1,Haver_M!$B$1:$BZ$1,0),FALSE)),VLOOKUP($A32,Haver_M!$B$1:$BZ$300,MATCH(data!N$1,Haver_M!$B$1:$BZ$1,0),FALSE),"")</f>
        <v>8</v>
      </c>
      <c r="O32">
        <f>IF(ISNUMBER(VLOOKUP($A32,Haver_M!$B$1:$BZ$300,MATCH(data!O$1,Haver_M!$B$1:$BZ$1,0),FALSE)),VLOOKUP($A32,Haver_M!$B$1:$BZ$300,MATCH(data!O$1,Haver_M!$B$1:$BZ$1,0),FALSE),"")</f>
        <v>7.3733000000000004</v>
      </c>
      <c r="P32">
        <f>IF(ISNUMBER(VLOOKUP($A32,Haver_M!$B$1:$BZ$300,MATCH(data!P$1,Haver_M!$B$1:$BZ$1,0),FALSE)),VLOOKUP($A32,Haver_M!$B$1:$BZ$300,MATCH(data!P$1,Haver_M!$B$1:$BZ$1,0),FALSE),"")</f>
        <v>93.307320000000004</v>
      </c>
      <c r="Q32">
        <f>IF(ISNUMBER(VLOOKUP($A32,Haver_M!$B$1:$BZ$300,MATCH(data!Q$1,Haver_M!$B$1:$BZ$1,0),FALSE)),VLOOKUP($A32,Haver_M!$B$1:$BZ$300,MATCH(data!Q$1,Haver_M!$B$1:$BZ$1,0),FALSE),"")</f>
        <v>51.4</v>
      </c>
      <c r="R32" t="str">
        <f>IF(ISNUMBER(VLOOKUP($A32,Haver_M!$B$1:$BZ$300,MATCH(data!R$1,Haver_M!$B$1:$BZ$1,0),FALSE)),VLOOKUP($A32,Haver_M!$B$1:$BZ$300,MATCH(data!R$1,Haver_M!$B$1:$BZ$1,0),FALSE),"")</f>
        <v/>
      </c>
      <c r="S32">
        <f>IF(ISNUMBER(VLOOKUP($A32,Haver_M!$B$1:$BZ$300,MATCH(data!S$1,Haver_M!$B$1:$BZ$1,0),FALSE)),VLOOKUP($A32,Haver_M!$B$1:$BZ$300,MATCH(data!S$1,Haver_M!$B$1:$BZ$1,0),FALSE),"")</f>
        <v>49.95</v>
      </c>
      <c r="T32">
        <f>IF(ISNUMBER(VLOOKUP($A32,Haver_M!$B$1:$BZ$300,MATCH(data!T$1,Haver_M!$B$1:$BZ$1,0),FALSE)),VLOOKUP($A32,Haver_M!$B$1:$BZ$300,MATCH(data!T$1,Haver_M!$B$1:$BZ$1,0),FALSE),"")</f>
        <v>59.44</v>
      </c>
      <c r="U32">
        <f>IF(ISNUMBER(VLOOKUP($A32,Haver_M!$B$1:$BZ$300,MATCH(data!U$1,Haver_M!$B$1:$BZ$1,0),FALSE)),VLOOKUP($A32,Haver_M!$B$1:$BZ$300,MATCH(data!U$1,Haver_M!$B$1:$BZ$1,0),FALSE),"")</f>
        <v>28.03</v>
      </c>
      <c r="V32">
        <f>IF(ISNUMBER(VLOOKUP($A32,Haver_M!$B$1:$BZ$300,MATCH(data!V$1,Haver_M!$B$1:$BZ$1,0),FALSE)),VLOOKUP($A32,Haver_M!$B$1:$BZ$300,MATCH(data!V$1,Haver_M!$B$1:$BZ$1,0),FALSE),"")</f>
        <v>60.72</v>
      </c>
      <c r="W32" t="str">
        <f>IF(ISNUMBER(VLOOKUP($A32,Haver_M!$B$1:$BZ$300,MATCH(data!W$1,Haver_M!$B$1:$BZ$1,0),FALSE)),VLOOKUP($A32,Haver_M!$B$1:$BZ$300,MATCH(data!W$1,Haver_M!$B$1:$BZ$1,0),FALSE),"")</f>
        <v/>
      </c>
      <c r="X32">
        <f>IF(ISNUMBER(VLOOKUP($A32,Haver_M!$B$1:$BZ$300,MATCH(data!X$1,Haver_M!$B$1:$BZ$1,0),FALSE)),VLOOKUP($A32,Haver_M!$B$1:$BZ$300,MATCH(data!X$1,Haver_M!$B$1:$BZ$1,0),FALSE),"")</f>
        <v>25.7</v>
      </c>
      <c r="Y32">
        <f>IF(ISNUMBER(VLOOKUP($A32,Haver_M!$B$1:$BZ$300,MATCH(data!Y$1,Haver_M!$B$1:$BZ$1,0),FALSE)),VLOOKUP($A32,Haver_M!$B$1:$BZ$300,MATCH(data!Y$1,Haver_M!$B$1:$BZ$1,0),FALSE),"")</f>
        <v>55.44</v>
      </c>
      <c r="Z32" t="str">
        <f>IF(ISNUMBER(VLOOKUP($A32,Haver_M!$B$1:$BZ$300,MATCH(data!Z$1,Haver_M!$B$1:$BZ$1,0),FALSE)),VLOOKUP($A32,Haver_M!$B$1:$BZ$300,MATCH(data!Z$1,Haver_M!$B$1:$BZ$1,0),FALSE),"")</f>
        <v/>
      </c>
      <c r="AA32" t="str">
        <f>IF(ISNUMBER(VLOOKUP($A32,Haver_M!$B$1:$BZ$300,MATCH(data!AA$1,Haver_M!$B$1:$BZ$1,0),FALSE)),VLOOKUP($A32,Haver_M!$B$1:$BZ$300,MATCH(data!AA$1,Haver_M!$B$1:$BZ$1,0),FALSE),"")</f>
        <v/>
      </c>
      <c r="AB32" t="str">
        <f>IF(ISNUMBER(VLOOKUP($A32,Haver_M!$B$1:$BZ$300,MATCH(data!AB$1,Haver_M!$B$1:$BZ$1,0),FALSE)),VLOOKUP($A32,Haver_M!$B$1:$BZ$300,MATCH(data!AB$1,Haver_M!$B$1:$BZ$1,0),FALSE),"")</f>
        <v/>
      </c>
      <c r="AC32" t="str">
        <f>IF(ISNUMBER(VLOOKUP($A32,Haver_M!$B$1:$BZ$300,MATCH(data!AC$1,Haver_M!$B$1:$BZ$1,0),FALSE)),VLOOKUP($A32,Haver_M!$B$1:$BZ$300,MATCH(data!AC$1,Haver_M!$B$1:$BZ$1,0),FALSE),"")</f>
        <v/>
      </c>
      <c r="AD32" t="str">
        <f>IF(ISNUMBER(VLOOKUP($A32,Haver_M!$B$1:$BZ$300,MATCH(data!AD$1,Haver_M!$B$1:$BZ$1,0),FALSE)),VLOOKUP($A32,Haver_M!$B$1:$BZ$300,MATCH(data!AD$1,Haver_M!$B$1:$BZ$1,0),FALSE),"")</f>
        <v/>
      </c>
      <c r="AE32" t="str">
        <f>IF(ISNUMBER(VLOOKUP($A32,Haver_M!$B$1:$BZ$300,MATCH(data!AE$1,Haver_M!$B$1:$BZ$1,0),FALSE)),VLOOKUP($A32,Haver_M!$B$1:$BZ$300,MATCH(data!AE$1,Haver_M!$B$1:$BZ$1,0),FALSE),"")</f>
        <v/>
      </c>
      <c r="AF32" t="str">
        <f>IF(ISNUMBER(VLOOKUP($A32,Haver_M!$B$1:$BZ$300,MATCH(data!AF$1,Haver_M!$B$1:$BZ$1,0),FALSE)),VLOOKUP($A32,Haver_M!$B$1:$BZ$300,MATCH(data!AF$1,Haver_M!$B$1:$BZ$1,0),FALSE),"")</f>
        <v/>
      </c>
      <c r="AG32" t="str">
        <f>IF(ISNUMBER(VLOOKUP($A32,Haver_M!$B$1:$BZ$300,MATCH(data!AG$1,Haver_M!$B$1:$BZ$1,0),FALSE)),VLOOKUP($A32,Haver_M!$B$1:$BZ$300,MATCH(data!AG$1,Haver_M!$B$1:$BZ$1,0),FALSE),"")</f>
        <v/>
      </c>
      <c r="AH32" t="str">
        <f>IF(ISNUMBER(VLOOKUP($A32,Haver_M!$B$1:$BZ$300,MATCH(data!AH$1,Haver_M!$B$1:$BZ$1,0),FALSE)),VLOOKUP($A32,Haver_M!$B$1:$BZ$300,MATCH(data!AH$1,Haver_M!$B$1:$BZ$1,0),FALSE),"")</f>
        <v/>
      </c>
      <c r="AI32">
        <f>IF(ISNUMBER(VLOOKUP($A32,Haver_M!$B$1:$BZ$300,MATCH(data!AI$1,Haver_M!$B$1:$BZ$1,0),FALSE)),VLOOKUP($A32,Haver_M!$B$1:$BZ$300,MATCH(data!AI$1,Haver_M!$B$1:$BZ$1,0),FALSE),"")</f>
        <v>8657.4496392279216</v>
      </c>
      <c r="AJ32">
        <f>IF(ISNUMBER(VLOOKUP($A32,Haver_M!$B$1:$BZ$300,MATCH(data!AJ$1,Haver_M!$B$1:$BZ$1,0),FALSE)),VLOOKUP($A32,Haver_M!$B$1:$BZ$300,MATCH(data!AJ$1,Haver_M!$B$1:$BZ$1,0),FALSE),"")</f>
        <v>4687.0600000000004</v>
      </c>
      <c r="AK32">
        <f>IF(ISNUMBER(VLOOKUP($A32,Haver_M!$B$1:$BZ$300,MATCH(data!AK$1,Haver_M!$B$1:$BZ$1,0),FALSE)),VLOOKUP($A32,Haver_M!$B$1:$BZ$300,MATCH(data!AK$1,Haver_M!$B$1:$BZ$1,0),FALSE),"")</f>
        <v>4815.12</v>
      </c>
      <c r="AL32" t="str">
        <f>IF(ISNUMBER(VLOOKUP($A32,Haver_M!$B$1:$BZ$300,MATCH(data!AL$1,Haver_M!$B$1:$BZ$1,0),FALSE)),VLOOKUP($A32,Haver_M!$B$1:$BZ$300,MATCH(data!AL$1,Haver_M!$B$1:$BZ$1,0),FALSE),"")</f>
        <v/>
      </c>
      <c r="AM32" t="str">
        <f>IF(ISNUMBER(VLOOKUP($A32,Haver_M!$B$1:$BZ$300,MATCH(data!AM$1,Haver_M!$B$1:$BZ$1,0),FALSE)),VLOOKUP($A32,Haver_M!$B$1:$BZ$300,MATCH(data!AM$1,Haver_M!$B$1:$BZ$1,0),FALSE),"")</f>
        <v/>
      </c>
      <c r="AN32" t="str">
        <f>IF(ISNUMBER(VLOOKUP($A32,Haver_M!$B$1:$BZ$300,MATCH(data!AN$1,Haver_M!$B$1:$BZ$1,0),FALSE)),VLOOKUP($A32,Haver_M!$B$1:$BZ$300,MATCH(data!AN$1,Haver_M!$B$1:$BZ$1,0),FALSE),"")</f>
        <v/>
      </c>
      <c r="AO32" t="str">
        <f>IF(ISNUMBER(VLOOKUP($A32,Haver_M!$B$1:$BZ$300,MATCH(data!AO$1,Haver_M!$B$1:$BZ$1,0),FALSE)),VLOOKUP($A32,Haver_M!$B$1:$BZ$300,MATCH(data!AO$1,Haver_M!$B$1:$BZ$1,0),FALSE),"")</f>
        <v/>
      </c>
      <c r="AP32">
        <f>IF(ISNUMBER(VLOOKUP($A32,Haver_M!$B$1:$BZ$300,MATCH(data!AP$1,Haver_M!$B$1:$BZ$1,0),FALSE)),VLOOKUP($A32,Haver_M!$B$1:$BZ$300,MATCH(data!AP$1,Haver_M!$B$1:$BZ$1,0),FALSE),"")</f>
        <v>81.260697539129765</v>
      </c>
      <c r="AQ32" t="str">
        <f>IF(ISNUMBER(VLOOKUP($A32,Haver_M!$B$1:$BZ$300,MATCH(data!AQ$1,Haver_M!$B$1:$BZ$1,0),FALSE)),VLOOKUP($A32,Haver_M!$B$1:$BZ$300,MATCH(data!AQ$1,Haver_M!$B$1:$BZ$1,0),FALSE),"")</f>
        <v/>
      </c>
      <c r="AR32" t="str">
        <f>IF(ISNUMBER(VLOOKUP($A32,Haver_M!$B$1:$BZ$300,MATCH(data!AR$1,Haver_M!$B$1:$BZ$1,0),FALSE)),VLOOKUP($A32,Haver_M!$B$1:$BZ$300,MATCH(data!AR$1,Haver_M!$B$1:$BZ$1,0),FALSE),"")</f>
        <v/>
      </c>
      <c r="AS32" t="str">
        <f>IF(ISNUMBER(VLOOKUP($A32,Haver_M!$B$1:$BZ$300,MATCH(data!AS$1,Haver_M!$B$1:$BZ$1,0),FALSE)),VLOOKUP($A32,Haver_M!$B$1:$BZ$300,MATCH(data!AS$1,Haver_M!$B$1:$BZ$1,0),FALSE),"")</f>
        <v/>
      </c>
      <c r="AT32" t="str">
        <f>IF(ISNUMBER(VLOOKUP($A32,Haver_M!$B$1:$BZ$300,MATCH(data!AT$1,Haver_M!$B$1:$BZ$1,0),FALSE)),VLOOKUP($A32,Haver_M!$B$1:$BZ$300,MATCH(data!AT$1,Haver_M!$B$1:$BZ$1,0),FALSE),"")</f>
        <v/>
      </c>
      <c r="AU32" t="str">
        <f>IF(ISNUMBER(VLOOKUP($A32,Haver_M!$B$1:$BZ$300,MATCH(data!AU$1,Haver_M!$B$1:$BZ$1,0),FALSE)),VLOOKUP($A32,Haver_M!$B$1:$BZ$300,MATCH(data!AU$1,Haver_M!$B$1:$BZ$1,0),FALSE),"")</f>
        <v/>
      </c>
      <c r="AV32" t="str">
        <f>IF(ISNUMBER(VLOOKUP($A32,Haver_M!$B$1:$BZ$300,MATCH(data!AV$1,Haver_M!$B$1:$BZ$1,0),FALSE)),VLOOKUP($A32,Haver_M!$B$1:$BZ$300,MATCH(data!AV$1,Haver_M!$B$1:$BZ$1,0),FALSE),"")</f>
        <v/>
      </c>
      <c r="AW32" t="str">
        <f>IF(ISNUMBER(VLOOKUP($A32,Haver_M!$B$1:$BZ$300,MATCH(data!AW$1,Haver_M!$B$1:$BZ$1,0),FALSE)),VLOOKUP($A32,Haver_M!$B$1:$BZ$300,MATCH(data!AW$1,Haver_M!$B$1:$BZ$1,0),FALSE),"")</f>
        <v/>
      </c>
      <c r="AX32" t="str">
        <f>IF(ISNUMBER(VLOOKUP($A32,Haver_M!$B$1:$BZ$300,MATCH(data!AX$1,Haver_M!$B$1:$BZ$1,0),FALSE)),VLOOKUP($A32,Haver_M!$B$1:$BZ$300,MATCH(data!AX$1,Haver_M!$B$1:$BZ$1,0),FALSE),"")</f>
        <v/>
      </c>
      <c r="AY32" t="str">
        <f>IF(ISNUMBER(VLOOKUP($A32,Haver_M!$B$1:$BZ$300,MATCH(data!AY$1,Haver_M!$B$1:$BZ$1,0),FALSE)),VLOOKUP($A32,Haver_M!$B$1:$BZ$300,MATCH(data!AY$1,Haver_M!$B$1:$BZ$1,0),FALSE),"")</f>
        <v/>
      </c>
      <c r="AZ32" t="str">
        <f>IF(ISNUMBER(VLOOKUP($A32,Haver_M!$B$1:$BZ$300,MATCH(data!AZ$1,Haver_M!$B$1:$BZ$1,0),FALSE)),VLOOKUP($A32,Haver_M!$B$1:$BZ$300,MATCH(data!AZ$1,Haver_M!$B$1:$BZ$1,0),FALSE),"")</f>
        <v/>
      </c>
      <c r="BA32" t="str">
        <f>IF(ISNUMBER(VLOOKUP($A32,Haver_M!$B$1:$BZ$300,MATCH(data!BA$1,Haver_M!$B$1:$BZ$1,0),FALSE)),VLOOKUP($A32,Haver_M!$B$1:$BZ$300,MATCH(data!BA$1,Haver_M!$B$1:$BZ$1,0),FALSE),"")</f>
        <v/>
      </c>
      <c r="BB32" t="str">
        <f>IF(ISNUMBER(VLOOKUP($A32,Haver_M!$B$1:$BZ$300,MATCH(data!BB$1,Haver_M!$B$1:$BZ$1,0),FALSE)),VLOOKUP($A32,Haver_M!$B$1:$BZ$300,MATCH(data!BB$1,Haver_M!$B$1:$BZ$1,0),FALSE),"")</f>
        <v/>
      </c>
      <c r="BC32" t="str">
        <f>IF(ISNUMBER(VLOOKUP($A32,Haver_M!$B$1:$BZ$300,MATCH(data!BC$1,Haver_M!$B$1:$BZ$1,0),FALSE)),VLOOKUP($A32,Haver_M!$B$1:$BZ$300,MATCH(data!BC$1,Haver_M!$B$1:$BZ$1,0),FALSE),"")</f>
        <v/>
      </c>
      <c r="BD32" t="str">
        <f>IF(ISNUMBER(VLOOKUP($A32,Haver_M!$B$1:$BZ$300,MATCH(data!BD$1,Haver_M!$B$1:$BZ$1,0),FALSE)),VLOOKUP($A32,Haver_M!$B$1:$BZ$300,MATCH(data!BD$1,Haver_M!$B$1:$BZ$1,0),FALSE),"")</f>
        <v/>
      </c>
      <c r="BE32" t="str">
        <f>IF(ISNUMBER(VLOOKUP($A32,Haver_M!$B$1:$BZ$300,MATCH(data!BE$1,Haver_M!$B$1:$BZ$1,0),FALSE)),VLOOKUP($A32,Haver_M!$B$1:$BZ$300,MATCH(data!BE$1,Haver_M!$B$1:$BZ$1,0),FALSE),"")</f>
        <v/>
      </c>
      <c r="BF32" t="str">
        <f>IF(ISNUMBER(VLOOKUP($A32,Haver_M!$B$1:$BZ$300,MATCH(data!BF$1,Haver_M!$B$1:$BZ$1,0),FALSE)),VLOOKUP($A32,Haver_M!$B$1:$BZ$300,MATCH(data!BF$1,Haver_M!$B$1:$BZ$1,0),FALSE),"")</f>
        <v/>
      </c>
      <c r="BG32" t="str">
        <f>IF(ISNUMBER(VLOOKUP($A32,Haver_M!$B$1:$BZ$300,MATCH(data!BG$1,Haver_M!$B$1:$BZ$1,0),FALSE)),VLOOKUP($A32,Haver_M!$B$1:$BZ$300,MATCH(data!BG$1,Haver_M!$B$1:$BZ$1,0),FALSE),"")</f>
        <v/>
      </c>
      <c r="BH32" t="str">
        <f>IF(ISNUMBER(VLOOKUP($A32,Haver_M!$B$1:$BZ$300,MATCH(data!BH$1,Haver_M!$B$1:$BZ$1,0),FALSE)),VLOOKUP($A32,Haver_M!$B$1:$BZ$300,MATCH(data!BH$1,Haver_M!$B$1:$BZ$1,0),FALSE),"")</f>
        <v/>
      </c>
      <c r="BI32" t="str">
        <f>IF(ISNUMBER(VLOOKUP($A32,Haver_M!$B$1:$BZ$300,MATCH(data!BI$1,Haver_M!$B$1:$BZ$1,0),FALSE)),VLOOKUP($A32,Haver_M!$B$1:$BZ$300,MATCH(data!BI$1,Haver_M!$B$1:$BZ$1,0),FALSE),"")</f>
        <v/>
      </c>
      <c r="BJ32" t="str">
        <f>IF(ISNUMBER(VLOOKUP($A32,Haver_M!$B$1:$BZ$300,MATCH(data!BJ$1,Haver_M!$B$1:$BZ$1,0),FALSE)),VLOOKUP($A32,Haver_M!$B$1:$BZ$300,MATCH(data!BJ$1,Haver_M!$B$1:$BZ$1,0),FALSE),"")</f>
        <v/>
      </c>
      <c r="BK32" t="str">
        <f>IF(ISNUMBER(VLOOKUP($A32,Haver_M!$B$1:$BZ$300,MATCH(data!BK$1,Haver_M!$B$1:$BZ$1,0),FALSE)),VLOOKUP($A32,Haver_M!$B$1:$BZ$300,MATCH(data!BK$1,Haver_M!$B$1:$BZ$1,0),FALSE),"")</f>
        <v/>
      </c>
      <c r="BL32">
        <f>IF(ISNUMBER(VLOOKUP($A32,Haver_M!$B$1:$BZ$300,MATCH(data!BL$1,Haver_M!$B$1:$BZ$1,0),FALSE)),VLOOKUP($A32,Haver_M!$B$1:$BZ$300,MATCH(data!BL$1,Haver_M!$B$1:$BZ$1,0),FALSE),"")</f>
        <v>3214.87</v>
      </c>
      <c r="BM32">
        <f>IF(ISNUMBER(VLOOKUP($A32,Haver_M!$B$1:$BZ$300,MATCH(data!BM$1,Haver_M!$B$1:$BZ$1,0),FALSE)),VLOOKUP($A32,Haver_M!$B$1:$BZ$300,MATCH(data!BM$1,Haver_M!$B$1:$BZ$1,0),FALSE),"")</f>
        <v>93.380121840000001</v>
      </c>
      <c r="BN32" t="str">
        <f>IF(ISNUMBER(VLOOKUP($A32,Haver_M!$B$1:$BZ$300,MATCH(data!BN$1,Haver_M!$B$1:$BZ$1,0),FALSE)),VLOOKUP($A32,Haver_M!$B$1:$BZ$300,MATCH(data!BN$1,Haver_M!$B$1:$BZ$1,0),FALSE),"")</f>
        <v/>
      </c>
      <c r="BO32" t="str">
        <f>IF(ISNUMBER(VLOOKUP($A32,Haver_M!$B$1:$BZ$300,MATCH(data!BO$1,Haver_M!$B$1:$BZ$1,0),FALSE)),VLOOKUP($A32,Haver_M!$B$1:$BZ$300,MATCH(data!BO$1,Haver_M!$B$1:$BZ$1,0),FALSE),"")</f>
        <v/>
      </c>
      <c r="BP32" t="str">
        <f>IF(ISNUMBER(VLOOKUP($A32,Haver_M!$B$1:$BZ$300,MATCH(data!BP$1,Haver_M!$B$1:$BZ$1,0),FALSE)),VLOOKUP($A32,Haver_M!$B$1:$BZ$300,MATCH(data!BP$1,Haver_M!$B$1:$BZ$1,0),FALSE),"")</f>
        <v/>
      </c>
      <c r="BQ32" t="str">
        <f>IF(ISNUMBER(VLOOKUP($A32,Haver_M!$B$1:$BZ$300,MATCH(data!BQ$1,Haver_M!$B$1:$BZ$1,0),FALSE)),VLOOKUP($A32,Haver_M!$B$1:$BZ$300,MATCH(data!BQ$1,Haver_M!$B$1:$BZ$1,0),FALSE),"")</f>
        <v/>
      </c>
      <c r="BR32" t="str">
        <f>IF(ISNUMBER(VLOOKUP($A32,Haver_M!$B$1:$BZ$300,MATCH(data!BR$1,Haver_M!$B$1:$BZ$1,0),FALSE)),VLOOKUP($A32,Haver_M!$B$1:$BZ$300,MATCH(data!BR$1,Haver_M!$B$1:$BZ$1,0),FALSE),"")</f>
        <v/>
      </c>
      <c r="BS32" t="str">
        <f>IF(ISNUMBER(VLOOKUP($A32,Haver_M!$B$1:$BZ$300,MATCH(data!BS$1,Haver_M!$B$1:$BZ$1,0),FALSE)),VLOOKUP($A32,Haver_M!$B$1:$BZ$300,MATCH(data!BS$1,Haver_M!$B$1:$BZ$1,0),FALSE),"")</f>
        <v/>
      </c>
      <c r="BT32" t="str">
        <f>IF(ISNUMBER(VLOOKUP($A32,Haver_M!$B$1:$BZ$300,MATCH(data!BT$1,Haver_M!$B$1:$BZ$1,0),FALSE)),VLOOKUP($A32,Haver_M!$B$1:$BZ$300,MATCH(data!BT$1,Haver_M!$B$1:$BZ$1,0),FALSE),"")</f>
        <v/>
      </c>
      <c r="BU32">
        <f>IF(ISNUMBER(VLOOKUP($A32,Haver_M!$B$1:$BZ$300,MATCH(data!BU$1,Haver_M!$B$1:$BZ$1,0),FALSE)),VLOOKUP($A32,Haver_M!$B$1:$BZ$300,MATCH(data!BU$1,Haver_M!$B$1:$BZ$1,0),FALSE),"")</f>
        <v>4583</v>
      </c>
      <c r="BV32">
        <f>IF(ISNUMBER(VLOOKUP($A32,Haver_M!$B$1:$BZ$300,MATCH(data!BV$1,Haver_M!$B$1:$BZ$1,0),FALSE)),VLOOKUP($A32,Haver_M!$B$1:$BZ$300,MATCH(data!BV$1,Haver_M!$B$1:$BZ$1,0),FALSE),"")</f>
        <v>4874</v>
      </c>
      <c r="BW32">
        <f>IF(ISNUMBER(VLOOKUP($A32,Haver_M!$B$1:$BZ$300,MATCH(data!BW$1,Haver_M!$B$1:$BZ$1,0),FALSE)),VLOOKUP($A32,Haver_M!$B$1:$BZ$300,MATCH(data!BW$1,Haver_M!$B$1:$BZ$1,0),FALSE),"")</f>
        <v>48.763500000000001</v>
      </c>
      <c r="BX32">
        <f>IF(ISNUMBER(VLOOKUP($A32,Haver_M!$B$1:$BZ$300,MATCH(data!BX$1,Haver_M!$B$1:$BZ$1,0),FALSE)),VLOOKUP($A32,Haver_M!$B$1:$BZ$300,MATCH(data!BX$1,Haver_M!$B$1:$BZ$1,0),FALSE),"")</f>
        <v>59845</v>
      </c>
    </row>
    <row r="33" spans="1:76" x14ac:dyDescent="0.25">
      <c r="A33" s="2">
        <v>37499</v>
      </c>
      <c r="B33" t="str">
        <f>IF(ISNUMBER(VLOOKUP($A33,Haver_Q!$B$1:$L$185,MATCH(data!B$1,Haver_Q!$B$1:$L$1,0),FALSE)),100*(VLOOKUP($A33,Haver_Q!$B$1:$L$185,MATCH(data!B$1,Haver_Q!$B$1:$L$1,0),FALSE)),"")</f>
        <v/>
      </c>
      <c r="C33" t="str">
        <f>IF(ISNUMBER(VLOOKUP($A33,Haver_Q!$B$1:$L$185,MATCH(data!C$1,Haver_Q!$B$1:$L$1,0),FALSE)),100*(VLOOKUP($A33,Haver_Q!$B$1:$L$185,MATCH(data!C$1,Haver_Q!$B$1:$L$1,0),FALSE)),"")</f>
        <v/>
      </c>
      <c r="D33" t="str">
        <f>IF(ISNUMBER(VLOOKUP($A33,Haver_Q!$B$1:$L$185,MATCH(data!D$1,Haver_Q!$B$1:$L$1,0),FALSE)),100*(VLOOKUP($A33,Haver_Q!$B$1:$L$185,MATCH(data!D$1,Haver_Q!$B$1:$L$1,0),FALSE)),"")</f>
        <v/>
      </c>
      <c r="E33" t="str">
        <f>IF(ISNUMBER(VLOOKUP($A33,Haver_Q!$B$1:$L$185,MATCH(data!E$1,Haver_Q!$B$1:$L$1,0),FALSE)),100*(VLOOKUP($A33,Haver_Q!$B$1:$L$185,MATCH(data!E$1,Haver_Q!$B$1:$L$1,0),FALSE)),"")</f>
        <v/>
      </c>
      <c r="F33" t="str">
        <f>IF(ISNUMBER(VLOOKUP($A33,Haver_Q!$B$1:$L$185,MATCH(data!F$1,Haver_Q!$B$1:$L$1,0),FALSE)),100*(VLOOKUP($A33,Haver_Q!$B$1:$L$185,MATCH(data!F$1,Haver_Q!$B$1:$L$1,0),FALSE)),"")</f>
        <v/>
      </c>
      <c r="G33" t="str">
        <f>IF(ISNUMBER(VLOOKUP($A33,Haver_Q!$B$1:$L$185,MATCH(data!G$1,Haver_Q!$B$1:$L$1,0),FALSE)),100*(VLOOKUP($A33,Haver_Q!$B$1:$L$185,MATCH(data!G$1,Haver_Q!$B$1:$L$1,0),FALSE)),"")</f>
        <v/>
      </c>
      <c r="H33" t="str">
        <f>IF(ISNUMBER(VLOOKUP($A33,Haver_Q!$B$1:$L$185,MATCH(data!H$1,Haver_Q!$B$1:$L$1,0),FALSE)),(VLOOKUP($A33,Haver_Q!$B$1:$L$185,MATCH(data!H$1,Haver_Q!$B$1:$L$1,0),FALSE)),"")</f>
        <v/>
      </c>
      <c r="I33" t="str">
        <f>IF(ISNUMBER(VLOOKUP($A33,Haver_Q!$B$1:$L$185,MATCH(data!I$1,Haver_Q!$B$1:$L$1,0),FALSE)),100*(VLOOKUP($A33,Haver_Q!$B$1:$L$185,MATCH(data!I$1,Haver_Q!$B$1:$L$1,0),FALSE)),"")</f>
        <v/>
      </c>
      <c r="J33" s="3">
        <f>IF(ISNUMBER(Bloomberg_m!C49),Bloomberg_m!C49,"")</f>
        <v>1002</v>
      </c>
      <c r="K33" s="3" t="str">
        <f>IF(ISNUMBER(Bloomberg_m!D49),Bloomberg_m!D49,"")</f>
        <v/>
      </c>
      <c r="L33" s="3" t="str">
        <f>IF(ISNUMBER(Bloomberg_m!E49),Bloomberg_m!E49,"")</f>
        <v/>
      </c>
      <c r="M33" s="3" t="str">
        <f>IF(ISNUMBER(Bloomberg_m!F49),Bloomberg_m!F49,"")</f>
        <v/>
      </c>
      <c r="N33">
        <f>IF(ISNUMBER(VLOOKUP($A33,Haver_M!$B$1:$BZ$300,MATCH(data!N$1,Haver_M!$B$1:$BZ$1,0),FALSE)),VLOOKUP($A33,Haver_M!$B$1:$BZ$300,MATCH(data!N$1,Haver_M!$B$1:$BZ$1,0),FALSE),"")</f>
        <v>8</v>
      </c>
      <c r="O33">
        <f>IF(ISNUMBER(VLOOKUP($A33,Haver_M!$B$1:$BZ$300,MATCH(data!O$1,Haver_M!$B$1:$BZ$1,0),FALSE)),VLOOKUP($A33,Haver_M!$B$1:$BZ$300,MATCH(data!O$1,Haver_M!$B$1:$BZ$1,0),FALSE),"")</f>
        <v>7.1559999999999997</v>
      </c>
      <c r="P33">
        <f>IF(ISNUMBER(VLOOKUP($A33,Haver_M!$B$1:$BZ$300,MATCH(data!P$1,Haver_M!$B$1:$BZ$1,0),FALSE)),VLOOKUP($A33,Haver_M!$B$1:$BZ$300,MATCH(data!P$1,Haver_M!$B$1:$BZ$1,0),FALSE),"")</f>
        <v>95.251800000000003</v>
      </c>
      <c r="Q33">
        <f>IF(ISNUMBER(VLOOKUP($A33,Haver_M!$B$1:$BZ$300,MATCH(data!Q$1,Haver_M!$B$1:$BZ$1,0),FALSE)),VLOOKUP($A33,Haver_M!$B$1:$BZ$300,MATCH(data!Q$1,Haver_M!$B$1:$BZ$1,0),FALSE),"")</f>
        <v>51.6</v>
      </c>
      <c r="R33" t="str">
        <f>IF(ISNUMBER(VLOOKUP($A33,Haver_M!$B$1:$BZ$300,MATCH(data!R$1,Haver_M!$B$1:$BZ$1,0),FALSE)),VLOOKUP($A33,Haver_M!$B$1:$BZ$300,MATCH(data!R$1,Haver_M!$B$1:$BZ$1,0),FALSE),"")</f>
        <v/>
      </c>
      <c r="S33">
        <f>IF(ISNUMBER(VLOOKUP($A33,Haver_M!$B$1:$BZ$300,MATCH(data!S$1,Haver_M!$B$1:$BZ$1,0),FALSE)),VLOOKUP($A33,Haver_M!$B$1:$BZ$300,MATCH(data!S$1,Haver_M!$B$1:$BZ$1,0),FALSE),"")</f>
        <v>50.3</v>
      </c>
      <c r="T33">
        <f>IF(ISNUMBER(VLOOKUP($A33,Haver_M!$B$1:$BZ$300,MATCH(data!T$1,Haver_M!$B$1:$BZ$1,0),FALSE)),VLOOKUP($A33,Haver_M!$B$1:$BZ$300,MATCH(data!T$1,Haver_M!$B$1:$BZ$1,0),FALSE),"")</f>
        <v>59.49</v>
      </c>
      <c r="U33">
        <f>IF(ISNUMBER(VLOOKUP($A33,Haver_M!$B$1:$BZ$300,MATCH(data!U$1,Haver_M!$B$1:$BZ$1,0),FALSE)),VLOOKUP($A33,Haver_M!$B$1:$BZ$300,MATCH(data!U$1,Haver_M!$B$1:$BZ$1,0),FALSE),"")</f>
        <v>28.55</v>
      </c>
      <c r="V33">
        <f>IF(ISNUMBER(VLOOKUP($A33,Haver_M!$B$1:$BZ$300,MATCH(data!V$1,Haver_M!$B$1:$BZ$1,0),FALSE)),VLOOKUP($A33,Haver_M!$B$1:$BZ$300,MATCH(data!V$1,Haver_M!$B$1:$BZ$1,0),FALSE),"")</f>
        <v>61.8</v>
      </c>
      <c r="W33" t="str">
        <f>IF(ISNUMBER(VLOOKUP($A33,Haver_M!$B$1:$BZ$300,MATCH(data!W$1,Haver_M!$B$1:$BZ$1,0),FALSE)),VLOOKUP($A33,Haver_M!$B$1:$BZ$300,MATCH(data!W$1,Haver_M!$B$1:$BZ$1,0),FALSE),"")</f>
        <v/>
      </c>
      <c r="X33">
        <f>IF(ISNUMBER(VLOOKUP($A33,Haver_M!$B$1:$BZ$300,MATCH(data!X$1,Haver_M!$B$1:$BZ$1,0),FALSE)),VLOOKUP($A33,Haver_M!$B$1:$BZ$300,MATCH(data!X$1,Haver_M!$B$1:$BZ$1,0),FALSE),"")</f>
        <v>26.24</v>
      </c>
      <c r="Y33">
        <f>IF(ISNUMBER(VLOOKUP($A33,Haver_M!$B$1:$BZ$300,MATCH(data!Y$1,Haver_M!$B$1:$BZ$1,0),FALSE)),VLOOKUP($A33,Haver_M!$B$1:$BZ$300,MATCH(data!Y$1,Haver_M!$B$1:$BZ$1,0),FALSE),"")</f>
        <v>55.14</v>
      </c>
      <c r="Z33" t="str">
        <f>IF(ISNUMBER(VLOOKUP($A33,Haver_M!$B$1:$BZ$300,MATCH(data!Z$1,Haver_M!$B$1:$BZ$1,0),FALSE)),VLOOKUP($A33,Haver_M!$B$1:$BZ$300,MATCH(data!Z$1,Haver_M!$B$1:$BZ$1,0),FALSE),"")</f>
        <v/>
      </c>
      <c r="AA33" t="str">
        <f>IF(ISNUMBER(VLOOKUP($A33,Haver_M!$B$1:$BZ$300,MATCH(data!AA$1,Haver_M!$B$1:$BZ$1,0),FALSE)),VLOOKUP($A33,Haver_M!$B$1:$BZ$300,MATCH(data!AA$1,Haver_M!$B$1:$BZ$1,0),FALSE),"")</f>
        <v/>
      </c>
      <c r="AB33" t="str">
        <f>IF(ISNUMBER(VLOOKUP($A33,Haver_M!$B$1:$BZ$300,MATCH(data!AB$1,Haver_M!$B$1:$BZ$1,0),FALSE)),VLOOKUP($A33,Haver_M!$B$1:$BZ$300,MATCH(data!AB$1,Haver_M!$B$1:$BZ$1,0),FALSE),"")</f>
        <v/>
      </c>
      <c r="AC33" t="str">
        <f>IF(ISNUMBER(VLOOKUP($A33,Haver_M!$B$1:$BZ$300,MATCH(data!AC$1,Haver_M!$B$1:$BZ$1,0),FALSE)),VLOOKUP($A33,Haver_M!$B$1:$BZ$300,MATCH(data!AC$1,Haver_M!$B$1:$BZ$1,0),FALSE),"")</f>
        <v/>
      </c>
      <c r="AD33" t="str">
        <f>IF(ISNUMBER(VLOOKUP($A33,Haver_M!$B$1:$BZ$300,MATCH(data!AD$1,Haver_M!$B$1:$BZ$1,0),FALSE)),VLOOKUP($A33,Haver_M!$B$1:$BZ$300,MATCH(data!AD$1,Haver_M!$B$1:$BZ$1,0),FALSE),"")</f>
        <v/>
      </c>
      <c r="AE33" t="str">
        <f>IF(ISNUMBER(VLOOKUP($A33,Haver_M!$B$1:$BZ$300,MATCH(data!AE$1,Haver_M!$B$1:$BZ$1,0),FALSE)),VLOOKUP($A33,Haver_M!$B$1:$BZ$300,MATCH(data!AE$1,Haver_M!$B$1:$BZ$1,0),FALSE),"")</f>
        <v/>
      </c>
      <c r="AF33" t="str">
        <f>IF(ISNUMBER(VLOOKUP($A33,Haver_M!$B$1:$BZ$300,MATCH(data!AF$1,Haver_M!$B$1:$BZ$1,0),FALSE)),VLOOKUP($A33,Haver_M!$B$1:$BZ$300,MATCH(data!AF$1,Haver_M!$B$1:$BZ$1,0),FALSE),"")</f>
        <v/>
      </c>
      <c r="AG33" t="str">
        <f>IF(ISNUMBER(VLOOKUP($A33,Haver_M!$B$1:$BZ$300,MATCH(data!AG$1,Haver_M!$B$1:$BZ$1,0),FALSE)),VLOOKUP($A33,Haver_M!$B$1:$BZ$300,MATCH(data!AG$1,Haver_M!$B$1:$BZ$1,0),FALSE),"")</f>
        <v/>
      </c>
      <c r="AH33" t="str">
        <f>IF(ISNUMBER(VLOOKUP($A33,Haver_M!$B$1:$BZ$300,MATCH(data!AH$1,Haver_M!$B$1:$BZ$1,0),FALSE)),VLOOKUP($A33,Haver_M!$B$1:$BZ$300,MATCH(data!AH$1,Haver_M!$B$1:$BZ$1,0),FALSE),"")</f>
        <v/>
      </c>
      <c r="AI33">
        <f>IF(ISNUMBER(VLOOKUP($A33,Haver_M!$B$1:$BZ$300,MATCH(data!AI$1,Haver_M!$B$1:$BZ$1,0),FALSE)),VLOOKUP($A33,Haver_M!$B$1:$BZ$300,MATCH(data!AI$1,Haver_M!$B$1:$BZ$1,0),FALSE),"")</f>
        <v>8680.7810857872428</v>
      </c>
      <c r="AJ33">
        <f>IF(ISNUMBER(VLOOKUP($A33,Haver_M!$B$1:$BZ$300,MATCH(data!AJ$1,Haver_M!$B$1:$BZ$1,0),FALSE)),VLOOKUP($A33,Haver_M!$B$1:$BZ$300,MATCH(data!AJ$1,Haver_M!$B$1:$BZ$1,0),FALSE),"")</f>
        <v>4585.4799999999996</v>
      </c>
      <c r="AK33">
        <f>IF(ISNUMBER(VLOOKUP($A33,Haver_M!$B$1:$BZ$300,MATCH(data!AK$1,Haver_M!$B$1:$BZ$1,0),FALSE)),VLOOKUP($A33,Haver_M!$B$1:$BZ$300,MATCH(data!AK$1,Haver_M!$B$1:$BZ$1,0),FALSE),"")</f>
        <v>4911.32</v>
      </c>
      <c r="AL33" t="str">
        <f>IF(ISNUMBER(VLOOKUP($A33,Haver_M!$B$1:$BZ$300,MATCH(data!AL$1,Haver_M!$B$1:$BZ$1,0),FALSE)),VLOOKUP($A33,Haver_M!$B$1:$BZ$300,MATCH(data!AL$1,Haver_M!$B$1:$BZ$1,0),FALSE),"")</f>
        <v/>
      </c>
      <c r="AM33" t="str">
        <f>IF(ISNUMBER(VLOOKUP($A33,Haver_M!$B$1:$BZ$300,MATCH(data!AM$1,Haver_M!$B$1:$BZ$1,0),FALSE)),VLOOKUP($A33,Haver_M!$B$1:$BZ$300,MATCH(data!AM$1,Haver_M!$B$1:$BZ$1,0),FALSE),"")</f>
        <v/>
      </c>
      <c r="AN33" t="str">
        <f>IF(ISNUMBER(VLOOKUP($A33,Haver_M!$B$1:$BZ$300,MATCH(data!AN$1,Haver_M!$B$1:$BZ$1,0),FALSE)),VLOOKUP($A33,Haver_M!$B$1:$BZ$300,MATCH(data!AN$1,Haver_M!$B$1:$BZ$1,0),FALSE),"")</f>
        <v/>
      </c>
      <c r="AO33" t="str">
        <f>IF(ISNUMBER(VLOOKUP($A33,Haver_M!$B$1:$BZ$300,MATCH(data!AO$1,Haver_M!$B$1:$BZ$1,0),FALSE)),VLOOKUP($A33,Haver_M!$B$1:$BZ$300,MATCH(data!AO$1,Haver_M!$B$1:$BZ$1,0),FALSE),"")</f>
        <v/>
      </c>
      <c r="AP33">
        <f>IF(ISNUMBER(VLOOKUP($A33,Haver_M!$B$1:$BZ$300,MATCH(data!AP$1,Haver_M!$B$1:$BZ$1,0),FALSE)),VLOOKUP($A33,Haver_M!$B$1:$BZ$300,MATCH(data!AP$1,Haver_M!$B$1:$BZ$1,0),FALSE),"")</f>
        <v>101.52882684066276</v>
      </c>
      <c r="AQ33" t="str">
        <f>IF(ISNUMBER(VLOOKUP($A33,Haver_M!$B$1:$BZ$300,MATCH(data!AQ$1,Haver_M!$B$1:$BZ$1,0),FALSE)),VLOOKUP($A33,Haver_M!$B$1:$BZ$300,MATCH(data!AQ$1,Haver_M!$B$1:$BZ$1,0),FALSE),"")</f>
        <v/>
      </c>
      <c r="AR33" t="str">
        <f>IF(ISNUMBER(VLOOKUP($A33,Haver_M!$B$1:$BZ$300,MATCH(data!AR$1,Haver_M!$B$1:$BZ$1,0),FALSE)),VLOOKUP($A33,Haver_M!$B$1:$BZ$300,MATCH(data!AR$1,Haver_M!$B$1:$BZ$1,0),FALSE),"")</f>
        <v/>
      </c>
      <c r="AS33" t="str">
        <f>IF(ISNUMBER(VLOOKUP($A33,Haver_M!$B$1:$BZ$300,MATCH(data!AS$1,Haver_M!$B$1:$BZ$1,0),FALSE)),VLOOKUP($A33,Haver_M!$B$1:$BZ$300,MATCH(data!AS$1,Haver_M!$B$1:$BZ$1,0),FALSE),"")</f>
        <v/>
      </c>
      <c r="AT33" t="str">
        <f>IF(ISNUMBER(VLOOKUP($A33,Haver_M!$B$1:$BZ$300,MATCH(data!AT$1,Haver_M!$B$1:$BZ$1,0),FALSE)),VLOOKUP($A33,Haver_M!$B$1:$BZ$300,MATCH(data!AT$1,Haver_M!$B$1:$BZ$1,0),FALSE),"")</f>
        <v/>
      </c>
      <c r="AU33" t="str">
        <f>IF(ISNUMBER(VLOOKUP($A33,Haver_M!$B$1:$BZ$300,MATCH(data!AU$1,Haver_M!$B$1:$BZ$1,0),FALSE)),VLOOKUP($A33,Haver_M!$B$1:$BZ$300,MATCH(data!AU$1,Haver_M!$B$1:$BZ$1,0),FALSE),"")</f>
        <v/>
      </c>
      <c r="AV33" t="str">
        <f>IF(ISNUMBER(VLOOKUP($A33,Haver_M!$B$1:$BZ$300,MATCH(data!AV$1,Haver_M!$B$1:$BZ$1,0),FALSE)),VLOOKUP($A33,Haver_M!$B$1:$BZ$300,MATCH(data!AV$1,Haver_M!$B$1:$BZ$1,0),FALSE),"")</f>
        <v/>
      </c>
      <c r="AW33" t="str">
        <f>IF(ISNUMBER(VLOOKUP($A33,Haver_M!$B$1:$BZ$300,MATCH(data!AW$1,Haver_M!$B$1:$BZ$1,0),FALSE)),VLOOKUP($A33,Haver_M!$B$1:$BZ$300,MATCH(data!AW$1,Haver_M!$B$1:$BZ$1,0),FALSE),"")</f>
        <v/>
      </c>
      <c r="AX33" t="str">
        <f>IF(ISNUMBER(VLOOKUP($A33,Haver_M!$B$1:$BZ$300,MATCH(data!AX$1,Haver_M!$B$1:$BZ$1,0),FALSE)),VLOOKUP($A33,Haver_M!$B$1:$BZ$300,MATCH(data!AX$1,Haver_M!$B$1:$BZ$1,0),FALSE),"")</f>
        <v/>
      </c>
      <c r="AY33" t="str">
        <f>IF(ISNUMBER(VLOOKUP($A33,Haver_M!$B$1:$BZ$300,MATCH(data!AY$1,Haver_M!$B$1:$BZ$1,0),FALSE)),VLOOKUP($A33,Haver_M!$B$1:$BZ$300,MATCH(data!AY$1,Haver_M!$B$1:$BZ$1,0),FALSE),"")</f>
        <v/>
      </c>
      <c r="AZ33" t="str">
        <f>IF(ISNUMBER(VLOOKUP($A33,Haver_M!$B$1:$BZ$300,MATCH(data!AZ$1,Haver_M!$B$1:$BZ$1,0),FALSE)),VLOOKUP($A33,Haver_M!$B$1:$BZ$300,MATCH(data!AZ$1,Haver_M!$B$1:$BZ$1,0),FALSE),"")</f>
        <v/>
      </c>
      <c r="BA33" t="str">
        <f>IF(ISNUMBER(VLOOKUP($A33,Haver_M!$B$1:$BZ$300,MATCH(data!BA$1,Haver_M!$B$1:$BZ$1,0),FALSE)),VLOOKUP($A33,Haver_M!$B$1:$BZ$300,MATCH(data!BA$1,Haver_M!$B$1:$BZ$1,0),FALSE),"")</f>
        <v/>
      </c>
      <c r="BB33" t="str">
        <f>IF(ISNUMBER(VLOOKUP($A33,Haver_M!$B$1:$BZ$300,MATCH(data!BB$1,Haver_M!$B$1:$BZ$1,0),FALSE)),VLOOKUP($A33,Haver_M!$B$1:$BZ$300,MATCH(data!BB$1,Haver_M!$B$1:$BZ$1,0),FALSE),"")</f>
        <v/>
      </c>
      <c r="BC33" t="str">
        <f>IF(ISNUMBER(VLOOKUP($A33,Haver_M!$B$1:$BZ$300,MATCH(data!BC$1,Haver_M!$B$1:$BZ$1,0),FALSE)),VLOOKUP($A33,Haver_M!$B$1:$BZ$300,MATCH(data!BC$1,Haver_M!$B$1:$BZ$1,0),FALSE),"")</f>
        <v/>
      </c>
      <c r="BD33" t="str">
        <f>IF(ISNUMBER(VLOOKUP($A33,Haver_M!$B$1:$BZ$300,MATCH(data!BD$1,Haver_M!$B$1:$BZ$1,0),FALSE)),VLOOKUP($A33,Haver_M!$B$1:$BZ$300,MATCH(data!BD$1,Haver_M!$B$1:$BZ$1,0),FALSE),"")</f>
        <v/>
      </c>
      <c r="BE33" t="str">
        <f>IF(ISNUMBER(VLOOKUP($A33,Haver_M!$B$1:$BZ$300,MATCH(data!BE$1,Haver_M!$B$1:$BZ$1,0),FALSE)),VLOOKUP($A33,Haver_M!$B$1:$BZ$300,MATCH(data!BE$1,Haver_M!$B$1:$BZ$1,0),FALSE),"")</f>
        <v/>
      </c>
      <c r="BF33" t="str">
        <f>IF(ISNUMBER(VLOOKUP($A33,Haver_M!$B$1:$BZ$300,MATCH(data!BF$1,Haver_M!$B$1:$BZ$1,0),FALSE)),VLOOKUP($A33,Haver_M!$B$1:$BZ$300,MATCH(data!BF$1,Haver_M!$B$1:$BZ$1,0),FALSE),"")</f>
        <v/>
      </c>
      <c r="BG33" t="str">
        <f>IF(ISNUMBER(VLOOKUP($A33,Haver_M!$B$1:$BZ$300,MATCH(data!BG$1,Haver_M!$B$1:$BZ$1,0),FALSE)),VLOOKUP($A33,Haver_M!$B$1:$BZ$300,MATCH(data!BG$1,Haver_M!$B$1:$BZ$1,0),FALSE),"")</f>
        <v/>
      </c>
      <c r="BH33" t="str">
        <f>IF(ISNUMBER(VLOOKUP($A33,Haver_M!$B$1:$BZ$300,MATCH(data!BH$1,Haver_M!$B$1:$BZ$1,0),FALSE)),VLOOKUP($A33,Haver_M!$B$1:$BZ$300,MATCH(data!BH$1,Haver_M!$B$1:$BZ$1,0),FALSE),"")</f>
        <v/>
      </c>
      <c r="BI33" t="str">
        <f>IF(ISNUMBER(VLOOKUP($A33,Haver_M!$B$1:$BZ$300,MATCH(data!BI$1,Haver_M!$B$1:$BZ$1,0),FALSE)),VLOOKUP($A33,Haver_M!$B$1:$BZ$300,MATCH(data!BI$1,Haver_M!$B$1:$BZ$1,0),FALSE),"")</f>
        <v/>
      </c>
      <c r="BJ33" t="str">
        <f>IF(ISNUMBER(VLOOKUP($A33,Haver_M!$B$1:$BZ$300,MATCH(data!BJ$1,Haver_M!$B$1:$BZ$1,0),FALSE)),VLOOKUP($A33,Haver_M!$B$1:$BZ$300,MATCH(data!BJ$1,Haver_M!$B$1:$BZ$1,0),FALSE),"")</f>
        <v/>
      </c>
      <c r="BK33" t="str">
        <f>IF(ISNUMBER(VLOOKUP($A33,Haver_M!$B$1:$BZ$300,MATCH(data!BK$1,Haver_M!$B$1:$BZ$1,0),FALSE)),VLOOKUP($A33,Haver_M!$B$1:$BZ$300,MATCH(data!BK$1,Haver_M!$B$1:$BZ$1,0),FALSE),"")</f>
        <v/>
      </c>
      <c r="BL33">
        <f>IF(ISNUMBER(VLOOKUP($A33,Haver_M!$B$1:$BZ$300,MATCH(data!BL$1,Haver_M!$B$1:$BZ$1,0),FALSE)),VLOOKUP($A33,Haver_M!$B$1:$BZ$300,MATCH(data!BL$1,Haver_M!$B$1:$BZ$1,0),FALSE),"")</f>
        <v>3053.16</v>
      </c>
      <c r="BM33">
        <f>IF(ISNUMBER(VLOOKUP($A33,Haver_M!$B$1:$BZ$300,MATCH(data!BM$1,Haver_M!$B$1:$BZ$1,0),FALSE)),VLOOKUP($A33,Haver_M!$B$1:$BZ$300,MATCH(data!BM$1,Haver_M!$B$1:$BZ$1,0),FALSE),"")</f>
        <v>93.103720789999997</v>
      </c>
      <c r="BN33" t="str">
        <f>IF(ISNUMBER(VLOOKUP($A33,Haver_M!$B$1:$BZ$300,MATCH(data!BN$1,Haver_M!$B$1:$BZ$1,0),FALSE)),VLOOKUP($A33,Haver_M!$B$1:$BZ$300,MATCH(data!BN$1,Haver_M!$B$1:$BZ$1,0),FALSE),"")</f>
        <v/>
      </c>
      <c r="BO33" t="str">
        <f>IF(ISNUMBER(VLOOKUP($A33,Haver_M!$B$1:$BZ$300,MATCH(data!BO$1,Haver_M!$B$1:$BZ$1,0),FALSE)),VLOOKUP($A33,Haver_M!$B$1:$BZ$300,MATCH(data!BO$1,Haver_M!$B$1:$BZ$1,0),FALSE),"")</f>
        <v/>
      </c>
      <c r="BP33" t="str">
        <f>IF(ISNUMBER(VLOOKUP($A33,Haver_M!$B$1:$BZ$300,MATCH(data!BP$1,Haver_M!$B$1:$BZ$1,0),FALSE)),VLOOKUP($A33,Haver_M!$B$1:$BZ$300,MATCH(data!BP$1,Haver_M!$B$1:$BZ$1,0),FALSE),"")</f>
        <v/>
      </c>
      <c r="BQ33" t="str">
        <f>IF(ISNUMBER(VLOOKUP($A33,Haver_M!$B$1:$BZ$300,MATCH(data!BQ$1,Haver_M!$B$1:$BZ$1,0),FALSE)),VLOOKUP($A33,Haver_M!$B$1:$BZ$300,MATCH(data!BQ$1,Haver_M!$B$1:$BZ$1,0),FALSE),"")</f>
        <v/>
      </c>
      <c r="BR33" t="str">
        <f>IF(ISNUMBER(VLOOKUP($A33,Haver_M!$B$1:$BZ$300,MATCH(data!BR$1,Haver_M!$B$1:$BZ$1,0),FALSE)),VLOOKUP($A33,Haver_M!$B$1:$BZ$300,MATCH(data!BR$1,Haver_M!$B$1:$BZ$1,0),FALSE),"")</f>
        <v/>
      </c>
      <c r="BS33" t="str">
        <f>IF(ISNUMBER(VLOOKUP($A33,Haver_M!$B$1:$BZ$300,MATCH(data!BS$1,Haver_M!$B$1:$BZ$1,0),FALSE)),VLOOKUP($A33,Haver_M!$B$1:$BZ$300,MATCH(data!BS$1,Haver_M!$B$1:$BZ$1,0),FALSE),"")</f>
        <v/>
      </c>
      <c r="BT33" t="str">
        <f>IF(ISNUMBER(VLOOKUP($A33,Haver_M!$B$1:$BZ$300,MATCH(data!BT$1,Haver_M!$B$1:$BZ$1,0),FALSE)),VLOOKUP($A33,Haver_M!$B$1:$BZ$300,MATCH(data!BT$1,Haver_M!$B$1:$BZ$1,0),FALSE),"")</f>
        <v/>
      </c>
      <c r="BU33">
        <f>IF(ISNUMBER(VLOOKUP($A33,Haver_M!$B$1:$BZ$300,MATCH(data!BU$1,Haver_M!$B$1:$BZ$1,0),FALSE)),VLOOKUP($A33,Haver_M!$B$1:$BZ$300,MATCH(data!BU$1,Haver_M!$B$1:$BZ$1,0),FALSE),"")</f>
        <v>4522</v>
      </c>
      <c r="BV33">
        <f>IF(ISNUMBER(VLOOKUP($A33,Haver_M!$B$1:$BZ$300,MATCH(data!BV$1,Haver_M!$B$1:$BZ$1,0),FALSE)),VLOOKUP($A33,Haver_M!$B$1:$BZ$300,MATCH(data!BV$1,Haver_M!$B$1:$BZ$1,0),FALSE),"")</f>
        <v>4861</v>
      </c>
      <c r="BW33">
        <f>IF(ISNUMBER(VLOOKUP($A33,Haver_M!$B$1:$BZ$300,MATCH(data!BW$1,Haver_M!$B$1:$BZ$1,0),FALSE)),VLOOKUP($A33,Haver_M!$B$1:$BZ$300,MATCH(data!BW$1,Haver_M!$B$1:$BZ$1,0),FALSE),"")</f>
        <v>48.5852</v>
      </c>
      <c r="BX33">
        <f>IF(ISNUMBER(VLOOKUP($A33,Haver_M!$B$1:$BZ$300,MATCH(data!BX$1,Haver_M!$B$1:$BZ$1,0),FALSE)),VLOOKUP($A33,Haver_M!$B$1:$BZ$300,MATCH(data!BX$1,Haver_M!$B$1:$BZ$1,0),FALSE),"")</f>
        <v>55440</v>
      </c>
    </row>
    <row r="34" spans="1:76" x14ac:dyDescent="0.25">
      <c r="A34" s="2">
        <v>37529</v>
      </c>
      <c r="B34">
        <f>IF(ISNUMBER(VLOOKUP($A34,Haver_Q!$B$1:$L$185,MATCH(data!B$1,Haver_Q!$B$1:$L$1,0),FALSE)),100*(VLOOKUP($A34,Haver_Q!$B$1:$L$185,MATCH(data!B$1,Haver_Q!$B$1:$L$1,0),FALSE)),"")</f>
        <v>0.13429589350524296</v>
      </c>
      <c r="C34">
        <f>IF(ISNUMBER(VLOOKUP($A34,Haver_Q!$B$1:$L$185,MATCH(data!C$1,Haver_Q!$B$1:$L$1,0),FALSE)),100*(VLOOKUP($A34,Haver_Q!$B$1:$L$185,MATCH(data!C$1,Haver_Q!$B$1:$L$1,0),FALSE)),"")</f>
        <v>3.0140818031562322</v>
      </c>
      <c r="D34">
        <f>IF(ISNUMBER(VLOOKUP($A34,Haver_Q!$B$1:$L$185,MATCH(data!D$1,Haver_Q!$B$1:$L$1,0),FALSE)),100*(VLOOKUP($A34,Haver_Q!$B$1:$L$185,MATCH(data!D$1,Haver_Q!$B$1:$L$1,0),FALSE)),"")</f>
        <v>4.1187860004427534</v>
      </c>
      <c r="E34">
        <f>IF(ISNUMBER(VLOOKUP($A34,Haver_Q!$B$1:$L$185,MATCH(data!E$1,Haver_Q!$B$1:$L$1,0),FALSE)),100*(VLOOKUP($A34,Haver_Q!$B$1:$L$185,MATCH(data!E$1,Haver_Q!$B$1:$L$1,0),FALSE)),"")</f>
        <v>10.639595649774304</v>
      </c>
      <c r="F34">
        <f>IF(ISNUMBER(VLOOKUP($A34,Haver_Q!$B$1:$L$185,MATCH(data!F$1,Haver_Q!$B$1:$L$1,0),FALSE)),100*(VLOOKUP($A34,Haver_Q!$B$1:$L$185,MATCH(data!F$1,Haver_Q!$B$1:$L$1,0),FALSE)),"")</f>
        <v>-11.997674952768723</v>
      </c>
      <c r="G34">
        <f>IF(ISNUMBER(VLOOKUP($A34,Haver_Q!$B$1:$L$185,MATCH(data!G$1,Haver_Q!$B$1:$L$1,0),FALSE)),100*(VLOOKUP($A34,Haver_Q!$B$1:$L$185,MATCH(data!G$1,Haver_Q!$B$1:$L$1,0),FALSE)),"")</f>
        <v>24.853705822723839</v>
      </c>
      <c r="H34">
        <f>IF(ISNUMBER(VLOOKUP($A34,Haver_Q!$B$1:$L$185,MATCH(data!H$1,Haver_Q!$B$1:$L$1,0),FALSE)),(VLOOKUP($A34,Haver_Q!$B$1:$L$185,MATCH(data!H$1,Haver_Q!$B$1:$L$1,0),FALSE)),"")</f>
        <v>3.4716420664565795</v>
      </c>
      <c r="I34">
        <f>IF(ISNUMBER(VLOOKUP($A34,Haver_Q!$B$1:$L$185,MATCH(data!I$1,Haver_Q!$B$1:$L$1,0),FALSE)),100*(VLOOKUP($A34,Haver_Q!$B$1:$L$185,MATCH(data!I$1,Haver_Q!$B$1:$L$1,0),FALSE)),"")</f>
        <v>5.3333460938064903</v>
      </c>
      <c r="J34" s="3">
        <f>IF(ISNUMBER(Bloomberg_m!C50),Bloomberg_m!C50,"")</f>
        <v>1182</v>
      </c>
      <c r="K34" s="3" t="str">
        <f>IF(ISNUMBER(Bloomberg_m!D50),Bloomberg_m!D50,"")</f>
        <v/>
      </c>
      <c r="L34" s="3" t="str">
        <f>IF(ISNUMBER(Bloomberg_m!E50),Bloomberg_m!E50,"")</f>
        <v/>
      </c>
      <c r="M34" s="3" t="str">
        <f>IF(ISNUMBER(Bloomberg_m!F50),Bloomberg_m!F50,"")</f>
        <v/>
      </c>
      <c r="N34">
        <f>IF(ISNUMBER(VLOOKUP($A34,Haver_M!$B$1:$BZ$300,MATCH(data!N$1,Haver_M!$B$1:$BZ$1,0),FALSE)),VLOOKUP($A34,Haver_M!$B$1:$BZ$300,MATCH(data!N$1,Haver_M!$B$1:$BZ$1,0),FALSE),"")</f>
        <v>8</v>
      </c>
      <c r="O34">
        <f>IF(ISNUMBER(VLOOKUP($A34,Haver_M!$B$1:$BZ$300,MATCH(data!O$1,Haver_M!$B$1:$BZ$1,0),FALSE)),VLOOKUP($A34,Haver_M!$B$1:$BZ$300,MATCH(data!O$1,Haver_M!$B$1:$BZ$1,0),FALSE),"")</f>
        <v>7.1976000000000004</v>
      </c>
      <c r="P34">
        <f>IF(ISNUMBER(VLOOKUP($A34,Haver_M!$B$1:$BZ$300,MATCH(data!P$1,Haver_M!$B$1:$BZ$1,0),FALSE)),VLOOKUP($A34,Haver_M!$B$1:$BZ$300,MATCH(data!P$1,Haver_M!$B$1:$BZ$1,0),FALSE),"")</f>
        <v>95.436769999999996</v>
      </c>
      <c r="Q34">
        <f>IF(ISNUMBER(VLOOKUP($A34,Haver_M!$B$1:$BZ$300,MATCH(data!Q$1,Haver_M!$B$1:$BZ$1,0),FALSE)),VLOOKUP($A34,Haver_M!$B$1:$BZ$300,MATCH(data!Q$1,Haver_M!$B$1:$BZ$1,0),FALSE),"")</f>
        <v>51.7</v>
      </c>
      <c r="R34" t="str">
        <f>IF(ISNUMBER(VLOOKUP($A34,Haver_M!$B$1:$BZ$300,MATCH(data!R$1,Haver_M!$B$1:$BZ$1,0),FALSE)),VLOOKUP($A34,Haver_M!$B$1:$BZ$300,MATCH(data!R$1,Haver_M!$B$1:$BZ$1,0),FALSE),"")</f>
        <v/>
      </c>
      <c r="S34">
        <f>IF(ISNUMBER(VLOOKUP($A34,Haver_M!$B$1:$BZ$300,MATCH(data!S$1,Haver_M!$B$1:$BZ$1,0),FALSE)),VLOOKUP($A34,Haver_M!$B$1:$BZ$300,MATCH(data!S$1,Haver_M!$B$1:$BZ$1,0),FALSE),"")</f>
        <v>50.19</v>
      </c>
      <c r="T34">
        <f>IF(ISNUMBER(VLOOKUP($A34,Haver_M!$B$1:$BZ$300,MATCH(data!T$1,Haver_M!$B$1:$BZ$1,0),FALSE)),VLOOKUP($A34,Haver_M!$B$1:$BZ$300,MATCH(data!T$1,Haver_M!$B$1:$BZ$1,0),FALSE),"")</f>
        <v>59.37</v>
      </c>
      <c r="U34">
        <f>IF(ISNUMBER(VLOOKUP($A34,Haver_M!$B$1:$BZ$300,MATCH(data!U$1,Haver_M!$B$1:$BZ$1,0),FALSE)),VLOOKUP($A34,Haver_M!$B$1:$BZ$300,MATCH(data!U$1,Haver_M!$B$1:$BZ$1,0),FALSE),"")</f>
        <v>28.82</v>
      </c>
      <c r="V34">
        <f>IF(ISNUMBER(VLOOKUP($A34,Haver_M!$B$1:$BZ$300,MATCH(data!V$1,Haver_M!$B$1:$BZ$1,0),FALSE)),VLOOKUP($A34,Haver_M!$B$1:$BZ$300,MATCH(data!V$1,Haver_M!$B$1:$BZ$1,0),FALSE),"")</f>
        <v>60.97</v>
      </c>
      <c r="W34" t="str">
        <f>IF(ISNUMBER(VLOOKUP($A34,Haver_M!$B$1:$BZ$300,MATCH(data!W$1,Haver_M!$B$1:$BZ$1,0),FALSE)),VLOOKUP($A34,Haver_M!$B$1:$BZ$300,MATCH(data!W$1,Haver_M!$B$1:$BZ$1,0),FALSE),"")</f>
        <v/>
      </c>
      <c r="X34">
        <f>IF(ISNUMBER(VLOOKUP($A34,Haver_M!$B$1:$BZ$300,MATCH(data!X$1,Haver_M!$B$1:$BZ$1,0),FALSE)),VLOOKUP($A34,Haver_M!$B$1:$BZ$300,MATCH(data!X$1,Haver_M!$B$1:$BZ$1,0),FALSE),"")</f>
        <v>26.04</v>
      </c>
      <c r="Y34">
        <f>IF(ISNUMBER(VLOOKUP($A34,Haver_M!$B$1:$BZ$300,MATCH(data!Y$1,Haver_M!$B$1:$BZ$1,0),FALSE)),VLOOKUP($A34,Haver_M!$B$1:$BZ$300,MATCH(data!Y$1,Haver_M!$B$1:$BZ$1,0),FALSE),"")</f>
        <v>55.68</v>
      </c>
      <c r="Z34" t="str">
        <f>IF(ISNUMBER(VLOOKUP($A34,Haver_M!$B$1:$BZ$300,MATCH(data!Z$1,Haver_M!$B$1:$BZ$1,0),FALSE)),VLOOKUP($A34,Haver_M!$B$1:$BZ$300,MATCH(data!Z$1,Haver_M!$B$1:$BZ$1,0),FALSE),"")</f>
        <v/>
      </c>
      <c r="AA34" t="str">
        <f>IF(ISNUMBER(VLOOKUP($A34,Haver_M!$B$1:$BZ$300,MATCH(data!AA$1,Haver_M!$B$1:$BZ$1,0),FALSE)),VLOOKUP($A34,Haver_M!$B$1:$BZ$300,MATCH(data!AA$1,Haver_M!$B$1:$BZ$1,0),FALSE),"")</f>
        <v/>
      </c>
      <c r="AB34" t="str">
        <f>IF(ISNUMBER(VLOOKUP($A34,Haver_M!$B$1:$BZ$300,MATCH(data!AB$1,Haver_M!$B$1:$BZ$1,0),FALSE)),VLOOKUP($A34,Haver_M!$B$1:$BZ$300,MATCH(data!AB$1,Haver_M!$B$1:$BZ$1,0),FALSE),"")</f>
        <v/>
      </c>
      <c r="AC34" t="str">
        <f>IF(ISNUMBER(VLOOKUP($A34,Haver_M!$B$1:$BZ$300,MATCH(data!AC$1,Haver_M!$B$1:$BZ$1,0),FALSE)),VLOOKUP($A34,Haver_M!$B$1:$BZ$300,MATCH(data!AC$1,Haver_M!$B$1:$BZ$1,0),FALSE),"")</f>
        <v/>
      </c>
      <c r="AD34" t="str">
        <f>IF(ISNUMBER(VLOOKUP($A34,Haver_M!$B$1:$BZ$300,MATCH(data!AD$1,Haver_M!$B$1:$BZ$1,0),FALSE)),VLOOKUP($A34,Haver_M!$B$1:$BZ$300,MATCH(data!AD$1,Haver_M!$B$1:$BZ$1,0),FALSE),"")</f>
        <v/>
      </c>
      <c r="AE34" t="str">
        <f>IF(ISNUMBER(VLOOKUP($A34,Haver_M!$B$1:$BZ$300,MATCH(data!AE$1,Haver_M!$B$1:$BZ$1,0),FALSE)),VLOOKUP($A34,Haver_M!$B$1:$BZ$300,MATCH(data!AE$1,Haver_M!$B$1:$BZ$1,0),FALSE),"")</f>
        <v/>
      </c>
      <c r="AF34" t="str">
        <f>IF(ISNUMBER(VLOOKUP($A34,Haver_M!$B$1:$BZ$300,MATCH(data!AF$1,Haver_M!$B$1:$BZ$1,0),FALSE)),VLOOKUP($A34,Haver_M!$B$1:$BZ$300,MATCH(data!AF$1,Haver_M!$B$1:$BZ$1,0),FALSE),"")</f>
        <v/>
      </c>
      <c r="AG34" t="str">
        <f>IF(ISNUMBER(VLOOKUP($A34,Haver_M!$B$1:$BZ$300,MATCH(data!AG$1,Haver_M!$B$1:$BZ$1,0),FALSE)),VLOOKUP($A34,Haver_M!$B$1:$BZ$300,MATCH(data!AG$1,Haver_M!$B$1:$BZ$1,0),FALSE),"")</f>
        <v/>
      </c>
      <c r="AH34" t="str">
        <f>IF(ISNUMBER(VLOOKUP($A34,Haver_M!$B$1:$BZ$300,MATCH(data!AH$1,Haver_M!$B$1:$BZ$1,0),FALSE)),VLOOKUP($A34,Haver_M!$B$1:$BZ$300,MATCH(data!AH$1,Haver_M!$B$1:$BZ$1,0),FALSE),"")</f>
        <v/>
      </c>
      <c r="AI34">
        <f>IF(ISNUMBER(VLOOKUP($A34,Haver_M!$B$1:$BZ$300,MATCH(data!AI$1,Haver_M!$B$1:$BZ$1,0),FALSE)),VLOOKUP($A34,Haver_M!$B$1:$BZ$300,MATCH(data!AI$1,Haver_M!$B$1:$BZ$1,0),FALSE),"")</f>
        <v>8601.2688171958689</v>
      </c>
      <c r="AJ34">
        <f>IF(ISNUMBER(VLOOKUP($A34,Haver_M!$B$1:$BZ$300,MATCH(data!AJ$1,Haver_M!$B$1:$BZ$1,0),FALSE)),VLOOKUP($A34,Haver_M!$B$1:$BZ$300,MATCH(data!AJ$1,Haver_M!$B$1:$BZ$1,0),FALSE),"")</f>
        <v>4351.45</v>
      </c>
      <c r="AK34">
        <f>IF(ISNUMBER(VLOOKUP($A34,Haver_M!$B$1:$BZ$300,MATCH(data!AK$1,Haver_M!$B$1:$BZ$1,0),FALSE)),VLOOKUP($A34,Haver_M!$B$1:$BZ$300,MATCH(data!AK$1,Haver_M!$B$1:$BZ$1,0),FALSE),"")</f>
        <v>4999.8100000000004</v>
      </c>
      <c r="AL34" t="str">
        <f>IF(ISNUMBER(VLOOKUP($A34,Haver_M!$B$1:$BZ$300,MATCH(data!AL$1,Haver_M!$B$1:$BZ$1,0),FALSE)),VLOOKUP($A34,Haver_M!$B$1:$BZ$300,MATCH(data!AL$1,Haver_M!$B$1:$BZ$1,0),FALSE),"")</f>
        <v/>
      </c>
      <c r="AM34" t="str">
        <f>IF(ISNUMBER(VLOOKUP($A34,Haver_M!$B$1:$BZ$300,MATCH(data!AM$1,Haver_M!$B$1:$BZ$1,0),FALSE)),VLOOKUP($A34,Haver_M!$B$1:$BZ$300,MATCH(data!AM$1,Haver_M!$B$1:$BZ$1,0),FALSE),"")</f>
        <v/>
      </c>
      <c r="AN34" t="str">
        <f>IF(ISNUMBER(VLOOKUP($A34,Haver_M!$B$1:$BZ$300,MATCH(data!AN$1,Haver_M!$B$1:$BZ$1,0),FALSE)),VLOOKUP($A34,Haver_M!$B$1:$BZ$300,MATCH(data!AN$1,Haver_M!$B$1:$BZ$1,0),FALSE),"")</f>
        <v/>
      </c>
      <c r="AO34" t="str">
        <f>IF(ISNUMBER(VLOOKUP($A34,Haver_M!$B$1:$BZ$300,MATCH(data!AO$1,Haver_M!$B$1:$BZ$1,0),FALSE)),VLOOKUP($A34,Haver_M!$B$1:$BZ$300,MATCH(data!AO$1,Haver_M!$B$1:$BZ$1,0),FALSE),"")</f>
        <v/>
      </c>
      <c r="AP34">
        <f>IF(ISNUMBER(VLOOKUP($A34,Haver_M!$B$1:$BZ$300,MATCH(data!AP$1,Haver_M!$B$1:$BZ$1,0),FALSE)),VLOOKUP($A34,Haver_M!$B$1:$BZ$300,MATCH(data!AP$1,Haver_M!$B$1:$BZ$1,0),FALSE),"")</f>
        <v>118.00845342122059</v>
      </c>
      <c r="AQ34" t="str">
        <f>IF(ISNUMBER(VLOOKUP($A34,Haver_M!$B$1:$BZ$300,MATCH(data!AQ$1,Haver_M!$B$1:$BZ$1,0),FALSE)),VLOOKUP($A34,Haver_M!$B$1:$BZ$300,MATCH(data!AQ$1,Haver_M!$B$1:$BZ$1,0),FALSE),"")</f>
        <v/>
      </c>
      <c r="AR34" t="str">
        <f>IF(ISNUMBER(VLOOKUP($A34,Haver_M!$B$1:$BZ$300,MATCH(data!AR$1,Haver_M!$B$1:$BZ$1,0),FALSE)),VLOOKUP($A34,Haver_M!$B$1:$BZ$300,MATCH(data!AR$1,Haver_M!$B$1:$BZ$1,0),FALSE),"")</f>
        <v/>
      </c>
      <c r="AS34" t="str">
        <f>IF(ISNUMBER(VLOOKUP($A34,Haver_M!$B$1:$BZ$300,MATCH(data!AS$1,Haver_M!$B$1:$BZ$1,0),FALSE)),VLOOKUP($A34,Haver_M!$B$1:$BZ$300,MATCH(data!AS$1,Haver_M!$B$1:$BZ$1,0),FALSE),"")</f>
        <v/>
      </c>
      <c r="AT34" t="str">
        <f>IF(ISNUMBER(VLOOKUP($A34,Haver_M!$B$1:$BZ$300,MATCH(data!AT$1,Haver_M!$B$1:$BZ$1,0),FALSE)),VLOOKUP($A34,Haver_M!$B$1:$BZ$300,MATCH(data!AT$1,Haver_M!$B$1:$BZ$1,0),FALSE),"")</f>
        <v/>
      </c>
      <c r="AU34" t="str">
        <f>IF(ISNUMBER(VLOOKUP($A34,Haver_M!$B$1:$BZ$300,MATCH(data!AU$1,Haver_M!$B$1:$BZ$1,0),FALSE)),VLOOKUP($A34,Haver_M!$B$1:$BZ$300,MATCH(data!AU$1,Haver_M!$B$1:$BZ$1,0),FALSE),"")</f>
        <v/>
      </c>
      <c r="AV34" t="str">
        <f>IF(ISNUMBER(VLOOKUP($A34,Haver_M!$B$1:$BZ$300,MATCH(data!AV$1,Haver_M!$B$1:$BZ$1,0),FALSE)),VLOOKUP($A34,Haver_M!$B$1:$BZ$300,MATCH(data!AV$1,Haver_M!$B$1:$BZ$1,0),FALSE),"")</f>
        <v/>
      </c>
      <c r="AW34" t="str">
        <f>IF(ISNUMBER(VLOOKUP($A34,Haver_M!$B$1:$BZ$300,MATCH(data!AW$1,Haver_M!$B$1:$BZ$1,0),FALSE)),VLOOKUP($A34,Haver_M!$B$1:$BZ$300,MATCH(data!AW$1,Haver_M!$B$1:$BZ$1,0),FALSE),"")</f>
        <v/>
      </c>
      <c r="AX34" t="str">
        <f>IF(ISNUMBER(VLOOKUP($A34,Haver_M!$B$1:$BZ$300,MATCH(data!AX$1,Haver_M!$B$1:$BZ$1,0),FALSE)),VLOOKUP($A34,Haver_M!$B$1:$BZ$300,MATCH(data!AX$1,Haver_M!$B$1:$BZ$1,0),FALSE),"")</f>
        <v/>
      </c>
      <c r="AY34" t="str">
        <f>IF(ISNUMBER(VLOOKUP($A34,Haver_M!$B$1:$BZ$300,MATCH(data!AY$1,Haver_M!$B$1:$BZ$1,0),FALSE)),VLOOKUP($A34,Haver_M!$B$1:$BZ$300,MATCH(data!AY$1,Haver_M!$B$1:$BZ$1,0),FALSE),"")</f>
        <v/>
      </c>
      <c r="AZ34" t="str">
        <f>IF(ISNUMBER(VLOOKUP($A34,Haver_M!$B$1:$BZ$300,MATCH(data!AZ$1,Haver_M!$B$1:$BZ$1,0),FALSE)),VLOOKUP($A34,Haver_M!$B$1:$BZ$300,MATCH(data!AZ$1,Haver_M!$B$1:$BZ$1,0),FALSE),"")</f>
        <v/>
      </c>
      <c r="BA34" t="str">
        <f>IF(ISNUMBER(VLOOKUP($A34,Haver_M!$B$1:$BZ$300,MATCH(data!BA$1,Haver_M!$B$1:$BZ$1,0),FALSE)),VLOOKUP($A34,Haver_M!$B$1:$BZ$300,MATCH(data!BA$1,Haver_M!$B$1:$BZ$1,0),FALSE),"")</f>
        <v/>
      </c>
      <c r="BB34" t="str">
        <f>IF(ISNUMBER(VLOOKUP($A34,Haver_M!$B$1:$BZ$300,MATCH(data!BB$1,Haver_M!$B$1:$BZ$1,0),FALSE)),VLOOKUP($A34,Haver_M!$B$1:$BZ$300,MATCH(data!BB$1,Haver_M!$B$1:$BZ$1,0),FALSE),"")</f>
        <v/>
      </c>
      <c r="BC34" t="str">
        <f>IF(ISNUMBER(VLOOKUP($A34,Haver_M!$B$1:$BZ$300,MATCH(data!BC$1,Haver_M!$B$1:$BZ$1,0),FALSE)),VLOOKUP($A34,Haver_M!$B$1:$BZ$300,MATCH(data!BC$1,Haver_M!$B$1:$BZ$1,0),FALSE),"")</f>
        <v/>
      </c>
      <c r="BD34" t="str">
        <f>IF(ISNUMBER(VLOOKUP($A34,Haver_M!$B$1:$BZ$300,MATCH(data!BD$1,Haver_M!$B$1:$BZ$1,0),FALSE)),VLOOKUP($A34,Haver_M!$B$1:$BZ$300,MATCH(data!BD$1,Haver_M!$B$1:$BZ$1,0),FALSE),"")</f>
        <v/>
      </c>
      <c r="BE34" t="str">
        <f>IF(ISNUMBER(VLOOKUP($A34,Haver_M!$B$1:$BZ$300,MATCH(data!BE$1,Haver_M!$B$1:$BZ$1,0),FALSE)),VLOOKUP($A34,Haver_M!$B$1:$BZ$300,MATCH(data!BE$1,Haver_M!$B$1:$BZ$1,0),FALSE),"")</f>
        <v/>
      </c>
      <c r="BF34" t="str">
        <f>IF(ISNUMBER(VLOOKUP($A34,Haver_M!$B$1:$BZ$300,MATCH(data!BF$1,Haver_M!$B$1:$BZ$1,0),FALSE)),VLOOKUP($A34,Haver_M!$B$1:$BZ$300,MATCH(data!BF$1,Haver_M!$B$1:$BZ$1,0),FALSE),"")</f>
        <v/>
      </c>
      <c r="BG34" t="str">
        <f>IF(ISNUMBER(VLOOKUP($A34,Haver_M!$B$1:$BZ$300,MATCH(data!BG$1,Haver_M!$B$1:$BZ$1,0),FALSE)),VLOOKUP($A34,Haver_M!$B$1:$BZ$300,MATCH(data!BG$1,Haver_M!$B$1:$BZ$1,0),FALSE),"")</f>
        <v/>
      </c>
      <c r="BH34" t="str">
        <f>IF(ISNUMBER(VLOOKUP($A34,Haver_M!$B$1:$BZ$300,MATCH(data!BH$1,Haver_M!$B$1:$BZ$1,0),FALSE)),VLOOKUP($A34,Haver_M!$B$1:$BZ$300,MATCH(data!BH$1,Haver_M!$B$1:$BZ$1,0),FALSE),"")</f>
        <v/>
      </c>
      <c r="BI34" t="str">
        <f>IF(ISNUMBER(VLOOKUP($A34,Haver_M!$B$1:$BZ$300,MATCH(data!BI$1,Haver_M!$B$1:$BZ$1,0),FALSE)),VLOOKUP($A34,Haver_M!$B$1:$BZ$300,MATCH(data!BI$1,Haver_M!$B$1:$BZ$1,0),FALSE),"")</f>
        <v/>
      </c>
      <c r="BJ34" t="str">
        <f>IF(ISNUMBER(VLOOKUP($A34,Haver_M!$B$1:$BZ$300,MATCH(data!BJ$1,Haver_M!$B$1:$BZ$1,0),FALSE)),VLOOKUP($A34,Haver_M!$B$1:$BZ$300,MATCH(data!BJ$1,Haver_M!$B$1:$BZ$1,0),FALSE),"")</f>
        <v/>
      </c>
      <c r="BK34" t="str">
        <f>IF(ISNUMBER(VLOOKUP($A34,Haver_M!$B$1:$BZ$300,MATCH(data!BK$1,Haver_M!$B$1:$BZ$1,0),FALSE)),VLOOKUP($A34,Haver_M!$B$1:$BZ$300,MATCH(data!BK$1,Haver_M!$B$1:$BZ$1,0),FALSE),"")</f>
        <v/>
      </c>
      <c r="BL34">
        <f>IF(ISNUMBER(VLOOKUP($A34,Haver_M!$B$1:$BZ$300,MATCH(data!BL$1,Haver_M!$B$1:$BZ$1,0),FALSE)),VLOOKUP($A34,Haver_M!$B$1:$BZ$300,MATCH(data!BL$1,Haver_M!$B$1:$BZ$1,0),FALSE),"")</f>
        <v>3085.53</v>
      </c>
      <c r="BM34">
        <f>IF(ISNUMBER(VLOOKUP($A34,Haver_M!$B$1:$BZ$300,MATCH(data!BM$1,Haver_M!$B$1:$BZ$1,0),FALSE)),VLOOKUP($A34,Haver_M!$B$1:$BZ$300,MATCH(data!BM$1,Haver_M!$B$1:$BZ$1,0),FALSE),"")</f>
        <v>92.622520620000003</v>
      </c>
      <c r="BN34">
        <f>IF(ISNUMBER(VLOOKUP($A34,Haver_M!$B$1:$BZ$300,MATCH(data!BN$1,Haver_M!$B$1:$BZ$1,0),FALSE)),VLOOKUP($A34,Haver_M!$B$1:$BZ$300,MATCH(data!BN$1,Haver_M!$B$1:$BZ$1,0),FALSE),"")</f>
        <v>113.2</v>
      </c>
      <c r="BO34">
        <f>IF(ISNUMBER(VLOOKUP($A34,Haver_M!$B$1:$BZ$300,MATCH(data!BO$1,Haver_M!$B$1:$BZ$1,0),FALSE)),VLOOKUP($A34,Haver_M!$B$1:$BZ$300,MATCH(data!BO$1,Haver_M!$B$1:$BZ$1,0),FALSE),"")</f>
        <v>116.7</v>
      </c>
      <c r="BP34">
        <f>IF(ISNUMBER(VLOOKUP($A34,Haver_M!$B$1:$BZ$300,MATCH(data!BP$1,Haver_M!$B$1:$BZ$1,0),FALSE)),VLOOKUP($A34,Haver_M!$B$1:$BZ$300,MATCH(data!BP$1,Haver_M!$B$1:$BZ$1,0),FALSE),"")</f>
        <v>35</v>
      </c>
      <c r="BQ34" t="str">
        <f>IF(ISNUMBER(VLOOKUP($A34,Haver_M!$B$1:$BZ$300,MATCH(data!BQ$1,Haver_M!$B$1:$BZ$1,0),FALSE)),VLOOKUP($A34,Haver_M!$B$1:$BZ$300,MATCH(data!BQ$1,Haver_M!$B$1:$BZ$1,0),FALSE),"")</f>
        <v/>
      </c>
      <c r="BR34" t="str">
        <f>IF(ISNUMBER(VLOOKUP($A34,Haver_M!$B$1:$BZ$300,MATCH(data!BR$1,Haver_M!$B$1:$BZ$1,0),FALSE)),VLOOKUP($A34,Haver_M!$B$1:$BZ$300,MATCH(data!BR$1,Haver_M!$B$1:$BZ$1,0),FALSE),"")</f>
        <v/>
      </c>
      <c r="BS34" t="str">
        <f>IF(ISNUMBER(VLOOKUP($A34,Haver_M!$B$1:$BZ$300,MATCH(data!BS$1,Haver_M!$B$1:$BZ$1,0),FALSE)),VLOOKUP($A34,Haver_M!$B$1:$BZ$300,MATCH(data!BS$1,Haver_M!$B$1:$BZ$1,0),FALSE),"")</f>
        <v/>
      </c>
      <c r="BT34" t="str">
        <f>IF(ISNUMBER(VLOOKUP($A34,Haver_M!$B$1:$BZ$300,MATCH(data!BT$1,Haver_M!$B$1:$BZ$1,0),FALSE)),VLOOKUP($A34,Haver_M!$B$1:$BZ$300,MATCH(data!BT$1,Haver_M!$B$1:$BZ$1,0),FALSE),"")</f>
        <v/>
      </c>
      <c r="BU34">
        <f>IF(ISNUMBER(VLOOKUP($A34,Haver_M!$B$1:$BZ$300,MATCH(data!BU$1,Haver_M!$B$1:$BZ$1,0),FALSE)),VLOOKUP($A34,Haver_M!$B$1:$BZ$300,MATCH(data!BU$1,Haver_M!$B$1:$BZ$1,0),FALSE),"")</f>
        <v>4484</v>
      </c>
      <c r="BV34">
        <f>IF(ISNUMBER(VLOOKUP($A34,Haver_M!$B$1:$BZ$300,MATCH(data!BV$1,Haver_M!$B$1:$BZ$1,0),FALSE)),VLOOKUP($A34,Haver_M!$B$1:$BZ$300,MATCH(data!BV$1,Haver_M!$B$1:$BZ$1,0),FALSE),"")</f>
        <v>5086</v>
      </c>
      <c r="BW34">
        <f>IF(ISNUMBER(VLOOKUP($A34,Haver_M!$B$1:$BZ$300,MATCH(data!BW$1,Haver_M!$B$1:$BZ$1,0),FALSE)),VLOOKUP($A34,Haver_M!$B$1:$BZ$300,MATCH(data!BW$1,Haver_M!$B$1:$BZ$1,0),FALSE),"")</f>
        <v>48.441899999999997</v>
      </c>
      <c r="BX34">
        <f>IF(ISNUMBER(VLOOKUP($A34,Haver_M!$B$1:$BZ$300,MATCH(data!BX$1,Haver_M!$B$1:$BZ$1,0),FALSE)),VLOOKUP($A34,Haver_M!$B$1:$BZ$300,MATCH(data!BX$1,Haver_M!$B$1:$BZ$1,0),FALSE),"")</f>
        <v>51416</v>
      </c>
    </row>
    <row r="35" spans="1:76" x14ac:dyDescent="0.25">
      <c r="A35" s="2">
        <v>37560</v>
      </c>
      <c r="B35" t="str">
        <f>IF(ISNUMBER(VLOOKUP($A35,Haver_Q!$B$1:$L$185,MATCH(data!B$1,Haver_Q!$B$1:$L$1,0),FALSE)),100*(VLOOKUP($A35,Haver_Q!$B$1:$L$185,MATCH(data!B$1,Haver_Q!$B$1:$L$1,0),FALSE)),"")</f>
        <v/>
      </c>
      <c r="C35" t="str">
        <f>IF(ISNUMBER(VLOOKUP($A35,Haver_Q!$B$1:$L$185,MATCH(data!C$1,Haver_Q!$B$1:$L$1,0),FALSE)),100*(VLOOKUP($A35,Haver_Q!$B$1:$L$185,MATCH(data!C$1,Haver_Q!$B$1:$L$1,0),FALSE)),"")</f>
        <v/>
      </c>
      <c r="D35" t="str">
        <f>IF(ISNUMBER(VLOOKUP($A35,Haver_Q!$B$1:$L$185,MATCH(data!D$1,Haver_Q!$B$1:$L$1,0),FALSE)),100*(VLOOKUP($A35,Haver_Q!$B$1:$L$185,MATCH(data!D$1,Haver_Q!$B$1:$L$1,0),FALSE)),"")</f>
        <v/>
      </c>
      <c r="E35" t="str">
        <f>IF(ISNUMBER(VLOOKUP($A35,Haver_Q!$B$1:$L$185,MATCH(data!E$1,Haver_Q!$B$1:$L$1,0),FALSE)),100*(VLOOKUP($A35,Haver_Q!$B$1:$L$185,MATCH(data!E$1,Haver_Q!$B$1:$L$1,0),FALSE)),"")</f>
        <v/>
      </c>
      <c r="F35" t="str">
        <f>IF(ISNUMBER(VLOOKUP($A35,Haver_Q!$B$1:$L$185,MATCH(data!F$1,Haver_Q!$B$1:$L$1,0),FALSE)),100*(VLOOKUP($A35,Haver_Q!$B$1:$L$185,MATCH(data!F$1,Haver_Q!$B$1:$L$1,0),FALSE)),"")</f>
        <v/>
      </c>
      <c r="G35" t="str">
        <f>IF(ISNUMBER(VLOOKUP($A35,Haver_Q!$B$1:$L$185,MATCH(data!G$1,Haver_Q!$B$1:$L$1,0),FALSE)),100*(VLOOKUP($A35,Haver_Q!$B$1:$L$185,MATCH(data!G$1,Haver_Q!$B$1:$L$1,0),FALSE)),"")</f>
        <v/>
      </c>
      <c r="H35" t="str">
        <f>IF(ISNUMBER(VLOOKUP($A35,Haver_Q!$B$1:$L$185,MATCH(data!H$1,Haver_Q!$B$1:$L$1,0),FALSE)),(VLOOKUP($A35,Haver_Q!$B$1:$L$185,MATCH(data!H$1,Haver_Q!$B$1:$L$1,0),FALSE)),"")</f>
        <v/>
      </c>
      <c r="I35" t="str">
        <f>IF(ISNUMBER(VLOOKUP($A35,Haver_Q!$B$1:$L$185,MATCH(data!I$1,Haver_Q!$B$1:$L$1,0),FALSE)),100*(VLOOKUP($A35,Haver_Q!$B$1:$L$185,MATCH(data!I$1,Haver_Q!$B$1:$L$1,0),FALSE)),"")</f>
        <v/>
      </c>
      <c r="J35" s="3">
        <f>IF(ISNUMBER(Bloomberg_m!C51),Bloomberg_m!C51,"")</f>
        <v>1365</v>
      </c>
      <c r="K35" s="3" t="str">
        <f>IF(ISNUMBER(Bloomberg_m!D51),Bloomberg_m!D51,"")</f>
        <v/>
      </c>
      <c r="L35" s="3" t="str">
        <f>IF(ISNUMBER(Bloomberg_m!E51),Bloomberg_m!E51,"")</f>
        <v/>
      </c>
      <c r="M35" s="3" t="str">
        <f>IF(ISNUMBER(Bloomberg_m!F51),Bloomberg_m!F51,"")</f>
        <v/>
      </c>
      <c r="N35">
        <f>IF(ISNUMBER(VLOOKUP($A35,Haver_M!$B$1:$BZ$300,MATCH(data!N$1,Haver_M!$B$1:$BZ$1,0),FALSE)),VLOOKUP($A35,Haver_M!$B$1:$BZ$300,MATCH(data!N$1,Haver_M!$B$1:$BZ$1,0),FALSE),"")</f>
        <v>8</v>
      </c>
      <c r="O35">
        <f>IF(ISNUMBER(VLOOKUP($A35,Haver_M!$B$1:$BZ$300,MATCH(data!O$1,Haver_M!$B$1:$BZ$1,0),FALSE)),VLOOKUP($A35,Haver_M!$B$1:$BZ$300,MATCH(data!O$1,Haver_M!$B$1:$BZ$1,0),FALSE),"")</f>
        <v>6.9790999999999999</v>
      </c>
      <c r="P35">
        <f>IF(ISNUMBER(VLOOKUP($A35,Haver_M!$B$1:$BZ$300,MATCH(data!P$1,Haver_M!$B$1:$BZ$1,0),FALSE)),VLOOKUP($A35,Haver_M!$B$1:$BZ$300,MATCH(data!P$1,Haver_M!$B$1:$BZ$1,0),FALSE),"")</f>
        <v>95.626729999999995</v>
      </c>
      <c r="Q35">
        <f>IF(ISNUMBER(VLOOKUP($A35,Haver_M!$B$1:$BZ$300,MATCH(data!Q$1,Haver_M!$B$1:$BZ$1,0),FALSE)),VLOOKUP($A35,Haver_M!$B$1:$BZ$300,MATCH(data!Q$1,Haver_M!$B$1:$BZ$1,0),FALSE),"")</f>
        <v>52</v>
      </c>
      <c r="R35" t="str">
        <f>IF(ISNUMBER(VLOOKUP($A35,Haver_M!$B$1:$BZ$300,MATCH(data!R$1,Haver_M!$B$1:$BZ$1,0),FALSE)),VLOOKUP($A35,Haver_M!$B$1:$BZ$300,MATCH(data!R$1,Haver_M!$B$1:$BZ$1,0),FALSE),"")</f>
        <v/>
      </c>
      <c r="S35">
        <f>IF(ISNUMBER(VLOOKUP($A35,Haver_M!$B$1:$BZ$300,MATCH(data!S$1,Haver_M!$B$1:$BZ$1,0),FALSE)),VLOOKUP($A35,Haver_M!$B$1:$BZ$300,MATCH(data!S$1,Haver_M!$B$1:$BZ$1,0),FALSE),"")</f>
        <v>50.73</v>
      </c>
      <c r="T35">
        <f>IF(ISNUMBER(VLOOKUP($A35,Haver_M!$B$1:$BZ$300,MATCH(data!T$1,Haver_M!$B$1:$BZ$1,0),FALSE)),VLOOKUP($A35,Haver_M!$B$1:$BZ$300,MATCH(data!T$1,Haver_M!$B$1:$BZ$1,0),FALSE),"")</f>
        <v>59.93</v>
      </c>
      <c r="U35">
        <f>IF(ISNUMBER(VLOOKUP($A35,Haver_M!$B$1:$BZ$300,MATCH(data!U$1,Haver_M!$B$1:$BZ$1,0),FALSE)),VLOOKUP($A35,Haver_M!$B$1:$BZ$300,MATCH(data!U$1,Haver_M!$B$1:$BZ$1,0),FALSE),"")</f>
        <v>30.55</v>
      </c>
      <c r="V35">
        <f>IF(ISNUMBER(VLOOKUP($A35,Haver_M!$B$1:$BZ$300,MATCH(data!V$1,Haver_M!$B$1:$BZ$1,0),FALSE)),VLOOKUP($A35,Haver_M!$B$1:$BZ$300,MATCH(data!V$1,Haver_M!$B$1:$BZ$1,0),FALSE),"")</f>
        <v>61.67</v>
      </c>
      <c r="W35" t="str">
        <f>IF(ISNUMBER(VLOOKUP($A35,Haver_M!$B$1:$BZ$300,MATCH(data!W$1,Haver_M!$B$1:$BZ$1,0),FALSE)),VLOOKUP($A35,Haver_M!$B$1:$BZ$300,MATCH(data!W$1,Haver_M!$B$1:$BZ$1,0),FALSE),"")</f>
        <v/>
      </c>
      <c r="X35">
        <f>IF(ISNUMBER(VLOOKUP($A35,Haver_M!$B$1:$BZ$300,MATCH(data!X$1,Haver_M!$B$1:$BZ$1,0),FALSE)),VLOOKUP($A35,Haver_M!$B$1:$BZ$300,MATCH(data!X$1,Haver_M!$B$1:$BZ$1,0),FALSE),"")</f>
        <v>26.66</v>
      </c>
      <c r="Y35">
        <f>IF(ISNUMBER(VLOOKUP($A35,Haver_M!$B$1:$BZ$300,MATCH(data!Y$1,Haver_M!$B$1:$BZ$1,0),FALSE)),VLOOKUP($A35,Haver_M!$B$1:$BZ$300,MATCH(data!Y$1,Haver_M!$B$1:$BZ$1,0),FALSE),"")</f>
        <v>55.43</v>
      </c>
      <c r="Z35" t="str">
        <f>IF(ISNUMBER(VLOOKUP($A35,Haver_M!$B$1:$BZ$300,MATCH(data!Z$1,Haver_M!$B$1:$BZ$1,0),FALSE)),VLOOKUP($A35,Haver_M!$B$1:$BZ$300,MATCH(data!Z$1,Haver_M!$B$1:$BZ$1,0),FALSE),"")</f>
        <v/>
      </c>
      <c r="AA35" t="str">
        <f>IF(ISNUMBER(VLOOKUP($A35,Haver_M!$B$1:$BZ$300,MATCH(data!AA$1,Haver_M!$B$1:$BZ$1,0),FALSE)),VLOOKUP($A35,Haver_M!$B$1:$BZ$300,MATCH(data!AA$1,Haver_M!$B$1:$BZ$1,0),FALSE),"")</f>
        <v/>
      </c>
      <c r="AB35" t="str">
        <f>IF(ISNUMBER(VLOOKUP($A35,Haver_M!$B$1:$BZ$300,MATCH(data!AB$1,Haver_M!$B$1:$BZ$1,0),FALSE)),VLOOKUP($A35,Haver_M!$B$1:$BZ$300,MATCH(data!AB$1,Haver_M!$B$1:$BZ$1,0),FALSE),"")</f>
        <v/>
      </c>
      <c r="AC35" t="str">
        <f>IF(ISNUMBER(VLOOKUP($A35,Haver_M!$B$1:$BZ$300,MATCH(data!AC$1,Haver_M!$B$1:$BZ$1,0),FALSE)),VLOOKUP($A35,Haver_M!$B$1:$BZ$300,MATCH(data!AC$1,Haver_M!$B$1:$BZ$1,0),FALSE),"")</f>
        <v/>
      </c>
      <c r="AD35" t="str">
        <f>IF(ISNUMBER(VLOOKUP($A35,Haver_M!$B$1:$BZ$300,MATCH(data!AD$1,Haver_M!$B$1:$BZ$1,0),FALSE)),VLOOKUP($A35,Haver_M!$B$1:$BZ$300,MATCH(data!AD$1,Haver_M!$B$1:$BZ$1,0),FALSE),"")</f>
        <v/>
      </c>
      <c r="AE35" t="str">
        <f>IF(ISNUMBER(VLOOKUP($A35,Haver_M!$B$1:$BZ$300,MATCH(data!AE$1,Haver_M!$B$1:$BZ$1,0),FALSE)),VLOOKUP($A35,Haver_M!$B$1:$BZ$300,MATCH(data!AE$1,Haver_M!$B$1:$BZ$1,0),FALSE),"")</f>
        <v/>
      </c>
      <c r="AF35" t="str">
        <f>IF(ISNUMBER(VLOOKUP($A35,Haver_M!$B$1:$BZ$300,MATCH(data!AF$1,Haver_M!$B$1:$BZ$1,0),FALSE)),VLOOKUP($A35,Haver_M!$B$1:$BZ$300,MATCH(data!AF$1,Haver_M!$B$1:$BZ$1,0),FALSE),"")</f>
        <v/>
      </c>
      <c r="AG35" t="str">
        <f>IF(ISNUMBER(VLOOKUP($A35,Haver_M!$B$1:$BZ$300,MATCH(data!AG$1,Haver_M!$B$1:$BZ$1,0),FALSE)),VLOOKUP($A35,Haver_M!$B$1:$BZ$300,MATCH(data!AG$1,Haver_M!$B$1:$BZ$1,0),FALSE),"")</f>
        <v/>
      </c>
      <c r="AH35" t="str">
        <f>IF(ISNUMBER(VLOOKUP($A35,Haver_M!$B$1:$BZ$300,MATCH(data!AH$1,Haver_M!$B$1:$BZ$1,0),FALSE)),VLOOKUP($A35,Haver_M!$B$1:$BZ$300,MATCH(data!AH$1,Haver_M!$B$1:$BZ$1,0),FALSE),"")</f>
        <v/>
      </c>
      <c r="AI35">
        <f>IF(ISNUMBER(VLOOKUP($A35,Haver_M!$B$1:$BZ$300,MATCH(data!AI$1,Haver_M!$B$1:$BZ$1,0),FALSE)),VLOOKUP($A35,Haver_M!$B$1:$BZ$300,MATCH(data!AI$1,Haver_M!$B$1:$BZ$1,0),FALSE),"")</f>
        <v>8845.128422097072</v>
      </c>
      <c r="AJ35">
        <f>IF(ISNUMBER(VLOOKUP($A35,Haver_M!$B$1:$BZ$300,MATCH(data!AJ$1,Haver_M!$B$1:$BZ$1,0),FALSE)),VLOOKUP($A35,Haver_M!$B$1:$BZ$300,MATCH(data!AJ$1,Haver_M!$B$1:$BZ$1,0),FALSE),"")</f>
        <v>4662.82</v>
      </c>
      <c r="AK35">
        <f>IF(ISNUMBER(VLOOKUP($A35,Haver_M!$B$1:$BZ$300,MATCH(data!AK$1,Haver_M!$B$1:$BZ$1,0),FALSE)),VLOOKUP($A35,Haver_M!$B$1:$BZ$300,MATCH(data!AK$1,Haver_M!$B$1:$BZ$1,0),FALSE),"")</f>
        <v>5424.54</v>
      </c>
      <c r="AL35" t="str">
        <f>IF(ISNUMBER(VLOOKUP($A35,Haver_M!$B$1:$BZ$300,MATCH(data!AL$1,Haver_M!$B$1:$BZ$1,0),FALSE)),VLOOKUP($A35,Haver_M!$B$1:$BZ$300,MATCH(data!AL$1,Haver_M!$B$1:$BZ$1,0),FALSE),"")</f>
        <v/>
      </c>
      <c r="AM35" t="str">
        <f>IF(ISNUMBER(VLOOKUP($A35,Haver_M!$B$1:$BZ$300,MATCH(data!AM$1,Haver_M!$B$1:$BZ$1,0),FALSE)),VLOOKUP($A35,Haver_M!$B$1:$BZ$300,MATCH(data!AM$1,Haver_M!$B$1:$BZ$1,0),FALSE),"")</f>
        <v/>
      </c>
      <c r="AN35" t="str">
        <f>IF(ISNUMBER(VLOOKUP($A35,Haver_M!$B$1:$BZ$300,MATCH(data!AN$1,Haver_M!$B$1:$BZ$1,0),FALSE)),VLOOKUP($A35,Haver_M!$B$1:$BZ$300,MATCH(data!AN$1,Haver_M!$B$1:$BZ$1,0),FALSE),"")</f>
        <v/>
      </c>
      <c r="AO35" t="str">
        <f>IF(ISNUMBER(VLOOKUP($A35,Haver_M!$B$1:$BZ$300,MATCH(data!AO$1,Haver_M!$B$1:$BZ$1,0),FALSE)),VLOOKUP($A35,Haver_M!$B$1:$BZ$300,MATCH(data!AO$1,Haver_M!$B$1:$BZ$1,0),FALSE),"")</f>
        <v/>
      </c>
      <c r="AP35">
        <f>IF(ISNUMBER(VLOOKUP($A35,Haver_M!$B$1:$BZ$300,MATCH(data!AP$1,Haver_M!$B$1:$BZ$1,0),FALSE)),VLOOKUP($A35,Haver_M!$B$1:$BZ$300,MATCH(data!AP$1,Haver_M!$B$1:$BZ$1,0),FALSE),"")</f>
        <v>120.34108091371729</v>
      </c>
      <c r="AQ35" t="str">
        <f>IF(ISNUMBER(VLOOKUP($A35,Haver_M!$B$1:$BZ$300,MATCH(data!AQ$1,Haver_M!$B$1:$BZ$1,0),FALSE)),VLOOKUP($A35,Haver_M!$B$1:$BZ$300,MATCH(data!AQ$1,Haver_M!$B$1:$BZ$1,0),FALSE),"")</f>
        <v/>
      </c>
      <c r="AR35" t="str">
        <f>IF(ISNUMBER(VLOOKUP($A35,Haver_M!$B$1:$BZ$300,MATCH(data!AR$1,Haver_M!$B$1:$BZ$1,0),FALSE)),VLOOKUP($A35,Haver_M!$B$1:$BZ$300,MATCH(data!AR$1,Haver_M!$B$1:$BZ$1,0),FALSE),"")</f>
        <v/>
      </c>
      <c r="AS35" t="str">
        <f>IF(ISNUMBER(VLOOKUP($A35,Haver_M!$B$1:$BZ$300,MATCH(data!AS$1,Haver_M!$B$1:$BZ$1,0),FALSE)),VLOOKUP($A35,Haver_M!$B$1:$BZ$300,MATCH(data!AS$1,Haver_M!$B$1:$BZ$1,0),FALSE),"")</f>
        <v/>
      </c>
      <c r="AT35" t="str">
        <f>IF(ISNUMBER(VLOOKUP($A35,Haver_M!$B$1:$BZ$300,MATCH(data!AT$1,Haver_M!$B$1:$BZ$1,0),FALSE)),VLOOKUP($A35,Haver_M!$B$1:$BZ$300,MATCH(data!AT$1,Haver_M!$B$1:$BZ$1,0),FALSE),"")</f>
        <v/>
      </c>
      <c r="AU35" t="str">
        <f>IF(ISNUMBER(VLOOKUP($A35,Haver_M!$B$1:$BZ$300,MATCH(data!AU$1,Haver_M!$B$1:$BZ$1,0),FALSE)),VLOOKUP($A35,Haver_M!$B$1:$BZ$300,MATCH(data!AU$1,Haver_M!$B$1:$BZ$1,0),FALSE),"")</f>
        <v/>
      </c>
      <c r="AV35" t="str">
        <f>IF(ISNUMBER(VLOOKUP($A35,Haver_M!$B$1:$BZ$300,MATCH(data!AV$1,Haver_M!$B$1:$BZ$1,0),FALSE)),VLOOKUP($A35,Haver_M!$B$1:$BZ$300,MATCH(data!AV$1,Haver_M!$B$1:$BZ$1,0),FALSE),"")</f>
        <v/>
      </c>
      <c r="AW35" t="str">
        <f>IF(ISNUMBER(VLOOKUP($A35,Haver_M!$B$1:$BZ$300,MATCH(data!AW$1,Haver_M!$B$1:$BZ$1,0),FALSE)),VLOOKUP($A35,Haver_M!$B$1:$BZ$300,MATCH(data!AW$1,Haver_M!$B$1:$BZ$1,0),FALSE),"")</f>
        <v/>
      </c>
      <c r="AX35" t="str">
        <f>IF(ISNUMBER(VLOOKUP($A35,Haver_M!$B$1:$BZ$300,MATCH(data!AX$1,Haver_M!$B$1:$BZ$1,0),FALSE)),VLOOKUP($A35,Haver_M!$B$1:$BZ$300,MATCH(data!AX$1,Haver_M!$B$1:$BZ$1,0),FALSE),"")</f>
        <v/>
      </c>
      <c r="AY35" t="str">
        <f>IF(ISNUMBER(VLOOKUP($A35,Haver_M!$B$1:$BZ$300,MATCH(data!AY$1,Haver_M!$B$1:$BZ$1,0),FALSE)),VLOOKUP($A35,Haver_M!$B$1:$BZ$300,MATCH(data!AY$1,Haver_M!$B$1:$BZ$1,0),FALSE),"")</f>
        <v/>
      </c>
      <c r="AZ35" t="str">
        <f>IF(ISNUMBER(VLOOKUP($A35,Haver_M!$B$1:$BZ$300,MATCH(data!AZ$1,Haver_M!$B$1:$BZ$1,0),FALSE)),VLOOKUP($A35,Haver_M!$B$1:$BZ$300,MATCH(data!AZ$1,Haver_M!$B$1:$BZ$1,0),FALSE),"")</f>
        <v/>
      </c>
      <c r="BA35" t="str">
        <f>IF(ISNUMBER(VLOOKUP($A35,Haver_M!$B$1:$BZ$300,MATCH(data!BA$1,Haver_M!$B$1:$BZ$1,0),FALSE)),VLOOKUP($A35,Haver_M!$B$1:$BZ$300,MATCH(data!BA$1,Haver_M!$B$1:$BZ$1,0),FALSE),"")</f>
        <v/>
      </c>
      <c r="BB35" t="str">
        <f>IF(ISNUMBER(VLOOKUP($A35,Haver_M!$B$1:$BZ$300,MATCH(data!BB$1,Haver_M!$B$1:$BZ$1,0),FALSE)),VLOOKUP($A35,Haver_M!$B$1:$BZ$300,MATCH(data!BB$1,Haver_M!$B$1:$BZ$1,0),FALSE),"")</f>
        <v/>
      </c>
      <c r="BC35" t="str">
        <f>IF(ISNUMBER(VLOOKUP($A35,Haver_M!$B$1:$BZ$300,MATCH(data!BC$1,Haver_M!$B$1:$BZ$1,0),FALSE)),VLOOKUP($A35,Haver_M!$B$1:$BZ$300,MATCH(data!BC$1,Haver_M!$B$1:$BZ$1,0),FALSE),"")</f>
        <v/>
      </c>
      <c r="BD35" t="str">
        <f>IF(ISNUMBER(VLOOKUP($A35,Haver_M!$B$1:$BZ$300,MATCH(data!BD$1,Haver_M!$B$1:$BZ$1,0),FALSE)),VLOOKUP($A35,Haver_M!$B$1:$BZ$300,MATCH(data!BD$1,Haver_M!$B$1:$BZ$1,0),FALSE),"")</f>
        <v/>
      </c>
      <c r="BE35" t="str">
        <f>IF(ISNUMBER(VLOOKUP($A35,Haver_M!$B$1:$BZ$300,MATCH(data!BE$1,Haver_M!$B$1:$BZ$1,0),FALSE)),VLOOKUP($A35,Haver_M!$B$1:$BZ$300,MATCH(data!BE$1,Haver_M!$B$1:$BZ$1,0),FALSE),"")</f>
        <v/>
      </c>
      <c r="BF35" t="str">
        <f>IF(ISNUMBER(VLOOKUP($A35,Haver_M!$B$1:$BZ$300,MATCH(data!BF$1,Haver_M!$B$1:$BZ$1,0),FALSE)),VLOOKUP($A35,Haver_M!$B$1:$BZ$300,MATCH(data!BF$1,Haver_M!$B$1:$BZ$1,0),FALSE),"")</f>
        <v/>
      </c>
      <c r="BG35" t="str">
        <f>IF(ISNUMBER(VLOOKUP($A35,Haver_M!$B$1:$BZ$300,MATCH(data!BG$1,Haver_M!$B$1:$BZ$1,0),FALSE)),VLOOKUP($A35,Haver_M!$B$1:$BZ$300,MATCH(data!BG$1,Haver_M!$B$1:$BZ$1,0),FALSE),"")</f>
        <v/>
      </c>
      <c r="BH35" t="str">
        <f>IF(ISNUMBER(VLOOKUP($A35,Haver_M!$B$1:$BZ$300,MATCH(data!BH$1,Haver_M!$B$1:$BZ$1,0),FALSE)),VLOOKUP($A35,Haver_M!$B$1:$BZ$300,MATCH(data!BH$1,Haver_M!$B$1:$BZ$1,0),FALSE),"")</f>
        <v/>
      </c>
      <c r="BI35" t="str">
        <f>IF(ISNUMBER(VLOOKUP($A35,Haver_M!$B$1:$BZ$300,MATCH(data!BI$1,Haver_M!$B$1:$BZ$1,0),FALSE)),VLOOKUP($A35,Haver_M!$B$1:$BZ$300,MATCH(data!BI$1,Haver_M!$B$1:$BZ$1,0),FALSE),"")</f>
        <v/>
      </c>
      <c r="BJ35" t="str">
        <f>IF(ISNUMBER(VLOOKUP($A35,Haver_M!$B$1:$BZ$300,MATCH(data!BJ$1,Haver_M!$B$1:$BZ$1,0),FALSE)),VLOOKUP($A35,Haver_M!$B$1:$BZ$300,MATCH(data!BJ$1,Haver_M!$B$1:$BZ$1,0),FALSE),"")</f>
        <v/>
      </c>
      <c r="BK35" t="str">
        <f>IF(ISNUMBER(VLOOKUP($A35,Haver_M!$B$1:$BZ$300,MATCH(data!BK$1,Haver_M!$B$1:$BZ$1,0),FALSE)),VLOOKUP($A35,Haver_M!$B$1:$BZ$300,MATCH(data!BK$1,Haver_M!$B$1:$BZ$1,0),FALSE),"")</f>
        <v/>
      </c>
      <c r="BL35">
        <f>IF(ISNUMBER(VLOOKUP($A35,Haver_M!$B$1:$BZ$300,MATCH(data!BL$1,Haver_M!$B$1:$BZ$1,0),FALSE)),VLOOKUP($A35,Haver_M!$B$1:$BZ$300,MATCH(data!BL$1,Haver_M!$B$1:$BZ$1,0),FALSE),"")</f>
        <v>2949.76</v>
      </c>
      <c r="BM35">
        <f>IF(ISNUMBER(VLOOKUP($A35,Haver_M!$B$1:$BZ$300,MATCH(data!BM$1,Haver_M!$B$1:$BZ$1,0),FALSE)),VLOOKUP($A35,Haver_M!$B$1:$BZ$300,MATCH(data!BM$1,Haver_M!$B$1:$BZ$1,0),FALSE),"")</f>
        <v>91.879112800000001</v>
      </c>
      <c r="BN35" t="str">
        <f>IF(ISNUMBER(VLOOKUP($A35,Haver_M!$B$1:$BZ$300,MATCH(data!BN$1,Haver_M!$B$1:$BZ$1,0),FALSE)),VLOOKUP($A35,Haver_M!$B$1:$BZ$300,MATCH(data!BN$1,Haver_M!$B$1:$BZ$1,0),FALSE),"")</f>
        <v/>
      </c>
      <c r="BO35" t="str">
        <f>IF(ISNUMBER(VLOOKUP($A35,Haver_M!$B$1:$BZ$300,MATCH(data!BO$1,Haver_M!$B$1:$BZ$1,0),FALSE)),VLOOKUP($A35,Haver_M!$B$1:$BZ$300,MATCH(data!BO$1,Haver_M!$B$1:$BZ$1,0),FALSE),"")</f>
        <v/>
      </c>
      <c r="BP35" t="str">
        <f>IF(ISNUMBER(VLOOKUP($A35,Haver_M!$B$1:$BZ$300,MATCH(data!BP$1,Haver_M!$B$1:$BZ$1,0),FALSE)),VLOOKUP($A35,Haver_M!$B$1:$BZ$300,MATCH(data!BP$1,Haver_M!$B$1:$BZ$1,0),FALSE),"")</f>
        <v/>
      </c>
      <c r="BQ35" t="str">
        <f>IF(ISNUMBER(VLOOKUP($A35,Haver_M!$B$1:$BZ$300,MATCH(data!BQ$1,Haver_M!$B$1:$BZ$1,0),FALSE)),VLOOKUP($A35,Haver_M!$B$1:$BZ$300,MATCH(data!BQ$1,Haver_M!$B$1:$BZ$1,0),FALSE),"")</f>
        <v/>
      </c>
      <c r="BR35" t="str">
        <f>IF(ISNUMBER(VLOOKUP($A35,Haver_M!$B$1:$BZ$300,MATCH(data!BR$1,Haver_M!$B$1:$BZ$1,0),FALSE)),VLOOKUP($A35,Haver_M!$B$1:$BZ$300,MATCH(data!BR$1,Haver_M!$B$1:$BZ$1,0),FALSE),"")</f>
        <v/>
      </c>
      <c r="BS35" t="str">
        <f>IF(ISNUMBER(VLOOKUP($A35,Haver_M!$B$1:$BZ$300,MATCH(data!BS$1,Haver_M!$B$1:$BZ$1,0),FALSE)),VLOOKUP($A35,Haver_M!$B$1:$BZ$300,MATCH(data!BS$1,Haver_M!$B$1:$BZ$1,0),FALSE),"")</f>
        <v/>
      </c>
      <c r="BT35" t="str">
        <f>IF(ISNUMBER(VLOOKUP($A35,Haver_M!$B$1:$BZ$300,MATCH(data!BT$1,Haver_M!$B$1:$BZ$1,0),FALSE)),VLOOKUP($A35,Haver_M!$B$1:$BZ$300,MATCH(data!BT$1,Haver_M!$B$1:$BZ$1,0),FALSE),"")</f>
        <v/>
      </c>
      <c r="BU35">
        <f>IF(ISNUMBER(VLOOKUP($A35,Haver_M!$B$1:$BZ$300,MATCH(data!BU$1,Haver_M!$B$1:$BZ$1,0),FALSE)),VLOOKUP($A35,Haver_M!$B$1:$BZ$300,MATCH(data!BU$1,Haver_M!$B$1:$BZ$1,0),FALSE),"")</f>
        <v>4752</v>
      </c>
      <c r="BV35">
        <f>IF(ISNUMBER(VLOOKUP($A35,Haver_M!$B$1:$BZ$300,MATCH(data!BV$1,Haver_M!$B$1:$BZ$1,0),FALSE)),VLOOKUP($A35,Haver_M!$B$1:$BZ$300,MATCH(data!BV$1,Haver_M!$B$1:$BZ$1,0),FALSE),"")</f>
        <v>5593</v>
      </c>
      <c r="BW35">
        <f>IF(ISNUMBER(VLOOKUP($A35,Haver_M!$B$1:$BZ$300,MATCH(data!BW$1,Haver_M!$B$1:$BZ$1,0),FALSE)),VLOOKUP($A35,Haver_M!$B$1:$BZ$300,MATCH(data!BW$1,Haver_M!$B$1:$BZ$1,0),FALSE),"")</f>
        <v>48.371400000000001</v>
      </c>
      <c r="BX35">
        <f>IF(ISNUMBER(VLOOKUP($A35,Haver_M!$B$1:$BZ$300,MATCH(data!BX$1,Haver_M!$B$1:$BZ$1,0),FALSE)),VLOOKUP($A35,Haver_M!$B$1:$BZ$300,MATCH(data!BX$1,Haver_M!$B$1:$BZ$1,0),FALSE),"")</f>
        <v>53572</v>
      </c>
    </row>
    <row r="36" spans="1:76" x14ac:dyDescent="0.25">
      <c r="A36" s="2">
        <v>37590</v>
      </c>
      <c r="B36" t="str">
        <f>IF(ISNUMBER(VLOOKUP($A36,Haver_Q!$B$1:$L$185,MATCH(data!B$1,Haver_Q!$B$1:$L$1,0),FALSE)),100*(VLOOKUP($A36,Haver_Q!$B$1:$L$185,MATCH(data!B$1,Haver_Q!$B$1:$L$1,0),FALSE)),"")</f>
        <v/>
      </c>
      <c r="C36" t="str">
        <f>IF(ISNUMBER(VLOOKUP($A36,Haver_Q!$B$1:$L$185,MATCH(data!C$1,Haver_Q!$B$1:$L$1,0),FALSE)),100*(VLOOKUP($A36,Haver_Q!$B$1:$L$185,MATCH(data!C$1,Haver_Q!$B$1:$L$1,0),FALSE)),"")</f>
        <v/>
      </c>
      <c r="D36" t="str">
        <f>IF(ISNUMBER(VLOOKUP($A36,Haver_Q!$B$1:$L$185,MATCH(data!D$1,Haver_Q!$B$1:$L$1,0),FALSE)),100*(VLOOKUP($A36,Haver_Q!$B$1:$L$185,MATCH(data!D$1,Haver_Q!$B$1:$L$1,0),FALSE)),"")</f>
        <v/>
      </c>
      <c r="E36" t="str">
        <f>IF(ISNUMBER(VLOOKUP($A36,Haver_Q!$B$1:$L$185,MATCH(data!E$1,Haver_Q!$B$1:$L$1,0),FALSE)),100*(VLOOKUP($A36,Haver_Q!$B$1:$L$185,MATCH(data!E$1,Haver_Q!$B$1:$L$1,0),FALSE)),"")</f>
        <v/>
      </c>
      <c r="F36" t="str">
        <f>IF(ISNUMBER(VLOOKUP($A36,Haver_Q!$B$1:$L$185,MATCH(data!F$1,Haver_Q!$B$1:$L$1,0),FALSE)),100*(VLOOKUP($A36,Haver_Q!$B$1:$L$185,MATCH(data!F$1,Haver_Q!$B$1:$L$1,0),FALSE)),"")</f>
        <v/>
      </c>
      <c r="G36" t="str">
        <f>IF(ISNUMBER(VLOOKUP($A36,Haver_Q!$B$1:$L$185,MATCH(data!G$1,Haver_Q!$B$1:$L$1,0),FALSE)),100*(VLOOKUP($A36,Haver_Q!$B$1:$L$185,MATCH(data!G$1,Haver_Q!$B$1:$L$1,0),FALSE)),"")</f>
        <v/>
      </c>
      <c r="H36" t="str">
        <f>IF(ISNUMBER(VLOOKUP($A36,Haver_Q!$B$1:$L$185,MATCH(data!H$1,Haver_Q!$B$1:$L$1,0),FALSE)),(VLOOKUP($A36,Haver_Q!$B$1:$L$185,MATCH(data!H$1,Haver_Q!$B$1:$L$1,0),FALSE)),"")</f>
        <v/>
      </c>
      <c r="I36" t="str">
        <f>IF(ISNUMBER(VLOOKUP($A36,Haver_Q!$B$1:$L$185,MATCH(data!I$1,Haver_Q!$B$1:$L$1,0),FALSE)),100*(VLOOKUP($A36,Haver_Q!$B$1:$L$185,MATCH(data!I$1,Haver_Q!$B$1:$L$1,0),FALSE)),"")</f>
        <v/>
      </c>
      <c r="J36" s="3">
        <f>IF(ISNUMBER(Bloomberg_m!C52),Bloomberg_m!C52,"")</f>
        <v>1460</v>
      </c>
      <c r="K36" s="3" t="str">
        <f>IF(ISNUMBER(Bloomberg_m!D52),Bloomberg_m!D52,"")</f>
        <v/>
      </c>
      <c r="L36" s="3" t="str">
        <f>IF(ISNUMBER(Bloomberg_m!E52),Bloomberg_m!E52,"")</f>
        <v/>
      </c>
      <c r="M36" s="3" t="str">
        <f>IF(ISNUMBER(Bloomberg_m!F52),Bloomberg_m!F52,"")</f>
        <v/>
      </c>
      <c r="N36">
        <f>IF(ISNUMBER(VLOOKUP($A36,Haver_M!$B$1:$BZ$300,MATCH(data!N$1,Haver_M!$B$1:$BZ$1,0),FALSE)),VLOOKUP($A36,Haver_M!$B$1:$BZ$300,MATCH(data!N$1,Haver_M!$B$1:$BZ$1,0),FALSE),"")</f>
        <v>7.5</v>
      </c>
      <c r="O36">
        <f>IF(ISNUMBER(VLOOKUP($A36,Haver_M!$B$1:$BZ$300,MATCH(data!O$1,Haver_M!$B$1:$BZ$1,0),FALSE)),VLOOKUP($A36,Haver_M!$B$1:$BZ$300,MATCH(data!O$1,Haver_M!$B$1:$BZ$1,0),FALSE),"")</f>
        <v>6.4573</v>
      </c>
      <c r="P36">
        <f>IF(ISNUMBER(VLOOKUP($A36,Haver_M!$B$1:$BZ$300,MATCH(data!P$1,Haver_M!$B$1:$BZ$1,0),FALSE)),VLOOKUP($A36,Haver_M!$B$1:$BZ$300,MATCH(data!P$1,Haver_M!$B$1:$BZ$1,0),FALSE),"")</f>
        <v>94.960239999999999</v>
      </c>
      <c r="Q36">
        <f>IF(ISNUMBER(VLOOKUP($A36,Haver_M!$B$1:$BZ$300,MATCH(data!Q$1,Haver_M!$B$1:$BZ$1,0),FALSE)),VLOOKUP($A36,Haver_M!$B$1:$BZ$300,MATCH(data!Q$1,Haver_M!$B$1:$BZ$1,0),FALSE),"")</f>
        <v>52.1</v>
      </c>
      <c r="R36" t="str">
        <f>IF(ISNUMBER(VLOOKUP($A36,Haver_M!$B$1:$BZ$300,MATCH(data!R$1,Haver_M!$B$1:$BZ$1,0),FALSE)),VLOOKUP($A36,Haver_M!$B$1:$BZ$300,MATCH(data!R$1,Haver_M!$B$1:$BZ$1,0),FALSE),"")</f>
        <v/>
      </c>
      <c r="S36">
        <f>IF(ISNUMBER(VLOOKUP($A36,Haver_M!$B$1:$BZ$300,MATCH(data!S$1,Haver_M!$B$1:$BZ$1,0),FALSE)),VLOOKUP($A36,Haver_M!$B$1:$BZ$300,MATCH(data!S$1,Haver_M!$B$1:$BZ$1,0),FALSE),"")</f>
        <v>50.28</v>
      </c>
      <c r="T36">
        <f>IF(ISNUMBER(VLOOKUP($A36,Haver_M!$B$1:$BZ$300,MATCH(data!T$1,Haver_M!$B$1:$BZ$1,0),FALSE)),VLOOKUP($A36,Haver_M!$B$1:$BZ$300,MATCH(data!T$1,Haver_M!$B$1:$BZ$1,0),FALSE),"")</f>
        <v>59.43</v>
      </c>
      <c r="U36">
        <f>IF(ISNUMBER(VLOOKUP($A36,Haver_M!$B$1:$BZ$300,MATCH(data!U$1,Haver_M!$B$1:$BZ$1,0),FALSE)),VLOOKUP($A36,Haver_M!$B$1:$BZ$300,MATCH(data!U$1,Haver_M!$B$1:$BZ$1,0),FALSE),"")</f>
        <v>29.63</v>
      </c>
      <c r="V36">
        <f>IF(ISNUMBER(VLOOKUP($A36,Haver_M!$B$1:$BZ$300,MATCH(data!V$1,Haver_M!$B$1:$BZ$1,0),FALSE)),VLOOKUP($A36,Haver_M!$B$1:$BZ$300,MATCH(data!V$1,Haver_M!$B$1:$BZ$1,0),FALSE),"")</f>
        <v>60.74</v>
      </c>
      <c r="W36" t="str">
        <f>IF(ISNUMBER(VLOOKUP($A36,Haver_M!$B$1:$BZ$300,MATCH(data!W$1,Haver_M!$B$1:$BZ$1,0),FALSE)),VLOOKUP($A36,Haver_M!$B$1:$BZ$300,MATCH(data!W$1,Haver_M!$B$1:$BZ$1,0),FALSE),"")</f>
        <v/>
      </c>
      <c r="X36">
        <f>IF(ISNUMBER(VLOOKUP($A36,Haver_M!$B$1:$BZ$300,MATCH(data!X$1,Haver_M!$B$1:$BZ$1,0),FALSE)),VLOOKUP($A36,Haver_M!$B$1:$BZ$300,MATCH(data!X$1,Haver_M!$B$1:$BZ$1,0),FALSE),"")</f>
        <v>26.74</v>
      </c>
      <c r="Y36">
        <f>IF(ISNUMBER(VLOOKUP($A36,Haver_M!$B$1:$BZ$300,MATCH(data!Y$1,Haver_M!$B$1:$BZ$1,0),FALSE)),VLOOKUP($A36,Haver_M!$B$1:$BZ$300,MATCH(data!Y$1,Haver_M!$B$1:$BZ$1,0),FALSE),"")</f>
        <v>55.99</v>
      </c>
      <c r="Z36" t="str">
        <f>IF(ISNUMBER(VLOOKUP($A36,Haver_M!$B$1:$BZ$300,MATCH(data!Z$1,Haver_M!$B$1:$BZ$1,0),FALSE)),VLOOKUP($A36,Haver_M!$B$1:$BZ$300,MATCH(data!Z$1,Haver_M!$B$1:$BZ$1,0),FALSE),"")</f>
        <v/>
      </c>
      <c r="AA36" t="str">
        <f>IF(ISNUMBER(VLOOKUP($A36,Haver_M!$B$1:$BZ$300,MATCH(data!AA$1,Haver_M!$B$1:$BZ$1,0),FALSE)),VLOOKUP($A36,Haver_M!$B$1:$BZ$300,MATCH(data!AA$1,Haver_M!$B$1:$BZ$1,0),FALSE),"")</f>
        <v/>
      </c>
      <c r="AB36" t="str">
        <f>IF(ISNUMBER(VLOOKUP($A36,Haver_M!$B$1:$BZ$300,MATCH(data!AB$1,Haver_M!$B$1:$BZ$1,0),FALSE)),VLOOKUP($A36,Haver_M!$B$1:$BZ$300,MATCH(data!AB$1,Haver_M!$B$1:$BZ$1,0),FALSE),"")</f>
        <v/>
      </c>
      <c r="AC36" t="str">
        <f>IF(ISNUMBER(VLOOKUP($A36,Haver_M!$B$1:$BZ$300,MATCH(data!AC$1,Haver_M!$B$1:$BZ$1,0),FALSE)),VLOOKUP($A36,Haver_M!$B$1:$BZ$300,MATCH(data!AC$1,Haver_M!$B$1:$BZ$1,0),FALSE),"")</f>
        <v/>
      </c>
      <c r="AD36" t="str">
        <f>IF(ISNUMBER(VLOOKUP($A36,Haver_M!$B$1:$BZ$300,MATCH(data!AD$1,Haver_M!$B$1:$BZ$1,0),FALSE)),VLOOKUP($A36,Haver_M!$B$1:$BZ$300,MATCH(data!AD$1,Haver_M!$B$1:$BZ$1,0),FALSE),"")</f>
        <v/>
      </c>
      <c r="AE36" t="str">
        <f>IF(ISNUMBER(VLOOKUP($A36,Haver_M!$B$1:$BZ$300,MATCH(data!AE$1,Haver_M!$B$1:$BZ$1,0),FALSE)),VLOOKUP($A36,Haver_M!$B$1:$BZ$300,MATCH(data!AE$1,Haver_M!$B$1:$BZ$1,0),FALSE),"")</f>
        <v/>
      </c>
      <c r="AF36" t="str">
        <f>IF(ISNUMBER(VLOOKUP($A36,Haver_M!$B$1:$BZ$300,MATCH(data!AF$1,Haver_M!$B$1:$BZ$1,0),FALSE)),VLOOKUP($A36,Haver_M!$B$1:$BZ$300,MATCH(data!AF$1,Haver_M!$B$1:$BZ$1,0),FALSE),"")</f>
        <v/>
      </c>
      <c r="AG36" t="str">
        <f>IF(ISNUMBER(VLOOKUP($A36,Haver_M!$B$1:$BZ$300,MATCH(data!AG$1,Haver_M!$B$1:$BZ$1,0),FALSE)),VLOOKUP($A36,Haver_M!$B$1:$BZ$300,MATCH(data!AG$1,Haver_M!$B$1:$BZ$1,0),FALSE),"")</f>
        <v/>
      </c>
      <c r="AH36" t="str">
        <f>IF(ISNUMBER(VLOOKUP($A36,Haver_M!$B$1:$BZ$300,MATCH(data!AH$1,Haver_M!$B$1:$BZ$1,0),FALSE)),VLOOKUP($A36,Haver_M!$B$1:$BZ$300,MATCH(data!AH$1,Haver_M!$B$1:$BZ$1,0),FALSE),"")</f>
        <v/>
      </c>
      <c r="AI36">
        <f>IF(ISNUMBER(VLOOKUP($A36,Haver_M!$B$1:$BZ$300,MATCH(data!AI$1,Haver_M!$B$1:$BZ$1,0),FALSE)),VLOOKUP($A36,Haver_M!$B$1:$BZ$300,MATCH(data!AI$1,Haver_M!$B$1:$BZ$1,0),FALSE),"")</f>
        <v>8842.2964541120364</v>
      </c>
      <c r="AJ36">
        <f>IF(ISNUMBER(VLOOKUP($A36,Haver_M!$B$1:$BZ$300,MATCH(data!AJ$1,Haver_M!$B$1:$BZ$1,0),FALSE)),VLOOKUP($A36,Haver_M!$B$1:$BZ$300,MATCH(data!AJ$1,Haver_M!$B$1:$BZ$1,0),FALSE),"")</f>
        <v>4327.82</v>
      </c>
      <c r="AK36">
        <f>IF(ISNUMBER(VLOOKUP($A36,Haver_M!$B$1:$BZ$300,MATCH(data!AK$1,Haver_M!$B$1:$BZ$1,0),FALSE)),VLOOKUP($A36,Haver_M!$B$1:$BZ$300,MATCH(data!AK$1,Haver_M!$B$1:$BZ$1,0),FALSE),"")</f>
        <v>5213.9799999999996</v>
      </c>
      <c r="AL36" t="str">
        <f>IF(ISNUMBER(VLOOKUP($A36,Haver_M!$B$1:$BZ$300,MATCH(data!AL$1,Haver_M!$B$1:$BZ$1,0),FALSE)),VLOOKUP($A36,Haver_M!$B$1:$BZ$300,MATCH(data!AL$1,Haver_M!$B$1:$BZ$1,0),FALSE),"")</f>
        <v/>
      </c>
      <c r="AM36" t="str">
        <f>IF(ISNUMBER(VLOOKUP($A36,Haver_M!$B$1:$BZ$300,MATCH(data!AM$1,Haver_M!$B$1:$BZ$1,0),FALSE)),VLOOKUP($A36,Haver_M!$B$1:$BZ$300,MATCH(data!AM$1,Haver_M!$B$1:$BZ$1,0),FALSE),"")</f>
        <v/>
      </c>
      <c r="AN36" t="str">
        <f>IF(ISNUMBER(VLOOKUP($A36,Haver_M!$B$1:$BZ$300,MATCH(data!AN$1,Haver_M!$B$1:$BZ$1,0),FALSE)),VLOOKUP($A36,Haver_M!$B$1:$BZ$300,MATCH(data!AN$1,Haver_M!$B$1:$BZ$1,0),FALSE),"")</f>
        <v/>
      </c>
      <c r="AO36" t="str">
        <f>IF(ISNUMBER(VLOOKUP($A36,Haver_M!$B$1:$BZ$300,MATCH(data!AO$1,Haver_M!$B$1:$BZ$1,0),FALSE)),VLOOKUP($A36,Haver_M!$B$1:$BZ$300,MATCH(data!AO$1,Haver_M!$B$1:$BZ$1,0),FALSE),"")</f>
        <v/>
      </c>
      <c r="AP36">
        <f>IF(ISNUMBER(VLOOKUP($A36,Haver_M!$B$1:$BZ$300,MATCH(data!AP$1,Haver_M!$B$1:$BZ$1,0),FALSE)),VLOOKUP($A36,Haver_M!$B$1:$BZ$300,MATCH(data!AP$1,Haver_M!$B$1:$BZ$1,0),FALSE),"")</f>
        <v>116.85282534029791</v>
      </c>
      <c r="AQ36" t="str">
        <f>IF(ISNUMBER(VLOOKUP($A36,Haver_M!$B$1:$BZ$300,MATCH(data!AQ$1,Haver_M!$B$1:$BZ$1,0),FALSE)),VLOOKUP($A36,Haver_M!$B$1:$BZ$300,MATCH(data!AQ$1,Haver_M!$B$1:$BZ$1,0),FALSE),"")</f>
        <v/>
      </c>
      <c r="AR36" t="str">
        <f>IF(ISNUMBER(VLOOKUP($A36,Haver_M!$B$1:$BZ$300,MATCH(data!AR$1,Haver_M!$B$1:$BZ$1,0),FALSE)),VLOOKUP($A36,Haver_M!$B$1:$BZ$300,MATCH(data!AR$1,Haver_M!$B$1:$BZ$1,0),FALSE),"")</f>
        <v/>
      </c>
      <c r="AS36" t="str">
        <f>IF(ISNUMBER(VLOOKUP($A36,Haver_M!$B$1:$BZ$300,MATCH(data!AS$1,Haver_M!$B$1:$BZ$1,0),FALSE)),VLOOKUP($A36,Haver_M!$B$1:$BZ$300,MATCH(data!AS$1,Haver_M!$B$1:$BZ$1,0),FALSE),"")</f>
        <v/>
      </c>
      <c r="AT36" t="str">
        <f>IF(ISNUMBER(VLOOKUP($A36,Haver_M!$B$1:$BZ$300,MATCH(data!AT$1,Haver_M!$B$1:$BZ$1,0),FALSE)),VLOOKUP($A36,Haver_M!$B$1:$BZ$300,MATCH(data!AT$1,Haver_M!$B$1:$BZ$1,0),FALSE),"")</f>
        <v/>
      </c>
      <c r="AU36" t="str">
        <f>IF(ISNUMBER(VLOOKUP($A36,Haver_M!$B$1:$BZ$300,MATCH(data!AU$1,Haver_M!$B$1:$BZ$1,0),FALSE)),VLOOKUP($A36,Haver_M!$B$1:$BZ$300,MATCH(data!AU$1,Haver_M!$B$1:$BZ$1,0),FALSE),"")</f>
        <v/>
      </c>
      <c r="AV36" t="str">
        <f>IF(ISNUMBER(VLOOKUP($A36,Haver_M!$B$1:$BZ$300,MATCH(data!AV$1,Haver_M!$B$1:$BZ$1,0),FALSE)),VLOOKUP($A36,Haver_M!$B$1:$BZ$300,MATCH(data!AV$1,Haver_M!$B$1:$BZ$1,0),FALSE),"")</f>
        <v/>
      </c>
      <c r="AW36" t="str">
        <f>IF(ISNUMBER(VLOOKUP($A36,Haver_M!$B$1:$BZ$300,MATCH(data!AW$1,Haver_M!$B$1:$BZ$1,0),FALSE)),VLOOKUP($A36,Haver_M!$B$1:$BZ$300,MATCH(data!AW$1,Haver_M!$B$1:$BZ$1,0),FALSE),"")</f>
        <v/>
      </c>
      <c r="AX36" t="str">
        <f>IF(ISNUMBER(VLOOKUP($A36,Haver_M!$B$1:$BZ$300,MATCH(data!AX$1,Haver_M!$B$1:$BZ$1,0),FALSE)),VLOOKUP($A36,Haver_M!$B$1:$BZ$300,MATCH(data!AX$1,Haver_M!$B$1:$BZ$1,0),FALSE),"")</f>
        <v/>
      </c>
      <c r="AY36" t="str">
        <f>IF(ISNUMBER(VLOOKUP($A36,Haver_M!$B$1:$BZ$300,MATCH(data!AY$1,Haver_M!$B$1:$BZ$1,0),FALSE)),VLOOKUP($A36,Haver_M!$B$1:$BZ$300,MATCH(data!AY$1,Haver_M!$B$1:$BZ$1,0),FALSE),"")</f>
        <v/>
      </c>
      <c r="AZ36" t="str">
        <f>IF(ISNUMBER(VLOOKUP($A36,Haver_M!$B$1:$BZ$300,MATCH(data!AZ$1,Haver_M!$B$1:$BZ$1,0),FALSE)),VLOOKUP($A36,Haver_M!$B$1:$BZ$300,MATCH(data!AZ$1,Haver_M!$B$1:$BZ$1,0),FALSE),"")</f>
        <v/>
      </c>
      <c r="BA36" t="str">
        <f>IF(ISNUMBER(VLOOKUP($A36,Haver_M!$B$1:$BZ$300,MATCH(data!BA$1,Haver_M!$B$1:$BZ$1,0),FALSE)),VLOOKUP($A36,Haver_M!$B$1:$BZ$300,MATCH(data!BA$1,Haver_M!$B$1:$BZ$1,0),FALSE),"")</f>
        <v/>
      </c>
      <c r="BB36" t="str">
        <f>IF(ISNUMBER(VLOOKUP($A36,Haver_M!$B$1:$BZ$300,MATCH(data!BB$1,Haver_M!$B$1:$BZ$1,0),FALSE)),VLOOKUP($A36,Haver_M!$B$1:$BZ$300,MATCH(data!BB$1,Haver_M!$B$1:$BZ$1,0),FALSE),"")</f>
        <v/>
      </c>
      <c r="BC36" t="str">
        <f>IF(ISNUMBER(VLOOKUP($A36,Haver_M!$B$1:$BZ$300,MATCH(data!BC$1,Haver_M!$B$1:$BZ$1,0),FALSE)),VLOOKUP($A36,Haver_M!$B$1:$BZ$300,MATCH(data!BC$1,Haver_M!$B$1:$BZ$1,0),FALSE),"")</f>
        <v/>
      </c>
      <c r="BD36" t="str">
        <f>IF(ISNUMBER(VLOOKUP($A36,Haver_M!$B$1:$BZ$300,MATCH(data!BD$1,Haver_M!$B$1:$BZ$1,0),FALSE)),VLOOKUP($A36,Haver_M!$B$1:$BZ$300,MATCH(data!BD$1,Haver_M!$B$1:$BZ$1,0),FALSE),"")</f>
        <v/>
      </c>
      <c r="BE36" t="str">
        <f>IF(ISNUMBER(VLOOKUP($A36,Haver_M!$B$1:$BZ$300,MATCH(data!BE$1,Haver_M!$B$1:$BZ$1,0),FALSE)),VLOOKUP($A36,Haver_M!$B$1:$BZ$300,MATCH(data!BE$1,Haver_M!$B$1:$BZ$1,0),FALSE),"")</f>
        <v/>
      </c>
      <c r="BF36" t="str">
        <f>IF(ISNUMBER(VLOOKUP($A36,Haver_M!$B$1:$BZ$300,MATCH(data!BF$1,Haver_M!$B$1:$BZ$1,0),FALSE)),VLOOKUP($A36,Haver_M!$B$1:$BZ$300,MATCH(data!BF$1,Haver_M!$B$1:$BZ$1,0),FALSE),"")</f>
        <v/>
      </c>
      <c r="BG36" t="str">
        <f>IF(ISNUMBER(VLOOKUP($A36,Haver_M!$B$1:$BZ$300,MATCH(data!BG$1,Haver_M!$B$1:$BZ$1,0),FALSE)),VLOOKUP($A36,Haver_M!$B$1:$BZ$300,MATCH(data!BG$1,Haver_M!$B$1:$BZ$1,0),FALSE),"")</f>
        <v/>
      </c>
      <c r="BH36" t="str">
        <f>IF(ISNUMBER(VLOOKUP($A36,Haver_M!$B$1:$BZ$300,MATCH(data!BH$1,Haver_M!$B$1:$BZ$1,0),FALSE)),VLOOKUP($A36,Haver_M!$B$1:$BZ$300,MATCH(data!BH$1,Haver_M!$B$1:$BZ$1,0),FALSE),"")</f>
        <v/>
      </c>
      <c r="BI36" t="str">
        <f>IF(ISNUMBER(VLOOKUP($A36,Haver_M!$B$1:$BZ$300,MATCH(data!BI$1,Haver_M!$B$1:$BZ$1,0),FALSE)),VLOOKUP($A36,Haver_M!$B$1:$BZ$300,MATCH(data!BI$1,Haver_M!$B$1:$BZ$1,0),FALSE),"")</f>
        <v/>
      </c>
      <c r="BJ36" t="str">
        <f>IF(ISNUMBER(VLOOKUP($A36,Haver_M!$B$1:$BZ$300,MATCH(data!BJ$1,Haver_M!$B$1:$BZ$1,0),FALSE)),VLOOKUP($A36,Haver_M!$B$1:$BZ$300,MATCH(data!BJ$1,Haver_M!$B$1:$BZ$1,0),FALSE),"")</f>
        <v/>
      </c>
      <c r="BK36" t="str">
        <f>IF(ISNUMBER(VLOOKUP($A36,Haver_M!$B$1:$BZ$300,MATCH(data!BK$1,Haver_M!$B$1:$BZ$1,0),FALSE)),VLOOKUP($A36,Haver_M!$B$1:$BZ$300,MATCH(data!BK$1,Haver_M!$B$1:$BZ$1,0),FALSE),"")</f>
        <v/>
      </c>
      <c r="BL36">
        <f>IF(ISNUMBER(VLOOKUP($A36,Haver_M!$B$1:$BZ$300,MATCH(data!BL$1,Haver_M!$B$1:$BZ$1,0),FALSE)),VLOOKUP($A36,Haver_M!$B$1:$BZ$300,MATCH(data!BL$1,Haver_M!$B$1:$BZ$1,0),FALSE),"")</f>
        <v>3058.19</v>
      </c>
      <c r="BM36">
        <f>IF(ISNUMBER(VLOOKUP($A36,Haver_M!$B$1:$BZ$300,MATCH(data!BM$1,Haver_M!$B$1:$BZ$1,0),FALSE)),VLOOKUP($A36,Haver_M!$B$1:$BZ$300,MATCH(data!BM$1,Haver_M!$B$1:$BZ$1,0),FALSE),"")</f>
        <v>90.857278309999998</v>
      </c>
      <c r="BN36" t="str">
        <f>IF(ISNUMBER(VLOOKUP($A36,Haver_M!$B$1:$BZ$300,MATCH(data!BN$1,Haver_M!$B$1:$BZ$1,0),FALSE)),VLOOKUP($A36,Haver_M!$B$1:$BZ$300,MATCH(data!BN$1,Haver_M!$B$1:$BZ$1,0),FALSE),"")</f>
        <v/>
      </c>
      <c r="BO36" t="str">
        <f>IF(ISNUMBER(VLOOKUP($A36,Haver_M!$B$1:$BZ$300,MATCH(data!BO$1,Haver_M!$B$1:$BZ$1,0),FALSE)),VLOOKUP($A36,Haver_M!$B$1:$BZ$300,MATCH(data!BO$1,Haver_M!$B$1:$BZ$1,0),FALSE),"")</f>
        <v/>
      </c>
      <c r="BP36" t="str">
        <f>IF(ISNUMBER(VLOOKUP($A36,Haver_M!$B$1:$BZ$300,MATCH(data!BP$1,Haver_M!$B$1:$BZ$1,0),FALSE)),VLOOKUP($A36,Haver_M!$B$1:$BZ$300,MATCH(data!BP$1,Haver_M!$B$1:$BZ$1,0),FALSE),"")</f>
        <v/>
      </c>
      <c r="BQ36" t="str">
        <f>IF(ISNUMBER(VLOOKUP($A36,Haver_M!$B$1:$BZ$300,MATCH(data!BQ$1,Haver_M!$B$1:$BZ$1,0),FALSE)),VLOOKUP($A36,Haver_M!$B$1:$BZ$300,MATCH(data!BQ$1,Haver_M!$B$1:$BZ$1,0),FALSE),"")</f>
        <v/>
      </c>
      <c r="BR36" t="str">
        <f>IF(ISNUMBER(VLOOKUP($A36,Haver_M!$B$1:$BZ$300,MATCH(data!BR$1,Haver_M!$B$1:$BZ$1,0),FALSE)),VLOOKUP($A36,Haver_M!$B$1:$BZ$300,MATCH(data!BR$1,Haver_M!$B$1:$BZ$1,0),FALSE),"")</f>
        <v/>
      </c>
      <c r="BS36" t="str">
        <f>IF(ISNUMBER(VLOOKUP($A36,Haver_M!$B$1:$BZ$300,MATCH(data!BS$1,Haver_M!$B$1:$BZ$1,0),FALSE)),VLOOKUP($A36,Haver_M!$B$1:$BZ$300,MATCH(data!BS$1,Haver_M!$B$1:$BZ$1,0),FALSE),"")</f>
        <v/>
      </c>
      <c r="BT36" t="str">
        <f>IF(ISNUMBER(VLOOKUP($A36,Haver_M!$B$1:$BZ$300,MATCH(data!BT$1,Haver_M!$B$1:$BZ$1,0),FALSE)),VLOOKUP($A36,Haver_M!$B$1:$BZ$300,MATCH(data!BT$1,Haver_M!$B$1:$BZ$1,0),FALSE),"")</f>
        <v/>
      </c>
      <c r="BU36">
        <f>IF(ISNUMBER(VLOOKUP($A36,Haver_M!$B$1:$BZ$300,MATCH(data!BU$1,Haver_M!$B$1:$BZ$1,0),FALSE)),VLOOKUP($A36,Haver_M!$B$1:$BZ$300,MATCH(data!BU$1,Haver_M!$B$1:$BZ$1,0),FALSE),"")</f>
        <v>4049</v>
      </c>
      <c r="BV36">
        <f>IF(ISNUMBER(VLOOKUP($A36,Haver_M!$B$1:$BZ$300,MATCH(data!BV$1,Haver_M!$B$1:$BZ$1,0),FALSE)),VLOOKUP($A36,Haver_M!$B$1:$BZ$300,MATCH(data!BV$1,Haver_M!$B$1:$BZ$1,0),FALSE),"")</f>
        <v>5072</v>
      </c>
      <c r="BW36">
        <f>IF(ISNUMBER(VLOOKUP($A36,Haver_M!$B$1:$BZ$300,MATCH(data!BW$1,Haver_M!$B$1:$BZ$1,0),FALSE)),VLOOKUP($A36,Haver_M!$B$1:$BZ$300,MATCH(data!BW$1,Haver_M!$B$1:$BZ$1,0),FALSE),"")</f>
        <v>48.2545</v>
      </c>
      <c r="BX36">
        <f>IF(ISNUMBER(VLOOKUP($A36,Haver_M!$B$1:$BZ$300,MATCH(data!BX$1,Haver_M!$B$1:$BZ$1,0),FALSE)),VLOOKUP($A36,Haver_M!$B$1:$BZ$300,MATCH(data!BX$1,Haver_M!$B$1:$BZ$1,0),FALSE),"")</f>
        <v>51542</v>
      </c>
    </row>
    <row r="37" spans="1:76" x14ac:dyDescent="0.25">
      <c r="A37" s="2">
        <v>37621</v>
      </c>
      <c r="B37">
        <f>IF(ISNUMBER(VLOOKUP($A37,Haver_Q!$B$1:$L$185,MATCH(data!B$1,Haver_Q!$B$1:$L$1,0),FALSE)),100*(VLOOKUP($A37,Haver_Q!$B$1:$L$185,MATCH(data!B$1,Haver_Q!$B$1:$L$1,0),FALSE)),"")</f>
        <v>4.2458984766921448</v>
      </c>
      <c r="C37">
        <f>IF(ISNUMBER(VLOOKUP($A37,Haver_Q!$B$1:$L$185,MATCH(data!C$1,Haver_Q!$B$1:$L$1,0),FALSE)),100*(VLOOKUP($A37,Haver_Q!$B$1:$L$185,MATCH(data!C$1,Haver_Q!$B$1:$L$1,0),FALSE)),"")</f>
        <v>8.4560084369452717</v>
      </c>
      <c r="D37">
        <f>IF(ISNUMBER(VLOOKUP($A37,Haver_Q!$B$1:$L$185,MATCH(data!D$1,Haver_Q!$B$1:$L$1,0),FALSE)),100*(VLOOKUP($A37,Haver_Q!$B$1:$L$185,MATCH(data!D$1,Haver_Q!$B$1:$L$1,0),FALSE)),"")</f>
        <v>23.368132626963266</v>
      </c>
      <c r="E37">
        <f>IF(ISNUMBER(VLOOKUP($A37,Haver_Q!$B$1:$L$185,MATCH(data!E$1,Haver_Q!$B$1:$L$1,0),FALSE)),100*(VLOOKUP($A37,Haver_Q!$B$1:$L$185,MATCH(data!E$1,Haver_Q!$B$1:$L$1,0),FALSE)),"")</f>
        <v>12.651077455816928</v>
      </c>
      <c r="F37">
        <f>IF(ISNUMBER(VLOOKUP($A37,Haver_Q!$B$1:$L$185,MATCH(data!F$1,Haver_Q!$B$1:$L$1,0),FALSE)),100*(VLOOKUP($A37,Haver_Q!$B$1:$L$185,MATCH(data!F$1,Haver_Q!$B$1:$L$1,0),FALSE)),"")</f>
        <v>3.7891688382832411</v>
      </c>
      <c r="G37">
        <f>IF(ISNUMBER(VLOOKUP($A37,Haver_Q!$B$1:$L$185,MATCH(data!G$1,Haver_Q!$B$1:$L$1,0),FALSE)),100*(VLOOKUP($A37,Haver_Q!$B$1:$L$185,MATCH(data!G$1,Haver_Q!$B$1:$L$1,0),FALSE)),"")</f>
        <v>14.446714790145609</v>
      </c>
      <c r="H37">
        <f>IF(ISNUMBER(VLOOKUP($A37,Haver_Q!$B$1:$L$185,MATCH(data!H$1,Haver_Q!$B$1:$L$1,0),FALSE)),(VLOOKUP($A37,Haver_Q!$B$1:$L$185,MATCH(data!H$1,Haver_Q!$B$1:$L$1,0),FALSE)),"")</f>
        <v>2.4451578194654009</v>
      </c>
      <c r="I37">
        <f>IF(ISNUMBER(VLOOKUP($A37,Haver_Q!$B$1:$L$185,MATCH(data!I$1,Haver_Q!$B$1:$L$1,0),FALSE)),100*(VLOOKUP($A37,Haver_Q!$B$1:$L$185,MATCH(data!I$1,Haver_Q!$B$1:$L$1,0),FALSE)),"")</f>
        <v>1.9690116220020037</v>
      </c>
      <c r="J37" s="3">
        <f>IF(ISNUMBER(Bloomberg_m!C53),Bloomberg_m!C53,"")</f>
        <v>1666</v>
      </c>
      <c r="K37" s="3" t="str">
        <f>IF(ISNUMBER(Bloomberg_m!D53),Bloomberg_m!D53,"")</f>
        <v/>
      </c>
      <c r="L37" s="3" t="str">
        <f>IF(ISNUMBER(Bloomberg_m!E53),Bloomberg_m!E53,"")</f>
        <v/>
      </c>
      <c r="M37" s="3" t="str">
        <f>IF(ISNUMBER(Bloomberg_m!F53),Bloomberg_m!F53,"")</f>
        <v/>
      </c>
      <c r="N37">
        <f>IF(ISNUMBER(VLOOKUP($A37,Haver_M!$B$1:$BZ$300,MATCH(data!N$1,Haver_M!$B$1:$BZ$1,0),FALSE)),VLOOKUP($A37,Haver_M!$B$1:$BZ$300,MATCH(data!N$1,Haver_M!$B$1:$BZ$1,0),FALSE),"")</f>
        <v>7.5</v>
      </c>
      <c r="O37">
        <f>IF(ISNUMBER(VLOOKUP($A37,Haver_M!$B$1:$BZ$300,MATCH(data!O$1,Haver_M!$B$1:$BZ$1,0),FALSE)),VLOOKUP($A37,Haver_M!$B$1:$BZ$300,MATCH(data!O$1,Haver_M!$B$1:$BZ$1,0),FALSE),"")</f>
        <v>6.0818000000000003</v>
      </c>
      <c r="P37">
        <f>IF(ISNUMBER(VLOOKUP($A37,Haver_M!$B$1:$BZ$300,MATCH(data!P$1,Haver_M!$B$1:$BZ$1,0),FALSE)),VLOOKUP($A37,Haver_M!$B$1:$BZ$300,MATCH(data!P$1,Haver_M!$B$1:$BZ$1,0),FALSE),"")</f>
        <v>94.034679999999994</v>
      </c>
      <c r="Q37">
        <f>IF(ISNUMBER(VLOOKUP($A37,Haver_M!$B$1:$BZ$300,MATCH(data!Q$1,Haver_M!$B$1:$BZ$1,0),FALSE)),VLOOKUP($A37,Haver_M!$B$1:$BZ$300,MATCH(data!Q$1,Haver_M!$B$1:$BZ$1,0),FALSE),"")</f>
        <v>51.8</v>
      </c>
      <c r="R37" t="str">
        <f>IF(ISNUMBER(VLOOKUP($A37,Haver_M!$B$1:$BZ$300,MATCH(data!R$1,Haver_M!$B$1:$BZ$1,0),FALSE)),VLOOKUP($A37,Haver_M!$B$1:$BZ$300,MATCH(data!R$1,Haver_M!$B$1:$BZ$1,0),FALSE),"")</f>
        <v/>
      </c>
      <c r="S37">
        <f>IF(ISNUMBER(VLOOKUP($A37,Haver_M!$B$1:$BZ$300,MATCH(data!S$1,Haver_M!$B$1:$BZ$1,0),FALSE)),VLOOKUP($A37,Haver_M!$B$1:$BZ$300,MATCH(data!S$1,Haver_M!$B$1:$BZ$1,0),FALSE),"")</f>
        <v>50.91</v>
      </c>
      <c r="T37">
        <f>IF(ISNUMBER(VLOOKUP($A37,Haver_M!$B$1:$BZ$300,MATCH(data!T$1,Haver_M!$B$1:$BZ$1,0),FALSE)),VLOOKUP($A37,Haver_M!$B$1:$BZ$300,MATCH(data!T$1,Haver_M!$B$1:$BZ$1,0),FALSE),"")</f>
        <v>59.97</v>
      </c>
      <c r="U37">
        <f>IF(ISNUMBER(VLOOKUP($A37,Haver_M!$B$1:$BZ$300,MATCH(data!U$1,Haver_M!$B$1:$BZ$1,0),FALSE)),VLOOKUP($A37,Haver_M!$B$1:$BZ$300,MATCH(data!U$1,Haver_M!$B$1:$BZ$1,0),FALSE),"")</f>
        <v>28.78</v>
      </c>
      <c r="V37">
        <f>IF(ISNUMBER(VLOOKUP($A37,Haver_M!$B$1:$BZ$300,MATCH(data!V$1,Haver_M!$B$1:$BZ$1,0),FALSE)),VLOOKUP($A37,Haver_M!$B$1:$BZ$300,MATCH(data!V$1,Haver_M!$B$1:$BZ$1,0),FALSE),"")</f>
        <v>61.5</v>
      </c>
      <c r="W37" t="str">
        <f>IF(ISNUMBER(VLOOKUP($A37,Haver_M!$B$1:$BZ$300,MATCH(data!W$1,Haver_M!$B$1:$BZ$1,0),FALSE)),VLOOKUP($A37,Haver_M!$B$1:$BZ$300,MATCH(data!W$1,Haver_M!$B$1:$BZ$1,0),FALSE),"")</f>
        <v/>
      </c>
      <c r="X37">
        <f>IF(ISNUMBER(VLOOKUP($A37,Haver_M!$B$1:$BZ$300,MATCH(data!X$1,Haver_M!$B$1:$BZ$1,0),FALSE)),VLOOKUP($A37,Haver_M!$B$1:$BZ$300,MATCH(data!X$1,Haver_M!$B$1:$BZ$1,0),FALSE),"")</f>
        <v>27.19</v>
      </c>
      <c r="Y37">
        <f>IF(ISNUMBER(VLOOKUP($A37,Haver_M!$B$1:$BZ$300,MATCH(data!Y$1,Haver_M!$B$1:$BZ$1,0),FALSE)),VLOOKUP($A37,Haver_M!$B$1:$BZ$300,MATCH(data!Y$1,Haver_M!$B$1:$BZ$1,0),FALSE),"")</f>
        <v>57.07</v>
      </c>
      <c r="Z37" t="str">
        <f>IF(ISNUMBER(VLOOKUP($A37,Haver_M!$B$1:$BZ$300,MATCH(data!Z$1,Haver_M!$B$1:$BZ$1,0),FALSE)),VLOOKUP($A37,Haver_M!$B$1:$BZ$300,MATCH(data!Z$1,Haver_M!$B$1:$BZ$1,0),FALSE),"")</f>
        <v/>
      </c>
      <c r="AA37" t="str">
        <f>IF(ISNUMBER(VLOOKUP($A37,Haver_M!$B$1:$BZ$300,MATCH(data!AA$1,Haver_M!$B$1:$BZ$1,0),FALSE)),VLOOKUP($A37,Haver_M!$B$1:$BZ$300,MATCH(data!AA$1,Haver_M!$B$1:$BZ$1,0),FALSE),"")</f>
        <v/>
      </c>
      <c r="AB37" t="str">
        <f>IF(ISNUMBER(VLOOKUP($A37,Haver_M!$B$1:$BZ$300,MATCH(data!AB$1,Haver_M!$B$1:$BZ$1,0),FALSE)),VLOOKUP($A37,Haver_M!$B$1:$BZ$300,MATCH(data!AB$1,Haver_M!$B$1:$BZ$1,0),FALSE),"")</f>
        <v/>
      </c>
      <c r="AC37" t="str">
        <f>IF(ISNUMBER(VLOOKUP($A37,Haver_M!$B$1:$BZ$300,MATCH(data!AC$1,Haver_M!$B$1:$BZ$1,0),FALSE)),VLOOKUP($A37,Haver_M!$B$1:$BZ$300,MATCH(data!AC$1,Haver_M!$B$1:$BZ$1,0),FALSE),"")</f>
        <v/>
      </c>
      <c r="AD37" t="str">
        <f>IF(ISNUMBER(VLOOKUP($A37,Haver_M!$B$1:$BZ$300,MATCH(data!AD$1,Haver_M!$B$1:$BZ$1,0),FALSE)),VLOOKUP($A37,Haver_M!$B$1:$BZ$300,MATCH(data!AD$1,Haver_M!$B$1:$BZ$1,0),FALSE),"")</f>
        <v/>
      </c>
      <c r="AE37" t="str">
        <f>IF(ISNUMBER(VLOOKUP($A37,Haver_M!$B$1:$BZ$300,MATCH(data!AE$1,Haver_M!$B$1:$BZ$1,0),FALSE)),VLOOKUP($A37,Haver_M!$B$1:$BZ$300,MATCH(data!AE$1,Haver_M!$B$1:$BZ$1,0),FALSE),"")</f>
        <v/>
      </c>
      <c r="AF37" t="str">
        <f>IF(ISNUMBER(VLOOKUP($A37,Haver_M!$B$1:$BZ$300,MATCH(data!AF$1,Haver_M!$B$1:$BZ$1,0),FALSE)),VLOOKUP($A37,Haver_M!$B$1:$BZ$300,MATCH(data!AF$1,Haver_M!$B$1:$BZ$1,0),FALSE),"")</f>
        <v/>
      </c>
      <c r="AG37" t="str">
        <f>IF(ISNUMBER(VLOOKUP($A37,Haver_M!$B$1:$BZ$300,MATCH(data!AG$1,Haver_M!$B$1:$BZ$1,0),FALSE)),VLOOKUP($A37,Haver_M!$B$1:$BZ$300,MATCH(data!AG$1,Haver_M!$B$1:$BZ$1,0),FALSE),"")</f>
        <v/>
      </c>
      <c r="AH37" t="str">
        <f>IF(ISNUMBER(VLOOKUP($A37,Haver_M!$B$1:$BZ$300,MATCH(data!AH$1,Haver_M!$B$1:$BZ$1,0),FALSE)),VLOOKUP($A37,Haver_M!$B$1:$BZ$300,MATCH(data!AH$1,Haver_M!$B$1:$BZ$1,0),FALSE),"")</f>
        <v/>
      </c>
      <c r="AI37">
        <f>IF(ISNUMBER(VLOOKUP($A37,Haver_M!$B$1:$BZ$300,MATCH(data!AI$1,Haver_M!$B$1:$BZ$1,0),FALSE)),VLOOKUP($A37,Haver_M!$B$1:$BZ$300,MATCH(data!AI$1,Haver_M!$B$1:$BZ$1,0),FALSE),"")</f>
        <v>8882.5530995663121</v>
      </c>
      <c r="AJ37">
        <f>IF(ISNUMBER(VLOOKUP($A37,Haver_M!$B$1:$BZ$300,MATCH(data!AJ$1,Haver_M!$B$1:$BZ$1,0),FALSE)),VLOOKUP($A37,Haver_M!$B$1:$BZ$300,MATCH(data!AJ$1,Haver_M!$B$1:$BZ$1,0),FALSE),"")</f>
        <v>4174.43</v>
      </c>
      <c r="AK37">
        <f>IF(ISNUMBER(VLOOKUP($A37,Haver_M!$B$1:$BZ$300,MATCH(data!AK$1,Haver_M!$B$1:$BZ$1,0),FALSE)),VLOOKUP($A37,Haver_M!$B$1:$BZ$300,MATCH(data!AK$1,Haver_M!$B$1:$BZ$1,0),FALSE),"")</f>
        <v>4999.3500000000004</v>
      </c>
      <c r="AL37" t="str">
        <f>IF(ISNUMBER(VLOOKUP($A37,Haver_M!$B$1:$BZ$300,MATCH(data!AL$1,Haver_M!$B$1:$BZ$1,0),FALSE)),VLOOKUP($A37,Haver_M!$B$1:$BZ$300,MATCH(data!AL$1,Haver_M!$B$1:$BZ$1,0),FALSE),"")</f>
        <v/>
      </c>
      <c r="AM37" t="str">
        <f>IF(ISNUMBER(VLOOKUP($A37,Haver_M!$B$1:$BZ$300,MATCH(data!AM$1,Haver_M!$B$1:$BZ$1,0),FALSE)),VLOOKUP($A37,Haver_M!$B$1:$BZ$300,MATCH(data!AM$1,Haver_M!$B$1:$BZ$1,0),FALSE),"")</f>
        <v/>
      </c>
      <c r="AN37" t="str">
        <f>IF(ISNUMBER(VLOOKUP($A37,Haver_M!$B$1:$BZ$300,MATCH(data!AN$1,Haver_M!$B$1:$BZ$1,0),FALSE)),VLOOKUP($A37,Haver_M!$B$1:$BZ$300,MATCH(data!AN$1,Haver_M!$B$1:$BZ$1,0),FALSE),"")</f>
        <v/>
      </c>
      <c r="AO37" t="str">
        <f>IF(ISNUMBER(VLOOKUP($A37,Haver_M!$B$1:$BZ$300,MATCH(data!AO$1,Haver_M!$B$1:$BZ$1,0),FALSE)),VLOOKUP($A37,Haver_M!$B$1:$BZ$300,MATCH(data!AO$1,Haver_M!$B$1:$BZ$1,0),FALSE),"")</f>
        <v/>
      </c>
      <c r="AP37">
        <f>IF(ISNUMBER(VLOOKUP($A37,Haver_M!$B$1:$BZ$300,MATCH(data!AP$1,Haver_M!$B$1:$BZ$1,0),FALSE)),VLOOKUP($A37,Haver_M!$B$1:$BZ$300,MATCH(data!AP$1,Haver_M!$B$1:$BZ$1,0),FALSE),"")</f>
        <v>102.28676687263841</v>
      </c>
      <c r="AQ37" t="str">
        <f>IF(ISNUMBER(VLOOKUP($A37,Haver_M!$B$1:$BZ$300,MATCH(data!AQ$1,Haver_M!$B$1:$BZ$1,0),FALSE)),VLOOKUP($A37,Haver_M!$B$1:$BZ$300,MATCH(data!AQ$1,Haver_M!$B$1:$BZ$1,0),FALSE),"")</f>
        <v/>
      </c>
      <c r="AR37" t="str">
        <f>IF(ISNUMBER(VLOOKUP($A37,Haver_M!$B$1:$BZ$300,MATCH(data!AR$1,Haver_M!$B$1:$BZ$1,0),FALSE)),VLOOKUP($A37,Haver_M!$B$1:$BZ$300,MATCH(data!AR$1,Haver_M!$B$1:$BZ$1,0),FALSE),"")</f>
        <v/>
      </c>
      <c r="AS37" t="str">
        <f>IF(ISNUMBER(VLOOKUP($A37,Haver_M!$B$1:$BZ$300,MATCH(data!AS$1,Haver_M!$B$1:$BZ$1,0),FALSE)),VLOOKUP($A37,Haver_M!$B$1:$BZ$300,MATCH(data!AS$1,Haver_M!$B$1:$BZ$1,0),FALSE),"")</f>
        <v/>
      </c>
      <c r="AT37" t="str">
        <f>IF(ISNUMBER(VLOOKUP($A37,Haver_M!$B$1:$BZ$300,MATCH(data!AT$1,Haver_M!$B$1:$BZ$1,0),FALSE)),VLOOKUP($A37,Haver_M!$B$1:$BZ$300,MATCH(data!AT$1,Haver_M!$B$1:$BZ$1,0),FALSE),"")</f>
        <v/>
      </c>
      <c r="AU37" t="str">
        <f>IF(ISNUMBER(VLOOKUP($A37,Haver_M!$B$1:$BZ$300,MATCH(data!AU$1,Haver_M!$B$1:$BZ$1,0),FALSE)),VLOOKUP($A37,Haver_M!$B$1:$BZ$300,MATCH(data!AU$1,Haver_M!$B$1:$BZ$1,0),FALSE),"")</f>
        <v/>
      </c>
      <c r="AV37" t="str">
        <f>IF(ISNUMBER(VLOOKUP($A37,Haver_M!$B$1:$BZ$300,MATCH(data!AV$1,Haver_M!$B$1:$BZ$1,0),FALSE)),VLOOKUP($A37,Haver_M!$B$1:$BZ$300,MATCH(data!AV$1,Haver_M!$B$1:$BZ$1,0),FALSE),"")</f>
        <v/>
      </c>
      <c r="AW37" t="str">
        <f>IF(ISNUMBER(VLOOKUP($A37,Haver_M!$B$1:$BZ$300,MATCH(data!AW$1,Haver_M!$B$1:$BZ$1,0),FALSE)),VLOOKUP($A37,Haver_M!$B$1:$BZ$300,MATCH(data!AW$1,Haver_M!$B$1:$BZ$1,0),FALSE),"")</f>
        <v/>
      </c>
      <c r="AX37" t="str">
        <f>IF(ISNUMBER(VLOOKUP($A37,Haver_M!$B$1:$BZ$300,MATCH(data!AX$1,Haver_M!$B$1:$BZ$1,0),FALSE)),VLOOKUP($A37,Haver_M!$B$1:$BZ$300,MATCH(data!AX$1,Haver_M!$B$1:$BZ$1,0),FALSE),"")</f>
        <v/>
      </c>
      <c r="AY37" t="str">
        <f>IF(ISNUMBER(VLOOKUP($A37,Haver_M!$B$1:$BZ$300,MATCH(data!AY$1,Haver_M!$B$1:$BZ$1,0),FALSE)),VLOOKUP($A37,Haver_M!$B$1:$BZ$300,MATCH(data!AY$1,Haver_M!$B$1:$BZ$1,0),FALSE),"")</f>
        <v/>
      </c>
      <c r="AZ37" t="str">
        <f>IF(ISNUMBER(VLOOKUP($A37,Haver_M!$B$1:$BZ$300,MATCH(data!AZ$1,Haver_M!$B$1:$BZ$1,0),FALSE)),VLOOKUP($A37,Haver_M!$B$1:$BZ$300,MATCH(data!AZ$1,Haver_M!$B$1:$BZ$1,0),FALSE),"")</f>
        <v/>
      </c>
      <c r="BA37" t="str">
        <f>IF(ISNUMBER(VLOOKUP($A37,Haver_M!$B$1:$BZ$300,MATCH(data!BA$1,Haver_M!$B$1:$BZ$1,0),FALSE)),VLOOKUP($A37,Haver_M!$B$1:$BZ$300,MATCH(data!BA$1,Haver_M!$B$1:$BZ$1,0),FALSE),"")</f>
        <v/>
      </c>
      <c r="BB37" t="str">
        <f>IF(ISNUMBER(VLOOKUP($A37,Haver_M!$B$1:$BZ$300,MATCH(data!BB$1,Haver_M!$B$1:$BZ$1,0),FALSE)),VLOOKUP($A37,Haver_M!$B$1:$BZ$300,MATCH(data!BB$1,Haver_M!$B$1:$BZ$1,0),FALSE),"")</f>
        <v/>
      </c>
      <c r="BC37" t="str">
        <f>IF(ISNUMBER(VLOOKUP($A37,Haver_M!$B$1:$BZ$300,MATCH(data!BC$1,Haver_M!$B$1:$BZ$1,0),FALSE)),VLOOKUP($A37,Haver_M!$B$1:$BZ$300,MATCH(data!BC$1,Haver_M!$B$1:$BZ$1,0),FALSE),"")</f>
        <v/>
      </c>
      <c r="BD37" t="str">
        <f>IF(ISNUMBER(VLOOKUP($A37,Haver_M!$B$1:$BZ$300,MATCH(data!BD$1,Haver_M!$B$1:$BZ$1,0),FALSE)),VLOOKUP($A37,Haver_M!$B$1:$BZ$300,MATCH(data!BD$1,Haver_M!$B$1:$BZ$1,0),FALSE),"")</f>
        <v/>
      </c>
      <c r="BE37" t="str">
        <f>IF(ISNUMBER(VLOOKUP($A37,Haver_M!$B$1:$BZ$300,MATCH(data!BE$1,Haver_M!$B$1:$BZ$1,0),FALSE)),VLOOKUP($A37,Haver_M!$B$1:$BZ$300,MATCH(data!BE$1,Haver_M!$B$1:$BZ$1,0),FALSE),"")</f>
        <v/>
      </c>
      <c r="BF37" t="str">
        <f>IF(ISNUMBER(VLOOKUP($A37,Haver_M!$B$1:$BZ$300,MATCH(data!BF$1,Haver_M!$B$1:$BZ$1,0),FALSE)),VLOOKUP($A37,Haver_M!$B$1:$BZ$300,MATCH(data!BF$1,Haver_M!$B$1:$BZ$1,0),FALSE),"")</f>
        <v/>
      </c>
      <c r="BG37" t="str">
        <f>IF(ISNUMBER(VLOOKUP($A37,Haver_M!$B$1:$BZ$300,MATCH(data!BG$1,Haver_M!$B$1:$BZ$1,0),FALSE)),VLOOKUP($A37,Haver_M!$B$1:$BZ$300,MATCH(data!BG$1,Haver_M!$B$1:$BZ$1,0),FALSE),"")</f>
        <v/>
      </c>
      <c r="BH37" t="str">
        <f>IF(ISNUMBER(VLOOKUP($A37,Haver_M!$B$1:$BZ$300,MATCH(data!BH$1,Haver_M!$B$1:$BZ$1,0),FALSE)),VLOOKUP($A37,Haver_M!$B$1:$BZ$300,MATCH(data!BH$1,Haver_M!$B$1:$BZ$1,0),FALSE),"")</f>
        <v/>
      </c>
      <c r="BI37" t="str">
        <f>IF(ISNUMBER(VLOOKUP($A37,Haver_M!$B$1:$BZ$300,MATCH(data!BI$1,Haver_M!$B$1:$BZ$1,0),FALSE)),VLOOKUP($A37,Haver_M!$B$1:$BZ$300,MATCH(data!BI$1,Haver_M!$B$1:$BZ$1,0),FALSE),"")</f>
        <v/>
      </c>
      <c r="BJ37" t="str">
        <f>IF(ISNUMBER(VLOOKUP($A37,Haver_M!$B$1:$BZ$300,MATCH(data!BJ$1,Haver_M!$B$1:$BZ$1,0),FALSE)),VLOOKUP($A37,Haver_M!$B$1:$BZ$300,MATCH(data!BJ$1,Haver_M!$B$1:$BZ$1,0),FALSE),"")</f>
        <v/>
      </c>
      <c r="BK37" t="str">
        <f>IF(ISNUMBER(VLOOKUP($A37,Haver_M!$B$1:$BZ$300,MATCH(data!BK$1,Haver_M!$B$1:$BZ$1,0),FALSE)),VLOOKUP($A37,Haver_M!$B$1:$BZ$300,MATCH(data!BK$1,Haver_M!$B$1:$BZ$1,0),FALSE),"")</f>
        <v/>
      </c>
      <c r="BL37">
        <f>IF(ISNUMBER(VLOOKUP($A37,Haver_M!$B$1:$BZ$300,MATCH(data!BL$1,Haver_M!$B$1:$BZ$1,0),FALSE)),VLOOKUP($A37,Haver_M!$B$1:$BZ$300,MATCH(data!BL$1,Haver_M!$B$1:$BZ$1,0),FALSE),"")</f>
        <v>3315.84</v>
      </c>
      <c r="BM37">
        <f>IF(ISNUMBER(VLOOKUP($A37,Haver_M!$B$1:$BZ$300,MATCH(data!BM$1,Haver_M!$B$1:$BZ$1,0),FALSE)),VLOOKUP($A37,Haver_M!$B$1:$BZ$300,MATCH(data!BM$1,Haver_M!$B$1:$BZ$1,0),FALSE),"")</f>
        <v>89.640760220000004</v>
      </c>
      <c r="BN37">
        <f>IF(ISNUMBER(VLOOKUP($A37,Haver_M!$B$1:$BZ$300,MATCH(data!BN$1,Haver_M!$B$1:$BZ$1,0),FALSE)),VLOOKUP($A37,Haver_M!$B$1:$BZ$300,MATCH(data!BN$1,Haver_M!$B$1:$BZ$1,0),FALSE),"")</f>
        <v>113.8</v>
      </c>
      <c r="BO37">
        <f>IF(ISNUMBER(VLOOKUP($A37,Haver_M!$B$1:$BZ$300,MATCH(data!BO$1,Haver_M!$B$1:$BZ$1,0),FALSE)),VLOOKUP($A37,Haver_M!$B$1:$BZ$300,MATCH(data!BO$1,Haver_M!$B$1:$BZ$1,0),FALSE),"")</f>
        <v>121.2</v>
      </c>
      <c r="BP37">
        <f>IF(ISNUMBER(VLOOKUP($A37,Haver_M!$B$1:$BZ$300,MATCH(data!BP$1,Haver_M!$B$1:$BZ$1,0),FALSE)),VLOOKUP($A37,Haver_M!$B$1:$BZ$300,MATCH(data!BP$1,Haver_M!$B$1:$BZ$1,0),FALSE),"")</f>
        <v>41.2</v>
      </c>
      <c r="BQ37" t="str">
        <f>IF(ISNUMBER(VLOOKUP($A37,Haver_M!$B$1:$BZ$300,MATCH(data!BQ$1,Haver_M!$B$1:$BZ$1,0),FALSE)),VLOOKUP($A37,Haver_M!$B$1:$BZ$300,MATCH(data!BQ$1,Haver_M!$B$1:$BZ$1,0),FALSE),"")</f>
        <v/>
      </c>
      <c r="BR37" t="str">
        <f>IF(ISNUMBER(VLOOKUP($A37,Haver_M!$B$1:$BZ$300,MATCH(data!BR$1,Haver_M!$B$1:$BZ$1,0),FALSE)),VLOOKUP($A37,Haver_M!$B$1:$BZ$300,MATCH(data!BR$1,Haver_M!$B$1:$BZ$1,0),FALSE),"")</f>
        <v/>
      </c>
      <c r="BS37" t="str">
        <f>IF(ISNUMBER(VLOOKUP($A37,Haver_M!$B$1:$BZ$300,MATCH(data!BS$1,Haver_M!$B$1:$BZ$1,0),FALSE)),VLOOKUP($A37,Haver_M!$B$1:$BZ$300,MATCH(data!BS$1,Haver_M!$B$1:$BZ$1,0),FALSE),"")</f>
        <v/>
      </c>
      <c r="BT37" t="str">
        <f>IF(ISNUMBER(VLOOKUP($A37,Haver_M!$B$1:$BZ$300,MATCH(data!BT$1,Haver_M!$B$1:$BZ$1,0),FALSE)),VLOOKUP($A37,Haver_M!$B$1:$BZ$300,MATCH(data!BT$1,Haver_M!$B$1:$BZ$1,0),FALSE),"")</f>
        <v/>
      </c>
      <c r="BU37">
        <f>IF(ISNUMBER(VLOOKUP($A37,Haver_M!$B$1:$BZ$300,MATCH(data!BU$1,Haver_M!$B$1:$BZ$1,0),FALSE)),VLOOKUP($A37,Haver_M!$B$1:$BZ$300,MATCH(data!BU$1,Haver_M!$B$1:$BZ$1,0),FALSE),"")</f>
        <v>3985</v>
      </c>
      <c r="BV37">
        <f>IF(ISNUMBER(VLOOKUP($A37,Haver_M!$B$1:$BZ$300,MATCH(data!BV$1,Haver_M!$B$1:$BZ$1,0),FALSE)),VLOOKUP($A37,Haver_M!$B$1:$BZ$300,MATCH(data!BV$1,Haver_M!$B$1:$BZ$1,0),FALSE),"")</f>
        <v>4972</v>
      </c>
      <c r="BW37">
        <f>IF(ISNUMBER(VLOOKUP($A37,Haver_M!$B$1:$BZ$300,MATCH(data!BW$1,Haver_M!$B$1:$BZ$1,0),FALSE)),VLOOKUP($A37,Haver_M!$B$1:$BZ$300,MATCH(data!BW$1,Haver_M!$B$1:$BZ$1,0),FALSE),"")</f>
        <v>48.140500000000003</v>
      </c>
      <c r="BX37">
        <f>IF(ISNUMBER(VLOOKUP($A37,Haver_M!$B$1:$BZ$300,MATCH(data!BX$1,Haver_M!$B$1:$BZ$1,0),FALSE)),VLOOKUP($A37,Haver_M!$B$1:$BZ$300,MATCH(data!BX$1,Haver_M!$B$1:$BZ$1,0),FALSE),"")</f>
        <v>48205</v>
      </c>
    </row>
    <row r="38" spans="1:76" x14ac:dyDescent="0.25">
      <c r="A38" s="2">
        <v>37652</v>
      </c>
      <c r="B38" t="str">
        <f>IF(ISNUMBER(VLOOKUP($A38,Haver_Q!$B$1:$L$185,MATCH(data!B$1,Haver_Q!$B$1:$L$1,0),FALSE)),100*(VLOOKUP($A38,Haver_Q!$B$1:$L$185,MATCH(data!B$1,Haver_Q!$B$1:$L$1,0),FALSE)),"")</f>
        <v/>
      </c>
      <c r="C38" t="str">
        <f>IF(ISNUMBER(VLOOKUP($A38,Haver_Q!$B$1:$L$185,MATCH(data!C$1,Haver_Q!$B$1:$L$1,0),FALSE)),100*(VLOOKUP($A38,Haver_Q!$B$1:$L$185,MATCH(data!C$1,Haver_Q!$B$1:$L$1,0),FALSE)),"")</f>
        <v/>
      </c>
      <c r="D38" t="str">
        <f>IF(ISNUMBER(VLOOKUP($A38,Haver_Q!$B$1:$L$185,MATCH(data!D$1,Haver_Q!$B$1:$L$1,0),FALSE)),100*(VLOOKUP($A38,Haver_Q!$B$1:$L$185,MATCH(data!D$1,Haver_Q!$B$1:$L$1,0),FALSE)),"")</f>
        <v/>
      </c>
      <c r="E38" t="str">
        <f>IF(ISNUMBER(VLOOKUP($A38,Haver_Q!$B$1:$L$185,MATCH(data!E$1,Haver_Q!$B$1:$L$1,0),FALSE)),100*(VLOOKUP($A38,Haver_Q!$B$1:$L$185,MATCH(data!E$1,Haver_Q!$B$1:$L$1,0),FALSE)),"")</f>
        <v/>
      </c>
      <c r="F38" t="str">
        <f>IF(ISNUMBER(VLOOKUP($A38,Haver_Q!$B$1:$L$185,MATCH(data!F$1,Haver_Q!$B$1:$L$1,0),FALSE)),100*(VLOOKUP($A38,Haver_Q!$B$1:$L$185,MATCH(data!F$1,Haver_Q!$B$1:$L$1,0),FALSE)),"")</f>
        <v/>
      </c>
      <c r="G38" t="str">
        <f>IF(ISNUMBER(VLOOKUP($A38,Haver_Q!$B$1:$L$185,MATCH(data!G$1,Haver_Q!$B$1:$L$1,0),FALSE)),100*(VLOOKUP($A38,Haver_Q!$B$1:$L$185,MATCH(data!G$1,Haver_Q!$B$1:$L$1,0),FALSE)),"")</f>
        <v/>
      </c>
      <c r="H38" t="str">
        <f>IF(ISNUMBER(VLOOKUP($A38,Haver_Q!$B$1:$L$185,MATCH(data!H$1,Haver_Q!$B$1:$L$1,0),FALSE)),(VLOOKUP($A38,Haver_Q!$B$1:$L$185,MATCH(data!H$1,Haver_Q!$B$1:$L$1,0),FALSE)),"")</f>
        <v/>
      </c>
      <c r="I38" t="str">
        <f>IF(ISNUMBER(VLOOKUP($A38,Haver_Q!$B$1:$L$185,MATCH(data!I$1,Haver_Q!$B$1:$L$1,0),FALSE)),100*(VLOOKUP($A38,Haver_Q!$B$1:$L$185,MATCH(data!I$1,Haver_Q!$B$1:$L$1,0),FALSE)),"")</f>
        <v/>
      </c>
      <c r="J38" s="3">
        <f>IF(ISNUMBER(Bloomberg_m!C54),Bloomberg_m!C54,"")</f>
        <v>1694</v>
      </c>
      <c r="K38" s="3" t="str">
        <f>IF(ISNUMBER(Bloomberg_m!D54),Bloomberg_m!D54,"")</f>
        <v/>
      </c>
      <c r="L38" s="3" t="str">
        <f>IF(ISNUMBER(Bloomberg_m!E54),Bloomberg_m!E54,"")</f>
        <v/>
      </c>
      <c r="M38" s="3" t="str">
        <f>IF(ISNUMBER(Bloomberg_m!F54),Bloomberg_m!F54,"")</f>
        <v/>
      </c>
      <c r="N38">
        <f>IF(ISNUMBER(VLOOKUP($A38,Haver_M!$B$1:$BZ$300,MATCH(data!N$1,Haver_M!$B$1:$BZ$1,0),FALSE)),VLOOKUP($A38,Haver_M!$B$1:$BZ$300,MATCH(data!N$1,Haver_M!$B$1:$BZ$1,0),FALSE),"")</f>
        <v>7.5</v>
      </c>
      <c r="O38">
        <f>IF(ISNUMBER(VLOOKUP($A38,Haver_M!$B$1:$BZ$300,MATCH(data!O$1,Haver_M!$B$1:$BZ$1,0),FALSE)),VLOOKUP($A38,Haver_M!$B$1:$BZ$300,MATCH(data!O$1,Haver_M!$B$1:$BZ$1,0),FALSE),"")</f>
        <v>6.3390000000000004</v>
      </c>
      <c r="P38">
        <f>IF(ISNUMBER(VLOOKUP($A38,Haver_M!$B$1:$BZ$300,MATCH(data!P$1,Haver_M!$B$1:$BZ$1,0),FALSE)),VLOOKUP($A38,Haver_M!$B$1:$BZ$300,MATCH(data!P$1,Haver_M!$B$1:$BZ$1,0),FALSE),"")</f>
        <v>92.308049999999994</v>
      </c>
      <c r="Q38">
        <f>IF(ISNUMBER(VLOOKUP($A38,Haver_M!$B$1:$BZ$300,MATCH(data!Q$1,Haver_M!$B$1:$BZ$1,0),FALSE)),VLOOKUP($A38,Haver_M!$B$1:$BZ$300,MATCH(data!Q$1,Haver_M!$B$1:$BZ$1,0),FALSE),"")</f>
        <v>51.7</v>
      </c>
      <c r="R38" t="str">
        <f>IF(ISNUMBER(VLOOKUP($A38,Haver_M!$B$1:$BZ$300,MATCH(data!R$1,Haver_M!$B$1:$BZ$1,0),FALSE)),VLOOKUP($A38,Haver_M!$B$1:$BZ$300,MATCH(data!R$1,Haver_M!$B$1:$BZ$1,0),FALSE),"")</f>
        <v/>
      </c>
      <c r="S38">
        <f>IF(ISNUMBER(VLOOKUP($A38,Haver_M!$B$1:$BZ$300,MATCH(data!S$1,Haver_M!$B$1:$BZ$1,0),FALSE)),VLOOKUP($A38,Haver_M!$B$1:$BZ$300,MATCH(data!S$1,Haver_M!$B$1:$BZ$1,0),FALSE),"")</f>
        <v>51.33</v>
      </c>
      <c r="T38">
        <f>IF(ISNUMBER(VLOOKUP($A38,Haver_M!$B$1:$BZ$300,MATCH(data!T$1,Haver_M!$B$1:$BZ$1,0),FALSE)),VLOOKUP($A38,Haver_M!$B$1:$BZ$300,MATCH(data!T$1,Haver_M!$B$1:$BZ$1,0),FALSE),"")</f>
        <v>60.04</v>
      </c>
      <c r="U38">
        <f>IF(ISNUMBER(VLOOKUP($A38,Haver_M!$B$1:$BZ$300,MATCH(data!U$1,Haver_M!$B$1:$BZ$1,0),FALSE)),VLOOKUP($A38,Haver_M!$B$1:$BZ$300,MATCH(data!U$1,Haver_M!$B$1:$BZ$1,0),FALSE),"")</f>
        <v>29.72</v>
      </c>
      <c r="V38">
        <f>IF(ISNUMBER(VLOOKUP($A38,Haver_M!$B$1:$BZ$300,MATCH(data!V$1,Haver_M!$B$1:$BZ$1,0),FALSE)),VLOOKUP($A38,Haver_M!$B$1:$BZ$300,MATCH(data!V$1,Haver_M!$B$1:$BZ$1,0),FALSE),"")</f>
        <v>63.25</v>
      </c>
      <c r="W38" t="str">
        <f>IF(ISNUMBER(VLOOKUP($A38,Haver_M!$B$1:$BZ$300,MATCH(data!W$1,Haver_M!$B$1:$BZ$1,0),FALSE)),VLOOKUP($A38,Haver_M!$B$1:$BZ$300,MATCH(data!W$1,Haver_M!$B$1:$BZ$1,0),FALSE),"")</f>
        <v/>
      </c>
      <c r="X38">
        <f>IF(ISNUMBER(VLOOKUP($A38,Haver_M!$B$1:$BZ$300,MATCH(data!X$1,Haver_M!$B$1:$BZ$1,0),FALSE)),VLOOKUP($A38,Haver_M!$B$1:$BZ$300,MATCH(data!X$1,Haver_M!$B$1:$BZ$1,0),FALSE),"")</f>
        <v>27.28</v>
      </c>
      <c r="Y38">
        <f>IF(ISNUMBER(VLOOKUP($A38,Haver_M!$B$1:$BZ$300,MATCH(data!Y$1,Haver_M!$B$1:$BZ$1,0),FALSE)),VLOOKUP($A38,Haver_M!$B$1:$BZ$300,MATCH(data!Y$1,Haver_M!$B$1:$BZ$1,0),FALSE),"")</f>
        <v>56.1</v>
      </c>
      <c r="Z38" t="str">
        <f>IF(ISNUMBER(VLOOKUP($A38,Haver_M!$B$1:$BZ$300,MATCH(data!Z$1,Haver_M!$B$1:$BZ$1,0),FALSE)),VLOOKUP($A38,Haver_M!$B$1:$BZ$300,MATCH(data!Z$1,Haver_M!$B$1:$BZ$1,0),FALSE),"")</f>
        <v/>
      </c>
      <c r="AA38" t="str">
        <f>IF(ISNUMBER(VLOOKUP($A38,Haver_M!$B$1:$BZ$300,MATCH(data!AA$1,Haver_M!$B$1:$BZ$1,0),FALSE)),VLOOKUP($A38,Haver_M!$B$1:$BZ$300,MATCH(data!AA$1,Haver_M!$B$1:$BZ$1,0),FALSE),"")</f>
        <v/>
      </c>
      <c r="AB38" t="str">
        <f>IF(ISNUMBER(VLOOKUP($A38,Haver_M!$B$1:$BZ$300,MATCH(data!AB$1,Haver_M!$B$1:$BZ$1,0),FALSE)),VLOOKUP($A38,Haver_M!$B$1:$BZ$300,MATCH(data!AB$1,Haver_M!$B$1:$BZ$1,0),FALSE),"")</f>
        <v/>
      </c>
      <c r="AC38" t="str">
        <f>IF(ISNUMBER(VLOOKUP($A38,Haver_M!$B$1:$BZ$300,MATCH(data!AC$1,Haver_M!$B$1:$BZ$1,0),FALSE)),VLOOKUP($A38,Haver_M!$B$1:$BZ$300,MATCH(data!AC$1,Haver_M!$B$1:$BZ$1,0),FALSE),"")</f>
        <v/>
      </c>
      <c r="AD38" t="str">
        <f>IF(ISNUMBER(VLOOKUP($A38,Haver_M!$B$1:$BZ$300,MATCH(data!AD$1,Haver_M!$B$1:$BZ$1,0),FALSE)),VLOOKUP($A38,Haver_M!$B$1:$BZ$300,MATCH(data!AD$1,Haver_M!$B$1:$BZ$1,0),FALSE),"")</f>
        <v/>
      </c>
      <c r="AE38" t="str">
        <f>IF(ISNUMBER(VLOOKUP($A38,Haver_M!$B$1:$BZ$300,MATCH(data!AE$1,Haver_M!$B$1:$BZ$1,0),FALSE)),VLOOKUP($A38,Haver_M!$B$1:$BZ$300,MATCH(data!AE$1,Haver_M!$B$1:$BZ$1,0),FALSE),"")</f>
        <v/>
      </c>
      <c r="AF38" t="str">
        <f>IF(ISNUMBER(VLOOKUP($A38,Haver_M!$B$1:$BZ$300,MATCH(data!AF$1,Haver_M!$B$1:$BZ$1,0),FALSE)),VLOOKUP($A38,Haver_M!$B$1:$BZ$300,MATCH(data!AF$1,Haver_M!$B$1:$BZ$1,0),FALSE),"")</f>
        <v/>
      </c>
      <c r="AG38" t="str">
        <f>IF(ISNUMBER(VLOOKUP($A38,Haver_M!$B$1:$BZ$300,MATCH(data!AG$1,Haver_M!$B$1:$BZ$1,0),FALSE)),VLOOKUP($A38,Haver_M!$B$1:$BZ$300,MATCH(data!AG$1,Haver_M!$B$1:$BZ$1,0),FALSE),"")</f>
        <v/>
      </c>
      <c r="AH38" t="str">
        <f>IF(ISNUMBER(VLOOKUP($A38,Haver_M!$B$1:$BZ$300,MATCH(data!AH$1,Haver_M!$B$1:$BZ$1,0),FALSE)),VLOOKUP($A38,Haver_M!$B$1:$BZ$300,MATCH(data!AH$1,Haver_M!$B$1:$BZ$1,0),FALSE),"")</f>
        <v/>
      </c>
      <c r="AI38">
        <f>IF(ISNUMBER(VLOOKUP($A38,Haver_M!$B$1:$BZ$300,MATCH(data!AI$1,Haver_M!$B$1:$BZ$1,0),FALSE)),VLOOKUP($A38,Haver_M!$B$1:$BZ$300,MATCH(data!AI$1,Haver_M!$B$1:$BZ$1,0),FALSE),"")</f>
        <v>8770.4414288572334</v>
      </c>
      <c r="AJ38">
        <f>IF(ISNUMBER(VLOOKUP($A38,Haver_M!$B$1:$BZ$300,MATCH(data!AJ$1,Haver_M!$B$1:$BZ$1,0),FALSE)),VLOOKUP($A38,Haver_M!$B$1:$BZ$300,MATCH(data!AJ$1,Haver_M!$B$1:$BZ$1,0),FALSE),"")</f>
        <v>4755.18</v>
      </c>
      <c r="AK38">
        <f>IF(ISNUMBER(VLOOKUP($A38,Haver_M!$B$1:$BZ$300,MATCH(data!AK$1,Haver_M!$B$1:$BZ$1,0),FALSE)),VLOOKUP($A38,Haver_M!$B$1:$BZ$300,MATCH(data!AK$1,Haver_M!$B$1:$BZ$1,0),FALSE),"")</f>
        <v>5533.19</v>
      </c>
      <c r="AL38" t="str">
        <f>IF(ISNUMBER(VLOOKUP($A38,Haver_M!$B$1:$BZ$300,MATCH(data!AL$1,Haver_M!$B$1:$BZ$1,0),FALSE)),VLOOKUP($A38,Haver_M!$B$1:$BZ$300,MATCH(data!AL$1,Haver_M!$B$1:$BZ$1,0),FALSE),"")</f>
        <v/>
      </c>
      <c r="AM38" t="str">
        <f>IF(ISNUMBER(VLOOKUP($A38,Haver_M!$B$1:$BZ$300,MATCH(data!AM$1,Haver_M!$B$1:$BZ$1,0),FALSE)),VLOOKUP($A38,Haver_M!$B$1:$BZ$300,MATCH(data!AM$1,Haver_M!$B$1:$BZ$1,0),FALSE),"")</f>
        <v/>
      </c>
      <c r="AN38" t="str">
        <f>IF(ISNUMBER(VLOOKUP($A38,Haver_M!$B$1:$BZ$300,MATCH(data!AN$1,Haver_M!$B$1:$BZ$1,0),FALSE)),VLOOKUP($A38,Haver_M!$B$1:$BZ$300,MATCH(data!AN$1,Haver_M!$B$1:$BZ$1,0),FALSE),"")</f>
        <v/>
      </c>
      <c r="AO38" t="str">
        <f>IF(ISNUMBER(VLOOKUP($A38,Haver_M!$B$1:$BZ$300,MATCH(data!AO$1,Haver_M!$B$1:$BZ$1,0),FALSE)),VLOOKUP($A38,Haver_M!$B$1:$BZ$300,MATCH(data!AO$1,Haver_M!$B$1:$BZ$1,0),FALSE),"")</f>
        <v/>
      </c>
      <c r="AP38">
        <f>IF(ISNUMBER(VLOOKUP($A38,Haver_M!$B$1:$BZ$300,MATCH(data!AP$1,Haver_M!$B$1:$BZ$1,0),FALSE)),VLOOKUP($A38,Haver_M!$B$1:$BZ$300,MATCH(data!AP$1,Haver_M!$B$1:$BZ$1,0),FALSE),"")</f>
        <v>50.232259018596515</v>
      </c>
      <c r="AQ38" t="str">
        <f>IF(ISNUMBER(VLOOKUP($A38,Haver_M!$B$1:$BZ$300,MATCH(data!AQ$1,Haver_M!$B$1:$BZ$1,0),FALSE)),VLOOKUP($A38,Haver_M!$B$1:$BZ$300,MATCH(data!AQ$1,Haver_M!$B$1:$BZ$1,0),FALSE),"")</f>
        <v/>
      </c>
      <c r="AR38" t="str">
        <f>IF(ISNUMBER(VLOOKUP($A38,Haver_M!$B$1:$BZ$300,MATCH(data!AR$1,Haver_M!$B$1:$BZ$1,0),FALSE)),VLOOKUP($A38,Haver_M!$B$1:$BZ$300,MATCH(data!AR$1,Haver_M!$B$1:$BZ$1,0),FALSE),"")</f>
        <v/>
      </c>
      <c r="AS38" t="str">
        <f>IF(ISNUMBER(VLOOKUP($A38,Haver_M!$B$1:$BZ$300,MATCH(data!AS$1,Haver_M!$B$1:$BZ$1,0),FALSE)),VLOOKUP($A38,Haver_M!$B$1:$BZ$300,MATCH(data!AS$1,Haver_M!$B$1:$BZ$1,0),FALSE),"")</f>
        <v/>
      </c>
      <c r="AT38" t="str">
        <f>IF(ISNUMBER(VLOOKUP($A38,Haver_M!$B$1:$BZ$300,MATCH(data!AT$1,Haver_M!$B$1:$BZ$1,0),FALSE)),VLOOKUP($A38,Haver_M!$B$1:$BZ$300,MATCH(data!AT$1,Haver_M!$B$1:$BZ$1,0),FALSE),"")</f>
        <v/>
      </c>
      <c r="AU38" t="str">
        <f>IF(ISNUMBER(VLOOKUP($A38,Haver_M!$B$1:$BZ$300,MATCH(data!AU$1,Haver_M!$B$1:$BZ$1,0),FALSE)),VLOOKUP($A38,Haver_M!$B$1:$BZ$300,MATCH(data!AU$1,Haver_M!$B$1:$BZ$1,0),FALSE),"")</f>
        <v/>
      </c>
      <c r="AV38" t="str">
        <f>IF(ISNUMBER(VLOOKUP($A38,Haver_M!$B$1:$BZ$300,MATCH(data!AV$1,Haver_M!$B$1:$BZ$1,0),FALSE)),VLOOKUP($A38,Haver_M!$B$1:$BZ$300,MATCH(data!AV$1,Haver_M!$B$1:$BZ$1,0),FALSE),"")</f>
        <v/>
      </c>
      <c r="AW38" t="str">
        <f>IF(ISNUMBER(VLOOKUP($A38,Haver_M!$B$1:$BZ$300,MATCH(data!AW$1,Haver_M!$B$1:$BZ$1,0),FALSE)),VLOOKUP($A38,Haver_M!$B$1:$BZ$300,MATCH(data!AW$1,Haver_M!$B$1:$BZ$1,0),FALSE),"")</f>
        <v/>
      </c>
      <c r="AX38" t="str">
        <f>IF(ISNUMBER(VLOOKUP($A38,Haver_M!$B$1:$BZ$300,MATCH(data!AX$1,Haver_M!$B$1:$BZ$1,0),FALSE)),VLOOKUP($A38,Haver_M!$B$1:$BZ$300,MATCH(data!AX$1,Haver_M!$B$1:$BZ$1,0),FALSE),"")</f>
        <v/>
      </c>
      <c r="AY38" t="str">
        <f>IF(ISNUMBER(VLOOKUP($A38,Haver_M!$B$1:$BZ$300,MATCH(data!AY$1,Haver_M!$B$1:$BZ$1,0),FALSE)),VLOOKUP($A38,Haver_M!$B$1:$BZ$300,MATCH(data!AY$1,Haver_M!$B$1:$BZ$1,0),FALSE),"")</f>
        <v/>
      </c>
      <c r="AZ38" t="str">
        <f>IF(ISNUMBER(VLOOKUP($A38,Haver_M!$B$1:$BZ$300,MATCH(data!AZ$1,Haver_M!$B$1:$BZ$1,0),FALSE)),VLOOKUP($A38,Haver_M!$B$1:$BZ$300,MATCH(data!AZ$1,Haver_M!$B$1:$BZ$1,0),FALSE),"")</f>
        <v/>
      </c>
      <c r="BA38" t="str">
        <f>IF(ISNUMBER(VLOOKUP($A38,Haver_M!$B$1:$BZ$300,MATCH(data!BA$1,Haver_M!$B$1:$BZ$1,0),FALSE)),VLOOKUP($A38,Haver_M!$B$1:$BZ$300,MATCH(data!BA$1,Haver_M!$B$1:$BZ$1,0),FALSE),"")</f>
        <v/>
      </c>
      <c r="BB38" t="str">
        <f>IF(ISNUMBER(VLOOKUP($A38,Haver_M!$B$1:$BZ$300,MATCH(data!BB$1,Haver_M!$B$1:$BZ$1,0),FALSE)),VLOOKUP($A38,Haver_M!$B$1:$BZ$300,MATCH(data!BB$1,Haver_M!$B$1:$BZ$1,0),FALSE),"")</f>
        <v/>
      </c>
      <c r="BC38" t="str">
        <f>IF(ISNUMBER(VLOOKUP($A38,Haver_M!$B$1:$BZ$300,MATCH(data!BC$1,Haver_M!$B$1:$BZ$1,0),FALSE)),VLOOKUP($A38,Haver_M!$B$1:$BZ$300,MATCH(data!BC$1,Haver_M!$B$1:$BZ$1,0),FALSE),"")</f>
        <v/>
      </c>
      <c r="BD38" t="str">
        <f>IF(ISNUMBER(VLOOKUP($A38,Haver_M!$B$1:$BZ$300,MATCH(data!BD$1,Haver_M!$B$1:$BZ$1,0),FALSE)),VLOOKUP($A38,Haver_M!$B$1:$BZ$300,MATCH(data!BD$1,Haver_M!$B$1:$BZ$1,0),FALSE),"")</f>
        <v/>
      </c>
      <c r="BE38" t="str">
        <f>IF(ISNUMBER(VLOOKUP($A38,Haver_M!$B$1:$BZ$300,MATCH(data!BE$1,Haver_M!$B$1:$BZ$1,0),FALSE)),VLOOKUP($A38,Haver_M!$B$1:$BZ$300,MATCH(data!BE$1,Haver_M!$B$1:$BZ$1,0),FALSE),"")</f>
        <v/>
      </c>
      <c r="BF38" t="str">
        <f>IF(ISNUMBER(VLOOKUP($A38,Haver_M!$B$1:$BZ$300,MATCH(data!BF$1,Haver_M!$B$1:$BZ$1,0),FALSE)),VLOOKUP($A38,Haver_M!$B$1:$BZ$300,MATCH(data!BF$1,Haver_M!$B$1:$BZ$1,0),FALSE),"")</f>
        <v/>
      </c>
      <c r="BG38" t="str">
        <f>IF(ISNUMBER(VLOOKUP($A38,Haver_M!$B$1:$BZ$300,MATCH(data!BG$1,Haver_M!$B$1:$BZ$1,0),FALSE)),VLOOKUP($A38,Haver_M!$B$1:$BZ$300,MATCH(data!BG$1,Haver_M!$B$1:$BZ$1,0),FALSE),"")</f>
        <v/>
      </c>
      <c r="BH38" t="str">
        <f>IF(ISNUMBER(VLOOKUP($A38,Haver_M!$B$1:$BZ$300,MATCH(data!BH$1,Haver_M!$B$1:$BZ$1,0),FALSE)),VLOOKUP($A38,Haver_M!$B$1:$BZ$300,MATCH(data!BH$1,Haver_M!$B$1:$BZ$1,0),FALSE),"")</f>
        <v/>
      </c>
      <c r="BI38" t="str">
        <f>IF(ISNUMBER(VLOOKUP($A38,Haver_M!$B$1:$BZ$300,MATCH(data!BI$1,Haver_M!$B$1:$BZ$1,0),FALSE)),VLOOKUP($A38,Haver_M!$B$1:$BZ$300,MATCH(data!BI$1,Haver_M!$B$1:$BZ$1,0),FALSE),"")</f>
        <v/>
      </c>
      <c r="BJ38" t="str">
        <f>IF(ISNUMBER(VLOOKUP($A38,Haver_M!$B$1:$BZ$300,MATCH(data!BJ$1,Haver_M!$B$1:$BZ$1,0),FALSE)),VLOOKUP($A38,Haver_M!$B$1:$BZ$300,MATCH(data!BJ$1,Haver_M!$B$1:$BZ$1,0),FALSE),"")</f>
        <v/>
      </c>
      <c r="BK38" t="str">
        <f>IF(ISNUMBER(VLOOKUP($A38,Haver_M!$B$1:$BZ$300,MATCH(data!BK$1,Haver_M!$B$1:$BZ$1,0),FALSE)),VLOOKUP($A38,Haver_M!$B$1:$BZ$300,MATCH(data!BK$1,Haver_M!$B$1:$BZ$1,0),FALSE),"")</f>
        <v/>
      </c>
      <c r="BL38">
        <f>IF(ISNUMBER(VLOOKUP($A38,Haver_M!$B$1:$BZ$300,MATCH(data!BL$1,Haver_M!$B$1:$BZ$1,0),FALSE)),VLOOKUP($A38,Haver_M!$B$1:$BZ$300,MATCH(data!BL$1,Haver_M!$B$1:$BZ$1,0),FALSE),"")</f>
        <v>3327.66</v>
      </c>
      <c r="BM38">
        <f>IF(ISNUMBER(VLOOKUP($A38,Haver_M!$B$1:$BZ$300,MATCH(data!BM$1,Haver_M!$B$1:$BZ$1,0),FALSE)),VLOOKUP($A38,Haver_M!$B$1:$BZ$300,MATCH(data!BM$1,Haver_M!$B$1:$BZ$1,0),FALSE),"")</f>
        <v>88.549277579999995</v>
      </c>
      <c r="BN38" t="str">
        <f>IF(ISNUMBER(VLOOKUP($A38,Haver_M!$B$1:$BZ$300,MATCH(data!BN$1,Haver_M!$B$1:$BZ$1,0),FALSE)),VLOOKUP($A38,Haver_M!$B$1:$BZ$300,MATCH(data!BN$1,Haver_M!$B$1:$BZ$1,0),FALSE),"")</f>
        <v/>
      </c>
      <c r="BO38" t="str">
        <f>IF(ISNUMBER(VLOOKUP($A38,Haver_M!$B$1:$BZ$300,MATCH(data!BO$1,Haver_M!$B$1:$BZ$1,0),FALSE)),VLOOKUP($A38,Haver_M!$B$1:$BZ$300,MATCH(data!BO$1,Haver_M!$B$1:$BZ$1,0),FALSE),"")</f>
        <v/>
      </c>
      <c r="BP38" t="str">
        <f>IF(ISNUMBER(VLOOKUP($A38,Haver_M!$B$1:$BZ$300,MATCH(data!BP$1,Haver_M!$B$1:$BZ$1,0),FALSE)),VLOOKUP($A38,Haver_M!$B$1:$BZ$300,MATCH(data!BP$1,Haver_M!$B$1:$BZ$1,0),FALSE),"")</f>
        <v/>
      </c>
      <c r="BQ38" t="str">
        <f>IF(ISNUMBER(VLOOKUP($A38,Haver_M!$B$1:$BZ$300,MATCH(data!BQ$1,Haver_M!$B$1:$BZ$1,0),FALSE)),VLOOKUP($A38,Haver_M!$B$1:$BZ$300,MATCH(data!BQ$1,Haver_M!$B$1:$BZ$1,0),FALSE),"")</f>
        <v/>
      </c>
      <c r="BR38" t="str">
        <f>IF(ISNUMBER(VLOOKUP($A38,Haver_M!$B$1:$BZ$300,MATCH(data!BR$1,Haver_M!$B$1:$BZ$1,0),FALSE)),VLOOKUP($A38,Haver_M!$B$1:$BZ$300,MATCH(data!BR$1,Haver_M!$B$1:$BZ$1,0),FALSE),"")</f>
        <v/>
      </c>
      <c r="BS38" t="str">
        <f>IF(ISNUMBER(VLOOKUP($A38,Haver_M!$B$1:$BZ$300,MATCH(data!BS$1,Haver_M!$B$1:$BZ$1,0),FALSE)),VLOOKUP($A38,Haver_M!$B$1:$BZ$300,MATCH(data!BS$1,Haver_M!$B$1:$BZ$1,0),FALSE),"")</f>
        <v/>
      </c>
      <c r="BT38" t="str">
        <f>IF(ISNUMBER(VLOOKUP($A38,Haver_M!$B$1:$BZ$300,MATCH(data!BT$1,Haver_M!$B$1:$BZ$1,0),FALSE)),VLOOKUP($A38,Haver_M!$B$1:$BZ$300,MATCH(data!BT$1,Haver_M!$B$1:$BZ$1,0),FALSE),"")</f>
        <v/>
      </c>
      <c r="BU38">
        <f>IF(ISNUMBER(VLOOKUP($A38,Haver_M!$B$1:$BZ$300,MATCH(data!BU$1,Haver_M!$B$1:$BZ$1,0),FALSE)),VLOOKUP($A38,Haver_M!$B$1:$BZ$300,MATCH(data!BU$1,Haver_M!$B$1:$BZ$1,0),FALSE),"")</f>
        <v>4850</v>
      </c>
      <c r="BV38">
        <f>IF(ISNUMBER(VLOOKUP($A38,Haver_M!$B$1:$BZ$300,MATCH(data!BV$1,Haver_M!$B$1:$BZ$1,0),FALSE)),VLOOKUP($A38,Haver_M!$B$1:$BZ$300,MATCH(data!BV$1,Haver_M!$B$1:$BZ$1,0),FALSE),"")</f>
        <v>5571</v>
      </c>
      <c r="BW38">
        <f>IF(ISNUMBER(VLOOKUP($A38,Haver_M!$B$1:$BZ$300,MATCH(data!BW$1,Haver_M!$B$1:$BZ$1,0),FALSE)),VLOOKUP($A38,Haver_M!$B$1:$BZ$300,MATCH(data!BW$1,Haver_M!$B$1:$BZ$1,0),FALSE),"")</f>
        <v>47.9328</v>
      </c>
      <c r="BX38">
        <f>IF(ISNUMBER(VLOOKUP($A38,Haver_M!$B$1:$BZ$300,MATCH(data!BX$1,Haver_M!$B$1:$BZ$1,0),FALSE)),VLOOKUP($A38,Haver_M!$B$1:$BZ$300,MATCH(data!BX$1,Haver_M!$B$1:$BZ$1,0),FALSE),"")</f>
        <v>40101</v>
      </c>
    </row>
    <row r="39" spans="1:76" x14ac:dyDescent="0.25">
      <c r="A39" s="2">
        <v>37680</v>
      </c>
      <c r="B39" t="str">
        <f>IF(ISNUMBER(VLOOKUP($A39,Haver_Q!$B$1:$L$185,MATCH(data!B$1,Haver_Q!$B$1:$L$1,0),FALSE)),100*(VLOOKUP($A39,Haver_Q!$B$1:$L$185,MATCH(data!B$1,Haver_Q!$B$1:$L$1,0),FALSE)),"")</f>
        <v/>
      </c>
      <c r="C39" t="str">
        <f>IF(ISNUMBER(VLOOKUP($A39,Haver_Q!$B$1:$L$185,MATCH(data!C$1,Haver_Q!$B$1:$L$1,0),FALSE)),100*(VLOOKUP($A39,Haver_Q!$B$1:$L$185,MATCH(data!C$1,Haver_Q!$B$1:$L$1,0),FALSE)),"")</f>
        <v/>
      </c>
      <c r="D39" t="str">
        <f>IF(ISNUMBER(VLOOKUP($A39,Haver_Q!$B$1:$L$185,MATCH(data!D$1,Haver_Q!$B$1:$L$1,0),FALSE)),100*(VLOOKUP($A39,Haver_Q!$B$1:$L$185,MATCH(data!D$1,Haver_Q!$B$1:$L$1,0),FALSE)),"")</f>
        <v/>
      </c>
      <c r="E39" t="str">
        <f>IF(ISNUMBER(VLOOKUP($A39,Haver_Q!$B$1:$L$185,MATCH(data!E$1,Haver_Q!$B$1:$L$1,0),FALSE)),100*(VLOOKUP($A39,Haver_Q!$B$1:$L$185,MATCH(data!E$1,Haver_Q!$B$1:$L$1,0),FALSE)),"")</f>
        <v/>
      </c>
      <c r="F39" t="str">
        <f>IF(ISNUMBER(VLOOKUP($A39,Haver_Q!$B$1:$L$185,MATCH(data!F$1,Haver_Q!$B$1:$L$1,0),FALSE)),100*(VLOOKUP($A39,Haver_Q!$B$1:$L$185,MATCH(data!F$1,Haver_Q!$B$1:$L$1,0),FALSE)),"")</f>
        <v/>
      </c>
      <c r="G39" t="str">
        <f>IF(ISNUMBER(VLOOKUP($A39,Haver_Q!$B$1:$L$185,MATCH(data!G$1,Haver_Q!$B$1:$L$1,0),FALSE)),100*(VLOOKUP($A39,Haver_Q!$B$1:$L$185,MATCH(data!G$1,Haver_Q!$B$1:$L$1,0),FALSE)),"")</f>
        <v/>
      </c>
      <c r="H39" t="str">
        <f>IF(ISNUMBER(VLOOKUP($A39,Haver_Q!$B$1:$L$185,MATCH(data!H$1,Haver_Q!$B$1:$L$1,0),FALSE)),(VLOOKUP($A39,Haver_Q!$B$1:$L$185,MATCH(data!H$1,Haver_Q!$B$1:$L$1,0),FALSE)),"")</f>
        <v/>
      </c>
      <c r="I39" t="str">
        <f>IF(ISNUMBER(VLOOKUP($A39,Haver_Q!$B$1:$L$185,MATCH(data!I$1,Haver_Q!$B$1:$L$1,0),FALSE)),100*(VLOOKUP($A39,Haver_Q!$B$1:$L$185,MATCH(data!I$1,Haver_Q!$B$1:$L$1,0),FALSE)),"")</f>
        <v/>
      </c>
      <c r="J39" s="3">
        <f>IF(ISNUMBER(Bloomberg_m!C55),Bloomberg_m!C55,"")</f>
        <v>1674</v>
      </c>
      <c r="K39" s="3" t="str">
        <f>IF(ISNUMBER(Bloomberg_m!D55),Bloomberg_m!D55,"")</f>
        <v/>
      </c>
      <c r="L39" s="3" t="str">
        <f>IF(ISNUMBER(Bloomberg_m!E55),Bloomberg_m!E55,"")</f>
        <v/>
      </c>
      <c r="M39" s="3" t="str">
        <f>IF(ISNUMBER(Bloomberg_m!F55),Bloomberg_m!F55,"")</f>
        <v/>
      </c>
      <c r="N39">
        <f>IF(ISNUMBER(VLOOKUP($A39,Haver_M!$B$1:$BZ$300,MATCH(data!N$1,Haver_M!$B$1:$BZ$1,0),FALSE)),VLOOKUP($A39,Haver_M!$B$1:$BZ$300,MATCH(data!N$1,Haver_M!$B$1:$BZ$1,0),FALSE),"")</f>
        <v>7.5</v>
      </c>
      <c r="O39">
        <f>IF(ISNUMBER(VLOOKUP($A39,Haver_M!$B$1:$BZ$300,MATCH(data!O$1,Haver_M!$B$1:$BZ$1,0),FALSE)),VLOOKUP($A39,Haver_M!$B$1:$BZ$300,MATCH(data!O$1,Haver_M!$B$1:$BZ$1,0),FALSE),"")</f>
        <v>6.2321</v>
      </c>
      <c r="P39">
        <f>IF(ISNUMBER(VLOOKUP($A39,Haver_M!$B$1:$BZ$300,MATCH(data!P$1,Haver_M!$B$1:$BZ$1,0),FALSE)),VLOOKUP($A39,Haver_M!$B$1:$BZ$300,MATCH(data!P$1,Haver_M!$B$1:$BZ$1,0),FALSE),"")</f>
        <v>92.615459999999999</v>
      </c>
      <c r="Q39">
        <f>IF(ISNUMBER(VLOOKUP($A39,Haver_M!$B$1:$BZ$300,MATCH(data!Q$1,Haver_M!$B$1:$BZ$1,0),FALSE)),VLOOKUP($A39,Haver_M!$B$1:$BZ$300,MATCH(data!Q$1,Haver_M!$B$1:$BZ$1,0),FALSE),"")</f>
        <v>51.9</v>
      </c>
      <c r="R39" t="str">
        <f>IF(ISNUMBER(VLOOKUP($A39,Haver_M!$B$1:$BZ$300,MATCH(data!R$1,Haver_M!$B$1:$BZ$1,0),FALSE)),VLOOKUP($A39,Haver_M!$B$1:$BZ$300,MATCH(data!R$1,Haver_M!$B$1:$BZ$1,0),FALSE),"")</f>
        <v/>
      </c>
      <c r="S39">
        <f>IF(ISNUMBER(VLOOKUP($A39,Haver_M!$B$1:$BZ$300,MATCH(data!S$1,Haver_M!$B$1:$BZ$1,0),FALSE)),VLOOKUP($A39,Haver_M!$B$1:$BZ$300,MATCH(data!S$1,Haver_M!$B$1:$BZ$1,0),FALSE),"")</f>
        <v>52.07</v>
      </c>
      <c r="T39">
        <f>IF(ISNUMBER(VLOOKUP($A39,Haver_M!$B$1:$BZ$300,MATCH(data!T$1,Haver_M!$B$1:$BZ$1,0),FALSE)),VLOOKUP($A39,Haver_M!$B$1:$BZ$300,MATCH(data!T$1,Haver_M!$B$1:$BZ$1,0),FALSE),"")</f>
        <v>60.42</v>
      </c>
      <c r="U39">
        <f>IF(ISNUMBER(VLOOKUP($A39,Haver_M!$B$1:$BZ$300,MATCH(data!U$1,Haver_M!$B$1:$BZ$1,0),FALSE)),VLOOKUP($A39,Haver_M!$B$1:$BZ$300,MATCH(data!U$1,Haver_M!$B$1:$BZ$1,0),FALSE),"")</f>
        <v>28.35</v>
      </c>
      <c r="V39">
        <f>IF(ISNUMBER(VLOOKUP($A39,Haver_M!$B$1:$BZ$300,MATCH(data!V$1,Haver_M!$B$1:$BZ$1,0),FALSE)),VLOOKUP($A39,Haver_M!$B$1:$BZ$300,MATCH(data!V$1,Haver_M!$B$1:$BZ$1,0),FALSE),"")</f>
        <v>63.69</v>
      </c>
      <c r="W39" t="str">
        <f>IF(ISNUMBER(VLOOKUP($A39,Haver_M!$B$1:$BZ$300,MATCH(data!W$1,Haver_M!$B$1:$BZ$1,0),FALSE)),VLOOKUP($A39,Haver_M!$B$1:$BZ$300,MATCH(data!W$1,Haver_M!$B$1:$BZ$1,0),FALSE),"")</f>
        <v/>
      </c>
      <c r="X39">
        <f>IF(ISNUMBER(VLOOKUP($A39,Haver_M!$B$1:$BZ$300,MATCH(data!X$1,Haver_M!$B$1:$BZ$1,0),FALSE)),VLOOKUP($A39,Haver_M!$B$1:$BZ$300,MATCH(data!X$1,Haver_M!$B$1:$BZ$1,0),FALSE),"")</f>
        <v>26.35</v>
      </c>
      <c r="Y39">
        <f>IF(ISNUMBER(VLOOKUP($A39,Haver_M!$B$1:$BZ$300,MATCH(data!Y$1,Haver_M!$B$1:$BZ$1,0),FALSE)),VLOOKUP($A39,Haver_M!$B$1:$BZ$300,MATCH(data!Y$1,Haver_M!$B$1:$BZ$1,0),FALSE),"")</f>
        <v>59.12</v>
      </c>
      <c r="Z39" t="str">
        <f>IF(ISNUMBER(VLOOKUP($A39,Haver_M!$B$1:$BZ$300,MATCH(data!Z$1,Haver_M!$B$1:$BZ$1,0),FALSE)),VLOOKUP($A39,Haver_M!$B$1:$BZ$300,MATCH(data!Z$1,Haver_M!$B$1:$BZ$1,0),FALSE),"")</f>
        <v/>
      </c>
      <c r="AA39" t="str">
        <f>IF(ISNUMBER(VLOOKUP($A39,Haver_M!$B$1:$BZ$300,MATCH(data!AA$1,Haver_M!$B$1:$BZ$1,0),FALSE)),VLOOKUP($A39,Haver_M!$B$1:$BZ$300,MATCH(data!AA$1,Haver_M!$B$1:$BZ$1,0),FALSE),"")</f>
        <v/>
      </c>
      <c r="AB39" t="str">
        <f>IF(ISNUMBER(VLOOKUP($A39,Haver_M!$B$1:$BZ$300,MATCH(data!AB$1,Haver_M!$B$1:$BZ$1,0),FALSE)),VLOOKUP($A39,Haver_M!$B$1:$BZ$300,MATCH(data!AB$1,Haver_M!$B$1:$BZ$1,0),FALSE),"")</f>
        <v/>
      </c>
      <c r="AC39" t="str">
        <f>IF(ISNUMBER(VLOOKUP($A39,Haver_M!$B$1:$BZ$300,MATCH(data!AC$1,Haver_M!$B$1:$BZ$1,0),FALSE)),VLOOKUP($A39,Haver_M!$B$1:$BZ$300,MATCH(data!AC$1,Haver_M!$B$1:$BZ$1,0),FALSE),"")</f>
        <v/>
      </c>
      <c r="AD39" t="str">
        <f>IF(ISNUMBER(VLOOKUP($A39,Haver_M!$B$1:$BZ$300,MATCH(data!AD$1,Haver_M!$B$1:$BZ$1,0),FALSE)),VLOOKUP($A39,Haver_M!$B$1:$BZ$300,MATCH(data!AD$1,Haver_M!$B$1:$BZ$1,0),FALSE),"")</f>
        <v/>
      </c>
      <c r="AE39" t="str">
        <f>IF(ISNUMBER(VLOOKUP($A39,Haver_M!$B$1:$BZ$300,MATCH(data!AE$1,Haver_M!$B$1:$BZ$1,0),FALSE)),VLOOKUP($A39,Haver_M!$B$1:$BZ$300,MATCH(data!AE$1,Haver_M!$B$1:$BZ$1,0),FALSE),"")</f>
        <v/>
      </c>
      <c r="AF39" t="str">
        <f>IF(ISNUMBER(VLOOKUP($A39,Haver_M!$B$1:$BZ$300,MATCH(data!AF$1,Haver_M!$B$1:$BZ$1,0),FALSE)),VLOOKUP($A39,Haver_M!$B$1:$BZ$300,MATCH(data!AF$1,Haver_M!$B$1:$BZ$1,0),FALSE),"")</f>
        <v/>
      </c>
      <c r="AG39" t="str">
        <f>IF(ISNUMBER(VLOOKUP($A39,Haver_M!$B$1:$BZ$300,MATCH(data!AG$1,Haver_M!$B$1:$BZ$1,0),FALSE)),VLOOKUP($A39,Haver_M!$B$1:$BZ$300,MATCH(data!AG$1,Haver_M!$B$1:$BZ$1,0),FALSE),"")</f>
        <v/>
      </c>
      <c r="AH39" t="str">
        <f>IF(ISNUMBER(VLOOKUP($A39,Haver_M!$B$1:$BZ$300,MATCH(data!AH$1,Haver_M!$B$1:$BZ$1,0),FALSE)),VLOOKUP($A39,Haver_M!$B$1:$BZ$300,MATCH(data!AH$1,Haver_M!$B$1:$BZ$1,0),FALSE),"")</f>
        <v/>
      </c>
      <c r="AI39">
        <f>IF(ISNUMBER(VLOOKUP($A39,Haver_M!$B$1:$BZ$300,MATCH(data!AI$1,Haver_M!$B$1:$BZ$1,0),FALSE)),VLOOKUP($A39,Haver_M!$B$1:$BZ$300,MATCH(data!AI$1,Haver_M!$B$1:$BZ$1,0),FALSE),"")</f>
        <v>8615.0692066525753</v>
      </c>
      <c r="AJ39">
        <f>IF(ISNUMBER(VLOOKUP($A39,Haver_M!$B$1:$BZ$300,MATCH(data!AJ$1,Haver_M!$B$1:$BZ$1,0),FALSE)),VLOOKUP($A39,Haver_M!$B$1:$BZ$300,MATCH(data!AJ$1,Haver_M!$B$1:$BZ$1,0),FALSE),"")</f>
        <v>4335.37</v>
      </c>
      <c r="AK39">
        <f>IF(ISNUMBER(VLOOKUP($A39,Haver_M!$B$1:$BZ$300,MATCH(data!AK$1,Haver_M!$B$1:$BZ$1,0),FALSE)),VLOOKUP($A39,Haver_M!$B$1:$BZ$300,MATCH(data!AK$1,Haver_M!$B$1:$BZ$1,0),FALSE),"")</f>
        <v>5095.37</v>
      </c>
      <c r="AL39" t="str">
        <f>IF(ISNUMBER(VLOOKUP($A39,Haver_M!$B$1:$BZ$300,MATCH(data!AL$1,Haver_M!$B$1:$BZ$1,0),FALSE)),VLOOKUP($A39,Haver_M!$B$1:$BZ$300,MATCH(data!AL$1,Haver_M!$B$1:$BZ$1,0),FALSE),"")</f>
        <v/>
      </c>
      <c r="AM39" t="str">
        <f>IF(ISNUMBER(VLOOKUP($A39,Haver_M!$B$1:$BZ$300,MATCH(data!AM$1,Haver_M!$B$1:$BZ$1,0),FALSE)),VLOOKUP($A39,Haver_M!$B$1:$BZ$300,MATCH(data!AM$1,Haver_M!$B$1:$BZ$1,0),FALSE),"")</f>
        <v/>
      </c>
      <c r="AN39" t="str">
        <f>IF(ISNUMBER(VLOOKUP($A39,Haver_M!$B$1:$BZ$300,MATCH(data!AN$1,Haver_M!$B$1:$BZ$1,0),FALSE)),VLOOKUP($A39,Haver_M!$B$1:$BZ$300,MATCH(data!AN$1,Haver_M!$B$1:$BZ$1,0),FALSE),"")</f>
        <v/>
      </c>
      <c r="AO39" t="str">
        <f>IF(ISNUMBER(VLOOKUP($A39,Haver_M!$B$1:$BZ$300,MATCH(data!AO$1,Haver_M!$B$1:$BZ$1,0),FALSE)),VLOOKUP($A39,Haver_M!$B$1:$BZ$300,MATCH(data!AO$1,Haver_M!$B$1:$BZ$1,0),FALSE),"")</f>
        <v/>
      </c>
      <c r="AP39">
        <f>IF(ISNUMBER(VLOOKUP($A39,Haver_M!$B$1:$BZ$300,MATCH(data!AP$1,Haver_M!$B$1:$BZ$1,0),FALSE)),VLOOKUP($A39,Haver_M!$B$1:$BZ$300,MATCH(data!AP$1,Haver_M!$B$1:$BZ$1,0),FALSE),"")</f>
        <v>64.374584325608438</v>
      </c>
      <c r="AQ39" t="str">
        <f>IF(ISNUMBER(VLOOKUP($A39,Haver_M!$B$1:$BZ$300,MATCH(data!AQ$1,Haver_M!$B$1:$BZ$1,0),FALSE)),VLOOKUP($A39,Haver_M!$B$1:$BZ$300,MATCH(data!AQ$1,Haver_M!$B$1:$BZ$1,0),FALSE),"")</f>
        <v/>
      </c>
      <c r="AR39" t="str">
        <f>IF(ISNUMBER(VLOOKUP($A39,Haver_M!$B$1:$BZ$300,MATCH(data!AR$1,Haver_M!$B$1:$BZ$1,0),FALSE)),VLOOKUP($A39,Haver_M!$B$1:$BZ$300,MATCH(data!AR$1,Haver_M!$B$1:$BZ$1,0),FALSE),"")</f>
        <v/>
      </c>
      <c r="AS39" t="str">
        <f>IF(ISNUMBER(VLOOKUP($A39,Haver_M!$B$1:$BZ$300,MATCH(data!AS$1,Haver_M!$B$1:$BZ$1,0),FALSE)),VLOOKUP($A39,Haver_M!$B$1:$BZ$300,MATCH(data!AS$1,Haver_M!$B$1:$BZ$1,0),FALSE),"")</f>
        <v/>
      </c>
      <c r="AT39" t="str">
        <f>IF(ISNUMBER(VLOOKUP($A39,Haver_M!$B$1:$BZ$300,MATCH(data!AT$1,Haver_M!$B$1:$BZ$1,0),FALSE)),VLOOKUP($A39,Haver_M!$B$1:$BZ$300,MATCH(data!AT$1,Haver_M!$B$1:$BZ$1,0),FALSE),"")</f>
        <v/>
      </c>
      <c r="AU39" t="str">
        <f>IF(ISNUMBER(VLOOKUP($A39,Haver_M!$B$1:$BZ$300,MATCH(data!AU$1,Haver_M!$B$1:$BZ$1,0),FALSE)),VLOOKUP($A39,Haver_M!$B$1:$BZ$300,MATCH(data!AU$1,Haver_M!$B$1:$BZ$1,0),FALSE),"")</f>
        <v/>
      </c>
      <c r="AV39" t="str">
        <f>IF(ISNUMBER(VLOOKUP($A39,Haver_M!$B$1:$BZ$300,MATCH(data!AV$1,Haver_M!$B$1:$BZ$1,0),FALSE)),VLOOKUP($A39,Haver_M!$B$1:$BZ$300,MATCH(data!AV$1,Haver_M!$B$1:$BZ$1,0),FALSE),"")</f>
        <v/>
      </c>
      <c r="AW39" t="str">
        <f>IF(ISNUMBER(VLOOKUP($A39,Haver_M!$B$1:$BZ$300,MATCH(data!AW$1,Haver_M!$B$1:$BZ$1,0),FALSE)),VLOOKUP($A39,Haver_M!$B$1:$BZ$300,MATCH(data!AW$1,Haver_M!$B$1:$BZ$1,0),FALSE),"")</f>
        <v/>
      </c>
      <c r="AX39" t="str">
        <f>IF(ISNUMBER(VLOOKUP($A39,Haver_M!$B$1:$BZ$300,MATCH(data!AX$1,Haver_M!$B$1:$BZ$1,0),FALSE)),VLOOKUP($A39,Haver_M!$B$1:$BZ$300,MATCH(data!AX$1,Haver_M!$B$1:$BZ$1,0),FALSE),"")</f>
        <v/>
      </c>
      <c r="AY39" t="str">
        <f>IF(ISNUMBER(VLOOKUP($A39,Haver_M!$B$1:$BZ$300,MATCH(data!AY$1,Haver_M!$B$1:$BZ$1,0),FALSE)),VLOOKUP($A39,Haver_M!$B$1:$BZ$300,MATCH(data!AY$1,Haver_M!$B$1:$BZ$1,0),FALSE),"")</f>
        <v/>
      </c>
      <c r="AZ39" t="str">
        <f>IF(ISNUMBER(VLOOKUP($A39,Haver_M!$B$1:$BZ$300,MATCH(data!AZ$1,Haver_M!$B$1:$BZ$1,0),FALSE)),VLOOKUP($A39,Haver_M!$B$1:$BZ$300,MATCH(data!AZ$1,Haver_M!$B$1:$BZ$1,0),FALSE),"")</f>
        <v/>
      </c>
      <c r="BA39" t="str">
        <f>IF(ISNUMBER(VLOOKUP($A39,Haver_M!$B$1:$BZ$300,MATCH(data!BA$1,Haver_M!$B$1:$BZ$1,0),FALSE)),VLOOKUP($A39,Haver_M!$B$1:$BZ$300,MATCH(data!BA$1,Haver_M!$B$1:$BZ$1,0),FALSE),"")</f>
        <v/>
      </c>
      <c r="BB39" t="str">
        <f>IF(ISNUMBER(VLOOKUP($A39,Haver_M!$B$1:$BZ$300,MATCH(data!BB$1,Haver_M!$B$1:$BZ$1,0),FALSE)),VLOOKUP($A39,Haver_M!$B$1:$BZ$300,MATCH(data!BB$1,Haver_M!$B$1:$BZ$1,0),FALSE),"")</f>
        <v/>
      </c>
      <c r="BC39" t="str">
        <f>IF(ISNUMBER(VLOOKUP($A39,Haver_M!$B$1:$BZ$300,MATCH(data!BC$1,Haver_M!$B$1:$BZ$1,0),FALSE)),VLOOKUP($A39,Haver_M!$B$1:$BZ$300,MATCH(data!BC$1,Haver_M!$B$1:$BZ$1,0),FALSE),"")</f>
        <v/>
      </c>
      <c r="BD39" t="str">
        <f>IF(ISNUMBER(VLOOKUP($A39,Haver_M!$B$1:$BZ$300,MATCH(data!BD$1,Haver_M!$B$1:$BZ$1,0),FALSE)),VLOOKUP($A39,Haver_M!$B$1:$BZ$300,MATCH(data!BD$1,Haver_M!$B$1:$BZ$1,0),FALSE),"")</f>
        <v/>
      </c>
      <c r="BE39" t="str">
        <f>IF(ISNUMBER(VLOOKUP($A39,Haver_M!$B$1:$BZ$300,MATCH(data!BE$1,Haver_M!$B$1:$BZ$1,0),FALSE)),VLOOKUP($A39,Haver_M!$B$1:$BZ$300,MATCH(data!BE$1,Haver_M!$B$1:$BZ$1,0),FALSE),"")</f>
        <v/>
      </c>
      <c r="BF39" t="str">
        <f>IF(ISNUMBER(VLOOKUP($A39,Haver_M!$B$1:$BZ$300,MATCH(data!BF$1,Haver_M!$B$1:$BZ$1,0),FALSE)),VLOOKUP($A39,Haver_M!$B$1:$BZ$300,MATCH(data!BF$1,Haver_M!$B$1:$BZ$1,0),FALSE),"")</f>
        <v/>
      </c>
      <c r="BG39" t="str">
        <f>IF(ISNUMBER(VLOOKUP($A39,Haver_M!$B$1:$BZ$300,MATCH(data!BG$1,Haver_M!$B$1:$BZ$1,0),FALSE)),VLOOKUP($A39,Haver_M!$B$1:$BZ$300,MATCH(data!BG$1,Haver_M!$B$1:$BZ$1,0),FALSE),"")</f>
        <v/>
      </c>
      <c r="BH39" t="str">
        <f>IF(ISNUMBER(VLOOKUP($A39,Haver_M!$B$1:$BZ$300,MATCH(data!BH$1,Haver_M!$B$1:$BZ$1,0),FALSE)),VLOOKUP($A39,Haver_M!$B$1:$BZ$300,MATCH(data!BH$1,Haver_M!$B$1:$BZ$1,0),FALSE),"")</f>
        <v/>
      </c>
      <c r="BI39" t="str">
        <f>IF(ISNUMBER(VLOOKUP($A39,Haver_M!$B$1:$BZ$300,MATCH(data!BI$1,Haver_M!$B$1:$BZ$1,0),FALSE)),VLOOKUP($A39,Haver_M!$B$1:$BZ$300,MATCH(data!BI$1,Haver_M!$B$1:$BZ$1,0),FALSE),"")</f>
        <v/>
      </c>
      <c r="BJ39" t="str">
        <f>IF(ISNUMBER(VLOOKUP($A39,Haver_M!$B$1:$BZ$300,MATCH(data!BJ$1,Haver_M!$B$1:$BZ$1,0),FALSE)),VLOOKUP($A39,Haver_M!$B$1:$BZ$300,MATCH(data!BJ$1,Haver_M!$B$1:$BZ$1,0),FALSE),"")</f>
        <v/>
      </c>
      <c r="BK39" t="str">
        <f>IF(ISNUMBER(VLOOKUP($A39,Haver_M!$B$1:$BZ$300,MATCH(data!BK$1,Haver_M!$B$1:$BZ$1,0),FALSE)),VLOOKUP($A39,Haver_M!$B$1:$BZ$300,MATCH(data!BK$1,Haver_M!$B$1:$BZ$1,0),FALSE),"")</f>
        <v/>
      </c>
      <c r="BL39">
        <f>IF(ISNUMBER(VLOOKUP($A39,Haver_M!$B$1:$BZ$300,MATCH(data!BL$1,Haver_M!$B$1:$BZ$1,0),FALSE)),VLOOKUP($A39,Haver_M!$B$1:$BZ$300,MATCH(data!BL$1,Haver_M!$B$1:$BZ$1,0),FALSE),"")</f>
        <v>3278.85</v>
      </c>
      <c r="BM39">
        <f>IF(ISNUMBER(VLOOKUP($A39,Haver_M!$B$1:$BZ$300,MATCH(data!BM$1,Haver_M!$B$1:$BZ$1,0),FALSE)),VLOOKUP($A39,Haver_M!$B$1:$BZ$300,MATCH(data!BM$1,Haver_M!$B$1:$BZ$1,0),FALSE),"")</f>
        <v>87.957332320000006</v>
      </c>
      <c r="BN39" t="str">
        <f>IF(ISNUMBER(VLOOKUP($A39,Haver_M!$B$1:$BZ$300,MATCH(data!BN$1,Haver_M!$B$1:$BZ$1,0),FALSE)),VLOOKUP($A39,Haver_M!$B$1:$BZ$300,MATCH(data!BN$1,Haver_M!$B$1:$BZ$1,0),FALSE),"")</f>
        <v/>
      </c>
      <c r="BO39" t="str">
        <f>IF(ISNUMBER(VLOOKUP($A39,Haver_M!$B$1:$BZ$300,MATCH(data!BO$1,Haver_M!$B$1:$BZ$1,0),FALSE)),VLOOKUP($A39,Haver_M!$B$1:$BZ$300,MATCH(data!BO$1,Haver_M!$B$1:$BZ$1,0),FALSE),"")</f>
        <v/>
      </c>
      <c r="BP39" t="str">
        <f>IF(ISNUMBER(VLOOKUP($A39,Haver_M!$B$1:$BZ$300,MATCH(data!BP$1,Haver_M!$B$1:$BZ$1,0),FALSE)),VLOOKUP($A39,Haver_M!$B$1:$BZ$300,MATCH(data!BP$1,Haver_M!$B$1:$BZ$1,0),FALSE),"")</f>
        <v/>
      </c>
      <c r="BQ39" t="str">
        <f>IF(ISNUMBER(VLOOKUP($A39,Haver_M!$B$1:$BZ$300,MATCH(data!BQ$1,Haver_M!$B$1:$BZ$1,0),FALSE)),VLOOKUP($A39,Haver_M!$B$1:$BZ$300,MATCH(data!BQ$1,Haver_M!$B$1:$BZ$1,0),FALSE),"")</f>
        <v/>
      </c>
      <c r="BR39" t="str">
        <f>IF(ISNUMBER(VLOOKUP($A39,Haver_M!$B$1:$BZ$300,MATCH(data!BR$1,Haver_M!$B$1:$BZ$1,0),FALSE)),VLOOKUP($A39,Haver_M!$B$1:$BZ$300,MATCH(data!BR$1,Haver_M!$B$1:$BZ$1,0),FALSE),"")</f>
        <v/>
      </c>
      <c r="BS39" t="str">
        <f>IF(ISNUMBER(VLOOKUP($A39,Haver_M!$B$1:$BZ$300,MATCH(data!BS$1,Haver_M!$B$1:$BZ$1,0),FALSE)),VLOOKUP($A39,Haver_M!$B$1:$BZ$300,MATCH(data!BS$1,Haver_M!$B$1:$BZ$1,0),FALSE),"")</f>
        <v/>
      </c>
      <c r="BT39" t="str">
        <f>IF(ISNUMBER(VLOOKUP($A39,Haver_M!$B$1:$BZ$300,MATCH(data!BT$1,Haver_M!$B$1:$BZ$1,0),FALSE)),VLOOKUP($A39,Haver_M!$B$1:$BZ$300,MATCH(data!BT$1,Haver_M!$B$1:$BZ$1,0),FALSE),"")</f>
        <v/>
      </c>
      <c r="BU39">
        <f>IF(ISNUMBER(VLOOKUP($A39,Haver_M!$B$1:$BZ$300,MATCH(data!BU$1,Haver_M!$B$1:$BZ$1,0),FALSE)),VLOOKUP($A39,Haver_M!$B$1:$BZ$300,MATCH(data!BU$1,Haver_M!$B$1:$BZ$1,0),FALSE),"")</f>
        <v>4286</v>
      </c>
      <c r="BV39">
        <f>IF(ISNUMBER(VLOOKUP($A39,Haver_M!$B$1:$BZ$300,MATCH(data!BV$1,Haver_M!$B$1:$BZ$1,0),FALSE)),VLOOKUP($A39,Haver_M!$B$1:$BZ$300,MATCH(data!BV$1,Haver_M!$B$1:$BZ$1,0),FALSE),"")</f>
        <v>4631</v>
      </c>
      <c r="BW39">
        <f>IF(ISNUMBER(VLOOKUP($A39,Haver_M!$B$1:$BZ$300,MATCH(data!BW$1,Haver_M!$B$1:$BZ$1,0),FALSE)),VLOOKUP($A39,Haver_M!$B$1:$BZ$300,MATCH(data!BW$1,Haver_M!$B$1:$BZ$1,0),FALSE),"")</f>
        <v>47.735799999999998</v>
      </c>
      <c r="BX39">
        <f>IF(ISNUMBER(VLOOKUP($A39,Haver_M!$B$1:$BZ$300,MATCH(data!BX$1,Haver_M!$B$1:$BZ$1,0),FALSE)),VLOOKUP($A39,Haver_M!$B$1:$BZ$300,MATCH(data!BX$1,Haver_M!$B$1:$BZ$1,0),FALSE),"")</f>
        <v>36196</v>
      </c>
    </row>
    <row r="40" spans="1:76" x14ac:dyDescent="0.25">
      <c r="A40" s="2">
        <v>37711</v>
      </c>
      <c r="B40">
        <f>IF(ISNUMBER(VLOOKUP($A40,Haver_Q!$B$1:$L$185,MATCH(data!B$1,Haver_Q!$B$1:$L$1,0),FALSE)),100*(VLOOKUP($A40,Haver_Q!$B$1:$L$185,MATCH(data!B$1,Haver_Q!$B$1:$L$1,0),FALSE)),"")</f>
        <v>4.2135512415587772</v>
      </c>
      <c r="C40">
        <f>IF(ISNUMBER(VLOOKUP($A40,Haver_Q!$B$1:$L$185,MATCH(data!C$1,Haver_Q!$B$1:$L$1,0),FALSE)),100*(VLOOKUP($A40,Haver_Q!$B$1:$L$185,MATCH(data!C$1,Haver_Q!$B$1:$L$1,0),FALSE)),"")</f>
        <v>7.571094732227035</v>
      </c>
      <c r="D40">
        <f>IF(ISNUMBER(VLOOKUP($A40,Haver_Q!$B$1:$L$185,MATCH(data!D$1,Haver_Q!$B$1:$L$1,0),FALSE)),100*(VLOOKUP($A40,Haver_Q!$B$1:$L$185,MATCH(data!D$1,Haver_Q!$B$1:$L$1,0),FALSE)),"")</f>
        <v>6.9825428729743066</v>
      </c>
      <c r="E40">
        <f>IF(ISNUMBER(VLOOKUP($A40,Haver_Q!$B$1:$L$185,MATCH(data!E$1,Haver_Q!$B$1:$L$1,0),FALSE)),100*(VLOOKUP($A40,Haver_Q!$B$1:$L$185,MATCH(data!E$1,Haver_Q!$B$1:$L$1,0),FALSE)),"")</f>
        <v>0.1198636416463561</v>
      </c>
      <c r="F40">
        <f>IF(ISNUMBER(VLOOKUP($A40,Haver_Q!$B$1:$L$185,MATCH(data!F$1,Haver_Q!$B$1:$L$1,0),FALSE)),100*(VLOOKUP($A40,Haver_Q!$B$1:$L$185,MATCH(data!F$1,Haver_Q!$B$1:$L$1,0),FALSE)),"")</f>
        <v>5.9385059092040393</v>
      </c>
      <c r="G40">
        <f>IF(ISNUMBER(VLOOKUP($A40,Haver_Q!$B$1:$L$185,MATCH(data!G$1,Haver_Q!$B$1:$L$1,0),FALSE)),100*(VLOOKUP($A40,Haver_Q!$B$1:$L$185,MATCH(data!G$1,Haver_Q!$B$1:$L$1,0),FALSE)),"")</f>
        <v>45.311557231811506</v>
      </c>
      <c r="H40">
        <f>IF(ISNUMBER(VLOOKUP($A40,Haver_Q!$B$1:$L$185,MATCH(data!H$1,Haver_Q!$B$1:$L$1,0),FALSE)),(VLOOKUP($A40,Haver_Q!$B$1:$L$185,MATCH(data!H$1,Haver_Q!$B$1:$L$1,0),FALSE)),"")</f>
        <v>2.9898158398715742</v>
      </c>
      <c r="I40">
        <f>IF(ISNUMBER(VLOOKUP($A40,Haver_Q!$B$1:$L$185,MATCH(data!I$1,Haver_Q!$B$1:$L$1,0),FALSE)),100*(VLOOKUP($A40,Haver_Q!$B$1:$L$185,MATCH(data!I$1,Haver_Q!$B$1:$L$1,0),FALSE)),"")</f>
        <v>3.0951229931585278</v>
      </c>
      <c r="J40" s="3">
        <f>IF(ISNUMBER(Bloomberg_m!C56),Bloomberg_m!C56,"")</f>
        <v>1850</v>
      </c>
      <c r="K40" s="3" t="str">
        <f>IF(ISNUMBER(Bloomberg_m!D56),Bloomberg_m!D56,"")</f>
        <v/>
      </c>
      <c r="L40" s="3" t="str">
        <f>IF(ISNUMBER(Bloomberg_m!E56),Bloomberg_m!E56,"")</f>
        <v/>
      </c>
      <c r="M40" s="3" t="str">
        <f>IF(ISNUMBER(Bloomberg_m!F56),Bloomberg_m!F56,"")</f>
        <v/>
      </c>
      <c r="N40">
        <f>IF(ISNUMBER(VLOOKUP($A40,Haver_M!$B$1:$BZ$300,MATCH(data!N$1,Haver_M!$B$1:$BZ$1,0),FALSE)),VLOOKUP($A40,Haver_M!$B$1:$BZ$300,MATCH(data!N$1,Haver_M!$B$1:$BZ$1,0),FALSE),"")</f>
        <v>7</v>
      </c>
      <c r="O40">
        <f>IF(ISNUMBER(VLOOKUP($A40,Haver_M!$B$1:$BZ$300,MATCH(data!O$1,Haver_M!$B$1:$BZ$1,0),FALSE)),VLOOKUP($A40,Haver_M!$B$1:$BZ$300,MATCH(data!O$1,Haver_M!$B$1:$BZ$1,0),FALSE),"")</f>
        <v>6.1936</v>
      </c>
      <c r="P40">
        <f>IF(ISNUMBER(VLOOKUP($A40,Haver_M!$B$1:$BZ$300,MATCH(data!P$1,Haver_M!$B$1:$BZ$1,0),FALSE)),VLOOKUP($A40,Haver_M!$B$1:$BZ$300,MATCH(data!P$1,Haver_M!$B$1:$BZ$1,0),FALSE),"")</f>
        <v>93.404470000000003</v>
      </c>
      <c r="Q40">
        <f>IF(ISNUMBER(VLOOKUP($A40,Haver_M!$B$1:$BZ$300,MATCH(data!Q$1,Haver_M!$B$1:$BZ$1,0),FALSE)),VLOOKUP($A40,Haver_M!$B$1:$BZ$300,MATCH(data!Q$1,Haver_M!$B$1:$BZ$1,0),FALSE),"")</f>
        <v>52.2</v>
      </c>
      <c r="R40" t="str">
        <f>IF(ISNUMBER(VLOOKUP($A40,Haver_M!$B$1:$BZ$300,MATCH(data!R$1,Haver_M!$B$1:$BZ$1,0),FALSE)),VLOOKUP($A40,Haver_M!$B$1:$BZ$300,MATCH(data!R$1,Haver_M!$B$1:$BZ$1,0),FALSE),"")</f>
        <v/>
      </c>
      <c r="S40">
        <f>IF(ISNUMBER(VLOOKUP($A40,Haver_M!$B$1:$BZ$300,MATCH(data!S$1,Haver_M!$B$1:$BZ$1,0),FALSE)),VLOOKUP($A40,Haver_M!$B$1:$BZ$300,MATCH(data!S$1,Haver_M!$B$1:$BZ$1,0),FALSE),"")</f>
        <v>51.37</v>
      </c>
      <c r="T40">
        <f>IF(ISNUMBER(VLOOKUP($A40,Haver_M!$B$1:$BZ$300,MATCH(data!T$1,Haver_M!$B$1:$BZ$1,0),FALSE)),VLOOKUP($A40,Haver_M!$B$1:$BZ$300,MATCH(data!T$1,Haver_M!$B$1:$BZ$1,0),FALSE),"")</f>
        <v>60.05</v>
      </c>
      <c r="U40">
        <f>IF(ISNUMBER(VLOOKUP($A40,Haver_M!$B$1:$BZ$300,MATCH(data!U$1,Haver_M!$B$1:$BZ$1,0),FALSE)),VLOOKUP($A40,Haver_M!$B$1:$BZ$300,MATCH(data!U$1,Haver_M!$B$1:$BZ$1,0),FALSE),"")</f>
        <v>29.74</v>
      </c>
      <c r="V40">
        <f>IF(ISNUMBER(VLOOKUP($A40,Haver_M!$B$1:$BZ$300,MATCH(data!V$1,Haver_M!$B$1:$BZ$1,0),FALSE)),VLOOKUP($A40,Haver_M!$B$1:$BZ$300,MATCH(data!V$1,Haver_M!$B$1:$BZ$1,0),FALSE),"")</f>
        <v>63.18</v>
      </c>
      <c r="W40" t="str">
        <f>IF(ISNUMBER(VLOOKUP($A40,Haver_M!$B$1:$BZ$300,MATCH(data!W$1,Haver_M!$B$1:$BZ$1,0),FALSE)),VLOOKUP($A40,Haver_M!$B$1:$BZ$300,MATCH(data!W$1,Haver_M!$B$1:$BZ$1,0),FALSE),"")</f>
        <v/>
      </c>
      <c r="X40">
        <f>IF(ISNUMBER(VLOOKUP($A40,Haver_M!$B$1:$BZ$300,MATCH(data!X$1,Haver_M!$B$1:$BZ$1,0),FALSE)),VLOOKUP($A40,Haver_M!$B$1:$BZ$300,MATCH(data!X$1,Haver_M!$B$1:$BZ$1,0),FALSE),"")</f>
        <v>25.15</v>
      </c>
      <c r="Y40">
        <f>IF(ISNUMBER(VLOOKUP($A40,Haver_M!$B$1:$BZ$300,MATCH(data!Y$1,Haver_M!$B$1:$BZ$1,0),FALSE)),VLOOKUP($A40,Haver_M!$B$1:$BZ$300,MATCH(data!Y$1,Haver_M!$B$1:$BZ$1,0),FALSE),"")</f>
        <v>58.3</v>
      </c>
      <c r="Z40" t="str">
        <f>IF(ISNUMBER(VLOOKUP($A40,Haver_M!$B$1:$BZ$300,MATCH(data!Z$1,Haver_M!$B$1:$BZ$1,0),FALSE)),VLOOKUP($A40,Haver_M!$B$1:$BZ$300,MATCH(data!Z$1,Haver_M!$B$1:$BZ$1,0),FALSE),"")</f>
        <v/>
      </c>
      <c r="AA40" t="str">
        <f>IF(ISNUMBER(VLOOKUP($A40,Haver_M!$B$1:$BZ$300,MATCH(data!AA$1,Haver_M!$B$1:$BZ$1,0),FALSE)),VLOOKUP($A40,Haver_M!$B$1:$BZ$300,MATCH(data!AA$1,Haver_M!$B$1:$BZ$1,0),FALSE),"")</f>
        <v/>
      </c>
      <c r="AB40" t="str">
        <f>IF(ISNUMBER(VLOOKUP($A40,Haver_M!$B$1:$BZ$300,MATCH(data!AB$1,Haver_M!$B$1:$BZ$1,0),FALSE)),VLOOKUP($A40,Haver_M!$B$1:$BZ$300,MATCH(data!AB$1,Haver_M!$B$1:$BZ$1,0),FALSE),"")</f>
        <v/>
      </c>
      <c r="AC40" t="str">
        <f>IF(ISNUMBER(VLOOKUP($A40,Haver_M!$B$1:$BZ$300,MATCH(data!AC$1,Haver_M!$B$1:$BZ$1,0),FALSE)),VLOOKUP($A40,Haver_M!$B$1:$BZ$300,MATCH(data!AC$1,Haver_M!$B$1:$BZ$1,0),FALSE),"")</f>
        <v/>
      </c>
      <c r="AD40" t="str">
        <f>IF(ISNUMBER(VLOOKUP($A40,Haver_M!$B$1:$BZ$300,MATCH(data!AD$1,Haver_M!$B$1:$BZ$1,0),FALSE)),VLOOKUP($A40,Haver_M!$B$1:$BZ$300,MATCH(data!AD$1,Haver_M!$B$1:$BZ$1,0),FALSE),"")</f>
        <v/>
      </c>
      <c r="AE40" t="str">
        <f>IF(ISNUMBER(VLOOKUP($A40,Haver_M!$B$1:$BZ$300,MATCH(data!AE$1,Haver_M!$B$1:$BZ$1,0),FALSE)),VLOOKUP($A40,Haver_M!$B$1:$BZ$300,MATCH(data!AE$1,Haver_M!$B$1:$BZ$1,0),FALSE),"")</f>
        <v/>
      </c>
      <c r="AF40" t="str">
        <f>IF(ISNUMBER(VLOOKUP($A40,Haver_M!$B$1:$BZ$300,MATCH(data!AF$1,Haver_M!$B$1:$BZ$1,0),FALSE)),VLOOKUP($A40,Haver_M!$B$1:$BZ$300,MATCH(data!AF$1,Haver_M!$B$1:$BZ$1,0),FALSE),"")</f>
        <v/>
      </c>
      <c r="AG40" t="str">
        <f>IF(ISNUMBER(VLOOKUP($A40,Haver_M!$B$1:$BZ$300,MATCH(data!AG$1,Haver_M!$B$1:$BZ$1,0),FALSE)),VLOOKUP($A40,Haver_M!$B$1:$BZ$300,MATCH(data!AG$1,Haver_M!$B$1:$BZ$1,0),FALSE),"")</f>
        <v/>
      </c>
      <c r="AH40" t="str">
        <f>IF(ISNUMBER(VLOOKUP($A40,Haver_M!$B$1:$BZ$300,MATCH(data!AH$1,Haver_M!$B$1:$BZ$1,0),FALSE)),VLOOKUP($A40,Haver_M!$B$1:$BZ$300,MATCH(data!AH$1,Haver_M!$B$1:$BZ$1,0),FALSE),"")</f>
        <v/>
      </c>
      <c r="AI40">
        <f>IF(ISNUMBER(VLOOKUP($A40,Haver_M!$B$1:$BZ$300,MATCH(data!AI$1,Haver_M!$B$1:$BZ$1,0),FALSE)),VLOOKUP($A40,Haver_M!$B$1:$BZ$300,MATCH(data!AI$1,Haver_M!$B$1:$BZ$1,0),FALSE),"")</f>
        <v>8297.068579535915</v>
      </c>
      <c r="AJ40">
        <f>IF(ISNUMBER(VLOOKUP($A40,Haver_M!$B$1:$BZ$300,MATCH(data!AJ$1,Haver_M!$B$1:$BZ$1,0),FALSE)),VLOOKUP($A40,Haver_M!$B$1:$BZ$300,MATCH(data!AJ$1,Haver_M!$B$1:$BZ$1,0),FALSE),"")</f>
        <v>4345.51</v>
      </c>
      <c r="AK40">
        <f>IF(ISNUMBER(VLOOKUP($A40,Haver_M!$B$1:$BZ$300,MATCH(data!AK$1,Haver_M!$B$1:$BZ$1,0),FALSE)),VLOOKUP($A40,Haver_M!$B$1:$BZ$300,MATCH(data!AK$1,Haver_M!$B$1:$BZ$1,0),FALSE),"")</f>
        <v>5494.91</v>
      </c>
      <c r="AL40" t="str">
        <f>IF(ISNUMBER(VLOOKUP($A40,Haver_M!$B$1:$BZ$300,MATCH(data!AL$1,Haver_M!$B$1:$BZ$1,0),FALSE)),VLOOKUP($A40,Haver_M!$B$1:$BZ$300,MATCH(data!AL$1,Haver_M!$B$1:$BZ$1,0),FALSE),"")</f>
        <v/>
      </c>
      <c r="AM40" t="str">
        <f>IF(ISNUMBER(VLOOKUP($A40,Haver_M!$B$1:$BZ$300,MATCH(data!AM$1,Haver_M!$B$1:$BZ$1,0),FALSE)),VLOOKUP($A40,Haver_M!$B$1:$BZ$300,MATCH(data!AM$1,Haver_M!$B$1:$BZ$1,0),FALSE),"")</f>
        <v/>
      </c>
      <c r="AN40" t="str">
        <f>IF(ISNUMBER(VLOOKUP($A40,Haver_M!$B$1:$BZ$300,MATCH(data!AN$1,Haver_M!$B$1:$BZ$1,0),FALSE)),VLOOKUP($A40,Haver_M!$B$1:$BZ$300,MATCH(data!AN$1,Haver_M!$B$1:$BZ$1,0),FALSE),"")</f>
        <v/>
      </c>
      <c r="AO40" t="str">
        <f>IF(ISNUMBER(VLOOKUP($A40,Haver_M!$B$1:$BZ$300,MATCH(data!AO$1,Haver_M!$B$1:$BZ$1,0),FALSE)),VLOOKUP($A40,Haver_M!$B$1:$BZ$300,MATCH(data!AO$1,Haver_M!$B$1:$BZ$1,0),FALSE),"")</f>
        <v/>
      </c>
      <c r="AP40">
        <f>IF(ISNUMBER(VLOOKUP($A40,Haver_M!$B$1:$BZ$300,MATCH(data!AP$1,Haver_M!$B$1:$BZ$1,0),FALSE)),VLOOKUP($A40,Haver_M!$B$1:$BZ$300,MATCH(data!AP$1,Haver_M!$B$1:$BZ$1,0),FALSE),"")</f>
        <v>121.60900628745031</v>
      </c>
      <c r="AQ40" t="str">
        <f>IF(ISNUMBER(VLOOKUP($A40,Haver_M!$B$1:$BZ$300,MATCH(data!AQ$1,Haver_M!$B$1:$BZ$1,0),FALSE)),VLOOKUP($A40,Haver_M!$B$1:$BZ$300,MATCH(data!AQ$1,Haver_M!$B$1:$BZ$1,0),FALSE),"")</f>
        <v/>
      </c>
      <c r="AR40" t="str">
        <f>IF(ISNUMBER(VLOOKUP($A40,Haver_M!$B$1:$BZ$300,MATCH(data!AR$1,Haver_M!$B$1:$BZ$1,0),FALSE)),VLOOKUP($A40,Haver_M!$B$1:$BZ$300,MATCH(data!AR$1,Haver_M!$B$1:$BZ$1,0),FALSE),"")</f>
        <v/>
      </c>
      <c r="AS40" t="str">
        <f>IF(ISNUMBER(VLOOKUP($A40,Haver_M!$B$1:$BZ$300,MATCH(data!AS$1,Haver_M!$B$1:$BZ$1,0),FALSE)),VLOOKUP($A40,Haver_M!$B$1:$BZ$300,MATCH(data!AS$1,Haver_M!$B$1:$BZ$1,0),FALSE),"")</f>
        <v/>
      </c>
      <c r="AT40" t="str">
        <f>IF(ISNUMBER(VLOOKUP($A40,Haver_M!$B$1:$BZ$300,MATCH(data!AT$1,Haver_M!$B$1:$BZ$1,0),FALSE)),VLOOKUP($A40,Haver_M!$B$1:$BZ$300,MATCH(data!AT$1,Haver_M!$B$1:$BZ$1,0),FALSE),"")</f>
        <v/>
      </c>
      <c r="AU40" t="str">
        <f>IF(ISNUMBER(VLOOKUP($A40,Haver_M!$B$1:$BZ$300,MATCH(data!AU$1,Haver_M!$B$1:$BZ$1,0),FALSE)),VLOOKUP($A40,Haver_M!$B$1:$BZ$300,MATCH(data!AU$1,Haver_M!$B$1:$BZ$1,0),FALSE),"")</f>
        <v/>
      </c>
      <c r="AV40" t="str">
        <f>IF(ISNUMBER(VLOOKUP($A40,Haver_M!$B$1:$BZ$300,MATCH(data!AV$1,Haver_M!$B$1:$BZ$1,0),FALSE)),VLOOKUP($A40,Haver_M!$B$1:$BZ$300,MATCH(data!AV$1,Haver_M!$B$1:$BZ$1,0),FALSE),"")</f>
        <v/>
      </c>
      <c r="AW40" t="str">
        <f>IF(ISNUMBER(VLOOKUP($A40,Haver_M!$B$1:$BZ$300,MATCH(data!AW$1,Haver_M!$B$1:$BZ$1,0),FALSE)),VLOOKUP($A40,Haver_M!$B$1:$BZ$300,MATCH(data!AW$1,Haver_M!$B$1:$BZ$1,0),FALSE),"")</f>
        <v/>
      </c>
      <c r="AX40" t="str">
        <f>IF(ISNUMBER(VLOOKUP($A40,Haver_M!$B$1:$BZ$300,MATCH(data!AX$1,Haver_M!$B$1:$BZ$1,0),FALSE)),VLOOKUP($A40,Haver_M!$B$1:$BZ$300,MATCH(data!AX$1,Haver_M!$B$1:$BZ$1,0),FALSE),"")</f>
        <v/>
      </c>
      <c r="AY40" t="str">
        <f>IF(ISNUMBER(VLOOKUP($A40,Haver_M!$B$1:$BZ$300,MATCH(data!AY$1,Haver_M!$B$1:$BZ$1,0),FALSE)),VLOOKUP($A40,Haver_M!$B$1:$BZ$300,MATCH(data!AY$1,Haver_M!$B$1:$BZ$1,0),FALSE),"")</f>
        <v/>
      </c>
      <c r="AZ40" t="str">
        <f>IF(ISNUMBER(VLOOKUP($A40,Haver_M!$B$1:$BZ$300,MATCH(data!AZ$1,Haver_M!$B$1:$BZ$1,0),FALSE)),VLOOKUP($A40,Haver_M!$B$1:$BZ$300,MATCH(data!AZ$1,Haver_M!$B$1:$BZ$1,0),FALSE),"")</f>
        <v/>
      </c>
      <c r="BA40" t="str">
        <f>IF(ISNUMBER(VLOOKUP($A40,Haver_M!$B$1:$BZ$300,MATCH(data!BA$1,Haver_M!$B$1:$BZ$1,0),FALSE)),VLOOKUP($A40,Haver_M!$B$1:$BZ$300,MATCH(data!BA$1,Haver_M!$B$1:$BZ$1,0),FALSE),"")</f>
        <v/>
      </c>
      <c r="BB40" t="str">
        <f>IF(ISNUMBER(VLOOKUP($A40,Haver_M!$B$1:$BZ$300,MATCH(data!BB$1,Haver_M!$B$1:$BZ$1,0),FALSE)),VLOOKUP($A40,Haver_M!$B$1:$BZ$300,MATCH(data!BB$1,Haver_M!$B$1:$BZ$1,0),FALSE),"")</f>
        <v/>
      </c>
      <c r="BC40" t="str">
        <f>IF(ISNUMBER(VLOOKUP($A40,Haver_M!$B$1:$BZ$300,MATCH(data!BC$1,Haver_M!$B$1:$BZ$1,0),FALSE)),VLOOKUP($A40,Haver_M!$B$1:$BZ$300,MATCH(data!BC$1,Haver_M!$B$1:$BZ$1,0),FALSE),"")</f>
        <v/>
      </c>
      <c r="BD40" t="str">
        <f>IF(ISNUMBER(VLOOKUP($A40,Haver_M!$B$1:$BZ$300,MATCH(data!BD$1,Haver_M!$B$1:$BZ$1,0),FALSE)),VLOOKUP($A40,Haver_M!$B$1:$BZ$300,MATCH(data!BD$1,Haver_M!$B$1:$BZ$1,0),FALSE),"")</f>
        <v/>
      </c>
      <c r="BE40" t="str">
        <f>IF(ISNUMBER(VLOOKUP($A40,Haver_M!$B$1:$BZ$300,MATCH(data!BE$1,Haver_M!$B$1:$BZ$1,0),FALSE)),VLOOKUP($A40,Haver_M!$B$1:$BZ$300,MATCH(data!BE$1,Haver_M!$B$1:$BZ$1,0),FALSE),"")</f>
        <v/>
      </c>
      <c r="BF40" t="str">
        <f>IF(ISNUMBER(VLOOKUP($A40,Haver_M!$B$1:$BZ$300,MATCH(data!BF$1,Haver_M!$B$1:$BZ$1,0),FALSE)),VLOOKUP($A40,Haver_M!$B$1:$BZ$300,MATCH(data!BF$1,Haver_M!$B$1:$BZ$1,0),FALSE),"")</f>
        <v/>
      </c>
      <c r="BG40" t="str">
        <f>IF(ISNUMBER(VLOOKUP($A40,Haver_M!$B$1:$BZ$300,MATCH(data!BG$1,Haver_M!$B$1:$BZ$1,0),FALSE)),VLOOKUP($A40,Haver_M!$B$1:$BZ$300,MATCH(data!BG$1,Haver_M!$B$1:$BZ$1,0),FALSE),"")</f>
        <v/>
      </c>
      <c r="BH40" t="str">
        <f>IF(ISNUMBER(VLOOKUP($A40,Haver_M!$B$1:$BZ$300,MATCH(data!BH$1,Haver_M!$B$1:$BZ$1,0),FALSE)),VLOOKUP($A40,Haver_M!$B$1:$BZ$300,MATCH(data!BH$1,Haver_M!$B$1:$BZ$1,0),FALSE),"")</f>
        <v/>
      </c>
      <c r="BI40" t="str">
        <f>IF(ISNUMBER(VLOOKUP($A40,Haver_M!$B$1:$BZ$300,MATCH(data!BI$1,Haver_M!$B$1:$BZ$1,0),FALSE)),VLOOKUP($A40,Haver_M!$B$1:$BZ$300,MATCH(data!BI$1,Haver_M!$B$1:$BZ$1,0),FALSE),"")</f>
        <v/>
      </c>
      <c r="BJ40" t="str">
        <f>IF(ISNUMBER(VLOOKUP($A40,Haver_M!$B$1:$BZ$300,MATCH(data!BJ$1,Haver_M!$B$1:$BZ$1,0),FALSE)),VLOOKUP($A40,Haver_M!$B$1:$BZ$300,MATCH(data!BJ$1,Haver_M!$B$1:$BZ$1,0),FALSE),"")</f>
        <v/>
      </c>
      <c r="BK40" t="str">
        <f>IF(ISNUMBER(VLOOKUP($A40,Haver_M!$B$1:$BZ$300,MATCH(data!BK$1,Haver_M!$B$1:$BZ$1,0),FALSE)),VLOOKUP($A40,Haver_M!$B$1:$BZ$300,MATCH(data!BK$1,Haver_M!$B$1:$BZ$1,0),FALSE),"")</f>
        <v/>
      </c>
      <c r="BL40">
        <f>IF(ISNUMBER(VLOOKUP($A40,Haver_M!$B$1:$BZ$300,MATCH(data!BL$1,Haver_M!$B$1:$BZ$1,0),FALSE)),VLOOKUP($A40,Haver_M!$B$1:$BZ$300,MATCH(data!BL$1,Haver_M!$B$1:$BZ$1,0),FALSE),"")</f>
        <v>3152.38</v>
      </c>
      <c r="BM40">
        <f>IF(ISNUMBER(VLOOKUP($A40,Haver_M!$B$1:$BZ$300,MATCH(data!BM$1,Haver_M!$B$1:$BZ$1,0),FALSE)),VLOOKUP($A40,Haver_M!$B$1:$BZ$300,MATCH(data!BM$1,Haver_M!$B$1:$BZ$1,0),FALSE),"")</f>
        <v>88.179991560000005</v>
      </c>
      <c r="BN40">
        <f>IF(ISNUMBER(VLOOKUP($A40,Haver_M!$B$1:$BZ$300,MATCH(data!BN$1,Haver_M!$B$1:$BZ$1,0),FALSE)),VLOOKUP($A40,Haver_M!$B$1:$BZ$300,MATCH(data!BN$1,Haver_M!$B$1:$BZ$1,0),FALSE),"")</f>
        <v>118.4</v>
      </c>
      <c r="BO40">
        <f>IF(ISNUMBER(VLOOKUP($A40,Haver_M!$B$1:$BZ$300,MATCH(data!BO$1,Haver_M!$B$1:$BZ$1,0),FALSE)),VLOOKUP($A40,Haver_M!$B$1:$BZ$300,MATCH(data!BO$1,Haver_M!$B$1:$BZ$1,0),FALSE),"")</f>
        <v>119.7</v>
      </c>
      <c r="BP40">
        <f>IF(ISNUMBER(VLOOKUP($A40,Haver_M!$B$1:$BZ$300,MATCH(data!BP$1,Haver_M!$B$1:$BZ$1,0),FALSE)),VLOOKUP($A40,Haver_M!$B$1:$BZ$300,MATCH(data!BP$1,Haver_M!$B$1:$BZ$1,0),FALSE),"")</f>
        <v>40.799999999999997</v>
      </c>
      <c r="BQ40" t="str">
        <f>IF(ISNUMBER(VLOOKUP($A40,Haver_M!$B$1:$BZ$300,MATCH(data!BQ$1,Haver_M!$B$1:$BZ$1,0),FALSE)),VLOOKUP($A40,Haver_M!$B$1:$BZ$300,MATCH(data!BQ$1,Haver_M!$B$1:$BZ$1,0),FALSE),"")</f>
        <v/>
      </c>
      <c r="BR40" t="str">
        <f>IF(ISNUMBER(VLOOKUP($A40,Haver_M!$B$1:$BZ$300,MATCH(data!BR$1,Haver_M!$B$1:$BZ$1,0),FALSE)),VLOOKUP($A40,Haver_M!$B$1:$BZ$300,MATCH(data!BR$1,Haver_M!$B$1:$BZ$1,0),FALSE),"")</f>
        <v/>
      </c>
      <c r="BS40" t="str">
        <f>IF(ISNUMBER(VLOOKUP($A40,Haver_M!$B$1:$BZ$300,MATCH(data!BS$1,Haver_M!$B$1:$BZ$1,0),FALSE)),VLOOKUP($A40,Haver_M!$B$1:$BZ$300,MATCH(data!BS$1,Haver_M!$B$1:$BZ$1,0),FALSE),"")</f>
        <v/>
      </c>
      <c r="BT40" t="str">
        <f>IF(ISNUMBER(VLOOKUP($A40,Haver_M!$B$1:$BZ$300,MATCH(data!BT$1,Haver_M!$B$1:$BZ$1,0),FALSE)),VLOOKUP($A40,Haver_M!$B$1:$BZ$300,MATCH(data!BT$1,Haver_M!$B$1:$BZ$1,0),FALSE),"")</f>
        <v/>
      </c>
      <c r="BU40">
        <f>IF(ISNUMBER(VLOOKUP($A40,Haver_M!$B$1:$BZ$300,MATCH(data!BU$1,Haver_M!$B$1:$BZ$1,0),FALSE)),VLOOKUP($A40,Haver_M!$B$1:$BZ$300,MATCH(data!BU$1,Haver_M!$B$1:$BZ$1,0),FALSE),"")</f>
        <v>5151</v>
      </c>
      <c r="BV40">
        <f>IF(ISNUMBER(VLOOKUP($A40,Haver_M!$B$1:$BZ$300,MATCH(data!BV$1,Haver_M!$B$1:$BZ$1,0),FALSE)),VLOOKUP($A40,Haver_M!$B$1:$BZ$300,MATCH(data!BV$1,Haver_M!$B$1:$BZ$1,0),FALSE),"")</f>
        <v>5891</v>
      </c>
      <c r="BW40">
        <f>IF(ISNUMBER(VLOOKUP($A40,Haver_M!$B$1:$BZ$300,MATCH(data!BW$1,Haver_M!$B$1:$BZ$1,0),FALSE)),VLOOKUP($A40,Haver_M!$B$1:$BZ$300,MATCH(data!BW$1,Haver_M!$B$1:$BZ$1,0),FALSE),"")</f>
        <v>47.639499999999998</v>
      </c>
      <c r="BX40">
        <f>IF(ISNUMBER(VLOOKUP($A40,Haver_M!$B$1:$BZ$300,MATCH(data!BX$1,Haver_M!$B$1:$BZ$1,0),FALSE)),VLOOKUP($A40,Haver_M!$B$1:$BZ$300,MATCH(data!BX$1,Haver_M!$B$1:$BZ$1,0),FALSE),"")</f>
        <v>32805</v>
      </c>
    </row>
    <row r="41" spans="1:76" x14ac:dyDescent="0.25">
      <c r="A41" s="2">
        <v>37741</v>
      </c>
      <c r="B41" t="str">
        <f>IF(ISNUMBER(VLOOKUP($A41,Haver_Q!$B$1:$L$185,MATCH(data!B$1,Haver_Q!$B$1:$L$1,0),FALSE)),100*(VLOOKUP($A41,Haver_Q!$B$1:$L$185,MATCH(data!B$1,Haver_Q!$B$1:$L$1,0),FALSE)),"")</f>
        <v/>
      </c>
      <c r="C41" t="str">
        <f>IF(ISNUMBER(VLOOKUP($A41,Haver_Q!$B$1:$L$185,MATCH(data!C$1,Haver_Q!$B$1:$L$1,0),FALSE)),100*(VLOOKUP($A41,Haver_Q!$B$1:$L$185,MATCH(data!C$1,Haver_Q!$B$1:$L$1,0),FALSE)),"")</f>
        <v/>
      </c>
      <c r="D41" t="str">
        <f>IF(ISNUMBER(VLOOKUP($A41,Haver_Q!$B$1:$L$185,MATCH(data!D$1,Haver_Q!$B$1:$L$1,0),FALSE)),100*(VLOOKUP($A41,Haver_Q!$B$1:$L$185,MATCH(data!D$1,Haver_Q!$B$1:$L$1,0),FALSE)),"")</f>
        <v/>
      </c>
      <c r="E41" t="str">
        <f>IF(ISNUMBER(VLOOKUP($A41,Haver_Q!$B$1:$L$185,MATCH(data!E$1,Haver_Q!$B$1:$L$1,0),FALSE)),100*(VLOOKUP($A41,Haver_Q!$B$1:$L$185,MATCH(data!E$1,Haver_Q!$B$1:$L$1,0),FALSE)),"")</f>
        <v/>
      </c>
      <c r="F41" t="str">
        <f>IF(ISNUMBER(VLOOKUP($A41,Haver_Q!$B$1:$L$185,MATCH(data!F$1,Haver_Q!$B$1:$L$1,0),FALSE)),100*(VLOOKUP($A41,Haver_Q!$B$1:$L$185,MATCH(data!F$1,Haver_Q!$B$1:$L$1,0),FALSE)),"")</f>
        <v/>
      </c>
      <c r="G41" t="str">
        <f>IF(ISNUMBER(VLOOKUP($A41,Haver_Q!$B$1:$L$185,MATCH(data!G$1,Haver_Q!$B$1:$L$1,0),FALSE)),100*(VLOOKUP($A41,Haver_Q!$B$1:$L$185,MATCH(data!G$1,Haver_Q!$B$1:$L$1,0),FALSE)),"")</f>
        <v/>
      </c>
      <c r="H41" t="str">
        <f>IF(ISNUMBER(VLOOKUP($A41,Haver_Q!$B$1:$L$185,MATCH(data!H$1,Haver_Q!$B$1:$L$1,0),FALSE)),(VLOOKUP($A41,Haver_Q!$B$1:$L$185,MATCH(data!H$1,Haver_Q!$B$1:$L$1,0),FALSE)),"")</f>
        <v/>
      </c>
      <c r="I41" t="str">
        <f>IF(ISNUMBER(VLOOKUP($A41,Haver_Q!$B$1:$L$185,MATCH(data!I$1,Haver_Q!$B$1:$L$1,0),FALSE)),100*(VLOOKUP($A41,Haver_Q!$B$1:$L$185,MATCH(data!I$1,Haver_Q!$B$1:$L$1,0),FALSE)),"")</f>
        <v/>
      </c>
      <c r="J41" s="3">
        <f>IF(ISNUMBER(Bloomberg_m!C57),Bloomberg_m!C57,"")</f>
        <v>2064</v>
      </c>
      <c r="K41" s="3" t="str">
        <f>IF(ISNUMBER(Bloomberg_m!D57),Bloomberg_m!D57,"")</f>
        <v/>
      </c>
      <c r="L41" s="3" t="str">
        <f>IF(ISNUMBER(Bloomberg_m!E57),Bloomberg_m!E57,"")</f>
        <v/>
      </c>
      <c r="M41" s="3" t="str">
        <f>IF(ISNUMBER(Bloomberg_m!F57),Bloomberg_m!F57,"")</f>
        <v/>
      </c>
      <c r="N41">
        <f>IF(ISNUMBER(VLOOKUP($A41,Haver_M!$B$1:$BZ$300,MATCH(data!N$1,Haver_M!$B$1:$BZ$1,0),FALSE)),VLOOKUP($A41,Haver_M!$B$1:$BZ$300,MATCH(data!N$1,Haver_M!$B$1:$BZ$1,0),FALSE),"")</f>
        <v>7</v>
      </c>
      <c r="O41">
        <f>IF(ISNUMBER(VLOOKUP($A41,Haver_M!$B$1:$BZ$300,MATCH(data!O$1,Haver_M!$B$1:$BZ$1,0),FALSE)),VLOOKUP($A41,Haver_M!$B$1:$BZ$300,MATCH(data!O$1,Haver_M!$B$1:$BZ$1,0),FALSE),"")</f>
        <v>5.9053000000000004</v>
      </c>
      <c r="P41">
        <f>IF(ISNUMBER(VLOOKUP($A41,Haver_M!$B$1:$BZ$300,MATCH(data!P$1,Haver_M!$B$1:$BZ$1,0),FALSE)),VLOOKUP($A41,Haver_M!$B$1:$BZ$300,MATCH(data!P$1,Haver_M!$B$1:$BZ$1,0),FALSE),"")</f>
        <v>95.296480000000003</v>
      </c>
      <c r="Q41">
        <f>IF(ISNUMBER(VLOOKUP($A41,Haver_M!$B$1:$BZ$300,MATCH(data!Q$1,Haver_M!$B$1:$BZ$1,0),FALSE)),VLOOKUP($A41,Haver_M!$B$1:$BZ$300,MATCH(data!Q$1,Haver_M!$B$1:$BZ$1,0),FALSE),"")</f>
        <v>53</v>
      </c>
      <c r="R41" t="str">
        <f>IF(ISNUMBER(VLOOKUP($A41,Haver_M!$B$1:$BZ$300,MATCH(data!R$1,Haver_M!$B$1:$BZ$1,0),FALSE)),VLOOKUP($A41,Haver_M!$B$1:$BZ$300,MATCH(data!R$1,Haver_M!$B$1:$BZ$1,0),FALSE),"")</f>
        <v/>
      </c>
      <c r="S41">
        <f>IF(ISNUMBER(VLOOKUP($A41,Haver_M!$B$1:$BZ$300,MATCH(data!S$1,Haver_M!$B$1:$BZ$1,0),FALSE)),VLOOKUP($A41,Haver_M!$B$1:$BZ$300,MATCH(data!S$1,Haver_M!$B$1:$BZ$1,0),FALSE),"")</f>
        <v>51.35</v>
      </c>
      <c r="T41">
        <f>IF(ISNUMBER(VLOOKUP($A41,Haver_M!$B$1:$BZ$300,MATCH(data!T$1,Haver_M!$B$1:$BZ$1,0),FALSE)),VLOOKUP($A41,Haver_M!$B$1:$BZ$300,MATCH(data!T$1,Haver_M!$B$1:$BZ$1,0),FALSE),"")</f>
        <v>59.64</v>
      </c>
      <c r="U41">
        <f>IF(ISNUMBER(VLOOKUP($A41,Haver_M!$B$1:$BZ$300,MATCH(data!U$1,Haver_M!$B$1:$BZ$1,0),FALSE)),VLOOKUP($A41,Haver_M!$B$1:$BZ$300,MATCH(data!U$1,Haver_M!$B$1:$BZ$1,0),FALSE),"")</f>
        <v>29.85</v>
      </c>
      <c r="V41">
        <f>IF(ISNUMBER(VLOOKUP($A41,Haver_M!$B$1:$BZ$300,MATCH(data!V$1,Haver_M!$B$1:$BZ$1,0),FALSE)),VLOOKUP($A41,Haver_M!$B$1:$BZ$300,MATCH(data!V$1,Haver_M!$B$1:$BZ$1,0),FALSE),"")</f>
        <v>61.6</v>
      </c>
      <c r="W41" t="str">
        <f>IF(ISNUMBER(VLOOKUP($A41,Haver_M!$B$1:$BZ$300,MATCH(data!W$1,Haver_M!$B$1:$BZ$1,0),FALSE)),VLOOKUP($A41,Haver_M!$B$1:$BZ$300,MATCH(data!W$1,Haver_M!$B$1:$BZ$1,0),FALSE),"")</f>
        <v/>
      </c>
      <c r="X41">
        <f>IF(ISNUMBER(VLOOKUP($A41,Haver_M!$B$1:$BZ$300,MATCH(data!X$1,Haver_M!$B$1:$BZ$1,0),FALSE)),VLOOKUP($A41,Haver_M!$B$1:$BZ$300,MATCH(data!X$1,Haver_M!$B$1:$BZ$1,0),FALSE),"")</f>
        <v>27.65</v>
      </c>
      <c r="Y41">
        <f>IF(ISNUMBER(VLOOKUP($A41,Haver_M!$B$1:$BZ$300,MATCH(data!Y$1,Haver_M!$B$1:$BZ$1,0),FALSE)),VLOOKUP($A41,Haver_M!$B$1:$BZ$300,MATCH(data!Y$1,Haver_M!$B$1:$BZ$1,0),FALSE),"")</f>
        <v>58.13</v>
      </c>
      <c r="Z41" t="str">
        <f>IF(ISNUMBER(VLOOKUP($A41,Haver_M!$B$1:$BZ$300,MATCH(data!Z$1,Haver_M!$B$1:$BZ$1,0),FALSE)),VLOOKUP($A41,Haver_M!$B$1:$BZ$300,MATCH(data!Z$1,Haver_M!$B$1:$BZ$1,0),FALSE),"")</f>
        <v/>
      </c>
      <c r="AA41" t="str">
        <f>IF(ISNUMBER(VLOOKUP($A41,Haver_M!$B$1:$BZ$300,MATCH(data!AA$1,Haver_M!$B$1:$BZ$1,0),FALSE)),VLOOKUP($A41,Haver_M!$B$1:$BZ$300,MATCH(data!AA$1,Haver_M!$B$1:$BZ$1,0),FALSE),"")</f>
        <v/>
      </c>
      <c r="AB41" t="str">
        <f>IF(ISNUMBER(VLOOKUP($A41,Haver_M!$B$1:$BZ$300,MATCH(data!AB$1,Haver_M!$B$1:$BZ$1,0),FALSE)),VLOOKUP($A41,Haver_M!$B$1:$BZ$300,MATCH(data!AB$1,Haver_M!$B$1:$BZ$1,0),FALSE),"")</f>
        <v/>
      </c>
      <c r="AC41" t="str">
        <f>IF(ISNUMBER(VLOOKUP($A41,Haver_M!$B$1:$BZ$300,MATCH(data!AC$1,Haver_M!$B$1:$BZ$1,0),FALSE)),VLOOKUP($A41,Haver_M!$B$1:$BZ$300,MATCH(data!AC$1,Haver_M!$B$1:$BZ$1,0),FALSE),"")</f>
        <v/>
      </c>
      <c r="AD41" t="str">
        <f>IF(ISNUMBER(VLOOKUP($A41,Haver_M!$B$1:$BZ$300,MATCH(data!AD$1,Haver_M!$B$1:$BZ$1,0),FALSE)),VLOOKUP($A41,Haver_M!$B$1:$BZ$300,MATCH(data!AD$1,Haver_M!$B$1:$BZ$1,0),FALSE),"")</f>
        <v/>
      </c>
      <c r="AE41" t="str">
        <f>IF(ISNUMBER(VLOOKUP($A41,Haver_M!$B$1:$BZ$300,MATCH(data!AE$1,Haver_M!$B$1:$BZ$1,0),FALSE)),VLOOKUP($A41,Haver_M!$B$1:$BZ$300,MATCH(data!AE$1,Haver_M!$B$1:$BZ$1,0),FALSE),"")</f>
        <v/>
      </c>
      <c r="AF41" t="str">
        <f>IF(ISNUMBER(VLOOKUP($A41,Haver_M!$B$1:$BZ$300,MATCH(data!AF$1,Haver_M!$B$1:$BZ$1,0),FALSE)),VLOOKUP($A41,Haver_M!$B$1:$BZ$300,MATCH(data!AF$1,Haver_M!$B$1:$BZ$1,0),FALSE),"")</f>
        <v/>
      </c>
      <c r="AG41" t="str">
        <f>IF(ISNUMBER(VLOOKUP($A41,Haver_M!$B$1:$BZ$300,MATCH(data!AG$1,Haver_M!$B$1:$BZ$1,0),FALSE)),VLOOKUP($A41,Haver_M!$B$1:$BZ$300,MATCH(data!AG$1,Haver_M!$B$1:$BZ$1,0),FALSE),"")</f>
        <v/>
      </c>
      <c r="AH41" t="str">
        <f>IF(ISNUMBER(VLOOKUP($A41,Haver_M!$B$1:$BZ$300,MATCH(data!AH$1,Haver_M!$B$1:$BZ$1,0),FALSE)),VLOOKUP($A41,Haver_M!$B$1:$BZ$300,MATCH(data!AH$1,Haver_M!$B$1:$BZ$1,0),FALSE),"")</f>
        <v/>
      </c>
      <c r="AI41">
        <f>IF(ISNUMBER(VLOOKUP($A41,Haver_M!$B$1:$BZ$300,MATCH(data!AI$1,Haver_M!$B$1:$BZ$1,0),FALSE)),VLOOKUP($A41,Haver_M!$B$1:$BZ$300,MATCH(data!AI$1,Haver_M!$B$1:$BZ$1,0),FALSE),"")</f>
        <v>7885.7275034965287</v>
      </c>
      <c r="AJ41">
        <f>IF(ISNUMBER(VLOOKUP($A41,Haver_M!$B$1:$BZ$300,MATCH(data!AJ$1,Haver_M!$B$1:$BZ$1,0),FALSE)),VLOOKUP($A41,Haver_M!$B$1:$BZ$300,MATCH(data!AJ$1,Haver_M!$B$1:$BZ$1,0),FALSE),"")</f>
        <v>4504.17</v>
      </c>
      <c r="AK41">
        <f>IF(ISNUMBER(VLOOKUP($A41,Haver_M!$B$1:$BZ$300,MATCH(data!AK$1,Haver_M!$B$1:$BZ$1,0),FALSE)),VLOOKUP($A41,Haver_M!$B$1:$BZ$300,MATCH(data!AK$1,Haver_M!$B$1:$BZ$1,0),FALSE),"")</f>
        <v>5948.33</v>
      </c>
      <c r="AL41" t="str">
        <f>IF(ISNUMBER(VLOOKUP($A41,Haver_M!$B$1:$BZ$300,MATCH(data!AL$1,Haver_M!$B$1:$BZ$1,0),FALSE)),VLOOKUP($A41,Haver_M!$B$1:$BZ$300,MATCH(data!AL$1,Haver_M!$B$1:$BZ$1,0),FALSE),"")</f>
        <v/>
      </c>
      <c r="AM41" t="str">
        <f>IF(ISNUMBER(VLOOKUP($A41,Haver_M!$B$1:$BZ$300,MATCH(data!AM$1,Haver_M!$B$1:$BZ$1,0),FALSE)),VLOOKUP($A41,Haver_M!$B$1:$BZ$300,MATCH(data!AM$1,Haver_M!$B$1:$BZ$1,0),FALSE),"")</f>
        <v/>
      </c>
      <c r="AN41" t="str">
        <f>IF(ISNUMBER(VLOOKUP($A41,Haver_M!$B$1:$BZ$300,MATCH(data!AN$1,Haver_M!$B$1:$BZ$1,0),FALSE)),VLOOKUP($A41,Haver_M!$B$1:$BZ$300,MATCH(data!AN$1,Haver_M!$B$1:$BZ$1,0),FALSE),"")</f>
        <v/>
      </c>
      <c r="AO41" t="str">
        <f>IF(ISNUMBER(VLOOKUP($A41,Haver_M!$B$1:$BZ$300,MATCH(data!AO$1,Haver_M!$B$1:$BZ$1,0),FALSE)),VLOOKUP($A41,Haver_M!$B$1:$BZ$300,MATCH(data!AO$1,Haver_M!$B$1:$BZ$1,0),FALSE),"")</f>
        <v/>
      </c>
      <c r="AP41">
        <f>IF(ISNUMBER(VLOOKUP($A41,Haver_M!$B$1:$BZ$300,MATCH(data!AP$1,Haver_M!$B$1:$BZ$1,0),FALSE)),VLOOKUP($A41,Haver_M!$B$1:$BZ$300,MATCH(data!AP$1,Haver_M!$B$1:$BZ$1,0),FALSE),"")</f>
        <v>71.505216498019692</v>
      </c>
      <c r="AQ41" t="str">
        <f>IF(ISNUMBER(VLOOKUP($A41,Haver_M!$B$1:$BZ$300,MATCH(data!AQ$1,Haver_M!$B$1:$BZ$1,0),FALSE)),VLOOKUP($A41,Haver_M!$B$1:$BZ$300,MATCH(data!AQ$1,Haver_M!$B$1:$BZ$1,0),FALSE),"")</f>
        <v/>
      </c>
      <c r="AR41" t="str">
        <f>IF(ISNUMBER(VLOOKUP($A41,Haver_M!$B$1:$BZ$300,MATCH(data!AR$1,Haver_M!$B$1:$BZ$1,0),FALSE)),VLOOKUP($A41,Haver_M!$B$1:$BZ$300,MATCH(data!AR$1,Haver_M!$B$1:$BZ$1,0),FALSE),"")</f>
        <v/>
      </c>
      <c r="AS41" t="str">
        <f>IF(ISNUMBER(VLOOKUP($A41,Haver_M!$B$1:$BZ$300,MATCH(data!AS$1,Haver_M!$B$1:$BZ$1,0),FALSE)),VLOOKUP($A41,Haver_M!$B$1:$BZ$300,MATCH(data!AS$1,Haver_M!$B$1:$BZ$1,0),FALSE),"")</f>
        <v/>
      </c>
      <c r="AT41" t="str">
        <f>IF(ISNUMBER(VLOOKUP($A41,Haver_M!$B$1:$BZ$300,MATCH(data!AT$1,Haver_M!$B$1:$BZ$1,0),FALSE)),VLOOKUP($A41,Haver_M!$B$1:$BZ$300,MATCH(data!AT$1,Haver_M!$B$1:$BZ$1,0),FALSE),"")</f>
        <v/>
      </c>
      <c r="AU41" t="str">
        <f>IF(ISNUMBER(VLOOKUP($A41,Haver_M!$B$1:$BZ$300,MATCH(data!AU$1,Haver_M!$B$1:$BZ$1,0),FALSE)),VLOOKUP($A41,Haver_M!$B$1:$BZ$300,MATCH(data!AU$1,Haver_M!$B$1:$BZ$1,0),FALSE),"")</f>
        <v/>
      </c>
      <c r="AV41" t="str">
        <f>IF(ISNUMBER(VLOOKUP($A41,Haver_M!$B$1:$BZ$300,MATCH(data!AV$1,Haver_M!$B$1:$BZ$1,0),FALSE)),VLOOKUP($A41,Haver_M!$B$1:$BZ$300,MATCH(data!AV$1,Haver_M!$B$1:$BZ$1,0),FALSE),"")</f>
        <v/>
      </c>
      <c r="AW41" t="str">
        <f>IF(ISNUMBER(VLOOKUP($A41,Haver_M!$B$1:$BZ$300,MATCH(data!AW$1,Haver_M!$B$1:$BZ$1,0),FALSE)),VLOOKUP($A41,Haver_M!$B$1:$BZ$300,MATCH(data!AW$1,Haver_M!$B$1:$BZ$1,0),FALSE),"")</f>
        <v/>
      </c>
      <c r="AX41" t="str">
        <f>IF(ISNUMBER(VLOOKUP($A41,Haver_M!$B$1:$BZ$300,MATCH(data!AX$1,Haver_M!$B$1:$BZ$1,0),FALSE)),VLOOKUP($A41,Haver_M!$B$1:$BZ$300,MATCH(data!AX$1,Haver_M!$B$1:$BZ$1,0),FALSE),"")</f>
        <v/>
      </c>
      <c r="AY41" t="str">
        <f>IF(ISNUMBER(VLOOKUP($A41,Haver_M!$B$1:$BZ$300,MATCH(data!AY$1,Haver_M!$B$1:$BZ$1,0),FALSE)),VLOOKUP($A41,Haver_M!$B$1:$BZ$300,MATCH(data!AY$1,Haver_M!$B$1:$BZ$1,0),FALSE),"")</f>
        <v/>
      </c>
      <c r="AZ41" t="str">
        <f>IF(ISNUMBER(VLOOKUP($A41,Haver_M!$B$1:$BZ$300,MATCH(data!AZ$1,Haver_M!$B$1:$BZ$1,0),FALSE)),VLOOKUP($A41,Haver_M!$B$1:$BZ$300,MATCH(data!AZ$1,Haver_M!$B$1:$BZ$1,0),FALSE),"")</f>
        <v/>
      </c>
      <c r="BA41" t="str">
        <f>IF(ISNUMBER(VLOOKUP($A41,Haver_M!$B$1:$BZ$300,MATCH(data!BA$1,Haver_M!$B$1:$BZ$1,0),FALSE)),VLOOKUP($A41,Haver_M!$B$1:$BZ$300,MATCH(data!BA$1,Haver_M!$B$1:$BZ$1,0),FALSE),"")</f>
        <v/>
      </c>
      <c r="BB41" t="str">
        <f>IF(ISNUMBER(VLOOKUP($A41,Haver_M!$B$1:$BZ$300,MATCH(data!BB$1,Haver_M!$B$1:$BZ$1,0),FALSE)),VLOOKUP($A41,Haver_M!$B$1:$BZ$300,MATCH(data!BB$1,Haver_M!$B$1:$BZ$1,0),FALSE),"")</f>
        <v/>
      </c>
      <c r="BC41" t="str">
        <f>IF(ISNUMBER(VLOOKUP($A41,Haver_M!$B$1:$BZ$300,MATCH(data!BC$1,Haver_M!$B$1:$BZ$1,0),FALSE)),VLOOKUP($A41,Haver_M!$B$1:$BZ$300,MATCH(data!BC$1,Haver_M!$B$1:$BZ$1,0),FALSE),"")</f>
        <v/>
      </c>
      <c r="BD41" t="str">
        <f>IF(ISNUMBER(VLOOKUP($A41,Haver_M!$B$1:$BZ$300,MATCH(data!BD$1,Haver_M!$B$1:$BZ$1,0),FALSE)),VLOOKUP($A41,Haver_M!$B$1:$BZ$300,MATCH(data!BD$1,Haver_M!$B$1:$BZ$1,0),FALSE),"")</f>
        <v/>
      </c>
      <c r="BE41" t="str">
        <f>IF(ISNUMBER(VLOOKUP($A41,Haver_M!$B$1:$BZ$300,MATCH(data!BE$1,Haver_M!$B$1:$BZ$1,0),FALSE)),VLOOKUP($A41,Haver_M!$B$1:$BZ$300,MATCH(data!BE$1,Haver_M!$B$1:$BZ$1,0),FALSE),"")</f>
        <v/>
      </c>
      <c r="BF41" t="str">
        <f>IF(ISNUMBER(VLOOKUP($A41,Haver_M!$B$1:$BZ$300,MATCH(data!BF$1,Haver_M!$B$1:$BZ$1,0),FALSE)),VLOOKUP($A41,Haver_M!$B$1:$BZ$300,MATCH(data!BF$1,Haver_M!$B$1:$BZ$1,0),FALSE),"")</f>
        <v/>
      </c>
      <c r="BG41" t="str">
        <f>IF(ISNUMBER(VLOOKUP($A41,Haver_M!$B$1:$BZ$300,MATCH(data!BG$1,Haver_M!$B$1:$BZ$1,0),FALSE)),VLOOKUP($A41,Haver_M!$B$1:$BZ$300,MATCH(data!BG$1,Haver_M!$B$1:$BZ$1,0),FALSE),"")</f>
        <v/>
      </c>
      <c r="BH41" t="str">
        <f>IF(ISNUMBER(VLOOKUP($A41,Haver_M!$B$1:$BZ$300,MATCH(data!BH$1,Haver_M!$B$1:$BZ$1,0),FALSE)),VLOOKUP($A41,Haver_M!$B$1:$BZ$300,MATCH(data!BH$1,Haver_M!$B$1:$BZ$1,0),FALSE),"")</f>
        <v/>
      </c>
      <c r="BI41" t="str">
        <f>IF(ISNUMBER(VLOOKUP($A41,Haver_M!$B$1:$BZ$300,MATCH(data!BI$1,Haver_M!$B$1:$BZ$1,0),FALSE)),VLOOKUP($A41,Haver_M!$B$1:$BZ$300,MATCH(data!BI$1,Haver_M!$B$1:$BZ$1,0),FALSE),"")</f>
        <v/>
      </c>
      <c r="BJ41" t="str">
        <f>IF(ISNUMBER(VLOOKUP($A41,Haver_M!$B$1:$BZ$300,MATCH(data!BJ$1,Haver_M!$B$1:$BZ$1,0),FALSE)),VLOOKUP($A41,Haver_M!$B$1:$BZ$300,MATCH(data!BJ$1,Haver_M!$B$1:$BZ$1,0),FALSE),"")</f>
        <v/>
      </c>
      <c r="BK41" t="str">
        <f>IF(ISNUMBER(VLOOKUP($A41,Haver_M!$B$1:$BZ$300,MATCH(data!BK$1,Haver_M!$B$1:$BZ$1,0),FALSE)),VLOOKUP($A41,Haver_M!$B$1:$BZ$300,MATCH(data!BK$1,Haver_M!$B$1:$BZ$1,0),FALSE),"")</f>
        <v/>
      </c>
      <c r="BL41">
        <f>IF(ISNUMBER(VLOOKUP($A41,Haver_M!$B$1:$BZ$300,MATCH(data!BL$1,Haver_M!$B$1:$BZ$1,0),FALSE)),VLOOKUP($A41,Haver_M!$B$1:$BZ$300,MATCH(data!BL$1,Haver_M!$B$1:$BZ$1,0),FALSE),"")</f>
        <v>3036.66</v>
      </c>
      <c r="BM41">
        <f>IF(ISNUMBER(VLOOKUP($A41,Haver_M!$B$1:$BZ$300,MATCH(data!BM$1,Haver_M!$B$1:$BZ$1,0),FALSE)),VLOOKUP($A41,Haver_M!$B$1:$BZ$300,MATCH(data!BM$1,Haver_M!$B$1:$BZ$1,0),FALSE),"")</f>
        <v>89.244445049999996</v>
      </c>
      <c r="BN41" t="str">
        <f>IF(ISNUMBER(VLOOKUP($A41,Haver_M!$B$1:$BZ$300,MATCH(data!BN$1,Haver_M!$B$1:$BZ$1,0),FALSE)),VLOOKUP($A41,Haver_M!$B$1:$BZ$300,MATCH(data!BN$1,Haver_M!$B$1:$BZ$1,0),FALSE),"")</f>
        <v/>
      </c>
      <c r="BO41" t="str">
        <f>IF(ISNUMBER(VLOOKUP($A41,Haver_M!$B$1:$BZ$300,MATCH(data!BO$1,Haver_M!$B$1:$BZ$1,0),FALSE)),VLOOKUP($A41,Haver_M!$B$1:$BZ$300,MATCH(data!BO$1,Haver_M!$B$1:$BZ$1,0),FALSE),"")</f>
        <v/>
      </c>
      <c r="BP41" t="str">
        <f>IF(ISNUMBER(VLOOKUP($A41,Haver_M!$B$1:$BZ$300,MATCH(data!BP$1,Haver_M!$B$1:$BZ$1,0),FALSE)),VLOOKUP($A41,Haver_M!$B$1:$BZ$300,MATCH(data!BP$1,Haver_M!$B$1:$BZ$1,0),FALSE),"")</f>
        <v/>
      </c>
      <c r="BQ41" t="str">
        <f>IF(ISNUMBER(VLOOKUP($A41,Haver_M!$B$1:$BZ$300,MATCH(data!BQ$1,Haver_M!$B$1:$BZ$1,0),FALSE)),VLOOKUP($A41,Haver_M!$B$1:$BZ$300,MATCH(data!BQ$1,Haver_M!$B$1:$BZ$1,0),FALSE),"")</f>
        <v/>
      </c>
      <c r="BR41" t="str">
        <f>IF(ISNUMBER(VLOOKUP($A41,Haver_M!$B$1:$BZ$300,MATCH(data!BR$1,Haver_M!$B$1:$BZ$1,0),FALSE)),VLOOKUP($A41,Haver_M!$B$1:$BZ$300,MATCH(data!BR$1,Haver_M!$B$1:$BZ$1,0),FALSE),"")</f>
        <v/>
      </c>
      <c r="BS41" t="str">
        <f>IF(ISNUMBER(VLOOKUP($A41,Haver_M!$B$1:$BZ$300,MATCH(data!BS$1,Haver_M!$B$1:$BZ$1,0),FALSE)),VLOOKUP($A41,Haver_M!$B$1:$BZ$300,MATCH(data!BS$1,Haver_M!$B$1:$BZ$1,0),FALSE),"")</f>
        <v/>
      </c>
      <c r="BT41" t="str">
        <f>IF(ISNUMBER(VLOOKUP($A41,Haver_M!$B$1:$BZ$300,MATCH(data!BT$1,Haver_M!$B$1:$BZ$1,0),FALSE)),VLOOKUP($A41,Haver_M!$B$1:$BZ$300,MATCH(data!BT$1,Haver_M!$B$1:$BZ$1,0),FALSE),"")</f>
        <v/>
      </c>
      <c r="BU41">
        <f>IF(ISNUMBER(VLOOKUP($A41,Haver_M!$B$1:$BZ$300,MATCH(data!BU$1,Haver_M!$B$1:$BZ$1,0),FALSE)),VLOOKUP($A41,Haver_M!$B$1:$BZ$300,MATCH(data!BU$1,Haver_M!$B$1:$BZ$1,0),FALSE),"")</f>
        <v>4314</v>
      </c>
      <c r="BV41">
        <f>IF(ISNUMBER(VLOOKUP($A41,Haver_M!$B$1:$BZ$300,MATCH(data!BV$1,Haver_M!$B$1:$BZ$1,0),FALSE)),VLOOKUP($A41,Haver_M!$B$1:$BZ$300,MATCH(data!BV$1,Haver_M!$B$1:$BZ$1,0),FALSE),"")</f>
        <v>5764</v>
      </c>
      <c r="BW41">
        <f>IF(ISNUMBER(VLOOKUP($A41,Haver_M!$B$1:$BZ$300,MATCH(data!BW$1,Haver_M!$B$1:$BZ$1,0),FALSE)),VLOOKUP($A41,Haver_M!$B$1:$BZ$300,MATCH(data!BW$1,Haver_M!$B$1:$BZ$1,0),FALSE),"")</f>
        <v>47.375799999999998</v>
      </c>
      <c r="BX41">
        <f>IF(ISNUMBER(VLOOKUP($A41,Haver_M!$B$1:$BZ$300,MATCH(data!BX$1,Haver_M!$B$1:$BZ$1,0),FALSE)),VLOOKUP($A41,Haver_M!$B$1:$BZ$300,MATCH(data!BX$1,Haver_M!$B$1:$BZ$1,0),FALSE),"")</f>
        <v>41335</v>
      </c>
    </row>
    <row r="42" spans="1:76" x14ac:dyDescent="0.25">
      <c r="A42" s="2">
        <v>37772</v>
      </c>
      <c r="B42" t="str">
        <f>IF(ISNUMBER(VLOOKUP($A42,Haver_Q!$B$1:$L$185,MATCH(data!B$1,Haver_Q!$B$1:$L$1,0),FALSE)),100*(VLOOKUP($A42,Haver_Q!$B$1:$L$185,MATCH(data!B$1,Haver_Q!$B$1:$L$1,0),FALSE)),"")</f>
        <v/>
      </c>
      <c r="C42" t="str">
        <f>IF(ISNUMBER(VLOOKUP($A42,Haver_Q!$B$1:$L$185,MATCH(data!C$1,Haver_Q!$B$1:$L$1,0),FALSE)),100*(VLOOKUP($A42,Haver_Q!$B$1:$L$185,MATCH(data!C$1,Haver_Q!$B$1:$L$1,0),FALSE)),"")</f>
        <v/>
      </c>
      <c r="D42" t="str">
        <f>IF(ISNUMBER(VLOOKUP($A42,Haver_Q!$B$1:$L$185,MATCH(data!D$1,Haver_Q!$B$1:$L$1,0),FALSE)),100*(VLOOKUP($A42,Haver_Q!$B$1:$L$185,MATCH(data!D$1,Haver_Q!$B$1:$L$1,0),FALSE)),"")</f>
        <v/>
      </c>
      <c r="E42" t="str">
        <f>IF(ISNUMBER(VLOOKUP($A42,Haver_Q!$B$1:$L$185,MATCH(data!E$1,Haver_Q!$B$1:$L$1,0),FALSE)),100*(VLOOKUP($A42,Haver_Q!$B$1:$L$185,MATCH(data!E$1,Haver_Q!$B$1:$L$1,0),FALSE)),"")</f>
        <v/>
      </c>
      <c r="F42" t="str">
        <f>IF(ISNUMBER(VLOOKUP($A42,Haver_Q!$B$1:$L$185,MATCH(data!F$1,Haver_Q!$B$1:$L$1,0),FALSE)),100*(VLOOKUP($A42,Haver_Q!$B$1:$L$185,MATCH(data!F$1,Haver_Q!$B$1:$L$1,0),FALSE)),"")</f>
        <v/>
      </c>
      <c r="G42" t="str">
        <f>IF(ISNUMBER(VLOOKUP($A42,Haver_Q!$B$1:$L$185,MATCH(data!G$1,Haver_Q!$B$1:$L$1,0),FALSE)),100*(VLOOKUP($A42,Haver_Q!$B$1:$L$185,MATCH(data!G$1,Haver_Q!$B$1:$L$1,0),FALSE)),"")</f>
        <v/>
      </c>
      <c r="H42" t="str">
        <f>IF(ISNUMBER(VLOOKUP($A42,Haver_Q!$B$1:$L$185,MATCH(data!H$1,Haver_Q!$B$1:$L$1,0),FALSE)),(VLOOKUP($A42,Haver_Q!$B$1:$L$185,MATCH(data!H$1,Haver_Q!$B$1:$L$1,0),FALSE)),"")</f>
        <v/>
      </c>
      <c r="I42" t="str">
        <f>IF(ISNUMBER(VLOOKUP($A42,Haver_Q!$B$1:$L$185,MATCH(data!I$1,Haver_Q!$B$1:$L$1,0),FALSE)),100*(VLOOKUP($A42,Haver_Q!$B$1:$L$185,MATCH(data!I$1,Haver_Q!$B$1:$L$1,0),FALSE)),"")</f>
        <v/>
      </c>
      <c r="J42" s="3">
        <f>IF(ISNUMBER(Bloomberg_m!C58),Bloomberg_m!C58,"")</f>
        <v>2231</v>
      </c>
      <c r="K42" s="3" t="str">
        <f>IF(ISNUMBER(Bloomberg_m!D58),Bloomberg_m!D58,"")</f>
        <v/>
      </c>
      <c r="L42" s="3" t="str">
        <f>IF(ISNUMBER(Bloomberg_m!E58),Bloomberg_m!E58,"")</f>
        <v/>
      </c>
      <c r="M42" s="3" t="str">
        <f>IF(ISNUMBER(Bloomberg_m!F58),Bloomberg_m!F58,"")</f>
        <v/>
      </c>
      <c r="N42">
        <f>IF(ISNUMBER(VLOOKUP($A42,Haver_M!$B$1:$BZ$300,MATCH(data!N$1,Haver_M!$B$1:$BZ$1,0),FALSE)),VLOOKUP($A42,Haver_M!$B$1:$BZ$300,MATCH(data!N$1,Haver_M!$B$1:$BZ$1,0),FALSE),"")</f>
        <v>7</v>
      </c>
      <c r="O42">
        <f>IF(ISNUMBER(VLOOKUP($A42,Haver_M!$B$1:$BZ$300,MATCH(data!O$1,Haver_M!$B$1:$BZ$1,0),FALSE)),VLOOKUP($A42,Haver_M!$B$1:$BZ$300,MATCH(data!O$1,Haver_M!$B$1:$BZ$1,0),FALSE),"")</f>
        <v>5.8479000000000001</v>
      </c>
      <c r="P42">
        <f>IF(ISNUMBER(VLOOKUP($A42,Haver_M!$B$1:$BZ$300,MATCH(data!P$1,Haver_M!$B$1:$BZ$1,0),FALSE)),VLOOKUP($A42,Haver_M!$B$1:$BZ$300,MATCH(data!P$1,Haver_M!$B$1:$BZ$1,0),FALSE),"")</f>
        <v>93.918599999999998</v>
      </c>
      <c r="Q42">
        <f>IF(ISNUMBER(VLOOKUP($A42,Haver_M!$B$1:$BZ$300,MATCH(data!Q$1,Haver_M!$B$1:$BZ$1,0),FALSE)),VLOOKUP($A42,Haver_M!$B$1:$BZ$300,MATCH(data!Q$1,Haver_M!$B$1:$BZ$1,0),FALSE),"")</f>
        <v>53.1</v>
      </c>
      <c r="R42" t="str">
        <f>IF(ISNUMBER(VLOOKUP($A42,Haver_M!$B$1:$BZ$300,MATCH(data!R$1,Haver_M!$B$1:$BZ$1,0),FALSE)),VLOOKUP($A42,Haver_M!$B$1:$BZ$300,MATCH(data!R$1,Haver_M!$B$1:$BZ$1,0),FALSE),"")</f>
        <v/>
      </c>
      <c r="S42">
        <f>IF(ISNUMBER(VLOOKUP($A42,Haver_M!$B$1:$BZ$300,MATCH(data!S$1,Haver_M!$B$1:$BZ$1,0),FALSE)),VLOOKUP($A42,Haver_M!$B$1:$BZ$300,MATCH(data!S$1,Haver_M!$B$1:$BZ$1,0),FALSE),"")</f>
        <v>52.17</v>
      </c>
      <c r="T42">
        <f>IF(ISNUMBER(VLOOKUP($A42,Haver_M!$B$1:$BZ$300,MATCH(data!T$1,Haver_M!$B$1:$BZ$1,0),FALSE)),VLOOKUP($A42,Haver_M!$B$1:$BZ$300,MATCH(data!T$1,Haver_M!$B$1:$BZ$1,0),FALSE),"")</f>
        <v>61.4</v>
      </c>
      <c r="U42">
        <f>IF(ISNUMBER(VLOOKUP($A42,Haver_M!$B$1:$BZ$300,MATCH(data!U$1,Haver_M!$B$1:$BZ$1,0),FALSE)),VLOOKUP($A42,Haver_M!$B$1:$BZ$300,MATCH(data!U$1,Haver_M!$B$1:$BZ$1,0),FALSE),"")</f>
        <v>30.23</v>
      </c>
      <c r="V42">
        <f>IF(ISNUMBER(VLOOKUP($A42,Haver_M!$B$1:$BZ$300,MATCH(data!V$1,Haver_M!$B$1:$BZ$1,0),FALSE)),VLOOKUP($A42,Haver_M!$B$1:$BZ$300,MATCH(data!V$1,Haver_M!$B$1:$BZ$1,0),FALSE),"")</f>
        <v>59.73</v>
      </c>
      <c r="W42" t="str">
        <f>IF(ISNUMBER(VLOOKUP($A42,Haver_M!$B$1:$BZ$300,MATCH(data!W$1,Haver_M!$B$1:$BZ$1,0),FALSE)),VLOOKUP($A42,Haver_M!$B$1:$BZ$300,MATCH(data!W$1,Haver_M!$B$1:$BZ$1,0),FALSE),"")</f>
        <v/>
      </c>
      <c r="X42">
        <f>IF(ISNUMBER(VLOOKUP($A42,Haver_M!$B$1:$BZ$300,MATCH(data!X$1,Haver_M!$B$1:$BZ$1,0),FALSE)),VLOOKUP($A42,Haver_M!$B$1:$BZ$300,MATCH(data!X$1,Haver_M!$B$1:$BZ$1,0),FALSE),"")</f>
        <v>28.19</v>
      </c>
      <c r="Y42">
        <f>IF(ISNUMBER(VLOOKUP($A42,Haver_M!$B$1:$BZ$300,MATCH(data!Y$1,Haver_M!$B$1:$BZ$1,0),FALSE)),VLOOKUP($A42,Haver_M!$B$1:$BZ$300,MATCH(data!Y$1,Haver_M!$B$1:$BZ$1,0),FALSE),"")</f>
        <v>60.42</v>
      </c>
      <c r="Z42" t="str">
        <f>IF(ISNUMBER(VLOOKUP($A42,Haver_M!$B$1:$BZ$300,MATCH(data!Z$1,Haver_M!$B$1:$BZ$1,0),FALSE)),VLOOKUP($A42,Haver_M!$B$1:$BZ$300,MATCH(data!Z$1,Haver_M!$B$1:$BZ$1,0),FALSE),"")</f>
        <v/>
      </c>
      <c r="AA42" t="str">
        <f>IF(ISNUMBER(VLOOKUP($A42,Haver_M!$B$1:$BZ$300,MATCH(data!AA$1,Haver_M!$B$1:$BZ$1,0),FALSE)),VLOOKUP($A42,Haver_M!$B$1:$BZ$300,MATCH(data!AA$1,Haver_M!$B$1:$BZ$1,0),FALSE),"")</f>
        <v/>
      </c>
      <c r="AB42" t="str">
        <f>IF(ISNUMBER(VLOOKUP($A42,Haver_M!$B$1:$BZ$300,MATCH(data!AB$1,Haver_M!$B$1:$BZ$1,0),FALSE)),VLOOKUP($A42,Haver_M!$B$1:$BZ$300,MATCH(data!AB$1,Haver_M!$B$1:$BZ$1,0),FALSE),"")</f>
        <v/>
      </c>
      <c r="AC42" t="str">
        <f>IF(ISNUMBER(VLOOKUP($A42,Haver_M!$B$1:$BZ$300,MATCH(data!AC$1,Haver_M!$B$1:$BZ$1,0),FALSE)),VLOOKUP($A42,Haver_M!$B$1:$BZ$300,MATCH(data!AC$1,Haver_M!$B$1:$BZ$1,0),FALSE),"")</f>
        <v/>
      </c>
      <c r="AD42" t="str">
        <f>IF(ISNUMBER(VLOOKUP($A42,Haver_M!$B$1:$BZ$300,MATCH(data!AD$1,Haver_M!$B$1:$BZ$1,0),FALSE)),VLOOKUP($A42,Haver_M!$B$1:$BZ$300,MATCH(data!AD$1,Haver_M!$B$1:$BZ$1,0),FALSE),"")</f>
        <v/>
      </c>
      <c r="AE42" t="str">
        <f>IF(ISNUMBER(VLOOKUP($A42,Haver_M!$B$1:$BZ$300,MATCH(data!AE$1,Haver_M!$B$1:$BZ$1,0),FALSE)),VLOOKUP($A42,Haver_M!$B$1:$BZ$300,MATCH(data!AE$1,Haver_M!$B$1:$BZ$1,0),FALSE),"")</f>
        <v/>
      </c>
      <c r="AF42" t="str">
        <f>IF(ISNUMBER(VLOOKUP($A42,Haver_M!$B$1:$BZ$300,MATCH(data!AF$1,Haver_M!$B$1:$BZ$1,0),FALSE)),VLOOKUP($A42,Haver_M!$B$1:$BZ$300,MATCH(data!AF$1,Haver_M!$B$1:$BZ$1,0),FALSE),"")</f>
        <v/>
      </c>
      <c r="AG42" t="str">
        <f>IF(ISNUMBER(VLOOKUP($A42,Haver_M!$B$1:$BZ$300,MATCH(data!AG$1,Haver_M!$B$1:$BZ$1,0),FALSE)),VLOOKUP($A42,Haver_M!$B$1:$BZ$300,MATCH(data!AG$1,Haver_M!$B$1:$BZ$1,0),FALSE),"")</f>
        <v/>
      </c>
      <c r="AH42" t="str">
        <f>IF(ISNUMBER(VLOOKUP($A42,Haver_M!$B$1:$BZ$300,MATCH(data!AH$1,Haver_M!$B$1:$BZ$1,0),FALSE)),VLOOKUP($A42,Haver_M!$B$1:$BZ$300,MATCH(data!AH$1,Haver_M!$B$1:$BZ$1,0),FALSE),"")</f>
        <v/>
      </c>
      <c r="AI42">
        <f>IF(ISNUMBER(VLOOKUP($A42,Haver_M!$B$1:$BZ$300,MATCH(data!AI$1,Haver_M!$B$1:$BZ$1,0),FALSE)),VLOOKUP($A42,Haver_M!$B$1:$BZ$300,MATCH(data!AI$1,Haver_M!$B$1:$BZ$1,0),FALSE),"")</f>
        <v>8397.473302702303</v>
      </c>
      <c r="AJ42">
        <f>IF(ISNUMBER(VLOOKUP($A42,Haver_M!$B$1:$BZ$300,MATCH(data!AJ$1,Haver_M!$B$1:$BZ$1,0),FALSE)),VLOOKUP($A42,Haver_M!$B$1:$BZ$300,MATCH(data!AJ$1,Haver_M!$B$1:$BZ$1,0),FALSE),"")</f>
        <v>4714.99</v>
      </c>
      <c r="AK42">
        <f>IF(ISNUMBER(VLOOKUP($A42,Haver_M!$B$1:$BZ$300,MATCH(data!AK$1,Haver_M!$B$1:$BZ$1,0),FALSE)),VLOOKUP($A42,Haver_M!$B$1:$BZ$300,MATCH(data!AK$1,Haver_M!$B$1:$BZ$1,0),FALSE),"")</f>
        <v>5753.22</v>
      </c>
      <c r="AL42" t="str">
        <f>IF(ISNUMBER(VLOOKUP($A42,Haver_M!$B$1:$BZ$300,MATCH(data!AL$1,Haver_M!$B$1:$BZ$1,0),FALSE)),VLOOKUP($A42,Haver_M!$B$1:$BZ$300,MATCH(data!AL$1,Haver_M!$B$1:$BZ$1,0),FALSE),"")</f>
        <v/>
      </c>
      <c r="AM42" t="str">
        <f>IF(ISNUMBER(VLOOKUP($A42,Haver_M!$B$1:$BZ$300,MATCH(data!AM$1,Haver_M!$B$1:$BZ$1,0),FALSE)),VLOOKUP($A42,Haver_M!$B$1:$BZ$300,MATCH(data!AM$1,Haver_M!$B$1:$BZ$1,0),FALSE),"")</f>
        <v/>
      </c>
      <c r="AN42" t="str">
        <f>IF(ISNUMBER(VLOOKUP($A42,Haver_M!$B$1:$BZ$300,MATCH(data!AN$1,Haver_M!$B$1:$BZ$1,0),FALSE)),VLOOKUP($A42,Haver_M!$B$1:$BZ$300,MATCH(data!AN$1,Haver_M!$B$1:$BZ$1,0),FALSE),"")</f>
        <v/>
      </c>
      <c r="AO42" t="str">
        <f>IF(ISNUMBER(VLOOKUP($A42,Haver_M!$B$1:$BZ$300,MATCH(data!AO$1,Haver_M!$B$1:$BZ$1,0),FALSE)),VLOOKUP($A42,Haver_M!$B$1:$BZ$300,MATCH(data!AO$1,Haver_M!$B$1:$BZ$1,0),FALSE),"")</f>
        <v/>
      </c>
      <c r="AP42">
        <f>IF(ISNUMBER(VLOOKUP($A42,Haver_M!$B$1:$BZ$300,MATCH(data!AP$1,Haver_M!$B$1:$BZ$1,0),FALSE)),VLOOKUP($A42,Haver_M!$B$1:$BZ$300,MATCH(data!AP$1,Haver_M!$B$1:$BZ$1,0),FALSE),"")</f>
        <v>65.926208301729147</v>
      </c>
      <c r="AQ42" t="str">
        <f>IF(ISNUMBER(VLOOKUP($A42,Haver_M!$B$1:$BZ$300,MATCH(data!AQ$1,Haver_M!$B$1:$BZ$1,0),FALSE)),VLOOKUP($A42,Haver_M!$B$1:$BZ$300,MATCH(data!AQ$1,Haver_M!$B$1:$BZ$1,0),FALSE),"")</f>
        <v/>
      </c>
      <c r="AR42" t="str">
        <f>IF(ISNUMBER(VLOOKUP($A42,Haver_M!$B$1:$BZ$300,MATCH(data!AR$1,Haver_M!$B$1:$BZ$1,0),FALSE)),VLOOKUP($A42,Haver_M!$B$1:$BZ$300,MATCH(data!AR$1,Haver_M!$B$1:$BZ$1,0),FALSE),"")</f>
        <v/>
      </c>
      <c r="AS42" t="str">
        <f>IF(ISNUMBER(VLOOKUP($A42,Haver_M!$B$1:$BZ$300,MATCH(data!AS$1,Haver_M!$B$1:$BZ$1,0),FALSE)),VLOOKUP($A42,Haver_M!$B$1:$BZ$300,MATCH(data!AS$1,Haver_M!$B$1:$BZ$1,0),FALSE),"")</f>
        <v/>
      </c>
      <c r="AT42" t="str">
        <f>IF(ISNUMBER(VLOOKUP($A42,Haver_M!$B$1:$BZ$300,MATCH(data!AT$1,Haver_M!$B$1:$BZ$1,0),FALSE)),VLOOKUP($A42,Haver_M!$B$1:$BZ$300,MATCH(data!AT$1,Haver_M!$B$1:$BZ$1,0),FALSE),"")</f>
        <v/>
      </c>
      <c r="AU42" t="str">
        <f>IF(ISNUMBER(VLOOKUP($A42,Haver_M!$B$1:$BZ$300,MATCH(data!AU$1,Haver_M!$B$1:$BZ$1,0),FALSE)),VLOOKUP($A42,Haver_M!$B$1:$BZ$300,MATCH(data!AU$1,Haver_M!$B$1:$BZ$1,0),FALSE),"")</f>
        <v/>
      </c>
      <c r="AV42" t="str">
        <f>IF(ISNUMBER(VLOOKUP($A42,Haver_M!$B$1:$BZ$300,MATCH(data!AV$1,Haver_M!$B$1:$BZ$1,0),FALSE)),VLOOKUP($A42,Haver_M!$B$1:$BZ$300,MATCH(data!AV$1,Haver_M!$B$1:$BZ$1,0),FALSE),"")</f>
        <v/>
      </c>
      <c r="AW42" t="str">
        <f>IF(ISNUMBER(VLOOKUP($A42,Haver_M!$B$1:$BZ$300,MATCH(data!AW$1,Haver_M!$B$1:$BZ$1,0),FALSE)),VLOOKUP($A42,Haver_M!$B$1:$BZ$300,MATCH(data!AW$1,Haver_M!$B$1:$BZ$1,0),FALSE),"")</f>
        <v/>
      </c>
      <c r="AX42" t="str">
        <f>IF(ISNUMBER(VLOOKUP($A42,Haver_M!$B$1:$BZ$300,MATCH(data!AX$1,Haver_M!$B$1:$BZ$1,0),FALSE)),VLOOKUP($A42,Haver_M!$B$1:$BZ$300,MATCH(data!AX$1,Haver_M!$B$1:$BZ$1,0),FALSE),"")</f>
        <v/>
      </c>
      <c r="AY42" t="str">
        <f>IF(ISNUMBER(VLOOKUP($A42,Haver_M!$B$1:$BZ$300,MATCH(data!AY$1,Haver_M!$B$1:$BZ$1,0),FALSE)),VLOOKUP($A42,Haver_M!$B$1:$BZ$300,MATCH(data!AY$1,Haver_M!$B$1:$BZ$1,0),FALSE),"")</f>
        <v/>
      </c>
      <c r="AZ42" t="str">
        <f>IF(ISNUMBER(VLOOKUP($A42,Haver_M!$B$1:$BZ$300,MATCH(data!AZ$1,Haver_M!$B$1:$BZ$1,0),FALSE)),VLOOKUP($A42,Haver_M!$B$1:$BZ$300,MATCH(data!AZ$1,Haver_M!$B$1:$BZ$1,0),FALSE),"")</f>
        <v/>
      </c>
      <c r="BA42" t="str">
        <f>IF(ISNUMBER(VLOOKUP($A42,Haver_M!$B$1:$BZ$300,MATCH(data!BA$1,Haver_M!$B$1:$BZ$1,0),FALSE)),VLOOKUP($A42,Haver_M!$B$1:$BZ$300,MATCH(data!BA$1,Haver_M!$B$1:$BZ$1,0),FALSE),"")</f>
        <v/>
      </c>
      <c r="BB42" t="str">
        <f>IF(ISNUMBER(VLOOKUP($A42,Haver_M!$B$1:$BZ$300,MATCH(data!BB$1,Haver_M!$B$1:$BZ$1,0),FALSE)),VLOOKUP($A42,Haver_M!$B$1:$BZ$300,MATCH(data!BB$1,Haver_M!$B$1:$BZ$1,0),FALSE),"")</f>
        <v/>
      </c>
      <c r="BC42" t="str">
        <f>IF(ISNUMBER(VLOOKUP($A42,Haver_M!$B$1:$BZ$300,MATCH(data!BC$1,Haver_M!$B$1:$BZ$1,0),FALSE)),VLOOKUP($A42,Haver_M!$B$1:$BZ$300,MATCH(data!BC$1,Haver_M!$B$1:$BZ$1,0),FALSE),"")</f>
        <v/>
      </c>
      <c r="BD42" t="str">
        <f>IF(ISNUMBER(VLOOKUP($A42,Haver_M!$B$1:$BZ$300,MATCH(data!BD$1,Haver_M!$B$1:$BZ$1,0),FALSE)),VLOOKUP($A42,Haver_M!$B$1:$BZ$300,MATCH(data!BD$1,Haver_M!$B$1:$BZ$1,0),FALSE),"")</f>
        <v/>
      </c>
      <c r="BE42" t="str">
        <f>IF(ISNUMBER(VLOOKUP($A42,Haver_M!$B$1:$BZ$300,MATCH(data!BE$1,Haver_M!$B$1:$BZ$1,0),FALSE)),VLOOKUP($A42,Haver_M!$B$1:$BZ$300,MATCH(data!BE$1,Haver_M!$B$1:$BZ$1,0),FALSE),"")</f>
        <v/>
      </c>
      <c r="BF42" t="str">
        <f>IF(ISNUMBER(VLOOKUP($A42,Haver_M!$B$1:$BZ$300,MATCH(data!BF$1,Haver_M!$B$1:$BZ$1,0),FALSE)),VLOOKUP($A42,Haver_M!$B$1:$BZ$300,MATCH(data!BF$1,Haver_M!$B$1:$BZ$1,0),FALSE),"")</f>
        <v/>
      </c>
      <c r="BG42" t="str">
        <f>IF(ISNUMBER(VLOOKUP($A42,Haver_M!$B$1:$BZ$300,MATCH(data!BG$1,Haver_M!$B$1:$BZ$1,0),FALSE)),VLOOKUP($A42,Haver_M!$B$1:$BZ$300,MATCH(data!BG$1,Haver_M!$B$1:$BZ$1,0),FALSE),"")</f>
        <v/>
      </c>
      <c r="BH42" t="str">
        <f>IF(ISNUMBER(VLOOKUP($A42,Haver_M!$B$1:$BZ$300,MATCH(data!BH$1,Haver_M!$B$1:$BZ$1,0),FALSE)),VLOOKUP($A42,Haver_M!$B$1:$BZ$300,MATCH(data!BH$1,Haver_M!$B$1:$BZ$1,0),FALSE),"")</f>
        <v/>
      </c>
      <c r="BI42" t="str">
        <f>IF(ISNUMBER(VLOOKUP($A42,Haver_M!$B$1:$BZ$300,MATCH(data!BI$1,Haver_M!$B$1:$BZ$1,0),FALSE)),VLOOKUP($A42,Haver_M!$B$1:$BZ$300,MATCH(data!BI$1,Haver_M!$B$1:$BZ$1,0),FALSE),"")</f>
        <v/>
      </c>
      <c r="BJ42" t="str">
        <f>IF(ISNUMBER(VLOOKUP($A42,Haver_M!$B$1:$BZ$300,MATCH(data!BJ$1,Haver_M!$B$1:$BZ$1,0),FALSE)),VLOOKUP($A42,Haver_M!$B$1:$BZ$300,MATCH(data!BJ$1,Haver_M!$B$1:$BZ$1,0),FALSE),"")</f>
        <v/>
      </c>
      <c r="BK42" t="str">
        <f>IF(ISNUMBER(VLOOKUP($A42,Haver_M!$B$1:$BZ$300,MATCH(data!BK$1,Haver_M!$B$1:$BZ$1,0),FALSE)),VLOOKUP($A42,Haver_M!$B$1:$BZ$300,MATCH(data!BK$1,Haver_M!$B$1:$BZ$1,0),FALSE),"")</f>
        <v/>
      </c>
      <c r="BL42">
        <f>IF(ISNUMBER(VLOOKUP($A42,Haver_M!$B$1:$BZ$300,MATCH(data!BL$1,Haver_M!$B$1:$BZ$1,0),FALSE)),VLOOKUP($A42,Haver_M!$B$1:$BZ$300,MATCH(data!BL$1,Haver_M!$B$1:$BZ$1,0),FALSE),"")</f>
        <v>3033.47</v>
      </c>
      <c r="BM42">
        <f>IF(ISNUMBER(VLOOKUP($A42,Haver_M!$B$1:$BZ$300,MATCH(data!BM$1,Haver_M!$B$1:$BZ$1,0),FALSE)),VLOOKUP($A42,Haver_M!$B$1:$BZ$300,MATCH(data!BM$1,Haver_M!$B$1:$BZ$1,0),FALSE),"")</f>
        <v>90.780844549999998</v>
      </c>
      <c r="BN42" t="str">
        <f>IF(ISNUMBER(VLOOKUP($A42,Haver_M!$B$1:$BZ$300,MATCH(data!BN$1,Haver_M!$B$1:$BZ$1,0),FALSE)),VLOOKUP($A42,Haver_M!$B$1:$BZ$300,MATCH(data!BN$1,Haver_M!$B$1:$BZ$1,0),FALSE),"")</f>
        <v/>
      </c>
      <c r="BO42" t="str">
        <f>IF(ISNUMBER(VLOOKUP($A42,Haver_M!$B$1:$BZ$300,MATCH(data!BO$1,Haver_M!$B$1:$BZ$1,0),FALSE)),VLOOKUP($A42,Haver_M!$B$1:$BZ$300,MATCH(data!BO$1,Haver_M!$B$1:$BZ$1,0),FALSE),"")</f>
        <v/>
      </c>
      <c r="BP42" t="str">
        <f>IF(ISNUMBER(VLOOKUP($A42,Haver_M!$B$1:$BZ$300,MATCH(data!BP$1,Haver_M!$B$1:$BZ$1,0),FALSE)),VLOOKUP($A42,Haver_M!$B$1:$BZ$300,MATCH(data!BP$1,Haver_M!$B$1:$BZ$1,0),FALSE),"")</f>
        <v/>
      </c>
      <c r="BQ42" t="str">
        <f>IF(ISNUMBER(VLOOKUP($A42,Haver_M!$B$1:$BZ$300,MATCH(data!BQ$1,Haver_M!$B$1:$BZ$1,0),FALSE)),VLOOKUP($A42,Haver_M!$B$1:$BZ$300,MATCH(data!BQ$1,Haver_M!$B$1:$BZ$1,0),FALSE),"")</f>
        <v/>
      </c>
      <c r="BR42" t="str">
        <f>IF(ISNUMBER(VLOOKUP($A42,Haver_M!$B$1:$BZ$300,MATCH(data!BR$1,Haver_M!$B$1:$BZ$1,0),FALSE)),VLOOKUP($A42,Haver_M!$B$1:$BZ$300,MATCH(data!BR$1,Haver_M!$B$1:$BZ$1,0),FALSE),"")</f>
        <v/>
      </c>
      <c r="BS42" t="str">
        <f>IF(ISNUMBER(VLOOKUP($A42,Haver_M!$B$1:$BZ$300,MATCH(data!BS$1,Haver_M!$B$1:$BZ$1,0),FALSE)),VLOOKUP($A42,Haver_M!$B$1:$BZ$300,MATCH(data!BS$1,Haver_M!$B$1:$BZ$1,0),FALSE),"")</f>
        <v/>
      </c>
      <c r="BT42" t="str">
        <f>IF(ISNUMBER(VLOOKUP($A42,Haver_M!$B$1:$BZ$300,MATCH(data!BT$1,Haver_M!$B$1:$BZ$1,0),FALSE)),VLOOKUP($A42,Haver_M!$B$1:$BZ$300,MATCH(data!BT$1,Haver_M!$B$1:$BZ$1,0),FALSE),"")</f>
        <v/>
      </c>
      <c r="BU42">
        <f>IF(ISNUMBER(VLOOKUP($A42,Haver_M!$B$1:$BZ$300,MATCH(data!BU$1,Haver_M!$B$1:$BZ$1,0),FALSE)),VLOOKUP($A42,Haver_M!$B$1:$BZ$300,MATCH(data!BU$1,Haver_M!$B$1:$BZ$1,0),FALSE),"")</f>
        <v>4696</v>
      </c>
      <c r="BV42">
        <f>IF(ISNUMBER(VLOOKUP($A42,Haver_M!$B$1:$BZ$300,MATCH(data!BV$1,Haver_M!$B$1:$BZ$1,0),FALSE)),VLOOKUP($A42,Haver_M!$B$1:$BZ$300,MATCH(data!BV$1,Haver_M!$B$1:$BZ$1,0),FALSE),"")</f>
        <v>6175</v>
      </c>
      <c r="BW42">
        <f>IF(ISNUMBER(VLOOKUP($A42,Haver_M!$B$1:$BZ$300,MATCH(data!BW$1,Haver_M!$B$1:$BZ$1,0),FALSE)),VLOOKUP($A42,Haver_M!$B$1:$BZ$300,MATCH(data!BW$1,Haver_M!$B$1:$BZ$1,0),FALSE),"")</f>
        <v>47.081600000000002</v>
      </c>
      <c r="BX42">
        <f>IF(ISNUMBER(VLOOKUP($A42,Haver_M!$B$1:$BZ$300,MATCH(data!BX$1,Haver_M!$B$1:$BZ$1,0),FALSE)),VLOOKUP($A42,Haver_M!$B$1:$BZ$300,MATCH(data!BX$1,Haver_M!$B$1:$BZ$1,0),FALSE),"")</f>
        <v>39809</v>
      </c>
    </row>
    <row r="43" spans="1:76" x14ac:dyDescent="0.25">
      <c r="A43" s="2">
        <v>37802</v>
      </c>
      <c r="B43">
        <f>IF(ISNUMBER(VLOOKUP($A43,Haver_Q!$B$1:$L$185,MATCH(data!B$1,Haver_Q!$B$1:$L$1,0),FALSE)),100*(VLOOKUP($A43,Haver_Q!$B$1:$L$185,MATCH(data!B$1,Haver_Q!$B$1:$L$1,0),FALSE)),"")</f>
        <v>11.922763987267061</v>
      </c>
      <c r="C43">
        <f>IF(ISNUMBER(VLOOKUP($A43,Haver_Q!$B$1:$L$185,MATCH(data!C$1,Haver_Q!$B$1:$L$1,0),FALSE)),100*(VLOOKUP($A43,Haver_Q!$B$1:$L$185,MATCH(data!C$1,Haver_Q!$B$1:$L$1,0),FALSE)),"")</f>
        <v>4.7997464361192899</v>
      </c>
      <c r="D43">
        <f>IF(ISNUMBER(VLOOKUP($A43,Haver_Q!$B$1:$L$185,MATCH(data!D$1,Haver_Q!$B$1:$L$1,0),FALSE)),100*(VLOOKUP($A43,Haver_Q!$B$1:$L$185,MATCH(data!D$1,Haver_Q!$B$1:$L$1,0),FALSE)),"")</f>
        <v>-5.095020461002731</v>
      </c>
      <c r="E43">
        <f>IF(ISNUMBER(VLOOKUP($A43,Haver_Q!$B$1:$L$185,MATCH(data!E$1,Haver_Q!$B$1:$L$1,0),FALSE)),100*(VLOOKUP($A43,Haver_Q!$B$1:$L$185,MATCH(data!E$1,Haver_Q!$B$1:$L$1,0),FALSE)),"")</f>
        <v>20.048911855478568</v>
      </c>
      <c r="F43">
        <f>IF(ISNUMBER(VLOOKUP($A43,Haver_Q!$B$1:$L$185,MATCH(data!F$1,Haver_Q!$B$1:$L$1,0),FALSE)),100*(VLOOKUP($A43,Haver_Q!$B$1:$L$185,MATCH(data!F$1,Haver_Q!$B$1:$L$1,0),FALSE)),"")</f>
        <v>-2.2056908737646097</v>
      </c>
      <c r="G43">
        <f>IF(ISNUMBER(VLOOKUP($A43,Haver_Q!$B$1:$L$185,MATCH(data!G$1,Haver_Q!$B$1:$L$1,0),FALSE)),100*(VLOOKUP($A43,Haver_Q!$B$1:$L$185,MATCH(data!G$1,Haver_Q!$B$1:$L$1,0),FALSE)),"")</f>
        <v>2.8894129160743187</v>
      </c>
      <c r="H43">
        <f>IF(ISNUMBER(VLOOKUP($A43,Haver_Q!$B$1:$L$185,MATCH(data!H$1,Haver_Q!$B$1:$L$1,0),FALSE)),(VLOOKUP($A43,Haver_Q!$B$1:$L$185,MATCH(data!H$1,Haver_Q!$B$1:$L$1,0),FALSE)),"")</f>
        <v>2.7005226841632526</v>
      </c>
      <c r="I43">
        <f>IF(ISNUMBER(VLOOKUP($A43,Haver_Q!$B$1:$L$185,MATCH(data!I$1,Haver_Q!$B$1:$L$1,0),FALSE)),100*(VLOOKUP($A43,Haver_Q!$B$1:$L$185,MATCH(data!I$1,Haver_Q!$B$1:$L$1,0),FALSE)),"")</f>
        <v>4.9034773660396658</v>
      </c>
      <c r="J43" s="3">
        <f>IF(ISNUMBER(Bloomberg_m!C59),Bloomberg_m!C59,"")</f>
        <v>2136</v>
      </c>
      <c r="K43" s="3" t="str">
        <f>IF(ISNUMBER(Bloomberg_m!D59),Bloomberg_m!D59,"")</f>
        <v/>
      </c>
      <c r="L43" s="3" t="str">
        <f>IF(ISNUMBER(Bloomberg_m!E59),Bloomberg_m!E59,"")</f>
        <v/>
      </c>
      <c r="M43" s="3" t="str">
        <f>IF(ISNUMBER(Bloomberg_m!F59),Bloomberg_m!F59,"")</f>
        <v/>
      </c>
      <c r="N43">
        <f>IF(ISNUMBER(VLOOKUP($A43,Haver_M!$B$1:$BZ$300,MATCH(data!N$1,Haver_M!$B$1:$BZ$1,0),FALSE)),VLOOKUP($A43,Haver_M!$B$1:$BZ$300,MATCH(data!N$1,Haver_M!$B$1:$BZ$1,0),FALSE),"")</f>
        <v>7</v>
      </c>
      <c r="O43">
        <f>IF(ISNUMBER(VLOOKUP($A43,Haver_M!$B$1:$BZ$300,MATCH(data!O$1,Haver_M!$B$1:$BZ$1,0),FALSE)),VLOOKUP($A43,Haver_M!$B$1:$BZ$300,MATCH(data!O$1,Haver_M!$B$1:$BZ$1,0),FALSE),"")</f>
        <v>5.7328999999999999</v>
      </c>
      <c r="P43">
        <f>IF(ISNUMBER(VLOOKUP($A43,Haver_M!$B$1:$BZ$300,MATCH(data!P$1,Haver_M!$B$1:$BZ$1,0),FALSE)),VLOOKUP($A43,Haver_M!$B$1:$BZ$300,MATCH(data!P$1,Haver_M!$B$1:$BZ$1,0),FALSE),"")</f>
        <v>94.330770000000001</v>
      </c>
      <c r="Q43">
        <f>IF(ISNUMBER(VLOOKUP($A43,Haver_M!$B$1:$BZ$300,MATCH(data!Q$1,Haver_M!$B$1:$BZ$1,0),FALSE)),VLOOKUP($A43,Haver_M!$B$1:$BZ$300,MATCH(data!Q$1,Haver_M!$B$1:$BZ$1,0),FALSE),"")</f>
        <v>53.2</v>
      </c>
      <c r="R43" t="str">
        <f>IF(ISNUMBER(VLOOKUP($A43,Haver_M!$B$1:$BZ$300,MATCH(data!R$1,Haver_M!$B$1:$BZ$1,0),FALSE)),VLOOKUP($A43,Haver_M!$B$1:$BZ$300,MATCH(data!R$1,Haver_M!$B$1:$BZ$1,0),FALSE),"")</f>
        <v/>
      </c>
      <c r="S43">
        <f>IF(ISNUMBER(VLOOKUP($A43,Haver_M!$B$1:$BZ$300,MATCH(data!S$1,Haver_M!$B$1:$BZ$1,0),FALSE)),VLOOKUP($A43,Haver_M!$B$1:$BZ$300,MATCH(data!S$1,Haver_M!$B$1:$BZ$1,0),FALSE),"")</f>
        <v>52.37</v>
      </c>
      <c r="T43">
        <f>IF(ISNUMBER(VLOOKUP($A43,Haver_M!$B$1:$BZ$300,MATCH(data!T$1,Haver_M!$B$1:$BZ$1,0),FALSE)),VLOOKUP($A43,Haver_M!$B$1:$BZ$300,MATCH(data!T$1,Haver_M!$B$1:$BZ$1,0),FALSE),"")</f>
        <v>61.95</v>
      </c>
      <c r="U43">
        <f>IF(ISNUMBER(VLOOKUP($A43,Haver_M!$B$1:$BZ$300,MATCH(data!U$1,Haver_M!$B$1:$BZ$1,0),FALSE)),VLOOKUP($A43,Haver_M!$B$1:$BZ$300,MATCH(data!U$1,Haver_M!$B$1:$BZ$1,0),FALSE),"")</f>
        <v>30.71</v>
      </c>
      <c r="V43">
        <f>IF(ISNUMBER(VLOOKUP($A43,Haver_M!$B$1:$BZ$300,MATCH(data!V$1,Haver_M!$B$1:$BZ$1,0),FALSE)),VLOOKUP($A43,Haver_M!$B$1:$BZ$300,MATCH(data!V$1,Haver_M!$B$1:$BZ$1,0),FALSE),"")</f>
        <v>63.7</v>
      </c>
      <c r="W43" t="str">
        <f>IF(ISNUMBER(VLOOKUP($A43,Haver_M!$B$1:$BZ$300,MATCH(data!W$1,Haver_M!$B$1:$BZ$1,0),FALSE)),VLOOKUP($A43,Haver_M!$B$1:$BZ$300,MATCH(data!W$1,Haver_M!$B$1:$BZ$1,0),FALSE),"")</f>
        <v/>
      </c>
      <c r="X43">
        <f>IF(ISNUMBER(VLOOKUP($A43,Haver_M!$B$1:$BZ$300,MATCH(data!X$1,Haver_M!$B$1:$BZ$1,0),FALSE)),VLOOKUP($A43,Haver_M!$B$1:$BZ$300,MATCH(data!X$1,Haver_M!$B$1:$BZ$1,0),FALSE),"")</f>
        <v>27.25</v>
      </c>
      <c r="Y43">
        <f>IF(ISNUMBER(VLOOKUP($A43,Haver_M!$B$1:$BZ$300,MATCH(data!Y$1,Haver_M!$B$1:$BZ$1,0),FALSE)),VLOOKUP($A43,Haver_M!$B$1:$BZ$300,MATCH(data!Y$1,Haver_M!$B$1:$BZ$1,0),FALSE),"")</f>
        <v>58.42</v>
      </c>
      <c r="Z43" t="str">
        <f>IF(ISNUMBER(VLOOKUP($A43,Haver_M!$B$1:$BZ$300,MATCH(data!Z$1,Haver_M!$B$1:$BZ$1,0),FALSE)),VLOOKUP($A43,Haver_M!$B$1:$BZ$300,MATCH(data!Z$1,Haver_M!$B$1:$BZ$1,0),FALSE),"")</f>
        <v/>
      </c>
      <c r="AA43" t="str">
        <f>IF(ISNUMBER(VLOOKUP($A43,Haver_M!$B$1:$BZ$300,MATCH(data!AA$1,Haver_M!$B$1:$BZ$1,0),FALSE)),VLOOKUP($A43,Haver_M!$B$1:$BZ$300,MATCH(data!AA$1,Haver_M!$B$1:$BZ$1,0),FALSE),"")</f>
        <v/>
      </c>
      <c r="AB43" t="str">
        <f>IF(ISNUMBER(VLOOKUP($A43,Haver_M!$B$1:$BZ$300,MATCH(data!AB$1,Haver_M!$B$1:$BZ$1,0),FALSE)),VLOOKUP($A43,Haver_M!$B$1:$BZ$300,MATCH(data!AB$1,Haver_M!$B$1:$BZ$1,0),FALSE),"")</f>
        <v/>
      </c>
      <c r="AC43" t="str">
        <f>IF(ISNUMBER(VLOOKUP($A43,Haver_M!$B$1:$BZ$300,MATCH(data!AC$1,Haver_M!$B$1:$BZ$1,0),FALSE)),VLOOKUP($A43,Haver_M!$B$1:$BZ$300,MATCH(data!AC$1,Haver_M!$B$1:$BZ$1,0),FALSE),"")</f>
        <v/>
      </c>
      <c r="AD43" t="str">
        <f>IF(ISNUMBER(VLOOKUP($A43,Haver_M!$B$1:$BZ$300,MATCH(data!AD$1,Haver_M!$B$1:$BZ$1,0),FALSE)),VLOOKUP($A43,Haver_M!$B$1:$BZ$300,MATCH(data!AD$1,Haver_M!$B$1:$BZ$1,0),FALSE),"")</f>
        <v/>
      </c>
      <c r="AE43" t="str">
        <f>IF(ISNUMBER(VLOOKUP($A43,Haver_M!$B$1:$BZ$300,MATCH(data!AE$1,Haver_M!$B$1:$BZ$1,0),FALSE)),VLOOKUP($A43,Haver_M!$B$1:$BZ$300,MATCH(data!AE$1,Haver_M!$B$1:$BZ$1,0),FALSE),"")</f>
        <v/>
      </c>
      <c r="AF43" t="str">
        <f>IF(ISNUMBER(VLOOKUP($A43,Haver_M!$B$1:$BZ$300,MATCH(data!AF$1,Haver_M!$B$1:$BZ$1,0),FALSE)),VLOOKUP($A43,Haver_M!$B$1:$BZ$300,MATCH(data!AF$1,Haver_M!$B$1:$BZ$1,0),FALSE),"")</f>
        <v/>
      </c>
      <c r="AG43" t="str">
        <f>IF(ISNUMBER(VLOOKUP($A43,Haver_M!$B$1:$BZ$300,MATCH(data!AG$1,Haver_M!$B$1:$BZ$1,0),FALSE)),VLOOKUP($A43,Haver_M!$B$1:$BZ$300,MATCH(data!AG$1,Haver_M!$B$1:$BZ$1,0),FALSE),"")</f>
        <v/>
      </c>
      <c r="AH43" t="str">
        <f>IF(ISNUMBER(VLOOKUP($A43,Haver_M!$B$1:$BZ$300,MATCH(data!AH$1,Haver_M!$B$1:$BZ$1,0),FALSE)),VLOOKUP($A43,Haver_M!$B$1:$BZ$300,MATCH(data!AH$1,Haver_M!$B$1:$BZ$1,0),FALSE),"")</f>
        <v/>
      </c>
      <c r="AI43">
        <f>IF(ISNUMBER(VLOOKUP($A43,Haver_M!$B$1:$BZ$300,MATCH(data!AI$1,Haver_M!$B$1:$BZ$1,0),FALSE)),VLOOKUP($A43,Haver_M!$B$1:$BZ$300,MATCH(data!AI$1,Haver_M!$B$1:$BZ$1,0),FALSE),"")</f>
        <v>9179.1744625048577</v>
      </c>
      <c r="AJ43">
        <f>IF(ISNUMBER(VLOOKUP($A43,Haver_M!$B$1:$BZ$300,MATCH(data!AJ$1,Haver_M!$B$1:$BZ$1,0),FALSE)),VLOOKUP($A43,Haver_M!$B$1:$BZ$300,MATCH(data!AJ$1,Haver_M!$B$1:$BZ$1,0),FALSE),"")</f>
        <v>4559.68</v>
      </c>
      <c r="AK43">
        <f>IF(ISNUMBER(VLOOKUP($A43,Haver_M!$B$1:$BZ$300,MATCH(data!AK$1,Haver_M!$B$1:$BZ$1,0),FALSE)),VLOOKUP($A43,Haver_M!$B$1:$BZ$300,MATCH(data!AK$1,Haver_M!$B$1:$BZ$1,0),FALSE),"")</f>
        <v>5959.57</v>
      </c>
      <c r="AL43" t="str">
        <f>IF(ISNUMBER(VLOOKUP($A43,Haver_M!$B$1:$BZ$300,MATCH(data!AL$1,Haver_M!$B$1:$BZ$1,0),FALSE)),VLOOKUP($A43,Haver_M!$B$1:$BZ$300,MATCH(data!AL$1,Haver_M!$B$1:$BZ$1,0),FALSE),"")</f>
        <v/>
      </c>
      <c r="AM43" t="str">
        <f>IF(ISNUMBER(VLOOKUP($A43,Haver_M!$B$1:$BZ$300,MATCH(data!AM$1,Haver_M!$B$1:$BZ$1,0),FALSE)),VLOOKUP($A43,Haver_M!$B$1:$BZ$300,MATCH(data!AM$1,Haver_M!$B$1:$BZ$1,0),FALSE),"")</f>
        <v/>
      </c>
      <c r="AN43" t="str">
        <f>IF(ISNUMBER(VLOOKUP($A43,Haver_M!$B$1:$BZ$300,MATCH(data!AN$1,Haver_M!$B$1:$BZ$1,0),FALSE)),VLOOKUP($A43,Haver_M!$B$1:$BZ$300,MATCH(data!AN$1,Haver_M!$B$1:$BZ$1,0),FALSE),"")</f>
        <v/>
      </c>
      <c r="AO43" t="str">
        <f>IF(ISNUMBER(VLOOKUP($A43,Haver_M!$B$1:$BZ$300,MATCH(data!AO$1,Haver_M!$B$1:$BZ$1,0),FALSE)),VLOOKUP($A43,Haver_M!$B$1:$BZ$300,MATCH(data!AO$1,Haver_M!$B$1:$BZ$1,0),FALSE),"")</f>
        <v/>
      </c>
      <c r="AP43">
        <f>IF(ISNUMBER(VLOOKUP($A43,Haver_M!$B$1:$BZ$300,MATCH(data!AP$1,Haver_M!$B$1:$BZ$1,0),FALSE)),VLOOKUP($A43,Haver_M!$B$1:$BZ$300,MATCH(data!AP$1,Haver_M!$B$1:$BZ$1,0),FALSE),"")</f>
        <v>62.271238960905031</v>
      </c>
      <c r="AQ43" t="str">
        <f>IF(ISNUMBER(VLOOKUP($A43,Haver_M!$B$1:$BZ$300,MATCH(data!AQ$1,Haver_M!$B$1:$BZ$1,0),FALSE)),VLOOKUP($A43,Haver_M!$B$1:$BZ$300,MATCH(data!AQ$1,Haver_M!$B$1:$BZ$1,0),FALSE),"")</f>
        <v/>
      </c>
      <c r="AR43" t="str">
        <f>IF(ISNUMBER(VLOOKUP($A43,Haver_M!$B$1:$BZ$300,MATCH(data!AR$1,Haver_M!$B$1:$BZ$1,0),FALSE)),VLOOKUP($A43,Haver_M!$B$1:$BZ$300,MATCH(data!AR$1,Haver_M!$B$1:$BZ$1,0),FALSE),"")</f>
        <v/>
      </c>
      <c r="AS43" t="str">
        <f>IF(ISNUMBER(VLOOKUP($A43,Haver_M!$B$1:$BZ$300,MATCH(data!AS$1,Haver_M!$B$1:$BZ$1,0),FALSE)),VLOOKUP($A43,Haver_M!$B$1:$BZ$300,MATCH(data!AS$1,Haver_M!$B$1:$BZ$1,0),FALSE),"")</f>
        <v/>
      </c>
      <c r="AT43" t="str">
        <f>IF(ISNUMBER(VLOOKUP($A43,Haver_M!$B$1:$BZ$300,MATCH(data!AT$1,Haver_M!$B$1:$BZ$1,0),FALSE)),VLOOKUP($A43,Haver_M!$B$1:$BZ$300,MATCH(data!AT$1,Haver_M!$B$1:$BZ$1,0),FALSE),"")</f>
        <v/>
      </c>
      <c r="AU43" t="str">
        <f>IF(ISNUMBER(VLOOKUP($A43,Haver_M!$B$1:$BZ$300,MATCH(data!AU$1,Haver_M!$B$1:$BZ$1,0),FALSE)),VLOOKUP($A43,Haver_M!$B$1:$BZ$300,MATCH(data!AU$1,Haver_M!$B$1:$BZ$1,0),FALSE),"")</f>
        <v/>
      </c>
      <c r="AV43" t="str">
        <f>IF(ISNUMBER(VLOOKUP($A43,Haver_M!$B$1:$BZ$300,MATCH(data!AV$1,Haver_M!$B$1:$BZ$1,0),FALSE)),VLOOKUP($A43,Haver_M!$B$1:$BZ$300,MATCH(data!AV$1,Haver_M!$B$1:$BZ$1,0),FALSE),"")</f>
        <v/>
      </c>
      <c r="AW43" t="str">
        <f>IF(ISNUMBER(VLOOKUP($A43,Haver_M!$B$1:$BZ$300,MATCH(data!AW$1,Haver_M!$B$1:$BZ$1,0),FALSE)),VLOOKUP($A43,Haver_M!$B$1:$BZ$300,MATCH(data!AW$1,Haver_M!$B$1:$BZ$1,0),FALSE),"")</f>
        <v/>
      </c>
      <c r="AX43" t="str">
        <f>IF(ISNUMBER(VLOOKUP($A43,Haver_M!$B$1:$BZ$300,MATCH(data!AX$1,Haver_M!$B$1:$BZ$1,0),FALSE)),VLOOKUP($A43,Haver_M!$B$1:$BZ$300,MATCH(data!AX$1,Haver_M!$B$1:$BZ$1,0),FALSE),"")</f>
        <v/>
      </c>
      <c r="AY43" t="str">
        <f>IF(ISNUMBER(VLOOKUP($A43,Haver_M!$B$1:$BZ$300,MATCH(data!AY$1,Haver_M!$B$1:$BZ$1,0),FALSE)),VLOOKUP($A43,Haver_M!$B$1:$BZ$300,MATCH(data!AY$1,Haver_M!$B$1:$BZ$1,0),FALSE),"")</f>
        <v/>
      </c>
      <c r="AZ43" t="str">
        <f>IF(ISNUMBER(VLOOKUP($A43,Haver_M!$B$1:$BZ$300,MATCH(data!AZ$1,Haver_M!$B$1:$BZ$1,0),FALSE)),VLOOKUP($A43,Haver_M!$B$1:$BZ$300,MATCH(data!AZ$1,Haver_M!$B$1:$BZ$1,0),FALSE),"")</f>
        <v/>
      </c>
      <c r="BA43" t="str">
        <f>IF(ISNUMBER(VLOOKUP($A43,Haver_M!$B$1:$BZ$300,MATCH(data!BA$1,Haver_M!$B$1:$BZ$1,0),FALSE)),VLOOKUP($A43,Haver_M!$B$1:$BZ$300,MATCH(data!BA$1,Haver_M!$B$1:$BZ$1,0),FALSE),"")</f>
        <v/>
      </c>
      <c r="BB43" t="str">
        <f>IF(ISNUMBER(VLOOKUP($A43,Haver_M!$B$1:$BZ$300,MATCH(data!BB$1,Haver_M!$B$1:$BZ$1,0),FALSE)),VLOOKUP($A43,Haver_M!$B$1:$BZ$300,MATCH(data!BB$1,Haver_M!$B$1:$BZ$1,0),FALSE),"")</f>
        <v/>
      </c>
      <c r="BC43" t="str">
        <f>IF(ISNUMBER(VLOOKUP($A43,Haver_M!$B$1:$BZ$300,MATCH(data!BC$1,Haver_M!$B$1:$BZ$1,0),FALSE)),VLOOKUP($A43,Haver_M!$B$1:$BZ$300,MATCH(data!BC$1,Haver_M!$B$1:$BZ$1,0),FALSE),"")</f>
        <v/>
      </c>
      <c r="BD43" t="str">
        <f>IF(ISNUMBER(VLOOKUP($A43,Haver_M!$B$1:$BZ$300,MATCH(data!BD$1,Haver_M!$B$1:$BZ$1,0),FALSE)),VLOOKUP($A43,Haver_M!$B$1:$BZ$300,MATCH(data!BD$1,Haver_M!$B$1:$BZ$1,0),FALSE),"")</f>
        <v/>
      </c>
      <c r="BE43" t="str">
        <f>IF(ISNUMBER(VLOOKUP($A43,Haver_M!$B$1:$BZ$300,MATCH(data!BE$1,Haver_M!$B$1:$BZ$1,0),FALSE)),VLOOKUP($A43,Haver_M!$B$1:$BZ$300,MATCH(data!BE$1,Haver_M!$B$1:$BZ$1,0),FALSE),"")</f>
        <v/>
      </c>
      <c r="BF43" t="str">
        <f>IF(ISNUMBER(VLOOKUP($A43,Haver_M!$B$1:$BZ$300,MATCH(data!BF$1,Haver_M!$B$1:$BZ$1,0),FALSE)),VLOOKUP($A43,Haver_M!$B$1:$BZ$300,MATCH(data!BF$1,Haver_M!$B$1:$BZ$1,0),FALSE),"")</f>
        <v/>
      </c>
      <c r="BG43" t="str">
        <f>IF(ISNUMBER(VLOOKUP($A43,Haver_M!$B$1:$BZ$300,MATCH(data!BG$1,Haver_M!$B$1:$BZ$1,0),FALSE)),VLOOKUP($A43,Haver_M!$B$1:$BZ$300,MATCH(data!BG$1,Haver_M!$B$1:$BZ$1,0),FALSE),"")</f>
        <v/>
      </c>
      <c r="BH43" t="str">
        <f>IF(ISNUMBER(VLOOKUP($A43,Haver_M!$B$1:$BZ$300,MATCH(data!BH$1,Haver_M!$B$1:$BZ$1,0),FALSE)),VLOOKUP($A43,Haver_M!$B$1:$BZ$300,MATCH(data!BH$1,Haver_M!$B$1:$BZ$1,0),FALSE),"")</f>
        <v/>
      </c>
      <c r="BI43" t="str">
        <f>IF(ISNUMBER(VLOOKUP($A43,Haver_M!$B$1:$BZ$300,MATCH(data!BI$1,Haver_M!$B$1:$BZ$1,0),FALSE)),VLOOKUP($A43,Haver_M!$B$1:$BZ$300,MATCH(data!BI$1,Haver_M!$B$1:$BZ$1,0),FALSE),"")</f>
        <v/>
      </c>
      <c r="BJ43" t="str">
        <f>IF(ISNUMBER(VLOOKUP($A43,Haver_M!$B$1:$BZ$300,MATCH(data!BJ$1,Haver_M!$B$1:$BZ$1,0),FALSE)),VLOOKUP($A43,Haver_M!$B$1:$BZ$300,MATCH(data!BJ$1,Haver_M!$B$1:$BZ$1,0),FALSE),"")</f>
        <v/>
      </c>
      <c r="BK43" t="str">
        <f>IF(ISNUMBER(VLOOKUP($A43,Haver_M!$B$1:$BZ$300,MATCH(data!BK$1,Haver_M!$B$1:$BZ$1,0),FALSE)),VLOOKUP($A43,Haver_M!$B$1:$BZ$300,MATCH(data!BK$1,Haver_M!$B$1:$BZ$1,0),FALSE),"")</f>
        <v/>
      </c>
      <c r="BL43">
        <f>IF(ISNUMBER(VLOOKUP($A43,Haver_M!$B$1:$BZ$300,MATCH(data!BL$1,Haver_M!$B$1:$BZ$1,0),FALSE)),VLOOKUP($A43,Haver_M!$B$1:$BZ$300,MATCH(data!BL$1,Haver_M!$B$1:$BZ$1,0),FALSE),"")</f>
        <v>3386.89</v>
      </c>
      <c r="BM43">
        <f>IF(ISNUMBER(VLOOKUP($A43,Haver_M!$B$1:$BZ$300,MATCH(data!BM$1,Haver_M!$B$1:$BZ$1,0),FALSE)),VLOOKUP($A43,Haver_M!$B$1:$BZ$300,MATCH(data!BM$1,Haver_M!$B$1:$BZ$1,0),FALSE),"")</f>
        <v>92.21391758</v>
      </c>
      <c r="BN43">
        <f>IF(ISNUMBER(VLOOKUP($A43,Haver_M!$B$1:$BZ$300,MATCH(data!BN$1,Haver_M!$B$1:$BZ$1,0),FALSE)),VLOOKUP($A43,Haver_M!$B$1:$BZ$300,MATCH(data!BN$1,Haver_M!$B$1:$BZ$1,0),FALSE),"")</f>
        <v>109.8</v>
      </c>
      <c r="BO43">
        <f>IF(ISNUMBER(VLOOKUP($A43,Haver_M!$B$1:$BZ$300,MATCH(data!BO$1,Haver_M!$B$1:$BZ$1,0),FALSE)),VLOOKUP($A43,Haver_M!$B$1:$BZ$300,MATCH(data!BO$1,Haver_M!$B$1:$BZ$1,0),FALSE),"")</f>
        <v>117.8</v>
      </c>
      <c r="BP43">
        <f>IF(ISNUMBER(VLOOKUP($A43,Haver_M!$B$1:$BZ$300,MATCH(data!BP$1,Haver_M!$B$1:$BZ$1,0),FALSE)),VLOOKUP($A43,Haver_M!$B$1:$BZ$300,MATCH(data!BP$1,Haver_M!$B$1:$BZ$1,0),FALSE),"")</f>
        <v>36</v>
      </c>
      <c r="BQ43" t="str">
        <f>IF(ISNUMBER(VLOOKUP($A43,Haver_M!$B$1:$BZ$300,MATCH(data!BQ$1,Haver_M!$B$1:$BZ$1,0),FALSE)),VLOOKUP($A43,Haver_M!$B$1:$BZ$300,MATCH(data!BQ$1,Haver_M!$B$1:$BZ$1,0),FALSE),"")</f>
        <v/>
      </c>
      <c r="BR43" t="str">
        <f>IF(ISNUMBER(VLOOKUP($A43,Haver_M!$B$1:$BZ$300,MATCH(data!BR$1,Haver_M!$B$1:$BZ$1,0),FALSE)),VLOOKUP($A43,Haver_M!$B$1:$BZ$300,MATCH(data!BR$1,Haver_M!$B$1:$BZ$1,0),FALSE),"")</f>
        <v/>
      </c>
      <c r="BS43" t="str">
        <f>IF(ISNUMBER(VLOOKUP($A43,Haver_M!$B$1:$BZ$300,MATCH(data!BS$1,Haver_M!$B$1:$BZ$1,0),FALSE)),VLOOKUP($A43,Haver_M!$B$1:$BZ$300,MATCH(data!BS$1,Haver_M!$B$1:$BZ$1,0),FALSE),"")</f>
        <v/>
      </c>
      <c r="BT43" t="str">
        <f>IF(ISNUMBER(VLOOKUP($A43,Haver_M!$B$1:$BZ$300,MATCH(data!BT$1,Haver_M!$B$1:$BZ$1,0),FALSE)),VLOOKUP($A43,Haver_M!$B$1:$BZ$300,MATCH(data!BT$1,Haver_M!$B$1:$BZ$1,0),FALSE),"")</f>
        <v/>
      </c>
      <c r="BU43">
        <f>IF(ISNUMBER(VLOOKUP($A43,Haver_M!$B$1:$BZ$300,MATCH(data!BU$1,Haver_M!$B$1:$BZ$1,0),FALSE)),VLOOKUP($A43,Haver_M!$B$1:$BZ$300,MATCH(data!BU$1,Haver_M!$B$1:$BZ$1,0),FALSE),"")</f>
        <v>4398</v>
      </c>
      <c r="BV43">
        <f>IF(ISNUMBER(VLOOKUP($A43,Haver_M!$B$1:$BZ$300,MATCH(data!BV$1,Haver_M!$B$1:$BZ$1,0),FALSE)),VLOOKUP($A43,Haver_M!$B$1:$BZ$300,MATCH(data!BV$1,Haver_M!$B$1:$BZ$1,0),FALSE),"")</f>
        <v>5727</v>
      </c>
      <c r="BW43">
        <f>IF(ISNUMBER(VLOOKUP($A43,Haver_M!$B$1:$BZ$300,MATCH(data!BW$1,Haver_M!$B$1:$BZ$1,0),FALSE)),VLOOKUP($A43,Haver_M!$B$1:$BZ$300,MATCH(data!BW$1,Haver_M!$B$1:$BZ$1,0),FALSE),"")</f>
        <v>46.709800000000001</v>
      </c>
      <c r="BX43">
        <f>IF(ISNUMBER(VLOOKUP($A43,Haver_M!$B$1:$BZ$300,MATCH(data!BX$1,Haver_M!$B$1:$BZ$1,0),FALSE)),VLOOKUP($A43,Haver_M!$B$1:$BZ$300,MATCH(data!BX$1,Haver_M!$B$1:$BZ$1,0),FALSE),"")</f>
        <v>35171</v>
      </c>
    </row>
    <row r="44" spans="1:76" x14ac:dyDescent="0.25">
      <c r="A44" s="2">
        <v>37833</v>
      </c>
      <c r="B44" t="str">
        <f>IF(ISNUMBER(VLOOKUP($A44,Haver_Q!$B$1:$L$185,MATCH(data!B$1,Haver_Q!$B$1:$L$1,0),FALSE)),100*(VLOOKUP($A44,Haver_Q!$B$1:$L$185,MATCH(data!B$1,Haver_Q!$B$1:$L$1,0),FALSE)),"")</f>
        <v/>
      </c>
      <c r="C44" t="str">
        <f>IF(ISNUMBER(VLOOKUP($A44,Haver_Q!$B$1:$L$185,MATCH(data!C$1,Haver_Q!$B$1:$L$1,0),FALSE)),100*(VLOOKUP($A44,Haver_Q!$B$1:$L$185,MATCH(data!C$1,Haver_Q!$B$1:$L$1,0),FALSE)),"")</f>
        <v/>
      </c>
      <c r="D44" t="str">
        <f>IF(ISNUMBER(VLOOKUP($A44,Haver_Q!$B$1:$L$185,MATCH(data!D$1,Haver_Q!$B$1:$L$1,0),FALSE)),100*(VLOOKUP($A44,Haver_Q!$B$1:$L$185,MATCH(data!D$1,Haver_Q!$B$1:$L$1,0),FALSE)),"")</f>
        <v/>
      </c>
      <c r="E44" t="str">
        <f>IF(ISNUMBER(VLOOKUP($A44,Haver_Q!$B$1:$L$185,MATCH(data!E$1,Haver_Q!$B$1:$L$1,0),FALSE)),100*(VLOOKUP($A44,Haver_Q!$B$1:$L$185,MATCH(data!E$1,Haver_Q!$B$1:$L$1,0),FALSE)),"")</f>
        <v/>
      </c>
      <c r="F44" t="str">
        <f>IF(ISNUMBER(VLOOKUP($A44,Haver_Q!$B$1:$L$185,MATCH(data!F$1,Haver_Q!$B$1:$L$1,0),FALSE)),100*(VLOOKUP($A44,Haver_Q!$B$1:$L$185,MATCH(data!F$1,Haver_Q!$B$1:$L$1,0),FALSE)),"")</f>
        <v/>
      </c>
      <c r="G44" t="str">
        <f>IF(ISNUMBER(VLOOKUP($A44,Haver_Q!$B$1:$L$185,MATCH(data!G$1,Haver_Q!$B$1:$L$1,0),FALSE)),100*(VLOOKUP($A44,Haver_Q!$B$1:$L$185,MATCH(data!G$1,Haver_Q!$B$1:$L$1,0),FALSE)),"")</f>
        <v/>
      </c>
      <c r="H44" t="str">
        <f>IF(ISNUMBER(VLOOKUP($A44,Haver_Q!$B$1:$L$185,MATCH(data!H$1,Haver_Q!$B$1:$L$1,0),FALSE)),(VLOOKUP($A44,Haver_Q!$B$1:$L$185,MATCH(data!H$1,Haver_Q!$B$1:$L$1,0),FALSE)),"")</f>
        <v/>
      </c>
      <c r="I44" t="str">
        <f>IF(ISNUMBER(VLOOKUP($A44,Haver_Q!$B$1:$L$185,MATCH(data!I$1,Haver_Q!$B$1:$L$1,0),FALSE)),100*(VLOOKUP($A44,Haver_Q!$B$1:$L$185,MATCH(data!I$1,Haver_Q!$B$1:$L$1,0),FALSE)),"")</f>
        <v/>
      </c>
      <c r="J44" s="3">
        <f>IF(ISNUMBER(Bloomberg_m!C60),Bloomberg_m!C60,"")</f>
        <v>2192</v>
      </c>
      <c r="K44" s="3" t="str">
        <f>IF(ISNUMBER(Bloomberg_m!D60),Bloomberg_m!D60,"")</f>
        <v/>
      </c>
      <c r="L44" s="3" t="str">
        <f>IF(ISNUMBER(Bloomberg_m!E60),Bloomberg_m!E60,"")</f>
        <v/>
      </c>
      <c r="M44" s="3" t="str">
        <f>IF(ISNUMBER(Bloomberg_m!F60),Bloomberg_m!F60,"")</f>
        <v/>
      </c>
      <c r="N44">
        <f>IF(ISNUMBER(VLOOKUP($A44,Haver_M!$B$1:$BZ$300,MATCH(data!N$1,Haver_M!$B$1:$BZ$1,0),FALSE)),VLOOKUP($A44,Haver_M!$B$1:$BZ$300,MATCH(data!N$1,Haver_M!$B$1:$BZ$1,0),FALSE),"")</f>
        <v>7</v>
      </c>
      <c r="O44">
        <f>IF(ISNUMBER(VLOOKUP($A44,Haver_M!$B$1:$BZ$300,MATCH(data!O$1,Haver_M!$B$1:$BZ$1,0),FALSE)),VLOOKUP($A44,Haver_M!$B$1:$BZ$300,MATCH(data!O$1,Haver_M!$B$1:$BZ$1,0),FALSE),"")</f>
        <v>5.6205999999999996</v>
      </c>
      <c r="P44">
        <f>IF(ISNUMBER(VLOOKUP($A44,Haver_M!$B$1:$BZ$300,MATCH(data!P$1,Haver_M!$B$1:$BZ$1,0),FALSE)),VLOOKUP($A44,Haver_M!$B$1:$BZ$300,MATCH(data!P$1,Haver_M!$B$1:$BZ$1,0),FALSE),"")</f>
        <v>95.994450000000001</v>
      </c>
      <c r="Q44">
        <f>IF(ISNUMBER(VLOOKUP($A44,Haver_M!$B$1:$BZ$300,MATCH(data!Q$1,Haver_M!$B$1:$BZ$1,0),FALSE)),VLOOKUP($A44,Haver_M!$B$1:$BZ$300,MATCH(data!Q$1,Haver_M!$B$1:$BZ$1,0),FALSE),"")</f>
        <v>53.7</v>
      </c>
      <c r="R44" t="str">
        <f>IF(ISNUMBER(VLOOKUP($A44,Haver_M!$B$1:$BZ$300,MATCH(data!R$1,Haver_M!$B$1:$BZ$1,0),FALSE)),VLOOKUP($A44,Haver_M!$B$1:$BZ$300,MATCH(data!R$1,Haver_M!$B$1:$BZ$1,0),FALSE),"")</f>
        <v/>
      </c>
      <c r="S44">
        <f>IF(ISNUMBER(VLOOKUP($A44,Haver_M!$B$1:$BZ$300,MATCH(data!S$1,Haver_M!$B$1:$BZ$1,0),FALSE)),VLOOKUP($A44,Haver_M!$B$1:$BZ$300,MATCH(data!S$1,Haver_M!$B$1:$BZ$1,0),FALSE),"")</f>
        <v>53.09</v>
      </c>
      <c r="T44">
        <f>IF(ISNUMBER(VLOOKUP($A44,Haver_M!$B$1:$BZ$300,MATCH(data!T$1,Haver_M!$B$1:$BZ$1,0),FALSE)),VLOOKUP($A44,Haver_M!$B$1:$BZ$300,MATCH(data!T$1,Haver_M!$B$1:$BZ$1,0),FALSE),"")</f>
        <v>61.9</v>
      </c>
      <c r="U44">
        <f>IF(ISNUMBER(VLOOKUP($A44,Haver_M!$B$1:$BZ$300,MATCH(data!U$1,Haver_M!$B$1:$BZ$1,0),FALSE)),VLOOKUP($A44,Haver_M!$B$1:$BZ$300,MATCH(data!U$1,Haver_M!$B$1:$BZ$1,0),FALSE),"")</f>
        <v>31.21</v>
      </c>
      <c r="V44">
        <f>IF(ISNUMBER(VLOOKUP($A44,Haver_M!$B$1:$BZ$300,MATCH(data!V$1,Haver_M!$B$1:$BZ$1,0),FALSE)),VLOOKUP($A44,Haver_M!$B$1:$BZ$300,MATCH(data!V$1,Haver_M!$B$1:$BZ$1,0),FALSE),"")</f>
        <v>64.89</v>
      </c>
      <c r="W44" t="str">
        <f>IF(ISNUMBER(VLOOKUP($A44,Haver_M!$B$1:$BZ$300,MATCH(data!W$1,Haver_M!$B$1:$BZ$1,0),FALSE)),VLOOKUP($A44,Haver_M!$B$1:$BZ$300,MATCH(data!W$1,Haver_M!$B$1:$BZ$1,0),FALSE),"")</f>
        <v/>
      </c>
      <c r="X44">
        <f>IF(ISNUMBER(VLOOKUP($A44,Haver_M!$B$1:$BZ$300,MATCH(data!X$1,Haver_M!$B$1:$BZ$1,0),FALSE)),VLOOKUP($A44,Haver_M!$B$1:$BZ$300,MATCH(data!X$1,Haver_M!$B$1:$BZ$1,0),FALSE),"")</f>
        <v>27.89</v>
      </c>
      <c r="Y44">
        <f>IF(ISNUMBER(VLOOKUP($A44,Haver_M!$B$1:$BZ$300,MATCH(data!Y$1,Haver_M!$B$1:$BZ$1,0),FALSE)),VLOOKUP($A44,Haver_M!$B$1:$BZ$300,MATCH(data!Y$1,Haver_M!$B$1:$BZ$1,0),FALSE),"")</f>
        <v>58.68</v>
      </c>
      <c r="Z44" t="str">
        <f>IF(ISNUMBER(VLOOKUP($A44,Haver_M!$B$1:$BZ$300,MATCH(data!Z$1,Haver_M!$B$1:$BZ$1,0),FALSE)),VLOOKUP($A44,Haver_M!$B$1:$BZ$300,MATCH(data!Z$1,Haver_M!$B$1:$BZ$1,0),FALSE),"")</f>
        <v/>
      </c>
      <c r="AA44" t="str">
        <f>IF(ISNUMBER(VLOOKUP($A44,Haver_M!$B$1:$BZ$300,MATCH(data!AA$1,Haver_M!$B$1:$BZ$1,0),FALSE)),VLOOKUP($A44,Haver_M!$B$1:$BZ$300,MATCH(data!AA$1,Haver_M!$B$1:$BZ$1,0),FALSE),"")</f>
        <v/>
      </c>
      <c r="AB44" t="str">
        <f>IF(ISNUMBER(VLOOKUP($A44,Haver_M!$B$1:$BZ$300,MATCH(data!AB$1,Haver_M!$B$1:$BZ$1,0),FALSE)),VLOOKUP($A44,Haver_M!$B$1:$BZ$300,MATCH(data!AB$1,Haver_M!$B$1:$BZ$1,0),FALSE),"")</f>
        <v/>
      </c>
      <c r="AC44" t="str">
        <f>IF(ISNUMBER(VLOOKUP($A44,Haver_M!$B$1:$BZ$300,MATCH(data!AC$1,Haver_M!$B$1:$BZ$1,0),FALSE)),VLOOKUP($A44,Haver_M!$B$1:$BZ$300,MATCH(data!AC$1,Haver_M!$B$1:$BZ$1,0),FALSE),"")</f>
        <v/>
      </c>
      <c r="AD44" t="str">
        <f>IF(ISNUMBER(VLOOKUP($A44,Haver_M!$B$1:$BZ$300,MATCH(data!AD$1,Haver_M!$B$1:$BZ$1,0),FALSE)),VLOOKUP($A44,Haver_M!$B$1:$BZ$300,MATCH(data!AD$1,Haver_M!$B$1:$BZ$1,0),FALSE),"")</f>
        <v/>
      </c>
      <c r="AE44" t="str">
        <f>IF(ISNUMBER(VLOOKUP($A44,Haver_M!$B$1:$BZ$300,MATCH(data!AE$1,Haver_M!$B$1:$BZ$1,0),FALSE)),VLOOKUP($A44,Haver_M!$B$1:$BZ$300,MATCH(data!AE$1,Haver_M!$B$1:$BZ$1,0),FALSE),"")</f>
        <v/>
      </c>
      <c r="AF44" t="str">
        <f>IF(ISNUMBER(VLOOKUP($A44,Haver_M!$B$1:$BZ$300,MATCH(data!AF$1,Haver_M!$B$1:$BZ$1,0),FALSE)),VLOOKUP($A44,Haver_M!$B$1:$BZ$300,MATCH(data!AF$1,Haver_M!$B$1:$BZ$1,0),FALSE),"")</f>
        <v/>
      </c>
      <c r="AG44" t="str">
        <f>IF(ISNUMBER(VLOOKUP($A44,Haver_M!$B$1:$BZ$300,MATCH(data!AG$1,Haver_M!$B$1:$BZ$1,0),FALSE)),VLOOKUP($A44,Haver_M!$B$1:$BZ$300,MATCH(data!AG$1,Haver_M!$B$1:$BZ$1,0),FALSE),"")</f>
        <v/>
      </c>
      <c r="AH44" t="str">
        <f>IF(ISNUMBER(VLOOKUP($A44,Haver_M!$B$1:$BZ$300,MATCH(data!AH$1,Haver_M!$B$1:$BZ$1,0),FALSE)),VLOOKUP($A44,Haver_M!$B$1:$BZ$300,MATCH(data!AH$1,Haver_M!$B$1:$BZ$1,0),FALSE),"")</f>
        <v/>
      </c>
      <c r="AI44">
        <f>IF(ISNUMBER(VLOOKUP($A44,Haver_M!$B$1:$BZ$300,MATCH(data!AI$1,Haver_M!$B$1:$BZ$1,0),FALSE)),VLOOKUP($A44,Haver_M!$B$1:$BZ$300,MATCH(data!AI$1,Haver_M!$B$1:$BZ$1,0),FALSE),"")</f>
        <v>9057.2668091084106</v>
      </c>
      <c r="AJ44">
        <f>IF(ISNUMBER(VLOOKUP($A44,Haver_M!$B$1:$BZ$300,MATCH(data!AJ$1,Haver_M!$B$1:$BZ$1,0),FALSE)),VLOOKUP($A44,Haver_M!$B$1:$BZ$300,MATCH(data!AJ$1,Haver_M!$B$1:$BZ$1,0),FALSE),"")</f>
        <v>4776.09</v>
      </c>
      <c r="AK44">
        <f>IF(ISNUMBER(VLOOKUP($A44,Haver_M!$B$1:$BZ$300,MATCH(data!AK$1,Haver_M!$B$1:$BZ$1,0),FALSE)),VLOOKUP($A44,Haver_M!$B$1:$BZ$300,MATCH(data!AK$1,Haver_M!$B$1:$BZ$1,0),FALSE),"")</f>
        <v>5803.78</v>
      </c>
      <c r="AL44" t="str">
        <f>IF(ISNUMBER(VLOOKUP($A44,Haver_M!$B$1:$BZ$300,MATCH(data!AL$1,Haver_M!$B$1:$BZ$1,0),FALSE)),VLOOKUP($A44,Haver_M!$B$1:$BZ$300,MATCH(data!AL$1,Haver_M!$B$1:$BZ$1,0),FALSE),"")</f>
        <v/>
      </c>
      <c r="AM44" t="str">
        <f>IF(ISNUMBER(VLOOKUP($A44,Haver_M!$B$1:$BZ$300,MATCH(data!AM$1,Haver_M!$B$1:$BZ$1,0),FALSE)),VLOOKUP($A44,Haver_M!$B$1:$BZ$300,MATCH(data!AM$1,Haver_M!$B$1:$BZ$1,0),FALSE),"")</f>
        <v/>
      </c>
      <c r="AN44" t="str">
        <f>IF(ISNUMBER(VLOOKUP($A44,Haver_M!$B$1:$BZ$300,MATCH(data!AN$1,Haver_M!$B$1:$BZ$1,0),FALSE)),VLOOKUP($A44,Haver_M!$B$1:$BZ$300,MATCH(data!AN$1,Haver_M!$B$1:$BZ$1,0),FALSE),"")</f>
        <v/>
      </c>
      <c r="AO44" t="str">
        <f>IF(ISNUMBER(VLOOKUP($A44,Haver_M!$B$1:$BZ$300,MATCH(data!AO$1,Haver_M!$B$1:$BZ$1,0),FALSE)),VLOOKUP($A44,Haver_M!$B$1:$BZ$300,MATCH(data!AO$1,Haver_M!$B$1:$BZ$1,0),FALSE),"")</f>
        <v/>
      </c>
      <c r="AP44">
        <f>IF(ISNUMBER(VLOOKUP($A44,Haver_M!$B$1:$BZ$300,MATCH(data!AP$1,Haver_M!$B$1:$BZ$1,0),FALSE)),VLOOKUP($A44,Haver_M!$B$1:$BZ$300,MATCH(data!AP$1,Haver_M!$B$1:$BZ$1,0),FALSE),"")</f>
        <v>61.289395382999963</v>
      </c>
      <c r="AQ44" t="str">
        <f>IF(ISNUMBER(VLOOKUP($A44,Haver_M!$B$1:$BZ$300,MATCH(data!AQ$1,Haver_M!$B$1:$BZ$1,0),FALSE)),VLOOKUP($A44,Haver_M!$B$1:$BZ$300,MATCH(data!AQ$1,Haver_M!$B$1:$BZ$1,0),FALSE),"")</f>
        <v/>
      </c>
      <c r="AR44" t="str">
        <f>IF(ISNUMBER(VLOOKUP($A44,Haver_M!$B$1:$BZ$300,MATCH(data!AR$1,Haver_M!$B$1:$BZ$1,0),FALSE)),VLOOKUP($A44,Haver_M!$B$1:$BZ$300,MATCH(data!AR$1,Haver_M!$B$1:$BZ$1,0),FALSE),"")</f>
        <v/>
      </c>
      <c r="AS44" t="str">
        <f>IF(ISNUMBER(VLOOKUP($A44,Haver_M!$B$1:$BZ$300,MATCH(data!AS$1,Haver_M!$B$1:$BZ$1,0),FALSE)),VLOOKUP($A44,Haver_M!$B$1:$BZ$300,MATCH(data!AS$1,Haver_M!$B$1:$BZ$1,0),FALSE),"")</f>
        <v/>
      </c>
      <c r="AT44" t="str">
        <f>IF(ISNUMBER(VLOOKUP($A44,Haver_M!$B$1:$BZ$300,MATCH(data!AT$1,Haver_M!$B$1:$BZ$1,0),FALSE)),VLOOKUP($A44,Haver_M!$B$1:$BZ$300,MATCH(data!AT$1,Haver_M!$B$1:$BZ$1,0),FALSE),"")</f>
        <v/>
      </c>
      <c r="AU44" t="str">
        <f>IF(ISNUMBER(VLOOKUP($A44,Haver_M!$B$1:$BZ$300,MATCH(data!AU$1,Haver_M!$B$1:$BZ$1,0),FALSE)),VLOOKUP($A44,Haver_M!$B$1:$BZ$300,MATCH(data!AU$1,Haver_M!$B$1:$BZ$1,0),FALSE),"")</f>
        <v/>
      </c>
      <c r="AV44" t="str">
        <f>IF(ISNUMBER(VLOOKUP($A44,Haver_M!$B$1:$BZ$300,MATCH(data!AV$1,Haver_M!$B$1:$BZ$1,0),FALSE)),VLOOKUP($A44,Haver_M!$B$1:$BZ$300,MATCH(data!AV$1,Haver_M!$B$1:$BZ$1,0),FALSE),"")</f>
        <v/>
      </c>
      <c r="AW44" t="str">
        <f>IF(ISNUMBER(VLOOKUP($A44,Haver_M!$B$1:$BZ$300,MATCH(data!AW$1,Haver_M!$B$1:$BZ$1,0),FALSE)),VLOOKUP($A44,Haver_M!$B$1:$BZ$300,MATCH(data!AW$1,Haver_M!$B$1:$BZ$1,0),FALSE),"")</f>
        <v/>
      </c>
      <c r="AX44" t="str">
        <f>IF(ISNUMBER(VLOOKUP($A44,Haver_M!$B$1:$BZ$300,MATCH(data!AX$1,Haver_M!$B$1:$BZ$1,0),FALSE)),VLOOKUP($A44,Haver_M!$B$1:$BZ$300,MATCH(data!AX$1,Haver_M!$B$1:$BZ$1,0),FALSE),"")</f>
        <v/>
      </c>
      <c r="AY44" t="str">
        <f>IF(ISNUMBER(VLOOKUP($A44,Haver_M!$B$1:$BZ$300,MATCH(data!AY$1,Haver_M!$B$1:$BZ$1,0),FALSE)),VLOOKUP($A44,Haver_M!$B$1:$BZ$300,MATCH(data!AY$1,Haver_M!$B$1:$BZ$1,0),FALSE),"")</f>
        <v/>
      </c>
      <c r="AZ44" t="str">
        <f>IF(ISNUMBER(VLOOKUP($A44,Haver_M!$B$1:$BZ$300,MATCH(data!AZ$1,Haver_M!$B$1:$BZ$1,0),FALSE)),VLOOKUP($A44,Haver_M!$B$1:$BZ$300,MATCH(data!AZ$1,Haver_M!$B$1:$BZ$1,0),FALSE),"")</f>
        <v/>
      </c>
      <c r="BA44" t="str">
        <f>IF(ISNUMBER(VLOOKUP($A44,Haver_M!$B$1:$BZ$300,MATCH(data!BA$1,Haver_M!$B$1:$BZ$1,0),FALSE)),VLOOKUP($A44,Haver_M!$B$1:$BZ$300,MATCH(data!BA$1,Haver_M!$B$1:$BZ$1,0),FALSE),"")</f>
        <v/>
      </c>
      <c r="BB44" t="str">
        <f>IF(ISNUMBER(VLOOKUP($A44,Haver_M!$B$1:$BZ$300,MATCH(data!BB$1,Haver_M!$B$1:$BZ$1,0),FALSE)),VLOOKUP($A44,Haver_M!$B$1:$BZ$300,MATCH(data!BB$1,Haver_M!$B$1:$BZ$1,0),FALSE),"")</f>
        <v/>
      </c>
      <c r="BC44" t="str">
        <f>IF(ISNUMBER(VLOOKUP($A44,Haver_M!$B$1:$BZ$300,MATCH(data!BC$1,Haver_M!$B$1:$BZ$1,0),FALSE)),VLOOKUP($A44,Haver_M!$B$1:$BZ$300,MATCH(data!BC$1,Haver_M!$B$1:$BZ$1,0),FALSE),"")</f>
        <v/>
      </c>
      <c r="BD44" t="str">
        <f>IF(ISNUMBER(VLOOKUP($A44,Haver_M!$B$1:$BZ$300,MATCH(data!BD$1,Haver_M!$B$1:$BZ$1,0),FALSE)),VLOOKUP($A44,Haver_M!$B$1:$BZ$300,MATCH(data!BD$1,Haver_M!$B$1:$BZ$1,0),FALSE),"")</f>
        <v/>
      </c>
      <c r="BE44" t="str">
        <f>IF(ISNUMBER(VLOOKUP($A44,Haver_M!$B$1:$BZ$300,MATCH(data!BE$1,Haver_M!$B$1:$BZ$1,0),FALSE)),VLOOKUP($A44,Haver_M!$B$1:$BZ$300,MATCH(data!BE$1,Haver_M!$B$1:$BZ$1,0),FALSE),"")</f>
        <v/>
      </c>
      <c r="BF44" t="str">
        <f>IF(ISNUMBER(VLOOKUP($A44,Haver_M!$B$1:$BZ$300,MATCH(data!BF$1,Haver_M!$B$1:$BZ$1,0),FALSE)),VLOOKUP($A44,Haver_M!$B$1:$BZ$300,MATCH(data!BF$1,Haver_M!$B$1:$BZ$1,0),FALSE),"")</f>
        <v/>
      </c>
      <c r="BG44" t="str">
        <f>IF(ISNUMBER(VLOOKUP($A44,Haver_M!$B$1:$BZ$300,MATCH(data!BG$1,Haver_M!$B$1:$BZ$1,0),FALSE)),VLOOKUP($A44,Haver_M!$B$1:$BZ$300,MATCH(data!BG$1,Haver_M!$B$1:$BZ$1,0),FALSE),"")</f>
        <v/>
      </c>
      <c r="BH44" t="str">
        <f>IF(ISNUMBER(VLOOKUP($A44,Haver_M!$B$1:$BZ$300,MATCH(data!BH$1,Haver_M!$B$1:$BZ$1,0),FALSE)),VLOOKUP($A44,Haver_M!$B$1:$BZ$300,MATCH(data!BH$1,Haver_M!$B$1:$BZ$1,0),FALSE),"")</f>
        <v/>
      </c>
      <c r="BI44" t="str">
        <f>IF(ISNUMBER(VLOOKUP($A44,Haver_M!$B$1:$BZ$300,MATCH(data!BI$1,Haver_M!$B$1:$BZ$1,0),FALSE)),VLOOKUP($A44,Haver_M!$B$1:$BZ$300,MATCH(data!BI$1,Haver_M!$B$1:$BZ$1,0),FALSE),"")</f>
        <v/>
      </c>
      <c r="BJ44" t="str">
        <f>IF(ISNUMBER(VLOOKUP($A44,Haver_M!$B$1:$BZ$300,MATCH(data!BJ$1,Haver_M!$B$1:$BZ$1,0),FALSE)),VLOOKUP($A44,Haver_M!$B$1:$BZ$300,MATCH(data!BJ$1,Haver_M!$B$1:$BZ$1,0),FALSE),"")</f>
        <v/>
      </c>
      <c r="BK44" t="str">
        <f>IF(ISNUMBER(VLOOKUP($A44,Haver_M!$B$1:$BZ$300,MATCH(data!BK$1,Haver_M!$B$1:$BZ$1,0),FALSE)),VLOOKUP($A44,Haver_M!$B$1:$BZ$300,MATCH(data!BK$1,Haver_M!$B$1:$BZ$1,0),FALSE),"")</f>
        <v/>
      </c>
      <c r="BL44">
        <f>IF(ISNUMBER(VLOOKUP($A44,Haver_M!$B$1:$BZ$300,MATCH(data!BL$1,Haver_M!$B$1:$BZ$1,0),FALSE)),VLOOKUP($A44,Haver_M!$B$1:$BZ$300,MATCH(data!BL$1,Haver_M!$B$1:$BZ$1,0),FALSE),"")</f>
        <v>3665.46</v>
      </c>
      <c r="BM44">
        <f>IF(ISNUMBER(VLOOKUP($A44,Haver_M!$B$1:$BZ$300,MATCH(data!BM$1,Haver_M!$B$1:$BZ$1,0),FALSE)),VLOOKUP($A44,Haver_M!$B$1:$BZ$300,MATCH(data!BM$1,Haver_M!$B$1:$BZ$1,0),FALSE),"")</f>
        <v>93.41699878</v>
      </c>
      <c r="BN44" t="str">
        <f>IF(ISNUMBER(VLOOKUP($A44,Haver_M!$B$1:$BZ$300,MATCH(data!BN$1,Haver_M!$B$1:$BZ$1,0),FALSE)),VLOOKUP($A44,Haver_M!$B$1:$BZ$300,MATCH(data!BN$1,Haver_M!$B$1:$BZ$1,0),FALSE),"")</f>
        <v/>
      </c>
      <c r="BO44" t="str">
        <f>IF(ISNUMBER(VLOOKUP($A44,Haver_M!$B$1:$BZ$300,MATCH(data!BO$1,Haver_M!$B$1:$BZ$1,0),FALSE)),VLOOKUP($A44,Haver_M!$B$1:$BZ$300,MATCH(data!BO$1,Haver_M!$B$1:$BZ$1,0),FALSE),"")</f>
        <v/>
      </c>
      <c r="BP44" t="str">
        <f>IF(ISNUMBER(VLOOKUP($A44,Haver_M!$B$1:$BZ$300,MATCH(data!BP$1,Haver_M!$B$1:$BZ$1,0),FALSE)),VLOOKUP($A44,Haver_M!$B$1:$BZ$300,MATCH(data!BP$1,Haver_M!$B$1:$BZ$1,0),FALSE),"")</f>
        <v/>
      </c>
      <c r="BQ44" t="str">
        <f>IF(ISNUMBER(VLOOKUP($A44,Haver_M!$B$1:$BZ$300,MATCH(data!BQ$1,Haver_M!$B$1:$BZ$1,0),FALSE)),VLOOKUP($A44,Haver_M!$B$1:$BZ$300,MATCH(data!BQ$1,Haver_M!$B$1:$BZ$1,0),FALSE),"")</f>
        <v/>
      </c>
      <c r="BR44" t="str">
        <f>IF(ISNUMBER(VLOOKUP($A44,Haver_M!$B$1:$BZ$300,MATCH(data!BR$1,Haver_M!$B$1:$BZ$1,0),FALSE)),VLOOKUP($A44,Haver_M!$B$1:$BZ$300,MATCH(data!BR$1,Haver_M!$B$1:$BZ$1,0),FALSE),"")</f>
        <v/>
      </c>
      <c r="BS44" t="str">
        <f>IF(ISNUMBER(VLOOKUP($A44,Haver_M!$B$1:$BZ$300,MATCH(data!BS$1,Haver_M!$B$1:$BZ$1,0),FALSE)),VLOOKUP($A44,Haver_M!$B$1:$BZ$300,MATCH(data!BS$1,Haver_M!$B$1:$BZ$1,0),FALSE),"")</f>
        <v/>
      </c>
      <c r="BT44" t="str">
        <f>IF(ISNUMBER(VLOOKUP($A44,Haver_M!$B$1:$BZ$300,MATCH(data!BT$1,Haver_M!$B$1:$BZ$1,0),FALSE)),VLOOKUP($A44,Haver_M!$B$1:$BZ$300,MATCH(data!BT$1,Haver_M!$B$1:$BZ$1,0),FALSE),"")</f>
        <v/>
      </c>
      <c r="BU44">
        <f>IF(ISNUMBER(VLOOKUP($A44,Haver_M!$B$1:$BZ$300,MATCH(data!BU$1,Haver_M!$B$1:$BZ$1,0),FALSE)),VLOOKUP($A44,Haver_M!$B$1:$BZ$300,MATCH(data!BU$1,Haver_M!$B$1:$BZ$1,0),FALSE),"")</f>
        <v>4637</v>
      </c>
      <c r="BV44">
        <f>IF(ISNUMBER(VLOOKUP($A44,Haver_M!$B$1:$BZ$300,MATCH(data!BV$1,Haver_M!$B$1:$BZ$1,0),FALSE)),VLOOKUP($A44,Haver_M!$B$1:$BZ$300,MATCH(data!BV$1,Haver_M!$B$1:$BZ$1,0),FALSE),"")</f>
        <v>5784</v>
      </c>
      <c r="BW44">
        <f>IF(ISNUMBER(VLOOKUP($A44,Haver_M!$B$1:$BZ$300,MATCH(data!BW$1,Haver_M!$B$1:$BZ$1,0),FALSE)),VLOOKUP($A44,Haver_M!$B$1:$BZ$300,MATCH(data!BW$1,Haver_M!$B$1:$BZ$1,0),FALSE),"")</f>
        <v>46.23</v>
      </c>
      <c r="BX44">
        <f>IF(ISNUMBER(VLOOKUP($A44,Haver_M!$B$1:$BZ$300,MATCH(data!BX$1,Haver_M!$B$1:$BZ$1,0),FALSE)),VLOOKUP($A44,Haver_M!$B$1:$BZ$300,MATCH(data!BX$1,Haver_M!$B$1:$BZ$1,0),FALSE),"")</f>
        <v>30539</v>
      </c>
    </row>
    <row r="45" spans="1:76" x14ac:dyDescent="0.25">
      <c r="A45" s="2">
        <v>37864</v>
      </c>
      <c r="B45" t="str">
        <f>IF(ISNUMBER(VLOOKUP($A45,Haver_Q!$B$1:$L$185,MATCH(data!B$1,Haver_Q!$B$1:$L$1,0),FALSE)),100*(VLOOKUP($A45,Haver_Q!$B$1:$L$185,MATCH(data!B$1,Haver_Q!$B$1:$L$1,0),FALSE)),"")</f>
        <v/>
      </c>
      <c r="C45" t="str">
        <f>IF(ISNUMBER(VLOOKUP($A45,Haver_Q!$B$1:$L$185,MATCH(data!C$1,Haver_Q!$B$1:$L$1,0),FALSE)),100*(VLOOKUP($A45,Haver_Q!$B$1:$L$185,MATCH(data!C$1,Haver_Q!$B$1:$L$1,0),FALSE)),"")</f>
        <v/>
      </c>
      <c r="D45" t="str">
        <f>IF(ISNUMBER(VLOOKUP($A45,Haver_Q!$B$1:$L$185,MATCH(data!D$1,Haver_Q!$B$1:$L$1,0),FALSE)),100*(VLOOKUP($A45,Haver_Q!$B$1:$L$185,MATCH(data!D$1,Haver_Q!$B$1:$L$1,0),FALSE)),"")</f>
        <v/>
      </c>
      <c r="E45" t="str">
        <f>IF(ISNUMBER(VLOOKUP($A45,Haver_Q!$B$1:$L$185,MATCH(data!E$1,Haver_Q!$B$1:$L$1,0),FALSE)),100*(VLOOKUP($A45,Haver_Q!$B$1:$L$185,MATCH(data!E$1,Haver_Q!$B$1:$L$1,0),FALSE)),"")</f>
        <v/>
      </c>
      <c r="F45" t="str">
        <f>IF(ISNUMBER(VLOOKUP($A45,Haver_Q!$B$1:$L$185,MATCH(data!F$1,Haver_Q!$B$1:$L$1,0),FALSE)),100*(VLOOKUP($A45,Haver_Q!$B$1:$L$185,MATCH(data!F$1,Haver_Q!$B$1:$L$1,0),FALSE)),"")</f>
        <v/>
      </c>
      <c r="G45" t="str">
        <f>IF(ISNUMBER(VLOOKUP($A45,Haver_Q!$B$1:$L$185,MATCH(data!G$1,Haver_Q!$B$1:$L$1,0),FALSE)),100*(VLOOKUP($A45,Haver_Q!$B$1:$L$185,MATCH(data!G$1,Haver_Q!$B$1:$L$1,0),FALSE)),"")</f>
        <v/>
      </c>
      <c r="H45" t="str">
        <f>IF(ISNUMBER(VLOOKUP($A45,Haver_Q!$B$1:$L$185,MATCH(data!H$1,Haver_Q!$B$1:$L$1,0),FALSE)),(VLOOKUP($A45,Haver_Q!$B$1:$L$185,MATCH(data!H$1,Haver_Q!$B$1:$L$1,0),FALSE)),"")</f>
        <v/>
      </c>
      <c r="I45" t="str">
        <f>IF(ISNUMBER(VLOOKUP($A45,Haver_Q!$B$1:$L$185,MATCH(data!I$1,Haver_Q!$B$1:$L$1,0),FALSE)),100*(VLOOKUP($A45,Haver_Q!$B$1:$L$185,MATCH(data!I$1,Haver_Q!$B$1:$L$1,0),FALSE)),"")</f>
        <v/>
      </c>
      <c r="J45" s="3">
        <f>IF(ISNUMBER(Bloomberg_m!C61),Bloomberg_m!C61,"")</f>
        <v>2286</v>
      </c>
      <c r="K45" s="3" t="str">
        <f>IF(ISNUMBER(Bloomberg_m!D61),Bloomberg_m!D61,"")</f>
        <v/>
      </c>
      <c r="L45" s="3" t="str">
        <f>IF(ISNUMBER(Bloomberg_m!E61),Bloomberg_m!E61,"")</f>
        <v/>
      </c>
      <c r="M45" s="3" t="str">
        <f>IF(ISNUMBER(Bloomberg_m!F61),Bloomberg_m!F61,"")</f>
        <v/>
      </c>
      <c r="N45">
        <f>IF(ISNUMBER(VLOOKUP($A45,Haver_M!$B$1:$BZ$300,MATCH(data!N$1,Haver_M!$B$1:$BZ$1,0),FALSE)),VLOOKUP($A45,Haver_M!$B$1:$BZ$300,MATCH(data!N$1,Haver_M!$B$1:$BZ$1,0),FALSE),"")</f>
        <v>7</v>
      </c>
      <c r="O45">
        <f>IF(ISNUMBER(VLOOKUP($A45,Haver_M!$B$1:$BZ$300,MATCH(data!O$1,Haver_M!$B$1:$BZ$1,0),FALSE)),VLOOKUP($A45,Haver_M!$B$1:$BZ$300,MATCH(data!O$1,Haver_M!$B$1:$BZ$1,0),FALSE),"")</f>
        <v>5.2619999999999996</v>
      </c>
      <c r="P45">
        <f>IF(ISNUMBER(VLOOKUP($A45,Haver_M!$B$1:$BZ$300,MATCH(data!P$1,Haver_M!$B$1:$BZ$1,0),FALSE)),VLOOKUP($A45,Haver_M!$B$1:$BZ$300,MATCH(data!P$1,Haver_M!$B$1:$BZ$1,0),FALSE),"")</f>
        <v>97.386960000000002</v>
      </c>
      <c r="Q45">
        <f>IF(ISNUMBER(VLOOKUP($A45,Haver_M!$B$1:$BZ$300,MATCH(data!Q$1,Haver_M!$B$1:$BZ$1,0),FALSE)),VLOOKUP($A45,Haver_M!$B$1:$BZ$300,MATCH(data!Q$1,Haver_M!$B$1:$BZ$1,0),FALSE),"")</f>
        <v>53.3</v>
      </c>
      <c r="R45" t="str">
        <f>IF(ISNUMBER(VLOOKUP($A45,Haver_M!$B$1:$BZ$300,MATCH(data!R$1,Haver_M!$B$1:$BZ$1,0),FALSE)),VLOOKUP($A45,Haver_M!$B$1:$BZ$300,MATCH(data!R$1,Haver_M!$B$1:$BZ$1,0),FALSE),"")</f>
        <v/>
      </c>
      <c r="S45">
        <f>IF(ISNUMBER(VLOOKUP($A45,Haver_M!$B$1:$BZ$300,MATCH(data!S$1,Haver_M!$B$1:$BZ$1,0),FALSE)),VLOOKUP($A45,Haver_M!$B$1:$BZ$300,MATCH(data!S$1,Haver_M!$B$1:$BZ$1,0),FALSE),"")</f>
        <v>53.38</v>
      </c>
      <c r="T45">
        <f>IF(ISNUMBER(VLOOKUP($A45,Haver_M!$B$1:$BZ$300,MATCH(data!T$1,Haver_M!$B$1:$BZ$1,0),FALSE)),VLOOKUP($A45,Haver_M!$B$1:$BZ$300,MATCH(data!T$1,Haver_M!$B$1:$BZ$1,0),FALSE),"")</f>
        <v>61.66</v>
      </c>
      <c r="U45">
        <f>IF(ISNUMBER(VLOOKUP($A45,Haver_M!$B$1:$BZ$300,MATCH(data!U$1,Haver_M!$B$1:$BZ$1,0),FALSE)),VLOOKUP($A45,Haver_M!$B$1:$BZ$300,MATCH(data!U$1,Haver_M!$B$1:$BZ$1,0),FALSE),"")</f>
        <v>31.67</v>
      </c>
      <c r="V45">
        <f>IF(ISNUMBER(VLOOKUP($A45,Haver_M!$B$1:$BZ$300,MATCH(data!V$1,Haver_M!$B$1:$BZ$1,0),FALSE)),VLOOKUP($A45,Haver_M!$B$1:$BZ$300,MATCH(data!V$1,Haver_M!$B$1:$BZ$1,0),FALSE),"")</f>
        <v>65.55</v>
      </c>
      <c r="W45" t="str">
        <f>IF(ISNUMBER(VLOOKUP($A45,Haver_M!$B$1:$BZ$300,MATCH(data!W$1,Haver_M!$B$1:$BZ$1,0),FALSE)),VLOOKUP($A45,Haver_M!$B$1:$BZ$300,MATCH(data!W$1,Haver_M!$B$1:$BZ$1,0),FALSE),"")</f>
        <v/>
      </c>
      <c r="X45">
        <f>IF(ISNUMBER(VLOOKUP($A45,Haver_M!$B$1:$BZ$300,MATCH(data!X$1,Haver_M!$B$1:$BZ$1,0),FALSE)),VLOOKUP($A45,Haver_M!$B$1:$BZ$300,MATCH(data!X$1,Haver_M!$B$1:$BZ$1,0),FALSE),"")</f>
        <v>28.1</v>
      </c>
      <c r="Y45">
        <f>IF(ISNUMBER(VLOOKUP($A45,Haver_M!$B$1:$BZ$300,MATCH(data!Y$1,Haver_M!$B$1:$BZ$1,0),FALSE)),VLOOKUP($A45,Haver_M!$B$1:$BZ$300,MATCH(data!Y$1,Haver_M!$B$1:$BZ$1,0),FALSE),"")</f>
        <v>58.84</v>
      </c>
      <c r="Z45" t="str">
        <f>IF(ISNUMBER(VLOOKUP($A45,Haver_M!$B$1:$BZ$300,MATCH(data!Z$1,Haver_M!$B$1:$BZ$1,0),FALSE)),VLOOKUP($A45,Haver_M!$B$1:$BZ$300,MATCH(data!Z$1,Haver_M!$B$1:$BZ$1,0),FALSE),"")</f>
        <v/>
      </c>
      <c r="AA45" t="str">
        <f>IF(ISNUMBER(VLOOKUP($A45,Haver_M!$B$1:$BZ$300,MATCH(data!AA$1,Haver_M!$B$1:$BZ$1,0),FALSE)),VLOOKUP($A45,Haver_M!$B$1:$BZ$300,MATCH(data!AA$1,Haver_M!$B$1:$BZ$1,0),FALSE),"")</f>
        <v/>
      </c>
      <c r="AB45" t="str">
        <f>IF(ISNUMBER(VLOOKUP($A45,Haver_M!$B$1:$BZ$300,MATCH(data!AB$1,Haver_M!$B$1:$BZ$1,0),FALSE)),VLOOKUP($A45,Haver_M!$B$1:$BZ$300,MATCH(data!AB$1,Haver_M!$B$1:$BZ$1,0),FALSE),"")</f>
        <v/>
      </c>
      <c r="AC45" t="str">
        <f>IF(ISNUMBER(VLOOKUP($A45,Haver_M!$B$1:$BZ$300,MATCH(data!AC$1,Haver_M!$B$1:$BZ$1,0),FALSE)),VLOOKUP($A45,Haver_M!$B$1:$BZ$300,MATCH(data!AC$1,Haver_M!$B$1:$BZ$1,0),FALSE),"")</f>
        <v/>
      </c>
      <c r="AD45" t="str">
        <f>IF(ISNUMBER(VLOOKUP($A45,Haver_M!$B$1:$BZ$300,MATCH(data!AD$1,Haver_M!$B$1:$BZ$1,0),FALSE)),VLOOKUP($A45,Haver_M!$B$1:$BZ$300,MATCH(data!AD$1,Haver_M!$B$1:$BZ$1,0),FALSE),"")</f>
        <v/>
      </c>
      <c r="AE45" t="str">
        <f>IF(ISNUMBER(VLOOKUP($A45,Haver_M!$B$1:$BZ$300,MATCH(data!AE$1,Haver_M!$B$1:$BZ$1,0),FALSE)),VLOOKUP($A45,Haver_M!$B$1:$BZ$300,MATCH(data!AE$1,Haver_M!$B$1:$BZ$1,0),FALSE),"")</f>
        <v/>
      </c>
      <c r="AF45" t="str">
        <f>IF(ISNUMBER(VLOOKUP($A45,Haver_M!$B$1:$BZ$300,MATCH(data!AF$1,Haver_M!$B$1:$BZ$1,0),FALSE)),VLOOKUP($A45,Haver_M!$B$1:$BZ$300,MATCH(data!AF$1,Haver_M!$B$1:$BZ$1,0),FALSE),"")</f>
        <v/>
      </c>
      <c r="AG45" t="str">
        <f>IF(ISNUMBER(VLOOKUP($A45,Haver_M!$B$1:$BZ$300,MATCH(data!AG$1,Haver_M!$B$1:$BZ$1,0),FALSE)),VLOOKUP($A45,Haver_M!$B$1:$BZ$300,MATCH(data!AG$1,Haver_M!$B$1:$BZ$1,0),FALSE),"")</f>
        <v/>
      </c>
      <c r="AH45" t="str">
        <f>IF(ISNUMBER(VLOOKUP($A45,Haver_M!$B$1:$BZ$300,MATCH(data!AH$1,Haver_M!$B$1:$BZ$1,0),FALSE)),VLOOKUP($A45,Haver_M!$B$1:$BZ$300,MATCH(data!AH$1,Haver_M!$B$1:$BZ$1,0),FALSE),"")</f>
        <v/>
      </c>
      <c r="AI45">
        <f>IF(ISNUMBER(VLOOKUP($A45,Haver_M!$B$1:$BZ$300,MATCH(data!AI$1,Haver_M!$B$1:$BZ$1,0),FALSE)),VLOOKUP($A45,Haver_M!$B$1:$BZ$300,MATCH(data!AI$1,Haver_M!$B$1:$BZ$1,0),FALSE),"")</f>
        <v>8847.8941633927243</v>
      </c>
      <c r="AJ45">
        <f>IF(ISNUMBER(VLOOKUP($A45,Haver_M!$B$1:$BZ$300,MATCH(data!AJ$1,Haver_M!$B$1:$BZ$1,0),FALSE)),VLOOKUP($A45,Haver_M!$B$1:$BZ$300,MATCH(data!AJ$1,Haver_M!$B$1:$BZ$1,0),FALSE),"")</f>
        <v>4607.16</v>
      </c>
      <c r="AK45">
        <f>IF(ISNUMBER(VLOOKUP($A45,Haver_M!$B$1:$BZ$300,MATCH(data!AK$1,Haver_M!$B$1:$BZ$1,0),FALSE)),VLOOKUP($A45,Haver_M!$B$1:$BZ$300,MATCH(data!AK$1,Haver_M!$B$1:$BZ$1,0),FALSE),"")</f>
        <v>5842.26</v>
      </c>
      <c r="AL45" t="str">
        <f>IF(ISNUMBER(VLOOKUP($A45,Haver_M!$B$1:$BZ$300,MATCH(data!AL$1,Haver_M!$B$1:$BZ$1,0),FALSE)),VLOOKUP($A45,Haver_M!$B$1:$BZ$300,MATCH(data!AL$1,Haver_M!$B$1:$BZ$1,0),FALSE),"")</f>
        <v/>
      </c>
      <c r="AM45" t="str">
        <f>IF(ISNUMBER(VLOOKUP($A45,Haver_M!$B$1:$BZ$300,MATCH(data!AM$1,Haver_M!$B$1:$BZ$1,0),FALSE)),VLOOKUP($A45,Haver_M!$B$1:$BZ$300,MATCH(data!AM$1,Haver_M!$B$1:$BZ$1,0),FALSE),"")</f>
        <v/>
      </c>
      <c r="AN45" t="str">
        <f>IF(ISNUMBER(VLOOKUP($A45,Haver_M!$B$1:$BZ$300,MATCH(data!AN$1,Haver_M!$B$1:$BZ$1,0),FALSE)),VLOOKUP($A45,Haver_M!$B$1:$BZ$300,MATCH(data!AN$1,Haver_M!$B$1:$BZ$1,0),FALSE),"")</f>
        <v/>
      </c>
      <c r="AO45" t="str">
        <f>IF(ISNUMBER(VLOOKUP($A45,Haver_M!$B$1:$BZ$300,MATCH(data!AO$1,Haver_M!$B$1:$BZ$1,0),FALSE)),VLOOKUP($A45,Haver_M!$B$1:$BZ$300,MATCH(data!AO$1,Haver_M!$B$1:$BZ$1,0),FALSE),"")</f>
        <v/>
      </c>
      <c r="AP45">
        <f>IF(ISNUMBER(VLOOKUP($A45,Haver_M!$B$1:$BZ$300,MATCH(data!AP$1,Haver_M!$B$1:$BZ$1,0),FALSE)),VLOOKUP($A45,Haver_M!$B$1:$BZ$300,MATCH(data!AP$1,Haver_M!$B$1:$BZ$1,0),FALSE),"")</f>
        <v>60.104665909615086</v>
      </c>
      <c r="AQ45" t="str">
        <f>IF(ISNUMBER(VLOOKUP($A45,Haver_M!$B$1:$BZ$300,MATCH(data!AQ$1,Haver_M!$B$1:$BZ$1,0),FALSE)),VLOOKUP($A45,Haver_M!$B$1:$BZ$300,MATCH(data!AQ$1,Haver_M!$B$1:$BZ$1,0),FALSE),"")</f>
        <v/>
      </c>
      <c r="AR45" t="str">
        <f>IF(ISNUMBER(VLOOKUP($A45,Haver_M!$B$1:$BZ$300,MATCH(data!AR$1,Haver_M!$B$1:$BZ$1,0),FALSE)),VLOOKUP($A45,Haver_M!$B$1:$BZ$300,MATCH(data!AR$1,Haver_M!$B$1:$BZ$1,0),FALSE),"")</f>
        <v/>
      </c>
      <c r="AS45" t="str">
        <f>IF(ISNUMBER(VLOOKUP($A45,Haver_M!$B$1:$BZ$300,MATCH(data!AS$1,Haver_M!$B$1:$BZ$1,0),FALSE)),VLOOKUP($A45,Haver_M!$B$1:$BZ$300,MATCH(data!AS$1,Haver_M!$B$1:$BZ$1,0),FALSE),"")</f>
        <v/>
      </c>
      <c r="AT45" t="str">
        <f>IF(ISNUMBER(VLOOKUP($A45,Haver_M!$B$1:$BZ$300,MATCH(data!AT$1,Haver_M!$B$1:$BZ$1,0),FALSE)),VLOOKUP($A45,Haver_M!$B$1:$BZ$300,MATCH(data!AT$1,Haver_M!$B$1:$BZ$1,0),FALSE),"")</f>
        <v/>
      </c>
      <c r="AU45" t="str">
        <f>IF(ISNUMBER(VLOOKUP($A45,Haver_M!$B$1:$BZ$300,MATCH(data!AU$1,Haver_M!$B$1:$BZ$1,0),FALSE)),VLOOKUP($A45,Haver_M!$B$1:$BZ$300,MATCH(data!AU$1,Haver_M!$B$1:$BZ$1,0),FALSE),"")</f>
        <v/>
      </c>
      <c r="AV45" t="str">
        <f>IF(ISNUMBER(VLOOKUP($A45,Haver_M!$B$1:$BZ$300,MATCH(data!AV$1,Haver_M!$B$1:$BZ$1,0),FALSE)),VLOOKUP($A45,Haver_M!$B$1:$BZ$300,MATCH(data!AV$1,Haver_M!$B$1:$BZ$1,0),FALSE),"")</f>
        <v/>
      </c>
      <c r="AW45" t="str">
        <f>IF(ISNUMBER(VLOOKUP($A45,Haver_M!$B$1:$BZ$300,MATCH(data!AW$1,Haver_M!$B$1:$BZ$1,0),FALSE)),VLOOKUP($A45,Haver_M!$B$1:$BZ$300,MATCH(data!AW$1,Haver_M!$B$1:$BZ$1,0),FALSE),"")</f>
        <v/>
      </c>
      <c r="AX45" t="str">
        <f>IF(ISNUMBER(VLOOKUP($A45,Haver_M!$B$1:$BZ$300,MATCH(data!AX$1,Haver_M!$B$1:$BZ$1,0),FALSE)),VLOOKUP($A45,Haver_M!$B$1:$BZ$300,MATCH(data!AX$1,Haver_M!$B$1:$BZ$1,0),FALSE),"")</f>
        <v/>
      </c>
      <c r="AY45" t="str">
        <f>IF(ISNUMBER(VLOOKUP($A45,Haver_M!$B$1:$BZ$300,MATCH(data!AY$1,Haver_M!$B$1:$BZ$1,0),FALSE)),VLOOKUP($A45,Haver_M!$B$1:$BZ$300,MATCH(data!AY$1,Haver_M!$B$1:$BZ$1,0),FALSE),"")</f>
        <v/>
      </c>
      <c r="AZ45" t="str">
        <f>IF(ISNUMBER(VLOOKUP($A45,Haver_M!$B$1:$BZ$300,MATCH(data!AZ$1,Haver_M!$B$1:$BZ$1,0),FALSE)),VLOOKUP($A45,Haver_M!$B$1:$BZ$300,MATCH(data!AZ$1,Haver_M!$B$1:$BZ$1,0),FALSE),"")</f>
        <v/>
      </c>
      <c r="BA45" t="str">
        <f>IF(ISNUMBER(VLOOKUP($A45,Haver_M!$B$1:$BZ$300,MATCH(data!BA$1,Haver_M!$B$1:$BZ$1,0),FALSE)),VLOOKUP($A45,Haver_M!$B$1:$BZ$300,MATCH(data!BA$1,Haver_M!$B$1:$BZ$1,0),FALSE),"")</f>
        <v/>
      </c>
      <c r="BB45" t="str">
        <f>IF(ISNUMBER(VLOOKUP($A45,Haver_M!$B$1:$BZ$300,MATCH(data!BB$1,Haver_M!$B$1:$BZ$1,0),FALSE)),VLOOKUP($A45,Haver_M!$B$1:$BZ$300,MATCH(data!BB$1,Haver_M!$B$1:$BZ$1,0),FALSE),"")</f>
        <v/>
      </c>
      <c r="BC45" t="str">
        <f>IF(ISNUMBER(VLOOKUP($A45,Haver_M!$B$1:$BZ$300,MATCH(data!BC$1,Haver_M!$B$1:$BZ$1,0),FALSE)),VLOOKUP($A45,Haver_M!$B$1:$BZ$300,MATCH(data!BC$1,Haver_M!$B$1:$BZ$1,0),FALSE),"")</f>
        <v/>
      </c>
      <c r="BD45" t="str">
        <f>IF(ISNUMBER(VLOOKUP($A45,Haver_M!$B$1:$BZ$300,MATCH(data!BD$1,Haver_M!$B$1:$BZ$1,0),FALSE)),VLOOKUP($A45,Haver_M!$B$1:$BZ$300,MATCH(data!BD$1,Haver_M!$B$1:$BZ$1,0),FALSE),"")</f>
        <v/>
      </c>
      <c r="BE45" t="str">
        <f>IF(ISNUMBER(VLOOKUP($A45,Haver_M!$B$1:$BZ$300,MATCH(data!BE$1,Haver_M!$B$1:$BZ$1,0),FALSE)),VLOOKUP($A45,Haver_M!$B$1:$BZ$300,MATCH(data!BE$1,Haver_M!$B$1:$BZ$1,0),FALSE),"")</f>
        <v/>
      </c>
      <c r="BF45" t="str">
        <f>IF(ISNUMBER(VLOOKUP($A45,Haver_M!$B$1:$BZ$300,MATCH(data!BF$1,Haver_M!$B$1:$BZ$1,0),FALSE)),VLOOKUP($A45,Haver_M!$B$1:$BZ$300,MATCH(data!BF$1,Haver_M!$B$1:$BZ$1,0),FALSE),"")</f>
        <v/>
      </c>
      <c r="BG45" t="str">
        <f>IF(ISNUMBER(VLOOKUP($A45,Haver_M!$B$1:$BZ$300,MATCH(data!BG$1,Haver_M!$B$1:$BZ$1,0),FALSE)),VLOOKUP($A45,Haver_M!$B$1:$BZ$300,MATCH(data!BG$1,Haver_M!$B$1:$BZ$1,0),FALSE),"")</f>
        <v/>
      </c>
      <c r="BH45" t="str">
        <f>IF(ISNUMBER(VLOOKUP($A45,Haver_M!$B$1:$BZ$300,MATCH(data!BH$1,Haver_M!$B$1:$BZ$1,0),FALSE)),VLOOKUP($A45,Haver_M!$B$1:$BZ$300,MATCH(data!BH$1,Haver_M!$B$1:$BZ$1,0),FALSE),"")</f>
        <v/>
      </c>
      <c r="BI45" t="str">
        <f>IF(ISNUMBER(VLOOKUP($A45,Haver_M!$B$1:$BZ$300,MATCH(data!BI$1,Haver_M!$B$1:$BZ$1,0),FALSE)),VLOOKUP($A45,Haver_M!$B$1:$BZ$300,MATCH(data!BI$1,Haver_M!$B$1:$BZ$1,0),FALSE),"")</f>
        <v/>
      </c>
      <c r="BJ45" t="str">
        <f>IF(ISNUMBER(VLOOKUP($A45,Haver_M!$B$1:$BZ$300,MATCH(data!BJ$1,Haver_M!$B$1:$BZ$1,0),FALSE)),VLOOKUP($A45,Haver_M!$B$1:$BZ$300,MATCH(data!BJ$1,Haver_M!$B$1:$BZ$1,0),FALSE),"")</f>
        <v/>
      </c>
      <c r="BK45" t="str">
        <f>IF(ISNUMBER(VLOOKUP($A45,Haver_M!$B$1:$BZ$300,MATCH(data!BK$1,Haver_M!$B$1:$BZ$1,0),FALSE)),VLOOKUP($A45,Haver_M!$B$1:$BZ$300,MATCH(data!BK$1,Haver_M!$B$1:$BZ$1,0),FALSE),"")</f>
        <v/>
      </c>
      <c r="BL45">
        <f>IF(ISNUMBER(VLOOKUP($A45,Haver_M!$B$1:$BZ$300,MATCH(data!BL$1,Haver_M!$B$1:$BZ$1,0),FALSE)),VLOOKUP($A45,Haver_M!$B$1:$BZ$300,MATCH(data!BL$1,Haver_M!$B$1:$BZ$1,0),FALSE),"")</f>
        <v>3977.86</v>
      </c>
      <c r="BM45">
        <f>IF(ISNUMBER(VLOOKUP($A45,Haver_M!$B$1:$BZ$300,MATCH(data!BM$1,Haver_M!$B$1:$BZ$1,0),FALSE)),VLOOKUP($A45,Haver_M!$B$1:$BZ$300,MATCH(data!BM$1,Haver_M!$B$1:$BZ$1,0),FALSE),"")</f>
        <v>94.701718299999996</v>
      </c>
      <c r="BN45" t="str">
        <f>IF(ISNUMBER(VLOOKUP($A45,Haver_M!$B$1:$BZ$300,MATCH(data!BN$1,Haver_M!$B$1:$BZ$1,0),FALSE)),VLOOKUP($A45,Haver_M!$B$1:$BZ$300,MATCH(data!BN$1,Haver_M!$B$1:$BZ$1,0),FALSE),"")</f>
        <v/>
      </c>
      <c r="BO45" t="str">
        <f>IF(ISNUMBER(VLOOKUP($A45,Haver_M!$B$1:$BZ$300,MATCH(data!BO$1,Haver_M!$B$1:$BZ$1,0),FALSE)),VLOOKUP($A45,Haver_M!$B$1:$BZ$300,MATCH(data!BO$1,Haver_M!$B$1:$BZ$1,0),FALSE),"")</f>
        <v/>
      </c>
      <c r="BP45" t="str">
        <f>IF(ISNUMBER(VLOOKUP($A45,Haver_M!$B$1:$BZ$300,MATCH(data!BP$1,Haver_M!$B$1:$BZ$1,0),FALSE)),VLOOKUP($A45,Haver_M!$B$1:$BZ$300,MATCH(data!BP$1,Haver_M!$B$1:$BZ$1,0),FALSE),"")</f>
        <v/>
      </c>
      <c r="BQ45" t="str">
        <f>IF(ISNUMBER(VLOOKUP($A45,Haver_M!$B$1:$BZ$300,MATCH(data!BQ$1,Haver_M!$B$1:$BZ$1,0),FALSE)),VLOOKUP($A45,Haver_M!$B$1:$BZ$300,MATCH(data!BQ$1,Haver_M!$B$1:$BZ$1,0),FALSE),"")</f>
        <v/>
      </c>
      <c r="BR45" t="str">
        <f>IF(ISNUMBER(VLOOKUP($A45,Haver_M!$B$1:$BZ$300,MATCH(data!BR$1,Haver_M!$B$1:$BZ$1,0),FALSE)),VLOOKUP($A45,Haver_M!$B$1:$BZ$300,MATCH(data!BR$1,Haver_M!$B$1:$BZ$1,0),FALSE),"")</f>
        <v/>
      </c>
      <c r="BS45" t="str">
        <f>IF(ISNUMBER(VLOOKUP($A45,Haver_M!$B$1:$BZ$300,MATCH(data!BS$1,Haver_M!$B$1:$BZ$1,0),FALSE)),VLOOKUP($A45,Haver_M!$B$1:$BZ$300,MATCH(data!BS$1,Haver_M!$B$1:$BZ$1,0),FALSE),"")</f>
        <v/>
      </c>
      <c r="BT45" t="str">
        <f>IF(ISNUMBER(VLOOKUP($A45,Haver_M!$B$1:$BZ$300,MATCH(data!BT$1,Haver_M!$B$1:$BZ$1,0),FALSE)),VLOOKUP($A45,Haver_M!$B$1:$BZ$300,MATCH(data!BT$1,Haver_M!$B$1:$BZ$1,0),FALSE),"")</f>
        <v/>
      </c>
      <c r="BU45">
        <f>IF(ISNUMBER(VLOOKUP($A45,Haver_M!$B$1:$BZ$300,MATCH(data!BU$1,Haver_M!$B$1:$BZ$1,0),FALSE)),VLOOKUP($A45,Haver_M!$B$1:$BZ$300,MATCH(data!BU$1,Haver_M!$B$1:$BZ$1,0),FALSE),"")</f>
        <v>4516</v>
      </c>
      <c r="BV45">
        <f>IF(ISNUMBER(VLOOKUP($A45,Haver_M!$B$1:$BZ$300,MATCH(data!BV$1,Haver_M!$B$1:$BZ$1,0),FALSE)),VLOOKUP($A45,Haver_M!$B$1:$BZ$300,MATCH(data!BV$1,Haver_M!$B$1:$BZ$1,0),FALSE),"")</f>
        <v>5785</v>
      </c>
      <c r="BW45">
        <f>IF(ISNUMBER(VLOOKUP($A45,Haver_M!$B$1:$BZ$300,MATCH(data!BW$1,Haver_M!$B$1:$BZ$1,0),FALSE)),VLOOKUP($A45,Haver_M!$B$1:$BZ$300,MATCH(data!BW$1,Haver_M!$B$1:$BZ$1,0),FALSE),"")</f>
        <v>45.933</v>
      </c>
      <c r="BX45">
        <f>IF(ISNUMBER(VLOOKUP($A45,Haver_M!$B$1:$BZ$300,MATCH(data!BX$1,Haver_M!$B$1:$BZ$1,0),FALSE)),VLOOKUP($A45,Haver_M!$B$1:$BZ$300,MATCH(data!BX$1,Haver_M!$B$1:$BZ$1,0),FALSE),"")</f>
        <v>27852</v>
      </c>
    </row>
    <row r="46" spans="1:76" x14ac:dyDescent="0.25">
      <c r="A46" s="2">
        <v>37894</v>
      </c>
      <c r="B46">
        <f>IF(ISNUMBER(VLOOKUP($A46,Haver_Q!$B$1:$L$185,MATCH(data!B$1,Haver_Q!$B$1:$L$1,0),FALSE)),100*(VLOOKUP($A46,Haver_Q!$B$1:$L$185,MATCH(data!B$1,Haver_Q!$B$1:$L$1,0),FALSE)),"")</f>
        <v>9.3019883321056049</v>
      </c>
      <c r="C46">
        <f>IF(ISNUMBER(VLOOKUP($A46,Haver_Q!$B$1:$L$185,MATCH(data!C$1,Haver_Q!$B$1:$L$1,0),FALSE)),100*(VLOOKUP($A46,Haver_Q!$B$1:$L$185,MATCH(data!C$1,Haver_Q!$B$1:$L$1,0),FALSE)),"")</f>
        <v>2.2740875692611073</v>
      </c>
      <c r="D46">
        <f>IF(ISNUMBER(VLOOKUP($A46,Haver_Q!$B$1:$L$185,MATCH(data!D$1,Haver_Q!$B$1:$L$1,0),FALSE)),100*(VLOOKUP($A46,Haver_Q!$B$1:$L$185,MATCH(data!D$1,Haver_Q!$B$1:$L$1,0),FALSE)),"")</f>
        <v>46.888657912895404</v>
      </c>
      <c r="E46">
        <f>IF(ISNUMBER(VLOOKUP($A46,Haver_Q!$B$1:$L$185,MATCH(data!E$1,Haver_Q!$B$1:$L$1,0),FALSE)),100*(VLOOKUP($A46,Haver_Q!$B$1:$L$185,MATCH(data!E$1,Haver_Q!$B$1:$L$1,0),FALSE)),"")</f>
        <v>28.686775452390091</v>
      </c>
      <c r="F46">
        <f>IF(ISNUMBER(VLOOKUP($A46,Haver_Q!$B$1:$L$185,MATCH(data!F$1,Haver_Q!$B$1:$L$1,0),FALSE)),100*(VLOOKUP($A46,Haver_Q!$B$1:$L$185,MATCH(data!F$1,Haver_Q!$B$1:$L$1,0),FALSE)),"")</f>
        <v>-14.168377357120754</v>
      </c>
      <c r="G46">
        <f>IF(ISNUMBER(VLOOKUP($A46,Haver_Q!$B$1:$L$185,MATCH(data!G$1,Haver_Q!$B$1:$L$1,0),FALSE)),100*(VLOOKUP($A46,Haver_Q!$B$1:$L$185,MATCH(data!G$1,Haver_Q!$B$1:$L$1,0),FALSE)),"")</f>
        <v>3.974645363882634</v>
      </c>
      <c r="H46">
        <f>IF(ISNUMBER(VLOOKUP($A46,Haver_Q!$B$1:$L$185,MATCH(data!H$1,Haver_Q!$B$1:$L$1,0),FALSE)),(VLOOKUP($A46,Haver_Q!$B$1:$L$185,MATCH(data!H$1,Haver_Q!$B$1:$L$1,0),FALSE)),"")</f>
        <v>6.3961061004274287</v>
      </c>
      <c r="I46">
        <f>IF(ISNUMBER(VLOOKUP($A46,Haver_Q!$B$1:$L$185,MATCH(data!I$1,Haver_Q!$B$1:$L$1,0),FALSE)),100*(VLOOKUP($A46,Haver_Q!$B$1:$L$185,MATCH(data!I$1,Haver_Q!$B$1:$L$1,0),FALSE)),"")</f>
        <v>8.1047166297010023</v>
      </c>
      <c r="J46" s="3">
        <f>IF(ISNUMBER(Bloomberg_m!C62),Bloomberg_m!C62,"")</f>
        <v>2463</v>
      </c>
      <c r="K46" s="3" t="str">
        <f>IF(ISNUMBER(Bloomberg_m!D62),Bloomberg_m!D62,"")</f>
        <v/>
      </c>
      <c r="L46" s="3" t="str">
        <f>IF(ISNUMBER(Bloomberg_m!E62),Bloomberg_m!E62,"")</f>
        <v/>
      </c>
      <c r="M46" s="3" t="str">
        <f>IF(ISNUMBER(Bloomberg_m!F62),Bloomberg_m!F62,"")</f>
        <v/>
      </c>
      <c r="N46">
        <f>IF(ISNUMBER(VLOOKUP($A46,Haver_M!$B$1:$BZ$300,MATCH(data!N$1,Haver_M!$B$1:$BZ$1,0),FALSE)),VLOOKUP($A46,Haver_M!$B$1:$BZ$300,MATCH(data!N$1,Haver_M!$B$1:$BZ$1,0),FALSE),"")</f>
        <v>7</v>
      </c>
      <c r="O46">
        <f>IF(ISNUMBER(VLOOKUP($A46,Haver_M!$B$1:$BZ$300,MATCH(data!O$1,Haver_M!$B$1:$BZ$1,0),FALSE)),VLOOKUP($A46,Haver_M!$B$1:$BZ$300,MATCH(data!O$1,Haver_M!$B$1:$BZ$1,0),FALSE),"")</f>
        <v>5.2588999999999997</v>
      </c>
      <c r="P46">
        <f>IF(ISNUMBER(VLOOKUP($A46,Haver_M!$B$1:$BZ$300,MATCH(data!P$1,Haver_M!$B$1:$BZ$1,0),FALSE)),VLOOKUP($A46,Haver_M!$B$1:$BZ$300,MATCH(data!P$1,Haver_M!$B$1:$BZ$1,0),FALSE),"")</f>
        <v>97.632419999999996</v>
      </c>
      <c r="Q46">
        <f>IF(ISNUMBER(VLOOKUP($A46,Haver_M!$B$1:$BZ$300,MATCH(data!Q$1,Haver_M!$B$1:$BZ$1,0),FALSE)),VLOOKUP($A46,Haver_M!$B$1:$BZ$300,MATCH(data!Q$1,Haver_M!$B$1:$BZ$1,0),FALSE),"")</f>
        <v>53.4</v>
      </c>
      <c r="R46" t="str">
        <f>IF(ISNUMBER(VLOOKUP($A46,Haver_M!$B$1:$BZ$300,MATCH(data!R$1,Haver_M!$B$1:$BZ$1,0),FALSE)),VLOOKUP($A46,Haver_M!$B$1:$BZ$300,MATCH(data!R$1,Haver_M!$B$1:$BZ$1,0),FALSE),"")</f>
        <v/>
      </c>
      <c r="S46">
        <f>IF(ISNUMBER(VLOOKUP($A46,Haver_M!$B$1:$BZ$300,MATCH(data!S$1,Haver_M!$B$1:$BZ$1,0),FALSE)),VLOOKUP($A46,Haver_M!$B$1:$BZ$300,MATCH(data!S$1,Haver_M!$B$1:$BZ$1,0),FALSE),"")</f>
        <v>53.81</v>
      </c>
      <c r="T46">
        <f>IF(ISNUMBER(VLOOKUP($A46,Haver_M!$B$1:$BZ$300,MATCH(data!T$1,Haver_M!$B$1:$BZ$1,0),FALSE)),VLOOKUP($A46,Haver_M!$B$1:$BZ$300,MATCH(data!T$1,Haver_M!$B$1:$BZ$1,0),FALSE),"")</f>
        <v>62.76</v>
      </c>
      <c r="U46">
        <f>IF(ISNUMBER(VLOOKUP($A46,Haver_M!$B$1:$BZ$300,MATCH(data!U$1,Haver_M!$B$1:$BZ$1,0),FALSE)),VLOOKUP($A46,Haver_M!$B$1:$BZ$300,MATCH(data!U$1,Haver_M!$B$1:$BZ$1,0),FALSE),"")</f>
        <v>32.07</v>
      </c>
      <c r="V46">
        <f>IF(ISNUMBER(VLOOKUP($A46,Haver_M!$B$1:$BZ$300,MATCH(data!V$1,Haver_M!$B$1:$BZ$1,0),FALSE)),VLOOKUP($A46,Haver_M!$B$1:$BZ$300,MATCH(data!V$1,Haver_M!$B$1:$BZ$1,0),FALSE),"")</f>
        <v>66.05</v>
      </c>
      <c r="W46" t="str">
        <f>IF(ISNUMBER(VLOOKUP($A46,Haver_M!$B$1:$BZ$300,MATCH(data!W$1,Haver_M!$B$1:$BZ$1,0),FALSE)),VLOOKUP($A46,Haver_M!$B$1:$BZ$300,MATCH(data!W$1,Haver_M!$B$1:$BZ$1,0),FALSE),"")</f>
        <v/>
      </c>
      <c r="X46">
        <f>IF(ISNUMBER(VLOOKUP($A46,Haver_M!$B$1:$BZ$300,MATCH(data!X$1,Haver_M!$B$1:$BZ$1,0),FALSE)),VLOOKUP($A46,Haver_M!$B$1:$BZ$300,MATCH(data!X$1,Haver_M!$B$1:$BZ$1,0),FALSE),"")</f>
        <v>28.87</v>
      </c>
      <c r="Y46">
        <f>IF(ISNUMBER(VLOOKUP($A46,Haver_M!$B$1:$BZ$300,MATCH(data!Y$1,Haver_M!$B$1:$BZ$1,0),FALSE)),VLOOKUP($A46,Haver_M!$B$1:$BZ$300,MATCH(data!Y$1,Haver_M!$B$1:$BZ$1,0),FALSE),"")</f>
        <v>58.92</v>
      </c>
      <c r="Z46" t="str">
        <f>IF(ISNUMBER(VLOOKUP($A46,Haver_M!$B$1:$BZ$300,MATCH(data!Z$1,Haver_M!$B$1:$BZ$1,0),FALSE)),VLOOKUP($A46,Haver_M!$B$1:$BZ$300,MATCH(data!Z$1,Haver_M!$B$1:$BZ$1,0),FALSE),"")</f>
        <v/>
      </c>
      <c r="AA46" t="str">
        <f>IF(ISNUMBER(VLOOKUP($A46,Haver_M!$B$1:$BZ$300,MATCH(data!AA$1,Haver_M!$B$1:$BZ$1,0),FALSE)),VLOOKUP($A46,Haver_M!$B$1:$BZ$300,MATCH(data!AA$1,Haver_M!$B$1:$BZ$1,0),FALSE),"")</f>
        <v/>
      </c>
      <c r="AB46" t="str">
        <f>IF(ISNUMBER(VLOOKUP($A46,Haver_M!$B$1:$BZ$300,MATCH(data!AB$1,Haver_M!$B$1:$BZ$1,0),FALSE)),VLOOKUP($A46,Haver_M!$B$1:$BZ$300,MATCH(data!AB$1,Haver_M!$B$1:$BZ$1,0),FALSE),"")</f>
        <v/>
      </c>
      <c r="AC46" t="str">
        <f>IF(ISNUMBER(VLOOKUP($A46,Haver_M!$B$1:$BZ$300,MATCH(data!AC$1,Haver_M!$B$1:$BZ$1,0),FALSE)),VLOOKUP($A46,Haver_M!$B$1:$BZ$300,MATCH(data!AC$1,Haver_M!$B$1:$BZ$1,0),FALSE),"")</f>
        <v/>
      </c>
      <c r="AD46" t="str">
        <f>IF(ISNUMBER(VLOOKUP($A46,Haver_M!$B$1:$BZ$300,MATCH(data!AD$1,Haver_M!$B$1:$BZ$1,0),FALSE)),VLOOKUP($A46,Haver_M!$B$1:$BZ$300,MATCH(data!AD$1,Haver_M!$B$1:$BZ$1,0),FALSE),"")</f>
        <v/>
      </c>
      <c r="AE46" t="str">
        <f>IF(ISNUMBER(VLOOKUP($A46,Haver_M!$B$1:$BZ$300,MATCH(data!AE$1,Haver_M!$B$1:$BZ$1,0),FALSE)),VLOOKUP($A46,Haver_M!$B$1:$BZ$300,MATCH(data!AE$1,Haver_M!$B$1:$BZ$1,0),FALSE),"")</f>
        <v/>
      </c>
      <c r="AF46" t="str">
        <f>IF(ISNUMBER(VLOOKUP($A46,Haver_M!$B$1:$BZ$300,MATCH(data!AF$1,Haver_M!$B$1:$BZ$1,0),FALSE)),VLOOKUP($A46,Haver_M!$B$1:$BZ$300,MATCH(data!AF$1,Haver_M!$B$1:$BZ$1,0),FALSE),"")</f>
        <v/>
      </c>
      <c r="AG46" t="str">
        <f>IF(ISNUMBER(VLOOKUP($A46,Haver_M!$B$1:$BZ$300,MATCH(data!AG$1,Haver_M!$B$1:$BZ$1,0),FALSE)),VLOOKUP($A46,Haver_M!$B$1:$BZ$300,MATCH(data!AG$1,Haver_M!$B$1:$BZ$1,0),FALSE),"")</f>
        <v/>
      </c>
      <c r="AH46" t="str">
        <f>IF(ISNUMBER(VLOOKUP($A46,Haver_M!$B$1:$BZ$300,MATCH(data!AH$1,Haver_M!$B$1:$BZ$1,0),FALSE)),VLOOKUP($A46,Haver_M!$B$1:$BZ$300,MATCH(data!AH$1,Haver_M!$B$1:$BZ$1,0),FALSE),"")</f>
        <v/>
      </c>
      <c r="AI46">
        <f>IF(ISNUMBER(VLOOKUP($A46,Haver_M!$B$1:$BZ$300,MATCH(data!AI$1,Haver_M!$B$1:$BZ$1,0),FALSE)),VLOOKUP($A46,Haver_M!$B$1:$BZ$300,MATCH(data!AI$1,Haver_M!$B$1:$BZ$1,0),FALSE),"")</f>
        <v>8861.2182993209353</v>
      </c>
      <c r="AJ46">
        <f>IF(ISNUMBER(VLOOKUP($A46,Haver_M!$B$1:$BZ$300,MATCH(data!AJ$1,Haver_M!$B$1:$BZ$1,0),FALSE)),VLOOKUP($A46,Haver_M!$B$1:$BZ$300,MATCH(data!AJ$1,Haver_M!$B$1:$BZ$1,0),FALSE),"")</f>
        <v>5340.46</v>
      </c>
      <c r="AK46">
        <f>IF(ISNUMBER(VLOOKUP($A46,Haver_M!$B$1:$BZ$300,MATCH(data!AK$1,Haver_M!$B$1:$BZ$1,0),FALSE)),VLOOKUP($A46,Haver_M!$B$1:$BZ$300,MATCH(data!AK$1,Haver_M!$B$1:$BZ$1,0),FALSE),"")</f>
        <v>6113.81</v>
      </c>
      <c r="AL46" t="str">
        <f>IF(ISNUMBER(VLOOKUP($A46,Haver_M!$B$1:$BZ$300,MATCH(data!AL$1,Haver_M!$B$1:$BZ$1,0),FALSE)),VLOOKUP($A46,Haver_M!$B$1:$BZ$300,MATCH(data!AL$1,Haver_M!$B$1:$BZ$1,0),FALSE),"")</f>
        <v/>
      </c>
      <c r="AM46" t="str">
        <f>IF(ISNUMBER(VLOOKUP($A46,Haver_M!$B$1:$BZ$300,MATCH(data!AM$1,Haver_M!$B$1:$BZ$1,0),FALSE)),VLOOKUP($A46,Haver_M!$B$1:$BZ$300,MATCH(data!AM$1,Haver_M!$B$1:$BZ$1,0),FALSE),"")</f>
        <v/>
      </c>
      <c r="AN46" t="str">
        <f>IF(ISNUMBER(VLOOKUP($A46,Haver_M!$B$1:$BZ$300,MATCH(data!AN$1,Haver_M!$B$1:$BZ$1,0),FALSE)),VLOOKUP($A46,Haver_M!$B$1:$BZ$300,MATCH(data!AN$1,Haver_M!$B$1:$BZ$1,0),FALSE),"")</f>
        <v/>
      </c>
      <c r="AO46" t="str">
        <f>IF(ISNUMBER(VLOOKUP($A46,Haver_M!$B$1:$BZ$300,MATCH(data!AO$1,Haver_M!$B$1:$BZ$1,0),FALSE)),VLOOKUP($A46,Haver_M!$B$1:$BZ$300,MATCH(data!AO$1,Haver_M!$B$1:$BZ$1,0),FALSE),"")</f>
        <v/>
      </c>
      <c r="AP46">
        <f>IF(ISNUMBER(VLOOKUP($A46,Haver_M!$B$1:$BZ$300,MATCH(data!AP$1,Haver_M!$B$1:$BZ$1,0),FALSE)),VLOOKUP($A46,Haver_M!$B$1:$BZ$300,MATCH(data!AP$1,Haver_M!$B$1:$BZ$1,0),FALSE),"")</f>
        <v>58.689297707860845</v>
      </c>
      <c r="AQ46" t="str">
        <f>IF(ISNUMBER(VLOOKUP($A46,Haver_M!$B$1:$BZ$300,MATCH(data!AQ$1,Haver_M!$B$1:$BZ$1,0),FALSE)),VLOOKUP($A46,Haver_M!$B$1:$BZ$300,MATCH(data!AQ$1,Haver_M!$B$1:$BZ$1,0),FALSE),"")</f>
        <v/>
      </c>
      <c r="AR46" t="str">
        <f>IF(ISNUMBER(VLOOKUP($A46,Haver_M!$B$1:$BZ$300,MATCH(data!AR$1,Haver_M!$B$1:$BZ$1,0),FALSE)),VLOOKUP($A46,Haver_M!$B$1:$BZ$300,MATCH(data!AR$1,Haver_M!$B$1:$BZ$1,0),FALSE),"")</f>
        <v/>
      </c>
      <c r="AS46" t="str">
        <f>IF(ISNUMBER(VLOOKUP($A46,Haver_M!$B$1:$BZ$300,MATCH(data!AS$1,Haver_M!$B$1:$BZ$1,0),FALSE)),VLOOKUP($A46,Haver_M!$B$1:$BZ$300,MATCH(data!AS$1,Haver_M!$B$1:$BZ$1,0),FALSE),"")</f>
        <v/>
      </c>
      <c r="AT46" t="str">
        <f>IF(ISNUMBER(VLOOKUP($A46,Haver_M!$B$1:$BZ$300,MATCH(data!AT$1,Haver_M!$B$1:$BZ$1,0),FALSE)),VLOOKUP($A46,Haver_M!$B$1:$BZ$300,MATCH(data!AT$1,Haver_M!$B$1:$BZ$1,0),FALSE),"")</f>
        <v/>
      </c>
      <c r="AU46" t="str">
        <f>IF(ISNUMBER(VLOOKUP($A46,Haver_M!$B$1:$BZ$300,MATCH(data!AU$1,Haver_M!$B$1:$BZ$1,0),FALSE)),VLOOKUP($A46,Haver_M!$B$1:$BZ$300,MATCH(data!AU$1,Haver_M!$B$1:$BZ$1,0),FALSE),"")</f>
        <v/>
      </c>
      <c r="AV46" t="str">
        <f>IF(ISNUMBER(VLOOKUP($A46,Haver_M!$B$1:$BZ$300,MATCH(data!AV$1,Haver_M!$B$1:$BZ$1,0),FALSE)),VLOOKUP($A46,Haver_M!$B$1:$BZ$300,MATCH(data!AV$1,Haver_M!$B$1:$BZ$1,0),FALSE),"")</f>
        <v/>
      </c>
      <c r="AW46" t="str">
        <f>IF(ISNUMBER(VLOOKUP($A46,Haver_M!$B$1:$BZ$300,MATCH(data!AW$1,Haver_M!$B$1:$BZ$1,0),FALSE)),VLOOKUP($A46,Haver_M!$B$1:$BZ$300,MATCH(data!AW$1,Haver_M!$B$1:$BZ$1,0),FALSE),"")</f>
        <v/>
      </c>
      <c r="AX46" t="str">
        <f>IF(ISNUMBER(VLOOKUP($A46,Haver_M!$B$1:$BZ$300,MATCH(data!AX$1,Haver_M!$B$1:$BZ$1,0),FALSE)),VLOOKUP($A46,Haver_M!$B$1:$BZ$300,MATCH(data!AX$1,Haver_M!$B$1:$BZ$1,0),FALSE),"")</f>
        <v/>
      </c>
      <c r="AY46" t="str">
        <f>IF(ISNUMBER(VLOOKUP($A46,Haver_M!$B$1:$BZ$300,MATCH(data!AY$1,Haver_M!$B$1:$BZ$1,0),FALSE)),VLOOKUP($A46,Haver_M!$B$1:$BZ$300,MATCH(data!AY$1,Haver_M!$B$1:$BZ$1,0),FALSE),"")</f>
        <v/>
      </c>
      <c r="AZ46" t="str">
        <f>IF(ISNUMBER(VLOOKUP($A46,Haver_M!$B$1:$BZ$300,MATCH(data!AZ$1,Haver_M!$B$1:$BZ$1,0),FALSE)),VLOOKUP($A46,Haver_M!$B$1:$BZ$300,MATCH(data!AZ$1,Haver_M!$B$1:$BZ$1,0),FALSE),"")</f>
        <v/>
      </c>
      <c r="BA46" t="str">
        <f>IF(ISNUMBER(VLOOKUP($A46,Haver_M!$B$1:$BZ$300,MATCH(data!BA$1,Haver_M!$B$1:$BZ$1,0),FALSE)),VLOOKUP($A46,Haver_M!$B$1:$BZ$300,MATCH(data!BA$1,Haver_M!$B$1:$BZ$1,0),FALSE),"")</f>
        <v/>
      </c>
      <c r="BB46" t="str">
        <f>IF(ISNUMBER(VLOOKUP($A46,Haver_M!$B$1:$BZ$300,MATCH(data!BB$1,Haver_M!$B$1:$BZ$1,0),FALSE)),VLOOKUP($A46,Haver_M!$B$1:$BZ$300,MATCH(data!BB$1,Haver_M!$B$1:$BZ$1,0),FALSE),"")</f>
        <v/>
      </c>
      <c r="BC46" t="str">
        <f>IF(ISNUMBER(VLOOKUP($A46,Haver_M!$B$1:$BZ$300,MATCH(data!BC$1,Haver_M!$B$1:$BZ$1,0),FALSE)),VLOOKUP($A46,Haver_M!$B$1:$BZ$300,MATCH(data!BC$1,Haver_M!$B$1:$BZ$1,0),FALSE),"")</f>
        <v/>
      </c>
      <c r="BD46" t="str">
        <f>IF(ISNUMBER(VLOOKUP($A46,Haver_M!$B$1:$BZ$300,MATCH(data!BD$1,Haver_M!$B$1:$BZ$1,0),FALSE)),VLOOKUP($A46,Haver_M!$B$1:$BZ$300,MATCH(data!BD$1,Haver_M!$B$1:$BZ$1,0),FALSE),"")</f>
        <v/>
      </c>
      <c r="BE46" t="str">
        <f>IF(ISNUMBER(VLOOKUP($A46,Haver_M!$B$1:$BZ$300,MATCH(data!BE$1,Haver_M!$B$1:$BZ$1,0),FALSE)),VLOOKUP($A46,Haver_M!$B$1:$BZ$300,MATCH(data!BE$1,Haver_M!$B$1:$BZ$1,0),FALSE),"")</f>
        <v/>
      </c>
      <c r="BF46" t="str">
        <f>IF(ISNUMBER(VLOOKUP($A46,Haver_M!$B$1:$BZ$300,MATCH(data!BF$1,Haver_M!$B$1:$BZ$1,0),FALSE)),VLOOKUP($A46,Haver_M!$B$1:$BZ$300,MATCH(data!BF$1,Haver_M!$B$1:$BZ$1,0),FALSE),"")</f>
        <v/>
      </c>
      <c r="BG46" t="str">
        <f>IF(ISNUMBER(VLOOKUP($A46,Haver_M!$B$1:$BZ$300,MATCH(data!BG$1,Haver_M!$B$1:$BZ$1,0),FALSE)),VLOOKUP($A46,Haver_M!$B$1:$BZ$300,MATCH(data!BG$1,Haver_M!$B$1:$BZ$1,0),FALSE),"")</f>
        <v/>
      </c>
      <c r="BH46" t="str">
        <f>IF(ISNUMBER(VLOOKUP($A46,Haver_M!$B$1:$BZ$300,MATCH(data!BH$1,Haver_M!$B$1:$BZ$1,0),FALSE)),VLOOKUP($A46,Haver_M!$B$1:$BZ$300,MATCH(data!BH$1,Haver_M!$B$1:$BZ$1,0),FALSE),"")</f>
        <v/>
      </c>
      <c r="BI46" t="str">
        <f>IF(ISNUMBER(VLOOKUP($A46,Haver_M!$B$1:$BZ$300,MATCH(data!BI$1,Haver_M!$B$1:$BZ$1,0),FALSE)),VLOOKUP($A46,Haver_M!$B$1:$BZ$300,MATCH(data!BI$1,Haver_M!$B$1:$BZ$1,0),FALSE),"")</f>
        <v/>
      </c>
      <c r="BJ46" t="str">
        <f>IF(ISNUMBER(VLOOKUP($A46,Haver_M!$B$1:$BZ$300,MATCH(data!BJ$1,Haver_M!$B$1:$BZ$1,0),FALSE)),VLOOKUP($A46,Haver_M!$B$1:$BZ$300,MATCH(data!BJ$1,Haver_M!$B$1:$BZ$1,0),FALSE),"")</f>
        <v/>
      </c>
      <c r="BK46" t="str">
        <f>IF(ISNUMBER(VLOOKUP($A46,Haver_M!$B$1:$BZ$300,MATCH(data!BK$1,Haver_M!$B$1:$BZ$1,0),FALSE)),VLOOKUP($A46,Haver_M!$B$1:$BZ$300,MATCH(data!BK$1,Haver_M!$B$1:$BZ$1,0),FALSE),"")</f>
        <v/>
      </c>
      <c r="BL46">
        <f>IF(ISNUMBER(VLOOKUP($A46,Haver_M!$B$1:$BZ$300,MATCH(data!BL$1,Haver_M!$B$1:$BZ$1,0),FALSE)),VLOOKUP($A46,Haver_M!$B$1:$BZ$300,MATCH(data!BL$1,Haver_M!$B$1:$BZ$1,0),FALSE),"")</f>
        <v>4314.74</v>
      </c>
      <c r="BM46">
        <f>IF(ISNUMBER(VLOOKUP($A46,Haver_M!$B$1:$BZ$300,MATCH(data!BM$1,Haver_M!$B$1:$BZ$1,0),FALSE)),VLOOKUP($A46,Haver_M!$B$1:$BZ$300,MATCH(data!BM$1,Haver_M!$B$1:$BZ$1,0),FALSE),"")</f>
        <v>96.500147279999993</v>
      </c>
      <c r="BN46">
        <f>IF(ISNUMBER(VLOOKUP($A46,Haver_M!$B$1:$BZ$300,MATCH(data!BN$1,Haver_M!$B$1:$BZ$1,0),FALSE)),VLOOKUP($A46,Haver_M!$B$1:$BZ$300,MATCH(data!BN$1,Haver_M!$B$1:$BZ$1,0),FALSE),"")</f>
        <v>114.3</v>
      </c>
      <c r="BO46">
        <f>IF(ISNUMBER(VLOOKUP($A46,Haver_M!$B$1:$BZ$300,MATCH(data!BO$1,Haver_M!$B$1:$BZ$1,0),FALSE)),VLOOKUP($A46,Haver_M!$B$1:$BZ$300,MATCH(data!BO$1,Haver_M!$B$1:$BZ$1,0),FALSE),"")</f>
        <v>117.2</v>
      </c>
      <c r="BP46">
        <f>IF(ISNUMBER(VLOOKUP($A46,Haver_M!$B$1:$BZ$300,MATCH(data!BP$1,Haver_M!$B$1:$BZ$1,0),FALSE)),VLOOKUP($A46,Haver_M!$B$1:$BZ$300,MATCH(data!BP$1,Haver_M!$B$1:$BZ$1,0),FALSE),"")</f>
        <v>36.200000000000003</v>
      </c>
      <c r="BQ46" t="str">
        <f>IF(ISNUMBER(VLOOKUP($A46,Haver_M!$B$1:$BZ$300,MATCH(data!BQ$1,Haver_M!$B$1:$BZ$1,0),FALSE)),VLOOKUP($A46,Haver_M!$B$1:$BZ$300,MATCH(data!BQ$1,Haver_M!$B$1:$BZ$1,0),FALSE),"")</f>
        <v/>
      </c>
      <c r="BR46" t="str">
        <f>IF(ISNUMBER(VLOOKUP($A46,Haver_M!$B$1:$BZ$300,MATCH(data!BR$1,Haver_M!$B$1:$BZ$1,0),FALSE)),VLOOKUP($A46,Haver_M!$B$1:$BZ$300,MATCH(data!BR$1,Haver_M!$B$1:$BZ$1,0),FALSE),"")</f>
        <v/>
      </c>
      <c r="BS46" t="str">
        <f>IF(ISNUMBER(VLOOKUP($A46,Haver_M!$B$1:$BZ$300,MATCH(data!BS$1,Haver_M!$B$1:$BZ$1,0),FALSE)),VLOOKUP($A46,Haver_M!$B$1:$BZ$300,MATCH(data!BS$1,Haver_M!$B$1:$BZ$1,0),FALSE),"")</f>
        <v/>
      </c>
      <c r="BT46" t="str">
        <f>IF(ISNUMBER(VLOOKUP($A46,Haver_M!$B$1:$BZ$300,MATCH(data!BT$1,Haver_M!$B$1:$BZ$1,0),FALSE)),VLOOKUP($A46,Haver_M!$B$1:$BZ$300,MATCH(data!BT$1,Haver_M!$B$1:$BZ$1,0),FALSE),"")</f>
        <v/>
      </c>
      <c r="BU46">
        <f>IF(ISNUMBER(VLOOKUP($A46,Haver_M!$B$1:$BZ$300,MATCH(data!BU$1,Haver_M!$B$1:$BZ$1,0),FALSE)),VLOOKUP($A46,Haver_M!$B$1:$BZ$300,MATCH(data!BU$1,Haver_M!$B$1:$BZ$1,0),FALSE),"")</f>
        <v>5481</v>
      </c>
      <c r="BV46">
        <f>IF(ISNUMBER(VLOOKUP($A46,Haver_M!$B$1:$BZ$300,MATCH(data!BV$1,Haver_M!$B$1:$BZ$1,0),FALSE)),VLOOKUP($A46,Haver_M!$B$1:$BZ$300,MATCH(data!BV$1,Haver_M!$B$1:$BZ$1,0),FALSE),"")</f>
        <v>6305</v>
      </c>
      <c r="BW46">
        <f>IF(ISNUMBER(VLOOKUP($A46,Haver_M!$B$1:$BZ$300,MATCH(data!BW$1,Haver_M!$B$1:$BZ$1,0),FALSE)),VLOOKUP($A46,Haver_M!$B$1:$BZ$300,MATCH(data!BW$1,Haver_M!$B$1:$BZ$1,0),FALSE),"")</f>
        <v>45.847099999999998</v>
      </c>
      <c r="BX46">
        <f>IF(ISNUMBER(VLOOKUP($A46,Haver_M!$B$1:$BZ$300,MATCH(data!BX$1,Haver_M!$B$1:$BZ$1,0),FALSE)),VLOOKUP($A46,Haver_M!$B$1:$BZ$300,MATCH(data!BX$1,Haver_M!$B$1:$BZ$1,0),FALSE),"")</f>
        <v>23679</v>
      </c>
    </row>
    <row r="47" spans="1:76" x14ac:dyDescent="0.25">
      <c r="A47" s="2">
        <v>37925</v>
      </c>
      <c r="B47" t="str">
        <f>IF(ISNUMBER(VLOOKUP($A47,Haver_Q!$B$1:$L$185,MATCH(data!B$1,Haver_Q!$B$1:$L$1,0),FALSE)),100*(VLOOKUP($A47,Haver_Q!$B$1:$L$185,MATCH(data!B$1,Haver_Q!$B$1:$L$1,0),FALSE)),"")</f>
        <v/>
      </c>
      <c r="C47" t="str">
        <f>IF(ISNUMBER(VLOOKUP($A47,Haver_Q!$B$1:$L$185,MATCH(data!C$1,Haver_Q!$B$1:$L$1,0),FALSE)),100*(VLOOKUP($A47,Haver_Q!$B$1:$L$185,MATCH(data!C$1,Haver_Q!$B$1:$L$1,0),FALSE)),"")</f>
        <v/>
      </c>
      <c r="D47" t="str">
        <f>IF(ISNUMBER(VLOOKUP($A47,Haver_Q!$B$1:$L$185,MATCH(data!D$1,Haver_Q!$B$1:$L$1,0),FALSE)),100*(VLOOKUP($A47,Haver_Q!$B$1:$L$185,MATCH(data!D$1,Haver_Q!$B$1:$L$1,0),FALSE)),"")</f>
        <v/>
      </c>
      <c r="E47" t="str">
        <f>IF(ISNUMBER(VLOOKUP($A47,Haver_Q!$B$1:$L$185,MATCH(data!E$1,Haver_Q!$B$1:$L$1,0),FALSE)),100*(VLOOKUP($A47,Haver_Q!$B$1:$L$185,MATCH(data!E$1,Haver_Q!$B$1:$L$1,0),FALSE)),"")</f>
        <v/>
      </c>
      <c r="F47" t="str">
        <f>IF(ISNUMBER(VLOOKUP($A47,Haver_Q!$B$1:$L$185,MATCH(data!F$1,Haver_Q!$B$1:$L$1,0),FALSE)),100*(VLOOKUP($A47,Haver_Q!$B$1:$L$185,MATCH(data!F$1,Haver_Q!$B$1:$L$1,0),FALSE)),"")</f>
        <v/>
      </c>
      <c r="G47" t="str">
        <f>IF(ISNUMBER(VLOOKUP($A47,Haver_Q!$B$1:$L$185,MATCH(data!G$1,Haver_Q!$B$1:$L$1,0),FALSE)),100*(VLOOKUP($A47,Haver_Q!$B$1:$L$185,MATCH(data!G$1,Haver_Q!$B$1:$L$1,0),FALSE)),"")</f>
        <v/>
      </c>
      <c r="H47" t="str">
        <f>IF(ISNUMBER(VLOOKUP($A47,Haver_Q!$B$1:$L$185,MATCH(data!H$1,Haver_Q!$B$1:$L$1,0),FALSE)),(VLOOKUP($A47,Haver_Q!$B$1:$L$185,MATCH(data!H$1,Haver_Q!$B$1:$L$1,0),FALSE)),"")</f>
        <v/>
      </c>
      <c r="I47" t="str">
        <f>IF(ISNUMBER(VLOOKUP($A47,Haver_Q!$B$1:$L$185,MATCH(data!I$1,Haver_Q!$B$1:$L$1,0),FALSE)),100*(VLOOKUP($A47,Haver_Q!$B$1:$L$185,MATCH(data!I$1,Haver_Q!$B$1:$L$1,0),FALSE)),"")</f>
        <v/>
      </c>
      <c r="J47" s="3">
        <f>IF(ISNUMBER(Bloomberg_m!C63),Bloomberg_m!C63,"")</f>
        <v>4163</v>
      </c>
      <c r="K47" s="3" t="str">
        <f>IF(ISNUMBER(Bloomberg_m!D63),Bloomberg_m!D63,"")</f>
        <v/>
      </c>
      <c r="L47" s="3" t="str">
        <f>IF(ISNUMBER(Bloomberg_m!E63),Bloomberg_m!E63,"")</f>
        <v/>
      </c>
      <c r="M47" s="3" t="str">
        <f>IF(ISNUMBER(Bloomberg_m!F63),Bloomberg_m!F63,"")</f>
        <v/>
      </c>
      <c r="N47">
        <f>IF(ISNUMBER(VLOOKUP($A47,Haver_M!$B$1:$BZ$300,MATCH(data!N$1,Haver_M!$B$1:$BZ$1,0),FALSE)),VLOOKUP($A47,Haver_M!$B$1:$BZ$300,MATCH(data!N$1,Haver_M!$B$1:$BZ$1,0),FALSE),"")</f>
        <v>7</v>
      </c>
      <c r="O47">
        <f>IF(ISNUMBER(VLOOKUP($A47,Haver_M!$B$1:$BZ$300,MATCH(data!O$1,Haver_M!$B$1:$BZ$1,0),FALSE)),VLOOKUP($A47,Haver_M!$B$1:$BZ$300,MATCH(data!O$1,Haver_M!$B$1:$BZ$1,0),FALSE),"")</f>
        <v>5.1052</v>
      </c>
      <c r="P47">
        <f>IF(ISNUMBER(VLOOKUP($A47,Haver_M!$B$1:$BZ$300,MATCH(data!P$1,Haver_M!$B$1:$BZ$1,0),FALSE)),VLOOKUP($A47,Haver_M!$B$1:$BZ$300,MATCH(data!P$1,Haver_M!$B$1:$BZ$1,0),FALSE),"")</f>
        <v>96.711749999999995</v>
      </c>
      <c r="Q47">
        <f>IF(ISNUMBER(VLOOKUP($A47,Haver_M!$B$1:$BZ$300,MATCH(data!Q$1,Haver_M!$B$1:$BZ$1,0),FALSE)),VLOOKUP($A47,Haver_M!$B$1:$BZ$300,MATCH(data!Q$1,Haver_M!$B$1:$BZ$1,0),FALSE),"")</f>
        <v>53.8</v>
      </c>
      <c r="R47" t="str">
        <f>IF(ISNUMBER(VLOOKUP($A47,Haver_M!$B$1:$BZ$300,MATCH(data!R$1,Haver_M!$B$1:$BZ$1,0),FALSE)),VLOOKUP($A47,Haver_M!$B$1:$BZ$300,MATCH(data!R$1,Haver_M!$B$1:$BZ$1,0),FALSE),"")</f>
        <v/>
      </c>
      <c r="S47">
        <f>IF(ISNUMBER(VLOOKUP($A47,Haver_M!$B$1:$BZ$300,MATCH(data!S$1,Haver_M!$B$1:$BZ$1,0),FALSE)),VLOOKUP($A47,Haver_M!$B$1:$BZ$300,MATCH(data!S$1,Haver_M!$B$1:$BZ$1,0),FALSE),"")</f>
        <v>53.96</v>
      </c>
      <c r="T47">
        <f>IF(ISNUMBER(VLOOKUP($A47,Haver_M!$B$1:$BZ$300,MATCH(data!T$1,Haver_M!$B$1:$BZ$1,0),FALSE)),VLOOKUP($A47,Haver_M!$B$1:$BZ$300,MATCH(data!T$1,Haver_M!$B$1:$BZ$1,0),FALSE),"")</f>
        <v>62.44</v>
      </c>
      <c r="U47">
        <f>IF(ISNUMBER(VLOOKUP($A47,Haver_M!$B$1:$BZ$300,MATCH(data!U$1,Haver_M!$B$1:$BZ$1,0),FALSE)),VLOOKUP($A47,Haver_M!$B$1:$BZ$300,MATCH(data!U$1,Haver_M!$B$1:$BZ$1,0),FALSE),"")</f>
        <v>32.21</v>
      </c>
      <c r="V47">
        <f>IF(ISNUMBER(VLOOKUP($A47,Haver_M!$B$1:$BZ$300,MATCH(data!V$1,Haver_M!$B$1:$BZ$1,0),FALSE)),VLOOKUP($A47,Haver_M!$B$1:$BZ$300,MATCH(data!V$1,Haver_M!$B$1:$BZ$1,0),FALSE),"")</f>
        <v>66.47</v>
      </c>
      <c r="W47" t="str">
        <f>IF(ISNUMBER(VLOOKUP($A47,Haver_M!$B$1:$BZ$300,MATCH(data!W$1,Haver_M!$B$1:$BZ$1,0),FALSE)),VLOOKUP($A47,Haver_M!$B$1:$BZ$300,MATCH(data!W$1,Haver_M!$B$1:$BZ$1,0),FALSE),"")</f>
        <v/>
      </c>
      <c r="X47">
        <f>IF(ISNUMBER(VLOOKUP($A47,Haver_M!$B$1:$BZ$300,MATCH(data!X$1,Haver_M!$B$1:$BZ$1,0),FALSE)),VLOOKUP($A47,Haver_M!$B$1:$BZ$300,MATCH(data!X$1,Haver_M!$B$1:$BZ$1,0),FALSE),"")</f>
        <v>30.53</v>
      </c>
      <c r="Y47">
        <f>IF(ISNUMBER(VLOOKUP($A47,Haver_M!$B$1:$BZ$300,MATCH(data!Y$1,Haver_M!$B$1:$BZ$1,0),FALSE)),VLOOKUP($A47,Haver_M!$B$1:$BZ$300,MATCH(data!Y$1,Haver_M!$B$1:$BZ$1,0),FALSE),"")</f>
        <v>59.47</v>
      </c>
      <c r="Z47" t="str">
        <f>IF(ISNUMBER(VLOOKUP($A47,Haver_M!$B$1:$BZ$300,MATCH(data!Z$1,Haver_M!$B$1:$BZ$1,0),FALSE)),VLOOKUP($A47,Haver_M!$B$1:$BZ$300,MATCH(data!Z$1,Haver_M!$B$1:$BZ$1,0),FALSE),"")</f>
        <v/>
      </c>
      <c r="AA47" t="str">
        <f>IF(ISNUMBER(VLOOKUP($A47,Haver_M!$B$1:$BZ$300,MATCH(data!AA$1,Haver_M!$B$1:$BZ$1,0),FALSE)),VLOOKUP($A47,Haver_M!$B$1:$BZ$300,MATCH(data!AA$1,Haver_M!$B$1:$BZ$1,0),FALSE),"")</f>
        <v/>
      </c>
      <c r="AB47" t="str">
        <f>IF(ISNUMBER(VLOOKUP($A47,Haver_M!$B$1:$BZ$300,MATCH(data!AB$1,Haver_M!$B$1:$BZ$1,0),FALSE)),VLOOKUP($A47,Haver_M!$B$1:$BZ$300,MATCH(data!AB$1,Haver_M!$B$1:$BZ$1,0),FALSE),"")</f>
        <v/>
      </c>
      <c r="AC47" t="str">
        <f>IF(ISNUMBER(VLOOKUP($A47,Haver_M!$B$1:$BZ$300,MATCH(data!AC$1,Haver_M!$B$1:$BZ$1,0),FALSE)),VLOOKUP($A47,Haver_M!$B$1:$BZ$300,MATCH(data!AC$1,Haver_M!$B$1:$BZ$1,0),FALSE),"")</f>
        <v/>
      </c>
      <c r="AD47" t="str">
        <f>IF(ISNUMBER(VLOOKUP($A47,Haver_M!$B$1:$BZ$300,MATCH(data!AD$1,Haver_M!$B$1:$BZ$1,0),FALSE)),VLOOKUP($A47,Haver_M!$B$1:$BZ$300,MATCH(data!AD$1,Haver_M!$B$1:$BZ$1,0),FALSE),"")</f>
        <v/>
      </c>
      <c r="AE47" t="str">
        <f>IF(ISNUMBER(VLOOKUP($A47,Haver_M!$B$1:$BZ$300,MATCH(data!AE$1,Haver_M!$B$1:$BZ$1,0),FALSE)),VLOOKUP($A47,Haver_M!$B$1:$BZ$300,MATCH(data!AE$1,Haver_M!$B$1:$BZ$1,0),FALSE),"")</f>
        <v/>
      </c>
      <c r="AF47" t="str">
        <f>IF(ISNUMBER(VLOOKUP($A47,Haver_M!$B$1:$BZ$300,MATCH(data!AF$1,Haver_M!$B$1:$BZ$1,0),FALSE)),VLOOKUP($A47,Haver_M!$B$1:$BZ$300,MATCH(data!AF$1,Haver_M!$B$1:$BZ$1,0),FALSE),"")</f>
        <v/>
      </c>
      <c r="AG47" t="str">
        <f>IF(ISNUMBER(VLOOKUP($A47,Haver_M!$B$1:$BZ$300,MATCH(data!AG$1,Haver_M!$B$1:$BZ$1,0),FALSE)),VLOOKUP($A47,Haver_M!$B$1:$BZ$300,MATCH(data!AG$1,Haver_M!$B$1:$BZ$1,0),FALSE),"")</f>
        <v/>
      </c>
      <c r="AH47" t="str">
        <f>IF(ISNUMBER(VLOOKUP($A47,Haver_M!$B$1:$BZ$300,MATCH(data!AH$1,Haver_M!$B$1:$BZ$1,0),FALSE)),VLOOKUP($A47,Haver_M!$B$1:$BZ$300,MATCH(data!AH$1,Haver_M!$B$1:$BZ$1,0),FALSE),"")</f>
        <v/>
      </c>
      <c r="AI47">
        <f>IF(ISNUMBER(VLOOKUP($A47,Haver_M!$B$1:$BZ$300,MATCH(data!AI$1,Haver_M!$B$1:$BZ$1,0),FALSE)),VLOOKUP($A47,Haver_M!$B$1:$BZ$300,MATCH(data!AI$1,Haver_M!$B$1:$BZ$1,0),FALSE),"")</f>
        <v>9060.9274774067781</v>
      </c>
      <c r="AJ47">
        <f>IF(ISNUMBER(VLOOKUP($A47,Haver_M!$B$1:$BZ$300,MATCH(data!AJ$1,Haver_M!$B$1:$BZ$1,0),FALSE)),VLOOKUP($A47,Haver_M!$B$1:$BZ$300,MATCH(data!AJ$1,Haver_M!$B$1:$BZ$1,0),FALSE),"")</f>
        <v>5569.87</v>
      </c>
      <c r="AK47">
        <f>IF(ISNUMBER(VLOOKUP($A47,Haver_M!$B$1:$BZ$300,MATCH(data!AK$1,Haver_M!$B$1:$BZ$1,0),FALSE)),VLOOKUP($A47,Haver_M!$B$1:$BZ$300,MATCH(data!AK$1,Haver_M!$B$1:$BZ$1,0),FALSE),"")</f>
        <v>6779.16</v>
      </c>
      <c r="AL47" t="str">
        <f>IF(ISNUMBER(VLOOKUP($A47,Haver_M!$B$1:$BZ$300,MATCH(data!AL$1,Haver_M!$B$1:$BZ$1,0),FALSE)),VLOOKUP($A47,Haver_M!$B$1:$BZ$300,MATCH(data!AL$1,Haver_M!$B$1:$BZ$1,0),FALSE),"")</f>
        <v/>
      </c>
      <c r="AM47" t="str">
        <f>IF(ISNUMBER(VLOOKUP($A47,Haver_M!$B$1:$BZ$300,MATCH(data!AM$1,Haver_M!$B$1:$BZ$1,0),FALSE)),VLOOKUP($A47,Haver_M!$B$1:$BZ$300,MATCH(data!AM$1,Haver_M!$B$1:$BZ$1,0),FALSE),"")</f>
        <v/>
      </c>
      <c r="AN47" t="str">
        <f>IF(ISNUMBER(VLOOKUP($A47,Haver_M!$B$1:$BZ$300,MATCH(data!AN$1,Haver_M!$B$1:$BZ$1,0),FALSE)),VLOOKUP($A47,Haver_M!$B$1:$BZ$300,MATCH(data!AN$1,Haver_M!$B$1:$BZ$1,0),FALSE),"")</f>
        <v/>
      </c>
      <c r="AO47" t="str">
        <f>IF(ISNUMBER(VLOOKUP($A47,Haver_M!$B$1:$BZ$300,MATCH(data!AO$1,Haver_M!$B$1:$BZ$1,0),FALSE)),VLOOKUP($A47,Haver_M!$B$1:$BZ$300,MATCH(data!AO$1,Haver_M!$B$1:$BZ$1,0),FALSE),"")</f>
        <v/>
      </c>
      <c r="AP47">
        <f>IF(ISNUMBER(VLOOKUP($A47,Haver_M!$B$1:$BZ$300,MATCH(data!AP$1,Haver_M!$B$1:$BZ$1,0),FALSE)),VLOOKUP($A47,Haver_M!$B$1:$BZ$300,MATCH(data!AP$1,Haver_M!$B$1:$BZ$1,0),FALSE),"")</f>
        <v>54.107665971337717</v>
      </c>
      <c r="AQ47" t="str">
        <f>IF(ISNUMBER(VLOOKUP($A47,Haver_M!$B$1:$BZ$300,MATCH(data!AQ$1,Haver_M!$B$1:$BZ$1,0),FALSE)),VLOOKUP($A47,Haver_M!$B$1:$BZ$300,MATCH(data!AQ$1,Haver_M!$B$1:$BZ$1,0),FALSE),"")</f>
        <v/>
      </c>
      <c r="AR47" t="str">
        <f>IF(ISNUMBER(VLOOKUP($A47,Haver_M!$B$1:$BZ$300,MATCH(data!AR$1,Haver_M!$B$1:$BZ$1,0),FALSE)),VLOOKUP($A47,Haver_M!$B$1:$BZ$300,MATCH(data!AR$1,Haver_M!$B$1:$BZ$1,0),FALSE),"")</f>
        <v/>
      </c>
      <c r="AS47" t="str">
        <f>IF(ISNUMBER(VLOOKUP($A47,Haver_M!$B$1:$BZ$300,MATCH(data!AS$1,Haver_M!$B$1:$BZ$1,0),FALSE)),VLOOKUP($A47,Haver_M!$B$1:$BZ$300,MATCH(data!AS$1,Haver_M!$B$1:$BZ$1,0),FALSE),"")</f>
        <v/>
      </c>
      <c r="AT47" t="str">
        <f>IF(ISNUMBER(VLOOKUP($A47,Haver_M!$B$1:$BZ$300,MATCH(data!AT$1,Haver_M!$B$1:$BZ$1,0),FALSE)),VLOOKUP($A47,Haver_M!$B$1:$BZ$300,MATCH(data!AT$1,Haver_M!$B$1:$BZ$1,0),FALSE),"")</f>
        <v/>
      </c>
      <c r="AU47" t="str">
        <f>IF(ISNUMBER(VLOOKUP($A47,Haver_M!$B$1:$BZ$300,MATCH(data!AU$1,Haver_M!$B$1:$BZ$1,0),FALSE)),VLOOKUP($A47,Haver_M!$B$1:$BZ$300,MATCH(data!AU$1,Haver_M!$B$1:$BZ$1,0),FALSE),"")</f>
        <v/>
      </c>
      <c r="AV47" t="str">
        <f>IF(ISNUMBER(VLOOKUP($A47,Haver_M!$B$1:$BZ$300,MATCH(data!AV$1,Haver_M!$B$1:$BZ$1,0),FALSE)),VLOOKUP($A47,Haver_M!$B$1:$BZ$300,MATCH(data!AV$1,Haver_M!$B$1:$BZ$1,0),FALSE),"")</f>
        <v/>
      </c>
      <c r="AW47" t="str">
        <f>IF(ISNUMBER(VLOOKUP($A47,Haver_M!$B$1:$BZ$300,MATCH(data!AW$1,Haver_M!$B$1:$BZ$1,0),FALSE)),VLOOKUP($A47,Haver_M!$B$1:$BZ$300,MATCH(data!AW$1,Haver_M!$B$1:$BZ$1,0),FALSE),"")</f>
        <v/>
      </c>
      <c r="AX47" t="str">
        <f>IF(ISNUMBER(VLOOKUP($A47,Haver_M!$B$1:$BZ$300,MATCH(data!AX$1,Haver_M!$B$1:$BZ$1,0),FALSE)),VLOOKUP($A47,Haver_M!$B$1:$BZ$300,MATCH(data!AX$1,Haver_M!$B$1:$BZ$1,0),FALSE),"")</f>
        <v/>
      </c>
      <c r="AY47" t="str">
        <f>IF(ISNUMBER(VLOOKUP($A47,Haver_M!$B$1:$BZ$300,MATCH(data!AY$1,Haver_M!$B$1:$BZ$1,0),FALSE)),VLOOKUP($A47,Haver_M!$B$1:$BZ$300,MATCH(data!AY$1,Haver_M!$B$1:$BZ$1,0),FALSE),"")</f>
        <v/>
      </c>
      <c r="AZ47" t="str">
        <f>IF(ISNUMBER(VLOOKUP($A47,Haver_M!$B$1:$BZ$300,MATCH(data!AZ$1,Haver_M!$B$1:$BZ$1,0),FALSE)),VLOOKUP($A47,Haver_M!$B$1:$BZ$300,MATCH(data!AZ$1,Haver_M!$B$1:$BZ$1,0),FALSE),"")</f>
        <v/>
      </c>
      <c r="BA47" t="str">
        <f>IF(ISNUMBER(VLOOKUP($A47,Haver_M!$B$1:$BZ$300,MATCH(data!BA$1,Haver_M!$B$1:$BZ$1,0),FALSE)),VLOOKUP($A47,Haver_M!$B$1:$BZ$300,MATCH(data!BA$1,Haver_M!$B$1:$BZ$1,0),FALSE),"")</f>
        <v/>
      </c>
      <c r="BB47" t="str">
        <f>IF(ISNUMBER(VLOOKUP($A47,Haver_M!$B$1:$BZ$300,MATCH(data!BB$1,Haver_M!$B$1:$BZ$1,0),FALSE)),VLOOKUP($A47,Haver_M!$B$1:$BZ$300,MATCH(data!BB$1,Haver_M!$B$1:$BZ$1,0),FALSE),"")</f>
        <v/>
      </c>
      <c r="BC47" t="str">
        <f>IF(ISNUMBER(VLOOKUP($A47,Haver_M!$B$1:$BZ$300,MATCH(data!BC$1,Haver_M!$B$1:$BZ$1,0),FALSE)),VLOOKUP($A47,Haver_M!$B$1:$BZ$300,MATCH(data!BC$1,Haver_M!$B$1:$BZ$1,0),FALSE),"")</f>
        <v/>
      </c>
      <c r="BD47" t="str">
        <f>IF(ISNUMBER(VLOOKUP($A47,Haver_M!$B$1:$BZ$300,MATCH(data!BD$1,Haver_M!$B$1:$BZ$1,0),FALSE)),VLOOKUP($A47,Haver_M!$B$1:$BZ$300,MATCH(data!BD$1,Haver_M!$B$1:$BZ$1,0),FALSE),"")</f>
        <v/>
      </c>
      <c r="BE47" t="str">
        <f>IF(ISNUMBER(VLOOKUP($A47,Haver_M!$B$1:$BZ$300,MATCH(data!BE$1,Haver_M!$B$1:$BZ$1,0),FALSE)),VLOOKUP($A47,Haver_M!$B$1:$BZ$300,MATCH(data!BE$1,Haver_M!$B$1:$BZ$1,0),FALSE),"")</f>
        <v/>
      </c>
      <c r="BF47" t="str">
        <f>IF(ISNUMBER(VLOOKUP($A47,Haver_M!$B$1:$BZ$300,MATCH(data!BF$1,Haver_M!$B$1:$BZ$1,0),FALSE)),VLOOKUP($A47,Haver_M!$B$1:$BZ$300,MATCH(data!BF$1,Haver_M!$B$1:$BZ$1,0),FALSE),"")</f>
        <v/>
      </c>
      <c r="BG47" t="str">
        <f>IF(ISNUMBER(VLOOKUP($A47,Haver_M!$B$1:$BZ$300,MATCH(data!BG$1,Haver_M!$B$1:$BZ$1,0),FALSE)),VLOOKUP($A47,Haver_M!$B$1:$BZ$300,MATCH(data!BG$1,Haver_M!$B$1:$BZ$1,0),FALSE),"")</f>
        <v/>
      </c>
      <c r="BH47" t="str">
        <f>IF(ISNUMBER(VLOOKUP($A47,Haver_M!$B$1:$BZ$300,MATCH(data!BH$1,Haver_M!$B$1:$BZ$1,0),FALSE)),VLOOKUP($A47,Haver_M!$B$1:$BZ$300,MATCH(data!BH$1,Haver_M!$B$1:$BZ$1,0),FALSE),"")</f>
        <v/>
      </c>
      <c r="BI47" t="str">
        <f>IF(ISNUMBER(VLOOKUP($A47,Haver_M!$B$1:$BZ$300,MATCH(data!BI$1,Haver_M!$B$1:$BZ$1,0),FALSE)),VLOOKUP($A47,Haver_M!$B$1:$BZ$300,MATCH(data!BI$1,Haver_M!$B$1:$BZ$1,0),FALSE),"")</f>
        <v/>
      </c>
      <c r="BJ47" t="str">
        <f>IF(ISNUMBER(VLOOKUP($A47,Haver_M!$B$1:$BZ$300,MATCH(data!BJ$1,Haver_M!$B$1:$BZ$1,0),FALSE)),VLOOKUP($A47,Haver_M!$B$1:$BZ$300,MATCH(data!BJ$1,Haver_M!$B$1:$BZ$1,0),FALSE),"")</f>
        <v/>
      </c>
      <c r="BK47" t="str">
        <f>IF(ISNUMBER(VLOOKUP($A47,Haver_M!$B$1:$BZ$300,MATCH(data!BK$1,Haver_M!$B$1:$BZ$1,0),FALSE)),VLOOKUP($A47,Haver_M!$B$1:$BZ$300,MATCH(data!BK$1,Haver_M!$B$1:$BZ$1,0),FALSE),"")</f>
        <v/>
      </c>
      <c r="BL47">
        <f>IF(ISNUMBER(VLOOKUP($A47,Haver_M!$B$1:$BZ$300,MATCH(data!BL$1,Haver_M!$B$1:$BZ$1,0),FALSE)),VLOOKUP($A47,Haver_M!$B$1:$BZ$300,MATCH(data!BL$1,Haver_M!$B$1:$BZ$1,0),FALSE),"")</f>
        <v>4739.6000000000004</v>
      </c>
      <c r="BM47">
        <f>IF(ISNUMBER(VLOOKUP($A47,Haver_M!$B$1:$BZ$300,MATCH(data!BM$1,Haver_M!$B$1:$BZ$1,0),FALSE)),VLOOKUP($A47,Haver_M!$B$1:$BZ$300,MATCH(data!BM$1,Haver_M!$B$1:$BZ$1,0),FALSE),"")</f>
        <v>98.858886659999996</v>
      </c>
      <c r="BN47" t="str">
        <f>IF(ISNUMBER(VLOOKUP($A47,Haver_M!$B$1:$BZ$300,MATCH(data!BN$1,Haver_M!$B$1:$BZ$1,0),FALSE)),VLOOKUP($A47,Haver_M!$B$1:$BZ$300,MATCH(data!BN$1,Haver_M!$B$1:$BZ$1,0),FALSE),"")</f>
        <v/>
      </c>
      <c r="BO47" t="str">
        <f>IF(ISNUMBER(VLOOKUP($A47,Haver_M!$B$1:$BZ$300,MATCH(data!BO$1,Haver_M!$B$1:$BZ$1,0),FALSE)),VLOOKUP($A47,Haver_M!$B$1:$BZ$300,MATCH(data!BO$1,Haver_M!$B$1:$BZ$1,0),FALSE),"")</f>
        <v/>
      </c>
      <c r="BP47" t="str">
        <f>IF(ISNUMBER(VLOOKUP($A47,Haver_M!$B$1:$BZ$300,MATCH(data!BP$1,Haver_M!$B$1:$BZ$1,0),FALSE)),VLOOKUP($A47,Haver_M!$B$1:$BZ$300,MATCH(data!BP$1,Haver_M!$B$1:$BZ$1,0),FALSE),"")</f>
        <v/>
      </c>
      <c r="BQ47" t="str">
        <f>IF(ISNUMBER(VLOOKUP($A47,Haver_M!$B$1:$BZ$300,MATCH(data!BQ$1,Haver_M!$B$1:$BZ$1,0),FALSE)),VLOOKUP($A47,Haver_M!$B$1:$BZ$300,MATCH(data!BQ$1,Haver_M!$B$1:$BZ$1,0),FALSE),"")</f>
        <v/>
      </c>
      <c r="BR47" t="str">
        <f>IF(ISNUMBER(VLOOKUP($A47,Haver_M!$B$1:$BZ$300,MATCH(data!BR$1,Haver_M!$B$1:$BZ$1,0),FALSE)),VLOOKUP($A47,Haver_M!$B$1:$BZ$300,MATCH(data!BR$1,Haver_M!$B$1:$BZ$1,0),FALSE),"")</f>
        <v/>
      </c>
      <c r="BS47" t="str">
        <f>IF(ISNUMBER(VLOOKUP($A47,Haver_M!$B$1:$BZ$300,MATCH(data!BS$1,Haver_M!$B$1:$BZ$1,0),FALSE)),VLOOKUP($A47,Haver_M!$B$1:$BZ$300,MATCH(data!BS$1,Haver_M!$B$1:$BZ$1,0),FALSE),"")</f>
        <v/>
      </c>
      <c r="BT47" t="str">
        <f>IF(ISNUMBER(VLOOKUP($A47,Haver_M!$B$1:$BZ$300,MATCH(data!BT$1,Haver_M!$B$1:$BZ$1,0),FALSE)),VLOOKUP($A47,Haver_M!$B$1:$BZ$300,MATCH(data!BT$1,Haver_M!$B$1:$BZ$1,0),FALSE),"")</f>
        <v/>
      </c>
      <c r="BU47">
        <f>IF(ISNUMBER(VLOOKUP($A47,Haver_M!$B$1:$BZ$300,MATCH(data!BU$1,Haver_M!$B$1:$BZ$1,0),FALSE)),VLOOKUP($A47,Haver_M!$B$1:$BZ$300,MATCH(data!BU$1,Haver_M!$B$1:$BZ$1,0),FALSE),"")</f>
        <v>5609</v>
      </c>
      <c r="BV47">
        <f>IF(ISNUMBER(VLOOKUP($A47,Haver_M!$B$1:$BZ$300,MATCH(data!BV$1,Haver_M!$B$1:$BZ$1,0),FALSE)),VLOOKUP($A47,Haver_M!$B$1:$BZ$300,MATCH(data!BV$1,Haver_M!$B$1:$BZ$1,0),FALSE),"")</f>
        <v>7019</v>
      </c>
      <c r="BW47">
        <f>IF(ISNUMBER(VLOOKUP($A47,Haver_M!$B$1:$BZ$300,MATCH(data!BW$1,Haver_M!$B$1:$BZ$1,0),FALSE)),VLOOKUP($A47,Haver_M!$B$1:$BZ$300,MATCH(data!BW$1,Haver_M!$B$1:$BZ$1,0),FALSE),"")</f>
        <v>45.387300000000003</v>
      </c>
      <c r="BX47">
        <f>IF(ISNUMBER(VLOOKUP($A47,Haver_M!$B$1:$BZ$300,MATCH(data!BX$1,Haver_M!$B$1:$BZ$1,0),FALSE)),VLOOKUP($A47,Haver_M!$B$1:$BZ$300,MATCH(data!BX$1,Haver_M!$B$1:$BZ$1,0),FALSE),"")</f>
        <v>22085</v>
      </c>
    </row>
    <row r="48" spans="1:76" x14ac:dyDescent="0.25">
      <c r="A48" s="2">
        <v>37955</v>
      </c>
      <c r="B48" t="str">
        <f>IF(ISNUMBER(VLOOKUP($A48,Haver_Q!$B$1:$L$185,MATCH(data!B$1,Haver_Q!$B$1:$L$1,0),FALSE)),100*(VLOOKUP($A48,Haver_Q!$B$1:$L$185,MATCH(data!B$1,Haver_Q!$B$1:$L$1,0),FALSE)),"")</f>
        <v/>
      </c>
      <c r="C48" t="str">
        <f>IF(ISNUMBER(VLOOKUP($A48,Haver_Q!$B$1:$L$185,MATCH(data!C$1,Haver_Q!$B$1:$L$1,0),FALSE)),100*(VLOOKUP($A48,Haver_Q!$B$1:$L$185,MATCH(data!C$1,Haver_Q!$B$1:$L$1,0),FALSE)),"")</f>
        <v/>
      </c>
      <c r="D48" t="str">
        <f>IF(ISNUMBER(VLOOKUP($A48,Haver_Q!$B$1:$L$185,MATCH(data!D$1,Haver_Q!$B$1:$L$1,0),FALSE)),100*(VLOOKUP($A48,Haver_Q!$B$1:$L$185,MATCH(data!D$1,Haver_Q!$B$1:$L$1,0),FALSE)),"")</f>
        <v/>
      </c>
      <c r="E48" t="str">
        <f>IF(ISNUMBER(VLOOKUP($A48,Haver_Q!$B$1:$L$185,MATCH(data!E$1,Haver_Q!$B$1:$L$1,0),FALSE)),100*(VLOOKUP($A48,Haver_Q!$B$1:$L$185,MATCH(data!E$1,Haver_Q!$B$1:$L$1,0),FALSE)),"")</f>
        <v/>
      </c>
      <c r="F48" t="str">
        <f>IF(ISNUMBER(VLOOKUP($A48,Haver_Q!$B$1:$L$185,MATCH(data!F$1,Haver_Q!$B$1:$L$1,0),FALSE)),100*(VLOOKUP($A48,Haver_Q!$B$1:$L$185,MATCH(data!F$1,Haver_Q!$B$1:$L$1,0),FALSE)),"")</f>
        <v/>
      </c>
      <c r="G48" t="str">
        <f>IF(ISNUMBER(VLOOKUP($A48,Haver_Q!$B$1:$L$185,MATCH(data!G$1,Haver_Q!$B$1:$L$1,0),FALSE)),100*(VLOOKUP($A48,Haver_Q!$B$1:$L$185,MATCH(data!G$1,Haver_Q!$B$1:$L$1,0),FALSE)),"")</f>
        <v/>
      </c>
      <c r="H48" t="str">
        <f>IF(ISNUMBER(VLOOKUP($A48,Haver_Q!$B$1:$L$185,MATCH(data!H$1,Haver_Q!$B$1:$L$1,0),FALSE)),(VLOOKUP($A48,Haver_Q!$B$1:$L$185,MATCH(data!H$1,Haver_Q!$B$1:$L$1,0),FALSE)),"")</f>
        <v/>
      </c>
      <c r="I48" t="str">
        <f>IF(ISNUMBER(VLOOKUP($A48,Haver_Q!$B$1:$L$185,MATCH(data!I$1,Haver_Q!$B$1:$L$1,0),FALSE)),100*(VLOOKUP($A48,Haver_Q!$B$1:$L$185,MATCH(data!I$1,Haver_Q!$B$1:$L$1,0),FALSE)),"")</f>
        <v/>
      </c>
      <c r="J48" s="3">
        <f>IF(ISNUMBER(Bloomberg_m!C64),Bloomberg_m!C64,"")</f>
        <v>4250</v>
      </c>
      <c r="K48" s="3" t="str">
        <f>IF(ISNUMBER(Bloomberg_m!D64),Bloomberg_m!D64,"")</f>
        <v/>
      </c>
      <c r="L48" s="3" t="str">
        <f>IF(ISNUMBER(Bloomberg_m!E64),Bloomberg_m!E64,"")</f>
        <v/>
      </c>
      <c r="M48" s="3" t="str">
        <f>IF(ISNUMBER(Bloomberg_m!F64),Bloomberg_m!F64,"")</f>
        <v/>
      </c>
      <c r="N48">
        <f>IF(ISNUMBER(VLOOKUP($A48,Haver_M!$B$1:$BZ$300,MATCH(data!N$1,Haver_M!$B$1:$BZ$1,0),FALSE)),VLOOKUP($A48,Haver_M!$B$1:$BZ$300,MATCH(data!N$1,Haver_M!$B$1:$BZ$1,0),FALSE),"")</f>
        <v>7</v>
      </c>
      <c r="O48">
        <f>IF(ISNUMBER(VLOOKUP($A48,Haver_M!$B$1:$BZ$300,MATCH(data!O$1,Haver_M!$B$1:$BZ$1,0),FALSE)),VLOOKUP($A48,Haver_M!$B$1:$BZ$300,MATCH(data!O$1,Haver_M!$B$1:$BZ$1,0),FALSE),"")</f>
        <v>5.1433</v>
      </c>
      <c r="P48">
        <f>IF(ISNUMBER(VLOOKUP($A48,Haver_M!$B$1:$BZ$300,MATCH(data!P$1,Haver_M!$B$1:$BZ$1,0),FALSE)),VLOOKUP($A48,Haver_M!$B$1:$BZ$300,MATCH(data!P$1,Haver_M!$B$1:$BZ$1,0),FALSE),"")</f>
        <v>96.645030000000006</v>
      </c>
      <c r="Q48">
        <f>IF(ISNUMBER(VLOOKUP($A48,Haver_M!$B$1:$BZ$300,MATCH(data!Q$1,Haver_M!$B$1:$BZ$1,0),FALSE)),VLOOKUP($A48,Haver_M!$B$1:$BZ$300,MATCH(data!Q$1,Haver_M!$B$1:$BZ$1,0),FALSE),"")</f>
        <v>53.9</v>
      </c>
      <c r="R48" t="str">
        <f>IF(ISNUMBER(VLOOKUP($A48,Haver_M!$B$1:$BZ$300,MATCH(data!R$1,Haver_M!$B$1:$BZ$1,0),FALSE)),VLOOKUP($A48,Haver_M!$B$1:$BZ$300,MATCH(data!R$1,Haver_M!$B$1:$BZ$1,0),FALSE),"")</f>
        <v/>
      </c>
      <c r="S48">
        <f>IF(ISNUMBER(VLOOKUP($A48,Haver_M!$B$1:$BZ$300,MATCH(data!S$1,Haver_M!$B$1:$BZ$1,0),FALSE)),VLOOKUP($A48,Haver_M!$B$1:$BZ$300,MATCH(data!S$1,Haver_M!$B$1:$BZ$1,0),FALSE),"")</f>
        <v>54.42</v>
      </c>
      <c r="T48">
        <f>IF(ISNUMBER(VLOOKUP($A48,Haver_M!$B$1:$BZ$300,MATCH(data!T$1,Haver_M!$B$1:$BZ$1,0),FALSE)),VLOOKUP($A48,Haver_M!$B$1:$BZ$300,MATCH(data!T$1,Haver_M!$B$1:$BZ$1,0),FALSE),"")</f>
        <v>62.83</v>
      </c>
      <c r="U48">
        <f>IF(ISNUMBER(VLOOKUP($A48,Haver_M!$B$1:$BZ$300,MATCH(data!U$1,Haver_M!$B$1:$BZ$1,0),FALSE)),VLOOKUP($A48,Haver_M!$B$1:$BZ$300,MATCH(data!U$1,Haver_M!$B$1:$BZ$1,0),FALSE),"")</f>
        <v>33.22</v>
      </c>
      <c r="V48">
        <f>IF(ISNUMBER(VLOOKUP($A48,Haver_M!$B$1:$BZ$300,MATCH(data!V$1,Haver_M!$B$1:$BZ$1,0),FALSE)),VLOOKUP($A48,Haver_M!$B$1:$BZ$300,MATCH(data!V$1,Haver_M!$B$1:$BZ$1,0),FALSE),"")</f>
        <v>66.819999999999993</v>
      </c>
      <c r="W48" t="str">
        <f>IF(ISNUMBER(VLOOKUP($A48,Haver_M!$B$1:$BZ$300,MATCH(data!W$1,Haver_M!$B$1:$BZ$1,0),FALSE)),VLOOKUP($A48,Haver_M!$B$1:$BZ$300,MATCH(data!W$1,Haver_M!$B$1:$BZ$1,0),FALSE),"")</f>
        <v/>
      </c>
      <c r="X48">
        <f>IF(ISNUMBER(VLOOKUP($A48,Haver_M!$B$1:$BZ$300,MATCH(data!X$1,Haver_M!$B$1:$BZ$1,0),FALSE)),VLOOKUP($A48,Haver_M!$B$1:$BZ$300,MATCH(data!X$1,Haver_M!$B$1:$BZ$1,0),FALSE),"")</f>
        <v>30.28</v>
      </c>
      <c r="Y48">
        <f>IF(ISNUMBER(VLOOKUP($A48,Haver_M!$B$1:$BZ$300,MATCH(data!Y$1,Haver_M!$B$1:$BZ$1,0),FALSE)),VLOOKUP($A48,Haver_M!$B$1:$BZ$300,MATCH(data!Y$1,Haver_M!$B$1:$BZ$1,0),FALSE),"")</f>
        <v>58.07</v>
      </c>
      <c r="Z48" t="str">
        <f>IF(ISNUMBER(VLOOKUP($A48,Haver_M!$B$1:$BZ$300,MATCH(data!Z$1,Haver_M!$B$1:$BZ$1,0),FALSE)),VLOOKUP($A48,Haver_M!$B$1:$BZ$300,MATCH(data!Z$1,Haver_M!$B$1:$BZ$1,0),FALSE),"")</f>
        <v/>
      </c>
      <c r="AA48" t="str">
        <f>IF(ISNUMBER(VLOOKUP($A48,Haver_M!$B$1:$BZ$300,MATCH(data!AA$1,Haver_M!$B$1:$BZ$1,0),FALSE)),VLOOKUP($A48,Haver_M!$B$1:$BZ$300,MATCH(data!AA$1,Haver_M!$B$1:$BZ$1,0),FALSE),"")</f>
        <v/>
      </c>
      <c r="AB48" t="str">
        <f>IF(ISNUMBER(VLOOKUP($A48,Haver_M!$B$1:$BZ$300,MATCH(data!AB$1,Haver_M!$B$1:$BZ$1,0),FALSE)),VLOOKUP($A48,Haver_M!$B$1:$BZ$300,MATCH(data!AB$1,Haver_M!$B$1:$BZ$1,0),FALSE),"")</f>
        <v/>
      </c>
      <c r="AC48" t="str">
        <f>IF(ISNUMBER(VLOOKUP($A48,Haver_M!$B$1:$BZ$300,MATCH(data!AC$1,Haver_M!$B$1:$BZ$1,0),FALSE)),VLOOKUP($A48,Haver_M!$B$1:$BZ$300,MATCH(data!AC$1,Haver_M!$B$1:$BZ$1,0),FALSE),"")</f>
        <v/>
      </c>
      <c r="AD48" t="str">
        <f>IF(ISNUMBER(VLOOKUP($A48,Haver_M!$B$1:$BZ$300,MATCH(data!AD$1,Haver_M!$B$1:$BZ$1,0),FALSE)),VLOOKUP($A48,Haver_M!$B$1:$BZ$300,MATCH(data!AD$1,Haver_M!$B$1:$BZ$1,0),FALSE),"")</f>
        <v/>
      </c>
      <c r="AE48" t="str">
        <f>IF(ISNUMBER(VLOOKUP($A48,Haver_M!$B$1:$BZ$300,MATCH(data!AE$1,Haver_M!$B$1:$BZ$1,0),FALSE)),VLOOKUP($A48,Haver_M!$B$1:$BZ$300,MATCH(data!AE$1,Haver_M!$B$1:$BZ$1,0),FALSE),"")</f>
        <v/>
      </c>
      <c r="AF48" t="str">
        <f>IF(ISNUMBER(VLOOKUP($A48,Haver_M!$B$1:$BZ$300,MATCH(data!AF$1,Haver_M!$B$1:$BZ$1,0),FALSE)),VLOOKUP($A48,Haver_M!$B$1:$BZ$300,MATCH(data!AF$1,Haver_M!$B$1:$BZ$1,0),FALSE),"")</f>
        <v/>
      </c>
      <c r="AG48" t="str">
        <f>IF(ISNUMBER(VLOOKUP($A48,Haver_M!$B$1:$BZ$300,MATCH(data!AG$1,Haver_M!$B$1:$BZ$1,0),FALSE)),VLOOKUP($A48,Haver_M!$B$1:$BZ$300,MATCH(data!AG$1,Haver_M!$B$1:$BZ$1,0),FALSE),"")</f>
        <v/>
      </c>
      <c r="AH48" t="str">
        <f>IF(ISNUMBER(VLOOKUP($A48,Haver_M!$B$1:$BZ$300,MATCH(data!AH$1,Haver_M!$B$1:$BZ$1,0),FALSE)),VLOOKUP($A48,Haver_M!$B$1:$BZ$300,MATCH(data!AH$1,Haver_M!$B$1:$BZ$1,0),FALSE),"")</f>
        <v/>
      </c>
      <c r="AI48">
        <f>IF(ISNUMBER(VLOOKUP($A48,Haver_M!$B$1:$BZ$300,MATCH(data!AI$1,Haver_M!$B$1:$BZ$1,0),FALSE)),VLOOKUP($A48,Haver_M!$B$1:$BZ$300,MATCH(data!AI$1,Haver_M!$B$1:$BZ$1,0),FALSE),"")</f>
        <v>9343.0269185130164</v>
      </c>
      <c r="AJ48">
        <f>IF(ISNUMBER(VLOOKUP($A48,Haver_M!$B$1:$BZ$300,MATCH(data!AJ$1,Haver_M!$B$1:$BZ$1,0),FALSE)),VLOOKUP($A48,Haver_M!$B$1:$BZ$300,MATCH(data!AJ$1,Haver_M!$B$1:$BZ$1,0),FALSE),"")</f>
        <v>5275.41</v>
      </c>
      <c r="AK48">
        <f>IF(ISNUMBER(VLOOKUP($A48,Haver_M!$B$1:$BZ$300,MATCH(data!AK$1,Haver_M!$B$1:$BZ$1,0),FALSE)),VLOOKUP($A48,Haver_M!$B$1:$BZ$300,MATCH(data!AK$1,Haver_M!$B$1:$BZ$1,0),FALSE),"")</f>
        <v>6672.85</v>
      </c>
      <c r="AL48" t="str">
        <f>IF(ISNUMBER(VLOOKUP($A48,Haver_M!$B$1:$BZ$300,MATCH(data!AL$1,Haver_M!$B$1:$BZ$1,0),FALSE)),VLOOKUP($A48,Haver_M!$B$1:$BZ$300,MATCH(data!AL$1,Haver_M!$B$1:$BZ$1,0),FALSE),"")</f>
        <v/>
      </c>
      <c r="AM48" t="str">
        <f>IF(ISNUMBER(VLOOKUP($A48,Haver_M!$B$1:$BZ$300,MATCH(data!AM$1,Haver_M!$B$1:$BZ$1,0),FALSE)),VLOOKUP($A48,Haver_M!$B$1:$BZ$300,MATCH(data!AM$1,Haver_M!$B$1:$BZ$1,0),FALSE),"")</f>
        <v/>
      </c>
      <c r="AN48" t="str">
        <f>IF(ISNUMBER(VLOOKUP($A48,Haver_M!$B$1:$BZ$300,MATCH(data!AN$1,Haver_M!$B$1:$BZ$1,0),FALSE)),VLOOKUP($A48,Haver_M!$B$1:$BZ$300,MATCH(data!AN$1,Haver_M!$B$1:$BZ$1,0),FALSE),"")</f>
        <v/>
      </c>
      <c r="AO48" t="str">
        <f>IF(ISNUMBER(VLOOKUP($A48,Haver_M!$B$1:$BZ$300,MATCH(data!AO$1,Haver_M!$B$1:$BZ$1,0),FALSE)),VLOOKUP($A48,Haver_M!$B$1:$BZ$300,MATCH(data!AO$1,Haver_M!$B$1:$BZ$1,0),FALSE),"")</f>
        <v/>
      </c>
      <c r="AP48">
        <f>IF(ISNUMBER(VLOOKUP($A48,Haver_M!$B$1:$BZ$300,MATCH(data!AP$1,Haver_M!$B$1:$BZ$1,0),FALSE)),VLOOKUP($A48,Haver_M!$B$1:$BZ$300,MATCH(data!AP$1,Haver_M!$B$1:$BZ$1,0),FALSE),"")</f>
        <v>44.181879201210862</v>
      </c>
      <c r="AQ48" t="str">
        <f>IF(ISNUMBER(VLOOKUP($A48,Haver_M!$B$1:$BZ$300,MATCH(data!AQ$1,Haver_M!$B$1:$BZ$1,0),FALSE)),VLOOKUP($A48,Haver_M!$B$1:$BZ$300,MATCH(data!AQ$1,Haver_M!$B$1:$BZ$1,0),FALSE),"")</f>
        <v/>
      </c>
      <c r="AR48" t="str">
        <f>IF(ISNUMBER(VLOOKUP($A48,Haver_M!$B$1:$BZ$300,MATCH(data!AR$1,Haver_M!$B$1:$BZ$1,0),FALSE)),VLOOKUP($A48,Haver_M!$B$1:$BZ$300,MATCH(data!AR$1,Haver_M!$B$1:$BZ$1,0),FALSE),"")</f>
        <v/>
      </c>
      <c r="AS48" t="str">
        <f>IF(ISNUMBER(VLOOKUP($A48,Haver_M!$B$1:$BZ$300,MATCH(data!AS$1,Haver_M!$B$1:$BZ$1,0),FALSE)),VLOOKUP($A48,Haver_M!$B$1:$BZ$300,MATCH(data!AS$1,Haver_M!$B$1:$BZ$1,0),FALSE),"")</f>
        <v/>
      </c>
      <c r="AT48" t="str">
        <f>IF(ISNUMBER(VLOOKUP($A48,Haver_M!$B$1:$BZ$300,MATCH(data!AT$1,Haver_M!$B$1:$BZ$1,0),FALSE)),VLOOKUP($A48,Haver_M!$B$1:$BZ$300,MATCH(data!AT$1,Haver_M!$B$1:$BZ$1,0),FALSE),"")</f>
        <v/>
      </c>
      <c r="AU48" t="str">
        <f>IF(ISNUMBER(VLOOKUP($A48,Haver_M!$B$1:$BZ$300,MATCH(data!AU$1,Haver_M!$B$1:$BZ$1,0),FALSE)),VLOOKUP($A48,Haver_M!$B$1:$BZ$300,MATCH(data!AU$1,Haver_M!$B$1:$BZ$1,0),FALSE),"")</f>
        <v/>
      </c>
      <c r="AV48" t="str">
        <f>IF(ISNUMBER(VLOOKUP($A48,Haver_M!$B$1:$BZ$300,MATCH(data!AV$1,Haver_M!$B$1:$BZ$1,0),FALSE)),VLOOKUP($A48,Haver_M!$B$1:$BZ$300,MATCH(data!AV$1,Haver_M!$B$1:$BZ$1,0),FALSE),"")</f>
        <v/>
      </c>
      <c r="AW48" t="str">
        <f>IF(ISNUMBER(VLOOKUP($A48,Haver_M!$B$1:$BZ$300,MATCH(data!AW$1,Haver_M!$B$1:$BZ$1,0),FALSE)),VLOOKUP($A48,Haver_M!$B$1:$BZ$300,MATCH(data!AW$1,Haver_M!$B$1:$BZ$1,0),FALSE),"")</f>
        <v/>
      </c>
      <c r="AX48" t="str">
        <f>IF(ISNUMBER(VLOOKUP($A48,Haver_M!$B$1:$BZ$300,MATCH(data!AX$1,Haver_M!$B$1:$BZ$1,0),FALSE)),VLOOKUP($A48,Haver_M!$B$1:$BZ$300,MATCH(data!AX$1,Haver_M!$B$1:$BZ$1,0),FALSE),"")</f>
        <v/>
      </c>
      <c r="AY48" t="str">
        <f>IF(ISNUMBER(VLOOKUP($A48,Haver_M!$B$1:$BZ$300,MATCH(data!AY$1,Haver_M!$B$1:$BZ$1,0),FALSE)),VLOOKUP($A48,Haver_M!$B$1:$BZ$300,MATCH(data!AY$1,Haver_M!$B$1:$BZ$1,0),FALSE),"")</f>
        <v/>
      </c>
      <c r="AZ48" t="str">
        <f>IF(ISNUMBER(VLOOKUP($A48,Haver_M!$B$1:$BZ$300,MATCH(data!AZ$1,Haver_M!$B$1:$BZ$1,0),FALSE)),VLOOKUP($A48,Haver_M!$B$1:$BZ$300,MATCH(data!AZ$1,Haver_M!$B$1:$BZ$1,0),FALSE),"")</f>
        <v/>
      </c>
      <c r="BA48" t="str">
        <f>IF(ISNUMBER(VLOOKUP($A48,Haver_M!$B$1:$BZ$300,MATCH(data!BA$1,Haver_M!$B$1:$BZ$1,0),FALSE)),VLOOKUP($A48,Haver_M!$B$1:$BZ$300,MATCH(data!BA$1,Haver_M!$B$1:$BZ$1,0),FALSE),"")</f>
        <v/>
      </c>
      <c r="BB48" t="str">
        <f>IF(ISNUMBER(VLOOKUP($A48,Haver_M!$B$1:$BZ$300,MATCH(data!BB$1,Haver_M!$B$1:$BZ$1,0),FALSE)),VLOOKUP($A48,Haver_M!$B$1:$BZ$300,MATCH(data!BB$1,Haver_M!$B$1:$BZ$1,0),FALSE),"")</f>
        <v/>
      </c>
      <c r="BC48" t="str">
        <f>IF(ISNUMBER(VLOOKUP($A48,Haver_M!$B$1:$BZ$300,MATCH(data!BC$1,Haver_M!$B$1:$BZ$1,0),FALSE)),VLOOKUP($A48,Haver_M!$B$1:$BZ$300,MATCH(data!BC$1,Haver_M!$B$1:$BZ$1,0),FALSE),"")</f>
        <v/>
      </c>
      <c r="BD48" t="str">
        <f>IF(ISNUMBER(VLOOKUP($A48,Haver_M!$B$1:$BZ$300,MATCH(data!BD$1,Haver_M!$B$1:$BZ$1,0),FALSE)),VLOOKUP($A48,Haver_M!$B$1:$BZ$300,MATCH(data!BD$1,Haver_M!$B$1:$BZ$1,0),FALSE),"")</f>
        <v/>
      </c>
      <c r="BE48" t="str">
        <f>IF(ISNUMBER(VLOOKUP($A48,Haver_M!$B$1:$BZ$300,MATCH(data!BE$1,Haver_M!$B$1:$BZ$1,0),FALSE)),VLOOKUP($A48,Haver_M!$B$1:$BZ$300,MATCH(data!BE$1,Haver_M!$B$1:$BZ$1,0),FALSE),"")</f>
        <v/>
      </c>
      <c r="BF48" t="str">
        <f>IF(ISNUMBER(VLOOKUP($A48,Haver_M!$B$1:$BZ$300,MATCH(data!BF$1,Haver_M!$B$1:$BZ$1,0),FALSE)),VLOOKUP($A48,Haver_M!$B$1:$BZ$300,MATCH(data!BF$1,Haver_M!$B$1:$BZ$1,0),FALSE),"")</f>
        <v/>
      </c>
      <c r="BG48" t="str">
        <f>IF(ISNUMBER(VLOOKUP($A48,Haver_M!$B$1:$BZ$300,MATCH(data!BG$1,Haver_M!$B$1:$BZ$1,0),FALSE)),VLOOKUP($A48,Haver_M!$B$1:$BZ$300,MATCH(data!BG$1,Haver_M!$B$1:$BZ$1,0),FALSE),"")</f>
        <v/>
      </c>
      <c r="BH48" t="str">
        <f>IF(ISNUMBER(VLOOKUP($A48,Haver_M!$B$1:$BZ$300,MATCH(data!BH$1,Haver_M!$B$1:$BZ$1,0),FALSE)),VLOOKUP($A48,Haver_M!$B$1:$BZ$300,MATCH(data!BH$1,Haver_M!$B$1:$BZ$1,0),FALSE),"")</f>
        <v/>
      </c>
      <c r="BI48" t="str">
        <f>IF(ISNUMBER(VLOOKUP($A48,Haver_M!$B$1:$BZ$300,MATCH(data!BI$1,Haver_M!$B$1:$BZ$1,0),FALSE)),VLOOKUP($A48,Haver_M!$B$1:$BZ$300,MATCH(data!BI$1,Haver_M!$B$1:$BZ$1,0),FALSE),"")</f>
        <v/>
      </c>
      <c r="BJ48" t="str">
        <f>IF(ISNUMBER(VLOOKUP($A48,Haver_M!$B$1:$BZ$300,MATCH(data!BJ$1,Haver_M!$B$1:$BZ$1,0),FALSE)),VLOOKUP($A48,Haver_M!$B$1:$BZ$300,MATCH(data!BJ$1,Haver_M!$B$1:$BZ$1,0),FALSE),"")</f>
        <v/>
      </c>
      <c r="BK48" t="str">
        <f>IF(ISNUMBER(VLOOKUP($A48,Haver_M!$B$1:$BZ$300,MATCH(data!BK$1,Haver_M!$B$1:$BZ$1,0),FALSE)),VLOOKUP($A48,Haver_M!$B$1:$BZ$300,MATCH(data!BK$1,Haver_M!$B$1:$BZ$1,0),FALSE),"")</f>
        <v/>
      </c>
      <c r="BL48">
        <f>IF(ISNUMBER(VLOOKUP($A48,Haver_M!$B$1:$BZ$300,MATCH(data!BL$1,Haver_M!$B$1:$BZ$1,0),FALSE)),VLOOKUP($A48,Haver_M!$B$1:$BZ$300,MATCH(data!BL$1,Haver_M!$B$1:$BZ$1,0),FALSE),"")</f>
        <v>4953.17</v>
      </c>
      <c r="BM48">
        <f>IF(ISNUMBER(VLOOKUP($A48,Haver_M!$B$1:$BZ$300,MATCH(data!BM$1,Haver_M!$B$1:$BZ$1,0),FALSE)),VLOOKUP($A48,Haver_M!$B$1:$BZ$300,MATCH(data!BM$1,Haver_M!$B$1:$BZ$1,0),FALSE),"")</f>
        <v>101.46572715000001</v>
      </c>
      <c r="BN48" t="str">
        <f>IF(ISNUMBER(VLOOKUP($A48,Haver_M!$B$1:$BZ$300,MATCH(data!BN$1,Haver_M!$B$1:$BZ$1,0),FALSE)),VLOOKUP($A48,Haver_M!$B$1:$BZ$300,MATCH(data!BN$1,Haver_M!$B$1:$BZ$1,0),FALSE),"")</f>
        <v/>
      </c>
      <c r="BO48" t="str">
        <f>IF(ISNUMBER(VLOOKUP($A48,Haver_M!$B$1:$BZ$300,MATCH(data!BO$1,Haver_M!$B$1:$BZ$1,0),FALSE)),VLOOKUP($A48,Haver_M!$B$1:$BZ$300,MATCH(data!BO$1,Haver_M!$B$1:$BZ$1,0),FALSE),"")</f>
        <v/>
      </c>
      <c r="BP48" t="str">
        <f>IF(ISNUMBER(VLOOKUP($A48,Haver_M!$B$1:$BZ$300,MATCH(data!BP$1,Haver_M!$B$1:$BZ$1,0),FALSE)),VLOOKUP($A48,Haver_M!$B$1:$BZ$300,MATCH(data!BP$1,Haver_M!$B$1:$BZ$1,0),FALSE),"")</f>
        <v/>
      </c>
      <c r="BQ48" t="str">
        <f>IF(ISNUMBER(VLOOKUP($A48,Haver_M!$B$1:$BZ$300,MATCH(data!BQ$1,Haver_M!$B$1:$BZ$1,0),FALSE)),VLOOKUP($A48,Haver_M!$B$1:$BZ$300,MATCH(data!BQ$1,Haver_M!$B$1:$BZ$1,0),FALSE),"")</f>
        <v/>
      </c>
      <c r="BR48" t="str">
        <f>IF(ISNUMBER(VLOOKUP($A48,Haver_M!$B$1:$BZ$300,MATCH(data!BR$1,Haver_M!$B$1:$BZ$1,0),FALSE)),VLOOKUP($A48,Haver_M!$B$1:$BZ$300,MATCH(data!BR$1,Haver_M!$B$1:$BZ$1,0),FALSE),"")</f>
        <v/>
      </c>
      <c r="BS48" t="str">
        <f>IF(ISNUMBER(VLOOKUP($A48,Haver_M!$B$1:$BZ$300,MATCH(data!BS$1,Haver_M!$B$1:$BZ$1,0),FALSE)),VLOOKUP($A48,Haver_M!$B$1:$BZ$300,MATCH(data!BS$1,Haver_M!$B$1:$BZ$1,0),FALSE),"")</f>
        <v/>
      </c>
      <c r="BT48" t="str">
        <f>IF(ISNUMBER(VLOOKUP($A48,Haver_M!$B$1:$BZ$300,MATCH(data!BT$1,Haver_M!$B$1:$BZ$1,0),FALSE)),VLOOKUP($A48,Haver_M!$B$1:$BZ$300,MATCH(data!BT$1,Haver_M!$B$1:$BZ$1,0),FALSE),"")</f>
        <v/>
      </c>
      <c r="BU48">
        <f>IF(ISNUMBER(VLOOKUP($A48,Haver_M!$B$1:$BZ$300,MATCH(data!BU$1,Haver_M!$B$1:$BZ$1,0),FALSE)),VLOOKUP($A48,Haver_M!$B$1:$BZ$300,MATCH(data!BU$1,Haver_M!$B$1:$BZ$1,0),FALSE),"")</f>
        <v>4902</v>
      </c>
      <c r="BV48">
        <f>IF(ISNUMBER(VLOOKUP($A48,Haver_M!$B$1:$BZ$300,MATCH(data!BV$1,Haver_M!$B$1:$BZ$1,0),FALSE)),VLOOKUP($A48,Haver_M!$B$1:$BZ$300,MATCH(data!BV$1,Haver_M!$B$1:$BZ$1,0),FALSE),"")</f>
        <v>6467</v>
      </c>
      <c r="BW48">
        <f>IF(ISNUMBER(VLOOKUP($A48,Haver_M!$B$1:$BZ$300,MATCH(data!BW$1,Haver_M!$B$1:$BZ$1,0),FALSE)),VLOOKUP($A48,Haver_M!$B$1:$BZ$300,MATCH(data!BW$1,Haver_M!$B$1:$BZ$1,0),FALSE),"")</f>
        <v>45.522100000000002</v>
      </c>
      <c r="BX48">
        <f>IF(ISNUMBER(VLOOKUP($A48,Haver_M!$B$1:$BZ$300,MATCH(data!BX$1,Haver_M!$B$1:$BZ$1,0),FALSE)),VLOOKUP($A48,Haver_M!$B$1:$BZ$300,MATCH(data!BX$1,Haver_M!$B$1:$BZ$1,0),FALSE),"")</f>
        <v>25448</v>
      </c>
    </row>
    <row r="49" spans="1:76" x14ac:dyDescent="0.25">
      <c r="A49" s="2">
        <v>37986</v>
      </c>
      <c r="B49">
        <f>IF(ISNUMBER(VLOOKUP($A49,Haver_Q!$B$1:$L$185,MATCH(data!B$1,Haver_Q!$B$1:$L$1,0),FALSE)),100*(VLOOKUP($A49,Haver_Q!$B$1:$L$185,MATCH(data!B$1,Haver_Q!$B$1:$L$1,0),FALSE)),"")</f>
        <v>22.63629064935153</v>
      </c>
      <c r="C49">
        <f>IF(ISNUMBER(VLOOKUP($A49,Haver_Q!$B$1:$L$185,MATCH(data!C$1,Haver_Q!$B$1:$L$1,0),FALSE)),100*(VLOOKUP($A49,Haver_Q!$B$1:$L$185,MATCH(data!C$1,Haver_Q!$B$1:$L$1,0),FALSE)),"")</f>
        <v>11.16906457266289</v>
      </c>
      <c r="D49">
        <f>IF(ISNUMBER(VLOOKUP($A49,Haver_Q!$B$1:$L$185,MATCH(data!D$1,Haver_Q!$B$1:$L$1,0),FALSE)),100*(VLOOKUP($A49,Haver_Q!$B$1:$L$185,MATCH(data!D$1,Haver_Q!$B$1:$L$1,0),FALSE)),"")</f>
        <v>-31.618787252950209</v>
      </c>
      <c r="E49">
        <f>IF(ISNUMBER(VLOOKUP($A49,Haver_Q!$B$1:$L$185,MATCH(data!E$1,Haver_Q!$B$1:$L$1,0),FALSE)),100*(VLOOKUP($A49,Haver_Q!$B$1:$L$185,MATCH(data!E$1,Haver_Q!$B$1:$L$1,0),FALSE)),"")</f>
        <v>-5.3705871862386179E-2</v>
      </c>
      <c r="F49">
        <f>IF(ISNUMBER(VLOOKUP($A49,Haver_Q!$B$1:$L$185,MATCH(data!F$1,Haver_Q!$B$1:$L$1,0),FALSE)),100*(VLOOKUP($A49,Haver_Q!$B$1:$L$185,MATCH(data!F$1,Haver_Q!$B$1:$L$1,0),FALSE)),"")</f>
        <v>56.295845506744399</v>
      </c>
      <c r="G49">
        <f>IF(ISNUMBER(VLOOKUP($A49,Haver_Q!$B$1:$L$185,MATCH(data!G$1,Haver_Q!$B$1:$L$1,0),FALSE)),100*(VLOOKUP($A49,Haver_Q!$B$1:$L$185,MATCH(data!G$1,Haver_Q!$B$1:$L$1,0),FALSE)),"")</f>
        <v>12.603145284990491</v>
      </c>
      <c r="H49">
        <f>IF(ISNUMBER(VLOOKUP($A49,Haver_Q!$B$1:$L$185,MATCH(data!H$1,Haver_Q!$B$1:$L$1,0),FALSE)),(VLOOKUP($A49,Haver_Q!$B$1:$L$185,MATCH(data!H$1,Haver_Q!$B$1:$L$1,0),FALSE)),"")</f>
        <v>6.1926394791764041</v>
      </c>
      <c r="I49">
        <f>IF(ISNUMBER(VLOOKUP($A49,Haver_Q!$B$1:$L$185,MATCH(data!I$1,Haver_Q!$B$1:$L$1,0),FALSE)),100*(VLOOKUP($A49,Haver_Q!$B$1:$L$185,MATCH(data!I$1,Haver_Q!$B$1:$L$1,0),FALSE)),"")</f>
        <v>11.219806322919057</v>
      </c>
      <c r="J49" s="3">
        <f>IF(ISNUMBER(Bloomberg_m!C65),Bloomberg_m!C65,"")</f>
        <v>4609</v>
      </c>
      <c r="K49" s="3" t="str">
        <f>IF(ISNUMBER(Bloomberg_m!D65),Bloomberg_m!D65,"")</f>
        <v/>
      </c>
      <c r="L49" s="3" t="str">
        <f>IF(ISNUMBER(Bloomberg_m!E65),Bloomberg_m!E65,"")</f>
        <v/>
      </c>
      <c r="M49" s="3" t="str">
        <f>IF(ISNUMBER(Bloomberg_m!F65),Bloomberg_m!F65,"")</f>
        <v/>
      </c>
      <c r="N49">
        <f>IF(ISNUMBER(VLOOKUP($A49,Haver_M!$B$1:$BZ$300,MATCH(data!N$1,Haver_M!$B$1:$BZ$1,0),FALSE)),VLOOKUP($A49,Haver_M!$B$1:$BZ$300,MATCH(data!N$1,Haver_M!$B$1:$BZ$1,0),FALSE),"")</f>
        <v>7</v>
      </c>
      <c r="O49">
        <f>IF(ISNUMBER(VLOOKUP($A49,Haver_M!$B$1:$BZ$300,MATCH(data!O$1,Haver_M!$B$1:$BZ$1,0),FALSE)),VLOOKUP($A49,Haver_M!$B$1:$BZ$300,MATCH(data!O$1,Haver_M!$B$1:$BZ$1,0),FALSE),"")</f>
        <v>5.1368</v>
      </c>
      <c r="P49">
        <f>IF(ISNUMBER(VLOOKUP($A49,Haver_M!$B$1:$BZ$300,MATCH(data!P$1,Haver_M!$B$1:$BZ$1,0),FALSE)),VLOOKUP($A49,Haver_M!$B$1:$BZ$300,MATCH(data!P$1,Haver_M!$B$1:$BZ$1,0),FALSE),"")</f>
        <v>94.464619999999996</v>
      </c>
      <c r="Q49">
        <f>IF(ISNUMBER(VLOOKUP($A49,Haver_M!$B$1:$BZ$300,MATCH(data!Q$1,Haver_M!$B$1:$BZ$1,0),FALSE)),VLOOKUP($A49,Haver_M!$B$1:$BZ$300,MATCH(data!Q$1,Haver_M!$B$1:$BZ$1,0),FALSE),"")</f>
        <v>53.8</v>
      </c>
      <c r="R49" t="str">
        <f>IF(ISNUMBER(VLOOKUP($A49,Haver_M!$B$1:$BZ$300,MATCH(data!R$1,Haver_M!$B$1:$BZ$1,0),FALSE)),VLOOKUP($A49,Haver_M!$B$1:$BZ$300,MATCH(data!R$1,Haver_M!$B$1:$BZ$1,0),FALSE),"")</f>
        <v/>
      </c>
      <c r="S49">
        <f>IF(ISNUMBER(VLOOKUP($A49,Haver_M!$B$1:$BZ$300,MATCH(data!S$1,Haver_M!$B$1:$BZ$1,0),FALSE)),VLOOKUP($A49,Haver_M!$B$1:$BZ$300,MATCH(data!S$1,Haver_M!$B$1:$BZ$1,0),FALSE),"")</f>
        <v>54.62</v>
      </c>
      <c r="T49">
        <f>IF(ISNUMBER(VLOOKUP($A49,Haver_M!$B$1:$BZ$300,MATCH(data!T$1,Haver_M!$B$1:$BZ$1,0),FALSE)),VLOOKUP($A49,Haver_M!$B$1:$BZ$300,MATCH(data!T$1,Haver_M!$B$1:$BZ$1,0),FALSE),"")</f>
        <v>63.24</v>
      </c>
      <c r="U49">
        <f>IF(ISNUMBER(VLOOKUP($A49,Haver_M!$B$1:$BZ$300,MATCH(data!U$1,Haver_M!$B$1:$BZ$1,0),FALSE)),VLOOKUP($A49,Haver_M!$B$1:$BZ$300,MATCH(data!U$1,Haver_M!$B$1:$BZ$1,0),FALSE),"")</f>
        <v>32.39</v>
      </c>
      <c r="V49">
        <f>IF(ISNUMBER(VLOOKUP($A49,Haver_M!$B$1:$BZ$300,MATCH(data!V$1,Haver_M!$B$1:$BZ$1,0),FALSE)),VLOOKUP($A49,Haver_M!$B$1:$BZ$300,MATCH(data!V$1,Haver_M!$B$1:$BZ$1,0),FALSE),"")</f>
        <v>67.72</v>
      </c>
      <c r="W49" t="str">
        <f>IF(ISNUMBER(VLOOKUP($A49,Haver_M!$B$1:$BZ$300,MATCH(data!W$1,Haver_M!$B$1:$BZ$1,0),FALSE)),VLOOKUP($A49,Haver_M!$B$1:$BZ$300,MATCH(data!W$1,Haver_M!$B$1:$BZ$1,0),FALSE),"")</f>
        <v/>
      </c>
      <c r="X49">
        <f>IF(ISNUMBER(VLOOKUP($A49,Haver_M!$B$1:$BZ$300,MATCH(data!X$1,Haver_M!$B$1:$BZ$1,0),FALSE)),VLOOKUP($A49,Haver_M!$B$1:$BZ$300,MATCH(data!X$1,Haver_M!$B$1:$BZ$1,0),FALSE),"")</f>
        <v>31.1</v>
      </c>
      <c r="Y49">
        <f>IF(ISNUMBER(VLOOKUP($A49,Haver_M!$B$1:$BZ$300,MATCH(data!Y$1,Haver_M!$B$1:$BZ$1,0),FALSE)),VLOOKUP($A49,Haver_M!$B$1:$BZ$300,MATCH(data!Y$1,Haver_M!$B$1:$BZ$1,0),FALSE),"")</f>
        <v>58.57</v>
      </c>
      <c r="Z49" t="str">
        <f>IF(ISNUMBER(VLOOKUP($A49,Haver_M!$B$1:$BZ$300,MATCH(data!Z$1,Haver_M!$B$1:$BZ$1,0),FALSE)),VLOOKUP($A49,Haver_M!$B$1:$BZ$300,MATCH(data!Z$1,Haver_M!$B$1:$BZ$1,0),FALSE),"")</f>
        <v/>
      </c>
      <c r="AA49" t="str">
        <f>IF(ISNUMBER(VLOOKUP($A49,Haver_M!$B$1:$BZ$300,MATCH(data!AA$1,Haver_M!$B$1:$BZ$1,0),FALSE)),VLOOKUP($A49,Haver_M!$B$1:$BZ$300,MATCH(data!AA$1,Haver_M!$B$1:$BZ$1,0),FALSE),"")</f>
        <v/>
      </c>
      <c r="AB49" t="str">
        <f>IF(ISNUMBER(VLOOKUP($A49,Haver_M!$B$1:$BZ$300,MATCH(data!AB$1,Haver_M!$B$1:$BZ$1,0),FALSE)),VLOOKUP($A49,Haver_M!$B$1:$BZ$300,MATCH(data!AB$1,Haver_M!$B$1:$BZ$1,0),FALSE),"")</f>
        <v/>
      </c>
      <c r="AC49" t="str">
        <f>IF(ISNUMBER(VLOOKUP($A49,Haver_M!$B$1:$BZ$300,MATCH(data!AC$1,Haver_M!$B$1:$BZ$1,0),FALSE)),VLOOKUP($A49,Haver_M!$B$1:$BZ$300,MATCH(data!AC$1,Haver_M!$B$1:$BZ$1,0),FALSE),"")</f>
        <v/>
      </c>
      <c r="AD49" t="str">
        <f>IF(ISNUMBER(VLOOKUP($A49,Haver_M!$B$1:$BZ$300,MATCH(data!AD$1,Haver_M!$B$1:$BZ$1,0),FALSE)),VLOOKUP($A49,Haver_M!$B$1:$BZ$300,MATCH(data!AD$1,Haver_M!$B$1:$BZ$1,0),FALSE),"")</f>
        <v/>
      </c>
      <c r="AE49" t="str">
        <f>IF(ISNUMBER(VLOOKUP($A49,Haver_M!$B$1:$BZ$300,MATCH(data!AE$1,Haver_M!$B$1:$BZ$1,0),FALSE)),VLOOKUP($A49,Haver_M!$B$1:$BZ$300,MATCH(data!AE$1,Haver_M!$B$1:$BZ$1,0),FALSE),"")</f>
        <v/>
      </c>
      <c r="AF49" t="str">
        <f>IF(ISNUMBER(VLOOKUP($A49,Haver_M!$B$1:$BZ$300,MATCH(data!AF$1,Haver_M!$B$1:$BZ$1,0),FALSE)),VLOOKUP($A49,Haver_M!$B$1:$BZ$300,MATCH(data!AF$1,Haver_M!$B$1:$BZ$1,0),FALSE),"")</f>
        <v/>
      </c>
      <c r="AG49" t="str">
        <f>IF(ISNUMBER(VLOOKUP($A49,Haver_M!$B$1:$BZ$300,MATCH(data!AG$1,Haver_M!$B$1:$BZ$1,0),FALSE)),VLOOKUP($A49,Haver_M!$B$1:$BZ$300,MATCH(data!AG$1,Haver_M!$B$1:$BZ$1,0),FALSE),"")</f>
        <v/>
      </c>
      <c r="AH49" t="str">
        <f>IF(ISNUMBER(VLOOKUP($A49,Haver_M!$B$1:$BZ$300,MATCH(data!AH$1,Haver_M!$B$1:$BZ$1,0),FALSE)),VLOOKUP($A49,Haver_M!$B$1:$BZ$300,MATCH(data!AH$1,Haver_M!$B$1:$BZ$1,0),FALSE),"")</f>
        <v/>
      </c>
      <c r="AI49">
        <f>IF(ISNUMBER(VLOOKUP($A49,Haver_M!$B$1:$BZ$300,MATCH(data!AI$1,Haver_M!$B$1:$BZ$1,0),FALSE)),VLOOKUP($A49,Haver_M!$B$1:$BZ$300,MATCH(data!AI$1,Haver_M!$B$1:$BZ$1,0),FALSE),"")</f>
        <v>9163.6903757437485</v>
      </c>
      <c r="AJ49">
        <f>IF(ISNUMBER(VLOOKUP($A49,Haver_M!$B$1:$BZ$300,MATCH(data!AJ$1,Haver_M!$B$1:$BZ$1,0),FALSE)),VLOOKUP($A49,Haver_M!$B$1:$BZ$300,MATCH(data!AJ$1,Haver_M!$B$1:$BZ$1,0),FALSE),"")</f>
        <v>6345.71</v>
      </c>
      <c r="AK49">
        <f>IF(ISNUMBER(VLOOKUP($A49,Haver_M!$B$1:$BZ$300,MATCH(data!AK$1,Haver_M!$B$1:$BZ$1,0),FALSE)),VLOOKUP($A49,Haver_M!$B$1:$BZ$300,MATCH(data!AK$1,Haver_M!$B$1:$BZ$1,0),FALSE),"")</f>
        <v>7513.55</v>
      </c>
      <c r="AL49" t="str">
        <f>IF(ISNUMBER(VLOOKUP($A49,Haver_M!$B$1:$BZ$300,MATCH(data!AL$1,Haver_M!$B$1:$BZ$1,0),FALSE)),VLOOKUP($A49,Haver_M!$B$1:$BZ$300,MATCH(data!AL$1,Haver_M!$B$1:$BZ$1,0),FALSE),"")</f>
        <v/>
      </c>
      <c r="AM49" t="str">
        <f>IF(ISNUMBER(VLOOKUP($A49,Haver_M!$B$1:$BZ$300,MATCH(data!AM$1,Haver_M!$B$1:$BZ$1,0),FALSE)),VLOOKUP($A49,Haver_M!$B$1:$BZ$300,MATCH(data!AM$1,Haver_M!$B$1:$BZ$1,0),FALSE),"")</f>
        <v/>
      </c>
      <c r="AN49" t="str">
        <f>IF(ISNUMBER(VLOOKUP($A49,Haver_M!$B$1:$BZ$300,MATCH(data!AN$1,Haver_M!$B$1:$BZ$1,0),FALSE)),VLOOKUP($A49,Haver_M!$B$1:$BZ$300,MATCH(data!AN$1,Haver_M!$B$1:$BZ$1,0),FALSE),"")</f>
        <v/>
      </c>
      <c r="AO49" t="str">
        <f>IF(ISNUMBER(VLOOKUP($A49,Haver_M!$B$1:$BZ$300,MATCH(data!AO$1,Haver_M!$B$1:$BZ$1,0),FALSE)),VLOOKUP($A49,Haver_M!$B$1:$BZ$300,MATCH(data!AO$1,Haver_M!$B$1:$BZ$1,0),FALSE),"")</f>
        <v/>
      </c>
      <c r="AP49">
        <f>IF(ISNUMBER(VLOOKUP($A49,Haver_M!$B$1:$BZ$300,MATCH(data!AP$1,Haver_M!$B$1:$BZ$1,0),FALSE)),VLOOKUP($A49,Haver_M!$B$1:$BZ$300,MATCH(data!AP$1,Haver_M!$B$1:$BZ$1,0),FALSE),"")</f>
        <v>45.772674500736528</v>
      </c>
      <c r="AQ49" t="str">
        <f>IF(ISNUMBER(VLOOKUP($A49,Haver_M!$B$1:$BZ$300,MATCH(data!AQ$1,Haver_M!$B$1:$BZ$1,0),FALSE)),VLOOKUP($A49,Haver_M!$B$1:$BZ$300,MATCH(data!AQ$1,Haver_M!$B$1:$BZ$1,0),FALSE),"")</f>
        <v/>
      </c>
      <c r="AR49" t="str">
        <f>IF(ISNUMBER(VLOOKUP($A49,Haver_M!$B$1:$BZ$300,MATCH(data!AR$1,Haver_M!$B$1:$BZ$1,0),FALSE)),VLOOKUP($A49,Haver_M!$B$1:$BZ$300,MATCH(data!AR$1,Haver_M!$B$1:$BZ$1,0),FALSE),"")</f>
        <v/>
      </c>
      <c r="AS49" t="str">
        <f>IF(ISNUMBER(VLOOKUP($A49,Haver_M!$B$1:$BZ$300,MATCH(data!AS$1,Haver_M!$B$1:$BZ$1,0),FALSE)),VLOOKUP($A49,Haver_M!$B$1:$BZ$300,MATCH(data!AS$1,Haver_M!$B$1:$BZ$1,0),FALSE),"")</f>
        <v/>
      </c>
      <c r="AT49" t="str">
        <f>IF(ISNUMBER(VLOOKUP($A49,Haver_M!$B$1:$BZ$300,MATCH(data!AT$1,Haver_M!$B$1:$BZ$1,0),FALSE)),VLOOKUP($A49,Haver_M!$B$1:$BZ$300,MATCH(data!AT$1,Haver_M!$B$1:$BZ$1,0),FALSE),"")</f>
        <v/>
      </c>
      <c r="AU49" t="str">
        <f>IF(ISNUMBER(VLOOKUP($A49,Haver_M!$B$1:$BZ$300,MATCH(data!AU$1,Haver_M!$B$1:$BZ$1,0),FALSE)),VLOOKUP($A49,Haver_M!$B$1:$BZ$300,MATCH(data!AU$1,Haver_M!$B$1:$BZ$1,0),FALSE),"")</f>
        <v/>
      </c>
      <c r="AV49" t="str">
        <f>IF(ISNUMBER(VLOOKUP($A49,Haver_M!$B$1:$BZ$300,MATCH(data!AV$1,Haver_M!$B$1:$BZ$1,0),FALSE)),VLOOKUP($A49,Haver_M!$B$1:$BZ$300,MATCH(data!AV$1,Haver_M!$B$1:$BZ$1,0),FALSE),"")</f>
        <v/>
      </c>
      <c r="AW49" t="str">
        <f>IF(ISNUMBER(VLOOKUP($A49,Haver_M!$B$1:$BZ$300,MATCH(data!AW$1,Haver_M!$B$1:$BZ$1,0),FALSE)),VLOOKUP($A49,Haver_M!$B$1:$BZ$300,MATCH(data!AW$1,Haver_M!$B$1:$BZ$1,0),FALSE),"")</f>
        <v/>
      </c>
      <c r="AX49" t="str">
        <f>IF(ISNUMBER(VLOOKUP($A49,Haver_M!$B$1:$BZ$300,MATCH(data!AX$1,Haver_M!$B$1:$BZ$1,0),FALSE)),VLOOKUP($A49,Haver_M!$B$1:$BZ$300,MATCH(data!AX$1,Haver_M!$B$1:$BZ$1,0),FALSE),"")</f>
        <v/>
      </c>
      <c r="AY49" t="str">
        <f>IF(ISNUMBER(VLOOKUP($A49,Haver_M!$B$1:$BZ$300,MATCH(data!AY$1,Haver_M!$B$1:$BZ$1,0),FALSE)),VLOOKUP($A49,Haver_M!$B$1:$BZ$300,MATCH(data!AY$1,Haver_M!$B$1:$BZ$1,0),FALSE),"")</f>
        <v/>
      </c>
      <c r="AZ49" t="str">
        <f>IF(ISNUMBER(VLOOKUP($A49,Haver_M!$B$1:$BZ$300,MATCH(data!AZ$1,Haver_M!$B$1:$BZ$1,0),FALSE)),VLOOKUP($A49,Haver_M!$B$1:$BZ$300,MATCH(data!AZ$1,Haver_M!$B$1:$BZ$1,0),FALSE),"")</f>
        <v/>
      </c>
      <c r="BA49" t="str">
        <f>IF(ISNUMBER(VLOOKUP($A49,Haver_M!$B$1:$BZ$300,MATCH(data!BA$1,Haver_M!$B$1:$BZ$1,0),FALSE)),VLOOKUP($A49,Haver_M!$B$1:$BZ$300,MATCH(data!BA$1,Haver_M!$B$1:$BZ$1,0),FALSE),"")</f>
        <v/>
      </c>
      <c r="BB49" t="str">
        <f>IF(ISNUMBER(VLOOKUP($A49,Haver_M!$B$1:$BZ$300,MATCH(data!BB$1,Haver_M!$B$1:$BZ$1,0),FALSE)),VLOOKUP($A49,Haver_M!$B$1:$BZ$300,MATCH(data!BB$1,Haver_M!$B$1:$BZ$1,0),FALSE),"")</f>
        <v/>
      </c>
      <c r="BC49" t="str">
        <f>IF(ISNUMBER(VLOOKUP($A49,Haver_M!$B$1:$BZ$300,MATCH(data!BC$1,Haver_M!$B$1:$BZ$1,0),FALSE)),VLOOKUP($A49,Haver_M!$B$1:$BZ$300,MATCH(data!BC$1,Haver_M!$B$1:$BZ$1,0),FALSE),"")</f>
        <v/>
      </c>
      <c r="BD49" t="str">
        <f>IF(ISNUMBER(VLOOKUP($A49,Haver_M!$B$1:$BZ$300,MATCH(data!BD$1,Haver_M!$B$1:$BZ$1,0),FALSE)),VLOOKUP($A49,Haver_M!$B$1:$BZ$300,MATCH(data!BD$1,Haver_M!$B$1:$BZ$1,0),FALSE),"")</f>
        <v/>
      </c>
      <c r="BE49" t="str">
        <f>IF(ISNUMBER(VLOOKUP($A49,Haver_M!$B$1:$BZ$300,MATCH(data!BE$1,Haver_M!$B$1:$BZ$1,0),FALSE)),VLOOKUP($A49,Haver_M!$B$1:$BZ$300,MATCH(data!BE$1,Haver_M!$B$1:$BZ$1,0),FALSE),"")</f>
        <v/>
      </c>
      <c r="BF49" t="str">
        <f>IF(ISNUMBER(VLOOKUP($A49,Haver_M!$B$1:$BZ$300,MATCH(data!BF$1,Haver_M!$B$1:$BZ$1,0),FALSE)),VLOOKUP($A49,Haver_M!$B$1:$BZ$300,MATCH(data!BF$1,Haver_M!$B$1:$BZ$1,0),FALSE),"")</f>
        <v/>
      </c>
      <c r="BG49" t="str">
        <f>IF(ISNUMBER(VLOOKUP($A49,Haver_M!$B$1:$BZ$300,MATCH(data!BG$1,Haver_M!$B$1:$BZ$1,0),FALSE)),VLOOKUP($A49,Haver_M!$B$1:$BZ$300,MATCH(data!BG$1,Haver_M!$B$1:$BZ$1,0),FALSE),"")</f>
        <v/>
      </c>
      <c r="BH49" t="str">
        <f>IF(ISNUMBER(VLOOKUP($A49,Haver_M!$B$1:$BZ$300,MATCH(data!BH$1,Haver_M!$B$1:$BZ$1,0),FALSE)),VLOOKUP($A49,Haver_M!$B$1:$BZ$300,MATCH(data!BH$1,Haver_M!$B$1:$BZ$1,0),FALSE),"")</f>
        <v/>
      </c>
      <c r="BI49" t="str">
        <f>IF(ISNUMBER(VLOOKUP($A49,Haver_M!$B$1:$BZ$300,MATCH(data!BI$1,Haver_M!$B$1:$BZ$1,0),FALSE)),VLOOKUP($A49,Haver_M!$B$1:$BZ$300,MATCH(data!BI$1,Haver_M!$B$1:$BZ$1,0),FALSE),"")</f>
        <v/>
      </c>
      <c r="BJ49" t="str">
        <f>IF(ISNUMBER(VLOOKUP($A49,Haver_M!$B$1:$BZ$300,MATCH(data!BJ$1,Haver_M!$B$1:$BZ$1,0),FALSE)),VLOOKUP($A49,Haver_M!$B$1:$BZ$300,MATCH(data!BJ$1,Haver_M!$B$1:$BZ$1,0),FALSE),"")</f>
        <v/>
      </c>
      <c r="BK49" t="str">
        <f>IF(ISNUMBER(VLOOKUP($A49,Haver_M!$B$1:$BZ$300,MATCH(data!BK$1,Haver_M!$B$1:$BZ$1,0),FALSE)),VLOOKUP($A49,Haver_M!$B$1:$BZ$300,MATCH(data!BK$1,Haver_M!$B$1:$BZ$1,0),FALSE),"")</f>
        <v/>
      </c>
      <c r="BL49">
        <f>IF(ISNUMBER(VLOOKUP($A49,Haver_M!$B$1:$BZ$300,MATCH(data!BL$1,Haver_M!$B$1:$BZ$1,0),FALSE)),VLOOKUP($A49,Haver_M!$B$1:$BZ$300,MATCH(data!BL$1,Haver_M!$B$1:$BZ$1,0),FALSE),"")</f>
        <v>5424.67</v>
      </c>
      <c r="BM49">
        <f>IF(ISNUMBER(VLOOKUP($A49,Haver_M!$B$1:$BZ$300,MATCH(data!BM$1,Haver_M!$B$1:$BZ$1,0),FALSE)),VLOOKUP($A49,Haver_M!$B$1:$BZ$300,MATCH(data!BM$1,Haver_M!$B$1:$BZ$1,0),FALSE),"")</f>
        <v>103.64245274</v>
      </c>
      <c r="BN49">
        <f>IF(ISNUMBER(VLOOKUP($A49,Haver_M!$B$1:$BZ$300,MATCH(data!BN$1,Haver_M!$B$1:$BZ$1,0),FALSE)),VLOOKUP($A49,Haver_M!$B$1:$BZ$300,MATCH(data!BN$1,Haver_M!$B$1:$BZ$1,0),FALSE),"")</f>
        <v>119.8</v>
      </c>
      <c r="BO49">
        <f>IF(ISNUMBER(VLOOKUP($A49,Haver_M!$B$1:$BZ$300,MATCH(data!BO$1,Haver_M!$B$1:$BZ$1,0),FALSE)),VLOOKUP($A49,Haver_M!$B$1:$BZ$300,MATCH(data!BO$1,Haver_M!$B$1:$BZ$1,0),FALSE),"")</f>
        <v>122.1</v>
      </c>
      <c r="BP49">
        <f>IF(ISNUMBER(VLOOKUP($A49,Haver_M!$B$1:$BZ$300,MATCH(data!BP$1,Haver_M!$B$1:$BZ$1,0),FALSE)),VLOOKUP($A49,Haver_M!$B$1:$BZ$300,MATCH(data!BP$1,Haver_M!$B$1:$BZ$1,0),FALSE),"")</f>
        <v>45.8</v>
      </c>
      <c r="BQ49" t="str">
        <f>IF(ISNUMBER(VLOOKUP($A49,Haver_M!$B$1:$BZ$300,MATCH(data!BQ$1,Haver_M!$B$1:$BZ$1,0),FALSE)),VLOOKUP($A49,Haver_M!$B$1:$BZ$300,MATCH(data!BQ$1,Haver_M!$B$1:$BZ$1,0),FALSE),"")</f>
        <v/>
      </c>
      <c r="BR49" t="str">
        <f>IF(ISNUMBER(VLOOKUP($A49,Haver_M!$B$1:$BZ$300,MATCH(data!BR$1,Haver_M!$B$1:$BZ$1,0),FALSE)),VLOOKUP($A49,Haver_M!$B$1:$BZ$300,MATCH(data!BR$1,Haver_M!$B$1:$BZ$1,0),FALSE),"")</f>
        <v/>
      </c>
      <c r="BS49" t="str">
        <f>IF(ISNUMBER(VLOOKUP($A49,Haver_M!$B$1:$BZ$300,MATCH(data!BS$1,Haver_M!$B$1:$BZ$1,0),FALSE)),VLOOKUP($A49,Haver_M!$B$1:$BZ$300,MATCH(data!BS$1,Haver_M!$B$1:$BZ$1,0),FALSE),"")</f>
        <v/>
      </c>
      <c r="BT49" t="str">
        <f>IF(ISNUMBER(VLOOKUP($A49,Haver_M!$B$1:$BZ$300,MATCH(data!BT$1,Haver_M!$B$1:$BZ$1,0),FALSE)),VLOOKUP($A49,Haver_M!$B$1:$BZ$300,MATCH(data!BT$1,Haver_M!$B$1:$BZ$1,0),FALSE),"")</f>
        <v/>
      </c>
      <c r="BU49">
        <f>IF(ISNUMBER(VLOOKUP($A49,Haver_M!$B$1:$BZ$300,MATCH(data!BU$1,Haver_M!$B$1:$BZ$1,0),FALSE)),VLOOKUP($A49,Haver_M!$B$1:$BZ$300,MATCH(data!BU$1,Haver_M!$B$1:$BZ$1,0),FALSE),"")</f>
        <v>6120</v>
      </c>
      <c r="BV49">
        <f>IF(ISNUMBER(VLOOKUP($A49,Haver_M!$B$1:$BZ$300,MATCH(data!BV$1,Haver_M!$B$1:$BZ$1,0),FALSE)),VLOOKUP($A49,Haver_M!$B$1:$BZ$300,MATCH(data!BV$1,Haver_M!$B$1:$BZ$1,0),FALSE),"")</f>
        <v>7450</v>
      </c>
      <c r="BW49">
        <f>IF(ISNUMBER(VLOOKUP($A49,Haver_M!$B$1:$BZ$300,MATCH(data!BW$1,Haver_M!$B$1:$BZ$1,0),FALSE)),VLOOKUP($A49,Haver_M!$B$1:$BZ$300,MATCH(data!BW$1,Haver_M!$B$1:$BZ$1,0),FALSE),"")</f>
        <v>45.588000000000001</v>
      </c>
      <c r="BX49">
        <f>IF(ISNUMBER(VLOOKUP($A49,Haver_M!$B$1:$BZ$300,MATCH(data!BX$1,Haver_M!$B$1:$BZ$1,0),FALSE)),VLOOKUP($A49,Haver_M!$B$1:$BZ$300,MATCH(data!BX$1,Haver_M!$B$1:$BZ$1,0),FALSE),"")</f>
        <v>25016</v>
      </c>
    </row>
    <row r="50" spans="1:76" x14ac:dyDescent="0.25">
      <c r="A50" s="2">
        <v>38017</v>
      </c>
      <c r="B50" t="str">
        <f>IF(ISNUMBER(VLOOKUP($A50,Haver_Q!$B$1:$L$185,MATCH(data!B$1,Haver_Q!$B$1:$L$1,0),FALSE)),100*(VLOOKUP($A50,Haver_Q!$B$1:$L$185,MATCH(data!B$1,Haver_Q!$B$1:$L$1,0),FALSE)),"")</f>
        <v/>
      </c>
      <c r="C50" t="str">
        <f>IF(ISNUMBER(VLOOKUP($A50,Haver_Q!$B$1:$L$185,MATCH(data!C$1,Haver_Q!$B$1:$L$1,0),FALSE)),100*(VLOOKUP($A50,Haver_Q!$B$1:$L$185,MATCH(data!C$1,Haver_Q!$B$1:$L$1,0),FALSE)),"")</f>
        <v/>
      </c>
      <c r="D50" t="str">
        <f>IF(ISNUMBER(VLOOKUP($A50,Haver_Q!$B$1:$L$185,MATCH(data!D$1,Haver_Q!$B$1:$L$1,0),FALSE)),100*(VLOOKUP($A50,Haver_Q!$B$1:$L$185,MATCH(data!D$1,Haver_Q!$B$1:$L$1,0),FALSE)),"")</f>
        <v/>
      </c>
      <c r="E50" t="str">
        <f>IF(ISNUMBER(VLOOKUP($A50,Haver_Q!$B$1:$L$185,MATCH(data!E$1,Haver_Q!$B$1:$L$1,0),FALSE)),100*(VLOOKUP($A50,Haver_Q!$B$1:$L$185,MATCH(data!E$1,Haver_Q!$B$1:$L$1,0),FALSE)),"")</f>
        <v/>
      </c>
      <c r="F50" t="str">
        <f>IF(ISNUMBER(VLOOKUP($A50,Haver_Q!$B$1:$L$185,MATCH(data!F$1,Haver_Q!$B$1:$L$1,0),FALSE)),100*(VLOOKUP($A50,Haver_Q!$B$1:$L$185,MATCH(data!F$1,Haver_Q!$B$1:$L$1,0),FALSE)),"")</f>
        <v/>
      </c>
      <c r="G50" t="str">
        <f>IF(ISNUMBER(VLOOKUP($A50,Haver_Q!$B$1:$L$185,MATCH(data!G$1,Haver_Q!$B$1:$L$1,0),FALSE)),100*(VLOOKUP($A50,Haver_Q!$B$1:$L$185,MATCH(data!G$1,Haver_Q!$B$1:$L$1,0),FALSE)),"")</f>
        <v/>
      </c>
      <c r="H50" t="str">
        <f>IF(ISNUMBER(VLOOKUP($A50,Haver_Q!$B$1:$L$185,MATCH(data!H$1,Haver_Q!$B$1:$L$1,0),FALSE)),(VLOOKUP($A50,Haver_Q!$B$1:$L$185,MATCH(data!H$1,Haver_Q!$B$1:$L$1,0),FALSE)),"")</f>
        <v/>
      </c>
      <c r="I50" t="str">
        <f>IF(ISNUMBER(VLOOKUP($A50,Haver_Q!$B$1:$L$185,MATCH(data!I$1,Haver_Q!$B$1:$L$1,0),FALSE)),100*(VLOOKUP($A50,Haver_Q!$B$1:$L$185,MATCH(data!I$1,Haver_Q!$B$1:$L$1,0),FALSE)),"")</f>
        <v/>
      </c>
      <c r="J50" s="3">
        <f>IF(ISNUMBER(Bloomberg_m!C66),Bloomberg_m!C66,"")</f>
        <v>5229</v>
      </c>
      <c r="K50" s="3" t="str">
        <f>IF(ISNUMBER(Bloomberg_m!D66),Bloomberg_m!D66,"")</f>
        <v/>
      </c>
      <c r="L50" s="3" t="str">
        <f>IF(ISNUMBER(Bloomberg_m!E66),Bloomberg_m!E66,"")</f>
        <v/>
      </c>
      <c r="M50" s="3" t="str">
        <f>IF(ISNUMBER(Bloomberg_m!F66),Bloomberg_m!F66,"")</f>
        <v/>
      </c>
      <c r="N50">
        <f>IF(ISNUMBER(VLOOKUP($A50,Haver_M!$B$1:$BZ$300,MATCH(data!N$1,Haver_M!$B$1:$BZ$1,0),FALSE)),VLOOKUP($A50,Haver_M!$B$1:$BZ$300,MATCH(data!N$1,Haver_M!$B$1:$BZ$1,0),FALSE),"")</f>
        <v>7</v>
      </c>
      <c r="O50">
        <f>IF(ISNUMBER(VLOOKUP($A50,Haver_M!$B$1:$BZ$300,MATCH(data!O$1,Haver_M!$B$1:$BZ$1,0),FALSE)),VLOOKUP($A50,Haver_M!$B$1:$BZ$300,MATCH(data!O$1,Haver_M!$B$1:$BZ$1,0),FALSE),"")</f>
        <v>5.1910999999999996</v>
      </c>
      <c r="P50">
        <f>IF(ISNUMBER(VLOOKUP($A50,Haver_M!$B$1:$BZ$300,MATCH(data!P$1,Haver_M!$B$1:$BZ$1,0),FALSE)),VLOOKUP($A50,Haver_M!$B$1:$BZ$300,MATCH(data!P$1,Haver_M!$B$1:$BZ$1,0),FALSE),"")</f>
        <v>93.667019999999994</v>
      </c>
      <c r="Q50">
        <f>IF(ISNUMBER(VLOOKUP($A50,Haver_M!$B$1:$BZ$300,MATCH(data!Q$1,Haver_M!$B$1:$BZ$1,0),FALSE)),VLOOKUP($A50,Haver_M!$B$1:$BZ$300,MATCH(data!Q$1,Haver_M!$B$1:$BZ$1,0),FALSE),"")</f>
        <v>53.9</v>
      </c>
      <c r="R50" t="str">
        <f>IF(ISNUMBER(VLOOKUP($A50,Haver_M!$B$1:$BZ$300,MATCH(data!R$1,Haver_M!$B$1:$BZ$1,0),FALSE)),VLOOKUP($A50,Haver_M!$B$1:$BZ$300,MATCH(data!R$1,Haver_M!$B$1:$BZ$1,0),FALSE),"")</f>
        <v/>
      </c>
      <c r="S50">
        <f>IF(ISNUMBER(VLOOKUP($A50,Haver_M!$B$1:$BZ$300,MATCH(data!S$1,Haver_M!$B$1:$BZ$1,0),FALSE)),VLOOKUP($A50,Haver_M!$B$1:$BZ$300,MATCH(data!S$1,Haver_M!$B$1:$BZ$1,0),FALSE),"")</f>
        <v>55.51</v>
      </c>
      <c r="T50">
        <f>IF(ISNUMBER(VLOOKUP($A50,Haver_M!$B$1:$BZ$300,MATCH(data!T$1,Haver_M!$B$1:$BZ$1,0),FALSE)),VLOOKUP($A50,Haver_M!$B$1:$BZ$300,MATCH(data!T$1,Haver_M!$B$1:$BZ$1,0),FALSE),"")</f>
        <v>64.39</v>
      </c>
      <c r="U50">
        <f>IF(ISNUMBER(VLOOKUP($A50,Haver_M!$B$1:$BZ$300,MATCH(data!U$1,Haver_M!$B$1:$BZ$1,0),FALSE)),VLOOKUP($A50,Haver_M!$B$1:$BZ$300,MATCH(data!U$1,Haver_M!$B$1:$BZ$1,0),FALSE),"")</f>
        <v>34.729999999999997</v>
      </c>
      <c r="V50">
        <f>IF(ISNUMBER(VLOOKUP($A50,Haver_M!$B$1:$BZ$300,MATCH(data!V$1,Haver_M!$B$1:$BZ$1,0),FALSE)),VLOOKUP($A50,Haver_M!$B$1:$BZ$300,MATCH(data!V$1,Haver_M!$B$1:$BZ$1,0),FALSE),"")</f>
        <v>67.459999999999994</v>
      </c>
      <c r="W50" t="str">
        <f>IF(ISNUMBER(VLOOKUP($A50,Haver_M!$B$1:$BZ$300,MATCH(data!W$1,Haver_M!$B$1:$BZ$1,0),FALSE)),VLOOKUP($A50,Haver_M!$B$1:$BZ$300,MATCH(data!W$1,Haver_M!$B$1:$BZ$1,0),FALSE),"")</f>
        <v/>
      </c>
      <c r="X50">
        <f>IF(ISNUMBER(VLOOKUP($A50,Haver_M!$B$1:$BZ$300,MATCH(data!X$1,Haver_M!$B$1:$BZ$1,0),FALSE)),VLOOKUP($A50,Haver_M!$B$1:$BZ$300,MATCH(data!X$1,Haver_M!$B$1:$BZ$1,0),FALSE),"")</f>
        <v>31.7</v>
      </c>
      <c r="Y50">
        <f>IF(ISNUMBER(VLOOKUP($A50,Haver_M!$B$1:$BZ$300,MATCH(data!Y$1,Haver_M!$B$1:$BZ$1,0),FALSE)),VLOOKUP($A50,Haver_M!$B$1:$BZ$300,MATCH(data!Y$1,Haver_M!$B$1:$BZ$1,0),FALSE),"")</f>
        <v>59.19</v>
      </c>
      <c r="Z50" t="str">
        <f>IF(ISNUMBER(VLOOKUP($A50,Haver_M!$B$1:$BZ$300,MATCH(data!Z$1,Haver_M!$B$1:$BZ$1,0),FALSE)),VLOOKUP($A50,Haver_M!$B$1:$BZ$300,MATCH(data!Z$1,Haver_M!$B$1:$BZ$1,0),FALSE),"")</f>
        <v/>
      </c>
      <c r="AA50" t="str">
        <f>IF(ISNUMBER(VLOOKUP($A50,Haver_M!$B$1:$BZ$300,MATCH(data!AA$1,Haver_M!$B$1:$BZ$1,0),FALSE)),VLOOKUP($A50,Haver_M!$B$1:$BZ$300,MATCH(data!AA$1,Haver_M!$B$1:$BZ$1,0),FALSE),"")</f>
        <v/>
      </c>
      <c r="AB50" t="str">
        <f>IF(ISNUMBER(VLOOKUP($A50,Haver_M!$B$1:$BZ$300,MATCH(data!AB$1,Haver_M!$B$1:$BZ$1,0),FALSE)),VLOOKUP($A50,Haver_M!$B$1:$BZ$300,MATCH(data!AB$1,Haver_M!$B$1:$BZ$1,0),FALSE),"")</f>
        <v/>
      </c>
      <c r="AC50" t="str">
        <f>IF(ISNUMBER(VLOOKUP($A50,Haver_M!$B$1:$BZ$300,MATCH(data!AC$1,Haver_M!$B$1:$BZ$1,0),FALSE)),VLOOKUP($A50,Haver_M!$B$1:$BZ$300,MATCH(data!AC$1,Haver_M!$B$1:$BZ$1,0),FALSE),"")</f>
        <v/>
      </c>
      <c r="AD50" t="str">
        <f>IF(ISNUMBER(VLOOKUP($A50,Haver_M!$B$1:$BZ$300,MATCH(data!AD$1,Haver_M!$B$1:$BZ$1,0),FALSE)),VLOOKUP($A50,Haver_M!$B$1:$BZ$300,MATCH(data!AD$1,Haver_M!$B$1:$BZ$1,0),FALSE),"")</f>
        <v/>
      </c>
      <c r="AE50" t="str">
        <f>IF(ISNUMBER(VLOOKUP($A50,Haver_M!$B$1:$BZ$300,MATCH(data!AE$1,Haver_M!$B$1:$BZ$1,0),FALSE)),VLOOKUP($A50,Haver_M!$B$1:$BZ$300,MATCH(data!AE$1,Haver_M!$B$1:$BZ$1,0),FALSE),"")</f>
        <v/>
      </c>
      <c r="AF50" t="str">
        <f>IF(ISNUMBER(VLOOKUP($A50,Haver_M!$B$1:$BZ$300,MATCH(data!AF$1,Haver_M!$B$1:$BZ$1,0),FALSE)),VLOOKUP($A50,Haver_M!$B$1:$BZ$300,MATCH(data!AF$1,Haver_M!$B$1:$BZ$1,0),FALSE),"")</f>
        <v/>
      </c>
      <c r="AG50" t="str">
        <f>IF(ISNUMBER(VLOOKUP($A50,Haver_M!$B$1:$BZ$300,MATCH(data!AG$1,Haver_M!$B$1:$BZ$1,0),FALSE)),VLOOKUP($A50,Haver_M!$B$1:$BZ$300,MATCH(data!AG$1,Haver_M!$B$1:$BZ$1,0),FALSE),"")</f>
        <v/>
      </c>
      <c r="AH50" t="str">
        <f>IF(ISNUMBER(VLOOKUP($A50,Haver_M!$B$1:$BZ$300,MATCH(data!AH$1,Haver_M!$B$1:$BZ$1,0),FALSE)),VLOOKUP($A50,Haver_M!$B$1:$BZ$300,MATCH(data!AH$1,Haver_M!$B$1:$BZ$1,0),FALSE),"")</f>
        <v/>
      </c>
      <c r="AI50">
        <f>IF(ISNUMBER(VLOOKUP($A50,Haver_M!$B$1:$BZ$300,MATCH(data!AI$1,Haver_M!$B$1:$BZ$1,0),FALSE)),VLOOKUP($A50,Haver_M!$B$1:$BZ$300,MATCH(data!AI$1,Haver_M!$B$1:$BZ$1,0),FALSE),"")</f>
        <v>9128.2736488326882</v>
      </c>
      <c r="AJ50">
        <f>IF(ISNUMBER(VLOOKUP($A50,Haver_M!$B$1:$BZ$300,MATCH(data!AJ$1,Haver_M!$B$1:$BZ$1,0),FALSE)),VLOOKUP($A50,Haver_M!$B$1:$BZ$300,MATCH(data!AJ$1,Haver_M!$B$1:$BZ$1,0),FALSE),"")</f>
        <v>5093.1099999999997</v>
      </c>
      <c r="AK50">
        <f>IF(ISNUMBER(VLOOKUP($A50,Haver_M!$B$1:$BZ$300,MATCH(data!AK$1,Haver_M!$B$1:$BZ$1,0),FALSE)),VLOOKUP($A50,Haver_M!$B$1:$BZ$300,MATCH(data!AK$1,Haver_M!$B$1:$BZ$1,0),FALSE),"")</f>
        <v>6848.76</v>
      </c>
      <c r="AL50" t="str">
        <f>IF(ISNUMBER(VLOOKUP($A50,Haver_M!$B$1:$BZ$300,MATCH(data!AL$1,Haver_M!$B$1:$BZ$1,0),FALSE)),VLOOKUP($A50,Haver_M!$B$1:$BZ$300,MATCH(data!AL$1,Haver_M!$B$1:$BZ$1,0),FALSE),"")</f>
        <v/>
      </c>
      <c r="AM50" t="str">
        <f>IF(ISNUMBER(VLOOKUP($A50,Haver_M!$B$1:$BZ$300,MATCH(data!AM$1,Haver_M!$B$1:$BZ$1,0),FALSE)),VLOOKUP($A50,Haver_M!$B$1:$BZ$300,MATCH(data!AM$1,Haver_M!$B$1:$BZ$1,0),FALSE),"")</f>
        <v/>
      </c>
      <c r="AN50" t="str">
        <f>IF(ISNUMBER(VLOOKUP($A50,Haver_M!$B$1:$BZ$300,MATCH(data!AN$1,Haver_M!$B$1:$BZ$1,0),FALSE)),VLOOKUP($A50,Haver_M!$B$1:$BZ$300,MATCH(data!AN$1,Haver_M!$B$1:$BZ$1,0),FALSE),"")</f>
        <v/>
      </c>
      <c r="AO50" t="str">
        <f>IF(ISNUMBER(VLOOKUP($A50,Haver_M!$B$1:$BZ$300,MATCH(data!AO$1,Haver_M!$B$1:$BZ$1,0),FALSE)),VLOOKUP($A50,Haver_M!$B$1:$BZ$300,MATCH(data!AO$1,Haver_M!$B$1:$BZ$1,0),FALSE),"")</f>
        <v/>
      </c>
      <c r="AP50">
        <f>IF(ISNUMBER(VLOOKUP($A50,Haver_M!$B$1:$BZ$300,MATCH(data!AP$1,Haver_M!$B$1:$BZ$1,0),FALSE)),VLOOKUP($A50,Haver_M!$B$1:$BZ$300,MATCH(data!AP$1,Haver_M!$B$1:$BZ$1,0),FALSE),"")</f>
        <v>79.399169243017525</v>
      </c>
      <c r="AQ50" t="str">
        <f>IF(ISNUMBER(VLOOKUP($A50,Haver_M!$B$1:$BZ$300,MATCH(data!AQ$1,Haver_M!$B$1:$BZ$1,0),FALSE)),VLOOKUP($A50,Haver_M!$B$1:$BZ$300,MATCH(data!AQ$1,Haver_M!$B$1:$BZ$1,0),FALSE),"")</f>
        <v/>
      </c>
      <c r="AR50" t="str">
        <f>IF(ISNUMBER(VLOOKUP($A50,Haver_M!$B$1:$BZ$300,MATCH(data!AR$1,Haver_M!$B$1:$BZ$1,0),FALSE)),VLOOKUP($A50,Haver_M!$B$1:$BZ$300,MATCH(data!AR$1,Haver_M!$B$1:$BZ$1,0),FALSE),"")</f>
        <v/>
      </c>
      <c r="AS50" t="str">
        <f>IF(ISNUMBER(VLOOKUP($A50,Haver_M!$B$1:$BZ$300,MATCH(data!AS$1,Haver_M!$B$1:$BZ$1,0),FALSE)),VLOOKUP($A50,Haver_M!$B$1:$BZ$300,MATCH(data!AS$1,Haver_M!$B$1:$BZ$1,0),FALSE),"")</f>
        <v/>
      </c>
      <c r="AT50" t="str">
        <f>IF(ISNUMBER(VLOOKUP($A50,Haver_M!$B$1:$BZ$300,MATCH(data!AT$1,Haver_M!$B$1:$BZ$1,0),FALSE)),VLOOKUP($A50,Haver_M!$B$1:$BZ$300,MATCH(data!AT$1,Haver_M!$B$1:$BZ$1,0),FALSE),"")</f>
        <v/>
      </c>
      <c r="AU50" t="str">
        <f>IF(ISNUMBER(VLOOKUP($A50,Haver_M!$B$1:$BZ$300,MATCH(data!AU$1,Haver_M!$B$1:$BZ$1,0),FALSE)),VLOOKUP($A50,Haver_M!$B$1:$BZ$300,MATCH(data!AU$1,Haver_M!$B$1:$BZ$1,0),FALSE),"")</f>
        <v/>
      </c>
      <c r="AV50" t="str">
        <f>IF(ISNUMBER(VLOOKUP($A50,Haver_M!$B$1:$BZ$300,MATCH(data!AV$1,Haver_M!$B$1:$BZ$1,0),FALSE)),VLOOKUP($A50,Haver_M!$B$1:$BZ$300,MATCH(data!AV$1,Haver_M!$B$1:$BZ$1,0),FALSE),"")</f>
        <v/>
      </c>
      <c r="AW50" t="str">
        <f>IF(ISNUMBER(VLOOKUP($A50,Haver_M!$B$1:$BZ$300,MATCH(data!AW$1,Haver_M!$B$1:$BZ$1,0),FALSE)),VLOOKUP($A50,Haver_M!$B$1:$BZ$300,MATCH(data!AW$1,Haver_M!$B$1:$BZ$1,0),FALSE),"")</f>
        <v/>
      </c>
      <c r="AX50" t="str">
        <f>IF(ISNUMBER(VLOOKUP($A50,Haver_M!$B$1:$BZ$300,MATCH(data!AX$1,Haver_M!$B$1:$BZ$1,0),FALSE)),VLOOKUP($A50,Haver_M!$B$1:$BZ$300,MATCH(data!AX$1,Haver_M!$B$1:$BZ$1,0),FALSE),"")</f>
        <v/>
      </c>
      <c r="AY50" t="str">
        <f>IF(ISNUMBER(VLOOKUP($A50,Haver_M!$B$1:$BZ$300,MATCH(data!AY$1,Haver_M!$B$1:$BZ$1,0),FALSE)),VLOOKUP($A50,Haver_M!$B$1:$BZ$300,MATCH(data!AY$1,Haver_M!$B$1:$BZ$1,0),FALSE),"")</f>
        <v/>
      </c>
      <c r="AZ50" t="str">
        <f>IF(ISNUMBER(VLOOKUP($A50,Haver_M!$B$1:$BZ$300,MATCH(data!AZ$1,Haver_M!$B$1:$BZ$1,0),FALSE)),VLOOKUP($A50,Haver_M!$B$1:$BZ$300,MATCH(data!AZ$1,Haver_M!$B$1:$BZ$1,0),FALSE),"")</f>
        <v/>
      </c>
      <c r="BA50" t="str">
        <f>IF(ISNUMBER(VLOOKUP($A50,Haver_M!$B$1:$BZ$300,MATCH(data!BA$1,Haver_M!$B$1:$BZ$1,0),FALSE)),VLOOKUP($A50,Haver_M!$B$1:$BZ$300,MATCH(data!BA$1,Haver_M!$B$1:$BZ$1,0),FALSE),"")</f>
        <v/>
      </c>
      <c r="BB50" t="str">
        <f>IF(ISNUMBER(VLOOKUP($A50,Haver_M!$B$1:$BZ$300,MATCH(data!BB$1,Haver_M!$B$1:$BZ$1,0),FALSE)),VLOOKUP($A50,Haver_M!$B$1:$BZ$300,MATCH(data!BB$1,Haver_M!$B$1:$BZ$1,0),FALSE),"")</f>
        <v/>
      </c>
      <c r="BC50" t="str">
        <f>IF(ISNUMBER(VLOOKUP($A50,Haver_M!$B$1:$BZ$300,MATCH(data!BC$1,Haver_M!$B$1:$BZ$1,0),FALSE)),VLOOKUP($A50,Haver_M!$B$1:$BZ$300,MATCH(data!BC$1,Haver_M!$B$1:$BZ$1,0),FALSE),"")</f>
        <v/>
      </c>
      <c r="BD50" t="str">
        <f>IF(ISNUMBER(VLOOKUP($A50,Haver_M!$B$1:$BZ$300,MATCH(data!BD$1,Haver_M!$B$1:$BZ$1,0),FALSE)),VLOOKUP($A50,Haver_M!$B$1:$BZ$300,MATCH(data!BD$1,Haver_M!$B$1:$BZ$1,0),FALSE),"")</f>
        <v/>
      </c>
      <c r="BE50" t="str">
        <f>IF(ISNUMBER(VLOOKUP($A50,Haver_M!$B$1:$BZ$300,MATCH(data!BE$1,Haver_M!$B$1:$BZ$1,0),FALSE)),VLOOKUP($A50,Haver_M!$B$1:$BZ$300,MATCH(data!BE$1,Haver_M!$B$1:$BZ$1,0),FALSE),"")</f>
        <v/>
      </c>
      <c r="BF50" t="str">
        <f>IF(ISNUMBER(VLOOKUP($A50,Haver_M!$B$1:$BZ$300,MATCH(data!BF$1,Haver_M!$B$1:$BZ$1,0),FALSE)),VLOOKUP($A50,Haver_M!$B$1:$BZ$300,MATCH(data!BF$1,Haver_M!$B$1:$BZ$1,0),FALSE),"")</f>
        <v/>
      </c>
      <c r="BG50" t="str">
        <f>IF(ISNUMBER(VLOOKUP($A50,Haver_M!$B$1:$BZ$300,MATCH(data!BG$1,Haver_M!$B$1:$BZ$1,0),FALSE)),VLOOKUP($A50,Haver_M!$B$1:$BZ$300,MATCH(data!BG$1,Haver_M!$B$1:$BZ$1,0),FALSE),"")</f>
        <v/>
      </c>
      <c r="BH50" t="str">
        <f>IF(ISNUMBER(VLOOKUP($A50,Haver_M!$B$1:$BZ$300,MATCH(data!BH$1,Haver_M!$B$1:$BZ$1,0),FALSE)),VLOOKUP($A50,Haver_M!$B$1:$BZ$300,MATCH(data!BH$1,Haver_M!$B$1:$BZ$1,0),FALSE),"")</f>
        <v/>
      </c>
      <c r="BI50" t="str">
        <f>IF(ISNUMBER(VLOOKUP($A50,Haver_M!$B$1:$BZ$300,MATCH(data!BI$1,Haver_M!$B$1:$BZ$1,0),FALSE)),VLOOKUP($A50,Haver_M!$B$1:$BZ$300,MATCH(data!BI$1,Haver_M!$B$1:$BZ$1,0),FALSE),"")</f>
        <v/>
      </c>
      <c r="BJ50" t="str">
        <f>IF(ISNUMBER(VLOOKUP($A50,Haver_M!$B$1:$BZ$300,MATCH(data!BJ$1,Haver_M!$B$1:$BZ$1,0),FALSE)),VLOOKUP($A50,Haver_M!$B$1:$BZ$300,MATCH(data!BJ$1,Haver_M!$B$1:$BZ$1,0),FALSE),"")</f>
        <v/>
      </c>
      <c r="BK50" t="str">
        <f>IF(ISNUMBER(VLOOKUP($A50,Haver_M!$B$1:$BZ$300,MATCH(data!BK$1,Haver_M!$B$1:$BZ$1,0),FALSE)),VLOOKUP($A50,Haver_M!$B$1:$BZ$300,MATCH(data!BK$1,Haver_M!$B$1:$BZ$1,0),FALSE),"")</f>
        <v/>
      </c>
      <c r="BL50">
        <f>IF(ISNUMBER(VLOOKUP($A50,Haver_M!$B$1:$BZ$300,MATCH(data!BL$1,Haver_M!$B$1:$BZ$1,0),FALSE)),VLOOKUP($A50,Haver_M!$B$1:$BZ$300,MATCH(data!BL$1,Haver_M!$B$1:$BZ$1,0),FALSE),"")</f>
        <v>5954.15</v>
      </c>
      <c r="BM50">
        <f>IF(ISNUMBER(VLOOKUP($A50,Haver_M!$B$1:$BZ$300,MATCH(data!BM$1,Haver_M!$B$1:$BZ$1,0),FALSE)),VLOOKUP($A50,Haver_M!$B$1:$BZ$300,MATCH(data!BM$1,Haver_M!$B$1:$BZ$1,0),FALSE),"")</f>
        <v>104.77712440000001</v>
      </c>
      <c r="BN50" t="str">
        <f>IF(ISNUMBER(VLOOKUP($A50,Haver_M!$B$1:$BZ$300,MATCH(data!BN$1,Haver_M!$B$1:$BZ$1,0),FALSE)),VLOOKUP($A50,Haver_M!$B$1:$BZ$300,MATCH(data!BN$1,Haver_M!$B$1:$BZ$1,0),FALSE),"")</f>
        <v/>
      </c>
      <c r="BO50" t="str">
        <f>IF(ISNUMBER(VLOOKUP($A50,Haver_M!$B$1:$BZ$300,MATCH(data!BO$1,Haver_M!$B$1:$BZ$1,0),FALSE)),VLOOKUP($A50,Haver_M!$B$1:$BZ$300,MATCH(data!BO$1,Haver_M!$B$1:$BZ$1,0),FALSE),"")</f>
        <v/>
      </c>
      <c r="BP50" t="str">
        <f>IF(ISNUMBER(VLOOKUP($A50,Haver_M!$B$1:$BZ$300,MATCH(data!BP$1,Haver_M!$B$1:$BZ$1,0),FALSE)),VLOOKUP($A50,Haver_M!$B$1:$BZ$300,MATCH(data!BP$1,Haver_M!$B$1:$BZ$1,0),FALSE),"")</f>
        <v/>
      </c>
      <c r="BQ50" t="str">
        <f>IF(ISNUMBER(VLOOKUP($A50,Haver_M!$B$1:$BZ$300,MATCH(data!BQ$1,Haver_M!$B$1:$BZ$1,0),FALSE)),VLOOKUP($A50,Haver_M!$B$1:$BZ$300,MATCH(data!BQ$1,Haver_M!$B$1:$BZ$1,0),FALSE),"")</f>
        <v/>
      </c>
      <c r="BR50" t="str">
        <f>IF(ISNUMBER(VLOOKUP($A50,Haver_M!$B$1:$BZ$300,MATCH(data!BR$1,Haver_M!$B$1:$BZ$1,0),FALSE)),VLOOKUP($A50,Haver_M!$B$1:$BZ$300,MATCH(data!BR$1,Haver_M!$B$1:$BZ$1,0),FALSE),"")</f>
        <v/>
      </c>
      <c r="BS50" t="str">
        <f>IF(ISNUMBER(VLOOKUP($A50,Haver_M!$B$1:$BZ$300,MATCH(data!BS$1,Haver_M!$B$1:$BZ$1,0),FALSE)),VLOOKUP($A50,Haver_M!$B$1:$BZ$300,MATCH(data!BS$1,Haver_M!$B$1:$BZ$1,0),FALSE),"")</f>
        <v/>
      </c>
      <c r="BT50" t="str">
        <f>IF(ISNUMBER(VLOOKUP($A50,Haver_M!$B$1:$BZ$300,MATCH(data!BT$1,Haver_M!$B$1:$BZ$1,0),FALSE)),VLOOKUP($A50,Haver_M!$B$1:$BZ$300,MATCH(data!BT$1,Haver_M!$B$1:$BZ$1,0),FALSE),"")</f>
        <v/>
      </c>
      <c r="BU50">
        <f>IF(ISNUMBER(VLOOKUP($A50,Haver_M!$B$1:$BZ$300,MATCH(data!BU$1,Haver_M!$B$1:$BZ$1,0),FALSE)),VLOOKUP($A50,Haver_M!$B$1:$BZ$300,MATCH(data!BU$1,Haver_M!$B$1:$BZ$1,0),FALSE),"")</f>
        <v>5216</v>
      </c>
      <c r="BV50">
        <f>IF(ISNUMBER(VLOOKUP($A50,Haver_M!$B$1:$BZ$300,MATCH(data!BV$1,Haver_M!$B$1:$BZ$1,0),FALSE)),VLOOKUP($A50,Haver_M!$B$1:$BZ$300,MATCH(data!BV$1,Haver_M!$B$1:$BZ$1,0),FALSE),"")</f>
        <v>6898</v>
      </c>
      <c r="BW50">
        <f>IF(ISNUMBER(VLOOKUP($A50,Haver_M!$B$1:$BZ$300,MATCH(data!BW$1,Haver_M!$B$1:$BZ$1,0),FALSE)),VLOOKUP($A50,Haver_M!$B$1:$BZ$300,MATCH(data!BW$1,Haver_M!$B$1:$BZ$1,0),FALSE),"")</f>
        <v>45.4557</v>
      </c>
      <c r="BX50">
        <f>IF(ISNUMBER(VLOOKUP($A50,Haver_M!$B$1:$BZ$300,MATCH(data!BX$1,Haver_M!$B$1:$BZ$1,0),FALSE)),VLOOKUP($A50,Haver_M!$B$1:$BZ$300,MATCH(data!BX$1,Haver_M!$B$1:$BZ$1,0),FALSE),"")</f>
        <v>24013</v>
      </c>
    </row>
    <row r="51" spans="1:76" x14ac:dyDescent="0.25">
      <c r="A51" s="2">
        <v>38046</v>
      </c>
      <c r="B51" t="str">
        <f>IF(ISNUMBER(VLOOKUP($A51,Haver_Q!$B$1:$L$185,MATCH(data!B$1,Haver_Q!$B$1:$L$1,0),FALSE)),100*(VLOOKUP($A51,Haver_Q!$B$1:$L$185,MATCH(data!B$1,Haver_Q!$B$1:$L$1,0),FALSE)),"")</f>
        <v/>
      </c>
      <c r="C51" t="str">
        <f>IF(ISNUMBER(VLOOKUP($A51,Haver_Q!$B$1:$L$185,MATCH(data!C$1,Haver_Q!$B$1:$L$1,0),FALSE)),100*(VLOOKUP($A51,Haver_Q!$B$1:$L$185,MATCH(data!C$1,Haver_Q!$B$1:$L$1,0),FALSE)),"")</f>
        <v/>
      </c>
      <c r="D51" t="str">
        <f>IF(ISNUMBER(VLOOKUP($A51,Haver_Q!$B$1:$L$185,MATCH(data!D$1,Haver_Q!$B$1:$L$1,0),FALSE)),100*(VLOOKUP($A51,Haver_Q!$B$1:$L$185,MATCH(data!D$1,Haver_Q!$B$1:$L$1,0),FALSE)),"")</f>
        <v/>
      </c>
      <c r="E51" t="str">
        <f>IF(ISNUMBER(VLOOKUP($A51,Haver_Q!$B$1:$L$185,MATCH(data!E$1,Haver_Q!$B$1:$L$1,0),FALSE)),100*(VLOOKUP($A51,Haver_Q!$B$1:$L$185,MATCH(data!E$1,Haver_Q!$B$1:$L$1,0),FALSE)),"")</f>
        <v/>
      </c>
      <c r="F51" t="str">
        <f>IF(ISNUMBER(VLOOKUP($A51,Haver_Q!$B$1:$L$185,MATCH(data!F$1,Haver_Q!$B$1:$L$1,0),FALSE)),100*(VLOOKUP($A51,Haver_Q!$B$1:$L$185,MATCH(data!F$1,Haver_Q!$B$1:$L$1,0),FALSE)),"")</f>
        <v/>
      </c>
      <c r="G51" t="str">
        <f>IF(ISNUMBER(VLOOKUP($A51,Haver_Q!$B$1:$L$185,MATCH(data!G$1,Haver_Q!$B$1:$L$1,0),FALSE)),100*(VLOOKUP($A51,Haver_Q!$B$1:$L$185,MATCH(data!G$1,Haver_Q!$B$1:$L$1,0),FALSE)),"")</f>
        <v/>
      </c>
      <c r="H51" t="str">
        <f>IF(ISNUMBER(VLOOKUP($A51,Haver_Q!$B$1:$L$185,MATCH(data!H$1,Haver_Q!$B$1:$L$1,0),FALSE)),(VLOOKUP($A51,Haver_Q!$B$1:$L$185,MATCH(data!H$1,Haver_Q!$B$1:$L$1,0),FALSE)),"")</f>
        <v/>
      </c>
      <c r="I51" t="str">
        <f>IF(ISNUMBER(VLOOKUP($A51,Haver_Q!$B$1:$L$185,MATCH(data!I$1,Haver_Q!$B$1:$L$1,0),FALSE)),100*(VLOOKUP($A51,Haver_Q!$B$1:$L$185,MATCH(data!I$1,Haver_Q!$B$1:$L$1,0),FALSE)),"")</f>
        <v/>
      </c>
      <c r="J51" s="3">
        <f>IF(ISNUMBER(Bloomberg_m!C67),Bloomberg_m!C67,"")</f>
        <v>5450</v>
      </c>
      <c r="K51" s="3" t="str">
        <f>IF(ISNUMBER(Bloomberg_m!D67),Bloomberg_m!D67,"")</f>
        <v/>
      </c>
      <c r="L51" s="3" t="str">
        <f>IF(ISNUMBER(Bloomberg_m!E67),Bloomberg_m!E67,"")</f>
        <v/>
      </c>
      <c r="M51" s="3" t="str">
        <f>IF(ISNUMBER(Bloomberg_m!F67),Bloomberg_m!F67,"")</f>
        <v/>
      </c>
      <c r="N51">
        <f>IF(ISNUMBER(VLOOKUP($A51,Haver_M!$B$1:$BZ$300,MATCH(data!N$1,Haver_M!$B$1:$BZ$1,0),FALSE)),VLOOKUP($A51,Haver_M!$B$1:$BZ$300,MATCH(data!N$1,Haver_M!$B$1:$BZ$1,0),FALSE),"")</f>
        <v>7</v>
      </c>
      <c r="O51">
        <f>IF(ISNUMBER(VLOOKUP($A51,Haver_M!$B$1:$BZ$300,MATCH(data!O$1,Haver_M!$B$1:$BZ$1,0),FALSE)),VLOOKUP($A51,Haver_M!$B$1:$BZ$300,MATCH(data!O$1,Haver_M!$B$1:$BZ$1,0),FALSE),"")</f>
        <v>5.2702999999999998</v>
      </c>
      <c r="P51">
        <f>IF(ISNUMBER(VLOOKUP($A51,Haver_M!$B$1:$BZ$300,MATCH(data!P$1,Haver_M!$B$1:$BZ$1,0),FALSE)),VLOOKUP($A51,Haver_M!$B$1:$BZ$300,MATCH(data!P$1,Haver_M!$B$1:$BZ$1,0),FALSE),"")</f>
        <v>93.990690000000001</v>
      </c>
      <c r="Q51">
        <f>IF(ISNUMBER(VLOOKUP($A51,Haver_M!$B$1:$BZ$300,MATCH(data!Q$1,Haver_M!$B$1:$BZ$1,0),FALSE)),VLOOKUP($A51,Haver_M!$B$1:$BZ$300,MATCH(data!Q$1,Haver_M!$B$1:$BZ$1,0),FALSE),"")</f>
        <v>53.9</v>
      </c>
      <c r="R51" t="str">
        <f>IF(ISNUMBER(VLOOKUP($A51,Haver_M!$B$1:$BZ$300,MATCH(data!R$1,Haver_M!$B$1:$BZ$1,0),FALSE)),VLOOKUP($A51,Haver_M!$B$1:$BZ$300,MATCH(data!R$1,Haver_M!$B$1:$BZ$1,0),FALSE),"")</f>
        <v/>
      </c>
      <c r="S51">
        <f>IF(ISNUMBER(VLOOKUP($A51,Haver_M!$B$1:$BZ$300,MATCH(data!S$1,Haver_M!$B$1:$BZ$1,0),FALSE)),VLOOKUP($A51,Haver_M!$B$1:$BZ$300,MATCH(data!S$1,Haver_M!$B$1:$BZ$1,0),FALSE),"")</f>
        <v>54.79</v>
      </c>
      <c r="T51">
        <f>IF(ISNUMBER(VLOOKUP($A51,Haver_M!$B$1:$BZ$300,MATCH(data!T$1,Haver_M!$B$1:$BZ$1,0),FALSE)),VLOOKUP($A51,Haver_M!$B$1:$BZ$300,MATCH(data!T$1,Haver_M!$B$1:$BZ$1,0),FALSE),"")</f>
        <v>64.290000000000006</v>
      </c>
      <c r="U51">
        <f>IF(ISNUMBER(VLOOKUP($A51,Haver_M!$B$1:$BZ$300,MATCH(data!U$1,Haver_M!$B$1:$BZ$1,0),FALSE)),VLOOKUP($A51,Haver_M!$B$1:$BZ$300,MATCH(data!U$1,Haver_M!$B$1:$BZ$1,0),FALSE),"")</f>
        <v>35.56</v>
      </c>
      <c r="V51">
        <f>IF(ISNUMBER(VLOOKUP($A51,Haver_M!$B$1:$BZ$300,MATCH(data!V$1,Haver_M!$B$1:$BZ$1,0),FALSE)),VLOOKUP($A51,Haver_M!$B$1:$BZ$300,MATCH(data!V$1,Haver_M!$B$1:$BZ$1,0),FALSE),"")</f>
        <v>65.41</v>
      </c>
      <c r="W51" t="str">
        <f>IF(ISNUMBER(VLOOKUP($A51,Haver_M!$B$1:$BZ$300,MATCH(data!W$1,Haver_M!$B$1:$BZ$1,0),FALSE)),VLOOKUP($A51,Haver_M!$B$1:$BZ$300,MATCH(data!W$1,Haver_M!$B$1:$BZ$1,0),FALSE),"")</f>
        <v/>
      </c>
      <c r="X51">
        <f>IF(ISNUMBER(VLOOKUP($A51,Haver_M!$B$1:$BZ$300,MATCH(data!X$1,Haver_M!$B$1:$BZ$1,0),FALSE)),VLOOKUP($A51,Haver_M!$B$1:$BZ$300,MATCH(data!X$1,Haver_M!$B$1:$BZ$1,0),FALSE),"")</f>
        <v>31.21</v>
      </c>
      <c r="Y51">
        <f>IF(ISNUMBER(VLOOKUP($A51,Haver_M!$B$1:$BZ$300,MATCH(data!Y$1,Haver_M!$B$1:$BZ$1,0),FALSE)),VLOOKUP($A51,Haver_M!$B$1:$BZ$300,MATCH(data!Y$1,Haver_M!$B$1:$BZ$1,0),FALSE),"")</f>
        <v>59.3</v>
      </c>
      <c r="Z51" t="str">
        <f>IF(ISNUMBER(VLOOKUP($A51,Haver_M!$B$1:$BZ$300,MATCH(data!Z$1,Haver_M!$B$1:$BZ$1,0),FALSE)),VLOOKUP($A51,Haver_M!$B$1:$BZ$300,MATCH(data!Z$1,Haver_M!$B$1:$BZ$1,0),FALSE),"")</f>
        <v/>
      </c>
      <c r="AA51" t="str">
        <f>IF(ISNUMBER(VLOOKUP($A51,Haver_M!$B$1:$BZ$300,MATCH(data!AA$1,Haver_M!$B$1:$BZ$1,0),FALSE)),VLOOKUP($A51,Haver_M!$B$1:$BZ$300,MATCH(data!AA$1,Haver_M!$B$1:$BZ$1,0),FALSE),"")</f>
        <v/>
      </c>
      <c r="AB51" t="str">
        <f>IF(ISNUMBER(VLOOKUP($A51,Haver_M!$B$1:$BZ$300,MATCH(data!AB$1,Haver_M!$B$1:$BZ$1,0),FALSE)),VLOOKUP($A51,Haver_M!$B$1:$BZ$300,MATCH(data!AB$1,Haver_M!$B$1:$BZ$1,0),FALSE),"")</f>
        <v/>
      </c>
      <c r="AC51" t="str">
        <f>IF(ISNUMBER(VLOOKUP($A51,Haver_M!$B$1:$BZ$300,MATCH(data!AC$1,Haver_M!$B$1:$BZ$1,0),FALSE)),VLOOKUP($A51,Haver_M!$B$1:$BZ$300,MATCH(data!AC$1,Haver_M!$B$1:$BZ$1,0),FALSE),"")</f>
        <v/>
      </c>
      <c r="AD51" t="str">
        <f>IF(ISNUMBER(VLOOKUP($A51,Haver_M!$B$1:$BZ$300,MATCH(data!AD$1,Haver_M!$B$1:$BZ$1,0),FALSE)),VLOOKUP($A51,Haver_M!$B$1:$BZ$300,MATCH(data!AD$1,Haver_M!$B$1:$BZ$1,0),FALSE),"")</f>
        <v/>
      </c>
      <c r="AE51" t="str">
        <f>IF(ISNUMBER(VLOOKUP($A51,Haver_M!$B$1:$BZ$300,MATCH(data!AE$1,Haver_M!$B$1:$BZ$1,0),FALSE)),VLOOKUP($A51,Haver_M!$B$1:$BZ$300,MATCH(data!AE$1,Haver_M!$B$1:$BZ$1,0),FALSE),"")</f>
        <v/>
      </c>
      <c r="AF51" t="str">
        <f>IF(ISNUMBER(VLOOKUP($A51,Haver_M!$B$1:$BZ$300,MATCH(data!AF$1,Haver_M!$B$1:$BZ$1,0),FALSE)),VLOOKUP($A51,Haver_M!$B$1:$BZ$300,MATCH(data!AF$1,Haver_M!$B$1:$BZ$1,0),FALSE),"")</f>
        <v/>
      </c>
      <c r="AG51" t="str">
        <f>IF(ISNUMBER(VLOOKUP($A51,Haver_M!$B$1:$BZ$300,MATCH(data!AG$1,Haver_M!$B$1:$BZ$1,0),FALSE)),VLOOKUP($A51,Haver_M!$B$1:$BZ$300,MATCH(data!AG$1,Haver_M!$B$1:$BZ$1,0),FALSE),"")</f>
        <v/>
      </c>
      <c r="AH51" t="str">
        <f>IF(ISNUMBER(VLOOKUP($A51,Haver_M!$B$1:$BZ$300,MATCH(data!AH$1,Haver_M!$B$1:$BZ$1,0),FALSE)),VLOOKUP($A51,Haver_M!$B$1:$BZ$300,MATCH(data!AH$1,Haver_M!$B$1:$BZ$1,0),FALSE),"")</f>
        <v/>
      </c>
      <c r="AI51">
        <f>IF(ISNUMBER(VLOOKUP($A51,Haver_M!$B$1:$BZ$300,MATCH(data!AI$1,Haver_M!$B$1:$BZ$1,0),FALSE)),VLOOKUP($A51,Haver_M!$B$1:$BZ$300,MATCH(data!AI$1,Haver_M!$B$1:$BZ$1,0),FALSE),"")</f>
        <v>9390.3593877995136</v>
      </c>
      <c r="AJ51">
        <f>IF(ISNUMBER(VLOOKUP($A51,Haver_M!$B$1:$BZ$300,MATCH(data!AJ$1,Haver_M!$B$1:$BZ$1,0),FALSE)),VLOOKUP($A51,Haver_M!$B$1:$BZ$300,MATCH(data!AJ$1,Haver_M!$B$1:$BZ$1,0),FALSE),"")</f>
        <v>6313.42</v>
      </c>
      <c r="AK51">
        <f>IF(ISNUMBER(VLOOKUP($A51,Haver_M!$B$1:$BZ$300,MATCH(data!AK$1,Haver_M!$B$1:$BZ$1,0),FALSE)),VLOOKUP($A51,Haver_M!$B$1:$BZ$300,MATCH(data!AK$1,Haver_M!$B$1:$BZ$1,0),FALSE),"")</f>
        <v>7624.55</v>
      </c>
      <c r="AL51" t="str">
        <f>IF(ISNUMBER(VLOOKUP($A51,Haver_M!$B$1:$BZ$300,MATCH(data!AL$1,Haver_M!$B$1:$BZ$1,0),FALSE)),VLOOKUP($A51,Haver_M!$B$1:$BZ$300,MATCH(data!AL$1,Haver_M!$B$1:$BZ$1,0),FALSE),"")</f>
        <v/>
      </c>
      <c r="AM51" t="str">
        <f>IF(ISNUMBER(VLOOKUP($A51,Haver_M!$B$1:$BZ$300,MATCH(data!AM$1,Haver_M!$B$1:$BZ$1,0),FALSE)),VLOOKUP($A51,Haver_M!$B$1:$BZ$300,MATCH(data!AM$1,Haver_M!$B$1:$BZ$1,0),FALSE),"")</f>
        <v/>
      </c>
      <c r="AN51" t="str">
        <f>IF(ISNUMBER(VLOOKUP($A51,Haver_M!$B$1:$BZ$300,MATCH(data!AN$1,Haver_M!$B$1:$BZ$1,0),FALSE)),VLOOKUP($A51,Haver_M!$B$1:$BZ$300,MATCH(data!AN$1,Haver_M!$B$1:$BZ$1,0),FALSE),"")</f>
        <v/>
      </c>
      <c r="AO51" t="str">
        <f>IF(ISNUMBER(VLOOKUP($A51,Haver_M!$B$1:$BZ$300,MATCH(data!AO$1,Haver_M!$B$1:$BZ$1,0),FALSE)),VLOOKUP($A51,Haver_M!$B$1:$BZ$300,MATCH(data!AO$1,Haver_M!$B$1:$BZ$1,0),FALSE),"")</f>
        <v/>
      </c>
      <c r="AP51">
        <f>IF(ISNUMBER(VLOOKUP($A51,Haver_M!$B$1:$BZ$300,MATCH(data!AP$1,Haver_M!$B$1:$BZ$1,0),FALSE)),VLOOKUP($A51,Haver_M!$B$1:$BZ$300,MATCH(data!AP$1,Haver_M!$B$1:$BZ$1,0),FALSE),"")</f>
        <v>77.542298186698375</v>
      </c>
      <c r="AQ51" t="str">
        <f>IF(ISNUMBER(VLOOKUP($A51,Haver_M!$B$1:$BZ$300,MATCH(data!AQ$1,Haver_M!$B$1:$BZ$1,0),FALSE)),VLOOKUP($A51,Haver_M!$B$1:$BZ$300,MATCH(data!AQ$1,Haver_M!$B$1:$BZ$1,0),FALSE),"")</f>
        <v/>
      </c>
      <c r="AR51" t="str">
        <f>IF(ISNUMBER(VLOOKUP($A51,Haver_M!$B$1:$BZ$300,MATCH(data!AR$1,Haver_M!$B$1:$BZ$1,0),FALSE)),VLOOKUP($A51,Haver_M!$B$1:$BZ$300,MATCH(data!AR$1,Haver_M!$B$1:$BZ$1,0),FALSE),"")</f>
        <v/>
      </c>
      <c r="AS51" t="str">
        <f>IF(ISNUMBER(VLOOKUP($A51,Haver_M!$B$1:$BZ$300,MATCH(data!AS$1,Haver_M!$B$1:$BZ$1,0),FALSE)),VLOOKUP($A51,Haver_M!$B$1:$BZ$300,MATCH(data!AS$1,Haver_M!$B$1:$BZ$1,0),FALSE),"")</f>
        <v/>
      </c>
      <c r="AT51" t="str">
        <f>IF(ISNUMBER(VLOOKUP($A51,Haver_M!$B$1:$BZ$300,MATCH(data!AT$1,Haver_M!$B$1:$BZ$1,0),FALSE)),VLOOKUP($A51,Haver_M!$B$1:$BZ$300,MATCH(data!AT$1,Haver_M!$B$1:$BZ$1,0),FALSE),"")</f>
        <v/>
      </c>
      <c r="AU51" t="str">
        <f>IF(ISNUMBER(VLOOKUP($A51,Haver_M!$B$1:$BZ$300,MATCH(data!AU$1,Haver_M!$B$1:$BZ$1,0),FALSE)),VLOOKUP($A51,Haver_M!$B$1:$BZ$300,MATCH(data!AU$1,Haver_M!$B$1:$BZ$1,0),FALSE),"")</f>
        <v/>
      </c>
      <c r="AV51" t="str">
        <f>IF(ISNUMBER(VLOOKUP($A51,Haver_M!$B$1:$BZ$300,MATCH(data!AV$1,Haver_M!$B$1:$BZ$1,0),FALSE)),VLOOKUP($A51,Haver_M!$B$1:$BZ$300,MATCH(data!AV$1,Haver_M!$B$1:$BZ$1,0),FALSE),"")</f>
        <v/>
      </c>
      <c r="AW51" t="str">
        <f>IF(ISNUMBER(VLOOKUP($A51,Haver_M!$B$1:$BZ$300,MATCH(data!AW$1,Haver_M!$B$1:$BZ$1,0),FALSE)),VLOOKUP($A51,Haver_M!$B$1:$BZ$300,MATCH(data!AW$1,Haver_M!$B$1:$BZ$1,0),FALSE),"")</f>
        <v/>
      </c>
      <c r="AX51" t="str">
        <f>IF(ISNUMBER(VLOOKUP($A51,Haver_M!$B$1:$BZ$300,MATCH(data!AX$1,Haver_M!$B$1:$BZ$1,0),FALSE)),VLOOKUP($A51,Haver_M!$B$1:$BZ$300,MATCH(data!AX$1,Haver_M!$B$1:$BZ$1,0),FALSE),"")</f>
        <v/>
      </c>
      <c r="AY51" t="str">
        <f>IF(ISNUMBER(VLOOKUP($A51,Haver_M!$B$1:$BZ$300,MATCH(data!AY$1,Haver_M!$B$1:$BZ$1,0),FALSE)),VLOOKUP($A51,Haver_M!$B$1:$BZ$300,MATCH(data!AY$1,Haver_M!$B$1:$BZ$1,0),FALSE),"")</f>
        <v/>
      </c>
      <c r="AZ51" t="str">
        <f>IF(ISNUMBER(VLOOKUP($A51,Haver_M!$B$1:$BZ$300,MATCH(data!AZ$1,Haver_M!$B$1:$BZ$1,0),FALSE)),VLOOKUP($A51,Haver_M!$B$1:$BZ$300,MATCH(data!AZ$1,Haver_M!$B$1:$BZ$1,0),FALSE),"")</f>
        <v/>
      </c>
      <c r="BA51" t="str">
        <f>IF(ISNUMBER(VLOOKUP($A51,Haver_M!$B$1:$BZ$300,MATCH(data!BA$1,Haver_M!$B$1:$BZ$1,0),FALSE)),VLOOKUP($A51,Haver_M!$B$1:$BZ$300,MATCH(data!BA$1,Haver_M!$B$1:$BZ$1,0),FALSE),"")</f>
        <v/>
      </c>
      <c r="BB51" t="str">
        <f>IF(ISNUMBER(VLOOKUP($A51,Haver_M!$B$1:$BZ$300,MATCH(data!BB$1,Haver_M!$B$1:$BZ$1,0),FALSE)),VLOOKUP($A51,Haver_M!$B$1:$BZ$300,MATCH(data!BB$1,Haver_M!$B$1:$BZ$1,0),FALSE),"")</f>
        <v/>
      </c>
      <c r="BC51" t="str">
        <f>IF(ISNUMBER(VLOOKUP($A51,Haver_M!$B$1:$BZ$300,MATCH(data!BC$1,Haver_M!$B$1:$BZ$1,0),FALSE)),VLOOKUP($A51,Haver_M!$B$1:$BZ$300,MATCH(data!BC$1,Haver_M!$B$1:$BZ$1,0),FALSE),"")</f>
        <v/>
      </c>
      <c r="BD51" t="str">
        <f>IF(ISNUMBER(VLOOKUP($A51,Haver_M!$B$1:$BZ$300,MATCH(data!BD$1,Haver_M!$B$1:$BZ$1,0),FALSE)),VLOOKUP($A51,Haver_M!$B$1:$BZ$300,MATCH(data!BD$1,Haver_M!$B$1:$BZ$1,0),FALSE),"")</f>
        <v/>
      </c>
      <c r="BE51" t="str">
        <f>IF(ISNUMBER(VLOOKUP($A51,Haver_M!$B$1:$BZ$300,MATCH(data!BE$1,Haver_M!$B$1:$BZ$1,0),FALSE)),VLOOKUP($A51,Haver_M!$B$1:$BZ$300,MATCH(data!BE$1,Haver_M!$B$1:$BZ$1,0),FALSE),"")</f>
        <v/>
      </c>
      <c r="BF51" t="str">
        <f>IF(ISNUMBER(VLOOKUP($A51,Haver_M!$B$1:$BZ$300,MATCH(data!BF$1,Haver_M!$B$1:$BZ$1,0),FALSE)),VLOOKUP($A51,Haver_M!$B$1:$BZ$300,MATCH(data!BF$1,Haver_M!$B$1:$BZ$1,0),FALSE),"")</f>
        <v/>
      </c>
      <c r="BG51" t="str">
        <f>IF(ISNUMBER(VLOOKUP($A51,Haver_M!$B$1:$BZ$300,MATCH(data!BG$1,Haver_M!$B$1:$BZ$1,0),FALSE)),VLOOKUP($A51,Haver_M!$B$1:$BZ$300,MATCH(data!BG$1,Haver_M!$B$1:$BZ$1,0),FALSE),"")</f>
        <v/>
      </c>
      <c r="BH51" t="str">
        <f>IF(ISNUMBER(VLOOKUP($A51,Haver_M!$B$1:$BZ$300,MATCH(data!BH$1,Haver_M!$B$1:$BZ$1,0),FALSE)),VLOOKUP($A51,Haver_M!$B$1:$BZ$300,MATCH(data!BH$1,Haver_M!$B$1:$BZ$1,0),FALSE),"")</f>
        <v/>
      </c>
      <c r="BI51" t="str">
        <f>IF(ISNUMBER(VLOOKUP($A51,Haver_M!$B$1:$BZ$300,MATCH(data!BI$1,Haver_M!$B$1:$BZ$1,0),FALSE)),VLOOKUP($A51,Haver_M!$B$1:$BZ$300,MATCH(data!BI$1,Haver_M!$B$1:$BZ$1,0),FALSE),"")</f>
        <v/>
      </c>
      <c r="BJ51" t="str">
        <f>IF(ISNUMBER(VLOOKUP($A51,Haver_M!$B$1:$BZ$300,MATCH(data!BJ$1,Haver_M!$B$1:$BZ$1,0),FALSE)),VLOOKUP($A51,Haver_M!$B$1:$BZ$300,MATCH(data!BJ$1,Haver_M!$B$1:$BZ$1,0),FALSE),"")</f>
        <v/>
      </c>
      <c r="BK51" t="str">
        <f>IF(ISNUMBER(VLOOKUP($A51,Haver_M!$B$1:$BZ$300,MATCH(data!BK$1,Haver_M!$B$1:$BZ$1,0),FALSE)),VLOOKUP($A51,Haver_M!$B$1:$BZ$300,MATCH(data!BK$1,Haver_M!$B$1:$BZ$1,0),FALSE),"")</f>
        <v/>
      </c>
      <c r="BL51">
        <f>IF(ISNUMBER(VLOOKUP($A51,Haver_M!$B$1:$BZ$300,MATCH(data!BL$1,Haver_M!$B$1:$BZ$1,0),FALSE)),VLOOKUP($A51,Haver_M!$B$1:$BZ$300,MATCH(data!BL$1,Haver_M!$B$1:$BZ$1,0),FALSE),"")</f>
        <v>5826.74</v>
      </c>
      <c r="BM51">
        <f>IF(ISNUMBER(VLOOKUP($A51,Haver_M!$B$1:$BZ$300,MATCH(data!BM$1,Haver_M!$B$1:$BZ$1,0),FALSE)),VLOOKUP($A51,Haver_M!$B$1:$BZ$300,MATCH(data!BM$1,Haver_M!$B$1:$BZ$1,0),FALSE),"")</f>
        <v>104.57005502</v>
      </c>
      <c r="BN51" t="str">
        <f>IF(ISNUMBER(VLOOKUP($A51,Haver_M!$B$1:$BZ$300,MATCH(data!BN$1,Haver_M!$B$1:$BZ$1,0),FALSE)),VLOOKUP($A51,Haver_M!$B$1:$BZ$300,MATCH(data!BN$1,Haver_M!$B$1:$BZ$1,0),FALSE),"")</f>
        <v/>
      </c>
      <c r="BO51" t="str">
        <f>IF(ISNUMBER(VLOOKUP($A51,Haver_M!$B$1:$BZ$300,MATCH(data!BO$1,Haver_M!$B$1:$BZ$1,0),FALSE)),VLOOKUP($A51,Haver_M!$B$1:$BZ$300,MATCH(data!BO$1,Haver_M!$B$1:$BZ$1,0),FALSE),"")</f>
        <v/>
      </c>
      <c r="BP51" t="str">
        <f>IF(ISNUMBER(VLOOKUP($A51,Haver_M!$B$1:$BZ$300,MATCH(data!BP$1,Haver_M!$B$1:$BZ$1,0),FALSE)),VLOOKUP($A51,Haver_M!$B$1:$BZ$300,MATCH(data!BP$1,Haver_M!$B$1:$BZ$1,0),FALSE),"")</f>
        <v/>
      </c>
      <c r="BQ51" t="str">
        <f>IF(ISNUMBER(VLOOKUP($A51,Haver_M!$B$1:$BZ$300,MATCH(data!BQ$1,Haver_M!$B$1:$BZ$1,0),FALSE)),VLOOKUP($A51,Haver_M!$B$1:$BZ$300,MATCH(data!BQ$1,Haver_M!$B$1:$BZ$1,0),FALSE),"")</f>
        <v/>
      </c>
      <c r="BR51" t="str">
        <f>IF(ISNUMBER(VLOOKUP($A51,Haver_M!$B$1:$BZ$300,MATCH(data!BR$1,Haver_M!$B$1:$BZ$1,0),FALSE)),VLOOKUP($A51,Haver_M!$B$1:$BZ$300,MATCH(data!BR$1,Haver_M!$B$1:$BZ$1,0),FALSE),"")</f>
        <v/>
      </c>
      <c r="BS51" t="str">
        <f>IF(ISNUMBER(VLOOKUP($A51,Haver_M!$B$1:$BZ$300,MATCH(data!BS$1,Haver_M!$B$1:$BZ$1,0),FALSE)),VLOOKUP($A51,Haver_M!$B$1:$BZ$300,MATCH(data!BS$1,Haver_M!$B$1:$BZ$1,0),FALSE),"")</f>
        <v/>
      </c>
      <c r="BT51" t="str">
        <f>IF(ISNUMBER(VLOOKUP($A51,Haver_M!$B$1:$BZ$300,MATCH(data!BT$1,Haver_M!$B$1:$BZ$1,0),FALSE)),VLOOKUP($A51,Haver_M!$B$1:$BZ$300,MATCH(data!BT$1,Haver_M!$B$1:$BZ$1,0),FALSE),"")</f>
        <v/>
      </c>
      <c r="BU51">
        <f>IF(ISNUMBER(VLOOKUP($A51,Haver_M!$B$1:$BZ$300,MATCH(data!BU$1,Haver_M!$B$1:$BZ$1,0),FALSE)),VLOOKUP($A51,Haver_M!$B$1:$BZ$300,MATCH(data!BU$1,Haver_M!$B$1:$BZ$1,0),FALSE),"")</f>
        <v>6227</v>
      </c>
      <c r="BV51">
        <f>IF(ISNUMBER(VLOOKUP($A51,Haver_M!$B$1:$BZ$300,MATCH(data!BV$1,Haver_M!$B$1:$BZ$1,0),FALSE)),VLOOKUP($A51,Haver_M!$B$1:$BZ$300,MATCH(data!BV$1,Haver_M!$B$1:$BZ$1,0),FALSE),"")</f>
        <v>6844</v>
      </c>
      <c r="BW51">
        <f>IF(ISNUMBER(VLOOKUP($A51,Haver_M!$B$1:$BZ$300,MATCH(data!BW$1,Haver_M!$B$1:$BZ$1,0),FALSE)),VLOOKUP($A51,Haver_M!$B$1:$BZ$300,MATCH(data!BW$1,Haver_M!$B$1:$BZ$1,0),FALSE),"")</f>
        <v>45.270299999999999</v>
      </c>
      <c r="BX51">
        <f>IF(ISNUMBER(VLOOKUP($A51,Haver_M!$B$1:$BZ$300,MATCH(data!BX$1,Haver_M!$B$1:$BZ$1,0),FALSE)),VLOOKUP($A51,Haver_M!$B$1:$BZ$300,MATCH(data!BX$1,Haver_M!$B$1:$BZ$1,0),FALSE),"")</f>
        <v>22782</v>
      </c>
    </row>
    <row r="52" spans="1:76" x14ac:dyDescent="0.25">
      <c r="A52" s="2">
        <v>38077</v>
      </c>
      <c r="B52">
        <f>IF(ISNUMBER(VLOOKUP($A52,Haver_Q!$B$1:$L$185,MATCH(data!B$1,Haver_Q!$B$1:$L$1,0),FALSE)),100*(VLOOKUP($A52,Haver_Q!$B$1:$L$185,MATCH(data!B$1,Haver_Q!$B$1:$L$1,0),FALSE)),"")</f>
        <v>-7.1301462072243087</v>
      </c>
      <c r="C52">
        <f>IF(ISNUMBER(VLOOKUP($A52,Haver_Q!$B$1:$L$185,MATCH(data!C$1,Haver_Q!$B$1:$L$1,0),FALSE)),100*(VLOOKUP($A52,Haver_Q!$B$1:$L$185,MATCH(data!C$1,Haver_Q!$B$1:$L$1,0),FALSE)),"")</f>
        <v>3.1676256315433138</v>
      </c>
      <c r="D52">
        <f>IF(ISNUMBER(VLOOKUP($A52,Haver_Q!$B$1:$L$185,MATCH(data!D$1,Haver_Q!$B$1:$L$1,0),FALSE)),100*(VLOOKUP($A52,Haver_Q!$B$1:$L$185,MATCH(data!D$1,Haver_Q!$B$1:$L$1,0),FALSE)),"")</f>
        <v>-21.693757400138903</v>
      </c>
      <c r="E52">
        <f>IF(ISNUMBER(VLOOKUP($A52,Haver_Q!$B$1:$L$185,MATCH(data!E$1,Haver_Q!$B$1:$L$1,0),FALSE)),100*(VLOOKUP($A52,Haver_Q!$B$1:$L$185,MATCH(data!E$1,Haver_Q!$B$1:$L$1,0),FALSE)),"")</f>
        <v>21.164018663717222</v>
      </c>
      <c r="F52">
        <f>IF(ISNUMBER(VLOOKUP($A52,Haver_Q!$B$1:$L$185,MATCH(data!F$1,Haver_Q!$B$1:$L$1,0),FALSE)),100*(VLOOKUP($A52,Haver_Q!$B$1:$L$185,MATCH(data!F$1,Haver_Q!$B$1:$L$1,0),FALSE)),"")</f>
        <v>38.942098304811189</v>
      </c>
      <c r="G52">
        <f>IF(ISNUMBER(VLOOKUP($A52,Haver_Q!$B$1:$L$185,MATCH(data!G$1,Haver_Q!$B$1:$L$1,0),FALSE)),100*(VLOOKUP($A52,Haver_Q!$B$1:$L$185,MATCH(data!G$1,Haver_Q!$B$1:$L$1,0),FALSE)),"")</f>
        <v>51.956885859119282</v>
      </c>
      <c r="H52">
        <f>IF(ISNUMBER(VLOOKUP($A52,Haver_Q!$B$1:$L$185,MATCH(data!H$1,Haver_Q!$B$1:$L$1,0),FALSE)),(VLOOKUP($A52,Haver_Q!$B$1:$L$185,MATCH(data!H$1,Haver_Q!$B$1:$L$1,0),FALSE)),"")</f>
        <v>4.1882745849781395</v>
      </c>
      <c r="I52">
        <f>IF(ISNUMBER(VLOOKUP($A52,Haver_Q!$B$1:$L$185,MATCH(data!I$1,Haver_Q!$B$1:$L$1,0),FALSE)),100*(VLOOKUP($A52,Haver_Q!$B$1:$L$185,MATCH(data!I$1,Haver_Q!$B$1:$L$1,0),FALSE)),"")</f>
        <v>8.8767500743402117</v>
      </c>
      <c r="J52" s="3">
        <f>IF(ISNUMBER(Bloomberg_m!C68),Bloomberg_m!C68,"")</f>
        <v>5131</v>
      </c>
      <c r="K52" s="3" t="str">
        <f>IF(ISNUMBER(Bloomberg_m!D68),Bloomberg_m!D68,"")</f>
        <v/>
      </c>
      <c r="L52" s="3" t="str">
        <f>IF(ISNUMBER(Bloomberg_m!E68),Bloomberg_m!E68,"")</f>
        <v/>
      </c>
      <c r="M52" s="3" t="str">
        <f>IF(ISNUMBER(Bloomberg_m!F68),Bloomberg_m!F68,"")</f>
        <v/>
      </c>
      <c r="N52">
        <f>IF(ISNUMBER(VLOOKUP($A52,Haver_M!$B$1:$BZ$300,MATCH(data!N$1,Haver_M!$B$1:$BZ$1,0),FALSE)),VLOOKUP($A52,Haver_M!$B$1:$BZ$300,MATCH(data!N$1,Haver_M!$B$1:$BZ$1,0),FALSE),"")</f>
        <v>6</v>
      </c>
      <c r="O52">
        <f>IF(ISNUMBER(VLOOKUP($A52,Haver_M!$B$1:$BZ$300,MATCH(data!O$1,Haver_M!$B$1:$BZ$1,0),FALSE)),VLOOKUP($A52,Haver_M!$B$1:$BZ$300,MATCH(data!O$1,Haver_M!$B$1:$BZ$1,0),FALSE),"")</f>
        <v>5.1542000000000003</v>
      </c>
      <c r="P52">
        <f>IF(ISNUMBER(VLOOKUP($A52,Haver_M!$B$1:$BZ$300,MATCH(data!P$1,Haver_M!$B$1:$BZ$1,0),FALSE)),VLOOKUP($A52,Haver_M!$B$1:$BZ$300,MATCH(data!P$1,Haver_M!$B$1:$BZ$1,0),FALSE),"")</f>
        <v>95.012879999999996</v>
      </c>
      <c r="Q52">
        <f>IF(ISNUMBER(VLOOKUP($A52,Haver_M!$B$1:$BZ$300,MATCH(data!Q$1,Haver_M!$B$1:$BZ$1,0),FALSE)),VLOOKUP($A52,Haver_M!$B$1:$BZ$300,MATCH(data!Q$1,Haver_M!$B$1:$BZ$1,0),FALSE),"")</f>
        <v>54</v>
      </c>
      <c r="R52" t="str">
        <f>IF(ISNUMBER(VLOOKUP($A52,Haver_M!$B$1:$BZ$300,MATCH(data!R$1,Haver_M!$B$1:$BZ$1,0),FALSE)),VLOOKUP($A52,Haver_M!$B$1:$BZ$300,MATCH(data!R$1,Haver_M!$B$1:$BZ$1,0),FALSE),"")</f>
        <v/>
      </c>
      <c r="S52">
        <f>IF(ISNUMBER(VLOOKUP($A52,Haver_M!$B$1:$BZ$300,MATCH(data!S$1,Haver_M!$B$1:$BZ$1,0),FALSE)),VLOOKUP($A52,Haver_M!$B$1:$BZ$300,MATCH(data!S$1,Haver_M!$B$1:$BZ$1,0),FALSE),"")</f>
        <v>55.09</v>
      </c>
      <c r="T52">
        <f>IF(ISNUMBER(VLOOKUP($A52,Haver_M!$B$1:$BZ$300,MATCH(data!T$1,Haver_M!$B$1:$BZ$1,0),FALSE)),VLOOKUP($A52,Haver_M!$B$1:$BZ$300,MATCH(data!T$1,Haver_M!$B$1:$BZ$1,0),FALSE),"")</f>
        <v>63.75</v>
      </c>
      <c r="U52">
        <f>IF(ISNUMBER(VLOOKUP($A52,Haver_M!$B$1:$BZ$300,MATCH(data!U$1,Haver_M!$B$1:$BZ$1,0),FALSE)),VLOOKUP($A52,Haver_M!$B$1:$BZ$300,MATCH(data!U$1,Haver_M!$B$1:$BZ$1,0),FALSE),"")</f>
        <v>36.36</v>
      </c>
      <c r="V52">
        <f>IF(ISNUMBER(VLOOKUP($A52,Haver_M!$B$1:$BZ$300,MATCH(data!V$1,Haver_M!$B$1:$BZ$1,0),FALSE)),VLOOKUP($A52,Haver_M!$B$1:$BZ$300,MATCH(data!V$1,Haver_M!$B$1:$BZ$1,0),FALSE),"")</f>
        <v>66.209999999999994</v>
      </c>
      <c r="W52" t="str">
        <f>IF(ISNUMBER(VLOOKUP($A52,Haver_M!$B$1:$BZ$300,MATCH(data!W$1,Haver_M!$B$1:$BZ$1,0),FALSE)),VLOOKUP($A52,Haver_M!$B$1:$BZ$300,MATCH(data!W$1,Haver_M!$B$1:$BZ$1,0),FALSE),"")</f>
        <v/>
      </c>
      <c r="X52">
        <f>IF(ISNUMBER(VLOOKUP($A52,Haver_M!$B$1:$BZ$300,MATCH(data!X$1,Haver_M!$B$1:$BZ$1,0),FALSE)),VLOOKUP($A52,Haver_M!$B$1:$BZ$300,MATCH(data!X$1,Haver_M!$B$1:$BZ$1,0),FALSE),"")</f>
        <v>31.37</v>
      </c>
      <c r="Y52">
        <f>IF(ISNUMBER(VLOOKUP($A52,Haver_M!$B$1:$BZ$300,MATCH(data!Y$1,Haver_M!$B$1:$BZ$1,0),FALSE)),VLOOKUP($A52,Haver_M!$B$1:$BZ$300,MATCH(data!Y$1,Haver_M!$B$1:$BZ$1,0),FALSE),"")</f>
        <v>59.67</v>
      </c>
      <c r="Z52" t="str">
        <f>IF(ISNUMBER(VLOOKUP($A52,Haver_M!$B$1:$BZ$300,MATCH(data!Z$1,Haver_M!$B$1:$BZ$1,0),FALSE)),VLOOKUP($A52,Haver_M!$B$1:$BZ$300,MATCH(data!Z$1,Haver_M!$B$1:$BZ$1,0),FALSE),"")</f>
        <v/>
      </c>
      <c r="AA52" t="str">
        <f>IF(ISNUMBER(VLOOKUP($A52,Haver_M!$B$1:$BZ$300,MATCH(data!AA$1,Haver_M!$B$1:$BZ$1,0),FALSE)),VLOOKUP($A52,Haver_M!$B$1:$BZ$300,MATCH(data!AA$1,Haver_M!$B$1:$BZ$1,0),FALSE),"")</f>
        <v/>
      </c>
      <c r="AB52" t="str">
        <f>IF(ISNUMBER(VLOOKUP($A52,Haver_M!$B$1:$BZ$300,MATCH(data!AB$1,Haver_M!$B$1:$BZ$1,0),FALSE)),VLOOKUP($A52,Haver_M!$B$1:$BZ$300,MATCH(data!AB$1,Haver_M!$B$1:$BZ$1,0),FALSE),"")</f>
        <v/>
      </c>
      <c r="AC52" t="str">
        <f>IF(ISNUMBER(VLOOKUP($A52,Haver_M!$B$1:$BZ$300,MATCH(data!AC$1,Haver_M!$B$1:$BZ$1,0),FALSE)),VLOOKUP($A52,Haver_M!$B$1:$BZ$300,MATCH(data!AC$1,Haver_M!$B$1:$BZ$1,0),FALSE),"")</f>
        <v/>
      </c>
      <c r="AD52" t="str">
        <f>IF(ISNUMBER(VLOOKUP($A52,Haver_M!$B$1:$BZ$300,MATCH(data!AD$1,Haver_M!$B$1:$BZ$1,0),FALSE)),VLOOKUP($A52,Haver_M!$B$1:$BZ$300,MATCH(data!AD$1,Haver_M!$B$1:$BZ$1,0),FALSE),"")</f>
        <v/>
      </c>
      <c r="AE52" t="str">
        <f>IF(ISNUMBER(VLOOKUP($A52,Haver_M!$B$1:$BZ$300,MATCH(data!AE$1,Haver_M!$B$1:$BZ$1,0),FALSE)),VLOOKUP($A52,Haver_M!$B$1:$BZ$300,MATCH(data!AE$1,Haver_M!$B$1:$BZ$1,0),FALSE),"")</f>
        <v/>
      </c>
      <c r="AF52" t="str">
        <f>IF(ISNUMBER(VLOOKUP($A52,Haver_M!$B$1:$BZ$300,MATCH(data!AF$1,Haver_M!$B$1:$BZ$1,0),FALSE)),VLOOKUP($A52,Haver_M!$B$1:$BZ$300,MATCH(data!AF$1,Haver_M!$B$1:$BZ$1,0),FALSE),"")</f>
        <v/>
      </c>
      <c r="AG52" t="str">
        <f>IF(ISNUMBER(VLOOKUP($A52,Haver_M!$B$1:$BZ$300,MATCH(data!AG$1,Haver_M!$B$1:$BZ$1,0),FALSE)),VLOOKUP($A52,Haver_M!$B$1:$BZ$300,MATCH(data!AG$1,Haver_M!$B$1:$BZ$1,0),FALSE),"")</f>
        <v/>
      </c>
      <c r="AH52" t="str">
        <f>IF(ISNUMBER(VLOOKUP($A52,Haver_M!$B$1:$BZ$300,MATCH(data!AH$1,Haver_M!$B$1:$BZ$1,0),FALSE)),VLOOKUP($A52,Haver_M!$B$1:$BZ$300,MATCH(data!AH$1,Haver_M!$B$1:$BZ$1,0),FALSE),"")</f>
        <v/>
      </c>
      <c r="AI52">
        <f>IF(ISNUMBER(VLOOKUP($A52,Haver_M!$B$1:$BZ$300,MATCH(data!AI$1,Haver_M!$B$1:$BZ$1,0),FALSE)),VLOOKUP($A52,Haver_M!$B$1:$BZ$300,MATCH(data!AI$1,Haver_M!$B$1:$BZ$1,0),FALSE),"")</f>
        <v>9375.2287988199023</v>
      </c>
      <c r="AJ52">
        <f>IF(ISNUMBER(VLOOKUP($A52,Haver_M!$B$1:$BZ$300,MATCH(data!AJ$1,Haver_M!$B$1:$BZ$1,0),FALSE)),VLOOKUP($A52,Haver_M!$B$1:$BZ$300,MATCH(data!AJ$1,Haver_M!$B$1:$BZ$1,0),FALSE),"")</f>
        <v>6560.68</v>
      </c>
      <c r="AK52">
        <f>IF(ISNUMBER(VLOOKUP($A52,Haver_M!$B$1:$BZ$300,MATCH(data!AK$1,Haver_M!$B$1:$BZ$1,0),FALSE)),VLOOKUP($A52,Haver_M!$B$1:$BZ$300,MATCH(data!AK$1,Haver_M!$B$1:$BZ$1,0),FALSE),"")</f>
        <v>7564.6</v>
      </c>
      <c r="AL52" t="str">
        <f>IF(ISNUMBER(VLOOKUP($A52,Haver_M!$B$1:$BZ$300,MATCH(data!AL$1,Haver_M!$B$1:$BZ$1,0),FALSE)),VLOOKUP($A52,Haver_M!$B$1:$BZ$300,MATCH(data!AL$1,Haver_M!$B$1:$BZ$1,0),FALSE),"")</f>
        <v/>
      </c>
      <c r="AM52" t="str">
        <f>IF(ISNUMBER(VLOOKUP($A52,Haver_M!$B$1:$BZ$300,MATCH(data!AM$1,Haver_M!$B$1:$BZ$1,0),FALSE)),VLOOKUP($A52,Haver_M!$B$1:$BZ$300,MATCH(data!AM$1,Haver_M!$B$1:$BZ$1,0),FALSE),"")</f>
        <v/>
      </c>
      <c r="AN52" t="str">
        <f>IF(ISNUMBER(VLOOKUP($A52,Haver_M!$B$1:$BZ$300,MATCH(data!AN$1,Haver_M!$B$1:$BZ$1,0),FALSE)),VLOOKUP($A52,Haver_M!$B$1:$BZ$300,MATCH(data!AN$1,Haver_M!$B$1:$BZ$1,0),FALSE),"")</f>
        <v/>
      </c>
      <c r="AO52" t="str">
        <f>IF(ISNUMBER(VLOOKUP($A52,Haver_M!$B$1:$BZ$300,MATCH(data!AO$1,Haver_M!$B$1:$BZ$1,0),FALSE)),VLOOKUP($A52,Haver_M!$B$1:$BZ$300,MATCH(data!AO$1,Haver_M!$B$1:$BZ$1,0),FALSE),"")</f>
        <v/>
      </c>
      <c r="AP52">
        <f>IF(ISNUMBER(VLOOKUP($A52,Haver_M!$B$1:$BZ$300,MATCH(data!AP$1,Haver_M!$B$1:$BZ$1,0),FALSE)),VLOOKUP($A52,Haver_M!$B$1:$BZ$300,MATCH(data!AP$1,Haver_M!$B$1:$BZ$1,0),FALSE),"")</f>
        <v>27.892833839731807</v>
      </c>
      <c r="AQ52" t="str">
        <f>IF(ISNUMBER(VLOOKUP($A52,Haver_M!$B$1:$BZ$300,MATCH(data!AQ$1,Haver_M!$B$1:$BZ$1,0),FALSE)),VLOOKUP($A52,Haver_M!$B$1:$BZ$300,MATCH(data!AQ$1,Haver_M!$B$1:$BZ$1,0),FALSE),"")</f>
        <v/>
      </c>
      <c r="AR52" t="str">
        <f>IF(ISNUMBER(VLOOKUP($A52,Haver_M!$B$1:$BZ$300,MATCH(data!AR$1,Haver_M!$B$1:$BZ$1,0),FALSE)),VLOOKUP($A52,Haver_M!$B$1:$BZ$300,MATCH(data!AR$1,Haver_M!$B$1:$BZ$1,0),FALSE),"")</f>
        <v/>
      </c>
      <c r="AS52" t="str">
        <f>IF(ISNUMBER(VLOOKUP($A52,Haver_M!$B$1:$BZ$300,MATCH(data!AS$1,Haver_M!$B$1:$BZ$1,0),FALSE)),VLOOKUP($A52,Haver_M!$B$1:$BZ$300,MATCH(data!AS$1,Haver_M!$B$1:$BZ$1,0),FALSE),"")</f>
        <v/>
      </c>
      <c r="AT52" t="str">
        <f>IF(ISNUMBER(VLOOKUP($A52,Haver_M!$B$1:$BZ$300,MATCH(data!AT$1,Haver_M!$B$1:$BZ$1,0),FALSE)),VLOOKUP($A52,Haver_M!$B$1:$BZ$300,MATCH(data!AT$1,Haver_M!$B$1:$BZ$1,0),FALSE),"")</f>
        <v/>
      </c>
      <c r="AU52" t="str">
        <f>IF(ISNUMBER(VLOOKUP($A52,Haver_M!$B$1:$BZ$300,MATCH(data!AU$1,Haver_M!$B$1:$BZ$1,0),FALSE)),VLOOKUP($A52,Haver_M!$B$1:$BZ$300,MATCH(data!AU$1,Haver_M!$B$1:$BZ$1,0),FALSE),"")</f>
        <v/>
      </c>
      <c r="AV52" t="str">
        <f>IF(ISNUMBER(VLOOKUP($A52,Haver_M!$B$1:$BZ$300,MATCH(data!AV$1,Haver_M!$B$1:$BZ$1,0),FALSE)),VLOOKUP($A52,Haver_M!$B$1:$BZ$300,MATCH(data!AV$1,Haver_M!$B$1:$BZ$1,0),FALSE),"")</f>
        <v/>
      </c>
      <c r="AW52" t="str">
        <f>IF(ISNUMBER(VLOOKUP($A52,Haver_M!$B$1:$BZ$300,MATCH(data!AW$1,Haver_M!$B$1:$BZ$1,0),FALSE)),VLOOKUP($A52,Haver_M!$B$1:$BZ$300,MATCH(data!AW$1,Haver_M!$B$1:$BZ$1,0),FALSE),"")</f>
        <v/>
      </c>
      <c r="AX52" t="str">
        <f>IF(ISNUMBER(VLOOKUP($A52,Haver_M!$B$1:$BZ$300,MATCH(data!AX$1,Haver_M!$B$1:$BZ$1,0),FALSE)),VLOOKUP($A52,Haver_M!$B$1:$BZ$300,MATCH(data!AX$1,Haver_M!$B$1:$BZ$1,0),FALSE),"")</f>
        <v/>
      </c>
      <c r="AY52" t="str">
        <f>IF(ISNUMBER(VLOOKUP($A52,Haver_M!$B$1:$BZ$300,MATCH(data!AY$1,Haver_M!$B$1:$BZ$1,0),FALSE)),VLOOKUP($A52,Haver_M!$B$1:$BZ$300,MATCH(data!AY$1,Haver_M!$B$1:$BZ$1,0),FALSE),"")</f>
        <v/>
      </c>
      <c r="AZ52" t="str">
        <f>IF(ISNUMBER(VLOOKUP($A52,Haver_M!$B$1:$BZ$300,MATCH(data!AZ$1,Haver_M!$B$1:$BZ$1,0),FALSE)),VLOOKUP($A52,Haver_M!$B$1:$BZ$300,MATCH(data!AZ$1,Haver_M!$B$1:$BZ$1,0),FALSE),"")</f>
        <v/>
      </c>
      <c r="BA52" t="str">
        <f>IF(ISNUMBER(VLOOKUP($A52,Haver_M!$B$1:$BZ$300,MATCH(data!BA$1,Haver_M!$B$1:$BZ$1,0),FALSE)),VLOOKUP($A52,Haver_M!$B$1:$BZ$300,MATCH(data!BA$1,Haver_M!$B$1:$BZ$1,0),FALSE),"")</f>
        <v/>
      </c>
      <c r="BB52" t="str">
        <f>IF(ISNUMBER(VLOOKUP($A52,Haver_M!$B$1:$BZ$300,MATCH(data!BB$1,Haver_M!$B$1:$BZ$1,0),FALSE)),VLOOKUP($A52,Haver_M!$B$1:$BZ$300,MATCH(data!BB$1,Haver_M!$B$1:$BZ$1,0),FALSE),"")</f>
        <v/>
      </c>
      <c r="BC52" t="str">
        <f>IF(ISNUMBER(VLOOKUP($A52,Haver_M!$B$1:$BZ$300,MATCH(data!BC$1,Haver_M!$B$1:$BZ$1,0),FALSE)),VLOOKUP($A52,Haver_M!$B$1:$BZ$300,MATCH(data!BC$1,Haver_M!$B$1:$BZ$1,0),FALSE),"")</f>
        <v/>
      </c>
      <c r="BD52" t="str">
        <f>IF(ISNUMBER(VLOOKUP($A52,Haver_M!$B$1:$BZ$300,MATCH(data!BD$1,Haver_M!$B$1:$BZ$1,0),FALSE)),VLOOKUP($A52,Haver_M!$B$1:$BZ$300,MATCH(data!BD$1,Haver_M!$B$1:$BZ$1,0),FALSE),"")</f>
        <v/>
      </c>
      <c r="BE52" t="str">
        <f>IF(ISNUMBER(VLOOKUP($A52,Haver_M!$B$1:$BZ$300,MATCH(data!BE$1,Haver_M!$B$1:$BZ$1,0),FALSE)),VLOOKUP($A52,Haver_M!$B$1:$BZ$300,MATCH(data!BE$1,Haver_M!$B$1:$BZ$1,0),FALSE),"")</f>
        <v/>
      </c>
      <c r="BF52" t="str">
        <f>IF(ISNUMBER(VLOOKUP($A52,Haver_M!$B$1:$BZ$300,MATCH(data!BF$1,Haver_M!$B$1:$BZ$1,0),FALSE)),VLOOKUP($A52,Haver_M!$B$1:$BZ$300,MATCH(data!BF$1,Haver_M!$B$1:$BZ$1,0),FALSE),"")</f>
        <v/>
      </c>
      <c r="BG52" t="str">
        <f>IF(ISNUMBER(VLOOKUP($A52,Haver_M!$B$1:$BZ$300,MATCH(data!BG$1,Haver_M!$B$1:$BZ$1,0),FALSE)),VLOOKUP($A52,Haver_M!$B$1:$BZ$300,MATCH(data!BG$1,Haver_M!$B$1:$BZ$1,0),FALSE),"")</f>
        <v/>
      </c>
      <c r="BH52" t="str">
        <f>IF(ISNUMBER(VLOOKUP($A52,Haver_M!$B$1:$BZ$300,MATCH(data!BH$1,Haver_M!$B$1:$BZ$1,0),FALSE)),VLOOKUP($A52,Haver_M!$B$1:$BZ$300,MATCH(data!BH$1,Haver_M!$B$1:$BZ$1,0),FALSE),"")</f>
        <v/>
      </c>
      <c r="BI52" t="str">
        <f>IF(ISNUMBER(VLOOKUP($A52,Haver_M!$B$1:$BZ$300,MATCH(data!BI$1,Haver_M!$B$1:$BZ$1,0),FALSE)),VLOOKUP($A52,Haver_M!$B$1:$BZ$300,MATCH(data!BI$1,Haver_M!$B$1:$BZ$1,0),FALSE),"")</f>
        <v/>
      </c>
      <c r="BJ52" t="str">
        <f>IF(ISNUMBER(VLOOKUP($A52,Haver_M!$B$1:$BZ$300,MATCH(data!BJ$1,Haver_M!$B$1:$BZ$1,0),FALSE)),VLOOKUP($A52,Haver_M!$B$1:$BZ$300,MATCH(data!BJ$1,Haver_M!$B$1:$BZ$1,0),FALSE),"")</f>
        <v/>
      </c>
      <c r="BK52" t="str">
        <f>IF(ISNUMBER(VLOOKUP($A52,Haver_M!$B$1:$BZ$300,MATCH(data!BK$1,Haver_M!$B$1:$BZ$1,0),FALSE)),VLOOKUP($A52,Haver_M!$B$1:$BZ$300,MATCH(data!BK$1,Haver_M!$B$1:$BZ$1,0),FALSE),"")</f>
        <v/>
      </c>
      <c r="BL52">
        <f>IF(ISNUMBER(VLOOKUP($A52,Haver_M!$B$1:$BZ$300,MATCH(data!BL$1,Haver_M!$B$1:$BZ$1,0),FALSE)),VLOOKUP($A52,Haver_M!$B$1:$BZ$300,MATCH(data!BL$1,Haver_M!$B$1:$BZ$1,0),FALSE),"")</f>
        <v>5612.92</v>
      </c>
      <c r="BM52">
        <f>IF(ISNUMBER(VLOOKUP($A52,Haver_M!$B$1:$BZ$300,MATCH(data!BM$1,Haver_M!$B$1:$BZ$1,0),FALSE)),VLOOKUP($A52,Haver_M!$B$1:$BZ$300,MATCH(data!BM$1,Haver_M!$B$1:$BZ$1,0),FALSE),"")</f>
        <v>103.01401706</v>
      </c>
      <c r="BN52">
        <f>IF(ISNUMBER(VLOOKUP($A52,Haver_M!$B$1:$BZ$300,MATCH(data!BN$1,Haver_M!$B$1:$BZ$1,0),FALSE)),VLOOKUP($A52,Haver_M!$B$1:$BZ$300,MATCH(data!BN$1,Haver_M!$B$1:$BZ$1,0),FALSE),"")</f>
        <v>121.4</v>
      </c>
      <c r="BO52">
        <f>IF(ISNUMBER(VLOOKUP($A52,Haver_M!$B$1:$BZ$300,MATCH(data!BO$1,Haver_M!$B$1:$BZ$1,0),FALSE)),VLOOKUP($A52,Haver_M!$B$1:$BZ$300,MATCH(data!BO$1,Haver_M!$B$1:$BZ$1,0),FALSE),"")</f>
        <v>122.2</v>
      </c>
      <c r="BP52">
        <f>IF(ISNUMBER(VLOOKUP($A52,Haver_M!$B$1:$BZ$300,MATCH(data!BP$1,Haver_M!$B$1:$BZ$1,0),FALSE)),VLOOKUP($A52,Haver_M!$B$1:$BZ$300,MATCH(data!BP$1,Haver_M!$B$1:$BZ$1,0),FALSE),"")</f>
        <v>49</v>
      </c>
      <c r="BQ52" t="str">
        <f>IF(ISNUMBER(VLOOKUP($A52,Haver_M!$B$1:$BZ$300,MATCH(data!BQ$1,Haver_M!$B$1:$BZ$1,0),FALSE)),VLOOKUP($A52,Haver_M!$B$1:$BZ$300,MATCH(data!BQ$1,Haver_M!$B$1:$BZ$1,0),FALSE),"")</f>
        <v/>
      </c>
      <c r="BR52" t="str">
        <f>IF(ISNUMBER(VLOOKUP($A52,Haver_M!$B$1:$BZ$300,MATCH(data!BR$1,Haver_M!$B$1:$BZ$1,0),FALSE)),VLOOKUP($A52,Haver_M!$B$1:$BZ$300,MATCH(data!BR$1,Haver_M!$B$1:$BZ$1,0),FALSE),"")</f>
        <v/>
      </c>
      <c r="BS52" t="str">
        <f>IF(ISNUMBER(VLOOKUP($A52,Haver_M!$B$1:$BZ$300,MATCH(data!BS$1,Haver_M!$B$1:$BZ$1,0),FALSE)),VLOOKUP($A52,Haver_M!$B$1:$BZ$300,MATCH(data!BS$1,Haver_M!$B$1:$BZ$1,0),FALSE),"")</f>
        <v/>
      </c>
      <c r="BT52" t="str">
        <f>IF(ISNUMBER(VLOOKUP($A52,Haver_M!$B$1:$BZ$300,MATCH(data!BT$1,Haver_M!$B$1:$BZ$1,0),FALSE)),VLOOKUP($A52,Haver_M!$B$1:$BZ$300,MATCH(data!BT$1,Haver_M!$B$1:$BZ$1,0),FALSE),"")</f>
        <v/>
      </c>
      <c r="BU52">
        <f>IF(ISNUMBER(VLOOKUP($A52,Haver_M!$B$1:$BZ$300,MATCH(data!BU$1,Haver_M!$B$1:$BZ$1,0),FALSE)),VLOOKUP($A52,Haver_M!$B$1:$BZ$300,MATCH(data!BU$1,Haver_M!$B$1:$BZ$1,0),FALSE),"")</f>
        <v>7863</v>
      </c>
      <c r="BV52">
        <f>IF(ISNUMBER(VLOOKUP($A52,Haver_M!$B$1:$BZ$300,MATCH(data!BV$1,Haver_M!$B$1:$BZ$1,0),FALSE)),VLOOKUP($A52,Haver_M!$B$1:$BZ$300,MATCH(data!BV$1,Haver_M!$B$1:$BZ$1,0),FALSE),"")</f>
        <v>8034</v>
      </c>
      <c r="BW52">
        <f>IF(ISNUMBER(VLOOKUP($A52,Haver_M!$B$1:$BZ$300,MATCH(data!BW$1,Haver_M!$B$1:$BZ$1,0),FALSE)),VLOOKUP($A52,Haver_M!$B$1:$BZ$300,MATCH(data!BW$1,Haver_M!$B$1:$BZ$1,0),FALSE),"")</f>
        <v>45.017899999999997</v>
      </c>
      <c r="BX52">
        <f>IF(ISNUMBER(VLOOKUP($A52,Haver_M!$B$1:$BZ$300,MATCH(data!BX$1,Haver_M!$B$1:$BZ$1,0),FALSE)),VLOOKUP($A52,Haver_M!$B$1:$BZ$300,MATCH(data!BX$1,Haver_M!$B$1:$BZ$1,0),FALSE),"")</f>
        <v>20647</v>
      </c>
    </row>
    <row r="53" spans="1:76" x14ac:dyDescent="0.25">
      <c r="A53" s="2">
        <v>38107</v>
      </c>
      <c r="B53" t="str">
        <f>IF(ISNUMBER(VLOOKUP($A53,Haver_Q!$B$1:$L$185,MATCH(data!B$1,Haver_Q!$B$1:$L$1,0),FALSE)),100*(VLOOKUP($A53,Haver_Q!$B$1:$L$185,MATCH(data!B$1,Haver_Q!$B$1:$L$1,0),FALSE)),"")</f>
        <v/>
      </c>
      <c r="C53" t="str">
        <f>IF(ISNUMBER(VLOOKUP($A53,Haver_Q!$B$1:$L$185,MATCH(data!C$1,Haver_Q!$B$1:$L$1,0),FALSE)),100*(VLOOKUP($A53,Haver_Q!$B$1:$L$185,MATCH(data!C$1,Haver_Q!$B$1:$L$1,0),FALSE)),"")</f>
        <v/>
      </c>
      <c r="D53" t="str">
        <f>IF(ISNUMBER(VLOOKUP($A53,Haver_Q!$B$1:$L$185,MATCH(data!D$1,Haver_Q!$B$1:$L$1,0),FALSE)),100*(VLOOKUP($A53,Haver_Q!$B$1:$L$185,MATCH(data!D$1,Haver_Q!$B$1:$L$1,0),FALSE)),"")</f>
        <v/>
      </c>
      <c r="E53" t="str">
        <f>IF(ISNUMBER(VLOOKUP($A53,Haver_Q!$B$1:$L$185,MATCH(data!E$1,Haver_Q!$B$1:$L$1,0),FALSE)),100*(VLOOKUP($A53,Haver_Q!$B$1:$L$185,MATCH(data!E$1,Haver_Q!$B$1:$L$1,0),FALSE)),"")</f>
        <v/>
      </c>
      <c r="F53" t="str">
        <f>IF(ISNUMBER(VLOOKUP($A53,Haver_Q!$B$1:$L$185,MATCH(data!F$1,Haver_Q!$B$1:$L$1,0),FALSE)),100*(VLOOKUP($A53,Haver_Q!$B$1:$L$185,MATCH(data!F$1,Haver_Q!$B$1:$L$1,0),FALSE)),"")</f>
        <v/>
      </c>
      <c r="G53" t="str">
        <f>IF(ISNUMBER(VLOOKUP($A53,Haver_Q!$B$1:$L$185,MATCH(data!G$1,Haver_Q!$B$1:$L$1,0),FALSE)),100*(VLOOKUP($A53,Haver_Q!$B$1:$L$185,MATCH(data!G$1,Haver_Q!$B$1:$L$1,0),FALSE)),"")</f>
        <v/>
      </c>
      <c r="H53" t="str">
        <f>IF(ISNUMBER(VLOOKUP($A53,Haver_Q!$B$1:$L$185,MATCH(data!H$1,Haver_Q!$B$1:$L$1,0),FALSE)),(VLOOKUP($A53,Haver_Q!$B$1:$L$185,MATCH(data!H$1,Haver_Q!$B$1:$L$1,0),FALSE)),"")</f>
        <v/>
      </c>
      <c r="I53" t="str">
        <f>IF(ISNUMBER(VLOOKUP($A53,Haver_Q!$B$1:$L$185,MATCH(data!I$1,Haver_Q!$B$1:$L$1,0),FALSE)),100*(VLOOKUP($A53,Haver_Q!$B$1:$L$185,MATCH(data!I$1,Haver_Q!$B$1:$L$1,0),FALSE)),"")</f>
        <v/>
      </c>
      <c r="J53" s="3">
        <f>IF(ISNUMBER(Bloomberg_m!C69),Bloomberg_m!C69,"")</f>
        <v>4489</v>
      </c>
      <c r="K53" s="3" t="str">
        <f>IF(ISNUMBER(Bloomberg_m!D69),Bloomberg_m!D69,"")</f>
        <v/>
      </c>
      <c r="L53" s="3" t="str">
        <f>IF(ISNUMBER(Bloomberg_m!E69),Bloomberg_m!E69,"")</f>
        <v/>
      </c>
      <c r="M53" s="3" t="str">
        <f>IF(ISNUMBER(Bloomberg_m!F69),Bloomberg_m!F69,"")</f>
        <v/>
      </c>
      <c r="N53">
        <f>IF(ISNUMBER(VLOOKUP($A53,Haver_M!$B$1:$BZ$300,MATCH(data!N$1,Haver_M!$B$1:$BZ$1,0),FALSE)),VLOOKUP($A53,Haver_M!$B$1:$BZ$300,MATCH(data!N$1,Haver_M!$B$1:$BZ$1,0),FALSE),"")</f>
        <v>6</v>
      </c>
      <c r="O53">
        <f>IF(ISNUMBER(VLOOKUP($A53,Haver_M!$B$1:$BZ$300,MATCH(data!O$1,Haver_M!$B$1:$BZ$1,0),FALSE)),VLOOKUP($A53,Haver_M!$B$1:$BZ$300,MATCH(data!O$1,Haver_M!$B$1:$BZ$1,0),FALSE),"")</f>
        <v>5.1460999999999997</v>
      </c>
      <c r="P53">
        <f>IF(ISNUMBER(VLOOKUP($A53,Haver_M!$B$1:$BZ$300,MATCH(data!P$1,Haver_M!$B$1:$BZ$1,0),FALSE)),VLOOKUP($A53,Haver_M!$B$1:$BZ$300,MATCH(data!P$1,Haver_M!$B$1:$BZ$1,0),FALSE),"")</f>
        <v>98.133070000000004</v>
      </c>
      <c r="Q53">
        <f>IF(ISNUMBER(VLOOKUP($A53,Haver_M!$B$1:$BZ$300,MATCH(data!Q$1,Haver_M!$B$1:$BZ$1,0),FALSE)),VLOOKUP($A53,Haver_M!$B$1:$BZ$300,MATCH(data!Q$1,Haver_M!$B$1:$BZ$1,0),FALSE),"")</f>
        <v>54.2</v>
      </c>
      <c r="R53" t="str">
        <f>IF(ISNUMBER(VLOOKUP($A53,Haver_M!$B$1:$BZ$300,MATCH(data!R$1,Haver_M!$B$1:$BZ$1,0),FALSE)),VLOOKUP($A53,Haver_M!$B$1:$BZ$300,MATCH(data!R$1,Haver_M!$B$1:$BZ$1,0),FALSE),"")</f>
        <v/>
      </c>
      <c r="S53">
        <f>IF(ISNUMBER(VLOOKUP($A53,Haver_M!$B$1:$BZ$300,MATCH(data!S$1,Haver_M!$B$1:$BZ$1,0),FALSE)),VLOOKUP($A53,Haver_M!$B$1:$BZ$300,MATCH(data!S$1,Haver_M!$B$1:$BZ$1,0),FALSE),"")</f>
        <v>57.6</v>
      </c>
      <c r="T53">
        <f>IF(ISNUMBER(VLOOKUP($A53,Haver_M!$B$1:$BZ$300,MATCH(data!T$1,Haver_M!$B$1:$BZ$1,0),FALSE)),VLOOKUP($A53,Haver_M!$B$1:$BZ$300,MATCH(data!T$1,Haver_M!$B$1:$BZ$1,0),FALSE),"")</f>
        <v>64.209999999999994</v>
      </c>
      <c r="U53">
        <f>IF(ISNUMBER(VLOOKUP($A53,Haver_M!$B$1:$BZ$300,MATCH(data!U$1,Haver_M!$B$1:$BZ$1,0),FALSE)),VLOOKUP($A53,Haver_M!$B$1:$BZ$300,MATCH(data!U$1,Haver_M!$B$1:$BZ$1,0),FALSE),"")</f>
        <v>36.119999999999997</v>
      </c>
      <c r="V53">
        <f>IF(ISNUMBER(VLOOKUP($A53,Haver_M!$B$1:$BZ$300,MATCH(data!V$1,Haver_M!$B$1:$BZ$1,0),FALSE)),VLOOKUP($A53,Haver_M!$B$1:$BZ$300,MATCH(data!V$1,Haver_M!$B$1:$BZ$1,0),FALSE),"")</f>
        <v>72.62</v>
      </c>
      <c r="W53" t="str">
        <f>IF(ISNUMBER(VLOOKUP($A53,Haver_M!$B$1:$BZ$300,MATCH(data!W$1,Haver_M!$B$1:$BZ$1,0),FALSE)),VLOOKUP($A53,Haver_M!$B$1:$BZ$300,MATCH(data!W$1,Haver_M!$B$1:$BZ$1,0),FALSE),"")</f>
        <v/>
      </c>
      <c r="X53">
        <f>IF(ISNUMBER(VLOOKUP($A53,Haver_M!$B$1:$BZ$300,MATCH(data!X$1,Haver_M!$B$1:$BZ$1,0),FALSE)),VLOOKUP($A53,Haver_M!$B$1:$BZ$300,MATCH(data!X$1,Haver_M!$B$1:$BZ$1,0),FALSE),"")</f>
        <v>31.79</v>
      </c>
      <c r="Y53">
        <f>IF(ISNUMBER(VLOOKUP($A53,Haver_M!$B$1:$BZ$300,MATCH(data!Y$1,Haver_M!$B$1:$BZ$1,0),FALSE)),VLOOKUP($A53,Haver_M!$B$1:$BZ$300,MATCH(data!Y$1,Haver_M!$B$1:$BZ$1,0),FALSE),"")</f>
        <v>61.9</v>
      </c>
      <c r="Z53">
        <f>IF(ISNUMBER(VLOOKUP($A53,Haver_M!$B$1:$BZ$300,MATCH(data!Z$1,Haver_M!$B$1:$BZ$1,0),FALSE)),VLOOKUP($A53,Haver_M!$B$1:$BZ$300,MATCH(data!Z$1,Haver_M!$B$1:$BZ$1,0),FALSE),"")</f>
        <v>68.400000000000006</v>
      </c>
      <c r="AA53">
        <f>IF(ISNUMBER(VLOOKUP($A53,Haver_M!$B$1:$BZ$300,MATCH(data!AA$1,Haver_M!$B$1:$BZ$1,0),FALSE)),VLOOKUP($A53,Haver_M!$B$1:$BZ$300,MATCH(data!AA$1,Haver_M!$B$1:$BZ$1,0),FALSE),"")</f>
        <v>69.960999999999999</v>
      </c>
      <c r="AB53">
        <f>IF(ISNUMBER(VLOOKUP($A53,Haver_M!$B$1:$BZ$300,MATCH(data!AB$1,Haver_M!$B$1:$BZ$1,0),FALSE)),VLOOKUP($A53,Haver_M!$B$1:$BZ$300,MATCH(data!AB$1,Haver_M!$B$1:$BZ$1,0),FALSE),"")</f>
        <v>88.808000000000007</v>
      </c>
      <c r="AC53">
        <f>IF(ISNUMBER(VLOOKUP($A53,Haver_M!$B$1:$BZ$300,MATCH(data!AC$1,Haver_M!$B$1:$BZ$1,0),FALSE)),VLOOKUP($A53,Haver_M!$B$1:$BZ$300,MATCH(data!AC$1,Haver_M!$B$1:$BZ$1,0),FALSE),"")</f>
        <v>67.34</v>
      </c>
      <c r="AD53">
        <f>IF(ISNUMBER(VLOOKUP($A53,Haver_M!$B$1:$BZ$300,MATCH(data!AD$1,Haver_M!$B$1:$BZ$1,0),FALSE)),VLOOKUP($A53,Haver_M!$B$1:$BZ$300,MATCH(data!AD$1,Haver_M!$B$1:$BZ$1,0),FALSE),"")</f>
        <v>77.878</v>
      </c>
      <c r="AE53">
        <f>IF(ISNUMBER(VLOOKUP($A53,Haver_M!$B$1:$BZ$300,MATCH(data!AE$1,Haver_M!$B$1:$BZ$1,0),FALSE)),VLOOKUP($A53,Haver_M!$B$1:$BZ$300,MATCH(data!AE$1,Haver_M!$B$1:$BZ$1,0),FALSE),"")</f>
        <v>94.878</v>
      </c>
      <c r="AF53">
        <f>IF(ISNUMBER(VLOOKUP($A53,Haver_M!$B$1:$BZ$300,MATCH(data!AF$1,Haver_M!$B$1:$BZ$1,0),FALSE)),VLOOKUP($A53,Haver_M!$B$1:$BZ$300,MATCH(data!AF$1,Haver_M!$B$1:$BZ$1,0),FALSE),"")</f>
        <v>53.828000000000003</v>
      </c>
      <c r="AG53">
        <f>IF(ISNUMBER(VLOOKUP($A53,Haver_M!$B$1:$BZ$300,MATCH(data!AG$1,Haver_M!$B$1:$BZ$1,0),FALSE)),VLOOKUP($A53,Haver_M!$B$1:$BZ$300,MATCH(data!AG$1,Haver_M!$B$1:$BZ$1,0),FALSE),"")</f>
        <v>54.691000000000003</v>
      </c>
      <c r="AH53">
        <f>IF(ISNUMBER(VLOOKUP($A53,Haver_M!$B$1:$BZ$300,MATCH(data!AH$1,Haver_M!$B$1:$BZ$1,0),FALSE)),VLOOKUP($A53,Haver_M!$B$1:$BZ$300,MATCH(data!AH$1,Haver_M!$B$1:$BZ$1,0),FALSE),"")</f>
        <v>66.227999999999994</v>
      </c>
      <c r="AI53">
        <f>IF(ISNUMBER(VLOOKUP($A53,Haver_M!$B$1:$BZ$300,MATCH(data!AI$1,Haver_M!$B$1:$BZ$1,0),FALSE)),VLOOKUP($A53,Haver_M!$B$1:$BZ$300,MATCH(data!AI$1,Haver_M!$B$1:$BZ$1,0),FALSE),"")</f>
        <v>9389.9488744995197</v>
      </c>
      <c r="AJ53">
        <f>IF(ISNUMBER(VLOOKUP($A53,Haver_M!$B$1:$BZ$300,MATCH(data!AJ$1,Haver_M!$B$1:$BZ$1,0),FALSE)),VLOOKUP($A53,Haver_M!$B$1:$BZ$300,MATCH(data!AJ$1,Haver_M!$B$1:$BZ$1,0),FALSE),"")</f>
        <v>5912.58</v>
      </c>
      <c r="AK53">
        <f>IF(ISNUMBER(VLOOKUP($A53,Haver_M!$B$1:$BZ$300,MATCH(data!AK$1,Haver_M!$B$1:$BZ$1,0),FALSE)),VLOOKUP($A53,Haver_M!$B$1:$BZ$300,MATCH(data!AK$1,Haver_M!$B$1:$BZ$1,0),FALSE),"")</f>
        <v>7229.86</v>
      </c>
      <c r="AL53" t="str">
        <f>IF(ISNUMBER(VLOOKUP($A53,Haver_M!$B$1:$BZ$300,MATCH(data!AL$1,Haver_M!$B$1:$BZ$1,0),FALSE)),VLOOKUP($A53,Haver_M!$B$1:$BZ$300,MATCH(data!AL$1,Haver_M!$B$1:$BZ$1,0),FALSE),"")</f>
        <v/>
      </c>
      <c r="AM53" t="str">
        <f>IF(ISNUMBER(VLOOKUP($A53,Haver_M!$B$1:$BZ$300,MATCH(data!AM$1,Haver_M!$B$1:$BZ$1,0),FALSE)),VLOOKUP($A53,Haver_M!$B$1:$BZ$300,MATCH(data!AM$1,Haver_M!$B$1:$BZ$1,0),FALSE),"")</f>
        <v/>
      </c>
      <c r="AN53" t="str">
        <f>IF(ISNUMBER(VLOOKUP($A53,Haver_M!$B$1:$BZ$300,MATCH(data!AN$1,Haver_M!$B$1:$BZ$1,0),FALSE)),VLOOKUP($A53,Haver_M!$B$1:$BZ$300,MATCH(data!AN$1,Haver_M!$B$1:$BZ$1,0),FALSE),"")</f>
        <v/>
      </c>
      <c r="AO53" t="str">
        <f>IF(ISNUMBER(VLOOKUP($A53,Haver_M!$B$1:$BZ$300,MATCH(data!AO$1,Haver_M!$B$1:$BZ$1,0),FALSE)),VLOOKUP($A53,Haver_M!$B$1:$BZ$300,MATCH(data!AO$1,Haver_M!$B$1:$BZ$1,0),FALSE),"")</f>
        <v/>
      </c>
      <c r="AP53">
        <f>IF(ISNUMBER(VLOOKUP($A53,Haver_M!$B$1:$BZ$300,MATCH(data!AP$1,Haver_M!$B$1:$BZ$1,0),FALSE)),VLOOKUP($A53,Haver_M!$B$1:$BZ$300,MATCH(data!AP$1,Haver_M!$B$1:$BZ$1,0),FALSE),"")</f>
        <v>63.386355997559171</v>
      </c>
      <c r="AQ53" t="str">
        <f>IF(ISNUMBER(VLOOKUP($A53,Haver_M!$B$1:$BZ$300,MATCH(data!AQ$1,Haver_M!$B$1:$BZ$1,0),FALSE)),VLOOKUP($A53,Haver_M!$B$1:$BZ$300,MATCH(data!AQ$1,Haver_M!$B$1:$BZ$1,0),FALSE),"")</f>
        <v/>
      </c>
      <c r="AR53" t="str">
        <f>IF(ISNUMBER(VLOOKUP($A53,Haver_M!$B$1:$BZ$300,MATCH(data!AR$1,Haver_M!$B$1:$BZ$1,0),FALSE)),VLOOKUP($A53,Haver_M!$B$1:$BZ$300,MATCH(data!AR$1,Haver_M!$B$1:$BZ$1,0),FALSE),"")</f>
        <v/>
      </c>
      <c r="AS53" t="str">
        <f>IF(ISNUMBER(VLOOKUP($A53,Haver_M!$B$1:$BZ$300,MATCH(data!AS$1,Haver_M!$B$1:$BZ$1,0),FALSE)),VLOOKUP($A53,Haver_M!$B$1:$BZ$300,MATCH(data!AS$1,Haver_M!$B$1:$BZ$1,0),FALSE),"")</f>
        <v/>
      </c>
      <c r="AT53" t="str">
        <f>IF(ISNUMBER(VLOOKUP($A53,Haver_M!$B$1:$BZ$300,MATCH(data!AT$1,Haver_M!$B$1:$BZ$1,0),FALSE)),VLOOKUP($A53,Haver_M!$B$1:$BZ$300,MATCH(data!AT$1,Haver_M!$B$1:$BZ$1,0),FALSE),"")</f>
        <v/>
      </c>
      <c r="AU53" t="str">
        <f>IF(ISNUMBER(VLOOKUP($A53,Haver_M!$B$1:$BZ$300,MATCH(data!AU$1,Haver_M!$B$1:$BZ$1,0),FALSE)),VLOOKUP($A53,Haver_M!$B$1:$BZ$300,MATCH(data!AU$1,Haver_M!$B$1:$BZ$1,0),FALSE),"")</f>
        <v/>
      </c>
      <c r="AV53" t="str">
        <f>IF(ISNUMBER(VLOOKUP($A53,Haver_M!$B$1:$BZ$300,MATCH(data!AV$1,Haver_M!$B$1:$BZ$1,0),FALSE)),VLOOKUP($A53,Haver_M!$B$1:$BZ$300,MATCH(data!AV$1,Haver_M!$B$1:$BZ$1,0),FALSE),"")</f>
        <v/>
      </c>
      <c r="AW53" t="str">
        <f>IF(ISNUMBER(VLOOKUP($A53,Haver_M!$B$1:$BZ$300,MATCH(data!AW$1,Haver_M!$B$1:$BZ$1,0),FALSE)),VLOOKUP($A53,Haver_M!$B$1:$BZ$300,MATCH(data!AW$1,Haver_M!$B$1:$BZ$1,0),FALSE),"")</f>
        <v/>
      </c>
      <c r="AX53" t="str">
        <f>IF(ISNUMBER(VLOOKUP($A53,Haver_M!$B$1:$BZ$300,MATCH(data!AX$1,Haver_M!$B$1:$BZ$1,0),FALSE)),VLOOKUP($A53,Haver_M!$B$1:$BZ$300,MATCH(data!AX$1,Haver_M!$B$1:$BZ$1,0),FALSE),"")</f>
        <v/>
      </c>
      <c r="AY53" t="str">
        <f>IF(ISNUMBER(VLOOKUP($A53,Haver_M!$B$1:$BZ$300,MATCH(data!AY$1,Haver_M!$B$1:$BZ$1,0),FALSE)),VLOOKUP($A53,Haver_M!$B$1:$BZ$300,MATCH(data!AY$1,Haver_M!$B$1:$BZ$1,0),FALSE),"")</f>
        <v/>
      </c>
      <c r="AZ53" t="str">
        <f>IF(ISNUMBER(VLOOKUP($A53,Haver_M!$B$1:$BZ$300,MATCH(data!AZ$1,Haver_M!$B$1:$BZ$1,0),FALSE)),VLOOKUP($A53,Haver_M!$B$1:$BZ$300,MATCH(data!AZ$1,Haver_M!$B$1:$BZ$1,0),FALSE),"")</f>
        <v/>
      </c>
      <c r="BA53" t="str">
        <f>IF(ISNUMBER(VLOOKUP($A53,Haver_M!$B$1:$BZ$300,MATCH(data!BA$1,Haver_M!$B$1:$BZ$1,0),FALSE)),VLOOKUP($A53,Haver_M!$B$1:$BZ$300,MATCH(data!BA$1,Haver_M!$B$1:$BZ$1,0),FALSE),"")</f>
        <v/>
      </c>
      <c r="BB53" t="str">
        <f>IF(ISNUMBER(VLOOKUP($A53,Haver_M!$B$1:$BZ$300,MATCH(data!BB$1,Haver_M!$B$1:$BZ$1,0),FALSE)),VLOOKUP($A53,Haver_M!$B$1:$BZ$300,MATCH(data!BB$1,Haver_M!$B$1:$BZ$1,0),FALSE),"")</f>
        <v/>
      </c>
      <c r="BC53" t="str">
        <f>IF(ISNUMBER(VLOOKUP($A53,Haver_M!$B$1:$BZ$300,MATCH(data!BC$1,Haver_M!$B$1:$BZ$1,0),FALSE)),VLOOKUP($A53,Haver_M!$B$1:$BZ$300,MATCH(data!BC$1,Haver_M!$B$1:$BZ$1,0),FALSE),"")</f>
        <v/>
      </c>
      <c r="BD53" t="str">
        <f>IF(ISNUMBER(VLOOKUP($A53,Haver_M!$B$1:$BZ$300,MATCH(data!BD$1,Haver_M!$B$1:$BZ$1,0),FALSE)),VLOOKUP($A53,Haver_M!$B$1:$BZ$300,MATCH(data!BD$1,Haver_M!$B$1:$BZ$1,0),FALSE),"")</f>
        <v/>
      </c>
      <c r="BE53" t="str">
        <f>IF(ISNUMBER(VLOOKUP($A53,Haver_M!$B$1:$BZ$300,MATCH(data!BE$1,Haver_M!$B$1:$BZ$1,0),FALSE)),VLOOKUP($A53,Haver_M!$B$1:$BZ$300,MATCH(data!BE$1,Haver_M!$B$1:$BZ$1,0),FALSE),"")</f>
        <v/>
      </c>
      <c r="BF53" t="str">
        <f>IF(ISNUMBER(VLOOKUP($A53,Haver_M!$B$1:$BZ$300,MATCH(data!BF$1,Haver_M!$B$1:$BZ$1,0),FALSE)),VLOOKUP($A53,Haver_M!$B$1:$BZ$300,MATCH(data!BF$1,Haver_M!$B$1:$BZ$1,0),FALSE),"")</f>
        <v/>
      </c>
      <c r="BG53" t="str">
        <f>IF(ISNUMBER(VLOOKUP($A53,Haver_M!$B$1:$BZ$300,MATCH(data!BG$1,Haver_M!$B$1:$BZ$1,0),FALSE)),VLOOKUP($A53,Haver_M!$B$1:$BZ$300,MATCH(data!BG$1,Haver_M!$B$1:$BZ$1,0),FALSE),"")</f>
        <v/>
      </c>
      <c r="BH53" t="str">
        <f>IF(ISNUMBER(VLOOKUP($A53,Haver_M!$B$1:$BZ$300,MATCH(data!BH$1,Haver_M!$B$1:$BZ$1,0),FALSE)),VLOOKUP($A53,Haver_M!$B$1:$BZ$300,MATCH(data!BH$1,Haver_M!$B$1:$BZ$1,0),FALSE),"")</f>
        <v/>
      </c>
      <c r="BI53" t="str">
        <f>IF(ISNUMBER(VLOOKUP($A53,Haver_M!$B$1:$BZ$300,MATCH(data!BI$1,Haver_M!$B$1:$BZ$1,0),FALSE)),VLOOKUP($A53,Haver_M!$B$1:$BZ$300,MATCH(data!BI$1,Haver_M!$B$1:$BZ$1,0),FALSE),"")</f>
        <v/>
      </c>
      <c r="BJ53" t="str">
        <f>IF(ISNUMBER(VLOOKUP($A53,Haver_M!$B$1:$BZ$300,MATCH(data!BJ$1,Haver_M!$B$1:$BZ$1,0),FALSE)),VLOOKUP($A53,Haver_M!$B$1:$BZ$300,MATCH(data!BJ$1,Haver_M!$B$1:$BZ$1,0),FALSE),"")</f>
        <v/>
      </c>
      <c r="BK53" t="str">
        <f>IF(ISNUMBER(VLOOKUP($A53,Haver_M!$B$1:$BZ$300,MATCH(data!BK$1,Haver_M!$B$1:$BZ$1,0),FALSE)),VLOOKUP($A53,Haver_M!$B$1:$BZ$300,MATCH(data!BK$1,Haver_M!$B$1:$BZ$1,0),FALSE),"")</f>
        <v/>
      </c>
      <c r="BL53">
        <f>IF(ISNUMBER(VLOOKUP($A53,Haver_M!$B$1:$BZ$300,MATCH(data!BL$1,Haver_M!$B$1:$BZ$1,0),FALSE)),VLOOKUP($A53,Haver_M!$B$1:$BZ$300,MATCH(data!BL$1,Haver_M!$B$1:$BZ$1,0),FALSE),"")</f>
        <v>5806.24</v>
      </c>
      <c r="BM53">
        <f>IF(ISNUMBER(VLOOKUP($A53,Haver_M!$B$1:$BZ$300,MATCH(data!BM$1,Haver_M!$B$1:$BZ$1,0),FALSE)),VLOOKUP($A53,Haver_M!$B$1:$BZ$300,MATCH(data!BM$1,Haver_M!$B$1:$BZ$1,0),FALSE),"")</f>
        <v>100.49399226</v>
      </c>
      <c r="BN53" t="str">
        <f>IF(ISNUMBER(VLOOKUP($A53,Haver_M!$B$1:$BZ$300,MATCH(data!BN$1,Haver_M!$B$1:$BZ$1,0),FALSE)),VLOOKUP($A53,Haver_M!$B$1:$BZ$300,MATCH(data!BN$1,Haver_M!$B$1:$BZ$1,0),FALSE),"")</f>
        <v/>
      </c>
      <c r="BO53" t="str">
        <f>IF(ISNUMBER(VLOOKUP($A53,Haver_M!$B$1:$BZ$300,MATCH(data!BO$1,Haver_M!$B$1:$BZ$1,0),FALSE)),VLOOKUP($A53,Haver_M!$B$1:$BZ$300,MATCH(data!BO$1,Haver_M!$B$1:$BZ$1,0),FALSE),"")</f>
        <v/>
      </c>
      <c r="BP53" t="str">
        <f>IF(ISNUMBER(VLOOKUP($A53,Haver_M!$B$1:$BZ$300,MATCH(data!BP$1,Haver_M!$B$1:$BZ$1,0),FALSE)),VLOOKUP($A53,Haver_M!$B$1:$BZ$300,MATCH(data!BP$1,Haver_M!$B$1:$BZ$1,0),FALSE),"")</f>
        <v/>
      </c>
      <c r="BQ53" t="str">
        <f>IF(ISNUMBER(VLOOKUP($A53,Haver_M!$B$1:$BZ$300,MATCH(data!BQ$1,Haver_M!$B$1:$BZ$1,0),FALSE)),VLOOKUP($A53,Haver_M!$B$1:$BZ$300,MATCH(data!BQ$1,Haver_M!$B$1:$BZ$1,0),FALSE),"")</f>
        <v/>
      </c>
      <c r="BR53" t="str">
        <f>IF(ISNUMBER(VLOOKUP($A53,Haver_M!$B$1:$BZ$300,MATCH(data!BR$1,Haver_M!$B$1:$BZ$1,0),FALSE)),VLOOKUP($A53,Haver_M!$B$1:$BZ$300,MATCH(data!BR$1,Haver_M!$B$1:$BZ$1,0),FALSE),"")</f>
        <v/>
      </c>
      <c r="BS53" t="str">
        <f>IF(ISNUMBER(VLOOKUP($A53,Haver_M!$B$1:$BZ$300,MATCH(data!BS$1,Haver_M!$B$1:$BZ$1,0),FALSE)),VLOOKUP($A53,Haver_M!$B$1:$BZ$300,MATCH(data!BS$1,Haver_M!$B$1:$BZ$1,0),FALSE),"")</f>
        <v/>
      </c>
      <c r="BT53" t="str">
        <f>IF(ISNUMBER(VLOOKUP($A53,Haver_M!$B$1:$BZ$300,MATCH(data!BT$1,Haver_M!$B$1:$BZ$1,0),FALSE)),VLOOKUP($A53,Haver_M!$B$1:$BZ$300,MATCH(data!BT$1,Haver_M!$B$1:$BZ$1,0),FALSE),"")</f>
        <v/>
      </c>
      <c r="BU53">
        <f>IF(ISNUMBER(VLOOKUP($A53,Haver_M!$B$1:$BZ$300,MATCH(data!BU$1,Haver_M!$B$1:$BZ$1,0),FALSE)),VLOOKUP($A53,Haver_M!$B$1:$BZ$300,MATCH(data!BU$1,Haver_M!$B$1:$BZ$1,0),FALSE),"")</f>
        <v>5643</v>
      </c>
      <c r="BV53">
        <f>IF(ISNUMBER(VLOOKUP($A53,Haver_M!$B$1:$BZ$300,MATCH(data!BV$1,Haver_M!$B$1:$BZ$1,0),FALSE)),VLOOKUP($A53,Haver_M!$B$1:$BZ$300,MATCH(data!BV$1,Haver_M!$B$1:$BZ$1,0),FALSE),"")</f>
        <v>6987</v>
      </c>
      <c r="BW53">
        <f>IF(ISNUMBER(VLOOKUP($A53,Haver_M!$B$1:$BZ$300,MATCH(data!BW$1,Haver_M!$B$1:$BZ$1,0),FALSE)),VLOOKUP($A53,Haver_M!$B$1:$BZ$300,MATCH(data!BW$1,Haver_M!$B$1:$BZ$1,0),FALSE),"")</f>
        <v>43.931100000000001</v>
      </c>
      <c r="BX53">
        <f>IF(ISNUMBER(VLOOKUP($A53,Haver_M!$B$1:$BZ$300,MATCH(data!BX$1,Haver_M!$B$1:$BZ$1,0),FALSE)),VLOOKUP($A53,Haver_M!$B$1:$BZ$300,MATCH(data!BX$1,Haver_M!$B$1:$BZ$1,0),FALSE),"")</f>
        <v>32389</v>
      </c>
    </row>
    <row r="54" spans="1:76" x14ac:dyDescent="0.25">
      <c r="A54" s="2">
        <v>38138</v>
      </c>
      <c r="B54" t="str">
        <f>IF(ISNUMBER(VLOOKUP($A54,Haver_Q!$B$1:$L$185,MATCH(data!B$1,Haver_Q!$B$1:$L$1,0),FALSE)),100*(VLOOKUP($A54,Haver_Q!$B$1:$L$185,MATCH(data!B$1,Haver_Q!$B$1:$L$1,0),FALSE)),"")</f>
        <v/>
      </c>
      <c r="C54" t="str">
        <f>IF(ISNUMBER(VLOOKUP($A54,Haver_Q!$B$1:$L$185,MATCH(data!C$1,Haver_Q!$B$1:$L$1,0),FALSE)),100*(VLOOKUP($A54,Haver_Q!$B$1:$L$185,MATCH(data!C$1,Haver_Q!$B$1:$L$1,0),FALSE)),"")</f>
        <v/>
      </c>
      <c r="D54" t="str">
        <f>IF(ISNUMBER(VLOOKUP($A54,Haver_Q!$B$1:$L$185,MATCH(data!D$1,Haver_Q!$B$1:$L$1,0),FALSE)),100*(VLOOKUP($A54,Haver_Q!$B$1:$L$185,MATCH(data!D$1,Haver_Q!$B$1:$L$1,0),FALSE)),"")</f>
        <v/>
      </c>
      <c r="E54" t="str">
        <f>IF(ISNUMBER(VLOOKUP($A54,Haver_Q!$B$1:$L$185,MATCH(data!E$1,Haver_Q!$B$1:$L$1,0),FALSE)),100*(VLOOKUP($A54,Haver_Q!$B$1:$L$185,MATCH(data!E$1,Haver_Q!$B$1:$L$1,0),FALSE)),"")</f>
        <v/>
      </c>
      <c r="F54" t="str">
        <f>IF(ISNUMBER(VLOOKUP($A54,Haver_Q!$B$1:$L$185,MATCH(data!F$1,Haver_Q!$B$1:$L$1,0),FALSE)),100*(VLOOKUP($A54,Haver_Q!$B$1:$L$185,MATCH(data!F$1,Haver_Q!$B$1:$L$1,0),FALSE)),"")</f>
        <v/>
      </c>
      <c r="G54" t="str">
        <f>IF(ISNUMBER(VLOOKUP($A54,Haver_Q!$B$1:$L$185,MATCH(data!G$1,Haver_Q!$B$1:$L$1,0),FALSE)),100*(VLOOKUP($A54,Haver_Q!$B$1:$L$185,MATCH(data!G$1,Haver_Q!$B$1:$L$1,0),FALSE)),"")</f>
        <v/>
      </c>
      <c r="H54" t="str">
        <f>IF(ISNUMBER(VLOOKUP($A54,Haver_Q!$B$1:$L$185,MATCH(data!H$1,Haver_Q!$B$1:$L$1,0),FALSE)),(VLOOKUP($A54,Haver_Q!$B$1:$L$185,MATCH(data!H$1,Haver_Q!$B$1:$L$1,0),FALSE)),"")</f>
        <v/>
      </c>
      <c r="I54" t="str">
        <f>IF(ISNUMBER(VLOOKUP($A54,Haver_Q!$B$1:$L$185,MATCH(data!I$1,Haver_Q!$B$1:$L$1,0),FALSE)),100*(VLOOKUP($A54,Haver_Q!$B$1:$L$185,MATCH(data!I$1,Haver_Q!$B$1:$L$1,0),FALSE)),"")</f>
        <v/>
      </c>
      <c r="J54" s="3">
        <f>IF(ISNUMBER(Bloomberg_m!C70),Bloomberg_m!C70,"")</f>
        <v>3596</v>
      </c>
      <c r="K54" s="3" t="str">
        <f>IF(ISNUMBER(Bloomberg_m!D70),Bloomberg_m!D70,"")</f>
        <v/>
      </c>
      <c r="L54" s="3" t="str">
        <f>IF(ISNUMBER(Bloomberg_m!E70),Bloomberg_m!E70,"")</f>
        <v/>
      </c>
      <c r="M54" s="3" t="str">
        <f>IF(ISNUMBER(Bloomberg_m!F70),Bloomberg_m!F70,"")</f>
        <v/>
      </c>
      <c r="N54">
        <f>IF(ISNUMBER(VLOOKUP($A54,Haver_M!$B$1:$BZ$300,MATCH(data!N$1,Haver_M!$B$1:$BZ$1,0),FALSE)),VLOOKUP($A54,Haver_M!$B$1:$BZ$300,MATCH(data!N$1,Haver_M!$B$1:$BZ$1,0),FALSE),"")</f>
        <v>6</v>
      </c>
      <c r="O54">
        <f>IF(ISNUMBER(VLOOKUP($A54,Haver_M!$B$1:$BZ$300,MATCH(data!O$1,Haver_M!$B$1:$BZ$1,0),FALSE)),VLOOKUP($A54,Haver_M!$B$1:$BZ$300,MATCH(data!O$1,Haver_M!$B$1:$BZ$1,0),FALSE),"")</f>
        <v>5.3015999999999996</v>
      </c>
      <c r="P54">
        <f>IF(ISNUMBER(VLOOKUP($A54,Haver_M!$B$1:$BZ$300,MATCH(data!P$1,Haver_M!$B$1:$BZ$1,0),FALSE)),VLOOKUP($A54,Haver_M!$B$1:$BZ$300,MATCH(data!P$1,Haver_M!$B$1:$BZ$1,0),FALSE),"")</f>
        <v>96.010570000000001</v>
      </c>
      <c r="Q54">
        <f>IF(ISNUMBER(VLOOKUP($A54,Haver_M!$B$1:$BZ$300,MATCH(data!Q$1,Haver_M!$B$1:$BZ$1,0),FALSE)),VLOOKUP($A54,Haver_M!$B$1:$BZ$300,MATCH(data!Q$1,Haver_M!$B$1:$BZ$1,0),FALSE),"")</f>
        <v>54.6</v>
      </c>
      <c r="R54" t="str">
        <f>IF(ISNUMBER(VLOOKUP($A54,Haver_M!$B$1:$BZ$300,MATCH(data!R$1,Haver_M!$B$1:$BZ$1,0),FALSE)),VLOOKUP($A54,Haver_M!$B$1:$BZ$300,MATCH(data!R$1,Haver_M!$B$1:$BZ$1,0),FALSE),"")</f>
        <v/>
      </c>
      <c r="S54">
        <f>IF(ISNUMBER(VLOOKUP($A54,Haver_M!$B$1:$BZ$300,MATCH(data!S$1,Haver_M!$B$1:$BZ$1,0),FALSE)),VLOOKUP($A54,Haver_M!$B$1:$BZ$300,MATCH(data!S$1,Haver_M!$B$1:$BZ$1,0),FALSE),"")</f>
        <v>57.31</v>
      </c>
      <c r="T54">
        <f>IF(ISNUMBER(VLOOKUP($A54,Haver_M!$B$1:$BZ$300,MATCH(data!T$1,Haver_M!$B$1:$BZ$1,0),FALSE)),VLOOKUP($A54,Haver_M!$B$1:$BZ$300,MATCH(data!T$1,Haver_M!$B$1:$BZ$1,0),FALSE),"")</f>
        <v>63.23</v>
      </c>
      <c r="U54">
        <f>IF(ISNUMBER(VLOOKUP($A54,Haver_M!$B$1:$BZ$300,MATCH(data!U$1,Haver_M!$B$1:$BZ$1,0),FALSE)),VLOOKUP($A54,Haver_M!$B$1:$BZ$300,MATCH(data!U$1,Haver_M!$B$1:$BZ$1,0),FALSE),"")</f>
        <v>37.35</v>
      </c>
      <c r="V54">
        <f>IF(ISNUMBER(VLOOKUP($A54,Haver_M!$B$1:$BZ$300,MATCH(data!V$1,Haver_M!$B$1:$BZ$1,0),FALSE)),VLOOKUP($A54,Haver_M!$B$1:$BZ$300,MATCH(data!V$1,Haver_M!$B$1:$BZ$1,0),FALSE),"")</f>
        <v>70.5</v>
      </c>
      <c r="W54" t="str">
        <f>IF(ISNUMBER(VLOOKUP($A54,Haver_M!$B$1:$BZ$300,MATCH(data!W$1,Haver_M!$B$1:$BZ$1,0),FALSE)),VLOOKUP($A54,Haver_M!$B$1:$BZ$300,MATCH(data!W$1,Haver_M!$B$1:$BZ$1,0),FALSE),"")</f>
        <v/>
      </c>
      <c r="X54">
        <f>IF(ISNUMBER(VLOOKUP($A54,Haver_M!$B$1:$BZ$300,MATCH(data!X$1,Haver_M!$B$1:$BZ$1,0),FALSE)),VLOOKUP($A54,Haver_M!$B$1:$BZ$300,MATCH(data!X$1,Haver_M!$B$1:$BZ$1,0),FALSE),"")</f>
        <v>32.03</v>
      </c>
      <c r="Y54">
        <f>IF(ISNUMBER(VLOOKUP($A54,Haver_M!$B$1:$BZ$300,MATCH(data!Y$1,Haver_M!$B$1:$BZ$1,0),FALSE)),VLOOKUP($A54,Haver_M!$B$1:$BZ$300,MATCH(data!Y$1,Haver_M!$B$1:$BZ$1,0),FALSE),"")</f>
        <v>62.47</v>
      </c>
      <c r="Z54">
        <f>IF(ISNUMBER(VLOOKUP($A54,Haver_M!$B$1:$BZ$300,MATCH(data!Z$1,Haver_M!$B$1:$BZ$1,0),FALSE)),VLOOKUP($A54,Haver_M!$B$1:$BZ$300,MATCH(data!Z$1,Haver_M!$B$1:$BZ$1,0),FALSE),"")</f>
        <v>67.8</v>
      </c>
      <c r="AA54">
        <f>IF(ISNUMBER(VLOOKUP($A54,Haver_M!$B$1:$BZ$300,MATCH(data!AA$1,Haver_M!$B$1:$BZ$1,0),FALSE)),VLOOKUP($A54,Haver_M!$B$1:$BZ$300,MATCH(data!AA$1,Haver_M!$B$1:$BZ$1,0),FALSE),"")</f>
        <v>66.488</v>
      </c>
      <c r="AB54">
        <f>IF(ISNUMBER(VLOOKUP($A54,Haver_M!$B$1:$BZ$300,MATCH(data!AB$1,Haver_M!$B$1:$BZ$1,0),FALSE)),VLOOKUP($A54,Haver_M!$B$1:$BZ$300,MATCH(data!AB$1,Haver_M!$B$1:$BZ$1,0),FALSE),"")</f>
        <v>89.064999999999998</v>
      </c>
      <c r="AC54">
        <f>IF(ISNUMBER(VLOOKUP($A54,Haver_M!$B$1:$BZ$300,MATCH(data!AC$1,Haver_M!$B$1:$BZ$1,0),FALSE)),VLOOKUP($A54,Haver_M!$B$1:$BZ$300,MATCH(data!AC$1,Haver_M!$B$1:$BZ$1,0),FALSE),"")</f>
        <v>65.87</v>
      </c>
      <c r="AD54">
        <f>IF(ISNUMBER(VLOOKUP($A54,Haver_M!$B$1:$BZ$300,MATCH(data!AD$1,Haver_M!$B$1:$BZ$1,0),FALSE)),VLOOKUP($A54,Haver_M!$B$1:$BZ$300,MATCH(data!AD$1,Haver_M!$B$1:$BZ$1,0),FALSE),"")</f>
        <v>78.308000000000007</v>
      </c>
      <c r="AE54">
        <f>IF(ISNUMBER(VLOOKUP($A54,Haver_M!$B$1:$BZ$300,MATCH(data!AE$1,Haver_M!$B$1:$BZ$1,0),FALSE)),VLOOKUP($A54,Haver_M!$B$1:$BZ$300,MATCH(data!AE$1,Haver_M!$B$1:$BZ$1,0),FALSE),"")</f>
        <v>94.387</v>
      </c>
      <c r="AF54">
        <f>IF(ISNUMBER(VLOOKUP($A54,Haver_M!$B$1:$BZ$300,MATCH(data!AF$1,Haver_M!$B$1:$BZ$1,0),FALSE)),VLOOKUP($A54,Haver_M!$B$1:$BZ$300,MATCH(data!AF$1,Haver_M!$B$1:$BZ$1,0),FALSE),"")</f>
        <v>57.314</v>
      </c>
      <c r="AG54">
        <f>IF(ISNUMBER(VLOOKUP($A54,Haver_M!$B$1:$BZ$300,MATCH(data!AG$1,Haver_M!$B$1:$BZ$1,0),FALSE)),VLOOKUP($A54,Haver_M!$B$1:$BZ$300,MATCH(data!AG$1,Haver_M!$B$1:$BZ$1,0),FALSE),"")</f>
        <v>53.905000000000001</v>
      </c>
      <c r="AH54">
        <f>IF(ISNUMBER(VLOOKUP($A54,Haver_M!$B$1:$BZ$300,MATCH(data!AH$1,Haver_M!$B$1:$BZ$1,0),FALSE)),VLOOKUP($A54,Haver_M!$B$1:$BZ$300,MATCH(data!AH$1,Haver_M!$B$1:$BZ$1,0),FALSE),"")</f>
        <v>63.201999999999998</v>
      </c>
      <c r="AI54">
        <f>IF(ISNUMBER(VLOOKUP($A54,Haver_M!$B$1:$BZ$300,MATCH(data!AI$1,Haver_M!$B$1:$BZ$1,0),FALSE)),VLOOKUP($A54,Haver_M!$B$1:$BZ$300,MATCH(data!AI$1,Haver_M!$B$1:$BZ$1,0),FALSE),"")</f>
        <v>9210.2180766253896</v>
      </c>
      <c r="AJ54">
        <f>IF(ISNUMBER(VLOOKUP($A54,Haver_M!$B$1:$BZ$300,MATCH(data!AJ$1,Haver_M!$B$1:$BZ$1,0),FALSE)),VLOOKUP($A54,Haver_M!$B$1:$BZ$300,MATCH(data!AJ$1,Haver_M!$B$1:$BZ$1,0),FALSE),"")</f>
        <v>5963.27</v>
      </c>
      <c r="AK54">
        <f>IF(ISNUMBER(VLOOKUP($A54,Haver_M!$B$1:$BZ$300,MATCH(data!AK$1,Haver_M!$B$1:$BZ$1,0),FALSE)),VLOOKUP($A54,Haver_M!$B$1:$BZ$300,MATCH(data!AK$1,Haver_M!$B$1:$BZ$1,0),FALSE),"")</f>
        <v>7471.15</v>
      </c>
      <c r="AL54" t="str">
        <f>IF(ISNUMBER(VLOOKUP($A54,Haver_M!$B$1:$BZ$300,MATCH(data!AL$1,Haver_M!$B$1:$BZ$1,0),FALSE)),VLOOKUP($A54,Haver_M!$B$1:$BZ$300,MATCH(data!AL$1,Haver_M!$B$1:$BZ$1,0),FALSE),"")</f>
        <v/>
      </c>
      <c r="AM54" t="str">
        <f>IF(ISNUMBER(VLOOKUP($A54,Haver_M!$B$1:$BZ$300,MATCH(data!AM$1,Haver_M!$B$1:$BZ$1,0),FALSE)),VLOOKUP($A54,Haver_M!$B$1:$BZ$300,MATCH(data!AM$1,Haver_M!$B$1:$BZ$1,0),FALSE),"")</f>
        <v/>
      </c>
      <c r="AN54" t="str">
        <f>IF(ISNUMBER(VLOOKUP($A54,Haver_M!$B$1:$BZ$300,MATCH(data!AN$1,Haver_M!$B$1:$BZ$1,0),FALSE)),VLOOKUP($A54,Haver_M!$B$1:$BZ$300,MATCH(data!AN$1,Haver_M!$B$1:$BZ$1,0),FALSE),"")</f>
        <v/>
      </c>
      <c r="AO54" t="str">
        <f>IF(ISNUMBER(VLOOKUP($A54,Haver_M!$B$1:$BZ$300,MATCH(data!AO$1,Haver_M!$B$1:$BZ$1,0),FALSE)),VLOOKUP($A54,Haver_M!$B$1:$BZ$300,MATCH(data!AO$1,Haver_M!$B$1:$BZ$1,0),FALSE),"")</f>
        <v/>
      </c>
      <c r="AP54">
        <f>IF(ISNUMBER(VLOOKUP($A54,Haver_M!$B$1:$BZ$300,MATCH(data!AP$1,Haver_M!$B$1:$BZ$1,0),FALSE)),VLOOKUP($A54,Haver_M!$B$1:$BZ$300,MATCH(data!AP$1,Haver_M!$B$1:$BZ$1,0),FALSE),"")</f>
        <v>237.18243142091501</v>
      </c>
      <c r="AQ54" t="str">
        <f>IF(ISNUMBER(VLOOKUP($A54,Haver_M!$B$1:$BZ$300,MATCH(data!AQ$1,Haver_M!$B$1:$BZ$1,0),FALSE)),VLOOKUP($A54,Haver_M!$B$1:$BZ$300,MATCH(data!AQ$1,Haver_M!$B$1:$BZ$1,0),FALSE),"")</f>
        <v/>
      </c>
      <c r="AR54" t="str">
        <f>IF(ISNUMBER(VLOOKUP($A54,Haver_M!$B$1:$BZ$300,MATCH(data!AR$1,Haver_M!$B$1:$BZ$1,0),FALSE)),VLOOKUP($A54,Haver_M!$B$1:$BZ$300,MATCH(data!AR$1,Haver_M!$B$1:$BZ$1,0),FALSE),"")</f>
        <v/>
      </c>
      <c r="AS54" t="str">
        <f>IF(ISNUMBER(VLOOKUP($A54,Haver_M!$B$1:$BZ$300,MATCH(data!AS$1,Haver_M!$B$1:$BZ$1,0),FALSE)),VLOOKUP($A54,Haver_M!$B$1:$BZ$300,MATCH(data!AS$1,Haver_M!$B$1:$BZ$1,0),FALSE),"")</f>
        <v/>
      </c>
      <c r="AT54" t="str">
        <f>IF(ISNUMBER(VLOOKUP($A54,Haver_M!$B$1:$BZ$300,MATCH(data!AT$1,Haver_M!$B$1:$BZ$1,0),FALSE)),VLOOKUP($A54,Haver_M!$B$1:$BZ$300,MATCH(data!AT$1,Haver_M!$B$1:$BZ$1,0),FALSE),"")</f>
        <v/>
      </c>
      <c r="AU54" t="str">
        <f>IF(ISNUMBER(VLOOKUP($A54,Haver_M!$B$1:$BZ$300,MATCH(data!AU$1,Haver_M!$B$1:$BZ$1,0),FALSE)),VLOOKUP($A54,Haver_M!$B$1:$BZ$300,MATCH(data!AU$1,Haver_M!$B$1:$BZ$1,0),FALSE),"")</f>
        <v/>
      </c>
      <c r="AV54" t="str">
        <f>IF(ISNUMBER(VLOOKUP($A54,Haver_M!$B$1:$BZ$300,MATCH(data!AV$1,Haver_M!$B$1:$BZ$1,0),FALSE)),VLOOKUP($A54,Haver_M!$B$1:$BZ$300,MATCH(data!AV$1,Haver_M!$B$1:$BZ$1,0),FALSE),"")</f>
        <v/>
      </c>
      <c r="AW54" t="str">
        <f>IF(ISNUMBER(VLOOKUP($A54,Haver_M!$B$1:$BZ$300,MATCH(data!AW$1,Haver_M!$B$1:$BZ$1,0),FALSE)),VLOOKUP($A54,Haver_M!$B$1:$BZ$300,MATCH(data!AW$1,Haver_M!$B$1:$BZ$1,0),FALSE),"")</f>
        <v/>
      </c>
      <c r="AX54" t="str">
        <f>IF(ISNUMBER(VLOOKUP($A54,Haver_M!$B$1:$BZ$300,MATCH(data!AX$1,Haver_M!$B$1:$BZ$1,0),FALSE)),VLOOKUP($A54,Haver_M!$B$1:$BZ$300,MATCH(data!AX$1,Haver_M!$B$1:$BZ$1,0),FALSE),"")</f>
        <v/>
      </c>
      <c r="AY54" t="str">
        <f>IF(ISNUMBER(VLOOKUP($A54,Haver_M!$B$1:$BZ$300,MATCH(data!AY$1,Haver_M!$B$1:$BZ$1,0),FALSE)),VLOOKUP($A54,Haver_M!$B$1:$BZ$300,MATCH(data!AY$1,Haver_M!$B$1:$BZ$1,0),FALSE),"")</f>
        <v/>
      </c>
      <c r="AZ54" t="str">
        <f>IF(ISNUMBER(VLOOKUP($A54,Haver_M!$B$1:$BZ$300,MATCH(data!AZ$1,Haver_M!$B$1:$BZ$1,0),FALSE)),VLOOKUP($A54,Haver_M!$B$1:$BZ$300,MATCH(data!AZ$1,Haver_M!$B$1:$BZ$1,0),FALSE),"")</f>
        <v/>
      </c>
      <c r="BA54" t="str">
        <f>IF(ISNUMBER(VLOOKUP($A54,Haver_M!$B$1:$BZ$300,MATCH(data!BA$1,Haver_M!$B$1:$BZ$1,0),FALSE)),VLOOKUP($A54,Haver_M!$B$1:$BZ$300,MATCH(data!BA$1,Haver_M!$B$1:$BZ$1,0),FALSE),"")</f>
        <v/>
      </c>
      <c r="BB54" t="str">
        <f>IF(ISNUMBER(VLOOKUP($A54,Haver_M!$B$1:$BZ$300,MATCH(data!BB$1,Haver_M!$B$1:$BZ$1,0),FALSE)),VLOOKUP($A54,Haver_M!$B$1:$BZ$300,MATCH(data!BB$1,Haver_M!$B$1:$BZ$1,0),FALSE),"")</f>
        <v/>
      </c>
      <c r="BC54" t="str">
        <f>IF(ISNUMBER(VLOOKUP($A54,Haver_M!$B$1:$BZ$300,MATCH(data!BC$1,Haver_M!$B$1:$BZ$1,0),FALSE)),VLOOKUP($A54,Haver_M!$B$1:$BZ$300,MATCH(data!BC$1,Haver_M!$B$1:$BZ$1,0),FALSE),"")</f>
        <v/>
      </c>
      <c r="BD54" t="str">
        <f>IF(ISNUMBER(VLOOKUP($A54,Haver_M!$B$1:$BZ$300,MATCH(data!BD$1,Haver_M!$B$1:$BZ$1,0),FALSE)),VLOOKUP($A54,Haver_M!$B$1:$BZ$300,MATCH(data!BD$1,Haver_M!$B$1:$BZ$1,0),FALSE),"")</f>
        <v/>
      </c>
      <c r="BE54" t="str">
        <f>IF(ISNUMBER(VLOOKUP($A54,Haver_M!$B$1:$BZ$300,MATCH(data!BE$1,Haver_M!$B$1:$BZ$1,0),FALSE)),VLOOKUP($A54,Haver_M!$B$1:$BZ$300,MATCH(data!BE$1,Haver_M!$B$1:$BZ$1,0),FALSE),"")</f>
        <v/>
      </c>
      <c r="BF54" t="str">
        <f>IF(ISNUMBER(VLOOKUP($A54,Haver_M!$B$1:$BZ$300,MATCH(data!BF$1,Haver_M!$B$1:$BZ$1,0),FALSE)),VLOOKUP($A54,Haver_M!$B$1:$BZ$300,MATCH(data!BF$1,Haver_M!$B$1:$BZ$1,0),FALSE),"")</f>
        <v/>
      </c>
      <c r="BG54" t="str">
        <f>IF(ISNUMBER(VLOOKUP($A54,Haver_M!$B$1:$BZ$300,MATCH(data!BG$1,Haver_M!$B$1:$BZ$1,0),FALSE)),VLOOKUP($A54,Haver_M!$B$1:$BZ$300,MATCH(data!BG$1,Haver_M!$B$1:$BZ$1,0),FALSE),"")</f>
        <v/>
      </c>
      <c r="BH54" t="str">
        <f>IF(ISNUMBER(VLOOKUP($A54,Haver_M!$B$1:$BZ$300,MATCH(data!BH$1,Haver_M!$B$1:$BZ$1,0),FALSE)),VLOOKUP($A54,Haver_M!$B$1:$BZ$300,MATCH(data!BH$1,Haver_M!$B$1:$BZ$1,0),FALSE),"")</f>
        <v/>
      </c>
      <c r="BI54" t="str">
        <f>IF(ISNUMBER(VLOOKUP($A54,Haver_M!$B$1:$BZ$300,MATCH(data!BI$1,Haver_M!$B$1:$BZ$1,0),FALSE)),VLOOKUP($A54,Haver_M!$B$1:$BZ$300,MATCH(data!BI$1,Haver_M!$B$1:$BZ$1,0),FALSE),"")</f>
        <v/>
      </c>
      <c r="BJ54" t="str">
        <f>IF(ISNUMBER(VLOOKUP($A54,Haver_M!$B$1:$BZ$300,MATCH(data!BJ$1,Haver_M!$B$1:$BZ$1,0),FALSE)),VLOOKUP($A54,Haver_M!$B$1:$BZ$300,MATCH(data!BJ$1,Haver_M!$B$1:$BZ$1,0),FALSE),"")</f>
        <v/>
      </c>
      <c r="BK54" t="str">
        <f>IF(ISNUMBER(VLOOKUP($A54,Haver_M!$B$1:$BZ$300,MATCH(data!BK$1,Haver_M!$B$1:$BZ$1,0),FALSE)),VLOOKUP($A54,Haver_M!$B$1:$BZ$300,MATCH(data!BK$1,Haver_M!$B$1:$BZ$1,0),FALSE),"")</f>
        <v/>
      </c>
      <c r="BL54">
        <f>IF(ISNUMBER(VLOOKUP($A54,Haver_M!$B$1:$BZ$300,MATCH(data!BL$1,Haver_M!$B$1:$BZ$1,0),FALSE)),VLOOKUP($A54,Haver_M!$B$1:$BZ$300,MATCH(data!BL$1,Haver_M!$B$1:$BZ$1,0),FALSE),"")</f>
        <v>5204.6499999999996</v>
      </c>
      <c r="BM54">
        <f>IF(ISNUMBER(VLOOKUP($A54,Haver_M!$B$1:$BZ$300,MATCH(data!BM$1,Haver_M!$B$1:$BZ$1,0),FALSE)),VLOOKUP($A54,Haver_M!$B$1:$BZ$300,MATCH(data!BM$1,Haver_M!$B$1:$BZ$1,0),FALSE),"")</f>
        <v>97.789319660000004</v>
      </c>
      <c r="BN54" t="str">
        <f>IF(ISNUMBER(VLOOKUP($A54,Haver_M!$B$1:$BZ$300,MATCH(data!BN$1,Haver_M!$B$1:$BZ$1,0),FALSE)),VLOOKUP($A54,Haver_M!$B$1:$BZ$300,MATCH(data!BN$1,Haver_M!$B$1:$BZ$1,0),FALSE),"")</f>
        <v/>
      </c>
      <c r="BO54" t="str">
        <f>IF(ISNUMBER(VLOOKUP($A54,Haver_M!$B$1:$BZ$300,MATCH(data!BO$1,Haver_M!$B$1:$BZ$1,0),FALSE)),VLOOKUP($A54,Haver_M!$B$1:$BZ$300,MATCH(data!BO$1,Haver_M!$B$1:$BZ$1,0),FALSE),"")</f>
        <v/>
      </c>
      <c r="BP54" t="str">
        <f>IF(ISNUMBER(VLOOKUP($A54,Haver_M!$B$1:$BZ$300,MATCH(data!BP$1,Haver_M!$B$1:$BZ$1,0),FALSE)),VLOOKUP($A54,Haver_M!$B$1:$BZ$300,MATCH(data!BP$1,Haver_M!$B$1:$BZ$1,0),FALSE),"")</f>
        <v/>
      </c>
      <c r="BQ54" t="str">
        <f>IF(ISNUMBER(VLOOKUP($A54,Haver_M!$B$1:$BZ$300,MATCH(data!BQ$1,Haver_M!$B$1:$BZ$1,0),FALSE)),VLOOKUP($A54,Haver_M!$B$1:$BZ$300,MATCH(data!BQ$1,Haver_M!$B$1:$BZ$1,0),FALSE),"")</f>
        <v/>
      </c>
      <c r="BR54" t="str">
        <f>IF(ISNUMBER(VLOOKUP($A54,Haver_M!$B$1:$BZ$300,MATCH(data!BR$1,Haver_M!$B$1:$BZ$1,0),FALSE)),VLOOKUP($A54,Haver_M!$B$1:$BZ$300,MATCH(data!BR$1,Haver_M!$B$1:$BZ$1,0),FALSE),"")</f>
        <v/>
      </c>
      <c r="BS54" t="str">
        <f>IF(ISNUMBER(VLOOKUP($A54,Haver_M!$B$1:$BZ$300,MATCH(data!BS$1,Haver_M!$B$1:$BZ$1,0),FALSE)),VLOOKUP($A54,Haver_M!$B$1:$BZ$300,MATCH(data!BS$1,Haver_M!$B$1:$BZ$1,0),FALSE),"")</f>
        <v/>
      </c>
      <c r="BT54" t="str">
        <f>IF(ISNUMBER(VLOOKUP($A54,Haver_M!$B$1:$BZ$300,MATCH(data!BT$1,Haver_M!$B$1:$BZ$1,0),FALSE)),VLOOKUP($A54,Haver_M!$B$1:$BZ$300,MATCH(data!BT$1,Haver_M!$B$1:$BZ$1,0),FALSE),"")</f>
        <v/>
      </c>
      <c r="BU54">
        <f>IF(ISNUMBER(VLOOKUP($A54,Haver_M!$B$1:$BZ$300,MATCH(data!BU$1,Haver_M!$B$1:$BZ$1,0),FALSE)),VLOOKUP($A54,Haver_M!$B$1:$BZ$300,MATCH(data!BU$1,Haver_M!$B$1:$BZ$1,0),FALSE),"")</f>
        <v>5963</v>
      </c>
      <c r="BV54">
        <f>IF(ISNUMBER(VLOOKUP($A54,Haver_M!$B$1:$BZ$300,MATCH(data!BV$1,Haver_M!$B$1:$BZ$1,0),FALSE)),VLOOKUP($A54,Haver_M!$B$1:$BZ$300,MATCH(data!BV$1,Haver_M!$B$1:$BZ$1,0),FALSE),"")</f>
        <v>8073</v>
      </c>
      <c r="BW54">
        <f>IF(ISNUMBER(VLOOKUP($A54,Haver_M!$B$1:$BZ$300,MATCH(data!BW$1,Haver_M!$B$1:$BZ$1,0),FALSE)),VLOOKUP($A54,Haver_M!$B$1:$BZ$300,MATCH(data!BW$1,Haver_M!$B$1:$BZ$1,0),FALSE),"")</f>
        <v>45.250799999999998</v>
      </c>
      <c r="BX54">
        <f>IF(ISNUMBER(VLOOKUP($A54,Haver_M!$B$1:$BZ$300,MATCH(data!BX$1,Haver_M!$B$1:$BZ$1,0),FALSE)),VLOOKUP($A54,Haver_M!$B$1:$BZ$300,MATCH(data!BX$1,Haver_M!$B$1:$BZ$1,0),FALSE),"")</f>
        <v>32282</v>
      </c>
    </row>
    <row r="55" spans="1:76" x14ac:dyDescent="0.25">
      <c r="A55" s="2">
        <v>38168</v>
      </c>
      <c r="B55">
        <f>IF(ISNUMBER(VLOOKUP($A55,Haver_Q!$B$1:$L$185,MATCH(data!B$1,Haver_Q!$B$1:$L$1,0),FALSE)),100*(VLOOKUP($A55,Haver_Q!$B$1:$L$185,MATCH(data!B$1,Haver_Q!$B$1:$L$1,0),FALSE)),"")</f>
        <v>11.643904642240855</v>
      </c>
      <c r="C55">
        <f>IF(ISNUMBER(VLOOKUP($A55,Haver_Q!$B$1:$L$185,MATCH(data!C$1,Haver_Q!$B$1:$L$1,0),FALSE)),100*(VLOOKUP($A55,Haver_Q!$B$1:$L$185,MATCH(data!C$1,Haver_Q!$B$1:$L$1,0),FALSE)),"")</f>
        <v>-5.6683659810214504</v>
      </c>
      <c r="D55">
        <f>IF(ISNUMBER(VLOOKUP($A55,Haver_Q!$B$1:$L$185,MATCH(data!D$1,Haver_Q!$B$1:$L$1,0),FALSE)),100*(VLOOKUP($A55,Haver_Q!$B$1:$L$185,MATCH(data!D$1,Haver_Q!$B$1:$L$1,0),FALSE)),"")</f>
        <v>42.615544004774939</v>
      </c>
      <c r="E55">
        <f>IF(ISNUMBER(VLOOKUP($A55,Haver_Q!$B$1:$L$185,MATCH(data!E$1,Haver_Q!$B$1:$L$1,0),FALSE)),100*(VLOOKUP($A55,Haver_Q!$B$1:$L$185,MATCH(data!E$1,Haver_Q!$B$1:$L$1,0),FALSE)),"")</f>
        <v>24.131653114080986</v>
      </c>
      <c r="F55">
        <f>IF(ISNUMBER(VLOOKUP($A55,Haver_Q!$B$1:$L$185,MATCH(data!F$1,Haver_Q!$B$1:$L$1,0),FALSE)),100*(VLOOKUP($A55,Haver_Q!$B$1:$L$185,MATCH(data!F$1,Haver_Q!$B$1:$L$1,0),FALSE)),"")</f>
        <v>71.558615706097697</v>
      </c>
      <c r="G55">
        <f>IF(ISNUMBER(VLOOKUP($A55,Haver_Q!$B$1:$L$185,MATCH(data!G$1,Haver_Q!$B$1:$L$1,0),FALSE)),100*(VLOOKUP($A55,Haver_Q!$B$1:$L$185,MATCH(data!G$1,Haver_Q!$B$1:$L$1,0),FALSE)),"")</f>
        <v>-55.216594245079463</v>
      </c>
      <c r="H55">
        <f>IF(ISNUMBER(VLOOKUP($A55,Haver_Q!$B$1:$L$185,MATCH(data!H$1,Haver_Q!$B$1:$L$1,0),FALSE)),(VLOOKUP($A55,Haver_Q!$B$1:$L$185,MATCH(data!H$1,Haver_Q!$B$1:$L$1,0),FALSE)),"")</f>
        <v>4.2812152353266804</v>
      </c>
      <c r="I55">
        <f>IF(ISNUMBER(VLOOKUP($A55,Haver_Q!$B$1:$L$185,MATCH(data!I$1,Haver_Q!$B$1:$L$1,0),FALSE)),100*(VLOOKUP($A55,Haver_Q!$B$1:$L$185,MATCH(data!I$1,Haver_Q!$B$1:$L$1,0),FALSE)),"")</f>
        <v>8.2754002081690601</v>
      </c>
      <c r="J55" s="3">
        <f>IF(ISNUMBER(Bloomberg_m!C71),Bloomberg_m!C71,"")</f>
        <v>2902</v>
      </c>
      <c r="K55" s="3" t="str">
        <f>IF(ISNUMBER(Bloomberg_m!D71),Bloomberg_m!D71,"")</f>
        <v/>
      </c>
      <c r="L55" s="3" t="str">
        <f>IF(ISNUMBER(Bloomberg_m!E71),Bloomberg_m!E71,"")</f>
        <v/>
      </c>
      <c r="M55" s="3" t="str">
        <f>IF(ISNUMBER(Bloomberg_m!F71),Bloomberg_m!F71,"")</f>
        <v/>
      </c>
      <c r="N55">
        <f>IF(ISNUMBER(VLOOKUP($A55,Haver_M!$B$1:$BZ$300,MATCH(data!N$1,Haver_M!$B$1:$BZ$1,0),FALSE)),VLOOKUP($A55,Haver_M!$B$1:$BZ$300,MATCH(data!N$1,Haver_M!$B$1:$BZ$1,0),FALSE),"")</f>
        <v>6</v>
      </c>
      <c r="O55">
        <f>IF(ISNUMBER(VLOOKUP($A55,Haver_M!$B$1:$BZ$300,MATCH(data!O$1,Haver_M!$B$1:$BZ$1,0),FALSE)),VLOOKUP($A55,Haver_M!$B$1:$BZ$300,MATCH(data!O$1,Haver_M!$B$1:$BZ$1,0),FALSE),"")</f>
        <v>5.8677000000000001</v>
      </c>
      <c r="P55">
        <f>IF(ISNUMBER(VLOOKUP($A55,Haver_M!$B$1:$BZ$300,MATCH(data!P$1,Haver_M!$B$1:$BZ$1,0),FALSE)),VLOOKUP($A55,Haver_M!$B$1:$BZ$300,MATCH(data!P$1,Haver_M!$B$1:$BZ$1,0),FALSE),"")</f>
        <v>94.832250000000002</v>
      </c>
      <c r="Q55">
        <f>IF(ISNUMBER(VLOOKUP($A55,Haver_M!$B$1:$BZ$300,MATCH(data!Q$1,Haver_M!$B$1:$BZ$1,0),FALSE)),VLOOKUP($A55,Haver_M!$B$1:$BZ$300,MATCH(data!Q$1,Haver_M!$B$1:$BZ$1,0),FALSE),"")</f>
        <v>55</v>
      </c>
      <c r="R55" t="str">
        <f>IF(ISNUMBER(VLOOKUP($A55,Haver_M!$B$1:$BZ$300,MATCH(data!R$1,Haver_M!$B$1:$BZ$1,0),FALSE)),VLOOKUP($A55,Haver_M!$B$1:$BZ$300,MATCH(data!R$1,Haver_M!$B$1:$BZ$1,0),FALSE),"")</f>
        <v/>
      </c>
      <c r="S55">
        <f>IF(ISNUMBER(VLOOKUP($A55,Haver_M!$B$1:$BZ$300,MATCH(data!S$1,Haver_M!$B$1:$BZ$1,0),FALSE)),VLOOKUP($A55,Haver_M!$B$1:$BZ$300,MATCH(data!S$1,Haver_M!$B$1:$BZ$1,0),FALSE),"")</f>
        <v>57.43</v>
      </c>
      <c r="T55">
        <f>IF(ISNUMBER(VLOOKUP($A55,Haver_M!$B$1:$BZ$300,MATCH(data!T$1,Haver_M!$B$1:$BZ$1,0),FALSE)),VLOOKUP($A55,Haver_M!$B$1:$BZ$300,MATCH(data!T$1,Haver_M!$B$1:$BZ$1,0),FALSE),"")</f>
        <v>63.67</v>
      </c>
      <c r="U55">
        <f>IF(ISNUMBER(VLOOKUP($A55,Haver_M!$B$1:$BZ$300,MATCH(data!U$1,Haver_M!$B$1:$BZ$1,0),FALSE)),VLOOKUP($A55,Haver_M!$B$1:$BZ$300,MATCH(data!U$1,Haver_M!$B$1:$BZ$1,0),FALSE),"")</f>
        <v>38.18</v>
      </c>
      <c r="V55">
        <f>IF(ISNUMBER(VLOOKUP($A55,Haver_M!$B$1:$BZ$300,MATCH(data!V$1,Haver_M!$B$1:$BZ$1,0),FALSE)),VLOOKUP($A55,Haver_M!$B$1:$BZ$300,MATCH(data!V$1,Haver_M!$B$1:$BZ$1,0),FALSE),"")</f>
        <v>71.48</v>
      </c>
      <c r="W55" t="str">
        <f>IF(ISNUMBER(VLOOKUP($A55,Haver_M!$B$1:$BZ$300,MATCH(data!W$1,Haver_M!$B$1:$BZ$1,0),FALSE)),VLOOKUP($A55,Haver_M!$B$1:$BZ$300,MATCH(data!W$1,Haver_M!$B$1:$BZ$1,0),FALSE),"")</f>
        <v/>
      </c>
      <c r="X55">
        <f>IF(ISNUMBER(VLOOKUP($A55,Haver_M!$B$1:$BZ$300,MATCH(data!X$1,Haver_M!$B$1:$BZ$1,0),FALSE)),VLOOKUP($A55,Haver_M!$B$1:$BZ$300,MATCH(data!X$1,Haver_M!$B$1:$BZ$1,0),FALSE),"")</f>
        <v>33.47</v>
      </c>
      <c r="Y55">
        <f>IF(ISNUMBER(VLOOKUP($A55,Haver_M!$B$1:$BZ$300,MATCH(data!Y$1,Haver_M!$B$1:$BZ$1,0),FALSE)),VLOOKUP($A55,Haver_M!$B$1:$BZ$300,MATCH(data!Y$1,Haver_M!$B$1:$BZ$1,0),FALSE),"")</f>
        <v>62.42</v>
      </c>
      <c r="Z55">
        <f>IF(ISNUMBER(VLOOKUP($A55,Haver_M!$B$1:$BZ$300,MATCH(data!Z$1,Haver_M!$B$1:$BZ$1,0),FALSE)),VLOOKUP($A55,Haver_M!$B$1:$BZ$300,MATCH(data!Z$1,Haver_M!$B$1:$BZ$1,0),FALSE),"")</f>
        <v>68.2</v>
      </c>
      <c r="AA55">
        <f>IF(ISNUMBER(VLOOKUP($A55,Haver_M!$B$1:$BZ$300,MATCH(data!AA$1,Haver_M!$B$1:$BZ$1,0),FALSE)),VLOOKUP($A55,Haver_M!$B$1:$BZ$300,MATCH(data!AA$1,Haver_M!$B$1:$BZ$1,0),FALSE),"")</f>
        <v>70.015000000000001</v>
      </c>
      <c r="AB55">
        <f>IF(ISNUMBER(VLOOKUP($A55,Haver_M!$B$1:$BZ$300,MATCH(data!AB$1,Haver_M!$B$1:$BZ$1,0),FALSE)),VLOOKUP($A55,Haver_M!$B$1:$BZ$300,MATCH(data!AB$1,Haver_M!$B$1:$BZ$1,0),FALSE),"")</f>
        <v>88.932000000000002</v>
      </c>
      <c r="AC55">
        <f>IF(ISNUMBER(VLOOKUP($A55,Haver_M!$B$1:$BZ$300,MATCH(data!AC$1,Haver_M!$B$1:$BZ$1,0),FALSE)),VLOOKUP($A55,Haver_M!$B$1:$BZ$300,MATCH(data!AC$1,Haver_M!$B$1:$BZ$1,0),FALSE),"")</f>
        <v>65.72</v>
      </c>
      <c r="AD55">
        <f>IF(ISNUMBER(VLOOKUP($A55,Haver_M!$B$1:$BZ$300,MATCH(data!AD$1,Haver_M!$B$1:$BZ$1,0),FALSE)),VLOOKUP($A55,Haver_M!$B$1:$BZ$300,MATCH(data!AD$1,Haver_M!$B$1:$BZ$1,0),FALSE),"")</f>
        <v>76.438000000000002</v>
      </c>
      <c r="AE55">
        <f>IF(ISNUMBER(VLOOKUP($A55,Haver_M!$B$1:$BZ$300,MATCH(data!AE$1,Haver_M!$B$1:$BZ$1,0),FALSE)),VLOOKUP($A55,Haver_M!$B$1:$BZ$300,MATCH(data!AE$1,Haver_M!$B$1:$BZ$1,0),FALSE),"")</f>
        <v>98.254000000000005</v>
      </c>
      <c r="AF55">
        <f>IF(ISNUMBER(VLOOKUP($A55,Haver_M!$B$1:$BZ$300,MATCH(data!AF$1,Haver_M!$B$1:$BZ$1,0),FALSE)),VLOOKUP($A55,Haver_M!$B$1:$BZ$300,MATCH(data!AF$1,Haver_M!$B$1:$BZ$1,0),FALSE),"")</f>
        <v>57.04</v>
      </c>
      <c r="AG55">
        <f>IF(ISNUMBER(VLOOKUP($A55,Haver_M!$B$1:$BZ$300,MATCH(data!AG$1,Haver_M!$B$1:$BZ$1,0),FALSE)),VLOOKUP($A55,Haver_M!$B$1:$BZ$300,MATCH(data!AG$1,Haver_M!$B$1:$BZ$1,0),FALSE),"")</f>
        <v>52.938000000000002</v>
      </c>
      <c r="AH55">
        <f>IF(ISNUMBER(VLOOKUP($A55,Haver_M!$B$1:$BZ$300,MATCH(data!AH$1,Haver_M!$B$1:$BZ$1,0),FALSE)),VLOOKUP($A55,Haver_M!$B$1:$BZ$300,MATCH(data!AH$1,Haver_M!$B$1:$BZ$1,0),FALSE),"")</f>
        <v>64.325000000000003</v>
      </c>
      <c r="AI55">
        <f>IF(ISNUMBER(VLOOKUP($A55,Haver_M!$B$1:$BZ$300,MATCH(data!AI$1,Haver_M!$B$1:$BZ$1,0),FALSE)),VLOOKUP($A55,Haver_M!$B$1:$BZ$300,MATCH(data!AI$1,Haver_M!$B$1:$BZ$1,0),FALSE),"")</f>
        <v>9201.7495131537999</v>
      </c>
      <c r="AJ55">
        <f>IF(ISNUMBER(VLOOKUP($A55,Haver_M!$B$1:$BZ$300,MATCH(data!AJ$1,Haver_M!$B$1:$BZ$1,0),FALSE)),VLOOKUP($A55,Haver_M!$B$1:$BZ$300,MATCH(data!AJ$1,Haver_M!$B$1:$BZ$1,0),FALSE),"")</f>
        <v>6244.49</v>
      </c>
      <c r="AK55">
        <f>IF(ISNUMBER(VLOOKUP($A55,Haver_M!$B$1:$BZ$300,MATCH(data!AK$1,Haver_M!$B$1:$BZ$1,0),FALSE)),VLOOKUP($A55,Haver_M!$B$1:$BZ$300,MATCH(data!AK$1,Haver_M!$B$1:$BZ$1,0),FALSE),"")</f>
        <v>8944.15</v>
      </c>
      <c r="AL55" t="str">
        <f>IF(ISNUMBER(VLOOKUP($A55,Haver_M!$B$1:$BZ$300,MATCH(data!AL$1,Haver_M!$B$1:$BZ$1,0),FALSE)),VLOOKUP($A55,Haver_M!$B$1:$BZ$300,MATCH(data!AL$1,Haver_M!$B$1:$BZ$1,0),FALSE),"")</f>
        <v/>
      </c>
      <c r="AM55" t="str">
        <f>IF(ISNUMBER(VLOOKUP($A55,Haver_M!$B$1:$BZ$300,MATCH(data!AM$1,Haver_M!$B$1:$BZ$1,0),FALSE)),VLOOKUP($A55,Haver_M!$B$1:$BZ$300,MATCH(data!AM$1,Haver_M!$B$1:$BZ$1,0),FALSE),"")</f>
        <v/>
      </c>
      <c r="AN55" t="str">
        <f>IF(ISNUMBER(VLOOKUP($A55,Haver_M!$B$1:$BZ$300,MATCH(data!AN$1,Haver_M!$B$1:$BZ$1,0),FALSE)),VLOOKUP($A55,Haver_M!$B$1:$BZ$300,MATCH(data!AN$1,Haver_M!$B$1:$BZ$1,0),FALSE),"")</f>
        <v/>
      </c>
      <c r="AO55" t="str">
        <f>IF(ISNUMBER(VLOOKUP($A55,Haver_M!$B$1:$BZ$300,MATCH(data!AO$1,Haver_M!$B$1:$BZ$1,0),FALSE)),VLOOKUP($A55,Haver_M!$B$1:$BZ$300,MATCH(data!AO$1,Haver_M!$B$1:$BZ$1,0),FALSE),"")</f>
        <v/>
      </c>
      <c r="AP55">
        <f>IF(ISNUMBER(VLOOKUP($A55,Haver_M!$B$1:$BZ$300,MATCH(data!AP$1,Haver_M!$B$1:$BZ$1,0),FALSE)),VLOOKUP($A55,Haver_M!$B$1:$BZ$300,MATCH(data!AP$1,Haver_M!$B$1:$BZ$1,0),FALSE),"")</f>
        <v>51.625345626275795</v>
      </c>
      <c r="AQ55" t="str">
        <f>IF(ISNUMBER(VLOOKUP($A55,Haver_M!$B$1:$BZ$300,MATCH(data!AQ$1,Haver_M!$B$1:$BZ$1,0),FALSE)),VLOOKUP($A55,Haver_M!$B$1:$BZ$300,MATCH(data!AQ$1,Haver_M!$B$1:$BZ$1,0),FALSE),"")</f>
        <v/>
      </c>
      <c r="AR55" t="str">
        <f>IF(ISNUMBER(VLOOKUP($A55,Haver_M!$B$1:$BZ$300,MATCH(data!AR$1,Haver_M!$B$1:$BZ$1,0),FALSE)),VLOOKUP($A55,Haver_M!$B$1:$BZ$300,MATCH(data!AR$1,Haver_M!$B$1:$BZ$1,0),FALSE),"")</f>
        <v/>
      </c>
      <c r="AS55" t="str">
        <f>IF(ISNUMBER(VLOOKUP($A55,Haver_M!$B$1:$BZ$300,MATCH(data!AS$1,Haver_M!$B$1:$BZ$1,0),FALSE)),VLOOKUP($A55,Haver_M!$B$1:$BZ$300,MATCH(data!AS$1,Haver_M!$B$1:$BZ$1,0),FALSE),"")</f>
        <v/>
      </c>
      <c r="AT55" t="str">
        <f>IF(ISNUMBER(VLOOKUP($A55,Haver_M!$B$1:$BZ$300,MATCH(data!AT$1,Haver_M!$B$1:$BZ$1,0),FALSE)),VLOOKUP($A55,Haver_M!$B$1:$BZ$300,MATCH(data!AT$1,Haver_M!$B$1:$BZ$1,0),FALSE),"")</f>
        <v/>
      </c>
      <c r="AU55" t="str">
        <f>IF(ISNUMBER(VLOOKUP($A55,Haver_M!$B$1:$BZ$300,MATCH(data!AU$1,Haver_M!$B$1:$BZ$1,0),FALSE)),VLOOKUP($A55,Haver_M!$B$1:$BZ$300,MATCH(data!AU$1,Haver_M!$B$1:$BZ$1,0),FALSE),"")</f>
        <v/>
      </c>
      <c r="AV55" t="str">
        <f>IF(ISNUMBER(VLOOKUP($A55,Haver_M!$B$1:$BZ$300,MATCH(data!AV$1,Haver_M!$B$1:$BZ$1,0),FALSE)),VLOOKUP($A55,Haver_M!$B$1:$BZ$300,MATCH(data!AV$1,Haver_M!$B$1:$BZ$1,0),FALSE),"")</f>
        <v/>
      </c>
      <c r="AW55" t="str">
        <f>IF(ISNUMBER(VLOOKUP($A55,Haver_M!$B$1:$BZ$300,MATCH(data!AW$1,Haver_M!$B$1:$BZ$1,0),FALSE)),VLOOKUP($A55,Haver_M!$B$1:$BZ$300,MATCH(data!AW$1,Haver_M!$B$1:$BZ$1,0),FALSE),"")</f>
        <v/>
      </c>
      <c r="AX55" t="str">
        <f>IF(ISNUMBER(VLOOKUP($A55,Haver_M!$B$1:$BZ$300,MATCH(data!AX$1,Haver_M!$B$1:$BZ$1,0),FALSE)),VLOOKUP($A55,Haver_M!$B$1:$BZ$300,MATCH(data!AX$1,Haver_M!$B$1:$BZ$1,0),FALSE),"")</f>
        <v/>
      </c>
      <c r="AY55" t="str">
        <f>IF(ISNUMBER(VLOOKUP($A55,Haver_M!$B$1:$BZ$300,MATCH(data!AY$1,Haver_M!$B$1:$BZ$1,0),FALSE)),VLOOKUP($A55,Haver_M!$B$1:$BZ$300,MATCH(data!AY$1,Haver_M!$B$1:$BZ$1,0),FALSE),"")</f>
        <v/>
      </c>
      <c r="AZ55" t="str">
        <f>IF(ISNUMBER(VLOOKUP($A55,Haver_M!$B$1:$BZ$300,MATCH(data!AZ$1,Haver_M!$B$1:$BZ$1,0),FALSE)),VLOOKUP($A55,Haver_M!$B$1:$BZ$300,MATCH(data!AZ$1,Haver_M!$B$1:$BZ$1,0),FALSE),"")</f>
        <v/>
      </c>
      <c r="BA55" t="str">
        <f>IF(ISNUMBER(VLOOKUP($A55,Haver_M!$B$1:$BZ$300,MATCH(data!BA$1,Haver_M!$B$1:$BZ$1,0),FALSE)),VLOOKUP($A55,Haver_M!$B$1:$BZ$300,MATCH(data!BA$1,Haver_M!$B$1:$BZ$1,0),FALSE),"")</f>
        <v/>
      </c>
      <c r="BB55" t="str">
        <f>IF(ISNUMBER(VLOOKUP($A55,Haver_M!$B$1:$BZ$300,MATCH(data!BB$1,Haver_M!$B$1:$BZ$1,0),FALSE)),VLOOKUP($A55,Haver_M!$B$1:$BZ$300,MATCH(data!BB$1,Haver_M!$B$1:$BZ$1,0),FALSE),"")</f>
        <v/>
      </c>
      <c r="BC55" t="str">
        <f>IF(ISNUMBER(VLOOKUP($A55,Haver_M!$B$1:$BZ$300,MATCH(data!BC$1,Haver_M!$B$1:$BZ$1,0),FALSE)),VLOOKUP($A55,Haver_M!$B$1:$BZ$300,MATCH(data!BC$1,Haver_M!$B$1:$BZ$1,0),FALSE),"")</f>
        <v/>
      </c>
      <c r="BD55" t="str">
        <f>IF(ISNUMBER(VLOOKUP($A55,Haver_M!$B$1:$BZ$300,MATCH(data!BD$1,Haver_M!$B$1:$BZ$1,0),FALSE)),VLOOKUP($A55,Haver_M!$B$1:$BZ$300,MATCH(data!BD$1,Haver_M!$B$1:$BZ$1,0),FALSE),"")</f>
        <v/>
      </c>
      <c r="BE55" t="str">
        <f>IF(ISNUMBER(VLOOKUP($A55,Haver_M!$B$1:$BZ$300,MATCH(data!BE$1,Haver_M!$B$1:$BZ$1,0),FALSE)),VLOOKUP($A55,Haver_M!$B$1:$BZ$300,MATCH(data!BE$1,Haver_M!$B$1:$BZ$1,0),FALSE),"")</f>
        <v/>
      </c>
      <c r="BF55" t="str">
        <f>IF(ISNUMBER(VLOOKUP($A55,Haver_M!$B$1:$BZ$300,MATCH(data!BF$1,Haver_M!$B$1:$BZ$1,0),FALSE)),VLOOKUP($A55,Haver_M!$B$1:$BZ$300,MATCH(data!BF$1,Haver_M!$B$1:$BZ$1,0),FALSE),"")</f>
        <v/>
      </c>
      <c r="BG55" t="str">
        <f>IF(ISNUMBER(VLOOKUP($A55,Haver_M!$B$1:$BZ$300,MATCH(data!BG$1,Haver_M!$B$1:$BZ$1,0),FALSE)),VLOOKUP($A55,Haver_M!$B$1:$BZ$300,MATCH(data!BG$1,Haver_M!$B$1:$BZ$1,0),FALSE),"")</f>
        <v/>
      </c>
      <c r="BH55" t="str">
        <f>IF(ISNUMBER(VLOOKUP($A55,Haver_M!$B$1:$BZ$300,MATCH(data!BH$1,Haver_M!$B$1:$BZ$1,0),FALSE)),VLOOKUP($A55,Haver_M!$B$1:$BZ$300,MATCH(data!BH$1,Haver_M!$B$1:$BZ$1,0),FALSE),"")</f>
        <v/>
      </c>
      <c r="BI55" t="str">
        <f>IF(ISNUMBER(VLOOKUP($A55,Haver_M!$B$1:$BZ$300,MATCH(data!BI$1,Haver_M!$B$1:$BZ$1,0),FALSE)),VLOOKUP($A55,Haver_M!$B$1:$BZ$300,MATCH(data!BI$1,Haver_M!$B$1:$BZ$1,0),FALSE),"")</f>
        <v/>
      </c>
      <c r="BJ55" t="str">
        <f>IF(ISNUMBER(VLOOKUP($A55,Haver_M!$B$1:$BZ$300,MATCH(data!BJ$1,Haver_M!$B$1:$BZ$1,0),FALSE)),VLOOKUP($A55,Haver_M!$B$1:$BZ$300,MATCH(data!BJ$1,Haver_M!$B$1:$BZ$1,0),FALSE),"")</f>
        <v/>
      </c>
      <c r="BK55" t="str">
        <f>IF(ISNUMBER(VLOOKUP($A55,Haver_M!$B$1:$BZ$300,MATCH(data!BK$1,Haver_M!$B$1:$BZ$1,0),FALSE)),VLOOKUP($A55,Haver_M!$B$1:$BZ$300,MATCH(data!BK$1,Haver_M!$B$1:$BZ$1,0),FALSE),"")</f>
        <v/>
      </c>
      <c r="BL55">
        <f>IF(ISNUMBER(VLOOKUP($A55,Haver_M!$B$1:$BZ$300,MATCH(data!BL$1,Haver_M!$B$1:$BZ$1,0),FALSE)),VLOOKUP($A55,Haver_M!$B$1:$BZ$300,MATCH(data!BL$1,Haver_M!$B$1:$BZ$1,0),FALSE),"")</f>
        <v>4823.87</v>
      </c>
      <c r="BM55">
        <f>IF(ISNUMBER(VLOOKUP($A55,Haver_M!$B$1:$BZ$300,MATCH(data!BM$1,Haver_M!$B$1:$BZ$1,0),FALSE)),VLOOKUP($A55,Haver_M!$B$1:$BZ$300,MATCH(data!BM$1,Haver_M!$B$1:$BZ$1,0),FALSE),"")</f>
        <v>95.788820470000005</v>
      </c>
      <c r="BN55">
        <f>IF(ISNUMBER(VLOOKUP($A55,Haver_M!$B$1:$BZ$300,MATCH(data!BN$1,Haver_M!$B$1:$BZ$1,0),FALSE)),VLOOKUP($A55,Haver_M!$B$1:$BZ$300,MATCH(data!BN$1,Haver_M!$B$1:$BZ$1,0),FALSE),"")</f>
        <v>118.4</v>
      </c>
      <c r="BO55">
        <f>IF(ISNUMBER(VLOOKUP($A55,Haver_M!$B$1:$BZ$300,MATCH(data!BO$1,Haver_M!$B$1:$BZ$1,0),FALSE)),VLOOKUP($A55,Haver_M!$B$1:$BZ$300,MATCH(data!BO$1,Haver_M!$B$1:$BZ$1,0),FALSE),"")</f>
        <v>121.5</v>
      </c>
      <c r="BP55">
        <f>IF(ISNUMBER(VLOOKUP($A55,Haver_M!$B$1:$BZ$300,MATCH(data!BP$1,Haver_M!$B$1:$BZ$1,0),FALSE)),VLOOKUP($A55,Haver_M!$B$1:$BZ$300,MATCH(data!BP$1,Haver_M!$B$1:$BZ$1,0),FALSE),"")</f>
        <v>47.9</v>
      </c>
      <c r="BQ55" t="str">
        <f>IF(ISNUMBER(VLOOKUP($A55,Haver_M!$B$1:$BZ$300,MATCH(data!BQ$1,Haver_M!$B$1:$BZ$1,0),FALSE)),VLOOKUP($A55,Haver_M!$B$1:$BZ$300,MATCH(data!BQ$1,Haver_M!$B$1:$BZ$1,0),FALSE),"")</f>
        <v/>
      </c>
      <c r="BR55" t="str">
        <f>IF(ISNUMBER(VLOOKUP($A55,Haver_M!$B$1:$BZ$300,MATCH(data!BR$1,Haver_M!$B$1:$BZ$1,0),FALSE)),VLOOKUP($A55,Haver_M!$B$1:$BZ$300,MATCH(data!BR$1,Haver_M!$B$1:$BZ$1,0),FALSE),"")</f>
        <v/>
      </c>
      <c r="BS55" t="str">
        <f>IF(ISNUMBER(VLOOKUP($A55,Haver_M!$B$1:$BZ$300,MATCH(data!BS$1,Haver_M!$B$1:$BZ$1,0),FALSE)),VLOOKUP($A55,Haver_M!$B$1:$BZ$300,MATCH(data!BS$1,Haver_M!$B$1:$BZ$1,0),FALSE),"")</f>
        <v/>
      </c>
      <c r="BT55" t="str">
        <f>IF(ISNUMBER(VLOOKUP($A55,Haver_M!$B$1:$BZ$300,MATCH(data!BT$1,Haver_M!$B$1:$BZ$1,0),FALSE)),VLOOKUP($A55,Haver_M!$B$1:$BZ$300,MATCH(data!BT$1,Haver_M!$B$1:$BZ$1,0),FALSE),"")</f>
        <v/>
      </c>
      <c r="BU55">
        <f>IF(ISNUMBER(VLOOKUP($A55,Haver_M!$B$1:$BZ$300,MATCH(data!BU$1,Haver_M!$B$1:$BZ$1,0),FALSE)),VLOOKUP($A55,Haver_M!$B$1:$BZ$300,MATCH(data!BU$1,Haver_M!$B$1:$BZ$1,0),FALSE),"")</f>
        <v>6068</v>
      </c>
      <c r="BV55">
        <f>IF(ISNUMBER(VLOOKUP($A55,Haver_M!$B$1:$BZ$300,MATCH(data!BV$1,Haver_M!$B$1:$BZ$1,0),FALSE)),VLOOKUP($A55,Haver_M!$B$1:$BZ$300,MATCH(data!BV$1,Haver_M!$B$1:$BZ$1,0),FALSE),"")</f>
        <v>8717</v>
      </c>
      <c r="BW55">
        <f>IF(ISNUMBER(VLOOKUP($A55,Haver_M!$B$1:$BZ$300,MATCH(data!BW$1,Haver_M!$B$1:$BZ$1,0),FALSE)),VLOOKUP($A55,Haver_M!$B$1:$BZ$300,MATCH(data!BW$1,Haver_M!$B$1:$BZ$1,0),FALSE),"")</f>
        <v>45.506799999999998</v>
      </c>
      <c r="BX55">
        <f>IF(ISNUMBER(VLOOKUP($A55,Haver_M!$B$1:$BZ$300,MATCH(data!BX$1,Haver_M!$B$1:$BZ$1,0),FALSE)),VLOOKUP($A55,Haver_M!$B$1:$BZ$300,MATCH(data!BX$1,Haver_M!$B$1:$BZ$1,0),FALSE),"")</f>
        <v>30556</v>
      </c>
    </row>
    <row r="56" spans="1:76" x14ac:dyDescent="0.25">
      <c r="A56" s="2">
        <v>38199</v>
      </c>
      <c r="B56" t="str">
        <f>IF(ISNUMBER(VLOOKUP($A56,Haver_Q!$B$1:$L$185,MATCH(data!B$1,Haver_Q!$B$1:$L$1,0),FALSE)),100*(VLOOKUP($A56,Haver_Q!$B$1:$L$185,MATCH(data!B$1,Haver_Q!$B$1:$L$1,0),FALSE)),"")</f>
        <v/>
      </c>
      <c r="C56" t="str">
        <f>IF(ISNUMBER(VLOOKUP($A56,Haver_Q!$B$1:$L$185,MATCH(data!C$1,Haver_Q!$B$1:$L$1,0),FALSE)),100*(VLOOKUP($A56,Haver_Q!$B$1:$L$185,MATCH(data!C$1,Haver_Q!$B$1:$L$1,0),FALSE)),"")</f>
        <v/>
      </c>
      <c r="D56" t="str">
        <f>IF(ISNUMBER(VLOOKUP($A56,Haver_Q!$B$1:$L$185,MATCH(data!D$1,Haver_Q!$B$1:$L$1,0),FALSE)),100*(VLOOKUP($A56,Haver_Q!$B$1:$L$185,MATCH(data!D$1,Haver_Q!$B$1:$L$1,0),FALSE)),"")</f>
        <v/>
      </c>
      <c r="E56" t="str">
        <f>IF(ISNUMBER(VLOOKUP($A56,Haver_Q!$B$1:$L$185,MATCH(data!E$1,Haver_Q!$B$1:$L$1,0),FALSE)),100*(VLOOKUP($A56,Haver_Q!$B$1:$L$185,MATCH(data!E$1,Haver_Q!$B$1:$L$1,0),FALSE)),"")</f>
        <v/>
      </c>
      <c r="F56" t="str">
        <f>IF(ISNUMBER(VLOOKUP($A56,Haver_Q!$B$1:$L$185,MATCH(data!F$1,Haver_Q!$B$1:$L$1,0),FALSE)),100*(VLOOKUP($A56,Haver_Q!$B$1:$L$185,MATCH(data!F$1,Haver_Q!$B$1:$L$1,0),FALSE)),"")</f>
        <v/>
      </c>
      <c r="G56" t="str">
        <f>IF(ISNUMBER(VLOOKUP($A56,Haver_Q!$B$1:$L$185,MATCH(data!G$1,Haver_Q!$B$1:$L$1,0),FALSE)),100*(VLOOKUP($A56,Haver_Q!$B$1:$L$185,MATCH(data!G$1,Haver_Q!$B$1:$L$1,0),FALSE)),"")</f>
        <v/>
      </c>
      <c r="H56" t="str">
        <f>IF(ISNUMBER(VLOOKUP($A56,Haver_Q!$B$1:$L$185,MATCH(data!H$1,Haver_Q!$B$1:$L$1,0),FALSE)),(VLOOKUP($A56,Haver_Q!$B$1:$L$185,MATCH(data!H$1,Haver_Q!$B$1:$L$1,0),FALSE)),"")</f>
        <v/>
      </c>
      <c r="I56" t="str">
        <f>IF(ISNUMBER(VLOOKUP($A56,Haver_Q!$B$1:$L$185,MATCH(data!I$1,Haver_Q!$B$1:$L$1,0),FALSE)),100*(VLOOKUP($A56,Haver_Q!$B$1:$L$185,MATCH(data!I$1,Haver_Q!$B$1:$L$1,0),FALSE)),"")</f>
        <v/>
      </c>
      <c r="J56" s="3">
        <f>IF(ISNUMBER(Bloomberg_m!C72),Bloomberg_m!C72,"")</f>
        <v>3778</v>
      </c>
      <c r="K56" s="3" t="str">
        <f>IF(ISNUMBER(Bloomberg_m!D72),Bloomberg_m!D72,"")</f>
        <v/>
      </c>
      <c r="L56" s="3" t="str">
        <f>IF(ISNUMBER(Bloomberg_m!E72),Bloomberg_m!E72,"")</f>
        <v/>
      </c>
      <c r="M56" s="3" t="str">
        <f>IF(ISNUMBER(Bloomberg_m!F72),Bloomberg_m!F72,"")</f>
        <v/>
      </c>
      <c r="N56">
        <f>IF(ISNUMBER(VLOOKUP($A56,Haver_M!$B$1:$BZ$300,MATCH(data!N$1,Haver_M!$B$1:$BZ$1,0),FALSE)),VLOOKUP($A56,Haver_M!$B$1:$BZ$300,MATCH(data!N$1,Haver_M!$B$1:$BZ$1,0),FALSE),"")</f>
        <v>6</v>
      </c>
      <c r="O56">
        <f>IF(ISNUMBER(VLOOKUP($A56,Haver_M!$B$1:$BZ$300,MATCH(data!O$1,Haver_M!$B$1:$BZ$1,0),FALSE)),VLOOKUP($A56,Haver_M!$B$1:$BZ$300,MATCH(data!O$1,Haver_M!$B$1:$BZ$1,0),FALSE),"")</f>
        <v>6.1935000000000002</v>
      </c>
      <c r="P56">
        <f>IF(ISNUMBER(VLOOKUP($A56,Haver_M!$B$1:$BZ$300,MATCH(data!P$1,Haver_M!$B$1:$BZ$1,0),FALSE)),VLOOKUP($A56,Haver_M!$B$1:$BZ$300,MATCH(data!P$1,Haver_M!$B$1:$BZ$1,0),FALSE),"")</f>
        <v>93.652180000000001</v>
      </c>
      <c r="Q56">
        <f>IF(ISNUMBER(VLOOKUP($A56,Haver_M!$B$1:$BZ$300,MATCH(data!Q$1,Haver_M!$B$1:$BZ$1,0),FALSE)),VLOOKUP($A56,Haver_M!$B$1:$BZ$300,MATCH(data!Q$1,Haver_M!$B$1:$BZ$1,0),FALSE),"")</f>
        <v>55.4</v>
      </c>
      <c r="R56" t="str">
        <f>IF(ISNUMBER(VLOOKUP($A56,Haver_M!$B$1:$BZ$300,MATCH(data!R$1,Haver_M!$B$1:$BZ$1,0),FALSE)),VLOOKUP($A56,Haver_M!$B$1:$BZ$300,MATCH(data!R$1,Haver_M!$B$1:$BZ$1,0),FALSE),"")</f>
        <v/>
      </c>
      <c r="S56">
        <f>IF(ISNUMBER(VLOOKUP($A56,Haver_M!$B$1:$BZ$300,MATCH(data!S$1,Haver_M!$B$1:$BZ$1,0),FALSE)),VLOOKUP($A56,Haver_M!$B$1:$BZ$300,MATCH(data!S$1,Haver_M!$B$1:$BZ$1,0),FALSE),"")</f>
        <v>59.38</v>
      </c>
      <c r="T56">
        <f>IF(ISNUMBER(VLOOKUP($A56,Haver_M!$B$1:$BZ$300,MATCH(data!T$1,Haver_M!$B$1:$BZ$1,0),FALSE)),VLOOKUP($A56,Haver_M!$B$1:$BZ$300,MATCH(data!T$1,Haver_M!$B$1:$BZ$1,0),FALSE),"")</f>
        <v>65.56</v>
      </c>
      <c r="U56">
        <f>IF(ISNUMBER(VLOOKUP($A56,Haver_M!$B$1:$BZ$300,MATCH(data!U$1,Haver_M!$B$1:$BZ$1,0),FALSE)),VLOOKUP($A56,Haver_M!$B$1:$BZ$300,MATCH(data!U$1,Haver_M!$B$1:$BZ$1,0),FALSE),"")</f>
        <v>38.25</v>
      </c>
      <c r="V56">
        <f>IF(ISNUMBER(VLOOKUP($A56,Haver_M!$B$1:$BZ$300,MATCH(data!V$1,Haver_M!$B$1:$BZ$1,0),FALSE)),VLOOKUP($A56,Haver_M!$B$1:$BZ$300,MATCH(data!V$1,Haver_M!$B$1:$BZ$1,0),FALSE),"")</f>
        <v>71.84</v>
      </c>
      <c r="W56" t="str">
        <f>IF(ISNUMBER(VLOOKUP($A56,Haver_M!$B$1:$BZ$300,MATCH(data!W$1,Haver_M!$B$1:$BZ$1,0),FALSE)),VLOOKUP($A56,Haver_M!$B$1:$BZ$300,MATCH(data!W$1,Haver_M!$B$1:$BZ$1,0),FALSE),"")</f>
        <v/>
      </c>
      <c r="X56">
        <f>IF(ISNUMBER(VLOOKUP($A56,Haver_M!$B$1:$BZ$300,MATCH(data!X$1,Haver_M!$B$1:$BZ$1,0),FALSE)),VLOOKUP($A56,Haver_M!$B$1:$BZ$300,MATCH(data!X$1,Haver_M!$B$1:$BZ$1,0),FALSE),"")</f>
        <v>35.83</v>
      </c>
      <c r="Y56">
        <f>IF(ISNUMBER(VLOOKUP($A56,Haver_M!$B$1:$BZ$300,MATCH(data!Y$1,Haver_M!$B$1:$BZ$1,0),FALSE)),VLOOKUP($A56,Haver_M!$B$1:$BZ$300,MATCH(data!Y$1,Haver_M!$B$1:$BZ$1,0),FALSE),"")</f>
        <v>64.98</v>
      </c>
      <c r="Z56">
        <f>IF(ISNUMBER(VLOOKUP($A56,Haver_M!$B$1:$BZ$300,MATCH(data!Z$1,Haver_M!$B$1:$BZ$1,0),FALSE)),VLOOKUP($A56,Haver_M!$B$1:$BZ$300,MATCH(data!Z$1,Haver_M!$B$1:$BZ$1,0),FALSE),"")</f>
        <v>70.099999999999994</v>
      </c>
      <c r="AA56">
        <f>IF(ISNUMBER(VLOOKUP($A56,Haver_M!$B$1:$BZ$300,MATCH(data!AA$1,Haver_M!$B$1:$BZ$1,0),FALSE)),VLOOKUP($A56,Haver_M!$B$1:$BZ$300,MATCH(data!AA$1,Haver_M!$B$1:$BZ$1,0),FALSE),"")</f>
        <v>75.180999999999997</v>
      </c>
      <c r="AB56">
        <f>IF(ISNUMBER(VLOOKUP($A56,Haver_M!$B$1:$BZ$300,MATCH(data!AB$1,Haver_M!$B$1:$BZ$1,0),FALSE)),VLOOKUP($A56,Haver_M!$B$1:$BZ$300,MATCH(data!AB$1,Haver_M!$B$1:$BZ$1,0),FALSE),"")</f>
        <v>89.16</v>
      </c>
      <c r="AC56">
        <f>IF(ISNUMBER(VLOOKUP($A56,Haver_M!$B$1:$BZ$300,MATCH(data!AC$1,Haver_M!$B$1:$BZ$1,0),FALSE)),VLOOKUP($A56,Haver_M!$B$1:$BZ$300,MATCH(data!AC$1,Haver_M!$B$1:$BZ$1,0),FALSE),"")</f>
        <v>67.141000000000005</v>
      </c>
      <c r="AD56">
        <f>IF(ISNUMBER(VLOOKUP($A56,Haver_M!$B$1:$BZ$300,MATCH(data!AD$1,Haver_M!$B$1:$BZ$1,0),FALSE)),VLOOKUP($A56,Haver_M!$B$1:$BZ$300,MATCH(data!AD$1,Haver_M!$B$1:$BZ$1,0),FALSE),"")</f>
        <v>74.3</v>
      </c>
      <c r="AE56">
        <f>IF(ISNUMBER(VLOOKUP($A56,Haver_M!$B$1:$BZ$300,MATCH(data!AE$1,Haver_M!$B$1:$BZ$1,0),FALSE)),VLOOKUP($A56,Haver_M!$B$1:$BZ$300,MATCH(data!AE$1,Haver_M!$B$1:$BZ$1,0),FALSE),"")</f>
        <v>92.438999999999993</v>
      </c>
      <c r="AF56">
        <f>IF(ISNUMBER(VLOOKUP($A56,Haver_M!$B$1:$BZ$300,MATCH(data!AF$1,Haver_M!$B$1:$BZ$1,0),FALSE)),VLOOKUP($A56,Haver_M!$B$1:$BZ$300,MATCH(data!AF$1,Haver_M!$B$1:$BZ$1,0),FALSE),"")</f>
        <v>58.804000000000002</v>
      </c>
      <c r="AG56">
        <f>IF(ISNUMBER(VLOOKUP($A56,Haver_M!$B$1:$BZ$300,MATCH(data!AG$1,Haver_M!$B$1:$BZ$1,0),FALSE)),VLOOKUP($A56,Haver_M!$B$1:$BZ$300,MATCH(data!AG$1,Haver_M!$B$1:$BZ$1,0),FALSE),"")</f>
        <v>57.822000000000003</v>
      </c>
      <c r="AH56">
        <f>IF(ISNUMBER(VLOOKUP($A56,Haver_M!$B$1:$BZ$300,MATCH(data!AH$1,Haver_M!$B$1:$BZ$1,0),FALSE)),VLOOKUP($A56,Haver_M!$B$1:$BZ$300,MATCH(data!AH$1,Haver_M!$B$1:$BZ$1,0),FALSE),"")</f>
        <v>69.17</v>
      </c>
      <c r="AI56">
        <f>IF(ISNUMBER(VLOOKUP($A56,Haver_M!$B$1:$BZ$300,MATCH(data!AI$1,Haver_M!$B$1:$BZ$1,0),FALSE)),VLOOKUP($A56,Haver_M!$B$1:$BZ$300,MATCH(data!AI$1,Haver_M!$B$1:$BZ$1,0),FALSE),"")</f>
        <v>9429.5790064219054</v>
      </c>
      <c r="AJ56">
        <f>IF(ISNUMBER(VLOOKUP($A56,Haver_M!$B$1:$BZ$300,MATCH(data!AJ$1,Haver_M!$B$1:$BZ$1,0),FALSE)),VLOOKUP($A56,Haver_M!$B$1:$BZ$300,MATCH(data!AJ$1,Haver_M!$B$1:$BZ$1,0),FALSE),"")</f>
        <v>5994.97</v>
      </c>
      <c r="AK56">
        <f>IF(ISNUMBER(VLOOKUP($A56,Haver_M!$B$1:$BZ$300,MATCH(data!AK$1,Haver_M!$B$1:$BZ$1,0),FALSE)),VLOOKUP($A56,Haver_M!$B$1:$BZ$300,MATCH(data!AK$1,Haver_M!$B$1:$BZ$1,0),FALSE),"")</f>
        <v>7948.19</v>
      </c>
      <c r="AL56" t="str">
        <f>IF(ISNUMBER(VLOOKUP($A56,Haver_M!$B$1:$BZ$300,MATCH(data!AL$1,Haver_M!$B$1:$BZ$1,0),FALSE)),VLOOKUP($A56,Haver_M!$B$1:$BZ$300,MATCH(data!AL$1,Haver_M!$B$1:$BZ$1,0),FALSE),"")</f>
        <v/>
      </c>
      <c r="AM56" t="str">
        <f>IF(ISNUMBER(VLOOKUP($A56,Haver_M!$B$1:$BZ$300,MATCH(data!AM$1,Haver_M!$B$1:$BZ$1,0),FALSE)),VLOOKUP($A56,Haver_M!$B$1:$BZ$300,MATCH(data!AM$1,Haver_M!$B$1:$BZ$1,0),FALSE),"")</f>
        <v/>
      </c>
      <c r="AN56" t="str">
        <f>IF(ISNUMBER(VLOOKUP($A56,Haver_M!$B$1:$BZ$300,MATCH(data!AN$1,Haver_M!$B$1:$BZ$1,0),FALSE)),VLOOKUP($A56,Haver_M!$B$1:$BZ$300,MATCH(data!AN$1,Haver_M!$B$1:$BZ$1,0),FALSE),"")</f>
        <v/>
      </c>
      <c r="AO56" t="str">
        <f>IF(ISNUMBER(VLOOKUP($A56,Haver_M!$B$1:$BZ$300,MATCH(data!AO$1,Haver_M!$B$1:$BZ$1,0),FALSE)),VLOOKUP($A56,Haver_M!$B$1:$BZ$300,MATCH(data!AO$1,Haver_M!$B$1:$BZ$1,0),FALSE),"")</f>
        <v/>
      </c>
      <c r="AP56">
        <f>IF(ISNUMBER(VLOOKUP($A56,Haver_M!$B$1:$BZ$300,MATCH(data!AP$1,Haver_M!$B$1:$BZ$1,0),FALSE)),VLOOKUP($A56,Haver_M!$B$1:$BZ$300,MATCH(data!AP$1,Haver_M!$B$1:$BZ$1,0),FALSE),"")</f>
        <v>44.113045342056388</v>
      </c>
      <c r="AQ56" t="str">
        <f>IF(ISNUMBER(VLOOKUP($A56,Haver_M!$B$1:$BZ$300,MATCH(data!AQ$1,Haver_M!$B$1:$BZ$1,0),FALSE)),VLOOKUP($A56,Haver_M!$B$1:$BZ$300,MATCH(data!AQ$1,Haver_M!$B$1:$BZ$1,0),FALSE),"")</f>
        <v/>
      </c>
      <c r="AR56" t="str">
        <f>IF(ISNUMBER(VLOOKUP($A56,Haver_M!$B$1:$BZ$300,MATCH(data!AR$1,Haver_M!$B$1:$BZ$1,0),FALSE)),VLOOKUP($A56,Haver_M!$B$1:$BZ$300,MATCH(data!AR$1,Haver_M!$B$1:$BZ$1,0),FALSE),"")</f>
        <v/>
      </c>
      <c r="AS56" t="str">
        <f>IF(ISNUMBER(VLOOKUP($A56,Haver_M!$B$1:$BZ$300,MATCH(data!AS$1,Haver_M!$B$1:$BZ$1,0),FALSE)),VLOOKUP($A56,Haver_M!$B$1:$BZ$300,MATCH(data!AS$1,Haver_M!$B$1:$BZ$1,0),FALSE),"")</f>
        <v/>
      </c>
      <c r="AT56" t="str">
        <f>IF(ISNUMBER(VLOOKUP($A56,Haver_M!$B$1:$BZ$300,MATCH(data!AT$1,Haver_M!$B$1:$BZ$1,0),FALSE)),VLOOKUP($A56,Haver_M!$B$1:$BZ$300,MATCH(data!AT$1,Haver_M!$B$1:$BZ$1,0),FALSE),"")</f>
        <v/>
      </c>
      <c r="AU56" t="str">
        <f>IF(ISNUMBER(VLOOKUP($A56,Haver_M!$B$1:$BZ$300,MATCH(data!AU$1,Haver_M!$B$1:$BZ$1,0),FALSE)),VLOOKUP($A56,Haver_M!$B$1:$BZ$300,MATCH(data!AU$1,Haver_M!$B$1:$BZ$1,0),FALSE),"")</f>
        <v/>
      </c>
      <c r="AV56" t="str">
        <f>IF(ISNUMBER(VLOOKUP($A56,Haver_M!$B$1:$BZ$300,MATCH(data!AV$1,Haver_M!$B$1:$BZ$1,0),FALSE)),VLOOKUP($A56,Haver_M!$B$1:$BZ$300,MATCH(data!AV$1,Haver_M!$B$1:$BZ$1,0),FALSE),"")</f>
        <v/>
      </c>
      <c r="AW56" t="str">
        <f>IF(ISNUMBER(VLOOKUP($A56,Haver_M!$B$1:$BZ$300,MATCH(data!AW$1,Haver_M!$B$1:$BZ$1,0),FALSE)),VLOOKUP($A56,Haver_M!$B$1:$BZ$300,MATCH(data!AW$1,Haver_M!$B$1:$BZ$1,0),FALSE),"")</f>
        <v/>
      </c>
      <c r="AX56" t="str">
        <f>IF(ISNUMBER(VLOOKUP($A56,Haver_M!$B$1:$BZ$300,MATCH(data!AX$1,Haver_M!$B$1:$BZ$1,0),FALSE)),VLOOKUP($A56,Haver_M!$B$1:$BZ$300,MATCH(data!AX$1,Haver_M!$B$1:$BZ$1,0),FALSE),"")</f>
        <v/>
      </c>
      <c r="AY56" t="str">
        <f>IF(ISNUMBER(VLOOKUP($A56,Haver_M!$B$1:$BZ$300,MATCH(data!AY$1,Haver_M!$B$1:$BZ$1,0),FALSE)),VLOOKUP($A56,Haver_M!$B$1:$BZ$300,MATCH(data!AY$1,Haver_M!$B$1:$BZ$1,0),FALSE),"")</f>
        <v/>
      </c>
      <c r="AZ56" t="str">
        <f>IF(ISNUMBER(VLOOKUP($A56,Haver_M!$B$1:$BZ$300,MATCH(data!AZ$1,Haver_M!$B$1:$BZ$1,0),FALSE)),VLOOKUP($A56,Haver_M!$B$1:$BZ$300,MATCH(data!AZ$1,Haver_M!$B$1:$BZ$1,0),FALSE),"")</f>
        <v/>
      </c>
      <c r="BA56" t="str">
        <f>IF(ISNUMBER(VLOOKUP($A56,Haver_M!$B$1:$BZ$300,MATCH(data!BA$1,Haver_M!$B$1:$BZ$1,0),FALSE)),VLOOKUP($A56,Haver_M!$B$1:$BZ$300,MATCH(data!BA$1,Haver_M!$B$1:$BZ$1,0),FALSE),"")</f>
        <v/>
      </c>
      <c r="BB56" t="str">
        <f>IF(ISNUMBER(VLOOKUP($A56,Haver_M!$B$1:$BZ$300,MATCH(data!BB$1,Haver_M!$B$1:$BZ$1,0),FALSE)),VLOOKUP($A56,Haver_M!$B$1:$BZ$300,MATCH(data!BB$1,Haver_M!$B$1:$BZ$1,0),FALSE),"")</f>
        <v/>
      </c>
      <c r="BC56" t="str">
        <f>IF(ISNUMBER(VLOOKUP($A56,Haver_M!$B$1:$BZ$300,MATCH(data!BC$1,Haver_M!$B$1:$BZ$1,0),FALSE)),VLOOKUP($A56,Haver_M!$B$1:$BZ$300,MATCH(data!BC$1,Haver_M!$B$1:$BZ$1,0),FALSE),"")</f>
        <v/>
      </c>
      <c r="BD56" t="str">
        <f>IF(ISNUMBER(VLOOKUP($A56,Haver_M!$B$1:$BZ$300,MATCH(data!BD$1,Haver_M!$B$1:$BZ$1,0),FALSE)),VLOOKUP($A56,Haver_M!$B$1:$BZ$300,MATCH(data!BD$1,Haver_M!$B$1:$BZ$1,0),FALSE),"")</f>
        <v/>
      </c>
      <c r="BE56" t="str">
        <f>IF(ISNUMBER(VLOOKUP($A56,Haver_M!$B$1:$BZ$300,MATCH(data!BE$1,Haver_M!$B$1:$BZ$1,0),FALSE)),VLOOKUP($A56,Haver_M!$B$1:$BZ$300,MATCH(data!BE$1,Haver_M!$B$1:$BZ$1,0),FALSE),"")</f>
        <v/>
      </c>
      <c r="BF56" t="str">
        <f>IF(ISNUMBER(VLOOKUP($A56,Haver_M!$B$1:$BZ$300,MATCH(data!BF$1,Haver_M!$B$1:$BZ$1,0),FALSE)),VLOOKUP($A56,Haver_M!$B$1:$BZ$300,MATCH(data!BF$1,Haver_M!$B$1:$BZ$1,0),FALSE),"")</f>
        <v/>
      </c>
      <c r="BG56" t="str">
        <f>IF(ISNUMBER(VLOOKUP($A56,Haver_M!$B$1:$BZ$300,MATCH(data!BG$1,Haver_M!$B$1:$BZ$1,0),FALSE)),VLOOKUP($A56,Haver_M!$B$1:$BZ$300,MATCH(data!BG$1,Haver_M!$B$1:$BZ$1,0),FALSE),"")</f>
        <v/>
      </c>
      <c r="BH56" t="str">
        <f>IF(ISNUMBER(VLOOKUP($A56,Haver_M!$B$1:$BZ$300,MATCH(data!BH$1,Haver_M!$B$1:$BZ$1,0),FALSE)),VLOOKUP($A56,Haver_M!$B$1:$BZ$300,MATCH(data!BH$1,Haver_M!$B$1:$BZ$1,0),FALSE),"")</f>
        <v/>
      </c>
      <c r="BI56" t="str">
        <f>IF(ISNUMBER(VLOOKUP($A56,Haver_M!$B$1:$BZ$300,MATCH(data!BI$1,Haver_M!$B$1:$BZ$1,0),FALSE)),VLOOKUP($A56,Haver_M!$B$1:$BZ$300,MATCH(data!BI$1,Haver_M!$B$1:$BZ$1,0),FALSE),"")</f>
        <v/>
      </c>
      <c r="BJ56" t="str">
        <f>IF(ISNUMBER(VLOOKUP($A56,Haver_M!$B$1:$BZ$300,MATCH(data!BJ$1,Haver_M!$B$1:$BZ$1,0),FALSE)),VLOOKUP($A56,Haver_M!$B$1:$BZ$300,MATCH(data!BJ$1,Haver_M!$B$1:$BZ$1,0),FALSE),"")</f>
        <v/>
      </c>
      <c r="BK56" t="str">
        <f>IF(ISNUMBER(VLOOKUP($A56,Haver_M!$B$1:$BZ$300,MATCH(data!BK$1,Haver_M!$B$1:$BZ$1,0),FALSE)),VLOOKUP($A56,Haver_M!$B$1:$BZ$300,MATCH(data!BK$1,Haver_M!$B$1:$BZ$1,0),FALSE),"")</f>
        <v/>
      </c>
      <c r="BL56">
        <f>IF(ISNUMBER(VLOOKUP($A56,Haver_M!$B$1:$BZ$300,MATCH(data!BL$1,Haver_M!$B$1:$BZ$1,0),FALSE)),VLOOKUP($A56,Haver_M!$B$1:$BZ$300,MATCH(data!BL$1,Haver_M!$B$1:$BZ$1,0),FALSE),"")</f>
        <v>4972.88</v>
      </c>
      <c r="BM56">
        <f>IF(ISNUMBER(VLOOKUP($A56,Haver_M!$B$1:$BZ$300,MATCH(data!BM$1,Haver_M!$B$1:$BZ$1,0),FALSE)),VLOOKUP($A56,Haver_M!$B$1:$BZ$300,MATCH(data!BM$1,Haver_M!$B$1:$BZ$1,0),FALSE),"")</f>
        <v>94.748885900000005</v>
      </c>
      <c r="BN56" t="str">
        <f>IF(ISNUMBER(VLOOKUP($A56,Haver_M!$B$1:$BZ$300,MATCH(data!BN$1,Haver_M!$B$1:$BZ$1,0),FALSE)),VLOOKUP($A56,Haver_M!$B$1:$BZ$300,MATCH(data!BN$1,Haver_M!$B$1:$BZ$1,0),FALSE),"")</f>
        <v/>
      </c>
      <c r="BO56" t="str">
        <f>IF(ISNUMBER(VLOOKUP($A56,Haver_M!$B$1:$BZ$300,MATCH(data!BO$1,Haver_M!$B$1:$BZ$1,0),FALSE)),VLOOKUP($A56,Haver_M!$B$1:$BZ$300,MATCH(data!BO$1,Haver_M!$B$1:$BZ$1,0),FALSE),"")</f>
        <v/>
      </c>
      <c r="BP56" t="str">
        <f>IF(ISNUMBER(VLOOKUP($A56,Haver_M!$B$1:$BZ$300,MATCH(data!BP$1,Haver_M!$B$1:$BZ$1,0),FALSE)),VLOOKUP($A56,Haver_M!$B$1:$BZ$300,MATCH(data!BP$1,Haver_M!$B$1:$BZ$1,0),FALSE),"")</f>
        <v/>
      </c>
      <c r="BQ56" t="str">
        <f>IF(ISNUMBER(VLOOKUP($A56,Haver_M!$B$1:$BZ$300,MATCH(data!BQ$1,Haver_M!$B$1:$BZ$1,0),FALSE)),VLOOKUP($A56,Haver_M!$B$1:$BZ$300,MATCH(data!BQ$1,Haver_M!$B$1:$BZ$1,0),FALSE),"")</f>
        <v/>
      </c>
      <c r="BR56" t="str">
        <f>IF(ISNUMBER(VLOOKUP($A56,Haver_M!$B$1:$BZ$300,MATCH(data!BR$1,Haver_M!$B$1:$BZ$1,0),FALSE)),VLOOKUP($A56,Haver_M!$B$1:$BZ$300,MATCH(data!BR$1,Haver_M!$B$1:$BZ$1,0),FALSE),"")</f>
        <v/>
      </c>
      <c r="BS56" t="str">
        <f>IF(ISNUMBER(VLOOKUP($A56,Haver_M!$B$1:$BZ$300,MATCH(data!BS$1,Haver_M!$B$1:$BZ$1,0),FALSE)),VLOOKUP($A56,Haver_M!$B$1:$BZ$300,MATCH(data!BS$1,Haver_M!$B$1:$BZ$1,0),FALSE),"")</f>
        <v/>
      </c>
      <c r="BT56" t="str">
        <f>IF(ISNUMBER(VLOOKUP($A56,Haver_M!$B$1:$BZ$300,MATCH(data!BT$1,Haver_M!$B$1:$BZ$1,0),FALSE)),VLOOKUP($A56,Haver_M!$B$1:$BZ$300,MATCH(data!BT$1,Haver_M!$B$1:$BZ$1,0),FALSE),"")</f>
        <v/>
      </c>
      <c r="BU56">
        <f>IF(ISNUMBER(VLOOKUP($A56,Haver_M!$B$1:$BZ$300,MATCH(data!BU$1,Haver_M!$B$1:$BZ$1,0),FALSE)),VLOOKUP($A56,Haver_M!$B$1:$BZ$300,MATCH(data!BU$1,Haver_M!$B$1:$BZ$1,0),FALSE),"")</f>
        <v>5819</v>
      </c>
      <c r="BV56">
        <f>IF(ISNUMBER(VLOOKUP($A56,Haver_M!$B$1:$BZ$300,MATCH(data!BV$1,Haver_M!$B$1:$BZ$1,0),FALSE)),VLOOKUP($A56,Haver_M!$B$1:$BZ$300,MATCH(data!BV$1,Haver_M!$B$1:$BZ$1,0),FALSE),"")</f>
        <v>7872</v>
      </c>
      <c r="BW56">
        <f>IF(ISNUMBER(VLOOKUP($A56,Haver_M!$B$1:$BZ$300,MATCH(data!BW$1,Haver_M!$B$1:$BZ$1,0),FALSE)),VLOOKUP($A56,Haver_M!$B$1:$BZ$300,MATCH(data!BW$1,Haver_M!$B$1:$BZ$1,0),FALSE),"")</f>
        <v>46.041600000000003</v>
      </c>
      <c r="BX56">
        <f>IF(ISNUMBER(VLOOKUP($A56,Haver_M!$B$1:$BZ$300,MATCH(data!BX$1,Haver_M!$B$1:$BZ$1,0),FALSE)),VLOOKUP($A56,Haver_M!$B$1:$BZ$300,MATCH(data!BX$1,Haver_M!$B$1:$BZ$1,0),FALSE),"")</f>
        <v>27176</v>
      </c>
    </row>
    <row r="57" spans="1:76" x14ac:dyDescent="0.25">
      <c r="A57" s="2">
        <v>38230</v>
      </c>
      <c r="B57" t="str">
        <f>IF(ISNUMBER(VLOOKUP($A57,Haver_Q!$B$1:$L$185,MATCH(data!B$1,Haver_Q!$B$1:$L$1,0),FALSE)),100*(VLOOKUP($A57,Haver_Q!$B$1:$L$185,MATCH(data!B$1,Haver_Q!$B$1:$L$1,0),FALSE)),"")</f>
        <v/>
      </c>
      <c r="C57" t="str">
        <f>IF(ISNUMBER(VLOOKUP($A57,Haver_Q!$B$1:$L$185,MATCH(data!C$1,Haver_Q!$B$1:$L$1,0),FALSE)),100*(VLOOKUP($A57,Haver_Q!$B$1:$L$185,MATCH(data!C$1,Haver_Q!$B$1:$L$1,0),FALSE)),"")</f>
        <v/>
      </c>
      <c r="D57" t="str">
        <f>IF(ISNUMBER(VLOOKUP($A57,Haver_Q!$B$1:$L$185,MATCH(data!D$1,Haver_Q!$B$1:$L$1,0),FALSE)),100*(VLOOKUP($A57,Haver_Q!$B$1:$L$185,MATCH(data!D$1,Haver_Q!$B$1:$L$1,0),FALSE)),"")</f>
        <v/>
      </c>
      <c r="E57" t="str">
        <f>IF(ISNUMBER(VLOOKUP($A57,Haver_Q!$B$1:$L$185,MATCH(data!E$1,Haver_Q!$B$1:$L$1,0),FALSE)),100*(VLOOKUP($A57,Haver_Q!$B$1:$L$185,MATCH(data!E$1,Haver_Q!$B$1:$L$1,0),FALSE)),"")</f>
        <v/>
      </c>
      <c r="F57" t="str">
        <f>IF(ISNUMBER(VLOOKUP($A57,Haver_Q!$B$1:$L$185,MATCH(data!F$1,Haver_Q!$B$1:$L$1,0),FALSE)),100*(VLOOKUP($A57,Haver_Q!$B$1:$L$185,MATCH(data!F$1,Haver_Q!$B$1:$L$1,0),FALSE)),"")</f>
        <v/>
      </c>
      <c r="G57" t="str">
        <f>IF(ISNUMBER(VLOOKUP($A57,Haver_Q!$B$1:$L$185,MATCH(data!G$1,Haver_Q!$B$1:$L$1,0),FALSE)),100*(VLOOKUP($A57,Haver_Q!$B$1:$L$185,MATCH(data!G$1,Haver_Q!$B$1:$L$1,0),FALSE)),"")</f>
        <v/>
      </c>
      <c r="H57" t="str">
        <f>IF(ISNUMBER(VLOOKUP($A57,Haver_Q!$B$1:$L$185,MATCH(data!H$1,Haver_Q!$B$1:$L$1,0),FALSE)),(VLOOKUP($A57,Haver_Q!$B$1:$L$185,MATCH(data!H$1,Haver_Q!$B$1:$L$1,0),FALSE)),"")</f>
        <v/>
      </c>
      <c r="I57" t="str">
        <f>IF(ISNUMBER(VLOOKUP($A57,Haver_Q!$B$1:$L$185,MATCH(data!I$1,Haver_Q!$B$1:$L$1,0),FALSE)),100*(VLOOKUP($A57,Haver_Q!$B$1:$L$185,MATCH(data!I$1,Haver_Q!$B$1:$L$1,0),FALSE)),"")</f>
        <v/>
      </c>
      <c r="J57" s="3">
        <f>IF(ISNUMBER(Bloomberg_m!C73),Bloomberg_m!C73,"")</f>
        <v>4169</v>
      </c>
      <c r="K57" s="3" t="str">
        <f>IF(ISNUMBER(Bloomberg_m!D73),Bloomberg_m!D73,"")</f>
        <v/>
      </c>
      <c r="L57" s="3" t="str">
        <f>IF(ISNUMBER(Bloomberg_m!E73),Bloomberg_m!E73,"")</f>
        <v/>
      </c>
      <c r="M57" s="3" t="str">
        <f>IF(ISNUMBER(Bloomberg_m!F73),Bloomberg_m!F73,"")</f>
        <v/>
      </c>
      <c r="N57">
        <f>IF(ISNUMBER(VLOOKUP($A57,Haver_M!$B$1:$BZ$300,MATCH(data!N$1,Haver_M!$B$1:$BZ$1,0),FALSE)),VLOOKUP($A57,Haver_M!$B$1:$BZ$300,MATCH(data!N$1,Haver_M!$B$1:$BZ$1,0),FALSE),"")</f>
        <v>6</v>
      </c>
      <c r="O57">
        <f>IF(ISNUMBER(VLOOKUP($A57,Haver_M!$B$1:$BZ$300,MATCH(data!O$1,Haver_M!$B$1:$BZ$1,0),FALSE)),VLOOKUP($A57,Haver_M!$B$1:$BZ$300,MATCH(data!O$1,Haver_M!$B$1:$BZ$1,0),FALSE),"")</f>
        <v>6.1544999999999996</v>
      </c>
      <c r="P57">
        <f>IF(ISNUMBER(VLOOKUP($A57,Haver_M!$B$1:$BZ$300,MATCH(data!P$1,Haver_M!$B$1:$BZ$1,0),FALSE)),VLOOKUP($A57,Haver_M!$B$1:$BZ$300,MATCH(data!P$1,Haver_M!$B$1:$BZ$1,0),FALSE),"")</f>
        <v>94.382859999999994</v>
      </c>
      <c r="Q57">
        <f>IF(ISNUMBER(VLOOKUP($A57,Haver_M!$B$1:$BZ$300,MATCH(data!Q$1,Haver_M!$B$1:$BZ$1,0),FALSE)),VLOOKUP($A57,Haver_M!$B$1:$BZ$300,MATCH(data!Q$1,Haver_M!$B$1:$BZ$1,0),FALSE),"")</f>
        <v>55.9</v>
      </c>
      <c r="R57" t="str">
        <f>IF(ISNUMBER(VLOOKUP($A57,Haver_M!$B$1:$BZ$300,MATCH(data!R$1,Haver_M!$B$1:$BZ$1,0),FALSE)),VLOOKUP($A57,Haver_M!$B$1:$BZ$300,MATCH(data!R$1,Haver_M!$B$1:$BZ$1,0),FALSE),"")</f>
        <v/>
      </c>
      <c r="S57">
        <f>IF(ISNUMBER(VLOOKUP($A57,Haver_M!$B$1:$BZ$300,MATCH(data!S$1,Haver_M!$B$1:$BZ$1,0),FALSE)),VLOOKUP($A57,Haver_M!$B$1:$BZ$300,MATCH(data!S$1,Haver_M!$B$1:$BZ$1,0),FALSE),"")</f>
        <v>59.75</v>
      </c>
      <c r="T57">
        <f>IF(ISNUMBER(VLOOKUP($A57,Haver_M!$B$1:$BZ$300,MATCH(data!T$1,Haver_M!$B$1:$BZ$1,0),FALSE)),VLOOKUP($A57,Haver_M!$B$1:$BZ$300,MATCH(data!T$1,Haver_M!$B$1:$BZ$1,0),FALSE),"")</f>
        <v>65.05</v>
      </c>
      <c r="U57">
        <f>IF(ISNUMBER(VLOOKUP($A57,Haver_M!$B$1:$BZ$300,MATCH(data!U$1,Haver_M!$B$1:$BZ$1,0),FALSE)),VLOOKUP($A57,Haver_M!$B$1:$BZ$300,MATCH(data!U$1,Haver_M!$B$1:$BZ$1,0),FALSE),"")</f>
        <v>39.32</v>
      </c>
      <c r="V57">
        <f>IF(ISNUMBER(VLOOKUP($A57,Haver_M!$B$1:$BZ$300,MATCH(data!V$1,Haver_M!$B$1:$BZ$1,0),FALSE)),VLOOKUP($A57,Haver_M!$B$1:$BZ$300,MATCH(data!V$1,Haver_M!$B$1:$BZ$1,0),FALSE),"")</f>
        <v>71.91</v>
      </c>
      <c r="W57" t="str">
        <f>IF(ISNUMBER(VLOOKUP($A57,Haver_M!$B$1:$BZ$300,MATCH(data!W$1,Haver_M!$B$1:$BZ$1,0),FALSE)),VLOOKUP($A57,Haver_M!$B$1:$BZ$300,MATCH(data!W$1,Haver_M!$B$1:$BZ$1,0),FALSE),"")</f>
        <v/>
      </c>
      <c r="X57">
        <f>IF(ISNUMBER(VLOOKUP($A57,Haver_M!$B$1:$BZ$300,MATCH(data!X$1,Haver_M!$B$1:$BZ$1,0),FALSE)),VLOOKUP($A57,Haver_M!$B$1:$BZ$300,MATCH(data!X$1,Haver_M!$B$1:$BZ$1,0),FALSE),"")</f>
        <v>35.92</v>
      </c>
      <c r="Y57">
        <f>IF(ISNUMBER(VLOOKUP($A57,Haver_M!$B$1:$BZ$300,MATCH(data!Y$1,Haver_M!$B$1:$BZ$1,0),FALSE)),VLOOKUP($A57,Haver_M!$B$1:$BZ$300,MATCH(data!Y$1,Haver_M!$B$1:$BZ$1,0),FALSE),"")</f>
        <v>66.760000000000005</v>
      </c>
      <c r="Z57">
        <f>IF(ISNUMBER(VLOOKUP($A57,Haver_M!$B$1:$BZ$300,MATCH(data!Z$1,Haver_M!$B$1:$BZ$1,0),FALSE)),VLOOKUP($A57,Haver_M!$B$1:$BZ$300,MATCH(data!Z$1,Haver_M!$B$1:$BZ$1,0),FALSE),"")</f>
        <v>68.8</v>
      </c>
      <c r="AA57">
        <f>IF(ISNUMBER(VLOOKUP($A57,Haver_M!$B$1:$BZ$300,MATCH(data!AA$1,Haver_M!$B$1:$BZ$1,0),FALSE)),VLOOKUP($A57,Haver_M!$B$1:$BZ$300,MATCH(data!AA$1,Haver_M!$B$1:$BZ$1,0),FALSE),"")</f>
        <v>70.158000000000001</v>
      </c>
      <c r="AB57">
        <f>IF(ISNUMBER(VLOOKUP($A57,Haver_M!$B$1:$BZ$300,MATCH(data!AB$1,Haver_M!$B$1:$BZ$1,0),FALSE)),VLOOKUP($A57,Haver_M!$B$1:$BZ$300,MATCH(data!AB$1,Haver_M!$B$1:$BZ$1,0),FALSE),"")</f>
        <v>90.453000000000003</v>
      </c>
      <c r="AC57">
        <f>IF(ISNUMBER(VLOOKUP($A57,Haver_M!$B$1:$BZ$300,MATCH(data!AC$1,Haver_M!$B$1:$BZ$1,0),FALSE)),VLOOKUP($A57,Haver_M!$B$1:$BZ$300,MATCH(data!AC$1,Haver_M!$B$1:$BZ$1,0),FALSE),"")</f>
        <v>68.412000000000006</v>
      </c>
      <c r="AD57">
        <f>IF(ISNUMBER(VLOOKUP($A57,Haver_M!$B$1:$BZ$300,MATCH(data!AD$1,Haver_M!$B$1:$BZ$1,0),FALSE)),VLOOKUP($A57,Haver_M!$B$1:$BZ$300,MATCH(data!AD$1,Haver_M!$B$1:$BZ$1,0),FALSE),"")</f>
        <v>74.709000000000003</v>
      </c>
      <c r="AE57">
        <f>IF(ISNUMBER(VLOOKUP($A57,Haver_M!$B$1:$BZ$300,MATCH(data!AE$1,Haver_M!$B$1:$BZ$1,0),FALSE)),VLOOKUP($A57,Haver_M!$B$1:$BZ$300,MATCH(data!AE$1,Haver_M!$B$1:$BZ$1,0),FALSE),"")</f>
        <v>92.94</v>
      </c>
      <c r="AF57">
        <f>IF(ISNUMBER(VLOOKUP($A57,Haver_M!$B$1:$BZ$300,MATCH(data!AF$1,Haver_M!$B$1:$BZ$1,0),FALSE)),VLOOKUP($A57,Haver_M!$B$1:$BZ$300,MATCH(data!AF$1,Haver_M!$B$1:$BZ$1,0),FALSE),"")</f>
        <v>57.048000000000002</v>
      </c>
      <c r="AG57">
        <f>IF(ISNUMBER(VLOOKUP($A57,Haver_M!$B$1:$BZ$300,MATCH(data!AG$1,Haver_M!$B$1:$BZ$1,0),FALSE)),VLOOKUP($A57,Haver_M!$B$1:$BZ$300,MATCH(data!AG$1,Haver_M!$B$1:$BZ$1,0),FALSE),"")</f>
        <v>53.709000000000003</v>
      </c>
      <c r="AH57">
        <f>IF(ISNUMBER(VLOOKUP($A57,Haver_M!$B$1:$BZ$300,MATCH(data!AH$1,Haver_M!$B$1:$BZ$1,0),FALSE)),VLOOKUP($A57,Haver_M!$B$1:$BZ$300,MATCH(data!AH$1,Haver_M!$B$1:$BZ$1,0),FALSE),"")</f>
        <v>66.331999999999994</v>
      </c>
      <c r="AI57">
        <f>IF(ISNUMBER(VLOOKUP($A57,Haver_M!$B$1:$BZ$300,MATCH(data!AI$1,Haver_M!$B$1:$BZ$1,0),FALSE)),VLOOKUP($A57,Haver_M!$B$1:$BZ$300,MATCH(data!AI$1,Haver_M!$B$1:$BZ$1,0),FALSE),"")</f>
        <v>8662.1201658121099</v>
      </c>
      <c r="AJ57">
        <f>IF(ISNUMBER(VLOOKUP($A57,Haver_M!$B$1:$BZ$300,MATCH(data!AJ$1,Haver_M!$B$1:$BZ$1,0),FALSE)),VLOOKUP($A57,Haver_M!$B$1:$BZ$300,MATCH(data!AJ$1,Haver_M!$B$1:$BZ$1,0),FALSE),"")</f>
        <v>6096.42</v>
      </c>
      <c r="AK57">
        <f>IF(ISNUMBER(VLOOKUP($A57,Haver_M!$B$1:$BZ$300,MATCH(data!AK$1,Haver_M!$B$1:$BZ$1,0),FALSE)),VLOOKUP($A57,Haver_M!$B$1:$BZ$300,MATCH(data!AK$1,Haver_M!$B$1:$BZ$1,0),FALSE),"")</f>
        <v>8159.77</v>
      </c>
      <c r="AL57" t="str">
        <f>IF(ISNUMBER(VLOOKUP($A57,Haver_M!$B$1:$BZ$300,MATCH(data!AL$1,Haver_M!$B$1:$BZ$1,0),FALSE)),VLOOKUP($A57,Haver_M!$B$1:$BZ$300,MATCH(data!AL$1,Haver_M!$B$1:$BZ$1,0),FALSE),"")</f>
        <v/>
      </c>
      <c r="AM57" t="str">
        <f>IF(ISNUMBER(VLOOKUP($A57,Haver_M!$B$1:$BZ$300,MATCH(data!AM$1,Haver_M!$B$1:$BZ$1,0),FALSE)),VLOOKUP($A57,Haver_M!$B$1:$BZ$300,MATCH(data!AM$1,Haver_M!$B$1:$BZ$1,0),FALSE),"")</f>
        <v/>
      </c>
      <c r="AN57" t="str">
        <f>IF(ISNUMBER(VLOOKUP($A57,Haver_M!$B$1:$BZ$300,MATCH(data!AN$1,Haver_M!$B$1:$BZ$1,0),FALSE)),VLOOKUP($A57,Haver_M!$B$1:$BZ$300,MATCH(data!AN$1,Haver_M!$B$1:$BZ$1,0),FALSE),"")</f>
        <v/>
      </c>
      <c r="AO57" t="str">
        <f>IF(ISNUMBER(VLOOKUP($A57,Haver_M!$B$1:$BZ$300,MATCH(data!AO$1,Haver_M!$B$1:$BZ$1,0),FALSE)),VLOOKUP($A57,Haver_M!$B$1:$BZ$300,MATCH(data!AO$1,Haver_M!$B$1:$BZ$1,0),FALSE),"")</f>
        <v/>
      </c>
      <c r="AP57">
        <f>IF(ISNUMBER(VLOOKUP($A57,Haver_M!$B$1:$BZ$300,MATCH(data!AP$1,Haver_M!$B$1:$BZ$1,0),FALSE)),VLOOKUP($A57,Haver_M!$B$1:$BZ$300,MATCH(data!AP$1,Haver_M!$B$1:$BZ$1,0),FALSE),"")</f>
        <v>83.162497865119391</v>
      </c>
      <c r="AQ57" t="str">
        <f>IF(ISNUMBER(VLOOKUP($A57,Haver_M!$B$1:$BZ$300,MATCH(data!AQ$1,Haver_M!$B$1:$BZ$1,0),FALSE)),VLOOKUP($A57,Haver_M!$B$1:$BZ$300,MATCH(data!AQ$1,Haver_M!$B$1:$BZ$1,0),FALSE),"")</f>
        <v/>
      </c>
      <c r="AR57" t="str">
        <f>IF(ISNUMBER(VLOOKUP($A57,Haver_M!$B$1:$BZ$300,MATCH(data!AR$1,Haver_M!$B$1:$BZ$1,0),FALSE)),VLOOKUP($A57,Haver_M!$B$1:$BZ$300,MATCH(data!AR$1,Haver_M!$B$1:$BZ$1,0),FALSE),"")</f>
        <v/>
      </c>
      <c r="AS57" t="str">
        <f>IF(ISNUMBER(VLOOKUP($A57,Haver_M!$B$1:$BZ$300,MATCH(data!AS$1,Haver_M!$B$1:$BZ$1,0),FALSE)),VLOOKUP($A57,Haver_M!$B$1:$BZ$300,MATCH(data!AS$1,Haver_M!$B$1:$BZ$1,0),FALSE),"")</f>
        <v/>
      </c>
      <c r="AT57" t="str">
        <f>IF(ISNUMBER(VLOOKUP($A57,Haver_M!$B$1:$BZ$300,MATCH(data!AT$1,Haver_M!$B$1:$BZ$1,0),FALSE)),VLOOKUP($A57,Haver_M!$B$1:$BZ$300,MATCH(data!AT$1,Haver_M!$B$1:$BZ$1,0),FALSE),"")</f>
        <v/>
      </c>
      <c r="AU57" t="str">
        <f>IF(ISNUMBER(VLOOKUP($A57,Haver_M!$B$1:$BZ$300,MATCH(data!AU$1,Haver_M!$B$1:$BZ$1,0),FALSE)),VLOOKUP($A57,Haver_M!$B$1:$BZ$300,MATCH(data!AU$1,Haver_M!$B$1:$BZ$1,0),FALSE),"")</f>
        <v/>
      </c>
      <c r="AV57" t="str">
        <f>IF(ISNUMBER(VLOOKUP($A57,Haver_M!$B$1:$BZ$300,MATCH(data!AV$1,Haver_M!$B$1:$BZ$1,0),FALSE)),VLOOKUP($A57,Haver_M!$B$1:$BZ$300,MATCH(data!AV$1,Haver_M!$B$1:$BZ$1,0),FALSE),"")</f>
        <v/>
      </c>
      <c r="AW57" t="str">
        <f>IF(ISNUMBER(VLOOKUP($A57,Haver_M!$B$1:$BZ$300,MATCH(data!AW$1,Haver_M!$B$1:$BZ$1,0),FALSE)),VLOOKUP($A57,Haver_M!$B$1:$BZ$300,MATCH(data!AW$1,Haver_M!$B$1:$BZ$1,0),FALSE),"")</f>
        <v/>
      </c>
      <c r="AX57" t="str">
        <f>IF(ISNUMBER(VLOOKUP($A57,Haver_M!$B$1:$BZ$300,MATCH(data!AX$1,Haver_M!$B$1:$BZ$1,0),FALSE)),VLOOKUP($A57,Haver_M!$B$1:$BZ$300,MATCH(data!AX$1,Haver_M!$B$1:$BZ$1,0),FALSE),"")</f>
        <v/>
      </c>
      <c r="AY57" t="str">
        <f>IF(ISNUMBER(VLOOKUP($A57,Haver_M!$B$1:$BZ$300,MATCH(data!AY$1,Haver_M!$B$1:$BZ$1,0),FALSE)),VLOOKUP($A57,Haver_M!$B$1:$BZ$300,MATCH(data!AY$1,Haver_M!$B$1:$BZ$1,0),FALSE),"")</f>
        <v/>
      </c>
      <c r="AZ57" t="str">
        <f>IF(ISNUMBER(VLOOKUP($A57,Haver_M!$B$1:$BZ$300,MATCH(data!AZ$1,Haver_M!$B$1:$BZ$1,0),FALSE)),VLOOKUP($A57,Haver_M!$B$1:$BZ$300,MATCH(data!AZ$1,Haver_M!$B$1:$BZ$1,0),FALSE),"")</f>
        <v/>
      </c>
      <c r="BA57" t="str">
        <f>IF(ISNUMBER(VLOOKUP($A57,Haver_M!$B$1:$BZ$300,MATCH(data!BA$1,Haver_M!$B$1:$BZ$1,0),FALSE)),VLOOKUP($A57,Haver_M!$B$1:$BZ$300,MATCH(data!BA$1,Haver_M!$B$1:$BZ$1,0),FALSE),"")</f>
        <v/>
      </c>
      <c r="BB57" t="str">
        <f>IF(ISNUMBER(VLOOKUP($A57,Haver_M!$B$1:$BZ$300,MATCH(data!BB$1,Haver_M!$B$1:$BZ$1,0),FALSE)),VLOOKUP($A57,Haver_M!$B$1:$BZ$300,MATCH(data!BB$1,Haver_M!$B$1:$BZ$1,0),FALSE),"")</f>
        <v/>
      </c>
      <c r="BC57" t="str">
        <f>IF(ISNUMBER(VLOOKUP($A57,Haver_M!$B$1:$BZ$300,MATCH(data!BC$1,Haver_M!$B$1:$BZ$1,0),FALSE)),VLOOKUP($A57,Haver_M!$B$1:$BZ$300,MATCH(data!BC$1,Haver_M!$B$1:$BZ$1,0),FALSE),"")</f>
        <v/>
      </c>
      <c r="BD57" t="str">
        <f>IF(ISNUMBER(VLOOKUP($A57,Haver_M!$B$1:$BZ$300,MATCH(data!BD$1,Haver_M!$B$1:$BZ$1,0),FALSE)),VLOOKUP($A57,Haver_M!$B$1:$BZ$300,MATCH(data!BD$1,Haver_M!$B$1:$BZ$1,0),FALSE),"")</f>
        <v/>
      </c>
      <c r="BE57" t="str">
        <f>IF(ISNUMBER(VLOOKUP($A57,Haver_M!$B$1:$BZ$300,MATCH(data!BE$1,Haver_M!$B$1:$BZ$1,0),FALSE)),VLOOKUP($A57,Haver_M!$B$1:$BZ$300,MATCH(data!BE$1,Haver_M!$B$1:$BZ$1,0),FALSE),"")</f>
        <v/>
      </c>
      <c r="BF57" t="str">
        <f>IF(ISNUMBER(VLOOKUP($A57,Haver_M!$B$1:$BZ$300,MATCH(data!BF$1,Haver_M!$B$1:$BZ$1,0),FALSE)),VLOOKUP($A57,Haver_M!$B$1:$BZ$300,MATCH(data!BF$1,Haver_M!$B$1:$BZ$1,0),FALSE),"")</f>
        <v/>
      </c>
      <c r="BG57" t="str">
        <f>IF(ISNUMBER(VLOOKUP($A57,Haver_M!$B$1:$BZ$300,MATCH(data!BG$1,Haver_M!$B$1:$BZ$1,0),FALSE)),VLOOKUP($A57,Haver_M!$B$1:$BZ$300,MATCH(data!BG$1,Haver_M!$B$1:$BZ$1,0),FALSE),"")</f>
        <v/>
      </c>
      <c r="BH57" t="str">
        <f>IF(ISNUMBER(VLOOKUP($A57,Haver_M!$B$1:$BZ$300,MATCH(data!BH$1,Haver_M!$B$1:$BZ$1,0),FALSE)),VLOOKUP($A57,Haver_M!$B$1:$BZ$300,MATCH(data!BH$1,Haver_M!$B$1:$BZ$1,0),FALSE),"")</f>
        <v/>
      </c>
      <c r="BI57" t="str">
        <f>IF(ISNUMBER(VLOOKUP($A57,Haver_M!$B$1:$BZ$300,MATCH(data!BI$1,Haver_M!$B$1:$BZ$1,0),FALSE)),VLOOKUP($A57,Haver_M!$B$1:$BZ$300,MATCH(data!BI$1,Haver_M!$B$1:$BZ$1,0),FALSE),"")</f>
        <v/>
      </c>
      <c r="BJ57" t="str">
        <f>IF(ISNUMBER(VLOOKUP($A57,Haver_M!$B$1:$BZ$300,MATCH(data!BJ$1,Haver_M!$B$1:$BZ$1,0),FALSE)),VLOOKUP($A57,Haver_M!$B$1:$BZ$300,MATCH(data!BJ$1,Haver_M!$B$1:$BZ$1,0),FALSE),"")</f>
        <v/>
      </c>
      <c r="BK57" t="str">
        <f>IF(ISNUMBER(VLOOKUP($A57,Haver_M!$B$1:$BZ$300,MATCH(data!BK$1,Haver_M!$B$1:$BZ$1,0),FALSE)),VLOOKUP($A57,Haver_M!$B$1:$BZ$300,MATCH(data!BK$1,Haver_M!$B$1:$BZ$1,0),FALSE),"")</f>
        <v/>
      </c>
      <c r="BL57">
        <f>IF(ISNUMBER(VLOOKUP($A57,Haver_M!$B$1:$BZ$300,MATCH(data!BL$1,Haver_M!$B$1:$BZ$1,0),FALSE)),VLOOKUP($A57,Haver_M!$B$1:$BZ$300,MATCH(data!BL$1,Haver_M!$B$1:$BZ$1,0),FALSE),"")</f>
        <v>5144.17</v>
      </c>
      <c r="BM57">
        <f>IF(ISNUMBER(VLOOKUP($A57,Haver_M!$B$1:$BZ$300,MATCH(data!BM$1,Haver_M!$B$1:$BZ$1,0),FALSE)),VLOOKUP($A57,Haver_M!$B$1:$BZ$300,MATCH(data!BM$1,Haver_M!$B$1:$BZ$1,0),FALSE),"")</f>
        <v>94.352551969999993</v>
      </c>
      <c r="BN57" t="str">
        <f>IF(ISNUMBER(VLOOKUP($A57,Haver_M!$B$1:$BZ$300,MATCH(data!BN$1,Haver_M!$B$1:$BZ$1,0),FALSE)),VLOOKUP($A57,Haver_M!$B$1:$BZ$300,MATCH(data!BN$1,Haver_M!$B$1:$BZ$1,0),FALSE),"")</f>
        <v/>
      </c>
      <c r="BO57" t="str">
        <f>IF(ISNUMBER(VLOOKUP($A57,Haver_M!$B$1:$BZ$300,MATCH(data!BO$1,Haver_M!$B$1:$BZ$1,0),FALSE)),VLOOKUP($A57,Haver_M!$B$1:$BZ$300,MATCH(data!BO$1,Haver_M!$B$1:$BZ$1,0),FALSE),"")</f>
        <v/>
      </c>
      <c r="BP57" t="str">
        <f>IF(ISNUMBER(VLOOKUP($A57,Haver_M!$B$1:$BZ$300,MATCH(data!BP$1,Haver_M!$B$1:$BZ$1,0),FALSE)),VLOOKUP($A57,Haver_M!$B$1:$BZ$300,MATCH(data!BP$1,Haver_M!$B$1:$BZ$1,0),FALSE),"")</f>
        <v/>
      </c>
      <c r="BQ57" t="str">
        <f>IF(ISNUMBER(VLOOKUP($A57,Haver_M!$B$1:$BZ$300,MATCH(data!BQ$1,Haver_M!$B$1:$BZ$1,0),FALSE)),VLOOKUP($A57,Haver_M!$B$1:$BZ$300,MATCH(data!BQ$1,Haver_M!$B$1:$BZ$1,0),FALSE),"")</f>
        <v/>
      </c>
      <c r="BR57" t="str">
        <f>IF(ISNUMBER(VLOOKUP($A57,Haver_M!$B$1:$BZ$300,MATCH(data!BR$1,Haver_M!$B$1:$BZ$1,0),FALSE)),VLOOKUP($A57,Haver_M!$B$1:$BZ$300,MATCH(data!BR$1,Haver_M!$B$1:$BZ$1,0),FALSE),"")</f>
        <v/>
      </c>
      <c r="BS57" t="str">
        <f>IF(ISNUMBER(VLOOKUP($A57,Haver_M!$B$1:$BZ$300,MATCH(data!BS$1,Haver_M!$B$1:$BZ$1,0),FALSE)),VLOOKUP($A57,Haver_M!$B$1:$BZ$300,MATCH(data!BS$1,Haver_M!$B$1:$BZ$1,0),FALSE),"")</f>
        <v/>
      </c>
      <c r="BT57" t="str">
        <f>IF(ISNUMBER(VLOOKUP($A57,Haver_M!$B$1:$BZ$300,MATCH(data!BT$1,Haver_M!$B$1:$BZ$1,0),FALSE)),VLOOKUP($A57,Haver_M!$B$1:$BZ$300,MATCH(data!BT$1,Haver_M!$B$1:$BZ$1,0),FALSE),"")</f>
        <v/>
      </c>
      <c r="BU57">
        <f>IF(ISNUMBER(VLOOKUP($A57,Haver_M!$B$1:$BZ$300,MATCH(data!BU$1,Haver_M!$B$1:$BZ$1,0),FALSE)),VLOOKUP($A57,Haver_M!$B$1:$BZ$300,MATCH(data!BU$1,Haver_M!$B$1:$BZ$1,0),FALSE),"")</f>
        <v>5983</v>
      </c>
      <c r="BV57">
        <f>IF(ISNUMBER(VLOOKUP($A57,Haver_M!$B$1:$BZ$300,MATCH(data!BV$1,Haver_M!$B$1:$BZ$1,0),FALSE)),VLOOKUP($A57,Haver_M!$B$1:$BZ$300,MATCH(data!BV$1,Haver_M!$B$1:$BZ$1,0),FALSE),"")</f>
        <v>8132</v>
      </c>
      <c r="BW57">
        <f>IF(ISNUMBER(VLOOKUP($A57,Haver_M!$B$1:$BZ$300,MATCH(data!BW$1,Haver_M!$B$1:$BZ$1,0),FALSE)),VLOOKUP($A57,Haver_M!$B$1:$BZ$300,MATCH(data!BW$1,Haver_M!$B$1:$BZ$1,0),FALSE),"")</f>
        <v>46.341000000000001</v>
      </c>
      <c r="BX57">
        <f>IF(ISNUMBER(VLOOKUP($A57,Haver_M!$B$1:$BZ$300,MATCH(data!BX$1,Haver_M!$B$1:$BZ$1,0),FALSE)),VLOOKUP($A57,Haver_M!$B$1:$BZ$300,MATCH(data!BX$1,Haver_M!$B$1:$BZ$1,0),FALSE),"")</f>
        <v>23283</v>
      </c>
    </row>
    <row r="58" spans="1:76" x14ac:dyDescent="0.25">
      <c r="A58" s="2">
        <v>38260</v>
      </c>
      <c r="B58">
        <f>IF(ISNUMBER(VLOOKUP($A58,Haver_Q!$B$1:$L$185,MATCH(data!B$1,Haver_Q!$B$1:$L$1,0),FALSE)),100*(VLOOKUP($A58,Haver_Q!$B$1:$L$185,MATCH(data!B$1,Haver_Q!$B$1:$L$1,0),FALSE)),"")</f>
        <v>10.029358910052499</v>
      </c>
      <c r="C58">
        <f>IF(ISNUMBER(VLOOKUP($A58,Haver_Q!$B$1:$L$185,MATCH(data!C$1,Haver_Q!$B$1:$L$1,0),FALSE)),100*(VLOOKUP($A58,Haver_Q!$B$1:$L$185,MATCH(data!C$1,Haver_Q!$B$1:$L$1,0),FALSE)),"")</f>
        <v>12.049136677578097</v>
      </c>
      <c r="D58">
        <f>IF(ISNUMBER(VLOOKUP($A58,Haver_Q!$B$1:$L$185,MATCH(data!D$1,Haver_Q!$B$1:$L$1,0),FALSE)),100*(VLOOKUP($A58,Haver_Q!$B$1:$L$185,MATCH(data!D$1,Haver_Q!$B$1:$L$1,0),FALSE)),"")</f>
        <v>-16.391184268101668</v>
      </c>
      <c r="E58">
        <f>IF(ISNUMBER(VLOOKUP($A58,Haver_Q!$B$1:$L$185,MATCH(data!E$1,Haver_Q!$B$1:$L$1,0),FALSE)),100*(VLOOKUP($A58,Haver_Q!$B$1:$L$185,MATCH(data!E$1,Haver_Q!$B$1:$L$1,0),FALSE)),"")</f>
        <v>18.655720817915977</v>
      </c>
      <c r="F58">
        <f>IF(ISNUMBER(VLOOKUP($A58,Haver_Q!$B$1:$L$185,MATCH(data!F$1,Haver_Q!$B$1:$L$1,0),FALSE)),100*(VLOOKUP($A58,Haver_Q!$B$1:$L$185,MATCH(data!F$1,Haver_Q!$B$1:$L$1,0),FALSE)),"")</f>
        <v>79.629427225922015</v>
      </c>
      <c r="G58">
        <f>IF(ISNUMBER(VLOOKUP($A58,Haver_Q!$B$1:$L$185,MATCH(data!G$1,Haver_Q!$B$1:$L$1,0),FALSE)),100*(VLOOKUP($A58,Haver_Q!$B$1:$L$185,MATCH(data!G$1,Haver_Q!$B$1:$L$1,0),FALSE)),"")</f>
        <v>126.43087073417747</v>
      </c>
      <c r="H58">
        <f>IF(ISNUMBER(VLOOKUP($A58,Haver_Q!$B$1:$L$185,MATCH(data!H$1,Haver_Q!$B$1:$L$1,0),FALSE)),(VLOOKUP($A58,Haver_Q!$B$1:$L$185,MATCH(data!H$1,Haver_Q!$B$1:$L$1,0),FALSE)),"")</f>
        <v>4.3521383320630518</v>
      </c>
      <c r="I58">
        <f>IF(ISNUMBER(VLOOKUP($A58,Haver_Q!$B$1:$L$185,MATCH(data!I$1,Haver_Q!$B$1:$L$1,0),FALSE)),100*(VLOOKUP($A58,Haver_Q!$B$1:$L$185,MATCH(data!I$1,Haver_Q!$B$1:$L$1,0),FALSE)),"")</f>
        <v>9.4637766017550806</v>
      </c>
      <c r="J58" s="3">
        <f>IF(ISNUMBER(Bloomberg_m!C74),Bloomberg_m!C74,"")</f>
        <v>4141</v>
      </c>
      <c r="K58" s="3" t="str">
        <f>IF(ISNUMBER(Bloomberg_m!D74),Bloomberg_m!D74,"")</f>
        <v/>
      </c>
      <c r="L58" s="3" t="str">
        <f>IF(ISNUMBER(Bloomberg_m!E74),Bloomberg_m!E74,"")</f>
        <v/>
      </c>
      <c r="M58" s="3" t="str">
        <f>IF(ISNUMBER(Bloomberg_m!F74),Bloomberg_m!F74,"")</f>
        <v/>
      </c>
      <c r="N58">
        <f>IF(ISNUMBER(VLOOKUP($A58,Haver_M!$B$1:$BZ$300,MATCH(data!N$1,Haver_M!$B$1:$BZ$1,0),FALSE)),VLOOKUP($A58,Haver_M!$B$1:$BZ$300,MATCH(data!N$1,Haver_M!$B$1:$BZ$1,0),FALSE),"")</f>
        <v>6</v>
      </c>
      <c r="O58">
        <f>IF(ISNUMBER(VLOOKUP($A58,Haver_M!$B$1:$BZ$300,MATCH(data!O$1,Haver_M!$B$1:$BZ$1,0),FALSE)),VLOOKUP($A58,Haver_M!$B$1:$BZ$300,MATCH(data!O$1,Haver_M!$B$1:$BZ$1,0),FALSE),"")</f>
        <v>6.2446000000000002</v>
      </c>
      <c r="P58">
        <f>IF(ISNUMBER(VLOOKUP($A58,Haver_M!$B$1:$BZ$300,MATCH(data!P$1,Haver_M!$B$1:$BZ$1,0),FALSE)),VLOOKUP($A58,Haver_M!$B$1:$BZ$300,MATCH(data!P$1,Haver_M!$B$1:$BZ$1,0),FALSE),"")</f>
        <v>94.239869999999996</v>
      </c>
      <c r="Q58">
        <f>IF(ISNUMBER(VLOOKUP($A58,Haver_M!$B$1:$BZ$300,MATCH(data!Q$1,Haver_M!$B$1:$BZ$1,0),FALSE)),VLOOKUP($A58,Haver_M!$B$1:$BZ$300,MATCH(data!Q$1,Haver_M!$B$1:$BZ$1,0),FALSE),"")</f>
        <v>56</v>
      </c>
      <c r="R58" t="str">
        <f>IF(ISNUMBER(VLOOKUP($A58,Haver_M!$B$1:$BZ$300,MATCH(data!R$1,Haver_M!$B$1:$BZ$1,0),FALSE)),VLOOKUP($A58,Haver_M!$B$1:$BZ$300,MATCH(data!R$1,Haver_M!$B$1:$BZ$1,0),FALSE),"")</f>
        <v/>
      </c>
      <c r="S58">
        <f>IF(ISNUMBER(VLOOKUP($A58,Haver_M!$B$1:$BZ$300,MATCH(data!S$1,Haver_M!$B$1:$BZ$1,0),FALSE)),VLOOKUP($A58,Haver_M!$B$1:$BZ$300,MATCH(data!S$1,Haver_M!$B$1:$BZ$1,0),FALSE),"")</f>
        <v>60.87</v>
      </c>
      <c r="T58">
        <f>IF(ISNUMBER(VLOOKUP($A58,Haver_M!$B$1:$BZ$300,MATCH(data!T$1,Haver_M!$B$1:$BZ$1,0),FALSE)),VLOOKUP($A58,Haver_M!$B$1:$BZ$300,MATCH(data!T$1,Haver_M!$B$1:$BZ$1,0),FALSE),"")</f>
        <v>68.3</v>
      </c>
      <c r="U58">
        <f>IF(ISNUMBER(VLOOKUP($A58,Haver_M!$B$1:$BZ$300,MATCH(data!U$1,Haver_M!$B$1:$BZ$1,0),FALSE)),VLOOKUP($A58,Haver_M!$B$1:$BZ$300,MATCH(data!U$1,Haver_M!$B$1:$BZ$1,0),FALSE),"")</f>
        <v>40.33</v>
      </c>
      <c r="V58">
        <f>IF(ISNUMBER(VLOOKUP($A58,Haver_M!$B$1:$BZ$300,MATCH(data!V$1,Haver_M!$B$1:$BZ$1,0),FALSE)),VLOOKUP($A58,Haver_M!$B$1:$BZ$300,MATCH(data!V$1,Haver_M!$B$1:$BZ$1,0),FALSE),"")</f>
        <v>71.59</v>
      </c>
      <c r="W58" t="str">
        <f>IF(ISNUMBER(VLOOKUP($A58,Haver_M!$B$1:$BZ$300,MATCH(data!W$1,Haver_M!$B$1:$BZ$1,0),FALSE)),VLOOKUP($A58,Haver_M!$B$1:$BZ$300,MATCH(data!W$1,Haver_M!$B$1:$BZ$1,0),FALSE),"")</f>
        <v/>
      </c>
      <c r="X58">
        <f>IF(ISNUMBER(VLOOKUP($A58,Haver_M!$B$1:$BZ$300,MATCH(data!X$1,Haver_M!$B$1:$BZ$1,0),FALSE)),VLOOKUP($A58,Haver_M!$B$1:$BZ$300,MATCH(data!X$1,Haver_M!$B$1:$BZ$1,0),FALSE),"")</f>
        <v>37.090000000000003</v>
      </c>
      <c r="Y58">
        <f>IF(ISNUMBER(VLOOKUP($A58,Haver_M!$B$1:$BZ$300,MATCH(data!Y$1,Haver_M!$B$1:$BZ$1,0),FALSE)),VLOOKUP($A58,Haver_M!$B$1:$BZ$300,MATCH(data!Y$1,Haver_M!$B$1:$BZ$1,0),FALSE),"")</f>
        <v>67.42</v>
      </c>
      <c r="Z58">
        <f>IF(ISNUMBER(VLOOKUP($A58,Haver_M!$B$1:$BZ$300,MATCH(data!Z$1,Haver_M!$B$1:$BZ$1,0),FALSE)),VLOOKUP($A58,Haver_M!$B$1:$BZ$300,MATCH(data!Z$1,Haver_M!$B$1:$BZ$1,0),FALSE),"")</f>
        <v>70.400000000000006</v>
      </c>
      <c r="AA58">
        <f>IF(ISNUMBER(VLOOKUP($A58,Haver_M!$B$1:$BZ$300,MATCH(data!AA$1,Haver_M!$B$1:$BZ$1,0),FALSE)),VLOOKUP($A58,Haver_M!$B$1:$BZ$300,MATCH(data!AA$1,Haver_M!$B$1:$BZ$1,0),FALSE),"")</f>
        <v>76.033000000000001</v>
      </c>
      <c r="AB58">
        <f>IF(ISNUMBER(VLOOKUP($A58,Haver_M!$B$1:$BZ$300,MATCH(data!AB$1,Haver_M!$B$1:$BZ$1,0),FALSE)),VLOOKUP($A58,Haver_M!$B$1:$BZ$300,MATCH(data!AB$1,Haver_M!$B$1:$BZ$1,0),FALSE),"")</f>
        <v>90.332999999999998</v>
      </c>
      <c r="AC58">
        <f>IF(ISNUMBER(VLOOKUP($A58,Haver_M!$B$1:$BZ$300,MATCH(data!AC$1,Haver_M!$B$1:$BZ$1,0),FALSE)),VLOOKUP($A58,Haver_M!$B$1:$BZ$300,MATCH(data!AC$1,Haver_M!$B$1:$BZ$1,0),FALSE),"")</f>
        <v>68.513000000000005</v>
      </c>
      <c r="AD58">
        <f>IF(ISNUMBER(VLOOKUP($A58,Haver_M!$B$1:$BZ$300,MATCH(data!AD$1,Haver_M!$B$1:$BZ$1,0),FALSE)),VLOOKUP($A58,Haver_M!$B$1:$BZ$300,MATCH(data!AD$1,Haver_M!$B$1:$BZ$1,0),FALSE),"")</f>
        <v>73.707999999999998</v>
      </c>
      <c r="AE58">
        <f>IF(ISNUMBER(VLOOKUP($A58,Haver_M!$B$1:$BZ$300,MATCH(data!AE$1,Haver_M!$B$1:$BZ$1,0),FALSE)),VLOOKUP($A58,Haver_M!$B$1:$BZ$300,MATCH(data!AE$1,Haver_M!$B$1:$BZ$1,0),FALSE),"")</f>
        <v>90.665999999999997</v>
      </c>
      <c r="AF58">
        <f>IF(ISNUMBER(VLOOKUP($A58,Haver_M!$B$1:$BZ$300,MATCH(data!AF$1,Haver_M!$B$1:$BZ$1,0),FALSE)),VLOOKUP($A58,Haver_M!$B$1:$BZ$300,MATCH(data!AF$1,Haver_M!$B$1:$BZ$1,0),FALSE),"")</f>
        <v>58.643999999999998</v>
      </c>
      <c r="AG58">
        <f>IF(ISNUMBER(VLOOKUP($A58,Haver_M!$B$1:$BZ$300,MATCH(data!AG$1,Haver_M!$B$1:$BZ$1,0),FALSE)),VLOOKUP($A58,Haver_M!$B$1:$BZ$300,MATCH(data!AG$1,Haver_M!$B$1:$BZ$1,0),FALSE),"")</f>
        <v>58.561</v>
      </c>
      <c r="AH58">
        <f>IF(ISNUMBER(VLOOKUP($A58,Haver_M!$B$1:$BZ$300,MATCH(data!AH$1,Haver_M!$B$1:$BZ$1,0),FALSE)),VLOOKUP($A58,Haver_M!$B$1:$BZ$300,MATCH(data!AH$1,Haver_M!$B$1:$BZ$1,0),FALSE),"")</f>
        <v>68.277000000000001</v>
      </c>
      <c r="AI58">
        <f>IF(ISNUMBER(VLOOKUP($A58,Haver_M!$B$1:$BZ$300,MATCH(data!AI$1,Haver_M!$B$1:$BZ$1,0),FALSE)),VLOOKUP($A58,Haver_M!$B$1:$BZ$300,MATCH(data!AI$1,Haver_M!$B$1:$BZ$1,0),FALSE),"")</f>
        <v>9390.9436295372416</v>
      </c>
      <c r="AJ58">
        <f>IF(ISNUMBER(VLOOKUP($A58,Haver_M!$B$1:$BZ$300,MATCH(data!AJ$1,Haver_M!$B$1:$BZ$1,0),FALSE)),VLOOKUP($A58,Haver_M!$B$1:$BZ$300,MATCH(data!AJ$1,Haver_M!$B$1:$BZ$1,0),FALSE),"")</f>
        <v>6786.75</v>
      </c>
      <c r="AK58">
        <f>IF(ISNUMBER(VLOOKUP($A58,Haver_M!$B$1:$BZ$300,MATCH(data!AK$1,Haver_M!$B$1:$BZ$1,0),FALSE)),VLOOKUP($A58,Haver_M!$B$1:$BZ$300,MATCH(data!AK$1,Haver_M!$B$1:$BZ$1,0),FALSE),"")</f>
        <v>9003.2199999999993</v>
      </c>
      <c r="AL58" t="str">
        <f>IF(ISNUMBER(VLOOKUP($A58,Haver_M!$B$1:$BZ$300,MATCH(data!AL$1,Haver_M!$B$1:$BZ$1,0),FALSE)),VLOOKUP($A58,Haver_M!$B$1:$BZ$300,MATCH(data!AL$1,Haver_M!$B$1:$BZ$1,0),FALSE),"")</f>
        <v/>
      </c>
      <c r="AM58" t="str">
        <f>IF(ISNUMBER(VLOOKUP($A58,Haver_M!$B$1:$BZ$300,MATCH(data!AM$1,Haver_M!$B$1:$BZ$1,0),FALSE)),VLOOKUP($A58,Haver_M!$B$1:$BZ$300,MATCH(data!AM$1,Haver_M!$B$1:$BZ$1,0),FALSE),"")</f>
        <v/>
      </c>
      <c r="AN58" t="str">
        <f>IF(ISNUMBER(VLOOKUP($A58,Haver_M!$B$1:$BZ$300,MATCH(data!AN$1,Haver_M!$B$1:$BZ$1,0),FALSE)),VLOOKUP($A58,Haver_M!$B$1:$BZ$300,MATCH(data!AN$1,Haver_M!$B$1:$BZ$1,0),FALSE),"")</f>
        <v/>
      </c>
      <c r="AO58" t="str">
        <f>IF(ISNUMBER(VLOOKUP($A58,Haver_M!$B$1:$BZ$300,MATCH(data!AO$1,Haver_M!$B$1:$BZ$1,0),FALSE)),VLOOKUP($A58,Haver_M!$B$1:$BZ$300,MATCH(data!AO$1,Haver_M!$B$1:$BZ$1,0),FALSE),"")</f>
        <v/>
      </c>
      <c r="AP58">
        <f>IF(ISNUMBER(VLOOKUP($A58,Haver_M!$B$1:$BZ$300,MATCH(data!AP$1,Haver_M!$B$1:$BZ$1,0),FALSE)),VLOOKUP($A58,Haver_M!$B$1:$BZ$300,MATCH(data!AP$1,Haver_M!$B$1:$BZ$1,0),FALSE),"")</f>
        <v>47.506499461262933</v>
      </c>
      <c r="AQ58" t="str">
        <f>IF(ISNUMBER(VLOOKUP($A58,Haver_M!$B$1:$BZ$300,MATCH(data!AQ$1,Haver_M!$B$1:$BZ$1,0),FALSE)),VLOOKUP($A58,Haver_M!$B$1:$BZ$300,MATCH(data!AQ$1,Haver_M!$B$1:$BZ$1,0),FALSE),"")</f>
        <v/>
      </c>
      <c r="AR58" t="str">
        <f>IF(ISNUMBER(VLOOKUP($A58,Haver_M!$B$1:$BZ$300,MATCH(data!AR$1,Haver_M!$B$1:$BZ$1,0),FALSE)),VLOOKUP($A58,Haver_M!$B$1:$BZ$300,MATCH(data!AR$1,Haver_M!$B$1:$BZ$1,0),FALSE),"")</f>
        <v/>
      </c>
      <c r="AS58" t="str">
        <f>IF(ISNUMBER(VLOOKUP($A58,Haver_M!$B$1:$BZ$300,MATCH(data!AS$1,Haver_M!$B$1:$BZ$1,0),FALSE)),VLOOKUP($A58,Haver_M!$B$1:$BZ$300,MATCH(data!AS$1,Haver_M!$B$1:$BZ$1,0),FALSE),"")</f>
        <v/>
      </c>
      <c r="AT58" t="str">
        <f>IF(ISNUMBER(VLOOKUP($A58,Haver_M!$B$1:$BZ$300,MATCH(data!AT$1,Haver_M!$B$1:$BZ$1,0),FALSE)),VLOOKUP($A58,Haver_M!$B$1:$BZ$300,MATCH(data!AT$1,Haver_M!$B$1:$BZ$1,0),FALSE),"")</f>
        <v/>
      </c>
      <c r="AU58" t="str">
        <f>IF(ISNUMBER(VLOOKUP($A58,Haver_M!$B$1:$BZ$300,MATCH(data!AU$1,Haver_M!$B$1:$BZ$1,0),FALSE)),VLOOKUP($A58,Haver_M!$B$1:$BZ$300,MATCH(data!AU$1,Haver_M!$B$1:$BZ$1,0),FALSE),"")</f>
        <v/>
      </c>
      <c r="AV58" t="str">
        <f>IF(ISNUMBER(VLOOKUP($A58,Haver_M!$B$1:$BZ$300,MATCH(data!AV$1,Haver_M!$B$1:$BZ$1,0),FALSE)),VLOOKUP($A58,Haver_M!$B$1:$BZ$300,MATCH(data!AV$1,Haver_M!$B$1:$BZ$1,0),FALSE),"")</f>
        <v/>
      </c>
      <c r="AW58" t="str">
        <f>IF(ISNUMBER(VLOOKUP($A58,Haver_M!$B$1:$BZ$300,MATCH(data!AW$1,Haver_M!$B$1:$BZ$1,0),FALSE)),VLOOKUP($A58,Haver_M!$B$1:$BZ$300,MATCH(data!AW$1,Haver_M!$B$1:$BZ$1,0),FALSE),"")</f>
        <v/>
      </c>
      <c r="AX58" t="str">
        <f>IF(ISNUMBER(VLOOKUP($A58,Haver_M!$B$1:$BZ$300,MATCH(data!AX$1,Haver_M!$B$1:$BZ$1,0),FALSE)),VLOOKUP($A58,Haver_M!$B$1:$BZ$300,MATCH(data!AX$1,Haver_M!$B$1:$BZ$1,0),FALSE),"")</f>
        <v/>
      </c>
      <c r="AY58" t="str">
        <f>IF(ISNUMBER(VLOOKUP($A58,Haver_M!$B$1:$BZ$300,MATCH(data!AY$1,Haver_M!$B$1:$BZ$1,0),FALSE)),VLOOKUP($A58,Haver_M!$B$1:$BZ$300,MATCH(data!AY$1,Haver_M!$B$1:$BZ$1,0),FALSE),"")</f>
        <v/>
      </c>
      <c r="AZ58" t="str">
        <f>IF(ISNUMBER(VLOOKUP($A58,Haver_M!$B$1:$BZ$300,MATCH(data!AZ$1,Haver_M!$B$1:$BZ$1,0),FALSE)),VLOOKUP($A58,Haver_M!$B$1:$BZ$300,MATCH(data!AZ$1,Haver_M!$B$1:$BZ$1,0),FALSE),"")</f>
        <v/>
      </c>
      <c r="BA58" t="str">
        <f>IF(ISNUMBER(VLOOKUP($A58,Haver_M!$B$1:$BZ$300,MATCH(data!BA$1,Haver_M!$B$1:$BZ$1,0),FALSE)),VLOOKUP($A58,Haver_M!$B$1:$BZ$300,MATCH(data!BA$1,Haver_M!$B$1:$BZ$1,0),FALSE),"")</f>
        <v/>
      </c>
      <c r="BB58" t="str">
        <f>IF(ISNUMBER(VLOOKUP($A58,Haver_M!$B$1:$BZ$300,MATCH(data!BB$1,Haver_M!$B$1:$BZ$1,0),FALSE)),VLOOKUP($A58,Haver_M!$B$1:$BZ$300,MATCH(data!BB$1,Haver_M!$B$1:$BZ$1,0),FALSE),"")</f>
        <v/>
      </c>
      <c r="BC58" t="str">
        <f>IF(ISNUMBER(VLOOKUP($A58,Haver_M!$B$1:$BZ$300,MATCH(data!BC$1,Haver_M!$B$1:$BZ$1,0),FALSE)),VLOOKUP($A58,Haver_M!$B$1:$BZ$300,MATCH(data!BC$1,Haver_M!$B$1:$BZ$1,0),FALSE),"")</f>
        <v/>
      </c>
      <c r="BD58" t="str">
        <f>IF(ISNUMBER(VLOOKUP($A58,Haver_M!$B$1:$BZ$300,MATCH(data!BD$1,Haver_M!$B$1:$BZ$1,0),FALSE)),VLOOKUP($A58,Haver_M!$B$1:$BZ$300,MATCH(data!BD$1,Haver_M!$B$1:$BZ$1,0),FALSE),"")</f>
        <v/>
      </c>
      <c r="BE58" t="str">
        <f>IF(ISNUMBER(VLOOKUP($A58,Haver_M!$B$1:$BZ$300,MATCH(data!BE$1,Haver_M!$B$1:$BZ$1,0),FALSE)),VLOOKUP($A58,Haver_M!$B$1:$BZ$300,MATCH(data!BE$1,Haver_M!$B$1:$BZ$1,0),FALSE),"")</f>
        <v/>
      </c>
      <c r="BF58" t="str">
        <f>IF(ISNUMBER(VLOOKUP($A58,Haver_M!$B$1:$BZ$300,MATCH(data!BF$1,Haver_M!$B$1:$BZ$1,0),FALSE)),VLOOKUP($A58,Haver_M!$B$1:$BZ$300,MATCH(data!BF$1,Haver_M!$B$1:$BZ$1,0),FALSE),"")</f>
        <v/>
      </c>
      <c r="BG58" t="str">
        <f>IF(ISNUMBER(VLOOKUP($A58,Haver_M!$B$1:$BZ$300,MATCH(data!BG$1,Haver_M!$B$1:$BZ$1,0),FALSE)),VLOOKUP($A58,Haver_M!$B$1:$BZ$300,MATCH(data!BG$1,Haver_M!$B$1:$BZ$1,0),FALSE),"")</f>
        <v/>
      </c>
      <c r="BH58" t="str">
        <f>IF(ISNUMBER(VLOOKUP($A58,Haver_M!$B$1:$BZ$300,MATCH(data!BH$1,Haver_M!$B$1:$BZ$1,0),FALSE)),VLOOKUP($A58,Haver_M!$B$1:$BZ$300,MATCH(data!BH$1,Haver_M!$B$1:$BZ$1,0),FALSE),"")</f>
        <v/>
      </c>
      <c r="BI58" t="str">
        <f>IF(ISNUMBER(VLOOKUP($A58,Haver_M!$B$1:$BZ$300,MATCH(data!BI$1,Haver_M!$B$1:$BZ$1,0),FALSE)),VLOOKUP($A58,Haver_M!$B$1:$BZ$300,MATCH(data!BI$1,Haver_M!$B$1:$BZ$1,0),FALSE),"")</f>
        <v/>
      </c>
      <c r="BJ58" t="str">
        <f>IF(ISNUMBER(VLOOKUP($A58,Haver_M!$B$1:$BZ$300,MATCH(data!BJ$1,Haver_M!$B$1:$BZ$1,0),FALSE)),VLOOKUP($A58,Haver_M!$B$1:$BZ$300,MATCH(data!BJ$1,Haver_M!$B$1:$BZ$1,0),FALSE),"")</f>
        <v/>
      </c>
      <c r="BK58" t="str">
        <f>IF(ISNUMBER(VLOOKUP($A58,Haver_M!$B$1:$BZ$300,MATCH(data!BK$1,Haver_M!$B$1:$BZ$1,0),FALSE)),VLOOKUP($A58,Haver_M!$B$1:$BZ$300,MATCH(data!BK$1,Haver_M!$B$1:$BZ$1,0),FALSE),"")</f>
        <v/>
      </c>
      <c r="BL58">
        <f>IF(ISNUMBER(VLOOKUP($A58,Haver_M!$B$1:$BZ$300,MATCH(data!BL$1,Haver_M!$B$1:$BZ$1,0),FALSE)),VLOOKUP($A58,Haver_M!$B$1:$BZ$300,MATCH(data!BL$1,Haver_M!$B$1:$BZ$1,0),FALSE),"")</f>
        <v>5423.27</v>
      </c>
      <c r="BM58">
        <f>IF(ISNUMBER(VLOOKUP($A58,Haver_M!$B$1:$BZ$300,MATCH(data!BM$1,Haver_M!$B$1:$BZ$1,0),FALSE)),VLOOKUP($A58,Haver_M!$B$1:$BZ$300,MATCH(data!BM$1,Haver_M!$B$1:$BZ$1,0),FALSE),"")</f>
        <v>94.276310269999996</v>
      </c>
      <c r="BN58">
        <f>IF(ISNUMBER(VLOOKUP($A58,Haver_M!$B$1:$BZ$300,MATCH(data!BN$1,Haver_M!$B$1:$BZ$1,0),FALSE)),VLOOKUP($A58,Haver_M!$B$1:$BZ$300,MATCH(data!BN$1,Haver_M!$B$1:$BZ$1,0),FALSE),"")</f>
        <v>116.9</v>
      </c>
      <c r="BO58">
        <f>IF(ISNUMBER(VLOOKUP($A58,Haver_M!$B$1:$BZ$300,MATCH(data!BO$1,Haver_M!$B$1:$BZ$1,0),FALSE)),VLOOKUP($A58,Haver_M!$B$1:$BZ$300,MATCH(data!BO$1,Haver_M!$B$1:$BZ$1,0),FALSE),"")</f>
        <v>120</v>
      </c>
      <c r="BP58">
        <f>IF(ISNUMBER(VLOOKUP($A58,Haver_M!$B$1:$BZ$300,MATCH(data!BP$1,Haver_M!$B$1:$BZ$1,0),FALSE)),VLOOKUP($A58,Haver_M!$B$1:$BZ$300,MATCH(data!BP$1,Haver_M!$B$1:$BZ$1,0),FALSE),"")</f>
        <v>44.4</v>
      </c>
      <c r="BQ58" t="str">
        <f>IF(ISNUMBER(VLOOKUP($A58,Haver_M!$B$1:$BZ$300,MATCH(data!BQ$1,Haver_M!$B$1:$BZ$1,0),FALSE)),VLOOKUP($A58,Haver_M!$B$1:$BZ$300,MATCH(data!BQ$1,Haver_M!$B$1:$BZ$1,0),FALSE),"")</f>
        <v/>
      </c>
      <c r="BR58" t="str">
        <f>IF(ISNUMBER(VLOOKUP($A58,Haver_M!$B$1:$BZ$300,MATCH(data!BR$1,Haver_M!$B$1:$BZ$1,0),FALSE)),VLOOKUP($A58,Haver_M!$B$1:$BZ$300,MATCH(data!BR$1,Haver_M!$B$1:$BZ$1,0),FALSE),"")</f>
        <v/>
      </c>
      <c r="BS58" t="str">
        <f>IF(ISNUMBER(VLOOKUP($A58,Haver_M!$B$1:$BZ$300,MATCH(data!BS$1,Haver_M!$B$1:$BZ$1,0),FALSE)),VLOOKUP($A58,Haver_M!$B$1:$BZ$300,MATCH(data!BS$1,Haver_M!$B$1:$BZ$1,0),FALSE),"")</f>
        <v/>
      </c>
      <c r="BT58" t="str">
        <f>IF(ISNUMBER(VLOOKUP($A58,Haver_M!$B$1:$BZ$300,MATCH(data!BT$1,Haver_M!$B$1:$BZ$1,0),FALSE)),VLOOKUP($A58,Haver_M!$B$1:$BZ$300,MATCH(data!BT$1,Haver_M!$B$1:$BZ$1,0),FALSE),"")</f>
        <v/>
      </c>
      <c r="BU58">
        <f>IF(ISNUMBER(VLOOKUP($A58,Haver_M!$B$1:$BZ$300,MATCH(data!BU$1,Haver_M!$B$1:$BZ$1,0),FALSE)),VLOOKUP($A58,Haver_M!$B$1:$BZ$300,MATCH(data!BU$1,Haver_M!$B$1:$BZ$1,0),FALSE),"")</f>
        <v>6919</v>
      </c>
      <c r="BV58">
        <f>IF(ISNUMBER(VLOOKUP($A58,Haver_M!$B$1:$BZ$300,MATCH(data!BV$1,Haver_M!$B$1:$BZ$1,0),FALSE)),VLOOKUP($A58,Haver_M!$B$1:$BZ$300,MATCH(data!BV$1,Haver_M!$B$1:$BZ$1,0),FALSE),"")</f>
        <v>9420</v>
      </c>
      <c r="BW58">
        <f>IF(ISNUMBER(VLOOKUP($A58,Haver_M!$B$1:$BZ$300,MATCH(data!BW$1,Haver_M!$B$1:$BZ$1,0),FALSE)),VLOOKUP($A58,Haver_M!$B$1:$BZ$300,MATCH(data!BW$1,Haver_M!$B$1:$BZ$1,0),FALSE),"")</f>
        <v>46.094999999999999</v>
      </c>
      <c r="BX58">
        <f>IF(ISNUMBER(VLOOKUP($A58,Haver_M!$B$1:$BZ$300,MATCH(data!BX$1,Haver_M!$B$1:$BZ$1,0),FALSE)),VLOOKUP($A58,Haver_M!$B$1:$BZ$300,MATCH(data!BX$1,Haver_M!$B$1:$BZ$1,0),FALSE),"")</f>
        <v>20338</v>
      </c>
    </row>
    <row r="59" spans="1:76" x14ac:dyDescent="0.25">
      <c r="A59" s="2">
        <v>38291</v>
      </c>
      <c r="B59" t="str">
        <f>IF(ISNUMBER(VLOOKUP($A59,Haver_Q!$B$1:$L$185,MATCH(data!B$1,Haver_Q!$B$1:$L$1,0),FALSE)),100*(VLOOKUP($A59,Haver_Q!$B$1:$L$185,MATCH(data!B$1,Haver_Q!$B$1:$L$1,0),FALSE)),"")</f>
        <v/>
      </c>
      <c r="C59" t="str">
        <f>IF(ISNUMBER(VLOOKUP($A59,Haver_Q!$B$1:$L$185,MATCH(data!C$1,Haver_Q!$B$1:$L$1,0),FALSE)),100*(VLOOKUP($A59,Haver_Q!$B$1:$L$185,MATCH(data!C$1,Haver_Q!$B$1:$L$1,0),FALSE)),"")</f>
        <v/>
      </c>
      <c r="D59" t="str">
        <f>IF(ISNUMBER(VLOOKUP($A59,Haver_Q!$B$1:$L$185,MATCH(data!D$1,Haver_Q!$B$1:$L$1,0),FALSE)),100*(VLOOKUP($A59,Haver_Q!$B$1:$L$185,MATCH(data!D$1,Haver_Q!$B$1:$L$1,0),FALSE)),"")</f>
        <v/>
      </c>
      <c r="E59" t="str">
        <f>IF(ISNUMBER(VLOOKUP($A59,Haver_Q!$B$1:$L$185,MATCH(data!E$1,Haver_Q!$B$1:$L$1,0),FALSE)),100*(VLOOKUP($A59,Haver_Q!$B$1:$L$185,MATCH(data!E$1,Haver_Q!$B$1:$L$1,0),FALSE)),"")</f>
        <v/>
      </c>
      <c r="F59" t="str">
        <f>IF(ISNUMBER(VLOOKUP($A59,Haver_Q!$B$1:$L$185,MATCH(data!F$1,Haver_Q!$B$1:$L$1,0),FALSE)),100*(VLOOKUP($A59,Haver_Q!$B$1:$L$185,MATCH(data!F$1,Haver_Q!$B$1:$L$1,0),FALSE)),"")</f>
        <v/>
      </c>
      <c r="G59" t="str">
        <f>IF(ISNUMBER(VLOOKUP($A59,Haver_Q!$B$1:$L$185,MATCH(data!G$1,Haver_Q!$B$1:$L$1,0),FALSE)),100*(VLOOKUP($A59,Haver_Q!$B$1:$L$185,MATCH(data!G$1,Haver_Q!$B$1:$L$1,0),FALSE)),"")</f>
        <v/>
      </c>
      <c r="H59" t="str">
        <f>IF(ISNUMBER(VLOOKUP($A59,Haver_Q!$B$1:$L$185,MATCH(data!H$1,Haver_Q!$B$1:$L$1,0),FALSE)),(VLOOKUP($A59,Haver_Q!$B$1:$L$185,MATCH(data!H$1,Haver_Q!$B$1:$L$1,0),FALSE)),"")</f>
        <v/>
      </c>
      <c r="I59" t="str">
        <f>IF(ISNUMBER(VLOOKUP($A59,Haver_Q!$B$1:$L$185,MATCH(data!I$1,Haver_Q!$B$1:$L$1,0),FALSE)),100*(VLOOKUP($A59,Haver_Q!$B$1:$L$185,MATCH(data!I$1,Haver_Q!$B$1:$L$1,0),FALSE)),"")</f>
        <v/>
      </c>
      <c r="J59" s="3">
        <f>IF(ISNUMBER(Bloomberg_m!C75),Bloomberg_m!C75,"")</f>
        <v>4542</v>
      </c>
      <c r="K59" s="3" t="str">
        <f>IF(ISNUMBER(Bloomberg_m!D75),Bloomberg_m!D75,"")</f>
        <v/>
      </c>
      <c r="L59" s="3" t="str">
        <f>IF(ISNUMBER(Bloomberg_m!E75),Bloomberg_m!E75,"")</f>
        <v/>
      </c>
      <c r="M59" s="3" t="str">
        <f>IF(ISNUMBER(Bloomberg_m!F75),Bloomberg_m!F75,"")</f>
        <v/>
      </c>
      <c r="N59">
        <f>IF(ISNUMBER(VLOOKUP($A59,Haver_M!$B$1:$BZ$300,MATCH(data!N$1,Haver_M!$B$1:$BZ$1,0),FALSE)),VLOOKUP($A59,Haver_M!$B$1:$BZ$300,MATCH(data!N$1,Haver_M!$B$1:$BZ$1,0),FALSE),"")</f>
        <v>6</v>
      </c>
      <c r="O59">
        <f>IF(ISNUMBER(VLOOKUP($A59,Haver_M!$B$1:$BZ$300,MATCH(data!O$1,Haver_M!$B$1:$BZ$1,0),FALSE)),VLOOKUP($A59,Haver_M!$B$1:$BZ$300,MATCH(data!O$1,Haver_M!$B$1:$BZ$1,0),FALSE),"")</f>
        <v>6.8651999999999997</v>
      </c>
      <c r="P59">
        <f>IF(ISNUMBER(VLOOKUP($A59,Haver_M!$B$1:$BZ$300,MATCH(data!P$1,Haver_M!$B$1:$BZ$1,0),FALSE)),VLOOKUP($A59,Haver_M!$B$1:$BZ$300,MATCH(data!P$1,Haver_M!$B$1:$BZ$1,0),FALSE),"")</f>
        <v>93.140460000000004</v>
      </c>
      <c r="Q59">
        <f>IF(ISNUMBER(VLOOKUP($A59,Haver_M!$B$1:$BZ$300,MATCH(data!Q$1,Haver_M!$B$1:$BZ$1,0),FALSE)),VLOOKUP($A59,Haver_M!$B$1:$BZ$300,MATCH(data!Q$1,Haver_M!$B$1:$BZ$1,0),FALSE),"")</f>
        <v>56.5</v>
      </c>
      <c r="R59" t="str">
        <f>IF(ISNUMBER(VLOOKUP($A59,Haver_M!$B$1:$BZ$300,MATCH(data!R$1,Haver_M!$B$1:$BZ$1,0),FALSE)),VLOOKUP($A59,Haver_M!$B$1:$BZ$300,MATCH(data!R$1,Haver_M!$B$1:$BZ$1,0),FALSE),"")</f>
        <v/>
      </c>
      <c r="S59">
        <f>IF(ISNUMBER(VLOOKUP($A59,Haver_M!$B$1:$BZ$300,MATCH(data!S$1,Haver_M!$B$1:$BZ$1,0),FALSE)),VLOOKUP($A59,Haver_M!$B$1:$BZ$300,MATCH(data!S$1,Haver_M!$B$1:$BZ$1,0),FALSE),"")</f>
        <v>60.48</v>
      </c>
      <c r="T59">
        <f>IF(ISNUMBER(VLOOKUP($A59,Haver_M!$B$1:$BZ$300,MATCH(data!T$1,Haver_M!$B$1:$BZ$1,0),FALSE)),VLOOKUP($A59,Haver_M!$B$1:$BZ$300,MATCH(data!T$1,Haver_M!$B$1:$BZ$1,0),FALSE),"")</f>
        <v>66.67</v>
      </c>
      <c r="U59">
        <f>IF(ISNUMBER(VLOOKUP($A59,Haver_M!$B$1:$BZ$300,MATCH(data!U$1,Haver_M!$B$1:$BZ$1,0),FALSE)),VLOOKUP($A59,Haver_M!$B$1:$BZ$300,MATCH(data!U$1,Haver_M!$B$1:$BZ$1,0),FALSE),"")</f>
        <v>39.549999999999997</v>
      </c>
      <c r="V59">
        <f>IF(ISNUMBER(VLOOKUP($A59,Haver_M!$B$1:$BZ$300,MATCH(data!V$1,Haver_M!$B$1:$BZ$1,0),FALSE)),VLOOKUP($A59,Haver_M!$B$1:$BZ$300,MATCH(data!V$1,Haver_M!$B$1:$BZ$1,0),FALSE),"")</f>
        <v>72.599999999999994</v>
      </c>
      <c r="W59" t="str">
        <f>IF(ISNUMBER(VLOOKUP($A59,Haver_M!$B$1:$BZ$300,MATCH(data!W$1,Haver_M!$B$1:$BZ$1,0),FALSE)),VLOOKUP($A59,Haver_M!$B$1:$BZ$300,MATCH(data!W$1,Haver_M!$B$1:$BZ$1,0),FALSE),"")</f>
        <v/>
      </c>
      <c r="X59">
        <f>IF(ISNUMBER(VLOOKUP($A59,Haver_M!$B$1:$BZ$300,MATCH(data!X$1,Haver_M!$B$1:$BZ$1,0),FALSE)),VLOOKUP($A59,Haver_M!$B$1:$BZ$300,MATCH(data!X$1,Haver_M!$B$1:$BZ$1,0),FALSE),"")</f>
        <v>36.11</v>
      </c>
      <c r="Y59">
        <f>IF(ISNUMBER(VLOOKUP($A59,Haver_M!$B$1:$BZ$300,MATCH(data!Y$1,Haver_M!$B$1:$BZ$1,0),FALSE)),VLOOKUP($A59,Haver_M!$B$1:$BZ$300,MATCH(data!Y$1,Haver_M!$B$1:$BZ$1,0),FALSE),"")</f>
        <v>66.989999999999995</v>
      </c>
      <c r="Z59">
        <f>IF(ISNUMBER(VLOOKUP($A59,Haver_M!$B$1:$BZ$300,MATCH(data!Z$1,Haver_M!$B$1:$BZ$1,0),FALSE)),VLOOKUP($A59,Haver_M!$B$1:$BZ$300,MATCH(data!Z$1,Haver_M!$B$1:$BZ$1,0),FALSE),"")</f>
        <v>68.5</v>
      </c>
      <c r="AA59">
        <f>IF(ISNUMBER(VLOOKUP($A59,Haver_M!$B$1:$BZ$300,MATCH(data!AA$1,Haver_M!$B$1:$BZ$1,0),FALSE)),VLOOKUP($A59,Haver_M!$B$1:$BZ$300,MATCH(data!AA$1,Haver_M!$B$1:$BZ$1,0),FALSE),"")</f>
        <v>70.614999999999995</v>
      </c>
      <c r="AB59">
        <f>IF(ISNUMBER(VLOOKUP($A59,Haver_M!$B$1:$BZ$300,MATCH(data!AB$1,Haver_M!$B$1:$BZ$1,0),FALSE)),VLOOKUP($A59,Haver_M!$B$1:$BZ$300,MATCH(data!AB$1,Haver_M!$B$1:$BZ$1,0),FALSE),"")</f>
        <v>89.284000000000006</v>
      </c>
      <c r="AC59">
        <f>IF(ISNUMBER(VLOOKUP($A59,Haver_M!$B$1:$BZ$300,MATCH(data!AC$1,Haver_M!$B$1:$BZ$1,0),FALSE)),VLOOKUP($A59,Haver_M!$B$1:$BZ$300,MATCH(data!AC$1,Haver_M!$B$1:$BZ$1,0),FALSE),"")</f>
        <v>65.221000000000004</v>
      </c>
      <c r="AD59">
        <f>IF(ISNUMBER(VLOOKUP($A59,Haver_M!$B$1:$BZ$300,MATCH(data!AD$1,Haver_M!$B$1:$BZ$1,0),FALSE)),VLOOKUP($A59,Haver_M!$B$1:$BZ$300,MATCH(data!AD$1,Haver_M!$B$1:$BZ$1,0),FALSE),"")</f>
        <v>75.665000000000006</v>
      </c>
      <c r="AE59">
        <f>IF(ISNUMBER(VLOOKUP($A59,Haver_M!$B$1:$BZ$300,MATCH(data!AE$1,Haver_M!$B$1:$BZ$1,0),FALSE)),VLOOKUP($A59,Haver_M!$B$1:$BZ$300,MATCH(data!AE$1,Haver_M!$B$1:$BZ$1,0),FALSE),"")</f>
        <v>96.363</v>
      </c>
      <c r="AF59">
        <f>IF(ISNUMBER(VLOOKUP($A59,Haver_M!$B$1:$BZ$300,MATCH(data!AF$1,Haver_M!$B$1:$BZ$1,0),FALSE)),VLOOKUP($A59,Haver_M!$B$1:$BZ$300,MATCH(data!AF$1,Haver_M!$B$1:$BZ$1,0),FALSE),"")</f>
        <v>56.353000000000002</v>
      </c>
      <c r="AG59">
        <f>IF(ISNUMBER(VLOOKUP($A59,Haver_M!$B$1:$BZ$300,MATCH(data!AG$1,Haver_M!$B$1:$BZ$1,0),FALSE)),VLOOKUP($A59,Haver_M!$B$1:$BZ$300,MATCH(data!AG$1,Haver_M!$B$1:$BZ$1,0),FALSE),"")</f>
        <v>57.578000000000003</v>
      </c>
      <c r="AH59">
        <f>IF(ISNUMBER(VLOOKUP($A59,Haver_M!$B$1:$BZ$300,MATCH(data!AH$1,Haver_M!$B$1:$BZ$1,0),FALSE)),VLOOKUP($A59,Haver_M!$B$1:$BZ$300,MATCH(data!AH$1,Haver_M!$B$1:$BZ$1,0),FALSE),"")</f>
        <v>64.533000000000001</v>
      </c>
      <c r="AI59">
        <f>IF(ISNUMBER(VLOOKUP($A59,Haver_M!$B$1:$BZ$300,MATCH(data!AI$1,Haver_M!$B$1:$BZ$1,0),FALSE)),VLOOKUP($A59,Haver_M!$B$1:$BZ$300,MATCH(data!AI$1,Haver_M!$B$1:$BZ$1,0),FALSE),"")</f>
        <v>9398.392657042361</v>
      </c>
      <c r="AJ59">
        <f>IF(ISNUMBER(VLOOKUP($A59,Haver_M!$B$1:$BZ$300,MATCH(data!AJ$1,Haver_M!$B$1:$BZ$1,0),FALSE)),VLOOKUP($A59,Haver_M!$B$1:$BZ$300,MATCH(data!AJ$1,Haver_M!$B$1:$BZ$1,0),FALSE),"")</f>
        <v>6567.5</v>
      </c>
      <c r="AK59">
        <f>IF(ISNUMBER(VLOOKUP($A59,Haver_M!$B$1:$BZ$300,MATCH(data!AK$1,Haver_M!$B$1:$BZ$1,0),FALSE)),VLOOKUP($A59,Haver_M!$B$1:$BZ$300,MATCH(data!AK$1,Haver_M!$B$1:$BZ$1,0),FALSE),"")</f>
        <v>8681.73</v>
      </c>
      <c r="AL59" t="str">
        <f>IF(ISNUMBER(VLOOKUP($A59,Haver_M!$B$1:$BZ$300,MATCH(data!AL$1,Haver_M!$B$1:$BZ$1,0),FALSE)),VLOOKUP($A59,Haver_M!$B$1:$BZ$300,MATCH(data!AL$1,Haver_M!$B$1:$BZ$1,0),FALSE),"")</f>
        <v/>
      </c>
      <c r="AM59" t="str">
        <f>IF(ISNUMBER(VLOOKUP($A59,Haver_M!$B$1:$BZ$300,MATCH(data!AM$1,Haver_M!$B$1:$BZ$1,0),FALSE)),VLOOKUP($A59,Haver_M!$B$1:$BZ$300,MATCH(data!AM$1,Haver_M!$B$1:$BZ$1,0),FALSE),"")</f>
        <v/>
      </c>
      <c r="AN59" t="str">
        <f>IF(ISNUMBER(VLOOKUP($A59,Haver_M!$B$1:$BZ$300,MATCH(data!AN$1,Haver_M!$B$1:$BZ$1,0),FALSE)),VLOOKUP($A59,Haver_M!$B$1:$BZ$300,MATCH(data!AN$1,Haver_M!$B$1:$BZ$1,0),FALSE),"")</f>
        <v/>
      </c>
      <c r="AO59" t="str">
        <f>IF(ISNUMBER(VLOOKUP($A59,Haver_M!$B$1:$BZ$300,MATCH(data!AO$1,Haver_M!$B$1:$BZ$1,0),FALSE)),VLOOKUP($A59,Haver_M!$B$1:$BZ$300,MATCH(data!AO$1,Haver_M!$B$1:$BZ$1,0),FALSE),"")</f>
        <v/>
      </c>
      <c r="AP59">
        <f>IF(ISNUMBER(VLOOKUP($A59,Haver_M!$B$1:$BZ$300,MATCH(data!AP$1,Haver_M!$B$1:$BZ$1,0),FALSE)),VLOOKUP($A59,Haver_M!$B$1:$BZ$300,MATCH(data!AP$1,Haver_M!$B$1:$BZ$1,0),FALSE),"")</f>
        <v>70.757459954663418</v>
      </c>
      <c r="AQ59" t="str">
        <f>IF(ISNUMBER(VLOOKUP($A59,Haver_M!$B$1:$BZ$300,MATCH(data!AQ$1,Haver_M!$B$1:$BZ$1,0),FALSE)),VLOOKUP($A59,Haver_M!$B$1:$BZ$300,MATCH(data!AQ$1,Haver_M!$B$1:$BZ$1,0),FALSE),"")</f>
        <v/>
      </c>
      <c r="AR59" t="str">
        <f>IF(ISNUMBER(VLOOKUP($A59,Haver_M!$B$1:$BZ$300,MATCH(data!AR$1,Haver_M!$B$1:$BZ$1,0),FALSE)),VLOOKUP($A59,Haver_M!$B$1:$BZ$300,MATCH(data!AR$1,Haver_M!$B$1:$BZ$1,0),FALSE),"")</f>
        <v/>
      </c>
      <c r="AS59" t="str">
        <f>IF(ISNUMBER(VLOOKUP($A59,Haver_M!$B$1:$BZ$300,MATCH(data!AS$1,Haver_M!$B$1:$BZ$1,0),FALSE)),VLOOKUP($A59,Haver_M!$B$1:$BZ$300,MATCH(data!AS$1,Haver_M!$B$1:$BZ$1,0),FALSE),"")</f>
        <v/>
      </c>
      <c r="AT59" t="str">
        <f>IF(ISNUMBER(VLOOKUP($A59,Haver_M!$B$1:$BZ$300,MATCH(data!AT$1,Haver_M!$B$1:$BZ$1,0),FALSE)),VLOOKUP($A59,Haver_M!$B$1:$BZ$300,MATCH(data!AT$1,Haver_M!$B$1:$BZ$1,0),FALSE),"")</f>
        <v/>
      </c>
      <c r="AU59" t="str">
        <f>IF(ISNUMBER(VLOOKUP($A59,Haver_M!$B$1:$BZ$300,MATCH(data!AU$1,Haver_M!$B$1:$BZ$1,0),FALSE)),VLOOKUP($A59,Haver_M!$B$1:$BZ$300,MATCH(data!AU$1,Haver_M!$B$1:$BZ$1,0),FALSE),"")</f>
        <v/>
      </c>
      <c r="AV59" t="str">
        <f>IF(ISNUMBER(VLOOKUP($A59,Haver_M!$B$1:$BZ$300,MATCH(data!AV$1,Haver_M!$B$1:$BZ$1,0),FALSE)),VLOOKUP($A59,Haver_M!$B$1:$BZ$300,MATCH(data!AV$1,Haver_M!$B$1:$BZ$1,0),FALSE),"")</f>
        <v/>
      </c>
      <c r="AW59" t="str">
        <f>IF(ISNUMBER(VLOOKUP($A59,Haver_M!$B$1:$BZ$300,MATCH(data!AW$1,Haver_M!$B$1:$BZ$1,0),FALSE)),VLOOKUP($A59,Haver_M!$B$1:$BZ$300,MATCH(data!AW$1,Haver_M!$B$1:$BZ$1,0),FALSE),"")</f>
        <v/>
      </c>
      <c r="AX59" t="str">
        <f>IF(ISNUMBER(VLOOKUP($A59,Haver_M!$B$1:$BZ$300,MATCH(data!AX$1,Haver_M!$B$1:$BZ$1,0),FALSE)),VLOOKUP($A59,Haver_M!$B$1:$BZ$300,MATCH(data!AX$1,Haver_M!$B$1:$BZ$1,0),FALSE),"")</f>
        <v/>
      </c>
      <c r="AY59" t="str">
        <f>IF(ISNUMBER(VLOOKUP($A59,Haver_M!$B$1:$BZ$300,MATCH(data!AY$1,Haver_M!$B$1:$BZ$1,0),FALSE)),VLOOKUP($A59,Haver_M!$B$1:$BZ$300,MATCH(data!AY$1,Haver_M!$B$1:$BZ$1,0),FALSE),"")</f>
        <v/>
      </c>
      <c r="AZ59" t="str">
        <f>IF(ISNUMBER(VLOOKUP($A59,Haver_M!$B$1:$BZ$300,MATCH(data!AZ$1,Haver_M!$B$1:$BZ$1,0),FALSE)),VLOOKUP($A59,Haver_M!$B$1:$BZ$300,MATCH(data!AZ$1,Haver_M!$B$1:$BZ$1,0),FALSE),"")</f>
        <v/>
      </c>
      <c r="BA59" t="str">
        <f>IF(ISNUMBER(VLOOKUP($A59,Haver_M!$B$1:$BZ$300,MATCH(data!BA$1,Haver_M!$B$1:$BZ$1,0),FALSE)),VLOOKUP($A59,Haver_M!$B$1:$BZ$300,MATCH(data!BA$1,Haver_M!$B$1:$BZ$1,0),FALSE),"")</f>
        <v/>
      </c>
      <c r="BB59" t="str">
        <f>IF(ISNUMBER(VLOOKUP($A59,Haver_M!$B$1:$BZ$300,MATCH(data!BB$1,Haver_M!$B$1:$BZ$1,0),FALSE)),VLOOKUP($A59,Haver_M!$B$1:$BZ$300,MATCH(data!BB$1,Haver_M!$B$1:$BZ$1,0),FALSE),"")</f>
        <v/>
      </c>
      <c r="BC59" t="str">
        <f>IF(ISNUMBER(VLOOKUP($A59,Haver_M!$B$1:$BZ$300,MATCH(data!BC$1,Haver_M!$B$1:$BZ$1,0),FALSE)),VLOOKUP($A59,Haver_M!$B$1:$BZ$300,MATCH(data!BC$1,Haver_M!$B$1:$BZ$1,0),FALSE),"")</f>
        <v/>
      </c>
      <c r="BD59" t="str">
        <f>IF(ISNUMBER(VLOOKUP($A59,Haver_M!$B$1:$BZ$300,MATCH(data!BD$1,Haver_M!$B$1:$BZ$1,0),FALSE)),VLOOKUP($A59,Haver_M!$B$1:$BZ$300,MATCH(data!BD$1,Haver_M!$B$1:$BZ$1,0),FALSE),"")</f>
        <v/>
      </c>
      <c r="BE59" t="str">
        <f>IF(ISNUMBER(VLOOKUP($A59,Haver_M!$B$1:$BZ$300,MATCH(data!BE$1,Haver_M!$B$1:$BZ$1,0),FALSE)),VLOOKUP($A59,Haver_M!$B$1:$BZ$300,MATCH(data!BE$1,Haver_M!$B$1:$BZ$1,0),FALSE),"")</f>
        <v/>
      </c>
      <c r="BF59" t="str">
        <f>IF(ISNUMBER(VLOOKUP($A59,Haver_M!$B$1:$BZ$300,MATCH(data!BF$1,Haver_M!$B$1:$BZ$1,0),FALSE)),VLOOKUP($A59,Haver_M!$B$1:$BZ$300,MATCH(data!BF$1,Haver_M!$B$1:$BZ$1,0),FALSE),"")</f>
        <v/>
      </c>
      <c r="BG59" t="str">
        <f>IF(ISNUMBER(VLOOKUP($A59,Haver_M!$B$1:$BZ$300,MATCH(data!BG$1,Haver_M!$B$1:$BZ$1,0),FALSE)),VLOOKUP($A59,Haver_M!$B$1:$BZ$300,MATCH(data!BG$1,Haver_M!$B$1:$BZ$1,0),FALSE),"")</f>
        <v/>
      </c>
      <c r="BH59" t="str">
        <f>IF(ISNUMBER(VLOOKUP($A59,Haver_M!$B$1:$BZ$300,MATCH(data!BH$1,Haver_M!$B$1:$BZ$1,0),FALSE)),VLOOKUP($A59,Haver_M!$B$1:$BZ$300,MATCH(data!BH$1,Haver_M!$B$1:$BZ$1,0),FALSE),"")</f>
        <v/>
      </c>
      <c r="BI59" t="str">
        <f>IF(ISNUMBER(VLOOKUP($A59,Haver_M!$B$1:$BZ$300,MATCH(data!BI$1,Haver_M!$B$1:$BZ$1,0),FALSE)),VLOOKUP($A59,Haver_M!$B$1:$BZ$300,MATCH(data!BI$1,Haver_M!$B$1:$BZ$1,0),FALSE),"")</f>
        <v/>
      </c>
      <c r="BJ59" t="str">
        <f>IF(ISNUMBER(VLOOKUP($A59,Haver_M!$B$1:$BZ$300,MATCH(data!BJ$1,Haver_M!$B$1:$BZ$1,0),FALSE)),VLOOKUP($A59,Haver_M!$B$1:$BZ$300,MATCH(data!BJ$1,Haver_M!$B$1:$BZ$1,0),FALSE),"")</f>
        <v/>
      </c>
      <c r="BK59" t="str">
        <f>IF(ISNUMBER(VLOOKUP($A59,Haver_M!$B$1:$BZ$300,MATCH(data!BK$1,Haver_M!$B$1:$BZ$1,0),FALSE)),VLOOKUP($A59,Haver_M!$B$1:$BZ$300,MATCH(data!BK$1,Haver_M!$B$1:$BZ$1,0),FALSE),"")</f>
        <v/>
      </c>
      <c r="BL59">
        <f>IF(ISNUMBER(VLOOKUP($A59,Haver_M!$B$1:$BZ$300,MATCH(data!BL$1,Haver_M!$B$1:$BZ$1,0),FALSE)),VLOOKUP($A59,Haver_M!$B$1:$BZ$300,MATCH(data!BL$1,Haver_M!$B$1:$BZ$1,0),FALSE),"")</f>
        <v>5698.64</v>
      </c>
      <c r="BM59">
        <f>IF(ISNUMBER(VLOOKUP($A59,Haver_M!$B$1:$BZ$300,MATCH(data!BM$1,Haver_M!$B$1:$BZ$1,0),FALSE)),VLOOKUP($A59,Haver_M!$B$1:$BZ$300,MATCH(data!BM$1,Haver_M!$B$1:$BZ$1,0),FALSE),"")</f>
        <v>94.268286110000005</v>
      </c>
      <c r="BN59" t="str">
        <f>IF(ISNUMBER(VLOOKUP($A59,Haver_M!$B$1:$BZ$300,MATCH(data!BN$1,Haver_M!$B$1:$BZ$1,0),FALSE)),VLOOKUP($A59,Haver_M!$B$1:$BZ$300,MATCH(data!BN$1,Haver_M!$B$1:$BZ$1,0),FALSE),"")</f>
        <v/>
      </c>
      <c r="BO59" t="str">
        <f>IF(ISNUMBER(VLOOKUP($A59,Haver_M!$B$1:$BZ$300,MATCH(data!BO$1,Haver_M!$B$1:$BZ$1,0),FALSE)),VLOOKUP($A59,Haver_M!$B$1:$BZ$300,MATCH(data!BO$1,Haver_M!$B$1:$BZ$1,0),FALSE),"")</f>
        <v/>
      </c>
      <c r="BP59" t="str">
        <f>IF(ISNUMBER(VLOOKUP($A59,Haver_M!$B$1:$BZ$300,MATCH(data!BP$1,Haver_M!$B$1:$BZ$1,0),FALSE)),VLOOKUP($A59,Haver_M!$B$1:$BZ$300,MATCH(data!BP$1,Haver_M!$B$1:$BZ$1,0),FALSE),"")</f>
        <v/>
      </c>
      <c r="BQ59" t="str">
        <f>IF(ISNUMBER(VLOOKUP($A59,Haver_M!$B$1:$BZ$300,MATCH(data!BQ$1,Haver_M!$B$1:$BZ$1,0),FALSE)),VLOOKUP($A59,Haver_M!$B$1:$BZ$300,MATCH(data!BQ$1,Haver_M!$B$1:$BZ$1,0),FALSE),"")</f>
        <v/>
      </c>
      <c r="BR59" t="str">
        <f>IF(ISNUMBER(VLOOKUP($A59,Haver_M!$B$1:$BZ$300,MATCH(data!BR$1,Haver_M!$B$1:$BZ$1,0),FALSE)),VLOOKUP($A59,Haver_M!$B$1:$BZ$300,MATCH(data!BR$1,Haver_M!$B$1:$BZ$1,0),FALSE),"")</f>
        <v/>
      </c>
      <c r="BS59" t="str">
        <f>IF(ISNUMBER(VLOOKUP($A59,Haver_M!$B$1:$BZ$300,MATCH(data!BS$1,Haver_M!$B$1:$BZ$1,0),FALSE)),VLOOKUP($A59,Haver_M!$B$1:$BZ$300,MATCH(data!BS$1,Haver_M!$B$1:$BZ$1,0),FALSE),"")</f>
        <v/>
      </c>
      <c r="BT59" t="str">
        <f>IF(ISNUMBER(VLOOKUP($A59,Haver_M!$B$1:$BZ$300,MATCH(data!BT$1,Haver_M!$B$1:$BZ$1,0),FALSE)),VLOOKUP($A59,Haver_M!$B$1:$BZ$300,MATCH(data!BT$1,Haver_M!$B$1:$BZ$1,0),FALSE),"")</f>
        <v/>
      </c>
      <c r="BU59">
        <f>IF(ISNUMBER(VLOOKUP($A59,Haver_M!$B$1:$BZ$300,MATCH(data!BU$1,Haver_M!$B$1:$BZ$1,0),FALSE)),VLOOKUP($A59,Haver_M!$B$1:$BZ$300,MATCH(data!BU$1,Haver_M!$B$1:$BZ$1,0),FALSE),"")</f>
        <v>6519</v>
      </c>
      <c r="BV59">
        <f>IF(ISNUMBER(VLOOKUP($A59,Haver_M!$B$1:$BZ$300,MATCH(data!BV$1,Haver_M!$B$1:$BZ$1,0),FALSE)),VLOOKUP($A59,Haver_M!$B$1:$BZ$300,MATCH(data!BV$1,Haver_M!$B$1:$BZ$1,0),FALSE),"")</f>
        <v>8989</v>
      </c>
      <c r="BW59">
        <f>IF(ISNUMBER(VLOOKUP($A59,Haver_M!$B$1:$BZ$300,MATCH(data!BW$1,Haver_M!$B$1:$BZ$1,0),FALSE)),VLOOKUP($A59,Haver_M!$B$1:$BZ$300,MATCH(data!BW$1,Haver_M!$B$1:$BZ$1,0),FALSE),"")</f>
        <v>45.782600000000002</v>
      </c>
      <c r="BX59">
        <f>IF(ISNUMBER(VLOOKUP($A59,Haver_M!$B$1:$BZ$300,MATCH(data!BX$1,Haver_M!$B$1:$BZ$1,0),FALSE)),VLOOKUP($A59,Haver_M!$B$1:$BZ$300,MATCH(data!BX$1,Haver_M!$B$1:$BZ$1,0),FALSE),"")</f>
        <v>23710</v>
      </c>
    </row>
    <row r="60" spans="1:76" x14ac:dyDescent="0.25">
      <c r="A60" s="2">
        <v>38321</v>
      </c>
      <c r="B60" t="str">
        <f>IF(ISNUMBER(VLOOKUP($A60,Haver_Q!$B$1:$L$185,MATCH(data!B$1,Haver_Q!$B$1:$L$1,0),FALSE)),100*(VLOOKUP($A60,Haver_Q!$B$1:$L$185,MATCH(data!B$1,Haver_Q!$B$1:$L$1,0),FALSE)),"")</f>
        <v/>
      </c>
      <c r="C60" t="str">
        <f>IF(ISNUMBER(VLOOKUP($A60,Haver_Q!$B$1:$L$185,MATCH(data!C$1,Haver_Q!$B$1:$L$1,0),FALSE)),100*(VLOOKUP($A60,Haver_Q!$B$1:$L$185,MATCH(data!C$1,Haver_Q!$B$1:$L$1,0),FALSE)),"")</f>
        <v/>
      </c>
      <c r="D60" t="str">
        <f>IF(ISNUMBER(VLOOKUP($A60,Haver_Q!$B$1:$L$185,MATCH(data!D$1,Haver_Q!$B$1:$L$1,0),FALSE)),100*(VLOOKUP($A60,Haver_Q!$B$1:$L$185,MATCH(data!D$1,Haver_Q!$B$1:$L$1,0),FALSE)),"")</f>
        <v/>
      </c>
      <c r="E60" t="str">
        <f>IF(ISNUMBER(VLOOKUP($A60,Haver_Q!$B$1:$L$185,MATCH(data!E$1,Haver_Q!$B$1:$L$1,0),FALSE)),100*(VLOOKUP($A60,Haver_Q!$B$1:$L$185,MATCH(data!E$1,Haver_Q!$B$1:$L$1,0),FALSE)),"")</f>
        <v/>
      </c>
      <c r="F60" t="str">
        <f>IF(ISNUMBER(VLOOKUP($A60,Haver_Q!$B$1:$L$185,MATCH(data!F$1,Haver_Q!$B$1:$L$1,0),FALSE)),100*(VLOOKUP($A60,Haver_Q!$B$1:$L$185,MATCH(data!F$1,Haver_Q!$B$1:$L$1,0),FALSE)),"")</f>
        <v/>
      </c>
      <c r="G60" t="str">
        <f>IF(ISNUMBER(VLOOKUP($A60,Haver_Q!$B$1:$L$185,MATCH(data!G$1,Haver_Q!$B$1:$L$1,0),FALSE)),100*(VLOOKUP($A60,Haver_Q!$B$1:$L$185,MATCH(data!G$1,Haver_Q!$B$1:$L$1,0),FALSE)),"")</f>
        <v/>
      </c>
      <c r="H60" t="str">
        <f>IF(ISNUMBER(VLOOKUP($A60,Haver_Q!$B$1:$L$185,MATCH(data!H$1,Haver_Q!$B$1:$L$1,0),FALSE)),(VLOOKUP($A60,Haver_Q!$B$1:$L$185,MATCH(data!H$1,Haver_Q!$B$1:$L$1,0),FALSE)),"")</f>
        <v/>
      </c>
      <c r="I60" t="str">
        <f>IF(ISNUMBER(VLOOKUP($A60,Haver_Q!$B$1:$L$185,MATCH(data!I$1,Haver_Q!$B$1:$L$1,0),FALSE)),100*(VLOOKUP($A60,Haver_Q!$B$1:$L$185,MATCH(data!I$1,Haver_Q!$B$1:$L$1,0),FALSE)),"")</f>
        <v/>
      </c>
      <c r="J60" s="3">
        <f>IF(ISNUMBER(Bloomberg_m!C76),Bloomberg_m!C76,"")</f>
        <v>5310</v>
      </c>
      <c r="K60" s="3" t="str">
        <f>IF(ISNUMBER(Bloomberg_m!D76),Bloomberg_m!D76,"")</f>
        <v/>
      </c>
      <c r="L60" s="3" t="str">
        <f>IF(ISNUMBER(Bloomberg_m!E76),Bloomberg_m!E76,"")</f>
        <v/>
      </c>
      <c r="M60" s="3" t="str">
        <f>IF(ISNUMBER(Bloomberg_m!F76),Bloomberg_m!F76,"")</f>
        <v/>
      </c>
      <c r="N60">
        <f>IF(ISNUMBER(VLOOKUP($A60,Haver_M!$B$1:$BZ$300,MATCH(data!N$1,Haver_M!$B$1:$BZ$1,0),FALSE)),VLOOKUP($A60,Haver_M!$B$1:$BZ$300,MATCH(data!N$1,Haver_M!$B$1:$BZ$1,0),FALSE),"")</f>
        <v>6</v>
      </c>
      <c r="O60">
        <f>IF(ISNUMBER(VLOOKUP($A60,Haver_M!$B$1:$BZ$300,MATCH(data!O$1,Haver_M!$B$1:$BZ$1,0),FALSE)),VLOOKUP($A60,Haver_M!$B$1:$BZ$300,MATCH(data!O$1,Haver_M!$B$1:$BZ$1,0),FALSE),"")</f>
        <v>7.2053000000000003</v>
      </c>
      <c r="P60">
        <f>IF(ISNUMBER(VLOOKUP($A60,Haver_M!$B$1:$BZ$300,MATCH(data!P$1,Haver_M!$B$1:$BZ$1,0),FALSE)),VLOOKUP($A60,Haver_M!$B$1:$BZ$300,MATCH(data!P$1,Haver_M!$B$1:$BZ$1,0),FALSE),"")</f>
        <v>93.186809999999994</v>
      </c>
      <c r="Q60">
        <f>IF(ISNUMBER(VLOOKUP($A60,Haver_M!$B$1:$BZ$300,MATCH(data!Q$1,Haver_M!$B$1:$BZ$1,0),FALSE)),VLOOKUP($A60,Haver_M!$B$1:$BZ$300,MATCH(data!Q$1,Haver_M!$B$1:$BZ$1,0),FALSE),"")</f>
        <v>56.3</v>
      </c>
      <c r="R60" t="str">
        <f>IF(ISNUMBER(VLOOKUP($A60,Haver_M!$B$1:$BZ$300,MATCH(data!R$1,Haver_M!$B$1:$BZ$1,0),FALSE)),VLOOKUP($A60,Haver_M!$B$1:$BZ$300,MATCH(data!R$1,Haver_M!$B$1:$BZ$1,0),FALSE),"")</f>
        <v/>
      </c>
      <c r="S60">
        <f>IF(ISNUMBER(VLOOKUP($A60,Haver_M!$B$1:$BZ$300,MATCH(data!S$1,Haver_M!$B$1:$BZ$1,0),FALSE)),VLOOKUP($A60,Haver_M!$B$1:$BZ$300,MATCH(data!S$1,Haver_M!$B$1:$BZ$1,0),FALSE),"")</f>
        <v>61.31</v>
      </c>
      <c r="T60">
        <f>IF(ISNUMBER(VLOOKUP($A60,Haver_M!$B$1:$BZ$300,MATCH(data!T$1,Haver_M!$B$1:$BZ$1,0),FALSE)),VLOOKUP($A60,Haver_M!$B$1:$BZ$300,MATCH(data!T$1,Haver_M!$B$1:$BZ$1,0),FALSE),"")</f>
        <v>67.45</v>
      </c>
      <c r="U60">
        <f>IF(ISNUMBER(VLOOKUP($A60,Haver_M!$B$1:$BZ$300,MATCH(data!U$1,Haver_M!$B$1:$BZ$1,0),FALSE)),VLOOKUP($A60,Haver_M!$B$1:$BZ$300,MATCH(data!U$1,Haver_M!$B$1:$BZ$1,0),FALSE),"")</f>
        <v>39.130000000000003</v>
      </c>
      <c r="V60">
        <f>IF(ISNUMBER(VLOOKUP($A60,Haver_M!$B$1:$BZ$300,MATCH(data!V$1,Haver_M!$B$1:$BZ$1,0),FALSE)),VLOOKUP($A60,Haver_M!$B$1:$BZ$300,MATCH(data!V$1,Haver_M!$B$1:$BZ$1,0),FALSE),"")</f>
        <v>74.89</v>
      </c>
      <c r="W60" t="str">
        <f>IF(ISNUMBER(VLOOKUP($A60,Haver_M!$B$1:$BZ$300,MATCH(data!W$1,Haver_M!$B$1:$BZ$1,0),FALSE)),VLOOKUP($A60,Haver_M!$B$1:$BZ$300,MATCH(data!W$1,Haver_M!$B$1:$BZ$1,0),FALSE),"")</f>
        <v/>
      </c>
      <c r="X60">
        <f>IF(ISNUMBER(VLOOKUP($A60,Haver_M!$B$1:$BZ$300,MATCH(data!X$1,Haver_M!$B$1:$BZ$1,0),FALSE)),VLOOKUP($A60,Haver_M!$B$1:$BZ$300,MATCH(data!X$1,Haver_M!$B$1:$BZ$1,0),FALSE),"")</f>
        <v>37.44</v>
      </c>
      <c r="Y60">
        <f>IF(ISNUMBER(VLOOKUP($A60,Haver_M!$B$1:$BZ$300,MATCH(data!Y$1,Haver_M!$B$1:$BZ$1,0),FALSE)),VLOOKUP($A60,Haver_M!$B$1:$BZ$300,MATCH(data!Y$1,Haver_M!$B$1:$BZ$1,0),FALSE),"")</f>
        <v>69.13</v>
      </c>
      <c r="Z60">
        <f>IF(ISNUMBER(VLOOKUP($A60,Haver_M!$B$1:$BZ$300,MATCH(data!Z$1,Haver_M!$B$1:$BZ$1,0),FALSE)),VLOOKUP($A60,Haver_M!$B$1:$BZ$300,MATCH(data!Z$1,Haver_M!$B$1:$BZ$1,0),FALSE),"")</f>
        <v>70.2</v>
      </c>
      <c r="AA60">
        <f>IF(ISNUMBER(VLOOKUP($A60,Haver_M!$B$1:$BZ$300,MATCH(data!AA$1,Haver_M!$B$1:$BZ$1,0),FALSE)),VLOOKUP($A60,Haver_M!$B$1:$BZ$300,MATCH(data!AA$1,Haver_M!$B$1:$BZ$1,0),FALSE),"")</f>
        <v>72.828000000000003</v>
      </c>
      <c r="AB60">
        <f>IF(ISNUMBER(VLOOKUP($A60,Haver_M!$B$1:$BZ$300,MATCH(data!AB$1,Haver_M!$B$1:$BZ$1,0),FALSE)),VLOOKUP($A60,Haver_M!$B$1:$BZ$300,MATCH(data!AB$1,Haver_M!$B$1:$BZ$1,0),FALSE),"")</f>
        <v>89.554000000000002</v>
      </c>
      <c r="AC60">
        <f>IF(ISNUMBER(VLOOKUP($A60,Haver_M!$B$1:$BZ$300,MATCH(data!AC$1,Haver_M!$B$1:$BZ$1,0),FALSE)),VLOOKUP($A60,Haver_M!$B$1:$BZ$300,MATCH(data!AC$1,Haver_M!$B$1:$BZ$1,0),FALSE),"")</f>
        <v>68.046999999999997</v>
      </c>
      <c r="AD60">
        <f>IF(ISNUMBER(VLOOKUP($A60,Haver_M!$B$1:$BZ$300,MATCH(data!AD$1,Haver_M!$B$1:$BZ$1,0),FALSE)),VLOOKUP($A60,Haver_M!$B$1:$BZ$300,MATCH(data!AD$1,Haver_M!$B$1:$BZ$1,0),FALSE),"")</f>
        <v>75.626000000000005</v>
      </c>
      <c r="AE60">
        <f>IF(ISNUMBER(VLOOKUP($A60,Haver_M!$B$1:$BZ$300,MATCH(data!AE$1,Haver_M!$B$1:$BZ$1,0),FALSE)),VLOOKUP($A60,Haver_M!$B$1:$BZ$300,MATCH(data!AE$1,Haver_M!$B$1:$BZ$1,0),FALSE),"")</f>
        <v>95.411000000000001</v>
      </c>
      <c r="AF60">
        <f>IF(ISNUMBER(VLOOKUP($A60,Haver_M!$B$1:$BZ$300,MATCH(data!AF$1,Haver_M!$B$1:$BZ$1,0),FALSE)),VLOOKUP($A60,Haver_M!$B$1:$BZ$300,MATCH(data!AF$1,Haver_M!$B$1:$BZ$1,0),FALSE),"")</f>
        <v>56.671999999999997</v>
      </c>
      <c r="AG60">
        <f>IF(ISNUMBER(VLOOKUP($A60,Haver_M!$B$1:$BZ$300,MATCH(data!AG$1,Haver_M!$B$1:$BZ$1,0),FALSE)),VLOOKUP($A60,Haver_M!$B$1:$BZ$300,MATCH(data!AG$1,Haver_M!$B$1:$BZ$1,0),FALSE),"")</f>
        <v>59.753</v>
      </c>
      <c r="AH60">
        <f>IF(ISNUMBER(VLOOKUP($A60,Haver_M!$B$1:$BZ$300,MATCH(data!AH$1,Haver_M!$B$1:$BZ$1,0),FALSE)),VLOOKUP($A60,Haver_M!$B$1:$BZ$300,MATCH(data!AH$1,Haver_M!$B$1:$BZ$1,0),FALSE),"")</f>
        <v>68.537999999999997</v>
      </c>
      <c r="AI60">
        <f>IF(ISNUMBER(VLOOKUP($A60,Haver_M!$B$1:$BZ$300,MATCH(data!AI$1,Haver_M!$B$1:$BZ$1,0),FALSE)),VLOOKUP($A60,Haver_M!$B$1:$BZ$300,MATCH(data!AI$1,Haver_M!$B$1:$BZ$1,0),FALSE),"")</f>
        <v>8982.2725725466007</v>
      </c>
      <c r="AJ60">
        <f>IF(ISNUMBER(VLOOKUP($A60,Haver_M!$B$1:$BZ$300,MATCH(data!AJ$1,Haver_M!$B$1:$BZ$1,0),FALSE)),VLOOKUP($A60,Haver_M!$B$1:$BZ$300,MATCH(data!AJ$1,Haver_M!$B$1:$BZ$1,0),FALSE),"")</f>
        <v>7702.14</v>
      </c>
      <c r="AK60">
        <f>IF(ISNUMBER(VLOOKUP($A60,Haver_M!$B$1:$BZ$300,MATCH(data!AK$1,Haver_M!$B$1:$BZ$1,0),FALSE)),VLOOKUP($A60,Haver_M!$B$1:$BZ$300,MATCH(data!AK$1,Haver_M!$B$1:$BZ$1,0),FALSE),"")</f>
        <v>9675.94</v>
      </c>
      <c r="AL60" t="str">
        <f>IF(ISNUMBER(VLOOKUP($A60,Haver_M!$B$1:$BZ$300,MATCH(data!AL$1,Haver_M!$B$1:$BZ$1,0),FALSE)),VLOOKUP($A60,Haver_M!$B$1:$BZ$300,MATCH(data!AL$1,Haver_M!$B$1:$BZ$1,0),FALSE),"")</f>
        <v/>
      </c>
      <c r="AM60" t="str">
        <f>IF(ISNUMBER(VLOOKUP($A60,Haver_M!$B$1:$BZ$300,MATCH(data!AM$1,Haver_M!$B$1:$BZ$1,0),FALSE)),VLOOKUP($A60,Haver_M!$B$1:$BZ$300,MATCH(data!AM$1,Haver_M!$B$1:$BZ$1,0),FALSE),"")</f>
        <v/>
      </c>
      <c r="AN60" t="str">
        <f>IF(ISNUMBER(VLOOKUP($A60,Haver_M!$B$1:$BZ$300,MATCH(data!AN$1,Haver_M!$B$1:$BZ$1,0),FALSE)),VLOOKUP($A60,Haver_M!$B$1:$BZ$300,MATCH(data!AN$1,Haver_M!$B$1:$BZ$1,0),FALSE),"")</f>
        <v/>
      </c>
      <c r="AO60" t="str">
        <f>IF(ISNUMBER(VLOOKUP($A60,Haver_M!$B$1:$BZ$300,MATCH(data!AO$1,Haver_M!$B$1:$BZ$1,0),FALSE)),VLOOKUP($A60,Haver_M!$B$1:$BZ$300,MATCH(data!AO$1,Haver_M!$B$1:$BZ$1,0),FALSE),"")</f>
        <v/>
      </c>
      <c r="AP60">
        <f>IF(ISNUMBER(VLOOKUP($A60,Haver_M!$B$1:$BZ$300,MATCH(data!AP$1,Haver_M!$B$1:$BZ$1,0),FALSE)),VLOOKUP($A60,Haver_M!$B$1:$BZ$300,MATCH(data!AP$1,Haver_M!$B$1:$BZ$1,0),FALSE),"")</f>
        <v>58.079534643807214</v>
      </c>
      <c r="AQ60" t="str">
        <f>IF(ISNUMBER(VLOOKUP($A60,Haver_M!$B$1:$BZ$300,MATCH(data!AQ$1,Haver_M!$B$1:$BZ$1,0),FALSE)),VLOOKUP($A60,Haver_M!$B$1:$BZ$300,MATCH(data!AQ$1,Haver_M!$B$1:$BZ$1,0),FALSE),"")</f>
        <v/>
      </c>
      <c r="AR60" t="str">
        <f>IF(ISNUMBER(VLOOKUP($A60,Haver_M!$B$1:$BZ$300,MATCH(data!AR$1,Haver_M!$B$1:$BZ$1,0),FALSE)),VLOOKUP($A60,Haver_M!$B$1:$BZ$300,MATCH(data!AR$1,Haver_M!$B$1:$BZ$1,0),FALSE),"")</f>
        <v/>
      </c>
      <c r="AS60" t="str">
        <f>IF(ISNUMBER(VLOOKUP($A60,Haver_M!$B$1:$BZ$300,MATCH(data!AS$1,Haver_M!$B$1:$BZ$1,0),FALSE)),VLOOKUP($A60,Haver_M!$B$1:$BZ$300,MATCH(data!AS$1,Haver_M!$B$1:$BZ$1,0),FALSE),"")</f>
        <v/>
      </c>
      <c r="AT60" t="str">
        <f>IF(ISNUMBER(VLOOKUP($A60,Haver_M!$B$1:$BZ$300,MATCH(data!AT$1,Haver_M!$B$1:$BZ$1,0),FALSE)),VLOOKUP($A60,Haver_M!$B$1:$BZ$300,MATCH(data!AT$1,Haver_M!$B$1:$BZ$1,0),FALSE),"")</f>
        <v/>
      </c>
      <c r="AU60" t="str">
        <f>IF(ISNUMBER(VLOOKUP($A60,Haver_M!$B$1:$BZ$300,MATCH(data!AU$1,Haver_M!$B$1:$BZ$1,0),FALSE)),VLOOKUP($A60,Haver_M!$B$1:$BZ$300,MATCH(data!AU$1,Haver_M!$B$1:$BZ$1,0),FALSE),"")</f>
        <v/>
      </c>
      <c r="AV60" t="str">
        <f>IF(ISNUMBER(VLOOKUP($A60,Haver_M!$B$1:$BZ$300,MATCH(data!AV$1,Haver_M!$B$1:$BZ$1,0),FALSE)),VLOOKUP($A60,Haver_M!$B$1:$BZ$300,MATCH(data!AV$1,Haver_M!$B$1:$BZ$1,0),FALSE),"")</f>
        <v/>
      </c>
      <c r="AW60" t="str">
        <f>IF(ISNUMBER(VLOOKUP($A60,Haver_M!$B$1:$BZ$300,MATCH(data!AW$1,Haver_M!$B$1:$BZ$1,0),FALSE)),VLOOKUP($A60,Haver_M!$B$1:$BZ$300,MATCH(data!AW$1,Haver_M!$B$1:$BZ$1,0),FALSE),"")</f>
        <v/>
      </c>
      <c r="AX60" t="str">
        <f>IF(ISNUMBER(VLOOKUP($A60,Haver_M!$B$1:$BZ$300,MATCH(data!AX$1,Haver_M!$B$1:$BZ$1,0),FALSE)),VLOOKUP($A60,Haver_M!$B$1:$BZ$300,MATCH(data!AX$1,Haver_M!$B$1:$BZ$1,0),FALSE),"")</f>
        <v/>
      </c>
      <c r="AY60" t="str">
        <f>IF(ISNUMBER(VLOOKUP($A60,Haver_M!$B$1:$BZ$300,MATCH(data!AY$1,Haver_M!$B$1:$BZ$1,0),FALSE)),VLOOKUP($A60,Haver_M!$B$1:$BZ$300,MATCH(data!AY$1,Haver_M!$B$1:$BZ$1,0),FALSE),"")</f>
        <v/>
      </c>
      <c r="AZ60" t="str">
        <f>IF(ISNUMBER(VLOOKUP($A60,Haver_M!$B$1:$BZ$300,MATCH(data!AZ$1,Haver_M!$B$1:$BZ$1,0),FALSE)),VLOOKUP($A60,Haver_M!$B$1:$BZ$300,MATCH(data!AZ$1,Haver_M!$B$1:$BZ$1,0),FALSE),"")</f>
        <v/>
      </c>
      <c r="BA60" t="str">
        <f>IF(ISNUMBER(VLOOKUP($A60,Haver_M!$B$1:$BZ$300,MATCH(data!BA$1,Haver_M!$B$1:$BZ$1,0),FALSE)),VLOOKUP($A60,Haver_M!$B$1:$BZ$300,MATCH(data!BA$1,Haver_M!$B$1:$BZ$1,0),FALSE),"")</f>
        <v/>
      </c>
      <c r="BB60" t="str">
        <f>IF(ISNUMBER(VLOOKUP($A60,Haver_M!$B$1:$BZ$300,MATCH(data!BB$1,Haver_M!$B$1:$BZ$1,0),FALSE)),VLOOKUP($A60,Haver_M!$B$1:$BZ$300,MATCH(data!BB$1,Haver_M!$B$1:$BZ$1,0),FALSE),"")</f>
        <v/>
      </c>
      <c r="BC60" t="str">
        <f>IF(ISNUMBER(VLOOKUP($A60,Haver_M!$B$1:$BZ$300,MATCH(data!BC$1,Haver_M!$B$1:$BZ$1,0),FALSE)),VLOOKUP($A60,Haver_M!$B$1:$BZ$300,MATCH(data!BC$1,Haver_M!$B$1:$BZ$1,0),FALSE),"")</f>
        <v/>
      </c>
      <c r="BD60" t="str">
        <f>IF(ISNUMBER(VLOOKUP($A60,Haver_M!$B$1:$BZ$300,MATCH(data!BD$1,Haver_M!$B$1:$BZ$1,0),FALSE)),VLOOKUP($A60,Haver_M!$B$1:$BZ$300,MATCH(data!BD$1,Haver_M!$B$1:$BZ$1,0),FALSE),"")</f>
        <v/>
      </c>
      <c r="BE60" t="str">
        <f>IF(ISNUMBER(VLOOKUP($A60,Haver_M!$B$1:$BZ$300,MATCH(data!BE$1,Haver_M!$B$1:$BZ$1,0),FALSE)),VLOOKUP($A60,Haver_M!$B$1:$BZ$300,MATCH(data!BE$1,Haver_M!$B$1:$BZ$1,0),FALSE),"")</f>
        <v/>
      </c>
      <c r="BF60" t="str">
        <f>IF(ISNUMBER(VLOOKUP($A60,Haver_M!$B$1:$BZ$300,MATCH(data!BF$1,Haver_M!$B$1:$BZ$1,0),FALSE)),VLOOKUP($A60,Haver_M!$B$1:$BZ$300,MATCH(data!BF$1,Haver_M!$B$1:$BZ$1,0),FALSE),"")</f>
        <v/>
      </c>
      <c r="BG60" t="str">
        <f>IF(ISNUMBER(VLOOKUP($A60,Haver_M!$B$1:$BZ$300,MATCH(data!BG$1,Haver_M!$B$1:$BZ$1,0),FALSE)),VLOOKUP($A60,Haver_M!$B$1:$BZ$300,MATCH(data!BG$1,Haver_M!$B$1:$BZ$1,0),FALSE),"")</f>
        <v/>
      </c>
      <c r="BH60" t="str">
        <f>IF(ISNUMBER(VLOOKUP($A60,Haver_M!$B$1:$BZ$300,MATCH(data!BH$1,Haver_M!$B$1:$BZ$1,0),FALSE)),VLOOKUP($A60,Haver_M!$B$1:$BZ$300,MATCH(data!BH$1,Haver_M!$B$1:$BZ$1,0),FALSE),"")</f>
        <v/>
      </c>
      <c r="BI60" t="str">
        <f>IF(ISNUMBER(VLOOKUP($A60,Haver_M!$B$1:$BZ$300,MATCH(data!BI$1,Haver_M!$B$1:$BZ$1,0),FALSE)),VLOOKUP($A60,Haver_M!$B$1:$BZ$300,MATCH(data!BI$1,Haver_M!$B$1:$BZ$1,0),FALSE),"")</f>
        <v/>
      </c>
      <c r="BJ60" t="str">
        <f>IF(ISNUMBER(VLOOKUP($A60,Haver_M!$B$1:$BZ$300,MATCH(data!BJ$1,Haver_M!$B$1:$BZ$1,0),FALSE)),VLOOKUP($A60,Haver_M!$B$1:$BZ$300,MATCH(data!BJ$1,Haver_M!$B$1:$BZ$1,0),FALSE),"")</f>
        <v/>
      </c>
      <c r="BK60" t="str">
        <f>IF(ISNUMBER(VLOOKUP($A60,Haver_M!$B$1:$BZ$300,MATCH(data!BK$1,Haver_M!$B$1:$BZ$1,0),FALSE)),VLOOKUP($A60,Haver_M!$B$1:$BZ$300,MATCH(data!BK$1,Haver_M!$B$1:$BZ$1,0),FALSE),"")</f>
        <v/>
      </c>
      <c r="BL60">
        <f>IF(ISNUMBER(VLOOKUP($A60,Haver_M!$B$1:$BZ$300,MATCH(data!BL$1,Haver_M!$B$1:$BZ$1,0),FALSE)),VLOOKUP($A60,Haver_M!$B$1:$BZ$300,MATCH(data!BL$1,Haver_M!$B$1:$BZ$1,0),FALSE),"")</f>
        <v>5960.75</v>
      </c>
      <c r="BM60">
        <f>IF(ISNUMBER(VLOOKUP($A60,Haver_M!$B$1:$BZ$300,MATCH(data!BM$1,Haver_M!$B$1:$BZ$1,0),FALSE)),VLOOKUP($A60,Haver_M!$B$1:$BZ$300,MATCH(data!BM$1,Haver_M!$B$1:$BZ$1,0),FALSE),"")</f>
        <v>94.09543463</v>
      </c>
      <c r="BN60" t="str">
        <f>IF(ISNUMBER(VLOOKUP($A60,Haver_M!$B$1:$BZ$300,MATCH(data!BN$1,Haver_M!$B$1:$BZ$1,0),FALSE)),VLOOKUP($A60,Haver_M!$B$1:$BZ$300,MATCH(data!BN$1,Haver_M!$B$1:$BZ$1,0),FALSE),"")</f>
        <v/>
      </c>
      <c r="BO60" t="str">
        <f>IF(ISNUMBER(VLOOKUP($A60,Haver_M!$B$1:$BZ$300,MATCH(data!BO$1,Haver_M!$B$1:$BZ$1,0),FALSE)),VLOOKUP($A60,Haver_M!$B$1:$BZ$300,MATCH(data!BO$1,Haver_M!$B$1:$BZ$1,0),FALSE),"")</f>
        <v/>
      </c>
      <c r="BP60" t="str">
        <f>IF(ISNUMBER(VLOOKUP($A60,Haver_M!$B$1:$BZ$300,MATCH(data!BP$1,Haver_M!$B$1:$BZ$1,0),FALSE)),VLOOKUP($A60,Haver_M!$B$1:$BZ$300,MATCH(data!BP$1,Haver_M!$B$1:$BZ$1,0),FALSE),"")</f>
        <v/>
      </c>
      <c r="BQ60" t="str">
        <f>IF(ISNUMBER(VLOOKUP($A60,Haver_M!$B$1:$BZ$300,MATCH(data!BQ$1,Haver_M!$B$1:$BZ$1,0),FALSE)),VLOOKUP($A60,Haver_M!$B$1:$BZ$300,MATCH(data!BQ$1,Haver_M!$B$1:$BZ$1,0),FALSE),"")</f>
        <v/>
      </c>
      <c r="BR60" t="str">
        <f>IF(ISNUMBER(VLOOKUP($A60,Haver_M!$B$1:$BZ$300,MATCH(data!BR$1,Haver_M!$B$1:$BZ$1,0),FALSE)),VLOOKUP($A60,Haver_M!$B$1:$BZ$300,MATCH(data!BR$1,Haver_M!$B$1:$BZ$1,0),FALSE),"")</f>
        <v/>
      </c>
      <c r="BS60" t="str">
        <f>IF(ISNUMBER(VLOOKUP($A60,Haver_M!$B$1:$BZ$300,MATCH(data!BS$1,Haver_M!$B$1:$BZ$1,0),FALSE)),VLOOKUP($A60,Haver_M!$B$1:$BZ$300,MATCH(data!BS$1,Haver_M!$B$1:$BZ$1,0),FALSE),"")</f>
        <v/>
      </c>
      <c r="BT60" t="str">
        <f>IF(ISNUMBER(VLOOKUP($A60,Haver_M!$B$1:$BZ$300,MATCH(data!BT$1,Haver_M!$B$1:$BZ$1,0),FALSE)),VLOOKUP($A60,Haver_M!$B$1:$BZ$300,MATCH(data!BT$1,Haver_M!$B$1:$BZ$1,0),FALSE),"")</f>
        <v/>
      </c>
      <c r="BU60">
        <f>IF(ISNUMBER(VLOOKUP($A60,Haver_M!$B$1:$BZ$300,MATCH(data!BU$1,Haver_M!$B$1:$BZ$1,0),FALSE)),VLOOKUP($A60,Haver_M!$B$1:$BZ$300,MATCH(data!BU$1,Haver_M!$B$1:$BZ$1,0),FALSE),"")</f>
        <v>7086</v>
      </c>
      <c r="BV60">
        <f>IF(ISNUMBER(VLOOKUP($A60,Haver_M!$B$1:$BZ$300,MATCH(data!BV$1,Haver_M!$B$1:$BZ$1,0),FALSE)),VLOOKUP($A60,Haver_M!$B$1:$BZ$300,MATCH(data!BV$1,Haver_M!$B$1:$BZ$1,0),FALSE),"")</f>
        <v>9358</v>
      </c>
      <c r="BW60">
        <f>IF(ISNUMBER(VLOOKUP($A60,Haver_M!$B$1:$BZ$300,MATCH(data!BW$1,Haver_M!$B$1:$BZ$1,0),FALSE)),VLOOKUP($A60,Haver_M!$B$1:$BZ$300,MATCH(data!BW$1,Haver_M!$B$1:$BZ$1,0),FALSE),"")</f>
        <v>45.125100000000003</v>
      </c>
      <c r="BX60">
        <f>IF(ISNUMBER(VLOOKUP($A60,Haver_M!$B$1:$BZ$300,MATCH(data!BX$1,Haver_M!$B$1:$BZ$1,0),FALSE)),VLOOKUP($A60,Haver_M!$B$1:$BZ$300,MATCH(data!BX$1,Haver_M!$B$1:$BZ$1,0),FALSE),"")</f>
        <v>21800</v>
      </c>
    </row>
    <row r="61" spans="1:76" x14ac:dyDescent="0.25">
      <c r="A61" s="2">
        <v>38352</v>
      </c>
      <c r="B61">
        <f>IF(ISNUMBER(VLOOKUP($A61,Haver_Q!$B$1:$L$185,MATCH(data!B$1,Haver_Q!$B$1:$L$1,0),FALSE)),100*(VLOOKUP($A61,Haver_Q!$B$1:$L$185,MATCH(data!B$1,Haver_Q!$B$1:$L$1,0),FALSE)),"")</f>
        <v>7.2016504635045164</v>
      </c>
      <c r="C61">
        <f>IF(ISNUMBER(VLOOKUP($A61,Haver_Q!$B$1:$L$185,MATCH(data!C$1,Haver_Q!$B$1:$L$1,0),FALSE)),100*(VLOOKUP($A61,Haver_Q!$B$1:$L$185,MATCH(data!C$1,Haver_Q!$B$1:$L$1,0),FALSE)),"")</f>
        <v>1.762670429721136</v>
      </c>
      <c r="D61">
        <f>IF(ISNUMBER(VLOOKUP($A61,Haver_Q!$B$1:$L$185,MATCH(data!D$1,Haver_Q!$B$1:$L$1,0),FALSE)),100*(VLOOKUP($A61,Haver_Q!$B$1:$L$185,MATCH(data!D$1,Haver_Q!$B$1:$L$1,0),FALSE)),"")</f>
        <v>-0.70675019768250413</v>
      </c>
      <c r="E61">
        <f>IF(ISNUMBER(VLOOKUP($A61,Haver_Q!$B$1:$L$185,MATCH(data!E$1,Haver_Q!$B$1:$L$1,0),FALSE)),100*(VLOOKUP($A61,Haver_Q!$B$1:$L$185,MATCH(data!E$1,Haver_Q!$B$1:$L$1,0),FALSE)),"")</f>
        <v>13.580821317854586</v>
      </c>
      <c r="F61">
        <f>IF(ISNUMBER(VLOOKUP($A61,Haver_Q!$B$1:$L$185,MATCH(data!F$1,Haver_Q!$B$1:$L$1,0),FALSE)),100*(VLOOKUP($A61,Haver_Q!$B$1:$L$185,MATCH(data!F$1,Haver_Q!$B$1:$L$1,0),FALSE)),"")</f>
        <v>24.632311852039713</v>
      </c>
      <c r="G61">
        <f>IF(ISNUMBER(VLOOKUP($A61,Haver_Q!$B$1:$L$185,MATCH(data!G$1,Haver_Q!$B$1:$L$1,0),FALSE)),100*(VLOOKUP($A61,Haver_Q!$B$1:$L$185,MATCH(data!G$1,Haver_Q!$B$1:$L$1,0),FALSE)),"")</f>
        <v>58.021508367482944</v>
      </c>
      <c r="H61">
        <f>IF(ISNUMBER(VLOOKUP($A61,Haver_Q!$B$1:$L$185,MATCH(data!H$1,Haver_Q!$B$1:$L$1,0),FALSE)),(VLOOKUP($A61,Haver_Q!$B$1:$L$185,MATCH(data!H$1,Haver_Q!$B$1:$L$1,0),FALSE)),"")</f>
        <v>3.8515878041264604</v>
      </c>
      <c r="I61">
        <f>IF(ISNUMBER(VLOOKUP($A61,Haver_Q!$B$1:$L$185,MATCH(data!I$1,Haver_Q!$B$1:$L$1,0),FALSE)),100*(VLOOKUP($A61,Haver_Q!$B$1:$L$185,MATCH(data!I$1,Haver_Q!$B$1:$L$1,0),FALSE)),"")</f>
        <v>4.4764554897210207</v>
      </c>
      <c r="J61" s="3">
        <f>IF(ISNUMBER(Bloomberg_m!C77),Bloomberg_m!C77,"")</f>
        <v>5519</v>
      </c>
      <c r="K61" s="3" t="str">
        <f>IF(ISNUMBER(Bloomberg_m!D77),Bloomberg_m!D77,"")</f>
        <v/>
      </c>
      <c r="L61" s="3" t="str">
        <f>IF(ISNUMBER(Bloomberg_m!E77),Bloomberg_m!E77,"")</f>
        <v/>
      </c>
      <c r="M61" s="3" t="str">
        <f>IF(ISNUMBER(Bloomberg_m!F77),Bloomberg_m!F77,"")</f>
        <v/>
      </c>
      <c r="N61">
        <f>IF(ISNUMBER(VLOOKUP($A61,Haver_M!$B$1:$BZ$300,MATCH(data!N$1,Haver_M!$B$1:$BZ$1,0),FALSE)),VLOOKUP($A61,Haver_M!$B$1:$BZ$300,MATCH(data!N$1,Haver_M!$B$1:$BZ$1,0),FALSE),"")</f>
        <v>6</v>
      </c>
      <c r="O61">
        <f>IF(ISNUMBER(VLOOKUP($A61,Haver_M!$B$1:$BZ$300,MATCH(data!O$1,Haver_M!$B$1:$BZ$1,0),FALSE)),VLOOKUP($A61,Haver_M!$B$1:$BZ$300,MATCH(data!O$1,Haver_M!$B$1:$BZ$1,0),FALSE),"")</f>
        <v>6.5910000000000002</v>
      </c>
      <c r="P61">
        <f>IF(ISNUMBER(VLOOKUP($A61,Haver_M!$B$1:$BZ$300,MATCH(data!P$1,Haver_M!$B$1:$BZ$1,0),FALSE)),VLOOKUP($A61,Haver_M!$B$1:$BZ$300,MATCH(data!P$1,Haver_M!$B$1:$BZ$1,0),FALSE),"")</f>
        <v>93.700620000000001</v>
      </c>
      <c r="Q61">
        <f>IF(ISNUMBER(VLOOKUP($A61,Haver_M!$B$1:$BZ$300,MATCH(data!Q$1,Haver_M!$B$1:$BZ$1,0),FALSE)),VLOOKUP($A61,Haver_M!$B$1:$BZ$300,MATCH(data!Q$1,Haver_M!$B$1:$BZ$1,0),FALSE),"")</f>
        <v>55.9</v>
      </c>
      <c r="R61" t="str">
        <f>IF(ISNUMBER(VLOOKUP($A61,Haver_M!$B$1:$BZ$300,MATCH(data!R$1,Haver_M!$B$1:$BZ$1,0),FALSE)),VLOOKUP($A61,Haver_M!$B$1:$BZ$300,MATCH(data!R$1,Haver_M!$B$1:$BZ$1,0),FALSE),"")</f>
        <v/>
      </c>
      <c r="S61">
        <f>IF(ISNUMBER(VLOOKUP($A61,Haver_M!$B$1:$BZ$300,MATCH(data!S$1,Haver_M!$B$1:$BZ$1,0),FALSE)),VLOOKUP($A61,Haver_M!$B$1:$BZ$300,MATCH(data!S$1,Haver_M!$B$1:$BZ$1,0),FALSE),"")</f>
        <v>61.48</v>
      </c>
      <c r="T61">
        <f>IF(ISNUMBER(VLOOKUP($A61,Haver_M!$B$1:$BZ$300,MATCH(data!T$1,Haver_M!$B$1:$BZ$1,0),FALSE)),VLOOKUP($A61,Haver_M!$B$1:$BZ$300,MATCH(data!T$1,Haver_M!$B$1:$BZ$1,0),FALSE),"")</f>
        <v>67.42</v>
      </c>
      <c r="U61">
        <f>IF(ISNUMBER(VLOOKUP($A61,Haver_M!$B$1:$BZ$300,MATCH(data!U$1,Haver_M!$B$1:$BZ$1,0),FALSE)),VLOOKUP($A61,Haver_M!$B$1:$BZ$300,MATCH(data!U$1,Haver_M!$B$1:$BZ$1,0),FALSE),"")</f>
        <v>43.8</v>
      </c>
      <c r="V61">
        <f>IF(ISNUMBER(VLOOKUP($A61,Haver_M!$B$1:$BZ$300,MATCH(data!V$1,Haver_M!$B$1:$BZ$1,0),FALSE)),VLOOKUP($A61,Haver_M!$B$1:$BZ$300,MATCH(data!V$1,Haver_M!$B$1:$BZ$1,0),FALSE),"")</f>
        <v>72.959999999999994</v>
      </c>
      <c r="W61" t="str">
        <f>IF(ISNUMBER(VLOOKUP($A61,Haver_M!$B$1:$BZ$300,MATCH(data!W$1,Haver_M!$B$1:$BZ$1,0),FALSE)),VLOOKUP($A61,Haver_M!$B$1:$BZ$300,MATCH(data!W$1,Haver_M!$B$1:$BZ$1,0),FALSE),"")</f>
        <v/>
      </c>
      <c r="X61">
        <f>IF(ISNUMBER(VLOOKUP($A61,Haver_M!$B$1:$BZ$300,MATCH(data!X$1,Haver_M!$B$1:$BZ$1,0),FALSE)),VLOOKUP($A61,Haver_M!$B$1:$BZ$300,MATCH(data!X$1,Haver_M!$B$1:$BZ$1,0),FALSE),"")</f>
        <v>37.99</v>
      </c>
      <c r="Y61">
        <f>IF(ISNUMBER(VLOOKUP($A61,Haver_M!$B$1:$BZ$300,MATCH(data!Y$1,Haver_M!$B$1:$BZ$1,0),FALSE)),VLOOKUP($A61,Haver_M!$B$1:$BZ$300,MATCH(data!Y$1,Haver_M!$B$1:$BZ$1,0),FALSE),"")</f>
        <v>66.150000000000006</v>
      </c>
      <c r="Z61">
        <f>IF(ISNUMBER(VLOOKUP($A61,Haver_M!$B$1:$BZ$300,MATCH(data!Z$1,Haver_M!$B$1:$BZ$1,0),FALSE)),VLOOKUP($A61,Haver_M!$B$1:$BZ$300,MATCH(data!Z$1,Haver_M!$B$1:$BZ$1,0),FALSE),"")</f>
        <v>70</v>
      </c>
      <c r="AA61">
        <f>IF(ISNUMBER(VLOOKUP($A61,Haver_M!$B$1:$BZ$300,MATCH(data!AA$1,Haver_M!$B$1:$BZ$1,0),FALSE)),VLOOKUP($A61,Haver_M!$B$1:$BZ$300,MATCH(data!AA$1,Haver_M!$B$1:$BZ$1,0),FALSE),"")</f>
        <v>72.322999999999993</v>
      </c>
      <c r="AB61">
        <f>IF(ISNUMBER(VLOOKUP($A61,Haver_M!$B$1:$BZ$300,MATCH(data!AB$1,Haver_M!$B$1:$BZ$1,0),FALSE)),VLOOKUP($A61,Haver_M!$B$1:$BZ$300,MATCH(data!AB$1,Haver_M!$B$1:$BZ$1,0),FALSE),"")</f>
        <v>89.784999999999997</v>
      </c>
      <c r="AC61">
        <f>IF(ISNUMBER(VLOOKUP($A61,Haver_M!$B$1:$BZ$300,MATCH(data!AC$1,Haver_M!$B$1:$BZ$1,0),FALSE)),VLOOKUP($A61,Haver_M!$B$1:$BZ$300,MATCH(data!AC$1,Haver_M!$B$1:$BZ$1,0),FALSE),"")</f>
        <v>68.671000000000006</v>
      </c>
      <c r="AD61">
        <f>IF(ISNUMBER(VLOOKUP($A61,Haver_M!$B$1:$BZ$300,MATCH(data!AD$1,Haver_M!$B$1:$BZ$1,0),FALSE)),VLOOKUP($A61,Haver_M!$B$1:$BZ$300,MATCH(data!AD$1,Haver_M!$B$1:$BZ$1,0),FALSE),"")</f>
        <v>74.751000000000005</v>
      </c>
      <c r="AE61">
        <f>IF(ISNUMBER(VLOOKUP($A61,Haver_M!$B$1:$BZ$300,MATCH(data!AE$1,Haver_M!$B$1:$BZ$1,0),FALSE)),VLOOKUP($A61,Haver_M!$B$1:$BZ$300,MATCH(data!AE$1,Haver_M!$B$1:$BZ$1,0),FALSE),"")</f>
        <v>94.171999999999997</v>
      </c>
      <c r="AF61">
        <f>IF(ISNUMBER(VLOOKUP($A61,Haver_M!$B$1:$BZ$300,MATCH(data!AF$1,Haver_M!$B$1:$BZ$1,0),FALSE)),VLOOKUP($A61,Haver_M!$B$1:$BZ$300,MATCH(data!AF$1,Haver_M!$B$1:$BZ$1,0),FALSE),"")</f>
        <v>57.051000000000002</v>
      </c>
      <c r="AG61">
        <f>IF(ISNUMBER(VLOOKUP($A61,Haver_M!$B$1:$BZ$300,MATCH(data!AG$1,Haver_M!$B$1:$BZ$1,0),FALSE)),VLOOKUP($A61,Haver_M!$B$1:$BZ$300,MATCH(data!AG$1,Haver_M!$B$1:$BZ$1,0),FALSE),"")</f>
        <v>58.161000000000001</v>
      </c>
      <c r="AH61">
        <f>IF(ISNUMBER(VLOOKUP($A61,Haver_M!$B$1:$BZ$300,MATCH(data!AH$1,Haver_M!$B$1:$BZ$1,0),FALSE)),VLOOKUP($A61,Haver_M!$B$1:$BZ$300,MATCH(data!AH$1,Haver_M!$B$1:$BZ$1,0),FALSE),"")</f>
        <v>68.254000000000005</v>
      </c>
      <c r="AI61">
        <f>IF(ISNUMBER(VLOOKUP($A61,Haver_M!$B$1:$BZ$300,MATCH(data!AI$1,Haver_M!$B$1:$BZ$1,0),FALSE)),VLOOKUP($A61,Haver_M!$B$1:$BZ$300,MATCH(data!AI$1,Haver_M!$B$1:$BZ$1,0),FALSE),"")</f>
        <v>9454.3100997435213</v>
      </c>
      <c r="AJ61">
        <f>IF(ISNUMBER(VLOOKUP($A61,Haver_M!$B$1:$BZ$300,MATCH(data!AJ$1,Haver_M!$B$1:$BZ$1,0),FALSE)),VLOOKUP($A61,Haver_M!$B$1:$BZ$300,MATCH(data!AJ$1,Haver_M!$B$1:$BZ$1,0),FALSE),"")</f>
        <v>7519.11</v>
      </c>
      <c r="AK61">
        <f>IF(ISNUMBER(VLOOKUP($A61,Haver_M!$B$1:$BZ$300,MATCH(data!AK$1,Haver_M!$B$1:$BZ$1,0),FALSE)),VLOOKUP($A61,Haver_M!$B$1:$BZ$300,MATCH(data!AK$1,Haver_M!$B$1:$BZ$1,0),FALSE),"")</f>
        <v>10600.48</v>
      </c>
      <c r="AL61" t="str">
        <f>IF(ISNUMBER(VLOOKUP($A61,Haver_M!$B$1:$BZ$300,MATCH(data!AL$1,Haver_M!$B$1:$BZ$1,0),FALSE)),VLOOKUP($A61,Haver_M!$B$1:$BZ$300,MATCH(data!AL$1,Haver_M!$B$1:$BZ$1,0),FALSE),"")</f>
        <v/>
      </c>
      <c r="AM61" t="str">
        <f>IF(ISNUMBER(VLOOKUP($A61,Haver_M!$B$1:$BZ$300,MATCH(data!AM$1,Haver_M!$B$1:$BZ$1,0),FALSE)),VLOOKUP($A61,Haver_M!$B$1:$BZ$300,MATCH(data!AM$1,Haver_M!$B$1:$BZ$1,0),FALSE),"")</f>
        <v/>
      </c>
      <c r="AN61" t="str">
        <f>IF(ISNUMBER(VLOOKUP($A61,Haver_M!$B$1:$BZ$300,MATCH(data!AN$1,Haver_M!$B$1:$BZ$1,0),FALSE)),VLOOKUP($A61,Haver_M!$B$1:$BZ$300,MATCH(data!AN$1,Haver_M!$B$1:$BZ$1,0),FALSE),"")</f>
        <v/>
      </c>
      <c r="AO61" t="str">
        <f>IF(ISNUMBER(VLOOKUP($A61,Haver_M!$B$1:$BZ$300,MATCH(data!AO$1,Haver_M!$B$1:$BZ$1,0),FALSE)),VLOOKUP($A61,Haver_M!$B$1:$BZ$300,MATCH(data!AO$1,Haver_M!$B$1:$BZ$1,0),FALSE),"")</f>
        <v/>
      </c>
      <c r="AP61">
        <f>IF(ISNUMBER(VLOOKUP($A61,Haver_M!$B$1:$BZ$300,MATCH(data!AP$1,Haver_M!$B$1:$BZ$1,0),FALSE)),VLOOKUP($A61,Haver_M!$B$1:$BZ$300,MATCH(data!AP$1,Haver_M!$B$1:$BZ$1,0),FALSE),"")</f>
        <v>54.208720548683907</v>
      </c>
      <c r="AQ61" t="str">
        <f>IF(ISNUMBER(VLOOKUP($A61,Haver_M!$B$1:$BZ$300,MATCH(data!AQ$1,Haver_M!$B$1:$BZ$1,0),FALSE)),VLOOKUP($A61,Haver_M!$B$1:$BZ$300,MATCH(data!AQ$1,Haver_M!$B$1:$BZ$1,0),FALSE),"")</f>
        <v/>
      </c>
      <c r="AR61" t="str">
        <f>IF(ISNUMBER(VLOOKUP($A61,Haver_M!$B$1:$BZ$300,MATCH(data!AR$1,Haver_M!$B$1:$BZ$1,0),FALSE)),VLOOKUP($A61,Haver_M!$B$1:$BZ$300,MATCH(data!AR$1,Haver_M!$B$1:$BZ$1,0),FALSE),"")</f>
        <v/>
      </c>
      <c r="AS61" t="str">
        <f>IF(ISNUMBER(VLOOKUP($A61,Haver_M!$B$1:$BZ$300,MATCH(data!AS$1,Haver_M!$B$1:$BZ$1,0),FALSE)),VLOOKUP($A61,Haver_M!$B$1:$BZ$300,MATCH(data!AS$1,Haver_M!$B$1:$BZ$1,0),FALSE),"")</f>
        <v/>
      </c>
      <c r="AT61" t="str">
        <f>IF(ISNUMBER(VLOOKUP($A61,Haver_M!$B$1:$BZ$300,MATCH(data!AT$1,Haver_M!$B$1:$BZ$1,0),FALSE)),VLOOKUP($A61,Haver_M!$B$1:$BZ$300,MATCH(data!AT$1,Haver_M!$B$1:$BZ$1,0),FALSE),"")</f>
        <v/>
      </c>
      <c r="AU61" t="str">
        <f>IF(ISNUMBER(VLOOKUP($A61,Haver_M!$B$1:$BZ$300,MATCH(data!AU$1,Haver_M!$B$1:$BZ$1,0),FALSE)),VLOOKUP($A61,Haver_M!$B$1:$BZ$300,MATCH(data!AU$1,Haver_M!$B$1:$BZ$1,0),FALSE),"")</f>
        <v/>
      </c>
      <c r="AV61" t="str">
        <f>IF(ISNUMBER(VLOOKUP($A61,Haver_M!$B$1:$BZ$300,MATCH(data!AV$1,Haver_M!$B$1:$BZ$1,0),FALSE)),VLOOKUP($A61,Haver_M!$B$1:$BZ$300,MATCH(data!AV$1,Haver_M!$B$1:$BZ$1,0),FALSE),"")</f>
        <v/>
      </c>
      <c r="AW61" t="str">
        <f>IF(ISNUMBER(VLOOKUP($A61,Haver_M!$B$1:$BZ$300,MATCH(data!AW$1,Haver_M!$B$1:$BZ$1,0),FALSE)),VLOOKUP($A61,Haver_M!$B$1:$BZ$300,MATCH(data!AW$1,Haver_M!$B$1:$BZ$1,0),FALSE),"")</f>
        <v/>
      </c>
      <c r="AX61" t="str">
        <f>IF(ISNUMBER(VLOOKUP($A61,Haver_M!$B$1:$BZ$300,MATCH(data!AX$1,Haver_M!$B$1:$BZ$1,0),FALSE)),VLOOKUP($A61,Haver_M!$B$1:$BZ$300,MATCH(data!AX$1,Haver_M!$B$1:$BZ$1,0),FALSE),"")</f>
        <v/>
      </c>
      <c r="AY61" t="str">
        <f>IF(ISNUMBER(VLOOKUP($A61,Haver_M!$B$1:$BZ$300,MATCH(data!AY$1,Haver_M!$B$1:$BZ$1,0),FALSE)),VLOOKUP($A61,Haver_M!$B$1:$BZ$300,MATCH(data!AY$1,Haver_M!$B$1:$BZ$1,0),FALSE),"")</f>
        <v/>
      </c>
      <c r="AZ61" t="str">
        <f>IF(ISNUMBER(VLOOKUP($A61,Haver_M!$B$1:$BZ$300,MATCH(data!AZ$1,Haver_M!$B$1:$BZ$1,0),FALSE)),VLOOKUP($A61,Haver_M!$B$1:$BZ$300,MATCH(data!AZ$1,Haver_M!$B$1:$BZ$1,0),FALSE),"")</f>
        <v/>
      </c>
      <c r="BA61" t="str">
        <f>IF(ISNUMBER(VLOOKUP($A61,Haver_M!$B$1:$BZ$300,MATCH(data!BA$1,Haver_M!$B$1:$BZ$1,0),FALSE)),VLOOKUP($A61,Haver_M!$B$1:$BZ$300,MATCH(data!BA$1,Haver_M!$B$1:$BZ$1,0),FALSE),"")</f>
        <v/>
      </c>
      <c r="BB61" t="str">
        <f>IF(ISNUMBER(VLOOKUP($A61,Haver_M!$B$1:$BZ$300,MATCH(data!BB$1,Haver_M!$B$1:$BZ$1,0),FALSE)),VLOOKUP($A61,Haver_M!$B$1:$BZ$300,MATCH(data!BB$1,Haver_M!$B$1:$BZ$1,0),FALSE),"")</f>
        <v/>
      </c>
      <c r="BC61" t="str">
        <f>IF(ISNUMBER(VLOOKUP($A61,Haver_M!$B$1:$BZ$300,MATCH(data!BC$1,Haver_M!$B$1:$BZ$1,0),FALSE)),VLOOKUP($A61,Haver_M!$B$1:$BZ$300,MATCH(data!BC$1,Haver_M!$B$1:$BZ$1,0),FALSE),"")</f>
        <v/>
      </c>
      <c r="BD61" t="str">
        <f>IF(ISNUMBER(VLOOKUP($A61,Haver_M!$B$1:$BZ$300,MATCH(data!BD$1,Haver_M!$B$1:$BZ$1,0),FALSE)),VLOOKUP($A61,Haver_M!$B$1:$BZ$300,MATCH(data!BD$1,Haver_M!$B$1:$BZ$1,0),FALSE),"")</f>
        <v/>
      </c>
      <c r="BE61" t="str">
        <f>IF(ISNUMBER(VLOOKUP($A61,Haver_M!$B$1:$BZ$300,MATCH(data!BE$1,Haver_M!$B$1:$BZ$1,0),FALSE)),VLOOKUP($A61,Haver_M!$B$1:$BZ$300,MATCH(data!BE$1,Haver_M!$B$1:$BZ$1,0),FALSE),"")</f>
        <v/>
      </c>
      <c r="BF61" t="str">
        <f>IF(ISNUMBER(VLOOKUP($A61,Haver_M!$B$1:$BZ$300,MATCH(data!BF$1,Haver_M!$B$1:$BZ$1,0),FALSE)),VLOOKUP($A61,Haver_M!$B$1:$BZ$300,MATCH(data!BF$1,Haver_M!$B$1:$BZ$1,0),FALSE),"")</f>
        <v/>
      </c>
      <c r="BG61" t="str">
        <f>IF(ISNUMBER(VLOOKUP($A61,Haver_M!$B$1:$BZ$300,MATCH(data!BG$1,Haver_M!$B$1:$BZ$1,0),FALSE)),VLOOKUP($A61,Haver_M!$B$1:$BZ$300,MATCH(data!BG$1,Haver_M!$B$1:$BZ$1,0),FALSE),"")</f>
        <v/>
      </c>
      <c r="BH61" t="str">
        <f>IF(ISNUMBER(VLOOKUP($A61,Haver_M!$B$1:$BZ$300,MATCH(data!BH$1,Haver_M!$B$1:$BZ$1,0),FALSE)),VLOOKUP($A61,Haver_M!$B$1:$BZ$300,MATCH(data!BH$1,Haver_M!$B$1:$BZ$1,0),FALSE),"")</f>
        <v/>
      </c>
      <c r="BI61" t="str">
        <f>IF(ISNUMBER(VLOOKUP($A61,Haver_M!$B$1:$BZ$300,MATCH(data!BI$1,Haver_M!$B$1:$BZ$1,0),FALSE)),VLOOKUP($A61,Haver_M!$B$1:$BZ$300,MATCH(data!BI$1,Haver_M!$B$1:$BZ$1,0),FALSE),"")</f>
        <v/>
      </c>
      <c r="BJ61" t="str">
        <f>IF(ISNUMBER(VLOOKUP($A61,Haver_M!$B$1:$BZ$300,MATCH(data!BJ$1,Haver_M!$B$1:$BZ$1,0),FALSE)),VLOOKUP($A61,Haver_M!$B$1:$BZ$300,MATCH(data!BJ$1,Haver_M!$B$1:$BZ$1,0),FALSE),"")</f>
        <v/>
      </c>
      <c r="BK61" t="str">
        <f>IF(ISNUMBER(VLOOKUP($A61,Haver_M!$B$1:$BZ$300,MATCH(data!BK$1,Haver_M!$B$1:$BZ$1,0),FALSE)),VLOOKUP($A61,Haver_M!$B$1:$BZ$300,MATCH(data!BK$1,Haver_M!$B$1:$BZ$1,0),FALSE),"")</f>
        <v/>
      </c>
      <c r="BL61">
        <f>IF(ISNUMBER(VLOOKUP($A61,Haver_M!$B$1:$BZ$300,MATCH(data!BL$1,Haver_M!$B$1:$BZ$1,0),FALSE)),VLOOKUP($A61,Haver_M!$B$1:$BZ$300,MATCH(data!BL$1,Haver_M!$B$1:$BZ$1,0),FALSE),"")</f>
        <v>6393.83</v>
      </c>
      <c r="BM61">
        <f>IF(ISNUMBER(VLOOKUP($A61,Haver_M!$B$1:$BZ$300,MATCH(data!BM$1,Haver_M!$B$1:$BZ$1,0),FALSE)),VLOOKUP($A61,Haver_M!$B$1:$BZ$300,MATCH(data!BM$1,Haver_M!$B$1:$BZ$1,0),FALSE),"")</f>
        <v>93.563651309999997</v>
      </c>
      <c r="BN61">
        <f>IF(ISNUMBER(VLOOKUP($A61,Haver_M!$B$1:$BZ$300,MATCH(data!BN$1,Haver_M!$B$1:$BZ$1,0),FALSE)),VLOOKUP($A61,Haver_M!$B$1:$BZ$300,MATCH(data!BN$1,Haver_M!$B$1:$BZ$1,0),FALSE),"")</f>
        <v>122</v>
      </c>
      <c r="BO61">
        <f>IF(ISNUMBER(VLOOKUP($A61,Haver_M!$B$1:$BZ$300,MATCH(data!BO$1,Haver_M!$B$1:$BZ$1,0),FALSE)),VLOOKUP($A61,Haver_M!$B$1:$BZ$300,MATCH(data!BO$1,Haver_M!$B$1:$BZ$1,0),FALSE),"")</f>
        <v>121.5</v>
      </c>
      <c r="BP61">
        <f>IF(ISNUMBER(VLOOKUP($A61,Haver_M!$B$1:$BZ$300,MATCH(data!BP$1,Haver_M!$B$1:$BZ$1,0),FALSE)),VLOOKUP($A61,Haver_M!$B$1:$BZ$300,MATCH(data!BP$1,Haver_M!$B$1:$BZ$1,0),FALSE),"")</f>
        <v>47.4</v>
      </c>
      <c r="BQ61" t="str">
        <f>IF(ISNUMBER(VLOOKUP($A61,Haver_M!$B$1:$BZ$300,MATCH(data!BQ$1,Haver_M!$B$1:$BZ$1,0),FALSE)),VLOOKUP($A61,Haver_M!$B$1:$BZ$300,MATCH(data!BQ$1,Haver_M!$B$1:$BZ$1,0),FALSE),"")</f>
        <v/>
      </c>
      <c r="BR61" t="str">
        <f>IF(ISNUMBER(VLOOKUP($A61,Haver_M!$B$1:$BZ$300,MATCH(data!BR$1,Haver_M!$B$1:$BZ$1,0),FALSE)),VLOOKUP($A61,Haver_M!$B$1:$BZ$300,MATCH(data!BR$1,Haver_M!$B$1:$BZ$1,0),FALSE),"")</f>
        <v/>
      </c>
      <c r="BS61" t="str">
        <f>IF(ISNUMBER(VLOOKUP($A61,Haver_M!$B$1:$BZ$300,MATCH(data!BS$1,Haver_M!$B$1:$BZ$1,0),FALSE)),VLOOKUP($A61,Haver_M!$B$1:$BZ$300,MATCH(data!BS$1,Haver_M!$B$1:$BZ$1,0),FALSE),"")</f>
        <v/>
      </c>
      <c r="BT61" t="str">
        <f>IF(ISNUMBER(VLOOKUP($A61,Haver_M!$B$1:$BZ$300,MATCH(data!BT$1,Haver_M!$B$1:$BZ$1,0),FALSE)),VLOOKUP($A61,Haver_M!$B$1:$BZ$300,MATCH(data!BT$1,Haver_M!$B$1:$BZ$1,0),FALSE),"")</f>
        <v/>
      </c>
      <c r="BU61">
        <f>IF(ISNUMBER(VLOOKUP($A61,Haver_M!$B$1:$BZ$300,MATCH(data!BU$1,Haver_M!$B$1:$BZ$1,0),FALSE)),VLOOKUP($A61,Haver_M!$B$1:$BZ$300,MATCH(data!BU$1,Haver_M!$B$1:$BZ$1,0),FALSE),"")</f>
        <v>7357</v>
      </c>
      <c r="BV61">
        <f>IF(ISNUMBER(VLOOKUP($A61,Haver_M!$B$1:$BZ$300,MATCH(data!BV$1,Haver_M!$B$1:$BZ$1,0),FALSE)),VLOOKUP($A61,Haver_M!$B$1:$BZ$300,MATCH(data!BV$1,Haver_M!$B$1:$BZ$1,0),FALSE),"")</f>
        <v>10457</v>
      </c>
      <c r="BW61">
        <f>IF(ISNUMBER(VLOOKUP($A61,Haver_M!$B$1:$BZ$300,MATCH(data!BW$1,Haver_M!$B$1:$BZ$1,0),FALSE)),VLOOKUP($A61,Haver_M!$B$1:$BZ$300,MATCH(data!BW$1,Haver_M!$B$1:$BZ$1,0),FALSE),"")</f>
        <v>43.979599999999998</v>
      </c>
      <c r="BX61">
        <f>IF(ISNUMBER(VLOOKUP($A61,Haver_M!$B$1:$BZ$300,MATCH(data!BX$1,Haver_M!$B$1:$BZ$1,0),FALSE)),VLOOKUP($A61,Haver_M!$B$1:$BZ$300,MATCH(data!BX$1,Haver_M!$B$1:$BZ$1,0),FALSE),"")</f>
        <v>21697</v>
      </c>
    </row>
    <row r="62" spans="1:76" x14ac:dyDescent="0.25">
      <c r="A62" s="2">
        <v>38383</v>
      </c>
      <c r="B62" t="str">
        <f>IF(ISNUMBER(VLOOKUP($A62,Haver_Q!$B$1:$L$185,MATCH(data!B$1,Haver_Q!$B$1:$L$1,0),FALSE)),100*(VLOOKUP($A62,Haver_Q!$B$1:$L$185,MATCH(data!B$1,Haver_Q!$B$1:$L$1,0),FALSE)),"")</f>
        <v/>
      </c>
      <c r="C62" t="str">
        <f>IF(ISNUMBER(VLOOKUP($A62,Haver_Q!$B$1:$L$185,MATCH(data!C$1,Haver_Q!$B$1:$L$1,0),FALSE)),100*(VLOOKUP($A62,Haver_Q!$B$1:$L$185,MATCH(data!C$1,Haver_Q!$B$1:$L$1,0),FALSE)),"")</f>
        <v/>
      </c>
      <c r="D62" t="str">
        <f>IF(ISNUMBER(VLOOKUP($A62,Haver_Q!$B$1:$L$185,MATCH(data!D$1,Haver_Q!$B$1:$L$1,0),FALSE)),100*(VLOOKUP($A62,Haver_Q!$B$1:$L$185,MATCH(data!D$1,Haver_Q!$B$1:$L$1,0),FALSE)),"")</f>
        <v/>
      </c>
      <c r="E62" t="str">
        <f>IF(ISNUMBER(VLOOKUP($A62,Haver_Q!$B$1:$L$185,MATCH(data!E$1,Haver_Q!$B$1:$L$1,0),FALSE)),100*(VLOOKUP($A62,Haver_Q!$B$1:$L$185,MATCH(data!E$1,Haver_Q!$B$1:$L$1,0),FALSE)),"")</f>
        <v/>
      </c>
      <c r="F62" t="str">
        <f>IF(ISNUMBER(VLOOKUP($A62,Haver_Q!$B$1:$L$185,MATCH(data!F$1,Haver_Q!$B$1:$L$1,0),FALSE)),100*(VLOOKUP($A62,Haver_Q!$B$1:$L$185,MATCH(data!F$1,Haver_Q!$B$1:$L$1,0),FALSE)),"")</f>
        <v/>
      </c>
      <c r="G62" t="str">
        <f>IF(ISNUMBER(VLOOKUP($A62,Haver_Q!$B$1:$L$185,MATCH(data!G$1,Haver_Q!$B$1:$L$1,0),FALSE)),100*(VLOOKUP($A62,Haver_Q!$B$1:$L$185,MATCH(data!G$1,Haver_Q!$B$1:$L$1,0),FALSE)),"")</f>
        <v/>
      </c>
      <c r="H62" t="str">
        <f>IF(ISNUMBER(VLOOKUP($A62,Haver_Q!$B$1:$L$185,MATCH(data!H$1,Haver_Q!$B$1:$L$1,0),FALSE)),(VLOOKUP($A62,Haver_Q!$B$1:$L$185,MATCH(data!H$1,Haver_Q!$B$1:$L$1,0),FALSE)),"")</f>
        <v/>
      </c>
      <c r="I62" t="str">
        <f>IF(ISNUMBER(VLOOKUP($A62,Haver_Q!$B$1:$L$185,MATCH(data!I$1,Haver_Q!$B$1:$L$1,0),FALSE)),100*(VLOOKUP($A62,Haver_Q!$B$1:$L$185,MATCH(data!I$1,Haver_Q!$B$1:$L$1,0),FALSE)),"")</f>
        <v/>
      </c>
      <c r="J62" s="3">
        <f>IF(ISNUMBER(Bloomberg_m!C78),Bloomberg_m!C78,"")</f>
        <v>4502</v>
      </c>
      <c r="K62" s="3" t="str">
        <f>IF(ISNUMBER(Bloomberg_m!D78),Bloomberg_m!D78,"")</f>
        <v/>
      </c>
      <c r="L62" s="3" t="str">
        <f>IF(ISNUMBER(Bloomberg_m!E78),Bloomberg_m!E78,"")</f>
        <v/>
      </c>
      <c r="M62" s="3" t="str">
        <f>IF(ISNUMBER(Bloomberg_m!F78),Bloomberg_m!F78,"")</f>
        <v/>
      </c>
      <c r="N62">
        <f>IF(ISNUMBER(VLOOKUP($A62,Haver_M!$B$1:$BZ$300,MATCH(data!N$1,Haver_M!$B$1:$BZ$1,0),FALSE)),VLOOKUP($A62,Haver_M!$B$1:$BZ$300,MATCH(data!N$1,Haver_M!$B$1:$BZ$1,0),FALSE),"")</f>
        <v>6</v>
      </c>
      <c r="O62">
        <f>IF(ISNUMBER(VLOOKUP($A62,Haver_M!$B$1:$BZ$300,MATCH(data!O$1,Haver_M!$B$1:$BZ$1,0),FALSE)),VLOOKUP($A62,Haver_M!$B$1:$BZ$300,MATCH(data!O$1,Haver_M!$B$1:$BZ$1,0),FALSE),"")</f>
        <v>6.7091000000000003</v>
      </c>
      <c r="P62">
        <f>IF(ISNUMBER(VLOOKUP($A62,Haver_M!$B$1:$BZ$300,MATCH(data!P$1,Haver_M!$B$1:$BZ$1,0),FALSE)),VLOOKUP($A62,Haver_M!$B$1:$BZ$300,MATCH(data!P$1,Haver_M!$B$1:$BZ$1,0),FALSE),"")</f>
        <v>94.850970000000004</v>
      </c>
      <c r="Q62">
        <f>IF(ISNUMBER(VLOOKUP($A62,Haver_M!$B$1:$BZ$300,MATCH(data!Q$1,Haver_M!$B$1:$BZ$1,0),FALSE)),VLOOKUP($A62,Haver_M!$B$1:$BZ$300,MATCH(data!Q$1,Haver_M!$B$1:$BZ$1,0),FALSE),"")</f>
        <v>56.3</v>
      </c>
      <c r="R62" t="str">
        <f>IF(ISNUMBER(VLOOKUP($A62,Haver_M!$B$1:$BZ$300,MATCH(data!R$1,Haver_M!$B$1:$BZ$1,0),FALSE)),VLOOKUP($A62,Haver_M!$B$1:$BZ$300,MATCH(data!R$1,Haver_M!$B$1:$BZ$1,0),FALSE),"")</f>
        <v/>
      </c>
      <c r="S62">
        <f>IF(ISNUMBER(VLOOKUP($A62,Haver_M!$B$1:$BZ$300,MATCH(data!S$1,Haver_M!$B$1:$BZ$1,0),FALSE)),VLOOKUP($A62,Haver_M!$B$1:$BZ$300,MATCH(data!S$1,Haver_M!$B$1:$BZ$1,0),FALSE),"")</f>
        <v>61.44</v>
      </c>
      <c r="T62">
        <f>IF(ISNUMBER(VLOOKUP($A62,Haver_M!$B$1:$BZ$300,MATCH(data!T$1,Haver_M!$B$1:$BZ$1,0),FALSE)),VLOOKUP($A62,Haver_M!$B$1:$BZ$300,MATCH(data!T$1,Haver_M!$B$1:$BZ$1,0),FALSE),"")</f>
        <v>67.239999999999995</v>
      </c>
      <c r="U62">
        <f>IF(ISNUMBER(VLOOKUP($A62,Haver_M!$B$1:$BZ$300,MATCH(data!U$1,Haver_M!$B$1:$BZ$1,0),FALSE)),VLOOKUP($A62,Haver_M!$B$1:$BZ$300,MATCH(data!U$1,Haver_M!$B$1:$BZ$1,0),FALSE),"")</f>
        <v>41.84</v>
      </c>
      <c r="V62">
        <f>IF(ISNUMBER(VLOOKUP($A62,Haver_M!$B$1:$BZ$300,MATCH(data!V$1,Haver_M!$B$1:$BZ$1,0),FALSE)),VLOOKUP($A62,Haver_M!$B$1:$BZ$300,MATCH(data!V$1,Haver_M!$B$1:$BZ$1,0),FALSE),"")</f>
        <v>71.290000000000006</v>
      </c>
      <c r="W62" t="str">
        <f>IF(ISNUMBER(VLOOKUP($A62,Haver_M!$B$1:$BZ$300,MATCH(data!W$1,Haver_M!$B$1:$BZ$1,0),FALSE)),VLOOKUP($A62,Haver_M!$B$1:$BZ$300,MATCH(data!W$1,Haver_M!$B$1:$BZ$1,0),FALSE),"")</f>
        <v/>
      </c>
      <c r="X62">
        <f>IF(ISNUMBER(VLOOKUP($A62,Haver_M!$B$1:$BZ$300,MATCH(data!X$1,Haver_M!$B$1:$BZ$1,0),FALSE)),VLOOKUP($A62,Haver_M!$B$1:$BZ$300,MATCH(data!X$1,Haver_M!$B$1:$BZ$1,0),FALSE),"")</f>
        <v>36.71</v>
      </c>
      <c r="Y62">
        <f>IF(ISNUMBER(VLOOKUP($A62,Haver_M!$B$1:$BZ$300,MATCH(data!Y$1,Haver_M!$B$1:$BZ$1,0),FALSE)),VLOOKUP($A62,Haver_M!$B$1:$BZ$300,MATCH(data!Y$1,Haver_M!$B$1:$BZ$1,0),FALSE),"")</f>
        <v>70.02</v>
      </c>
      <c r="Z62">
        <f>IF(ISNUMBER(VLOOKUP($A62,Haver_M!$B$1:$BZ$300,MATCH(data!Z$1,Haver_M!$B$1:$BZ$1,0),FALSE)),VLOOKUP($A62,Haver_M!$B$1:$BZ$300,MATCH(data!Z$1,Haver_M!$B$1:$BZ$1,0),FALSE),"")</f>
        <v>70</v>
      </c>
      <c r="AA62">
        <f>IF(ISNUMBER(VLOOKUP($A62,Haver_M!$B$1:$BZ$300,MATCH(data!AA$1,Haver_M!$B$1:$BZ$1,0),FALSE)),VLOOKUP($A62,Haver_M!$B$1:$BZ$300,MATCH(data!AA$1,Haver_M!$B$1:$BZ$1,0),FALSE),"")</f>
        <v>70.034999999999997</v>
      </c>
      <c r="AB62">
        <f>IF(ISNUMBER(VLOOKUP($A62,Haver_M!$B$1:$BZ$300,MATCH(data!AB$1,Haver_M!$B$1:$BZ$1,0),FALSE)),VLOOKUP($A62,Haver_M!$B$1:$BZ$300,MATCH(data!AB$1,Haver_M!$B$1:$BZ$1,0),FALSE),"")</f>
        <v>89.447999999999993</v>
      </c>
      <c r="AC62">
        <f>IF(ISNUMBER(VLOOKUP($A62,Haver_M!$B$1:$BZ$300,MATCH(data!AC$1,Haver_M!$B$1:$BZ$1,0),FALSE)),VLOOKUP($A62,Haver_M!$B$1:$BZ$300,MATCH(data!AC$1,Haver_M!$B$1:$BZ$1,0),FALSE),"")</f>
        <v>68.605999999999995</v>
      </c>
      <c r="AD62">
        <f>IF(ISNUMBER(VLOOKUP($A62,Haver_M!$B$1:$BZ$300,MATCH(data!AD$1,Haver_M!$B$1:$BZ$1,0),FALSE)),VLOOKUP($A62,Haver_M!$B$1:$BZ$300,MATCH(data!AD$1,Haver_M!$B$1:$BZ$1,0),FALSE),"")</f>
        <v>76.013000000000005</v>
      </c>
      <c r="AE62">
        <f>IF(ISNUMBER(VLOOKUP($A62,Haver_M!$B$1:$BZ$300,MATCH(data!AE$1,Haver_M!$B$1:$BZ$1,0),FALSE)),VLOOKUP($A62,Haver_M!$B$1:$BZ$300,MATCH(data!AE$1,Haver_M!$B$1:$BZ$1,0),FALSE),"")</f>
        <v>96.245999999999995</v>
      </c>
      <c r="AF62">
        <f>IF(ISNUMBER(VLOOKUP($A62,Haver_M!$B$1:$BZ$300,MATCH(data!AF$1,Haver_M!$B$1:$BZ$1,0),FALSE)),VLOOKUP($A62,Haver_M!$B$1:$BZ$300,MATCH(data!AF$1,Haver_M!$B$1:$BZ$1,0),FALSE),"")</f>
        <v>58.518000000000001</v>
      </c>
      <c r="AG62">
        <f>IF(ISNUMBER(VLOOKUP($A62,Haver_M!$B$1:$BZ$300,MATCH(data!AG$1,Haver_M!$B$1:$BZ$1,0),FALSE)),VLOOKUP($A62,Haver_M!$B$1:$BZ$300,MATCH(data!AG$1,Haver_M!$B$1:$BZ$1,0),FALSE),"")</f>
        <v>57.686</v>
      </c>
      <c r="AH62">
        <f>IF(ISNUMBER(VLOOKUP($A62,Haver_M!$B$1:$BZ$300,MATCH(data!AH$1,Haver_M!$B$1:$BZ$1,0),FALSE)),VLOOKUP($A62,Haver_M!$B$1:$BZ$300,MATCH(data!AH$1,Haver_M!$B$1:$BZ$1,0),FALSE),"")</f>
        <v>67.84</v>
      </c>
      <c r="AI62">
        <f>IF(ISNUMBER(VLOOKUP($A62,Haver_M!$B$1:$BZ$300,MATCH(data!AI$1,Haver_M!$B$1:$BZ$1,0),FALSE)),VLOOKUP($A62,Haver_M!$B$1:$BZ$300,MATCH(data!AI$1,Haver_M!$B$1:$BZ$1,0),FALSE),"")</f>
        <v>9406.8996931655729</v>
      </c>
      <c r="AJ62">
        <f>IF(ISNUMBER(VLOOKUP($A62,Haver_M!$B$1:$BZ$300,MATCH(data!AJ$1,Haver_M!$B$1:$BZ$1,0),FALSE)),VLOOKUP($A62,Haver_M!$B$1:$BZ$300,MATCH(data!AJ$1,Haver_M!$B$1:$BZ$1,0),FALSE),"")</f>
        <v>8057.99</v>
      </c>
      <c r="AK62">
        <f>IF(ISNUMBER(VLOOKUP($A62,Haver_M!$B$1:$BZ$300,MATCH(data!AK$1,Haver_M!$B$1:$BZ$1,0),FALSE)),VLOOKUP($A62,Haver_M!$B$1:$BZ$300,MATCH(data!AK$1,Haver_M!$B$1:$BZ$1,0),FALSE),"")</f>
        <v>11004.6</v>
      </c>
      <c r="AL62" t="str">
        <f>IF(ISNUMBER(VLOOKUP($A62,Haver_M!$B$1:$BZ$300,MATCH(data!AL$1,Haver_M!$B$1:$BZ$1,0),FALSE)),VLOOKUP($A62,Haver_M!$B$1:$BZ$300,MATCH(data!AL$1,Haver_M!$B$1:$BZ$1,0),FALSE),"")</f>
        <v/>
      </c>
      <c r="AM62" t="str">
        <f>IF(ISNUMBER(VLOOKUP($A62,Haver_M!$B$1:$BZ$300,MATCH(data!AM$1,Haver_M!$B$1:$BZ$1,0),FALSE)),VLOOKUP($A62,Haver_M!$B$1:$BZ$300,MATCH(data!AM$1,Haver_M!$B$1:$BZ$1,0),FALSE),"")</f>
        <v/>
      </c>
      <c r="AN62" t="str">
        <f>IF(ISNUMBER(VLOOKUP($A62,Haver_M!$B$1:$BZ$300,MATCH(data!AN$1,Haver_M!$B$1:$BZ$1,0),FALSE)),VLOOKUP($A62,Haver_M!$B$1:$BZ$300,MATCH(data!AN$1,Haver_M!$B$1:$BZ$1,0),FALSE),"")</f>
        <v/>
      </c>
      <c r="AO62" t="str">
        <f>IF(ISNUMBER(VLOOKUP($A62,Haver_M!$B$1:$BZ$300,MATCH(data!AO$1,Haver_M!$B$1:$BZ$1,0),FALSE)),VLOOKUP($A62,Haver_M!$B$1:$BZ$300,MATCH(data!AO$1,Haver_M!$B$1:$BZ$1,0),FALSE),"")</f>
        <v/>
      </c>
      <c r="AP62">
        <f>IF(ISNUMBER(VLOOKUP($A62,Haver_M!$B$1:$BZ$300,MATCH(data!AP$1,Haver_M!$B$1:$BZ$1,0),FALSE)),VLOOKUP($A62,Haver_M!$B$1:$BZ$300,MATCH(data!AP$1,Haver_M!$B$1:$BZ$1,0),FALSE),"")</f>
        <v>53.372989984428685</v>
      </c>
      <c r="AQ62" t="str">
        <f>IF(ISNUMBER(VLOOKUP($A62,Haver_M!$B$1:$BZ$300,MATCH(data!AQ$1,Haver_M!$B$1:$BZ$1,0),FALSE)),VLOOKUP($A62,Haver_M!$B$1:$BZ$300,MATCH(data!AQ$1,Haver_M!$B$1:$BZ$1,0),FALSE),"")</f>
        <v/>
      </c>
      <c r="AR62" t="str">
        <f>IF(ISNUMBER(VLOOKUP($A62,Haver_M!$B$1:$BZ$300,MATCH(data!AR$1,Haver_M!$B$1:$BZ$1,0),FALSE)),VLOOKUP($A62,Haver_M!$B$1:$BZ$300,MATCH(data!AR$1,Haver_M!$B$1:$BZ$1,0),FALSE),"")</f>
        <v/>
      </c>
      <c r="AS62" t="str">
        <f>IF(ISNUMBER(VLOOKUP($A62,Haver_M!$B$1:$BZ$300,MATCH(data!AS$1,Haver_M!$B$1:$BZ$1,0),FALSE)),VLOOKUP($A62,Haver_M!$B$1:$BZ$300,MATCH(data!AS$1,Haver_M!$B$1:$BZ$1,0),FALSE),"")</f>
        <v/>
      </c>
      <c r="AT62" t="str">
        <f>IF(ISNUMBER(VLOOKUP($A62,Haver_M!$B$1:$BZ$300,MATCH(data!AT$1,Haver_M!$B$1:$BZ$1,0),FALSE)),VLOOKUP($A62,Haver_M!$B$1:$BZ$300,MATCH(data!AT$1,Haver_M!$B$1:$BZ$1,0),FALSE),"")</f>
        <v/>
      </c>
      <c r="AU62" t="str">
        <f>IF(ISNUMBER(VLOOKUP($A62,Haver_M!$B$1:$BZ$300,MATCH(data!AU$1,Haver_M!$B$1:$BZ$1,0),FALSE)),VLOOKUP($A62,Haver_M!$B$1:$BZ$300,MATCH(data!AU$1,Haver_M!$B$1:$BZ$1,0),FALSE),"")</f>
        <v/>
      </c>
      <c r="AV62" t="str">
        <f>IF(ISNUMBER(VLOOKUP($A62,Haver_M!$B$1:$BZ$300,MATCH(data!AV$1,Haver_M!$B$1:$BZ$1,0),FALSE)),VLOOKUP($A62,Haver_M!$B$1:$BZ$300,MATCH(data!AV$1,Haver_M!$B$1:$BZ$1,0),FALSE),"")</f>
        <v/>
      </c>
      <c r="AW62" t="str">
        <f>IF(ISNUMBER(VLOOKUP($A62,Haver_M!$B$1:$BZ$300,MATCH(data!AW$1,Haver_M!$B$1:$BZ$1,0),FALSE)),VLOOKUP($A62,Haver_M!$B$1:$BZ$300,MATCH(data!AW$1,Haver_M!$B$1:$BZ$1,0),FALSE),"")</f>
        <v/>
      </c>
      <c r="AX62" t="str">
        <f>IF(ISNUMBER(VLOOKUP($A62,Haver_M!$B$1:$BZ$300,MATCH(data!AX$1,Haver_M!$B$1:$BZ$1,0),FALSE)),VLOOKUP($A62,Haver_M!$B$1:$BZ$300,MATCH(data!AX$1,Haver_M!$B$1:$BZ$1,0),FALSE),"")</f>
        <v/>
      </c>
      <c r="AY62" t="str">
        <f>IF(ISNUMBER(VLOOKUP($A62,Haver_M!$B$1:$BZ$300,MATCH(data!AY$1,Haver_M!$B$1:$BZ$1,0),FALSE)),VLOOKUP($A62,Haver_M!$B$1:$BZ$300,MATCH(data!AY$1,Haver_M!$B$1:$BZ$1,0),FALSE),"")</f>
        <v/>
      </c>
      <c r="AZ62" t="str">
        <f>IF(ISNUMBER(VLOOKUP($A62,Haver_M!$B$1:$BZ$300,MATCH(data!AZ$1,Haver_M!$B$1:$BZ$1,0),FALSE)),VLOOKUP($A62,Haver_M!$B$1:$BZ$300,MATCH(data!AZ$1,Haver_M!$B$1:$BZ$1,0),FALSE),"")</f>
        <v/>
      </c>
      <c r="BA62" t="str">
        <f>IF(ISNUMBER(VLOOKUP($A62,Haver_M!$B$1:$BZ$300,MATCH(data!BA$1,Haver_M!$B$1:$BZ$1,0),FALSE)),VLOOKUP($A62,Haver_M!$B$1:$BZ$300,MATCH(data!BA$1,Haver_M!$B$1:$BZ$1,0),FALSE),"")</f>
        <v/>
      </c>
      <c r="BB62" t="str">
        <f>IF(ISNUMBER(VLOOKUP($A62,Haver_M!$B$1:$BZ$300,MATCH(data!BB$1,Haver_M!$B$1:$BZ$1,0),FALSE)),VLOOKUP($A62,Haver_M!$B$1:$BZ$300,MATCH(data!BB$1,Haver_M!$B$1:$BZ$1,0),FALSE),"")</f>
        <v/>
      </c>
      <c r="BC62" t="str">
        <f>IF(ISNUMBER(VLOOKUP($A62,Haver_M!$B$1:$BZ$300,MATCH(data!BC$1,Haver_M!$B$1:$BZ$1,0),FALSE)),VLOOKUP($A62,Haver_M!$B$1:$BZ$300,MATCH(data!BC$1,Haver_M!$B$1:$BZ$1,0),FALSE),"")</f>
        <v/>
      </c>
      <c r="BD62" t="str">
        <f>IF(ISNUMBER(VLOOKUP($A62,Haver_M!$B$1:$BZ$300,MATCH(data!BD$1,Haver_M!$B$1:$BZ$1,0),FALSE)),VLOOKUP($A62,Haver_M!$B$1:$BZ$300,MATCH(data!BD$1,Haver_M!$B$1:$BZ$1,0),FALSE),"")</f>
        <v/>
      </c>
      <c r="BE62" t="str">
        <f>IF(ISNUMBER(VLOOKUP($A62,Haver_M!$B$1:$BZ$300,MATCH(data!BE$1,Haver_M!$B$1:$BZ$1,0),FALSE)),VLOOKUP($A62,Haver_M!$B$1:$BZ$300,MATCH(data!BE$1,Haver_M!$B$1:$BZ$1,0),FALSE),"")</f>
        <v/>
      </c>
      <c r="BF62" t="str">
        <f>IF(ISNUMBER(VLOOKUP($A62,Haver_M!$B$1:$BZ$300,MATCH(data!BF$1,Haver_M!$B$1:$BZ$1,0),FALSE)),VLOOKUP($A62,Haver_M!$B$1:$BZ$300,MATCH(data!BF$1,Haver_M!$B$1:$BZ$1,0),FALSE),"")</f>
        <v/>
      </c>
      <c r="BG62" t="str">
        <f>IF(ISNUMBER(VLOOKUP($A62,Haver_M!$B$1:$BZ$300,MATCH(data!BG$1,Haver_M!$B$1:$BZ$1,0),FALSE)),VLOOKUP($A62,Haver_M!$B$1:$BZ$300,MATCH(data!BG$1,Haver_M!$B$1:$BZ$1,0),FALSE),"")</f>
        <v/>
      </c>
      <c r="BH62" t="str">
        <f>IF(ISNUMBER(VLOOKUP($A62,Haver_M!$B$1:$BZ$300,MATCH(data!BH$1,Haver_M!$B$1:$BZ$1,0),FALSE)),VLOOKUP($A62,Haver_M!$B$1:$BZ$300,MATCH(data!BH$1,Haver_M!$B$1:$BZ$1,0),FALSE),"")</f>
        <v/>
      </c>
      <c r="BI62" t="str">
        <f>IF(ISNUMBER(VLOOKUP($A62,Haver_M!$B$1:$BZ$300,MATCH(data!BI$1,Haver_M!$B$1:$BZ$1,0),FALSE)),VLOOKUP($A62,Haver_M!$B$1:$BZ$300,MATCH(data!BI$1,Haver_M!$B$1:$BZ$1,0),FALSE),"")</f>
        <v/>
      </c>
      <c r="BJ62" t="str">
        <f>IF(ISNUMBER(VLOOKUP($A62,Haver_M!$B$1:$BZ$300,MATCH(data!BJ$1,Haver_M!$B$1:$BZ$1,0),FALSE)),VLOOKUP($A62,Haver_M!$B$1:$BZ$300,MATCH(data!BJ$1,Haver_M!$B$1:$BZ$1,0),FALSE),"")</f>
        <v/>
      </c>
      <c r="BK62" t="str">
        <f>IF(ISNUMBER(VLOOKUP($A62,Haver_M!$B$1:$BZ$300,MATCH(data!BK$1,Haver_M!$B$1:$BZ$1,0),FALSE)),VLOOKUP($A62,Haver_M!$B$1:$BZ$300,MATCH(data!BK$1,Haver_M!$B$1:$BZ$1,0),FALSE),"")</f>
        <v/>
      </c>
      <c r="BL62">
        <f>IF(ISNUMBER(VLOOKUP($A62,Haver_M!$B$1:$BZ$300,MATCH(data!BL$1,Haver_M!$B$1:$BZ$1,0),FALSE)),VLOOKUP($A62,Haver_M!$B$1:$BZ$300,MATCH(data!BL$1,Haver_M!$B$1:$BZ$1,0),FALSE),"")</f>
        <v>6306.99</v>
      </c>
      <c r="BM62">
        <f>IF(ISNUMBER(VLOOKUP($A62,Haver_M!$B$1:$BZ$300,MATCH(data!BM$1,Haver_M!$B$1:$BZ$1,0),FALSE)),VLOOKUP($A62,Haver_M!$B$1:$BZ$300,MATCH(data!BM$1,Haver_M!$B$1:$BZ$1,0),FALSE),"")</f>
        <v>92.729371540000002</v>
      </c>
      <c r="BN62" t="str">
        <f>IF(ISNUMBER(VLOOKUP($A62,Haver_M!$B$1:$BZ$300,MATCH(data!BN$1,Haver_M!$B$1:$BZ$1,0),FALSE)),VLOOKUP($A62,Haver_M!$B$1:$BZ$300,MATCH(data!BN$1,Haver_M!$B$1:$BZ$1,0),FALSE),"")</f>
        <v/>
      </c>
      <c r="BO62" t="str">
        <f>IF(ISNUMBER(VLOOKUP($A62,Haver_M!$B$1:$BZ$300,MATCH(data!BO$1,Haver_M!$B$1:$BZ$1,0),FALSE)),VLOOKUP($A62,Haver_M!$B$1:$BZ$300,MATCH(data!BO$1,Haver_M!$B$1:$BZ$1,0),FALSE),"")</f>
        <v/>
      </c>
      <c r="BP62" t="str">
        <f>IF(ISNUMBER(VLOOKUP($A62,Haver_M!$B$1:$BZ$300,MATCH(data!BP$1,Haver_M!$B$1:$BZ$1,0),FALSE)),VLOOKUP($A62,Haver_M!$B$1:$BZ$300,MATCH(data!BP$1,Haver_M!$B$1:$BZ$1,0),FALSE),"")</f>
        <v/>
      </c>
      <c r="BQ62" t="str">
        <f>IF(ISNUMBER(VLOOKUP($A62,Haver_M!$B$1:$BZ$300,MATCH(data!BQ$1,Haver_M!$B$1:$BZ$1,0),FALSE)),VLOOKUP($A62,Haver_M!$B$1:$BZ$300,MATCH(data!BQ$1,Haver_M!$B$1:$BZ$1,0),FALSE),"")</f>
        <v/>
      </c>
      <c r="BR62" t="str">
        <f>IF(ISNUMBER(VLOOKUP($A62,Haver_M!$B$1:$BZ$300,MATCH(data!BR$1,Haver_M!$B$1:$BZ$1,0),FALSE)),VLOOKUP($A62,Haver_M!$B$1:$BZ$300,MATCH(data!BR$1,Haver_M!$B$1:$BZ$1,0),FALSE),"")</f>
        <v/>
      </c>
      <c r="BS62" t="str">
        <f>IF(ISNUMBER(VLOOKUP($A62,Haver_M!$B$1:$BZ$300,MATCH(data!BS$1,Haver_M!$B$1:$BZ$1,0),FALSE)),VLOOKUP($A62,Haver_M!$B$1:$BZ$300,MATCH(data!BS$1,Haver_M!$B$1:$BZ$1,0),FALSE),"")</f>
        <v/>
      </c>
      <c r="BT62" t="str">
        <f>IF(ISNUMBER(VLOOKUP($A62,Haver_M!$B$1:$BZ$300,MATCH(data!BT$1,Haver_M!$B$1:$BZ$1,0),FALSE)),VLOOKUP($A62,Haver_M!$B$1:$BZ$300,MATCH(data!BT$1,Haver_M!$B$1:$BZ$1,0),FALSE),"")</f>
        <v/>
      </c>
      <c r="BU62">
        <f>IF(ISNUMBER(VLOOKUP($A62,Haver_M!$B$1:$BZ$300,MATCH(data!BU$1,Haver_M!$B$1:$BZ$1,0),FALSE)),VLOOKUP($A62,Haver_M!$B$1:$BZ$300,MATCH(data!BU$1,Haver_M!$B$1:$BZ$1,0),FALSE),"")</f>
        <v>8194</v>
      </c>
      <c r="BV62">
        <f>IF(ISNUMBER(VLOOKUP($A62,Haver_M!$B$1:$BZ$300,MATCH(data!BV$1,Haver_M!$B$1:$BZ$1,0),FALSE)),VLOOKUP($A62,Haver_M!$B$1:$BZ$300,MATCH(data!BV$1,Haver_M!$B$1:$BZ$1,0),FALSE),"")</f>
        <v>11009</v>
      </c>
      <c r="BW62">
        <f>IF(ISNUMBER(VLOOKUP($A62,Haver_M!$B$1:$BZ$300,MATCH(data!BW$1,Haver_M!$B$1:$BZ$1,0),FALSE)),VLOOKUP($A62,Haver_M!$B$1:$BZ$300,MATCH(data!BW$1,Haver_M!$B$1:$BZ$1,0),FALSE),"")</f>
        <v>43.7545</v>
      </c>
      <c r="BX62">
        <f>IF(ISNUMBER(VLOOKUP($A62,Haver_M!$B$1:$BZ$300,MATCH(data!BX$1,Haver_M!$B$1:$BZ$1,0),FALSE)),VLOOKUP($A62,Haver_M!$B$1:$BZ$300,MATCH(data!BX$1,Haver_M!$B$1:$BZ$1,0),FALSE),"")</f>
        <v>21549</v>
      </c>
    </row>
    <row r="63" spans="1:76" x14ac:dyDescent="0.25">
      <c r="A63" s="2">
        <v>38411</v>
      </c>
      <c r="B63" t="str">
        <f>IF(ISNUMBER(VLOOKUP($A63,Haver_Q!$B$1:$L$185,MATCH(data!B$1,Haver_Q!$B$1:$L$1,0),FALSE)),100*(VLOOKUP($A63,Haver_Q!$B$1:$L$185,MATCH(data!B$1,Haver_Q!$B$1:$L$1,0),FALSE)),"")</f>
        <v/>
      </c>
      <c r="C63" t="str">
        <f>IF(ISNUMBER(VLOOKUP($A63,Haver_Q!$B$1:$L$185,MATCH(data!C$1,Haver_Q!$B$1:$L$1,0),FALSE)),100*(VLOOKUP($A63,Haver_Q!$B$1:$L$185,MATCH(data!C$1,Haver_Q!$B$1:$L$1,0),FALSE)),"")</f>
        <v/>
      </c>
      <c r="D63" t="str">
        <f>IF(ISNUMBER(VLOOKUP($A63,Haver_Q!$B$1:$L$185,MATCH(data!D$1,Haver_Q!$B$1:$L$1,0),FALSE)),100*(VLOOKUP($A63,Haver_Q!$B$1:$L$185,MATCH(data!D$1,Haver_Q!$B$1:$L$1,0),FALSE)),"")</f>
        <v/>
      </c>
      <c r="E63" t="str">
        <f>IF(ISNUMBER(VLOOKUP($A63,Haver_Q!$B$1:$L$185,MATCH(data!E$1,Haver_Q!$B$1:$L$1,0),FALSE)),100*(VLOOKUP($A63,Haver_Q!$B$1:$L$185,MATCH(data!E$1,Haver_Q!$B$1:$L$1,0),FALSE)),"")</f>
        <v/>
      </c>
      <c r="F63" t="str">
        <f>IF(ISNUMBER(VLOOKUP($A63,Haver_Q!$B$1:$L$185,MATCH(data!F$1,Haver_Q!$B$1:$L$1,0),FALSE)),100*(VLOOKUP($A63,Haver_Q!$B$1:$L$185,MATCH(data!F$1,Haver_Q!$B$1:$L$1,0),FALSE)),"")</f>
        <v/>
      </c>
      <c r="G63" t="str">
        <f>IF(ISNUMBER(VLOOKUP($A63,Haver_Q!$B$1:$L$185,MATCH(data!G$1,Haver_Q!$B$1:$L$1,0),FALSE)),100*(VLOOKUP($A63,Haver_Q!$B$1:$L$185,MATCH(data!G$1,Haver_Q!$B$1:$L$1,0),FALSE)),"")</f>
        <v/>
      </c>
      <c r="H63" t="str">
        <f>IF(ISNUMBER(VLOOKUP($A63,Haver_Q!$B$1:$L$185,MATCH(data!H$1,Haver_Q!$B$1:$L$1,0),FALSE)),(VLOOKUP($A63,Haver_Q!$B$1:$L$185,MATCH(data!H$1,Haver_Q!$B$1:$L$1,0),FALSE)),"")</f>
        <v/>
      </c>
      <c r="I63" t="str">
        <f>IF(ISNUMBER(VLOOKUP($A63,Haver_Q!$B$1:$L$185,MATCH(data!I$1,Haver_Q!$B$1:$L$1,0),FALSE)),100*(VLOOKUP($A63,Haver_Q!$B$1:$L$185,MATCH(data!I$1,Haver_Q!$B$1:$L$1,0),FALSE)),"")</f>
        <v/>
      </c>
      <c r="J63" s="3">
        <f>IF(ISNUMBER(Bloomberg_m!C79),Bloomberg_m!C79,"")</f>
        <v>4532</v>
      </c>
      <c r="K63" s="3" t="str">
        <f>IF(ISNUMBER(Bloomberg_m!D79),Bloomberg_m!D79,"")</f>
        <v/>
      </c>
      <c r="L63" s="3" t="str">
        <f>IF(ISNUMBER(Bloomberg_m!E79),Bloomberg_m!E79,"")</f>
        <v/>
      </c>
      <c r="M63" s="3" t="str">
        <f>IF(ISNUMBER(Bloomberg_m!F79),Bloomberg_m!F79,"")</f>
        <v/>
      </c>
      <c r="N63">
        <f>IF(ISNUMBER(VLOOKUP($A63,Haver_M!$B$1:$BZ$300,MATCH(data!N$1,Haver_M!$B$1:$BZ$1,0),FALSE)),VLOOKUP($A63,Haver_M!$B$1:$BZ$300,MATCH(data!N$1,Haver_M!$B$1:$BZ$1,0),FALSE),"")</f>
        <v>6</v>
      </c>
      <c r="O63">
        <f>IF(ISNUMBER(VLOOKUP($A63,Haver_M!$B$1:$BZ$300,MATCH(data!O$1,Haver_M!$B$1:$BZ$1,0),FALSE)),VLOOKUP($A63,Haver_M!$B$1:$BZ$300,MATCH(data!O$1,Haver_M!$B$1:$BZ$1,0),FALSE),"")</f>
        <v>6.4866999999999999</v>
      </c>
      <c r="P63">
        <f>IF(ISNUMBER(VLOOKUP($A63,Haver_M!$B$1:$BZ$300,MATCH(data!P$1,Haver_M!$B$1:$BZ$1,0),FALSE)),VLOOKUP($A63,Haver_M!$B$1:$BZ$300,MATCH(data!P$1,Haver_M!$B$1:$BZ$1,0),FALSE),"")</f>
        <v>94.804680000000005</v>
      </c>
      <c r="Q63">
        <f>IF(ISNUMBER(VLOOKUP($A63,Haver_M!$B$1:$BZ$300,MATCH(data!Q$1,Haver_M!$B$1:$BZ$1,0),FALSE)),VLOOKUP($A63,Haver_M!$B$1:$BZ$300,MATCH(data!Q$1,Haver_M!$B$1:$BZ$1,0),FALSE),"")</f>
        <v>56.3</v>
      </c>
      <c r="R63" t="str">
        <f>IF(ISNUMBER(VLOOKUP($A63,Haver_M!$B$1:$BZ$300,MATCH(data!R$1,Haver_M!$B$1:$BZ$1,0),FALSE)),VLOOKUP($A63,Haver_M!$B$1:$BZ$300,MATCH(data!R$1,Haver_M!$B$1:$BZ$1,0),FALSE),"")</f>
        <v/>
      </c>
      <c r="S63">
        <f>IF(ISNUMBER(VLOOKUP($A63,Haver_M!$B$1:$BZ$300,MATCH(data!S$1,Haver_M!$B$1:$BZ$1,0),FALSE)),VLOOKUP($A63,Haver_M!$B$1:$BZ$300,MATCH(data!S$1,Haver_M!$B$1:$BZ$1,0),FALSE),"")</f>
        <v>62.33</v>
      </c>
      <c r="T63">
        <f>IF(ISNUMBER(VLOOKUP($A63,Haver_M!$B$1:$BZ$300,MATCH(data!T$1,Haver_M!$B$1:$BZ$1,0),FALSE)),VLOOKUP($A63,Haver_M!$B$1:$BZ$300,MATCH(data!T$1,Haver_M!$B$1:$BZ$1,0),FALSE),"")</f>
        <v>66.97</v>
      </c>
      <c r="U63">
        <f>IF(ISNUMBER(VLOOKUP($A63,Haver_M!$B$1:$BZ$300,MATCH(data!U$1,Haver_M!$B$1:$BZ$1,0),FALSE)),VLOOKUP($A63,Haver_M!$B$1:$BZ$300,MATCH(data!U$1,Haver_M!$B$1:$BZ$1,0),FALSE),"")</f>
        <v>45.65</v>
      </c>
      <c r="V63">
        <f>IF(ISNUMBER(VLOOKUP($A63,Haver_M!$B$1:$BZ$300,MATCH(data!V$1,Haver_M!$B$1:$BZ$1,0),FALSE)),VLOOKUP($A63,Haver_M!$B$1:$BZ$300,MATCH(data!V$1,Haver_M!$B$1:$BZ$1,0),FALSE),"")</f>
        <v>73.650000000000006</v>
      </c>
      <c r="W63" t="str">
        <f>IF(ISNUMBER(VLOOKUP($A63,Haver_M!$B$1:$BZ$300,MATCH(data!W$1,Haver_M!$B$1:$BZ$1,0),FALSE)),VLOOKUP($A63,Haver_M!$B$1:$BZ$300,MATCH(data!W$1,Haver_M!$B$1:$BZ$1,0),FALSE),"")</f>
        <v/>
      </c>
      <c r="X63">
        <f>IF(ISNUMBER(VLOOKUP($A63,Haver_M!$B$1:$BZ$300,MATCH(data!X$1,Haver_M!$B$1:$BZ$1,0),FALSE)),VLOOKUP($A63,Haver_M!$B$1:$BZ$300,MATCH(data!X$1,Haver_M!$B$1:$BZ$1,0),FALSE),"")</f>
        <v>38.090000000000003</v>
      </c>
      <c r="Y63">
        <f>IF(ISNUMBER(VLOOKUP($A63,Haver_M!$B$1:$BZ$300,MATCH(data!Y$1,Haver_M!$B$1:$BZ$1,0),FALSE)),VLOOKUP($A63,Haver_M!$B$1:$BZ$300,MATCH(data!Y$1,Haver_M!$B$1:$BZ$1,0),FALSE),"")</f>
        <v>67.22</v>
      </c>
      <c r="Z63">
        <f>IF(ISNUMBER(VLOOKUP($A63,Haver_M!$B$1:$BZ$300,MATCH(data!Z$1,Haver_M!$B$1:$BZ$1,0),FALSE)),VLOOKUP($A63,Haver_M!$B$1:$BZ$300,MATCH(data!Z$1,Haver_M!$B$1:$BZ$1,0),FALSE),"")</f>
        <v>69.599999999999994</v>
      </c>
      <c r="AA63">
        <f>IF(ISNUMBER(VLOOKUP($A63,Haver_M!$B$1:$BZ$300,MATCH(data!AA$1,Haver_M!$B$1:$BZ$1,0),FALSE)),VLOOKUP($A63,Haver_M!$B$1:$BZ$300,MATCH(data!AA$1,Haver_M!$B$1:$BZ$1,0),FALSE),"")</f>
        <v>71.781000000000006</v>
      </c>
      <c r="AB63">
        <f>IF(ISNUMBER(VLOOKUP($A63,Haver_M!$B$1:$BZ$300,MATCH(data!AB$1,Haver_M!$B$1:$BZ$1,0),FALSE)),VLOOKUP($A63,Haver_M!$B$1:$BZ$300,MATCH(data!AB$1,Haver_M!$B$1:$BZ$1,0),FALSE),"")</f>
        <v>87.74</v>
      </c>
      <c r="AC63">
        <f>IF(ISNUMBER(VLOOKUP($A63,Haver_M!$B$1:$BZ$300,MATCH(data!AC$1,Haver_M!$B$1:$BZ$1,0),FALSE)),VLOOKUP($A63,Haver_M!$B$1:$BZ$300,MATCH(data!AC$1,Haver_M!$B$1:$BZ$1,0),FALSE),"")</f>
        <v>63.341000000000001</v>
      </c>
      <c r="AD63">
        <f>IF(ISNUMBER(VLOOKUP($A63,Haver_M!$B$1:$BZ$300,MATCH(data!AD$1,Haver_M!$B$1:$BZ$1,0),FALSE)),VLOOKUP($A63,Haver_M!$B$1:$BZ$300,MATCH(data!AD$1,Haver_M!$B$1:$BZ$1,0),FALSE),"")</f>
        <v>75.477999999999994</v>
      </c>
      <c r="AE63">
        <f>IF(ISNUMBER(VLOOKUP($A63,Haver_M!$B$1:$BZ$300,MATCH(data!AE$1,Haver_M!$B$1:$BZ$1,0),FALSE)),VLOOKUP($A63,Haver_M!$B$1:$BZ$300,MATCH(data!AE$1,Haver_M!$B$1:$BZ$1,0),FALSE),"")</f>
        <v>89.906999999999996</v>
      </c>
      <c r="AF63">
        <f>IF(ISNUMBER(VLOOKUP($A63,Haver_M!$B$1:$BZ$300,MATCH(data!AF$1,Haver_M!$B$1:$BZ$1,0),FALSE)),VLOOKUP($A63,Haver_M!$B$1:$BZ$300,MATCH(data!AF$1,Haver_M!$B$1:$BZ$1,0),FALSE),"")</f>
        <v>58.758000000000003</v>
      </c>
      <c r="AG63">
        <f>IF(ISNUMBER(VLOOKUP($A63,Haver_M!$B$1:$BZ$300,MATCH(data!AG$1,Haver_M!$B$1:$BZ$1,0),FALSE)),VLOOKUP($A63,Haver_M!$B$1:$BZ$300,MATCH(data!AG$1,Haver_M!$B$1:$BZ$1,0),FALSE),"")</f>
        <v>57.872999999999998</v>
      </c>
      <c r="AH63">
        <f>IF(ISNUMBER(VLOOKUP($A63,Haver_M!$B$1:$BZ$300,MATCH(data!AH$1,Haver_M!$B$1:$BZ$1,0),FALSE)),VLOOKUP($A63,Haver_M!$B$1:$BZ$300,MATCH(data!AH$1,Haver_M!$B$1:$BZ$1,0),FALSE),"")</f>
        <v>68.233999999999995</v>
      </c>
      <c r="AI63">
        <f>IF(ISNUMBER(VLOOKUP($A63,Haver_M!$B$1:$BZ$300,MATCH(data!AI$1,Haver_M!$B$1:$BZ$1,0),FALSE)),VLOOKUP($A63,Haver_M!$B$1:$BZ$300,MATCH(data!AI$1,Haver_M!$B$1:$BZ$1,0),FALSE),"")</f>
        <v>9435.3278975658377</v>
      </c>
      <c r="AJ63">
        <f>IF(ISNUMBER(VLOOKUP($A63,Haver_M!$B$1:$BZ$300,MATCH(data!AJ$1,Haver_M!$B$1:$BZ$1,0),FALSE)),VLOOKUP($A63,Haver_M!$B$1:$BZ$300,MATCH(data!AJ$1,Haver_M!$B$1:$BZ$1,0),FALSE),"")</f>
        <v>8206.19</v>
      </c>
      <c r="AK63">
        <f>IF(ISNUMBER(VLOOKUP($A63,Haver_M!$B$1:$BZ$300,MATCH(data!AK$1,Haver_M!$B$1:$BZ$1,0),FALSE)),VLOOKUP($A63,Haver_M!$B$1:$BZ$300,MATCH(data!AK$1,Haver_M!$B$1:$BZ$1,0),FALSE),"")</f>
        <v>11665.7</v>
      </c>
      <c r="AL63" t="str">
        <f>IF(ISNUMBER(VLOOKUP($A63,Haver_M!$B$1:$BZ$300,MATCH(data!AL$1,Haver_M!$B$1:$BZ$1,0),FALSE)),VLOOKUP($A63,Haver_M!$B$1:$BZ$300,MATCH(data!AL$1,Haver_M!$B$1:$BZ$1,0),FALSE),"")</f>
        <v/>
      </c>
      <c r="AM63" t="str">
        <f>IF(ISNUMBER(VLOOKUP($A63,Haver_M!$B$1:$BZ$300,MATCH(data!AM$1,Haver_M!$B$1:$BZ$1,0),FALSE)),VLOOKUP($A63,Haver_M!$B$1:$BZ$300,MATCH(data!AM$1,Haver_M!$B$1:$BZ$1,0),FALSE),"")</f>
        <v/>
      </c>
      <c r="AN63" t="str">
        <f>IF(ISNUMBER(VLOOKUP($A63,Haver_M!$B$1:$BZ$300,MATCH(data!AN$1,Haver_M!$B$1:$BZ$1,0),FALSE)),VLOOKUP($A63,Haver_M!$B$1:$BZ$300,MATCH(data!AN$1,Haver_M!$B$1:$BZ$1,0),FALSE),"")</f>
        <v/>
      </c>
      <c r="AO63" t="str">
        <f>IF(ISNUMBER(VLOOKUP($A63,Haver_M!$B$1:$BZ$300,MATCH(data!AO$1,Haver_M!$B$1:$BZ$1,0),FALSE)),VLOOKUP($A63,Haver_M!$B$1:$BZ$300,MATCH(data!AO$1,Haver_M!$B$1:$BZ$1,0),FALSE),"")</f>
        <v/>
      </c>
      <c r="AP63">
        <f>IF(ISNUMBER(VLOOKUP($A63,Haver_M!$B$1:$BZ$300,MATCH(data!AP$1,Haver_M!$B$1:$BZ$1,0),FALSE)),VLOOKUP($A63,Haver_M!$B$1:$BZ$300,MATCH(data!AP$1,Haver_M!$B$1:$BZ$1,0),FALSE),"")</f>
        <v>57.54568162113393</v>
      </c>
      <c r="AQ63" t="str">
        <f>IF(ISNUMBER(VLOOKUP($A63,Haver_M!$B$1:$BZ$300,MATCH(data!AQ$1,Haver_M!$B$1:$BZ$1,0),FALSE)),VLOOKUP($A63,Haver_M!$B$1:$BZ$300,MATCH(data!AQ$1,Haver_M!$B$1:$BZ$1,0),FALSE),"")</f>
        <v/>
      </c>
      <c r="AR63" t="str">
        <f>IF(ISNUMBER(VLOOKUP($A63,Haver_M!$B$1:$BZ$300,MATCH(data!AR$1,Haver_M!$B$1:$BZ$1,0),FALSE)),VLOOKUP($A63,Haver_M!$B$1:$BZ$300,MATCH(data!AR$1,Haver_M!$B$1:$BZ$1,0),FALSE),"")</f>
        <v/>
      </c>
      <c r="AS63" t="str">
        <f>IF(ISNUMBER(VLOOKUP($A63,Haver_M!$B$1:$BZ$300,MATCH(data!AS$1,Haver_M!$B$1:$BZ$1,0),FALSE)),VLOOKUP($A63,Haver_M!$B$1:$BZ$300,MATCH(data!AS$1,Haver_M!$B$1:$BZ$1,0),FALSE),"")</f>
        <v/>
      </c>
      <c r="AT63" t="str">
        <f>IF(ISNUMBER(VLOOKUP($A63,Haver_M!$B$1:$BZ$300,MATCH(data!AT$1,Haver_M!$B$1:$BZ$1,0),FALSE)),VLOOKUP($A63,Haver_M!$B$1:$BZ$300,MATCH(data!AT$1,Haver_M!$B$1:$BZ$1,0),FALSE),"")</f>
        <v/>
      </c>
      <c r="AU63" t="str">
        <f>IF(ISNUMBER(VLOOKUP($A63,Haver_M!$B$1:$BZ$300,MATCH(data!AU$1,Haver_M!$B$1:$BZ$1,0),FALSE)),VLOOKUP($A63,Haver_M!$B$1:$BZ$300,MATCH(data!AU$1,Haver_M!$B$1:$BZ$1,0),FALSE),"")</f>
        <v/>
      </c>
      <c r="AV63" t="str">
        <f>IF(ISNUMBER(VLOOKUP($A63,Haver_M!$B$1:$BZ$300,MATCH(data!AV$1,Haver_M!$B$1:$BZ$1,0),FALSE)),VLOOKUP($A63,Haver_M!$B$1:$BZ$300,MATCH(data!AV$1,Haver_M!$B$1:$BZ$1,0),FALSE),"")</f>
        <v/>
      </c>
      <c r="AW63" t="str">
        <f>IF(ISNUMBER(VLOOKUP($A63,Haver_M!$B$1:$BZ$300,MATCH(data!AW$1,Haver_M!$B$1:$BZ$1,0),FALSE)),VLOOKUP($A63,Haver_M!$B$1:$BZ$300,MATCH(data!AW$1,Haver_M!$B$1:$BZ$1,0),FALSE),"")</f>
        <v/>
      </c>
      <c r="AX63" t="str">
        <f>IF(ISNUMBER(VLOOKUP($A63,Haver_M!$B$1:$BZ$300,MATCH(data!AX$1,Haver_M!$B$1:$BZ$1,0),FALSE)),VLOOKUP($A63,Haver_M!$B$1:$BZ$300,MATCH(data!AX$1,Haver_M!$B$1:$BZ$1,0),FALSE),"")</f>
        <v/>
      </c>
      <c r="AY63" t="str">
        <f>IF(ISNUMBER(VLOOKUP($A63,Haver_M!$B$1:$BZ$300,MATCH(data!AY$1,Haver_M!$B$1:$BZ$1,0),FALSE)),VLOOKUP($A63,Haver_M!$B$1:$BZ$300,MATCH(data!AY$1,Haver_M!$B$1:$BZ$1,0),FALSE),"")</f>
        <v/>
      </c>
      <c r="AZ63" t="str">
        <f>IF(ISNUMBER(VLOOKUP($A63,Haver_M!$B$1:$BZ$300,MATCH(data!AZ$1,Haver_M!$B$1:$BZ$1,0),FALSE)),VLOOKUP($A63,Haver_M!$B$1:$BZ$300,MATCH(data!AZ$1,Haver_M!$B$1:$BZ$1,0),FALSE),"")</f>
        <v/>
      </c>
      <c r="BA63" t="str">
        <f>IF(ISNUMBER(VLOOKUP($A63,Haver_M!$B$1:$BZ$300,MATCH(data!BA$1,Haver_M!$B$1:$BZ$1,0),FALSE)),VLOOKUP($A63,Haver_M!$B$1:$BZ$300,MATCH(data!BA$1,Haver_M!$B$1:$BZ$1,0),FALSE),"")</f>
        <v/>
      </c>
      <c r="BB63" t="str">
        <f>IF(ISNUMBER(VLOOKUP($A63,Haver_M!$B$1:$BZ$300,MATCH(data!BB$1,Haver_M!$B$1:$BZ$1,0),FALSE)),VLOOKUP($A63,Haver_M!$B$1:$BZ$300,MATCH(data!BB$1,Haver_M!$B$1:$BZ$1,0),FALSE),"")</f>
        <v/>
      </c>
      <c r="BC63" t="str">
        <f>IF(ISNUMBER(VLOOKUP($A63,Haver_M!$B$1:$BZ$300,MATCH(data!BC$1,Haver_M!$B$1:$BZ$1,0),FALSE)),VLOOKUP($A63,Haver_M!$B$1:$BZ$300,MATCH(data!BC$1,Haver_M!$B$1:$BZ$1,0),FALSE),"")</f>
        <v/>
      </c>
      <c r="BD63" t="str">
        <f>IF(ISNUMBER(VLOOKUP($A63,Haver_M!$B$1:$BZ$300,MATCH(data!BD$1,Haver_M!$B$1:$BZ$1,0),FALSE)),VLOOKUP($A63,Haver_M!$B$1:$BZ$300,MATCH(data!BD$1,Haver_M!$B$1:$BZ$1,0),FALSE),"")</f>
        <v/>
      </c>
      <c r="BE63" t="str">
        <f>IF(ISNUMBER(VLOOKUP($A63,Haver_M!$B$1:$BZ$300,MATCH(data!BE$1,Haver_M!$B$1:$BZ$1,0),FALSE)),VLOOKUP($A63,Haver_M!$B$1:$BZ$300,MATCH(data!BE$1,Haver_M!$B$1:$BZ$1,0),FALSE),"")</f>
        <v/>
      </c>
      <c r="BF63" t="str">
        <f>IF(ISNUMBER(VLOOKUP($A63,Haver_M!$B$1:$BZ$300,MATCH(data!BF$1,Haver_M!$B$1:$BZ$1,0),FALSE)),VLOOKUP($A63,Haver_M!$B$1:$BZ$300,MATCH(data!BF$1,Haver_M!$B$1:$BZ$1,0),FALSE),"")</f>
        <v/>
      </c>
      <c r="BG63" t="str">
        <f>IF(ISNUMBER(VLOOKUP($A63,Haver_M!$B$1:$BZ$300,MATCH(data!BG$1,Haver_M!$B$1:$BZ$1,0),FALSE)),VLOOKUP($A63,Haver_M!$B$1:$BZ$300,MATCH(data!BG$1,Haver_M!$B$1:$BZ$1,0),FALSE),"")</f>
        <v/>
      </c>
      <c r="BH63" t="str">
        <f>IF(ISNUMBER(VLOOKUP($A63,Haver_M!$B$1:$BZ$300,MATCH(data!BH$1,Haver_M!$B$1:$BZ$1,0),FALSE)),VLOOKUP($A63,Haver_M!$B$1:$BZ$300,MATCH(data!BH$1,Haver_M!$B$1:$BZ$1,0),FALSE),"")</f>
        <v/>
      </c>
      <c r="BI63" t="str">
        <f>IF(ISNUMBER(VLOOKUP($A63,Haver_M!$B$1:$BZ$300,MATCH(data!BI$1,Haver_M!$B$1:$BZ$1,0),FALSE)),VLOOKUP($A63,Haver_M!$B$1:$BZ$300,MATCH(data!BI$1,Haver_M!$B$1:$BZ$1,0),FALSE),"")</f>
        <v/>
      </c>
      <c r="BJ63" t="str">
        <f>IF(ISNUMBER(VLOOKUP($A63,Haver_M!$B$1:$BZ$300,MATCH(data!BJ$1,Haver_M!$B$1:$BZ$1,0),FALSE)),VLOOKUP($A63,Haver_M!$B$1:$BZ$300,MATCH(data!BJ$1,Haver_M!$B$1:$BZ$1,0),FALSE),"")</f>
        <v/>
      </c>
      <c r="BK63" t="str">
        <f>IF(ISNUMBER(VLOOKUP($A63,Haver_M!$B$1:$BZ$300,MATCH(data!BK$1,Haver_M!$B$1:$BZ$1,0),FALSE)),VLOOKUP($A63,Haver_M!$B$1:$BZ$300,MATCH(data!BK$1,Haver_M!$B$1:$BZ$1,0),FALSE),"")</f>
        <v/>
      </c>
      <c r="BL63">
        <f>IF(ISNUMBER(VLOOKUP($A63,Haver_M!$B$1:$BZ$300,MATCH(data!BL$1,Haver_M!$B$1:$BZ$1,0),FALSE)),VLOOKUP($A63,Haver_M!$B$1:$BZ$300,MATCH(data!BL$1,Haver_M!$B$1:$BZ$1,0),FALSE),"")</f>
        <v>6595.05</v>
      </c>
      <c r="BM63">
        <f>IF(ISNUMBER(VLOOKUP($A63,Haver_M!$B$1:$BZ$300,MATCH(data!BM$1,Haver_M!$B$1:$BZ$1,0),FALSE)),VLOOKUP($A63,Haver_M!$B$1:$BZ$300,MATCH(data!BM$1,Haver_M!$B$1:$BZ$1,0),FALSE),"")</f>
        <v>91.932543339999995</v>
      </c>
      <c r="BN63" t="str">
        <f>IF(ISNUMBER(VLOOKUP($A63,Haver_M!$B$1:$BZ$300,MATCH(data!BN$1,Haver_M!$B$1:$BZ$1,0),FALSE)),VLOOKUP($A63,Haver_M!$B$1:$BZ$300,MATCH(data!BN$1,Haver_M!$B$1:$BZ$1,0),FALSE),"")</f>
        <v/>
      </c>
      <c r="BO63" t="str">
        <f>IF(ISNUMBER(VLOOKUP($A63,Haver_M!$B$1:$BZ$300,MATCH(data!BO$1,Haver_M!$B$1:$BZ$1,0),FALSE)),VLOOKUP($A63,Haver_M!$B$1:$BZ$300,MATCH(data!BO$1,Haver_M!$B$1:$BZ$1,0),FALSE),"")</f>
        <v/>
      </c>
      <c r="BP63" t="str">
        <f>IF(ISNUMBER(VLOOKUP($A63,Haver_M!$B$1:$BZ$300,MATCH(data!BP$1,Haver_M!$B$1:$BZ$1,0),FALSE)),VLOOKUP($A63,Haver_M!$B$1:$BZ$300,MATCH(data!BP$1,Haver_M!$B$1:$BZ$1,0),FALSE),"")</f>
        <v/>
      </c>
      <c r="BQ63" t="str">
        <f>IF(ISNUMBER(VLOOKUP($A63,Haver_M!$B$1:$BZ$300,MATCH(data!BQ$1,Haver_M!$B$1:$BZ$1,0),FALSE)),VLOOKUP($A63,Haver_M!$B$1:$BZ$300,MATCH(data!BQ$1,Haver_M!$B$1:$BZ$1,0),FALSE),"")</f>
        <v/>
      </c>
      <c r="BR63" t="str">
        <f>IF(ISNUMBER(VLOOKUP($A63,Haver_M!$B$1:$BZ$300,MATCH(data!BR$1,Haver_M!$B$1:$BZ$1,0),FALSE)),VLOOKUP($A63,Haver_M!$B$1:$BZ$300,MATCH(data!BR$1,Haver_M!$B$1:$BZ$1,0),FALSE),"")</f>
        <v/>
      </c>
      <c r="BS63" t="str">
        <f>IF(ISNUMBER(VLOOKUP($A63,Haver_M!$B$1:$BZ$300,MATCH(data!BS$1,Haver_M!$B$1:$BZ$1,0),FALSE)),VLOOKUP($A63,Haver_M!$B$1:$BZ$300,MATCH(data!BS$1,Haver_M!$B$1:$BZ$1,0),FALSE),"")</f>
        <v/>
      </c>
      <c r="BT63" t="str">
        <f>IF(ISNUMBER(VLOOKUP($A63,Haver_M!$B$1:$BZ$300,MATCH(data!BT$1,Haver_M!$B$1:$BZ$1,0),FALSE)),VLOOKUP($A63,Haver_M!$B$1:$BZ$300,MATCH(data!BT$1,Haver_M!$B$1:$BZ$1,0),FALSE),"")</f>
        <v/>
      </c>
      <c r="BU63">
        <f>IF(ISNUMBER(VLOOKUP($A63,Haver_M!$B$1:$BZ$300,MATCH(data!BU$1,Haver_M!$B$1:$BZ$1,0),FALSE)),VLOOKUP($A63,Haver_M!$B$1:$BZ$300,MATCH(data!BU$1,Haver_M!$B$1:$BZ$1,0),FALSE),"")</f>
        <v>8046</v>
      </c>
      <c r="BV63">
        <f>IF(ISNUMBER(VLOOKUP($A63,Haver_M!$B$1:$BZ$300,MATCH(data!BV$1,Haver_M!$B$1:$BZ$1,0),FALSE)),VLOOKUP($A63,Haver_M!$B$1:$BZ$300,MATCH(data!BV$1,Haver_M!$B$1:$BZ$1,0),FALSE),"")</f>
        <v>10357</v>
      </c>
      <c r="BW63">
        <f>IF(ISNUMBER(VLOOKUP($A63,Haver_M!$B$1:$BZ$300,MATCH(data!BW$1,Haver_M!$B$1:$BZ$1,0),FALSE)),VLOOKUP($A63,Haver_M!$B$1:$BZ$300,MATCH(data!BW$1,Haver_M!$B$1:$BZ$1,0),FALSE),"")</f>
        <v>43.6798</v>
      </c>
      <c r="BX63">
        <f>IF(ISNUMBER(VLOOKUP($A63,Haver_M!$B$1:$BZ$300,MATCH(data!BX$1,Haver_M!$B$1:$BZ$1,0),FALSE)),VLOOKUP($A63,Haver_M!$B$1:$BZ$300,MATCH(data!BX$1,Haver_M!$B$1:$BZ$1,0),FALSE),"")</f>
        <v>19978</v>
      </c>
    </row>
    <row r="64" spans="1:76" x14ac:dyDescent="0.25">
      <c r="A64" s="2">
        <v>38442</v>
      </c>
      <c r="B64">
        <f>IF(ISNUMBER(VLOOKUP($A64,Haver_Q!$B$1:$L$185,MATCH(data!B$1,Haver_Q!$B$1:$L$1,0),FALSE)),100*(VLOOKUP($A64,Haver_Q!$B$1:$L$185,MATCH(data!B$1,Haver_Q!$B$1:$L$1,0),FALSE)),"")</f>
        <v>7.8450694807623789</v>
      </c>
      <c r="C64">
        <f>IF(ISNUMBER(VLOOKUP($A64,Haver_Q!$B$1:$L$185,MATCH(data!C$1,Haver_Q!$B$1:$L$1,0),FALSE)),100*(VLOOKUP($A64,Haver_Q!$B$1:$L$185,MATCH(data!C$1,Haver_Q!$B$1:$L$1,0),FALSE)),"")</f>
        <v>10.587349592946049</v>
      </c>
      <c r="D64">
        <f>IF(ISNUMBER(VLOOKUP($A64,Haver_Q!$B$1:$L$185,MATCH(data!D$1,Haver_Q!$B$1:$L$1,0),FALSE)),100*(VLOOKUP($A64,Haver_Q!$B$1:$L$185,MATCH(data!D$1,Haver_Q!$B$1:$L$1,0),FALSE)),"")</f>
        <v>48.409109259641056</v>
      </c>
      <c r="E64">
        <f>IF(ISNUMBER(VLOOKUP($A64,Haver_Q!$B$1:$L$185,MATCH(data!E$1,Haver_Q!$B$1:$L$1,0),FALSE)),100*(VLOOKUP($A64,Haver_Q!$B$1:$L$185,MATCH(data!E$1,Haver_Q!$B$1:$L$1,0),FALSE)),"")</f>
        <v>21.38281321001574</v>
      </c>
      <c r="F64">
        <f>IF(ISNUMBER(VLOOKUP($A64,Haver_Q!$B$1:$L$185,MATCH(data!F$1,Haver_Q!$B$1:$L$1,0),FALSE)),100*(VLOOKUP($A64,Haver_Q!$B$1:$L$185,MATCH(data!F$1,Haver_Q!$B$1:$L$1,0),FALSE)),"")</f>
        <v>42.378596888854169</v>
      </c>
      <c r="G64">
        <f>IF(ISNUMBER(VLOOKUP($A64,Haver_Q!$B$1:$L$185,MATCH(data!G$1,Haver_Q!$B$1:$L$1,0),FALSE)),100*(VLOOKUP($A64,Haver_Q!$B$1:$L$185,MATCH(data!G$1,Haver_Q!$B$1:$L$1,0),FALSE)),"")</f>
        <v>8.3775760802302202</v>
      </c>
      <c r="H64">
        <f>IF(ISNUMBER(VLOOKUP($A64,Haver_Q!$B$1:$L$185,MATCH(data!H$1,Haver_Q!$B$1:$L$1,0),FALSE)),(VLOOKUP($A64,Haver_Q!$B$1:$L$185,MATCH(data!H$1,Haver_Q!$B$1:$L$1,0),FALSE)),"")</f>
        <v>5.0662018255773376</v>
      </c>
      <c r="I64">
        <f>IF(ISNUMBER(VLOOKUP($A64,Haver_Q!$B$1:$L$185,MATCH(data!I$1,Haver_Q!$B$1:$L$1,0),FALSE)),100*(VLOOKUP($A64,Haver_Q!$B$1:$L$185,MATCH(data!I$1,Haver_Q!$B$1:$L$1,0),FALSE)),"")</f>
        <v>9.5539224202365158</v>
      </c>
      <c r="J64" s="3">
        <f>IF(ISNUMBER(Bloomberg_m!C80),Bloomberg_m!C80,"")</f>
        <v>4678</v>
      </c>
      <c r="K64" s="3" t="str">
        <f>IF(ISNUMBER(Bloomberg_m!D80),Bloomberg_m!D80,"")</f>
        <v/>
      </c>
      <c r="L64" s="3" t="str">
        <f>IF(ISNUMBER(Bloomberg_m!E80),Bloomberg_m!E80,"")</f>
        <v/>
      </c>
      <c r="M64" s="3" t="str">
        <f>IF(ISNUMBER(Bloomberg_m!F80),Bloomberg_m!F80,"")</f>
        <v/>
      </c>
      <c r="N64">
        <f>IF(ISNUMBER(VLOOKUP($A64,Haver_M!$B$1:$BZ$300,MATCH(data!N$1,Haver_M!$B$1:$BZ$1,0),FALSE)),VLOOKUP($A64,Haver_M!$B$1:$BZ$300,MATCH(data!N$1,Haver_M!$B$1:$BZ$1,0),FALSE),"")</f>
        <v>6</v>
      </c>
      <c r="O64">
        <f>IF(ISNUMBER(VLOOKUP($A64,Haver_M!$B$1:$BZ$300,MATCH(data!O$1,Haver_M!$B$1:$BZ$1,0),FALSE)),VLOOKUP($A64,Haver_M!$B$1:$BZ$300,MATCH(data!O$1,Haver_M!$B$1:$BZ$1,0),FALSE),"")</f>
        <v>6.6852999999999998</v>
      </c>
      <c r="P64">
        <f>IF(ISNUMBER(VLOOKUP($A64,Haver_M!$B$1:$BZ$300,MATCH(data!P$1,Haver_M!$B$1:$BZ$1,0),FALSE)),VLOOKUP($A64,Haver_M!$B$1:$BZ$300,MATCH(data!P$1,Haver_M!$B$1:$BZ$1,0),FALSE),"")</f>
        <v>93.460149999999999</v>
      </c>
      <c r="Q64">
        <f>IF(ISNUMBER(VLOOKUP($A64,Haver_M!$B$1:$BZ$300,MATCH(data!Q$1,Haver_M!$B$1:$BZ$1,0),FALSE)),VLOOKUP($A64,Haver_M!$B$1:$BZ$300,MATCH(data!Q$1,Haver_M!$B$1:$BZ$1,0),FALSE),"")</f>
        <v>56.3</v>
      </c>
      <c r="R64" t="str">
        <f>IF(ISNUMBER(VLOOKUP($A64,Haver_M!$B$1:$BZ$300,MATCH(data!R$1,Haver_M!$B$1:$BZ$1,0),FALSE)),VLOOKUP($A64,Haver_M!$B$1:$BZ$300,MATCH(data!R$1,Haver_M!$B$1:$BZ$1,0),FALSE),"")</f>
        <v/>
      </c>
      <c r="S64">
        <f>IF(ISNUMBER(VLOOKUP($A64,Haver_M!$B$1:$BZ$300,MATCH(data!S$1,Haver_M!$B$1:$BZ$1,0),FALSE)),VLOOKUP($A64,Haver_M!$B$1:$BZ$300,MATCH(data!S$1,Haver_M!$B$1:$BZ$1,0),FALSE),"")</f>
        <v>62.95</v>
      </c>
      <c r="T64">
        <f>IF(ISNUMBER(VLOOKUP($A64,Haver_M!$B$1:$BZ$300,MATCH(data!T$1,Haver_M!$B$1:$BZ$1,0),FALSE)),VLOOKUP($A64,Haver_M!$B$1:$BZ$300,MATCH(data!T$1,Haver_M!$B$1:$BZ$1,0),FALSE),"")</f>
        <v>67.94</v>
      </c>
      <c r="U64">
        <f>IF(ISNUMBER(VLOOKUP($A64,Haver_M!$B$1:$BZ$300,MATCH(data!U$1,Haver_M!$B$1:$BZ$1,0),FALSE)),VLOOKUP($A64,Haver_M!$B$1:$BZ$300,MATCH(data!U$1,Haver_M!$B$1:$BZ$1,0),FALSE),"")</f>
        <v>52.68</v>
      </c>
      <c r="V64">
        <f>IF(ISNUMBER(VLOOKUP($A64,Haver_M!$B$1:$BZ$300,MATCH(data!V$1,Haver_M!$B$1:$BZ$1,0),FALSE)),VLOOKUP($A64,Haver_M!$B$1:$BZ$300,MATCH(data!V$1,Haver_M!$B$1:$BZ$1,0),FALSE),"")</f>
        <v>73.36</v>
      </c>
      <c r="W64" t="str">
        <f>IF(ISNUMBER(VLOOKUP($A64,Haver_M!$B$1:$BZ$300,MATCH(data!W$1,Haver_M!$B$1:$BZ$1,0),FALSE)),VLOOKUP($A64,Haver_M!$B$1:$BZ$300,MATCH(data!W$1,Haver_M!$B$1:$BZ$1,0),FALSE),"")</f>
        <v/>
      </c>
      <c r="X64">
        <f>IF(ISNUMBER(VLOOKUP($A64,Haver_M!$B$1:$BZ$300,MATCH(data!X$1,Haver_M!$B$1:$BZ$1,0),FALSE)),VLOOKUP($A64,Haver_M!$B$1:$BZ$300,MATCH(data!X$1,Haver_M!$B$1:$BZ$1,0),FALSE),"")</f>
        <v>37.74</v>
      </c>
      <c r="Y64">
        <f>IF(ISNUMBER(VLOOKUP($A64,Haver_M!$B$1:$BZ$300,MATCH(data!Y$1,Haver_M!$B$1:$BZ$1,0),FALSE)),VLOOKUP($A64,Haver_M!$B$1:$BZ$300,MATCH(data!Y$1,Haver_M!$B$1:$BZ$1,0),FALSE),"")</f>
        <v>66.64</v>
      </c>
      <c r="Z64">
        <f>IF(ISNUMBER(VLOOKUP($A64,Haver_M!$B$1:$BZ$300,MATCH(data!Z$1,Haver_M!$B$1:$BZ$1,0),FALSE)),VLOOKUP($A64,Haver_M!$B$1:$BZ$300,MATCH(data!Z$1,Haver_M!$B$1:$BZ$1,0),FALSE),"")</f>
        <v>70.3</v>
      </c>
      <c r="AA64">
        <f>IF(ISNUMBER(VLOOKUP($A64,Haver_M!$B$1:$BZ$300,MATCH(data!AA$1,Haver_M!$B$1:$BZ$1,0),FALSE)),VLOOKUP($A64,Haver_M!$B$1:$BZ$300,MATCH(data!AA$1,Haver_M!$B$1:$BZ$1,0),FALSE),"")</f>
        <v>70.331000000000003</v>
      </c>
      <c r="AB64">
        <f>IF(ISNUMBER(VLOOKUP($A64,Haver_M!$B$1:$BZ$300,MATCH(data!AB$1,Haver_M!$B$1:$BZ$1,0),FALSE)),VLOOKUP($A64,Haver_M!$B$1:$BZ$300,MATCH(data!AB$1,Haver_M!$B$1:$BZ$1,0),FALSE),"")</f>
        <v>88.6</v>
      </c>
      <c r="AC64">
        <f>IF(ISNUMBER(VLOOKUP($A64,Haver_M!$B$1:$BZ$300,MATCH(data!AC$1,Haver_M!$B$1:$BZ$1,0),FALSE)),VLOOKUP($A64,Haver_M!$B$1:$BZ$300,MATCH(data!AC$1,Haver_M!$B$1:$BZ$1,0),FALSE),"")</f>
        <v>69.819000000000003</v>
      </c>
      <c r="AD64">
        <f>IF(ISNUMBER(VLOOKUP($A64,Haver_M!$B$1:$BZ$300,MATCH(data!AD$1,Haver_M!$B$1:$BZ$1,0),FALSE)),VLOOKUP($A64,Haver_M!$B$1:$BZ$300,MATCH(data!AD$1,Haver_M!$B$1:$BZ$1,0),FALSE),"")</f>
        <v>74.597999999999999</v>
      </c>
      <c r="AE64">
        <f>IF(ISNUMBER(VLOOKUP($A64,Haver_M!$B$1:$BZ$300,MATCH(data!AE$1,Haver_M!$B$1:$BZ$1,0),FALSE)),VLOOKUP($A64,Haver_M!$B$1:$BZ$300,MATCH(data!AE$1,Haver_M!$B$1:$BZ$1,0),FALSE),"")</f>
        <v>91.521000000000001</v>
      </c>
      <c r="AF64">
        <f>IF(ISNUMBER(VLOOKUP($A64,Haver_M!$B$1:$BZ$300,MATCH(data!AF$1,Haver_M!$B$1:$BZ$1,0),FALSE)),VLOOKUP($A64,Haver_M!$B$1:$BZ$300,MATCH(data!AF$1,Haver_M!$B$1:$BZ$1,0),FALSE),"")</f>
        <v>59.685000000000002</v>
      </c>
      <c r="AG64">
        <f>IF(ISNUMBER(VLOOKUP($A64,Haver_M!$B$1:$BZ$300,MATCH(data!AG$1,Haver_M!$B$1:$BZ$1,0),FALSE)),VLOOKUP($A64,Haver_M!$B$1:$BZ$300,MATCH(data!AG$1,Haver_M!$B$1:$BZ$1,0),FALSE),"")</f>
        <v>58.118000000000002</v>
      </c>
      <c r="AH64">
        <f>IF(ISNUMBER(VLOOKUP($A64,Haver_M!$B$1:$BZ$300,MATCH(data!AH$1,Haver_M!$B$1:$BZ$1,0),FALSE)),VLOOKUP($A64,Haver_M!$B$1:$BZ$300,MATCH(data!AH$1,Haver_M!$B$1:$BZ$1,0),FALSE),"")</f>
        <v>69.603999999999999</v>
      </c>
      <c r="AI64">
        <f>IF(ISNUMBER(VLOOKUP($A64,Haver_M!$B$1:$BZ$300,MATCH(data!AI$1,Haver_M!$B$1:$BZ$1,0),FALSE)),VLOOKUP($A64,Haver_M!$B$1:$BZ$300,MATCH(data!AI$1,Haver_M!$B$1:$BZ$1,0),FALSE),"")</f>
        <v>9579.6289159036096</v>
      </c>
      <c r="AJ64">
        <f>IF(ISNUMBER(VLOOKUP($A64,Haver_M!$B$1:$BZ$300,MATCH(data!AJ$1,Haver_M!$B$1:$BZ$1,0),FALSE)),VLOOKUP($A64,Haver_M!$B$1:$BZ$300,MATCH(data!AJ$1,Haver_M!$B$1:$BZ$1,0),FALSE),"")</f>
        <v>8444.14</v>
      </c>
      <c r="AK64">
        <f>IF(ISNUMBER(VLOOKUP($A64,Haver_M!$B$1:$BZ$300,MATCH(data!AK$1,Haver_M!$B$1:$BZ$1,0),FALSE)),VLOOKUP($A64,Haver_M!$B$1:$BZ$300,MATCH(data!AK$1,Haver_M!$B$1:$BZ$1,0),FALSE),"")</f>
        <v>11861.42</v>
      </c>
      <c r="AL64" t="str">
        <f>IF(ISNUMBER(VLOOKUP($A64,Haver_M!$B$1:$BZ$300,MATCH(data!AL$1,Haver_M!$B$1:$BZ$1,0),FALSE)),VLOOKUP($A64,Haver_M!$B$1:$BZ$300,MATCH(data!AL$1,Haver_M!$B$1:$BZ$1,0),FALSE),"")</f>
        <v/>
      </c>
      <c r="AM64" t="str">
        <f>IF(ISNUMBER(VLOOKUP($A64,Haver_M!$B$1:$BZ$300,MATCH(data!AM$1,Haver_M!$B$1:$BZ$1,0),FALSE)),VLOOKUP($A64,Haver_M!$B$1:$BZ$300,MATCH(data!AM$1,Haver_M!$B$1:$BZ$1,0),FALSE),"")</f>
        <v/>
      </c>
      <c r="AN64" t="str">
        <f>IF(ISNUMBER(VLOOKUP($A64,Haver_M!$B$1:$BZ$300,MATCH(data!AN$1,Haver_M!$B$1:$BZ$1,0),FALSE)),VLOOKUP($A64,Haver_M!$B$1:$BZ$300,MATCH(data!AN$1,Haver_M!$B$1:$BZ$1,0),FALSE),"")</f>
        <v/>
      </c>
      <c r="AO64" t="str">
        <f>IF(ISNUMBER(VLOOKUP($A64,Haver_M!$B$1:$BZ$300,MATCH(data!AO$1,Haver_M!$B$1:$BZ$1,0),FALSE)),VLOOKUP($A64,Haver_M!$B$1:$BZ$300,MATCH(data!AO$1,Haver_M!$B$1:$BZ$1,0),FALSE),"")</f>
        <v/>
      </c>
      <c r="AP64">
        <f>IF(ISNUMBER(VLOOKUP($A64,Haver_M!$B$1:$BZ$300,MATCH(data!AP$1,Haver_M!$B$1:$BZ$1,0),FALSE)),VLOOKUP($A64,Haver_M!$B$1:$BZ$300,MATCH(data!AP$1,Haver_M!$B$1:$BZ$1,0),FALSE),"")</f>
        <v>43.429500440619563</v>
      </c>
      <c r="AQ64" t="str">
        <f>IF(ISNUMBER(VLOOKUP($A64,Haver_M!$B$1:$BZ$300,MATCH(data!AQ$1,Haver_M!$B$1:$BZ$1,0),FALSE)),VLOOKUP($A64,Haver_M!$B$1:$BZ$300,MATCH(data!AQ$1,Haver_M!$B$1:$BZ$1,0),FALSE),"")</f>
        <v/>
      </c>
      <c r="AR64">
        <f>IF(ISNUMBER(VLOOKUP($A64,Haver_M!$B$1:$BZ$300,MATCH(data!AR$1,Haver_M!$B$1:$BZ$1,0),FALSE)),VLOOKUP($A64,Haver_M!$B$1:$BZ$300,MATCH(data!AR$1,Haver_M!$B$1:$BZ$1,0),FALSE),"")</f>
        <v>59.661700000000003</v>
      </c>
      <c r="AS64" t="str">
        <f>IF(ISNUMBER(VLOOKUP($A64,Haver_M!$B$1:$BZ$300,MATCH(data!AS$1,Haver_M!$B$1:$BZ$1,0),FALSE)),VLOOKUP($A64,Haver_M!$B$1:$BZ$300,MATCH(data!AS$1,Haver_M!$B$1:$BZ$1,0),FALSE),"")</f>
        <v/>
      </c>
      <c r="AT64">
        <f>IF(ISNUMBER(VLOOKUP($A64,Haver_M!$B$1:$BZ$300,MATCH(data!AT$1,Haver_M!$B$1:$BZ$1,0),FALSE)),VLOOKUP($A64,Haver_M!$B$1:$BZ$300,MATCH(data!AT$1,Haver_M!$B$1:$BZ$1,0),FALSE),"")</f>
        <v>64.168199999999999</v>
      </c>
      <c r="AU64">
        <f>IF(ISNUMBER(VLOOKUP($A64,Haver_M!$B$1:$BZ$300,MATCH(data!AU$1,Haver_M!$B$1:$BZ$1,0),FALSE)),VLOOKUP($A64,Haver_M!$B$1:$BZ$300,MATCH(data!AU$1,Haver_M!$B$1:$BZ$1,0),FALSE),"")</f>
        <v>68.8</v>
      </c>
      <c r="AV64">
        <f>IF(ISNUMBER(VLOOKUP($A64,Haver_M!$B$1:$BZ$300,MATCH(data!AV$1,Haver_M!$B$1:$BZ$1,0),FALSE)),VLOOKUP($A64,Haver_M!$B$1:$BZ$300,MATCH(data!AV$1,Haver_M!$B$1:$BZ$1,0),FALSE),"")</f>
        <v>53.958300000000001</v>
      </c>
      <c r="AW64">
        <f>IF(ISNUMBER(VLOOKUP($A64,Haver_M!$B$1:$BZ$300,MATCH(data!AW$1,Haver_M!$B$1:$BZ$1,0),FALSE)),VLOOKUP($A64,Haver_M!$B$1:$BZ$300,MATCH(data!AW$1,Haver_M!$B$1:$BZ$1,0),FALSE),"")</f>
        <v>55.543900000000001</v>
      </c>
      <c r="AX64">
        <f>IF(ISNUMBER(VLOOKUP($A64,Haver_M!$B$1:$BZ$300,MATCH(data!AX$1,Haver_M!$B$1:$BZ$1,0),FALSE)),VLOOKUP($A64,Haver_M!$B$1:$BZ$300,MATCH(data!AX$1,Haver_M!$B$1:$BZ$1,0),FALSE),"")</f>
        <v>55.195999999999998</v>
      </c>
      <c r="AY64">
        <f>IF(ISNUMBER(VLOOKUP($A64,Haver_M!$B$1:$BZ$300,MATCH(data!AY$1,Haver_M!$B$1:$BZ$1,0),FALSE)),VLOOKUP($A64,Haver_M!$B$1:$BZ$300,MATCH(data!AY$1,Haver_M!$B$1:$BZ$1,0),FALSE),"")</f>
        <v>69.738799999999998</v>
      </c>
      <c r="AZ64">
        <f>IF(ISNUMBER(VLOOKUP($A64,Haver_M!$B$1:$BZ$300,MATCH(data!AZ$1,Haver_M!$B$1:$BZ$1,0),FALSE)),VLOOKUP($A64,Haver_M!$B$1:$BZ$300,MATCH(data!AZ$1,Haver_M!$B$1:$BZ$1,0),FALSE),"")</f>
        <v>64.927099999999996</v>
      </c>
      <c r="BA64">
        <f>IF(ISNUMBER(VLOOKUP($A64,Haver_M!$B$1:$BZ$300,MATCH(data!BA$1,Haver_M!$B$1:$BZ$1,0),FALSE)),VLOOKUP($A64,Haver_M!$B$1:$BZ$300,MATCH(data!BA$1,Haver_M!$B$1:$BZ$1,0),FALSE),"")</f>
        <v>55.195999999999998</v>
      </c>
      <c r="BB64">
        <f>IF(ISNUMBER(VLOOKUP($A64,Haver_M!$B$1:$BZ$300,MATCH(data!BB$1,Haver_M!$B$1:$BZ$1,0),FALSE)),VLOOKUP($A64,Haver_M!$B$1:$BZ$300,MATCH(data!BB$1,Haver_M!$B$1:$BZ$1,0),FALSE),"")</f>
        <v>62.413200000000003</v>
      </c>
      <c r="BC64">
        <f>IF(ISNUMBER(VLOOKUP($A64,Haver_M!$B$1:$BZ$300,MATCH(data!BC$1,Haver_M!$B$1:$BZ$1,0),FALSE)),VLOOKUP($A64,Haver_M!$B$1:$BZ$300,MATCH(data!BC$1,Haver_M!$B$1:$BZ$1,0),FALSE),"")</f>
        <v>64.135000000000005</v>
      </c>
      <c r="BD64">
        <f>IF(ISNUMBER(VLOOKUP($A64,Haver_M!$B$1:$BZ$300,MATCH(data!BD$1,Haver_M!$B$1:$BZ$1,0),FALSE)),VLOOKUP($A64,Haver_M!$B$1:$BZ$300,MATCH(data!BD$1,Haver_M!$B$1:$BZ$1,0),FALSE),"")</f>
        <v>48.806100000000001</v>
      </c>
      <c r="BE64">
        <f>IF(ISNUMBER(VLOOKUP($A64,Haver_M!$B$1:$BZ$300,MATCH(data!BE$1,Haver_M!$B$1:$BZ$1,0),FALSE)),VLOOKUP($A64,Haver_M!$B$1:$BZ$300,MATCH(data!BE$1,Haver_M!$B$1:$BZ$1,0),FALSE),"")</f>
        <v>1.3219000000000001</v>
      </c>
      <c r="BF64" t="str">
        <f>IF(ISNUMBER(VLOOKUP($A64,Haver_M!$B$1:$BZ$300,MATCH(data!BF$1,Haver_M!$B$1:$BZ$1,0),FALSE)),VLOOKUP($A64,Haver_M!$B$1:$BZ$300,MATCH(data!BF$1,Haver_M!$B$1:$BZ$1,0),FALSE),"")</f>
        <v/>
      </c>
      <c r="BG64" t="str">
        <f>IF(ISNUMBER(VLOOKUP($A64,Haver_M!$B$1:$BZ$300,MATCH(data!BG$1,Haver_M!$B$1:$BZ$1,0),FALSE)),VLOOKUP($A64,Haver_M!$B$1:$BZ$300,MATCH(data!BG$1,Haver_M!$B$1:$BZ$1,0),FALSE),"")</f>
        <v/>
      </c>
      <c r="BH64" t="str">
        <f>IF(ISNUMBER(VLOOKUP($A64,Haver_M!$B$1:$BZ$300,MATCH(data!BH$1,Haver_M!$B$1:$BZ$1,0),FALSE)),VLOOKUP($A64,Haver_M!$B$1:$BZ$300,MATCH(data!BH$1,Haver_M!$B$1:$BZ$1,0),FALSE),"")</f>
        <v/>
      </c>
      <c r="BI64" t="str">
        <f>IF(ISNUMBER(VLOOKUP($A64,Haver_M!$B$1:$BZ$300,MATCH(data!BI$1,Haver_M!$B$1:$BZ$1,0),FALSE)),VLOOKUP($A64,Haver_M!$B$1:$BZ$300,MATCH(data!BI$1,Haver_M!$B$1:$BZ$1,0),FALSE),"")</f>
        <v/>
      </c>
      <c r="BJ64" t="str">
        <f>IF(ISNUMBER(VLOOKUP($A64,Haver_M!$B$1:$BZ$300,MATCH(data!BJ$1,Haver_M!$B$1:$BZ$1,0),FALSE)),VLOOKUP($A64,Haver_M!$B$1:$BZ$300,MATCH(data!BJ$1,Haver_M!$B$1:$BZ$1,0),FALSE),"")</f>
        <v/>
      </c>
      <c r="BK64" t="str">
        <f>IF(ISNUMBER(VLOOKUP($A64,Haver_M!$B$1:$BZ$300,MATCH(data!BK$1,Haver_M!$B$1:$BZ$1,0),FALSE)),VLOOKUP($A64,Haver_M!$B$1:$BZ$300,MATCH(data!BK$1,Haver_M!$B$1:$BZ$1,0),FALSE),"")</f>
        <v/>
      </c>
      <c r="BL64">
        <f>IF(ISNUMBER(VLOOKUP($A64,Haver_M!$B$1:$BZ$300,MATCH(data!BL$1,Haver_M!$B$1:$BZ$1,0),FALSE)),VLOOKUP($A64,Haver_M!$B$1:$BZ$300,MATCH(data!BL$1,Haver_M!$B$1:$BZ$1,0),FALSE),"")</f>
        <v>6679.18</v>
      </c>
      <c r="BM64">
        <f>IF(ISNUMBER(VLOOKUP($A64,Haver_M!$B$1:$BZ$300,MATCH(data!BM$1,Haver_M!$B$1:$BZ$1,0),FALSE)),VLOOKUP($A64,Haver_M!$B$1:$BZ$300,MATCH(data!BM$1,Haver_M!$B$1:$BZ$1,0),FALSE),"")</f>
        <v>91.477532929999995</v>
      </c>
      <c r="BN64">
        <f>IF(ISNUMBER(VLOOKUP($A64,Haver_M!$B$1:$BZ$300,MATCH(data!BN$1,Haver_M!$B$1:$BZ$1,0),FALSE)),VLOOKUP($A64,Haver_M!$B$1:$BZ$300,MATCH(data!BN$1,Haver_M!$B$1:$BZ$1,0),FALSE),"")</f>
        <v>122.5</v>
      </c>
      <c r="BO64">
        <f>IF(ISNUMBER(VLOOKUP($A64,Haver_M!$B$1:$BZ$300,MATCH(data!BO$1,Haver_M!$B$1:$BZ$1,0),FALSE)),VLOOKUP($A64,Haver_M!$B$1:$BZ$300,MATCH(data!BO$1,Haver_M!$B$1:$BZ$1,0),FALSE),"")</f>
        <v>123.2</v>
      </c>
      <c r="BP64">
        <f>IF(ISNUMBER(VLOOKUP($A64,Haver_M!$B$1:$BZ$300,MATCH(data!BP$1,Haver_M!$B$1:$BZ$1,0),FALSE)),VLOOKUP($A64,Haver_M!$B$1:$BZ$300,MATCH(data!BP$1,Haver_M!$B$1:$BZ$1,0),FALSE),"")</f>
        <v>47.4</v>
      </c>
      <c r="BQ64" t="str">
        <f>IF(ISNUMBER(VLOOKUP($A64,Haver_M!$B$1:$BZ$300,MATCH(data!BQ$1,Haver_M!$B$1:$BZ$1,0),FALSE)),VLOOKUP($A64,Haver_M!$B$1:$BZ$300,MATCH(data!BQ$1,Haver_M!$B$1:$BZ$1,0),FALSE),"")</f>
        <v/>
      </c>
      <c r="BR64" t="str">
        <f>IF(ISNUMBER(VLOOKUP($A64,Haver_M!$B$1:$BZ$300,MATCH(data!BR$1,Haver_M!$B$1:$BZ$1,0),FALSE)),VLOOKUP($A64,Haver_M!$B$1:$BZ$300,MATCH(data!BR$1,Haver_M!$B$1:$BZ$1,0),FALSE),"")</f>
        <v/>
      </c>
      <c r="BS64" t="str">
        <f>IF(ISNUMBER(VLOOKUP($A64,Haver_M!$B$1:$BZ$300,MATCH(data!BS$1,Haver_M!$B$1:$BZ$1,0),FALSE)),VLOOKUP($A64,Haver_M!$B$1:$BZ$300,MATCH(data!BS$1,Haver_M!$B$1:$BZ$1,0),FALSE),"")</f>
        <v/>
      </c>
      <c r="BT64" t="str">
        <f>IF(ISNUMBER(VLOOKUP($A64,Haver_M!$B$1:$BZ$300,MATCH(data!BT$1,Haver_M!$B$1:$BZ$1,0),FALSE)),VLOOKUP($A64,Haver_M!$B$1:$BZ$300,MATCH(data!BT$1,Haver_M!$B$1:$BZ$1,0),FALSE),"")</f>
        <v/>
      </c>
      <c r="BU64">
        <f>IF(ISNUMBER(VLOOKUP($A64,Haver_M!$B$1:$BZ$300,MATCH(data!BU$1,Haver_M!$B$1:$BZ$1,0),FALSE)),VLOOKUP($A64,Haver_M!$B$1:$BZ$300,MATCH(data!BU$1,Haver_M!$B$1:$BZ$1,0),FALSE),"")</f>
        <v>10155</v>
      </c>
      <c r="BV64">
        <f>IF(ISNUMBER(VLOOKUP($A64,Haver_M!$B$1:$BZ$300,MATCH(data!BV$1,Haver_M!$B$1:$BZ$1,0),FALSE)),VLOOKUP($A64,Haver_M!$B$1:$BZ$300,MATCH(data!BV$1,Haver_M!$B$1:$BZ$1,0),FALSE),"")</f>
        <v>12369</v>
      </c>
      <c r="BW64">
        <f>IF(ISNUMBER(VLOOKUP($A64,Haver_M!$B$1:$BZ$300,MATCH(data!BW$1,Haver_M!$B$1:$BZ$1,0),FALSE)),VLOOKUP($A64,Haver_M!$B$1:$BZ$300,MATCH(data!BW$1,Haver_M!$B$1:$BZ$1,0),FALSE),"")</f>
        <v>43.6905</v>
      </c>
      <c r="BX64">
        <f>IF(ISNUMBER(VLOOKUP($A64,Haver_M!$B$1:$BZ$300,MATCH(data!BX$1,Haver_M!$B$1:$BZ$1,0),FALSE)),VLOOKUP($A64,Haver_M!$B$1:$BZ$300,MATCH(data!BX$1,Haver_M!$B$1:$BZ$1,0),FALSE),"")</f>
        <v>17971</v>
      </c>
    </row>
    <row r="65" spans="1:76" x14ac:dyDescent="0.25">
      <c r="A65" s="2">
        <v>38472</v>
      </c>
      <c r="B65" t="str">
        <f>IF(ISNUMBER(VLOOKUP($A65,Haver_Q!$B$1:$L$185,MATCH(data!B$1,Haver_Q!$B$1:$L$1,0),FALSE)),100*(VLOOKUP($A65,Haver_Q!$B$1:$L$185,MATCH(data!B$1,Haver_Q!$B$1:$L$1,0),FALSE)),"")</f>
        <v/>
      </c>
      <c r="C65" t="str">
        <f>IF(ISNUMBER(VLOOKUP($A65,Haver_Q!$B$1:$L$185,MATCH(data!C$1,Haver_Q!$B$1:$L$1,0),FALSE)),100*(VLOOKUP($A65,Haver_Q!$B$1:$L$185,MATCH(data!C$1,Haver_Q!$B$1:$L$1,0),FALSE)),"")</f>
        <v/>
      </c>
      <c r="D65" t="str">
        <f>IF(ISNUMBER(VLOOKUP($A65,Haver_Q!$B$1:$L$185,MATCH(data!D$1,Haver_Q!$B$1:$L$1,0),FALSE)),100*(VLOOKUP($A65,Haver_Q!$B$1:$L$185,MATCH(data!D$1,Haver_Q!$B$1:$L$1,0),FALSE)),"")</f>
        <v/>
      </c>
      <c r="E65" t="str">
        <f>IF(ISNUMBER(VLOOKUP($A65,Haver_Q!$B$1:$L$185,MATCH(data!E$1,Haver_Q!$B$1:$L$1,0),FALSE)),100*(VLOOKUP($A65,Haver_Q!$B$1:$L$185,MATCH(data!E$1,Haver_Q!$B$1:$L$1,0),FALSE)),"")</f>
        <v/>
      </c>
      <c r="F65" t="str">
        <f>IF(ISNUMBER(VLOOKUP($A65,Haver_Q!$B$1:$L$185,MATCH(data!F$1,Haver_Q!$B$1:$L$1,0),FALSE)),100*(VLOOKUP($A65,Haver_Q!$B$1:$L$185,MATCH(data!F$1,Haver_Q!$B$1:$L$1,0),FALSE)),"")</f>
        <v/>
      </c>
      <c r="G65" t="str">
        <f>IF(ISNUMBER(VLOOKUP($A65,Haver_Q!$B$1:$L$185,MATCH(data!G$1,Haver_Q!$B$1:$L$1,0),FALSE)),100*(VLOOKUP($A65,Haver_Q!$B$1:$L$185,MATCH(data!G$1,Haver_Q!$B$1:$L$1,0),FALSE)),"")</f>
        <v/>
      </c>
      <c r="H65" t="str">
        <f>IF(ISNUMBER(VLOOKUP($A65,Haver_Q!$B$1:$L$185,MATCH(data!H$1,Haver_Q!$B$1:$L$1,0),FALSE)),(VLOOKUP($A65,Haver_Q!$B$1:$L$185,MATCH(data!H$1,Haver_Q!$B$1:$L$1,0),FALSE)),"")</f>
        <v/>
      </c>
      <c r="I65" t="str">
        <f>IF(ISNUMBER(VLOOKUP($A65,Haver_Q!$B$1:$L$185,MATCH(data!I$1,Haver_Q!$B$1:$L$1,0),FALSE)),100*(VLOOKUP($A65,Haver_Q!$B$1:$L$185,MATCH(data!I$1,Haver_Q!$B$1:$L$1,0),FALSE)),"")</f>
        <v/>
      </c>
      <c r="J65" s="3">
        <f>IF(ISNUMBER(Bloomberg_m!C81),Bloomberg_m!C81,"")</f>
        <v>4532</v>
      </c>
      <c r="K65" s="3" t="str">
        <f>IF(ISNUMBER(Bloomberg_m!D81),Bloomberg_m!D81,"")</f>
        <v/>
      </c>
      <c r="L65" s="3" t="str">
        <f>IF(ISNUMBER(Bloomberg_m!E81),Bloomberg_m!E81,"")</f>
        <v/>
      </c>
      <c r="M65" s="3" t="str">
        <f>IF(ISNUMBER(Bloomberg_m!F81),Bloomberg_m!F81,"")</f>
        <v/>
      </c>
      <c r="N65">
        <f>IF(ISNUMBER(VLOOKUP($A65,Haver_M!$B$1:$BZ$300,MATCH(data!N$1,Haver_M!$B$1:$BZ$1,0),FALSE)),VLOOKUP($A65,Haver_M!$B$1:$BZ$300,MATCH(data!N$1,Haver_M!$B$1:$BZ$1,0),FALSE),"")</f>
        <v>6</v>
      </c>
      <c r="O65">
        <f>IF(ISNUMBER(VLOOKUP($A65,Haver_M!$B$1:$BZ$300,MATCH(data!O$1,Haver_M!$B$1:$BZ$1,0),FALSE)),VLOOKUP($A65,Haver_M!$B$1:$BZ$300,MATCH(data!O$1,Haver_M!$B$1:$BZ$1,0),FALSE),"")</f>
        <v>7.1866000000000003</v>
      </c>
      <c r="P65">
        <f>IF(ISNUMBER(VLOOKUP($A65,Haver_M!$B$1:$BZ$300,MATCH(data!P$1,Haver_M!$B$1:$BZ$1,0),FALSE)),VLOOKUP($A65,Haver_M!$B$1:$BZ$300,MATCH(data!P$1,Haver_M!$B$1:$BZ$1,0),FALSE),"")</f>
        <v>94.404399999999995</v>
      </c>
      <c r="Q65">
        <f>IF(ISNUMBER(VLOOKUP($A65,Haver_M!$B$1:$BZ$300,MATCH(data!Q$1,Haver_M!$B$1:$BZ$1,0),FALSE)),VLOOKUP($A65,Haver_M!$B$1:$BZ$300,MATCH(data!Q$1,Haver_M!$B$1:$BZ$1,0),FALSE),"")</f>
        <v>56.7</v>
      </c>
      <c r="R65" t="str">
        <f>IF(ISNUMBER(VLOOKUP($A65,Haver_M!$B$1:$BZ$300,MATCH(data!R$1,Haver_M!$B$1:$BZ$1,0),FALSE)),VLOOKUP($A65,Haver_M!$B$1:$BZ$300,MATCH(data!R$1,Haver_M!$B$1:$BZ$1,0),FALSE),"")</f>
        <v/>
      </c>
      <c r="S65">
        <f>IF(ISNUMBER(VLOOKUP($A65,Haver_M!$B$1:$BZ$300,MATCH(data!S$1,Haver_M!$B$1:$BZ$1,0),FALSE)),VLOOKUP($A65,Haver_M!$B$1:$BZ$300,MATCH(data!S$1,Haver_M!$B$1:$BZ$1,0),FALSE),"")</f>
        <v>62.69</v>
      </c>
      <c r="T65">
        <f>IF(ISNUMBER(VLOOKUP($A65,Haver_M!$B$1:$BZ$300,MATCH(data!T$1,Haver_M!$B$1:$BZ$1,0),FALSE)),VLOOKUP($A65,Haver_M!$B$1:$BZ$300,MATCH(data!T$1,Haver_M!$B$1:$BZ$1,0),FALSE),"")</f>
        <v>68</v>
      </c>
      <c r="U65">
        <f>IF(ISNUMBER(VLOOKUP($A65,Haver_M!$B$1:$BZ$300,MATCH(data!U$1,Haver_M!$B$1:$BZ$1,0),FALSE)),VLOOKUP($A65,Haver_M!$B$1:$BZ$300,MATCH(data!U$1,Haver_M!$B$1:$BZ$1,0),FALSE),"")</f>
        <v>42.4</v>
      </c>
      <c r="V65">
        <f>IF(ISNUMBER(VLOOKUP($A65,Haver_M!$B$1:$BZ$300,MATCH(data!V$1,Haver_M!$B$1:$BZ$1,0),FALSE)),VLOOKUP($A65,Haver_M!$B$1:$BZ$300,MATCH(data!V$1,Haver_M!$B$1:$BZ$1,0),FALSE),"")</f>
        <v>74.819999999999993</v>
      </c>
      <c r="W65" t="str">
        <f>IF(ISNUMBER(VLOOKUP($A65,Haver_M!$B$1:$BZ$300,MATCH(data!W$1,Haver_M!$B$1:$BZ$1,0),FALSE)),VLOOKUP($A65,Haver_M!$B$1:$BZ$300,MATCH(data!W$1,Haver_M!$B$1:$BZ$1,0),FALSE),"")</f>
        <v/>
      </c>
      <c r="X65">
        <f>IF(ISNUMBER(VLOOKUP($A65,Haver_M!$B$1:$BZ$300,MATCH(data!X$1,Haver_M!$B$1:$BZ$1,0),FALSE)),VLOOKUP($A65,Haver_M!$B$1:$BZ$300,MATCH(data!X$1,Haver_M!$B$1:$BZ$1,0),FALSE),"")</f>
        <v>37.5</v>
      </c>
      <c r="Y65">
        <f>IF(ISNUMBER(VLOOKUP($A65,Haver_M!$B$1:$BZ$300,MATCH(data!Y$1,Haver_M!$B$1:$BZ$1,0),FALSE)),VLOOKUP($A65,Haver_M!$B$1:$BZ$300,MATCH(data!Y$1,Haver_M!$B$1:$BZ$1,0),FALSE),"")</f>
        <v>69.14</v>
      </c>
      <c r="Z65">
        <f>IF(ISNUMBER(VLOOKUP($A65,Haver_M!$B$1:$BZ$300,MATCH(data!Z$1,Haver_M!$B$1:$BZ$1,0),FALSE)),VLOOKUP($A65,Haver_M!$B$1:$BZ$300,MATCH(data!Z$1,Haver_M!$B$1:$BZ$1,0),FALSE),"")</f>
        <v>70</v>
      </c>
      <c r="AA65">
        <f>IF(ISNUMBER(VLOOKUP($A65,Haver_M!$B$1:$BZ$300,MATCH(data!AA$1,Haver_M!$B$1:$BZ$1,0),FALSE)),VLOOKUP($A65,Haver_M!$B$1:$BZ$300,MATCH(data!AA$1,Haver_M!$B$1:$BZ$1,0),FALSE),"")</f>
        <v>75.926000000000002</v>
      </c>
      <c r="AB65">
        <f>IF(ISNUMBER(VLOOKUP($A65,Haver_M!$B$1:$BZ$300,MATCH(data!AB$1,Haver_M!$B$1:$BZ$1,0),FALSE)),VLOOKUP($A65,Haver_M!$B$1:$BZ$300,MATCH(data!AB$1,Haver_M!$B$1:$BZ$1,0),FALSE),"")</f>
        <v>88.450999999999993</v>
      </c>
      <c r="AC65">
        <f>IF(ISNUMBER(VLOOKUP($A65,Haver_M!$B$1:$BZ$300,MATCH(data!AC$1,Haver_M!$B$1:$BZ$1,0),FALSE)),VLOOKUP($A65,Haver_M!$B$1:$BZ$300,MATCH(data!AC$1,Haver_M!$B$1:$BZ$1,0),FALSE),"")</f>
        <v>66.947000000000003</v>
      </c>
      <c r="AD65">
        <f>IF(ISNUMBER(VLOOKUP($A65,Haver_M!$B$1:$BZ$300,MATCH(data!AD$1,Haver_M!$B$1:$BZ$1,0),FALSE)),VLOOKUP($A65,Haver_M!$B$1:$BZ$300,MATCH(data!AD$1,Haver_M!$B$1:$BZ$1,0),FALSE),"")</f>
        <v>71.748999999999995</v>
      </c>
      <c r="AE65">
        <f>IF(ISNUMBER(VLOOKUP($A65,Haver_M!$B$1:$BZ$300,MATCH(data!AE$1,Haver_M!$B$1:$BZ$1,0),FALSE)),VLOOKUP($A65,Haver_M!$B$1:$BZ$300,MATCH(data!AE$1,Haver_M!$B$1:$BZ$1,0),FALSE),"")</f>
        <v>92.326999999999998</v>
      </c>
      <c r="AF65">
        <f>IF(ISNUMBER(VLOOKUP($A65,Haver_M!$B$1:$BZ$300,MATCH(data!AF$1,Haver_M!$B$1:$BZ$1,0),FALSE)),VLOOKUP($A65,Haver_M!$B$1:$BZ$300,MATCH(data!AF$1,Haver_M!$B$1:$BZ$1,0),FALSE),"")</f>
        <v>58.442999999999998</v>
      </c>
      <c r="AG65">
        <f>IF(ISNUMBER(VLOOKUP($A65,Haver_M!$B$1:$BZ$300,MATCH(data!AG$1,Haver_M!$B$1:$BZ$1,0),FALSE)),VLOOKUP($A65,Haver_M!$B$1:$BZ$300,MATCH(data!AG$1,Haver_M!$B$1:$BZ$1,0),FALSE),"")</f>
        <v>60.081000000000003</v>
      </c>
      <c r="AH65">
        <f>IF(ISNUMBER(VLOOKUP($A65,Haver_M!$B$1:$BZ$300,MATCH(data!AH$1,Haver_M!$B$1:$BZ$1,0),FALSE)),VLOOKUP($A65,Haver_M!$B$1:$BZ$300,MATCH(data!AH$1,Haver_M!$B$1:$BZ$1,0),FALSE),"")</f>
        <v>68.510999999999996</v>
      </c>
      <c r="AI65">
        <f>IF(ISNUMBER(VLOOKUP($A65,Haver_M!$B$1:$BZ$300,MATCH(data!AI$1,Haver_M!$B$1:$BZ$1,0),FALSE)),VLOOKUP($A65,Haver_M!$B$1:$BZ$300,MATCH(data!AI$1,Haver_M!$B$1:$BZ$1,0),FALSE),"")</f>
        <v>8986.4156721758882</v>
      </c>
      <c r="AJ65">
        <f>IF(ISNUMBER(VLOOKUP($A65,Haver_M!$B$1:$BZ$300,MATCH(data!AJ$1,Haver_M!$B$1:$BZ$1,0),FALSE)),VLOOKUP($A65,Haver_M!$B$1:$BZ$300,MATCH(data!AJ$1,Haver_M!$B$1:$BZ$1,0),FALSE),"")</f>
        <v>8036.1</v>
      </c>
      <c r="AK65">
        <f>IF(ISNUMBER(VLOOKUP($A65,Haver_M!$B$1:$BZ$300,MATCH(data!AK$1,Haver_M!$B$1:$BZ$1,0),FALSE)),VLOOKUP($A65,Haver_M!$B$1:$BZ$300,MATCH(data!AK$1,Haver_M!$B$1:$BZ$1,0),FALSE),"")</f>
        <v>11723.19</v>
      </c>
      <c r="AL65" t="str">
        <f>IF(ISNUMBER(VLOOKUP($A65,Haver_M!$B$1:$BZ$300,MATCH(data!AL$1,Haver_M!$B$1:$BZ$1,0),FALSE)),VLOOKUP($A65,Haver_M!$B$1:$BZ$300,MATCH(data!AL$1,Haver_M!$B$1:$BZ$1,0),FALSE),"")</f>
        <v/>
      </c>
      <c r="AM65" t="str">
        <f>IF(ISNUMBER(VLOOKUP($A65,Haver_M!$B$1:$BZ$300,MATCH(data!AM$1,Haver_M!$B$1:$BZ$1,0),FALSE)),VLOOKUP($A65,Haver_M!$B$1:$BZ$300,MATCH(data!AM$1,Haver_M!$B$1:$BZ$1,0),FALSE),"")</f>
        <v/>
      </c>
      <c r="AN65" t="str">
        <f>IF(ISNUMBER(VLOOKUP($A65,Haver_M!$B$1:$BZ$300,MATCH(data!AN$1,Haver_M!$B$1:$BZ$1,0),FALSE)),VLOOKUP($A65,Haver_M!$B$1:$BZ$300,MATCH(data!AN$1,Haver_M!$B$1:$BZ$1,0),FALSE),"")</f>
        <v/>
      </c>
      <c r="AO65" t="str">
        <f>IF(ISNUMBER(VLOOKUP($A65,Haver_M!$B$1:$BZ$300,MATCH(data!AO$1,Haver_M!$B$1:$BZ$1,0),FALSE)),VLOOKUP($A65,Haver_M!$B$1:$BZ$300,MATCH(data!AO$1,Haver_M!$B$1:$BZ$1,0),FALSE),"")</f>
        <v/>
      </c>
      <c r="AP65">
        <f>IF(ISNUMBER(VLOOKUP($A65,Haver_M!$B$1:$BZ$300,MATCH(data!AP$1,Haver_M!$B$1:$BZ$1,0),FALSE)),VLOOKUP($A65,Haver_M!$B$1:$BZ$300,MATCH(data!AP$1,Haver_M!$B$1:$BZ$1,0),FALSE),"")</f>
        <v>76.389614784192091</v>
      </c>
      <c r="AQ65" t="str">
        <f>IF(ISNUMBER(VLOOKUP($A65,Haver_M!$B$1:$BZ$300,MATCH(data!AQ$1,Haver_M!$B$1:$BZ$1,0),FALSE)),VLOOKUP($A65,Haver_M!$B$1:$BZ$300,MATCH(data!AQ$1,Haver_M!$B$1:$BZ$1,0),FALSE),"")</f>
        <v/>
      </c>
      <c r="AR65">
        <f>IF(ISNUMBER(VLOOKUP($A65,Haver_M!$B$1:$BZ$300,MATCH(data!AR$1,Haver_M!$B$1:$BZ$1,0),FALSE)),VLOOKUP($A65,Haver_M!$B$1:$BZ$300,MATCH(data!AR$1,Haver_M!$B$1:$BZ$1,0),FALSE),"")</f>
        <v>57.080100000000002</v>
      </c>
      <c r="AS65" t="str">
        <f>IF(ISNUMBER(VLOOKUP($A65,Haver_M!$B$1:$BZ$300,MATCH(data!AS$1,Haver_M!$B$1:$BZ$1,0),FALSE)),VLOOKUP($A65,Haver_M!$B$1:$BZ$300,MATCH(data!AS$1,Haver_M!$B$1:$BZ$1,0),FALSE),"")</f>
        <v/>
      </c>
      <c r="AT65">
        <f>IF(ISNUMBER(VLOOKUP($A65,Haver_M!$B$1:$BZ$300,MATCH(data!AT$1,Haver_M!$B$1:$BZ$1,0),FALSE)),VLOOKUP($A65,Haver_M!$B$1:$BZ$300,MATCH(data!AT$1,Haver_M!$B$1:$BZ$1,0),FALSE),"")</f>
        <v>59.405299999999997</v>
      </c>
      <c r="AU65">
        <f>IF(ISNUMBER(VLOOKUP($A65,Haver_M!$B$1:$BZ$300,MATCH(data!AU$1,Haver_M!$B$1:$BZ$1,0),FALSE)),VLOOKUP($A65,Haver_M!$B$1:$BZ$300,MATCH(data!AU$1,Haver_M!$B$1:$BZ$1,0),FALSE),"")</f>
        <v>62.915100000000002</v>
      </c>
      <c r="AV65">
        <f>IF(ISNUMBER(VLOOKUP($A65,Haver_M!$B$1:$BZ$300,MATCH(data!AV$1,Haver_M!$B$1:$BZ$1,0),FALSE)),VLOOKUP($A65,Haver_M!$B$1:$BZ$300,MATCH(data!AV$1,Haver_M!$B$1:$BZ$1,0),FALSE),"")</f>
        <v>52.363300000000002</v>
      </c>
      <c r="AW65">
        <f>IF(ISNUMBER(VLOOKUP($A65,Haver_M!$B$1:$BZ$300,MATCH(data!AW$1,Haver_M!$B$1:$BZ$1,0),FALSE)),VLOOKUP($A65,Haver_M!$B$1:$BZ$300,MATCH(data!AW$1,Haver_M!$B$1:$BZ$1,0),FALSE),"")</f>
        <v>48.351599999999998</v>
      </c>
      <c r="AX65">
        <f>IF(ISNUMBER(VLOOKUP($A65,Haver_M!$B$1:$BZ$300,MATCH(data!AX$1,Haver_M!$B$1:$BZ$1,0),FALSE)),VLOOKUP($A65,Haver_M!$B$1:$BZ$300,MATCH(data!AX$1,Haver_M!$B$1:$BZ$1,0),FALSE),"")</f>
        <v>51.3431</v>
      </c>
      <c r="AY65">
        <f>IF(ISNUMBER(VLOOKUP($A65,Haver_M!$B$1:$BZ$300,MATCH(data!AY$1,Haver_M!$B$1:$BZ$1,0),FALSE)),VLOOKUP($A65,Haver_M!$B$1:$BZ$300,MATCH(data!AY$1,Haver_M!$B$1:$BZ$1,0),FALSE),"")</f>
        <v>64.458399999999997</v>
      </c>
      <c r="AZ65">
        <f>IF(ISNUMBER(VLOOKUP($A65,Haver_M!$B$1:$BZ$300,MATCH(data!AZ$1,Haver_M!$B$1:$BZ$1,0),FALSE)),VLOOKUP($A65,Haver_M!$B$1:$BZ$300,MATCH(data!AZ$1,Haver_M!$B$1:$BZ$1,0),FALSE),"")</f>
        <v>57.310600000000001</v>
      </c>
      <c r="BA65">
        <f>IF(ISNUMBER(VLOOKUP($A65,Haver_M!$B$1:$BZ$300,MATCH(data!BA$1,Haver_M!$B$1:$BZ$1,0),FALSE)),VLOOKUP($A65,Haver_M!$B$1:$BZ$300,MATCH(data!BA$1,Haver_M!$B$1:$BZ$1,0),FALSE),"")</f>
        <v>51.3431</v>
      </c>
      <c r="BB65">
        <f>IF(ISNUMBER(VLOOKUP($A65,Haver_M!$B$1:$BZ$300,MATCH(data!BB$1,Haver_M!$B$1:$BZ$1,0),FALSE)),VLOOKUP($A65,Haver_M!$B$1:$BZ$300,MATCH(data!BB$1,Haver_M!$B$1:$BZ$1,0),FALSE),"")</f>
        <v>59.249600000000001</v>
      </c>
      <c r="BC65">
        <f>IF(ISNUMBER(VLOOKUP($A65,Haver_M!$B$1:$BZ$300,MATCH(data!BC$1,Haver_M!$B$1:$BZ$1,0),FALSE)),VLOOKUP($A65,Haver_M!$B$1:$BZ$300,MATCH(data!BC$1,Haver_M!$B$1:$BZ$1,0),FALSE),"")</f>
        <v>60.422699999999999</v>
      </c>
      <c r="BD65">
        <f>IF(ISNUMBER(VLOOKUP($A65,Haver_M!$B$1:$BZ$300,MATCH(data!BD$1,Haver_M!$B$1:$BZ$1,0),FALSE)),VLOOKUP($A65,Haver_M!$B$1:$BZ$300,MATCH(data!BD$1,Haver_M!$B$1:$BZ$1,0),FALSE),"")</f>
        <v>48.554900000000004</v>
      </c>
      <c r="BE65">
        <f>IF(ISNUMBER(VLOOKUP($A65,Haver_M!$B$1:$BZ$300,MATCH(data!BE$1,Haver_M!$B$1:$BZ$1,0),FALSE)),VLOOKUP($A65,Haver_M!$B$1:$BZ$300,MATCH(data!BE$1,Haver_M!$B$1:$BZ$1,0),FALSE),"")</f>
        <v>1.2386999999999999</v>
      </c>
      <c r="BF65" t="str">
        <f>IF(ISNUMBER(VLOOKUP($A65,Haver_M!$B$1:$BZ$300,MATCH(data!BF$1,Haver_M!$B$1:$BZ$1,0),FALSE)),VLOOKUP($A65,Haver_M!$B$1:$BZ$300,MATCH(data!BF$1,Haver_M!$B$1:$BZ$1,0),FALSE),"")</f>
        <v/>
      </c>
      <c r="BG65" t="str">
        <f>IF(ISNUMBER(VLOOKUP($A65,Haver_M!$B$1:$BZ$300,MATCH(data!BG$1,Haver_M!$B$1:$BZ$1,0),FALSE)),VLOOKUP($A65,Haver_M!$B$1:$BZ$300,MATCH(data!BG$1,Haver_M!$B$1:$BZ$1,0),FALSE),"")</f>
        <v/>
      </c>
      <c r="BH65" t="str">
        <f>IF(ISNUMBER(VLOOKUP($A65,Haver_M!$B$1:$BZ$300,MATCH(data!BH$1,Haver_M!$B$1:$BZ$1,0),FALSE)),VLOOKUP($A65,Haver_M!$B$1:$BZ$300,MATCH(data!BH$1,Haver_M!$B$1:$BZ$1,0),FALSE),"")</f>
        <v/>
      </c>
      <c r="BI65" t="str">
        <f>IF(ISNUMBER(VLOOKUP($A65,Haver_M!$B$1:$BZ$300,MATCH(data!BI$1,Haver_M!$B$1:$BZ$1,0),FALSE)),VLOOKUP($A65,Haver_M!$B$1:$BZ$300,MATCH(data!BI$1,Haver_M!$B$1:$BZ$1,0),FALSE),"")</f>
        <v/>
      </c>
      <c r="BJ65" t="str">
        <f>IF(ISNUMBER(VLOOKUP($A65,Haver_M!$B$1:$BZ$300,MATCH(data!BJ$1,Haver_M!$B$1:$BZ$1,0),FALSE)),VLOOKUP($A65,Haver_M!$B$1:$BZ$300,MATCH(data!BJ$1,Haver_M!$B$1:$BZ$1,0),FALSE),"")</f>
        <v/>
      </c>
      <c r="BK65" t="str">
        <f>IF(ISNUMBER(VLOOKUP($A65,Haver_M!$B$1:$BZ$300,MATCH(data!BK$1,Haver_M!$B$1:$BZ$1,0),FALSE)),VLOOKUP($A65,Haver_M!$B$1:$BZ$300,MATCH(data!BK$1,Haver_M!$B$1:$BZ$1,0),FALSE),"")</f>
        <v/>
      </c>
      <c r="BL65">
        <f>IF(ISNUMBER(VLOOKUP($A65,Haver_M!$B$1:$BZ$300,MATCH(data!BL$1,Haver_M!$B$1:$BZ$1,0),FALSE)),VLOOKUP($A65,Haver_M!$B$1:$BZ$300,MATCH(data!BL$1,Haver_M!$B$1:$BZ$1,0),FALSE),"")</f>
        <v>6379.29</v>
      </c>
      <c r="BM65">
        <f>IF(ISNUMBER(VLOOKUP($A65,Haver_M!$B$1:$BZ$300,MATCH(data!BM$1,Haver_M!$B$1:$BZ$1,0),FALSE)),VLOOKUP($A65,Haver_M!$B$1:$BZ$300,MATCH(data!BM$1,Haver_M!$B$1:$BZ$1,0),FALSE),"")</f>
        <v>91.4006823</v>
      </c>
      <c r="BN65" t="str">
        <f>IF(ISNUMBER(VLOOKUP($A65,Haver_M!$B$1:$BZ$300,MATCH(data!BN$1,Haver_M!$B$1:$BZ$1,0),FALSE)),VLOOKUP($A65,Haver_M!$B$1:$BZ$300,MATCH(data!BN$1,Haver_M!$B$1:$BZ$1,0),FALSE),"")</f>
        <v/>
      </c>
      <c r="BO65" t="str">
        <f>IF(ISNUMBER(VLOOKUP($A65,Haver_M!$B$1:$BZ$300,MATCH(data!BO$1,Haver_M!$B$1:$BZ$1,0),FALSE)),VLOOKUP($A65,Haver_M!$B$1:$BZ$300,MATCH(data!BO$1,Haver_M!$B$1:$BZ$1,0),FALSE),"")</f>
        <v/>
      </c>
      <c r="BP65" t="str">
        <f>IF(ISNUMBER(VLOOKUP($A65,Haver_M!$B$1:$BZ$300,MATCH(data!BP$1,Haver_M!$B$1:$BZ$1,0),FALSE)),VLOOKUP($A65,Haver_M!$B$1:$BZ$300,MATCH(data!BP$1,Haver_M!$B$1:$BZ$1,0),FALSE),"")</f>
        <v/>
      </c>
      <c r="BQ65" t="str">
        <f>IF(ISNUMBER(VLOOKUP($A65,Haver_M!$B$1:$BZ$300,MATCH(data!BQ$1,Haver_M!$B$1:$BZ$1,0),FALSE)),VLOOKUP($A65,Haver_M!$B$1:$BZ$300,MATCH(data!BQ$1,Haver_M!$B$1:$BZ$1,0),FALSE),"")</f>
        <v/>
      </c>
      <c r="BR65" t="str">
        <f>IF(ISNUMBER(VLOOKUP($A65,Haver_M!$B$1:$BZ$300,MATCH(data!BR$1,Haver_M!$B$1:$BZ$1,0),FALSE)),VLOOKUP($A65,Haver_M!$B$1:$BZ$300,MATCH(data!BR$1,Haver_M!$B$1:$BZ$1,0),FALSE),"")</f>
        <v/>
      </c>
      <c r="BS65" t="str">
        <f>IF(ISNUMBER(VLOOKUP($A65,Haver_M!$B$1:$BZ$300,MATCH(data!BS$1,Haver_M!$B$1:$BZ$1,0),FALSE)),VLOOKUP($A65,Haver_M!$B$1:$BZ$300,MATCH(data!BS$1,Haver_M!$B$1:$BZ$1,0),FALSE),"")</f>
        <v/>
      </c>
      <c r="BT65" t="str">
        <f>IF(ISNUMBER(VLOOKUP($A65,Haver_M!$B$1:$BZ$300,MATCH(data!BT$1,Haver_M!$B$1:$BZ$1,0),FALSE)),VLOOKUP($A65,Haver_M!$B$1:$BZ$300,MATCH(data!BT$1,Haver_M!$B$1:$BZ$1,0),FALSE),"")</f>
        <v/>
      </c>
      <c r="BU65">
        <f>IF(ISNUMBER(VLOOKUP($A65,Haver_M!$B$1:$BZ$300,MATCH(data!BU$1,Haver_M!$B$1:$BZ$1,0),FALSE)),VLOOKUP($A65,Haver_M!$B$1:$BZ$300,MATCH(data!BU$1,Haver_M!$B$1:$BZ$1,0),FALSE),"")</f>
        <v>7680</v>
      </c>
      <c r="BV65">
        <f>IF(ISNUMBER(VLOOKUP($A65,Haver_M!$B$1:$BZ$300,MATCH(data!BV$1,Haver_M!$B$1:$BZ$1,0),FALSE)),VLOOKUP($A65,Haver_M!$B$1:$BZ$300,MATCH(data!BV$1,Haver_M!$B$1:$BZ$1,0),FALSE),"")</f>
        <v>11336</v>
      </c>
      <c r="BW65">
        <f>IF(ISNUMBER(VLOOKUP($A65,Haver_M!$B$1:$BZ$300,MATCH(data!BW$1,Haver_M!$B$1:$BZ$1,0),FALSE)),VLOOKUP($A65,Haver_M!$B$1:$BZ$300,MATCH(data!BW$1,Haver_M!$B$1:$BZ$1,0),FALSE),"")</f>
        <v>43.741199999999999</v>
      </c>
      <c r="BX65">
        <f>IF(ISNUMBER(VLOOKUP($A65,Haver_M!$B$1:$BZ$300,MATCH(data!BX$1,Haver_M!$B$1:$BZ$1,0),FALSE)),VLOOKUP($A65,Haver_M!$B$1:$BZ$300,MATCH(data!BX$1,Haver_M!$B$1:$BZ$1,0),FALSE),"")</f>
        <v>28490</v>
      </c>
    </row>
    <row r="66" spans="1:76" x14ac:dyDescent="0.25">
      <c r="A66" s="2">
        <v>38503</v>
      </c>
      <c r="B66" t="str">
        <f>IF(ISNUMBER(VLOOKUP($A66,Haver_Q!$B$1:$L$185,MATCH(data!B$1,Haver_Q!$B$1:$L$1,0),FALSE)),100*(VLOOKUP($A66,Haver_Q!$B$1:$L$185,MATCH(data!B$1,Haver_Q!$B$1:$L$1,0),FALSE)),"")</f>
        <v/>
      </c>
      <c r="C66" t="str">
        <f>IF(ISNUMBER(VLOOKUP($A66,Haver_Q!$B$1:$L$185,MATCH(data!C$1,Haver_Q!$B$1:$L$1,0),FALSE)),100*(VLOOKUP($A66,Haver_Q!$B$1:$L$185,MATCH(data!C$1,Haver_Q!$B$1:$L$1,0),FALSE)),"")</f>
        <v/>
      </c>
      <c r="D66" t="str">
        <f>IF(ISNUMBER(VLOOKUP($A66,Haver_Q!$B$1:$L$185,MATCH(data!D$1,Haver_Q!$B$1:$L$1,0),FALSE)),100*(VLOOKUP($A66,Haver_Q!$B$1:$L$185,MATCH(data!D$1,Haver_Q!$B$1:$L$1,0),FALSE)),"")</f>
        <v/>
      </c>
      <c r="E66" t="str">
        <f>IF(ISNUMBER(VLOOKUP($A66,Haver_Q!$B$1:$L$185,MATCH(data!E$1,Haver_Q!$B$1:$L$1,0),FALSE)),100*(VLOOKUP($A66,Haver_Q!$B$1:$L$185,MATCH(data!E$1,Haver_Q!$B$1:$L$1,0),FALSE)),"")</f>
        <v/>
      </c>
      <c r="F66" t="str">
        <f>IF(ISNUMBER(VLOOKUP($A66,Haver_Q!$B$1:$L$185,MATCH(data!F$1,Haver_Q!$B$1:$L$1,0),FALSE)),100*(VLOOKUP($A66,Haver_Q!$B$1:$L$185,MATCH(data!F$1,Haver_Q!$B$1:$L$1,0),FALSE)),"")</f>
        <v/>
      </c>
      <c r="G66" t="str">
        <f>IF(ISNUMBER(VLOOKUP($A66,Haver_Q!$B$1:$L$185,MATCH(data!G$1,Haver_Q!$B$1:$L$1,0),FALSE)),100*(VLOOKUP($A66,Haver_Q!$B$1:$L$185,MATCH(data!G$1,Haver_Q!$B$1:$L$1,0),FALSE)),"")</f>
        <v/>
      </c>
      <c r="H66" t="str">
        <f>IF(ISNUMBER(VLOOKUP($A66,Haver_Q!$B$1:$L$185,MATCH(data!H$1,Haver_Q!$B$1:$L$1,0),FALSE)),(VLOOKUP($A66,Haver_Q!$B$1:$L$185,MATCH(data!H$1,Haver_Q!$B$1:$L$1,0),FALSE)),"")</f>
        <v/>
      </c>
      <c r="I66" t="str">
        <f>IF(ISNUMBER(VLOOKUP($A66,Haver_Q!$B$1:$L$185,MATCH(data!I$1,Haver_Q!$B$1:$L$1,0),FALSE)),100*(VLOOKUP($A66,Haver_Q!$B$1:$L$185,MATCH(data!I$1,Haver_Q!$B$1:$L$1,0),FALSE)),"")</f>
        <v/>
      </c>
      <c r="J66" s="3">
        <f>IF(ISNUMBER(Bloomberg_m!C82),Bloomberg_m!C82,"")</f>
        <v>3667</v>
      </c>
      <c r="K66" s="3" t="str">
        <f>IF(ISNUMBER(Bloomberg_m!D82),Bloomberg_m!D82,"")</f>
        <v/>
      </c>
      <c r="L66" s="3" t="str">
        <f>IF(ISNUMBER(Bloomberg_m!E82),Bloomberg_m!E82,"")</f>
        <v/>
      </c>
      <c r="M66" s="3" t="str">
        <f>IF(ISNUMBER(Bloomberg_m!F82),Bloomberg_m!F82,"")</f>
        <v/>
      </c>
      <c r="N66">
        <f>IF(ISNUMBER(VLOOKUP($A66,Haver_M!$B$1:$BZ$300,MATCH(data!N$1,Haver_M!$B$1:$BZ$1,0),FALSE)),VLOOKUP($A66,Haver_M!$B$1:$BZ$300,MATCH(data!N$1,Haver_M!$B$1:$BZ$1,0),FALSE),"")</f>
        <v>6</v>
      </c>
      <c r="O66">
        <f>IF(ISNUMBER(VLOOKUP($A66,Haver_M!$B$1:$BZ$300,MATCH(data!O$1,Haver_M!$B$1:$BZ$1,0),FALSE)),VLOOKUP($A66,Haver_M!$B$1:$BZ$300,MATCH(data!O$1,Haver_M!$B$1:$BZ$1,0),FALSE),"")</f>
        <v>7.0602</v>
      </c>
      <c r="P66">
        <f>IF(ISNUMBER(VLOOKUP($A66,Haver_M!$B$1:$BZ$300,MATCH(data!P$1,Haver_M!$B$1:$BZ$1,0),FALSE)),VLOOKUP($A66,Haver_M!$B$1:$BZ$300,MATCH(data!P$1,Haver_M!$B$1:$BZ$1,0),FALSE),"")</f>
        <v>95.619320000000002</v>
      </c>
      <c r="Q66">
        <f>IF(ISNUMBER(VLOOKUP($A66,Haver_M!$B$1:$BZ$300,MATCH(data!Q$1,Haver_M!$B$1:$BZ$1,0),FALSE)),VLOOKUP($A66,Haver_M!$B$1:$BZ$300,MATCH(data!Q$1,Haver_M!$B$1:$BZ$1,0),FALSE),"")</f>
        <v>56.4</v>
      </c>
      <c r="R66" t="str">
        <f>IF(ISNUMBER(VLOOKUP($A66,Haver_M!$B$1:$BZ$300,MATCH(data!R$1,Haver_M!$B$1:$BZ$1,0),FALSE)),VLOOKUP($A66,Haver_M!$B$1:$BZ$300,MATCH(data!R$1,Haver_M!$B$1:$BZ$1,0),FALSE),"")</f>
        <v/>
      </c>
      <c r="S66">
        <f>IF(ISNUMBER(VLOOKUP($A66,Haver_M!$B$1:$BZ$300,MATCH(data!S$1,Haver_M!$B$1:$BZ$1,0),FALSE)),VLOOKUP($A66,Haver_M!$B$1:$BZ$300,MATCH(data!S$1,Haver_M!$B$1:$BZ$1,0),FALSE),"")</f>
        <v>63.15</v>
      </c>
      <c r="T66">
        <f>IF(ISNUMBER(VLOOKUP($A66,Haver_M!$B$1:$BZ$300,MATCH(data!T$1,Haver_M!$B$1:$BZ$1,0),FALSE)),VLOOKUP($A66,Haver_M!$B$1:$BZ$300,MATCH(data!T$1,Haver_M!$B$1:$BZ$1,0),FALSE),"")</f>
        <v>68.23</v>
      </c>
      <c r="U66">
        <f>IF(ISNUMBER(VLOOKUP($A66,Haver_M!$B$1:$BZ$300,MATCH(data!U$1,Haver_M!$B$1:$BZ$1,0),FALSE)),VLOOKUP($A66,Haver_M!$B$1:$BZ$300,MATCH(data!U$1,Haver_M!$B$1:$BZ$1,0),FALSE),"")</f>
        <v>46.29</v>
      </c>
      <c r="V66">
        <f>IF(ISNUMBER(VLOOKUP($A66,Haver_M!$B$1:$BZ$300,MATCH(data!V$1,Haver_M!$B$1:$BZ$1,0),FALSE)),VLOOKUP($A66,Haver_M!$B$1:$BZ$300,MATCH(data!V$1,Haver_M!$B$1:$BZ$1,0),FALSE),"")</f>
        <v>74.27</v>
      </c>
      <c r="W66" t="str">
        <f>IF(ISNUMBER(VLOOKUP($A66,Haver_M!$B$1:$BZ$300,MATCH(data!W$1,Haver_M!$B$1:$BZ$1,0),FALSE)),VLOOKUP($A66,Haver_M!$B$1:$BZ$300,MATCH(data!W$1,Haver_M!$B$1:$BZ$1,0),FALSE),"")</f>
        <v/>
      </c>
      <c r="X66">
        <f>IF(ISNUMBER(VLOOKUP($A66,Haver_M!$B$1:$BZ$300,MATCH(data!X$1,Haver_M!$B$1:$BZ$1,0),FALSE)),VLOOKUP($A66,Haver_M!$B$1:$BZ$300,MATCH(data!X$1,Haver_M!$B$1:$BZ$1,0),FALSE),"")</f>
        <v>38.89</v>
      </c>
      <c r="Y66">
        <f>IF(ISNUMBER(VLOOKUP($A66,Haver_M!$B$1:$BZ$300,MATCH(data!Y$1,Haver_M!$B$1:$BZ$1,0),FALSE)),VLOOKUP($A66,Haver_M!$B$1:$BZ$300,MATCH(data!Y$1,Haver_M!$B$1:$BZ$1,0),FALSE),"")</f>
        <v>70.25</v>
      </c>
      <c r="Z66">
        <f>IF(ISNUMBER(VLOOKUP($A66,Haver_M!$B$1:$BZ$300,MATCH(data!Z$1,Haver_M!$B$1:$BZ$1,0),FALSE)),VLOOKUP($A66,Haver_M!$B$1:$BZ$300,MATCH(data!Z$1,Haver_M!$B$1:$BZ$1,0),FALSE),"")</f>
        <v>70.5</v>
      </c>
      <c r="AA66">
        <f>IF(ISNUMBER(VLOOKUP($A66,Haver_M!$B$1:$BZ$300,MATCH(data!AA$1,Haver_M!$B$1:$BZ$1,0),FALSE)),VLOOKUP($A66,Haver_M!$B$1:$BZ$300,MATCH(data!AA$1,Haver_M!$B$1:$BZ$1,0),FALSE),"")</f>
        <v>73.894000000000005</v>
      </c>
      <c r="AB66">
        <f>IF(ISNUMBER(VLOOKUP($A66,Haver_M!$B$1:$BZ$300,MATCH(data!AB$1,Haver_M!$B$1:$BZ$1,0),FALSE)),VLOOKUP($A66,Haver_M!$B$1:$BZ$300,MATCH(data!AB$1,Haver_M!$B$1:$BZ$1,0),FALSE),"")</f>
        <v>87.566999999999993</v>
      </c>
      <c r="AC66">
        <f>IF(ISNUMBER(VLOOKUP($A66,Haver_M!$B$1:$BZ$300,MATCH(data!AC$1,Haver_M!$B$1:$BZ$1,0),FALSE)),VLOOKUP($A66,Haver_M!$B$1:$BZ$300,MATCH(data!AC$1,Haver_M!$B$1:$BZ$1,0),FALSE),"")</f>
        <v>68.004999999999995</v>
      </c>
      <c r="AD66">
        <f>IF(ISNUMBER(VLOOKUP($A66,Haver_M!$B$1:$BZ$300,MATCH(data!AD$1,Haver_M!$B$1:$BZ$1,0),FALSE)),VLOOKUP($A66,Haver_M!$B$1:$BZ$300,MATCH(data!AD$1,Haver_M!$B$1:$BZ$1,0),FALSE),"")</f>
        <v>73.721000000000004</v>
      </c>
      <c r="AE66">
        <f>IF(ISNUMBER(VLOOKUP($A66,Haver_M!$B$1:$BZ$300,MATCH(data!AE$1,Haver_M!$B$1:$BZ$1,0),FALSE)),VLOOKUP($A66,Haver_M!$B$1:$BZ$300,MATCH(data!AE$1,Haver_M!$B$1:$BZ$1,0),FALSE),"")</f>
        <v>93.061000000000007</v>
      </c>
      <c r="AF66">
        <f>IF(ISNUMBER(VLOOKUP($A66,Haver_M!$B$1:$BZ$300,MATCH(data!AF$1,Haver_M!$B$1:$BZ$1,0),FALSE)),VLOOKUP($A66,Haver_M!$B$1:$BZ$300,MATCH(data!AF$1,Haver_M!$B$1:$BZ$1,0),FALSE),"")</f>
        <v>57.66</v>
      </c>
      <c r="AG66">
        <f>IF(ISNUMBER(VLOOKUP($A66,Haver_M!$B$1:$BZ$300,MATCH(data!AG$1,Haver_M!$B$1:$BZ$1,0),FALSE)),VLOOKUP($A66,Haver_M!$B$1:$BZ$300,MATCH(data!AG$1,Haver_M!$B$1:$BZ$1,0),FALSE),"")</f>
        <v>62.311</v>
      </c>
      <c r="AH66">
        <f>IF(ISNUMBER(VLOOKUP($A66,Haver_M!$B$1:$BZ$300,MATCH(data!AH$1,Haver_M!$B$1:$BZ$1,0),FALSE)),VLOOKUP($A66,Haver_M!$B$1:$BZ$300,MATCH(data!AH$1,Haver_M!$B$1:$BZ$1,0),FALSE),"")</f>
        <v>69.510000000000005</v>
      </c>
      <c r="AI66">
        <f>IF(ISNUMBER(VLOOKUP($A66,Haver_M!$B$1:$BZ$300,MATCH(data!AI$1,Haver_M!$B$1:$BZ$1,0),FALSE)),VLOOKUP($A66,Haver_M!$B$1:$BZ$300,MATCH(data!AI$1,Haver_M!$B$1:$BZ$1,0),FALSE),"")</f>
        <v>9283.4832659079893</v>
      </c>
      <c r="AJ66">
        <f>IF(ISNUMBER(VLOOKUP($A66,Haver_M!$B$1:$BZ$300,MATCH(data!AJ$1,Haver_M!$B$1:$BZ$1,0),FALSE)),VLOOKUP($A66,Haver_M!$B$1:$BZ$300,MATCH(data!AJ$1,Haver_M!$B$1:$BZ$1,0),FALSE),"")</f>
        <v>7932.98</v>
      </c>
      <c r="AK66">
        <f>IF(ISNUMBER(VLOOKUP($A66,Haver_M!$B$1:$BZ$300,MATCH(data!AK$1,Haver_M!$B$1:$BZ$1,0),FALSE)),VLOOKUP($A66,Haver_M!$B$1:$BZ$300,MATCH(data!AK$1,Haver_M!$B$1:$BZ$1,0),FALSE),"")</f>
        <v>12252.02</v>
      </c>
      <c r="AL66" t="str">
        <f>IF(ISNUMBER(VLOOKUP($A66,Haver_M!$B$1:$BZ$300,MATCH(data!AL$1,Haver_M!$B$1:$BZ$1,0),FALSE)),VLOOKUP($A66,Haver_M!$B$1:$BZ$300,MATCH(data!AL$1,Haver_M!$B$1:$BZ$1,0),FALSE),"")</f>
        <v/>
      </c>
      <c r="AM66" t="str">
        <f>IF(ISNUMBER(VLOOKUP($A66,Haver_M!$B$1:$BZ$300,MATCH(data!AM$1,Haver_M!$B$1:$BZ$1,0),FALSE)),VLOOKUP($A66,Haver_M!$B$1:$BZ$300,MATCH(data!AM$1,Haver_M!$B$1:$BZ$1,0),FALSE),"")</f>
        <v/>
      </c>
      <c r="AN66" t="str">
        <f>IF(ISNUMBER(VLOOKUP($A66,Haver_M!$B$1:$BZ$300,MATCH(data!AN$1,Haver_M!$B$1:$BZ$1,0),FALSE)),VLOOKUP($A66,Haver_M!$B$1:$BZ$300,MATCH(data!AN$1,Haver_M!$B$1:$BZ$1,0),FALSE),"")</f>
        <v/>
      </c>
      <c r="AO66" t="str">
        <f>IF(ISNUMBER(VLOOKUP($A66,Haver_M!$B$1:$BZ$300,MATCH(data!AO$1,Haver_M!$B$1:$BZ$1,0),FALSE)),VLOOKUP($A66,Haver_M!$B$1:$BZ$300,MATCH(data!AO$1,Haver_M!$B$1:$BZ$1,0),FALSE),"")</f>
        <v/>
      </c>
      <c r="AP66">
        <f>IF(ISNUMBER(VLOOKUP($A66,Haver_M!$B$1:$BZ$300,MATCH(data!AP$1,Haver_M!$B$1:$BZ$1,0),FALSE)),VLOOKUP($A66,Haver_M!$B$1:$BZ$300,MATCH(data!AP$1,Haver_M!$B$1:$BZ$1,0),FALSE),"")</f>
        <v>62.801357976279888</v>
      </c>
      <c r="AQ66" t="str">
        <f>IF(ISNUMBER(VLOOKUP($A66,Haver_M!$B$1:$BZ$300,MATCH(data!AQ$1,Haver_M!$B$1:$BZ$1,0),FALSE)),VLOOKUP($A66,Haver_M!$B$1:$BZ$300,MATCH(data!AQ$1,Haver_M!$B$1:$BZ$1,0),FALSE),"")</f>
        <v/>
      </c>
      <c r="AR66">
        <f>IF(ISNUMBER(VLOOKUP($A66,Haver_M!$B$1:$BZ$300,MATCH(data!AR$1,Haver_M!$B$1:$BZ$1,0),FALSE)),VLOOKUP($A66,Haver_M!$B$1:$BZ$300,MATCH(data!AR$1,Haver_M!$B$1:$BZ$1,0),FALSE),"")</f>
        <v>57.285800000000002</v>
      </c>
      <c r="AS66" t="str">
        <f>IF(ISNUMBER(VLOOKUP($A66,Haver_M!$B$1:$BZ$300,MATCH(data!AS$1,Haver_M!$B$1:$BZ$1,0),FALSE)),VLOOKUP($A66,Haver_M!$B$1:$BZ$300,MATCH(data!AS$1,Haver_M!$B$1:$BZ$1,0),FALSE),"")</f>
        <v/>
      </c>
      <c r="AT66">
        <f>IF(ISNUMBER(VLOOKUP($A66,Haver_M!$B$1:$BZ$300,MATCH(data!AT$1,Haver_M!$B$1:$BZ$1,0),FALSE)),VLOOKUP($A66,Haver_M!$B$1:$BZ$300,MATCH(data!AT$1,Haver_M!$B$1:$BZ$1,0),FALSE),"")</f>
        <v>61.0702</v>
      </c>
      <c r="AU66">
        <f>IF(ISNUMBER(VLOOKUP($A66,Haver_M!$B$1:$BZ$300,MATCH(data!AU$1,Haver_M!$B$1:$BZ$1,0),FALSE)),VLOOKUP($A66,Haver_M!$B$1:$BZ$300,MATCH(data!AU$1,Haver_M!$B$1:$BZ$1,0),FALSE),"")</f>
        <v>62.722999999999999</v>
      </c>
      <c r="AV66">
        <f>IF(ISNUMBER(VLOOKUP($A66,Haver_M!$B$1:$BZ$300,MATCH(data!AV$1,Haver_M!$B$1:$BZ$1,0),FALSE)),VLOOKUP($A66,Haver_M!$B$1:$BZ$300,MATCH(data!AV$1,Haver_M!$B$1:$BZ$1,0),FALSE),"")</f>
        <v>52.081800000000001</v>
      </c>
      <c r="AW66">
        <f>IF(ISNUMBER(VLOOKUP($A66,Haver_M!$B$1:$BZ$300,MATCH(data!AW$1,Haver_M!$B$1:$BZ$1,0),FALSE)),VLOOKUP($A66,Haver_M!$B$1:$BZ$300,MATCH(data!AW$1,Haver_M!$B$1:$BZ$1,0),FALSE),"")</f>
        <v>49.596800000000002</v>
      </c>
      <c r="AX66">
        <f>IF(ISNUMBER(VLOOKUP($A66,Haver_M!$B$1:$BZ$300,MATCH(data!AX$1,Haver_M!$B$1:$BZ$1,0),FALSE)),VLOOKUP($A66,Haver_M!$B$1:$BZ$300,MATCH(data!AX$1,Haver_M!$B$1:$BZ$1,0),FALSE),"")</f>
        <v>52.244700000000002</v>
      </c>
      <c r="AY66">
        <f>IF(ISNUMBER(VLOOKUP($A66,Haver_M!$B$1:$BZ$300,MATCH(data!AY$1,Haver_M!$B$1:$BZ$1,0),FALSE)),VLOOKUP($A66,Haver_M!$B$1:$BZ$300,MATCH(data!AY$1,Haver_M!$B$1:$BZ$1,0),FALSE),"")</f>
        <v>59.2746</v>
      </c>
      <c r="AZ66">
        <f>IF(ISNUMBER(VLOOKUP($A66,Haver_M!$B$1:$BZ$300,MATCH(data!AZ$1,Haver_M!$B$1:$BZ$1,0),FALSE)),VLOOKUP($A66,Haver_M!$B$1:$BZ$300,MATCH(data!AZ$1,Haver_M!$B$1:$BZ$1,0),FALSE),"")</f>
        <v>58.168500000000002</v>
      </c>
      <c r="BA66">
        <f>IF(ISNUMBER(VLOOKUP($A66,Haver_M!$B$1:$BZ$300,MATCH(data!BA$1,Haver_M!$B$1:$BZ$1,0),FALSE)),VLOOKUP($A66,Haver_M!$B$1:$BZ$300,MATCH(data!BA$1,Haver_M!$B$1:$BZ$1,0),FALSE),"")</f>
        <v>52.244700000000002</v>
      </c>
      <c r="BB66">
        <f>IF(ISNUMBER(VLOOKUP($A66,Haver_M!$B$1:$BZ$300,MATCH(data!BB$1,Haver_M!$B$1:$BZ$1,0),FALSE)),VLOOKUP($A66,Haver_M!$B$1:$BZ$300,MATCH(data!BB$1,Haver_M!$B$1:$BZ$1,0),FALSE),"")</f>
        <v>57.9923</v>
      </c>
      <c r="BC66">
        <f>IF(ISNUMBER(VLOOKUP($A66,Haver_M!$B$1:$BZ$300,MATCH(data!BC$1,Haver_M!$B$1:$BZ$1,0),FALSE)),VLOOKUP($A66,Haver_M!$B$1:$BZ$300,MATCH(data!BC$1,Haver_M!$B$1:$BZ$1,0),FALSE),"")</f>
        <v>56.171599999999998</v>
      </c>
      <c r="BD66">
        <f>IF(ISNUMBER(VLOOKUP($A66,Haver_M!$B$1:$BZ$300,MATCH(data!BD$1,Haver_M!$B$1:$BZ$1,0),FALSE)),VLOOKUP($A66,Haver_M!$B$1:$BZ$300,MATCH(data!BD$1,Haver_M!$B$1:$BZ$1,0),FALSE),"")</f>
        <v>49.137099999999997</v>
      </c>
      <c r="BE66">
        <f>IF(ISNUMBER(VLOOKUP($A66,Haver_M!$B$1:$BZ$300,MATCH(data!BE$1,Haver_M!$B$1:$BZ$1,0),FALSE)),VLOOKUP($A66,Haver_M!$B$1:$BZ$300,MATCH(data!BE$1,Haver_M!$B$1:$BZ$1,0),FALSE),"")</f>
        <v>1.3061</v>
      </c>
      <c r="BF66" t="str">
        <f>IF(ISNUMBER(VLOOKUP($A66,Haver_M!$B$1:$BZ$300,MATCH(data!BF$1,Haver_M!$B$1:$BZ$1,0),FALSE)),VLOOKUP($A66,Haver_M!$B$1:$BZ$300,MATCH(data!BF$1,Haver_M!$B$1:$BZ$1,0),FALSE),"")</f>
        <v/>
      </c>
      <c r="BG66" t="str">
        <f>IF(ISNUMBER(VLOOKUP($A66,Haver_M!$B$1:$BZ$300,MATCH(data!BG$1,Haver_M!$B$1:$BZ$1,0),FALSE)),VLOOKUP($A66,Haver_M!$B$1:$BZ$300,MATCH(data!BG$1,Haver_M!$B$1:$BZ$1,0),FALSE),"")</f>
        <v/>
      </c>
      <c r="BH66" t="str">
        <f>IF(ISNUMBER(VLOOKUP($A66,Haver_M!$B$1:$BZ$300,MATCH(data!BH$1,Haver_M!$B$1:$BZ$1,0),FALSE)),VLOOKUP($A66,Haver_M!$B$1:$BZ$300,MATCH(data!BH$1,Haver_M!$B$1:$BZ$1,0),FALSE),"")</f>
        <v/>
      </c>
      <c r="BI66" t="str">
        <f>IF(ISNUMBER(VLOOKUP($A66,Haver_M!$B$1:$BZ$300,MATCH(data!BI$1,Haver_M!$B$1:$BZ$1,0),FALSE)),VLOOKUP($A66,Haver_M!$B$1:$BZ$300,MATCH(data!BI$1,Haver_M!$B$1:$BZ$1,0),FALSE),"")</f>
        <v/>
      </c>
      <c r="BJ66" t="str">
        <f>IF(ISNUMBER(VLOOKUP($A66,Haver_M!$B$1:$BZ$300,MATCH(data!BJ$1,Haver_M!$B$1:$BZ$1,0),FALSE)),VLOOKUP($A66,Haver_M!$B$1:$BZ$300,MATCH(data!BJ$1,Haver_M!$B$1:$BZ$1,0),FALSE),"")</f>
        <v/>
      </c>
      <c r="BK66" t="str">
        <f>IF(ISNUMBER(VLOOKUP($A66,Haver_M!$B$1:$BZ$300,MATCH(data!BK$1,Haver_M!$B$1:$BZ$1,0),FALSE)),VLOOKUP($A66,Haver_M!$B$1:$BZ$300,MATCH(data!BK$1,Haver_M!$B$1:$BZ$1,0),FALSE),"")</f>
        <v/>
      </c>
      <c r="BL66">
        <f>IF(ISNUMBER(VLOOKUP($A66,Haver_M!$B$1:$BZ$300,MATCH(data!BL$1,Haver_M!$B$1:$BZ$1,0),FALSE)),VLOOKUP($A66,Haver_M!$B$1:$BZ$300,MATCH(data!BL$1,Haver_M!$B$1:$BZ$1,0),FALSE),"")</f>
        <v>6482.66</v>
      </c>
      <c r="BM66">
        <f>IF(ISNUMBER(VLOOKUP($A66,Haver_M!$B$1:$BZ$300,MATCH(data!BM$1,Haver_M!$B$1:$BZ$1,0),FALSE)),VLOOKUP($A66,Haver_M!$B$1:$BZ$300,MATCH(data!BM$1,Haver_M!$B$1:$BZ$1,0),FALSE),"")</f>
        <v>91.624583090000002</v>
      </c>
      <c r="BN66" t="str">
        <f>IF(ISNUMBER(VLOOKUP($A66,Haver_M!$B$1:$BZ$300,MATCH(data!BN$1,Haver_M!$B$1:$BZ$1,0),FALSE)),VLOOKUP($A66,Haver_M!$B$1:$BZ$300,MATCH(data!BN$1,Haver_M!$B$1:$BZ$1,0),FALSE),"")</f>
        <v/>
      </c>
      <c r="BO66" t="str">
        <f>IF(ISNUMBER(VLOOKUP($A66,Haver_M!$B$1:$BZ$300,MATCH(data!BO$1,Haver_M!$B$1:$BZ$1,0),FALSE)),VLOOKUP($A66,Haver_M!$B$1:$BZ$300,MATCH(data!BO$1,Haver_M!$B$1:$BZ$1,0),FALSE),"")</f>
        <v/>
      </c>
      <c r="BP66" t="str">
        <f>IF(ISNUMBER(VLOOKUP($A66,Haver_M!$B$1:$BZ$300,MATCH(data!BP$1,Haver_M!$B$1:$BZ$1,0),FALSE)),VLOOKUP($A66,Haver_M!$B$1:$BZ$300,MATCH(data!BP$1,Haver_M!$B$1:$BZ$1,0),FALSE),"")</f>
        <v/>
      </c>
      <c r="BQ66" t="str">
        <f>IF(ISNUMBER(VLOOKUP($A66,Haver_M!$B$1:$BZ$300,MATCH(data!BQ$1,Haver_M!$B$1:$BZ$1,0),FALSE)),VLOOKUP($A66,Haver_M!$B$1:$BZ$300,MATCH(data!BQ$1,Haver_M!$B$1:$BZ$1,0),FALSE),"")</f>
        <v/>
      </c>
      <c r="BR66" t="str">
        <f>IF(ISNUMBER(VLOOKUP($A66,Haver_M!$B$1:$BZ$300,MATCH(data!BR$1,Haver_M!$B$1:$BZ$1,0),FALSE)),VLOOKUP($A66,Haver_M!$B$1:$BZ$300,MATCH(data!BR$1,Haver_M!$B$1:$BZ$1,0),FALSE),"")</f>
        <v/>
      </c>
      <c r="BS66" t="str">
        <f>IF(ISNUMBER(VLOOKUP($A66,Haver_M!$B$1:$BZ$300,MATCH(data!BS$1,Haver_M!$B$1:$BZ$1,0),FALSE)),VLOOKUP($A66,Haver_M!$B$1:$BZ$300,MATCH(data!BS$1,Haver_M!$B$1:$BZ$1,0),FALSE),"")</f>
        <v/>
      </c>
      <c r="BT66" t="str">
        <f>IF(ISNUMBER(VLOOKUP($A66,Haver_M!$B$1:$BZ$300,MATCH(data!BT$1,Haver_M!$B$1:$BZ$1,0),FALSE)),VLOOKUP($A66,Haver_M!$B$1:$BZ$300,MATCH(data!BT$1,Haver_M!$B$1:$BZ$1,0),FALSE),"")</f>
        <v/>
      </c>
      <c r="BU66">
        <f>IF(ISNUMBER(VLOOKUP($A66,Haver_M!$B$1:$BZ$300,MATCH(data!BU$1,Haver_M!$B$1:$BZ$1,0),FALSE)),VLOOKUP($A66,Haver_M!$B$1:$BZ$300,MATCH(data!BU$1,Haver_M!$B$1:$BZ$1,0),FALSE),"")</f>
        <v>7977</v>
      </c>
      <c r="BV66">
        <f>IF(ISNUMBER(VLOOKUP($A66,Haver_M!$B$1:$BZ$300,MATCH(data!BV$1,Haver_M!$B$1:$BZ$1,0),FALSE)),VLOOKUP($A66,Haver_M!$B$1:$BZ$300,MATCH(data!BV$1,Haver_M!$B$1:$BZ$1,0),FALSE),"")</f>
        <v>13232</v>
      </c>
      <c r="BW66">
        <f>IF(ISNUMBER(VLOOKUP($A66,Haver_M!$B$1:$BZ$300,MATCH(data!BW$1,Haver_M!$B$1:$BZ$1,0),FALSE)),VLOOKUP($A66,Haver_M!$B$1:$BZ$300,MATCH(data!BW$1,Haver_M!$B$1:$BZ$1,0),FALSE),"")</f>
        <v>43.488900000000001</v>
      </c>
      <c r="BX66">
        <f>IF(ISNUMBER(VLOOKUP($A66,Haver_M!$B$1:$BZ$300,MATCH(data!BX$1,Haver_M!$B$1:$BZ$1,0),FALSE)),VLOOKUP($A66,Haver_M!$B$1:$BZ$300,MATCH(data!BX$1,Haver_M!$B$1:$BZ$1,0),FALSE),"")</f>
        <v>28335</v>
      </c>
    </row>
    <row r="67" spans="1:76" x14ac:dyDescent="0.25">
      <c r="A67" s="2">
        <v>38533</v>
      </c>
      <c r="B67">
        <f>IF(ISNUMBER(VLOOKUP($A67,Haver_Q!$B$1:$L$185,MATCH(data!B$1,Haver_Q!$B$1:$L$1,0),FALSE)),100*(VLOOKUP($A67,Haver_Q!$B$1:$L$185,MATCH(data!B$1,Haver_Q!$B$1:$L$1,0),FALSE)),"")</f>
        <v>12.568257791062587</v>
      </c>
      <c r="C67">
        <f>IF(ISNUMBER(VLOOKUP($A67,Haver_Q!$B$1:$L$185,MATCH(data!C$1,Haver_Q!$B$1:$L$1,0),FALSE)),100*(VLOOKUP($A67,Haver_Q!$B$1:$L$185,MATCH(data!C$1,Haver_Q!$B$1:$L$1,0),FALSE)),"")</f>
        <v>14.580654919521564</v>
      </c>
      <c r="D67">
        <f>IF(ISNUMBER(VLOOKUP($A67,Haver_Q!$B$1:$L$185,MATCH(data!D$1,Haver_Q!$B$1:$L$1,0),FALSE)),100*(VLOOKUP($A67,Haver_Q!$B$1:$L$185,MATCH(data!D$1,Haver_Q!$B$1:$L$1,0),FALSE)),"")</f>
        <v>-26.470743002489826</v>
      </c>
      <c r="E67">
        <f>IF(ISNUMBER(VLOOKUP($A67,Haver_Q!$B$1:$L$185,MATCH(data!E$1,Haver_Q!$B$1:$L$1,0),FALSE)),100*(VLOOKUP($A67,Haver_Q!$B$1:$L$185,MATCH(data!E$1,Haver_Q!$B$1:$L$1,0),FALSE)),"")</f>
        <v>10.392953558977558</v>
      </c>
      <c r="F67">
        <f>IF(ISNUMBER(VLOOKUP($A67,Haver_Q!$B$1:$L$185,MATCH(data!F$1,Haver_Q!$B$1:$L$1,0),FALSE)),100*(VLOOKUP($A67,Haver_Q!$B$1:$L$185,MATCH(data!F$1,Haver_Q!$B$1:$L$1,0),FALSE)),"")</f>
        <v>0.59425269898616406</v>
      </c>
      <c r="G67">
        <f>IF(ISNUMBER(VLOOKUP($A67,Haver_Q!$B$1:$L$185,MATCH(data!G$1,Haver_Q!$B$1:$L$1,0),FALSE)),100*(VLOOKUP($A67,Haver_Q!$B$1:$L$185,MATCH(data!G$1,Haver_Q!$B$1:$L$1,0),FALSE)),"")</f>
        <v>63.789790217223995</v>
      </c>
      <c r="H67">
        <f>IF(ISNUMBER(VLOOKUP($A67,Haver_Q!$B$1:$L$185,MATCH(data!H$1,Haver_Q!$B$1:$L$1,0),FALSE)),(VLOOKUP($A67,Haver_Q!$B$1:$L$185,MATCH(data!H$1,Haver_Q!$B$1:$L$1,0),FALSE)),"")</f>
        <v>4.6437110046771126</v>
      </c>
      <c r="I67">
        <f>IF(ISNUMBER(VLOOKUP($A67,Haver_Q!$B$1:$L$185,MATCH(data!I$1,Haver_Q!$B$1:$L$1,0),FALSE)),100*(VLOOKUP($A67,Haver_Q!$B$1:$L$185,MATCH(data!I$1,Haver_Q!$B$1:$L$1,0),FALSE)),"")</f>
        <v>9.2238994353758041</v>
      </c>
      <c r="J67" s="3">
        <f>IF(ISNUMBER(Bloomberg_m!C83),Bloomberg_m!C83,"")</f>
        <v>2746</v>
      </c>
      <c r="K67" s="3" t="str">
        <f>IF(ISNUMBER(Bloomberg_m!D83),Bloomberg_m!D83,"")</f>
        <v/>
      </c>
      <c r="L67" s="3" t="str">
        <f>IF(ISNUMBER(Bloomberg_m!E83),Bloomberg_m!E83,"")</f>
        <v/>
      </c>
      <c r="M67" s="3" t="str">
        <f>IF(ISNUMBER(Bloomberg_m!F83),Bloomberg_m!F83,"")</f>
        <v/>
      </c>
      <c r="N67">
        <f>IF(ISNUMBER(VLOOKUP($A67,Haver_M!$B$1:$BZ$300,MATCH(data!N$1,Haver_M!$B$1:$BZ$1,0),FALSE)),VLOOKUP($A67,Haver_M!$B$1:$BZ$300,MATCH(data!N$1,Haver_M!$B$1:$BZ$1,0),FALSE),"")</f>
        <v>6</v>
      </c>
      <c r="O67">
        <f>IF(ISNUMBER(VLOOKUP($A67,Haver_M!$B$1:$BZ$300,MATCH(data!O$1,Haver_M!$B$1:$BZ$1,0),FALSE)),VLOOKUP($A67,Haver_M!$B$1:$BZ$300,MATCH(data!O$1,Haver_M!$B$1:$BZ$1,0),FALSE),"")</f>
        <v>6.8834999999999997</v>
      </c>
      <c r="P67">
        <f>IF(ISNUMBER(VLOOKUP($A67,Haver_M!$B$1:$BZ$300,MATCH(data!P$1,Haver_M!$B$1:$BZ$1,0),FALSE)),VLOOKUP($A67,Haver_M!$B$1:$BZ$300,MATCH(data!P$1,Haver_M!$B$1:$BZ$1,0),FALSE),"")</f>
        <v>97.391369999999995</v>
      </c>
      <c r="Q67">
        <f>IF(ISNUMBER(VLOOKUP($A67,Haver_M!$B$1:$BZ$300,MATCH(data!Q$1,Haver_M!$B$1:$BZ$1,0),FALSE)),VLOOKUP($A67,Haver_M!$B$1:$BZ$300,MATCH(data!Q$1,Haver_M!$B$1:$BZ$1,0),FALSE),"")</f>
        <v>56.5</v>
      </c>
      <c r="R67" t="str">
        <f>IF(ISNUMBER(VLOOKUP($A67,Haver_M!$B$1:$BZ$300,MATCH(data!R$1,Haver_M!$B$1:$BZ$1,0),FALSE)),VLOOKUP($A67,Haver_M!$B$1:$BZ$300,MATCH(data!R$1,Haver_M!$B$1:$BZ$1,0),FALSE),"")</f>
        <v/>
      </c>
      <c r="S67">
        <f>IF(ISNUMBER(VLOOKUP($A67,Haver_M!$B$1:$BZ$300,MATCH(data!S$1,Haver_M!$B$1:$BZ$1,0),FALSE)),VLOOKUP($A67,Haver_M!$B$1:$BZ$300,MATCH(data!S$1,Haver_M!$B$1:$BZ$1,0),FALSE),"")</f>
        <v>64.27</v>
      </c>
      <c r="T67">
        <f>IF(ISNUMBER(VLOOKUP($A67,Haver_M!$B$1:$BZ$300,MATCH(data!T$1,Haver_M!$B$1:$BZ$1,0),FALSE)),VLOOKUP($A67,Haver_M!$B$1:$BZ$300,MATCH(data!T$1,Haver_M!$B$1:$BZ$1,0),FALSE),"")</f>
        <v>68.69</v>
      </c>
      <c r="U67">
        <f>IF(ISNUMBER(VLOOKUP($A67,Haver_M!$B$1:$BZ$300,MATCH(data!U$1,Haver_M!$B$1:$BZ$1,0),FALSE)),VLOOKUP($A67,Haver_M!$B$1:$BZ$300,MATCH(data!U$1,Haver_M!$B$1:$BZ$1,0),FALSE),"")</f>
        <v>46.55</v>
      </c>
      <c r="V67">
        <f>IF(ISNUMBER(VLOOKUP($A67,Haver_M!$B$1:$BZ$300,MATCH(data!V$1,Haver_M!$B$1:$BZ$1,0),FALSE)),VLOOKUP($A67,Haver_M!$B$1:$BZ$300,MATCH(data!V$1,Haver_M!$B$1:$BZ$1,0),FALSE),"")</f>
        <v>75.040000000000006</v>
      </c>
      <c r="W67" t="str">
        <f>IF(ISNUMBER(VLOOKUP($A67,Haver_M!$B$1:$BZ$300,MATCH(data!W$1,Haver_M!$B$1:$BZ$1,0),FALSE)),VLOOKUP($A67,Haver_M!$B$1:$BZ$300,MATCH(data!W$1,Haver_M!$B$1:$BZ$1,0),FALSE),"")</f>
        <v/>
      </c>
      <c r="X67">
        <f>IF(ISNUMBER(VLOOKUP($A67,Haver_M!$B$1:$BZ$300,MATCH(data!X$1,Haver_M!$B$1:$BZ$1,0),FALSE)),VLOOKUP($A67,Haver_M!$B$1:$BZ$300,MATCH(data!X$1,Haver_M!$B$1:$BZ$1,0),FALSE),"")</f>
        <v>39.21</v>
      </c>
      <c r="Y67">
        <f>IF(ISNUMBER(VLOOKUP($A67,Haver_M!$B$1:$BZ$300,MATCH(data!Y$1,Haver_M!$B$1:$BZ$1,0),FALSE)),VLOOKUP($A67,Haver_M!$B$1:$BZ$300,MATCH(data!Y$1,Haver_M!$B$1:$BZ$1,0),FALSE),"")</f>
        <v>77.98</v>
      </c>
      <c r="Z67">
        <f>IF(ISNUMBER(VLOOKUP($A67,Haver_M!$B$1:$BZ$300,MATCH(data!Z$1,Haver_M!$B$1:$BZ$1,0),FALSE)),VLOOKUP($A67,Haver_M!$B$1:$BZ$300,MATCH(data!Z$1,Haver_M!$B$1:$BZ$1,0),FALSE),"")</f>
        <v>71.3</v>
      </c>
      <c r="AA67">
        <f>IF(ISNUMBER(VLOOKUP($A67,Haver_M!$B$1:$BZ$300,MATCH(data!AA$1,Haver_M!$B$1:$BZ$1,0),FALSE)),VLOOKUP($A67,Haver_M!$B$1:$BZ$300,MATCH(data!AA$1,Haver_M!$B$1:$BZ$1,0),FALSE),"")</f>
        <v>72.454999999999998</v>
      </c>
      <c r="AB67">
        <f>IF(ISNUMBER(VLOOKUP($A67,Haver_M!$B$1:$BZ$300,MATCH(data!AB$1,Haver_M!$B$1:$BZ$1,0),FALSE)),VLOOKUP($A67,Haver_M!$B$1:$BZ$300,MATCH(data!AB$1,Haver_M!$B$1:$BZ$1,0),FALSE),"")</f>
        <v>89.295000000000002</v>
      </c>
      <c r="AC67">
        <f>IF(ISNUMBER(VLOOKUP($A67,Haver_M!$B$1:$BZ$300,MATCH(data!AC$1,Haver_M!$B$1:$BZ$1,0),FALSE)),VLOOKUP($A67,Haver_M!$B$1:$BZ$300,MATCH(data!AC$1,Haver_M!$B$1:$BZ$1,0),FALSE),"")</f>
        <v>69.438999999999993</v>
      </c>
      <c r="AD67">
        <f>IF(ISNUMBER(VLOOKUP($A67,Haver_M!$B$1:$BZ$300,MATCH(data!AD$1,Haver_M!$B$1:$BZ$1,0),FALSE)),VLOOKUP($A67,Haver_M!$B$1:$BZ$300,MATCH(data!AD$1,Haver_M!$B$1:$BZ$1,0),FALSE),"")</f>
        <v>75.632999999999996</v>
      </c>
      <c r="AE67">
        <f>IF(ISNUMBER(VLOOKUP($A67,Haver_M!$B$1:$BZ$300,MATCH(data!AE$1,Haver_M!$B$1:$BZ$1,0),FALSE)),VLOOKUP($A67,Haver_M!$B$1:$BZ$300,MATCH(data!AE$1,Haver_M!$B$1:$BZ$1,0),FALSE),"")</f>
        <v>93.382000000000005</v>
      </c>
      <c r="AF67">
        <f>IF(ISNUMBER(VLOOKUP($A67,Haver_M!$B$1:$BZ$300,MATCH(data!AF$1,Haver_M!$B$1:$BZ$1,0),FALSE)),VLOOKUP($A67,Haver_M!$B$1:$BZ$300,MATCH(data!AF$1,Haver_M!$B$1:$BZ$1,0),FALSE),"")</f>
        <v>59.423000000000002</v>
      </c>
      <c r="AG67">
        <f>IF(ISNUMBER(VLOOKUP($A67,Haver_M!$B$1:$BZ$300,MATCH(data!AG$1,Haver_M!$B$1:$BZ$1,0),FALSE)),VLOOKUP($A67,Haver_M!$B$1:$BZ$300,MATCH(data!AG$1,Haver_M!$B$1:$BZ$1,0),FALSE),"")</f>
        <v>61.723999999999997</v>
      </c>
      <c r="AH67">
        <f>IF(ISNUMBER(VLOOKUP($A67,Haver_M!$B$1:$BZ$300,MATCH(data!AH$1,Haver_M!$B$1:$BZ$1,0),FALSE)),VLOOKUP($A67,Haver_M!$B$1:$BZ$300,MATCH(data!AH$1,Haver_M!$B$1:$BZ$1,0),FALSE),"")</f>
        <v>70.421999999999997</v>
      </c>
      <c r="AI67">
        <f>IF(ISNUMBER(VLOOKUP($A67,Haver_M!$B$1:$BZ$300,MATCH(data!AI$1,Haver_M!$B$1:$BZ$1,0),FALSE)),VLOOKUP($A67,Haver_M!$B$1:$BZ$300,MATCH(data!AI$1,Haver_M!$B$1:$BZ$1,0),FALSE),"")</f>
        <v>9406.1419203597252</v>
      </c>
      <c r="AJ67">
        <f>IF(ISNUMBER(VLOOKUP($A67,Haver_M!$B$1:$BZ$300,MATCH(data!AJ$1,Haver_M!$B$1:$BZ$1,0),FALSE)),VLOOKUP($A67,Haver_M!$B$1:$BZ$300,MATCH(data!AJ$1,Haver_M!$B$1:$BZ$1,0),FALSE),"")</f>
        <v>8002.53</v>
      </c>
      <c r="AK67">
        <f>IF(ISNUMBER(VLOOKUP($A67,Haver_M!$B$1:$BZ$300,MATCH(data!AK$1,Haver_M!$B$1:$BZ$1,0),FALSE)),VLOOKUP($A67,Haver_M!$B$1:$BZ$300,MATCH(data!AK$1,Haver_M!$B$1:$BZ$1,0),FALSE),"")</f>
        <v>11938.05</v>
      </c>
      <c r="AL67" t="str">
        <f>IF(ISNUMBER(VLOOKUP($A67,Haver_M!$B$1:$BZ$300,MATCH(data!AL$1,Haver_M!$B$1:$BZ$1,0),FALSE)),VLOOKUP($A67,Haver_M!$B$1:$BZ$300,MATCH(data!AL$1,Haver_M!$B$1:$BZ$1,0),FALSE),"")</f>
        <v/>
      </c>
      <c r="AM67" t="str">
        <f>IF(ISNUMBER(VLOOKUP($A67,Haver_M!$B$1:$BZ$300,MATCH(data!AM$1,Haver_M!$B$1:$BZ$1,0),FALSE)),VLOOKUP($A67,Haver_M!$B$1:$BZ$300,MATCH(data!AM$1,Haver_M!$B$1:$BZ$1,0),FALSE),"")</f>
        <v/>
      </c>
      <c r="AN67" t="str">
        <f>IF(ISNUMBER(VLOOKUP($A67,Haver_M!$B$1:$BZ$300,MATCH(data!AN$1,Haver_M!$B$1:$BZ$1,0),FALSE)),VLOOKUP($A67,Haver_M!$B$1:$BZ$300,MATCH(data!AN$1,Haver_M!$B$1:$BZ$1,0),FALSE),"")</f>
        <v/>
      </c>
      <c r="AO67" t="str">
        <f>IF(ISNUMBER(VLOOKUP($A67,Haver_M!$B$1:$BZ$300,MATCH(data!AO$1,Haver_M!$B$1:$BZ$1,0),FALSE)),VLOOKUP($A67,Haver_M!$B$1:$BZ$300,MATCH(data!AO$1,Haver_M!$B$1:$BZ$1,0),FALSE),"")</f>
        <v/>
      </c>
      <c r="AP67">
        <f>IF(ISNUMBER(VLOOKUP($A67,Haver_M!$B$1:$BZ$300,MATCH(data!AP$1,Haver_M!$B$1:$BZ$1,0),FALSE)),VLOOKUP($A67,Haver_M!$B$1:$BZ$300,MATCH(data!AP$1,Haver_M!$B$1:$BZ$1,0),FALSE),"")</f>
        <v>65.840052132014222</v>
      </c>
      <c r="AQ67" t="str">
        <f>IF(ISNUMBER(VLOOKUP($A67,Haver_M!$B$1:$BZ$300,MATCH(data!AQ$1,Haver_M!$B$1:$BZ$1,0),FALSE)),VLOOKUP($A67,Haver_M!$B$1:$BZ$300,MATCH(data!AQ$1,Haver_M!$B$1:$BZ$1,0),FALSE),"")</f>
        <v/>
      </c>
      <c r="AR67">
        <f>IF(ISNUMBER(VLOOKUP($A67,Haver_M!$B$1:$BZ$300,MATCH(data!AR$1,Haver_M!$B$1:$BZ$1,0),FALSE)),VLOOKUP($A67,Haver_M!$B$1:$BZ$300,MATCH(data!AR$1,Haver_M!$B$1:$BZ$1,0),FALSE),"")</f>
        <v>58.377600000000001</v>
      </c>
      <c r="AS67" t="str">
        <f>IF(ISNUMBER(VLOOKUP($A67,Haver_M!$B$1:$BZ$300,MATCH(data!AS$1,Haver_M!$B$1:$BZ$1,0),FALSE)),VLOOKUP($A67,Haver_M!$B$1:$BZ$300,MATCH(data!AS$1,Haver_M!$B$1:$BZ$1,0),FALSE),"")</f>
        <v/>
      </c>
      <c r="AT67">
        <f>IF(ISNUMBER(VLOOKUP($A67,Haver_M!$B$1:$BZ$300,MATCH(data!AT$1,Haver_M!$B$1:$BZ$1,0),FALSE)),VLOOKUP($A67,Haver_M!$B$1:$BZ$300,MATCH(data!AT$1,Haver_M!$B$1:$BZ$1,0),FALSE),"")</f>
        <v>63.025500000000001</v>
      </c>
      <c r="AU67">
        <f>IF(ISNUMBER(VLOOKUP($A67,Haver_M!$B$1:$BZ$300,MATCH(data!AU$1,Haver_M!$B$1:$BZ$1,0),FALSE)),VLOOKUP($A67,Haver_M!$B$1:$BZ$300,MATCH(data!AU$1,Haver_M!$B$1:$BZ$1,0),FALSE),"")</f>
        <v>65.868799999999993</v>
      </c>
      <c r="AV67">
        <f>IF(ISNUMBER(VLOOKUP($A67,Haver_M!$B$1:$BZ$300,MATCH(data!AV$1,Haver_M!$B$1:$BZ$1,0),FALSE)),VLOOKUP($A67,Haver_M!$B$1:$BZ$300,MATCH(data!AV$1,Haver_M!$B$1:$BZ$1,0),FALSE),"")</f>
        <v>52.185899999999997</v>
      </c>
      <c r="AW67">
        <f>IF(ISNUMBER(VLOOKUP($A67,Haver_M!$B$1:$BZ$300,MATCH(data!AW$1,Haver_M!$B$1:$BZ$1,0),FALSE)),VLOOKUP($A67,Haver_M!$B$1:$BZ$300,MATCH(data!AW$1,Haver_M!$B$1:$BZ$1,0),FALSE),"")</f>
        <v>51.909500000000001</v>
      </c>
      <c r="AX67">
        <f>IF(ISNUMBER(VLOOKUP($A67,Haver_M!$B$1:$BZ$300,MATCH(data!AX$1,Haver_M!$B$1:$BZ$1,0),FALSE)),VLOOKUP($A67,Haver_M!$B$1:$BZ$300,MATCH(data!AX$1,Haver_M!$B$1:$BZ$1,0),FALSE),"")</f>
        <v>52.098799999999997</v>
      </c>
      <c r="AY67">
        <f>IF(ISNUMBER(VLOOKUP($A67,Haver_M!$B$1:$BZ$300,MATCH(data!AY$1,Haver_M!$B$1:$BZ$1,0),FALSE)),VLOOKUP($A67,Haver_M!$B$1:$BZ$300,MATCH(data!AY$1,Haver_M!$B$1:$BZ$1,0),FALSE),"")</f>
        <v>55.7761</v>
      </c>
      <c r="AZ67">
        <f>IF(ISNUMBER(VLOOKUP($A67,Haver_M!$B$1:$BZ$300,MATCH(data!AZ$1,Haver_M!$B$1:$BZ$1,0),FALSE)),VLOOKUP($A67,Haver_M!$B$1:$BZ$300,MATCH(data!AZ$1,Haver_M!$B$1:$BZ$1,0),FALSE),"")</f>
        <v>61.737200000000001</v>
      </c>
      <c r="BA67">
        <f>IF(ISNUMBER(VLOOKUP($A67,Haver_M!$B$1:$BZ$300,MATCH(data!BA$1,Haver_M!$B$1:$BZ$1,0),FALSE)),VLOOKUP($A67,Haver_M!$B$1:$BZ$300,MATCH(data!BA$1,Haver_M!$B$1:$BZ$1,0),FALSE),"")</f>
        <v>52.098799999999997</v>
      </c>
      <c r="BB67">
        <f>IF(ISNUMBER(VLOOKUP($A67,Haver_M!$B$1:$BZ$300,MATCH(data!BB$1,Haver_M!$B$1:$BZ$1,0),FALSE)),VLOOKUP($A67,Haver_M!$B$1:$BZ$300,MATCH(data!BB$1,Haver_M!$B$1:$BZ$1,0),FALSE),"")</f>
        <v>60.329599999999999</v>
      </c>
      <c r="BC67">
        <f>IF(ISNUMBER(VLOOKUP($A67,Haver_M!$B$1:$BZ$300,MATCH(data!BC$1,Haver_M!$B$1:$BZ$1,0),FALSE)),VLOOKUP($A67,Haver_M!$B$1:$BZ$300,MATCH(data!BC$1,Haver_M!$B$1:$BZ$1,0),FALSE),"")</f>
        <v>52.688800000000001</v>
      </c>
      <c r="BD67">
        <f>IF(ISNUMBER(VLOOKUP($A67,Haver_M!$B$1:$BZ$300,MATCH(data!BD$1,Haver_M!$B$1:$BZ$1,0),FALSE)),VLOOKUP($A67,Haver_M!$B$1:$BZ$300,MATCH(data!BD$1,Haver_M!$B$1:$BZ$1,0),FALSE),"")</f>
        <v>49.578800000000001</v>
      </c>
      <c r="BE67">
        <f>IF(ISNUMBER(VLOOKUP($A67,Haver_M!$B$1:$BZ$300,MATCH(data!BE$1,Haver_M!$B$1:$BZ$1,0),FALSE)),VLOOKUP($A67,Haver_M!$B$1:$BZ$300,MATCH(data!BE$1,Haver_M!$B$1:$BZ$1,0),FALSE),"")</f>
        <v>1.2995000000000001</v>
      </c>
      <c r="BF67" t="str">
        <f>IF(ISNUMBER(VLOOKUP($A67,Haver_M!$B$1:$BZ$300,MATCH(data!BF$1,Haver_M!$B$1:$BZ$1,0),FALSE)),VLOOKUP($A67,Haver_M!$B$1:$BZ$300,MATCH(data!BF$1,Haver_M!$B$1:$BZ$1,0),FALSE),"")</f>
        <v/>
      </c>
      <c r="BG67" t="str">
        <f>IF(ISNUMBER(VLOOKUP($A67,Haver_M!$B$1:$BZ$300,MATCH(data!BG$1,Haver_M!$B$1:$BZ$1,0),FALSE)),VLOOKUP($A67,Haver_M!$B$1:$BZ$300,MATCH(data!BG$1,Haver_M!$B$1:$BZ$1,0),FALSE),"")</f>
        <v/>
      </c>
      <c r="BH67" t="str">
        <f>IF(ISNUMBER(VLOOKUP($A67,Haver_M!$B$1:$BZ$300,MATCH(data!BH$1,Haver_M!$B$1:$BZ$1,0),FALSE)),VLOOKUP($A67,Haver_M!$B$1:$BZ$300,MATCH(data!BH$1,Haver_M!$B$1:$BZ$1,0),FALSE),"")</f>
        <v/>
      </c>
      <c r="BI67" t="str">
        <f>IF(ISNUMBER(VLOOKUP($A67,Haver_M!$B$1:$BZ$300,MATCH(data!BI$1,Haver_M!$B$1:$BZ$1,0),FALSE)),VLOOKUP($A67,Haver_M!$B$1:$BZ$300,MATCH(data!BI$1,Haver_M!$B$1:$BZ$1,0),FALSE),"")</f>
        <v/>
      </c>
      <c r="BJ67" t="str">
        <f>IF(ISNUMBER(VLOOKUP($A67,Haver_M!$B$1:$BZ$300,MATCH(data!BJ$1,Haver_M!$B$1:$BZ$1,0),FALSE)),VLOOKUP($A67,Haver_M!$B$1:$BZ$300,MATCH(data!BJ$1,Haver_M!$B$1:$BZ$1,0),FALSE),"")</f>
        <v/>
      </c>
      <c r="BK67" t="str">
        <f>IF(ISNUMBER(VLOOKUP($A67,Haver_M!$B$1:$BZ$300,MATCH(data!BK$1,Haver_M!$B$1:$BZ$1,0),FALSE)),VLOOKUP($A67,Haver_M!$B$1:$BZ$300,MATCH(data!BK$1,Haver_M!$B$1:$BZ$1,0),FALSE),"")</f>
        <v/>
      </c>
      <c r="BL67">
        <f>IF(ISNUMBER(VLOOKUP($A67,Haver_M!$B$1:$BZ$300,MATCH(data!BL$1,Haver_M!$B$1:$BZ$1,0),FALSE)),VLOOKUP($A67,Haver_M!$B$1:$BZ$300,MATCH(data!BL$1,Haver_M!$B$1:$BZ$1,0),FALSE),"")</f>
        <v>6933.72</v>
      </c>
      <c r="BM67">
        <f>IF(ISNUMBER(VLOOKUP($A67,Haver_M!$B$1:$BZ$300,MATCH(data!BM$1,Haver_M!$B$1:$BZ$1,0),FALSE)),VLOOKUP($A67,Haver_M!$B$1:$BZ$300,MATCH(data!BM$1,Haver_M!$B$1:$BZ$1,0),FALSE),"")</f>
        <v>92.044013390000003</v>
      </c>
      <c r="BN67">
        <f>IF(ISNUMBER(VLOOKUP($A67,Haver_M!$B$1:$BZ$300,MATCH(data!BN$1,Haver_M!$B$1:$BZ$1,0),FALSE)),VLOOKUP($A67,Haver_M!$B$1:$BZ$300,MATCH(data!BN$1,Haver_M!$B$1:$BZ$1,0),FALSE),"")</f>
        <v>117.5</v>
      </c>
      <c r="BO67">
        <f>IF(ISNUMBER(VLOOKUP($A67,Haver_M!$B$1:$BZ$300,MATCH(data!BO$1,Haver_M!$B$1:$BZ$1,0),FALSE)),VLOOKUP($A67,Haver_M!$B$1:$BZ$300,MATCH(data!BO$1,Haver_M!$B$1:$BZ$1,0),FALSE),"")</f>
        <v>120.7</v>
      </c>
      <c r="BP67">
        <f>IF(ISNUMBER(VLOOKUP($A67,Haver_M!$B$1:$BZ$300,MATCH(data!BP$1,Haver_M!$B$1:$BZ$1,0),FALSE)),VLOOKUP($A67,Haver_M!$B$1:$BZ$300,MATCH(data!BP$1,Haver_M!$B$1:$BZ$1,0),FALSE),"")</f>
        <v>44.3</v>
      </c>
      <c r="BQ67" t="str">
        <f>IF(ISNUMBER(VLOOKUP($A67,Haver_M!$B$1:$BZ$300,MATCH(data!BQ$1,Haver_M!$B$1:$BZ$1,0),FALSE)),VLOOKUP($A67,Haver_M!$B$1:$BZ$300,MATCH(data!BQ$1,Haver_M!$B$1:$BZ$1,0),FALSE),"")</f>
        <v/>
      </c>
      <c r="BR67" t="str">
        <f>IF(ISNUMBER(VLOOKUP($A67,Haver_M!$B$1:$BZ$300,MATCH(data!BR$1,Haver_M!$B$1:$BZ$1,0),FALSE)),VLOOKUP($A67,Haver_M!$B$1:$BZ$300,MATCH(data!BR$1,Haver_M!$B$1:$BZ$1,0),FALSE),"")</f>
        <v/>
      </c>
      <c r="BS67" t="str">
        <f>IF(ISNUMBER(VLOOKUP($A67,Haver_M!$B$1:$BZ$300,MATCH(data!BS$1,Haver_M!$B$1:$BZ$1,0),FALSE)),VLOOKUP($A67,Haver_M!$B$1:$BZ$300,MATCH(data!BS$1,Haver_M!$B$1:$BZ$1,0),FALSE),"")</f>
        <v/>
      </c>
      <c r="BT67" t="str">
        <f>IF(ISNUMBER(VLOOKUP($A67,Haver_M!$B$1:$BZ$300,MATCH(data!BT$1,Haver_M!$B$1:$BZ$1,0),FALSE)),VLOOKUP($A67,Haver_M!$B$1:$BZ$300,MATCH(data!BT$1,Haver_M!$B$1:$BZ$1,0),FALSE),"")</f>
        <v/>
      </c>
      <c r="BU67">
        <f>IF(ISNUMBER(VLOOKUP($A67,Haver_M!$B$1:$BZ$300,MATCH(data!BU$1,Haver_M!$B$1:$BZ$1,0),FALSE)),VLOOKUP($A67,Haver_M!$B$1:$BZ$300,MATCH(data!BU$1,Haver_M!$B$1:$BZ$1,0),FALSE),"")</f>
        <v>7893</v>
      </c>
      <c r="BV67">
        <f>IF(ISNUMBER(VLOOKUP($A67,Haver_M!$B$1:$BZ$300,MATCH(data!BV$1,Haver_M!$B$1:$BZ$1,0),FALSE)),VLOOKUP($A67,Haver_M!$B$1:$BZ$300,MATCH(data!BV$1,Haver_M!$B$1:$BZ$1,0),FALSE),"")</f>
        <v>11803</v>
      </c>
      <c r="BW67">
        <f>IF(ISNUMBER(VLOOKUP($A67,Haver_M!$B$1:$BZ$300,MATCH(data!BW$1,Haver_M!$B$1:$BZ$1,0),FALSE)),VLOOKUP($A67,Haver_M!$B$1:$BZ$300,MATCH(data!BW$1,Haver_M!$B$1:$BZ$1,0),FALSE),"")</f>
        <v>43.583599999999997</v>
      </c>
      <c r="BX67">
        <f>IF(ISNUMBER(VLOOKUP($A67,Haver_M!$B$1:$BZ$300,MATCH(data!BX$1,Haver_M!$B$1:$BZ$1,0),FALSE)),VLOOKUP($A67,Haver_M!$B$1:$BZ$300,MATCH(data!BX$1,Haver_M!$B$1:$BZ$1,0),FALSE),"")</f>
        <v>25113</v>
      </c>
    </row>
    <row r="68" spans="1:76" x14ac:dyDescent="0.25">
      <c r="A68" s="2">
        <v>38564</v>
      </c>
      <c r="B68" t="str">
        <f>IF(ISNUMBER(VLOOKUP($A68,Haver_Q!$B$1:$L$185,MATCH(data!B$1,Haver_Q!$B$1:$L$1,0),FALSE)),100*(VLOOKUP($A68,Haver_Q!$B$1:$L$185,MATCH(data!B$1,Haver_Q!$B$1:$L$1,0),FALSE)),"")</f>
        <v/>
      </c>
      <c r="C68" t="str">
        <f>IF(ISNUMBER(VLOOKUP($A68,Haver_Q!$B$1:$L$185,MATCH(data!C$1,Haver_Q!$B$1:$L$1,0),FALSE)),100*(VLOOKUP($A68,Haver_Q!$B$1:$L$185,MATCH(data!C$1,Haver_Q!$B$1:$L$1,0),FALSE)),"")</f>
        <v/>
      </c>
      <c r="D68" t="str">
        <f>IF(ISNUMBER(VLOOKUP($A68,Haver_Q!$B$1:$L$185,MATCH(data!D$1,Haver_Q!$B$1:$L$1,0),FALSE)),100*(VLOOKUP($A68,Haver_Q!$B$1:$L$185,MATCH(data!D$1,Haver_Q!$B$1:$L$1,0),FALSE)),"")</f>
        <v/>
      </c>
      <c r="E68" t="str">
        <f>IF(ISNUMBER(VLOOKUP($A68,Haver_Q!$B$1:$L$185,MATCH(data!E$1,Haver_Q!$B$1:$L$1,0),FALSE)),100*(VLOOKUP($A68,Haver_Q!$B$1:$L$185,MATCH(data!E$1,Haver_Q!$B$1:$L$1,0),FALSE)),"")</f>
        <v/>
      </c>
      <c r="F68" t="str">
        <f>IF(ISNUMBER(VLOOKUP($A68,Haver_Q!$B$1:$L$185,MATCH(data!F$1,Haver_Q!$B$1:$L$1,0),FALSE)),100*(VLOOKUP($A68,Haver_Q!$B$1:$L$185,MATCH(data!F$1,Haver_Q!$B$1:$L$1,0),FALSE)),"")</f>
        <v/>
      </c>
      <c r="G68" t="str">
        <f>IF(ISNUMBER(VLOOKUP($A68,Haver_Q!$B$1:$L$185,MATCH(data!G$1,Haver_Q!$B$1:$L$1,0),FALSE)),100*(VLOOKUP($A68,Haver_Q!$B$1:$L$185,MATCH(data!G$1,Haver_Q!$B$1:$L$1,0),FALSE)),"")</f>
        <v/>
      </c>
      <c r="H68" t="str">
        <f>IF(ISNUMBER(VLOOKUP($A68,Haver_Q!$B$1:$L$185,MATCH(data!H$1,Haver_Q!$B$1:$L$1,0),FALSE)),(VLOOKUP($A68,Haver_Q!$B$1:$L$185,MATCH(data!H$1,Haver_Q!$B$1:$L$1,0),FALSE)),"")</f>
        <v/>
      </c>
      <c r="I68" t="str">
        <f>IF(ISNUMBER(VLOOKUP($A68,Haver_Q!$B$1:$L$185,MATCH(data!I$1,Haver_Q!$B$1:$L$1,0),FALSE)),100*(VLOOKUP($A68,Haver_Q!$B$1:$L$185,MATCH(data!I$1,Haver_Q!$B$1:$L$1,0),FALSE)),"")</f>
        <v/>
      </c>
      <c r="J68" s="3">
        <f>IF(ISNUMBER(Bloomberg_m!C84),Bloomberg_m!C84,"")</f>
        <v>2220</v>
      </c>
      <c r="K68" s="3" t="str">
        <f>IF(ISNUMBER(Bloomberg_m!D84),Bloomberg_m!D84,"")</f>
        <v/>
      </c>
      <c r="L68" s="3" t="str">
        <f>IF(ISNUMBER(Bloomberg_m!E84),Bloomberg_m!E84,"")</f>
        <v/>
      </c>
      <c r="M68" s="3" t="str">
        <f>IF(ISNUMBER(Bloomberg_m!F84),Bloomberg_m!F84,"")</f>
        <v/>
      </c>
      <c r="N68">
        <f>IF(ISNUMBER(VLOOKUP($A68,Haver_M!$B$1:$BZ$300,MATCH(data!N$1,Haver_M!$B$1:$BZ$1,0),FALSE)),VLOOKUP($A68,Haver_M!$B$1:$BZ$300,MATCH(data!N$1,Haver_M!$B$1:$BZ$1,0),FALSE),"")</f>
        <v>6</v>
      </c>
      <c r="O68">
        <f>IF(ISNUMBER(VLOOKUP($A68,Haver_M!$B$1:$BZ$300,MATCH(data!O$1,Haver_M!$B$1:$BZ$1,0),FALSE)),VLOOKUP($A68,Haver_M!$B$1:$BZ$300,MATCH(data!O$1,Haver_M!$B$1:$BZ$1,0),FALSE),"")</f>
        <v>6.9451000000000001</v>
      </c>
      <c r="P68">
        <f>IF(ISNUMBER(VLOOKUP($A68,Haver_M!$B$1:$BZ$300,MATCH(data!P$1,Haver_M!$B$1:$BZ$1,0),FALSE)),VLOOKUP($A68,Haver_M!$B$1:$BZ$300,MATCH(data!P$1,Haver_M!$B$1:$BZ$1,0),FALSE),"")</f>
        <v>98.65204</v>
      </c>
      <c r="Q68">
        <f>IF(ISNUMBER(VLOOKUP($A68,Haver_M!$B$1:$BZ$300,MATCH(data!Q$1,Haver_M!$B$1:$BZ$1,0),FALSE)),VLOOKUP($A68,Haver_M!$B$1:$BZ$300,MATCH(data!Q$1,Haver_M!$B$1:$BZ$1,0),FALSE),"")</f>
        <v>57.4</v>
      </c>
      <c r="R68" t="str">
        <f>IF(ISNUMBER(VLOOKUP($A68,Haver_M!$B$1:$BZ$300,MATCH(data!R$1,Haver_M!$B$1:$BZ$1,0),FALSE)),VLOOKUP($A68,Haver_M!$B$1:$BZ$300,MATCH(data!R$1,Haver_M!$B$1:$BZ$1,0),FALSE),"")</f>
        <v/>
      </c>
      <c r="S68">
        <f>IF(ISNUMBER(VLOOKUP($A68,Haver_M!$B$1:$BZ$300,MATCH(data!S$1,Haver_M!$B$1:$BZ$1,0),FALSE)),VLOOKUP($A68,Haver_M!$B$1:$BZ$300,MATCH(data!S$1,Haver_M!$B$1:$BZ$1,0),FALSE),"")</f>
        <v>63.21</v>
      </c>
      <c r="T68">
        <f>IF(ISNUMBER(VLOOKUP($A68,Haver_M!$B$1:$BZ$300,MATCH(data!T$1,Haver_M!$B$1:$BZ$1,0),FALSE)),VLOOKUP($A68,Haver_M!$B$1:$BZ$300,MATCH(data!T$1,Haver_M!$B$1:$BZ$1,0),FALSE),"")</f>
        <v>67.39</v>
      </c>
      <c r="U68">
        <f>IF(ISNUMBER(VLOOKUP($A68,Haver_M!$B$1:$BZ$300,MATCH(data!U$1,Haver_M!$B$1:$BZ$1,0),FALSE)),VLOOKUP($A68,Haver_M!$B$1:$BZ$300,MATCH(data!U$1,Haver_M!$B$1:$BZ$1,0),FALSE),"")</f>
        <v>48.37</v>
      </c>
      <c r="V68">
        <f>IF(ISNUMBER(VLOOKUP($A68,Haver_M!$B$1:$BZ$300,MATCH(data!V$1,Haver_M!$B$1:$BZ$1,0),FALSE)),VLOOKUP($A68,Haver_M!$B$1:$BZ$300,MATCH(data!V$1,Haver_M!$B$1:$BZ$1,0),FALSE),"")</f>
        <v>76.16</v>
      </c>
      <c r="W68" t="str">
        <f>IF(ISNUMBER(VLOOKUP($A68,Haver_M!$B$1:$BZ$300,MATCH(data!W$1,Haver_M!$B$1:$BZ$1,0),FALSE)),VLOOKUP($A68,Haver_M!$B$1:$BZ$300,MATCH(data!W$1,Haver_M!$B$1:$BZ$1,0),FALSE),"")</f>
        <v/>
      </c>
      <c r="X68">
        <f>IF(ISNUMBER(VLOOKUP($A68,Haver_M!$B$1:$BZ$300,MATCH(data!X$1,Haver_M!$B$1:$BZ$1,0),FALSE)),VLOOKUP($A68,Haver_M!$B$1:$BZ$300,MATCH(data!X$1,Haver_M!$B$1:$BZ$1,0),FALSE),"")</f>
        <v>37.21</v>
      </c>
      <c r="Y68">
        <f>IF(ISNUMBER(VLOOKUP($A68,Haver_M!$B$1:$BZ$300,MATCH(data!Y$1,Haver_M!$B$1:$BZ$1,0),FALSE)),VLOOKUP($A68,Haver_M!$B$1:$BZ$300,MATCH(data!Y$1,Haver_M!$B$1:$BZ$1,0),FALSE),"")</f>
        <v>71.319999999999993</v>
      </c>
      <c r="Z68">
        <f>IF(ISNUMBER(VLOOKUP($A68,Haver_M!$B$1:$BZ$300,MATCH(data!Z$1,Haver_M!$B$1:$BZ$1,0),FALSE)),VLOOKUP($A68,Haver_M!$B$1:$BZ$300,MATCH(data!Z$1,Haver_M!$B$1:$BZ$1,0),FALSE),"")</f>
        <v>70</v>
      </c>
      <c r="AA68">
        <f>IF(ISNUMBER(VLOOKUP($A68,Haver_M!$B$1:$BZ$300,MATCH(data!AA$1,Haver_M!$B$1:$BZ$1,0),FALSE)),VLOOKUP($A68,Haver_M!$B$1:$BZ$300,MATCH(data!AA$1,Haver_M!$B$1:$BZ$1,0),FALSE),"")</f>
        <v>74.266999999999996</v>
      </c>
      <c r="AB68">
        <f>IF(ISNUMBER(VLOOKUP($A68,Haver_M!$B$1:$BZ$300,MATCH(data!AB$1,Haver_M!$B$1:$BZ$1,0),FALSE)),VLOOKUP($A68,Haver_M!$B$1:$BZ$300,MATCH(data!AB$1,Haver_M!$B$1:$BZ$1,0),FALSE),"")</f>
        <v>85.695999999999998</v>
      </c>
      <c r="AC68">
        <f>IF(ISNUMBER(VLOOKUP($A68,Haver_M!$B$1:$BZ$300,MATCH(data!AC$1,Haver_M!$B$1:$BZ$1,0),FALSE)),VLOOKUP($A68,Haver_M!$B$1:$BZ$300,MATCH(data!AC$1,Haver_M!$B$1:$BZ$1,0),FALSE),"")</f>
        <v>67.662999999999997</v>
      </c>
      <c r="AD68">
        <f>IF(ISNUMBER(VLOOKUP($A68,Haver_M!$B$1:$BZ$300,MATCH(data!AD$1,Haver_M!$B$1:$BZ$1,0),FALSE)),VLOOKUP($A68,Haver_M!$B$1:$BZ$300,MATCH(data!AD$1,Haver_M!$B$1:$BZ$1,0),FALSE),"")</f>
        <v>76.965000000000003</v>
      </c>
      <c r="AE68">
        <f>IF(ISNUMBER(VLOOKUP($A68,Haver_M!$B$1:$BZ$300,MATCH(data!AE$1,Haver_M!$B$1:$BZ$1,0),FALSE)),VLOOKUP($A68,Haver_M!$B$1:$BZ$300,MATCH(data!AE$1,Haver_M!$B$1:$BZ$1,0),FALSE),"")</f>
        <v>93.844999999999999</v>
      </c>
      <c r="AF68">
        <f>IF(ISNUMBER(VLOOKUP($A68,Haver_M!$B$1:$BZ$300,MATCH(data!AF$1,Haver_M!$B$1:$BZ$1,0),FALSE)),VLOOKUP($A68,Haver_M!$B$1:$BZ$300,MATCH(data!AF$1,Haver_M!$B$1:$BZ$1,0),FALSE),"")</f>
        <v>58.189</v>
      </c>
      <c r="AG68">
        <f>IF(ISNUMBER(VLOOKUP($A68,Haver_M!$B$1:$BZ$300,MATCH(data!AG$1,Haver_M!$B$1:$BZ$1,0),FALSE)),VLOOKUP($A68,Haver_M!$B$1:$BZ$300,MATCH(data!AG$1,Haver_M!$B$1:$BZ$1,0),FALSE),"")</f>
        <v>59.768999999999998</v>
      </c>
      <c r="AH68">
        <f>IF(ISNUMBER(VLOOKUP($A68,Haver_M!$B$1:$BZ$300,MATCH(data!AH$1,Haver_M!$B$1:$BZ$1,0),FALSE)),VLOOKUP($A68,Haver_M!$B$1:$BZ$300,MATCH(data!AH$1,Haver_M!$B$1:$BZ$1,0),FALSE),"")</f>
        <v>68.555000000000007</v>
      </c>
      <c r="AI68">
        <f>IF(ISNUMBER(VLOOKUP($A68,Haver_M!$B$1:$BZ$300,MATCH(data!AI$1,Haver_M!$B$1:$BZ$1,0),FALSE)),VLOOKUP($A68,Haver_M!$B$1:$BZ$300,MATCH(data!AI$1,Haver_M!$B$1:$BZ$1,0),FALSE),"")</f>
        <v>9260.7094327255181</v>
      </c>
      <c r="AJ68">
        <f>IF(ISNUMBER(VLOOKUP($A68,Haver_M!$B$1:$BZ$300,MATCH(data!AJ$1,Haver_M!$B$1:$BZ$1,0),FALSE)),VLOOKUP($A68,Haver_M!$B$1:$BZ$300,MATCH(data!AJ$1,Haver_M!$B$1:$BZ$1,0),FALSE),"")</f>
        <v>7639.79</v>
      </c>
      <c r="AK68">
        <f>IF(ISNUMBER(VLOOKUP($A68,Haver_M!$B$1:$BZ$300,MATCH(data!AK$1,Haver_M!$B$1:$BZ$1,0),FALSE)),VLOOKUP($A68,Haver_M!$B$1:$BZ$300,MATCH(data!AK$1,Haver_M!$B$1:$BZ$1,0),FALSE),"")</f>
        <v>11490.85</v>
      </c>
      <c r="AL68" t="str">
        <f>IF(ISNUMBER(VLOOKUP($A68,Haver_M!$B$1:$BZ$300,MATCH(data!AL$1,Haver_M!$B$1:$BZ$1,0),FALSE)),VLOOKUP($A68,Haver_M!$B$1:$BZ$300,MATCH(data!AL$1,Haver_M!$B$1:$BZ$1,0),FALSE),"")</f>
        <v/>
      </c>
      <c r="AM68" t="str">
        <f>IF(ISNUMBER(VLOOKUP($A68,Haver_M!$B$1:$BZ$300,MATCH(data!AM$1,Haver_M!$B$1:$BZ$1,0),FALSE)),VLOOKUP($A68,Haver_M!$B$1:$BZ$300,MATCH(data!AM$1,Haver_M!$B$1:$BZ$1,0),FALSE),"")</f>
        <v/>
      </c>
      <c r="AN68" t="str">
        <f>IF(ISNUMBER(VLOOKUP($A68,Haver_M!$B$1:$BZ$300,MATCH(data!AN$1,Haver_M!$B$1:$BZ$1,0),FALSE)),VLOOKUP($A68,Haver_M!$B$1:$BZ$300,MATCH(data!AN$1,Haver_M!$B$1:$BZ$1,0),FALSE),"")</f>
        <v/>
      </c>
      <c r="AO68" t="str">
        <f>IF(ISNUMBER(VLOOKUP($A68,Haver_M!$B$1:$BZ$300,MATCH(data!AO$1,Haver_M!$B$1:$BZ$1,0),FALSE)),VLOOKUP($A68,Haver_M!$B$1:$BZ$300,MATCH(data!AO$1,Haver_M!$B$1:$BZ$1,0),FALSE),"")</f>
        <v/>
      </c>
      <c r="AP68">
        <f>IF(ISNUMBER(VLOOKUP($A68,Haver_M!$B$1:$BZ$300,MATCH(data!AP$1,Haver_M!$B$1:$BZ$1,0),FALSE)),VLOOKUP($A68,Haver_M!$B$1:$BZ$300,MATCH(data!AP$1,Haver_M!$B$1:$BZ$1,0),FALSE),"")</f>
        <v>60.37255667850895</v>
      </c>
      <c r="AQ68" t="str">
        <f>IF(ISNUMBER(VLOOKUP($A68,Haver_M!$B$1:$BZ$300,MATCH(data!AQ$1,Haver_M!$B$1:$BZ$1,0),FALSE)),VLOOKUP($A68,Haver_M!$B$1:$BZ$300,MATCH(data!AQ$1,Haver_M!$B$1:$BZ$1,0),FALSE),"")</f>
        <v/>
      </c>
      <c r="AR68">
        <f>IF(ISNUMBER(VLOOKUP($A68,Haver_M!$B$1:$BZ$300,MATCH(data!AR$1,Haver_M!$B$1:$BZ$1,0),FALSE)),VLOOKUP($A68,Haver_M!$B$1:$BZ$300,MATCH(data!AR$1,Haver_M!$B$1:$BZ$1,0),FALSE),"")</f>
        <v>58.005899999999997</v>
      </c>
      <c r="AS68" t="str">
        <f>IF(ISNUMBER(VLOOKUP($A68,Haver_M!$B$1:$BZ$300,MATCH(data!AS$1,Haver_M!$B$1:$BZ$1,0),FALSE)),VLOOKUP($A68,Haver_M!$B$1:$BZ$300,MATCH(data!AS$1,Haver_M!$B$1:$BZ$1,0),FALSE),"")</f>
        <v/>
      </c>
      <c r="AT68">
        <f>IF(ISNUMBER(VLOOKUP($A68,Haver_M!$B$1:$BZ$300,MATCH(data!AT$1,Haver_M!$B$1:$BZ$1,0),FALSE)),VLOOKUP($A68,Haver_M!$B$1:$BZ$300,MATCH(data!AT$1,Haver_M!$B$1:$BZ$1,0),FALSE),"")</f>
        <v>61.849299999999999</v>
      </c>
      <c r="AU68">
        <f>IF(ISNUMBER(VLOOKUP($A68,Haver_M!$B$1:$BZ$300,MATCH(data!AU$1,Haver_M!$B$1:$BZ$1,0),FALSE)),VLOOKUP($A68,Haver_M!$B$1:$BZ$300,MATCH(data!AU$1,Haver_M!$B$1:$BZ$1,0),FALSE),"")</f>
        <v>65.551100000000005</v>
      </c>
      <c r="AV68">
        <f>IF(ISNUMBER(VLOOKUP($A68,Haver_M!$B$1:$BZ$300,MATCH(data!AV$1,Haver_M!$B$1:$BZ$1,0),FALSE)),VLOOKUP($A68,Haver_M!$B$1:$BZ$300,MATCH(data!AV$1,Haver_M!$B$1:$BZ$1,0),FALSE),"")</f>
        <v>52.7926</v>
      </c>
      <c r="AW68">
        <f>IF(ISNUMBER(VLOOKUP($A68,Haver_M!$B$1:$BZ$300,MATCH(data!AW$1,Haver_M!$B$1:$BZ$1,0),FALSE)),VLOOKUP($A68,Haver_M!$B$1:$BZ$300,MATCH(data!AW$1,Haver_M!$B$1:$BZ$1,0),FALSE),"")</f>
        <v>53.816800000000001</v>
      </c>
      <c r="AX68">
        <f>IF(ISNUMBER(VLOOKUP($A68,Haver_M!$B$1:$BZ$300,MATCH(data!AX$1,Haver_M!$B$1:$BZ$1,0),FALSE)),VLOOKUP($A68,Haver_M!$B$1:$BZ$300,MATCH(data!AX$1,Haver_M!$B$1:$BZ$1,0),FALSE),"")</f>
        <v>53.922199999999997</v>
      </c>
      <c r="AY68">
        <f>IF(ISNUMBER(VLOOKUP($A68,Haver_M!$B$1:$BZ$300,MATCH(data!AY$1,Haver_M!$B$1:$BZ$1,0),FALSE)),VLOOKUP($A68,Haver_M!$B$1:$BZ$300,MATCH(data!AY$1,Haver_M!$B$1:$BZ$1,0),FALSE),"")</f>
        <v>54.627000000000002</v>
      </c>
      <c r="AZ68">
        <f>IF(ISNUMBER(VLOOKUP($A68,Haver_M!$B$1:$BZ$300,MATCH(data!AZ$1,Haver_M!$B$1:$BZ$1,0),FALSE)),VLOOKUP($A68,Haver_M!$B$1:$BZ$300,MATCH(data!AZ$1,Haver_M!$B$1:$BZ$1,0),FALSE),"")</f>
        <v>60.897399999999998</v>
      </c>
      <c r="BA68">
        <f>IF(ISNUMBER(VLOOKUP($A68,Haver_M!$B$1:$BZ$300,MATCH(data!BA$1,Haver_M!$B$1:$BZ$1,0),FALSE)),VLOOKUP($A68,Haver_M!$B$1:$BZ$300,MATCH(data!BA$1,Haver_M!$B$1:$BZ$1,0),FALSE),"")</f>
        <v>53.922199999999997</v>
      </c>
      <c r="BB68">
        <f>IF(ISNUMBER(VLOOKUP($A68,Haver_M!$B$1:$BZ$300,MATCH(data!BB$1,Haver_M!$B$1:$BZ$1,0),FALSE)),VLOOKUP($A68,Haver_M!$B$1:$BZ$300,MATCH(data!BB$1,Haver_M!$B$1:$BZ$1,0),FALSE),"")</f>
        <v>59.603700000000003</v>
      </c>
      <c r="BC68">
        <f>IF(ISNUMBER(VLOOKUP($A68,Haver_M!$B$1:$BZ$300,MATCH(data!BC$1,Haver_M!$B$1:$BZ$1,0),FALSE)),VLOOKUP($A68,Haver_M!$B$1:$BZ$300,MATCH(data!BC$1,Haver_M!$B$1:$BZ$1,0),FALSE),"")</f>
        <v>52.083300000000001</v>
      </c>
      <c r="BD68">
        <f>IF(ISNUMBER(VLOOKUP($A68,Haver_M!$B$1:$BZ$300,MATCH(data!BD$1,Haver_M!$B$1:$BZ$1,0),FALSE)),VLOOKUP($A68,Haver_M!$B$1:$BZ$300,MATCH(data!BD$1,Haver_M!$B$1:$BZ$1,0),FALSE),"")</f>
        <v>49.738399999999999</v>
      </c>
      <c r="BE68">
        <f>IF(ISNUMBER(VLOOKUP($A68,Haver_M!$B$1:$BZ$300,MATCH(data!BE$1,Haver_M!$B$1:$BZ$1,0),FALSE)),VLOOKUP($A68,Haver_M!$B$1:$BZ$300,MATCH(data!BE$1,Haver_M!$B$1:$BZ$1,0),FALSE),"")</f>
        <v>1.2847999999999999</v>
      </c>
      <c r="BF68" t="str">
        <f>IF(ISNUMBER(VLOOKUP($A68,Haver_M!$B$1:$BZ$300,MATCH(data!BF$1,Haver_M!$B$1:$BZ$1,0),FALSE)),VLOOKUP($A68,Haver_M!$B$1:$BZ$300,MATCH(data!BF$1,Haver_M!$B$1:$BZ$1,0),FALSE),"")</f>
        <v/>
      </c>
      <c r="BG68" t="str">
        <f>IF(ISNUMBER(VLOOKUP($A68,Haver_M!$B$1:$BZ$300,MATCH(data!BG$1,Haver_M!$B$1:$BZ$1,0),FALSE)),VLOOKUP($A68,Haver_M!$B$1:$BZ$300,MATCH(data!BG$1,Haver_M!$B$1:$BZ$1,0),FALSE),"")</f>
        <v/>
      </c>
      <c r="BH68" t="str">
        <f>IF(ISNUMBER(VLOOKUP($A68,Haver_M!$B$1:$BZ$300,MATCH(data!BH$1,Haver_M!$B$1:$BZ$1,0),FALSE)),VLOOKUP($A68,Haver_M!$B$1:$BZ$300,MATCH(data!BH$1,Haver_M!$B$1:$BZ$1,0),FALSE),"")</f>
        <v/>
      </c>
      <c r="BI68" t="str">
        <f>IF(ISNUMBER(VLOOKUP($A68,Haver_M!$B$1:$BZ$300,MATCH(data!BI$1,Haver_M!$B$1:$BZ$1,0),FALSE)),VLOOKUP($A68,Haver_M!$B$1:$BZ$300,MATCH(data!BI$1,Haver_M!$B$1:$BZ$1,0),FALSE),"")</f>
        <v/>
      </c>
      <c r="BJ68" t="str">
        <f>IF(ISNUMBER(VLOOKUP($A68,Haver_M!$B$1:$BZ$300,MATCH(data!BJ$1,Haver_M!$B$1:$BZ$1,0),FALSE)),VLOOKUP($A68,Haver_M!$B$1:$BZ$300,MATCH(data!BJ$1,Haver_M!$B$1:$BZ$1,0),FALSE),"")</f>
        <v/>
      </c>
      <c r="BK68" t="str">
        <f>IF(ISNUMBER(VLOOKUP($A68,Haver_M!$B$1:$BZ$300,MATCH(data!BK$1,Haver_M!$B$1:$BZ$1,0),FALSE)),VLOOKUP($A68,Haver_M!$B$1:$BZ$300,MATCH(data!BK$1,Haver_M!$B$1:$BZ$1,0),FALSE),"")</f>
        <v/>
      </c>
      <c r="BL68">
        <f>IF(ISNUMBER(VLOOKUP($A68,Haver_M!$B$1:$BZ$300,MATCH(data!BL$1,Haver_M!$B$1:$BZ$1,0),FALSE)),VLOOKUP($A68,Haver_M!$B$1:$BZ$300,MATCH(data!BL$1,Haver_M!$B$1:$BZ$1,0),FALSE),"")</f>
        <v>7336.7</v>
      </c>
      <c r="BM68">
        <f>IF(ISNUMBER(VLOOKUP($A68,Haver_M!$B$1:$BZ$300,MATCH(data!BM$1,Haver_M!$B$1:$BZ$1,0),FALSE)),VLOOKUP($A68,Haver_M!$B$1:$BZ$300,MATCH(data!BM$1,Haver_M!$B$1:$BZ$1,0),FALSE),"")</f>
        <v>92.615760159999994</v>
      </c>
      <c r="BN68" t="str">
        <f>IF(ISNUMBER(VLOOKUP($A68,Haver_M!$B$1:$BZ$300,MATCH(data!BN$1,Haver_M!$B$1:$BZ$1,0),FALSE)),VLOOKUP($A68,Haver_M!$B$1:$BZ$300,MATCH(data!BN$1,Haver_M!$B$1:$BZ$1,0),FALSE),"")</f>
        <v/>
      </c>
      <c r="BO68" t="str">
        <f>IF(ISNUMBER(VLOOKUP($A68,Haver_M!$B$1:$BZ$300,MATCH(data!BO$1,Haver_M!$B$1:$BZ$1,0),FALSE)),VLOOKUP($A68,Haver_M!$B$1:$BZ$300,MATCH(data!BO$1,Haver_M!$B$1:$BZ$1,0),FALSE),"")</f>
        <v/>
      </c>
      <c r="BP68" t="str">
        <f>IF(ISNUMBER(VLOOKUP($A68,Haver_M!$B$1:$BZ$300,MATCH(data!BP$1,Haver_M!$B$1:$BZ$1,0),FALSE)),VLOOKUP($A68,Haver_M!$B$1:$BZ$300,MATCH(data!BP$1,Haver_M!$B$1:$BZ$1,0),FALSE),"")</f>
        <v/>
      </c>
      <c r="BQ68" t="str">
        <f>IF(ISNUMBER(VLOOKUP($A68,Haver_M!$B$1:$BZ$300,MATCH(data!BQ$1,Haver_M!$B$1:$BZ$1,0),FALSE)),VLOOKUP($A68,Haver_M!$B$1:$BZ$300,MATCH(data!BQ$1,Haver_M!$B$1:$BZ$1,0),FALSE),"")</f>
        <v/>
      </c>
      <c r="BR68" t="str">
        <f>IF(ISNUMBER(VLOOKUP($A68,Haver_M!$B$1:$BZ$300,MATCH(data!BR$1,Haver_M!$B$1:$BZ$1,0),FALSE)),VLOOKUP($A68,Haver_M!$B$1:$BZ$300,MATCH(data!BR$1,Haver_M!$B$1:$BZ$1,0),FALSE),"")</f>
        <v/>
      </c>
      <c r="BS68" t="str">
        <f>IF(ISNUMBER(VLOOKUP($A68,Haver_M!$B$1:$BZ$300,MATCH(data!BS$1,Haver_M!$B$1:$BZ$1,0),FALSE)),VLOOKUP($A68,Haver_M!$B$1:$BZ$300,MATCH(data!BS$1,Haver_M!$B$1:$BZ$1,0),FALSE),"")</f>
        <v/>
      </c>
      <c r="BT68" t="str">
        <f>IF(ISNUMBER(VLOOKUP($A68,Haver_M!$B$1:$BZ$300,MATCH(data!BT$1,Haver_M!$B$1:$BZ$1,0),FALSE)),VLOOKUP($A68,Haver_M!$B$1:$BZ$300,MATCH(data!BT$1,Haver_M!$B$1:$BZ$1,0),FALSE),"")</f>
        <v/>
      </c>
      <c r="BU68">
        <f>IF(ISNUMBER(VLOOKUP($A68,Haver_M!$B$1:$BZ$300,MATCH(data!BU$1,Haver_M!$B$1:$BZ$1,0),FALSE)),VLOOKUP($A68,Haver_M!$B$1:$BZ$300,MATCH(data!BU$1,Haver_M!$B$1:$BZ$1,0),FALSE),"")</f>
        <v>7492</v>
      </c>
      <c r="BV68">
        <f>IF(ISNUMBER(VLOOKUP($A68,Haver_M!$B$1:$BZ$300,MATCH(data!BV$1,Haver_M!$B$1:$BZ$1,0),FALSE)),VLOOKUP($A68,Haver_M!$B$1:$BZ$300,MATCH(data!BV$1,Haver_M!$B$1:$BZ$1,0),FALSE),"")</f>
        <v>11509</v>
      </c>
      <c r="BW68">
        <f>IF(ISNUMBER(VLOOKUP($A68,Haver_M!$B$1:$BZ$300,MATCH(data!BW$1,Haver_M!$B$1:$BZ$1,0),FALSE)),VLOOKUP($A68,Haver_M!$B$1:$BZ$300,MATCH(data!BW$1,Haver_M!$B$1:$BZ$1,0),FALSE),"")</f>
        <v>43.536099999999998</v>
      </c>
      <c r="BX68">
        <f>IF(ISNUMBER(VLOOKUP($A68,Haver_M!$B$1:$BZ$300,MATCH(data!BX$1,Haver_M!$B$1:$BZ$1,0),FALSE)),VLOOKUP($A68,Haver_M!$B$1:$BZ$300,MATCH(data!BX$1,Haver_M!$B$1:$BZ$1,0),FALSE),"")</f>
        <v>21384</v>
      </c>
    </row>
    <row r="69" spans="1:76" x14ac:dyDescent="0.25">
      <c r="A69" s="2">
        <v>38595</v>
      </c>
      <c r="B69" t="str">
        <f>IF(ISNUMBER(VLOOKUP($A69,Haver_Q!$B$1:$L$185,MATCH(data!B$1,Haver_Q!$B$1:$L$1,0),FALSE)),100*(VLOOKUP($A69,Haver_Q!$B$1:$L$185,MATCH(data!B$1,Haver_Q!$B$1:$L$1,0),FALSE)),"")</f>
        <v/>
      </c>
      <c r="C69" t="str">
        <f>IF(ISNUMBER(VLOOKUP($A69,Haver_Q!$B$1:$L$185,MATCH(data!C$1,Haver_Q!$B$1:$L$1,0),FALSE)),100*(VLOOKUP($A69,Haver_Q!$B$1:$L$185,MATCH(data!C$1,Haver_Q!$B$1:$L$1,0),FALSE)),"")</f>
        <v/>
      </c>
      <c r="D69" t="str">
        <f>IF(ISNUMBER(VLOOKUP($A69,Haver_Q!$B$1:$L$185,MATCH(data!D$1,Haver_Q!$B$1:$L$1,0),FALSE)),100*(VLOOKUP($A69,Haver_Q!$B$1:$L$185,MATCH(data!D$1,Haver_Q!$B$1:$L$1,0),FALSE)),"")</f>
        <v/>
      </c>
      <c r="E69" t="str">
        <f>IF(ISNUMBER(VLOOKUP($A69,Haver_Q!$B$1:$L$185,MATCH(data!E$1,Haver_Q!$B$1:$L$1,0),FALSE)),100*(VLOOKUP($A69,Haver_Q!$B$1:$L$185,MATCH(data!E$1,Haver_Q!$B$1:$L$1,0),FALSE)),"")</f>
        <v/>
      </c>
      <c r="F69" t="str">
        <f>IF(ISNUMBER(VLOOKUP($A69,Haver_Q!$B$1:$L$185,MATCH(data!F$1,Haver_Q!$B$1:$L$1,0),FALSE)),100*(VLOOKUP($A69,Haver_Q!$B$1:$L$185,MATCH(data!F$1,Haver_Q!$B$1:$L$1,0),FALSE)),"")</f>
        <v/>
      </c>
      <c r="G69" t="str">
        <f>IF(ISNUMBER(VLOOKUP($A69,Haver_Q!$B$1:$L$185,MATCH(data!G$1,Haver_Q!$B$1:$L$1,0),FALSE)),100*(VLOOKUP($A69,Haver_Q!$B$1:$L$185,MATCH(data!G$1,Haver_Q!$B$1:$L$1,0),FALSE)),"")</f>
        <v/>
      </c>
      <c r="H69" t="str">
        <f>IF(ISNUMBER(VLOOKUP($A69,Haver_Q!$B$1:$L$185,MATCH(data!H$1,Haver_Q!$B$1:$L$1,0),FALSE)),(VLOOKUP($A69,Haver_Q!$B$1:$L$185,MATCH(data!H$1,Haver_Q!$B$1:$L$1,0),FALSE)),"")</f>
        <v/>
      </c>
      <c r="I69" t="str">
        <f>IF(ISNUMBER(VLOOKUP($A69,Haver_Q!$B$1:$L$185,MATCH(data!I$1,Haver_Q!$B$1:$L$1,0),FALSE)),100*(VLOOKUP($A69,Haver_Q!$B$1:$L$185,MATCH(data!I$1,Haver_Q!$B$1:$L$1,0),FALSE)),"")</f>
        <v/>
      </c>
      <c r="J69" s="3">
        <f>IF(ISNUMBER(Bloomberg_m!C85),Bloomberg_m!C85,"")</f>
        <v>2207</v>
      </c>
      <c r="K69" s="3" t="str">
        <f>IF(ISNUMBER(Bloomberg_m!D85),Bloomberg_m!D85,"")</f>
        <v/>
      </c>
      <c r="L69" s="3" t="str">
        <f>IF(ISNUMBER(Bloomberg_m!E85),Bloomberg_m!E85,"")</f>
        <v/>
      </c>
      <c r="M69" s="3" t="str">
        <f>IF(ISNUMBER(Bloomberg_m!F85),Bloomberg_m!F85,"")</f>
        <v/>
      </c>
      <c r="N69">
        <f>IF(ISNUMBER(VLOOKUP($A69,Haver_M!$B$1:$BZ$300,MATCH(data!N$1,Haver_M!$B$1:$BZ$1,0),FALSE)),VLOOKUP($A69,Haver_M!$B$1:$BZ$300,MATCH(data!N$1,Haver_M!$B$1:$BZ$1,0),FALSE),"")</f>
        <v>6</v>
      </c>
      <c r="O69">
        <f>IF(ISNUMBER(VLOOKUP($A69,Haver_M!$B$1:$BZ$300,MATCH(data!O$1,Haver_M!$B$1:$BZ$1,0),FALSE)),VLOOKUP($A69,Haver_M!$B$1:$BZ$300,MATCH(data!O$1,Haver_M!$B$1:$BZ$1,0),FALSE),"")</f>
        <v>7.1917999999999997</v>
      </c>
      <c r="P69">
        <f>IF(ISNUMBER(VLOOKUP($A69,Haver_M!$B$1:$BZ$300,MATCH(data!P$1,Haver_M!$B$1:$BZ$1,0),FALSE)),VLOOKUP($A69,Haver_M!$B$1:$BZ$300,MATCH(data!P$1,Haver_M!$B$1:$BZ$1,0),FALSE),"")</f>
        <v>96.901960000000003</v>
      </c>
      <c r="Q69">
        <f>IF(ISNUMBER(VLOOKUP($A69,Haver_M!$B$1:$BZ$300,MATCH(data!Q$1,Haver_M!$B$1:$BZ$1,0),FALSE)),VLOOKUP($A69,Haver_M!$B$1:$BZ$300,MATCH(data!Q$1,Haver_M!$B$1:$BZ$1,0),FALSE),"")</f>
        <v>57.6</v>
      </c>
      <c r="R69" t="str">
        <f>IF(ISNUMBER(VLOOKUP($A69,Haver_M!$B$1:$BZ$300,MATCH(data!R$1,Haver_M!$B$1:$BZ$1,0),FALSE)),VLOOKUP($A69,Haver_M!$B$1:$BZ$300,MATCH(data!R$1,Haver_M!$B$1:$BZ$1,0),FALSE),"")</f>
        <v/>
      </c>
      <c r="S69">
        <f>IF(ISNUMBER(VLOOKUP($A69,Haver_M!$B$1:$BZ$300,MATCH(data!S$1,Haver_M!$B$1:$BZ$1,0),FALSE)),VLOOKUP($A69,Haver_M!$B$1:$BZ$300,MATCH(data!S$1,Haver_M!$B$1:$BZ$1,0),FALSE),"")</f>
        <v>64.83</v>
      </c>
      <c r="T69">
        <f>IF(ISNUMBER(VLOOKUP($A69,Haver_M!$B$1:$BZ$300,MATCH(data!T$1,Haver_M!$B$1:$BZ$1,0),FALSE)),VLOOKUP($A69,Haver_M!$B$1:$BZ$300,MATCH(data!T$1,Haver_M!$B$1:$BZ$1,0),FALSE),"")</f>
        <v>69.42</v>
      </c>
      <c r="U69">
        <f>IF(ISNUMBER(VLOOKUP($A69,Haver_M!$B$1:$BZ$300,MATCH(data!U$1,Haver_M!$B$1:$BZ$1,0),FALSE)),VLOOKUP($A69,Haver_M!$B$1:$BZ$300,MATCH(data!U$1,Haver_M!$B$1:$BZ$1,0),FALSE),"")</f>
        <v>49.99</v>
      </c>
      <c r="V69">
        <f>IF(ISNUMBER(VLOOKUP($A69,Haver_M!$B$1:$BZ$300,MATCH(data!V$1,Haver_M!$B$1:$BZ$1,0),FALSE)),VLOOKUP($A69,Haver_M!$B$1:$BZ$300,MATCH(data!V$1,Haver_M!$B$1:$BZ$1,0),FALSE),"")</f>
        <v>76.38</v>
      </c>
      <c r="W69" t="str">
        <f>IF(ISNUMBER(VLOOKUP($A69,Haver_M!$B$1:$BZ$300,MATCH(data!W$1,Haver_M!$B$1:$BZ$1,0),FALSE)),VLOOKUP($A69,Haver_M!$B$1:$BZ$300,MATCH(data!W$1,Haver_M!$B$1:$BZ$1,0),FALSE),"")</f>
        <v/>
      </c>
      <c r="X69">
        <f>IF(ISNUMBER(VLOOKUP($A69,Haver_M!$B$1:$BZ$300,MATCH(data!X$1,Haver_M!$B$1:$BZ$1,0),FALSE)),VLOOKUP($A69,Haver_M!$B$1:$BZ$300,MATCH(data!X$1,Haver_M!$B$1:$BZ$1,0),FALSE),"")</f>
        <v>39.450000000000003</v>
      </c>
      <c r="Y69">
        <f>IF(ISNUMBER(VLOOKUP($A69,Haver_M!$B$1:$BZ$300,MATCH(data!Y$1,Haver_M!$B$1:$BZ$1,0),FALSE)),VLOOKUP($A69,Haver_M!$B$1:$BZ$300,MATCH(data!Y$1,Haver_M!$B$1:$BZ$1,0),FALSE),"")</f>
        <v>73.95</v>
      </c>
      <c r="Z69">
        <f>IF(ISNUMBER(VLOOKUP($A69,Haver_M!$B$1:$BZ$300,MATCH(data!Z$1,Haver_M!$B$1:$BZ$1,0),FALSE)),VLOOKUP($A69,Haver_M!$B$1:$BZ$300,MATCH(data!Z$1,Haver_M!$B$1:$BZ$1,0),FALSE),"")</f>
        <v>71.2</v>
      </c>
      <c r="AA69">
        <f>IF(ISNUMBER(VLOOKUP($A69,Haver_M!$B$1:$BZ$300,MATCH(data!AA$1,Haver_M!$B$1:$BZ$1,0),FALSE)),VLOOKUP($A69,Haver_M!$B$1:$BZ$300,MATCH(data!AA$1,Haver_M!$B$1:$BZ$1,0),FALSE),"")</f>
        <v>77.543999999999997</v>
      </c>
      <c r="AB69">
        <f>IF(ISNUMBER(VLOOKUP($A69,Haver_M!$B$1:$BZ$300,MATCH(data!AB$1,Haver_M!$B$1:$BZ$1,0),FALSE)),VLOOKUP($A69,Haver_M!$B$1:$BZ$300,MATCH(data!AB$1,Haver_M!$B$1:$BZ$1,0),FALSE),"")</f>
        <v>75.882999999999996</v>
      </c>
      <c r="AC69">
        <f>IF(ISNUMBER(VLOOKUP($A69,Haver_M!$B$1:$BZ$300,MATCH(data!AC$1,Haver_M!$B$1:$BZ$1,0),FALSE)),VLOOKUP($A69,Haver_M!$B$1:$BZ$300,MATCH(data!AC$1,Haver_M!$B$1:$BZ$1,0),FALSE),"")</f>
        <v>66.879000000000005</v>
      </c>
      <c r="AD69">
        <f>IF(ISNUMBER(VLOOKUP($A69,Haver_M!$B$1:$BZ$300,MATCH(data!AD$1,Haver_M!$B$1:$BZ$1,0),FALSE)),VLOOKUP($A69,Haver_M!$B$1:$BZ$300,MATCH(data!AD$1,Haver_M!$B$1:$BZ$1,0),FALSE),"")</f>
        <v>76.613</v>
      </c>
      <c r="AE69">
        <f>IF(ISNUMBER(VLOOKUP($A69,Haver_M!$B$1:$BZ$300,MATCH(data!AE$1,Haver_M!$B$1:$BZ$1,0),FALSE)),VLOOKUP($A69,Haver_M!$B$1:$BZ$300,MATCH(data!AE$1,Haver_M!$B$1:$BZ$1,0),FALSE),"")</f>
        <v>98.081000000000003</v>
      </c>
      <c r="AF69">
        <f>IF(ISNUMBER(VLOOKUP($A69,Haver_M!$B$1:$BZ$300,MATCH(data!AF$1,Haver_M!$B$1:$BZ$1,0),FALSE)),VLOOKUP($A69,Haver_M!$B$1:$BZ$300,MATCH(data!AF$1,Haver_M!$B$1:$BZ$1,0),FALSE),"")</f>
        <v>60.826000000000001</v>
      </c>
      <c r="AG69">
        <f>IF(ISNUMBER(VLOOKUP($A69,Haver_M!$B$1:$BZ$300,MATCH(data!AG$1,Haver_M!$B$1:$BZ$1,0),FALSE)),VLOOKUP($A69,Haver_M!$B$1:$BZ$300,MATCH(data!AG$1,Haver_M!$B$1:$BZ$1,0),FALSE),"")</f>
        <v>64.141000000000005</v>
      </c>
      <c r="AH69">
        <f>IF(ISNUMBER(VLOOKUP($A69,Haver_M!$B$1:$BZ$300,MATCH(data!AH$1,Haver_M!$B$1:$BZ$1,0),FALSE)),VLOOKUP($A69,Haver_M!$B$1:$BZ$300,MATCH(data!AH$1,Haver_M!$B$1:$BZ$1,0),FALSE),"")</f>
        <v>71.307000000000002</v>
      </c>
      <c r="AI69">
        <f>IF(ISNUMBER(VLOOKUP($A69,Haver_M!$B$1:$BZ$300,MATCH(data!AI$1,Haver_M!$B$1:$BZ$1,0),FALSE)),VLOOKUP($A69,Haver_M!$B$1:$BZ$300,MATCH(data!AI$1,Haver_M!$B$1:$BZ$1,0),FALSE),"")</f>
        <v>10173.078102546457</v>
      </c>
      <c r="AJ69">
        <f>IF(ISNUMBER(VLOOKUP($A69,Haver_M!$B$1:$BZ$300,MATCH(data!AJ$1,Haver_M!$B$1:$BZ$1,0),FALSE)),VLOOKUP($A69,Haver_M!$B$1:$BZ$300,MATCH(data!AJ$1,Haver_M!$B$1:$BZ$1,0),FALSE),"")</f>
        <v>8665.84</v>
      </c>
      <c r="AK69">
        <f>IF(ISNUMBER(VLOOKUP($A69,Haver_M!$B$1:$BZ$300,MATCH(data!AK$1,Haver_M!$B$1:$BZ$1,0),FALSE)),VLOOKUP($A69,Haver_M!$B$1:$BZ$300,MATCH(data!AK$1,Haver_M!$B$1:$BZ$1,0),FALSE),"")</f>
        <v>12724.76</v>
      </c>
      <c r="AL69" t="str">
        <f>IF(ISNUMBER(VLOOKUP($A69,Haver_M!$B$1:$BZ$300,MATCH(data!AL$1,Haver_M!$B$1:$BZ$1,0),FALSE)),VLOOKUP($A69,Haver_M!$B$1:$BZ$300,MATCH(data!AL$1,Haver_M!$B$1:$BZ$1,0),FALSE),"")</f>
        <v/>
      </c>
      <c r="AM69" t="str">
        <f>IF(ISNUMBER(VLOOKUP($A69,Haver_M!$B$1:$BZ$300,MATCH(data!AM$1,Haver_M!$B$1:$BZ$1,0),FALSE)),VLOOKUP($A69,Haver_M!$B$1:$BZ$300,MATCH(data!AM$1,Haver_M!$B$1:$BZ$1,0),FALSE),"")</f>
        <v/>
      </c>
      <c r="AN69" t="str">
        <f>IF(ISNUMBER(VLOOKUP($A69,Haver_M!$B$1:$BZ$300,MATCH(data!AN$1,Haver_M!$B$1:$BZ$1,0),FALSE)),VLOOKUP($A69,Haver_M!$B$1:$BZ$300,MATCH(data!AN$1,Haver_M!$B$1:$BZ$1,0),FALSE),"")</f>
        <v/>
      </c>
      <c r="AO69" t="str">
        <f>IF(ISNUMBER(VLOOKUP($A69,Haver_M!$B$1:$BZ$300,MATCH(data!AO$1,Haver_M!$B$1:$BZ$1,0),FALSE)),VLOOKUP($A69,Haver_M!$B$1:$BZ$300,MATCH(data!AO$1,Haver_M!$B$1:$BZ$1,0),FALSE),"")</f>
        <v/>
      </c>
      <c r="AP69">
        <f>IF(ISNUMBER(VLOOKUP($A69,Haver_M!$B$1:$BZ$300,MATCH(data!AP$1,Haver_M!$B$1:$BZ$1,0),FALSE)),VLOOKUP($A69,Haver_M!$B$1:$BZ$300,MATCH(data!AP$1,Haver_M!$B$1:$BZ$1,0),FALSE),"")</f>
        <v>30.630473817701134</v>
      </c>
      <c r="AQ69" t="str">
        <f>IF(ISNUMBER(VLOOKUP($A69,Haver_M!$B$1:$BZ$300,MATCH(data!AQ$1,Haver_M!$B$1:$BZ$1,0),FALSE)),VLOOKUP($A69,Haver_M!$B$1:$BZ$300,MATCH(data!AQ$1,Haver_M!$B$1:$BZ$1,0),FALSE),"")</f>
        <v/>
      </c>
      <c r="AR69">
        <f>IF(ISNUMBER(VLOOKUP($A69,Haver_M!$B$1:$BZ$300,MATCH(data!AR$1,Haver_M!$B$1:$BZ$1,0),FALSE)),VLOOKUP($A69,Haver_M!$B$1:$BZ$300,MATCH(data!AR$1,Haver_M!$B$1:$BZ$1,0),FALSE),"")</f>
        <v>57.376899999999999</v>
      </c>
      <c r="AS69" t="str">
        <f>IF(ISNUMBER(VLOOKUP($A69,Haver_M!$B$1:$BZ$300,MATCH(data!AS$1,Haver_M!$B$1:$BZ$1,0),FALSE)),VLOOKUP($A69,Haver_M!$B$1:$BZ$300,MATCH(data!AS$1,Haver_M!$B$1:$BZ$1,0),FALSE),"")</f>
        <v/>
      </c>
      <c r="AT69">
        <f>IF(ISNUMBER(VLOOKUP($A69,Haver_M!$B$1:$BZ$300,MATCH(data!AT$1,Haver_M!$B$1:$BZ$1,0),FALSE)),VLOOKUP($A69,Haver_M!$B$1:$BZ$300,MATCH(data!AT$1,Haver_M!$B$1:$BZ$1,0),FALSE),"")</f>
        <v>60.1432</v>
      </c>
      <c r="AU69">
        <f>IF(ISNUMBER(VLOOKUP($A69,Haver_M!$B$1:$BZ$300,MATCH(data!AU$1,Haver_M!$B$1:$BZ$1,0),FALSE)),VLOOKUP($A69,Haver_M!$B$1:$BZ$300,MATCH(data!AU$1,Haver_M!$B$1:$BZ$1,0),FALSE),"")</f>
        <v>63.866999999999997</v>
      </c>
      <c r="AV69">
        <f>IF(ISNUMBER(VLOOKUP($A69,Haver_M!$B$1:$BZ$300,MATCH(data!AV$1,Haver_M!$B$1:$BZ$1,0),FALSE)),VLOOKUP($A69,Haver_M!$B$1:$BZ$300,MATCH(data!AV$1,Haver_M!$B$1:$BZ$1,0),FALSE),"")</f>
        <v>53.137999999999998</v>
      </c>
      <c r="AW69">
        <f>IF(ISNUMBER(VLOOKUP($A69,Haver_M!$B$1:$BZ$300,MATCH(data!AW$1,Haver_M!$B$1:$BZ$1,0),FALSE)),VLOOKUP($A69,Haver_M!$B$1:$BZ$300,MATCH(data!AW$1,Haver_M!$B$1:$BZ$1,0),FALSE),"")</f>
        <v>51.736899999999999</v>
      </c>
      <c r="AX69">
        <f>IF(ISNUMBER(VLOOKUP($A69,Haver_M!$B$1:$BZ$300,MATCH(data!AX$1,Haver_M!$B$1:$BZ$1,0),FALSE)),VLOOKUP($A69,Haver_M!$B$1:$BZ$300,MATCH(data!AX$1,Haver_M!$B$1:$BZ$1,0),FALSE),"")</f>
        <v>53.139200000000002</v>
      </c>
      <c r="AY69">
        <f>IF(ISNUMBER(VLOOKUP($A69,Haver_M!$B$1:$BZ$300,MATCH(data!AY$1,Haver_M!$B$1:$BZ$1,0),FALSE)),VLOOKUP($A69,Haver_M!$B$1:$BZ$300,MATCH(data!AY$1,Haver_M!$B$1:$BZ$1,0),FALSE),"")</f>
        <v>54.8491</v>
      </c>
      <c r="AZ69">
        <f>IF(ISNUMBER(VLOOKUP($A69,Haver_M!$B$1:$BZ$300,MATCH(data!AZ$1,Haver_M!$B$1:$BZ$1,0),FALSE)),VLOOKUP($A69,Haver_M!$B$1:$BZ$300,MATCH(data!AZ$1,Haver_M!$B$1:$BZ$1,0),FALSE),"")</f>
        <v>60.819200000000002</v>
      </c>
      <c r="BA69">
        <f>IF(ISNUMBER(VLOOKUP($A69,Haver_M!$B$1:$BZ$300,MATCH(data!BA$1,Haver_M!$B$1:$BZ$1,0),FALSE)),VLOOKUP($A69,Haver_M!$B$1:$BZ$300,MATCH(data!BA$1,Haver_M!$B$1:$BZ$1,0),FALSE),"")</f>
        <v>53.139200000000002</v>
      </c>
      <c r="BB69">
        <f>IF(ISNUMBER(VLOOKUP($A69,Haver_M!$B$1:$BZ$300,MATCH(data!BB$1,Haver_M!$B$1:$BZ$1,0),FALSE)),VLOOKUP($A69,Haver_M!$B$1:$BZ$300,MATCH(data!BB$1,Haver_M!$B$1:$BZ$1,0),FALSE),"")</f>
        <v>56.315800000000003</v>
      </c>
      <c r="BC69">
        <f>IF(ISNUMBER(VLOOKUP($A69,Haver_M!$B$1:$BZ$300,MATCH(data!BC$1,Haver_M!$B$1:$BZ$1,0),FALSE)),VLOOKUP($A69,Haver_M!$B$1:$BZ$300,MATCH(data!BC$1,Haver_M!$B$1:$BZ$1,0),FALSE),"")</f>
        <v>50.520800000000001</v>
      </c>
      <c r="BD69">
        <f>IF(ISNUMBER(VLOOKUP($A69,Haver_M!$B$1:$BZ$300,MATCH(data!BD$1,Haver_M!$B$1:$BZ$1,0),FALSE)),VLOOKUP($A69,Haver_M!$B$1:$BZ$300,MATCH(data!BD$1,Haver_M!$B$1:$BZ$1,0),FALSE),"")</f>
        <v>50.177100000000003</v>
      </c>
      <c r="BE69">
        <f>IF(ISNUMBER(VLOOKUP($A69,Haver_M!$B$1:$BZ$300,MATCH(data!BE$1,Haver_M!$B$1:$BZ$1,0),FALSE)),VLOOKUP($A69,Haver_M!$B$1:$BZ$300,MATCH(data!BE$1,Haver_M!$B$1:$BZ$1,0),FALSE),"")</f>
        <v>1.2704</v>
      </c>
      <c r="BF69" t="str">
        <f>IF(ISNUMBER(VLOOKUP($A69,Haver_M!$B$1:$BZ$300,MATCH(data!BF$1,Haver_M!$B$1:$BZ$1,0),FALSE)),VLOOKUP($A69,Haver_M!$B$1:$BZ$300,MATCH(data!BF$1,Haver_M!$B$1:$BZ$1,0),FALSE),"")</f>
        <v/>
      </c>
      <c r="BG69" t="str">
        <f>IF(ISNUMBER(VLOOKUP($A69,Haver_M!$B$1:$BZ$300,MATCH(data!BG$1,Haver_M!$B$1:$BZ$1,0),FALSE)),VLOOKUP($A69,Haver_M!$B$1:$BZ$300,MATCH(data!BG$1,Haver_M!$B$1:$BZ$1,0),FALSE),"")</f>
        <v/>
      </c>
      <c r="BH69" t="str">
        <f>IF(ISNUMBER(VLOOKUP($A69,Haver_M!$B$1:$BZ$300,MATCH(data!BH$1,Haver_M!$B$1:$BZ$1,0),FALSE)),VLOOKUP($A69,Haver_M!$B$1:$BZ$300,MATCH(data!BH$1,Haver_M!$B$1:$BZ$1,0),FALSE),"")</f>
        <v/>
      </c>
      <c r="BI69" t="str">
        <f>IF(ISNUMBER(VLOOKUP($A69,Haver_M!$B$1:$BZ$300,MATCH(data!BI$1,Haver_M!$B$1:$BZ$1,0),FALSE)),VLOOKUP($A69,Haver_M!$B$1:$BZ$300,MATCH(data!BI$1,Haver_M!$B$1:$BZ$1,0),FALSE),"")</f>
        <v/>
      </c>
      <c r="BJ69" t="str">
        <f>IF(ISNUMBER(VLOOKUP($A69,Haver_M!$B$1:$BZ$300,MATCH(data!BJ$1,Haver_M!$B$1:$BZ$1,0),FALSE)),VLOOKUP($A69,Haver_M!$B$1:$BZ$300,MATCH(data!BJ$1,Haver_M!$B$1:$BZ$1,0),FALSE),"")</f>
        <v/>
      </c>
      <c r="BK69" t="str">
        <f>IF(ISNUMBER(VLOOKUP($A69,Haver_M!$B$1:$BZ$300,MATCH(data!BK$1,Haver_M!$B$1:$BZ$1,0),FALSE)),VLOOKUP($A69,Haver_M!$B$1:$BZ$300,MATCH(data!BK$1,Haver_M!$B$1:$BZ$1,0),FALSE),"")</f>
        <v/>
      </c>
      <c r="BL69">
        <f>IF(ISNUMBER(VLOOKUP($A69,Haver_M!$B$1:$BZ$300,MATCH(data!BL$1,Haver_M!$B$1:$BZ$1,0),FALSE)),VLOOKUP($A69,Haver_M!$B$1:$BZ$300,MATCH(data!BL$1,Haver_M!$B$1:$BZ$1,0),FALSE),"")</f>
        <v>7726.03</v>
      </c>
      <c r="BM69">
        <f>IF(ISNUMBER(VLOOKUP($A69,Haver_M!$B$1:$BZ$300,MATCH(data!BM$1,Haver_M!$B$1:$BZ$1,0),FALSE)),VLOOKUP($A69,Haver_M!$B$1:$BZ$300,MATCH(data!BM$1,Haver_M!$B$1:$BZ$1,0),FALSE),"")</f>
        <v>93.466589040000002</v>
      </c>
      <c r="BN69" t="str">
        <f>IF(ISNUMBER(VLOOKUP($A69,Haver_M!$B$1:$BZ$300,MATCH(data!BN$1,Haver_M!$B$1:$BZ$1,0),FALSE)),VLOOKUP($A69,Haver_M!$B$1:$BZ$300,MATCH(data!BN$1,Haver_M!$B$1:$BZ$1,0),FALSE),"")</f>
        <v/>
      </c>
      <c r="BO69" t="str">
        <f>IF(ISNUMBER(VLOOKUP($A69,Haver_M!$B$1:$BZ$300,MATCH(data!BO$1,Haver_M!$B$1:$BZ$1,0),FALSE)),VLOOKUP($A69,Haver_M!$B$1:$BZ$300,MATCH(data!BO$1,Haver_M!$B$1:$BZ$1,0),FALSE),"")</f>
        <v/>
      </c>
      <c r="BP69" t="str">
        <f>IF(ISNUMBER(VLOOKUP($A69,Haver_M!$B$1:$BZ$300,MATCH(data!BP$1,Haver_M!$B$1:$BZ$1,0),FALSE)),VLOOKUP($A69,Haver_M!$B$1:$BZ$300,MATCH(data!BP$1,Haver_M!$B$1:$BZ$1,0),FALSE),"")</f>
        <v/>
      </c>
      <c r="BQ69" t="str">
        <f>IF(ISNUMBER(VLOOKUP($A69,Haver_M!$B$1:$BZ$300,MATCH(data!BQ$1,Haver_M!$B$1:$BZ$1,0),FALSE)),VLOOKUP($A69,Haver_M!$B$1:$BZ$300,MATCH(data!BQ$1,Haver_M!$B$1:$BZ$1,0),FALSE),"")</f>
        <v/>
      </c>
      <c r="BR69" t="str">
        <f>IF(ISNUMBER(VLOOKUP($A69,Haver_M!$B$1:$BZ$300,MATCH(data!BR$1,Haver_M!$B$1:$BZ$1,0),FALSE)),VLOOKUP($A69,Haver_M!$B$1:$BZ$300,MATCH(data!BR$1,Haver_M!$B$1:$BZ$1,0),FALSE),"")</f>
        <v/>
      </c>
      <c r="BS69" t="str">
        <f>IF(ISNUMBER(VLOOKUP($A69,Haver_M!$B$1:$BZ$300,MATCH(data!BS$1,Haver_M!$B$1:$BZ$1,0),FALSE)),VLOOKUP($A69,Haver_M!$B$1:$BZ$300,MATCH(data!BS$1,Haver_M!$B$1:$BZ$1,0),FALSE),"")</f>
        <v/>
      </c>
      <c r="BT69" t="str">
        <f>IF(ISNUMBER(VLOOKUP($A69,Haver_M!$B$1:$BZ$300,MATCH(data!BT$1,Haver_M!$B$1:$BZ$1,0),FALSE)),VLOOKUP($A69,Haver_M!$B$1:$BZ$300,MATCH(data!BT$1,Haver_M!$B$1:$BZ$1,0),FALSE),"")</f>
        <v/>
      </c>
      <c r="BU69">
        <f>IF(ISNUMBER(VLOOKUP($A69,Haver_M!$B$1:$BZ$300,MATCH(data!BU$1,Haver_M!$B$1:$BZ$1,0),FALSE)),VLOOKUP($A69,Haver_M!$B$1:$BZ$300,MATCH(data!BU$1,Haver_M!$B$1:$BZ$1,0),FALSE),"")</f>
        <v>8571</v>
      </c>
      <c r="BV69">
        <f>IF(ISNUMBER(VLOOKUP($A69,Haver_M!$B$1:$BZ$300,MATCH(data!BV$1,Haver_M!$B$1:$BZ$1,0),FALSE)),VLOOKUP($A69,Haver_M!$B$1:$BZ$300,MATCH(data!BV$1,Haver_M!$B$1:$BZ$1,0),FALSE),"")</f>
        <v>12760</v>
      </c>
      <c r="BW69">
        <f>IF(ISNUMBER(VLOOKUP($A69,Haver_M!$B$1:$BZ$300,MATCH(data!BW$1,Haver_M!$B$1:$BZ$1,0),FALSE)),VLOOKUP($A69,Haver_M!$B$1:$BZ$300,MATCH(data!BW$1,Haver_M!$B$1:$BZ$1,0),FALSE),"")</f>
        <v>43.624499999999998</v>
      </c>
      <c r="BX69">
        <f>IF(ISNUMBER(VLOOKUP($A69,Haver_M!$B$1:$BZ$300,MATCH(data!BX$1,Haver_M!$B$1:$BZ$1,0),FALSE)),VLOOKUP($A69,Haver_M!$B$1:$BZ$300,MATCH(data!BX$1,Haver_M!$B$1:$BZ$1,0),FALSE),"")</f>
        <v>18405</v>
      </c>
    </row>
    <row r="70" spans="1:76" x14ac:dyDescent="0.25">
      <c r="A70" s="2">
        <v>38625</v>
      </c>
      <c r="B70">
        <f>IF(ISNUMBER(VLOOKUP($A70,Haver_Q!$B$1:$L$185,MATCH(data!B$1,Haver_Q!$B$1:$L$1,0),FALSE)),100*(VLOOKUP($A70,Haver_Q!$B$1:$L$185,MATCH(data!B$1,Haver_Q!$B$1:$L$1,0),FALSE)),"")</f>
        <v>5.0976569049209663</v>
      </c>
      <c r="C70">
        <f>IF(ISNUMBER(VLOOKUP($A70,Haver_Q!$B$1:$L$185,MATCH(data!C$1,Haver_Q!$B$1:$L$1,0),FALSE)),100*(VLOOKUP($A70,Haver_Q!$B$1:$L$185,MATCH(data!C$1,Haver_Q!$B$1:$L$1,0),FALSE)),"")</f>
        <v>4.760467573367877</v>
      </c>
      <c r="D70">
        <f>IF(ISNUMBER(VLOOKUP($A70,Haver_Q!$B$1:$L$185,MATCH(data!D$1,Haver_Q!$B$1:$L$1,0),FALSE)),100*(VLOOKUP($A70,Haver_Q!$B$1:$L$185,MATCH(data!D$1,Haver_Q!$B$1:$L$1,0),FALSE)),"")</f>
        <v>84.643969360931877</v>
      </c>
      <c r="E70">
        <f>IF(ISNUMBER(VLOOKUP($A70,Haver_Q!$B$1:$L$185,MATCH(data!E$1,Haver_Q!$B$1:$L$1,0),FALSE)),100*(VLOOKUP($A70,Haver_Q!$B$1:$L$185,MATCH(data!E$1,Haver_Q!$B$1:$L$1,0),FALSE)),"")</f>
        <v>16.893806559553816</v>
      </c>
      <c r="F70">
        <f>IF(ISNUMBER(VLOOKUP($A70,Haver_Q!$B$1:$L$185,MATCH(data!F$1,Haver_Q!$B$1:$L$1,0),FALSE)),100*(VLOOKUP($A70,Haver_Q!$B$1:$L$185,MATCH(data!F$1,Haver_Q!$B$1:$L$1,0),FALSE)),"")</f>
        <v>29.196851604978246</v>
      </c>
      <c r="G70">
        <f>IF(ISNUMBER(VLOOKUP($A70,Haver_Q!$B$1:$L$185,MATCH(data!G$1,Haver_Q!$B$1:$L$1,0),FALSE)),100*(VLOOKUP($A70,Haver_Q!$B$1:$L$185,MATCH(data!G$1,Haver_Q!$B$1:$L$1,0),FALSE)),"")</f>
        <v>-4.7279378946803678</v>
      </c>
      <c r="H70">
        <f>IF(ISNUMBER(VLOOKUP($A70,Haver_Q!$B$1:$L$185,MATCH(data!H$1,Haver_Q!$B$1:$L$1,0),FALSE)),(VLOOKUP($A70,Haver_Q!$B$1:$L$185,MATCH(data!H$1,Haver_Q!$B$1:$L$1,0),FALSE)),"")</f>
        <v>4.9417302780752026</v>
      </c>
      <c r="I70">
        <f>IF(ISNUMBER(VLOOKUP($A70,Haver_Q!$B$1:$L$185,MATCH(data!I$1,Haver_Q!$B$1:$L$1,0),FALSE)),100*(VLOOKUP($A70,Haver_Q!$B$1:$L$185,MATCH(data!I$1,Haver_Q!$B$1:$L$1,0),FALSE)),"")</f>
        <v>8.4437327618639877</v>
      </c>
      <c r="J70" s="3">
        <f>IF(ISNUMBER(Bloomberg_m!C86),Bloomberg_m!C86,"")</f>
        <v>2804</v>
      </c>
      <c r="K70" s="3" t="str">
        <f>IF(ISNUMBER(Bloomberg_m!D86),Bloomberg_m!D86,"")</f>
        <v/>
      </c>
      <c r="L70" s="3" t="str">
        <f>IF(ISNUMBER(Bloomberg_m!E86),Bloomberg_m!E86,"")</f>
        <v/>
      </c>
      <c r="M70" s="3" t="str">
        <f>IF(ISNUMBER(Bloomberg_m!F86),Bloomberg_m!F86,"")</f>
        <v/>
      </c>
      <c r="N70">
        <f>IF(ISNUMBER(VLOOKUP($A70,Haver_M!$B$1:$BZ$300,MATCH(data!N$1,Haver_M!$B$1:$BZ$1,0),FALSE)),VLOOKUP($A70,Haver_M!$B$1:$BZ$300,MATCH(data!N$1,Haver_M!$B$1:$BZ$1,0),FALSE),"")</f>
        <v>6</v>
      </c>
      <c r="O70">
        <f>IF(ISNUMBER(VLOOKUP($A70,Haver_M!$B$1:$BZ$300,MATCH(data!O$1,Haver_M!$B$1:$BZ$1,0),FALSE)),VLOOKUP($A70,Haver_M!$B$1:$BZ$300,MATCH(data!O$1,Haver_M!$B$1:$BZ$1,0),FALSE),"")</f>
        <v>7.2081</v>
      </c>
      <c r="P70">
        <f>IF(ISNUMBER(VLOOKUP($A70,Haver_M!$B$1:$BZ$300,MATCH(data!P$1,Haver_M!$B$1:$BZ$1,0),FALSE)),VLOOKUP($A70,Haver_M!$B$1:$BZ$300,MATCH(data!P$1,Haver_M!$B$1:$BZ$1,0),FALSE),"")</f>
        <v>96.024330000000006</v>
      </c>
      <c r="Q70">
        <f>IF(ISNUMBER(VLOOKUP($A70,Haver_M!$B$1:$BZ$300,MATCH(data!Q$1,Haver_M!$B$1:$BZ$1,0),FALSE)),VLOOKUP($A70,Haver_M!$B$1:$BZ$300,MATCH(data!Q$1,Haver_M!$B$1:$BZ$1,0),FALSE),"")</f>
        <v>57.6</v>
      </c>
      <c r="R70" t="str">
        <f>IF(ISNUMBER(VLOOKUP($A70,Haver_M!$B$1:$BZ$300,MATCH(data!R$1,Haver_M!$B$1:$BZ$1,0),FALSE)),VLOOKUP($A70,Haver_M!$B$1:$BZ$300,MATCH(data!R$1,Haver_M!$B$1:$BZ$1,0),FALSE),"")</f>
        <v/>
      </c>
      <c r="S70">
        <f>IF(ISNUMBER(VLOOKUP($A70,Haver_M!$B$1:$BZ$300,MATCH(data!S$1,Haver_M!$B$1:$BZ$1,0),FALSE)),VLOOKUP($A70,Haver_M!$B$1:$BZ$300,MATCH(data!S$1,Haver_M!$B$1:$BZ$1,0),FALSE),"")</f>
        <v>64.37</v>
      </c>
      <c r="T70">
        <f>IF(ISNUMBER(VLOOKUP($A70,Haver_M!$B$1:$BZ$300,MATCH(data!T$1,Haver_M!$B$1:$BZ$1,0),FALSE)),VLOOKUP($A70,Haver_M!$B$1:$BZ$300,MATCH(data!T$1,Haver_M!$B$1:$BZ$1,0),FALSE),"")</f>
        <v>69.400000000000006</v>
      </c>
      <c r="U70">
        <f>IF(ISNUMBER(VLOOKUP($A70,Haver_M!$B$1:$BZ$300,MATCH(data!U$1,Haver_M!$B$1:$BZ$1,0),FALSE)),VLOOKUP($A70,Haver_M!$B$1:$BZ$300,MATCH(data!U$1,Haver_M!$B$1:$BZ$1,0),FALSE),"")</f>
        <v>50.89</v>
      </c>
      <c r="V70">
        <f>IF(ISNUMBER(VLOOKUP($A70,Haver_M!$B$1:$BZ$300,MATCH(data!V$1,Haver_M!$B$1:$BZ$1,0),FALSE)),VLOOKUP($A70,Haver_M!$B$1:$BZ$300,MATCH(data!V$1,Haver_M!$B$1:$BZ$1,0),FALSE),"")</f>
        <v>77.010000000000005</v>
      </c>
      <c r="W70" t="str">
        <f>IF(ISNUMBER(VLOOKUP($A70,Haver_M!$B$1:$BZ$300,MATCH(data!W$1,Haver_M!$B$1:$BZ$1,0),FALSE)),VLOOKUP($A70,Haver_M!$B$1:$BZ$300,MATCH(data!W$1,Haver_M!$B$1:$BZ$1,0),FALSE),"")</f>
        <v/>
      </c>
      <c r="X70">
        <f>IF(ISNUMBER(VLOOKUP($A70,Haver_M!$B$1:$BZ$300,MATCH(data!X$1,Haver_M!$B$1:$BZ$1,0),FALSE)),VLOOKUP($A70,Haver_M!$B$1:$BZ$300,MATCH(data!X$1,Haver_M!$B$1:$BZ$1,0),FALSE),"")</f>
        <v>38.75</v>
      </c>
      <c r="Y70">
        <f>IF(ISNUMBER(VLOOKUP($A70,Haver_M!$B$1:$BZ$300,MATCH(data!Y$1,Haver_M!$B$1:$BZ$1,0),FALSE)),VLOOKUP($A70,Haver_M!$B$1:$BZ$300,MATCH(data!Y$1,Haver_M!$B$1:$BZ$1,0),FALSE),"")</f>
        <v>73.41</v>
      </c>
      <c r="Z70">
        <f>IF(ISNUMBER(VLOOKUP($A70,Haver_M!$B$1:$BZ$300,MATCH(data!Z$1,Haver_M!$B$1:$BZ$1,0),FALSE)),VLOOKUP($A70,Haver_M!$B$1:$BZ$300,MATCH(data!Z$1,Haver_M!$B$1:$BZ$1,0),FALSE),"")</f>
        <v>71</v>
      </c>
      <c r="AA70">
        <f>IF(ISNUMBER(VLOOKUP($A70,Haver_M!$B$1:$BZ$300,MATCH(data!AA$1,Haver_M!$B$1:$BZ$1,0),FALSE)),VLOOKUP($A70,Haver_M!$B$1:$BZ$300,MATCH(data!AA$1,Haver_M!$B$1:$BZ$1,0),FALSE),"")</f>
        <v>78.790999999999997</v>
      </c>
      <c r="AB70">
        <f>IF(ISNUMBER(VLOOKUP($A70,Haver_M!$B$1:$BZ$300,MATCH(data!AB$1,Haver_M!$B$1:$BZ$1,0),FALSE)),VLOOKUP($A70,Haver_M!$B$1:$BZ$300,MATCH(data!AB$1,Haver_M!$B$1:$BZ$1,0),FALSE),"")</f>
        <v>83.173000000000002</v>
      </c>
      <c r="AC70">
        <f>IF(ISNUMBER(VLOOKUP($A70,Haver_M!$B$1:$BZ$300,MATCH(data!AC$1,Haver_M!$B$1:$BZ$1,0),FALSE)),VLOOKUP($A70,Haver_M!$B$1:$BZ$300,MATCH(data!AC$1,Haver_M!$B$1:$BZ$1,0),FALSE),"")</f>
        <v>68.031000000000006</v>
      </c>
      <c r="AD70">
        <f>IF(ISNUMBER(VLOOKUP($A70,Haver_M!$B$1:$BZ$300,MATCH(data!AD$1,Haver_M!$B$1:$BZ$1,0),FALSE)),VLOOKUP($A70,Haver_M!$B$1:$BZ$300,MATCH(data!AD$1,Haver_M!$B$1:$BZ$1,0),FALSE),"")</f>
        <v>77.015000000000001</v>
      </c>
      <c r="AE70">
        <f>IF(ISNUMBER(VLOOKUP($A70,Haver_M!$B$1:$BZ$300,MATCH(data!AE$1,Haver_M!$B$1:$BZ$1,0),FALSE)),VLOOKUP($A70,Haver_M!$B$1:$BZ$300,MATCH(data!AE$1,Haver_M!$B$1:$BZ$1,0),FALSE),"")</f>
        <v>94.36</v>
      </c>
      <c r="AF70">
        <f>IF(ISNUMBER(VLOOKUP($A70,Haver_M!$B$1:$BZ$300,MATCH(data!AF$1,Haver_M!$B$1:$BZ$1,0),FALSE)),VLOOKUP($A70,Haver_M!$B$1:$BZ$300,MATCH(data!AF$1,Haver_M!$B$1:$BZ$1,0),FALSE),"")</f>
        <v>60.777000000000001</v>
      </c>
      <c r="AG70">
        <f>IF(ISNUMBER(VLOOKUP($A70,Haver_M!$B$1:$BZ$300,MATCH(data!AG$1,Haver_M!$B$1:$BZ$1,0),FALSE)),VLOOKUP($A70,Haver_M!$B$1:$BZ$300,MATCH(data!AG$1,Haver_M!$B$1:$BZ$1,0),FALSE),"")</f>
        <v>61.427</v>
      </c>
      <c r="AH70">
        <f>IF(ISNUMBER(VLOOKUP($A70,Haver_M!$B$1:$BZ$300,MATCH(data!AH$1,Haver_M!$B$1:$BZ$1,0),FALSE)),VLOOKUP($A70,Haver_M!$B$1:$BZ$300,MATCH(data!AH$1,Haver_M!$B$1:$BZ$1,0),FALSE),"")</f>
        <v>67.89</v>
      </c>
      <c r="AI70">
        <f>IF(ISNUMBER(VLOOKUP($A70,Haver_M!$B$1:$BZ$300,MATCH(data!AI$1,Haver_M!$B$1:$BZ$1,0),FALSE)),VLOOKUP($A70,Haver_M!$B$1:$BZ$300,MATCH(data!AI$1,Haver_M!$B$1:$BZ$1,0),FALSE),"")</f>
        <v>9307.4792480760261</v>
      </c>
      <c r="AJ70">
        <f>IF(ISNUMBER(VLOOKUP($A70,Haver_M!$B$1:$BZ$300,MATCH(data!AJ$1,Haver_M!$B$1:$BZ$1,0),FALSE)),VLOOKUP($A70,Haver_M!$B$1:$BZ$300,MATCH(data!AJ$1,Haver_M!$B$1:$BZ$1,0),FALSE),"")</f>
        <v>8371.82</v>
      </c>
      <c r="AK70">
        <f>IF(ISNUMBER(VLOOKUP($A70,Haver_M!$B$1:$BZ$300,MATCH(data!AK$1,Haver_M!$B$1:$BZ$1,0),FALSE)),VLOOKUP($A70,Haver_M!$B$1:$BZ$300,MATCH(data!AK$1,Haver_M!$B$1:$BZ$1,0),FALSE),"")</f>
        <v>12085.74</v>
      </c>
      <c r="AL70" t="str">
        <f>IF(ISNUMBER(VLOOKUP($A70,Haver_M!$B$1:$BZ$300,MATCH(data!AL$1,Haver_M!$B$1:$BZ$1,0),FALSE)),VLOOKUP($A70,Haver_M!$B$1:$BZ$300,MATCH(data!AL$1,Haver_M!$B$1:$BZ$1,0),FALSE),"")</f>
        <v/>
      </c>
      <c r="AM70" t="str">
        <f>IF(ISNUMBER(VLOOKUP($A70,Haver_M!$B$1:$BZ$300,MATCH(data!AM$1,Haver_M!$B$1:$BZ$1,0),FALSE)),VLOOKUP($A70,Haver_M!$B$1:$BZ$300,MATCH(data!AM$1,Haver_M!$B$1:$BZ$1,0),FALSE),"")</f>
        <v/>
      </c>
      <c r="AN70" t="str">
        <f>IF(ISNUMBER(VLOOKUP($A70,Haver_M!$B$1:$BZ$300,MATCH(data!AN$1,Haver_M!$B$1:$BZ$1,0),FALSE)),VLOOKUP($A70,Haver_M!$B$1:$BZ$300,MATCH(data!AN$1,Haver_M!$B$1:$BZ$1,0),FALSE),"")</f>
        <v/>
      </c>
      <c r="AO70" t="str">
        <f>IF(ISNUMBER(VLOOKUP($A70,Haver_M!$B$1:$BZ$300,MATCH(data!AO$1,Haver_M!$B$1:$BZ$1,0),FALSE)),VLOOKUP($A70,Haver_M!$B$1:$BZ$300,MATCH(data!AO$1,Haver_M!$B$1:$BZ$1,0),FALSE),"")</f>
        <v/>
      </c>
      <c r="AP70">
        <f>IF(ISNUMBER(VLOOKUP($A70,Haver_M!$B$1:$BZ$300,MATCH(data!AP$1,Haver_M!$B$1:$BZ$1,0),FALSE)),VLOOKUP($A70,Haver_M!$B$1:$BZ$300,MATCH(data!AP$1,Haver_M!$B$1:$BZ$1,0),FALSE),"")</f>
        <v>38.418966186297745</v>
      </c>
      <c r="AQ70" t="str">
        <f>IF(ISNUMBER(VLOOKUP($A70,Haver_M!$B$1:$BZ$300,MATCH(data!AQ$1,Haver_M!$B$1:$BZ$1,0),FALSE)),VLOOKUP($A70,Haver_M!$B$1:$BZ$300,MATCH(data!AQ$1,Haver_M!$B$1:$BZ$1,0),FALSE),"")</f>
        <v/>
      </c>
      <c r="AR70">
        <f>IF(ISNUMBER(VLOOKUP($A70,Haver_M!$B$1:$BZ$300,MATCH(data!AR$1,Haver_M!$B$1:$BZ$1,0),FALSE)),VLOOKUP($A70,Haver_M!$B$1:$BZ$300,MATCH(data!AR$1,Haver_M!$B$1:$BZ$1,0),FALSE),"")</f>
        <v>56.962200000000003</v>
      </c>
      <c r="AS70" t="str">
        <f>IF(ISNUMBER(VLOOKUP($A70,Haver_M!$B$1:$BZ$300,MATCH(data!AS$1,Haver_M!$B$1:$BZ$1,0),FALSE)),VLOOKUP($A70,Haver_M!$B$1:$BZ$300,MATCH(data!AS$1,Haver_M!$B$1:$BZ$1,0),FALSE),"")</f>
        <v/>
      </c>
      <c r="AT70">
        <f>IF(ISNUMBER(VLOOKUP($A70,Haver_M!$B$1:$BZ$300,MATCH(data!AT$1,Haver_M!$B$1:$BZ$1,0),FALSE)),VLOOKUP($A70,Haver_M!$B$1:$BZ$300,MATCH(data!AT$1,Haver_M!$B$1:$BZ$1,0),FALSE),"")</f>
        <v>59.598399999999998</v>
      </c>
      <c r="AU70">
        <f>IF(ISNUMBER(VLOOKUP($A70,Haver_M!$B$1:$BZ$300,MATCH(data!AU$1,Haver_M!$B$1:$BZ$1,0),FALSE)),VLOOKUP($A70,Haver_M!$B$1:$BZ$300,MATCH(data!AU$1,Haver_M!$B$1:$BZ$1,0),FALSE),"")</f>
        <v>63.3215</v>
      </c>
      <c r="AV70">
        <f>IF(ISNUMBER(VLOOKUP($A70,Haver_M!$B$1:$BZ$300,MATCH(data!AV$1,Haver_M!$B$1:$BZ$1,0),FALSE)),VLOOKUP($A70,Haver_M!$B$1:$BZ$300,MATCH(data!AV$1,Haver_M!$B$1:$BZ$1,0),FALSE),"")</f>
        <v>52.749299999999998</v>
      </c>
      <c r="AW70">
        <f>IF(ISNUMBER(VLOOKUP($A70,Haver_M!$B$1:$BZ$300,MATCH(data!AW$1,Haver_M!$B$1:$BZ$1,0),FALSE)),VLOOKUP($A70,Haver_M!$B$1:$BZ$300,MATCH(data!AW$1,Haver_M!$B$1:$BZ$1,0),FALSE),"")</f>
        <v>50.3733</v>
      </c>
      <c r="AX70">
        <f>IF(ISNUMBER(VLOOKUP($A70,Haver_M!$B$1:$BZ$300,MATCH(data!AX$1,Haver_M!$B$1:$BZ$1,0),FALSE)),VLOOKUP($A70,Haver_M!$B$1:$BZ$300,MATCH(data!AX$1,Haver_M!$B$1:$BZ$1,0),FALSE),"")</f>
        <v>50.722799999999999</v>
      </c>
      <c r="AY70">
        <f>IF(ISNUMBER(VLOOKUP($A70,Haver_M!$B$1:$BZ$300,MATCH(data!AY$1,Haver_M!$B$1:$BZ$1,0),FALSE)),VLOOKUP($A70,Haver_M!$B$1:$BZ$300,MATCH(data!AY$1,Haver_M!$B$1:$BZ$1,0),FALSE),"")</f>
        <v>57.543799999999997</v>
      </c>
      <c r="AZ70">
        <f>IF(ISNUMBER(VLOOKUP($A70,Haver_M!$B$1:$BZ$300,MATCH(data!AZ$1,Haver_M!$B$1:$BZ$1,0),FALSE)),VLOOKUP($A70,Haver_M!$B$1:$BZ$300,MATCH(data!AZ$1,Haver_M!$B$1:$BZ$1,0),FALSE),"")</f>
        <v>60.692100000000003</v>
      </c>
      <c r="BA70">
        <f>IF(ISNUMBER(VLOOKUP($A70,Haver_M!$B$1:$BZ$300,MATCH(data!BA$1,Haver_M!$B$1:$BZ$1,0),FALSE)),VLOOKUP($A70,Haver_M!$B$1:$BZ$300,MATCH(data!BA$1,Haver_M!$B$1:$BZ$1,0),FALSE),"")</f>
        <v>50.722799999999999</v>
      </c>
      <c r="BB70">
        <f>IF(ISNUMBER(VLOOKUP($A70,Haver_M!$B$1:$BZ$300,MATCH(data!BB$1,Haver_M!$B$1:$BZ$1,0),FALSE)),VLOOKUP($A70,Haver_M!$B$1:$BZ$300,MATCH(data!BB$1,Haver_M!$B$1:$BZ$1,0),FALSE),"")</f>
        <v>55.061599999999999</v>
      </c>
      <c r="BC70">
        <f>IF(ISNUMBER(VLOOKUP($A70,Haver_M!$B$1:$BZ$300,MATCH(data!BC$1,Haver_M!$B$1:$BZ$1,0),FALSE)),VLOOKUP($A70,Haver_M!$B$1:$BZ$300,MATCH(data!BC$1,Haver_M!$B$1:$BZ$1,0),FALSE),"")</f>
        <v>51.902700000000003</v>
      </c>
      <c r="BD70">
        <f>IF(ISNUMBER(VLOOKUP($A70,Haver_M!$B$1:$BZ$300,MATCH(data!BD$1,Haver_M!$B$1:$BZ$1,0),FALSE)),VLOOKUP($A70,Haver_M!$B$1:$BZ$300,MATCH(data!BD$1,Haver_M!$B$1:$BZ$1,0),FALSE),"")</f>
        <v>51.407600000000002</v>
      </c>
      <c r="BE70">
        <f>IF(ISNUMBER(VLOOKUP($A70,Haver_M!$B$1:$BZ$300,MATCH(data!BE$1,Haver_M!$B$1:$BZ$1,0),FALSE)),VLOOKUP($A70,Haver_M!$B$1:$BZ$300,MATCH(data!BE$1,Haver_M!$B$1:$BZ$1,0),FALSE),"")</f>
        <v>1.3205</v>
      </c>
      <c r="BF70" t="str">
        <f>IF(ISNUMBER(VLOOKUP($A70,Haver_M!$B$1:$BZ$300,MATCH(data!BF$1,Haver_M!$B$1:$BZ$1,0),FALSE)),VLOOKUP($A70,Haver_M!$B$1:$BZ$300,MATCH(data!BF$1,Haver_M!$B$1:$BZ$1,0),FALSE),"")</f>
        <v/>
      </c>
      <c r="BG70" t="str">
        <f>IF(ISNUMBER(VLOOKUP($A70,Haver_M!$B$1:$BZ$300,MATCH(data!BG$1,Haver_M!$B$1:$BZ$1,0),FALSE)),VLOOKUP($A70,Haver_M!$B$1:$BZ$300,MATCH(data!BG$1,Haver_M!$B$1:$BZ$1,0),FALSE),"")</f>
        <v/>
      </c>
      <c r="BH70" t="str">
        <f>IF(ISNUMBER(VLOOKUP($A70,Haver_M!$B$1:$BZ$300,MATCH(data!BH$1,Haver_M!$B$1:$BZ$1,0),FALSE)),VLOOKUP($A70,Haver_M!$B$1:$BZ$300,MATCH(data!BH$1,Haver_M!$B$1:$BZ$1,0),FALSE),"")</f>
        <v/>
      </c>
      <c r="BI70" t="str">
        <f>IF(ISNUMBER(VLOOKUP($A70,Haver_M!$B$1:$BZ$300,MATCH(data!BI$1,Haver_M!$B$1:$BZ$1,0),FALSE)),VLOOKUP($A70,Haver_M!$B$1:$BZ$300,MATCH(data!BI$1,Haver_M!$B$1:$BZ$1,0),FALSE),"")</f>
        <v/>
      </c>
      <c r="BJ70" t="str">
        <f>IF(ISNUMBER(VLOOKUP($A70,Haver_M!$B$1:$BZ$300,MATCH(data!BJ$1,Haver_M!$B$1:$BZ$1,0),FALSE)),VLOOKUP($A70,Haver_M!$B$1:$BZ$300,MATCH(data!BJ$1,Haver_M!$B$1:$BZ$1,0),FALSE),"")</f>
        <v/>
      </c>
      <c r="BK70" t="str">
        <f>IF(ISNUMBER(VLOOKUP($A70,Haver_M!$B$1:$BZ$300,MATCH(data!BK$1,Haver_M!$B$1:$BZ$1,0),FALSE)),VLOOKUP($A70,Haver_M!$B$1:$BZ$300,MATCH(data!BK$1,Haver_M!$B$1:$BZ$1,0),FALSE),"")</f>
        <v/>
      </c>
      <c r="BL70">
        <f>IF(ISNUMBER(VLOOKUP($A70,Haver_M!$B$1:$BZ$300,MATCH(data!BL$1,Haver_M!$B$1:$BZ$1,0),FALSE)),VLOOKUP($A70,Haver_M!$B$1:$BZ$300,MATCH(data!BL$1,Haver_M!$B$1:$BZ$1,0),FALSE),"")</f>
        <v>8272.32</v>
      </c>
      <c r="BM70">
        <f>IF(ISNUMBER(VLOOKUP($A70,Haver_M!$B$1:$BZ$300,MATCH(data!BM$1,Haver_M!$B$1:$BZ$1,0),FALSE)),VLOOKUP($A70,Haver_M!$B$1:$BZ$300,MATCH(data!BM$1,Haver_M!$B$1:$BZ$1,0),FALSE),"")</f>
        <v>94.662024059999993</v>
      </c>
      <c r="BN70">
        <f>IF(ISNUMBER(VLOOKUP($A70,Haver_M!$B$1:$BZ$300,MATCH(data!BN$1,Haver_M!$B$1:$BZ$1,0),FALSE)),VLOOKUP($A70,Haver_M!$B$1:$BZ$300,MATCH(data!BN$1,Haver_M!$B$1:$BZ$1,0),FALSE),"")</f>
        <v>114.9</v>
      </c>
      <c r="BO70">
        <f>IF(ISNUMBER(VLOOKUP($A70,Haver_M!$B$1:$BZ$300,MATCH(data!BO$1,Haver_M!$B$1:$BZ$1,0),FALSE)),VLOOKUP($A70,Haver_M!$B$1:$BZ$300,MATCH(data!BO$1,Haver_M!$B$1:$BZ$1,0),FALSE),"")</f>
        <v>119.6</v>
      </c>
      <c r="BP70">
        <f>IF(ISNUMBER(VLOOKUP($A70,Haver_M!$B$1:$BZ$300,MATCH(data!BP$1,Haver_M!$B$1:$BZ$1,0),FALSE)),VLOOKUP($A70,Haver_M!$B$1:$BZ$300,MATCH(data!BP$1,Haver_M!$B$1:$BZ$1,0),FALSE),"")</f>
        <v>45.5</v>
      </c>
      <c r="BQ70" t="str">
        <f>IF(ISNUMBER(VLOOKUP($A70,Haver_M!$B$1:$BZ$300,MATCH(data!BQ$1,Haver_M!$B$1:$BZ$1,0),FALSE)),VLOOKUP($A70,Haver_M!$B$1:$BZ$300,MATCH(data!BQ$1,Haver_M!$B$1:$BZ$1,0),FALSE),"")</f>
        <v/>
      </c>
      <c r="BR70" t="str">
        <f>IF(ISNUMBER(VLOOKUP($A70,Haver_M!$B$1:$BZ$300,MATCH(data!BR$1,Haver_M!$B$1:$BZ$1,0),FALSE)),VLOOKUP($A70,Haver_M!$B$1:$BZ$300,MATCH(data!BR$1,Haver_M!$B$1:$BZ$1,0),FALSE),"")</f>
        <v/>
      </c>
      <c r="BS70" t="str">
        <f>IF(ISNUMBER(VLOOKUP($A70,Haver_M!$B$1:$BZ$300,MATCH(data!BS$1,Haver_M!$B$1:$BZ$1,0),FALSE)),VLOOKUP($A70,Haver_M!$B$1:$BZ$300,MATCH(data!BS$1,Haver_M!$B$1:$BZ$1,0),FALSE),"")</f>
        <v/>
      </c>
      <c r="BT70" t="str">
        <f>IF(ISNUMBER(VLOOKUP($A70,Haver_M!$B$1:$BZ$300,MATCH(data!BT$1,Haver_M!$B$1:$BZ$1,0),FALSE)),VLOOKUP($A70,Haver_M!$B$1:$BZ$300,MATCH(data!BT$1,Haver_M!$B$1:$BZ$1,0),FALSE),"")</f>
        <v/>
      </c>
      <c r="BU70">
        <f>IF(ISNUMBER(VLOOKUP($A70,Haver_M!$B$1:$BZ$300,MATCH(data!BU$1,Haver_M!$B$1:$BZ$1,0),FALSE)),VLOOKUP($A70,Haver_M!$B$1:$BZ$300,MATCH(data!BU$1,Haver_M!$B$1:$BZ$1,0),FALSE),"")</f>
        <v>8457</v>
      </c>
      <c r="BV70">
        <f>IF(ISNUMBER(VLOOKUP($A70,Haver_M!$B$1:$BZ$300,MATCH(data!BV$1,Haver_M!$B$1:$BZ$1,0),FALSE)),VLOOKUP($A70,Haver_M!$B$1:$BZ$300,MATCH(data!BV$1,Haver_M!$B$1:$BZ$1,0),FALSE),"")</f>
        <v>12896</v>
      </c>
      <c r="BW70">
        <f>IF(ISNUMBER(VLOOKUP($A70,Haver_M!$B$1:$BZ$300,MATCH(data!BW$1,Haver_M!$B$1:$BZ$1,0),FALSE)),VLOOKUP($A70,Haver_M!$B$1:$BZ$300,MATCH(data!BW$1,Haver_M!$B$1:$BZ$1,0),FALSE),"")</f>
        <v>43.914999999999999</v>
      </c>
      <c r="BX70">
        <f>IF(ISNUMBER(VLOOKUP($A70,Haver_M!$B$1:$BZ$300,MATCH(data!BX$1,Haver_M!$B$1:$BZ$1,0),FALSE)),VLOOKUP($A70,Haver_M!$B$1:$BZ$300,MATCH(data!BX$1,Haver_M!$B$1:$BZ$1,0),FALSE),"")</f>
        <v>15547</v>
      </c>
    </row>
    <row r="71" spans="1:76" x14ac:dyDescent="0.25">
      <c r="A71" s="2">
        <v>38656</v>
      </c>
      <c r="B71" t="str">
        <f>IF(ISNUMBER(VLOOKUP($A71,Haver_Q!$B$1:$L$185,MATCH(data!B$1,Haver_Q!$B$1:$L$1,0),FALSE)),100*(VLOOKUP($A71,Haver_Q!$B$1:$L$185,MATCH(data!B$1,Haver_Q!$B$1:$L$1,0),FALSE)),"")</f>
        <v/>
      </c>
      <c r="C71" t="str">
        <f>IF(ISNUMBER(VLOOKUP($A71,Haver_Q!$B$1:$L$185,MATCH(data!C$1,Haver_Q!$B$1:$L$1,0),FALSE)),100*(VLOOKUP($A71,Haver_Q!$B$1:$L$185,MATCH(data!C$1,Haver_Q!$B$1:$L$1,0),FALSE)),"")</f>
        <v/>
      </c>
      <c r="D71" t="str">
        <f>IF(ISNUMBER(VLOOKUP($A71,Haver_Q!$B$1:$L$185,MATCH(data!D$1,Haver_Q!$B$1:$L$1,0),FALSE)),100*(VLOOKUP($A71,Haver_Q!$B$1:$L$185,MATCH(data!D$1,Haver_Q!$B$1:$L$1,0),FALSE)),"")</f>
        <v/>
      </c>
      <c r="E71" t="str">
        <f>IF(ISNUMBER(VLOOKUP($A71,Haver_Q!$B$1:$L$185,MATCH(data!E$1,Haver_Q!$B$1:$L$1,0),FALSE)),100*(VLOOKUP($A71,Haver_Q!$B$1:$L$185,MATCH(data!E$1,Haver_Q!$B$1:$L$1,0),FALSE)),"")</f>
        <v/>
      </c>
      <c r="F71" t="str">
        <f>IF(ISNUMBER(VLOOKUP($A71,Haver_Q!$B$1:$L$185,MATCH(data!F$1,Haver_Q!$B$1:$L$1,0),FALSE)),100*(VLOOKUP($A71,Haver_Q!$B$1:$L$185,MATCH(data!F$1,Haver_Q!$B$1:$L$1,0),FALSE)),"")</f>
        <v/>
      </c>
      <c r="G71" t="str">
        <f>IF(ISNUMBER(VLOOKUP($A71,Haver_Q!$B$1:$L$185,MATCH(data!G$1,Haver_Q!$B$1:$L$1,0),FALSE)),100*(VLOOKUP($A71,Haver_Q!$B$1:$L$185,MATCH(data!G$1,Haver_Q!$B$1:$L$1,0),FALSE)),"")</f>
        <v/>
      </c>
      <c r="H71" t="str">
        <f>IF(ISNUMBER(VLOOKUP($A71,Haver_Q!$B$1:$L$185,MATCH(data!H$1,Haver_Q!$B$1:$L$1,0),FALSE)),(VLOOKUP($A71,Haver_Q!$B$1:$L$185,MATCH(data!H$1,Haver_Q!$B$1:$L$1,0),FALSE)),"")</f>
        <v/>
      </c>
      <c r="I71" t="str">
        <f>IF(ISNUMBER(VLOOKUP($A71,Haver_Q!$B$1:$L$185,MATCH(data!I$1,Haver_Q!$B$1:$L$1,0),FALSE)),100*(VLOOKUP($A71,Haver_Q!$B$1:$L$185,MATCH(data!I$1,Haver_Q!$B$1:$L$1,0),FALSE)),"")</f>
        <v/>
      </c>
      <c r="J71" s="3">
        <f>IF(ISNUMBER(Bloomberg_m!C87),Bloomberg_m!C87,"")</f>
        <v>3161</v>
      </c>
      <c r="K71" s="3" t="str">
        <f>IF(ISNUMBER(Bloomberg_m!D87),Bloomberg_m!D87,"")</f>
        <v/>
      </c>
      <c r="L71" s="3" t="str">
        <f>IF(ISNUMBER(Bloomberg_m!E87),Bloomberg_m!E87,"")</f>
        <v/>
      </c>
      <c r="M71" s="3" t="str">
        <f>IF(ISNUMBER(Bloomberg_m!F87),Bloomberg_m!F87,"")</f>
        <v/>
      </c>
      <c r="N71">
        <f>IF(ISNUMBER(VLOOKUP($A71,Haver_M!$B$1:$BZ$300,MATCH(data!N$1,Haver_M!$B$1:$BZ$1,0),FALSE)),VLOOKUP($A71,Haver_M!$B$1:$BZ$300,MATCH(data!N$1,Haver_M!$B$1:$BZ$1,0),FALSE),"")</f>
        <v>6.25</v>
      </c>
      <c r="O71">
        <f>IF(ISNUMBER(VLOOKUP($A71,Haver_M!$B$1:$BZ$300,MATCH(data!O$1,Haver_M!$B$1:$BZ$1,0),FALSE)),VLOOKUP($A71,Haver_M!$B$1:$BZ$300,MATCH(data!O$1,Haver_M!$B$1:$BZ$1,0),FALSE),"")</f>
        <v>7.0784000000000002</v>
      </c>
      <c r="P71">
        <f>IF(ISNUMBER(VLOOKUP($A71,Haver_M!$B$1:$BZ$300,MATCH(data!P$1,Haver_M!$B$1:$BZ$1,0),FALSE)),VLOOKUP($A71,Haver_M!$B$1:$BZ$300,MATCH(data!P$1,Haver_M!$B$1:$BZ$1,0),FALSE),"")</f>
        <v>94.798929999999999</v>
      </c>
      <c r="Q71">
        <f>IF(ISNUMBER(VLOOKUP($A71,Haver_M!$B$1:$BZ$300,MATCH(data!Q$1,Haver_M!$B$1:$BZ$1,0),FALSE)),VLOOKUP($A71,Haver_M!$B$1:$BZ$300,MATCH(data!Q$1,Haver_M!$B$1:$BZ$1,0),FALSE),"")</f>
        <v>58.1</v>
      </c>
      <c r="R71" t="str">
        <f>IF(ISNUMBER(VLOOKUP($A71,Haver_M!$B$1:$BZ$300,MATCH(data!R$1,Haver_M!$B$1:$BZ$1,0),FALSE)),VLOOKUP($A71,Haver_M!$B$1:$BZ$300,MATCH(data!R$1,Haver_M!$B$1:$BZ$1,0),FALSE),"")</f>
        <v/>
      </c>
      <c r="S71">
        <f>IF(ISNUMBER(VLOOKUP($A71,Haver_M!$B$1:$BZ$300,MATCH(data!S$1,Haver_M!$B$1:$BZ$1,0),FALSE)),VLOOKUP($A71,Haver_M!$B$1:$BZ$300,MATCH(data!S$1,Haver_M!$B$1:$BZ$1,0),FALSE),"")</f>
        <v>67</v>
      </c>
      <c r="T71">
        <f>IF(ISNUMBER(VLOOKUP($A71,Haver_M!$B$1:$BZ$300,MATCH(data!T$1,Haver_M!$B$1:$BZ$1,0),FALSE)),VLOOKUP($A71,Haver_M!$B$1:$BZ$300,MATCH(data!T$1,Haver_M!$B$1:$BZ$1,0),FALSE),"")</f>
        <v>70.760000000000005</v>
      </c>
      <c r="U71">
        <f>IF(ISNUMBER(VLOOKUP($A71,Haver_M!$B$1:$BZ$300,MATCH(data!U$1,Haver_M!$B$1:$BZ$1,0),FALSE)),VLOOKUP($A71,Haver_M!$B$1:$BZ$300,MATCH(data!U$1,Haver_M!$B$1:$BZ$1,0),FALSE),"")</f>
        <v>53.59</v>
      </c>
      <c r="V71">
        <f>IF(ISNUMBER(VLOOKUP($A71,Haver_M!$B$1:$BZ$300,MATCH(data!V$1,Haver_M!$B$1:$BZ$1,0),FALSE)),VLOOKUP($A71,Haver_M!$B$1:$BZ$300,MATCH(data!V$1,Haver_M!$B$1:$BZ$1,0),FALSE),"")</f>
        <v>78.39</v>
      </c>
      <c r="W71" t="str">
        <f>IF(ISNUMBER(VLOOKUP($A71,Haver_M!$B$1:$BZ$300,MATCH(data!W$1,Haver_M!$B$1:$BZ$1,0),FALSE)),VLOOKUP($A71,Haver_M!$B$1:$BZ$300,MATCH(data!W$1,Haver_M!$B$1:$BZ$1,0),FALSE),"")</f>
        <v/>
      </c>
      <c r="X71">
        <f>IF(ISNUMBER(VLOOKUP($A71,Haver_M!$B$1:$BZ$300,MATCH(data!X$1,Haver_M!$B$1:$BZ$1,0),FALSE)),VLOOKUP($A71,Haver_M!$B$1:$BZ$300,MATCH(data!X$1,Haver_M!$B$1:$BZ$1,0),FALSE),"")</f>
        <v>39.14</v>
      </c>
      <c r="Y71">
        <f>IF(ISNUMBER(VLOOKUP($A71,Haver_M!$B$1:$BZ$300,MATCH(data!Y$1,Haver_M!$B$1:$BZ$1,0),FALSE)),VLOOKUP($A71,Haver_M!$B$1:$BZ$300,MATCH(data!Y$1,Haver_M!$B$1:$BZ$1,0),FALSE),"")</f>
        <v>76.650000000000006</v>
      </c>
      <c r="Z71">
        <f>IF(ISNUMBER(VLOOKUP($A71,Haver_M!$B$1:$BZ$300,MATCH(data!Z$1,Haver_M!$B$1:$BZ$1,0),FALSE)),VLOOKUP($A71,Haver_M!$B$1:$BZ$300,MATCH(data!Z$1,Haver_M!$B$1:$BZ$1,0),FALSE),"")</f>
        <v>71.2</v>
      </c>
      <c r="AA71">
        <f>IF(ISNUMBER(VLOOKUP($A71,Haver_M!$B$1:$BZ$300,MATCH(data!AA$1,Haver_M!$B$1:$BZ$1,0),FALSE)),VLOOKUP($A71,Haver_M!$B$1:$BZ$300,MATCH(data!AA$1,Haver_M!$B$1:$BZ$1,0),FALSE),"")</f>
        <v>76.707999999999998</v>
      </c>
      <c r="AB71">
        <f>IF(ISNUMBER(VLOOKUP($A71,Haver_M!$B$1:$BZ$300,MATCH(data!AB$1,Haver_M!$B$1:$BZ$1,0),FALSE)),VLOOKUP($A71,Haver_M!$B$1:$BZ$300,MATCH(data!AB$1,Haver_M!$B$1:$BZ$1,0),FALSE),"")</f>
        <v>82.587999999999994</v>
      </c>
      <c r="AC71">
        <f>IF(ISNUMBER(VLOOKUP($A71,Haver_M!$B$1:$BZ$300,MATCH(data!AC$1,Haver_M!$B$1:$BZ$1,0),FALSE)),VLOOKUP($A71,Haver_M!$B$1:$BZ$300,MATCH(data!AC$1,Haver_M!$B$1:$BZ$1,0),FALSE),"")</f>
        <v>68.143000000000001</v>
      </c>
      <c r="AD71">
        <f>IF(ISNUMBER(VLOOKUP($A71,Haver_M!$B$1:$BZ$300,MATCH(data!AD$1,Haver_M!$B$1:$BZ$1,0),FALSE)),VLOOKUP($A71,Haver_M!$B$1:$BZ$300,MATCH(data!AD$1,Haver_M!$B$1:$BZ$1,0),FALSE),"")</f>
        <v>73.662000000000006</v>
      </c>
      <c r="AE71">
        <f>IF(ISNUMBER(VLOOKUP($A71,Haver_M!$B$1:$BZ$300,MATCH(data!AE$1,Haver_M!$B$1:$BZ$1,0),FALSE)),VLOOKUP($A71,Haver_M!$B$1:$BZ$300,MATCH(data!AE$1,Haver_M!$B$1:$BZ$1,0),FALSE),"")</f>
        <v>90.852999999999994</v>
      </c>
      <c r="AF71">
        <f>IF(ISNUMBER(VLOOKUP($A71,Haver_M!$B$1:$BZ$300,MATCH(data!AF$1,Haver_M!$B$1:$BZ$1,0),FALSE)),VLOOKUP($A71,Haver_M!$B$1:$BZ$300,MATCH(data!AF$1,Haver_M!$B$1:$BZ$1,0),FALSE),"")</f>
        <v>61.680999999999997</v>
      </c>
      <c r="AG71">
        <f>IF(ISNUMBER(VLOOKUP($A71,Haver_M!$B$1:$BZ$300,MATCH(data!AG$1,Haver_M!$B$1:$BZ$1,0),FALSE)),VLOOKUP($A71,Haver_M!$B$1:$BZ$300,MATCH(data!AG$1,Haver_M!$B$1:$BZ$1,0),FALSE),"")</f>
        <v>63.639000000000003</v>
      </c>
      <c r="AH71">
        <f>IF(ISNUMBER(VLOOKUP($A71,Haver_M!$B$1:$BZ$300,MATCH(data!AH$1,Haver_M!$B$1:$BZ$1,0),FALSE)),VLOOKUP($A71,Haver_M!$B$1:$BZ$300,MATCH(data!AH$1,Haver_M!$B$1:$BZ$1,0),FALSE),"")</f>
        <v>70.024000000000001</v>
      </c>
      <c r="AI71">
        <f>IF(ISNUMBER(VLOOKUP($A71,Haver_M!$B$1:$BZ$300,MATCH(data!AI$1,Haver_M!$B$1:$BZ$1,0),FALSE)),VLOOKUP($A71,Haver_M!$B$1:$BZ$300,MATCH(data!AI$1,Haver_M!$B$1:$BZ$1,0),FALSE),"")</f>
        <v>9416.4093925369634</v>
      </c>
      <c r="AJ71">
        <f>IF(ISNUMBER(VLOOKUP($A71,Haver_M!$B$1:$BZ$300,MATCH(data!AJ$1,Haver_M!$B$1:$BZ$1,0),FALSE)),VLOOKUP($A71,Haver_M!$B$1:$BZ$300,MATCH(data!AJ$1,Haver_M!$B$1:$BZ$1,0),FALSE),"")</f>
        <v>8885.49</v>
      </c>
      <c r="AK71">
        <f>IF(ISNUMBER(VLOOKUP($A71,Haver_M!$B$1:$BZ$300,MATCH(data!AK$1,Haver_M!$B$1:$BZ$1,0),FALSE)),VLOOKUP($A71,Haver_M!$B$1:$BZ$300,MATCH(data!AK$1,Haver_M!$B$1:$BZ$1,0),FALSE),"")</f>
        <v>11472.77</v>
      </c>
      <c r="AL71" t="str">
        <f>IF(ISNUMBER(VLOOKUP($A71,Haver_M!$B$1:$BZ$300,MATCH(data!AL$1,Haver_M!$B$1:$BZ$1,0),FALSE)),VLOOKUP($A71,Haver_M!$B$1:$BZ$300,MATCH(data!AL$1,Haver_M!$B$1:$BZ$1,0),FALSE),"")</f>
        <v/>
      </c>
      <c r="AM71" t="str">
        <f>IF(ISNUMBER(VLOOKUP($A71,Haver_M!$B$1:$BZ$300,MATCH(data!AM$1,Haver_M!$B$1:$BZ$1,0),FALSE)),VLOOKUP($A71,Haver_M!$B$1:$BZ$300,MATCH(data!AM$1,Haver_M!$B$1:$BZ$1,0),FALSE),"")</f>
        <v/>
      </c>
      <c r="AN71" t="str">
        <f>IF(ISNUMBER(VLOOKUP($A71,Haver_M!$B$1:$BZ$300,MATCH(data!AN$1,Haver_M!$B$1:$BZ$1,0),FALSE)),VLOOKUP($A71,Haver_M!$B$1:$BZ$300,MATCH(data!AN$1,Haver_M!$B$1:$BZ$1,0),FALSE),"")</f>
        <v/>
      </c>
      <c r="AO71" t="str">
        <f>IF(ISNUMBER(VLOOKUP($A71,Haver_M!$B$1:$BZ$300,MATCH(data!AO$1,Haver_M!$B$1:$BZ$1,0),FALSE)),VLOOKUP($A71,Haver_M!$B$1:$BZ$300,MATCH(data!AO$1,Haver_M!$B$1:$BZ$1,0),FALSE),"")</f>
        <v/>
      </c>
      <c r="AP71">
        <f>IF(ISNUMBER(VLOOKUP($A71,Haver_M!$B$1:$BZ$300,MATCH(data!AP$1,Haver_M!$B$1:$BZ$1,0),FALSE)),VLOOKUP($A71,Haver_M!$B$1:$BZ$300,MATCH(data!AP$1,Haver_M!$B$1:$BZ$1,0),FALSE),"")</f>
        <v>41.996757714873084</v>
      </c>
      <c r="AQ71" t="str">
        <f>IF(ISNUMBER(VLOOKUP($A71,Haver_M!$B$1:$BZ$300,MATCH(data!AQ$1,Haver_M!$B$1:$BZ$1,0),FALSE)),VLOOKUP($A71,Haver_M!$B$1:$BZ$300,MATCH(data!AQ$1,Haver_M!$B$1:$BZ$1,0),FALSE),"")</f>
        <v/>
      </c>
      <c r="AR71">
        <f>IF(ISNUMBER(VLOOKUP($A71,Haver_M!$B$1:$BZ$300,MATCH(data!AR$1,Haver_M!$B$1:$BZ$1,0),FALSE)),VLOOKUP($A71,Haver_M!$B$1:$BZ$300,MATCH(data!AR$1,Haver_M!$B$1:$BZ$1,0),FALSE),"")</f>
        <v>57.802100000000003</v>
      </c>
      <c r="AS71" t="str">
        <f>IF(ISNUMBER(VLOOKUP($A71,Haver_M!$B$1:$BZ$300,MATCH(data!AS$1,Haver_M!$B$1:$BZ$1,0),FALSE)),VLOOKUP($A71,Haver_M!$B$1:$BZ$300,MATCH(data!AS$1,Haver_M!$B$1:$BZ$1,0),FALSE),"")</f>
        <v/>
      </c>
      <c r="AT71">
        <f>IF(ISNUMBER(VLOOKUP($A71,Haver_M!$B$1:$BZ$300,MATCH(data!AT$1,Haver_M!$B$1:$BZ$1,0),FALSE)),VLOOKUP($A71,Haver_M!$B$1:$BZ$300,MATCH(data!AT$1,Haver_M!$B$1:$BZ$1,0),FALSE),"")</f>
        <v>60.977699999999999</v>
      </c>
      <c r="AU71">
        <f>IF(ISNUMBER(VLOOKUP($A71,Haver_M!$B$1:$BZ$300,MATCH(data!AU$1,Haver_M!$B$1:$BZ$1,0),FALSE)),VLOOKUP($A71,Haver_M!$B$1:$BZ$300,MATCH(data!AU$1,Haver_M!$B$1:$BZ$1,0),FALSE),"")</f>
        <v>64.387799999999999</v>
      </c>
      <c r="AV71">
        <f>IF(ISNUMBER(VLOOKUP($A71,Haver_M!$B$1:$BZ$300,MATCH(data!AV$1,Haver_M!$B$1:$BZ$1,0),FALSE)),VLOOKUP($A71,Haver_M!$B$1:$BZ$300,MATCH(data!AV$1,Haver_M!$B$1:$BZ$1,0),FALSE),"")</f>
        <v>52.351700000000001</v>
      </c>
      <c r="AW71">
        <f>IF(ISNUMBER(VLOOKUP($A71,Haver_M!$B$1:$BZ$300,MATCH(data!AW$1,Haver_M!$B$1:$BZ$1,0),FALSE)),VLOOKUP($A71,Haver_M!$B$1:$BZ$300,MATCH(data!AW$1,Haver_M!$B$1:$BZ$1,0),FALSE),"")</f>
        <v>50.102200000000003</v>
      </c>
      <c r="AX71">
        <f>IF(ISNUMBER(VLOOKUP($A71,Haver_M!$B$1:$BZ$300,MATCH(data!AX$1,Haver_M!$B$1:$BZ$1,0),FALSE)),VLOOKUP($A71,Haver_M!$B$1:$BZ$300,MATCH(data!AX$1,Haver_M!$B$1:$BZ$1,0),FALSE),"")</f>
        <v>52.863</v>
      </c>
      <c r="AY71">
        <f>IF(ISNUMBER(VLOOKUP($A71,Haver_M!$B$1:$BZ$300,MATCH(data!AY$1,Haver_M!$B$1:$BZ$1,0),FALSE)),VLOOKUP($A71,Haver_M!$B$1:$BZ$300,MATCH(data!AY$1,Haver_M!$B$1:$BZ$1,0),FALSE),"")</f>
        <v>58.486699999999999</v>
      </c>
      <c r="AZ71">
        <f>IF(ISNUMBER(VLOOKUP($A71,Haver_M!$B$1:$BZ$300,MATCH(data!AZ$1,Haver_M!$B$1:$BZ$1,0),FALSE)),VLOOKUP($A71,Haver_M!$B$1:$BZ$300,MATCH(data!AZ$1,Haver_M!$B$1:$BZ$1,0),FALSE),"")</f>
        <v>60.327199999999998</v>
      </c>
      <c r="BA71">
        <f>IF(ISNUMBER(VLOOKUP($A71,Haver_M!$B$1:$BZ$300,MATCH(data!BA$1,Haver_M!$B$1:$BZ$1,0),FALSE)),VLOOKUP($A71,Haver_M!$B$1:$BZ$300,MATCH(data!BA$1,Haver_M!$B$1:$BZ$1,0),FALSE),"")</f>
        <v>52.863</v>
      </c>
      <c r="BB71">
        <f>IF(ISNUMBER(VLOOKUP($A71,Haver_M!$B$1:$BZ$300,MATCH(data!BB$1,Haver_M!$B$1:$BZ$1,0),FALSE)),VLOOKUP($A71,Haver_M!$B$1:$BZ$300,MATCH(data!BB$1,Haver_M!$B$1:$BZ$1,0),FALSE),"")</f>
        <v>55.639600000000002</v>
      </c>
      <c r="BC71">
        <f>IF(ISNUMBER(VLOOKUP($A71,Haver_M!$B$1:$BZ$300,MATCH(data!BC$1,Haver_M!$B$1:$BZ$1,0),FALSE)),VLOOKUP($A71,Haver_M!$B$1:$BZ$300,MATCH(data!BC$1,Haver_M!$B$1:$BZ$1,0),FALSE),"")</f>
        <v>52.346899999999998</v>
      </c>
      <c r="BD71">
        <f>IF(ISNUMBER(VLOOKUP($A71,Haver_M!$B$1:$BZ$300,MATCH(data!BD$1,Haver_M!$B$1:$BZ$1,0),FALSE)),VLOOKUP($A71,Haver_M!$B$1:$BZ$300,MATCH(data!BD$1,Haver_M!$B$1:$BZ$1,0),FALSE),"")</f>
        <v>52.244900000000001</v>
      </c>
      <c r="BE71">
        <f>IF(ISNUMBER(VLOOKUP($A71,Haver_M!$B$1:$BZ$300,MATCH(data!BE$1,Haver_M!$B$1:$BZ$1,0),FALSE)),VLOOKUP($A71,Haver_M!$B$1:$BZ$300,MATCH(data!BE$1,Haver_M!$B$1:$BZ$1,0),FALSE),"")</f>
        <v>1.3289</v>
      </c>
      <c r="BF71" t="str">
        <f>IF(ISNUMBER(VLOOKUP($A71,Haver_M!$B$1:$BZ$300,MATCH(data!BF$1,Haver_M!$B$1:$BZ$1,0),FALSE)),VLOOKUP($A71,Haver_M!$B$1:$BZ$300,MATCH(data!BF$1,Haver_M!$B$1:$BZ$1,0),FALSE),"")</f>
        <v/>
      </c>
      <c r="BG71" t="str">
        <f>IF(ISNUMBER(VLOOKUP($A71,Haver_M!$B$1:$BZ$300,MATCH(data!BG$1,Haver_M!$B$1:$BZ$1,0),FALSE)),VLOOKUP($A71,Haver_M!$B$1:$BZ$300,MATCH(data!BG$1,Haver_M!$B$1:$BZ$1,0),FALSE),"")</f>
        <v/>
      </c>
      <c r="BH71" t="str">
        <f>IF(ISNUMBER(VLOOKUP($A71,Haver_M!$B$1:$BZ$300,MATCH(data!BH$1,Haver_M!$B$1:$BZ$1,0),FALSE)),VLOOKUP($A71,Haver_M!$B$1:$BZ$300,MATCH(data!BH$1,Haver_M!$B$1:$BZ$1,0),FALSE),"")</f>
        <v/>
      </c>
      <c r="BI71" t="str">
        <f>IF(ISNUMBER(VLOOKUP($A71,Haver_M!$B$1:$BZ$300,MATCH(data!BI$1,Haver_M!$B$1:$BZ$1,0),FALSE)),VLOOKUP($A71,Haver_M!$B$1:$BZ$300,MATCH(data!BI$1,Haver_M!$B$1:$BZ$1,0),FALSE),"")</f>
        <v/>
      </c>
      <c r="BJ71" t="str">
        <f>IF(ISNUMBER(VLOOKUP($A71,Haver_M!$B$1:$BZ$300,MATCH(data!BJ$1,Haver_M!$B$1:$BZ$1,0),FALSE)),VLOOKUP($A71,Haver_M!$B$1:$BZ$300,MATCH(data!BJ$1,Haver_M!$B$1:$BZ$1,0),FALSE),"")</f>
        <v/>
      </c>
      <c r="BK71" t="str">
        <f>IF(ISNUMBER(VLOOKUP($A71,Haver_M!$B$1:$BZ$300,MATCH(data!BK$1,Haver_M!$B$1:$BZ$1,0),FALSE)),VLOOKUP($A71,Haver_M!$B$1:$BZ$300,MATCH(data!BK$1,Haver_M!$B$1:$BZ$1,0),FALSE),"")</f>
        <v/>
      </c>
      <c r="BL71">
        <f>IF(ISNUMBER(VLOOKUP($A71,Haver_M!$B$1:$BZ$300,MATCH(data!BL$1,Haver_M!$B$1:$BZ$1,0),FALSE)),VLOOKUP($A71,Haver_M!$B$1:$BZ$300,MATCH(data!BL$1,Haver_M!$B$1:$BZ$1,0),FALSE),"")</f>
        <v>8220.4500000000007</v>
      </c>
      <c r="BM71">
        <f>IF(ISNUMBER(VLOOKUP($A71,Haver_M!$B$1:$BZ$300,MATCH(data!BM$1,Haver_M!$B$1:$BZ$1,0),FALSE)),VLOOKUP($A71,Haver_M!$B$1:$BZ$300,MATCH(data!BM$1,Haver_M!$B$1:$BZ$1,0),FALSE),"")</f>
        <v>96.397805000000005</v>
      </c>
      <c r="BN71" t="str">
        <f>IF(ISNUMBER(VLOOKUP($A71,Haver_M!$B$1:$BZ$300,MATCH(data!BN$1,Haver_M!$B$1:$BZ$1,0),FALSE)),VLOOKUP($A71,Haver_M!$B$1:$BZ$300,MATCH(data!BN$1,Haver_M!$B$1:$BZ$1,0),FALSE),"")</f>
        <v/>
      </c>
      <c r="BO71" t="str">
        <f>IF(ISNUMBER(VLOOKUP($A71,Haver_M!$B$1:$BZ$300,MATCH(data!BO$1,Haver_M!$B$1:$BZ$1,0),FALSE)),VLOOKUP($A71,Haver_M!$B$1:$BZ$300,MATCH(data!BO$1,Haver_M!$B$1:$BZ$1,0),FALSE),"")</f>
        <v/>
      </c>
      <c r="BP71" t="str">
        <f>IF(ISNUMBER(VLOOKUP($A71,Haver_M!$B$1:$BZ$300,MATCH(data!BP$1,Haver_M!$B$1:$BZ$1,0),FALSE)),VLOOKUP($A71,Haver_M!$B$1:$BZ$300,MATCH(data!BP$1,Haver_M!$B$1:$BZ$1,0),FALSE),"")</f>
        <v/>
      </c>
      <c r="BQ71" t="str">
        <f>IF(ISNUMBER(VLOOKUP($A71,Haver_M!$B$1:$BZ$300,MATCH(data!BQ$1,Haver_M!$B$1:$BZ$1,0),FALSE)),VLOOKUP($A71,Haver_M!$B$1:$BZ$300,MATCH(data!BQ$1,Haver_M!$B$1:$BZ$1,0),FALSE),"")</f>
        <v/>
      </c>
      <c r="BR71" t="str">
        <f>IF(ISNUMBER(VLOOKUP($A71,Haver_M!$B$1:$BZ$300,MATCH(data!BR$1,Haver_M!$B$1:$BZ$1,0),FALSE)),VLOOKUP($A71,Haver_M!$B$1:$BZ$300,MATCH(data!BR$1,Haver_M!$B$1:$BZ$1,0),FALSE),"")</f>
        <v/>
      </c>
      <c r="BS71" t="str">
        <f>IF(ISNUMBER(VLOOKUP($A71,Haver_M!$B$1:$BZ$300,MATCH(data!BS$1,Haver_M!$B$1:$BZ$1,0),FALSE)),VLOOKUP($A71,Haver_M!$B$1:$BZ$300,MATCH(data!BS$1,Haver_M!$B$1:$BZ$1,0),FALSE),"")</f>
        <v/>
      </c>
      <c r="BT71" t="str">
        <f>IF(ISNUMBER(VLOOKUP($A71,Haver_M!$B$1:$BZ$300,MATCH(data!BT$1,Haver_M!$B$1:$BZ$1,0),FALSE)),VLOOKUP($A71,Haver_M!$B$1:$BZ$300,MATCH(data!BT$1,Haver_M!$B$1:$BZ$1,0),FALSE),"")</f>
        <v/>
      </c>
      <c r="BU71">
        <f>IF(ISNUMBER(VLOOKUP($A71,Haver_M!$B$1:$BZ$300,MATCH(data!BU$1,Haver_M!$B$1:$BZ$1,0),FALSE)),VLOOKUP($A71,Haver_M!$B$1:$BZ$300,MATCH(data!BU$1,Haver_M!$B$1:$BZ$1,0),FALSE),"")</f>
        <v>8622</v>
      </c>
      <c r="BV71">
        <f>IF(ISNUMBER(VLOOKUP($A71,Haver_M!$B$1:$BZ$300,MATCH(data!BV$1,Haver_M!$B$1:$BZ$1,0),FALSE)),VLOOKUP($A71,Haver_M!$B$1:$BZ$300,MATCH(data!BV$1,Haver_M!$B$1:$BZ$1,0),FALSE),"")</f>
        <v>11883</v>
      </c>
      <c r="BW71">
        <f>IF(ISNUMBER(VLOOKUP($A71,Haver_M!$B$1:$BZ$300,MATCH(data!BW$1,Haver_M!$B$1:$BZ$1,0),FALSE)),VLOOKUP($A71,Haver_M!$B$1:$BZ$300,MATCH(data!BW$1,Haver_M!$B$1:$BZ$1,0),FALSE),"")</f>
        <v>44.817999999999998</v>
      </c>
      <c r="BX71">
        <f>IF(ISNUMBER(VLOOKUP($A71,Haver_M!$B$1:$BZ$300,MATCH(data!BX$1,Haver_M!$B$1:$BZ$1,0),FALSE)),VLOOKUP($A71,Haver_M!$B$1:$BZ$300,MATCH(data!BX$1,Haver_M!$B$1:$BZ$1,0),FALSE),"")</f>
        <v>19798</v>
      </c>
    </row>
    <row r="72" spans="1:76" x14ac:dyDescent="0.25">
      <c r="A72" s="2">
        <v>38686</v>
      </c>
      <c r="B72" t="str">
        <f>IF(ISNUMBER(VLOOKUP($A72,Haver_Q!$B$1:$L$185,MATCH(data!B$1,Haver_Q!$B$1:$L$1,0),FALSE)),100*(VLOOKUP($A72,Haver_Q!$B$1:$L$185,MATCH(data!B$1,Haver_Q!$B$1:$L$1,0),FALSE)),"")</f>
        <v/>
      </c>
      <c r="C72" t="str">
        <f>IF(ISNUMBER(VLOOKUP($A72,Haver_Q!$B$1:$L$185,MATCH(data!C$1,Haver_Q!$B$1:$L$1,0),FALSE)),100*(VLOOKUP($A72,Haver_Q!$B$1:$L$185,MATCH(data!C$1,Haver_Q!$B$1:$L$1,0),FALSE)),"")</f>
        <v/>
      </c>
      <c r="D72" t="str">
        <f>IF(ISNUMBER(VLOOKUP($A72,Haver_Q!$B$1:$L$185,MATCH(data!D$1,Haver_Q!$B$1:$L$1,0),FALSE)),100*(VLOOKUP($A72,Haver_Q!$B$1:$L$185,MATCH(data!D$1,Haver_Q!$B$1:$L$1,0),FALSE)),"")</f>
        <v/>
      </c>
      <c r="E72" t="str">
        <f>IF(ISNUMBER(VLOOKUP($A72,Haver_Q!$B$1:$L$185,MATCH(data!E$1,Haver_Q!$B$1:$L$1,0),FALSE)),100*(VLOOKUP($A72,Haver_Q!$B$1:$L$185,MATCH(data!E$1,Haver_Q!$B$1:$L$1,0),FALSE)),"")</f>
        <v/>
      </c>
      <c r="F72" t="str">
        <f>IF(ISNUMBER(VLOOKUP($A72,Haver_Q!$B$1:$L$185,MATCH(data!F$1,Haver_Q!$B$1:$L$1,0),FALSE)),100*(VLOOKUP($A72,Haver_Q!$B$1:$L$185,MATCH(data!F$1,Haver_Q!$B$1:$L$1,0),FALSE)),"")</f>
        <v/>
      </c>
      <c r="G72" t="str">
        <f>IF(ISNUMBER(VLOOKUP($A72,Haver_Q!$B$1:$L$185,MATCH(data!G$1,Haver_Q!$B$1:$L$1,0),FALSE)),100*(VLOOKUP($A72,Haver_Q!$B$1:$L$185,MATCH(data!G$1,Haver_Q!$B$1:$L$1,0),FALSE)),"")</f>
        <v/>
      </c>
      <c r="H72" t="str">
        <f>IF(ISNUMBER(VLOOKUP($A72,Haver_Q!$B$1:$L$185,MATCH(data!H$1,Haver_Q!$B$1:$L$1,0),FALSE)),(VLOOKUP($A72,Haver_Q!$B$1:$L$185,MATCH(data!H$1,Haver_Q!$B$1:$L$1,0),FALSE)),"")</f>
        <v/>
      </c>
      <c r="I72" t="str">
        <f>IF(ISNUMBER(VLOOKUP($A72,Haver_Q!$B$1:$L$185,MATCH(data!I$1,Haver_Q!$B$1:$L$1,0),FALSE)),100*(VLOOKUP($A72,Haver_Q!$B$1:$L$185,MATCH(data!I$1,Haver_Q!$B$1:$L$1,0),FALSE)),"")</f>
        <v/>
      </c>
      <c r="J72" s="3">
        <f>IF(ISNUMBER(Bloomberg_m!C88),Bloomberg_m!C88,"")</f>
        <v>2916</v>
      </c>
      <c r="K72" s="3" t="str">
        <f>IF(ISNUMBER(Bloomberg_m!D88),Bloomberg_m!D88,"")</f>
        <v/>
      </c>
      <c r="L72" s="3" t="str">
        <f>IF(ISNUMBER(Bloomberg_m!E88),Bloomberg_m!E88,"")</f>
        <v/>
      </c>
      <c r="M72" s="3" t="str">
        <f>IF(ISNUMBER(Bloomberg_m!F88),Bloomberg_m!F88,"")</f>
        <v/>
      </c>
      <c r="N72">
        <f>IF(ISNUMBER(VLOOKUP($A72,Haver_M!$B$1:$BZ$300,MATCH(data!N$1,Haver_M!$B$1:$BZ$1,0),FALSE)),VLOOKUP($A72,Haver_M!$B$1:$BZ$300,MATCH(data!N$1,Haver_M!$B$1:$BZ$1,0),FALSE),"")</f>
        <v>6.25</v>
      </c>
      <c r="O72">
        <f>IF(ISNUMBER(VLOOKUP($A72,Haver_M!$B$1:$BZ$300,MATCH(data!O$1,Haver_M!$B$1:$BZ$1,0),FALSE)),VLOOKUP($A72,Haver_M!$B$1:$BZ$300,MATCH(data!O$1,Haver_M!$B$1:$BZ$1,0),FALSE),"")</f>
        <v>7.1108000000000002</v>
      </c>
      <c r="P72">
        <f>IF(ISNUMBER(VLOOKUP($A72,Haver_M!$B$1:$BZ$300,MATCH(data!P$1,Haver_M!$B$1:$BZ$1,0),FALSE)),VLOOKUP($A72,Haver_M!$B$1:$BZ$300,MATCH(data!P$1,Haver_M!$B$1:$BZ$1,0),FALSE),"")</f>
        <v>94.572990000000004</v>
      </c>
      <c r="Q72">
        <f>IF(ISNUMBER(VLOOKUP($A72,Haver_M!$B$1:$BZ$300,MATCH(data!Q$1,Haver_M!$B$1:$BZ$1,0),FALSE)),VLOOKUP($A72,Haver_M!$B$1:$BZ$300,MATCH(data!Q$1,Haver_M!$B$1:$BZ$1,0),FALSE),"")</f>
        <v>58.7</v>
      </c>
      <c r="R72" t="str">
        <f>IF(ISNUMBER(VLOOKUP($A72,Haver_M!$B$1:$BZ$300,MATCH(data!R$1,Haver_M!$B$1:$BZ$1,0),FALSE)),VLOOKUP($A72,Haver_M!$B$1:$BZ$300,MATCH(data!R$1,Haver_M!$B$1:$BZ$1,0),FALSE),"")</f>
        <v/>
      </c>
      <c r="S72">
        <f>IF(ISNUMBER(VLOOKUP($A72,Haver_M!$B$1:$BZ$300,MATCH(data!S$1,Haver_M!$B$1:$BZ$1,0),FALSE)),VLOOKUP($A72,Haver_M!$B$1:$BZ$300,MATCH(data!S$1,Haver_M!$B$1:$BZ$1,0),FALSE),"")</f>
        <v>64.16</v>
      </c>
      <c r="T72">
        <f>IF(ISNUMBER(VLOOKUP($A72,Haver_M!$B$1:$BZ$300,MATCH(data!T$1,Haver_M!$B$1:$BZ$1,0),FALSE)),VLOOKUP($A72,Haver_M!$B$1:$BZ$300,MATCH(data!T$1,Haver_M!$B$1:$BZ$1,0),FALSE),"")</f>
        <v>71</v>
      </c>
      <c r="U72">
        <f>IF(ISNUMBER(VLOOKUP($A72,Haver_M!$B$1:$BZ$300,MATCH(data!U$1,Haver_M!$B$1:$BZ$1,0),FALSE)),VLOOKUP($A72,Haver_M!$B$1:$BZ$300,MATCH(data!U$1,Haver_M!$B$1:$BZ$1,0),FALSE),"")</f>
        <v>46.95</v>
      </c>
      <c r="V72">
        <f>IF(ISNUMBER(VLOOKUP($A72,Haver_M!$B$1:$BZ$300,MATCH(data!V$1,Haver_M!$B$1:$BZ$1,0),FALSE)),VLOOKUP($A72,Haver_M!$B$1:$BZ$300,MATCH(data!V$1,Haver_M!$B$1:$BZ$1,0),FALSE),"")</f>
        <v>74.39</v>
      </c>
      <c r="W72" t="str">
        <f>IF(ISNUMBER(VLOOKUP($A72,Haver_M!$B$1:$BZ$300,MATCH(data!W$1,Haver_M!$B$1:$BZ$1,0),FALSE)),VLOOKUP($A72,Haver_M!$B$1:$BZ$300,MATCH(data!W$1,Haver_M!$B$1:$BZ$1,0),FALSE),"")</f>
        <v/>
      </c>
      <c r="X72">
        <f>IF(ISNUMBER(VLOOKUP($A72,Haver_M!$B$1:$BZ$300,MATCH(data!X$1,Haver_M!$B$1:$BZ$1,0),FALSE)),VLOOKUP($A72,Haver_M!$B$1:$BZ$300,MATCH(data!X$1,Haver_M!$B$1:$BZ$1,0),FALSE),"")</f>
        <v>34.979999999999997</v>
      </c>
      <c r="Y72">
        <f>IF(ISNUMBER(VLOOKUP($A72,Haver_M!$B$1:$BZ$300,MATCH(data!Y$1,Haver_M!$B$1:$BZ$1,0),FALSE)),VLOOKUP($A72,Haver_M!$B$1:$BZ$300,MATCH(data!Y$1,Haver_M!$B$1:$BZ$1,0),FALSE),"")</f>
        <v>72.959999999999994</v>
      </c>
      <c r="Z72">
        <f>IF(ISNUMBER(VLOOKUP($A72,Haver_M!$B$1:$BZ$300,MATCH(data!Z$1,Haver_M!$B$1:$BZ$1,0),FALSE)),VLOOKUP($A72,Haver_M!$B$1:$BZ$300,MATCH(data!Z$1,Haver_M!$B$1:$BZ$1,0),FALSE),"")</f>
        <v>72.5</v>
      </c>
      <c r="AA72">
        <f>IF(ISNUMBER(VLOOKUP($A72,Haver_M!$B$1:$BZ$300,MATCH(data!AA$1,Haver_M!$B$1:$BZ$1,0),FALSE)),VLOOKUP($A72,Haver_M!$B$1:$BZ$300,MATCH(data!AA$1,Haver_M!$B$1:$BZ$1,0),FALSE),"")</f>
        <v>76.435000000000002</v>
      </c>
      <c r="AB72">
        <f>IF(ISNUMBER(VLOOKUP($A72,Haver_M!$B$1:$BZ$300,MATCH(data!AB$1,Haver_M!$B$1:$BZ$1,0),FALSE)),VLOOKUP($A72,Haver_M!$B$1:$BZ$300,MATCH(data!AB$1,Haver_M!$B$1:$BZ$1,0),FALSE),"")</f>
        <v>82.421000000000006</v>
      </c>
      <c r="AC72">
        <f>IF(ISNUMBER(VLOOKUP($A72,Haver_M!$B$1:$BZ$300,MATCH(data!AC$1,Haver_M!$B$1:$BZ$1,0),FALSE)),VLOOKUP($A72,Haver_M!$B$1:$BZ$300,MATCH(data!AC$1,Haver_M!$B$1:$BZ$1,0),FALSE),"")</f>
        <v>67.573999999999998</v>
      </c>
      <c r="AD72">
        <f>IF(ISNUMBER(VLOOKUP($A72,Haver_M!$B$1:$BZ$300,MATCH(data!AD$1,Haver_M!$B$1:$BZ$1,0),FALSE)),VLOOKUP($A72,Haver_M!$B$1:$BZ$300,MATCH(data!AD$1,Haver_M!$B$1:$BZ$1,0),FALSE),"")</f>
        <v>77.313000000000002</v>
      </c>
      <c r="AE72">
        <f>IF(ISNUMBER(VLOOKUP($A72,Haver_M!$B$1:$BZ$300,MATCH(data!AE$1,Haver_M!$B$1:$BZ$1,0),FALSE)),VLOOKUP($A72,Haver_M!$B$1:$BZ$300,MATCH(data!AE$1,Haver_M!$B$1:$BZ$1,0),FALSE),"")</f>
        <v>95.049000000000007</v>
      </c>
      <c r="AF72">
        <f>IF(ISNUMBER(VLOOKUP($A72,Haver_M!$B$1:$BZ$300,MATCH(data!AF$1,Haver_M!$B$1:$BZ$1,0),FALSE)),VLOOKUP($A72,Haver_M!$B$1:$BZ$300,MATCH(data!AF$1,Haver_M!$B$1:$BZ$1,0),FALSE),"")</f>
        <v>64.554000000000002</v>
      </c>
      <c r="AG72">
        <f>IF(ISNUMBER(VLOOKUP($A72,Haver_M!$B$1:$BZ$300,MATCH(data!AG$1,Haver_M!$B$1:$BZ$1,0),FALSE)),VLOOKUP($A72,Haver_M!$B$1:$BZ$300,MATCH(data!AG$1,Haver_M!$B$1:$BZ$1,0),FALSE),"")</f>
        <v>63.323999999999998</v>
      </c>
      <c r="AH72">
        <f>IF(ISNUMBER(VLOOKUP($A72,Haver_M!$B$1:$BZ$300,MATCH(data!AH$1,Haver_M!$B$1:$BZ$1,0),FALSE)),VLOOKUP($A72,Haver_M!$B$1:$BZ$300,MATCH(data!AH$1,Haver_M!$B$1:$BZ$1,0),FALSE),"")</f>
        <v>70.213999999999999</v>
      </c>
      <c r="AI72">
        <f>IF(ISNUMBER(VLOOKUP($A72,Haver_M!$B$1:$BZ$300,MATCH(data!AI$1,Haver_M!$B$1:$BZ$1,0),FALSE)),VLOOKUP($A72,Haver_M!$B$1:$BZ$300,MATCH(data!AI$1,Haver_M!$B$1:$BZ$1,0),FALSE),"")</f>
        <v>9115.8616286159413</v>
      </c>
      <c r="AJ72">
        <f>IF(ISNUMBER(VLOOKUP($A72,Haver_M!$B$1:$BZ$300,MATCH(data!AJ$1,Haver_M!$B$1:$BZ$1,0),FALSE)),VLOOKUP($A72,Haver_M!$B$1:$BZ$300,MATCH(data!AJ$1,Haver_M!$B$1:$BZ$1,0),FALSE),"")</f>
        <v>7949.62</v>
      </c>
      <c r="AK72">
        <f>IF(ISNUMBER(VLOOKUP($A72,Haver_M!$B$1:$BZ$300,MATCH(data!AK$1,Haver_M!$B$1:$BZ$1,0),FALSE)),VLOOKUP($A72,Haver_M!$B$1:$BZ$300,MATCH(data!AK$1,Haver_M!$B$1:$BZ$1,0),FALSE),"")</f>
        <v>11649.67</v>
      </c>
      <c r="AL72" t="str">
        <f>IF(ISNUMBER(VLOOKUP($A72,Haver_M!$B$1:$BZ$300,MATCH(data!AL$1,Haver_M!$B$1:$BZ$1,0),FALSE)),VLOOKUP($A72,Haver_M!$B$1:$BZ$300,MATCH(data!AL$1,Haver_M!$B$1:$BZ$1,0),FALSE),"")</f>
        <v/>
      </c>
      <c r="AM72" t="str">
        <f>IF(ISNUMBER(VLOOKUP($A72,Haver_M!$B$1:$BZ$300,MATCH(data!AM$1,Haver_M!$B$1:$BZ$1,0),FALSE)),VLOOKUP($A72,Haver_M!$B$1:$BZ$300,MATCH(data!AM$1,Haver_M!$B$1:$BZ$1,0),FALSE),"")</f>
        <v/>
      </c>
      <c r="AN72" t="str">
        <f>IF(ISNUMBER(VLOOKUP($A72,Haver_M!$B$1:$BZ$300,MATCH(data!AN$1,Haver_M!$B$1:$BZ$1,0),FALSE)),VLOOKUP($A72,Haver_M!$B$1:$BZ$300,MATCH(data!AN$1,Haver_M!$B$1:$BZ$1,0),FALSE),"")</f>
        <v/>
      </c>
      <c r="AO72" t="str">
        <f>IF(ISNUMBER(VLOOKUP($A72,Haver_M!$B$1:$BZ$300,MATCH(data!AO$1,Haver_M!$B$1:$BZ$1,0),FALSE)),VLOOKUP($A72,Haver_M!$B$1:$BZ$300,MATCH(data!AO$1,Haver_M!$B$1:$BZ$1,0),FALSE),"")</f>
        <v/>
      </c>
      <c r="AP72">
        <f>IF(ISNUMBER(VLOOKUP($A72,Haver_M!$B$1:$BZ$300,MATCH(data!AP$1,Haver_M!$B$1:$BZ$1,0),FALSE)),VLOOKUP($A72,Haver_M!$B$1:$BZ$300,MATCH(data!AP$1,Haver_M!$B$1:$BZ$1,0),FALSE),"")</f>
        <v>38.248637754206221</v>
      </c>
      <c r="AQ72" t="str">
        <f>IF(ISNUMBER(VLOOKUP($A72,Haver_M!$B$1:$BZ$300,MATCH(data!AQ$1,Haver_M!$B$1:$BZ$1,0),FALSE)),VLOOKUP($A72,Haver_M!$B$1:$BZ$300,MATCH(data!AQ$1,Haver_M!$B$1:$BZ$1,0),FALSE),"")</f>
        <v/>
      </c>
      <c r="AR72">
        <f>IF(ISNUMBER(VLOOKUP($A72,Haver_M!$B$1:$BZ$300,MATCH(data!AR$1,Haver_M!$B$1:$BZ$1,0),FALSE)),VLOOKUP($A72,Haver_M!$B$1:$BZ$300,MATCH(data!AR$1,Haver_M!$B$1:$BZ$1,0),FALSE),"")</f>
        <v>55.962899999999998</v>
      </c>
      <c r="AS72" t="str">
        <f>IF(ISNUMBER(VLOOKUP($A72,Haver_M!$B$1:$BZ$300,MATCH(data!AS$1,Haver_M!$B$1:$BZ$1,0),FALSE)),VLOOKUP($A72,Haver_M!$B$1:$BZ$300,MATCH(data!AS$1,Haver_M!$B$1:$BZ$1,0),FALSE),"")</f>
        <v/>
      </c>
      <c r="AT72">
        <f>IF(ISNUMBER(VLOOKUP($A72,Haver_M!$B$1:$BZ$300,MATCH(data!AT$1,Haver_M!$B$1:$BZ$1,0),FALSE)),VLOOKUP($A72,Haver_M!$B$1:$BZ$300,MATCH(data!AT$1,Haver_M!$B$1:$BZ$1,0),FALSE),"")</f>
        <v>58.5319</v>
      </c>
      <c r="AU72">
        <f>IF(ISNUMBER(VLOOKUP($A72,Haver_M!$B$1:$BZ$300,MATCH(data!AU$1,Haver_M!$B$1:$BZ$1,0),FALSE)),VLOOKUP($A72,Haver_M!$B$1:$BZ$300,MATCH(data!AU$1,Haver_M!$B$1:$BZ$1,0),FALSE),"")</f>
        <v>61.421100000000003</v>
      </c>
      <c r="AV72">
        <f>IF(ISNUMBER(VLOOKUP($A72,Haver_M!$B$1:$BZ$300,MATCH(data!AV$1,Haver_M!$B$1:$BZ$1,0),FALSE)),VLOOKUP($A72,Haver_M!$B$1:$BZ$300,MATCH(data!AV$1,Haver_M!$B$1:$BZ$1,0),FALSE),"")</f>
        <v>52.545299999999997</v>
      </c>
      <c r="AW72">
        <f>IF(ISNUMBER(VLOOKUP($A72,Haver_M!$B$1:$BZ$300,MATCH(data!AW$1,Haver_M!$B$1:$BZ$1,0),FALSE)),VLOOKUP($A72,Haver_M!$B$1:$BZ$300,MATCH(data!AW$1,Haver_M!$B$1:$BZ$1,0),FALSE),"")</f>
        <v>50.792299999999997</v>
      </c>
      <c r="AX72">
        <f>IF(ISNUMBER(VLOOKUP($A72,Haver_M!$B$1:$BZ$300,MATCH(data!AX$1,Haver_M!$B$1:$BZ$1,0),FALSE)),VLOOKUP($A72,Haver_M!$B$1:$BZ$300,MATCH(data!AX$1,Haver_M!$B$1:$BZ$1,0),FALSE),"")</f>
        <v>50.133299999999998</v>
      </c>
      <c r="AY72">
        <f>IF(ISNUMBER(VLOOKUP($A72,Haver_M!$B$1:$BZ$300,MATCH(data!AY$1,Haver_M!$B$1:$BZ$1,0),FALSE)),VLOOKUP($A72,Haver_M!$B$1:$BZ$300,MATCH(data!AY$1,Haver_M!$B$1:$BZ$1,0),FALSE),"")</f>
        <v>54.712499999999999</v>
      </c>
      <c r="AZ72">
        <f>IF(ISNUMBER(VLOOKUP($A72,Haver_M!$B$1:$BZ$300,MATCH(data!AZ$1,Haver_M!$B$1:$BZ$1,0),FALSE)),VLOOKUP($A72,Haver_M!$B$1:$BZ$300,MATCH(data!AZ$1,Haver_M!$B$1:$BZ$1,0),FALSE),"")</f>
        <v>58.947600000000001</v>
      </c>
      <c r="BA72">
        <f>IF(ISNUMBER(VLOOKUP($A72,Haver_M!$B$1:$BZ$300,MATCH(data!BA$1,Haver_M!$B$1:$BZ$1,0),FALSE)),VLOOKUP($A72,Haver_M!$B$1:$BZ$300,MATCH(data!BA$1,Haver_M!$B$1:$BZ$1,0),FALSE),"")</f>
        <v>50.133299999999998</v>
      </c>
      <c r="BB72">
        <f>IF(ISNUMBER(VLOOKUP($A72,Haver_M!$B$1:$BZ$300,MATCH(data!BB$1,Haver_M!$B$1:$BZ$1,0),FALSE)),VLOOKUP($A72,Haver_M!$B$1:$BZ$300,MATCH(data!BB$1,Haver_M!$B$1:$BZ$1,0),FALSE),"")</f>
        <v>54.22</v>
      </c>
      <c r="BC72">
        <f>IF(ISNUMBER(VLOOKUP($A72,Haver_M!$B$1:$BZ$300,MATCH(data!BC$1,Haver_M!$B$1:$BZ$1,0),FALSE)),VLOOKUP($A72,Haver_M!$B$1:$BZ$300,MATCH(data!BC$1,Haver_M!$B$1:$BZ$1,0),FALSE),"")</f>
        <v>52.000799999999998</v>
      </c>
      <c r="BD72">
        <f>IF(ISNUMBER(VLOOKUP($A72,Haver_M!$B$1:$BZ$300,MATCH(data!BD$1,Haver_M!$B$1:$BZ$1,0),FALSE)),VLOOKUP($A72,Haver_M!$B$1:$BZ$300,MATCH(data!BD$1,Haver_M!$B$1:$BZ$1,0),FALSE),"")</f>
        <v>52.073999999999998</v>
      </c>
      <c r="BE72">
        <f>IF(ISNUMBER(VLOOKUP($A72,Haver_M!$B$1:$BZ$300,MATCH(data!BE$1,Haver_M!$B$1:$BZ$1,0),FALSE)),VLOOKUP($A72,Haver_M!$B$1:$BZ$300,MATCH(data!BE$1,Haver_M!$B$1:$BZ$1,0),FALSE),"")</f>
        <v>1.2679</v>
      </c>
      <c r="BF72" t="str">
        <f>IF(ISNUMBER(VLOOKUP($A72,Haver_M!$B$1:$BZ$300,MATCH(data!BF$1,Haver_M!$B$1:$BZ$1,0),FALSE)),VLOOKUP($A72,Haver_M!$B$1:$BZ$300,MATCH(data!BF$1,Haver_M!$B$1:$BZ$1,0),FALSE),"")</f>
        <v/>
      </c>
      <c r="BG72" t="str">
        <f>IF(ISNUMBER(VLOOKUP($A72,Haver_M!$B$1:$BZ$300,MATCH(data!BG$1,Haver_M!$B$1:$BZ$1,0),FALSE)),VLOOKUP($A72,Haver_M!$B$1:$BZ$300,MATCH(data!BG$1,Haver_M!$B$1:$BZ$1,0),FALSE),"")</f>
        <v/>
      </c>
      <c r="BH72" t="str">
        <f>IF(ISNUMBER(VLOOKUP($A72,Haver_M!$B$1:$BZ$300,MATCH(data!BH$1,Haver_M!$B$1:$BZ$1,0),FALSE)),VLOOKUP($A72,Haver_M!$B$1:$BZ$300,MATCH(data!BH$1,Haver_M!$B$1:$BZ$1,0),FALSE),"")</f>
        <v/>
      </c>
      <c r="BI72" t="str">
        <f>IF(ISNUMBER(VLOOKUP($A72,Haver_M!$B$1:$BZ$300,MATCH(data!BI$1,Haver_M!$B$1:$BZ$1,0),FALSE)),VLOOKUP($A72,Haver_M!$B$1:$BZ$300,MATCH(data!BI$1,Haver_M!$B$1:$BZ$1,0),FALSE),"")</f>
        <v/>
      </c>
      <c r="BJ72" t="str">
        <f>IF(ISNUMBER(VLOOKUP($A72,Haver_M!$B$1:$BZ$300,MATCH(data!BJ$1,Haver_M!$B$1:$BZ$1,0),FALSE)),VLOOKUP($A72,Haver_M!$B$1:$BZ$300,MATCH(data!BJ$1,Haver_M!$B$1:$BZ$1,0),FALSE),"")</f>
        <v/>
      </c>
      <c r="BK72" t="str">
        <f>IF(ISNUMBER(VLOOKUP($A72,Haver_M!$B$1:$BZ$300,MATCH(data!BK$1,Haver_M!$B$1:$BZ$1,0),FALSE)),VLOOKUP($A72,Haver_M!$B$1:$BZ$300,MATCH(data!BK$1,Haver_M!$B$1:$BZ$1,0),FALSE),"")</f>
        <v/>
      </c>
      <c r="BL72">
        <f>IF(ISNUMBER(VLOOKUP($A72,Haver_M!$B$1:$BZ$300,MATCH(data!BL$1,Haver_M!$B$1:$BZ$1,0),FALSE)),VLOOKUP($A72,Haver_M!$B$1:$BZ$300,MATCH(data!BL$1,Haver_M!$B$1:$BZ$1,0),FALSE),"")</f>
        <v>8534.36</v>
      </c>
      <c r="BM72">
        <f>IF(ISNUMBER(VLOOKUP($A72,Haver_M!$B$1:$BZ$300,MATCH(data!BM$1,Haver_M!$B$1:$BZ$1,0),FALSE)),VLOOKUP($A72,Haver_M!$B$1:$BZ$300,MATCH(data!BM$1,Haver_M!$B$1:$BZ$1,0),FALSE),"")</f>
        <v>98.657892380000007</v>
      </c>
      <c r="BN72" t="str">
        <f>IF(ISNUMBER(VLOOKUP($A72,Haver_M!$B$1:$BZ$300,MATCH(data!BN$1,Haver_M!$B$1:$BZ$1,0),FALSE)),VLOOKUP($A72,Haver_M!$B$1:$BZ$300,MATCH(data!BN$1,Haver_M!$B$1:$BZ$1,0),FALSE),"")</f>
        <v/>
      </c>
      <c r="BO72" t="str">
        <f>IF(ISNUMBER(VLOOKUP($A72,Haver_M!$B$1:$BZ$300,MATCH(data!BO$1,Haver_M!$B$1:$BZ$1,0),FALSE)),VLOOKUP($A72,Haver_M!$B$1:$BZ$300,MATCH(data!BO$1,Haver_M!$B$1:$BZ$1,0),FALSE),"")</f>
        <v/>
      </c>
      <c r="BP72" t="str">
        <f>IF(ISNUMBER(VLOOKUP($A72,Haver_M!$B$1:$BZ$300,MATCH(data!BP$1,Haver_M!$B$1:$BZ$1,0),FALSE)),VLOOKUP($A72,Haver_M!$B$1:$BZ$300,MATCH(data!BP$1,Haver_M!$B$1:$BZ$1,0),FALSE),"")</f>
        <v/>
      </c>
      <c r="BQ72" t="str">
        <f>IF(ISNUMBER(VLOOKUP($A72,Haver_M!$B$1:$BZ$300,MATCH(data!BQ$1,Haver_M!$B$1:$BZ$1,0),FALSE)),VLOOKUP($A72,Haver_M!$B$1:$BZ$300,MATCH(data!BQ$1,Haver_M!$B$1:$BZ$1,0),FALSE),"")</f>
        <v/>
      </c>
      <c r="BR72" t="str">
        <f>IF(ISNUMBER(VLOOKUP($A72,Haver_M!$B$1:$BZ$300,MATCH(data!BR$1,Haver_M!$B$1:$BZ$1,0),FALSE)),VLOOKUP($A72,Haver_M!$B$1:$BZ$300,MATCH(data!BR$1,Haver_M!$B$1:$BZ$1,0),FALSE),"")</f>
        <v/>
      </c>
      <c r="BS72" t="str">
        <f>IF(ISNUMBER(VLOOKUP($A72,Haver_M!$B$1:$BZ$300,MATCH(data!BS$1,Haver_M!$B$1:$BZ$1,0),FALSE)),VLOOKUP($A72,Haver_M!$B$1:$BZ$300,MATCH(data!BS$1,Haver_M!$B$1:$BZ$1,0),FALSE),"")</f>
        <v/>
      </c>
      <c r="BT72" t="str">
        <f>IF(ISNUMBER(VLOOKUP($A72,Haver_M!$B$1:$BZ$300,MATCH(data!BT$1,Haver_M!$B$1:$BZ$1,0),FALSE)),VLOOKUP($A72,Haver_M!$B$1:$BZ$300,MATCH(data!BT$1,Haver_M!$B$1:$BZ$1,0),FALSE),"")</f>
        <v/>
      </c>
      <c r="BU72">
        <f>IF(ISNUMBER(VLOOKUP($A72,Haver_M!$B$1:$BZ$300,MATCH(data!BU$1,Haver_M!$B$1:$BZ$1,0),FALSE)),VLOOKUP($A72,Haver_M!$B$1:$BZ$300,MATCH(data!BU$1,Haver_M!$B$1:$BZ$1,0),FALSE),"")</f>
        <v>7293</v>
      </c>
      <c r="BV72">
        <f>IF(ISNUMBER(VLOOKUP($A72,Haver_M!$B$1:$BZ$300,MATCH(data!BV$1,Haver_M!$B$1:$BZ$1,0),FALSE)),VLOOKUP($A72,Haver_M!$B$1:$BZ$300,MATCH(data!BV$1,Haver_M!$B$1:$BZ$1,0),FALSE),"")</f>
        <v>11326</v>
      </c>
      <c r="BW72">
        <f>IF(ISNUMBER(VLOOKUP($A72,Haver_M!$B$1:$BZ$300,MATCH(data!BW$1,Haver_M!$B$1:$BZ$1,0),FALSE)),VLOOKUP($A72,Haver_M!$B$1:$BZ$300,MATCH(data!BW$1,Haver_M!$B$1:$BZ$1,0),FALSE),"")</f>
        <v>45.726500000000001</v>
      </c>
      <c r="BX72">
        <f>IF(ISNUMBER(VLOOKUP($A72,Haver_M!$B$1:$BZ$300,MATCH(data!BX$1,Haver_M!$B$1:$BZ$1,0),FALSE)),VLOOKUP($A72,Haver_M!$B$1:$BZ$300,MATCH(data!BX$1,Haver_M!$B$1:$BZ$1,0),FALSE),"")</f>
        <v>19006</v>
      </c>
    </row>
    <row r="73" spans="1:76" x14ac:dyDescent="0.25">
      <c r="A73" s="2">
        <v>38717</v>
      </c>
      <c r="B73">
        <f>IF(ISNUMBER(VLOOKUP($A73,Haver_Q!$B$1:$L$185,MATCH(data!B$1,Haver_Q!$B$1:$L$1,0),FALSE)),100*(VLOOKUP($A73,Haver_Q!$B$1:$L$185,MATCH(data!B$1,Haver_Q!$B$1:$L$1,0),FALSE)),"")</f>
        <v>12.350383372051876</v>
      </c>
      <c r="C73">
        <f>IF(ISNUMBER(VLOOKUP($A73,Haver_Q!$B$1:$L$185,MATCH(data!C$1,Haver_Q!$B$1:$L$1,0),FALSE)),100*(VLOOKUP($A73,Haver_Q!$B$1:$L$185,MATCH(data!C$1,Haver_Q!$B$1:$L$1,0),FALSE)),"")</f>
        <v>4.9709927726832692</v>
      </c>
      <c r="D73">
        <f>IF(ISNUMBER(VLOOKUP($A73,Haver_Q!$B$1:$L$185,MATCH(data!D$1,Haver_Q!$B$1:$L$1,0),FALSE)),100*(VLOOKUP($A73,Haver_Q!$B$1:$L$185,MATCH(data!D$1,Haver_Q!$B$1:$L$1,0),FALSE)),"")</f>
        <v>0.59215974029580565</v>
      </c>
      <c r="E73">
        <f>IF(ISNUMBER(VLOOKUP($A73,Haver_Q!$B$1:$L$185,MATCH(data!E$1,Haver_Q!$B$1:$L$1,0),FALSE)),100*(VLOOKUP($A73,Haver_Q!$B$1:$L$185,MATCH(data!E$1,Haver_Q!$B$1:$L$1,0),FALSE)),"")</f>
        <v>20.220937950840657</v>
      </c>
      <c r="F73">
        <f>IF(ISNUMBER(VLOOKUP($A73,Haver_Q!$B$1:$L$185,MATCH(data!F$1,Haver_Q!$B$1:$L$1,0),FALSE)),100*(VLOOKUP($A73,Haver_Q!$B$1:$L$185,MATCH(data!F$1,Haver_Q!$B$1:$L$1,0),FALSE)),"")</f>
        <v>42.578412443853274</v>
      </c>
      <c r="G73">
        <f>IF(ISNUMBER(VLOOKUP($A73,Haver_Q!$B$1:$L$185,MATCH(data!G$1,Haver_Q!$B$1:$L$1,0),FALSE)),100*(VLOOKUP($A73,Haver_Q!$B$1:$L$185,MATCH(data!G$1,Haver_Q!$B$1:$L$1,0),FALSE)),"")</f>
        <v>34.738447580315324</v>
      </c>
      <c r="H73">
        <f>IF(ISNUMBER(VLOOKUP($A73,Haver_Q!$B$1:$L$185,MATCH(data!H$1,Haver_Q!$B$1:$L$1,0),FALSE)),(VLOOKUP($A73,Haver_Q!$B$1:$L$185,MATCH(data!H$1,Haver_Q!$B$1:$L$1,0),FALSE)),"")</f>
        <v>5.4978259436570251</v>
      </c>
      <c r="I73">
        <f>IF(ISNUMBER(VLOOKUP($A73,Haver_Q!$B$1:$L$185,MATCH(data!I$1,Haver_Q!$B$1:$L$1,0),FALSE)),100*(VLOOKUP($A73,Haver_Q!$B$1:$L$185,MATCH(data!I$1,Haver_Q!$B$1:$L$1,0),FALSE)),"")</f>
        <v>8.9734140623744185</v>
      </c>
      <c r="J73" s="3">
        <f>IF(ISNUMBER(Bloomberg_m!C89),Bloomberg_m!C89,"")</f>
        <v>2600</v>
      </c>
      <c r="K73" s="3" t="str">
        <f>IF(ISNUMBER(Bloomberg_m!D89),Bloomberg_m!D89,"")</f>
        <v/>
      </c>
      <c r="L73" s="3" t="str">
        <f>IF(ISNUMBER(Bloomberg_m!E89),Bloomberg_m!E89,"")</f>
        <v/>
      </c>
      <c r="M73" s="3" t="str">
        <f>IF(ISNUMBER(Bloomberg_m!F89),Bloomberg_m!F89,"")</f>
        <v/>
      </c>
      <c r="N73">
        <f>IF(ISNUMBER(VLOOKUP($A73,Haver_M!$B$1:$BZ$300,MATCH(data!N$1,Haver_M!$B$1:$BZ$1,0),FALSE)),VLOOKUP($A73,Haver_M!$B$1:$BZ$300,MATCH(data!N$1,Haver_M!$B$1:$BZ$1,0),FALSE),"")</f>
        <v>6.25</v>
      </c>
      <c r="O73">
        <f>IF(ISNUMBER(VLOOKUP($A73,Haver_M!$B$1:$BZ$300,MATCH(data!O$1,Haver_M!$B$1:$BZ$1,0),FALSE)),VLOOKUP($A73,Haver_M!$B$1:$BZ$300,MATCH(data!O$1,Haver_M!$B$1:$BZ$1,0),FALSE),"")</f>
        <v>7.1191000000000004</v>
      </c>
      <c r="P73">
        <f>IF(ISNUMBER(VLOOKUP($A73,Haver_M!$B$1:$BZ$300,MATCH(data!P$1,Haver_M!$B$1:$BZ$1,0),FALSE)),VLOOKUP($A73,Haver_M!$B$1:$BZ$300,MATCH(data!P$1,Haver_M!$B$1:$BZ$1,0),FALSE),"")</f>
        <v>93.708119999999994</v>
      </c>
      <c r="Q73">
        <f>IF(ISNUMBER(VLOOKUP($A73,Haver_M!$B$1:$BZ$300,MATCH(data!Q$1,Haver_M!$B$1:$BZ$1,0),FALSE)),VLOOKUP($A73,Haver_M!$B$1:$BZ$300,MATCH(data!Q$1,Haver_M!$B$1:$BZ$1,0),FALSE),"")</f>
        <v>58.5</v>
      </c>
      <c r="R73" t="str">
        <f>IF(ISNUMBER(VLOOKUP($A73,Haver_M!$B$1:$BZ$300,MATCH(data!R$1,Haver_M!$B$1:$BZ$1,0),FALSE)),VLOOKUP($A73,Haver_M!$B$1:$BZ$300,MATCH(data!R$1,Haver_M!$B$1:$BZ$1,0),FALSE),"")</f>
        <v/>
      </c>
      <c r="S73">
        <f>IF(ISNUMBER(VLOOKUP($A73,Haver_M!$B$1:$BZ$300,MATCH(data!S$1,Haver_M!$B$1:$BZ$1,0),FALSE)),VLOOKUP($A73,Haver_M!$B$1:$BZ$300,MATCH(data!S$1,Haver_M!$B$1:$BZ$1,0),FALSE),"")</f>
        <v>67.459999999999994</v>
      </c>
      <c r="T73">
        <f>IF(ISNUMBER(VLOOKUP($A73,Haver_M!$B$1:$BZ$300,MATCH(data!T$1,Haver_M!$B$1:$BZ$1,0),FALSE)),VLOOKUP($A73,Haver_M!$B$1:$BZ$300,MATCH(data!T$1,Haver_M!$B$1:$BZ$1,0),FALSE),"")</f>
        <v>72</v>
      </c>
      <c r="U73">
        <f>IF(ISNUMBER(VLOOKUP($A73,Haver_M!$B$1:$BZ$300,MATCH(data!U$1,Haver_M!$B$1:$BZ$1,0),FALSE)),VLOOKUP($A73,Haver_M!$B$1:$BZ$300,MATCH(data!U$1,Haver_M!$B$1:$BZ$1,0),FALSE),"")</f>
        <v>53.21</v>
      </c>
      <c r="V73">
        <f>IF(ISNUMBER(VLOOKUP($A73,Haver_M!$B$1:$BZ$300,MATCH(data!V$1,Haver_M!$B$1:$BZ$1,0),FALSE)),VLOOKUP($A73,Haver_M!$B$1:$BZ$300,MATCH(data!V$1,Haver_M!$B$1:$BZ$1,0),FALSE),"")</f>
        <v>80.569999999999993</v>
      </c>
      <c r="W73" t="str">
        <f>IF(ISNUMBER(VLOOKUP($A73,Haver_M!$B$1:$BZ$300,MATCH(data!W$1,Haver_M!$B$1:$BZ$1,0),FALSE)),VLOOKUP($A73,Haver_M!$B$1:$BZ$300,MATCH(data!W$1,Haver_M!$B$1:$BZ$1,0),FALSE),"")</f>
        <v/>
      </c>
      <c r="X73">
        <f>IF(ISNUMBER(VLOOKUP($A73,Haver_M!$B$1:$BZ$300,MATCH(data!X$1,Haver_M!$B$1:$BZ$1,0),FALSE)),VLOOKUP($A73,Haver_M!$B$1:$BZ$300,MATCH(data!X$1,Haver_M!$B$1:$BZ$1,0),FALSE),"")</f>
        <v>36.64</v>
      </c>
      <c r="Y73">
        <f>IF(ISNUMBER(VLOOKUP($A73,Haver_M!$B$1:$BZ$300,MATCH(data!Y$1,Haver_M!$B$1:$BZ$1,0),FALSE)),VLOOKUP($A73,Haver_M!$B$1:$BZ$300,MATCH(data!Y$1,Haver_M!$B$1:$BZ$1,0),FALSE),"")</f>
        <v>78.31</v>
      </c>
      <c r="Z73">
        <f>IF(ISNUMBER(VLOOKUP($A73,Haver_M!$B$1:$BZ$300,MATCH(data!Z$1,Haver_M!$B$1:$BZ$1,0),FALSE)),VLOOKUP($A73,Haver_M!$B$1:$BZ$300,MATCH(data!Z$1,Haver_M!$B$1:$BZ$1,0),FALSE),"")</f>
        <v>73.599999999999994</v>
      </c>
      <c r="AA73">
        <f>IF(ISNUMBER(VLOOKUP($A73,Haver_M!$B$1:$BZ$300,MATCH(data!AA$1,Haver_M!$B$1:$BZ$1,0),FALSE)),VLOOKUP($A73,Haver_M!$B$1:$BZ$300,MATCH(data!AA$1,Haver_M!$B$1:$BZ$1,0),FALSE),"")</f>
        <v>77.233000000000004</v>
      </c>
      <c r="AB73">
        <f>IF(ISNUMBER(VLOOKUP($A73,Haver_M!$B$1:$BZ$300,MATCH(data!AB$1,Haver_M!$B$1:$BZ$1,0),FALSE)),VLOOKUP($A73,Haver_M!$B$1:$BZ$300,MATCH(data!AB$1,Haver_M!$B$1:$BZ$1,0),FALSE),"")</f>
        <v>82.286000000000001</v>
      </c>
      <c r="AC73">
        <f>IF(ISNUMBER(VLOOKUP($A73,Haver_M!$B$1:$BZ$300,MATCH(data!AC$1,Haver_M!$B$1:$BZ$1,0),FALSE)),VLOOKUP($A73,Haver_M!$B$1:$BZ$300,MATCH(data!AC$1,Haver_M!$B$1:$BZ$1,0),FALSE),"")</f>
        <v>67.855999999999995</v>
      </c>
      <c r="AD73">
        <f>IF(ISNUMBER(VLOOKUP($A73,Haver_M!$B$1:$BZ$300,MATCH(data!AD$1,Haver_M!$B$1:$BZ$1,0),FALSE)),VLOOKUP($A73,Haver_M!$B$1:$BZ$300,MATCH(data!AD$1,Haver_M!$B$1:$BZ$1,0),FALSE),"")</f>
        <v>81.519000000000005</v>
      </c>
      <c r="AE73">
        <f>IF(ISNUMBER(VLOOKUP($A73,Haver_M!$B$1:$BZ$300,MATCH(data!AE$1,Haver_M!$B$1:$BZ$1,0),FALSE)),VLOOKUP($A73,Haver_M!$B$1:$BZ$300,MATCH(data!AE$1,Haver_M!$B$1:$BZ$1,0),FALSE),"")</f>
        <v>94.304000000000002</v>
      </c>
      <c r="AF73">
        <f>IF(ISNUMBER(VLOOKUP($A73,Haver_M!$B$1:$BZ$300,MATCH(data!AF$1,Haver_M!$B$1:$BZ$1,0),FALSE)),VLOOKUP($A73,Haver_M!$B$1:$BZ$300,MATCH(data!AF$1,Haver_M!$B$1:$BZ$1,0),FALSE),"")</f>
        <v>64.331999999999994</v>
      </c>
      <c r="AG73">
        <f>IF(ISNUMBER(VLOOKUP($A73,Haver_M!$B$1:$BZ$300,MATCH(data!AG$1,Haver_M!$B$1:$BZ$1,0),FALSE)),VLOOKUP($A73,Haver_M!$B$1:$BZ$300,MATCH(data!AG$1,Haver_M!$B$1:$BZ$1,0),FALSE),"")</f>
        <v>65.917000000000002</v>
      </c>
      <c r="AH73">
        <f>IF(ISNUMBER(VLOOKUP($A73,Haver_M!$B$1:$BZ$300,MATCH(data!AH$1,Haver_M!$B$1:$BZ$1,0),FALSE)),VLOOKUP($A73,Haver_M!$B$1:$BZ$300,MATCH(data!AH$1,Haver_M!$B$1:$BZ$1,0),FALSE),"")</f>
        <v>70.89</v>
      </c>
      <c r="AI73">
        <f>IF(ISNUMBER(VLOOKUP($A73,Haver_M!$B$1:$BZ$300,MATCH(data!AI$1,Haver_M!$B$1:$BZ$1,0),FALSE)),VLOOKUP($A73,Haver_M!$B$1:$BZ$300,MATCH(data!AI$1,Haver_M!$B$1:$BZ$1,0),FALSE),"")</f>
        <v>9654.4541976352284</v>
      </c>
      <c r="AJ73">
        <f>IF(ISNUMBER(VLOOKUP($A73,Haver_M!$B$1:$BZ$300,MATCH(data!AJ$1,Haver_M!$B$1:$BZ$1,0),FALSE)),VLOOKUP($A73,Haver_M!$B$1:$BZ$300,MATCH(data!AJ$1,Haver_M!$B$1:$BZ$1,0),FALSE),"")</f>
        <v>9356.9699999999993</v>
      </c>
      <c r="AK73">
        <f>IF(ISNUMBER(VLOOKUP($A73,Haver_M!$B$1:$BZ$300,MATCH(data!AK$1,Haver_M!$B$1:$BZ$1,0),FALSE)),VLOOKUP($A73,Haver_M!$B$1:$BZ$300,MATCH(data!AK$1,Haver_M!$B$1:$BZ$1,0),FALSE),"")</f>
        <v>12768.53</v>
      </c>
      <c r="AL73" t="str">
        <f>IF(ISNUMBER(VLOOKUP($A73,Haver_M!$B$1:$BZ$300,MATCH(data!AL$1,Haver_M!$B$1:$BZ$1,0),FALSE)),VLOOKUP($A73,Haver_M!$B$1:$BZ$300,MATCH(data!AL$1,Haver_M!$B$1:$BZ$1,0),FALSE),"")</f>
        <v/>
      </c>
      <c r="AM73" t="str">
        <f>IF(ISNUMBER(VLOOKUP($A73,Haver_M!$B$1:$BZ$300,MATCH(data!AM$1,Haver_M!$B$1:$BZ$1,0),FALSE)),VLOOKUP($A73,Haver_M!$B$1:$BZ$300,MATCH(data!AM$1,Haver_M!$B$1:$BZ$1,0),FALSE),"")</f>
        <v/>
      </c>
      <c r="AN73" t="str">
        <f>IF(ISNUMBER(VLOOKUP($A73,Haver_M!$B$1:$BZ$300,MATCH(data!AN$1,Haver_M!$B$1:$BZ$1,0),FALSE)),VLOOKUP($A73,Haver_M!$B$1:$BZ$300,MATCH(data!AN$1,Haver_M!$B$1:$BZ$1,0),FALSE),"")</f>
        <v/>
      </c>
      <c r="AO73" t="str">
        <f>IF(ISNUMBER(VLOOKUP($A73,Haver_M!$B$1:$BZ$300,MATCH(data!AO$1,Haver_M!$B$1:$BZ$1,0),FALSE)),VLOOKUP($A73,Haver_M!$B$1:$BZ$300,MATCH(data!AO$1,Haver_M!$B$1:$BZ$1,0),FALSE),"")</f>
        <v/>
      </c>
      <c r="AP73">
        <f>IF(ISNUMBER(VLOOKUP($A73,Haver_M!$B$1:$BZ$300,MATCH(data!AP$1,Haver_M!$B$1:$BZ$1,0),FALSE)),VLOOKUP($A73,Haver_M!$B$1:$BZ$300,MATCH(data!AP$1,Haver_M!$B$1:$BZ$1,0),FALSE),"")</f>
        <v>44.533332046531086</v>
      </c>
      <c r="AQ73">
        <f>IF(ISNUMBER(VLOOKUP($A73,Haver_M!$B$1:$BZ$300,MATCH(data!AQ$1,Haver_M!$B$1:$BZ$1,0),FALSE)),VLOOKUP($A73,Haver_M!$B$1:$BZ$300,MATCH(data!AQ$1,Haver_M!$B$1:$BZ$1,0),FALSE),"")</f>
        <v>61.952100000000002</v>
      </c>
      <c r="AR73">
        <f>IF(ISNUMBER(VLOOKUP($A73,Haver_M!$B$1:$BZ$300,MATCH(data!AR$1,Haver_M!$B$1:$BZ$1,0),FALSE)),VLOOKUP($A73,Haver_M!$B$1:$BZ$300,MATCH(data!AR$1,Haver_M!$B$1:$BZ$1,0),FALSE),"")</f>
        <v>55.770499999999998</v>
      </c>
      <c r="AS73">
        <f>IF(ISNUMBER(VLOOKUP($A73,Haver_M!$B$1:$BZ$300,MATCH(data!AS$1,Haver_M!$B$1:$BZ$1,0),FALSE)),VLOOKUP($A73,Haver_M!$B$1:$BZ$300,MATCH(data!AS$1,Haver_M!$B$1:$BZ$1,0),FALSE),"")</f>
        <v>63.607399999999998</v>
      </c>
      <c r="AT73">
        <f>IF(ISNUMBER(VLOOKUP($A73,Haver_M!$B$1:$BZ$300,MATCH(data!AT$1,Haver_M!$B$1:$BZ$1,0),FALSE)),VLOOKUP($A73,Haver_M!$B$1:$BZ$300,MATCH(data!AT$1,Haver_M!$B$1:$BZ$1,0),FALSE),"")</f>
        <v>58.231000000000002</v>
      </c>
      <c r="AU73">
        <f>IF(ISNUMBER(VLOOKUP($A73,Haver_M!$B$1:$BZ$300,MATCH(data!AU$1,Haver_M!$B$1:$BZ$1,0),FALSE)),VLOOKUP($A73,Haver_M!$B$1:$BZ$300,MATCH(data!AU$1,Haver_M!$B$1:$BZ$1,0),FALSE),"")</f>
        <v>60.8108</v>
      </c>
      <c r="AV73">
        <f>IF(ISNUMBER(VLOOKUP($A73,Haver_M!$B$1:$BZ$300,MATCH(data!AV$1,Haver_M!$B$1:$BZ$1,0),FALSE)),VLOOKUP($A73,Haver_M!$B$1:$BZ$300,MATCH(data!AV$1,Haver_M!$B$1:$BZ$1,0),FALSE),"")</f>
        <v>52.559800000000003</v>
      </c>
      <c r="AW73">
        <f>IF(ISNUMBER(VLOOKUP($A73,Haver_M!$B$1:$BZ$300,MATCH(data!AW$1,Haver_M!$B$1:$BZ$1,0),FALSE)),VLOOKUP($A73,Haver_M!$B$1:$BZ$300,MATCH(data!AW$1,Haver_M!$B$1:$BZ$1,0),FALSE),"")</f>
        <v>51.842799999999997</v>
      </c>
      <c r="AX73">
        <f>IF(ISNUMBER(VLOOKUP($A73,Haver_M!$B$1:$BZ$300,MATCH(data!AX$1,Haver_M!$B$1:$BZ$1,0),FALSE)),VLOOKUP($A73,Haver_M!$B$1:$BZ$300,MATCH(data!AX$1,Haver_M!$B$1:$BZ$1,0),FALSE),"")</f>
        <v>52.3399</v>
      </c>
      <c r="AY73">
        <f>IF(ISNUMBER(VLOOKUP($A73,Haver_M!$B$1:$BZ$300,MATCH(data!AY$1,Haver_M!$B$1:$BZ$1,0),FALSE)),VLOOKUP($A73,Haver_M!$B$1:$BZ$300,MATCH(data!AY$1,Haver_M!$B$1:$BZ$1,0),FALSE),"")</f>
        <v>56.157600000000002</v>
      </c>
      <c r="AZ73">
        <f>IF(ISNUMBER(VLOOKUP($A73,Haver_M!$B$1:$BZ$300,MATCH(data!AZ$1,Haver_M!$B$1:$BZ$1,0),FALSE)),VLOOKUP($A73,Haver_M!$B$1:$BZ$300,MATCH(data!AZ$1,Haver_M!$B$1:$BZ$1,0),FALSE),"")</f>
        <v>57.739600000000003</v>
      </c>
      <c r="BA73">
        <f>IF(ISNUMBER(VLOOKUP($A73,Haver_M!$B$1:$BZ$300,MATCH(data!BA$1,Haver_M!$B$1:$BZ$1,0),FALSE)),VLOOKUP($A73,Haver_M!$B$1:$BZ$300,MATCH(data!BA$1,Haver_M!$B$1:$BZ$1,0),FALSE),"")</f>
        <v>52.3399</v>
      </c>
      <c r="BB73">
        <f>IF(ISNUMBER(VLOOKUP($A73,Haver_M!$B$1:$BZ$300,MATCH(data!BB$1,Haver_M!$B$1:$BZ$1,0),FALSE)),VLOOKUP($A73,Haver_M!$B$1:$BZ$300,MATCH(data!BB$1,Haver_M!$B$1:$BZ$1,0),FALSE),"")</f>
        <v>55.902799999999999</v>
      </c>
      <c r="BC73">
        <f>IF(ISNUMBER(VLOOKUP($A73,Haver_M!$B$1:$BZ$300,MATCH(data!BC$1,Haver_M!$B$1:$BZ$1,0),FALSE)),VLOOKUP($A73,Haver_M!$B$1:$BZ$300,MATCH(data!BC$1,Haver_M!$B$1:$BZ$1,0),FALSE),"")</f>
        <v>52.579900000000002</v>
      </c>
      <c r="BD73">
        <f>IF(ISNUMBER(VLOOKUP($A73,Haver_M!$B$1:$BZ$300,MATCH(data!BD$1,Haver_M!$B$1:$BZ$1,0),FALSE)),VLOOKUP($A73,Haver_M!$B$1:$BZ$300,MATCH(data!BD$1,Haver_M!$B$1:$BZ$1,0),FALSE),"")</f>
        <v>51.847299999999997</v>
      </c>
      <c r="BE73">
        <f>IF(ISNUMBER(VLOOKUP($A73,Haver_M!$B$1:$BZ$300,MATCH(data!BE$1,Haver_M!$B$1:$BZ$1,0),FALSE)),VLOOKUP($A73,Haver_M!$B$1:$BZ$300,MATCH(data!BE$1,Haver_M!$B$1:$BZ$1,0),FALSE),"")</f>
        <v>1.2192000000000001</v>
      </c>
      <c r="BF73">
        <f>IF(ISNUMBER(VLOOKUP($A73,Haver_M!$B$1:$BZ$300,MATCH(data!BF$1,Haver_M!$B$1:$BZ$1,0),FALSE)),VLOOKUP($A73,Haver_M!$B$1:$BZ$300,MATCH(data!BF$1,Haver_M!$B$1:$BZ$1,0),FALSE),"")</f>
        <v>56.457700000000003</v>
      </c>
      <c r="BG73">
        <f>IF(ISNUMBER(VLOOKUP($A73,Haver_M!$B$1:$BZ$300,MATCH(data!BG$1,Haver_M!$B$1:$BZ$1,0),FALSE)),VLOOKUP($A73,Haver_M!$B$1:$BZ$300,MATCH(data!BG$1,Haver_M!$B$1:$BZ$1,0),FALSE),"")</f>
        <v>53.735300000000002</v>
      </c>
      <c r="BH73">
        <f>IF(ISNUMBER(VLOOKUP($A73,Haver_M!$B$1:$BZ$300,MATCH(data!BH$1,Haver_M!$B$1:$BZ$1,0),FALSE)),VLOOKUP($A73,Haver_M!$B$1:$BZ$300,MATCH(data!BH$1,Haver_M!$B$1:$BZ$1,0),FALSE),"")</f>
        <v>61.2502</v>
      </c>
      <c r="BI73">
        <f>IF(ISNUMBER(VLOOKUP($A73,Haver_M!$B$1:$BZ$300,MATCH(data!BI$1,Haver_M!$B$1:$BZ$1,0),FALSE)),VLOOKUP($A73,Haver_M!$B$1:$BZ$300,MATCH(data!BI$1,Haver_M!$B$1:$BZ$1,0),FALSE),"")</f>
        <v>59.355200000000004</v>
      </c>
      <c r="BJ73" t="str">
        <f>IF(ISNUMBER(VLOOKUP($A73,Haver_M!$B$1:$BZ$300,MATCH(data!BJ$1,Haver_M!$B$1:$BZ$1,0),FALSE)),VLOOKUP($A73,Haver_M!$B$1:$BZ$300,MATCH(data!BJ$1,Haver_M!$B$1:$BZ$1,0),FALSE),"")</f>
        <v/>
      </c>
      <c r="BK73">
        <f>IF(ISNUMBER(VLOOKUP($A73,Haver_M!$B$1:$BZ$300,MATCH(data!BK$1,Haver_M!$B$1:$BZ$1,0),FALSE)),VLOOKUP($A73,Haver_M!$B$1:$BZ$300,MATCH(data!BK$1,Haver_M!$B$1:$BZ$1,0),FALSE),"")</f>
        <v>52.729500000000002</v>
      </c>
      <c r="BL73">
        <f>IF(ISNUMBER(VLOOKUP($A73,Haver_M!$B$1:$BZ$300,MATCH(data!BL$1,Haver_M!$B$1:$BZ$1,0),FALSE)),VLOOKUP($A73,Haver_M!$B$1:$BZ$300,MATCH(data!BL$1,Haver_M!$B$1:$BZ$1,0),FALSE),"")</f>
        <v>9162.07</v>
      </c>
      <c r="BM73">
        <f>IF(ISNUMBER(VLOOKUP($A73,Haver_M!$B$1:$BZ$300,MATCH(data!BM$1,Haver_M!$B$1:$BZ$1,0),FALSE)),VLOOKUP($A73,Haver_M!$B$1:$BZ$300,MATCH(data!BM$1,Haver_M!$B$1:$BZ$1,0),FALSE),"")</f>
        <v>101.16478696999999</v>
      </c>
      <c r="BN73">
        <f>IF(ISNUMBER(VLOOKUP($A73,Haver_M!$B$1:$BZ$300,MATCH(data!BN$1,Haver_M!$B$1:$BZ$1,0),FALSE)),VLOOKUP($A73,Haver_M!$B$1:$BZ$300,MATCH(data!BN$1,Haver_M!$B$1:$BZ$1,0),FALSE),"")</f>
        <v>124.3</v>
      </c>
      <c r="BO73">
        <f>IF(ISNUMBER(VLOOKUP($A73,Haver_M!$B$1:$BZ$300,MATCH(data!BO$1,Haver_M!$B$1:$BZ$1,0),FALSE)),VLOOKUP($A73,Haver_M!$B$1:$BZ$300,MATCH(data!BO$1,Haver_M!$B$1:$BZ$1,0),FALSE),"")</f>
        <v>122.7</v>
      </c>
      <c r="BP73">
        <f>IF(ISNUMBER(VLOOKUP($A73,Haver_M!$B$1:$BZ$300,MATCH(data!BP$1,Haver_M!$B$1:$BZ$1,0),FALSE)),VLOOKUP($A73,Haver_M!$B$1:$BZ$300,MATCH(data!BP$1,Haver_M!$B$1:$BZ$1,0),FALSE),"")</f>
        <v>51.3</v>
      </c>
      <c r="BQ73" t="str">
        <f>IF(ISNUMBER(VLOOKUP($A73,Haver_M!$B$1:$BZ$300,MATCH(data!BQ$1,Haver_M!$B$1:$BZ$1,0),FALSE)),VLOOKUP($A73,Haver_M!$B$1:$BZ$300,MATCH(data!BQ$1,Haver_M!$B$1:$BZ$1,0),FALSE),"")</f>
        <v/>
      </c>
      <c r="BR73" t="str">
        <f>IF(ISNUMBER(VLOOKUP($A73,Haver_M!$B$1:$BZ$300,MATCH(data!BR$1,Haver_M!$B$1:$BZ$1,0),FALSE)),VLOOKUP($A73,Haver_M!$B$1:$BZ$300,MATCH(data!BR$1,Haver_M!$B$1:$BZ$1,0),FALSE),"")</f>
        <v/>
      </c>
      <c r="BS73" t="str">
        <f>IF(ISNUMBER(VLOOKUP($A73,Haver_M!$B$1:$BZ$300,MATCH(data!BS$1,Haver_M!$B$1:$BZ$1,0),FALSE)),VLOOKUP($A73,Haver_M!$B$1:$BZ$300,MATCH(data!BS$1,Haver_M!$B$1:$BZ$1,0),FALSE),"")</f>
        <v/>
      </c>
      <c r="BT73" t="str">
        <f>IF(ISNUMBER(VLOOKUP($A73,Haver_M!$B$1:$BZ$300,MATCH(data!BT$1,Haver_M!$B$1:$BZ$1,0),FALSE)),VLOOKUP($A73,Haver_M!$B$1:$BZ$300,MATCH(data!BT$1,Haver_M!$B$1:$BZ$1,0),FALSE),"")</f>
        <v/>
      </c>
      <c r="BU73">
        <f>IF(ISNUMBER(VLOOKUP($A73,Haver_M!$B$1:$BZ$300,MATCH(data!BU$1,Haver_M!$B$1:$BZ$1,0),FALSE)),VLOOKUP($A73,Haver_M!$B$1:$BZ$300,MATCH(data!BU$1,Haver_M!$B$1:$BZ$1,0),FALSE),"")</f>
        <v>9235</v>
      </c>
      <c r="BV73">
        <f>IF(ISNUMBER(VLOOKUP($A73,Haver_M!$B$1:$BZ$300,MATCH(data!BV$1,Haver_M!$B$1:$BZ$1,0),FALSE)),VLOOKUP($A73,Haver_M!$B$1:$BZ$300,MATCH(data!BV$1,Haver_M!$B$1:$BZ$1,0),FALSE),"")</f>
        <v>12390</v>
      </c>
      <c r="BW73">
        <f>IF(ISNUMBER(VLOOKUP($A73,Haver_M!$B$1:$BZ$300,MATCH(data!BW$1,Haver_M!$B$1:$BZ$1,0),FALSE)),VLOOKUP($A73,Haver_M!$B$1:$BZ$300,MATCH(data!BW$1,Haver_M!$B$1:$BZ$1,0),FALSE),"")</f>
        <v>45.641100000000002</v>
      </c>
      <c r="BX73">
        <f>IF(ISNUMBER(VLOOKUP($A73,Haver_M!$B$1:$BZ$300,MATCH(data!BX$1,Haver_M!$B$1:$BZ$1,0),FALSE)),VLOOKUP($A73,Haver_M!$B$1:$BZ$300,MATCH(data!BX$1,Haver_M!$B$1:$BZ$1,0),FALSE),"")</f>
        <v>19260</v>
      </c>
    </row>
    <row r="74" spans="1:76" x14ac:dyDescent="0.25">
      <c r="A74" s="2">
        <v>38748</v>
      </c>
      <c r="B74" t="str">
        <f>IF(ISNUMBER(VLOOKUP($A74,Haver_Q!$B$1:$L$185,MATCH(data!B$1,Haver_Q!$B$1:$L$1,0),FALSE)),100*(VLOOKUP($A74,Haver_Q!$B$1:$L$185,MATCH(data!B$1,Haver_Q!$B$1:$L$1,0),FALSE)),"")</f>
        <v/>
      </c>
      <c r="C74" t="str">
        <f>IF(ISNUMBER(VLOOKUP($A74,Haver_Q!$B$1:$L$185,MATCH(data!C$1,Haver_Q!$B$1:$L$1,0),FALSE)),100*(VLOOKUP($A74,Haver_Q!$B$1:$L$185,MATCH(data!C$1,Haver_Q!$B$1:$L$1,0),FALSE)),"")</f>
        <v/>
      </c>
      <c r="D74" t="str">
        <f>IF(ISNUMBER(VLOOKUP($A74,Haver_Q!$B$1:$L$185,MATCH(data!D$1,Haver_Q!$B$1:$L$1,0),FALSE)),100*(VLOOKUP($A74,Haver_Q!$B$1:$L$185,MATCH(data!D$1,Haver_Q!$B$1:$L$1,0),FALSE)),"")</f>
        <v/>
      </c>
      <c r="E74" t="str">
        <f>IF(ISNUMBER(VLOOKUP($A74,Haver_Q!$B$1:$L$185,MATCH(data!E$1,Haver_Q!$B$1:$L$1,0),FALSE)),100*(VLOOKUP($A74,Haver_Q!$B$1:$L$185,MATCH(data!E$1,Haver_Q!$B$1:$L$1,0),FALSE)),"")</f>
        <v/>
      </c>
      <c r="F74" t="str">
        <f>IF(ISNUMBER(VLOOKUP($A74,Haver_Q!$B$1:$L$185,MATCH(data!F$1,Haver_Q!$B$1:$L$1,0),FALSE)),100*(VLOOKUP($A74,Haver_Q!$B$1:$L$185,MATCH(data!F$1,Haver_Q!$B$1:$L$1,0),FALSE)),"")</f>
        <v/>
      </c>
      <c r="G74" t="str">
        <f>IF(ISNUMBER(VLOOKUP($A74,Haver_Q!$B$1:$L$185,MATCH(data!G$1,Haver_Q!$B$1:$L$1,0),FALSE)),100*(VLOOKUP($A74,Haver_Q!$B$1:$L$185,MATCH(data!G$1,Haver_Q!$B$1:$L$1,0),FALSE)),"")</f>
        <v/>
      </c>
      <c r="H74" t="str">
        <f>IF(ISNUMBER(VLOOKUP($A74,Haver_Q!$B$1:$L$185,MATCH(data!H$1,Haver_Q!$B$1:$L$1,0),FALSE)),(VLOOKUP($A74,Haver_Q!$B$1:$L$185,MATCH(data!H$1,Haver_Q!$B$1:$L$1,0),FALSE)),"")</f>
        <v/>
      </c>
      <c r="I74" t="str">
        <f>IF(ISNUMBER(VLOOKUP($A74,Haver_Q!$B$1:$L$185,MATCH(data!I$1,Haver_Q!$B$1:$L$1,0),FALSE)),100*(VLOOKUP($A74,Haver_Q!$B$1:$L$185,MATCH(data!I$1,Haver_Q!$B$1:$L$1,0),FALSE)),"")</f>
        <v/>
      </c>
      <c r="J74" s="3">
        <f>IF(ISNUMBER(Bloomberg_m!C90),Bloomberg_m!C90,"")</f>
        <v>2262</v>
      </c>
      <c r="K74" s="3" t="str">
        <f>IF(ISNUMBER(Bloomberg_m!D90),Bloomberg_m!D90,"")</f>
        <v/>
      </c>
      <c r="L74" s="3" t="str">
        <f>IF(ISNUMBER(Bloomberg_m!E90),Bloomberg_m!E90,"")</f>
        <v/>
      </c>
      <c r="M74" s="3" t="str">
        <f>IF(ISNUMBER(Bloomberg_m!F90),Bloomberg_m!F90,"")</f>
        <v/>
      </c>
      <c r="N74">
        <f>IF(ISNUMBER(VLOOKUP($A74,Haver_M!$B$1:$BZ$300,MATCH(data!N$1,Haver_M!$B$1:$BZ$1,0),FALSE)),VLOOKUP($A74,Haver_M!$B$1:$BZ$300,MATCH(data!N$1,Haver_M!$B$1:$BZ$1,0),FALSE),"")</f>
        <v>6.5</v>
      </c>
      <c r="O74">
        <f>IF(ISNUMBER(VLOOKUP($A74,Haver_M!$B$1:$BZ$300,MATCH(data!O$1,Haver_M!$B$1:$BZ$1,0),FALSE)),VLOOKUP($A74,Haver_M!$B$1:$BZ$300,MATCH(data!O$1,Haver_M!$B$1:$BZ$1,0),FALSE),"")</f>
        <v>7.3090000000000002</v>
      </c>
      <c r="P74">
        <f>IF(ISNUMBER(VLOOKUP($A74,Haver_M!$B$1:$BZ$300,MATCH(data!P$1,Haver_M!$B$1:$BZ$1,0),FALSE)),VLOOKUP($A74,Haver_M!$B$1:$BZ$300,MATCH(data!P$1,Haver_M!$B$1:$BZ$1,0),FALSE),"")</f>
        <v>94.942149999999998</v>
      </c>
      <c r="Q74">
        <f>IF(ISNUMBER(VLOOKUP($A74,Haver_M!$B$1:$BZ$300,MATCH(data!Q$1,Haver_M!$B$1:$BZ$1,0),FALSE)),VLOOKUP($A74,Haver_M!$B$1:$BZ$300,MATCH(data!Q$1,Haver_M!$B$1:$BZ$1,0),FALSE),"")</f>
        <v>58.6</v>
      </c>
      <c r="R74" t="str">
        <f>IF(ISNUMBER(VLOOKUP($A74,Haver_M!$B$1:$BZ$300,MATCH(data!R$1,Haver_M!$B$1:$BZ$1,0),FALSE)),VLOOKUP($A74,Haver_M!$B$1:$BZ$300,MATCH(data!R$1,Haver_M!$B$1:$BZ$1,0),FALSE),"")</f>
        <v/>
      </c>
      <c r="S74">
        <f>IF(ISNUMBER(VLOOKUP($A74,Haver_M!$B$1:$BZ$300,MATCH(data!S$1,Haver_M!$B$1:$BZ$1,0),FALSE)),VLOOKUP($A74,Haver_M!$B$1:$BZ$300,MATCH(data!S$1,Haver_M!$B$1:$BZ$1,0),FALSE),"")</f>
        <v>68.58</v>
      </c>
      <c r="T74">
        <f>IF(ISNUMBER(VLOOKUP($A74,Haver_M!$B$1:$BZ$300,MATCH(data!T$1,Haver_M!$B$1:$BZ$1,0),FALSE)),VLOOKUP($A74,Haver_M!$B$1:$BZ$300,MATCH(data!T$1,Haver_M!$B$1:$BZ$1,0),FALSE),"")</f>
        <v>72.680000000000007</v>
      </c>
      <c r="U74">
        <f>IF(ISNUMBER(VLOOKUP($A74,Haver_M!$B$1:$BZ$300,MATCH(data!U$1,Haver_M!$B$1:$BZ$1,0),FALSE)),VLOOKUP($A74,Haver_M!$B$1:$BZ$300,MATCH(data!U$1,Haver_M!$B$1:$BZ$1,0),FALSE),"")</f>
        <v>56.07</v>
      </c>
      <c r="V74">
        <f>IF(ISNUMBER(VLOOKUP($A74,Haver_M!$B$1:$BZ$300,MATCH(data!V$1,Haver_M!$B$1:$BZ$1,0),FALSE)),VLOOKUP($A74,Haver_M!$B$1:$BZ$300,MATCH(data!V$1,Haver_M!$B$1:$BZ$1,0),FALSE),"")</f>
        <v>81.99</v>
      </c>
      <c r="W74" t="str">
        <f>IF(ISNUMBER(VLOOKUP($A74,Haver_M!$B$1:$BZ$300,MATCH(data!W$1,Haver_M!$B$1:$BZ$1,0),FALSE)),VLOOKUP($A74,Haver_M!$B$1:$BZ$300,MATCH(data!W$1,Haver_M!$B$1:$BZ$1,0),FALSE),"")</f>
        <v/>
      </c>
      <c r="X74">
        <f>IF(ISNUMBER(VLOOKUP($A74,Haver_M!$B$1:$BZ$300,MATCH(data!X$1,Haver_M!$B$1:$BZ$1,0),FALSE)),VLOOKUP($A74,Haver_M!$B$1:$BZ$300,MATCH(data!X$1,Haver_M!$B$1:$BZ$1,0),FALSE),"")</f>
        <v>39.54</v>
      </c>
      <c r="Y74">
        <f>IF(ISNUMBER(VLOOKUP($A74,Haver_M!$B$1:$BZ$300,MATCH(data!Y$1,Haver_M!$B$1:$BZ$1,0),FALSE)),VLOOKUP($A74,Haver_M!$B$1:$BZ$300,MATCH(data!Y$1,Haver_M!$B$1:$BZ$1,0),FALSE),"")</f>
        <v>76.94</v>
      </c>
      <c r="Z74">
        <f>IF(ISNUMBER(VLOOKUP($A74,Haver_M!$B$1:$BZ$300,MATCH(data!Z$1,Haver_M!$B$1:$BZ$1,0),FALSE)),VLOOKUP($A74,Haver_M!$B$1:$BZ$300,MATCH(data!Z$1,Haver_M!$B$1:$BZ$1,0),FALSE),"")</f>
        <v>73.900000000000006</v>
      </c>
      <c r="AA74">
        <f>IF(ISNUMBER(VLOOKUP($A74,Haver_M!$B$1:$BZ$300,MATCH(data!AA$1,Haver_M!$B$1:$BZ$1,0),FALSE)),VLOOKUP($A74,Haver_M!$B$1:$BZ$300,MATCH(data!AA$1,Haver_M!$B$1:$BZ$1,0),FALSE),"")</f>
        <v>75.554000000000002</v>
      </c>
      <c r="AB74">
        <f>IF(ISNUMBER(VLOOKUP($A74,Haver_M!$B$1:$BZ$300,MATCH(data!AB$1,Haver_M!$B$1:$BZ$1,0),FALSE)),VLOOKUP($A74,Haver_M!$B$1:$BZ$300,MATCH(data!AB$1,Haver_M!$B$1:$BZ$1,0),FALSE),"")</f>
        <v>85.165999999999997</v>
      </c>
      <c r="AC74">
        <f>IF(ISNUMBER(VLOOKUP($A74,Haver_M!$B$1:$BZ$300,MATCH(data!AC$1,Haver_M!$B$1:$BZ$1,0),FALSE)),VLOOKUP($A74,Haver_M!$B$1:$BZ$300,MATCH(data!AC$1,Haver_M!$B$1:$BZ$1,0),FALSE),"")</f>
        <v>69.177999999999997</v>
      </c>
      <c r="AD74">
        <f>IF(ISNUMBER(VLOOKUP($A74,Haver_M!$B$1:$BZ$300,MATCH(data!AD$1,Haver_M!$B$1:$BZ$1,0),FALSE)),VLOOKUP($A74,Haver_M!$B$1:$BZ$300,MATCH(data!AD$1,Haver_M!$B$1:$BZ$1,0),FALSE),"")</f>
        <v>80.262</v>
      </c>
      <c r="AE74">
        <f>IF(ISNUMBER(VLOOKUP($A74,Haver_M!$B$1:$BZ$300,MATCH(data!AE$1,Haver_M!$B$1:$BZ$1,0),FALSE)),VLOOKUP($A74,Haver_M!$B$1:$BZ$300,MATCH(data!AE$1,Haver_M!$B$1:$BZ$1,0),FALSE),"")</f>
        <v>96.617999999999995</v>
      </c>
      <c r="AF74">
        <f>IF(ISNUMBER(VLOOKUP($A74,Haver_M!$B$1:$BZ$300,MATCH(data!AF$1,Haver_M!$B$1:$BZ$1,0),FALSE)),VLOOKUP($A74,Haver_M!$B$1:$BZ$300,MATCH(data!AF$1,Haver_M!$B$1:$BZ$1,0),FALSE),"")</f>
        <v>64.495000000000005</v>
      </c>
      <c r="AG74">
        <f>IF(ISNUMBER(VLOOKUP($A74,Haver_M!$B$1:$BZ$300,MATCH(data!AG$1,Haver_M!$B$1:$BZ$1,0),FALSE)),VLOOKUP($A74,Haver_M!$B$1:$BZ$300,MATCH(data!AG$1,Haver_M!$B$1:$BZ$1,0),FALSE),"")</f>
        <v>66.768000000000001</v>
      </c>
      <c r="AH74">
        <f>IF(ISNUMBER(VLOOKUP($A74,Haver_M!$B$1:$BZ$300,MATCH(data!AH$1,Haver_M!$B$1:$BZ$1,0),FALSE)),VLOOKUP($A74,Haver_M!$B$1:$BZ$300,MATCH(data!AH$1,Haver_M!$B$1:$BZ$1,0),FALSE),"")</f>
        <v>72.066999999999993</v>
      </c>
      <c r="AI74">
        <f>IF(ISNUMBER(VLOOKUP($A74,Haver_M!$B$1:$BZ$300,MATCH(data!AI$1,Haver_M!$B$1:$BZ$1,0),FALSE)),VLOOKUP($A74,Haver_M!$B$1:$BZ$300,MATCH(data!AI$1,Haver_M!$B$1:$BZ$1,0),FALSE),"")</f>
        <v>9448.8120244306319</v>
      </c>
      <c r="AJ74">
        <f>IF(ISNUMBER(VLOOKUP($A74,Haver_M!$B$1:$BZ$300,MATCH(data!AJ$1,Haver_M!$B$1:$BZ$1,0),FALSE)),VLOOKUP($A74,Haver_M!$B$1:$BZ$300,MATCH(data!AJ$1,Haver_M!$B$1:$BZ$1,0),FALSE),"")</f>
        <v>9120.35</v>
      </c>
      <c r="AK74">
        <f>IF(ISNUMBER(VLOOKUP($A74,Haver_M!$B$1:$BZ$300,MATCH(data!AK$1,Haver_M!$B$1:$BZ$1,0),FALSE)),VLOOKUP($A74,Haver_M!$B$1:$BZ$300,MATCH(data!AK$1,Haver_M!$B$1:$BZ$1,0),FALSE),"")</f>
        <v>13055.15</v>
      </c>
      <c r="AL74" t="str">
        <f>IF(ISNUMBER(VLOOKUP($A74,Haver_M!$B$1:$BZ$300,MATCH(data!AL$1,Haver_M!$B$1:$BZ$1,0),FALSE)),VLOOKUP($A74,Haver_M!$B$1:$BZ$300,MATCH(data!AL$1,Haver_M!$B$1:$BZ$1,0),FALSE),"")</f>
        <v/>
      </c>
      <c r="AM74" t="str">
        <f>IF(ISNUMBER(VLOOKUP($A74,Haver_M!$B$1:$BZ$300,MATCH(data!AM$1,Haver_M!$B$1:$BZ$1,0),FALSE)),VLOOKUP($A74,Haver_M!$B$1:$BZ$300,MATCH(data!AM$1,Haver_M!$B$1:$BZ$1,0),FALSE),"")</f>
        <v/>
      </c>
      <c r="AN74" t="str">
        <f>IF(ISNUMBER(VLOOKUP($A74,Haver_M!$B$1:$BZ$300,MATCH(data!AN$1,Haver_M!$B$1:$BZ$1,0),FALSE)),VLOOKUP($A74,Haver_M!$B$1:$BZ$300,MATCH(data!AN$1,Haver_M!$B$1:$BZ$1,0),FALSE),"")</f>
        <v/>
      </c>
      <c r="AO74" t="str">
        <f>IF(ISNUMBER(VLOOKUP($A74,Haver_M!$B$1:$BZ$300,MATCH(data!AO$1,Haver_M!$B$1:$BZ$1,0),FALSE)),VLOOKUP($A74,Haver_M!$B$1:$BZ$300,MATCH(data!AO$1,Haver_M!$B$1:$BZ$1,0),FALSE),"")</f>
        <v/>
      </c>
      <c r="AP74">
        <f>IF(ISNUMBER(VLOOKUP($A74,Haver_M!$B$1:$BZ$300,MATCH(data!AP$1,Haver_M!$B$1:$BZ$1,0),FALSE)),VLOOKUP($A74,Haver_M!$B$1:$BZ$300,MATCH(data!AP$1,Haver_M!$B$1:$BZ$1,0),FALSE),"")</f>
        <v>42.22835561127426</v>
      </c>
      <c r="AQ74">
        <f>IF(ISNUMBER(VLOOKUP($A74,Haver_M!$B$1:$BZ$300,MATCH(data!AQ$1,Haver_M!$B$1:$BZ$1,0),FALSE)),VLOOKUP($A74,Haver_M!$B$1:$BZ$300,MATCH(data!AQ$1,Haver_M!$B$1:$BZ$1,0),FALSE),"")</f>
        <v>60.613900000000001</v>
      </c>
      <c r="AR74">
        <f>IF(ISNUMBER(VLOOKUP($A74,Haver_M!$B$1:$BZ$300,MATCH(data!AR$1,Haver_M!$B$1:$BZ$1,0),FALSE)),VLOOKUP($A74,Haver_M!$B$1:$BZ$300,MATCH(data!AR$1,Haver_M!$B$1:$BZ$1,0),FALSE),"")</f>
        <v>55.058100000000003</v>
      </c>
      <c r="AS74">
        <f>IF(ISNUMBER(VLOOKUP($A74,Haver_M!$B$1:$BZ$300,MATCH(data!AS$1,Haver_M!$B$1:$BZ$1,0),FALSE)),VLOOKUP($A74,Haver_M!$B$1:$BZ$300,MATCH(data!AS$1,Haver_M!$B$1:$BZ$1,0),FALSE),"")</f>
        <v>62.0291</v>
      </c>
      <c r="AT74">
        <f>IF(ISNUMBER(VLOOKUP($A74,Haver_M!$B$1:$BZ$300,MATCH(data!AT$1,Haver_M!$B$1:$BZ$1,0),FALSE)),VLOOKUP($A74,Haver_M!$B$1:$BZ$300,MATCH(data!AT$1,Haver_M!$B$1:$BZ$1,0),FALSE),"")</f>
        <v>57.432400000000001</v>
      </c>
      <c r="AU74">
        <f>IF(ISNUMBER(VLOOKUP($A74,Haver_M!$B$1:$BZ$300,MATCH(data!AU$1,Haver_M!$B$1:$BZ$1,0),FALSE)),VLOOKUP($A74,Haver_M!$B$1:$BZ$300,MATCH(data!AU$1,Haver_M!$B$1:$BZ$1,0),FALSE),"")</f>
        <v>58.992800000000003</v>
      </c>
      <c r="AV74">
        <f>IF(ISNUMBER(VLOOKUP($A74,Haver_M!$B$1:$BZ$300,MATCH(data!AV$1,Haver_M!$B$1:$BZ$1,0),FALSE)),VLOOKUP($A74,Haver_M!$B$1:$BZ$300,MATCH(data!AV$1,Haver_M!$B$1:$BZ$1,0),FALSE),"")</f>
        <v>52.257300000000001</v>
      </c>
      <c r="AW74">
        <f>IF(ISNUMBER(VLOOKUP($A74,Haver_M!$B$1:$BZ$300,MATCH(data!AW$1,Haver_M!$B$1:$BZ$1,0),FALSE)),VLOOKUP($A74,Haver_M!$B$1:$BZ$300,MATCH(data!AW$1,Haver_M!$B$1:$BZ$1,0),FALSE),"")</f>
        <v>51.914400000000001</v>
      </c>
      <c r="AX74">
        <f>IF(ISNUMBER(VLOOKUP($A74,Haver_M!$B$1:$BZ$300,MATCH(data!AX$1,Haver_M!$B$1:$BZ$1,0),FALSE)),VLOOKUP($A74,Haver_M!$B$1:$BZ$300,MATCH(data!AX$1,Haver_M!$B$1:$BZ$1,0),FALSE),"")</f>
        <v>53.378399999999999</v>
      </c>
      <c r="AY74">
        <f>IF(ISNUMBER(VLOOKUP($A74,Haver_M!$B$1:$BZ$300,MATCH(data!AY$1,Haver_M!$B$1:$BZ$1,0),FALSE)),VLOOKUP($A74,Haver_M!$B$1:$BZ$300,MATCH(data!AY$1,Haver_M!$B$1:$BZ$1,0),FALSE),"")</f>
        <v>56.094799999999999</v>
      </c>
      <c r="AZ74">
        <f>IF(ISNUMBER(VLOOKUP($A74,Haver_M!$B$1:$BZ$300,MATCH(data!AZ$1,Haver_M!$B$1:$BZ$1,0),FALSE)),VLOOKUP($A74,Haver_M!$B$1:$BZ$300,MATCH(data!AZ$1,Haver_M!$B$1:$BZ$1,0),FALSE),"")</f>
        <v>56.644100000000002</v>
      </c>
      <c r="BA74">
        <f>IF(ISNUMBER(VLOOKUP($A74,Haver_M!$B$1:$BZ$300,MATCH(data!BA$1,Haver_M!$B$1:$BZ$1,0),FALSE)),VLOOKUP($A74,Haver_M!$B$1:$BZ$300,MATCH(data!BA$1,Haver_M!$B$1:$BZ$1,0),FALSE),"")</f>
        <v>53.378399999999999</v>
      </c>
      <c r="BB74">
        <f>IF(ISNUMBER(VLOOKUP($A74,Haver_M!$B$1:$BZ$300,MATCH(data!BB$1,Haver_M!$B$1:$BZ$1,0),FALSE)),VLOOKUP($A74,Haver_M!$B$1:$BZ$300,MATCH(data!BB$1,Haver_M!$B$1:$BZ$1,0),FALSE),"")</f>
        <v>55.033499999999997</v>
      </c>
      <c r="BC74">
        <f>IF(ISNUMBER(VLOOKUP($A74,Haver_M!$B$1:$BZ$300,MATCH(data!BC$1,Haver_M!$B$1:$BZ$1,0),FALSE)),VLOOKUP($A74,Haver_M!$B$1:$BZ$300,MATCH(data!BC$1,Haver_M!$B$1:$BZ$1,0),FALSE),"")</f>
        <v>51.128700000000002</v>
      </c>
      <c r="BD74">
        <f>IF(ISNUMBER(VLOOKUP($A74,Haver_M!$B$1:$BZ$300,MATCH(data!BD$1,Haver_M!$B$1:$BZ$1,0),FALSE)),VLOOKUP($A74,Haver_M!$B$1:$BZ$300,MATCH(data!BD$1,Haver_M!$B$1:$BZ$1,0),FALSE),"")</f>
        <v>51.020400000000002</v>
      </c>
      <c r="BE74">
        <f>IF(ISNUMBER(VLOOKUP($A74,Haver_M!$B$1:$BZ$300,MATCH(data!BE$1,Haver_M!$B$1:$BZ$1,0),FALSE)),VLOOKUP($A74,Haver_M!$B$1:$BZ$300,MATCH(data!BE$1,Haver_M!$B$1:$BZ$1,0),FALSE),"")</f>
        <v>1.1964999999999999</v>
      </c>
      <c r="BF74">
        <f>IF(ISNUMBER(VLOOKUP($A74,Haver_M!$B$1:$BZ$300,MATCH(data!BF$1,Haver_M!$B$1:$BZ$1,0),FALSE)),VLOOKUP($A74,Haver_M!$B$1:$BZ$300,MATCH(data!BF$1,Haver_M!$B$1:$BZ$1,0),FALSE),"")</f>
        <v>56.351599999999998</v>
      </c>
      <c r="BG74">
        <f>IF(ISNUMBER(VLOOKUP($A74,Haver_M!$B$1:$BZ$300,MATCH(data!BG$1,Haver_M!$B$1:$BZ$1,0),FALSE)),VLOOKUP($A74,Haver_M!$B$1:$BZ$300,MATCH(data!BG$1,Haver_M!$B$1:$BZ$1,0),FALSE),"")</f>
        <v>53.513300000000001</v>
      </c>
      <c r="BH74">
        <f>IF(ISNUMBER(VLOOKUP($A74,Haver_M!$B$1:$BZ$300,MATCH(data!BH$1,Haver_M!$B$1:$BZ$1,0),FALSE)),VLOOKUP($A74,Haver_M!$B$1:$BZ$300,MATCH(data!BH$1,Haver_M!$B$1:$BZ$1,0),FALSE),"")</f>
        <v>60.727600000000002</v>
      </c>
      <c r="BI74">
        <f>IF(ISNUMBER(VLOOKUP($A74,Haver_M!$B$1:$BZ$300,MATCH(data!BI$1,Haver_M!$B$1:$BZ$1,0),FALSE)),VLOOKUP($A74,Haver_M!$B$1:$BZ$300,MATCH(data!BI$1,Haver_M!$B$1:$BZ$1,0),FALSE),"")</f>
        <v>59.549799999999998</v>
      </c>
      <c r="BJ74" t="str">
        <f>IF(ISNUMBER(VLOOKUP($A74,Haver_M!$B$1:$BZ$300,MATCH(data!BJ$1,Haver_M!$B$1:$BZ$1,0),FALSE)),VLOOKUP($A74,Haver_M!$B$1:$BZ$300,MATCH(data!BJ$1,Haver_M!$B$1:$BZ$1,0),FALSE),"")</f>
        <v/>
      </c>
      <c r="BK74">
        <f>IF(ISNUMBER(VLOOKUP($A74,Haver_M!$B$1:$BZ$300,MATCH(data!BK$1,Haver_M!$B$1:$BZ$1,0),FALSE)),VLOOKUP($A74,Haver_M!$B$1:$BZ$300,MATCH(data!BK$1,Haver_M!$B$1:$BZ$1,0),FALSE),"")</f>
        <v>52.003500000000003</v>
      </c>
      <c r="BL74">
        <f>IF(ISNUMBER(VLOOKUP($A74,Haver_M!$B$1:$BZ$300,MATCH(data!BL$1,Haver_M!$B$1:$BZ$1,0),FALSE)),VLOOKUP($A74,Haver_M!$B$1:$BZ$300,MATCH(data!BL$1,Haver_M!$B$1:$BZ$1,0),FALSE),"")</f>
        <v>9539.67</v>
      </c>
      <c r="BM74">
        <f>IF(ISNUMBER(VLOOKUP($A74,Haver_M!$B$1:$BZ$300,MATCH(data!BM$1,Haver_M!$B$1:$BZ$1,0),FALSE)),VLOOKUP($A74,Haver_M!$B$1:$BZ$300,MATCH(data!BM$1,Haver_M!$B$1:$BZ$1,0),FALSE),"")</f>
        <v>103.52127582999999</v>
      </c>
      <c r="BN74" t="str">
        <f>IF(ISNUMBER(VLOOKUP($A74,Haver_M!$B$1:$BZ$300,MATCH(data!BN$1,Haver_M!$B$1:$BZ$1,0),FALSE)),VLOOKUP($A74,Haver_M!$B$1:$BZ$300,MATCH(data!BN$1,Haver_M!$B$1:$BZ$1,0),FALSE),"")</f>
        <v/>
      </c>
      <c r="BO74" t="str">
        <f>IF(ISNUMBER(VLOOKUP($A74,Haver_M!$B$1:$BZ$300,MATCH(data!BO$1,Haver_M!$B$1:$BZ$1,0),FALSE)),VLOOKUP($A74,Haver_M!$B$1:$BZ$300,MATCH(data!BO$1,Haver_M!$B$1:$BZ$1,0),FALSE),"")</f>
        <v/>
      </c>
      <c r="BP74" t="str">
        <f>IF(ISNUMBER(VLOOKUP($A74,Haver_M!$B$1:$BZ$300,MATCH(data!BP$1,Haver_M!$B$1:$BZ$1,0),FALSE)),VLOOKUP($A74,Haver_M!$B$1:$BZ$300,MATCH(data!BP$1,Haver_M!$B$1:$BZ$1,0),FALSE),"")</f>
        <v/>
      </c>
      <c r="BQ74" t="str">
        <f>IF(ISNUMBER(VLOOKUP($A74,Haver_M!$B$1:$BZ$300,MATCH(data!BQ$1,Haver_M!$B$1:$BZ$1,0),FALSE)),VLOOKUP($A74,Haver_M!$B$1:$BZ$300,MATCH(data!BQ$1,Haver_M!$B$1:$BZ$1,0),FALSE),"")</f>
        <v/>
      </c>
      <c r="BR74" t="str">
        <f>IF(ISNUMBER(VLOOKUP($A74,Haver_M!$B$1:$BZ$300,MATCH(data!BR$1,Haver_M!$B$1:$BZ$1,0),FALSE)),VLOOKUP($A74,Haver_M!$B$1:$BZ$300,MATCH(data!BR$1,Haver_M!$B$1:$BZ$1,0),FALSE),"")</f>
        <v/>
      </c>
      <c r="BS74" t="str">
        <f>IF(ISNUMBER(VLOOKUP($A74,Haver_M!$B$1:$BZ$300,MATCH(data!BS$1,Haver_M!$B$1:$BZ$1,0),FALSE)),VLOOKUP($A74,Haver_M!$B$1:$BZ$300,MATCH(data!BS$1,Haver_M!$B$1:$BZ$1,0),FALSE),"")</f>
        <v/>
      </c>
      <c r="BT74" t="str">
        <f>IF(ISNUMBER(VLOOKUP($A74,Haver_M!$B$1:$BZ$300,MATCH(data!BT$1,Haver_M!$B$1:$BZ$1,0),FALSE)),VLOOKUP($A74,Haver_M!$B$1:$BZ$300,MATCH(data!BT$1,Haver_M!$B$1:$BZ$1,0),FALSE),"")</f>
        <v/>
      </c>
      <c r="BU74">
        <f>IF(ISNUMBER(VLOOKUP($A74,Haver_M!$B$1:$BZ$300,MATCH(data!BU$1,Haver_M!$B$1:$BZ$1,0),FALSE)),VLOOKUP($A74,Haver_M!$B$1:$BZ$300,MATCH(data!BU$1,Haver_M!$B$1:$BZ$1,0),FALSE),"")</f>
        <v>9168</v>
      </c>
      <c r="BV74">
        <f>IF(ISNUMBER(VLOOKUP($A74,Haver_M!$B$1:$BZ$300,MATCH(data!BV$1,Haver_M!$B$1:$BZ$1,0),FALSE)),VLOOKUP($A74,Haver_M!$B$1:$BZ$300,MATCH(data!BV$1,Haver_M!$B$1:$BZ$1,0),FALSE),"")</f>
        <v>12894</v>
      </c>
      <c r="BW74">
        <f>IF(ISNUMBER(VLOOKUP($A74,Haver_M!$B$1:$BZ$300,MATCH(data!BW$1,Haver_M!$B$1:$BZ$1,0),FALSE)),VLOOKUP($A74,Haver_M!$B$1:$BZ$300,MATCH(data!BW$1,Haver_M!$B$1:$BZ$1,0),FALSE),"")</f>
        <v>44.396999999999998</v>
      </c>
      <c r="BX74">
        <f>IF(ISNUMBER(VLOOKUP($A74,Haver_M!$B$1:$BZ$300,MATCH(data!BX$1,Haver_M!$B$1:$BZ$1,0),FALSE)),VLOOKUP($A74,Haver_M!$B$1:$BZ$300,MATCH(data!BX$1,Haver_M!$B$1:$BZ$1,0),FALSE),"")</f>
        <v>19496</v>
      </c>
    </row>
    <row r="75" spans="1:76" x14ac:dyDescent="0.25">
      <c r="A75" s="2">
        <v>38776</v>
      </c>
      <c r="B75" t="str">
        <f>IF(ISNUMBER(VLOOKUP($A75,Haver_Q!$B$1:$L$185,MATCH(data!B$1,Haver_Q!$B$1:$L$1,0),FALSE)),100*(VLOOKUP($A75,Haver_Q!$B$1:$L$185,MATCH(data!B$1,Haver_Q!$B$1:$L$1,0),FALSE)),"")</f>
        <v/>
      </c>
      <c r="C75" t="str">
        <f>IF(ISNUMBER(VLOOKUP($A75,Haver_Q!$B$1:$L$185,MATCH(data!C$1,Haver_Q!$B$1:$L$1,0),FALSE)),100*(VLOOKUP($A75,Haver_Q!$B$1:$L$185,MATCH(data!C$1,Haver_Q!$B$1:$L$1,0),FALSE)),"")</f>
        <v/>
      </c>
      <c r="D75" t="str">
        <f>IF(ISNUMBER(VLOOKUP($A75,Haver_Q!$B$1:$L$185,MATCH(data!D$1,Haver_Q!$B$1:$L$1,0),FALSE)),100*(VLOOKUP($A75,Haver_Q!$B$1:$L$185,MATCH(data!D$1,Haver_Q!$B$1:$L$1,0),FALSE)),"")</f>
        <v/>
      </c>
      <c r="E75" t="str">
        <f>IF(ISNUMBER(VLOOKUP($A75,Haver_Q!$B$1:$L$185,MATCH(data!E$1,Haver_Q!$B$1:$L$1,0),FALSE)),100*(VLOOKUP($A75,Haver_Q!$B$1:$L$185,MATCH(data!E$1,Haver_Q!$B$1:$L$1,0),FALSE)),"")</f>
        <v/>
      </c>
      <c r="F75" t="str">
        <f>IF(ISNUMBER(VLOOKUP($A75,Haver_Q!$B$1:$L$185,MATCH(data!F$1,Haver_Q!$B$1:$L$1,0),FALSE)),100*(VLOOKUP($A75,Haver_Q!$B$1:$L$185,MATCH(data!F$1,Haver_Q!$B$1:$L$1,0),FALSE)),"")</f>
        <v/>
      </c>
      <c r="G75" t="str">
        <f>IF(ISNUMBER(VLOOKUP($A75,Haver_Q!$B$1:$L$185,MATCH(data!G$1,Haver_Q!$B$1:$L$1,0),FALSE)),100*(VLOOKUP($A75,Haver_Q!$B$1:$L$185,MATCH(data!G$1,Haver_Q!$B$1:$L$1,0),FALSE)),"")</f>
        <v/>
      </c>
      <c r="H75" t="str">
        <f>IF(ISNUMBER(VLOOKUP($A75,Haver_Q!$B$1:$L$185,MATCH(data!H$1,Haver_Q!$B$1:$L$1,0),FALSE)),(VLOOKUP($A75,Haver_Q!$B$1:$L$185,MATCH(data!H$1,Haver_Q!$B$1:$L$1,0),FALSE)),"")</f>
        <v/>
      </c>
      <c r="I75" t="str">
        <f>IF(ISNUMBER(VLOOKUP($A75,Haver_Q!$B$1:$L$185,MATCH(data!I$1,Haver_Q!$B$1:$L$1,0),FALSE)),100*(VLOOKUP($A75,Haver_Q!$B$1:$L$185,MATCH(data!I$1,Haver_Q!$B$1:$L$1,0),FALSE)),"")</f>
        <v/>
      </c>
      <c r="J75" s="3">
        <f>IF(ISNUMBER(Bloomberg_m!C91),Bloomberg_m!C91,"")</f>
        <v>2444</v>
      </c>
      <c r="K75" s="3" t="str">
        <f>IF(ISNUMBER(Bloomberg_m!D91),Bloomberg_m!D91,"")</f>
        <v/>
      </c>
      <c r="L75" s="3" t="str">
        <f>IF(ISNUMBER(Bloomberg_m!E91),Bloomberg_m!E91,"")</f>
        <v/>
      </c>
      <c r="M75" s="3" t="str">
        <f>IF(ISNUMBER(Bloomberg_m!F91),Bloomberg_m!F91,"")</f>
        <v/>
      </c>
      <c r="N75">
        <f>IF(ISNUMBER(VLOOKUP($A75,Haver_M!$B$1:$BZ$300,MATCH(data!N$1,Haver_M!$B$1:$BZ$1,0),FALSE)),VLOOKUP($A75,Haver_M!$B$1:$BZ$300,MATCH(data!N$1,Haver_M!$B$1:$BZ$1,0),FALSE),"")</f>
        <v>6.5</v>
      </c>
      <c r="O75">
        <f>IF(ISNUMBER(VLOOKUP($A75,Haver_M!$B$1:$BZ$300,MATCH(data!O$1,Haver_M!$B$1:$BZ$1,0),FALSE)),VLOOKUP($A75,Haver_M!$B$1:$BZ$300,MATCH(data!O$1,Haver_M!$B$1:$BZ$1,0),FALSE),"")</f>
        <v>7.3441000000000001</v>
      </c>
      <c r="P75">
        <f>IF(ISNUMBER(VLOOKUP($A75,Haver_M!$B$1:$BZ$300,MATCH(data!P$1,Haver_M!$B$1:$BZ$1,0),FALSE)),VLOOKUP($A75,Haver_M!$B$1:$BZ$300,MATCH(data!P$1,Haver_M!$B$1:$BZ$1,0),FALSE),"")</f>
        <v>95.510859999999994</v>
      </c>
      <c r="Q75">
        <f>IF(ISNUMBER(VLOOKUP($A75,Haver_M!$B$1:$BZ$300,MATCH(data!Q$1,Haver_M!$B$1:$BZ$1,0),FALSE)),VLOOKUP($A75,Haver_M!$B$1:$BZ$300,MATCH(data!Q$1,Haver_M!$B$1:$BZ$1,0),FALSE),"")</f>
        <v>58.6</v>
      </c>
      <c r="R75" t="str">
        <f>IF(ISNUMBER(VLOOKUP($A75,Haver_M!$B$1:$BZ$300,MATCH(data!R$1,Haver_M!$B$1:$BZ$1,0),FALSE)),VLOOKUP($A75,Haver_M!$B$1:$BZ$300,MATCH(data!R$1,Haver_M!$B$1:$BZ$1,0),FALSE),"")</f>
        <v/>
      </c>
      <c r="S75">
        <f>IF(ISNUMBER(VLOOKUP($A75,Haver_M!$B$1:$BZ$300,MATCH(data!S$1,Haver_M!$B$1:$BZ$1,0),FALSE)),VLOOKUP($A75,Haver_M!$B$1:$BZ$300,MATCH(data!S$1,Haver_M!$B$1:$BZ$1,0),FALSE),"")</f>
        <v>69.040000000000006</v>
      </c>
      <c r="T75">
        <f>IF(ISNUMBER(VLOOKUP($A75,Haver_M!$B$1:$BZ$300,MATCH(data!T$1,Haver_M!$B$1:$BZ$1,0),FALSE)),VLOOKUP($A75,Haver_M!$B$1:$BZ$300,MATCH(data!T$1,Haver_M!$B$1:$BZ$1,0),FALSE),"")</f>
        <v>73.459999999999994</v>
      </c>
      <c r="U75">
        <f>IF(ISNUMBER(VLOOKUP($A75,Haver_M!$B$1:$BZ$300,MATCH(data!U$1,Haver_M!$B$1:$BZ$1,0),FALSE)),VLOOKUP($A75,Haver_M!$B$1:$BZ$300,MATCH(data!U$1,Haver_M!$B$1:$BZ$1,0),FALSE),"")</f>
        <v>57.58</v>
      </c>
      <c r="V75">
        <f>IF(ISNUMBER(VLOOKUP($A75,Haver_M!$B$1:$BZ$300,MATCH(data!V$1,Haver_M!$B$1:$BZ$1,0),FALSE)),VLOOKUP($A75,Haver_M!$B$1:$BZ$300,MATCH(data!V$1,Haver_M!$B$1:$BZ$1,0),FALSE),"")</f>
        <v>81.12</v>
      </c>
      <c r="W75" t="str">
        <f>IF(ISNUMBER(VLOOKUP($A75,Haver_M!$B$1:$BZ$300,MATCH(data!W$1,Haver_M!$B$1:$BZ$1,0),FALSE)),VLOOKUP($A75,Haver_M!$B$1:$BZ$300,MATCH(data!W$1,Haver_M!$B$1:$BZ$1,0),FALSE),"")</f>
        <v/>
      </c>
      <c r="X75">
        <f>IF(ISNUMBER(VLOOKUP($A75,Haver_M!$B$1:$BZ$300,MATCH(data!X$1,Haver_M!$B$1:$BZ$1,0),FALSE)),VLOOKUP($A75,Haver_M!$B$1:$BZ$300,MATCH(data!X$1,Haver_M!$B$1:$BZ$1,0),FALSE),"")</f>
        <v>40.75</v>
      </c>
      <c r="Y75">
        <f>IF(ISNUMBER(VLOOKUP($A75,Haver_M!$B$1:$BZ$300,MATCH(data!Y$1,Haver_M!$B$1:$BZ$1,0),FALSE)),VLOOKUP($A75,Haver_M!$B$1:$BZ$300,MATCH(data!Y$1,Haver_M!$B$1:$BZ$1,0),FALSE),"")</f>
        <v>76.52</v>
      </c>
      <c r="Z75">
        <f>IF(ISNUMBER(VLOOKUP($A75,Haver_M!$B$1:$BZ$300,MATCH(data!Z$1,Haver_M!$B$1:$BZ$1,0),FALSE)),VLOOKUP($A75,Haver_M!$B$1:$BZ$300,MATCH(data!Z$1,Haver_M!$B$1:$BZ$1,0),FALSE),"")</f>
        <v>74.7</v>
      </c>
      <c r="AA75">
        <f>IF(ISNUMBER(VLOOKUP($A75,Haver_M!$B$1:$BZ$300,MATCH(data!AA$1,Haver_M!$B$1:$BZ$1,0),FALSE)),VLOOKUP($A75,Haver_M!$B$1:$BZ$300,MATCH(data!AA$1,Haver_M!$B$1:$BZ$1,0),FALSE),"")</f>
        <v>76.619</v>
      </c>
      <c r="AB75">
        <f>IF(ISNUMBER(VLOOKUP($A75,Haver_M!$B$1:$BZ$300,MATCH(data!AB$1,Haver_M!$B$1:$BZ$1,0),FALSE)),VLOOKUP($A75,Haver_M!$B$1:$BZ$300,MATCH(data!AB$1,Haver_M!$B$1:$BZ$1,0),FALSE),"")</f>
        <v>85.978999999999999</v>
      </c>
      <c r="AC75">
        <f>IF(ISNUMBER(VLOOKUP($A75,Haver_M!$B$1:$BZ$300,MATCH(data!AC$1,Haver_M!$B$1:$BZ$1,0),FALSE)),VLOOKUP($A75,Haver_M!$B$1:$BZ$300,MATCH(data!AC$1,Haver_M!$B$1:$BZ$1,0),FALSE),"")</f>
        <v>69.311999999999998</v>
      </c>
      <c r="AD75">
        <f>IF(ISNUMBER(VLOOKUP($A75,Haver_M!$B$1:$BZ$300,MATCH(data!AD$1,Haver_M!$B$1:$BZ$1,0),FALSE)),VLOOKUP($A75,Haver_M!$B$1:$BZ$300,MATCH(data!AD$1,Haver_M!$B$1:$BZ$1,0),FALSE),"")</f>
        <v>80.381</v>
      </c>
      <c r="AE75">
        <f>IF(ISNUMBER(VLOOKUP($A75,Haver_M!$B$1:$BZ$300,MATCH(data!AE$1,Haver_M!$B$1:$BZ$1,0),FALSE)),VLOOKUP($A75,Haver_M!$B$1:$BZ$300,MATCH(data!AE$1,Haver_M!$B$1:$BZ$1,0),FALSE),"")</f>
        <v>97.251999999999995</v>
      </c>
      <c r="AF75">
        <f>IF(ISNUMBER(VLOOKUP($A75,Haver_M!$B$1:$BZ$300,MATCH(data!AF$1,Haver_M!$B$1:$BZ$1,0),FALSE)),VLOOKUP($A75,Haver_M!$B$1:$BZ$300,MATCH(data!AF$1,Haver_M!$B$1:$BZ$1,0),FALSE),"")</f>
        <v>63.51</v>
      </c>
      <c r="AG75">
        <f>IF(ISNUMBER(VLOOKUP($A75,Haver_M!$B$1:$BZ$300,MATCH(data!AG$1,Haver_M!$B$1:$BZ$1,0),FALSE)),VLOOKUP($A75,Haver_M!$B$1:$BZ$300,MATCH(data!AG$1,Haver_M!$B$1:$BZ$1,0),FALSE),"")</f>
        <v>67.081999999999994</v>
      </c>
      <c r="AH75">
        <f>IF(ISNUMBER(VLOOKUP($A75,Haver_M!$B$1:$BZ$300,MATCH(data!AH$1,Haver_M!$B$1:$BZ$1,0),FALSE)),VLOOKUP($A75,Haver_M!$B$1:$BZ$300,MATCH(data!AH$1,Haver_M!$B$1:$BZ$1,0),FALSE),"")</f>
        <v>74.388999999999996</v>
      </c>
      <c r="AI75">
        <f>IF(ISNUMBER(VLOOKUP($A75,Haver_M!$B$1:$BZ$300,MATCH(data!AI$1,Haver_M!$B$1:$BZ$1,0),FALSE)),VLOOKUP($A75,Haver_M!$B$1:$BZ$300,MATCH(data!AI$1,Haver_M!$B$1:$BZ$1,0),FALSE),"")</f>
        <v>9605.5289339034698</v>
      </c>
      <c r="AJ75">
        <f>IF(ISNUMBER(VLOOKUP($A75,Haver_M!$B$1:$BZ$300,MATCH(data!AJ$1,Haver_M!$B$1:$BZ$1,0),FALSE)),VLOOKUP($A75,Haver_M!$B$1:$BZ$300,MATCH(data!AJ$1,Haver_M!$B$1:$BZ$1,0),FALSE),"")</f>
        <v>9336.51</v>
      </c>
      <c r="AK75">
        <f>IF(ISNUMBER(VLOOKUP($A75,Haver_M!$B$1:$BZ$300,MATCH(data!AK$1,Haver_M!$B$1:$BZ$1,0),FALSE)),VLOOKUP($A75,Haver_M!$B$1:$BZ$300,MATCH(data!AK$1,Haver_M!$B$1:$BZ$1,0),FALSE),"")</f>
        <v>13223.63</v>
      </c>
      <c r="AL75" t="str">
        <f>IF(ISNUMBER(VLOOKUP($A75,Haver_M!$B$1:$BZ$300,MATCH(data!AL$1,Haver_M!$B$1:$BZ$1,0),FALSE)),VLOOKUP($A75,Haver_M!$B$1:$BZ$300,MATCH(data!AL$1,Haver_M!$B$1:$BZ$1,0),FALSE),"")</f>
        <v/>
      </c>
      <c r="AM75" t="str">
        <f>IF(ISNUMBER(VLOOKUP($A75,Haver_M!$B$1:$BZ$300,MATCH(data!AM$1,Haver_M!$B$1:$BZ$1,0),FALSE)),VLOOKUP($A75,Haver_M!$B$1:$BZ$300,MATCH(data!AM$1,Haver_M!$B$1:$BZ$1,0),FALSE),"")</f>
        <v/>
      </c>
      <c r="AN75" t="str">
        <f>IF(ISNUMBER(VLOOKUP($A75,Haver_M!$B$1:$BZ$300,MATCH(data!AN$1,Haver_M!$B$1:$BZ$1,0),FALSE)),VLOOKUP($A75,Haver_M!$B$1:$BZ$300,MATCH(data!AN$1,Haver_M!$B$1:$BZ$1,0),FALSE),"")</f>
        <v/>
      </c>
      <c r="AO75" t="str">
        <f>IF(ISNUMBER(VLOOKUP($A75,Haver_M!$B$1:$BZ$300,MATCH(data!AO$1,Haver_M!$B$1:$BZ$1,0),FALSE)),VLOOKUP($A75,Haver_M!$B$1:$BZ$300,MATCH(data!AO$1,Haver_M!$B$1:$BZ$1,0),FALSE),"")</f>
        <v/>
      </c>
      <c r="AP75">
        <f>IF(ISNUMBER(VLOOKUP($A75,Haver_M!$B$1:$BZ$300,MATCH(data!AP$1,Haver_M!$B$1:$BZ$1,0),FALSE)),VLOOKUP($A75,Haver_M!$B$1:$BZ$300,MATCH(data!AP$1,Haver_M!$B$1:$BZ$1,0),FALSE),"")</f>
        <v>29.845300499847561</v>
      </c>
      <c r="AQ75">
        <f>IF(ISNUMBER(VLOOKUP($A75,Haver_M!$B$1:$BZ$300,MATCH(data!AQ$1,Haver_M!$B$1:$BZ$1,0),FALSE)),VLOOKUP($A75,Haver_M!$B$1:$BZ$300,MATCH(data!AQ$1,Haver_M!$B$1:$BZ$1,0),FALSE),"")</f>
        <v>62.094099999999997</v>
      </c>
      <c r="AR75">
        <f>IF(ISNUMBER(VLOOKUP($A75,Haver_M!$B$1:$BZ$300,MATCH(data!AR$1,Haver_M!$B$1:$BZ$1,0),FALSE)),VLOOKUP($A75,Haver_M!$B$1:$BZ$300,MATCH(data!AR$1,Haver_M!$B$1:$BZ$1,0),FALSE),"")</f>
        <v>56.2545</v>
      </c>
      <c r="AS75">
        <f>IF(ISNUMBER(VLOOKUP($A75,Haver_M!$B$1:$BZ$300,MATCH(data!AS$1,Haver_M!$B$1:$BZ$1,0),FALSE)),VLOOKUP($A75,Haver_M!$B$1:$BZ$300,MATCH(data!AS$1,Haver_M!$B$1:$BZ$1,0),FALSE),"")</f>
        <v>62.999299999999998</v>
      </c>
      <c r="AT75">
        <f>IF(ISNUMBER(VLOOKUP($A75,Haver_M!$B$1:$BZ$300,MATCH(data!AT$1,Haver_M!$B$1:$BZ$1,0),FALSE)),VLOOKUP($A75,Haver_M!$B$1:$BZ$300,MATCH(data!AT$1,Haver_M!$B$1:$BZ$1,0),FALSE),"")</f>
        <v>60.0593</v>
      </c>
      <c r="AU75">
        <f>IF(ISNUMBER(VLOOKUP($A75,Haver_M!$B$1:$BZ$300,MATCH(data!AU$1,Haver_M!$B$1:$BZ$1,0),FALSE)),VLOOKUP($A75,Haver_M!$B$1:$BZ$300,MATCH(data!AU$1,Haver_M!$B$1:$BZ$1,0),FALSE),"")</f>
        <v>60.453899999999997</v>
      </c>
      <c r="AV75">
        <f>IF(ISNUMBER(VLOOKUP($A75,Haver_M!$B$1:$BZ$300,MATCH(data!AV$1,Haver_M!$B$1:$BZ$1,0),FALSE)),VLOOKUP($A75,Haver_M!$B$1:$BZ$300,MATCH(data!AV$1,Haver_M!$B$1:$BZ$1,0),FALSE),"")</f>
        <v>51.954000000000001</v>
      </c>
      <c r="AW75">
        <f>IF(ISNUMBER(VLOOKUP($A75,Haver_M!$B$1:$BZ$300,MATCH(data!AW$1,Haver_M!$B$1:$BZ$1,0),FALSE)),VLOOKUP($A75,Haver_M!$B$1:$BZ$300,MATCH(data!AW$1,Haver_M!$B$1:$BZ$1,0),FALSE),"")</f>
        <v>50.5747</v>
      </c>
      <c r="AX75">
        <f>IF(ISNUMBER(VLOOKUP($A75,Haver_M!$B$1:$BZ$300,MATCH(data!AX$1,Haver_M!$B$1:$BZ$1,0),FALSE)),VLOOKUP($A75,Haver_M!$B$1:$BZ$300,MATCH(data!AX$1,Haver_M!$B$1:$BZ$1,0),FALSE),"")</f>
        <v>52.988500000000002</v>
      </c>
      <c r="AY75">
        <f>IF(ISNUMBER(VLOOKUP($A75,Haver_M!$B$1:$BZ$300,MATCH(data!AY$1,Haver_M!$B$1:$BZ$1,0),FALSE)),VLOOKUP($A75,Haver_M!$B$1:$BZ$300,MATCH(data!AY$1,Haver_M!$B$1:$BZ$1,0),FALSE),"")</f>
        <v>54.924100000000003</v>
      </c>
      <c r="AZ75">
        <f>IF(ISNUMBER(VLOOKUP($A75,Haver_M!$B$1:$BZ$300,MATCH(data!AZ$1,Haver_M!$B$1:$BZ$1,0),FALSE)),VLOOKUP($A75,Haver_M!$B$1:$BZ$300,MATCH(data!AZ$1,Haver_M!$B$1:$BZ$1,0),FALSE),"")</f>
        <v>56.883800000000001</v>
      </c>
      <c r="BA75">
        <f>IF(ISNUMBER(VLOOKUP($A75,Haver_M!$B$1:$BZ$300,MATCH(data!BA$1,Haver_M!$B$1:$BZ$1,0),FALSE)),VLOOKUP($A75,Haver_M!$B$1:$BZ$300,MATCH(data!BA$1,Haver_M!$B$1:$BZ$1,0),FALSE),"")</f>
        <v>52.988500000000002</v>
      </c>
      <c r="BB75">
        <f>IF(ISNUMBER(VLOOKUP($A75,Haver_M!$B$1:$BZ$300,MATCH(data!BB$1,Haver_M!$B$1:$BZ$1,0),FALSE)),VLOOKUP($A75,Haver_M!$B$1:$BZ$300,MATCH(data!BB$1,Haver_M!$B$1:$BZ$1,0),FALSE),"")</f>
        <v>57.675199999999997</v>
      </c>
      <c r="BC75">
        <f>IF(ISNUMBER(VLOOKUP($A75,Haver_M!$B$1:$BZ$300,MATCH(data!BC$1,Haver_M!$B$1:$BZ$1,0),FALSE)),VLOOKUP($A75,Haver_M!$B$1:$BZ$300,MATCH(data!BC$1,Haver_M!$B$1:$BZ$1,0),FALSE),"")</f>
        <v>52.183700000000002</v>
      </c>
      <c r="BD75">
        <f>IF(ISNUMBER(VLOOKUP($A75,Haver_M!$B$1:$BZ$300,MATCH(data!BD$1,Haver_M!$B$1:$BZ$1,0),FALSE)),VLOOKUP($A75,Haver_M!$B$1:$BZ$300,MATCH(data!BD$1,Haver_M!$B$1:$BZ$1,0),FALSE),"")</f>
        <v>50.874200000000002</v>
      </c>
      <c r="BE75">
        <f>IF(ISNUMBER(VLOOKUP($A75,Haver_M!$B$1:$BZ$300,MATCH(data!BE$1,Haver_M!$B$1:$BZ$1,0),FALSE)),VLOOKUP($A75,Haver_M!$B$1:$BZ$300,MATCH(data!BE$1,Haver_M!$B$1:$BZ$1,0),FALSE),"")</f>
        <v>1.1895</v>
      </c>
      <c r="BF75">
        <f>IF(ISNUMBER(VLOOKUP($A75,Haver_M!$B$1:$BZ$300,MATCH(data!BF$1,Haver_M!$B$1:$BZ$1,0),FALSE)),VLOOKUP($A75,Haver_M!$B$1:$BZ$300,MATCH(data!BF$1,Haver_M!$B$1:$BZ$1,0),FALSE),"")</f>
        <v>56.345199999999998</v>
      </c>
      <c r="BG75">
        <f>IF(ISNUMBER(VLOOKUP($A75,Haver_M!$B$1:$BZ$300,MATCH(data!BG$1,Haver_M!$B$1:$BZ$1,0),FALSE)),VLOOKUP($A75,Haver_M!$B$1:$BZ$300,MATCH(data!BG$1,Haver_M!$B$1:$BZ$1,0),FALSE),"")</f>
        <v>52.221800000000002</v>
      </c>
      <c r="BH75">
        <f>IF(ISNUMBER(VLOOKUP($A75,Haver_M!$B$1:$BZ$300,MATCH(data!BH$1,Haver_M!$B$1:$BZ$1,0),FALSE)),VLOOKUP($A75,Haver_M!$B$1:$BZ$300,MATCH(data!BH$1,Haver_M!$B$1:$BZ$1,0),FALSE),"")</f>
        <v>61.296599999999998</v>
      </c>
      <c r="BI75">
        <f>IF(ISNUMBER(VLOOKUP($A75,Haver_M!$B$1:$BZ$300,MATCH(data!BI$1,Haver_M!$B$1:$BZ$1,0),FALSE)),VLOOKUP($A75,Haver_M!$B$1:$BZ$300,MATCH(data!BI$1,Haver_M!$B$1:$BZ$1,0),FALSE),"")</f>
        <v>59.430999999999997</v>
      </c>
      <c r="BJ75" t="str">
        <f>IF(ISNUMBER(VLOOKUP($A75,Haver_M!$B$1:$BZ$300,MATCH(data!BJ$1,Haver_M!$B$1:$BZ$1,0),FALSE)),VLOOKUP($A75,Haver_M!$B$1:$BZ$300,MATCH(data!BJ$1,Haver_M!$B$1:$BZ$1,0),FALSE),"")</f>
        <v/>
      </c>
      <c r="BK75">
        <f>IF(ISNUMBER(VLOOKUP($A75,Haver_M!$B$1:$BZ$300,MATCH(data!BK$1,Haver_M!$B$1:$BZ$1,0),FALSE)),VLOOKUP($A75,Haver_M!$B$1:$BZ$300,MATCH(data!BK$1,Haver_M!$B$1:$BZ$1,0),FALSE),"")</f>
        <v>53.2271</v>
      </c>
      <c r="BL75">
        <f>IF(ISNUMBER(VLOOKUP($A75,Haver_M!$B$1:$BZ$300,MATCH(data!BL$1,Haver_M!$B$1:$BZ$1,0),FALSE)),VLOOKUP($A75,Haver_M!$B$1:$BZ$300,MATCH(data!BL$1,Haver_M!$B$1:$BZ$1,0),FALSE),"")</f>
        <v>10090.08</v>
      </c>
      <c r="BM75">
        <f>IF(ISNUMBER(VLOOKUP($A75,Haver_M!$B$1:$BZ$300,MATCH(data!BM$1,Haver_M!$B$1:$BZ$1,0),FALSE)),VLOOKUP($A75,Haver_M!$B$1:$BZ$300,MATCH(data!BM$1,Haver_M!$B$1:$BZ$1,0),FALSE),"")</f>
        <v>105.28187022</v>
      </c>
      <c r="BN75" t="str">
        <f>IF(ISNUMBER(VLOOKUP($A75,Haver_M!$B$1:$BZ$300,MATCH(data!BN$1,Haver_M!$B$1:$BZ$1,0),FALSE)),VLOOKUP($A75,Haver_M!$B$1:$BZ$300,MATCH(data!BN$1,Haver_M!$B$1:$BZ$1,0),FALSE),"")</f>
        <v/>
      </c>
      <c r="BO75" t="str">
        <f>IF(ISNUMBER(VLOOKUP($A75,Haver_M!$B$1:$BZ$300,MATCH(data!BO$1,Haver_M!$B$1:$BZ$1,0),FALSE)),VLOOKUP($A75,Haver_M!$B$1:$BZ$300,MATCH(data!BO$1,Haver_M!$B$1:$BZ$1,0),FALSE),"")</f>
        <v/>
      </c>
      <c r="BP75" t="str">
        <f>IF(ISNUMBER(VLOOKUP($A75,Haver_M!$B$1:$BZ$300,MATCH(data!BP$1,Haver_M!$B$1:$BZ$1,0),FALSE)),VLOOKUP($A75,Haver_M!$B$1:$BZ$300,MATCH(data!BP$1,Haver_M!$B$1:$BZ$1,0),FALSE),"")</f>
        <v/>
      </c>
      <c r="BQ75" t="str">
        <f>IF(ISNUMBER(VLOOKUP($A75,Haver_M!$B$1:$BZ$300,MATCH(data!BQ$1,Haver_M!$B$1:$BZ$1,0),FALSE)),VLOOKUP($A75,Haver_M!$B$1:$BZ$300,MATCH(data!BQ$1,Haver_M!$B$1:$BZ$1,0),FALSE),"")</f>
        <v/>
      </c>
      <c r="BR75" t="str">
        <f>IF(ISNUMBER(VLOOKUP($A75,Haver_M!$B$1:$BZ$300,MATCH(data!BR$1,Haver_M!$B$1:$BZ$1,0),FALSE)),VLOOKUP($A75,Haver_M!$B$1:$BZ$300,MATCH(data!BR$1,Haver_M!$B$1:$BZ$1,0),FALSE),"")</f>
        <v/>
      </c>
      <c r="BS75" t="str">
        <f>IF(ISNUMBER(VLOOKUP($A75,Haver_M!$B$1:$BZ$300,MATCH(data!BS$1,Haver_M!$B$1:$BZ$1,0),FALSE)),VLOOKUP($A75,Haver_M!$B$1:$BZ$300,MATCH(data!BS$1,Haver_M!$B$1:$BZ$1,0),FALSE),"")</f>
        <v/>
      </c>
      <c r="BT75" t="str">
        <f>IF(ISNUMBER(VLOOKUP($A75,Haver_M!$B$1:$BZ$300,MATCH(data!BT$1,Haver_M!$B$1:$BZ$1,0),FALSE)),VLOOKUP($A75,Haver_M!$B$1:$BZ$300,MATCH(data!BT$1,Haver_M!$B$1:$BZ$1,0),FALSE),"")</f>
        <v/>
      </c>
      <c r="BU75">
        <f>IF(ISNUMBER(VLOOKUP($A75,Haver_M!$B$1:$BZ$300,MATCH(data!BU$1,Haver_M!$B$1:$BZ$1,0),FALSE)),VLOOKUP($A75,Haver_M!$B$1:$BZ$300,MATCH(data!BU$1,Haver_M!$B$1:$BZ$1,0),FALSE),"")</f>
        <v>9055</v>
      </c>
      <c r="BV75">
        <f>IF(ISNUMBER(VLOOKUP($A75,Haver_M!$B$1:$BZ$300,MATCH(data!BV$1,Haver_M!$B$1:$BZ$1,0),FALSE)),VLOOKUP($A75,Haver_M!$B$1:$BZ$300,MATCH(data!BV$1,Haver_M!$B$1:$BZ$1,0),FALSE),"")</f>
        <v>11535</v>
      </c>
      <c r="BW75">
        <f>IF(ISNUMBER(VLOOKUP($A75,Haver_M!$B$1:$BZ$300,MATCH(data!BW$1,Haver_M!$B$1:$BZ$1,0),FALSE)),VLOOKUP($A75,Haver_M!$B$1:$BZ$300,MATCH(data!BW$1,Haver_M!$B$1:$BZ$1,0),FALSE),"")</f>
        <v>44.328899999999997</v>
      </c>
      <c r="BX75">
        <f>IF(ISNUMBER(VLOOKUP($A75,Haver_M!$B$1:$BZ$300,MATCH(data!BX$1,Haver_M!$B$1:$BZ$1,0),FALSE)),VLOOKUP($A75,Haver_M!$B$1:$BZ$300,MATCH(data!BX$1,Haver_M!$B$1:$BZ$1,0),FALSE),"")</f>
        <v>18294</v>
      </c>
    </row>
    <row r="76" spans="1:76" x14ac:dyDescent="0.25">
      <c r="A76" s="2">
        <v>38807</v>
      </c>
      <c r="B76">
        <f>IF(ISNUMBER(VLOOKUP($A76,Haver_Q!$B$1:$L$185,MATCH(data!B$1,Haver_Q!$B$1:$L$1,0),FALSE)),100*(VLOOKUP($A76,Haver_Q!$B$1:$L$185,MATCH(data!B$1,Haver_Q!$B$1:$L$1,0),FALSE)),"")</f>
        <v>10.220413813930396</v>
      </c>
      <c r="C76">
        <f>IF(ISNUMBER(VLOOKUP($A76,Haver_Q!$B$1:$L$185,MATCH(data!C$1,Haver_Q!$B$1:$L$1,0),FALSE)),100*(VLOOKUP($A76,Haver_Q!$B$1:$L$185,MATCH(data!C$1,Haver_Q!$B$1:$L$1,0),FALSE)),"")</f>
        <v>9.7981168847443456</v>
      </c>
      <c r="D76">
        <f>IF(ISNUMBER(VLOOKUP($A76,Haver_Q!$B$1:$L$185,MATCH(data!D$1,Haver_Q!$B$1:$L$1,0),FALSE)),100*(VLOOKUP($A76,Haver_Q!$B$1:$L$185,MATCH(data!D$1,Haver_Q!$B$1:$L$1,0),FALSE)),"")</f>
        <v>-23.33377663884152</v>
      </c>
      <c r="E76">
        <f>IF(ISNUMBER(VLOOKUP($A76,Haver_Q!$B$1:$L$185,MATCH(data!E$1,Haver_Q!$B$1:$L$1,0),FALSE)),100*(VLOOKUP($A76,Haver_Q!$B$1:$L$185,MATCH(data!E$1,Haver_Q!$B$1:$L$1,0),FALSE)),"")</f>
        <v>18.581681661244499</v>
      </c>
      <c r="F76">
        <f>IF(ISNUMBER(VLOOKUP($A76,Haver_Q!$B$1:$L$185,MATCH(data!F$1,Haver_Q!$B$1:$L$1,0),FALSE)),100*(VLOOKUP($A76,Haver_Q!$B$1:$L$185,MATCH(data!F$1,Haver_Q!$B$1:$L$1,0),FALSE)),"")</f>
        <v>22.410966064456119</v>
      </c>
      <c r="G76">
        <f>IF(ISNUMBER(VLOOKUP($A76,Haver_Q!$B$1:$L$185,MATCH(data!G$1,Haver_Q!$B$1:$L$1,0),FALSE)),100*(VLOOKUP($A76,Haver_Q!$B$1:$L$185,MATCH(data!G$1,Haver_Q!$B$1:$L$1,0),FALSE)),"")</f>
        <v>28.030440112675436</v>
      </c>
      <c r="H76">
        <f>IF(ISNUMBER(VLOOKUP($A76,Haver_Q!$B$1:$L$185,MATCH(data!H$1,Haver_Q!$B$1:$L$1,0),FALSE)),(VLOOKUP($A76,Haver_Q!$B$1:$L$185,MATCH(data!H$1,Haver_Q!$B$1:$L$1,0),FALSE)),"")</f>
        <v>6.337796311460882</v>
      </c>
      <c r="I76">
        <f>IF(ISNUMBER(VLOOKUP($A76,Haver_Q!$B$1:$L$185,MATCH(data!I$1,Haver_Q!$B$1:$L$1,0),FALSE)),100*(VLOOKUP($A76,Haver_Q!$B$1:$L$185,MATCH(data!I$1,Haver_Q!$B$1:$L$1,0),FALSE)),"")</f>
        <v>10.358083524057005</v>
      </c>
      <c r="J76" s="3">
        <f>IF(ISNUMBER(Bloomberg_m!C92),Bloomberg_m!C92,"")</f>
        <v>2599</v>
      </c>
      <c r="K76" s="3" t="str">
        <f>IF(ISNUMBER(Bloomberg_m!D92),Bloomberg_m!D92,"")</f>
        <v/>
      </c>
      <c r="L76" s="3" t="str">
        <f>IF(ISNUMBER(Bloomberg_m!E92),Bloomberg_m!E92,"")</f>
        <v/>
      </c>
      <c r="M76" s="3" t="str">
        <f>IF(ISNUMBER(Bloomberg_m!F92),Bloomberg_m!F92,"")</f>
        <v/>
      </c>
      <c r="N76">
        <f>IF(ISNUMBER(VLOOKUP($A76,Haver_M!$B$1:$BZ$300,MATCH(data!N$1,Haver_M!$B$1:$BZ$1,0),FALSE)),VLOOKUP($A76,Haver_M!$B$1:$BZ$300,MATCH(data!N$1,Haver_M!$B$1:$BZ$1,0),FALSE),"")</f>
        <v>6.5</v>
      </c>
      <c r="O76">
        <f>IF(ISNUMBER(VLOOKUP($A76,Haver_M!$B$1:$BZ$300,MATCH(data!O$1,Haver_M!$B$1:$BZ$1,0),FALSE)),VLOOKUP($A76,Haver_M!$B$1:$BZ$300,MATCH(data!O$1,Haver_M!$B$1:$BZ$1,0),FALSE),"")</f>
        <v>7.5290999999999997</v>
      </c>
      <c r="P76">
        <f>IF(ISNUMBER(VLOOKUP($A76,Haver_M!$B$1:$BZ$300,MATCH(data!P$1,Haver_M!$B$1:$BZ$1,0),FALSE)),VLOOKUP($A76,Haver_M!$B$1:$BZ$300,MATCH(data!P$1,Haver_M!$B$1:$BZ$1,0),FALSE),"")</f>
        <v>94.690969999999993</v>
      </c>
      <c r="Q76">
        <f>IF(ISNUMBER(VLOOKUP($A76,Haver_M!$B$1:$BZ$300,MATCH(data!Q$1,Haver_M!$B$1:$BZ$1,0),FALSE)),VLOOKUP($A76,Haver_M!$B$1:$BZ$300,MATCH(data!Q$1,Haver_M!$B$1:$BZ$1,0),FALSE),"")</f>
        <v>58.6</v>
      </c>
      <c r="R76" t="str">
        <f>IF(ISNUMBER(VLOOKUP($A76,Haver_M!$B$1:$BZ$300,MATCH(data!R$1,Haver_M!$B$1:$BZ$1,0),FALSE)),VLOOKUP($A76,Haver_M!$B$1:$BZ$300,MATCH(data!R$1,Haver_M!$B$1:$BZ$1,0),FALSE),"")</f>
        <v/>
      </c>
      <c r="S76">
        <f>IF(ISNUMBER(VLOOKUP($A76,Haver_M!$B$1:$BZ$300,MATCH(data!S$1,Haver_M!$B$1:$BZ$1,0),FALSE)),VLOOKUP($A76,Haver_M!$B$1:$BZ$300,MATCH(data!S$1,Haver_M!$B$1:$BZ$1,0),FALSE),"")</f>
        <v>69.95</v>
      </c>
      <c r="T76">
        <f>IF(ISNUMBER(VLOOKUP($A76,Haver_M!$B$1:$BZ$300,MATCH(data!T$1,Haver_M!$B$1:$BZ$1,0),FALSE)),VLOOKUP($A76,Haver_M!$B$1:$BZ$300,MATCH(data!T$1,Haver_M!$B$1:$BZ$1,0),FALSE),"")</f>
        <v>73.89</v>
      </c>
      <c r="U76">
        <f>IF(ISNUMBER(VLOOKUP($A76,Haver_M!$B$1:$BZ$300,MATCH(data!U$1,Haver_M!$B$1:$BZ$1,0),FALSE)),VLOOKUP($A76,Haver_M!$B$1:$BZ$300,MATCH(data!U$1,Haver_M!$B$1:$BZ$1,0),FALSE),"")</f>
        <v>60.34</v>
      </c>
      <c r="V76">
        <f>IF(ISNUMBER(VLOOKUP($A76,Haver_M!$B$1:$BZ$300,MATCH(data!V$1,Haver_M!$B$1:$BZ$1,0),FALSE)),VLOOKUP($A76,Haver_M!$B$1:$BZ$300,MATCH(data!V$1,Haver_M!$B$1:$BZ$1,0),FALSE),"")</f>
        <v>83.05</v>
      </c>
      <c r="W76" t="str">
        <f>IF(ISNUMBER(VLOOKUP($A76,Haver_M!$B$1:$BZ$300,MATCH(data!W$1,Haver_M!$B$1:$BZ$1,0),FALSE)),VLOOKUP($A76,Haver_M!$B$1:$BZ$300,MATCH(data!W$1,Haver_M!$B$1:$BZ$1,0),FALSE),"")</f>
        <v/>
      </c>
      <c r="X76">
        <f>IF(ISNUMBER(VLOOKUP($A76,Haver_M!$B$1:$BZ$300,MATCH(data!X$1,Haver_M!$B$1:$BZ$1,0),FALSE)),VLOOKUP($A76,Haver_M!$B$1:$BZ$300,MATCH(data!X$1,Haver_M!$B$1:$BZ$1,0),FALSE),"")</f>
        <v>42.84</v>
      </c>
      <c r="Y76">
        <f>IF(ISNUMBER(VLOOKUP($A76,Haver_M!$B$1:$BZ$300,MATCH(data!Y$1,Haver_M!$B$1:$BZ$1,0),FALSE)),VLOOKUP($A76,Haver_M!$B$1:$BZ$300,MATCH(data!Y$1,Haver_M!$B$1:$BZ$1,0),FALSE),"")</f>
        <v>79.3</v>
      </c>
      <c r="Z76">
        <f>IF(ISNUMBER(VLOOKUP($A76,Haver_M!$B$1:$BZ$300,MATCH(data!Z$1,Haver_M!$B$1:$BZ$1,0),FALSE)),VLOOKUP($A76,Haver_M!$B$1:$BZ$300,MATCH(data!Z$1,Haver_M!$B$1:$BZ$1,0),FALSE),"")</f>
        <v>74.099999999999994</v>
      </c>
      <c r="AA76">
        <f>IF(ISNUMBER(VLOOKUP($A76,Haver_M!$B$1:$BZ$300,MATCH(data!AA$1,Haver_M!$B$1:$BZ$1,0),FALSE)),VLOOKUP($A76,Haver_M!$B$1:$BZ$300,MATCH(data!AA$1,Haver_M!$B$1:$BZ$1,0),FALSE),"")</f>
        <v>75.326999999999998</v>
      </c>
      <c r="AB76">
        <f>IF(ISNUMBER(VLOOKUP($A76,Haver_M!$B$1:$BZ$300,MATCH(data!AB$1,Haver_M!$B$1:$BZ$1,0),FALSE)),VLOOKUP($A76,Haver_M!$B$1:$BZ$300,MATCH(data!AB$1,Haver_M!$B$1:$BZ$1,0),FALSE),"")</f>
        <v>86.445999999999998</v>
      </c>
      <c r="AC76">
        <f>IF(ISNUMBER(VLOOKUP($A76,Haver_M!$B$1:$BZ$300,MATCH(data!AC$1,Haver_M!$B$1:$BZ$1,0),FALSE)),VLOOKUP($A76,Haver_M!$B$1:$BZ$300,MATCH(data!AC$1,Haver_M!$B$1:$BZ$1,0),FALSE),"")</f>
        <v>69.325000000000003</v>
      </c>
      <c r="AD76">
        <f>IF(ISNUMBER(VLOOKUP($A76,Haver_M!$B$1:$BZ$300,MATCH(data!AD$1,Haver_M!$B$1:$BZ$1,0),FALSE)),VLOOKUP($A76,Haver_M!$B$1:$BZ$300,MATCH(data!AD$1,Haver_M!$B$1:$BZ$1,0),FALSE),"")</f>
        <v>81.563000000000002</v>
      </c>
      <c r="AE76">
        <f>IF(ISNUMBER(VLOOKUP($A76,Haver_M!$B$1:$BZ$300,MATCH(data!AE$1,Haver_M!$B$1:$BZ$1,0),FALSE)),VLOOKUP($A76,Haver_M!$B$1:$BZ$300,MATCH(data!AE$1,Haver_M!$B$1:$BZ$1,0),FALSE),"")</f>
        <v>96.05</v>
      </c>
      <c r="AF76">
        <f>IF(ISNUMBER(VLOOKUP($A76,Haver_M!$B$1:$BZ$300,MATCH(data!AF$1,Haver_M!$B$1:$BZ$1,0),FALSE)),VLOOKUP($A76,Haver_M!$B$1:$BZ$300,MATCH(data!AF$1,Haver_M!$B$1:$BZ$1,0),FALSE),"")</f>
        <v>64.055999999999997</v>
      </c>
      <c r="AG76">
        <f>IF(ISNUMBER(VLOOKUP($A76,Haver_M!$B$1:$BZ$300,MATCH(data!AG$1,Haver_M!$B$1:$BZ$1,0),FALSE)),VLOOKUP($A76,Haver_M!$B$1:$BZ$300,MATCH(data!AG$1,Haver_M!$B$1:$BZ$1,0),FALSE),"")</f>
        <v>67.84</v>
      </c>
      <c r="AH76">
        <f>IF(ISNUMBER(VLOOKUP($A76,Haver_M!$B$1:$BZ$300,MATCH(data!AH$1,Haver_M!$B$1:$BZ$1,0),FALSE)),VLOOKUP($A76,Haver_M!$B$1:$BZ$300,MATCH(data!AH$1,Haver_M!$B$1:$BZ$1,0),FALSE),"")</f>
        <v>71.893000000000001</v>
      </c>
      <c r="AI76">
        <f>IF(ISNUMBER(VLOOKUP($A76,Haver_M!$B$1:$BZ$300,MATCH(data!AI$1,Haver_M!$B$1:$BZ$1,0),FALSE)),VLOOKUP($A76,Haver_M!$B$1:$BZ$300,MATCH(data!AI$1,Haver_M!$B$1:$BZ$1,0),FALSE),"")</f>
        <v>9562.3718060393894</v>
      </c>
      <c r="AJ76">
        <f>IF(ISNUMBER(VLOOKUP($A76,Haver_M!$B$1:$BZ$300,MATCH(data!AJ$1,Haver_M!$B$1:$BZ$1,0),FALSE)),VLOOKUP($A76,Haver_M!$B$1:$BZ$300,MATCH(data!AJ$1,Haver_M!$B$1:$BZ$1,0),FALSE),"")</f>
        <v>9655.5400000000009</v>
      </c>
      <c r="AK76">
        <f>IF(ISNUMBER(VLOOKUP($A76,Haver_M!$B$1:$BZ$300,MATCH(data!AK$1,Haver_M!$B$1:$BZ$1,0),FALSE)),VLOOKUP($A76,Haver_M!$B$1:$BZ$300,MATCH(data!AK$1,Haver_M!$B$1:$BZ$1,0),FALSE),"")</f>
        <v>14117.06</v>
      </c>
      <c r="AL76" t="str">
        <f>IF(ISNUMBER(VLOOKUP($A76,Haver_M!$B$1:$BZ$300,MATCH(data!AL$1,Haver_M!$B$1:$BZ$1,0),FALSE)),VLOOKUP($A76,Haver_M!$B$1:$BZ$300,MATCH(data!AL$1,Haver_M!$B$1:$BZ$1,0),FALSE),"")</f>
        <v/>
      </c>
      <c r="AM76" t="str">
        <f>IF(ISNUMBER(VLOOKUP($A76,Haver_M!$B$1:$BZ$300,MATCH(data!AM$1,Haver_M!$B$1:$BZ$1,0),FALSE)),VLOOKUP($A76,Haver_M!$B$1:$BZ$300,MATCH(data!AM$1,Haver_M!$B$1:$BZ$1,0),FALSE),"")</f>
        <v/>
      </c>
      <c r="AN76" t="str">
        <f>IF(ISNUMBER(VLOOKUP($A76,Haver_M!$B$1:$BZ$300,MATCH(data!AN$1,Haver_M!$B$1:$BZ$1,0),FALSE)),VLOOKUP($A76,Haver_M!$B$1:$BZ$300,MATCH(data!AN$1,Haver_M!$B$1:$BZ$1,0),FALSE),"")</f>
        <v/>
      </c>
      <c r="AO76" t="str">
        <f>IF(ISNUMBER(VLOOKUP($A76,Haver_M!$B$1:$BZ$300,MATCH(data!AO$1,Haver_M!$B$1:$BZ$1,0),FALSE)),VLOOKUP($A76,Haver_M!$B$1:$BZ$300,MATCH(data!AO$1,Haver_M!$B$1:$BZ$1,0),FALSE),"")</f>
        <v/>
      </c>
      <c r="AP76">
        <f>IF(ISNUMBER(VLOOKUP($A76,Haver_M!$B$1:$BZ$300,MATCH(data!AP$1,Haver_M!$B$1:$BZ$1,0),FALSE)),VLOOKUP($A76,Haver_M!$B$1:$BZ$300,MATCH(data!AP$1,Haver_M!$B$1:$BZ$1,0),FALSE),"")</f>
        <v>34.576219951384537</v>
      </c>
      <c r="AQ76">
        <f>IF(ISNUMBER(VLOOKUP($A76,Haver_M!$B$1:$BZ$300,MATCH(data!AQ$1,Haver_M!$B$1:$BZ$1,0),FALSE)),VLOOKUP($A76,Haver_M!$B$1:$BZ$300,MATCH(data!AQ$1,Haver_M!$B$1:$BZ$1,0),FALSE),"")</f>
        <v>61.937899999999999</v>
      </c>
      <c r="AR76">
        <f>IF(ISNUMBER(VLOOKUP($A76,Haver_M!$B$1:$BZ$300,MATCH(data!AR$1,Haver_M!$B$1:$BZ$1,0),FALSE)),VLOOKUP($A76,Haver_M!$B$1:$BZ$300,MATCH(data!AR$1,Haver_M!$B$1:$BZ$1,0),FALSE),"")</f>
        <v>55.090899999999998</v>
      </c>
      <c r="AS76">
        <f>IF(ISNUMBER(VLOOKUP($A76,Haver_M!$B$1:$BZ$300,MATCH(data!AS$1,Haver_M!$B$1:$BZ$1,0),FALSE)),VLOOKUP($A76,Haver_M!$B$1:$BZ$300,MATCH(data!AS$1,Haver_M!$B$1:$BZ$1,0),FALSE),"")</f>
        <v>63.322699999999998</v>
      </c>
      <c r="AT76">
        <f>IF(ISNUMBER(VLOOKUP($A76,Haver_M!$B$1:$BZ$300,MATCH(data!AT$1,Haver_M!$B$1:$BZ$1,0),FALSE)),VLOOKUP($A76,Haver_M!$B$1:$BZ$300,MATCH(data!AT$1,Haver_M!$B$1:$BZ$1,0),FALSE),"")</f>
        <v>58.825000000000003</v>
      </c>
      <c r="AU76">
        <f>IF(ISNUMBER(VLOOKUP($A76,Haver_M!$B$1:$BZ$300,MATCH(data!AU$1,Haver_M!$B$1:$BZ$1,0),FALSE)),VLOOKUP($A76,Haver_M!$B$1:$BZ$300,MATCH(data!AU$1,Haver_M!$B$1:$BZ$1,0),FALSE),"")</f>
        <v>58.054200000000002</v>
      </c>
      <c r="AV76">
        <f>IF(ISNUMBER(VLOOKUP($A76,Haver_M!$B$1:$BZ$300,MATCH(data!AV$1,Haver_M!$B$1:$BZ$1,0),FALSE)),VLOOKUP($A76,Haver_M!$B$1:$BZ$300,MATCH(data!AV$1,Haver_M!$B$1:$BZ$1,0),FALSE),"")</f>
        <v>52.101199999999999</v>
      </c>
      <c r="AW76">
        <f>IF(ISNUMBER(VLOOKUP($A76,Haver_M!$B$1:$BZ$300,MATCH(data!AW$1,Haver_M!$B$1:$BZ$1,0),FALSE)),VLOOKUP($A76,Haver_M!$B$1:$BZ$300,MATCH(data!AW$1,Haver_M!$B$1:$BZ$1,0),FALSE),"")</f>
        <v>51.093000000000004</v>
      </c>
      <c r="AX76">
        <f>IF(ISNUMBER(VLOOKUP($A76,Haver_M!$B$1:$BZ$300,MATCH(data!AX$1,Haver_M!$B$1:$BZ$1,0),FALSE)),VLOOKUP($A76,Haver_M!$B$1:$BZ$300,MATCH(data!AX$1,Haver_M!$B$1:$BZ$1,0),FALSE),"")</f>
        <v>52.121200000000002</v>
      </c>
      <c r="AY76">
        <f>IF(ISNUMBER(VLOOKUP($A76,Haver_M!$B$1:$BZ$300,MATCH(data!AY$1,Haver_M!$B$1:$BZ$1,0),FALSE)),VLOOKUP($A76,Haver_M!$B$1:$BZ$300,MATCH(data!AY$1,Haver_M!$B$1:$BZ$1,0),FALSE),"")</f>
        <v>53.035899999999998</v>
      </c>
      <c r="AZ76">
        <f>IF(ISNUMBER(VLOOKUP($A76,Haver_M!$B$1:$BZ$300,MATCH(data!AZ$1,Haver_M!$B$1:$BZ$1,0),FALSE)),VLOOKUP($A76,Haver_M!$B$1:$BZ$300,MATCH(data!AZ$1,Haver_M!$B$1:$BZ$1,0),FALSE),"")</f>
        <v>56.021900000000002</v>
      </c>
      <c r="BA76">
        <f>IF(ISNUMBER(VLOOKUP($A76,Haver_M!$B$1:$BZ$300,MATCH(data!BA$1,Haver_M!$B$1:$BZ$1,0),FALSE)),VLOOKUP($A76,Haver_M!$B$1:$BZ$300,MATCH(data!BA$1,Haver_M!$B$1:$BZ$1,0),FALSE),"")</f>
        <v>52.121200000000002</v>
      </c>
      <c r="BB76">
        <f>IF(ISNUMBER(VLOOKUP($A76,Haver_M!$B$1:$BZ$300,MATCH(data!BB$1,Haver_M!$B$1:$BZ$1,0),FALSE)),VLOOKUP($A76,Haver_M!$B$1:$BZ$300,MATCH(data!BB$1,Haver_M!$B$1:$BZ$1,0),FALSE),"")</f>
        <v>54.516300000000001</v>
      </c>
      <c r="BC76">
        <f>IF(ISNUMBER(VLOOKUP($A76,Haver_M!$B$1:$BZ$300,MATCH(data!BC$1,Haver_M!$B$1:$BZ$1,0),FALSE)),VLOOKUP($A76,Haver_M!$B$1:$BZ$300,MATCH(data!BC$1,Haver_M!$B$1:$BZ$1,0),FALSE),"")</f>
        <v>51.597200000000001</v>
      </c>
      <c r="BD76">
        <f>IF(ISNUMBER(VLOOKUP($A76,Haver_M!$B$1:$BZ$300,MATCH(data!BD$1,Haver_M!$B$1:$BZ$1,0),FALSE)),VLOOKUP($A76,Haver_M!$B$1:$BZ$300,MATCH(data!BD$1,Haver_M!$B$1:$BZ$1,0),FALSE),"")</f>
        <v>49.764200000000002</v>
      </c>
      <c r="BE76">
        <f>IF(ISNUMBER(VLOOKUP($A76,Haver_M!$B$1:$BZ$300,MATCH(data!BE$1,Haver_M!$B$1:$BZ$1,0),FALSE)),VLOOKUP($A76,Haver_M!$B$1:$BZ$300,MATCH(data!BE$1,Haver_M!$B$1:$BZ$1,0),FALSE),"")</f>
        <v>1.1617</v>
      </c>
      <c r="BF76">
        <f>IF(ISNUMBER(VLOOKUP($A76,Haver_M!$B$1:$BZ$300,MATCH(data!BF$1,Haver_M!$B$1:$BZ$1,0),FALSE)),VLOOKUP($A76,Haver_M!$B$1:$BZ$300,MATCH(data!BF$1,Haver_M!$B$1:$BZ$1,0),FALSE),"")</f>
        <v>53.767400000000002</v>
      </c>
      <c r="BG76">
        <f>IF(ISNUMBER(VLOOKUP($A76,Haver_M!$B$1:$BZ$300,MATCH(data!BG$1,Haver_M!$B$1:$BZ$1,0),FALSE)),VLOOKUP($A76,Haver_M!$B$1:$BZ$300,MATCH(data!BG$1,Haver_M!$B$1:$BZ$1,0),FALSE),"")</f>
        <v>52.050199999999997</v>
      </c>
      <c r="BH76">
        <f>IF(ISNUMBER(VLOOKUP($A76,Haver_M!$B$1:$BZ$300,MATCH(data!BH$1,Haver_M!$B$1:$BZ$1,0),FALSE)),VLOOKUP($A76,Haver_M!$B$1:$BZ$300,MATCH(data!BH$1,Haver_M!$B$1:$BZ$1,0),FALSE),"")</f>
        <v>61.751800000000003</v>
      </c>
      <c r="BI76">
        <f>IF(ISNUMBER(VLOOKUP($A76,Haver_M!$B$1:$BZ$300,MATCH(data!BI$1,Haver_M!$B$1:$BZ$1,0),FALSE)),VLOOKUP($A76,Haver_M!$B$1:$BZ$300,MATCH(data!BI$1,Haver_M!$B$1:$BZ$1,0),FALSE),"")</f>
        <v>59.299599999999998</v>
      </c>
      <c r="BJ76" t="str">
        <f>IF(ISNUMBER(VLOOKUP($A76,Haver_M!$B$1:$BZ$300,MATCH(data!BJ$1,Haver_M!$B$1:$BZ$1,0),FALSE)),VLOOKUP($A76,Haver_M!$B$1:$BZ$300,MATCH(data!BJ$1,Haver_M!$B$1:$BZ$1,0),FALSE),"")</f>
        <v/>
      </c>
      <c r="BK76">
        <f>IF(ISNUMBER(VLOOKUP($A76,Haver_M!$B$1:$BZ$300,MATCH(data!BK$1,Haver_M!$B$1:$BZ$1,0),FALSE)),VLOOKUP($A76,Haver_M!$B$1:$BZ$300,MATCH(data!BK$1,Haver_M!$B$1:$BZ$1,0),FALSE),"")</f>
        <v>51.553600000000003</v>
      </c>
      <c r="BL76">
        <f>IF(ISNUMBER(VLOOKUP($A76,Haver_M!$B$1:$BZ$300,MATCH(data!BL$1,Haver_M!$B$1:$BZ$1,0),FALSE)),VLOOKUP($A76,Haver_M!$B$1:$BZ$300,MATCH(data!BL$1,Haver_M!$B$1:$BZ$1,0),FALSE),"")</f>
        <v>10857.03</v>
      </c>
      <c r="BM76">
        <f>IF(ISNUMBER(VLOOKUP($A76,Haver_M!$B$1:$BZ$300,MATCH(data!BM$1,Haver_M!$B$1:$BZ$1,0),FALSE)),VLOOKUP($A76,Haver_M!$B$1:$BZ$300,MATCH(data!BM$1,Haver_M!$B$1:$BZ$1,0),FALSE),"")</f>
        <v>106.30197794</v>
      </c>
      <c r="BN76">
        <f>IF(ISNUMBER(VLOOKUP($A76,Haver_M!$B$1:$BZ$300,MATCH(data!BN$1,Haver_M!$B$1:$BZ$1,0),FALSE)),VLOOKUP($A76,Haver_M!$B$1:$BZ$300,MATCH(data!BN$1,Haver_M!$B$1:$BZ$1,0),FALSE),"")</f>
        <v>120.7</v>
      </c>
      <c r="BO76">
        <f>IF(ISNUMBER(VLOOKUP($A76,Haver_M!$B$1:$BZ$300,MATCH(data!BO$1,Haver_M!$B$1:$BZ$1,0),FALSE)),VLOOKUP($A76,Haver_M!$B$1:$BZ$300,MATCH(data!BO$1,Haver_M!$B$1:$BZ$1,0),FALSE),"")</f>
        <v>125.7</v>
      </c>
      <c r="BP76">
        <f>IF(ISNUMBER(VLOOKUP($A76,Haver_M!$B$1:$BZ$300,MATCH(data!BP$1,Haver_M!$B$1:$BZ$1,0),FALSE)),VLOOKUP($A76,Haver_M!$B$1:$BZ$300,MATCH(data!BP$1,Haver_M!$B$1:$BZ$1,0),FALSE),"")</f>
        <v>49.8</v>
      </c>
      <c r="BQ76" t="str">
        <f>IF(ISNUMBER(VLOOKUP($A76,Haver_M!$B$1:$BZ$300,MATCH(data!BQ$1,Haver_M!$B$1:$BZ$1,0),FALSE)),VLOOKUP($A76,Haver_M!$B$1:$BZ$300,MATCH(data!BQ$1,Haver_M!$B$1:$BZ$1,0),FALSE),"")</f>
        <v/>
      </c>
      <c r="BR76" t="str">
        <f>IF(ISNUMBER(VLOOKUP($A76,Haver_M!$B$1:$BZ$300,MATCH(data!BR$1,Haver_M!$B$1:$BZ$1,0),FALSE)),VLOOKUP($A76,Haver_M!$B$1:$BZ$300,MATCH(data!BR$1,Haver_M!$B$1:$BZ$1,0),FALSE),"")</f>
        <v/>
      </c>
      <c r="BS76" t="str">
        <f>IF(ISNUMBER(VLOOKUP($A76,Haver_M!$B$1:$BZ$300,MATCH(data!BS$1,Haver_M!$B$1:$BZ$1,0),FALSE)),VLOOKUP($A76,Haver_M!$B$1:$BZ$300,MATCH(data!BS$1,Haver_M!$B$1:$BZ$1,0),FALSE),"")</f>
        <v/>
      </c>
      <c r="BT76" t="str">
        <f>IF(ISNUMBER(VLOOKUP($A76,Haver_M!$B$1:$BZ$300,MATCH(data!BT$1,Haver_M!$B$1:$BZ$1,0),FALSE)),VLOOKUP($A76,Haver_M!$B$1:$BZ$300,MATCH(data!BT$1,Haver_M!$B$1:$BZ$1,0),FALSE),"")</f>
        <v/>
      </c>
      <c r="BU76">
        <f>IF(ISNUMBER(VLOOKUP($A76,Haver_M!$B$1:$BZ$300,MATCH(data!BU$1,Haver_M!$B$1:$BZ$1,0),FALSE)),VLOOKUP($A76,Haver_M!$B$1:$BZ$300,MATCH(data!BU$1,Haver_M!$B$1:$BZ$1,0),FALSE),"")</f>
        <v>11561</v>
      </c>
      <c r="BV76">
        <f>IF(ISNUMBER(VLOOKUP($A76,Haver_M!$B$1:$BZ$300,MATCH(data!BV$1,Haver_M!$B$1:$BZ$1,0),FALSE)),VLOOKUP($A76,Haver_M!$B$1:$BZ$300,MATCH(data!BV$1,Haver_M!$B$1:$BZ$1,0),FALSE),"")</f>
        <v>14314</v>
      </c>
      <c r="BW76">
        <f>IF(ISNUMBER(VLOOKUP($A76,Haver_M!$B$1:$BZ$300,MATCH(data!BW$1,Haver_M!$B$1:$BZ$1,0),FALSE)),VLOOKUP($A76,Haver_M!$B$1:$BZ$300,MATCH(data!BW$1,Haver_M!$B$1:$BZ$1,0),FALSE),"")</f>
        <v>44.481000000000002</v>
      </c>
      <c r="BX76">
        <f>IF(ISNUMBER(VLOOKUP($A76,Haver_M!$B$1:$BZ$300,MATCH(data!BX$1,Haver_M!$B$1:$BZ$1,0),FALSE)),VLOOKUP($A76,Haver_M!$B$1:$BZ$300,MATCH(data!BX$1,Haver_M!$B$1:$BZ$1,0),FALSE),"")</f>
        <v>16620</v>
      </c>
    </row>
    <row r="77" spans="1:76" x14ac:dyDescent="0.25">
      <c r="A77" s="2">
        <v>38837</v>
      </c>
      <c r="B77" t="str">
        <f>IF(ISNUMBER(VLOOKUP($A77,Haver_Q!$B$1:$L$185,MATCH(data!B$1,Haver_Q!$B$1:$L$1,0),FALSE)),100*(VLOOKUP($A77,Haver_Q!$B$1:$L$185,MATCH(data!B$1,Haver_Q!$B$1:$L$1,0),FALSE)),"")</f>
        <v/>
      </c>
      <c r="C77" t="str">
        <f>IF(ISNUMBER(VLOOKUP($A77,Haver_Q!$B$1:$L$185,MATCH(data!C$1,Haver_Q!$B$1:$L$1,0),FALSE)),100*(VLOOKUP($A77,Haver_Q!$B$1:$L$185,MATCH(data!C$1,Haver_Q!$B$1:$L$1,0),FALSE)),"")</f>
        <v/>
      </c>
      <c r="D77" t="str">
        <f>IF(ISNUMBER(VLOOKUP($A77,Haver_Q!$B$1:$L$185,MATCH(data!D$1,Haver_Q!$B$1:$L$1,0),FALSE)),100*(VLOOKUP($A77,Haver_Q!$B$1:$L$185,MATCH(data!D$1,Haver_Q!$B$1:$L$1,0),FALSE)),"")</f>
        <v/>
      </c>
      <c r="E77" t="str">
        <f>IF(ISNUMBER(VLOOKUP($A77,Haver_Q!$B$1:$L$185,MATCH(data!E$1,Haver_Q!$B$1:$L$1,0),FALSE)),100*(VLOOKUP($A77,Haver_Q!$B$1:$L$185,MATCH(data!E$1,Haver_Q!$B$1:$L$1,0),FALSE)),"")</f>
        <v/>
      </c>
      <c r="F77" t="str">
        <f>IF(ISNUMBER(VLOOKUP($A77,Haver_Q!$B$1:$L$185,MATCH(data!F$1,Haver_Q!$B$1:$L$1,0),FALSE)),100*(VLOOKUP($A77,Haver_Q!$B$1:$L$185,MATCH(data!F$1,Haver_Q!$B$1:$L$1,0),FALSE)),"")</f>
        <v/>
      </c>
      <c r="G77" t="str">
        <f>IF(ISNUMBER(VLOOKUP($A77,Haver_Q!$B$1:$L$185,MATCH(data!G$1,Haver_Q!$B$1:$L$1,0),FALSE)),100*(VLOOKUP($A77,Haver_Q!$B$1:$L$185,MATCH(data!G$1,Haver_Q!$B$1:$L$1,0),FALSE)),"")</f>
        <v/>
      </c>
      <c r="H77" t="str">
        <f>IF(ISNUMBER(VLOOKUP($A77,Haver_Q!$B$1:$L$185,MATCH(data!H$1,Haver_Q!$B$1:$L$1,0),FALSE)),(VLOOKUP($A77,Haver_Q!$B$1:$L$185,MATCH(data!H$1,Haver_Q!$B$1:$L$1,0),FALSE)),"")</f>
        <v/>
      </c>
      <c r="I77" t="str">
        <f>IF(ISNUMBER(VLOOKUP($A77,Haver_Q!$B$1:$L$185,MATCH(data!I$1,Haver_Q!$B$1:$L$1,0),FALSE)),100*(VLOOKUP($A77,Haver_Q!$B$1:$L$185,MATCH(data!I$1,Haver_Q!$B$1:$L$1,0),FALSE)),"")</f>
        <v/>
      </c>
      <c r="J77" s="3">
        <f>IF(ISNUMBER(Bloomberg_m!C93),Bloomberg_m!C93,"")</f>
        <v>2465</v>
      </c>
      <c r="K77" s="3" t="str">
        <f>IF(ISNUMBER(Bloomberg_m!D93),Bloomberg_m!D93,"")</f>
        <v/>
      </c>
      <c r="L77" s="3" t="str">
        <f>IF(ISNUMBER(Bloomberg_m!E93),Bloomberg_m!E93,"")</f>
        <v/>
      </c>
      <c r="M77" s="3" t="str">
        <f>IF(ISNUMBER(Bloomberg_m!F93),Bloomberg_m!F93,"")</f>
        <v/>
      </c>
      <c r="N77">
        <f>IF(ISNUMBER(VLOOKUP($A77,Haver_M!$B$1:$BZ$300,MATCH(data!N$1,Haver_M!$B$1:$BZ$1,0),FALSE)),VLOOKUP($A77,Haver_M!$B$1:$BZ$300,MATCH(data!N$1,Haver_M!$B$1:$BZ$1,0),FALSE),"")</f>
        <v>6.5</v>
      </c>
      <c r="O77">
        <f>IF(ISNUMBER(VLOOKUP($A77,Haver_M!$B$1:$BZ$300,MATCH(data!O$1,Haver_M!$B$1:$BZ$1,0),FALSE)),VLOOKUP($A77,Haver_M!$B$1:$BZ$300,MATCH(data!O$1,Haver_M!$B$1:$BZ$1,0),FALSE),"")</f>
        <v>7.3940999999999999</v>
      </c>
      <c r="P77">
        <f>IF(ISNUMBER(VLOOKUP($A77,Haver_M!$B$1:$BZ$300,MATCH(data!P$1,Haver_M!$B$1:$BZ$1,0),FALSE)),VLOOKUP($A77,Haver_M!$B$1:$BZ$300,MATCH(data!P$1,Haver_M!$B$1:$BZ$1,0),FALSE),"")</f>
        <v>93.555250000000001</v>
      </c>
      <c r="Q77">
        <f>IF(ISNUMBER(VLOOKUP($A77,Haver_M!$B$1:$BZ$300,MATCH(data!Q$1,Haver_M!$B$1:$BZ$1,0),FALSE)),VLOOKUP($A77,Haver_M!$B$1:$BZ$300,MATCH(data!Q$1,Haver_M!$B$1:$BZ$1,0),FALSE),"")</f>
        <v>59.2</v>
      </c>
      <c r="R77" t="str">
        <f>IF(ISNUMBER(VLOOKUP($A77,Haver_M!$B$1:$BZ$300,MATCH(data!R$1,Haver_M!$B$1:$BZ$1,0),FALSE)),VLOOKUP($A77,Haver_M!$B$1:$BZ$300,MATCH(data!R$1,Haver_M!$B$1:$BZ$1,0),FALSE),"")</f>
        <v/>
      </c>
      <c r="S77">
        <f>IF(ISNUMBER(VLOOKUP($A77,Haver_M!$B$1:$BZ$300,MATCH(data!S$1,Haver_M!$B$1:$BZ$1,0),FALSE)),VLOOKUP($A77,Haver_M!$B$1:$BZ$300,MATCH(data!S$1,Haver_M!$B$1:$BZ$1,0),FALSE),"")</f>
        <v>69.08</v>
      </c>
      <c r="T77">
        <f>IF(ISNUMBER(VLOOKUP($A77,Haver_M!$B$1:$BZ$300,MATCH(data!T$1,Haver_M!$B$1:$BZ$1,0),FALSE)),VLOOKUP($A77,Haver_M!$B$1:$BZ$300,MATCH(data!T$1,Haver_M!$B$1:$BZ$1,0),FALSE),"")</f>
        <v>73.64</v>
      </c>
      <c r="U77">
        <f>IF(ISNUMBER(VLOOKUP($A77,Haver_M!$B$1:$BZ$300,MATCH(data!U$1,Haver_M!$B$1:$BZ$1,0),FALSE)),VLOOKUP($A77,Haver_M!$B$1:$BZ$300,MATCH(data!U$1,Haver_M!$B$1:$BZ$1,0),FALSE),"")</f>
        <v>57.35</v>
      </c>
      <c r="V77">
        <f>IF(ISNUMBER(VLOOKUP($A77,Haver_M!$B$1:$BZ$300,MATCH(data!V$1,Haver_M!$B$1:$BZ$1,0),FALSE)),VLOOKUP($A77,Haver_M!$B$1:$BZ$300,MATCH(data!V$1,Haver_M!$B$1:$BZ$1,0),FALSE),"")</f>
        <v>81.59</v>
      </c>
      <c r="W77" t="str">
        <f>IF(ISNUMBER(VLOOKUP($A77,Haver_M!$B$1:$BZ$300,MATCH(data!W$1,Haver_M!$B$1:$BZ$1,0),FALSE)),VLOOKUP($A77,Haver_M!$B$1:$BZ$300,MATCH(data!W$1,Haver_M!$B$1:$BZ$1,0),FALSE),"")</f>
        <v/>
      </c>
      <c r="X77">
        <f>IF(ISNUMBER(VLOOKUP($A77,Haver_M!$B$1:$BZ$300,MATCH(data!X$1,Haver_M!$B$1:$BZ$1,0),FALSE)),VLOOKUP($A77,Haver_M!$B$1:$BZ$300,MATCH(data!X$1,Haver_M!$B$1:$BZ$1,0),FALSE),"")</f>
        <v>44.41</v>
      </c>
      <c r="Y77">
        <f>IF(ISNUMBER(VLOOKUP($A77,Haver_M!$B$1:$BZ$300,MATCH(data!Y$1,Haver_M!$B$1:$BZ$1,0),FALSE)),VLOOKUP($A77,Haver_M!$B$1:$BZ$300,MATCH(data!Y$1,Haver_M!$B$1:$BZ$1,0),FALSE),"")</f>
        <v>69.91</v>
      </c>
      <c r="Z77">
        <f>IF(ISNUMBER(VLOOKUP($A77,Haver_M!$B$1:$BZ$300,MATCH(data!Z$1,Haver_M!$B$1:$BZ$1,0),FALSE)),VLOOKUP($A77,Haver_M!$B$1:$BZ$300,MATCH(data!Z$1,Haver_M!$B$1:$BZ$1,0),FALSE),"")</f>
        <v>75.099999999999994</v>
      </c>
      <c r="AA77">
        <f>IF(ISNUMBER(VLOOKUP($A77,Haver_M!$B$1:$BZ$300,MATCH(data!AA$1,Haver_M!$B$1:$BZ$1,0),FALSE)),VLOOKUP($A77,Haver_M!$B$1:$BZ$300,MATCH(data!AA$1,Haver_M!$B$1:$BZ$1,0),FALSE),"")</f>
        <v>78.725999999999999</v>
      </c>
      <c r="AB77">
        <f>IF(ISNUMBER(VLOOKUP($A77,Haver_M!$B$1:$BZ$300,MATCH(data!AB$1,Haver_M!$B$1:$BZ$1,0),FALSE)),VLOOKUP($A77,Haver_M!$B$1:$BZ$300,MATCH(data!AB$1,Haver_M!$B$1:$BZ$1,0),FALSE),"")</f>
        <v>87.006</v>
      </c>
      <c r="AC77">
        <f>IF(ISNUMBER(VLOOKUP($A77,Haver_M!$B$1:$BZ$300,MATCH(data!AC$1,Haver_M!$B$1:$BZ$1,0),FALSE)),VLOOKUP($A77,Haver_M!$B$1:$BZ$300,MATCH(data!AC$1,Haver_M!$B$1:$BZ$1,0),FALSE),"")</f>
        <v>69.632999999999996</v>
      </c>
      <c r="AD77">
        <f>IF(ISNUMBER(VLOOKUP($A77,Haver_M!$B$1:$BZ$300,MATCH(data!AD$1,Haver_M!$B$1:$BZ$1,0),FALSE)),VLOOKUP($A77,Haver_M!$B$1:$BZ$300,MATCH(data!AD$1,Haver_M!$B$1:$BZ$1,0),FALSE),"")</f>
        <v>80.971999999999994</v>
      </c>
      <c r="AE77">
        <f>IF(ISNUMBER(VLOOKUP($A77,Haver_M!$B$1:$BZ$300,MATCH(data!AE$1,Haver_M!$B$1:$BZ$1,0),FALSE)),VLOOKUP($A77,Haver_M!$B$1:$BZ$300,MATCH(data!AE$1,Haver_M!$B$1:$BZ$1,0),FALSE),"")</f>
        <v>98.93</v>
      </c>
      <c r="AF77">
        <f>IF(ISNUMBER(VLOOKUP($A77,Haver_M!$B$1:$BZ$300,MATCH(data!AF$1,Haver_M!$B$1:$BZ$1,0),FALSE)),VLOOKUP($A77,Haver_M!$B$1:$BZ$300,MATCH(data!AF$1,Haver_M!$B$1:$BZ$1,0),FALSE),"")</f>
        <v>66.3</v>
      </c>
      <c r="AG77">
        <f>IF(ISNUMBER(VLOOKUP($A77,Haver_M!$B$1:$BZ$300,MATCH(data!AG$1,Haver_M!$B$1:$BZ$1,0),FALSE)),VLOOKUP($A77,Haver_M!$B$1:$BZ$300,MATCH(data!AG$1,Haver_M!$B$1:$BZ$1,0),FALSE),"")</f>
        <v>67.471000000000004</v>
      </c>
      <c r="AH77">
        <f>IF(ISNUMBER(VLOOKUP($A77,Haver_M!$B$1:$BZ$300,MATCH(data!AH$1,Haver_M!$B$1:$BZ$1,0),FALSE)),VLOOKUP($A77,Haver_M!$B$1:$BZ$300,MATCH(data!AH$1,Haver_M!$B$1:$BZ$1,0),FALSE),"")</f>
        <v>72.911000000000001</v>
      </c>
      <c r="AI77">
        <f>IF(ISNUMBER(VLOOKUP($A77,Haver_M!$B$1:$BZ$300,MATCH(data!AI$1,Haver_M!$B$1:$BZ$1,0),FALSE)),VLOOKUP($A77,Haver_M!$B$1:$BZ$300,MATCH(data!AI$1,Haver_M!$B$1:$BZ$1,0),FALSE),"")</f>
        <v>9723.7208129570936</v>
      </c>
      <c r="AJ77">
        <f>IF(ISNUMBER(VLOOKUP($A77,Haver_M!$B$1:$BZ$300,MATCH(data!AJ$1,Haver_M!$B$1:$BZ$1,0),FALSE)),VLOOKUP($A77,Haver_M!$B$1:$BZ$300,MATCH(data!AJ$1,Haver_M!$B$1:$BZ$1,0),FALSE),"")</f>
        <v>8948.24</v>
      </c>
      <c r="AK77">
        <f>IF(ISNUMBER(VLOOKUP($A77,Haver_M!$B$1:$BZ$300,MATCH(data!AK$1,Haver_M!$B$1:$BZ$1,0),FALSE)),VLOOKUP($A77,Haver_M!$B$1:$BZ$300,MATCH(data!AK$1,Haver_M!$B$1:$BZ$1,0),FALSE),"")</f>
        <v>13213.4</v>
      </c>
      <c r="AL77" t="str">
        <f>IF(ISNUMBER(VLOOKUP($A77,Haver_M!$B$1:$BZ$300,MATCH(data!AL$1,Haver_M!$B$1:$BZ$1,0),FALSE)),VLOOKUP($A77,Haver_M!$B$1:$BZ$300,MATCH(data!AL$1,Haver_M!$B$1:$BZ$1,0),FALSE),"")</f>
        <v/>
      </c>
      <c r="AM77" t="str">
        <f>IF(ISNUMBER(VLOOKUP($A77,Haver_M!$B$1:$BZ$300,MATCH(data!AM$1,Haver_M!$B$1:$BZ$1,0),FALSE)),VLOOKUP($A77,Haver_M!$B$1:$BZ$300,MATCH(data!AM$1,Haver_M!$B$1:$BZ$1,0),FALSE),"")</f>
        <v/>
      </c>
      <c r="AN77" t="str">
        <f>IF(ISNUMBER(VLOOKUP($A77,Haver_M!$B$1:$BZ$300,MATCH(data!AN$1,Haver_M!$B$1:$BZ$1,0),FALSE)),VLOOKUP($A77,Haver_M!$B$1:$BZ$300,MATCH(data!AN$1,Haver_M!$B$1:$BZ$1,0),FALSE),"")</f>
        <v/>
      </c>
      <c r="AO77" t="str">
        <f>IF(ISNUMBER(VLOOKUP($A77,Haver_M!$B$1:$BZ$300,MATCH(data!AO$1,Haver_M!$B$1:$BZ$1,0),FALSE)),VLOOKUP($A77,Haver_M!$B$1:$BZ$300,MATCH(data!AO$1,Haver_M!$B$1:$BZ$1,0),FALSE),"")</f>
        <v/>
      </c>
      <c r="AP77">
        <f>IF(ISNUMBER(VLOOKUP($A77,Haver_M!$B$1:$BZ$300,MATCH(data!AP$1,Haver_M!$B$1:$BZ$1,0),FALSE)),VLOOKUP($A77,Haver_M!$B$1:$BZ$300,MATCH(data!AP$1,Haver_M!$B$1:$BZ$1,0),FALSE),"")</f>
        <v>30.910233160557748</v>
      </c>
      <c r="AQ77">
        <f>IF(ISNUMBER(VLOOKUP($A77,Haver_M!$B$1:$BZ$300,MATCH(data!AQ$1,Haver_M!$B$1:$BZ$1,0),FALSE)),VLOOKUP($A77,Haver_M!$B$1:$BZ$300,MATCH(data!AQ$1,Haver_M!$B$1:$BZ$1,0),FALSE),"")</f>
        <v>62.905799999999999</v>
      </c>
      <c r="AR77">
        <f>IF(ISNUMBER(VLOOKUP($A77,Haver_M!$B$1:$BZ$300,MATCH(data!AR$1,Haver_M!$B$1:$BZ$1,0),FALSE)),VLOOKUP($A77,Haver_M!$B$1:$BZ$300,MATCH(data!AR$1,Haver_M!$B$1:$BZ$1,0),FALSE),"")</f>
        <v>56.761699999999998</v>
      </c>
      <c r="AS77">
        <f>IF(ISNUMBER(VLOOKUP($A77,Haver_M!$B$1:$BZ$300,MATCH(data!AS$1,Haver_M!$B$1:$BZ$1,0),FALSE)),VLOOKUP($A77,Haver_M!$B$1:$BZ$300,MATCH(data!AS$1,Haver_M!$B$1:$BZ$1,0),FALSE),"")</f>
        <v>63.464799999999997</v>
      </c>
      <c r="AT77">
        <f>IF(ISNUMBER(VLOOKUP($A77,Haver_M!$B$1:$BZ$300,MATCH(data!AT$1,Haver_M!$B$1:$BZ$1,0),FALSE)),VLOOKUP($A77,Haver_M!$B$1:$BZ$300,MATCH(data!AT$1,Haver_M!$B$1:$BZ$1,0),FALSE),"")</f>
        <v>61.6492</v>
      </c>
      <c r="AU77">
        <f>IF(ISNUMBER(VLOOKUP($A77,Haver_M!$B$1:$BZ$300,MATCH(data!AU$1,Haver_M!$B$1:$BZ$1,0),FALSE)),VLOOKUP($A77,Haver_M!$B$1:$BZ$300,MATCH(data!AU$1,Haver_M!$B$1:$BZ$1,0),FALSE),"")</f>
        <v>61.780099999999997</v>
      </c>
      <c r="AV77">
        <f>IF(ISNUMBER(VLOOKUP($A77,Haver_M!$B$1:$BZ$300,MATCH(data!AV$1,Haver_M!$B$1:$BZ$1,0),FALSE)),VLOOKUP($A77,Haver_M!$B$1:$BZ$300,MATCH(data!AV$1,Haver_M!$B$1:$BZ$1,0),FALSE),"")</f>
        <v>52.362200000000001</v>
      </c>
      <c r="AW77">
        <f>IF(ISNUMBER(VLOOKUP($A77,Haver_M!$B$1:$BZ$300,MATCH(data!AW$1,Haver_M!$B$1:$BZ$1,0),FALSE)),VLOOKUP($A77,Haver_M!$B$1:$BZ$300,MATCH(data!AW$1,Haver_M!$B$1:$BZ$1,0),FALSE),"")</f>
        <v>52.356000000000002</v>
      </c>
      <c r="AX77">
        <f>IF(ISNUMBER(VLOOKUP($A77,Haver_M!$B$1:$BZ$300,MATCH(data!AX$1,Haver_M!$B$1:$BZ$1,0),FALSE)),VLOOKUP($A77,Haver_M!$B$1:$BZ$300,MATCH(data!AX$1,Haver_M!$B$1:$BZ$1,0),FALSE),"")</f>
        <v>51.9634</v>
      </c>
      <c r="AY77">
        <f>IF(ISNUMBER(VLOOKUP($A77,Haver_M!$B$1:$BZ$300,MATCH(data!AY$1,Haver_M!$B$1:$BZ$1,0),FALSE)),VLOOKUP($A77,Haver_M!$B$1:$BZ$300,MATCH(data!AY$1,Haver_M!$B$1:$BZ$1,0),FALSE),"")</f>
        <v>57.199800000000003</v>
      </c>
      <c r="AZ77">
        <f>IF(ISNUMBER(VLOOKUP($A77,Haver_M!$B$1:$BZ$300,MATCH(data!AZ$1,Haver_M!$B$1:$BZ$1,0),FALSE)),VLOOKUP($A77,Haver_M!$B$1:$BZ$300,MATCH(data!AZ$1,Haver_M!$B$1:$BZ$1,0),FALSE),"")</f>
        <v>57.329799999999999</v>
      </c>
      <c r="BA77">
        <f>IF(ISNUMBER(VLOOKUP($A77,Haver_M!$B$1:$BZ$300,MATCH(data!BA$1,Haver_M!$B$1:$BZ$1,0),FALSE)),VLOOKUP($A77,Haver_M!$B$1:$BZ$300,MATCH(data!BA$1,Haver_M!$B$1:$BZ$1,0),FALSE),"")</f>
        <v>51.9634</v>
      </c>
      <c r="BB77">
        <f>IF(ISNUMBER(VLOOKUP($A77,Haver_M!$B$1:$BZ$300,MATCH(data!BB$1,Haver_M!$B$1:$BZ$1,0),FALSE)),VLOOKUP($A77,Haver_M!$B$1:$BZ$300,MATCH(data!BB$1,Haver_M!$B$1:$BZ$1,0),FALSE),"")</f>
        <v>55.165100000000002</v>
      </c>
      <c r="BC77">
        <f>IF(ISNUMBER(VLOOKUP($A77,Haver_M!$B$1:$BZ$300,MATCH(data!BC$1,Haver_M!$B$1:$BZ$1,0),FALSE)),VLOOKUP($A77,Haver_M!$B$1:$BZ$300,MATCH(data!BC$1,Haver_M!$B$1:$BZ$1,0),FALSE),"")</f>
        <v>53.664900000000003</v>
      </c>
      <c r="BD77">
        <f>IF(ISNUMBER(VLOOKUP($A77,Haver_M!$B$1:$BZ$300,MATCH(data!BD$1,Haver_M!$B$1:$BZ$1,0),FALSE)),VLOOKUP($A77,Haver_M!$B$1:$BZ$300,MATCH(data!BD$1,Haver_M!$B$1:$BZ$1,0),FALSE),"")</f>
        <v>50</v>
      </c>
      <c r="BE77">
        <f>IF(ISNUMBER(VLOOKUP($A77,Haver_M!$B$1:$BZ$300,MATCH(data!BE$1,Haver_M!$B$1:$BZ$1,0),FALSE)),VLOOKUP($A77,Haver_M!$B$1:$BZ$300,MATCH(data!BE$1,Haver_M!$B$1:$BZ$1,0),FALSE),"")</f>
        <v>1.2625</v>
      </c>
      <c r="BF77">
        <f>IF(ISNUMBER(VLOOKUP($A77,Haver_M!$B$1:$BZ$300,MATCH(data!BF$1,Haver_M!$B$1:$BZ$1,0),FALSE)),VLOOKUP($A77,Haver_M!$B$1:$BZ$300,MATCH(data!BF$1,Haver_M!$B$1:$BZ$1,0),FALSE),"")</f>
        <v>55.226399999999998</v>
      </c>
      <c r="BG77">
        <f>IF(ISNUMBER(VLOOKUP($A77,Haver_M!$B$1:$BZ$300,MATCH(data!BG$1,Haver_M!$B$1:$BZ$1,0),FALSE)),VLOOKUP($A77,Haver_M!$B$1:$BZ$300,MATCH(data!BG$1,Haver_M!$B$1:$BZ$1,0),FALSE),"")</f>
        <v>52.884099999999997</v>
      </c>
      <c r="BH77">
        <f>IF(ISNUMBER(VLOOKUP($A77,Haver_M!$B$1:$BZ$300,MATCH(data!BH$1,Haver_M!$B$1:$BZ$1,0),FALSE)),VLOOKUP($A77,Haver_M!$B$1:$BZ$300,MATCH(data!BH$1,Haver_M!$B$1:$BZ$1,0),FALSE),"")</f>
        <v>61.7804</v>
      </c>
      <c r="BI77">
        <f>IF(ISNUMBER(VLOOKUP($A77,Haver_M!$B$1:$BZ$300,MATCH(data!BI$1,Haver_M!$B$1:$BZ$1,0),FALSE)),VLOOKUP($A77,Haver_M!$B$1:$BZ$300,MATCH(data!BI$1,Haver_M!$B$1:$BZ$1,0),FALSE),"")</f>
        <v>57.4054</v>
      </c>
      <c r="BJ77" t="str">
        <f>IF(ISNUMBER(VLOOKUP($A77,Haver_M!$B$1:$BZ$300,MATCH(data!BJ$1,Haver_M!$B$1:$BZ$1,0),FALSE)),VLOOKUP($A77,Haver_M!$B$1:$BZ$300,MATCH(data!BJ$1,Haver_M!$B$1:$BZ$1,0),FALSE),"")</f>
        <v/>
      </c>
      <c r="BK77">
        <f>IF(ISNUMBER(VLOOKUP($A77,Haver_M!$B$1:$BZ$300,MATCH(data!BK$1,Haver_M!$B$1:$BZ$1,0),FALSE)),VLOOKUP($A77,Haver_M!$B$1:$BZ$300,MATCH(data!BK$1,Haver_M!$B$1:$BZ$1,0),FALSE),"")</f>
        <v>51.857799999999997</v>
      </c>
      <c r="BL77">
        <f>IF(ISNUMBER(VLOOKUP($A77,Haver_M!$B$1:$BZ$300,MATCH(data!BL$1,Haver_M!$B$1:$BZ$1,0),FALSE)),VLOOKUP($A77,Haver_M!$B$1:$BZ$300,MATCH(data!BL$1,Haver_M!$B$1:$BZ$1,0),FALSE),"")</f>
        <v>11724.05</v>
      </c>
      <c r="BM77">
        <f>IF(ISNUMBER(VLOOKUP($A77,Haver_M!$B$1:$BZ$300,MATCH(data!BM$1,Haver_M!$B$1:$BZ$1,0),FALSE)),VLOOKUP($A77,Haver_M!$B$1:$BZ$300,MATCH(data!BM$1,Haver_M!$B$1:$BZ$1,0),FALSE),"")</f>
        <v>106.65595184999999</v>
      </c>
      <c r="BN77" t="str">
        <f>IF(ISNUMBER(VLOOKUP($A77,Haver_M!$B$1:$BZ$300,MATCH(data!BN$1,Haver_M!$B$1:$BZ$1,0),FALSE)),VLOOKUP($A77,Haver_M!$B$1:$BZ$300,MATCH(data!BN$1,Haver_M!$B$1:$BZ$1,0),FALSE),"")</f>
        <v/>
      </c>
      <c r="BO77" t="str">
        <f>IF(ISNUMBER(VLOOKUP($A77,Haver_M!$B$1:$BZ$300,MATCH(data!BO$1,Haver_M!$B$1:$BZ$1,0),FALSE)),VLOOKUP($A77,Haver_M!$B$1:$BZ$300,MATCH(data!BO$1,Haver_M!$B$1:$BZ$1,0),FALSE),"")</f>
        <v/>
      </c>
      <c r="BP77" t="str">
        <f>IF(ISNUMBER(VLOOKUP($A77,Haver_M!$B$1:$BZ$300,MATCH(data!BP$1,Haver_M!$B$1:$BZ$1,0),FALSE)),VLOOKUP($A77,Haver_M!$B$1:$BZ$300,MATCH(data!BP$1,Haver_M!$B$1:$BZ$1,0),FALSE),"")</f>
        <v/>
      </c>
      <c r="BQ77" t="str">
        <f>IF(ISNUMBER(VLOOKUP($A77,Haver_M!$B$1:$BZ$300,MATCH(data!BQ$1,Haver_M!$B$1:$BZ$1,0),FALSE)),VLOOKUP($A77,Haver_M!$B$1:$BZ$300,MATCH(data!BQ$1,Haver_M!$B$1:$BZ$1,0),FALSE),"")</f>
        <v/>
      </c>
      <c r="BR77" t="str">
        <f>IF(ISNUMBER(VLOOKUP($A77,Haver_M!$B$1:$BZ$300,MATCH(data!BR$1,Haver_M!$B$1:$BZ$1,0),FALSE)),VLOOKUP($A77,Haver_M!$B$1:$BZ$300,MATCH(data!BR$1,Haver_M!$B$1:$BZ$1,0),FALSE),"")</f>
        <v/>
      </c>
      <c r="BS77" t="str">
        <f>IF(ISNUMBER(VLOOKUP($A77,Haver_M!$B$1:$BZ$300,MATCH(data!BS$1,Haver_M!$B$1:$BZ$1,0),FALSE)),VLOOKUP($A77,Haver_M!$B$1:$BZ$300,MATCH(data!BS$1,Haver_M!$B$1:$BZ$1,0),FALSE),"")</f>
        <v/>
      </c>
      <c r="BT77" t="str">
        <f>IF(ISNUMBER(VLOOKUP($A77,Haver_M!$B$1:$BZ$300,MATCH(data!BT$1,Haver_M!$B$1:$BZ$1,0),FALSE)),VLOOKUP($A77,Haver_M!$B$1:$BZ$300,MATCH(data!BT$1,Haver_M!$B$1:$BZ$1,0),FALSE),"")</f>
        <v/>
      </c>
      <c r="BU77">
        <f>IF(ISNUMBER(VLOOKUP($A77,Haver_M!$B$1:$BZ$300,MATCH(data!BU$1,Haver_M!$B$1:$BZ$1,0),FALSE)),VLOOKUP($A77,Haver_M!$B$1:$BZ$300,MATCH(data!BU$1,Haver_M!$B$1:$BZ$1,0),FALSE),"")</f>
        <v>8625</v>
      </c>
      <c r="BV77">
        <f>IF(ISNUMBER(VLOOKUP($A77,Haver_M!$B$1:$BZ$300,MATCH(data!BV$1,Haver_M!$B$1:$BZ$1,0),FALSE)),VLOOKUP($A77,Haver_M!$B$1:$BZ$300,MATCH(data!BV$1,Haver_M!$B$1:$BZ$1,0),FALSE),"")</f>
        <v>12924.5</v>
      </c>
      <c r="BW77">
        <f>IF(ISNUMBER(VLOOKUP($A77,Haver_M!$B$1:$BZ$300,MATCH(data!BW$1,Haver_M!$B$1:$BZ$1,0),FALSE)),VLOOKUP($A77,Haver_M!$B$1:$BZ$300,MATCH(data!BW$1,Haver_M!$B$1:$BZ$1,0),FALSE),"")</f>
        <v>44.949100000000001</v>
      </c>
      <c r="BX77">
        <f>IF(ISNUMBER(VLOOKUP($A77,Haver_M!$B$1:$BZ$300,MATCH(data!BX$1,Haver_M!$B$1:$BZ$1,0),FALSE)),VLOOKUP($A77,Haver_M!$B$1:$BZ$300,MATCH(data!BX$1,Haver_M!$B$1:$BZ$1,0),FALSE),"")</f>
        <v>22819</v>
      </c>
    </row>
    <row r="78" spans="1:76" x14ac:dyDescent="0.25">
      <c r="A78" s="2">
        <v>38868</v>
      </c>
      <c r="B78" t="str">
        <f>IF(ISNUMBER(VLOOKUP($A78,Haver_Q!$B$1:$L$185,MATCH(data!B$1,Haver_Q!$B$1:$L$1,0),FALSE)),100*(VLOOKUP($A78,Haver_Q!$B$1:$L$185,MATCH(data!B$1,Haver_Q!$B$1:$L$1,0),FALSE)),"")</f>
        <v/>
      </c>
      <c r="C78" t="str">
        <f>IF(ISNUMBER(VLOOKUP($A78,Haver_Q!$B$1:$L$185,MATCH(data!C$1,Haver_Q!$B$1:$L$1,0),FALSE)),100*(VLOOKUP($A78,Haver_Q!$B$1:$L$185,MATCH(data!C$1,Haver_Q!$B$1:$L$1,0),FALSE)),"")</f>
        <v/>
      </c>
      <c r="D78" t="str">
        <f>IF(ISNUMBER(VLOOKUP($A78,Haver_Q!$B$1:$L$185,MATCH(data!D$1,Haver_Q!$B$1:$L$1,0),FALSE)),100*(VLOOKUP($A78,Haver_Q!$B$1:$L$185,MATCH(data!D$1,Haver_Q!$B$1:$L$1,0),FALSE)),"")</f>
        <v/>
      </c>
      <c r="E78" t="str">
        <f>IF(ISNUMBER(VLOOKUP($A78,Haver_Q!$B$1:$L$185,MATCH(data!E$1,Haver_Q!$B$1:$L$1,0),FALSE)),100*(VLOOKUP($A78,Haver_Q!$B$1:$L$185,MATCH(data!E$1,Haver_Q!$B$1:$L$1,0),FALSE)),"")</f>
        <v/>
      </c>
      <c r="F78" t="str">
        <f>IF(ISNUMBER(VLOOKUP($A78,Haver_Q!$B$1:$L$185,MATCH(data!F$1,Haver_Q!$B$1:$L$1,0),FALSE)),100*(VLOOKUP($A78,Haver_Q!$B$1:$L$185,MATCH(data!F$1,Haver_Q!$B$1:$L$1,0),FALSE)),"")</f>
        <v/>
      </c>
      <c r="G78" t="str">
        <f>IF(ISNUMBER(VLOOKUP($A78,Haver_Q!$B$1:$L$185,MATCH(data!G$1,Haver_Q!$B$1:$L$1,0),FALSE)),100*(VLOOKUP($A78,Haver_Q!$B$1:$L$185,MATCH(data!G$1,Haver_Q!$B$1:$L$1,0),FALSE)),"")</f>
        <v/>
      </c>
      <c r="H78" t="str">
        <f>IF(ISNUMBER(VLOOKUP($A78,Haver_Q!$B$1:$L$185,MATCH(data!H$1,Haver_Q!$B$1:$L$1,0),FALSE)),(VLOOKUP($A78,Haver_Q!$B$1:$L$185,MATCH(data!H$1,Haver_Q!$B$1:$L$1,0),FALSE)),"")</f>
        <v/>
      </c>
      <c r="I78" t="str">
        <f>IF(ISNUMBER(VLOOKUP($A78,Haver_Q!$B$1:$L$185,MATCH(data!I$1,Haver_Q!$B$1:$L$1,0),FALSE)),100*(VLOOKUP($A78,Haver_Q!$B$1:$L$185,MATCH(data!I$1,Haver_Q!$B$1:$L$1,0),FALSE)),"")</f>
        <v/>
      </c>
      <c r="J78" s="3">
        <f>IF(ISNUMBER(Bloomberg_m!C94),Bloomberg_m!C94,"")</f>
        <v>2442</v>
      </c>
      <c r="K78" s="3" t="str">
        <f>IF(ISNUMBER(Bloomberg_m!D94),Bloomberg_m!D94,"")</f>
        <v/>
      </c>
      <c r="L78" s="3" t="str">
        <f>IF(ISNUMBER(Bloomberg_m!E94),Bloomberg_m!E94,"")</f>
        <v/>
      </c>
      <c r="M78" s="3" t="str">
        <f>IF(ISNUMBER(Bloomberg_m!F94),Bloomberg_m!F94,"")</f>
        <v/>
      </c>
      <c r="N78">
        <f>IF(ISNUMBER(VLOOKUP($A78,Haver_M!$B$1:$BZ$300,MATCH(data!N$1,Haver_M!$B$1:$BZ$1,0),FALSE)),VLOOKUP($A78,Haver_M!$B$1:$BZ$300,MATCH(data!N$1,Haver_M!$B$1:$BZ$1,0),FALSE),"")</f>
        <v>6.5</v>
      </c>
      <c r="O78">
        <f>IF(ISNUMBER(VLOOKUP($A78,Haver_M!$B$1:$BZ$300,MATCH(data!O$1,Haver_M!$B$1:$BZ$1,0),FALSE)),VLOOKUP($A78,Haver_M!$B$1:$BZ$300,MATCH(data!O$1,Haver_M!$B$1:$BZ$1,0),FALSE),"")</f>
        <v>7.6809000000000003</v>
      </c>
      <c r="P78">
        <f>IF(ISNUMBER(VLOOKUP($A78,Haver_M!$B$1:$BZ$300,MATCH(data!P$1,Haver_M!$B$1:$BZ$1,0),FALSE)),VLOOKUP($A78,Haver_M!$B$1:$BZ$300,MATCH(data!P$1,Haver_M!$B$1:$BZ$1,0),FALSE),"")</f>
        <v>91.368719999999996</v>
      </c>
      <c r="Q78">
        <f>IF(ISNUMBER(VLOOKUP($A78,Haver_M!$B$1:$BZ$300,MATCH(data!Q$1,Haver_M!$B$1:$BZ$1,0),FALSE)),VLOOKUP($A78,Haver_M!$B$1:$BZ$300,MATCH(data!Q$1,Haver_M!$B$1:$BZ$1,0),FALSE),"")</f>
        <v>59.9</v>
      </c>
      <c r="R78" t="str">
        <f>IF(ISNUMBER(VLOOKUP($A78,Haver_M!$B$1:$BZ$300,MATCH(data!R$1,Haver_M!$B$1:$BZ$1,0),FALSE)),VLOOKUP($A78,Haver_M!$B$1:$BZ$300,MATCH(data!R$1,Haver_M!$B$1:$BZ$1,0),FALSE),"")</f>
        <v/>
      </c>
      <c r="S78">
        <f>IF(ISNUMBER(VLOOKUP($A78,Haver_M!$B$1:$BZ$300,MATCH(data!S$1,Haver_M!$B$1:$BZ$1,0),FALSE)),VLOOKUP($A78,Haver_M!$B$1:$BZ$300,MATCH(data!S$1,Haver_M!$B$1:$BZ$1,0),FALSE),"")</f>
        <v>69.94</v>
      </c>
      <c r="T78">
        <f>IF(ISNUMBER(VLOOKUP($A78,Haver_M!$B$1:$BZ$300,MATCH(data!T$1,Haver_M!$B$1:$BZ$1,0),FALSE)),VLOOKUP($A78,Haver_M!$B$1:$BZ$300,MATCH(data!T$1,Haver_M!$B$1:$BZ$1,0),FALSE),"")</f>
        <v>73.989999999999995</v>
      </c>
      <c r="U78">
        <f>IF(ISNUMBER(VLOOKUP($A78,Haver_M!$B$1:$BZ$300,MATCH(data!U$1,Haver_M!$B$1:$BZ$1,0),FALSE)),VLOOKUP($A78,Haver_M!$B$1:$BZ$300,MATCH(data!U$1,Haver_M!$B$1:$BZ$1,0),FALSE),"")</f>
        <v>56.83</v>
      </c>
      <c r="V78">
        <f>IF(ISNUMBER(VLOOKUP($A78,Haver_M!$B$1:$BZ$300,MATCH(data!V$1,Haver_M!$B$1:$BZ$1,0),FALSE)),VLOOKUP($A78,Haver_M!$B$1:$BZ$300,MATCH(data!V$1,Haver_M!$B$1:$BZ$1,0),FALSE),"")</f>
        <v>83.59</v>
      </c>
      <c r="W78" t="str">
        <f>IF(ISNUMBER(VLOOKUP($A78,Haver_M!$B$1:$BZ$300,MATCH(data!W$1,Haver_M!$B$1:$BZ$1,0),FALSE)),VLOOKUP($A78,Haver_M!$B$1:$BZ$300,MATCH(data!W$1,Haver_M!$B$1:$BZ$1,0),FALSE),"")</f>
        <v/>
      </c>
      <c r="X78">
        <f>IF(ISNUMBER(VLOOKUP($A78,Haver_M!$B$1:$BZ$300,MATCH(data!X$1,Haver_M!$B$1:$BZ$1,0),FALSE)),VLOOKUP($A78,Haver_M!$B$1:$BZ$300,MATCH(data!X$1,Haver_M!$B$1:$BZ$1,0),FALSE),"")</f>
        <v>43.44</v>
      </c>
      <c r="Y78">
        <f>IF(ISNUMBER(VLOOKUP($A78,Haver_M!$B$1:$BZ$300,MATCH(data!Y$1,Haver_M!$B$1:$BZ$1,0),FALSE)),VLOOKUP($A78,Haver_M!$B$1:$BZ$300,MATCH(data!Y$1,Haver_M!$B$1:$BZ$1,0),FALSE),"")</f>
        <v>77.63</v>
      </c>
      <c r="Z78">
        <f>IF(ISNUMBER(VLOOKUP($A78,Haver_M!$B$1:$BZ$300,MATCH(data!Z$1,Haver_M!$B$1:$BZ$1,0),FALSE)),VLOOKUP($A78,Haver_M!$B$1:$BZ$300,MATCH(data!Z$1,Haver_M!$B$1:$BZ$1,0),FALSE),"")</f>
        <v>75.599999999999994</v>
      </c>
      <c r="AA78">
        <f>IF(ISNUMBER(VLOOKUP($A78,Haver_M!$B$1:$BZ$300,MATCH(data!AA$1,Haver_M!$B$1:$BZ$1,0),FALSE)),VLOOKUP($A78,Haver_M!$B$1:$BZ$300,MATCH(data!AA$1,Haver_M!$B$1:$BZ$1,0),FALSE),"")</f>
        <v>80.049000000000007</v>
      </c>
      <c r="AB78">
        <f>IF(ISNUMBER(VLOOKUP($A78,Haver_M!$B$1:$BZ$300,MATCH(data!AB$1,Haver_M!$B$1:$BZ$1,0),FALSE)),VLOOKUP($A78,Haver_M!$B$1:$BZ$300,MATCH(data!AB$1,Haver_M!$B$1:$BZ$1,0),FALSE),"")</f>
        <v>88.953999999999994</v>
      </c>
      <c r="AC78">
        <f>IF(ISNUMBER(VLOOKUP($A78,Haver_M!$B$1:$BZ$300,MATCH(data!AC$1,Haver_M!$B$1:$BZ$1,0),FALSE)),VLOOKUP($A78,Haver_M!$B$1:$BZ$300,MATCH(data!AC$1,Haver_M!$B$1:$BZ$1,0),FALSE),"")</f>
        <v>68.876999999999995</v>
      </c>
      <c r="AD78">
        <f>IF(ISNUMBER(VLOOKUP($A78,Haver_M!$B$1:$BZ$300,MATCH(data!AD$1,Haver_M!$B$1:$BZ$1,0),FALSE)),VLOOKUP($A78,Haver_M!$B$1:$BZ$300,MATCH(data!AD$1,Haver_M!$B$1:$BZ$1,0),FALSE),"")</f>
        <v>82.628</v>
      </c>
      <c r="AE78">
        <f>IF(ISNUMBER(VLOOKUP($A78,Haver_M!$B$1:$BZ$300,MATCH(data!AE$1,Haver_M!$B$1:$BZ$1,0),FALSE)),VLOOKUP($A78,Haver_M!$B$1:$BZ$300,MATCH(data!AE$1,Haver_M!$B$1:$BZ$1,0),FALSE),"")</f>
        <v>96.372</v>
      </c>
      <c r="AF78">
        <f>IF(ISNUMBER(VLOOKUP($A78,Haver_M!$B$1:$BZ$300,MATCH(data!AF$1,Haver_M!$B$1:$BZ$1,0),FALSE)),VLOOKUP($A78,Haver_M!$B$1:$BZ$300,MATCH(data!AF$1,Haver_M!$B$1:$BZ$1,0),FALSE),"")</f>
        <v>65.379000000000005</v>
      </c>
      <c r="AG78">
        <f>IF(ISNUMBER(VLOOKUP($A78,Haver_M!$B$1:$BZ$300,MATCH(data!AG$1,Haver_M!$B$1:$BZ$1,0),FALSE)),VLOOKUP($A78,Haver_M!$B$1:$BZ$300,MATCH(data!AG$1,Haver_M!$B$1:$BZ$1,0),FALSE),"")</f>
        <v>66.748999999999995</v>
      </c>
      <c r="AH78">
        <f>IF(ISNUMBER(VLOOKUP($A78,Haver_M!$B$1:$BZ$300,MATCH(data!AH$1,Haver_M!$B$1:$BZ$1,0),FALSE)),VLOOKUP($A78,Haver_M!$B$1:$BZ$300,MATCH(data!AH$1,Haver_M!$B$1:$BZ$1,0),FALSE),"")</f>
        <v>72.864999999999995</v>
      </c>
      <c r="AI78">
        <f>IF(ISNUMBER(VLOOKUP($A78,Haver_M!$B$1:$BZ$300,MATCH(data!AI$1,Haver_M!$B$1:$BZ$1,0),FALSE)),VLOOKUP($A78,Haver_M!$B$1:$BZ$300,MATCH(data!AI$1,Haver_M!$B$1:$BZ$1,0),FALSE),"")</f>
        <v>10363.178190066597</v>
      </c>
      <c r="AJ78">
        <f>IF(ISNUMBER(VLOOKUP($A78,Haver_M!$B$1:$BZ$300,MATCH(data!AJ$1,Haver_M!$B$1:$BZ$1,0),FALSE)),VLOOKUP($A78,Haver_M!$B$1:$BZ$300,MATCH(data!AJ$1,Haver_M!$B$1:$BZ$1,0),FALSE),"")</f>
        <v>10003.85</v>
      </c>
      <c r="AK78">
        <f>IF(ISNUMBER(VLOOKUP($A78,Haver_M!$B$1:$BZ$300,MATCH(data!AK$1,Haver_M!$B$1:$BZ$1,0),FALSE)),VLOOKUP($A78,Haver_M!$B$1:$BZ$300,MATCH(data!AK$1,Haver_M!$B$1:$BZ$1,0),FALSE),"")</f>
        <v>13955.35</v>
      </c>
      <c r="AL78" t="str">
        <f>IF(ISNUMBER(VLOOKUP($A78,Haver_M!$B$1:$BZ$300,MATCH(data!AL$1,Haver_M!$B$1:$BZ$1,0),FALSE)),VLOOKUP($A78,Haver_M!$B$1:$BZ$300,MATCH(data!AL$1,Haver_M!$B$1:$BZ$1,0),FALSE),"")</f>
        <v/>
      </c>
      <c r="AM78" t="str">
        <f>IF(ISNUMBER(VLOOKUP($A78,Haver_M!$B$1:$BZ$300,MATCH(data!AM$1,Haver_M!$B$1:$BZ$1,0),FALSE)),VLOOKUP($A78,Haver_M!$B$1:$BZ$300,MATCH(data!AM$1,Haver_M!$B$1:$BZ$1,0),FALSE),"")</f>
        <v/>
      </c>
      <c r="AN78" t="str">
        <f>IF(ISNUMBER(VLOOKUP($A78,Haver_M!$B$1:$BZ$300,MATCH(data!AN$1,Haver_M!$B$1:$BZ$1,0),FALSE)),VLOOKUP($A78,Haver_M!$B$1:$BZ$300,MATCH(data!AN$1,Haver_M!$B$1:$BZ$1,0),FALSE),"")</f>
        <v/>
      </c>
      <c r="AO78" t="str">
        <f>IF(ISNUMBER(VLOOKUP($A78,Haver_M!$B$1:$BZ$300,MATCH(data!AO$1,Haver_M!$B$1:$BZ$1,0),FALSE)),VLOOKUP($A78,Haver_M!$B$1:$BZ$300,MATCH(data!AO$1,Haver_M!$B$1:$BZ$1,0),FALSE),"")</f>
        <v/>
      </c>
      <c r="AP78">
        <f>IF(ISNUMBER(VLOOKUP($A78,Haver_M!$B$1:$BZ$300,MATCH(data!AP$1,Haver_M!$B$1:$BZ$1,0),FALSE)),VLOOKUP($A78,Haver_M!$B$1:$BZ$300,MATCH(data!AP$1,Haver_M!$B$1:$BZ$1,0),FALSE),"")</f>
        <v>42.97217150056008</v>
      </c>
      <c r="AQ78">
        <f>IF(ISNUMBER(VLOOKUP($A78,Haver_M!$B$1:$BZ$300,MATCH(data!AQ$1,Haver_M!$B$1:$BZ$1,0),FALSE)),VLOOKUP($A78,Haver_M!$B$1:$BZ$300,MATCH(data!AQ$1,Haver_M!$B$1:$BZ$1,0),FALSE),"")</f>
        <v>63.817700000000002</v>
      </c>
      <c r="AR78">
        <f>IF(ISNUMBER(VLOOKUP($A78,Haver_M!$B$1:$BZ$300,MATCH(data!AR$1,Haver_M!$B$1:$BZ$1,0),FALSE)),VLOOKUP($A78,Haver_M!$B$1:$BZ$300,MATCH(data!AR$1,Haver_M!$B$1:$BZ$1,0),FALSE),"")</f>
        <v>57.7181</v>
      </c>
      <c r="AS78">
        <f>IF(ISNUMBER(VLOOKUP($A78,Haver_M!$B$1:$BZ$300,MATCH(data!AS$1,Haver_M!$B$1:$BZ$1,0),FALSE)),VLOOKUP($A78,Haver_M!$B$1:$BZ$300,MATCH(data!AS$1,Haver_M!$B$1:$BZ$1,0),FALSE),"")</f>
        <v>64.709400000000002</v>
      </c>
      <c r="AT78">
        <f>IF(ISNUMBER(VLOOKUP($A78,Haver_M!$B$1:$BZ$300,MATCH(data!AT$1,Haver_M!$B$1:$BZ$1,0),FALSE)),VLOOKUP($A78,Haver_M!$B$1:$BZ$300,MATCH(data!AT$1,Haver_M!$B$1:$BZ$1,0),FALSE),"")</f>
        <v>61.813200000000002</v>
      </c>
      <c r="AU78">
        <f>IF(ISNUMBER(VLOOKUP($A78,Haver_M!$B$1:$BZ$300,MATCH(data!AU$1,Haver_M!$B$1:$BZ$1,0),FALSE)),VLOOKUP($A78,Haver_M!$B$1:$BZ$300,MATCH(data!AU$1,Haver_M!$B$1:$BZ$1,0),FALSE),"")</f>
        <v>63.5501</v>
      </c>
      <c r="AV78">
        <f>IF(ISNUMBER(VLOOKUP($A78,Haver_M!$B$1:$BZ$300,MATCH(data!AV$1,Haver_M!$B$1:$BZ$1,0),FALSE)),VLOOKUP($A78,Haver_M!$B$1:$BZ$300,MATCH(data!AV$1,Haver_M!$B$1:$BZ$1,0),FALSE),"")</f>
        <v>52.060400000000001</v>
      </c>
      <c r="AW78">
        <f>IF(ISNUMBER(VLOOKUP($A78,Haver_M!$B$1:$BZ$300,MATCH(data!AW$1,Haver_M!$B$1:$BZ$1,0),FALSE)),VLOOKUP($A78,Haver_M!$B$1:$BZ$300,MATCH(data!AW$1,Haver_M!$B$1:$BZ$1,0),FALSE),"")</f>
        <v>49.452100000000002</v>
      </c>
      <c r="AX78">
        <f>IF(ISNUMBER(VLOOKUP($A78,Haver_M!$B$1:$BZ$300,MATCH(data!AX$1,Haver_M!$B$1:$BZ$1,0),FALSE)),VLOOKUP($A78,Haver_M!$B$1:$BZ$300,MATCH(data!AX$1,Haver_M!$B$1:$BZ$1,0),FALSE),"")</f>
        <v>52.0548</v>
      </c>
      <c r="AY78">
        <f>IF(ISNUMBER(VLOOKUP($A78,Haver_M!$B$1:$BZ$300,MATCH(data!AY$1,Haver_M!$B$1:$BZ$1,0),FALSE)),VLOOKUP($A78,Haver_M!$B$1:$BZ$300,MATCH(data!AY$1,Haver_M!$B$1:$BZ$1,0),FALSE),"")</f>
        <v>60.043100000000003</v>
      </c>
      <c r="AZ78">
        <f>IF(ISNUMBER(VLOOKUP($A78,Haver_M!$B$1:$BZ$300,MATCH(data!AZ$1,Haver_M!$B$1:$BZ$1,0),FALSE)),VLOOKUP($A78,Haver_M!$B$1:$BZ$300,MATCH(data!AZ$1,Haver_M!$B$1:$BZ$1,0),FALSE),"")</f>
        <v>59.178100000000001</v>
      </c>
      <c r="BA78">
        <f>IF(ISNUMBER(VLOOKUP($A78,Haver_M!$B$1:$BZ$300,MATCH(data!BA$1,Haver_M!$B$1:$BZ$1,0),FALSE)),VLOOKUP($A78,Haver_M!$B$1:$BZ$300,MATCH(data!BA$1,Haver_M!$B$1:$BZ$1,0),FALSE),"")</f>
        <v>52.0548</v>
      </c>
      <c r="BB78">
        <f>IF(ISNUMBER(VLOOKUP($A78,Haver_M!$B$1:$BZ$300,MATCH(data!BB$1,Haver_M!$B$1:$BZ$1,0),FALSE)),VLOOKUP($A78,Haver_M!$B$1:$BZ$300,MATCH(data!BB$1,Haver_M!$B$1:$BZ$1,0),FALSE),"")</f>
        <v>56.347099999999998</v>
      </c>
      <c r="BC78">
        <f>IF(ISNUMBER(VLOOKUP($A78,Haver_M!$B$1:$BZ$300,MATCH(data!BC$1,Haver_M!$B$1:$BZ$1,0),FALSE)),VLOOKUP($A78,Haver_M!$B$1:$BZ$300,MATCH(data!BC$1,Haver_M!$B$1:$BZ$1,0),FALSE),"")</f>
        <v>57.280200000000001</v>
      </c>
      <c r="BD78">
        <f>IF(ISNUMBER(VLOOKUP($A78,Haver_M!$B$1:$BZ$300,MATCH(data!BD$1,Haver_M!$B$1:$BZ$1,0),FALSE)),VLOOKUP($A78,Haver_M!$B$1:$BZ$300,MATCH(data!BD$1,Haver_M!$B$1:$BZ$1,0),FALSE),"")</f>
        <v>51.627200000000002</v>
      </c>
      <c r="BE78">
        <f>IF(ISNUMBER(VLOOKUP($A78,Haver_M!$B$1:$BZ$300,MATCH(data!BE$1,Haver_M!$B$1:$BZ$1,0),FALSE)),VLOOKUP($A78,Haver_M!$B$1:$BZ$300,MATCH(data!BE$1,Haver_M!$B$1:$BZ$1,0),FALSE),"")</f>
        <v>1.2709999999999999</v>
      </c>
      <c r="BF78">
        <f>IF(ISNUMBER(VLOOKUP($A78,Haver_M!$B$1:$BZ$300,MATCH(data!BF$1,Haver_M!$B$1:$BZ$1,0),FALSE)),VLOOKUP($A78,Haver_M!$B$1:$BZ$300,MATCH(data!BF$1,Haver_M!$B$1:$BZ$1,0),FALSE),"")</f>
        <v>54.104500000000002</v>
      </c>
      <c r="BG78">
        <f>IF(ISNUMBER(VLOOKUP($A78,Haver_M!$B$1:$BZ$300,MATCH(data!BG$1,Haver_M!$B$1:$BZ$1,0),FALSE)),VLOOKUP($A78,Haver_M!$B$1:$BZ$300,MATCH(data!BG$1,Haver_M!$B$1:$BZ$1,0),FALSE),"")</f>
        <v>52.558799999999998</v>
      </c>
      <c r="BH78">
        <f>IF(ISNUMBER(VLOOKUP($A78,Haver_M!$B$1:$BZ$300,MATCH(data!BH$1,Haver_M!$B$1:$BZ$1,0),FALSE)),VLOOKUP($A78,Haver_M!$B$1:$BZ$300,MATCH(data!BH$1,Haver_M!$B$1:$BZ$1,0),FALSE),"")</f>
        <v>62.426400000000001</v>
      </c>
      <c r="BI78">
        <f>IF(ISNUMBER(VLOOKUP($A78,Haver_M!$B$1:$BZ$300,MATCH(data!BI$1,Haver_M!$B$1:$BZ$1,0),FALSE)),VLOOKUP($A78,Haver_M!$B$1:$BZ$300,MATCH(data!BI$1,Haver_M!$B$1:$BZ$1,0),FALSE),"")</f>
        <v>57.205500000000001</v>
      </c>
      <c r="BJ78" t="str">
        <f>IF(ISNUMBER(VLOOKUP($A78,Haver_M!$B$1:$BZ$300,MATCH(data!BJ$1,Haver_M!$B$1:$BZ$1,0),FALSE)),VLOOKUP($A78,Haver_M!$B$1:$BZ$300,MATCH(data!BJ$1,Haver_M!$B$1:$BZ$1,0),FALSE),"")</f>
        <v/>
      </c>
      <c r="BK78">
        <f>IF(ISNUMBER(VLOOKUP($A78,Haver_M!$B$1:$BZ$300,MATCH(data!BK$1,Haver_M!$B$1:$BZ$1,0),FALSE)),VLOOKUP($A78,Haver_M!$B$1:$BZ$300,MATCH(data!BK$1,Haver_M!$B$1:$BZ$1,0),FALSE),"")</f>
        <v>51.096499999999999</v>
      </c>
      <c r="BL78">
        <f>IF(ISNUMBER(VLOOKUP($A78,Haver_M!$B$1:$BZ$300,MATCH(data!BL$1,Haver_M!$B$1:$BZ$1,0),FALSE)),VLOOKUP($A78,Haver_M!$B$1:$BZ$300,MATCH(data!BL$1,Haver_M!$B$1:$BZ$1,0),FALSE),"")</f>
        <v>11599.16</v>
      </c>
      <c r="BM78">
        <f>IF(ISNUMBER(VLOOKUP($A78,Haver_M!$B$1:$BZ$300,MATCH(data!BM$1,Haver_M!$B$1:$BZ$1,0),FALSE)),VLOOKUP($A78,Haver_M!$B$1:$BZ$300,MATCH(data!BM$1,Haver_M!$B$1:$BZ$1,0),FALSE),"")</f>
        <v>106.4769052</v>
      </c>
      <c r="BN78" t="str">
        <f>IF(ISNUMBER(VLOOKUP($A78,Haver_M!$B$1:$BZ$300,MATCH(data!BN$1,Haver_M!$B$1:$BZ$1,0),FALSE)),VLOOKUP($A78,Haver_M!$B$1:$BZ$300,MATCH(data!BN$1,Haver_M!$B$1:$BZ$1,0),FALSE),"")</f>
        <v/>
      </c>
      <c r="BO78" t="str">
        <f>IF(ISNUMBER(VLOOKUP($A78,Haver_M!$B$1:$BZ$300,MATCH(data!BO$1,Haver_M!$B$1:$BZ$1,0),FALSE)),VLOOKUP($A78,Haver_M!$B$1:$BZ$300,MATCH(data!BO$1,Haver_M!$B$1:$BZ$1,0),FALSE),"")</f>
        <v/>
      </c>
      <c r="BP78" t="str">
        <f>IF(ISNUMBER(VLOOKUP($A78,Haver_M!$B$1:$BZ$300,MATCH(data!BP$1,Haver_M!$B$1:$BZ$1,0),FALSE)),VLOOKUP($A78,Haver_M!$B$1:$BZ$300,MATCH(data!BP$1,Haver_M!$B$1:$BZ$1,0),FALSE),"")</f>
        <v/>
      </c>
      <c r="BQ78" t="str">
        <f>IF(ISNUMBER(VLOOKUP($A78,Haver_M!$B$1:$BZ$300,MATCH(data!BQ$1,Haver_M!$B$1:$BZ$1,0),FALSE)),VLOOKUP($A78,Haver_M!$B$1:$BZ$300,MATCH(data!BQ$1,Haver_M!$B$1:$BZ$1,0),FALSE),"")</f>
        <v/>
      </c>
      <c r="BR78" t="str">
        <f>IF(ISNUMBER(VLOOKUP($A78,Haver_M!$B$1:$BZ$300,MATCH(data!BR$1,Haver_M!$B$1:$BZ$1,0),FALSE)),VLOOKUP($A78,Haver_M!$B$1:$BZ$300,MATCH(data!BR$1,Haver_M!$B$1:$BZ$1,0),FALSE),"")</f>
        <v/>
      </c>
      <c r="BS78" t="str">
        <f>IF(ISNUMBER(VLOOKUP($A78,Haver_M!$B$1:$BZ$300,MATCH(data!BS$1,Haver_M!$B$1:$BZ$1,0),FALSE)),VLOOKUP($A78,Haver_M!$B$1:$BZ$300,MATCH(data!BS$1,Haver_M!$B$1:$BZ$1,0),FALSE),"")</f>
        <v/>
      </c>
      <c r="BT78" t="str">
        <f>IF(ISNUMBER(VLOOKUP($A78,Haver_M!$B$1:$BZ$300,MATCH(data!BT$1,Haver_M!$B$1:$BZ$1,0),FALSE)),VLOOKUP($A78,Haver_M!$B$1:$BZ$300,MATCH(data!BT$1,Haver_M!$B$1:$BZ$1,0),FALSE),"")</f>
        <v/>
      </c>
      <c r="BU78">
        <f>IF(ISNUMBER(VLOOKUP($A78,Haver_M!$B$1:$BZ$300,MATCH(data!BU$1,Haver_M!$B$1:$BZ$1,0),FALSE)),VLOOKUP($A78,Haver_M!$B$1:$BZ$300,MATCH(data!BU$1,Haver_M!$B$1:$BZ$1,0),FALSE),"")</f>
        <v>10109.700000000001</v>
      </c>
      <c r="BV78">
        <f>IF(ISNUMBER(VLOOKUP($A78,Haver_M!$B$1:$BZ$300,MATCH(data!BV$1,Haver_M!$B$1:$BZ$1,0),FALSE)),VLOOKUP($A78,Haver_M!$B$1:$BZ$300,MATCH(data!BV$1,Haver_M!$B$1:$BZ$1,0),FALSE),"")</f>
        <v>15106</v>
      </c>
      <c r="BW78">
        <f>IF(ISNUMBER(VLOOKUP($A78,Haver_M!$B$1:$BZ$300,MATCH(data!BW$1,Haver_M!$B$1:$BZ$1,0),FALSE)),VLOOKUP($A78,Haver_M!$B$1:$BZ$300,MATCH(data!BW$1,Haver_M!$B$1:$BZ$1,0),FALSE),"")</f>
        <v>45.407299999999999</v>
      </c>
      <c r="BX78">
        <f>IF(ISNUMBER(VLOOKUP($A78,Haver_M!$B$1:$BZ$300,MATCH(data!BX$1,Haver_M!$B$1:$BZ$1,0),FALSE)),VLOOKUP($A78,Haver_M!$B$1:$BZ$300,MATCH(data!BX$1,Haver_M!$B$1:$BZ$1,0),FALSE),"")</f>
        <v>22298</v>
      </c>
    </row>
    <row r="79" spans="1:76" x14ac:dyDescent="0.25">
      <c r="A79" s="2">
        <v>38898</v>
      </c>
      <c r="B79">
        <f>IF(ISNUMBER(VLOOKUP($A79,Haver_Q!$B$1:$L$185,MATCH(data!B$1,Haver_Q!$B$1:$L$1,0),FALSE)),100*(VLOOKUP($A79,Haver_Q!$B$1:$L$185,MATCH(data!B$1,Haver_Q!$B$1:$L$1,0),FALSE)),"")</f>
        <v>2.969334232612808</v>
      </c>
      <c r="C79">
        <f>IF(ISNUMBER(VLOOKUP($A79,Haver_Q!$B$1:$L$185,MATCH(data!C$1,Haver_Q!$B$1:$L$1,0),FALSE)),100*(VLOOKUP($A79,Haver_Q!$B$1:$L$185,MATCH(data!C$1,Haver_Q!$B$1:$L$1,0),FALSE)),"")</f>
        <v>8.9723853136633114</v>
      </c>
      <c r="D79">
        <f>IF(ISNUMBER(VLOOKUP($A79,Haver_Q!$B$1:$L$185,MATCH(data!D$1,Haver_Q!$B$1:$L$1,0),FALSE)),100*(VLOOKUP($A79,Haver_Q!$B$1:$L$185,MATCH(data!D$1,Haver_Q!$B$1:$L$1,0),FALSE)),"")</f>
        <v>116.52096865805568</v>
      </c>
      <c r="E79">
        <f>IF(ISNUMBER(VLOOKUP($A79,Haver_Q!$B$1:$L$185,MATCH(data!E$1,Haver_Q!$B$1:$L$1,0),FALSE)),100*(VLOOKUP($A79,Haver_Q!$B$1:$L$185,MATCH(data!E$1,Haver_Q!$B$1:$L$1,0),FALSE)),"")</f>
        <v>-2.3998432490198951</v>
      </c>
      <c r="F79">
        <f>IF(ISNUMBER(VLOOKUP($A79,Haver_Q!$B$1:$L$185,MATCH(data!F$1,Haver_Q!$B$1:$L$1,0),FALSE)),100*(VLOOKUP($A79,Haver_Q!$B$1:$L$185,MATCH(data!F$1,Haver_Q!$B$1:$L$1,0),FALSE)),"")</f>
        <v>25.350666450651183</v>
      </c>
      <c r="G79">
        <f>IF(ISNUMBER(VLOOKUP($A79,Haver_Q!$B$1:$L$185,MATCH(data!G$1,Haver_Q!$B$1:$L$1,0),FALSE)),100*(VLOOKUP($A79,Haver_Q!$B$1:$L$185,MATCH(data!G$1,Haver_Q!$B$1:$L$1,0),FALSE)),"")</f>
        <v>42.16778250798712</v>
      </c>
      <c r="H79">
        <f>IF(ISNUMBER(VLOOKUP($A79,Haver_Q!$B$1:$L$185,MATCH(data!H$1,Haver_Q!$B$1:$L$1,0),FALSE)),(VLOOKUP($A79,Haver_Q!$B$1:$L$185,MATCH(data!H$1,Haver_Q!$B$1:$L$1,0),FALSE)),"")</f>
        <v>4.10360134274414</v>
      </c>
      <c r="I79">
        <f>IF(ISNUMBER(VLOOKUP($A79,Haver_Q!$B$1:$L$185,MATCH(data!I$1,Haver_Q!$B$1:$L$1,0),FALSE)),100*(VLOOKUP($A79,Haver_Q!$B$1:$L$185,MATCH(data!I$1,Haver_Q!$B$1:$L$1,0),FALSE)),"")</f>
        <v>7.4061512797709783</v>
      </c>
      <c r="J79" s="3">
        <f>IF(ISNUMBER(Bloomberg_m!C95),Bloomberg_m!C95,"")</f>
        <v>2718</v>
      </c>
      <c r="K79" s="3" t="str">
        <f>IF(ISNUMBER(Bloomberg_m!D95),Bloomberg_m!D95,"")</f>
        <v/>
      </c>
      <c r="L79" s="3" t="str">
        <f>IF(ISNUMBER(Bloomberg_m!E95),Bloomberg_m!E95,"")</f>
        <v/>
      </c>
      <c r="M79" s="3" t="str">
        <f>IF(ISNUMBER(Bloomberg_m!F95),Bloomberg_m!F95,"")</f>
        <v/>
      </c>
      <c r="N79">
        <f>IF(ISNUMBER(VLOOKUP($A79,Haver_M!$B$1:$BZ$300,MATCH(data!N$1,Haver_M!$B$1:$BZ$1,0),FALSE)),VLOOKUP($A79,Haver_M!$B$1:$BZ$300,MATCH(data!N$1,Haver_M!$B$1:$BZ$1,0),FALSE),"")</f>
        <v>6.75</v>
      </c>
      <c r="O79">
        <f>IF(ISNUMBER(VLOOKUP($A79,Haver_M!$B$1:$BZ$300,MATCH(data!O$1,Haver_M!$B$1:$BZ$1,0),FALSE)),VLOOKUP($A79,Haver_M!$B$1:$BZ$300,MATCH(data!O$1,Haver_M!$B$1:$BZ$1,0),FALSE),"")</f>
        <v>8.1318000000000001</v>
      </c>
      <c r="P79">
        <f>IF(ISNUMBER(VLOOKUP($A79,Haver_M!$B$1:$BZ$300,MATCH(data!P$1,Haver_M!$B$1:$BZ$1,0),FALSE)),VLOOKUP($A79,Haver_M!$B$1:$BZ$300,MATCH(data!P$1,Haver_M!$B$1:$BZ$1,0),FALSE),"")</f>
        <v>91.615210000000005</v>
      </c>
      <c r="Q79">
        <f>IF(ISNUMBER(VLOOKUP($A79,Haver_M!$B$1:$BZ$300,MATCH(data!Q$1,Haver_M!$B$1:$BZ$1,0),FALSE)),VLOOKUP($A79,Haver_M!$B$1:$BZ$300,MATCH(data!Q$1,Haver_M!$B$1:$BZ$1,0),FALSE),"")</f>
        <v>60.8</v>
      </c>
      <c r="R79" t="str">
        <f>IF(ISNUMBER(VLOOKUP($A79,Haver_M!$B$1:$BZ$300,MATCH(data!R$1,Haver_M!$B$1:$BZ$1,0),FALSE)),VLOOKUP($A79,Haver_M!$B$1:$BZ$300,MATCH(data!R$1,Haver_M!$B$1:$BZ$1,0),FALSE),"")</f>
        <v/>
      </c>
      <c r="S79">
        <f>IF(ISNUMBER(VLOOKUP($A79,Haver_M!$B$1:$BZ$300,MATCH(data!S$1,Haver_M!$B$1:$BZ$1,0),FALSE)),VLOOKUP($A79,Haver_M!$B$1:$BZ$300,MATCH(data!S$1,Haver_M!$B$1:$BZ$1,0),FALSE),"")</f>
        <v>70.11</v>
      </c>
      <c r="T79">
        <f>IF(ISNUMBER(VLOOKUP($A79,Haver_M!$B$1:$BZ$300,MATCH(data!T$1,Haver_M!$B$1:$BZ$1,0),FALSE)),VLOOKUP($A79,Haver_M!$B$1:$BZ$300,MATCH(data!T$1,Haver_M!$B$1:$BZ$1,0),FALSE),"")</f>
        <v>74.180000000000007</v>
      </c>
      <c r="U79">
        <f>IF(ISNUMBER(VLOOKUP($A79,Haver_M!$B$1:$BZ$300,MATCH(data!U$1,Haver_M!$B$1:$BZ$1,0),FALSE)),VLOOKUP($A79,Haver_M!$B$1:$BZ$300,MATCH(data!U$1,Haver_M!$B$1:$BZ$1,0),FALSE),"")</f>
        <v>57.01</v>
      </c>
      <c r="V79">
        <f>IF(ISNUMBER(VLOOKUP($A79,Haver_M!$B$1:$BZ$300,MATCH(data!V$1,Haver_M!$B$1:$BZ$1,0),FALSE)),VLOOKUP($A79,Haver_M!$B$1:$BZ$300,MATCH(data!V$1,Haver_M!$B$1:$BZ$1,0),FALSE),"")</f>
        <v>84.14</v>
      </c>
      <c r="W79" t="str">
        <f>IF(ISNUMBER(VLOOKUP($A79,Haver_M!$B$1:$BZ$300,MATCH(data!W$1,Haver_M!$B$1:$BZ$1,0),FALSE)),VLOOKUP($A79,Haver_M!$B$1:$BZ$300,MATCH(data!W$1,Haver_M!$B$1:$BZ$1,0),FALSE),"")</f>
        <v/>
      </c>
      <c r="X79">
        <f>IF(ISNUMBER(VLOOKUP($A79,Haver_M!$B$1:$BZ$300,MATCH(data!X$1,Haver_M!$B$1:$BZ$1,0),FALSE)),VLOOKUP($A79,Haver_M!$B$1:$BZ$300,MATCH(data!X$1,Haver_M!$B$1:$BZ$1,0),FALSE),"")</f>
        <v>42.73</v>
      </c>
      <c r="Y79">
        <f>IF(ISNUMBER(VLOOKUP($A79,Haver_M!$B$1:$BZ$300,MATCH(data!Y$1,Haver_M!$B$1:$BZ$1,0),FALSE)),VLOOKUP($A79,Haver_M!$B$1:$BZ$300,MATCH(data!Y$1,Haver_M!$B$1:$BZ$1,0),FALSE),"")</f>
        <v>81.22</v>
      </c>
      <c r="Z79">
        <f>IF(ISNUMBER(VLOOKUP($A79,Haver_M!$B$1:$BZ$300,MATCH(data!Z$1,Haver_M!$B$1:$BZ$1,0),FALSE)),VLOOKUP($A79,Haver_M!$B$1:$BZ$300,MATCH(data!Z$1,Haver_M!$B$1:$BZ$1,0),FALSE),"")</f>
        <v>76.7</v>
      </c>
      <c r="AA79">
        <f>IF(ISNUMBER(VLOOKUP($A79,Haver_M!$B$1:$BZ$300,MATCH(data!AA$1,Haver_M!$B$1:$BZ$1,0),FALSE)),VLOOKUP($A79,Haver_M!$B$1:$BZ$300,MATCH(data!AA$1,Haver_M!$B$1:$BZ$1,0),FALSE),"")</f>
        <v>81.087000000000003</v>
      </c>
      <c r="AB79">
        <f>IF(ISNUMBER(VLOOKUP($A79,Haver_M!$B$1:$BZ$300,MATCH(data!AB$1,Haver_M!$B$1:$BZ$1,0),FALSE)),VLOOKUP($A79,Haver_M!$B$1:$BZ$300,MATCH(data!AB$1,Haver_M!$B$1:$BZ$1,0),FALSE),"")</f>
        <v>90.412999999999997</v>
      </c>
      <c r="AC79">
        <f>IF(ISNUMBER(VLOOKUP($A79,Haver_M!$B$1:$BZ$300,MATCH(data!AC$1,Haver_M!$B$1:$BZ$1,0),FALSE)),VLOOKUP($A79,Haver_M!$B$1:$BZ$300,MATCH(data!AC$1,Haver_M!$B$1:$BZ$1,0),FALSE),"")</f>
        <v>70.48</v>
      </c>
      <c r="AD79">
        <f>IF(ISNUMBER(VLOOKUP($A79,Haver_M!$B$1:$BZ$300,MATCH(data!AD$1,Haver_M!$B$1:$BZ$1,0),FALSE)),VLOOKUP($A79,Haver_M!$B$1:$BZ$300,MATCH(data!AD$1,Haver_M!$B$1:$BZ$1,0),FALSE),"")</f>
        <v>83.688000000000002</v>
      </c>
      <c r="AE79">
        <f>IF(ISNUMBER(VLOOKUP($A79,Haver_M!$B$1:$BZ$300,MATCH(data!AE$1,Haver_M!$B$1:$BZ$1,0),FALSE)),VLOOKUP($A79,Haver_M!$B$1:$BZ$300,MATCH(data!AE$1,Haver_M!$B$1:$BZ$1,0),FALSE),"")</f>
        <v>91.602000000000004</v>
      </c>
      <c r="AF79">
        <f>IF(ISNUMBER(VLOOKUP($A79,Haver_M!$B$1:$BZ$300,MATCH(data!AF$1,Haver_M!$B$1:$BZ$1,0),FALSE)),VLOOKUP($A79,Haver_M!$B$1:$BZ$300,MATCH(data!AF$1,Haver_M!$B$1:$BZ$1,0),FALSE),"")</f>
        <v>67.281000000000006</v>
      </c>
      <c r="AG79">
        <f>IF(ISNUMBER(VLOOKUP($A79,Haver_M!$B$1:$BZ$300,MATCH(data!AG$1,Haver_M!$B$1:$BZ$1,0),FALSE)),VLOOKUP($A79,Haver_M!$B$1:$BZ$300,MATCH(data!AG$1,Haver_M!$B$1:$BZ$1,0),FALSE),"")</f>
        <v>68.816999999999993</v>
      </c>
      <c r="AH79">
        <f>IF(ISNUMBER(VLOOKUP($A79,Haver_M!$B$1:$BZ$300,MATCH(data!AH$1,Haver_M!$B$1:$BZ$1,0),FALSE)),VLOOKUP($A79,Haver_M!$B$1:$BZ$300,MATCH(data!AH$1,Haver_M!$B$1:$BZ$1,0),FALSE),"")</f>
        <v>73.802999999999997</v>
      </c>
      <c r="AI79">
        <f>IF(ISNUMBER(VLOOKUP($A79,Haver_M!$B$1:$BZ$300,MATCH(data!AI$1,Haver_M!$B$1:$BZ$1,0),FALSE)),VLOOKUP($A79,Haver_M!$B$1:$BZ$300,MATCH(data!AI$1,Haver_M!$B$1:$BZ$1,0),FALSE),"")</f>
        <v>9759.6090342111438</v>
      </c>
      <c r="AJ79">
        <f>IF(ISNUMBER(VLOOKUP($A79,Haver_M!$B$1:$BZ$300,MATCH(data!AJ$1,Haver_M!$B$1:$BZ$1,0),FALSE)),VLOOKUP($A79,Haver_M!$B$1:$BZ$300,MATCH(data!AJ$1,Haver_M!$B$1:$BZ$1,0),FALSE),"")</f>
        <v>10375.59</v>
      </c>
      <c r="AK79">
        <f>IF(ISNUMBER(VLOOKUP($A79,Haver_M!$B$1:$BZ$300,MATCH(data!AK$1,Haver_M!$B$1:$BZ$1,0),FALSE)),VLOOKUP($A79,Haver_M!$B$1:$BZ$300,MATCH(data!AK$1,Haver_M!$B$1:$BZ$1,0),FALSE),"")</f>
        <v>14380.4</v>
      </c>
      <c r="AL79" t="str">
        <f>IF(ISNUMBER(VLOOKUP($A79,Haver_M!$B$1:$BZ$300,MATCH(data!AL$1,Haver_M!$B$1:$BZ$1,0),FALSE)),VLOOKUP($A79,Haver_M!$B$1:$BZ$300,MATCH(data!AL$1,Haver_M!$B$1:$BZ$1,0),FALSE),"")</f>
        <v/>
      </c>
      <c r="AM79" t="str">
        <f>IF(ISNUMBER(VLOOKUP($A79,Haver_M!$B$1:$BZ$300,MATCH(data!AM$1,Haver_M!$B$1:$BZ$1,0),FALSE)),VLOOKUP($A79,Haver_M!$B$1:$BZ$300,MATCH(data!AM$1,Haver_M!$B$1:$BZ$1,0),FALSE),"")</f>
        <v/>
      </c>
      <c r="AN79" t="str">
        <f>IF(ISNUMBER(VLOOKUP($A79,Haver_M!$B$1:$BZ$300,MATCH(data!AN$1,Haver_M!$B$1:$BZ$1,0),FALSE)),VLOOKUP($A79,Haver_M!$B$1:$BZ$300,MATCH(data!AN$1,Haver_M!$B$1:$BZ$1,0),FALSE),"")</f>
        <v/>
      </c>
      <c r="AO79" t="str">
        <f>IF(ISNUMBER(VLOOKUP($A79,Haver_M!$B$1:$BZ$300,MATCH(data!AO$1,Haver_M!$B$1:$BZ$1,0),FALSE)),VLOOKUP($A79,Haver_M!$B$1:$BZ$300,MATCH(data!AO$1,Haver_M!$B$1:$BZ$1,0),FALSE),"")</f>
        <v/>
      </c>
      <c r="AP79">
        <f>IF(ISNUMBER(VLOOKUP($A79,Haver_M!$B$1:$BZ$300,MATCH(data!AP$1,Haver_M!$B$1:$BZ$1,0),FALSE)),VLOOKUP($A79,Haver_M!$B$1:$BZ$300,MATCH(data!AP$1,Haver_M!$B$1:$BZ$1,0),FALSE),"")</f>
        <v>55.735613948196537</v>
      </c>
      <c r="AQ79">
        <f>IF(ISNUMBER(VLOOKUP($A79,Haver_M!$B$1:$BZ$300,MATCH(data!AQ$1,Haver_M!$B$1:$BZ$1,0),FALSE)),VLOOKUP($A79,Haver_M!$B$1:$BZ$300,MATCH(data!AQ$1,Haver_M!$B$1:$BZ$1,0),FALSE),"")</f>
        <v>61.862000000000002</v>
      </c>
      <c r="AR79">
        <f>IF(ISNUMBER(VLOOKUP($A79,Haver_M!$B$1:$BZ$300,MATCH(data!AR$1,Haver_M!$B$1:$BZ$1,0),FALSE)),VLOOKUP($A79,Haver_M!$B$1:$BZ$300,MATCH(data!AR$1,Haver_M!$B$1:$BZ$1,0),FALSE),"")</f>
        <v>56.816299999999998</v>
      </c>
      <c r="AS79">
        <f>IF(ISNUMBER(VLOOKUP($A79,Haver_M!$B$1:$BZ$300,MATCH(data!AS$1,Haver_M!$B$1:$BZ$1,0),FALSE)),VLOOKUP($A79,Haver_M!$B$1:$BZ$300,MATCH(data!AS$1,Haver_M!$B$1:$BZ$1,0),FALSE),"")</f>
        <v>62.293999999999997</v>
      </c>
      <c r="AT79">
        <f>IF(ISNUMBER(VLOOKUP($A79,Haver_M!$B$1:$BZ$300,MATCH(data!AT$1,Haver_M!$B$1:$BZ$1,0),FALSE)),VLOOKUP($A79,Haver_M!$B$1:$BZ$300,MATCH(data!AT$1,Haver_M!$B$1:$BZ$1,0),FALSE),"")</f>
        <v>60.891100000000002</v>
      </c>
      <c r="AU79">
        <f>IF(ISNUMBER(VLOOKUP($A79,Haver_M!$B$1:$BZ$300,MATCH(data!AU$1,Haver_M!$B$1:$BZ$1,0),FALSE)),VLOOKUP($A79,Haver_M!$B$1:$BZ$300,MATCH(data!AU$1,Haver_M!$B$1:$BZ$1,0),FALSE),"")</f>
        <v>62.128700000000002</v>
      </c>
      <c r="AV79">
        <f>IF(ISNUMBER(VLOOKUP($A79,Haver_M!$B$1:$BZ$300,MATCH(data!AV$1,Haver_M!$B$1:$BZ$1,0),FALSE)),VLOOKUP($A79,Haver_M!$B$1:$BZ$300,MATCH(data!AV$1,Haver_M!$B$1:$BZ$1,0),FALSE),"")</f>
        <v>51.856400000000001</v>
      </c>
      <c r="AW79">
        <f>IF(ISNUMBER(VLOOKUP($A79,Haver_M!$B$1:$BZ$300,MATCH(data!AW$1,Haver_M!$B$1:$BZ$1,0),FALSE)),VLOOKUP($A79,Haver_M!$B$1:$BZ$300,MATCH(data!AW$1,Haver_M!$B$1:$BZ$1,0),FALSE),"")</f>
        <v>51.2438</v>
      </c>
      <c r="AX79">
        <f>IF(ISNUMBER(VLOOKUP($A79,Haver_M!$B$1:$BZ$300,MATCH(data!AX$1,Haver_M!$B$1:$BZ$1,0),FALSE)),VLOOKUP($A79,Haver_M!$B$1:$BZ$300,MATCH(data!AX$1,Haver_M!$B$1:$BZ$1,0),FALSE),"")</f>
        <v>52.701700000000002</v>
      </c>
      <c r="AY79">
        <f>IF(ISNUMBER(VLOOKUP($A79,Haver_M!$B$1:$BZ$300,MATCH(data!AY$1,Haver_M!$B$1:$BZ$1,0),FALSE)),VLOOKUP($A79,Haver_M!$B$1:$BZ$300,MATCH(data!AY$1,Haver_M!$B$1:$BZ$1,0),FALSE),"")</f>
        <v>59.128500000000003</v>
      </c>
      <c r="AZ79">
        <f>IF(ISNUMBER(VLOOKUP($A79,Haver_M!$B$1:$BZ$300,MATCH(data!AZ$1,Haver_M!$B$1:$BZ$1,0),FALSE)),VLOOKUP($A79,Haver_M!$B$1:$BZ$300,MATCH(data!AZ$1,Haver_M!$B$1:$BZ$1,0),FALSE),"")</f>
        <v>56.683199999999999</v>
      </c>
      <c r="BA79">
        <f>IF(ISNUMBER(VLOOKUP($A79,Haver_M!$B$1:$BZ$300,MATCH(data!BA$1,Haver_M!$B$1:$BZ$1,0),FALSE)),VLOOKUP($A79,Haver_M!$B$1:$BZ$300,MATCH(data!BA$1,Haver_M!$B$1:$BZ$1,0),FALSE),"")</f>
        <v>52.701700000000002</v>
      </c>
      <c r="BB79">
        <f>IF(ISNUMBER(VLOOKUP($A79,Haver_M!$B$1:$BZ$300,MATCH(data!BB$1,Haver_M!$B$1:$BZ$1,0),FALSE)),VLOOKUP($A79,Haver_M!$B$1:$BZ$300,MATCH(data!BB$1,Haver_M!$B$1:$BZ$1,0),FALSE),"")</f>
        <v>56.209000000000003</v>
      </c>
      <c r="BC79">
        <f>IF(ISNUMBER(VLOOKUP($A79,Haver_M!$B$1:$BZ$300,MATCH(data!BC$1,Haver_M!$B$1:$BZ$1,0),FALSE)),VLOOKUP($A79,Haver_M!$B$1:$BZ$300,MATCH(data!BC$1,Haver_M!$B$1:$BZ$1,0),FALSE),"")</f>
        <v>55.071199999999997</v>
      </c>
      <c r="BD79">
        <f>IF(ISNUMBER(VLOOKUP($A79,Haver_M!$B$1:$BZ$300,MATCH(data!BD$1,Haver_M!$B$1:$BZ$1,0),FALSE)),VLOOKUP($A79,Haver_M!$B$1:$BZ$300,MATCH(data!BD$1,Haver_M!$B$1:$BZ$1,0),FALSE),"")</f>
        <v>51.005000000000003</v>
      </c>
      <c r="BE79">
        <f>IF(ISNUMBER(VLOOKUP($A79,Haver_M!$B$1:$BZ$300,MATCH(data!BE$1,Haver_M!$B$1:$BZ$1,0),FALSE)),VLOOKUP($A79,Haver_M!$B$1:$BZ$300,MATCH(data!BE$1,Haver_M!$B$1:$BZ$1,0),FALSE),"")</f>
        <v>1.2646999999999999</v>
      </c>
      <c r="BF79">
        <f>IF(ISNUMBER(VLOOKUP($A79,Haver_M!$B$1:$BZ$300,MATCH(data!BF$1,Haver_M!$B$1:$BZ$1,0),FALSE)),VLOOKUP($A79,Haver_M!$B$1:$BZ$300,MATCH(data!BF$1,Haver_M!$B$1:$BZ$1,0),FALSE),"")</f>
        <v>53.133699999999997</v>
      </c>
      <c r="BG79">
        <f>IF(ISNUMBER(VLOOKUP($A79,Haver_M!$B$1:$BZ$300,MATCH(data!BG$1,Haver_M!$B$1:$BZ$1,0),FALSE)),VLOOKUP($A79,Haver_M!$B$1:$BZ$300,MATCH(data!BG$1,Haver_M!$B$1:$BZ$1,0),FALSE),"")</f>
        <v>52.299900000000001</v>
      </c>
      <c r="BH79">
        <f>IF(ISNUMBER(VLOOKUP($A79,Haver_M!$B$1:$BZ$300,MATCH(data!BH$1,Haver_M!$B$1:$BZ$1,0),FALSE)),VLOOKUP($A79,Haver_M!$B$1:$BZ$300,MATCH(data!BH$1,Haver_M!$B$1:$BZ$1,0),FALSE),"")</f>
        <v>60.285899999999998</v>
      </c>
      <c r="BI79">
        <f>IF(ISNUMBER(VLOOKUP($A79,Haver_M!$B$1:$BZ$300,MATCH(data!BI$1,Haver_M!$B$1:$BZ$1,0),FALSE)),VLOOKUP($A79,Haver_M!$B$1:$BZ$300,MATCH(data!BI$1,Haver_M!$B$1:$BZ$1,0),FALSE),"")</f>
        <v>55.985100000000003</v>
      </c>
      <c r="BJ79" t="str">
        <f>IF(ISNUMBER(VLOOKUP($A79,Haver_M!$B$1:$BZ$300,MATCH(data!BJ$1,Haver_M!$B$1:$BZ$1,0),FALSE)),VLOOKUP($A79,Haver_M!$B$1:$BZ$300,MATCH(data!BJ$1,Haver_M!$B$1:$BZ$1,0),FALSE),"")</f>
        <v/>
      </c>
      <c r="BK79">
        <f>IF(ISNUMBER(VLOOKUP($A79,Haver_M!$B$1:$BZ$300,MATCH(data!BK$1,Haver_M!$B$1:$BZ$1,0),FALSE)),VLOOKUP($A79,Haver_M!$B$1:$BZ$300,MATCH(data!BK$1,Haver_M!$B$1:$BZ$1,0),FALSE),"")</f>
        <v>49.9679</v>
      </c>
      <c r="BL79">
        <f>IF(ISNUMBER(VLOOKUP($A79,Haver_M!$B$1:$BZ$300,MATCH(data!BL$1,Haver_M!$B$1:$BZ$1,0),FALSE)),VLOOKUP($A79,Haver_M!$B$1:$BZ$300,MATCH(data!BL$1,Haver_M!$B$1:$BZ$1,0),FALSE),"")</f>
        <v>9913.01</v>
      </c>
      <c r="BM79">
        <f>IF(ISNUMBER(VLOOKUP($A79,Haver_M!$B$1:$BZ$300,MATCH(data!BM$1,Haver_M!$B$1:$BZ$1,0),FALSE)),VLOOKUP($A79,Haver_M!$B$1:$BZ$300,MATCH(data!BM$1,Haver_M!$B$1:$BZ$1,0),FALSE),"")</f>
        <v>106.16287582</v>
      </c>
      <c r="BN79">
        <f>IF(ISNUMBER(VLOOKUP($A79,Haver_M!$B$1:$BZ$300,MATCH(data!BN$1,Haver_M!$B$1:$BZ$1,0),FALSE)),VLOOKUP($A79,Haver_M!$B$1:$BZ$300,MATCH(data!BN$1,Haver_M!$B$1:$BZ$1,0),FALSE),"")</f>
        <v>121.8</v>
      </c>
      <c r="BO79">
        <f>IF(ISNUMBER(VLOOKUP($A79,Haver_M!$B$1:$BZ$300,MATCH(data!BO$1,Haver_M!$B$1:$BZ$1,0),FALSE)),VLOOKUP($A79,Haver_M!$B$1:$BZ$300,MATCH(data!BO$1,Haver_M!$B$1:$BZ$1,0),FALSE),"")</f>
        <v>120.5</v>
      </c>
      <c r="BP79">
        <f>IF(ISNUMBER(VLOOKUP($A79,Haver_M!$B$1:$BZ$300,MATCH(data!BP$1,Haver_M!$B$1:$BZ$1,0),FALSE)),VLOOKUP($A79,Haver_M!$B$1:$BZ$300,MATCH(data!BP$1,Haver_M!$B$1:$BZ$1,0),FALSE),"")</f>
        <v>46.3</v>
      </c>
      <c r="BQ79" t="str">
        <f>IF(ISNUMBER(VLOOKUP($A79,Haver_M!$B$1:$BZ$300,MATCH(data!BQ$1,Haver_M!$B$1:$BZ$1,0),FALSE)),VLOOKUP($A79,Haver_M!$B$1:$BZ$300,MATCH(data!BQ$1,Haver_M!$B$1:$BZ$1,0),FALSE),"")</f>
        <v/>
      </c>
      <c r="BR79" t="str">
        <f>IF(ISNUMBER(VLOOKUP($A79,Haver_M!$B$1:$BZ$300,MATCH(data!BR$1,Haver_M!$B$1:$BZ$1,0),FALSE)),VLOOKUP($A79,Haver_M!$B$1:$BZ$300,MATCH(data!BR$1,Haver_M!$B$1:$BZ$1,0),FALSE),"")</f>
        <v/>
      </c>
      <c r="BS79" t="str">
        <f>IF(ISNUMBER(VLOOKUP($A79,Haver_M!$B$1:$BZ$300,MATCH(data!BS$1,Haver_M!$B$1:$BZ$1,0),FALSE)),VLOOKUP($A79,Haver_M!$B$1:$BZ$300,MATCH(data!BS$1,Haver_M!$B$1:$BZ$1,0),FALSE),"")</f>
        <v/>
      </c>
      <c r="BT79" t="str">
        <f>IF(ISNUMBER(VLOOKUP($A79,Haver_M!$B$1:$BZ$300,MATCH(data!BT$1,Haver_M!$B$1:$BZ$1,0),FALSE)),VLOOKUP($A79,Haver_M!$B$1:$BZ$300,MATCH(data!BT$1,Haver_M!$B$1:$BZ$1,0),FALSE),"")</f>
        <v/>
      </c>
      <c r="BU79">
        <f>IF(ISNUMBER(VLOOKUP($A79,Haver_M!$B$1:$BZ$300,MATCH(data!BU$1,Haver_M!$B$1:$BZ$1,0),FALSE)),VLOOKUP($A79,Haver_M!$B$1:$BZ$300,MATCH(data!BU$1,Haver_M!$B$1:$BZ$1,0),FALSE),"")</f>
        <v>10420</v>
      </c>
      <c r="BV79">
        <f>IF(ISNUMBER(VLOOKUP($A79,Haver_M!$B$1:$BZ$300,MATCH(data!BV$1,Haver_M!$B$1:$BZ$1,0),FALSE)),VLOOKUP($A79,Haver_M!$B$1:$BZ$300,MATCH(data!BV$1,Haver_M!$B$1:$BZ$1,0),FALSE),"")</f>
        <v>14400.1</v>
      </c>
      <c r="BW79">
        <f>IF(ISNUMBER(VLOOKUP($A79,Haver_M!$B$1:$BZ$300,MATCH(data!BW$1,Haver_M!$B$1:$BZ$1,0),FALSE)),VLOOKUP($A79,Haver_M!$B$1:$BZ$300,MATCH(data!BW$1,Haver_M!$B$1:$BZ$1,0),FALSE),"")</f>
        <v>46.056100000000001</v>
      </c>
      <c r="BX79">
        <f>IF(ISNUMBER(VLOOKUP($A79,Haver_M!$B$1:$BZ$300,MATCH(data!BX$1,Haver_M!$B$1:$BZ$1,0),FALSE)),VLOOKUP($A79,Haver_M!$B$1:$BZ$300,MATCH(data!BX$1,Haver_M!$B$1:$BZ$1,0),FALSE),"")</f>
        <v>20513</v>
      </c>
    </row>
    <row r="80" spans="1:76" x14ac:dyDescent="0.25">
      <c r="A80" s="2">
        <v>38929</v>
      </c>
      <c r="B80" t="str">
        <f>IF(ISNUMBER(VLOOKUP($A80,Haver_Q!$B$1:$L$185,MATCH(data!B$1,Haver_Q!$B$1:$L$1,0),FALSE)),100*(VLOOKUP($A80,Haver_Q!$B$1:$L$185,MATCH(data!B$1,Haver_Q!$B$1:$L$1,0),FALSE)),"")</f>
        <v/>
      </c>
      <c r="C80" t="str">
        <f>IF(ISNUMBER(VLOOKUP($A80,Haver_Q!$B$1:$L$185,MATCH(data!C$1,Haver_Q!$B$1:$L$1,0),FALSE)),100*(VLOOKUP($A80,Haver_Q!$B$1:$L$185,MATCH(data!C$1,Haver_Q!$B$1:$L$1,0),FALSE)),"")</f>
        <v/>
      </c>
      <c r="D80" t="str">
        <f>IF(ISNUMBER(VLOOKUP($A80,Haver_Q!$B$1:$L$185,MATCH(data!D$1,Haver_Q!$B$1:$L$1,0),FALSE)),100*(VLOOKUP($A80,Haver_Q!$B$1:$L$185,MATCH(data!D$1,Haver_Q!$B$1:$L$1,0),FALSE)),"")</f>
        <v/>
      </c>
      <c r="E80" t="str">
        <f>IF(ISNUMBER(VLOOKUP($A80,Haver_Q!$B$1:$L$185,MATCH(data!E$1,Haver_Q!$B$1:$L$1,0),FALSE)),100*(VLOOKUP($A80,Haver_Q!$B$1:$L$185,MATCH(data!E$1,Haver_Q!$B$1:$L$1,0),FALSE)),"")</f>
        <v/>
      </c>
      <c r="F80" t="str">
        <f>IF(ISNUMBER(VLOOKUP($A80,Haver_Q!$B$1:$L$185,MATCH(data!F$1,Haver_Q!$B$1:$L$1,0),FALSE)),100*(VLOOKUP($A80,Haver_Q!$B$1:$L$185,MATCH(data!F$1,Haver_Q!$B$1:$L$1,0),FALSE)),"")</f>
        <v/>
      </c>
      <c r="G80" t="str">
        <f>IF(ISNUMBER(VLOOKUP($A80,Haver_Q!$B$1:$L$185,MATCH(data!G$1,Haver_Q!$B$1:$L$1,0),FALSE)),100*(VLOOKUP($A80,Haver_Q!$B$1:$L$185,MATCH(data!G$1,Haver_Q!$B$1:$L$1,0),FALSE)),"")</f>
        <v/>
      </c>
      <c r="H80" t="str">
        <f>IF(ISNUMBER(VLOOKUP($A80,Haver_Q!$B$1:$L$185,MATCH(data!H$1,Haver_Q!$B$1:$L$1,0),FALSE)),(VLOOKUP($A80,Haver_Q!$B$1:$L$185,MATCH(data!H$1,Haver_Q!$B$1:$L$1,0),FALSE)),"")</f>
        <v/>
      </c>
      <c r="I80" t="str">
        <f>IF(ISNUMBER(VLOOKUP($A80,Haver_Q!$B$1:$L$185,MATCH(data!I$1,Haver_Q!$B$1:$L$1,0),FALSE)),100*(VLOOKUP($A80,Haver_Q!$B$1:$L$185,MATCH(data!I$1,Haver_Q!$B$1:$L$1,0),FALSE)),"")</f>
        <v/>
      </c>
      <c r="J80" s="3">
        <f>IF(ISNUMBER(Bloomberg_m!C96),Bloomberg_m!C96,"")</f>
        <v>3050</v>
      </c>
      <c r="K80" s="3" t="str">
        <f>IF(ISNUMBER(Bloomberg_m!D96),Bloomberg_m!D96,"")</f>
        <v/>
      </c>
      <c r="L80" s="3" t="str">
        <f>IF(ISNUMBER(Bloomberg_m!E96),Bloomberg_m!E96,"")</f>
        <v/>
      </c>
      <c r="M80" s="3" t="str">
        <f>IF(ISNUMBER(Bloomberg_m!F96),Bloomberg_m!F96,"")</f>
        <v/>
      </c>
      <c r="N80">
        <f>IF(ISNUMBER(VLOOKUP($A80,Haver_M!$B$1:$BZ$300,MATCH(data!N$1,Haver_M!$B$1:$BZ$1,0),FALSE)),VLOOKUP($A80,Haver_M!$B$1:$BZ$300,MATCH(data!N$1,Haver_M!$B$1:$BZ$1,0),FALSE),"")</f>
        <v>7</v>
      </c>
      <c r="O80">
        <f>IF(ISNUMBER(VLOOKUP($A80,Haver_M!$B$1:$BZ$300,MATCH(data!O$1,Haver_M!$B$1:$BZ$1,0),FALSE)),VLOOKUP($A80,Haver_M!$B$1:$BZ$300,MATCH(data!O$1,Haver_M!$B$1:$BZ$1,0),FALSE),"")</f>
        <v>8.2809000000000008</v>
      </c>
      <c r="P80">
        <f>IF(ISNUMBER(VLOOKUP($A80,Haver_M!$B$1:$BZ$300,MATCH(data!P$1,Haver_M!$B$1:$BZ$1,0),FALSE)),VLOOKUP($A80,Haver_M!$B$1:$BZ$300,MATCH(data!P$1,Haver_M!$B$1:$BZ$1,0),FALSE),"")</f>
        <v>90.671490000000006</v>
      </c>
      <c r="Q80">
        <f>IF(ISNUMBER(VLOOKUP($A80,Haver_M!$B$1:$BZ$300,MATCH(data!Q$1,Haver_M!$B$1:$BZ$1,0),FALSE)),VLOOKUP($A80,Haver_M!$B$1:$BZ$300,MATCH(data!Q$1,Haver_M!$B$1:$BZ$1,0),FALSE),"")</f>
        <v>61.1</v>
      </c>
      <c r="R80" t="str">
        <f>IF(ISNUMBER(VLOOKUP($A80,Haver_M!$B$1:$BZ$300,MATCH(data!R$1,Haver_M!$B$1:$BZ$1,0),FALSE)),VLOOKUP($A80,Haver_M!$B$1:$BZ$300,MATCH(data!R$1,Haver_M!$B$1:$BZ$1,0),FALSE),"")</f>
        <v/>
      </c>
      <c r="S80">
        <f>IF(ISNUMBER(VLOOKUP($A80,Haver_M!$B$1:$BZ$300,MATCH(data!S$1,Haver_M!$B$1:$BZ$1,0),FALSE)),VLOOKUP($A80,Haver_M!$B$1:$BZ$300,MATCH(data!S$1,Haver_M!$B$1:$BZ$1,0),FALSE),"")</f>
        <v>72.63</v>
      </c>
      <c r="T80">
        <f>IF(ISNUMBER(VLOOKUP($A80,Haver_M!$B$1:$BZ$300,MATCH(data!T$1,Haver_M!$B$1:$BZ$1,0),FALSE)),VLOOKUP($A80,Haver_M!$B$1:$BZ$300,MATCH(data!T$1,Haver_M!$B$1:$BZ$1,0),FALSE),"")</f>
        <v>74.97</v>
      </c>
      <c r="U80">
        <f>IF(ISNUMBER(VLOOKUP($A80,Haver_M!$B$1:$BZ$300,MATCH(data!U$1,Haver_M!$B$1:$BZ$1,0),FALSE)),VLOOKUP($A80,Haver_M!$B$1:$BZ$300,MATCH(data!U$1,Haver_M!$B$1:$BZ$1,0),FALSE),"")</f>
        <v>60</v>
      </c>
      <c r="V80">
        <f>IF(ISNUMBER(VLOOKUP($A80,Haver_M!$B$1:$BZ$300,MATCH(data!V$1,Haver_M!$B$1:$BZ$1,0),FALSE)),VLOOKUP($A80,Haver_M!$B$1:$BZ$300,MATCH(data!V$1,Haver_M!$B$1:$BZ$1,0),FALSE),"")</f>
        <v>84.46</v>
      </c>
      <c r="W80" t="str">
        <f>IF(ISNUMBER(VLOOKUP($A80,Haver_M!$B$1:$BZ$300,MATCH(data!W$1,Haver_M!$B$1:$BZ$1,0),FALSE)),VLOOKUP($A80,Haver_M!$B$1:$BZ$300,MATCH(data!W$1,Haver_M!$B$1:$BZ$1,0),FALSE),"")</f>
        <v/>
      </c>
      <c r="X80">
        <f>IF(ISNUMBER(VLOOKUP($A80,Haver_M!$B$1:$BZ$300,MATCH(data!X$1,Haver_M!$B$1:$BZ$1,0),FALSE)),VLOOKUP($A80,Haver_M!$B$1:$BZ$300,MATCH(data!X$1,Haver_M!$B$1:$BZ$1,0),FALSE),"")</f>
        <v>49.12</v>
      </c>
      <c r="Y80">
        <f>IF(ISNUMBER(VLOOKUP($A80,Haver_M!$B$1:$BZ$300,MATCH(data!Y$1,Haver_M!$B$1:$BZ$1,0),FALSE)),VLOOKUP($A80,Haver_M!$B$1:$BZ$300,MATCH(data!Y$1,Haver_M!$B$1:$BZ$1,0),FALSE),"")</f>
        <v>81.03</v>
      </c>
      <c r="Z80">
        <f>IF(ISNUMBER(VLOOKUP($A80,Haver_M!$B$1:$BZ$300,MATCH(data!Z$1,Haver_M!$B$1:$BZ$1,0),FALSE)),VLOOKUP($A80,Haver_M!$B$1:$BZ$300,MATCH(data!Z$1,Haver_M!$B$1:$BZ$1,0),FALSE),"")</f>
        <v>77</v>
      </c>
      <c r="AA80">
        <f>IF(ISNUMBER(VLOOKUP($A80,Haver_M!$B$1:$BZ$300,MATCH(data!AA$1,Haver_M!$B$1:$BZ$1,0),FALSE)),VLOOKUP($A80,Haver_M!$B$1:$BZ$300,MATCH(data!AA$1,Haver_M!$B$1:$BZ$1,0),FALSE),"")</f>
        <v>81.528999999999996</v>
      </c>
      <c r="AB80">
        <f>IF(ISNUMBER(VLOOKUP($A80,Haver_M!$B$1:$BZ$300,MATCH(data!AB$1,Haver_M!$B$1:$BZ$1,0),FALSE)),VLOOKUP($A80,Haver_M!$B$1:$BZ$300,MATCH(data!AB$1,Haver_M!$B$1:$BZ$1,0),FALSE),"")</f>
        <v>89.292000000000002</v>
      </c>
      <c r="AC80">
        <f>IF(ISNUMBER(VLOOKUP($A80,Haver_M!$B$1:$BZ$300,MATCH(data!AC$1,Haver_M!$B$1:$BZ$1,0),FALSE)),VLOOKUP($A80,Haver_M!$B$1:$BZ$300,MATCH(data!AC$1,Haver_M!$B$1:$BZ$1,0),FALSE),"")</f>
        <v>69.716999999999999</v>
      </c>
      <c r="AD80">
        <f>IF(ISNUMBER(VLOOKUP($A80,Haver_M!$B$1:$BZ$300,MATCH(data!AD$1,Haver_M!$B$1:$BZ$1,0),FALSE)),VLOOKUP($A80,Haver_M!$B$1:$BZ$300,MATCH(data!AD$1,Haver_M!$B$1:$BZ$1,0),FALSE),"")</f>
        <v>86.69</v>
      </c>
      <c r="AE80">
        <f>IF(ISNUMBER(VLOOKUP($A80,Haver_M!$B$1:$BZ$300,MATCH(data!AE$1,Haver_M!$B$1:$BZ$1,0),FALSE)),VLOOKUP($A80,Haver_M!$B$1:$BZ$300,MATCH(data!AE$1,Haver_M!$B$1:$BZ$1,0),FALSE),"")</f>
        <v>95.867999999999995</v>
      </c>
      <c r="AF80">
        <f>IF(ISNUMBER(VLOOKUP($A80,Haver_M!$B$1:$BZ$300,MATCH(data!AF$1,Haver_M!$B$1:$BZ$1,0),FALSE)),VLOOKUP($A80,Haver_M!$B$1:$BZ$300,MATCH(data!AF$1,Haver_M!$B$1:$BZ$1,0),FALSE),"")</f>
        <v>67.527000000000001</v>
      </c>
      <c r="AG80">
        <f>IF(ISNUMBER(VLOOKUP($A80,Haver_M!$B$1:$BZ$300,MATCH(data!AG$1,Haver_M!$B$1:$BZ$1,0),FALSE)),VLOOKUP($A80,Haver_M!$B$1:$BZ$300,MATCH(data!AG$1,Haver_M!$B$1:$BZ$1,0),FALSE),"")</f>
        <v>67.994</v>
      </c>
      <c r="AH80">
        <f>IF(ISNUMBER(VLOOKUP($A80,Haver_M!$B$1:$BZ$300,MATCH(data!AH$1,Haver_M!$B$1:$BZ$1,0),FALSE)),VLOOKUP($A80,Haver_M!$B$1:$BZ$300,MATCH(data!AH$1,Haver_M!$B$1:$BZ$1,0),FALSE),"")</f>
        <v>74.540999999999997</v>
      </c>
      <c r="AI80">
        <f>IF(ISNUMBER(VLOOKUP($A80,Haver_M!$B$1:$BZ$300,MATCH(data!AI$1,Haver_M!$B$1:$BZ$1,0),FALSE)),VLOOKUP($A80,Haver_M!$B$1:$BZ$300,MATCH(data!AI$1,Haver_M!$B$1:$BZ$1,0),FALSE),"")</f>
        <v>9635.9662884757236</v>
      </c>
      <c r="AJ80">
        <f>IF(ISNUMBER(VLOOKUP($A80,Haver_M!$B$1:$BZ$300,MATCH(data!AJ$1,Haver_M!$B$1:$BZ$1,0),FALSE)),VLOOKUP($A80,Haver_M!$B$1:$BZ$300,MATCH(data!AJ$1,Haver_M!$B$1:$BZ$1,0),FALSE),"")</f>
        <v>10647.29</v>
      </c>
      <c r="AK80">
        <f>IF(ISNUMBER(VLOOKUP($A80,Haver_M!$B$1:$BZ$300,MATCH(data!AK$1,Haver_M!$B$1:$BZ$1,0),FALSE)),VLOOKUP($A80,Haver_M!$B$1:$BZ$300,MATCH(data!AK$1,Haver_M!$B$1:$BZ$1,0),FALSE),"")</f>
        <v>14678.36</v>
      </c>
      <c r="AL80" t="str">
        <f>IF(ISNUMBER(VLOOKUP($A80,Haver_M!$B$1:$BZ$300,MATCH(data!AL$1,Haver_M!$B$1:$BZ$1,0),FALSE)),VLOOKUP($A80,Haver_M!$B$1:$BZ$300,MATCH(data!AL$1,Haver_M!$B$1:$BZ$1,0),FALSE),"")</f>
        <v/>
      </c>
      <c r="AM80" t="str">
        <f>IF(ISNUMBER(VLOOKUP($A80,Haver_M!$B$1:$BZ$300,MATCH(data!AM$1,Haver_M!$B$1:$BZ$1,0),FALSE)),VLOOKUP($A80,Haver_M!$B$1:$BZ$300,MATCH(data!AM$1,Haver_M!$B$1:$BZ$1,0),FALSE),"")</f>
        <v/>
      </c>
      <c r="AN80" t="str">
        <f>IF(ISNUMBER(VLOOKUP($A80,Haver_M!$B$1:$BZ$300,MATCH(data!AN$1,Haver_M!$B$1:$BZ$1,0),FALSE)),VLOOKUP($A80,Haver_M!$B$1:$BZ$300,MATCH(data!AN$1,Haver_M!$B$1:$BZ$1,0),FALSE),"")</f>
        <v/>
      </c>
      <c r="AO80" t="str">
        <f>IF(ISNUMBER(VLOOKUP($A80,Haver_M!$B$1:$BZ$300,MATCH(data!AO$1,Haver_M!$B$1:$BZ$1,0),FALSE)),VLOOKUP($A80,Haver_M!$B$1:$BZ$300,MATCH(data!AO$1,Haver_M!$B$1:$BZ$1,0),FALSE),"")</f>
        <v/>
      </c>
      <c r="AP80">
        <f>IF(ISNUMBER(VLOOKUP($A80,Haver_M!$B$1:$BZ$300,MATCH(data!AP$1,Haver_M!$B$1:$BZ$1,0),FALSE)),VLOOKUP($A80,Haver_M!$B$1:$BZ$300,MATCH(data!AP$1,Haver_M!$B$1:$BZ$1,0),FALSE),"")</f>
        <v>63.438782730450242</v>
      </c>
      <c r="AQ80">
        <f>IF(ISNUMBER(VLOOKUP($A80,Haver_M!$B$1:$BZ$300,MATCH(data!AQ$1,Haver_M!$B$1:$BZ$1,0),FALSE)),VLOOKUP($A80,Haver_M!$B$1:$BZ$300,MATCH(data!AQ$1,Haver_M!$B$1:$BZ$1,0),FALSE),"")</f>
        <v>59.920900000000003</v>
      </c>
      <c r="AR80">
        <f>IF(ISNUMBER(VLOOKUP($A80,Haver_M!$B$1:$BZ$300,MATCH(data!AR$1,Haver_M!$B$1:$BZ$1,0),FALSE)),VLOOKUP($A80,Haver_M!$B$1:$BZ$300,MATCH(data!AR$1,Haver_M!$B$1:$BZ$1,0),FALSE),"")</f>
        <v>55.808</v>
      </c>
      <c r="AS80">
        <f>IF(ISNUMBER(VLOOKUP($A80,Haver_M!$B$1:$BZ$300,MATCH(data!AS$1,Haver_M!$B$1:$BZ$1,0),FALSE)),VLOOKUP($A80,Haver_M!$B$1:$BZ$300,MATCH(data!AS$1,Haver_M!$B$1:$BZ$1,0),FALSE),"")</f>
        <v>60.180799999999998</v>
      </c>
      <c r="AT80">
        <f>IF(ISNUMBER(VLOOKUP($A80,Haver_M!$B$1:$BZ$300,MATCH(data!AT$1,Haver_M!$B$1:$BZ$1,0),FALSE)),VLOOKUP($A80,Haver_M!$B$1:$BZ$300,MATCH(data!AT$1,Haver_M!$B$1:$BZ$1,0),FALSE),"")</f>
        <v>59.336599999999997</v>
      </c>
      <c r="AU80">
        <f>IF(ISNUMBER(VLOOKUP($A80,Haver_M!$B$1:$BZ$300,MATCH(data!AU$1,Haver_M!$B$1:$BZ$1,0),FALSE)),VLOOKUP($A80,Haver_M!$B$1:$BZ$300,MATCH(data!AU$1,Haver_M!$B$1:$BZ$1,0),FALSE),"")</f>
        <v>60.171599999999998</v>
      </c>
      <c r="AV80">
        <f>IF(ISNUMBER(VLOOKUP($A80,Haver_M!$B$1:$BZ$300,MATCH(data!AV$1,Haver_M!$B$1:$BZ$1,0),FALSE)),VLOOKUP($A80,Haver_M!$B$1:$BZ$300,MATCH(data!AV$1,Haver_M!$B$1:$BZ$1,0),FALSE),"")</f>
        <v>52.211300000000001</v>
      </c>
      <c r="AW80">
        <f>IF(ISNUMBER(VLOOKUP($A80,Haver_M!$B$1:$BZ$300,MATCH(data!AW$1,Haver_M!$B$1:$BZ$1,0),FALSE)),VLOOKUP($A80,Haver_M!$B$1:$BZ$300,MATCH(data!AW$1,Haver_M!$B$1:$BZ$1,0),FALSE),"")</f>
        <v>51.361400000000003</v>
      </c>
      <c r="AX80">
        <f>IF(ISNUMBER(VLOOKUP($A80,Haver_M!$B$1:$BZ$300,MATCH(data!AX$1,Haver_M!$B$1:$BZ$1,0),FALSE)),VLOOKUP($A80,Haver_M!$B$1:$BZ$300,MATCH(data!AX$1,Haver_M!$B$1:$BZ$1,0),FALSE),"")</f>
        <v>51.842799999999997</v>
      </c>
      <c r="AY80">
        <f>IF(ISNUMBER(VLOOKUP($A80,Haver_M!$B$1:$BZ$300,MATCH(data!AY$1,Haver_M!$B$1:$BZ$1,0),FALSE)),VLOOKUP($A80,Haver_M!$B$1:$BZ$300,MATCH(data!AY$1,Haver_M!$B$1:$BZ$1,0),FALSE),"")</f>
        <v>55.255200000000002</v>
      </c>
      <c r="AZ80">
        <f>IF(ISNUMBER(VLOOKUP($A80,Haver_M!$B$1:$BZ$300,MATCH(data!AZ$1,Haver_M!$B$1:$BZ$1,0),FALSE)),VLOOKUP($A80,Haver_M!$B$1:$BZ$300,MATCH(data!AZ$1,Haver_M!$B$1:$BZ$1,0),FALSE),"")</f>
        <v>56.2605</v>
      </c>
      <c r="BA80">
        <f>IF(ISNUMBER(VLOOKUP($A80,Haver_M!$B$1:$BZ$300,MATCH(data!BA$1,Haver_M!$B$1:$BZ$1,0),FALSE)),VLOOKUP($A80,Haver_M!$B$1:$BZ$300,MATCH(data!BA$1,Haver_M!$B$1:$BZ$1,0),FALSE),"")</f>
        <v>51.842799999999997</v>
      </c>
      <c r="BB80">
        <f>IF(ISNUMBER(VLOOKUP($A80,Haver_M!$B$1:$BZ$300,MATCH(data!BB$1,Haver_M!$B$1:$BZ$1,0),FALSE)),VLOOKUP($A80,Haver_M!$B$1:$BZ$300,MATCH(data!BB$1,Haver_M!$B$1:$BZ$1,0),FALSE),"")</f>
        <v>54.7532</v>
      </c>
      <c r="BC80">
        <f>IF(ISNUMBER(VLOOKUP($A80,Haver_M!$B$1:$BZ$300,MATCH(data!BC$1,Haver_M!$B$1:$BZ$1,0),FALSE)),VLOOKUP($A80,Haver_M!$B$1:$BZ$300,MATCH(data!BC$1,Haver_M!$B$1:$BZ$1,0),FALSE),"")</f>
        <v>53.982799999999997</v>
      </c>
      <c r="BD80">
        <f>IF(ISNUMBER(VLOOKUP($A80,Haver_M!$B$1:$BZ$300,MATCH(data!BD$1,Haver_M!$B$1:$BZ$1,0),FALSE)),VLOOKUP($A80,Haver_M!$B$1:$BZ$300,MATCH(data!BD$1,Haver_M!$B$1:$BZ$1,0),FALSE),"")</f>
        <v>51.358699999999999</v>
      </c>
      <c r="BE80">
        <f>IF(ISNUMBER(VLOOKUP($A80,Haver_M!$B$1:$BZ$300,MATCH(data!BE$1,Haver_M!$B$1:$BZ$1,0),FALSE)),VLOOKUP($A80,Haver_M!$B$1:$BZ$300,MATCH(data!BE$1,Haver_M!$B$1:$BZ$1,0),FALSE),"")</f>
        <v>1.2063999999999999</v>
      </c>
      <c r="BF80">
        <f>IF(ISNUMBER(VLOOKUP($A80,Haver_M!$B$1:$BZ$300,MATCH(data!BF$1,Haver_M!$B$1:$BZ$1,0),FALSE)),VLOOKUP($A80,Haver_M!$B$1:$BZ$300,MATCH(data!BF$1,Haver_M!$B$1:$BZ$1,0),FALSE),"")</f>
        <v>53.860799999999998</v>
      </c>
      <c r="BG80">
        <f>IF(ISNUMBER(VLOOKUP($A80,Haver_M!$B$1:$BZ$300,MATCH(data!BG$1,Haver_M!$B$1:$BZ$1,0),FALSE)),VLOOKUP($A80,Haver_M!$B$1:$BZ$300,MATCH(data!BG$1,Haver_M!$B$1:$BZ$1,0),FALSE),"")</f>
        <v>51.930900000000001</v>
      </c>
      <c r="BH80">
        <f>IF(ISNUMBER(VLOOKUP($A80,Haver_M!$B$1:$BZ$300,MATCH(data!BH$1,Haver_M!$B$1:$BZ$1,0),FALSE)),VLOOKUP($A80,Haver_M!$B$1:$BZ$300,MATCH(data!BH$1,Haver_M!$B$1:$BZ$1,0),FALSE),"")</f>
        <v>59.635800000000003</v>
      </c>
      <c r="BI80">
        <f>IF(ISNUMBER(VLOOKUP($A80,Haver_M!$B$1:$BZ$300,MATCH(data!BI$1,Haver_M!$B$1:$BZ$1,0),FALSE)),VLOOKUP($A80,Haver_M!$B$1:$BZ$300,MATCH(data!BI$1,Haver_M!$B$1:$BZ$1,0),FALSE),"")</f>
        <v>55.801499999999997</v>
      </c>
      <c r="BJ80" t="str">
        <f>IF(ISNUMBER(VLOOKUP($A80,Haver_M!$B$1:$BZ$300,MATCH(data!BJ$1,Haver_M!$B$1:$BZ$1,0),FALSE)),VLOOKUP($A80,Haver_M!$B$1:$BZ$300,MATCH(data!BJ$1,Haver_M!$B$1:$BZ$1,0),FALSE),"")</f>
        <v/>
      </c>
      <c r="BK80">
        <f>IF(ISNUMBER(VLOOKUP($A80,Haver_M!$B$1:$BZ$300,MATCH(data!BK$1,Haver_M!$B$1:$BZ$1,0),FALSE)),VLOOKUP($A80,Haver_M!$B$1:$BZ$300,MATCH(data!BK$1,Haver_M!$B$1:$BZ$1,0),FALSE),"")</f>
        <v>49.8247</v>
      </c>
      <c r="BL80">
        <f>IF(ISNUMBER(VLOOKUP($A80,Haver_M!$B$1:$BZ$300,MATCH(data!BL$1,Haver_M!$B$1:$BZ$1,0),FALSE)),VLOOKUP($A80,Haver_M!$B$1:$BZ$300,MATCH(data!BL$1,Haver_M!$B$1:$BZ$1,0),FALSE),"")</f>
        <v>10557.15</v>
      </c>
      <c r="BM80">
        <f>IF(ISNUMBER(VLOOKUP($A80,Haver_M!$B$1:$BZ$300,MATCH(data!BM$1,Haver_M!$B$1:$BZ$1,0),FALSE)),VLOOKUP($A80,Haver_M!$B$1:$BZ$300,MATCH(data!BM$1,Haver_M!$B$1:$BZ$1,0),FALSE),"")</f>
        <v>105.99648338</v>
      </c>
      <c r="BN80" t="str">
        <f>IF(ISNUMBER(VLOOKUP($A80,Haver_M!$B$1:$BZ$300,MATCH(data!BN$1,Haver_M!$B$1:$BZ$1,0),FALSE)),VLOOKUP($A80,Haver_M!$B$1:$BZ$300,MATCH(data!BN$1,Haver_M!$B$1:$BZ$1,0),FALSE),"")</f>
        <v/>
      </c>
      <c r="BO80" t="str">
        <f>IF(ISNUMBER(VLOOKUP($A80,Haver_M!$B$1:$BZ$300,MATCH(data!BO$1,Haver_M!$B$1:$BZ$1,0),FALSE)),VLOOKUP($A80,Haver_M!$B$1:$BZ$300,MATCH(data!BO$1,Haver_M!$B$1:$BZ$1,0),FALSE),"")</f>
        <v/>
      </c>
      <c r="BP80" t="str">
        <f>IF(ISNUMBER(VLOOKUP($A80,Haver_M!$B$1:$BZ$300,MATCH(data!BP$1,Haver_M!$B$1:$BZ$1,0),FALSE)),VLOOKUP($A80,Haver_M!$B$1:$BZ$300,MATCH(data!BP$1,Haver_M!$B$1:$BZ$1,0),FALSE),"")</f>
        <v/>
      </c>
      <c r="BQ80" t="str">
        <f>IF(ISNUMBER(VLOOKUP($A80,Haver_M!$B$1:$BZ$300,MATCH(data!BQ$1,Haver_M!$B$1:$BZ$1,0),FALSE)),VLOOKUP($A80,Haver_M!$B$1:$BZ$300,MATCH(data!BQ$1,Haver_M!$B$1:$BZ$1,0),FALSE),"")</f>
        <v/>
      </c>
      <c r="BR80" t="str">
        <f>IF(ISNUMBER(VLOOKUP($A80,Haver_M!$B$1:$BZ$300,MATCH(data!BR$1,Haver_M!$B$1:$BZ$1,0),FALSE)),VLOOKUP($A80,Haver_M!$B$1:$BZ$300,MATCH(data!BR$1,Haver_M!$B$1:$BZ$1,0),FALSE),"")</f>
        <v/>
      </c>
      <c r="BS80" t="str">
        <f>IF(ISNUMBER(VLOOKUP($A80,Haver_M!$B$1:$BZ$300,MATCH(data!BS$1,Haver_M!$B$1:$BZ$1,0),FALSE)),VLOOKUP($A80,Haver_M!$B$1:$BZ$300,MATCH(data!BS$1,Haver_M!$B$1:$BZ$1,0),FALSE),"")</f>
        <v/>
      </c>
      <c r="BT80" t="str">
        <f>IF(ISNUMBER(VLOOKUP($A80,Haver_M!$B$1:$BZ$300,MATCH(data!BT$1,Haver_M!$B$1:$BZ$1,0),FALSE)),VLOOKUP($A80,Haver_M!$B$1:$BZ$300,MATCH(data!BT$1,Haver_M!$B$1:$BZ$1,0),FALSE),"")</f>
        <v/>
      </c>
      <c r="BU80">
        <f>IF(ISNUMBER(VLOOKUP($A80,Haver_M!$B$1:$BZ$300,MATCH(data!BU$1,Haver_M!$B$1:$BZ$1,0),FALSE)),VLOOKUP($A80,Haver_M!$B$1:$BZ$300,MATCH(data!BU$1,Haver_M!$B$1:$BZ$1,0),FALSE),"")</f>
        <v>10600.1</v>
      </c>
      <c r="BV80">
        <f>IF(ISNUMBER(VLOOKUP($A80,Haver_M!$B$1:$BZ$300,MATCH(data!BV$1,Haver_M!$B$1:$BZ$1,0),FALSE)),VLOOKUP($A80,Haver_M!$B$1:$BZ$300,MATCH(data!BV$1,Haver_M!$B$1:$BZ$1,0),FALSE),"")</f>
        <v>14985.4</v>
      </c>
      <c r="BW80">
        <f>IF(ISNUMBER(VLOOKUP($A80,Haver_M!$B$1:$BZ$300,MATCH(data!BW$1,Haver_M!$B$1:$BZ$1,0),FALSE)),VLOOKUP($A80,Haver_M!$B$1:$BZ$300,MATCH(data!BW$1,Haver_M!$B$1:$BZ$1,0),FALSE),"")</f>
        <v>46.456200000000003</v>
      </c>
      <c r="BX80">
        <f>IF(ISNUMBER(VLOOKUP($A80,Haver_M!$B$1:$BZ$300,MATCH(data!BX$1,Haver_M!$B$1:$BZ$1,0),FALSE)),VLOOKUP($A80,Haver_M!$B$1:$BZ$300,MATCH(data!BX$1,Haver_M!$B$1:$BZ$1,0),FALSE),"")</f>
        <v>17109</v>
      </c>
    </row>
    <row r="81" spans="1:76" x14ac:dyDescent="0.25">
      <c r="A81" s="2">
        <v>38960</v>
      </c>
      <c r="B81" t="str">
        <f>IF(ISNUMBER(VLOOKUP($A81,Haver_Q!$B$1:$L$185,MATCH(data!B$1,Haver_Q!$B$1:$L$1,0),FALSE)),100*(VLOOKUP($A81,Haver_Q!$B$1:$L$185,MATCH(data!B$1,Haver_Q!$B$1:$L$1,0),FALSE)),"")</f>
        <v/>
      </c>
      <c r="C81" t="str">
        <f>IF(ISNUMBER(VLOOKUP($A81,Haver_Q!$B$1:$L$185,MATCH(data!C$1,Haver_Q!$B$1:$L$1,0),FALSE)),100*(VLOOKUP($A81,Haver_Q!$B$1:$L$185,MATCH(data!C$1,Haver_Q!$B$1:$L$1,0),FALSE)),"")</f>
        <v/>
      </c>
      <c r="D81" t="str">
        <f>IF(ISNUMBER(VLOOKUP($A81,Haver_Q!$B$1:$L$185,MATCH(data!D$1,Haver_Q!$B$1:$L$1,0),FALSE)),100*(VLOOKUP($A81,Haver_Q!$B$1:$L$185,MATCH(data!D$1,Haver_Q!$B$1:$L$1,0),FALSE)),"")</f>
        <v/>
      </c>
      <c r="E81" t="str">
        <f>IF(ISNUMBER(VLOOKUP($A81,Haver_Q!$B$1:$L$185,MATCH(data!E$1,Haver_Q!$B$1:$L$1,0),FALSE)),100*(VLOOKUP($A81,Haver_Q!$B$1:$L$185,MATCH(data!E$1,Haver_Q!$B$1:$L$1,0),FALSE)),"")</f>
        <v/>
      </c>
      <c r="F81" t="str">
        <f>IF(ISNUMBER(VLOOKUP($A81,Haver_Q!$B$1:$L$185,MATCH(data!F$1,Haver_Q!$B$1:$L$1,0),FALSE)),100*(VLOOKUP($A81,Haver_Q!$B$1:$L$185,MATCH(data!F$1,Haver_Q!$B$1:$L$1,0),FALSE)),"")</f>
        <v/>
      </c>
      <c r="G81" t="str">
        <f>IF(ISNUMBER(VLOOKUP($A81,Haver_Q!$B$1:$L$185,MATCH(data!G$1,Haver_Q!$B$1:$L$1,0),FALSE)),100*(VLOOKUP($A81,Haver_Q!$B$1:$L$185,MATCH(data!G$1,Haver_Q!$B$1:$L$1,0),FALSE)),"")</f>
        <v/>
      </c>
      <c r="H81" t="str">
        <f>IF(ISNUMBER(VLOOKUP($A81,Haver_Q!$B$1:$L$185,MATCH(data!H$1,Haver_Q!$B$1:$L$1,0),FALSE)),(VLOOKUP($A81,Haver_Q!$B$1:$L$185,MATCH(data!H$1,Haver_Q!$B$1:$L$1,0),FALSE)),"")</f>
        <v/>
      </c>
      <c r="I81" t="str">
        <f>IF(ISNUMBER(VLOOKUP($A81,Haver_Q!$B$1:$L$185,MATCH(data!I$1,Haver_Q!$B$1:$L$1,0),FALSE)),100*(VLOOKUP($A81,Haver_Q!$B$1:$L$185,MATCH(data!I$1,Haver_Q!$B$1:$L$1,0),FALSE)),"")</f>
        <v/>
      </c>
      <c r="J81" s="3">
        <f>IF(ISNUMBER(Bloomberg_m!C97),Bloomberg_m!C97,"")</f>
        <v>3687</v>
      </c>
      <c r="K81" s="3" t="str">
        <f>IF(ISNUMBER(Bloomberg_m!D97),Bloomberg_m!D97,"")</f>
        <v/>
      </c>
      <c r="L81" s="3" t="str">
        <f>IF(ISNUMBER(Bloomberg_m!E97),Bloomberg_m!E97,"")</f>
        <v/>
      </c>
      <c r="M81" s="3" t="str">
        <f>IF(ISNUMBER(Bloomberg_m!F97),Bloomberg_m!F97,"")</f>
        <v/>
      </c>
      <c r="N81">
        <f>IF(ISNUMBER(VLOOKUP($A81,Haver_M!$B$1:$BZ$300,MATCH(data!N$1,Haver_M!$B$1:$BZ$1,0),FALSE)),VLOOKUP($A81,Haver_M!$B$1:$BZ$300,MATCH(data!N$1,Haver_M!$B$1:$BZ$1,0),FALSE),"")</f>
        <v>7</v>
      </c>
      <c r="O81">
        <f>IF(ISNUMBER(VLOOKUP($A81,Haver_M!$B$1:$BZ$300,MATCH(data!O$1,Haver_M!$B$1:$BZ$1,0),FALSE)),VLOOKUP($A81,Haver_M!$B$1:$BZ$300,MATCH(data!O$1,Haver_M!$B$1:$BZ$1,0),FALSE),"")</f>
        <v>7.9303999999999997</v>
      </c>
      <c r="P81">
        <f>IF(ISNUMBER(VLOOKUP($A81,Haver_M!$B$1:$BZ$300,MATCH(data!P$1,Haver_M!$B$1:$BZ$1,0),FALSE)),VLOOKUP($A81,Haver_M!$B$1:$BZ$300,MATCH(data!P$1,Haver_M!$B$1:$BZ$1,0),FALSE),"")</f>
        <v>90.4178</v>
      </c>
      <c r="Q81">
        <f>IF(ISNUMBER(VLOOKUP($A81,Haver_M!$B$1:$BZ$300,MATCH(data!Q$1,Haver_M!$B$1:$BZ$1,0),FALSE)),VLOOKUP($A81,Haver_M!$B$1:$BZ$300,MATCH(data!Q$1,Haver_M!$B$1:$BZ$1,0),FALSE),"")</f>
        <v>61.5</v>
      </c>
      <c r="R81" t="str">
        <f>IF(ISNUMBER(VLOOKUP($A81,Haver_M!$B$1:$BZ$300,MATCH(data!R$1,Haver_M!$B$1:$BZ$1,0),FALSE)),VLOOKUP($A81,Haver_M!$B$1:$BZ$300,MATCH(data!R$1,Haver_M!$B$1:$BZ$1,0),FALSE),"")</f>
        <v/>
      </c>
      <c r="S81">
        <f>IF(ISNUMBER(VLOOKUP($A81,Haver_M!$B$1:$BZ$300,MATCH(data!S$1,Haver_M!$B$1:$BZ$1,0),FALSE)),VLOOKUP($A81,Haver_M!$B$1:$BZ$300,MATCH(data!S$1,Haver_M!$B$1:$BZ$1,0),FALSE),"")</f>
        <v>71.41</v>
      </c>
      <c r="T81">
        <f>IF(ISNUMBER(VLOOKUP($A81,Haver_M!$B$1:$BZ$300,MATCH(data!T$1,Haver_M!$B$1:$BZ$1,0),FALSE)),VLOOKUP($A81,Haver_M!$B$1:$BZ$300,MATCH(data!T$1,Haver_M!$B$1:$BZ$1,0),FALSE),"")</f>
        <v>73.599999999999994</v>
      </c>
      <c r="U81">
        <f>IF(ISNUMBER(VLOOKUP($A81,Haver_M!$B$1:$BZ$300,MATCH(data!U$1,Haver_M!$B$1:$BZ$1,0),FALSE)),VLOOKUP($A81,Haver_M!$B$1:$BZ$300,MATCH(data!U$1,Haver_M!$B$1:$BZ$1,0),FALSE),"")</f>
        <v>60.4</v>
      </c>
      <c r="V81">
        <f>IF(ISNUMBER(VLOOKUP($A81,Haver_M!$B$1:$BZ$300,MATCH(data!V$1,Haver_M!$B$1:$BZ$1,0),FALSE)),VLOOKUP($A81,Haver_M!$B$1:$BZ$300,MATCH(data!V$1,Haver_M!$B$1:$BZ$1,0),FALSE),"")</f>
        <v>84.11</v>
      </c>
      <c r="W81" t="str">
        <f>IF(ISNUMBER(VLOOKUP($A81,Haver_M!$B$1:$BZ$300,MATCH(data!W$1,Haver_M!$B$1:$BZ$1,0),FALSE)),VLOOKUP($A81,Haver_M!$B$1:$BZ$300,MATCH(data!W$1,Haver_M!$B$1:$BZ$1,0),FALSE),"")</f>
        <v/>
      </c>
      <c r="X81">
        <f>IF(ISNUMBER(VLOOKUP($A81,Haver_M!$B$1:$BZ$300,MATCH(data!X$1,Haver_M!$B$1:$BZ$1,0),FALSE)),VLOOKUP($A81,Haver_M!$B$1:$BZ$300,MATCH(data!X$1,Haver_M!$B$1:$BZ$1,0),FALSE),"")</f>
        <v>45.72</v>
      </c>
      <c r="Y81">
        <f>IF(ISNUMBER(VLOOKUP($A81,Haver_M!$B$1:$BZ$300,MATCH(data!Y$1,Haver_M!$B$1:$BZ$1,0),FALSE)),VLOOKUP($A81,Haver_M!$B$1:$BZ$300,MATCH(data!Y$1,Haver_M!$B$1:$BZ$1,0),FALSE),"")</f>
        <v>81.290000000000006</v>
      </c>
      <c r="Z81">
        <f>IF(ISNUMBER(VLOOKUP($A81,Haver_M!$B$1:$BZ$300,MATCH(data!Z$1,Haver_M!$B$1:$BZ$1,0),FALSE)),VLOOKUP($A81,Haver_M!$B$1:$BZ$300,MATCH(data!Z$1,Haver_M!$B$1:$BZ$1,0),FALSE),"")</f>
        <v>75.099999999999994</v>
      </c>
      <c r="AA81">
        <f>IF(ISNUMBER(VLOOKUP($A81,Haver_M!$B$1:$BZ$300,MATCH(data!AA$1,Haver_M!$B$1:$BZ$1,0),FALSE)),VLOOKUP($A81,Haver_M!$B$1:$BZ$300,MATCH(data!AA$1,Haver_M!$B$1:$BZ$1,0),FALSE),"")</f>
        <v>78.087999999999994</v>
      </c>
      <c r="AB81">
        <f>IF(ISNUMBER(VLOOKUP($A81,Haver_M!$B$1:$BZ$300,MATCH(data!AB$1,Haver_M!$B$1:$BZ$1,0),FALSE)),VLOOKUP($A81,Haver_M!$B$1:$BZ$300,MATCH(data!AB$1,Haver_M!$B$1:$BZ$1,0),FALSE),"")</f>
        <v>85.057000000000002</v>
      </c>
      <c r="AC81">
        <f>IF(ISNUMBER(VLOOKUP($A81,Haver_M!$B$1:$BZ$300,MATCH(data!AC$1,Haver_M!$B$1:$BZ$1,0),FALSE)),VLOOKUP($A81,Haver_M!$B$1:$BZ$300,MATCH(data!AC$1,Haver_M!$B$1:$BZ$1,0),FALSE),"")</f>
        <v>50.502000000000002</v>
      </c>
      <c r="AD81">
        <f>IF(ISNUMBER(VLOOKUP($A81,Haver_M!$B$1:$BZ$300,MATCH(data!AD$1,Haver_M!$B$1:$BZ$1,0),FALSE)),VLOOKUP($A81,Haver_M!$B$1:$BZ$300,MATCH(data!AD$1,Haver_M!$B$1:$BZ$1,0),FALSE),"")</f>
        <v>85.89</v>
      </c>
      <c r="AE81">
        <f>IF(ISNUMBER(VLOOKUP($A81,Haver_M!$B$1:$BZ$300,MATCH(data!AE$1,Haver_M!$B$1:$BZ$1,0),FALSE)),VLOOKUP($A81,Haver_M!$B$1:$BZ$300,MATCH(data!AE$1,Haver_M!$B$1:$BZ$1,0),FALSE),"")</f>
        <v>92.909000000000006</v>
      </c>
      <c r="AF81">
        <f>IF(ISNUMBER(VLOOKUP($A81,Haver_M!$B$1:$BZ$300,MATCH(data!AF$1,Haver_M!$B$1:$BZ$1,0),FALSE)),VLOOKUP($A81,Haver_M!$B$1:$BZ$300,MATCH(data!AF$1,Haver_M!$B$1:$BZ$1,0),FALSE),"")</f>
        <v>67.13</v>
      </c>
      <c r="AG81">
        <f>IF(ISNUMBER(VLOOKUP($A81,Haver_M!$B$1:$BZ$300,MATCH(data!AG$1,Haver_M!$B$1:$BZ$1,0),FALSE)),VLOOKUP($A81,Haver_M!$B$1:$BZ$300,MATCH(data!AG$1,Haver_M!$B$1:$BZ$1,0),FALSE),"")</f>
        <v>65.86</v>
      </c>
      <c r="AH81">
        <f>IF(ISNUMBER(VLOOKUP($A81,Haver_M!$B$1:$BZ$300,MATCH(data!AH$1,Haver_M!$B$1:$BZ$1,0),FALSE)),VLOOKUP($A81,Haver_M!$B$1:$BZ$300,MATCH(data!AH$1,Haver_M!$B$1:$BZ$1,0),FALSE),"")</f>
        <v>74.093000000000004</v>
      </c>
      <c r="AI81">
        <f>IF(ISNUMBER(VLOOKUP($A81,Haver_M!$B$1:$BZ$300,MATCH(data!AI$1,Haver_M!$B$1:$BZ$1,0),FALSE)),VLOOKUP($A81,Haver_M!$B$1:$BZ$300,MATCH(data!AI$1,Haver_M!$B$1:$BZ$1,0),FALSE),"")</f>
        <v>9894.0619464191113</v>
      </c>
      <c r="AJ81">
        <f>IF(ISNUMBER(VLOOKUP($A81,Haver_M!$B$1:$BZ$300,MATCH(data!AJ$1,Haver_M!$B$1:$BZ$1,0),FALSE)),VLOOKUP($A81,Haver_M!$B$1:$BZ$300,MATCH(data!AJ$1,Haver_M!$B$1:$BZ$1,0),FALSE),"")</f>
        <v>10785.83</v>
      </c>
      <c r="AK81">
        <f>IF(ISNUMBER(VLOOKUP($A81,Haver_M!$B$1:$BZ$300,MATCH(data!AK$1,Haver_M!$B$1:$BZ$1,0),FALSE)),VLOOKUP($A81,Haver_M!$B$1:$BZ$300,MATCH(data!AK$1,Haver_M!$B$1:$BZ$1,0),FALSE),"")</f>
        <v>15090.39</v>
      </c>
      <c r="AL81" t="str">
        <f>IF(ISNUMBER(VLOOKUP($A81,Haver_M!$B$1:$BZ$300,MATCH(data!AL$1,Haver_M!$B$1:$BZ$1,0),FALSE)),VLOOKUP($A81,Haver_M!$B$1:$BZ$300,MATCH(data!AL$1,Haver_M!$B$1:$BZ$1,0),FALSE),"")</f>
        <v/>
      </c>
      <c r="AM81" t="str">
        <f>IF(ISNUMBER(VLOOKUP($A81,Haver_M!$B$1:$BZ$300,MATCH(data!AM$1,Haver_M!$B$1:$BZ$1,0),FALSE)),VLOOKUP($A81,Haver_M!$B$1:$BZ$300,MATCH(data!AM$1,Haver_M!$B$1:$BZ$1,0),FALSE),"")</f>
        <v/>
      </c>
      <c r="AN81" t="str">
        <f>IF(ISNUMBER(VLOOKUP($A81,Haver_M!$B$1:$BZ$300,MATCH(data!AN$1,Haver_M!$B$1:$BZ$1,0),FALSE)),VLOOKUP($A81,Haver_M!$B$1:$BZ$300,MATCH(data!AN$1,Haver_M!$B$1:$BZ$1,0),FALSE),"")</f>
        <v/>
      </c>
      <c r="AO81" t="str">
        <f>IF(ISNUMBER(VLOOKUP($A81,Haver_M!$B$1:$BZ$300,MATCH(data!AO$1,Haver_M!$B$1:$BZ$1,0),FALSE)),VLOOKUP($A81,Haver_M!$B$1:$BZ$300,MATCH(data!AO$1,Haver_M!$B$1:$BZ$1,0),FALSE),"")</f>
        <v/>
      </c>
      <c r="AP81">
        <f>IF(ISNUMBER(VLOOKUP($A81,Haver_M!$B$1:$BZ$300,MATCH(data!AP$1,Haver_M!$B$1:$BZ$1,0),FALSE)),VLOOKUP($A81,Haver_M!$B$1:$BZ$300,MATCH(data!AP$1,Haver_M!$B$1:$BZ$1,0),FALSE),"")</f>
        <v>62.206026272751501</v>
      </c>
      <c r="AQ81">
        <f>IF(ISNUMBER(VLOOKUP($A81,Haver_M!$B$1:$BZ$300,MATCH(data!AQ$1,Haver_M!$B$1:$BZ$1,0),FALSE)),VLOOKUP($A81,Haver_M!$B$1:$BZ$300,MATCH(data!AQ$1,Haver_M!$B$1:$BZ$1,0),FALSE),"")</f>
        <v>61.454300000000003</v>
      </c>
      <c r="AR81">
        <f>IF(ISNUMBER(VLOOKUP($A81,Haver_M!$B$1:$BZ$300,MATCH(data!AR$1,Haver_M!$B$1:$BZ$1,0),FALSE)),VLOOKUP($A81,Haver_M!$B$1:$BZ$300,MATCH(data!AR$1,Haver_M!$B$1:$BZ$1,0),FALSE),"")</f>
        <v>57.874299999999998</v>
      </c>
      <c r="AS81">
        <f>IF(ISNUMBER(VLOOKUP($A81,Haver_M!$B$1:$BZ$300,MATCH(data!AS$1,Haver_M!$B$1:$BZ$1,0),FALSE)),VLOOKUP($A81,Haver_M!$B$1:$BZ$300,MATCH(data!AS$1,Haver_M!$B$1:$BZ$1,0),FALSE),"")</f>
        <v>61.270899999999997</v>
      </c>
      <c r="AT81">
        <f>IF(ISNUMBER(VLOOKUP($A81,Haver_M!$B$1:$BZ$300,MATCH(data!AT$1,Haver_M!$B$1:$BZ$1,0),FALSE)),VLOOKUP($A81,Haver_M!$B$1:$BZ$300,MATCH(data!AT$1,Haver_M!$B$1:$BZ$1,0),FALSE),"")</f>
        <v>61.866700000000002</v>
      </c>
      <c r="AU81">
        <f>IF(ISNUMBER(VLOOKUP($A81,Haver_M!$B$1:$BZ$300,MATCH(data!AU$1,Haver_M!$B$1:$BZ$1,0),FALSE)),VLOOKUP($A81,Haver_M!$B$1:$BZ$300,MATCH(data!AU$1,Haver_M!$B$1:$BZ$1,0),FALSE),"")</f>
        <v>63.066699999999997</v>
      </c>
      <c r="AV81">
        <f>IF(ISNUMBER(VLOOKUP($A81,Haver_M!$B$1:$BZ$300,MATCH(data!AV$1,Haver_M!$B$1:$BZ$1,0),FALSE)),VLOOKUP($A81,Haver_M!$B$1:$BZ$300,MATCH(data!AV$1,Haver_M!$B$1:$BZ$1,0),FALSE),"")</f>
        <v>51.866700000000002</v>
      </c>
      <c r="AW81">
        <f>IF(ISNUMBER(VLOOKUP($A81,Haver_M!$B$1:$BZ$300,MATCH(data!AW$1,Haver_M!$B$1:$BZ$1,0),FALSE)),VLOOKUP($A81,Haver_M!$B$1:$BZ$300,MATCH(data!AW$1,Haver_M!$B$1:$BZ$1,0),FALSE),"")</f>
        <v>49.1935</v>
      </c>
      <c r="AX81">
        <f>IF(ISNUMBER(VLOOKUP($A81,Haver_M!$B$1:$BZ$300,MATCH(data!AX$1,Haver_M!$B$1:$BZ$1,0),FALSE)),VLOOKUP($A81,Haver_M!$B$1:$BZ$300,MATCH(data!AX$1,Haver_M!$B$1:$BZ$1,0),FALSE),"")</f>
        <v>54.933300000000003</v>
      </c>
      <c r="AY81">
        <f>IF(ISNUMBER(VLOOKUP($A81,Haver_M!$B$1:$BZ$300,MATCH(data!AY$1,Haver_M!$B$1:$BZ$1,0),FALSE)),VLOOKUP($A81,Haver_M!$B$1:$BZ$300,MATCH(data!AY$1,Haver_M!$B$1:$BZ$1,0),FALSE),"")</f>
        <v>60.381</v>
      </c>
      <c r="AZ81">
        <f>IF(ISNUMBER(VLOOKUP($A81,Haver_M!$B$1:$BZ$300,MATCH(data!AZ$1,Haver_M!$B$1:$BZ$1,0),FALSE)),VLOOKUP($A81,Haver_M!$B$1:$BZ$300,MATCH(data!AZ$1,Haver_M!$B$1:$BZ$1,0),FALSE),"")</f>
        <v>59.651499999999999</v>
      </c>
      <c r="BA81">
        <f>IF(ISNUMBER(VLOOKUP($A81,Haver_M!$B$1:$BZ$300,MATCH(data!BA$1,Haver_M!$B$1:$BZ$1,0),FALSE)),VLOOKUP($A81,Haver_M!$B$1:$BZ$300,MATCH(data!BA$1,Haver_M!$B$1:$BZ$1,0),FALSE),"")</f>
        <v>54.933300000000003</v>
      </c>
      <c r="BB81">
        <f>IF(ISNUMBER(VLOOKUP($A81,Haver_M!$B$1:$BZ$300,MATCH(data!BB$1,Haver_M!$B$1:$BZ$1,0),FALSE)),VLOOKUP($A81,Haver_M!$B$1:$BZ$300,MATCH(data!BB$1,Haver_M!$B$1:$BZ$1,0),FALSE),"")</f>
        <v>57.818899999999999</v>
      </c>
      <c r="BC81">
        <f>IF(ISNUMBER(VLOOKUP($A81,Haver_M!$B$1:$BZ$300,MATCH(data!BC$1,Haver_M!$B$1:$BZ$1,0),FALSE)),VLOOKUP($A81,Haver_M!$B$1:$BZ$300,MATCH(data!BC$1,Haver_M!$B$1:$BZ$1,0),FALSE),"")</f>
        <v>55.882399999999997</v>
      </c>
      <c r="BD81">
        <f>IF(ISNUMBER(VLOOKUP($A81,Haver_M!$B$1:$BZ$300,MATCH(data!BD$1,Haver_M!$B$1:$BZ$1,0),FALSE)),VLOOKUP($A81,Haver_M!$B$1:$BZ$300,MATCH(data!BD$1,Haver_M!$B$1:$BZ$1,0),FALSE),"")</f>
        <v>52.057000000000002</v>
      </c>
      <c r="BE81">
        <f>IF(ISNUMBER(VLOOKUP($A81,Haver_M!$B$1:$BZ$300,MATCH(data!BE$1,Haver_M!$B$1:$BZ$1,0),FALSE)),VLOOKUP($A81,Haver_M!$B$1:$BZ$300,MATCH(data!BE$1,Haver_M!$B$1:$BZ$1,0),FALSE),"")</f>
        <v>1.2652000000000001</v>
      </c>
      <c r="BF81">
        <f>IF(ISNUMBER(VLOOKUP($A81,Haver_M!$B$1:$BZ$300,MATCH(data!BF$1,Haver_M!$B$1:$BZ$1,0),FALSE)),VLOOKUP($A81,Haver_M!$B$1:$BZ$300,MATCH(data!BF$1,Haver_M!$B$1:$BZ$1,0),FALSE),"")</f>
        <v>53.989199999999997</v>
      </c>
      <c r="BG81">
        <f>IF(ISNUMBER(VLOOKUP($A81,Haver_M!$B$1:$BZ$300,MATCH(data!BG$1,Haver_M!$B$1:$BZ$1,0),FALSE)),VLOOKUP($A81,Haver_M!$B$1:$BZ$300,MATCH(data!BG$1,Haver_M!$B$1:$BZ$1,0),FALSE),"")</f>
        <v>51.088500000000003</v>
      </c>
      <c r="BH81">
        <f>IF(ISNUMBER(VLOOKUP($A81,Haver_M!$B$1:$BZ$300,MATCH(data!BH$1,Haver_M!$B$1:$BZ$1,0),FALSE)),VLOOKUP($A81,Haver_M!$B$1:$BZ$300,MATCH(data!BH$1,Haver_M!$B$1:$BZ$1,0),FALSE),"")</f>
        <v>59.753500000000003</v>
      </c>
      <c r="BI81">
        <f>IF(ISNUMBER(VLOOKUP($A81,Haver_M!$B$1:$BZ$300,MATCH(data!BI$1,Haver_M!$B$1:$BZ$1,0),FALSE)),VLOOKUP($A81,Haver_M!$B$1:$BZ$300,MATCH(data!BI$1,Haver_M!$B$1:$BZ$1,0),FALSE),"")</f>
        <v>53.8491</v>
      </c>
      <c r="BJ81" t="str">
        <f>IF(ISNUMBER(VLOOKUP($A81,Haver_M!$B$1:$BZ$300,MATCH(data!BJ$1,Haver_M!$B$1:$BZ$1,0),FALSE)),VLOOKUP($A81,Haver_M!$B$1:$BZ$300,MATCH(data!BJ$1,Haver_M!$B$1:$BZ$1,0),FALSE),"")</f>
        <v/>
      </c>
      <c r="BK81">
        <f>IF(ISNUMBER(VLOOKUP($A81,Haver_M!$B$1:$BZ$300,MATCH(data!BK$1,Haver_M!$B$1:$BZ$1,0),FALSE)),VLOOKUP($A81,Haver_M!$B$1:$BZ$300,MATCH(data!BK$1,Haver_M!$B$1:$BZ$1,0),FALSE),"")</f>
        <v>49.656100000000002</v>
      </c>
      <c r="BL81">
        <f>IF(ISNUMBER(VLOOKUP($A81,Haver_M!$B$1:$BZ$300,MATCH(data!BL$1,Haver_M!$B$1:$BZ$1,0),FALSE)),VLOOKUP($A81,Haver_M!$B$1:$BZ$300,MATCH(data!BL$1,Haver_M!$B$1:$BZ$1,0),FALSE),"")</f>
        <v>11305.04</v>
      </c>
      <c r="BM81">
        <f>IF(ISNUMBER(VLOOKUP($A81,Haver_M!$B$1:$BZ$300,MATCH(data!BM$1,Haver_M!$B$1:$BZ$1,0),FALSE)),VLOOKUP($A81,Haver_M!$B$1:$BZ$300,MATCH(data!BM$1,Haver_M!$B$1:$BZ$1,0),FALSE),"")</f>
        <v>106.19775165999999</v>
      </c>
      <c r="BN81" t="str">
        <f>IF(ISNUMBER(VLOOKUP($A81,Haver_M!$B$1:$BZ$300,MATCH(data!BN$1,Haver_M!$B$1:$BZ$1,0),FALSE)),VLOOKUP($A81,Haver_M!$B$1:$BZ$300,MATCH(data!BN$1,Haver_M!$B$1:$BZ$1,0),FALSE),"")</f>
        <v/>
      </c>
      <c r="BO81" t="str">
        <f>IF(ISNUMBER(VLOOKUP($A81,Haver_M!$B$1:$BZ$300,MATCH(data!BO$1,Haver_M!$B$1:$BZ$1,0),FALSE)),VLOOKUP($A81,Haver_M!$B$1:$BZ$300,MATCH(data!BO$1,Haver_M!$B$1:$BZ$1,0),FALSE),"")</f>
        <v/>
      </c>
      <c r="BP81" t="str">
        <f>IF(ISNUMBER(VLOOKUP($A81,Haver_M!$B$1:$BZ$300,MATCH(data!BP$1,Haver_M!$B$1:$BZ$1,0),FALSE)),VLOOKUP($A81,Haver_M!$B$1:$BZ$300,MATCH(data!BP$1,Haver_M!$B$1:$BZ$1,0),FALSE),"")</f>
        <v/>
      </c>
      <c r="BQ81" t="str">
        <f>IF(ISNUMBER(VLOOKUP($A81,Haver_M!$B$1:$BZ$300,MATCH(data!BQ$1,Haver_M!$B$1:$BZ$1,0),FALSE)),VLOOKUP($A81,Haver_M!$B$1:$BZ$300,MATCH(data!BQ$1,Haver_M!$B$1:$BZ$1,0),FALSE),"")</f>
        <v/>
      </c>
      <c r="BR81" t="str">
        <f>IF(ISNUMBER(VLOOKUP($A81,Haver_M!$B$1:$BZ$300,MATCH(data!BR$1,Haver_M!$B$1:$BZ$1,0),FALSE)),VLOOKUP($A81,Haver_M!$B$1:$BZ$300,MATCH(data!BR$1,Haver_M!$B$1:$BZ$1,0),FALSE),"")</f>
        <v/>
      </c>
      <c r="BS81" t="str">
        <f>IF(ISNUMBER(VLOOKUP($A81,Haver_M!$B$1:$BZ$300,MATCH(data!BS$1,Haver_M!$B$1:$BZ$1,0),FALSE)),VLOOKUP($A81,Haver_M!$B$1:$BZ$300,MATCH(data!BS$1,Haver_M!$B$1:$BZ$1,0),FALSE),"")</f>
        <v/>
      </c>
      <c r="BT81" t="str">
        <f>IF(ISNUMBER(VLOOKUP($A81,Haver_M!$B$1:$BZ$300,MATCH(data!BT$1,Haver_M!$B$1:$BZ$1,0),FALSE)),VLOOKUP($A81,Haver_M!$B$1:$BZ$300,MATCH(data!BT$1,Haver_M!$B$1:$BZ$1,0),FALSE),"")</f>
        <v/>
      </c>
      <c r="BU81">
        <f>IF(ISNUMBER(VLOOKUP($A81,Haver_M!$B$1:$BZ$300,MATCH(data!BU$1,Haver_M!$B$1:$BZ$1,0),FALSE)),VLOOKUP($A81,Haver_M!$B$1:$BZ$300,MATCH(data!BU$1,Haver_M!$B$1:$BZ$1,0),FALSE),"")</f>
        <v>10769.5</v>
      </c>
      <c r="BV81">
        <f>IF(ISNUMBER(VLOOKUP($A81,Haver_M!$B$1:$BZ$300,MATCH(data!BV$1,Haver_M!$B$1:$BZ$1,0),FALSE)),VLOOKUP($A81,Haver_M!$B$1:$BZ$300,MATCH(data!BV$1,Haver_M!$B$1:$BZ$1,0),FALSE),"")</f>
        <v>15326.7</v>
      </c>
      <c r="BW81">
        <f>IF(ISNUMBER(VLOOKUP($A81,Haver_M!$B$1:$BZ$300,MATCH(data!BW$1,Haver_M!$B$1:$BZ$1,0),FALSE)),VLOOKUP($A81,Haver_M!$B$1:$BZ$300,MATCH(data!BW$1,Haver_M!$B$1:$BZ$1,0),FALSE),"")</f>
        <v>46.539099999999998</v>
      </c>
      <c r="BX81">
        <f>IF(ISNUMBER(VLOOKUP($A81,Haver_M!$B$1:$BZ$300,MATCH(data!BX$1,Haver_M!$B$1:$BZ$1,0),FALSE)),VLOOKUP($A81,Haver_M!$B$1:$BZ$300,MATCH(data!BX$1,Haver_M!$B$1:$BZ$1,0),FALSE),"")</f>
        <v>15481</v>
      </c>
    </row>
    <row r="82" spans="1:76" x14ac:dyDescent="0.25">
      <c r="A82" s="2">
        <v>38990</v>
      </c>
      <c r="B82">
        <f>IF(ISNUMBER(VLOOKUP($A82,Haver_Q!$B$1:$L$185,MATCH(data!B$1,Haver_Q!$B$1:$L$1,0),FALSE)),100*(VLOOKUP($A82,Haver_Q!$B$1:$L$185,MATCH(data!B$1,Haver_Q!$B$1:$L$1,0),FALSE)),"")</f>
        <v>14.544739007724882</v>
      </c>
      <c r="C82">
        <f>IF(ISNUMBER(VLOOKUP($A82,Haver_Q!$B$1:$L$185,MATCH(data!C$1,Haver_Q!$B$1:$L$1,0),FALSE)),100*(VLOOKUP($A82,Haver_Q!$B$1:$L$185,MATCH(data!C$1,Haver_Q!$B$1:$L$1,0),FALSE)),"")</f>
        <v>16.487547495613477</v>
      </c>
      <c r="D82">
        <f>IF(ISNUMBER(VLOOKUP($A82,Haver_Q!$B$1:$L$185,MATCH(data!D$1,Haver_Q!$B$1:$L$1,0),FALSE)),100*(VLOOKUP($A82,Haver_Q!$B$1:$L$185,MATCH(data!D$1,Haver_Q!$B$1:$L$1,0),FALSE)),"")</f>
        <v>-61.436986843342645</v>
      </c>
      <c r="E82">
        <f>IF(ISNUMBER(VLOOKUP($A82,Haver_Q!$B$1:$L$185,MATCH(data!E$1,Haver_Q!$B$1:$L$1,0),FALSE)),100*(VLOOKUP($A82,Haver_Q!$B$1:$L$185,MATCH(data!E$1,Haver_Q!$B$1:$L$1,0),FALSE)),"")</f>
        <v>9.930863490260645</v>
      </c>
      <c r="F82">
        <f>IF(ISNUMBER(VLOOKUP($A82,Haver_Q!$B$1:$L$185,MATCH(data!F$1,Haver_Q!$B$1:$L$1,0),FALSE)),100*(VLOOKUP($A82,Haver_Q!$B$1:$L$185,MATCH(data!F$1,Haver_Q!$B$1:$L$1,0),FALSE)),"")</f>
        <v>32.570863671812901</v>
      </c>
      <c r="G82">
        <f>IF(ISNUMBER(VLOOKUP($A82,Haver_Q!$B$1:$L$185,MATCH(data!G$1,Haver_Q!$B$1:$L$1,0),FALSE)),100*(VLOOKUP($A82,Haver_Q!$B$1:$L$185,MATCH(data!G$1,Haver_Q!$B$1:$L$1,0),FALSE)),"")</f>
        <v>19.822064110560646</v>
      </c>
      <c r="H82">
        <f>IF(ISNUMBER(VLOOKUP($A82,Haver_Q!$B$1:$L$185,MATCH(data!H$1,Haver_Q!$B$1:$L$1,0),FALSE)),(VLOOKUP($A82,Haver_Q!$B$1:$L$185,MATCH(data!H$1,Haver_Q!$B$1:$L$1,0),FALSE)),"")</f>
        <v>4.2690384444887473</v>
      </c>
      <c r="I82">
        <f>IF(ISNUMBER(VLOOKUP($A82,Haver_Q!$B$1:$L$185,MATCH(data!I$1,Haver_Q!$B$1:$L$1,0),FALSE)),100*(VLOOKUP($A82,Haver_Q!$B$1:$L$185,MATCH(data!I$1,Haver_Q!$B$1:$L$1,0),FALSE)),"")</f>
        <v>10.238845022534559</v>
      </c>
      <c r="J82" s="3">
        <f>IF(ISNUMBER(Bloomberg_m!C98),Bloomberg_m!C98,"")</f>
        <v>4039</v>
      </c>
      <c r="K82" s="3" t="str">
        <f>IF(ISNUMBER(Bloomberg_m!D98),Bloomberg_m!D98,"")</f>
        <v/>
      </c>
      <c r="L82" s="3" t="str">
        <f>IF(ISNUMBER(Bloomberg_m!E98),Bloomberg_m!E98,"")</f>
        <v/>
      </c>
      <c r="M82" s="3" t="str">
        <f>IF(ISNUMBER(Bloomberg_m!F98),Bloomberg_m!F98,"")</f>
        <v/>
      </c>
      <c r="N82">
        <f>IF(ISNUMBER(VLOOKUP($A82,Haver_M!$B$1:$BZ$300,MATCH(data!N$1,Haver_M!$B$1:$BZ$1,0),FALSE)),VLOOKUP($A82,Haver_M!$B$1:$BZ$300,MATCH(data!N$1,Haver_M!$B$1:$BZ$1,0),FALSE),"")</f>
        <v>7</v>
      </c>
      <c r="O82">
        <f>IF(ISNUMBER(VLOOKUP($A82,Haver_M!$B$1:$BZ$300,MATCH(data!O$1,Haver_M!$B$1:$BZ$1,0),FALSE)),VLOOKUP($A82,Haver_M!$B$1:$BZ$300,MATCH(data!O$1,Haver_M!$B$1:$BZ$1,0),FALSE),"")</f>
        <v>7.6776</v>
      </c>
      <c r="P82">
        <f>IF(ISNUMBER(VLOOKUP($A82,Haver_M!$B$1:$BZ$300,MATCH(data!P$1,Haver_M!$B$1:$BZ$1,0),FALSE)),VLOOKUP($A82,Haver_M!$B$1:$BZ$300,MATCH(data!P$1,Haver_M!$B$1:$BZ$1,0),FALSE),"")</f>
        <v>92.510130000000004</v>
      </c>
      <c r="Q82">
        <f>IF(ISNUMBER(VLOOKUP($A82,Haver_M!$B$1:$BZ$300,MATCH(data!Q$1,Haver_M!$B$1:$BZ$1,0),FALSE)),VLOOKUP($A82,Haver_M!$B$1:$BZ$300,MATCH(data!Q$1,Haver_M!$B$1:$BZ$1,0),FALSE),"")</f>
        <v>61.9</v>
      </c>
      <c r="R82" t="str">
        <f>IF(ISNUMBER(VLOOKUP($A82,Haver_M!$B$1:$BZ$300,MATCH(data!R$1,Haver_M!$B$1:$BZ$1,0),FALSE)),VLOOKUP($A82,Haver_M!$B$1:$BZ$300,MATCH(data!R$1,Haver_M!$B$1:$BZ$1,0),FALSE),"")</f>
        <v/>
      </c>
      <c r="S82">
        <f>IF(ISNUMBER(VLOOKUP($A82,Haver_M!$B$1:$BZ$300,MATCH(data!S$1,Haver_M!$B$1:$BZ$1,0),FALSE)),VLOOKUP($A82,Haver_M!$B$1:$BZ$300,MATCH(data!S$1,Haver_M!$B$1:$BZ$1,0),FALSE),"")</f>
        <v>72.650000000000006</v>
      </c>
      <c r="T82">
        <f>IF(ISNUMBER(VLOOKUP($A82,Haver_M!$B$1:$BZ$300,MATCH(data!T$1,Haver_M!$B$1:$BZ$1,0),FALSE)),VLOOKUP($A82,Haver_M!$B$1:$BZ$300,MATCH(data!T$1,Haver_M!$B$1:$BZ$1,0),FALSE),"")</f>
        <v>76.23</v>
      </c>
      <c r="U82">
        <f>IF(ISNUMBER(VLOOKUP($A82,Haver_M!$B$1:$BZ$300,MATCH(data!U$1,Haver_M!$B$1:$BZ$1,0),FALSE)),VLOOKUP($A82,Haver_M!$B$1:$BZ$300,MATCH(data!U$1,Haver_M!$B$1:$BZ$1,0),FALSE),"")</f>
        <v>60.51</v>
      </c>
      <c r="V82">
        <f>IF(ISNUMBER(VLOOKUP($A82,Haver_M!$B$1:$BZ$300,MATCH(data!V$1,Haver_M!$B$1:$BZ$1,0),FALSE)),VLOOKUP($A82,Haver_M!$B$1:$BZ$300,MATCH(data!V$1,Haver_M!$B$1:$BZ$1,0),FALSE),"")</f>
        <v>87.33</v>
      </c>
      <c r="W82" t="str">
        <f>IF(ISNUMBER(VLOOKUP($A82,Haver_M!$B$1:$BZ$300,MATCH(data!W$1,Haver_M!$B$1:$BZ$1,0),FALSE)),VLOOKUP($A82,Haver_M!$B$1:$BZ$300,MATCH(data!W$1,Haver_M!$B$1:$BZ$1,0),FALSE),"")</f>
        <v/>
      </c>
      <c r="X82">
        <f>IF(ISNUMBER(VLOOKUP($A82,Haver_M!$B$1:$BZ$300,MATCH(data!X$1,Haver_M!$B$1:$BZ$1,0),FALSE)),VLOOKUP($A82,Haver_M!$B$1:$BZ$300,MATCH(data!X$1,Haver_M!$B$1:$BZ$1,0),FALSE),"")</f>
        <v>46.61</v>
      </c>
      <c r="Y82">
        <f>IF(ISNUMBER(VLOOKUP($A82,Haver_M!$B$1:$BZ$300,MATCH(data!Y$1,Haver_M!$B$1:$BZ$1,0),FALSE)),VLOOKUP($A82,Haver_M!$B$1:$BZ$300,MATCH(data!Y$1,Haver_M!$B$1:$BZ$1,0),FALSE),"")</f>
        <v>83.43</v>
      </c>
      <c r="Z82">
        <f>IF(ISNUMBER(VLOOKUP($A82,Haver_M!$B$1:$BZ$300,MATCH(data!Z$1,Haver_M!$B$1:$BZ$1,0),FALSE)),VLOOKUP($A82,Haver_M!$B$1:$BZ$300,MATCH(data!Z$1,Haver_M!$B$1:$BZ$1,0),FALSE),"")</f>
        <v>77.8</v>
      </c>
      <c r="AA82">
        <f>IF(ISNUMBER(VLOOKUP($A82,Haver_M!$B$1:$BZ$300,MATCH(data!AA$1,Haver_M!$B$1:$BZ$1,0),FALSE)),VLOOKUP($A82,Haver_M!$B$1:$BZ$300,MATCH(data!AA$1,Haver_M!$B$1:$BZ$1,0),FALSE),"")</f>
        <v>77.683999999999997</v>
      </c>
      <c r="AB82">
        <f>IF(ISNUMBER(VLOOKUP($A82,Haver_M!$B$1:$BZ$300,MATCH(data!AB$1,Haver_M!$B$1:$BZ$1,0),FALSE)),VLOOKUP($A82,Haver_M!$B$1:$BZ$300,MATCH(data!AB$1,Haver_M!$B$1:$BZ$1,0),FALSE),"")</f>
        <v>90.192999999999998</v>
      </c>
      <c r="AC82">
        <f>IF(ISNUMBER(VLOOKUP($A82,Haver_M!$B$1:$BZ$300,MATCH(data!AC$1,Haver_M!$B$1:$BZ$1,0),FALSE)),VLOOKUP($A82,Haver_M!$B$1:$BZ$300,MATCH(data!AC$1,Haver_M!$B$1:$BZ$1,0),FALSE),"")</f>
        <v>66.332999999999998</v>
      </c>
      <c r="AD82">
        <f>IF(ISNUMBER(VLOOKUP($A82,Haver_M!$B$1:$BZ$300,MATCH(data!AD$1,Haver_M!$B$1:$BZ$1,0),FALSE)),VLOOKUP($A82,Haver_M!$B$1:$BZ$300,MATCH(data!AD$1,Haver_M!$B$1:$BZ$1,0),FALSE),"")</f>
        <v>87.069000000000003</v>
      </c>
      <c r="AE82">
        <f>IF(ISNUMBER(VLOOKUP($A82,Haver_M!$B$1:$BZ$300,MATCH(data!AE$1,Haver_M!$B$1:$BZ$1,0),FALSE)),VLOOKUP($A82,Haver_M!$B$1:$BZ$300,MATCH(data!AE$1,Haver_M!$B$1:$BZ$1,0),FALSE),"")</f>
        <v>100.395</v>
      </c>
      <c r="AF82">
        <f>IF(ISNUMBER(VLOOKUP($A82,Haver_M!$B$1:$BZ$300,MATCH(data!AF$1,Haver_M!$B$1:$BZ$1,0),FALSE)),VLOOKUP($A82,Haver_M!$B$1:$BZ$300,MATCH(data!AF$1,Haver_M!$B$1:$BZ$1,0),FALSE),"")</f>
        <v>67.465000000000003</v>
      </c>
      <c r="AG82">
        <f>IF(ISNUMBER(VLOOKUP($A82,Haver_M!$B$1:$BZ$300,MATCH(data!AG$1,Haver_M!$B$1:$BZ$1,0),FALSE)),VLOOKUP($A82,Haver_M!$B$1:$BZ$300,MATCH(data!AG$1,Haver_M!$B$1:$BZ$1,0),FALSE),"")</f>
        <v>71.653000000000006</v>
      </c>
      <c r="AH82">
        <f>IF(ISNUMBER(VLOOKUP($A82,Haver_M!$B$1:$BZ$300,MATCH(data!AH$1,Haver_M!$B$1:$BZ$1,0),FALSE)),VLOOKUP($A82,Haver_M!$B$1:$BZ$300,MATCH(data!AH$1,Haver_M!$B$1:$BZ$1,0),FALSE),"")</f>
        <v>76.052999999999997</v>
      </c>
      <c r="AI82">
        <f>IF(ISNUMBER(VLOOKUP($A82,Haver_M!$B$1:$BZ$300,MATCH(data!AI$1,Haver_M!$B$1:$BZ$1,0),FALSE)),VLOOKUP($A82,Haver_M!$B$1:$BZ$300,MATCH(data!AI$1,Haver_M!$B$1:$BZ$1,0),FALSE),"")</f>
        <v>10124.540242434976</v>
      </c>
      <c r="AJ82">
        <f>IF(ISNUMBER(VLOOKUP($A82,Haver_M!$B$1:$BZ$300,MATCH(data!AJ$1,Haver_M!$B$1:$BZ$1,0),FALSE)),VLOOKUP($A82,Haver_M!$B$1:$BZ$300,MATCH(data!AJ$1,Haver_M!$B$1:$BZ$1,0),FALSE),"")</f>
        <v>10773.06</v>
      </c>
      <c r="AK82">
        <f>IF(ISNUMBER(VLOOKUP($A82,Haver_M!$B$1:$BZ$300,MATCH(data!AK$1,Haver_M!$B$1:$BZ$1,0),FALSE)),VLOOKUP($A82,Haver_M!$B$1:$BZ$300,MATCH(data!AK$1,Haver_M!$B$1:$BZ$1,0),FALSE),"")</f>
        <v>16143.56</v>
      </c>
      <c r="AL82" t="str">
        <f>IF(ISNUMBER(VLOOKUP($A82,Haver_M!$B$1:$BZ$300,MATCH(data!AL$1,Haver_M!$B$1:$BZ$1,0),FALSE)),VLOOKUP($A82,Haver_M!$B$1:$BZ$300,MATCH(data!AL$1,Haver_M!$B$1:$BZ$1,0),FALSE),"")</f>
        <v/>
      </c>
      <c r="AM82" t="str">
        <f>IF(ISNUMBER(VLOOKUP($A82,Haver_M!$B$1:$BZ$300,MATCH(data!AM$1,Haver_M!$B$1:$BZ$1,0),FALSE)),VLOOKUP($A82,Haver_M!$B$1:$BZ$300,MATCH(data!AM$1,Haver_M!$B$1:$BZ$1,0),FALSE),"")</f>
        <v/>
      </c>
      <c r="AN82" t="str">
        <f>IF(ISNUMBER(VLOOKUP($A82,Haver_M!$B$1:$BZ$300,MATCH(data!AN$1,Haver_M!$B$1:$BZ$1,0),FALSE)),VLOOKUP($A82,Haver_M!$B$1:$BZ$300,MATCH(data!AN$1,Haver_M!$B$1:$BZ$1,0),FALSE),"")</f>
        <v/>
      </c>
      <c r="AO82" t="str">
        <f>IF(ISNUMBER(VLOOKUP($A82,Haver_M!$B$1:$BZ$300,MATCH(data!AO$1,Haver_M!$B$1:$BZ$1,0),FALSE)),VLOOKUP($A82,Haver_M!$B$1:$BZ$300,MATCH(data!AO$1,Haver_M!$B$1:$BZ$1,0),FALSE),"")</f>
        <v/>
      </c>
      <c r="AP82">
        <f>IF(ISNUMBER(VLOOKUP($A82,Haver_M!$B$1:$BZ$300,MATCH(data!AP$1,Haver_M!$B$1:$BZ$1,0),FALSE)),VLOOKUP($A82,Haver_M!$B$1:$BZ$300,MATCH(data!AP$1,Haver_M!$B$1:$BZ$1,0),FALSE),"")</f>
        <v>49.955156608147782</v>
      </c>
      <c r="AQ82">
        <f>IF(ISNUMBER(VLOOKUP($A82,Haver_M!$B$1:$BZ$300,MATCH(data!AQ$1,Haver_M!$B$1:$BZ$1,0),FALSE)),VLOOKUP($A82,Haver_M!$B$1:$BZ$300,MATCH(data!AQ$1,Haver_M!$B$1:$BZ$1,0),FALSE),"")</f>
        <v>63.611199999999997</v>
      </c>
      <c r="AR82">
        <f>IF(ISNUMBER(VLOOKUP($A82,Haver_M!$B$1:$BZ$300,MATCH(data!AR$1,Haver_M!$B$1:$BZ$1,0),FALSE)),VLOOKUP($A82,Haver_M!$B$1:$BZ$300,MATCH(data!AR$1,Haver_M!$B$1:$BZ$1,0),FALSE),"")</f>
        <v>59.001800000000003</v>
      </c>
      <c r="AS82">
        <f>IF(ISNUMBER(VLOOKUP($A82,Haver_M!$B$1:$BZ$300,MATCH(data!AS$1,Haver_M!$B$1:$BZ$1,0),FALSE)),VLOOKUP($A82,Haver_M!$B$1:$BZ$300,MATCH(data!AS$1,Haver_M!$B$1:$BZ$1,0),FALSE),"")</f>
        <v>63.516500000000001</v>
      </c>
      <c r="AT82">
        <f>IF(ISNUMBER(VLOOKUP($A82,Haver_M!$B$1:$BZ$300,MATCH(data!AT$1,Haver_M!$B$1:$BZ$1,0),FALSE)),VLOOKUP($A82,Haver_M!$B$1:$BZ$300,MATCH(data!AT$1,Haver_M!$B$1:$BZ$1,0),FALSE),"")</f>
        <v>63.824300000000001</v>
      </c>
      <c r="AU82">
        <f>IF(ISNUMBER(VLOOKUP($A82,Haver_M!$B$1:$BZ$300,MATCH(data!AU$1,Haver_M!$B$1:$BZ$1,0),FALSE)),VLOOKUP($A82,Haver_M!$B$1:$BZ$300,MATCH(data!AU$1,Haver_M!$B$1:$BZ$1,0),FALSE),"")</f>
        <v>65.165099999999995</v>
      </c>
      <c r="AV82">
        <f>IF(ISNUMBER(VLOOKUP($A82,Haver_M!$B$1:$BZ$300,MATCH(data!AV$1,Haver_M!$B$1:$BZ$1,0),FALSE)),VLOOKUP($A82,Haver_M!$B$1:$BZ$300,MATCH(data!AV$1,Haver_M!$B$1:$BZ$1,0),FALSE),"")</f>
        <v>51.799500000000002</v>
      </c>
      <c r="AW82">
        <f>IF(ISNUMBER(VLOOKUP($A82,Haver_M!$B$1:$BZ$300,MATCH(data!AW$1,Haver_M!$B$1:$BZ$1,0),FALSE)),VLOOKUP($A82,Haver_M!$B$1:$BZ$300,MATCH(data!AW$1,Haver_M!$B$1:$BZ$1,0),FALSE),"")</f>
        <v>49.100299999999997</v>
      </c>
      <c r="AX82">
        <f>IF(ISNUMBER(VLOOKUP($A82,Haver_M!$B$1:$BZ$300,MATCH(data!AX$1,Haver_M!$B$1:$BZ$1,0),FALSE)),VLOOKUP($A82,Haver_M!$B$1:$BZ$300,MATCH(data!AX$1,Haver_M!$B$1:$BZ$1,0),FALSE),"")</f>
        <v>55.012900000000002</v>
      </c>
      <c r="AY82">
        <f>IF(ISNUMBER(VLOOKUP($A82,Haver_M!$B$1:$BZ$300,MATCH(data!AY$1,Haver_M!$B$1:$BZ$1,0),FALSE)),VLOOKUP($A82,Haver_M!$B$1:$BZ$300,MATCH(data!AY$1,Haver_M!$B$1:$BZ$1,0),FALSE),"")</f>
        <v>61.182499999999997</v>
      </c>
      <c r="AZ82">
        <f>IF(ISNUMBER(VLOOKUP($A82,Haver_M!$B$1:$BZ$300,MATCH(data!AZ$1,Haver_M!$B$1:$BZ$1,0),FALSE)),VLOOKUP($A82,Haver_M!$B$1:$BZ$300,MATCH(data!AZ$1,Haver_M!$B$1:$BZ$1,0),FALSE),"")</f>
        <v>61.920099999999998</v>
      </c>
      <c r="BA82">
        <f>IF(ISNUMBER(VLOOKUP($A82,Haver_M!$B$1:$BZ$300,MATCH(data!BA$1,Haver_M!$B$1:$BZ$1,0),FALSE)),VLOOKUP($A82,Haver_M!$B$1:$BZ$300,MATCH(data!BA$1,Haver_M!$B$1:$BZ$1,0),FALSE),"")</f>
        <v>55.012900000000002</v>
      </c>
      <c r="BB82">
        <f>IF(ISNUMBER(VLOOKUP($A82,Haver_M!$B$1:$BZ$300,MATCH(data!BB$1,Haver_M!$B$1:$BZ$1,0),FALSE)),VLOOKUP($A82,Haver_M!$B$1:$BZ$300,MATCH(data!BB$1,Haver_M!$B$1:$BZ$1,0),FALSE),"")</f>
        <v>57.657699999999998</v>
      </c>
      <c r="BC82">
        <f>IF(ISNUMBER(VLOOKUP($A82,Haver_M!$B$1:$BZ$300,MATCH(data!BC$1,Haver_M!$B$1:$BZ$1,0),FALSE)),VLOOKUP($A82,Haver_M!$B$1:$BZ$300,MATCH(data!BC$1,Haver_M!$B$1:$BZ$1,0),FALSE),"")</f>
        <v>54.498699999999999</v>
      </c>
      <c r="BD82">
        <f>IF(ISNUMBER(VLOOKUP($A82,Haver_M!$B$1:$BZ$300,MATCH(data!BD$1,Haver_M!$B$1:$BZ$1,0),FALSE)),VLOOKUP($A82,Haver_M!$B$1:$BZ$300,MATCH(data!BD$1,Haver_M!$B$1:$BZ$1,0),FALSE),"")</f>
        <v>52.048499999999997</v>
      </c>
      <c r="BE82">
        <f>IF(ISNUMBER(VLOOKUP($A82,Haver_M!$B$1:$BZ$300,MATCH(data!BE$1,Haver_M!$B$1:$BZ$1,0),FALSE)),VLOOKUP($A82,Haver_M!$B$1:$BZ$300,MATCH(data!BE$1,Haver_M!$B$1:$BZ$1,0),FALSE),"")</f>
        <v>1.2706</v>
      </c>
      <c r="BF82">
        <f>IF(ISNUMBER(VLOOKUP($A82,Haver_M!$B$1:$BZ$300,MATCH(data!BF$1,Haver_M!$B$1:$BZ$1,0),FALSE)),VLOOKUP($A82,Haver_M!$B$1:$BZ$300,MATCH(data!BF$1,Haver_M!$B$1:$BZ$1,0),FALSE),"")</f>
        <v>54.4985</v>
      </c>
      <c r="BG82">
        <f>IF(ISNUMBER(VLOOKUP($A82,Haver_M!$B$1:$BZ$300,MATCH(data!BG$1,Haver_M!$B$1:$BZ$1,0),FALSE)),VLOOKUP($A82,Haver_M!$B$1:$BZ$300,MATCH(data!BG$1,Haver_M!$B$1:$BZ$1,0),FALSE),"")</f>
        <v>51.266500000000001</v>
      </c>
      <c r="BH82">
        <f>IF(ISNUMBER(VLOOKUP($A82,Haver_M!$B$1:$BZ$300,MATCH(data!BH$1,Haver_M!$B$1:$BZ$1,0),FALSE)),VLOOKUP($A82,Haver_M!$B$1:$BZ$300,MATCH(data!BH$1,Haver_M!$B$1:$BZ$1,0),FALSE),"")</f>
        <v>61.067</v>
      </c>
      <c r="BI82">
        <f>IF(ISNUMBER(VLOOKUP($A82,Haver_M!$B$1:$BZ$300,MATCH(data!BI$1,Haver_M!$B$1:$BZ$1,0),FALSE)),VLOOKUP($A82,Haver_M!$B$1:$BZ$300,MATCH(data!BI$1,Haver_M!$B$1:$BZ$1,0),FALSE),"")</f>
        <v>54.2089</v>
      </c>
      <c r="BJ82" t="str">
        <f>IF(ISNUMBER(VLOOKUP($A82,Haver_M!$B$1:$BZ$300,MATCH(data!BJ$1,Haver_M!$B$1:$BZ$1,0),FALSE)),VLOOKUP($A82,Haver_M!$B$1:$BZ$300,MATCH(data!BJ$1,Haver_M!$B$1:$BZ$1,0),FALSE),"")</f>
        <v/>
      </c>
      <c r="BK82">
        <f>IF(ISNUMBER(VLOOKUP($A82,Haver_M!$B$1:$BZ$300,MATCH(data!BK$1,Haver_M!$B$1:$BZ$1,0),FALSE)),VLOOKUP($A82,Haver_M!$B$1:$BZ$300,MATCH(data!BK$1,Haver_M!$B$1:$BZ$1,0),FALSE),"")</f>
        <v>51.848799999999997</v>
      </c>
      <c r="BL82">
        <f>IF(ISNUMBER(VLOOKUP($A82,Haver_M!$B$1:$BZ$300,MATCH(data!BL$1,Haver_M!$B$1:$BZ$1,0),FALSE)),VLOOKUP($A82,Haver_M!$B$1:$BZ$300,MATCH(data!BL$1,Haver_M!$B$1:$BZ$1,0),FALSE),"")</f>
        <v>12035.69</v>
      </c>
      <c r="BM82">
        <f>IF(ISNUMBER(VLOOKUP($A82,Haver_M!$B$1:$BZ$300,MATCH(data!BM$1,Haver_M!$B$1:$BZ$1,0),FALSE)),VLOOKUP($A82,Haver_M!$B$1:$BZ$300,MATCH(data!BM$1,Haver_M!$B$1:$BZ$1,0),FALSE),"")</f>
        <v>106.70633921</v>
      </c>
      <c r="BN82">
        <f>IF(ISNUMBER(VLOOKUP($A82,Haver_M!$B$1:$BZ$300,MATCH(data!BN$1,Haver_M!$B$1:$BZ$1,0),FALSE)),VLOOKUP($A82,Haver_M!$B$1:$BZ$300,MATCH(data!BN$1,Haver_M!$B$1:$BZ$1,0),FALSE),"")</f>
        <v>120.7</v>
      </c>
      <c r="BO82">
        <f>IF(ISNUMBER(VLOOKUP($A82,Haver_M!$B$1:$BZ$300,MATCH(data!BO$1,Haver_M!$B$1:$BZ$1,0),FALSE)),VLOOKUP($A82,Haver_M!$B$1:$BZ$300,MATCH(data!BO$1,Haver_M!$B$1:$BZ$1,0),FALSE),"")</f>
        <v>126.5</v>
      </c>
      <c r="BP82">
        <f>IF(ISNUMBER(VLOOKUP($A82,Haver_M!$B$1:$BZ$300,MATCH(data!BP$1,Haver_M!$B$1:$BZ$1,0),FALSE)),VLOOKUP($A82,Haver_M!$B$1:$BZ$300,MATCH(data!BP$1,Haver_M!$B$1:$BZ$1,0),FALSE),"")</f>
        <v>53.1</v>
      </c>
      <c r="BQ82" t="str">
        <f>IF(ISNUMBER(VLOOKUP($A82,Haver_M!$B$1:$BZ$300,MATCH(data!BQ$1,Haver_M!$B$1:$BZ$1,0),FALSE)),VLOOKUP($A82,Haver_M!$B$1:$BZ$300,MATCH(data!BQ$1,Haver_M!$B$1:$BZ$1,0),FALSE),"")</f>
        <v/>
      </c>
      <c r="BR82" t="str">
        <f>IF(ISNUMBER(VLOOKUP($A82,Haver_M!$B$1:$BZ$300,MATCH(data!BR$1,Haver_M!$B$1:$BZ$1,0),FALSE)),VLOOKUP($A82,Haver_M!$B$1:$BZ$300,MATCH(data!BR$1,Haver_M!$B$1:$BZ$1,0),FALSE),"")</f>
        <v/>
      </c>
      <c r="BS82" t="str">
        <f>IF(ISNUMBER(VLOOKUP($A82,Haver_M!$B$1:$BZ$300,MATCH(data!BS$1,Haver_M!$B$1:$BZ$1,0),FALSE)),VLOOKUP($A82,Haver_M!$B$1:$BZ$300,MATCH(data!BS$1,Haver_M!$B$1:$BZ$1,0),FALSE),"")</f>
        <v/>
      </c>
      <c r="BT82" t="str">
        <f>IF(ISNUMBER(VLOOKUP($A82,Haver_M!$B$1:$BZ$300,MATCH(data!BT$1,Haver_M!$B$1:$BZ$1,0),FALSE)),VLOOKUP($A82,Haver_M!$B$1:$BZ$300,MATCH(data!BT$1,Haver_M!$B$1:$BZ$1,0),FALSE),"")</f>
        <v/>
      </c>
      <c r="BU82">
        <f>IF(ISNUMBER(VLOOKUP($A82,Haver_M!$B$1:$BZ$300,MATCH(data!BU$1,Haver_M!$B$1:$BZ$1,0),FALSE)),VLOOKUP($A82,Haver_M!$B$1:$BZ$300,MATCH(data!BU$1,Haver_M!$B$1:$BZ$1,0),FALSE),"")</f>
        <v>10756.9</v>
      </c>
      <c r="BV82">
        <f>IF(ISNUMBER(VLOOKUP($A82,Haver_M!$B$1:$BZ$300,MATCH(data!BV$1,Haver_M!$B$1:$BZ$1,0),FALSE)),VLOOKUP($A82,Haver_M!$B$1:$BZ$300,MATCH(data!BV$1,Haver_M!$B$1:$BZ$1,0),FALSE),"")</f>
        <v>17351.099999999999</v>
      </c>
      <c r="BW82">
        <f>IF(ISNUMBER(VLOOKUP($A82,Haver_M!$B$1:$BZ$300,MATCH(data!BW$1,Haver_M!$B$1:$BZ$1,0),FALSE)),VLOOKUP($A82,Haver_M!$B$1:$BZ$300,MATCH(data!BW$1,Haver_M!$B$1:$BZ$1,0),FALSE),"")</f>
        <v>46.121000000000002</v>
      </c>
      <c r="BX82">
        <f>IF(ISNUMBER(VLOOKUP($A82,Haver_M!$B$1:$BZ$300,MATCH(data!BX$1,Haver_M!$B$1:$BZ$1,0),FALSE)),VLOOKUP($A82,Haver_M!$B$1:$BZ$300,MATCH(data!BX$1,Haver_M!$B$1:$BZ$1,0),FALSE),"")</f>
        <v>12607</v>
      </c>
    </row>
    <row r="83" spans="1:76" x14ac:dyDescent="0.25">
      <c r="A83" s="2">
        <v>39021</v>
      </c>
      <c r="B83" t="str">
        <f>IF(ISNUMBER(VLOOKUP($A83,Haver_Q!$B$1:$L$185,MATCH(data!B$1,Haver_Q!$B$1:$L$1,0),FALSE)),100*(VLOOKUP($A83,Haver_Q!$B$1:$L$185,MATCH(data!B$1,Haver_Q!$B$1:$L$1,0),FALSE)),"")</f>
        <v/>
      </c>
      <c r="C83" t="str">
        <f>IF(ISNUMBER(VLOOKUP($A83,Haver_Q!$B$1:$L$185,MATCH(data!C$1,Haver_Q!$B$1:$L$1,0),FALSE)),100*(VLOOKUP($A83,Haver_Q!$B$1:$L$185,MATCH(data!C$1,Haver_Q!$B$1:$L$1,0),FALSE)),"")</f>
        <v/>
      </c>
      <c r="D83" t="str">
        <f>IF(ISNUMBER(VLOOKUP($A83,Haver_Q!$B$1:$L$185,MATCH(data!D$1,Haver_Q!$B$1:$L$1,0),FALSE)),100*(VLOOKUP($A83,Haver_Q!$B$1:$L$185,MATCH(data!D$1,Haver_Q!$B$1:$L$1,0),FALSE)),"")</f>
        <v/>
      </c>
      <c r="E83" t="str">
        <f>IF(ISNUMBER(VLOOKUP($A83,Haver_Q!$B$1:$L$185,MATCH(data!E$1,Haver_Q!$B$1:$L$1,0),FALSE)),100*(VLOOKUP($A83,Haver_Q!$B$1:$L$185,MATCH(data!E$1,Haver_Q!$B$1:$L$1,0),FALSE)),"")</f>
        <v/>
      </c>
      <c r="F83" t="str">
        <f>IF(ISNUMBER(VLOOKUP($A83,Haver_Q!$B$1:$L$185,MATCH(data!F$1,Haver_Q!$B$1:$L$1,0),FALSE)),100*(VLOOKUP($A83,Haver_Q!$B$1:$L$185,MATCH(data!F$1,Haver_Q!$B$1:$L$1,0),FALSE)),"")</f>
        <v/>
      </c>
      <c r="G83" t="str">
        <f>IF(ISNUMBER(VLOOKUP($A83,Haver_Q!$B$1:$L$185,MATCH(data!G$1,Haver_Q!$B$1:$L$1,0),FALSE)),100*(VLOOKUP($A83,Haver_Q!$B$1:$L$185,MATCH(data!G$1,Haver_Q!$B$1:$L$1,0),FALSE)),"")</f>
        <v/>
      </c>
      <c r="H83" t="str">
        <f>IF(ISNUMBER(VLOOKUP($A83,Haver_Q!$B$1:$L$185,MATCH(data!H$1,Haver_Q!$B$1:$L$1,0),FALSE)),(VLOOKUP($A83,Haver_Q!$B$1:$L$185,MATCH(data!H$1,Haver_Q!$B$1:$L$1,0),FALSE)),"")</f>
        <v/>
      </c>
      <c r="I83" t="str">
        <f>IF(ISNUMBER(VLOOKUP($A83,Haver_Q!$B$1:$L$185,MATCH(data!I$1,Haver_Q!$B$1:$L$1,0),FALSE)),100*(VLOOKUP($A83,Haver_Q!$B$1:$L$185,MATCH(data!I$1,Haver_Q!$B$1:$L$1,0),FALSE)),"")</f>
        <v/>
      </c>
      <c r="J83" s="3">
        <f>IF(ISNUMBER(Bloomberg_m!C99),Bloomberg_m!C99,"")</f>
        <v>4028</v>
      </c>
      <c r="K83" s="3" t="str">
        <f>IF(ISNUMBER(Bloomberg_m!D99),Bloomberg_m!D99,"")</f>
        <v/>
      </c>
      <c r="L83" s="3" t="str">
        <f>IF(ISNUMBER(Bloomberg_m!E99),Bloomberg_m!E99,"")</f>
        <v/>
      </c>
      <c r="M83" s="3" t="str">
        <f>IF(ISNUMBER(Bloomberg_m!F99),Bloomberg_m!F99,"")</f>
        <v/>
      </c>
      <c r="N83">
        <f>IF(ISNUMBER(VLOOKUP($A83,Haver_M!$B$1:$BZ$300,MATCH(data!N$1,Haver_M!$B$1:$BZ$1,0),FALSE)),VLOOKUP($A83,Haver_M!$B$1:$BZ$300,MATCH(data!N$1,Haver_M!$B$1:$BZ$1,0),FALSE),"")</f>
        <v>7.25</v>
      </c>
      <c r="O83">
        <f>IF(ISNUMBER(VLOOKUP($A83,Haver_M!$B$1:$BZ$300,MATCH(data!O$1,Haver_M!$B$1:$BZ$1,0),FALSE)),VLOOKUP($A83,Haver_M!$B$1:$BZ$300,MATCH(data!O$1,Haver_M!$B$1:$BZ$1,0),FALSE),"")</f>
        <v>7.6417000000000002</v>
      </c>
      <c r="P83">
        <f>IF(ISNUMBER(VLOOKUP($A83,Haver_M!$B$1:$BZ$300,MATCH(data!P$1,Haver_M!$B$1:$BZ$1,0),FALSE)),VLOOKUP($A83,Haver_M!$B$1:$BZ$300,MATCH(data!P$1,Haver_M!$B$1:$BZ$1,0),FALSE),"")</f>
        <v>95.037689999999998</v>
      </c>
      <c r="Q83">
        <f>IF(ISNUMBER(VLOOKUP($A83,Haver_M!$B$1:$BZ$300,MATCH(data!Q$1,Haver_M!$B$1:$BZ$1,0),FALSE)),VLOOKUP($A83,Haver_M!$B$1:$BZ$300,MATCH(data!Q$1,Haver_M!$B$1:$BZ$1,0),FALSE),"")</f>
        <v>62.7</v>
      </c>
      <c r="R83" t="str">
        <f>IF(ISNUMBER(VLOOKUP($A83,Haver_M!$B$1:$BZ$300,MATCH(data!R$1,Haver_M!$B$1:$BZ$1,0),FALSE)),VLOOKUP($A83,Haver_M!$B$1:$BZ$300,MATCH(data!R$1,Haver_M!$B$1:$BZ$1,0),FALSE),"")</f>
        <v/>
      </c>
      <c r="S83">
        <f>IF(ISNUMBER(VLOOKUP($A83,Haver_M!$B$1:$BZ$300,MATCH(data!S$1,Haver_M!$B$1:$BZ$1,0),FALSE)),VLOOKUP($A83,Haver_M!$B$1:$BZ$300,MATCH(data!S$1,Haver_M!$B$1:$BZ$1,0),FALSE),"")</f>
        <v>73.31</v>
      </c>
      <c r="T83">
        <f>IF(ISNUMBER(VLOOKUP($A83,Haver_M!$B$1:$BZ$300,MATCH(data!T$1,Haver_M!$B$1:$BZ$1,0),FALSE)),VLOOKUP($A83,Haver_M!$B$1:$BZ$300,MATCH(data!T$1,Haver_M!$B$1:$BZ$1,0),FALSE),"")</f>
        <v>76.64</v>
      </c>
      <c r="U83">
        <f>IF(ISNUMBER(VLOOKUP($A83,Haver_M!$B$1:$BZ$300,MATCH(data!U$1,Haver_M!$B$1:$BZ$1,0),FALSE)),VLOOKUP($A83,Haver_M!$B$1:$BZ$300,MATCH(data!U$1,Haver_M!$B$1:$BZ$1,0),FALSE),"")</f>
        <v>58.26</v>
      </c>
      <c r="V83">
        <f>IF(ISNUMBER(VLOOKUP($A83,Haver_M!$B$1:$BZ$300,MATCH(data!V$1,Haver_M!$B$1:$BZ$1,0),FALSE)),VLOOKUP($A83,Haver_M!$B$1:$BZ$300,MATCH(data!V$1,Haver_M!$B$1:$BZ$1,0),FALSE),"")</f>
        <v>87.25</v>
      </c>
      <c r="W83" t="str">
        <f>IF(ISNUMBER(VLOOKUP($A83,Haver_M!$B$1:$BZ$300,MATCH(data!W$1,Haver_M!$B$1:$BZ$1,0),FALSE)),VLOOKUP($A83,Haver_M!$B$1:$BZ$300,MATCH(data!W$1,Haver_M!$B$1:$BZ$1,0),FALSE),"")</f>
        <v/>
      </c>
      <c r="X83">
        <f>IF(ISNUMBER(VLOOKUP($A83,Haver_M!$B$1:$BZ$300,MATCH(data!X$1,Haver_M!$B$1:$BZ$1,0),FALSE)),VLOOKUP($A83,Haver_M!$B$1:$BZ$300,MATCH(data!X$1,Haver_M!$B$1:$BZ$1,0),FALSE),"")</f>
        <v>48.99</v>
      </c>
      <c r="Y83">
        <f>IF(ISNUMBER(VLOOKUP($A83,Haver_M!$B$1:$BZ$300,MATCH(data!Y$1,Haver_M!$B$1:$BZ$1,0),FALSE)),VLOOKUP($A83,Haver_M!$B$1:$BZ$300,MATCH(data!Y$1,Haver_M!$B$1:$BZ$1,0),FALSE),"")</f>
        <v>80.709999999999994</v>
      </c>
      <c r="Z83">
        <f>IF(ISNUMBER(VLOOKUP($A83,Haver_M!$B$1:$BZ$300,MATCH(data!Z$1,Haver_M!$B$1:$BZ$1,0),FALSE)),VLOOKUP($A83,Haver_M!$B$1:$BZ$300,MATCH(data!Z$1,Haver_M!$B$1:$BZ$1,0),FALSE),"")</f>
        <v>78.599999999999994</v>
      </c>
      <c r="AA83">
        <f>IF(ISNUMBER(VLOOKUP($A83,Haver_M!$B$1:$BZ$300,MATCH(data!AA$1,Haver_M!$B$1:$BZ$1,0),FALSE)),VLOOKUP($A83,Haver_M!$B$1:$BZ$300,MATCH(data!AA$1,Haver_M!$B$1:$BZ$1,0),FALSE),"")</f>
        <v>79.644999999999996</v>
      </c>
      <c r="AB83">
        <f>IF(ISNUMBER(VLOOKUP($A83,Haver_M!$B$1:$BZ$300,MATCH(data!AB$1,Haver_M!$B$1:$BZ$1,0),FALSE)),VLOOKUP($A83,Haver_M!$B$1:$BZ$300,MATCH(data!AB$1,Haver_M!$B$1:$BZ$1,0),FALSE),"")</f>
        <v>90.167000000000002</v>
      </c>
      <c r="AC83">
        <f>IF(ISNUMBER(VLOOKUP($A83,Haver_M!$B$1:$BZ$300,MATCH(data!AC$1,Haver_M!$B$1:$BZ$1,0),FALSE)),VLOOKUP($A83,Haver_M!$B$1:$BZ$300,MATCH(data!AC$1,Haver_M!$B$1:$BZ$1,0),FALSE),"")</f>
        <v>68.352000000000004</v>
      </c>
      <c r="AD83">
        <f>IF(ISNUMBER(VLOOKUP($A83,Haver_M!$B$1:$BZ$300,MATCH(data!AD$1,Haver_M!$B$1:$BZ$1,0),FALSE)),VLOOKUP($A83,Haver_M!$B$1:$BZ$300,MATCH(data!AD$1,Haver_M!$B$1:$BZ$1,0),FALSE),"")</f>
        <v>87.546999999999997</v>
      </c>
      <c r="AE83">
        <f>IF(ISNUMBER(VLOOKUP($A83,Haver_M!$B$1:$BZ$300,MATCH(data!AE$1,Haver_M!$B$1:$BZ$1,0),FALSE)),VLOOKUP($A83,Haver_M!$B$1:$BZ$300,MATCH(data!AE$1,Haver_M!$B$1:$BZ$1,0),FALSE),"")</f>
        <v>96.938999999999993</v>
      </c>
      <c r="AF83">
        <f>IF(ISNUMBER(VLOOKUP($A83,Haver_M!$B$1:$BZ$300,MATCH(data!AF$1,Haver_M!$B$1:$BZ$1,0),FALSE)),VLOOKUP($A83,Haver_M!$B$1:$BZ$300,MATCH(data!AF$1,Haver_M!$B$1:$BZ$1,0),FALSE),"")</f>
        <v>69.367999999999995</v>
      </c>
      <c r="AG83">
        <f>IF(ISNUMBER(VLOOKUP($A83,Haver_M!$B$1:$BZ$300,MATCH(data!AG$1,Haver_M!$B$1:$BZ$1,0),FALSE)),VLOOKUP($A83,Haver_M!$B$1:$BZ$300,MATCH(data!AG$1,Haver_M!$B$1:$BZ$1,0),FALSE),"")</f>
        <v>70.379000000000005</v>
      </c>
      <c r="AH83">
        <f>IF(ISNUMBER(VLOOKUP($A83,Haver_M!$B$1:$BZ$300,MATCH(data!AH$1,Haver_M!$B$1:$BZ$1,0),FALSE)),VLOOKUP($A83,Haver_M!$B$1:$BZ$300,MATCH(data!AH$1,Haver_M!$B$1:$BZ$1,0),FALSE),"")</f>
        <v>76.849999999999994</v>
      </c>
      <c r="AI83">
        <f>IF(ISNUMBER(VLOOKUP($A83,Haver_M!$B$1:$BZ$300,MATCH(data!AI$1,Haver_M!$B$1:$BZ$1,0),FALSE)),VLOOKUP($A83,Haver_M!$B$1:$BZ$300,MATCH(data!AI$1,Haver_M!$B$1:$BZ$1,0),FALSE),"")</f>
        <v>9828.4121878124206</v>
      </c>
      <c r="AJ83">
        <f>IF(ISNUMBER(VLOOKUP($A83,Haver_M!$B$1:$BZ$300,MATCH(data!AJ$1,Haver_M!$B$1:$BZ$1,0),FALSE)),VLOOKUP($A83,Haver_M!$B$1:$BZ$300,MATCH(data!AJ$1,Haver_M!$B$1:$BZ$1,0),FALSE),"")</f>
        <v>10383.27</v>
      </c>
      <c r="AK83">
        <f>IF(ISNUMBER(VLOOKUP($A83,Haver_M!$B$1:$BZ$300,MATCH(data!AK$1,Haver_M!$B$1:$BZ$1,0),FALSE)),VLOOKUP($A83,Haver_M!$B$1:$BZ$300,MATCH(data!AK$1,Haver_M!$B$1:$BZ$1,0),FALSE),"")</f>
        <v>16953.72</v>
      </c>
      <c r="AL83" t="str">
        <f>IF(ISNUMBER(VLOOKUP($A83,Haver_M!$B$1:$BZ$300,MATCH(data!AL$1,Haver_M!$B$1:$BZ$1,0),FALSE)),VLOOKUP($A83,Haver_M!$B$1:$BZ$300,MATCH(data!AL$1,Haver_M!$B$1:$BZ$1,0),FALSE),"")</f>
        <v/>
      </c>
      <c r="AM83" t="str">
        <f>IF(ISNUMBER(VLOOKUP($A83,Haver_M!$B$1:$BZ$300,MATCH(data!AM$1,Haver_M!$B$1:$BZ$1,0),FALSE)),VLOOKUP($A83,Haver_M!$B$1:$BZ$300,MATCH(data!AM$1,Haver_M!$B$1:$BZ$1,0),FALSE),"")</f>
        <v/>
      </c>
      <c r="AN83" t="str">
        <f>IF(ISNUMBER(VLOOKUP($A83,Haver_M!$B$1:$BZ$300,MATCH(data!AN$1,Haver_M!$B$1:$BZ$1,0),FALSE)),VLOOKUP($A83,Haver_M!$B$1:$BZ$300,MATCH(data!AN$1,Haver_M!$B$1:$BZ$1,0),FALSE),"")</f>
        <v/>
      </c>
      <c r="AO83" t="str">
        <f>IF(ISNUMBER(VLOOKUP($A83,Haver_M!$B$1:$BZ$300,MATCH(data!AO$1,Haver_M!$B$1:$BZ$1,0),FALSE)),VLOOKUP($A83,Haver_M!$B$1:$BZ$300,MATCH(data!AO$1,Haver_M!$B$1:$BZ$1,0),FALSE),"")</f>
        <v/>
      </c>
      <c r="AP83">
        <f>IF(ISNUMBER(VLOOKUP($A83,Haver_M!$B$1:$BZ$300,MATCH(data!AP$1,Haver_M!$B$1:$BZ$1,0),FALSE)),VLOOKUP($A83,Haver_M!$B$1:$BZ$300,MATCH(data!AP$1,Haver_M!$B$1:$BZ$1,0),FALSE),"")</f>
        <v>30.607637857000043</v>
      </c>
      <c r="AQ83">
        <f>IF(ISNUMBER(VLOOKUP($A83,Haver_M!$B$1:$BZ$300,MATCH(data!AQ$1,Haver_M!$B$1:$BZ$1,0),FALSE)),VLOOKUP($A83,Haver_M!$B$1:$BZ$300,MATCH(data!AQ$1,Haver_M!$B$1:$BZ$1,0),FALSE),"")</f>
        <v>63.1233</v>
      </c>
      <c r="AR83">
        <f>IF(ISNUMBER(VLOOKUP($A83,Haver_M!$B$1:$BZ$300,MATCH(data!AR$1,Haver_M!$B$1:$BZ$1,0),FALSE)),VLOOKUP($A83,Haver_M!$B$1:$BZ$300,MATCH(data!AR$1,Haver_M!$B$1:$BZ$1,0),FALSE),"")</f>
        <v>59.304600000000001</v>
      </c>
      <c r="AS83">
        <f>IF(ISNUMBER(VLOOKUP($A83,Haver_M!$B$1:$BZ$300,MATCH(data!AS$1,Haver_M!$B$1:$BZ$1,0),FALSE)),VLOOKUP($A83,Haver_M!$B$1:$BZ$300,MATCH(data!AS$1,Haver_M!$B$1:$BZ$1,0),FALSE),"")</f>
        <v>62.460799999999999</v>
      </c>
      <c r="AT83">
        <f>IF(ISNUMBER(VLOOKUP($A83,Haver_M!$B$1:$BZ$300,MATCH(data!AT$1,Haver_M!$B$1:$BZ$1,0),FALSE)),VLOOKUP($A83,Haver_M!$B$1:$BZ$300,MATCH(data!AT$1,Haver_M!$B$1:$BZ$1,0),FALSE),"")</f>
        <v>64.612700000000004</v>
      </c>
      <c r="AU83">
        <f>IF(ISNUMBER(VLOOKUP($A83,Haver_M!$B$1:$BZ$300,MATCH(data!AU$1,Haver_M!$B$1:$BZ$1,0),FALSE)),VLOOKUP($A83,Haver_M!$B$1:$BZ$300,MATCH(data!AU$1,Haver_M!$B$1:$BZ$1,0),FALSE),"")</f>
        <v>66.285200000000003</v>
      </c>
      <c r="AV83">
        <f>IF(ISNUMBER(VLOOKUP($A83,Haver_M!$B$1:$BZ$300,MATCH(data!AV$1,Haver_M!$B$1:$BZ$1,0),FALSE)),VLOOKUP($A83,Haver_M!$B$1:$BZ$300,MATCH(data!AV$1,Haver_M!$B$1:$BZ$1,0),FALSE),"")</f>
        <v>51.584499999999998</v>
      </c>
      <c r="AW83">
        <f>IF(ISNUMBER(VLOOKUP($A83,Haver_M!$B$1:$BZ$300,MATCH(data!AW$1,Haver_M!$B$1:$BZ$1,0),FALSE)),VLOOKUP($A83,Haver_M!$B$1:$BZ$300,MATCH(data!AW$1,Haver_M!$B$1:$BZ$1,0),FALSE),"")</f>
        <v>50.880299999999998</v>
      </c>
      <c r="AX83">
        <f>IF(ISNUMBER(VLOOKUP($A83,Haver_M!$B$1:$BZ$300,MATCH(data!AX$1,Haver_M!$B$1:$BZ$1,0),FALSE)),VLOOKUP($A83,Haver_M!$B$1:$BZ$300,MATCH(data!AX$1,Haver_M!$B$1:$BZ$1,0),FALSE),"")</f>
        <v>55.809899999999999</v>
      </c>
      <c r="AY83">
        <f>IF(ISNUMBER(VLOOKUP($A83,Haver_M!$B$1:$BZ$300,MATCH(data!AY$1,Haver_M!$B$1:$BZ$1,0),FALSE)),VLOOKUP($A83,Haver_M!$B$1:$BZ$300,MATCH(data!AY$1,Haver_M!$B$1:$BZ$1,0),FALSE),"")</f>
        <v>56.713799999999999</v>
      </c>
      <c r="AZ83">
        <f>IF(ISNUMBER(VLOOKUP($A83,Haver_M!$B$1:$BZ$300,MATCH(data!AZ$1,Haver_M!$B$1:$BZ$1,0),FALSE)),VLOOKUP($A83,Haver_M!$B$1:$BZ$300,MATCH(data!AZ$1,Haver_M!$B$1:$BZ$1,0),FALSE),"")</f>
        <v>62.676099999999998</v>
      </c>
      <c r="BA83">
        <f>IF(ISNUMBER(VLOOKUP($A83,Haver_M!$B$1:$BZ$300,MATCH(data!BA$1,Haver_M!$B$1:$BZ$1,0),FALSE)),VLOOKUP($A83,Haver_M!$B$1:$BZ$300,MATCH(data!BA$1,Haver_M!$B$1:$BZ$1,0),FALSE),"")</f>
        <v>55.809899999999999</v>
      </c>
      <c r="BB83">
        <f>IF(ISNUMBER(VLOOKUP($A83,Haver_M!$B$1:$BZ$300,MATCH(data!BB$1,Haver_M!$B$1:$BZ$1,0),FALSE)),VLOOKUP($A83,Haver_M!$B$1:$BZ$300,MATCH(data!BB$1,Haver_M!$B$1:$BZ$1,0),FALSE),"")</f>
        <v>59.195300000000003</v>
      </c>
      <c r="BC83">
        <f>IF(ISNUMBER(VLOOKUP($A83,Haver_M!$B$1:$BZ$300,MATCH(data!BC$1,Haver_M!$B$1:$BZ$1,0),FALSE)),VLOOKUP($A83,Haver_M!$B$1:$BZ$300,MATCH(data!BC$1,Haver_M!$B$1:$BZ$1,0),FALSE),"")</f>
        <v>54.2254</v>
      </c>
      <c r="BD83">
        <f>IF(ISNUMBER(VLOOKUP($A83,Haver_M!$B$1:$BZ$300,MATCH(data!BD$1,Haver_M!$B$1:$BZ$1,0),FALSE)),VLOOKUP($A83,Haver_M!$B$1:$BZ$300,MATCH(data!BD$1,Haver_M!$B$1:$BZ$1,0),FALSE),"")</f>
        <v>52.679499999999997</v>
      </c>
      <c r="BE83">
        <f>IF(ISNUMBER(VLOOKUP($A83,Haver_M!$B$1:$BZ$300,MATCH(data!BE$1,Haver_M!$B$1:$BZ$1,0),FALSE)),VLOOKUP($A83,Haver_M!$B$1:$BZ$300,MATCH(data!BE$1,Haver_M!$B$1:$BZ$1,0),FALSE),"")</f>
        <v>1.294</v>
      </c>
      <c r="BF83">
        <f>IF(ISNUMBER(VLOOKUP($A83,Haver_M!$B$1:$BZ$300,MATCH(data!BF$1,Haver_M!$B$1:$BZ$1,0),FALSE)),VLOOKUP($A83,Haver_M!$B$1:$BZ$300,MATCH(data!BF$1,Haver_M!$B$1:$BZ$1,0),FALSE),"")</f>
        <v>54.436500000000002</v>
      </c>
      <c r="BG83">
        <f>IF(ISNUMBER(VLOOKUP($A83,Haver_M!$B$1:$BZ$300,MATCH(data!BG$1,Haver_M!$B$1:$BZ$1,0),FALSE)),VLOOKUP($A83,Haver_M!$B$1:$BZ$300,MATCH(data!BG$1,Haver_M!$B$1:$BZ$1,0),FALSE),"")</f>
        <v>53.670999999999999</v>
      </c>
      <c r="BH83">
        <f>IF(ISNUMBER(VLOOKUP($A83,Haver_M!$B$1:$BZ$300,MATCH(data!BH$1,Haver_M!$B$1:$BZ$1,0),FALSE)),VLOOKUP($A83,Haver_M!$B$1:$BZ$300,MATCH(data!BH$1,Haver_M!$B$1:$BZ$1,0),FALSE),"")</f>
        <v>60.615400000000001</v>
      </c>
      <c r="BI83">
        <f>IF(ISNUMBER(VLOOKUP($A83,Haver_M!$B$1:$BZ$300,MATCH(data!BI$1,Haver_M!$B$1:$BZ$1,0),FALSE)),VLOOKUP($A83,Haver_M!$B$1:$BZ$300,MATCH(data!BI$1,Haver_M!$B$1:$BZ$1,0),FALSE),"")</f>
        <v>56.268099999999997</v>
      </c>
      <c r="BJ83" t="str">
        <f>IF(ISNUMBER(VLOOKUP($A83,Haver_M!$B$1:$BZ$300,MATCH(data!BJ$1,Haver_M!$B$1:$BZ$1,0),FALSE)),VLOOKUP($A83,Haver_M!$B$1:$BZ$300,MATCH(data!BJ$1,Haver_M!$B$1:$BZ$1,0),FALSE),"")</f>
        <v/>
      </c>
      <c r="BK83">
        <f>IF(ISNUMBER(VLOOKUP($A83,Haver_M!$B$1:$BZ$300,MATCH(data!BK$1,Haver_M!$B$1:$BZ$1,0),FALSE)),VLOOKUP($A83,Haver_M!$B$1:$BZ$300,MATCH(data!BK$1,Haver_M!$B$1:$BZ$1,0),FALSE),"")</f>
        <v>51.677</v>
      </c>
      <c r="BL83">
        <f>IF(ISNUMBER(VLOOKUP($A83,Haver_M!$B$1:$BZ$300,MATCH(data!BL$1,Haver_M!$B$1:$BZ$1,0),FALSE)),VLOOKUP($A83,Haver_M!$B$1:$BZ$300,MATCH(data!BL$1,Haver_M!$B$1:$BZ$1,0),FALSE),"")</f>
        <v>12632.01</v>
      </c>
      <c r="BM83">
        <f>IF(ISNUMBER(VLOOKUP($A83,Haver_M!$B$1:$BZ$300,MATCH(data!BM$1,Haver_M!$B$1:$BZ$1,0),FALSE)),VLOOKUP($A83,Haver_M!$B$1:$BZ$300,MATCH(data!BM$1,Haver_M!$B$1:$BZ$1,0),FALSE),"")</f>
        <v>107.32960631</v>
      </c>
      <c r="BN83" t="str">
        <f>IF(ISNUMBER(VLOOKUP($A83,Haver_M!$B$1:$BZ$300,MATCH(data!BN$1,Haver_M!$B$1:$BZ$1,0),FALSE)),VLOOKUP($A83,Haver_M!$B$1:$BZ$300,MATCH(data!BN$1,Haver_M!$B$1:$BZ$1,0),FALSE),"")</f>
        <v/>
      </c>
      <c r="BO83" t="str">
        <f>IF(ISNUMBER(VLOOKUP($A83,Haver_M!$B$1:$BZ$300,MATCH(data!BO$1,Haver_M!$B$1:$BZ$1,0),FALSE)),VLOOKUP($A83,Haver_M!$B$1:$BZ$300,MATCH(data!BO$1,Haver_M!$B$1:$BZ$1,0),FALSE),"")</f>
        <v/>
      </c>
      <c r="BP83" t="str">
        <f>IF(ISNUMBER(VLOOKUP($A83,Haver_M!$B$1:$BZ$300,MATCH(data!BP$1,Haver_M!$B$1:$BZ$1,0),FALSE)),VLOOKUP($A83,Haver_M!$B$1:$BZ$300,MATCH(data!BP$1,Haver_M!$B$1:$BZ$1,0),FALSE),"")</f>
        <v/>
      </c>
      <c r="BQ83" t="str">
        <f>IF(ISNUMBER(VLOOKUP($A83,Haver_M!$B$1:$BZ$300,MATCH(data!BQ$1,Haver_M!$B$1:$BZ$1,0),FALSE)),VLOOKUP($A83,Haver_M!$B$1:$BZ$300,MATCH(data!BQ$1,Haver_M!$B$1:$BZ$1,0),FALSE),"")</f>
        <v/>
      </c>
      <c r="BR83" t="str">
        <f>IF(ISNUMBER(VLOOKUP($A83,Haver_M!$B$1:$BZ$300,MATCH(data!BR$1,Haver_M!$B$1:$BZ$1,0),FALSE)),VLOOKUP($A83,Haver_M!$B$1:$BZ$300,MATCH(data!BR$1,Haver_M!$B$1:$BZ$1,0),FALSE),"")</f>
        <v/>
      </c>
      <c r="BS83" t="str">
        <f>IF(ISNUMBER(VLOOKUP($A83,Haver_M!$B$1:$BZ$300,MATCH(data!BS$1,Haver_M!$B$1:$BZ$1,0),FALSE)),VLOOKUP($A83,Haver_M!$B$1:$BZ$300,MATCH(data!BS$1,Haver_M!$B$1:$BZ$1,0),FALSE),"")</f>
        <v/>
      </c>
      <c r="BT83" t="str">
        <f>IF(ISNUMBER(VLOOKUP($A83,Haver_M!$B$1:$BZ$300,MATCH(data!BT$1,Haver_M!$B$1:$BZ$1,0),FALSE)),VLOOKUP($A83,Haver_M!$B$1:$BZ$300,MATCH(data!BT$1,Haver_M!$B$1:$BZ$1,0),FALSE),"")</f>
        <v/>
      </c>
      <c r="BU83">
        <f>IF(ISNUMBER(VLOOKUP($A83,Haver_M!$B$1:$BZ$300,MATCH(data!BU$1,Haver_M!$B$1:$BZ$1,0),FALSE)),VLOOKUP($A83,Haver_M!$B$1:$BZ$300,MATCH(data!BU$1,Haver_M!$B$1:$BZ$1,0),FALSE),"")</f>
        <v>9928.6</v>
      </c>
      <c r="BV83">
        <f>IF(ISNUMBER(VLOOKUP($A83,Haver_M!$B$1:$BZ$300,MATCH(data!BV$1,Haver_M!$B$1:$BZ$1,0),FALSE)),VLOOKUP($A83,Haver_M!$B$1:$BZ$300,MATCH(data!BV$1,Haver_M!$B$1:$BZ$1,0),FALSE),"")</f>
        <v>17512.400000000001</v>
      </c>
      <c r="BW83">
        <f>IF(ISNUMBER(VLOOKUP($A83,Haver_M!$B$1:$BZ$300,MATCH(data!BW$1,Haver_M!$B$1:$BZ$1,0),FALSE)),VLOOKUP($A83,Haver_M!$B$1:$BZ$300,MATCH(data!BW$1,Haver_M!$B$1:$BZ$1,0),FALSE),"")</f>
        <v>45.468400000000003</v>
      </c>
      <c r="BX83">
        <f>IF(ISNUMBER(VLOOKUP($A83,Haver_M!$B$1:$BZ$300,MATCH(data!BX$1,Haver_M!$B$1:$BZ$1,0),FALSE)),VLOOKUP($A83,Haver_M!$B$1:$BZ$300,MATCH(data!BX$1,Haver_M!$B$1:$BZ$1,0),FALSE),"")</f>
        <v>18649</v>
      </c>
    </row>
    <row r="84" spans="1:76" x14ac:dyDescent="0.25">
      <c r="A84" s="2">
        <v>39051</v>
      </c>
      <c r="B84" t="str">
        <f>IF(ISNUMBER(VLOOKUP($A84,Haver_Q!$B$1:$L$185,MATCH(data!B$1,Haver_Q!$B$1:$L$1,0),FALSE)),100*(VLOOKUP($A84,Haver_Q!$B$1:$L$185,MATCH(data!B$1,Haver_Q!$B$1:$L$1,0),FALSE)),"")</f>
        <v/>
      </c>
      <c r="C84" t="str">
        <f>IF(ISNUMBER(VLOOKUP($A84,Haver_Q!$B$1:$L$185,MATCH(data!C$1,Haver_Q!$B$1:$L$1,0),FALSE)),100*(VLOOKUP($A84,Haver_Q!$B$1:$L$185,MATCH(data!C$1,Haver_Q!$B$1:$L$1,0),FALSE)),"")</f>
        <v/>
      </c>
      <c r="D84" t="str">
        <f>IF(ISNUMBER(VLOOKUP($A84,Haver_Q!$B$1:$L$185,MATCH(data!D$1,Haver_Q!$B$1:$L$1,0),FALSE)),100*(VLOOKUP($A84,Haver_Q!$B$1:$L$185,MATCH(data!D$1,Haver_Q!$B$1:$L$1,0),FALSE)),"")</f>
        <v/>
      </c>
      <c r="E84" t="str">
        <f>IF(ISNUMBER(VLOOKUP($A84,Haver_Q!$B$1:$L$185,MATCH(data!E$1,Haver_Q!$B$1:$L$1,0),FALSE)),100*(VLOOKUP($A84,Haver_Q!$B$1:$L$185,MATCH(data!E$1,Haver_Q!$B$1:$L$1,0),FALSE)),"")</f>
        <v/>
      </c>
      <c r="F84" t="str">
        <f>IF(ISNUMBER(VLOOKUP($A84,Haver_Q!$B$1:$L$185,MATCH(data!F$1,Haver_Q!$B$1:$L$1,0),FALSE)),100*(VLOOKUP($A84,Haver_Q!$B$1:$L$185,MATCH(data!F$1,Haver_Q!$B$1:$L$1,0),FALSE)),"")</f>
        <v/>
      </c>
      <c r="G84" t="str">
        <f>IF(ISNUMBER(VLOOKUP($A84,Haver_Q!$B$1:$L$185,MATCH(data!G$1,Haver_Q!$B$1:$L$1,0),FALSE)),100*(VLOOKUP($A84,Haver_Q!$B$1:$L$185,MATCH(data!G$1,Haver_Q!$B$1:$L$1,0),FALSE)),"")</f>
        <v/>
      </c>
      <c r="H84" t="str">
        <f>IF(ISNUMBER(VLOOKUP($A84,Haver_Q!$B$1:$L$185,MATCH(data!H$1,Haver_Q!$B$1:$L$1,0),FALSE)),(VLOOKUP($A84,Haver_Q!$B$1:$L$185,MATCH(data!H$1,Haver_Q!$B$1:$L$1,0),FALSE)),"")</f>
        <v/>
      </c>
      <c r="I84" t="str">
        <f>IF(ISNUMBER(VLOOKUP($A84,Haver_Q!$B$1:$L$185,MATCH(data!I$1,Haver_Q!$B$1:$L$1,0),FALSE)),100*(VLOOKUP($A84,Haver_Q!$B$1:$L$185,MATCH(data!I$1,Haver_Q!$B$1:$L$1,0),FALSE)),"")</f>
        <v/>
      </c>
      <c r="J84" s="3">
        <f>IF(ISNUMBER(Bloomberg_m!C100),Bloomberg_m!C100,"")</f>
        <v>4190</v>
      </c>
      <c r="K84" s="3" t="str">
        <f>IF(ISNUMBER(Bloomberg_m!D100),Bloomberg_m!D100,"")</f>
        <v/>
      </c>
      <c r="L84" s="3" t="str">
        <f>IF(ISNUMBER(Bloomberg_m!E100),Bloomberg_m!E100,"")</f>
        <v/>
      </c>
      <c r="M84" s="3" t="str">
        <f>IF(ISNUMBER(Bloomberg_m!F100),Bloomberg_m!F100,"")</f>
        <v/>
      </c>
      <c r="N84">
        <f>IF(ISNUMBER(VLOOKUP($A84,Haver_M!$B$1:$BZ$300,MATCH(data!N$1,Haver_M!$B$1:$BZ$1,0),FALSE)),VLOOKUP($A84,Haver_M!$B$1:$BZ$300,MATCH(data!N$1,Haver_M!$B$1:$BZ$1,0),FALSE),"")</f>
        <v>7.25</v>
      </c>
      <c r="O84">
        <f>IF(ISNUMBER(VLOOKUP($A84,Haver_M!$B$1:$BZ$300,MATCH(data!O$1,Haver_M!$B$1:$BZ$1,0),FALSE)),VLOOKUP($A84,Haver_M!$B$1:$BZ$300,MATCH(data!O$1,Haver_M!$B$1:$BZ$1,0),FALSE),"")</f>
        <v>7.4061000000000003</v>
      </c>
      <c r="P84">
        <f>IF(ISNUMBER(VLOOKUP($A84,Haver_M!$B$1:$BZ$300,MATCH(data!P$1,Haver_M!$B$1:$BZ$1,0),FALSE)),VLOOKUP($A84,Haver_M!$B$1:$BZ$300,MATCH(data!P$1,Haver_M!$B$1:$BZ$1,0),FALSE),"")</f>
        <v>95.202629999999999</v>
      </c>
      <c r="Q84">
        <f>IF(ISNUMBER(VLOOKUP($A84,Haver_M!$B$1:$BZ$300,MATCH(data!Q$1,Haver_M!$B$1:$BZ$1,0),FALSE)),VLOOKUP($A84,Haver_M!$B$1:$BZ$300,MATCH(data!Q$1,Haver_M!$B$1:$BZ$1,0),FALSE),"")</f>
        <v>62.7</v>
      </c>
      <c r="R84" t="str">
        <f>IF(ISNUMBER(VLOOKUP($A84,Haver_M!$B$1:$BZ$300,MATCH(data!R$1,Haver_M!$B$1:$BZ$1,0),FALSE)),VLOOKUP($A84,Haver_M!$B$1:$BZ$300,MATCH(data!R$1,Haver_M!$B$1:$BZ$1,0),FALSE),"")</f>
        <v/>
      </c>
      <c r="S84">
        <f>IF(ISNUMBER(VLOOKUP($A84,Haver_M!$B$1:$BZ$300,MATCH(data!S$1,Haver_M!$B$1:$BZ$1,0),FALSE)),VLOOKUP($A84,Haver_M!$B$1:$BZ$300,MATCH(data!S$1,Haver_M!$B$1:$BZ$1,0),FALSE),"")</f>
        <v>77.400000000000006</v>
      </c>
      <c r="T84">
        <f>IF(ISNUMBER(VLOOKUP($A84,Haver_M!$B$1:$BZ$300,MATCH(data!T$1,Haver_M!$B$1:$BZ$1,0),FALSE)),VLOOKUP($A84,Haver_M!$B$1:$BZ$300,MATCH(data!T$1,Haver_M!$B$1:$BZ$1,0),FALSE),"")</f>
        <v>78.03</v>
      </c>
      <c r="U84">
        <f>IF(ISNUMBER(VLOOKUP($A84,Haver_M!$B$1:$BZ$300,MATCH(data!U$1,Haver_M!$B$1:$BZ$1,0),FALSE)),VLOOKUP($A84,Haver_M!$B$1:$BZ$300,MATCH(data!U$1,Haver_M!$B$1:$BZ$1,0),FALSE),"")</f>
        <v>66.77</v>
      </c>
      <c r="V84">
        <f>IF(ISNUMBER(VLOOKUP($A84,Haver_M!$B$1:$BZ$300,MATCH(data!V$1,Haver_M!$B$1:$BZ$1,0),FALSE)),VLOOKUP($A84,Haver_M!$B$1:$BZ$300,MATCH(data!V$1,Haver_M!$B$1:$BZ$1,0),FALSE),"")</f>
        <v>89.4</v>
      </c>
      <c r="W84" t="str">
        <f>IF(ISNUMBER(VLOOKUP($A84,Haver_M!$B$1:$BZ$300,MATCH(data!W$1,Haver_M!$B$1:$BZ$1,0),FALSE)),VLOOKUP($A84,Haver_M!$B$1:$BZ$300,MATCH(data!W$1,Haver_M!$B$1:$BZ$1,0),FALSE),"")</f>
        <v/>
      </c>
      <c r="X84">
        <f>IF(ISNUMBER(VLOOKUP($A84,Haver_M!$B$1:$BZ$300,MATCH(data!X$1,Haver_M!$B$1:$BZ$1,0),FALSE)),VLOOKUP($A84,Haver_M!$B$1:$BZ$300,MATCH(data!X$1,Haver_M!$B$1:$BZ$1,0),FALSE),"")</f>
        <v>53.22</v>
      </c>
      <c r="Y84">
        <f>IF(ISNUMBER(VLOOKUP($A84,Haver_M!$B$1:$BZ$300,MATCH(data!Y$1,Haver_M!$B$1:$BZ$1,0),FALSE)),VLOOKUP($A84,Haver_M!$B$1:$BZ$300,MATCH(data!Y$1,Haver_M!$B$1:$BZ$1,0),FALSE),"")</f>
        <v>88.52</v>
      </c>
      <c r="Z84">
        <f>IF(ISNUMBER(VLOOKUP($A84,Haver_M!$B$1:$BZ$300,MATCH(data!Z$1,Haver_M!$B$1:$BZ$1,0),FALSE)),VLOOKUP($A84,Haver_M!$B$1:$BZ$300,MATCH(data!Z$1,Haver_M!$B$1:$BZ$1,0),FALSE),"")</f>
        <v>79.400000000000006</v>
      </c>
      <c r="AA84">
        <f>IF(ISNUMBER(VLOOKUP($A84,Haver_M!$B$1:$BZ$300,MATCH(data!AA$1,Haver_M!$B$1:$BZ$1,0),FALSE)),VLOOKUP($A84,Haver_M!$B$1:$BZ$300,MATCH(data!AA$1,Haver_M!$B$1:$BZ$1,0),FALSE),"")</f>
        <v>79.361000000000004</v>
      </c>
      <c r="AB84">
        <f>IF(ISNUMBER(VLOOKUP($A84,Haver_M!$B$1:$BZ$300,MATCH(data!AB$1,Haver_M!$B$1:$BZ$1,0),FALSE)),VLOOKUP($A84,Haver_M!$B$1:$BZ$300,MATCH(data!AB$1,Haver_M!$B$1:$BZ$1,0),FALSE),"")</f>
        <v>90.49</v>
      </c>
      <c r="AC84">
        <f>IF(ISNUMBER(VLOOKUP($A84,Haver_M!$B$1:$BZ$300,MATCH(data!AC$1,Haver_M!$B$1:$BZ$1,0),FALSE)),VLOOKUP($A84,Haver_M!$B$1:$BZ$300,MATCH(data!AC$1,Haver_M!$B$1:$BZ$1,0),FALSE),"")</f>
        <v>68.268000000000001</v>
      </c>
      <c r="AD84">
        <f>IF(ISNUMBER(VLOOKUP($A84,Haver_M!$B$1:$BZ$300,MATCH(data!AD$1,Haver_M!$B$1:$BZ$1,0),FALSE)),VLOOKUP($A84,Haver_M!$B$1:$BZ$300,MATCH(data!AD$1,Haver_M!$B$1:$BZ$1,0),FALSE),"")</f>
        <v>89.882999999999996</v>
      </c>
      <c r="AE84">
        <f>IF(ISNUMBER(VLOOKUP($A84,Haver_M!$B$1:$BZ$300,MATCH(data!AE$1,Haver_M!$B$1:$BZ$1,0),FALSE)),VLOOKUP($A84,Haver_M!$B$1:$BZ$300,MATCH(data!AE$1,Haver_M!$B$1:$BZ$1,0),FALSE),"")</f>
        <v>95.1</v>
      </c>
      <c r="AF84">
        <f>IF(ISNUMBER(VLOOKUP($A84,Haver_M!$B$1:$BZ$300,MATCH(data!AF$1,Haver_M!$B$1:$BZ$1,0),FALSE)),VLOOKUP($A84,Haver_M!$B$1:$BZ$300,MATCH(data!AF$1,Haver_M!$B$1:$BZ$1,0),FALSE),"")</f>
        <v>71.667000000000002</v>
      </c>
      <c r="AG84">
        <f>IF(ISNUMBER(VLOOKUP($A84,Haver_M!$B$1:$BZ$300,MATCH(data!AG$1,Haver_M!$B$1:$BZ$1,0),FALSE)),VLOOKUP($A84,Haver_M!$B$1:$BZ$300,MATCH(data!AG$1,Haver_M!$B$1:$BZ$1,0),FALSE),"")</f>
        <v>70.543999999999997</v>
      </c>
      <c r="AH84">
        <f>IF(ISNUMBER(VLOOKUP($A84,Haver_M!$B$1:$BZ$300,MATCH(data!AH$1,Haver_M!$B$1:$BZ$1,0),FALSE)),VLOOKUP($A84,Haver_M!$B$1:$BZ$300,MATCH(data!AH$1,Haver_M!$B$1:$BZ$1,0),FALSE),"")</f>
        <v>76.116</v>
      </c>
      <c r="AI84">
        <f>IF(ISNUMBER(VLOOKUP($A84,Haver_M!$B$1:$BZ$300,MATCH(data!AI$1,Haver_M!$B$1:$BZ$1,0),FALSE)),VLOOKUP($A84,Haver_M!$B$1:$BZ$300,MATCH(data!AI$1,Haver_M!$B$1:$BZ$1,0),FALSE),"")</f>
        <v>10402.859361797226</v>
      </c>
      <c r="AJ84">
        <f>IF(ISNUMBER(VLOOKUP($A84,Haver_M!$B$1:$BZ$300,MATCH(data!AJ$1,Haver_M!$B$1:$BZ$1,0),FALSE)),VLOOKUP($A84,Haver_M!$B$1:$BZ$300,MATCH(data!AJ$1,Haver_M!$B$1:$BZ$1,0),FALSE),"")</f>
        <v>10889</v>
      </c>
      <c r="AK84">
        <f>IF(ISNUMBER(VLOOKUP($A84,Haver_M!$B$1:$BZ$300,MATCH(data!AK$1,Haver_M!$B$1:$BZ$1,0),FALSE)),VLOOKUP($A84,Haver_M!$B$1:$BZ$300,MATCH(data!AK$1,Haver_M!$B$1:$BZ$1,0),FALSE),"")</f>
        <v>16766.009999999998</v>
      </c>
      <c r="AL84" t="str">
        <f>IF(ISNUMBER(VLOOKUP($A84,Haver_M!$B$1:$BZ$300,MATCH(data!AL$1,Haver_M!$B$1:$BZ$1,0),FALSE)),VLOOKUP($A84,Haver_M!$B$1:$BZ$300,MATCH(data!AL$1,Haver_M!$B$1:$BZ$1,0),FALSE),"")</f>
        <v/>
      </c>
      <c r="AM84" t="str">
        <f>IF(ISNUMBER(VLOOKUP($A84,Haver_M!$B$1:$BZ$300,MATCH(data!AM$1,Haver_M!$B$1:$BZ$1,0),FALSE)),VLOOKUP($A84,Haver_M!$B$1:$BZ$300,MATCH(data!AM$1,Haver_M!$B$1:$BZ$1,0),FALSE),"")</f>
        <v/>
      </c>
      <c r="AN84" t="str">
        <f>IF(ISNUMBER(VLOOKUP($A84,Haver_M!$B$1:$BZ$300,MATCH(data!AN$1,Haver_M!$B$1:$BZ$1,0),FALSE)),VLOOKUP($A84,Haver_M!$B$1:$BZ$300,MATCH(data!AN$1,Haver_M!$B$1:$BZ$1,0),FALSE),"")</f>
        <v/>
      </c>
      <c r="AO84" t="str">
        <f>IF(ISNUMBER(VLOOKUP($A84,Haver_M!$B$1:$BZ$300,MATCH(data!AO$1,Haver_M!$B$1:$BZ$1,0),FALSE)),VLOOKUP($A84,Haver_M!$B$1:$BZ$300,MATCH(data!AO$1,Haver_M!$B$1:$BZ$1,0),FALSE),"")</f>
        <v/>
      </c>
      <c r="AP84">
        <f>IF(ISNUMBER(VLOOKUP($A84,Haver_M!$B$1:$BZ$300,MATCH(data!AP$1,Haver_M!$B$1:$BZ$1,0),FALSE)),VLOOKUP($A84,Haver_M!$B$1:$BZ$300,MATCH(data!AP$1,Haver_M!$B$1:$BZ$1,0),FALSE),"")</f>
        <v>98.684170731124496</v>
      </c>
      <c r="AQ84">
        <f>IF(ISNUMBER(VLOOKUP($A84,Haver_M!$B$1:$BZ$300,MATCH(data!AQ$1,Haver_M!$B$1:$BZ$1,0),FALSE)),VLOOKUP($A84,Haver_M!$B$1:$BZ$300,MATCH(data!AQ$1,Haver_M!$B$1:$BZ$1,0),FALSE),"")</f>
        <v>63.657699999999998</v>
      </c>
      <c r="AR84">
        <f>IF(ISNUMBER(VLOOKUP($A84,Haver_M!$B$1:$BZ$300,MATCH(data!AR$1,Haver_M!$B$1:$BZ$1,0),FALSE)),VLOOKUP($A84,Haver_M!$B$1:$BZ$300,MATCH(data!AR$1,Haver_M!$B$1:$BZ$1,0),FALSE),"")</f>
        <v>58.942799999999998</v>
      </c>
      <c r="AS84">
        <f>IF(ISNUMBER(VLOOKUP($A84,Haver_M!$B$1:$BZ$300,MATCH(data!AS$1,Haver_M!$B$1:$BZ$1,0),FALSE)),VLOOKUP($A84,Haver_M!$B$1:$BZ$300,MATCH(data!AS$1,Haver_M!$B$1:$BZ$1,0),FALSE),"")</f>
        <v>63.561700000000002</v>
      </c>
      <c r="AT84">
        <f>IF(ISNUMBER(VLOOKUP($A84,Haver_M!$B$1:$BZ$300,MATCH(data!AT$1,Haver_M!$B$1:$BZ$1,0),FALSE)),VLOOKUP($A84,Haver_M!$B$1:$BZ$300,MATCH(data!AT$1,Haver_M!$B$1:$BZ$1,0),FALSE),"")</f>
        <v>63.873600000000003</v>
      </c>
      <c r="AU84">
        <f>IF(ISNUMBER(VLOOKUP($A84,Haver_M!$B$1:$BZ$300,MATCH(data!AU$1,Haver_M!$B$1:$BZ$1,0),FALSE)),VLOOKUP($A84,Haver_M!$B$1:$BZ$300,MATCH(data!AU$1,Haver_M!$B$1:$BZ$1,0),FALSE),"")</f>
        <v>65.500799999999998</v>
      </c>
      <c r="AV84">
        <f>IF(ISNUMBER(VLOOKUP($A84,Haver_M!$B$1:$BZ$300,MATCH(data!AV$1,Haver_M!$B$1:$BZ$1,0),FALSE)),VLOOKUP($A84,Haver_M!$B$1:$BZ$300,MATCH(data!AV$1,Haver_M!$B$1:$BZ$1,0),FALSE),"")</f>
        <v>51.373600000000003</v>
      </c>
      <c r="AW84">
        <f>IF(ISNUMBER(VLOOKUP($A84,Haver_M!$B$1:$BZ$300,MATCH(data!AW$1,Haver_M!$B$1:$BZ$1,0),FALSE)),VLOOKUP($A84,Haver_M!$B$1:$BZ$300,MATCH(data!AW$1,Haver_M!$B$1:$BZ$1,0),FALSE),"")</f>
        <v>50</v>
      </c>
      <c r="AX84">
        <f>IF(ISNUMBER(VLOOKUP($A84,Haver_M!$B$1:$BZ$300,MATCH(data!AX$1,Haver_M!$B$1:$BZ$1,0),FALSE)),VLOOKUP($A84,Haver_M!$B$1:$BZ$300,MATCH(data!AX$1,Haver_M!$B$1:$BZ$1,0),FALSE),"")</f>
        <v>55.494500000000002</v>
      </c>
      <c r="AY84">
        <f>IF(ISNUMBER(VLOOKUP($A84,Haver_M!$B$1:$BZ$300,MATCH(data!AY$1,Haver_M!$B$1:$BZ$1,0),FALSE)),VLOOKUP($A84,Haver_M!$B$1:$BZ$300,MATCH(data!AY$1,Haver_M!$B$1:$BZ$1,0),FALSE),"")</f>
        <v>58.928600000000003</v>
      </c>
      <c r="AZ84">
        <f>IF(ISNUMBER(VLOOKUP($A84,Haver_M!$B$1:$BZ$300,MATCH(data!AZ$1,Haver_M!$B$1:$BZ$1,0),FALSE)),VLOOKUP($A84,Haver_M!$B$1:$BZ$300,MATCH(data!AZ$1,Haver_M!$B$1:$BZ$1,0),FALSE),"")</f>
        <v>61.950499999999998</v>
      </c>
      <c r="BA84">
        <f>IF(ISNUMBER(VLOOKUP($A84,Haver_M!$B$1:$BZ$300,MATCH(data!BA$1,Haver_M!$B$1:$BZ$1,0),FALSE)),VLOOKUP($A84,Haver_M!$B$1:$BZ$300,MATCH(data!BA$1,Haver_M!$B$1:$BZ$1,0),FALSE),"")</f>
        <v>55.494500000000002</v>
      </c>
      <c r="BB84">
        <f>IF(ISNUMBER(VLOOKUP($A84,Haver_M!$B$1:$BZ$300,MATCH(data!BB$1,Haver_M!$B$1:$BZ$1,0),FALSE)),VLOOKUP($A84,Haver_M!$B$1:$BZ$300,MATCH(data!BB$1,Haver_M!$B$1:$BZ$1,0),FALSE),"")</f>
        <v>58.39</v>
      </c>
      <c r="BC84">
        <f>IF(ISNUMBER(VLOOKUP($A84,Haver_M!$B$1:$BZ$300,MATCH(data!BC$1,Haver_M!$B$1:$BZ$1,0),FALSE)),VLOOKUP($A84,Haver_M!$B$1:$BZ$300,MATCH(data!BC$1,Haver_M!$B$1:$BZ$1,0),FALSE),"")</f>
        <v>52.060400000000001</v>
      </c>
      <c r="BD84">
        <f>IF(ISNUMBER(VLOOKUP($A84,Haver_M!$B$1:$BZ$300,MATCH(data!BD$1,Haver_M!$B$1:$BZ$1,0),FALSE)),VLOOKUP($A84,Haver_M!$B$1:$BZ$300,MATCH(data!BD$1,Haver_M!$B$1:$BZ$1,0),FALSE),"")</f>
        <v>51.054200000000002</v>
      </c>
      <c r="BE84">
        <f>IF(ISNUMBER(VLOOKUP($A84,Haver_M!$B$1:$BZ$300,MATCH(data!BE$1,Haver_M!$B$1:$BZ$1,0),FALSE)),VLOOKUP($A84,Haver_M!$B$1:$BZ$300,MATCH(data!BE$1,Haver_M!$B$1:$BZ$1,0),FALSE),"")</f>
        <v>1.2579</v>
      </c>
      <c r="BF84">
        <f>IF(ISNUMBER(VLOOKUP($A84,Haver_M!$B$1:$BZ$300,MATCH(data!BF$1,Haver_M!$B$1:$BZ$1,0),FALSE)),VLOOKUP($A84,Haver_M!$B$1:$BZ$300,MATCH(data!BF$1,Haver_M!$B$1:$BZ$1,0),FALSE),"")</f>
        <v>54.3309</v>
      </c>
      <c r="BG84">
        <f>IF(ISNUMBER(VLOOKUP($A84,Haver_M!$B$1:$BZ$300,MATCH(data!BG$1,Haver_M!$B$1:$BZ$1,0),FALSE)),VLOOKUP($A84,Haver_M!$B$1:$BZ$300,MATCH(data!BG$1,Haver_M!$B$1:$BZ$1,0),FALSE),"")</f>
        <v>54.081699999999998</v>
      </c>
      <c r="BH84">
        <f>IF(ISNUMBER(VLOOKUP($A84,Haver_M!$B$1:$BZ$300,MATCH(data!BH$1,Haver_M!$B$1:$BZ$1,0),FALSE)),VLOOKUP($A84,Haver_M!$B$1:$BZ$300,MATCH(data!BH$1,Haver_M!$B$1:$BZ$1,0),FALSE),"")</f>
        <v>61.246600000000001</v>
      </c>
      <c r="BI84">
        <f>IF(ISNUMBER(VLOOKUP($A84,Haver_M!$B$1:$BZ$300,MATCH(data!BI$1,Haver_M!$B$1:$BZ$1,0),FALSE)),VLOOKUP($A84,Haver_M!$B$1:$BZ$300,MATCH(data!BI$1,Haver_M!$B$1:$BZ$1,0),FALSE),"")</f>
        <v>58.528199999999998</v>
      </c>
      <c r="BJ84" t="str">
        <f>IF(ISNUMBER(VLOOKUP($A84,Haver_M!$B$1:$BZ$300,MATCH(data!BJ$1,Haver_M!$B$1:$BZ$1,0),FALSE)),VLOOKUP($A84,Haver_M!$B$1:$BZ$300,MATCH(data!BJ$1,Haver_M!$B$1:$BZ$1,0),FALSE),"")</f>
        <v/>
      </c>
      <c r="BK84">
        <f>IF(ISNUMBER(VLOOKUP($A84,Haver_M!$B$1:$BZ$300,MATCH(data!BK$1,Haver_M!$B$1:$BZ$1,0),FALSE)),VLOOKUP($A84,Haver_M!$B$1:$BZ$300,MATCH(data!BK$1,Haver_M!$B$1:$BZ$1,0),FALSE),"")</f>
        <v>53.5212</v>
      </c>
      <c r="BL84">
        <f>IF(ISNUMBER(VLOOKUP($A84,Haver_M!$B$1:$BZ$300,MATCH(data!BL$1,Haver_M!$B$1:$BZ$1,0),FALSE)),VLOOKUP($A84,Haver_M!$B$1:$BZ$300,MATCH(data!BL$1,Haver_M!$B$1:$BZ$1,0),FALSE),"")</f>
        <v>13415.79</v>
      </c>
      <c r="BM84">
        <f>IF(ISNUMBER(VLOOKUP($A84,Haver_M!$B$1:$BZ$300,MATCH(data!BM$1,Haver_M!$B$1:$BZ$1,0),FALSE)),VLOOKUP($A84,Haver_M!$B$1:$BZ$300,MATCH(data!BM$1,Haver_M!$B$1:$BZ$1,0),FALSE),"")</f>
        <v>107.81843866</v>
      </c>
      <c r="BN84" t="str">
        <f>IF(ISNUMBER(VLOOKUP($A84,Haver_M!$B$1:$BZ$300,MATCH(data!BN$1,Haver_M!$B$1:$BZ$1,0),FALSE)),VLOOKUP($A84,Haver_M!$B$1:$BZ$300,MATCH(data!BN$1,Haver_M!$B$1:$BZ$1,0),FALSE),"")</f>
        <v/>
      </c>
      <c r="BO84" t="str">
        <f>IF(ISNUMBER(VLOOKUP($A84,Haver_M!$B$1:$BZ$300,MATCH(data!BO$1,Haver_M!$B$1:$BZ$1,0),FALSE)),VLOOKUP($A84,Haver_M!$B$1:$BZ$300,MATCH(data!BO$1,Haver_M!$B$1:$BZ$1,0),FALSE),"")</f>
        <v/>
      </c>
      <c r="BP84" t="str">
        <f>IF(ISNUMBER(VLOOKUP($A84,Haver_M!$B$1:$BZ$300,MATCH(data!BP$1,Haver_M!$B$1:$BZ$1,0),FALSE)),VLOOKUP($A84,Haver_M!$B$1:$BZ$300,MATCH(data!BP$1,Haver_M!$B$1:$BZ$1,0),FALSE),"")</f>
        <v/>
      </c>
      <c r="BQ84" t="str">
        <f>IF(ISNUMBER(VLOOKUP($A84,Haver_M!$B$1:$BZ$300,MATCH(data!BQ$1,Haver_M!$B$1:$BZ$1,0),FALSE)),VLOOKUP($A84,Haver_M!$B$1:$BZ$300,MATCH(data!BQ$1,Haver_M!$B$1:$BZ$1,0),FALSE),"")</f>
        <v/>
      </c>
      <c r="BR84" t="str">
        <f>IF(ISNUMBER(VLOOKUP($A84,Haver_M!$B$1:$BZ$300,MATCH(data!BR$1,Haver_M!$B$1:$BZ$1,0),FALSE)),VLOOKUP($A84,Haver_M!$B$1:$BZ$300,MATCH(data!BR$1,Haver_M!$B$1:$BZ$1,0),FALSE),"")</f>
        <v/>
      </c>
      <c r="BS84" t="str">
        <f>IF(ISNUMBER(VLOOKUP($A84,Haver_M!$B$1:$BZ$300,MATCH(data!BS$1,Haver_M!$B$1:$BZ$1,0),FALSE)),VLOOKUP($A84,Haver_M!$B$1:$BZ$300,MATCH(data!BS$1,Haver_M!$B$1:$BZ$1,0),FALSE),"")</f>
        <v/>
      </c>
      <c r="BT84" t="str">
        <f>IF(ISNUMBER(VLOOKUP($A84,Haver_M!$B$1:$BZ$300,MATCH(data!BT$1,Haver_M!$B$1:$BZ$1,0),FALSE)),VLOOKUP($A84,Haver_M!$B$1:$BZ$300,MATCH(data!BT$1,Haver_M!$B$1:$BZ$1,0),FALSE),"")</f>
        <v/>
      </c>
      <c r="BU84">
        <f>IF(ISNUMBER(VLOOKUP($A84,Haver_M!$B$1:$BZ$300,MATCH(data!BU$1,Haver_M!$B$1:$BZ$1,0),FALSE)),VLOOKUP($A84,Haver_M!$B$1:$BZ$300,MATCH(data!BU$1,Haver_M!$B$1:$BZ$1,0),FALSE),"")</f>
        <v>9979.4</v>
      </c>
      <c r="BV84">
        <f>IF(ISNUMBER(VLOOKUP($A84,Haver_M!$B$1:$BZ$300,MATCH(data!BV$1,Haver_M!$B$1:$BZ$1,0),FALSE)),VLOOKUP($A84,Haver_M!$B$1:$BZ$300,MATCH(data!BV$1,Haver_M!$B$1:$BZ$1,0),FALSE),"")</f>
        <v>16381.2</v>
      </c>
      <c r="BW84">
        <f>IF(ISNUMBER(VLOOKUP($A84,Haver_M!$B$1:$BZ$300,MATCH(data!BW$1,Haver_M!$B$1:$BZ$1,0),FALSE)),VLOOKUP($A84,Haver_M!$B$1:$BZ$300,MATCH(data!BW$1,Haver_M!$B$1:$BZ$1,0),FALSE),"")</f>
        <v>44.830500000000001</v>
      </c>
      <c r="BX84">
        <f>IF(ISNUMBER(VLOOKUP($A84,Haver_M!$B$1:$BZ$300,MATCH(data!BX$1,Haver_M!$B$1:$BZ$1,0),FALSE)),VLOOKUP($A84,Haver_M!$B$1:$BZ$300,MATCH(data!BX$1,Haver_M!$B$1:$BZ$1,0),FALSE),"")</f>
        <v>17764</v>
      </c>
    </row>
    <row r="85" spans="1:76" x14ac:dyDescent="0.25">
      <c r="A85" s="2">
        <v>39082</v>
      </c>
      <c r="B85">
        <f>IF(ISNUMBER(VLOOKUP($A85,Haver_Q!$B$1:$L$185,MATCH(data!B$1,Haver_Q!$B$1:$L$1,0),FALSE)),100*(VLOOKUP($A85,Haver_Q!$B$1:$L$185,MATCH(data!B$1,Haver_Q!$B$1:$L$1,0),FALSE)),"")</f>
        <v>11.901836176573966</v>
      </c>
      <c r="C85">
        <f>IF(ISNUMBER(VLOOKUP($A85,Haver_Q!$B$1:$L$185,MATCH(data!C$1,Haver_Q!$B$1:$L$1,0),FALSE)),100*(VLOOKUP($A85,Haver_Q!$B$1:$L$185,MATCH(data!C$1,Haver_Q!$B$1:$L$1,0),FALSE)),"")</f>
        <v>-1.7285318009054418</v>
      </c>
      <c r="D85">
        <f>IF(ISNUMBER(VLOOKUP($A85,Haver_Q!$B$1:$L$185,MATCH(data!D$1,Haver_Q!$B$1:$L$1,0),FALSE)),100*(VLOOKUP($A85,Haver_Q!$B$1:$L$185,MATCH(data!D$1,Haver_Q!$B$1:$L$1,0),FALSE)),"")</f>
        <v>12.45712286924272</v>
      </c>
      <c r="E85">
        <f>IF(ISNUMBER(VLOOKUP($A85,Haver_Q!$B$1:$L$185,MATCH(data!E$1,Haver_Q!$B$1:$L$1,0),FALSE)),100*(VLOOKUP($A85,Haver_Q!$B$1:$L$185,MATCH(data!E$1,Haver_Q!$B$1:$L$1,0),FALSE)),"")</f>
        <v>35.086427917963412</v>
      </c>
      <c r="F85">
        <f>IF(ISNUMBER(VLOOKUP($A85,Haver_Q!$B$1:$L$185,MATCH(data!F$1,Haver_Q!$B$1:$L$1,0),FALSE)),100*(VLOOKUP($A85,Haver_Q!$B$1:$L$185,MATCH(data!F$1,Haver_Q!$B$1:$L$1,0),FALSE)),"")</f>
        <v>-21.355204903963266</v>
      </c>
      <c r="G85">
        <f>IF(ISNUMBER(VLOOKUP($A85,Haver_Q!$B$1:$L$185,MATCH(data!G$1,Haver_Q!$B$1:$L$1,0),FALSE)),100*(VLOOKUP($A85,Haver_Q!$B$1:$L$185,MATCH(data!G$1,Haver_Q!$B$1:$L$1,0),FALSE)),"")</f>
        <v>-11.321541186557226</v>
      </c>
      <c r="H85">
        <f>IF(ISNUMBER(VLOOKUP($A85,Haver_Q!$B$1:$L$185,MATCH(data!H$1,Haver_Q!$B$1:$L$1,0),FALSE)),(VLOOKUP($A85,Haver_Q!$B$1:$L$185,MATCH(data!H$1,Haver_Q!$B$1:$L$1,0),FALSE)),"")</f>
        <v>6.3659467043571025</v>
      </c>
      <c r="I85">
        <f>IF(ISNUMBER(VLOOKUP($A85,Haver_Q!$B$1:$L$185,MATCH(data!I$1,Haver_Q!$B$1:$L$1,0),FALSE)),100*(VLOOKUP($A85,Haver_Q!$B$1:$L$185,MATCH(data!I$1,Haver_Q!$B$1:$L$1,0),FALSE)),"")</f>
        <v>9.4774058022009555</v>
      </c>
      <c r="J85" s="3">
        <f>IF(ISNUMBER(Bloomberg_m!C101),Bloomberg_m!C101,"")</f>
        <v>4336</v>
      </c>
      <c r="K85" s="3" t="str">
        <f>IF(ISNUMBER(Bloomberg_m!D101),Bloomberg_m!D101,"")</f>
        <v/>
      </c>
      <c r="L85" s="3" t="str">
        <f>IF(ISNUMBER(Bloomberg_m!E101),Bloomberg_m!E101,"")</f>
        <v/>
      </c>
      <c r="M85" s="3" t="str">
        <f>IF(ISNUMBER(Bloomberg_m!F101),Bloomberg_m!F101,"")</f>
        <v/>
      </c>
      <c r="N85">
        <f>IF(ISNUMBER(VLOOKUP($A85,Haver_M!$B$1:$BZ$300,MATCH(data!N$1,Haver_M!$B$1:$BZ$1,0),FALSE)),VLOOKUP($A85,Haver_M!$B$1:$BZ$300,MATCH(data!N$1,Haver_M!$B$1:$BZ$1,0),FALSE),"")</f>
        <v>7.25</v>
      </c>
      <c r="O85">
        <f>IF(ISNUMBER(VLOOKUP($A85,Haver_M!$B$1:$BZ$300,MATCH(data!O$1,Haver_M!$B$1:$BZ$1,0),FALSE)),VLOOKUP($A85,Haver_M!$B$1:$BZ$300,MATCH(data!O$1,Haver_M!$B$1:$BZ$1,0),FALSE),"")</f>
        <v>7.6071</v>
      </c>
      <c r="P85">
        <f>IF(ISNUMBER(VLOOKUP($A85,Haver_M!$B$1:$BZ$300,MATCH(data!P$1,Haver_M!$B$1:$BZ$1,0),FALSE)),VLOOKUP($A85,Haver_M!$B$1:$BZ$300,MATCH(data!P$1,Haver_M!$B$1:$BZ$1,0),FALSE),"")</f>
        <v>94.036000000000001</v>
      </c>
      <c r="Q85">
        <f>IF(ISNUMBER(VLOOKUP($A85,Haver_M!$B$1:$BZ$300,MATCH(data!Q$1,Haver_M!$B$1:$BZ$1,0),FALSE)),VLOOKUP($A85,Haver_M!$B$1:$BZ$300,MATCH(data!Q$1,Haver_M!$B$1:$BZ$1,0),FALSE),"")</f>
        <v>62.5</v>
      </c>
      <c r="R85" t="str">
        <f>IF(ISNUMBER(VLOOKUP($A85,Haver_M!$B$1:$BZ$300,MATCH(data!R$1,Haver_M!$B$1:$BZ$1,0),FALSE)),VLOOKUP($A85,Haver_M!$B$1:$BZ$300,MATCH(data!R$1,Haver_M!$B$1:$BZ$1,0),FALSE),"")</f>
        <v/>
      </c>
      <c r="S85">
        <f>IF(ISNUMBER(VLOOKUP($A85,Haver_M!$B$1:$BZ$300,MATCH(data!S$1,Haver_M!$B$1:$BZ$1,0),FALSE)),VLOOKUP($A85,Haver_M!$B$1:$BZ$300,MATCH(data!S$1,Haver_M!$B$1:$BZ$1,0),FALSE),"")</f>
        <v>77.05</v>
      </c>
      <c r="T85">
        <f>IF(ISNUMBER(VLOOKUP($A85,Haver_M!$B$1:$BZ$300,MATCH(data!T$1,Haver_M!$B$1:$BZ$1,0),FALSE)),VLOOKUP($A85,Haver_M!$B$1:$BZ$300,MATCH(data!T$1,Haver_M!$B$1:$BZ$1,0),FALSE),"")</f>
        <v>79.040000000000006</v>
      </c>
      <c r="U85">
        <f>IF(ISNUMBER(VLOOKUP($A85,Haver_M!$B$1:$BZ$300,MATCH(data!U$1,Haver_M!$B$1:$BZ$1,0),FALSE)),VLOOKUP($A85,Haver_M!$B$1:$BZ$300,MATCH(data!U$1,Haver_M!$B$1:$BZ$1,0),FALSE),"")</f>
        <v>68.61</v>
      </c>
      <c r="V85">
        <f>IF(ISNUMBER(VLOOKUP($A85,Haver_M!$B$1:$BZ$300,MATCH(data!V$1,Haver_M!$B$1:$BZ$1,0),FALSE)),VLOOKUP($A85,Haver_M!$B$1:$BZ$300,MATCH(data!V$1,Haver_M!$B$1:$BZ$1,0),FALSE),"")</f>
        <v>89.47</v>
      </c>
      <c r="W85" t="str">
        <f>IF(ISNUMBER(VLOOKUP($A85,Haver_M!$B$1:$BZ$300,MATCH(data!W$1,Haver_M!$B$1:$BZ$1,0),FALSE)),VLOOKUP($A85,Haver_M!$B$1:$BZ$300,MATCH(data!W$1,Haver_M!$B$1:$BZ$1,0),FALSE),"")</f>
        <v/>
      </c>
      <c r="X85">
        <f>IF(ISNUMBER(VLOOKUP($A85,Haver_M!$B$1:$BZ$300,MATCH(data!X$1,Haver_M!$B$1:$BZ$1,0),FALSE)),VLOOKUP($A85,Haver_M!$B$1:$BZ$300,MATCH(data!X$1,Haver_M!$B$1:$BZ$1,0),FALSE),"")</f>
        <v>49.48</v>
      </c>
      <c r="Y85">
        <f>IF(ISNUMBER(VLOOKUP($A85,Haver_M!$B$1:$BZ$300,MATCH(data!Y$1,Haver_M!$B$1:$BZ$1,0),FALSE)),VLOOKUP($A85,Haver_M!$B$1:$BZ$300,MATCH(data!Y$1,Haver_M!$B$1:$BZ$1,0),FALSE),"")</f>
        <v>86.64</v>
      </c>
      <c r="Z85">
        <f>IF(ISNUMBER(VLOOKUP($A85,Haver_M!$B$1:$BZ$300,MATCH(data!Z$1,Haver_M!$B$1:$BZ$1,0),FALSE)),VLOOKUP($A85,Haver_M!$B$1:$BZ$300,MATCH(data!Z$1,Haver_M!$B$1:$BZ$1,0),FALSE),"")</f>
        <v>79.900000000000006</v>
      </c>
      <c r="AA85">
        <f>IF(ISNUMBER(VLOOKUP($A85,Haver_M!$B$1:$BZ$300,MATCH(data!AA$1,Haver_M!$B$1:$BZ$1,0),FALSE)),VLOOKUP($A85,Haver_M!$B$1:$BZ$300,MATCH(data!AA$1,Haver_M!$B$1:$BZ$1,0),FALSE),"")</f>
        <v>79.683999999999997</v>
      </c>
      <c r="AB85">
        <f>IF(ISNUMBER(VLOOKUP($A85,Haver_M!$B$1:$BZ$300,MATCH(data!AB$1,Haver_M!$B$1:$BZ$1,0),FALSE)),VLOOKUP($A85,Haver_M!$B$1:$BZ$300,MATCH(data!AB$1,Haver_M!$B$1:$BZ$1,0),FALSE),"")</f>
        <v>90.772000000000006</v>
      </c>
      <c r="AC85">
        <f>IF(ISNUMBER(VLOOKUP($A85,Haver_M!$B$1:$BZ$300,MATCH(data!AC$1,Haver_M!$B$1:$BZ$1,0),FALSE)),VLOOKUP($A85,Haver_M!$B$1:$BZ$300,MATCH(data!AC$1,Haver_M!$B$1:$BZ$1,0),FALSE),"")</f>
        <v>67.397000000000006</v>
      </c>
      <c r="AD85">
        <f>IF(ISNUMBER(VLOOKUP($A85,Haver_M!$B$1:$BZ$300,MATCH(data!AD$1,Haver_M!$B$1:$BZ$1,0),FALSE)),VLOOKUP($A85,Haver_M!$B$1:$BZ$300,MATCH(data!AD$1,Haver_M!$B$1:$BZ$1,0),FALSE),"")</f>
        <v>89.941999999999993</v>
      </c>
      <c r="AE85">
        <f>IF(ISNUMBER(VLOOKUP($A85,Haver_M!$B$1:$BZ$300,MATCH(data!AE$1,Haver_M!$B$1:$BZ$1,0),FALSE)),VLOOKUP($A85,Haver_M!$B$1:$BZ$300,MATCH(data!AE$1,Haver_M!$B$1:$BZ$1,0),FALSE),"")</f>
        <v>98.239000000000004</v>
      </c>
      <c r="AF85">
        <f>IF(ISNUMBER(VLOOKUP($A85,Haver_M!$B$1:$BZ$300,MATCH(data!AF$1,Haver_M!$B$1:$BZ$1,0),FALSE)),VLOOKUP($A85,Haver_M!$B$1:$BZ$300,MATCH(data!AF$1,Haver_M!$B$1:$BZ$1,0),FALSE),"")</f>
        <v>71.947999999999993</v>
      </c>
      <c r="AG85">
        <f>IF(ISNUMBER(VLOOKUP($A85,Haver_M!$B$1:$BZ$300,MATCH(data!AG$1,Haver_M!$B$1:$BZ$1,0),FALSE)),VLOOKUP($A85,Haver_M!$B$1:$BZ$300,MATCH(data!AG$1,Haver_M!$B$1:$BZ$1,0),FALSE),"")</f>
        <v>71.081999999999994</v>
      </c>
      <c r="AH85">
        <f>IF(ISNUMBER(VLOOKUP($A85,Haver_M!$B$1:$BZ$300,MATCH(data!AH$1,Haver_M!$B$1:$BZ$1,0),FALSE)),VLOOKUP($A85,Haver_M!$B$1:$BZ$300,MATCH(data!AH$1,Haver_M!$B$1:$BZ$1,0),FALSE),"")</f>
        <v>77.838999999999999</v>
      </c>
      <c r="AI85">
        <f>IF(ISNUMBER(VLOOKUP($A85,Haver_M!$B$1:$BZ$300,MATCH(data!AI$1,Haver_M!$B$1:$BZ$1,0),FALSE)),VLOOKUP($A85,Haver_M!$B$1:$BZ$300,MATCH(data!AI$1,Haver_M!$B$1:$BZ$1,0),FALSE),"")</f>
        <v>10122.792549796777</v>
      </c>
      <c r="AJ85">
        <f>IF(ISNUMBER(VLOOKUP($A85,Haver_M!$B$1:$BZ$300,MATCH(data!AJ$1,Haver_M!$B$1:$BZ$1,0),FALSE)),VLOOKUP($A85,Haver_M!$B$1:$BZ$300,MATCH(data!AJ$1,Haver_M!$B$1:$BZ$1,0),FALSE),"")</f>
        <v>10911.11</v>
      </c>
      <c r="AK85">
        <f>IF(ISNUMBER(VLOOKUP($A85,Haver_M!$B$1:$BZ$300,MATCH(data!AK$1,Haver_M!$B$1:$BZ$1,0),FALSE)),VLOOKUP($A85,Haver_M!$B$1:$BZ$300,MATCH(data!AK$1,Haver_M!$B$1:$BZ$1,0),FALSE),"")</f>
        <v>16373.74</v>
      </c>
      <c r="AL85" t="str">
        <f>IF(ISNUMBER(VLOOKUP($A85,Haver_M!$B$1:$BZ$300,MATCH(data!AL$1,Haver_M!$B$1:$BZ$1,0),FALSE)),VLOOKUP($A85,Haver_M!$B$1:$BZ$300,MATCH(data!AL$1,Haver_M!$B$1:$BZ$1,0),FALSE),"")</f>
        <v/>
      </c>
      <c r="AM85" t="str">
        <f>IF(ISNUMBER(VLOOKUP($A85,Haver_M!$B$1:$BZ$300,MATCH(data!AM$1,Haver_M!$B$1:$BZ$1,0),FALSE)),VLOOKUP($A85,Haver_M!$B$1:$BZ$300,MATCH(data!AM$1,Haver_M!$B$1:$BZ$1,0),FALSE),"")</f>
        <v/>
      </c>
      <c r="AN85" t="str">
        <f>IF(ISNUMBER(VLOOKUP($A85,Haver_M!$B$1:$BZ$300,MATCH(data!AN$1,Haver_M!$B$1:$BZ$1,0),FALSE)),VLOOKUP($A85,Haver_M!$B$1:$BZ$300,MATCH(data!AN$1,Haver_M!$B$1:$BZ$1,0),FALSE),"")</f>
        <v/>
      </c>
      <c r="AO85" t="str">
        <f>IF(ISNUMBER(VLOOKUP($A85,Haver_M!$B$1:$BZ$300,MATCH(data!AO$1,Haver_M!$B$1:$BZ$1,0),FALSE)),VLOOKUP($A85,Haver_M!$B$1:$BZ$300,MATCH(data!AO$1,Haver_M!$B$1:$BZ$1,0),FALSE),"")</f>
        <v/>
      </c>
      <c r="AP85">
        <f>IF(ISNUMBER(VLOOKUP($A85,Haver_M!$B$1:$BZ$300,MATCH(data!AP$1,Haver_M!$B$1:$BZ$1,0),FALSE)),VLOOKUP($A85,Haver_M!$B$1:$BZ$300,MATCH(data!AP$1,Haver_M!$B$1:$BZ$1,0),FALSE),"")</f>
        <v>66.210464134094494</v>
      </c>
      <c r="AQ85">
        <f>IF(ISNUMBER(VLOOKUP($A85,Haver_M!$B$1:$BZ$300,MATCH(data!AQ$1,Haver_M!$B$1:$BZ$1,0),FALSE)),VLOOKUP($A85,Haver_M!$B$1:$BZ$300,MATCH(data!AQ$1,Haver_M!$B$1:$BZ$1,0),FALSE),"")</f>
        <v>58.522500000000001</v>
      </c>
      <c r="AR85">
        <f>IF(ISNUMBER(VLOOKUP($A85,Haver_M!$B$1:$BZ$300,MATCH(data!AR$1,Haver_M!$B$1:$BZ$1,0),FALSE)),VLOOKUP($A85,Haver_M!$B$1:$BZ$300,MATCH(data!AR$1,Haver_M!$B$1:$BZ$1,0),FALSE),"")</f>
        <v>56.558199999999999</v>
      </c>
      <c r="AS85">
        <f>IF(ISNUMBER(VLOOKUP($A85,Haver_M!$B$1:$BZ$300,MATCH(data!AS$1,Haver_M!$B$1:$BZ$1,0),FALSE)),VLOOKUP($A85,Haver_M!$B$1:$BZ$300,MATCH(data!AS$1,Haver_M!$B$1:$BZ$1,0),FALSE),"")</f>
        <v>58.091999999999999</v>
      </c>
      <c r="AT85">
        <f>IF(ISNUMBER(VLOOKUP($A85,Haver_M!$B$1:$BZ$300,MATCH(data!AT$1,Haver_M!$B$1:$BZ$1,0),FALSE)),VLOOKUP($A85,Haver_M!$B$1:$BZ$300,MATCH(data!AT$1,Haver_M!$B$1:$BZ$1,0),FALSE),"")</f>
        <v>59.490299999999998</v>
      </c>
      <c r="AU85">
        <f>IF(ISNUMBER(VLOOKUP($A85,Haver_M!$B$1:$BZ$300,MATCH(data!AU$1,Haver_M!$B$1:$BZ$1,0),FALSE)),VLOOKUP($A85,Haver_M!$B$1:$BZ$300,MATCH(data!AU$1,Haver_M!$B$1:$BZ$1,0),FALSE),"")</f>
        <v>61.645600000000002</v>
      </c>
      <c r="AV85">
        <f>IF(ISNUMBER(VLOOKUP($A85,Haver_M!$B$1:$BZ$300,MATCH(data!AV$1,Haver_M!$B$1:$BZ$1,0),FALSE)),VLOOKUP($A85,Haver_M!$B$1:$BZ$300,MATCH(data!AV$1,Haver_M!$B$1:$BZ$1,0),FALSE),"")</f>
        <v>50.958399999999997</v>
      </c>
      <c r="AW85">
        <f>IF(ISNUMBER(VLOOKUP($A85,Haver_M!$B$1:$BZ$300,MATCH(data!AW$1,Haver_M!$B$1:$BZ$1,0),FALSE)),VLOOKUP($A85,Haver_M!$B$1:$BZ$300,MATCH(data!AW$1,Haver_M!$B$1:$BZ$1,0),FALSE),"")</f>
        <v>49.365499999999997</v>
      </c>
      <c r="AX85">
        <f>IF(ISNUMBER(VLOOKUP($A85,Haver_M!$B$1:$BZ$300,MATCH(data!AX$1,Haver_M!$B$1:$BZ$1,0),FALSE)),VLOOKUP($A85,Haver_M!$B$1:$BZ$300,MATCH(data!AX$1,Haver_M!$B$1:$BZ$1,0),FALSE),"")</f>
        <v>54.050600000000003</v>
      </c>
      <c r="AY85">
        <f>IF(ISNUMBER(VLOOKUP($A85,Haver_M!$B$1:$BZ$300,MATCH(data!AY$1,Haver_M!$B$1:$BZ$1,0),FALSE)),VLOOKUP($A85,Haver_M!$B$1:$BZ$300,MATCH(data!AY$1,Haver_M!$B$1:$BZ$1,0),FALSE),"")</f>
        <v>55.063299999999998</v>
      </c>
      <c r="AZ85">
        <f>IF(ISNUMBER(VLOOKUP($A85,Haver_M!$B$1:$BZ$300,MATCH(data!AZ$1,Haver_M!$B$1:$BZ$1,0),FALSE)),VLOOKUP($A85,Haver_M!$B$1:$BZ$300,MATCH(data!AZ$1,Haver_M!$B$1:$BZ$1,0),FALSE),"")</f>
        <v>59.113900000000001</v>
      </c>
      <c r="BA85">
        <f>IF(ISNUMBER(VLOOKUP($A85,Haver_M!$B$1:$BZ$300,MATCH(data!BA$1,Haver_M!$B$1:$BZ$1,0),FALSE)),VLOOKUP($A85,Haver_M!$B$1:$BZ$300,MATCH(data!BA$1,Haver_M!$B$1:$BZ$1,0),FALSE),"")</f>
        <v>54.050600000000003</v>
      </c>
      <c r="BB85">
        <f>IF(ISNUMBER(VLOOKUP($A85,Haver_M!$B$1:$BZ$300,MATCH(data!BB$1,Haver_M!$B$1:$BZ$1,0),FALSE)),VLOOKUP($A85,Haver_M!$B$1:$BZ$300,MATCH(data!BB$1,Haver_M!$B$1:$BZ$1,0),FALSE),"")</f>
        <v>54.081600000000002</v>
      </c>
      <c r="BC85">
        <f>IF(ISNUMBER(VLOOKUP($A85,Haver_M!$B$1:$BZ$300,MATCH(data!BC$1,Haver_M!$B$1:$BZ$1,0),FALSE)),VLOOKUP($A85,Haver_M!$B$1:$BZ$300,MATCH(data!BC$1,Haver_M!$B$1:$BZ$1,0),FALSE),"")</f>
        <v>51.898699999999998</v>
      </c>
      <c r="BD85">
        <f>IF(ISNUMBER(VLOOKUP($A85,Haver_M!$B$1:$BZ$300,MATCH(data!BD$1,Haver_M!$B$1:$BZ$1,0),FALSE)),VLOOKUP($A85,Haver_M!$B$1:$BZ$300,MATCH(data!BD$1,Haver_M!$B$1:$BZ$1,0),FALSE),"")</f>
        <v>50.791600000000003</v>
      </c>
      <c r="BE85">
        <f>IF(ISNUMBER(VLOOKUP($A85,Haver_M!$B$1:$BZ$300,MATCH(data!BE$1,Haver_M!$B$1:$BZ$1,0),FALSE)),VLOOKUP($A85,Haver_M!$B$1:$BZ$300,MATCH(data!BE$1,Haver_M!$B$1:$BZ$1,0),FALSE),"")</f>
        <v>1.1936</v>
      </c>
      <c r="BF85">
        <f>IF(ISNUMBER(VLOOKUP($A85,Haver_M!$B$1:$BZ$300,MATCH(data!BF$1,Haver_M!$B$1:$BZ$1,0),FALSE)),VLOOKUP($A85,Haver_M!$B$1:$BZ$300,MATCH(data!BF$1,Haver_M!$B$1:$BZ$1,0),FALSE),"")</f>
        <v>52.043199999999999</v>
      </c>
      <c r="BG85">
        <f>IF(ISNUMBER(VLOOKUP($A85,Haver_M!$B$1:$BZ$300,MATCH(data!BG$1,Haver_M!$B$1:$BZ$1,0),FALSE)),VLOOKUP($A85,Haver_M!$B$1:$BZ$300,MATCH(data!BG$1,Haver_M!$B$1:$BZ$1,0),FALSE),"")</f>
        <v>51.2926</v>
      </c>
      <c r="BH85">
        <f>IF(ISNUMBER(VLOOKUP($A85,Haver_M!$B$1:$BZ$300,MATCH(data!BH$1,Haver_M!$B$1:$BZ$1,0),FALSE)),VLOOKUP($A85,Haver_M!$B$1:$BZ$300,MATCH(data!BH$1,Haver_M!$B$1:$BZ$1,0),FALSE),"")</f>
        <v>57.442700000000002</v>
      </c>
      <c r="BI85">
        <f>IF(ISNUMBER(VLOOKUP($A85,Haver_M!$B$1:$BZ$300,MATCH(data!BI$1,Haver_M!$B$1:$BZ$1,0),FALSE)),VLOOKUP($A85,Haver_M!$B$1:$BZ$300,MATCH(data!BI$1,Haver_M!$B$1:$BZ$1,0),FALSE),"")</f>
        <v>52.648499999999999</v>
      </c>
      <c r="BJ85" t="str">
        <f>IF(ISNUMBER(VLOOKUP($A85,Haver_M!$B$1:$BZ$300,MATCH(data!BJ$1,Haver_M!$B$1:$BZ$1,0),FALSE)),VLOOKUP($A85,Haver_M!$B$1:$BZ$300,MATCH(data!BJ$1,Haver_M!$B$1:$BZ$1,0),FALSE),"")</f>
        <v/>
      </c>
      <c r="BK85">
        <f>IF(ISNUMBER(VLOOKUP($A85,Haver_M!$B$1:$BZ$300,MATCH(data!BK$1,Haver_M!$B$1:$BZ$1,0),FALSE)),VLOOKUP($A85,Haver_M!$B$1:$BZ$300,MATCH(data!BK$1,Haver_M!$B$1:$BZ$1,0),FALSE),"")</f>
        <v>51.923499999999997</v>
      </c>
      <c r="BL85">
        <f>IF(ISNUMBER(VLOOKUP($A85,Haver_M!$B$1:$BZ$300,MATCH(data!BL$1,Haver_M!$B$1:$BZ$1,0),FALSE)),VLOOKUP($A85,Haver_M!$B$1:$BZ$300,MATCH(data!BL$1,Haver_M!$B$1:$BZ$1,0),FALSE),"")</f>
        <v>13628.3</v>
      </c>
      <c r="BM85">
        <f>IF(ISNUMBER(VLOOKUP($A85,Haver_M!$B$1:$BZ$300,MATCH(data!BM$1,Haver_M!$B$1:$BZ$1,0),FALSE)),VLOOKUP($A85,Haver_M!$B$1:$BZ$300,MATCH(data!BM$1,Haver_M!$B$1:$BZ$1,0),FALSE),"")</f>
        <v>107.94775937999999</v>
      </c>
      <c r="BN85">
        <f>IF(ISNUMBER(VLOOKUP($A85,Haver_M!$B$1:$BZ$300,MATCH(data!BN$1,Haver_M!$B$1:$BZ$1,0),FALSE)),VLOOKUP($A85,Haver_M!$B$1:$BZ$300,MATCH(data!BN$1,Haver_M!$B$1:$BZ$1,0),FALSE),"")</f>
        <v>123.9</v>
      </c>
      <c r="BO85">
        <f>IF(ISNUMBER(VLOOKUP($A85,Haver_M!$B$1:$BZ$300,MATCH(data!BO$1,Haver_M!$B$1:$BZ$1,0),FALSE)),VLOOKUP($A85,Haver_M!$B$1:$BZ$300,MATCH(data!BO$1,Haver_M!$B$1:$BZ$1,0),FALSE),"")</f>
        <v>125.3</v>
      </c>
      <c r="BP85">
        <f>IF(ISNUMBER(VLOOKUP($A85,Haver_M!$B$1:$BZ$300,MATCH(data!BP$1,Haver_M!$B$1:$BZ$1,0),FALSE)),VLOOKUP($A85,Haver_M!$B$1:$BZ$300,MATCH(data!BP$1,Haver_M!$B$1:$BZ$1,0),FALSE),"")</f>
        <v>51.8</v>
      </c>
      <c r="BQ85" t="str">
        <f>IF(ISNUMBER(VLOOKUP($A85,Haver_M!$B$1:$BZ$300,MATCH(data!BQ$1,Haver_M!$B$1:$BZ$1,0),FALSE)),VLOOKUP($A85,Haver_M!$B$1:$BZ$300,MATCH(data!BQ$1,Haver_M!$B$1:$BZ$1,0),FALSE),"")</f>
        <v/>
      </c>
      <c r="BR85" t="str">
        <f>IF(ISNUMBER(VLOOKUP($A85,Haver_M!$B$1:$BZ$300,MATCH(data!BR$1,Haver_M!$B$1:$BZ$1,0),FALSE)),VLOOKUP($A85,Haver_M!$B$1:$BZ$300,MATCH(data!BR$1,Haver_M!$B$1:$BZ$1,0),FALSE),"")</f>
        <v/>
      </c>
      <c r="BS85" t="str">
        <f>IF(ISNUMBER(VLOOKUP($A85,Haver_M!$B$1:$BZ$300,MATCH(data!BS$1,Haver_M!$B$1:$BZ$1,0),FALSE)),VLOOKUP($A85,Haver_M!$B$1:$BZ$300,MATCH(data!BS$1,Haver_M!$B$1:$BZ$1,0),FALSE),"")</f>
        <v/>
      </c>
      <c r="BT85" t="str">
        <f>IF(ISNUMBER(VLOOKUP($A85,Haver_M!$B$1:$BZ$300,MATCH(data!BT$1,Haver_M!$B$1:$BZ$1,0),FALSE)),VLOOKUP($A85,Haver_M!$B$1:$BZ$300,MATCH(data!BT$1,Haver_M!$B$1:$BZ$1,0),FALSE),"")</f>
        <v/>
      </c>
      <c r="BU85">
        <f>IF(ISNUMBER(VLOOKUP($A85,Haver_M!$B$1:$BZ$300,MATCH(data!BU$1,Haver_M!$B$1:$BZ$1,0),FALSE)),VLOOKUP($A85,Haver_M!$B$1:$BZ$300,MATCH(data!BU$1,Haver_M!$B$1:$BZ$1,0),FALSE),"")</f>
        <v>10834.5</v>
      </c>
      <c r="BV85">
        <f>IF(ISNUMBER(VLOOKUP($A85,Haver_M!$B$1:$BZ$300,MATCH(data!BV$1,Haver_M!$B$1:$BZ$1,0),FALSE)),VLOOKUP($A85,Haver_M!$B$1:$BZ$300,MATCH(data!BV$1,Haver_M!$B$1:$BZ$1,0),FALSE),"")</f>
        <v>15679.6</v>
      </c>
      <c r="BW85">
        <f>IF(ISNUMBER(VLOOKUP($A85,Haver_M!$B$1:$BZ$300,MATCH(data!BW$1,Haver_M!$B$1:$BZ$1,0),FALSE)),VLOOKUP($A85,Haver_M!$B$1:$BZ$300,MATCH(data!BW$1,Haver_M!$B$1:$BZ$1,0),FALSE),"")</f>
        <v>44.617800000000003</v>
      </c>
      <c r="BX85">
        <f>IF(ISNUMBER(VLOOKUP($A85,Haver_M!$B$1:$BZ$300,MATCH(data!BX$1,Haver_M!$B$1:$BZ$1,0),FALSE)),VLOOKUP($A85,Haver_M!$B$1:$BZ$300,MATCH(data!BX$1,Haver_M!$B$1:$BZ$1,0),FALSE),"")</f>
        <v>17793</v>
      </c>
    </row>
    <row r="86" spans="1:76" x14ac:dyDescent="0.25">
      <c r="A86" s="2">
        <v>39113</v>
      </c>
      <c r="B86" t="str">
        <f>IF(ISNUMBER(VLOOKUP($A86,Haver_Q!$B$1:$L$185,MATCH(data!B$1,Haver_Q!$B$1:$L$1,0),FALSE)),100*(VLOOKUP($A86,Haver_Q!$B$1:$L$185,MATCH(data!B$1,Haver_Q!$B$1:$L$1,0),FALSE)),"")</f>
        <v/>
      </c>
      <c r="C86" t="str">
        <f>IF(ISNUMBER(VLOOKUP($A86,Haver_Q!$B$1:$L$185,MATCH(data!C$1,Haver_Q!$B$1:$L$1,0),FALSE)),100*(VLOOKUP($A86,Haver_Q!$B$1:$L$185,MATCH(data!C$1,Haver_Q!$B$1:$L$1,0),FALSE)),"")</f>
        <v/>
      </c>
      <c r="D86" t="str">
        <f>IF(ISNUMBER(VLOOKUP($A86,Haver_Q!$B$1:$L$185,MATCH(data!D$1,Haver_Q!$B$1:$L$1,0),FALSE)),100*(VLOOKUP($A86,Haver_Q!$B$1:$L$185,MATCH(data!D$1,Haver_Q!$B$1:$L$1,0),FALSE)),"")</f>
        <v/>
      </c>
      <c r="E86" t="str">
        <f>IF(ISNUMBER(VLOOKUP($A86,Haver_Q!$B$1:$L$185,MATCH(data!E$1,Haver_Q!$B$1:$L$1,0),FALSE)),100*(VLOOKUP($A86,Haver_Q!$B$1:$L$185,MATCH(data!E$1,Haver_Q!$B$1:$L$1,0),FALSE)),"")</f>
        <v/>
      </c>
      <c r="F86" t="str">
        <f>IF(ISNUMBER(VLOOKUP($A86,Haver_Q!$B$1:$L$185,MATCH(data!F$1,Haver_Q!$B$1:$L$1,0),FALSE)),100*(VLOOKUP($A86,Haver_Q!$B$1:$L$185,MATCH(data!F$1,Haver_Q!$B$1:$L$1,0),FALSE)),"")</f>
        <v/>
      </c>
      <c r="G86" t="str">
        <f>IF(ISNUMBER(VLOOKUP($A86,Haver_Q!$B$1:$L$185,MATCH(data!G$1,Haver_Q!$B$1:$L$1,0),FALSE)),100*(VLOOKUP($A86,Haver_Q!$B$1:$L$185,MATCH(data!G$1,Haver_Q!$B$1:$L$1,0),FALSE)),"")</f>
        <v/>
      </c>
      <c r="H86" t="str">
        <f>IF(ISNUMBER(VLOOKUP($A86,Haver_Q!$B$1:$L$185,MATCH(data!H$1,Haver_Q!$B$1:$L$1,0),FALSE)),(VLOOKUP($A86,Haver_Q!$B$1:$L$185,MATCH(data!H$1,Haver_Q!$B$1:$L$1,0),FALSE)),"")</f>
        <v/>
      </c>
      <c r="I86" t="str">
        <f>IF(ISNUMBER(VLOOKUP($A86,Haver_Q!$B$1:$L$185,MATCH(data!I$1,Haver_Q!$B$1:$L$1,0),FALSE)),100*(VLOOKUP($A86,Haver_Q!$B$1:$L$185,MATCH(data!I$1,Haver_Q!$B$1:$L$1,0),FALSE)),"")</f>
        <v/>
      </c>
      <c r="J86" s="3">
        <f>IF(ISNUMBER(Bloomberg_m!C102),Bloomberg_m!C102,"")</f>
        <v>4462</v>
      </c>
      <c r="K86" s="3" t="str">
        <f>IF(ISNUMBER(Bloomberg_m!D102),Bloomberg_m!D102,"")</f>
        <v/>
      </c>
      <c r="L86" s="3" t="str">
        <f>IF(ISNUMBER(Bloomberg_m!E102),Bloomberg_m!E102,"")</f>
        <v/>
      </c>
      <c r="M86" s="3" t="str">
        <f>IF(ISNUMBER(Bloomberg_m!F102),Bloomberg_m!F102,"")</f>
        <v/>
      </c>
      <c r="N86">
        <f>IF(ISNUMBER(VLOOKUP($A86,Haver_M!$B$1:$BZ$300,MATCH(data!N$1,Haver_M!$B$1:$BZ$1,0),FALSE)),VLOOKUP($A86,Haver_M!$B$1:$BZ$300,MATCH(data!N$1,Haver_M!$B$1:$BZ$1,0),FALSE),"")</f>
        <v>7.5</v>
      </c>
      <c r="O86">
        <f>IF(ISNUMBER(VLOOKUP($A86,Haver_M!$B$1:$BZ$300,MATCH(data!O$1,Haver_M!$B$1:$BZ$1,0),FALSE)),VLOOKUP($A86,Haver_M!$B$1:$BZ$300,MATCH(data!O$1,Haver_M!$B$1:$BZ$1,0),FALSE),"")</f>
        <v>7.7739000000000003</v>
      </c>
      <c r="P86">
        <f>IF(ISNUMBER(VLOOKUP($A86,Haver_M!$B$1:$BZ$300,MATCH(data!P$1,Haver_M!$B$1:$BZ$1,0),FALSE)),VLOOKUP($A86,Haver_M!$B$1:$BZ$300,MATCH(data!P$1,Haver_M!$B$1:$BZ$1,0),FALSE),"")</f>
        <v>95.429100000000005</v>
      </c>
      <c r="Q86">
        <f>IF(ISNUMBER(VLOOKUP($A86,Haver_M!$B$1:$BZ$300,MATCH(data!Q$1,Haver_M!$B$1:$BZ$1,0),FALSE)),VLOOKUP($A86,Haver_M!$B$1:$BZ$300,MATCH(data!Q$1,Haver_M!$B$1:$BZ$1,0),FALSE),"")</f>
        <v>62.5</v>
      </c>
      <c r="R86" t="str">
        <f>IF(ISNUMBER(VLOOKUP($A86,Haver_M!$B$1:$BZ$300,MATCH(data!R$1,Haver_M!$B$1:$BZ$1,0),FALSE)),VLOOKUP($A86,Haver_M!$B$1:$BZ$300,MATCH(data!R$1,Haver_M!$B$1:$BZ$1,0),FALSE),"")</f>
        <v/>
      </c>
      <c r="S86">
        <f>IF(ISNUMBER(VLOOKUP($A86,Haver_M!$B$1:$BZ$300,MATCH(data!S$1,Haver_M!$B$1:$BZ$1,0),FALSE)),VLOOKUP($A86,Haver_M!$B$1:$BZ$300,MATCH(data!S$1,Haver_M!$B$1:$BZ$1,0),FALSE),"")</f>
        <v>78.08</v>
      </c>
      <c r="T86">
        <f>IF(ISNUMBER(VLOOKUP($A86,Haver_M!$B$1:$BZ$300,MATCH(data!T$1,Haver_M!$B$1:$BZ$1,0),FALSE)),VLOOKUP($A86,Haver_M!$B$1:$BZ$300,MATCH(data!T$1,Haver_M!$B$1:$BZ$1,0),FALSE),"")</f>
        <v>79.58</v>
      </c>
      <c r="U86">
        <f>IF(ISNUMBER(VLOOKUP($A86,Haver_M!$B$1:$BZ$300,MATCH(data!U$1,Haver_M!$B$1:$BZ$1,0),FALSE)),VLOOKUP($A86,Haver_M!$B$1:$BZ$300,MATCH(data!U$1,Haver_M!$B$1:$BZ$1,0),FALSE),"")</f>
        <v>69.260000000000005</v>
      </c>
      <c r="V86">
        <f>IF(ISNUMBER(VLOOKUP($A86,Haver_M!$B$1:$BZ$300,MATCH(data!V$1,Haver_M!$B$1:$BZ$1,0),FALSE)),VLOOKUP($A86,Haver_M!$B$1:$BZ$300,MATCH(data!V$1,Haver_M!$B$1:$BZ$1,0),FALSE),"")</f>
        <v>89.51</v>
      </c>
      <c r="W86" t="str">
        <f>IF(ISNUMBER(VLOOKUP($A86,Haver_M!$B$1:$BZ$300,MATCH(data!W$1,Haver_M!$B$1:$BZ$1,0),FALSE)),VLOOKUP($A86,Haver_M!$B$1:$BZ$300,MATCH(data!W$1,Haver_M!$B$1:$BZ$1,0),FALSE),"")</f>
        <v/>
      </c>
      <c r="X86">
        <f>IF(ISNUMBER(VLOOKUP($A86,Haver_M!$B$1:$BZ$300,MATCH(data!X$1,Haver_M!$B$1:$BZ$1,0),FALSE)),VLOOKUP($A86,Haver_M!$B$1:$BZ$300,MATCH(data!X$1,Haver_M!$B$1:$BZ$1,0),FALSE),"")</f>
        <v>52.93</v>
      </c>
      <c r="Y86">
        <f>IF(ISNUMBER(VLOOKUP($A86,Haver_M!$B$1:$BZ$300,MATCH(data!Y$1,Haver_M!$B$1:$BZ$1,0),FALSE)),VLOOKUP($A86,Haver_M!$B$1:$BZ$300,MATCH(data!Y$1,Haver_M!$B$1:$BZ$1,0),FALSE),"")</f>
        <v>87.54</v>
      </c>
      <c r="Z86">
        <f>IF(ISNUMBER(VLOOKUP($A86,Haver_M!$B$1:$BZ$300,MATCH(data!Z$1,Haver_M!$B$1:$BZ$1,0),FALSE)),VLOOKUP($A86,Haver_M!$B$1:$BZ$300,MATCH(data!Z$1,Haver_M!$B$1:$BZ$1,0),FALSE),"")</f>
        <v>79.8</v>
      </c>
      <c r="AA86">
        <f>IF(ISNUMBER(VLOOKUP($A86,Haver_M!$B$1:$BZ$300,MATCH(data!AA$1,Haver_M!$B$1:$BZ$1,0),FALSE)),VLOOKUP($A86,Haver_M!$B$1:$BZ$300,MATCH(data!AA$1,Haver_M!$B$1:$BZ$1,0),FALSE),"")</f>
        <v>82.569000000000003</v>
      </c>
      <c r="AB86">
        <f>IF(ISNUMBER(VLOOKUP($A86,Haver_M!$B$1:$BZ$300,MATCH(data!AB$1,Haver_M!$B$1:$BZ$1,0),FALSE)),VLOOKUP($A86,Haver_M!$B$1:$BZ$300,MATCH(data!AB$1,Haver_M!$B$1:$BZ$1,0),FALSE),"")</f>
        <v>89.344999999999999</v>
      </c>
      <c r="AC86">
        <f>IF(ISNUMBER(VLOOKUP($A86,Haver_M!$B$1:$BZ$300,MATCH(data!AC$1,Haver_M!$B$1:$BZ$1,0),FALSE)),VLOOKUP($A86,Haver_M!$B$1:$BZ$300,MATCH(data!AC$1,Haver_M!$B$1:$BZ$1,0),FALSE),"")</f>
        <v>69.004000000000005</v>
      </c>
      <c r="AD86">
        <f>IF(ISNUMBER(VLOOKUP($A86,Haver_M!$B$1:$BZ$300,MATCH(data!AD$1,Haver_M!$B$1:$BZ$1,0),FALSE)),VLOOKUP($A86,Haver_M!$B$1:$BZ$300,MATCH(data!AD$1,Haver_M!$B$1:$BZ$1,0),FALSE),"")</f>
        <v>89.347999999999999</v>
      </c>
      <c r="AE86">
        <f>IF(ISNUMBER(VLOOKUP($A86,Haver_M!$B$1:$BZ$300,MATCH(data!AE$1,Haver_M!$B$1:$BZ$1,0),FALSE)),VLOOKUP($A86,Haver_M!$B$1:$BZ$300,MATCH(data!AE$1,Haver_M!$B$1:$BZ$1,0),FALSE),"")</f>
        <v>97.447999999999993</v>
      </c>
      <c r="AF86">
        <f>IF(ISNUMBER(VLOOKUP($A86,Haver_M!$B$1:$BZ$300,MATCH(data!AF$1,Haver_M!$B$1:$BZ$1,0),FALSE)),VLOOKUP($A86,Haver_M!$B$1:$BZ$300,MATCH(data!AF$1,Haver_M!$B$1:$BZ$1,0),FALSE),"")</f>
        <v>70.671999999999997</v>
      </c>
      <c r="AG86">
        <f>IF(ISNUMBER(VLOOKUP($A86,Haver_M!$B$1:$BZ$300,MATCH(data!AG$1,Haver_M!$B$1:$BZ$1,0),FALSE)),VLOOKUP($A86,Haver_M!$B$1:$BZ$300,MATCH(data!AG$1,Haver_M!$B$1:$BZ$1,0),FALSE),"")</f>
        <v>71.730999999999995</v>
      </c>
      <c r="AH86">
        <f>IF(ISNUMBER(VLOOKUP($A86,Haver_M!$B$1:$BZ$300,MATCH(data!AH$1,Haver_M!$B$1:$BZ$1,0),FALSE)),VLOOKUP($A86,Haver_M!$B$1:$BZ$300,MATCH(data!AH$1,Haver_M!$B$1:$BZ$1,0),FALSE),"")</f>
        <v>77.930999999999997</v>
      </c>
      <c r="AI86">
        <f>IF(ISNUMBER(VLOOKUP($A86,Haver_M!$B$1:$BZ$300,MATCH(data!AI$1,Haver_M!$B$1:$BZ$1,0),FALSE)),VLOOKUP($A86,Haver_M!$B$1:$BZ$300,MATCH(data!AI$1,Haver_M!$B$1:$BZ$1,0),FALSE),"")</f>
        <v>10414.135029668909</v>
      </c>
      <c r="AJ86">
        <f>IF(ISNUMBER(VLOOKUP($A86,Haver_M!$B$1:$BZ$300,MATCH(data!AJ$1,Haver_M!$B$1:$BZ$1,0),FALSE)),VLOOKUP($A86,Haver_M!$B$1:$BZ$300,MATCH(data!AJ$1,Haver_M!$B$1:$BZ$1,0),FALSE),"")</f>
        <v>11101.46</v>
      </c>
      <c r="AK86">
        <f>IF(ISNUMBER(VLOOKUP($A86,Haver_M!$B$1:$BZ$300,MATCH(data!AK$1,Haver_M!$B$1:$BZ$1,0),FALSE)),VLOOKUP($A86,Haver_M!$B$1:$BZ$300,MATCH(data!AK$1,Haver_M!$B$1:$BZ$1,0),FALSE),"")</f>
        <v>14815.46</v>
      </c>
      <c r="AL86" t="str">
        <f>IF(ISNUMBER(VLOOKUP($A86,Haver_M!$B$1:$BZ$300,MATCH(data!AL$1,Haver_M!$B$1:$BZ$1,0),FALSE)),VLOOKUP($A86,Haver_M!$B$1:$BZ$300,MATCH(data!AL$1,Haver_M!$B$1:$BZ$1,0),FALSE),"")</f>
        <v/>
      </c>
      <c r="AM86" t="str">
        <f>IF(ISNUMBER(VLOOKUP($A86,Haver_M!$B$1:$BZ$300,MATCH(data!AM$1,Haver_M!$B$1:$BZ$1,0),FALSE)),VLOOKUP($A86,Haver_M!$B$1:$BZ$300,MATCH(data!AM$1,Haver_M!$B$1:$BZ$1,0),FALSE),"")</f>
        <v/>
      </c>
      <c r="AN86" t="str">
        <f>IF(ISNUMBER(VLOOKUP($A86,Haver_M!$B$1:$BZ$300,MATCH(data!AN$1,Haver_M!$B$1:$BZ$1,0),FALSE)),VLOOKUP($A86,Haver_M!$B$1:$BZ$300,MATCH(data!AN$1,Haver_M!$B$1:$BZ$1,0),FALSE),"")</f>
        <v/>
      </c>
      <c r="AO86" t="str">
        <f>IF(ISNUMBER(VLOOKUP($A86,Haver_M!$B$1:$BZ$300,MATCH(data!AO$1,Haver_M!$B$1:$BZ$1,0),FALSE)),VLOOKUP($A86,Haver_M!$B$1:$BZ$300,MATCH(data!AO$1,Haver_M!$B$1:$BZ$1,0),FALSE),"")</f>
        <v/>
      </c>
      <c r="AP86">
        <f>IF(ISNUMBER(VLOOKUP($A86,Haver_M!$B$1:$BZ$300,MATCH(data!AP$1,Haver_M!$B$1:$BZ$1,0),FALSE)),VLOOKUP($A86,Haver_M!$B$1:$BZ$300,MATCH(data!AP$1,Haver_M!$B$1:$BZ$1,0),FALSE),"")</f>
        <v>49.26674027485916</v>
      </c>
      <c r="AQ86">
        <f>IF(ISNUMBER(VLOOKUP($A86,Haver_M!$B$1:$BZ$300,MATCH(data!AQ$1,Haver_M!$B$1:$BZ$1,0),FALSE)),VLOOKUP($A86,Haver_M!$B$1:$BZ$300,MATCH(data!AQ$1,Haver_M!$B$1:$BZ$1,0),FALSE),"")</f>
        <v>56.856999999999999</v>
      </c>
      <c r="AR86">
        <f>IF(ISNUMBER(VLOOKUP($A86,Haver_M!$B$1:$BZ$300,MATCH(data!AR$1,Haver_M!$B$1:$BZ$1,0),FALSE)),VLOOKUP($A86,Haver_M!$B$1:$BZ$300,MATCH(data!AR$1,Haver_M!$B$1:$BZ$1,0),FALSE),"")</f>
        <v>55.286900000000003</v>
      </c>
      <c r="AS86">
        <f>IF(ISNUMBER(VLOOKUP($A86,Haver_M!$B$1:$BZ$300,MATCH(data!AS$1,Haver_M!$B$1:$BZ$1,0),FALSE)),VLOOKUP($A86,Haver_M!$B$1:$BZ$300,MATCH(data!AS$1,Haver_M!$B$1:$BZ$1,0),FALSE),"")</f>
        <v>56.3217</v>
      </c>
      <c r="AT86">
        <f>IF(ISNUMBER(VLOOKUP($A86,Haver_M!$B$1:$BZ$300,MATCH(data!AT$1,Haver_M!$B$1:$BZ$1,0),FALSE)),VLOOKUP($A86,Haver_M!$B$1:$BZ$300,MATCH(data!AT$1,Haver_M!$B$1:$BZ$1,0),FALSE),"")</f>
        <v>58.060099999999998</v>
      </c>
      <c r="AU86">
        <f>IF(ISNUMBER(VLOOKUP($A86,Haver_M!$B$1:$BZ$300,MATCH(data!AU$1,Haver_M!$B$1:$BZ$1,0),FALSE)),VLOOKUP($A86,Haver_M!$B$1:$BZ$300,MATCH(data!AU$1,Haver_M!$B$1:$BZ$1,0),FALSE),"")</f>
        <v>59.6995</v>
      </c>
      <c r="AV86">
        <f>IF(ISNUMBER(VLOOKUP($A86,Haver_M!$B$1:$BZ$300,MATCH(data!AV$1,Haver_M!$B$1:$BZ$1,0),FALSE)),VLOOKUP($A86,Haver_M!$B$1:$BZ$300,MATCH(data!AV$1,Haver_M!$B$1:$BZ$1,0),FALSE),"")</f>
        <v>50.683100000000003</v>
      </c>
      <c r="AW86">
        <f>IF(ISNUMBER(VLOOKUP($A86,Haver_M!$B$1:$BZ$300,MATCH(data!AW$1,Haver_M!$B$1:$BZ$1,0),FALSE)),VLOOKUP($A86,Haver_M!$B$1:$BZ$300,MATCH(data!AW$1,Haver_M!$B$1:$BZ$1,0),FALSE),"")</f>
        <v>50.136600000000001</v>
      </c>
      <c r="AX86">
        <f>IF(ISNUMBER(VLOOKUP($A86,Haver_M!$B$1:$BZ$300,MATCH(data!AX$1,Haver_M!$B$1:$BZ$1,0),FALSE)),VLOOKUP($A86,Haver_M!$B$1:$BZ$300,MATCH(data!AX$1,Haver_M!$B$1:$BZ$1,0),FALSE),"")</f>
        <v>52.459000000000003</v>
      </c>
      <c r="AY86">
        <f>IF(ISNUMBER(VLOOKUP($A86,Haver_M!$B$1:$BZ$300,MATCH(data!AY$1,Haver_M!$B$1:$BZ$1,0),FALSE)),VLOOKUP($A86,Haver_M!$B$1:$BZ$300,MATCH(data!AY$1,Haver_M!$B$1:$BZ$1,0),FALSE),"")</f>
        <v>52.868899999999996</v>
      </c>
      <c r="AZ86">
        <f>IF(ISNUMBER(VLOOKUP($A86,Haver_M!$B$1:$BZ$300,MATCH(data!AZ$1,Haver_M!$B$1:$BZ$1,0),FALSE)),VLOOKUP($A86,Haver_M!$B$1:$BZ$300,MATCH(data!AZ$1,Haver_M!$B$1:$BZ$1,0),FALSE),"")</f>
        <v>57.5137</v>
      </c>
      <c r="BA86">
        <f>IF(ISNUMBER(VLOOKUP($A86,Haver_M!$B$1:$BZ$300,MATCH(data!BA$1,Haver_M!$B$1:$BZ$1,0),FALSE)),VLOOKUP($A86,Haver_M!$B$1:$BZ$300,MATCH(data!BA$1,Haver_M!$B$1:$BZ$1,0),FALSE),"")</f>
        <v>52.459000000000003</v>
      </c>
      <c r="BB86">
        <f>IF(ISNUMBER(VLOOKUP($A86,Haver_M!$B$1:$BZ$300,MATCH(data!BB$1,Haver_M!$B$1:$BZ$1,0),FALSE)),VLOOKUP($A86,Haver_M!$B$1:$BZ$300,MATCH(data!BB$1,Haver_M!$B$1:$BZ$1,0),FALSE),"")</f>
        <v>53.367899999999999</v>
      </c>
      <c r="BC86">
        <f>IF(ISNUMBER(VLOOKUP($A86,Haver_M!$B$1:$BZ$300,MATCH(data!BC$1,Haver_M!$B$1:$BZ$1,0),FALSE)),VLOOKUP($A86,Haver_M!$B$1:$BZ$300,MATCH(data!BC$1,Haver_M!$B$1:$BZ$1,0),FALSE),"")</f>
        <v>50.683100000000003</v>
      </c>
      <c r="BD86">
        <f>IF(ISNUMBER(VLOOKUP($A86,Haver_M!$B$1:$BZ$300,MATCH(data!BD$1,Haver_M!$B$1:$BZ$1,0),FALSE)),VLOOKUP($A86,Haver_M!$B$1:$BZ$300,MATCH(data!BD$1,Haver_M!$B$1:$BZ$1,0),FALSE),"")</f>
        <v>50</v>
      </c>
      <c r="BE86">
        <f>IF(ISNUMBER(VLOOKUP($A86,Haver_M!$B$1:$BZ$300,MATCH(data!BE$1,Haver_M!$B$1:$BZ$1,0),FALSE)),VLOOKUP($A86,Haver_M!$B$1:$BZ$300,MATCH(data!BE$1,Haver_M!$B$1:$BZ$1,0),FALSE),"")</f>
        <v>1.1842999999999999</v>
      </c>
      <c r="BF86">
        <f>IF(ISNUMBER(VLOOKUP($A86,Haver_M!$B$1:$BZ$300,MATCH(data!BF$1,Haver_M!$B$1:$BZ$1,0),FALSE)),VLOOKUP($A86,Haver_M!$B$1:$BZ$300,MATCH(data!BF$1,Haver_M!$B$1:$BZ$1,0),FALSE),"")</f>
        <v>51.1813</v>
      </c>
      <c r="BG86">
        <f>IF(ISNUMBER(VLOOKUP($A86,Haver_M!$B$1:$BZ$300,MATCH(data!BG$1,Haver_M!$B$1:$BZ$1,0),FALSE)),VLOOKUP($A86,Haver_M!$B$1:$BZ$300,MATCH(data!BG$1,Haver_M!$B$1:$BZ$1,0),FALSE),"")</f>
        <v>51.045099999999998</v>
      </c>
      <c r="BH86">
        <f>IF(ISNUMBER(VLOOKUP($A86,Haver_M!$B$1:$BZ$300,MATCH(data!BH$1,Haver_M!$B$1:$BZ$1,0),FALSE)),VLOOKUP($A86,Haver_M!$B$1:$BZ$300,MATCH(data!BH$1,Haver_M!$B$1:$BZ$1,0),FALSE),"")</f>
        <v>54.059699999999999</v>
      </c>
      <c r="BI86">
        <f>IF(ISNUMBER(VLOOKUP($A86,Haver_M!$B$1:$BZ$300,MATCH(data!BI$1,Haver_M!$B$1:$BZ$1,0),FALSE)),VLOOKUP($A86,Haver_M!$B$1:$BZ$300,MATCH(data!BI$1,Haver_M!$B$1:$BZ$1,0),FALSE),"")</f>
        <v>51.663800000000002</v>
      </c>
      <c r="BJ86" t="str">
        <f>IF(ISNUMBER(VLOOKUP($A86,Haver_M!$B$1:$BZ$300,MATCH(data!BJ$1,Haver_M!$B$1:$BZ$1,0),FALSE)),VLOOKUP($A86,Haver_M!$B$1:$BZ$300,MATCH(data!BJ$1,Haver_M!$B$1:$BZ$1,0),FALSE),"")</f>
        <v/>
      </c>
      <c r="BK86">
        <f>IF(ISNUMBER(VLOOKUP($A86,Haver_M!$B$1:$BZ$300,MATCH(data!BK$1,Haver_M!$B$1:$BZ$1,0),FALSE)),VLOOKUP($A86,Haver_M!$B$1:$BZ$300,MATCH(data!BK$1,Haver_M!$B$1:$BZ$1,0),FALSE),"")</f>
        <v>50.3322</v>
      </c>
      <c r="BL86">
        <f>IF(ISNUMBER(VLOOKUP($A86,Haver_M!$B$1:$BZ$300,MATCH(data!BL$1,Haver_M!$B$1:$BZ$1,0),FALSE)),VLOOKUP($A86,Haver_M!$B$1:$BZ$300,MATCH(data!BL$1,Haver_M!$B$1:$BZ$1,0),FALSE),"")</f>
        <v>13984</v>
      </c>
      <c r="BM86">
        <f>IF(ISNUMBER(VLOOKUP($A86,Haver_M!$B$1:$BZ$300,MATCH(data!BM$1,Haver_M!$B$1:$BZ$1,0),FALSE)),VLOOKUP($A86,Haver_M!$B$1:$BZ$300,MATCH(data!BM$1,Haver_M!$B$1:$BZ$1,0),FALSE),"")</f>
        <v>107.63777954</v>
      </c>
      <c r="BN86" t="str">
        <f>IF(ISNUMBER(VLOOKUP($A86,Haver_M!$B$1:$BZ$300,MATCH(data!BN$1,Haver_M!$B$1:$BZ$1,0),FALSE)),VLOOKUP($A86,Haver_M!$B$1:$BZ$300,MATCH(data!BN$1,Haver_M!$B$1:$BZ$1,0),FALSE),"")</f>
        <v/>
      </c>
      <c r="BO86" t="str">
        <f>IF(ISNUMBER(VLOOKUP($A86,Haver_M!$B$1:$BZ$300,MATCH(data!BO$1,Haver_M!$B$1:$BZ$1,0),FALSE)),VLOOKUP($A86,Haver_M!$B$1:$BZ$300,MATCH(data!BO$1,Haver_M!$B$1:$BZ$1,0),FALSE),"")</f>
        <v/>
      </c>
      <c r="BP86" t="str">
        <f>IF(ISNUMBER(VLOOKUP($A86,Haver_M!$B$1:$BZ$300,MATCH(data!BP$1,Haver_M!$B$1:$BZ$1,0),FALSE)),VLOOKUP($A86,Haver_M!$B$1:$BZ$300,MATCH(data!BP$1,Haver_M!$B$1:$BZ$1,0),FALSE),"")</f>
        <v/>
      </c>
      <c r="BQ86" t="str">
        <f>IF(ISNUMBER(VLOOKUP($A86,Haver_M!$B$1:$BZ$300,MATCH(data!BQ$1,Haver_M!$B$1:$BZ$1,0),FALSE)),VLOOKUP($A86,Haver_M!$B$1:$BZ$300,MATCH(data!BQ$1,Haver_M!$B$1:$BZ$1,0),FALSE),"")</f>
        <v/>
      </c>
      <c r="BR86" t="str">
        <f>IF(ISNUMBER(VLOOKUP($A86,Haver_M!$B$1:$BZ$300,MATCH(data!BR$1,Haver_M!$B$1:$BZ$1,0),FALSE)),VLOOKUP($A86,Haver_M!$B$1:$BZ$300,MATCH(data!BR$1,Haver_M!$B$1:$BZ$1,0),FALSE),"")</f>
        <v/>
      </c>
      <c r="BS86" t="str">
        <f>IF(ISNUMBER(VLOOKUP($A86,Haver_M!$B$1:$BZ$300,MATCH(data!BS$1,Haver_M!$B$1:$BZ$1,0),FALSE)),VLOOKUP($A86,Haver_M!$B$1:$BZ$300,MATCH(data!BS$1,Haver_M!$B$1:$BZ$1,0),FALSE),"")</f>
        <v/>
      </c>
      <c r="BT86" t="str">
        <f>IF(ISNUMBER(VLOOKUP($A86,Haver_M!$B$1:$BZ$300,MATCH(data!BT$1,Haver_M!$B$1:$BZ$1,0),FALSE)),VLOOKUP($A86,Haver_M!$B$1:$BZ$300,MATCH(data!BT$1,Haver_M!$B$1:$BZ$1,0),FALSE),"")</f>
        <v/>
      </c>
      <c r="BU86">
        <f>IF(ISNUMBER(VLOOKUP($A86,Haver_M!$B$1:$BZ$300,MATCH(data!BU$1,Haver_M!$B$1:$BZ$1,0),FALSE)),VLOOKUP($A86,Haver_M!$B$1:$BZ$300,MATCH(data!BU$1,Haver_M!$B$1:$BZ$1,0),FALSE),"")</f>
        <v>10967</v>
      </c>
      <c r="BV86">
        <f>IF(ISNUMBER(VLOOKUP($A86,Haver_M!$B$1:$BZ$300,MATCH(data!BV$1,Haver_M!$B$1:$BZ$1,0),FALSE)),VLOOKUP($A86,Haver_M!$B$1:$BZ$300,MATCH(data!BV$1,Haver_M!$B$1:$BZ$1,0),FALSE),"")</f>
        <v>14446.9</v>
      </c>
      <c r="BW86">
        <f>IF(ISNUMBER(VLOOKUP($A86,Haver_M!$B$1:$BZ$300,MATCH(data!BW$1,Haver_M!$B$1:$BZ$1,0),FALSE)),VLOOKUP($A86,Haver_M!$B$1:$BZ$300,MATCH(data!BW$1,Haver_M!$B$1:$BZ$1,0),FALSE),"")</f>
        <v>44.332999999999998</v>
      </c>
      <c r="BX86">
        <f>IF(ISNUMBER(VLOOKUP($A86,Haver_M!$B$1:$BZ$300,MATCH(data!BX$1,Haver_M!$B$1:$BZ$1,0),FALSE)),VLOOKUP($A86,Haver_M!$B$1:$BZ$300,MATCH(data!BX$1,Haver_M!$B$1:$BZ$1,0),FALSE),"")</f>
        <v>18053</v>
      </c>
    </row>
    <row r="87" spans="1:76" x14ac:dyDescent="0.25">
      <c r="A87" s="2">
        <v>39141</v>
      </c>
      <c r="B87" t="str">
        <f>IF(ISNUMBER(VLOOKUP($A87,Haver_Q!$B$1:$L$185,MATCH(data!B$1,Haver_Q!$B$1:$L$1,0),FALSE)),100*(VLOOKUP($A87,Haver_Q!$B$1:$L$185,MATCH(data!B$1,Haver_Q!$B$1:$L$1,0),FALSE)),"")</f>
        <v/>
      </c>
      <c r="C87" t="str">
        <f>IF(ISNUMBER(VLOOKUP($A87,Haver_Q!$B$1:$L$185,MATCH(data!C$1,Haver_Q!$B$1:$L$1,0),FALSE)),100*(VLOOKUP($A87,Haver_Q!$B$1:$L$185,MATCH(data!C$1,Haver_Q!$B$1:$L$1,0),FALSE)),"")</f>
        <v/>
      </c>
      <c r="D87" t="str">
        <f>IF(ISNUMBER(VLOOKUP($A87,Haver_Q!$B$1:$L$185,MATCH(data!D$1,Haver_Q!$B$1:$L$1,0),FALSE)),100*(VLOOKUP($A87,Haver_Q!$B$1:$L$185,MATCH(data!D$1,Haver_Q!$B$1:$L$1,0),FALSE)),"")</f>
        <v/>
      </c>
      <c r="E87" t="str">
        <f>IF(ISNUMBER(VLOOKUP($A87,Haver_Q!$B$1:$L$185,MATCH(data!E$1,Haver_Q!$B$1:$L$1,0),FALSE)),100*(VLOOKUP($A87,Haver_Q!$B$1:$L$185,MATCH(data!E$1,Haver_Q!$B$1:$L$1,0),FALSE)),"")</f>
        <v/>
      </c>
      <c r="F87" t="str">
        <f>IF(ISNUMBER(VLOOKUP($A87,Haver_Q!$B$1:$L$185,MATCH(data!F$1,Haver_Q!$B$1:$L$1,0),FALSE)),100*(VLOOKUP($A87,Haver_Q!$B$1:$L$185,MATCH(data!F$1,Haver_Q!$B$1:$L$1,0),FALSE)),"")</f>
        <v/>
      </c>
      <c r="G87" t="str">
        <f>IF(ISNUMBER(VLOOKUP($A87,Haver_Q!$B$1:$L$185,MATCH(data!G$1,Haver_Q!$B$1:$L$1,0),FALSE)),100*(VLOOKUP($A87,Haver_Q!$B$1:$L$185,MATCH(data!G$1,Haver_Q!$B$1:$L$1,0),FALSE)),"")</f>
        <v/>
      </c>
      <c r="H87" t="str">
        <f>IF(ISNUMBER(VLOOKUP($A87,Haver_Q!$B$1:$L$185,MATCH(data!H$1,Haver_Q!$B$1:$L$1,0),FALSE)),(VLOOKUP($A87,Haver_Q!$B$1:$L$185,MATCH(data!H$1,Haver_Q!$B$1:$L$1,0),FALSE)),"")</f>
        <v/>
      </c>
      <c r="I87" t="str">
        <f>IF(ISNUMBER(VLOOKUP($A87,Haver_Q!$B$1:$L$185,MATCH(data!I$1,Haver_Q!$B$1:$L$1,0),FALSE)),100*(VLOOKUP($A87,Haver_Q!$B$1:$L$185,MATCH(data!I$1,Haver_Q!$B$1:$L$1,0),FALSE)),"")</f>
        <v/>
      </c>
      <c r="J87" s="3">
        <f>IF(ISNUMBER(Bloomberg_m!C103),Bloomberg_m!C103,"")</f>
        <v>4398</v>
      </c>
      <c r="K87" s="3" t="str">
        <f>IF(ISNUMBER(Bloomberg_m!D103),Bloomberg_m!D103,"")</f>
        <v/>
      </c>
      <c r="L87" s="3" t="str">
        <f>IF(ISNUMBER(Bloomberg_m!E103),Bloomberg_m!E103,"")</f>
        <v/>
      </c>
      <c r="M87" s="3" t="str">
        <f>IF(ISNUMBER(Bloomberg_m!F103),Bloomberg_m!F103,"")</f>
        <v/>
      </c>
      <c r="N87">
        <f>IF(ISNUMBER(VLOOKUP($A87,Haver_M!$B$1:$BZ$300,MATCH(data!N$1,Haver_M!$B$1:$BZ$1,0),FALSE)),VLOOKUP($A87,Haver_M!$B$1:$BZ$300,MATCH(data!N$1,Haver_M!$B$1:$BZ$1,0),FALSE),"")</f>
        <v>7.5</v>
      </c>
      <c r="O87">
        <f>IF(ISNUMBER(VLOOKUP($A87,Haver_M!$B$1:$BZ$300,MATCH(data!O$1,Haver_M!$B$1:$BZ$1,0),FALSE)),VLOOKUP($A87,Haver_M!$B$1:$BZ$300,MATCH(data!O$1,Haver_M!$B$1:$BZ$1,0),FALSE),"")</f>
        <v>7.9454000000000002</v>
      </c>
      <c r="P87">
        <f>IF(ISNUMBER(VLOOKUP($A87,Haver_M!$B$1:$BZ$300,MATCH(data!P$1,Haver_M!$B$1:$BZ$1,0),FALSE)),VLOOKUP($A87,Haver_M!$B$1:$BZ$300,MATCH(data!P$1,Haver_M!$B$1:$BZ$1,0),FALSE),"")</f>
        <v>95.342690000000005</v>
      </c>
      <c r="Q87">
        <f>IF(ISNUMBER(VLOOKUP($A87,Haver_M!$B$1:$BZ$300,MATCH(data!Q$1,Haver_M!$B$1:$BZ$1,0),FALSE)),VLOOKUP($A87,Haver_M!$B$1:$BZ$300,MATCH(data!Q$1,Haver_M!$B$1:$BZ$1,0),FALSE),"")</f>
        <v>62.6</v>
      </c>
      <c r="R87" t="str">
        <f>IF(ISNUMBER(VLOOKUP($A87,Haver_M!$B$1:$BZ$300,MATCH(data!R$1,Haver_M!$B$1:$BZ$1,0),FALSE)),VLOOKUP($A87,Haver_M!$B$1:$BZ$300,MATCH(data!R$1,Haver_M!$B$1:$BZ$1,0),FALSE),"")</f>
        <v/>
      </c>
      <c r="S87">
        <f>IF(ISNUMBER(VLOOKUP($A87,Haver_M!$B$1:$BZ$300,MATCH(data!S$1,Haver_M!$B$1:$BZ$1,0),FALSE)),VLOOKUP($A87,Haver_M!$B$1:$BZ$300,MATCH(data!S$1,Haver_M!$B$1:$BZ$1,0),FALSE),"")</f>
        <v>78.62</v>
      </c>
      <c r="T87">
        <f>IF(ISNUMBER(VLOOKUP($A87,Haver_M!$B$1:$BZ$300,MATCH(data!T$1,Haver_M!$B$1:$BZ$1,0),FALSE)),VLOOKUP($A87,Haver_M!$B$1:$BZ$300,MATCH(data!T$1,Haver_M!$B$1:$BZ$1,0),FALSE),"")</f>
        <v>79.75</v>
      </c>
      <c r="U87">
        <f>IF(ISNUMBER(VLOOKUP($A87,Haver_M!$B$1:$BZ$300,MATCH(data!U$1,Haver_M!$B$1:$BZ$1,0),FALSE)),VLOOKUP($A87,Haver_M!$B$1:$BZ$300,MATCH(data!U$1,Haver_M!$B$1:$BZ$1,0),FALSE),"")</f>
        <v>70.53</v>
      </c>
      <c r="V87">
        <f>IF(ISNUMBER(VLOOKUP($A87,Haver_M!$B$1:$BZ$300,MATCH(data!V$1,Haver_M!$B$1:$BZ$1,0),FALSE)),VLOOKUP($A87,Haver_M!$B$1:$BZ$300,MATCH(data!V$1,Haver_M!$B$1:$BZ$1,0),FALSE),"")</f>
        <v>88.59</v>
      </c>
      <c r="W87" t="str">
        <f>IF(ISNUMBER(VLOOKUP($A87,Haver_M!$B$1:$BZ$300,MATCH(data!W$1,Haver_M!$B$1:$BZ$1,0),FALSE)),VLOOKUP($A87,Haver_M!$B$1:$BZ$300,MATCH(data!W$1,Haver_M!$B$1:$BZ$1,0),FALSE),"")</f>
        <v/>
      </c>
      <c r="X87">
        <f>IF(ISNUMBER(VLOOKUP($A87,Haver_M!$B$1:$BZ$300,MATCH(data!X$1,Haver_M!$B$1:$BZ$1,0),FALSE)),VLOOKUP($A87,Haver_M!$B$1:$BZ$300,MATCH(data!X$1,Haver_M!$B$1:$BZ$1,0),FALSE),"")</f>
        <v>51.8</v>
      </c>
      <c r="Y87">
        <f>IF(ISNUMBER(VLOOKUP($A87,Haver_M!$B$1:$BZ$300,MATCH(data!Y$1,Haver_M!$B$1:$BZ$1,0),FALSE)),VLOOKUP($A87,Haver_M!$B$1:$BZ$300,MATCH(data!Y$1,Haver_M!$B$1:$BZ$1,0),FALSE),"")</f>
        <v>90.37</v>
      </c>
      <c r="Z87">
        <f>IF(ISNUMBER(VLOOKUP($A87,Haver_M!$B$1:$BZ$300,MATCH(data!Z$1,Haver_M!$B$1:$BZ$1,0),FALSE)),VLOOKUP($A87,Haver_M!$B$1:$BZ$300,MATCH(data!Z$1,Haver_M!$B$1:$BZ$1,0),FALSE),"")</f>
        <v>80.3</v>
      </c>
      <c r="AA87">
        <f>IF(ISNUMBER(VLOOKUP($A87,Haver_M!$B$1:$BZ$300,MATCH(data!AA$1,Haver_M!$B$1:$BZ$1,0),FALSE)),VLOOKUP($A87,Haver_M!$B$1:$BZ$300,MATCH(data!AA$1,Haver_M!$B$1:$BZ$1,0),FALSE),"")</f>
        <v>81.313000000000002</v>
      </c>
      <c r="AB87">
        <f>IF(ISNUMBER(VLOOKUP($A87,Haver_M!$B$1:$BZ$300,MATCH(data!AB$1,Haver_M!$B$1:$BZ$1,0),FALSE)),VLOOKUP($A87,Haver_M!$B$1:$BZ$300,MATCH(data!AB$1,Haver_M!$B$1:$BZ$1,0),FALSE),"")</f>
        <v>90.228999999999999</v>
      </c>
      <c r="AC87">
        <f>IF(ISNUMBER(VLOOKUP($A87,Haver_M!$B$1:$BZ$300,MATCH(data!AC$1,Haver_M!$B$1:$BZ$1,0),FALSE)),VLOOKUP($A87,Haver_M!$B$1:$BZ$300,MATCH(data!AC$1,Haver_M!$B$1:$BZ$1,0),FALSE),"")</f>
        <v>69.09</v>
      </c>
      <c r="AD87">
        <f>IF(ISNUMBER(VLOOKUP($A87,Haver_M!$B$1:$BZ$300,MATCH(data!AD$1,Haver_M!$B$1:$BZ$1,0),FALSE)),VLOOKUP($A87,Haver_M!$B$1:$BZ$300,MATCH(data!AD$1,Haver_M!$B$1:$BZ$1,0),FALSE),"")</f>
        <v>89.632000000000005</v>
      </c>
      <c r="AE87">
        <f>IF(ISNUMBER(VLOOKUP($A87,Haver_M!$B$1:$BZ$300,MATCH(data!AE$1,Haver_M!$B$1:$BZ$1,0),FALSE)),VLOOKUP($A87,Haver_M!$B$1:$BZ$300,MATCH(data!AE$1,Haver_M!$B$1:$BZ$1,0),FALSE),"")</f>
        <v>107.197</v>
      </c>
      <c r="AF87">
        <f>IF(ISNUMBER(VLOOKUP($A87,Haver_M!$B$1:$BZ$300,MATCH(data!AF$1,Haver_M!$B$1:$BZ$1,0),FALSE)),VLOOKUP($A87,Haver_M!$B$1:$BZ$300,MATCH(data!AF$1,Haver_M!$B$1:$BZ$1,0),FALSE),"")</f>
        <v>72.864999999999995</v>
      </c>
      <c r="AG87">
        <f>IF(ISNUMBER(VLOOKUP($A87,Haver_M!$B$1:$BZ$300,MATCH(data!AG$1,Haver_M!$B$1:$BZ$1,0),FALSE)),VLOOKUP($A87,Haver_M!$B$1:$BZ$300,MATCH(data!AG$1,Haver_M!$B$1:$BZ$1,0),FALSE),"")</f>
        <v>70.596999999999994</v>
      </c>
      <c r="AH87">
        <f>IF(ISNUMBER(VLOOKUP($A87,Haver_M!$B$1:$BZ$300,MATCH(data!AH$1,Haver_M!$B$1:$BZ$1,0),FALSE)),VLOOKUP($A87,Haver_M!$B$1:$BZ$300,MATCH(data!AH$1,Haver_M!$B$1:$BZ$1,0),FALSE),"")</f>
        <v>76.679000000000002</v>
      </c>
      <c r="AI87">
        <f>IF(ISNUMBER(VLOOKUP($A87,Haver_M!$B$1:$BZ$300,MATCH(data!AI$1,Haver_M!$B$1:$BZ$1,0),FALSE)),VLOOKUP($A87,Haver_M!$B$1:$BZ$300,MATCH(data!AI$1,Haver_M!$B$1:$BZ$1,0),FALSE),"")</f>
        <v>10104.811691807992</v>
      </c>
      <c r="AJ87">
        <f>IF(ISNUMBER(VLOOKUP($A87,Haver_M!$B$1:$BZ$300,MATCH(data!AJ$1,Haver_M!$B$1:$BZ$1,0),FALSE)),VLOOKUP($A87,Haver_M!$B$1:$BZ$300,MATCH(data!AJ$1,Haver_M!$B$1:$BZ$1,0),FALSE),"")</f>
        <v>11058.84</v>
      </c>
      <c r="AK87">
        <f>IF(ISNUMBER(VLOOKUP($A87,Haver_M!$B$1:$BZ$300,MATCH(data!AK$1,Haver_M!$B$1:$BZ$1,0),FALSE)),VLOOKUP($A87,Haver_M!$B$1:$BZ$300,MATCH(data!AK$1,Haver_M!$B$1:$BZ$1,0),FALSE),"")</f>
        <v>16846.259999999998</v>
      </c>
      <c r="AL87" t="str">
        <f>IF(ISNUMBER(VLOOKUP($A87,Haver_M!$B$1:$BZ$300,MATCH(data!AL$1,Haver_M!$B$1:$BZ$1,0),FALSE)),VLOOKUP($A87,Haver_M!$B$1:$BZ$300,MATCH(data!AL$1,Haver_M!$B$1:$BZ$1,0),FALSE),"")</f>
        <v/>
      </c>
      <c r="AM87" t="str">
        <f>IF(ISNUMBER(VLOOKUP($A87,Haver_M!$B$1:$BZ$300,MATCH(data!AM$1,Haver_M!$B$1:$BZ$1,0),FALSE)),VLOOKUP($A87,Haver_M!$B$1:$BZ$300,MATCH(data!AM$1,Haver_M!$B$1:$BZ$1,0),FALSE),"")</f>
        <v/>
      </c>
      <c r="AN87" t="str">
        <f>IF(ISNUMBER(VLOOKUP($A87,Haver_M!$B$1:$BZ$300,MATCH(data!AN$1,Haver_M!$B$1:$BZ$1,0),FALSE)),VLOOKUP($A87,Haver_M!$B$1:$BZ$300,MATCH(data!AN$1,Haver_M!$B$1:$BZ$1,0),FALSE),"")</f>
        <v/>
      </c>
      <c r="AO87" t="str">
        <f>IF(ISNUMBER(VLOOKUP($A87,Haver_M!$B$1:$BZ$300,MATCH(data!AO$1,Haver_M!$B$1:$BZ$1,0),FALSE)),VLOOKUP($A87,Haver_M!$B$1:$BZ$300,MATCH(data!AO$1,Haver_M!$B$1:$BZ$1,0),FALSE),"")</f>
        <v/>
      </c>
      <c r="AP87">
        <f>IF(ISNUMBER(VLOOKUP($A87,Haver_M!$B$1:$BZ$300,MATCH(data!AP$1,Haver_M!$B$1:$BZ$1,0),FALSE)),VLOOKUP($A87,Haver_M!$B$1:$BZ$300,MATCH(data!AP$1,Haver_M!$B$1:$BZ$1,0),FALSE),"")</f>
        <v>66.736120172180321</v>
      </c>
      <c r="AQ87">
        <f>IF(ISNUMBER(VLOOKUP($A87,Haver_M!$B$1:$BZ$300,MATCH(data!AQ$1,Haver_M!$B$1:$BZ$1,0),FALSE)),VLOOKUP($A87,Haver_M!$B$1:$BZ$300,MATCH(data!AQ$1,Haver_M!$B$1:$BZ$1,0),FALSE),"")</f>
        <v>54.988799999999998</v>
      </c>
      <c r="AR87">
        <f>IF(ISNUMBER(VLOOKUP($A87,Haver_M!$B$1:$BZ$300,MATCH(data!AR$1,Haver_M!$B$1:$BZ$1,0),FALSE)),VLOOKUP($A87,Haver_M!$B$1:$BZ$300,MATCH(data!AR$1,Haver_M!$B$1:$BZ$1,0),FALSE),"")</f>
        <v>53.632199999999997</v>
      </c>
      <c r="AS87">
        <f>IF(ISNUMBER(VLOOKUP($A87,Haver_M!$B$1:$BZ$300,MATCH(data!AS$1,Haver_M!$B$1:$BZ$1,0),FALSE)),VLOOKUP($A87,Haver_M!$B$1:$BZ$300,MATCH(data!AS$1,Haver_M!$B$1:$BZ$1,0),FALSE),"")</f>
        <v>54.993600000000001</v>
      </c>
      <c r="AT87">
        <f>IF(ISNUMBER(VLOOKUP($A87,Haver_M!$B$1:$BZ$300,MATCH(data!AT$1,Haver_M!$B$1:$BZ$1,0),FALSE)),VLOOKUP($A87,Haver_M!$B$1:$BZ$300,MATCH(data!AT$1,Haver_M!$B$1:$BZ$1,0),FALSE),"")</f>
        <v>54.978000000000002</v>
      </c>
      <c r="AU87">
        <f>IF(ISNUMBER(VLOOKUP($A87,Haver_M!$B$1:$BZ$300,MATCH(data!AU$1,Haver_M!$B$1:$BZ$1,0),FALSE)),VLOOKUP($A87,Haver_M!$B$1:$BZ$300,MATCH(data!AU$1,Haver_M!$B$1:$BZ$1,0),FALSE),"")</f>
        <v>56.488100000000003</v>
      </c>
      <c r="AV87">
        <f>IF(ISNUMBER(VLOOKUP($A87,Haver_M!$B$1:$BZ$300,MATCH(data!AV$1,Haver_M!$B$1:$BZ$1,0),FALSE)),VLOOKUP($A87,Haver_M!$B$1:$BZ$300,MATCH(data!AV$1,Haver_M!$B$1:$BZ$1,0),FALSE),"")</f>
        <v>50.969799999999999</v>
      </c>
      <c r="AW87">
        <f>IF(ISNUMBER(VLOOKUP($A87,Haver_M!$B$1:$BZ$300,MATCH(data!AW$1,Haver_M!$B$1:$BZ$1,0),FALSE)),VLOOKUP($A87,Haver_M!$B$1:$BZ$300,MATCH(data!AW$1,Haver_M!$B$1:$BZ$1,0),FALSE),"")</f>
        <v>50.307699999999997</v>
      </c>
      <c r="AX87">
        <f>IF(ISNUMBER(VLOOKUP($A87,Haver_M!$B$1:$BZ$300,MATCH(data!AX$1,Haver_M!$B$1:$BZ$1,0),FALSE)),VLOOKUP($A87,Haver_M!$B$1:$BZ$300,MATCH(data!AX$1,Haver_M!$B$1:$BZ$1,0),FALSE),"")</f>
        <v>52.934699999999999</v>
      </c>
      <c r="AY87">
        <f>IF(ISNUMBER(VLOOKUP($A87,Haver_M!$B$1:$BZ$300,MATCH(data!AY$1,Haver_M!$B$1:$BZ$1,0),FALSE)),VLOOKUP($A87,Haver_M!$B$1:$BZ$300,MATCH(data!AY$1,Haver_M!$B$1:$BZ$1,0),FALSE),"")</f>
        <v>54.183599999999998</v>
      </c>
      <c r="AZ87">
        <f>IF(ISNUMBER(VLOOKUP($A87,Haver_M!$B$1:$BZ$300,MATCH(data!AZ$1,Haver_M!$B$1:$BZ$1,0),FALSE)),VLOOKUP($A87,Haver_M!$B$1:$BZ$300,MATCH(data!AZ$1,Haver_M!$B$1:$BZ$1,0),FALSE),"")</f>
        <v>55.079599999999999</v>
      </c>
      <c r="BA87">
        <f>IF(ISNUMBER(VLOOKUP($A87,Haver_M!$B$1:$BZ$300,MATCH(data!BA$1,Haver_M!$B$1:$BZ$1,0),FALSE)),VLOOKUP($A87,Haver_M!$B$1:$BZ$300,MATCH(data!BA$1,Haver_M!$B$1:$BZ$1,0),FALSE),"")</f>
        <v>52.934699999999999</v>
      </c>
      <c r="BB87">
        <f>IF(ISNUMBER(VLOOKUP($A87,Haver_M!$B$1:$BZ$300,MATCH(data!BB$1,Haver_M!$B$1:$BZ$1,0),FALSE)),VLOOKUP($A87,Haver_M!$B$1:$BZ$300,MATCH(data!BB$1,Haver_M!$B$1:$BZ$1,0),FALSE),"")</f>
        <v>51.120399999999997</v>
      </c>
      <c r="BC87">
        <f>IF(ISNUMBER(VLOOKUP($A87,Haver_M!$B$1:$BZ$300,MATCH(data!BC$1,Haver_M!$B$1:$BZ$1,0),FALSE)),VLOOKUP($A87,Haver_M!$B$1:$BZ$300,MATCH(data!BC$1,Haver_M!$B$1:$BZ$1,0),FALSE),"")</f>
        <v>50.549900000000001</v>
      </c>
      <c r="BD87">
        <f>IF(ISNUMBER(VLOOKUP($A87,Haver_M!$B$1:$BZ$300,MATCH(data!BD$1,Haver_M!$B$1:$BZ$1,0),FALSE)),VLOOKUP($A87,Haver_M!$B$1:$BZ$300,MATCH(data!BD$1,Haver_M!$B$1:$BZ$1,0),FALSE),"")</f>
        <v>49.725099999999998</v>
      </c>
      <c r="BE87">
        <f>IF(ISNUMBER(VLOOKUP($A87,Haver_M!$B$1:$BZ$300,MATCH(data!BE$1,Haver_M!$B$1:$BZ$1,0),FALSE)),VLOOKUP($A87,Haver_M!$B$1:$BZ$300,MATCH(data!BE$1,Haver_M!$B$1:$BZ$1,0),FALSE),"")</f>
        <v>1.1029</v>
      </c>
      <c r="BF87">
        <f>IF(ISNUMBER(VLOOKUP($A87,Haver_M!$B$1:$BZ$300,MATCH(data!BF$1,Haver_M!$B$1:$BZ$1,0),FALSE)),VLOOKUP($A87,Haver_M!$B$1:$BZ$300,MATCH(data!BF$1,Haver_M!$B$1:$BZ$1,0),FALSE),"")</f>
        <v>52.385599999999997</v>
      </c>
      <c r="BG87">
        <f>IF(ISNUMBER(VLOOKUP($A87,Haver_M!$B$1:$BZ$300,MATCH(data!BG$1,Haver_M!$B$1:$BZ$1,0),FALSE)),VLOOKUP($A87,Haver_M!$B$1:$BZ$300,MATCH(data!BG$1,Haver_M!$B$1:$BZ$1,0),FALSE),"")</f>
        <v>51.347299999999997</v>
      </c>
      <c r="BH87">
        <f>IF(ISNUMBER(VLOOKUP($A87,Haver_M!$B$1:$BZ$300,MATCH(data!BH$1,Haver_M!$B$1:$BZ$1,0),FALSE)),VLOOKUP($A87,Haver_M!$B$1:$BZ$300,MATCH(data!BH$1,Haver_M!$B$1:$BZ$1,0),FALSE),"")</f>
        <v>54.748600000000003</v>
      </c>
      <c r="BI87">
        <f>IF(ISNUMBER(VLOOKUP($A87,Haver_M!$B$1:$BZ$300,MATCH(data!BI$1,Haver_M!$B$1:$BZ$1,0),FALSE)),VLOOKUP($A87,Haver_M!$B$1:$BZ$300,MATCH(data!BI$1,Haver_M!$B$1:$BZ$1,0),FALSE),"")</f>
        <v>53.495699999999999</v>
      </c>
      <c r="BJ87" t="str">
        <f>IF(ISNUMBER(VLOOKUP($A87,Haver_M!$B$1:$BZ$300,MATCH(data!BJ$1,Haver_M!$B$1:$BZ$1,0),FALSE)),VLOOKUP($A87,Haver_M!$B$1:$BZ$300,MATCH(data!BJ$1,Haver_M!$B$1:$BZ$1,0),FALSE),"")</f>
        <v/>
      </c>
      <c r="BK87">
        <f>IF(ISNUMBER(VLOOKUP($A87,Haver_M!$B$1:$BZ$300,MATCH(data!BK$1,Haver_M!$B$1:$BZ$1,0),FALSE)),VLOOKUP($A87,Haver_M!$B$1:$BZ$300,MATCH(data!BK$1,Haver_M!$B$1:$BZ$1,0),FALSE),"")</f>
        <v>49.632100000000001</v>
      </c>
      <c r="BL87">
        <f>IF(ISNUMBER(VLOOKUP($A87,Haver_M!$B$1:$BZ$300,MATCH(data!BL$1,Haver_M!$B$1:$BZ$1,0),FALSE)),VLOOKUP($A87,Haver_M!$B$1:$BZ$300,MATCH(data!BL$1,Haver_M!$B$1:$BZ$1,0),FALSE),"")</f>
        <v>14142.7</v>
      </c>
      <c r="BM87">
        <f>IF(ISNUMBER(VLOOKUP($A87,Haver_M!$B$1:$BZ$300,MATCH(data!BM$1,Haver_M!$B$1:$BZ$1,0),FALSE)),VLOOKUP($A87,Haver_M!$B$1:$BZ$300,MATCH(data!BM$1,Haver_M!$B$1:$BZ$1,0),FALSE),"")</f>
        <v>106.82126220000001</v>
      </c>
      <c r="BN87" t="str">
        <f>IF(ISNUMBER(VLOOKUP($A87,Haver_M!$B$1:$BZ$300,MATCH(data!BN$1,Haver_M!$B$1:$BZ$1,0),FALSE)),VLOOKUP($A87,Haver_M!$B$1:$BZ$300,MATCH(data!BN$1,Haver_M!$B$1:$BZ$1,0),FALSE),"")</f>
        <v/>
      </c>
      <c r="BO87" t="str">
        <f>IF(ISNUMBER(VLOOKUP($A87,Haver_M!$B$1:$BZ$300,MATCH(data!BO$1,Haver_M!$B$1:$BZ$1,0),FALSE)),VLOOKUP($A87,Haver_M!$B$1:$BZ$300,MATCH(data!BO$1,Haver_M!$B$1:$BZ$1,0),FALSE),"")</f>
        <v/>
      </c>
      <c r="BP87" t="str">
        <f>IF(ISNUMBER(VLOOKUP($A87,Haver_M!$B$1:$BZ$300,MATCH(data!BP$1,Haver_M!$B$1:$BZ$1,0),FALSE)),VLOOKUP($A87,Haver_M!$B$1:$BZ$300,MATCH(data!BP$1,Haver_M!$B$1:$BZ$1,0),FALSE),"")</f>
        <v/>
      </c>
      <c r="BQ87" t="str">
        <f>IF(ISNUMBER(VLOOKUP($A87,Haver_M!$B$1:$BZ$300,MATCH(data!BQ$1,Haver_M!$B$1:$BZ$1,0),FALSE)),VLOOKUP($A87,Haver_M!$B$1:$BZ$300,MATCH(data!BQ$1,Haver_M!$B$1:$BZ$1,0),FALSE),"")</f>
        <v/>
      </c>
      <c r="BR87" t="str">
        <f>IF(ISNUMBER(VLOOKUP($A87,Haver_M!$B$1:$BZ$300,MATCH(data!BR$1,Haver_M!$B$1:$BZ$1,0),FALSE)),VLOOKUP($A87,Haver_M!$B$1:$BZ$300,MATCH(data!BR$1,Haver_M!$B$1:$BZ$1,0),FALSE),"")</f>
        <v/>
      </c>
      <c r="BS87" t="str">
        <f>IF(ISNUMBER(VLOOKUP($A87,Haver_M!$B$1:$BZ$300,MATCH(data!BS$1,Haver_M!$B$1:$BZ$1,0),FALSE)),VLOOKUP($A87,Haver_M!$B$1:$BZ$300,MATCH(data!BS$1,Haver_M!$B$1:$BZ$1,0),FALSE),"")</f>
        <v/>
      </c>
      <c r="BT87" t="str">
        <f>IF(ISNUMBER(VLOOKUP($A87,Haver_M!$B$1:$BZ$300,MATCH(data!BT$1,Haver_M!$B$1:$BZ$1,0),FALSE)),VLOOKUP($A87,Haver_M!$B$1:$BZ$300,MATCH(data!BT$1,Haver_M!$B$1:$BZ$1,0),FALSE),"")</f>
        <v/>
      </c>
      <c r="BU87">
        <f>IF(ISNUMBER(VLOOKUP($A87,Haver_M!$B$1:$BZ$300,MATCH(data!BU$1,Haver_M!$B$1:$BZ$1,0),FALSE)),VLOOKUP($A87,Haver_M!$B$1:$BZ$300,MATCH(data!BU$1,Haver_M!$B$1:$BZ$1,0),FALSE),"")</f>
        <v>10561.2</v>
      </c>
      <c r="BV87">
        <f>IF(ISNUMBER(VLOOKUP($A87,Haver_M!$B$1:$BZ$300,MATCH(data!BV$1,Haver_M!$B$1:$BZ$1,0),FALSE)),VLOOKUP($A87,Haver_M!$B$1:$BZ$300,MATCH(data!BV$1,Haver_M!$B$1:$BZ$1,0),FALSE),"")</f>
        <v>14484.7</v>
      </c>
      <c r="BW87">
        <f>IF(ISNUMBER(VLOOKUP($A87,Haver_M!$B$1:$BZ$300,MATCH(data!BW$1,Haver_M!$B$1:$BZ$1,0),FALSE)),VLOOKUP($A87,Haver_M!$B$1:$BZ$300,MATCH(data!BW$1,Haver_M!$B$1:$BZ$1,0),FALSE),"")</f>
        <v>44.161099999999998</v>
      </c>
      <c r="BX87">
        <f>IF(ISNUMBER(VLOOKUP($A87,Haver_M!$B$1:$BZ$300,MATCH(data!BX$1,Haver_M!$B$1:$BZ$1,0),FALSE)),VLOOKUP($A87,Haver_M!$B$1:$BZ$300,MATCH(data!BX$1,Haver_M!$B$1:$BZ$1,0),FALSE),"")</f>
        <v>19072</v>
      </c>
    </row>
    <row r="88" spans="1:76" x14ac:dyDescent="0.25">
      <c r="A88" s="2">
        <v>39172</v>
      </c>
      <c r="B88">
        <f>IF(ISNUMBER(VLOOKUP($A88,Haver_Q!$B$1:$L$185,MATCH(data!B$1,Haver_Q!$B$1:$L$1,0),FALSE)),100*(VLOOKUP($A88,Haver_Q!$B$1:$L$185,MATCH(data!B$1,Haver_Q!$B$1:$L$1,0),FALSE)),"")</f>
        <v>9.8116459689369773</v>
      </c>
      <c r="C88">
        <f>IF(ISNUMBER(VLOOKUP($A88,Haver_Q!$B$1:$L$185,MATCH(data!C$1,Haver_Q!$B$1:$L$1,0),FALSE)),100*(VLOOKUP($A88,Haver_Q!$B$1:$L$185,MATCH(data!C$1,Haver_Q!$B$1:$L$1,0),FALSE)),"")</f>
        <v>11.819460124684156</v>
      </c>
      <c r="D88">
        <f>IF(ISNUMBER(VLOOKUP($A88,Haver_Q!$B$1:$L$185,MATCH(data!D$1,Haver_Q!$B$1:$L$1,0),FALSE)),100*(VLOOKUP($A88,Haver_Q!$B$1:$L$185,MATCH(data!D$1,Haver_Q!$B$1:$L$1,0),FALSE)),"")</f>
        <v>21.036954951153074</v>
      </c>
      <c r="E88">
        <f>IF(ISNUMBER(VLOOKUP($A88,Haver_Q!$B$1:$L$185,MATCH(data!E$1,Haver_Q!$B$1:$L$1,0),FALSE)),100*(VLOOKUP($A88,Haver_Q!$B$1:$L$185,MATCH(data!E$1,Haver_Q!$B$1:$L$1,0),FALSE)),"")</f>
        <v>28.129380519516168</v>
      </c>
      <c r="F88">
        <f>IF(ISNUMBER(VLOOKUP($A88,Haver_Q!$B$1:$L$185,MATCH(data!F$1,Haver_Q!$B$1:$L$1,0),FALSE)),100*(VLOOKUP($A88,Haver_Q!$B$1:$L$185,MATCH(data!F$1,Haver_Q!$B$1:$L$1,0),FALSE)),"")</f>
        <v>26.859514105144953</v>
      </c>
      <c r="G88">
        <f>IF(ISNUMBER(VLOOKUP($A88,Haver_Q!$B$1:$L$185,MATCH(data!G$1,Haver_Q!$B$1:$L$1,0),FALSE)),100*(VLOOKUP($A88,Haver_Q!$B$1:$L$185,MATCH(data!G$1,Haver_Q!$B$1:$L$1,0),FALSE)),"")</f>
        <v>14.392825428833579</v>
      </c>
      <c r="H88">
        <f>IF(ISNUMBER(VLOOKUP($A88,Haver_Q!$B$1:$L$185,MATCH(data!H$1,Haver_Q!$B$1:$L$1,0),FALSE)),(VLOOKUP($A88,Haver_Q!$B$1:$L$185,MATCH(data!H$1,Haver_Q!$B$1:$L$1,0),FALSE)),"")</f>
        <v>6.3839834254509444</v>
      </c>
      <c r="I88">
        <f>IF(ISNUMBER(VLOOKUP($A88,Haver_Q!$B$1:$L$185,MATCH(data!I$1,Haver_Q!$B$1:$L$1,0),FALSE)),100*(VLOOKUP($A88,Haver_Q!$B$1:$L$185,MATCH(data!I$1,Haver_Q!$B$1:$L$1,0),FALSE)),"")</f>
        <v>9.7997909420706186</v>
      </c>
      <c r="J88" s="3">
        <f>IF(ISNUMBER(Bloomberg_m!C104),Bloomberg_m!C104,"")</f>
        <v>5123</v>
      </c>
      <c r="K88" s="3" t="str">
        <f>IF(ISNUMBER(Bloomberg_m!D104),Bloomberg_m!D104,"")</f>
        <v/>
      </c>
      <c r="L88" s="3" t="str">
        <f>IF(ISNUMBER(Bloomberg_m!E104),Bloomberg_m!E104,"")</f>
        <v/>
      </c>
      <c r="M88" s="3" t="str">
        <f>IF(ISNUMBER(Bloomberg_m!F104),Bloomberg_m!F104,"")</f>
        <v/>
      </c>
      <c r="N88">
        <f>IF(ISNUMBER(VLOOKUP($A88,Haver_M!$B$1:$BZ$300,MATCH(data!N$1,Haver_M!$B$1:$BZ$1,0),FALSE)),VLOOKUP($A88,Haver_M!$B$1:$BZ$300,MATCH(data!N$1,Haver_M!$B$1:$BZ$1,0),FALSE),"")</f>
        <v>7.5</v>
      </c>
      <c r="O88">
        <f>IF(ISNUMBER(VLOOKUP($A88,Haver_M!$B$1:$BZ$300,MATCH(data!O$1,Haver_M!$B$1:$BZ$1,0),FALSE)),VLOOKUP($A88,Haver_M!$B$1:$BZ$300,MATCH(data!O$1,Haver_M!$B$1:$BZ$1,0),FALSE),"")</f>
        <v>7.9359999999999999</v>
      </c>
      <c r="P88">
        <f>IF(ISNUMBER(VLOOKUP($A88,Haver_M!$B$1:$BZ$300,MATCH(data!P$1,Haver_M!$B$1:$BZ$1,0),FALSE)),VLOOKUP($A88,Haver_M!$B$1:$BZ$300,MATCH(data!P$1,Haver_M!$B$1:$BZ$1,0),FALSE),"")</f>
        <v>94.697749999999999</v>
      </c>
      <c r="Q88">
        <f>IF(ISNUMBER(VLOOKUP($A88,Haver_M!$B$1:$BZ$300,MATCH(data!Q$1,Haver_M!$B$1:$BZ$1,0),FALSE)),VLOOKUP($A88,Haver_M!$B$1:$BZ$300,MATCH(data!Q$1,Haver_M!$B$1:$BZ$1,0),FALSE),"")</f>
        <v>62.6</v>
      </c>
      <c r="R88" t="str">
        <f>IF(ISNUMBER(VLOOKUP($A88,Haver_M!$B$1:$BZ$300,MATCH(data!R$1,Haver_M!$B$1:$BZ$1,0),FALSE)),VLOOKUP($A88,Haver_M!$B$1:$BZ$300,MATCH(data!R$1,Haver_M!$B$1:$BZ$1,0),FALSE),"")</f>
        <v/>
      </c>
      <c r="S88">
        <f>IF(ISNUMBER(VLOOKUP($A88,Haver_M!$B$1:$BZ$300,MATCH(data!S$1,Haver_M!$B$1:$BZ$1,0),FALSE)),VLOOKUP($A88,Haver_M!$B$1:$BZ$300,MATCH(data!S$1,Haver_M!$B$1:$BZ$1,0),FALSE),"")</f>
        <v>80.03</v>
      </c>
      <c r="T88">
        <f>IF(ISNUMBER(VLOOKUP($A88,Haver_M!$B$1:$BZ$300,MATCH(data!T$1,Haver_M!$B$1:$BZ$1,0),FALSE)),VLOOKUP($A88,Haver_M!$B$1:$BZ$300,MATCH(data!T$1,Haver_M!$B$1:$BZ$1,0),FALSE),"")</f>
        <v>80.53</v>
      </c>
      <c r="U88">
        <f>IF(ISNUMBER(VLOOKUP($A88,Haver_M!$B$1:$BZ$300,MATCH(data!U$1,Haver_M!$B$1:$BZ$1,0),FALSE)),VLOOKUP($A88,Haver_M!$B$1:$BZ$300,MATCH(data!U$1,Haver_M!$B$1:$BZ$1,0),FALSE),"")</f>
        <v>71.569999999999993</v>
      </c>
      <c r="V88">
        <f>IF(ISNUMBER(VLOOKUP($A88,Haver_M!$B$1:$BZ$300,MATCH(data!V$1,Haver_M!$B$1:$BZ$1,0),FALSE)),VLOOKUP($A88,Haver_M!$B$1:$BZ$300,MATCH(data!V$1,Haver_M!$B$1:$BZ$1,0),FALSE),"")</f>
        <v>90.86</v>
      </c>
      <c r="W88" t="str">
        <f>IF(ISNUMBER(VLOOKUP($A88,Haver_M!$B$1:$BZ$300,MATCH(data!W$1,Haver_M!$B$1:$BZ$1,0),FALSE)),VLOOKUP($A88,Haver_M!$B$1:$BZ$300,MATCH(data!W$1,Haver_M!$B$1:$BZ$1,0),FALSE),"")</f>
        <v/>
      </c>
      <c r="X88">
        <f>IF(ISNUMBER(VLOOKUP($A88,Haver_M!$B$1:$BZ$300,MATCH(data!X$1,Haver_M!$B$1:$BZ$1,0),FALSE)),VLOOKUP($A88,Haver_M!$B$1:$BZ$300,MATCH(data!X$1,Haver_M!$B$1:$BZ$1,0),FALSE),"")</f>
        <v>54.33</v>
      </c>
      <c r="Y88">
        <f>IF(ISNUMBER(VLOOKUP($A88,Haver_M!$B$1:$BZ$300,MATCH(data!Y$1,Haver_M!$B$1:$BZ$1,0),FALSE)),VLOOKUP($A88,Haver_M!$B$1:$BZ$300,MATCH(data!Y$1,Haver_M!$B$1:$BZ$1,0),FALSE),"")</f>
        <v>96.21</v>
      </c>
      <c r="Z88">
        <f>IF(ISNUMBER(VLOOKUP($A88,Haver_M!$B$1:$BZ$300,MATCH(data!Z$1,Haver_M!$B$1:$BZ$1,0),FALSE)),VLOOKUP($A88,Haver_M!$B$1:$BZ$300,MATCH(data!Z$1,Haver_M!$B$1:$BZ$1,0),FALSE),"")</f>
        <v>81.3</v>
      </c>
      <c r="AA88">
        <f>IF(ISNUMBER(VLOOKUP($A88,Haver_M!$B$1:$BZ$300,MATCH(data!AA$1,Haver_M!$B$1:$BZ$1,0),FALSE)),VLOOKUP($A88,Haver_M!$B$1:$BZ$300,MATCH(data!AA$1,Haver_M!$B$1:$BZ$1,0),FALSE),"")</f>
        <v>82.849000000000004</v>
      </c>
      <c r="AB88">
        <f>IF(ISNUMBER(VLOOKUP($A88,Haver_M!$B$1:$BZ$300,MATCH(data!AB$1,Haver_M!$B$1:$BZ$1,0),FALSE)),VLOOKUP($A88,Haver_M!$B$1:$BZ$300,MATCH(data!AB$1,Haver_M!$B$1:$BZ$1,0),FALSE),"")</f>
        <v>89.346000000000004</v>
      </c>
      <c r="AC88">
        <f>IF(ISNUMBER(VLOOKUP($A88,Haver_M!$B$1:$BZ$300,MATCH(data!AC$1,Haver_M!$B$1:$BZ$1,0),FALSE)),VLOOKUP($A88,Haver_M!$B$1:$BZ$300,MATCH(data!AC$1,Haver_M!$B$1:$BZ$1,0),FALSE),"")</f>
        <v>68.650999999999996</v>
      </c>
      <c r="AD88">
        <f>IF(ISNUMBER(VLOOKUP($A88,Haver_M!$B$1:$BZ$300,MATCH(data!AD$1,Haver_M!$B$1:$BZ$1,0),FALSE)),VLOOKUP($A88,Haver_M!$B$1:$BZ$300,MATCH(data!AD$1,Haver_M!$B$1:$BZ$1,0),FALSE),"")</f>
        <v>92.441999999999993</v>
      </c>
      <c r="AE88">
        <f>IF(ISNUMBER(VLOOKUP($A88,Haver_M!$B$1:$BZ$300,MATCH(data!AE$1,Haver_M!$B$1:$BZ$1,0),FALSE)),VLOOKUP($A88,Haver_M!$B$1:$BZ$300,MATCH(data!AE$1,Haver_M!$B$1:$BZ$1,0),FALSE),"")</f>
        <v>101.32899999999999</v>
      </c>
      <c r="AF88">
        <f>IF(ISNUMBER(VLOOKUP($A88,Haver_M!$B$1:$BZ$300,MATCH(data!AF$1,Haver_M!$B$1:$BZ$1,0),FALSE)),VLOOKUP($A88,Haver_M!$B$1:$BZ$300,MATCH(data!AF$1,Haver_M!$B$1:$BZ$1,0),FALSE),"")</f>
        <v>75.423000000000002</v>
      </c>
      <c r="AG88">
        <f>IF(ISNUMBER(VLOOKUP($A88,Haver_M!$B$1:$BZ$300,MATCH(data!AG$1,Haver_M!$B$1:$BZ$1,0),FALSE)),VLOOKUP($A88,Haver_M!$B$1:$BZ$300,MATCH(data!AG$1,Haver_M!$B$1:$BZ$1,0),FALSE),"")</f>
        <v>71.165000000000006</v>
      </c>
      <c r="AH88">
        <f>IF(ISNUMBER(VLOOKUP($A88,Haver_M!$B$1:$BZ$300,MATCH(data!AH$1,Haver_M!$B$1:$BZ$1,0),FALSE)),VLOOKUP($A88,Haver_M!$B$1:$BZ$300,MATCH(data!AH$1,Haver_M!$B$1:$BZ$1,0),FALSE),"")</f>
        <v>77.67</v>
      </c>
      <c r="AI88">
        <f>IF(ISNUMBER(VLOOKUP($A88,Haver_M!$B$1:$BZ$300,MATCH(data!AI$1,Haver_M!$B$1:$BZ$1,0),FALSE)),VLOOKUP($A88,Haver_M!$B$1:$BZ$300,MATCH(data!AI$1,Haver_M!$B$1:$BZ$1,0),FALSE),"")</f>
        <v>10358.06265488691</v>
      </c>
      <c r="AJ88">
        <f>IF(ISNUMBER(VLOOKUP($A88,Haver_M!$B$1:$BZ$300,MATCH(data!AJ$1,Haver_M!$B$1:$BZ$1,0),FALSE)),VLOOKUP($A88,Haver_M!$B$1:$BZ$300,MATCH(data!AJ$1,Haver_M!$B$1:$BZ$1,0),FALSE),"")</f>
        <v>10839.41</v>
      </c>
      <c r="AK88">
        <f>IF(ISNUMBER(VLOOKUP($A88,Haver_M!$B$1:$BZ$300,MATCH(data!AK$1,Haver_M!$B$1:$BZ$1,0),FALSE)),VLOOKUP($A88,Haver_M!$B$1:$BZ$300,MATCH(data!AK$1,Haver_M!$B$1:$BZ$1,0),FALSE),"")</f>
        <v>17346.830000000002</v>
      </c>
      <c r="AL88" t="str">
        <f>IF(ISNUMBER(VLOOKUP($A88,Haver_M!$B$1:$BZ$300,MATCH(data!AL$1,Haver_M!$B$1:$BZ$1,0),FALSE)),VLOOKUP($A88,Haver_M!$B$1:$BZ$300,MATCH(data!AL$1,Haver_M!$B$1:$BZ$1,0),FALSE),"")</f>
        <v/>
      </c>
      <c r="AM88" t="str">
        <f>IF(ISNUMBER(VLOOKUP($A88,Haver_M!$B$1:$BZ$300,MATCH(data!AM$1,Haver_M!$B$1:$BZ$1,0),FALSE)),VLOOKUP($A88,Haver_M!$B$1:$BZ$300,MATCH(data!AM$1,Haver_M!$B$1:$BZ$1,0),FALSE),"")</f>
        <v/>
      </c>
      <c r="AN88" t="str">
        <f>IF(ISNUMBER(VLOOKUP($A88,Haver_M!$B$1:$BZ$300,MATCH(data!AN$1,Haver_M!$B$1:$BZ$1,0),FALSE)),VLOOKUP($A88,Haver_M!$B$1:$BZ$300,MATCH(data!AN$1,Haver_M!$B$1:$BZ$1,0),FALSE),"")</f>
        <v/>
      </c>
      <c r="AO88" t="str">
        <f>IF(ISNUMBER(VLOOKUP($A88,Haver_M!$B$1:$BZ$300,MATCH(data!AO$1,Haver_M!$B$1:$BZ$1,0),FALSE)),VLOOKUP($A88,Haver_M!$B$1:$BZ$300,MATCH(data!AO$1,Haver_M!$B$1:$BZ$1,0),FALSE),"")</f>
        <v/>
      </c>
      <c r="AP88">
        <f>IF(ISNUMBER(VLOOKUP($A88,Haver_M!$B$1:$BZ$300,MATCH(data!AP$1,Haver_M!$B$1:$BZ$1,0),FALSE)),VLOOKUP($A88,Haver_M!$B$1:$BZ$300,MATCH(data!AP$1,Haver_M!$B$1:$BZ$1,0),FALSE),"")</f>
        <v>50.917291732378523</v>
      </c>
      <c r="AQ88">
        <f>IF(ISNUMBER(VLOOKUP($A88,Haver_M!$B$1:$BZ$300,MATCH(data!AQ$1,Haver_M!$B$1:$BZ$1,0),FALSE)),VLOOKUP($A88,Haver_M!$B$1:$BZ$300,MATCH(data!AQ$1,Haver_M!$B$1:$BZ$1,0),FALSE),"")</f>
        <v>55.376399999999997</v>
      </c>
      <c r="AR88">
        <f>IF(ISNUMBER(VLOOKUP($A88,Haver_M!$B$1:$BZ$300,MATCH(data!AR$1,Haver_M!$B$1:$BZ$1,0),FALSE)),VLOOKUP($A88,Haver_M!$B$1:$BZ$300,MATCH(data!AR$1,Haver_M!$B$1:$BZ$1,0),FALSE),"")</f>
        <v>53.003599999999999</v>
      </c>
      <c r="AS88">
        <f>IF(ISNUMBER(VLOOKUP($A88,Haver_M!$B$1:$BZ$300,MATCH(data!AS$1,Haver_M!$B$1:$BZ$1,0),FALSE)),VLOOKUP($A88,Haver_M!$B$1:$BZ$300,MATCH(data!AS$1,Haver_M!$B$1:$BZ$1,0),FALSE),"")</f>
        <v>55.912799999999997</v>
      </c>
      <c r="AT88">
        <f>IF(ISNUMBER(VLOOKUP($A88,Haver_M!$B$1:$BZ$300,MATCH(data!AT$1,Haver_M!$B$1:$BZ$1,0),FALSE)),VLOOKUP($A88,Haver_M!$B$1:$BZ$300,MATCH(data!AT$1,Haver_M!$B$1:$BZ$1,0),FALSE),"")</f>
        <v>54.1706</v>
      </c>
      <c r="AU88">
        <f>IF(ISNUMBER(VLOOKUP($A88,Haver_M!$B$1:$BZ$300,MATCH(data!AU$1,Haver_M!$B$1:$BZ$1,0),FALSE)),VLOOKUP($A88,Haver_M!$B$1:$BZ$300,MATCH(data!AU$1,Haver_M!$B$1:$BZ$1,0),FALSE),"")</f>
        <v>56.0535</v>
      </c>
      <c r="AV88">
        <f>IF(ISNUMBER(VLOOKUP($A88,Haver_M!$B$1:$BZ$300,MATCH(data!AV$1,Haver_M!$B$1:$BZ$1,0),FALSE)),VLOOKUP($A88,Haver_M!$B$1:$BZ$300,MATCH(data!AV$1,Haver_M!$B$1:$BZ$1,0),FALSE),"")</f>
        <v>50.573999999999998</v>
      </c>
      <c r="AW88">
        <f>IF(ISNUMBER(VLOOKUP($A88,Haver_M!$B$1:$BZ$300,MATCH(data!AW$1,Haver_M!$B$1:$BZ$1,0),FALSE)),VLOOKUP($A88,Haver_M!$B$1:$BZ$300,MATCH(data!AW$1,Haver_M!$B$1:$BZ$1,0),FALSE),"")</f>
        <v>50.509399999999999</v>
      </c>
      <c r="AX88">
        <f>IF(ISNUMBER(VLOOKUP($A88,Haver_M!$B$1:$BZ$300,MATCH(data!AX$1,Haver_M!$B$1:$BZ$1,0),FALSE)),VLOOKUP($A88,Haver_M!$B$1:$BZ$300,MATCH(data!AX$1,Haver_M!$B$1:$BZ$1,0),FALSE),"")</f>
        <v>51.065199999999997</v>
      </c>
      <c r="AY88">
        <f>IF(ISNUMBER(VLOOKUP($A88,Haver_M!$B$1:$BZ$300,MATCH(data!AY$1,Haver_M!$B$1:$BZ$1,0),FALSE)),VLOOKUP($A88,Haver_M!$B$1:$BZ$300,MATCH(data!AY$1,Haver_M!$B$1:$BZ$1,0),FALSE),"")</f>
        <v>53.919600000000003</v>
      </c>
      <c r="AZ88">
        <f>IF(ISNUMBER(VLOOKUP($A88,Haver_M!$B$1:$BZ$300,MATCH(data!AZ$1,Haver_M!$B$1:$BZ$1,0),FALSE)),VLOOKUP($A88,Haver_M!$B$1:$BZ$300,MATCH(data!AZ$1,Haver_M!$B$1:$BZ$1,0),FALSE),"")</f>
        <v>53.003599999999999</v>
      </c>
      <c r="BA88">
        <f>IF(ISNUMBER(VLOOKUP($A88,Haver_M!$B$1:$BZ$300,MATCH(data!BA$1,Haver_M!$B$1:$BZ$1,0),FALSE)),VLOOKUP($A88,Haver_M!$B$1:$BZ$300,MATCH(data!BA$1,Haver_M!$B$1:$BZ$1,0),FALSE),"")</f>
        <v>51.065199999999997</v>
      </c>
      <c r="BB88">
        <f>IF(ISNUMBER(VLOOKUP($A88,Haver_M!$B$1:$BZ$300,MATCH(data!BB$1,Haver_M!$B$1:$BZ$1,0),FALSE)),VLOOKUP($A88,Haver_M!$B$1:$BZ$300,MATCH(data!BB$1,Haver_M!$B$1:$BZ$1,0),FALSE),"")</f>
        <v>51.546599999999998</v>
      </c>
      <c r="BC88">
        <f>IF(ISNUMBER(VLOOKUP($A88,Haver_M!$B$1:$BZ$300,MATCH(data!BC$1,Haver_M!$B$1:$BZ$1,0),FALSE)),VLOOKUP($A88,Haver_M!$B$1:$BZ$300,MATCH(data!BC$1,Haver_M!$B$1:$BZ$1,0),FALSE),"")</f>
        <v>50.397399999999998</v>
      </c>
      <c r="BD88">
        <f>IF(ISNUMBER(VLOOKUP($A88,Haver_M!$B$1:$BZ$300,MATCH(data!BD$1,Haver_M!$B$1:$BZ$1,0),FALSE)),VLOOKUP($A88,Haver_M!$B$1:$BZ$300,MATCH(data!BD$1,Haver_M!$B$1:$BZ$1,0),FALSE),"")</f>
        <v>49.966799999999999</v>
      </c>
      <c r="BE88">
        <f>IF(ISNUMBER(VLOOKUP($A88,Haver_M!$B$1:$BZ$300,MATCH(data!BE$1,Haver_M!$B$1:$BZ$1,0),FALSE)),VLOOKUP($A88,Haver_M!$B$1:$BZ$300,MATCH(data!BE$1,Haver_M!$B$1:$BZ$1,0),FALSE),"")</f>
        <v>1.1259999999999999</v>
      </c>
      <c r="BF88">
        <f>IF(ISNUMBER(VLOOKUP($A88,Haver_M!$B$1:$BZ$300,MATCH(data!BF$1,Haver_M!$B$1:$BZ$1,0),FALSE)),VLOOKUP($A88,Haver_M!$B$1:$BZ$300,MATCH(data!BF$1,Haver_M!$B$1:$BZ$1,0),FALSE),"")</f>
        <v>52.036700000000003</v>
      </c>
      <c r="BG88">
        <f>IF(ISNUMBER(VLOOKUP($A88,Haver_M!$B$1:$BZ$300,MATCH(data!BG$1,Haver_M!$B$1:$BZ$1,0),FALSE)),VLOOKUP($A88,Haver_M!$B$1:$BZ$300,MATCH(data!BG$1,Haver_M!$B$1:$BZ$1,0),FALSE),"")</f>
        <v>52.817500000000003</v>
      </c>
      <c r="BH88">
        <f>IF(ISNUMBER(VLOOKUP($A88,Haver_M!$B$1:$BZ$300,MATCH(data!BH$1,Haver_M!$B$1:$BZ$1,0),FALSE)),VLOOKUP($A88,Haver_M!$B$1:$BZ$300,MATCH(data!BH$1,Haver_M!$B$1:$BZ$1,0),FALSE),"")</f>
        <v>55.820099999999996</v>
      </c>
      <c r="BI88">
        <f>IF(ISNUMBER(VLOOKUP($A88,Haver_M!$B$1:$BZ$300,MATCH(data!BI$1,Haver_M!$B$1:$BZ$1,0),FALSE)),VLOOKUP($A88,Haver_M!$B$1:$BZ$300,MATCH(data!BI$1,Haver_M!$B$1:$BZ$1,0),FALSE),"")</f>
        <v>55.320700000000002</v>
      </c>
      <c r="BJ88" t="str">
        <f>IF(ISNUMBER(VLOOKUP($A88,Haver_M!$B$1:$BZ$300,MATCH(data!BJ$1,Haver_M!$B$1:$BZ$1,0),FALSE)),VLOOKUP($A88,Haver_M!$B$1:$BZ$300,MATCH(data!BJ$1,Haver_M!$B$1:$BZ$1,0),FALSE),"")</f>
        <v/>
      </c>
      <c r="BK88">
        <f>IF(ISNUMBER(VLOOKUP($A88,Haver_M!$B$1:$BZ$300,MATCH(data!BK$1,Haver_M!$B$1:$BZ$1,0),FALSE)),VLOOKUP($A88,Haver_M!$B$1:$BZ$300,MATCH(data!BK$1,Haver_M!$B$1:$BZ$1,0),FALSE),"")</f>
        <v>52.761800000000001</v>
      </c>
      <c r="BL88">
        <f>IF(ISNUMBER(VLOOKUP($A88,Haver_M!$B$1:$BZ$300,MATCH(data!BL$1,Haver_M!$B$1:$BZ$1,0),FALSE)),VLOOKUP($A88,Haver_M!$B$1:$BZ$300,MATCH(data!BL$1,Haver_M!$B$1:$BZ$1,0),FALSE),"")</f>
        <v>12857.74</v>
      </c>
      <c r="BM88">
        <f>IF(ISNUMBER(VLOOKUP($A88,Haver_M!$B$1:$BZ$300,MATCH(data!BM$1,Haver_M!$B$1:$BZ$1,0),FALSE)),VLOOKUP($A88,Haver_M!$B$1:$BZ$300,MATCH(data!BM$1,Haver_M!$B$1:$BZ$1,0),FALSE),"")</f>
        <v>105.75548361</v>
      </c>
      <c r="BN88">
        <f>IF(ISNUMBER(VLOOKUP($A88,Haver_M!$B$1:$BZ$300,MATCH(data!BN$1,Haver_M!$B$1:$BZ$1,0),FALSE)),VLOOKUP($A88,Haver_M!$B$1:$BZ$300,MATCH(data!BN$1,Haver_M!$B$1:$BZ$1,0),FALSE),"")</f>
        <v>127.7</v>
      </c>
      <c r="BO88">
        <f>IF(ISNUMBER(VLOOKUP($A88,Haver_M!$B$1:$BZ$300,MATCH(data!BO$1,Haver_M!$B$1:$BZ$1,0),FALSE)),VLOOKUP($A88,Haver_M!$B$1:$BZ$300,MATCH(data!BO$1,Haver_M!$B$1:$BZ$1,0),FALSE),"")</f>
        <v>126.5</v>
      </c>
      <c r="BP88">
        <f>IF(ISNUMBER(VLOOKUP($A88,Haver_M!$B$1:$BZ$300,MATCH(data!BP$1,Haver_M!$B$1:$BZ$1,0),FALSE)),VLOOKUP($A88,Haver_M!$B$1:$BZ$300,MATCH(data!BP$1,Haver_M!$B$1:$BZ$1,0),FALSE),"")</f>
        <v>53.7</v>
      </c>
      <c r="BQ88" t="str">
        <f>IF(ISNUMBER(VLOOKUP($A88,Haver_M!$B$1:$BZ$300,MATCH(data!BQ$1,Haver_M!$B$1:$BZ$1,0),FALSE)),VLOOKUP($A88,Haver_M!$B$1:$BZ$300,MATCH(data!BQ$1,Haver_M!$B$1:$BZ$1,0),FALSE),"")</f>
        <v/>
      </c>
      <c r="BR88" t="str">
        <f>IF(ISNUMBER(VLOOKUP($A88,Haver_M!$B$1:$BZ$300,MATCH(data!BR$1,Haver_M!$B$1:$BZ$1,0),FALSE)),VLOOKUP($A88,Haver_M!$B$1:$BZ$300,MATCH(data!BR$1,Haver_M!$B$1:$BZ$1,0),FALSE),"")</f>
        <v/>
      </c>
      <c r="BS88" t="str">
        <f>IF(ISNUMBER(VLOOKUP($A88,Haver_M!$B$1:$BZ$300,MATCH(data!BS$1,Haver_M!$B$1:$BZ$1,0),FALSE)),VLOOKUP($A88,Haver_M!$B$1:$BZ$300,MATCH(data!BS$1,Haver_M!$B$1:$BZ$1,0),FALSE),"")</f>
        <v/>
      </c>
      <c r="BT88" t="str">
        <f>IF(ISNUMBER(VLOOKUP($A88,Haver_M!$B$1:$BZ$300,MATCH(data!BT$1,Haver_M!$B$1:$BZ$1,0),FALSE)),VLOOKUP($A88,Haver_M!$B$1:$BZ$300,MATCH(data!BT$1,Haver_M!$B$1:$BZ$1,0),FALSE),"")</f>
        <v/>
      </c>
      <c r="BU88">
        <f>IF(ISNUMBER(VLOOKUP($A88,Haver_M!$B$1:$BZ$300,MATCH(data!BU$1,Haver_M!$B$1:$BZ$1,0),FALSE)),VLOOKUP($A88,Haver_M!$B$1:$BZ$300,MATCH(data!BU$1,Haver_M!$B$1:$BZ$1,0),FALSE),"")</f>
        <v>12862.4</v>
      </c>
      <c r="BV88">
        <f>IF(ISNUMBER(VLOOKUP($A88,Haver_M!$B$1:$BZ$300,MATCH(data!BV$1,Haver_M!$B$1:$BZ$1,0),FALSE)),VLOOKUP($A88,Haver_M!$B$1:$BZ$300,MATCH(data!BV$1,Haver_M!$B$1:$BZ$1,0),FALSE),"")</f>
        <v>17136.599999999999</v>
      </c>
      <c r="BW88">
        <f>IF(ISNUMBER(VLOOKUP($A88,Haver_M!$B$1:$BZ$300,MATCH(data!BW$1,Haver_M!$B$1:$BZ$1,0),FALSE)),VLOOKUP($A88,Haver_M!$B$1:$BZ$300,MATCH(data!BW$1,Haver_M!$B$1:$BZ$1,0),FALSE),"")</f>
        <v>44.025500000000001</v>
      </c>
      <c r="BX88">
        <f>IF(ISNUMBER(VLOOKUP($A88,Haver_M!$B$1:$BZ$300,MATCH(data!BX$1,Haver_M!$B$1:$BZ$1,0),FALSE)),VLOOKUP($A88,Haver_M!$B$1:$BZ$300,MATCH(data!BX$1,Haver_M!$B$1:$BZ$1,0),FALSE),"")</f>
        <v>17792</v>
      </c>
    </row>
    <row r="89" spans="1:76" x14ac:dyDescent="0.25">
      <c r="A89" s="2">
        <v>39202</v>
      </c>
      <c r="B89" t="str">
        <f>IF(ISNUMBER(VLOOKUP($A89,Haver_Q!$B$1:$L$185,MATCH(data!B$1,Haver_Q!$B$1:$L$1,0),FALSE)),100*(VLOOKUP($A89,Haver_Q!$B$1:$L$185,MATCH(data!B$1,Haver_Q!$B$1:$L$1,0),FALSE)),"")</f>
        <v/>
      </c>
      <c r="C89" t="str">
        <f>IF(ISNUMBER(VLOOKUP($A89,Haver_Q!$B$1:$L$185,MATCH(data!C$1,Haver_Q!$B$1:$L$1,0),FALSE)),100*(VLOOKUP($A89,Haver_Q!$B$1:$L$185,MATCH(data!C$1,Haver_Q!$B$1:$L$1,0),FALSE)),"")</f>
        <v/>
      </c>
      <c r="D89" t="str">
        <f>IF(ISNUMBER(VLOOKUP($A89,Haver_Q!$B$1:$L$185,MATCH(data!D$1,Haver_Q!$B$1:$L$1,0),FALSE)),100*(VLOOKUP($A89,Haver_Q!$B$1:$L$185,MATCH(data!D$1,Haver_Q!$B$1:$L$1,0),FALSE)),"")</f>
        <v/>
      </c>
      <c r="E89" t="str">
        <f>IF(ISNUMBER(VLOOKUP($A89,Haver_Q!$B$1:$L$185,MATCH(data!E$1,Haver_Q!$B$1:$L$1,0),FALSE)),100*(VLOOKUP($A89,Haver_Q!$B$1:$L$185,MATCH(data!E$1,Haver_Q!$B$1:$L$1,0),FALSE)),"")</f>
        <v/>
      </c>
      <c r="F89" t="str">
        <f>IF(ISNUMBER(VLOOKUP($A89,Haver_Q!$B$1:$L$185,MATCH(data!F$1,Haver_Q!$B$1:$L$1,0),FALSE)),100*(VLOOKUP($A89,Haver_Q!$B$1:$L$185,MATCH(data!F$1,Haver_Q!$B$1:$L$1,0),FALSE)),"")</f>
        <v/>
      </c>
      <c r="G89" t="str">
        <f>IF(ISNUMBER(VLOOKUP($A89,Haver_Q!$B$1:$L$185,MATCH(data!G$1,Haver_Q!$B$1:$L$1,0),FALSE)),100*(VLOOKUP($A89,Haver_Q!$B$1:$L$185,MATCH(data!G$1,Haver_Q!$B$1:$L$1,0),FALSE)),"")</f>
        <v/>
      </c>
      <c r="H89" t="str">
        <f>IF(ISNUMBER(VLOOKUP($A89,Haver_Q!$B$1:$L$185,MATCH(data!H$1,Haver_Q!$B$1:$L$1,0),FALSE)),(VLOOKUP($A89,Haver_Q!$B$1:$L$185,MATCH(data!H$1,Haver_Q!$B$1:$L$1,0),FALSE)),"")</f>
        <v/>
      </c>
      <c r="I89" t="str">
        <f>IF(ISNUMBER(VLOOKUP($A89,Haver_Q!$B$1:$L$185,MATCH(data!I$1,Haver_Q!$B$1:$L$1,0),FALSE)),100*(VLOOKUP($A89,Haver_Q!$B$1:$L$185,MATCH(data!I$1,Haver_Q!$B$1:$L$1,0),FALSE)),"")</f>
        <v/>
      </c>
      <c r="J89" s="3">
        <f>IF(ISNUMBER(Bloomberg_m!C105),Bloomberg_m!C105,"")</f>
        <v>5754</v>
      </c>
      <c r="K89" s="3" t="str">
        <f>IF(ISNUMBER(Bloomberg_m!D105),Bloomberg_m!D105,"")</f>
        <v/>
      </c>
      <c r="L89" s="3" t="str">
        <f>IF(ISNUMBER(Bloomberg_m!E105),Bloomberg_m!E105,"")</f>
        <v/>
      </c>
      <c r="M89" s="3" t="str">
        <f>IF(ISNUMBER(Bloomberg_m!F105),Bloomberg_m!F105,"")</f>
        <v/>
      </c>
      <c r="N89">
        <f>IF(ISNUMBER(VLOOKUP($A89,Haver_M!$B$1:$BZ$300,MATCH(data!N$1,Haver_M!$B$1:$BZ$1,0),FALSE)),VLOOKUP($A89,Haver_M!$B$1:$BZ$300,MATCH(data!N$1,Haver_M!$B$1:$BZ$1,0),FALSE),"")</f>
        <v>7.75</v>
      </c>
      <c r="O89">
        <f>IF(ISNUMBER(VLOOKUP($A89,Haver_M!$B$1:$BZ$300,MATCH(data!O$1,Haver_M!$B$1:$BZ$1,0),FALSE)),VLOOKUP($A89,Haver_M!$B$1:$BZ$300,MATCH(data!O$1,Haver_M!$B$1:$BZ$1,0),FALSE),"")</f>
        <v>8.1316000000000006</v>
      </c>
      <c r="P89">
        <f>IF(ISNUMBER(VLOOKUP($A89,Haver_M!$B$1:$BZ$300,MATCH(data!P$1,Haver_M!$B$1:$BZ$1,0),FALSE)),VLOOKUP($A89,Haver_M!$B$1:$BZ$300,MATCH(data!P$1,Haver_M!$B$1:$BZ$1,0),FALSE),"")</f>
        <v>98.198250000000002</v>
      </c>
      <c r="Q89">
        <f>IF(ISNUMBER(VLOOKUP($A89,Haver_M!$B$1:$BZ$300,MATCH(data!Q$1,Haver_M!$B$1:$BZ$1,0),FALSE)),VLOOKUP($A89,Haver_M!$B$1:$BZ$300,MATCH(data!Q$1,Haver_M!$B$1:$BZ$1,0),FALSE),"")</f>
        <v>63.2</v>
      </c>
      <c r="R89" t="str">
        <f>IF(ISNUMBER(VLOOKUP($A89,Haver_M!$B$1:$BZ$300,MATCH(data!R$1,Haver_M!$B$1:$BZ$1,0),FALSE)),VLOOKUP($A89,Haver_M!$B$1:$BZ$300,MATCH(data!R$1,Haver_M!$B$1:$BZ$1,0),FALSE),"")</f>
        <v/>
      </c>
      <c r="S89">
        <f>IF(ISNUMBER(VLOOKUP($A89,Haver_M!$B$1:$BZ$300,MATCH(data!S$1,Haver_M!$B$1:$BZ$1,0),FALSE)),VLOOKUP($A89,Haver_M!$B$1:$BZ$300,MATCH(data!S$1,Haver_M!$B$1:$BZ$1,0),FALSE),"")</f>
        <v>80.91</v>
      </c>
      <c r="T89">
        <f>IF(ISNUMBER(VLOOKUP($A89,Haver_M!$B$1:$BZ$300,MATCH(data!T$1,Haver_M!$B$1:$BZ$1,0),FALSE)),VLOOKUP($A89,Haver_M!$B$1:$BZ$300,MATCH(data!T$1,Haver_M!$B$1:$BZ$1,0),FALSE),"")</f>
        <v>81.92</v>
      </c>
      <c r="U89">
        <f>IF(ISNUMBER(VLOOKUP($A89,Haver_M!$B$1:$BZ$300,MATCH(data!U$1,Haver_M!$B$1:$BZ$1,0),FALSE)),VLOOKUP($A89,Haver_M!$B$1:$BZ$300,MATCH(data!U$1,Haver_M!$B$1:$BZ$1,0),FALSE),"")</f>
        <v>66.66</v>
      </c>
      <c r="V89">
        <f>IF(ISNUMBER(VLOOKUP($A89,Haver_M!$B$1:$BZ$300,MATCH(data!V$1,Haver_M!$B$1:$BZ$1,0),FALSE)),VLOOKUP($A89,Haver_M!$B$1:$BZ$300,MATCH(data!V$1,Haver_M!$B$1:$BZ$1,0),FALSE),"")</f>
        <v>90.89</v>
      </c>
      <c r="W89" t="str">
        <f>IF(ISNUMBER(VLOOKUP($A89,Haver_M!$B$1:$BZ$300,MATCH(data!W$1,Haver_M!$B$1:$BZ$1,0),FALSE)),VLOOKUP($A89,Haver_M!$B$1:$BZ$300,MATCH(data!W$1,Haver_M!$B$1:$BZ$1,0),FALSE),"")</f>
        <v/>
      </c>
      <c r="X89">
        <f>IF(ISNUMBER(VLOOKUP($A89,Haver_M!$B$1:$BZ$300,MATCH(data!X$1,Haver_M!$B$1:$BZ$1,0),FALSE)),VLOOKUP($A89,Haver_M!$B$1:$BZ$300,MATCH(data!X$1,Haver_M!$B$1:$BZ$1,0),FALSE),"")</f>
        <v>54.5</v>
      </c>
      <c r="Y89">
        <f>IF(ISNUMBER(VLOOKUP($A89,Haver_M!$B$1:$BZ$300,MATCH(data!Y$1,Haver_M!$B$1:$BZ$1,0),FALSE)),VLOOKUP($A89,Haver_M!$B$1:$BZ$300,MATCH(data!Y$1,Haver_M!$B$1:$BZ$1,0),FALSE),"")</f>
        <v>93.6</v>
      </c>
      <c r="Z89">
        <f>IF(ISNUMBER(VLOOKUP($A89,Haver_M!$B$1:$BZ$300,MATCH(data!Z$1,Haver_M!$B$1:$BZ$1,0),FALSE)),VLOOKUP($A89,Haver_M!$B$1:$BZ$300,MATCH(data!Z$1,Haver_M!$B$1:$BZ$1,0),FALSE),"")</f>
        <v>80</v>
      </c>
      <c r="AA89">
        <f>IF(ISNUMBER(VLOOKUP($A89,Haver_M!$B$1:$BZ$300,MATCH(data!AA$1,Haver_M!$B$1:$BZ$1,0),FALSE)),VLOOKUP($A89,Haver_M!$B$1:$BZ$300,MATCH(data!AA$1,Haver_M!$B$1:$BZ$1,0),FALSE),"")</f>
        <v>79.287000000000006</v>
      </c>
      <c r="AB89">
        <f>IF(ISNUMBER(VLOOKUP($A89,Haver_M!$B$1:$BZ$300,MATCH(data!AB$1,Haver_M!$B$1:$BZ$1,0),FALSE)),VLOOKUP($A89,Haver_M!$B$1:$BZ$300,MATCH(data!AB$1,Haver_M!$B$1:$BZ$1,0),FALSE),"")</f>
        <v>88.581000000000003</v>
      </c>
      <c r="AC89">
        <f>IF(ISNUMBER(VLOOKUP($A89,Haver_M!$B$1:$BZ$300,MATCH(data!AC$1,Haver_M!$B$1:$BZ$1,0),FALSE)),VLOOKUP($A89,Haver_M!$B$1:$BZ$300,MATCH(data!AC$1,Haver_M!$B$1:$BZ$1,0),FALSE),"")</f>
        <v>66.105000000000004</v>
      </c>
      <c r="AD89">
        <f>IF(ISNUMBER(VLOOKUP($A89,Haver_M!$B$1:$BZ$300,MATCH(data!AD$1,Haver_M!$B$1:$BZ$1,0),FALSE)),VLOOKUP($A89,Haver_M!$B$1:$BZ$300,MATCH(data!AD$1,Haver_M!$B$1:$BZ$1,0),FALSE),"")</f>
        <v>92.936000000000007</v>
      </c>
      <c r="AE89">
        <f>IF(ISNUMBER(VLOOKUP($A89,Haver_M!$B$1:$BZ$300,MATCH(data!AE$1,Haver_M!$B$1:$BZ$1,0),FALSE)),VLOOKUP($A89,Haver_M!$B$1:$BZ$300,MATCH(data!AE$1,Haver_M!$B$1:$BZ$1,0),FALSE),"")</f>
        <v>92.569000000000003</v>
      </c>
      <c r="AF89">
        <f>IF(ISNUMBER(VLOOKUP($A89,Haver_M!$B$1:$BZ$300,MATCH(data!AF$1,Haver_M!$B$1:$BZ$1,0),FALSE)),VLOOKUP($A89,Haver_M!$B$1:$BZ$300,MATCH(data!AF$1,Haver_M!$B$1:$BZ$1,0),FALSE),"")</f>
        <v>71.983000000000004</v>
      </c>
      <c r="AG89">
        <f>IF(ISNUMBER(VLOOKUP($A89,Haver_M!$B$1:$BZ$300,MATCH(data!AG$1,Haver_M!$B$1:$BZ$1,0),FALSE)),VLOOKUP($A89,Haver_M!$B$1:$BZ$300,MATCH(data!AG$1,Haver_M!$B$1:$BZ$1,0),FALSE),"")</f>
        <v>71.572999999999993</v>
      </c>
      <c r="AH89">
        <f>IF(ISNUMBER(VLOOKUP($A89,Haver_M!$B$1:$BZ$300,MATCH(data!AH$1,Haver_M!$B$1:$BZ$1,0),FALSE)),VLOOKUP($A89,Haver_M!$B$1:$BZ$300,MATCH(data!AH$1,Haver_M!$B$1:$BZ$1,0),FALSE),"")</f>
        <v>79.08</v>
      </c>
      <c r="AI89">
        <f>IF(ISNUMBER(VLOOKUP($A89,Haver_M!$B$1:$BZ$300,MATCH(data!AI$1,Haver_M!$B$1:$BZ$1,0),FALSE)),VLOOKUP($A89,Haver_M!$B$1:$BZ$300,MATCH(data!AI$1,Haver_M!$B$1:$BZ$1,0),FALSE),"")</f>
        <v>10400.930748532432</v>
      </c>
      <c r="AJ89">
        <f>IF(ISNUMBER(VLOOKUP($A89,Haver_M!$B$1:$BZ$300,MATCH(data!AJ$1,Haver_M!$B$1:$BZ$1,0),FALSE)),VLOOKUP($A89,Haver_M!$B$1:$BZ$300,MATCH(data!AJ$1,Haver_M!$B$1:$BZ$1,0),FALSE),"")</f>
        <v>11552.89</v>
      </c>
      <c r="AK89">
        <f>IF(ISNUMBER(VLOOKUP($A89,Haver_M!$B$1:$BZ$300,MATCH(data!AK$1,Haver_M!$B$1:$BZ$1,0),FALSE)),VLOOKUP($A89,Haver_M!$B$1:$BZ$300,MATCH(data!AK$1,Haver_M!$B$1:$BZ$1,0),FALSE),"")</f>
        <v>18433.05</v>
      </c>
      <c r="AL89" t="str">
        <f>IF(ISNUMBER(VLOOKUP($A89,Haver_M!$B$1:$BZ$300,MATCH(data!AL$1,Haver_M!$B$1:$BZ$1,0),FALSE)),VLOOKUP($A89,Haver_M!$B$1:$BZ$300,MATCH(data!AL$1,Haver_M!$B$1:$BZ$1,0),FALSE),"")</f>
        <v/>
      </c>
      <c r="AM89" t="str">
        <f>IF(ISNUMBER(VLOOKUP($A89,Haver_M!$B$1:$BZ$300,MATCH(data!AM$1,Haver_M!$B$1:$BZ$1,0),FALSE)),VLOOKUP($A89,Haver_M!$B$1:$BZ$300,MATCH(data!AM$1,Haver_M!$B$1:$BZ$1,0),FALSE),"")</f>
        <v/>
      </c>
      <c r="AN89" t="str">
        <f>IF(ISNUMBER(VLOOKUP($A89,Haver_M!$B$1:$BZ$300,MATCH(data!AN$1,Haver_M!$B$1:$BZ$1,0),FALSE)),VLOOKUP($A89,Haver_M!$B$1:$BZ$300,MATCH(data!AN$1,Haver_M!$B$1:$BZ$1,0),FALSE),"")</f>
        <v/>
      </c>
      <c r="AO89" t="str">
        <f>IF(ISNUMBER(VLOOKUP($A89,Haver_M!$B$1:$BZ$300,MATCH(data!AO$1,Haver_M!$B$1:$BZ$1,0),FALSE)),VLOOKUP($A89,Haver_M!$B$1:$BZ$300,MATCH(data!AO$1,Haver_M!$B$1:$BZ$1,0),FALSE),"")</f>
        <v/>
      </c>
      <c r="AP89">
        <f>IF(ISNUMBER(VLOOKUP($A89,Haver_M!$B$1:$BZ$300,MATCH(data!AP$1,Haver_M!$B$1:$BZ$1,0),FALSE)),VLOOKUP($A89,Haver_M!$B$1:$BZ$300,MATCH(data!AP$1,Haver_M!$B$1:$BZ$1,0),FALSE),"")</f>
        <v>62.706767219174338</v>
      </c>
      <c r="AQ89">
        <f>IF(ISNUMBER(VLOOKUP($A89,Haver_M!$B$1:$BZ$300,MATCH(data!AQ$1,Haver_M!$B$1:$BZ$1,0),FALSE)),VLOOKUP($A89,Haver_M!$B$1:$BZ$300,MATCH(data!AQ$1,Haver_M!$B$1:$BZ$1,0),FALSE),"")</f>
        <v>55.497399999999999</v>
      </c>
      <c r="AR89">
        <f>IF(ISNUMBER(VLOOKUP($A89,Haver_M!$B$1:$BZ$300,MATCH(data!AR$1,Haver_M!$B$1:$BZ$1,0),FALSE)),VLOOKUP($A89,Haver_M!$B$1:$BZ$300,MATCH(data!AR$1,Haver_M!$B$1:$BZ$1,0),FALSE),"")</f>
        <v>53.814799999999998</v>
      </c>
      <c r="AS89">
        <f>IF(ISNUMBER(VLOOKUP($A89,Haver_M!$B$1:$BZ$300,MATCH(data!AS$1,Haver_M!$B$1:$BZ$1,0),FALSE)),VLOOKUP($A89,Haver_M!$B$1:$BZ$300,MATCH(data!AS$1,Haver_M!$B$1:$BZ$1,0),FALSE),"")</f>
        <v>55.579599999999999</v>
      </c>
      <c r="AT89">
        <f>IF(ISNUMBER(VLOOKUP($A89,Haver_M!$B$1:$BZ$300,MATCH(data!AT$1,Haver_M!$B$1:$BZ$1,0),FALSE)),VLOOKUP($A89,Haver_M!$B$1:$BZ$300,MATCH(data!AT$1,Haver_M!$B$1:$BZ$1,0),FALSE),"")</f>
        <v>55.3127</v>
      </c>
      <c r="AU89">
        <f>IF(ISNUMBER(VLOOKUP($A89,Haver_M!$B$1:$BZ$300,MATCH(data!AU$1,Haver_M!$B$1:$BZ$1,0),FALSE)),VLOOKUP($A89,Haver_M!$B$1:$BZ$300,MATCH(data!AU$1,Haver_M!$B$1:$BZ$1,0),FALSE),"")</f>
        <v>57.219799999999999</v>
      </c>
      <c r="AV89">
        <f>IF(ISNUMBER(VLOOKUP($A89,Haver_M!$B$1:$BZ$300,MATCH(data!AV$1,Haver_M!$B$1:$BZ$1,0),FALSE)),VLOOKUP($A89,Haver_M!$B$1:$BZ$300,MATCH(data!AV$1,Haver_M!$B$1:$BZ$1,0),FALSE),"")</f>
        <v>50.073799999999999</v>
      </c>
      <c r="AW89">
        <f>IF(ISNUMBER(VLOOKUP($A89,Haver_M!$B$1:$BZ$300,MATCH(data!AW$1,Haver_M!$B$1:$BZ$1,0),FALSE)),VLOOKUP($A89,Haver_M!$B$1:$BZ$300,MATCH(data!AW$1,Haver_M!$B$1:$BZ$1,0),FALSE),"")</f>
        <v>49.697499999999998</v>
      </c>
      <c r="AX89">
        <f>IF(ISNUMBER(VLOOKUP($A89,Haver_M!$B$1:$BZ$300,MATCH(data!AX$1,Haver_M!$B$1:$BZ$1,0),FALSE)),VLOOKUP($A89,Haver_M!$B$1:$BZ$300,MATCH(data!AX$1,Haver_M!$B$1:$BZ$1,0),FALSE),"")</f>
        <v>52.605400000000003</v>
      </c>
      <c r="AY89">
        <f>IF(ISNUMBER(VLOOKUP($A89,Haver_M!$B$1:$BZ$300,MATCH(data!AY$1,Haver_M!$B$1:$BZ$1,0),FALSE)),VLOOKUP($A89,Haver_M!$B$1:$BZ$300,MATCH(data!AY$1,Haver_M!$B$1:$BZ$1,0),FALSE),"")</f>
        <v>52.697299999999998</v>
      </c>
      <c r="AZ89">
        <f>IF(ISNUMBER(VLOOKUP($A89,Haver_M!$B$1:$BZ$300,MATCH(data!AZ$1,Haver_M!$B$1:$BZ$1,0),FALSE)),VLOOKUP($A89,Haver_M!$B$1:$BZ$300,MATCH(data!AZ$1,Haver_M!$B$1:$BZ$1,0),FALSE),"")</f>
        <v>55.920200000000001</v>
      </c>
      <c r="BA89">
        <f>IF(ISNUMBER(VLOOKUP($A89,Haver_M!$B$1:$BZ$300,MATCH(data!BA$1,Haver_M!$B$1:$BZ$1,0),FALSE)),VLOOKUP($A89,Haver_M!$B$1:$BZ$300,MATCH(data!BA$1,Haver_M!$B$1:$BZ$1,0),FALSE),"")</f>
        <v>52.605400000000003</v>
      </c>
      <c r="BB89">
        <f>IF(ISNUMBER(VLOOKUP($A89,Haver_M!$B$1:$BZ$300,MATCH(data!BB$1,Haver_M!$B$1:$BZ$1,0),FALSE)),VLOOKUP($A89,Haver_M!$B$1:$BZ$300,MATCH(data!BB$1,Haver_M!$B$1:$BZ$1,0),FALSE),"")</f>
        <v>51.178600000000003</v>
      </c>
      <c r="BC89">
        <f>IF(ISNUMBER(VLOOKUP($A89,Haver_M!$B$1:$BZ$300,MATCH(data!BC$1,Haver_M!$B$1:$BZ$1,0),FALSE)),VLOOKUP($A89,Haver_M!$B$1:$BZ$300,MATCH(data!BC$1,Haver_M!$B$1:$BZ$1,0),FALSE),"")</f>
        <v>50.923200000000001</v>
      </c>
      <c r="BD89">
        <f>IF(ISNUMBER(VLOOKUP($A89,Haver_M!$B$1:$BZ$300,MATCH(data!BD$1,Haver_M!$B$1:$BZ$1,0),FALSE)),VLOOKUP($A89,Haver_M!$B$1:$BZ$300,MATCH(data!BD$1,Haver_M!$B$1:$BZ$1,0),FALSE),"")</f>
        <v>50.389499999999998</v>
      </c>
      <c r="BE89">
        <f>IF(ISNUMBER(VLOOKUP($A89,Haver_M!$B$1:$BZ$300,MATCH(data!BE$1,Haver_M!$B$1:$BZ$1,0),FALSE)),VLOOKUP($A89,Haver_M!$B$1:$BZ$300,MATCH(data!BE$1,Haver_M!$B$1:$BZ$1,0),FALSE),"")</f>
        <v>1.1603000000000001</v>
      </c>
      <c r="BF89">
        <f>IF(ISNUMBER(VLOOKUP($A89,Haver_M!$B$1:$BZ$300,MATCH(data!BF$1,Haver_M!$B$1:$BZ$1,0),FALSE)),VLOOKUP($A89,Haver_M!$B$1:$BZ$300,MATCH(data!BF$1,Haver_M!$B$1:$BZ$1,0),FALSE),"")</f>
        <v>51.6541</v>
      </c>
      <c r="BG89">
        <f>IF(ISNUMBER(VLOOKUP($A89,Haver_M!$B$1:$BZ$300,MATCH(data!BG$1,Haver_M!$B$1:$BZ$1,0),FALSE)),VLOOKUP($A89,Haver_M!$B$1:$BZ$300,MATCH(data!BG$1,Haver_M!$B$1:$BZ$1,0),FALSE),"")</f>
        <v>51.0687</v>
      </c>
      <c r="BH89">
        <f>IF(ISNUMBER(VLOOKUP($A89,Haver_M!$B$1:$BZ$300,MATCH(data!BH$1,Haver_M!$B$1:$BZ$1,0),FALSE)),VLOOKUP($A89,Haver_M!$B$1:$BZ$300,MATCH(data!BH$1,Haver_M!$B$1:$BZ$1,0),FALSE),"")</f>
        <v>54.774299999999997</v>
      </c>
      <c r="BI89">
        <f>IF(ISNUMBER(VLOOKUP($A89,Haver_M!$B$1:$BZ$300,MATCH(data!BI$1,Haver_M!$B$1:$BZ$1,0),FALSE)),VLOOKUP($A89,Haver_M!$B$1:$BZ$300,MATCH(data!BI$1,Haver_M!$B$1:$BZ$1,0),FALSE),"")</f>
        <v>52.719499999999996</v>
      </c>
      <c r="BJ89" t="str">
        <f>IF(ISNUMBER(VLOOKUP($A89,Haver_M!$B$1:$BZ$300,MATCH(data!BJ$1,Haver_M!$B$1:$BZ$1,0),FALSE)),VLOOKUP($A89,Haver_M!$B$1:$BZ$300,MATCH(data!BJ$1,Haver_M!$B$1:$BZ$1,0),FALSE),"")</f>
        <v/>
      </c>
      <c r="BK89">
        <f>IF(ISNUMBER(VLOOKUP($A89,Haver_M!$B$1:$BZ$300,MATCH(data!BK$1,Haver_M!$B$1:$BZ$1,0),FALSE)),VLOOKUP($A89,Haver_M!$B$1:$BZ$300,MATCH(data!BK$1,Haver_M!$B$1:$BZ$1,0),FALSE),"")</f>
        <v>50</v>
      </c>
      <c r="BL89">
        <f>IF(ISNUMBER(VLOOKUP($A89,Haver_M!$B$1:$BZ$300,MATCH(data!BL$1,Haver_M!$B$1:$BZ$1,0),FALSE)),VLOOKUP($A89,Haver_M!$B$1:$BZ$300,MATCH(data!BL$1,Haver_M!$B$1:$BZ$1,0),FALSE),"")</f>
        <v>13477.79</v>
      </c>
      <c r="BM89">
        <f>IF(ISNUMBER(VLOOKUP($A89,Haver_M!$B$1:$BZ$300,MATCH(data!BM$1,Haver_M!$B$1:$BZ$1,0),FALSE)),VLOOKUP($A89,Haver_M!$B$1:$BZ$300,MATCH(data!BM$1,Haver_M!$B$1:$BZ$1,0),FALSE),"")</f>
        <v>104.65297606999999</v>
      </c>
      <c r="BN89" t="str">
        <f>IF(ISNUMBER(VLOOKUP($A89,Haver_M!$B$1:$BZ$300,MATCH(data!BN$1,Haver_M!$B$1:$BZ$1,0),FALSE)),VLOOKUP($A89,Haver_M!$B$1:$BZ$300,MATCH(data!BN$1,Haver_M!$B$1:$BZ$1,0),FALSE),"")</f>
        <v/>
      </c>
      <c r="BO89" t="str">
        <f>IF(ISNUMBER(VLOOKUP($A89,Haver_M!$B$1:$BZ$300,MATCH(data!BO$1,Haver_M!$B$1:$BZ$1,0),FALSE)),VLOOKUP($A89,Haver_M!$B$1:$BZ$300,MATCH(data!BO$1,Haver_M!$B$1:$BZ$1,0),FALSE),"")</f>
        <v/>
      </c>
      <c r="BP89" t="str">
        <f>IF(ISNUMBER(VLOOKUP($A89,Haver_M!$B$1:$BZ$300,MATCH(data!BP$1,Haver_M!$B$1:$BZ$1,0),FALSE)),VLOOKUP($A89,Haver_M!$B$1:$BZ$300,MATCH(data!BP$1,Haver_M!$B$1:$BZ$1,0),FALSE),"")</f>
        <v/>
      </c>
      <c r="BQ89">
        <f>IF(ISNUMBER(VLOOKUP($A89,Haver_M!$B$1:$BZ$300,MATCH(data!BQ$1,Haver_M!$B$1:$BZ$1,0),FALSE)),VLOOKUP($A89,Haver_M!$B$1:$BZ$300,MATCH(data!BQ$1,Haver_M!$B$1:$BZ$1,0),FALSE),"")</f>
        <v>110.92450730823158</v>
      </c>
      <c r="BR89">
        <f>IF(ISNUMBER(VLOOKUP($A89,Haver_M!$B$1:$BZ$300,MATCH(data!BR$1,Haver_M!$B$1:$BZ$1,0),FALSE)),VLOOKUP($A89,Haver_M!$B$1:$BZ$300,MATCH(data!BR$1,Haver_M!$B$1:$BZ$1,0),FALSE),"")</f>
        <v>157.93039802045499</v>
      </c>
      <c r="BS89">
        <f>IF(ISNUMBER(VLOOKUP($A89,Haver_M!$B$1:$BZ$300,MATCH(data!BS$1,Haver_M!$B$1:$BZ$1,0),FALSE)),VLOOKUP($A89,Haver_M!$B$1:$BZ$300,MATCH(data!BS$1,Haver_M!$B$1:$BZ$1,0),FALSE),"")</f>
        <v>95.013178778252524</v>
      </c>
      <c r="BT89">
        <f>IF(ISNUMBER(VLOOKUP($A89,Haver_M!$B$1:$BZ$300,MATCH(data!BT$1,Haver_M!$B$1:$BZ$1,0),FALSE)),VLOOKUP($A89,Haver_M!$B$1:$BZ$300,MATCH(data!BT$1,Haver_M!$B$1:$BZ$1,0),FALSE),"")</f>
        <v>416.60858198243932</v>
      </c>
      <c r="BU89">
        <f>IF(ISNUMBER(VLOOKUP($A89,Haver_M!$B$1:$BZ$300,MATCH(data!BU$1,Haver_M!$B$1:$BZ$1,0),FALSE)),VLOOKUP($A89,Haver_M!$B$1:$BZ$300,MATCH(data!BU$1,Haver_M!$B$1:$BZ$1,0),FALSE),"")</f>
        <v>11326.8</v>
      </c>
      <c r="BV89">
        <f>IF(ISNUMBER(VLOOKUP($A89,Haver_M!$B$1:$BZ$300,MATCH(data!BV$1,Haver_M!$B$1:$BZ$1,0),FALSE)),VLOOKUP($A89,Haver_M!$B$1:$BZ$300,MATCH(data!BV$1,Haver_M!$B$1:$BZ$1,0),FALSE),"")</f>
        <v>18370.599999999999</v>
      </c>
      <c r="BW89">
        <f>IF(ISNUMBER(VLOOKUP($A89,Haver_M!$B$1:$BZ$300,MATCH(data!BW$1,Haver_M!$B$1:$BZ$1,0),FALSE)),VLOOKUP($A89,Haver_M!$B$1:$BZ$300,MATCH(data!BW$1,Haver_M!$B$1:$BZ$1,0),FALSE),"")</f>
        <v>42.1511</v>
      </c>
      <c r="BX89">
        <f>IF(ISNUMBER(VLOOKUP($A89,Haver_M!$B$1:$BZ$300,MATCH(data!BX$1,Haver_M!$B$1:$BZ$1,0),FALSE)),VLOOKUP($A89,Haver_M!$B$1:$BZ$300,MATCH(data!BX$1,Haver_M!$B$1:$BZ$1,0),FALSE),"")</f>
        <v>25109</v>
      </c>
    </row>
    <row r="90" spans="1:76" x14ac:dyDescent="0.25">
      <c r="A90" s="2">
        <v>39233</v>
      </c>
      <c r="B90" t="str">
        <f>IF(ISNUMBER(VLOOKUP($A90,Haver_Q!$B$1:$L$185,MATCH(data!B$1,Haver_Q!$B$1:$L$1,0),FALSE)),100*(VLOOKUP($A90,Haver_Q!$B$1:$L$185,MATCH(data!B$1,Haver_Q!$B$1:$L$1,0),FALSE)),"")</f>
        <v/>
      </c>
      <c r="C90" t="str">
        <f>IF(ISNUMBER(VLOOKUP($A90,Haver_Q!$B$1:$L$185,MATCH(data!C$1,Haver_Q!$B$1:$L$1,0),FALSE)),100*(VLOOKUP($A90,Haver_Q!$B$1:$L$185,MATCH(data!C$1,Haver_Q!$B$1:$L$1,0),FALSE)),"")</f>
        <v/>
      </c>
      <c r="D90" t="str">
        <f>IF(ISNUMBER(VLOOKUP($A90,Haver_Q!$B$1:$L$185,MATCH(data!D$1,Haver_Q!$B$1:$L$1,0),FALSE)),100*(VLOOKUP($A90,Haver_Q!$B$1:$L$185,MATCH(data!D$1,Haver_Q!$B$1:$L$1,0),FALSE)),"")</f>
        <v/>
      </c>
      <c r="E90" t="str">
        <f>IF(ISNUMBER(VLOOKUP($A90,Haver_Q!$B$1:$L$185,MATCH(data!E$1,Haver_Q!$B$1:$L$1,0),FALSE)),100*(VLOOKUP($A90,Haver_Q!$B$1:$L$185,MATCH(data!E$1,Haver_Q!$B$1:$L$1,0),FALSE)),"")</f>
        <v/>
      </c>
      <c r="F90" t="str">
        <f>IF(ISNUMBER(VLOOKUP($A90,Haver_Q!$B$1:$L$185,MATCH(data!F$1,Haver_Q!$B$1:$L$1,0),FALSE)),100*(VLOOKUP($A90,Haver_Q!$B$1:$L$185,MATCH(data!F$1,Haver_Q!$B$1:$L$1,0),FALSE)),"")</f>
        <v/>
      </c>
      <c r="G90" t="str">
        <f>IF(ISNUMBER(VLOOKUP($A90,Haver_Q!$B$1:$L$185,MATCH(data!G$1,Haver_Q!$B$1:$L$1,0),FALSE)),100*(VLOOKUP($A90,Haver_Q!$B$1:$L$185,MATCH(data!G$1,Haver_Q!$B$1:$L$1,0),FALSE)),"")</f>
        <v/>
      </c>
      <c r="H90" t="str">
        <f>IF(ISNUMBER(VLOOKUP($A90,Haver_Q!$B$1:$L$185,MATCH(data!H$1,Haver_Q!$B$1:$L$1,0),FALSE)),(VLOOKUP($A90,Haver_Q!$B$1:$L$185,MATCH(data!H$1,Haver_Q!$B$1:$L$1,0),FALSE)),"")</f>
        <v/>
      </c>
      <c r="I90" t="str">
        <f>IF(ISNUMBER(VLOOKUP($A90,Haver_Q!$B$1:$L$185,MATCH(data!I$1,Haver_Q!$B$1:$L$1,0),FALSE)),100*(VLOOKUP($A90,Haver_Q!$B$1:$L$185,MATCH(data!I$1,Haver_Q!$B$1:$L$1,0),FALSE)),"")</f>
        <v/>
      </c>
      <c r="J90" s="3">
        <f>IF(ISNUMBER(Bloomberg_m!C106),Bloomberg_m!C106,"")</f>
        <v>6402</v>
      </c>
      <c r="K90" s="3" t="str">
        <f>IF(ISNUMBER(Bloomberg_m!D106),Bloomberg_m!D106,"")</f>
        <v/>
      </c>
      <c r="L90" s="3" t="str">
        <f>IF(ISNUMBER(Bloomberg_m!E106),Bloomberg_m!E106,"")</f>
        <v/>
      </c>
      <c r="M90" s="3" t="str">
        <f>IF(ISNUMBER(Bloomberg_m!F106),Bloomberg_m!F106,"")</f>
        <v/>
      </c>
      <c r="N90">
        <f>IF(ISNUMBER(VLOOKUP($A90,Haver_M!$B$1:$BZ$300,MATCH(data!N$1,Haver_M!$B$1:$BZ$1,0),FALSE)),VLOOKUP($A90,Haver_M!$B$1:$BZ$300,MATCH(data!N$1,Haver_M!$B$1:$BZ$1,0),FALSE),"")</f>
        <v>7.75</v>
      </c>
      <c r="O90">
        <f>IF(ISNUMBER(VLOOKUP($A90,Haver_M!$B$1:$BZ$300,MATCH(data!O$1,Haver_M!$B$1:$BZ$1,0),FALSE)),VLOOKUP($A90,Haver_M!$B$1:$BZ$300,MATCH(data!O$1,Haver_M!$B$1:$BZ$1,0),FALSE),"")</f>
        <v>8.1225000000000005</v>
      </c>
      <c r="P90">
        <f>IF(ISNUMBER(VLOOKUP($A90,Haver_M!$B$1:$BZ$300,MATCH(data!P$1,Haver_M!$B$1:$BZ$1,0),FALSE)),VLOOKUP($A90,Haver_M!$B$1:$BZ$300,MATCH(data!P$1,Haver_M!$B$1:$BZ$1,0),FALSE),"")</f>
        <v>100.97962</v>
      </c>
      <c r="Q90">
        <f>IF(ISNUMBER(VLOOKUP($A90,Haver_M!$B$1:$BZ$300,MATCH(data!Q$1,Haver_M!$B$1:$BZ$1,0),FALSE)),VLOOKUP($A90,Haver_M!$B$1:$BZ$300,MATCH(data!Q$1,Haver_M!$B$1:$BZ$1,0),FALSE),"")</f>
        <v>63.6</v>
      </c>
      <c r="R90" t="str">
        <f>IF(ISNUMBER(VLOOKUP($A90,Haver_M!$B$1:$BZ$300,MATCH(data!R$1,Haver_M!$B$1:$BZ$1,0),FALSE)),VLOOKUP($A90,Haver_M!$B$1:$BZ$300,MATCH(data!R$1,Haver_M!$B$1:$BZ$1,0),FALSE),"")</f>
        <v/>
      </c>
      <c r="S90">
        <f>IF(ISNUMBER(VLOOKUP($A90,Haver_M!$B$1:$BZ$300,MATCH(data!S$1,Haver_M!$B$1:$BZ$1,0),FALSE)),VLOOKUP($A90,Haver_M!$B$1:$BZ$300,MATCH(data!S$1,Haver_M!$B$1:$BZ$1,0),FALSE),"")</f>
        <v>83.28</v>
      </c>
      <c r="T90">
        <f>IF(ISNUMBER(VLOOKUP($A90,Haver_M!$B$1:$BZ$300,MATCH(data!T$1,Haver_M!$B$1:$BZ$1,0),FALSE)),VLOOKUP($A90,Haver_M!$B$1:$BZ$300,MATCH(data!T$1,Haver_M!$B$1:$BZ$1,0),FALSE),"")</f>
        <v>82.47</v>
      </c>
      <c r="U90">
        <f>IF(ISNUMBER(VLOOKUP($A90,Haver_M!$B$1:$BZ$300,MATCH(data!U$1,Haver_M!$B$1:$BZ$1,0),FALSE)),VLOOKUP($A90,Haver_M!$B$1:$BZ$300,MATCH(data!U$1,Haver_M!$B$1:$BZ$1,0),FALSE),"")</f>
        <v>88.8</v>
      </c>
      <c r="V90">
        <f>IF(ISNUMBER(VLOOKUP($A90,Haver_M!$B$1:$BZ$300,MATCH(data!V$1,Haver_M!$B$1:$BZ$1,0),FALSE)),VLOOKUP($A90,Haver_M!$B$1:$BZ$300,MATCH(data!V$1,Haver_M!$B$1:$BZ$1,0),FALSE),"")</f>
        <v>92.13</v>
      </c>
      <c r="W90" t="str">
        <f>IF(ISNUMBER(VLOOKUP($A90,Haver_M!$B$1:$BZ$300,MATCH(data!W$1,Haver_M!$B$1:$BZ$1,0),FALSE)),VLOOKUP($A90,Haver_M!$B$1:$BZ$300,MATCH(data!W$1,Haver_M!$B$1:$BZ$1,0),FALSE),"")</f>
        <v/>
      </c>
      <c r="X90">
        <f>IF(ISNUMBER(VLOOKUP($A90,Haver_M!$B$1:$BZ$300,MATCH(data!X$1,Haver_M!$B$1:$BZ$1,0),FALSE)),VLOOKUP($A90,Haver_M!$B$1:$BZ$300,MATCH(data!X$1,Haver_M!$B$1:$BZ$1,0),FALSE),"")</f>
        <v>58.33</v>
      </c>
      <c r="Y90">
        <f>IF(ISNUMBER(VLOOKUP($A90,Haver_M!$B$1:$BZ$300,MATCH(data!Y$1,Haver_M!$B$1:$BZ$1,0),FALSE)),VLOOKUP($A90,Haver_M!$B$1:$BZ$300,MATCH(data!Y$1,Haver_M!$B$1:$BZ$1,0),FALSE),"")</f>
        <v>91.92</v>
      </c>
      <c r="Z90">
        <f>IF(ISNUMBER(VLOOKUP($A90,Haver_M!$B$1:$BZ$300,MATCH(data!Z$1,Haver_M!$B$1:$BZ$1,0),FALSE)),VLOOKUP($A90,Haver_M!$B$1:$BZ$300,MATCH(data!Z$1,Haver_M!$B$1:$BZ$1,0),FALSE),"")</f>
        <v>81</v>
      </c>
      <c r="AA90">
        <f>IF(ISNUMBER(VLOOKUP($A90,Haver_M!$B$1:$BZ$300,MATCH(data!AA$1,Haver_M!$B$1:$BZ$1,0),FALSE)),VLOOKUP($A90,Haver_M!$B$1:$BZ$300,MATCH(data!AA$1,Haver_M!$B$1:$BZ$1,0),FALSE),"")</f>
        <v>80.727999999999994</v>
      </c>
      <c r="AB90">
        <f>IF(ISNUMBER(VLOOKUP($A90,Haver_M!$B$1:$BZ$300,MATCH(data!AB$1,Haver_M!$B$1:$BZ$1,0),FALSE)),VLOOKUP($A90,Haver_M!$B$1:$BZ$300,MATCH(data!AB$1,Haver_M!$B$1:$BZ$1,0),FALSE),"")</f>
        <v>87.941999999999993</v>
      </c>
      <c r="AC90">
        <f>IF(ISNUMBER(VLOOKUP($A90,Haver_M!$B$1:$BZ$300,MATCH(data!AC$1,Haver_M!$B$1:$BZ$1,0),FALSE)),VLOOKUP($A90,Haver_M!$B$1:$BZ$300,MATCH(data!AC$1,Haver_M!$B$1:$BZ$1,0),FALSE),"")</f>
        <v>65.878</v>
      </c>
      <c r="AD90">
        <f>IF(ISNUMBER(VLOOKUP($A90,Haver_M!$B$1:$BZ$300,MATCH(data!AD$1,Haver_M!$B$1:$BZ$1,0),FALSE)),VLOOKUP($A90,Haver_M!$B$1:$BZ$300,MATCH(data!AD$1,Haver_M!$B$1:$BZ$1,0),FALSE),"")</f>
        <v>94.891999999999996</v>
      </c>
      <c r="AE90">
        <f>IF(ISNUMBER(VLOOKUP($A90,Haver_M!$B$1:$BZ$300,MATCH(data!AE$1,Haver_M!$B$1:$BZ$1,0),FALSE)),VLOOKUP($A90,Haver_M!$B$1:$BZ$300,MATCH(data!AE$1,Haver_M!$B$1:$BZ$1,0),FALSE),"")</f>
        <v>84.927000000000007</v>
      </c>
      <c r="AF90">
        <f>IF(ISNUMBER(VLOOKUP($A90,Haver_M!$B$1:$BZ$300,MATCH(data!AF$1,Haver_M!$B$1:$BZ$1,0),FALSE)),VLOOKUP($A90,Haver_M!$B$1:$BZ$300,MATCH(data!AF$1,Haver_M!$B$1:$BZ$1,0),FALSE),"")</f>
        <v>72.578999999999994</v>
      </c>
      <c r="AG90">
        <f>IF(ISNUMBER(VLOOKUP($A90,Haver_M!$B$1:$BZ$300,MATCH(data!AG$1,Haver_M!$B$1:$BZ$1,0),FALSE)),VLOOKUP($A90,Haver_M!$B$1:$BZ$300,MATCH(data!AG$1,Haver_M!$B$1:$BZ$1,0),FALSE),"")</f>
        <v>73.631</v>
      </c>
      <c r="AH90">
        <f>IF(ISNUMBER(VLOOKUP($A90,Haver_M!$B$1:$BZ$300,MATCH(data!AH$1,Haver_M!$B$1:$BZ$1,0),FALSE)),VLOOKUP($A90,Haver_M!$B$1:$BZ$300,MATCH(data!AH$1,Haver_M!$B$1:$BZ$1,0),FALSE),"")</f>
        <v>79.781000000000006</v>
      </c>
      <c r="AI90">
        <f>IF(ISNUMBER(VLOOKUP($A90,Haver_M!$B$1:$BZ$300,MATCH(data!AI$1,Haver_M!$B$1:$BZ$1,0),FALSE)),VLOOKUP($A90,Haver_M!$B$1:$BZ$300,MATCH(data!AI$1,Haver_M!$B$1:$BZ$1,0),FALSE),"")</f>
        <v>10485.027247001446</v>
      </c>
      <c r="AJ90">
        <f>IF(ISNUMBER(VLOOKUP($A90,Haver_M!$B$1:$BZ$300,MATCH(data!AJ$1,Haver_M!$B$1:$BZ$1,0),FALSE)),VLOOKUP($A90,Haver_M!$B$1:$BZ$300,MATCH(data!AJ$1,Haver_M!$B$1:$BZ$1,0),FALSE),"")</f>
        <v>12313.82</v>
      </c>
      <c r="AK90">
        <f>IF(ISNUMBER(VLOOKUP($A90,Haver_M!$B$1:$BZ$300,MATCH(data!AK$1,Haver_M!$B$1:$BZ$1,0),FALSE)),VLOOKUP($A90,Haver_M!$B$1:$BZ$300,MATCH(data!AK$1,Haver_M!$B$1:$BZ$1,0),FALSE),"")</f>
        <v>19608.22</v>
      </c>
      <c r="AL90" t="str">
        <f>IF(ISNUMBER(VLOOKUP($A90,Haver_M!$B$1:$BZ$300,MATCH(data!AL$1,Haver_M!$B$1:$BZ$1,0),FALSE)),VLOOKUP($A90,Haver_M!$B$1:$BZ$300,MATCH(data!AL$1,Haver_M!$B$1:$BZ$1,0),FALSE),"")</f>
        <v/>
      </c>
      <c r="AM90" t="str">
        <f>IF(ISNUMBER(VLOOKUP($A90,Haver_M!$B$1:$BZ$300,MATCH(data!AM$1,Haver_M!$B$1:$BZ$1,0),FALSE)),VLOOKUP($A90,Haver_M!$B$1:$BZ$300,MATCH(data!AM$1,Haver_M!$B$1:$BZ$1,0),FALSE),"")</f>
        <v/>
      </c>
      <c r="AN90" t="str">
        <f>IF(ISNUMBER(VLOOKUP($A90,Haver_M!$B$1:$BZ$300,MATCH(data!AN$1,Haver_M!$B$1:$BZ$1,0),FALSE)),VLOOKUP($A90,Haver_M!$B$1:$BZ$300,MATCH(data!AN$1,Haver_M!$B$1:$BZ$1,0),FALSE),"")</f>
        <v/>
      </c>
      <c r="AO90" t="str">
        <f>IF(ISNUMBER(VLOOKUP($A90,Haver_M!$B$1:$BZ$300,MATCH(data!AO$1,Haver_M!$B$1:$BZ$1,0),FALSE)),VLOOKUP($A90,Haver_M!$B$1:$BZ$300,MATCH(data!AO$1,Haver_M!$B$1:$BZ$1,0),FALSE),"")</f>
        <v/>
      </c>
      <c r="AP90">
        <f>IF(ISNUMBER(VLOOKUP($A90,Haver_M!$B$1:$BZ$300,MATCH(data!AP$1,Haver_M!$B$1:$BZ$1,0),FALSE)),VLOOKUP($A90,Haver_M!$B$1:$BZ$300,MATCH(data!AP$1,Haver_M!$B$1:$BZ$1,0),FALSE),"")</f>
        <v>39.191642817998471</v>
      </c>
      <c r="AQ90">
        <f>IF(ISNUMBER(VLOOKUP($A90,Haver_M!$B$1:$BZ$300,MATCH(data!AQ$1,Haver_M!$B$1:$BZ$1,0),FALSE)),VLOOKUP($A90,Haver_M!$B$1:$BZ$300,MATCH(data!AQ$1,Haver_M!$B$1:$BZ$1,0),FALSE),"")</f>
        <v>55.213200000000001</v>
      </c>
      <c r="AR90">
        <f>IF(ISNUMBER(VLOOKUP($A90,Haver_M!$B$1:$BZ$300,MATCH(data!AR$1,Haver_M!$B$1:$BZ$1,0),FALSE)),VLOOKUP($A90,Haver_M!$B$1:$BZ$300,MATCH(data!AR$1,Haver_M!$B$1:$BZ$1,0),FALSE),"")</f>
        <v>53.372100000000003</v>
      </c>
      <c r="AS90">
        <f>IF(ISNUMBER(VLOOKUP($A90,Haver_M!$B$1:$BZ$300,MATCH(data!AS$1,Haver_M!$B$1:$BZ$1,0),FALSE)),VLOOKUP($A90,Haver_M!$B$1:$BZ$300,MATCH(data!AS$1,Haver_M!$B$1:$BZ$1,0),FALSE),"")</f>
        <v>55.354900000000001</v>
      </c>
      <c r="AT90">
        <f>IF(ISNUMBER(VLOOKUP($A90,Haver_M!$B$1:$BZ$300,MATCH(data!AT$1,Haver_M!$B$1:$BZ$1,0),FALSE)),VLOOKUP($A90,Haver_M!$B$1:$BZ$300,MATCH(data!AT$1,Haver_M!$B$1:$BZ$1,0),FALSE),"")</f>
        <v>54.894500000000001</v>
      </c>
      <c r="AU90">
        <f>IF(ISNUMBER(VLOOKUP($A90,Haver_M!$B$1:$BZ$300,MATCH(data!AU$1,Haver_M!$B$1:$BZ$1,0),FALSE)),VLOOKUP($A90,Haver_M!$B$1:$BZ$300,MATCH(data!AU$1,Haver_M!$B$1:$BZ$1,0),FALSE),"")</f>
        <v>56.190100000000001</v>
      </c>
      <c r="AV90">
        <f>IF(ISNUMBER(VLOOKUP($A90,Haver_M!$B$1:$BZ$300,MATCH(data!AV$1,Haver_M!$B$1:$BZ$1,0),FALSE)),VLOOKUP($A90,Haver_M!$B$1:$BZ$300,MATCH(data!AV$1,Haver_M!$B$1:$BZ$1,0),FALSE),"")</f>
        <v>50.4756</v>
      </c>
      <c r="AW90">
        <f>IF(ISNUMBER(VLOOKUP($A90,Haver_M!$B$1:$BZ$300,MATCH(data!AW$1,Haver_M!$B$1:$BZ$1,0),FALSE)),VLOOKUP($A90,Haver_M!$B$1:$BZ$300,MATCH(data!AW$1,Haver_M!$B$1:$BZ$1,0),FALSE),"")</f>
        <v>50</v>
      </c>
      <c r="AX90">
        <f>IF(ISNUMBER(VLOOKUP($A90,Haver_M!$B$1:$BZ$300,MATCH(data!AX$1,Haver_M!$B$1:$BZ$1,0),FALSE)),VLOOKUP($A90,Haver_M!$B$1:$BZ$300,MATCH(data!AX$1,Haver_M!$B$1:$BZ$1,0),FALSE),"")</f>
        <v>51.963099999999997</v>
      </c>
      <c r="AY90">
        <f>IF(ISNUMBER(VLOOKUP($A90,Haver_M!$B$1:$BZ$300,MATCH(data!AY$1,Haver_M!$B$1:$BZ$1,0),FALSE)),VLOOKUP($A90,Haver_M!$B$1:$BZ$300,MATCH(data!AY$1,Haver_M!$B$1:$BZ$1,0),FALSE),"")</f>
        <v>52.496400000000001</v>
      </c>
      <c r="AZ90">
        <f>IF(ISNUMBER(VLOOKUP($A90,Haver_M!$B$1:$BZ$300,MATCH(data!AZ$1,Haver_M!$B$1:$BZ$1,0),FALSE)),VLOOKUP($A90,Haver_M!$B$1:$BZ$300,MATCH(data!AZ$1,Haver_M!$B$1:$BZ$1,0),FALSE),"")</f>
        <v>54.9893</v>
      </c>
      <c r="BA90">
        <f>IF(ISNUMBER(VLOOKUP($A90,Haver_M!$B$1:$BZ$300,MATCH(data!BA$1,Haver_M!$B$1:$BZ$1,0),FALSE)),VLOOKUP($A90,Haver_M!$B$1:$BZ$300,MATCH(data!BA$1,Haver_M!$B$1:$BZ$1,0),FALSE),"")</f>
        <v>51.963099999999997</v>
      </c>
      <c r="BB90">
        <f>IF(ISNUMBER(VLOOKUP($A90,Haver_M!$B$1:$BZ$300,MATCH(data!BB$1,Haver_M!$B$1:$BZ$1,0),FALSE)),VLOOKUP($A90,Haver_M!$B$1:$BZ$300,MATCH(data!BB$1,Haver_M!$B$1:$BZ$1,0),FALSE),"")</f>
        <v>51.653599999999997</v>
      </c>
      <c r="BC90">
        <f>IF(ISNUMBER(VLOOKUP($A90,Haver_M!$B$1:$BZ$300,MATCH(data!BC$1,Haver_M!$B$1:$BZ$1,0),FALSE)),VLOOKUP($A90,Haver_M!$B$1:$BZ$300,MATCH(data!BC$1,Haver_M!$B$1:$BZ$1,0),FALSE),"")</f>
        <v>50.532400000000003</v>
      </c>
      <c r="BD90">
        <f>IF(ISNUMBER(VLOOKUP($A90,Haver_M!$B$1:$BZ$300,MATCH(data!BD$1,Haver_M!$B$1:$BZ$1,0),FALSE)),VLOOKUP($A90,Haver_M!$B$1:$BZ$300,MATCH(data!BD$1,Haver_M!$B$1:$BZ$1,0),FALSE),"")</f>
        <v>50.270299999999999</v>
      </c>
      <c r="BE90">
        <f>IF(ISNUMBER(VLOOKUP($A90,Haver_M!$B$1:$BZ$300,MATCH(data!BE$1,Haver_M!$B$1:$BZ$1,0),FALSE)),VLOOKUP($A90,Haver_M!$B$1:$BZ$300,MATCH(data!BE$1,Haver_M!$B$1:$BZ$1,0),FALSE),"")</f>
        <v>1.1268</v>
      </c>
      <c r="BF90">
        <f>IF(ISNUMBER(VLOOKUP($A90,Haver_M!$B$1:$BZ$300,MATCH(data!BF$1,Haver_M!$B$1:$BZ$1,0),FALSE)),VLOOKUP($A90,Haver_M!$B$1:$BZ$300,MATCH(data!BF$1,Haver_M!$B$1:$BZ$1,0),FALSE),"")</f>
        <v>51.078200000000002</v>
      </c>
      <c r="BG90">
        <f>IF(ISNUMBER(VLOOKUP($A90,Haver_M!$B$1:$BZ$300,MATCH(data!BG$1,Haver_M!$B$1:$BZ$1,0),FALSE)),VLOOKUP($A90,Haver_M!$B$1:$BZ$300,MATCH(data!BG$1,Haver_M!$B$1:$BZ$1,0),FALSE),"")</f>
        <v>50.518999999999998</v>
      </c>
      <c r="BH90">
        <f>IF(ISNUMBER(VLOOKUP($A90,Haver_M!$B$1:$BZ$300,MATCH(data!BH$1,Haver_M!$B$1:$BZ$1,0),FALSE)),VLOOKUP($A90,Haver_M!$B$1:$BZ$300,MATCH(data!BH$1,Haver_M!$B$1:$BZ$1,0),FALSE),"")</f>
        <v>54.740200000000002</v>
      </c>
      <c r="BI90">
        <f>IF(ISNUMBER(VLOOKUP($A90,Haver_M!$B$1:$BZ$300,MATCH(data!BI$1,Haver_M!$B$1:$BZ$1,0),FALSE)),VLOOKUP($A90,Haver_M!$B$1:$BZ$300,MATCH(data!BI$1,Haver_M!$B$1:$BZ$1,0),FALSE),"")</f>
        <v>51.319600000000001</v>
      </c>
      <c r="BJ90" t="str">
        <f>IF(ISNUMBER(VLOOKUP($A90,Haver_M!$B$1:$BZ$300,MATCH(data!BJ$1,Haver_M!$B$1:$BZ$1,0),FALSE)),VLOOKUP($A90,Haver_M!$B$1:$BZ$300,MATCH(data!BJ$1,Haver_M!$B$1:$BZ$1,0),FALSE),"")</f>
        <v/>
      </c>
      <c r="BK90">
        <f>IF(ISNUMBER(VLOOKUP($A90,Haver_M!$B$1:$BZ$300,MATCH(data!BK$1,Haver_M!$B$1:$BZ$1,0),FALSE)),VLOOKUP($A90,Haver_M!$B$1:$BZ$300,MATCH(data!BK$1,Haver_M!$B$1:$BZ$1,0),FALSE),"")</f>
        <v>49.9086</v>
      </c>
      <c r="BL90">
        <f>IF(ISNUMBER(VLOOKUP($A90,Haver_M!$B$1:$BZ$300,MATCH(data!BL$1,Haver_M!$B$1:$BZ$1,0),FALSE)),VLOOKUP($A90,Haver_M!$B$1:$BZ$300,MATCH(data!BL$1,Haver_M!$B$1:$BZ$1,0),FALSE),"")</f>
        <v>14156.47</v>
      </c>
      <c r="BM90">
        <f>IF(ISNUMBER(VLOOKUP($A90,Haver_M!$B$1:$BZ$300,MATCH(data!BM$1,Haver_M!$B$1:$BZ$1,0),FALSE)),VLOOKUP($A90,Haver_M!$B$1:$BZ$300,MATCH(data!BM$1,Haver_M!$B$1:$BZ$1,0),FALSE),"")</f>
        <v>103.64230677</v>
      </c>
      <c r="BN90" t="str">
        <f>IF(ISNUMBER(VLOOKUP($A90,Haver_M!$B$1:$BZ$300,MATCH(data!BN$1,Haver_M!$B$1:$BZ$1,0),FALSE)),VLOOKUP($A90,Haver_M!$B$1:$BZ$300,MATCH(data!BN$1,Haver_M!$B$1:$BZ$1,0),FALSE),"")</f>
        <v/>
      </c>
      <c r="BO90" t="str">
        <f>IF(ISNUMBER(VLOOKUP($A90,Haver_M!$B$1:$BZ$300,MATCH(data!BO$1,Haver_M!$B$1:$BZ$1,0),FALSE)),VLOOKUP($A90,Haver_M!$B$1:$BZ$300,MATCH(data!BO$1,Haver_M!$B$1:$BZ$1,0),FALSE),"")</f>
        <v/>
      </c>
      <c r="BP90" t="str">
        <f>IF(ISNUMBER(VLOOKUP($A90,Haver_M!$B$1:$BZ$300,MATCH(data!BP$1,Haver_M!$B$1:$BZ$1,0),FALSE)),VLOOKUP($A90,Haver_M!$B$1:$BZ$300,MATCH(data!BP$1,Haver_M!$B$1:$BZ$1,0),FALSE),"")</f>
        <v/>
      </c>
      <c r="BQ90">
        <f>IF(ISNUMBER(VLOOKUP($A90,Haver_M!$B$1:$BZ$300,MATCH(data!BQ$1,Haver_M!$B$1:$BZ$1,0),FALSE)),VLOOKUP($A90,Haver_M!$B$1:$BZ$300,MATCH(data!BQ$1,Haver_M!$B$1:$BZ$1,0),FALSE),"")</f>
        <v>114.52568079549775</v>
      </c>
      <c r="BR90">
        <f>IF(ISNUMBER(VLOOKUP($A90,Haver_M!$B$1:$BZ$300,MATCH(data!BR$1,Haver_M!$B$1:$BZ$1,0),FALSE)),VLOOKUP($A90,Haver_M!$B$1:$BZ$300,MATCH(data!BR$1,Haver_M!$B$1:$BZ$1,0),FALSE),"")</f>
        <v>162.64005198690521</v>
      </c>
      <c r="BS90">
        <f>IF(ISNUMBER(VLOOKUP($A90,Haver_M!$B$1:$BZ$300,MATCH(data!BS$1,Haver_M!$B$1:$BZ$1,0),FALSE)),VLOOKUP($A90,Haver_M!$B$1:$BZ$300,MATCH(data!BS$1,Haver_M!$B$1:$BZ$1,0),FALSE),"")</f>
        <v>98.755256930565608</v>
      </c>
      <c r="BT90">
        <f>IF(ISNUMBER(VLOOKUP($A90,Haver_M!$B$1:$BZ$300,MATCH(data!BT$1,Haver_M!$B$1:$BZ$1,0),FALSE)),VLOOKUP($A90,Haver_M!$B$1:$BZ$300,MATCH(data!BT$1,Haver_M!$B$1:$BZ$1,0),FALSE),"")</f>
        <v>430.23553501146415</v>
      </c>
      <c r="BU90">
        <f>IF(ISNUMBER(VLOOKUP($A90,Haver_M!$B$1:$BZ$300,MATCH(data!BU$1,Haver_M!$B$1:$BZ$1,0),FALSE)),VLOOKUP($A90,Haver_M!$B$1:$BZ$300,MATCH(data!BU$1,Haver_M!$B$1:$BZ$1,0),FALSE),"")</f>
        <v>12455.7</v>
      </c>
      <c r="BV90">
        <f>IF(ISNUMBER(VLOOKUP($A90,Haver_M!$B$1:$BZ$300,MATCH(data!BV$1,Haver_M!$B$1:$BZ$1,0),FALSE)),VLOOKUP($A90,Haver_M!$B$1:$BZ$300,MATCH(data!BV$1,Haver_M!$B$1:$BZ$1,0),FALSE),"")</f>
        <v>21149.5</v>
      </c>
      <c r="BW90">
        <f>IF(ISNUMBER(VLOOKUP($A90,Haver_M!$B$1:$BZ$300,MATCH(data!BW$1,Haver_M!$B$1:$BZ$1,0),FALSE)),VLOOKUP($A90,Haver_M!$B$1:$BZ$300,MATCH(data!BW$1,Haver_M!$B$1:$BZ$1,0),FALSE),"")</f>
        <v>40.779499999999999</v>
      </c>
      <c r="BX90">
        <f>IF(ISNUMBER(VLOOKUP($A90,Haver_M!$B$1:$BZ$300,MATCH(data!BX$1,Haver_M!$B$1:$BZ$1,0),FALSE)),VLOOKUP($A90,Haver_M!$B$1:$BZ$300,MATCH(data!BX$1,Haver_M!$B$1:$BZ$1,0),FALSE),"")</f>
        <v>25927</v>
      </c>
    </row>
    <row r="91" spans="1:76" x14ac:dyDescent="0.25">
      <c r="A91" s="2">
        <v>39263</v>
      </c>
      <c r="B91">
        <f>IF(ISNUMBER(VLOOKUP($A91,Haver_Q!$B$1:$L$185,MATCH(data!B$1,Haver_Q!$B$1:$L$1,0),FALSE)),100*(VLOOKUP($A91,Haver_Q!$B$1:$L$185,MATCH(data!B$1,Haver_Q!$B$1:$L$1,0),FALSE)),"")</f>
        <v>6.8821013329470881</v>
      </c>
      <c r="C91">
        <f>IF(ISNUMBER(VLOOKUP($A91,Haver_Q!$B$1:$L$185,MATCH(data!C$1,Haver_Q!$B$1:$L$1,0),FALSE)),100*(VLOOKUP($A91,Haver_Q!$B$1:$L$185,MATCH(data!C$1,Haver_Q!$B$1:$L$1,0),FALSE)),"")</f>
        <v>8.8563427728393762</v>
      </c>
      <c r="D91">
        <f>IF(ISNUMBER(VLOOKUP($A91,Haver_Q!$B$1:$L$185,MATCH(data!D$1,Haver_Q!$B$1:$L$1,0),FALSE)),100*(VLOOKUP($A91,Haver_Q!$B$1:$L$185,MATCH(data!D$1,Haver_Q!$B$1:$L$1,0),FALSE)),"")</f>
        <v>67.149541010771998</v>
      </c>
      <c r="E91">
        <f>IF(ISNUMBER(VLOOKUP($A91,Haver_Q!$B$1:$L$185,MATCH(data!E$1,Haver_Q!$B$1:$L$1,0),FALSE)),100*(VLOOKUP($A91,Haver_Q!$B$1:$L$185,MATCH(data!E$1,Haver_Q!$B$1:$L$1,0),FALSE)),"")</f>
        <v>5.3988137207204856</v>
      </c>
      <c r="F91">
        <f>IF(ISNUMBER(VLOOKUP($A91,Haver_Q!$B$1:$L$185,MATCH(data!F$1,Haver_Q!$B$1:$L$1,0),FALSE)),100*(VLOOKUP($A91,Haver_Q!$B$1:$L$185,MATCH(data!F$1,Haver_Q!$B$1:$L$1,0),FALSE)),"")</f>
        <v>-14.646827308862221</v>
      </c>
      <c r="G91">
        <f>IF(ISNUMBER(VLOOKUP($A91,Haver_Q!$B$1:$L$185,MATCH(data!G$1,Haver_Q!$B$1:$L$1,0),FALSE)),100*(VLOOKUP($A91,Haver_Q!$B$1:$L$185,MATCH(data!G$1,Haver_Q!$B$1:$L$1,0),FALSE)),"")</f>
        <v>-12.000645017254197</v>
      </c>
      <c r="H91">
        <f>IF(ISNUMBER(VLOOKUP($A91,Haver_Q!$B$1:$L$185,MATCH(data!H$1,Haver_Q!$B$1:$L$1,0),FALSE)),(VLOOKUP($A91,Haver_Q!$B$1:$L$185,MATCH(data!H$1,Haver_Q!$B$1:$L$1,0),FALSE)),"")</f>
        <v>4.9310156149125079</v>
      </c>
      <c r="I91">
        <f>IF(ISNUMBER(VLOOKUP($A91,Haver_Q!$B$1:$L$185,MATCH(data!I$1,Haver_Q!$B$1:$L$1,0),FALSE)),100*(VLOOKUP($A91,Haver_Q!$B$1:$L$185,MATCH(data!I$1,Haver_Q!$B$1:$L$1,0),FALSE)),"")</f>
        <v>10.809488191198358</v>
      </c>
      <c r="J91" s="3">
        <f>IF(ISNUMBER(Bloomberg_m!C107),Bloomberg_m!C107,"")</f>
        <v>5772</v>
      </c>
      <c r="K91" s="3" t="str">
        <f>IF(ISNUMBER(Bloomberg_m!D107),Bloomberg_m!D107,"")</f>
        <v/>
      </c>
      <c r="L91" s="3" t="str">
        <f>IF(ISNUMBER(Bloomberg_m!E107),Bloomberg_m!E107,"")</f>
        <v/>
      </c>
      <c r="M91" s="3" t="str">
        <f>IF(ISNUMBER(Bloomberg_m!F107),Bloomberg_m!F107,"")</f>
        <v/>
      </c>
      <c r="N91">
        <f>IF(ISNUMBER(VLOOKUP($A91,Haver_M!$B$1:$BZ$300,MATCH(data!N$1,Haver_M!$B$1:$BZ$1,0),FALSE)),VLOOKUP($A91,Haver_M!$B$1:$BZ$300,MATCH(data!N$1,Haver_M!$B$1:$BZ$1,0),FALSE),"")</f>
        <v>7.75</v>
      </c>
      <c r="O91">
        <f>IF(ISNUMBER(VLOOKUP($A91,Haver_M!$B$1:$BZ$300,MATCH(data!O$1,Haver_M!$B$1:$BZ$1,0),FALSE)),VLOOKUP($A91,Haver_M!$B$1:$BZ$300,MATCH(data!O$1,Haver_M!$B$1:$BZ$1,0),FALSE),"")</f>
        <v>8.1559000000000008</v>
      </c>
      <c r="P91">
        <f>IF(ISNUMBER(VLOOKUP($A91,Haver_M!$B$1:$BZ$300,MATCH(data!P$1,Haver_M!$B$1:$BZ$1,0),FALSE)),VLOOKUP($A91,Haver_M!$B$1:$BZ$300,MATCH(data!P$1,Haver_M!$B$1:$BZ$1,0),FALSE),"")</f>
        <v>101.15402</v>
      </c>
      <c r="Q91">
        <f>IF(ISNUMBER(VLOOKUP($A91,Haver_M!$B$1:$BZ$300,MATCH(data!Q$1,Haver_M!$B$1:$BZ$1,0),FALSE)),VLOOKUP($A91,Haver_M!$B$1:$BZ$300,MATCH(data!Q$1,Haver_M!$B$1:$BZ$1,0),FALSE),"")</f>
        <v>64.099999999999994</v>
      </c>
      <c r="R91" t="str">
        <f>IF(ISNUMBER(VLOOKUP($A91,Haver_M!$B$1:$BZ$300,MATCH(data!R$1,Haver_M!$B$1:$BZ$1,0),FALSE)),VLOOKUP($A91,Haver_M!$B$1:$BZ$300,MATCH(data!R$1,Haver_M!$B$1:$BZ$1,0),FALSE),"")</f>
        <v/>
      </c>
      <c r="S91">
        <f>IF(ISNUMBER(VLOOKUP($A91,Haver_M!$B$1:$BZ$300,MATCH(data!S$1,Haver_M!$B$1:$BZ$1,0),FALSE)),VLOOKUP($A91,Haver_M!$B$1:$BZ$300,MATCH(data!S$1,Haver_M!$B$1:$BZ$1,0),FALSE),"")</f>
        <v>83.83</v>
      </c>
      <c r="T91">
        <f>IF(ISNUMBER(VLOOKUP($A91,Haver_M!$B$1:$BZ$300,MATCH(data!T$1,Haver_M!$B$1:$BZ$1,0),FALSE)),VLOOKUP($A91,Haver_M!$B$1:$BZ$300,MATCH(data!T$1,Haver_M!$B$1:$BZ$1,0),FALSE),"")</f>
        <v>82.53</v>
      </c>
      <c r="U91">
        <f>IF(ISNUMBER(VLOOKUP($A91,Haver_M!$B$1:$BZ$300,MATCH(data!U$1,Haver_M!$B$1:$BZ$1,0),FALSE)),VLOOKUP($A91,Haver_M!$B$1:$BZ$300,MATCH(data!U$1,Haver_M!$B$1:$BZ$1,0),FALSE),"")</f>
        <v>91.38</v>
      </c>
      <c r="V91">
        <f>IF(ISNUMBER(VLOOKUP($A91,Haver_M!$B$1:$BZ$300,MATCH(data!V$1,Haver_M!$B$1:$BZ$1,0),FALSE)),VLOOKUP($A91,Haver_M!$B$1:$BZ$300,MATCH(data!V$1,Haver_M!$B$1:$BZ$1,0),FALSE),"")</f>
        <v>91.32</v>
      </c>
      <c r="W91" t="str">
        <f>IF(ISNUMBER(VLOOKUP($A91,Haver_M!$B$1:$BZ$300,MATCH(data!W$1,Haver_M!$B$1:$BZ$1,0),FALSE)),VLOOKUP($A91,Haver_M!$B$1:$BZ$300,MATCH(data!W$1,Haver_M!$B$1:$BZ$1,0),FALSE),"")</f>
        <v/>
      </c>
      <c r="X91">
        <f>IF(ISNUMBER(VLOOKUP($A91,Haver_M!$B$1:$BZ$300,MATCH(data!X$1,Haver_M!$B$1:$BZ$1,0),FALSE)),VLOOKUP($A91,Haver_M!$B$1:$BZ$300,MATCH(data!X$1,Haver_M!$B$1:$BZ$1,0),FALSE),"")</f>
        <v>61.6</v>
      </c>
      <c r="Y91">
        <f>IF(ISNUMBER(VLOOKUP($A91,Haver_M!$B$1:$BZ$300,MATCH(data!Y$1,Haver_M!$B$1:$BZ$1,0),FALSE)),VLOOKUP($A91,Haver_M!$B$1:$BZ$300,MATCH(data!Y$1,Haver_M!$B$1:$BZ$1,0),FALSE),"")</f>
        <v>91.82</v>
      </c>
      <c r="Z91">
        <f>IF(ISNUMBER(VLOOKUP($A91,Haver_M!$B$1:$BZ$300,MATCH(data!Z$1,Haver_M!$B$1:$BZ$1,0),FALSE)),VLOOKUP($A91,Haver_M!$B$1:$BZ$300,MATCH(data!Z$1,Haver_M!$B$1:$BZ$1,0),FALSE),"")</f>
        <v>80.400000000000006</v>
      </c>
      <c r="AA91">
        <f>IF(ISNUMBER(VLOOKUP($A91,Haver_M!$B$1:$BZ$300,MATCH(data!AA$1,Haver_M!$B$1:$BZ$1,0),FALSE)),VLOOKUP($A91,Haver_M!$B$1:$BZ$300,MATCH(data!AA$1,Haver_M!$B$1:$BZ$1,0),FALSE),"")</f>
        <v>81.912000000000006</v>
      </c>
      <c r="AB91">
        <f>IF(ISNUMBER(VLOOKUP($A91,Haver_M!$B$1:$BZ$300,MATCH(data!AB$1,Haver_M!$B$1:$BZ$1,0),FALSE)),VLOOKUP($A91,Haver_M!$B$1:$BZ$300,MATCH(data!AB$1,Haver_M!$B$1:$BZ$1,0),FALSE),"")</f>
        <v>88.745000000000005</v>
      </c>
      <c r="AC91">
        <f>IF(ISNUMBER(VLOOKUP($A91,Haver_M!$B$1:$BZ$300,MATCH(data!AC$1,Haver_M!$B$1:$BZ$1,0),FALSE)),VLOOKUP($A91,Haver_M!$B$1:$BZ$300,MATCH(data!AC$1,Haver_M!$B$1:$BZ$1,0),FALSE),"")</f>
        <v>66.983999999999995</v>
      </c>
      <c r="AD91">
        <f>IF(ISNUMBER(VLOOKUP($A91,Haver_M!$B$1:$BZ$300,MATCH(data!AD$1,Haver_M!$B$1:$BZ$1,0),FALSE)),VLOOKUP($A91,Haver_M!$B$1:$BZ$300,MATCH(data!AD$1,Haver_M!$B$1:$BZ$1,0),FALSE),"")</f>
        <v>92.099000000000004</v>
      </c>
      <c r="AE91">
        <f>IF(ISNUMBER(VLOOKUP($A91,Haver_M!$B$1:$BZ$300,MATCH(data!AE$1,Haver_M!$B$1:$BZ$1,0),FALSE)),VLOOKUP($A91,Haver_M!$B$1:$BZ$300,MATCH(data!AE$1,Haver_M!$B$1:$BZ$1,0),FALSE),"")</f>
        <v>92.224000000000004</v>
      </c>
      <c r="AF91">
        <f>IF(ISNUMBER(VLOOKUP($A91,Haver_M!$B$1:$BZ$300,MATCH(data!AF$1,Haver_M!$B$1:$BZ$1,0),FALSE)),VLOOKUP($A91,Haver_M!$B$1:$BZ$300,MATCH(data!AF$1,Haver_M!$B$1:$BZ$1,0),FALSE),"")</f>
        <v>70.942999999999998</v>
      </c>
      <c r="AG91">
        <f>IF(ISNUMBER(VLOOKUP($A91,Haver_M!$B$1:$BZ$300,MATCH(data!AG$1,Haver_M!$B$1:$BZ$1,0),FALSE)),VLOOKUP($A91,Haver_M!$B$1:$BZ$300,MATCH(data!AG$1,Haver_M!$B$1:$BZ$1,0),FALSE),"")</f>
        <v>72.852000000000004</v>
      </c>
      <c r="AH91">
        <f>IF(ISNUMBER(VLOOKUP($A91,Haver_M!$B$1:$BZ$300,MATCH(data!AH$1,Haver_M!$B$1:$BZ$1,0),FALSE)),VLOOKUP($A91,Haver_M!$B$1:$BZ$300,MATCH(data!AH$1,Haver_M!$B$1:$BZ$1,0),FALSE),"")</f>
        <v>78.991</v>
      </c>
      <c r="AI91">
        <f>IF(ISNUMBER(VLOOKUP($A91,Haver_M!$B$1:$BZ$300,MATCH(data!AI$1,Haver_M!$B$1:$BZ$1,0),FALSE)),VLOOKUP($A91,Haver_M!$B$1:$BZ$300,MATCH(data!AI$1,Haver_M!$B$1:$BZ$1,0),FALSE),"")</f>
        <v>10491.318166229334</v>
      </c>
      <c r="AJ91">
        <f>IF(ISNUMBER(VLOOKUP($A91,Haver_M!$B$1:$BZ$300,MATCH(data!AJ$1,Haver_M!$B$1:$BZ$1,0),FALSE)),VLOOKUP($A91,Haver_M!$B$1:$BZ$300,MATCH(data!AJ$1,Haver_M!$B$1:$BZ$1,0),FALSE),"")</f>
        <v>11852.08</v>
      </c>
      <c r="AK91">
        <f>IF(ISNUMBER(VLOOKUP($A91,Haver_M!$B$1:$BZ$300,MATCH(data!AK$1,Haver_M!$B$1:$BZ$1,0),FALSE)),VLOOKUP($A91,Haver_M!$B$1:$BZ$300,MATCH(data!AK$1,Haver_M!$B$1:$BZ$1,0),FALSE),"")</f>
        <v>19838.86</v>
      </c>
      <c r="AL91" t="str">
        <f>IF(ISNUMBER(VLOOKUP($A91,Haver_M!$B$1:$BZ$300,MATCH(data!AL$1,Haver_M!$B$1:$BZ$1,0),FALSE)),VLOOKUP($A91,Haver_M!$B$1:$BZ$300,MATCH(data!AL$1,Haver_M!$B$1:$BZ$1,0),FALSE),"")</f>
        <v/>
      </c>
      <c r="AM91" t="str">
        <f>IF(ISNUMBER(VLOOKUP($A91,Haver_M!$B$1:$BZ$300,MATCH(data!AM$1,Haver_M!$B$1:$BZ$1,0),FALSE)),VLOOKUP($A91,Haver_M!$B$1:$BZ$300,MATCH(data!AM$1,Haver_M!$B$1:$BZ$1,0),FALSE),"")</f>
        <v/>
      </c>
      <c r="AN91" t="str">
        <f>IF(ISNUMBER(VLOOKUP($A91,Haver_M!$B$1:$BZ$300,MATCH(data!AN$1,Haver_M!$B$1:$BZ$1,0),FALSE)),VLOOKUP($A91,Haver_M!$B$1:$BZ$300,MATCH(data!AN$1,Haver_M!$B$1:$BZ$1,0),FALSE),"")</f>
        <v/>
      </c>
      <c r="AO91" t="str">
        <f>IF(ISNUMBER(VLOOKUP($A91,Haver_M!$B$1:$BZ$300,MATCH(data!AO$1,Haver_M!$B$1:$BZ$1,0),FALSE)),VLOOKUP($A91,Haver_M!$B$1:$BZ$300,MATCH(data!AO$1,Haver_M!$B$1:$BZ$1,0),FALSE),"")</f>
        <v/>
      </c>
      <c r="AP91">
        <f>IF(ISNUMBER(VLOOKUP($A91,Haver_M!$B$1:$BZ$300,MATCH(data!AP$1,Haver_M!$B$1:$BZ$1,0),FALSE)),VLOOKUP($A91,Haver_M!$B$1:$BZ$300,MATCH(data!AP$1,Haver_M!$B$1:$BZ$1,0),FALSE),"")</f>
        <v>28.370945380618103</v>
      </c>
      <c r="AQ91">
        <f>IF(ISNUMBER(VLOOKUP($A91,Haver_M!$B$1:$BZ$300,MATCH(data!AQ$1,Haver_M!$B$1:$BZ$1,0),FALSE)),VLOOKUP($A91,Haver_M!$B$1:$BZ$300,MATCH(data!AQ$1,Haver_M!$B$1:$BZ$1,0),FALSE),"")</f>
        <v>55.810200000000002</v>
      </c>
      <c r="AR91">
        <f>IF(ISNUMBER(VLOOKUP($A91,Haver_M!$B$1:$BZ$300,MATCH(data!AR$1,Haver_M!$B$1:$BZ$1,0),FALSE)),VLOOKUP($A91,Haver_M!$B$1:$BZ$300,MATCH(data!AR$1,Haver_M!$B$1:$BZ$1,0),FALSE),"")</f>
        <v>53.238900000000001</v>
      </c>
      <c r="AS91">
        <f>IF(ISNUMBER(VLOOKUP($A91,Haver_M!$B$1:$BZ$300,MATCH(data!AS$1,Haver_M!$B$1:$BZ$1,0),FALSE)),VLOOKUP($A91,Haver_M!$B$1:$BZ$300,MATCH(data!AS$1,Haver_M!$B$1:$BZ$1,0),FALSE),"")</f>
        <v>56.336399999999998</v>
      </c>
      <c r="AT91">
        <f>IF(ISNUMBER(VLOOKUP($A91,Haver_M!$B$1:$BZ$300,MATCH(data!AT$1,Haver_M!$B$1:$BZ$1,0),FALSE)),VLOOKUP($A91,Haver_M!$B$1:$BZ$300,MATCH(data!AT$1,Haver_M!$B$1:$BZ$1,0),FALSE),"")</f>
        <v>54.627200000000002</v>
      </c>
      <c r="AU91">
        <f>IF(ISNUMBER(VLOOKUP($A91,Haver_M!$B$1:$BZ$300,MATCH(data!AU$1,Haver_M!$B$1:$BZ$1,0),FALSE)),VLOOKUP($A91,Haver_M!$B$1:$BZ$300,MATCH(data!AU$1,Haver_M!$B$1:$BZ$1,0),FALSE),"")</f>
        <v>55.805500000000002</v>
      </c>
      <c r="AV91">
        <f>IF(ISNUMBER(VLOOKUP($A91,Haver_M!$B$1:$BZ$300,MATCH(data!AV$1,Haver_M!$B$1:$BZ$1,0),FALSE)),VLOOKUP($A91,Haver_M!$B$1:$BZ$300,MATCH(data!AV$1,Haver_M!$B$1:$BZ$1,0),FALSE),"")</f>
        <v>50.8</v>
      </c>
      <c r="AW91">
        <f>IF(ISNUMBER(VLOOKUP($A91,Haver_M!$B$1:$BZ$300,MATCH(data!AW$1,Haver_M!$B$1:$BZ$1,0),FALSE)),VLOOKUP($A91,Haver_M!$B$1:$BZ$300,MATCH(data!AW$1,Haver_M!$B$1:$BZ$1,0),FALSE),"")</f>
        <v>49.526200000000003</v>
      </c>
      <c r="AX91">
        <f>IF(ISNUMBER(VLOOKUP($A91,Haver_M!$B$1:$BZ$300,MATCH(data!AX$1,Haver_M!$B$1:$BZ$1,0),FALSE)),VLOOKUP($A91,Haver_M!$B$1:$BZ$300,MATCH(data!AX$1,Haver_M!$B$1:$BZ$1,0),FALSE),"")</f>
        <v>51.093499999999999</v>
      </c>
      <c r="AY91">
        <f>IF(ISNUMBER(VLOOKUP($A91,Haver_M!$B$1:$BZ$300,MATCH(data!AY$1,Haver_M!$B$1:$BZ$1,0),FALSE)),VLOOKUP($A91,Haver_M!$B$1:$BZ$300,MATCH(data!AY$1,Haver_M!$B$1:$BZ$1,0),FALSE),"")</f>
        <v>52.412500000000001</v>
      </c>
      <c r="AZ91">
        <f>IF(ISNUMBER(VLOOKUP($A91,Haver_M!$B$1:$BZ$300,MATCH(data!AZ$1,Haver_M!$B$1:$BZ$1,0),FALSE)),VLOOKUP($A91,Haver_M!$B$1:$BZ$300,MATCH(data!AZ$1,Haver_M!$B$1:$BZ$1,0),FALSE),"")</f>
        <v>54.755800000000001</v>
      </c>
      <c r="BA91">
        <f>IF(ISNUMBER(VLOOKUP($A91,Haver_M!$B$1:$BZ$300,MATCH(data!BA$1,Haver_M!$B$1:$BZ$1,0),FALSE)),VLOOKUP($A91,Haver_M!$B$1:$BZ$300,MATCH(data!BA$1,Haver_M!$B$1:$BZ$1,0),FALSE),"")</f>
        <v>51.093499999999999</v>
      </c>
      <c r="BB91">
        <f>IF(ISNUMBER(VLOOKUP($A91,Haver_M!$B$1:$BZ$300,MATCH(data!BB$1,Haver_M!$B$1:$BZ$1,0),FALSE)),VLOOKUP($A91,Haver_M!$B$1:$BZ$300,MATCH(data!BB$1,Haver_M!$B$1:$BZ$1,0),FALSE),"")</f>
        <v>51.5154</v>
      </c>
      <c r="BC91">
        <f>IF(ISNUMBER(VLOOKUP($A91,Haver_M!$B$1:$BZ$300,MATCH(data!BC$1,Haver_M!$B$1:$BZ$1,0),FALSE)),VLOOKUP($A91,Haver_M!$B$1:$BZ$300,MATCH(data!BC$1,Haver_M!$B$1:$BZ$1,0),FALSE),"")</f>
        <v>50.670200000000001</v>
      </c>
      <c r="BD91">
        <f>IF(ISNUMBER(VLOOKUP($A91,Haver_M!$B$1:$BZ$300,MATCH(data!BD$1,Haver_M!$B$1:$BZ$1,0),FALSE)),VLOOKUP($A91,Haver_M!$B$1:$BZ$300,MATCH(data!BD$1,Haver_M!$B$1:$BZ$1,0),FALSE),"")</f>
        <v>50.238599999999998</v>
      </c>
      <c r="BE91">
        <f>IF(ISNUMBER(VLOOKUP($A91,Haver_M!$B$1:$BZ$300,MATCH(data!BE$1,Haver_M!$B$1:$BZ$1,0),FALSE)),VLOOKUP($A91,Haver_M!$B$1:$BZ$300,MATCH(data!BE$1,Haver_M!$B$1:$BZ$1,0),FALSE),"")</f>
        <v>1.1041000000000001</v>
      </c>
      <c r="BF91">
        <f>IF(ISNUMBER(VLOOKUP($A91,Haver_M!$B$1:$BZ$300,MATCH(data!BF$1,Haver_M!$B$1:$BZ$1,0),FALSE)),VLOOKUP($A91,Haver_M!$B$1:$BZ$300,MATCH(data!BF$1,Haver_M!$B$1:$BZ$1,0),FALSE),"")</f>
        <v>52.288400000000003</v>
      </c>
      <c r="BG91">
        <f>IF(ISNUMBER(VLOOKUP($A91,Haver_M!$B$1:$BZ$300,MATCH(data!BG$1,Haver_M!$B$1:$BZ$1,0),FALSE)),VLOOKUP($A91,Haver_M!$B$1:$BZ$300,MATCH(data!BG$1,Haver_M!$B$1:$BZ$1,0),FALSE),"")</f>
        <v>50.178600000000003</v>
      </c>
      <c r="BH91">
        <f>IF(ISNUMBER(VLOOKUP($A91,Haver_M!$B$1:$BZ$300,MATCH(data!BH$1,Haver_M!$B$1:$BZ$1,0),FALSE)),VLOOKUP($A91,Haver_M!$B$1:$BZ$300,MATCH(data!BH$1,Haver_M!$B$1:$BZ$1,0),FALSE),"")</f>
        <v>56.588000000000001</v>
      </c>
      <c r="BI91">
        <f>IF(ISNUMBER(VLOOKUP($A91,Haver_M!$B$1:$BZ$300,MATCH(data!BI$1,Haver_M!$B$1:$BZ$1,0),FALSE)),VLOOKUP($A91,Haver_M!$B$1:$BZ$300,MATCH(data!BI$1,Haver_M!$B$1:$BZ$1,0),FALSE),"")</f>
        <v>50.430500000000002</v>
      </c>
      <c r="BJ91" t="str">
        <f>IF(ISNUMBER(VLOOKUP($A91,Haver_M!$B$1:$BZ$300,MATCH(data!BJ$1,Haver_M!$B$1:$BZ$1,0),FALSE)),VLOOKUP($A91,Haver_M!$B$1:$BZ$300,MATCH(data!BJ$1,Haver_M!$B$1:$BZ$1,0),FALSE),"")</f>
        <v/>
      </c>
      <c r="BK91">
        <f>IF(ISNUMBER(VLOOKUP($A91,Haver_M!$B$1:$BZ$300,MATCH(data!BK$1,Haver_M!$B$1:$BZ$1,0),FALSE)),VLOOKUP($A91,Haver_M!$B$1:$BZ$300,MATCH(data!BK$1,Haver_M!$B$1:$BZ$1,0),FALSE),"")</f>
        <v>50</v>
      </c>
      <c r="BL91">
        <f>IF(ISNUMBER(VLOOKUP($A91,Haver_M!$B$1:$BZ$300,MATCH(data!BL$1,Haver_M!$B$1:$BZ$1,0),FALSE)),VLOOKUP($A91,Haver_M!$B$1:$BZ$300,MATCH(data!BL$1,Haver_M!$B$1:$BZ$1,0),FALSE),"")</f>
        <v>14334.3</v>
      </c>
      <c r="BM91">
        <f>IF(ISNUMBER(VLOOKUP($A91,Haver_M!$B$1:$BZ$300,MATCH(data!BM$1,Haver_M!$B$1:$BZ$1,0),FALSE)),VLOOKUP($A91,Haver_M!$B$1:$BZ$300,MATCH(data!BM$1,Haver_M!$B$1:$BZ$1,0),FALSE),"")</f>
        <v>102.81939156999999</v>
      </c>
      <c r="BN91">
        <f>IF(ISNUMBER(VLOOKUP($A91,Haver_M!$B$1:$BZ$300,MATCH(data!BN$1,Haver_M!$B$1:$BZ$1,0),FALSE)),VLOOKUP($A91,Haver_M!$B$1:$BZ$300,MATCH(data!BN$1,Haver_M!$B$1:$BZ$1,0),FALSE),"")</f>
        <v>115.8</v>
      </c>
      <c r="BO91">
        <f>IF(ISNUMBER(VLOOKUP($A91,Haver_M!$B$1:$BZ$300,MATCH(data!BO$1,Haver_M!$B$1:$BZ$1,0),FALSE)),VLOOKUP($A91,Haver_M!$B$1:$BZ$300,MATCH(data!BO$1,Haver_M!$B$1:$BZ$1,0),FALSE),"")</f>
        <v>127.5</v>
      </c>
      <c r="BP91">
        <f>IF(ISNUMBER(VLOOKUP($A91,Haver_M!$B$1:$BZ$300,MATCH(data!BP$1,Haver_M!$B$1:$BZ$1,0),FALSE)),VLOOKUP($A91,Haver_M!$B$1:$BZ$300,MATCH(data!BP$1,Haver_M!$B$1:$BZ$1,0),FALSE),"")</f>
        <v>51.7</v>
      </c>
      <c r="BQ91">
        <f>IF(ISNUMBER(VLOOKUP($A91,Haver_M!$B$1:$BZ$300,MATCH(data!BQ$1,Haver_M!$B$1:$BZ$1,0),FALSE)),VLOOKUP($A91,Haver_M!$B$1:$BZ$300,MATCH(data!BQ$1,Haver_M!$B$1:$BZ$1,0),FALSE),"")</f>
        <v>115.24824695439752</v>
      </c>
      <c r="BR91">
        <f>IF(ISNUMBER(VLOOKUP($A91,Haver_M!$B$1:$BZ$300,MATCH(data!BR$1,Haver_M!$B$1:$BZ$1,0),FALSE)),VLOOKUP($A91,Haver_M!$B$1:$BZ$300,MATCH(data!BR$1,Haver_M!$B$1:$BZ$1,0),FALSE),"")</f>
        <v>164.26926388027047</v>
      </c>
      <c r="BS91">
        <f>IF(ISNUMBER(VLOOKUP($A91,Haver_M!$B$1:$BZ$300,MATCH(data!BS$1,Haver_M!$B$1:$BZ$1,0),FALSE)),VLOOKUP($A91,Haver_M!$B$1:$BZ$300,MATCH(data!BS$1,Haver_M!$B$1:$BZ$1,0),FALSE),"")</f>
        <v>99.889629867629424</v>
      </c>
      <c r="BT91">
        <f>IF(ISNUMBER(VLOOKUP($A91,Haver_M!$B$1:$BZ$300,MATCH(data!BT$1,Haver_M!$B$1:$BZ$1,0),FALSE)),VLOOKUP($A91,Haver_M!$B$1:$BZ$300,MATCH(data!BT$1,Haver_M!$B$1:$BZ$1,0),FALSE),"")</f>
        <v>434.06954299407187</v>
      </c>
      <c r="BU91">
        <f>IF(ISNUMBER(VLOOKUP($A91,Haver_M!$B$1:$BZ$300,MATCH(data!BU$1,Haver_M!$B$1:$BZ$1,0),FALSE)),VLOOKUP($A91,Haver_M!$B$1:$BZ$300,MATCH(data!BU$1,Haver_M!$B$1:$BZ$1,0),FALSE),"")</f>
        <v>12101</v>
      </c>
      <c r="BV91">
        <f>IF(ISNUMBER(VLOOKUP($A91,Haver_M!$B$1:$BZ$300,MATCH(data!BV$1,Haver_M!$B$1:$BZ$1,0),FALSE)),VLOOKUP($A91,Haver_M!$B$1:$BZ$300,MATCH(data!BV$1,Haver_M!$B$1:$BZ$1,0),FALSE),"")</f>
        <v>20016</v>
      </c>
      <c r="BW91">
        <f>IF(ISNUMBER(VLOOKUP($A91,Haver_M!$B$1:$BZ$300,MATCH(data!BW$1,Haver_M!$B$1:$BZ$1,0),FALSE)),VLOOKUP($A91,Haver_M!$B$1:$BZ$300,MATCH(data!BW$1,Haver_M!$B$1:$BZ$1,0),FALSE),"")</f>
        <v>40.771900000000002</v>
      </c>
      <c r="BX91">
        <f>IF(ISNUMBER(VLOOKUP($A91,Haver_M!$B$1:$BZ$300,MATCH(data!BX$1,Haver_M!$B$1:$BZ$1,0),FALSE)),VLOOKUP($A91,Haver_M!$B$1:$BZ$300,MATCH(data!BX$1,Haver_M!$B$1:$BZ$1,0),FALSE),"")</f>
        <v>23907</v>
      </c>
    </row>
    <row r="92" spans="1:76" x14ac:dyDescent="0.25">
      <c r="A92" s="2">
        <v>39294</v>
      </c>
      <c r="B92" t="str">
        <f>IF(ISNUMBER(VLOOKUP($A92,Haver_Q!$B$1:$L$185,MATCH(data!B$1,Haver_Q!$B$1:$L$1,0),FALSE)),100*(VLOOKUP($A92,Haver_Q!$B$1:$L$185,MATCH(data!B$1,Haver_Q!$B$1:$L$1,0),FALSE)),"")</f>
        <v/>
      </c>
      <c r="C92" t="str">
        <f>IF(ISNUMBER(VLOOKUP($A92,Haver_Q!$B$1:$L$185,MATCH(data!C$1,Haver_Q!$B$1:$L$1,0),FALSE)),100*(VLOOKUP($A92,Haver_Q!$B$1:$L$185,MATCH(data!C$1,Haver_Q!$B$1:$L$1,0),FALSE)),"")</f>
        <v/>
      </c>
      <c r="D92" t="str">
        <f>IF(ISNUMBER(VLOOKUP($A92,Haver_Q!$B$1:$L$185,MATCH(data!D$1,Haver_Q!$B$1:$L$1,0),FALSE)),100*(VLOOKUP($A92,Haver_Q!$B$1:$L$185,MATCH(data!D$1,Haver_Q!$B$1:$L$1,0),FALSE)),"")</f>
        <v/>
      </c>
      <c r="E92" t="str">
        <f>IF(ISNUMBER(VLOOKUP($A92,Haver_Q!$B$1:$L$185,MATCH(data!E$1,Haver_Q!$B$1:$L$1,0),FALSE)),100*(VLOOKUP($A92,Haver_Q!$B$1:$L$185,MATCH(data!E$1,Haver_Q!$B$1:$L$1,0),FALSE)),"")</f>
        <v/>
      </c>
      <c r="F92" t="str">
        <f>IF(ISNUMBER(VLOOKUP($A92,Haver_Q!$B$1:$L$185,MATCH(data!F$1,Haver_Q!$B$1:$L$1,0),FALSE)),100*(VLOOKUP($A92,Haver_Q!$B$1:$L$185,MATCH(data!F$1,Haver_Q!$B$1:$L$1,0),FALSE)),"")</f>
        <v/>
      </c>
      <c r="G92" t="str">
        <f>IF(ISNUMBER(VLOOKUP($A92,Haver_Q!$B$1:$L$185,MATCH(data!G$1,Haver_Q!$B$1:$L$1,0),FALSE)),100*(VLOOKUP($A92,Haver_Q!$B$1:$L$185,MATCH(data!G$1,Haver_Q!$B$1:$L$1,0),FALSE)),"")</f>
        <v/>
      </c>
      <c r="H92" t="str">
        <f>IF(ISNUMBER(VLOOKUP($A92,Haver_Q!$B$1:$L$185,MATCH(data!H$1,Haver_Q!$B$1:$L$1,0),FALSE)),(VLOOKUP($A92,Haver_Q!$B$1:$L$185,MATCH(data!H$1,Haver_Q!$B$1:$L$1,0),FALSE)),"")</f>
        <v/>
      </c>
      <c r="I92" t="str">
        <f>IF(ISNUMBER(VLOOKUP($A92,Haver_Q!$B$1:$L$185,MATCH(data!I$1,Haver_Q!$B$1:$L$1,0),FALSE)),100*(VLOOKUP($A92,Haver_Q!$B$1:$L$185,MATCH(data!I$1,Haver_Q!$B$1:$L$1,0),FALSE)),"")</f>
        <v/>
      </c>
      <c r="J92" s="3">
        <f>IF(ISNUMBER(Bloomberg_m!C108),Bloomberg_m!C108,"")</f>
        <v>6572</v>
      </c>
      <c r="K92" s="3" t="str">
        <f>IF(ISNUMBER(Bloomberg_m!D108),Bloomberg_m!D108,"")</f>
        <v/>
      </c>
      <c r="L92" s="3" t="str">
        <f>IF(ISNUMBER(Bloomberg_m!E108),Bloomberg_m!E108,"")</f>
        <v/>
      </c>
      <c r="M92" s="3" t="str">
        <f>IF(ISNUMBER(Bloomberg_m!F108),Bloomberg_m!F108,"")</f>
        <v/>
      </c>
      <c r="N92">
        <f>IF(ISNUMBER(VLOOKUP($A92,Haver_M!$B$1:$BZ$300,MATCH(data!N$1,Haver_M!$B$1:$BZ$1,0),FALSE)),VLOOKUP($A92,Haver_M!$B$1:$BZ$300,MATCH(data!N$1,Haver_M!$B$1:$BZ$1,0),FALSE),"")</f>
        <v>7.75</v>
      </c>
      <c r="O92">
        <f>IF(ISNUMBER(VLOOKUP($A92,Haver_M!$B$1:$BZ$300,MATCH(data!O$1,Haver_M!$B$1:$BZ$1,0),FALSE)),VLOOKUP($A92,Haver_M!$B$1:$BZ$300,MATCH(data!O$1,Haver_M!$B$1:$BZ$1,0),FALSE),"")</f>
        <v>7.9108000000000001</v>
      </c>
      <c r="P92">
        <f>IF(ISNUMBER(VLOOKUP($A92,Haver_M!$B$1:$BZ$300,MATCH(data!P$1,Haver_M!$B$1:$BZ$1,0),FALSE)),VLOOKUP($A92,Haver_M!$B$1:$BZ$300,MATCH(data!P$1,Haver_M!$B$1:$BZ$1,0),FALSE),"")</f>
        <v>100.90424</v>
      </c>
      <c r="Q92">
        <f>IF(ISNUMBER(VLOOKUP($A92,Haver_M!$B$1:$BZ$300,MATCH(data!Q$1,Haver_M!$B$1:$BZ$1,0),FALSE)),VLOOKUP($A92,Haver_M!$B$1:$BZ$300,MATCH(data!Q$1,Haver_M!$B$1:$BZ$1,0),FALSE),"")</f>
        <v>65</v>
      </c>
      <c r="R92" t="str">
        <f>IF(ISNUMBER(VLOOKUP($A92,Haver_M!$B$1:$BZ$300,MATCH(data!R$1,Haver_M!$B$1:$BZ$1,0),FALSE)),VLOOKUP($A92,Haver_M!$B$1:$BZ$300,MATCH(data!R$1,Haver_M!$B$1:$BZ$1,0),FALSE),"")</f>
        <v/>
      </c>
      <c r="S92">
        <f>IF(ISNUMBER(VLOOKUP($A92,Haver_M!$B$1:$BZ$300,MATCH(data!S$1,Haver_M!$B$1:$BZ$1,0),FALSE)),VLOOKUP($A92,Haver_M!$B$1:$BZ$300,MATCH(data!S$1,Haver_M!$B$1:$BZ$1,0),FALSE),"")</f>
        <v>84.13</v>
      </c>
      <c r="T92">
        <f>IF(ISNUMBER(VLOOKUP($A92,Haver_M!$B$1:$BZ$300,MATCH(data!T$1,Haver_M!$B$1:$BZ$1,0),FALSE)),VLOOKUP($A92,Haver_M!$B$1:$BZ$300,MATCH(data!T$1,Haver_M!$B$1:$BZ$1,0),FALSE),"")</f>
        <v>81.069999999999993</v>
      </c>
      <c r="U92">
        <f>IF(ISNUMBER(VLOOKUP($A92,Haver_M!$B$1:$BZ$300,MATCH(data!U$1,Haver_M!$B$1:$BZ$1,0),FALSE)),VLOOKUP($A92,Haver_M!$B$1:$BZ$300,MATCH(data!U$1,Haver_M!$B$1:$BZ$1,0),FALSE),"")</f>
        <v>94.85</v>
      </c>
      <c r="V92">
        <f>IF(ISNUMBER(VLOOKUP($A92,Haver_M!$B$1:$BZ$300,MATCH(data!V$1,Haver_M!$B$1:$BZ$1,0),FALSE)),VLOOKUP($A92,Haver_M!$B$1:$BZ$300,MATCH(data!V$1,Haver_M!$B$1:$BZ$1,0),FALSE),"")</f>
        <v>90.78</v>
      </c>
      <c r="W92" t="str">
        <f>IF(ISNUMBER(VLOOKUP($A92,Haver_M!$B$1:$BZ$300,MATCH(data!W$1,Haver_M!$B$1:$BZ$1,0),FALSE)),VLOOKUP($A92,Haver_M!$B$1:$BZ$300,MATCH(data!W$1,Haver_M!$B$1:$BZ$1,0),FALSE),"")</f>
        <v/>
      </c>
      <c r="X92">
        <f>IF(ISNUMBER(VLOOKUP($A92,Haver_M!$B$1:$BZ$300,MATCH(data!X$1,Haver_M!$B$1:$BZ$1,0),FALSE)),VLOOKUP($A92,Haver_M!$B$1:$BZ$300,MATCH(data!X$1,Haver_M!$B$1:$BZ$1,0),FALSE),"")</f>
        <v>61.25</v>
      </c>
      <c r="Y92">
        <f>IF(ISNUMBER(VLOOKUP($A92,Haver_M!$B$1:$BZ$300,MATCH(data!Y$1,Haver_M!$B$1:$BZ$1,0),FALSE)),VLOOKUP($A92,Haver_M!$B$1:$BZ$300,MATCH(data!Y$1,Haver_M!$B$1:$BZ$1,0),FALSE),"")</f>
        <v>93.06</v>
      </c>
      <c r="Z92">
        <f>IF(ISNUMBER(VLOOKUP($A92,Haver_M!$B$1:$BZ$300,MATCH(data!Z$1,Haver_M!$B$1:$BZ$1,0),FALSE)),VLOOKUP($A92,Haver_M!$B$1:$BZ$300,MATCH(data!Z$1,Haver_M!$B$1:$BZ$1,0),FALSE),"")</f>
        <v>80.900000000000006</v>
      </c>
      <c r="AA92">
        <f>IF(ISNUMBER(VLOOKUP($A92,Haver_M!$B$1:$BZ$300,MATCH(data!AA$1,Haver_M!$B$1:$BZ$1,0),FALSE)),VLOOKUP($A92,Haver_M!$B$1:$BZ$300,MATCH(data!AA$1,Haver_M!$B$1:$BZ$1,0),FALSE),"")</f>
        <v>82.870999999999995</v>
      </c>
      <c r="AB92">
        <f>IF(ISNUMBER(VLOOKUP($A92,Haver_M!$B$1:$BZ$300,MATCH(data!AB$1,Haver_M!$B$1:$BZ$1,0),FALSE)),VLOOKUP($A92,Haver_M!$B$1:$BZ$300,MATCH(data!AB$1,Haver_M!$B$1:$BZ$1,0),FALSE),"")</f>
        <v>90.290999999999997</v>
      </c>
      <c r="AC92">
        <f>IF(ISNUMBER(VLOOKUP($A92,Haver_M!$B$1:$BZ$300,MATCH(data!AC$1,Haver_M!$B$1:$BZ$1,0),FALSE)),VLOOKUP($A92,Haver_M!$B$1:$BZ$300,MATCH(data!AC$1,Haver_M!$B$1:$BZ$1,0),FALSE),"")</f>
        <v>68.361000000000004</v>
      </c>
      <c r="AD92">
        <f>IF(ISNUMBER(VLOOKUP($A92,Haver_M!$B$1:$BZ$300,MATCH(data!AD$1,Haver_M!$B$1:$BZ$1,0),FALSE)),VLOOKUP($A92,Haver_M!$B$1:$BZ$300,MATCH(data!AD$1,Haver_M!$B$1:$BZ$1,0),FALSE),"")</f>
        <v>90.793999999999997</v>
      </c>
      <c r="AE92">
        <f>IF(ISNUMBER(VLOOKUP($A92,Haver_M!$B$1:$BZ$300,MATCH(data!AE$1,Haver_M!$B$1:$BZ$1,0),FALSE)),VLOOKUP($A92,Haver_M!$B$1:$BZ$300,MATCH(data!AE$1,Haver_M!$B$1:$BZ$1,0),FALSE),"")</f>
        <v>94.459000000000003</v>
      </c>
      <c r="AF92">
        <f>IF(ISNUMBER(VLOOKUP($A92,Haver_M!$B$1:$BZ$300,MATCH(data!AF$1,Haver_M!$B$1:$BZ$1,0),FALSE)),VLOOKUP($A92,Haver_M!$B$1:$BZ$300,MATCH(data!AF$1,Haver_M!$B$1:$BZ$1,0),FALSE),"")</f>
        <v>72.924000000000007</v>
      </c>
      <c r="AG92">
        <f>IF(ISNUMBER(VLOOKUP($A92,Haver_M!$B$1:$BZ$300,MATCH(data!AG$1,Haver_M!$B$1:$BZ$1,0),FALSE)),VLOOKUP($A92,Haver_M!$B$1:$BZ$300,MATCH(data!AG$1,Haver_M!$B$1:$BZ$1,0),FALSE),"")</f>
        <v>74.266000000000005</v>
      </c>
      <c r="AH92">
        <f>IF(ISNUMBER(VLOOKUP($A92,Haver_M!$B$1:$BZ$300,MATCH(data!AH$1,Haver_M!$B$1:$BZ$1,0),FALSE)),VLOOKUP($A92,Haver_M!$B$1:$BZ$300,MATCH(data!AH$1,Haver_M!$B$1:$BZ$1,0),FALSE),"")</f>
        <v>79.734999999999999</v>
      </c>
      <c r="AI92">
        <f>IF(ISNUMBER(VLOOKUP($A92,Haver_M!$B$1:$BZ$300,MATCH(data!AI$1,Haver_M!$B$1:$BZ$1,0),FALSE)),VLOOKUP($A92,Haver_M!$B$1:$BZ$300,MATCH(data!AI$1,Haver_M!$B$1:$BZ$1,0),FALSE),"")</f>
        <v>10334.645315786312</v>
      </c>
      <c r="AJ92">
        <f>IF(ISNUMBER(VLOOKUP($A92,Haver_M!$B$1:$BZ$300,MATCH(data!AJ$1,Haver_M!$B$1:$BZ$1,0),FALSE)),VLOOKUP($A92,Haver_M!$B$1:$BZ$300,MATCH(data!AJ$1,Haver_M!$B$1:$BZ$1,0),FALSE),"")</f>
        <v>12296.08</v>
      </c>
      <c r="AK92">
        <f>IF(ISNUMBER(VLOOKUP($A92,Haver_M!$B$1:$BZ$300,MATCH(data!AK$1,Haver_M!$B$1:$BZ$1,0),FALSE)),VLOOKUP($A92,Haver_M!$B$1:$BZ$300,MATCH(data!AK$1,Haver_M!$B$1:$BZ$1,0),FALSE),"")</f>
        <v>20256.43</v>
      </c>
      <c r="AL92" t="str">
        <f>IF(ISNUMBER(VLOOKUP($A92,Haver_M!$B$1:$BZ$300,MATCH(data!AL$1,Haver_M!$B$1:$BZ$1,0),FALSE)),VLOOKUP($A92,Haver_M!$B$1:$BZ$300,MATCH(data!AL$1,Haver_M!$B$1:$BZ$1,0),FALSE),"")</f>
        <v/>
      </c>
      <c r="AM92" t="str">
        <f>IF(ISNUMBER(VLOOKUP($A92,Haver_M!$B$1:$BZ$300,MATCH(data!AM$1,Haver_M!$B$1:$BZ$1,0),FALSE)),VLOOKUP($A92,Haver_M!$B$1:$BZ$300,MATCH(data!AM$1,Haver_M!$B$1:$BZ$1,0),FALSE),"")</f>
        <v/>
      </c>
      <c r="AN92" t="str">
        <f>IF(ISNUMBER(VLOOKUP($A92,Haver_M!$B$1:$BZ$300,MATCH(data!AN$1,Haver_M!$B$1:$BZ$1,0),FALSE)),VLOOKUP($A92,Haver_M!$B$1:$BZ$300,MATCH(data!AN$1,Haver_M!$B$1:$BZ$1,0),FALSE),"")</f>
        <v/>
      </c>
      <c r="AO92" t="str">
        <f>IF(ISNUMBER(VLOOKUP($A92,Haver_M!$B$1:$BZ$300,MATCH(data!AO$1,Haver_M!$B$1:$BZ$1,0),FALSE)),VLOOKUP($A92,Haver_M!$B$1:$BZ$300,MATCH(data!AO$1,Haver_M!$B$1:$BZ$1,0),FALSE),"")</f>
        <v/>
      </c>
      <c r="AP92">
        <f>IF(ISNUMBER(VLOOKUP($A92,Haver_M!$B$1:$BZ$300,MATCH(data!AP$1,Haver_M!$B$1:$BZ$1,0),FALSE)),VLOOKUP($A92,Haver_M!$B$1:$BZ$300,MATCH(data!AP$1,Haver_M!$B$1:$BZ$1,0),FALSE),"")</f>
        <v>30.139802561299415</v>
      </c>
      <c r="AQ92">
        <f>IF(ISNUMBER(VLOOKUP($A92,Haver_M!$B$1:$BZ$300,MATCH(data!AQ$1,Haver_M!$B$1:$BZ$1,0),FALSE)),VLOOKUP($A92,Haver_M!$B$1:$BZ$300,MATCH(data!AQ$1,Haver_M!$B$1:$BZ$1,0),FALSE),"")</f>
        <v>57.595399999999998</v>
      </c>
      <c r="AR92">
        <f>IF(ISNUMBER(VLOOKUP($A92,Haver_M!$B$1:$BZ$300,MATCH(data!AR$1,Haver_M!$B$1:$BZ$1,0),FALSE)),VLOOKUP($A92,Haver_M!$B$1:$BZ$300,MATCH(data!AR$1,Haver_M!$B$1:$BZ$1,0),FALSE),"")</f>
        <v>52.908099999999997</v>
      </c>
      <c r="AS92">
        <f>IF(ISNUMBER(VLOOKUP($A92,Haver_M!$B$1:$BZ$300,MATCH(data!AS$1,Haver_M!$B$1:$BZ$1,0),FALSE)),VLOOKUP($A92,Haver_M!$B$1:$BZ$300,MATCH(data!AS$1,Haver_M!$B$1:$BZ$1,0),FALSE),"")</f>
        <v>59.127499999999998</v>
      </c>
      <c r="AT92">
        <f>IF(ISNUMBER(VLOOKUP($A92,Haver_M!$B$1:$BZ$300,MATCH(data!AT$1,Haver_M!$B$1:$BZ$1,0),FALSE)),VLOOKUP($A92,Haver_M!$B$1:$BZ$300,MATCH(data!AT$1,Haver_M!$B$1:$BZ$1,0),FALSE),"")</f>
        <v>54.151200000000003</v>
      </c>
      <c r="AU92">
        <f>IF(ISNUMBER(VLOOKUP($A92,Haver_M!$B$1:$BZ$300,MATCH(data!AU$1,Haver_M!$B$1:$BZ$1,0),FALSE)),VLOOKUP($A92,Haver_M!$B$1:$BZ$300,MATCH(data!AU$1,Haver_M!$B$1:$BZ$1,0),FALSE),"")</f>
        <v>55.733400000000003</v>
      </c>
      <c r="AV92">
        <f>IF(ISNUMBER(VLOOKUP($A92,Haver_M!$B$1:$BZ$300,MATCH(data!AV$1,Haver_M!$B$1:$BZ$1,0),FALSE)),VLOOKUP($A92,Haver_M!$B$1:$BZ$300,MATCH(data!AV$1,Haver_M!$B$1:$BZ$1,0),FALSE),"")</f>
        <v>50.328699999999998</v>
      </c>
      <c r="AW92">
        <f>IF(ISNUMBER(VLOOKUP($A92,Haver_M!$B$1:$BZ$300,MATCH(data!AW$1,Haver_M!$B$1:$BZ$1,0),FALSE)),VLOOKUP($A92,Haver_M!$B$1:$BZ$300,MATCH(data!AW$1,Haver_M!$B$1:$BZ$1,0),FALSE),"")</f>
        <v>49.881900000000002</v>
      </c>
      <c r="AX92">
        <f>IF(ISNUMBER(VLOOKUP($A92,Haver_M!$B$1:$BZ$300,MATCH(data!AX$1,Haver_M!$B$1:$BZ$1,0),FALSE)),VLOOKUP($A92,Haver_M!$B$1:$BZ$300,MATCH(data!AX$1,Haver_M!$B$1:$BZ$1,0),FALSE),"")</f>
        <v>50.668399999999998</v>
      </c>
      <c r="AY92">
        <f>IF(ISNUMBER(VLOOKUP($A92,Haver_M!$B$1:$BZ$300,MATCH(data!AY$1,Haver_M!$B$1:$BZ$1,0),FALSE)),VLOOKUP($A92,Haver_M!$B$1:$BZ$300,MATCH(data!AY$1,Haver_M!$B$1:$BZ$1,0),FALSE),"")</f>
        <v>51.543999999999997</v>
      </c>
      <c r="AZ92">
        <f>IF(ISNUMBER(VLOOKUP($A92,Haver_M!$B$1:$BZ$300,MATCH(data!AZ$1,Haver_M!$B$1:$BZ$1,0),FALSE)),VLOOKUP($A92,Haver_M!$B$1:$BZ$300,MATCH(data!AZ$1,Haver_M!$B$1:$BZ$1,0),FALSE),"")</f>
        <v>54.264000000000003</v>
      </c>
      <c r="BA92">
        <f>IF(ISNUMBER(VLOOKUP($A92,Haver_M!$B$1:$BZ$300,MATCH(data!BA$1,Haver_M!$B$1:$BZ$1,0),FALSE)),VLOOKUP($A92,Haver_M!$B$1:$BZ$300,MATCH(data!BA$1,Haver_M!$B$1:$BZ$1,0),FALSE),"")</f>
        <v>50.668399999999998</v>
      </c>
      <c r="BB92">
        <f>IF(ISNUMBER(VLOOKUP($A92,Haver_M!$B$1:$BZ$300,MATCH(data!BB$1,Haver_M!$B$1:$BZ$1,0),FALSE)),VLOOKUP($A92,Haver_M!$B$1:$BZ$300,MATCH(data!BB$1,Haver_M!$B$1:$BZ$1,0),FALSE),"")</f>
        <v>51.269599999999997</v>
      </c>
      <c r="BC92">
        <f>IF(ISNUMBER(VLOOKUP($A92,Haver_M!$B$1:$BZ$300,MATCH(data!BC$1,Haver_M!$B$1:$BZ$1,0),FALSE)),VLOOKUP($A92,Haver_M!$B$1:$BZ$300,MATCH(data!BC$1,Haver_M!$B$1:$BZ$1,0),FALSE),"")</f>
        <v>51.075099999999999</v>
      </c>
      <c r="BD92">
        <f>IF(ISNUMBER(VLOOKUP($A92,Haver_M!$B$1:$BZ$300,MATCH(data!BD$1,Haver_M!$B$1:$BZ$1,0),FALSE)),VLOOKUP($A92,Haver_M!$B$1:$BZ$300,MATCH(data!BD$1,Haver_M!$B$1:$BZ$1,0),FALSE),"")</f>
        <v>50.262500000000003</v>
      </c>
      <c r="BE92">
        <f>IF(ISNUMBER(VLOOKUP($A92,Haver_M!$B$1:$BZ$300,MATCH(data!BE$1,Haver_M!$B$1:$BZ$1,0),FALSE)),VLOOKUP($A92,Haver_M!$B$1:$BZ$300,MATCH(data!BE$1,Haver_M!$B$1:$BZ$1,0),FALSE),"")</f>
        <v>1.1228</v>
      </c>
      <c r="BF92">
        <f>IF(ISNUMBER(VLOOKUP($A92,Haver_M!$B$1:$BZ$300,MATCH(data!BF$1,Haver_M!$B$1:$BZ$1,0),FALSE)),VLOOKUP($A92,Haver_M!$B$1:$BZ$300,MATCH(data!BF$1,Haver_M!$B$1:$BZ$1,0),FALSE),"")</f>
        <v>53.263100000000001</v>
      </c>
      <c r="BG92">
        <f>IF(ISNUMBER(VLOOKUP($A92,Haver_M!$B$1:$BZ$300,MATCH(data!BG$1,Haver_M!$B$1:$BZ$1,0),FALSE)),VLOOKUP($A92,Haver_M!$B$1:$BZ$300,MATCH(data!BG$1,Haver_M!$B$1:$BZ$1,0),FALSE),"")</f>
        <v>51.926900000000003</v>
      </c>
      <c r="BH92">
        <f>IF(ISNUMBER(VLOOKUP($A92,Haver_M!$B$1:$BZ$300,MATCH(data!BH$1,Haver_M!$B$1:$BZ$1,0),FALSE)),VLOOKUP($A92,Haver_M!$B$1:$BZ$300,MATCH(data!BH$1,Haver_M!$B$1:$BZ$1,0),FALSE),"")</f>
        <v>58.722900000000003</v>
      </c>
      <c r="BI92">
        <f>IF(ISNUMBER(VLOOKUP($A92,Haver_M!$B$1:$BZ$300,MATCH(data!BI$1,Haver_M!$B$1:$BZ$1,0),FALSE)),VLOOKUP($A92,Haver_M!$B$1:$BZ$300,MATCH(data!BI$1,Haver_M!$B$1:$BZ$1,0),FALSE),"")</f>
        <v>54.945900000000002</v>
      </c>
      <c r="BJ92" t="str">
        <f>IF(ISNUMBER(VLOOKUP($A92,Haver_M!$B$1:$BZ$300,MATCH(data!BJ$1,Haver_M!$B$1:$BZ$1,0),FALSE)),VLOOKUP($A92,Haver_M!$B$1:$BZ$300,MATCH(data!BJ$1,Haver_M!$B$1:$BZ$1,0),FALSE),"")</f>
        <v/>
      </c>
      <c r="BK92">
        <f>IF(ISNUMBER(VLOOKUP($A92,Haver_M!$B$1:$BZ$300,MATCH(data!BK$1,Haver_M!$B$1:$BZ$1,0),FALSE)),VLOOKUP($A92,Haver_M!$B$1:$BZ$300,MATCH(data!BK$1,Haver_M!$B$1:$BZ$1,0),FALSE),"")</f>
        <v>50.8474</v>
      </c>
      <c r="BL92">
        <f>IF(ISNUMBER(VLOOKUP($A92,Haver_M!$B$1:$BZ$300,MATCH(data!BL$1,Haver_M!$B$1:$BZ$1,0),FALSE)),VLOOKUP($A92,Haver_M!$B$1:$BZ$300,MATCH(data!BL$1,Haver_M!$B$1:$BZ$1,0),FALSE),"")</f>
        <v>15253.42</v>
      </c>
      <c r="BM92">
        <f>IF(ISNUMBER(VLOOKUP($A92,Haver_M!$B$1:$BZ$300,MATCH(data!BM$1,Haver_M!$B$1:$BZ$1,0),FALSE)),VLOOKUP($A92,Haver_M!$B$1:$BZ$300,MATCH(data!BM$1,Haver_M!$B$1:$BZ$1,0),FALSE),"")</f>
        <v>102.420412</v>
      </c>
      <c r="BN92" t="str">
        <f>IF(ISNUMBER(VLOOKUP($A92,Haver_M!$B$1:$BZ$300,MATCH(data!BN$1,Haver_M!$B$1:$BZ$1,0),FALSE)),VLOOKUP($A92,Haver_M!$B$1:$BZ$300,MATCH(data!BN$1,Haver_M!$B$1:$BZ$1,0),FALSE),"")</f>
        <v/>
      </c>
      <c r="BO92" t="str">
        <f>IF(ISNUMBER(VLOOKUP($A92,Haver_M!$B$1:$BZ$300,MATCH(data!BO$1,Haver_M!$B$1:$BZ$1,0),FALSE)),VLOOKUP($A92,Haver_M!$B$1:$BZ$300,MATCH(data!BO$1,Haver_M!$B$1:$BZ$1,0),FALSE),"")</f>
        <v/>
      </c>
      <c r="BP92" t="str">
        <f>IF(ISNUMBER(VLOOKUP($A92,Haver_M!$B$1:$BZ$300,MATCH(data!BP$1,Haver_M!$B$1:$BZ$1,0),FALSE)),VLOOKUP($A92,Haver_M!$B$1:$BZ$300,MATCH(data!BP$1,Haver_M!$B$1:$BZ$1,0),FALSE),"")</f>
        <v/>
      </c>
      <c r="BQ92">
        <f>IF(ISNUMBER(VLOOKUP($A92,Haver_M!$B$1:$BZ$300,MATCH(data!BQ$1,Haver_M!$B$1:$BZ$1,0),FALSE)),VLOOKUP($A92,Haver_M!$B$1:$BZ$300,MATCH(data!BQ$1,Haver_M!$B$1:$BZ$1,0),FALSE),"")</f>
        <v>116.89892366695534</v>
      </c>
      <c r="BR92">
        <f>IF(ISNUMBER(VLOOKUP($A92,Haver_M!$B$1:$BZ$300,MATCH(data!BR$1,Haver_M!$B$1:$BZ$1,0),FALSE)),VLOOKUP($A92,Haver_M!$B$1:$BZ$300,MATCH(data!BR$1,Haver_M!$B$1:$BZ$1,0),FALSE),"")</f>
        <v>167.84857107509589</v>
      </c>
      <c r="BS92">
        <f>IF(ISNUMBER(VLOOKUP($A92,Haver_M!$B$1:$BZ$300,MATCH(data!BS$1,Haver_M!$B$1:$BZ$1,0),FALSE)),VLOOKUP($A92,Haver_M!$B$1:$BZ$300,MATCH(data!BS$1,Haver_M!$B$1:$BZ$1,0),FALSE),"")</f>
        <v>100.90164542867747</v>
      </c>
      <c r="BT92">
        <f>IF(ISNUMBER(VLOOKUP($A92,Haver_M!$B$1:$BZ$300,MATCH(data!BT$1,Haver_M!$B$1:$BZ$1,0),FALSE)),VLOOKUP($A92,Haver_M!$B$1:$BZ$300,MATCH(data!BT$1,Haver_M!$B$1:$BZ$1,0),FALSE),"")</f>
        <v>440.79475442286281</v>
      </c>
      <c r="BU92">
        <f>IF(ISNUMBER(VLOOKUP($A92,Haver_M!$B$1:$BZ$300,MATCH(data!BU$1,Haver_M!$B$1:$BZ$1,0),FALSE)),VLOOKUP($A92,Haver_M!$B$1:$BZ$300,MATCH(data!BU$1,Haver_M!$B$1:$BZ$1,0),FALSE),"")</f>
        <v>12513.3</v>
      </c>
      <c r="BV92">
        <f>IF(ISNUMBER(VLOOKUP($A92,Haver_M!$B$1:$BZ$300,MATCH(data!BV$1,Haver_M!$B$1:$BZ$1,0),FALSE)),VLOOKUP($A92,Haver_M!$B$1:$BZ$300,MATCH(data!BV$1,Haver_M!$B$1:$BZ$1,0),FALSE),"")</f>
        <v>21128.6</v>
      </c>
      <c r="BW92">
        <f>IF(ISNUMBER(VLOOKUP($A92,Haver_M!$B$1:$BZ$300,MATCH(data!BW$1,Haver_M!$B$1:$BZ$1,0),FALSE)),VLOOKUP($A92,Haver_M!$B$1:$BZ$300,MATCH(data!BW$1,Haver_M!$B$1:$BZ$1,0),FALSE),"")</f>
        <v>40.414999999999999</v>
      </c>
      <c r="BX92">
        <f>IF(ISNUMBER(VLOOKUP($A92,Haver_M!$B$1:$BZ$300,MATCH(data!BX$1,Haver_M!$B$1:$BZ$1,0),FALSE)),VLOOKUP($A92,Haver_M!$B$1:$BZ$300,MATCH(data!BX$1,Haver_M!$B$1:$BZ$1,0),FALSE),"")</f>
        <v>21186</v>
      </c>
    </row>
    <row r="93" spans="1:76" x14ac:dyDescent="0.25">
      <c r="A93" s="2">
        <v>39325</v>
      </c>
      <c r="B93" t="str">
        <f>IF(ISNUMBER(VLOOKUP($A93,Haver_Q!$B$1:$L$185,MATCH(data!B$1,Haver_Q!$B$1:$L$1,0),FALSE)),100*(VLOOKUP($A93,Haver_Q!$B$1:$L$185,MATCH(data!B$1,Haver_Q!$B$1:$L$1,0),FALSE)),"")</f>
        <v/>
      </c>
      <c r="C93" t="str">
        <f>IF(ISNUMBER(VLOOKUP($A93,Haver_Q!$B$1:$L$185,MATCH(data!C$1,Haver_Q!$B$1:$L$1,0),FALSE)),100*(VLOOKUP($A93,Haver_Q!$B$1:$L$185,MATCH(data!C$1,Haver_Q!$B$1:$L$1,0),FALSE)),"")</f>
        <v/>
      </c>
      <c r="D93" t="str">
        <f>IF(ISNUMBER(VLOOKUP($A93,Haver_Q!$B$1:$L$185,MATCH(data!D$1,Haver_Q!$B$1:$L$1,0),FALSE)),100*(VLOOKUP($A93,Haver_Q!$B$1:$L$185,MATCH(data!D$1,Haver_Q!$B$1:$L$1,0),FALSE)),"")</f>
        <v/>
      </c>
      <c r="E93" t="str">
        <f>IF(ISNUMBER(VLOOKUP($A93,Haver_Q!$B$1:$L$185,MATCH(data!E$1,Haver_Q!$B$1:$L$1,0),FALSE)),100*(VLOOKUP($A93,Haver_Q!$B$1:$L$185,MATCH(data!E$1,Haver_Q!$B$1:$L$1,0),FALSE)),"")</f>
        <v/>
      </c>
      <c r="F93" t="str">
        <f>IF(ISNUMBER(VLOOKUP($A93,Haver_Q!$B$1:$L$185,MATCH(data!F$1,Haver_Q!$B$1:$L$1,0),FALSE)),100*(VLOOKUP($A93,Haver_Q!$B$1:$L$185,MATCH(data!F$1,Haver_Q!$B$1:$L$1,0),FALSE)),"")</f>
        <v/>
      </c>
      <c r="G93" t="str">
        <f>IF(ISNUMBER(VLOOKUP($A93,Haver_Q!$B$1:$L$185,MATCH(data!G$1,Haver_Q!$B$1:$L$1,0),FALSE)),100*(VLOOKUP($A93,Haver_Q!$B$1:$L$185,MATCH(data!G$1,Haver_Q!$B$1:$L$1,0),FALSE)),"")</f>
        <v/>
      </c>
      <c r="H93" t="str">
        <f>IF(ISNUMBER(VLOOKUP($A93,Haver_Q!$B$1:$L$185,MATCH(data!H$1,Haver_Q!$B$1:$L$1,0),FALSE)),(VLOOKUP($A93,Haver_Q!$B$1:$L$185,MATCH(data!H$1,Haver_Q!$B$1:$L$1,0),FALSE)),"")</f>
        <v/>
      </c>
      <c r="I93" t="str">
        <f>IF(ISNUMBER(VLOOKUP($A93,Haver_Q!$B$1:$L$185,MATCH(data!I$1,Haver_Q!$B$1:$L$1,0),FALSE)),100*(VLOOKUP($A93,Haver_Q!$B$1:$L$185,MATCH(data!I$1,Haver_Q!$B$1:$L$1,0),FALSE)),"")</f>
        <v/>
      </c>
      <c r="J93" s="3">
        <f>IF(ISNUMBER(Bloomberg_m!C109),Bloomberg_m!C109,"")</f>
        <v>7195</v>
      </c>
      <c r="K93" s="3" t="str">
        <f>IF(ISNUMBER(Bloomberg_m!D109),Bloomberg_m!D109,"")</f>
        <v/>
      </c>
      <c r="L93" s="3" t="str">
        <f>IF(ISNUMBER(Bloomberg_m!E109),Bloomberg_m!E109,"")</f>
        <v/>
      </c>
      <c r="M93" s="3" t="str">
        <f>IF(ISNUMBER(Bloomberg_m!F109),Bloomberg_m!F109,"")</f>
        <v/>
      </c>
      <c r="N93">
        <f>IF(ISNUMBER(VLOOKUP($A93,Haver_M!$B$1:$BZ$300,MATCH(data!N$1,Haver_M!$B$1:$BZ$1,0),FALSE)),VLOOKUP($A93,Haver_M!$B$1:$BZ$300,MATCH(data!N$1,Haver_M!$B$1:$BZ$1,0),FALSE),"")</f>
        <v>7.75</v>
      </c>
      <c r="O93">
        <f>IF(ISNUMBER(VLOOKUP($A93,Haver_M!$B$1:$BZ$300,MATCH(data!O$1,Haver_M!$B$1:$BZ$1,0),FALSE)),VLOOKUP($A93,Haver_M!$B$1:$BZ$300,MATCH(data!O$1,Haver_M!$B$1:$BZ$1,0),FALSE),"")</f>
        <v>7.9194000000000004</v>
      </c>
      <c r="P93">
        <f>IF(ISNUMBER(VLOOKUP($A93,Haver_M!$B$1:$BZ$300,MATCH(data!P$1,Haver_M!$B$1:$BZ$1,0),FALSE)),VLOOKUP($A93,Haver_M!$B$1:$BZ$300,MATCH(data!P$1,Haver_M!$B$1:$BZ$1,0),FALSE),"")</f>
        <v>100.90303</v>
      </c>
      <c r="Q93">
        <f>IF(ISNUMBER(VLOOKUP($A93,Haver_M!$B$1:$BZ$300,MATCH(data!Q$1,Haver_M!$B$1:$BZ$1,0),FALSE)),VLOOKUP($A93,Haver_M!$B$1:$BZ$300,MATCH(data!Q$1,Haver_M!$B$1:$BZ$1,0),FALSE),"")</f>
        <v>65.2</v>
      </c>
      <c r="R93" t="str">
        <f>IF(ISNUMBER(VLOOKUP($A93,Haver_M!$B$1:$BZ$300,MATCH(data!R$1,Haver_M!$B$1:$BZ$1,0),FALSE)),VLOOKUP($A93,Haver_M!$B$1:$BZ$300,MATCH(data!R$1,Haver_M!$B$1:$BZ$1,0),FALSE),"")</f>
        <v/>
      </c>
      <c r="S93">
        <f>IF(ISNUMBER(VLOOKUP($A93,Haver_M!$B$1:$BZ$300,MATCH(data!S$1,Haver_M!$B$1:$BZ$1,0),FALSE)),VLOOKUP($A93,Haver_M!$B$1:$BZ$300,MATCH(data!S$1,Haver_M!$B$1:$BZ$1,0),FALSE),"")</f>
        <v>84.36</v>
      </c>
      <c r="T93">
        <f>IF(ISNUMBER(VLOOKUP($A93,Haver_M!$B$1:$BZ$300,MATCH(data!T$1,Haver_M!$B$1:$BZ$1,0),FALSE)),VLOOKUP($A93,Haver_M!$B$1:$BZ$300,MATCH(data!T$1,Haver_M!$B$1:$BZ$1,0),FALSE),"")</f>
        <v>83.01</v>
      </c>
      <c r="U93">
        <f>IF(ISNUMBER(VLOOKUP($A93,Haver_M!$B$1:$BZ$300,MATCH(data!U$1,Haver_M!$B$1:$BZ$1,0),FALSE)),VLOOKUP($A93,Haver_M!$B$1:$BZ$300,MATCH(data!U$1,Haver_M!$B$1:$BZ$1,0),FALSE),"")</f>
        <v>88.97</v>
      </c>
      <c r="V93">
        <f>IF(ISNUMBER(VLOOKUP($A93,Haver_M!$B$1:$BZ$300,MATCH(data!V$1,Haver_M!$B$1:$BZ$1,0),FALSE)),VLOOKUP($A93,Haver_M!$B$1:$BZ$300,MATCH(data!V$1,Haver_M!$B$1:$BZ$1,0),FALSE),"")</f>
        <v>92.87</v>
      </c>
      <c r="W93" t="str">
        <f>IF(ISNUMBER(VLOOKUP($A93,Haver_M!$B$1:$BZ$300,MATCH(data!W$1,Haver_M!$B$1:$BZ$1,0),FALSE)),VLOOKUP($A93,Haver_M!$B$1:$BZ$300,MATCH(data!W$1,Haver_M!$B$1:$BZ$1,0),FALSE),"")</f>
        <v/>
      </c>
      <c r="X93">
        <f>IF(ISNUMBER(VLOOKUP($A93,Haver_M!$B$1:$BZ$300,MATCH(data!X$1,Haver_M!$B$1:$BZ$1,0),FALSE)),VLOOKUP($A93,Haver_M!$B$1:$BZ$300,MATCH(data!X$1,Haver_M!$B$1:$BZ$1,0),FALSE),"")</f>
        <v>60.99</v>
      </c>
      <c r="Y93">
        <f>IF(ISNUMBER(VLOOKUP($A93,Haver_M!$B$1:$BZ$300,MATCH(data!Y$1,Haver_M!$B$1:$BZ$1,0),FALSE)),VLOOKUP($A93,Haver_M!$B$1:$BZ$300,MATCH(data!Y$1,Haver_M!$B$1:$BZ$1,0),FALSE),"")</f>
        <v>90.56</v>
      </c>
      <c r="Z93">
        <f>IF(ISNUMBER(VLOOKUP($A93,Haver_M!$B$1:$BZ$300,MATCH(data!Z$1,Haver_M!$B$1:$BZ$1,0),FALSE)),VLOOKUP($A93,Haver_M!$B$1:$BZ$300,MATCH(data!Z$1,Haver_M!$B$1:$BZ$1,0),FALSE),"")</f>
        <v>82.7</v>
      </c>
      <c r="AA93">
        <f>IF(ISNUMBER(VLOOKUP($A93,Haver_M!$B$1:$BZ$300,MATCH(data!AA$1,Haver_M!$B$1:$BZ$1,0),FALSE)),VLOOKUP($A93,Haver_M!$B$1:$BZ$300,MATCH(data!AA$1,Haver_M!$B$1:$BZ$1,0),FALSE),"")</f>
        <v>84.582999999999998</v>
      </c>
      <c r="AB93">
        <f>IF(ISNUMBER(VLOOKUP($A93,Haver_M!$B$1:$BZ$300,MATCH(data!AB$1,Haver_M!$B$1:$BZ$1,0),FALSE)),VLOOKUP($A93,Haver_M!$B$1:$BZ$300,MATCH(data!AB$1,Haver_M!$B$1:$BZ$1,0),FALSE),"")</f>
        <v>90.492000000000004</v>
      </c>
      <c r="AC93">
        <f>IF(ISNUMBER(VLOOKUP($A93,Haver_M!$B$1:$BZ$300,MATCH(data!AC$1,Haver_M!$B$1:$BZ$1,0),FALSE)),VLOOKUP($A93,Haver_M!$B$1:$BZ$300,MATCH(data!AC$1,Haver_M!$B$1:$BZ$1,0),FALSE),"")</f>
        <v>68.947000000000003</v>
      </c>
      <c r="AD93">
        <f>IF(ISNUMBER(VLOOKUP($A93,Haver_M!$B$1:$BZ$300,MATCH(data!AD$1,Haver_M!$B$1:$BZ$1,0),FALSE)),VLOOKUP($A93,Haver_M!$B$1:$BZ$300,MATCH(data!AD$1,Haver_M!$B$1:$BZ$1,0),FALSE),"")</f>
        <v>92.882999999999996</v>
      </c>
      <c r="AE93">
        <f>IF(ISNUMBER(VLOOKUP($A93,Haver_M!$B$1:$BZ$300,MATCH(data!AE$1,Haver_M!$B$1:$BZ$1,0),FALSE)),VLOOKUP($A93,Haver_M!$B$1:$BZ$300,MATCH(data!AE$1,Haver_M!$B$1:$BZ$1,0),FALSE),"")</f>
        <v>90.51</v>
      </c>
      <c r="AF93">
        <f>IF(ISNUMBER(VLOOKUP($A93,Haver_M!$B$1:$BZ$300,MATCH(data!AF$1,Haver_M!$B$1:$BZ$1,0),FALSE)),VLOOKUP($A93,Haver_M!$B$1:$BZ$300,MATCH(data!AF$1,Haver_M!$B$1:$BZ$1,0),FALSE),"")</f>
        <v>75.073999999999998</v>
      </c>
      <c r="AG93">
        <f>IF(ISNUMBER(VLOOKUP($A93,Haver_M!$B$1:$BZ$300,MATCH(data!AG$1,Haver_M!$B$1:$BZ$1,0),FALSE)),VLOOKUP($A93,Haver_M!$B$1:$BZ$300,MATCH(data!AG$1,Haver_M!$B$1:$BZ$1,0),FALSE),"")</f>
        <v>76.873999999999995</v>
      </c>
      <c r="AH93">
        <f>IF(ISNUMBER(VLOOKUP($A93,Haver_M!$B$1:$BZ$300,MATCH(data!AH$1,Haver_M!$B$1:$BZ$1,0),FALSE)),VLOOKUP($A93,Haver_M!$B$1:$BZ$300,MATCH(data!AH$1,Haver_M!$B$1:$BZ$1,0),FALSE),"")</f>
        <v>80.796000000000006</v>
      </c>
      <c r="AI93">
        <f>IF(ISNUMBER(VLOOKUP($A93,Haver_M!$B$1:$BZ$300,MATCH(data!AI$1,Haver_M!$B$1:$BZ$1,0),FALSE)),VLOOKUP($A93,Haver_M!$B$1:$BZ$300,MATCH(data!AI$1,Haver_M!$B$1:$BZ$1,0),FALSE),"")</f>
        <v>10422.61347511518</v>
      </c>
      <c r="AJ93">
        <f>IF(ISNUMBER(VLOOKUP($A93,Haver_M!$B$1:$BZ$300,MATCH(data!AJ$1,Haver_M!$B$1:$BZ$1,0),FALSE)),VLOOKUP($A93,Haver_M!$B$1:$BZ$300,MATCH(data!AJ$1,Haver_M!$B$1:$BZ$1,0),FALSE),"")</f>
        <v>12610.99</v>
      </c>
      <c r="AK93">
        <f>IF(ISNUMBER(VLOOKUP($A93,Haver_M!$B$1:$BZ$300,MATCH(data!AK$1,Haver_M!$B$1:$BZ$1,0),FALSE)),VLOOKUP($A93,Haver_M!$B$1:$BZ$300,MATCH(data!AK$1,Haver_M!$B$1:$BZ$1,0),FALSE),"")</f>
        <v>19993.080000000002</v>
      </c>
      <c r="AL93" t="str">
        <f>IF(ISNUMBER(VLOOKUP($A93,Haver_M!$B$1:$BZ$300,MATCH(data!AL$1,Haver_M!$B$1:$BZ$1,0),FALSE)),VLOOKUP($A93,Haver_M!$B$1:$BZ$300,MATCH(data!AL$1,Haver_M!$B$1:$BZ$1,0),FALSE),"")</f>
        <v/>
      </c>
      <c r="AM93" t="str">
        <f>IF(ISNUMBER(VLOOKUP($A93,Haver_M!$B$1:$BZ$300,MATCH(data!AM$1,Haver_M!$B$1:$BZ$1,0),FALSE)),VLOOKUP($A93,Haver_M!$B$1:$BZ$300,MATCH(data!AM$1,Haver_M!$B$1:$BZ$1,0),FALSE),"")</f>
        <v/>
      </c>
      <c r="AN93" t="str">
        <f>IF(ISNUMBER(VLOOKUP($A93,Haver_M!$B$1:$BZ$300,MATCH(data!AN$1,Haver_M!$B$1:$BZ$1,0),FALSE)),VLOOKUP($A93,Haver_M!$B$1:$BZ$300,MATCH(data!AN$1,Haver_M!$B$1:$BZ$1,0),FALSE),"")</f>
        <v/>
      </c>
      <c r="AO93" t="str">
        <f>IF(ISNUMBER(VLOOKUP($A93,Haver_M!$B$1:$BZ$300,MATCH(data!AO$1,Haver_M!$B$1:$BZ$1,0),FALSE)),VLOOKUP($A93,Haver_M!$B$1:$BZ$300,MATCH(data!AO$1,Haver_M!$B$1:$BZ$1,0),FALSE),"")</f>
        <v/>
      </c>
      <c r="AP93">
        <f>IF(ISNUMBER(VLOOKUP($A93,Haver_M!$B$1:$BZ$300,MATCH(data!AP$1,Haver_M!$B$1:$BZ$1,0),FALSE)),VLOOKUP($A93,Haver_M!$B$1:$BZ$300,MATCH(data!AP$1,Haver_M!$B$1:$BZ$1,0),FALSE),"")</f>
        <v>51.419737515507265</v>
      </c>
      <c r="AQ93">
        <f>IF(ISNUMBER(VLOOKUP($A93,Haver_M!$B$1:$BZ$300,MATCH(data!AQ$1,Haver_M!$B$1:$BZ$1,0),FALSE)),VLOOKUP($A93,Haver_M!$B$1:$BZ$300,MATCH(data!AQ$1,Haver_M!$B$1:$BZ$1,0),FALSE),"")</f>
        <v>60.688200000000002</v>
      </c>
      <c r="AR93">
        <f>IF(ISNUMBER(VLOOKUP($A93,Haver_M!$B$1:$BZ$300,MATCH(data!AR$1,Haver_M!$B$1:$BZ$1,0),FALSE)),VLOOKUP($A93,Haver_M!$B$1:$BZ$300,MATCH(data!AR$1,Haver_M!$B$1:$BZ$1,0),FALSE),"")</f>
        <v>57.928199999999997</v>
      </c>
      <c r="AS93">
        <f>IF(ISNUMBER(VLOOKUP($A93,Haver_M!$B$1:$BZ$300,MATCH(data!AS$1,Haver_M!$B$1:$BZ$1,0),FALSE)),VLOOKUP($A93,Haver_M!$B$1:$BZ$300,MATCH(data!AS$1,Haver_M!$B$1:$BZ$1,0),FALSE),"")</f>
        <v>60.6965</v>
      </c>
      <c r="AT93">
        <f>IF(ISNUMBER(VLOOKUP($A93,Haver_M!$B$1:$BZ$300,MATCH(data!AT$1,Haver_M!$B$1:$BZ$1,0),FALSE)),VLOOKUP($A93,Haver_M!$B$1:$BZ$300,MATCH(data!AT$1,Haver_M!$B$1:$BZ$1,0),FALSE),"")</f>
        <v>60.669699999999999</v>
      </c>
      <c r="AU93">
        <f>IF(ISNUMBER(VLOOKUP($A93,Haver_M!$B$1:$BZ$300,MATCH(data!AU$1,Haver_M!$B$1:$BZ$1,0),FALSE)),VLOOKUP($A93,Haver_M!$B$1:$BZ$300,MATCH(data!AU$1,Haver_M!$B$1:$BZ$1,0),FALSE),"")</f>
        <v>64.846000000000004</v>
      </c>
      <c r="AV93">
        <f>IF(ISNUMBER(VLOOKUP($A93,Haver_M!$B$1:$BZ$300,MATCH(data!AV$1,Haver_M!$B$1:$BZ$1,0),FALSE)),VLOOKUP($A93,Haver_M!$B$1:$BZ$300,MATCH(data!AV$1,Haver_M!$B$1:$BZ$1,0),FALSE),"")</f>
        <v>51.650599999999997</v>
      </c>
      <c r="AW93">
        <f>IF(ISNUMBER(VLOOKUP($A93,Haver_M!$B$1:$BZ$300,MATCH(data!AW$1,Haver_M!$B$1:$BZ$1,0),FALSE)),VLOOKUP($A93,Haver_M!$B$1:$BZ$300,MATCH(data!AW$1,Haver_M!$B$1:$BZ$1,0),FALSE),"")</f>
        <v>50.307099999999998</v>
      </c>
      <c r="AX93">
        <f>IF(ISNUMBER(VLOOKUP($A93,Haver_M!$B$1:$BZ$300,MATCH(data!AX$1,Haver_M!$B$1:$BZ$1,0),FALSE)),VLOOKUP($A93,Haver_M!$B$1:$BZ$300,MATCH(data!AX$1,Haver_M!$B$1:$BZ$1,0),FALSE),"")</f>
        <v>55.228700000000003</v>
      </c>
      <c r="AY93">
        <f>IF(ISNUMBER(VLOOKUP($A93,Haver_M!$B$1:$BZ$300,MATCH(data!AY$1,Haver_M!$B$1:$BZ$1,0),FALSE)),VLOOKUP($A93,Haver_M!$B$1:$BZ$300,MATCH(data!AY$1,Haver_M!$B$1:$BZ$1,0),FALSE),"")</f>
        <v>57.816499999999998</v>
      </c>
      <c r="AZ93">
        <f>IF(ISNUMBER(VLOOKUP($A93,Haver_M!$B$1:$BZ$300,MATCH(data!AZ$1,Haver_M!$B$1:$BZ$1,0),FALSE)),VLOOKUP($A93,Haver_M!$B$1:$BZ$300,MATCH(data!AZ$1,Haver_M!$B$1:$BZ$1,0),FALSE),"")</f>
        <v>61.700899999999997</v>
      </c>
      <c r="BA93">
        <f>IF(ISNUMBER(VLOOKUP($A93,Haver_M!$B$1:$BZ$300,MATCH(data!BA$1,Haver_M!$B$1:$BZ$1,0),FALSE)),VLOOKUP($A93,Haver_M!$B$1:$BZ$300,MATCH(data!BA$1,Haver_M!$B$1:$BZ$1,0),FALSE),"")</f>
        <v>55.228700000000003</v>
      </c>
      <c r="BB93">
        <f>IF(ISNUMBER(VLOOKUP($A93,Haver_M!$B$1:$BZ$300,MATCH(data!BB$1,Haver_M!$B$1:$BZ$1,0),FALSE)),VLOOKUP($A93,Haver_M!$B$1:$BZ$300,MATCH(data!BB$1,Haver_M!$B$1:$BZ$1,0),FALSE),"")</f>
        <v>54.902200000000001</v>
      </c>
      <c r="BC93">
        <f>IF(ISNUMBER(VLOOKUP($A93,Haver_M!$B$1:$BZ$300,MATCH(data!BC$1,Haver_M!$B$1:$BZ$1,0),FALSE)),VLOOKUP($A93,Haver_M!$B$1:$BZ$300,MATCH(data!BC$1,Haver_M!$B$1:$BZ$1,0),FALSE),"")</f>
        <v>52.572899999999997</v>
      </c>
      <c r="BD93">
        <f>IF(ISNUMBER(VLOOKUP($A93,Haver_M!$B$1:$BZ$300,MATCH(data!BD$1,Haver_M!$B$1:$BZ$1,0),FALSE)),VLOOKUP($A93,Haver_M!$B$1:$BZ$300,MATCH(data!BD$1,Haver_M!$B$1:$BZ$1,0),FALSE),"")</f>
        <v>51.526600000000002</v>
      </c>
      <c r="BE93">
        <f>IF(ISNUMBER(VLOOKUP($A93,Haver_M!$B$1:$BZ$300,MATCH(data!BE$1,Haver_M!$B$1:$BZ$1,0),FALSE)),VLOOKUP($A93,Haver_M!$B$1:$BZ$300,MATCH(data!BE$1,Haver_M!$B$1:$BZ$1,0),FALSE),"")</f>
        <v>1.2625999999999999</v>
      </c>
      <c r="BF93">
        <f>IF(ISNUMBER(VLOOKUP($A93,Haver_M!$B$1:$BZ$300,MATCH(data!BF$1,Haver_M!$B$1:$BZ$1,0),FALSE)),VLOOKUP($A93,Haver_M!$B$1:$BZ$300,MATCH(data!BF$1,Haver_M!$B$1:$BZ$1,0),FALSE),"")</f>
        <v>54.303100000000001</v>
      </c>
      <c r="BG93">
        <f>IF(ISNUMBER(VLOOKUP($A93,Haver_M!$B$1:$BZ$300,MATCH(data!BG$1,Haver_M!$B$1:$BZ$1,0),FALSE)),VLOOKUP($A93,Haver_M!$B$1:$BZ$300,MATCH(data!BG$1,Haver_M!$B$1:$BZ$1,0),FALSE),"")</f>
        <v>54.882899999999999</v>
      </c>
      <c r="BH93">
        <f>IF(ISNUMBER(VLOOKUP($A93,Haver_M!$B$1:$BZ$300,MATCH(data!BH$1,Haver_M!$B$1:$BZ$1,0),FALSE)),VLOOKUP($A93,Haver_M!$B$1:$BZ$300,MATCH(data!BH$1,Haver_M!$B$1:$BZ$1,0),FALSE),"")</f>
        <v>63.899700000000003</v>
      </c>
      <c r="BI93">
        <f>IF(ISNUMBER(VLOOKUP($A93,Haver_M!$B$1:$BZ$300,MATCH(data!BI$1,Haver_M!$B$1:$BZ$1,0),FALSE)),VLOOKUP($A93,Haver_M!$B$1:$BZ$300,MATCH(data!BI$1,Haver_M!$B$1:$BZ$1,0),FALSE),"")</f>
        <v>60.835599999999999</v>
      </c>
      <c r="BJ93" t="str">
        <f>IF(ISNUMBER(VLOOKUP($A93,Haver_M!$B$1:$BZ$300,MATCH(data!BJ$1,Haver_M!$B$1:$BZ$1,0),FALSE)),VLOOKUP($A93,Haver_M!$B$1:$BZ$300,MATCH(data!BJ$1,Haver_M!$B$1:$BZ$1,0),FALSE),"")</f>
        <v/>
      </c>
      <c r="BK93">
        <f>IF(ISNUMBER(VLOOKUP($A93,Haver_M!$B$1:$BZ$300,MATCH(data!BK$1,Haver_M!$B$1:$BZ$1,0),FALSE)),VLOOKUP($A93,Haver_M!$B$1:$BZ$300,MATCH(data!BK$1,Haver_M!$B$1:$BZ$1,0),FALSE),"")</f>
        <v>53.238799999999998</v>
      </c>
      <c r="BL93">
        <f>IF(ISNUMBER(VLOOKUP($A93,Haver_M!$B$1:$BZ$300,MATCH(data!BL$1,Haver_M!$B$1:$BZ$1,0),FALSE)),VLOOKUP($A93,Haver_M!$B$1:$BZ$300,MATCH(data!BL$1,Haver_M!$B$1:$BZ$1,0),FALSE),"")</f>
        <v>14779.05</v>
      </c>
      <c r="BM93">
        <f>IF(ISNUMBER(VLOOKUP($A93,Haver_M!$B$1:$BZ$300,MATCH(data!BM$1,Haver_M!$B$1:$BZ$1,0),FALSE)),VLOOKUP($A93,Haver_M!$B$1:$BZ$300,MATCH(data!BM$1,Haver_M!$B$1:$BZ$1,0),FALSE),"")</f>
        <v>102.52889552000001</v>
      </c>
      <c r="BN93" t="str">
        <f>IF(ISNUMBER(VLOOKUP($A93,Haver_M!$B$1:$BZ$300,MATCH(data!BN$1,Haver_M!$B$1:$BZ$1,0),FALSE)),VLOOKUP($A93,Haver_M!$B$1:$BZ$300,MATCH(data!BN$1,Haver_M!$B$1:$BZ$1,0),FALSE),"")</f>
        <v/>
      </c>
      <c r="BO93" t="str">
        <f>IF(ISNUMBER(VLOOKUP($A93,Haver_M!$B$1:$BZ$300,MATCH(data!BO$1,Haver_M!$B$1:$BZ$1,0),FALSE)),VLOOKUP($A93,Haver_M!$B$1:$BZ$300,MATCH(data!BO$1,Haver_M!$B$1:$BZ$1,0),FALSE),"")</f>
        <v/>
      </c>
      <c r="BP93" t="str">
        <f>IF(ISNUMBER(VLOOKUP($A93,Haver_M!$B$1:$BZ$300,MATCH(data!BP$1,Haver_M!$B$1:$BZ$1,0),FALSE)),VLOOKUP($A93,Haver_M!$B$1:$BZ$300,MATCH(data!BP$1,Haver_M!$B$1:$BZ$1,0),FALSE),"")</f>
        <v/>
      </c>
      <c r="BQ93">
        <f>IF(ISNUMBER(VLOOKUP($A93,Haver_M!$B$1:$BZ$300,MATCH(data!BQ$1,Haver_M!$B$1:$BZ$1,0),FALSE)),VLOOKUP($A93,Haver_M!$B$1:$BZ$300,MATCH(data!BQ$1,Haver_M!$B$1:$BZ$1,0),FALSE),"")</f>
        <v>118.21763160989377</v>
      </c>
      <c r="BR93">
        <f>IF(ISNUMBER(VLOOKUP($A93,Haver_M!$B$1:$BZ$300,MATCH(data!BR$1,Haver_M!$B$1:$BZ$1,0),FALSE)),VLOOKUP($A93,Haver_M!$B$1:$BZ$300,MATCH(data!BR$1,Haver_M!$B$1:$BZ$1,0),FALSE),"")</f>
        <v>171.59607620242249</v>
      </c>
      <c r="BS93">
        <f>IF(ISNUMBER(VLOOKUP($A93,Haver_M!$B$1:$BZ$300,MATCH(data!BS$1,Haver_M!$B$1:$BZ$1,0),FALSE)),VLOOKUP($A93,Haver_M!$B$1:$BZ$300,MATCH(data!BS$1,Haver_M!$B$1:$BZ$1,0),FALSE),"")</f>
        <v>104.2797714711301</v>
      </c>
      <c r="BT93">
        <f>IF(ISNUMBER(VLOOKUP($A93,Haver_M!$B$1:$BZ$300,MATCH(data!BT$1,Haver_M!$B$1:$BZ$1,0),FALSE)),VLOOKUP($A93,Haver_M!$B$1:$BZ$300,MATCH(data!BT$1,Haver_M!$B$1:$BZ$1,0),FALSE),"")</f>
        <v>448.34311669475915</v>
      </c>
      <c r="BU93">
        <f>IF(ISNUMBER(VLOOKUP($A93,Haver_M!$B$1:$BZ$300,MATCH(data!BU$1,Haver_M!$B$1:$BZ$1,0),FALSE)),VLOOKUP($A93,Haver_M!$B$1:$BZ$300,MATCH(data!BU$1,Haver_M!$B$1:$BZ$1,0),FALSE),"")</f>
        <v>12640.6</v>
      </c>
      <c r="BV93">
        <f>IF(ISNUMBER(VLOOKUP($A93,Haver_M!$B$1:$BZ$300,MATCH(data!BV$1,Haver_M!$B$1:$BZ$1,0),FALSE)),VLOOKUP($A93,Haver_M!$B$1:$BZ$300,MATCH(data!BV$1,Haver_M!$B$1:$BZ$1,0),FALSE),"")</f>
        <v>20365.900000000001</v>
      </c>
      <c r="BW93">
        <f>IF(ISNUMBER(VLOOKUP($A93,Haver_M!$B$1:$BZ$300,MATCH(data!BW$1,Haver_M!$B$1:$BZ$1,0),FALSE)),VLOOKUP($A93,Haver_M!$B$1:$BZ$300,MATCH(data!BW$1,Haver_M!$B$1:$BZ$1,0),FALSE),"")</f>
        <v>40.817599999999999</v>
      </c>
      <c r="BX93">
        <f>IF(ISNUMBER(VLOOKUP($A93,Haver_M!$B$1:$BZ$300,MATCH(data!BX$1,Haver_M!$B$1:$BZ$1,0),FALSE)),VLOOKUP($A93,Haver_M!$B$1:$BZ$300,MATCH(data!BX$1,Haver_M!$B$1:$BZ$1,0),FALSE),"")</f>
        <v>17947</v>
      </c>
    </row>
    <row r="94" spans="1:76" x14ac:dyDescent="0.25">
      <c r="A94" s="2">
        <v>39355</v>
      </c>
      <c r="B94">
        <f>IF(ISNUMBER(VLOOKUP($A94,Haver_Q!$B$1:$L$185,MATCH(data!B$1,Haver_Q!$B$1:$L$1,0),FALSE)),100*(VLOOKUP($A94,Haver_Q!$B$1:$L$185,MATCH(data!B$1,Haver_Q!$B$1:$L$1,0),FALSE)),"")</f>
        <v>7.1495484760872197</v>
      </c>
      <c r="C94">
        <f>IF(ISNUMBER(VLOOKUP($A94,Haver_Q!$B$1:$L$185,MATCH(data!C$1,Haver_Q!$B$1:$L$1,0),FALSE)),100*(VLOOKUP($A94,Haver_Q!$B$1:$L$185,MATCH(data!C$1,Haver_Q!$B$1:$L$1,0),FALSE)),"")</f>
        <v>11.879213785034981</v>
      </c>
      <c r="D94">
        <f>IF(ISNUMBER(VLOOKUP($A94,Haver_Q!$B$1:$L$185,MATCH(data!D$1,Haver_Q!$B$1:$L$1,0),FALSE)),100*(VLOOKUP($A94,Haver_Q!$B$1:$L$185,MATCH(data!D$1,Haver_Q!$B$1:$L$1,0),FALSE)),"")</f>
        <v>-20.884394010721643</v>
      </c>
      <c r="E94">
        <f>IF(ISNUMBER(VLOOKUP($A94,Haver_Q!$B$1:$L$185,MATCH(data!E$1,Haver_Q!$B$1:$L$1,0),FALSE)),100*(VLOOKUP($A94,Haver_Q!$B$1:$L$185,MATCH(data!E$1,Haver_Q!$B$1:$L$1,0),FALSE)),"")</f>
        <v>10.731067613653366</v>
      </c>
      <c r="F94">
        <f>IF(ISNUMBER(VLOOKUP($A94,Haver_Q!$B$1:$L$185,MATCH(data!F$1,Haver_Q!$B$1:$L$1,0),FALSE)),100*(VLOOKUP($A94,Haver_Q!$B$1:$L$185,MATCH(data!F$1,Haver_Q!$B$1:$L$1,0),FALSE)),"")</f>
        <v>11.246176792423812</v>
      </c>
      <c r="G94">
        <f>IF(ISNUMBER(VLOOKUP($A94,Haver_Q!$B$1:$L$185,MATCH(data!G$1,Haver_Q!$B$1:$L$1,0),FALSE)),100*(VLOOKUP($A94,Haver_Q!$B$1:$L$185,MATCH(data!G$1,Haver_Q!$B$1:$L$1,0),FALSE)),"")</f>
        <v>15.354326890765124</v>
      </c>
      <c r="H94">
        <f>IF(ISNUMBER(VLOOKUP($A94,Haver_Q!$B$1:$L$185,MATCH(data!H$1,Haver_Q!$B$1:$L$1,0),FALSE)),(VLOOKUP($A94,Haver_Q!$B$1:$L$185,MATCH(data!H$1,Haver_Q!$B$1:$L$1,0),FALSE)),"")</f>
        <v>3.9829937795524146</v>
      </c>
      <c r="I94">
        <f>IF(ISNUMBER(VLOOKUP($A94,Haver_Q!$B$1:$L$185,MATCH(data!I$1,Haver_Q!$B$1:$L$1,0),FALSE)),100*(VLOOKUP($A94,Haver_Q!$B$1:$L$185,MATCH(data!I$1,Haver_Q!$B$1:$L$1,0),FALSE)),"")</f>
        <v>9.1405119919846456</v>
      </c>
      <c r="J94" s="3">
        <f>IF(ISNUMBER(Bloomberg_m!C110),Bloomberg_m!C110,"")</f>
        <v>8574</v>
      </c>
      <c r="K94" s="3" t="str">
        <f>IF(ISNUMBER(Bloomberg_m!D110),Bloomberg_m!D110,"")</f>
        <v/>
      </c>
      <c r="L94" s="3" t="str">
        <f>IF(ISNUMBER(Bloomberg_m!E110),Bloomberg_m!E110,"")</f>
        <v/>
      </c>
      <c r="M94" s="3" t="str">
        <f>IF(ISNUMBER(Bloomberg_m!F110),Bloomberg_m!F110,"")</f>
        <v/>
      </c>
      <c r="N94">
        <f>IF(ISNUMBER(VLOOKUP($A94,Haver_M!$B$1:$BZ$300,MATCH(data!N$1,Haver_M!$B$1:$BZ$1,0),FALSE)),VLOOKUP($A94,Haver_M!$B$1:$BZ$300,MATCH(data!N$1,Haver_M!$B$1:$BZ$1,0),FALSE),"")</f>
        <v>7.75</v>
      </c>
      <c r="O94">
        <f>IF(ISNUMBER(VLOOKUP($A94,Haver_M!$B$1:$BZ$300,MATCH(data!O$1,Haver_M!$B$1:$BZ$1,0),FALSE)),VLOOKUP($A94,Haver_M!$B$1:$BZ$300,MATCH(data!O$1,Haver_M!$B$1:$BZ$1,0),FALSE),"")</f>
        <v>7.9154999999999998</v>
      </c>
      <c r="P94">
        <f>IF(ISNUMBER(VLOOKUP($A94,Haver_M!$B$1:$BZ$300,MATCH(data!P$1,Haver_M!$B$1:$BZ$1,0),FALSE)),VLOOKUP($A94,Haver_M!$B$1:$BZ$300,MATCH(data!P$1,Haver_M!$B$1:$BZ$1,0),FALSE),"")</f>
        <v>100.39246</v>
      </c>
      <c r="Q94">
        <f>IF(ISNUMBER(VLOOKUP($A94,Haver_M!$B$1:$BZ$300,MATCH(data!Q$1,Haver_M!$B$1:$BZ$1,0),FALSE)),VLOOKUP($A94,Haver_M!$B$1:$BZ$300,MATCH(data!Q$1,Haver_M!$B$1:$BZ$1,0),FALSE),"")</f>
        <v>65.3</v>
      </c>
      <c r="R94" t="str">
        <f>IF(ISNUMBER(VLOOKUP($A94,Haver_M!$B$1:$BZ$300,MATCH(data!R$1,Haver_M!$B$1:$BZ$1,0),FALSE)),VLOOKUP($A94,Haver_M!$B$1:$BZ$300,MATCH(data!R$1,Haver_M!$B$1:$BZ$1,0),FALSE),"")</f>
        <v/>
      </c>
      <c r="S94">
        <f>IF(ISNUMBER(VLOOKUP($A94,Haver_M!$B$1:$BZ$300,MATCH(data!S$1,Haver_M!$B$1:$BZ$1,0),FALSE)),VLOOKUP($A94,Haver_M!$B$1:$BZ$300,MATCH(data!S$1,Haver_M!$B$1:$BZ$1,0),FALSE),"")</f>
        <v>82.54</v>
      </c>
      <c r="T94">
        <f>IF(ISNUMBER(VLOOKUP($A94,Haver_M!$B$1:$BZ$300,MATCH(data!T$1,Haver_M!$B$1:$BZ$1,0),FALSE)),VLOOKUP($A94,Haver_M!$B$1:$BZ$300,MATCH(data!T$1,Haver_M!$B$1:$BZ$1,0),FALSE),"")</f>
        <v>82.8</v>
      </c>
      <c r="U94">
        <f>IF(ISNUMBER(VLOOKUP($A94,Haver_M!$B$1:$BZ$300,MATCH(data!U$1,Haver_M!$B$1:$BZ$1,0),FALSE)),VLOOKUP($A94,Haver_M!$B$1:$BZ$300,MATCH(data!U$1,Haver_M!$B$1:$BZ$1,0),FALSE),"")</f>
        <v>89.2</v>
      </c>
      <c r="V94">
        <f>IF(ISNUMBER(VLOOKUP($A94,Haver_M!$B$1:$BZ$300,MATCH(data!V$1,Haver_M!$B$1:$BZ$1,0),FALSE)),VLOOKUP($A94,Haver_M!$B$1:$BZ$300,MATCH(data!V$1,Haver_M!$B$1:$BZ$1,0),FALSE),"")</f>
        <v>91.81</v>
      </c>
      <c r="W94" t="str">
        <f>IF(ISNUMBER(VLOOKUP($A94,Haver_M!$B$1:$BZ$300,MATCH(data!W$1,Haver_M!$B$1:$BZ$1,0),FALSE)),VLOOKUP($A94,Haver_M!$B$1:$BZ$300,MATCH(data!W$1,Haver_M!$B$1:$BZ$1,0),FALSE),"")</f>
        <v/>
      </c>
      <c r="X94">
        <f>IF(ISNUMBER(VLOOKUP($A94,Haver_M!$B$1:$BZ$300,MATCH(data!X$1,Haver_M!$B$1:$BZ$1,0),FALSE)),VLOOKUP($A94,Haver_M!$B$1:$BZ$300,MATCH(data!X$1,Haver_M!$B$1:$BZ$1,0),FALSE),"")</f>
        <v>56.85</v>
      </c>
      <c r="Y94">
        <f>IF(ISNUMBER(VLOOKUP($A94,Haver_M!$B$1:$BZ$300,MATCH(data!Y$1,Haver_M!$B$1:$BZ$1,0),FALSE)),VLOOKUP($A94,Haver_M!$B$1:$BZ$300,MATCH(data!Y$1,Haver_M!$B$1:$BZ$1,0),FALSE),"")</f>
        <v>89.15</v>
      </c>
      <c r="Z94">
        <f>IF(ISNUMBER(VLOOKUP($A94,Haver_M!$B$1:$BZ$300,MATCH(data!Z$1,Haver_M!$B$1:$BZ$1,0),FALSE)),VLOOKUP($A94,Haver_M!$B$1:$BZ$300,MATCH(data!Z$1,Haver_M!$B$1:$BZ$1,0),FALSE),"")</f>
        <v>81.8</v>
      </c>
      <c r="AA94">
        <f>IF(ISNUMBER(VLOOKUP($A94,Haver_M!$B$1:$BZ$300,MATCH(data!AA$1,Haver_M!$B$1:$BZ$1,0),FALSE)),VLOOKUP($A94,Haver_M!$B$1:$BZ$300,MATCH(data!AA$1,Haver_M!$B$1:$BZ$1,0),FALSE),"")</f>
        <v>82.875</v>
      </c>
      <c r="AB94">
        <f>IF(ISNUMBER(VLOOKUP($A94,Haver_M!$B$1:$BZ$300,MATCH(data!AB$1,Haver_M!$B$1:$BZ$1,0),FALSE)),VLOOKUP($A94,Haver_M!$B$1:$BZ$300,MATCH(data!AB$1,Haver_M!$B$1:$BZ$1,0),FALSE),"")</f>
        <v>89.093999999999994</v>
      </c>
      <c r="AC94">
        <f>IF(ISNUMBER(VLOOKUP($A94,Haver_M!$B$1:$BZ$300,MATCH(data!AC$1,Haver_M!$B$1:$BZ$1,0),FALSE)),VLOOKUP($A94,Haver_M!$B$1:$BZ$300,MATCH(data!AC$1,Haver_M!$B$1:$BZ$1,0),FALSE),"")</f>
        <v>68.652000000000001</v>
      </c>
      <c r="AD94">
        <f>IF(ISNUMBER(VLOOKUP($A94,Haver_M!$B$1:$BZ$300,MATCH(data!AD$1,Haver_M!$B$1:$BZ$1,0),FALSE)),VLOOKUP($A94,Haver_M!$B$1:$BZ$300,MATCH(data!AD$1,Haver_M!$B$1:$BZ$1,0),FALSE),"")</f>
        <v>93.43</v>
      </c>
      <c r="AE94">
        <f>IF(ISNUMBER(VLOOKUP($A94,Haver_M!$B$1:$BZ$300,MATCH(data!AE$1,Haver_M!$B$1:$BZ$1,0),FALSE)),VLOOKUP($A94,Haver_M!$B$1:$BZ$300,MATCH(data!AE$1,Haver_M!$B$1:$BZ$1,0),FALSE),"")</f>
        <v>89.08</v>
      </c>
      <c r="AF94">
        <f>IF(ISNUMBER(VLOOKUP($A94,Haver_M!$B$1:$BZ$300,MATCH(data!AF$1,Haver_M!$B$1:$BZ$1,0),FALSE)),VLOOKUP($A94,Haver_M!$B$1:$BZ$300,MATCH(data!AF$1,Haver_M!$B$1:$BZ$1,0),FALSE),"")</f>
        <v>75.266000000000005</v>
      </c>
      <c r="AG94">
        <f>IF(ISNUMBER(VLOOKUP($A94,Haver_M!$B$1:$BZ$300,MATCH(data!AG$1,Haver_M!$B$1:$BZ$1,0),FALSE)),VLOOKUP($A94,Haver_M!$B$1:$BZ$300,MATCH(data!AG$1,Haver_M!$B$1:$BZ$1,0),FALSE),"")</f>
        <v>74.748000000000005</v>
      </c>
      <c r="AH94">
        <f>IF(ISNUMBER(VLOOKUP($A94,Haver_M!$B$1:$BZ$300,MATCH(data!AH$1,Haver_M!$B$1:$BZ$1,0),FALSE)),VLOOKUP($A94,Haver_M!$B$1:$BZ$300,MATCH(data!AH$1,Haver_M!$B$1:$BZ$1,0),FALSE),"")</f>
        <v>79.501999999999995</v>
      </c>
      <c r="AI94">
        <f>IF(ISNUMBER(VLOOKUP($A94,Haver_M!$B$1:$BZ$300,MATCH(data!AI$1,Haver_M!$B$1:$BZ$1,0),FALSE)),VLOOKUP($A94,Haver_M!$B$1:$BZ$300,MATCH(data!AI$1,Haver_M!$B$1:$BZ$1,0),FALSE),"")</f>
        <v>10505.697607014508</v>
      </c>
      <c r="AJ94">
        <f>IF(ISNUMBER(VLOOKUP($A94,Haver_M!$B$1:$BZ$300,MATCH(data!AJ$1,Haver_M!$B$1:$BZ$1,0),FALSE)),VLOOKUP($A94,Haver_M!$B$1:$BZ$300,MATCH(data!AJ$1,Haver_M!$B$1:$BZ$1,0),FALSE),"")</f>
        <v>12689.39</v>
      </c>
      <c r="AK94">
        <f>IF(ISNUMBER(VLOOKUP($A94,Haver_M!$B$1:$BZ$300,MATCH(data!AK$1,Haver_M!$B$1:$BZ$1,0),FALSE)),VLOOKUP($A94,Haver_M!$B$1:$BZ$300,MATCH(data!AK$1,Haver_M!$B$1:$BZ$1,0),FALSE),"")</f>
        <v>16957.96</v>
      </c>
      <c r="AL94" t="str">
        <f>IF(ISNUMBER(VLOOKUP($A94,Haver_M!$B$1:$BZ$300,MATCH(data!AL$1,Haver_M!$B$1:$BZ$1,0),FALSE)),VLOOKUP($A94,Haver_M!$B$1:$BZ$300,MATCH(data!AL$1,Haver_M!$B$1:$BZ$1,0),FALSE),"")</f>
        <v/>
      </c>
      <c r="AM94" t="str">
        <f>IF(ISNUMBER(VLOOKUP($A94,Haver_M!$B$1:$BZ$300,MATCH(data!AM$1,Haver_M!$B$1:$BZ$1,0),FALSE)),VLOOKUP($A94,Haver_M!$B$1:$BZ$300,MATCH(data!AM$1,Haver_M!$B$1:$BZ$1,0),FALSE),"")</f>
        <v/>
      </c>
      <c r="AN94" t="str">
        <f>IF(ISNUMBER(VLOOKUP($A94,Haver_M!$B$1:$BZ$300,MATCH(data!AN$1,Haver_M!$B$1:$BZ$1,0),FALSE)),VLOOKUP($A94,Haver_M!$B$1:$BZ$300,MATCH(data!AN$1,Haver_M!$B$1:$BZ$1,0),FALSE),"")</f>
        <v/>
      </c>
      <c r="AO94" t="str">
        <f>IF(ISNUMBER(VLOOKUP($A94,Haver_M!$B$1:$BZ$300,MATCH(data!AO$1,Haver_M!$B$1:$BZ$1,0),FALSE)),VLOOKUP($A94,Haver_M!$B$1:$BZ$300,MATCH(data!AO$1,Haver_M!$B$1:$BZ$1,0),FALSE),"")</f>
        <v/>
      </c>
      <c r="AP94">
        <f>IF(ISNUMBER(VLOOKUP($A94,Haver_M!$B$1:$BZ$300,MATCH(data!AP$1,Haver_M!$B$1:$BZ$1,0),FALSE)),VLOOKUP($A94,Haver_M!$B$1:$BZ$300,MATCH(data!AP$1,Haver_M!$B$1:$BZ$1,0),FALSE),"")</f>
        <v>68.066883727468152</v>
      </c>
      <c r="AQ94">
        <f>IF(ISNUMBER(VLOOKUP($A94,Haver_M!$B$1:$BZ$300,MATCH(data!AQ$1,Haver_M!$B$1:$BZ$1,0),FALSE)),VLOOKUP($A94,Haver_M!$B$1:$BZ$300,MATCH(data!AQ$1,Haver_M!$B$1:$BZ$1,0),FALSE),"")</f>
        <v>61.8765</v>
      </c>
      <c r="AR94">
        <f>IF(ISNUMBER(VLOOKUP($A94,Haver_M!$B$1:$BZ$300,MATCH(data!AR$1,Haver_M!$B$1:$BZ$1,0),FALSE)),VLOOKUP($A94,Haver_M!$B$1:$BZ$300,MATCH(data!AR$1,Haver_M!$B$1:$BZ$1,0),FALSE),"")</f>
        <v>59.279899999999998</v>
      </c>
      <c r="AS94">
        <f>IF(ISNUMBER(VLOOKUP($A94,Haver_M!$B$1:$BZ$300,MATCH(data!AS$1,Haver_M!$B$1:$BZ$1,0),FALSE)),VLOOKUP($A94,Haver_M!$B$1:$BZ$300,MATCH(data!AS$1,Haver_M!$B$1:$BZ$1,0),FALSE),"")</f>
        <v>61.486199999999997</v>
      </c>
      <c r="AT94">
        <f>IF(ISNUMBER(VLOOKUP($A94,Haver_M!$B$1:$BZ$300,MATCH(data!AT$1,Haver_M!$B$1:$BZ$1,0),FALSE)),VLOOKUP($A94,Haver_M!$B$1:$BZ$300,MATCH(data!AT$1,Haver_M!$B$1:$BZ$1,0),FALSE),"")</f>
        <v>62.753900000000002</v>
      </c>
      <c r="AU94">
        <f>IF(ISNUMBER(VLOOKUP($A94,Haver_M!$B$1:$BZ$300,MATCH(data!AU$1,Haver_M!$B$1:$BZ$1,0),FALSE)),VLOOKUP($A94,Haver_M!$B$1:$BZ$300,MATCH(data!AU$1,Haver_M!$B$1:$BZ$1,0),FALSE),"")</f>
        <v>66.620800000000003</v>
      </c>
      <c r="AV94">
        <f>IF(ISNUMBER(VLOOKUP($A94,Haver_M!$B$1:$BZ$300,MATCH(data!AV$1,Haver_M!$B$1:$BZ$1,0),FALSE)),VLOOKUP($A94,Haver_M!$B$1:$BZ$300,MATCH(data!AV$1,Haver_M!$B$1:$BZ$1,0),FALSE),"")</f>
        <v>50.712400000000002</v>
      </c>
      <c r="AW94">
        <f>IF(ISNUMBER(VLOOKUP($A94,Haver_M!$B$1:$BZ$300,MATCH(data!AW$1,Haver_M!$B$1:$BZ$1,0),FALSE)),VLOOKUP($A94,Haver_M!$B$1:$BZ$300,MATCH(data!AW$1,Haver_M!$B$1:$BZ$1,0),FALSE),"")</f>
        <v>48.0244</v>
      </c>
      <c r="AX94">
        <f>IF(ISNUMBER(VLOOKUP($A94,Haver_M!$B$1:$BZ$300,MATCH(data!AX$1,Haver_M!$B$1:$BZ$1,0),FALSE)),VLOOKUP($A94,Haver_M!$B$1:$BZ$300,MATCH(data!AX$1,Haver_M!$B$1:$BZ$1,0),FALSE),"")</f>
        <v>56.663400000000003</v>
      </c>
      <c r="AY94">
        <f>IF(ISNUMBER(VLOOKUP($A94,Haver_M!$B$1:$BZ$300,MATCH(data!AY$1,Haver_M!$B$1:$BZ$1,0),FALSE)),VLOOKUP($A94,Haver_M!$B$1:$BZ$300,MATCH(data!AY$1,Haver_M!$B$1:$BZ$1,0),FALSE),"")</f>
        <v>56.750599999999999</v>
      </c>
      <c r="AZ94">
        <f>IF(ISNUMBER(VLOOKUP($A94,Haver_M!$B$1:$BZ$300,MATCH(data!AZ$1,Haver_M!$B$1:$BZ$1,0),FALSE)),VLOOKUP($A94,Haver_M!$B$1:$BZ$300,MATCH(data!AZ$1,Haver_M!$B$1:$BZ$1,0),FALSE),"")</f>
        <v>64.066800000000001</v>
      </c>
      <c r="BA94">
        <f>IF(ISNUMBER(VLOOKUP($A94,Haver_M!$B$1:$BZ$300,MATCH(data!BA$1,Haver_M!$B$1:$BZ$1,0),FALSE)),VLOOKUP($A94,Haver_M!$B$1:$BZ$300,MATCH(data!BA$1,Haver_M!$B$1:$BZ$1,0),FALSE),"")</f>
        <v>56.663400000000003</v>
      </c>
      <c r="BB94">
        <f>IF(ISNUMBER(VLOOKUP($A94,Haver_M!$B$1:$BZ$300,MATCH(data!BB$1,Haver_M!$B$1:$BZ$1,0),FALSE)),VLOOKUP($A94,Haver_M!$B$1:$BZ$300,MATCH(data!BB$1,Haver_M!$B$1:$BZ$1,0),FALSE),"")</f>
        <v>56.628399999999999</v>
      </c>
      <c r="BC94">
        <f>IF(ISNUMBER(VLOOKUP($A94,Haver_M!$B$1:$BZ$300,MATCH(data!BC$1,Haver_M!$B$1:$BZ$1,0),FALSE)),VLOOKUP($A94,Haver_M!$B$1:$BZ$300,MATCH(data!BC$1,Haver_M!$B$1:$BZ$1,0),FALSE),"")</f>
        <v>53.333799999999997</v>
      </c>
      <c r="BD94">
        <f>IF(ISNUMBER(VLOOKUP($A94,Haver_M!$B$1:$BZ$300,MATCH(data!BD$1,Haver_M!$B$1:$BZ$1,0),FALSE)),VLOOKUP($A94,Haver_M!$B$1:$BZ$300,MATCH(data!BD$1,Haver_M!$B$1:$BZ$1,0),FALSE),"")</f>
        <v>51.731099999999998</v>
      </c>
      <c r="BE94">
        <f>IF(ISNUMBER(VLOOKUP($A94,Haver_M!$B$1:$BZ$300,MATCH(data!BE$1,Haver_M!$B$1:$BZ$1,0),FALSE)),VLOOKUP($A94,Haver_M!$B$1:$BZ$300,MATCH(data!BE$1,Haver_M!$B$1:$BZ$1,0),FALSE),"")</f>
        <v>1.2907</v>
      </c>
      <c r="BF94">
        <f>IF(ISNUMBER(VLOOKUP($A94,Haver_M!$B$1:$BZ$300,MATCH(data!BF$1,Haver_M!$B$1:$BZ$1,0),FALSE)),VLOOKUP($A94,Haver_M!$B$1:$BZ$300,MATCH(data!BF$1,Haver_M!$B$1:$BZ$1,0),FALSE),"")</f>
        <v>54.148299999999999</v>
      </c>
      <c r="BG94">
        <f>IF(ISNUMBER(VLOOKUP($A94,Haver_M!$B$1:$BZ$300,MATCH(data!BG$1,Haver_M!$B$1:$BZ$1,0),FALSE)),VLOOKUP($A94,Haver_M!$B$1:$BZ$300,MATCH(data!BG$1,Haver_M!$B$1:$BZ$1,0),FALSE),"")</f>
        <v>56.362499999999997</v>
      </c>
      <c r="BH94">
        <f>IF(ISNUMBER(VLOOKUP($A94,Haver_M!$B$1:$BZ$300,MATCH(data!BH$1,Haver_M!$B$1:$BZ$1,0),FALSE)),VLOOKUP($A94,Haver_M!$B$1:$BZ$300,MATCH(data!BH$1,Haver_M!$B$1:$BZ$1,0),FALSE),"")</f>
        <v>64.157600000000002</v>
      </c>
      <c r="BI94">
        <f>IF(ISNUMBER(VLOOKUP($A94,Haver_M!$B$1:$BZ$300,MATCH(data!BI$1,Haver_M!$B$1:$BZ$1,0),FALSE)),VLOOKUP($A94,Haver_M!$B$1:$BZ$300,MATCH(data!BI$1,Haver_M!$B$1:$BZ$1,0),FALSE),"")</f>
        <v>60.484499999999997</v>
      </c>
      <c r="BJ94" t="str">
        <f>IF(ISNUMBER(VLOOKUP($A94,Haver_M!$B$1:$BZ$300,MATCH(data!BJ$1,Haver_M!$B$1:$BZ$1,0),FALSE)),VLOOKUP($A94,Haver_M!$B$1:$BZ$300,MATCH(data!BJ$1,Haver_M!$B$1:$BZ$1,0),FALSE),"")</f>
        <v/>
      </c>
      <c r="BK94">
        <f>IF(ISNUMBER(VLOOKUP($A94,Haver_M!$B$1:$BZ$300,MATCH(data!BK$1,Haver_M!$B$1:$BZ$1,0),FALSE)),VLOOKUP($A94,Haver_M!$B$1:$BZ$300,MATCH(data!BK$1,Haver_M!$B$1:$BZ$1,0),FALSE),"")</f>
        <v>53.550199999999997</v>
      </c>
      <c r="BL94">
        <f>IF(ISNUMBER(VLOOKUP($A94,Haver_M!$B$1:$BZ$300,MATCH(data!BL$1,Haver_M!$B$1:$BZ$1,0),FALSE)),VLOOKUP($A94,Haver_M!$B$1:$BZ$300,MATCH(data!BL$1,Haver_M!$B$1:$BZ$1,0),FALSE),"")</f>
        <v>16046.02</v>
      </c>
      <c r="BM94">
        <f>IF(ISNUMBER(VLOOKUP($A94,Haver_M!$B$1:$BZ$300,MATCH(data!BM$1,Haver_M!$B$1:$BZ$1,0),FALSE)),VLOOKUP($A94,Haver_M!$B$1:$BZ$300,MATCH(data!BM$1,Haver_M!$B$1:$BZ$1,0),FALSE),"")</f>
        <v>103.13130522</v>
      </c>
      <c r="BN94">
        <f>IF(ISNUMBER(VLOOKUP($A94,Haver_M!$B$1:$BZ$300,MATCH(data!BN$1,Haver_M!$B$1:$BZ$1,0),FALSE)),VLOOKUP($A94,Haver_M!$B$1:$BZ$300,MATCH(data!BN$1,Haver_M!$B$1:$BZ$1,0),FALSE),"")</f>
        <v>118.9</v>
      </c>
      <c r="BO94">
        <f>IF(ISNUMBER(VLOOKUP($A94,Haver_M!$B$1:$BZ$300,MATCH(data!BO$1,Haver_M!$B$1:$BZ$1,0),FALSE)),VLOOKUP($A94,Haver_M!$B$1:$BZ$300,MATCH(data!BO$1,Haver_M!$B$1:$BZ$1,0),FALSE),"")</f>
        <v>121.1</v>
      </c>
      <c r="BP94">
        <f>IF(ISNUMBER(VLOOKUP($A94,Haver_M!$B$1:$BZ$300,MATCH(data!BP$1,Haver_M!$B$1:$BZ$1,0),FALSE)),VLOOKUP($A94,Haver_M!$B$1:$BZ$300,MATCH(data!BP$1,Haver_M!$B$1:$BZ$1,0),FALSE),"")</f>
        <v>49.5</v>
      </c>
      <c r="BQ94">
        <f>IF(ISNUMBER(VLOOKUP($A94,Haver_M!$B$1:$BZ$300,MATCH(data!BQ$1,Haver_M!$B$1:$BZ$1,0),FALSE)),VLOOKUP($A94,Haver_M!$B$1:$BZ$300,MATCH(data!BQ$1,Haver_M!$B$1:$BZ$1,0),FALSE),"")</f>
        <v>122.40704015865144</v>
      </c>
      <c r="BR94">
        <f>IF(ISNUMBER(VLOOKUP($A94,Haver_M!$B$1:$BZ$300,MATCH(data!BR$1,Haver_M!$B$1:$BZ$1,0),FALSE)),VLOOKUP($A94,Haver_M!$B$1:$BZ$300,MATCH(data!BR$1,Haver_M!$B$1:$BZ$1,0),FALSE),"")</f>
        <v>180.53991075855228</v>
      </c>
      <c r="BS94">
        <f>IF(ISNUMBER(VLOOKUP($A94,Haver_M!$B$1:$BZ$300,MATCH(data!BS$1,Haver_M!$B$1:$BZ$1,0),FALSE)),VLOOKUP($A94,Haver_M!$B$1:$BZ$300,MATCH(data!BS$1,Haver_M!$B$1:$BZ$1,0),FALSE),"")</f>
        <v>111.31606346058501</v>
      </c>
      <c r="BT94">
        <f>IF(ISNUMBER(VLOOKUP($A94,Haver_M!$B$1:$BZ$300,MATCH(data!BT$1,Haver_M!$B$1:$BZ$1,0),FALSE)),VLOOKUP($A94,Haver_M!$B$1:$BZ$300,MATCH(data!BT$1,Haver_M!$B$1:$BZ$1,0),FALSE),"")</f>
        <v>471.25855230540401</v>
      </c>
      <c r="BU94">
        <f>IF(ISNUMBER(VLOOKUP($A94,Haver_M!$B$1:$BZ$300,MATCH(data!BU$1,Haver_M!$B$1:$BZ$1,0),FALSE)),VLOOKUP($A94,Haver_M!$B$1:$BZ$300,MATCH(data!BU$1,Haver_M!$B$1:$BZ$1,0),FALSE),"")</f>
        <v>12521.4</v>
      </c>
      <c r="BV94">
        <f>IF(ISNUMBER(VLOOKUP($A94,Haver_M!$B$1:$BZ$300,MATCH(data!BV$1,Haver_M!$B$1:$BZ$1,0),FALSE)),VLOOKUP($A94,Haver_M!$B$1:$BZ$300,MATCH(data!BV$1,Haver_M!$B$1:$BZ$1,0),FALSE),"")</f>
        <v>18217.5</v>
      </c>
      <c r="BW94">
        <f>IF(ISNUMBER(VLOOKUP($A94,Haver_M!$B$1:$BZ$300,MATCH(data!BW$1,Haver_M!$B$1:$BZ$1,0),FALSE)),VLOOKUP($A94,Haver_M!$B$1:$BZ$300,MATCH(data!BW$1,Haver_M!$B$1:$BZ$1,0),FALSE),"")</f>
        <v>40.340000000000003</v>
      </c>
      <c r="BX94">
        <f>IF(ISNUMBER(VLOOKUP($A94,Haver_M!$B$1:$BZ$300,MATCH(data!BX$1,Haver_M!$B$1:$BZ$1,0),FALSE)),VLOOKUP($A94,Haver_M!$B$1:$BZ$300,MATCH(data!BX$1,Haver_M!$B$1:$BZ$1,0),FALSE),"")</f>
        <v>15610</v>
      </c>
    </row>
    <row r="95" spans="1:76" x14ac:dyDescent="0.25">
      <c r="A95" s="2">
        <v>39386</v>
      </c>
      <c r="B95" t="str">
        <f>IF(ISNUMBER(VLOOKUP($A95,Haver_Q!$B$1:$L$185,MATCH(data!B$1,Haver_Q!$B$1:$L$1,0),FALSE)),100*(VLOOKUP($A95,Haver_Q!$B$1:$L$185,MATCH(data!B$1,Haver_Q!$B$1:$L$1,0),FALSE)),"")</f>
        <v/>
      </c>
      <c r="C95" t="str">
        <f>IF(ISNUMBER(VLOOKUP($A95,Haver_Q!$B$1:$L$185,MATCH(data!C$1,Haver_Q!$B$1:$L$1,0),FALSE)),100*(VLOOKUP($A95,Haver_Q!$B$1:$L$185,MATCH(data!C$1,Haver_Q!$B$1:$L$1,0),FALSE)),"")</f>
        <v/>
      </c>
      <c r="D95" t="str">
        <f>IF(ISNUMBER(VLOOKUP($A95,Haver_Q!$B$1:$L$185,MATCH(data!D$1,Haver_Q!$B$1:$L$1,0),FALSE)),100*(VLOOKUP($A95,Haver_Q!$B$1:$L$185,MATCH(data!D$1,Haver_Q!$B$1:$L$1,0),FALSE)),"")</f>
        <v/>
      </c>
      <c r="E95" t="str">
        <f>IF(ISNUMBER(VLOOKUP($A95,Haver_Q!$B$1:$L$185,MATCH(data!E$1,Haver_Q!$B$1:$L$1,0),FALSE)),100*(VLOOKUP($A95,Haver_Q!$B$1:$L$185,MATCH(data!E$1,Haver_Q!$B$1:$L$1,0),FALSE)),"")</f>
        <v/>
      </c>
      <c r="F95" t="str">
        <f>IF(ISNUMBER(VLOOKUP($A95,Haver_Q!$B$1:$L$185,MATCH(data!F$1,Haver_Q!$B$1:$L$1,0),FALSE)),100*(VLOOKUP($A95,Haver_Q!$B$1:$L$185,MATCH(data!F$1,Haver_Q!$B$1:$L$1,0),FALSE)),"")</f>
        <v/>
      </c>
      <c r="G95" t="str">
        <f>IF(ISNUMBER(VLOOKUP($A95,Haver_Q!$B$1:$L$185,MATCH(data!G$1,Haver_Q!$B$1:$L$1,0),FALSE)),100*(VLOOKUP($A95,Haver_Q!$B$1:$L$185,MATCH(data!G$1,Haver_Q!$B$1:$L$1,0),FALSE)),"")</f>
        <v/>
      </c>
      <c r="H95" t="str">
        <f>IF(ISNUMBER(VLOOKUP($A95,Haver_Q!$B$1:$L$185,MATCH(data!H$1,Haver_Q!$B$1:$L$1,0),FALSE)),(VLOOKUP($A95,Haver_Q!$B$1:$L$185,MATCH(data!H$1,Haver_Q!$B$1:$L$1,0),FALSE)),"")</f>
        <v/>
      </c>
      <c r="I95" t="str">
        <f>IF(ISNUMBER(VLOOKUP($A95,Haver_Q!$B$1:$L$185,MATCH(data!I$1,Haver_Q!$B$1:$L$1,0),FALSE)),100*(VLOOKUP($A95,Haver_Q!$B$1:$L$185,MATCH(data!I$1,Haver_Q!$B$1:$L$1,0),FALSE)),"")</f>
        <v/>
      </c>
      <c r="J95" s="3">
        <f>IF(ISNUMBER(Bloomberg_m!C111),Bloomberg_m!C111,"")</f>
        <v>10426</v>
      </c>
      <c r="K95" s="3" t="str">
        <f>IF(ISNUMBER(Bloomberg_m!D111),Bloomberg_m!D111,"")</f>
        <v/>
      </c>
      <c r="L95" s="3" t="str">
        <f>IF(ISNUMBER(Bloomberg_m!E111),Bloomberg_m!E111,"")</f>
        <v/>
      </c>
      <c r="M95" s="3" t="str">
        <f>IF(ISNUMBER(Bloomberg_m!F111),Bloomberg_m!F111,"")</f>
        <v/>
      </c>
      <c r="N95">
        <f>IF(ISNUMBER(VLOOKUP($A95,Haver_M!$B$1:$BZ$300,MATCH(data!N$1,Haver_M!$B$1:$BZ$1,0),FALSE)),VLOOKUP($A95,Haver_M!$B$1:$BZ$300,MATCH(data!N$1,Haver_M!$B$1:$BZ$1,0),FALSE),"")</f>
        <v>7.75</v>
      </c>
      <c r="O95">
        <f>IF(ISNUMBER(VLOOKUP($A95,Haver_M!$B$1:$BZ$300,MATCH(data!O$1,Haver_M!$B$1:$BZ$1,0),FALSE)),VLOOKUP($A95,Haver_M!$B$1:$BZ$300,MATCH(data!O$1,Haver_M!$B$1:$BZ$1,0),FALSE),"")</f>
        <v>7.8699000000000003</v>
      </c>
      <c r="P95">
        <f>IF(ISNUMBER(VLOOKUP($A95,Haver_M!$B$1:$BZ$300,MATCH(data!P$1,Haver_M!$B$1:$BZ$1,0),FALSE)),VLOOKUP($A95,Haver_M!$B$1:$BZ$300,MATCH(data!P$1,Haver_M!$B$1:$BZ$1,0),FALSE),"")</f>
        <v>100.66427</v>
      </c>
      <c r="Q95">
        <f>IF(ISNUMBER(VLOOKUP($A95,Haver_M!$B$1:$BZ$300,MATCH(data!Q$1,Haver_M!$B$1:$BZ$1,0),FALSE)),VLOOKUP($A95,Haver_M!$B$1:$BZ$300,MATCH(data!Q$1,Haver_M!$B$1:$BZ$1,0),FALSE),"")</f>
        <v>65.8</v>
      </c>
      <c r="R95" t="str">
        <f>IF(ISNUMBER(VLOOKUP($A95,Haver_M!$B$1:$BZ$300,MATCH(data!R$1,Haver_M!$B$1:$BZ$1,0),FALSE)),VLOOKUP($A95,Haver_M!$B$1:$BZ$300,MATCH(data!R$1,Haver_M!$B$1:$BZ$1,0),FALSE),"")</f>
        <v/>
      </c>
      <c r="S95">
        <f>IF(ISNUMBER(VLOOKUP($A95,Haver_M!$B$1:$BZ$300,MATCH(data!S$1,Haver_M!$B$1:$BZ$1,0),FALSE)),VLOOKUP($A95,Haver_M!$B$1:$BZ$300,MATCH(data!S$1,Haver_M!$B$1:$BZ$1,0),FALSE),"")</f>
        <v>85.51</v>
      </c>
      <c r="T95">
        <f>IF(ISNUMBER(VLOOKUP($A95,Haver_M!$B$1:$BZ$300,MATCH(data!T$1,Haver_M!$B$1:$BZ$1,0),FALSE)),VLOOKUP($A95,Haver_M!$B$1:$BZ$300,MATCH(data!T$1,Haver_M!$B$1:$BZ$1,0),FALSE),"")</f>
        <v>83.91</v>
      </c>
      <c r="U95">
        <f>IF(ISNUMBER(VLOOKUP($A95,Haver_M!$B$1:$BZ$300,MATCH(data!U$1,Haver_M!$B$1:$BZ$1,0),FALSE)),VLOOKUP($A95,Haver_M!$B$1:$BZ$300,MATCH(data!U$1,Haver_M!$B$1:$BZ$1,0),FALSE),"")</f>
        <v>91.04</v>
      </c>
      <c r="V95">
        <f>IF(ISNUMBER(VLOOKUP($A95,Haver_M!$B$1:$BZ$300,MATCH(data!V$1,Haver_M!$B$1:$BZ$1,0),FALSE)),VLOOKUP($A95,Haver_M!$B$1:$BZ$300,MATCH(data!V$1,Haver_M!$B$1:$BZ$1,0),FALSE),"")</f>
        <v>93.31</v>
      </c>
      <c r="W95" t="str">
        <f>IF(ISNUMBER(VLOOKUP($A95,Haver_M!$B$1:$BZ$300,MATCH(data!W$1,Haver_M!$B$1:$BZ$1,0),FALSE)),VLOOKUP($A95,Haver_M!$B$1:$BZ$300,MATCH(data!W$1,Haver_M!$B$1:$BZ$1,0),FALSE),"")</f>
        <v/>
      </c>
      <c r="X95">
        <f>IF(ISNUMBER(VLOOKUP($A95,Haver_M!$B$1:$BZ$300,MATCH(data!X$1,Haver_M!$B$1:$BZ$1,0),FALSE)),VLOOKUP($A95,Haver_M!$B$1:$BZ$300,MATCH(data!X$1,Haver_M!$B$1:$BZ$1,0),FALSE),"")</f>
        <v>65.819999999999993</v>
      </c>
      <c r="Y95">
        <f>IF(ISNUMBER(VLOOKUP($A95,Haver_M!$B$1:$BZ$300,MATCH(data!Y$1,Haver_M!$B$1:$BZ$1,0),FALSE)),VLOOKUP($A95,Haver_M!$B$1:$BZ$300,MATCH(data!Y$1,Haver_M!$B$1:$BZ$1,0),FALSE),"")</f>
        <v>91.09</v>
      </c>
      <c r="Z95">
        <f>IF(ISNUMBER(VLOOKUP($A95,Haver_M!$B$1:$BZ$300,MATCH(data!Z$1,Haver_M!$B$1:$BZ$1,0),FALSE)),VLOOKUP($A95,Haver_M!$B$1:$BZ$300,MATCH(data!Z$1,Haver_M!$B$1:$BZ$1,0),FALSE),"")</f>
        <v>82.7</v>
      </c>
      <c r="AA95">
        <f>IF(ISNUMBER(VLOOKUP($A95,Haver_M!$B$1:$BZ$300,MATCH(data!AA$1,Haver_M!$B$1:$BZ$1,0),FALSE)),VLOOKUP($A95,Haver_M!$B$1:$BZ$300,MATCH(data!AA$1,Haver_M!$B$1:$BZ$1,0),FALSE),"")</f>
        <v>85.378</v>
      </c>
      <c r="AB95">
        <f>IF(ISNUMBER(VLOOKUP($A95,Haver_M!$B$1:$BZ$300,MATCH(data!AB$1,Haver_M!$B$1:$BZ$1,0),FALSE)),VLOOKUP($A95,Haver_M!$B$1:$BZ$300,MATCH(data!AB$1,Haver_M!$B$1:$BZ$1,0),FALSE),"")</f>
        <v>90.403000000000006</v>
      </c>
      <c r="AC95">
        <f>IF(ISNUMBER(VLOOKUP($A95,Haver_M!$B$1:$BZ$300,MATCH(data!AC$1,Haver_M!$B$1:$BZ$1,0),FALSE)),VLOOKUP($A95,Haver_M!$B$1:$BZ$300,MATCH(data!AC$1,Haver_M!$B$1:$BZ$1,0),FALSE),"")</f>
        <v>71.016000000000005</v>
      </c>
      <c r="AD95">
        <f>IF(ISNUMBER(VLOOKUP($A95,Haver_M!$B$1:$BZ$300,MATCH(data!AD$1,Haver_M!$B$1:$BZ$1,0),FALSE)),VLOOKUP($A95,Haver_M!$B$1:$BZ$300,MATCH(data!AD$1,Haver_M!$B$1:$BZ$1,0),FALSE),"")</f>
        <v>90.427999999999997</v>
      </c>
      <c r="AE95">
        <f>IF(ISNUMBER(VLOOKUP($A95,Haver_M!$B$1:$BZ$300,MATCH(data!AE$1,Haver_M!$B$1:$BZ$1,0),FALSE)),VLOOKUP($A95,Haver_M!$B$1:$BZ$300,MATCH(data!AE$1,Haver_M!$B$1:$BZ$1,0),FALSE),"")</f>
        <v>92.009</v>
      </c>
      <c r="AF95">
        <f>IF(ISNUMBER(VLOOKUP($A95,Haver_M!$B$1:$BZ$300,MATCH(data!AF$1,Haver_M!$B$1:$BZ$1,0),FALSE)),VLOOKUP($A95,Haver_M!$B$1:$BZ$300,MATCH(data!AF$1,Haver_M!$B$1:$BZ$1,0),FALSE),"")</f>
        <v>77.63</v>
      </c>
      <c r="AG95">
        <f>IF(ISNUMBER(VLOOKUP($A95,Haver_M!$B$1:$BZ$300,MATCH(data!AG$1,Haver_M!$B$1:$BZ$1,0),FALSE)),VLOOKUP($A95,Haver_M!$B$1:$BZ$300,MATCH(data!AG$1,Haver_M!$B$1:$BZ$1,0),FALSE),"")</f>
        <v>74.489999999999995</v>
      </c>
      <c r="AH95">
        <f>IF(ISNUMBER(VLOOKUP($A95,Haver_M!$B$1:$BZ$300,MATCH(data!AH$1,Haver_M!$B$1:$BZ$1,0),FALSE)),VLOOKUP($A95,Haver_M!$B$1:$BZ$300,MATCH(data!AH$1,Haver_M!$B$1:$BZ$1,0),FALSE),"")</f>
        <v>79.222999999999999</v>
      </c>
      <c r="AI95">
        <f>IF(ISNUMBER(VLOOKUP($A95,Haver_M!$B$1:$BZ$300,MATCH(data!AI$1,Haver_M!$B$1:$BZ$1,0),FALSE)),VLOOKUP($A95,Haver_M!$B$1:$BZ$300,MATCH(data!AI$1,Haver_M!$B$1:$BZ$1,0),FALSE),"")</f>
        <v>11055.395676647979</v>
      </c>
      <c r="AJ95">
        <f>IF(ISNUMBER(VLOOKUP($A95,Haver_M!$B$1:$BZ$300,MATCH(data!AJ$1,Haver_M!$B$1:$BZ$1,0),FALSE)),VLOOKUP($A95,Haver_M!$B$1:$BZ$300,MATCH(data!AJ$1,Haver_M!$B$1:$BZ$1,0),FALSE),"")</f>
        <v>15533.33</v>
      </c>
      <c r="AK95">
        <f>IF(ISNUMBER(VLOOKUP($A95,Haver_M!$B$1:$BZ$300,MATCH(data!AK$1,Haver_M!$B$1:$BZ$1,0),FALSE)),VLOOKUP($A95,Haver_M!$B$1:$BZ$300,MATCH(data!AK$1,Haver_M!$B$1:$BZ$1,0),FALSE),"")</f>
        <v>21007.74</v>
      </c>
      <c r="AL95" t="str">
        <f>IF(ISNUMBER(VLOOKUP($A95,Haver_M!$B$1:$BZ$300,MATCH(data!AL$1,Haver_M!$B$1:$BZ$1,0),FALSE)),VLOOKUP($A95,Haver_M!$B$1:$BZ$300,MATCH(data!AL$1,Haver_M!$B$1:$BZ$1,0),FALSE),"")</f>
        <v/>
      </c>
      <c r="AM95" t="str">
        <f>IF(ISNUMBER(VLOOKUP($A95,Haver_M!$B$1:$BZ$300,MATCH(data!AM$1,Haver_M!$B$1:$BZ$1,0),FALSE)),VLOOKUP($A95,Haver_M!$B$1:$BZ$300,MATCH(data!AM$1,Haver_M!$B$1:$BZ$1,0),FALSE),"")</f>
        <v/>
      </c>
      <c r="AN95" t="str">
        <f>IF(ISNUMBER(VLOOKUP($A95,Haver_M!$B$1:$BZ$300,MATCH(data!AN$1,Haver_M!$B$1:$BZ$1,0),FALSE)),VLOOKUP($A95,Haver_M!$B$1:$BZ$300,MATCH(data!AN$1,Haver_M!$B$1:$BZ$1,0),FALSE),"")</f>
        <v/>
      </c>
      <c r="AO95" t="str">
        <f>IF(ISNUMBER(VLOOKUP($A95,Haver_M!$B$1:$BZ$300,MATCH(data!AO$1,Haver_M!$B$1:$BZ$1,0),FALSE)),VLOOKUP($A95,Haver_M!$B$1:$BZ$300,MATCH(data!AO$1,Haver_M!$B$1:$BZ$1,0),FALSE),"")</f>
        <v/>
      </c>
      <c r="AP95">
        <f>IF(ISNUMBER(VLOOKUP($A95,Haver_M!$B$1:$BZ$300,MATCH(data!AP$1,Haver_M!$B$1:$BZ$1,0),FALSE)),VLOOKUP($A95,Haver_M!$B$1:$BZ$300,MATCH(data!AP$1,Haver_M!$B$1:$BZ$1,0),FALSE),"")</f>
        <v>61.717606992939729</v>
      </c>
      <c r="AQ95">
        <f>IF(ISNUMBER(VLOOKUP($A95,Haver_M!$B$1:$BZ$300,MATCH(data!AQ$1,Haver_M!$B$1:$BZ$1,0),FALSE)),VLOOKUP($A95,Haver_M!$B$1:$BZ$300,MATCH(data!AQ$1,Haver_M!$B$1:$BZ$1,0),FALSE),"")</f>
        <v>64.345500000000001</v>
      </c>
      <c r="AR95">
        <f>IF(ISNUMBER(VLOOKUP($A95,Haver_M!$B$1:$BZ$300,MATCH(data!AR$1,Haver_M!$B$1:$BZ$1,0),FALSE)),VLOOKUP($A95,Haver_M!$B$1:$BZ$300,MATCH(data!AR$1,Haver_M!$B$1:$BZ$1,0),FALSE),"")</f>
        <v>61.657299999999999</v>
      </c>
      <c r="AS95">
        <f>IF(ISNUMBER(VLOOKUP($A95,Haver_M!$B$1:$BZ$300,MATCH(data!AS$1,Haver_M!$B$1:$BZ$1,0),FALSE)),VLOOKUP($A95,Haver_M!$B$1:$BZ$300,MATCH(data!AS$1,Haver_M!$B$1:$BZ$1,0),FALSE),"")</f>
        <v>63.351500000000001</v>
      </c>
      <c r="AT95">
        <f>IF(ISNUMBER(VLOOKUP($A95,Haver_M!$B$1:$BZ$300,MATCH(data!AT$1,Haver_M!$B$1:$BZ$1,0),FALSE)),VLOOKUP($A95,Haver_M!$B$1:$BZ$300,MATCH(data!AT$1,Haver_M!$B$1:$BZ$1,0),FALSE),"")</f>
        <v>66.579899999999995</v>
      </c>
      <c r="AU95">
        <f>IF(ISNUMBER(VLOOKUP($A95,Haver_M!$B$1:$BZ$300,MATCH(data!AU$1,Haver_M!$B$1:$BZ$1,0),FALSE)),VLOOKUP($A95,Haver_M!$B$1:$BZ$300,MATCH(data!AU$1,Haver_M!$B$1:$BZ$1,0),FALSE),"")</f>
        <v>70.897300000000001</v>
      </c>
      <c r="AV95">
        <f>IF(ISNUMBER(VLOOKUP($A95,Haver_M!$B$1:$BZ$300,MATCH(data!AV$1,Haver_M!$B$1:$BZ$1,0),FALSE)),VLOOKUP($A95,Haver_M!$B$1:$BZ$300,MATCH(data!AV$1,Haver_M!$B$1:$BZ$1,0),FALSE),"")</f>
        <v>51.590899999999998</v>
      </c>
      <c r="AW95">
        <f>IF(ISNUMBER(VLOOKUP($A95,Haver_M!$B$1:$BZ$300,MATCH(data!AW$1,Haver_M!$B$1:$BZ$1,0),FALSE)),VLOOKUP($A95,Haver_M!$B$1:$BZ$300,MATCH(data!AW$1,Haver_M!$B$1:$BZ$1,0),FALSE),"")</f>
        <v>49.585099999999997</v>
      </c>
      <c r="AX95">
        <f>IF(ISNUMBER(VLOOKUP($A95,Haver_M!$B$1:$BZ$300,MATCH(data!AX$1,Haver_M!$B$1:$BZ$1,0),FALSE)),VLOOKUP($A95,Haver_M!$B$1:$BZ$300,MATCH(data!AX$1,Haver_M!$B$1:$BZ$1,0),FALSE),"")</f>
        <v>58.627499999999998</v>
      </c>
      <c r="AY95">
        <f>IF(ISNUMBER(VLOOKUP($A95,Haver_M!$B$1:$BZ$300,MATCH(data!AY$1,Haver_M!$B$1:$BZ$1,0),FALSE)),VLOOKUP($A95,Haver_M!$B$1:$BZ$300,MATCH(data!AY$1,Haver_M!$B$1:$BZ$1,0),FALSE),"")</f>
        <v>54.087800000000001</v>
      </c>
      <c r="AZ95">
        <f>IF(ISNUMBER(VLOOKUP($A95,Haver_M!$B$1:$BZ$300,MATCH(data!AZ$1,Haver_M!$B$1:$BZ$1,0),FALSE)),VLOOKUP($A95,Haver_M!$B$1:$BZ$300,MATCH(data!AZ$1,Haver_M!$B$1:$BZ$1,0),FALSE),"")</f>
        <v>68.810500000000005</v>
      </c>
      <c r="BA95">
        <f>IF(ISNUMBER(VLOOKUP($A95,Haver_M!$B$1:$BZ$300,MATCH(data!BA$1,Haver_M!$B$1:$BZ$1,0),FALSE)),VLOOKUP($A95,Haver_M!$B$1:$BZ$300,MATCH(data!BA$1,Haver_M!$B$1:$BZ$1,0),FALSE),"")</f>
        <v>58.627499999999998</v>
      </c>
      <c r="BB95">
        <f>IF(ISNUMBER(VLOOKUP($A95,Haver_M!$B$1:$BZ$300,MATCH(data!BB$1,Haver_M!$B$1:$BZ$1,0),FALSE)),VLOOKUP($A95,Haver_M!$B$1:$BZ$300,MATCH(data!BB$1,Haver_M!$B$1:$BZ$1,0),FALSE),"")</f>
        <v>61.03</v>
      </c>
      <c r="BC95">
        <f>IF(ISNUMBER(VLOOKUP($A95,Haver_M!$B$1:$BZ$300,MATCH(data!BC$1,Haver_M!$B$1:$BZ$1,0),FALSE)),VLOOKUP($A95,Haver_M!$B$1:$BZ$300,MATCH(data!BC$1,Haver_M!$B$1:$BZ$1,0),FALSE),"")</f>
        <v>55.003</v>
      </c>
      <c r="BD95">
        <f>IF(ISNUMBER(VLOOKUP($A95,Haver_M!$B$1:$BZ$300,MATCH(data!BD$1,Haver_M!$B$1:$BZ$1,0),FALSE)),VLOOKUP($A95,Haver_M!$B$1:$BZ$300,MATCH(data!BD$1,Haver_M!$B$1:$BZ$1,0),FALSE),"")</f>
        <v>52.271999999999998</v>
      </c>
      <c r="BE95">
        <f>IF(ISNUMBER(VLOOKUP($A95,Haver_M!$B$1:$BZ$300,MATCH(data!BE$1,Haver_M!$B$1:$BZ$1,0),FALSE)),VLOOKUP($A95,Haver_M!$B$1:$BZ$300,MATCH(data!BE$1,Haver_M!$B$1:$BZ$1,0),FALSE),"")</f>
        <v>1.3580000000000001</v>
      </c>
      <c r="BF95">
        <f>IF(ISNUMBER(VLOOKUP($A95,Haver_M!$B$1:$BZ$300,MATCH(data!BF$1,Haver_M!$B$1:$BZ$1,0),FALSE)),VLOOKUP($A95,Haver_M!$B$1:$BZ$300,MATCH(data!BF$1,Haver_M!$B$1:$BZ$1,0),FALSE),"")</f>
        <v>53.775599999999997</v>
      </c>
      <c r="BG95">
        <f>IF(ISNUMBER(VLOOKUP($A95,Haver_M!$B$1:$BZ$300,MATCH(data!BG$1,Haver_M!$B$1:$BZ$1,0),FALSE)),VLOOKUP($A95,Haver_M!$B$1:$BZ$300,MATCH(data!BG$1,Haver_M!$B$1:$BZ$1,0),FALSE),"")</f>
        <v>59.933900000000001</v>
      </c>
      <c r="BH95">
        <f>IF(ISNUMBER(VLOOKUP($A95,Haver_M!$B$1:$BZ$300,MATCH(data!BH$1,Haver_M!$B$1:$BZ$1,0),FALSE)),VLOOKUP($A95,Haver_M!$B$1:$BZ$300,MATCH(data!BH$1,Haver_M!$B$1:$BZ$1,0),FALSE),"")</f>
        <v>63.258000000000003</v>
      </c>
      <c r="BI95">
        <f>IF(ISNUMBER(VLOOKUP($A95,Haver_M!$B$1:$BZ$300,MATCH(data!BI$1,Haver_M!$B$1:$BZ$1,0),FALSE)),VLOOKUP($A95,Haver_M!$B$1:$BZ$300,MATCH(data!BI$1,Haver_M!$B$1:$BZ$1,0),FALSE),"")</f>
        <v>61.097799999999999</v>
      </c>
      <c r="BJ95" t="str">
        <f>IF(ISNUMBER(VLOOKUP($A95,Haver_M!$B$1:$BZ$300,MATCH(data!BJ$1,Haver_M!$B$1:$BZ$1,0),FALSE)),VLOOKUP($A95,Haver_M!$B$1:$BZ$300,MATCH(data!BJ$1,Haver_M!$B$1:$BZ$1,0),FALSE),"")</f>
        <v/>
      </c>
      <c r="BK95">
        <f>IF(ISNUMBER(VLOOKUP($A95,Haver_M!$B$1:$BZ$300,MATCH(data!BK$1,Haver_M!$B$1:$BZ$1,0),FALSE)),VLOOKUP($A95,Haver_M!$B$1:$BZ$300,MATCH(data!BK$1,Haver_M!$B$1:$BZ$1,0),FALSE),"")</f>
        <v>51.968899999999998</v>
      </c>
      <c r="BL95">
        <f>IF(ISNUMBER(VLOOKUP($A95,Haver_M!$B$1:$BZ$300,MATCH(data!BL$1,Haver_M!$B$1:$BZ$1,0),FALSE)),VLOOKUP($A95,Haver_M!$B$1:$BZ$300,MATCH(data!BL$1,Haver_M!$B$1:$BZ$1,0),FALSE),"")</f>
        <v>18500.310000000001</v>
      </c>
      <c r="BM95">
        <f>IF(ISNUMBER(VLOOKUP($A95,Haver_M!$B$1:$BZ$300,MATCH(data!BM$1,Haver_M!$B$1:$BZ$1,0),FALSE)),VLOOKUP($A95,Haver_M!$B$1:$BZ$300,MATCH(data!BM$1,Haver_M!$B$1:$BZ$1,0),FALSE),"")</f>
        <v>104.06977514</v>
      </c>
      <c r="BN95" t="str">
        <f>IF(ISNUMBER(VLOOKUP($A95,Haver_M!$B$1:$BZ$300,MATCH(data!BN$1,Haver_M!$B$1:$BZ$1,0),FALSE)),VLOOKUP($A95,Haver_M!$B$1:$BZ$300,MATCH(data!BN$1,Haver_M!$B$1:$BZ$1,0),FALSE),"")</f>
        <v/>
      </c>
      <c r="BO95" t="str">
        <f>IF(ISNUMBER(VLOOKUP($A95,Haver_M!$B$1:$BZ$300,MATCH(data!BO$1,Haver_M!$B$1:$BZ$1,0),FALSE)),VLOOKUP($A95,Haver_M!$B$1:$BZ$300,MATCH(data!BO$1,Haver_M!$B$1:$BZ$1,0),FALSE),"")</f>
        <v/>
      </c>
      <c r="BP95" t="str">
        <f>IF(ISNUMBER(VLOOKUP($A95,Haver_M!$B$1:$BZ$300,MATCH(data!BP$1,Haver_M!$B$1:$BZ$1,0),FALSE)),VLOOKUP($A95,Haver_M!$B$1:$BZ$300,MATCH(data!BP$1,Haver_M!$B$1:$BZ$1,0),FALSE),"")</f>
        <v/>
      </c>
      <c r="BQ95">
        <f>IF(ISNUMBER(VLOOKUP($A95,Haver_M!$B$1:$BZ$300,MATCH(data!BQ$1,Haver_M!$B$1:$BZ$1,0),FALSE)),VLOOKUP($A95,Haver_M!$B$1:$BZ$300,MATCH(data!BQ$1,Haver_M!$B$1:$BZ$1,0),FALSE),"")</f>
        <v>124.04082686292176</v>
      </c>
      <c r="BR95">
        <f>IF(ISNUMBER(VLOOKUP($A95,Haver_M!$B$1:$BZ$300,MATCH(data!BR$1,Haver_M!$B$1:$BZ$1,0),FALSE)),VLOOKUP($A95,Haver_M!$B$1:$BZ$300,MATCH(data!BR$1,Haver_M!$B$1:$BZ$1,0),FALSE),"")</f>
        <v>183.74416650638267</v>
      </c>
      <c r="BS95">
        <f>IF(ISNUMBER(VLOOKUP($A95,Haver_M!$B$1:$BZ$300,MATCH(data!BS$1,Haver_M!$B$1:$BZ$1,0),FALSE)),VLOOKUP($A95,Haver_M!$B$1:$BZ$300,MATCH(data!BS$1,Haver_M!$B$1:$BZ$1,0),FALSE),"")</f>
        <v>112.70841136632822</v>
      </c>
      <c r="BT95">
        <f>IF(ISNUMBER(VLOOKUP($A95,Haver_M!$B$1:$BZ$300,MATCH(data!BT$1,Haver_M!$B$1:$BZ$1,0),FALSE)),VLOOKUP($A95,Haver_M!$B$1:$BZ$300,MATCH(data!BT$1,Haver_M!$B$1:$BZ$1,0),FALSE),"")</f>
        <v>478.20222102993432</v>
      </c>
      <c r="BU95">
        <f>IF(ISNUMBER(VLOOKUP($A95,Haver_M!$B$1:$BZ$300,MATCH(data!BU$1,Haver_M!$B$1:$BZ$1,0),FALSE)),VLOOKUP($A95,Haver_M!$B$1:$BZ$300,MATCH(data!BU$1,Haver_M!$B$1:$BZ$1,0),FALSE),"")</f>
        <v>14674.7</v>
      </c>
      <c r="BV95">
        <f>IF(ISNUMBER(VLOOKUP($A95,Haver_M!$B$1:$BZ$300,MATCH(data!BV$1,Haver_M!$B$1:$BZ$1,0),FALSE)),VLOOKUP($A95,Haver_M!$B$1:$BZ$300,MATCH(data!BV$1,Haver_M!$B$1:$BZ$1,0),FALSE),"")</f>
        <v>21832.6</v>
      </c>
      <c r="BW95">
        <f>IF(ISNUMBER(VLOOKUP($A95,Haver_M!$B$1:$BZ$300,MATCH(data!BW$1,Haver_M!$B$1:$BZ$1,0),FALSE)),VLOOKUP($A95,Haver_M!$B$1:$BZ$300,MATCH(data!BW$1,Haver_M!$B$1:$BZ$1,0),FALSE),"")</f>
        <v>39.513199999999998</v>
      </c>
      <c r="BX95">
        <f>IF(ISNUMBER(VLOOKUP($A95,Haver_M!$B$1:$BZ$300,MATCH(data!BX$1,Haver_M!$B$1:$BZ$1,0),FALSE)),VLOOKUP($A95,Haver_M!$B$1:$BZ$300,MATCH(data!BX$1,Haver_M!$B$1:$BZ$1,0),FALSE),"")</f>
        <v>19716</v>
      </c>
    </row>
    <row r="96" spans="1:76" x14ac:dyDescent="0.25">
      <c r="A96" s="2">
        <v>39416</v>
      </c>
      <c r="B96" t="str">
        <f>IF(ISNUMBER(VLOOKUP($A96,Haver_Q!$B$1:$L$185,MATCH(data!B$1,Haver_Q!$B$1:$L$1,0),FALSE)),100*(VLOOKUP($A96,Haver_Q!$B$1:$L$185,MATCH(data!B$1,Haver_Q!$B$1:$L$1,0),FALSE)),"")</f>
        <v/>
      </c>
      <c r="C96" t="str">
        <f>IF(ISNUMBER(VLOOKUP($A96,Haver_Q!$B$1:$L$185,MATCH(data!C$1,Haver_Q!$B$1:$L$1,0),FALSE)),100*(VLOOKUP($A96,Haver_Q!$B$1:$L$185,MATCH(data!C$1,Haver_Q!$B$1:$L$1,0),FALSE)),"")</f>
        <v/>
      </c>
      <c r="D96" t="str">
        <f>IF(ISNUMBER(VLOOKUP($A96,Haver_Q!$B$1:$L$185,MATCH(data!D$1,Haver_Q!$B$1:$L$1,0),FALSE)),100*(VLOOKUP($A96,Haver_Q!$B$1:$L$185,MATCH(data!D$1,Haver_Q!$B$1:$L$1,0),FALSE)),"")</f>
        <v/>
      </c>
      <c r="E96" t="str">
        <f>IF(ISNUMBER(VLOOKUP($A96,Haver_Q!$B$1:$L$185,MATCH(data!E$1,Haver_Q!$B$1:$L$1,0),FALSE)),100*(VLOOKUP($A96,Haver_Q!$B$1:$L$185,MATCH(data!E$1,Haver_Q!$B$1:$L$1,0),FALSE)),"")</f>
        <v/>
      </c>
      <c r="F96" t="str">
        <f>IF(ISNUMBER(VLOOKUP($A96,Haver_Q!$B$1:$L$185,MATCH(data!F$1,Haver_Q!$B$1:$L$1,0),FALSE)),100*(VLOOKUP($A96,Haver_Q!$B$1:$L$185,MATCH(data!F$1,Haver_Q!$B$1:$L$1,0),FALSE)),"")</f>
        <v/>
      </c>
      <c r="G96" t="str">
        <f>IF(ISNUMBER(VLOOKUP($A96,Haver_Q!$B$1:$L$185,MATCH(data!G$1,Haver_Q!$B$1:$L$1,0),FALSE)),100*(VLOOKUP($A96,Haver_Q!$B$1:$L$185,MATCH(data!G$1,Haver_Q!$B$1:$L$1,0),FALSE)),"")</f>
        <v/>
      </c>
      <c r="H96" t="str">
        <f>IF(ISNUMBER(VLOOKUP($A96,Haver_Q!$B$1:$L$185,MATCH(data!H$1,Haver_Q!$B$1:$L$1,0),FALSE)),(VLOOKUP($A96,Haver_Q!$B$1:$L$185,MATCH(data!H$1,Haver_Q!$B$1:$L$1,0),FALSE)),"")</f>
        <v/>
      </c>
      <c r="I96" t="str">
        <f>IF(ISNUMBER(VLOOKUP($A96,Haver_Q!$B$1:$L$185,MATCH(data!I$1,Haver_Q!$B$1:$L$1,0),FALSE)),100*(VLOOKUP($A96,Haver_Q!$B$1:$L$185,MATCH(data!I$1,Haver_Q!$B$1:$L$1,0),FALSE)),"")</f>
        <v/>
      </c>
      <c r="J96" s="3">
        <f>IF(ISNUMBER(Bloomberg_m!C112),Bloomberg_m!C112,"")</f>
        <v>10543</v>
      </c>
      <c r="K96" s="3" t="str">
        <f>IF(ISNUMBER(Bloomberg_m!D112),Bloomberg_m!D112,"")</f>
        <v/>
      </c>
      <c r="L96" s="3" t="str">
        <f>IF(ISNUMBER(Bloomberg_m!E112),Bloomberg_m!E112,"")</f>
        <v/>
      </c>
      <c r="M96" s="3" t="str">
        <f>IF(ISNUMBER(Bloomberg_m!F112),Bloomberg_m!F112,"")</f>
        <v/>
      </c>
      <c r="N96">
        <f>IF(ISNUMBER(VLOOKUP($A96,Haver_M!$B$1:$BZ$300,MATCH(data!N$1,Haver_M!$B$1:$BZ$1,0),FALSE)),VLOOKUP($A96,Haver_M!$B$1:$BZ$300,MATCH(data!N$1,Haver_M!$B$1:$BZ$1,0),FALSE),"")</f>
        <v>7.75</v>
      </c>
      <c r="O96">
        <f>IF(ISNUMBER(VLOOKUP($A96,Haver_M!$B$1:$BZ$300,MATCH(data!O$1,Haver_M!$B$1:$BZ$1,0),FALSE)),VLOOKUP($A96,Haver_M!$B$1:$BZ$300,MATCH(data!O$1,Haver_M!$B$1:$BZ$1,0),FALSE),"")</f>
        <v>7.9218000000000002</v>
      </c>
      <c r="P96">
        <f>IF(ISNUMBER(VLOOKUP($A96,Haver_M!$B$1:$BZ$300,MATCH(data!P$1,Haver_M!$B$1:$BZ$1,0),FALSE)),VLOOKUP($A96,Haver_M!$B$1:$BZ$300,MATCH(data!P$1,Haver_M!$B$1:$BZ$1,0),FALSE),"")</f>
        <v>98.591329999999999</v>
      </c>
      <c r="Q96">
        <f>IF(ISNUMBER(VLOOKUP($A96,Haver_M!$B$1:$BZ$300,MATCH(data!Q$1,Haver_M!$B$1:$BZ$1,0),FALSE)),VLOOKUP($A96,Haver_M!$B$1:$BZ$300,MATCH(data!Q$1,Haver_M!$B$1:$BZ$1,0),FALSE),"")</f>
        <v>65.900000000000006</v>
      </c>
      <c r="R96" t="str">
        <f>IF(ISNUMBER(VLOOKUP($A96,Haver_M!$B$1:$BZ$300,MATCH(data!R$1,Haver_M!$B$1:$BZ$1,0),FALSE)),VLOOKUP($A96,Haver_M!$B$1:$BZ$300,MATCH(data!R$1,Haver_M!$B$1:$BZ$1,0),FALSE),"")</f>
        <v/>
      </c>
      <c r="S96">
        <f>IF(ISNUMBER(VLOOKUP($A96,Haver_M!$B$1:$BZ$300,MATCH(data!S$1,Haver_M!$B$1:$BZ$1,0),FALSE)),VLOOKUP($A96,Haver_M!$B$1:$BZ$300,MATCH(data!S$1,Haver_M!$B$1:$BZ$1,0),FALSE),"")</f>
        <v>87.02</v>
      </c>
      <c r="T96">
        <f>IF(ISNUMBER(VLOOKUP($A96,Haver_M!$B$1:$BZ$300,MATCH(data!T$1,Haver_M!$B$1:$BZ$1,0),FALSE)),VLOOKUP($A96,Haver_M!$B$1:$BZ$300,MATCH(data!T$1,Haver_M!$B$1:$BZ$1,0),FALSE),"")</f>
        <v>84.43</v>
      </c>
      <c r="U96">
        <f>IF(ISNUMBER(VLOOKUP($A96,Haver_M!$B$1:$BZ$300,MATCH(data!U$1,Haver_M!$B$1:$BZ$1,0),FALSE)),VLOOKUP($A96,Haver_M!$B$1:$BZ$300,MATCH(data!U$1,Haver_M!$B$1:$BZ$1,0),FALSE),"")</f>
        <v>98.01</v>
      </c>
      <c r="V96">
        <f>IF(ISNUMBER(VLOOKUP($A96,Haver_M!$B$1:$BZ$300,MATCH(data!V$1,Haver_M!$B$1:$BZ$1,0),FALSE)),VLOOKUP($A96,Haver_M!$B$1:$BZ$300,MATCH(data!V$1,Haver_M!$B$1:$BZ$1,0),FALSE),"")</f>
        <v>93.49</v>
      </c>
      <c r="W96" t="str">
        <f>IF(ISNUMBER(VLOOKUP($A96,Haver_M!$B$1:$BZ$300,MATCH(data!W$1,Haver_M!$B$1:$BZ$1,0),FALSE)),VLOOKUP($A96,Haver_M!$B$1:$BZ$300,MATCH(data!W$1,Haver_M!$B$1:$BZ$1,0),FALSE),"")</f>
        <v/>
      </c>
      <c r="X96">
        <f>IF(ISNUMBER(VLOOKUP($A96,Haver_M!$B$1:$BZ$300,MATCH(data!X$1,Haver_M!$B$1:$BZ$1,0),FALSE)),VLOOKUP($A96,Haver_M!$B$1:$BZ$300,MATCH(data!X$1,Haver_M!$B$1:$BZ$1,0),FALSE),"")</f>
        <v>70.48</v>
      </c>
      <c r="Y96">
        <f>IF(ISNUMBER(VLOOKUP($A96,Haver_M!$B$1:$BZ$300,MATCH(data!Y$1,Haver_M!$B$1:$BZ$1,0),FALSE)),VLOOKUP($A96,Haver_M!$B$1:$BZ$300,MATCH(data!Y$1,Haver_M!$B$1:$BZ$1,0),FALSE),"")</f>
        <v>88.45</v>
      </c>
      <c r="Z96">
        <f>IF(ISNUMBER(VLOOKUP($A96,Haver_M!$B$1:$BZ$300,MATCH(data!Z$1,Haver_M!$B$1:$BZ$1,0),FALSE)),VLOOKUP($A96,Haver_M!$B$1:$BZ$300,MATCH(data!Z$1,Haver_M!$B$1:$BZ$1,0),FALSE),"")</f>
        <v>83.1</v>
      </c>
      <c r="AA96">
        <f>IF(ISNUMBER(VLOOKUP($A96,Haver_M!$B$1:$BZ$300,MATCH(data!AA$1,Haver_M!$B$1:$BZ$1,0),FALSE)),VLOOKUP($A96,Haver_M!$B$1:$BZ$300,MATCH(data!AA$1,Haver_M!$B$1:$BZ$1,0),FALSE),"")</f>
        <v>87.013999999999996</v>
      </c>
      <c r="AB96">
        <f>IF(ISNUMBER(VLOOKUP($A96,Haver_M!$B$1:$BZ$300,MATCH(data!AB$1,Haver_M!$B$1:$BZ$1,0),FALSE)),VLOOKUP($A96,Haver_M!$B$1:$BZ$300,MATCH(data!AB$1,Haver_M!$B$1:$BZ$1,0),FALSE),"")</f>
        <v>89.816000000000003</v>
      </c>
      <c r="AC96">
        <f>IF(ISNUMBER(VLOOKUP($A96,Haver_M!$B$1:$BZ$300,MATCH(data!AC$1,Haver_M!$B$1:$BZ$1,0),FALSE)),VLOOKUP($A96,Haver_M!$B$1:$BZ$300,MATCH(data!AC$1,Haver_M!$B$1:$BZ$1,0),FALSE),"")</f>
        <v>70.247</v>
      </c>
      <c r="AD96">
        <f>IF(ISNUMBER(VLOOKUP($A96,Haver_M!$B$1:$BZ$300,MATCH(data!AD$1,Haver_M!$B$1:$BZ$1,0),FALSE)),VLOOKUP($A96,Haver_M!$B$1:$BZ$300,MATCH(data!AD$1,Haver_M!$B$1:$BZ$1,0),FALSE),"")</f>
        <v>94.051000000000002</v>
      </c>
      <c r="AE96">
        <f>IF(ISNUMBER(VLOOKUP($A96,Haver_M!$B$1:$BZ$300,MATCH(data!AE$1,Haver_M!$B$1:$BZ$1,0),FALSE)),VLOOKUP($A96,Haver_M!$B$1:$BZ$300,MATCH(data!AE$1,Haver_M!$B$1:$BZ$1,0),FALSE),"")</f>
        <v>91.802000000000007</v>
      </c>
      <c r="AF96">
        <f>IF(ISNUMBER(VLOOKUP($A96,Haver_M!$B$1:$BZ$300,MATCH(data!AF$1,Haver_M!$B$1:$BZ$1,0),FALSE)),VLOOKUP($A96,Haver_M!$B$1:$BZ$300,MATCH(data!AF$1,Haver_M!$B$1:$BZ$1,0),FALSE),"")</f>
        <v>74.981999999999999</v>
      </c>
      <c r="AG96">
        <f>IF(ISNUMBER(VLOOKUP($A96,Haver_M!$B$1:$BZ$300,MATCH(data!AG$1,Haver_M!$B$1:$BZ$1,0),FALSE)),VLOOKUP($A96,Haver_M!$B$1:$BZ$300,MATCH(data!AG$1,Haver_M!$B$1:$BZ$1,0),FALSE),"")</f>
        <v>76.850999999999999</v>
      </c>
      <c r="AH96">
        <f>IF(ISNUMBER(VLOOKUP($A96,Haver_M!$B$1:$BZ$300,MATCH(data!AH$1,Haver_M!$B$1:$BZ$1,0),FALSE)),VLOOKUP($A96,Haver_M!$B$1:$BZ$300,MATCH(data!AH$1,Haver_M!$B$1:$BZ$1,0),FALSE),"")</f>
        <v>81.275999999999996</v>
      </c>
      <c r="AI96">
        <f>IF(ISNUMBER(VLOOKUP($A96,Haver_M!$B$1:$BZ$300,MATCH(data!AI$1,Haver_M!$B$1:$BZ$1,0),FALSE)),VLOOKUP($A96,Haver_M!$B$1:$BZ$300,MATCH(data!AI$1,Haver_M!$B$1:$BZ$1,0),FALSE),"")</f>
        <v>10936.466557516638</v>
      </c>
      <c r="AJ96">
        <f>IF(ISNUMBER(VLOOKUP($A96,Haver_M!$B$1:$BZ$300,MATCH(data!AJ$1,Haver_M!$B$1:$BZ$1,0),FALSE)),VLOOKUP($A96,Haver_M!$B$1:$BZ$300,MATCH(data!AJ$1,Haver_M!$B$1:$BZ$1,0),FALSE),"")</f>
        <v>14061.36</v>
      </c>
      <c r="AK96">
        <f>IF(ISNUMBER(VLOOKUP($A96,Haver_M!$B$1:$BZ$300,MATCH(data!AK$1,Haver_M!$B$1:$BZ$1,0),FALSE)),VLOOKUP($A96,Haver_M!$B$1:$BZ$300,MATCH(data!AK$1,Haver_M!$B$1:$BZ$1,0),FALSE),"")</f>
        <v>22578.52</v>
      </c>
      <c r="AL96" t="str">
        <f>IF(ISNUMBER(VLOOKUP($A96,Haver_M!$B$1:$BZ$300,MATCH(data!AL$1,Haver_M!$B$1:$BZ$1,0),FALSE)),VLOOKUP($A96,Haver_M!$B$1:$BZ$300,MATCH(data!AL$1,Haver_M!$B$1:$BZ$1,0),FALSE),"")</f>
        <v/>
      </c>
      <c r="AM96" t="str">
        <f>IF(ISNUMBER(VLOOKUP($A96,Haver_M!$B$1:$BZ$300,MATCH(data!AM$1,Haver_M!$B$1:$BZ$1,0),FALSE)),VLOOKUP($A96,Haver_M!$B$1:$BZ$300,MATCH(data!AM$1,Haver_M!$B$1:$BZ$1,0),FALSE),"")</f>
        <v/>
      </c>
      <c r="AN96" t="str">
        <f>IF(ISNUMBER(VLOOKUP($A96,Haver_M!$B$1:$BZ$300,MATCH(data!AN$1,Haver_M!$B$1:$BZ$1,0),FALSE)),VLOOKUP($A96,Haver_M!$B$1:$BZ$300,MATCH(data!AN$1,Haver_M!$B$1:$BZ$1,0),FALSE),"")</f>
        <v/>
      </c>
      <c r="AO96" t="str">
        <f>IF(ISNUMBER(VLOOKUP($A96,Haver_M!$B$1:$BZ$300,MATCH(data!AO$1,Haver_M!$B$1:$BZ$1,0),FALSE)),VLOOKUP($A96,Haver_M!$B$1:$BZ$300,MATCH(data!AO$1,Haver_M!$B$1:$BZ$1,0),FALSE),"")</f>
        <v/>
      </c>
      <c r="AP96">
        <f>IF(ISNUMBER(VLOOKUP($A96,Haver_M!$B$1:$BZ$300,MATCH(data!AP$1,Haver_M!$B$1:$BZ$1,0),FALSE)),VLOOKUP($A96,Haver_M!$B$1:$BZ$300,MATCH(data!AP$1,Haver_M!$B$1:$BZ$1,0),FALSE),"")</f>
        <v>63.698317776809645</v>
      </c>
      <c r="AQ96">
        <f>IF(ISNUMBER(VLOOKUP($A96,Haver_M!$B$1:$BZ$300,MATCH(data!AQ$1,Haver_M!$B$1:$BZ$1,0),FALSE)),VLOOKUP($A96,Haver_M!$B$1:$BZ$300,MATCH(data!AQ$1,Haver_M!$B$1:$BZ$1,0),FALSE),"")</f>
        <v>64.117000000000004</v>
      </c>
      <c r="AR96">
        <f>IF(ISNUMBER(VLOOKUP($A96,Haver_M!$B$1:$BZ$300,MATCH(data!AR$1,Haver_M!$B$1:$BZ$1,0),FALSE)),VLOOKUP($A96,Haver_M!$B$1:$BZ$300,MATCH(data!AR$1,Haver_M!$B$1:$BZ$1,0),FALSE),"")</f>
        <v>60.8521</v>
      </c>
      <c r="AS96">
        <f>IF(ISNUMBER(VLOOKUP($A96,Haver_M!$B$1:$BZ$300,MATCH(data!AS$1,Haver_M!$B$1:$BZ$1,0),FALSE)),VLOOKUP($A96,Haver_M!$B$1:$BZ$300,MATCH(data!AS$1,Haver_M!$B$1:$BZ$1,0),FALSE),"")</f>
        <v>63.753799999999998</v>
      </c>
      <c r="AT96">
        <f>IF(ISNUMBER(VLOOKUP($A96,Haver_M!$B$1:$BZ$300,MATCH(data!AT$1,Haver_M!$B$1:$BZ$1,0),FALSE)),VLOOKUP($A96,Haver_M!$B$1:$BZ$300,MATCH(data!AT$1,Haver_M!$B$1:$BZ$1,0),FALSE),"")</f>
        <v>64.933400000000006</v>
      </c>
      <c r="AU96">
        <f>IF(ISNUMBER(VLOOKUP($A96,Haver_M!$B$1:$BZ$300,MATCH(data!AU$1,Haver_M!$B$1:$BZ$1,0),FALSE)),VLOOKUP($A96,Haver_M!$B$1:$BZ$300,MATCH(data!AU$1,Haver_M!$B$1:$BZ$1,0),FALSE),"")</f>
        <v>70.146000000000001</v>
      </c>
      <c r="AV96">
        <f>IF(ISNUMBER(VLOOKUP($A96,Haver_M!$B$1:$BZ$300,MATCH(data!AV$1,Haver_M!$B$1:$BZ$1,0),FALSE)),VLOOKUP($A96,Haver_M!$B$1:$BZ$300,MATCH(data!AV$1,Haver_M!$B$1:$BZ$1,0),FALSE),"")</f>
        <v>51.789200000000001</v>
      </c>
      <c r="AW96">
        <f>IF(ISNUMBER(VLOOKUP($A96,Haver_M!$B$1:$BZ$300,MATCH(data!AW$1,Haver_M!$B$1:$BZ$1,0),FALSE)),VLOOKUP($A96,Haver_M!$B$1:$BZ$300,MATCH(data!AW$1,Haver_M!$B$1:$BZ$1,0),FALSE),"")</f>
        <v>49.821100000000001</v>
      </c>
      <c r="AX96">
        <f>IF(ISNUMBER(VLOOKUP($A96,Haver_M!$B$1:$BZ$300,MATCH(data!AX$1,Haver_M!$B$1:$BZ$1,0),FALSE)),VLOOKUP($A96,Haver_M!$B$1:$BZ$300,MATCH(data!AX$1,Haver_M!$B$1:$BZ$1,0),FALSE),"")</f>
        <v>56.902200000000001</v>
      </c>
      <c r="AY96">
        <f>IF(ISNUMBER(VLOOKUP($A96,Haver_M!$B$1:$BZ$300,MATCH(data!AY$1,Haver_M!$B$1:$BZ$1,0),FALSE)),VLOOKUP($A96,Haver_M!$B$1:$BZ$300,MATCH(data!AY$1,Haver_M!$B$1:$BZ$1,0),FALSE),"")</f>
        <v>54.335500000000003</v>
      </c>
      <c r="AZ96">
        <f>IF(ISNUMBER(VLOOKUP($A96,Haver_M!$B$1:$BZ$300,MATCH(data!AZ$1,Haver_M!$B$1:$BZ$1,0),FALSE)),VLOOKUP($A96,Haver_M!$B$1:$BZ$300,MATCH(data!AZ$1,Haver_M!$B$1:$BZ$1,0),FALSE),"")</f>
        <v>68.285700000000006</v>
      </c>
      <c r="BA96">
        <f>IF(ISNUMBER(VLOOKUP($A96,Haver_M!$B$1:$BZ$300,MATCH(data!BA$1,Haver_M!$B$1:$BZ$1,0),FALSE)),VLOOKUP($A96,Haver_M!$B$1:$BZ$300,MATCH(data!BA$1,Haver_M!$B$1:$BZ$1,0),FALSE),"")</f>
        <v>56.902200000000001</v>
      </c>
      <c r="BB96">
        <f>IF(ISNUMBER(VLOOKUP($A96,Haver_M!$B$1:$BZ$300,MATCH(data!BB$1,Haver_M!$B$1:$BZ$1,0),FALSE)),VLOOKUP($A96,Haver_M!$B$1:$BZ$300,MATCH(data!BB$1,Haver_M!$B$1:$BZ$1,0),FALSE),"")</f>
        <v>59.082700000000003</v>
      </c>
      <c r="BC96">
        <f>IF(ISNUMBER(VLOOKUP($A96,Haver_M!$B$1:$BZ$300,MATCH(data!BC$1,Haver_M!$B$1:$BZ$1,0),FALSE)),VLOOKUP($A96,Haver_M!$B$1:$BZ$300,MATCH(data!BC$1,Haver_M!$B$1:$BZ$1,0),FALSE),"")</f>
        <v>54.0886</v>
      </c>
      <c r="BD96">
        <f>IF(ISNUMBER(VLOOKUP($A96,Haver_M!$B$1:$BZ$300,MATCH(data!BD$1,Haver_M!$B$1:$BZ$1,0),FALSE)),VLOOKUP($A96,Haver_M!$B$1:$BZ$300,MATCH(data!BD$1,Haver_M!$B$1:$BZ$1,0),FALSE),"")</f>
        <v>51.849899999999998</v>
      </c>
      <c r="BE96">
        <f>IF(ISNUMBER(VLOOKUP($A96,Haver_M!$B$1:$BZ$300,MATCH(data!BE$1,Haver_M!$B$1:$BZ$1,0),FALSE)),VLOOKUP($A96,Haver_M!$B$1:$BZ$300,MATCH(data!BE$1,Haver_M!$B$1:$BZ$1,0),FALSE),"")</f>
        <v>1.3977999999999999</v>
      </c>
      <c r="BF96">
        <f>IF(ISNUMBER(VLOOKUP($A96,Haver_M!$B$1:$BZ$300,MATCH(data!BF$1,Haver_M!$B$1:$BZ$1,0),FALSE)),VLOOKUP($A96,Haver_M!$B$1:$BZ$300,MATCH(data!BF$1,Haver_M!$B$1:$BZ$1,0),FALSE),"")</f>
        <v>53.313499999999998</v>
      </c>
      <c r="BG96">
        <f>IF(ISNUMBER(VLOOKUP($A96,Haver_M!$B$1:$BZ$300,MATCH(data!BG$1,Haver_M!$B$1:$BZ$1,0),FALSE)),VLOOKUP($A96,Haver_M!$B$1:$BZ$300,MATCH(data!BG$1,Haver_M!$B$1:$BZ$1,0),FALSE),"")</f>
        <v>57.338900000000002</v>
      </c>
      <c r="BH96">
        <f>IF(ISNUMBER(VLOOKUP($A96,Haver_M!$B$1:$BZ$300,MATCH(data!BH$1,Haver_M!$B$1:$BZ$1,0),FALSE)),VLOOKUP($A96,Haver_M!$B$1:$BZ$300,MATCH(data!BH$1,Haver_M!$B$1:$BZ$1,0),FALSE),"")</f>
        <v>64.198700000000002</v>
      </c>
      <c r="BI96">
        <f>IF(ISNUMBER(VLOOKUP($A96,Haver_M!$B$1:$BZ$300,MATCH(data!BI$1,Haver_M!$B$1:$BZ$1,0),FALSE)),VLOOKUP($A96,Haver_M!$B$1:$BZ$300,MATCH(data!BI$1,Haver_M!$B$1:$BZ$1,0),FALSE),"")</f>
        <v>60.754300000000001</v>
      </c>
      <c r="BJ96" t="str">
        <f>IF(ISNUMBER(VLOOKUP($A96,Haver_M!$B$1:$BZ$300,MATCH(data!BJ$1,Haver_M!$B$1:$BZ$1,0),FALSE)),VLOOKUP($A96,Haver_M!$B$1:$BZ$300,MATCH(data!BJ$1,Haver_M!$B$1:$BZ$1,0),FALSE),"")</f>
        <v/>
      </c>
      <c r="BK96">
        <f>IF(ISNUMBER(VLOOKUP($A96,Haver_M!$B$1:$BZ$300,MATCH(data!BK$1,Haver_M!$B$1:$BZ$1,0),FALSE)),VLOOKUP($A96,Haver_M!$B$1:$BZ$300,MATCH(data!BK$1,Haver_M!$B$1:$BZ$1,0),FALSE),"")</f>
        <v>53.046500000000002</v>
      </c>
      <c r="BL96">
        <f>IF(ISNUMBER(VLOOKUP($A96,Haver_M!$B$1:$BZ$300,MATCH(data!BL$1,Haver_M!$B$1:$BZ$1,0),FALSE)),VLOOKUP($A96,Haver_M!$B$1:$BZ$300,MATCH(data!BL$1,Haver_M!$B$1:$BZ$1,0),FALSE),"")</f>
        <v>19259.55</v>
      </c>
      <c r="BM96">
        <f>IF(ISNUMBER(VLOOKUP($A96,Haver_M!$B$1:$BZ$300,MATCH(data!BM$1,Haver_M!$B$1:$BZ$1,0),FALSE)),VLOOKUP($A96,Haver_M!$B$1:$BZ$300,MATCH(data!BM$1,Haver_M!$B$1:$BZ$1,0),FALSE),"")</f>
        <v>105.0089143</v>
      </c>
      <c r="BN96" t="str">
        <f>IF(ISNUMBER(VLOOKUP($A96,Haver_M!$B$1:$BZ$300,MATCH(data!BN$1,Haver_M!$B$1:$BZ$1,0),FALSE)),VLOOKUP($A96,Haver_M!$B$1:$BZ$300,MATCH(data!BN$1,Haver_M!$B$1:$BZ$1,0),FALSE),"")</f>
        <v/>
      </c>
      <c r="BO96" t="str">
        <f>IF(ISNUMBER(VLOOKUP($A96,Haver_M!$B$1:$BZ$300,MATCH(data!BO$1,Haver_M!$B$1:$BZ$1,0),FALSE)),VLOOKUP($A96,Haver_M!$B$1:$BZ$300,MATCH(data!BO$1,Haver_M!$B$1:$BZ$1,0),FALSE),"")</f>
        <v/>
      </c>
      <c r="BP96" t="str">
        <f>IF(ISNUMBER(VLOOKUP($A96,Haver_M!$B$1:$BZ$300,MATCH(data!BP$1,Haver_M!$B$1:$BZ$1,0),FALSE)),VLOOKUP($A96,Haver_M!$B$1:$BZ$300,MATCH(data!BP$1,Haver_M!$B$1:$BZ$1,0),FALSE),"")</f>
        <v/>
      </c>
      <c r="BQ96">
        <f>IF(ISNUMBER(VLOOKUP($A96,Haver_M!$B$1:$BZ$300,MATCH(data!BQ$1,Haver_M!$B$1:$BZ$1,0),FALSE)),VLOOKUP($A96,Haver_M!$B$1:$BZ$300,MATCH(data!BQ$1,Haver_M!$B$1:$BZ$1,0),FALSE),"")</f>
        <v>126.26142283172156</v>
      </c>
      <c r="BR96">
        <f>IF(ISNUMBER(VLOOKUP($A96,Haver_M!$B$1:$BZ$300,MATCH(data!BR$1,Haver_M!$B$1:$BZ$1,0),FALSE)),VLOOKUP($A96,Haver_M!$B$1:$BZ$300,MATCH(data!BR$1,Haver_M!$B$1:$BZ$1,0),FALSE),"")</f>
        <v>186.94203982306493</v>
      </c>
      <c r="BS96">
        <f>IF(ISNUMBER(VLOOKUP($A96,Haver_M!$B$1:$BZ$300,MATCH(data!BS$1,Haver_M!$B$1:$BZ$1,0),FALSE)),VLOOKUP($A96,Haver_M!$B$1:$BZ$300,MATCH(data!BS$1,Haver_M!$B$1:$BZ$1,0),FALSE),"")</f>
        <v>115.13301816246086</v>
      </c>
      <c r="BT96">
        <f>IF(ISNUMBER(VLOOKUP($A96,Haver_M!$B$1:$BZ$300,MATCH(data!BT$1,Haver_M!$B$1:$BZ$1,0),FALSE)),VLOOKUP($A96,Haver_M!$B$1:$BZ$300,MATCH(data!BT$1,Haver_M!$B$1:$BZ$1,0),FALSE),"")</f>
        <v>487.29058669945118</v>
      </c>
      <c r="BU96">
        <f>IF(ISNUMBER(VLOOKUP($A96,Haver_M!$B$1:$BZ$300,MATCH(data!BU$1,Haver_M!$B$1:$BZ$1,0),FALSE)),VLOOKUP($A96,Haver_M!$B$1:$BZ$300,MATCH(data!BU$1,Haver_M!$B$1:$BZ$1,0),FALSE),"")</f>
        <v>12909.3</v>
      </c>
      <c r="BV96">
        <f>IF(ISNUMBER(VLOOKUP($A96,Haver_M!$B$1:$BZ$300,MATCH(data!BV$1,Haver_M!$B$1:$BZ$1,0),FALSE)),VLOOKUP($A96,Haver_M!$B$1:$BZ$300,MATCH(data!BV$1,Haver_M!$B$1:$BZ$1,0),FALSE),"")</f>
        <v>22104.1</v>
      </c>
      <c r="BW96">
        <f>IF(ISNUMBER(VLOOKUP($A96,Haver_M!$B$1:$BZ$300,MATCH(data!BW$1,Haver_M!$B$1:$BZ$1,0),FALSE)),VLOOKUP($A96,Haver_M!$B$1:$BZ$300,MATCH(data!BW$1,Haver_M!$B$1:$BZ$1,0),FALSE),"")</f>
        <v>39.4495</v>
      </c>
      <c r="BX96">
        <f>IF(ISNUMBER(VLOOKUP($A96,Haver_M!$B$1:$BZ$300,MATCH(data!BX$1,Haver_M!$B$1:$BZ$1,0),FALSE)),VLOOKUP($A96,Haver_M!$B$1:$BZ$300,MATCH(data!BX$1,Haver_M!$B$1:$BZ$1,0),FALSE),"")</f>
        <v>18475</v>
      </c>
    </row>
    <row r="97" spans="1:76" x14ac:dyDescent="0.25">
      <c r="A97" s="2">
        <v>39447</v>
      </c>
      <c r="B97">
        <f>IF(ISNUMBER(VLOOKUP($A97,Haver_Q!$B$1:$L$185,MATCH(data!B$1,Haver_Q!$B$1:$L$1,0),FALSE)),100*(VLOOKUP($A97,Haver_Q!$B$1:$L$185,MATCH(data!B$1,Haver_Q!$B$1:$L$1,0),FALSE)),"")</f>
        <v>20.020568638582525</v>
      </c>
      <c r="C97">
        <f>IF(ISNUMBER(VLOOKUP($A97,Haver_Q!$B$1:$L$185,MATCH(data!C$1,Haver_Q!$B$1:$L$1,0),FALSE)),100*(VLOOKUP($A97,Haver_Q!$B$1:$L$185,MATCH(data!C$1,Haver_Q!$B$1:$L$1,0),FALSE)),"")</f>
        <v>9.5980906897627847</v>
      </c>
      <c r="D97">
        <f>IF(ISNUMBER(VLOOKUP($A97,Haver_Q!$B$1:$L$185,MATCH(data!D$1,Haver_Q!$B$1:$L$1,0),FALSE)),100*(VLOOKUP($A97,Haver_Q!$B$1:$L$185,MATCH(data!D$1,Haver_Q!$B$1:$L$1,0),FALSE)),"")</f>
        <v>-37.83893285867601</v>
      </c>
      <c r="E97">
        <f>IF(ISNUMBER(VLOOKUP($A97,Haver_Q!$B$1:$L$185,MATCH(data!E$1,Haver_Q!$B$1:$L$1,0),FALSE)),100*(VLOOKUP($A97,Haver_Q!$B$1:$L$185,MATCH(data!E$1,Haver_Q!$B$1:$L$1,0),FALSE)),"")</f>
        <v>17.377394908500321</v>
      </c>
      <c r="F97">
        <f>IF(ISNUMBER(VLOOKUP($A97,Haver_Q!$B$1:$L$185,MATCH(data!F$1,Haver_Q!$B$1:$L$1,0),FALSE)),100*(VLOOKUP($A97,Haver_Q!$B$1:$L$185,MATCH(data!F$1,Haver_Q!$B$1:$L$1,0),FALSE)),"")</f>
        <v>33.67820056429187</v>
      </c>
      <c r="G97">
        <f>IF(ISNUMBER(VLOOKUP($A97,Haver_Q!$B$1:$L$185,MATCH(data!G$1,Haver_Q!$B$1:$L$1,0),FALSE)),100*(VLOOKUP($A97,Haver_Q!$B$1:$L$185,MATCH(data!G$1,Haver_Q!$B$1:$L$1,0),FALSE)),"")</f>
        <v>36.026825739114685</v>
      </c>
      <c r="H97">
        <f>IF(ISNUMBER(VLOOKUP($A97,Haver_Q!$B$1:$L$185,MATCH(data!H$1,Haver_Q!$B$1:$L$1,0),FALSE)),(VLOOKUP($A97,Haver_Q!$B$1:$L$185,MATCH(data!H$1,Haver_Q!$B$1:$L$1,0),FALSE)),"")</f>
        <v>6.2649672606026776</v>
      </c>
      <c r="I97">
        <f>IF(ISNUMBER(VLOOKUP($A97,Haver_Q!$B$1:$L$185,MATCH(data!I$1,Haver_Q!$B$1:$L$1,0),FALSE)),100*(VLOOKUP($A97,Haver_Q!$B$1:$L$185,MATCH(data!I$1,Haver_Q!$B$1:$L$1,0),FALSE)),"")</f>
        <v>10.547337600767758</v>
      </c>
      <c r="J97" s="3">
        <f>IF(ISNUMBER(Bloomberg_m!C113),Bloomberg_m!C113,"")</f>
        <v>9854</v>
      </c>
      <c r="K97" s="3" t="str">
        <f>IF(ISNUMBER(Bloomberg_m!D113),Bloomberg_m!D113,"")</f>
        <v/>
      </c>
      <c r="L97" s="3" t="str">
        <f>IF(ISNUMBER(Bloomberg_m!E113),Bloomberg_m!E113,"")</f>
        <v/>
      </c>
      <c r="M97" s="3" t="str">
        <f>IF(ISNUMBER(Bloomberg_m!F113),Bloomberg_m!F113,"")</f>
        <v/>
      </c>
      <c r="N97">
        <f>IF(ISNUMBER(VLOOKUP($A97,Haver_M!$B$1:$BZ$300,MATCH(data!N$1,Haver_M!$B$1:$BZ$1,0),FALSE)),VLOOKUP($A97,Haver_M!$B$1:$BZ$300,MATCH(data!N$1,Haver_M!$B$1:$BZ$1,0),FALSE),"")</f>
        <v>7.75</v>
      </c>
      <c r="O97">
        <f>IF(ISNUMBER(VLOOKUP($A97,Haver_M!$B$1:$BZ$300,MATCH(data!O$1,Haver_M!$B$1:$BZ$1,0),FALSE)),VLOOKUP($A97,Haver_M!$B$1:$BZ$300,MATCH(data!O$1,Haver_M!$B$1:$BZ$1,0),FALSE),"")</f>
        <v>7.8056999999999999</v>
      </c>
      <c r="P97">
        <f>IF(ISNUMBER(VLOOKUP($A97,Haver_M!$B$1:$BZ$300,MATCH(data!P$1,Haver_M!$B$1:$BZ$1,0),FALSE)),VLOOKUP($A97,Haver_M!$B$1:$BZ$300,MATCH(data!P$1,Haver_M!$B$1:$BZ$1,0),FALSE),"")</f>
        <v>98.375029999999995</v>
      </c>
      <c r="Q97">
        <f>IF(ISNUMBER(VLOOKUP($A97,Haver_M!$B$1:$BZ$300,MATCH(data!Q$1,Haver_M!$B$1:$BZ$1,0),FALSE)),VLOOKUP($A97,Haver_M!$B$1:$BZ$300,MATCH(data!Q$1,Haver_M!$B$1:$BZ$1,0),FALSE),"")</f>
        <v>65.900000000000006</v>
      </c>
      <c r="R97" t="str">
        <f>IF(ISNUMBER(VLOOKUP($A97,Haver_M!$B$1:$BZ$300,MATCH(data!R$1,Haver_M!$B$1:$BZ$1,0),FALSE)),VLOOKUP($A97,Haver_M!$B$1:$BZ$300,MATCH(data!R$1,Haver_M!$B$1:$BZ$1,0),FALSE),"")</f>
        <v/>
      </c>
      <c r="S97">
        <f>IF(ISNUMBER(VLOOKUP($A97,Haver_M!$B$1:$BZ$300,MATCH(data!S$1,Haver_M!$B$1:$BZ$1,0),FALSE)),VLOOKUP($A97,Haver_M!$B$1:$BZ$300,MATCH(data!S$1,Haver_M!$B$1:$BZ$1,0),FALSE),"")</f>
        <v>87.68</v>
      </c>
      <c r="T97">
        <f>IF(ISNUMBER(VLOOKUP($A97,Haver_M!$B$1:$BZ$300,MATCH(data!T$1,Haver_M!$B$1:$BZ$1,0),FALSE)),VLOOKUP($A97,Haver_M!$B$1:$BZ$300,MATCH(data!T$1,Haver_M!$B$1:$BZ$1,0),FALSE),"")</f>
        <v>84.61</v>
      </c>
      <c r="U97">
        <f>IF(ISNUMBER(VLOOKUP($A97,Haver_M!$B$1:$BZ$300,MATCH(data!U$1,Haver_M!$B$1:$BZ$1,0),FALSE)),VLOOKUP($A97,Haver_M!$B$1:$BZ$300,MATCH(data!U$1,Haver_M!$B$1:$BZ$1,0),FALSE),"")</f>
        <v>99.02</v>
      </c>
      <c r="V97">
        <f>IF(ISNUMBER(VLOOKUP($A97,Haver_M!$B$1:$BZ$300,MATCH(data!V$1,Haver_M!$B$1:$BZ$1,0),FALSE)),VLOOKUP($A97,Haver_M!$B$1:$BZ$300,MATCH(data!V$1,Haver_M!$B$1:$BZ$1,0),FALSE),"")</f>
        <v>93.32</v>
      </c>
      <c r="W97" t="str">
        <f>IF(ISNUMBER(VLOOKUP($A97,Haver_M!$B$1:$BZ$300,MATCH(data!W$1,Haver_M!$B$1:$BZ$1,0),FALSE)),VLOOKUP($A97,Haver_M!$B$1:$BZ$300,MATCH(data!W$1,Haver_M!$B$1:$BZ$1,0),FALSE),"")</f>
        <v/>
      </c>
      <c r="X97">
        <f>IF(ISNUMBER(VLOOKUP($A97,Haver_M!$B$1:$BZ$300,MATCH(data!X$1,Haver_M!$B$1:$BZ$1,0),FALSE)),VLOOKUP($A97,Haver_M!$B$1:$BZ$300,MATCH(data!X$1,Haver_M!$B$1:$BZ$1,0),FALSE),"")</f>
        <v>71.900000000000006</v>
      </c>
      <c r="Y97">
        <f>IF(ISNUMBER(VLOOKUP($A97,Haver_M!$B$1:$BZ$300,MATCH(data!Y$1,Haver_M!$B$1:$BZ$1,0),FALSE)),VLOOKUP($A97,Haver_M!$B$1:$BZ$300,MATCH(data!Y$1,Haver_M!$B$1:$BZ$1,0),FALSE),"")</f>
        <v>90.98</v>
      </c>
      <c r="Z97">
        <f>IF(ISNUMBER(VLOOKUP($A97,Haver_M!$B$1:$BZ$300,MATCH(data!Z$1,Haver_M!$B$1:$BZ$1,0),FALSE)),VLOOKUP($A97,Haver_M!$B$1:$BZ$300,MATCH(data!Z$1,Haver_M!$B$1:$BZ$1,0),FALSE),"")</f>
        <v>82.7</v>
      </c>
      <c r="AA97">
        <f>IF(ISNUMBER(VLOOKUP($A97,Haver_M!$B$1:$BZ$300,MATCH(data!AA$1,Haver_M!$B$1:$BZ$1,0),FALSE)),VLOOKUP($A97,Haver_M!$B$1:$BZ$300,MATCH(data!AA$1,Haver_M!$B$1:$BZ$1,0),FALSE),"")</f>
        <v>86.438999999999993</v>
      </c>
      <c r="AB97">
        <f>IF(ISNUMBER(VLOOKUP($A97,Haver_M!$B$1:$BZ$300,MATCH(data!AB$1,Haver_M!$B$1:$BZ$1,0),FALSE)),VLOOKUP($A97,Haver_M!$B$1:$BZ$300,MATCH(data!AB$1,Haver_M!$B$1:$BZ$1,0),FALSE),"")</f>
        <v>89.025000000000006</v>
      </c>
      <c r="AC97">
        <f>IF(ISNUMBER(VLOOKUP($A97,Haver_M!$B$1:$BZ$300,MATCH(data!AC$1,Haver_M!$B$1:$BZ$1,0),FALSE)),VLOOKUP($A97,Haver_M!$B$1:$BZ$300,MATCH(data!AC$1,Haver_M!$B$1:$BZ$1,0),FALSE),"")</f>
        <v>70.278999999999996</v>
      </c>
      <c r="AD97">
        <f>IF(ISNUMBER(VLOOKUP($A97,Haver_M!$B$1:$BZ$300,MATCH(data!AD$1,Haver_M!$B$1:$BZ$1,0),FALSE)),VLOOKUP($A97,Haver_M!$B$1:$BZ$300,MATCH(data!AD$1,Haver_M!$B$1:$BZ$1,0),FALSE),"")</f>
        <v>91.239000000000004</v>
      </c>
      <c r="AE97">
        <f>IF(ISNUMBER(VLOOKUP($A97,Haver_M!$B$1:$BZ$300,MATCH(data!AE$1,Haver_M!$B$1:$BZ$1,0),FALSE)),VLOOKUP($A97,Haver_M!$B$1:$BZ$300,MATCH(data!AE$1,Haver_M!$B$1:$BZ$1,0),FALSE),"")</f>
        <v>92.665999999999997</v>
      </c>
      <c r="AF97">
        <f>IF(ISNUMBER(VLOOKUP($A97,Haver_M!$B$1:$BZ$300,MATCH(data!AF$1,Haver_M!$B$1:$BZ$1,0),FALSE)),VLOOKUP($A97,Haver_M!$B$1:$BZ$300,MATCH(data!AF$1,Haver_M!$B$1:$BZ$1,0),FALSE),"")</f>
        <v>76.402000000000001</v>
      </c>
      <c r="AG97">
        <f>IF(ISNUMBER(VLOOKUP($A97,Haver_M!$B$1:$BZ$300,MATCH(data!AG$1,Haver_M!$B$1:$BZ$1,0),FALSE)),VLOOKUP($A97,Haver_M!$B$1:$BZ$300,MATCH(data!AG$1,Haver_M!$B$1:$BZ$1,0),FALSE),"")</f>
        <v>74.218999999999994</v>
      </c>
      <c r="AH97">
        <f>IF(ISNUMBER(VLOOKUP($A97,Haver_M!$B$1:$BZ$300,MATCH(data!AH$1,Haver_M!$B$1:$BZ$1,0),FALSE)),VLOOKUP($A97,Haver_M!$B$1:$BZ$300,MATCH(data!AH$1,Haver_M!$B$1:$BZ$1,0),FALSE),"")</f>
        <v>81.308000000000007</v>
      </c>
      <c r="AI97">
        <f>IF(ISNUMBER(VLOOKUP($A97,Haver_M!$B$1:$BZ$300,MATCH(data!AI$1,Haver_M!$B$1:$BZ$1,0),FALSE)),VLOOKUP($A97,Haver_M!$B$1:$BZ$300,MATCH(data!AI$1,Haver_M!$B$1:$BZ$1,0),FALSE),"")</f>
        <v>10738.180610530533</v>
      </c>
      <c r="AJ97">
        <f>IF(ISNUMBER(VLOOKUP($A97,Haver_M!$B$1:$BZ$300,MATCH(data!AJ$1,Haver_M!$B$1:$BZ$1,0),FALSE)),VLOOKUP($A97,Haver_M!$B$1:$BZ$300,MATCH(data!AJ$1,Haver_M!$B$1:$BZ$1,0),FALSE),"")</f>
        <v>14701.71</v>
      </c>
      <c r="AK97">
        <f>IF(ISNUMBER(VLOOKUP($A97,Haver_M!$B$1:$BZ$300,MATCH(data!AK$1,Haver_M!$B$1:$BZ$1,0),FALSE)),VLOOKUP($A97,Haver_M!$B$1:$BZ$300,MATCH(data!AK$1,Haver_M!$B$1:$BZ$1,0),FALSE),"")</f>
        <v>21232.42</v>
      </c>
      <c r="AL97" t="str">
        <f>IF(ISNUMBER(VLOOKUP($A97,Haver_M!$B$1:$BZ$300,MATCH(data!AL$1,Haver_M!$B$1:$BZ$1,0),FALSE)),VLOOKUP($A97,Haver_M!$B$1:$BZ$300,MATCH(data!AL$1,Haver_M!$B$1:$BZ$1,0),FALSE),"")</f>
        <v/>
      </c>
      <c r="AM97" t="str">
        <f>IF(ISNUMBER(VLOOKUP($A97,Haver_M!$B$1:$BZ$300,MATCH(data!AM$1,Haver_M!$B$1:$BZ$1,0),FALSE)),VLOOKUP($A97,Haver_M!$B$1:$BZ$300,MATCH(data!AM$1,Haver_M!$B$1:$BZ$1,0),FALSE),"")</f>
        <v/>
      </c>
      <c r="AN97" t="str">
        <f>IF(ISNUMBER(VLOOKUP($A97,Haver_M!$B$1:$BZ$300,MATCH(data!AN$1,Haver_M!$B$1:$BZ$1,0),FALSE)),VLOOKUP($A97,Haver_M!$B$1:$BZ$300,MATCH(data!AN$1,Haver_M!$B$1:$BZ$1,0),FALSE),"")</f>
        <v/>
      </c>
      <c r="AO97" t="str">
        <f>IF(ISNUMBER(VLOOKUP($A97,Haver_M!$B$1:$BZ$300,MATCH(data!AO$1,Haver_M!$B$1:$BZ$1,0),FALSE)),VLOOKUP($A97,Haver_M!$B$1:$BZ$300,MATCH(data!AO$1,Haver_M!$B$1:$BZ$1,0),FALSE),"")</f>
        <v/>
      </c>
      <c r="AP97">
        <f>IF(ISNUMBER(VLOOKUP($A97,Haver_M!$B$1:$BZ$300,MATCH(data!AP$1,Haver_M!$B$1:$BZ$1,0),FALSE)),VLOOKUP($A97,Haver_M!$B$1:$BZ$300,MATCH(data!AP$1,Haver_M!$B$1:$BZ$1,0),FALSE),"")</f>
        <v>62.244059238204258</v>
      </c>
      <c r="AQ97">
        <f>IF(ISNUMBER(VLOOKUP($A97,Haver_M!$B$1:$BZ$300,MATCH(data!AQ$1,Haver_M!$B$1:$BZ$1,0),FALSE)),VLOOKUP($A97,Haver_M!$B$1:$BZ$300,MATCH(data!AQ$1,Haver_M!$B$1:$BZ$1,0),FALSE),"")</f>
        <v>63.319899999999997</v>
      </c>
      <c r="AR97">
        <f>IF(ISNUMBER(VLOOKUP($A97,Haver_M!$B$1:$BZ$300,MATCH(data!AR$1,Haver_M!$B$1:$BZ$1,0),FALSE)),VLOOKUP($A97,Haver_M!$B$1:$BZ$300,MATCH(data!AR$1,Haver_M!$B$1:$BZ$1,0),FALSE),"")</f>
        <v>61.853900000000003</v>
      </c>
      <c r="AS97">
        <f>IF(ISNUMBER(VLOOKUP($A97,Haver_M!$B$1:$BZ$300,MATCH(data!AS$1,Haver_M!$B$1:$BZ$1,0),FALSE)),VLOOKUP($A97,Haver_M!$B$1:$BZ$300,MATCH(data!AS$1,Haver_M!$B$1:$BZ$1,0),FALSE),"")</f>
        <v>62.441699999999997</v>
      </c>
      <c r="AT97">
        <f>IF(ISNUMBER(VLOOKUP($A97,Haver_M!$B$1:$BZ$300,MATCH(data!AT$1,Haver_M!$B$1:$BZ$1,0),FALSE)),VLOOKUP($A97,Haver_M!$B$1:$BZ$300,MATCH(data!AT$1,Haver_M!$B$1:$BZ$1,0),FALSE),"")</f>
        <v>65.293999999999997</v>
      </c>
      <c r="AU97">
        <f>IF(ISNUMBER(VLOOKUP($A97,Haver_M!$B$1:$BZ$300,MATCH(data!AU$1,Haver_M!$B$1:$BZ$1,0),FALSE)),VLOOKUP($A97,Haver_M!$B$1:$BZ$300,MATCH(data!AU$1,Haver_M!$B$1:$BZ$1,0),FALSE),"")</f>
        <v>72.093000000000004</v>
      </c>
      <c r="AV97">
        <f>IF(ISNUMBER(VLOOKUP($A97,Haver_M!$B$1:$BZ$300,MATCH(data!AV$1,Haver_M!$B$1:$BZ$1,0),FALSE)),VLOOKUP($A97,Haver_M!$B$1:$BZ$300,MATCH(data!AV$1,Haver_M!$B$1:$BZ$1,0),FALSE),"")</f>
        <v>52.2301</v>
      </c>
      <c r="AW97">
        <f>IF(ISNUMBER(VLOOKUP($A97,Haver_M!$B$1:$BZ$300,MATCH(data!AW$1,Haver_M!$B$1:$BZ$1,0),FALSE)),VLOOKUP($A97,Haver_M!$B$1:$BZ$300,MATCH(data!AW$1,Haver_M!$B$1:$BZ$1,0),FALSE),"")</f>
        <v>48.5458</v>
      </c>
      <c r="AX97">
        <f>IF(ISNUMBER(VLOOKUP($A97,Haver_M!$B$1:$BZ$300,MATCH(data!AX$1,Haver_M!$B$1:$BZ$1,0),FALSE)),VLOOKUP($A97,Haver_M!$B$1:$BZ$300,MATCH(data!AX$1,Haver_M!$B$1:$BZ$1,0),FALSE),"")</f>
        <v>57.383299999999998</v>
      </c>
      <c r="AY97">
        <f>IF(ISNUMBER(VLOOKUP($A97,Haver_M!$B$1:$BZ$300,MATCH(data!AY$1,Haver_M!$B$1:$BZ$1,0),FALSE)),VLOOKUP($A97,Haver_M!$B$1:$BZ$300,MATCH(data!AY$1,Haver_M!$B$1:$BZ$1,0),FALSE),"")</f>
        <v>54.203299999999999</v>
      </c>
      <c r="AZ97">
        <f>IF(ISNUMBER(VLOOKUP($A97,Haver_M!$B$1:$BZ$300,MATCH(data!AZ$1,Haver_M!$B$1:$BZ$1,0),FALSE)),VLOOKUP($A97,Haver_M!$B$1:$BZ$300,MATCH(data!AZ$1,Haver_M!$B$1:$BZ$1,0),FALSE),"")</f>
        <v>69.680300000000003</v>
      </c>
      <c r="BA97">
        <f>IF(ISNUMBER(VLOOKUP($A97,Haver_M!$B$1:$BZ$300,MATCH(data!BA$1,Haver_M!$B$1:$BZ$1,0),FALSE)),VLOOKUP($A97,Haver_M!$B$1:$BZ$300,MATCH(data!BA$1,Haver_M!$B$1:$BZ$1,0),FALSE),"")</f>
        <v>57.383299999999998</v>
      </c>
      <c r="BB97">
        <f>IF(ISNUMBER(VLOOKUP($A97,Haver_M!$B$1:$BZ$300,MATCH(data!BB$1,Haver_M!$B$1:$BZ$1,0),FALSE)),VLOOKUP($A97,Haver_M!$B$1:$BZ$300,MATCH(data!BB$1,Haver_M!$B$1:$BZ$1,0),FALSE),"")</f>
        <v>57.571199999999997</v>
      </c>
      <c r="BC97">
        <f>IF(ISNUMBER(VLOOKUP($A97,Haver_M!$B$1:$BZ$300,MATCH(data!BC$1,Haver_M!$B$1:$BZ$1,0),FALSE)),VLOOKUP($A97,Haver_M!$B$1:$BZ$300,MATCH(data!BC$1,Haver_M!$B$1:$BZ$1,0),FALSE),"")</f>
        <v>53.655700000000003</v>
      </c>
      <c r="BD97">
        <f>IF(ISNUMBER(VLOOKUP($A97,Haver_M!$B$1:$BZ$300,MATCH(data!BD$1,Haver_M!$B$1:$BZ$1,0),FALSE)),VLOOKUP($A97,Haver_M!$B$1:$BZ$300,MATCH(data!BD$1,Haver_M!$B$1:$BZ$1,0),FALSE),"")</f>
        <v>50.768700000000003</v>
      </c>
      <c r="BE97">
        <f>IF(ISNUMBER(VLOOKUP($A97,Haver_M!$B$1:$BZ$300,MATCH(data!BE$1,Haver_M!$B$1:$BZ$1,0),FALSE)),VLOOKUP($A97,Haver_M!$B$1:$BZ$300,MATCH(data!BE$1,Haver_M!$B$1:$BZ$1,0),FALSE),"")</f>
        <v>1.4036999999999999</v>
      </c>
      <c r="BF97">
        <f>IF(ISNUMBER(VLOOKUP($A97,Haver_M!$B$1:$BZ$300,MATCH(data!BF$1,Haver_M!$B$1:$BZ$1,0),FALSE)),VLOOKUP($A97,Haver_M!$B$1:$BZ$300,MATCH(data!BF$1,Haver_M!$B$1:$BZ$1,0),FALSE),"")</f>
        <v>53.009300000000003</v>
      </c>
      <c r="BG97">
        <f>IF(ISNUMBER(VLOOKUP($A97,Haver_M!$B$1:$BZ$300,MATCH(data!BG$1,Haver_M!$B$1:$BZ$1,0),FALSE)),VLOOKUP($A97,Haver_M!$B$1:$BZ$300,MATCH(data!BG$1,Haver_M!$B$1:$BZ$1,0),FALSE),"")</f>
        <v>55.679600000000001</v>
      </c>
      <c r="BH97">
        <f>IF(ISNUMBER(VLOOKUP($A97,Haver_M!$B$1:$BZ$300,MATCH(data!BH$1,Haver_M!$B$1:$BZ$1,0),FALSE)),VLOOKUP($A97,Haver_M!$B$1:$BZ$300,MATCH(data!BH$1,Haver_M!$B$1:$BZ$1,0),FALSE),"")</f>
        <v>62.130800000000001</v>
      </c>
      <c r="BI97">
        <f>IF(ISNUMBER(VLOOKUP($A97,Haver_M!$B$1:$BZ$300,MATCH(data!BI$1,Haver_M!$B$1:$BZ$1,0),FALSE)),VLOOKUP($A97,Haver_M!$B$1:$BZ$300,MATCH(data!BI$1,Haver_M!$B$1:$BZ$1,0),FALSE),"")</f>
        <v>57.995600000000003</v>
      </c>
      <c r="BJ97" t="str">
        <f>IF(ISNUMBER(VLOOKUP($A97,Haver_M!$B$1:$BZ$300,MATCH(data!BJ$1,Haver_M!$B$1:$BZ$1,0),FALSE)),VLOOKUP($A97,Haver_M!$B$1:$BZ$300,MATCH(data!BJ$1,Haver_M!$B$1:$BZ$1,0),FALSE),"")</f>
        <v/>
      </c>
      <c r="BK97">
        <f>IF(ISNUMBER(VLOOKUP($A97,Haver_M!$B$1:$BZ$300,MATCH(data!BK$1,Haver_M!$B$1:$BZ$1,0),FALSE)),VLOOKUP($A97,Haver_M!$B$1:$BZ$300,MATCH(data!BK$1,Haver_M!$B$1:$BZ$1,0),FALSE),"")</f>
        <v>52.163899999999998</v>
      </c>
      <c r="BL97">
        <f>IF(ISNUMBER(VLOOKUP($A97,Haver_M!$B$1:$BZ$300,MATCH(data!BL$1,Haver_M!$B$1:$BZ$1,0),FALSE)),VLOOKUP($A97,Haver_M!$B$1:$BZ$300,MATCH(data!BL$1,Haver_M!$B$1:$BZ$1,0),FALSE),"")</f>
        <v>19827.28</v>
      </c>
      <c r="BM97">
        <f>IF(ISNUMBER(VLOOKUP($A97,Haver_M!$B$1:$BZ$300,MATCH(data!BM$1,Haver_M!$B$1:$BZ$1,0),FALSE)),VLOOKUP($A97,Haver_M!$B$1:$BZ$300,MATCH(data!BM$1,Haver_M!$B$1:$BZ$1,0),FALSE),"")</f>
        <v>105.69411418999999</v>
      </c>
      <c r="BN97">
        <f>IF(ISNUMBER(VLOOKUP($A97,Haver_M!$B$1:$BZ$300,MATCH(data!BN$1,Haver_M!$B$1:$BZ$1,0),FALSE)),VLOOKUP($A97,Haver_M!$B$1:$BZ$300,MATCH(data!BN$1,Haver_M!$B$1:$BZ$1,0),FALSE),"")</f>
        <v>115.9</v>
      </c>
      <c r="BO97">
        <f>IF(ISNUMBER(VLOOKUP($A97,Haver_M!$B$1:$BZ$300,MATCH(data!BO$1,Haver_M!$B$1:$BZ$1,0),FALSE)),VLOOKUP($A97,Haver_M!$B$1:$BZ$300,MATCH(data!BO$1,Haver_M!$B$1:$BZ$1,0),FALSE),"")</f>
        <v>124.4</v>
      </c>
      <c r="BP97">
        <f>IF(ISNUMBER(VLOOKUP($A97,Haver_M!$B$1:$BZ$300,MATCH(data!BP$1,Haver_M!$B$1:$BZ$1,0),FALSE)),VLOOKUP($A97,Haver_M!$B$1:$BZ$300,MATCH(data!BP$1,Haver_M!$B$1:$BZ$1,0),FALSE),"")</f>
        <v>50.2</v>
      </c>
      <c r="BQ97">
        <f>IF(ISNUMBER(VLOOKUP($A97,Haver_M!$B$1:$BZ$300,MATCH(data!BQ$1,Haver_M!$B$1:$BZ$1,0),FALSE)),VLOOKUP($A97,Haver_M!$B$1:$BZ$300,MATCH(data!BQ$1,Haver_M!$B$1:$BZ$1,0),FALSE),"")</f>
        <v>127.44675456389453</v>
      </c>
      <c r="BR97">
        <f>IF(ISNUMBER(VLOOKUP($A97,Haver_M!$B$1:$BZ$300,MATCH(data!BR$1,Haver_M!$B$1:$BZ$1,0),FALSE)),VLOOKUP($A97,Haver_M!$B$1:$BZ$300,MATCH(data!BR$1,Haver_M!$B$1:$BZ$1,0),FALSE),"")</f>
        <v>194.38793103448276</v>
      </c>
      <c r="BS97">
        <f>IF(ISNUMBER(VLOOKUP($A97,Haver_M!$B$1:$BZ$300,MATCH(data!BS$1,Haver_M!$B$1:$BZ$1,0),FALSE)),VLOOKUP($A97,Haver_M!$B$1:$BZ$300,MATCH(data!BS$1,Haver_M!$B$1:$BZ$1,0),FALSE),"")</f>
        <v>119.04792089249493</v>
      </c>
      <c r="BT97">
        <f>IF(ISNUMBER(VLOOKUP($A97,Haver_M!$B$1:$BZ$300,MATCH(data!BT$1,Haver_M!$B$1:$BZ$1,0),FALSE)),VLOOKUP($A97,Haver_M!$B$1:$BZ$300,MATCH(data!BT$1,Haver_M!$B$1:$BZ$1,0),FALSE),"")</f>
        <v>500.76952332657203</v>
      </c>
      <c r="BU97">
        <f>IF(ISNUMBER(VLOOKUP($A97,Haver_M!$B$1:$BZ$300,MATCH(data!BU$1,Haver_M!$B$1:$BZ$1,0),FALSE)),VLOOKUP($A97,Haver_M!$B$1:$BZ$300,MATCH(data!BU$1,Haver_M!$B$1:$BZ$1,0),FALSE),"")</f>
        <v>14625.5</v>
      </c>
      <c r="BV97">
        <f>IF(ISNUMBER(VLOOKUP($A97,Haver_M!$B$1:$BZ$300,MATCH(data!BV$1,Haver_M!$B$1:$BZ$1,0),FALSE)),VLOOKUP($A97,Haver_M!$B$1:$BZ$300,MATCH(data!BV$1,Haver_M!$B$1:$BZ$1,0),FALSE),"")</f>
        <v>20116.900000000001</v>
      </c>
      <c r="BW97">
        <f>IF(ISNUMBER(VLOOKUP($A97,Haver_M!$B$1:$BZ$300,MATCH(data!BW$1,Haver_M!$B$1:$BZ$1,0),FALSE)),VLOOKUP($A97,Haver_M!$B$1:$BZ$300,MATCH(data!BW$1,Haver_M!$B$1:$BZ$1,0),FALSE),"")</f>
        <v>39.44</v>
      </c>
      <c r="BX97">
        <f>IF(ISNUMBER(VLOOKUP($A97,Haver_M!$B$1:$BZ$300,MATCH(data!BX$1,Haver_M!$B$1:$BZ$1,0),FALSE)),VLOOKUP($A97,Haver_M!$B$1:$BZ$300,MATCH(data!BX$1,Haver_M!$B$1:$BZ$1,0),FALSE),"")</f>
        <v>19187</v>
      </c>
    </row>
    <row r="98" spans="1:76" x14ac:dyDescent="0.25">
      <c r="A98" s="2">
        <v>39478</v>
      </c>
      <c r="B98" t="str">
        <f>IF(ISNUMBER(VLOOKUP($A98,Haver_Q!$B$1:$L$185,MATCH(data!B$1,Haver_Q!$B$1:$L$1,0),FALSE)),100*(VLOOKUP($A98,Haver_Q!$B$1:$L$185,MATCH(data!B$1,Haver_Q!$B$1:$L$1,0),FALSE)),"")</f>
        <v/>
      </c>
      <c r="C98" t="str">
        <f>IF(ISNUMBER(VLOOKUP($A98,Haver_Q!$B$1:$L$185,MATCH(data!C$1,Haver_Q!$B$1:$L$1,0),FALSE)),100*(VLOOKUP($A98,Haver_Q!$B$1:$L$185,MATCH(data!C$1,Haver_Q!$B$1:$L$1,0),FALSE)),"")</f>
        <v/>
      </c>
      <c r="D98" t="str">
        <f>IF(ISNUMBER(VLOOKUP($A98,Haver_Q!$B$1:$L$185,MATCH(data!D$1,Haver_Q!$B$1:$L$1,0),FALSE)),100*(VLOOKUP($A98,Haver_Q!$B$1:$L$185,MATCH(data!D$1,Haver_Q!$B$1:$L$1,0),FALSE)),"")</f>
        <v/>
      </c>
      <c r="E98" t="str">
        <f>IF(ISNUMBER(VLOOKUP($A98,Haver_Q!$B$1:$L$185,MATCH(data!E$1,Haver_Q!$B$1:$L$1,0),FALSE)),100*(VLOOKUP($A98,Haver_Q!$B$1:$L$185,MATCH(data!E$1,Haver_Q!$B$1:$L$1,0),FALSE)),"")</f>
        <v/>
      </c>
      <c r="F98" t="str">
        <f>IF(ISNUMBER(VLOOKUP($A98,Haver_Q!$B$1:$L$185,MATCH(data!F$1,Haver_Q!$B$1:$L$1,0),FALSE)),100*(VLOOKUP($A98,Haver_Q!$B$1:$L$185,MATCH(data!F$1,Haver_Q!$B$1:$L$1,0),FALSE)),"")</f>
        <v/>
      </c>
      <c r="G98" t="str">
        <f>IF(ISNUMBER(VLOOKUP($A98,Haver_Q!$B$1:$L$185,MATCH(data!G$1,Haver_Q!$B$1:$L$1,0),FALSE)),100*(VLOOKUP($A98,Haver_Q!$B$1:$L$185,MATCH(data!G$1,Haver_Q!$B$1:$L$1,0),FALSE)),"")</f>
        <v/>
      </c>
      <c r="H98" t="str">
        <f>IF(ISNUMBER(VLOOKUP($A98,Haver_Q!$B$1:$L$185,MATCH(data!H$1,Haver_Q!$B$1:$L$1,0),FALSE)),(VLOOKUP($A98,Haver_Q!$B$1:$L$185,MATCH(data!H$1,Haver_Q!$B$1:$L$1,0),FALSE)),"")</f>
        <v/>
      </c>
      <c r="I98" t="str">
        <f>IF(ISNUMBER(VLOOKUP($A98,Haver_Q!$B$1:$L$185,MATCH(data!I$1,Haver_Q!$B$1:$L$1,0),FALSE)),100*(VLOOKUP($A98,Haver_Q!$B$1:$L$185,MATCH(data!I$1,Haver_Q!$B$1:$L$1,0),FALSE)),"")</f>
        <v/>
      </c>
      <c r="J98" s="3">
        <f>IF(ISNUMBER(Bloomberg_m!C114),Bloomberg_m!C114,"")</f>
        <v>7170</v>
      </c>
      <c r="K98" s="3" t="str">
        <f>IF(ISNUMBER(Bloomberg_m!D114),Bloomberg_m!D114,"")</f>
        <v/>
      </c>
      <c r="L98" s="3" t="str">
        <f>IF(ISNUMBER(Bloomberg_m!E114),Bloomberg_m!E114,"")</f>
        <v/>
      </c>
      <c r="M98" s="3" t="str">
        <f>IF(ISNUMBER(Bloomberg_m!F114),Bloomberg_m!F114,"")</f>
        <v/>
      </c>
      <c r="N98">
        <f>IF(ISNUMBER(VLOOKUP($A98,Haver_M!$B$1:$BZ$300,MATCH(data!N$1,Haver_M!$B$1:$BZ$1,0),FALSE)),VLOOKUP($A98,Haver_M!$B$1:$BZ$300,MATCH(data!N$1,Haver_M!$B$1:$BZ$1,0),FALSE),"")</f>
        <v>7.75</v>
      </c>
      <c r="O98">
        <f>IF(ISNUMBER(VLOOKUP($A98,Haver_M!$B$1:$BZ$300,MATCH(data!O$1,Haver_M!$B$1:$BZ$1,0),FALSE)),VLOOKUP($A98,Haver_M!$B$1:$BZ$300,MATCH(data!O$1,Haver_M!$B$1:$BZ$1,0),FALSE),"")</f>
        <v>7.5736999999999997</v>
      </c>
      <c r="P98">
        <f>IF(ISNUMBER(VLOOKUP($A98,Haver_M!$B$1:$BZ$300,MATCH(data!P$1,Haver_M!$B$1:$BZ$1,0),FALSE)),VLOOKUP($A98,Haver_M!$B$1:$BZ$300,MATCH(data!P$1,Haver_M!$B$1:$BZ$1,0),FALSE),"")</f>
        <v>97.412970000000001</v>
      </c>
      <c r="Q98">
        <f>IF(ISNUMBER(VLOOKUP($A98,Haver_M!$B$1:$BZ$300,MATCH(data!Q$1,Haver_M!$B$1:$BZ$1,0),FALSE)),VLOOKUP($A98,Haver_M!$B$1:$BZ$300,MATCH(data!Q$1,Haver_M!$B$1:$BZ$1,0),FALSE),"")</f>
        <v>66</v>
      </c>
      <c r="R98" t="str">
        <f>IF(ISNUMBER(VLOOKUP($A98,Haver_M!$B$1:$BZ$300,MATCH(data!R$1,Haver_M!$B$1:$BZ$1,0),FALSE)),VLOOKUP($A98,Haver_M!$B$1:$BZ$300,MATCH(data!R$1,Haver_M!$B$1:$BZ$1,0),FALSE),"")</f>
        <v/>
      </c>
      <c r="S98">
        <f>IF(ISNUMBER(VLOOKUP($A98,Haver_M!$B$1:$BZ$300,MATCH(data!S$1,Haver_M!$B$1:$BZ$1,0),FALSE)),VLOOKUP($A98,Haver_M!$B$1:$BZ$300,MATCH(data!S$1,Haver_M!$B$1:$BZ$1,0),FALSE),"")</f>
        <v>88.56</v>
      </c>
      <c r="T98">
        <f>IF(ISNUMBER(VLOOKUP($A98,Haver_M!$B$1:$BZ$300,MATCH(data!T$1,Haver_M!$B$1:$BZ$1,0),FALSE)),VLOOKUP($A98,Haver_M!$B$1:$BZ$300,MATCH(data!T$1,Haver_M!$B$1:$BZ$1,0),FALSE),"")</f>
        <v>84.2</v>
      </c>
      <c r="U98">
        <f>IF(ISNUMBER(VLOOKUP($A98,Haver_M!$B$1:$BZ$300,MATCH(data!U$1,Haver_M!$B$1:$BZ$1,0),FALSE)),VLOOKUP($A98,Haver_M!$B$1:$BZ$300,MATCH(data!U$1,Haver_M!$B$1:$BZ$1,0),FALSE),"")</f>
        <v>103.29</v>
      </c>
      <c r="V98">
        <f>IF(ISNUMBER(VLOOKUP($A98,Haver_M!$B$1:$BZ$300,MATCH(data!V$1,Haver_M!$B$1:$BZ$1,0),FALSE)),VLOOKUP($A98,Haver_M!$B$1:$BZ$300,MATCH(data!V$1,Haver_M!$B$1:$BZ$1,0),FALSE),"")</f>
        <v>94.51</v>
      </c>
      <c r="W98" t="str">
        <f>IF(ISNUMBER(VLOOKUP($A98,Haver_M!$B$1:$BZ$300,MATCH(data!W$1,Haver_M!$B$1:$BZ$1,0),FALSE)),VLOOKUP($A98,Haver_M!$B$1:$BZ$300,MATCH(data!W$1,Haver_M!$B$1:$BZ$1,0),FALSE),"")</f>
        <v/>
      </c>
      <c r="X98">
        <f>IF(ISNUMBER(VLOOKUP($A98,Haver_M!$B$1:$BZ$300,MATCH(data!X$1,Haver_M!$B$1:$BZ$1,0),FALSE)),VLOOKUP($A98,Haver_M!$B$1:$BZ$300,MATCH(data!X$1,Haver_M!$B$1:$BZ$1,0),FALSE),"")</f>
        <v>70.5</v>
      </c>
      <c r="Y98">
        <f>IF(ISNUMBER(VLOOKUP($A98,Haver_M!$B$1:$BZ$300,MATCH(data!Y$1,Haver_M!$B$1:$BZ$1,0),FALSE)),VLOOKUP($A98,Haver_M!$B$1:$BZ$300,MATCH(data!Y$1,Haver_M!$B$1:$BZ$1,0),FALSE),"")</f>
        <v>93.57</v>
      </c>
      <c r="Z98">
        <f>IF(ISNUMBER(VLOOKUP($A98,Haver_M!$B$1:$BZ$300,MATCH(data!Z$1,Haver_M!$B$1:$BZ$1,0),FALSE)),VLOOKUP($A98,Haver_M!$B$1:$BZ$300,MATCH(data!Z$1,Haver_M!$B$1:$BZ$1,0),FALSE),"")</f>
        <v>82.1</v>
      </c>
      <c r="AA98">
        <f>IF(ISNUMBER(VLOOKUP($A98,Haver_M!$B$1:$BZ$300,MATCH(data!AA$1,Haver_M!$B$1:$BZ$1,0),FALSE)),VLOOKUP($A98,Haver_M!$B$1:$BZ$300,MATCH(data!AA$1,Haver_M!$B$1:$BZ$1,0),FALSE),"")</f>
        <v>88.677000000000007</v>
      </c>
      <c r="AB98">
        <f>IF(ISNUMBER(VLOOKUP($A98,Haver_M!$B$1:$BZ$300,MATCH(data!AB$1,Haver_M!$B$1:$BZ$1,0),FALSE)),VLOOKUP($A98,Haver_M!$B$1:$BZ$300,MATCH(data!AB$1,Haver_M!$B$1:$BZ$1,0),FALSE),"")</f>
        <v>89.400999999999996</v>
      </c>
      <c r="AC98">
        <f>IF(ISNUMBER(VLOOKUP($A98,Haver_M!$B$1:$BZ$300,MATCH(data!AC$1,Haver_M!$B$1:$BZ$1,0),FALSE)),VLOOKUP($A98,Haver_M!$B$1:$BZ$300,MATCH(data!AC$1,Haver_M!$B$1:$BZ$1,0),FALSE),"")</f>
        <v>67.254000000000005</v>
      </c>
      <c r="AD98">
        <f>IF(ISNUMBER(VLOOKUP($A98,Haver_M!$B$1:$BZ$300,MATCH(data!AD$1,Haver_M!$B$1:$BZ$1,0),FALSE)),VLOOKUP($A98,Haver_M!$B$1:$BZ$300,MATCH(data!AD$1,Haver_M!$B$1:$BZ$1,0),FALSE),"")</f>
        <v>94.242999999999995</v>
      </c>
      <c r="AE98">
        <f>IF(ISNUMBER(VLOOKUP($A98,Haver_M!$B$1:$BZ$300,MATCH(data!AE$1,Haver_M!$B$1:$BZ$1,0),FALSE)),VLOOKUP($A98,Haver_M!$B$1:$BZ$300,MATCH(data!AE$1,Haver_M!$B$1:$BZ$1,0),FALSE),"")</f>
        <v>88.906999999999996</v>
      </c>
      <c r="AF98">
        <f>IF(ISNUMBER(VLOOKUP($A98,Haver_M!$B$1:$BZ$300,MATCH(data!AF$1,Haver_M!$B$1:$BZ$1,0),FALSE)),VLOOKUP($A98,Haver_M!$B$1:$BZ$300,MATCH(data!AF$1,Haver_M!$B$1:$BZ$1,0),FALSE),"")</f>
        <v>71.191999999999993</v>
      </c>
      <c r="AG98">
        <f>IF(ISNUMBER(VLOOKUP($A98,Haver_M!$B$1:$BZ$300,MATCH(data!AG$1,Haver_M!$B$1:$BZ$1,0),FALSE)),VLOOKUP($A98,Haver_M!$B$1:$BZ$300,MATCH(data!AG$1,Haver_M!$B$1:$BZ$1,0),FALSE),"")</f>
        <v>75.727999999999994</v>
      </c>
      <c r="AH98">
        <f>IF(ISNUMBER(VLOOKUP($A98,Haver_M!$B$1:$BZ$300,MATCH(data!AH$1,Haver_M!$B$1:$BZ$1,0),FALSE)),VLOOKUP($A98,Haver_M!$B$1:$BZ$300,MATCH(data!AH$1,Haver_M!$B$1:$BZ$1,0),FALSE),"")</f>
        <v>80.921000000000006</v>
      </c>
      <c r="AI98">
        <f>IF(ISNUMBER(VLOOKUP($A98,Haver_M!$B$1:$BZ$300,MATCH(data!AI$1,Haver_M!$B$1:$BZ$1,0),FALSE)),VLOOKUP($A98,Haver_M!$B$1:$BZ$300,MATCH(data!AI$1,Haver_M!$B$1:$BZ$1,0),FALSE),"")</f>
        <v>11122.658182371222</v>
      </c>
      <c r="AJ98">
        <f>IF(ISNUMBER(VLOOKUP($A98,Haver_M!$B$1:$BZ$300,MATCH(data!AJ$1,Haver_M!$B$1:$BZ$1,0),FALSE)),VLOOKUP($A98,Haver_M!$B$1:$BZ$300,MATCH(data!AJ$1,Haver_M!$B$1:$BZ$1,0),FALSE),"")</f>
        <v>15247.99</v>
      </c>
      <c r="AK98">
        <f>IF(ISNUMBER(VLOOKUP($A98,Haver_M!$B$1:$BZ$300,MATCH(data!AK$1,Haver_M!$B$1:$BZ$1,0),FALSE)),VLOOKUP($A98,Haver_M!$B$1:$BZ$300,MATCH(data!AK$1,Haver_M!$B$1:$BZ$1,0),FALSE),"")</f>
        <v>23597.05</v>
      </c>
      <c r="AL98" t="str">
        <f>IF(ISNUMBER(VLOOKUP($A98,Haver_M!$B$1:$BZ$300,MATCH(data!AL$1,Haver_M!$B$1:$BZ$1,0),FALSE)),VLOOKUP($A98,Haver_M!$B$1:$BZ$300,MATCH(data!AL$1,Haver_M!$B$1:$BZ$1,0),FALSE),"")</f>
        <v/>
      </c>
      <c r="AM98" t="str">
        <f>IF(ISNUMBER(VLOOKUP($A98,Haver_M!$B$1:$BZ$300,MATCH(data!AM$1,Haver_M!$B$1:$BZ$1,0),FALSE)),VLOOKUP($A98,Haver_M!$B$1:$BZ$300,MATCH(data!AM$1,Haver_M!$B$1:$BZ$1,0),FALSE),"")</f>
        <v/>
      </c>
      <c r="AN98" t="str">
        <f>IF(ISNUMBER(VLOOKUP($A98,Haver_M!$B$1:$BZ$300,MATCH(data!AN$1,Haver_M!$B$1:$BZ$1,0),FALSE)),VLOOKUP($A98,Haver_M!$B$1:$BZ$300,MATCH(data!AN$1,Haver_M!$B$1:$BZ$1,0),FALSE),"")</f>
        <v/>
      </c>
      <c r="AO98" t="str">
        <f>IF(ISNUMBER(VLOOKUP($A98,Haver_M!$B$1:$BZ$300,MATCH(data!AO$1,Haver_M!$B$1:$BZ$1,0),FALSE)),VLOOKUP($A98,Haver_M!$B$1:$BZ$300,MATCH(data!AO$1,Haver_M!$B$1:$BZ$1,0),FALSE),"")</f>
        <v/>
      </c>
      <c r="AP98">
        <f>IF(ISNUMBER(VLOOKUP($A98,Haver_M!$B$1:$BZ$300,MATCH(data!AP$1,Haver_M!$B$1:$BZ$1,0),FALSE)),VLOOKUP($A98,Haver_M!$B$1:$BZ$300,MATCH(data!AP$1,Haver_M!$B$1:$BZ$1,0),FALSE),"")</f>
        <v>140.39123406356666</v>
      </c>
      <c r="AQ98">
        <f>IF(ISNUMBER(VLOOKUP($A98,Haver_M!$B$1:$BZ$300,MATCH(data!AQ$1,Haver_M!$B$1:$BZ$1,0),FALSE)),VLOOKUP($A98,Haver_M!$B$1:$BZ$300,MATCH(data!AQ$1,Haver_M!$B$1:$BZ$1,0),FALSE),"")</f>
        <v>62.652900000000002</v>
      </c>
      <c r="AR98">
        <f>IF(ISNUMBER(VLOOKUP($A98,Haver_M!$B$1:$BZ$300,MATCH(data!AR$1,Haver_M!$B$1:$BZ$1,0),FALSE)),VLOOKUP($A98,Haver_M!$B$1:$BZ$300,MATCH(data!AR$1,Haver_M!$B$1:$BZ$1,0),FALSE),"")</f>
        <v>60.6629</v>
      </c>
      <c r="AS98">
        <f>IF(ISNUMBER(VLOOKUP($A98,Haver_M!$B$1:$BZ$300,MATCH(data!AS$1,Haver_M!$B$1:$BZ$1,0),FALSE)),VLOOKUP($A98,Haver_M!$B$1:$BZ$300,MATCH(data!AS$1,Haver_M!$B$1:$BZ$1,0),FALSE),"")</f>
        <v>62.187199999999997</v>
      </c>
      <c r="AT98">
        <f>IF(ISNUMBER(VLOOKUP($A98,Haver_M!$B$1:$BZ$300,MATCH(data!AT$1,Haver_M!$B$1:$BZ$1,0),FALSE)),VLOOKUP($A98,Haver_M!$B$1:$BZ$300,MATCH(data!AT$1,Haver_M!$B$1:$BZ$1,0),FALSE),"")</f>
        <v>63.6997</v>
      </c>
      <c r="AU98">
        <f>IF(ISNUMBER(VLOOKUP($A98,Haver_M!$B$1:$BZ$300,MATCH(data!AU$1,Haver_M!$B$1:$BZ$1,0),FALSE)),VLOOKUP($A98,Haver_M!$B$1:$BZ$300,MATCH(data!AU$1,Haver_M!$B$1:$BZ$1,0),FALSE),"")</f>
        <v>70.036000000000001</v>
      </c>
      <c r="AV98">
        <f>IF(ISNUMBER(VLOOKUP($A98,Haver_M!$B$1:$BZ$300,MATCH(data!AV$1,Haver_M!$B$1:$BZ$1,0),FALSE)),VLOOKUP($A98,Haver_M!$B$1:$BZ$300,MATCH(data!AV$1,Haver_M!$B$1:$BZ$1,0),FALSE),"")</f>
        <v>52.490699999999997</v>
      </c>
      <c r="AW98">
        <f>IF(ISNUMBER(VLOOKUP($A98,Haver_M!$B$1:$BZ$300,MATCH(data!AW$1,Haver_M!$B$1:$BZ$1,0),FALSE)),VLOOKUP($A98,Haver_M!$B$1:$BZ$300,MATCH(data!AW$1,Haver_M!$B$1:$BZ$1,0),FALSE),"")</f>
        <v>49.181100000000001</v>
      </c>
      <c r="AX98">
        <f>IF(ISNUMBER(VLOOKUP($A98,Haver_M!$B$1:$BZ$300,MATCH(data!AX$1,Haver_M!$B$1:$BZ$1,0),FALSE)),VLOOKUP($A98,Haver_M!$B$1:$BZ$300,MATCH(data!AX$1,Haver_M!$B$1:$BZ$1,0),FALSE),"")</f>
        <v>56.061500000000002</v>
      </c>
      <c r="AY98">
        <f>IF(ISNUMBER(VLOOKUP($A98,Haver_M!$B$1:$BZ$300,MATCH(data!AY$1,Haver_M!$B$1:$BZ$1,0),FALSE)),VLOOKUP($A98,Haver_M!$B$1:$BZ$300,MATCH(data!AY$1,Haver_M!$B$1:$BZ$1,0),FALSE),"")</f>
        <v>53.264299999999999</v>
      </c>
      <c r="AZ98">
        <f>IF(ISNUMBER(VLOOKUP($A98,Haver_M!$B$1:$BZ$300,MATCH(data!AZ$1,Haver_M!$B$1:$BZ$1,0),FALSE)),VLOOKUP($A98,Haver_M!$B$1:$BZ$300,MATCH(data!AZ$1,Haver_M!$B$1:$BZ$1,0),FALSE),"")</f>
        <v>66.398399999999995</v>
      </c>
      <c r="BA98">
        <f>IF(ISNUMBER(VLOOKUP($A98,Haver_M!$B$1:$BZ$300,MATCH(data!BA$1,Haver_M!$B$1:$BZ$1,0),FALSE)),VLOOKUP($A98,Haver_M!$B$1:$BZ$300,MATCH(data!BA$1,Haver_M!$B$1:$BZ$1,0),FALSE),"")</f>
        <v>56.061500000000002</v>
      </c>
      <c r="BB98">
        <f>IF(ISNUMBER(VLOOKUP($A98,Haver_M!$B$1:$BZ$300,MATCH(data!BB$1,Haver_M!$B$1:$BZ$1,0),FALSE)),VLOOKUP($A98,Haver_M!$B$1:$BZ$300,MATCH(data!BB$1,Haver_M!$B$1:$BZ$1,0),FALSE),"")</f>
        <v>56.247599999999998</v>
      </c>
      <c r="BC98">
        <f>IF(ISNUMBER(VLOOKUP($A98,Haver_M!$B$1:$BZ$300,MATCH(data!BC$1,Haver_M!$B$1:$BZ$1,0),FALSE)),VLOOKUP($A98,Haver_M!$B$1:$BZ$300,MATCH(data!BC$1,Haver_M!$B$1:$BZ$1,0),FALSE),"")</f>
        <v>52.895400000000002</v>
      </c>
      <c r="BD98">
        <f>IF(ISNUMBER(VLOOKUP($A98,Haver_M!$B$1:$BZ$300,MATCH(data!BD$1,Haver_M!$B$1:$BZ$1,0),FALSE)),VLOOKUP($A98,Haver_M!$B$1:$BZ$300,MATCH(data!BD$1,Haver_M!$B$1:$BZ$1,0),FALSE),"")</f>
        <v>50.300199999999997</v>
      </c>
      <c r="BE98">
        <f>IF(ISNUMBER(VLOOKUP($A98,Haver_M!$B$1:$BZ$300,MATCH(data!BE$1,Haver_M!$B$1:$BZ$1,0),FALSE)),VLOOKUP($A98,Haver_M!$B$1:$BZ$300,MATCH(data!BE$1,Haver_M!$B$1:$BZ$1,0),FALSE),"")</f>
        <v>1.3693</v>
      </c>
      <c r="BF98">
        <f>IF(ISNUMBER(VLOOKUP($A98,Haver_M!$B$1:$BZ$300,MATCH(data!BF$1,Haver_M!$B$1:$BZ$1,0),FALSE)),VLOOKUP($A98,Haver_M!$B$1:$BZ$300,MATCH(data!BF$1,Haver_M!$B$1:$BZ$1,0),FALSE),"")</f>
        <v>53.419699999999999</v>
      </c>
      <c r="BG98">
        <f>IF(ISNUMBER(VLOOKUP($A98,Haver_M!$B$1:$BZ$300,MATCH(data!BG$1,Haver_M!$B$1:$BZ$1,0),FALSE)),VLOOKUP($A98,Haver_M!$B$1:$BZ$300,MATCH(data!BG$1,Haver_M!$B$1:$BZ$1,0),FALSE),"")</f>
        <v>55.578200000000002</v>
      </c>
      <c r="BH98">
        <f>IF(ISNUMBER(VLOOKUP($A98,Haver_M!$B$1:$BZ$300,MATCH(data!BH$1,Haver_M!$B$1:$BZ$1,0),FALSE)),VLOOKUP($A98,Haver_M!$B$1:$BZ$300,MATCH(data!BH$1,Haver_M!$B$1:$BZ$1,0),FALSE),"")</f>
        <v>61.084499999999998</v>
      </c>
      <c r="BI98">
        <f>IF(ISNUMBER(VLOOKUP($A98,Haver_M!$B$1:$BZ$300,MATCH(data!BI$1,Haver_M!$B$1:$BZ$1,0),FALSE)),VLOOKUP($A98,Haver_M!$B$1:$BZ$300,MATCH(data!BI$1,Haver_M!$B$1:$BZ$1,0),FALSE),"")</f>
        <v>57.825699999999998</v>
      </c>
      <c r="BJ98" t="str">
        <f>IF(ISNUMBER(VLOOKUP($A98,Haver_M!$B$1:$BZ$300,MATCH(data!BJ$1,Haver_M!$B$1:$BZ$1,0),FALSE)),VLOOKUP($A98,Haver_M!$B$1:$BZ$300,MATCH(data!BJ$1,Haver_M!$B$1:$BZ$1,0),FALSE),"")</f>
        <v/>
      </c>
      <c r="BK98">
        <f>IF(ISNUMBER(VLOOKUP($A98,Haver_M!$B$1:$BZ$300,MATCH(data!BK$1,Haver_M!$B$1:$BZ$1,0),FALSE)),VLOOKUP($A98,Haver_M!$B$1:$BZ$300,MATCH(data!BK$1,Haver_M!$B$1:$BZ$1,0),FALSE),"")</f>
        <v>52.816299999999998</v>
      </c>
      <c r="BL98">
        <f>IF(ISNUMBER(VLOOKUP($A98,Haver_M!$B$1:$BZ$300,MATCH(data!BL$1,Haver_M!$B$1:$BZ$1,0),FALSE)),VLOOKUP($A98,Haver_M!$B$1:$BZ$300,MATCH(data!BL$1,Haver_M!$B$1:$BZ$1,0),FALSE),"")</f>
        <v>19325.650000000001</v>
      </c>
      <c r="BM98">
        <f>IF(ISNUMBER(VLOOKUP($A98,Haver_M!$B$1:$BZ$300,MATCH(data!BM$1,Haver_M!$B$1:$BZ$1,0),FALSE)),VLOOKUP($A98,Haver_M!$B$1:$BZ$300,MATCH(data!BM$1,Haver_M!$B$1:$BZ$1,0),FALSE),"")</f>
        <v>105.92562903</v>
      </c>
      <c r="BN98" t="str">
        <f>IF(ISNUMBER(VLOOKUP($A98,Haver_M!$B$1:$BZ$300,MATCH(data!BN$1,Haver_M!$B$1:$BZ$1,0),FALSE)),VLOOKUP($A98,Haver_M!$B$1:$BZ$300,MATCH(data!BN$1,Haver_M!$B$1:$BZ$1,0),FALSE),"")</f>
        <v/>
      </c>
      <c r="BO98" t="str">
        <f>IF(ISNUMBER(VLOOKUP($A98,Haver_M!$B$1:$BZ$300,MATCH(data!BO$1,Haver_M!$B$1:$BZ$1,0),FALSE)),VLOOKUP($A98,Haver_M!$B$1:$BZ$300,MATCH(data!BO$1,Haver_M!$B$1:$BZ$1,0),FALSE),"")</f>
        <v/>
      </c>
      <c r="BP98" t="str">
        <f>IF(ISNUMBER(VLOOKUP($A98,Haver_M!$B$1:$BZ$300,MATCH(data!BP$1,Haver_M!$B$1:$BZ$1,0),FALSE)),VLOOKUP($A98,Haver_M!$B$1:$BZ$300,MATCH(data!BP$1,Haver_M!$B$1:$BZ$1,0),FALSE),"")</f>
        <v/>
      </c>
      <c r="BQ98">
        <f>IF(ISNUMBER(VLOOKUP($A98,Haver_M!$B$1:$BZ$300,MATCH(data!BQ$1,Haver_M!$B$1:$BZ$1,0),FALSE)),VLOOKUP($A98,Haver_M!$B$1:$BZ$300,MATCH(data!BQ$1,Haver_M!$B$1:$BZ$1,0),FALSE),"")</f>
        <v>129.09216497411009</v>
      </c>
      <c r="BR98">
        <f>IF(ISNUMBER(VLOOKUP($A98,Haver_M!$B$1:$BZ$300,MATCH(data!BR$1,Haver_M!$B$1:$BZ$1,0),FALSE)),VLOOKUP($A98,Haver_M!$B$1:$BZ$300,MATCH(data!BR$1,Haver_M!$B$1:$BZ$1,0),FALSE),"")</f>
        <v>197.53595254239008</v>
      </c>
      <c r="BS98">
        <f>IF(ISNUMBER(VLOOKUP($A98,Haver_M!$B$1:$BZ$300,MATCH(data!BS$1,Haver_M!$B$1:$BZ$1,0),FALSE)),VLOOKUP($A98,Haver_M!$B$1:$BZ$300,MATCH(data!BS$1,Haver_M!$B$1:$BZ$1,0),FALSE),"")</f>
        <v>123.1228874786367</v>
      </c>
      <c r="BT98">
        <f>IF(ISNUMBER(VLOOKUP($A98,Haver_M!$B$1:$BZ$300,MATCH(data!BT$1,Haver_M!$B$1:$BZ$1,0),FALSE)),VLOOKUP($A98,Haver_M!$B$1:$BZ$300,MATCH(data!BT$1,Haver_M!$B$1:$BZ$1,0),FALSE),"")</f>
        <v>510.35417984016578</v>
      </c>
      <c r="BU98">
        <f>IF(ISNUMBER(VLOOKUP($A98,Haver_M!$B$1:$BZ$300,MATCH(data!BU$1,Haver_M!$B$1:$BZ$1,0),FALSE)),VLOOKUP($A98,Haver_M!$B$1:$BZ$300,MATCH(data!BU$1,Haver_M!$B$1:$BZ$1,0),FALSE),"")</f>
        <v>14889.1</v>
      </c>
      <c r="BV98">
        <f>IF(ISNUMBER(VLOOKUP($A98,Haver_M!$B$1:$BZ$300,MATCH(data!BV$1,Haver_M!$B$1:$BZ$1,0),FALSE)),VLOOKUP($A98,Haver_M!$B$1:$BZ$300,MATCH(data!BV$1,Haver_M!$B$1:$BZ$1,0),FALSE),"")</f>
        <v>22844.400000000001</v>
      </c>
      <c r="BW98">
        <f>IF(ISNUMBER(VLOOKUP($A98,Haver_M!$B$1:$BZ$300,MATCH(data!BW$1,Haver_M!$B$1:$BZ$1,0),FALSE)),VLOOKUP($A98,Haver_M!$B$1:$BZ$300,MATCH(data!BW$1,Haver_M!$B$1:$BZ$1,0),FALSE),"")</f>
        <v>39.378300000000003</v>
      </c>
      <c r="BX98">
        <f>IF(ISNUMBER(VLOOKUP($A98,Haver_M!$B$1:$BZ$300,MATCH(data!BX$1,Haver_M!$B$1:$BZ$1,0),FALSE)),VLOOKUP($A98,Haver_M!$B$1:$BZ$300,MATCH(data!BX$1,Haver_M!$B$1:$BZ$1,0),FALSE),"")</f>
        <v>21369</v>
      </c>
    </row>
    <row r="99" spans="1:76" x14ac:dyDescent="0.25">
      <c r="A99" s="2">
        <v>39507</v>
      </c>
      <c r="B99" t="str">
        <f>IF(ISNUMBER(VLOOKUP($A99,Haver_Q!$B$1:$L$185,MATCH(data!B$1,Haver_Q!$B$1:$L$1,0),FALSE)),100*(VLOOKUP($A99,Haver_Q!$B$1:$L$185,MATCH(data!B$1,Haver_Q!$B$1:$L$1,0),FALSE)),"")</f>
        <v/>
      </c>
      <c r="C99" t="str">
        <f>IF(ISNUMBER(VLOOKUP($A99,Haver_Q!$B$1:$L$185,MATCH(data!C$1,Haver_Q!$B$1:$L$1,0),FALSE)),100*(VLOOKUP($A99,Haver_Q!$B$1:$L$185,MATCH(data!C$1,Haver_Q!$B$1:$L$1,0),FALSE)),"")</f>
        <v/>
      </c>
      <c r="D99" t="str">
        <f>IF(ISNUMBER(VLOOKUP($A99,Haver_Q!$B$1:$L$185,MATCH(data!D$1,Haver_Q!$B$1:$L$1,0),FALSE)),100*(VLOOKUP($A99,Haver_Q!$B$1:$L$185,MATCH(data!D$1,Haver_Q!$B$1:$L$1,0),FALSE)),"")</f>
        <v/>
      </c>
      <c r="E99" t="str">
        <f>IF(ISNUMBER(VLOOKUP($A99,Haver_Q!$B$1:$L$185,MATCH(data!E$1,Haver_Q!$B$1:$L$1,0),FALSE)),100*(VLOOKUP($A99,Haver_Q!$B$1:$L$185,MATCH(data!E$1,Haver_Q!$B$1:$L$1,0),FALSE)),"")</f>
        <v/>
      </c>
      <c r="F99" t="str">
        <f>IF(ISNUMBER(VLOOKUP($A99,Haver_Q!$B$1:$L$185,MATCH(data!F$1,Haver_Q!$B$1:$L$1,0),FALSE)),100*(VLOOKUP($A99,Haver_Q!$B$1:$L$185,MATCH(data!F$1,Haver_Q!$B$1:$L$1,0),FALSE)),"")</f>
        <v/>
      </c>
      <c r="G99" t="str">
        <f>IF(ISNUMBER(VLOOKUP($A99,Haver_Q!$B$1:$L$185,MATCH(data!G$1,Haver_Q!$B$1:$L$1,0),FALSE)),100*(VLOOKUP($A99,Haver_Q!$B$1:$L$185,MATCH(data!G$1,Haver_Q!$B$1:$L$1,0),FALSE)),"")</f>
        <v/>
      </c>
      <c r="H99" t="str">
        <f>IF(ISNUMBER(VLOOKUP($A99,Haver_Q!$B$1:$L$185,MATCH(data!H$1,Haver_Q!$B$1:$L$1,0),FALSE)),(VLOOKUP($A99,Haver_Q!$B$1:$L$185,MATCH(data!H$1,Haver_Q!$B$1:$L$1,0),FALSE)),"")</f>
        <v/>
      </c>
      <c r="I99" t="str">
        <f>IF(ISNUMBER(VLOOKUP($A99,Haver_Q!$B$1:$L$185,MATCH(data!I$1,Haver_Q!$B$1:$L$1,0),FALSE)),100*(VLOOKUP($A99,Haver_Q!$B$1:$L$185,MATCH(data!I$1,Haver_Q!$B$1:$L$1,0),FALSE)),"")</f>
        <v/>
      </c>
      <c r="J99" s="3">
        <f>IF(ISNUMBER(Bloomberg_m!C115),Bloomberg_m!C115,"")</f>
        <v>6874</v>
      </c>
      <c r="K99" s="3" t="str">
        <f>IF(ISNUMBER(Bloomberg_m!D115),Bloomberg_m!D115,"")</f>
        <v/>
      </c>
      <c r="L99" s="3" t="str">
        <f>IF(ISNUMBER(Bloomberg_m!E115),Bloomberg_m!E115,"")</f>
        <v/>
      </c>
      <c r="M99" s="3" t="str">
        <f>IF(ISNUMBER(Bloomberg_m!F115),Bloomberg_m!F115,"")</f>
        <v/>
      </c>
      <c r="N99">
        <f>IF(ISNUMBER(VLOOKUP($A99,Haver_M!$B$1:$BZ$300,MATCH(data!N$1,Haver_M!$B$1:$BZ$1,0),FALSE)),VLOOKUP($A99,Haver_M!$B$1:$BZ$300,MATCH(data!N$1,Haver_M!$B$1:$BZ$1,0),FALSE),"")</f>
        <v>7.75</v>
      </c>
      <c r="O99">
        <f>IF(ISNUMBER(VLOOKUP($A99,Haver_M!$B$1:$BZ$300,MATCH(data!O$1,Haver_M!$B$1:$BZ$1,0),FALSE)),VLOOKUP($A99,Haver_M!$B$1:$BZ$300,MATCH(data!O$1,Haver_M!$B$1:$BZ$1,0),FALSE),"")</f>
        <v>7.6268000000000002</v>
      </c>
      <c r="P99">
        <f>IF(ISNUMBER(VLOOKUP($A99,Haver_M!$B$1:$BZ$300,MATCH(data!P$1,Haver_M!$B$1:$BZ$1,0),FALSE)),VLOOKUP($A99,Haver_M!$B$1:$BZ$300,MATCH(data!P$1,Haver_M!$B$1:$BZ$1,0),FALSE),"")</f>
        <v>96.619619999999998</v>
      </c>
      <c r="Q99">
        <f>IF(ISNUMBER(VLOOKUP($A99,Haver_M!$B$1:$BZ$300,MATCH(data!Q$1,Haver_M!$B$1:$BZ$1,0),FALSE)),VLOOKUP($A99,Haver_M!$B$1:$BZ$300,MATCH(data!Q$1,Haver_M!$B$1:$BZ$1,0),FALSE),"")</f>
        <v>66.400000000000006</v>
      </c>
      <c r="R99" t="str">
        <f>IF(ISNUMBER(VLOOKUP($A99,Haver_M!$B$1:$BZ$300,MATCH(data!R$1,Haver_M!$B$1:$BZ$1,0),FALSE)),VLOOKUP($A99,Haver_M!$B$1:$BZ$300,MATCH(data!R$1,Haver_M!$B$1:$BZ$1,0),FALSE),"")</f>
        <v/>
      </c>
      <c r="S99">
        <f>IF(ISNUMBER(VLOOKUP($A99,Haver_M!$B$1:$BZ$300,MATCH(data!S$1,Haver_M!$B$1:$BZ$1,0),FALSE)),VLOOKUP($A99,Haver_M!$B$1:$BZ$300,MATCH(data!S$1,Haver_M!$B$1:$BZ$1,0),FALSE),"")</f>
        <v>88.64</v>
      </c>
      <c r="T99">
        <f>IF(ISNUMBER(VLOOKUP($A99,Haver_M!$B$1:$BZ$300,MATCH(data!T$1,Haver_M!$B$1:$BZ$1,0),FALSE)),VLOOKUP($A99,Haver_M!$B$1:$BZ$300,MATCH(data!T$1,Haver_M!$B$1:$BZ$1,0),FALSE),"")</f>
        <v>84.54</v>
      </c>
      <c r="U99">
        <f>IF(ISNUMBER(VLOOKUP($A99,Haver_M!$B$1:$BZ$300,MATCH(data!U$1,Haver_M!$B$1:$BZ$1,0),FALSE)),VLOOKUP($A99,Haver_M!$B$1:$BZ$300,MATCH(data!U$1,Haver_M!$B$1:$BZ$1,0),FALSE),"")</f>
        <v>102.8</v>
      </c>
      <c r="V99">
        <f>IF(ISNUMBER(VLOOKUP($A99,Haver_M!$B$1:$BZ$300,MATCH(data!V$1,Haver_M!$B$1:$BZ$1,0),FALSE)),VLOOKUP($A99,Haver_M!$B$1:$BZ$300,MATCH(data!V$1,Haver_M!$B$1:$BZ$1,0),FALSE),"")</f>
        <v>95.08</v>
      </c>
      <c r="W99" t="str">
        <f>IF(ISNUMBER(VLOOKUP($A99,Haver_M!$B$1:$BZ$300,MATCH(data!W$1,Haver_M!$B$1:$BZ$1,0),FALSE)),VLOOKUP($A99,Haver_M!$B$1:$BZ$300,MATCH(data!W$1,Haver_M!$B$1:$BZ$1,0),FALSE),"")</f>
        <v/>
      </c>
      <c r="X99">
        <f>IF(ISNUMBER(VLOOKUP($A99,Haver_M!$B$1:$BZ$300,MATCH(data!X$1,Haver_M!$B$1:$BZ$1,0),FALSE)),VLOOKUP($A99,Haver_M!$B$1:$BZ$300,MATCH(data!X$1,Haver_M!$B$1:$BZ$1,0),FALSE),"")</f>
        <v>73.31</v>
      </c>
      <c r="Y99">
        <f>IF(ISNUMBER(VLOOKUP($A99,Haver_M!$B$1:$BZ$300,MATCH(data!Y$1,Haver_M!$B$1:$BZ$1,0),FALSE)),VLOOKUP($A99,Haver_M!$B$1:$BZ$300,MATCH(data!Y$1,Haver_M!$B$1:$BZ$1,0),FALSE),"")</f>
        <v>96.71</v>
      </c>
      <c r="Z99">
        <f>IF(ISNUMBER(VLOOKUP($A99,Haver_M!$B$1:$BZ$300,MATCH(data!Z$1,Haver_M!$B$1:$BZ$1,0),FALSE)),VLOOKUP($A99,Haver_M!$B$1:$BZ$300,MATCH(data!Z$1,Haver_M!$B$1:$BZ$1,0),FALSE),"")</f>
        <v>82.6</v>
      </c>
      <c r="AA99">
        <f>IF(ISNUMBER(VLOOKUP($A99,Haver_M!$B$1:$BZ$300,MATCH(data!AA$1,Haver_M!$B$1:$BZ$1,0),FALSE)),VLOOKUP($A99,Haver_M!$B$1:$BZ$300,MATCH(data!AA$1,Haver_M!$B$1:$BZ$1,0),FALSE),"")</f>
        <v>87.355999999999995</v>
      </c>
      <c r="AB99">
        <f>IF(ISNUMBER(VLOOKUP($A99,Haver_M!$B$1:$BZ$300,MATCH(data!AB$1,Haver_M!$B$1:$BZ$1,0),FALSE)),VLOOKUP($A99,Haver_M!$B$1:$BZ$300,MATCH(data!AB$1,Haver_M!$B$1:$BZ$1,0),FALSE),"")</f>
        <v>89.346000000000004</v>
      </c>
      <c r="AC99">
        <f>IF(ISNUMBER(VLOOKUP($A99,Haver_M!$B$1:$BZ$300,MATCH(data!AC$1,Haver_M!$B$1:$BZ$1,0),FALSE)),VLOOKUP($A99,Haver_M!$B$1:$BZ$300,MATCH(data!AC$1,Haver_M!$B$1:$BZ$1,0),FALSE),"")</f>
        <v>69.923000000000002</v>
      </c>
      <c r="AD99">
        <f>IF(ISNUMBER(VLOOKUP($A99,Haver_M!$B$1:$BZ$300,MATCH(data!AD$1,Haver_M!$B$1:$BZ$1,0),FALSE)),VLOOKUP($A99,Haver_M!$B$1:$BZ$300,MATCH(data!AD$1,Haver_M!$B$1:$BZ$1,0),FALSE),"")</f>
        <v>94.972999999999999</v>
      </c>
      <c r="AE99">
        <f>IF(ISNUMBER(VLOOKUP($A99,Haver_M!$B$1:$BZ$300,MATCH(data!AE$1,Haver_M!$B$1:$BZ$1,0),FALSE)),VLOOKUP($A99,Haver_M!$B$1:$BZ$300,MATCH(data!AE$1,Haver_M!$B$1:$BZ$1,0),FALSE),"")</f>
        <v>88.978999999999999</v>
      </c>
      <c r="AF99">
        <f>IF(ISNUMBER(VLOOKUP($A99,Haver_M!$B$1:$BZ$300,MATCH(data!AF$1,Haver_M!$B$1:$BZ$1,0),FALSE)),VLOOKUP($A99,Haver_M!$B$1:$BZ$300,MATCH(data!AF$1,Haver_M!$B$1:$BZ$1,0),FALSE),"")</f>
        <v>74.98</v>
      </c>
      <c r="AG99">
        <f>IF(ISNUMBER(VLOOKUP($A99,Haver_M!$B$1:$BZ$300,MATCH(data!AG$1,Haver_M!$B$1:$BZ$1,0),FALSE)),VLOOKUP($A99,Haver_M!$B$1:$BZ$300,MATCH(data!AG$1,Haver_M!$B$1:$BZ$1,0),FALSE),"")</f>
        <v>76.376000000000005</v>
      </c>
      <c r="AH99">
        <f>IF(ISNUMBER(VLOOKUP($A99,Haver_M!$B$1:$BZ$300,MATCH(data!AH$1,Haver_M!$B$1:$BZ$1,0),FALSE)),VLOOKUP($A99,Haver_M!$B$1:$BZ$300,MATCH(data!AH$1,Haver_M!$B$1:$BZ$1,0),FALSE),"")</f>
        <v>81.054000000000002</v>
      </c>
      <c r="AI99">
        <f>IF(ISNUMBER(VLOOKUP($A99,Haver_M!$B$1:$BZ$300,MATCH(data!AI$1,Haver_M!$B$1:$BZ$1,0),FALSE)),VLOOKUP($A99,Haver_M!$B$1:$BZ$300,MATCH(data!AI$1,Haver_M!$B$1:$BZ$1,0),FALSE),"")</f>
        <v>11548.305981542686</v>
      </c>
      <c r="AJ99">
        <f>IF(ISNUMBER(VLOOKUP($A99,Haver_M!$B$1:$BZ$300,MATCH(data!AJ$1,Haver_M!$B$1:$BZ$1,0),FALSE)),VLOOKUP($A99,Haver_M!$B$1:$BZ$300,MATCH(data!AJ$1,Haver_M!$B$1:$BZ$1,0),FALSE),"")</f>
        <v>16000.23</v>
      </c>
      <c r="AK99">
        <f>IF(ISNUMBER(VLOOKUP($A99,Haver_M!$B$1:$BZ$300,MATCH(data!AK$1,Haver_M!$B$1:$BZ$1,0),FALSE)),VLOOKUP($A99,Haver_M!$B$1:$BZ$300,MATCH(data!AK$1,Haver_M!$B$1:$BZ$1,0),FALSE),"")</f>
        <v>24358.75</v>
      </c>
      <c r="AL99" t="str">
        <f>IF(ISNUMBER(VLOOKUP($A99,Haver_M!$B$1:$BZ$300,MATCH(data!AL$1,Haver_M!$B$1:$BZ$1,0),FALSE)),VLOOKUP($A99,Haver_M!$B$1:$BZ$300,MATCH(data!AL$1,Haver_M!$B$1:$BZ$1,0),FALSE),"")</f>
        <v/>
      </c>
      <c r="AM99" t="str">
        <f>IF(ISNUMBER(VLOOKUP($A99,Haver_M!$B$1:$BZ$300,MATCH(data!AM$1,Haver_M!$B$1:$BZ$1,0),FALSE)),VLOOKUP($A99,Haver_M!$B$1:$BZ$300,MATCH(data!AM$1,Haver_M!$B$1:$BZ$1,0),FALSE),"")</f>
        <v/>
      </c>
      <c r="AN99" t="str">
        <f>IF(ISNUMBER(VLOOKUP($A99,Haver_M!$B$1:$BZ$300,MATCH(data!AN$1,Haver_M!$B$1:$BZ$1,0),FALSE)),VLOOKUP($A99,Haver_M!$B$1:$BZ$300,MATCH(data!AN$1,Haver_M!$B$1:$BZ$1,0),FALSE),"")</f>
        <v/>
      </c>
      <c r="AO99" t="str">
        <f>IF(ISNUMBER(VLOOKUP($A99,Haver_M!$B$1:$BZ$300,MATCH(data!AO$1,Haver_M!$B$1:$BZ$1,0),FALSE)),VLOOKUP($A99,Haver_M!$B$1:$BZ$300,MATCH(data!AO$1,Haver_M!$B$1:$BZ$1,0),FALSE),"")</f>
        <v/>
      </c>
      <c r="AP99">
        <f>IF(ISNUMBER(VLOOKUP($A99,Haver_M!$B$1:$BZ$300,MATCH(data!AP$1,Haver_M!$B$1:$BZ$1,0),FALSE)),VLOOKUP($A99,Haver_M!$B$1:$BZ$300,MATCH(data!AP$1,Haver_M!$B$1:$BZ$1,0),FALSE),"")</f>
        <v>80.611312723414514</v>
      </c>
      <c r="AQ99">
        <f>IF(ISNUMBER(VLOOKUP($A99,Haver_M!$B$1:$BZ$300,MATCH(data!AQ$1,Haver_M!$B$1:$BZ$1,0),FALSE)),VLOOKUP($A99,Haver_M!$B$1:$BZ$300,MATCH(data!AQ$1,Haver_M!$B$1:$BZ$1,0),FALSE),"")</f>
        <v>62.570599999999999</v>
      </c>
      <c r="AR99">
        <f>IF(ISNUMBER(VLOOKUP($A99,Haver_M!$B$1:$BZ$300,MATCH(data!AR$1,Haver_M!$B$1:$BZ$1,0),FALSE)),VLOOKUP($A99,Haver_M!$B$1:$BZ$300,MATCH(data!AR$1,Haver_M!$B$1:$BZ$1,0),FALSE),"")</f>
        <v>59.450800000000001</v>
      </c>
      <c r="AS99">
        <f>IF(ISNUMBER(VLOOKUP($A99,Haver_M!$B$1:$BZ$300,MATCH(data!AS$1,Haver_M!$B$1:$BZ$1,0),FALSE)),VLOOKUP($A99,Haver_M!$B$1:$BZ$300,MATCH(data!AS$1,Haver_M!$B$1:$BZ$1,0),FALSE),"")</f>
        <v>62.731200000000001</v>
      </c>
      <c r="AT99">
        <f>IF(ISNUMBER(VLOOKUP($A99,Haver_M!$B$1:$BZ$300,MATCH(data!AT$1,Haver_M!$B$1:$BZ$1,0),FALSE)),VLOOKUP($A99,Haver_M!$B$1:$BZ$300,MATCH(data!AT$1,Haver_M!$B$1:$BZ$1,0),FALSE),"")</f>
        <v>62.209699999999998</v>
      </c>
      <c r="AU99">
        <f>IF(ISNUMBER(VLOOKUP($A99,Haver_M!$B$1:$BZ$300,MATCH(data!AU$1,Haver_M!$B$1:$BZ$1,0),FALSE)),VLOOKUP($A99,Haver_M!$B$1:$BZ$300,MATCH(data!AU$1,Haver_M!$B$1:$BZ$1,0),FALSE),"")</f>
        <v>68.353700000000003</v>
      </c>
      <c r="AV99">
        <f>IF(ISNUMBER(VLOOKUP($A99,Haver_M!$B$1:$BZ$300,MATCH(data!AV$1,Haver_M!$B$1:$BZ$1,0),FALSE)),VLOOKUP($A99,Haver_M!$B$1:$BZ$300,MATCH(data!AV$1,Haver_M!$B$1:$BZ$1,0),FALSE),"")</f>
        <v>51.902299999999997</v>
      </c>
      <c r="AW99">
        <f>IF(ISNUMBER(VLOOKUP($A99,Haver_M!$B$1:$BZ$300,MATCH(data!AW$1,Haver_M!$B$1:$BZ$1,0),FALSE)),VLOOKUP($A99,Haver_M!$B$1:$BZ$300,MATCH(data!AW$1,Haver_M!$B$1:$BZ$1,0),FALSE),"")</f>
        <v>50.178899999999999</v>
      </c>
      <c r="AX99">
        <f>IF(ISNUMBER(VLOOKUP($A99,Haver_M!$B$1:$BZ$300,MATCH(data!AX$1,Haver_M!$B$1:$BZ$1,0),FALSE)),VLOOKUP($A99,Haver_M!$B$1:$BZ$300,MATCH(data!AX$1,Haver_M!$B$1:$BZ$1,0),FALSE),"")</f>
        <v>55.386099999999999</v>
      </c>
      <c r="AY99">
        <f>IF(ISNUMBER(VLOOKUP($A99,Haver_M!$B$1:$BZ$300,MATCH(data!AY$1,Haver_M!$B$1:$BZ$1,0),FALSE)),VLOOKUP($A99,Haver_M!$B$1:$BZ$300,MATCH(data!AY$1,Haver_M!$B$1:$BZ$1,0),FALSE),"")</f>
        <v>57.522399999999998</v>
      </c>
      <c r="AZ99">
        <f>IF(ISNUMBER(VLOOKUP($A99,Haver_M!$B$1:$BZ$300,MATCH(data!AZ$1,Haver_M!$B$1:$BZ$1,0),FALSE)),VLOOKUP($A99,Haver_M!$B$1:$BZ$300,MATCH(data!AZ$1,Haver_M!$B$1:$BZ$1,0),FALSE),"")</f>
        <v>64.170199999999994</v>
      </c>
      <c r="BA99">
        <f>IF(ISNUMBER(VLOOKUP($A99,Haver_M!$B$1:$BZ$300,MATCH(data!BA$1,Haver_M!$B$1:$BZ$1,0),FALSE)),VLOOKUP($A99,Haver_M!$B$1:$BZ$300,MATCH(data!BA$1,Haver_M!$B$1:$BZ$1,0),FALSE),"")</f>
        <v>55.386099999999999</v>
      </c>
      <c r="BB99">
        <f>IF(ISNUMBER(VLOOKUP($A99,Haver_M!$B$1:$BZ$300,MATCH(data!BB$1,Haver_M!$B$1:$BZ$1,0),FALSE)),VLOOKUP($A99,Haver_M!$B$1:$BZ$300,MATCH(data!BB$1,Haver_M!$B$1:$BZ$1,0),FALSE),"")</f>
        <v>55.672400000000003</v>
      </c>
      <c r="BC99">
        <f>IF(ISNUMBER(VLOOKUP($A99,Haver_M!$B$1:$BZ$300,MATCH(data!BC$1,Haver_M!$B$1:$BZ$1,0),FALSE)),VLOOKUP($A99,Haver_M!$B$1:$BZ$300,MATCH(data!BC$1,Haver_M!$B$1:$BZ$1,0),FALSE),"")</f>
        <v>54.196899999999999</v>
      </c>
      <c r="BD99">
        <f>IF(ISNUMBER(VLOOKUP($A99,Haver_M!$B$1:$BZ$300,MATCH(data!BD$1,Haver_M!$B$1:$BZ$1,0),FALSE)),VLOOKUP($A99,Haver_M!$B$1:$BZ$300,MATCH(data!BD$1,Haver_M!$B$1:$BZ$1,0),FALSE),"")</f>
        <v>50.634500000000003</v>
      </c>
      <c r="BE99">
        <f>IF(ISNUMBER(VLOOKUP($A99,Haver_M!$B$1:$BZ$300,MATCH(data!BE$1,Haver_M!$B$1:$BZ$1,0),FALSE)),VLOOKUP($A99,Haver_M!$B$1:$BZ$300,MATCH(data!BE$1,Haver_M!$B$1:$BZ$1,0),FALSE),"")</f>
        <v>1.3328</v>
      </c>
      <c r="BF99">
        <f>IF(ISNUMBER(VLOOKUP($A99,Haver_M!$B$1:$BZ$300,MATCH(data!BF$1,Haver_M!$B$1:$BZ$1,0),FALSE)),VLOOKUP($A99,Haver_M!$B$1:$BZ$300,MATCH(data!BF$1,Haver_M!$B$1:$BZ$1,0),FALSE),"")</f>
        <v>53.828499999999998</v>
      </c>
      <c r="BG99">
        <f>IF(ISNUMBER(VLOOKUP($A99,Haver_M!$B$1:$BZ$300,MATCH(data!BG$1,Haver_M!$B$1:$BZ$1,0),FALSE)),VLOOKUP($A99,Haver_M!$B$1:$BZ$300,MATCH(data!BG$1,Haver_M!$B$1:$BZ$1,0),FALSE),"")</f>
        <v>54.069299999999998</v>
      </c>
      <c r="BH99">
        <f>IF(ISNUMBER(VLOOKUP($A99,Haver_M!$B$1:$BZ$300,MATCH(data!BH$1,Haver_M!$B$1:$BZ$1,0),FALSE)),VLOOKUP($A99,Haver_M!$B$1:$BZ$300,MATCH(data!BH$1,Haver_M!$B$1:$BZ$1,0),FALSE),"")</f>
        <v>60.351199999999999</v>
      </c>
      <c r="BI99">
        <f>IF(ISNUMBER(VLOOKUP($A99,Haver_M!$B$1:$BZ$300,MATCH(data!BI$1,Haver_M!$B$1:$BZ$1,0),FALSE)),VLOOKUP($A99,Haver_M!$B$1:$BZ$300,MATCH(data!BI$1,Haver_M!$B$1:$BZ$1,0),FALSE),"")</f>
        <v>56.431699999999999</v>
      </c>
      <c r="BJ99" t="str">
        <f>IF(ISNUMBER(VLOOKUP($A99,Haver_M!$B$1:$BZ$300,MATCH(data!BJ$1,Haver_M!$B$1:$BZ$1,0),FALSE)),VLOOKUP($A99,Haver_M!$B$1:$BZ$300,MATCH(data!BJ$1,Haver_M!$B$1:$BZ$1,0),FALSE),"")</f>
        <v/>
      </c>
      <c r="BK99">
        <f>IF(ISNUMBER(VLOOKUP($A99,Haver_M!$B$1:$BZ$300,MATCH(data!BK$1,Haver_M!$B$1:$BZ$1,0),FALSE)),VLOOKUP($A99,Haver_M!$B$1:$BZ$300,MATCH(data!BK$1,Haver_M!$B$1:$BZ$1,0),FALSE),"")</f>
        <v>51.797899999999998</v>
      </c>
      <c r="BL99">
        <f>IF(ISNUMBER(VLOOKUP($A99,Haver_M!$B$1:$BZ$300,MATCH(data!BL$1,Haver_M!$B$1:$BZ$1,0),FALSE)),VLOOKUP($A99,Haver_M!$B$1:$BZ$300,MATCH(data!BL$1,Haver_M!$B$1:$BZ$1,0),FALSE),"")</f>
        <v>17727.54</v>
      </c>
      <c r="BM99">
        <f>IF(ISNUMBER(VLOOKUP($A99,Haver_M!$B$1:$BZ$300,MATCH(data!BM$1,Haver_M!$B$1:$BZ$1,0),FALSE)),VLOOKUP($A99,Haver_M!$B$1:$BZ$300,MATCH(data!BM$1,Haver_M!$B$1:$BZ$1,0),FALSE),"")</f>
        <v>105.6217583</v>
      </c>
      <c r="BN99" t="str">
        <f>IF(ISNUMBER(VLOOKUP($A99,Haver_M!$B$1:$BZ$300,MATCH(data!BN$1,Haver_M!$B$1:$BZ$1,0),FALSE)),VLOOKUP($A99,Haver_M!$B$1:$BZ$300,MATCH(data!BN$1,Haver_M!$B$1:$BZ$1,0),FALSE),"")</f>
        <v/>
      </c>
      <c r="BO99" t="str">
        <f>IF(ISNUMBER(VLOOKUP($A99,Haver_M!$B$1:$BZ$300,MATCH(data!BO$1,Haver_M!$B$1:$BZ$1,0),FALSE)),VLOOKUP($A99,Haver_M!$B$1:$BZ$300,MATCH(data!BO$1,Haver_M!$B$1:$BZ$1,0),FALSE),"")</f>
        <v/>
      </c>
      <c r="BP99" t="str">
        <f>IF(ISNUMBER(VLOOKUP($A99,Haver_M!$B$1:$BZ$300,MATCH(data!BP$1,Haver_M!$B$1:$BZ$1,0),FALSE)),VLOOKUP($A99,Haver_M!$B$1:$BZ$300,MATCH(data!BP$1,Haver_M!$B$1:$BZ$1,0),FALSE),"")</f>
        <v/>
      </c>
      <c r="BQ99">
        <f>IF(ISNUMBER(VLOOKUP($A99,Haver_M!$B$1:$BZ$300,MATCH(data!BQ$1,Haver_M!$B$1:$BZ$1,0),FALSE)),VLOOKUP($A99,Haver_M!$B$1:$BZ$300,MATCH(data!BQ$1,Haver_M!$B$1:$BZ$1,0),FALSE),"")</f>
        <v>131.3133882540794</v>
      </c>
      <c r="BR99">
        <f>IF(ISNUMBER(VLOOKUP($A99,Haver_M!$B$1:$BZ$300,MATCH(data!BR$1,Haver_M!$B$1:$BZ$1,0),FALSE)),VLOOKUP($A99,Haver_M!$B$1:$BZ$300,MATCH(data!BR$1,Haver_M!$B$1:$BZ$1,0),FALSE),"")</f>
        <v>204.43185739075244</v>
      </c>
      <c r="BS99">
        <f>IF(ISNUMBER(VLOOKUP($A99,Haver_M!$B$1:$BZ$300,MATCH(data!BS$1,Haver_M!$B$1:$BZ$1,0),FALSE)),VLOOKUP($A99,Haver_M!$B$1:$BZ$300,MATCH(data!BS$1,Haver_M!$B$1:$BZ$1,0),FALSE),"")</f>
        <v>127.2295917210879</v>
      </c>
      <c r="BT99">
        <f>IF(ISNUMBER(VLOOKUP($A99,Haver_M!$B$1:$BZ$300,MATCH(data!BT$1,Haver_M!$B$1:$BZ$1,0),FALSE)),VLOOKUP($A99,Haver_M!$B$1:$BZ$300,MATCH(data!BT$1,Haver_M!$B$1:$BZ$1,0),FALSE),"")</f>
        <v>524.86796606028861</v>
      </c>
      <c r="BU99">
        <f>IF(ISNUMBER(VLOOKUP($A99,Haver_M!$B$1:$BZ$300,MATCH(data!BU$1,Haver_M!$B$1:$BZ$1,0),FALSE)),VLOOKUP($A99,Haver_M!$B$1:$BZ$300,MATCH(data!BU$1,Haver_M!$B$1:$BZ$1,0),FALSE),"")</f>
        <v>15116.2</v>
      </c>
      <c r="BV99">
        <f>IF(ISNUMBER(VLOOKUP($A99,Haver_M!$B$1:$BZ$300,MATCH(data!BV$1,Haver_M!$B$1:$BZ$1,0),FALSE)),VLOOKUP($A99,Haver_M!$B$1:$BZ$300,MATCH(data!BV$1,Haver_M!$B$1:$BZ$1,0),FALSE),"")</f>
        <v>20804.400000000001</v>
      </c>
      <c r="BW99">
        <f>IF(ISNUMBER(VLOOKUP($A99,Haver_M!$B$1:$BZ$300,MATCH(data!BW$1,Haver_M!$B$1:$BZ$1,0),FALSE)),VLOOKUP($A99,Haver_M!$B$1:$BZ$300,MATCH(data!BW$1,Haver_M!$B$1:$BZ$1,0),FALSE),"")</f>
        <v>39.7057</v>
      </c>
      <c r="BX99">
        <f>IF(ISNUMBER(VLOOKUP($A99,Haver_M!$B$1:$BZ$300,MATCH(data!BX$1,Haver_M!$B$1:$BZ$1,0),FALSE)),VLOOKUP($A99,Haver_M!$B$1:$BZ$300,MATCH(data!BX$1,Haver_M!$B$1:$BZ$1,0),FALSE),"")</f>
        <v>21383</v>
      </c>
    </row>
    <row r="100" spans="1:76" x14ac:dyDescent="0.25">
      <c r="A100" s="2">
        <v>39538</v>
      </c>
      <c r="B100">
        <f>IF(ISNUMBER(VLOOKUP($A100,Haver_Q!$B$1:$L$185,MATCH(data!B$1,Haver_Q!$B$1:$L$1,0),FALSE)),100*(VLOOKUP($A100,Haver_Q!$B$1:$L$185,MATCH(data!B$1,Haver_Q!$B$1:$L$1,0),FALSE)),"")</f>
        <v>2.2542224456230997</v>
      </c>
      <c r="C100">
        <f>IF(ISNUMBER(VLOOKUP($A100,Haver_Q!$B$1:$L$185,MATCH(data!C$1,Haver_Q!$B$1:$L$1,0),FALSE)),100*(VLOOKUP($A100,Haver_Q!$B$1:$L$185,MATCH(data!C$1,Haver_Q!$B$1:$L$1,0),FALSE)),"")</f>
        <v>11.424814698953089</v>
      </c>
      <c r="D100">
        <f>IF(ISNUMBER(VLOOKUP($A100,Haver_Q!$B$1:$L$185,MATCH(data!D$1,Haver_Q!$B$1:$L$1,0),FALSE)),100*(VLOOKUP($A100,Haver_Q!$B$1:$L$185,MATCH(data!D$1,Haver_Q!$B$1:$L$1,0),FALSE)),"")</f>
        <v>178.02599887478948</v>
      </c>
      <c r="E100">
        <f>IF(ISNUMBER(VLOOKUP($A100,Haver_Q!$B$1:$L$185,MATCH(data!E$1,Haver_Q!$B$1:$L$1,0),FALSE)),100*(VLOOKUP($A100,Haver_Q!$B$1:$L$185,MATCH(data!E$1,Haver_Q!$B$1:$L$1,0),FALSE)),"")</f>
        <v>19.629527798819126</v>
      </c>
      <c r="F100">
        <f>IF(ISNUMBER(VLOOKUP($A100,Haver_Q!$B$1:$L$185,MATCH(data!F$1,Haver_Q!$B$1:$L$1,0),FALSE)),100*(VLOOKUP($A100,Haver_Q!$B$1:$L$185,MATCH(data!F$1,Haver_Q!$B$1:$L$1,0),FALSE)),"")</f>
        <v>14.151740341911934</v>
      </c>
      <c r="G100">
        <f>IF(ISNUMBER(VLOOKUP($A100,Haver_Q!$B$1:$L$185,MATCH(data!G$1,Haver_Q!$B$1:$L$1,0),FALSE)),100*(VLOOKUP($A100,Haver_Q!$B$1:$L$185,MATCH(data!G$1,Haver_Q!$B$1:$L$1,0),FALSE)),"")</f>
        <v>82.690422856244055</v>
      </c>
      <c r="H100">
        <f>IF(ISNUMBER(VLOOKUP($A100,Haver_Q!$B$1:$L$185,MATCH(data!H$1,Haver_Q!$B$1:$L$1,0),FALSE)),(VLOOKUP($A100,Haver_Q!$B$1:$L$185,MATCH(data!H$1,Haver_Q!$B$1:$L$1,0),FALSE)),"")</f>
        <v>3.3572284817453424</v>
      </c>
      <c r="I100">
        <f>IF(ISNUMBER(VLOOKUP($A100,Haver_Q!$B$1:$L$185,MATCH(data!I$1,Haver_Q!$B$1:$L$1,0),FALSE)),100*(VLOOKUP($A100,Haver_Q!$B$1:$L$185,MATCH(data!I$1,Haver_Q!$B$1:$L$1,0),FALSE)),"")</f>
        <v>8.8254414242445058</v>
      </c>
      <c r="J100" s="3">
        <f>IF(ISNUMBER(Bloomberg_m!C116),Bloomberg_m!C116,"")</f>
        <v>8063</v>
      </c>
      <c r="K100" s="3" t="str">
        <f>IF(ISNUMBER(Bloomberg_m!D116),Bloomberg_m!D116,"")</f>
        <v/>
      </c>
      <c r="L100" s="3" t="str">
        <f>IF(ISNUMBER(Bloomberg_m!E116),Bloomberg_m!E116,"")</f>
        <v/>
      </c>
      <c r="M100" s="3" t="str">
        <f>IF(ISNUMBER(Bloomberg_m!F116),Bloomberg_m!F116,"")</f>
        <v/>
      </c>
      <c r="N100">
        <f>IF(ISNUMBER(VLOOKUP($A100,Haver_M!$B$1:$BZ$300,MATCH(data!N$1,Haver_M!$B$1:$BZ$1,0),FALSE)),VLOOKUP($A100,Haver_M!$B$1:$BZ$300,MATCH(data!N$1,Haver_M!$B$1:$BZ$1,0),FALSE),"")</f>
        <v>7.75</v>
      </c>
      <c r="O100">
        <f>IF(ISNUMBER(VLOOKUP($A100,Haver_M!$B$1:$BZ$300,MATCH(data!O$1,Haver_M!$B$1:$BZ$1,0),FALSE)),VLOOKUP($A100,Haver_M!$B$1:$BZ$300,MATCH(data!O$1,Haver_M!$B$1:$BZ$1,0),FALSE),"")</f>
        <v>7.6367000000000003</v>
      </c>
      <c r="P100">
        <f>IF(ISNUMBER(VLOOKUP($A100,Haver_M!$B$1:$BZ$300,MATCH(data!P$1,Haver_M!$B$1:$BZ$1,0),FALSE)),VLOOKUP($A100,Haver_M!$B$1:$BZ$300,MATCH(data!P$1,Haver_M!$B$1:$BZ$1,0),FALSE),"")</f>
        <v>93.897419999999997</v>
      </c>
      <c r="Q100">
        <f>IF(ISNUMBER(VLOOKUP($A100,Haver_M!$B$1:$BZ$300,MATCH(data!Q$1,Haver_M!$B$1:$BZ$1,0),FALSE)),VLOOKUP($A100,Haver_M!$B$1:$BZ$300,MATCH(data!Q$1,Haver_M!$B$1:$BZ$1,0),FALSE),"")</f>
        <v>67.400000000000006</v>
      </c>
      <c r="R100" t="str">
        <f>IF(ISNUMBER(VLOOKUP($A100,Haver_M!$B$1:$BZ$300,MATCH(data!R$1,Haver_M!$B$1:$BZ$1,0),FALSE)),VLOOKUP($A100,Haver_M!$B$1:$BZ$300,MATCH(data!R$1,Haver_M!$B$1:$BZ$1,0),FALSE),"")</f>
        <v/>
      </c>
      <c r="S100">
        <f>IF(ISNUMBER(VLOOKUP($A100,Haver_M!$B$1:$BZ$300,MATCH(data!S$1,Haver_M!$B$1:$BZ$1,0),FALSE)),VLOOKUP($A100,Haver_M!$B$1:$BZ$300,MATCH(data!S$1,Haver_M!$B$1:$BZ$1,0),FALSE),"")</f>
        <v>89.61</v>
      </c>
      <c r="T100">
        <f>IF(ISNUMBER(VLOOKUP($A100,Haver_M!$B$1:$BZ$300,MATCH(data!T$1,Haver_M!$B$1:$BZ$1,0),FALSE)),VLOOKUP($A100,Haver_M!$B$1:$BZ$300,MATCH(data!T$1,Haver_M!$B$1:$BZ$1,0),FALSE),"")</f>
        <v>84.54</v>
      </c>
      <c r="U100">
        <f>IF(ISNUMBER(VLOOKUP($A100,Haver_M!$B$1:$BZ$300,MATCH(data!U$1,Haver_M!$B$1:$BZ$1,0),FALSE)),VLOOKUP($A100,Haver_M!$B$1:$BZ$300,MATCH(data!U$1,Haver_M!$B$1:$BZ$1,0),FALSE),"")</f>
        <v>105.45</v>
      </c>
      <c r="V100">
        <f>IF(ISNUMBER(VLOOKUP($A100,Haver_M!$B$1:$BZ$300,MATCH(data!V$1,Haver_M!$B$1:$BZ$1,0),FALSE)),VLOOKUP($A100,Haver_M!$B$1:$BZ$300,MATCH(data!V$1,Haver_M!$B$1:$BZ$1,0),FALSE),"")</f>
        <v>93.84</v>
      </c>
      <c r="W100" t="str">
        <f>IF(ISNUMBER(VLOOKUP($A100,Haver_M!$B$1:$BZ$300,MATCH(data!W$1,Haver_M!$B$1:$BZ$1,0),FALSE)),VLOOKUP($A100,Haver_M!$B$1:$BZ$300,MATCH(data!W$1,Haver_M!$B$1:$BZ$1,0),FALSE),"")</f>
        <v/>
      </c>
      <c r="X100">
        <f>IF(ISNUMBER(VLOOKUP($A100,Haver_M!$B$1:$BZ$300,MATCH(data!X$1,Haver_M!$B$1:$BZ$1,0),FALSE)),VLOOKUP($A100,Haver_M!$B$1:$BZ$300,MATCH(data!X$1,Haver_M!$B$1:$BZ$1,0),FALSE),"")</f>
        <v>70.290000000000006</v>
      </c>
      <c r="Y100">
        <f>IF(ISNUMBER(VLOOKUP($A100,Haver_M!$B$1:$BZ$300,MATCH(data!Y$1,Haver_M!$B$1:$BZ$1,0),FALSE)),VLOOKUP($A100,Haver_M!$B$1:$BZ$300,MATCH(data!Y$1,Haver_M!$B$1:$BZ$1,0),FALSE),"")</f>
        <v>99.02</v>
      </c>
      <c r="Z100">
        <f>IF(ISNUMBER(VLOOKUP($A100,Haver_M!$B$1:$BZ$300,MATCH(data!Z$1,Haver_M!$B$1:$BZ$1,0),FALSE)),VLOOKUP($A100,Haver_M!$B$1:$BZ$300,MATCH(data!Z$1,Haver_M!$B$1:$BZ$1,0),FALSE),"")</f>
        <v>83.1</v>
      </c>
      <c r="AA100">
        <f>IF(ISNUMBER(VLOOKUP($A100,Haver_M!$B$1:$BZ$300,MATCH(data!AA$1,Haver_M!$B$1:$BZ$1,0),FALSE)),VLOOKUP($A100,Haver_M!$B$1:$BZ$300,MATCH(data!AA$1,Haver_M!$B$1:$BZ$1,0),FALSE),"")</f>
        <v>89.802000000000007</v>
      </c>
      <c r="AB100">
        <f>IF(ISNUMBER(VLOOKUP($A100,Haver_M!$B$1:$BZ$300,MATCH(data!AB$1,Haver_M!$B$1:$BZ$1,0),FALSE)),VLOOKUP($A100,Haver_M!$B$1:$BZ$300,MATCH(data!AB$1,Haver_M!$B$1:$BZ$1,0),FALSE),"")</f>
        <v>89.308999999999997</v>
      </c>
      <c r="AC100">
        <f>IF(ISNUMBER(VLOOKUP($A100,Haver_M!$B$1:$BZ$300,MATCH(data!AC$1,Haver_M!$B$1:$BZ$1,0),FALSE)),VLOOKUP($A100,Haver_M!$B$1:$BZ$300,MATCH(data!AC$1,Haver_M!$B$1:$BZ$1,0),FALSE),"")</f>
        <v>67.540000000000006</v>
      </c>
      <c r="AD100">
        <f>IF(ISNUMBER(VLOOKUP($A100,Haver_M!$B$1:$BZ$300,MATCH(data!AD$1,Haver_M!$B$1:$BZ$1,0),FALSE)),VLOOKUP($A100,Haver_M!$B$1:$BZ$300,MATCH(data!AD$1,Haver_M!$B$1:$BZ$1,0),FALSE),"")</f>
        <v>92.429000000000002</v>
      </c>
      <c r="AE100">
        <f>IF(ISNUMBER(VLOOKUP($A100,Haver_M!$B$1:$BZ$300,MATCH(data!AE$1,Haver_M!$B$1:$BZ$1,0),FALSE)),VLOOKUP($A100,Haver_M!$B$1:$BZ$300,MATCH(data!AE$1,Haver_M!$B$1:$BZ$1,0),FALSE),"")</f>
        <v>75.694000000000003</v>
      </c>
      <c r="AF100">
        <f>IF(ISNUMBER(VLOOKUP($A100,Haver_M!$B$1:$BZ$300,MATCH(data!AF$1,Haver_M!$B$1:$BZ$1,0),FALSE)),VLOOKUP($A100,Haver_M!$B$1:$BZ$300,MATCH(data!AF$1,Haver_M!$B$1:$BZ$1,0),FALSE),"")</f>
        <v>76.17</v>
      </c>
      <c r="AG100">
        <f>IF(ISNUMBER(VLOOKUP($A100,Haver_M!$B$1:$BZ$300,MATCH(data!AG$1,Haver_M!$B$1:$BZ$1,0),FALSE)),VLOOKUP($A100,Haver_M!$B$1:$BZ$300,MATCH(data!AG$1,Haver_M!$B$1:$BZ$1,0),FALSE),"")</f>
        <v>77.222999999999999</v>
      </c>
      <c r="AH100">
        <f>IF(ISNUMBER(VLOOKUP($A100,Haver_M!$B$1:$BZ$300,MATCH(data!AH$1,Haver_M!$B$1:$BZ$1,0),FALSE)),VLOOKUP($A100,Haver_M!$B$1:$BZ$300,MATCH(data!AH$1,Haver_M!$B$1:$BZ$1,0),FALSE),"")</f>
        <v>80.406999999999996</v>
      </c>
      <c r="AI100">
        <f>IF(ISNUMBER(VLOOKUP($A100,Haver_M!$B$1:$BZ$300,MATCH(data!AI$1,Haver_M!$B$1:$BZ$1,0),FALSE)),VLOOKUP($A100,Haver_M!$B$1:$BZ$300,MATCH(data!AI$1,Haver_M!$B$1:$BZ$1,0),FALSE),"")</f>
        <v>10941.80047980571</v>
      </c>
      <c r="AJ100">
        <f>IF(ISNUMBER(VLOOKUP($A100,Haver_M!$B$1:$BZ$300,MATCH(data!AJ$1,Haver_M!$B$1:$BZ$1,0),FALSE)),VLOOKUP($A100,Haver_M!$B$1:$BZ$300,MATCH(data!AJ$1,Haver_M!$B$1:$BZ$1,0),FALSE),"")</f>
        <v>14645.58</v>
      </c>
      <c r="AK100">
        <f>IF(ISNUMBER(VLOOKUP($A100,Haver_M!$B$1:$BZ$300,MATCH(data!AK$1,Haver_M!$B$1:$BZ$1,0),FALSE)),VLOOKUP($A100,Haver_M!$B$1:$BZ$300,MATCH(data!AK$1,Haver_M!$B$1:$BZ$1,0),FALSE),"")</f>
        <v>24425.07</v>
      </c>
      <c r="AL100" t="str">
        <f>IF(ISNUMBER(VLOOKUP($A100,Haver_M!$B$1:$BZ$300,MATCH(data!AL$1,Haver_M!$B$1:$BZ$1,0),FALSE)),VLOOKUP($A100,Haver_M!$B$1:$BZ$300,MATCH(data!AL$1,Haver_M!$B$1:$BZ$1,0),FALSE),"")</f>
        <v/>
      </c>
      <c r="AM100" t="str">
        <f>IF(ISNUMBER(VLOOKUP($A100,Haver_M!$B$1:$BZ$300,MATCH(data!AM$1,Haver_M!$B$1:$BZ$1,0),FALSE)),VLOOKUP($A100,Haver_M!$B$1:$BZ$300,MATCH(data!AM$1,Haver_M!$B$1:$BZ$1,0),FALSE),"")</f>
        <v/>
      </c>
      <c r="AN100" t="str">
        <f>IF(ISNUMBER(VLOOKUP($A100,Haver_M!$B$1:$BZ$300,MATCH(data!AN$1,Haver_M!$B$1:$BZ$1,0),FALSE)),VLOOKUP($A100,Haver_M!$B$1:$BZ$300,MATCH(data!AN$1,Haver_M!$B$1:$BZ$1,0),FALSE),"")</f>
        <v/>
      </c>
      <c r="AO100" t="str">
        <f>IF(ISNUMBER(VLOOKUP($A100,Haver_M!$B$1:$BZ$300,MATCH(data!AO$1,Haver_M!$B$1:$BZ$1,0),FALSE)),VLOOKUP($A100,Haver_M!$B$1:$BZ$300,MATCH(data!AO$1,Haver_M!$B$1:$BZ$1,0),FALSE),"")</f>
        <v/>
      </c>
      <c r="AP100">
        <f>IF(ISNUMBER(VLOOKUP($A100,Haver_M!$B$1:$BZ$300,MATCH(data!AP$1,Haver_M!$B$1:$BZ$1,0),FALSE)),VLOOKUP($A100,Haver_M!$B$1:$BZ$300,MATCH(data!AP$1,Haver_M!$B$1:$BZ$1,0),FALSE),"")</f>
        <v>171.06266492550054</v>
      </c>
      <c r="AQ100">
        <f>IF(ISNUMBER(VLOOKUP($A100,Haver_M!$B$1:$BZ$300,MATCH(data!AQ$1,Haver_M!$B$1:$BZ$1,0),FALSE)),VLOOKUP($A100,Haver_M!$B$1:$BZ$300,MATCH(data!AQ$1,Haver_M!$B$1:$BZ$1,0),FALSE),"")</f>
        <v>62.837200000000003</v>
      </c>
      <c r="AR100">
        <f>IF(ISNUMBER(VLOOKUP($A100,Haver_M!$B$1:$BZ$300,MATCH(data!AR$1,Haver_M!$B$1:$BZ$1,0),FALSE)),VLOOKUP($A100,Haver_M!$B$1:$BZ$300,MATCH(data!AR$1,Haver_M!$B$1:$BZ$1,0),FALSE),"")</f>
        <v>57.493000000000002</v>
      </c>
      <c r="AS100">
        <f>IF(ISNUMBER(VLOOKUP($A100,Haver_M!$B$1:$BZ$300,MATCH(data!AS$1,Haver_M!$B$1:$BZ$1,0),FALSE)),VLOOKUP($A100,Haver_M!$B$1:$BZ$300,MATCH(data!AS$1,Haver_M!$B$1:$BZ$1,0),FALSE),"")</f>
        <v>63.960500000000003</v>
      </c>
      <c r="AT100">
        <f>IF(ISNUMBER(VLOOKUP($A100,Haver_M!$B$1:$BZ$300,MATCH(data!AT$1,Haver_M!$B$1:$BZ$1,0),FALSE)),VLOOKUP($A100,Haver_M!$B$1:$BZ$300,MATCH(data!AT$1,Haver_M!$B$1:$BZ$1,0),FALSE),"")</f>
        <v>60.312199999999997</v>
      </c>
      <c r="AU100">
        <f>IF(ISNUMBER(VLOOKUP($A100,Haver_M!$B$1:$BZ$300,MATCH(data!AU$1,Haver_M!$B$1:$BZ$1,0),FALSE)),VLOOKUP($A100,Haver_M!$B$1:$BZ$300,MATCH(data!AU$1,Haver_M!$B$1:$BZ$1,0),FALSE),"")</f>
        <v>64.021100000000004</v>
      </c>
      <c r="AV100">
        <f>IF(ISNUMBER(VLOOKUP($A100,Haver_M!$B$1:$BZ$300,MATCH(data!AV$1,Haver_M!$B$1:$BZ$1,0),FALSE)),VLOOKUP($A100,Haver_M!$B$1:$BZ$300,MATCH(data!AV$1,Haver_M!$B$1:$BZ$1,0),FALSE),"")</f>
        <v>51.544899999999998</v>
      </c>
      <c r="AW100">
        <f>IF(ISNUMBER(VLOOKUP($A100,Haver_M!$B$1:$BZ$300,MATCH(data!AW$1,Haver_M!$B$1:$BZ$1,0),FALSE)),VLOOKUP($A100,Haver_M!$B$1:$BZ$300,MATCH(data!AW$1,Haver_M!$B$1:$BZ$1,0),FALSE),"")</f>
        <v>48.934199999999997</v>
      </c>
      <c r="AX100">
        <f>IF(ISNUMBER(VLOOKUP($A100,Haver_M!$B$1:$BZ$300,MATCH(data!AX$1,Haver_M!$B$1:$BZ$1,0),FALSE)),VLOOKUP($A100,Haver_M!$B$1:$BZ$300,MATCH(data!AX$1,Haver_M!$B$1:$BZ$1,0),FALSE),"")</f>
        <v>52.398099999999999</v>
      </c>
      <c r="AY100">
        <f>IF(ISNUMBER(VLOOKUP($A100,Haver_M!$B$1:$BZ$300,MATCH(data!AY$1,Haver_M!$B$1:$BZ$1,0),FALSE)),VLOOKUP($A100,Haver_M!$B$1:$BZ$300,MATCH(data!AY$1,Haver_M!$B$1:$BZ$1,0),FALSE),"")</f>
        <v>53.777700000000003</v>
      </c>
      <c r="AZ100">
        <f>IF(ISNUMBER(VLOOKUP($A100,Haver_M!$B$1:$BZ$300,MATCH(data!AZ$1,Haver_M!$B$1:$BZ$1,0),FALSE)),VLOOKUP($A100,Haver_M!$B$1:$BZ$300,MATCH(data!AZ$1,Haver_M!$B$1:$BZ$1,0),FALSE),"")</f>
        <v>60.442999999999998</v>
      </c>
      <c r="BA100">
        <f>IF(ISNUMBER(VLOOKUP($A100,Haver_M!$B$1:$BZ$300,MATCH(data!BA$1,Haver_M!$B$1:$BZ$1,0),FALSE)),VLOOKUP($A100,Haver_M!$B$1:$BZ$300,MATCH(data!BA$1,Haver_M!$B$1:$BZ$1,0),FALSE),"")</f>
        <v>52.398099999999999</v>
      </c>
      <c r="BB100">
        <f>IF(ISNUMBER(VLOOKUP($A100,Haver_M!$B$1:$BZ$300,MATCH(data!BB$1,Haver_M!$B$1:$BZ$1,0),FALSE)),VLOOKUP($A100,Haver_M!$B$1:$BZ$300,MATCH(data!BB$1,Haver_M!$B$1:$BZ$1,0),FALSE),"")</f>
        <v>53.009399999999999</v>
      </c>
      <c r="BC100">
        <f>IF(ISNUMBER(VLOOKUP($A100,Haver_M!$B$1:$BZ$300,MATCH(data!BC$1,Haver_M!$B$1:$BZ$1,0),FALSE)),VLOOKUP($A100,Haver_M!$B$1:$BZ$300,MATCH(data!BC$1,Haver_M!$B$1:$BZ$1,0),FALSE),"")</f>
        <v>51.731400000000001</v>
      </c>
      <c r="BD100">
        <f>IF(ISNUMBER(VLOOKUP($A100,Haver_M!$B$1:$BZ$300,MATCH(data!BD$1,Haver_M!$B$1:$BZ$1,0),FALSE)),VLOOKUP($A100,Haver_M!$B$1:$BZ$300,MATCH(data!BD$1,Haver_M!$B$1:$BZ$1,0),FALSE),"")</f>
        <v>50.125399999999999</v>
      </c>
      <c r="BE100">
        <f>IF(ISNUMBER(VLOOKUP($A100,Haver_M!$B$1:$BZ$300,MATCH(data!BE$1,Haver_M!$B$1:$BZ$1,0),FALSE)),VLOOKUP($A100,Haver_M!$B$1:$BZ$300,MATCH(data!BE$1,Haver_M!$B$1:$BZ$1,0),FALSE),"")</f>
        <v>1.2788999999999999</v>
      </c>
      <c r="BF100">
        <f>IF(ISNUMBER(VLOOKUP($A100,Haver_M!$B$1:$BZ$300,MATCH(data!BF$1,Haver_M!$B$1:$BZ$1,0),FALSE)),VLOOKUP($A100,Haver_M!$B$1:$BZ$300,MATCH(data!BF$1,Haver_M!$B$1:$BZ$1,0),FALSE),"")</f>
        <v>52.994799999999998</v>
      </c>
      <c r="BG100">
        <f>IF(ISNUMBER(VLOOKUP($A100,Haver_M!$B$1:$BZ$300,MATCH(data!BG$1,Haver_M!$B$1:$BZ$1,0),FALSE)),VLOOKUP($A100,Haver_M!$B$1:$BZ$300,MATCH(data!BG$1,Haver_M!$B$1:$BZ$1,0),FALSE),"")</f>
        <v>53.932499999999997</v>
      </c>
      <c r="BH100">
        <f>IF(ISNUMBER(VLOOKUP($A100,Haver_M!$B$1:$BZ$300,MATCH(data!BH$1,Haver_M!$B$1:$BZ$1,0),FALSE)),VLOOKUP($A100,Haver_M!$B$1:$BZ$300,MATCH(data!BH$1,Haver_M!$B$1:$BZ$1,0),FALSE),"")</f>
        <v>59.049599999999998</v>
      </c>
      <c r="BI100">
        <f>IF(ISNUMBER(VLOOKUP($A100,Haver_M!$B$1:$BZ$300,MATCH(data!BI$1,Haver_M!$B$1:$BZ$1,0),FALSE)),VLOOKUP($A100,Haver_M!$B$1:$BZ$300,MATCH(data!BI$1,Haver_M!$B$1:$BZ$1,0),FALSE),"")</f>
        <v>54.962400000000002</v>
      </c>
      <c r="BJ100" t="str">
        <f>IF(ISNUMBER(VLOOKUP($A100,Haver_M!$B$1:$BZ$300,MATCH(data!BJ$1,Haver_M!$B$1:$BZ$1,0),FALSE)),VLOOKUP($A100,Haver_M!$B$1:$BZ$300,MATCH(data!BJ$1,Haver_M!$B$1:$BZ$1,0),FALSE),"")</f>
        <v/>
      </c>
      <c r="BK100">
        <f>IF(ISNUMBER(VLOOKUP($A100,Haver_M!$B$1:$BZ$300,MATCH(data!BK$1,Haver_M!$B$1:$BZ$1,0),FALSE)),VLOOKUP($A100,Haver_M!$B$1:$BZ$300,MATCH(data!BK$1,Haver_M!$B$1:$BZ$1,0),FALSE),"")</f>
        <v>51.135599999999997</v>
      </c>
      <c r="BL100">
        <f>IF(ISNUMBER(VLOOKUP($A100,Haver_M!$B$1:$BZ$300,MATCH(data!BL$1,Haver_M!$B$1:$BZ$1,0),FALSE)),VLOOKUP($A100,Haver_M!$B$1:$BZ$300,MATCH(data!BL$1,Haver_M!$B$1:$BZ$1,0),FALSE),"")</f>
        <v>15838.38</v>
      </c>
      <c r="BM100">
        <f>IF(ISNUMBER(VLOOKUP($A100,Haver_M!$B$1:$BZ$300,MATCH(data!BM$1,Haver_M!$B$1:$BZ$1,0),FALSE)),VLOOKUP($A100,Haver_M!$B$1:$BZ$300,MATCH(data!BM$1,Haver_M!$B$1:$BZ$1,0),FALSE),"")</f>
        <v>104.60604077000001</v>
      </c>
      <c r="BN100">
        <f>IF(ISNUMBER(VLOOKUP($A100,Haver_M!$B$1:$BZ$300,MATCH(data!BN$1,Haver_M!$B$1:$BZ$1,0),FALSE)),VLOOKUP($A100,Haver_M!$B$1:$BZ$300,MATCH(data!BN$1,Haver_M!$B$1:$BZ$1,0),FALSE),"")</f>
        <v>122.8</v>
      </c>
      <c r="BO100">
        <f>IF(ISNUMBER(VLOOKUP($A100,Haver_M!$B$1:$BZ$300,MATCH(data!BO$1,Haver_M!$B$1:$BZ$1,0),FALSE)),VLOOKUP($A100,Haver_M!$B$1:$BZ$300,MATCH(data!BO$1,Haver_M!$B$1:$BZ$1,0),FALSE),"")</f>
        <v>118.6</v>
      </c>
      <c r="BP100">
        <f>IF(ISNUMBER(VLOOKUP($A100,Haver_M!$B$1:$BZ$300,MATCH(data!BP$1,Haver_M!$B$1:$BZ$1,0),FALSE)),VLOOKUP($A100,Haver_M!$B$1:$BZ$300,MATCH(data!BP$1,Haver_M!$B$1:$BZ$1,0),FALSE),"")</f>
        <v>47.7</v>
      </c>
      <c r="BQ100">
        <f>IF(ISNUMBER(VLOOKUP($A100,Haver_M!$B$1:$BZ$300,MATCH(data!BQ$1,Haver_M!$B$1:$BZ$1,0),FALSE)),VLOOKUP($A100,Haver_M!$B$1:$BZ$300,MATCH(data!BQ$1,Haver_M!$B$1:$BZ$1,0),FALSE),"")</f>
        <v>129.29674626518027</v>
      </c>
      <c r="BR100">
        <f>IF(ISNUMBER(VLOOKUP($A100,Haver_M!$B$1:$BZ$300,MATCH(data!BR$1,Haver_M!$B$1:$BZ$1,0),FALSE)),VLOOKUP($A100,Haver_M!$B$1:$BZ$300,MATCH(data!BR$1,Haver_M!$B$1:$BZ$1,0),FALSE),"")</f>
        <v>212.68934278570848</v>
      </c>
      <c r="BS100">
        <f>IF(ISNUMBER(VLOOKUP($A100,Haver_M!$B$1:$BZ$300,MATCH(data!BS$1,Haver_M!$B$1:$BZ$1,0),FALSE)),VLOOKUP($A100,Haver_M!$B$1:$BZ$300,MATCH(data!BS$1,Haver_M!$B$1:$BZ$1,0),FALSE),"")</f>
        <v>136.1149449781573</v>
      </c>
      <c r="BT100">
        <f>IF(ISNUMBER(VLOOKUP($A100,Haver_M!$B$1:$BZ$300,MATCH(data!BT$1,Haver_M!$B$1:$BZ$1,0),FALSE)),VLOOKUP($A100,Haver_M!$B$1:$BZ$300,MATCH(data!BT$1,Haver_M!$B$1:$BZ$1,0),FALSE),"")</f>
        <v>546.32836678915771</v>
      </c>
      <c r="BU100">
        <f>IF(ISNUMBER(VLOOKUP($A100,Haver_M!$B$1:$BZ$300,MATCH(data!BU$1,Haver_M!$B$1:$BZ$1,0),FALSE)),VLOOKUP($A100,Haver_M!$B$1:$BZ$300,MATCH(data!BU$1,Haver_M!$B$1:$BZ$1,0),FALSE),"")</f>
        <v>17254</v>
      </c>
      <c r="BV100">
        <f>IF(ISNUMBER(VLOOKUP($A100,Haver_M!$B$1:$BZ$300,MATCH(data!BV$1,Haver_M!$B$1:$BZ$1,0),FALSE)),VLOOKUP($A100,Haver_M!$B$1:$BZ$300,MATCH(data!BV$1,Haver_M!$B$1:$BZ$1,0),FALSE),"")</f>
        <v>23573.7</v>
      </c>
      <c r="BW100">
        <f>IF(ISNUMBER(VLOOKUP($A100,Haver_M!$B$1:$BZ$300,MATCH(data!BW$1,Haver_M!$B$1:$BZ$1,0),FALSE)),VLOOKUP($A100,Haver_M!$B$1:$BZ$300,MATCH(data!BW$1,Haver_M!$B$1:$BZ$1,0),FALSE),"")</f>
        <v>40.356699999999996</v>
      </c>
      <c r="BX100">
        <f>IF(ISNUMBER(VLOOKUP($A100,Haver_M!$B$1:$BZ$300,MATCH(data!BX$1,Haver_M!$B$1:$BZ$1,0),FALSE)),VLOOKUP($A100,Haver_M!$B$1:$BZ$300,MATCH(data!BX$1,Haver_M!$B$1:$BZ$1,0),FALSE),"")</f>
        <v>19754</v>
      </c>
    </row>
    <row r="101" spans="1:76" x14ac:dyDescent="0.25">
      <c r="A101" s="2">
        <v>39568</v>
      </c>
      <c r="B101" t="str">
        <f>IF(ISNUMBER(VLOOKUP($A101,Haver_Q!$B$1:$L$185,MATCH(data!B$1,Haver_Q!$B$1:$L$1,0),FALSE)),100*(VLOOKUP($A101,Haver_Q!$B$1:$L$185,MATCH(data!B$1,Haver_Q!$B$1:$L$1,0),FALSE)),"")</f>
        <v/>
      </c>
      <c r="C101" t="str">
        <f>IF(ISNUMBER(VLOOKUP($A101,Haver_Q!$B$1:$L$185,MATCH(data!C$1,Haver_Q!$B$1:$L$1,0),FALSE)),100*(VLOOKUP($A101,Haver_Q!$B$1:$L$185,MATCH(data!C$1,Haver_Q!$B$1:$L$1,0),FALSE)),"")</f>
        <v/>
      </c>
      <c r="D101" t="str">
        <f>IF(ISNUMBER(VLOOKUP($A101,Haver_Q!$B$1:$L$185,MATCH(data!D$1,Haver_Q!$B$1:$L$1,0),FALSE)),100*(VLOOKUP($A101,Haver_Q!$B$1:$L$185,MATCH(data!D$1,Haver_Q!$B$1:$L$1,0),FALSE)),"")</f>
        <v/>
      </c>
      <c r="E101" t="str">
        <f>IF(ISNUMBER(VLOOKUP($A101,Haver_Q!$B$1:$L$185,MATCH(data!E$1,Haver_Q!$B$1:$L$1,0),FALSE)),100*(VLOOKUP($A101,Haver_Q!$B$1:$L$185,MATCH(data!E$1,Haver_Q!$B$1:$L$1,0),FALSE)),"")</f>
        <v/>
      </c>
      <c r="F101" t="str">
        <f>IF(ISNUMBER(VLOOKUP($A101,Haver_Q!$B$1:$L$185,MATCH(data!F$1,Haver_Q!$B$1:$L$1,0),FALSE)),100*(VLOOKUP($A101,Haver_Q!$B$1:$L$185,MATCH(data!F$1,Haver_Q!$B$1:$L$1,0),FALSE)),"")</f>
        <v/>
      </c>
      <c r="G101" t="str">
        <f>IF(ISNUMBER(VLOOKUP($A101,Haver_Q!$B$1:$L$185,MATCH(data!G$1,Haver_Q!$B$1:$L$1,0),FALSE)),100*(VLOOKUP($A101,Haver_Q!$B$1:$L$185,MATCH(data!G$1,Haver_Q!$B$1:$L$1,0),FALSE)),"")</f>
        <v/>
      </c>
      <c r="H101" t="str">
        <f>IF(ISNUMBER(VLOOKUP($A101,Haver_Q!$B$1:$L$185,MATCH(data!H$1,Haver_Q!$B$1:$L$1,0),FALSE)),(VLOOKUP($A101,Haver_Q!$B$1:$L$185,MATCH(data!H$1,Haver_Q!$B$1:$L$1,0),FALSE)),"")</f>
        <v/>
      </c>
      <c r="I101" t="str">
        <f>IF(ISNUMBER(VLOOKUP($A101,Haver_Q!$B$1:$L$185,MATCH(data!I$1,Haver_Q!$B$1:$L$1,0),FALSE)),100*(VLOOKUP($A101,Haver_Q!$B$1:$L$185,MATCH(data!I$1,Haver_Q!$B$1:$L$1,0),FALSE)),"")</f>
        <v/>
      </c>
      <c r="J101" s="3">
        <f>IF(ISNUMBER(Bloomberg_m!C117),Bloomberg_m!C117,"")</f>
        <v>8287</v>
      </c>
      <c r="K101" s="3" t="str">
        <f>IF(ISNUMBER(Bloomberg_m!D117),Bloomberg_m!D117,"")</f>
        <v/>
      </c>
      <c r="L101" s="3" t="str">
        <f>IF(ISNUMBER(Bloomberg_m!E117),Bloomberg_m!E117,"")</f>
        <v/>
      </c>
      <c r="M101" s="3" t="str">
        <f>IF(ISNUMBER(Bloomberg_m!F117),Bloomberg_m!F117,"")</f>
        <v/>
      </c>
      <c r="N101">
        <f>IF(ISNUMBER(VLOOKUP($A101,Haver_M!$B$1:$BZ$300,MATCH(data!N$1,Haver_M!$B$1:$BZ$1,0),FALSE)),VLOOKUP($A101,Haver_M!$B$1:$BZ$300,MATCH(data!N$1,Haver_M!$B$1:$BZ$1,0),FALSE),"")</f>
        <v>7.75</v>
      </c>
      <c r="O101">
        <f>IF(ISNUMBER(VLOOKUP($A101,Haver_M!$B$1:$BZ$300,MATCH(data!O$1,Haver_M!$B$1:$BZ$1,0),FALSE)),VLOOKUP($A101,Haver_M!$B$1:$BZ$300,MATCH(data!O$1,Haver_M!$B$1:$BZ$1,0),FALSE),"")</f>
        <v>8.0181000000000004</v>
      </c>
      <c r="P101">
        <f>IF(ISNUMBER(VLOOKUP($A101,Haver_M!$B$1:$BZ$300,MATCH(data!P$1,Haver_M!$B$1:$BZ$1,0),FALSE)),VLOOKUP($A101,Haver_M!$B$1:$BZ$300,MATCH(data!P$1,Haver_M!$B$1:$BZ$1,0),FALSE),"")</f>
        <v>93.957359999999994</v>
      </c>
      <c r="Q101">
        <f>IF(ISNUMBER(VLOOKUP($A101,Haver_M!$B$1:$BZ$300,MATCH(data!Q$1,Haver_M!$B$1:$BZ$1,0),FALSE)),VLOOKUP($A101,Haver_M!$B$1:$BZ$300,MATCH(data!Q$1,Haver_M!$B$1:$BZ$1,0),FALSE),"")</f>
        <v>68.2</v>
      </c>
      <c r="R101" t="str">
        <f>IF(ISNUMBER(VLOOKUP($A101,Haver_M!$B$1:$BZ$300,MATCH(data!R$1,Haver_M!$B$1:$BZ$1,0),FALSE)),VLOOKUP($A101,Haver_M!$B$1:$BZ$300,MATCH(data!R$1,Haver_M!$B$1:$BZ$1,0),FALSE),"")</f>
        <v/>
      </c>
      <c r="S101">
        <f>IF(ISNUMBER(VLOOKUP($A101,Haver_M!$B$1:$BZ$300,MATCH(data!S$1,Haver_M!$B$1:$BZ$1,0),FALSE)),VLOOKUP($A101,Haver_M!$B$1:$BZ$300,MATCH(data!S$1,Haver_M!$B$1:$BZ$1,0),FALSE),"")</f>
        <v>89.22</v>
      </c>
      <c r="T101">
        <f>IF(ISNUMBER(VLOOKUP($A101,Haver_M!$B$1:$BZ$300,MATCH(data!T$1,Haver_M!$B$1:$BZ$1,0),FALSE)),VLOOKUP($A101,Haver_M!$B$1:$BZ$300,MATCH(data!T$1,Haver_M!$B$1:$BZ$1,0),FALSE),"")</f>
        <v>84.81</v>
      </c>
      <c r="U101">
        <f>IF(ISNUMBER(VLOOKUP($A101,Haver_M!$B$1:$BZ$300,MATCH(data!U$1,Haver_M!$B$1:$BZ$1,0),FALSE)),VLOOKUP($A101,Haver_M!$B$1:$BZ$300,MATCH(data!U$1,Haver_M!$B$1:$BZ$1,0),FALSE),"")</f>
        <v>105.26</v>
      </c>
      <c r="V101">
        <f>IF(ISNUMBER(VLOOKUP($A101,Haver_M!$B$1:$BZ$300,MATCH(data!V$1,Haver_M!$B$1:$BZ$1,0),FALSE)),VLOOKUP($A101,Haver_M!$B$1:$BZ$300,MATCH(data!V$1,Haver_M!$B$1:$BZ$1,0),FALSE),"")</f>
        <v>94.77</v>
      </c>
      <c r="W101" t="str">
        <f>IF(ISNUMBER(VLOOKUP($A101,Haver_M!$B$1:$BZ$300,MATCH(data!W$1,Haver_M!$B$1:$BZ$1,0),FALSE)),VLOOKUP($A101,Haver_M!$B$1:$BZ$300,MATCH(data!W$1,Haver_M!$B$1:$BZ$1,0),FALSE),"")</f>
        <v/>
      </c>
      <c r="X101">
        <f>IF(ISNUMBER(VLOOKUP($A101,Haver_M!$B$1:$BZ$300,MATCH(data!X$1,Haver_M!$B$1:$BZ$1,0),FALSE)),VLOOKUP($A101,Haver_M!$B$1:$BZ$300,MATCH(data!X$1,Haver_M!$B$1:$BZ$1,0),FALSE),"")</f>
        <v>71.06</v>
      </c>
      <c r="Y101">
        <f>IF(ISNUMBER(VLOOKUP($A101,Haver_M!$B$1:$BZ$300,MATCH(data!Y$1,Haver_M!$B$1:$BZ$1,0),FALSE)),VLOOKUP($A101,Haver_M!$B$1:$BZ$300,MATCH(data!Y$1,Haver_M!$B$1:$BZ$1,0),FALSE),"")</f>
        <v>92.77</v>
      </c>
      <c r="Z101">
        <f>IF(ISNUMBER(VLOOKUP($A101,Haver_M!$B$1:$BZ$300,MATCH(data!Z$1,Haver_M!$B$1:$BZ$1,0),FALSE)),VLOOKUP($A101,Haver_M!$B$1:$BZ$300,MATCH(data!Z$1,Haver_M!$B$1:$BZ$1,0),FALSE),"")</f>
        <v>83.8</v>
      </c>
      <c r="AA101">
        <f>IF(ISNUMBER(VLOOKUP($A101,Haver_M!$B$1:$BZ$300,MATCH(data!AA$1,Haver_M!$B$1:$BZ$1,0),FALSE)),VLOOKUP($A101,Haver_M!$B$1:$BZ$300,MATCH(data!AA$1,Haver_M!$B$1:$BZ$1,0),FALSE),"")</f>
        <v>87.442999999999998</v>
      </c>
      <c r="AB101">
        <f>IF(ISNUMBER(VLOOKUP($A101,Haver_M!$B$1:$BZ$300,MATCH(data!AB$1,Haver_M!$B$1:$BZ$1,0),FALSE)),VLOOKUP($A101,Haver_M!$B$1:$BZ$300,MATCH(data!AB$1,Haver_M!$B$1:$BZ$1,0),FALSE),"")</f>
        <v>89.816999999999993</v>
      </c>
      <c r="AC101">
        <f>IF(ISNUMBER(VLOOKUP($A101,Haver_M!$B$1:$BZ$300,MATCH(data!AC$1,Haver_M!$B$1:$BZ$1,0),FALSE)),VLOOKUP($A101,Haver_M!$B$1:$BZ$300,MATCH(data!AC$1,Haver_M!$B$1:$BZ$1,0),FALSE),"")</f>
        <v>72.394000000000005</v>
      </c>
      <c r="AD101">
        <f>IF(ISNUMBER(VLOOKUP($A101,Haver_M!$B$1:$BZ$300,MATCH(data!AD$1,Haver_M!$B$1:$BZ$1,0),FALSE)),VLOOKUP($A101,Haver_M!$B$1:$BZ$300,MATCH(data!AD$1,Haver_M!$B$1:$BZ$1,0),FALSE),"")</f>
        <v>96.76</v>
      </c>
      <c r="AE101">
        <f>IF(ISNUMBER(VLOOKUP($A101,Haver_M!$B$1:$BZ$300,MATCH(data!AE$1,Haver_M!$B$1:$BZ$1,0),FALSE)),VLOOKUP($A101,Haver_M!$B$1:$BZ$300,MATCH(data!AE$1,Haver_M!$B$1:$BZ$1,0),FALSE),"")</f>
        <v>87.296999999999997</v>
      </c>
      <c r="AF101">
        <f>IF(ISNUMBER(VLOOKUP($A101,Haver_M!$B$1:$BZ$300,MATCH(data!AF$1,Haver_M!$B$1:$BZ$1,0),FALSE)),VLOOKUP($A101,Haver_M!$B$1:$BZ$300,MATCH(data!AF$1,Haver_M!$B$1:$BZ$1,0),FALSE),"")</f>
        <v>77.63</v>
      </c>
      <c r="AG101">
        <f>IF(ISNUMBER(VLOOKUP($A101,Haver_M!$B$1:$BZ$300,MATCH(data!AG$1,Haver_M!$B$1:$BZ$1,0),FALSE)),VLOOKUP($A101,Haver_M!$B$1:$BZ$300,MATCH(data!AG$1,Haver_M!$B$1:$BZ$1,0),FALSE),"")</f>
        <v>76.757000000000005</v>
      </c>
      <c r="AH101">
        <f>IF(ISNUMBER(VLOOKUP($A101,Haver_M!$B$1:$BZ$300,MATCH(data!AH$1,Haver_M!$B$1:$BZ$1,0),FALSE)),VLOOKUP($A101,Haver_M!$B$1:$BZ$300,MATCH(data!AH$1,Haver_M!$B$1:$BZ$1,0),FALSE),"")</f>
        <v>79.924999999999997</v>
      </c>
      <c r="AI101">
        <f>IF(ISNUMBER(VLOOKUP($A101,Haver_M!$B$1:$BZ$300,MATCH(data!AI$1,Haver_M!$B$1:$BZ$1,0),FALSE)),VLOOKUP($A101,Haver_M!$B$1:$BZ$300,MATCH(data!AI$1,Haver_M!$B$1:$BZ$1,0),FALSE),"")</f>
        <v>11167.94536231014</v>
      </c>
      <c r="AJ101">
        <f>IF(ISNUMBER(VLOOKUP($A101,Haver_M!$B$1:$BZ$300,MATCH(data!AJ$1,Haver_M!$B$1:$BZ$1,0),FALSE)),VLOOKUP($A101,Haver_M!$B$1:$BZ$300,MATCH(data!AJ$1,Haver_M!$B$1:$BZ$1,0),FALSE),"")</f>
        <v>18589.02</v>
      </c>
      <c r="AK101">
        <f>IF(ISNUMBER(VLOOKUP($A101,Haver_M!$B$1:$BZ$300,MATCH(data!AK$1,Haver_M!$B$1:$BZ$1,0),FALSE)),VLOOKUP($A101,Haver_M!$B$1:$BZ$300,MATCH(data!AK$1,Haver_M!$B$1:$BZ$1,0),FALSE),"")</f>
        <v>29802.58</v>
      </c>
      <c r="AL101" t="str">
        <f>IF(ISNUMBER(VLOOKUP($A101,Haver_M!$B$1:$BZ$300,MATCH(data!AL$1,Haver_M!$B$1:$BZ$1,0),FALSE)),VLOOKUP($A101,Haver_M!$B$1:$BZ$300,MATCH(data!AL$1,Haver_M!$B$1:$BZ$1,0),FALSE),"")</f>
        <v/>
      </c>
      <c r="AM101" t="str">
        <f>IF(ISNUMBER(VLOOKUP($A101,Haver_M!$B$1:$BZ$300,MATCH(data!AM$1,Haver_M!$B$1:$BZ$1,0),FALSE)),VLOOKUP($A101,Haver_M!$B$1:$BZ$300,MATCH(data!AM$1,Haver_M!$B$1:$BZ$1,0),FALSE),"")</f>
        <v/>
      </c>
      <c r="AN101" t="str">
        <f>IF(ISNUMBER(VLOOKUP($A101,Haver_M!$B$1:$BZ$300,MATCH(data!AN$1,Haver_M!$B$1:$BZ$1,0),FALSE)),VLOOKUP($A101,Haver_M!$B$1:$BZ$300,MATCH(data!AN$1,Haver_M!$B$1:$BZ$1,0),FALSE),"")</f>
        <v/>
      </c>
      <c r="AO101" t="str">
        <f>IF(ISNUMBER(VLOOKUP($A101,Haver_M!$B$1:$BZ$300,MATCH(data!AO$1,Haver_M!$B$1:$BZ$1,0),FALSE)),VLOOKUP($A101,Haver_M!$B$1:$BZ$300,MATCH(data!AO$1,Haver_M!$B$1:$BZ$1,0),FALSE),"")</f>
        <v/>
      </c>
      <c r="AP101">
        <f>IF(ISNUMBER(VLOOKUP($A101,Haver_M!$B$1:$BZ$300,MATCH(data!AP$1,Haver_M!$B$1:$BZ$1,0),FALSE)),VLOOKUP($A101,Haver_M!$B$1:$BZ$300,MATCH(data!AP$1,Haver_M!$B$1:$BZ$1,0),FALSE),"")</f>
        <v>113.40134126906955</v>
      </c>
      <c r="AQ101">
        <f>IF(ISNUMBER(VLOOKUP($A101,Haver_M!$B$1:$BZ$300,MATCH(data!AQ$1,Haver_M!$B$1:$BZ$1,0),FALSE)),VLOOKUP($A101,Haver_M!$B$1:$BZ$300,MATCH(data!AQ$1,Haver_M!$B$1:$BZ$1,0),FALSE),"")</f>
        <v>62.782299999999999</v>
      </c>
      <c r="AR101">
        <f>IF(ISNUMBER(VLOOKUP($A101,Haver_M!$B$1:$BZ$300,MATCH(data!AR$1,Haver_M!$B$1:$BZ$1,0),FALSE)),VLOOKUP($A101,Haver_M!$B$1:$BZ$300,MATCH(data!AR$1,Haver_M!$B$1:$BZ$1,0),FALSE),"")</f>
        <v>57.473500000000001</v>
      </c>
      <c r="AS101">
        <f>IF(ISNUMBER(VLOOKUP($A101,Haver_M!$B$1:$BZ$300,MATCH(data!AS$1,Haver_M!$B$1:$BZ$1,0),FALSE)),VLOOKUP($A101,Haver_M!$B$1:$BZ$300,MATCH(data!AS$1,Haver_M!$B$1:$BZ$1,0),FALSE),"")</f>
        <v>63.459899999999998</v>
      </c>
      <c r="AT101">
        <f>IF(ISNUMBER(VLOOKUP($A101,Haver_M!$B$1:$BZ$300,MATCH(data!AT$1,Haver_M!$B$1:$BZ$1,0),FALSE)),VLOOKUP($A101,Haver_M!$B$1:$BZ$300,MATCH(data!AT$1,Haver_M!$B$1:$BZ$1,0),FALSE),"")</f>
        <v>61.258899999999997</v>
      </c>
      <c r="AU101">
        <f>IF(ISNUMBER(VLOOKUP($A101,Haver_M!$B$1:$BZ$300,MATCH(data!AU$1,Haver_M!$B$1:$BZ$1,0),FALSE)),VLOOKUP($A101,Haver_M!$B$1:$BZ$300,MATCH(data!AU$1,Haver_M!$B$1:$BZ$1,0),FALSE),"")</f>
        <v>63.194299999999998</v>
      </c>
      <c r="AV101">
        <f>IF(ISNUMBER(VLOOKUP($A101,Haver_M!$B$1:$BZ$300,MATCH(data!AV$1,Haver_M!$B$1:$BZ$1,0),FALSE)),VLOOKUP($A101,Haver_M!$B$1:$BZ$300,MATCH(data!AV$1,Haver_M!$B$1:$BZ$1,0),FALSE),"")</f>
        <v>51.0809</v>
      </c>
      <c r="AW101">
        <f>IF(ISNUMBER(VLOOKUP($A101,Haver_M!$B$1:$BZ$300,MATCH(data!AW$1,Haver_M!$B$1:$BZ$1,0),FALSE)),VLOOKUP($A101,Haver_M!$B$1:$BZ$300,MATCH(data!AW$1,Haver_M!$B$1:$BZ$1,0),FALSE),"")</f>
        <v>48.884900000000002</v>
      </c>
      <c r="AX101">
        <f>IF(ISNUMBER(VLOOKUP($A101,Haver_M!$B$1:$BZ$300,MATCH(data!AX$1,Haver_M!$B$1:$BZ$1,0),FALSE)),VLOOKUP($A101,Haver_M!$B$1:$BZ$300,MATCH(data!AX$1,Haver_M!$B$1:$BZ$1,0),FALSE),"")</f>
        <v>53.17</v>
      </c>
      <c r="AY101">
        <f>IF(ISNUMBER(VLOOKUP($A101,Haver_M!$B$1:$BZ$300,MATCH(data!AY$1,Haver_M!$B$1:$BZ$1,0),FALSE)),VLOOKUP($A101,Haver_M!$B$1:$BZ$300,MATCH(data!AY$1,Haver_M!$B$1:$BZ$1,0),FALSE),"")</f>
        <v>54.942</v>
      </c>
      <c r="AZ101">
        <f>IF(ISNUMBER(VLOOKUP($A101,Haver_M!$B$1:$BZ$300,MATCH(data!AZ$1,Haver_M!$B$1:$BZ$1,0),FALSE)),VLOOKUP($A101,Haver_M!$B$1:$BZ$300,MATCH(data!AZ$1,Haver_M!$B$1:$BZ$1,0),FALSE),"")</f>
        <v>60.636800000000001</v>
      </c>
      <c r="BA101">
        <f>IF(ISNUMBER(VLOOKUP($A101,Haver_M!$B$1:$BZ$300,MATCH(data!BA$1,Haver_M!$B$1:$BZ$1,0),FALSE)),VLOOKUP($A101,Haver_M!$B$1:$BZ$300,MATCH(data!BA$1,Haver_M!$B$1:$BZ$1,0),FALSE),"")</f>
        <v>53.17</v>
      </c>
      <c r="BB101">
        <f>IF(ISNUMBER(VLOOKUP($A101,Haver_M!$B$1:$BZ$300,MATCH(data!BB$1,Haver_M!$B$1:$BZ$1,0),FALSE)),VLOOKUP($A101,Haver_M!$B$1:$BZ$300,MATCH(data!BB$1,Haver_M!$B$1:$BZ$1,0),FALSE),"")</f>
        <v>52.983600000000003</v>
      </c>
      <c r="BC101">
        <f>IF(ISNUMBER(VLOOKUP($A101,Haver_M!$B$1:$BZ$300,MATCH(data!BC$1,Haver_M!$B$1:$BZ$1,0),FALSE)),VLOOKUP($A101,Haver_M!$B$1:$BZ$300,MATCH(data!BC$1,Haver_M!$B$1:$BZ$1,0),FALSE),"")</f>
        <v>52.658900000000003</v>
      </c>
      <c r="BD101">
        <f>IF(ISNUMBER(VLOOKUP($A101,Haver_M!$B$1:$BZ$300,MATCH(data!BD$1,Haver_M!$B$1:$BZ$1,0),FALSE)),VLOOKUP($A101,Haver_M!$B$1:$BZ$300,MATCH(data!BD$1,Haver_M!$B$1:$BZ$1,0),FALSE),"")</f>
        <v>50.668700000000001</v>
      </c>
      <c r="BE101">
        <f>IF(ISNUMBER(VLOOKUP($A101,Haver_M!$B$1:$BZ$300,MATCH(data!BE$1,Haver_M!$B$1:$BZ$1,0),FALSE)),VLOOKUP($A101,Haver_M!$B$1:$BZ$300,MATCH(data!BE$1,Haver_M!$B$1:$BZ$1,0),FALSE),"")</f>
        <v>1.3137000000000001</v>
      </c>
      <c r="BF101">
        <f>IF(ISNUMBER(VLOOKUP($A101,Haver_M!$B$1:$BZ$300,MATCH(data!BF$1,Haver_M!$B$1:$BZ$1,0),FALSE)),VLOOKUP($A101,Haver_M!$B$1:$BZ$300,MATCH(data!BF$1,Haver_M!$B$1:$BZ$1,0),FALSE),"")</f>
        <v>53.2151</v>
      </c>
      <c r="BG101">
        <f>IF(ISNUMBER(VLOOKUP($A101,Haver_M!$B$1:$BZ$300,MATCH(data!BG$1,Haver_M!$B$1:$BZ$1,0),FALSE)),VLOOKUP($A101,Haver_M!$B$1:$BZ$300,MATCH(data!BG$1,Haver_M!$B$1:$BZ$1,0),FALSE),"")</f>
        <v>52.774500000000003</v>
      </c>
      <c r="BH101">
        <f>IF(ISNUMBER(VLOOKUP($A101,Haver_M!$B$1:$BZ$300,MATCH(data!BH$1,Haver_M!$B$1:$BZ$1,0),FALSE)),VLOOKUP($A101,Haver_M!$B$1:$BZ$300,MATCH(data!BH$1,Haver_M!$B$1:$BZ$1,0),FALSE),"")</f>
        <v>58.192</v>
      </c>
      <c r="BI101">
        <f>IF(ISNUMBER(VLOOKUP($A101,Haver_M!$B$1:$BZ$300,MATCH(data!BI$1,Haver_M!$B$1:$BZ$1,0),FALSE)),VLOOKUP($A101,Haver_M!$B$1:$BZ$300,MATCH(data!BI$1,Haver_M!$B$1:$BZ$1,0),FALSE),"")</f>
        <v>60.138100000000001</v>
      </c>
      <c r="BJ101" t="str">
        <f>IF(ISNUMBER(VLOOKUP($A101,Haver_M!$B$1:$BZ$300,MATCH(data!BJ$1,Haver_M!$B$1:$BZ$1,0),FALSE)),VLOOKUP($A101,Haver_M!$B$1:$BZ$300,MATCH(data!BJ$1,Haver_M!$B$1:$BZ$1,0),FALSE),"")</f>
        <v/>
      </c>
      <c r="BK101">
        <f>IF(ISNUMBER(VLOOKUP($A101,Haver_M!$B$1:$BZ$300,MATCH(data!BK$1,Haver_M!$B$1:$BZ$1,0),FALSE)),VLOOKUP($A101,Haver_M!$B$1:$BZ$300,MATCH(data!BK$1,Haver_M!$B$1:$BZ$1,0),FALSE),"")</f>
        <v>50.761699999999998</v>
      </c>
      <c r="BL101">
        <f>IF(ISNUMBER(VLOOKUP($A101,Haver_M!$B$1:$BZ$300,MATCH(data!BL$1,Haver_M!$B$1:$BZ$1,0),FALSE)),VLOOKUP($A101,Haver_M!$B$1:$BZ$300,MATCH(data!BL$1,Haver_M!$B$1:$BZ$1,0),FALSE),"")</f>
        <v>16290.99</v>
      </c>
      <c r="BM101">
        <f>IF(ISNUMBER(VLOOKUP($A101,Haver_M!$B$1:$BZ$300,MATCH(data!BM$1,Haver_M!$B$1:$BZ$1,0),FALSE)),VLOOKUP($A101,Haver_M!$B$1:$BZ$300,MATCH(data!BM$1,Haver_M!$B$1:$BZ$1,0),FALSE),"")</f>
        <v>102.95183083000001</v>
      </c>
      <c r="BN101" t="str">
        <f>IF(ISNUMBER(VLOOKUP($A101,Haver_M!$B$1:$BZ$300,MATCH(data!BN$1,Haver_M!$B$1:$BZ$1,0),FALSE)),VLOOKUP($A101,Haver_M!$B$1:$BZ$300,MATCH(data!BN$1,Haver_M!$B$1:$BZ$1,0),FALSE),"")</f>
        <v/>
      </c>
      <c r="BO101" t="str">
        <f>IF(ISNUMBER(VLOOKUP($A101,Haver_M!$B$1:$BZ$300,MATCH(data!BO$1,Haver_M!$B$1:$BZ$1,0),FALSE)),VLOOKUP($A101,Haver_M!$B$1:$BZ$300,MATCH(data!BO$1,Haver_M!$B$1:$BZ$1,0),FALSE),"")</f>
        <v/>
      </c>
      <c r="BP101" t="str">
        <f>IF(ISNUMBER(VLOOKUP($A101,Haver_M!$B$1:$BZ$300,MATCH(data!BP$1,Haver_M!$B$1:$BZ$1,0),FALSE)),VLOOKUP($A101,Haver_M!$B$1:$BZ$300,MATCH(data!BP$1,Haver_M!$B$1:$BZ$1,0),FALSE),"")</f>
        <v/>
      </c>
      <c r="BQ101">
        <f>IF(ISNUMBER(VLOOKUP($A101,Haver_M!$B$1:$BZ$300,MATCH(data!BQ$1,Haver_M!$B$1:$BZ$1,0),FALSE)),VLOOKUP($A101,Haver_M!$B$1:$BZ$300,MATCH(data!BQ$1,Haver_M!$B$1:$BZ$1,0),FALSE),"")</f>
        <v>130.34857315589485</v>
      </c>
      <c r="BR101">
        <f>IF(ISNUMBER(VLOOKUP($A101,Haver_M!$B$1:$BZ$300,MATCH(data!BR$1,Haver_M!$B$1:$BZ$1,0),FALSE)),VLOOKUP($A101,Haver_M!$B$1:$BZ$300,MATCH(data!BR$1,Haver_M!$B$1:$BZ$1,0),FALSE),"")</f>
        <v>212.53919043491075</v>
      </c>
      <c r="BS101">
        <f>IF(ISNUMBER(VLOOKUP($A101,Haver_M!$B$1:$BZ$300,MATCH(data!BS$1,Haver_M!$B$1:$BZ$1,0),FALSE)),VLOOKUP($A101,Haver_M!$B$1:$BZ$300,MATCH(data!BS$1,Haver_M!$B$1:$BZ$1,0),FALSE),"")</f>
        <v>131.52922013844997</v>
      </c>
      <c r="BT101">
        <f>IF(ISNUMBER(VLOOKUP($A101,Haver_M!$B$1:$BZ$300,MATCH(data!BT$1,Haver_M!$B$1:$BZ$1,0),FALSE)),VLOOKUP($A101,Haver_M!$B$1:$BZ$300,MATCH(data!BT$1,Haver_M!$B$1:$BZ$1,0),FALSE),"")</f>
        <v>540.70608985008323</v>
      </c>
      <c r="BU101">
        <f>IF(ISNUMBER(VLOOKUP($A101,Haver_M!$B$1:$BZ$300,MATCH(data!BU$1,Haver_M!$B$1:$BZ$1,0),FALSE)),VLOOKUP($A101,Haver_M!$B$1:$BZ$300,MATCH(data!BU$1,Haver_M!$B$1:$BZ$1,0),FALSE),"")</f>
        <v>18460.400000000001</v>
      </c>
      <c r="BV101">
        <f>IF(ISNUMBER(VLOOKUP($A101,Haver_M!$B$1:$BZ$300,MATCH(data!BV$1,Haver_M!$B$1:$BZ$1,0),FALSE)),VLOOKUP($A101,Haver_M!$B$1:$BZ$300,MATCH(data!BV$1,Haver_M!$B$1:$BZ$1,0),FALSE),"")</f>
        <v>30316.9</v>
      </c>
      <c r="BW101">
        <f>IF(ISNUMBER(VLOOKUP($A101,Haver_M!$B$1:$BZ$300,MATCH(data!BW$1,Haver_M!$B$1:$BZ$1,0),FALSE)),VLOOKUP($A101,Haver_M!$B$1:$BZ$300,MATCH(data!BW$1,Haver_M!$B$1:$BZ$1,0),FALSE),"")</f>
        <v>40.0289</v>
      </c>
      <c r="BX101">
        <f>IF(ISNUMBER(VLOOKUP($A101,Haver_M!$B$1:$BZ$300,MATCH(data!BX$1,Haver_M!$B$1:$BZ$1,0),FALSE)),VLOOKUP($A101,Haver_M!$B$1:$BZ$300,MATCH(data!BX$1,Haver_M!$B$1:$BZ$1,0),FALSE),"")</f>
        <v>30668</v>
      </c>
    </row>
    <row r="102" spans="1:76" x14ac:dyDescent="0.25">
      <c r="A102" s="2">
        <v>39599</v>
      </c>
      <c r="B102" t="str">
        <f>IF(ISNUMBER(VLOOKUP($A102,Haver_Q!$B$1:$L$185,MATCH(data!B$1,Haver_Q!$B$1:$L$1,0),FALSE)),100*(VLOOKUP($A102,Haver_Q!$B$1:$L$185,MATCH(data!B$1,Haver_Q!$B$1:$L$1,0),FALSE)),"")</f>
        <v/>
      </c>
      <c r="C102" t="str">
        <f>IF(ISNUMBER(VLOOKUP($A102,Haver_Q!$B$1:$L$185,MATCH(data!C$1,Haver_Q!$B$1:$L$1,0),FALSE)),100*(VLOOKUP($A102,Haver_Q!$B$1:$L$185,MATCH(data!C$1,Haver_Q!$B$1:$L$1,0),FALSE)),"")</f>
        <v/>
      </c>
      <c r="D102" t="str">
        <f>IF(ISNUMBER(VLOOKUP($A102,Haver_Q!$B$1:$L$185,MATCH(data!D$1,Haver_Q!$B$1:$L$1,0),FALSE)),100*(VLOOKUP($A102,Haver_Q!$B$1:$L$185,MATCH(data!D$1,Haver_Q!$B$1:$L$1,0),FALSE)),"")</f>
        <v/>
      </c>
      <c r="E102" t="str">
        <f>IF(ISNUMBER(VLOOKUP($A102,Haver_Q!$B$1:$L$185,MATCH(data!E$1,Haver_Q!$B$1:$L$1,0),FALSE)),100*(VLOOKUP($A102,Haver_Q!$B$1:$L$185,MATCH(data!E$1,Haver_Q!$B$1:$L$1,0),FALSE)),"")</f>
        <v/>
      </c>
      <c r="F102" t="str">
        <f>IF(ISNUMBER(VLOOKUP($A102,Haver_Q!$B$1:$L$185,MATCH(data!F$1,Haver_Q!$B$1:$L$1,0),FALSE)),100*(VLOOKUP($A102,Haver_Q!$B$1:$L$185,MATCH(data!F$1,Haver_Q!$B$1:$L$1,0),FALSE)),"")</f>
        <v/>
      </c>
      <c r="G102" t="str">
        <f>IF(ISNUMBER(VLOOKUP($A102,Haver_Q!$B$1:$L$185,MATCH(data!G$1,Haver_Q!$B$1:$L$1,0),FALSE)),100*(VLOOKUP($A102,Haver_Q!$B$1:$L$185,MATCH(data!G$1,Haver_Q!$B$1:$L$1,0),FALSE)),"")</f>
        <v/>
      </c>
      <c r="H102" t="str">
        <f>IF(ISNUMBER(VLOOKUP($A102,Haver_Q!$B$1:$L$185,MATCH(data!H$1,Haver_Q!$B$1:$L$1,0),FALSE)),(VLOOKUP($A102,Haver_Q!$B$1:$L$185,MATCH(data!H$1,Haver_Q!$B$1:$L$1,0),FALSE)),"")</f>
        <v/>
      </c>
      <c r="I102" t="str">
        <f>IF(ISNUMBER(VLOOKUP($A102,Haver_Q!$B$1:$L$185,MATCH(data!I$1,Haver_Q!$B$1:$L$1,0),FALSE)),100*(VLOOKUP($A102,Haver_Q!$B$1:$L$185,MATCH(data!I$1,Haver_Q!$B$1:$L$1,0),FALSE)),"")</f>
        <v/>
      </c>
      <c r="J102" s="3">
        <f>IF(ISNUMBER(Bloomberg_m!C118),Bloomberg_m!C118,"")</f>
        <v>10844</v>
      </c>
      <c r="K102" s="3" t="str">
        <f>IF(ISNUMBER(Bloomberg_m!D118),Bloomberg_m!D118,"")</f>
        <v/>
      </c>
      <c r="L102" s="3" t="str">
        <f>IF(ISNUMBER(Bloomberg_m!E118),Bloomberg_m!E118,"")</f>
        <v/>
      </c>
      <c r="M102" s="3" t="str">
        <f>IF(ISNUMBER(Bloomberg_m!F118),Bloomberg_m!F118,"")</f>
        <v/>
      </c>
      <c r="N102">
        <f>IF(ISNUMBER(VLOOKUP($A102,Haver_M!$B$1:$BZ$300,MATCH(data!N$1,Haver_M!$B$1:$BZ$1,0),FALSE)),VLOOKUP($A102,Haver_M!$B$1:$BZ$300,MATCH(data!N$1,Haver_M!$B$1:$BZ$1,0),FALSE),"")</f>
        <v>7.75</v>
      </c>
      <c r="O102">
        <f>IF(ISNUMBER(VLOOKUP($A102,Haver_M!$B$1:$BZ$300,MATCH(data!O$1,Haver_M!$B$1:$BZ$1,0),FALSE)),VLOOKUP($A102,Haver_M!$B$1:$BZ$300,MATCH(data!O$1,Haver_M!$B$1:$BZ$1,0),FALSE),"")</f>
        <v>8.1068999999999996</v>
      </c>
      <c r="P102">
        <f>IF(ISNUMBER(VLOOKUP($A102,Haver_M!$B$1:$BZ$300,MATCH(data!P$1,Haver_M!$B$1:$BZ$1,0),FALSE)),VLOOKUP($A102,Haver_M!$B$1:$BZ$300,MATCH(data!P$1,Haver_M!$B$1:$BZ$1,0),FALSE),"")</f>
        <v>88.912019999999998</v>
      </c>
      <c r="Q102">
        <f>IF(ISNUMBER(VLOOKUP($A102,Haver_M!$B$1:$BZ$300,MATCH(data!Q$1,Haver_M!$B$1:$BZ$1,0),FALSE)),VLOOKUP($A102,Haver_M!$B$1:$BZ$300,MATCH(data!Q$1,Haver_M!$B$1:$BZ$1,0),FALSE),"")</f>
        <v>68.3</v>
      </c>
      <c r="R102" t="str">
        <f>IF(ISNUMBER(VLOOKUP($A102,Haver_M!$B$1:$BZ$300,MATCH(data!R$1,Haver_M!$B$1:$BZ$1,0),FALSE)),VLOOKUP($A102,Haver_M!$B$1:$BZ$300,MATCH(data!R$1,Haver_M!$B$1:$BZ$1,0),FALSE),"")</f>
        <v/>
      </c>
      <c r="S102">
        <f>IF(ISNUMBER(VLOOKUP($A102,Haver_M!$B$1:$BZ$300,MATCH(data!S$1,Haver_M!$B$1:$BZ$1,0),FALSE)),VLOOKUP($A102,Haver_M!$B$1:$BZ$300,MATCH(data!S$1,Haver_M!$B$1:$BZ$1,0),FALSE),"")</f>
        <v>89.51</v>
      </c>
      <c r="T102">
        <f>IF(ISNUMBER(VLOOKUP($A102,Haver_M!$B$1:$BZ$300,MATCH(data!T$1,Haver_M!$B$1:$BZ$1,0),FALSE)),VLOOKUP($A102,Haver_M!$B$1:$BZ$300,MATCH(data!T$1,Haver_M!$B$1:$BZ$1,0),FALSE),"")</f>
        <v>84.87</v>
      </c>
      <c r="U102">
        <f>IF(ISNUMBER(VLOOKUP($A102,Haver_M!$B$1:$BZ$300,MATCH(data!U$1,Haver_M!$B$1:$BZ$1,0),FALSE)),VLOOKUP($A102,Haver_M!$B$1:$BZ$300,MATCH(data!U$1,Haver_M!$B$1:$BZ$1,0),FALSE),"")</f>
        <v>105.41</v>
      </c>
      <c r="V102">
        <f>IF(ISNUMBER(VLOOKUP($A102,Haver_M!$B$1:$BZ$300,MATCH(data!V$1,Haver_M!$B$1:$BZ$1,0),FALSE)),VLOOKUP($A102,Haver_M!$B$1:$BZ$300,MATCH(data!V$1,Haver_M!$B$1:$BZ$1,0),FALSE),"")</f>
        <v>94.91</v>
      </c>
      <c r="W102" t="str">
        <f>IF(ISNUMBER(VLOOKUP($A102,Haver_M!$B$1:$BZ$300,MATCH(data!W$1,Haver_M!$B$1:$BZ$1,0),FALSE)),VLOOKUP($A102,Haver_M!$B$1:$BZ$300,MATCH(data!W$1,Haver_M!$B$1:$BZ$1,0),FALSE),"")</f>
        <v/>
      </c>
      <c r="X102">
        <f>IF(ISNUMBER(VLOOKUP($A102,Haver_M!$B$1:$BZ$300,MATCH(data!X$1,Haver_M!$B$1:$BZ$1,0),FALSE)),VLOOKUP($A102,Haver_M!$B$1:$BZ$300,MATCH(data!X$1,Haver_M!$B$1:$BZ$1,0),FALSE),"")</f>
        <v>75.13</v>
      </c>
      <c r="Y102">
        <f>IF(ISNUMBER(VLOOKUP($A102,Haver_M!$B$1:$BZ$300,MATCH(data!Y$1,Haver_M!$B$1:$BZ$1,0),FALSE)),VLOOKUP($A102,Haver_M!$B$1:$BZ$300,MATCH(data!Y$1,Haver_M!$B$1:$BZ$1,0),FALSE),"")</f>
        <v>93.14</v>
      </c>
      <c r="Z102">
        <f>IF(ISNUMBER(VLOOKUP($A102,Haver_M!$B$1:$BZ$300,MATCH(data!Z$1,Haver_M!$B$1:$BZ$1,0),FALSE)),VLOOKUP($A102,Haver_M!$B$1:$BZ$300,MATCH(data!Z$1,Haver_M!$B$1:$BZ$1,0),FALSE),"")</f>
        <v>84.5</v>
      </c>
      <c r="AA102">
        <f>IF(ISNUMBER(VLOOKUP($A102,Haver_M!$B$1:$BZ$300,MATCH(data!AA$1,Haver_M!$B$1:$BZ$1,0),FALSE)),VLOOKUP($A102,Haver_M!$B$1:$BZ$300,MATCH(data!AA$1,Haver_M!$B$1:$BZ$1,0),FALSE),"")</f>
        <v>88.227000000000004</v>
      </c>
      <c r="AB102">
        <f>IF(ISNUMBER(VLOOKUP($A102,Haver_M!$B$1:$BZ$300,MATCH(data!AB$1,Haver_M!$B$1:$BZ$1,0),FALSE)),VLOOKUP($A102,Haver_M!$B$1:$BZ$300,MATCH(data!AB$1,Haver_M!$B$1:$BZ$1,0),FALSE),"")</f>
        <v>91.146000000000001</v>
      </c>
      <c r="AC102">
        <f>IF(ISNUMBER(VLOOKUP($A102,Haver_M!$B$1:$BZ$300,MATCH(data!AC$1,Haver_M!$B$1:$BZ$1,0),FALSE)),VLOOKUP($A102,Haver_M!$B$1:$BZ$300,MATCH(data!AC$1,Haver_M!$B$1:$BZ$1,0),FALSE),"")</f>
        <v>71.947000000000003</v>
      </c>
      <c r="AD102">
        <f>IF(ISNUMBER(VLOOKUP($A102,Haver_M!$B$1:$BZ$300,MATCH(data!AD$1,Haver_M!$B$1:$BZ$1,0),FALSE)),VLOOKUP($A102,Haver_M!$B$1:$BZ$300,MATCH(data!AD$1,Haver_M!$B$1:$BZ$1,0),FALSE),"")</f>
        <v>95.036000000000001</v>
      </c>
      <c r="AE102">
        <f>IF(ISNUMBER(VLOOKUP($A102,Haver_M!$B$1:$BZ$300,MATCH(data!AE$1,Haver_M!$B$1:$BZ$1,0),FALSE)),VLOOKUP($A102,Haver_M!$B$1:$BZ$300,MATCH(data!AE$1,Haver_M!$B$1:$BZ$1,0),FALSE),"")</f>
        <v>94.119</v>
      </c>
      <c r="AF102">
        <f>IF(ISNUMBER(VLOOKUP($A102,Haver_M!$B$1:$BZ$300,MATCH(data!AF$1,Haver_M!$B$1:$BZ$1,0),FALSE)),VLOOKUP($A102,Haver_M!$B$1:$BZ$300,MATCH(data!AF$1,Haver_M!$B$1:$BZ$1,0),FALSE),"")</f>
        <v>78.347999999999999</v>
      </c>
      <c r="AG102">
        <f>IF(ISNUMBER(VLOOKUP($A102,Haver_M!$B$1:$BZ$300,MATCH(data!AG$1,Haver_M!$B$1:$BZ$1,0),FALSE)),VLOOKUP($A102,Haver_M!$B$1:$BZ$300,MATCH(data!AG$1,Haver_M!$B$1:$BZ$1,0),FALSE),"")</f>
        <v>76.707999999999998</v>
      </c>
      <c r="AH102">
        <f>IF(ISNUMBER(VLOOKUP($A102,Haver_M!$B$1:$BZ$300,MATCH(data!AH$1,Haver_M!$B$1:$BZ$1,0),FALSE)),VLOOKUP($A102,Haver_M!$B$1:$BZ$300,MATCH(data!AH$1,Haver_M!$B$1:$BZ$1,0),FALSE),"")</f>
        <v>81.677999999999997</v>
      </c>
      <c r="AI102">
        <f>IF(ISNUMBER(VLOOKUP($A102,Haver_M!$B$1:$BZ$300,MATCH(data!AI$1,Haver_M!$B$1:$BZ$1,0),FALSE)),VLOOKUP($A102,Haver_M!$B$1:$BZ$300,MATCH(data!AI$1,Haver_M!$B$1:$BZ$1,0),FALSE),"")</f>
        <v>10982.673409229237</v>
      </c>
      <c r="AJ102">
        <f>IF(ISNUMBER(VLOOKUP($A102,Haver_M!$B$1:$BZ$300,MATCH(data!AJ$1,Haver_M!$B$1:$BZ$1,0),FALSE)),VLOOKUP($A102,Haver_M!$B$1:$BZ$300,MATCH(data!AJ$1,Haver_M!$B$1:$BZ$1,0),FALSE),"")</f>
        <v>18425.95</v>
      </c>
      <c r="AK102">
        <f>IF(ISNUMBER(VLOOKUP($A102,Haver_M!$B$1:$BZ$300,MATCH(data!AK$1,Haver_M!$B$1:$BZ$1,0),FALSE)),VLOOKUP($A102,Haver_M!$B$1:$BZ$300,MATCH(data!AK$1,Haver_M!$B$1:$BZ$1,0),FALSE),"")</f>
        <v>27276.34</v>
      </c>
      <c r="AL102" t="str">
        <f>IF(ISNUMBER(VLOOKUP($A102,Haver_M!$B$1:$BZ$300,MATCH(data!AL$1,Haver_M!$B$1:$BZ$1,0),FALSE)),VLOOKUP($A102,Haver_M!$B$1:$BZ$300,MATCH(data!AL$1,Haver_M!$B$1:$BZ$1,0),FALSE),"")</f>
        <v/>
      </c>
      <c r="AM102" t="str">
        <f>IF(ISNUMBER(VLOOKUP($A102,Haver_M!$B$1:$BZ$300,MATCH(data!AM$1,Haver_M!$B$1:$BZ$1,0),FALSE)),VLOOKUP($A102,Haver_M!$B$1:$BZ$300,MATCH(data!AM$1,Haver_M!$B$1:$BZ$1,0),FALSE),"")</f>
        <v/>
      </c>
      <c r="AN102" t="str">
        <f>IF(ISNUMBER(VLOOKUP($A102,Haver_M!$B$1:$BZ$300,MATCH(data!AN$1,Haver_M!$B$1:$BZ$1,0),FALSE)),VLOOKUP($A102,Haver_M!$B$1:$BZ$300,MATCH(data!AN$1,Haver_M!$B$1:$BZ$1,0),FALSE),"")</f>
        <v/>
      </c>
      <c r="AO102" t="str">
        <f>IF(ISNUMBER(VLOOKUP($A102,Haver_M!$B$1:$BZ$300,MATCH(data!AO$1,Haver_M!$B$1:$BZ$1,0),FALSE)),VLOOKUP($A102,Haver_M!$B$1:$BZ$300,MATCH(data!AO$1,Haver_M!$B$1:$BZ$1,0),FALSE),"")</f>
        <v/>
      </c>
      <c r="AP102">
        <f>IF(ISNUMBER(VLOOKUP($A102,Haver_M!$B$1:$BZ$300,MATCH(data!AP$1,Haver_M!$B$1:$BZ$1,0),FALSE)),VLOOKUP($A102,Haver_M!$B$1:$BZ$300,MATCH(data!AP$1,Haver_M!$B$1:$BZ$1,0),FALSE),"")</f>
        <v>105.91089060723239</v>
      </c>
      <c r="AQ102">
        <f>IF(ISNUMBER(VLOOKUP($A102,Haver_M!$B$1:$BZ$300,MATCH(data!AQ$1,Haver_M!$B$1:$BZ$1,0),FALSE)),VLOOKUP($A102,Haver_M!$B$1:$BZ$300,MATCH(data!AQ$1,Haver_M!$B$1:$BZ$1,0),FALSE),"")</f>
        <v>63.059399999999997</v>
      </c>
      <c r="AR102">
        <f>IF(ISNUMBER(VLOOKUP($A102,Haver_M!$B$1:$BZ$300,MATCH(data!AR$1,Haver_M!$B$1:$BZ$1,0),FALSE)),VLOOKUP($A102,Haver_M!$B$1:$BZ$300,MATCH(data!AR$1,Haver_M!$B$1:$BZ$1,0),FALSE),"")</f>
        <v>57.445900000000002</v>
      </c>
      <c r="AS102">
        <f>IF(ISNUMBER(VLOOKUP($A102,Haver_M!$B$1:$BZ$300,MATCH(data!AS$1,Haver_M!$B$1:$BZ$1,0),FALSE)),VLOOKUP($A102,Haver_M!$B$1:$BZ$300,MATCH(data!AS$1,Haver_M!$B$1:$BZ$1,0),FALSE),"")</f>
        <v>63.492600000000003</v>
      </c>
      <c r="AT102">
        <f>IF(ISNUMBER(VLOOKUP($A102,Haver_M!$B$1:$BZ$300,MATCH(data!AT$1,Haver_M!$B$1:$BZ$1,0),FALSE)),VLOOKUP($A102,Haver_M!$B$1:$BZ$300,MATCH(data!AT$1,Haver_M!$B$1:$BZ$1,0),FALSE),"")</f>
        <v>62.085700000000003</v>
      </c>
      <c r="AU102">
        <f>IF(ISNUMBER(VLOOKUP($A102,Haver_M!$B$1:$BZ$300,MATCH(data!AU$1,Haver_M!$B$1:$BZ$1,0),FALSE)),VLOOKUP($A102,Haver_M!$B$1:$BZ$300,MATCH(data!AU$1,Haver_M!$B$1:$BZ$1,0),FALSE),"")</f>
        <v>63.078299999999999</v>
      </c>
      <c r="AV102">
        <f>IF(ISNUMBER(VLOOKUP($A102,Haver_M!$B$1:$BZ$300,MATCH(data!AV$1,Haver_M!$B$1:$BZ$1,0),FALSE)),VLOOKUP($A102,Haver_M!$B$1:$BZ$300,MATCH(data!AV$1,Haver_M!$B$1:$BZ$1,0),FALSE),"")</f>
        <v>50.783099999999997</v>
      </c>
      <c r="AW102">
        <f>IF(ISNUMBER(VLOOKUP($A102,Haver_M!$B$1:$BZ$300,MATCH(data!AW$1,Haver_M!$B$1:$BZ$1,0),FALSE)),VLOOKUP($A102,Haver_M!$B$1:$BZ$300,MATCH(data!AW$1,Haver_M!$B$1:$BZ$1,0),FALSE),"")</f>
        <v>50.563099999999999</v>
      </c>
      <c r="AX102">
        <f>IF(ISNUMBER(VLOOKUP($A102,Haver_M!$B$1:$BZ$300,MATCH(data!AX$1,Haver_M!$B$1:$BZ$1,0),FALSE)),VLOOKUP($A102,Haver_M!$B$1:$BZ$300,MATCH(data!AX$1,Haver_M!$B$1:$BZ$1,0),FALSE),"")</f>
        <v>54.287799999999997</v>
      </c>
      <c r="AY102">
        <f>IF(ISNUMBER(VLOOKUP($A102,Haver_M!$B$1:$BZ$300,MATCH(data!AY$1,Haver_M!$B$1:$BZ$1,0),FALSE)),VLOOKUP($A102,Haver_M!$B$1:$BZ$300,MATCH(data!AY$1,Haver_M!$B$1:$BZ$1,0),FALSE),"")</f>
        <v>57.637099999999997</v>
      </c>
      <c r="AZ102">
        <f>IF(ISNUMBER(VLOOKUP($A102,Haver_M!$B$1:$BZ$300,MATCH(data!AZ$1,Haver_M!$B$1:$BZ$1,0),FALSE)),VLOOKUP($A102,Haver_M!$B$1:$BZ$300,MATCH(data!AZ$1,Haver_M!$B$1:$BZ$1,0),FALSE),"")</f>
        <v>61.680199999999999</v>
      </c>
      <c r="BA102">
        <f>IF(ISNUMBER(VLOOKUP($A102,Haver_M!$B$1:$BZ$300,MATCH(data!BA$1,Haver_M!$B$1:$BZ$1,0),FALSE)),VLOOKUP($A102,Haver_M!$B$1:$BZ$300,MATCH(data!BA$1,Haver_M!$B$1:$BZ$1,0),FALSE),"")</f>
        <v>54.287799999999997</v>
      </c>
      <c r="BB102">
        <f>IF(ISNUMBER(VLOOKUP($A102,Haver_M!$B$1:$BZ$300,MATCH(data!BB$1,Haver_M!$B$1:$BZ$1,0),FALSE)),VLOOKUP($A102,Haver_M!$B$1:$BZ$300,MATCH(data!BB$1,Haver_M!$B$1:$BZ$1,0),FALSE),"")</f>
        <v>55.125900000000001</v>
      </c>
      <c r="BC102">
        <f>IF(ISNUMBER(VLOOKUP($A102,Haver_M!$B$1:$BZ$300,MATCH(data!BC$1,Haver_M!$B$1:$BZ$1,0),FALSE)),VLOOKUP($A102,Haver_M!$B$1:$BZ$300,MATCH(data!BC$1,Haver_M!$B$1:$BZ$1,0),FALSE),"")</f>
        <v>54.239400000000003</v>
      </c>
      <c r="BD102">
        <f>IF(ISNUMBER(VLOOKUP($A102,Haver_M!$B$1:$BZ$300,MATCH(data!BD$1,Haver_M!$B$1:$BZ$1,0),FALSE)),VLOOKUP($A102,Haver_M!$B$1:$BZ$300,MATCH(data!BD$1,Haver_M!$B$1:$BZ$1,0),FALSE),"")</f>
        <v>51.561999999999998</v>
      </c>
      <c r="BE102">
        <f>IF(ISNUMBER(VLOOKUP($A102,Haver_M!$B$1:$BZ$300,MATCH(data!BE$1,Haver_M!$B$1:$BZ$1,0),FALSE)),VLOOKUP($A102,Haver_M!$B$1:$BZ$300,MATCH(data!BE$1,Haver_M!$B$1:$BZ$1,0),FALSE),"")</f>
        <v>1.2684</v>
      </c>
      <c r="BF102">
        <f>IF(ISNUMBER(VLOOKUP($A102,Haver_M!$B$1:$BZ$300,MATCH(data!BF$1,Haver_M!$B$1:$BZ$1,0),FALSE)),VLOOKUP($A102,Haver_M!$B$1:$BZ$300,MATCH(data!BF$1,Haver_M!$B$1:$BZ$1,0),FALSE),"")</f>
        <v>53.319400000000002</v>
      </c>
      <c r="BG102">
        <f>IF(ISNUMBER(VLOOKUP($A102,Haver_M!$B$1:$BZ$300,MATCH(data!BG$1,Haver_M!$B$1:$BZ$1,0),FALSE)),VLOOKUP($A102,Haver_M!$B$1:$BZ$300,MATCH(data!BG$1,Haver_M!$B$1:$BZ$1,0),FALSE),"")</f>
        <v>53.624899999999997</v>
      </c>
      <c r="BH102">
        <f>IF(ISNUMBER(VLOOKUP($A102,Haver_M!$B$1:$BZ$300,MATCH(data!BH$1,Haver_M!$B$1:$BZ$1,0),FALSE)),VLOOKUP($A102,Haver_M!$B$1:$BZ$300,MATCH(data!BH$1,Haver_M!$B$1:$BZ$1,0),FALSE),"")</f>
        <v>58.410600000000002</v>
      </c>
      <c r="BI102">
        <f>IF(ISNUMBER(VLOOKUP($A102,Haver_M!$B$1:$BZ$300,MATCH(data!BI$1,Haver_M!$B$1:$BZ$1,0),FALSE)),VLOOKUP($A102,Haver_M!$B$1:$BZ$300,MATCH(data!BI$1,Haver_M!$B$1:$BZ$1,0),FALSE),"")</f>
        <v>58.982500000000002</v>
      </c>
      <c r="BJ102" t="str">
        <f>IF(ISNUMBER(VLOOKUP($A102,Haver_M!$B$1:$BZ$300,MATCH(data!BJ$1,Haver_M!$B$1:$BZ$1,0),FALSE)),VLOOKUP($A102,Haver_M!$B$1:$BZ$300,MATCH(data!BJ$1,Haver_M!$B$1:$BZ$1,0),FALSE),"")</f>
        <v/>
      </c>
      <c r="BK102">
        <f>IF(ISNUMBER(VLOOKUP($A102,Haver_M!$B$1:$BZ$300,MATCH(data!BK$1,Haver_M!$B$1:$BZ$1,0),FALSE)),VLOOKUP($A102,Haver_M!$B$1:$BZ$300,MATCH(data!BK$1,Haver_M!$B$1:$BZ$1,0),FALSE),"")</f>
        <v>50.456499999999998</v>
      </c>
      <c r="BL102">
        <f>IF(ISNUMBER(VLOOKUP($A102,Haver_M!$B$1:$BZ$300,MATCH(data!BL$1,Haver_M!$B$1:$BZ$1,0),FALSE)),VLOOKUP($A102,Haver_M!$B$1:$BZ$300,MATCH(data!BL$1,Haver_M!$B$1:$BZ$1,0),FALSE),"")</f>
        <v>16945.650000000001</v>
      </c>
      <c r="BM102">
        <f>IF(ISNUMBER(VLOOKUP($A102,Haver_M!$B$1:$BZ$300,MATCH(data!BM$1,Haver_M!$B$1:$BZ$1,0),FALSE)),VLOOKUP($A102,Haver_M!$B$1:$BZ$300,MATCH(data!BM$1,Haver_M!$B$1:$BZ$1,0),FALSE),"")</f>
        <v>100.68765881</v>
      </c>
      <c r="BN102" t="str">
        <f>IF(ISNUMBER(VLOOKUP($A102,Haver_M!$B$1:$BZ$300,MATCH(data!BN$1,Haver_M!$B$1:$BZ$1,0),FALSE)),VLOOKUP($A102,Haver_M!$B$1:$BZ$300,MATCH(data!BN$1,Haver_M!$B$1:$BZ$1,0),FALSE),"")</f>
        <v/>
      </c>
      <c r="BO102" t="str">
        <f>IF(ISNUMBER(VLOOKUP($A102,Haver_M!$B$1:$BZ$300,MATCH(data!BO$1,Haver_M!$B$1:$BZ$1,0),FALSE)),VLOOKUP($A102,Haver_M!$B$1:$BZ$300,MATCH(data!BO$1,Haver_M!$B$1:$BZ$1,0),FALSE),"")</f>
        <v/>
      </c>
      <c r="BP102" t="str">
        <f>IF(ISNUMBER(VLOOKUP($A102,Haver_M!$B$1:$BZ$300,MATCH(data!BP$1,Haver_M!$B$1:$BZ$1,0),FALSE)),VLOOKUP($A102,Haver_M!$B$1:$BZ$300,MATCH(data!BP$1,Haver_M!$B$1:$BZ$1,0),FALSE),"")</f>
        <v/>
      </c>
      <c r="BQ102">
        <f>IF(ISNUMBER(VLOOKUP($A102,Haver_M!$B$1:$BZ$300,MATCH(data!BQ$1,Haver_M!$B$1:$BZ$1,0),FALSE)),VLOOKUP($A102,Haver_M!$B$1:$BZ$300,MATCH(data!BQ$1,Haver_M!$B$1:$BZ$1,0),FALSE),"")</f>
        <v>125.49382203178597</v>
      </c>
      <c r="BR102">
        <f>IF(ISNUMBER(VLOOKUP($A102,Haver_M!$B$1:$BZ$300,MATCH(data!BR$1,Haver_M!$B$1:$BZ$1,0),FALSE)),VLOOKUP($A102,Haver_M!$B$1:$BZ$300,MATCH(data!BR$1,Haver_M!$B$1:$BZ$1,0),FALSE),"")</f>
        <v>203.79936143191176</v>
      </c>
      <c r="BS102">
        <f>IF(ISNUMBER(VLOOKUP($A102,Haver_M!$B$1:$BZ$300,MATCH(data!BS$1,Haver_M!$B$1:$BZ$1,0),FALSE)),VLOOKUP($A102,Haver_M!$B$1:$BZ$300,MATCH(data!BS$1,Haver_M!$B$1:$BZ$1,0),FALSE),"")</f>
        <v>124.14167190893875</v>
      </c>
      <c r="BT102">
        <f>IF(ISNUMBER(VLOOKUP($A102,Haver_M!$B$1:$BZ$300,MATCH(data!BT$1,Haver_M!$B$1:$BZ$1,0),FALSE)),VLOOKUP($A102,Haver_M!$B$1:$BZ$300,MATCH(data!BT$1,Haver_M!$B$1:$BZ$1,0),FALSE),"")</f>
        <v>516.29155737023893</v>
      </c>
      <c r="BU102">
        <f>IF(ISNUMBER(VLOOKUP($A102,Haver_M!$B$1:$BZ$300,MATCH(data!BU$1,Haver_M!$B$1:$BZ$1,0),FALSE)),VLOOKUP($A102,Haver_M!$B$1:$BZ$300,MATCH(data!BU$1,Haver_M!$B$1:$BZ$1,0),FALSE),"")</f>
        <v>18686.599999999999</v>
      </c>
      <c r="BV102">
        <f>IF(ISNUMBER(VLOOKUP($A102,Haver_M!$B$1:$BZ$300,MATCH(data!BV$1,Haver_M!$B$1:$BZ$1,0),FALSE)),VLOOKUP($A102,Haver_M!$B$1:$BZ$300,MATCH(data!BV$1,Haver_M!$B$1:$BZ$1,0),FALSE),"")</f>
        <v>29443.599999999999</v>
      </c>
      <c r="BW102">
        <f>IF(ISNUMBER(VLOOKUP($A102,Haver_M!$B$1:$BZ$300,MATCH(data!BW$1,Haver_M!$B$1:$BZ$1,0),FALSE)),VLOOKUP($A102,Haver_M!$B$1:$BZ$300,MATCH(data!BW$1,Haver_M!$B$1:$BZ$1,0),FALSE),"")</f>
        <v>42.125500000000002</v>
      </c>
      <c r="BX102">
        <f>IF(ISNUMBER(VLOOKUP($A102,Haver_M!$B$1:$BZ$300,MATCH(data!BX$1,Haver_M!$B$1:$BZ$1,0),FALSE)),VLOOKUP($A102,Haver_M!$B$1:$BZ$300,MATCH(data!BX$1,Haver_M!$B$1:$BZ$1,0),FALSE),"")</f>
        <v>36367</v>
      </c>
    </row>
    <row r="103" spans="1:76" x14ac:dyDescent="0.25">
      <c r="A103" s="2">
        <v>39629</v>
      </c>
      <c r="B103">
        <f>IF(ISNUMBER(VLOOKUP($A103,Haver_Q!$B$1:$L$185,MATCH(data!B$1,Haver_Q!$B$1:$L$1,0),FALSE)),100*(VLOOKUP($A103,Haver_Q!$B$1:$L$185,MATCH(data!B$1,Haver_Q!$B$1:$L$1,0),FALSE)),"")</f>
        <v>3.2655113047689088</v>
      </c>
      <c r="C103">
        <f>IF(ISNUMBER(VLOOKUP($A103,Haver_Q!$B$1:$L$185,MATCH(data!C$1,Haver_Q!$B$1:$L$1,0),FALSE)),100*(VLOOKUP($A103,Haver_Q!$B$1:$L$185,MATCH(data!C$1,Haver_Q!$B$1:$L$1,0),FALSE)),"")</f>
        <v>6.5764864945140999</v>
      </c>
      <c r="D103">
        <f>IF(ISNUMBER(VLOOKUP($A103,Haver_Q!$B$1:$L$185,MATCH(data!D$1,Haver_Q!$B$1:$L$1,0),FALSE)),100*(VLOOKUP($A103,Haver_Q!$B$1:$L$185,MATCH(data!D$1,Haver_Q!$B$1:$L$1,0),FALSE)),"")</f>
        <v>-33.901316980292748</v>
      </c>
      <c r="E103">
        <f>IF(ISNUMBER(VLOOKUP($A103,Haver_Q!$B$1:$L$185,MATCH(data!E$1,Haver_Q!$B$1:$L$1,0),FALSE)),100*(VLOOKUP($A103,Haver_Q!$B$1:$L$185,MATCH(data!E$1,Haver_Q!$B$1:$L$1,0),FALSE)),"")</f>
        <v>4.57236770017031</v>
      </c>
      <c r="F103">
        <f>IF(ISNUMBER(VLOOKUP($A103,Haver_Q!$B$1:$L$185,MATCH(data!F$1,Haver_Q!$B$1:$L$1,0),FALSE)),100*(VLOOKUP($A103,Haver_Q!$B$1:$L$185,MATCH(data!F$1,Haver_Q!$B$1:$L$1,0),FALSE)),"")</f>
        <v>57.076575475320965</v>
      </c>
      <c r="G103">
        <f>IF(ISNUMBER(VLOOKUP($A103,Haver_Q!$B$1:$L$185,MATCH(data!G$1,Haver_Q!$B$1:$L$1,0),FALSE)),100*(VLOOKUP($A103,Haver_Q!$B$1:$L$185,MATCH(data!G$1,Haver_Q!$B$1:$L$1,0),FALSE)),"")</f>
        <v>11.642832637106061</v>
      </c>
      <c r="H103">
        <f>IF(ISNUMBER(VLOOKUP($A103,Haver_Q!$B$1:$L$185,MATCH(data!H$1,Haver_Q!$B$1:$L$1,0),FALSE)),(VLOOKUP($A103,Haver_Q!$B$1:$L$185,MATCH(data!H$1,Haver_Q!$B$1:$L$1,0),FALSE)),"")</f>
        <v>2.1671685012006665</v>
      </c>
      <c r="I103">
        <f>IF(ISNUMBER(VLOOKUP($A103,Haver_Q!$B$1:$L$185,MATCH(data!I$1,Haver_Q!$B$1:$L$1,0),FALSE)),100*(VLOOKUP($A103,Haver_Q!$B$1:$L$185,MATCH(data!I$1,Haver_Q!$B$1:$L$1,0),FALSE)),"")</f>
        <v>8.0841072087103996</v>
      </c>
      <c r="J103" s="3">
        <f>IF(ISNUMBER(Bloomberg_m!C119),Bloomberg_m!C119,"")</f>
        <v>10245</v>
      </c>
      <c r="K103" s="3" t="str">
        <f>IF(ISNUMBER(Bloomberg_m!D119),Bloomberg_m!D119,"")</f>
        <v/>
      </c>
      <c r="L103" s="3" t="str">
        <f>IF(ISNUMBER(Bloomberg_m!E119),Bloomberg_m!E119,"")</f>
        <v/>
      </c>
      <c r="M103" s="3" t="str">
        <f>IF(ISNUMBER(Bloomberg_m!F119),Bloomberg_m!F119,"")</f>
        <v/>
      </c>
      <c r="N103">
        <f>IF(ISNUMBER(VLOOKUP($A103,Haver_M!$B$1:$BZ$300,MATCH(data!N$1,Haver_M!$B$1:$BZ$1,0),FALSE)),VLOOKUP($A103,Haver_M!$B$1:$BZ$300,MATCH(data!N$1,Haver_M!$B$1:$BZ$1,0),FALSE),"")</f>
        <v>8.5</v>
      </c>
      <c r="O103">
        <f>IF(ISNUMBER(VLOOKUP($A103,Haver_M!$B$1:$BZ$300,MATCH(data!O$1,Haver_M!$B$1:$BZ$1,0),FALSE)),VLOOKUP($A103,Haver_M!$B$1:$BZ$300,MATCH(data!O$1,Haver_M!$B$1:$BZ$1,0),FALSE),"")</f>
        <v>8.6517999999999997</v>
      </c>
      <c r="P103">
        <f>IF(ISNUMBER(VLOOKUP($A103,Haver_M!$B$1:$BZ$300,MATCH(data!P$1,Haver_M!$B$1:$BZ$1,0),FALSE)),VLOOKUP($A103,Haver_M!$B$1:$BZ$300,MATCH(data!P$1,Haver_M!$B$1:$BZ$1,0),FALSE),"")</f>
        <v>88.448350000000005</v>
      </c>
      <c r="Q103">
        <f>IF(ISNUMBER(VLOOKUP($A103,Haver_M!$B$1:$BZ$300,MATCH(data!Q$1,Haver_M!$B$1:$BZ$1,0),FALSE)),VLOOKUP($A103,Haver_M!$B$1:$BZ$300,MATCH(data!Q$1,Haver_M!$B$1:$BZ$1,0),FALSE),"")</f>
        <v>69.2</v>
      </c>
      <c r="R103" t="str">
        <f>IF(ISNUMBER(VLOOKUP($A103,Haver_M!$B$1:$BZ$300,MATCH(data!R$1,Haver_M!$B$1:$BZ$1,0),FALSE)),VLOOKUP($A103,Haver_M!$B$1:$BZ$300,MATCH(data!R$1,Haver_M!$B$1:$BZ$1,0),FALSE),"")</f>
        <v/>
      </c>
      <c r="S103">
        <f>IF(ISNUMBER(VLOOKUP($A103,Haver_M!$B$1:$BZ$300,MATCH(data!S$1,Haver_M!$B$1:$BZ$1,0),FALSE)),VLOOKUP($A103,Haver_M!$B$1:$BZ$300,MATCH(data!S$1,Haver_M!$B$1:$BZ$1,0),FALSE),"")</f>
        <v>90.69</v>
      </c>
      <c r="T103">
        <f>IF(ISNUMBER(VLOOKUP($A103,Haver_M!$B$1:$BZ$300,MATCH(data!T$1,Haver_M!$B$1:$BZ$1,0),FALSE)),VLOOKUP($A103,Haver_M!$B$1:$BZ$300,MATCH(data!T$1,Haver_M!$B$1:$BZ$1,0),FALSE),"")</f>
        <v>82.17</v>
      </c>
      <c r="U103">
        <f>IF(ISNUMBER(VLOOKUP($A103,Haver_M!$B$1:$BZ$300,MATCH(data!U$1,Haver_M!$B$1:$BZ$1,0),FALSE)),VLOOKUP($A103,Haver_M!$B$1:$BZ$300,MATCH(data!U$1,Haver_M!$B$1:$BZ$1,0),FALSE),"")</f>
        <v>126.31</v>
      </c>
      <c r="V103">
        <f>IF(ISNUMBER(VLOOKUP($A103,Haver_M!$B$1:$BZ$300,MATCH(data!V$1,Haver_M!$B$1:$BZ$1,0),FALSE)),VLOOKUP($A103,Haver_M!$B$1:$BZ$300,MATCH(data!V$1,Haver_M!$B$1:$BZ$1,0),FALSE),"")</f>
        <v>95.96</v>
      </c>
      <c r="W103" t="str">
        <f>IF(ISNUMBER(VLOOKUP($A103,Haver_M!$B$1:$BZ$300,MATCH(data!W$1,Haver_M!$B$1:$BZ$1,0),FALSE)),VLOOKUP($A103,Haver_M!$B$1:$BZ$300,MATCH(data!W$1,Haver_M!$B$1:$BZ$1,0),FALSE),"")</f>
        <v/>
      </c>
      <c r="X103">
        <f>IF(ISNUMBER(VLOOKUP($A103,Haver_M!$B$1:$BZ$300,MATCH(data!X$1,Haver_M!$B$1:$BZ$1,0),FALSE)),VLOOKUP($A103,Haver_M!$B$1:$BZ$300,MATCH(data!X$1,Haver_M!$B$1:$BZ$1,0),FALSE),"")</f>
        <v>75.16</v>
      </c>
      <c r="Y103">
        <f>IF(ISNUMBER(VLOOKUP($A103,Haver_M!$B$1:$BZ$300,MATCH(data!Y$1,Haver_M!$B$1:$BZ$1,0),FALSE)),VLOOKUP($A103,Haver_M!$B$1:$BZ$300,MATCH(data!Y$1,Haver_M!$B$1:$BZ$1,0),FALSE),"")</f>
        <v>90.66</v>
      </c>
      <c r="Z103">
        <f>IF(ISNUMBER(VLOOKUP($A103,Haver_M!$B$1:$BZ$300,MATCH(data!Z$1,Haver_M!$B$1:$BZ$1,0),FALSE)),VLOOKUP($A103,Haver_M!$B$1:$BZ$300,MATCH(data!Z$1,Haver_M!$B$1:$BZ$1,0),FALSE),"")</f>
        <v>83.1</v>
      </c>
      <c r="AA103">
        <f>IF(ISNUMBER(VLOOKUP($A103,Haver_M!$B$1:$BZ$300,MATCH(data!AA$1,Haver_M!$B$1:$BZ$1,0),FALSE)),VLOOKUP($A103,Haver_M!$B$1:$BZ$300,MATCH(data!AA$1,Haver_M!$B$1:$BZ$1,0),FALSE),"")</f>
        <v>86.866</v>
      </c>
      <c r="AB103">
        <f>IF(ISNUMBER(VLOOKUP($A103,Haver_M!$B$1:$BZ$300,MATCH(data!AB$1,Haver_M!$B$1:$BZ$1,0),FALSE)),VLOOKUP($A103,Haver_M!$B$1:$BZ$300,MATCH(data!AB$1,Haver_M!$B$1:$BZ$1,0),FALSE),"")</f>
        <v>84.662999999999997</v>
      </c>
      <c r="AC103">
        <f>IF(ISNUMBER(VLOOKUP($A103,Haver_M!$B$1:$BZ$300,MATCH(data!AC$1,Haver_M!$B$1:$BZ$1,0),FALSE)),VLOOKUP($A103,Haver_M!$B$1:$BZ$300,MATCH(data!AC$1,Haver_M!$B$1:$BZ$1,0),FALSE),"")</f>
        <v>68.203999999999994</v>
      </c>
      <c r="AD103">
        <f>IF(ISNUMBER(VLOOKUP($A103,Haver_M!$B$1:$BZ$300,MATCH(data!AD$1,Haver_M!$B$1:$BZ$1,0),FALSE)),VLOOKUP($A103,Haver_M!$B$1:$BZ$300,MATCH(data!AD$1,Haver_M!$B$1:$BZ$1,0),FALSE),"")</f>
        <v>97.418999999999997</v>
      </c>
      <c r="AE103">
        <f>IF(ISNUMBER(VLOOKUP($A103,Haver_M!$B$1:$BZ$300,MATCH(data!AE$1,Haver_M!$B$1:$BZ$1,0),FALSE)),VLOOKUP($A103,Haver_M!$B$1:$BZ$300,MATCH(data!AE$1,Haver_M!$B$1:$BZ$1,0),FALSE),"")</f>
        <v>85.673000000000002</v>
      </c>
      <c r="AF103">
        <f>IF(ISNUMBER(VLOOKUP($A103,Haver_M!$B$1:$BZ$300,MATCH(data!AF$1,Haver_M!$B$1:$BZ$1,0),FALSE)),VLOOKUP($A103,Haver_M!$B$1:$BZ$300,MATCH(data!AF$1,Haver_M!$B$1:$BZ$1,0),FALSE),"")</f>
        <v>76.007000000000005</v>
      </c>
      <c r="AG103">
        <f>IF(ISNUMBER(VLOOKUP($A103,Haver_M!$B$1:$BZ$300,MATCH(data!AG$1,Haver_M!$B$1:$BZ$1,0),FALSE)),VLOOKUP($A103,Haver_M!$B$1:$BZ$300,MATCH(data!AG$1,Haver_M!$B$1:$BZ$1,0),FALSE),"")</f>
        <v>77.933999999999997</v>
      </c>
      <c r="AH103">
        <f>IF(ISNUMBER(VLOOKUP($A103,Haver_M!$B$1:$BZ$300,MATCH(data!AH$1,Haver_M!$B$1:$BZ$1,0),FALSE)),VLOOKUP($A103,Haver_M!$B$1:$BZ$300,MATCH(data!AH$1,Haver_M!$B$1:$BZ$1,0),FALSE),"")</f>
        <v>81.016999999999996</v>
      </c>
      <c r="AI103">
        <f>IF(ISNUMBER(VLOOKUP($A103,Haver_M!$B$1:$BZ$300,MATCH(data!AI$1,Haver_M!$B$1:$BZ$1,0),FALSE)),VLOOKUP($A103,Haver_M!$B$1:$BZ$300,MATCH(data!AI$1,Haver_M!$B$1:$BZ$1,0),FALSE),"")</f>
        <v>10388.534781772005</v>
      </c>
      <c r="AJ103">
        <f>IF(ISNUMBER(VLOOKUP($A103,Haver_M!$B$1:$BZ$300,MATCH(data!AJ$1,Haver_M!$B$1:$BZ$1,0),FALSE)),VLOOKUP($A103,Haver_M!$B$1:$BZ$300,MATCH(data!AJ$1,Haver_M!$B$1:$BZ$1,0),FALSE),"")</f>
        <v>18612.259999999998</v>
      </c>
      <c r="AK103">
        <f>IF(ISNUMBER(VLOOKUP($A103,Haver_M!$B$1:$BZ$300,MATCH(data!AK$1,Haver_M!$B$1:$BZ$1,0),FALSE)),VLOOKUP($A103,Haver_M!$B$1:$BZ$300,MATCH(data!AK$1,Haver_M!$B$1:$BZ$1,0),FALSE),"")</f>
        <v>28505.82</v>
      </c>
      <c r="AL103" t="str">
        <f>IF(ISNUMBER(VLOOKUP($A103,Haver_M!$B$1:$BZ$300,MATCH(data!AL$1,Haver_M!$B$1:$BZ$1,0),FALSE)),VLOOKUP($A103,Haver_M!$B$1:$BZ$300,MATCH(data!AL$1,Haver_M!$B$1:$BZ$1,0),FALSE),"")</f>
        <v/>
      </c>
      <c r="AM103" t="str">
        <f>IF(ISNUMBER(VLOOKUP($A103,Haver_M!$B$1:$BZ$300,MATCH(data!AM$1,Haver_M!$B$1:$BZ$1,0),FALSE)),VLOOKUP($A103,Haver_M!$B$1:$BZ$300,MATCH(data!AM$1,Haver_M!$B$1:$BZ$1,0),FALSE),"")</f>
        <v/>
      </c>
      <c r="AN103" t="str">
        <f>IF(ISNUMBER(VLOOKUP($A103,Haver_M!$B$1:$BZ$300,MATCH(data!AN$1,Haver_M!$B$1:$BZ$1,0),FALSE)),VLOOKUP($A103,Haver_M!$B$1:$BZ$300,MATCH(data!AN$1,Haver_M!$B$1:$BZ$1,0),FALSE),"")</f>
        <v/>
      </c>
      <c r="AO103" t="str">
        <f>IF(ISNUMBER(VLOOKUP($A103,Haver_M!$B$1:$BZ$300,MATCH(data!AO$1,Haver_M!$B$1:$BZ$1,0),FALSE)),VLOOKUP($A103,Haver_M!$B$1:$BZ$300,MATCH(data!AO$1,Haver_M!$B$1:$BZ$1,0),FALSE),"")</f>
        <v/>
      </c>
      <c r="AP103">
        <f>IF(ISNUMBER(VLOOKUP($A103,Haver_M!$B$1:$BZ$300,MATCH(data!AP$1,Haver_M!$B$1:$BZ$1,0),FALSE)),VLOOKUP($A103,Haver_M!$B$1:$BZ$300,MATCH(data!AP$1,Haver_M!$B$1:$BZ$1,0),FALSE),"")</f>
        <v>169.43809998265522</v>
      </c>
      <c r="AQ103">
        <f>IF(ISNUMBER(VLOOKUP($A103,Haver_M!$B$1:$BZ$300,MATCH(data!AQ$1,Haver_M!$B$1:$BZ$1,0),FALSE)),VLOOKUP($A103,Haver_M!$B$1:$BZ$300,MATCH(data!AQ$1,Haver_M!$B$1:$BZ$1,0),FALSE),"")</f>
        <v>64.177599999999998</v>
      </c>
      <c r="AR103">
        <f>IF(ISNUMBER(VLOOKUP($A103,Haver_M!$B$1:$BZ$300,MATCH(data!AR$1,Haver_M!$B$1:$BZ$1,0),FALSE)),VLOOKUP($A103,Haver_M!$B$1:$BZ$300,MATCH(data!AR$1,Haver_M!$B$1:$BZ$1,0),FALSE),"")</f>
        <v>58.629800000000003</v>
      </c>
      <c r="AS103">
        <f>IF(ISNUMBER(VLOOKUP($A103,Haver_M!$B$1:$BZ$300,MATCH(data!AS$1,Haver_M!$B$1:$BZ$1,0),FALSE)),VLOOKUP($A103,Haver_M!$B$1:$BZ$300,MATCH(data!AS$1,Haver_M!$B$1:$BZ$1,0),FALSE),"")</f>
        <v>64.331299999999999</v>
      </c>
      <c r="AT103">
        <f>IF(ISNUMBER(VLOOKUP($A103,Haver_M!$B$1:$BZ$300,MATCH(data!AT$1,Haver_M!$B$1:$BZ$1,0),FALSE)),VLOOKUP($A103,Haver_M!$B$1:$BZ$300,MATCH(data!AT$1,Haver_M!$B$1:$BZ$1,0),FALSE),"")</f>
        <v>63.8322</v>
      </c>
      <c r="AU103">
        <f>IF(ISNUMBER(VLOOKUP($A103,Haver_M!$B$1:$BZ$300,MATCH(data!AU$1,Haver_M!$B$1:$BZ$1,0),FALSE)),VLOOKUP($A103,Haver_M!$B$1:$BZ$300,MATCH(data!AU$1,Haver_M!$B$1:$BZ$1,0),FALSE),"")</f>
        <v>65.678600000000003</v>
      </c>
      <c r="AV103">
        <f>IF(ISNUMBER(VLOOKUP($A103,Haver_M!$B$1:$BZ$300,MATCH(data!AV$1,Haver_M!$B$1:$BZ$1,0),FALSE)),VLOOKUP($A103,Haver_M!$B$1:$BZ$300,MATCH(data!AV$1,Haver_M!$B$1:$BZ$1,0),FALSE),"")</f>
        <v>51.027999999999999</v>
      </c>
      <c r="AW103">
        <f>IF(ISNUMBER(VLOOKUP($A103,Haver_M!$B$1:$BZ$300,MATCH(data!AW$1,Haver_M!$B$1:$BZ$1,0),FALSE)),VLOOKUP($A103,Haver_M!$B$1:$BZ$300,MATCH(data!AW$1,Haver_M!$B$1:$BZ$1,0),FALSE),"")</f>
        <v>50.512</v>
      </c>
      <c r="AX103">
        <f>IF(ISNUMBER(VLOOKUP($A103,Haver_M!$B$1:$BZ$300,MATCH(data!AX$1,Haver_M!$B$1:$BZ$1,0),FALSE)),VLOOKUP($A103,Haver_M!$B$1:$BZ$300,MATCH(data!AX$1,Haver_M!$B$1:$BZ$1,0),FALSE),"")</f>
        <v>53.393999999999998</v>
      </c>
      <c r="AY103">
        <f>IF(ISNUMBER(VLOOKUP($A103,Haver_M!$B$1:$BZ$300,MATCH(data!AY$1,Haver_M!$B$1:$BZ$1,0),FALSE)),VLOOKUP($A103,Haver_M!$B$1:$BZ$300,MATCH(data!AY$1,Haver_M!$B$1:$BZ$1,0),FALSE),"")</f>
        <v>58.6937</v>
      </c>
      <c r="AZ103">
        <f>IF(ISNUMBER(VLOOKUP($A103,Haver_M!$B$1:$BZ$300,MATCH(data!AZ$1,Haver_M!$B$1:$BZ$1,0),FALSE)),VLOOKUP($A103,Haver_M!$B$1:$BZ$300,MATCH(data!AZ$1,Haver_M!$B$1:$BZ$1,0),FALSE),"")</f>
        <v>59.072800000000001</v>
      </c>
      <c r="BA103">
        <f>IF(ISNUMBER(VLOOKUP($A103,Haver_M!$B$1:$BZ$300,MATCH(data!BA$1,Haver_M!$B$1:$BZ$1,0),FALSE)),VLOOKUP($A103,Haver_M!$B$1:$BZ$300,MATCH(data!BA$1,Haver_M!$B$1:$BZ$1,0),FALSE),"")</f>
        <v>53.393999999999998</v>
      </c>
      <c r="BB103">
        <f>IF(ISNUMBER(VLOOKUP($A103,Haver_M!$B$1:$BZ$300,MATCH(data!BB$1,Haver_M!$B$1:$BZ$1,0),FALSE)),VLOOKUP($A103,Haver_M!$B$1:$BZ$300,MATCH(data!BB$1,Haver_M!$B$1:$BZ$1,0),FALSE),"")</f>
        <v>58.768900000000002</v>
      </c>
      <c r="BC103">
        <f>IF(ISNUMBER(VLOOKUP($A103,Haver_M!$B$1:$BZ$300,MATCH(data!BC$1,Haver_M!$B$1:$BZ$1,0),FALSE)),VLOOKUP($A103,Haver_M!$B$1:$BZ$300,MATCH(data!BC$1,Haver_M!$B$1:$BZ$1,0),FALSE),"")</f>
        <v>54.681199999999997</v>
      </c>
      <c r="BD103">
        <f>IF(ISNUMBER(VLOOKUP($A103,Haver_M!$B$1:$BZ$300,MATCH(data!BD$1,Haver_M!$B$1:$BZ$1,0),FALSE)),VLOOKUP($A103,Haver_M!$B$1:$BZ$300,MATCH(data!BD$1,Haver_M!$B$1:$BZ$1,0),FALSE),"")</f>
        <v>50.689900000000002</v>
      </c>
      <c r="BE103">
        <f>IF(ISNUMBER(VLOOKUP($A103,Haver_M!$B$1:$BZ$300,MATCH(data!BE$1,Haver_M!$B$1:$BZ$1,0),FALSE)),VLOOKUP($A103,Haver_M!$B$1:$BZ$300,MATCH(data!BE$1,Haver_M!$B$1:$BZ$1,0),FALSE),"")</f>
        <v>1.3371999999999999</v>
      </c>
      <c r="BF103">
        <f>IF(ISNUMBER(VLOOKUP($A103,Haver_M!$B$1:$BZ$300,MATCH(data!BF$1,Haver_M!$B$1:$BZ$1,0),FALSE)),VLOOKUP($A103,Haver_M!$B$1:$BZ$300,MATCH(data!BF$1,Haver_M!$B$1:$BZ$1,0),FALSE),"")</f>
        <v>54.415399999999998</v>
      </c>
      <c r="BG103">
        <f>IF(ISNUMBER(VLOOKUP($A103,Haver_M!$B$1:$BZ$300,MATCH(data!BG$1,Haver_M!$B$1:$BZ$1,0),FALSE)),VLOOKUP($A103,Haver_M!$B$1:$BZ$300,MATCH(data!BG$1,Haver_M!$B$1:$BZ$1,0),FALSE),"")</f>
        <v>55.011000000000003</v>
      </c>
      <c r="BH103">
        <f>IF(ISNUMBER(VLOOKUP($A103,Haver_M!$B$1:$BZ$300,MATCH(data!BH$1,Haver_M!$B$1:$BZ$1,0),FALSE)),VLOOKUP($A103,Haver_M!$B$1:$BZ$300,MATCH(data!BH$1,Haver_M!$B$1:$BZ$1,0),FALSE),"")</f>
        <v>58.8339</v>
      </c>
      <c r="BI103">
        <f>IF(ISNUMBER(VLOOKUP($A103,Haver_M!$B$1:$BZ$300,MATCH(data!BI$1,Haver_M!$B$1:$BZ$1,0),FALSE)),VLOOKUP($A103,Haver_M!$B$1:$BZ$300,MATCH(data!BI$1,Haver_M!$B$1:$BZ$1,0),FALSE),"")</f>
        <v>61.834899999999998</v>
      </c>
      <c r="BJ103" t="str">
        <f>IF(ISNUMBER(VLOOKUP($A103,Haver_M!$B$1:$BZ$300,MATCH(data!BJ$1,Haver_M!$B$1:$BZ$1,0),FALSE)),VLOOKUP($A103,Haver_M!$B$1:$BZ$300,MATCH(data!BJ$1,Haver_M!$B$1:$BZ$1,0),FALSE),"")</f>
        <v/>
      </c>
      <c r="BK103">
        <f>IF(ISNUMBER(VLOOKUP($A103,Haver_M!$B$1:$BZ$300,MATCH(data!BK$1,Haver_M!$B$1:$BZ$1,0),FALSE)),VLOOKUP($A103,Haver_M!$B$1:$BZ$300,MATCH(data!BK$1,Haver_M!$B$1:$BZ$1,0),FALSE),"")</f>
        <v>51.095700000000001</v>
      </c>
      <c r="BL103">
        <f>IF(ISNUMBER(VLOOKUP($A103,Haver_M!$B$1:$BZ$300,MATCH(data!BL$1,Haver_M!$B$1:$BZ$1,0),FALSE)),VLOOKUP($A103,Haver_M!$B$1:$BZ$300,MATCH(data!BL$1,Haver_M!$B$1:$BZ$1,0),FALSE),"")</f>
        <v>14997.28</v>
      </c>
      <c r="BM103">
        <f>IF(ISNUMBER(VLOOKUP($A103,Haver_M!$B$1:$BZ$300,MATCH(data!BM$1,Haver_M!$B$1:$BZ$1,0),FALSE)),VLOOKUP($A103,Haver_M!$B$1:$BZ$300,MATCH(data!BM$1,Haver_M!$B$1:$BZ$1,0),FALSE),"")</f>
        <v>97.936224280000005</v>
      </c>
      <c r="BN103">
        <f>IF(ISNUMBER(VLOOKUP($A103,Haver_M!$B$1:$BZ$300,MATCH(data!BN$1,Haver_M!$B$1:$BZ$1,0),FALSE)),VLOOKUP($A103,Haver_M!$B$1:$BZ$300,MATCH(data!BN$1,Haver_M!$B$1:$BZ$1,0),FALSE),"")</f>
        <v>116.2</v>
      </c>
      <c r="BO103">
        <f>IF(ISNUMBER(VLOOKUP($A103,Haver_M!$B$1:$BZ$300,MATCH(data!BO$1,Haver_M!$B$1:$BZ$1,0),FALSE)),VLOOKUP($A103,Haver_M!$B$1:$BZ$300,MATCH(data!BO$1,Haver_M!$B$1:$BZ$1,0),FALSE),"")</f>
        <v>123.2</v>
      </c>
      <c r="BP103">
        <f>IF(ISNUMBER(VLOOKUP($A103,Haver_M!$B$1:$BZ$300,MATCH(data!BP$1,Haver_M!$B$1:$BZ$1,0),FALSE)),VLOOKUP($A103,Haver_M!$B$1:$BZ$300,MATCH(data!BP$1,Haver_M!$B$1:$BZ$1,0),FALSE),"")</f>
        <v>46</v>
      </c>
      <c r="BQ103">
        <f>IF(ISNUMBER(VLOOKUP($A103,Haver_M!$B$1:$BZ$300,MATCH(data!BQ$1,Haver_M!$B$1:$BZ$1,0),FALSE)),VLOOKUP($A103,Haver_M!$B$1:$BZ$300,MATCH(data!BQ$1,Haver_M!$B$1:$BZ$1,0),FALSE),"")</f>
        <v>125.93498042127531</v>
      </c>
      <c r="BR103">
        <f>IF(ISNUMBER(VLOOKUP($A103,Haver_M!$B$1:$BZ$300,MATCH(data!BR$1,Haver_M!$B$1:$BZ$1,0),FALSE)),VLOOKUP($A103,Haver_M!$B$1:$BZ$300,MATCH(data!BR$1,Haver_M!$B$1:$BZ$1,0),FALSE),"")</f>
        <v>206.4681008053312</v>
      </c>
      <c r="BS103">
        <f>IF(ISNUMBER(VLOOKUP($A103,Haver_M!$B$1:$BZ$300,MATCH(data!BS$1,Haver_M!$B$1:$BZ$1,0),FALSE)),VLOOKUP($A103,Haver_M!$B$1:$BZ$300,MATCH(data!BS$1,Haver_M!$B$1:$BZ$1,0),FALSE),"")</f>
        <v>126.81316269371496</v>
      </c>
      <c r="BT103">
        <f>IF(ISNUMBER(VLOOKUP($A103,Haver_M!$B$1:$BZ$300,MATCH(data!BT$1,Haver_M!$B$1:$BZ$1,0),FALSE)),VLOOKUP($A103,Haver_M!$B$1:$BZ$300,MATCH(data!BT$1,Haver_M!$B$1:$BZ$1,0),FALSE),"")</f>
        <v>521.26737509660938</v>
      </c>
      <c r="BU103">
        <f>IF(ISNUMBER(VLOOKUP($A103,Haver_M!$B$1:$BZ$300,MATCH(data!BU$1,Haver_M!$B$1:$BZ$1,0),FALSE)),VLOOKUP($A103,Haver_M!$B$1:$BZ$300,MATCH(data!BU$1,Haver_M!$B$1:$BZ$1,0),FALSE),"")</f>
        <v>19180.900000000001</v>
      </c>
      <c r="BV103">
        <f>IF(ISNUMBER(VLOOKUP($A103,Haver_M!$B$1:$BZ$300,MATCH(data!BV$1,Haver_M!$B$1:$BZ$1,0),FALSE)),VLOOKUP($A103,Haver_M!$B$1:$BZ$300,MATCH(data!BV$1,Haver_M!$B$1:$BZ$1,0),FALSE),"")</f>
        <v>28950.6</v>
      </c>
      <c r="BW103">
        <f>IF(ISNUMBER(VLOOKUP($A103,Haver_M!$B$1:$BZ$300,MATCH(data!BW$1,Haver_M!$B$1:$BZ$1,0),FALSE)),VLOOKUP($A103,Haver_M!$B$1:$BZ$300,MATCH(data!BW$1,Haver_M!$B$1:$BZ$1,0),FALSE),"")</f>
        <v>42.827100000000002</v>
      </c>
      <c r="BX103">
        <f>IF(ISNUMBER(VLOOKUP($A103,Haver_M!$B$1:$BZ$300,MATCH(data!BX$1,Haver_M!$B$1:$BZ$1,0),FALSE)),VLOOKUP($A103,Haver_M!$B$1:$BZ$300,MATCH(data!BX$1,Haver_M!$B$1:$BZ$1,0),FALSE),"")</f>
        <v>36276</v>
      </c>
    </row>
    <row r="104" spans="1:76" x14ac:dyDescent="0.25">
      <c r="A104" s="2">
        <v>39660</v>
      </c>
      <c r="B104" t="str">
        <f>IF(ISNUMBER(VLOOKUP($A104,Haver_Q!$B$1:$L$185,MATCH(data!B$1,Haver_Q!$B$1:$L$1,0),FALSE)),100*(VLOOKUP($A104,Haver_Q!$B$1:$L$185,MATCH(data!B$1,Haver_Q!$B$1:$L$1,0),FALSE)),"")</f>
        <v/>
      </c>
      <c r="C104" t="str">
        <f>IF(ISNUMBER(VLOOKUP($A104,Haver_Q!$B$1:$L$185,MATCH(data!C$1,Haver_Q!$B$1:$L$1,0),FALSE)),100*(VLOOKUP($A104,Haver_Q!$B$1:$L$185,MATCH(data!C$1,Haver_Q!$B$1:$L$1,0),FALSE)),"")</f>
        <v/>
      </c>
      <c r="D104" t="str">
        <f>IF(ISNUMBER(VLOOKUP($A104,Haver_Q!$B$1:$L$185,MATCH(data!D$1,Haver_Q!$B$1:$L$1,0),FALSE)),100*(VLOOKUP($A104,Haver_Q!$B$1:$L$185,MATCH(data!D$1,Haver_Q!$B$1:$L$1,0),FALSE)),"")</f>
        <v/>
      </c>
      <c r="E104" t="str">
        <f>IF(ISNUMBER(VLOOKUP($A104,Haver_Q!$B$1:$L$185,MATCH(data!E$1,Haver_Q!$B$1:$L$1,0),FALSE)),100*(VLOOKUP($A104,Haver_Q!$B$1:$L$185,MATCH(data!E$1,Haver_Q!$B$1:$L$1,0),FALSE)),"")</f>
        <v/>
      </c>
      <c r="F104" t="str">
        <f>IF(ISNUMBER(VLOOKUP($A104,Haver_Q!$B$1:$L$185,MATCH(data!F$1,Haver_Q!$B$1:$L$1,0),FALSE)),100*(VLOOKUP($A104,Haver_Q!$B$1:$L$185,MATCH(data!F$1,Haver_Q!$B$1:$L$1,0),FALSE)),"")</f>
        <v/>
      </c>
      <c r="G104" t="str">
        <f>IF(ISNUMBER(VLOOKUP($A104,Haver_Q!$B$1:$L$185,MATCH(data!G$1,Haver_Q!$B$1:$L$1,0),FALSE)),100*(VLOOKUP($A104,Haver_Q!$B$1:$L$185,MATCH(data!G$1,Haver_Q!$B$1:$L$1,0),FALSE)),"")</f>
        <v/>
      </c>
      <c r="H104" t="str">
        <f>IF(ISNUMBER(VLOOKUP($A104,Haver_Q!$B$1:$L$185,MATCH(data!H$1,Haver_Q!$B$1:$L$1,0),FALSE)),(VLOOKUP($A104,Haver_Q!$B$1:$L$185,MATCH(data!H$1,Haver_Q!$B$1:$L$1,0),FALSE)),"")</f>
        <v/>
      </c>
      <c r="I104" t="str">
        <f>IF(ISNUMBER(VLOOKUP($A104,Haver_Q!$B$1:$L$185,MATCH(data!I$1,Haver_Q!$B$1:$L$1,0),FALSE)),100*(VLOOKUP($A104,Haver_Q!$B$1:$L$185,MATCH(data!I$1,Haver_Q!$B$1:$L$1,0),FALSE)),"")</f>
        <v/>
      </c>
      <c r="J104" s="3">
        <f>IF(ISNUMBER(Bloomberg_m!C120),Bloomberg_m!C120,"")</f>
        <v>8936</v>
      </c>
      <c r="K104" s="3" t="str">
        <f>IF(ISNUMBER(Bloomberg_m!D120),Bloomberg_m!D120,"")</f>
        <v/>
      </c>
      <c r="L104" s="3" t="str">
        <f>IF(ISNUMBER(Bloomberg_m!E120),Bloomberg_m!E120,"")</f>
        <v/>
      </c>
      <c r="M104" s="3" t="str">
        <f>IF(ISNUMBER(Bloomberg_m!F120),Bloomberg_m!F120,"")</f>
        <v/>
      </c>
      <c r="N104">
        <f>IF(ISNUMBER(VLOOKUP($A104,Haver_M!$B$1:$BZ$300,MATCH(data!N$1,Haver_M!$B$1:$BZ$1,0),FALSE)),VLOOKUP($A104,Haver_M!$B$1:$BZ$300,MATCH(data!N$1,Haver_M!$B$1:$BZ$1,0),FALSE),"")</f>
        <v>9</v>
      </c>
      <c r="O104">
        <f>IF(ISNUMBER(VLOOKUP($A104,Haver_M!$B$1:$BZ$300,MATCH(data!O$1,Haver_M!$B$1:$BZ$1,0),FALSE)),VLOOKUP($A104,Haver_M!$B$1:$BZ$300,MATCH(data!O$1,Haver_M!$B$1:$BZ$1,0),FALSE),"")</f>
        <v>9.35</v>
      </c>
      <c r="P104">
        <f>IF(ISNUMBER(VLOOKUP($A104,Haver_M!$B$1:$BZ$300,MATCH(data!P$1,Haver_M!$B$1:$BZ$1,0),FALSE)),VLOOKUP($A104,Haver_M!$B$1:$BZ$300,MATCH(data!P$1,Haver_M!$B$1:$BZ$1,0),FALSE),"")</f>
        <v>87.211849999999998</v>
      </c>
      <c r="Q104">
        <f>IF(ISNUMBER(VLOOKUP($A104,Haver_M!$B$1:$BZ$300,MATCH(data!Q$1,Haver_M!$B$1:$BZ$1,0),FALSE)),VLOOKUP($A104,Haver_M!$B$1:$BZ$300,MATCH(data!Q$1,Haver_M!$B$1:$BZ$1,0),FALSE),"")</f>
        <v>70.400000000000006</v>
      </c>
      <c r="R104" t="str">
        <f>IF(ISNUMBER(VLOOKUP($A104,Haver_M!$B$1:$BZ$300,MATCH(data!R$1,Haver_M!$B$1:$BZ$1,0),FALSE)),VLOOKUP($A104,Haver_M!$B$1:$BZ$300,MATCH(data!R$1,Haver_M!$B$1:$BZ$1,0),FALSE),"")</f>
        <v/>
      </c>
      <c r="S104">
        <f>IF(ISNUMBER(VLOOKUP($A104,Haver_M!$B$1:$BZ$300,MATCH(data!S$1,Haver_M!$B$1:$BZ$1,0),FALSE)),VLOOKUP($A104,Haver_M!$B$1:$BZ$300,MATCH(data!S$1,Haver_M!$B$1:$BZ$1,0),FALSE),"")</f>
        <v>88.57</v>
      </c>
      <c r="T104">
        <f>IF(ISNUMBER(VLOOKUP($A104,Haver_M!$B$1:$BZ$300,MATCH(data!T$1,Haver_M!$B$1:$BZ$1,0),FALSE)),VLOOKUP($A104,Haver_M!$B$1:$BZ$300,MATCH(data!T$1,Haver_M!$B$1:$BZ$1,0),FALSE),"")</f>
        <v>84.78</v>
      </c>
      <c r="U104">
        <f>IF(ISNUMBER(VLOOKUP($A104,Haver_M!$B$1:$BZ$300,MATCH(data!U$1,Haver_M!$B$1:$BZ$1,0),FALSE)),VLOOKUP($A104,Haver_M!$B$1:$BZ$300,MATCH(data!U$1,Haver_M!$B$1:$BZ$1,0),FALSE),"")</f>
        <v>109.38</v>
      </c>
      <c r="V104">
        <f>IF(ISNUMBER(VLOOKUP($A104,Haver_M!$B$1:$BZ$300,MATCH(data!V$1,Haver_M!$B$1:$BZ$1,0),FALSE)),VLOOKUP($A104,Haver_M!$B$1:$BZ$300,MATCH(data!V$1,Haver_M!$B$1:$BZ$1,0),FALSE),"")</f>
        <v>95.73</v>
      </c>
      <c r="W104" t="str">
        <f>IF(ISNUMBER(VLOOKUP($A104,Haver_M!$B$1:$BZ$300,MATCH(data!W$1,Haver_M!$B$1:$BZ$1,0),FALSE)),VLOOKUP($A104,Haver_M!$B$1:$BZ$300,MATCH(data!W$1,Haver_M!$B$1:$BZ$1,0),FALSE),"")</f>
        <v/>
      </c>
      <c r="X104">
        <f>IF(ISNUMBER(VLOOKUP($A104,Haver_M!$B$1:$BZ$300,MATCH(data!X$1,Haver_M!$B$1:$BZ$1,0),FALSE)),VLOOKUP($A104,Haver_M!$B$1:$BZ$300,MATCH(data!X$1,Haver_M!$B$1:$BZ$1,0),FALSE),"")</f>
        <v>71.28</v>
      </c>
      <c r="Y104">
        <f>IF(ISNUMBER(VLOOKUP($A104,Haver_M!$B$1:$BZ$300,MATCH(data!Y$1,Haver_M!$B$1:$BZ$1,0),FALSE)),VLOOKUP($A104,Haver_M!$B$1:$BZ$300,MATCH(data!Y$1,Haver_M!$B$1:$BZ$1,0),FALSE),"")</f>
        <v>88.3</v>
      </c>
      <c r="Z104">
        <f>IF(ISNUMBER(VLOOKUP($A104,Haver_M!$B$1:$BZ$300,MATCH(data!Z$1,Haver_M!$B$1:$BZ$1,0),FALSE)),VLOOKUP($A104,Haver_M!$B$1:$BZ$300,MATCH(data!Z$1,Haver_M!$B$1:$BZ$1,0),FALSE),"")</f>
        <v>84.6</v>
      </c>
      <c r="AA104">
        <f>IF(ISNUMBER(VLOOKUP($A104,Haver_M!$B$1:$BZ$300,MATCH(data!AA$1,Haver_M!$B$1:$BZ$1,0),FALSE)),VLOOKUP($A104,Haver_M!$B$1:$BZ$300,MATCH(data!AA$1,Haver_M!$B$1:$BZ$1,0),FALSE),"")</f>
        <v>88.010999999999996</v>
      </c>
      <c r="AB104">
        <f>IF(ISNUMBER(VLOOKUP($A104,Haver_M!$B$1:$BZ$300,MATCH(data!AB$1,Haver_M!$B$1:$BZ$1,0),FALSE)),VLOOKUP($A104,Haver_M!$B$1:$BZ$300,MATCH(data!AB$1,Haver_M!$B$1:$BZ$1,0),FALSE),"")</f>
        <v>87.602999999999994</v>
      </c>
      <c r="AC104">
        <f>IF(ISNUMBER(VLOOKUP($A104,Haver_M!$B$1:$BZ$300,MATCH(data!AC$1,Haver_M!$B$1:$BZ$1,0),FALSE)),VLOOKUP($A104,Haver_M!$B$1:$BZ$300,MATCH(data!AC$1,Haver_M!$B$1:$BZ$1,0),FALSE),"")</f>
        <v>69.956000000000003</v>
      </c>
      <c r="AD104">
        <f>IF(ISNUMBER(VLOOKUP($A104,Haver_M!$B$1:$BZ$300,MATCH(data!AD$1,Haver_M!$B$1:$BZ$1,0),FALSE)),VLOOKUP($A104,Haver_M!$B$1:$BZ$300,MATCH(data!AD$1,Haver_M!$B$1:$BZ$1,0),FALSE),"")</f>
        <v>101.53700000000001</v>
      </c>
      <c r="AE104">
        <f>IF(ISNUMBER(VLOOKUP($A104,Haver_M!$B$1:$BZ$300,MATCH(data!AE$1,Haver_M!$B$1:$BZ$1,0),FALSE)),VLOOKUP($A104,Haver_M!$B$1:$BZ$300,MATCH(data!AE$1,Haver_M!$B$1:$BZ$1,0),FALSE),"")</f>
        <v>84.131</v>
      </c>
      <c r="AF104">
        <f>IF(ISNUMBER(VLOOKUP($A104,Haver_M!$B$1:$BZ$300,MATCH(data!AF$1,Haver_M!$B$1:$BZ$1,0),FALSE)),VLOOKUP($A104,Haver_M!$B$1:$BZ$300,MATCH(data!AF$1,Haver_M!$B$1:$BZ$1,0),FALSE),"")</f>
        <v>77.551000000000002</v>
      </c>
      <c r="AG104">
        <f>IF(ISNUMBER(VLOOKUP($A104,Haver_M!$B$1:$BZ$300,MATCH(data!AG$1,Haver_M!$B$1:$BZ$1,0),FALSE)),VLOOKUP($A104,Haver_M!$B$1:$BZ$300,MATCH(data!AG$1,Haver_M!$B$1:$BZ$1,0),FALSE),"")</f>
        <v>78.108999999999995</v>
      </c>
      <c r="AH104">
        <f>IF(ISNUMBER(VLOOKUP($A104,Haver_M!$B$1:$BZ$300,MATCH(data!AH$1,Haver_M!$B$1:$BZ$1,0),FALSE)),VLOOKUP($A104,Haver_M!$B$1:$BZ$300,MATCH(data!AH$1,Haver_M!$B$1:$BZ$1,0),FALSE),"")</f>
        <v>82.811999999999998</v>
      </c>
      <c r="AI104">
        <f>IF(ISNUMBER(VLOOKUP($A104,Haver_M!$B$1:$BZ$300,MATCH(data!AI$1,Haver_M!$B$1:$BZ$1,0),FALSE)),VLOOKUP($A104,Haver_M!$B$1:$BZ$300,MATCH(data!AI$1,Haver_M!$B$1:$BZ$1,0),FALSE),"")</f>
        <v>10997.039432018921</v>
      </c>
      <c r="AJ104">
        <f>IF(ISNUMBER(VLOOKUP($A104,Haver_M!$B$1:$BZ$300,MATCH(data!AJ$1,Haver_M!$B$1:$BZ$1,0),FALSE)),VLOOKUP($A104,Haver_M!$B$1:$BZ$300,MATCH(data!AJ$1,Haver_M!$B$1:$BZ$1,0),FALSE),"")</f>
        <v>18428.63</v>
      </c>
      <c r="AK104">
        <f>IF(ISNUMBER(VLOOKUP($A104,Haver_M!$B$1:$BZ$300,MATCH(data!AK$1,Haver_M!$B$1:$BZ$1,0),FALSE)),VLOOKUP($A104,Haver_M!$B$1:$BZ$300,MATCH(data!AK$1,Haver_M!$B$1:$BZ$1,0),FALSE),"")</f>
        <v>29952.25</v>
      </c>
      <c r="AL104" t="str">
        <f>IF(ISNUMBER(VLOOKUP($A104,Haver_M!$B$1:$BZ$300,MATCH(data!AL$1,Haver_M!$B$1:$BZ$1,0),FALSE)),VLOOKUP($A104,Haver_M!$B$1:$BZ$300,MATCH(data!AL$1,Haver_M!$B$1:$BZ$1,0),FALSE),"")</f>
        <v/>
      </c>
      <c r="AM104" t="str">
        <f>IF(ISNUMBER(VLOOKUP($A104,Haver_M!$B$1:$BZ$300,MATCH(data!AM$1,Haver_M!$B$1:$BZ$1,0),FALSE)),VLOOKUP($A104,Haver_M!$B$1:$BZ$300,MATCH(data!AM$1,Haver_M!$B$1:$BZ$1,0),FALSE),"")</f>
        <v/>
      </c>
      <c r="AN104" t="str">
        <f>IF(ISNUMBER(VLOOKUP($A104,Haver_M!$B$1:$BZ$300,MATCH(data!AN$1,Haver_M!$B$1:$BZ$1,0),FALSE)),VLOOKUP($A104,Haver_M!$B$1:$BZ$300,MATCH(data!AN$1,Haver_M!$B$1:$BZ$1,0),FALSE),"")</f>
        <v/>
      </c>
      <c r="AO104" t="str">
        <f>IF(ISNUMBER(VLOOKUP($A104,Haver_M!$B$1:$BZ$300,MATCH(data!AO$1,Haver_M!$B$1:$BZ$1,0),FALSE)),VLOOKUP($A104,Haver_M!$B$1:$BZ$300,MATCH(data!AO$1,Haver_M!$B$1:$BZ$1,0),FALSE),"")</f>
        <v/>
      </c>
      <c r="AP104">
        <f>IF(ISNUMBER(VLOOKUP($A104,Haver_M!$B$1:$BZ$300,MATCH(data!AP$1,Haver_M!$B$1:$BZ$1,0),FALSE)),VLOOKUP($A104,Haver_M!$B$1:$BZ$300,MATCH(data!AP$1,Haver_M!$B$1:$BZ$1,0),FALSE),"")</f>
        <v>168.87085550023886</v>
      </c>
      <c r="AQ104">
        <f>IF(ISNUMBER(VLOOKUP($A104,Haver_M!$B$1:$BZ$300,MATCH(data!AQ$1,Haver_M!$B$1:$BZ$1,0),FALSE)),VLOOKUP($A104,Haver_M!$B$1:$BZ$300,MATCH(data!AQ$1,Haver_M!$B$1:$BZ$1,0),FALSE),"")</f>
        <v>63.22</v>
      </c>
      <c r="AR104">
        <f>IF(ISNUMBER(VLOOKUP($A104,Haver_M!$B$1:$BZ$300,MATCH(data!AR$1,Haver_M!$B$1:$BZ$1,0),FALSE)),VLOOKUP($A104,Haver_M!$B$1:$BZ$300,MATCH(data!AR$1,Haver_M!$B$1:$BZ$1,0),FALSE),"")</f>
        <v>57.759300000000003</v>
      </c>
      <c r="AS104">
        <f>IF(ISNUMBER(VLOOKUP($A104,Haver_M!$B$1:$BZ$300,MATCH(data!AS$1,Haver_M!$B$1:$BZ$1,0),FALSE)),VLOOKUP($A104,Haver_M!$B$1:$BZ$300,MATCH(data!AS$1,Haver_M!$B$1:$BZ$1,0),FALSE),"")</f>
        <v>63.8185</v>
      </c>
      <c r="AT104">
        <f>IF(ISNUMBER(VLOOKUP($A104,Haver_M!$B$1:$BZ$300,MATCH(data!AT$1,Haver_M!$B$1:$BZ$1,0),FALSE)),VLOOKUP($A104,Haver_M!$B$1:$BZ$300,MATCH(data!AT$1,Haver_M!$B$1:$BZ$1,0),FALSE),"")</f>
        <v>61.874699999999997</v>
      </c>
      <c r="AU104">
        <f>IF(ISNUMBER(VLOOKUP($A104,Haver_M!$B$1:$BZ$300,MATCH(data!AU$1,Haver_M!$B$1:$BZ$1,0),FALSE)),VLOOKUP($A104,Haver_M!$B$1:$BZ$300,MATCH(data!AU$1,Haver_M!$B$1:$BZ$1,0),FALSE),"")</f>
        <v>63.603200000000001</v>
      </c>
      <c r="AV104">
        <f>IF(ISNUMBER(VLOOKUP($A104,Haver_M!$B$1:$BZ$300,MATCH(data!AV$1,Haver_M!$B$1:$BZ$1,0),FALSE)),VLOOKUP($A104,Haver_M!$B$1:$BZ$300,MATCH(data!AV$1,Haver_M!$B$1:$BZ$1,0),FALSE),"")</f>
        <v>51.718200000000003</v>
      </c>
      <c r="AW104">
        <f>IF(ISNUMBER(VLOOKUP($A104,Haver_M!$B$1:$BZ$300,MATCH(data!AW$1,Haver_M!$B$1:$BZ$1,0),FALSE)),VLOOKUP($A104,Haver_M!$B$1:$BZ$300,MATCH(data!AW$1,Haver_M!$B$1:$BZ$1,0),FALSE),"")</f>
        <v>49.703299999999999</v>
      </c>
      <c r="AX104">
        <f>IF(ISNUMBER(VLOOKUP($A104,Haver_M!$B$1:$BZ$300,MATCH(data!AX$1,Haver_M!$B$1:$BZ$1,0),FALSE)),VLOOKUP($A104,Haver_M!$B$1:$BZ$300,MATCH(data!AX$1,Haver_M!$B$1:$BZ$1,0),FALSE),"")</f>
        <v>53.214599999999997</v>
      </c>
      <c r="AY104">
        <f>IF(ISNUMBER(VLOOKUP($A104,Haver_M!$B$1:$BZ$300,MATCH(data!AY$1,Haver_M!$B$1:$BZ$1,0),FALSE)),VLOOKUP($A104,Haver_M!$B$1:$BZ$300,MATCH(data!AY$1,Haver_M!$B$1:$BZ$1,0),FALSE),"")</f>
        <v>59.182499999999997</v>
      </c>
      <c r="AZ104">
        <f>IF(ISNUMBER(VLOOKUP($A104,Haver_M!$B$1:$BZ$300,MATCH(data!AZ$1,Haver_M!$B$1:$BZ$1,0),FALSE)),VLOOKUP($A104,Haver_M!$B$1:$BZ$300,MATCH(data!AZ$1,Haver_M!$B$1:$BZ$1,0),FALSE),"")</f>
        <v>59.189300000000003</v>
      </c>
      <c r="BA104">
        <f>IF(ISNUMBER(VLOOKUP($A104,Haver_M!$B$1:$BZ$300,MATCH(data!BA$1,Haver_M!$B$1:$BZ$1,0),FALSE)),VLOOKUP($A104,Haver_M!$B$1:$BZ$300,MATCH(data!BA$1,Haver_M!$B$1:$BZ$1,0),FALSE),"")</f>
        <v>53.214599999999997</v>
      </c>
      <c r="BB104">
        <f>IF(ISNUMBER(VLOOKUP($A104,Haver_M!$B$1:$BZ$300,MATCH(data!BB$1,Haver_M!$B$1:$BZ$1,0),FALSE)),VLOOKUP($A104,Haver_M!$B$1:$BZ$300,MATCH(data!BB$1,Haver_M!$B$1:$BZ$1,0),FALSE),"")</f>
        <v>54.744799999999998</v>
      </c>
      <c r="BC104">
        <f>IF(ISNUMBER(VLOOKUP($A104,Haver_M!$B$1:$BZ$300,MATCH(data!BC$1,Haver_M!$B$1:$BZ$1,0),FALSE)),VLOOKUP($A104,Haver_M!$B$1:$BZ$300,MATCH(data!BC$1,Haver_M!$B$1:$BZ$1,0),FALSE),"")</f>
        <v>56.596200000000003</v>
      </c>
      <c r="BD104">
        <f>IF(ISNUMBER(VLOOKUP($A104,Haver_M!$B$1:$BZ$300,MATCH(data!BD$1,Haver_M!$B$1:$BZ$1,0),FALSE)),VLOOKUP($A104,Haver_M!$B$1:$BZ$300,MATCH(data!BD$1,Haver_M!$B$1:$BZ$1,0),FALSE),"")</f>
        <v>49.8795</v>
      </c>
      <c r="BE104">
        <f>IF(ISNUMBER(VLOOKUP($A104,Haver_M!$B$1:$BZ$300,MATCH(data!BE$1,Haver_M!$B$1:$BZ$1,0),FALSE)),VLOOKUP($A104,Haver_M!$B$1:$BZ$300,MATCH(data!BE$1,Haver_M!$B$1:$BZ$1,0),FALSE),"")</f>
        <v>1.2796000000000001</v>
      </c>
      <c r="BF104">
        <f>IF(ISNUMBER(VLOOKUP($A104,Haver_M!$B$1:$BZ$300,MATCH(data!BF$1,Haver_M!$B$1:$BZ$1,0),FALSE)),VLOOKUP($A104,Haver_M!$B$1:$BZ$300,MATCH(data!BF$1,Haver_M!$B$1:$BZ$1,0),FALSE),"")</f>
        <v>54.322699999999998</v>
      </c>
      <c r="BG104">
        <f>IF(ISNUMBER(VLOOKUP($A104,Haver_M!$B$1:$BZ$300,MATCH(data!BG$1,Haver_M!$B$1:$BZ$1,0),FALSE)),VLOOKUP($A104,Haver_M!$B$1:$BZ$300,MATCH(data!BG$1,Haver_M!$B$1:$BZ$1,0),FALSE),"")</f>
        <v>59.067599999999999</v>
      </c>
      <c r="BH104">
        <f>IF(ISNUMBER(VLOOKUP($A104,Haver_M!$B$1:$BZ$300,MATCH(data!BH$1,Haver_M!$B$1:$BZ$1,0),FALSE)),VLOOKUP($A104,Haver_M!$B$1:$BZ$300,MATCH(data!BH$1,Haver_M!$B$1:$BZ$1,0),FALSE),"")</f>
        <v>61.534999999999997</v>
      </c>
      <c r="BI104">
        <f>IF(ISNUMBER(VLOOKUP($A104,Haver_M!$B$1:$BZ$300,MATCH(data!BI$1,Haver_M!$B$1:$BZ$1,0),FALSE)),VLOOKUP($A104,Haver_M!$B$1:$BZ$300,MATCH(data!BI$1,Haver_M!$B$1:$BZ$1,0),FALSE),"")</f>
        <v>62.445599999999999</v>
      </c>
      <c r="BJ104" t="str">
        <f>IF(ISNUMBER(VLOOKUP($A104,Haver_M!$B$1:$BZ$300,MATCH(data!BJ$1,Haver_M!$B$1:$BZ$1,0),FALSE)),VLOOKUP($A104,Haver_M!$B$1:$BZ$300,MATCH(data!BJ$1,Haver_M!$B$1:$BZ$1,0),FALSE),"")</f>
        <v/>
      </c>
      <c r="BK104">
        <f>IF(ISNUMBER(VLOOKUP($A104,Haver_M!$B$1:$BZ$300,MATCH(data!BK$1,Haver_M!$B$1:$BZ$1,0),FALSE)),VLOOKUP($A104,Haver_M!$B$1:$BZ$300,MATCH(data!BK$1,Haver_M!$B$1:$BZ$1,0),FALSE),"")</f>
        <v>51.837800000000001</v>
      </c>
      <c r="BL104">
        <f>IF(ISNUMBER(VLOOKUP($A104,Haver_M!$B$1:$BZ$300,MATCH(data!BL$1,Haver_M!$B$1:$BZ$1,0),FALSE)),VLOOKUP($A104,Haver_M!$B$1:$BZ$300,MATCH(data!BL$1,Haver_M!$B$1:$BZ$1,0),FALSE),"")</f>
        <v>13716.18</v>
      </c>
      <c r="BM104">
        <f>IF(ISNUMBER(VLOOKUP($A104,Haver_M!$B$1:$BZ$300,MATCH(data!BM$1,Haver_M!$B$1:$BZ$1,0),FALSE)),VLOOKUP($A104,Haver_M!$B$1:$BZ$300,MATCH(data!BM$1,Haver_M!$B$1:$BZ$1,0),FALSE),"")</f>
        <v>94.915692160000006</v>
      </c>
      <c r="BN104" t="str">
        <f>IF(ISNUMBER(VLOOKUP($A104,Haver_M!$B$1:$BZ$300,MATCH(data!BN$1,Haver_M!$B$1:$BZ$1,0),FALSE)),VLOOKUP($A104,Haver_M!$B$1:$BZ$300,MATCH(data!BN$1,Haver_M!$B$1:$BZ$1,0),FALSE),"")</f>
        <v/>
      </c>
      <c r="BO104" t="str">
        <f>IF(ISNUMBER(VLOOKUP($A104,Haver_M!$B$1:$BZ$300,MATCH(data!BO$1,Haver_M!$B$1:$BZ$1,0),FALSE)),VLOOKUP($A104,Haver_M!$B$1:$BZ$300,MATCH(data!BO$1,Haver_M!$B$1:$BZ$1,0),FALSE),"")</f>
        <v/>
      </c>
      <c r="BP104" t="str">
        <f>IF(ISNUMBER(VLOOKUP($A104,Haver_M!$B$1:$BZ$300,MATCH(data!BP$1,Haver_M!$B$1:$BZ$1,0),FALSE)),VLOOKUP($A104,Haver_M!$B$1:$BZ$300,MATCH(data!BP$1,Haver_M!$B$1:$BZ$1,0),FALSE),"")</f>
        <v/>
      </c>
      <c r="BQ104">
        <f>IF(ISNUMBER(VLOOKUP($A104,Haver_M!$B$1:$BZ$300,MATCH(data!BQ$1,Haver_M!$B$1:$BZ$1,0),FALSE)),VLOOKUP($A104,Haver_M!$B$1:$BZ$300,MATCH(data!BQ$1,Haver_M!$B$1:$BZ$1,0),FALSE),"")</f>
        <v>126.55865908746046</v>
      </c>
      <c r="BR104">
        <f>IF(ISNUMBER(VLOOKUP($A104,Haver_M!$B$1:$BZ$300,MATCH(data!BR$1,Haver_M!$B$1:$BZ$1,0),FALSE)),VLOOKUP($A104,Haver_M!$B$1:$BZ$300,MATCH(data!BR$1,Haver_M!$B$1:$BZ$1,0),FALSE),"")</f>
        <v>209.63664164906098</v>
      </c>
      <c r="BS104">
        <f>IF(ISNUMBER(VLOOKUP($A104,Haver_M!$B$1:$BZ$300,MATCH(data!BS$1,Haver_M!$B$1:$BZ$1,0),FALSE)),VLOOKUP($A104,Haver_M!$B$1:$BZ$300,MATCH(data!BS$1,Haver_M!$B$1:$BZ$1,0),FALSE),"")</f>
        <v>130.52046735844431</v>
      </c>
      <c r="BT104">
        <f>IF(ISNUMBER(VLOOKUP($A104,Haver_M!$B$1:$BZ$300,MATCH(data!BT$1,Haver_M!$B$1:$BZ$1,0),FALSE)),VLOOKUP($A104,Haver_M!$B$1:$BZ$300,MATCH(data!BT$1,Haver_M!$B$1:$BZ$1,0),FALSE),"")</f>
        <v>526.51267026951314</v>
      </c>
      <c r="BU104">
        <f>IF(ISNUMBER(VLOOKUP($A104,Haver_M!$B$1:$BZ$300,MATCH(data!BU$1,Haver_M!$B$1:$BZ$1,0),FALSE)),VLOOKUP($A104,Haver_M!$B$1:$BZ$300,MATCH(data!BU$1,Haver_M!$B$1:$BZ$1,0),FALSE),"")</f>
        <v>19030.400000000001</v>
      </c>
      <c r="BV104">
        <f>IF(ISNUMBER(VLOOKUP($A104,Haver_M!$B$1:$BZ$300,MATCH(data!BV$1,Haver_M!$B$1:$BZ$1,0),FALSE)),VLOOKUP($A104,Haver_M!$B$1:$BZ$300,MATCH(data!BV$1,Haver_M!$B$1:$BZ$1,0),FALSE),"")</f>
        <v>31625.5</v>
      </c>
      <c r="BW104">
        <f>IF(ISNUMBER(VLOOKUP($A104,Haver_M!$B$1:$BZ$300,MATCH(data!BW$1,Haver_M!$B$1:$BZ$1,0),FALSE)),VLOOKUP($A104,Haver_M!$B$1:$BZ$300,MATCH(data!BW$1,Haver_M!$B$1:$BZ$1,0),FALSE),"")</f>
        <v>42.836500000000001</v>
      </c>
      <c r="BX104">
        <f>IF(ISNUMBER(VLOOKUP($A104,Haver_M!$B$1:$BZ$300,MATCH(data!BX$1,Haver_M!$B$1:$BZ$1,0),FALSE)),VLOOKUP($A104,Haver_M!$B$1:$BZ$300,MATCH(data!BX$1,Haver_M!$B$1:$BZ$1,0),FALSE),"")</f>
        <v>34286</v>
      </c>
    </row>
    <row r="105" spans="1:76" x14ac:dyDescent="0.25">
      <c r="A105" s="2">
        <v>39691</v>
      </c>
      <c r="B105" t="str">
        <f>IF(ISNUMBER(VLOOKUP($A105,Haver_Q!$B$1:$L$185,MATCH(data!B$1,Haver_Q!$B$1:$L$1,0),FALSE)),100*(VLOOKUP($A105,Haver_Q!$B$1:$L$185,MATCH(data!B$1,Haver_Q!$B$1:$L$1,0),FALSE)),"")</f>
        <v/>
      </c>
      <c r="C105" t="str">
        <f>IF(ISNUMBER(VLOOKUP($A105,Haver_Q!$B$1:$L$185,MATCH(data!C$1,Haver_Q!$B$1:$L$1,0),FALSE)),100*(VLOOKUP($A105,Haver_Q!$B$1:$L$185,MATCH(data!C$1,Haver_Q!$B$1:$L$1,0),FALSE)),"")</f>
        <v/>
      </c>
      <c r="D105" t="str">
        <f>IF(ISNUMBER(VLOOKUP($A105,Haver_Q!$B$1:$L$185,MATCH(data!D$1,Haver_Q!$B$1:$L$1,0),FALSE)),100*(VLOOKUP($A105,Haver_Q!$B$1:$L$185,MATCH(data!D$1,Haver_Q!$B$1:$L$1,0),FALSE)),"")</f>
        <v/>
      </c>
      <c r="E105" t="str">
        <f>IF(ISNUMBER(VLOOKUP($A105,Haver_Q!$B$1:$L$185,MATCH(data!E$1,Haver_Q!$B$1:$L$1,0),FALSE)),100*(VLOOKUP($A105,Haver_Q!$B$1:$L$185,MATCH(data!E$1,Haver_Q!$B$1:$L$1,0),FALSE)),"")</f>
        <v/>
      </c>
      <c r="F105" t="str">
        <f>IF(ISNUMBER(VLOOKUP($A105,Haver_Q!$B$1:$L$185,MATCH(data!F$1,Haver_Q!$B$1:$L$1,0),FALSE)),100*(VLOOKUP($A105,Haver_Q!$B$1:$L$185,MATCH(data!F$1,Haver_Q!$B$1:$L$1,0),FALSE)),"")</f>
        <v/>
      </c>
      <c r="G105" t="str">
        <f>IF(ISNUMBER(VLOOKUP($A105,Haver_Q!$B$1:$L$185,MATCH(data!G$1,Haver_Q!$B$1:$L$1,0),FALSE)),100*(VLOOKUP($A105,Haver_Q!$B$1:$L$185,MATCH(data!G$1,Haver_Q!$B$1:$L$1,0),FALSE)),"")</f>
        <v/>
      </c>
      <c r="H105" t="str">
        <f>IF(ISNUMBER(VLOOKUP($A105,Haver_Q!$B$1:$L$185,MATCH(data!H$1,Haver_Q!$B$1:$L$1,0),FALSE)),(VLOOKUP($A105,Haver_Q!$B$1:$L$185,MATCH(data!H$1,Haver_Q!$B$1:$L$1,0),FALSE)),"")</f>
        <v/>
      </c>
      <c r="I105" t="str">
        <f>IF(ISNUMBER(VLOOKUP($A105,Haver_Q!$B$1:$L$185,MATCH(data!I$1,Haver_Q!$B$1:$L$1,0),FALSE)),100*(VLOOKUP($A105,Haver_Q!$B$1:$L$185,MATCH(data!I$1,Haver_Q!$B$1:$L$1,0),FALSE)),"")</f>
        <v/>
      </c>
      <c r="J105" s="3">
        <f>IF(ISNUMBER(Bloomberg_m!C121),Bloomberg_m!C121,"")</f>
        <v>7403</v>
      </c>
      <c r="K105" s="3" t="str">
        <f>IF(ISNUMBER(Bloomberg_m!D121),Bloomberg_m!D121,"")</f>
        <v/>
      </c>
      <c r="L105" s="3" t="str">
        <f>IF(ISNUMBER(Bloomberg_m!E121),Bloomberg_m!E121,"")</f>
        <v/>
      </c>
      <c r="M105" s="3" t="str">
        <f>IF(ISNUMBER(Bloomberg_m!F121),Bloomberg_m!F121,"")</f>
        <v/>
      </c>
      <c r="N105">
        <f>IF(ISNUMBER(VLOOKUP($A105,Haver_M!$B$1:$BZ$300,MATCH(data!N$1,Haver_M!$B$1:$BZ$1,0),FALSE)),VLOOKUP($A105,Haver_M!$B$1:$BZ$300,MATCH(data!N$1,Haver_M!$B$1:$BZ$1,0),FALSE),"")</f>
        <v>9</v>
      </c>
      <c r="O105">
        <f>IF(ISNUMBER(VLOOKUP($A105,Haver_M!$B$1:$BZ$300,MATCH(data!O$1,Haver_M!$B$1:$BZ$1,0),FALSE)),VLOOKUP($A105,Haver_M!$B$1:$BZ$300,MATCH(data!O$1,Haver_M!$B$1:$BZ$1,0),FALSE),"")</f>
        <v>8.7120999999999995</v>
      </c>
      <c r="P105">
        <f>IF(ISNUMBER(VLOOKUP($A105,Haver_M!$B$1:$BZ$300,MATCH(data!P$1,Haver_M!$B$1:$BZ$1,0),FALSE)),VLOOKUP($A105,Haver_M!$B$1:$BZ$300,MATCH(data!P$1,Haver_M!$B$1:$BZ$1,0),FALSE),"")</f>
        <v>90.110820000000004</v>
      </c>
      <c r="Q105">
        <f>IF(ISNUMBER(VLOOKUP($A105,Haver_M!$B$1:$BZ$300,MATCH(data!Q$1,Haver_M!$B$1:$BZ$1,0),FALSE)),VLOOKUP($A105,Haver_M!$B$1:$BZ$300,MATCH(data!Q$1,Haver_M!$B$1:$BZ$1,0),FALSE),"")</f>
        <v>71.2</v>
      </c>
      <c r="R105" t="str">
        <f>IF(ISNUMBER(VLOOKUP($A105,Haver_M!$B$1:$BZ$300,MATCH(data!R$1,Haver_M!$B$1:$BZ$1,0),FALSE)),VLOOKUP($A105,Haver_M!$B$1:$BZ$300,MATCH(data!R$1,Haver_M!$B$1:$BZ$1,0),FALSE),"")</f>
        <v/>
      </c>
      <c r="S105">
        <f>IF(ISNUMBER(VLOOKUP($A105,Haver_M!$B$1:$BZ$300,MATCH(data!S$1,Haver_M!$B$1:$BZ$1,0),FALSE)),VLOOKUP($A105,Haver_M!$B$1:$BZ$300,MATCH(data!S$1,Haver_M!$B$1:$BZ$1,0),FALSE),"")</f>
        <v>89.17</v>
      </c>
      <c r="T105">
        <f>IF(ISNUMBER(VLOOKUP($A105,Haver_M!$B$1:$BZ$300,MATCH(data!T$1,Haver_M!$B$1:$BZ$1,0),FALSE)),VLOOKUP($A105,Haver_M!$B$1:$BZ$300,MATCH(data!T$1,Haver_M!$B$1:$BZ$1,0),FALSE),"")</f>
        <v>85.44</v>
      </c>
      <c r="U105">
        <f>IF(ISNUMBER(VLOOKUP($A105,Haver_M!$B$1:$BZ$300,MATCH(data!U$1,Haver_M!$B$1:$BZ$1,0),FALSE)),VLOOKUP($A105,Haver_M!$B$1:$BZ$300,MATCH(data!U$1,Haver_M!$B$1:$BZ$1,0),FALSE),"")</f>
        <v>109.28</v>
      </c>
      <c r="V105">
        <f>IF(ISNUMBER(VLOOKUP($A105,Haver_M!$B$1:$BZ$300,MATCH(data!V$1,Haver_M!$B$1:$BZ$1,0),FALSE)),VLOOKUP($A105,Haver_M!$B$1:$BZ$300,MATCH(data!V$1,Haver_M!$B$1:$BZ$1,0),FALSE),"")</f>
        <v>92.22</v>
      </c>
      <c r="W105" t="str">
        <f>IF(ISNUMBER(VLOOKUP($A105,Haver_M!$B$1:$BZ$300,MATCH(data!W$1,Haver_M!$B$1:$BZ$1,0),FALSE)),VLOOKUP($A105,Haver_M!$B$1:$BZ$300,MATCH(data!W$1,Haver_M!$B$1:$BZ$1,0),FALSE),"")</f>
        <v/>
      </c>
      <c r="X105">
        <f>IF(ISNUMBER(VLOOKUP($A105,Haver_M!$B$1:$BZ$300,MATCH(data!X$1,Haver_M!$B$1:$BZ$1,0),FALSE)),VLOOKUP($A105,Haver_M!$B$1:$BZ$300,MATCH(data!X$1,Haver_M!$B$1:$BZ$1,0),FALSE),"")</f>
        <v>75.12</v>
      </c>
      <c r="Y105">
        <f>IF(ISNUMBER(VLOOKUP($A105,Haver_M!$B$1:$BZ$300,MATCH(data!Y$1,Haver_M!$B$1:$BZ$1,0),FALSE)),VLOOKUP($A105,Haver_M!$B$1:$BZ$300,MATCH(data!Y$1,Haver_M!$B$1:$BZ$1,0),FALSE),"")</f>
        <v>85.23</v>
      </c>
      <c r="Z105">
        <f>IF(ISNUMBER(VLOOKUP($A105,Haver_M!$B$1:$BZ$300,MATCH(data!Z$1,Haver_M!$B$1:$BZ$1,0),FALSE)),VLOOKUP($A105,Haver_M!$B$1:$BZ$300,MATCH(data!Z$1,Haver_M!$B$1:$BZ$1,0),FALSE),"")</f>
        <v>84.1</v>
      </c>
      <c r="AA105">
        <f>IF(ISNUMBER(VLOOKUP($A105,Haver_M!$B$1:$BZ$300,MATCH(data!AA$1,Haver_M!$B$1:$BZ$1,0),FALSE)),VLOOKUP($A105,Haver_M!$B$1:$BZ$300,MATCH(data!AA$1,Haver_M!$B$1:$BZ$1,0),FALSE),"")</f>
        <v>89.317999999999998</v>
      </c>
      <c r="AB105">
        <f>IF(ISNUMBER(VLOOKUP($A105,Haver_M!$B$1:$BZ$300,MATCH(data!AB$1,Haver_M!$B$1:$BZ$1,0),FALSE)),VLOOKUP($A105,Haver_M!$B$1:$BZ$300,MATCH(data!AB$1,Haver_M!$B$1:$BZ$1,0),FALSE),"")</f>
        <v>88.754999999999995</v>
      </c>
      <c r="AC105">
        <f>IF(ISNUMBER(VLOOKUP($A105,Haver_M!$B$1:$BZ$300,MATCH(data!AC$1,Haver_M!$B$1:$BZ$1,0),FALSE)),VLOOKUP($A105,Haver_M!$B$1:$BZ$300,MATCH(data!AC$1,Haver_M!$B$1:$BZ$1,0),FALSE),"")</f>
        <v>70.543000000000006</v>
      </c>
      <c r="AD105">
        <f>IF(ISNUMBER(VLOOKUP($A105,Haver_M!$B$1:$BZ$300,MATCH(data!AD$1,Haver_M!$B$1:$BZ$1,0),FALSE)),VLOOKUP($A105,Haver_M!$B$1:$BZ$300,MATCH(data!AD$1,Haver_M!$B$1:$BZ$1,0),FALSE),"")</f>
        <v>94.515000000000001</v>
      </c>
      <c r="AE105">
        <f>IF(ISNUMBER(VLOOKUP($A105,Haver_M!$B$1:$BZ$300,MATCH(data!AE$1,Haver_M!$B$1:$BZ$1,0),FALSE)),VLOOKUP($A105,Haver_M!$B$1:$BZ$300,MATCH(data!AE$1,Haver_M!$B$1:$BZ$1,0),FALSE),"")</f>
        <v>86.947999999999993</v>
      </c>
      <c r="AF105">
        <f>IF(ISNUMBER(VLOOKUP($A105,Haver_M!$B$1:$BZ$300,MATCH(data!AF$1,Haver_M!$B$1:$BZ$1,0),FALSE)),VLOOKUP($A105,Haver_M!$B$1:$BZ$300,MATCH(data!AF$1,Haver_M!$B$1:$BZ$1,0),FALSE),"")</f>
        <v>77.144000000000005</v>
      </c>
      <c r="AG105">
        <f>IF(ISNUMBER(VLOOKUP($A105,Haver_M!$B$1:$BZ$300,MATCH(data!AG$1,Haver_M!$B$1:$BZ$1,0),FALSE)),VLOOKUP($A105,Haver_M!$B$1:$BZ$300,MATCH(data!AG$1,Haver_M!$B$1:$BZ$1,0),FALSE),"")</f>
        <v>77.929000000000002</v>
      </c>
      <c r="AH105">
        <f>IF(ISNUMBER(VLOOKUP($A105,Haver_M!$B$1:$BZ$300,MATCH(data!AH$1,Haver_M!$B$1:$BZ$1,0),FALSE)),VLOOKUP($A105,Haver_M!$B$1:$BZ$300,MATCH(data!AH$1,Haver_M!$B$1:$BZ$1,0),FALSE),"")</f>
        <v>81.820999999999998</v>
      </c>
      <c r="AI105">
        <f>IF(ISNUMBER(VLOOKUP($A105,Haver_M!$B$1:$BZ$300,MATCH(data!AI$1,Haver_M!$B$1:$BZ$1,0),FALSE)),VLOOKUP($A105,Haver_M!$B$1:$BZ$300,MATCH(data!AI$1,Haver_M!$B$1:$BZ$1,0),FALSE),"")</f>
        <v>10954.280928165781</v>
      </c>
      <c r="AJ105">
        <f>IF(ISNUMBER(VLOOKUP($A105,Haver_M!$B$1:$BZ$300,MATCH(data!AJ$1,Haver_M!$B$1:$BZ$1,0),FALSE)),VLOOKUP($A105,Haver_M!$B$1:$BZ$300,MATCH(data!AJ$1,Haver_M!$B$1:$BZ$1,0),FALSE),"")</f>
        <v>17863.25</v>
      </c>
      <c r="AK105">
        <f>IF(ISNUMBER(VLOOKUP($A105,Haver_M!$B$1:$BZ$300,MATCH(data!AK$1,Haver_M!$B$1:$BZ$1,0),FALSE)),VLOOKUP($A105,Haver_M!$B$1:$BZ$300,MATCH(data!AK$1,Haver_M!$B$1:$BZ$1,0),FALSE),"")</f>
        <v>33065.75</v>
      </c>
      <c r="AL105" t="str">
        <f>IF(ISNUMBER(VLOOKUP($A105,Haver_M!$B$1:$BZ$300,MATCH(data!AL$1,Haver_M!$B$1:$BZ$1,0),FALSE)),VLOOKUP($A105,Haver_M!$B$1:$BZ$300,MATCH(data!AL$1,Haver_M!$B$1:$BZ$1,0),FALSE),"")</f>
        <v/>
      </c>
      <c r="AM105" t="str">
        <f>IF(ISNUMBER(VLOOKUP($A105,Haver_M!$B$1:$BZ$300,MATCH(data!AM$1,Haver_M!$B$1:$BZ$1,0),FALSE)),VLOOKUP($A105,Haver_M!$B$1:$BZ$300,MATCH(data!AM$1,Haver_M!$B$1:$BZ$1,0),FALSE),"")</f>
        <v/>
      </c>
      <c r="AN105" t="str">
        <f>IF(ISNUMBER(VLOOKUP($A105,Haver_M!$B$1:$BZ$300,MATCH(data!AN$1,Haver_M!$B$1:$BZ$1,0),FALSE)),VLOOKUP($A105,Haver_M!$B$1:$BZ$300,MATCH(data!AN$1,Haver_M!$B$1:$BZ$1,0),FALSE),"")</f>
        <v/>
      </c>
      <c r="AO105" t="str">
        <f>IF(ISNUMBER(VLOOKUP($A105,Haver_M!$B$1:$BZ$300,MATCH(data!AO$1,Haver_M!$B$1:$BZ$1,0),FALSE)),VLOOKUP($A105,Haver_M!$B$1:$BZ$300,MATCH(data!AO$1,Haver_M!$B$1:$BZ$1,0),FALSE),"")</f>
        <v/>
      </c>
      <c r="AP105">
        <f>IF(ISNUMBER(VLOOKUP($A105,Haver_M!$B$1:$BZ$300,MATCH(data!AP$1,Haver_M!$B$1:$BZ$1,0),FALSE)),VLOOKUP($A105,Haver_M!$B$1:$BZ$300,MATCH(data!AP$1,Haver_M!$B$1:$BZ$1,0),FALSE),"")</f>
        <v>99.645812163102974</v>
      </c>
      <c r="AQ105">
        <f>IF(ISNUMBER(VLOOKUP($A105,Haver_M!$B$1:$BZ$300,MATCH(data!AQ$1,Haver_M!$B$1:$BZ$1,0),FALSE)),VLOOKUP($A105,Haver_M!$B$1:$BZ$300,MATCH(data!AQ$1,Haver_M!$B$1:$BZ$1,0),FALSE),"")</f>
        <v>61.9681</v>
      </c>
      <c r="AR105">
        <f>IF(ISNUMBER(VLOOKUP($A105,Haver_M!$B$1:$BZ$300,MATCH(data!AR$1,Haver_M!$B$1:$BZ$1,0),FALSE)),VLOOKUP($A105,Haver_M!$B$1:$BZ$300,MATCH(data!AR$1,Haver_M!$B$1:$BZ$1,0),FALSE),"")</f>
        <v>57.947299999999998</v>
      </c>
      <c r="AS105">
        <f>IF(ISNUMBER(VLOOKUP($A105,Haver_M!$B$1:$BZ$300,MATCH(data!AS$1,Haver_M!$B$1:$BZ$1,0),FALSE)),VLOOKUP($A105,Haver_M!$B$1:$BZ$300,MATCH(data!AS$1,Haver_M!$B$1:$BZ$1,0),FALSE),"")</f>
        <v>61.948399999999999</v>
      </c>
      <c r="AT105">
        <f>IF(ISNUMBER(VLOOKUP($A105,Haver_M!$B$1:$BZ$300,MATCH(data!AT$1,Haver_M!$B$1:$BZ$1,0),FALSE)),VLOOKUP($A105,Haver_M!$B$1:$BZ$300,MATCH(data!AT$1,Haver_M!$B$1:$BZ$1,0),FALSE),"")</f>
        <v>62.012599999999999</v>
      </c>
      <c r="AU105">
        <f>IF(ISNUMBER(VLOOKUP($A105,Haver_M!$B$1:$BZ$300,MATCH(data!AU$1,Haver_M!$B$1:$BZ$1,0),FALSE)),VLOOKUP($A105,Haver_M!$B$1:$BZ$300,MATCH(data!AU$1,Haver_M!$B$1:$BZ$1,0),FALSE),"")</f>
        <v>64.772300000000001</v>
      </c>
      <c r="AV105">
        <f>IF(ISNUMBER(VLOOKUP($A105,Haver_M!$B$1:$BZ$300,MATCH(data!AV$1,Haver_M!$B$1:$BZ$1,0),FALSE)),VLOOKUP($A105,Haver_M!$B$1:$BZ$300,MATCH(data!AV$1,Haver_M!$B$1:$BZ$1,0),FALSE),"")</f>
        <v>50.974699999999999</v>
      </c>
      <c r="AW105">
        <f>IF(ISNUMBER(VLOOKUP($A105,Haver_M!$B$1:$BZ$300,MATCH(data!AW$1,Haver_M!$B$1:$BZ$1,0),FALSE)),VLOOKUP($A105,Haver_M!$B$1:$BZ$300,MATCH(data!AW$1,Haver_M!$B$1:$BZ$1,0),FALSE),"")</f>
        <v>49.818199999999997</v>
      </c>
      <c r="AX105">
        <f>IF(ISNUMBER(VLOOKUP($A105,Haver_M!$B$1:$BZ$300,MATCH(data!AX$1,Haver_M!$B$1:$BZ$1,0),FALSE)),VLOOKUP($A105,Haver_M!$B$1:$BZ$300,MATCH(data!AX$1,Haver_M!$B$1:$BZ$1,0),FALSE),"")</f>
        <v>52.902500000000003</v>
      </c>
      <c r="AY105">
        <f>IF(ISNUMBER(VLOOKUP($A105,Haver_M!$B$1:$BZ$300,MATCH(data!AY$1,Haver_M!$B$1:$BZ$1,0),FALSE)),VLOOKUP($A105,Haver_M!$B$1:$BZ$300,MATCH(data!AY$1,Haver_M!$B$1:$BZ$1,0),FALSE),"")</f>
        <v>56.1066</v>
      </c>
      <c r="AZ105">
        <f>IF(ISNUMBER(VLOOKUP($A105,Haver_M!$B$1:$BZ$300,MATCH(data!AZ$1,Haver_M!$B$1:$BZ$1,0),FALSE)),VLOOKUP($A105,Haver_M!$B$1:$BZ$300,MATCH(data!AZ$1,Haver_M!$B$1:$BZ$1,0),FALSE),"")</f>
        <v>59.640300000000003</v>
      </c>
      <c r="BA105">
        <f>IF(ISNUMBER(VLOOKUP($A105,Haver_M!$B$1:$BZ$300,MATCH(data!BA$1,Haver_M!$B$1:$BZ$1,0),FALSE)),VLOOKUP($A105,Haver_M!$B$1:$BZ$300,MATCH(data!BA$1,Haver_M!$B$1:$BZ$1,0),FALSE),"")</f>
        <v>52.902500000000003</v>
      </c>
      <c r="BB105">
        <f>IF(ISNUMBER(VLOOKUP($A105,Haver_M!$B$1:$BZ$300,MATCH(data!BB$1,Haver_M!$B$1:$BZ$1,0),FALSE)),VLOOKUP($A105,Haver_M!$B$1:$BZ$300,MATCH(data!BB$1,Haver_M!$B$1:$BZ$1,0),FALSE),"")</f>
        <v>55.165100000000002</v>
      </c>
      <c r="BC105">
        <f>IF(ISNUMBER(VLOOKUP($A105,Haver_M!$B$1:$BZ$300,MATCH(data!BC$1,Haver_M!$B$1:$BZ$1,0),FALSE)),VLOOKUP($A105,Haver_M!$B$1:$BZ$300,MATCH(data!BC$1,Haver_M!$B$1:$BZ$1,0),FALSE),"")</f>
        <v>54.7729</v>
      </c>
      <c r="BD105">
        <f>IF(ISNUMBER(VLOOKUP($A105,Haver_M!$B$1:$BZ$300,MATCH(data!BD$1,Haver_M!$B$1:$BZ$1,0),FALSE)),VLOOKUP($A105,Haver_M!$B$1:$BZ$300,MATCH(data!BD$1,Haver_M!$B$1:$BZ$1,0),FALSE),"")</f>
        <v>50.460099999999997</v>
      </c>
      <c r="BE105">
        <f>IF(ISNUMBER(VLOOKUP($A105,Haver_M!$B$1:$BZ$300,MATCH(data!BE$1,Haver_M!$B$1:$BZ$1,0),FALSE)),VLOOKUP($A105,Haver_M!$B$1:$BZ$300,MATCH(data!BE$1,Haver_M!$B$1:$BZ$1,0),FALSE),"")</f>
        <v>1.2954000000000001</v>
      </c>
      <c r="BF105">
        <f>IF(ISNUMBER(VLOOKUP($A105,Haver_M!$B$1:$BZ$300,MATCH(data!BF$1,Haver_M!$B$1:$BZ$1,0),FALSE)),VLOOKUP($A105,Haver_M!$B$1:$BZ$300,MATCH(data!BF$1,Haver_M!$B$1:$BZ$1,0),FALSE),"")</f>
        <v>53.959800000000001</v>
      </c>
      <c r="BG105">
        <f>IF(ISNUMBER(VLOOKUP($A105,Haver_M!$B$1:$BZ$300,MATCH(data!BG$1,Haver_M!$B$1:$BZ$1,0),FALSE)),VLOOKUP($A105,Haver_M!$B$1:$BZ$300,MATCH(data!BG$1,Haver_M!$B$1:$BZ$1,0),FALSE),"")</f>
        <v>56.973100000000002</v>
      </c>
      <c r="BH105">
        <f>IF(ISNUMBER(VLOOKUP($A105,Haver_M!$B$1:$BZ$300,MATCH(data!BH$1,Haver_M!$B$1:$BZ$1,0),FALSE)),VLOOKUP($A105,Haver_M!$B$1:$BZ$300,MATCH(data!BH$1,Haver_M!$B$1:$BZ$1,0),FALSE),"")</f>
        <v>58.265999999999998</v>
      </c>
      <c r="BI105">
        <f>IF(ISNUMBER(VLOOKUP($A105,Haver_M!$B$1:$BZ$300,MATCH(data!BI$1,Haver_M!$B$1:$BZ$1,0),FALSE)),VLOOKUP($A105,Haver_M!$B$1:$BZ$300,MATCH(data!BI$1,Haver_M!$B$1:$BZ$1,0),FALSE),"")</f>
        <v>59.4602</v>
      </c>
      <c r="BJ105" t="str">
        <f>IF(ISNUMBER(VLOOKUP($A105,Haver_M!$B$1:$BZ$300,MATCH(data!BJ$1,Haver_M!$B$1:$BZ$1,0),FALSE)),VLOOKUP($A105,Haver_M!$B$1:$BZ$300,MATCH(data!BJ$1,Haver_M!$B$1:$BZ$1,0),FALSE),"")</f>
        <v/>
      </c>
      <c r="BK105">
        <f>IF(ISNUMBER(VLOOKUP($A105,Haver_M!$B$1:$BZ$300,MATCH(data!BK$1,Haver_M!$B$1:$BZ$1,0),FALSE)),VLOOKUP($A105,Haver_M!$B$1:$BZ$300,MATCH(data!BK$1,Haver_M!$B$1:$BZ$1,0),FALSE),"")</f>
        <v>50.780900000000003</v>
      </c>
      <c r="BL105">
        <f>IF(ISNUMBER(VLOOKUP($A105,Haver_M!$B$1:$BZ$300,MATCH(data!BL$1,Haver_M!$B$1:$BZ$1,0),FALSE)),VLOOKUP($A105,Haver_M!$B$1:$BZ$300,MATCH(data!BL$1,Haver_M!$B$1:$BZ$1,0),FALSE),"")</f>
        <v>14722.13</v>
      </c>
      <c r="BM105">
        <f>IF(ISNUMBER(VLOOKUP($A105,Haver_M!$B$1:$BZ$300,MATCH(data!BM$1,Haver_M!$B$1:$BZ$1,0),FALSE)),VLOOKUP($A105,Haver_M!$B$1:$BZ$300,MATCH(data!BM$1,Haver_M!$B$1:$BZ$1,0),FALSE),"")</f>
        <v>91.557815590000004</v>
      </c>
      <c r="BN105" t="str">
        <f>IF(ISNUMBER(VLOOKUP($A105,Haver_M!$B$1:$BZ$300,MATCH(data!BN$1,Haver_M!$B$1:$BZ$1,0),FALSE)),VLOOKUP($A105,Haver_M!$B$1:$BZ$300,MATCH(data!BN$1,Haver_M!$B$1:$BZ$1,0),FALSE),"")</f>
        <v/>
      </c>
      <c r="BO105" t="str">
        <f>IF(ISNUMBER(VLOOKUP($A105,Haver_M!$B$1:$BZ$300,MATCH(data!BO$1,Haver_M!$B$1:$BZ$1,0),FALSE)),VLOOKUP($A105,Haver_M!$B$1:$BZ$300,MATCH(data!BO$1,Haver_M!$B$1:$BZ$1,0),FALSE),"")</f>
        <v/>
      </c>
      <c r="BP105" t="str">
        <f>IF(ISNUMBER(VLOOKUP($A105,Haver_M!$B$1:$BZ$300,MATCH(data!BP$1,Haver_M!$B$1:$BZ$1,0),FALSE)),VLOOKUP($A105,Haver_M!$B$1:$BZ$300,MATCH(data!BP$1,Haver_M!$B$1:$BZ$1,0),FALSE),"")</f>
        <v/>
      </c>
      <c r="BQ105">
        <f>IF(ISNUMBER(VLOOKUP($A105,Haver_M!$B$1:$BZ$300,MATCH(data!BQ$1,Haver_M!$B$1:$BZ$1,0),FALSE)),VLOOKUP($A105,Haver_M!$B$1:$BZ$300,MATCH(data!BQ$1,Haver_M!$B$1:$BZ$1,0),FALSE),"")</f>
        <v>128.57688482937382</v>
      </c>
      <c r="BR105">
        <f>IF(ISNUMBER(VLOOKUP($A105,Haver_M!$B$1:$BZ$300,MATCH(data!BR$1,Haver_M!$B$1:$BZ$1,0),FALSE)),VLOOKUP($A105,Haver_M!$B$1:$BZ$300,MATCH(data!BR$1,Haver_M!$B$1:$BZ$1,0),FALSE),"")</f>
        <v>216.73657219910154</v>
      </c>
      <c r="BS105">
        <f>IF(ISNUMBER(VLOOKUP($A105,Haver_M!$B$1:$BZ$300,MATCH(data!BS$1,Haver_M!$B$1:$BZ$1,0),FALSE)),VLOOKUP($A105,Haver_M!$B$1:$BZ$300,MATCH(data!BS$1,Haver_M!$B$1:$BZ$1,0),FALSE),"")</f>
        <v>132.62472955758068</v>
      </c>
      <c r="BT105">
        <f>IF(ISNUMBER(VLOOKUP($A105,Haver_M!$B$1:$BZ$300,MATCH(data!BT$1,Haver_M!$B$1:$BZ$1,0),FALSE)),VLOOKUP($A105,Haver_M!$B$1:$BZ$300,MATCH(data!BT$1,Haver_M!$B$1:$BZ$1,0),FALSE),"")</f>
        <v>539.09927827680735</v>
      </c>
      <c r="BU105">
        <f>IF(ISNUMBER(VLOOKUP($A105,Haver_M!$B$1:$BZ$300,MATCH(data!BU$1,Haver_M!$B$1:$BZ$1,0),FALSE)),VLOOKUP($A105,Haver_M!$B$1:$BZ$300,MATCH(data!BU$1,Haver_M!$B$1:$BZ$1,0),FALSE),"")</f>
        <v>17759.3</v>
      </c>
      <c r="BV105">
        <f>IF(ISNUMBER(VLOOKUP($A105,Haver_M!$B$1:$BZ$300,MATCH(data!BV$1,Haver_M!$B$1:$BZ$1,0),FALSE)),VLOOKUP($A105,Haver_M!$B$1:$BZ$300,MATCH(data!BV$1,Haver_M!$B$1:$BZ$1,0),FALSE),"")</f>
        <v>33523.199999999997</v>
      </c>
      <c r="BW105">
        <f>IF(ISNUMBER(VLOOKUP($A105,Haver_M!$B$1:$BZ$300,MATCH(data!BW$1,Haver_M!$B$1:$BZ$1,0),FALSE)),VLOOKUP($A105,Haver_M!$B$1:$BZ$300,MATCH(data!BW$1,Haver_M!$B$1:$BZ$1,0),FALSE),"")</f>
        <v>42.938899999999997</v>
      </c>
      <c r="BX105">
        <f>IF(ISNUMBER(VLOOKUP($A105,Haver_M!$B$1:$BZ$300,MATCH(data!BX$1,Haver_M!$B$1:$BZ$1,0),FALSE)),VLOOKUP($A105,Haver_M!$B$1:$BZ$300,MATCH(data!BX$1,Haver_M!$B$1:$BZ$1,0),FALSE),"")</f>
        <v>31804</v>
      </c>
    </row>
    <row r="106" spans="1:76" x14ac:dyDescent="0.25">
      <c r="A106" s="2">
        <v>39721</v>
      </c>
      <c r="B106">
        <f>IF(ISNUMBER(VLOOKUP($A106,Haver_Q!$B$1:$L$185,MATCH(data!B$1,Haver_Q!$B$1:$L$1,0),FALSE)),100*(VLOOKUP($A106,Haver_Q!$B$1:$L$185,MATCH(data!B$1,Haver_Q!$B$1:$L$1,0),FALSE)),"")</f>
        <v>1.0957448994350916</v>
      </c>
      <c r="C106">
        <f>IF(ISNUMBER(VLOOKUP($A106,Haver_Q!$B$1:$L$185,MATCH(data!C$1,Haver_Q!$B$1:$L$1,0),FALSE)),100*(VLOOKUP($A106,Haver_Q!$B$1:$L$185,MATCH(data!C$1,Haver_Q!$B$1:$L$1,0),FALSE)),"")</f>
        <v>1.253088765445165</v>
      </c>
      <c r="D106">
        <f>IF(ISNUMBER(VLOOKUP($A106,Haver_Q!$B$1:$L$185,MATCH(data!D$1,Haver_Q!$B$1:$L$1,0),FALSE)),100*(VLOOKUP($A106,Haver_Q!$B$1:$L$185,MATCH(data!D$1,Haver_Q!$B$1:$L$1,0),FALSE)),"")</f>
        <v>1.4088033231382635</v>
      </c>
      <c r="E106">
        <f>IF(ISNUMBER(VLOOKUP($A106,Haver_Q!$B$1:$L$185,MATCH(data!E$1,Haver_Q!$B$1:$L$1,0),FALSE)),100*(VLOOKUP($A106,Haver_Q!$B$1:$L$185,MATCH(data!E$1,Haver_Q!$B$1:$L$1,0),FALSE)),"")</f>
        <v>-1.6797541218212864</v>
      </c>
      <c r="F106">
        <f>IF(ISNUMBER(VLOOKUP($A106,Haver_Q!$B$1:$L$185,MATCH(data!F$1,Haver_Q!$B$1:$L$1,0),FALSE)),100*(VLOOKUP($A106,Haver_Q!$B$1:$L$185,MATCH(data!F$1,Haver_Q!$B$1:$L$1,0),FALSE)),"")</f>
        <v>13.337781973201036</v>
      </c>
      <c r="G106">
        <f>IF(ISNUMBER(VLOOKUP($A106,Haver_Q!$B$1:$L$185,MATCH(data!G$1,Haver_Q!$B$1:$L$1,0),FALSE)),100*(VLOOKUP($A106,Haver_Q!$B$1:$L$185,MATCH(data!G$1,Haver_Q!$B$1:$L$1,0),FALSE)),"")</f>
        <v>65.682394783514425</v>
      </c>
      <c r="H106">
        <f>IF(ISNUMBER(VLOOKUP($A106,Haver_Q!$B$1:$L$185,MATCH(data!H$1,Haver_Q!$B$1:$L$1,0),FALSE)),(VLOOKUP($A106,Haver_Q!$B$1:$L$185,MATCH(data!H$1,Haver_Q!$B$1:$L$1,0),FALSE)),"")</f>
        <v>-0.27144356067218411</v>
      </c>
      <c r="I106">
        <f>IF(ISNUMBER(VLOOKUP($A106,Haver_Q!$B$1:$L$185,MATCH(data!I$1,Haver_Q!$B$1:$L$1,0),FALSE)),100*(VLOOKUP($A106,Haver_Q!$B$1:$L$185,MATCH(data!I$1,Haver_Q!$B$1:$L$1,0),FALSE)),"")</f>
        <v>6.7353952339417322</v>
      </c>
      <c r="J106" s="3">
        <f>IF(ISNUMBER(Bloomberg_m!C122),Bloomberg_m!C122,"")</f>
        <v>4975</v>
      </c>
      <c r="K106" s="3" t="str">
        <f>IF(ISNUMBER(Bloomberg_m!D122),Bloomberg_m!D122,"")</f>
        <v/>
      </c>
      <c r="L106" s="3" t="str">
        <f>IF(ISNUMBER(Bloomberg_m!E122),Bloomberg_m!E122,"")</f>
        <v/>
      </c>
      <c r="M106" s="3" t="str">
        <f>IF(ISNUMBER(Bloomberg_m!F122),Bloomberg_m!F122,"")</f>
        <v/>
      </c>
      <c r="N106">
        <f>IF(ISNUMBER(VLOOKUP($A106,Haver_M!$B$1:$BZ$300,MATCH(data!N$1,Haver_M!$B$1:$BZ$1,0),FALSE)),VLOOKUP($A106,Haver_M!$B$1:$BZ$300,MATCH(data!N$1,Haver_M!$B$1:$BZ$1,0),FALSE),"")</f>
        <v>9</v>
      </c>
      <c r="O106">
        <f>IF(ISNUMBER(VLOOKUP($A106,Haver_M!$B$1:$BZ$300,MATCH(data!O$1,Haver_M!$B$1:$BZ$1,0),FALSE)),VLOOKUP($A106,Haver_M!$B$1:$BZ$300,MATCH(data!O$1,Haver_M!$B$1:$BZ$1,0),FALSE),"")</f>
        <v>8.7184000000000008</v>
      </c>
      <c r="P106">
        <f>IF(ISNUMBER(VLOOKUP($A106,Haver_M!$B$1:$BZ$300,MATCH(data!P$1,Haver_M!$B$1:$BZ$1,0),FALSE)),VLOOKUP($A106,Haver_M!$B$1:$BZ$300,MATCH(data!P$1,Haver_M!$B$1:$BZ$1,0),FALSE),"")</f>
        <v>87.154290000000003</v>
      </c>
      <c r="Q106">
        <f>IF(ISNUMBER(VLOOKUP($A106,Haver_M!$B$1:$BZ$300,MATCH(data!Q$1,Haver_M!$B$1:$BZ$1,0),FALSE)),VLOOKUP($A106,Haver_M!$B$1:$BZ$300,MATCH(data!Q$1,Haver_M!$B$1:$BZ$1,0),FALSE),"")</f>
        <v>71.900000000000006</v>
      </c>
      <c r="R106" t="str">
        <f>IF(ISNUMBER(VLOOKUP($A106,Haver_M!$B$1:$BZ$300,MATCH(data!R$1,Haver_M!$B$1:$BZ$1,0),FALSE)),VLOOKUP($A106,Haver_M!$B$1:$BZ$300,MATCH(data!R$1,Haver_M!$B$1:$BZ$1,0),FALSE),"")</f>
        <v/>
      </c>
      <c r="S106">
        <f>IF(ISNUMBER(VLOOKUP($A106,Haver_M!$B$1:$BZ$300,MATCH(data!S$1,Haver_M!$B$1:$BZ$1,0),FALSE)),VLOOKUP($A106,Haver_M!$B$1:$BZ$300,MATCH(data!S$1,Haver_M!$B$1:$BZ$1,0),FALSE),"")</f>
        <v>91.65</v>
      </c>
      <c r="T106">
        <f>IF(ISNUMBER(VLOOKUP($A106,Haver_M!$B$1:$BZ$300,MATCH(data!T$1,Haver_M!$B$1:$BZ$1,0),FALSE)),VLOOKUP($A106,Haver_M!$B$1:$BZ$300,MATCH(data!T$1,Haver_M!$B$1:$BZ$1,0),FALSE),"")</f>
        <v>87.86</v>
      </c>
      <c r="U106">
        <f>IF(ISNUMBER(VLOOKUP($A106,Haver_M!$B$1:$BZ$300,MATCH(data!U$1,Haver_M!$B$1:$BZ$1,0),FALSE)),VLOOKUP($A106,Haver_M!$B$1:$BZ$300,MATCH(data!U$1,Haver_M!$B$1:$BZ$1,0),FALSE),"")</f>
        <v>115.5</v>
      </c>
      <c r="V106">
        <f>IF(ISNUMBER(VLOOKUP($A106,Haver_M!$B$1:$BZ$300,MATCH(data!V$1,Haver_M!$B$1:$BZ$1,0),FALSE)),VLOOKUP($A106,Haver_M!$B$1:$BZ$300,MATCH(data!V$1,Haver_M!$B$1:$BZ$1,0),FALSE),"")</f>
        <v>93.34</v>
      </c>
      <c r="W106" t="str">
        <f>IF(ISNUMBER(VLOOKUP($A106,Haver_M!$B$1:$BZ$300,MATCH(data!W$1,Haver_M!$B$1:$BZ$1,0),FALSE)),VLOOKUP($A106,Haver_M!$B$1:$BZ$300,MATCH(data!W$1,Haver_M!$B$1:$BZ$1,0),FALSE),"")</f>
        <v/>
      </c>
      <c r="X106">
        <f>IF(ISNUMBER(VLOOKUP($A106,Haver_M!$B$1:$BZ$300,MATCH(data!X$1,Haver_M!$B$1:$BZ$1,0),FALSE)),VLOOKUP($A106,Haver_M!$B$1:$BZ$300,MATCH(data!X$1,Haver_M!$B$1:$BZ$1,0),FALSE),"")</f>
        <v>75.150000000000006</v>
      </c>
      <c r="Y106">
        <f>IF(ISNUMBER(VLOOKUP($A106,Haver_M!$B$1:$BZ$300,MATCH(data!Y$1,Haver_M!$B$1:$BZ$1,0),FALSE)),VLOOKUP($A106,Haver_M!$B$1:$BZ$300,MATCH(data!Y$1,Haver_M!$B$1:$BZ$1,0),FALSE),"")</f>
        <v>90.08</v>
      </c>
      <c r="Z106">
        <f>IF(ISNUMBER(VLOOKUP($A106,Haver_M!$B$1:$BZ$300,MATCH(data!Z$1,Haver_M!$B$1:$BZ$1,0),FALSE)),VLOOKUP($A106,Haver_M!$B$1:$BZ$300,MATCH(data!Z$1,Haver_M!$B$1:$BZ$1,0),FALSE),"")</f>
        <v>85.1</v>
      </c>
      <c r="AA106">
        <f>IF(ISNUMBER(VLOOKUP($A106,Haver_M!$B$1:$BZ$300,MATCH(data!AA$1,Haver_M!$B$1:$BZ$1,0),FALSE)),VLOOKUP($A106,Haver_M!$B$1:$BZ$300,MATCH(data!AA$1,Haver_M!$B$1:$BZ$1,0),FALSE),"")</f>
        <v>93.263999999999996</v>
      </c>
      <c r="AB106">
        <f>IF(ISNUMBER(VLOOKUP($A106,Haver_M!$B$1:$BZ$300,MATCH(data!AB$1,Haver_M!$B$1:$BZ$1,0),FALSE)),VLOOKUP($A106,Haver_M!$B$1:$BZ$300,MATCH(data!AB$1,Haver_M!$B$1:$BZ$1,0),FALSE),"")</f>
        <v>89.013999999999996</v>
      </c>
      <c r="AC106">
        <f>IF(ISNUMBER(VLOOKUP($A106,Haver_M!$B$1:$BZ$300,MATCH(data!AC$1,Haver_M!$B$1:$BZ$1,0),FALSE)),VLOOKUP($A106,Haver_M!$B$1:$BZ$300,MATCH(data!AC$1,Haver_M!$B$1:$BZ$1,0),FALSE),"")</f>
        <v>71.23</v>
      </c>
      <c r="AD106">
        <f>IF(ISNUMBER(VLOOKUP($A106,Haver_M!$B$1:$BZ$300,MATCH(data!AD$1,Haver_M!$B$1:$BZ$1,0),FALSE)),VLOOKUP($A106,Haver_M!$B$1:$BZ$300,MATCH(data!AD$1,Haver_M!$B$1:$BZ$1,0),FALSE),"")</f>
        <v>96.91</v>
      </c>
      <c r="AE106">
        <f>IF(ISNUMBER(VLOOKUP($A106,Haver_M!$B$1:$BZ$300,MATCH(data!AE$1,Haver_M!$B$1:$BZ$1,0),FALSE)),VLOOKUP($A106,Haver_M!$B$1:$BZ$300,MATCH(data!AE$1,Haver_M!$B$1:$BZ$1,0),FALSE),"")</f>
        <v>87.14</v>
      </c>
      <c r="AF106">
        <f>IF(ISNUMBER(VLOOKUP($A106,Haver_M!$B$1:$BZ$300,MATCH(data!AF$1,Haver_M!$B$1:$BZ$1,0),FALSE)),VLOOKUP($A106,Haver_M!$B$1:$BZ$300,MATCH(data!AF$1,Haver_M!$B$1:$BZ$1,0),FALSE),"")</f>
        <v>76.805999999999997</v>
      </c>
      <c r="AG106">
        <f>IF(ISNUMBER(VLOOKUP($A106,Haver_M!$B$1:$BZ$300,MATCH(data!AG$1,Haver_M!$B$1:$BZ$1,0),FALSE)),VLOOKUP($A106,Haver_M!$B$1:$BZ$300,MATCH(data!AG$1,Haver_M!$B$1:$BZ$1,0),FALSE),"")</f>
        <v>80.197000000000003</v>
      </c>
      <c r="AH106">
        <f>IF(ISNUMBER(VLOOKUP($A106,Haver_M!$B$1:$BZ$300,MATCH(data!AH$1,Haver_M!$B$1:$BZ$1,0),FALSE)),VLOOKUP($A106,Haver_M!$B$1:$BZ$300,MATCH(data!AH$1,Haver_M!$B$1:$BZ$1,0),FALSE),"")</f>
        <v>82.375</v>
      </c>
      <c r="AI106">
        <f>IF(ISNUMBER(VLOOKUP($A106,Haver_M!$B$1:$BZ$300,MATCH(data!AI$1,Haver_M!$B$1:$BZ$1,0),FALSE)),VLOOKUP($A106,Haver_M!$B$1:$BZ$300,MATCH(data!AI$1,Haver_M!$B$1:$BZ$1,0),FALSE),"")</f>
        <v>11491.842058545028</v>
      </c>
      <c r="AJ106">
        <f>IF(ISNUMBER(VLOOKUP($A106,Haver_M!$B$1:$BZ$300,MATCH(data!AJ$1,Haver_M!$B$1:$BZ$1,0),FALSE)),VLOOKUP($A106,Haver_M!$B$1:$BZ$300,MATCH(data!AJ$1,Haver_M!$B$1:$BZ$1,0),FALSE),"")</f>
        <v>16075.66</v>
      </c>
      <c r="AK106">
        <f>IF(ISNUMBER(VLOOKUP($A106,Haver_M!$B$1:$BZ$300,MATCH(data!AK$1,Haver_M!$B$1:$BZ$1,0),FALSE)),VLOOKUP($A106,Haver_M!$B$1:$BZ$300,MATCH(data!AK$1,Haver_M!$B$1:$BZ$1,0),FALSE),"")</f>
        <v>29478.6</v>
      </c>
      <c r="AL106" t="str">
        <f>IF(ISNUMBER(VLOOKUP($A106,Haver_M!$B$1:$BZ$300,MATCH(data!AL$1,Haver_M!$B$1:$BZ$1,0),FALSE)),VLOOKUP($A106,Haver_M!$B$1:$BZ$300,MATCH(data!AL$1,Haver_M!$B$1:$BZ$1,0),FALSE),"")</f>
        <v/>
      </c>
      <c r="AM106" t="str">
        <f>IF(ISNUMBER(VLOOKUP($A106,Haver_M!$B$1:$BZ$300,MATCH(data!AM$1,Haver_M!$B$1:$BZ$1,0),FALSE)),VLOOKUP($A106,Haver_M!$B$1:$BZ$300,MATCH(data!AM$1,Haver_M!$B$1:$BZ$1,0),FALSE),"")</f>
        <v/>
      </c>
      <c r="AN106" t="str">
        <f>IF(ISNUMBER(VLOOKUP($A106,Haver_M!$B$1:$BZ$300,MATCH(data!AN$1,Haver_M!$B$1:$BZ$1,0),FALSE)),VLOOKUP($A106,Haver_M!$B$1:$BZ$300,MATCH(data!AN$1,Haver_M!$B$1:$BZ$1,0),FALSE),"")</f>
        <v/>
      </c>
      <c r="AO106" t="str">
        <f>IF(ISNUMBER(VLOOKUP($A106,Haver_M!$B$1:$BZ$300,MATCH(data!AO$1,Haver_M!$B$1:$BZ$1,0),FALSE)),VLOOKUP($A106,Haver_M!$B$1:$BZ$300,MATCH(data!AO$1,Haver_M!$B$1:$BZ$1,0),FALSE),"")</f>
        <v/>
      </c>
      <c r="AP106">
        <f>IF(ISNUMBER(VLOOKUP($A106,Haver_M!$B$1:$BZ$300,MATCH(data!AP$1,Haver_M!$B$1:$BZ$1,0),FALSE)),VLOOKUP($A106,Haver_M!$B$1:$BZ$300,MATCH(data!AP$1,Haver_M!$B$1:$BZ$1,0),FALSE),"")</f>
        <v>137.67026318914336</v>
      </c>
      <c r="AQ106">
        <f>IF(ISNUMBER(VLOOKUP($A106,Haver_M!$B$1:$BZ$300,MATCH(data!AQ$1,Haver_M!$B$1:$BZ$1,0),FALSE)),VLOOKUP($A106,Haver_M!$B$1:$BZ$300,MATCH(data!AQ$1,Haver_M!$B$1:$BZ$1,0),FALSE),"")</f>
        <v>61.382300000000001</v>
      </c>
      <c r="AR106">
        <f>IF(ISNUMBER(VLOOKUP($A106,Haver_M!$B$1:$BZ$300,MATCH(data!AR$1,Haver_M!$B$1:$BZ$1,0),FALSE)),VLOOKUP($A106,Haver_M!$B$1:$BZ$300,MATCH(data!AR$1,Haver_M!$B$1:$BZ$1,0),FALSE),"")</f>
        <v>57.282600000000002</v>
      </c>
      <c r="AS106">
        <f>IF(ISNUMBER(VLOOKUP($A106,Haver_M!$B$1:$BZ$300,MATCH(data!AS$1,Haver_M!$B$1:$BZ$1,0),FALSE)),VLOOKUP($A106,Haver_M!$B$1:$BZ$300,MATCH(data!AS$1,Haver_M!$B$1:$BZ$1,0),FALSE),"")</f>
        <v>61.218899999999998</v>
      </c>
      <c r="AT106">
        <f>IF(ISNUMBER(VLOOKUP($A106,Haver_M!$B$1:$BZ$300,MATCH(data!AT$1,Haver_M!$B$1:$BZ$1,0),FALSE)),VLOOKUP($A106,Haver_M!$B$1:$BZ$300,MATCH(data!AT$1,Haver_M!$B$1:$BZ$1,0),FALSE),"")</f>
        <v>61.749600000000001</v>
      </c>
      <c r="AU106">
        <f>IF(ISNUMBER(VLOOKUP($A106,Haver_M!$B$1:$BZ$300,MATCH(data!AU$1,Haver_M!$B$1:$BZ$1,0),FALSE)),VLOOKUP($A106,Haver_M!$B$1:$BZ$300,MATCH(data!AU$1,Haver_M!$B$1:$BZ$1,0),FALSE),"")</f>
        <v>62.639699999999998</v>
      </c>
      <c r="AV106">
        <f>IF(ISNUMBER(VLOOKUP($A106,Haver_M!$B$1:$BZ$300,MATCH(data!AV$1,Haver_M!$B$1:$BZ$1,0),FALSE)),VLOOKUP($A106,Haver_M!$B$1:$BZ$300,MATCH(data!AV$1,Haver_M!$B$1:$BZ$1,0),FALSE),"")</f>
        <v>51.283999999999999</v>
      </c>
      <c r="AW106">
        <f>IF(ISNUMBER(VLOOKUP($A106,Haver_M!$B$1:$BZ$300,MATCH(data!AW$1,Haver_M!$B$1:$BZ$1,0),FALSE)),VLOOKUP($A106,Haver_M!$B$1:$BZ$300,MATCH(data!AW$1,Haver_M!$B$1:$BZ$1,0),FALSE),"")</f>
        <v>49.732399999999998</v>
      </c>
      <c r="AX106">
        <f>IF(ISNUMBER(VLOOKUP($A106,Haver_M!$B$1:$BZ$300,MATCH(data!AX$1,Haver_M!$B$1:$BZ$1,0),FALSE)),VLOOKUP($A106,Haver_M!$B$1:$BZ$300,MATCH(data!AX$1,Haver_M!$B$1:$BZ$1,0),FALSE),"")</f>
        <v>52.563499999999998</v>
      </c>
      <c r="AY106">
        <f>IF(ISNUMBER(VLOOKUP($A106,Haver_M!$B$1:$BZ$300,MATCH(data!AY$1,Haver_M!$B$1:$BZ$1,0),FALSE)),VLOOKUP($A106,Haver_M!$B$1:$BZ$300,MATCH(data!AY$1,Haver_M!$B$1:$BZ$1,0),FALSE),"")</f>
        <v>57.784999999999997</v>
      </c>
      <c r="AZ106">
        <f>IF(ISNUMBER(VLOOKUP($A106,Haver_M!$B$1:$BZ$300,MATCH(data!AZ$1,Haver_M!$B$1:$BZ$1,0),FALSE)),VLOOKUP($A106,Haver_M!$B$1:$BZ$300,MATCH(data!AZ$1,Haver_M!$B$1:$BZ$1,0),FALSE),"")</f>
        <v>58.259</v>
      </c>
      <c r="BA106">
        <f>IF(ISNUMBER(VLOOKUP($A106,Haver_M!$B$1:$BZ$300,MATCH(data!BA$1,Haver_M!$B$1:$BZ$1,0),FALSE)),VLOOKUP($A106,Haver_M!$B$1:$BZ$300,MATCH(data!BA$1,Haver_M!$B$1:$BZ$1,0),FALSE),"")</f>
        <v>52.563499999999998</v>
      </c>
      <c r="BB106">
        <f>IF(ISNUMBER(VLOOKUP($A106,Haver_M!$B$1:$BZ$300,MATCH(data!BB$1,Haver_M!$B$1:$BZ$1,0),FALSE)),VLOOKUP($A106,Haver_M!$B$1:$BZ$300,MATCH(data!BB$1,Haver_M!$B$1:$BZ$1,0),FALSE),"")</f>
        <v>52.998399999999997</v>
      </c>
      <c r="BC106">
        <f>IF(ISNUMBER(VLOOKUP($A106,Haver_M!$B$1:$BZ$300,MATCH(data!BC$1,Haver_M!$B$1:$BZ$1,0),FALSE)),VLOOKUP($A106,Haver_M!$B$1:$BZ$300,MATCH(data!BC$1,Haver_M!$B$1:$BZ$1,0),FALSE),"")</f>
        <v>54.632399999999997</v>
      </c>
      <c r="BD106">
        <f>IF(ISNUMBER(VLOOKUP($A106,Haver_M!$B$1:$BZ$300,MATCH(data!BD$1,Haver_M!$B$1:$BZ$1,0),FALSE)),VLOOKUP($A106,Haver_M!$B$1:$BZ$300,MATCH(data!BD$1,Haver_M!$B$1:$BZ$1,0),FALSE),"")</f>
        <v>51.2455</v>
      </c>
      <c r="BE106">
        <f>IF(ISNUMBER(VLOOKUP($A106,Haver_M!$B$1:$BZ$300,MATCH(data!BE$1,Haver_M!$B$1:$BZ$1,0),FALSE)),VLOOKUP($A106,Haver_M!$B$1:$BZ$300,MATCH(data!BE$1,Haver_M!$B$1:$BZ$1,0),FALSE),"")</f>
        <v>1.2507999999999999</v>
      </c>
      <c r="BF106">
        <f>IF(ISNUMBER(VLOOKUP($A106,Haver_M!$B$1:$BZ$300,MATCH(data!BF$1,Haver_M!$B$1:$BZ$1,0),FALSE)),VLOOKUP($A106,Haver_M!$B$1:$BZ$300,MATCH(data!BF$1,Haver_M!$B$1:$BZ$1,0),FALSE),"")</f>
        <v>52.2271</v>
      </c>
      <c r="BG106">
        <f>IF(ISNUMBER(VLOOKUP($A106,Haver_M!$B$1:$BZ$300,MATCH(data!BG$1,Haver_M!$B$1:$BZ$1,0),FALSE)),VLOOKUP($A106,Haver_M!$B$1:$BZ$300,MATCH(data!BG$1,Haver_M!$B$1:$BZ$1,0),FALSE),"")</f>
        <v>54.683199999999999</v>
      </c>
      <c r="BH106">
        <f>IF(ISNUMBER(VLOOKUP($A106,Haver_M!$B$1:$BZ$300,MATCH(data!BH$1,Haver_M!$B$1:$BZ$1,0),FALSE)),VLOOKUP($A106,Haver_M!$B$1:$BZ$300,MATCH(data!BH$1,Haver_M!$B$1:$BZ$1,0),FALSE),"")</f>
        <v>59.070900000000002</v>
      </c>
      <c r="BI106">
        <f>IF(ISNUMBER(VLOOKUP($A106,Haver_M!$B$1:$BZ$300,MATCH(data!BI$1,Haver_M!$B$1:$BZ$1,0),FALSE)),VLOOKUP($A106,Haver_M!$B$1:$BZ$300,MATCH(data!BI$1,Haver_M!$B$1:$BZ$1,0),FALSE),"")</f>
        <v>57.896299999999997</v>
      </c>
      <c r="BJ106" t="str">
        <f>IF(ISNUMBER(VLOOKUP($A106,Haver_M!$B$1:$BZ$300,MATCH(data!BJ$1,Haver_M!$B$1:$BZ$1,0),FALSE)),VLOOKUP($A106,Haver_M!$B$1:$BZ$300,MATCH(data!BJ$1,Haver_M!$B$1:$BZ$1,0),FALSE),"")</f>
        <v/>
      </c>
      <c r="BK106">
        <f>IF(ISNUMBER(VLOOKUP($A106,Haver_M!$B$1:$BZ$300,MATCH(data!BK$1,Haver_M!$B$1:$BZ$1,0),FALSE)),VLOOKUP($A106,Haver_M!$B$1:$BZ$300,MATCH(data!BK$1,Haver_M!$B$1:$BZ$1,0),FALSE),"")</f>
        <v>51.791899999999998</v>
      </c>
      <c r="BL106">
        <f>IF(ISNUMBER(VLOOKUP($A106,Haver_M!$B$1:$BZ$300,MATCH(data!BL$1,Haver_M!$B$1:$BZ$1,0),FALSE)),VLOOKUP($A106,Haver_M!$B$1:$BZ$300,MATCH(data!BL$1,Haver_M!$B$1:$BZ$1,0),FALSE),"")</f>
        <v>13942.81</v>
      </c>
      <c r="BM106">
        <f>IF(ISNUMBER(VLOOKUP($A106,Haver_M!$B$1:$BZ$300,MATCH(data!BM$1,Haver_M!$B$1:$BZ$1,0),FALSE)),VLOOKUP($A106,Haver_M!$B$1:$BZ$300,MATCH(data!BM$1,Haver_M!$B$1:$BZ$1,0),FALSE),"")</f>
        <v>87.934967819999997</v>
      </c>
      <c r="BN106">
        <f>IF(ISNUMBER(VLOOKUP($A106,Haver_M!$B$1:$BZ$300,MATCH(data!BN$1,Haver_M!$B$1:$BZ$1,0),FALSE)),VLOOKUP($A106,Haver_M!$B$1:$BZ$300,MATCH(data!BN$1,Haver_M!$B$1:$BZ$1,0),FALSE),"")</f>
        <v>113.4</v>
      </c>
      <c r="BO106">
        <f>IF(ISNUMBER(VLOOKUP($A106,Haver_M!$B$1:$BZ$300,MATCH(data!BO$1,Haver_M!$B$1:$BZ$1,0),FALSE)),VLOOKUP($A106,Haver_M!$B$1:$BZ$300,MATCH(data!BO$1,Haver_M!$B$1:$BZ$1,0),FALSE),"")</f>
        <v>122.1</v>
      </c>
      <c r="BP106">
        <f>IF(ISNUMBER(VLOOKUP($A106,Haver_M!$B$1:$BZ$300,MATCH(data!BP$1,Haver_M!$B$1:$BZ$1,0),FALSE)),VLOOKUP($A106,Haver_M!$B$1:$BZ$300,MATCH(data!BP$1,Haver_M!$B$1:$BZ$1,0),FALSE),"")</f>
        <v>41.8</v>
      </c>
      <c r="BQ106">
        <f>IF(ISNUMBER(VLOOKUP($A106,Haver_M!$B$1:$BZ$300,MATCH(data!BQ$1,Haver_M!$B$1:$BZ$1,0),FALSE)),VLOOKUP($A106,Haver_M!$B$1:$BZ$300,MATCH(data!BQ$1,Haver_M!$B$1:$BZ$1,0),FALSE),"")</f>
        <v>121.34799403037486</v>
      </c>
      <c r="BR106">
        <f>IF(ISNUMBER(VLOOKUP($A106,Haver_M!$B$1:$BZ$300,MATCH(data!BR$1,Haver_M!$B$1:$BZ$1,0),FALSE)),VLOOKUP($A106,Haver_M!$B$1:$BZ$300,MATCH(data!BR$1,Haver_M!$B$1:$BZ$1,0),FALSE),"")</f>
        <v>215.04608901764553</v>
      </c>
      <c r="BS106">
        <f>IF(ISNUMBER(VLOOKUP($A106,Haver_M!$B$1:$BZ$300,MATCH(data!BS$1,Haver_M!$B$1:$BZ$1,0),FALSE)),VLOOKUP($A106,Haver_M!$B$1:$BZ$300,MATCH(data!BS$1,Haver_M!$B$1:$BZ$1,0),FALSE),"")</f>
        <v>127.86278641032393</v>
      </c>
      <c r="BT106">
        <f>IF(ISNUMBER(VLOOKUP($A106,Haver_M!$B$1:$BZ$300,MATCH(data!BT$1,Haver_M!$B$1:$BZ$1,0),FALSE)),VLOOKUP($A106,Haver_M!$B$1:$BZ$300,MATCH(data!BT$1,Haver_M!$B$1:$BZ$1,0),FALSE),"")</f>
        <v>524.65564919673432</v>
      </c>
      <c r="BU106">
        <f>IF(ISNUMBER(VLOOKUP($A106,Haver_M!$B$1:$BZ$300,MATCH(data!BU$1,Haver_M!$B$1:$BZ$1,0),FALSE)),VLOOKUP($A106,Haver_M!$B$1:$BZ$300,MATCH(data!BU$1,Haver_M!$B$1:$BZ$1,0),FALSE),"")</f>
        <v>15789.1</v>
      </c>
      <c r="BV106">
        <f>IF(ISNUMBER(VLOOKUP($A106,Haver_M!$B$1:$BZ$300,MATCH(data!BV$1,Haver_M!$B$1:$BZ$1,0),FALSE)),VLOOKUP($A106,Haver_M!$B$1:$BZ$300,MATCH(data!BV$1,Haver_M!$B$1:$BZ$1,0),FALSE),"")</f>
        <v>31135.7</v>
      </c>
      <c r="BW106">
        <f>IF(ISNUMBER(VLOOKUP($A106,Haver_M!$B$1:$BZ$300,MATCH(data!BW$1,Haver_M!$B$1:$BZ$1,0),FALSE)),VLOOKUP($A106,Haver_M!$B$1:$BZ$300,MATCH(data!BW$1,Haver_M!$B$1:$BZ$1,0),FALSE),"")</f>
        <v>45.564</v>
      </c>
      <c r="BX106">
        <f>IF(ISNUMBER(VLOOKUP($A106,Haver_M!$B$1:$BZ$300,MATCH(data!BX$1,Haver_M!$B$1:$BZ$1,0),FALSE)),VLOOKUP($A106,Haver_M!$B$1:$BZ$300,MATCH(data!BX$1,Haver_M!$B$1:$BZ$1,0),FALSE),"")</f>
        <v>29946</v>
      </c>
    </row>
    <row r="107" spans="1:76" x14ac:dyDescent="0.25">
      <c r="A107" s="2">
        <v>39752</v>
      </c>
      <c r="B107" t="str">
        <f>IF(ISNUMBER(VLOOKUP($A107,Haver_Q!$B$1:$L$185,MATCH(data!B$1,Haver_Q!$B$1:$L$1,0),FALSE)),100*(VLOOKUP($A107,Haver_Q!$B$1:$L$185,MATCH(data!B$1,Haver_Q!$B$1:$L$1,0),FALSE)),"")</f>
        <v/>
      </c>
      <c r="C107" t="str">
        <f>IF(ISNUMBER(VLOOKUP($A107,Haver_Q!$B$1:$L$185,MATCH(data!C$1,Haver_Q!$B$1:$L$1,0),FALSE)),100*(VLOOKUP($A107,Haver_Q!$B$1:$L$185,MATCH(data!C$1,Haver_Q!$B$1:$L$1,0),FALSE)),"")</f>
        <v/>
      </c>
      <c r="D107" t="str">
        <f>IF(ISNUMBER(VLOOKUP($A107,Haver_Q!$B$1:$L$185,MATCH(data!D$1,Haver_Q!$B$1:$L$1,0),FALSE)),100*(VLOOKUP($A107,Haver_Q!$B$1:$L$185,MATCH(data!D$1,Haver_Q!$B$1:$L$1,0),FALSE)),"")</f>
        <v/>
      </c>
      <c r="E107" t="str">
        <f>IF(ISNUMBER(VLOOKUP($A107,Haver_Q!$B$1:$L$185,MATCH(data!E$1,Haver_Q!$B$1:$L$1,0),FALSE)),100*(VLOOKUP($A107,Haver_Q!$B$1:$L$185,MATCH(data!E$1,Haver_Q!$B$1:$L$1,0),FALSE)),"")</f>
        <v/>
      </c>
      <c r="F107" t="str">
        <f>IF(ISNUMBER(VLOOKUP($A107,Haver_Q!$B$1:$L$185,MATCH(data!F$1,Haver_Q!$B$1:$L$1,0),FALSE)),100*(VLOOKUP($A107,Haver_Q!$B$1:$L$185,MATCH(data!F$1,Haver_Q!$B$1:$L$1,0),FALSE)),"")</f>
        <v/>
      </c>
      <c r="G107" t="str">
        <f>IF(ISNUMBER(VLOOKUP($A107,Haver_Q!$B$1:$L$185,MATCH(data!G$1,Haver_Q!$B$1:$L$1,0),FALSE)),100*(VLOOKUP($A107,Haver_Q!$B$1:$L$185,MATCH(data!G$1,Haver_Q!$B$1:$L$1,0),FALSE)),"")</f>
        <v/>
      </c>
      <c r="H107" t="str">
        <f>IF(ISNUMBER(VLOOKUP($A107,Haver_Q!$B$1:$L$185,MATCH(data!H$1,Haver_Q!$B$1:$L$1,0),FALSE)),(VLOOKUP($A107,Haver_Q!$B$1:$L$185,MATCH(data!H$1,Haver_Q!$B$1:$L$1,0),FALSE)),"")</f>
        <v/>
      </c>
      <c r="I107" t="str">
        <f>IF(ISNUMBER(VLOOKUP($A107,Haver_Q!$B$1:$L$185,MATCH(data!I$1,Haver_Q!$B$1:$L$1,0),FALSE)),100*(VLOOKUP($A107,Haver_Q!$B$1:$L$185,MATCH(data!I$1,Haver_Q!$B$1:$L$1,0),FALSE)),"")</f>
        <v/>
      </c>
      <c r="J107" s="3">
        <f>IF(ISNUMBER(Bloomberg_m!C123),Bloomberg_m!C123,"")</f>
        <v>1808</v>
      </c>
      <c r="K107" s="3" t="str">
        <f>IF(ISNUMBER(Bloomberg_m!D123),Bloomberg_m!D123,"")</f>
        <v/>
      </c>
      <c r="L107" s="3" t="str">
        <f>IF(ISNUMBER(Bloomberg_m!E123),Bloomberg_m!E123,"")</f>
        <v/>
      </c>
      <c r="M107" s="3" t="str">
        <f>IF(ISNUMBER(Bloomberg_m!F123),Bloomberg_m!F123,"")</f>
        <v/>
      </c>
      <c r="N107">
        <f>IF(ISNUMBER(VLOOKUP($A107,Haver_M!$B$1:$BZ$300,MATCH(data!N$1,Haver_M!$B$1:$BZ$1,0),FALSE)),VLOOKUP($A107,Haver_M!$B$1:$BZ$300,MATCH(data!N$1,Haver_M!$B$1:$BZ$1,0),FALSE),"")</f>
        <v>8</v>
      </c>
      <c r="O107">
        <f>IF(ISNUMBER(VLOOKUP($A107,Haver_M!$B$1:$BZ$300,MATCH(data!O$1,Haver_M!$B$1:$BZ$1,0),FALSE)),VLOOKUP($A107,Haver_M!$B$1:$BZ$300,MATCH(data!O$1,Haver_M!$B$1:$BZ$1,0),FALSE),"")</f>
        <v>7.4808000000000003</v>
      </c>
      <c r="P107">
        <f>IF(ISNUMBER(VLOOKUP($A107,Haver_M!$B$1:$BZ$300,MATCH(data!P$1,Haver_M!$B$1:$BZ$1,0),FALSE)),VLOOKUP($A107,Haver_M!$B$1:$BZ$300,MATCH(data!P$1,Haver_M!$B$1:$BZ$1,0),FALSE),"")</f>
        <v>87.670529999999999</v>
      </c>
      <c r="Q107">
        <f>IF(ISNUMBER(VLOOKUP($A107,Haver_M!$B$1:$BZ$300,MATCH(data!Q$1,Haver_M!$B$1:$BZ$1,0),FALSE)),VLOOKUP($A107,Haver_M!$B$1:$BZ$300,MATCH(data!Q$1,Haver_M!$B$1:$BZ$1,0),FALSE),"")</f>
        <v>73.3</v>
      </c>
      <c r="R107" t="str">
        <f>IF(ISNUMBER(VLOOKUP($A107,Haver_M!$B$1:$BZ$300,MATCH(data!R$1,Haver_M!$B$1:$BZ$1,0),FALSE)),VLOOKUP($A107,Haver_M!$B$1:$BZ$300,MATCH(data!R$1,Haver_M!$B$1:$BZ$1,0),FALSE),"")</f>
        <v/>
      </c>
      <c r="S107">
        <f>IF(ISNUMBER(VLOOKUP($A107,Haver_M!$B$1:$BZ$300,MATCH(data!S$1,Haver_M!$B$1:$BZ$1,0),FALSE)),VLOOKUP($A107,Haver_M!$B$1:$BZ$300,MATCH(data!S$1,Haver_M!$B$1:$BZ$1,0),FALSE),"")</f>
        <v>89.96</v>
      </c>
      <c r="T107">
        <f>IF(ISNUMBER(VLOOKUP($A107,Haver_M!$B$1:$BZ$300,MATCH(data!T$1,Haver_M!$B$1:$BZ$1,0),FALSE)),VLOOKUP($A107,Haver_M!$B$1:$BZ$300,MATCH(data!T$1,Haver_M!$B$1:$BZ$1,0),FALSE),"")</f>
        <v>85.8</v>
      </c>
      <c r="U107">
        <f>IF(ISNUMBER(VLOOKUP($A107,Haver_M!$B$1:$BZ$300,MATCH(data!U$1,Haver_M!$B$1:$BZ$1,0),FALSE)),VLOOKUP($A107,Haver_M!$B$1:$BZ$300,MATCH(data!U$1,Haver_M!$B$1:$BZ$1,0),FALSE),"")</f>
        <v>110.72</v>
      </c>
      <c r="V107">
        <f>IF(ISNUMBER(VLOOKUP($A107,Haver_M!$B$1:$BZ$300,MATCH(data!V$1,Haver_M!$B$1:$BZ$1,0),FALSE)),VLOOKUP($A107,Haver_M!$B$1:$BZ$300,MATCH(data!V$1,Haver_M!$B$1:$BZ$1,0),FALSE),"")</f>
        <v>94.62</v>
      </c>
      <c r="W107" t="str">
        <f>IF(ISNUMBER(VLOOKUP($A107,Haver_M!$B$1:$BZ$300,MATCH(data!W$1,Haver_M!$B$1:$BZ$1,0),FALSE)),VLOOKUP($A107,Haver_M!$B$1:$BZ$300,MATCH(data!W$1,Haver_M!$B$1:$BZ$1,0),FALSE),"")</f>
        <v/>
      </c>
      <c r="X107">
        <f>IF(ISNUMBER(VLOOKUP($A107,Haver_M!$B$1:$BZ$300,MATCH(data!X$1,Haver_M!$B$1:$BZ$1,0),FALSE)),VLOOKUP($A107,Haver_M!$B$1:$BZ$300,MATCH(data!X$1,Haver_M!$B$1:$BZ$1,0),FALSE),"")</f>
        <v>79.03</v>
      </c>
      <c r="Y107">
        <f>IF(ISNUMBER(VLOOKUP($A107,Haver_M!$B$1:$BZ$300,MATCH(data!Y$1,Haver_M!$B$1:$BZ$1,0),FALSE)),VLOOKUP($A107,Haver_M!$B$1:$BZ$300,MATCH(data!Y$1,Haver_M!$B$1:$BZ$1,0),FALSE),"")</f>
        <v>89</v>
      </c>
      <c r="Z107">
        <f>IF(ISNUMBER(VLOOKUP($A107,Haver_M!$B$1:$BZ$300,MATCH(data!Z$1,Haver_M!$B$1:$BZ$1,0),FALSE)),VLOOKUP($A107,Haver_M!$B$1:$BZ$300,MATCH(data!Z$1,Haver_M!$B$1:$BZ$1,0),FALSE),"")</f>
        <v>85.4</v>
      </c>
      <c r="AA107">
        <f>IF(ISNUMBER(VLOOKUP($A107,Haver_M!$B$1:$BZ$300,MATCH(data!AA$1,Haver_M!$B$1:$BZ$1,0),FALSE)),VLOOKUP($A107,Haver_M!$B$1:$BZ$300,MATCH(data!AA$1,Haver_M!$B$1:$BZ$1,0),FALSE),"")</f>
        <v>96.495999999999995</v>
      </c>
      <c r="AB107">
        <f>IF(ISNUMBER(VLOOKUP($A107,Haver_M!$B$1:$BZ$300,MATCH(data!AB$1,Haver_M!$B$1:$BZ$1,0),FALSE)),VLOOKUP($A107,Haver_M!$B$1:$BZ$300,MATCH(data!AB$1,Haver_M!$B$1:$BZ$1,0),FALSE),"")</f>
        <v>89.475999999999999</v>
      </c>
      <c r="AC107">
        <f>IF(ISNUMBER(VLOOKUP($A107,Haver_M!$B$1:$BZ$300,MATCH(data!AC$1,Haver_M!$B$1:$BZ$1,0),FALSE)),VLOOKUP($A107,Haver_M!$B$1:$BZ$300,MATCH(data!AC$1,Haver_M!$B$1:$BZ$1,0),FALSE),"")</f>
        <v>69.525000000000006</v>
      </c>
      <c r="AD107">
        <f>IF(ISNUMBER(VLOOKUP($A107,Haver_M!$B$1:$BZ$300,MATCH(data!AD$1,Haver_M!$B$1:$BZ$1,0),FALSE)),VLOOKUP($A107,Haver_M!$B$1:$BZ$300,MATCH(data!AD$1,Haver_M!$B$1:$BZ$1,0),FALSE),"")</f>
        <v>94.200999999999993</v>
      </c>
      <c r="AE107">
        <f>IF(ISNUMBER(VLOOKUP($A107,Haver_M!$B$1:$BZ$300,MATCH(data!AE$1,Haver_M!$B$1:$BZ$1,0),FALSE)),VLOOKUP($A107,Haver_M!$B$1:$BZ$300,MATCH(data!AE$1,Haver_M!$B$1:$BZ$1,0),FALSE),"")</f>
        <v>87.046000000000006</v>
      </c>
      <c r="AF107">
        <f>IF(ISNUMBER(VLOOKUP($A107,Haver_M!$B$1:$BZ$300,MATCH(data!AF$1,Haver_M!$B$1:$BZ$1,0),FALSE)),VLOOKUP($A107,Haver_M!$B$1:$BZ$300,MATCH(data!AF$1,Haver_M!$B$1:$BZ$1,0),FALSE),"")</f>
        <v>74.766999999999996</v>
      </c>
      <c r="AG107">
        <f>IF(ISNUMBER(VLOOKUP($A107,Haver_M!$B$1:$BZ$300,MATCH(data!AG$1,Haver_M!$B$1:$BZ$1,0),FALSE)),VLOOKUP($A107,Haver_M!$B$1:$BZ$300,MATCH(data!AG$1,Haver_M!$B$1:$BZ$1,0),FALSE),"")</f>
        <v>82.682000000000002</v>
      </c>
      <c r="AH107">
        <f>IF(ISNUMBER(VLOOKUP($A107,Haver_M!$B$1:$BZ$300,MATCH(data!AH$1,Haver_M!$B$1:$BZ$1,0),FALSE)),VLOOKUP($A107,Haver_M!$B$1:$BZ$300,MATCH(data!AH$1,Haver_M!$B$1:$BZ$1,0),FALSE),"")</f>
        <v>83.718000000000004</v>
      </c>
      <c r="AI107">
        <f>IF(ISNUMBER(VLOOKUP($A107,Haver_M!$B$1:$BZ$300,MATCH(data!AI$1,Haver_M!$B$1:$BZ$1,0),FALSE)),VLOOKUP($A107,Haver_M!$B$1:$BZ$300,MATCH(data!AI$1,Haver_M!$B$1:$BZ$1,0),FALSE),"")</f>
        <v>10736.141155970909</v>
      </c>
      <c r="AJ107">
        <f>IF(ISNUMBER(VLOOKUP($A107,Haver_M!$B$1:$BZ$300,MATCH(data!AJ$1,Haver_M!$B$1:$BZ$1,0),FALSE)),VLOOKUP($A107,Haver_M!$B$1:$BZ$300,MATCH(data!AJ$1,Haver_M!$B$1:$BZ$1,0),FALSE),"")</f>
        <v>15013.6</v>
      </c>
      <c r="AK107">
        <f>IF(ISNUMBER(VLOOKUP($A107,Haver_M!$B$1:$BZ$300,MATCH(data!AK$1,Haver_M!$B$1:$BZ$1,0),FALSE)),VLOOKUP($A107,Haver_M!$B$1:$BZ$300,MATCH(data!AK$1,Haver_M!$B$1:$BZ$1,0),FALSE),"")</f>
        <v>24798.21</v>
      </c>
      <c r="AL107" t="str">
        <f>IF(ISNUMBER(VLOOKUP($A107,Haver_M!$B$1:$BZ$300,MATCH(data!AL$1,Haver_M!$B$1:$BZ$1,0),FALSE)),VLOOKUP($A107,Haver_M!$B$1:$BZ$300,MATCH(data!AL$1,Haver_M!$B$1:$BZ$1,0),FALSE),"")</f>
        <v/>
      </c>
      <c r="AM107" t="str">
        <f>IF(ISNUMBER(VLOOKUP($A107,Haver_M!$B$1:$BZ$300,MATCH(data!AM$1,Haver_M!$B$1:$BZ$1,0),FALSE)),VLOOKUP($A107,Haver_M!$B$1:$BZ$300,MATCH(data!AM$1,Haver_M!$B$1:$BZ$1,0),FALSE),"")</f>
        <v/>
      </c>
      <c r="AN107" t="str">
        <f>IF(ISNUMBER(VLOOKUP($A107,Haver_M!$B$1:$BZ$300,MATCH(data!AN$1,Haver_M!$B$1:$BZ$1,0),FALSE)),VLOOKUP($A107,Haver_M!$B$1:$BZ$300,MATCH(data!AN$1,Haver_M!$B$1:$BZ$1,0),FALSE),"")</f>
        <v/>
      </c>
      <c r="AO107" t="str">
        <f>IF(ISNUMBER(VLOOKUP($A107,Haver_M!$B$1:$BZ$300,MATCH(data!AO$1,Haver_M!$B$1:$BZ$1,0),FALSE)),VLOOKUP($A107,Haver_M!$B$1:$BZ$300,MATCH(data!AO$1,Haver_M!$B$1:$BZ$1,0),FALSE),"")</f>
        <v/>
      </c>
      <c r="AP107">
        <f>IF(ISNUMBER(VLOOKUP($A107,Haver_M!$B$1:$BZ$300,MATCH(data!AP$1,Haver_M!$B$1:$BZ$1,0),FALSE)),VLOOKUP($A107,Haver_M!$B$1:$BZ$300,MATCH(data!AP$1,Haver_M!$B$1:$BZ$1,0),FALSE),"")</f>
        <v>208.02978728895721</v>
      </c>
      <c r="AQ107">
        <f>IF(ISNUMBER(VLOOKUP($A107,Haver_M!$B$1:$BZ$300,MATCH(data!AQ$1,Haver_M!$B$1:$BZ$1,0),FALSE)),VLOOKUP($A107,Haver_M!$B$1:$BZ$300,MATCH(data!AQ$1,Haver_M!$B$1:$BZ$1,0),FALSE),"")</f>
        <v>52.690899999999999</v>
      </c>
      <c r="AR107">
        <f>IF(ISNUMBER(VLOOKUP($A107,Haver_M!$B$1:$BZ$300,MATCH(data!AR$1,Haver_M!$B$1:$BZ$1,0),FALSE)),VLOOKUP($A107,Haver_M!$B$1:$BZ$300,MATCH(data!AR$1,Haver_M!$B$1:$BZ$1,0),FALSE),"")</f>
        <v>52.186999999999998</v>
      </c>
      <c r="AS107">
        <f>IF(ISNUMBER(VLOOKUP($A107,Haver_M!$B$1:$BZ$300,MATCH(data!AS$1,Haver_M!$B$1:$BZ$1,0),FALSE)),VLOOKUP($A107,Haver_M!$B$1:$BZ$300,MATCH(data!AS$1,Haver_M!$B$1:$BZ$1,0),FALSE),"")</f>
        <v>52.075499999999998</v>
      </c>
      <c r="AT107">
        <f>IF(ISNUMBER(VLOOKUP($A107,Haver_M!$B$1:$BZ$300,MATCH(data!AT$1,Haver_M!$B$1:$BZ$1,0),FALSE)),VLOOKUP($A107,Haver_M!$B$1:$BZ$300,MATCH(data!AT$1,Haver_M!$B$1:$BZ$1,0),FALSE),"")</f>
        <v>54.074399999999997</v>
      </c>
      <c r="AU107">
        <f>IF(ISNUMBER(VLOOKUP($A107,Haver_M!$B$1:$BZ$300,MATCH(data!AU$1,Haver_M!$B$1:$BZ$1,0),FALSE)),VLOOKUP($A107,Haver_M!$B$1:$BZ$300,MATCH(data!AU$1,Haver_M!$B$1:$BZ$1,0),FALSE),"")</f>
        <v>54.3887</v>
      </c>
      <c r="AV107">
        <f>IF(ISNUMBER(VLOOKUP($A107,Haver_M!$B$1:$BZ$300,MATCH(data!AV$1,Haver_M!$B$1:$BZ$1,0),FALSE)),VLOOKUP($A107,Haver_M!$B$1:$BZ$300,MATCH(data!AV$1,Haver_M!$B$1:$BZ$1,0),FALSE),"")</f>
        <v>50.104399999999998</v>
      </c>
      <c r="AW107">
        <f>IF(ISNUMBER(VLOOKUP($A107,Haver_M!$B$1:$BZ$300,MATCH(data!AW$1,Haver_M!$B$1:$BZ$1,0),FALSE)),VLOOKUP($A107,Haver_M!$B$1:$BZ$300,MATCH(data!AW$1,Haver_M!$B$1:$BZ$1,0),FALSE),"")</f>
        <v>50.8279</v>
      </c>
      <c r="AX107">
        <f>IF(ISNUMBER(VLOOKUP($A107,Haver_M!$B$1:$BZ$300,MATCH(data!AX$1,Haver_M!$B$1:$BZ$1,0),FALSE)),VLOOKUP($A107,Haver_M!$B$1:$BZ$300,MATCH(data!AX$1,Haver_M!$B$1:$BZ$1,0),FALSE),"")</f>
        <v>49.5505</v>
      </c>
      <c r="AY107">
        <f>IF(ISNUMBER(VLOOKUP($A107,Haver_M!$B$1:$BZ$300,MATCH(data!AY$1,Haver_M!$B$1:$BZ$1,0),FALSE)),VLOOKUP($A107,Haver_M!$B$1:$BZ$300,MATCH(data!AY$1,Haver_M!$B$1:$BZ$1,0),FALSE),"")</f>
        <v>51.067599999999999</v>
      </c>
      <c r="AZ107">
        <f>IF(ISNUMBER(VLOOKUP($A107,Haver_M!$B$1:$BZ$300,MATCH(data!AZ$1,Haver_M!$B$1:$BZ$1,0),FALSE)),VLOOKUP($A107,Haver_M!$B$1:$BZ$300,MATCH(data!AZ$1,Haver_M!$B$1:$BZ$1,0),FALSE),"")</f>
        <v>52.9696</v>
      </c>
      <c r="BA107">
        <f>IF(ISNUMBER(VLOOKUP($A107,Haver_M!$B$1:$BZ$300,MATCH(data!BA$1,Haver_M!$B$1:$BZ$1,0),FALSE)),VLOOKUP($A107,Haver_M!$B$1:$BZ$300,MATCH(data!BA$1,Haver_M!$B$1:$BZ$1,0),FALSE),"")</f>
        <v>49.5505</v>
      </c>
      <c r="BB107">
        <f>IF(ISNUMBER(VLOOKUP($A107,Haver_M!$B$1:$BZ$300,MATCH(data!BB$1,Haver_M!$B$1:$BZ$1,0),FALSE)),VLOOKUP($A107,Haver_M!$B$1:$BZ$300,MATCH(data!BB$1,Haver_M!$B$1:$BZ$1,0),FALSE),"")</f>
        <v>49.710999999999999</v>
      </c>
      <c r="BC107">
        <f>IF(ISNUMBER(VLOOKUP($A107,Haver_M!$B$1:$BZ$300,MATCH(data!BC$1,Haver_M!$B$1:$BZ$1,0),FALSE)),VLOOKUP($A107,Haver_M!$B$1:$BZ$300,MATCH(data!BC$1,Haver_M!$B$1:$BZ$1,0),FALSE),"")</f>
        <v>50.758200000000002</v>
      </c>
      <c r="BD107">
        <f>IF(ISNUMBER(VLOOKUP($A107,Haver_M!$B$1:$BZ$300,MATCH(data!BD$1,Haver_M!$B$1:$BZ$1,0),FALSE)),VLOOKUP($A107,Haver_M!$B$1:$BZ$300,MATCH(data!BD$1,Haver_M!$B$1:$BZ$1,0),FALSE),"")</f>
        <v>47.776600000000002</v>
      </c>
      <c r="BE107">
        <f>IF(ISNUMBER(VLOOKUP($A107,Haver_M!$B$1:$BZ$300,MATCH(data!BE$1,Haver_M!$B$1:$BZ$1,0),FALSE)),VLOOKUP($A107,Haver_M!$B$1:$BZ$300,MATCH(data!BE$1,Haver_M!$B$1:$BZ$1,0),FALSE),"")</f>
        <v>1.1332</v>
      </c>
      <c r="BF107">
        <f>IF(ISNUMBER(VLOOKUP($A107,Haver_M!$B$1:$BZ$300,MATCH(data!BF$1,Haver_M!$B$1:$BZ$1,0),FALSE)),VLOOKUP($A107,Haver_M!$B$1:$BZ$300,MATCH(data!BF$1,Haver_M!$B$1:$BZ$1,0),FALSE),"")</f>
        <v>51.450200000000002</v>
      </c>
      <c r="BG107">
        <f>IF(ISNUMBER(VLOOKUP($A107,Haver_M!$B$1:$BZ$300,MATCH(data!BG$1,Haver_M!$B$1:$BZ$1,0),FALSE)),VLOOKUP($A107,Haver_M!$B$1:$BZ$300,MATCH(data!BG$1,Haver_M!$B$1:$BZ$1,0),FALSE),"")</f>
        <v>51.294899999999998</v>
      </c>
      <c r="BH107">
        <f>IF(ISNUMBER(VLOOKUP($A107,Haver_M!$B$1:$BZ$300,MATCH(data!BH$1,Haver_M!$B$1:$BZ$1,0),FALSE)),VLOOKUP($A107,Haver_M!$B$1:$BZ$300,MATCH(data!BH$1,Haver_M!$B$1:$BZ$1,0),FALSE),"")</f>
        <v>50.334299999999999</v>
      </c>
      <c r="BI107">
        <f>IF(ISNUMBER(VLOOKUP($A107,Haver_M!$B$1:$BZ$300,MATCH(data!BI$1,Haver_M!$B$1:$BZ$1,0),FALSE)),VLOOKUP($A107,Haver_M!$B$1:$BZ$300,MATCH(data!BI$1,Haver_M!$B$1:$BZ$1,0),FALSE),"")</f>
        <v>54.848999999999997</v>
      </c>
      <c r="BJ107" t="str">
        <f>IF(ISNUMBER(VLOOKUP($A107,Haver_M!$B$1:$BZ$300,MATCH(data!BJ$1,Haver_M!$B$1:$BZ$1,0),FALSE)),VLOOKUP($A107,Haver_M!$B$1:$BZ$300,MATCH(data!BJ$1,Haver_M!$B$1:$BZ$1,0),FALSE),"")</f>
        <v/>
      </c>
      <c r="BK107">
        <f>IF(ISNUMBER(VLOOKUP($A107,Haver_M!$B$1:$BZ$300,MATCH(data!BK$1,Haver_M!$B$1:$BZ$1,0),FALSE)),VLOOKUP($A107,Haver_M!$B$1:$BZ$300,MATCH(data!BK$1,Haver_M!$B$1:$BZ$1,0),FALSE),"")</f>
        <v>51.279899999999998</v>
      </c>
      <c r="BL107">
        <f>IF(ISNUMBER(VLOOKUP($A107,Haver_M!$B$1:$BZ$300,MATCH(data!BL$1,Haver_M!$B$1:$BZ$1,0),FALSE)),VLOOKUP($A107,Haver_M!$B$1:$BZ$300,MATCH(data!BL$1,Haver_M!$B$1:$BZ$1,0),FALSE),"")</f>
        <v>10549.65</v>
      </c>
      <c r="BM107">
        <f>IF(ISNUMBER(VLOOKUP($A107,Haver_M!$B$1:$BZ$300,MATCH(data!BM$1,Haver_M!$B$1:$BZ$1,0),FALSE)),VLOOKUP($A107,Haver_M!$B$1:$BZ$300,MATCH(data!BM$1,Haver_M!$B$1:$BZ$1,0),FALSE),"")</f>
        <v>84.193055990000005</v>
      </c>
      <c r="BN107" t="str">
        <f>IF(ISNUMBER(VLOOKUP($A107,Haver_M!$B$1:$BZ$300,MATCH(data!BN$1,Haver_M!$B$1:$BZ$1,0),FALSE)),VLOOKUP($A107,Haver_M!$B$1:$BZ$300,MATCH(data!BN$1,Haver_M!$B$1:$BZ$1,0),FALSE),"")</f>
        <v/>
      </c>
      <c r="BO107" t="str">
        <f>IF(ISNUMBER(VLOOKUP($A107,Haver_M!$B$1:$BZ$300,MATCH(data!BO$1,Haver_M!$B$1:$BZ$1,0),FALSE)),VLOOKUP($A107,Haver_M!$B$1:$BZ$300,MATCH(data!BO$1,Haver_M!$B$1:$BZ$1,0),FALSE),"")</f>
        <v/>
      </c>
      <c r="BP107" t="str">
        <f>IF(ISNUMBER(VLOOKUP($A107,Haver_M!$B$1:$BZ$300,MATCH(data!BP$1,Haver_M!$B$1:$BZ$1,0),FALSE)),VLOOKUP($A107,Haver_M!$B$1:$BZ$300,MATCH(data!BP$1,Haver_M!$B$1:$BZ$1,0),FALSE),"")</f>
        <v/>
      </c>
      <c r="BQ107">
        <f>IF(ISNUMBER(VLOOKUP($A107,Haver_M!$B$1:$BZ$300,MATCH(data!BQ$1,Haver_M!$B$1:$BZ$1,0),FALSE)),VLOOKUP($A107,Haver_M!$B$1:$BZ$300,MATCH(data!BQ$1,Haver_M!$B$1:$BZ$1,0),FALSE),"")</f>
        <v>115.80808433829061</v>
      </c>
      <c r="BR107">
        <f>IF(ISNUMBER(VLOOKUP($A107,Haver_M!$B$1:$BZ$300,MATCH(data!BR$1,Haver_M!$B$1:$BZ$1,0),FALSE)),VLOOKUP($A107,Haver_M!$B$1:$BZ$300,MATCH(data!BR$1,Haver_M!$B$1:$BZ$1,0),FALSE),"")</f>
        <v>205.08981912824666</v>
      </c>
      <c r="BS107">
        <f>IF(ISNUMBER(VLOOKUP($A107,Haver_M!$B$1:$BZ$300,MATCH(data!BS$1,Haver_M!$B$1:$BZ$1,0),FALSE)),VLOOKUP($A107,Haver_M!$B$1:$BZ$300,MATCH(data!BS$1,Haver_M!$B$1:$BZ$1,0),FALSE),"")</f>
        <v>124.07518574406585</v>
      </c>
      <c r="BT107">
        <f>IF(ISNUMBER(VLOOKUP($A107,Haver_M!$B$1:$BZ$300,MATCH(data!BT$1,Haver_M!$B$1:$BZ$1,0),FALSE)),VLOOKUP($A107,Haver_M!$B$1:$BZ$300,MATCH(data!BT$1,Haver_M!$B$1:$BZ$1,0),FALSE),"")</f>
        <v>502.80743880827754</v>
      </c>
      <c r="BU107">
        <f>IF(ISNUMBER(VLOOKUP($A107,Haver_M!$B$1:$BZ$300,MATCH(data!BU$1,Haver_M!$B$1:$BZ$1,0),FALSE)),VLOOKUP($A107,Haver_M!$B$1:$BZ$300,MATCH(data!BU$1,Haver_M!$B$1:$BZ$1,0),FALSE),"")</f>
        <v>14130.8</v>
      </c>
      <c r="BV107">
        <f>IF(ISNUMBER(VLOOKUP($A107,Haver_M!$B$1:$BZ$300,MATCH(data!BV$1,Haver_M!$B$1:$BZ$1,0),FALSE)),VLOOKUP($A107,Haver_M!$B$1:$BZ$300,MATCH(data!BV$1,Haver_M!$B$1:$BZ$1,0),FALSE),"")</f>
        <v>25869.3</v>
      </c>
      <c r="BW107">
        <f>IF(ISNUMBER(VLOOKUP($A107,Haver_M!$B$1:$BZ$300,MATCH(data!BW$1,Haver_M!$B$1:$BZ$1,0),FALSE)),VLOOKUP($A107,Haver_M!$B$1:$BZ$300,MATCH(data!BW$1,Haver_M!$B$1:$BZ$1,0),FALSE),"")</f>
        <v>48.642200000000003</v>
      </c>
      <c r="BX107">
        <f>IF(ISNUMBER(VLOOKUP($A107,Haver_M!$B$1:$BZ$300,MATCH(data!BX$1,Haver_M!$B$1:$BZ$1,0),FALSE)),VLOOKUP($A107,Haver_M!$B$1:$BZ$300,MATCH(data!BX$1,Haver_M!$B$1:$BZ$1,0),FALSE),"")</f>
        <v>35344</v>
      </c>
    </row>
    <row r="108" spans="1:76" x14ac:dyDescent="0.25">
      <c r="A108" s="2">
        <v>39782</v>
      </c>
      <c r="B108" t="str">
        <f>IF(ISNUMBER(VLOOKUP($A108,Haver_Q!$B$1:$L$185,MATCH(data!B$1,Haver_Q!$B$1:$L$1,0),FALSE)),100*(VLOOKUP($A108,Haver_Q!$B$1:$L$185,MATCH(data!B$1,Haver_Q!$B$1:$L$1,0),FALSE)),"")</f>
        <v/>
      </c>
      <c r="C108" t="str">
        <f>IF(ISNUMBER(VLOOKUP($A108,Haver_Q!$B$1:$L$185,MATCH(data!C$1,Haver_Q!$B$1:$L$1,0),FALSE)),100*(VLOOKUP($A108,Haver_Q!$B$1:$L$185,MATCH(data!C$1,Haver_Q!$B$1:$L$1,0),FALSE)),"")</f>
        <v/>
      </c>
      <c r="D108" t="str">
        <f>IF(ISNUMBER(VLOOKUP($A108,Haver_Q!$B$1:$L$185,MATCH(data!D$1,Haver_Q!$B$1:$L$1,0),FALSE)),100*(VLOOKUP($A108,Haver_Q!$B$1:$L$185,MATCH(data!D$1,Haver_Q!$B$1:$L$1,0),FALSE)),"")</f>
        <v/>
      </c>
      <c r="E108" t="str">
        <f>IF(ISNUMBER(VLOOKUP($A108,Haver_Q!$B$1:$L$185,MATCH(data!E$1,Haver_Q!$B$1:$L$1,0),FALSE)),100*(VLOOKUP($A108,Haver_Q!$B$1:$L$185,MATCH(data!E$1,Haver_Q!$B$1:$L$1,0),FALSE)),"")</f>
        <v/>
      </c>
      <c r="F108" t="str">
        <f>IF(ISNUMBER(VLOOKUP($A108,Haver_Q!$B$1:$L$185,MATCH(data!F$1,Haver_Q!$B$1:$L$1,0),FALSE)),100*(VLOOKUP($A108,Haver_Q!$B$1:$L$185,MATCH(data!F$1,Haver_Q!$B$1:$L$1,0),FALSE)),"")</f>
        <v/>
      </c>
      <c r="G108" t="str">
        <f>IF(ISNUMBER(VLOOKUP($A108,Haver_Q!$B$1:$L$185,MATCH(data!G$1,Haver_Q!$B$1:$L$1,0),FALSE)),100*(VLOOKUP($A108,Haver_Q!$B$1:$L$185,MATCH(data!G$1,Haver_Q!$B$1:$L$1,0),FALSE)),"")</f>
        <v/>
      </c>
      <c r="H108" t="str">
        <f>IF(ISNUMBER(VLOOKUP($A108,Haver_Q!$B$1:$L$185,MATCH(data!H$1,Haver_Q!$B$1:$L$1,0),FALSE)),(VLOOKUP($A108,Haver_Q!$B$1:$L$185,MATCH(data!H$1,Haver_Q!$B$1:$L$1,0),FALSE)),"")</f>
        <v/>
      </c>
      <c r="I108" t="str">
        <f>IF(ISNUMBER(VLOOKUP($A108,Haver_Q!$B$1:$L$185,MATCH(data!I$1,Haver_Q!$B$1:$L$1,0),FALSE)),100*(VLOOKUP($A108,Haver_Q!$B$1:$L$185,MATCH(data!I$1,Haver_Q!$B$1:$L$1,0),FALSE)),"")</f>
        <v/>
      </c>
      <c r="J108" s="3">
        <f>IF(ISNUMBER(Bloomberg_m!C124),Bloomberg_m!C124,"")</f>
        <v>819</v>
      </c>
      <c r="K108" s="3" t="str">
        <f>IF(ISNUMBER(Bloomberg_m!D124),Bloomberg_m!D124,"")</f>
        <v/>
      </c>
      <c r="L108" s="3" t="str">
        <f>IF(ISNUMBER(Bloomberg_m!E124),Bloomberg_m!E124,"")</f>
        <v/>
      </c>
      <c r="M108" s="3" t="str">
        <f>IF(ISNUMBER(Bloomberg_m!F124),Bloomberg_m!F124,"")</f>
        <v/>
      </c>
      <c r="N108">
        <f>IF(ISNUMBER(VLOOKUP($A108,Haver_M!$B$1:$BZ$300,MATCH(data!N$1,Haver_M!$B$1:$BZ$1,0),FALSE)),VLOOKUP($A108,Haver_M!$B$1:$BZ$300,MATCH(data!N$1,Haver_M!$B$1:$BZ$1,0),FALSE),"")</f>
        <v>7.5</v>
      </c>
      <c r="O108">
        <f>IF(ISNUMBER(VLOOKUP($A108,Haver_M!$B$1:$BZ$300,MATCH(data!O$1,Haver_M!$B$1:$BZ$1,0),FALSE)),VLOOKUP($A108,Haver_M!$B$1:$BZ$300,MATCH(data!O$1,Haver_M!$B$1:$BZ$1,0),FALSE),"")</f>
        <v>7.1196999999999999</v>
      </c>
      <c r="P108">
        <f>IF(ISNUMBER(VLOOKUP($A108,Haver_M!$B$1:$BZ$300,MATCH(data!P$1,Haver_M!$B$1:$BZ$1,0),FALSE)),VLOOKUP($A108,Haver_M!$B$1:$BZ$300,MATCH(data!P$1,Haver_M!$B$1:$BZ$1,0),FALSE),"")</f>
        <v>90.932130000000001</v>
      </c>
      <c r="Q108">
        <f>IF(ISNUMBER(VLOOKUP($A108,Haver_M!$B$1:$BZ$300,MATCH(data!Q$1,Haver_M!$B$1:$BZ$1,0),FALSE)),VLOOKUP($A108,Haver_M!$B$1:$BZ$300,MATCH(data!Q$1,Haver_M!$B$1:$BZ$1,0),FALSE),"")</f>
        <v>73.3</v>
      </c>
      <c r="R108" t="str">
        <f>IF(ISNUMBER(VLOOKUP($A108,Haver_M!$B$1:$BZ$300,MATCH(data!R$1,Haver_M!$B$1:$BZ$1,0),FALSE)),VLOOKUP($A108,Haver_M!$B$1:$BZ$300,MATCH(data!R$1,Haver_M!$B$1:$BZ$1,0),FALSE),"")</f>
        <v/>
      </c>
      <c r="S108">
        <f>IF(ISNUMBER(VLOOKUP($A108,Haver_M!$B$1:$BZ$300,MATCH(data!S$1,Haver_M!$B$1:$BZ$1,0),FALSE)),VLOOKUP($A108,Haver_M!$B$1:$BZ$300,MATCH(data!S$1,Haver_M!$B$1:$BZ$1,0),FALSE),"")</f>
        <v>87.48</v>
      </c>
      <c r="T108">
        <f>IF(ISNUMBER(VLOOKUP($A108,Haver_M!$B$1:$BZ$300,MATCH(data!T$1,Haver_M!$B$1:$BZ$1,0),FALSE)),VLOOKUP($A108,Haver_M!$B$1:$BZ$300,MATCH(data!T$1,Haver_M!$B$1:$BZ$1,0),FALSE),"")</f>
        <v>84.24</v>
      </c>
      <c r="U108">
        <f>IF(ISNUMBER(VLOOKUP($A108,Haver_M!$B$1:$BZ$300,MATCH(data!U$1,Haver_M!$B$1:$BZ$1,0),FALSE)),VLOOKUP($A108,Haver_M!$B$1:$BZ$300,MATCH(data!U$1,Haver_M!$B$1:$BZ$1,0),FALSE),"")</f>
        <v>105.31</v>
      </c>
      <c r="V108">
        <f>IF(ISNUMBER(VLOOKUP($A108,Haver_M!$B$1:$BZ$300,MATCH(data!V$1,Haver_M!$B$1:$BZ$1,0),FALSE)),VLOOKUP($A108,Haver_M!$B$1:$BZ$300,MATCH(data!V$1,Haver_M!$B$1:$BZ$1,0),FALSE),"")</f>
        <v>92.35</v>
      </c>
      <c r="W108" t="str">
        <f>IF(ISNUMBER(VLOOKUP($A108,Haver_M!$B$1:$BZ$300,MATCH(data!W$1,Haver_M!$B$1:$BZ$1,0),FALSE)),VLOOKUP($A108,Haver_M!$B$1:$BZ$300,MATCH(data!W$1,Haver_M!$B$1:$BZ$1,0),FALSE),"")</f>
        <v/>
      </c>
      <c r="X108">
        <f>IF(ISNUMBER(VLOOKUP($A108,Haver_M!$B$1:$BZ$300,MATCH(data!X$1,Haver_M!$B$1:$BZ$1,0),FALSE)),VLOOKUP($A108,Haver_M!$B$1:$BZ$300,MATCH(data!X$1,Haver_M!$B$1:$BZ$1,0),FALSE),"")</f>
        <v>65.569999999999993</v>
      </c>
      <c r="Y108">
        <f>IF(ISNUMBER(VLOOKUP($A108,Haver_M!$B$1:$BZ$300,MATCH(data!Y$1,Haver_M!$B$1:$BZ$1,0),FALSE)),VLOOKUP($A108,Haver_M!$B$1:$BZ$300,MATCH(data!Y$1,Haver_M!$B$1:$BZ$1,0),FALSE),"")</f>
        <v>88.94</v>
      </c>
      <c r="Z108">
        <f>IF(ISNUMBER(VLOOKUP($A108,Haver_M!$B$1:$BZ$300,MATCH(data!Z$1,Haver_M!$B$1:$BZ$1,0),FALSE)),VLOOKUP($A108,Haver_M!$B$1:$BZ$300,MATCH(data!Z$1,Haver_M!$B$1:$BZ$1,0),FALSE),"")</f>
        <v>84</v>
      </c>
      <c r="AA108">
        <f>IF(ISNUMBER(VLOOKUP($A108,Haver_M!$B$1:$BZ$300,MATCH(data!AA$1,Haver_M!$B$1:$BZ$1,0),FALSE)),VLOOKUP($A108,Haver_M!$B$1:$BZ$300,MATCH(data!AA$1,Haver_M!$B$1:$BZ$1,0),FALSE),"")</f>
        <v>94.296999999999997</v>
      </c>
      <c r="AB108">
        <f>IF(ISNUMBER(VLOOKUP($A108,Haver_M!$B$1:$BZ$300,MATCH(data!AB$1,Haver_M!$B$1:$BZ$1,0),FALSE)),VLOOKUP($A108,Haver_M!$B$1:$BZ$300,MATCH(data!AB$1,Haver_M!$B$1:$BZ$1,0),FALSE),"")</f>
        <v>90.379000000000005</v>
      </c>
      <c r="AC108">
        <f>IF(ISNUMBER(VLOOKUP($A108,Haver_M!$B$1:$BZ$300,MATCH(data!AC$1,Haver_M!$B$1:$BZ$1,0),FALSE)),VLOOKUP($A108,Haver_M!$B$1:$BZ$300,MATCH(data!AC$1,Haver_M!$B$1:$BZ$1,0),FALSE),"")</f>
        <v>70.114000000000004</v>
      </c>
      <c r="AD108">
        <f>IF(ISNUMBER(VLOOKUP($A108,Haver_M!$B$1:$BZ$300,MATCH(data!AD$1,Haver_M!$B$1:$BZ$1,0),FALSE)),VLOOKUP($A108,Haver_M!$B$1:$BZ$300,MATCH(data!AD$1,Haver_M!$B$1:$BZ$1,0),FALSE),"")</f>
        <v>93.622</v>
      </c>
      <c r="AE108">
        <f>IF(ISNUMBER(VLOOKUP($A108,Haver_M!$B$1:$BZ$300,MATCH(data!AE$1,Haver_M!$B$1:$BZ$1,0),FALSE)),VLOOKUP($A108,Haver_M!$B$1:$BZ$300,MATCH(data!AE$1,Haver_M!$B$1:$BZ$1,0),FALSE),"")</f>
        <v>92.381</v>
      </c>
      <c r="AF108">
        <f>IF(ISNUMBER(VLOOKUP($A108,Haver_M!$B$1:$BZ$300,MATCH(data!AF$1,Haver_M!$B$1:$BZ$1,0),FALSE)),VLOOKUP($A108,Haver_M!$B$1:$BZ$300,MATCH(data!AF$1,Haver_M!$B$1:$BZ$1,0),FALSE),"")</f>
        <v>72.436000000000007</v>
      </c>
      <c r="AG108">
        <f>IF(ISNUMBER(VLOOKUP($A108,Haver_M!$B$1:$BZ$300,MATCH(data!AG$1,Haver_M!$B$1:$BZ$1,0),FALSE)),VLOOKUP($A108,Haver_M!$B$1:$BZ$300,MATCH(data!AG$1,Haver_M!$B$1:$BZ$1,0),FALSE),"")</f>
        <v>81.626000000000005</v>
      </c>
      <c r="AH108">
        <f>IF(ISNUMBER(VLOOKUP($A108,Haver_M!$B$1:$BZ$300,MATCH(data!AH$1,Haver_M!$B$1:$BZ$1,0),FALSE)),VLOOKUP($A108,Haver_M!$B$1:$BZ$300,MATCH(data!AH$1,Haver_M!$B$1:$BZ$1,0),FALSE),"")</f>
        <v>83.141000000000005</v>
      </c>
      <c r="AI108">
        <f>IF(ISNUMBER(VLOOKUP($A108,Haver_M!$B$1:$BZ$300,MATCH(data!AI$1,Haver_M!$B$1:$BZ$1,0),FALSE)),VLOOKUP($A108,Haver_M!$B$1:$BZ$300,MATCH(data!AI$1,Haver_M!$B$1:$BZ$1,0),FALSE),"")</f>
        <v>11056.089268072941</v>
      </c>
      <c r="AJ108">
        <f>IF(ISNUMBER(VLOOKUP($A108,Haver_M!$B$1:$BZ$300,MATCH(data!AJ$1,Haver_M!$B$1:$BZ$1,0),FALSE)),VLOOKUP($A108,Haver_M!$B$1:$BZ$300,MATCH(data!AJ$1,Haver_M!$B$1:$BZ$1,0),FALSE),"")</f>
        <v>12168.23</v>
      </c>
      <c r="AK108">
        <f>IF(ISNUMBER(VLOOKUP($A108,Haver_M!$B$1:$BZ$300,MATCH(data!AK$1,Haver_M!$B$1:$BZ$1,0),FALSE)),VLOOKUP($A108,Haver_M!$B$1:$BZ$300,MATCH(data!AK$1,Haver_M!$B$1:$BZ$1,0),FALSE),"")</f>
        <v>24086.03</v>
      </c>
      <c r="AL108" t="str">
        <f>IF(ISNUMBER(VLOOKUP($A108,Haver_M!$B$1:$BZ$300,MATCH(data!AL$1,Haver_M!$B$1:$BZ$1,0),FALSE)),VLOOKUP($A108,Haver_M!$B$1:$BZ$300,MATCH(data!AL$1,Haver_M!$B$1:$BZ$1,0),FALSE),"")</f>
        <v/>
      </c>
      <c r="AM108" t="str">
        <f>IF(ISNUMBER(VLOOKUP($A108,Haver_M!$B$1:$BZ$300,MATCH(data!AM$1,Haver_M!$B$1:$BZ$1,0),FALSE)),VLOOKUP($A108,Haver_M!$B$1:$BZ$300,MATCH(data!AM$1,Haver_M!$B$1:$BZ$1,0),FALSE),"")</f>
        <v/>
      </c>
      <c r="AN108" t="str">
        <f>IF(ISNUMBER(VLOOKUP($A108,Haver_M!$B$1:$BZ$300,MATCH(data!AN$1,Haver_M!$B$1:$BZ$1,0),FALSE)),VLOOKUP($A108,Haver_M!$B$1:$BZ$300,MATCH(data!AN$1,Haver_M!$B$1:$BZ$1,0),FALSE),"")</f>
        <v/>
      </c>
      <c r="AO108" t="str">
        <f>IF(ISNUMBER(VLOOKUP($A108,Haver_M!$B$1:$BZ$300,MATCH(data!AO$1,Haver_M!$B$1:$BZ$1,0),FALSE)),VLOOKUP($A108,Haver_M!$B$1:$BZ$300,MATCH(data!AO$1,Haver_M!$B$1:$BZ$1,0),FALSE),"")</f>
        <v/>
      </c>
      <c r="AP108">
        <f>IF(ISNUMBER(VLOOKUP($A108,Haver_M!$B$1:$BZ$300,MATCH(data!AP$1,Haver_M!$B$1:$BZ$1,0),FALSE)),VLOOKUP($A108,Haver_M!$B$1:$BZ$300,MATCH(data!AP$1,Haver_M!$B$1:$BZ$1,0),FALSE),"")</f>
        <v>162.88468138765001</v>
      </c>
      <c r="AQ108">
        <f>IF(ISNUMBER(VLOOKUP($A108,Haver_M!$B$1:$BZ$300,MATCH(data!AQ$1,Haver_M!$B$1:$BZ$1,0),FALSE)),VLOOKUP($A108,Haver_M!$B$1:$BZ$300,MATCH(data!AQ$1,Haver_M!$B$1:$BZ$1,0),FALSE),"")</f>
        <v>42.165700000000001</v>
      </c>
      <c r="AR108">
        <f>IF(ISNUMBER(VLOOKUP($A108,Haver_M!$B$1:$BZ$300,MATCH(data!AR$1,Haver_M!$B$1:$BZ$1,0),FALSE)),VLOOKUP($A108,Haver_M!$B$1:$BZ$300,MATCH(data!AR$1,Haver_M!$B$1:$BZ$1,0),FALSE),"")</f>
        <v>45.756100000000004</v>
      </c>
      <c r="AS108">
        <f>IF(ISNUMBER(VLOOKUP($A108,Haver_M!$B$1:$BZ$300,MATCH(data!AS$1,Haver_M!$B$1:$BZ$1,0),FALSE)),VLOOKUP($A108,Haver_M!$B$1:$BZ$300,MATCH(data!AS$1,Haver_M!$B$1:$BZ$1,0),FALSE),"")</f>
        <v>41.102400000000003</v>
      </c>
      <c r="AT108">
        <f>IF(ISNUMBER(VLOOKUP($A108,Haver_M!$B$1:$BZ$300,MATCH(data!AT$1,Haver_M!$B$1:$BZ$1,0),FALSE)),VLOOKUP($A108,Haver_M!$B$1:$BZ$300,MATCH(data!AT$1,Haver_M!$B$1:$BZ$1,0),FALSE),"")</f>
        <v>44.555900000000001</v>
      </c>
      <c r="AU108">
        <f>IF(ISNUMBER(VLOOKUP($A108,Haver_M!$B$1:$BZ$300,MATCH(data!AU$1,Haver_M!$B$1:$BZ$1,0),FALSE)),VLOOKUP($A108,Haver_M!$B$1:$BZ$300,MATCH(data!AU$1,Haver_M!$B$1:$BZ$1,0),FALSE),"")</f>
        <v>43.184199999999997</v>
      </c>
      <c r="AV108">
        <f>IF(ISNUMBER(VLOOKUP($A108,Haver_M!$B$1:$BZ$300,MATCH(data!AV$1,Haver_M!$B$1:$BZ$1,0),FALSE)),VLOOKUP($A108,Haver_M!$B$1:$BZ$300,MATCH(data!AV$1,Haver_M!$B$1:$BZ$1,0),FALSE),"")</f>
        <v>49.976599999999998</v>
      </c>
      <c r="AW108">
        <f>IF(ISNUMBER(VLOOKUP($A108,Haver_M!$B$1:$BZ$300,MATCH(data!AW$1,Haver_M!$B$1:$BZ$1,0),FALSE)),VLOOKUP($A108,Haver_M!$B$1:$BZ$300,MATCH(data!AW$1,Haver_M!$B$1:$BZ$1,0),FALSE),"")</f>
        <v>51.9086</v>
      </c>
      <c r="AX108">
        <f>IF(ISNUMBER(VLOOKUP($A108,Haver_M!$B$1:$BZ$300,MATCH(data!AX$1,Haver_M!$B$1:$BZ$1,0),FALSE)),VLOOKUP($A108,Haver_M!$B$1:$BZ$300,MATCH(data!AX$1,Haver_M!$B$1:$BZ$1,0),FALSE),"")</f>
        <v>44.528799999999997</v>
      </c>
      <c r="AY108">
        <f>IF(ISNUMBER(VLOOKUP($A108,Haver_M!$B$1:$BZ$300,MATCH(data!AY$1,Haver_M!$B$1:$BZ$1,0),FALSE)),VLOOKUP($A108,Haver_M!$B$1:$BZ$300,MATCH(data!AY$1,Haver_M!$B$1:$BZ$1,0),FALSE),"")</f>
        <v>41.8264</v>
      </c>
      <c r="AZ108">
        <f>IF(ISNUMBER(VLOOKUP($A108,Haver_M!$B$1:$BZ$300,MATCH(data!AZ$1,Haver_M!$B$1:$BZ$1,0),FALSE)),VLOOKUP($A108,Haver_M!$B$1:$BZ$300,MATCH(data!AZ$1,Haver_M!$B$1:$BZ$1,0),FALSE),"")</f>
        <v>46.170699999999997</v>
      </c>
      <c r="BA108">
        <f>IF(ISNUMBER(VLOOKUP($A108,Haver_M!$B$1:$BZ$300,MATCH(data!BA$1,Haver_M!$B$1:$BZ$1,0),FALSE)),VLOOKUP($A108,Haver_M!$B$1:$BZ$300,MATCH(data!BA$1,Haver_M!$B$1:$BZ$1,0),FALSE),"")</f>
        <v>44.528799999999997</v>
      </c>
      <c r="BB108">
        <f>IF(ISNUMBER(VLOOKUP($A108,Haver_M!$B$1:$BZ$300,MATCH(data!BB$1,Haver_M!$B$1:$BZ$1,0),FALSE)),VLOOKUP($A108,Haver_M!$B$1:$BZ$300,MATCH(data!BB$1,Haver_M!$B$1:$BZ$1,0),FALSE),"")</f>
        <v>46.7117</v>
      </c>
      <c r="BC108">
        <f>IF(ISNUMBER(VLOOKUP($A108,Haver_M!$B$1:$BZ$300,MATCH(data!BC$1,Haver_M!$B$1:$BZ$1,0),FALSE)),VLOOKUP($A108,Haver_M!$B$1:$BZ$300,MATCH(data!BC$1,Haver_M!$B$1:$BZ$1,0),FALSE),"")</f>
        <v>47.371200000000002</v>
      </c>
      <c r="BD108">
        <f>IF(ISNUMBER(VLOOKUP($A108,Haver_M!$B$1:$BZ$300,MATCH(data!BD$1,Haver_M!$B$1:$BZ$1,0),FALSE)),VLOOKUP($A108,Haver_M!$B$1:$BZ$300,MATCH(data!BD$1,Haver_M!$B$1:$BZ$1,0),FALSE),"")</f>
        <v>46.791499999999999</v>
      </c>
      <c r="BE108">
        <f>IF(ISNUMBER(VLOOKUP($A108,Haver_M!$B$1:$BZ$300,MATCH(data!BE$1,Haver_M!$B$1:$BZ$1,0),FALSE)),VLOOKUP($A108,Haver_M!$B$1:$BZ$300,MATCH(data!BE$1,Haver_M!$B$1:$BZ$1,0),FALSE),"")</f>
        <v>0.92259999999999998</v>
      </c>
      <c r="BF108">
        <f>IF(ISNUMBER(VLOOKUP($A108,Haver_M!$B$1:$BZ$300,MATCH(data!BF$1,Haver_M!$B$1:$BZ$1,0),FALSE)),VLOOKUP($A108,Haver_M!$B$1:$BZ$300,MATCH(data!BF$1,Haver_M!$B$1:$BZ$1,0),FALSE),"")</f>
        <v>48.7134</v>
      </c>
      <c r="BG108">
        <f>IF(ISNUMBER(VLOOKUP($A108,Haver_M!$B$1:$BZ$300,MATCH(data!BG$1,Haver_M!$B$1:$BZ$1,0),FALSE)),VLOOKUP($A108,Haver_M!$B$1:$BZ$300,MATCH(data!BG$1,Haver_M!$B$1:$BZ$1,0),FALSE),"")</f>
        <v>49.357700000000001</v>
      </c>
      <c r="BH108">
        <f>IF(ISNUMBER(VLOOKUP($A108,Haver_M!$B$1:$BZ$300,MATCH(data!BH$1,Haver_M!$B$1:$BZ$1,0),FALSE)),VLOOKUP($A108,Haver_M!$B$1:$BZ$300,MATCH(data!BH$1,Haver_M!$B$1:$BZ$1,0),FALSE),"")</f>
        <v>43.340899999999998</v>
      </c>
      <c r="BI108">
        <f>IF(ISNUMBER(VLOOKUP($A108,Haver_M!$B$1:$BZ$300,MATCH(data!BI$1,Haver_M!$B$1:$BZ$1,0),FALSE)),VLOOKUP($A108,Haver_M!$B$1:$BZ$300,MATCH(data!BI$1,Haver_M!$B$1:$BZ$1,0),FALSE),"")</f>
        <v>49.886899999999997</v>
      </c>
      <c r="BJ108" t="str">
        <f>IF(ISNUMBER(VLOOKUP($A108,Haver_M!$B$1:$BZ$300,MATCH(data!BJ$1,Haver_M!$B$1:$BZ$1,0),FALSE)),VLOOKUP($A108,Haver_M!$B$1:$BZ$300,MATCH(data!BJ$1,Haver_M!$B$1:$BZ$1,0),FALSE),"")</f>
        <v/>
      </c>
      <c r="BK108">
        <f>IF(ISNUMBER(VLOOKUP($A108,Haver_M!$B$1:$BZ$300,MATCH(data!BK$1,Haver_M!$B$1:$BZ$1,0),FALSE)),VLOOKUP($A108,Haver_M!$B$1:$BZ$300,MATCH(data!BK$1,Haver_M!$B$1:$BZ$1,0),FALSE),"")</f>
        <v>44.405000000000001</v>
      </c>
      <c r="BL108">
        <f>IF(ISNUMBER(VLOOKUP($A108,Haver_M!$B$1:$BZ$300,MATCH(data!BL$1,Haver_M!$B$1:$BZ$1,0),FALSE)),VLOOKUP($A108,Haver_M!$B$1:$BZ$300,MATCH(data!BL$1,Haver_M!$B$1:$BZ$1,0),FALSE),"")</f>
        <v>9453.9599999999991</v>
      </c>
      <c r="BM108">
        <f>IF(ISNUMBER(VLOOKUP($A108,Haver_M!$B$1:$BZ$300,MATCH(data!BM$1,Haver_M!$B$1:$BZ$1,0),FALSE)),VLOOKUP($A108,Haver_M!$B$1:$BZ$300,MATCH(data!BM$1,Haver_M!$B$1:$BZ$1,0),FALSE),"")</f>
        <v>80.771541290000002</v>
      </c>
      <c r="BN108" t="str">
        <f>IF(ISNUMBER(VLOOKUP($A108,Haver_M!$B$1:$BZ$300,MATCH(data!BN$1,Haver_M!$B$1:$BZ$1,0),FALSE)),VLOOKUP($A108,Haver_M!$B$1:$BZ$300,MATCH(data!BN$1,Haver_M!$B$1:$BZ$1,0),FALSE),"")</f>
        <v/>
      </c>
      <c r="BO108" t="str">
        <f>IF(ISNUMBER(VLOOKUP($A108,Haver_M!$B$1:$BZ$300,MATCH(data!BO$1,Haver_M!$B$1:$BZ$1,0),FALSE)),VLOOKUP($A108,Haver_M!$B$1:$BZ$300,MATCH(data!BO$1,Haver_M!$B$1:$BZ$1,0),FALSE),"")</f>
        <v/>
      </c>
      <c r="BP108" t="str">
        <f>IF(ISNUMBER(VLOOKUP($A108,Haver_M!$B$1:$BZ$300,MATCH(data!BP$1,Haver_M!$B$1:$BZ$1,0),FALSE)),VLOOKUP($A108,Haver_M!$B$1:$BZ$300,MATCH(data!BP$1,Haver_M!$B$1:$BZ$1,0),FALSE),"")</f>
        <v/>
      </c>
      <c r="BQ108">
        <f>IF(ISNUMBER(VLOOKUP($A108,Haver_M!$B$1:$BZ$300,MATCH(data!BQ$1,Haver_M!$B$1:$BZ$1,0),FALSE)),VLOOKUP($A108,Haver_M!$B$1:$BZ$300,MATCH(data!BQ$1,Haver_M!$B$1:$BZ$1,0),FALSE),"")</f>
        <v>115.05061903994219</v>
      </c>
      <c r="BR108">
        <f>IF(ISNUMBER(VLOOKUP($A108,Haver_M!$B$1:$BZ$300,MATCH(data!BR$1,Haver_M!$B$1:$BZ$1,0),FALSE)),VLOOKUP($A108,Haver_M!$B$1:$BZ$300,MATCH(data!BR$1,Haver_M!$B$1:$BZ$1,0),FALSE),"")</f>
        <v>206.14428007909669</v>
      </c>
      <c r="BS108">
        <f>IF(ISNUMBER(VLOOKUP($A108,Haver_M!$B$1:$BZ$300,MATCH(data!BS$1,Haver_M!$B$1:$BZ$1,0),FALSE)),VLOOKUP($A108,Haver_M!$B$1:$BZ$300,MATCH(data!BS$1,Haver_M!$B$1:$BZ$1,0),FALSE),"")</f>
        <v>123.24782208545139</v>
      </c>
      <c r="BT108">
        <f>IF(ISNUMBER(VLOOKUP($A108,Haver_M!$B$1:$BZ$300,MATCH(data!BT$1,Haver_M!$B$1:$BZ$1,0),FALSE)),VLOOKUP($A108,Haver_M!$B$1:$BZ$300,MATCH(data!BT$1,Haver_M!$B$1:$BZ$1,0),FALSE),"")</f>
        <v>502.10516434607467</v>
      </c>
      <c r="BU108">
        <f>IF(ISNUMBER(VLOOKUP($A108,Haver_M!$B$1:$BZ$300,MATCH(data!BU$1,Haver_M!$B$1:$BZ$1,0),FALSE)),VLOOKUP($A108,Haver_M!$B$1:$BZ$300,MATCH(data!BU$1,Haver_M!$B$1:$BZ$1,0),FALSE),"")</f>
        <v>11163.3</v>
      </c>
      <c r="BV108">
        <f>IF(ISNUMBER(VLOOKUP($A108,Haver_M!$B$1:$BZ$300,MATCH(data!BV$1,Haver_M!$B$1:$BZ$1,0),FALSE)),VLOOKUP($A108,Haver_M!$B$1:$BZ$300,MATCH(data!BV$1,Haver_M!$B$1:$BZ$1,0),FALSE),"")</f>
        <v>23488.2</v>
      </c>
      <c r="BW108">
        <f>IF(ISNUMBER(VLOOKUP($A108,Haver_M!$B$1:$BZ$300,MATCH(data!BW$1,Haver_M!$B$1:$BZ$1,0),FALSE)),VLOOKUP($A108,Haver_M!$B$1:$BZ$300,MATCH(data!BW$1,Haver_M!$B$1:$BZ$1,0),FALSE),"")</f>
        <v>49.003300000000003</v>
      </c>
      <c r="BX108">
        <f>IF(ISNUMBER(VLOOKUP($A108,Haver_M!$B$1:$BZ$300,MATCH(data!BX$1,Haver_M!$B$1:$BZ$1,0),FALSE)),VLOOKUP($A108,Haver_M!$B$1:$BZ$300,MATCH(data!BX$1,Haver_M!$B$1:$BZ$1,0),FALSE),"")</f>
        <v>35455</v>
      </c>
    </row>
    <row r="109" spans="1:76" x14ac:dyDescent="0.25">
      <c r="A109" s="2">
        <v>39813</v>
      </c>
      <c r="B109">
        <f>IF(ISNUMBER(VLOOKUP($A109,Haver_Q!$B$1:$L$185,MATCH(data!B$1,Haver_Q!$B$1:$L$1,0),FALSE)),100*(VLOOKUP($A109,Haver_Q!$B$1:$L$185,MATCH(data!B$1,Haver_Q!$B$1:$L$1,0),FALSE)),"")</f>
        <v>1.3751594914086285</v>
      </c>
      <c r="C109">
        <f>IF(ISNUMBER(VLOOKUP($A109,Haver_Q!$B$1:$L$185,MATCH(data!C$1,Haver_Q!$B$1:$L$1,0),FALSE)),100*(VLOOKUP($A109,Haver_Q!$B$1:$L$185,MATCH(data!C$1,Haver_Q!$B$1:$L$1,0),FALSE)),"")</f>
        <v>7.6186641837801439</v>
      </c>
      <c r="D109">
        <f>IF(ISNUMBER(VLOOKUP($A109,Haver_Q!$B$1:$L$185,MATCH(data!D$1,Haver_Q!$B$1:$L$1,0),FALSE)),100*(VLOOKUP($A109,Haver_Q!$B$1:$L$185,MATCH(data!D$1,Haver_Q!$B$1:$L$1,0),FALSE)),"")</f>
        <v>126.34072519752615</v>
      </c>
      <c r="E109">
        <f>IF(ISNUMBER(VLOOKUP($A109,Haver_Q!$B$1:$L$185,MATCH(data!E$1,Haver_Q!$B$1:$L$1,0),FALSE)),100*(VLOOKUP($A109,Haver_Q!$B$1:$L$185,MATCH(data!E$1,Haver_Q!$B$1:$L$1,0),FALSE)),"")</f>
        <v>-11.032927423269323</v>
      </c>
      <c r="F109">
        <f>IF(ISNUMBER(VLOOKUP($A109,Haver_Q!$B$1:$L$185,MATCH(data!F$1,Haver_Q!$B$1:$L$1,0),FALSE)),100*(VLOOKUP($A109,Haver_Q!$B$1:$L$185,MATCH(data!F$1,Haver_Q!$B$1:$L$1,0),FALSE)),"")</f>
        <v>-30.197780779827831</v>
      </c>
      <c r="G109">
        <f>IF(ISNUMBER(VLOOKUP($A109,Haver_Q!$B$1:$L$185,MATCH(data!G$1,Haver_Q!$B$1:$L$1,0),FALSE)),100*(VLOOKUP($A109,Haver_Q!$B$1:$L$185,MATCH(data!G$1,Haver_Q!$B$1:$L$1,0),FALSE)),"")</f>
        <v>-28.404591691615412</v>
      </c>
      <c r="H109">
        <f>IF(ISNUMBER(VLOOKUP($A109,Haver_Q!$B$1:$L$185,MATCH(data!H$1,Haver_Q!$B$1:$L$1,0),FALSE)),(VLOOKUP($A109,Haver_Q!$B$1:$L$185,MATCH(data!H$1,Haver_Q!$B$1:$L$1,0),FALSE)),"")</f>
        <v>-6.0701786858911522</v>
      </c>
      <c r="I109">
        <f>IF(ISNUMBER(VLOOKUP($A109,Haver_Q!$B$1:$L$185,MATCH(data!I$1,Haver_Q!$B$1:$L$1,0),FALSE)),100*(VLOOKUP($A109,Haver_Q!$B$1:$L$185,MATCH(data!I$1,Haver_Q!$B$1:$L$1,0),FALSE)),"")</f>
        <v>1.5347100032962135</v>
      </c>
      <c r="J109" s="3">
        <f>IF(ISNUMBER(Bloomberg_m!C125),Bloomberg_m!C125,"")</f>
        <v>743</v>
      </c>
      <c r="K109" s="3" t="str">
        <f>IF(ISNUMBER(Bloomberg_m!D125),Bloomberg_m!D125,"")</f>
        <v/>
      </c>
      <c r="L109" s="3" t="str">
        <f>IF(ISNUMBER(Bloomberg_m!E125),Bloomberg_m!E125,"")</f>
        <v/>
      </c>
      <c r="M109" s="3" t="str">
        <f>IF(ISNUMBER(Bloomberg_m!F125),Bloomberg_m!F125,"")</f>
        <v/>
      </c>
      <c r="N109">
        <f>IF(ISNUMBER(VLOOKUP($A109,Haver_M!$B$1:$BZ$300,MATCH(data!N$1,Haver_M!$B$1:$BZ$1,0),FALSE)),VLOOKUP($A109,Haver_M!$B$1:$BZ$300,MATCH(data!N$1,Haver_M!$B$1:$BZ$1,0),FALSE),"")</f>
        <v>6.5</v>
      </c>
      <c r="O109">
        <f>IF(ISNUMBER(VLOOKUP($A109,Haver_M!$B$1:$BZ$300,MATCH(data!O$1,Haver_M!$B$1:$BZ$1,0),FALSE)),VLOOKUP($A109,Haver_M!$B$1:$BZ$300,MATCH(data!O$1,Haver_M!$B$1:$BZ$1,0),FALSE),"")</f>
        <v>5.3028000000000004</v>
      </c>
      <c r="P109">
        <f>IF(ISNUMBER(VLOOKUP($A109,Haver_M!$B$1:$BZ$300,MATCH(data!P$1,Haver_M!$B$1:$BZ$1,0),FALSE)),VLOOKUP($A109,Haver_M!$B$1:$BZ$300,MATCH(data!P$1,Haver_M!$B$1:$BZ$1,0),FALSE),"")</f>
        <v>90.303569999999993</v>
      </c>
      <c r="Q109">
        <f>IF(ISNUMBER(VLOOKUP($A109,Haver_M!$B$1:$BZ$300,MATCH(data!Q$1,Haver_M!$B$1:$BZ$1,0),FALSE)),VLOOKUP($A109,Haver_M!$B$1:$BZ$300,MATCH(data!Q$1,Haver_M!$B$1:$BZ$1,0),FALSE),"")</f>
        <v>72.3</v>
      </c>
      <c r="R109" t="str">
        <f>IF(ISNUMBER(VLOOKUP($A109,Haver_M!$B$1:$BZ$300,MATCH(data!R$1,Haver_M!$B$1:$BZ$1,0),FALSE)),VLOOKUP($A109,Haver_M!$B$1:$BZ$300,MATCH(data!R$1,Haver_M!$B$1:$BZ$1,0),FALSE),"")</f>
        <v/>
      </c>
      <c r="S109">
        <f>IF(ISNUMBER(VLOOKUP($A109,Haver_M!$B$1:$BZ$300,MATCH(data!S$1,Haver_M!$B$1:$BZ$1,0),FALSE)),VLOOKUP($A109,Haver_M!$B$1:$BZ$300,MATCH(data!S$1,Haver_M!$B$1:$BZ$1,0),FALSE),"")</f>
        <v>85.92</v>
      </c>
      <c r="T109">
        <f>IF(ISNUMBER(VLOOKUP($A109,Haver_M!$B$1:$BZ$300,MATCH(data!T$1,Haver_M!$B$1:$BZ$1,0),FALSE)),VLOOKUP($A109,Haver_M!$B$1:$BZ$300,MATCH(data!T$1,Haver_M!$B$1:$BZ$1,0),FALSE),"")</f>
        <v>84.11</v>
      </c>
      <c r="U109">
        <f>IF(ISNUMBER(VLOOKUP($A109,Haver_M!$B$1:$BZ$300,MATCH(data!U$1,Haver_M!$B$1:$BZ$1,0),FALSE)),VLOOKUP($A109,Haver_M!$B$1:$BZ$300,MATCH(data!U$1,Haver_M!$B$1:$BZ$1,0),FALSE),"")</f>
        <v>102.35</v>
      </c>
      <c r="V109">
        <f>IF(ISNUMBER(VLOOKUP($A109,Haver_M!$B$1:$BZ$300,MATCH(data!V$1,Haver_M!$B$1:$BZ$1,0),FALSE)),VLOOKUP($A109,Haver_M!$B$1:$BZ$300,MATCH(data!V$1,Haver_M!$B$1:$BZ$1,0),FALSE),"")</f>
        <v>88.89</v>
      </c>
      <c r="W109" t="str">
        <f>IF(ISNUMBER(VLOOKUP($A109,Haver_M!$B$1:$BZ$300,MATCH(data!W$1,Haver_M!$B$1:$BZ$1,0),FALSE)),VLOOKUP($A109,Haver_M!$B$1:$BZ$300,MATCH(data!W$1,Haver_M!$B$1:$BZ$1,0),FALSE),"")</f>
        <v/>
      </c>
      <c r="X109">
        <f>IF(ISNUMBER(VLOOKUP($A109,Haver_M!$B$1:$BZ$300,MATCH(data!X$1,Haver_M!$B$1:$BZ$1,0),FALSE)),VLOOKUP($A109,Haver_M!$B$1:$BZ$300,MATCH(data!X$1,Haver_M!$B$1:$BZ$1,0),FALSE),"")</f>
        <v>63.41</v>
      </c>
      <c r="Y109">
        <f>IF(ISNUMBER(VLOOKUP($A109,Haver_M!$B$1:$BZ$300,MATCH(data!Y$1,Haver_M!$B$1:$BZ$1,0),FALSE)),VLOOKUP($A109,Haver_M!$B$1:$BZ$300,MATCH(data!Y$1,Haver_M!$B$1:$BZ$1,0),FALSE),"")</f>
        <v>90.1</v>
      </c>
      <c r="Z109">
        <f>IF(ISNUMBER(VLOOKUP($A109,Haver_M!$B$1:$BZ$300,MATCH(data!Z$1,Haver_M!$B$1:$BZ$1,0),FALSE)),VLOOKUP($A109,Haver_M!$B$1:$BZ$300,MATCH(data!Z$1,Haver_M!$B$1:$BZ$1,0),FALSE),"")</f>
        <v>83.6</v>
      </c>
      <c r="AA109">
        <f>IF(ISNUMBER(VLOOKUP($A109,Haver_M!$B$1:$BZ$300,MATCH(data!AA$1,Haver_M!$B$1:$BZ$1,0),FALSE)),VLOOKUP($A109,Haver_M!$B$1:$BZ$300,MATCH(data!AA$1,Haver_M!$B$1:$BZ$1,0),FALSE),"")</f>
        <v>95.734999999999999</v>
      </c>
      <c r="AB109">
        <f>IF(ISNUMBER(VLOOKUP($A109,Haver_M!$B$1:$BZ$300,MATCH(data!AB$1,Haver_M!$B$1:$BZ$1,0),FALSE)),VLOOKUP($A109,Haver_M!$B$1:$BZ$300,MATCH(data!AB$1,Haver_M!$B$1:$BZ$1,0),FALSE),"")</f>
        <v>88.587999999999994</v>
      </c>
      <c r="AC109">
        <f>IF(ISNUMBER(VLOOKUP($A109,Haver_M!$B$1:$BZ$300,MATCH(data!AC$1,Haver_M!$B$1:$BZ$1,0),FALSE)),VLOOKUP($A109,Haver_M!$B$1:$BZ$300,MATCH(data!AC$1,Haver_M!$B$1:$BZ$1,0),FALSE),"")</f>
        <v>69.334999999999994</v>
      </c>
      <c r="AD109">
        <f>IF(ISNUMBER(VLOOKUP($A109,Haver_M!$B$1:$BZ$300,MATCH(data!AD$1,Haver_M!$B$1:$BZ$1,0),FALSE)),VLOOKUP($A109,Haver_M!$B$1:$BZ$300,MATCH(data!AD$1,Haver_M!$B$1:$BZ$1,0),FALSE),"")</f>
        <v>93.662000000000006</v>
      </c>
      <c r="AE109">
        <f>IF(ISNUMBER(VLOOKUP($A109,Haver_M!$B$1:$BZ$300,MATCH(data!AE$1,Haver_M!$B$1:$BZ$1,0),FALSE)),VLOOKUP($A109,Haver_M!$B$1:$BZ$300,MATCH(data!AE$1,Haver_M!$B$1:$BZ$1,0),FALSE),"")</f>
        <v>84.879000000000005</v>
      </c>
      <c r="AF109">
        <f>IF(ISNUMBER(VLOOKUP($A109,Haver_M!$B$1:$BZ$300,MATCH(data!AF$1,Haver_M!$B$1:$BZ$1,0),FALSE)),VLOOKUP($A109,Haver_M!$B$1:$BZ$300,MATCH(data!AF$1,Haver_M!$B$1:$BZ$1,0),FALSE),"")</f>
        <v>70.873000000000005</v>
      </c>
      <c r="AG109">
        <f>IF(ISNUMBER(VLOOKUP($A109,Haver_M!$B$1:$BZ$300,MATCH(data!AG$1,Haver_M!$B$1:$BZ$1,0),FALSE)),VLOOKUP($A109,Haver_M!$B$1:$BZ$300,MATCH(data!AG$1,Haver_M!$B$1:$BZ$1,0),FALSE),"")</f>
        <v>83.054000000000002</v>
      </c>
      <c r="AH109">
        <f>IF(ISNUMBER(VLOOKUP($A109,Haver_M!$B$1:$BZ$300,MATCH(data!AH$1,Haver_M!$B$1:$BZ$1,0),FALSE)),VLOOKUP($A109,Haver_M!$B$1:$BZ$300,MATCH(data!AH$1,Haver_M!$B$1:$BZ$1,0),FALSE),"")</f>
        <v>82.53</v>
      </c>
      <c r="AI109">
        <f>IF(ISNUMBER(VLOOKUP($A109,Haver_M!$B$1:$BZ$300,MATCH(data!AI$1,Haver_M!$B$1:$BZ$1,0),FALSE)),VLOOKUP($A109,Haver_M!$B$1:$BZ$300,MATCH(data!AI$1,Haver_M!$B$1:$BZ$1,0),FALSE),"")</f>
        <v>11207.105613708296</v>
      </c>
      <c r="AJ109">
        <f>IF(ISNUMBER(VLOOKUP($A109,Haver_M!$B$1:$BZ$300,MATCH(data!AJ$1,Haver_M!$B$1:$BZ$1,0),FALSE)),VLOOKUP($A109,Haver_M!$B$1:$BZ$300,MATCH(data!AJ$1,Haver_M!$B$1:$BZ$1,0),FALSE),"")</f>
        <v>13377.48</v>
      </c>
      <c r="AK109">
        <f>IF(ISNUMBER(VLOOKUP($A109,Haver_M!$B$1:$BZ$300,MATCH(data!AK$1,Haver_M!$B$1:$BZ$1,0),FALSE)),VLOOKUP($A109,Haver_M!$B$1:$BZ$300,MATCH(data!AK$1,Haver_M!$B$1:$BZ$1,0),FALSE),"")</f>
        <v>20494.86</v>
      </c>
      <c r="AL109" t="str">
        <f>IF(ISNUMBER(VLOOKUP($A109,Haver_M!$B$1:$BZ$300,MATCH(data!AL$1,Haver_M!$B$1:$BZ$1,0),FALSE)),VLOOKUP($A109,Haver_M!$B$1:$BZ$300,MATCH(data!AL$1,Haver_M!$B$1:$BZ$1,0),FALSE),"")</f>
        <v/>
      </c>
      <c r="AM109" t="str">
        <f>IF(ISNUMBER(VLOOKUP($A109,Haver_M!$B$1:$BZ$300,MATCH(data!AM$1,Haver_M!$B$1:$BZ$1,0),FALSE)),VLOOKUP($A109,Haver_M!$B$1:$BZ$300,MATCH(data!AM$1,Haver_M!$B$1:$BZ$1,0),FALSE),"")</f>
        <v/>
      </c>
      <c r="AN109" t="str">
        <f>IF(ISNUMBER(VLOOKUP($A109,Haver_M!$B$1:$BZ$300,MATCH(data!AN$1,Haver_M!$B$1:$BZ$1,0),FALSE)),VLOOKUP($A109,Haver_M!$B$1:$BZ$300,MATCH(data!AN$1,Haver_M!$B$1:$BZ$1,0),FALSE),"")</f>
        <v/>
      </c>
      <c r="AO109" t="str">
        <f>IF(ISNUMBER(VLOOKUP($A109,Haver_M!$B$1:$BZ$300,MATCH(data!AO$1,Haver_M!$B$1:$BZ$1,0),FALSE)),VLOOKUP($A109,Haver_M!$B$1:$BZ$300,MATCH(data!AO$1,Haver_M!$B$1:$BZ$1,0),FALSE),"")</f>
        <v/>
      </c>
      <c r="AP109">
        <f>IF(ISNUMBER(VLOOKUP($A109,Haver_M!$B$1:$BZ$300,MATCH(data!AP$1,Haver_M!$B$1:$BZ$1,0),FALSE)),VLOOKUP($A109,Haver_M!$B$1:$BZ$300,MATCH(data!AP$1,Haver_M!$B$1:$BZ$1,0),FALSE),"")</f>
        <v>133.57803465502946</v>
      </c>
      <c r="AQ109">
        <f>IF(ISNUMBER(VLOOKUP($A109,Haver_M!$B$1:$BZ$300,MATCH(data!AQ$1,Haver_M!$B$1:$BZ$1,0),FALSE)),VLOOKUP($A109,Haver_M!$B$1:$BZ$300,MATCH(data!AQ$1,Haver_M!$B$1:$BZ$1,0),FALSE),"")</f>
        <v>45.128</v>
      </c>
      <c r="AR109">
        <f>IF(ISNUMBER(VLOOKUP($A109,Haver_M!$B$1:$BZ$300,MATCH(data!AR$1,Haver_M!$B$1:$BZ$1,0),FALSE)),VLOOKUP($A109,Haver_M!$B$1:$BZ$300,MATCH(data!AR$1,Haver_M!$B$1:$BZ$1,0),FALSE),"")</f>
        <v>44.366399999999999</v>
      </c>
      <c r="AS109">
        <f>IF(ISNUMBER(VLOOKUP($A109,Haver_M!$B$1:$BZ$300,MATCH(data!AS$1,Haver_M!$B$1:$BZ$1,0),FALSE)),VLOOKUP($A109,Haver_M!$B$1:$BZ$300,MATCH(data!AS$1,Haver_M!$B$1:$BZ$1,0),FALSE),"")</f>
        <v>47.145800000000001</v>
      </c>
      <c r="AT109">
        <f>IF(ISNUMBER(VLOOKUP($A109,Haver_M!$B$1:$BZ$300,MATCH(data!AT$1,Haver_M!$B$1:$BZ$1,0),FALSE)),VLOOKUP($A109,Haver_M!$B$1:$BZ$300,MATCH(data!AT$1,Haver_M!$B$1:$BZ$1,0),FALSE),"")</f>
        <v>40.592100000000002</v>
      </c>
      <c r="AU109">
        <f>IF(ISNUMBER(VLOOKUP($A109,Haver_M!$B$1:$BZ$300,MATCH(data!AU$1,Haver_M!$B$1:$BZ$1,0),FALSE)),VLOOKUP($A109,Haver_M!$B$1:$BZ$300,MATCH(data!AU$1,Haver_M!$B$1:$BZ$1,0),FALSE),"")</f>
        <v>41.415700000000001</v>
      </c>
      <c r="AV109">
        <f>IF(ISNUMBER(VLOOKUP($A109,Haver_M!$B$1:$BZ$300,MATCH(data!AV$1,Haver_M!$B$1:$BZ$1,0),FALSE)),VLOOKUP($A109,Haver_M!$B$1:$BZ$300,MATCH(data!AV$1,Haver_M!$B$1:$BZ$1,0),FALSE),"")</f>
        <v>47.4953</v>
      </c>
      <c r="AW109">
        <f>IF(ISNUMBER(VLOOKUP($A109,Haver_M!$B$1:$BZ$300,MATCH(data!AW$1,Haver_M!$B$1:$BZ$1,0),FALSE)),VLOOKUP($A109,Haver_M!$B$1:$BZ$300,MATCH(data!AW$1,Haver_M!$B$1:$BZ$1,0),FALSE),"")</f>
        <v>47.967500000000001</v>
      </c>
      <c r="AX109">
        <f>IF(ISNUMBER(VLOOKUP($A109,Haver_M!$B$1:$BZ$300,MATCH(data!AX$1,Haver_M!$B$1:$BZ$1,0),FALSE)),VLOOKUP($A109,Haver_M!$B$1:$BZ$300,MATCH(data!AX$1,Haver_M!$B$1:$BZ$1,0),FALSE),"")</f>
        <v>44.897199999999998</v>
      </c>
      <c r="AY109">
        <f>IF(ISNUMBER(VLOOKUP($A109,Haver_M!$B$1:$BZ$300,MATCH(data!AY$1,Haver_M!$B$1:$BZ$1,0),FALSE)),VLOOKUP($A109,Haver_M!$B$1:$BZ$300,MATCH(data!AY$1,Haver_M!$B$1:$BZ$1,0),FALSE),"")</f>
        <v>42.012700000000002</v>
      </c>
      <c r="AZ109">
        <f>IF(ISNUMBER(VLOOKUP($A109,Haver_M!$B$1:$BZ$300,MATCH(data!AZ$1,Haver_M!$B$1:$BZ$1,0),FALSE)),VLOOKUP($A109,Haver_M!$B$1:$BZ$300,MATCH(data!AZ$1,Haver_M!$B$1:$BZ$1,0),FALSE),"")</f>
        <v>44.336500000000001</v>
      </c>
      <c r="BA109">
        <f>IF(ISNUMBER(VLOOKUP($A109,Haver_M!$B$1:$BZ$300,MATCH(data!BA$1,Haver_M!$B$1:$BZ$1,0),FALSE)),VLOOKUP($A109,Haver_M!$B$1:$BZ$300,MATCH(data!BA$1,Haver_M!$B$1:$BZ$1,0),FALSE),"")</f>
        <v>44.897199999999998</v>
      </c>
      <c r="BB109">
        <f>IF(ISNUMBER(VLOOKUP($A109,Haver_M!$B$1:$BZ$300,MATCH(data!BB$1,Haver_M!$B$1:$BZ$1,0),FALSE)),VLOOKUP($A109,Haver_M!$B$1:$BZ$300,MATCH(data!BB$1,Haver_M!$B$1:$BZ$1,0),FALSE),"")</f>
        <v>40.765000000000001</v>
      </c>
      <c r="BC109">
        <f>IF(ISNUMBER(VLOOKUP($A109,Haver_M!$B$1:$BZ$300,MATCH(data!BC$1,Haver_M!$B$1:$BZ$1,0),FALSE)),VLOOKUP($A109,Haver_M!$B$1:$BZ$300,MATCH(data!BC$1,Haver_M!$B$1:$BZ$1,0),FALSE),"")</f>
        <v>43.678600000000003</v>
      </c>
      <c r="BD109">
        <f>IF(ISNUMBER(VLOOKUP($A109,Haver_M!$B$1:$BZ$300,MATCH(data!BD$1,Haver_M!$B$1:$BZ$1,0),FALSE)),VLOOKUP($A109,Haver_M!$B$1:$BZ$300,MATCH(data!BD$1,Haver_M!$B$1:$BZ$1,0),FALSE),"")</f>
        <v>45.234900000000003</v>
      </c>
      <c r="BE109">
        <f>IF(ISNUMBER(VLOOKUP($A109,Haver_M!$B$1:$BZ$300,MATCH(data!BE$1,Haver_M!$B$1:$BZ$1,0),FALSE)),VLOOKUP($A109,Haver_M!$B$1:$BZ$300,MATCH(data!BE$1,Haver_M!$B$1:$BZ$1,0),FALSE),"")</f>
        <v>0.90880000000000005</v>
      </c>
      <c r="BF109">
        <f>IF(ISNUMBER(VLOOKUP($A109,Haver_M!$B$1:$BZ$300,MATCH(data!BF$1,Haver_M!$B$1:$BZ$1,0),FALSE)),VLOOKUP($A109,Haver_M!$B$1:$BZ$300,MATCH(data!BF$1,Haver_M!$B$1:$BZ$1,0),FALSE),"")</f>
        <v>49.628300000000003</v>
      </c>
      <c r="BG109">
        <f>IF(ISNUMBER(VLOOKUP($A109,Haver_M!$B$1:$BZ$300,MATCH(data!BG$1,Haver_M!$B$1:$BZ$1,0),FALSE)),VLOOKUP($A109,Haver_M!$B$1:$BZ$300,MATCH(data!BG$1,Haver_M!$B$1:$BZ$1,0),FALSE),"")</f>
        <v>46.8553</v>
      </c>
      <c r="BH109">
        <f>IF(ISNUMBER(VLOOKUP($A109,Haver_M!$B$1:$BZ$300,MATCH(data!BH$1,Haver_M!$B$1:$BZ$1,0),FALSE)),VLOOKUP($A109,Haver_M!$B$1:$BZ$300,MATCH(data!BH$1,Haver_M!$B$1:$BZ$1,0),FALSE),"")</f>
        <v>48.8782</v>
      </c>
      <c r="BI109">
        <f>IF(ISNUMBER(VLOOKUP($A109,Haver_M!$B$1:$BZ$300,MATCH(data!BI$1,Haver_M!$B$1:$BZ$1,0),FALSE)),VLOOKUP($A109,Haver_M!$B$1:$BZ$300,MATCH(data!BI$1,Haver_M!$B$1:$BZ$1,0),FALSE),"")</f>
        <v>50.669800000000002</v>
      </c>
      <c r="BJ109" t="str">
        <f>IF(ISNUMBER(VLOOKUP($A109,Haver_M!$B$1:$BZ$300,MATCH(data!BJ$1,Haver_M!$B$1:$BZ$1,0),FALSE)),VLOOKUP($A109,Haver_M!$B$1:$BZ$300,MATCH(data!BJ$1,Haver_M!$B$1:$BZ$1,0),FALSE),"")</f>
        <v/>
      </c>
      <c r="BK109">
        <f>IF(ISNUMBER(VLOOKUP($A109,Haver_M!$B$1:$BZ$300,MATCH(data!BK$1,Haver_M!$B$1:$BZ$1,0),FALSE)),VLOOKUP($A109,Haver_M!$B$1:$BZ$300,MATCH(data!BK$1,Haver_M!$B$1:$BZ$1,0),FALSE),"")</f>
        <v>48.707000000000001</v>
      </c>
      <c r="BL109">
        <f>IF(ISNUMBER(VLOOKUP($A109,Haver_M!$B$1:$BZ$300,MATCH(data!BL$1,Haver_M!$B$1:$BZ$1,0),FALSE)),VLOOKUP($A109,Haver_M!$B$1:$BZ$300,MATCH(data!BL$1,Haver_M!$B$1:$BZ$1,0),FALSE),"")</f>
        <v>9513.58</v>
      </c>
      <c r="BM109">
        <f>IF(ISNUMBER(VLOOKUP($A109,Haver_M!$B$1:$BZ$300,MATCH(data!BM$1,Haver_M!$B$1:$BZ$1,0),FALSE)),VLOOKUP($A109,Haver_M!$B$1:$BZ$300,MATCH(data!BM$1,Haver_M!$B$1:$BZ$1,0),FALSE),"")</f>
        <v>78.326948920000007</v>
      </c>
      <c r="BN109">
        <f>IF(ISNUMBER(VLOOKUP($A109,Haver_M!$B$1:$BZ$300,MATCH(data!BN$1,Haver_M!$B$1:$BZ$1,0),FALSE)),VLOOKUP($A109,Haver_M!$B$1:$BZ$300,MATCH(data!BN$1,Haver_M!$B$1:$BZ$1,0),FALSE),"")</f>
        <v>104.1</v>
      </c>
      <c r="BO109">
        <f>IF(ISNUMBER(VLOOKUP($A109,Haver_M!$B$1:$BZ$300,MATCH(data!BO$1,Haver_M!$B$1:$BZ$1,0),FALSE)),VLOOKUP($A109,Haver_M!$B$1:$BZ$300,MATCH(data!BO$1,Haver_M!$B$1:$BZ$1,0),FALSE),"")</f>
        <v>118.9</v>
      </c>
      <c r="BP109">
        <f>IF(ISNUMBER(VLOOKUP($A109,Haver_M!$B$1:$BZ$300,MATCH(data!BP$1,Haver_M!$B$1:$BZ$1,0),FALSE)),VLOOKUP($A109,Haver_M!$B$1:$BZ$300,MATCH(data!BP$1,Haver_M!$B$1:$BZ$1,0),FALSE),"")</f>
        <v>33.700000000000003</v>
      </c>
      <c r="BQ109">
        <f>IF(ISNUMBER(VLOOKUP($A109,Haver_M!$B$1:$BZ$300,MATCH(data!BQ$1,Haver_M!$B$1:$BZ$1,0),FALSE)),VLOOKUP($A109,Haver_M!$B$1:$BZ$300,MATCH(data!BQ$1,Haver_M!$B$1:$BZ$1,0),FALSE),"")</f>
        <v>116.84179813512725</v>
      </c>
      <c r="BR109">
        <f>IF(ISNUMBER(VLOOKUP($A109,Haver_M!$B$1:$BZ$300,MATCH(data!BR$1,Haver_M!$B$1:$BZ$1,0),FALSE)),VLOOKUP($A109,Haver_M!$B$1:$BZ$300,MATCH(data!BR$1,Haver_M!$B$1:$BZ$1,0),FALSE),"")</f>
        <v>209.29683037383754</v>
      </c>
      <c r="BS109">
        <f>IF(ISNUMBER(VLOOKUP($A109,Haver_M!$B$1:$BZ$300,MATCH(data!BS$1,Haver_M!$B$1:$BZ$1,0),FALSE)),VLOOKUP($A109,Haver_M!$B$1:$BZ$300,MATCH(data!BS$1,Haver_M!$B$1:$BZ$1,0),FALSE),"")</f>
        <v>121.90465231917351</v>
      </c>
      <c r="BT109">
        <f>IF(ISNUMBER(VLOOKUP($A109,Haver_M!$B$1:$BZ$300,MATCH(data!BT$1,Haver_M!$B$1:$BZ$1,0),FALSE)),VLOOKUP($A109,Haver_M!$B$1:$BZ$300,MATCH(data!BT$1,Haver_M!$B$1:$BZ$1,0),FALSE),"")</f>
        <v>507.47736715144589</v>
      </c>
      <c r="BU109">
        <f>IF(ISNUMBER(VLOOKUP($A109,Haver_M!$B$1:$BZ$300,MATCH(data!BU$1,Haver_M!$B$1:$BZ$1,0),FALSE)),VLOOKUP($A109,Haver_M!$B$1:$BZ$300,MATCH(data!BU$1,Haver_M!$B$1:$BZ$1,0),FALSE),"")</f>
        <v>13368.2</v>
      </c>
      <c r="BV109">
        <f>IF(ISNUMBER(VLOOKUP($A109,Haver_M!$B$1:$BZ$300,MATCH(data!BV$1,Haver_M!$B$1:$BZ$1,0),FALSE)),VLOOKUP($A109,Haver_M!$B$1:$BZ$300,MATCH(data!BV$1,Haver_M!$B$1:$BZ$1,0),FALSE),"")</f>
        <v>19456.3</v>
      </c>
      <c r="BW109">
        <f>IF(ISNUMBER(VLOOKUP($A109,Haver_M!$B$1:$BZ$300,MATCH(data!BW$1,Haver_M!$B$1:$BZ$1,0),FALSE)),VLOOKUP($A109,Haver_M!$B$1:$BZ$300,MATCH(data!BW$1,Haver_M!$B$1:$BZ$1,0),FALSE),"")</f>
        <v>48.668199999999999</v>
      </c>
      <c r="BX109">
        <f>IF(ISNUMBER(VLOOKUP($A109,Haver_M!$B$1:$BZ$300,MATCH(data!BX$1,Haver_M!$B$1:$BZ$1,0),FALSE)),VLOOKUP($A109,Haver_M!$B$1:$BZ$300,MATCH(data!BX$1,Haver_M!$B$1:$BZ$1,0),FALSE),"")</f>
        <v>36189</v>
      </c>
    </row>
    <row r="110" spans="1:76" x14ac:dyDescent="0.25">
      <c r="A110" s="2">
        <v>39844</v>
      </c>
      <c r="B110" t="str">
        <f>IF(ISNUMBER(VLOOKUP($A110,Haver_Q!$B$1:$L$185,MATCH(data!B$1,Haver_Q!$B$1:$L$1,0),FALSE)),100*(VLOOKUP($A110,Haver_Q!$B$1:$L$185,MATCH(data!B$1,Haver_Q!$B$1:$L$1,0),FALSE)),"")</f>
        <v/>
      </c>
      <c r="C110" t="str">
        <f>IF(ISNUMBER(VLOOKUP($A110,Haver_Q!$B$1:$L$185,MATCH(data!C$1,Haver_Q!$B$1:$L$1,0),FALSE)),100*(VLOOKUP($A110,Haver_Q!$B$1:$L$185,MATCH(data!C$1,Haver_Q!$B$1:$L$1,0),FALSE)),"")</f>
        <v/>
      </c>
      <c r="D110" t="str">
        <f>IF(ISNUMBER(VLOOKUP($A110,Haver_Q!$B$1:$L$185,MATCH(data!D$1,Haver_Q!$B$1:$L$1,0),FALSE)),100*(VLOOKUP($A110,Haver_Q!$B$1:$L$185,MATCH(data!D$1,Haver_Q!$B$1:$L$1,0),FALSE)),"")</f>
        <v/>
      </c>
      <c r="E110" t="str">
        <f>IF(ISNUMBER(VLOOKUP($A110,Haver_Q!$B$1:$L$185,MATCH(data!E$1,Haver_Q!$B$1:$L$1,0),FALSE)),100*(VLOOKUP($A110,Haver_Q!$B$1:$L$185,MATCH(data!E$1,Haver_Q!$B$1:$L$1,0),FALSE)),"")</f>
        <v/>
      </c>
      <c r="F110" t="str">
        <f>IF(ISNUMBER(VLOOKUP($A110,Haver_Q!$B$1:$L$185,MATCH(data!F$1,Haver_Q!$B$1:$L$1,0),FALSE)),100*(VLOOKUP($A110,Haver_Q!$B$1:$L$185,MATCH(data!F$1,Haver_Q!$B$1:$L$1,0),FALSE)),"")</f>
        <v/>
      </c>
      <c r="G110" t="str">
        <f>IF(ISNUMBER(VLOOKUP($A110,Haver_Q!$B$1:$L$185,MATCH(data!G$1,Haver_Q!$B$1:$L$1,0),FALSE)),100*(VLOOKUP($A110,Haver_Q!$B$1:$L$185,MATCH(data!G$1,Haver_Q!$B$1:$L$1,0),FALSE)),"")</f>
        <v/>
      </c>
      <c r="H110" t="str">
        <f>IF(ISNUMBER(VLOOKUP($A110,Haver_Q!$B$1:$L$185,MATCH(data!H$1,Haver_Q!$B$1:$L$1,0),FALSE)),(VLOOKUP($A110,Haver_Q!$B$1:$L$185,MATCH(data!H$1,Haver_Q!$B$1:$L$1,0),FALSE)),"")</f>
        <v/>
      </c>
      <c r="I110" t="str">
        <f>IF(ISNUMBER(VLOOKUP($A110,Haver_Q!$B$1:$L$185,MATCH(data!I$1,Haver_Q!$B$1:$L$1,0),FALSE)),100*(VLOOKUP($A110,Haver_Q!$B$1:$L$185,MATCH(data!I$1,Haver_Q!$B$1:$L$1,0),FALSE)),"")</f>
        <v/>
      </c>
      <c r="J110" s="3">
        <f>IF(ISNUMBER(Bloomberg_m!C126),Bloomberg_m!C126,"")</f>
        <v>905</v>
      </c>
      <c r="K110" s="3" t="str">
        <f>IF(ISNUMBER(Bloomberg_m!D126),Bloomberg_m!D126,"")</f>
        <v/>
      </c>
      <c r="L110" s="3" t="str">
        <f>IF(ISNUMBER(Bloomberg_m!E126),Bloomberg_m!E126,"")</f>
        <v/>
      </c>
      <c r="M110" s="3" t="str">
        <f>IF(ISNUMBER(Bloomberg_m!F126),Bloomberg_m!F126,"")</f>
        <v/>
      </c>
      <c r="N110">
        <f>IF(ISNUMBER(VLOOKUP($A110,Haver_M!$B$1:$BZ$300,MATCH(data!N$1,Haver_M!$B$1:$BZ$1,0),FALSE)),VLOOKUP($A110,Haver_M!$B$1:$BZ$300,MATCH(data!N$1,Haver_M!$B$1:$BZ$1,0),FALSE),"")</f>
        <v>5.5</v>
      </c>
      <c r="O110">
        <f>IF(ISNUMBER(VLOOKUP($A110,Haver_M!$B$1:$BZ$300,MATCH(data!O$1,Haver_M!$B$1:$BZ$1,0),FALSE)),VLOOKUP($A110,Haver_M!$B$1:$BZ$300,MATCH(data!O$1,Haver_M!$B$1:$BZ$1,0),FALSE),"")</f>
        <v>6.0041000000000002</v>
      </c>
      <c r="P110">
        <f>IF(ISNUMBER(VLOOKUP($A110,Haver_M!$B$1:$BZ$300,MATCH(data!P$1,Haver_M!$B$1:$BZ$1,0),FALSE)),VLOOKUP($A110,Haver_M!$B$1:$BZ$300,MATCH(data!P$1,Haver_M!$B$1:$BZ$1,0),FALSE),"")</f>
        <v>91.109250000000003</v>
      </c>
      <c r="Q110">
        <f>IF(ISNUMBER(VLOOKUP($A110,Haver_M!$B$1:$BZ$300,MATCH(data!Q$1,Haver_M!$B$1:$BZ$1,0),FALSE)),VLOOKUP($A110,Haver_M!$B$1:$BZ$300,MATCH(data!Q$1,Haver_M!$B$1:$BZ$1,0),FALSE),"")</f>
        <v>72.599999999999994</v>
      </c>
      <c r="R110" t="str">
        <f>IF(ISNUMBER(VLOOKUP($A110,Haver_M!$B$1:$BZ$300,MATCH(data!R$1,Haver_M!$B$1:$BZ$1,0),FALSE)),VLOOKUP($A110,Haver_M!$B$1:$BZ$300,MATCH(data!R$1,Haver_M!$B$1:$BZ$1,0),FALSE),"")</f>
        <v/>
      </c>
      <c r="S110">
        <f>IF(ISNUMBER(VLOOKUP($A110,Haver_M!$B$1:$BZ$300,MATCH(data!S$1,Haver_M!$B$1:$BZ$1,0),FALSE)),VLOOKUP($A110,Haver_M!$B$1:$BZ$300,MATCH(data!S$1,Haver_M!$B$1:$BZ$1,0),FALSE),"")</f>
        <v>84.19</v>
      </c>
      <c r="T110">
        <f>IF(ISNUMBER(VLOOKUP($A110,Haver_M!$B$1:$BZ$300,MATCH(data!T$1,Haver_M!$B$1:$BZ$1,0),FALSE)),VLOOKUP($A110,Haver_M!$B$1:$BZ$300,MATCH(data!T$1,Haver_M!$B$1:$BZ$1,0),FALSE),"")</f>
        <v>83.67</v>
      </c>
      <c r="U110">
        <f>IF(ISNUMBER(VLOOKUP($A110,Haver_M!$B$1:$BZ$300,MATCH(data!U$1,Haver_M!$B$1:$BZ$1,0),FALSE)),VLOOKUP($A110,Haver_M!$B$1:$BZ$300,MATCH(data!U$1,Haver_M!$B$1:$BZ$1,0),FALSE),"")</f>
        <v>97.73</v>
      </c>
      <c r="V110">
        <f>IF(ISNUMBER(VLOOKUP($A110,Haver_M!$B$1:$BZ$300,MATCH(data!V$1,Haver_M!$B$1:$BZ$1,0),FALSE)),VLOOKUP($A110,Haver_M!$B$1:$BZ$300,MATCH(data!V$1,Haver_M!$B$1:$BZ$1,0),FALSE),"")</f>
        <v>88.38</v>
      </c>
      <c r="W110" t="str">
        <f>IF(ISNUMBER(VLOOKUP($A110,Haver_M!$B$1:$BZ$300,MATCH(data!W$1,Haver_M!$B$1:$BZ$1,0),FALSE)),VLOOKUP($A110,Haver_M!$B$1:$BZ$300,MATCH(data!W$1,Haver_M!$B$1:$BZ$1,0),FALSE),"")</f>
        <v/>
      </c>
      <c r="X110">
        <f>IF(ISNUMBER(VLOOKUP($A110,Haver_M!$B$1:$BZ$300,MATCH(data!X$1,Haver_M!$B$1:$BZ$1,0),FALSE)),VLOOKUP($A110,Haver_M!$B$1:$BZ$300,MATCH(data!X$1,Haver_M!$B$1:$BZ$1,0),FALSE),"")</f>
        <v>57.9</v>
      </c>
      <c r="Y110">
        <f>IF(ISNUMBER(VLOOKUP($A110,Haver_M!$B$1:$BZ$300,MATCH(data!Y$1,Haver_M!$B$1:$BZ$1,0),FALSE)),VLOOKUP($A110,Haver_M!$B$1:$BZ$300,MATCH(data!Y$1,Haver_M!$B$1:$BZ$1,0),FALSE),"")</f>
        <v>88.26</v>
      </c>
      <c r="Z110">
        <f>IF(ISNUMBER(VLOOKUP($A110,Haver_M!$B$1:$BZ$300,MATCH(data!Z$1,Haver_M!$B$1:$BZ$1,0),FALSE)),VLOOKUP($A110,Haver_M!$B$1:$BZ$300,MATCH(data!Z$1,Haver_M!$B$1:$BZ$1,0),FALSE),"")</f>
        <v>83</v>
      </c>
      <c r="AA110">
        <f>IF(ISNUMBER(VLOOKUP($A110,Haver_M!$B$1:$BZ$300,MATCH(data!AA$1,Haver_M!$B$1:$BZ$1,0),FALSE)),VLOOKUP($A110,Haver_M!$B$1:$BZ$300,MATCH(data!AA$1,Haver_M!$B$1:$BZ$1,0),FALSE),"")</f>
        <v>94.337999999999994</v>
      </c>
      <c r="AB110">
        <f>IF(ISNUMBER(VLOOKUP($A110,Haver_M!$B$1:$BZ$300,MATCH(data!AB$1,Haver_M!$B$1:$BZ$1,0),FALSE)),VLOOKUP($A110,Haver_M!$B$1:$BZ$300,MATCH(data!AB$1,Haver_M!$B$1:$BZ$1,0),FALSE),"")</f>
        <v>82.290999999999997</v>
      </c>
      <c r="AC110">
        <f>IF(ISNUMBER(VLOOKUP($A110,Haver_M!$B$1:$BZ$300,MATCH(data!AC$1,Haver_M!$B$1:$BZ$1,0),FALSE)),VLOOKUP($A110,Haver_M!$B$1:$BZ$300,MATCH(data!AC$1,Haver_M!$B$1:$BZ$1,0),FALSE),"")</f>
        <v>64.268000000000001</v>
      </c>
      <c r="AD110">
        <f>IF(ISNUMBER(VLOOKUP($A110,Haver_M!$B$1:$BZ$300,MATCH(data!AD$1,Haver_M!$B$1:$BZ$1,0),FALSE)),VLOOKUP($A110,Haver_M!$B$1:$BZ$300,MATCH(data!AD$1,Haver_M!$B$1:$BZ$1,0),FALSE),"")</f>
        <v>93.197000000000003</v>
      </c>
      <c r="AE110">
        <f>IF(ISNUMBER(VLOOKUP($A110,Haver_M!$B$1:$BZ$300,MATCH(data!AE$1,Haver_M!$B$1:$BZ$1,0),FALSE)),VLOOKUP($A110,Haver_M!$B$1:$BZ$300,MATCH(data!AE$1,Haver_M!$B$1:$BZ$1,0),FALSE),"")</f>
        <v>76.628</v>
      </c>
      <c r="AF110">
        <f>IF(ISNUMBER(VLOOKUP($A110,Haver_M!$B$1:$BZ$300,MATCH(data!AF$1,Haver_M!$B$1:$BZ$1,0),FALSE)),VLOOKUP($A110,Haver_M!$B$1:$BZ$300,MATCH(data!AF$1,Haver_M!$B$1:$BZ$1,0),FALSE),"")</f>
        <v>72.995000000000005</v>
      </c>
      <c r="AG110">
        <f>IF(ISNUMBER(VLOOKUP($A110,Haver_M!$B$1:$BZ$300,MATCH(data!AG$1,Haver_M!$B$1:$BZ$1,0),FALSE)),VLOOKUP($A110,Haver_M!$B$1:$BZ$300,MATCH(data!AG$1,Haver_M!$B$1:$BZ$1,0),FALSE),"")</f>
        <v>81.728999999999999</v>
      </c>
      <c r="AH110">
        <f>IF(ISNUMBER(VLOOKUP($A110,Haver_M!$B$1:$BZ$300,MATCH(data!AH$1,Haver_M!$B$1:$BZ$1,0),FALSE)),VLOOKUP($A110,Haver_M!$B$1:$BZ$300,MATCH(data!AH$1,Haver_M!$B$1:$BZ$1,0),FALSE),"")</f>
        <v>82.838999999999999</v>
      </c>
      <c r="AI110">
        <f>IF(ISNUMBER(VLOOKUP($A110,Haver_M!$B$1:$BZ$300,MATCH(data!AI$1,Haver_M!$B$1:$BZ$1,0),FALSE)),VLOOKUP($A110,Haver_M!$B$1:$BZ$300,MATCH(data!AI$1,Haver_M!$B$1:$BZ$1,0),FALSE),"")</f>
        <v>11446.460264335541</v>
      </c>
      <c r="AJ110">
        <f>IF(ISNUMBER(VLOOKUP($A110,Haver_M!$B$1:$BZ$300,MATCH(data!AJ$1,Haver_M!$B$1:$BZ$1,0),FALSE)),VLOOKUP($A110,Haver_M!$B$1:$BZ$300,MATCH(data!AJ$1,Haver_M!$B$1:$BZ$1,0),FALSE),"")</f>
        <v>13280.45</v>
      </c>
      <c r="AK110">
        <f>IF(ISNUMBER(VLOOKUP($A110,Haver_M!$B$1:$BZ$300,MATCH(data!AK$1,Haver_M!$B$1:$BZ$1,0),FALSE)),VLOOKUP($A110,Haver_M!$B$1:$BZ$300,MATCH(data!AK$1,Haver_M!$B$1:$BZ$1,0),FALSE),"")</f>
        <v>18788.71</v>
      </c>
      <c r="AL110" t="str">
        <f>IF(ISNUMBER(VLOOKUP($A110,Haver_M!$B$1:$BZ$300,MATCH(data!AL$1,Haver_M!$B$1:$BZ$1,0),FALSE)),VLOOKUP($A110,Haver_M!$B$1:$BZ$300,MATCH(data!AL$1,Haver_M!$B$1:$BZ$1,0),FALSE),"")</f>
        <v/>
      </c>
      <c r="AM110" t="str">
        <f>IF(ISNUMBER(VLOOKUP($A110,Haver_M!$B$1:$BZ$300,MATCH(data!AM$1,Haver_M!$B$1:$BZ$1,0),FALSE)),VLOOKUP($A110,Haver_M!$B$1:$BZ$300,MATCH(data!AM$1,Haver_M!$B$1:$BZ$1,0),FALSE),"")</f>
        <v/>
      </c>
      <c r="AN110" t="str">
        <f>IF(ISNUMBER(VLOOKUP($A110,Haver_M!$B$1:$BZ$300,MATCH(data!AN$1,Haver_M!$B$1:$BZ$1,0),FALSE)),VLOOKUP($A110,Haver_M!$B$1:$BZ$300,MATCH(data!AN$1,Haver_M!$B$1:$BZ$1,0),FALSE),"")</f>
        <v/>
      </c>
      <c r="AO110" t="str">
        <f>IF(ISNUMBER(VLOOKUP($A110,Haver_M!$B$1:$BZ$300,MATCH(data!AO$1,Haver_M!$B$1:$BZ$1,0),FALSE)),VLOOKUP($A110,Haver_M!$B$1:$BZ$300,MATCH(data!AO$1,Haver_M!$B$1:$BZ$1,0),FALSE),"")</f>
        <v/>
      </c>
      <c r="AP110">
        <f>IF(ISNUMBER(VLOOKUP($A110,Haver_M!$B$1:$BZ$300,MATCH(data!AP$1,Haver_M!$B$1:$BZ$1,0),FALSE)),VLOOKUP($A110,Haver_M!$B$1:$BZ$300,MATCH(data!AP$1,Haver_M!$B$1:$BZ$1,0),FALSE),"")</f>
        <v>116.88063045011475</v>
      </c>
      <c r="AQ110">
        <f>IF(ISNUMBER(VLOOKUP($A110,Haver_M!$B$1:$BZ$300,MATCH(data!AQ$1,Haver_M!$B$1:$BZ$1,0),FALSE)),VLOOKUP($A110,Haver_M!$B$1:$BZ$300,MATCH(data!AQ$1,Haver_M!$B$1:$BZ$1,0),FALSE),"")</f>
        <v>42.733899999999998</v>
      </c>
      <c r="AR110">
        <f>IF(ISNUMBER(VLOOKUP($A110,Haver_M!$B$1:$BZ$300,MATCH(data!AR$1,Haver_M!$B$1:$BZ$1,0),FALSE)),VLOOKUP($A110,Haver_M!$B$1:$BZ$300,MATCH(data!AR$1,Haver_M!$B$1:$BZ$1,0),FALSE),"")</f>
        <v>46.6858</v>
      </c>
      <c r="AS110">
        <f>IF(ISNUMBER(VLOOKUP($A110,Haver_M!$B$1:$BZ$300,MATCH(data!AS$1,Haver_M!$B$1:$BZ$1,0),FALSE)),VLOOKUP($A110,Haver_M!$B$1:$BZ$300,MATCH(data!AS$1,Haver_M!$B$1:$BZ$1,0),FALSE),"")</f>
        <v>42.077399999999997</v>
      </c>
      <c r="AT110">
        <f>IF(ISNUMBER(VLOOKUP($A110,Haver_M!$B$1:$BZ$300,MATCH(data!AT$1,Haver_M!$B$1:$BZ$1,0),FALSE)),VLOOKUP($A110,Haver_M!$B$1:$BZ$300,MATCH(data!AT$1,Haver_M!$B$1:$BZ$1,0),FALSE),"")</f>
        <v>44.209699999999998</v>
      </c>
      <c r="AU110">
        <f>IF(ISNUMBER(VLOOKUP($A110,Haver_M!$B$1:$BZ$300,MATCH(data!AU$1,Haver_M!$B$1:$BZ$1,0),FALSE)),VLOOKUP($A110,Haver_M!$B$1:$BZ$300,MATCH(data!AU$1,Haver_M!$B$1:$BZ$1,0),FALSE),"")</f>
        <v>46.122199999999999</v>
      </c>
      <c r="AV110">
        <f>IF(ISNUMBER(VLOOKUP($A110,Haver_M!$B$1:$BZ$300,MATCH(data!AV$1,Haver_M!$B$1:$BZ$1,0),FALSE)),VLOOKUP($A110,Haver_M!$B$1:$BZ$300,MATCH(data!AV$1,Haver_M!$B$1:$BZ$1,0),FALSE),"")</f>
        <v>47.844900000000003</v>
      </c>
      <c r="AW110">
        <f>IF(ISNUMBER(VLOOKUP($A110,Haver_M!$B$1:$BZ$300,MATCH(data!AW$1,Haver_M!$B$1:$BZ$1,0),FALSE)),VLOOKUP($A110,Haver_M!$B$1:$BZ$300,MATCH(data!AW$1,Haver_M!$B$1:$BZ$1,0),FALSE),"")</f>
        <v>50.618200000000002</v>
      </c>
      <c r="AX110">
        <f>IF(ISNUMBER(VLOOKUP($A110,Haver_M!$B$1:$BZ$300,MATCH(data!AX$1,Haver_M!$B$1:$BZ$1,0),FALSE)),VLOOKUP($A110,Haver_M!$B$1:$BZ$300,MATCH(data!AX$1,Haver_M!$B$1:$BZ$1,0),FALSE),"")</f>
        <v>48.204900000000002</v>
      </c>
      <c r="AY110">
        <f>IF(ISNUMBER(VLOOKUP($A110,Haver_M!$B$1:$BZ$300,MATCH(data!AY$1,Haver_M!$B$1:$BZ$1,0),FALSE)),VLOOKUP($A110,Haver_M!$B$1:$BZ$300,MATCH(data!AY$1,Haver_M!$B$1:$BZ$1,0),FALSE),"")</f>
        <v>41.1798</v>
      </c>
      <c r="AZ110">
        <f>IF(ISNUMBER(VLOOKUP($A110,Haver_M!$B$1:$BZ$300,MATCH(data!AZ$1,Haver_M!$B$1:$BZ$1,0),FALSE)),VLOOKUP($A110,Haver_M!$B$1:$BZ$300,MATCH(data!AZ$1,Haver_M!$B$1:$BZ$1,0),FALSE),"")</f>
        <v>45.355699999999999</v>
      </c>
      <c r="BA110">
        <f>IF(ISNUMBER(VLOOKUP($A110,Haver_M!$B$1:$BZ$300,MATCH(data!BA$1,Haver_M!$B$1:$BZ$1,0),FALSE)),VLOOKUP($A110,Haver_M!$B$1:$BZ$300,MATCH(data!BA$1,Haver_M!$B$1:$BZ$1,0),FALSE),"")</f>
        <v>48.204900000000002</v>
      </c>
      <c r="BB110">
        <f>IF(ISNUMBER(VLOOKUP($A110,Haver_M!$B$1:$BZ$300,MATCH(data!BB$1,Haver_M!$B$1:$BZ$1,0),FALSE)),VLOOKUP($A110,Haver_M!$B$1:$BZ$300,MATCH(data!BB$1,Haver_M!$B$1:$BZ$1,0),FALSE),"")</f>
        <v>45.098599999999998</v>
      </c>
      <c r="BC110">
        <f>IF(ISNUMBER(VLOOKUP($A110,Haver_M!$B$1:$BZ$300,MATCH(data!BC$1,Haver_M!$B$1:$BZ$1,0),FALSE)),VLOOKUP($A110,Haver_M!$B$1:$BZ$300,MATCH(data!BC$1,Haver_M!$B$1:$BZ$1,0),FALSE),"")</f>
        <v>44.423200000000001</v>
      </c>
      <c r="BD110">
        <f>IF(ISNUMBER(VLOOKUP($A110,Haver_M!$B$1:$BZ$300,MATCH(data!BD$1,Haver_M!$B$1:$BZ$1,0),FALSE)),VLOOKUP($A110,Haver_M!$B$1:$BZ$300,MATCH(data!BD$1,Haver_M!$B$1:$BZ$1,0),FALSE),"")</f>
        <v>44.277799999999999</v>
      </c>
      <c r="BE110">
        <f>IF(ISNUMBER(VLOOKUP($A110,Haver_M!$B$1:$BZ$300,MATCH(data!BE$1,Haver_M!$B$1:$BZ$1,0),FALSE)),VLOOKUP($A110,Haver_M!$B$1:$BZ$300,MATCH(data!BE$1,Haver_M!$B$1:$BZ$1,0),FALSE),"")</f>
        <v>0.92530000000000001</v>
      </c>
      <c r="BF110">
        <f>IF(ISNUMBER(VLOOKUP($A110,Haver_M!$B$1:$BZ$300,MATCH(data!BF$1,Haver_M!$B$1:$BZ$1,0),FALSE)),VLOOKUP($A110,Haver_M!$B$1:$BZ$300,MATCH(data!BF$1,Haver_M!$B$1:$BZ$1,0),FALSE),"")</f>
        <v>48.556699999999999</v>
      </c>
      <c r="BG110">
        <f>IF(ISNUMBER(VLOOKUP($A110,Haver_M!$B$1:$BZ$300,MATCH(data!BG$1,Haver_M!$B$1:$BZ$1,0),FALSE)),VLOOKUP($A110,Haver_M!$B$1:$BZ$300,MATCH(data!BG$1,Haver_M!$B$1:$BZ$1,0),FALSE),"")</f>
        <v>46.501399999999997</v>
      </c>
      <c r="BH110">
        <f>IF(ISNUMBER(VLOOKUP($A110,Haver_M!$B$1:$BZ$300,MATCH(data!BH$1,Haver_M!$B$1:$BZ$1,0),FALSE)),VLOOKUP($A110,Haver_M!$B$1:$BZ$300,MATCH(data!BH$1,Haver_M!$B$1:$BZ$1,0),FALSE),"")</f>
        <v>42.2789</v>
      </c>
      <c r="BI110">
        <f>IF(ISNUMBER(VLOOKUP($A110,Haver_M!$B$1:$BZ$300,MATCH(data!BI$1,Haver_M!$B$1:$BZ$1,0),FALSE)),VLOOKUP($A110,Haver_M!$B$1:$BZ$300,MATCH(data!BI$1,Haver_M!$B$1:$BZ$1,0),FALSE),"")</f>
        <v>48.220799999999997</v>
      </c>
      <c r="BJ110" t="str">
        <f>IF(ISNUMBER(VLOOKUP($A110,Haver_M!$B$1:$BZ$300,MATCH(data!BJ$1,Haver_M!$B$1:$BZ$1,0),FALSE)),VLOOKUP($A110,Haver_M!$B$1:$BZ$300,MATCH(data!BJ$1,Haver_M!$B$1:$BZ$1,0),FALSE),"")</f>
        <v/>
      </c>
      <c r="BK110">
        <f>IF(ISNUMBER(VLOOKUP($A110,Haver_M!$B$1:$BZ$300,MATCH(data!BK$1,Haver_M!$B$1:$BZ$1,0),FALSE)),VLOOKUP($A110,Haver_M!$B$1:$BZ$300,MATCH(data!BK$1,Haver_M!$B$1:$BZ$1,0),FALSE),"")</f>
        <v>45.318300000000001</v>
      </c>
      <c r="BL110">
        <f>IF(ISNUMBER(VLOOKUP($A110,Haver_M!$B$1:$BZ$300,MATCH(data!BL$1,Haver_M!$B$1:$BZ$1,0),FALSE)),VLOOKUP($A110,Haver_M!$B$1:$BZ$300,MATCH(data!BL$1,Haver_M!$B$1:$BZ$1,0),FALSE),"")</f>
        <v>9350.42</v>
      </c>
      <c r="BM110">
        <f>IF(ISNUMBER(VLOOKUP($A110,Haver_M!$B$1:$BZ$300,MATCH(data!BM$1,Haver_M!$B$1:$BZ$1,0),FALSE)),VLOOKUP($A110,Haver_M!$B$1:$BZ$300,MATCH(data!BM$1,Haver_M!$B$1:$BZ$1,0),FALSE),"")</f>
        <v>77.584025080000004</v>
      </c>
      <c r="BN110" t="str">
        <f>IF(ISNUMBER(VLOOKUP($A110,Haver_M!$B$1:$BZ$300,MATCH(data!BN$1,Haver_M!$B$1:$BZ$1,0),FALSE)),VLOOKUP($A110,Haver_M!$B$1:$BZ$300,MATCH(data!BN$1,Haver_M!$B$1:$BZ$1,0),FALSE),"")</f>
        <v/>
      </c>
      <c r="BO110" t="str">
        <f>IF(ISNUMBER(VLOOKUP($A110,Haver_M!$B$1:$BZ$300,MATCH(data!BO$1,Haver_M!$B$1:$BZ$1,0),FALSE)),VLOOKUP($A110,Haver_M!$B$1:$BZ$300,MATCH(data!BO$1,Haver_M!$B$1:$BZ$1,0),FALSE),"")</f>
        <v/>
      </c>
      <c r="BP110" t="str">
        <f>IF(ISNUMBER(VLOOKUP($A110,Haver_M!$B$1:$BZ$300,MATCH(data!BP$1,Haver_M!$B$1:$BZ$1,0),FALSE)),VLOOKUP($A110,Haver_M!$B$1:$BZ$300,MATCH(data!BP$1,Haver_M!$B$1:$BZ$1,0),FALSE),"")</f>
        <v/>
      </c>
      <c r="BQ110">
        <f>IF(ISNUMBER(VLOOKUP($A110,Haver_M!$B$1:$BZ$300,MATCH(data!BQ$1,Haver_M!$B$1:$BZ$1,0),FALSE)),VLOOKUP($A110,Haver_M!$B$1:$BZ$300,MATCH(data!BQ$1,Haver_M!$B$1:$BZ$1,0),FALSE),"")</f>
        <v>114.19256407368346</v>
      </c>
      <c r="BR110">
        <f>IF(ISNUMBER(VLOOKUP($A110,Haver_M!$B$1:$BZ$300,MATCH(data!BR$1,Haver_M!$B$1:$BZ$1,0),FALSE)),VLOOKUP($A110,Haver_M!$B$1:$BZ$300,MATCH(data!BR$1,Haver_M!$B$1:$BZ$1,0),FALSE),"")</f>
        <v>207.69887672663603</v>
      </c>
      <c r="BS110">
        <f>IF(ISNUMBER(VLOOKUP($A110,Haver_M!$B$1:$BZ$300,MATCH(data!BS$1,Haver_M!$B$1:$BZ$1,0),FALSE)),VLOOKUP($A110,Haver_M!$B$1:$BZ$300,MATCH(data!BS$1,Haver_M!$B$1:$BZ$1,0),FALSE),"")</f>
        <v>122.97047951587635</v>
      </c>
      <c r="BT110">
        <f>IF(ISNUMBER(VLOOKUP($A110,Haver_M!$B$1:$BZ$300,MATCH(data!BT$1,Haver_M!$B$1:$BZ$1,0),FALSE)),VLOOKUP($A110,Haver_M!$B$1:$BZ$300,MATCH(data!BT$1,Haver_M!$B$1:$BZ$1,0),FALSE),"")</f>
        <v>505.07469716672978</v>
      </c>
      <c r="BU110">
        <f>IF(ISNUMBER(VLOOKUP($A110,Haver_M!$B$1:$BZ$300,MATCH(data!BU$1,Haver_M!$B$1:$BZ$1,0),FALSE)),VLOOKUP($A110,Haver_M!$B$1:$BZ$300,MATCH(data!BU$1,Haver_M!$B$1:$BZ$1,0),FALSE),"")</f>
        <v>12869</v>
      </c>
      <c r="BV110">
        <f>IF(ISNUMBER(VLOOKUP($A110,Haver_M!$B$1:$BZ$300,MATCH(data!BV$1,Haver_M!$B$1:$BZ$1,0),FALSE)),VLOOKUP($A110,Haver_M!$B$1:$BZ$300,MATCH(data!BV$1,Haver_M!$B$1:$BZ$1,0),FALSE),"")</f>
        <v>18228.2</v>
      </c>
      <c r="BW110">
        <f>IF(ISNUMBER(VLOOKUP($A110,Haver_M!$B$1:$BZ$300,MATCH(data!BW$1,Haver_M!$B$1:$BZ$1,0),FALSE)),VLOOKUP($A110,Haver_M!$B$1:$BZ$300,MATCH(data!BW$1,Haver_M!$B$1:$BZ$1,0),FALSE),"")</f>
        <v>48.830500000000001</v>
      </c>
      <c r="BX110">
        <f>IF(ISNUMBER(VLOOKUP($A110,Haver_M!$B$1:$BZ$300,MATCH(data!BX$1,Haver_M!$B$1:$BZ$1,0),FALSE)),VLOOKUP($A110,Haver_M!$B$1:$BZ$300,MATCH(data!BX$1,Haver_M!$B$1:$BZ$1,0),FALSE),"")</f>
        <v>37395</v>
      </c>
    </row>
    <row r="111" spans="1:76" x14ac:dyDescent="0.25">
      <c r="A111" s="2">
        <v>39872</v>
      </c>
      <c r="B111" t="str">
        <f>IF(ISNUMBER(VLOOKUP($A111,Haver_Q!$B$1:$L$185,MATCH(data!B$1,Haver_Q!$B$1:$L$1,0),FALSE)),100*(VLOOKUP($A111,Haver_Q!$B$1:$L$185,MATCH(data!B$1,Haver_Q!$B$1:$L$1,0),FALSE)),"")</f>
        <v/>
      </c>
      <c r="C111" t="str">
        <f>IF(ISNUMBER(VLOOKUP($A111,Haver_Q!$B$1:$L$185,MATCH(data!C$1,Haver_Q!$B$1:$L$1,0),FALSE)),100*(VLOOKUP($A111,Haver_Q!$B$1:$L$185,MATCH(data!C$1,Haver_Q!$B$1:$L$1,0),FALSE)),"")</f>
        <v/>
      </c>
      <c r="D111" t="str">
        <f>IF(ISNUMBER(VLOOKUP($A111,Haver_Q!$B$1:$L$185,MATCH(data!D$1,Haver_Q!$B$1:$L$1,0),FALSE)),100*(VLOOKUP($A111,Haver_Q!$B$1:$L$185,MATCH(data!D$1,Haver_Q!$B$1:$L$1,0),FALSE)),"")</f>
        <v/>
      </c>
      <c r="E111" t="str">
        <f>IF(ISNUMBER(VLOOKUP($A111,Haver_Q!$B$1:$L$185,MATCH(data!E$1,Haver_Q!$B$1:$L$1,0),FALSE)),100*(VLOOKUP($A111,Haver_Q!$B$1:$L$185,MATCH(data!E$1,Haver_Q!$B$1:$L$1,0),FALSE)),"")</f>
        <v/>
      </c>
      <c r="F111" t="str">
        <f>IF(ISNUMBER(VLOOKUP($A111,Haver_Q!$B$1:$L$185,MATCH(data!F$1,Haver_Q!$B$1:$L$1,0),FALSE)),100*(VLOOKUP($A111,Haver_Q!$B$1:$L$185,MATCH(data!F$1,Haver_Q!$B$1:$L$1,0),FALSE)),"")</f>
        <v/>
      </c>
      <c r="G111" t="str">
        <f>IF(ISNUMBER(VLOOKUP($A111,Haver_Q!$B$1:$L$185,MATCH(data!G$1,Haver_Q!$B$1:$L$1,0),FALSE)),100*(VLOOKUP($A111,Haver_Q!$B$1:$L$185,MATCH(data!G$1,Haver_Q!$B$1:$L$1,0),FALSE)),"")</f>
        <v/>
      </c>
      <c r="H111" t="str">
        <f>IF(ISNUMBER(VLOOKUP($A111,Haver_Q!$B$1:$L$185,MATCH(data!H$1,Haver_Q!$B$1:$L$1,0),FALSE)),(VLOOKUP($A111,Haver_Q!$B$1:$L$185,MATCH(data!H$1,Haver_Q!$B$1:$L$1,0),FALSE)),"")</f>
        <v/>
      </c>
      <c r="I111" t="str">
        <f>IF(ISNUMBER(VLOOKUP($A111,Haver_Q!$B$1:$L$185,MATCH(data!I$1,Haver_Q!$B$1:$L$1,0),FALSE)),100*(VLOOKUP($A111,Haver_Q!$B$1:$L$185,MATCH(data!I$1,Haver_Q!$B$1:$L$1,0),FALSE)),"")</f>
        <v/>
      </c>
      <c r="J111" s="3">
        <f>IF(ISNUMBER(Bloomberg_m!C127),Bloomberg_m!C127,"")</f>
        <v>1816</v>
      </c>
      <c r="K111" s="3" t="str">
        <f>IF(ISNUMBER(Bloomberg_m!D127),Bloomberg_m!D127,"")</f>
        <v/>
      </c>
      <c r="L111" s="3" t="str">
        <f>IF(ISNUMBER(Bloomberg_m!E127),Bloomberg_m!E127,"")</f>
        <v/>
      </c>
      <c r="M111" s="3" t="str">
        <f>IF(ISNUMBER(Bloomberg_m!F127),Bloomberg_m!F127,"")</f>
        <v/>
      </c>
      <c r="N111">
        <f>IF(ISNUMBER(VLOOKUP($A111,Haver_M!$B$1:$BZ$300,MATCH(data!N$1,Haver_M!$B$1:$BZ$1,0),FALSE)),VLOOKUP($A111,Haver_M!$B$1:$BZ$300,MATCH(data!N$1,Haver_M!$B$1:$BZ$1,0),FALSE),"")</f>
        <v>5.5</v>
      </c>
      <c r="O111">
        <f>IF(ISNUMBER(VLOOKUP($A111,Haver_M!$B$1:$BZ$300,MATCH(data!O$1,Haver_M!$B$1:$BZ$1,0),FALSE)),VLOOKUP($A111,Haver_M!$B$1:$BZ$300,MATCH(data!O$1,Haver_M!$B$1:$BZ$1,0),FALSE),"")</f>
        <v>6.5711000000000004</v>
      </c>
      <c r="P111">
        <f>IF(ISNUMBER(VLOOKUP($A111,Haver_M!$B$1:$BZ$300,MATCH(data!P$1,Haver_M!$B$1:$BZ$1,0),FALSE)),VLOOKUP($A111,Haver_M!$B$1:$BZ$300,MATCH(data!P$1,Haver_M!$B$1:$BZ$1,0),FALSE),"")</f>
        <v>91.731539999999995</v>
      </c>
      <c r="Q111">
        <f>IF(ISNUMBER(VLOOKUP($A111,Haver_M!$B$1:$BZ$300,MATCH(data!Q$1,Haver_M!$B$1:$BZ$1,0),FALSE)),VLOOKUP($A111,Haver_M!$B$1:$BZ$300,MATCH(data!Q$1,Haver_M!$B$1:$BZ$1,0),FALSE),"")</f>
        <v>72.5</v>
      </c>
      <c r="R111" t="str">
        <f>IF(ISNUMBER(VLOOKUP($A111,Haver_M!$B$1:$BZ$300,MATCH(data!R$1,Haver_M!$B$1:$BZ$1,0),FALSE)),VLOOKUP($A111,Haver_M!$B$1:$BZ$300,MATCH(data!R$1,Haver_M!$B$1:$BZ$1,0),FALSE),"")</f>
        <v/>
      </c>
      <c r="S111">
        <f>IF(ISNUMBER(VLOOKUP($A111,Haver_M!$B$1:$BZ$300,MATCH(data!S$1,Haver_M!$B$1:$BZ$1,0),FALSE)),VLOOKUP($A111,Haver_M!$B$1:$BZ$300,MATCH(data!S$1,Haver_M!$B$1:$BZ$1,0),FALSE),"")</f>
        <v>85.2</v>
      </c>
      <c r="T111">
        <f>IF(ISNUMBER(VLOOKUP($A111,Haver_M!$B$1:$BZ$300,MATCH(data!T$1,Haver_M!$B$1:$BZ$1,0),FALSE)),VLOOKUP($A111,Haver_M!$B$1:$BZ$300,MATCH(data!T$1,Haver_M!$B$1:$BZ$1,0),FALSE),"")</f>
        <v>86.99</v>
      </c>
      <c r="U111">
        <f>IF(ISNUMBER(VLOOKUP($A111,Haver_M!$B$1:$BZ$300,MATCH(data!U$1,Haver_M!$B$1:$BZ$1,0),FALSE)),VLOOKUP($A111,Haver_M!$B$1:$BZ$300,MATCH(data!U$1,Haver_M!$B$1:$BZ$1,0),FALSE),"")</f>
        <v>84.35</v>
      </c>
      <c r="V111">
        <f>IF(ISNUMBER(VLOOKUP($A111,Haver_M!$B$1:$BZ$300,MATCH(data!V$1,Haver_M!$B$1:$BZ$1,0),FALSE)),VLOOKUP($A111,Haver_M!$B$1:$BZ$300,MATCH(data!V$1,Haver_M!$B$1:$BZ$1,0),FALSE),"")</f>
        <v>92.75</v>
      </c>
      <c r="W111" t="str">
        <f>IF(ISNUMBER(VLOOKUP($A111,Haver_M!$B$1:$BZ$300,MATCH(data!W$1,Haver_M!$B$1:$BZ$1,0),FALSE)),VLOOKUP($A111,Haver_M!$B$1:$BZ$300,MATCH(data!W$1,Haver_M!$B$1:$BZ$1,0),FALSE),"")</f>
        <v/>
      </c>
      <c r="X111">
        <f>IF(ISNUMBER(VLOOKUP($A111,Haver_M!$B$1:$BZ$300,MATCH(data!X$1,Haver_M!$B$1:$BZ$1,0),FALSE)),VLOOKUP($A111,Haver_M!$B$1:$BZ$300,MATCH(data!X$1,Haver_M!$B$1:$BZ$1,0),FALSE),"")</f>
        <v>70.75</v>
      </c>
      <c r="Y111">
        <f>IF(ISNUMBER(VLOOKUP($A111,Haver_M!$B$1:$BZ$300,MATCH(data!Y$1,Haver_M!$B$1:$BZ$1,0),FALSE)),VLOOKUP($A111,Haver_M!$B$1:$BZ$300,MATCH(data!Y$1,Haver_M!$B$1:$BZ$1,0),FALSE),"")</f>
        <v>82.47</v>
      </c>
      <c r="Z111">
        <f>IF(ISNUMBER(VLOOKUP($A111,Haver_M!$B$1:$BZ$300,MATCH(data!Z$1,Haver_M!$B$1:$BZ$1,0),FALSE)),VLOOKUP($A111,Haver_M!$B$1:$BZ$300,MATCH(data!Z$1,Haver_M!$B$1:$BZ$1,0),FALSE),"")</f>
        <v>86.4</v>
      </c>
      <c r="AA111">
        <f>IF(ISNUMBER(VLOOKUP($A111,Haver_M!$B$1:$BZ$300,MATCH(data!AA$1,Haver_M!$B$1:$BZ$1,0),FALSE)),VLOOKUP($A111,Haver_M!$B$1:$BZ$300,MATCH(data!AA$1,Haver_M!$B$1:$BZ$1,0),FALSE),"")</f>
        <v>95.441000000000003</v>
      </c>
      <c r="AB111">
        <f>IF(ISNUMBER(VLOOKUP($A111,Haver_M!$B$1:$BZ$300,MATCH(data!AB$1,Haver_M!$B$1:$BZ$1,0),FALSE)),VLOOKUP($A111,Haver_M!$B$1:$BZ$300,MATCH(data!AB$1,Haver_M!$B$1:$BZ$1,0),FALSE),"")</f>
        <v>87.03</v>
      </c>
      <c r="AC111">
        <f>IF(ISNUMBER(VLOOKUP($A111,Haver_M!$B$1:$BZ$300,MATCH(data!AC$1,Haver_M!$B$1:$BZ$1,0),FALSE)),VLOOKUP($A111,Haver_M!$B$1:$BZ$300,MATCH(data!AC$1,Haver_M!$B$1:$BZ$1,0),FALSE),"")</f>
        <v>67.033000000000001</v>
      </c>
      <c r="AD111">
        <f>IF(ISNUMBER(VLOOKUP($A111,Haver_M!$B$1:$BZ$300,MATCH(data!AD$1,Haver_M!$B$1:$BZ$1,0),FALSE)),VLOOKUP($A111,Haver_M!$B$1:$BZ$300,MATCH(data!AD$1,Haver_M!$B$1:$BZ$1,0),FALSE),"")</f>
        <v>95.578999999999994</v>
      </c>
      <c r="AE111">
        <f>IF(ISNUMBER(VLOOKUP($A111,Haver_M!$B$1:$BZ$300,MATCH(data!AE$1,Haver_M!$B$1:$BZ$1,0),FALSE)),VLOOKUP($A111,Haver_M!$B$1:$BZ$300,MATCH(data!AE$1,Haver_M!$B$1:$BZ$1,0),FALSE),"")</f>
        <v>78.896000000000001</v>
      </c>
      <c r="AF111">
        <f>IF(ISNUMBER(VLOOKUP($A111,Haver_M!$B$1:$BZ$300,MATCH(data!AF$1,Haver_M!$B$1:$BZ$1,0),FALSE)),VLOOKUP($A111,Haver_M!$B$1:$BZ$300,MATCH(data!AF$1,Haver_M!$B$1:$BZ$1,0),FALSE),"")</f>
        <v>77.192999999999998</v>
      </c>
      <c r="AG111">
        <f>IF(ISNUMBER(VLOOKUP($A111,Haver_M!$B$1:$BZ$300,MATCH(data!AG$1,Haver_M!$B$1:$BZ$1,0),FALSE)),VLOOKUP($A111,Haver_M!$B$1:$BZ$300,MATCH(data!AG$1,Haver_M!$B$1:$BZ$1,0),FALSE),"")</f>
        <v>85</v>
      </c>
      <c r="AH111">
        <f>IF(ISNUMBER(VLOOKUP($A111,Haver_M!$B$1:$BZ$300,MATCH(data!AH$1,Haver_M!$B$1:$BZ$1,0),FALSE)),VLOOKUP($A111,Haver_M!$B$1:$BZ$300,MATCH(data!AH$1,Haver_M!$B$1:$BZ$1,0),FALSE),"")</f>
        <v>84.37</v>
      </c>
      <c r="AI111">
        <f>IF(ISNUMBER(VLOOKUP($A111,Haver_M!$B$1:$BZ$300,MATCH(data!AI$1,Haver_M!$B$1:$BZ$1,0),FALSE)),VLOOKUP($A111,Haver_M!$B$1:$BZ$300,MATCH(data!AI$1,Haver_M!$B$1:$BZ$1,0),FALSE),"")</f>
        <v>11616.11620937107</v>
      </c>
      <c r="AJ111">
        <f>IF(ISNUMBER(VLOOKUP($A111,Haver_M!$B$1:$BZ$300,MATCH(data!AJ$1,Haver_M!$B$1:$BZ$1,0),FALSE)),VLOOKUP($A111,Haver_M!$B$1:$BZ$300,MATCH(data!AJ$1,Haver_M!$B$1:$BZ$1,0),FALSE),"")</f>
        <v>12636.13</v>
      </c>
      <c r="AK111">
        <f>IF(ISNUMBER(VLOOKUP($A111,Haver_M!$B$1:$BZ$300,MATCH(data!AK$1,Haver_M!$B$1:$BZ$1,0),FALSE)),VLOOKUP($A111,Haver_M!$B$1:$BZ$300,MATCH(data!AK$1,Haver_M!$B$1:$BZ$1,0),FALSE),"")</f>
        <v>17345.54</v>
      </c>
      <c r="AL111" t="str">
        <f>IF(ISNUMBER(VLOOKUP($A111,Haver_M!$B$1:$BZ$300,MATCH(data!AL$1,Haver_M!$B$1:$BZ$1,0),FALSE)),VLOOKUP($A111,Haver_M!$B$1:$BZ$300,MATCH(data!AL$1,Haver_M!$B$1:$BZ$1,0),FALSE),"")</f>
        <v/>
      </c>
      <c r="AM111" t="str">
        <f>IF(ISNUMBER(VLOOKUP($A111,Haver_M!$B$1:$BZ$300,MATCH(data!AM$1,Haver_M!$B$1:$BZ$1,0),FALSE)),VLOOKUP($A111,Haver_M!$B$1:$BZ$300,MATCH(data!AM$1,Haver_M!$B$1:$BZ$1,0),FALSE),"")</f>
        <v/>
      </c>
      <c r="AN111" t="str">
        <f>IF(ISNUMBER(VLOOKUP($A111,Haver_M!$B$1:$BZ$300,MATCH(data!AN$1,Haver_M!$B$1:$BZ$1,0),FALSE)),VLOOKUP($A111,Haver_M!$B$1:$BZ$300,MATCH(data!AN$1,Haver_M!$B$1:$BZ$1,0),FALSE),"")</f>
        <v/>
      </c>
      <c r="AO111" t="str">
        <f>IF(ISNUMBER(VLOOKUP($A111,Haver_M!$B$1:$BZ$300,MATCH(data!AO$1,Haver_M!$B$1:$BZ$1,0),FALSE)),VLOOKUP($A111,Haver_M!$B$1:$BZ$300,MATCH(data!AO$1,Haver_M!$B$1:$BZ$1,0),FALSE),"")</f>
        <v/>
      </c>
      <c r="AP111">
        <f>IF(ISNUMBER(VLOOKUP($A111,Haver_M!$B$1:$BZ$300,MATCH(data!AP$1,Haver_M!$B$1:$BZ$1,0),FALSE)),VLOOKUP($A111,Haver_M!$B$1:$BZ$300,MATCH(data!AP$1,Haver_M!$B$1:$BZ$1,0),FALSE),"")</f>
        <v>120.11623436874027</v>
      </c>
      <c r="AQ111">
        <f>IF(ISNUMBER(VLOOKUP($A111,Haver_M!$B$1:$BZ$300,MATCH(data!AQ$1,Haver_M!$B$1:$BZ$1,0),FALSE)),VLOOKUP($A111,Haver_M!$B$1:$BZ$300,MATCH(data!AQ$1,Haver_M!$B$1:$BZ$1,0),FALSE),"")</f>
        <v>41.991100000000003</v>
      </c>
      <c r="AR111">
        <f>IF(ISNUMBER(VLOOKUP($A111,Haver_M!$B$1:$BZ$300,MATCH(data!AR$1,Haver_M!$B$1:$BZ$1,0),FALSE)),VLOOKUP($A111,Haver_M!$B$1:$BZ$300,MATCH(data!AR$1,Haver_M!$B$1:$BZ$1,0),FALSE),"")</f>
        <v>47.030500000000004</v>
      </c>
      <c r="AS111">
        <f>IF(ISNUMBER(VLOOKUP($A111,Haver_M!$B$1:$BZ$300,MATCH(data!AS$1,Haver_M!$B$1:$BZ$1,0),FALSE)),VLOOKUP($A111,Haver_M!$B$1:$BZ$300,MATCH(data!AS$1,Haver_M!$B$1:$BZ$1,0),FALSE),"")</f>
        <v>40.304299999999998</v>
      </c>
      <c r="AT111">
        <f>IF(ISNUMBER(VLOOKUP($A111,Haver_M!$B$1:$BZ$300,MATCH(data!AT$1,Haver_M!$B$1:$BZ$1,0),FALSE)),VLOOKUP($A111,Haver_M!$B$1:$BZ$300,MATCH(data!AT$1,Haver_M!$B$1:$BZ$1,0),FALSE),"")</f>
        <v>45.782899999999998</v>
      </c>
      <c r="AU111">
        <f>IF(ISNUMBER(VLOOKUP($A111,Haver_M!$B$1:$BZ$300,MATCH(data!AU$1,Haver_M!$B$1:$BZ$1,0),FALSE)),VLOOKUP($A111,Haver_M!$B$1:$BZ$300,MATCH(data!AU$1,Haver_M!$B$1:$BZ$1,0),FALSE),"")</f>
        <v>45.861800000000002</v>
      </c>
      <c r="AV111">
        <f>IF(ISNUMBER(VLOOKUP($A111,Haver_M!$B$1:$BZ$300,MATCH(data!AV$1,Haver_M!$B$1:$BZ$1,0),FALSE)),VLOOKUP($A111,Haver_M!$B$1:$BZ$300,MATCH(data!AV$1,Haver_M!$B$1:$BZ$1,0),FALSE),"")</f>
        <v>49.054000000000002</v>
      </c>
      <c r="AW111">
        <f>IF(ISNUMBER(VLOOKUP($A111,Haver_M!$B$1:$BZ$300,MATCH(data!AW$1,Haver_M!$B$1:$BZ$1,0),FALSE)),VLOOKUP($A111,Haver_M!$B$1:$BZ$300,MATCH(data!AW$1,Haver_M!$B$1:$BZ$1,0),FALSE),"")</f>
        <v>51.4131</v>
      </c>
      <c r="AX111">
        <f>IF(ISNUMBER(VLOOKUP($A111,Haver_M!$B$1:$BZ$300,MATCH(data!AX$1,Haver_M!$B$1:$BZ$1,0),FALSE)),VLOOKUP($A111,Haver_M!$B$1:$BZ$300,MATCH(data!AX$1,Haver_M!$B$1:$BZ$1,0),FALSE),"")</f>
        <v>47.273499999999999</v>
      </c>
      <c r="AY111">
        <f>IF(ISNUMBER(VLOOKUP($A111,Haver_M!$B$1:$BZ$300,MATCH(data!AY$1,Haver_M!$B$1:$BZ$1,0),FALSE)),VLOOKUP($A111,Haver_M!$B$1:$BZ$300,MATCH(data!AY$1,Haver_M!$B$1:$BZ$1,0),FALSE),"")</f>
        <v>42.478400000000001</v>
      </c>
      <c r="AZ111">
        <f>IF(ISNUMBER(VLOOKUP($A111,Haver_M!$B$1:$BZ$300,MATCH(data!AZ$1,Haver_M!$B$1:$BZ$1,0),FALSE)),VLOOKUP($A111,Haver_M!$B$1:$BZ$300,MATCH(data!AZ$1,Haver_M!$B$1:$BZ$1,0),FALSE),"")</f>
        <v>47.910499999999999</v>
      </c>
      <c r="BA111">
        <f>IF(ISNUMBER(VLOOKUP($A111,Haver_M!$B$1:$BZ$300,MATCH(data!BA$1,Haver_M!$B$1:$BZ$1,0),FALSE)),VLOOKUP($A111,Haver_M!$B$1:$BZ$300,MATCH(data!BA$1,Haver_M!$B$1:$BZ$1,0),FALSE),"")</f>
        <v>47.273499999999999</v>
      </c>
      <c r="BB111">
        <f>IF(ISNUMBER(VLOOKUP($A111,Haver_M!$B$1:$BZ$300,MATCH(data!BB$1,Haver_M!$B$1:$BZ$1,0),FALSE)),VLOOKUP($A111,Haver_M!$B$1:$BZ$300,MATCH(data!BB$1,Haver_M!$B$1:$BZ$1,0),FALSE),"")</f>
        <v>44.499200000000002</v>
      </c>
      <c r="BC111">
        <f>IF(ISNUMBER(VLOOKUP($A111,Haver_M!$B$1:$BZ$300,MATCH(data!BC$1,Haver_M!$B$1:$BZ$1,0),FALSE)),VLOOKUP($A111,Haver_M!$B$1:$BZ$300,MATCH(data!BC$1,Haver_M!$B$1:$BZ$1,0),FALSE),"")</f>
        <v>46.126899999999999</v>
      </c>
      <c r="BD111">
        <f>IF(ISNUMBER(VLOOKUP($A111,Haver_M!$B$1:$BZ$300,MATCH(data!BD$1,Haver_M!$B$1:$BZ$1,0),FALSE)),VLOOKUP($A111,Haver_M!$B$1:$BZ$300,MATCH(data!BD$1,Haver_M!$B$1:$BZ$1,0),FALSE),"")</f>
        <v>47.307200000000002</v>
      </c>
      <c r="BE111">
        <f>IF(ISNUMBER(VLOOKUP($A111,Haver_M!$B$1:$BZ$300,MATCH(data!BE$1,Haver_M!$B$1:$BZ$1,0),FALSE)),VLOOKUP($A111,Haver_M!$B$1:$BZ$300,MATCH(data!BE$1,Haver_M!$B$1:$BZ$1,0),FALSE),"")</f>
        <v>1.0185</v>
      </c>
      <c r="BF111">
        <f>IF(ISNUMBER(VLOOKUP($A111,Haver_M!$B$1:$BZ$300,MATCH(data!BF$1,Haver_M!$B$1:$BZ$1,0),FALSE)),VLOOKUP($A111,Haver_M!$B$1:$BZ$300,MATCH(data!BF$1,Haver_M!$B$1:$BZ$1,0),FALSE),"")</f>
        <v>48.508400000000002</v>
      </c>
      <c r="BG111">
        <f>IF(ISNUMBER(VLOOKUP($A111,Haver_M!$B$1:$BZ$300,MATCH(data!BG$1,Haver_M!$B$1:$BZ$1,0),FALSE)),VLOOKUP($A111,Haver_M!$B$1:$BZ$300,MATCH(data!BG$1,Haver_M!$B$1:$BZ$1,0),FALSE),"")</f>
        <v>48.060600000000001</v>
      </c>
      <c r="BH111">
        <f>IF(ISNUMBER(VLOOKUP($A111,Haver_M!$B$1:$BZ$300,MATCH(data!BH$1,Haver_M!$B$1:$BZ$1,0),FALSE)),VLOOKUP($A111,Haver_M!$B$1:$BZ$300,MATCH(data!BH$1,Haver_M!$B$1:$BZ$1,0),FALSE),"")</f>
        <v>41.773400000000002</v>
      </c>
      <c r="BI111">
        <f>IF(ISNUMBER(VLOOKUP($A111,Haver_M!$B$1:$BZ$300,MATCH(data!BI$1,Haver_M!$B$1:$BZ$1,0),FALSE)),VLOOKUP($A111,Haver_M!$B$1:$BZ$300,MATCH(data!BI$1,Haver_M!$B$1:$BZ$1,0),FALSE),"")</f>
        <v>49.186500000000002</v>
      </c>
      <c r="BJ111" t="str">
        <f>IF(ISNUMBER(VLOOKUP($A111,Haver_M!$B$1:$BZ$300,MATCH(data!BJ$1,Haver_M!$B$1:$BZ$1,0),FALSE)),VLOOKUP($A111,Haver_M!$B$1:$BZ$300,MATCH(data!BJ$1,Haver_M!$B$1:$BZ$1,0),FALSE),"")</f>
        <v/>
      </c>
      <c r="BK111">
        <f>IF(ISNUMBER(VLOOKUP($A111,Haver_M!$B$1:$BZ$300,MATCH(data!BK$1,Haver_M!$B$1:$BZ$1,0),FALSE)),VLOOKUP($A111,Haver_M!$B$1:$BZ$300,MATCH(data!BK$1,Haver_M!$B$1:$BZ$1,0),FALSE),"")</f>
        <v>46.555199999999999</v>
      </c>
      <c r="BL111">
        <f>IF(ISNUMBER(VLOOKUP($A111,Haver_M!$B$1:$BZ$300,MATCH(data!BL$1,Haver_M!$B$1:$BZ$1,0),FALSE)),VLOOKUP($A111,Haver_M!$B$1:$BZ$300,MATCH(data!BL$1,Haver_M!$B$1:$BZ$1,0),FALSE),"")</f>
        <v>9188.0300000000007</v>
      </c>
      <c r="BM111">
        <f>IF(ISNUMBER(VLOOKUP($A111,Haver_M!$B$1:$BZ$300,MATCH(data!BM$1,Haver_M!$B$1:$BZ$1,0),FALSE)),VLOOKUP($A111,Haver_M!$B$1:$BZ$300,MATCH(data!BM$1,Haver_M!$B$1:$BZ$1,0),FALSE),"")</f>
        <v>78.360413469999997</v>
      </c>
      <c r="BN111" t="str">
        <f>IF(ISNUMBER(VLOOKUP($A111,Haver_M!$B$1:$BZ$300,MATCH(data!BN$1,Haver_M!$B$1:$BZ$1,0),FALSE)),VLOOKUP($A111,Haver_M!$B$1:$BZ$300,MATCH(data!BN$1,Haver_M!$B$1:$BZ$1,0),FALSE),"")</f>
        <v/>
      </c>
      <c r="BO111" t="str">
        <f>IF(ISNUMBER(VLOOKUP($A111,Haver_M!$B$1:$BZ$300,MATCH(data!BO$1,Haver_M!$B$1:$BZ$1,0),FALSE)),VLOOKUP($A111,Haver_M!$B$1:$BZ$300,MATCH(data!BO$1,Haver_M!$B$1:$BZ$1,0),FALSE),"")</f>
        <v/>
      </c>
      <c r="BP111" t="str">
        <f>IF(ISNUMBER(VLOOKUP($A111,Haver_M!$B$1:$BZ$300,MATCH(data!BP$1,Haver_M!$B$1:$BZ$1,0),FALSE)),VLOOKUP($A111,Haver_M!$B$1:$BZ$300,MATCH(data!BP$1,Haver_M!$B$1:$BZ$1,0),FALSE),"")</f>
        <v/>
      </c>
      <c r="BQ111">
        <f>IF(ISNUMBER(VLOOKUP($A111,Haver_M!$B$1:$BZ$300,MATCH(data!BQ$1,Haver_M!$B$1:$BZ$1,0),FALSE)),VLOOKUP($A111,Haver_M!$B$1:$BZ$300,MATCH(data!BQ$1,Haver_M!$B$1:$BZ$1,0),FALSE),"")</f>
        <v>112.83364010548085</v>
      </c>
      <c r="BR111">
        <f>IF(ISNUMBER(VLOOKUP($A111,Haver_M!$B$1:$BZ$300,MATCH(data!BR$1,Haver_M!$B$1:$BZ$1,0),FALSE)),VLOOKUP($A111,Haver_M!$B$1:$BZ$300,MATCH(data!BR$1,Haver_M!$B$1:$BZ$1,0),FALSE),"")</f>
        <v>211.25041139973425</v>
      </c>
      <c r="BS111">
        <f>IF(ISNUMBER(VLOOKUP($A111,Haver_M!$B$1:$BZ$300,MATCH(data!BS$1,Haver_M!$B$1:$BZ$1,0),FALSE)),VLOOKUP($A111,Haver_M!$B$1:$BZ$300,MATCH(data!BS$1,Haver_M!$B$1:$BZ$1,0),FALSE),"")</f>
        <v>121.83892633811573</v>
      </c>
      <c r="BT111">
        <f>IF(ISNUMBER(VLOOKUP($A111,Haver_M!$B$1:$BZ$300,MATCH(data!BT$1,Haver_M!$B$1:$BZ$1,0),FALSE)),VLOOKUP($A111,Haver_M!$B$1:$BZ$300,MATCH(data!BT$1,Haver_M!$B$1:$BZ$1,0),FALSE),"")</f>
        <v>506.41478844911438</v>
      </c>
      <c r="BU111">
        <f>IF(ISNUMBER(VLOOKUP($A111,Haver_M!$B$1:$BZ$300,MATCH(data!BU$1,Haver_M!$B$1:$BZ$1,0),FALSE)),VLOOKUP($A111,Haver_M!$B$1:$BZ$300,MATCH(data!BU$1,Haver_M!$B$1:$BZ$1,0),FALSE),"")</f>
        <v>11940.9</v>
      </c>
      <c r="BV111">
        <f>IF(ISNUMBER(VLOOKUP($A111,Haver_M!$B$1:$BZ$300,MATCH(data!BV$1,Haver_M!$B$1:$BZ$1,0),FALSE)),VLOOKUP($A111,Haver_M!$B$1:$BZ$300,MATCH(data!BV$1,Haver_M!$B$1:$BZ$1,0),FALSE),"")</f>
        <v>15062.2</v>
      </c>
      <c r="BW111">
        <f>IF(ISNUMBER(VLOOKUP($A111,Haver_M!$B$1:$BZ$300,MATCH(data!BW$1,Haver_M!$B$1:$BZ$1,0),FALSE)),VLOOKUP($A111,Haver_M!$B$1:$BZ$300,MATCH(data!BW$1,Haver_M!$B$1:$BZ$1,0),FALSE),"")</f>
        <v>49.222200000000001</v>
      </c>
      <c r="BX111">
        <f>IF(ISNUMBER(VLOOKUP($A111,Haver_M!$B$1:$BZ$300,MATCH(data!BX$1,Haver_M!$B$1:$BZ$1,0),FALSE)),VLOOKUP($A111,Haver_M!$B$1:$BZ$300,MATCH(data!BX$1,Haver_M!$B$1:$BZ$1,0),FALSE),"")</f>
        <v>37067</v>
      </c>
    </row>
    <row r="112" spans="1:76" x14ac:dyDescent="0.25">
      <c r="A112" s="2">
        <v>39903</v>
      </c>
      <c r="B112">
        <f>IF(ISNUMBER(VLOOKUP($A112,Haver_Q!$B$1:$L$185,MATCH(data!B$1,Haver_Q!$B$1:$L$1,0),FALSE)),100*(VLOOKUP($A112,Haver_Q!$B$1:$L$185,MATCH(data!B$1,Haver_Q!$B$1:$L$1,0),FALSE)),"")</f>
        <v>-4.7639712147744984</v>
      </c>
      <c r="C112">
        <f>IF(ISNUMBER(VLOOKUP($A112,Haver_Q!$B$1:$L$185,MATCH(data!C$1,Haver_Q!$B$1:$L$1,0),FALSE)),100*(VLOOKUP($A112,Haver_Q!$B$1:$L$185,MATCH(data!C$1,Haver_Q!$B$1:$L$1,0),FALSE)),"")</f>
        <v>5.763038092719186</v>
      </c>
      <c r="D112">
        <f>IF(ISNUMBER(VLOOKUP($A112,Haver_Q!$B$1:$L$185,MATCH(data!D$1,Haver_Q!$B$1:$L$1,0),FALSE)),100*(VLOOKUP($A112,Haver_Q!$B$1:$L$185,MATCH(data!D$1,Haver_Q!$B$1:$L$1,0),FALSE)),"")</f>
        <v>-35.952602609940278</v>
      </c>
      <c r="E112">
        <f>IF(ISNUMBER(VLOOKUP($A112,Haver_Q!$B$1:$L$185,MATCH(data!E$1,Haver_Q!$B$1:$L$1,0),FALSE)),100*(VLOOKUP($A112,Haver_Q!$B$1:$L$185,MATCH(data!E$1,Haver_Q!$B$1:$L$1,0),FALSE)),"")</f>
        <v>-22.963366608484559</v>
      </c>
      <c r="F112">
        <f>IF(ISNUMBER(VLOOKUP($A112,Haver_Q!$B$1:$L$185,MATCH(data!F$1,Haver_Q!$B$1:$L$1,0),FALSE)),100*(VLOOKUP($A112,Haver_Q!$B$1:$L$185,MATCH(data!F$1,Haver_Q!$B$1:$L$1,0),FALSE)),"")</f>
        <v>-30.088064364202783</v>
      </c>
      <c r="G112">
        <f>IF(ISNUMBER(VLOOKUP($A112,Haver_Q!$B$1:$L$185,MATCH(data!G$1,Haver_Q!$B$1:$L$1,0),FALSE)),100*(VLOOKUP($A112,Haver_Q!$B$1:$L$185,MATCH(data!G$1,Haver_Q!$B$1:$L$1,0),FALSE)),"")</f>
        <v>-44.388809760853199</v>
      </c>
      <c r="H112">
        <f>IF(ISNUMBER(VLOOKUP($A112,Haver_Q!$B$1:$L$185,MATCH(data!H$1,Haver_Q!$B$1:$L$1,0),FALSE)),(VLOOKUP($A112,Haver_Q!$B$1:$L$185,MATCH(data!H$1,Haver_Q!$B$1:$L$1,0),FALSE)),"")</f>
        <v>-5.6577464845767818</v>
      </c>
      <c r="I112">
        <f>IF(ISNUMBER(VLOOKUP($A112,Haver_Q!$B$1:$L$185,MATCH(data!I$1,Haver_Q!$B$1:$L$1,0),FALSE)),100*(VLOOKUP($A112,Haver_Q!$B$1:$L$185,MATCH(data!I$1,Haver_Q!$B$1:$L$1,0),FALSE)),"")</f>
        <v>0.23603717082043563</v>
      </c>
      <c r="J112" s="3">
        <f>IF(ISNUMBER(Bloomberg_m!C128),Bloomberg_m!C128,"")</f>
        <v>1958</v>
      </c>
      <c r="K112" s="3" t="str">
        <f>IF(ISNUMBER(Bloomberg_m!D128),Bloomberg_m!D128,"")</f>
        <v/>
      </c>
      <c r="L112" s="3" t="str">
        <f>IF(ISNUMBER(Bloomberg_m!E128),Bloomberg_m!E128,"")</f>
        <v/>
      </c>
      <c r="M112" s="3" t="str">
        <f>IF(ISNUMBER(Bloomberg_m!F128),Bloomberg_m!F128,"")</f>
        <v/>
      </c>
      <c r="N112">
        <f>IF(ISNUMBER(VLOOKUP($A112,Haver_M!$B$1:$BZ$300,MATCH(data!N$1,Haver_M!$B$1:$BZ$1,0),FALSE)),VLOOKUP($A112,Haver_M!$B$1:$BZ$300,MATCH(data!N$1,Haver_M!$B$1:$BZ$1,0),FALSE),"")</f>
        <v>5</v>
      </c>
      <c r="O112">
        <f>IF(ISNUMBER(VLOOKUP($A112,Haver_M!$B$1:$BZ$300,MATCH(data!O$1,Haver_M!$B$1:$BZ$1,0),FALSE)),VLOOKUP($A112,Haver_M!$B$1:$BZ$300,MATCH(data!O$1,Haver_M!$B$1:$BZ$1,0),FALSE),"")</f>
        <v>7.0414000000000003</v>
      </c>
      <c r="P112">
        <f>IF(ISNUMBER(VLOOKUP($A112,Haver_M!$B$1:$BZ$300,MATCH(data!P$1,Haver_M!$B$1:$BZ$1,0),FALSE)),VLOOKUP($A112,Haver_M!$B$1:$BZ$300,MATCH(data!P$1,Haver_M!$B$1:$BZ$1,0),FALSE),"")</f>
        <v>88.403819999999996</v>
      </c>
      <c r="Q112">
        <f>IF(ISNUMBER(VLOOKUP($A112,Haver_M!$B$1:$BZ$300,MATCH(data!Q$1,Haver_M!$B$1:$BZ$1,0),FALSE)),VLOOKUP($A112,Haver_M!$B$1:$BZ$300,MATCH(data!Q$1,Haver_M!$B$1:$BZ$1,0),FALSE),"")</f>
        <v>72.8</v>
      </c>
      <c r="R112" t="str">
        <f>IF(ISNUMBER(VLOOKUP($A112,Haver_M!$B$1:$BZ$300,MATCH(data!R$1,Haver_M!$B$1:$BZ$1,0),FALSE)),VLOOKUP($A112,Haver_M!$B$1:$BZ$300,MATCH(data!R$1,Haver_M!$B$1:$BZ$1,0),FALSE),"")</f>
        <v/>
      </c>
      <c r="S112">
        <f>IF(ISNUMBER(VLOOKUP($A112,Haver_M!$B$1:$BZ$300,MATCH(data!S$1,Haver_M!$B$1:$BZ$1,0),FALSE)),VLOOKUP($A112,Haver_M!$B$1:$BZ$300,MATCH(data!S$1,Haver_M!$B$1:$BZ$1,0),FALSE),"")</f>
        <v>84.7</v>
      </c>
      <c r="T112">
        <f>IF(ISNUMBER(VLOOKUP($A112,Haver_M!$B$1:$BZ$300,MATCH(data!T$1,Haver_M!$B$1:$BZ$1,0),FALSE)),VLOOKUP($A112,Haver_M!$B$1:$BZ$300,MATCH(data!T$1,Haver_M!$B$1:$BZ$1,0),FALSE),"")</f>
        <v>85.81</v>
      </c>
      <c r="U112">
        <f>IF(ISNUMBER(VLOOKUP($A112,Haver_M!$B$1:$BZ$300,MATCH(data!U$1,Haver_M!$B$1:$BZ$1,0),FALSE)),VLOOKUP($A112,Haver_M!$B$1:$BZ$300,MATCH(data!U$1,Haver_M!$B$1:$BZ$1,0),FALSE),"")</f>
        <v>82.9</v>
      </c>
      <c r="V112">
        <f>IF(ISNUMBER(VLOOKUP($A112,Haver_M!$B$1:$BZ$300,MATCH(data!V$1,Haver_M!$B$1:$BZ$1,0),FALSE)),VLOOKUP($A112,Haver_M!$B$1:$BZ$300,MATCH(data!V$1,Haver_M!$B$1:$BZ$1,0),FALSE),"")</f>
        <v>93.29</v>
      </c>
      <c r="W112" t="str">
        <f>IF(ISNUMBER(VLOOKUP($A112,Haver_M!$B$1:$BZ$300,MATCH(data!W$1,Haver_M!$B$1:$BZ$1,0),FALSE)),VLOOKUP($A112,Haver_M!$B$1:$BZ$300,MATCH(data!W$1,Haver_M!$B$1:$BZ$1,0),FALSE),"")</f>
        <v/>
      </c>
      <c r="X112">
        <f>IF(ISNUMBER(VLOOKUP($A112,Haver_M!$B$1:$BZ$300,MATCH(data!X$1,Haver_M!$B$1:$BZ$1,0),FALSE)),VLOOKUP($A112,Haver_M!$B$1:$BZ$300,MATCH(data!X$1,Haver_M!$B$1:$BZ$1,0),FALSE),"")</f>
        <v>79.75</v>
      </c>
      <c r="Y112">
        <f>IF(ISNUMBER(VLOOKUP($A112,Haver_M!$B$1:$BZ$300,MATCH(data!Y$1,Haver_M!$B$1:$BZ$1,0),FALSE)),VLOOKUP($A112,Haver_M!$B$1:$BZ$300,MATCH(data!Y$1,Haver_M!$B$1:$BZ$1,0),FALSE),"")</f>
        <v>78.400000000000006</v>
      </c>
      <c r="Z112">
        <f>IF(ISNUMBER(VLOOKUP($A112,Haver_M!$B$1:$BZ$300,MATCH(data!Z$1,Haver_M!$B$1:$BZ$1,0),FALSE)),VLOOKUP($A112,Haver_M!$B$1:$BZ$300,MATCH(data!Z$1,Haver_M!$B$1:$BZ$1,0),FALSE),"")</f>
        <v>86.1</v>
      </c>
      <c r="AA112">
        <f>IF(ISNUMBER(VLOOKUP($A112,Haver_M!$B$1:$BZ$300,MATCH(data!AA$1,Haver_M!$B$1:$BZ$1,0),FALSE)),VLOOKUP($A112,Haver_M!$B$1:$BZ$300,MATCH(data!AA$1,Haver_M!$B$1:$BZ$1,0),FALSE),"")</f>
        <v>93.525999999999996</v>
      </c>
      <c r="AB112">
        <f>IF(ISNUMBER(VLOOKUP($A112,Haver_M!$B$1:$BZ$300,MATCH(data!AB$1,Haver_M!$B$1:$BZ$1,0),FALSE)),VLOOKUP($A112,Haver_M!$B$1:$BZ$300,MATCH(data!AB$1,Haver_M!$B$1:$BZ$1,0),FALSE),"")</f>
        <v>87.613</v>
      </c>
      <c r="AC112">
        <f>IF(ISNUMBER(VLOOKUP($A112,Haver_M!$B$1:$BZ$300,MATCH(data!AC$1,Haver_M!$B$1:$BZ$1,0),FALSE)),VLOOKUP($A112,Haver_M!$B$1:$BZ$300,MATCH(data!AC$1,Haver_M!$B$1:$BZ$1,0),FALSE),"")</f>
        <v>69.909000000000006</v>
      </c>
      <c r="AD112">
        <f>IF(ISNUMBER(VLOOKUP($A112,Haver_M!$B$1:$BZ$300,MATCH(data!AD$1,Haver_M!$B$1:$BZ$1,0),FALSE)),VLOOKUP($A112,Haver_M!$B$1:$BZ$300,MATCH(data!AD$1,Haver_M!$B$1:$BZ$1,0),FALSE),"")</f>
        <v>95.277000000000001</v>
      </c>
      <c r="AE112">
        <f>IF(ISNUMBER(VLOOKUP($A112,Haver_M!$B$1:$BZ$300,MATCH(data!AE$1,Haver_M!$B$1:$BZ$1,0),FALSE)),VLOOKUP($A112,Haver_M!$B$1:$BZ$300,MATCH(data!AE$1,Haver_M!$B$1:$BZ$1,0),FALSE),"")</f>
        <v>91</v>
      </c>
      <c r="AF112">
        <f>IF(ISNUMBER(VLOOKUP($A112,Haver_M!$B$1:$BZ$300,MATCH(data!AF$1,Haver_M!$B$1:$BZ$1,0),FALSE)),VLOOKUP($A112,Haver_M!$B$1:$BZ$300,MATCH(data!AF$1,Haver_M!$B$1:$BZ$1,0),FALSE),"")</f>
        <v>76.287000000000006</v>
      </c>
      <c r="AG112">
        <f>IF(ISNUMBER(VLOOKUP($A112,Haver_M!$B$1:$BZ$300,MATCH(data!AG$1,Haver_M!$B$1:$BZ$1,0),FALSE)),VLOOKUP($A112,Haver_M!$B$1:$BZ$300,MATCH(data!AG$1,Haver_M!$B$1:$BZ$1,0),FALSE),"")</f>
        <v>84.49</v>
      </c>
      <c r="AH112">
        <f>IF(ISNUMBER(VLOOKUP($A112,Haver_M!$B$1:$BZ$300,MATCH(data!AH$1,Haver_M!$B$1:$BZ$1,0),FALSE)),VLOOKUP($A112,Haver_M!$B$1:$BZ$300,MATCH(data!AH$1,Haver_M!$B$1:$BZ$1,0),FALSE),"")</f>
        <v>84.915000000000006</v>
      </c>
      <c r="AI112">
        <f>IF(ISNUMBER(VLOOKUP($A112,Haver_M!$B$1:$BZ$300,MATCH(data!AI$1,Haver_M!$B$1:$BZ$1,0),FALSE)),VLOOKUP($A112,Haver_M!$B$1:$BZ$300,MATCH(data!AI$1,Haver_M!$B$1:$BZ$1,0),FALSE),"")</f>
        <v>11626.951367801719</v>
      </c>
      <c r="AJ112">
        <f>IF(ISNUMBER(VLOOKUP($A112,Haver_M!$B$1:$BZ$300,MATCH(data!AJ$1,Haver_M!$B$1:$BZ$1,0),FALSE)),VLOOKUP($A112,Haver_M!$B$1:$BZ$300,MATCH(data!AJ$1,Haver_M!$B$1:$BZ$1,0),FALSE),"")</f>
        <v>10971.19</v>
      </c>
      <c r="AK112">
        <f>IF(ISNUMBER(VLOOKUP($A112,Haver_M!$B$1:$BZ$300,MATCH(data!AK$1,Haver_M!$B$1:$BZ$1,0),FALSE)),VLOOKUP($A112,Haver_M!$B$1:$BZ$300,MATCH(data!AK$1,Haver_M!$B$1:$BZ$1,0),FALSE),"")</f>
        <v>17268.25</v>
      </c>
      <c r="AL112" t="str">
        <f>IF(ISNUMBER(VLOOKUP($A112,Haver_M!$B$1:$BZ$300,MATCH(data!AL$1,Haver_M!$B$1:$BZ$1,0),FALSE)),VLOOKUP($A112,Haver_M!$B$1:$BZ$300,MATCH(data!AL$1,Haver_M!$B$1:$BZ$1,0),FALSE),"")</f>
        <v/>
      </c>
      <c r="AM112" t="str">
        <f>IF(ISNUMBER(VLOOKUP($A112,Haver_M!$B$1:$BZ$300,MATCH(data!AM$1,Haver_M!$B$1:$BZ$1,0),FALSE)),VLOOKUP($A112,Haver_M!$B$1:$BZ$300,MATCH(data!AM$1,Haver_M!$B$1:$BZ$1,0),FALSE),"")</f>
        <v/>
      </c>
      <c r="AN112" t="str">
        <f>IF(ISNUMBER(VLOOKUP($A112,Haver_M!$B$1:$BZ$300,MATCH(data!AN$1,Haver_M!$B$1:$BZ$1,0),FALSE)),VLOOKUP($A112,Haver_M!$B$1:$BZ$300,MATCH(data!AN$1,Haver_M!$B$1:$BZ$1,0),FALSE),"")</f>
        <v/>
      </c>
      <c r="AO112" t="str">
        <f>IF(ISNUMBER(VLOOKUP($A112,Haver_M!$B$1:$BZ$300,MATCH(data!AO$1,Haver_M!$B$1:$BZ$1,0),FALSE)),VLOOKUP($A112,Haver_M!$B$1:$BZ$300,MATCH(data!AO$1,Haver_M!$B$1:$BZ$1,0),FALSE),"")</f>
        <v/>
      </c>
      <c r="AP112">
        <f>IF(ISNUMBER(VLOOKUP($A112,Haver_M!$B$1:$BZ$300,MATCH(data!AP$1,Haver_M!$B$1:$BZ$1,0),FALSE)),VLOOKUP($A112,Haver_M!$B$1:$BZ$300,MATCH(data!AP$1,Haver_M!$B$1:$BZ$1,0),FALSE),"")</f>
        <v>147.69911851719098</v>
      </c>
      <c r="AQ112">
        <f>IF(ISNUMBER(VLOOKUP($A112,Haver_M!$B$1:$BZ$300,MATCH(data!AQ$1,Haver_M!$B$1:$BZ$1,0),FALSE)),VLOOKUP($A112,Haver_M!$B$1:$BZ$300,MATCH(data!AQ$1,Haver_M!$B$1:$BZ$1,0),FALSE),"")</f>
        <v>45.420200000000001</v>
      </c>
      <c r="AR112">
        <f>IF(ISNUMBER(VLOOKUP($A112,Haver_M!$B$1:$BZ$300,MATCH(data!AR$1,Haver_M!$B$1:$BZ$1,0),FALSE)),VLOOKUP($A112,Haver_M!$B$1:$BZ$300,MATCH(data!AR$1,Haver_M!$B$1:$BZ$1,0),FALSE),"")</f>
        <v>49.462699999999998</v>
      </c>
      <c r="AS112">
        <f>IF(ISNUMBER(VLOOKUP($A112,Haver_M!$B$1:$BZ$300,MATCH(data!AS$1,Haver_M!$B$1:$BZ$1,0),FALSE)),VLOOKUP($A112,Haver_M!$B$1:$BZ$300,MATCH(data!AS$1,Haver_M!$B$1:$BZ$1,0),FALSE),"")</f>
        <v>43.689900000000002</v>
      </c>
      <c r="AT112">
        <f>IF(ISNUMBER(VLOOKUP($A112,Haver_M!$B$1:$BZ$300,MATCH(data!AT$1,Haver_M!$B$1:$BZ$1,0),FALSE)),VLOOKUP($A112,Haver_M!$B$1:$BZ$300,MATCH(data!AT$1,Haver_M!$B$1:$BZ$1,0),FALSE),"")</f>
        <v>49.309800000000003</v>
      </c>
      <c r="AU112">
        <f>IF(ISNUMBER(VLOOKUP($A112,Haver_M!$B$1:$BZ$300,MATCH(data!AU$1,Haver_M!$B$1:$BZ$1,0),FALSE)),VLOOKUP($A112,Haver_M!$B$1:$BZ$300,MATCH(data!AU$1,Haver_M!$B$1:$BZ$1,0),FALSE),"")</f>
        <v>49.5167</v>
      </c>
      <c r="AV112">
        <f>IF(ISNUMBER(VLOOKUP($A112,Haver_M!$B$1:$BZ$300,MATCH(data!AV$1,Haver_M!$B$1:$BZ$1,0),FALSE)),VLOOKUP($A112,Haver_M!$B$1:$BZ$300,MATCH(data!AV$1,Haver_M!$B$1:$BZ$1,0),FALSE),"")</f>
        <v>49.391800000000003</v>
      </c>
      <c r="AW112">
        <f>IF(ISNUMBER(VLOOKUP($A112,Haver_M!$B$1:$BZ$300,MATCH(data!AW$1,Haver_M!$B$1:$BZ$1,0),FALSE)),VLOOKUP($A112,Haver_M!$B$1:$BZ$300,MATCH(data!AW$1,Haver_M!$B$1:$BZ$1,0),FALSE),"")</f>
        <v>50.801699999999997</v>
      </c>
      <c r="AX112">
        <f>IF(ISNUMBER(VLOOKUP($A112,Haver_M!$B$1:$BZ$300,MATCH(data!AX$1,Haver_M!$B$1:$BZ$1,0),FALSE)),VLOOKUP($A112,Haver_M!$B$1:$BZ$300,MATCH(data!AX$1,Haver_M!$B$1:$BZ$1,0),FALSE),"")</f>
        <v>50.221899999999998</v>
      </c>
      <c r="AY112">
        <f>IF(ISNUMBER(VLOOKUP($A112,Haver_M!$B$1:$BZ$300,MATCH(data!AY$1,Haver_M!$B$1:$BZ$1,0),FALSE)),VLOOKUP($A112,Haver_M!$B$1:$BZ$300,MATCH(data!AY$1,Haver_M!$B$1:$BZ$1,0),FALSE),"")</f>
        <v>48.249899999999997</v>
      </c>
      <c r="AZ112">
        <f>IF(ISNUMBER(VLOOKUP($A112,Haver_M!$B$1:$BZ$300,MATCH(data!AZ$1,Haver_M!$B$1:$BZ$1,0),FALSE)),VLOOKUP($A112,Haver_M!$B$1:$BZ$300,MATCH(data!AZ$1,Haver_M!$B$1:$BZ$1,0),FALSE),"")</f>
        <v>49.838700000000003</v>
      </c>
      <c r="BA112">
        <f>IF(ISNUMBER(VLOOKUP($A112,Haver_M!$B$1:$BZ$300,MATCH(data!BA$1,Haver_M!$B$1:$BZ$1,0),FALSE)),VLOOKUP($A112,Haver_M!$B$1:$BZ$300,MATCH(data!BA$1,Haver_M!$B$1:$BZ$1,0),FALSE),"")</f>
        <v>50.221899999999998</v>
      </c>
      <c r="BB112">
        <f>IF(ISNUMBER(VLOOKUP($A112,Haver_M!$B$1:$BZ$300,MATCH(data!BB$1,Haver_M!$B$1:$BZ$1,0),FALSE)),VLOOKUP($A112,Haver_M!$B$1:$BZ$300,MATCH(data!BB$1,Haver_M!$B$1:$BZ$1,0),FALSE),"")</f>
        <v>43.640300000000003</v>
      </c>
      <c r="BC112">
        <f>IF(ISNUMBER(VLOOKUP($A112,Haver_M!$B$1:$BZ$300,MATCH(data!BC$1,Haver_M!$B$1:$BZ$1,0),FALSE)),VLOOKUP($A112,Haver_M!$B$1:$BZ$300,MATCH(data!BC$1,Haver_M!$B$1:$BZ$1,0),FALSE),"")</f>
        <v>47.561500000000002</v>
      </c>
      <c r="BD112">
        <f>IF(ISNUMBER(VLOOKUP($A112,Haver_M!$B$1:$BZ$300,MATCH(data!BD$1,Haver_M!$B$1:$BZ$1,0),FALSE)),VLOOKUP($A112,Haver_M!$B$1:$BZ$300,MATCH(data!BD$1,Haver_M!$B$1:$BZ$1,0),FALSE),"")</f>
        <v>49.557899999999997</v>
      </c>
      <c r="BE112">
        <f>IF(ISNUMBER(VLOOKUP($A112,Haver_M!$B$1:$BZ$300,MATCH(data!BE$1,Haver_M!$B$1:$BZ$1,0),FALSE)),VLOOKUP($A112,Haver_M!$B$1:$BZ$300,MATCH(data!BE$1,Haver_M!$B$1:$BZ$1,0),FALSE),"")</f>
        <v>1.0185999999999999</v>
      </c>
      <c r="BF112">
        <f>IF(ISNUMBER(VLOOKUP($A112,Haver_M!$B$1:$BZ$300,MATCH(data!BF$1,Haver_M!$B$1:$BZ$1,0),FALSE)),VLOOKUP($A112,Haver_M!$B$1:$BZ$300,MATCH(data!BF$1,Haver_M!$B$1:$BZ$1,0),FALSE),"")</f>
        <v>49.7104</v>
      </c>
      <c r="BG112">
        <f>IF(ISNUMBER(VLOOKUP($A112,Haver_M!$B$1:$BZ$300,MATCH(data!BG$1,Haver_M!$B$1:$BZ$1,0),FALSE)),VLOOKUP($A112,Haver_M!$B$1:$BZ$300,MATCH(data!BG$1,Haver_M!$B$1:$BZ$1,0),FALSE),"")</f>
        <v>48.220300000000002</v>
      </c>
      <c r="BH112">
        <f>IF(ISNUMBER(VLOOKUP($A112,Haver_M!$B$1:$BZ$300,MATCH(data!BH$1,Haver_M!$B$1:$BZ$1,0),FALSE)),VLOOKUP($A112,Haver_M!$B$1:$BZ$300,MATCH(data!BH$1,Haver_M!$B$1:$BZ$1,0),FALSE),"")</f>
        <v>45.092599999999997</v>
      </c>
      <c r="BI112">
        <f>IF(ISNUMBER(VLOOKUP($A112,Haver_M!$B$1:$BZ$300,MATCH(data!BI$1,Haver_M!$B$1:$BZ$1,0),FALSE)),VLOOKUP($A112,Haver_M!$B$1:$BZ$300,MATCH(data!BI$1,Haver_M!$B$1:$BZ$1,0),FALSE),"")</f>
        <v>49.018799999999999</v>
      </c>
      <c r="BJ112" t="str">
        <f>IF(ISNUMBER(VLOOKUP($A112,Haver_M!$B$1:$BZ$300,MATCH(data!BJ$1,Haver_M!$B$1:$BZ$1,0),FALSE)),VLOOKUP($A112,Haver_M!$B$1:$BZ$300,MATCH(data!BJ$1,Haver_M!$B$1:$BZ$1,0),FALSE),"")</f>
        <v/>
      </c>
      <c r="BK112">
        <f>IF(ISNUMBER(VLOOKUP($A112,Haver_M!$B$1:$BZ$300,MATCH(data!BK$1,Haver_M!$B$1:$BZ$1,0),FALSE)),VLOOKUP($A112,Haver_M!$B$1:$BZ$300,MATCH(data!BK$1,Haver_M!$B$1:$BZ$1,0),FALSE),"")</f>
        <v>44.758899999999997</v>
      </c>
      <c r="BL112">
        <f>IF(ISNUMBER(VLOOKUP($A112,Haver_M!$B$1:$BZ$300,MATCH(data!BL$1,Haver_M!$B$1:$BZ$1,0),FALSE)),VLOOKUP($A112,Haver_M!$B$1:$BZ$300,MATCH(data!BL$1,Haver_M!$B$1:$BZ$1,0),FALSE),"")</f>
        <v>8995.4500000000007</v>
      </c>
      <c r="BM112">
        <f>IF(ISNUMBER(VLOOKUP($A112,Haver_M!$B$1:$BZ$300,MATCH(data!BM$1,Haver_M!$B$1:$BZ$1,0),FALSE)),VLOOKUP($A112,Haver_M!$B$1:$BZ$300,MATCH(data!BM$1,Haver_M!$B$1:$BZ$1,0),FALSE),"")</f>
        <v>80.362220219999998</v>
      </c>
      <c r="BN112">
        <f>IF(ISNUMBER(VLOOKUP($A112,Haver_M!$B$1:$BZ$300,MATCH(data!BN$1,Haver_M!$B$1:$BZ$1,0),FALSE)),VLOOKUP($A112,Haver_M!$B$1:$BZ$300,MATCH(data!BN$1,Haver_M!$B$1:$BZ$1,0),FALSE),"")</f>
        <v>82.6</v>
      </c>
      <c r="BO112">
        <f>IF(ISNUMBER(VLOOKUP($A112,Haver_M!$B$1:$BZ$300,MATCH(data!BO$1,Haver_M!$B$1:$BZ$1,0),FALSE)),VLOOKUP($A112,Haver_M!$B$1:$BZ$300,MATCH(data!BO$1,Haver_M!$B$1:$BZ$1,0),FALSE),"")</f>
        <v>111.9</v>
      </c>
      <c r="BP112">
        <f>IF(ISNUMBER(VLOOKUP($A112,Haver_M!$B$1:$BZ$300,MATCH(data!BP$1,Haver_M!$B$1:$BZ$1,0),FALSE)),VLOOKUP($A112,Haver_M!$B$1:$BZ$300,MATCH(data!BP$1,Haver_M!$B$1:$BZ$1,0),FALSE),"")</f>
        <v>21.1</v>
      </c>
      <c r="BQ112">
        <f>IF(ISNUMBER(VLOOKUP($A112,Haver_M!$B$1:$BZ$300,MATCH(data!BQ$1,Haver_M!$B$1:$BZ$1,0),FALSE)),VLOOKUP($A112,Haver_M!$B$1:$BZ$300,MATCH(data!BQ$1,Haver_M!$B$1:$BZ$1,0),FALSE),"")</f>
        <v>109.79141779682851</v>
      </c>
      <c r="BR112">
        <f>IF(ISNUMBER(VLOOKUP($A112,Haver_M!$B$1:$BZ$300,MATCH(data!BR$1,Haver_M!$B$1:$BZ$1,0),FALSE)),VLOOKUP($A112,Haver_M!$B$1:$BZ$300,MATCH(data!BR$1,Haver_M!$B$1:$BZ$1,0),FALSE),"")</f>
        <v>205.80852442633062</v>
      </c>
      <c r="BS112">
        <f>IF(ISNUMBER(VLOOKUP($A112,Haver_M!$B$1:$BZ$300,MATCH(data!BS$1,Haver_M!$B$1:$BZ$1,0),FALSE)),VLOOKUP($A112,Haver_M!$B$1:$BZ$300,MATCH(data!BS$1,Haver_M!$B$1:$BZ$1,0),FALSE),"")</f>
        <v>126.15241374464198</v>
      </c>
      <c r="BT112">
        <f>IF(ISNUMBER(VLOOKUP($A112,Haver_M!$B$1:$BZ$300,MATCH(data!BT$1,Haver_M!$B$1:$BZ$1,0),FALSE)),VLOOKUP($A112,Haver_M!$B$1:$BZ$300,MATCH(data!BT$1,Haver_M!$B$1:$BZ$1,0),FALSE),"")</f>
        <v>507.85550324409155</v>
      </c>
      <c r="BU112">
        <f>IF(ISNUMBER(VLOOKUP($A112,Haver_M!$B$1:$BZ$300,MATCH(data!BU$1,Haver_M!$B$1:$BZ$1,0),FALSE)),VLOOKUP($A112,Haver_M!$B$1:$BZ$300,MATCH(data!BU$1,Haver_M!$B$1:$BZ$1,0),FALSE),"")</f>
        <v>12916.3</v>
      </c>
      <c r="BV112">
        <f>IF(ISNUMBER(VLOOKUP($A112,Haver_M!$B$1:$BZ$300,MATCH(data!BV$1,Haver_M!$B$1:$BZ$1,0),FALSE)),VLOOKUP($A112,Haver_M!$B$1:$BZ$300,MATCH(data!BV$1,Haver_M!$B$1:$BZ$1,0),FALSE),"")</f>
        <v>16596.599999999999</v>
      </c>
      <c r="BW112">
        <f>IF(ISNUMBER(VLOOKUP($A112,Haver_M!$B$1:$BZ$300,MATCH(data!BW$1,Haver_M!$B$1:$BZ$1,0),FALSE)),VLOOKUP($A112,Haver_M!$B$1:$BZ$300,MATCH(data!BW$1,Haver_M!$B$1:$BZ$1,0),FALSE),"")</f>
        <v>51.2316</v>
      </c>
      <c r="BX112">
        <f>IF(ISNUMBER(VLOOKUP($A112,Haver_M!$B$1:$BZ$300,MATCH(data!BX$1,Haver_M!$B$1:$BZ$1,0),FALSE)),VLOOKUP($A112,Haver_M!$B$1:$BZ$300,MATCH(data!BX$1,Haver_M!$B$1:$BZ$1,0),FALSE),"")</f>
        <v>35582</v>
      </c>
    </row>
    <row r="113" spans="1:76" x14ac:dyDescent="0.25">
      <c r="A113" s="2">
        <v>39933</v>
      </c>
      <c r="B113" t="str">
        <f>IF(ISNUMBER(VLOOKUP($A113,Haver_Q!$B$1:$L$185,MATCH(data!B$1,Haver_Q!$B$1:$L$1,0),FALSE)),100*(VLOOKUP($A113,Haver_Q!$B$1:$L$185,MATCH(data!B$1,Haver_Q!$B$1:$L$1,0),FALSE)),"")</f>
        <v/>
      </c>
      <c r="C113" t="str">
        <f>IF(ISNUMBER(VLOOKUP($A113,Haver_Q!$B$1:$L$185,MATCH(data!C$1,Haver_Q!$B$1:$L$1,0),FALSE)),100*(VLOOKUP($A113,Haver_Q!$B$1:$L$185,MATCH(data!C$1,Haver_Q!$B$1:$L$1,0),FALSE)),"")</f>
        <v/>
      </c>
      <c r="D113" t="str">
        <f>IF(ISNUMBER(VLOOKUP($A113,Haver_Q!$B$1:$L$185,MATCH(data!D$1,Haver_Q!$B$1:$L$1,0),FALSE)),100*(VLOOKUP($A113,Haver_Q!$B$1:$L$185,MATCH(data!D$1,Haver_Q!$B$1:$L$1,0),FALSE)),"")</f>
        <v/>
      </c>
      <c r="E113" t="str">
        <f>IF(ISNUMBER(VLOOKUP($A113,Haver_Q!$B$1:$L$185,MATCH(data!E$1,Haver_Q!$B$1:$L$1,0),FALSE)),100*(VLOOKUP($A113,Haver_Q!$B$1:$L$185,MATCH(data!E$1,Haver_Q!$B$1:$L$1,0),FALSE)),"")</f>
        <v/>
      </c>
      <c r="F113" t="str">
        <f>IF(ISNUMBER(VLOOKUP($A113,Haver_Q!$B$1:$L$185,MATCH(data!F$1,Haver_Q!$B$1:$L$1,0),FALSE)),100*(VLOOKUP($A113,Haver_Q!$B$1:$L$185,MATCH(data!F$1,Haver_Q!$B$1:$L$1,0),FALSE)),"")</f>
        <v/>
      </c>
      <c r="G113" t="str">
        <f>IF(ISNUMBER(VLOOKUP($A113,Haver_Q!$B$1:$L$185,MATCH(data!G$1,Haver_Q!$B$1:$L$1,0),FALSE)),100*(VLOOKUP($A113,Haver_Q!$B$1:$L$185,MATCH(data!G$1,Haver_Q!$B$1:$L$1,0),FALSE)),"")</f>
        <v/>
      </c>
      <c r="H113" t="str">
        <f>IF(ISNUMBER(VLOOKUP($A113,Haver_Q!$B$1:$L$185,MATCH(data!H$1,Haver_Q!$B$1:$L$1,0),FALSE)),(VLOOKUP($A113,Haver_Q!$B$1:$L$185,MATCH(data!H$1,Haver_Q!$B$1:$L$1,0),FALSE)),"")</f>
        <v/>
      </c>
      <c r="I113" t="str">
        <f>IF(ISNUMBER(VLOOKUP($A113,Haver_Q!$B$1:$L$185,MATCH(data!I$1,Haver_Q!$B$1:$L$1,0),FALSE)),100*(VLOOKUP($A113,Haver_Q!$B$1:$L$185,MATCH(data!I$1,Haver_Q!$B$1:$L$1,0),FALSE)),"")</f>
        <v/>
      </c>
      <c r="J113" s="3">
        <f>IF(ISNUMBER(Bloomberg_m!C129),Bloomberg_m!C129,"")</f>
        <v>1659</v>
      </c>
      <c r="K113" s="3" t="str">
        <f>IF(ISNUMBER(Bloomberg_m!D129),Bloomberg_m!D129,"")</f>
        <v/>
      </c>
      <c r="L113" s="3" t="str">
        <f>IF(ISNUMBER(Bloomberg_m!E129),Bloomberg_m!E129,"")</f>
        <v/>
      </c>
      <c r="M113" s="3" t="str">
        <f>IF(ISNUMBER(Bloomberg_m!F129),Bloomberg_m!F129,"")</f>
        <v/>
      </c>
      <c r="N113">
        <f>IF(ISNUMBER(VLOOKUP($A113,Haver_M!$B$1:$BZ$300,MATCH(data!N$1,Haver_M!$B$1:$BZ$1,0),FALSE)),VLOOKUP($A113,Haver_M!$B$1:$BZ$300,MATCH(data!N$1,Haver_M!$B$1:$BZ$1,0),FALSE),"")</f>
        <v>4.75</v>
      </c>
      <c r="O113">
        <f>IF(ISNUMBER(VLOOKUP($A113,Haver_M!$B$1:$BZ$300,MATCH(data!O$1,Haver_M!$B$1:$BZ$1,0),FALSE)),VLOOKUP($A113,Haver_M!$B$1:$BZ$300,MATCH(data!O$1,Haver_M!$B$1:$BZ$1,0),FALSE),"")</f>
        <v>6.2923</v>
      </c>
      <c r="P113">
        <f>IF(ISNUMBER(VLOOKUP($A113,Haver_M!$B$1:$BZ$300,MATCH(data!P$1,Haver_M!$B$1:$BZ$1,0),FALSE)),VLOOKUP($A113,Haver_M!$B$1:$BZ$300,MATCH(data!P$1,Haver_M!$B$1:$BZ$1,0),FALSE),"")</f>
        <v>89.904859999999999</v>
      </c>
      <c r="Q113">
        <f>IF(ISNUMBER(VLOOKUP($A113,Haver_M!$B$1:$BZ$300,MATCH(data!Q$1,Haver_M!$B$1:$BZ$1,0),FALSE)),VLOOKUP($A113,Haver_M!$B$1:$BZ$300,MATCH(data!Q$1,Haver_M!$B$1:$BZ$1,0),FALSE),"")</f>
        <v>73.5</v>
      </c>
      <c r="R113" t="str">
        <f>IF(ISNUMBER(VLOOKUP($A113,Haver_M!$B$1:$BZ$300,MATCH(data!R$1,Haver_M!$B$1:$BZ$1,0),FALSE)),VLOOKUP($A113,Haver_M!$B$1:$BZ$300,MATCH(data!R$1,Haver_M!$B$1:$BZ$1,0),FALSE),"")</f>
        <v/>
      </c>
      <c r="S113">
        <f>IF(ISNUMBER(VLOOKUP($A113,Haver_M!$B$1:$BZ$300,MATCH(data!S$1,Haver_M!$B$1:$BZ$1,0),FALSE)),VLOOKUP($A113,Haver_M!$B$1:$BZ$300,MATCH(data!S$1,Haver_M!$B$1:$BZ$1,0),FALSE),"")</f>
        <v>87.14</v>
      </c>
      <c r="T113">
        <f>IF(ISNUMBER(VLOOKUP($A113,Haver_M!$B$1:$BZ$300,MATCH(data!T$1,Haver_M!$B$1:$BZ$1,0),FALSE)),VLOOKUP($A113,Haver_M!$B$1:$BZ$300,MATCH(data!T$1,Haver_M!$B$1:$BZ$1,0),FALSE),"")</f>
        <v>85.77</v>
      </c>
      <c r="U113">
        <f>IF(ISNUMBER(VLOOKUP($A113,Haver_M!$B$1:$BZ$300,MATCH(data!U$1,Haver_M!$B$1:$BZ$1,0),FALSE)),VLOOKUP($A113,Haver_M!$B$1:$BZ$300,MATCH(data!U$1,Haver_M!$B$1:$BZ$1,0),FALSE),"")</f>
        <v>89.69</v>
      </c>
      <c r="V113">
        <f>IF(ISNUMBER(VLOOKUP($A113,Haver_M!$B$1:$BZ$300,MATCH(data!V$1,Haver_M!$B$1:$BZ$1,0),FALSE)),VLOOKUP($A113,Haver_M!$B$1:$BZ$300,MATCH(data!V$1,Haver_M!$B$1:$BZ$1,0),FALSE),"")</f>
        <v>93.38</v>
      </c>
      <c r="W113" t="str">
        <f>IF(ISNUMBER(VLOOKUP($A113,Haver_M!$B$1:$BZ$300,MATCH(data!W$1,Haver_M!$B$1:$BZ$1,0),FALSE)),VLOOKUP($A113,Haver_M!$B$1:$BZ$300,MATCH(data!W$1,Haver_M!$B$1:$BZ$1,0),FALSE),"")</f>
        <v/>
      </c>
      <c r="X113">
        <f>IF(ISNUMBER(VLOOKUP($A113,Haver_M!$B$1:$BZ$300,MATCH(data!X$1,Haver_M!$B$1:$BZ$1,0),FALSE)),VLOOKUP($A113,Haver_M!$B$1:$BZ$300,MATCH(data!X$1,Haver_M!$B$1:$BZ$1,0),FALSE),"")</f>
        <v>76.97</v>
      </c>
      <c r="Y113">
        <f>IF(ISNUMBER(VLOOKUP($A113,Haver_M!$B$1:$BZ$300,MATCH(data!Y$1,Haver_M!$B$1:$BZ$1,0),FALSE)),VLOOKUP($A113,Haver_M!$B$1:$BZ$300,MATCH(data!Y$1,Haver_M!$B$1:$BZ$1,0),FALSE),"")</f>
        <v>86.01</v>
      </c>
      <c r="Z113">
        <f>IF(ISNUMBER(VLOOKUP($A113,Haver_M!$B$1:$BZ$300,MATCH(data!Z$1,Haver_M!$B$1:$BZ$1,0),FALSE)),VLOOKUP($A113,Haver_M!$B$1:$BZ$300,MATCH(data!Z$1,Haver_M!$B$1:$BZ$1,0),FALSE),"")</f>
        <v>86.2</v>
      </c>
      <c r="AA113">
        <f>IF(ISNUMBER(VLOOKUP($A113,Haver_M!$B$1:$BZ$300,MATCH(data!AA$1,Haver_M!$B$1:$BZ$1,0),FALSE)),VLOOKUP($A113,Haver_M!$B$1:$BZ$300,MATCH(data!AA$1,Haver_M!$B$1:$BZ$1,0),FALSE),"")</f>
        <v>99.986000000000004</v>
      </c>
      <c r="AB113">
        <f>IF(ISNUMBER(VLOOKUP($A113,Haver_M!$B$1:$BZ$300,MATCH(data!AB$1,Haver_M!$B$1:$BZ$1,0),FALSE)),VLOOKUP($A113,Haver_M!$B$1:$BZ$300,MATCH(data!AB$1,Haver_M!$B$1:$BZ$1,0),FALSE),"")</f>
        <v>87.216999999999999</v>
      </c>
      <c r="AC113">
        <f>IF(ISNUMBER(VLOOKUP($A113,Haver_M!$B$1:$BZ$300,MATCH(data!AC$1,Haver_M!$B$1:$BZ$1,0),FALSE)),VLOOKUP($A113,Haver_M!$B$1:$BZ$300,MATCH(data!AC$1,Haver_M!$B$1:$BZ$1,0),FALSE),"")</f>
        <v>76.036000000000001</v>
      </c>
      <c r="AD113">
        <f>IF(ISNUMBER(VLOOKUP($A113,Haver_M!$B$1:$BZ$300,MATCH(data!AD$1,Haver_M!$B$1:$BZ$1,0),FALSE)),VLOOKUP($A113,Haver_M!$B$1:$BZ$300,MATCH(data!AD$1,Haver_M!$B$1:$BZ$1,0),FALSE),"")</f>
        <v>92.399000000000001</v>
      </c>
      <c r="AE113">
        <f>IF(ISNUMBER(VLOOKUP($A113,Haver_M!$B$1:$BZ$300,MATCH(data!AE$1,Haver_M!$B$1:$BZ$1,0),FALSE)),VLOOKUP($A113,Haver_M!$B$1:$BZ$300,MATCH(data!AE$1,Haver_M!$B$1:$BZ$1,0),FALSE),"")</f>
        <v>95.754000000000005</v>
      </c>
      <c r="AF113">
        <f>IF(ISNUMBER(VLOOKUP($A113,Haver_M!$B$1:$BZ$300,MATCH(data!AF$1,Haver_M!$B$1:$BZ$1,0),FALSE)),VLOOKUP($A113,Haver_M!$B$1:$BZ$300,MATCH(data!AF$1,Haver_M!$B$1:$BZ$1,0),FALSE),"")</f>
        <v>73.715000000000003</v>
      </c>
      <c r="AG113">
        <f>IF(ISNUMBER(VLOOKUP($A113,Haver_M!$B$1:$BZ$300,MATCH(data!AG$1,Haver_M!$B$1:$BZ$1,0),FALSE)),VLOOKUP($A113,Haver_M!$B$1:$BZ$300,MATCH(data!AG$1,Haver_M!$B$1:$BZ$1,0),FALSE),"")</f>
        <v>85.957999999999998</v>
      </c>
      <c r="AH113">
        <f>IF(ISNUMBER(VLOOKUP($A113,Haver_M!$B$1:$BZ$300,MATCH(data!AH$1,Haver_M!$B$1:$BZ$1,0),FALSE)),VLOOKUP($A113,Haver_M!$B$1:$BZ$300,MATCH(data!AH$1,Haver_M!$B$1:$BZ$1,0),FALSE),"")</f>
        <v>85.278000000000006</v>
      </c>
      <c r="AI113">
        <f>IF(ISNUMBER(VLOOKUP($A113,Haver_M!$B$1:$BZ$300,MATCH(data!AI$1,Haver_M!$B$1:$BZ$1,0),FALSE)),VLOOKUP($A113,Haver_M!$B$1:$BZ$300,MATCH(data!AI$1,Haver_M!$B$1:$BZ$1,0),FALSE),"")</f>
        <v>11342.477510772167</v>
      </c>
      <c r="AJ113">
        <f>IF(ISNUMBER(VLOOKUP($A113,Haver_M!$B$1:$BZ$300,MATCH(data!AJ$1,Haver_M!$B$1:$BZ$1,0),FALSE)),VLOOKUP($A113,Haver_M!$B$1:$BZ$300,MATCH(data!AJ$1,Haver_M!$B$1:$BZ$1,0),FALSE),"")</f>
        <v>12494.41</v>
      </c>
      <c r="AK113">
        <f>IF(ISNUMBER(VLOOKUP($A113,Haver_M!$B$1:$BZ$300,MATCH(data!AK$1,Haver_M!$B$1:$BZ$1,0),FALSE)),VLOOKUP($A113,Haver_M!$B$1:$BZ$300,MATCH(data!AK$1,Haver_M!$B$1:$BZ$1,0),FALSE),"")</f>
        <v>18835.88</v>
      </c>
      <c r="AL113" t="str">
        <f>IF(ISNUMBER(VLOOKUP($A113,Haver_M!$B$1:$BZ$300,MATCH(data!AL$1,Haver_M!$B$1:$BZ$1,0),FALSE)),VLOOKUP($A113,Haver_M!$B$1:$BZ$300,MATCH(data!AL$1,Haver_M!$B$1:$BZ$1,0),FALSE),"")</f>
        <v/>
      </c>
      <c r="AM113" t="str">
        <f>IF(ISNUMBER(VLOOKUP($A113,Haver_M!$B$1:$BZ$300,MATCH(data!AM$1,Haver_M!$B$1:$BZ$1,0),FALSE)),VLOOKUP($A113,Haver_M!$B$1:$BZ$300,MATCH(data!AM$1,Haver_M!$B$1:$BZ$1,0),FALSE),"")</f>
        <v/>
      </c>
      <c r="AN113" t="str">
        <f>IF(ISNUMBER(VLOOKUP($A113,Haver_M!$B$1:$BZ$300,MATCH(data!AN$1,Haver_M!$B$1:$BZ$1,0),FALSE)),VLOOKUP($A113,Haver_M!$B$1:$BZ$300,MATCH(data!AN$1,Haver_M!$B$1:$BZ$1,0),FALSE),"")</f>
        <v/>
      </c>
      <c r="AO113" t="str">
        <f>IF(ISNUMBER(VLOOKUP($A113,Haver_M!$B$1:$BZ$300,MATCH(data!AO$1,Haver_M!$B$1:$BZ$1,0),FALSE)),VLOOKUP($A113,Haver_M!$B$1:$BZ$300,MATCH(data!AO$1,Haver_M!$B$1:$BZ$1,0),FALSE),"")</f>
        <v/>
      </c>
      <c r="AP113">
        <f>IF(ISNUMBER(VLOOKUP($A113,Haver_M!$B$1:$BZ$300,MATCH(data!AP$1,Haver_M!$B$1:$BZ$1,0),FALSE)),VLOOKUP($A113,Haver_M!$B$1:$BZ$300,MATCH(data!AP$1,Haver_M!$B$1:$BZ$1,0),FALSE),"")</f>
        <v>131.29335185529325</v>
      </c>
      <c r="AQ113">
        <f>IF(ISNUMBER(VLOOKUP($A113,Haver_M!$B$1:$BZ$300,MATCH(data!AQ$1,Haver_M!$B$1:$BZ$1,0),FALSE)),VLOOKUP($A113,Haver_M!$B$1:$BZ$300,MATCH(data!AQ$1,Haver_M!$B$1:$BZ$1,0),FALSE),"")</f>
        <v>48.918500000000002</v>
      </c>
      <c r="AR113">
        <f>IF(ISNUMBER(VLOOKUP($A113,Haver_M!$B$1:$BZ$300,MATCH(data!AR$1,Haver_M!$B$1:$BZ$1,0),FALSE)),VLOOKUP($A113,Haver_M!$B$1:$BZ$300,MATCH(data!AR$1,Haver_M!$B$1:$BZ$1,0),FALSE),"")</f>
        <v>53.271000000000001</v>
      </c>
      <c r="AS113">
        <f>IF(ISNUMBER(VLOOKUP($A113,Haver_M!$B$1:$BZ$300,MATCH(data!AS$1,Haver_M!$B$1:$BZ$1,0),FALSE)),VLOOKUP($A113,Haver_M!$B$1:$BZ$300,MATCH(data!AS$1,Haver_M!$B$1:$BZ$1,0),FALSE),"")</f>
        <v>45.902000000000001</v>
      </c>
      <c r="AT113">
        <f>IF(ISNUMBER(VLOOKUP($A113,Haver_M!$B$1:$BZ$300,MATCH(data!AT$1,Haver_M!$B$1:$BZ$1,0),FALSE)),VLOOKUP($A113,Haver_M!$B$1:$BZ$300,MATCH(data!AT$1,Haver_M!$B$1:$BZ$1,0),FALSE),"")</f>
        <v>55.699599999999997</v>
      </c>
      <c r="AU113">
        <f>IF(ISNUMBER(VLOOKUP($A113,Haver_M!$B$1:$BZ$300,MATCH(data!AU$1,Haver_M!$B$1:$BZ$1,0),FALSE)),VLOOKUP($A113,Haver_M!$B$1:$BZ$300,MATCH(data!AU$1,Haver_M!$B$1:$BZ$1,0),FALSE),"")</f>
        <v>54.869700000000002</v>
      </c>
      <c r="AV113">
        <f>IF(ISNUMBER(VLOOKUP($A113,Haver_M!$B$1:$BZ$300,MATCH(data!AV$1,Haver_M!$B$1:$BZ$1,0),FALSE)),VLOOKUP($A113,Haver_M!$B$1:$BZ$300,MATCH(data!AV$1,Haver_M!$B$1:$BZ$1,0),FALSE),"")</f>
        <v>49.560299999999998</v>
      </c>
      <c r="AW113">
        <f>IF(ISNUMBER(VLOOKUP($A113,Haver_M!$B$1:$BZ$300,MATCH(data!AW$1,Haver_M!$B$1:$BZ$1,0),FALSE)),VLOOKUP($A113,Haver_M!$B$1:$BZ$300,MATCH(data!AW$1,Haver_M!$B$1:$BZ$1,0),FALSE),"")</f>
        <v>50.239400000000003</v>
      </c>
      <c r="AX113">
        <f>IF(ISNUMBER(VLOOKUP($A113,Haver_M!$B$1:$BZ$300,MATCH(data!AX$1,Haver_M!$B$1:$BZ$1,0),FALSE)),VLOOKUP($A113,Haver_M!$B$1:$BZ$300,MATCH(data!AX$1,Haver_M!$B$1:$BZ$1,0),FALSE),"")</f>
        <v>55.0901</v>
      </c>
      <c r="AY113">
        <f>IF(ISNUMBER(VLOOKUP($A113,Haver_M!$B$1:$BZ$300,MATCH(data!AY$1,Haver_M!$B$1:$BZ$1,0),FALSE)),VLOOKUP($A113,Haver_M!$B$1:$BZ$300,MATCH(data!AY$1,Haver_M!$B$1:$BZ$1,0),FALSE),"")</f>
        <v>52.441299999999998</v>
      </c>
      <c r="AZ113">
        <f>IF(ISNUMBER(VLOOKUP($A113,Haver_M!$B$1:$BZ$300,MATCH(data!AZ$1,Haver_M!$B$1:$BZ$1,0),FALSE)),VLOOKUP($A113,Haver_M!$B$1:$BZ$300,MATCH(data!AZ$1,Haver_M!$B$1:$BZ$1,0),FALSE),"")</f>
        <v>53.304600000000001</v>
      </c>
      <c r="BA113">
        <f>IF(ISNUMBER(VLOOKUP($A113,Haver_M!$B$1:$BZ$300,MATCH(data!BA$1,Haver_M!$B$1:$BZ$1,0),FALSE)),VLOOKUP($A113,Haver_M!$B$1:$BZ$300,MATCH(data!BA$1,Haver_M!$B$1:$BZ$1,0),FALSE),"")</f>
        <v>55.0901</v>
      </c>
      <c r="BB113">
        <f>IF(ISNUMBER(VLOOKUP($A113,Haver_M!$B$1:$BZ$300,MATCH(data!BB$1,Haver_M!$B$1:$BZ$1,0),FALSE)),VLOOKUP($A113,Haver_M!$B$1:$BZ$300,MATCH(data!BB$1,Haver_M!$B$1:$BZ$1,0),FALSE),"")</f>
        <v>50.692500000000003</v>
      </c>
      <c r="BC113">
        <f>IF(ISNUMBER(VLOOKUP($A113,Haver_M!$B$1:$BZ$300,MATCH(data!BC$1,Haver_M!$B$1:$BZ$1,0),FALSE)),VLOOKUP($A113,Haver_M!$B$1:$BZ$300,MATCH(data!BC$1,Haver_M!$B$1:$BZ$1,0),FALSE),"")</f>
        <v>49.200099999999999</v>
      </c>
      <c r="BD113">
        <f>IF(ISNUMBER(VLOOKUP($A113,Haver_M!$B$1:$BZ$300,MATCH(data!BD$1,Haver_M!$B$1:$BZ$1,0),FALSE)),VLOOKUP($A113,Haver_M!$B$1:$BZ$300,MATCH(data!BD$1,Haver_M!$B$1:$BZ$1,0),FALSE),"")</f>
        <v>50.9163</v>
      </c>
      <c r="BE113">
        <f>IF(ISNUMBER(VLOOKUP($A113,Haver_M!$B$1:$BZ$300,MATCH(data!BE$1,Haver_M!$B$1:$BZ$1,0),FALSE)),VLOOKUP($A113,Haver_M!$B$1:$BZ$300,MATCH(data!BE$1,Haver_M!$B$1:$BZ$1,0),FALSE),"")</f>
        <v>1.0303</v>
      </c>
      <c r="BF113">
        <f>IF(ISNUMBER(VLOOKUP($A113,Haver_M!$B$1:$BZ$300,MATCH(data!BF$1,Haver_M!$B$1:$BZ$1,0),FALSE)),VLOOKUP($A113,Haver_M!$B$1:$BZ$300,MATCH(data!BF$1,Haver_M!$B$1:$BZ$1,0),FALSE),"")</f>
        <v>50.098199999999999</v>
      </c>
      <c r="BG113">
        <f>IF(ISNUMBER(VLOOKUP($A113,Haver_M!$B$1:$BZ$300,MATCH(data!BG$1,Haver_M!$B$1:$BZ$1,0),FALSE)),VLOOKUP($A113,Haver_M!$B$1:$BZ$300,MATCH(data!BG$1,Haver_M!$B$1:$BZ$1,0),FALSE),"")</f>
        <v>48.655099999999997</v>
      </c>
      <c r="BH113">
        <f>IF(ISNUMBER(VLOOKUP($A113,Haver_M!$B$1:$BZ$300,MATCH(data!BH$1,Haver_M!$B$1:$BZ$1,0),FALSE)),VLOOKUP($A113,Haver_M!$B$1:$BZ$300,MATCH(data!BH$1,Haver_M!$B$1:$BZ$1,0),FALSE),"")</f>
        <v>46.718800000000002</v>
      </c>
      <c r="BI113">
        <f>IF(ISNUMBER(VLOOKUP($A113,Haver_M!$B$1:$BZ$300,MATCH(data!BI$1,Haver_M!$B$1:$BZ$1,0),FALSE)),VLOOKUP($A113,Haver_M!$B$1:$BZ$300,MATCH(data!BI$1,Haver_M!$B$1:$BZ$1,0),FALSE),"")</f>
        <v>51.469700000000003</v>
      </c>
      <c r="BJ113" t="str">
        <f>IF(ISNUMBER(VLOOKUP($A113,Haver_M!$B$1:$BZ$300,MATCH(data!BJ$1,Haver_M!$B$1:$BZ$1,0),FALSE)),VLOOKUP($A113,Haver_M!$B$1:$BZ$300,MATCH(data!BJ$1,Haver_M!$B$1:$BZ$1,0),FALSE),"")</f>
        <v/>
      </c>
      <c r="BK113">
        <f>IF(ISNUMBER(VLOOKUP($A113,Haver_M!$B$1:$BZ$300,MATCH(data!BK$1,Haver_M!$B$1:$BZ$1,0),FALSE)),VLOOKUP($A113,Haver_M!$B$1:$BZ$300,MATCH(data!BK$1,Haver_M!$B$1:$BZ$1,0),FALSE),"")</f>
        <v>48.251800000000003</v>
      </c>
      <c r="BL113">
        <f>IF(ISNUMBER(VLOOKUP($A113,Haver_M!$B$1:$BZ$300,MATCH(data!BL$1,Haver_M!$B$1:$BZ$1,0),FALSE)),VLOOKUP($A113,Haver_M!$B$1:$BZ$300,MATCH(data!BL$1,Haver_M!$B$1:$BZ$1,0),FALSE),"")</f>
        <v>10911.2</v>
      </c>
      <c r="BM113">
        <f>IF(ISNUMBER(VLOOKUP($A113,Haver_M!$B$1:$BZ$300,MATCH(data!BM$1,Haver_M!$B$1:$BZ$1,0),FALSE)),VLOOKUP($A113,Haver_M!$B$1:$BZ$300,MATCH(data!BM$1,Haver_M!$B$1:$BZ$1,0),FALSE),"")</f>
        <v>83.170120740000002</v>
      </c>
      <c r="BN113" t="str">
        <f>IF(ISNUMBER(VLOOKUP($A113,Haver_M!$B$1:$BZ$300,MATCH(data!BN$1,Haver_M!$B$1:$BZ$1,0),FALSE)),VLOOKUP($A113,Haver_M!$B$1:$BZ$300,MATCH(data!BN$1,Haver_M!$B$1:$BZ$1,0),FALSE),"")</f>
        <v/>
      </c>
      <c r="BO113" t="str">
        <f>IF(ISNUMBER(VLOOKUP($A113,Haver_M!$B$1:$BZ$300,MATCH(data!BO$1,Haver_M!$B$1:$BZ$1,0),FALSE)),VLOOKUP($A113,Haver_M!$B$1:$BZ$300,MATCH(data!BO$1,Haver_M!$B$1:$BZ$1,0),FALSE),"")</f>
        <v/>
      </c>
      <c r="BP113" t="str">
        <f>IF(ISNUMBER(VLOOKUP($A113,Haver_M!$B$1:$BZ$300,MATCH(data!BP$1,Haver_M!$B$1:$BZ$1,0),FALSE)),VLOOKUP($A113,Haver_M!$B$1:$BZ$300,MATCH(data!BP$1,Haver_M!$B$1:$BZ$1,0),FALSE),"")</f>
        <v/>
      </c>
      <c r="BQ113">
        <f>IF(ISNUMBER(VLOOKUP($A113,Haver_M!$B$1:$BZ$300,MATCH(data!BQ$1,Haver_M!$B$1:$BZ$1,0),FALSE)),VLOOKUP($A113,Haver_M!$B$1:$BZ$300,MATCH(data!BQ$1,Haver_M!$B$1:$BZ$1,0),FALSE),"")</f>
        <v>111.69372317071466</v>
      </c>
      <c r="BR113">
        <f>IF(ISNUMBER(VLOOKUP($A113,Haver_M!$B$1:$BZ$300,MATCH(data!BR$1,Haver_M!$B$1:$BZ$1,0),FALSE)),VLOOKUP($A113,Haver_M!$B$1:$BZ$300,MATCH(data!BR$1,Haver_M!$B$1:$BZ$1,0),FALSE),"")</f>
        <v>208.7381821305224</v>
      </c>
      <c r="BS113">
        <f>IF(ISNUMBER(VLOOKUP($A113,Haver_M!$B$1:$BZ$300,MATCH(data!BS$1,Haver_M!$B$1:$BZ$1,0),FALSE)),VLOOKUP($A113,Haver_M!$B$1:$BZ$300,MATCH(data!BS$1,Haver_M!$B$1:$BZ$1,0),FALSE),"")</f>
        <v>126.91827517533294</v>
      </c>
      <c r="BT113">
        <f>IF(ISNUMBER(VLOOKUP($A113,Haver_M!$B$1:$BZ$300,MATCH(data!BT$1,Haver_M!$B$1:$BZ$1,0),FALSE)),VLOOKUP($A113,Haver_M!$B$1:$BZ$300,MATCH(data!BT$1,Haver_M!$B$1:$BZ$1,0),FALSE),"")</f>
        <v>513.58757857772071</v>
      </c>
      <c r="BU113">
        <f>IF(ISNUMBER(VLOOKUP($A113,Haver_M!$B$1:$BZ$300,MATCH(data!BU$1,Haver_M!$B$1:$BZ$1,0),FALSE)),VLOOKUP($A113,Haver_M!$B$1:$BZ$300,MATCH(data!BU$1,Haver_M!$B$1:$BZ$1,0),FALSE),"")</f>
        <v>12475.7</v>
      </c>
      <c r="BV113">
        <f>IF(ISNUMBER(VLOOKUP($A113,Haver_M!$B$1:$BZ$300,MATCH(data!BV$1,Haver_M!$B$1:$BZ$1,0),FALSE)),VLOOKUP($A113,Haver_M!$B$1:$BZ$300,MATCH(data!BV$1,Haver_M!$B$1:$BZ$1,0),FALSE),"")</f>
        <v>19340.7</v>
      </c>
      <c r="BW113">
        <f>IF(ISNUMBER(VLOOKUP($A113,Haver_M!$B$1:$BZ$300,MATCH(data!BW$1,Haver_M!$B$1:$BZ$1,0),FALSE)),VLOOKUP($A113,Haver_M!$B$1:$BZ$300,MATCH(data!BW$1,Haver_M!$B$1:$BZ$1,0),FALSE),"")</f>
        <v>50.061900000000001</v>
      </c>
      <c r="BX113">
        <f>IF(ISNUMBER(VLOOKUP($A113,Haver_M!$B$1:$BZ$300,MATCH(data!BX$1,Haver_M!$B$1:$BZ$1,0),FALSE)),VLOOKUP($A113,Haver_M!$B$1:$BZ$300,MATCH(data!BX$1,Haver_M!$B$1:$BZ$1,0),FALSE),"")</f>
        <v>51823</v>
      </c>
    </row>
    <row r="114" spans="1:76" x14ac:dyDescent="0.25">
      <c r="A114" s="2">
        <v>39964</v>
      </c>
      <c r="B114" t="str">
        <f>IF(ISNUMBER(VLOOKUP($A114,Haver_Q!$B$1:$L$185,MATCH(data!B$1,Haver_Q!$B$1:$L$1,0),FALSE)),100*(VLOOKUP($A114,Haver_Q!$B$1:$L$185,MATCH(data!B$1,Haver_Q!$B$1:$L$1,0),FALSE)),"")</f>
        <v/>
      </c>
      <c r="C114" t="str">
        <f>IF(ISNUMBER(VLOOKUP($A114,Haver_Q!$B$1:$L$185,MATCH(data!C$1,Haver_Q!$B$1:$L$1,0),FALSE)),100*(VLOOKUP($A114,Haver_Q!$B$1:$L$185,MATCH(data!C$1,Haver_Q!$B$1:$L$1,0),FALSE)),"")</f>
        <v/>
      </c>
      <c r="D114" t="str">
        <f>IF(ISNUMBER(VLOOKUP($A114,Haver_Q!$B$1:$L$185,MATCH(data!D$1,Haver_Q!$B$1:$L$1,0),FALSE)),100*(VLOOKUP($A114,Haver_Q!$B$1:$L$185,MATCH(data!D$1,Haver_Q!$B$1:$L$1,0),FALSE)),"")</f>
        <v/>
      </c>
      <c r="E114" t="str">
        <f>IF(ISNUMBER(VLOOKUP($A114,Haver_Q!$B$1:$L$185,MATCH(data!E$1,Haver_Q!$B$1:$L$1,0),FALSE)),100*(VLOOKUP($A114,Haver_Q!$B$1:$L$185,MATCH(data!E$1,Haver_Q!$B$1:$L$1,0),FALSE)),"")</f>
        <v/>
      </c>
      <c r="F114" t="str">
        <f>IF(ISNUMBER(VLOOKUP($A114,Haver_Q!$B$1:$L$185,MATCH(data!F$1,Haver_Q!$B$1:$L$1,0),FALSE)),100*(VLOOKUP($A114,Haver_Q!$B$1:$L$185,MATCH(data!F$1,Haver_Q!$B$1:$L$1,0),FALSE)),"")</f>
        <v/>
      </c>
      <c r="G114" t="str">
        <f>IF(ISNUMBER(VLOOKUP($A114,Haver_Q!$B$1:$L$185,MATCH(data!G$1,Haver_Q!$B$1:$L$1,0),FALSE)),100*(VLOOKUP($A114,Haver_Q!$B$1:$L$185,MATCH(data!G$1,Haver_Q!$B$1:$L$1,0),FALSE)),"")</f>
        <v/>
      </c>
      <c r="H114" t="str">
        <f>IF(ISNUMBER(VLOOKUP($A114,Haver_Q!$B$1:$L$185,MATCH(data!H$1,Haver_Q!$B$1:$L$1,0),FALSE)),(VLOOKUP($A114,Haver_Q!$B$1:$L$185,MATCH(data!H$1,Haver_Q!$B$1:$L$1,0),FALSE)),"")</f>
        <v/>
      </c>
      <c r="I114" t="str">
        <f>IF(ISNUMBER(VLOOKUP($A114,Haver_Q!$B$1:$L$185,MATCH(data!I$1,Haver_Q!$B$1:$L$1,0),FALSE)),100*(VLOOKUP($A114,Haver_Q!$B$1:$L$185,MATCH(data!I$1,Haver_Q!$B$1:$L$1,0),FALSE)),"")</f>
        <v/>
      </c>
      <c r="J114" s="3">
        <f>IF(ISNUMBER(Bloomberg_m!C130),Bloomberg_m!C130,"")</f>
        <v>2540</v>
      </c>
      <c r="K114" s="3" t="str">
        <f>IF(ISNUMBER(Bloomberg_m!D130),Bloomberg_m!D130,"")</f>
        <v/>
      </c>
      <c r="L114" s="3" t="str">
        <f>IF(ISNUMBER(Bloomberg_m!E130),Bloomberg_m!E130,"")</f>
        <v/>
      </c>
      <c r="M114" s="3" t="str">
        <f>IF(ISNUMBER(Bloomberg_m!F130),Bloomberg_m!F130,"")</f>
        <v/>
      </c>
      <c r="N114">
        <f>IF(ISNUMBER(VLOOKUP($A114,Haver_M!$B$1:$BZ$300,MATCH(data!N$1,Haver_M!$B$1:$BZ$1,0),FALSE)),VLOOKUP($A114,Haver_M!$B$1:$BZ$300,MATCH(data!N$1,Haver_M!$B$1:$BZ$1,0),FALSE),"")</f>
        <v>4.75</v>
      </c>
      <c r="O114">
        <f>IF(ISNUMBER(VLOOKUP($A114,Haver_M!$B$1:$BZ$300,MATCH(data!O$1,Haver_M!$B$1:$BZ$1,0),FALSE)),VLOOKUP($A114,Haver_M!$B$1:$BZ$300,MATCH(data!O$1,Haver_M!$B$1:$BZ$1,0),FALSE),"")</f>
        <v>6.7527999999999997</v>
      </c>
      <c r="P114">
        <f>IF(ISNUMBER(VLOOKUP($A114,Haver_M!$B$1:$BZ$300,MATCH(data!P$1,Haver_M!$B$1:$BZ$1,0),FALSE)),VLOOKUP($A114,Haver_M!$B$1:$BZ$300,MATCH(data!P$1,Haver_M!$B$1:$BZ$1,0),FALSE),"")</f>
        <v>91.107060000000004</v>
      </c>
      <c r="Q114">
        <f>IF(ISNUMBER(VLOOKUP($A114,Haver_M!$B$1:$BZ$300,MATCH(data!Q$1,Haver_M!$B$1:$BZ$1,0),FALSE)),VLOOKUP($A114,Haver_M!$B$1:$BZ$300,MATCH(data!Q$1,Haver_M!$B$1:$BZ$1,0),FALSE),"")</f>
        <v>74.3</v>
      </c>
      <c r="R114" t="str">
        <f>IF(ISNUMBER(VLOOKUP($A114,Haver_M!$B$1:$BZ$300,MATCH(data!R$1,Haver_M!$B$1:$BZ$1,0),FALSE)),VLOOKUP($A114,Haver_M!$B$1:$BZ$300,MATCH(data!R$1,Haver_M!$B$1:$BZ$1,0),FALSE),"")</f>
        <v/>
      </c>
      <c r="S114">
        <f>IF(ISNUMBER(VLOOKUP($A114,Haver_M!$B$1:$BZ$300,MATCH(data!S$1,Haver_M!$B$1:$BZ$1,0),FALSE)),VLOOKUP($A114,Haver_M!$B$1:$BZ$300,MATCH(data!S$1,Haver_M!$B$1:$BZ$1,0),FALSE),"")</f>
        <v>88.24</v>
      </c>
      <c r="T114">
        <f>IF(ISNUMBER(VLOOKUP($A114,Haver_M!$B$1:$BZ$300,MATCH(data!T$1,Haver_M!$B$1:$BZ$1,0),FALSE)),VLOOKUP($A114,Haver_M!$B$1:$BZ$300,MATCH(data!T$1,Haver_M!$B$1:$BZ$1,0),FALSE),"")</f>
        <v>86.13</v>
      </c>
      <c r="U114">
        <f>IF(ISNUMBER(VLOOKUP($A114,Haver_M!$B$1:$BZ$300,MATCH(data!U$1,Haver_M!$B$1:$BZ$1,0),FALSE)),VLOOKUP($A114,Haver_M!$B$1:$BZ$300,MATCH(data!U$1,Haver_M!$B$1:$BZ$1,0),FALSE),"")</f>
        <v>96.81</v>
      </c>
      <c r="V114">
        <f>IF(ISNUMBER(VLOOKUP($A114,Haver_M!$B$1:$BZ$300,MATCH(data!V$1,Haver_M!$B$1:$BZ$1,0),FALSE)),VLOOKUP($A114,Haver_M!$B$1:$BZ$300,MATCH(data!V$1,Haver_M!$B$1:$BZ$1,0),FALSE),"")</f>
        <v>93.54</v>
      </c>
      <c r="W114" t="str">
        <f>IF(ISNUMBER(VLOOKUP($A114,Haver_M!$B$1:$BZ$300,MATCH(data!W$1,Haver_M!$B$1:$BZ$1,0),FALSE)),VLOOKUP($A114,Haver_M!$B$1:$BZ$300,MATCH(data!W$1,Haver_M!$B$1:$BZ$1,0),FALSE),"")</f>
        <v/>
      </c>
      <c r="X114">
        <f>IF(ISNUMBER(VLOOKUP($A114,Haver_M!$B$1:$BZ$300,MATCH(data!X$1,Haver_M!$B$1:$BZ$1,0),FALSE)),VLOOKUP($A114,Haver_M!$B$1:$BZ$300,MATCH(data!X$1,Haver_M!$B$1:$BZ$1,0),FALSE),"")</f>
        <v>76.64</v>
      </c>
      <c r="Y114">
        <f>IF(ISNUMBER(VLOOKUP($A114,Haver_M!$B$1:$BZ$300,MATCH(data!Y$1,Haver_M!$B$1:$BZ$1,0),FALSE)),VLOOKUP($A114,Haver_M!$B$1:$BZ$300,MATCH(data!Y$1,Haver_M!$B$1:$BZ$1,0),FALSE),"")</f>
        <v>88.48</v>
      </c>
      <c r="Z114">
        <f>IF(ISNUMBER(VLOOKUP($A114,Haver_M!$B$1:$BZ$300,MATCH(data!Z$1,Haver_M!$B$1:$BZ$1,0),FALSE)),VLOOKUP($A114,Haver_M!$B$1:$BZ$300,MATCH(data!Z$1,Haver_M!$B$1:$BZ$1,0),FALSE),"")</f>
        <v>86.4</v>
      </c>
      <c r="AA114">
        <f>IF(ISNUMBER(VLOOKUP($A114,Haver_M!$B$1:$BZ$300,MATCH(data!AA$1,Haver_M!$B$1:$BZ$1,0),FALSE)),VLOOKUP($A114,Haver_M!$B$1:$BZ$300,MATCH(data!AA$1,Haver_M!$B$1:$BZ$1,0),FALSE),"")</f>
        <v>97.661000000000001</v>
      </c>
      <c r="AB114">
        <f>IF(ISNUMBER(VLOOKUP($A114,Haver_M!$B$1:$BZ$300,MATCH(data!AB$1,Haver_M!$B$1:$BZ$1,0),FALSE)),VLOOKUP($A114,Haver_M!$B$1:$BZ$300,MATCH(data!AB$1,Haver_M!$B$1:$BZ$1,0),FALSE),"")</f>
        <v>87.346999999999994</v>
      </c>
      <c r="AC114">
        <f>IF(ISNUMBER(VLOOKUP($A114,Haver_M!$B$1:$BZ$300,MATCH(data!AC$1,Haver_M!$B$1:$BZ$1,0),FALSE)),VLOOKUP($A114,Haver_M!$B$1:$BZ$300,MATCH(data!AC$1,Haver_M!$B$1:$BZ$1,0),FALSE),"")</f>
        <v>84.754000000000005</v>
      </c>
      <c r="AD114">
        <f>IF(ISNUMBER(VLOOKUP($A114,Haver_M!$B$1:$BZ$300,MATCH(data!AD$1,Haver_M!$B$1:$BZ$1,0),FALSE)),VLOOKUP($A114,Haver_M!$B$1:$BZ$300,MATCH(data!AD$1,Haver_M!$B$1:$BZ$1,0),FALSE),"")</f>
        <v>90.837999999999994</v>
      </c>
      <c r="AE114">
        <f>IF(ISNUMBER(VLOOKUP($A114,Haver_M!$B$1:$BZ$300,MATCH(data!AE$1,Haver_M!$B$1:$BZ$1,0),FALSE)),VLOOKUP($A114,Haver_M!$B$1:$BZ$300,MATCH(data!AE$1,Haver_M!$B$1:$BZ$1,0),FALSE),"")</f>
        <v>100.087</v>
      </c>
      <c r="AF114">
        <f>IF(ISNUMBER(VLOOKUP($A114,Haver_M!$B$1:$BZ$300,MATCH(data!AF$1,Haver_M!$B$1:$BZ$1,0),FALSE)),VLOOKUP($A114,Haver_M!$B$1:$BZ$300,MATCH(data!AF$1,Haver_M!$B$1:$BZ$1,0),FALSE),"")</f>
        <v>77.156000000000006</v>
      </c>
      <c r="AG114">
        <f>IF(ISNUMBER(VLOOKUP($A114,Haver_M!$B$1:$BZ$300,MATCH(data!AG$1,Haver_M!$B$1:$BZ$1,0),FALSE)),VLOOKUP($A114,Haver_M!$B$1:$BZ$300,MATCH(data!AG$1,Haver_M!$B$1:$BZ$1,0),FALSE),"")</f>
        <v>86.05</v>
      </c>
      <c r="AH114">
        <f>IF(ISNUMBER(VLOOKUP($A114,Haver_M!$B$1:$BZ$300,MATCH(data!AH$1,Haver_M!$B$1:$BZ$1,0),FALSE)),VLOOKUP($A114,Haver_M!$B$1:$BZ$300,MATCH(data!AH$1,Haver_M!$B$1:$BZ$1,0),FALSE),"")</f>
        <v>84.372</v>
      </c>
      <c r="AI114">
        <f>IF(ISNUMBER(VLOOKUP($A114,Haver_M!$B$1:$BZ$300,MATCH(data!AI$1,Haver_M!$B$1:$BZ$1,0),FALSE)),VLOOKUP($A114,Haver_M!$B$1:$BZ$300,MATCH(data!AI$1,Haver_M!$B$1:$BZ$1,0),FALSE),"")</f>
        <v>11030.725912564927</v>
      </c>
      <c r="AJ114">
        <f>IF(ISNUMBER(VLOOKUP($A114,Haver_M!$B$1:$BZ$300,MATCH(data!AJ$1,Haver_M!$B$1:$BZ$1,0),FALSE)),VLOOKUP($A114,Haver_M!$B$1:$BZ$300,MATCH(data!AJ$1,Haver_M!$B$1:$BZ$1,0),FALSE),"")</f>
        <v>12159.7</v>
      </c>
      <c r="AK114">
        <f>IF(ISNUMBER(VLOOKUP($A114,Haver_M!$B$1:$BZ$300,MATCH(data!AK$1,Haver_M!$B$1:$BZ$1,0),FALSE)),VLOOKUP($A114,Haver_M!$B$1:$BZ$300,MATCH(data!AK$1,Haver_M!$B$1:$BZ$1,0),FALSE),"")</f>
        <v>18621.189999999999</v>
      </c>
      <c r="AL114" t="str">
        <f>IF(ISNUMBER(VLOOKUP($A114,Haver_M!$B$1:$BZ$300,MATCH(data!AL$1,Haver_M!$B$1:$BZ$1,0),FALSE)),VLOOKUP($A114,Haver_M!$B$1:$BZ$300,MATCH(data!AL$1,Haver_M!$B$1:$BZ$1,0),FALSE),"")</f>
        <v/>
      </c>
      <c r="AM114" t="str">
        <f>IF(ISNUMBER(VLOOKUP($A114,Haver_M!$B$1:$BZ$300,MATCH(data!AM$1,Haver_M!$B$1:$BZ$1,0),FALSE)),VLOOKUP($A114,Haver_M!$B$1:$BZ$300,MATCH(data!AM$1,Haver_M!$B$1:$BZ$1,0),FALSE),"")</f>
        <v/>
      </c>
      <c r="AN114" t="str">
        <f>IF(ISNUMBER(VLOOKUP($A114,Haver_M!$B$1:$BZ$300,MATCH(data!AN$1,Haver_M!$B$1:$BZ$1,0),FALSE)),VLOOKUP($A114,Haver_M!$B$1:$BZ$300,MATCH(data!AN$1,Haver_M!$B$1:$BZ$1,0),FALSE),"")</f>
        <v/>
      </c>
      <c r="AO114" t="str">
        <f>IF(ISNUMBER(VLOOKUP($A114,Haver_M!$B$1:$BZ$300,MATCH(data!AO$1,Haver_M!$B$1:$BZ$1,0),FALSE)),VLOOKUP($A114,Haver_M!$B$1:$BZ$300,MATCH(data!AO$1,Haver_M!$B$1:$BZ$1,0),FALSE),"")</f>
        <v/>
      </c>
      <c r="AP114">
        <f>IF(ISNUMBER(VLOOKUP($A114,Haver_M!$B$1:$BZ$300,MATCH(data!AP$1,Haver_M!$B$1:$BZ$1,0),FALSE)),VLOOKUP($A114,Haver_M!$B$1:$BZ$300,MATCH(data!AP$1,Haver_M!$B$1:$BZ$1,0),FALSE),"")</f>
        <v>124.1356671738758</v>
      </c>
      <c r="AQ114">
        <f>IF(ISNUMBER(VLOOKUP($A114,Haver_M!$B$1:$BZ$300,MATCH(data!AQ$1,Haver_M!$B$1:$BZ$1,0),FALSE)),VLOOKUP($A114,Haver_M!$B$1:$BZ$300,MATCH(data!AQ$1,Haver_M!$B$1:$BZ$1,0),FALSE),"")</f>
        <v>53.549100000000003</v>
      </c>
      <c r="AR114">
        <f>IF(ISNUMBER(VLOOKUP($A114,Haver_M!$B$1:$BZ$300,MATCH(data!AR$1,Haver_M!$B$1:$BZ$1,0),FALSE)),VLOOKUP($A114,Haver_M!$B$1:$BZ$300,MATCH(data!AR$1,Haver_M!$B$1:$BZ$1,0),FALSE),"")</f>
        <v>55.737000000000002</v>
      </c>
      <c r="AS114">
        <f>IF(ISNUMBER(VLOOKUP($A114,Haver_M!$B$1:$BZ$300,MATCH(data!AS$1,Haver_M!$B$1:$BZ$1,0),FALSE)),VLOOKUP($A114,Haver_M!$B$1:$BZ$300,MATCH(data!AS$1,Haver_M!$B$1:$BZ$1,0),FALSE),"")</f>
        <v>50.859400000000001</v>
      </c>
      <c r="AT114">
        <f>IF(ISNUMBER(VLOOKUP($A114,Haver_M!$B$1:$BZ$300,MATCH(data!AT$1,Haver_M!$B$1:$BZ$1,0),FALSE)),VLOOKUP($A114,Haver_M!$B$1:$BZ$300,MATCH(data!AT$1,Haver_M!$B$1:$BZ$1,0),FALSE),"")</f>
        <v>59.595700000000001</v>
      </c>
      <c r="AU114">
        <f>IF(ISNUMBER(VLOOKUP($A114,Haver_M!$B$1:$BZ$300,MATCH(data!AU$1,Haver_M!$B$1:$BZ$1,0),FALSE)),VLOOKUP($A114,Haver_M!$B$1:$BZ$300,MATCH(data!AU$1,Haver_M!$B$1:$BZ$1,0),FALSE),"")</f>
        <v>59.1432</v>
      </c>
      <c r="AV114">
        <f>IF(ISNUMBER(VLOOKUP($A114,Haver_M!$B$1:$BZ$300,MATCH(data!AV$1,Haver_M!$B$1:$BZ$1,0),FALSE)),VLOOKUP($A114,Haver_M!$B$1:$BZ$300,MATCH(data!AV$1,Haver_M!$B$1:$BZ$1,0),FALSE),"")</f>
        <v>50.267899999999997</v>
      </c>
      <c r="AW114">
        <f>IF(ISNUMBER(VLOOKUP($A114,Haver_M!$B$1:$BZ$300,MATCH(data!AW$1,Haver_M!$B$1:$BZ$1,0),FALSE)),VLOOKUP($A114,Haver_M!$B$1:$BZ$300,MATCH(data!AW$1,Haver_M!$B$1:$BZ$1,0),FALSE),"")</f>
        <v>50.042700000000004</v>
      </c>
      <c r="AX114">
        <f>IF(ISNUMBER(VLOOKUP($A114,Haver_M!$B$1:$BZ$300,MATCH(data!AX$1,Haver_M!$B$1:$BZ$1,0),FALSE)),VLOOKUP($A114,Haver_M!$B$1:$BZ$300,MATCH(data!AX$1,Haver_M!$B$1:$BZ$1,0),FALSE),"")</f>
        <v>55.479100000000003</v>
      </c>
      <c r="AY114">
        <f>IF(ISNUMBER(VLOOKUP($A114,Haver_M!$B$1:$BZ$300,MATCH(data!AY$1,Haver_M!$B$1:$BZ$1,0),FALSE)),VLOOKUP($A114,Haver_M!$B$1:$BZ$300,MATCH(data!AY$1,Haver_M!$B$1:$BZ$1,0),FALSE),"")</f>
        <v>54.4758</v>
      </c>
      <c r="AZ114">
        <f>IF(ISNUMBER(VLOOKUP($A114,Haver_M!$B$1:$BZ$300,MATCH(data!AZ$1,Haver_M!$B$1:$BZ$1,0),FALSE)),VLOOKUP($A114,Haver_M!$B$1:$BZ$300,MATCH(data!AZ$1,Haver_M!$B$1:$BZ$1,0),FALSE),"")</f>
        <v>58.781100000000002</v>
      </c>
      <c r="BA114">
        <f>IF(ISNUMBER(VLOOKUP($A114,Haver_M!$B$1:$BZ$300,MATCH(data!BA$1,Haver_M!$B$1:$BZ$1,0),FALSE)),VLOOKUP($A114,Haver_M!$B$1:$BZ$300,MATCH(data!BA$1,Haver_M!$B$1:$BZ$1,0),FALSE),"")</f>
        <v>55.479100000000003</v>
      </c>
      <c r="BB114">
        <f>IF(ISNUMBER(VLOOKUP($A114,Haver_M!$B$1:$BZ$300,MATCH(data!BB$1,Haver_M!$B$1:$BZ$1,0),FALSE)),VLOOKUP($A114,Haver_M!$B$1:$BZ$300,MATCH(data!BB$1,Haver_M!$B$1:$BZ$1,0),FALSE),"")</f>
        <v>49.942700000000002</v>
      </c>
      <c r="BC114">
        <f>IF(ISNUMBER(VLOOKUP($A114,Haver_M!$B$1:$BZ$300,MATCH(data!BC$1,Haver_M!$B$1:$BZ$1,0),FALSE)),VLOOKUP($A114,Haver_M!$B$1:$BZ$300,MATCH(data!BC$1,Haver_M!$B$1:$BZ$1,0),FALSE),"")</f>
        <v>49.304900000000004</v>
      </c>
      <c r="BD114">
        <f>IF(ISNUMBER(VLOOKUP($A114,Haver_M!$B$1:$BZ$300,MATCH(data!BD$1,Haver_M!$B$1:$BZ$1,0),FALSE)),VLOOKUP($A114,Haver_M!$B$1:$BZ$300,MATCH(data!BD$1,Haver_M!$B$1:$BZ$1,0),FALSE),"")</f>
        <v>51.178899999999999</v>
      </c>
      <c r="BE114">
        <f>IF(ISNUMBER(VLOOKUP($A114,Haver_M!$B$1:$BZ$300,MATCH(data!BE$1,Haver_M!$B$1:$BZ$1,0),FALSE)),VLOOKUP($A114,Haver_M!$B$1:$BZ$300,MATCH(data!BE$1,Haver_M!$B$1:$BZ$1,0),FALSE),"")</f>
        <v>1.1329</v>
      </c>
      <c r="BF114">
        <f>IF(ISNUMBER(VLOOKUP($A114,Haver_M!$B$1:$BZ$300,MATCH(data!BF$1,Haver_M!$B$1:$BZ$1,0),FALSE)),VLOOKUP($A114,Haver_M!$B$1:$BZ$300,MATCH(data!BF$1,Haver_M!$B$1:$BZ$1,0),FALSE),"")</f>
        <v>51.0062</v>
      </c>
      <c r="BG114">
        <f>IF(ISNUMBER(VLOOKUP($A114,Haver_M!$B$1:$BZ$300,MATCH(data!BG$1,Haver_M!$B$1:$BZ$1,0),FALSE)),VLOOKUP($A114,Haver_M!$B$1:$BZ$300,MATCH(data!BG$1,Haver_M!$B$1:$BZ$1,0),FALSE),"")</f>
        <v>50.165100000000002</v>
      </c>
      <c r="BH114">
        <f>IF(ISNUMBER(VLOOKUP($A114,Haver_M!$B$1:$BZ$300,MATCH(data!BH$1,Haver_M!$B$1:$BZ$1,0),FALSE)),VLOOKUP($A114,Haver_M!$B$1:$BZ$300,MATCH(data!BH$1,Haver_M!$B$1:$BZ$1,0),FALSE),"")</f>
        <v>50.819499999999998</v>
      </c>
      <c r="BI114">
        <f>IF(ISNUMBER(VLOOKUP($A114,Haver_M!$B$1:$BZ$300,MATCH(data!BI$1,Haver_M!$B$1:$BZ$1,0),FALSE)),VLOOKUP($A114,Haver_M!$B$1:$BZ$300,MATCH(data!BI$1,Haver_M!$B$1:$BZ$1,0),FALSE),"")</f>
        <v>52.087600000000002</v>
      </c>
      <c r="BJ114" t="str">
        <f>IF(ISNUMBER(VLOOKUP($A114,Haver_M!$B$1:$BZ$300,MATCH(data!BJ$1,Haver_M!$B$1:$BZ$1,0),FALSE)),VLOOKUP($A114,Haver_M!$B$1:$BZ$300,MATCH(data!BJ$1,Haver_M!$B$1:$BZ$1,0),FALSE),"")</f>
        <v/>
      </c>
      <c r="BK114">
        <f>IF(ISNUMBER(VLOOKUP($A114,Haver_M!$B$1:$BZ$300,MATCH(data!BK$1,Haver_M!$B$1:$BZ$1,0),FALSE)),VLOOKUP($A114,Haver_M!$B$1:$BZ$300,MATCH(data!BK$1,Haver_M!$B$1:$BZ$1,0),FALSE),"")</f>
        <v>50.078800000000001</v>
      </c>
      <c r="BL114">
        <f>IF(ISNUMBER(VLOOKUP($A114,Haver_M!$B$1:$BZ$300,MATCH(data!BL$1,Haver_M!$B$1:$BZ$1,0),FALSE)),VLOOKUP($A114,Haver_M!$B$1:$BZ$300,MATCH(data!BL$1,Haver_M!$B$1:$BZ$1,0),FALSE),"")</f>
        <v>13046.14</v>
      </c>
      <c r="BM114">
        <f>IF(ISNUMBER(VLOOKUP($A114,Haver_M!$B$1:$BZ$300,MATCH(data!BM$1,Haver_M!$B$1:$BZ$1,0),FALSE)),VLOOKUP($A114,Haver_M!$B$1:$BZ$300,MATCH(data!BM$1,Haver_M!$B$1:$BZ$1,0),FALSE),"")</f>
        <v>86.433091129999994</v>
      </c>
      <c r="BN114" t="str">
        <f>IF(ISNUMBER(VLOOKUP($A114,Haver_M!$B$1:$BZ$300,MATCH(data!BN$1,Haver_M!$B$1:$BZ$1,0),FALSE)),VLOOKUP($A114,Haver_M!$B$1:$BZ$300,MATCH(data!BN$1,Haver_M!$B$1:$BZ$1,0),FALSE),"")</f>
        <v/>
      </c>
      <c r="BO114" t="str">
        <f>IF(ISNUMBER(VLOOKUP($A114,Haver_M!$B$1:$BZ$300,MATCH(data!BO$1,Haver_M!$B$1:$BZ$1,0),FALSE)),VLOOKUP($A114,Haver_M!$B$1:$BZ$300,MATCH(data!BO$1,Haver_M!$B$1:$BZ$1,0),FALSE),"")</f>
        <v/>
      </c>
      <c r="BP114" t="str">
        <f>IF(ISNUMBER(VLOOKUP($A114,Haver_M!$B$1:$BZ$300,MATCH(data!BP$1,Haver_M!$B$1:$BZ$1,0),FALSE)),VLOOKUP($A114,Haver_M!$B$1:$BZ$300,MATCH(data!BP$1,Haver_M!$B$1:$BZ$1,0),FALSE),"")</f>
        <v/>
      </c>
      <c r="BQ114">
        <f>IF(ISNUMBER(VLOOKUP($A114,Haver_M!$B$1:$BZ$300,MATCH(data!BQ$1,Haver_M!$B$1:$BZ$1,0),FALSE)),VLOOKUP($A114,Haver_M!$B$1:$BZ$300,MATCH(data!BQ$1,Haver_M!$B$1:$BZ$1,0),FALSE),"")</f>
        <v>114.95219845881239</v>
      </c>
      <c r="BR114">
        <f>IF(ISNUMBER(VLOOKUP($A114,Haver_M!$B$1:$BZ$300,MATCH(data!BR$1,Haver_M!$B$1:$BZ$1,0),FALSE)),VLOOKUP($A114,Haver_M!$B$1:$BZ$300,MATCH(data!BR$1,Haver_M!$B$1:$BZ$1,0),FALSE),"")</f>
        <v>214.37487122429636</v>
      </c>
      <c r="BS114">
        <f>IF(ISNUMBER(VLOOKUP($A114,Haver_M!$B$1:$BZ$300,MATCH(data!BS$1,Haver_M!$B$1:$BZ$1,0),FALSE)),VLOOKUP($A114,Haver_M!$B$1:$BZ$300,MATCH(data!BS$1,Haver_M!$B$1:$BZ$1,0),FALSE),"")</f>
        <v>129.75625334816829</v>
      </c>
      <c r="BT114">
        <f>IF(ISNUMBER(VLOOKUP($A114,Haver_M!$B$1:$BZ$300,MATCH(data!BT$1,Haver_M!$B$1:$BZ$1,0),FALSE)),VLOOKUP($A114,Haver_M!$B$1:$BZ$300,MATCH(data!BT$1,Haver_M!$B$1:$BZ$1,0),FALSE),"")</f>
        <v>527.10388593563277</v>
      </c>
      <c r="BU114">
        <f>IF(ISNUMBER(VLOOKUP($A114,Haver_M!$B$1:$BZ$300,MATCH(data!BU$1,Haver_M!$B$1:$BZ$1,0),FALSE)),VLOOKUP($A114,Haver_M!$B$1:$BZ$300,MATCH(data!BU$1,Haver_M!$B$1:$BZ$1,0),FALSE),"")</f>
        <v>12316.5</v>
      </c>
      <c r="BV114">
        <f>IF(ISNUMBER(VLOOKUP($A114,Haver_M!$B$1:$BZ$300,MATCH(data!BV$1,Haver_M!$B$1:$BZ$1,0),FALSE)),VLOOKUP($A114,Haver_M!$B$1:$BZ$300,MATCH(data!BV$1,Haver_M!$B$1:$BZ$1,0),FALSE),"")</f>
        <v>20036.400000000001</v>
      </c>
      <c r="BW114">
        <f>IF(ISNUMBER(VLOOKUP($A114,Haver_M!$B$1:$BZ$300,MATCH(data!BW$1,Haver_M!$B$1:$BZ$1,0),FALSE)),VLOOKUP($A114,Haver_M!$B$1:$BZ$300,MATCH(data!BW$1,Haver_M!$B$1:$BZ$1,0),FALSE),"")</f>
        <v>48.533999999999999</v>
      </c>
      <c r="BX114">
        <f>IF(ISNUMBER(VLOOKUP($A114,Haver_M!$B$1:$BZ$300,MATCH(data!BX$1,Haver_M!$B$1:$BZ$1,0),FALSE)),VLOOKUP($A114,Haver_M!$B$1:$BZ$300,MATCH(data!BX$1,Haver_M!$B$1:$BZ$1,0),FALSE),"")</f>
        <v>54826</v>
      </c>
    </row>
    <row r="115" spans="1:76" x14ac:dyDescent="0.25">
      <c r="A115" s="2">
        <v>39994</v>
      </c>
      <c r="B115">
        <f>IF(ISNUMBER(VLOOKUP($A115,Haver_Q!$B$1:$L$185,MATCH(data!B$1,Haver_Q!$B$1:$L$1,0),FALSE)),100*(VLOOKUP($A115,Haver_Q!$B$1:$L$185,MATCH(data!B$1,Haver_Q!$B$1:$L$1,0),FALSE)),"")</f>
        <v>23.574194284479908</v>
      </c>
      <c r="C115">
        <f>IF(ISNUMBER(VLOOKUP($A115,Haver_Q!$B$1:$L$185,MATCH(data!C$1,Haver_Q!$B$1:$L$1,0),FALSE)),100*(VLOOKUP($A115,Haver_Q!$B$1:$L$185,MATCH(data!C$1,Haver_Q!$B$1:$L$1,0),FALSE)),"")</f>
        <v>11.938970294289874</v>
      </c>
      <c r="D115">
        <f>IF(ISNUMBER(VLOOKUP($A115,Haver_Q!$B$1:$L$185,MATCH(data!D$1,Haver_Q!$B$1:$L$1,0),FALSE)),100*(VLOOKUP($A115,Haver_Q!$B$1:$L$185,MATCH(data!D$1,Haver_Q!$B$1:$L$1,0),FALSE)),"")</f>
        <v>23.609260317655089</v>
      </c>
      <c r="E115">
        <f>IF(ISNUMBER(VLOOKUP($A115,Haver_Q!$B$1:$L$185,MATCH(data!E$1,Haver_Q!$B$1:$L$1,0),FALSE)),100*(VLOOKUP($A115,Haver_Q!$B$1:$L$185,MATCH(data!E$1,Haver_Q!$B$1:$L$1,0),FALSE)),"")</f>
        <v>24.258600128547435</v>
      </c>
      <c r="F115">
        <f>IF(ISNUMBER(VLOOKUP($A115,Haver_Q!$B$1:$L$185,MATCH(data!F$1,Haver_Q!$B$1:$L$1,0),FALSE)),100*(VLOOKUP($A115,Haver_Q!$B$1:$L$185,MATCH(data!F$1,Haver_Q!$B$1:$L$1,0),FALSE)),"")</f>
        <v>15.70396003548986</v>
      </c>
      <c r="G115">
        <f>IF(ISNUMBER(VLOOKUP($A115,Haver_Q!$B$1:$L$185,MATCH(data!G$1,Haver_Q!$B$1:$L$1,0),FALSE)),100*(VLOOKUP($A115,Haver_Q!$B$1:$L$185,MATCH(data!G$1,Haver_Q!$B$1:$L$1,0),FALSE)),"")</f>
        <v>6.3917770221742831</v>
      </c>
      <c r="H115">
        <f>IF(ISNUMBER(VLOOKUP($A115,Haver_Q!$B$1:$L$185,MATCH(data!H$1,Haver_Q!$B$1:$L$1,0),FALSE)),(VLOOKUP($A115,Haver_Q!$B$1:$L$185,MATCH(data!H$1,Haver_Q!$B$1:$L$1,0),FALSE)),"")</f>
        <v>4.8825149377798951</v>
      </c>
      <c r="I115">
        <f>IF(ISNUMBER(VLOOKUP($A115,Haver_Q!$B$1:$L$185,MATCH(data!I$1,Haver_Q!$B$1:$L$1,0),FALSE)),100*(VLOOKUP($A115,Haver_Q!$B$1:$L$185,MATCH(data!I$1,Haver_Q!$B$1:$L$1,0),FALSE)),"")</f>
        <v>4.9936831104626433</v>
      </c>
      <c r="J115" s="3">
        <f>IF(ISNUMBER(Bloomberg_m!C131),Bloomberg_m!C131,"")</f>
        <v>3823</v>
      </c>
      <c r="K115" s="3" t="str">
        <f>IF(ISNUMBER(Bloomberg_m!D131),Bloomberg_m!D131,"")</f>
        <v/>
      </c>
      <c r="L115" s="3" t="str">
        <f>IF(ISNUMBER(Bloomberg_m!E131),Bloomberg_m!E131,"")</f>
        <v/>
      </c>
      <c r="M115" s="3">
        <f>IF(ISNUMBER(Bloomberg_m!F131),Bloomberg_m!F131,"")</f>
        <v>485.11</v>
      </c>
      <c r="N115">
        <f>IF(ISNUMBER(VLOOKUP($A115,Haver_M!$B$1:$BZ$300,MATCH(data!N$1,Haver_M!$B$1:$BZ$1,0),FALSE)),VLOOKUP($A115,Haver_M!$B$1:$BZ$300,MATCH(data!N$1,Haver_M!$B$1:$BZ$1,0),FALSE),"")</f>
        <v>4.75</v>
      </c>
      <c r="O115">
        <f>IF(ISNUMBER(VLOOKUP($A115,Haver_M!$B$1:$BZ$300,MATCH(data!O$1,Haver_M!$B$1:$BZ$1,0),FALSE)),VLOOKUP($A115,Haver_M!$B$1:$BZ$300,MATCH(data!O$1,Haver_M!$B$1:$BZ$1,0),FALSE),"")</f>
        <v>6.9535999999999998</v>
      </c>
      <c r="P115">
        <f>IF(ISNUMBER(VLOOKUP($A115,Haver_M!$B$1:$BZ$300,MATCH(data!P$1,Haver_M!$B$1:$BZ$1,0),FALSE)),VLOOKUP($A115,Haver_M!$B$1:$BZ$300,MATCH(data!P$1,Haver_M!$B$1:$BZ$1,0),FALSE),"")</f>
        <v>91.891369999999995</v>
      </c>
      <c r="Q115">
        <f>IF(ISNUMBER(VLOOKUP($A115,Haver_M!$B$1:$BZ$300,MATCH(data!Q$1,Haver_M!$B$1:$BZ$1,0),FALSE)),VLOOKUP($A115,Haver_M!$B$1:$BZ$300,MATCH(data!Q$1,Haver_M!$B$1:$BZ$1,0),FALSE),"")</f>
        <v>75.099999999999994</v>
      </c>
      <c r="R115" t="str">
        <f>IF(ISNUMBER(VLOOKUP($A115,Haver_M!$B$1:$BZ$300,MATCH(data!R$1,Haver_M!$B$1:$BZ$1,0),FALSE)),VLOOKUP($A115,Haver_M!$B$1:$BZ$300,MATCH(data!R$1,Haver_M!$B$1:$BZ$1,0),FALSE),"")</f>
        <v/>
      </c>
      <c r="S115">
        <f>IF(ISNUMBER(VLOOKUP($A115,Haver_M!$B$1:$BZ$300,MATCH(data!S$1,Haver_M!$B$1:$BZ$1,0),FALSE)),VLOOKUP($A115,Haver_M!$B$1:$BZ$300,MATCH(data!S$1,Haver_M!$B$1:$BZ$1,0),FALSE),"")</f>
        <v>88.77</v>
      </c>
      <c r="T115">
        <f>IF(ISNUMBER(VLOOKUP($A115,Haver_M!$B$1:$BZ$300,MATCH(data!T$1,Haver_M!$B$1:$BZ$1,0),FALSE)),VLOOKUP($A115,Haver_M!$B$1:$BZ$300,MATCH(data!T$1,Haver_M!$B$1:$BZ$1,0),FALSE),"")</f>
        <v>88.01</v>
      </c>
      <c r="U115">
        <f>IF(ISNUMBER(VLOOKUP($A115,Haver_M!$B$1:$BZ$300,MATCH(data!U$1,Haver_M!$B$1:$BZ$1,0),FALSE)),VLOOKUP($A115,Haver_M!$B$1:$BZ$300,MATCH(data!U$1,Haver_M!$B$1:$BZ$1,0),FALSE),"")</f>
        <v>95.64</v>
      </c>
      <c r="V115">
        <f>IF(ISNUMBER(VLOOKUP($A115,Haver_M!$B$1:$BZ$300,MATCH(data!V$1,Haver_M!$B$1:$BZ$1,0),FALSE)),VLOOKUP($A115,Haver_M!$B$1:$BZ$300,MATCH(data!V$1,Haver_M!$B$1:$BZ$1,0),FALSE),"")</f>
        <v>95.44</v>
      </c>
      <c r="W115" t="str">
        <f>IF(ISNUMBER(VLOOKUP($A115,Haver_M!$B$1:$BZ$300,MATCH(data!W$1,Haver_M!$B$1:$BZ$1,0),FALSE)),VLOOKUP($A115,Haver_M!$B$1:$BZ$300,MATCH(data!W$1,Haver_M!$B$1:$BZ$1,0),FALSE),"")</f>
        <v/>
      </c>
      <c r="X115">
        <f>IF(ISNUMBER(VLOOKUP($A115,Haver_M!$B$1:$BZ$300,MATCH(data!X$1,Haver_M!$B$1:$BZ$1,0),FALSE)),VLOOKUP($A115,Haver_M!$B$1:$BZ$300,MATCH(data!X$1,Haver_M!$B$1:$BZ$1,0),FALSE),"")</f>
        <v>76.14</v>
      </c>
      <c r="Y115">
        <f>IF(ISNUMBER(VLOOKUP($A115,Haver_M!$B$1:$BZ$300,MATCH(data!Y$1,Haver_M!$B$1:$BZ$1,0),FALSE)),VLOOKUP($A115,Haver_M!$B$1:$BZ$300,MATCH(data!Y$1,Haver_M!$B$1:$BZ$1,0),FALSE),"")</f>
        <v>87.38</v>
      </c>
      <c r="Z115">
        <f>IF(ISNUMBER(VLOOKUP($A115,Haver_M!$B$1:$BZ$300,MATCH(data!Z$1,Haver_M!$B$1:$BZ$1,0),FALSE)),VLOOKUP($A115,Haver_M!$B$1:$BZ$300,MATCH(data!Z$1,Haver_M!$B$1:$BZ$1,0),FALSE),"")</f>
        <v>89.7</v>
      </c>
      <c r="AA115">
        <f>IF(ISNUMBER(VLOOKUP($A115,Haver_M!$B$1:$BZ$300,MATCH(data!AA$1,Haver_M!$B$1:$BZ$1,0),FALSE)),VLOOKUP($A115,Haver_M!$B$1:$BZ$300,MATCH(data!AA$1,Haver_M!$B$1:$BZ$1,0),FALSE),"")</f>
        <v>99.838999999999999</v>
      </c>
      <c r="AB115">
        <f>IF(ISNUMBER(VLOOKUP($A115,Haver_M!$B$1:$BZ$300,MATCH(data!AB$1,Haver_M!$B$1:$BZ$1,0),FALSE)),VLOOKUP($A115,Haver_M!$B$1:$BZ$300,MATCH(data!AB$1,Haver_M!$B$1:$BZ$1,0),FALSE),"")</f>
        <v>88.168000000000006</v>
      </c>
      <c r="AC115">
        <f>IF(ISNUMBER(VLOOKUP($A115,Haver_M!$B$1:$BZ$300,MATCH(data!AC$1,Haver_M!$B$1:$BZ$1,0),FALSE)),VLOOKUP($A115,Haver_M!$B$1:$BZ$300,MATCH(data!AC$1,Haver_M!$B$1:$BZ$1,0),FALSE),"")</f>
        <v>93.188000000000002</v>
      </c>
      <c r="AD115">
        <f>IF(ISNUMBER(VLOOKUP($A115,Haver_M!$B$1:$BZ$300,MATCH(data!AD$1,Haver_M!$B$1:$BZ$1,0),FALSE)),VLOOKUP($A115,Haver_M!$B$1:$BZ$300,MATCH(data!AD$1,Haver_M!$B$1:$BZ$1,0),FALSE),"")</f>
        <v>93.912999999999997</v>
      </c>
      <c r="AE115">
        <f>IF(ISNUMBER(VLOOKUP($A115,Haver_M!$B$1:$BZ$300,MATCH(data!AE$1,Haver_M!$B$1:$BZ$1,0),FALSE)),VLOOKUP($A115,Haver_M!$B$1:$BZ$300,MATCH(data!AE$1,Haver_M!$B$1:$BZ$1,0),FALSE),"")</f>
        <v>106.194</v>
      </c>
      <c r="AF115">
        <f>IF(ISNUMBER(VLOOKUP($A115,Haver_M!$B$1:$BZ$300,MATCH(data!AF$1,Haver_M!$B$1:$BZ$1,0),FALSE)),VLOOKUP($A115,Haver_M!$B$1:$BZ$300,MATCH(data!AF$1,Haver_M!$B$1:$BZ$1,0),FALSE),"")</f>
        <v>81.346000000000004</v>
      </c>
      <c r="AG115">
        <f>IF(ISNUMBER(VLOOKUP($A115,Haver_M!$B$1:$BZ$300,MATCH(data!AG$1,Haver_M!$B$1:$BZ$1,0),FALSE)),VLOOKUP($A115,Haver_M!$B$1:$BZ$300,MATCH(data!AG$1,Haver_M!$B$1:$BZ$1,0),FALSE),"")</f>
        <v>88.412999999999997</v>
      </c>
      <c r="AH115">
        <f>IF(ISNUMBER(VLOOKUP($A115,Haver_M!$B$1:$BZ$300,MATCH(data!AH$1,Haver_M!$B$1:$BZ$1,0),FALSE)),VLOOKUP($A115,Haver_M!$B$1:$BZ$300,MATCH(data!AH$1,Haver_M!$B$1:$BZ$1,0),FALSE),"")</f>
        <v>86.968000000000004</v>
      </c>
      <c r="AI115">
        <f>IF(ISNUMBER(VLOOKUP($A115,Haver_M!$B$1:$BZ$300,MATCH(data!AI$1,Haver_M!$B$1:$BZ$1,0),FALSE)),VLOOKUP($A115,Haver_M!$B$1:$BZ$300,MATCH(data!AI$1,Haver_M!$B$1:$BZ$1,0),FALSE),"")</f>
        <v>11680.682666074843</v>
      </c>
      <c r="AJ115">
        <f>IF(ISNUMBER(VLOOKUP($A115,Haver_M!$B$1:$BZ$300,MATCH(data!AJ$1,Haver_M!$B$1:$BZ$1,0),FALSE)),VLOOKUP($A115,Haver_M!$B$1:$BZ$300,MATCH(data!AJ$1,Haver_M!$B$1:$BZ$1,0),FALSE),"")</f>
        <v>13136.08</v>
      </c>
      <c r="AK115">
        <f>IF(ISNUMBER(VLOOKUP($A115,Haver_M!$B$1:$BZ$300,MATCH(data!AK$1,Haver_M!$B$1:$BZ$1,0),FALSE)),VLOOKUP($A115,Haver_M!$B$1:$BZ$300,MATCH(data!AK$1,Haver_M!$B$1:$BZ$1,0),FALSE),"")</f>
        <v>22776.1</v>
      </c>
      <c r="AL115" t="str">
        <f>IF(ISNUMBER(VLOOKUP($A115,Haver_M!$B$1:$BZ$300,MATCH(data!AL$1,Haver_M!$B$1:$BZ$1,0),FALSE)),VLOOKUP($A115,Haver_M!$B$1:$BZ$300,MATCH(data!AL$1,Haver_M!$B$1:$BZ$1,0),FALSE),"")</f>
        <v/>
      </c>
      <c r="AM115" t="str">
        <f>IF(ISNUMBER(VLOOKUP($A115,Haver_M!$B$1:$BZ$300,MATCH(data!AM$1,Haver_M!$B$1:$BZ$1,0),FALSE)),VLOOKUP($A115,Haver_M!$B$1:$BZ$300,MATCH(data!AM$1,Haver_M!$B$1:$BZ$1,0),FALSE),"")</f>
        <v/>
      </c>
      <c r="AN115" t="str">
        <f>IF(ISNUMBER(VLOOKUP($A115,Haver_M!$B$1:$BZ$300,MATCH(data!AN$1,Haver_M!$B$1:$BZ$1,0),FALSE)),VLOOKUP($A115,Haver_M!$B$1:$BZ$300,MATCH(data!AN$1,Haver_M!$B$1:$BZ$1,0),FALSE),"")</f>
        <v/>
      </c>
      <c r="AO115" t="str">
        <f>IF(ISNUMBER(VLOOKUP($A115,Haver_M!$B$1:$BZ$300,MATCH(data!AO$1,Haver_M!$B$1:$BZ$1,0),FALSE)),VLOOKUP($A115,Haver_M!$B$1:$BZ$300,MATCH(data!AO$1,Haver_M!$B$1:$BZ$1,0),FALSE),"")</f>
        <v/>
      </c>
      <c r="AP115">
        <f>IF(ISNUMBER(VLOOKUP($A115,Haver_M!$B$1:$BZ$300,MATCH(data!AP$1,Haver_M!$B$1:$BZ$1,0),FALSE)),VLOOKUP($A115,Haver_M!$B$1:$BZ$300,MATCH(data!AP$1,Haver_M!$B$1:$BZ$1,0),FALSE),"")</f>
        <v>103.0265438746794</v>
      </c>
      <c r="AQ115">
        <f>IF(ISNUMBER(VLOOKUP($A115,Haver_M!$B$1:$BZ$300,MATCH(data!AQ$1,Haver_M!$B$1:$BZ$1,0),FALSE)),VLOOKUP($A115,Haver_M!$B$1:$BZ$300,MATCH(data!AQ$1,Haver_M!$B$1:$BZ$1,0),FALSE),"")</f>
        <v>54.696100000000001</v>
      </c>
      <c r="AR115">
        <f>IF(ISNUMBER(VLOOKUP($A115,Haver_M!$B$1:$BZ$300,MATCH(data!AR$1,Haver_M!$B$1:$BZ$1,0),FALSE)),VLOOKUP($A115,Haver_M!$B$1:$BZ$300,MATCH(data!AR$1,Haver_M!$B$1:$BZ$1,0),FALSE),"")</f>
        <v>55.335000000000001</v>
      </c>
      <c r="AS115">
        <f>IF(ISNUMBER(VLOOKUP($A115,Haver_M!$B$1:$BZ$300,MATCH(data!AS$1,Haver_M!$B$1:$BZ$1,0),FALSE)),VLOOKUP($A115,Haver_M!$B$1:$BZ$300,MATCH(data!AS$1,Haver_M!$B$1:$BZ$1,0),FALSE),"")</f>
        <v>53.458300000000001</v>
      </c>
      <c r="AT115">
        <f>IF(ISNUMBER(VLOOKUP($A115,Haver_M!$B$1:$BZ$300,MATCH(data!AT$1,Haver_M!$B$1:$BZ$1,0),FALSE)),VLOOKUP($A115,Haver_M!$B$1:$BZ$300,MATCH(data!AT$1,Haver_M!$B$1:$BZ$1,0),FALSE),"")</f>
        <v>57.4786</v>
      </c>
      <c r="AU115">
        <f>IF(ISNUMBER(VLOOKUP($A115,Haver_M!$B$1:$BZ$300,MATCH(data!AU$1,Haver_M!$B$1:$BZ$1,0),FALSE)),VLOOKUP($A115,Haver_M!$B$1:$BZ$300,MATCH(data!AU$1,Haver_M!$B$1:$BZ$1,0),FALSE),"")</f>
        <v>58.561999999999998</v>
      </c>
      <c r="AV115">
        <f>IF(ISNUMBER(VLOOKUP($A115,Haver_M!$B$1:$BZ$300,MATCH(data!AV$1,Haver_M!$B$1:$BZ$1,0),FALSE)),VLOOKUP($A115,Haver_M!$B$1:$BZ$300,MATCH(data!AV$1,Haver_M!$B$1:$BZ$1,0),FALSE),"")</f>
        <v>50.5886</v>
      </c>
      <c r="AW115">
        <f>IF(ISNUMBER(VLOOKUP($A115,Haver_M!$B$1:$BZ$300,MATCH(data!AW$1,Haver_M!$B$1:$BZ$1,0),FALSE)),VLOOKUP($A115,Haver_M!$B$1:$BZ$300,MATCH(data!AW$1,Haver_M!$B$1:$BZ$1,0),FALSE),"")</f>
        <v>49.140700000000002</v>
      </c>
      <c r="AX115">
        <f>IF(ISNUMBER(VLOOKUP($A115,Haver_M!$B$1:$BZ$300,MATCH(data!AX$1,Haver_M!$B$1:$BZ$1,0),FALSE)),VLOOKUP($A115,Haver_M!$B$1:$BZ$300,MATCH(data!AX$1,Haver_M!$B$1:$BZ$1,0),FALSE),"")</f>
        <v>56.501800000000003</v>
      </c>
      <c r="AY115">
        <f>IF(ISNUMBER(VLOOKUP($A115,Haver_M!$B$1:$BZ$300,MATCH(data!AY$1,Haver_M!$B$1:$BZ$1,0),FALSE)),VLOOKUP($A115,Haver_M!$B$1:$BZ$300,MATCH(data!AY$1,Haver_M!$B$1:$BZ$1,0),FALSE),"")</f>
        <v>53.300400000000003</v>
      </c>
      <c r="AZ115">
        <f>IF(ISNUMBER(VLOOKUP($A115,Haver_M!$B$1:$BZ$300,MATCH(data!AZ$1,Haver_M!$B$1:$BZ$1,0),FALSE)),VLOOKUP($A115,Haver_M!$B$1:$BZ$300,MATCH(data!AZ$1,Haver_M!$B$1:$BZ$1,0),FALSE),"")</f>
        <v>56.9345</v>
      </c>
      <c r="BA115">
        <f>IF(ISNUMBER(VLOOKUP($A115,Haver_M!$B$1:$BZ$300,MATCH(data!BA$1,Haver_M!$B$1:$BZ$1,0),FALSE)),VLOOKUP($A115,Haver_M!$B$1:$BZ$300,MATCH(data!BA$1,Haver_M!$B$1:$BZ$1,0),FALSE),"")</f>
        <v>56.501800000000003</v>
      </c>
      <c r="BB115">
        <f>IF(ISNUMBER(VLOOKUP($A115,Haver_M!$B$1:$BZ$300,MATCH(data!BB$1,Haver_M!$B$1:$BZ$1,0),FALSE)),VLOOKUP($A115,Haver_M!$B$1:$BZ$300,MATCH(data!BB$1,Haver_M!$B$1:$BZ$1,0),FALSE),"")</f>
        <v>52.064300000000003</v>
      </c>
      <c r="BC115">
        <f>IF(ISNUMBER(VLOOKUP($A115,Haver_M!$B$1:$BZ$300,MATCH(data!BC$1,Haver_M!$B$1:$BZ$1,0),FALSE)),VLOOKUP($A115,Haver_M!$B$1:$BZ$300,MATCH(data!BC$1,Haver_M!$B$1:$BZ$1,0),FALSE),"")</f>
        <v>51.758299999999998</v>
      </c>
      <c r="BD115">
        <f>IF(ISNUMBER(VLOOKUP($A115,Haver_M!$B$1:$BZ$300,MATCH(data!BD$1,Haver_M!$B$1:$BZ$1,0),FALSE)),VLOOKUP($A115,Haver_M!$B$1:$BZ$300,MATCH(data!BD$1,Haver_M!$B$1:$BZ$1,0),FALSE),"")</f>
        <v>49.720300000000002</v>
      </c>
      <c r="BE115">
        <f>IF(ISNUMBER(VLOOKUP($A115,Haver_M!$B$1:$BZ$300,MATCH(data!BE$1,Haver_M!$B$1:$BZ$1,0),FALSE)),VLOOKUP($A115,Haver_M!$B$1:$BZ$300,MATCH(data!BE$1,Haver_M!$B$1:$BZ$1,0),FALSE),"")</f>
        <v>1.1677</v>
      </c>
      <c r="BF115">
        <f>IF(ISNUMBER(VLOOKUP($A115,Haver_M!$B$1:$BZ$300,MATCH(data!BF$1,Haver_M!$B$1:$BZ$1,0),FALSE)),VLOOKUP($A115,Haver_M!$B$1:$BZ$300,MATCH(data!BF$1,Haver_M!$B$1:$BZ$1,0),FALSE),"")</f>
        <v>50.363399999999999</v>
      </c>
      <c r="BG115">
        <f>IF(ISNUMBER(VLOOKUP($A115,Haver_M!$B$1:$BZ$300,MATCH(data!BG$1,Haver_M!$B$1:$BZ$1,0),FALSE)),VLOOKUP($A115,Haver_M!$B$1:$BZ$300,MATCH(data!BG$1,Haver_M!$B$1:$BZ$1,0),FALSE),"")</f>
        <v>50.011699999999998</v>
      </c>
      <c r="BH115">
        <f>IF(ISNUMBER(VLOOKUP($A115,Haver_M!$B$1:$BZ$300,MATCH(data!BH$1,Haver_M!$B$1:$BZ$1,0),FALSE)),VLOOKUP($A115,Haver_M!$B$1:$BZ$300,MATCH(data!BH$1,Haver_M!$B$1:$BZ$1,0),FALSE),"")</f>
        <v>55.045900000000003</v>
      </c>
      <c r="BI115">
        <f>IF(ISNUMBER(VLOOKUP($A115,Haver_M!$B$1:$BZ$300,MATCH(data!BI$1,Haver_M!$B$1:$BZ$1,0),FALSE)),VLOOKUP($A115,Haver_M!$B$1:$BZ$300,MATCH(data!BI$1,Haver_M!$B$1:$BZ$1,0),FALSE),"")</f>
        <v>53.163499999999999</v>
      </c>
      <c r="BJ115" t="str">
        <f>IF(ISNUMBER(VLOOKUP($A115,Haver_M!$B$1:$BZ$300,MATCH(data!BJ$1,Haver_M!$B$1:$BZ$1,0),FALSE)),VLOOKUP($A115,Haver_M!$B$1:$BZ$300,MATCH(data!BJ$1,Haver_M!$B$1:$BZ$1,0),FALSE),"")</f>
        <v/>
      </c>
      <c r="BK115">
        <f>IF(ISNUMBER(VLOOKUP($A115,Haver_M!$B$1:$BZ$300,MATCH(data!BK$1,Haver_M!$B$1:$BZ$1,0),FALSE)),VLOOKUP($A115,Haver_M!$B$1:$BZ$300,MATCH(data!BK$1,Haver_M!$B$1:$BZ$1,0),FALSE),"")</f>
        <v>52.811999999999998</v>
      </c>
      <c r="BL115">
        <f>IF(ISNUMBER(VLOOKUP($A115,Haver_M!$B$1:$BZ$300,MATCH(data!BL$1,Haver_M!$B$1:$BZ$1,0),FALSE)),VLOOKUP($A115,Haver_M!$B$1:$BZ$300,MATCH(data!BL$1,Haver_M!$B$1:$BZ$1,0),FALSE),"")</f>
        <v>14782.47</v>
      </c>
      <c r="BM115">
        <f>IF(ISNUMBER(VLOOKUP($A115,Haver_M!$B$1:$BZ$300,MATCH(data!BM$1,Haver_M!$B$1:$BZ$1,0),FALSE)),VLOOKUP($A115,Haver_M!$B$1:$BZ$300,MATCH(data!BM$1,Haver_M!$B$1:$BZ$1,0),FALSE),"")</f>
        <v>89.840130380000005</v>
      </c>
      <c r="BN115">
        <f>IF(ISNUMBER(VLOOKUP($A115,Haver_M!$B$1:$BZ$300,MATCH(data!BN$1,Haver_M!$B$1:$BZ$1,0),FALSE)),VLOOKUP($A115,Haver_M!$B$1:$BZ$300,MATCH(data!BN$1,Haver_M!$B$1:$BZ$1,0),FALSE),"")</f>
        <v>99.4</v>
      </c>
      <c r="BO115">
        <f>IF(ISNUMBER(VLOOKUP($A115,Haver_M!$B$1:$BZ$300,MATCH(data!BO$1,Haver_M!$B$1:$BZ$1,0),FALSE)),VLOOKUP($A115,Haver_M!$B$1:$BZ$300,MATCH(data!BO$1,Haver_M!$B$1:$BZ$1,0),FALSE),"")</f>
        <v>96.4</v>
      </c>
      <c r="BP115">
        <f>IF(ISNUMBER(VLOOKUP($A115,Haver_M!$B$1:$BZ$300,MATCH(data!BP$1,Haver_M!$B$1:$BZ$1,0),FALSE)),VLOOKUP($A115,Haver_M!$B$1:$BZ$300,MATCH(data!BP$1,Haver_M!$B$1:$BZ$1,0),FALSE),"")</f>
        <v>11.2</v>
      </c>
      <c r="BQ115">
        <f>IF(ISNUMBER(VLOOKUP($A115,Haver_M!$B$1:$BZ$300,MATCH(data!BQ$1,Haver_M!$B$1:$BZ$1,0),FALSE)),VLOOKUP($A115,Haver_M!$B$1:$BZ$300,MATCH(data!BQ$1,Haver_M!$B$1:$BZ$1,0),FALSE),"")</f>
        <v>116.4645327126279</v>
      </c>
      <c r="BR115">
        <f>IF(ISNUMBER(VLOOKUP($A115,Haver_M!$B$1:$BZ$300,MATCH(data!BR$1,Haver_M!$B$1:$BZ$1,0),FALSE)),VLOOKUP($A115,Haver_M!$B$1:$BZ$300,MATCH(data!BR$1,Haver_M!$B$1:$BZ$1,0),FALSE),"")</f>
        <v>221.47901770015238</v>
      </c>
      <c r="BS115">
        <f>IF(ISNUMBER(VLOOKUP($A115,Haver_M!$B$1:$BZ$300,MATCH(data!BS$1,Haver_M!$B$1:$BZ$1,0),FALSE)),VLOOKUP($A115,Haver_M!$B$1:$BZ$300,MATCH(data!BS$1,Haver_M!$B$1:$BZ$1,0),FALSE),"")</f>
        <v>132.93890349481723</v>
      </c>
      <c r="BT115">
        <f>IF(ISNUMBER(VLOOKUP($A115,Haver_M!$B$1:$BZ$300,MATCH(data!BT$1,Haver_M!$B$1:$BZ$1,0),FALSE)),VLOOKUP($A115,Haver_M!$B$1:$BZ$300,MATCH(data!BT$1,Haver_M!$B$1:$BZ$1,0),FALSE),"")</f>
        <v>540.06564294924397</v>
      </c>
      <c r="BU115">
        <f>IF(ISNUMBER(VLOOKUP($A115,Haver_M!$B$1:$BZ$300,MATCH(data!BU$1,Haver_M!$B$1:$BZ$1,0),FALSE)),VLOOKUP($A115,Haver_M!$B$1:$BZ$300,MATCH(data!BU$1,Haver_M!$B$1:$BZ$1,0),FALSE),"")</f>
        <v>13606.3</v>
      </c>
      <c r="BV115">
        <f>IF(ISNUMBER(VLOOKUP($A115,Haver_M!$B$1:$BZ$300,MATCH(data!BV$1,Haver_M!$B$1:$BZ$1,0),FALSE)),VLOOKUP($A115,Haver_M!$B$1:$BZ$300,MATCH(data!BV$1,Haver_M!$B$1:$BZ$1,0),FALSE),"")</f>
        <v>23055</v>
      </c>
      <c r="BW115">
        <f>IF(ISNUMBER(VLOOKUP($A115,Haver_M!$B$1:$BZ$300,MATCH(data!BW$1,Haver_M!$B$1:$BZ$1,0),FALSE)),VLOOKUP($A115,Haver_M!$B$1:$BZ$300,MATCH(data!BW$1,Haver_M!$B$1:$BZ$1,0),FALSE),"")</f>
        <v>47.773600000000002</v>
      </c>
      <c r="BX115">
        <f>IF(ISNUMBER(VLOOKUP($A115,Haver_M!$B$1:$BZ$300,MATCH(data!BX$1,Haver_M!$B$1:$BZ$1,0),FALSE)),VLOOKUP($A115,Haver_M!$B$1:$BZ$300,MATCH(data!BX$1,Haver_M!$B$1:$BZ$1,0),FALSE),"")</f>
        <v>53183</v>
      </c>
    </row>
    <row r="116" spans="1:76" x14ac:dyDescent="0.25">
      <c r="A116" s="2">
        <v>40025</v>
      </c>
      <c r="B116" t="str">
        <f>IF(ISNUMBER(VLOOKUP($A116,Haver_Q!$B$1:$L$185,MATCH(data!B$1,Haver_Q!$B$1:$L$1,0),FALSE)),100*(VLOOKUP($A116,Haver_Q!$B$1:$L$185,MATCH(data!B$1,Haver_Q!$B$1:$L$1,0),FALSE)),"")</f>
        <v/>
      </c>
      <c r="C116" t="str">
        <f>IF(ISNUMBER(VLOOKUP($A116,Haver_Q!$B$1:$L$185,MATCH(data!C$1,Haver_Q!$B$1:$L$1,0),FALSE)),100*(VLOOKUP($A116,Haver_Q!$B$1:$L$185,MATCH(data!C$1,Haver_Q!$B$1:$L$1,0),FALSE)),"")</f>
        <v/>
      </c>
      <c r="D116" t="str">
        <f>IF(ISNUMBER(VLOOKUP($A116,Haver_Q!$B$1:$L$185,MATCH(data!D$1,Haver_Q!$B$1:$L$1,0),FALSE)),100*(VLOOKUP($A116,Haver_Q!$B$1:$L$185,MATCH(data!D$1,Haver_Q!$B$1:$L$1,0),FALSE)),"")</f>
        <v/>
      </c>
      <c r="E116" t="str">
        <f>IF(ISNUMBER(VLOOKUP($A116,Haver_Q!$B$1:$L$185,MATCH(data!E$1,Haver_Q!$B$1:$L$1,0),FALSE)),100*(VLOOKUP($A116,Haver_Q!$B$1:$L$185,MATCH(data!E$1,Haver_Q!$B$1:$L$1,0),FALSE)),"")</f>
        <v/>
      </c>
      <c r="F116" t="str">
        <f>IF(ISNUMBER(VLOOKUP($A116,Haver_Q!$B$1:$L$185,MATCH(data!F$1,Haver_Q!$B$1:$L$1,0),FALSE)),100*(VLOOKUP($A116,Haver_Q!$B$1:$L$185,MATCH(data!F$1,Haver_Q!$B$1:$L$1,0),FALSE)),"")</f>
        <v/>
      </c>
      <c r="G116" t="str">
        <f>IF(ISNUMBER(VLOOKUP($A116,Haver_Q!$B$1:$L$185,MATCH(data!G$1,Haver_Q!$B$1:$L$1,0),FALSE)),100*(VLOOKUP($A116,Haver_Q!$B$1:$L$185,MATCH(data!G$1,Haver_Q!$B$1:$L$1,0),FALSE)),"")</f>
        <v/>
      </c>
      <c r="H116" t="str">
        <f>IF(ISNUMBER(VLOOKUP($A116,Haver_Q!$B$1:$L$185,MATCH(data!H$1,Haver_Q!$B$1:$L$1,0),FALSE)),(VLOOKUP($A116,Haver_Q!$B$1:$L$185,MATCH(data!H$1,Haver_Q!$B$1:$L$1,0),FALSE)),"")</f>
        <v/>
      </c>
      <c r="I116" t="str">
        <f>IF(ISNUMBER(VLOOKUP($A116,Haver_Q!$B$1:$L$185,MATCH(data!I$1,Haver_Q!$B$1:$L$1,0),FALSE)),100*(VLOOKUP($A116,Haver_Q!$B$1:$L$185,MATCH(data!I$1,Haver_Q!$B$1:$L$1,0),FALSE)),"")</f>
        <v/>
      </c>
      <c r="J116" s="3">
        <f>IF(ISNUMBER(Bloomberg_m!C132),Bloomberg_m!C132,"")</f>
        <v>3362</v>
      </c>
      <c r="K116" s="3" t="str">
        <f>IF(ISNUMBER(Bloomberg_m!D132),Bloomberg_m!D132,"")</f>
        <v/>
      </c>
      <c r="L116" s="3" t="str">
        <f>IF(ISNUMBER(Bloomberg_m!E132),Bloomberg_m!E132,"")</f>
        <v/>
      </c>
      <c r="M116" s="3">
        <f>IF(ISNUMBER(Bloomberg_m!F132),Bloomberg_m!F132,"")</f>
        <v>466.9</v>
      </c>
      <c r="N116">
        <f>IF(ISNUMBER(VLOOKUP($A116,Haver_M!$B$1:$BZ$300,MATCH(data!N$1,Haver_M!$B$1:$BZ$1,0),FALSE)),VLOOKUP($A116,Haver_M!$B$1:$BZ$300,MATCH(data!N$1,Haver_M!$B$1:$BZ$1,0),FALSE),"")</f>
        <v>4.75</v>
      </c>
      <c r="O116">
        <f>IF(ISNUMBER(VLOOKUP($A116,Haver_M!$B$1:$BZ$300,MATCH(data!O$1,Haver_M!$B$1:$BZ$1,0),FALSE)),VLOOKUP($A116,Haver_M!$B$1:$BZ$300,MATCH(data!O$1,Haver_M!$B$1:$BZ$1,0),FALSE),"")</f>
        <v>6.9926000000000004</v>
      </c>
      <c r="P116">
        <f>IF(ISNUMBER(VLOOKUP($A116,Haver_M!$B$1:$BZ$300,MATCH(data!P$1,Haver_M!$B$1:$BZ$1,0),FALSE)),VLOOKUP($A116,Haver_M!$B$1:$BZ$300,MATCH(data!P$1,Haver_M!$B$1:$BZ$1,0),FALSE),"")</f>
        <v>91.153270000000006</v>
      </c>
      <c r="Q116">
        <f>IF(ISNUMBER(VLOOKUP($A116,Haver_M!$B$1:$BZ$300,MATCH(data!Q$1,Haver_M!$B$1:$BZ$1,0),FALSE)),VLOOKUP($A116,Haver_M!$B$1:$BZ$300,MATCH(data!Q$1,Haver_M!$B$1:$BZ$1,0),FALSE),"")</f>
        <v>77.8</v>
      </c>
      <c r="R116" t="str">
        <f>IF(ISNUMBER(VLOOKUP($A116,Haver_M!$B$1:$BZ$300,MATCH(data!R$1,Haver_M!$B$1:$BZ$1,0),FALSE)),VLOOKUP($A116,Haver_M!$B$1:$BZ$300,MATCH(data!R$1,Haver_M!$B$1:$BZ$1,0),FALSE),"")</f>
        <v/>
      </c>
      <c r="S116">
        <f>IF(ISNUMBER(VLOOKUP($A116,Haver_M!$B$1:$BZ$300,MATCH(data!S$1,Haver_M!$B$1:$BZ$1,0),FALSE)),VLOOKUP($A116,Haver_M!$B$1:$BZ$300,MATCH(data!S$1,Haver_M!$B$1:$BZ$1,0),FALSE),"")</f>
        <v>90.06</v>
      </c>
      <c r="T116">
        <f>IF(ISNUMBER(VLOOKUP($A116,Haver_M!$B$1:$BZ$300,MATCH(data!T$1,Haver_M!$B$1:$BZ$1,0),FALSE)),VLOOKUP($A116,Haver_M!$B$1:$BZ$300,MATCH(data!T$1,Haver_M!$B$1:$BZ$1,0),FALSE),"")</f>
        <v>87.81</v>
      </c>
      <c r="U116">
        <f>IF(ISNUMBER(VLOOKUP($A116,Haver_M!$B$1:$BZ$300,MATCH(data!U$1,Haver_M!$B$1:$BZ$1,0),FALSE)),VLOOKUP($A116,Haver_M!$B$1:$BZ$300,MATCH(data!U$1,Haver_M!$B$1:$BZ$1,0),FALSE),"")</f>
        <v>93.7</v>
      </c>
      <c r="V116">
        <f>IF(ISNUMBER(VLOOKUP($A116,Haver_M!$B$1:$BZ$300,MATCH(data!V$1,Haver_M!$B$1:$BZ$1,0),FALSE)),VLOOKUP($A116,Haver_M!$B$1:$BZ$300,MATCH(data!V$1,Haver_M!$B$1:$BZ$1,0),FALSE),"")</f>
        <v>96.38</v>
      </c>
      <c r="W116" t="str">
        <f>IF(ISNUMBER(VLOOKUP($A116,Haver_M!$B$1:$BZ$300,MATCH(data!W$1,Haver_M!$B$1:$BZ$1,0),FALSE)),VLOOKUP($A116,Haver_M!$B$1:$BZ$300,MATCH(data!W$1,Haver_M!$B$1:$BZ$1,0),FALSE),"")</f>
        <v/>
      </c>
      <c r="X116">
        <f>IF(ISNUMBER(VLOOKUP($A116,Haver_M!$B$1:$BZ$300,MATCH(data!X$1,Haver_M!$B$1:$BZ$1,0),FALSE)),VLOOKUP($A116,Haver_M!$B$1:$BZ$300,MATCH(data!X$1,Haver_M!$B$1:$BZ$1,0),FALSE),"")</f>
        <v>80.37</v>
      </c>
      <c r="Y116">
        <f>IF(ISNUMBER(VLOOKUP($A116,Haver_M!$B$1:$BZ$300,MATCH(data!Y$1,Haver_M!$B$1:$BZ$1,0),FALSE)),VLOOKUP($A116,Haver_M!$B$1:$BZ$300,MATCH(data!Y$1,Haver_M!$B$1:$BZ$1,0),FALSE),"")</f>
        <v>92.3</v>
      </c>
      <c r="Z116">
        <f>IF(ISNUMBER(VLOOKUP($A116,Haver_M!$B$1:$BZ$300,MATCH(data!Z$1,Haver_M!$B$1:$BZ$1,0),FALSE)),VLOOKUP($A116,Haver_M!$B$1:$BZ$300,MATCH(data!Z$1,Haver_M!$B$1:$BZ$1,0),FALSE),"")</f>
        <v>88.4</v>
      </c>
      <c r="AA116">
        <f>IF(ISNUMBER(VLOOKUP($A116,Haver_M!$B$1:$BZ$300,MATCH(data!AA$1,Haver_M!$B$1:$BZ$1,0),FALSE)),VLOOKUP($A116,Haver_M!$B$1:$BZ$300,MATCH(data!AA$1,Haver_M!$B$1:$BZ$1,0),FALSE),"")</f>
        <v>97.778000000000006</v>
      </c>
      <c r="AB116">
        <f>IF(ISNUMBER(VLOOKUP($A116,Haver_M!$B$1:$BZ$300,MATCH(data!AB$1,Haver_M!$B$1:$BZ$1,0),FALSE)),VLOOKUP($A116,Haver_M!$B$1:$BZ$300,MATCH(data!AB$1,Haver_M!$B$1:$BZ$1,0),FALSE),"")</f>
        <v>87.272000000000006</v>
      </c>
      <c r="AC116">
        <f>IF(ISNUMBER(VLOOKUP($A116,Haver_M!$B$1:$BZ$300,MATCH(data!AC$1,Haver_M!$B$1:$BZ$1,0),FALSE)),VLOOKUP($A116,Haver_M!$B$1:$BZ$300,MATCH(data!AC$1,Haver_M!$B$1:$BZ$1,0),FALSE),"")</f>
        <v>95.007000000000005</v>
      </c>
      <c r="AD116">
        <f>IF(ISNUMBER(VLOOKUP($A116,Haver_M!$B$1:$BZ$300,MATCH(data!AD$1,Haver_M!$B$1:$BZ$1,0),FALSE)),VLOOKUP($A116,Haver_M!$B$1:$BZ$300,MATCH(data!AD$1,Haver_M!$B$1:$BZ$1,0),FALSE),"")</f>
        <v>87.058000000000007</v>
      </c>
      <c r="AE116">
        <f>IF(ISNUMBER(VLOOKUP($A116,Haver_M!$B$1:$BZ$300,MATCH(data!AE$1,Haver_M!$B$1:$BZ$1,0),FALSE)),VLOOKUP($A116,Haver_M!$B$1:$BZ$300,MATCH(data!AE$1,Haver_M!$B$1:$BZ$1,0),FALSE),"")</f>
        <v>98.382000000000005</v>
      </c>
      <c r="AF116">
        <f>IF(ISNUMBER(VLOOKUP($A116,Haver_M!$B$1:$BZ$300,MATCH(data!AF$1,Haver_M!$B$1:$BZ$1,0),FALSE)),VLOOKUP($A116,Haver_M!$B$1:$BZ$300,MATCH(data!AF$1,Haver_M!$B$1:$BZ$1,0),FALSE),"")</f>
        <v>85.543999999999997</v>
      </c>
      <c r="AG116">
        <f>IF(ISNUMBER(VLOOKUP($A116,Haver_M!$B$1:$BZ$300,MATCH(data!AG$1,Haver_M!$B$1:$BZ$1,0),FALSE)),VLOOKUP($A116,Haver_M!$B$1:$BZ$300,MATCH(data!AG$1,Haver_M!$B$1:$BZ$1,0),FALSE),"")</f>
        <v>88.650999999999996</v>
      </c>
      <c r="AH116">
        <f>IF(ISNUMBER(VLOOKUP($A116,Haver_M!$B$1:$BZ$300,MATCH(data!AH$1,Haver_M!$B$1:$BZ$1,0),FALSE)),VLOOKUP($A116,Haver_M!$B$1:$BZ$300,MATCH(data!AH$1,Haver_M!$B$1:$BZ$1,0),FALSE),"")</f>
        <v>85.656999999999996</v>
      </c>
      <c r="AI116">
        <f>IF(ISNUMBER(VLOOKUP($A116,Haver_M!$B$1:$BZ$300,MATCH(data!AI$1,Haver_M!$B$1:$BZ$1,0),FALSE)),VLOOKUP($A116,Haver_M!$B$1:$BZ$300,MATCH(data!AI$1,Haver_M!$B$1:$BZ$1,0),FALSE),"")</f>
        <v>11539.119987383952</v>
      </c>
      <c r="AJ116">
        <f>IF(ISNUMBER(VLOOKUP($A116,Haver_M!$B$1:$BZ$300,MATCH(data!AJ$1,Haver_M!$B$1:$BZ$1,0),FALSE)),VLOOKUP($A116,Haver_M!$B$1:$BZ$300,MATCH(data!AJ$1,Haver_M!$B$1:$BZ$1,0),FALSE),"")</f>
        <v>13877.3</v>
      </c>
      <c r="AK116">
        <f>IF(ISNUMBER(VLOOKUP($A116,Haver_M!$B$1:$BZ$300,MATCH(data!AK$1,Haver_M!$B$1:$BZ$1,0),FALSE)),VLOOKUP($A116,Haver_M!$B$1:$BZ$300,MATCH(data!AK$1,Haver_M!$B$1:$BZ$1,0),FALSE),"")</f>
        <v>20512.72</v>
      </c>
      <c r="AL116" t="str">
        <f>IF(ISNUMBER(VLOOKUP($A116,Haver_M!$B$1:$BZ$300,MATCH(data!AL$1,Haver_M!$B$1:$BZ$1,0),FALSE)),VLOOKUP($A116,Haver_M!$B$1:$BZ$300,MATCH(data!AL$1,Haver_M!$B$1:$BZ$1,0),FALSE),"")</f>
        <v/>
      </c>
      <c r="AM116" t="str">
        <f>IF(ISNUMBER(VLOOKUP($A116,Haver_M!$B$1:$BZ$300,MATCH(data!AM$1,Haver_M!$B$1:$BZ$1,0),FALSE)),VLOOKUP($A116,Haver_M!$B$1:$BZ$300,MATCH(data!AM$1,Haver_M!$B$1:$BZ$1,0),FALSE),"")</f>
        <v/>
      </c>
      <c r="AN116" t="str">
        <f>IF(ISNUMBER(VLOOKUP($A116,Haver_M!$B$1:$BZ$300,MATCH(data!AN$1,Haver_M!$B$1:$BZ$1,0),FALSE)),VLOOKUP($A116,Haver_M!$B$1:$BZ$300,MATCH(data!AN$1,Haver_M!$B$1:$BZ$1,0),FALSE),"")</f>
        <v/>
      </c>
      <c r="AO116" t="str">
        <f>IF(ISNUMBER(VLOOKUP($A116,Haver_M!$B$1:$BZ$300,MATCH(data!AO$1,Haver_M!$B$1:$BZ$1,0),FALSE)),VLOOKUP($A116,Haver_M!$B$1:$BZ$300,MATCH(data!AO$1,Haver_M!$B$1:$BZ$1,0),FALSE),"")</f>
        <v/>
      </c>
      <c r="AP116">
        <f>IF(ISNUMBER(VLOOKUP($A116,Haver_M!$B$1:$BZ$300,MATCH(data!AP$1,Haver_M!$B$1:$BZ$1,0),FALSE)),VLOOKUP($A116,Haver_M!$B$1:$BZ$300,MATCH(data!AP$1,Haver_M!$B$1:$BZ$1,0),FALSE),"")</f>
        <v>127.96061244775191</v>
      </c>
      <c r="AQ116">
        <f>IF(ISNUMBER(VLOOKUP($A116,Haver_M!$B$1:$BZ$300,MATCH(data!AQ$1,Haver_M!$B$1:$BZ$1,0),FALSE)),VLOOKUP($A116,Haver_M!$B$1:$BZ$300,MATCH(data!AQ$1,Haver_M!$B$1:$BZ$1,0),FALSE),"")</f>
        <v>55.565100000000001</v>
      </c>
      <c r="AR116">
        <f>IF(ISNUMBER(VLOOKUP($A116,Haver_M!$B$1:$BZ$300,MATCH(data!AR$1,Haver_M!$B$1:$BZ$1,0),FALSE)),VLOOKUP($A116,Haver_M!$B$1:$BZ$300,MATCH(data!AR$1,Haver_M!$B$1:$BZ$1,0),FALSE),"")</f>
        <v>55.4099</v>
      </c>
      <c r="AS116">
        <f>IF(ISNUMBER(VLOOKUP($A116,Haver_M!$B$1:$BZ$300,MATCH(data!AS$1,Haver_M!$B$1:$BZ$1,0),FALSE)),VLOOKUP($A116,Haver_M!$B$1:$BZ$300,MATCH(data!AS$1,Haver_M!$B$1:$BZ$1,0),FALSE),"")</f>
        <v>54.744</v>
      </c>
      <c r="AT116">
        <f>IF(ISNUMBER(VLOOKUP($A116,Haver_M!$B$1:$BZ$300,MATCH(data!AT$1,Haver_M!$B$1:$BZ$1,0),FALSE)),VLOOKUP($A116,Haver_M!$B$1:$BZ$300,MATCH(data!AT$1,Haver_M!$B$1:$BZ$1,0),FALSE),"")</f>
        <v>57.410899999999998</v>
      </c>
      <c r="AU116">
        <f>IF(ISNUMBER(VLOOKUP($A116,Haver_M!$B$1:$BZ$300,MATCH(data!AU$1,Haver_M!$B$1:$BZ$1,0),FALSE)),VLOOKUP($A116,Haver_M!$B$1:$BZ$300,MATCH(data!AU$1,Haver_M!$B$1:$BZ$1,0),FALSE),"")</f>
        <v>59.968200000000003</v>
      </c>
      <c r="AV116">
        <f>IF(ISNUMBER(VLOOKUP($A116,Haver_M!$B$1:$BZ$300,MATCH(data!AV$1,Haver_M!$B$1:$BZ$1,0),FALSE)),VLOOKUP($A116,Haver_M!$B$1:$BZ$300,MATCH(data!AV$1,Haver_M!$B$1:$BZ$1,0),FALSE),"")</f>
        <v>49.848700000000001</v>
      </c>
      <c r="AW116">
        <f>IF(ISNUMBER(VLOOKUP($A116,Haver_M!$B$1:$BZ$300,MATCH(data!AW$1,Haver_M!$B$1:$BZ$1,0),FALSE)),VLOOKUP($A116,Haver_M!$B$1:$BZ$300,MATCH(data!AW$1,Haver_M!$B$1:$BZ$1,0),FALSE),"")</f>
        <v>49.532299999999999</v>
      </c>
      <c r="AX116">
        <f>IF(ISNUMBER(VLOOKUP($A116,Haver_M!$B$1:$BZ$300,MATCH(data!AX$1,Haver_M!$B$1:$BZ$1,0),FALSE)),VLOOKUP($A116,Haver_M!$B$1:$BZ$300,MATCH(data!AX$1,Haver_M!$B$1:$BZ$1,0),FALSE),"")</f>
        <v>55.268000000000001</v>
      </c>
      <c r="AY116">
        <f>IF(ISNUMBER(VLOOKUP($A116,Haver_M!$B$1:$BZ$300,MATCH(data!AY$1,Haver_M!$B$1:$BZ$1,0),FALSE)),VLOOKUP($A116,Haver_M!$B$1:$BZ$300,MATCH(data!AY$1,Haver_M!$B$1:$BZ$1,0),FALSE),"")</f>
        <v>56.329799999999999</v>
      </c>
      <c r="AZ116">
        <f>IF(ISNUMBER(VLOOKUP($A116,Haver_M!$B$1:$BZ$300,MATCH(data!AZ$1,Haver_M!$B$1:$BZ$1,0),FALSE)),VLOOKUP($A116,Haver_M!$B$1:$BZ$300,MATCH(data!AZ$1,Haver_M!$B$1:$BZ$1,0),FALSE),"")</f>
        <v>56.527299999999997</v>
      </c>
      <c r="BA116">
        <f>IF(ISNUMBER(VLOOKUP($A116,Haver_M!$B$1:$BZ$300,MATCH(data!BA$1,Haver_M!$B$1:$BZ$1,0),FALSE)),VLOOKUP($A116,Haver_M!$B$1:$BZ$300,MATCH(data!BA$1,Haver_M!$B$1:$BZ$1,0),FALSE),"")</f>
        <v>55.268000000000001</v>
      </c>
      <c r="BB116">
        <f>IF(ISNUMBER(VLOOKUP($A116,Haver_M!$B$1:$BZ$300,MATCH(data!BB$1,Haver_M!$B$1:$BZ$1,0),FALSE)),VLOOKUP($A116,Haver_M!$B$1:$BZ$300,MATCH(data!BB$1,Haver_M!$B$1:$BZ$1,0),FALSE),"")</f>
        <v>52.7301</v>
      </c>
      <c r="BC116">
        <f>IF(ISNUMBER(VLOOKUP($A116,Haver_M!$B$1:$BZ$300,MATCH(data!BC$1,Haver_M!$B$1:$BZ$1,0),FALSE)),VLOOKUP($A116,Haver_M!$B$1:$BZ$300,MATCH(data!BC$1,Haver_M!$B$1:$BZ$1,0),FALSE),"")</f>
        <v>50.324800000000003</v>
      </c>
      <c r="BD116">
        <f>IF(ISNUMBER(VLOOKUP($A116,Haver_M!$B$1:$BZ$300,MATCH(data!BD$1,Haver_M!$B$1:$BZ$1,0),FALSE)),VLOOKUP($A116,Haver_M!$B$1:$BZ$300,MATCH(data!BD$1,Haver_M!$B$1:$BZ$1,0),FALSE),"")</f>
        <v>50.446899999999999</v>
      </c>
      <c r="BE116">
        <f>IF(ISNUMBER(VLOOKUP($A116,Haver_M!$B$1:$BZ$300,MATCH(data!BE$1,Haver_M!$B$1:$BZ$1,0),FALSE)),VLOOKUP($A116,Haver_M!$B$1:$BZ$300,MATCH(data!BE$1,Haver_M!$B$1:$BZ$1,0),FALSE),"")</f>
        <v>1.2105999999999999</v>
      </c>
      <c r="BF116">
        <f>IF(ISNUMBER(VLOOKUP($A116,Haver_M!$B$1:$BZ$300,MATCH(data!BF$1,Haver_M!$B$1:$BZ$1,0),FALSE)),VLOOKUP($A116,Haver_M!$B$1:$BZ$300,MATCH(data!BF$1,Haver_M!$B$1:$BZ$1,0),FALSE),"")</f>
        <v>51.012900000000002</v>
      </c>
      <c r="BG116">
        <f>IF(ISNUMBER(VLOOKUP($A116,Haver_M!$B$1:$BZ$300,MATCH(data!BG$1,Haver_M!$B$1:$BZ$1,0),FALSE)),VLOOKUP($A116,Haver_M!$B$1:$BZ$300,MATCH(data!BG$1,Haver_M!$B$1:$BZ$1,0),FALSE),"")</f>
        <v>50.892400000000002</v>
      </c>
      <c r="BH116">
        <f>IF(ISNUMBER(VLOOKUP($A116,Haver_M!$B$1:$BZ$300,MATCH(data!BH$1,Haver_M!$B$1:$BZ$1,0),FALSE)),VLOOKUP($A116,Haver_M!$B$1:$BZ$300,MATCH(data!BH$1,Haver_M!$B$1:$BZ$1,0),FALSE),"")</f>
        <v>55.0321</v>
      </c>
      <c r="BI116">
        <f>IF(ISNUMBER(VLOOKUP($A116,Haver_M!$B$1:$BZ$300,MATCH(data!BI$1,Haver_M!$B$1:$BZ$1,0),FALSE)),VLOOKUP($A116,Haver_M!$B$1:$BZ$300,MATCH(data!BI$1,Haver_M!$B$1:$BZ$1,0),FALSE),"")</f>
        <v>52.761000000000003</v>
      </c>
      <c r="BJ116" t="str">
        <f>IF(ISNUMBER(VLOOKUP($A116,Haver_M!$B$1:$BZ$300,MATCH(data!BJ$1,Haver_M!$B$1:$BZ$1,0),FALSE)),VLOOKUP($A116,Haver_M!$B$1:$BZ$300,MATCH(data!BJ$1,Haver_M!$B$1:$BZ$1,0),FALSE),"")</f>
        <v/>
      </c>
      <c r="BK116">
        <f>IF(ISNUMBER(VLOOKUP($A116,Haver_M!$B$1:$BZ$300,MATCH(data!BK$1,Haver_M!$B$1:$BZ$1,0),FALSE)),VLOOKUP($A116,Haver_M!$B$1:$BZ$300,MATCH(data!BK$1,Haver_M!$B$1:$BZ$1,0),FALSE),"")</f>
        <v>51.853900000000003</v>
      </c>
      <c r="BL116">
        <f>IF(ISNUMBER(VLOOKUP($A116,Haver_M!$B$1:$BZ$300,MATCH(data!BL$1,Haver_M!$B$1:$BZ$1,0),FALSE)),VLOOKUP($A116,Haver_M!$B$1:$BZ$300,MATCH(data!BL$1,Haver_M!$B$1:$BZ$1,0),FALSE),"")</f>
        <v>14635.19</v>
      </c>
      <c r="BM116">
        <f>IF(ISNUMBER(VLOOKUP($A116,Haver_M!$B$1:$BZ$300,MATCH(data!BM$1,Haver_M!$B$1:$BZ$1,0),FALSE)),VLOOKUP($A116,Haver_M!$B$1:$BZ$300,MATCH(data!BM$1,Haver_M!$B$1:$BZ$1,0),FALSE),"")</f>
        <v>93.106145949999998</v>
      </c>
      <c r="BN116" t="str">
        <f>IF(ISNUMBER(VLOOKUP($A116,Haver_M!$B$1:$BZ$300,MATCH(data!BN$1,Haver_M!$B$1:$BZ$1,0),FALSE)),VLOOKUP($A116,Haver_M!$B$1:$BZ$300,MATCH(data!BN$1,Haver_M!$B$1:$BZ$1,0),FALSE),"")</f>
        <v/>
      </c>
      <c r="BO116" t="str">
        <f>IF(ISNUMBER(VLOOKUP($A116,Haver_M!$B$1:$BZ$300,MATCH(data!BO$1,Haver_M!$B$1:$BZ$1,0),FALSE)),VLOOKUP($A116,Haver_M!$B$1:$BZ$300,MATCH(data!BO$1,Haver_M!$B$1:$BZ$1,0),FALSE),"")</f>
        <v/>
      </c>
      <c r="BP116" t="str">
        <f>IF(ISNUMBER(VLOOKUP($A116,Haver_M!$B$1:$BZ$300,MATCH(data!BP$1,Haver_M!$B$1:$BZ$1,0),FALSE)),VLOOKUP($A116,Haver_M!$B$1:$BZ$300,MATCH(data!BP$1,Haver_M!$B$1:$BZ$1,0),FALSE),"")</f>
        <v/>
      </c>
      <c r="BQ116">
        <f>IF(ISNUMBER(VLOOKUP($A116,Haver_M!$B$1:$BZ$300,MATCH(data!BQ$1,Haver_M!$B$1:$BZ$1,0),FALSE)),VLOOKUP($A116,Haver_M!$B$1:$BZ$300,MATCH(data!BQ$1,Haver_M!$B$1:$BZ$1,0),FALSE),"")</f>
        <v>115.67171722380947</v>
      </c>
      <c r="BR116">
        <f>IF(ISNUMBER(VLOOKUP($A116,Haver_M!$B$1:$BZ$300,MATCH(data!BR$1,Haver_M!$B$1:$BZ$1,0),FALSE)),VLOOKUP($A116,Haver_M!$B$1:$BZ$300,MATCH(data!BR$1,Haver_M!$B$1:$BZ$1,0),FALSE),"")</f>
        <v>223.79132156818252</v>
      </c>
      <c r="BS116">
        <f>IF(ISNUMBER(VLOOKUP($A116,Haver_M!$B$1:$BZ$300,MATCH(data!BS$1,Haver_M!$B$1:$BZ$1,0),FALSE)),VLOOKUP($A116,Haver_M!$B$1:$BZ$300,MATCH(data!BS$1,Haver_M!$B$1:$BZ$1,0),FALSE),"")</f>
        <v>131.40140067867935</v>
      </c>
      <c r="BT116">
        <f>IF(ISNUMBER(VLOOKUP($A116,Haver_M!$B$1:$BZ$300,MATCH(data!BT$1,Haver_M!$B$1:$BZ$1,0),FALSE)),VLOOKUP($A116,Haver_M!$B$1:$BZ$300,MATCH(data!BT$1,Haver_M!$B$1:$BZ$1,0),FALSE),"")</f>
        <v>539.0512928944953</v>
      </c>
      <c r="BU116">
        <f>IF(ISNUMBER(VLOOKUP($A116,Haver_M!$B$1:$BZ$300,MATCH(data!BU$1,Haver_M!$B$1:$BZ$1,0),FALSE)),VLOOKUP($A116,Haver_M!$B$1:$BZ$300,MATCH(data!BU$1,Haver_M!$B$1:$BZ$1,0),FALSE),"")</f>
        <v>14341.3</v>
      </c>
      <c r="BV116">
        <f>IF(ISNUMBER(VLOOKUP($A116,Haver_M!$B$1:$BZ$300,MATCH(data!BV$1,Haver_M!$B$1:$BZ$1,0),FALSE)),VLOOKUP($A116,Haver_M!$B$1:$BZ$300,MATCH(data!BV$1,Haver_M!$B$1:$BZ$1,0),FALSE),"")</f>
        <v>21723.5</v>
      </c>
      <c r="BW116">
        <f>IF(ISNUMBER(VLOOKUP($A116,Haver_M!$B$1:$BZ$300,MATCH(data!BW$1,Haver_M!$B$1:$BZ$1,0),FALSE)),VLOOKUP($A116,Haver_M!$B$1:$BZ$300,MATCH(data!BW$1,Haver_M!$B$1:$BZ$1,0),FALSE),"")</f>
        <v>48.476500000000001</v>
      </c>
      <c r="BX116">
        <f>IF(ISNUMBER(VLOOKUP($A116,Haver_M!$B$1:$BZ$300,MATCH(data!BX$1,Haver_M!$B$1:$BZ$1,0),FALSE)),VLOOKUP($A116,Haver_M!$B$1:$BZ$300,MATCH(data!BX$1,Haver_M!$B$1:$BZ$1,0),FALSE),"")</f>
        <v>50995</v>
      </c>
    </row>
    <row r="117" spans="1:76" x14ac:dyDescent="0.25">
      <c r="A117" s="2">
        <v>40056</v>
      </c>
      <c r="B117" t="str">
        <f>IF(ISNUMBER(VLOOKUP($A117,Haver_Q!$B$1:$L$185,MATCH(data!B$1,Haver_Q!$B$1:$L$1,0),FALSE)),100*(VLOOKUP($A117,Haver_Q!$B$1:$L$185,MATCH(data!B$1,Haver_Q!$B$1:$L$1,0),FALSE)),"")</f>
        <v/>
      </c>
      <c r="C117" t="str">
        <f>IF(ISNUMBER(VLOOKUP($A117,Haver_Q!$B$1:$L$185,MATCH(data!C$1,Haver_Q!$B$1:$L$1,0),FALSE)),100*(VLOOKUP($A117,Haver_Q!$B$1:$L$185,MATCH(data!C$1,Haver_Q!$B$1:$L$1,0),FALSE)),"")</f>
        <v/>
      </c>
      <c r="D117" t="str">
        <f>IF(ISNUMBER(VLOOKUP($A117,Haver_Q!$B$1:$L$185,MATCH(data!D$1,Haver_Q!$B$1:$L$1,0),FALSE)),100*(VLOOKUP($A117,Haver_Q!$B$1:$L$185,MATCH(data!D$1,Haver_Q!$B$1:$L$1,0),FALSE)),"")</f>
        <v/>
      </c>
      <c r="E117" t="str">
        <f>IF(ISNUMBER(VLOOKUP($A117,Haver_Q!$B$1:$L$185,MATCH(data!E$1,Haver_Q!$B$1:$L$1,0),FALSE)),100*(VLOOKUP($A117,Haver_Q!$B$1:$L$185,MATCH(data!E$1,Haver_Q!$B$1:$L$1,0),FALSE)),"")</f>
        <v/>
      </c>
      <c r="F117" t="str">
        <f>IF(ISNUMBER(VLOOKUP($A117,Haver_Q!$B$1:$L$185,MATCH(data!F$1,Haver_Q!$B$1:$L$1,0),FALSE)),100*(VLOOKUP($A117,Haver_Q!$B$1:$L$185,MATCH(data!F$1,Haver_Q!$B$1:$L$1,0),FALSE)),"")</f>
        <v/>
      </c>
      <c r="G117" t="str">
        <f>IF(ISNUMBER(VLOOKUP($A117,Haver_Q!$B$1:$L$185,MATCH(data!G$1,Haver_Q!$B$1:$L$1,0),FALSE)),100*(VLOOKUP($A117,Haver_Q!$B$1:$L$185,MATCH(data!G$1,Haver_Q!$B$1:$L$1,0),FALSE)),"")</f>
        <v/>
      </c>
      <c r="H117" t="str">
        <f>IF(ISNUMBER(VLOOKUP($A117,Haver_Q!$B$1:$L$185,MATCH(data!H$1,Haver_Q!$B$1:$L$1,0),FALSE)),(VLOOKUP($A117,Haver_Q!$B$1:$L$185,MATCH(data!H$1,Haver_Q!$B$1:$L$1,0),FALSE)),"")</f>
        <v/>
      </c>
      <c r="I117" t="str">
        <f>IF(ISNUMBER(VLOOKUP($A117,Haver_Q!$B$1:$L$185,MATCH(data!I$1,Haver_Q!$B$1:$L$1,0),FALSE)),100*(VLOOKUP($A117,Haver_Q!$B$1:$L$185,MATCH(data!I$1,Haver_Q!$B$1:$L$1,0),FALSE)),"")</f>
        <v/>
      </c>
      <c r="J117" s="3">
        <f>IF(ISNUMBER(Bloomberg_m!C133),Bloomberg_m!C133,"")</f>
        <v>2685</v>
      </c>
      <c r="K117" s="3" t="str">
        <f>IF(ISNUMBER(Bloomberg_m!D133),Bloomberg_m!D133,"")</f>
        <v/>
      </c>
      <c r="L117" s="3" t="str">
        <f>IF(ISNUMBER(Bloomberg_m!E133),Bloomberg_m!E133,"")</f>
        <v/>
      </c>
      <c r="M117" s="3">
        <f>IF(ISNUMBER(Bloomberg_m!F133),Bloomberg_m!F133,"")</f>
        <v>491.41</v>
      </c>
      <c r="N117">
        <f>IF(ISNUMBER(VLOOKUP($A117,Haver_M!$B$1:$BZ$300,MATCH(data!N$1,Haver_M!$B$1:$BZ$1,0),FALSE)),VLOOKUP($A117,Haver_M!$B$1:$BZ$300,MATCH(data!N$1,Haver_M!$B$1:$BZ$1,0),FALSE),"")</f>
        <v>4.75</v>
      </c>
      <c r="O117">
        <f>IF(ISNUMBER(VLOOKUP($A117,Haver_M!$B$1:$BZ$300,MATCH(data!O$1,Haver_M!$B$1:$BZ$1,0),FALSE)),VLOOKUP($A117,Haver_M!$B$1:$BZ$300,MATCH(data!O$1,Haver_M!$B$1:$BZ$1,0),FALSE),"")</f>
        <v>7.4969000000000001</v>
      </c>
      <c r="P117">
        <f>IF(ISNUMBER(VLOOKUP($A117,Haver_M!$B$1:$BZ$300,MATCH(data!P$1,Haver_M!$B$1:$BZ$1,0),FALSE)),VLOOKUP($A117,Haver_M!$B$1:$BZ$300,MATCH(data!P$1,Haver_M!$B$1:$BZ$1,0),FALSE),"")</f>
        <v>91.300359999999998</v>
      </c>
      <c r="Q117">
        <f>IF(ISNUMBER(VLOOKUP($A117,Haver_M!$B$1:$BZ$300,MATCH(data!Q$1,Haver_M!$B$1:$BZ$1,0),FALSE)),VLOOKUP($A117,Haver_M!$B$1:$BZ$300,MATCH(data!Q$1,Haver_M!$B$1:$BZ$1,0),FALSE),"")</f>
        <v>78.5</v>
      </c>
      <c r="R117" t="str">
        <f>IF(ISNUMBER(VLOOKUP($A117,Haver_M!$B$1:$BZ$300,MATCH(data!R$1,Haver_M!$B$1:$BZ$1,0),FALSE)),VLOOKUP($A117,Haver_M!$B$1:$BZ$300,MATCH(data!R$1,Haver_M!$B$1:$BZ$1,0),FALSE),"")</f>
        <v/>
      </c>
      <c r="S117">
        <f>IF(ISNUMBER(VLOOKUP($A117,Haver_M!$B$1:$BZ$300,MATCH(data!S$1,Haver_M!$B$1:$BZ$1,0),FALSE)),VLOOKUP($A117,Haver_M!$B$1:$BZ$300,MATCH(data!S$1,Haver_M!$B$1:$BZ$1,0),FALSE),"")</f>
        <v>93.71</v>
      </c>
      <c r="T117">
        <f>IF(ISNUMBER(VLOOKUP($A117,Haver_M!$B$1:$BZ$300,MATCH(data!T$1,Haver_M!$B$1:$BZ$1,0),FALSE)),VLOOKUP($A117,Haver_M!$B$1:$BZ$300,MATCH(data!T$1,Haver_M!$B$1:$BZ$1,0),FALSE),"")</f>
        <v>89.31</v>
      </c>
      <c r="U117">
        <f>IF(ISNUMBER(VLOOKUP($A117,Haver_M!$B$1:$BZ$300,MATCH(data!U$1,Haver_M!$B$1:$BZ$1,0),FALSE)),VLOOKUP($A117,Haver_M!$B$1:$BZ$300,MATCH(data!U$1,Haver_M!$B$1:$BZ$1,0),FALSE),"")</f>
        <v>108.18</v>
      </c>
      <c r="V117">
        <f>IF(ISNUMBER(VLOOKUP($A117,Haver_M!$B$1:$BZ$300,MATCH(data!V$1,Haver_M!$B$1:$BZ$1,0),FALSE)),VLOOKUP($A117,Haver_M!$B$1:$BZ$300,MATCH(data!V$1,Haver_M!$B$1:$BZ$1,0),FALSE),"")</f>
        <v>99.43</v>
      </c>
      <c r="W117" t="str">
        <f>IF(ISNUMBER(VLOOKUP($A117,Haver_M!$B$1:$BZ$300,MATCH(data!W$1,Haver_M!$B$1:$BZ$1,0),FALSE)),VLOOKUP($A117,Haver_M!$B$1:$BZ$300,MATCH(data!W$1,Haver_M!$B$1:$BZ$1,0),FALSE),"")</f>
        <v/>
      </c>
      <c r="X117">
        <f>IF(ISNUMBER(VLOOKUP($A117,Haver_M!$B$1:$BZ$300,MATCH(data!X$1,Haver_M!$B$1:$BZ$1,0),FALSE)),VLOOKUP($A117,Haver_M!$B$1:$BZ$300,MATCH(data!X$1,Haver_M!$B$1:$BZ$1,0),FALSE),"")</f>
        <v>83.03</v>
      </c>
      <c r="Y117">
        <f>IF(ISNUMBER(VLOOKUP($A117,Haver_M!$B$1:$BZ$300,MATCH(data!Y$1,Haver_M!$B$1:$BZ$1,0),FALSE)),VLOOKUP($A117,Haver_M!$B$1:$BZ$300,MATCH(data!Y$1,Haver_M!$B$1:$BZ$1,0),FALSE),"")</f>
        <v>90.76</v>
      </c>
      <c r="Z117">
        <f>IF(ISNUMBER(VLOOKUP($A117,Haver_M!$B$1:$BZ$300,MATCH(data!Z$1,Haver_M!$B$1:$BZ$1,0),FALSE)),VLOOKUP($A117,Haver_M!$B$1:$BZ$300,MATCH(data!Z$1,Haver_M!$B$1:$BZ$1,0),FALSE),"")</f>
        <v>90.2</v>
      </c>
      <c r="AA117">
        <f>IF(ISNUMBER(VLOOKUP($A117,Haver_M!$B$1:$BZ$300,MATCH(data!AA$1,Haver_M!$B$1:$BZ$1,0),FALSE)),VLOOKUP($A117,Haver_M!$B$1:$BZ$300,MATCH(data!AA$1,Haver_M!$B$1:$BZ$1,0),FALSE),"")</f>
        <v>101.238</v>
      </c>
      <c r="AB117">
        <f>IF(ISNUMBER(VLOOKUP($A117,Haver_M!$B$1:$BZ$300,MATCH(data!AB$1,Haver_M!$B$1:$BZ$1,0),FALSE)),VLOOKUP($A117,Haver_M!$B$1:$BZ$300,MATCH(data!AB$1,Haver_M!$B$1:$BZ$1,0),FALSE),"")</f>
        <v>85.813000000000002</v>
      </c>
      <c r="AC117">
        <f>IF(ISNUMBER(VLOOKUP($A117,Haver_M!$B$1:$BZ$300,MATCH(data!AC$1,Haver_M!$B$1:$BZ$1,0),FALSE)),VLOOKUP($A117,Haver_M!$B$1:$BZ$300,MATCH(data!AC$1,Haver_M!$B$1:$BZ$1,0),FALSE),"")</f>
        <v>96.265000000000001</v>
      </c>
      <c r="AD117">
        <f>IF(ISNUMBER(VLOOKUP($A117,Haver_M!$B$1:$BZ$300,MATCH(data!AD$1,Haver_M!$B$1:$BZ$1,0),FALSE)),VLOOKUP($A117,Haver_M!$B$1:$BZ$300,MATCH(data!AD$1,Haver_M!$B$1:$BZ$1,0),FALSE),"")</f>
        <v>96.915000000000006</v>
      </c>
      <c r="AE117">
        <f>IF(ISNUMBER(VLOOKUP($A117,Haver_M!$B$1:$BZ$300,MATCH(data!AE$1,Haver_M!$B$1:$BZ$1,0),FALSE)),VLOOKUP($A117,Haver_M!$B$1:$BZ$300,MATCH(data!AE$1,Haver_M!$B$1:$BZ$1,0),FALSE),"")</f>
        <v>99.744</v>
      </c>
      <c r="AF117">
        <f>IF(ISNUMBER(VLOOKUP($A117,Haver_M!$B$1:$BZ$300,MATCH(data!AF$1,Haver_M!$B$1:$BZ$1,0),FALSE)),VLOOKUP($A117,Haver_M!$B$1:$BZ$300,MATCH(data!AF$1,Haver_M!$B$1:$BZ$1,0),FALSE),"")</f>
        <v>77.989000000000004</v>
      </c>
      <c r="AG117">
        <f>IF(ISNUMBER(VLOOKUP($A117,Haver_M!$B$1:$BZ$300,MATCH(data!AG$1,Haver_M!$B$1:$BZ$1,0),FALSE)),VLOOKUP($A117,Haver_M!$B$1:$BZ$300,MATCH(data!AG$1,Haver_M!$B$1:$BZ$1,0),FALSE),"")</f>
        <v>91.613</v>
      </c>
      <c r="AH117">
        <f>IF(ISNUMBER(VLOOKUP($A117,Haver_M!$B$1:$BZ$300,MATCH(data!AH$1,Haver_M!$B$1:$BZ$1,0),FALSE)),VLOOKUP($A117,Haver_M!$B$1:$BZ$300,MATCH(data!AH$1,Haver_M!$B$1:$BZ$1,0),FALSE),"")</f>
        <v>90.278000000000006</v>
      </c>
      <c r="AI117">
        <f>IF(ISNUMBER(VLOOKUP($A117,Haver_M!$B$1:$BZ$300,MATCH(data!AI$1,Haver_M!$B$1:$BZ$1,0),FALSE)),VLOOKUP($A117,Haver_M!$B$1:$BZ$300,MATCH(data!AI$1,Haver_M!$B$1:$BZ$1,0),FALSE),"")</f>
        <v>11751.970896242468</v>
      </c>
      <c r="AJ117">
        <f>IF(ISNUMBER(VLOOKUP($A117,Haver_M!$B$1:$BZ$300,MATCH(data!AJ$1,Haver_M!$B$1:$BZ$1,0),FALSE)),VLOOKUP($A117,Haver_M!$B$1:$BZ$300,MATCH(data!AJ$1,Haver_M!$B$1:$BZ$1,0),FALSE),"")</f>
        <v>13863.27</v>
      </c>
      <c r="AK117">
        <f>IF(ISNUMBER(VLOOKUP($A117,Haver_M!$B$1:$BZ$300,MATCH(data!AK$1,Haver_M!$B$1:$BZ$1,0),FALSE)),VLOOKUP($A117,Haver_M!$B$1:$BZ$300,MATCH(data!AK$1,Haver_M!$B$1:$BZ$1,0),FALSE),"")</f>
        <v>22492.77</v>
      </c>
      <c r="AL117" t="str">
        <f>IF(ISNUMBER(VLOOKUP($A117,Haver_M!$B$1:$BZ$300,MATCH(data!AL$1,Haver_M!$B$1:$BZ$1,0),FALSE)),VLOOKUP($A117,Haver_M!$B$1:$BZ$300,MATCH(data!AL$1,Haver_M!$B$1:$BZ$1,0),FALSE),"")</f>
        <v/>
      </c>
      <c r="AM117" t="str">
        <f>IF(ISNUMBER(VLOOKUP($A117,Haver_M!$B$1:$BZ$300,MATCH(data!AM$1,Haver_M!$B$1:$BZ$1,0),FALSE)),VLOOKUP($A117,Haver_M!$B$1:$BZ$300,MATCH(data!AM$1,Haver_M!$B$1:$BZ$1,0),FALSE),"")</f>
        <v/>
      </c>
      <c r="AN117" t="str">
        <f>IF(ISNUMBER(VLOOKUP($A117,Haver_M!$B$1:$BZ$300,MATCH(data!AN$1,Haver_M!$B$1:$BZ$1,0),FALSE)),VLOOKUP($A117,Haver_M!$B$1:$BZ$300,MATCH(data!AN$1,Haver_M!$B$1:$BZ$1,0),FALSE),"")</f>
        <v/>
      </c>
      <c r="AO117" t="str">
        <f>IF(ISNUMBER(VLOOKUP($A117,Haver_M!$B$1:$BZ$300,MATCH(data!AO$1,Haver_M!$B$1:$BZ$1,0),FALSE)),VLOOKUP($A117,Haver_M!$B$1:$BZ$300,MATCH(data!AO$1,Haver_M!$B$1:$BZ$1,0),FALSE),"")</f>
        <v/>
      </c>
      <c r="AP117">
        <f>IF(ISNUMBER(VLOOKUP($A117,Haver_M!$B$1:$BZ$300,MATCH(data!AP$1,Haver_M!$B$1:$BZ$1,0),FALSE)),VLOOKUP($A117,Haver_M!$B$1:$BZ$300,MATCH(data!AP$1,Haver_M!$B$1:$BZ$1,0),FALSE),"")</f>
        <v>109.93173902485518</v>
      </c>
      <c r="AQ117">
        <f>IF(ISNUMBER(VLOOKUP($A117,Haver_M!$B$1:$BZ$300,MATCH(data!AQ$1,Haver_M!$B$1:$BZ$1,0),FALSE)),VLOOKUP($A117,Haver_M!$B$1:$BZ$300,MATCH(data!AQ$1,Haver_M!$B$1:$BZ$1,0),FALSE),"")</f>
        <v>55.006700000000002</v>
      </c>
      <c r="AR117">
        <f>IF(ISNUMBER(VLOOKUP($A117,Haver_M!$B$1:$BZ$300,MATCH(data!AR$1,Haver_M!$B$1:$BZ$1,0),FALSE)),VLOOKUP($A117,Haver_M!$B$1:$BZ$300,MATCH(data!AR$1,Haver_M!$B$1:$BZ$1,0),FALSE),"")</f>
        <v>53.241300000000003</v>
      </c>
      <c r="AS117">
        <f>IF(ISNUMBER(VLOOKUP($A117,Haver_M!$B$1:$BZ$300,MATCH(data!AS$1,Haver_M!$B$1:$BZ$1,0),FALSE)),VLOOKUP($A117,Haver_M!$B$1:$BZ$300,MATCH(data!AS$1,Haver_M!$B$1:$BZ$1,0),FALSE),"")</f>
        <v>54.933399999999999</v>
      </c>
      <c r="AT117">
        <f>IF(ISNUMBER(VLOOKUP($A117,Haver_M!$B$1:$BZ$300,MATCH(data!AT$1,Haver_M!$B$1:$BZ$1,0),FALSE)),VLOOKUP($A117,Haver_M!$B$1:$BZ$300,MATCH(data!AT$1,Haver_M!$B$1:$BZ$1,0),FALSE),"")</f>
        <v>55.171399999999998</v>
      </c>
      <c r="AU117">
        <f>IF(ISNUMBER(VLOOKUP($A117,Haver_M!$B$1:$BZ$300,MATCH(data!AU$1,Haver_M!$B$1:$BZ$1,0),FALSE)),VLOOKUP($A117,Haver_M!$B$1:$BZ$300,MATCH(data!AU$1,Haver_M!$B$1:$BZ$1,0),FALSE),"")</f>
        <v>56.161099999999998</v>
      </c>
      <c r="AV117">
        <f>IF(ISNUMBER(VLOOKUP($A117,Haver_M!$B$1:$BZ$300,MATCH(data!AV$1,Haver_M!$B$1:$BZ$1,0),FALSE)),VLOOKUP($A117,Haver_M!$B$1:$BZ$300,MATCH(data!AV$1,Haver_M!$B$1:$BZ$1,0),FALSE),"")</f>
        <v>49.531199999999998</v>
      </c>
      <c r="AW117">
        <f>IF(ISNUMBER(VLOOKUP($A117,Haver_M!$B$1:$BZ$300,MATCH(data!AW$1,Haver_M!$B$1:$BZ$1,0),FALSE)),VLOOKUP($A117,Haver_M!$B$1:$BZ$300,MATCH(data!AW$1,Haver_M!$B$1:$BZ$1,0),FALSE),"")</f>
        <v>50.619100000000003</v>
      </c>
      <c r="AX117">
        <f>IF(ISNUMBER(VLOOKUP($A117,Haver_M!$B$1:$BZ$300,MATCH(data!AX$1,Haver_M!$B$1:$BZ$1,0),FALSE)),VLOOKUP($A117,Haver_M!$B$1:$BZ$300,MATCH(data!AX$1,Haver_M!$B$1:$BZ$1,0),FALSE),"")</f>
        <v>52.867400000000004</v>
      </c>
      <c r="AY117">
        <f>IF(ISNUMBER(VLOOKUP($A117,Haver_M!$B$1:$BZ$300,MATCH(data!AY$1,Haver_M!$B$1:$BZ$1,0),FALSE)),VLOOKUP($A117,Haver_M!$B$1:$BZ$300,MATCH(data!AY$1,Haver_M!$B$1:$BZ$1,0),FALSE),"")</f>
        <v>57.730800000000002</v>
      </c>
      <c r="AZ117">
        <f>IF(ISNUMBER(VLOOKUP($A117,Haver_M!$B$1:$BZ$300,MATCH(data!AZ$1,Haver_M!$B$1:$BZ$1,0),FALSE)),VLOOKUP($A117,Haver_M!$B$1:$BZ$300,MATCH(data!AZ$1,Haver_M!$B$1:$BZ$1,0),FALSE),"")</f>
        <v>53.594700000000003</v>
      </c>
      <c r="BA117">
        <f>IF(ISNUMBER(VLOOKUP($A117,Haver_M!$B$1:$BZ$300,MATCH(data!BA$1,Haver_M!$B$1:$BZ$1,0),FALSE)),VLOOKUP($A117,Haver_M!$B$1:$BZ$300,MATCH(data!BA$1,Haver_M!$B$1:$BZ$1,0),FALSE),"")</f>
        <v>52.867400000000004</v>
      </c>
      <c r="BB117">
        <f>IF(ISNUMBER(VLOOKUP($A117,Haver_M!$B$1:$BZ$300,MATCH(data!BB$1,Haver_M!$B$1:$BZ$1,0),FALSE)),VLOOKUP($A117,Haver_M!$B$1:$BZ$300,MATCH(data!BB$1,Haver_M!$B$1:$BZ$1,0),FALSE),"")</f>
        <v>51.214799999999997</v>
      </c>
      <c r="BC117">
        <f>IF(ISNUMBER(VLOOKUP($A117,Haver_M!$B$1:$BZ$300,MATCH(data!BC$1,Haver_M!$B$1:$BZ$1,0),FALSE)),VLOOKUP($A117,Haver_M!$B$1:$BZ$300,MATCH(data!BC$1,Haver_M!$B$1:$BZ$1,0),FALSE),"")</f>
        <v>49.9574</v>
      </c>
      <c r="BD117">
        <f>IF(ISNUMBER(VLOOKUP($A117,Haver_M!$B$1:$BZ$300,MATCH(data!BD$1,Haver_M!$B$1:$BZ$1,0),FALSE)),VLOOKUP($A117,Haver_M!$B$1:$BZ$300,MATCH(data!BD$1,Haver_M!$B$1:$BZ$1,0),FALSE),"")</f>
        <v>49.668199999999999</v>
      </c>
      <c r="BE117">
        <f>IF(ISNUMBER(VLOOKUP($A117,Haver_M!$B$1:$BZ$300,MATCH(data!BE$1,Haver_M!$B$1:$BZ$1,0),FALSE)),VLOOKUP($A117,Haver_M!$B$1:$BZ$300,MATCH(data!BE$1,Haver_M!$B$1:$BZ$1,0),FALSE),"")</f>
        <v>1.202</v>
      </c>
      <c r="BF117">
        <f>IF(ISNUMBER(VLOOKUP($A117,Haver_M!$B$1:$BZ$300,MATCH(data!BF$1,Haver_M!$B$1:$BZ$1,0),FALSE)),VLOOKUP($A117,Haver_M!$B$1:$BZ$300,MATCH(data!BF$1,Haver_M!$B$1:$BZ$1,0),FALSE),"")</f>
        <v>51.061500000000002</v>
      </c>
      <c r="BG117">
        <f>IF(ISNUMBER(VLOOKUP($A117,Haver_M!$B$1:$BZ$300,MATCH(data!BG$1,Haver_M!$B$1:$BZ$1,0),FALSE)),VLOOKUP($A117,Haver_M!$B$1:$BZ$300,MATCH(data!BG$1,Haver_M!$B$1:$BZ$1,0),FALSE),"")</f>
        <v>50.525199999999998</v>
      </c>
      <c r="BH117">
        <f>IF(ISNUMBER(VLOOKUP($A117,Haver_M!$B$1:$BZ$300,MATCH(data!BH$1,Haver_M!$B$1:$BZ$1,0),FALSE)),VLOOKUP($A117,Haver_M!$B$1:$BZ$300,MATCH(data!BH$1,Haver_M!$B$1:$BZ$1,0),FALSE),"")</f>
        <v>54.880600000000001</v>
      </c>
      <c r="BI117">
        <f>IF(ISNUMBER(VLOOKUP($A117,Haver_M!$B$1:$BZ$300,MATCH(data!BI$1,Haver_M!$B$1:$BZ$1,0),FALSE)),VLOOKUP($A117,Haver_M!$B$1:$BZ$300,MATCH(data!BI$1,Haver_M!$B$1:$BZ$1,0),FALSE),"")</f>
        <v>52.270899999999997</v>
      </c>
      <c r="BJ117" t="str">
        <f>IF(ISNUMBER(VLOOKUP($A117,Haver_M!$B$1:$BZ$300,MATCH(data!BJ$1,Haver_M!$B$1:$BZ$1,0),FALSE)),VLOOKUP($A117,Haver_M!$B$1:$BZ$300,MATCH(data!BJ$1,Haver_M!$B$1:$BZ$1,0),FALSE),"")</f>
        <v/>
      </c>
      <c r="BK117">
        <f>IF(ISNUMBER(VLOOKUP($A117,Haver_M!$B$1:$BZ$300,MATCH(data!BK$1,Haver_M!$B$1:$BZ$1,0),FALSE)),VLOOKUP($A117,Haver_M!$B$1:$BZ$300,MATCH(data!BK$1,Haver_M!$B$1:$BZ$1,0),FALSE),"")</f>
        <v>52.185200000000002</v>
      </c>
      <c r="BL117">
        <f>IF(ISNUMBER(VLOOKUP($A117,Haver_M!$B$1:$BZ$300,MATCH(data!BL$1,Haver_M!$B$1:$BZ$1,0),FALSE)),VLOOKUP($A117,Haver_M!$B$1:$BZ$300,MATCH(data!BL$1,Haver_M!$B$1:$BZ$1,0),FALSE),"")</f>
        <v>15414.67</v>
      </c>
      <c r="BM117">
        <f>IF(ISNUMBER(VLOOKUP($A117,Haver_M!$B$1:$BZ$300,MATCH(data!BM$1,Haver_M!$B$1:$BZ$1,0),FALSE)),VLOOKUP($A117,Haver_M!$B$1:$BZ$300,MATCH(data!BM$1,Haver_M!$B$1:$BZ$1,0),FALSE),"")</f>
        <v>96.058481580000006</v>
      </c>
      <c r="BN117" t="str">
        <f>IF(ISNUMBER(VLOOKUP($A117,Haver_M!$B$1:$BZ$300,MATCH(data!BN$1,Haver_M!$B$1:$BZ$1,0),FALSE)),VLOOKUP($A117,Haver_M!$B$1:$BZ$300,MATCH(data!BN$1,Haver_M!$B$1:$BZ$1,0),FALSE),"")</f>
        <v/>
      </c>
      <c r="BO117" t="str">
        <f>IF(ISNUMBER(VLOOKUP($A117,Haver_M!$B$1:$BZ$300,MATCH(data!BO$1,Haver_M!$B$1:$BZ$1,0),FALSE)),VLOOKUP($A117,Haver_M!$B$1:$BZ$300,MATCH(data!BO$1,Haver_M!$B$1:$BZ$1,0),FALSE),"")</f>
        <v/>
      </c>
      <c r="BP117" t="str">
        <f>IF(ISNUMBER(VLOOKUP($A117,Haver_M!$B$1:$BZ$300,MATCH(data!BP$1,Haver_M!$B$1:$BZ$1,0),FALSE)),VLOOKUP($A117,Haver_M!$B$1:$BZ$300,MATCH(data!BP$1,Haver_M!$B$1:$BZ$1,0),FALSE),"")</f>
        <v/>
      </c>
      <c r="BQ117">
        <f>IF(ISNUMBER(VLOOKUP($A117,Haver_M!$B$1:$BZ$300,MATCH(data!BQ$1,Haver_M!$B$1:$BZ$1,0),FALSE)),VLOOKUP($A117,Haver_M!$B$1:$BZ$300,MATCH(data!BQ$1,Haver_M!$B$1:$BZ$1,0),FALSE),"")</f>
        <v>116.78900221362515</v>
      </c>
      <c r="BR117">
        <f>IF(ISNUMBER(VLOOKUP($A117,Haver_M!$B$1:$BZ$300,MATCH(data!BR$1,Haver_M!$B$1:$BZ$1,0),FALSE)),VLOOKUP($A117,Haver_M!$B$1:$BZ$300,MATCH(data!BR$1,Haver_M!$B$1:$BZ$1,0),FALSE),"")</f>
        <v>226.89947659143095</v>
      </c>
      <c r="BS117">
        <f>IF(ISNUMBER(VLOOKUP($A117,Haver_M!$B$1:$BZ$300,MATCH(data!BS$1,Haver_M!$B$1:$BZ$1,0),FALSE)),VLOOKUP($A117,Haver_M!$B$1:$BZ$300,MATCH(data!BS$1,Haver_M!$B$1:$BZ$1,0),FALSE),"")</f>
        <v>130.83497114012039</v>
      </c>
      <c r="BT117">
        <f>IF(ISNUMBER(VLOOKUP($A117,Haver_M!$B$1:$BZ$300,MATCH(data!BT$1,Haver_M!$B$1:$BZ$1,0),FALSE)),VLOOKUP($A117,Haver_M!$B$1:$BZ$300,MATCH(data!BT$1,Haver_M!$B$1:$BZ$1,0),FALSE),"")</f>
        <v>542.76248008771745</v>
      </c>
      <c r="BU117">
        <f>IF(ISNUMBER(VLOOKUP($A117,Haver_M!$B$1:$BZ$300,MATCH(data!BU$1,Haver_M!$B$1:$BZ$1,0),FALSE)),VLOOKUP($A117,Haver_M!$B$1:$BZ$300,MATCH(data!BU$1,Haver_M!$B$1:$BZ$1,0),FALSE),"")</f>
        <v>13586.3</v>
      </c>
      <c r="BV117">
        <f>IF(ISNUMBER(VLOOKUP($A117,Haver_M!$B$1:$BZ$300,MATCH(data!BV$1,Haver_M!$B$1:$BZ$1,0),FALSE)),VLOOKUP($A117,Haver_M!$B$1:$BZ$300,MATCH(data!BV$1,Haver_M!$B$1:$BZ$1,0),FALSE),"")</f>
        <v>22448.7</v>
      </c>
      <c r="BW117">
        <f>IF(ISNUMBER(VLOOKUP($A117,Haver_M!$B$1:$BZ$300,MATCH(data!BW$1,Haver_M!$B$1:$BZ$1,0),FALSE)),VLOOKUP($A117,Haver_M!$B$1:$BZ$300,MATCH(data!BW$1,Haver_M!$B$1:$BZ$1,0),FALSE),"")</f>
        <v>48.337000000000003</v>
      </c>
      <c r="BX117">
        <f>IF(ISNUMBER(VLOOKUP($A117,Haver_M!$B$1:$BZ$300,MATCH(data!BX$1,Haver_M!$B$1:$BZ$1,0),FALSE)),VLOOKUP($A117,Haver_M!$B$1:$BZ$300,MATCH(data!BX$1,Haver_M!$B$1:$BZ$1,0),FALSE),"")</f>
        <v>47793</v>
      </c>
    </row>
    <row r="118" spans="1:76" x14ac:dyDescent="0.25">
      <c r="A118" s="2">
        <v>40086</v>
      </c>
      <c r="B118">
        <f>IF(ISNUMBER(VLOOKUP($A118,Haver_Q!$B$1:$L$185,MATCH(data!B$1,Haver_Q!$B$1:$L$1,0),FALSE)),100*(VLOOKUP($A118,Haver_Q!$B$1:$L$185,MATCH(data!B$1,Haver_Q!$B$1:$L$1,0),FALSE)),"")</f>
        <v>9.0759453894993172</v>
      </c>
      <c r="C118">
        <f>IF(ISNUMBER(VLOOKUP($A118,Haver_Q!$B$1:$L$185,MATCH(data!C$1,Haver_Q!$B$1:$L$1,0),FALSE)),100*(VLOOKUP($A118,Haver_Q!$B$1:$L$185,MATCH(data!C$1,Haver_Q!$B$1:$L$1,0),FALSE)),"")</f>
        <v>9.12594310652619</v>
      </c>
      <c r="D118">
        <f>IF(ISNUMBER(VLOOKUP($A118,Haver_Q!$B$1:$L$185,MATCH(data!D$1,Haver_Q!$B$1:$L$1,0),FALSE)),100*(VLOOKUP($A118,Haver_Q!$B$1:$L$185,MATCH(data!D$1,Haver_Q!$B$1:$L$1,0),FALSE)),"")</f>
        <v>30.46283723579517</v>
      </c>
      <c r="E118">
        <f>IF(ISNUMBER(VLOOKUP($A118,Haver_Q!$B$1:$L$185,MATCH(data!E$1,Haver_Q!$B$1:$L$1,0),FALSE)),100*(VLOOKUP($A118,Haver_Q!$B$1:$L$185,MATCH(data!E$1,Haver_Q!$B$1:$L$1,0),FALSE)),"")</f>
        <v>30.929530026737396</v>
      </c>
      <c r="F118">
        <f>IF(ISNUMBER(VLOOKUP($A118,Haver_Q!$B$1:$L$185,MATCH(data!F$1,Haver_Q!$B$1:$L$1,0),FALSE)),100*(VLOOKUP($A118,Haver_Q!$B$1:$L$185,MATCH(data!F$1,Haver_Q!$B$1:$L$1,0),FALSE)),"")</f>
        <v>6.1854097258683627</v>
      </c>
      <c r="G118">
        <f>IF(ISNUMBER(VLOOKUP($A118,Haver_Q!$B$1:$L$185,MATCH(data!G$1,Haver_Q!$B$1:$L$1,0),FALSE)),100*(VLOOKUP($A118,Haver_Q!$B$1:$L$185,MATCH(data!G$1,Haver_Q!$B$1:$L$1,0),FALSE)),"")</f>
        <v>14.822047391301286</v>
      </c>
      <c r="H118">
        <f>IF(ISNUMBER(VLOOKUP($A118,Haver_Q!$B$1:$L$185,MATCH(data!H$1,Haver_Q!$B$1:$L$1,0),FALSE)),(VLOOKUP($A118,Haver_Q!$B$1:$L$185,MATCH(data!H$1,Haver_Q!$B$1:$L$1,0),FALSE)),"")</f>
        <v>5.8453204387106945</v>
      </c>
      <c r="I118">
        <f>IF(ISNUMBER(VLOOKUP($A118,Haver_Q!$B$1:$L$185,MATCH(data!I$1,Haver_Q!$B$1:$L$1,0),FALSE)),100*(VLOOKUP($A118,Haver_Q!$B$1:$L$185,MATCH(data!I$1,Haver_Q!$B$1:$L$1,0),FALSE)),"")</f>
        <v>6.9585502162754498</v>
      </c>
      <c r="J118" s="3">
        <f>IF(ISNUMBER(Bloomberg_m!C134),Bloomberg_m!C134,"")</f>
        <v>2351</v>
      </c>
      <c r="K118" s="3" t="str">
        <f>IF(ISNUMBER(Bloomberg_m!D134),Bloomberg_m!D134,"")</f>
        <v/>
      </c>
      <c r="L118" s="3" t="str">
        <f>IF(ISNUMBER(Bloomberg_m!E134),Bloomberg_m!E134,"")</f>
        <v/>
      </c>
      <c r="M118" s="3">
        <f>IF(ISNUMBER(Bloomberg_m!F134),Bloomberg_m!F134,"")</f>
        <v>505.77</v>
      </c>
      <c r="N118">
        <f>IF(ISNUMBER(VLOOKUP($A118,Haver_M!$B$1:$BZ$300,MATCH(data!N$1,Haver_M!$B$1:$BZ$1,0),FALSE)),VLOOKUP($A118,Haver_M!$B$1:$BZ$300,MATCH(data!N$1,Haver_M!$B$1:$BZ$1,0),FALSE),"")</f>
        <v>4.75</v>
      </c>
      <c r="O118">
        <f>IF(ISNUMBER(VLOOKUP($A118,Haver_M!$B$1:$BZ$300,MATCH(data!O$1,Haver_M!$B$1:$BZ$1,0),FALSE)),VLOOKUP($A118,Haver_M!$B$1:$BZ$300,MATCH(data!O$1,Haver_M!$B$1:$BZ$1,0),FALSE),"")</f>
        <v>7.3376999999999999</v>
      </c>
      <c r="P118">
        <f>IF(ISNUMBER(VLOOKUP($A118,Haver_M!$B$1:$BZ$300,MATCH(data!P$1,Haver_M!$B$1:$BZ$1,0),FALSE)),VLOOKUP($A118,Haver_M!$B$1:$BZ$300,MATCH(data!P$1,Haver_M!$B$1:$BZ$1,0),FALSE),"")</f>
        <v>90.448819999999998</v>
      </c>
      <c r="Q118">
        <f>IF(ISNUMBER(VLOOKUP($A118,Haver_M!$B$1:$BZ$300,MATCH(data!Q$1,Haver_M!$B$1:$BZ$1,0),FALSE)),VLOOKUP($A118,Haver_M!$B$1:$BZ$300,MATCH(data!Q$1,Haver_M!$B$1:$BZ$1,0),FALSE),"")</f>
        <v>79.099999999999994</v>
      </c>
      <c r="R118" t="str">
        <f>IF(ISNUMBER(VLOOKUP($A118,Haver_M!$B$1:$BZ$300,MATCH(data!R$1,Haver_M!$B$1:$BZ$1,0),FALSE)),VLOOKUP($A118,Haver_M!$B$1:$BZ$300,MATCH(data!R$1,Haver_M!$B$1:$BZ$1,0),FALSE),"")</f>
        <v/>
      </c>
      <c r="S118">
        <f>IF(ISNUMBER(VLOOKUP($A118,Haver_M!$B$1:$BZ$300,MATCH(data!S$1,Haver_M!$B$1:$BZ$1,0),FALSE)),VLOOKUP($A118,Haver_M!$B$1:$BZ$300,MATCH(data!S$1,Haver_M!$B$1:$BZ$1,0),FALSE),"")</f>
        <v>93.41</v>
      </c>
      <c r="T118">
        <f>IF(ISNUMBER(VLOOKUP($A118,Haver_M!$B$1:$BZ$300,MATCH(data!T$1,Haver_M!$B$1:$BZ$1,0),FALSE)),VLOOKUP($A118,Haver_M!$B$1:$BZ$300,MATCH(data!T$1,Haver_M!$B$1:$BZ$1,0),FALSE),"")</f>
        <v>89.85</v>
      </c>
      <c r="U118">
        <f>IF(ISNUMBER(VLOOKUP($A118,Haver_M!$B$1:$BZ$300,MATCH(data!U$1,Haver_M!$B$1:$BZ$1,0),FALSE)),VLOOKUP($A118,Haver_M!$B$1:$BZ$300,MATCH(data!U$1,Haver_M!$B$1:$BZ$1,0),FALSE),"")</f>
        <v>110.11</v>
      </c>
      <c r="V118">
        <f>IF(ISNUMBER(VLOOKUP($A118,Haver_M!$B$1:$BZ$300,MATCH(data!V$1,Haver_M!$B$1:$BZ$1,0),FALSE)),VLOOKUP($A118,Haver_M!$B$1:$BZ$300,MATCH(data!V$1,Haver_M!$B$1:$BZ$1,0),FALSE),"")</f>
        <v>100.19</v>
      </c>
      <c r="W118" t="str">
        <f>IF(ISNUMBER(VLOOKUP($A118,Haver_M!$B$1:$BZ$300,MATCH(data!W$1,Haver_M!$B$1:$BZ$1,0),FALSE)),VLOOKUP($A118,Haver_M!$B$1:$BZ$300,MATCH(data!W$1,Haver_M!$B$1:$BZ$1,0),FALSE),"")</f>
        <v/>
      </c>
      <c r="X118">
        <f>IF(ISNUMBER(VLOOKUP($A118,Haver_M!$B$1:$BZ$300,MATCH(data!X$1,Haver_M!$B$1:$BZ$1,0),FALSE)),VLOOKUP($A118,Haver_M!$B$1:$BZ$300,MATCH(data!X$1,Haver_M!$B$1:$BZ$1,0),FALSE),"")</f>
        <v>80.239999999999995</v>
      </c>
      <c r="Y118">
        <f>IF(ISNUMBER(VLOOKUP($A118,Haver_M!$B$1:$BZ$300,MATCH(data!Y$1,Haver_M!$B$1:$BZ$1,0),FALSE)),VLOOKUP($A118,Haver_M!$B$1:$BZ$300,MATCH(data!Y$1,Haver_M!$B$1:$BZ$1,0),FALSE),"")</f>
        <v>89.11</v>
      </c>
      <c r="Z118">
        <f>IF(ISNUMBER(VLOOKUP($A118,Haver_M!$B$1:$BZ$300,MATCH(data!Z$1,Haver_M!$B$1:$BZ$1,0),FALSE)),VLOOKUP($A118,Haver_M!$B$1:$BZ$300,MATCH(data!Z$1,Haver_M!$B$1:$BZ$1,0),FALSE),"")</f>
        <v>90.4</v>
      </c>
      <c r="AA118">
        <f>IF(ISNUMBER(VLOOKUP($A118,Haver_M!$B$1:$BZ$300,MATCH(data!AA$1,Haver_M!$B$1:$BZ$1,0),FALSE)),VLOOKUP($A118,Haver_M!$B$1:$BZ$300,MATCH(data!AA$1,Haver_M!$B$1:$BZ$1,0),FALSE),"")</f>
        <v>102.595</v>
      </c>
      <c r="AB118">
        <f>IF(ISNUMBER(VLOOKUP($A118,Haver_M!$B$1:$BZ$300,MATCH(data!AB$1,Haver_M!$B$1:$BZ$1,0),FALSE)),VLOOKUP($A118,Haver_M!$B$1:$BZ$300,MATCH(data!AB$1,Haver_M!$B$1:$BZ$1,0),FALSE),"")</f>
        <v>88.477999999999994</v>
      </c>
      <c r="AC118">
        <f>IF(ISNUMBER(VLOOKUP($A118,Haver_M!$B$1:$BZ$300,MATCH(data!AC$1,Haver_M!$B$1:$BZ$1,0),FALSE)),VLOOKUP($A118,Haver_M!$B$1:$BZ$300,MATCH(data!AC$1,Haver_M!$B$1:$BZ$1,0),FALSE),"")</f>
        <v>97.57</v>
      </c>
      <c r="AD118">
        <f>IF(ISNUMBER(VLOOKUP($A118,Haver_M!$B$1:$BZ$300,MATCH(data!AD$1,Haver_M!$B$1:$BZ$1,0),FALSE)),VLOOKUP($A118,Haver_M!$B$1:$BZ$300,MATCH(data!AD$1,Haver_M!$B$1:$BZ$1,0),FALSE),"")</f>
        <v>101.271</v>
      </c>
      <c r="AE118">
        <f>IF(ISNUMBER(VLOOKUP($A118,Haver_M!$B$1:$BZ$300,MATCH(data!AE$1,Haver_M!$B$1:$BZ$1,0),FALSE)),VLOOKUP($A118,Haver_M!$B$1:$BZ$300,MATCH(data!AE$1,Haver_M!$B$1:$BZ$1,0),FALSE),"")</f>
        <v>95.977999999999994</v>
      </c>
      <c r="AF118">
        <f>IF(ISNUMBER(VLOOKUP($A118,Haver_M!$B$1:$BZ$300,MATCH(data!AF$1,Haver_M!$B$1:$BZ$1,0),FALSE)),VLOOKUP($A118,Haver_M!$B$1:$BZ$300,MATCH(data!AF$1,Haver_M!$B$1:$BZ$1,0),FALSE),"")</f>
        <v>77.820999999999998</v>
      </c>
      <c r="AG118">
        <f>IF(ISNUMBER(VLOOKUP($A118,Haver_M!$B$1:$BZ$300,MATCH(data!AG$1,Haver_M!$B$1:$BZ$1,0),FALSE)),VLOOKUP($A118,Haver_M!$B$1:$BZ$300,MATCH(data!AG$1,Haver_M!$B$1:$BZ$1,0),FALSE),"")</f>
        <v>86.918000000000006</v>
      </c>
      <c r="AH118">
        <f>IF(ISNUMBER(VLOOKUP($A118,Haver_M!$B$1:$BZ$300,MATCH(data!AH$1,Haver_M!$B$1:$BZ$1,0),FALSE)),VLOOKUP($A118,Haver_M!$B$1:$BZ$300,MATCH(data!AH$1,Haver_M!$B$1:$BZ$1,0),FALSE),"")</f>
        <v>88.936999999999998</v>
      </c>
      <c r="AI118">
        <f>IF(ISNUMBER(VLOOKUP($A118,Haver_M!$B$1:$BZ$300,MATCH(data!AI$1,Haver_M!$B$1:$BZ$1,0),FALSE)),VLOOKUP($A118,Haver_M!$B$1:$BZ$300,MATCH(data!AI$1,Haver_M!$B$1:$BZ$1,0),FALSE),"")</f>
        <v>11831.115794709229</v>
      </c>
      <c r="AJ118">
        <f>IF(ISNUMBER(VLOOKUP($A118,Haver_M!$B$1:$BZ$300,MATCH(data!AJ$1,Haver_M!$B$1:$BZ$1,0),FALSE)),VLOOKUP($A118,Haver_M!$B$1:$BZ$300,MATCH(data!AJ$1,Haver_M!$B$1:$BZ$1,0),FALSE),"")</f>
        <v>14851.95</v>
      </c>
      <c r="AK118">
        <f>IF(ISNUMBER(VLOOKUP($A118,Haver_M!$B$1:$BZ$300,MATCH(data!AK$1,Haver_M!$B$1:$BZ$1,0),FALSE)),VLOOKUP($A118,Haver_M!$B$1:$BZ$300,MATCH(data!AK$1,Haver_M!$B$1:$BZ$1,0),FALSE),"")</f>
        <v>20702.62</v>
      </c>
      <c r="AL118" t="str">
        <f>IF(ISNUMBER(VLOOKUP($A118,Haver_M!$B$1:$BZ$300,MATCH(data!AL$1,Haver_M!$B$1:$BZ$1,0),FALSE)),VLOOKUP($A118,Haver_M!$B$1:$BZ$300,MATCH(data!AL$1,Haver_M!$B$1:$BZ$1,0),FALSE),"")</f>
        <v/>
      </c>
      <c r="AM118" t="str">
        <f>IF(ISNUMBER(VLOOKUP($A118,Haver_M!$B$1:$BZ$300,MATCH(data!AM$1,Haver_M!$B$1:$BZ$1,0),FALSE)),VLOOKUP($A118,Haver_M!$B$1:$BZ$300,MATCH(data!AM$1,Haver_M!$B$1:$BZ$1,0),FALSE),"")</f>
        <v/>
      </c>
      <c r="AN118" t="str">
        <f>IF(ISNUMBER(VLOOKUP($A118,Haver_M!$B$1:$BZ$300,MATCH(data!AN$1,Haver_M!$B$1:$BZ$1,0),FALSE)),VLOOKUP($A118,Haver_M!$B$1:$BZ$300,MATCH(data!AN$1,Haver_M!$B$1:$BZ$1,0),FALSE),"")</f>
        <v/>
      </c>
      <c r="AO118" t="str">
        <f>IF(ISNUMBER(VLOOKUP($A118,Haver_M!$B$1:$BZ$300,MATCH(data!AO$1,Haver_M!$B$1:$BZ$1,0),FALSE)),VLOOKUP($A118,Haver_M!$B$1:$BZ$300,MATCH(data!AO$1,Haver_M!$B$1:$BZ$1,0),FALSE),"")</f>
        <v/>
      </c>
      <c r="AP118">
        <f>IF(ISNUMBER(VLOOKUP($A118,Haver_M!$B$1:$BZ$300,MATCH(data!AP$1,Haver_M!$B$1:$BZ$1,0),FALSE)),VLOOKUP($A118,Haver_M!$B$1:$BZ$300,MATCH(data!AP$1,Haver_M!$B$1:$BZ$1,0),FALSE),"")</f>
        <v>94.08705967266755</v>
      </c>
      <c r="AQ118">
        <f>IF(ISNUMBER(VLOOKUP($A118,Haver_M!$B$1:$BZ$300,MATCH(data!AQ$1,Haver_M!$B$1:$BZ$1,0),FALSE)),VLOOKUP($A118,Haver_M!$B$1:$BZ$300,MATCH(data!AQ$1,Haver_M!$B$1:$BZ$1,0),FALSE),"")</f>
        <v>55.474600000000002</v>
      </c>
      <c r="AR118">
        <f>IF(ISNUMBER(VLOOKUP($A118,Haver_M!$B$1:$BZ$300,MATCH(data!AR$1,Haver_M!$B$1:$BZ$1,0),FALSE)),VLOOKUP($A118,Haver_M!$B$1:$BZ$300,MATCH(data!AR$1,Haver_M!$B$1:$BZ$1,0),FALSE),"")</f>
        <v>54.969900000000003</v>
      </c>
      <c r="AS118">
        <f>IF(ISNUMBER(VLOOKUP($A118,Haver_M!$B$1:$BZ$300,MATCH(data!AS$1,Haver_M!$B$1:$BZ$1,0),FALSE)),VLOOKUP($A118,Haver_M!$B$1:$BZ$300,MATCH(data!AS$1,Haver_M!$B$1:$BZ$1,0),FALSE),"")</f>
        <v>54.368200000000002</v>
      </c>
      <c r="AT118">
        <f>IF(ISNUMBER(VLOOKUP($A118,Haver_M!$B$1:$BZ$300,MATCH(data!AT$1,Haver_M!$B$1:$BZ$1,0),FALSE)),VLOOKUP($A118,Haver_M!$B$1:$BZ$300,MATCH(data!AT$1,Haver_M!$B$1:$BZ$1,0),FALSE),"")</f>
        <v>57.961799999999997</v>
      </c>
      <c r="AU118">
        <f>IF(ISNUMBER(VLOOKUP($A118,Haver_M!$B$1:$BZ$300,MATCH(data!AU$1,Haver_M!$B$1:$BZ$1,0),FALSE)),VLOOKUP($A118,Haver_M!$B$1:$BZ$300,MATCH(data!AU$1,Haver_M!$B$1:$BZ$1,0),FALSE),"")</f>
        <v>58.291600000000003</v>
      </c>
      <c r="AV118">
        <f>IF(ISNUMBER(VLOOKUP($A118,Haver_M!$B$1:$BZ$300,MATCH(data!AV$1,Haver_M!$B$1:$BZ$1,0),FALSE)),VLOOKUP($A118,Haver_M!$B$1:$BZ$300,MATCH(data!AV$1,Haver_M!$B$1:$BZ$1,0),FALSE),"")</f>
        <v>49.904899999999998</v>
      </c>
      <c r="AW118">
        <f>IF(ISNUMBER(VLOOKUP($A118,Haver_M!$B$1:$BZ$300,MATCH(data!AW$1,Haver_M!$B$1:$BZ$1,0),FALSE)),VLOOKUP($A118,Haver_M!$B$1:$BZ$300,MATCH(data!AW$1,Haver_M!$B$1:$BZ$1,0),FALSE),"")</f>
        <v>50.229599999999998</v>
      </c>
      <c r="AX118">
        <f>IF(ISNUMBER(VLOOKUP($A118,Haver_M!$B$1:$BZ$300,MATCH(data!AX$1,Haver_M!$B$1:$BZ$1,0),FALSE)),VLOOKUP($A118,Haver_M!$B$1:$BZ$300,MATCH(data!AX$1,Haver_M!$B$1:$BZ$1,0),FALSE),"")</f>
        <v>55.454500000000003</v>
      </c>
      <c r="AY118">
        <f>IF(ISNUMBER(VLOOKUP($A118,Haver_M!$B$1:$BZ$300,MATCH(data!AY$1,Haver_M!$B$1:$BZ$1,0),FALSE)),VLOOKUP($A118,Haver_M!$B$1:$BZ$300,MATCH(data!AY$1,Haver_M!$B$1:$BZ$1,0),FALSE),"")</f>
        <v>59.374600000000001</v>
      </c>
      <c r="AZ118">
        <f>IF(ISNUMBER(VLOOKUP($A118,Haver_M!$B$1:$BZ$300,MATCH(data!AZ$1,Haver_M!$B$1:$BZ$1,0),FALSE)),VLOOKUP($A118,Haver_M!$B$1:$BZ$300,MATCH(data!AZ$1,Haver_M!$B$1:$BZ$1,0),FALSE),"")</f>
        <v>54.7575</v>
      </c>
      <c r="BA118">
        <f>IF(ISNUMBER(VLOOKUP($A118,Haver_M!$B$1:$BZ$300,MATCH(data!BA$1,Haver_M!$B$1:$BZ$1,0),FALSE)),VLOOKUP($A118,Haver_M!$B$1:$BZ$300,MATCH(data!BA$1,Haver_M!$B$1:$BZ$1,0),FALSE),"")</f>
        <v>55.454500000000003</v>
      </c>
      <c r="BB118">
        <f>IF(ISNUMBER(VLOOKUP($A118,Haver_M!$B$1:$BZ$300,MATCH(data!BB$1,Haver_M!$B$1:$BZ$1,0),FALSE)),VLOOKUP($A118,Haver_M!$B$1:$BZ$300,MATCH(data!BB$1,Haver_M!$B$1:$BZ$1,0),FALSE),"")</f>
        <v>50.915500000000002</v>
      </c>
      <c r="BC118">
        <f>IF(ISNUMBER(VLOOKUP($A118,Haver_M!$B$1:$BZ$300,MATCH(data!BC$1,Haver_M!$B$1:$BZ$1,0),FALSE)),VLOOKUP($A118,Haver_M!$B$1:$BZ$300,MATCH(data!BC$1,Haver_M!$B$1:$BZ$1,0),FALSE),"")</f>
        <v>52.478000000000002</v>
      </c>
      <c r="BD118">
        <f>IF(ISNUMBER(VLOOKUP($A118,Haver_M!$B$1:$BZ$300,MATCH(data!BD$1,Haver_M!$B$1:$BZ$1,0),FALSE)),VLOOKUP($A118,Haver_M!$B$1:$BZ$300,MATCH(data!BD$1,Haver_M!$B$1:$BZ$1,0),FALSE),"")</f>
        <v>50.017099999999999</v>
      </c>
      <c r="BE118">
        <f>IF(ISNUMBER(VLOOKUP($A118,Haver_M!$B$1:$BZ$300,MATCH(data!BE$1,Haver_M!$B$1:$BZ$1,0),FALSE)),VLOOKUP($A118,Haver_M!$B$1:$BZ$300,MATCH(data!BE$1,Haver_M!$B$1:$BZ$1,0),FALSE),"")</f>
        <v>1.1856</v>
      </c>
      <c r="BF118">
        <f>IF(ISNUMBER(VLOOKUP($A118,Haver_M!$B$1:$BZ$300,MATCH(data!BF$1,Haver_M!$B$1:$BZ$1,0),FALSE)),VLOOKUP($A118,Haver_M!$B$1:$BZ$300,MATCH(data!BF$1,Haver_M!$B$1:$BZ$1,0),FALSE),"")</f>
        <v>50.9056</v>
      </c>
      <c r="BG118">
        <f>IF(ISNUMBER(VLOOKUP($A118,Haver_M!$B$1:$BZ$300,MATCH(data!BG$1,Haver_M!$B$1:$BZ$1,0),FALSE)),VLOOKUP($A118,Haver_M!$B$1:$BZ$300,MATCH(data!BG$1,Haver_M!$B$1:$BZ$1,0),FALSE),"")</f>
        <v>50.110599999999998</v>
      </c>
      <c r="BH118">
        <f>IF(ISNUMBER(VLOOKUP($A118,Haver_M!$B$1:$BZ$300,MATCH(data!BH$1,Haver_M!$B$1:$BZ$1,0),FALSE)),VLOOKUP($A118,Haver_M!$B$1:$BZ$300,MATCH(data!BH$1,Haver_M!$B$1:$BZ$1,0),FALSE),"")</f>
        <v>54.719799999999999</v>
      </c>
      <c r="BI118">
        <f>IF(ISNUMBER(VLOOKUP($A118,Haver_M!$B$1:$BZ$300,MATCH(data!BI$1,Haver_M!$B$1:$BZ$1,0),FALSE)),VLOOKUP($A118,Haver_M!$B$1:$BZ$300,MATCH(data!BI$1,Haver_M!$B$1:$BZ$1,0),FALSE),"")</f>
        <v>53.761800000000001</v>
      </c>
      <c r="BJ118" t="str">
        <f>IF(ISNUMBER(VLOOKUP($A118,Haver_M!$B$1:$BZ$300,MATCH(data!BJ$1,Haver_M!$B$1:$BZ$1,0),FALSE)),VLOOKUP($A118,Haver_M!$B$1:$BZ$300,MATCH(data!BJ$1,Haver_M!$B$1:$BZ$1,0),FALSE),"")</f>
        <v/>
      </c>
      <c r="BK118">
        <f>IF(ISNUMBER(VLOOKUP($A118,Haver_M!$B$1:$BZ$300,MATCH(data!BK$1,Haver_M!$B$1:$BZ$1,0),FALSE)),VLOOKUP($A118,Haver_M!$B$1:$BZ$300,MATCH(data!BK$1,Haver_M!$B$1:$BZ$1,0),FALSE),"")</f>
        <v>51.488999999999997</v>
      </c>
      <c r="BL118">
        <f>IF(ISNUMBER(VLOOKUP($A118,Haver_M!$B$1:$BZ$300,MATCH(data!BL$1,Haver_M!$B$1:$BZ$1,0),FALSE)),VLOOKUP($A118,Haver_M!$B$1:$BZ$300,MATCH(data!BL$1,Haver_M!$B$1:$BZ$1,0),FALSE),"")</f>
        <v>16338.45</v>
      </c>
      <c r="BM118">
        <f>IF(ISNUMBER(VLOOKUP($A118,Haver_M!$B$1:$BZ$300,MATCH(data!BM$1,Haver_M!$B$1:$BZ$1,0),FALSE)),VLOOKUP($A118,Haver_M!$B$1:$BZ$300,MATCH(data!BM$1,Haver_M!$B$1:$BZ$1,0),FALSE),"")</f>
        <v>98.531389570000002</v>
      </c>
      <c r="BN118">
        <f>IF(ISNUMBER(VLOOKUP($A118,Haver_M!$B$1:$BZ$300,MATCH(data!BN$1,Haver_M!$B$1:$BZ$1,0),FALSE)),VLOOKUP($A118,Haver_M!$B$1:$BZ$300,MATCH(data!BN$1,Haver_M!$B$1:$BZ$1,0),FALSE),"")</f>
        <v>107.2</v>
      </c>
      <c r="BO118">
        <f>IF(ISNUMBER(VLOOKUP($A118,Haver_M!$B$1:$BZ$300,MATCH(data!BO$1,Haver_M!$B$1:$BZ$1,0),FALSE)),VLOOKUP($A118,Haver_M!$B$1:$BZ$300,MATCH(data!BO$1,Haver_M!$B$1:$BZ$1,0),FALSE),"")</f>
        <v>109.9</v>
      </c>
      <c r="BP118">
        <f>IF(ISNUMBER(VLOOKUP($A118,Haver_M!$B$1:$BZ$300,MATCH(data!BP$1,Haver_M!$B$1:$BZ$1,0),FALSE)),VLOOKUP($A118,Haver_M!$B$1:$BZ$300,MATCH(data!BP$1,Haver_M!$B$1:$BZ$1,0),FALSE),"")</f>
        <v>24.2</v>
      </c>
      <c r="BQ118">
        <f>IF(ISNUMBER(VLOOKUP($A118,Haver_M!$B$1:$BZ$300,MATCH(data!BQ$1,Haver_M!$B$1:$BZ$1,0),FALSE)),VLOOKUP($A118,Haver_M!$B$1:$BZ$300,MATCH(data!BQ$1,Haver_M!$B$1:$BZ$1,0),FALSE),"")</f>
        <v>116.91326599076362</v>
      </c>
      <c r="BR118">
        <f>IF(ISNUMBER(VLOOKUP($A118,Haver_M!$B$1:$BZ$300,MATCH(data!BR$1,Haver_M!$B$1:$BZ$1,0),FALSE)),VLOOKUP($A118,Haver_M!$B$1:$BZ$300,MATCH(data!BR$1,Haver_M!$B$1:$BZ$1,0),FALSE),"")</f>
        <v>235.21838852657677</v>
      </c>
      <c r="BS118">
        <f>IF(ISNUMBER(VLOOKUP($A118,Haver_M!$B$1:$BZ$300,MATCH(data!BS$1,Haver_M!$B$1:$BZ$1,0),FALSE)),VLOOKUP($A118,Haver_M!$B$1:$BZ$300,MATCH(data!BS$1,Haver_M!$B$1:$BZ$1,0),FALSE),"")</f>
        <v>134.51585399338137</v>
      </c>
      <c r="BT118">
        <f>IF(ISNUMBER(VLOOKUP($A118,Haver_M!$B$1:$BZ$300,MATCH(data!BT$1,Haver_M!$B$1:$BZ$1,0),FALSE)),VLOOKUP($A118,Haver_M!$B$1:$BZ$300,MATCH(data!BT$1,Haver_M!$B$1:$BZ$1,0),FALSE),"")</f>
        <v>556.19842729706909</v>
      </c>
      <c r="BU118">
        <f>IF(ISNUMBER(VLOOKUP($A118,Haver_M!$B$1:$BZ$300,MATCH(data!BU$1,Haver_M!$B$1:$BZ$1,0),FALSE)),VLOOKUP($A118,Haver_M!$B$1:$BZ$300,MATCH(data!BU$1,Haver_M!$B$1:$BZ$1,0),FALSE),"")</f>
        <v>14624.2</v>
      </c>
      <c r="BV118">
        <f>IF(ISNUMBER(VLOOKUP($A118,Haver_M!$B$1:$BZ$300,MATCH(data!BV$1,Haver_M!$B$1:$BZ$1,0),FALSE)),VLOOKUP($A118,Haver_M!$B$1:$BZ$300,MATCH(data!BV$1,Haver_M!$B$1:$BZ$1,0),FALSE),"")</f>
        <v>21527.200000000001</v>
      </c>
      <c r="BW118">
        <f>IF(ISNUMBER(VLOOKUP($A118,Haver_M!$B$1:$BZ$300,MATCH(data!BW$1,Haver_M!$B$1:$BZ$1,0),FALSE)),VLOOKUP($A118,Haver_M!$B$1:$BZ$300,MATCH(data!BW$1,Haver_M!$B$1:$BZ$1,0),FALSE),"")</f>
        <v>48.438899999999997</v>
      </c>
      <c r="BX118">
        <f>IF(ISNUMBER(VLOOKUP($A118,Haver_M!$B$1:$BZ$300,MATCH(data!BX$1,Haver_M!$B$1:$BZ$1,0),FALSE)),VLOOKUP($A118,Haver_M!$B$1:$BZ$300,MATCH(data!BX$1,Haver_M!$B$1:$BZ$1,0),FALSE),"")</f>
        <v>44241</v>
      </c>
    </row>
    <row r="119" spans="1:76" x14ac:dyDescent="0.25">
      <c r="A119" s="2">
        <v>40117</v>
      </c>
      <c r="B119" t="str">
        <f>IF(ISNUMBER(VLOOKUP($A119,Haver_Q!$B$1:$L$185,MATCH(data!B$1,Haver_Q!$B$1:$L$1,0),FALSE)),100*(VLOOKUP($A119,Haver_Q!$B$1:$L$185,MATCH(data!B$1,Haver_Q!$B$1:$L$1,0),FALSE)),"")</f>
        <v/>
      </c>
      <c r="C119" t="str">
        <f>IF(ISNUMBER(VLOOKUP($A119,Haver_Q!$B$1:$L$185,MATCH(data!C$1,Haver_Q!$B$1:$L$1,0),FALSE)),100*(VLOOKUP($A119,Haver_Q!$B$1:$L$185,MATCH(data!C$1,Haver_Q!$B$1:$L$1,0),FALSE)),"")</f>
        <v/>
      </c>
      <c r="D119" t="str">
        <f>IF(ISNUMBER(VLOOKUP($A119,Haver_Q!$B$1:$L$185,MATCH(data!D$1,Haver_Q!$B$1:$L$1,0),FALSE)),100*(VLOOKUP($A119,Haver_Q!$B$1:$L$185,MATCH(data!D$1,Haver_Q!$B$1:$L$1,0),FALSE)),"")</f>
        <v/>
      </c>
      <c r="E119" t="str">
        <f>IF(ISNUMBER(VLOOKUP($A119,Haver_Q!$B$1:$L$185,MATCH(data!E$1,Haver_Q!$B$1:$L$1,0),FALSE)),100*(VLOOKUP($A119,Haver_Q!$B$1:$L$185,MATCH(data!E$1,Haver_Q!$B$1:$L$1,0),FALSE)),"")</f>
        <v/>
      </c>
      <c r="F119" t="str">
        <f>IF(ISNUMBER(VLOOKUP($A119,Haver_Q!$B$1:$L$185,MATCH(data!F$1,Haver_Q!$B$1:$L$1,0),FALSE)),100*(VLOOKUP($A119,Haver_Q!$B$1:$L$185,MATCH(data!F$1,Haver_Q!$B$1:$L$1,0),FALSE)),"")</f>
        <v/>
      </c>
      <c r="G119" t="str">
        <f>IF(ISNUMBER(VLOOKUP($A119,Haver_Q!$B$1:$L$185,MATCH(data!G$1,Haver_Q!$B$1:$L$1,0),FALSE)),100*(VLOOKUP($A119,Haver_Q!$B$1:$L$185,MATCH(data!G$1,Haver_Q!$B$1:$L$1,0),FALSE)),"")</f>
        <v/>
      </c>
      <c r="H119" t="str">
        <f>IF(ISNUMBER(VLOOKUP($A119,Haver_Q!$B$1:$L$185,MATCH(data!H$1,Haver_Q!$B$1:$L$1,0),FALSE)),(VLOOKUP($A119,Haver_Q!$B$1:$L$185,MATCH(data!H$1,Haver_Q!$B$1:$L$1,0),FALSE)),"")</f>
        <v/>
      </c>
      <c r="I119" t="str">
        <f>IF(ISNUMBER(VLOOKUP($A119,Haver_Q!$B$1:$L$185,MATCH(data!I$1,Haver_Q!$B$1:$L$1,0),FALSE)),100*(VLOOKUP($A119,Haver_Q!$B$1:$L$185,MATCH(data!I$1,Haver_Q!$B$1:$L$1,0),FALSE)),"")</f>
        <v/>
      </c>
      <c r="J119" s="3">
        <f>IF(ISNUMBER(Bloomberg_m!C135),Bloomberg_m!C135,"")</f>
        <v>2746</v>
      </c>
      <c r="K119" s="3" t="str">
        <f>IF(ISNUMBER(Bloomberg_m!D135),Bloomberg_m!D135,"")</f>
        <v/>
      </c>
      <c r="L119" s="3" t="str">
        <f>IF(ISNUMBER(Bloomberg_m!E135),Bloomberg_m!E135,"")</f>
        <v/>
      </c>
      <c r="M119" s="3">
        <f>IF(ISNUMBER(Bloomberg_m!F135),Bloomberg_m!F135,"")</f>
        <v>513.73</v>
      </c>
      <c r="N119">
        <f>IF(ISNUMBER(VLOOKUP($A119,Haver_M!$B$1:$BZ$300,MATCH(data!N$1,Haver_M!$B$1:$BZ$1,0),FALSE)),VLOOKUP($A119,Haver_M!$B$1:$BZ$300,MATCH(data!N$1,Haver_M!$B$1:$BZ$1,0),FALSE),"")</f>
        <v>4.75</v>
      </c>
      <c r="O119">
        <f>IF(ISNUMBER(VLOOKUP($A119,Haver_M!$B$1:$BZ$300,MATCH(data!O$1,Haver_M!$B$1:$BZ$1,0),FALSE)),VLOOKUP($A119,Haver_M!$B$1:$BZ$300,MATCH(data!O$1,Haver_M!$B$1:$BZ$1,0),FALSE),"")</f>
        <v>7.5876999999999999</v>
      </c>
      <c r="P119">
        <f>IF(ISNUMBER(VLOOKUP($A119,Haver_M!$B$1:$BZ$300,MATCH(data!P$1,Haver_M!$B$1:$BZ$1,0),FALSE)),VLOOKUP($A119,Haver_M!$B$1:$BZ$300,MATCH(data!P$1,Haver_M!$B$1:$BZ$1,0),FALSE),"")</f>
        <v>93.09581</v>
      </c>
      <c r="Q119">
        <f>IF(ISNUMBER(VLOOKUP($A119,Haver_M!$B$1:$BZ$300,MATCH(data!Q$1,Haver_M!$B$1:$BZ$1,0),FALSE)),VLOOKUP($A119,Haver_M!$B$1:$BZ$300,MATCH(data!Q$1,Haver_M!$B$1:$BZ$1,0),FALSE),"")</f>
        <v>79.900000000000006</v>
      </c>
      <c r="R119" t="str">
        <f>IF(ISNUMBER(VLOOKUP($A119,Haver_M!$B$1:$BZ$300,MATCH(data!R$1,Haver_M!$B$1:$BZ$1,0),FALSE)),VLOOKUP($A119,Haver_M!$B$1:$BZ$300,MATCH(data!R$1,Haver_M!$B$1:$BZ$1,0),FALSE),"")</f>
        <v/>
      </c>
      <c r="S119">
        <f>IF(ISNUMBER(VLOOKUP($A119,Haver_M!$B$1:$BZ$300,MATCH(data!S$1,Haver_M!$B$1:$BZ$1,0),FALSE)),VLOOKUP($A119,Haver_M!$B$1:$BZ$300,MATCH(data!S$1,Haver_M!$B$1:$BZ$1,0),FALSE),"")</f>
        <v>92.19</v>
      </c>
      <c r="T119">
        <f>IF(ISNUMBER(VLOOKUP($A119,Haver_M!$B$1:$BZ$300,MATCH(data!T$1,Haver_M!$B$1:$BZ$1,0),FALSE)),VLOOKUP($A119,Haver_M!$B$1:$BZ$300,MATCH(data!T$1,Haver_M!$B$1:$BZ$1,0),FALSE),"")</f>
        <v>88.62</v>
      </c>
      <c r="U119">
        <f>IF(ISNUMBER(VLOOKUP($A119,Haver_M!$B$1:$BZ$300,MATCH(data!U$1,Haver_M!$B$1:$BZ$1,0),FALSE)),VLOOKUP($A119,Haver_M!$B$1:$BZ$300,MATCH(data!U$1,Haver_M!$B$1:$BZ$1,0),FALSE),"")</f>
        <v>109.45</v>
      </c>
      <c r="V119">
        <f>IF(ISNUMBER(VLOOKUP($A119,Haver_M!$B$1:$BZ$300,MATCH(data!V$1,Haver_M!$B$1:$BZ$1,0),FALSE)),VLOOKUP($A119,Haver_M!$B$1:$BZ$300,MATCH(data!V$1,Haver_M!$B$1:$BZ$1,0),FALSE),"")</f>
        <v>99.65</v>
      </c>
      <c r="W119" t="str">
        <f>IF(ISNUMBER(VLOOKUP($A119,Haver_M!$B$1:$BZ$300,MATCH(data!W$1,Haver_M!$B$1:$BZ$1,0),FALSE)),VLOOKUP($A119,Haver_M!$B$1:$BZ$300,MATCH(data!W$1,Haver_M!$B$1:$BZ$1,0),FALSE),"")</f>
        <v/>
      </c>
      <c r="X119">
        <f>IF(ISNUMBER(VLOOKUP($A119,Haver_M!$B$1:$BZ$300,MATCH(data!X$1,Haver_M!$B$1:$BZ$1,0),FALSE)),VLOOKUP($A119,Haver_M!$B$1:$BZ$300,MATCH(data!X$1,Haver_M!$B$1:$BZ$1,0),FALSE),"")</f>
        <v>84.89</v>
      </c>
      <c r="Y119">
        <f>IF(ISNUMBER(VLOOKUP($A119,Haver_M!$B$1:$BZ$300,MATCH(data!Y$1,Haver_M!$B$1:$BZ$1,0),FALSE)),VLOOKUP($A119,Haver_M!$B$1:$BZ$300,MATCH(data!Y$1,Haver_M!$B$1:$BZ$1,0),FALSE),"")</f>
        <v>88.52</v>
      </c>
      <c r="Z119">
        <f>IF(ISNUMBER(VLOOKUP($A119,Haver_M!$B$1:$BZ$300,MATCH(data!Z$1,Haver_M!$B$1:$BZ$1,0),FALSE)),VLOOKUP($A119,Haver_M!$B$1:$BZ$300,MATCH(data!Z$1,Haver_M!$B$1:$BZ$1,0),FALSE),"")</f>
        <v>90.1</v>
      </c>
      <c r="AA119">
        <f>IF(ISNUMBER(VLOOKUP($A119,Haver_M!$B$1:$BZ$300,MATCH(data!AA$1,Haver_M!$B$1:$BZ$1,0),FALSE)),VLOOKUP($A119,Haver_M!$B$1:$BZ$300,MATCH(data!AA$1,Haver_M!$B$1:$BZ$1,0),FALSE),"")</f>
        <v>101.976</v>
      </c>
      <c r="AB119">
        <f>IF(ISNUMBER(VLOOKUP($A119,Haver_M!$B$1:$BZ$300,MATCH(data!AB$1,Haver_M!$B$1:$BZ$1,0),FALSE)),VLOOKUP($A119,Haver_M!$B$1:$BZ$300,MATCH(data!AB$1,Haver_M!$B$1:$BZ$1,0),FALSE),"")</f>
        <v>87.757000000000005</v>
      </c>
      <c r="AC119">
        <f>IF(ISNUMBER(VLOOKUP($A119,Haver_M!$B$1:$BZ$300,MATCH(data!AC$1,Haver_M!$B$1:$BZ$1,0),FALSE)),VLOOKUP($A119,Haver_M!$B$1:$BZ$300,MATCH(data!AC$1,Haver_M!$B$1:$BZ$1,0),FALSE),"")</f>
        <v>100.953</v>
      </c>
      <c r="AD119">
        <f>IF(ISNUMBER(VLOOKUP($A119,Haver_M!$B$1:$BZ$300,MATCH(data!AD$1,Haver_M!$B$1:$BZ$1,0),FALSE)),VLOOKUP($A119,Haver_M!$B$1:$BZ$300,MATCH(data!AD$1,Haver_M!$B$1:$BZ$1,0),FALSE),"")</f>
        <v>100.374</v>
      </c>
      <c r="AE119">
        <f>IF(ISNUMBER(VLOOKUP($A119,Haver_M!$B$1:$BZ$300,MATCH(data!AE$1,Haver_M!$B$1:$BZ$1,0),FALSE)),VLOOKUP($A119,Haver_M!$B$1:$BZ$300,MATCH(data!AE$1,Haver_M!$B$1:$BZ$1,0),FALSE),"")</f>
        <v>95.662000000000006</v>
      </c>
      <c r="AF119">
        <f>IF(ISNUMBER(VLOOKUP($A119,Haver_M!$B$1:$BZ$300,MATCH(data!AF$1,Haver_M!$B$1:$BZ$1,0),FALSE)),VLOOKUP($A119,Haver_M!$B$1:$BZ$300,MATCH(data!AF$1,Haver_M!$B$1:$BZ$1,0),FALSE),"")</f>
        <v>77.031000000000006</v>
      </c>
      <c r="AG119">
        <f>IF(ISNUMBER(VLOOKUP($A119,Haver_M!$B$1:$BZ$300,MATCH(data!AG$1,Haver_M!$B$1:$BZ$1,0),FALSE)),VLOOKUP($A119,Haver_M!$B$1:$BZ$300,MATCH(data!AG$1,Haver_M!$B$1:$BZ$1,0),FALSE),"")</f>
        <v>85.471000000000004</v>
      </c>
      <c r="AH119">
        <f>IF(ISNUMBER(VLOOKUP($A119,Haver_M!$B$1:$BZ$300,MATCH(data!AH$1,Haver_M!$B$1:$BZ$1,0),FALSE)),VLOOKUP($A119,Haver_M!$B$1:$BZ$300,MATCH(data!AH$1,Haver_M!$B$1:$BZ$1,0),FALSE),"")</f>
        <v>87.176000000000002</v>
      </c>
      <c r="AI119">
        <f>IF(ISNUMBER(VLOOKUP($A119,Haver_M!$B$1:$BZ$300,MATCH(data!AI$1,Haver_M!$B$1:$BZ$1,0),FALSE)),VLOOKUP($A119,Haver_M!$B$1:$BZ$300,MATCH(data!AI$1,Haver_M!$B$1:$BZ$1,0),FALSE),"")</f>
        <v>11725.962866696203</v>
      </c>
      <c r="AJ119">
        <f>IF(ISNUMBER(VLOOKUP($A119,Haver_M!$B$1:$BZ$300,MATCH(data!AJ$1,Haver_M!$B$1:$BZ$1,0),FALSE)),VLOOKUP($A119,Haver_M!$B$1:$BZ$300,MATCH(data!AJ$1,Haver_M!$B$1:$BZ$1,0),FALSE),"")</f>
        <v>15789.07</v>
      </c>
      <c r="AK119">
        <f>IF(ISNUMBER(VLOOKUP($A119,Haver_M!$B$1:$BZ$300,MATCH(data!AK$1,Haver_M!$B$1:$BZ$1,0),FALSE)),VLOOKUP($A119,Haver_M!$B$1:$BZ$300,MATCH(data!AK$1,Haver_M!$B$1:$BZ$1,0),FALSE),"")</f>
        <v>24830.97</v>
      </c>
      <c r="AL119" t="str">
        <f>IF(ISNUMBER(VLOOKUP($A119,Haver_M!$B$1:$BZ$300,MATCH(data!AL$1,Haver_M!$B$1:$BZ$1,0),FALSE)),VLOOKUP($A119,Haver_M!$B$1:$BZ$300,MATCH(data!AL$1,Haver_M!$B$1:$BZ$1,0),FALSE),"")</f>
        <v/>
      </c>
      <c r="AM119" t="str">
        <f>IF(ISNUMBER(VLOOKUP($A119,Haver_M!$B$1:$BZ$300,MATCH(data!AM$1,Haver_M!$B$1:$BZ$1,0),FALSE)),VLOOKUP($A119,Haver_M!$B$1:$BZ$300,MATCH(data!AM$1,Haver_M!$B$1:$BZ$1,0),FALSE),"")</f>
        <v/>
      </c>
      <c r="AN119" t="str">
        <f>IF(ISNUMBER(VLOOKUP($A119,Haver_M!$B$1:$BZ$300,MATCH(data!AN$1,Haver_M!$B$1:$BZ$1,0),FALSE)),VLOOKUP($A119,Haver_M!$B$1:$BZ$300,MATCH(data!AN$1,Haver_M!$B$1:$BZ$1,0),FALSE),"")</f>
        <v/>
      </c>
      <c r="AO119" t="str">
        <f>IF(ISNUMBER(VLOOKUP($A119,Haver_M!$B$1:$BZ$300,MATCH(data!AO$1,Haver_M!$B$1:$BZ$1,0),FALSE)),VLOOKUP($A119,Haver_M!$B$1:$BZ$300,MATCH(data!AO$1,Haver_M!$B$1:$BZ$1,0),FALSE),"")</f>
        <v/>
      </c>
      <c r="AP119">
        <f>IF(ISNUMBER(VLOOKUP($A119,Haver_M!$B$1:$BZ$300,MATCH(data!AP$1,Haver_M!$B$1:$BZ$1,0),FALSE)),VLOOKUP($A119,Haver_M!$B$1:$BZ$300,MATCH(data!AP$1,Haver_M!$B$1:$BZ$1,0),FALSE),"")</f>
        <v>77.690732521891888</v>
      </c>
      <c r="AQ119">
        <f>IF(ISNUMBER(VLOOKUP($A119,Haver_M!$B$1:$BZ$300,MATCH(data!AQ$1,Haver_M!$B$1:$BZ$1,0),FALSE)),VLOOKUP($A119,Haver_M!$B$1:$BZ$300,MATCH(data!AQ$1,Haver_M!$B$1:$BZ$1,0),FALSE),"")</f>
        <v>56.916699999999999</v>
      </c>
      <c r="AR119">
        <f>IF(ISNUMBER(VLOOKUP($A119,Haver_M!$B$1:$BZ$300,MATCH(data!AR$1,Haver_M!$B$1:$BZ$1,0),FALSE)),VLOOKUP($A119,Haver_M!$B$1:$BZ$300,MATCH(data!AR$1,Haver_M!$B$1:$BZ$1,0),FALSE),"")</f>
        <v>54.478999999999999</v>
      </c>
      <c r="AS119">
        <f>IF(ISNUMBER(VLOOKUP($A119,Haver_M!$B$1:$BZ$300,MATCH(data!AS$1,Haver_M!$B$1:$BZ$1,0),FALSE)),VLOOKUP($A119,Haver_M!$B$1:$BZ$300,MATCH(data!AS$1,Haver_M!$B$1:$BZ$1,0),FALSE),"")</f>
        <v>56.775700000000001</v>
      </c>
      <c r="AT119">
        <f>IF(ISNUMBER(VLOOKUP($A119,Haver_M!$B$1:$BZ$300,MATCH(data!AT$1,Haver_M!$B$1:$BZ$1,0),FALSE)),VLOOKUP($A119,Haver_M!$B$1:$BZ$300,MATCH(data!AT$1,Haver_M!$B$1:$BZ$1,0),FALSE),"")</f>
        <v>57.233800000000002</v>
      </c>
      <c r="AU119">
        <f>IF(ISNUMBER(VLOOKUP($A119,Haver_M!$B$1:$BZ$300,MATCH(data!AU$1,Haver_M!$B$1:$BZ$1,0),FALSE)),VLOOKUP($A119,Haver_M!$B$1:$BZ$300,MATCH(data!AU$1,Haver_M!$B$1:$BZ$1,0),FALSE),"")</f>
        <v>56.7423</v>
      </c>
      <c r="AV119">
        <f>IF(ISNUMBER(VLOOKUP($A119,Haver_M!$B$1:$BZ$300,MATCH(data!AV$1,Haver_M!$B$1:$BZ$1,0),FALSE)),VLOOKUP($A119,Haver_M!$B$1:$BZ$300,MATCH(data!AV$1,Haver_M!$B$1:$BZ$1,0),FALSE),"")</f>
        <v>50.767200000000003</v>
      </c>
      <c r="AW119">
        <f>IF(ISNUMBER(VLOOKUP($A119,Haver_M!$B$1:$BZ$300,MATCH(data!AW$1,Haver_M!$B$1:$BZ$1,0),FALSE)),VLOOKUP($A119,Haver_M!$B$1:$BZ$300,MATCH(data!AW$1,Haver_M!$B$1:$BZ$1,0),FALSE),"")</f>
        <v>49.345100000000002</v>
      </c>
      <c r="AX119">
        <f>IF(ISNUMBER(VLOOKUP($A119,Haver_M!$B$1:$BZ$300,MATCH(data!AX$1,Haver_M!$B$1:$BZ$1,0),FALSE)),VLOOKUP($A119,Haver_M!$B$1:$BZ$300,MATCH(data!AX$1,Haver_M!$B$1:$BZ$1,0),FALSE),"")</f>
        <v>53.961399999999998</v>
      </c>
      <c r="AY119">
        <f>IF(ISNUMBER(VLOOKUP($A119,Haver_M!$B$1:$BZ$300,MATCH(data!AY$1,Haver_M!$B$1:$BZ$1,0),FALSE)),VLOOKUP($A119,Haver_M!$B$1:$BZ$300,MATCH(data!AY$1,Haver_M!$B$1:$BZ$1,0),FALSE),"")</f>
        <v>56.392299999999999</v>
      </c>
      <c r="AZ119">
        <f>IF(ISNUMBER(VLOOKUP($A119,Haver_M!$B$1:$BZ$300,MATCH(data!AZ$1,Haver_M!$B$1:$BZ$1,0),FALSE)),VLOOKUP($A119,Haver_M!$B$1:$BZ$300,MATCH(data!AZ$1,Haver_M!$B$1:$BZ$1,0),FALSE),"")</f>
        <v>56.729199999999999</v>
      </c>
      <c r="BA119">
        <f>IF(ISNUMBER(VLOOKUP($A119,Haver_M!$B$1:$BZ$300,MATCH(data!BA$1,Haver_M!$B$1:$BZ$1,0),FALSE)),VLOOKUP($A119,Haver_M!$B$1:$BZ$300,MATCH(data!BA$1,Haver_M!$B$1:$BZ$1,0),FALSE),"")</f>
        <v>53.961399999999998</v>
      </c>
      <c r="BB119">
        <f>IF(ISNUMBER(VLOOKUP($A119,Haver_M!$B$1:$BZ$300,MATCH(data!BB$1,Haver_M!$B$1:$BZ$1,0),FALSE)),VLOOKUP($A119,Haver_M!$B$1:$BZ$300,MATCH(data!BB$1,Haver_M!$B$1:$BZ$1,0),FALSE),"")</f>
        <v>53.355200000000004</v>
      </c>
      <c r="BC119">
        <f>IF(ISNUMBER(VLOOKUP($A119,Haver_M!$B$1:$BZ$300,MATCH(data!BC$1,Haver_M!$B$1:$BZ$1,0),FALSE)),VLOOKUP($A119,Haver_M!$B$1:$BZ$300,MATCH(data!BC$1,Haver_M!$B$1:$BZ$1,0),FALSE),"")</f>
        <v>50.420099999999998</v>
      </c>
      <c r="BD119">
        <f>IF(ISNUMBER(VLOOKUP($A119,Haver_M!$B$1:$BZ$300,MATCH(data!BD$1,Haver_M!$B$1:$BZ$1,0),FALSE)),VLOOKUP($A119,Haver_M!$B$1:$BZ$300,MATCH(data!BD$1,Haver_M!$B$1:$BZ$1,0),FALSE),"")</f>
        <v>49.301600000000001</v>
      </c>
      <c r="BE119">
        <f>IF(ISNUMBER(VLOOKUP($A119,Haver_M!$B$1:$BZ$300,MATCH(data!BE$1,Haver_M!$B$1:$BZ$1,0),FALSE)),VLOOKUP($A119,Haver_M!$B$1:$BZ$300,MATCH(data!BE$1,Haver_M!$B$1:$BZ$1,0),FALSE),"")</f>
        <v>1.1328</v>
      </c>
      <c r="BF119">
        <f>IF(ISNUMBER(VLOOKUP($A119,Haver_M!$B$1:$BZ$300,MATCH(data!BF$1,Haver_M!$B$1:$BZ$1,0),FALSE)),VLOOKUP($A119,Haver_M!$B$1:$BZ$300,MATCH(data!BF$1,Haver_M!$B$1:$BZ$1,0),FALSE),"")</f>
        <v>52.322899999999997</v>
      </c>
      <c r="BG119">
        <f>IF(ISNUMBER(VLOOKUP($A119,Haver_M!$B$1:$BZ$300,MATCH(data!BG$1,Haver_M!$B$1:$BZ$1,0),FALSE)),VLOOKUP($A119,Haver_M!$B$1:$BZ$300,MATCH(data!BG$1,Haver_M!$B$1:$BZ$1,0),FALSE),"")</f>
        <v>50.791499999999999</v>
      </c>
      <c r="BH119">
        <f>IF(ISNUMBER(VLOOKUP($A119,Haver_M!$B$1:$BZ$300,MATCH(data!BH$1,Haver_M!$B$1:$BZ$1,0),FALSE)),VLOOKUP($A119,Haver_M!$B$1:$BZ$300,MATCH(data!BH$1,Haver_M!$B$1:$BZ$1,0),FALSE),"")</f>
        <v>55.183199999999999</v>
      </c>
      <c r="BI119">
        <f>IF(ISNUMBER(VLOOKUP($A119,Haver_M!$B$1:$BZ$300,MATCH(data!BI$1,Haver_M!$B$1:$BZ$1,0),FALSE)),VLOOKUP($A119,Haver_M!$B$1:$BZ$300,MATCH(data!BI$1,Haver_M!$B$1:$BZ$1,0),FALSE),"")</f>
        <v>52.673499999999997</v>
      </c>
      <c r="BJ119" t="str">
        <f>IF(ISNUMBER(VLOOKUP($A119,Haver_M!$B$1:$BZ$300,MATCH(data!BJ$1,Haver_M!$B$1:$BZ$1,0),FALSE)),VLOOKUP($A119,Haver_M!$B$1:$BZ$300,MATCH(data!BJ$1,Haver_M!$B$1:$BZ$1,0),FALSE),"")</f>
        <v/>
      </c>
      <c r="BK119">
        <f>IF(ISNUMBER(VLOOKUP($A119,Haver_M!$B$1:$BZ$300,MATCH(data!BK$1,Haver_M!$B$1:$BZ$1,0),FALSE)),VLOOKUP($A119,Haver_M!$B$1:$BZ$300,MATCH(data!BK$1,Haver_M!$B$1:$BZ$1,0),FALSE),"")</f>
        <v>51.780299999999997</v>
      </c>
      <c r="BL119">
        <f>IF(ISNUMBER(VLOOKUP($A119,Haver_M!$B$1:$BZ$300,MATCH(data!BL$1,Haver_M!$B$1:$BZ$1,0),FALSE)),VLOOKUP($A119,Haver_M!$B$1:$BZ$300,MATCH(data!BL$1,Haver_M!$B$1:$BZ$1,0),FALSE),"")</f>
        <v>16799.330000000002</v>
      </c>
      <c r="BM119">
        <f>IF(ISNUMBER(VLOOKUP($A119,Haver_M!$B$1:$BZ$300,MATCH(data!BM$1,Haver_M!$B$1:$BZ$1,0),FALSE)),VLOOKUP($A119,Haver_M!$B$1:$BZ$300,MATCH(data!BM$1,Haver_M!$B$1:$BZ$1,0),FALSE),"")</f>
        <v>100.60690653</v>
      </c>
      <c r="BN119" t="str">
        <f>IF(ISNUMBER(VLOOKUP($A119,Haver_M!$B$1:$BZ$300,MATCH(data!BN$1,Haver_M!$B$1:$BZ$1,0),FALSE)),VLOOKUP($A119,Haver_M!$B$1:$BZ$300,MATCH(data!BN$1,Haver_M!$B$1:$BZ$1,0),FALSE),"")</f>
        <v/>
      </c>
      <c r="BO119" t="str">
        <f>IF(ISNUMBER(VLOOKUP($A119,Haver_M!$B$1:$BZ$300,MATCH(data!BO$1,Haver_M!$B$1:$BZ$1,0),FALSE)),VLOOKUP($A119,Haver_M!$B$1:$BZ$300,MATCH(data!BO$1,Haver_M!$B$1:$BZ$1,0),FALSE),"")</f>
        <v/>
      </c>
      <c r="BP119" t="str">
        <f>IF(ISNUMBER(VLOOKUP($A119,Haver_M!$B$1:$BZ$300,MATCH(data!BP$1,Haver_M!$B$1:$BZ$1,0),FALSE)),VLOOKUP($A119,Haver_M!$B$1:$BZ$300,MATCH(data!BP$1,Haver_M!$B$1:$BZ$1,0),FALSE),"")</f>
        <v/>
      </c>
      <c r="BQ119">
        <f>IF(ISNUMBER(VLOOKUP($A119,Haver_M!$B$1:$BZ$300,MATCH(data!BQ$1,Haver_M!$B$1:$BZ$1,0),FALSE)),VLOOKUP($A119,Haver_M!$B$1:$BZ$300,MATCH(data!BQ$1,Haver_M!$B$1:$BZ$1,0),FALSE),"")</f>
        <v>119.57209911581705</v>
      </c>
      <c r="BR119">
        <f>IF(ISNUMBER(VLOOKUP($A119,Haver_M!$B$1:$BZ$300,MATCH(data!BR$1,Haver_M!$B$1:$BZ$1,0),FALSE)),VLOOKUP($A119,Haver_M!$B$1:$BZ$300,MATCH(data!BR$1,Haver_M!$B$1:$BZ$1,0),FALSE),"")</f>
        <v>245.12372354246799</v>
      </c>
      <c r="BS119">
        <f>IF(ISNUMBER(VLOOKUP($A119,Haver_M!$B$1:$BZ$300,MATCH(data!BS$1,Haver_M!$B$1:$BZ$1,0),FALSE)),VLOOKUP($A119,Haver_M!$B$1:$BZ$300,MATCH(data!BS$1,Haver_M!$B$1:$BZ$1,0),FALSE),"")</f>
        <v>138.23154848665806</v>
      </c>
      <c r="BT119">
        <f>IF(ISNUMBER(VLOOKUP($A119,Haver_M!$B$1:$BZ$300,MATCH(data!BT$1,Haver_M!$B$1:$BZ$1,0),FALSE)),VLOOKUP($A119,Haver_M!$B$1:$BZ$300,MATCH(data!BT$1,Haver_M!$B$1:$BZ$1,0),FALSE),"")</f>
        <v>575.18829822071825</v>
      </c>
      <c r="BU119">
        <f>IF(ISNUMBER(VLOOKUP($A119,Haver_M!$B$1:$BZ$300,MATCH(data!BU$1,Haver_M!$B$1:$BZ$1,0),FALSE)),VLOOKUP($A119,Haver_M!$B$1:$BZ$300,MATCH(data!BU$1,Haver_M!$B$1:$BZ$1,0),FALSE),"")</f>
        <v>14806</v>
      </c>
      <c r="BV119">
        <f>IF(ISNUMBER(VLOOKUP($A119,Haver_M!$B$1:$BZ$300,MATCH(data!BV$1,Haver_M!$B$1:$BZ$1,0),FALSE)),VLOOKUP($A119,Haver_M!$B$1:$BZ$300,MATCH(data!BV$1,Haver_M!$B$1:$BZ$1,0),FALSE),"")</f>
        <v>25935.8</v>
      </c>
      <c r="BW119">
        <f>IF(ISNUMBER(VLOOKUP($A119,Haver_M!$B$1:$BZ$300,MATCH(data!BW$1,Haver_M!$B$1:$BZ$1,0),FALSE)),VLOOKUP($A119,Haver_M!$B$1:$BZ$300,MATCH(data!BW$1,Haver_M!$B$1:$BZ$1,0),FALSE),"")</f>
        <v>46.7211</v>
      </c>
      <c r="BX119">
        <f>IF(ISNUMBER(VLOOKUP($A119,Haver_M!$B$1:$BZ$300,MATCH(data!BX$1,Haver_M!$B$1:$BZ$1,0),FALSE)),VLOOKUP($A119,Haver_M!$B$1:$BZ$300,MATCH(data!BX$1,Haver_M!$B$1:$BZ$1,0),FALSE),"")</f>
        <v>48749</v>
      </c>
    </row>
    <row r="120" spans="1:76" x14ac:dyDescent="0.25">
      <c r="A120" s="2">
        <v>40147</v>
      </c>
      <c r="B120" t="str">
        <f>IF(ISNUMBER(VLOOKUP($A120,Haver_Q!$B$1:$L$185,MATCH(data!B$1,Haver_Q!$B$1:$L$1,0),FALSE)),100*(VLOOKUP($A120,Haver_Q!$B$1:$L$185,MATCH(data!B$1,Haver_Q!$B$1:$L$1,0),FALSE)),"")</f>
        <v/>
      </c>
      <c r="C120" t="str">
        <f>IF(ISNUMBER(VLOOKUP($A120,Haver_Q!$B$1:$L$185,MATCH(data!C$1,Haver_Q!$B$1:$L$1,0),FALSE)),100*(VLOOKUP($A120,Haver_Q!$B$1:$L$185,MATCH(data!C$1,Haver_Q!$B$1:$L$1,0),FALSE)),"")</f>
        <v/>
      </c>
      <c r="D120" t="str">
        <f>IF(ISNUMBER(VLOOKUP($A120,Haver_Q!$B$1:$L$185,MATCH(data!D$1,Haver_Q!$B$1:$L$1,0),FALSE)),100*(VLOOKUP($A120,Haver_Q!$B$1:$L$185,MATCH(data!D$1,Haver_Q!$B$1:$L$1,0),FALSE)),"")</f>
        <v/>
      </c>
      <c r="E120" t="str">
        <f>IF(ISNUMBER(VLOOKUP($A120,Haver_Q!$B$1:$L$185,MATCH(data!E$1,Haver_Q!$B$1:$L$1,0),FALSE)),100*(VLOOKUP($A120,Haver_Q!$B$1:$L$185,MATCH(data!E$1,Haver_Q!$B$1:$L$1,0),FALSE)),"")</f>
        <v/>
      </c>
      <c r="F120" t="str">
        <f>IF(ISNUMBER(VLOOKUP($A120,Haver_Q!$B$1:$L$185,MATCH(data!F$1,Haver_Q!$B$1:$L$1,0),FALSE)),100*(VLOOKUP($A120,Haver_Q!$B$1:$L$185,MATCH(data!F$1,Haver_Q!$B$1:$L$1,0),FALSE)),"")</f>
        <v/>
      </c>
      <c r="G120" t="str">
        <f>IF(ISNUMBER(VLOOKUP($A120,Haver_Q!$B$1:$L$185,MATCH(data!G$1,Haver_Q!$B$1:$L$1,0),FALSE)),100*(VLOOKUP($A120,Haver_Q!$B$1:$L$185,MATCH(data!G$1,Haver_Q!$B$1:$L$1,0),FALSE)),"")</f>
        <v/>
      </c>
      <c r="H120" t="str">
        <f>IF(ISNUMBER(VLOOKUP($A120,Haver_Q!$B$1:$L$185,MATCH(data!H$1,Haver_Q!$B$1:$L$1,0),FALSE)),(VLOOKUP($A120,Haver_Q!$B$1:$L$185,MATCH(data!H$1,Haver_Q!$B$1:$L$1,0),FALSE)),"")</f>
        <v/>
      </c>
      <c r="I120" t="str">
        <f>IF(ISNUMBER(VLOOKUP($A120,Haver_Q!$B$1:$L$185,MATCH(data!I$1,Haver_Q!$B$1:$L$1,0),FALSE)),100*(VLOOKUP($A120,Haver_Q!$B$1:$L$185,MATCH(data!I$1,Haver_Q!$B$1:$L$1,0),FALSE)),"")</f>
        <v/>
      </c>
      <c r="J120" s="3">
        <f>IF(ISNUMBER(Bloomberg_m!C136),Bloomberg_m!C136,"")</f>
        <v>3941</v>
      </c>
      <c r="K120" s="3" t="str">
        <f>IF(ISNUMBER(Bloomberg_m!D136),Bloomberg_m!D136,"")</f>
        <v/>
      </c>
      <c r="L120" s="3" t="str">
        <f>IF(ISNUMBER(Bloomberg_m!E136),Bloomberg_m!E136,"")</f>
        <v/>
      </c>
      <c r="M120" s="3">
        <f>IF(ISNUMBER(Bloomberg_m!F136),Bloomberg_m!F136,"")</f>
        <v>504.19</v>
      </c>
      <c r="N120">
        <f>IF(ISNUMBER(VLOOKUP($A120,Haver_M!$B$1:$BZ$300,MATCH(data!N$1,Haver_M!$B$1:$BZ$1,0),FALSE)),VLOOKUP($A120,Haver_M!$B$1:$BZ$300,MATCH(data!N$1,Haver_M!$B$1:$BZ$1,0),FALSE),"")</f>
        <v>4.75</v>
      </c>
      <c r="O120">
        <f>IF(ISNUMBER(VLOOKUP($A120,Haver_M!$B$1:$BZ$300,MATCH(data!O$1,Haver_M!$B$1:$BZ$1,0),FALSE)),VLOOKUP($A120,Haver_M!$B$1:$BZ$300,MATCH(data!O$1,Haver_M!$B$1:$BZ$1,0),FALSE),"")</f>
        <v>7.4580000000000002</v>
      </c>
      <c r="P120">
        <f>IF(ISNUMBER(VLOOKUP($A120,Haver_M!$B$1:$BZ$300,MATCH(data!P$1,Haver_M!$B$1:$BZ$1,0),FALSE)),VLOOKUP($A120,Haver_M!$B$1:$BZ$300,MATCH(data!P$1,Haver_M!$B$1:$BZ$1,0),FALSE),"")</f>
        <v>93.91892</v>
      </c>
      <c r="Q120">
        <f>IF(ISNUMBER(VLOOKUP($A120,Haver_M!$B$1:$BZ$300,MATCH(data!Q$1,Haver_M!$B$1:$BZ$1,0),FALSE)),VLOOKUP($A120,Haver_M!$B$1:$BZ$300,MATCH(data!Q$1,Haver_M!$B$1:$BZ$1,0),FALSE),"")</f>
        <v>81.599999999999994</v>
      </c>
      <c r="R120" t="str">
        <f>IF(ISNUMBER(VLOOKUP($A120,Haver_M!$B$1:$BZ$300,MATCH(data!R$1,Haver_M!$B$1:$BZ$1,0),FALSE)),VLOOKUP($A120,Haver_M!$B$1:$BZ$300,MATCH(data!R$1,Haver_M!$B$1:$BZ$1,0),FALSE),"")</f>
        <v/>
      </c>
      <c r="S120">
        <f>IF(ISNUMBER(VLOOKUP($A120,Haver_M!$B$1:$BZ$300,MATCH(data!S$1,Haver_M!$B$1:$BZ$1,0),FALSE)),VLOOKUP($A120,Haver_M!$B$1:$BZ$300,MATCH(data!S$1,Haver_M!$B$1:$BZ$1,0),FALSE),"")</f>
        <v>93.07</v>
      </c>
      <c r="T120">
        <f>IF(ISNUMBER(VLOOKUP($A120,Haver_M!$B$1:$BZ$300,MATCH(data!T$1,Haver_M!$B$1:$BZ$1,0),FALSE)),VLOOKUP($A120,Haver_M!$B$1:$BZ$300,MATCH(data!T$1,Haver_M!$B$1:$BZ$1,0),FALSE),"")</f>
        <v>89.39</v>
      </c>
      <c r="U120">
        <f>IF(ISNUMBER(VLOOKUP($A120,Haver_M!$B$1:$BZ$300,MATCH(data!U$1,Haver_M!$B$1:$BZ$1,0),FALSE)),VLOOKUP($A120,Haver_M!$B$1:$BZ$300,MATCH(data!U$1,Haver_M!$B$1:$BZ$1,0),FALSE),"")</f>
        <v>96.71</v>
      </c>
      <c r="V120">
        <f>IF(ISNUMBER(VLOOKUP($A120,Haver_M!$B$1:$BZ$300,MATCH(data!V$1,Haver_M!$B$1:$BZ$1,0),FALSE)),VLOOKUP($A120,Haver_M!$B$1:$BZ$300,MATCH(data!V$1,Haver_M!$B$1:$BZ$1,0),FALSE),"")</f>
        <v>99.95</v>
      </c>
      <c r="W120" t="str">
        <f>IF(ISNUMBER(VLOOKUP($A120,Haver_M!$B$1:$BZ$300,MATCH(data!W$1,Haver_M!$B$1:$BZ$1,0),FALSE)),VLOOKUP($A120,Haver_M!$B$1:$BZ$300,MATCH(data!W$1,Haver_M!$B$1:$BZ$1,0),FALSE),"")</f>
        <v/>
      </c>
      <c r="X120">
        <f>IF(ISNUMBER(VLOOKUP($A120,Haver_M!$B$1:$BZ$300,MATCH(data!X$1,Haver_M!$B$1:$BZ$1,0),FALSE)),VLOOKUP($A120,Haver_M!$B$1:$BZ$300,MATCH(data!X$1,Haver_M!$B$1:$BZ$1,0),FALSE),"")</f>
        <v>86.29</v>
      </c>
      <c r="Y120">
        <f>IF(ISNUMBER(VLOOKUP($A120,Haver_M!$B$1:$BZ$300,MATCH(data!Y$1,Haver_M!$B$1:$BZ$1,0),FALSE)),VLOOKUP($A120,Haver_M!$B$1:$BZ$300,MATCH(data!Y$1,Haver_M!$B$1:$BZ$1,0),FALSE),"")</f>
        <v>90.79</v>
      </c>
      <c r="Z120">
        <f>IF(ISNUMBER(VLOOKUP($A120,Haver_M!$B$1:$BZ$300,MATCH(data!Z$1,Haver_M!$B$1:$BZ$1,0),FALSE)),VLOOKUP($A120,Haver_M!$B$1:$BZ$300,MATCH(data!Z$1,Haver_M!$B$1:$BZ$1,0),FALSE),"")</f>
        <v>90.1</v>
      </c>
      <c r="AA120">
        <f>IF(ISNUMBER(VLOOKUP($A120,Haver_M!$B$1:$BZ$300,MATCH(data!AA$1,Haver_M!$B$1:$BZ$1,0),FALSE)),VLOOKUP($A120,Haver_M!$B$1:$BZ$300,MATCH(data!AA$1,Haver_M!$B$1:$BZ$1,0),FALSE),"")</f>
        <v>98.822999999999993</v>
      </c>
      <c r="AB120">
        <f>IF(ISNUMBER(VLOOKUP($A120,Haver_M!$B$1:$BZ$300,MATCH(data!AB$1,Haver_M!$B$1:$BZ$1,0),FALSE)),VLOOKUP($A120,Haver_M!$B$1:$BZ$300,MATCH(data!AB$1,Haver_M!$B$1:$BZ$1,0),FALSE),"")</f>
        <v>88.796000000000006</v>
      </c>
      <c r="AC120">
        <f>IF(ISNUMBER(VLOOKUP($A120,Haver_M!$B$1:$BZ$300,MATCH(data!AC$1,Haver_M!$B$1:$BZ$1,0),FALSE)),VLOOKUP($A120,Haver_M!$B$1:$BZ$300,MATCH(data!AC$1,Haver_M!$B$1:$BZ$1,0),FALSE),"")</f>
        <v>103.806</v>
      </c>
      <c r="AD120">
        <f>IF(ISNUMBER(VLOOKUP($A120,Haver_M!$B$1:$BZ$300,MATCH(data!AD$1,Haver_M!$B$1:$BZ$1,0),FALSE)),VLOOKUP($A120,Haver_M!$B$1:$BZ$300,MATCH(data!AD$1,Haver_M!$B$1:$BZ$1,0),FALSE),"")</f>
        <v>98.084000000000003</v>
      </c>
      <c r="AE120">
        <f>IF(ISNUMBER(VLOOKUP($A120,Haver_M!$B$1:$BZ$300,MATCH(data!AE$1,Haver_M!$B$1:$BZ$1,0),FALSE)),VLOOKUP($A120,Haver_M!$B$1:$BZ$300,MATCH(data!AE$1,Haver_M!$B$1:$BZ$1,0),FALSE),"")</f>
        <v>95.364000000000004</v>
      </c>
      <c r="AF120">
        <f>IF(ISNUMBER(VLOOKUP($A120,Haver_M!$B$1:$BZ$300,MATCH(data!AF$1,Haver_M!$B$1:$BZ$1,0),FALSE)),VLOOKUP($A120,Haver_M!$B$1:$BZ$300,MATCH(data!AF$1,Haver_M!$B$1:$BZ$1,0),FALSE),"")</f>
        <v>82.882000000000005</v>
      </c>
      <c r="AG120">
        <f>IF(ISNUMBER(VLOOKUP($A120,Haver_M!$B$1:$BZ$300,MATCH(data!AG$1,Haver_M!$B$1:$BZ$1,0),FALSE)),VLOOKUP($A120,Haver_M!$B$1:$BZ$300,MATCH(data!AG$1,Haver_M!$B$1:$BZ$1,0),FALSE),"")</f>
        <v>90.072000000000003</v>
      </c>
      <c r="AH120">
        <f>IF(ISNUMBER(VLOOKUP($A120,Haver_M!$B$1:$BZ$300,MATCH(data!AH$1,Haver_M!$B$1:$BZ$1,0),FALSE)),VLOOKUP($A120,Haver_M!$B$1:$BZ$300,MATCH(data!AH$1,Haver_M!$B$1:$BZ$1,0),FALSE),"")</f>
        <v>85.509</v>
      </c>
      <c r="AI120">
        <f>IF(ISNUMBER(VLOOKUP($A120,Haver_M!$B$1:$BZ$300,MATCH(data!AI$1,Haver_M!$B$1:$BZ$1,0),FALSE)),VLOOKUP($A120,Haver_M!$B$1:$BZ$300,MATCH(data!AI$1,Haver_M!$B$1:$BZ$1,0),FALSE),"")</f>
        <v>11507.541987486418</v>
      </c>
      <c r="AJ120">
        <f>IF(ISNUMBER(VLOOKUP($A120,Haver_M!$B$1:$BZ$300,MATCH(data!AJ$1,Haver_M!$B$1:$BZ$1,0),FALSE)),VLOOKUP($A120,Haver_M!$B$1:$BZ$300,MATCH(data!AJ$1,Haver_M!$B$1:$BZ$1,0),FALSE),"")</f>
        <v>16217.72</v>
      </c>
      <c r="AK120">
        <f>IF(ISNUMBER(VLOOKUP($A120,Haver_M!$B$1:$BZ$300,MATCH(data!AK$1,Haver_M!$B$1:$BZ$1,0),FALSE)),VLOOKUP($A120,Haver_M!$B$1:$BZ$300,MATCH(data!AK$1,Haver_M!$B$1:$BZ$1,0),FALSE),"")</f>
        <v>25820.34</v>
      </c>
      <c r="AL120" t="str">
        <f>IF(ISNUMBER(VLOOKUP($A120,Haver_M!$B$1:$BZ$300,MATCH(data!AL$1,Haver_M!$B$1:$BZ$1,0),FALSE)),VLOOKUP($A120,Haver_M!$B$1:$BZ$300,MATCH(data!AL$1,Haver_M!$B$1:$BZ$1,0),FALSE),"")</f>
        <v/>
      </c>
      <c r="AM120" t="str">
        <f>IF(ISNUMBER(VLOOKUP($A120,Haver_M!$B$1:$BZ$300,MATCH(data!AM$1,Haver_M!$B$1:$BZ$1,0),FALSE)),VLOOKUP($A120,Haver_M!$B$1:$BZ$300,MATCH(data!AM$1,Haver_M!$B$1:$BZ$1,0),FALSE),"")</f>
        <v/>
      </c>
      <c r="AN120" t="str">
        <f>IF(ISNUMBER(VLOOKUP($A120,Haver_M!$B$1:$BZ$300,MATCH(data!AN$1,Haver_M!$B$1:$BZ$1,0),FALSE)),VLOOKUP($A120,Haver_M!$B$1:$BZ$300,MATCH(data!AN$1,Haver_M!$B$1:$BZ$1,0),FALSE),"")</f>
        <v/>
      </c>
      <c r="AO120" t="str">
        <f>IF(ISNUMBER(VLOOKUP($A120,Haver_M!$B$1:$BZ$300,MATCH(data!AO$1,Haver_M!$B$1:$BZ$1,0),FALSE)),VLOOKUP($A120,Haver_M!$B$1:$BZ$300,MATCH(data!AO$1,Haver_M!$B$1:$BZ$1,0),FALSE),"")</f>
        <v/>
      </c>
      <c r="AP120">
        <f>IF(ISNUMBER(VLOOKUP($A120,Haver_M!$B$1:$BZ$300,MATCH(data!AP$1,Haver_M!$B$1:$BZ$1,0),FALSE)),VLOOKUP($A120,Haver_M!$B$1:$BZ$300,MATCH(data!AP$1,Haver_M!$B$1:$BZ$1,0),FALSE),"")</f>
        <v>73.798859058040378</v>
      </c>
      <c r="AQ120">
        <f>IF(ISNUMBER(VLOOKUP($A120,Haver_M!$B$1:$BZ$300,MATCH(data!AQ$1,Haver_M!$B$1:$BZ$1,0),FALSE)),VLOOKUP($A120,Haver_M!$B$1:$BZ$300,MATCH(data!AQ$1,Haver_M!$B$1:$BZ$1,0),FALSE),"")</f>
        <v>55.246499999999997</v>
      </c>
      <c r="AR120">
        <f>IF(ISNUMBER(VLOOKUP($A120,Haver_M!$B$1:$BZ$300,MATCH(data!AR$1,Haver_M!$B$1:$BZ$1,0),FALSE)),VLOOKUP($A120,Haver_M!$B$1:$BZ$300,MATCH(data!AR$1,Haver_M!$B$1:$BZ$1,0),FALSE),"")</f>
        <v>52.971299999999999</v>
      </c>
      <c r="AS120">
        <f>IF(ISNUMBER(VLOOKUP($A120,Haver_M!$B$1:$BZ$300,MATCH(data!AS$1,Haver_M!$B$1:$BZ$1,0),FALSE)),VLOOKUP($A120,Haver_M!$B$1:$BZ$300,MATCH(data!AS$1,Haver_M!$B$1:$BZ$1,0),FALSE),"")</f>
        <v>55.195700000000002</v>
      </c>
      <c r="AT120">
        <f>IF(ISNUMBER(VLOOKUP($A120,Haver_M!$B$1:$BZ$300,MATCH(data!AT$1,Haver_M!$B$1:$BZ$1,0),FALSE)),VLOOKUP($A120,Haver_M!$B$1:$BZ$300,MATCH(data!AT$1,Haver_M!$B$1:$BZ$1,0),FALSE),"")</f>
        <v>55.360500000000002</v>
      </c>
      <c r="AU120">
        <f>IF(ISNUMBER(VLOOKUP($A120,Haver_M!$B$1:$BZ$300,MATCH(data!AU$1,Haver_M!$B$1:$BZ$1,0),FALSE)),VLOOKUP($A120,Haver_M!$B$1:$BZ$300,MATCH(data!AU$1,Haver_M!$B$1:$BZ$1,0),FALSE),"")</f>
        <v>54.597799999999999</v>
      </c>
      <c r="AV120">
        <f>IF(ISNUMBER(VLOOKUP($A120,Haver_M!$B$1:$BZ$300,MATCH(data!AV$1,Haver_M!$B$1:$BZ$1,0),FALSE)),VLOOKUP($A120,Haver_M!$B$1:$BZ$300,MATCH(data!AV$1,Haver_M!$B$1:$BZ$1,0),FALSE),"")</f>
        <v>50.2545</v>
      </c>
      <c r="AW120">
        <f>IF(ISNUMBER(VLOOKUP($A120,Haver_M!$B$1:$BZ$300,MATCH(data!AW$1,Haver_M!$B$1:$BZ$1,0),FALSE)),VLOOKUP($A120,Haver_M!$B$1:$BZ$300,MATCH(data!AW$1,Haver_M!$B$1:$BZ$1,0),FALSE),"")</f>
        <v>50.7164</v>
      </c>
      <c r="AX120">
        <f>IF(ISNUMBER(VLOOKUP($A120,Haver_M!$B$1:$BZ$300,MATCH(data!AX$1,Haver_M!$B$1:$BZ$1,0),FALSE)),VLOOKUP($A120,Haver_M!$B$1:$BZ$300,MATCH(data!AX$1,Haver_M!$B$1:$BZ$1,0),FALSE),"")</f>
        <v>53.0839</v>
      </c>
      <c r="AY120">
        <f>IF(ISNUMBER(VLOOKUP($A120,Haver_M!$B$1:$BZ$300,MATCH(data!AY$1,Haver_M!$B$1:$BZ$1,0),FALSE)),VLOOKUP($A120,Haver_M!$B$1:$BZ$300,MATCH(data!AY$1,Haver_M!$B$1:$BZ$1,0),FALSE),"")</f>
        <v>55.102699999999999</v>
      </c>
      <c r="AZ120">
        <f>IF(ISNUMBER(VLOOKUP($A120,Haver_M!$B$1:$BZ$300,MATCH(data!AZ$1,Haver_M!$B$1:$BZ$1,0),FALSE)),VLOOKUP($A120,Haver_M!$B$1:$BZ$300,MATCH(data!AZ$1,Haver_M!$B$1:$BZ$1,0),FALSE),"")</f>
        <v>54.274099999999997</v>
      </c>
      <c r="BA120">
        <f>IF(ISNUMBER(VLOOKUP($A120,Haver_M!$B$1:$BZ$300,MATCH(data!BA$1,Haver_M!$B$1:$BZ$1,0),FALSE)),VLOOKUP($A120,Haver_M!$B$1:$BZ$300,MATCH(data!BA$1,Haver_M!$B$1:$BZ$1,0),FALSE),"")</f>
        <v>53.0839</v>
      </c>
      <c r="BB120">
        <f>IF(ISNUMBER(VLOOKUP($A120,Haver_M!$B$1:$BZ$300,MATCH(data!BB$1,Haver_M!$B$1:$BZ$1,0),FALSE)),VLOOKUP($A120,Haver_M!$B$1:$BZ$300,MATCH(data!BB$1,Haver_M!$B$1:$BZ$1,0),FALSE),"")</f>
        <v>51.773400000000002</v>
      </c>
      <c r="BC120">
        <f>IF(ISNUMBER(VLOOKUP($A120,Haver_M!$B$1:$BZ$300,MATCH(data!BC$1,Haver_M!$B$1:$BZ$1,0),FALSE)),VLOOKUP($A120,Haver_M!$B$1:$BZ$300,MATCH(data!BC$1,Haver_M!$B$1:$BZ$1,0),FALSE),"")</f>
        <v>52.7898</v>
      </c>
      <c r="BD120">
        <f>IF(ISNUMBER(VLOOKUP($A120,Haver_M!$B$1:$BZ$300,MATCH(data!BD$1,Haver_M!$B$1:$BZ$1,0),FALSE)),VLOOKUP($A120,Haver_M!$B$1:$BZ$300,MATCH(data!BD$1,Haver_M!$B$1:$BZ$1,0),FALSE),"")</f>
        <v>47.808500000000002</v>
      </c>
      <c r="BE120">
        <f>IF(ISNUMBER(VLOOKUP($A120,Haver_M!$B$1:$BZ$300,MATCH(data!BE$1,Haver_M!$B$1:$BZ$1,0),FALSE)),VLOOKUP($A120,Haver_M!$B$1:$BZ$300,MATCH(data!BE$1,Haver_M!$B$1:$BZ$1,0),FALSE),"")</f>
        <v>1.0731999999999999</v>
      </c>
      <c r="BF120">
        <f>IF(ISNUMBER(VLOOKUP($A120,Haver_M!$B$1:$BZ$300,MATCH(data!BF$1,Haver_M!$B$1:$BZ$1,0),FALSE)),VLOOKUP($A120,Haver_M!$B$1:$BZ$300,MATCH(data!BF$1,Haver_M!$B$1:$BZ$1,0),FALSE),"")</f>
        <v>50.928899999999999</v>
      </c>
      <c r="BG120">
        <f>IF(ISNUMBER(VLOOKUP($A120,Haver_M!$B$1:$BZ$300,MATCH(data!BG$1,Haver_M!$B$1:$BZ$1,0),FALSE)),VLOOKUP($A120,Haver_M!$B$1:$BZ$300,MATCH(data!BG$1,Haver_M!$B$1:$BZ$1,0),FALSE),"")</f>
        <v>49.6098</v>
      </c>
      <c r="BH120">
        <f>IF(ISNUMBER(VLOOKUP($A120,Haver_M!$B$1:$BZ$300,MATCH(data!BH$1,Haver_M!$B$1:$BZ$1,0),FALSE)),VLOOKUP($A120,Haver_M!$B$1:$BZ$300,MATCH(data!BH$1,Haver_M!$B$1:$BZ$1,0),FALSE),"")</f>
        <v>54.302700000000002</v>
      </c>
      <c r="BI120">
        <f>IF(ISNUMBER(VLOOKUP($A120,Haver_M!$B$1:$BZ$300,MATCH(data!BI$1,Haver_M!$B$1:$BZ$1,0),FALSE)),VLOOKUP($A120,Haver_M!$B$1:$BZ$300,MATCH(data!BI$1,Haver_M!$B$1:$BZ$1,0),FALSE),"")</f>
        <v>50.8</v>
      </c>
      <c r="BJ120" t="str">
        <f>IF(ISNUMBER(VLOOKUP($A120,Haver_M!$B$1:$BZ$300,MATCH(data!BJ$1,Haver_M!$B$1:$BZ$1,0),FALSE)),VLOOKUP($A120,Haver_M!$B$1:$BZ$300,MATCH(data!BJ$1,Haver_M!$B$1:$BZ$1,0),FALSE),"")</f>
        <v/>
      </c>
      <c r="BK120">
        <f>IF(ISNUMBER(VLOOKUP($A120,Haver_M!$B$1:$BZ$300,MATCH(data!BK$1,Haver_M!$B$1:$BZ$1,0),FALSE)),VLOOKUP($A120,Haver_M!$B$1:$BZ$300,MATCH(data!BK$1,Haver_M!$B$1:$BZ$1,0),FALSE),"")</f>
        <v>51.0503</v>
      </c>
      <c r="BL120">
        <f>IF(ISNUMBER(VLOOKUP($A120,Haver_M!$B$1:$BZ$300,MATCH(data!BL$1,Haver_M!$B$1:$BZ$1,0),FALSE)),VLOOKUP($A120,Haver_M!$B$1:$BZ$300,MATCH(data!BL$1,Haver_M!$B$1:$BZ$1,0),FALSE),"")</f>
        <v>16684.29</v>
      </c>
      <c r="BM120">
        <f>IF(ISNUMBER(VLOOKUP($A120,Haver_M!$B$1:$BZ$300,MATCH(data!BM$1,Haver_M!$B$1:$BZ$1,0),FALSE)),VLOOKUP($A120,Haver_M!$B$1:$BZ$300,MATCH(data!BM$1,Haver_M!$B$1:$BZ$1,0),FALSE),"")</f>
        <v>102.45658953</v>
      </c>
      <c r="BN120" t="str">
        <f>IF(ISNUMBER(VLOOKUP($A120,Haver_M!$B$1:$BZ$300,MATCH(data!BN$1,Haver_M!$B$1:$BZ$1,0),FALSE)),VLOOKUP($A120,Haver_M!$B$1:$BZ$300,MATCH(data!BN$1,Haver_M!$B$1:$BZ$1,0),FALSE),"")</f>
        <v/>
      </c>
      <c r="BO120" t="str">
        <f>IF(ISNUMBER(VLOOKUP($A120,Haver_M!$B$1:$BZ$300,MATCH(data!BO$1,Haver_M!$B$1:$BZ$1,0),FALSE)),VLOOKUP($A120,Haver_M!$B$1:$BZ$300,MATCH(data!BO$1,Haver_M!$B$1:$BZ$1,0),FALSE),"")</f>
        <v/>
      </c>
      <c r="BP120" t="str">
        <f>IF(ISNUMBER(VLOOKUP($A120,Haver_M!$B$1:$BZ$300,MATCH(data!BP$1,Haver_M!$B$1:$BZ$1,0),FALSE)),VLOOKUP($A120,Haver_M!$B$1:$BZ$300,MATCH(data!BP$1,Haver_M!$B$1:$BZ$1,0),FALSE),"")</f>
        <v/>
      </c>
      <c r="BQ120">
        <f>IF(ISNUMBER(VLOOKUP($A120,Haver_M!$B$1:$BZ$300,MATCH(data!BQ$1,Haver_M!$B$1:$BZ$1,0),FALSE)),VLOOKUP($A120,Haver_M!$B$1:$BZ$300,MATCH(data!BQ$1,Haver_M!$B$1:$BZ$1,0),FALSE),"")</f>
        <v>121.17954003736391</v>
      </c>
      <c r="BR120">
        <f>IF(ISNUMBER(VLOOKUP($A120,Haver_M!$B$1:$BZ$300,MATCH(data!BR$1,Haver_M!$B$1:$BZ$1,0),FALSE)),VLOOKUP($A120,Haver_M!$B$1:$BZ$300,MATCH(data!BR$1,Haver_M!$B$1:$BZ$1,0),FALSE),"")</f>
        <v>247.74463699027248</v>
      </c>
      <c r="BS120">
        <f>IF(ISNUMBER(VLOOKUP($A120,Haver_M!$B$1:$BZ$300,MATCH(data!BS$1,Haver_M!$B$1:$BZ$1,0),FALSE)),VLOOKUP($A120,Haver_M!$B$1:$BZ$300,MATCH(data!BS$1,Haver_M!$B$1:$BZ$1,0),FALSE),"")</f>
        <v>140.67362408469151</v>
      </c>
      <c r="BT120">
        <f>IF(ISNUMBER(VLOOKUP($A120,Haver_M!$B$1:$BZ$300,MATCH(data!BT$1,Haver_M!$B$1:$BZ$1,0),FALSE)),VLOOKUP($A120,Haver_M!$B$1:$BZ$300,MATCH(data!BT$1,Haver_M!$B$1:$BZ$1,0),FALSE),"")</f>
        <v>583.2671949150722</v>
      </c>
      <c r="BU120">
        <f>IF(ISNUMBER(VLOOKUP($A120,Haver_M!$B$1:$BZ$300,MATCH(data!BU$1,Haver_M!$B$1:$BZ$1,0),FALSE)),VLOOKUP($A120,Haver_M!$B$1:$BZ$300,MATCH(data!BU$1,Haver_M!$B$1:$BZ$1,0),FALSE),"")</f>
        <v>14932.7</v>
      </c>
      <c r="BV120">
        <f>IF(ISNUMBER(VLOOKUP($A120,Haver_M!$B$1:$BZ$300,MATCH(data!BV$1,Haver_M!$B$1:$BZ$1,0),FALSE)),VLOOKUP($A120,Haver_M!$B$1:$BZ$300,MATCH(data!BV$1,Haver_M!$B$1:$BZ$1,0),FALSE),"")</f>
        <v>24996.5</v>
      </c>
      <c r="BW120">
        <f>IF(ISNUMBER(VLOOKUP($A120,Haver_M!$B$1:$BZ$300,MATCH(data!BW$1,Haver_M!$B$1:$BZ$1,0),FALSE)),VLOOKUP($A120,Haver_M!$B$1:$BZ$300,MATCH(data!BW$1,Haver_M!$B$1:$BZ$1,0),FALSE),"")</f>
        <v>46.569000000000003</v>
      </c>
      <c r="BX120">
        <f>IF(ISNUMBER(VLOOKUP($A120,Haver_M!$B$1:$BZ$300,MATCH(data!BX$1,Haver_M!$B$1:$BZ$1,0),FALSE)),VLOOKUP($A120,Haver_M!$B$1:$BZ$300,MATCH(data!BX$1,Haver_M!$B$1:$BZ$1,0),FALSE),"")</f>
        <v>48362</v>
      </c>
    </row>
    <row r="121" spans="1:76" x14ac:dyDescent="0.25">
      <c r="A121" s="2">
        <v>40178</v>
      </c>
      <c r="B121">
        <f>IF(ISNUMBER(VLOOKUP($A121,Haver_Q!$B$1:$L$185,MATCH(data!B$1,Haver_Q!$B$1:$L$1,0),FALSE)),100*(VLOOKUP($A121,Haver_Q!$B$1:$L$185,MATCH(data!B$1,Haver_Q!$B$1:$L$1,0),FALSE)),"")</f>
        <v>8.4908691580102946</v>
      </c>
      <c r="C121">
        <f>IF(ISNUMBER(VLOOKUP($A121,Haver_Q!$B$1:$L$185,MATCH(data!C$1,Haver_Q!$B$1:$L$1,0),FALSE)),100*(VLOOKUP($A121,Haver_Q!$B$1:$L$185,MATCH(data!C$1,Haver_Q!$B$1:$L$1,0),FALSE)),"")</f>
        <v>2.3869757096822486</v>
      </c>
      <c r="D121">
        <f>IF(ISNUMBER(VLOOKUP($A121,Haver_Q!$B$1:$L$185,MATCH(data!D$1,Haver_Q!$B$1:$L$1,0),FALSE)),100*(VLOOKUP($A121,Haver_Q!$B$1:$L$185,MATCH(data!D$1,Haver_Q!$B$1:$L$1,0),FALSE)),"")</f>
        <v>18.264523384776112</v>
      </c>
      <c r="E121">
        <f>IF(ISNUMBER(VLOOKUP($A121,Haver_Q!$B$1:$L$185,MATCH(data!E$1,Haver_Q!$B$1:$L$1,0),FALSE)),100*(VLOOKUP($A121,Haver_Q!$B$1:$L$185,MATCH(data!E$1,Haver_Q!$B$1:$L$1,0),FALSE)),"")</f>
        <v>8.0217981769634896</v>
      </c>
      <c r="F121">
        <f>IF(ISNUMBER(VLOOKUP($A121,Haver_Q!$B$1:$L$185,MATCH(data!F$1,Haver_Q!$B$1:$L$1,0),FALSE)),100*(VLOOKUP($A121,Haver_Q!$B$1:$L$185,MATCH(data!F$1,Haver_Q!$B$1:$L$1,0),FALSE)),"")</f>
        <v>-1.7382554910329251</v>
      </c>
      <c r="G121">
        <f>IF(ISNUMBER(VLOOKUP($A121,Haver_Q!$B$1:$L$185,MATCH(data!G$1,Haver_Q!$B$1:$L$1,0),FALSE)),100*(VLOOKUP($A121,Haver_Q!$B$1:$L$185,MATCH(data!G$1,Haver_Q!$B$1:$L$1,0),FALSE)),"")</f>
        <v>47.282540837047172</v>
      </c>
      <c r="H121">
        <f>IF(ISNUMBER(VLOOKUP($A121,Haver_Q!$B$1:$L$185,MATCH(data!H$1,Haver_Q!$B$1:$L$1,0),FALSE)),(VLOOKUP($A121,Haver_Q!$B$1:$L$185,MATCH(data!H$1,Haver_Q!$B$1:$L$1,0),FALSE)),"")</f>
        <v>5.659692526913223</v>
      </c>
      <c r="I121">
        <f>IF(ISNUMBER(VLOOKUP($A121,Haver_Q!$B$1:$L$185,MATCH(data!I$1,Haver_Q!$B$1:$L$1,0),FALSE)),100*(VLOOKUP($A121,Haver_Q!$B$1:$L$185,MATCH(data!I$1,Haver_Q!$B$1:$L$1,0),FALSE)),"")</f>
        <v>8.2110699470404604</v>
      </c>
      <c r="J121" s="3">
        <f>IF(ISNUMBER(Bloomberg_m!C137),Bloomberg_m!C137,"")</f>
        <v>3572</v>
      </c>
      <c r="K121" s="3" t="str">
        <f>IF(ISNUMBER(Bloomberg_m!D137),Bloomberg_m!D137,"")</f>
        <v/>
      </c>
      <c r="L121" s="3" t="str">
        <f>IF(ISNUMBER(Bloomberg_m!E137),Bloomberg_m!E137,"")</f>
        <v/>
      </c>
      <c r="M121" s="3">
        <f>IF(ISNUMBER(Bloomberg_m!F137),Bloomberg_m!F137,"")</f>
        <v>523.78</v>
      </c>
      <c r="N121">
        <f>IF(ISNUMBER(VLOOKUP($A121,Haver_M!$B$1:$BZ$300,MATCH(data!N$1,Haver_M!$B$1:$BZ$1,0),FALSE)),VLOOKUP($A121,Haver_M!$B$1:$BZ$300,MATCH(data!N$1,Haver_M!$B$1:$BZ$1,0),FALSE),"")</f>
        <v>4.75</v>
      </c>
      <c r="O121">
        <f>IF(ISNUMBER(VLOOKUP($A121,Haver_M!$B$1:$BZ$300,MATCH(data!O$1,Haver_M!$B$1:$BZ$1,0),FALSE)),VLOOKUP($A121,Haver_M!$B$1:$BZ$300,MATCH(data!O$1,Haver_M!$B$1:$BZ$1,0),FALSE),"")</f>
        <v>7.7366000000000001</v>
      </c>
      <c r="P121">
        <f>IF(ISNUMBER(VLOOKUP($A121,Haver_M!$B$1:$BZ$300,MATCH(data!P$1,Haver_M!$B$1:$BZ$1,0),FALSE)),VLOOKUP($A121,Haver_M!$B$1:$BZ$300,MATCH(data!P$1,Haver_M!$B$1:$BZ$1,0),FALSE),"")</f>
        <v>94.62303</v>
      </c>
      <c r="Q121">
        <f>IF(ISNUMBER(VLOOKUP($A121,Haver_M!$B$1:$BZ$300,MATCH(data!Q$1,Haver_M!$B$1:$BZ$1,0),FALSE)),VLOOKUP($A121,Haver_M!$B$1:$BZ$300,MATCH(data!Q$1,Haver_M!$B$1:$BZ$1,0),FALSE),"")</f>
        <v>81.7</v>
      </c>
      <c r="R121" t="str">
        <f>IF(ISNUMBER(VLOOKUP($A121,Haver_M!$B$1:$BZ$300,MATCH(data!R$1,Haver_M!$B$1:$BZ$1,0),FALSE)),VLOOKUP($A121,Haver_M!$B$1:$BZ$300,MATCH(data!R$1,Haver_M!$B$1:$BZ$1,0),FALSE),"")</f>
        <v/>
      </c>
      <c r="S121">
        <f>IF(ISNUMBER(VLOOKUP($A121,Haver_M!$B$1:$BZ$300,MATCH(data!S$1,Haver_M!$B$1:$BZ$1,0),FALSE)),VLOOKUP($A121,Haver_M!$B$1:$BZ$300,MATCH(data!S$1,Haver_M!$B$1:$BZ$1,0),FALSE),"")</f>
        <v>94.17</v>
      </c>
      <c r="T121">
        <f>IF(ISNUMBER(VLOOKUP($A121,Haver_M!$B$1:$BZ$300,MATCH(data!T$1,Haver_M!$B$1:$BZ$1,0),FALSE)),VLOOKUP($A121,Haver_M!$B$1:$BZ$300,MATCH(data!T$1,Haver_M!$B$1:$BZ$1,0),FALSE),"")</f>
        <v>88.94</v>
      </c>
      <c r="U121">
        <f>IF(ISNUMBER(VLOOKUP($A121,Haver_M!$B$1:$BZ$300,MATCH(data!U$1,Haver_M!$B$1:$BZ$1,0),FALSE)),VLOOKUP($A121,Haver_M!$B$1:$BZ$300,MATCH(data!U$1,Haver_M!$B$1:$BZ$1,0),FALSE),"")</f>
        <v>107.35</v>
      </c>
      <c r="V121">
        <f>IF(ISNUMBER(VLOOKUP($A121,Haver_M!$B$1:$BZ$300,MATCH(data!V$1,Haver_M!$B$1:$BZ$1,0),FALSE)),VLOOKUP($A121,Haver_M!$B$1:$BZ$300,MATCH(data!V$1,Haver_M!$B$1:$BZ$1,0),FALSE),"")</f>
        <v>100.16</v>
      </c>
      <c r="W121" t="str">
        <f>IF(ISNUMBER(VLOOKUP($A121,Haver_M!$B$1:$BZ$300,MATCH(data!W$1,Haver_M!$B$1:$BZ$1,0),FALSE)),VLOOKUP($A121,Haver_M!$B$1:$BZ$300,MATCH(data!W$1,Haver_M!$B$1:$BZ$1,0),FALSE),"")</f>
        <v/>
      </c>
      <c r="X121">
        <f>IF(ISNUMBER(VLOOKUP($A121,Haver_M!$B$1:$BZ$300,MATCH(data!X$1,Haver_M!$B$1:$BZ$1,0),FALSE)),VLOOKUP($A121,Haver_M!$B$1:$BZ$300,MATCH(data!X$1,Haver_M!$B$1:$BZ$1,0),FALSE),"")</f>
        <v>91.44</v>
      </c>
      <c r="Y121">
        <f>IF(ISNUMBER(VLOOKUP($A121,Haver_M!$B$1:$BZ$300,MATCH(data!Y$1,Haver_M!$B$1:$BZ$1,0),FALSE)),VLOOKUP($A121,Haver_M!$B$1:$BZ$300,MATCH(data!Y$1,Haver_M!$B$1:$BZ$1,0),FALSE),"")</f>
        <v>90.57</v>
      </c>
      <c r="Z121">
        <f>IF(ISNUMBER(VLOOKUP($A121,Haver_M!$B$1:$BZ$300,MATCH(data!Z$1,Haver_M!$B$1:$BZ$1,0),FALSE)),VLOOKUP($A121,Haver_M!$B$1:$BZ$300,MATCH(data!Z$1,Haver_M!$B$1:$BZ$1,0),FALSE),"")</f>
        <v>90.6</v>
      </c>
      <c r="AA121">
        <f>IF(ISNUMBER(VLOOKUP($A121,Haver_M!$B$1:$BZ$300,MATCH(data!AA$1,Haver_M!$B$1:$BZ$1,0),FALSE)),VLOOKUP($A121,Haver_M!$B$1:$BZ$300,MATCH(data!AA$1,Haver_M!$B$1:$BZ$1,0),FALSE),"")</f>
        <v>96.325000000000003</v>
      </c>
      <c r="AB121">
        <f>IF(ISNUMBER(VLOOKUP($A121,Haver_M!$B$1:$BZ$300,MATCH(data!AB$1,Haver_M!$B$1:$BZ$1,0),FALSE)),VLOOKUP($A121,Haver_M!$B$1:$BZ$300,MATCH(data!AB$1,Haver_M!$B$1:$BZ$1,0),FALSE),"")</f>
        <v>89.304000000000002</v>
      </c>
      <c r="AC121">
        <f>IF(ISNUMBER(VLOOKUP($A121,Haver_M!$B$1:$BZ$300,MATCH(data!AC$1,Haver_M!$B$1:$BZ$1,0),FALSE)),VLOOKUP($A121,Haver_M!$B$1:$BZ$300,MATCH(data!AC$1,Haver_M!$B$1:$BZ$1,0),FALSE),"")</f>
        <v>109.044</v>
      </c>
      <c r="AD121">
        <f>IF(ISNUMBER(VLOOKUP($A121,Haver_M!$B$1:$BZ$300,MATCH(data!AD$1,Haver_M!$B$1:$BZ$1,0),FALSE)),VLOOKUP($A121,Haver_M!$B$1:$BZ$300,MATCH(data!AD$1,Haver_M!$B$1:$BZ$1,0),FALSE),"")</f>
        <v>94.23</v>
      </c>
      <c r="AE121">
        <f>IF(ISNUMBER(VLOOKUP($A121,Haver_M!$B$1:$BZ$300,MATCH(data!AE$1,Haver_M!$B$1:$BZ$1,0),FALSE)),VLOOKUP($A121,Haver_M!$B$1:$BZ$300,MATCH(data!AE$1,Haver_M!$B$1:$BZ$1,0),FALSE),"")</f>
        <v>95.921999999999997</v>
      </c>
      <c r="AF121">
        <f>IF(ISNUMBER(VLOOKUP($A121,Haver_M!$B$1:$BZ$300,MATCH(data!AF$1,Haver_M!$B$1:$BZ$1,0),FALSE)),VLOOKUP($A121,Haver_M!$B$1:$BZ$300,MATCH(data!AF$1,Haver_M!$B$1:$BZ$1,0),FALSE),"")</f>
        <v>82.346000000000004</v>
      </c>
      <c r="AG121">
        <f>IF(ISNUMBER(VLOOKUP($A121,Haver_M!$B$1:$BZ$300,MATCH(data!AG$1,Haver_M!$B$1:$BZ$1,0),FALSE)),VLOOKUP($A121,Haver_M!$B$1:$BZ$300,MATCH(data!AG$1,Haver_M!$B$1:$BZ$1,0),FALSE),"")</f>
        <v>92.046999999999997</v>
      </c>
      <c r="AH121">
        <f>IF(ISNUMBER(VLOOKUP($A121,Haver_M!$B$1:$BZ$300,MATCH(data!AH$1,Haver_M!$B$1:$BZ$1,0),FALSE)),VLOOKUP($A121,Haver_M!$B$1:$BZ$300,MATCH(data!AH$1,Haver_M!$B$1:$BZ$1,0),FALSE),"")</f>
        <v>88.314999999999998</v>
      </c>
      <c r="AI121">
        <f>IF(ISNUMBER(VLOOKUP($A121,Haver_M!$B$1:$BZ$300,MATCH(data!AI$1,Haver_M!$B$1:$BZ$1,0),FALSE)),VLOOKUP($A121,Haver_M!$B$1:$BZ$300,MATCH(data!AI$1,Haver_M!$B$1:$BZ$1,0),FALSE),"")</f>
        <v>11455.12597460046</v>
      </c>
      <c r="AJ121">
        <f>IF(ISNUMBER(VLOOKUP($A121,Haver_M!$B$1:$BZ$300,MATCH(data!AJ$1,Haver_M!$B$1:$BZ$1,0),FALSE)),VLOOKUP($A121,Haver_M!$B$1:$BZ$300,MATCH(data!AJ$1,Haver_M!$B$1:$BZ$1,0),FALSE),"")</f>
        <v>16443.88</v>
      </c>
      <c r="AK121">
        <f>IF(ISNUMBER(VLOOKUP($A121,Haver_M!$B$1:$BZ$300,MATCH(data!AK$1,Haver_M!$B$1:$BZ$1,0),FALSE)),VLOOKUP($A121,Haver_M!$B$1:$BZ$300,MATCH(data!AK$1,Haver_M!$B$1:$BZ$1,0),FALSE),"")</f>
        <v>29460.71</v>
      </c>
      <c r="AL121" t="str">
        <f>IF(ISNUMBER(VLOOKUP($A121,Haver_M!$B$1:$BZ$300,MATCH(data!AL$1,Haver_M!$B$1:$BZ$1,0),FALSE)),VLOOKUP($A121,Haver_M!$B$1:$BZ$300,MATCH(data!AL$1,Haver_M!$B$1:$BZ$1,0),FALSE),"")</f>
        <v/>
      </c>
      <c r="AM121" t="str">
        <f>IF(ISNUMBER(VLOOKUP($A121,Haver_M!$B$1:$BZ$300,MATCH(data!AM$1,Haver_M!$B$1:$BZ$1,0),FALSE)),VLOOKUP($A121,Haver_M!$B$1:$BZ$300,MATCH(data!AM$1,Haver_M!$B$1:$BZ$1,0),FALSE),"")</f>
        <v/>
      </c>
      <c r="AN121" t="str">
        <f>IF(ISNUMBER(VLOOKUP($A121,Haver_M!$B$1:$BZ$300,MATCH(data!AN$1,Haver_M!$B$1:$BZ$1,0),FALSE)),VLOOKUP($A121,Haver_M!$B$1:$BZ$300,MATCH(data!AN$1,Haver_M!$B$1:$BZ$1,0),FALSE),"")</f>
        <v/>
      </c>
      <c r="AO121" t="str">
        <f>IF(ISNUMBER(VLOOKUP($A121,Haver_M!$B$1:$BZ$300,MATCH(data!AO$1,Haver_M!$B$1:$BZ$1,0),FALSE)),VLOOKUP($A121,Haver_M!$B$1:$BZ$300,MATCH(data!AO$1,Haver_M!$B$1:$BZ$1,0),FALSE),"")</f>
        <v/>
      </c>
      <c r="AP121">
        <f>IF(ISNUMBER(VLOOKUP($A121,Haver_M!$B$1:$BZ$300,MATCH(data!AP$1,Haver_M!$B$1:$BZ$1,0),FALSE)),VLOOKUP($A121,Haver_M!$B$1:$BZ$300,MATCH(data!AP$1,Haver_M!$B$1:$BZ$1,0),FALSE),"")</f>
        <v>74.286967969064662</v>
      </c>
      <c r="AQ121">
        <f>IF(ISNUMBER(VLOOKUP($A121,Haver_M!$B$1:$BZ$300,MATCH(data!AQ$1,Haver_M!$B$1:$BZ$1,0),FALSE)),VLOOKUP($A121,Haver_M!$B$1:$BZ$300,MATCH(data!AQ$1,Haver_M!$B$1:$BZ$1,0),FALSE),"")</f>
        <v>57.949300000000001</v>
      </c>
      <c r="AR121">
        <f>IF(ISNUMBER(VLOOKUP($A121,Haver_M!$B$1:$BZ$300,MATCH(data!AR$1,Haver_M!$B$1:$BZ$1,0),FALSE)),VLOOKUP($A121,Haver_M!$B$1:$BZ$300,MATCH(data!AR$1,Haver_M!$B$1:$BZ$1,0),FALSE),"")</f>
        <v>55.572600000000001</v>
      </c>
      <c r="AS121">
        <f>IF(ISNUMBER(VLOOKUP($A121,Haver_M!$B$1:$BZ$300,MATCH(data!AS$1,Haver_M!$B$1:$BZ$1,0),FALSE)),VLOOKUP($A121,Haver_M!$B$1:$BZ$300,MATCH(data!AS$1,Haver_M!$B$1:$BZ$1,0),FALSE),"")</f>
        <v>57.406199999999998</v>
      </c>
      <c r="AT121">
        <f>IF(ISNUMBER(VLOOKUP($A121,Haver_M!$B$1:$BZ$300,MATCH(data!AT$1,Haver_M!$B$1:$BZ$1,0),FALSE)),VLOOKUP($A121,Haver_M!$B$1:$BZ$300,MATCH(data!AT$1,Haver_M!$B$1:$BZ$1,0),FALSE),"")</f>
        <v>59.170099999999998</v>
      </c>
      <c r="AU121">
        <f>IF(ISNUMBER(VLOOKUP($A121,Haver_M!$B$1:$BZ$300,MATCH(data!AU$1,Haver_M!$B$1:$BZ$1,0),FALSE)),VLOOKUP($A121,Haver_M!$B$1:$BZ$300,MATCH(data!AU$1,Haver_M!$B$1:$BZ$1,0),FALSE),"")</f>
        <v>60.086500000000001</v>
      </c>
      <c r="AV121">
        <f>IF(ISNUMBER(VLOOKUP($A121,Haver_M!$B$1:$BZ$300,MATCH(data!AV$1,Haver_M!$B$1:$BZ$1,0),FALSE)),VLOOKUP($A121,Haver_M!$B$1:$BZ$300,MATCH(data!AV$1,Haver_M!$B$1:$BZ$1,0),FALSE),"")</f>
        <v>49.941000000000003</v>
      </c>
      <c r="AW121">
        <f>IF(ISNUMBER(VLOOKUP($A121,Haver_M!$B$1:$BZ$300,MATCH(data!AW$1,Haver_M!$B$1:$BZ$1,0),FALSE)),VLOOKUP($A121,Haver_M!$B$1:$BZ$300,MATCH(data!AW$1,Haver_M!$B$1:$BZ$1,0),FALSE),"")</f>
        <v>49.938800000000001</v>
      </c>
      <c r="AX121">
        <f>IF(ISNUMBER(VLOOKUP($A121,Haver_M!$B$1:$BZ$300,MATCH(data!AX$1,Haver_M!$B$1:$BZ$1,0),FALSE)),VLOOKUP($A121,Haver_M!$B$1:$BZ$300,MATCH(data!AX$1,Haver_M!$B$1:$BZ$1,0),FALSE),"")</f>
        <v>52.567399999999999</v>
      </c>
      <c r="AY121">
        <f>IF(ISNUMBER(VLOOKUP($A121,Haver_M!$B$1:$BZ$300,MATCH(data!AY$1,Haver_M!$B$1:$BZ$1,0),FALSE)),VLOOKUP($A121,Haver_M!$B$1:$BZ$300,MATCH(data!AY$1,Haver_M!$B$1:$BZ$1,0),FALSE),"")</f>
        <v>58.8874</v>
      </c>
      <c r="AZ121">
        <f>IF(ISNUMBER(VLOOKUP($A121,Haver_M!$B$1:$BZ$300,MATCH(data!AZ$1,Haver_M!$B$1:$BZ$1,0),FALSE)),VLOOKUP($A121,Haver_M!$B$1:$BZ$300,MATCH(data!AZ$1,Haver_M!$B$1:$BZ$1,0),FALSE),"")</f>
        <v>57.171900000000001</v>
      </c>
      <c r="BA121">
        <f>IF(ISNUMBER(VLOOKUP($A121,Haver_M!$B$1:$BZ$300,MATCH(data!BA$1,Haver_M!$B$1:$BZ$1,0),FALSE)),VLOOKUP($A121,Haver_M!$B$1:$BZ$300,MATCH(data!BA$1,Haver_M!$B$1:$BZ$1,0),FALSE),"")</f>
        <v>52.567399999999999</v>
      </c>
      <c r="BB121">
        <f>IF(ISNUMBER(VLOOKUP($A121,Haver_M!$B$1:$BZ$300,MATCH(data!BB$1,Haver_M!$B$1:$BZ$1,0),FALSE)),VLOOKUP($A121,Haver_M!$B$1:$BZ$300,MATCH(data!BB$1,Haver_M!$B$1:$BZ$1,0),FALSE),"")</f>
        <v>54.602200000000003</v>
      </c>
      <c r="BC121">
        <f>IF(ISNUMBER(VLOOKUP($A121,Haver_M!$B$1:$BZ$300,MATCH(data!BC$1,Haver_M!$B$1:$BZ$1,0),FALSE)),VLOOKUP($A121,Haver_M!$B$1:$BZ$300,MATCH(data!BC$1,Haver_M!$B$1:$BZ$1,0),FALSE),"")</f>
        <v>52.611600000000003</v>
      </c>
      <c r="BD121">
        <f>IF(ISNUMBER(VLOOKUP($A121,Haver_M!$B$1:$BZ$300,MATCH(data!BD$1,Haver_M!$B$1:$BZ$1,0),FALSE)),VLOOKUP($A121,Haver_M!$B$1:$BZ$300,MATCH(data!BD$1,Haver_M!$B$1:$BZ$1,0),FALSE),"")</f>
        <v>50.070399999999999</v>
      </c>
      <c r="BE121">
        <f>IF(ISNUMBER(VLOOKUP($A121,Haver_M!$B$1:$BZ$300,MATCH(data!BE$1,Haver_M!$B$1:$BZ$1,0),FALSE)),VLOOKUP($A121,Haver_M!$B$1:$BZ$300,MATCH(data!BE$1,Haver_M!$B$1:$BZ$1,0),FALSE),"")</f>
        <v>1.1873</v>
      </c>
      <c r="BF121">
        <f>IF(ISNUMBER(VLOOKUP($A121,Haver_M!$B$1:$BZ$300,MATCH(data!BF$1,Haver_M!$B$1:$BZ$1,0),FALSE)),VLOOKUP($A121,Haver_M!$B$1:$BZ$300,MATCH(data!BF$1,Haver_M!$B$1:$BZ$1,0),FALSE),"")</f>
        <v>51.522500000000001</v>
      </c>
      <c r="BG121">
        <f>IF(ISNUMBER(VLOOKUP($A121,Haver_M!$B$1:$BZ$300,MATCH(data!BG$1,Haver_M!$B$1:$BZ$1,0),FALSE)),VLOOKUP($A121,Haver_M!$B$1:$BZ$300,MATCH(data!BG$1,Haver_M!$B$1:$BZ$1,0),FALSE),"")</f>
        <v>51.481000000000002</v>
      </c>
      <c r="BH121">
        <f>IF(ISNUMBER(VLOOKUP($A121,Haver_M!$B$1:$BZ$300,MATCH(data!BH$1,Haver_M!$B$1:$BZ$1,0),FALSE)),VLOOKUP($A121,Haver_M!$B$1:$BZ$300,MATCH(data!BH$1,Haver_M!$B$1:$BZ$1,0),FALSE),"")</f>
        <v>57.176900000000003</v>
      </c>
      <c r="BI121">
        <f>IF(ISNUMBER(VLOOKUP($A121,Haver_M!$B$1:$BZ$300,MATCH(data!BI$1,Haver_M!$B$1:$BZ$1,0),FALSE)),VLOOKUP($A121,Haver_M!$B$1:$BZ$300,MATCH(data!BI$1,Haver_M!$B$1:$BZ$1,0),FALSE),"")</f>
        <v>53.233199999999997</v>
      </c>
      <c r="BJ121" t="str">
        <f>IF(ISNUMBER(VLOOKUP($A121,Haver_M!$B$1:$BZ$300,MATCH(data!BJ$1,Haver_M!$B$1:$BZ$1,0),FALSE)),VLOOKUP($A121,Haver_M!$B$1:$BZ$300,MATCH(data!BJ$1,Haver_M!$B$1:$BZ$1,0),FALSE),"")</f>
        <v/>
      </c>
      <c r="BK121">
        <f>IF(ISNUMBER(VLOOKUP($A121,Haver_M!$B$1:$BZ$300,MATCH(data!BK$1,Haver_M!$B$1:$BZ$1,0),FALSE)),VLOOKUP($A121,Haver_M!$B$1:$BZ$300,MATCH(data!BK$1,Haver_M!$B$1:$BZ$1,0),FALSE),"")</f>
        <v>52.493299999999998</v>
      </c>
      <c r="BL121">
        <f>IF(ISNUMBER(VLOOKUP($A121,Haver_M!$B$1:$BZ$300,MATCH(data!BL$1,Haver_M!$B$1:$BZ$1,0),FALSE)),VLOOKUP($A121,Haver_M!$B$1:$BZ$300,MATCH(data!BL$1,Haver_M!$B$1:$BZ$1,0),FALSE),"")</f>
        <v>17090.310000000001</v>
      </c>
      <c r="BM121">
        <f>IF(ISNUMBER(VLOOKUP($A121,Haver_M!$B$1:$BZ$300,MATCH(data!BM$1,Haver_M!$B$1:$BZ$1,0),FALSE)),VLOOKUP($A121,Haver_M!$B$1:$BZ$300,MATCH(data!BM$1,Haver_M!$B$1:$BZ$1,0),FALSE),"")</f>
        <v>103.97937847999999</v>
      </c>
      <c r="BN121">
        <f>IF(ISNUMBER(VLOOKUP($A121,Haver_M!$B$1:$BZ$300,MATCH(data!BN$1,Haver_M!$B$1:$BZ$1,0),FALSE)),VLOOKUP($A121,Haver_M!$B$1:$BZ$300,MATCH(data!BN$1,Haver_M!$B$1:$BZ$1,0),FALSE),"")</f>
        <v>112.8</v>
      </c>
      <c r="BO121">
        <f>IF(ISNUMBER(VLOOKUP($A121,Haver_M!$B$1:$BZ$300,MATCH(data!BO$1,Haver_M!$B$1:$BZ$1,0),FALSE)),VLOOKUP($A121,Haver_M!$B$1:$BZ$300,MATCH(data!BO$1,Haver_M!$B$1:$BZ$1,0),FALSE),"")</f>
        <v>116.4</v>
      </c>
      <c r="BP121">
        <f>IF(ISNUMBER(VLOOKUP($A121,Haver_M!$B$1:$BZ$300,MATCH(data!BP$1,Haver_M!$B$1:$BZ$1,0),FALSE)),VLOOKUP($A121,Haver_M!$B$1:$BZ$300,MATCH(data!BP$1,Haver_M!$B$1:$BZ$1,0),FALSE),"")</f>
        <v>39.799999999999997</v>
      </c>
      <c r="BQ121">
        <f>IF(ISNUMBER(VLOOKUP($A121,Haver_M!$B$1:$BZ$300,MATCH(data!BQ$1,Haver_M!$B$1:$BZ$1,0),FALSE)),VLOOKUP($A121,Haver_M!$B$1:$BZ$300,MATCH(data!BQ$1,Haver_M!$B$1:$BZ$1,0),FALSE),"")</f>
        <v>121.40639073557796</v>
      </c>
      <c r="BR121">
        <f>IF(ISNUMBER(VLOOKUP($A121,Haver_M!$B$1:$BZ$300,MATCH(data!BR$1,Haver_M!$B$1:$BZ$1,0),FALSE)),VLOOKUP($A121,Haver_M!$B$1:$BZ$300,MATCH(data!BR$1,Haver_M!$B$1:$BZ$1,0),FALSE),"")</f>
        <v>252.71606262063048</v>
      </c>
      <c r="BS121">
        <f>IF(ISNUMBER(VLOOKUP($A121,Haver_M!$B$1:$BZ$300,MATCH(data!BS$1,Haver_M!$B$1:$BZ$1,0),FALSE)),VLOOKUP($A121,Haver_M!$B$1:$BZ$300,MATCH(data!BS$1,Haver_M!$B$1:$BZ$1,0),FALSE),"")</f>
        <v>141.92429766244908</v>
      </c>
      <c r="BT121">
        <f>IF(ISNUMBER(VLOOKUP($A121,Haver_M!$B$1:$BZ$300,MATCH(data!BT$1,Haver_M!$B$1:$BZ$1,0),FALSE)),VLOOKUP($A121,Haver_M!$B$1:$BZ$300,MATCH(data!BT$1,Haver_M!$B$1:$BZ$1,0),FALSE),"")</f>
        <v>590.69804846665238</v>
      </c>
      <c r="BU121">
        <f>IF(ISNUMBER(VLOOKUP($A121,Haver_M!$B$1:$BZ$300,MATCH(data!BU$1,Haver_M!$B$1:$BZ$1,0),FALSE)),VLOOKUP($A121,Haver_M!$B$1:$BZ$300,MATCH(data!BU$1,Haver_M!$B$1:$BZ$1,0),FALSE),"")</f>
        <v>16493.5</v>
      </c>
      <c r="BV121">
        <f>IF(ISNUMBER(VLOOKUP($A121,Haver_M!$B$1:$BZ$300,MATCH(data!BV$1,Haver_M!$B$1:$BZ$1,0),FALSE)),VLOOKUP($A121,Haver_M!$B$1:$BZ$300,MATCH(data!BV$1,Haver_M!$B$1:$BZ$1,0),FALSE),"")</f>
        <v>28251.4</v>
      </c>
      <c r="BW121">
        <f>IF(ISNUMBER(VLOOKUP($A121,Haver_M!$B$1:$BZ$300,MATCH(data!BW$1,Haver_M!$B$1:$BZ$1,0),FALSE)),VLOOKUP($A121,Haver_M!$B$1:$BZ$300,MATCH(data!BW$1,Haver_M!$B$1:$BZ$1,0),FALSE),"")</f>
        <v>46.63</v>
      </c>
      <c r="BX121">
        <f>IF(ISNUMBER(VLOOKUP($A121,Haver_M!$B$1:$BZ$300,MATCH(data!BX$1,Haver_M!$B$1:$BZ$1,0),FALSE)),VLOOKUP($A121,Haver_M!$B$1:$BZ$300,MATCH(data!BX$1,Haver_M!$B$1:$BZ$1,0),FALSE),"")</f>
        <v>47695</v>
      </c>
    </row>
    <row r="122" spans="1:76" x14ac:dyDescent="0.25">
      <c r="A122" s="2">
        <v>40209</v>
      </c>
      <c r="B122" t="str">
        <f>IF(ISNUMBER(VLOOKUP($A122,Haver_Q!$B$1:$L$185,MATCH(data!B$1,Haver_Q!$B$1:$L$1,0),FALSE)),100*(VLOOKUP($A122,Haver_Q!$B$1:$L$185,MATCH(data!B$1,Haver_Q!$B$1:$L$1,0),FALSE)),"")</f>
        <v/>
      </c>
      <c r="C122" t="str">
        <f>IF(ISNUMBER(VLOOKUP($A122,Haver_Q!$B$1:$L$185,MATCH(data!C$1,Haver_Q!$B$1:$L$1,0),FALSE)),100*(VLOOKUP($A122,Haver_Q!$B$1:$L$185,MATCH(data!C$1,Haver_Q!$B$1:$L$1,0),FALSE)),"")</f>
        <v/>
      </c>
      <c r="D122" t="str">
        <f>IF(ISNUMBER(VLOOKUP($A122,Haver_Q!$B$1:$L$185,MATCH(data!D$1,Haver_Q!$B$1:$L$1,0),FALSE)),100*(VLOOKUP($A122,Haver_Q!$B$1:$L$185,MATCH(data!D$1,Haver_Q!$B$1:$L$1,0),FALSE)),"")</f>
        <v/>
      </c>
      <c r="E122" t="str">
        <f>IF(ISNUMBER(VLOOKUP($A122,Haver_Q!$B$1:$L$185,MATCH(data!E$1,Haver_Q!$B$1:$L$1,0),FALSE)),100*(VLOOKUP($A122,Haver_Q!$B$1:$L$185,MATCH(data!E$1,Haver_Q!$B$1:$L$1,0),FALSE)),"")</f>
        <v/>
      </c>
      <c r="F122" t="str">
        <f>IF(ISNUMBER(VLOOKUP($A122,Haver_Q!$B$1:$L$185,MATCH(data!F$1,Haver_Q!$B$1:$L$1,0),FALSE)),100*(VLOOKUP($A122,Haver_Q!$B$1:$L$185,MATCH(data!F$1,Haver_Q!$B$1:$L$1,0),FALSE)),"")</f>
        <v/>
      </c>
      <c r="G122" t="str">
        <f>IF(ISNUMBER(VLOOKUP($A122,Haver_Q!$B$1:$L$185,MATCH(data!G$1,Haver_Q!$B$1:$L$1,0),FALSE)),100*(VLOOKUP($A122,Haver_Q!$B$1:$L$185,MATCH(data!G$1,Haver_Q!$B$1:$L$1,0),FALSE)),"")</f>
        <v/>
      </c>
      <c r="H122" t="str">
        <f>IF(ISNUMBER(VLOOKUP($A122,Haver_Q!$B$1:$L$185,MATCH(data!H$1,Haver_Q!$B$1:$L$1,0),FALSE)),(VLOOKUP($A122,Haver_Q!$B$1:$L$185,MATCH(data!H$1,Haver_Q!$B$1:$L$1,0),FALSE)),"")</f>
        <v/>
      </c>
      <c r="I122" t="str">
        <f>IF(ISNUMBER(VLOOKUP($A122,Haver_Q!$B$1:$L$185,MATCH(data!I$1,Haver_Q!$B$1:$L$1,0),FALSE)),100*(VLOOKUP($A122,Haver_Q!$B$1:$L$185,MATCH(data!I$1,Haver_Q!$B$1:$L$1,0),FALSE)),"")</f>
        <v/>
      </c>
      <c r="J122" s="3">
        <f>IF(ISNUMBER(Bloomberg_m!C138),Bloomberg_m!C138,"")</f>
        <v>3168</v>
      </c>
      <c r="K122" s="3" t="str">
        <f>IF(ISNUMBER(Bloomberg_m!D138),Bloomberg_m!D138,"")</f>
        <v/>
      </c>
      <c r="L122" s="3" t="str">
        <f>IF(ISNUMBER(Bloomberg_m!E138),Bloomberg_m!E138,"")</f>
        <v/>
      </c>
      <c r="M122" s="3">
        <f>IF(ISNUMBER(Bloomberg_m!F138),Bloomberg_m!F138,"")</f>
        <v>547.76</v>
      </c>
      <c r="N122">
        <f>IF(ISNUMBER(VLOOKUP($A122,Haver_M!$B$1:$BZ$300,MATCH(data!N$1,Haver_M!$B$1:$BZ$1,0),FALSE)),VLOOKUP($A122,Haver_M!$B$1:$BZ$300,MATCH(data!N$1,Haver_M!$B$1:$BZ$1,0),FALSE),"")</f>
        <v>4.75</v>
      </c>
      <c r="O122">
        <f>IF(ISNUMBER(VLOOKUP($A122,Haver_M!$B$1:$BZ$300,MATCH(data!O$1,Haver_M!$B$1:$BZ$1,0),FALSE)),VLOOKUP($A122,Haver_M!$B$1:$BZ$300,MATCH(data!O$1,Haver_M!$B$1:$BZ$1,0),FALSE),"")</f>
        <v>7.5814000000000004</v>
      </c>
      <c r="P122">
        <f>IF(ISNUMBER(VLOOKUP($A122,Haver_M!$B$1:$BZ$300,MATCH(data!P$1,Haver_M!$B$1:$BZ$1,0),FALSE)),VLOOKUP($A122,Haver_M!$B$1:$BZ$300,MATCH(data!P$1,Haver_M!$B$1:$BZ$1,0),FALSE),"")</f>
        <v>96.66919</v>
      </c>
      <c r="Q122">
        <f>IF(ISNUMBER(VLOOKUP($A122,Haver_M!$B$1:$BZ$300,MATCH(data!Q$1,Haver_M!$B$1:$BZ$1,0),FALSE)),VLOOKUP($A122,Haver_M!$B$1:$BZ$300,MATCH(data!Q$1,Haver_M!$B$1:$BZ$1,0),FALSE),"")</f>
        <v>82.3</v>
      </c>
      <c r="R122" t="str">
        <f>IF(ISNUMBER(VLOOKUP($A122,Haver_M!$B$1:$BZ$300,MATCH(data!R$1,Haver_M!$B$1:$BZ$1,0),FALSE)),VLOOKUP($A122,Haver_M!$B$1:$BZ$300,MATCH(data!R$1,Haver_M!$B$1:$BZ$1,0),FALSE),"")</f>
        <v/>
      </c>
      <c r="S122">
        <f>IF(ISNUMBER(VLOOKUP($A122,Haver_M!$B$1:$BZ$300,MATCH(data!S$1,Haver_M!$B$1:$BZ$1,0),FALSE)),VLOOKUP($A122,Haver_M!$B$1:$BZ$300,MATCH(data!S$1,Haver_M!$B$1:$BZ$1,0),FALSE),"")</f>
        <v>95.86</v>
      </c>
      <c r="T122">
        <f>IF(ISNUMBER(VLOOKUP($A122,Haver_M!$B$1:$BZ$300,MATCH(data!T$1,Haver_M!$B$1:$BZ$1,0),FALSE)),VLOOKUP($A122,Haver_M!$B$1:$BZ$300,MATCH(data!T$1,Haver_M!$B$1:$BZ$1,0),FALSE),"")</f>
        <v>90.85</v>
      </c>
      <c r="U122">
        <f>IF(ISNUMBER(VLOOKUP($A122,Haver_M!$B$1:$BZ$300,MATCH(data!U$1,Haver_M!$B$1:$BZ$1,0),FALSE)),VLOOKUP($A122,Haver_M!$B$1:$BZ$300,MATCH(data!U$1,Haver_M!$B$1:$BZ$1,0),FALSE),"")</f>
        <v>113.61</v>
      </c>
      <c r="V122">
        <f>IF(ISNUMBER(VLOOKUP($A122,Haver_M!$B$1:$BZ$300,MATCH(data!V$1,Haver_M!$B$1:$BZ$1,0),FALSE)),VLOOKUP($A122,Haver_M!$B$1:$BZ$300,MATCH(data!V$1,Haver_M!$B$1:$BZ$1,0),FALSE),"")</f>
        <v>100.88</v>
      </c>
      <c r="W122" t="str">
        <f>IF(ISNUMBER(VLOOKUP($A122,Haver_M!$B$1:$BZ$300,MATCH(data!W$1,Haver_M!$B$1:$BZ$1,0),FALSE)),VLOOKUP($A122,Haver_M!$B$1:$BZ$300,MATCH(data!W$1,Haver_M!$B$1:$BZ$1,0),FALSE),"")</f>
        <v/>
      </c>
      <c r="X122">
        <f>IF(ISNUMBER(VLOOKUP($A122,Haver_M!$B$1:$BZ$300,MATCH(data!X$1,Haver_M!$B$1:$BZ$1,0),FALSE)),VLOOKUP($A122,Haver_M!$B$1:$BZ$300,MATCH(data!X$1,Haver_M!$B$1:$BZ$1,0),FALSE),"")</f>
        <v>90.4</v>
      </c>
      <c r="Y122">
        <f>IF(ISNUMBER(VLOOKUP($A122,Haver_M!$B$1:$BZ$300,MATCH(data!Y$1,Haver_M!$B$1:$BZ$1,0),FALSE)),VLOOKUP($A122,Haver_M!$B$1:$BZ$300,MATCH(data!Y$1,Haver_M!$B$1:$BZ$1,0),FALSE),"")</f>
        <v>88.84</v>
      </c>
      <c r="Z122">
        <f>IF(ISNUMBER(VLOOKUP($A122,Haver_M!$B$1:$BZ$300,MATCH(data!Z$1,Haver_M!$B$1:$BZ$1,0),FALSE)),VLOOKUP($A122,Haver_M!$B$1:$BZ$300,MATCH(data!Z$1,Haver_M!$B$1:$BZ$1,0),FALSE),"")</f>
        <v>92.7</v>
      </c>
      <c r="AA122">
        <f>IF(ISNUMBER(VLOOKUP($A122,Haver_M!$B$1:$BZ$300,MATCH(data!AA$1,Haver_M!$B$1:$BZ$1,0),FALSE)),VLOOKUP($A122,Haver_M!$B$1:$BZ$300,MATCH(data!AA$1,Haver_M!$B$1:$BZ$1,0),FALSE),"")</f>
        <v>99.239000000000004</v>
      </c>
      <c r="AB122">
        <f>IF(ISNUMBER(VLOOKUP($A122,Haver_M!$B$1:$BZ$300,MATCH(data!AB$1,Haver_M!$B$1:$BZ$1,0),FALSE)),VLOOKUP($A122,Haver_M!$B$1:$BZ$300,MATCH(data!AB$1,Haver_M!$B$1:$BZ$1,0),FALSE),"")</f>
        <v>90.52</v>
      </c>
      <c r="AC122">
        <f>IF(ISNUMBER(VLOOKUP($A122,Haver_M!$B$1:$BZ$300,MATCH(data!AC$1,Haver_M!$B$1:$BZ$1,0),FALSE)),VLOOKUP($A122,Haver_M!$B$1:$BZ$300,MATCH(data!AC$1,Haver_M!$B$1:$BZ$1,0),FALSE),"")</f>
        <v>114.944</v>
      </c>
      <c r="AD122">
        <f>IF(ISNUMBER(VLOOKUP($A122,Haver_M!$B$1:$BZ$300,MATCH(data!AD$1,Haver_M!$B$1:$BZ$1,0),FALSE)),VLOOKUP($A122,Haver_M!$B$1:$BZ$300,MATCH(data!AD$1,Haver_M!$B$1:$BZ$1,0),FALSE),"")</f>
        <v>96.94</v>
      </c>
      <c r="AE122">
        <f>IF(ISNUMBER(VLOOKUP($A122,Haver_M!$B$1:$BZ$300,MATCH(data!AE$1,Haver_M!$B$1:$BZ$1,0),FALSE)),VLOOKUP($A122,Haver_M!$B$1:$BZ$300,MATCH(data!AE$1,Haver_M!$B$1:$BZ$1,0),FALSE),"")</f>
        <v>93.9</v>
      </c>
      <c r="AF122">
        <f>IF(ISNUMBER(VLOOKUP($A122,Haver_M!$B$1:$BZ$300,MATCH(data!AF$1,Haver_M!$B$1:$BZ$1,0),FALSE)),VLOOKUP($A122,Haver_M!$B$1:$BZ$300,MATCH(data!AF$1,Haver_M!$B$1:$BZ$1,0),FALSE),"")</f>
        <v>85.561000000000007</v>
      </c>
      <c r="AG122">
        <f>IF(ISNUMBER(VLOOKUP($A122,Haver_M!$B$1:$BZ$300,MATCH(data!AG$1,Haver_M!$B$1:$BZ$1,0),FALSE)),VLOOKUP($A122,Haver_M!$B$1:$BZ$300,MATCH(data!AG$1,Haver_M!$B$1:$BZ$1,0),FALSE),"")</f>
        <v>91.403000000000006</v>
      </c>
      <c r="AH122">
        <f>IF(ISNUMBER(VLOOKUP($A122,Haver_M!$B$1:$BZ$300,MATCH(data!AH$1,Haver_M!$B$1:$BZ$1,0),FALSE)),VLOOKUP($A122,Haver_M!$B$1:$BZ$300,MATCH(data!AH$1,Haver_M!$B$1:$BZ$1,0),FALSE),"")</f>
        <v>88.555999999999997</v>
      </c>
      <c r="AI122">
        <f>IF(ISNUMBER(VLOOKUP($A122,Haver_M!$B$1:$BZ$300,MATCH(data!AI$1,Haver_M!$B$1:$BZ$1,0),FALSE)),VLOOKUP($A122,Haver_M!$B$1:$BZ$300,MATCH(data!AI$1,Haver_M!$B$1:$BZ$1,0),FALSE),"")</f>
        <v>11169.764181491073</v>
      </c>
      <c r="AJ122">
        <f>IF(ISNUMBER(VLOOKUP($A122,Haver_M!$B$1:$BZ$300,MATCH(data!AJ$1,Haver_M!$B$1:$BZ$1,0),FALSE)),VLOOKUP($A122,Haver_M!$B$1:$BZ$300,MATCH(data!AJ$1,Haver_M!$B$1:$BZ$1,0),FALSE),"")</f>
        <v>15986.7</v>
      </c>
      <c r="AK122">
        <f>IF(ISNUMBER(VLOOKUP($A122,Haver_M!$B$1:$BZ$300,MATCH(data!AK$1,Haver_M!$B$1:$BZ$1,0),FALSE)),VLOOKUP($A122,Haver_M!$B$1:$BZ$300,MATCH(data!AK$1,Haver_M!$B$1:$BZ$1,0),FALSE),"")</f>
        <v>25744.560000000001</v>
      </c>
      <c r="AL122" t="str">
        <f>IF(ISNUMBER(VLOOKUP($A122,Haver_M!$B$1:$BZ$300,MATCH(data!AL$1,Haver_M!$B$1:$BZ$1,0),FALSE)),VLOOKUP($A122,Haver_M!$B$1:$BZ$300,MATCH(data!AL$1,Haver_M!$B$1:$BZ$1,0),FALSE),"")</f>
        <v/>
      </c>
      <c r="AM122" t="str">
        <f>IF(ISNUMBER(VLOOKUP($A122,Haver_M!$B$1:$BZ$300,MATCH(data!AM$1,Haver_M!$B$1:$BZ$1,0),FALSE)),VLOOKUP($A122,Haver_M!$B$1:$BZ$300,MATCH(data!AM$1,Haver_M!$B$1:$BZ$1,0),FALSE),"")</f>
        <v/>
      </c>
      <c r="AN122" t="str">
        <f>IF(ISNUMBER(VLOOKUP($A122,Haver_M!$B$1:$BZ$300,MATCH(data!AN$1,Haver_M!$B$1:$BZ$1,0),FALSE)),VLOOKUP($A122,Haver_M!$B$1:$BZ$300,MATCH(data!AN$1,Haver_M!$B$1:$BZ$1,0),FALSE),"")</f>
        <v/>
      </c>
      <c r="AO122" t="str">
        <f>IF(ISNUMBER(VLOOKUP($A122,Haver_M!$B$1:$BZ$300,MATCH(data!AO$1,Haver_M!$B$1:$BZ$1,0),FALSE)),VLOOKUP($A122,Haver_M!$B$1:$BZ$300,MATCH(data!AO$1,Haver_M!$B$1:$BZ$1,0),FALSE),"")</f>
        <v/>
      </c>
      <c r="AP122">
        <f>IF(ISNUMBER(VLOOKUP($A122,Haver_M!$B$1:$BZ$300,MATCH(data!AP$1,Haver_M!$B$1:$BZ$1,0),FALSE)),VLOOKUP($A122,Haver_M!$B$1:$BZ$300,MATCH(data!AP$1,Haver_M!$B$1:$BZ$1,0),FALSE),"")</f>
        <v>85.593732055477659</v>
      </c>
      <c r="AQ122">
        <f>IF(ISNUMBER(VLOOKUP($A122,Haver_M!$B$1:$BZ$300,MATCH(data!AQ$1,Haver_M!$B$1:$BZ$1,0),FALSE)),VLOOKUP($A122,Haver_M!$B$1:$BZ$300,MATCH(data!AQ$1,Haver_M!$B$1:$BZ$1,0),FALSE),"")</f>
        <v>59.736899999999999</v>
      </c>
      <c r="AR122">
        <f>IF(ISNUMBER(VLOOKUP($A122,Haver_M!$B$1:$BZ$300,MATCH(data!AR$1,Haver_M!$B$1:$BZ$1,0),FALSE)),VLOOKUP($A122,Haver_M!$B$1:$BZ$300,MATCH(data!AR$1,Haver_M!$B$1:$BZ$1,0),FALSE),"")</f>
        <v>57.645699999999998</v>
      </c>
      <c r="AS122">
        <f>IF(ISNUMBER(VLOOKUP($A122,Haver_M!$B$1:$BZ$300,MATCH(data!AS$1,Haver_M!$B$1:$BZ$1,0),FALSE)),VLOOKUP($A122,Haver_M!$B$1:$BZ$300,MATCH(data!AS$1,Haver_M!$B$1:$BZ$1,0),FALSE),"")</f>
        <v>58.964500000000001</v>
      </c>
      <c r="AT122">
        <f>IF(ISNUMBER(VLOOKUP($A122,Haver_M!$B$1:$BZ$300,MATCH(data!AT$1,Haver_M!$B$1:$BZ$1,0),FALSE)),VLOOKUP($A122,Haver_M!$B$1:$BZ$300,MATCH(data!AT$1,Haver_M!$B$1:$BZ$1,0),FALSE),"")</f>
        <v>61.473300000000002</v>
      </c>
      <c r="AU122">
        <f>IF(ISNUMBER(VLOOKUP($A122,Haver_M!$B$1:$BZ$300,MATCH(data!AU$1,Haver_M!$B$1:$BZ$1,0),FALSE)),VLOOKUP($A122,Haver_M!$B$1:$BZ$300,MATCH(data!AU$1,Haver_M!$B$1:$BZ$1,0),FALSE),"")</f>
        <v>62.907800000000002</v>
      </c>
      <c r="AV122">
        <f>IF(ISNUMBER(VLOOKUP($A122,Haver_M!$B$1:$BZ$300,MATCH(data!AV$1,Haver_M!$B$1:$BZ$1,0),FALSE)),VLOOKUP($A122,Haver_M!$B$1:$BZ$300,MATCH(data!AV$1,Haver_M!$B$1:$BZ$1,0),FALSE),"")</f>
        <v>50.930500000000002</v>
      </c>
      <c r="AW122">
        <f>IF(ISNUMBER(VLOOKUP($A122,Haver_M!$B$1:$BZ$300,MATCH(data!AW$1,Haver_M!$B$1:$BZ$1,0),FALSE)),VLOOKUP($A122,Haver_M!$B$1:$BZ$300,MATCH(data!AW$1,Haver_M!$B$1:$BZ$1,0),FALSE),"")</f>
        <v>48.986199999999997</v>
      </c>
      <c r="AX122">
        <f>IF(ISNUMBER(VLOOKUP($A122,Haver_M!$B$1:$BZ$300,MATCH(data!AX$1,Haver_M!$B$1:$BZ$1,0),FALSE)),VLOOKUP($A122,Haver_M!$B$1:$BZ$300,MATCH(data!AX$1,Haver_M!$B$1:$BZ$1,0),FALSE),"")</f>
        <v>55.668700000000001</v>
      </c>
      <c r="AY122">
        <f>IF(ISNUMBER(VLOOKUP($A122,Haver_M!$B$1:$BZ$300,MATCH(data!AY$1,Haver_M!$B$1:$BZ$1,0),FALSE)),VLOOKUP($A122,Haver_M!$B$1:$BZ$300,MATCH(data!AY$1,Haver_M!$B$1:$BZ$1,0),FALSE),"")</f>
        <v>64.834000000000003</v>
      </c>
      <c r="AZ122">
        <f>IF(ISNUMBER(VLOOKUP($A122,Haver_M!$B$1:$BZ$300,MATCH(data!AZ$1,Haver_M!$B$1:$BZ$1,0),FALSE)),VLOOKUP($A122,Haver_M!$B$1:$BZ$300,MATCH(data!AZ$1,Haver_M!$B$1:$BZ$1,0),FALSE),"")</f>
        <v>60.515300000000003</v>
      </c>
      <c r="BA122">
        <f>IF(ISNUMBER(VLOOKUP($A122,Haver_M!$B$1:$BZ$300,MATCH(data!BA$1,Haver_M!$B$1:$BZ$1,0),FALSE)),VLOOKUP($A122,Haver_M!$B$1:$BZ$300,MATCH(data!BA$1,Haver_M!$B$1:$BZ$1,0),FALSE),"")</f>
        <v>55.668700000000001</v>
      </c>
      <c r="BB122">
        <f>IF(ISNUMBER(VLOOKUP($A122,Haver_M!$B$1:$BZ$300,MATCH(data!BB$1,Haver_M!$B$1:$BZ$1,0),FALSE)),VLOOKUP($A122,Haver_M!$B$1:$BZ$300,MATCH(data!BB$1,Haver_M!$B$1:$BZ$1,0),FALSE),"")</f>
        <v>59.820399999999999</v>
      </c>
      <c r="BC122">
        <f>IF(ISNUMBER(VLOOKUP($A122,Haver_M!$B$1:$BZ$300,MATCH(data!BC$1,Haver_M!$B$1:$BZ$1,0),FALSE)),VLOOKUP($A122,Haver_M!$B$1:$BZ$300,MATCH(data!BC$1,Haver_M!$B$1:$BZ$1,0),FALSE),"")</f>
        <v>56.2166</v>
      </c>
      <c r="BD122">
        <f>IF(ISNUMBER(VLOOKUP($A122,Haver_M!$B$1:$BZ$300,MATCH(data!BD$1,Haver_M!$B$1:$BZ$1,0),FALSE)),VLOOKUP($A122,Haver_M!$B$1:$BZ$300,MATCH(data!BD$1,Haver_M!$B$1:$BZ$1,0),FALSE),"")</f>
        <v>50.369500000000002</v>
      </c>
      <c r="BE122">
        <f>IF(ISNUMBER(VLOOKUP($A122,Haver_M!$B$1:$BZ$300,MATCH(data!BE$1,Haver_M!$B$1:$BZ$1,0),FALSE)),VLOOKUP($A122,Haver_M!$B$1:$BZ$300,MATCH(data!BE$1,Haver_M!$B$1:$BZ$1,0),FALSE),"")</f>
        <v>1.2690999999999999</v>
      </c>
      <c r="BF122">
        <f>IF(ISNUMBER(VLOOKUP($A122,Haver_M!$B$1:$BZ$300,MATCH(data!BF$1,Haver_M!$B$1:$BZ$1,0),FALSE)),VLOOKUP($A122,Haver_M!$B$1:$BZ$300,MATCH(data!BF$1,Haver_M!$B$1:$BZ$1,0),FALSE),"")</f>
        <v>51.878799999999998</v>
      </c>
      <c r="BG122">
        <f>IF(ISNUMBER(VLOOKUP($A122,Haver_M!$B$1:$BZ$300,MATCH(data!BG$1,Haver_M!$B$1:$BZ$1,0),FALSE)),VLOOKUP($A122,Haver_M!$B$1:$BZ$300,MATCH(data!BG$1,Haver_M!$B$1:$BZ$1,0),FALSE),"")</f>
        <v>52.106299999999997</v>
      </c>
      <c r="BH122">
        <f>IF(ISNUMBER(VLOOKUP($A122,Haver_M!$B$1:$BZ$300,MATCH(data!BH$1,Haver_M!$B$1:$BZ$1,0),FALSE)),VLOOKUP($A122,Haver_M!$B$1:$BZ$300,MATCH(data!BH$1,Haver_M!$B$1:$BZ$1,0),FALSE),"")</f>
        <v>57.094499999999996</v>
      </c>
      <c r="BI122">
        <f>IF(ISNUMBER(VLOOKUP($A122,Haver_M!$B$1:$BZ$300,MATCH(data!BI$1,Haver_M!$B$1:$BZ$1,0),FALSE)),VLOOKUP($A122,Haver_M!$B$1:$BZ$300,MATCH(data!BI$1,Haver_M!$B$1:$BZ$1,0),FALSE),"")</f>
        <v>55.795999999999999</v>
      </c>
      <c r="BJ122" t="str">
        <f>IF(ISNUMBER(VLOOKUP($A122,Haver_M!$B$1:$BZ$300,MATCH(data!BJ$1,Haver_M!$B$1:$BZ$1,0),FALSE)),VLOOKUP($A122,Haver_M!$B$1:$BZ$300,MATCH(data!BJ$1,Haver_M!$B$1:$BZ$1,0),FALSE),"")</f>
        <v/>
      </c>
      <c r="BK122">
        <f>IF(ISNUMBER(VLOOKUP($A122,Haver_M!$B$1:$BZ$300,MATCH(data!BK$1,Haver_M!$B$1:$BZ$1,0),FALSE)),VLOOKUP($A122,Haver_M!$B$1:$BZ$300,MATCH(data!BK$1,Haver_M!$B$1:$BZ$1,0),FALSE),"")</f>
        <v>50.194000000000003</v>
      </c>
      <c r="BL122">
        <f>IF(ISNUMBER(VLOOKUP($A122,Haver_M!$B$1:$BZ$300,MATCH(data!BL$1,Haver_M!$B$1:$BZ$1,0),FALSE)),VLOOKUP($A122,Haver_M!$B$1:$BZ$300,MATCH(data!BL$1,Haver_M!$B$1:$BZ$1,0),FALSE),"")</f>
        <v>17260.41</v>
      </c>
      <c r="BM122">
        <f>IF(ISNUMBER(VLOOKUP($A122,Haver_M!$B$1:$BZ$300,MATCH(data!BM$1,Haver_M!$B$1:$BZ$1,0),FALSE)),VLOOKUP($A122,Haver_M!$B$1:$BZ$300,MATCH(data!BM$1,Haver_M!$B$1:$BZ$1,0),FALSE),"")</f>
        <v>105.09310895</v>
      </c>
      <c r="BN122" t="str">
        <f>IF(ISNUMBER(VLOOKUP($A122,Haver_M!$B$1:$BZ$300,MATCH(data!BN$1,Haver_M!$B$1:$BZ$1,0),FALSE)),VLOOKUP($A122,Haver_M!$B$1:$BZ$300,MATCH(data!BN$1,Haver_M!$B$1:$BZ$1,0),FALSE),"")</f>
        <v/>
      </c>
      <c r="BO122" t="str">
        <f>IF(ISNUMBER(VLOOKUP($A122,Haver_M!$B$1:$BZ$300,MATCH(data!BO$1,Haver_M!$B$1:$BZ$1,0),FALSE)),VLOOKUP($A122,Haver_M!$B$1:$BZ$300,MATCH(data!BO$1,Haver_M!$B$1:$BZ$1,0),FALSE),"")</f>
        <v/>
      </c>
      <c r="BP122" t="str">
        <f>IF(ISNUMBER(VLOOKUP($A122,Haver_M!$B$1:$BZ$300,MATCH(data!BP$1,Haver_M!$B$1:$BZ$1,0),FALSE)),VLOOKUP($A122,Haver_M!$B$1:$BZ$300,MATCH(data!BP$1,Haver_M!$B$1:$BZ$1,0),FALSE),"")</f>
        <v/>
      </c>
      <c r="BQ122">
        <f>IF(ISNUMBER(VLOOKUP($A122,Haver_M!$B$1:$BZ$300,MATCH(data!BQ$1,Haver_M!$B$1:$BZ$1,0),FALSE)),VLOOKUP($A122,Haver_M!$B$1:$BZ$300,MATCH(data!BQ$1,Haver_M!$B$1:$BZ$1,0),FALSE),"")</f>
        <v>124.13049626873789</v>
      </c>
      <c r="BR122">
        <f>IF(ISNUMBER(VLOOKUP($A122,Haver_M!$B$1:$BZ$300,MATCH(data!BR$1,Haver_M!$B$1:$BZ$1,0),FALSE)),VLOOKUP($A122,Haver_M!$B$1:$BZ$300,MATCH(data!BR$1,Haver_M!$B$1:$BZ$1,0),FALSE),"")</f>
        <v>264.91199443030263</v>
      </c>
      <c r="BS122">
        <f>IF(ISNUMBER(VLOOKUP($A122,Haver_M!$B$1:$BZ$300,MATCH(data!BS$1,Haver_M!$B$1:$BZ$1,0),FALSE)),VLOOKUP($A122,Haver_M!$B$1:$BZ$300,MATCH(data!BS$1,Haver_M!$B$1:$BZ$1,0),FALSE),"")</f>
        <v>149.20784108957204</v>
      </c>
      <c r="BT122">
        <f>IF(ISNUMBER(VLOOKUP($A122,Haver_M!$B$1:$BZ$300,MATCH(data!BT$1,Haver_M!$B$1:$BZ$1,0),FALSE)),VLOOKUP($A122,Haver_M!$B$1:$BZ$300,MATCH(data!BT$1,Haver_M!$B$1:$BZ$1,0),FALSE),"")</f>
        <v>616.71017992733277</v>
      </c>
      <c r="BU122">
        <f>IF(ISNUMBER(VLOOKUP($A122,Haver_M!$B$1:$BZ$300,MATCH(data!BU$1,Haver_M!$B$1:$BZ$1,0),FALSE)),VLOOKUP($A122,Haver_M!$B$1:$BZ$300,MATCH(data!BU$1,Haver_M!$B$1:$BZ$1,0),FALSE),"")</f>
        <v>15557.1</v>
      </c>
      <c r="BV122">
        <f>IF(ISNUMBER(VLOOKUP($A122,Haver_M!$B$1:$BZ$300,MATCH(data!BV$1,Haver_M!$B$1:$BZ$1,0),FALSE)),VLOOKUP($A122,Haver_M!$B$1:$BZ$300,MATCH(data!BV$1,Haver_M!$B$1:$BZ$1,0),FALSE),"")</f>
        <v>25267</v>
      </c>
      <c r="BW122">
        <f>IF(ISNUMBER(VLOOKUP($A122,Haver_M!$B$1:$BZ$300,MATCH(data!BW$1,Haver_M!$B$1:$BZ$1,0),FALSE)),VLOOKUP($A122,Haver_M!$B$1:$BZ$300,MATCH(data!BW$1,Haver_M!$B$1:$BZ$1,0),FALSE),"")</f>
        <v>45.963000000000001</v>
      </c>
      <c r="BX122">
        <f>IF(ISNUMBER(VLOOKUP($A122,Haver_M!$B$1:$BZ$300,MATCH(data!BX$1,Haver_M!$B$1:$BZ$1,0),FALSE)),VLOOKUP($A122,Haver_M!$B$1:$BZ$300,MATCH(data!BX$1,Haver_M!$B$1:$BZ$1,0),FALSE),"")</f>
        <v>46431</v>
      </c>
    </row>
    <row r="123" spans="1:76" x14ac:dyDescent="0.25">
      <c r="A123" s="2">
        <v>40237</v>
      </c>
      <c r="B123" t="str">
        <f>IF(ISNUMBER(VLOOKUP($A123,Haver_Q!$B$1:$L$185,MATCH(data!B$1,Haver_Q!$B$1:$L$1,0),FALSE)),100*(VLOOKUP($A123,Haver_Q!$B$1:$L$185,MATCH(data!B$1,Haver_Q!$B$1:$L$1,0),FALSE)),"")</f>
        <v/>
      </c>
      <c r="C123" t="str">
        <f>IF(ISNUMBER(VLOOKUP($A123,Haver_Q!$B$1:$L$185,MATCH(data!C$1,Haver_Q!$B$1:$L$1,0),FALSE)),100*(VLOOKUP($A123,Haver_Q!$B$1:$L$185,MATCH(data!C$1,Haver_Q!$B$1:$L$1,0),FALSE)),"")</f>
        <v/>
      </c>
      <c r="D123" t="str">
        <f>IF(ISNUMBER(VLOOKUP($A123,Haver_Q!$B$1:$L$185,MATCH(data!D$1,Haver_Q!$B$1:$L$1,0),FALSE)),100*(VLOOKUP($A123,Haver_Q!$B$1:$L$185,MATCH(data!D$1,Haver_Q!$B$1:$L$1,0),FALSE)),"")</f>
        <v/>
      </c>
      <c r="E123" t="str">
        <f>IF(ISNUMBER(VLOOKUP($A123,Haver_Q!$B$1:$L$185,MATCH(data!E$1,Haver_Q!$B$1:$L$1,0),FALSE)),100*(VLOOKUP($A123,Haver_Q!$B$1:$L$185,MATCH(data!E$1,Haver_Q!$B$1:$L$1,0),FALSE)),"")</f>
        <v/>
      </c>
      <c r="F123" t="str">
        <f>IF(ISNUMBER(VLOOKUP($A123,Haver_Q!$B$1:$L$185,MATCH(data!F$1,Haver_Q!$B$1:$L$1,0),FALSE)),100*(VLOOKUP($A123,Haver_Q!$B$1:$L$185,MATCH(data!F$1,Haver_Q!$B$1:$L$1,0),FALSE)),"")</f>
        <v/>
      </c>
      <c r="G123" t="str">
        <f>IF(ISNUMBER(VLOOKUP($A123,Haver_Q!$B$1:$L$185,MATCH(data!G$1,Haver_Q!$B$1:$L$1,0),FALSE)),100*(VLOOKUP($A123,Haver_Q!$B$1:$L$185,MATCH(data!G$1,Haver_Q!$B$1:$L$1,0),FALSE)),"")</f>
        <v/>
      </c>
      <c r="H123" t="str">
        <f>IF(ISNUMBER(VLOOKUP($A123,Haver_Q!$B$1:$L$185,MATCH(data!H$1,Haver_Q!$B$1:$L$1,0),FALSE)),(VLOOKUP($A123,Haver_Q!$B$1:$L$185,MATCH(data!H$1,Haver_Q!$B$1:$L$1,0),FALSE)),"")</f>
        <v/>
      </c>
      <c r="I123" t="str">
        <f>IF(ISNUMBER(VLOOKUP($A123,Haver_Q!$B$1:$L$185,MATCH(data!I$1,Haver_Q!$B$1:$L$1,0),FALSE)),100*(VLOOKUP($A123,Haver_Q!$B$1:$L$185,MATCH(data!I$1,Haver_Q!$B$1:$L$1,0),FALSE)),"")</f>
        <v/>
      </c>
      <c r="J123" s="3">
        <f>IF(ISNUMBER(Bloomberg_m!C139),Bloomberg_m!C139,"")</f>
        <v>2678</v>
      </c>
      <c r="K123" s="3" t="str">
        <f>IF(ISNUMBER(Bloomberg_m!D139),Bloomberg_m!D139,"")</f>
        <v/>
      </c>
      <c r="L123" s="3" t="str">
        <f>IF(ISNUMBER(Bloomberg_m!E139),Bloomberg_m!E139,"")</f>
        <v/>
      </c>
      <c r="M123" s="3">
        <f>IF(ISNUMBER(Bloomberg_m!F139),Bloomberg_m!F139,"")</f>
        <v>504.92</v>
      </c>
      <c r="N123">
        <f>IF(ISNUMBER(VLOOKUP($A123,Haver_M!$B$1:$BZ$300,MATCH(data!N$1,Haver_M!$B$1:$BZ$1,0),FALSE)),VLOOKUP($A123,Haver_M!$B$1:$BZ$300,MATCH(data!N$1,Haver_M!$B$1:$BZ$1,0),FALSE),"")</f>
        <v>4.75</v>
      </c>
      <c r="O123">
        <f>IF(ISNUMBER(VLOOKUP($A123,Haver_M!$B$1:$BZ$300,MATCH(data!O$1,Haver_M!$B$1:$BZ$1,0),FALSE)),VLOOKUP($A123,Haver_M!$B$1:$BZ$300,MATCH(data!O$1,Haver_M!$B$1:$BZ$1,0),FALSE),"")</f>
        <v>7.8570000000000002</v>
      </c>
      <c r="P123">
        <f>IF(ISNUMBER(VLOOKUP($A123,Haver_M!$B$1:$BZ$300,MATCH(data!P$1,Haver_M!$B$1:$BZ$1,0),FALSE)),VLOOKUP($A123,Haver_M!$B$1:$BZ$300,MATCH(data!P$1,Haver_M!$B$1:$BZ$1,0),FALSE),"")</f>
        <v>97.26191</v>
      </c>
      <c r="Q123">
        <f>IF(ISNUMBER(VLOOKUP($A123,Haver_M!$B$1:$BZ$300,MATCH(data!Q$1,Haver_M!$B$1:$BZ$1,0),FALSE)),VLOOKUP($A123,Haver_M!$B$1:$BZ$300,MATCH(data!Q$1,Haver_M!$B$1:$BZ$1,0),FALSE),"")</f>
        <v>81.599999999999994</v>
      </c>
      <c r="R123" t="str">
        <f>IF(ISNUMBER(VLOOKUP($A123,Haver_M!$B$1:$BZ$300,MATCH(data!R$1,Haver_M!$B$1:$BZ$1,0),FALSE)),VLOOKUP($A123,Haver_M!$B$1:$BZ$300,MATCH(data!R$1,Haver_M!$B$1:$BZ$1,0),FALSE),"")</f>
        <v/>
      </c>
      <c r="S123">
        <f>IF(ISNUMBER(VLOOKUP($A123,Haver_M!$B$1:$BZ$300,MATCH(data!S$1,Haver_M!$B$1:$BZ$1,0),FALSE)),VLOOKUP($A123,Haver_M!$B$1:$BZ$300,MATCH(data!S$1,Haver_M!$B$1:$BZ$1,0),FALSE),"")</f>
        <v>96.9</v>
      </c>
      <c r="T123">
        <f>IF(ISNUMBER(VLOOKUP($A123,Haver_M!$B$1:$BZ$300,MATCH(data!T$1,Haver_M!$B$1:$BZ$1,0),FALSE)),VLOOKUP($A123,Haver_M!$B$1:$BZ$300,MATCH(data!T$1,Haver_M!$B$1:$BZ$1,0),FALSE),"")</f>
        <v>91.88</v>
      </c>
      <c r="U123">
        <f>IF(ISNUMBER(VLOOKUP($A123,Haver_M!$B$1:$BZ$300,MATCH(data!U$1,Haver_M!$B$1:$BZ$1,0),FALSE)),VLOOKUP($A123,Haver_M!$B$1:$BZ$300,MATCH(data!U$1,Haver_M!$B$1:$BZ$1,0),FALSE),"")</f>
        <v>116.55</v>
      </c>
      <c r="V123">
        <f>IF(ISNUMBER(VLOOKUP($A123,Haver_M!$B$1:$BZ$300,MATCH(data!V$1,Haver_M!$B$1:$BZ$1,0),FALSE)),VLOOKUP($A123,Haver_M!$B$1:$BZ$300,MATCH(data!V$1,Haver_M!$B$1:$BZ$1,0),FALSE),"")</f>
        <v>101.98</v>
      </c>
      <c r="W123" t="str">
        <f>IF(ISNUMBER(VLOOKUP($A123,Haver_M!$B$1:$BZ$300,MATCH(data!W$1,Haver_M!$B$1:$BZ$1,0),FALSE)),VLOOKUP($A123,Haver_M!$B$1:$BZ$300,MATCH(data!W$1,Haver_M!$B$1:$BZ$1,0),FALSE),"")</f>
        <v/>
      </c>
      <c r="X123">
        <f>IF(ISNUMBER(VLOOKUP($A123,Haver_M!$B$1:$BZ$300,MATCH(data!X$1,Haver_M!$B$1:$BZ$1,0),FALSE)),VLOOKUP($A123,Haver_M!$B$1:$BZ$300,MATCH(data!X$1,Haver_M!$B$1:$BZ$1,0),FALSE),"")</f>
        <v>90.65</v>
      </c>
      <c r="Y123">
        <f>IF(ISNUMBER(VLOOKUP($A123,Haver_M!$B$1:$BZ$300,MATCH(data!Y$1,Haver_M!$B$1:$BZ$1,0),FALSE)),VLOOKUP($A123,Haver_M!$B$1:$BZ$300,MATCH(data!Y$1,Haver_M!$B$1:$BZ$1,0),FALSE),"")</f>
        <v>89.91</v>
      </c>
      <c r="Z123">
        <f>IF(ISNUMBER(VLOOKUP($A123,Haver_M!$B$1:$BZ$300,MATCH(data!Z$1,Haver_M!$B$1:$BZ$1,0),FALSE)),VLOOKUP($A123,Haver_M!$B$1:$BZ$300,MATCH(data!Z$1,Haver_M!$B$1:$BZ$1,0),FALSE),"")</f>
        <v>92.4</v>
      </c>
      <c r="AA123">
        <f>IF(ISNUMBER(VLOOKUP($A123,Haver_M!$B$1:$BZ$300,MATCH(data!AA$1,Haver_M!$B$1:$BZ$1,0),FALSE)),VLOOKUP($A123,Haver_M!$B$1:$BZ$300,MATCH(data!AA$1,Haver_M!$B$1:$BZ$1,0),FALSE),"")</f>
        <v>101.55500000000001</v>
      </c>
      <c r="AB123">
        <f>IF(ISNUMBER(VLOOKUP($A123,Haver_M!$B$1:$BZ$300,MATCH(data!AB$1,Haver_M!$B$1:$BZ$1,0),FALSE)),VLOOKUP($A123,Haver_M!$B$1:$BZ$300,MATCH(data!AB$1,Haver_M!$B$1:$BZ$1,0),FALSE),"")</f>
        <v>90.834000000000003</v>
      </c>
      <c r="AC123">
        <f>IF(ISNUMBER(VLOOKUP($A123,Haver_M!$B$1:$BZ$300,MATCH(data!AC$1,Haver_M!$B$1:$BZ$1,0),FALSE)),VLOOKUP($A123,Haver_M!$B$1:$BZ$300,MATCH(data!AC$1,Haver_M!$B$1:$BZ$1,0),FALSE),"")</f>
        <v>115.753</v>
      </c>
      <c r="AD123">
        <f>IF(ISNUMBER(VLOOKUP($A123,Haver_M!$B$1:$BZ$300,MATCH(data!AD$1,Haver_M!$B$1:$BZ$1,0),FALSE)),VLOOKUP($A123,Haver_M!$B$1:$BZ$300,MATCH(data!AD$1,Haver_M!$B$1:$BZ$1,0),FALSE),"")</f>
        <v>96.406000000000006</v>
      </c>
      <c r="AE123">
        <f>IF(ISNUMBER(VLOOKUP($A123,Haver_M!$B$1:$BZ$300,MATCH(data!AE$1,Haver_M!$B$1:$BZ$1,0),FALSE)),VLOOKUP($A123,Haver_M!$B$1:$BZ$300,MATCH(data!AE$1,Haver_M!$B$1:$BZ$1,0),FALSE),"")</f>
        <v>95.024000000000001</v>
      </c>
      <c r="AF123">
        <f>IF(ISNUMBER(VLOOKUP($A123,Haver_M!$B$1:$BZ$300,MATCH(data!AF$1,Haver_M!$B$1:$BZ$1,0),FALSE)),VLOOKUP($A123,Haver_M!$B$1:$BZ$300,MATCH(data!AF$1,Haver_M!$B$1:$BZ$1,0),FALSE),"")</f>
        <v>77.191000000000003</v>
      </c>
      <c r="AG123">
        <f>IF(ISNUMBER(VLOOKUP($A123,Haver_M!$B$1:$BZ$300,MATCH(data!AG$1,Haver_M!$B$1:$BZ$1,0),FALSE)),VLOOKUP($A123,Haver_M!$B$1:$BZ$300,MATCH(data!AG$1,Haver_M!$B$1:$BZ$1,0),FALSE),"")</f>
        <v>91.19</v>
      </c>
      <c r="AH123">
        <f>IF(ISNUMBER(VLOOKUP($A123,Haver_M!$B$1:$BZ$300,MATCH(data!AH$1,Haver_M!$B$1:$BZ$1,0),FALSE)),VLOOKUP($A123,Haver_M!$B$1:$BZ$300,MATCH(data!AH$1,Haver_M!$B$1:$BZ$1,0),FALSE),"")</f>
        <v>90.320999999999998</v>
      </c>
      <c r="AI123">
        <f>IF(ISNUMBER(VLOOKUP($A123,Haver_M!$B$1:$BZ$300,MATCH(data!AI$1,Haver_M!$B$1:$BZ$1,0),FALSE)),VLOOKUP($A123,Haver_M!$B$1:$BZ$300,MATCH(data!AI$1,Haver_M!$B$1:$BZ$1,0),FALSE),"")</f>
        <v>11497.077767753188</v>
      </c>
      <c r="AJ123">
        <f>IF(ISNUMBER(VLOOKUP($A123,Haver_M!$B$1:$BZ$300,MATCH(data!AJ$1,Haver_M!$B$1:$BZ$1,0),FALSE)),VLOOKUP($A123,Haver_M!$B$1:$BZ$300,MATCH(data!AJ$1,Haver_M!$B$1:$BZ$1,0),FALSE),"")</f>
        <v>16481.849999999999</v>
      </c>
      <c r="AK123">
        <f>IF(ISNUMBER(VLOOKUP($A123,Haver_M!$B$1:$BZ$300,MATCH(data!AK$1,Haver_M!$B$1:$BZ$1,0),FALSE)),VLOOKUP($A123,Haver_M!$B$1:$BZ$300,MATCH(data!AK$1,Haver_M!$B$1:$BZ$1,0),FALSE),"")</f>
        <v>29296.69</v>
      </c>
      <c r="AL123" t="str">
        <f>IF(ISNUMBER(VLOOKUP($A123,Haver_M!$B$1:$BZ$300,MATCH(data!AL$1,Haver_M!$B$1:$BZ$1,0),FALSE)),VLOOKUP($A123,Haver_M!$B$1:$BZ$300,MATCH(data!AL$1,Haver_M!$B$1:$BZ$1,0),FALSE),"")</f>
        <v/>
      </c>
      <c r="AM123" t="str">
        <f>IF(ISNUMBER(VLOOKUP($A123,Haver_M!$B$1:$BZ$300,MATCH(data!AM$1,Haver_M!$B$1:$BZ$1,0),FALSE)),VLOOKUP($A123,Haver_M!$B$1:$BZ$300,MATCH(data!AM$1,Haver_M!$B$1:$BZ$1,0),FALSE),"")</f>
        <v/>
      </c>
      <c r="AN123" t="str">
        <f>IF(ISNUMBER(VLOOKUP($A123,Haver_M!$B$1:$BZ$300,MATCH(data!AN$1,Haver_M!$B$1:$BZ$1,0),FALSE)),VLOOKUP($A123,Haver_M!$B$1:$BZ$300,MATCH(data!AN$1,Haver_M!$B$1:$BZ$1,0),FALSE),"")</f>
        <v/>
      </c>
      <c r="AO123" t="str">
        <f>IF(ISNUMBER(VLOOKUP($A123,Haver_M!$B$1:$BZ$300,MATCH(data!AO$1,Haver_M!$B$1:$BZ$1,0),FALSE)),VLOOKUP($A123,Haver_M!$B$1:$BZ$300,MATCH(data!AO$1,Haver_M!$B$1:$BZ$1,0),FALSE),"")</f>
        <v/>
      </c>
      <c r="AP123">
        <f>IF(ISNUMBER(VLOOKUP($A123,Haver_M!$B$1:$BZ$300,MATCH(data!AP$1,Haver_M!$B$1:$BZ$1,0),FALSE)),VLOOKUP($A123,Haver_M!$B$1:$BZ$300,MATCH(data!AP$1,Haver_M!$B$1:$BZ$1,0),FALSE),"")</f>
        <v>114.88379812864747</v>
      </c>
      <c r="AQ123">
        <f>IF(ISNUMBER(VLOOKUP($A123,Haver_M!$B$1:$BZ$300,MATCH(data!AQ$1,Haver_M!$B$1:$BZ$1,0),FALSE)),VLOOKUP($A123,Haver_M!$B$1:$BZ$300,MATCH(data!AQ$1,Haver_M!$B$1:$BZ$1,0),FALSE),"")</f>
        <v>61.923900000000003</v>
      </c>
      <c r="AR123">
        <f>IF(ISNUMBER(VLOOKUP($A123,Haver_M!$B$1:$BZ$300,MATCH(data!AR$1,Haver_M!$B$1:$BZ$1,0),FALSE)),VLOOKUP($A123,Haver_M!$B$1:$BZ$300,MATCH(data!AR$1,Haver_M!$B$1:$BZ$1,0),FALSE),"")</f>
        <v>58.463900000000002</v>
      </c>
      <c r="AS123">
        <f>IF(ISNUMBER(VLOOKUP($A123,Haver_M!$B$1:$BZ$300,MATCH(data!AS$1,Haver_M!$B$1:$BZ$1,0),FALSE)),VLOOKUP($A123,Haver_M!$B$1:$BZ$300,MATCH(data!AS$1,Haver_M!$B$1:$BZ$1,0),FALSE),"")</f>
        <v>60.916600000000003</v>
      </c>
      <c r="AT123">
        <f>IF(ISNUMBER(VLOOKUP($A123,Haver_M!$B$1:$BZ$300,MATCH(data!AT$1,Haver_M!$B$1:$BZ$1,0),FALSE)),VLOOKUP($A123,Haver_M!$B$1:$BZ$300,MATCH(data!AT$1,Haver_M!$B$1:$BZ$1,0),FALSE),"")</f>
        <v>64.188400000000001</v>
      </c>
      <c r="AU123">
        <f>IF(ISNUMBER(VLOOKUP($A123,Haver_M!$B$1:$BZ$300,MATCH(data!AU$1,Haver_M!$B$1:$BZ$1,0),FALSE)),VLOOKUP($A123,Haver_M!$B$1:$BZ$300,MATCH(data!AU$1,Haver_M!$B$1:$BZ$1,0),FALSE),"")</f>
        <v>63.973500000000001</v>
      </c>
      <c r="AV123">
        <f>IF(ISNUMBER(VLOOKUP($A123,Haver_M!$B$1:$BZ$300,MATCH(data!AV$1,Haver_M!$B$1:$BZ$1,0),FALSE)),VLOOKUP($A123,Haver_M!$B$1:$BZ$300,MATCH(data!AV$1,Haver_M!$B$1:$BZ$1,0),FALSE),"")</f>
        <v>51.718200000000003</v>
      </c>
      <c r="AW123">
        <f>IF(ISNUMBER(VLOOKUP($A123,Haver_M!$B$1:$BZ$300,MATCH(data!AW$1,Haver_M!$B$1:$BZ$1,0),FALSE)),VLOOKUP($A123,Haver_M!$B$1:$BZ$300,MATCH(data!AW$1,Haver_M!$B$1:$BZ$1,0),FALSE),"")</f>
        <v>50.447899999999997</v>
      </c>
      <c r="AX123">
        <f>IF(ISNUMBER(VLOOKUP($A123,Haver_M!$B$1:$BZ$300,MATCH(data!AX$1,Haver_M!$B$1:$BZ$1,0),FALSE)),VLOOKUP($A123,Haver_M!$B$1:$BZ$300,MATCH(data!AX$1,Haver_M!$B$1:$BZ$1,0),FALSE),"")</f>
        <v>54.482999999999997</v>
      </c>
      <c r="AY123">
        <f>IF(ISNUMBER(VLOOKUP($A123,Haver_M!$B$1:$BZ$300,MATCH(data!AY$1,Haver_M!$B$1:$BZ$1,0),FALSE)),VLOOKUP($A123,Haver_M!$B$1:$BZ$300,MATCH(data!AY$1,Haver_M!$B$1:$BZ$1,0),FALSE),"")</f>
        <v>62.982500000000002</v>
      </c>
      <c r="AZ123">
        <f>IF(ISNUMBER(VLOOKUP($A123,Haver_M!$B$1:$BZ$300,MATCH(data!AZ$1,Haver_M!$B$1:$BZ$1,0),FALSE)),VLOOKUP($A123,Haver_M!$B$1:$BZ$300,MATCH(data!AZ$1,Haver_M!$B$1:$BZ$1,0),FALSE),"")</f>
        <v>62.683199999999999</v>
      </c>
      <c r="BA123">
        <f>IF(ISNUMBER(VLOOKUP($A123,Haver_M!$B$1:$BZ$300,MATCH(data!BA$1,Haver_M!$B$1:$BZ$1,0),FALSE)),VLOOKUP($A123,Haver_M!$B$1:$BZ$300,MATCH(data!BA$1,Haver_M!$B$1:$BZ$1,0),FALSE),"")</f>
        <v>54.482999999999997</v>
      </c>
      <c r="BB123">
        <f>IF(ISNUMBER(VLOOKUP($A123,Haver_M!$B$1:$BZ$300,MATCH(data!BB$1,Haver_M!$B$1:$BZ$1,0),FALSE)),VLOOKUP($A123,Haver_M!$B$1:$BZ$300,MATCH(data!BB$1,Haver_M!$B$1:$BZ$1,0),FALSE),"")</f>
        <v>56.593800000000002</v>
      </c>
      <c r="BC123">
        <f>IF(ISNUMBER(VLOOKUP($A123,Haver_M!$B$1:$BZ$300,MATCH(data!BC$1,Haver_M!$B$1:$BZ$1,0),FALSE)),VLOOKUP($A123,Haver_M!$B$1:$BZ$300,MATCH(data!BC$1,Haver_M!$B$1:$BZ$1,0),FALSE),"")</f>
        <v>52.113100000000003</v>
      </c>
      <c r="BD123">
        <f>IF(ISNUMBER(VLOOKUP($A123,Haver_M!$B$1:$BZ$300,MATCH(data!BD$1,Haver_M!$B$1:$BZ$1,0),FALSE)),VLOOKUP($A123,Haver_M!$B$1:$BZ$300,MATCH(data!BD$1,Haver_M!$B$1:$BZ$1,0),FALSE),"")</f>
        <v>50.764800000000001</v>
      </c>
      <c r="BE123">
        <f>IF(ISNUMBER(VLOOKUP($A123,Haver_M!$B$1:$BZ$300,MATCH(data!BE$1,Haver_M!$B$1:$BZ$1,0),FALSE)),VLOOKUP($A123,Haver_M!$B$1:$BZ$300,MATCH(data!BE$1,Haver_M!$B$1:$BZ$1,0),FALSE),"")</f>
        <v>1.2943</v>
      </c>
      <c r="BF123">
        <f>IF(ISNUMBER(VLOOKUP($A123,Haver_M!$B$1:$BZ$300,MATCH(data!BF$1,Haver_M!$B$1:$BZ$1,0),FALSE)),VLOOKUP($A123,Haver_M!$B$1:$BZ$300,MATCH(data!BF$1,Haver_M!$B$1:$BZ$1,0),FALSE),"")</f>
        <v>51.595199999999998</v>
      </c>
      <c r="BG123">
        <f>IF(ISNUMBER(VLOOKUP($A123,Haver_M!$B$1:$BZ$300,MATCH(data!BG$1,Haver_M!$B$1:$BZ$1,0),FALSE)),VLOOKUP($A123,Haver_M!$B$1:$BZ$300,MATCH(data!BG$1,Haver_M!$B$1:$BZ$1,0),FALSE),"")</f>
        <v>51.834299999999999</v>
      </c>
      <c r="BH123">
        <f>IF(ISNUMBER(VLOOKUP($A123,Haver_M!$B$1:$BZ$300,MATCH(data!BH$1,Haver_M!$B$1:$BZ$1,0),FALSE)),VLOOKUP($A123,Haver_M!$B$1:$BZ$300,MATCH(data!BH$1,Haver_M!$B$1:$BZ$1,0),FALSE),"")</f>
        <v>58.177999999999997</v>
      </c>
      <c r="BI123">
        <f>IF(ISNUMBER(VLOOKUP($A123,Haver_M!$B$1:$BZ$300,MATCH(data!BI$1,Haver_M!$B$1:$BZ$1,0),FALSE)),VLOOKUP($A123,Haver_M!$B$1:$BZ$300,MATCH(data!BI$1,Haver_M!$B$1:$BZ$1,0),FALSE),"")</f>
        <v>54.264600000000002</v>
      </c>
      <c r="BJ123" t="str">
        <f>IF(ISNUMBER(VLOOKUP($A123,Haver_M!$B$1:$BZ$300,MATCH(data!BJ$1,Haver_M!$B$1:$BZ$1,0),FALSE)),VLOOKUP($A123,Haver_M!$B$1:$BZ$300,MATCH(data!BJ$1,Haver_M!$B$1:$BZ$1,0),FALSE),"")</f>
        <v/>
      </c>
      <c r="BK123">
        <f>IF(ISNUMBER(VLOOKUP($A123,Haver_M!$B$1:$BZ$300,MATCH(data!BK$1,Haver_M!$B$1:$BZ$1,0),FALSE)),VLOOKUP($A123,Haver_M!$B$1:$BZ$300,MATCH(data!BK$1,Haver_M!$B$1:$BZ$1,0),FALSE),"")</f>
        <v>50.6449</v>
      </c>
      <c r="BL123">
        <f>IF(ISNUMBER(VLOOKUP($A123,Haver_M!$B$1:$BZ$300,MATCH(data!BL$1,Haver_M!$B$1:$BZ$1,0),FALSE)),VLOOKUP($A123,Haver_M!$B$1:$BZ$300,MATCH(data!BL$1,Haver_M!$B$1:$BZ$1,0),FALSE),"")</f>
        <v>16197.92</v>
      </c>
      <c r="BM123">
        <f>IF(ISNUMBER(VLOOKUP($A123,Haver_M!$B$1:$BZ$300,MATCH(data!BM$1,Haver_M!$B$1:$BZ$1,0),FALSE)),VLOOKUP($A123,Haver_M!$B$1:$BZ$300,MATCH(data!BM$1,Haver_M!$B$1:$BZ$1,0),FALSE),"")</f>
        <v>105.92098215999999</v>
      </c>
      <c r="BN123" t="str">
        <f>IF(ISNUMBER(VLOOKUP($A123,Haver_M!$B$1:$BZ$300,MATCH(data!BN$1,Haver_M!$B$1:$BZ$1,0),FALSE)),VLOOKUP($A123,Haver_M!$B$1:$BZ$300,MATCH(data!BN$1,Haver_M!$B$1:$BZ$1,0),FALSE),"")</f>
        <v/>
      </c>
      <c r="BO123" t="str">
        <f>IF(ISNUMBER(VLOOKUP($A123,Haver_M!$B$1:$BZ$300,MATCH(data!BO$1,Haver_M!$B$1:$BZ$1,0),FALSE)),VLOOKUP($A123,Haver_M!$B$1:$BZ$300,MATCH(data!BO$1,Haver_M!$B$1:$BZ$1,0),FALSE),"")</f>
        <v/>
      </c>
      <c r="BP123" t="str">
        <f>IF(ISNUMBER(VLOOKUP($A123,Haver_M!$B$1:$BZ$300,MATCH(data!BP$1,Haver_M!$B$1:$BZ$1,0),FALSE)),VLOOKUP($A123,Haver_M!$B$1:$BZ$300,MATCH(data!BP$1,Haver_M!$B$1:$BZ$1,0),FALSE),"")</f>
        <v/>
      </c>
      <c r="BQ123">
        <f>IF(ISNUMBER(VLOOKUP($A123,Haver_M!$B$1:$BZ$300,MATCH(data!BQ$1,Haver_M!$B$1:$BZ$1,0),FALSE)),VLOOKUP($A123,Haver_M!$B$1:$BZ$300,MATCH(data!BQ$1,Haver_M!$B$1:$BZ$1,0),FALSE),"")</f>
        <v>124.81446623695651</v>
      </c>
      <c r="BR123">
        <f>IF(ISNUMBER(VLOOKUP($A123,Haver_M!$B$1:$BZ$300,MATCH(data!BR$1,Haver_M!$B$1:$BZ$1,0),FALSE)),VLOOKUP($A123,Haver_M!$B$1:$BZ$300,MATCH(data!BR$1,Haver_M!$B$1:$BZ$1,0),FALSE),"")</f>
        <v>269.54440074429368</v>
      </c>
      <c r="BS123">
        <f>IF(ISNUMBER(VLOOKUP($A123,Haver_M!$B$1:$BZ$300,MATCH(data!BS$1,Haver_M!$B$1:$BZ$1,0),FALSE)),VLOOKUP($A123,Haver_M!$B$1:$BZ$300,MATCH(data!BS$1,Haver_M!$B$1:$BZ$1,0),FALSE),"")</f>
        <v>149.43357697006851</v>
      </c>
      <c r="BT123">
        <f>IF(ISNUMBER(VLOOKUP($A123,Haver_M!$B$1:$BZ$300,MATCH(data!BT$1,Haver_M!$B$1:$BZ$1,0),FALSE)),VLOOKUP($A123,Haver_M!$B$1:$BZ$300,MATCH(data!BT$1,Haver_M!$B$1:$BZ$1,0),FALSE),"")</f>
        <v>623.74681063252012</v>
      </c>
      <c r="BU123">
        <f>IF(ISNUMBER(VLOOKUP($A123,Haver_M!$B$1:$BZ$300,MATCH(data!BU$1,Haver_M!$B$1:$BZ$1,0),FALSE)),VLOOKUP($A123,Haver_M!$B$1:$BZ$300,MATCH(data!BU$1,Haver_M!$B$1:$BZ$1,0),FALSE),"")</f>
        <v>15757.7</v>
      </c>
      <c r="BV123">
        <f>IF(ISNUMBER(VLOOKUP($A123,Haver_M!$B$1:$BZ$300,MATCH(data!BV$1,Haver_M!$B$1:$BZ$1,0),FALSE)),VLOOKUP($A123,Haver_M!$B$1:$BZ$300,MATCH(data!BV$1,Haver_M!$B$1:$BZ$1,0),FALSE),"")</f>
        <v>26163.8</v>
      </c>
      <c r="BW123">
        <f>IF(ISNUMBER(VLOOKUP($A123,Haver_M!$B$1:$BZ$300,MATCH(data!BW$1,Haver_M!$B$1:$BZ$1,0),FALSE)),VLOOKUP($A123,Haver_M!$B$1:$BZ$300,MATCH(data!BW$1,Haver_M!$B$1:$BZ$1,0),FALSE),"")</f>
        <v>46.325800000000001</v>
      </c>
      <c r="BX123">
        <f>IF(ISNUMBER(VLOOKUP($A123,Haver_M!$B$1:$BZ$300,MATCH(data!BX$1,Haver_M!$B$1:$BZ$1,0),FALSE)),VLOOKUP($A123,Haver_M!$B$1:$BZ$300,MATCH(data!BX$1,Haver_M!$B$1:$BZ$1,0),FALSE),"")</f>
        <v>45717</v>
      </c>
    </row>
    <row r="124" spans="1:76" x14ac:dyDescent="0.25">
      <c r="A124" s="2">
        <v>40268</v>
      </c>
      <c r="B124">
        <f>IF(ISNUMBER(VLOOKUP($A124,Haver_Q!$B$1:$L$185,MATCH(data!B$1,Haver_Q!$B$1:$L$1,0),FALSE)),100*(VLOOKUP($A124,Haver_Q!$B$1:$L$185,MATCH(data!B$1,Haver_Q!$B$1:$L$1,0),FALSE)),"")</f>
        <v>11.588676097543992</v>
      </c>
      <c r="C124">
        <f>IF(ISNUMBER(VLOOKUP($A124,Haver_Q!$B$1:$L$185,MATCH(data!C$1,Haver_Q!$B$1:$L$1,0),FALSE)),100*(VLOOKUP($A124,Haver_Q!$B$1:$L$185,MATCH(data!C$1,Haver_Q!$B$1:$L$1,0),FALSE)),"")</f>
        <v>3.7484318230179614</v>
      </c>
      <c r="D124">
        <f>IF(ISNUMBER(VLOOKUP($A124,Haver_Q!$B$1:$L$185,MATCH(data!D$1,Haver_Q!$B$1:$L$1,0),FALSE)),100*(VLOOKUP($A124,Haver_Q!$B$1:$L$185,MATCH(data!D$1,Haver_Q!$B$1:$L$1,0),FALSE)),"")</f>
        <v>-7.1748316260211826</v>
      </c>
      <c r="E124">
        <f>IF(ISNUMBER(VLOOKUP($A124,Haver_Q!$B$1:$L$185,MATCH(data!E$1,Haver_Q!$B$1:$L$1,0),FALSE)),100*(VLOOKUP($A124,Haver_Q!$B$1:$L$185,MATCH(data!E$1,Haver_Q!$B$1:$L$1,0),FALSE)),"")</f>
        <v>39.073488371323492</v>
      </c>
      <c r="F124">
        <f>IF(ISNUMBER(VLOOKUP($A124,Haver_Q!$B$1:$L$185,MATCH(data!F$1,Haver_Q!$B$1:$L$1,0),FALSE)),100*(VLOOKUP($A124,Haver_Q!$B$1:$L$185,MATCH(data!F$1,Haver_Q!$B$1:$L$1,0),FALSE)),"")</f>
        <v>14.820165165845767</v>
      </c>
      <c r="G124">
        <f>IF(ISNUMBER(VLOOKUP($A124,Haver_Q!$B$1:$L$185,MATCH(data!G$1,Haver_Q!$B$1:$L$1,0),FALSE)),100*(VLOOKUP($A124,Haver_Q!$B$1:$L$185,MATCH(data!G$1,Haver_Q!$B$1:$L$1,0),FALSE)),"")</f>
        <v>18.087388578338693</v>
      </c>
      <c r="H124">
        <f>IF(ISNUMBER(VLOOKUP($A124,Haver_Q!$B$1:$L$185,MATCH(data!H$1,Haver_Q!$B$1:$L$1,0),FALSE)),(VLOOKUP($A124,Haver_Q!$B$1:$L$185,MATCH(data!H$1,Haver_Q!$B$1:$L$1,0),FALSE)),"")</f>
        <v>5.3587045885478046</v>
      </c>
      <c r="I124">
        <f>IF(ISNUMBER(VLOOKUP($A124,Haver_Q!$B$1:$L$185,MATCH(data!I$1,Haver_Q!$B$1:$L$1,0),FALSE)),100*(VLOOKUP($A124,Haver_Q!$B$1:$L$185,MATCH(data!I$1,Haver_Q!$B$1:$L$1,0),FALSE)),"")</f>
        <v>13.261952352414008</v>
      </c>
      <c r="J124" s="3">
        <f>IF(ISNUMBER(Bloomberg_m!C140),Bloomberg_m!C140,"")</f>
        <v>3207</v>
      </c>
      <c r="K124" s="3" t="str">
        <f>IF(ISNUMBER(Bloomberg_m!D140),Bloomberg_m!D140,"")</f>
        <v/>
      </c>
      <c r="L124" s="3" t="str">
        <f>IF(ISNUMBER(Bloomberg_m!E140),Bloomberg_m!E140,"")</f>
        <v/>
      </c>
      <c r="M124" s="3">
        <f>IF(ISNUMBER(Bloomberg_m!F140),Bloomberg_m!F140,"")</f>
        <v>546.26</v>
      </c>
      <c r="N124">
        <f>IF(ISNUMBER(VLOOKUP($A124,Haver_M!$B$1:$BZ$300,MATCH(data!N$1,Haver_M!$B$1:$BZ$1,0),FALSE)),VLOOKUP($A124,Haver_M!$B$1:$BZ$300,MATCH(data!N$1,Haver_M!$B$1:$BZ$1,0),FALSE),"")</f>
        <v>5</v>
      </c>
      <c r="O124">
        <f>IF(ISNUMBER(VLOOKUP($A124,Haver_M!$B$1:$BZ$300,MATCH(data!O$1,Haver_M!$B$1:$BZ$1,0),FALSE)),VLOOKUP($A124,Haver_M!$B$1:$BZ$300,MATCH(data!O$1,Haver_M!$B$1:$BZ$1,0),FALSE),"")</f>
        <v>7.8250000000000002</v>
      </c>
      <c r="P124">
        <f>IF(ISNUMBER(VLOOKUP($A124,Haver_M!$B$1:$BZ$300,MATCH(data!P$1,Haver_M!$B$1:$BZ$1,0),FALSE)),VLOOKUP($A124,Haver_M!$B$1:$BZ$300,MATCH(data!P$1,Haver_M!$B$1:$BZ$1,0),FALSE),"")</f>
        <v>98.853300000000004</v>
      </c>
      <c r="Q124">
        <f>IF(ISNUMBER(VLOOKUP($A124,Haver_M!$B$1:$BZ$300,MATCH(data!Q$1,Haver_M!$B$1:$BZ$1,0),FALSE)),VLOOKUP($A124,Haver_M!$B$1:$BZ$300,MATCH(data!Q$1,Haver_M!$B$1:$BZ$1,0),FALSE),"")</f>
        <v>81.400000000000006</v>
      </c>
      <c r="R124" t="str">
        <f>IF(ISNUMBER(VLOOKUP($A124,Haver_M!$B$1:$BZ$300,MATCH(data!R$1,Haver_M!$B$1:$BZ$1,0),FALSE)),VLOOKUP($A124,Haver_M!$B$1:$BZ$300,MATCH(data!R$1,Haver_M!$B$1:$BZ$1,0),FALSE),"")</f>
        <v/>
      </c>
      <c r="S124">
        <f>IF(ISNUMBER(VLOOKUP($A124,Haver_M!$B$1:$BZ$300,MATCH(data!S$1,Haver_M!$B$1:$BZ$1,0),FALSE)),VLOOKUP($A124,Haver_M!$B$1:$BZ$300,MATCH(data!S$1,Haver_M!$B$1:$BZ$1,0),FALSE),"")</f>
        <v>97.05</v>
      </c>
      <c r="T124">
        <f>IF(ISNUMBER(VLOOKUP($A124,Haver_M!$B$1:$BZ$300,MATCH(data!T$1,Haver_M!$B$1:$BZ$1,0),FALSE)),VLOOKUP($A124,Haver_M!$B$1:$BZ$300,MATCH(data!T$1,Haver_M!$B$1:$BZ$1,0),FALSE),"")</f>
        <v>92.03</v>
      </c>
      <c r="U124">
        <f>IF(ISNUMBER(VLOOKUP($A124,Haver_M!$B$1:$BZ$300,MATCH(data!U$1,Haver_M!$B$1:$BZ$1,0),FALSE)),VLOOKUP($A124,Haver_M!$B$1:$BZ$300,MATCH(data!U$1,Haver_M!$B$1:$BZ$1,0),FALSE),"")</f>
        <v>119.83</v>
      </c>
      <c r="V124">
        <f>IF(ISNUMBER(VLOOKUP($A124,Haver_M!$B$1:$BZ$300,MATCH(data!V$1,Haver_M!$B$1:$BZ$1,0),FALSE)),VLOOKUP($A124,Haver_M!$B$1:$BZ$300,MATCH(data!V$1,Haver_M!$B$1:$BZ$1,0),FALSE),"")</f>
        <v>103.25</v>
      </c>
      <c r="W124" t="str">
        <f>IF(ISNUMBER(VLOOKUP($A124,Haver_M!$B$1:$BZ$300,MATCH(data!W$1,Haver_M!$B$1:$BZ$1,0),FALSE)),VLOOKUP($A124,Haver_M!$B$1:$BZ$300,MATCH(data!W$1,Haver_M!$B$1:$BZ$1,0),FALSE),"")</f>
        <v/>
      </c>
      <c r="X124">
        <f>IF(ISNUMBER(VLOOKUP($A124,Haver_M!$B$1:$BZ$300,MATCH(data!X$1,Haver_M!$B$1:$BZ$1,0),FALSE)),VLOOKUP($A124,Haver_M!$B$1:$BZ$300,MATCH(data!X$1,Haver_M!$B$1:$BZ$1,0),FALSE),"")</f>
        <v>89.35</v>
      </c>
      <c r="Y124">
        <f>IF(ISNUMBER(VLOOKUP($A124,Haver_M!$B$1:$BZ$300,MATCH(data!Y$1,Haver_M!$B$1:$BZ$1,0),FALSE)),VLOOKUP($A124,Haver_M!$B$1:$BZ$300,MATCH(data!Y$1,Haver_M!$B$1:$BZ$1,0),FALSE),"")</f>
        <v>88.25</v>
      </c>
      <c r="Z124">
        <f>IF(ISNUMBER(VLOOKUP($A124,Haver_M!$B$1:$BZ$300,MATCH(data!Z$1,Haver_M!$B$1:$BZ$1,0),FALSE)),VLOOKUP($A124,Haver_M!$B$1:$BZ$300,MATCH(data!Z$1,Haver_M!$B$1:$BZ$1,0),FALSE),"")</f>
        <v>93.3</v>
      </c>
      <c r="AA124">
        <f>IF(ISNUMBER(VLOOKUP($A124,Haver_M!$B$1:$BZ$300,MATCH(data!AA$1,Haver_M!$B$1:$BZ$1,0),FALSE)),VLOOKUP($A124,Haver_M!$B$1:$BZ$300,MATCH(data!AA$1,Haver_M!$B$1:$BZ$1,0),FALSE),"")</f>
        <v>100.27</v>
      </c>
      <c r="AB124">
        <f>IF(ISNUMBER(VLOOKUP($A124,Haver_M!$B$1:$BZ$300,MATCH(data!AB$1,Haver_M!$B$1:$BZ$1,0),FALSE)),VLOOKUP($A124,Haver_M!$B$1:$BZ$300,MATCH(data!AB$1,Haver_M!$B$1:$BZ$1,0),FALSE),"")</f>
        <v>90.971000000000004</v>
      </c>
      <c r="AC124">
        <f>IF(ISNUMBER(VLOOKUP($A124,Haver_M!$B$1:$BZ$300,MATCH(data!AC$1,Haver_M!$B$1:$BZ$1,0),FALSE)),VLOOKUP($A124,Haver_M!$B$1:$BZ$300,MATCH(data!AC$1,Haver_M!$B$1:$BZ$1,0),FALSE),"")</f>
        <v>119.16</v>
      </c>
      <c r="AD124">
        <f>IF(ISNUMBER(VLOOKUP($A124,Haver_M!$B$1:$BZ$300,MATCH(data!AD$1,Haver_M!$B$1:$BZ$1,0),FALSE)),VLOOKUP($A124,Haver_M!$B$1:$BZ$300,MATCH(data!AD$1,Haver_M!$B$1:$BZ$1,0),FALSE),"")</f>
        <v>94.245000000000005</v>
      </c>
      <c r="AE124">
        <f>IF(ISNUMBER(VLOOKUP($A124,Haver_M!$B$1:$BZ$300,MATCH(data!AE$1,Haver_M!$B$1:$BZ$1,0),FALSE)),VLOOKUP($A124,Haver_M!$B$1:$BZ$300,MATCH(data!AE$1,Haver_M!$B$1:$BZ$1,0),FALSE),"")</f>
        <v>94.289000000000001</v>
      </c>
      <c r="AF124">
        <f>IF(ISNUMBER(VLOOKUP($A124,Haver_M!$B$1:$BZ$300,MATCH(data!AF$1,Haver_M!$B$1:$BZ$1,0),FALSE)),VLOOKUP($A124,Haver_M!$B$1:$BZ$300,MATCH(data!AF$1,Haver_M!$B$1:$BZ$1,0),FALSE),"")</f>
        <v>83.515000000000001</v>
      </c>
      <c r="AG124">
        <f>IF(ISNUMBER(VLOOKUP($A124,Haver_M!$B$1:$BZ$300,MATCH(data!AG$1,Haver_M!$B$1:$BZ$1,0),FALSE)),VLOOKUP($A124,Haver_M!$B$1:$BZ$300,MATCH(data!AG$1,Haver_M!$B$1:$BZ$1,0),FALSE),"")</f>
        <v>90.623999999999995</v>
      </c>
      <c r="AH124">
        <f>IF(ISNUMBER(VLOOKUP($A124,Haver_M!$B$1:$BZ$300,MATCH(data!AH$1,Haver_M!$B$1:$BZ$1,0),FALSE)),VLOOKUP($A124,Haver_M!$B$1:$BZ$300,MATCH(data!AH$1,Haver_M!$B$1:$BZ$1,0),FALSE),"")</f>
        <v>91.203000000000003</v>
      </c>
      <c r="AI124">
        <f>IF(ISNUMBER(VLOOKUP($A124,Haver_M!$B$1:$BZ$300,MATCH(data!AI$1,Haver_M!$B$1:$BZ$1,0),FALSE)),VLOOKUP($A124,Haver_M!$B$1:$BZ$300,MATCH(data!AI$1,Haver_M!$B$1:$BZ$1,0),FALSE),"")</f>
        <v>11413.257287271887</v>
      </c>
      <c r="AJ124">
        <f>IF(ISNUMBER(VLOOKUP($A124,Haver_M!$B$1:$BZ$300,MATCH(data!AJ$1,Haver_M!$B$1:$BZ$1,0),FALSE)),VLOOKUP($A124,Haver_M!$B$1:$BZ$300,MATCH(data!AJ$1,Haver_M!$B$1:$BZ$1,0),FALSE),"")</f>
        <v>17132.05</v>
      </c>
      <c r="AK124">
        <f>IF(ISNUMBER(VLOOKUP($A124,Haver_M!$B$1:$BZ$300,MATCH(data!AK$1,Haver_M!$B$1:$BZ$1,0),FALSE)),VLOOKUP($A124,Haver_M!$B$1:$BZ$300,MATCH(data!AK$1,Haver_M!$B$1:$BZ$1,0),FALSE),"")</f>
        <v>30676.73</v>
      </c>
      <c r="AL124" t="str">
        <f>IF(ISNUMBER(VLOOKUP($A124,Haver_M!$B$1:$BZ$300,MATCH(data!AL$1,Haver_M!$B$1:$BZ$1,0),FALSE)),VLOOKUP($A124,Haver_M!$B$1:$BZ$300,MATCH(data!AL$1,Haver_M!$B$1:$BZ$1,0),FALSE),"")</f>
        <v/>
      </c>
      <c r="AM124" t="str">
        <f>IF(ISNUMBER(VLOOKUP($A124,Haver_M!$B$1:$BZ$300,MATCH(data!AM$1,Haver_M!$B$1:$BZ$1,0),FALSE)),VLOOKUP($A124,Haver_M!$B$1:$BZ$300,MATCH(data!AM$1,Haver_M!$B$1:$BZ$1,0),FALSE),"")</f>
        <v/>
      </c>
      <c r="AN124" t="str">
        <f>IF(ISNUMBER(VLOOKUP($A124,Haver_M!$B$1:$BZ$300,MATCH(data!AN$1,Haver_M!$B$1:$BZ$1,0),FALSE)),VLOOKUP($A124,Haver_M!$B$1:$BZ$300,MATCH(data!AN$1,Haver_M!$B$1:$BZ$1,0),FALSE),"")</f>
        <v/>
      </c>
      <c r="AO124" t="str">
        <f>IF(ISNUMBER(VLOOKUP($A124,Haver_M!$B$1:$BZ$300,MATCH(data!AO$1,Haver_M!$B$1:$BZ$1,0),FALSE)),VLOOKUP($A124,Haver_M!$B$1:$BZ$300,MATCH(data!AO$1,Haver_M!$B$1:$BZ$1,0),FALSE),"")</f>
        <v/>
      </c>
      <c r="AP124">
        <f>IF(ISNUMBER(VLOOKUP($A124,Haver_M!$B$1:$BZ$300,MATCH(data!AP$1,Haver_M!$B$1:$BZ$1,0),FALSE)),VLOOKUP($A124,Haver_M!$B$1:$BZ$300,MATCH(data!AP$1,Haver_M!$B$1:$BZ$1,0),FALSE),"")</f>
        <v>91.459480860575752</v>
      </c>
      <c r="AQ124">
        <f>IF(ISNUMBER(VLOOKUP($A124,Haver_M!$B$1:$BZ$300,MATCH(data!AQ$1,Haver_M!$B$1:$BZ$1,0),FALSE)),VLOOKUP($A124,Haver_M!$B$1:$BZ$300,MATCH(data!AQ$1,Haver_M!$B$1:$BZ$1,0),FALSE),"")</f>
        <v>59.645800000000001</v>
      </c>
      <c r="AR124">
        <f>IF(ISNUMBER(VLOOKUP($A124,Haver_M!$B$1:$BZ$300,MATCH(data!AR$1,Haver_M!$B$1:$BZ$1,0),FALSE)),VLOOKUP($A124,Haver_M!$B$1:$BZ$300,MATCH(data!AR$1,Haver_M!$B$1:$BZ$1,0),FALSE),"")</f>
        <v>57.776800000000001</v>
      </c>
      <c r="AS124">
        <f>IF(ISNUMBER(VLOOKUP($A124,Haver_M!$B$1:$BZ$300,MATCH(data!AS$1,Haver_M!$B$1:$BZ$1,0),FALSE)),VLOOKUP($A124,Haver_M!$B$1:$BZ$300,MATCH(data!AS$1,Haver_M!$B$1:$BZ$1,0),FALSE),"")</f>
        <v>58.054400000000001</v>
      </c>
      <c r="AT124">
        <f>IF(ISNUMBER(VLOOKUP($A124,Haver_M!$B$1:$BZ$300,MATCH(data!AT$1,Haver_M!$B$1:$BZ$1,0),FALSE)),VLOOKUP($A124,Haver_M!$B$1:$BZ$300,MATCH(data!AT$1,Haver_M!$B$1:$BZ$1,0),FALSE),"")</f>
        <v>62.949199999999998</v>
      </c>
      <c r="AU124">
        <f>IF(ISNUMBER(VLOOKUP($A124,Haver_M!$B$1:$BZ$300,MATCH(data!AU$1,Haver_M!$B$1:$BZ$1,0),FALSE)),VLOOKUP($A124,Haver_M!$B$1:$BZ$300,MATCH(data!AU$1,Haver_M!$B$1:$BZ$1,0),FALSE),"")</f>
        <v>62.6554</v>
      </c>
      <c r="AV124">
        <f>IF(ISNUMBER(VLOOKUP($A124,Haver_M!$B$1:$BZ$300,MATCH(data!AV$1,Haver_M!$B$1:$BZ$1,0),FALSE)),VLOOKUP($A124,Haver_M!$B$1:$BZ$300,MATCH(data!AV$1,Haver_M!$B$1:$BZ$1,0),FALSE),"")</f>
        <v>49.929099999999998</v>
      </c>
      <c r="AW124">
        <f>IF(ISNUMBER(VLOOKUP($A124,Haver_M!$B$1:$BZ$300,MATCH(data!AW$1,Haver_M!$B$1:$BZ$1,0),FALSE)),VLOOKUP($A124,Haver_M!$B$1:$BZ$300,MATCH(data!AW$1,Haver_M!$B$1:$BZ$1,0),FALSE),"")</f>
        <v>48.845599999999997</v>
      </c>
      <c r="AX124">
        <f>IF(ISNUMBER(VLOOKUP($A124,Haver_M!$B$1:$BZ$300,MATCH(data!AX$1,Haver_M!$B$1:$BZ$1,0),FALSE)),VLOOKUP($A124,Haver_M!$B$1:$BZ$300,MATCH(data!AX$1,Haver_M!$B$1:$BZ$1,0),FALSE),"")</f>
        <v>55.838900000000002</v>
      </c>
      <c r="AY124">
        <f>IF(ISNUMBER(VLOOKUP($A124,Haver_M!$B$1:$BZ$300,MATCH(data!AY$1,Haver_M!$B$1:$BZ$1,0),FALSE)),VLOOKUP($A124,Haver_M!$B$1:$BZ$300,MATCH(data!AY$1,Haver_M!$B$1:$BZ$1,0),FALSE),"")</f>
        <v>67.393799999999999</v>
      </c>
      <c r="AZ124">
        <f>IF(ISNUMBER(VLOOKUP($A124,Haver_M!$B$1:$BZ$300,MATCH(data!AZ$1,Haver_M!$B$1:$BZ$1,0),FALSE)),VLOOKUP($A124,Haver_M!$B$1:$BZ$300,MATCH(data!AZ$1,Haver_M!$B$1:$BZ$1,0),FALSE),"")</f>
        <v>62.839199999999998</v>
      </c>
      <c r="BA124">
        <f>IF(ISNUMBER(VLOOKUP($A124,Haver_M!$B$1:$BZ$300,MATCH(data!BA$1,Haver_M!$B$1:$BZ$1,0),FALSE)),VLOOKUP($A124,Haver_M!$B$1:$BZ$300,MATCH(data!BA$1,Haver_M!$B$1:$BZ$1,0),FALSE),"")</f>
        <v>55.838900000000002</v>
      </c>
      <c r="BB124">
        <f>IF(ISNUMBER(VLOOKUP($A124,Haver_M!$B$1:$BZ$300,MATCH(data!BB$1,Haver_M!$B$1:$BZ$1,0),FALSE)),VLOOKUP($A124,Haver_M!$B$1:$BZ$300,MATCH(data!BB$1,Haver_M!$B$1:$BZ$1,0),FALSE),"")</f>
        <v>57.119500000000002</v>
      </c>
      <c r="BC124">
        <f>IF(ISNUMBER(VLOOKUP($A124,Haver_M!$B$1:$BZ$300,MATCH(data!BC$1,Haver_M!$B$1:$BZ$1,0),FALSE)),VLOOKUP($A124,Haver_M!$B$1:$BZ$300,MATCH(data!BC$1,Haver_M!$B$1:$BZ$1,0),FALSE),"")</f>
        <v>54.597000000000001</v>
      </c>
      <c r="BD124">
        <f>IF(ISNUMBER(VLOOKUP($A124,Haver_M!$B$1:$BZ$300,MATCH(data!BD$1,Haver_M!$B$1:$BZ$1,0),FALSE)),VLOOKUP($A124,Haver_M!$B$1:$BZ$300,MATCH(data!BD$1,Haver_M!$B$1:$BZ$1,0),FALSE),"")</f>
        <v>49.871699999999997</v>
      </c>
      <c r="BE124">
        <f>IF(ISNUMBER(VLOOKUP($A124,Haver_M!$B$1:$BZ$300,MATCH(data!BE$1,Haver_M!$B$1:$BZ$1,0),FALSE)),VLOOKUP($A124,Haver_M!$B$1:$BZ$300,MATCH(data!BE$1,Haver_M!$B$1:$BZ$1,0),FALSE),"")</f>
        <v>1.2443</v>
      </c>
      <c r="BF124">
        <f>IF(ISNUMBER(VLOOKUP($A124,Haver_M!$B$1:$BZ$300,MATCH(data!BF$1,Haver_M!$B$1:$BZ$1,0),FALSE)),VLOOKUP($A124,Haver_M!$B$1:$BZ$300,MATCH(data!BF$1,Haver_M!$B$1:$BZ$1,0),FALSE),"")</f>
        <v>51.542400000000001</v>
      </c>
      <c r="BG124">
        <f>IF(ISNUMBER(VLOOKUP($A124,Haver_M!$B$1:$BZ$300,MATCH(data!BG$1,Haver_M!$B$1:$BZ$1,0),FALSE)),VLOOKUP($A124,Haver_M!$B$1:$BZ$300,MATCH(data!BG$1,Haver_M!$B$1:$BZ$1,0),FALSE),"")</f>
        <v>53.115699999999997</v>
      </c>
      <c r="BH124">
        <f>IF(ISNUMBER(VLOOKUP($A124,Haver_M!$B$1:$BZ$300,MATCH(data!BH$1,Haver_M!$B$1:$BZ$1,0),FALSE)),VLOOKUP($A124,Haver_M!$B$1:$BZ$300,MATCH(data!BH$1,Haver_M!$B$1:$BZ$1,0),FALSE),"")</f>
        <v>58.004899999999999</v>
      </c>
      <c r="BI124">
        <f>IF(ISNUMBER(VLOOKUP($A124,Haver_M!$B$1:$BZ$300,MATCH(data!BI$1,Haver_M!$B$1:$BZ$1,0),FALSE)),VLOOKUP($A124,Haver_M!$B$1:$BZ$300,MATCH(data!BI$1,Haver_M!$B$1:$BZ$1,0),FALSE),"")</f>
        <v>54.868400000000001</v>
      </c>
      <c r="BJ124" t="str">
        <f>IF(ISNUMBER(VLOOKUP($A124,Haver_M!$B$1:$BZ$300,MATCH(data!BJ$1,Haver_M!$B$1:$BZ$1,0),FALSE)),VLOOKUP($A124,Haver_M!$B$1:$BZ$300,MATCH(data!BJ$1,Haver_M!$B$1:$BZ$1,0),FALSE),"")</f>
        <v/>
      </c>
      <c r="BK124">
        <f>IF(ISNUMBER(VLOOKUP($A124,Haver_M!$B$1:$BZ$300,MATCH(data!BK$1,Haver_M!$B$1:$BZ$1,0),FALSE)),VLOOKUP($A124,Haver_M!$B$1:$BZ$300,MATCH(data!BK$1,Haver_M!$B$1:$BZ$1,0),FALSE),"")</f>
        <v>51.687600000000003</v>
      </c>
      <c r="BL124">
        <f>IF(ISNUMBER(VLOOKUP($A124,Haver_M!$B$1:$BZ$300,MATCH(data!BL$1,Haver_M!$B$1:$BZ$1,0),FALSE)),VLOOKUP($A124,Haver_M!$B$1:$BZ$300,MATCH(data!BL$1,Haver_M!$B$1:$BZ$1,0),FALSE),"")</f>
        <v>17302.72</v>
      </c>
      <c r="BM124">
        <f>IF(ISNUMBER(VLOOKUP($A124,Haver_M!$B$1:$BZ$300,MATCH(data!BM$1,Haver_M!$B$1:$BZ$1,0),FALSE)),VLOOKUP($A124,Haver_M!$B$1:$BZ$300,MATCH(data!BM$1,Haver_M!$B$1:$BZ$1,0),FALSE),"")</f>
        <v>106.62265318</v>
      </c>
      <c r="BN124">
        <f>IF(ISNUMBER(VLOOKUP($A124,Haver_M!$B$1:$BZ$300,MATCH(data!BN$1,Haver_M!$B$1:$BZ$1,0),FALSE)),VLOOKUP($A124,Haver_M!$B$1:$BZ$300,MATCH(data!BN$1,Haver_M!$B$1:$BZ$1,0),FALSE),"")</f>
        <v>118.5</v>
      </c>
      <c r="BO124">
        <f>IF(ISNUMBER(VLOOKUP($A124,Haver_M!$B$1:$BZ$300,MATCH(data!BO$1,Haver_M!$B$1:$BZ$1,0),FALSE)),VLOOKUP($A124,Haver_M!$B$1:$BZ$300,MATCH(data!BO$1,Haver_M!$B$1:$BZ$1,0),FALSE),"")</f>
        <v>120.6</v>
      </c>
      <c r="BP124">
        <f>IF(ISNUMBER(VLOOKUP($A124,Haver_M!$B$1:$BZ$300,MATCH(data!BP$1,Haver_M!$B$1:$BZ$1,0),FALSE)),VLOOKUP($A124,Haver_M!$B$1:$BZ$300,MATCH(data!BP$1,Haver_M!$B$1:$BZ$1,0),FALSE),"")</f>
        <v>44.9</v>
      </c>
      <c r="BQ124">
        <f>IF(ISNUMBER(VLOOKUP($A124,Haver_M!$B$1:$BZ$300,MATCH(data!BQ$1,Haver_M!$B$1:$BZ$1,0),FALSE)),VLOOKUP($A124,Haver_M!$B$1:$BZ$300,MATCH(data!BQ$1,Haver_M!$B$1:$BZ$1,0),FALSE),"")</f>
        <v>128.71620730581566</v>
      </c>
      <c r="BR124">
        <f>IF(ISNUMBER(VLOOKUP($A124,Haver_M!$B$1:$BZ$300,MATCH(data!BR$1,Haver_M!$B$1:$BZ$1,0),FALSE)),VLOOKUP($A124,Haver_M!$B$1:$BZ$300,MATCH(data!BR$1,Haver_M!$B$1:$BZ$1,0),FALSE),"")</f>
        <v>288.2436590619368</v>
      </c>
      <c r="BS124">
        <f>IF(ISNUMBER(VLOOKUP($A124,Haver_M!$B$1:$BZ$300,MATCH(data!BS$1,Haver_M!$B$1:$BZ$1,0),FALSE)),VLOOKUP($A124,Haver_M!$B$1:$BZ$300,MATCH(data!BS$1,Haver_M!$B$1:$BZ$1,0),FALSE),"")</f>
        <v>159.74108752033055</v>
      </c>
      <c r="BT124">
        <f>IF(ISNUMBER(VLOOKUP($A124,Haver_M!$B$1:$BZ$300,MATCH(data!BT$1,Haver_M!$B$1:$BZ$1,0),FALSE)),VLOOKUP($A124,Haver_M!$B$1:$BZ$300,MATCH(data!BT$1,Haver_M!$B$1:$BZ$1,0),FALSE),"")</f>
        <v>668.07661875247265</v>
      </c>
      <c r="BU124">
        <f>IF(ISNUMBER(VLOOKUP($A124,Haver_M!$B$1:$BZ$300,MATCH(data!BU$1,Haver_M!$B$1:$BZ$1,0),FALSE)),VLOOKUP($A124,Haver_M!$B$1:$BZ$300,MATCH(data!BU$1,Haver_M!$B$1:$BZ$1,0),FALSE),"")</f>
        <v>20254.099999999999</v>
      </c>
      <c r="BV124">
        <f>IF(ISNUMBER(VLOOKUP($A124,Haver_M!$B$1:$BZ$300,MATCH(data!BV$1,Haver_M!$B$1:$BZ$1,0),FALSE)),VLOOKUP($A124,Haver_M!$B$1:$BZ$300,MATCH(data!BV$1,Haver_M!$B$1:$BZ$1,0),FALSE),"")</f>
        <v>29626.9</v>
      </c>
      <c r="BW124">
        <f>IF(ISNUMBER(VLOOKUP($A124,Haver_M!$B$1:$BZ$300,MATCH(data!BW$1,Haver_M!$B$1:$BZ$1,0),FALSE)),VLOOKUP($A124,Haver_M!$B$1:$BZ$300,MATCH(data!BW$1,Haver_M!$B$1:$BZ$1,0),FALSE),"")</f>
        <v>45.497999999999998</v>
      </c>
      <c r="BX124">
        <f>IF(ISNUMBER(VLOOKUP($A124,Haver_M!$B$1:$BZ$300,MATCH(data!BX$1,Haver_M!$B$1:$BZ$1,0),FALSE)),VLOOKUP($A124,Haver_M!$B$1:$BZ$300,MATCH(data!BX$1,Haver_M!$B$1:$BZ$1,0),FALSE),"")</f>
        <v>43304</v>
      </c>
    </row>
    <row r="125" spans="1:76" x14ac:dyDescent="0.25">
      <c r="A125" s="2">
        <v>40298</v>
      </c>
      <c r="B125" t="str">
        <f>IF(ISNUMBER(VLOOKUP($A125,Haver_Q!$B$1:$L$185,MATCH(data!B$1,Haver_Q!$B$1:$L$1,0),FALSE)),100*(VLOOKUP($A125,Haver_Q!$B$1:$L$185,MATCH(data!B$1,Haver_Q!$B$1:$L$1,0),FALSE)),"")</f>
        <v/>
      </c>
      <c r="C125" t="str">
        <f>IF(ISNUMBER(VLOOKUP($A125,Haver_Q!$B$1:$L$185,MATCH(data!C$1,Haver_Q!$B$1:$L$1,0),FALSE)),100*(VLOOKUP($A125,Haver_Q!$B$1:$L$185,MATCH(data!C$1,Haver_Q!$B$1:$L$1,0),FALSE)),"")</f>
        <v/>
      </c>
      <c r="D125" t="str">
        <f>IF(ISNUMBER(VLOOKUP($A125,Haver_Q!$B$1:$L$185,MATCH(data!D$1,Haver_Q!$B$1:$L$1,0),FALSE)),100*(VLOOKUP($A125,Haver_Q!$B$1:$L$185,MATCH(data!D$1,Haver_Q!$B$1:$L$1,0),FALSE)),"")</f>
        <v/>
      </c>
      <c r="E125" t="str">
        <f>IF(ISNUMBER(VLOOKUP($A125,Haver_Q!$B$1:$L$185,MATCH(data!E$1,Haver_Q!$B$1:$L$1,0),FALSE)),100*(VLOOKUP($A125,Haver_Q!$B$1:$L$185,MATCH(data!E$1,Haver_Q!$B$1:$L$1,0),FALSE)),"")</f>
        <v/>
      </c>
      <c r="F125" t="str">
        <f>IF(ISNUMBER(VLOOKUP($A125,Haver_Q!$B$1:$L$185,MATCH(data!F$1,Haver_Q!$B$1:$L$1,0),FALSE)),100*(VLOOKUP($A125,Haver_Q!$B$1:$L$185,MATCH(data!F$1,Haver_Q!$B$1:$L$1,0),FALSE)),"")</f>
        <v/>
      </c>
      <c r="G125" t="str">
        <f>IF(ISNUMBER(VLOOKUP($A125,Haver_Q!$B$1:$L$185,MATCH(data!G$1,Haver_Q!$B$1:$L$1,0),FALSE)),100*(VLOOKUP($A125,Haver_Q!$B$1:$L$185,MATCH(data!G$1,Haver_Q!$B$1:$L$1,0),FALSE)),"")</f>
        <v/>
      </c>
      <c r="H125" t="str">
        <f>IF(ISNUMBER(VLOOKUP($A125,Haver_Q!$B$1:$L$185,MATCH(data!H$1,Haver_Q!$B$1:$L$1,0),FALSE)),(VLOOKUP($A125,Haver_Q!$B$1:$L$185,MATCH(data!H$1,Haver_Q!$B$1:$L$1,0),FALSE)),"")</f>
        <v/>
      </c>
      <c r="I125" t="str">
        <f>IF(ISNUMBER(VLOOKUP($A125,Haver_Q!$B$1:$L$185,MATCH(data!I$1,Haver_Q!$B$1:$L$1,0),FALSE)),100*(VLOOKUP($A125,Haver_Q!$B$1:$L$185,MATCH(data!I$1,Haver_Q!$B$1:$L$1,0),FALSE)),"")</f>
        <v/>
      </c>
      <c r="J125" s="3">
        <f>IF(ISNUMBER(Bloomberg_m!C141),Bloomberg_m!C141,"")</f>
        <v>3043</v>
      </c>
      <c r="K125" s="3" t="str">
        <f>IF(ISNUMBER(Bloomberg_m!D141),Bloomberg_m!D141,"")</f>
        <v/>
      </c>
      <c r="L125" s="3" t="str">
        <f>IF(ISNUMBER(Bloomberg_m!E141),Bloomberg_m!E141,"")</f>
        <v/>
      </c>
      <c r="M125" s="3">
        <f>IF(ISNUMBER(Bloomberg_m!F141),Bloomberg_m!F141,"")</f>
        <v>585.88</v>
      </c>
      <c r="N125">
        <f>IF(ISNUMBER(VLOOKUP($A125,Haver_M!$B$1:$BZ$300,MATCH(data!N$1,Haver_M!$B$1:$BZ$1,0),FALSE)),VLOOKUP($A125,Haver_M!$B$1:$BZ$300,MATCH(data!N$1,Haver_M!$B$1:$BZ$1,0),FALSE),"")</f>
        <v>5.25</v>
      </c>
      <c r="O125">
        <f>IF(ISNUMBER(VLOOKUP($A125,Haver_M!$B$1:$BZ$300,MATCH(data!O$1,Haver_M!$B$1:$BZ$1,0),FALSE)),VLOOKUP($A125,Haver_M!$B$1:$BZ$300,MATCH(data!O$1,Haver_M!$B$1:$BZ$1,0),FALSE),"")</f>
        <v>7.7766000000000002</v>
      </c>
      <c r="P125">
        <f>IF(ISNUMBER(VLOOKUP($A125,Haver_M!$B$1:$BZ$300,MATCH(data!P$1,Haver_M!$B$1:$BZ$1,0),FALSE)),VLOOKUP($A125,Haver_M!$B$1:$BZ$300,MATCH(data!P$1,Haver_M!$B$1:$BZ$1,0),FALSE),"")</f>
        <v>101.62676</v>
      </c>
      <c r="Q125">
        <f>IF(ISNUMBER(VLOOKUP($A125,Haver_M!$B$1:$BZ$300,MATCH(data!Q$1,Haver_M!$B$1:$BZ$1,0),FALSE)),VLOOKUP($A125,Haver_M!$B$1:$BZ$300,MATCH(data!Q$1,Haver_M!$B$1:$BZ$1,0),FALSE),"")</f>
        <v>82</v>
      </c>
      <c r="R125" t="str">
        <f>IF(ISNUMBER(VLOOKUP($A125,Haver_M!$B$1:$BZ$300,MATCH(data!R$1,Haver_M!$B$1:$BZ$1,0),FALSE)),VLOOKUP($A125,Haver_M!$B$1:$BZ$300,MATCH(data!R$1,Haver_M!$B$1:$BZ$1,0),FALSE),"")</f>
        <v/>
      </c>
      <c r="S125">
        <f>IF(ISNUMBER(VLOOKUP($A125,Haver_M!$B$1:$BZ$300,MATCH(data!S$1,Haver_M!$B$1:$BZ$1,0),FALSE)),VLOOKUP($A125,Haver_M!$B$1:$BZ$300,MATCH(data!S$1,Haver_M!$B$1:$BZ$1,0),FALSE),"")</f>
        <v>98.25</v>
      </c>
      <c r="T125">
        <f>IF(ISNUMBER(VLOOKUP($A125,Haver_M!$B$1:$BZ$300,MATCH(data!T$1,Haver_M!$B$1:$BZ$1,0),FALSE)),VLOOKUP($A125,Haver_M!$B$1:$BZ$300,MATCH(data!T$1,Haver_M!$B$1:$BZ$1,0),FALSE),"")</f>
        <v>91.59</v>
      </c>
      <c r="U125">
        <f>IF(ISNUMBER(VLOOKUP($A125,Haver_M!$B$1:$BZ$300,MATCH(data!U$1,Haver_M!$B$1:$BZ$1,0),FALSE)),VLOOKUP($A125,Haver_M!$B$1:$BZ$300,MATCH(data!U$1,Haver_M!$B$1:$BZ$1,0),FALSE),"")</f>
        <v>120.69</v>
      </c>
      <c r="V125">
        <f>IF(ISNUMBER(VLOOKUP($A125,Haver_M!$B$1:$BZ$300,MATCH(data!V$1,Haver_M!$B$1:$BZ$1,0),FALSE)),VLOOKUP($A125,Haver_M!$B$1:$BZ$300,MATCH(data!V$1,Haver_M!$B$1:$BZ$1,0),FALSE),"")</f>
        <v>103.87</v>
      </c>
      <c r="W125" t="str">
        <f>IF(ISNUMBER(VLOOKUP($A125,Haver_M!$B$1:$BZ$300,MATCH(data!W$1,Haver_M!$B$1:$BZ$1,0),FALSE)),VLOOKUP($A125,Haver_M!$B$1:$BZ$300,MATCH(data!W$1,Haver_M!$B$1:$BZ$1,0),FALSE),"")</f>
        <v/>
      </c>
      <c r="X125">
        <f>IF(ISNUMBER(VLOOKUP($A125,Haver_M!$B$1:$BZ$300,MATCH(data!X$1,Haver_M!$B$1:$BZ$1,0),FALSE)),VLOOKUP($A125,Haver_M!$B$1:$BZ$300,MATCH(data!X$1,Haver_M!$B$1:$BZ$1,0),FALSE),"")</f>
        <v>94.56</v>
      </c>
      <c r="Y125">
        <f>IF(ISNUMBER(VLOOKUP($A125,Haver_M!$B$1:$BZ$300,MATCH(data!Y$1,Haver_M!$B$1:$BZ$1,0),FALSE)),VLOOKUP($A125,Haver_M!$B$1:$BZ$300,MATCH(data!Y$1,Haver_M!$B$1:$BZ$1,0),FALSE),"")</f>
        <v>92.46</v>
      </c>
      <c r="Z125">
        <f>IF(ISNUMBER(VLOOKUP($A125,Haver_M!$B$1:$BZ$300,MATCH(data!Z$1,Haver_M!$B$1:$BZ$1,0),FALSE)),VLOOKUP($A125,Haver_M!$B$1:$BZ$300,MATCH(data!Z$1,Haver_M!$B$1:$BZ$1,0),FALSE),"")</f>
        <v>94.9</v>
      </c>
      <c r="AA125">
        <f>IF(ISNUMBER(VLOOKUP($A125,Haver_M!$B$1:$BZ$300,MATCH(data!AA$1,Haver_M!$B$1:$BZ$1,0),FALSE)),VLOOKUP($A125,Haver_M!$B$1:$BZ$300,MATCH(data!AA$1,Haver_M!$B$1:$BZ$1,0),FALSE),"")</f>
        <v>96.724000000000004</v>
      </c>
      <c r="AB125">
        <f>IF(ISNUMBER(VLOOKUP($A125,Haver_M!$B$1:$BZ$300,MATCH(data!AB$1,Haver_M!$B$1:$BZ$1,0),FALSE)),VLOOKUP($A125,Haver_M!$B$1:$BZ$300,MATCH(data!AB$1,Haver_M!$B$1:$BZ$1,0),FALSE),"")</f>
        <v>91.739000000000004</v>
      </c>
      <c r="AC125">
        <f>IF(ISNUMBER(VLOOKUP($A125,Haver_M!$B$1:$BZ$300,MATCH(data!AC$1,Haver_M!$B$1:$BZ$1,0),FALSE)),VLOOKUP($A125,Haver_M!$B$1:$BZ$300,MATCH(data!AC$1,Haver_M!$B$1:$BZ$1,0),FALSE),"")</f>
        <v>117.366</v>
      </c>
      <c r="AD125">
        <f>IF(ISNUMBER(VLOOKUP($A125,Haver_M!$B$1:$BZ$300,MATCH(data!AD$1,Haver_M!$B$1:$BZ$1,0),FALSE)),VLOOKUP($A125,Haver_M!$B$1:$BZ$300,MATCH(data!AD$1,Haver_M!$B$1:$BZ$1,0),FALSE),"")</f>
        <v>97.32</v>
      </c>
      <c r="AE125">
        <f>IF(ISNUMBER(VLOOKUP($A125,Haver_M!$B$1:$BZ$300,MATCH(data!AE$1,Haver_M!$B$1:$BZ$1,0),FALSE)),VLOOKUP($A125,Haver_M!$B$1:$BZ$300,MATCH(data!AE$1,Haver_M!$B$1:$BZ$1,0),FALSE),"")</f>
        <v>103.173</v>
      </c>
      <c r="AF125">
        <f>IF(ISNUMBER(VLOOKUP($A125,Haver_M!$B$1:$BZ$300,MATCH(data!AF$1,Haver_M!$B$1:$BZ$1,0),FALSE)),VLOOKUP($A125,Haver_M!$B$1:$BZ$300,MATCH(data!AF$1,Haver_M!$B$1:$BZ$1,0),FALSE),"")</f>
        <v>88.537000000000006</v>
      </c>
      <c r="AG125">
        <f>IF(ISNUMBER(VLOOKUP($A125,Haver_M!$B$1:$BZ$300,MATCH(data!AG$1,Haver_M!$B$1:$BZ$1,0),FALSE)),VLOOKUP($A125,Haver_M!$B$1:$BZ$300,MATCH(data!AG$1,Haver_M!$B$1:$BZ$1,0),FALSE),"")</f>
        <v>93.569000000000003</v>
      </c>
      <c r="AH125">
        <f>IF(ISNUMBER(VLOOKUP($A125,Haver_M!$B$1:$BZ$300,MATCH(data!AH$1,Haver_M!$B$1:$BZ$1,0),FALSE)),VLOOKUP($A125,Haver_M!$B$1:$BZ$300,MATCH(data!AH$1,Haver_M!$B$1:$BZ$1,0),FALSE),"")</f>
        <v>91.213999999999999</v>
      </c>
      <c r="AI125">
        <f>IF(ISNUMBER(VLOOKUP($A125,Haver_M!$B$1:$BZ$300,MATCH(data!AI$1,Haver_M!$B$1:$BZ$1,0),FALSE)),VLOOKUP($A125,Haver_M!$B$1:$BZ$300,MATCH(data!AI$1,Haver_M!$B$1:$BZ$1,0),FALSE),"")</f>
        <v>11804.533948738535</v>
      </c>
      <c r="AJ125">
        <f>IF(ISNUMBER(VLOOKUP($A125,Haver_M!$B$1:$BZ$300,MATCH(data!AJ$1,Haver_M!$B$1:$BZ$1,0),FALSE)),VLOOKUP($A125,Haver_M!$B$1:$BZ$300,MATCH(data!AJ$1,Haver_M!$B$1:$BZ$1,0),FALSE),"")</f>
        <v>18289.82</v>
      </c>
      <c r="AK125">
        <f>IF(ISNUMBER(VLOOKUP($A125,Haver_M!$B$1:$BZ$300,MATCH(data!AK$1,Haver_M!$B$1:$BZ$1,0),FALSE)),VLOOKUP($A125,Haver_M!$B$1:$BZ$300,MATCH(data!AK$1,Haver_M!$B$1:$BZ$1,0),FALSE),"")</f>
        <v>30852.240000000002</v>
      </c>
      <c r="AL125" t="str">
        <f>IF(ISNUMBER(VLOOKUP($A125,Haver_M!$B$1:$BZ$300,MATCH(data!AL$1,Haver_M!$B$1:$BZ$1,0),FALSE)),VLOOKUP($A125,Haver_M!$B$1:$BZ$300,MATCH(data!AL$1,Haver_M!$B$1:$BZ$1,0),FALSE),"")</f>
        <v/>
      </c>
      <c r="AM125" t="str">
        <f>IF(ISNUMBER(VLOOKUP($A125,Haver_M!$B$1:$BZ$300,MATCH(data!AM$1,Haver_M!$B$1:$BZ$1,0),FALSE)),VLOOKUP($A125,Haver_M!$B$1:$BZ$300,MATCH(data!AM$1,Haver_M!$B$1:$BZ$1,0),FALSE),"")</f>
        <v/>
      </c>
      <c r="AN125" t="str">
        <f>IF(ISNUMBER(VLOOKUP($A125,Haver_M!$B$1:$BZ$300,MATCH(data!AN$1,Haver_M!$B$1:$BZ$1,0),FALSE)),VLOOKUP($A125,Haver_M!$B$1:$BZ$300,MATCH(data!AN$1,Haver_M!$B$1:$BZ$1,0),FALSE),"")</f>
        <v/>
      </c>
      <c r="AO125" t="str">
        <f>IF(ISNUMBER(VLOOKUP($A125,Haver_M!$B$1:$BZ$300,MATCH(data!AO$1,Haver_M!$B$1:$BZ$1,0),FALSE)),VLOOKUP($A125,Haver_M!$B$1:$BZ$300,MATCH(data!AO$1,Haver_M!$B$1:$BZ$1,0),FALSE),"")</f>
        <v/>
      </c>
      <c r="AP125">
        <f>IF(ISNUMBER(VLOOKUP($A125,Haver_M!$B$1:$BZ$300,MATCH(data!AP$1,Haver_M!$B$1:$BZ$1,0),FALSE)),VLOOKUP($A125,Haver_M!$B$1:$BZ$300,MATCH(data!AP$1,Haver_M!$B$1:$BZ$1,0),FALSE),"")</f>
        <v>100.50087163719965</v>
      </c>
      <c r="AQ125">
        <f>IF(ISNUMBER(VLOOKUP($A125,Haver_M!$B$1:$BZ$300,MATCH(data!AQ$1,Haver_M!$B$1:$BZ$1,0),FALSE)),VLOOKUP($A125,Haver_M!$B$1:$BZ$300,MATCH(data!AQ$1,Haver_M!$B$1:$BZ$1,0),FALSE),"")</f>
        <v>61.520699999999998</v>
      </c>
      <c r="AR125">
        <f>IF(ISNUMBER(VLOOKUP($A125,Haver_M!$B$1:$BZ$300,MATCH(data!AR$1,Haver_M!$B$1:$BZ$1,0),FALSE)),VLOOKUP($A125,Haver_M!$B$1:$BZ$300,MATCH(data!AR$1,Haver_M!$B$1:$BZ$1,0),FALSE),"")</f>
        <v>57.238399999999999</v>
      </c>
      <c r="AS125">
        <f>IF(ISNUMBER(VLOOKUP($A125,Haver_M!$B$1:$BZ$300,MATCH(data!AS$1,Haver_M!$B$1:$BZ$1,0),FALSE)),VLOOKUP($A125,Haver_M!$B$1:$BZ$300,MATCH(data!AS$1,Haver_M!$B$1:$BZ$1,0),FALSE),"")</f>
        <v>62.078899999999997</v>
      </c>
      <c r="AT125">
        <f>IF(ISNUMBER(VLOOKUP($A125,Haver_M!$B$1:$BZ$300,MATCH(data!AT$1,Haver_M!$B$1:$BZ$1,0),FALSE)),VLOOKUP($A125,Haver_M!$B$1:$BZ$300,MATCH(data!AT$1,Haver_M!$B$1:$BZ$1,0),FALSE),"")</f>
        <v>60.362000000000002</v>
      </c>
      <c r="AU125">
        <f>IF(ISNUMBER(VLOOKUP($A125,Haver_M!$B$1:$BZ$300,MATCH(data!AU$1,Haver_M!$B$1:$BZ$1,0),FALSE)),VLOOKUP($A125,Haver_M!$B$1:$BZ$300,MATCH(data!AU$1,Haver_M!$B$1:$BZ$1,0),FALSE),"")</f>
        <v>61.870100000000001</v>
      </c>
      <c r="AV125">
        <f>IF(ISNUMBER(VLOOKUP($A125,Haver_M!$B$1:$BZ$300,MATCH(data!AV$1,Haver_M!$B$1:$BZ$1,0),FALSE)),VLOOKUP($A125,Haver_M!$B$1:$BZ$300,MATCH(data!AV$1,Haver_M!$B$1:$BZ$1,0),FALSE),"")</f>
        <v>51.491399999999999</v>
      </c>
      <c r="AW125">
        <f>IF(ISNUMBER(VLOOKUP($A125,Haver_M!$B$1:$BZ$300,MATCH(data!AW$1,Haver_M!$B$1:$BZ$1,0),FALSE)),VLOOKUP($A125,Haver_M!$B$1:$BZ$300,MATCH(data!AW$1,Haver_M!$B$1:$BZ$1,0),FALSE),"")</f>
        <v>48.667700000000004</v>
      </c>
      <c r="AX125">
        <f>IF(ISNUMBER(VLOOKUP($A125,Haver_M!$B$1:$BZ$300,MATCH(data!AX$1,Haver_M!$B$1:$BZ$1,0),FALSE)),VLOOKUP($A125,Haver_M!$B$1:$BZ$300,MATCH(data!AX$1,Haver_M!$B$1:$BZ$1,0),FALSE),"")</f>
        <v>55.887900000000002</v>
      </c>
      <c r="AY125">
        <f>IF(ISNUMBER(VLOOKUP($A125,Haver_M!$B$1:$BZ$300,MATCH(data!AY$1,Haver_M!$B$1:$BZ$1,0),FALSE)),VLOOKUP($A125,Haver_M!$B$1:$BZ$300,MATCH(data!AY$1,Haver_M!$B$1:$BZ$1,0),FALSE),"")</f>
        <v>65.150800000000004</v>
      </c>
      <c r="AZ125">
        <f>IF(ISNUMBER(VLOOKUP($A125,Haver_M!$B$1:$BZ$300,MATCH(data!AZ$1,Haver_M!$B$1:$BZ$1,0),FALSE)),VLOOKUP($A125,Haver_M!$B$1:$BZ$300,MATCH(data!AZ$1,Haver_M!$B$1:$BZ$1,0),FALSE),"")</f>
        <v>62.288200000000003</v>
      </c>
      <c r="BA125">
        <f>IF(ISNUMBER(VLOOKUP($A125,Haver_M!$B$1:$BZ$300,MATCH(data!BA$1,Haver_M!$B$1:$BZ$1,0),FALSE)),VLOOKUP($A125,Haver_M!$B$1:$BZ$300,MATCH(data!BA$1,Haver_M!$B$1:$BZ$1,0),FALSE),"")</f>
        <v>55.887900000000002</v>
      </c>
      <c r="BB125">
        <f>IF(ISNUMBER(VLOOKUP($A125,Haver_M!$B$1:$BZ$300,MATCH(data!BB$1,Haver_M!$B$1:$BZ$1,0),FALSE)),VLOOKUP($A125,Haver_M!$B$1:$BZ$300,MATCH(data!BB$1,Haver_M!$B$1:$BZ$1,0),FALSE),"")</f>
        <v>56.369100000000003</v>
      </c>
      <c r="BC125">
        <f>IF(ISNUMBER(VLOOKUP($A125,Haver_M!$B$1:$BZ$300,MATCH(data!BC$1,Haver_M!$B$1:$BZ$1,0),FALSE)),VLOOKUP($A125,Haver_M!$B$1:$BZ$300,MATCH(data!BC$1,Haver_M!$B$1:$BZ$1,0),FALSE),"")</f>
        <v>55.761600000000001</v>
      </c>
      <c r="BD125">
        <f>IF(ISNUMBER(VLOOKUP($A125,Haver_M!$B$1:$BZ$300,MATCH(data!BD$1,Haver_M!$B$1:$BZ$1,0),FALSE)),VLOOKUP($A125,Haver_M!$B$1:$BZ$300,MATCH(data!BD$1,Haver_M!$B$1:$BZ$1,0),FALSE),"")</f>
        <v>53.739699999999999</v>
      </c>
      <c r="BE125">
        <f>IF(ISNUMBER(VLOOKUP($A125,Haver_M!$B$1:$BZ$300,MATCH(data!BE$1,Haver_M!$B$1:$BZ$1,0),FALSE)),VLOOKUP($A125,Haver_M!$B$1:$BZ$300,MATCH(data!BE$1,Haver_M!$B$1:$BZ$1,0),FALSE),"")</f>
        <v>1.2583</v>
      </c>
      <c r="BF125">
        <f>IF(ISNUMBER(VLOOKUP($A125,Haver_M!$B$1:$BZ$300,MATCH(data!BF$1,Haver_M!$B$1:$BZ$1,0),FALSE)),VLOOKUP($A125,Haver_M!$B$1:$BZ$300,MATCH(data!BF$1,Haver_M!$B$1:$BZ$1,0),FALSE),"")</f>
        <v>53.187399999999997</v>
      </c>
      <c r="BG125">
        <f>IF(ISNUMBER(VLOOKUP($A125,Haver_M!$B$1:$BZ$300,MATCH(data!BG$1,Haver_M!$B$1:$BZ$1,0),FALSE)),VLOOKUP($A125,Haver_M!$B$1:$BZ$300,MATCH(data!BG$1,Haver_M!$B$1:$BZ$1,0),FALSE),"")</f>
        <v>55.357300000000002</v>
      </c>
      <c r="BH125">
        <f>IF(ISNUMBER(VLOOKUP($A125,Haver_M!$B$1:$BZ$300,MATCH(data!BH$1,Haver_M!$B$1:$BZ$1,0),FALSE)),VLOOKUP($A125,Haver_M!$B$1:$BZ$300,MATCH(data!BH$1,Haver_M!$B$1:$BZ$1,0),FALSE),"")</f>
        <v>61.114899999999999</v>
      </c>
      <c r="BI125">
        <f>IF(ISNUMBER(VLOOKUP($A125,Haver_M!$B$1:$BZ$300,MATCH(data!BI$1,Haver_M!$B$1:$BZ$1,0),FALSE)),VLOOKUP($A125,Haver_M!$B$1:$BZ$300,MATCH(data!BI$1,Haver_M!$B$1:$BZ$1,0),FALSE),"")</f>
        <v>58.876600000000003</v>
      </c>
      <c r="BJ125" t="str">
        <f>IF(ISNUMBER(VLOOKUP($A125,Haver_M!$B$1:$BZ$300,MATCH(data!BJ$1,Haver_M!$B$1:$BZ$1,0),FALSE)),VLOOKUP($A125,Haver_M!$B$1:$BZ$300,MATCH(data!BJ$1,Haver_M!$B$1:$BZ$1,0),FALSE),"")</f>
        <v/>
      </c>
      <c r="BK125">
        <f>IF(ISNUMBER(VLOOKUP($A125,Haver_M!$B$1:$BZ$300,MATCH(data!BK$1,Haver_M!$B$1:$BZ$1,0),FALSE)),VLOOKUP($A125,Haver_M!$B$1:$BZ$300,MATCH(data!BK$1,Haver_M!$B$1:$BZ$1,0),FALSE),"")</f>
        <v>52.534300000000002</v>
      </c>
      <c r="BL125">
        <f>IF(ISNUMBER(VLOOKUP($A125,Haver_M!$B$1:$BZ$300,MATCH(data!BL$1,Haver_M!$B$1:$BZ$1,0),FALSE)),VLOOKUP($A125,Haver_M!$B$1:$BZ$300,MATCH(data!BL$1,Haver_M!$B$1:$BZ$1,0),FALSE),"")</f>
        <v>17678.64</v>
      </c>
      <c r="BM125">
        <f>IF(ISNUMBER(VLOOKUP($A125,Haver_M!$B$1:$BZ$300,MATCH(data!BM$1,Haver_M!$B$1:$BZ$1,0),FALSE)),VLOOKUP($A125,Haver_M!$B$1:$BZ$300,MATCH(data!BM$1,Haver_M!$B$1:$BZ$1,0),FALSE),"")</f>
        <v>107.3168051</v>
      </c>
      <c r="BN125" t="str">
        <f>IF(ISNUMBER(VLOOKUP($A125,Haver_M!$B$1:$BZ$300,MATCH(data!BN$1,Haver_M!$B$1:$BZ$1,0),FALSE)),VLOOKUP($A125,Haver_M!$B$1:$BZ$300,MATCH(data!BN$1,Haver_M!$B$1:$BZ$1,0),FALSE),"")</f>
        <v/>
      </c>
      <c r="BO125" t="str">
        <f>IF(ISNUMBER(VLOOKUP($A125,Haver_M!$B$1:$BZ$300,MATCH(data!BO$1,Haver_M!$B$1:$BZ$1,0),FALSE)),VLOOKUP($A125,Haver_M!$B$1:$BZ$300,MATCH(data!BO$1,Haver_M!$B$1:$BZ$1,0),FALSE),"")</f>
        <v/>
      </c>
      <c r="BP125" t="str">
        <f>IF(ISNUMBER(VLOOKUP($A125,Haver_M!$B$1:$BZ$300,MATCH(data!BP$1,Haver_M!$B$1:$BZ$1,0),FALSE)),VLOOKUP($A125,Haver_M!$B$1:$BZ$300,MATCH(data!BP$1,Haver_M!$B$1:$BZ$1,0),FALSE),"")</f>
        <v/>
      </c>
      <c r="BQ125">
        <f>IF(ISNUMBER(VLOOKUP($A125,Haver_M!$B$1:$BZ$300,MATCH(data!BQ$1,Haver_M!$B$1:$BZ$1,0),FALSE)),VLOOKUP($A125,Haver_M!$B$1:$BZ$300,MATCH(data!BQ$1,Haver_M!$B$1:$BZ$1,0),FALSE),"")</f>
        <v>131.19155754411906</v>
      </c>
      <c r="BR125">
        <f>IF(ISNUMBER(VLOOKUP($A125,Haver_M!$B$1:$BZ$300,MATCH(data!BR$1,Haver_M!$B$1:$BZ$1,0),FALSE)),VLOOKUP($A125,Haver_M!$B$1:$BZ$300,MATCH(data!BR$1,Haver_M!$B$1:$BZ$1,0),FALSE),"")</f>
        <v>292.11755796210696</v>
      </c>
      <c r="BS125">
        <f>IF(ISNUMBER(VLOOKUP($A125,Haver_M!$B$1:$BZ$300,MATCH(data!BS$1,Haver_M!$B$1:$BZ$1,0),FALSE)),VLOOKUP($A125,Haver_M!$B$1:$BZ$300,MATCH(data!BS$1,Haver_M!$B$1:$BZ$1,0),FALSE),"")</f>
        <v>162.38738485670433</v>
      </c>
      <c r="BT125">
        <f>IF(ISNUMBER(VLOOKUP($A125,Haver_M!$B$1:$BZ$300,MATCH(data!BT$1,Haver_M!$B$1:$BZ$1,0),FALSE)),VLOOKUP($A125,Haver_M!$B$1:$BZ$300,MATCH(data!BT$1,Haver_M!$B$1:$BZ$1,0),FALSE),"")</f>
        <v>676.56458923703735</v>
      </c>
      <c r="BU125">
        <f>IF(ISNUMBER(VLOOKUP($A125,Haver_M!$B$1:$BZ$300,MATCH(data!BU$1,Haver_M!$B$1:$BZ$1,0),FALSE)),VLOOKUP($A125,Haver_M!$B$1:$BZ$300,MATCH(data!BU$1,Haver_M!$B$1:$BZ$1,0),FALSE),"")</f>
        <v>18139.099999999999</v>
      </c>
      <c r="BV125">
        <f>IF(ISNUMBER(VLOOKUP($A125,Haver_M!$B$1:$BZ$300,MATCH(data!BV$1,Haver_M!$B$1:$BZ$1,0),FALSE)),VLOOKUP($A125,Haver_M!$B$1:$BZ$300,MATCH(data!BV$1,Haver_M!$B$1:$BZ$1,0),FALSE),"")</f>
        <v>31674.9</v>
      </c>
      <c r="BW125">
        <f>IF(ISNUMBER(VLOOKUP($A125,Haver_M!$B$1:$BZ$300,MATCH(data!BW$1,Haver_M!$B$1:$BZ$1,0),FALSE)),VLOOKUP($A125,Haver_M!$B$1:$BZ$300,MATCH(data!BW$1,Haver_M!$B$1:$BZ$1,0),FALSE),"")</f>
        <v>44.498899999999999</v>
      </c>
      <c r="BX125">
        <f>IF(ISNUMBER(VLOOKUP($A125,Haver_M!$B$1:$BZ$300,MATCH(data!BX$1,Haver_M!$B$1:$BZ$1,0),FALSE)),VLOOKUP($A125,Haver_M!$B$1:$BZ$300,MATCH(data!BX$1,Haver_M!$B$1:$BZ$1,0),FALSE),"")</f>
        <v>60388</v>
      </c>
    </row>
    <row r="126" spans="1:76" x14ac:dyDescent="0.25">
      <c r="A126" s="2">
        <v>40329</v>
      </c>
      <c r="B126" t="str">
        <f>IF(ISNUMBER(VLOOKUP($A126,Haver_Q!$B$1:$L$185,MATCH(data!B$1,Haver_Q!$B$1:$L$1,0),FALSE)),100*(VLOOKUP($A126,Haver_Q!$B$1:$L$185,MATCH(data!B$1,Haver_Q!$B$1:$L$1,0),FALSE)),"")</f>
        <v/>
      </c>
      <c r="C126" t="str">
        <f>IF(ISNUMBER(VLOOKUP($A126,Haver_Q!$B$1:$L$185,MATCH(data!C$1,Haver_Q!$B$1:$L$1,0),FALSE)),100*(VLOOKUP($A126,Haver_Q!$B$1:$L$185,MATCH(data!C$1,Haver_Q!$B$1:$L$1,0),FALSE)),"")</f>
        <v/>
      </c>
      <c r="D126" t="str">
        <f>IF(ISNUMBER(VLOOKUP($A126,Haver_Q!$B$1:$L$185,MATCH(data!D$1,Haver_Q!$B$1:$L$1,0),FALSE)),100*(VLOOKUP($A126,Haver_Q!$B$1:$L$185,MATCH(data!D$1,Haver_Q!$B$1:$L$1,0),FALSE)),"")</f>
        <v/>
      </c>
      <c r="E126" t="str">
        <f>IF(ISNUMBER(VLOOKUP($A126,Haver_Q!$B$1:$L$185,MATCH(data!E$1,Haver_Q!$B$1:$L$1,0),FALSE)),100*(VLOOKUP($A126,Haver_Q!$B$1:$L$185,MATCH(data!E$1,Haver_Q!$B$1:$L$1,0),FALSE)),"")</f>
        <v/>
      </c>
      <c r="F126" t="str">
        <f>IF(ISNUMBER(VLOOKUP($A126,Haver_Q!$B$1:$L$185,MATCH(data!F$1,Haver_Q!$B$1:$L$1,0),FALSE)),100*(VLOOKUP($A126,Haver_Q!$B$1:$L$185,MATCH(data!F$1,Haver_Q!$B$1:$L$1,0),FALSE)),"")</f>
        <v/>
      </c>
      <c r="G126" t="str">
        <f>IF(ISNUMBER(VLOOKUP($A126,Haver_Q!$B$1:$L$185,MATCH(data!G$1,Haver_Q!$B$1:$L$1,0),FALSE)),100*(VLOOKUP($A126,Haver_Q!$B$1:$L$185,MATCH(data!G$1,Haver_Q!$B$1:$L$1,0),FALSE)),"")</f>
        <v/>
      </c>
      <c r="H126" t="str">
        <f>IF(ISNUMBER(VLOOKUP($A126,Haver_Q!$B$1:$L$185,MATCH(data!H$1,Haver_Q!$B$1:$L$1,0),FALSE)),(VLOOKUP($A126,Haver_Q!$B$1:$L$185,MATCH(data!H$1,Haver_Q!$B$1:$L$1,0),FALSE)),"")</f>
        <v/>
      </c>
      <c r="I126" t="str">
        <f>IF(ISNUMBER(VLOOKUP($A126,Haver_Q!$B$1:$L$185,MATCH(data!I$1,Haver_Q!$B$1:$L$1,0),FALSE)),100*(VLOOKUP($A126,Haver_Q!$B$1:$L$185,MATCH(data!I$1,Haver_Q!$B$1:$L$1,0),FALSE)),"")</f>
        <v/>
      </c>
      <c r="J126" s="3">
        <f>IF(ISNUMBER(Bloomberg_m!C142),Bloomberg_m!C142,"")</f>
        <v>3838</v>
      </c>
      <c r="K126" s="3" t="str">
        <f>IF(ISNUMBER(Bloomberg_m!D142),Bloomberg_m!D142,"")</f>
        <v/>
      </c>
      <c r="L126" s="3" t="str">
        <f>IF(ISNUMBER(Bloomberg_m!E142),Bloomberg_m!E142,"")</f>
        <v/>
      </c>
      <c r="M126" s="3">
        <f>IF(ISNUMBER(Bloomberg_m!F142),Bloomberg_m!F142,"")</f>
        <v>551.27</v>
      </c>
      <c r="N126">
        <f>IF(ISNUMBER(VLOOKUP($A126,Haver_M!$B$1:$BZ$300,MATCH(data!N$1,Haver_M!$B$1:$BZ$1,0),FALSE)),VLOOKUP($A126,Haver_M!$B$1:$BZ$300,MATCH(data!N$1,Haver_M!$B$1:$BZ$1,0),FALSE),"")</f>
        <v>5.25</v>
      </c>
      <c r="O126">
        <f>IF(ISNUMBER(VLOOKUP($A126,Haver_M!$B$1:$BZ$300,MATCH(data!O$1,Haver_M!$B$1:$BZ$1,0),FALSE)),VLOOKUP($A126,Haver_M!$B$1:$BZ$300,MATCH(data!O$1,Haver_M!$B$1:$BZ$1,0),FALSE),"")</f>
        <v>7.5206</v>
      </c>
      <c r="P126">
        <f>IF(ISNUMBER(VLOOKUP($A126,Haver_M!$B$1:$BZ$300,MATCH(data!P$1,Haver_M!$B$1:$BZ$1,0),FALSE)),VLOOKUP($A126,Haver_M!$B$1:$BZ$300,MATCH(data!P$1,Haver_M!$B$1:$BZ$1,0),FALSE),"")</f>
        <v>101.3875</v>
      </c>
      <c r="Q126">
        <f>IF(ISNUMBER(VLOOKUP($A126,Haver_M!$B$1:$BZ$300,MATCH(data!Q$1,Haver_M!$B$1:$BZ$1,0),FALSE)),VLOOKUP($A126,Haver_M!$B$1:$BZ$300,MATCH(data!Q$1,Haver_M!$B$1:$BZ$1,0),FALSE),"")</f>
        <v>82.7</v>
      </c>
      <c r="R126" t="str">
        <f>IF(ISNUMBER(VLOOKUP($A126,Haver_M!$B$1:$BZ$300,MATCH(data!R$1,Haver_M!$B$1:$BZ$1,0),FALSE)),VLOOKUP($A126,Haver_M!$B$1:$BZ$300,MATCH(data!R$1,Haver_M!$B$1:$BZ$1,0),FALSE),"")</f>
        <v/>
      </c>
      <c r="S126">
        <f>IF(ISNUMBER(VLOOKUP($A126,Haver_M!$B$1:$BZ$300,MATCH(data!S$1,Haver_M!$B$1:$BZ$1,0),FALSE)),VLOOKUP($A126,Haver_M!$B$1:$BZ$300,MATCH(data!S$1,Haver_M!$B$1:$BZ$1,0),FALSE),"")</f>
        <v>95.63</v>
      </c>
      <c r="T126">
        <f>IF(ISNUMBER(VLOOKUP($A126,Haver_M!$B$1:$BZ$300,MATCH(data!T$1,Haver_M!$B$1:$BZ$1,0),FALSE)),VLOOKUP($A126,Haver_M!$B$1:$BZ$300,MATCH(data!T$1,Haver_M!$B$1:$BZ$1,0),FALSE),"")</f>
        <v>91.19</v>
      </c>
      <c r="U126">
        <f>IF(ISNUMBER(VLOOKUP($A126,Haver_M!$B$1:$BZ$300,MATCH(data!U$1,Haver_M!$B$1:$BZ$1,0),FALSE)),VLOOKUP($A126,Haver_M!$B$1:$BZ$300,MATCH(data!U$1,Haver_M!$B$1:$BZ$1,0),FALSE),"")</f>
        <v>111.79</v>
      </c>
      <c r="V126">
        <f>IF(ISNUMBER(VLOOKUP($A126,Haver_M!$B$1:$BZ$300,MATCH(data!V$1,Haver_M!$B$1:$BZ$1,0),FALSE)),VLOOKUP($A126,Haver_M!$B$1:$BZ$300,MATCH(data!V$1,Haver_M!$B$1:$BZ$1,0),FALSE),"")</f>
        <v>104.77</v>
      </c>
      <c r="W126" t="str">
        <f>IF(ISNUMBER(VLOOKUP($A126,Haver_M!$B$1:$BZ$300,MATCH(data!W$1,Haver_M!$B$1:$BZ$1,0),FALSE)),VLOOKUP($A126,Haver_M!$B$1:$BZ$300,MATCH(data!W$1,Haver_M!$B$1:$BZ$1,0),FALSE),"")</f>
        <v/>
      </c>
      <c r="X126">
        <f>IF(ISNUMBER(VLOOKUP($A126,Haver_M!$B$1:$BZ$300,MATCH(data!X$1,Haver_M!$B$1:$BZ$1,0),FALSE)),VLOOKUP($A126,Haver_M!$B$1:$BZ$300,MATCH(data!X$1,Haver_M!$B$1:$BZ$1,0),FALSE),"")</f>
        <v>89.1</v>
      </c>
      <c r="Y126">
        <f>IF(ISNUMBER(VLOOKUP($A126,Haver_M!$B$1:$BZ$300,MATCH(data!Y$1,Haver_M!$B$1:$BZ$1,0),FALSE)),VLOOKUP($A126,Haver_M!$B$1:$BZ$300,MATCH(data!Y$1,Haver_M!$B$1:$BZ$1,0),FALSE),"")</f>
        <v>89.89</v>
      </c>
      <c r="Z126">
        <f>IF(ISNUMBER(VLOOKUP($A126,Haver_M!$B$1:$BZ$300,MATCH(data!Z$1,Haver_M!$B$1:$BZ$1,0),FALSE)),VLOOKUP($A126,Haver_M!$B$1:$BZ$300,MATCH(data!Z$1,Haver_M!$B$1:$BZ$1,0),FALSE),"")</f>
        <v>93.3</v>
      </c>
      <c r="AA126">
        <f>IF(ISNUMBER(VLOOKUP($A126,Haver_M!$B$1:$BZ$300,MATCH(data!AA$1,Haver_M!$B$1:$BZ$1,0),FALSE)),VLOOKUP($A126,Haver_M!$B$1:$BZ$300,MATCH(data!AA$1,Haver_M!$B$1:$BZ$1,0),FALSE),"")</f>
        <v>97.950999999999993</v>
      </c>
      <c r="AB126">
        <f>IF(ISNUMBER(VLOOKUP($A126,Haver_M!$B$1:$BZ$300,MATCH(data!AB$1,Haver_M!$B$1:$BZ$1,0),FALSE)),VLOOKUP($A126,Haver_M!$B$1:$BZ$300,MATCH(data!AB$1,Haver_M!$B$1:$BZ$1,0),FALSE),"")</f>
        <v>92.355999999999995</v>
      </c>
      <c r="AC126">
        <f>IF(ISNUMBER(VLOOKUP($A126,Haver_M!$B$1:$BZ$300,MATCH(data!AC$1,Haver_M!$B$1:$BZ$1,0),FALSE)),VLOOKUP($A126,Haver_M!$B$1:$BZ$300,MATCH(data!AC$1,Haver_M!$B$1:$BZ$1,0),FALSE),"")</f>
        <v>113.93</v>
      </c>
      <c r="AD126">
        <f>IF(ISNUMBER(VLOOKUP($A126,Haver_M!$B$1:$BZ$300,MATCH(data!AD$1,Haver_M!$B$1:$BZ$1,0),FALSE)),VLOOKUP($A126,Haver_M!$B$1:$BZ$300,MATCH(data!AD$1,Haver_M!$B$1:$BZ$1,0),FALSE),"")</f>
        <v>97.667000000000002</v>
      </c>
      <c r="AE126">
        <f>IF(ISNUMBER(VLOOKUP($A126,Haver_M!$B$1:$BZ$300,MATCH(data!AE$1,Haver_M!$B$1:$BZ$1,0),FALSE)),VLOOKUP($A126,Haver_M!$B$1:$BZ$300,MATCH(data!AE$1,Haver_M!$B$1:$BZ$1,0),FALSE),"")</f>
        <v>93.62</v>
      </c>
      <c r="AF126">
        <f>IF(ISNUMBER(VLOOKUP($A126,Haver_M!$B$1:$BZ$300,MATCH(data!AF$1,Haver_M!$B$1:$BZ$1,0),FALSE)),VLOOKUP($A126,Haver_M!$B$1:$BZ$300,MATCH(data!AF$1,Haver_M!$B$1:$BZ$1,0),FALSE),"")</f>
        <v>86.516000000000005</v>
      </c>
      <c r="AG126">
        <f>IF(ISNUMBER(VLOOKUP($A126,Haver_M!$B$1:$BZ$300,MATCH(data!AG$1,Haver_M!$B$1:$BZ$1,0),FALSE)),VLOOKUP($A126,Haver_M!$B$1:$BZ$300,MATCH(data!AG$1,Haver_M!$B$1:$BZ$1,0),FALSE),"")</f>
        <v>93.713999999999999</v>
      </c>
      <c r="AH126">
        <f>IF(ISNUMBER(VLOOKUP($A126,Haver_M!$B$1:$BZ$300,MATCH(data!AH$1,Haver_M!$B$1:$BZ$1,0),FALSE)),VLOOKUP($A126,Haver_M!$B$1:$BZ$300,MATCH(data!AH$1,Haver_M!$B$1:$BZ$1,0),FALSE),"")</f>
        <v>89.54</v>
      </c>
      <c r="AI126">
        <f>IF(ISNUMBER(VLOOKUP($A126,Haver_M!$B$1:$BZ$300,MATCH(data!AI$1,Haver_M!$B$1:$BZ$1,0),FALSE)),VLOOKUP($A126,Haver_M!$B$1:$BZ$300,MATCH(data!AI$1,Haver_M!$B$1:$BZ$1,0),FALSE),"")</f>
        <v>11595.426161769776</v>
      </c>
      <c r="AJ126">
        <f>IF(ISNUMBER(VLOOKUP($A126,Haver_M!$B$1:$BZ$300,MATCH(data!AJ$1,Haver_M!$B$1:$BZ$1,0),FALSE)),VLOOKUP($A126,Haver_M!$B$1:$BZ$300,MATCH(data!AJ$1,Haver_M!$B$1:$BZ$1,0),FALSE),"")</f>
        <v>17177.98</v>
      </c>
      <c r="AK126">
        <f>IF(ISNUMBER(VLOOKUP($A126,Haver_M!$B$1:$BZ$300,MATCH(data!AK$1,Haver_M!$B$1:$BZ$1,0),FALSE)),VLOOKUP($A126,Haver_M!$B$1:$BZ$300,MATCH(data!AK$1,Haver_M!$B$1:$BZ$1,0),FALSE),"")</f>
        <v>27545.25</v>
      </c>
      <c r="AL126" t="str">
        <f>IF(ISNUMBER(VLOOKUP($A126,Haver_M!$B$1:$BZ$300,MATCH(data!AL$1,Haver_M!$B$1:$BZ$1,0),FALSE)),VLOOKUP($A126,Haver_M!$B$1:$BZ$300,MATCH(data!AL$1,Haver_M!$B$1:$BZ$1,0),FALSE),"")</f>
        <v/>
      </c>
      <c r="AM126" t="str">
        <f>IF(ISNUMBER(VLOOKUP($A126,Haver_M!$B$1:$BZ$300,MATCH(data!AM$1,Haver_M!$B$1:$BZ$1,0),FALSE)),VLOOKUP($A126,Haver_M!$B$1:$BZ$300,MATCH(data!AM$1,Haver_M!$B$1:$BZ$1,0),FALSE),"")</f>
        <v/>
      </c>
      <c r="AN126" t="str">
        <f>IF(ISNUMBER(VLOOKUP($A126,Haver_M!$B$1:$BZ$300,MATCH(data!AN$1,Haver_M!$B$1:$BZ$1,0),FALSE)),VLOOKUP($A126,Haver_M!$B$1:$BZ$300,MATCH(data!AN$1,Haver_M!$B$1:$BZ$1,0),FALSE),"")</f>
        <v/>
      </c>
      <c r="AO126" t="str">
        <f>IF(ISNUMBER(VLOOKUP($A126,Haver_M!$B$1:$BZ$300,MATCH(data!AO$1,Haver_M!$B$1:$BZ$1,0),FALSE)),VLOOKUP($A126,Haver_M!$B$1:$BZ$300,MATCH(data!AO$1,Haver_M!$B$1:$BZ$1,0),FALSE),"")</f>
        <v/>
      </c>
      <c r="AP126">
        <f>IF(ISNUMBER(VLOOKUP($A126,Haver_M!$B$1:$BZ$300,MATCH(data!AP$1,Haver_M!$B$1:$BZ$1,0),FALSE)),VLOOKUP($A126,Haver_M!$B$1:$BZ$300,MATCH(data!AP$1,Haver_M!$B$1:$BZ$1,0),FALSE),"")</f>
        <v>119.70946910347243</v>
      </c>
      <c r="AQ126">
        <f>IF(ISNUMBER(VLOOKUP($A126,Haver_M!$B$1:$BZ$300,MATCH(data!AQ$1,Haver_M!$B$1:$BZ$1,0),FALSE)),VLOOKUP($A126,Haver_M!$B$1:$BZ$300,MATCH(data!AQ$1,Haver_M!$B$1:$BZ$1,0),FALSE),"")</f>
        <v>59.515500000000003</v>
      </c>
      <c r="AR126">
        <f>IF(ISNUMBER(VLOOKUP($A126,Haver_M!$B$1:$BZ$300,MATCH(data!AR$1,Haver_M!$B$1:$BZ$1,0),FALSE)),VLOOKUP($A126,Haver_M!$B$1:$BZ$300,MATCH(data!AR$1,Haver_M!$B$1:$BZ$1,0),FALSE),"")</f>
        <v>59.004199999999997</v>
      </c>
      <c r="AS126">
        <f>IF(ISNUMBER(VLOOKUP($A126,Haver_M!$B$1:$BZ$300,MATCH(data!AS$1,Haver_M!$B$1:$BZ$1,0),FALSE)),VLOOKUP($A126,Haver_M!$B$1:$BZ$300,MATCH(data!AS$1,Haver_M!$B$1:$BZ$1,0),FALSE),"")</f>
        <v>58.199800000000003</v>
      </c>
      <c r="AT126">
        <f>IF(ISNUMBER(VLOOKUP($A126,Haver_M!$B$1:$BZ$300,MATCH(data!AT$1,Haver_M!$B$1:$BZ$1,0),FALSE)),VLOOKUP($A126,Haver_M!$B$1:$BZ$300,MATCH(data!AT$1,Haver_M!$B$1:$BZ$1,0),FALSE),"")</f>
        <v>62.246400000000001</v>
      </c>
      <c r="AU126">
        <f>IF(ISNUMBER(VLOOKUP($A126,Haver_M!$B$1:$BZ$300,MATCH(data!AU$1,Haver_M!$B$1:$BZ$1,0),FALSE)),VLOOKUP($A126,Haver_M!$B$1:$BZ$300,MATCH(data!AU$1,Haver_M!$B$1:$BZ$1,0),FALSE),"")</f>
        <v>63.698999999999998</v>
      </c>
      <c r="AV126">
        <f>IF(ISNUMBER(VLOOKUP($A126,Haver_M!$B$1:$BZ$300,MATCH(data!AV$1,Haver_M!$B$1:$BZ$1,0),FALSE)),VLOOKUP($A126,Haver_M!$B$1:$BZ$300,MATCH(data!AV$1,Haver_M!$B$1:$BZ$1,0),FALSE),"")</f>
        <v>52.7714</v>
      </c>
      <c r="AW126">
        <f>IF(ISNUMBER(VLOOKUP($A126,Haver_M!$B$1:$BZ$300,MATCH(data!AW$1,Haver_M!$B$1:$BZ$1,0),FALSE)),VLOOKUP($A126,Haver_M!$B$1:$BZ$300,MATCH(data!AW$1,Haver_M!$B$1:$BZ$1,0),FALSE),"")</f>
        <v>47.897599999999997</v>
      </c>
      <c r="AX126">
        <f>IF(ISNUMBER(VLOOKUP($A126,Haver_M!$B$1:$BZ$300,MATCH(data!AX$1,Haver_M!$B$1:$BZ$1,0),FALSE)),VLOOKUP($A126,Haver_M!$B$1:$BZ$300,MATCH(data!AX$1,Haver_M!$B$1:$BZ$1,0),FALSE),"")</f>
        <v>59.632399999999997</v>
      </c>
      <c r="AY126">
        <f>IF(ISNUMBER(VLOOKUP($A126,Haver_M!$B$1:$BZ$300,MATCH(data!AY$1,Haver_M!$B$1:$BZ$1,0),FALSE)),VLOOKUP($A126,Haver_M!$B$1:$BZ$300,MATCH(data!AY$1,Haver_M!$B$1:$BZ$1,0),FALSE),"")</f>
        <v>63.7746</v>
      </c>
      <c r="AZ126">
        <f>IF(ISNUMBER(VLOOKUP($A126,Haver_M!$B$1:$BZ$300,MATCH(data!AZ$1,Haver_M!$B$1:$BZ$1,0),FALSE)),VLOOKUP($A126,Haver_M!$B$1:$BZ$300,MATCH(data!AZ$1,Haver_M!$B$1:$BZ$1,0),FALSE),"")</f>
        <v>62.117100000000001</v>
      </c>
      <c r="BA126">
        <f>IF(ISNUMBER(VLOOKUP($A126,Haver_M!$B$1:$BZ$300,MATCH(data!BA$1,Haver_M!$B$1:$BZ$1,0),FALSE)),VLOOKUP($A126,Haver_M!$B$1:$BZ$300,MATCH(data!BA$1,Haver_M!$B$1:$BZ$1,0),FALSE),"")</f>
        <v>59.632399999999997</v>
      </c>
      <c r="BB126">
        <f>IF(ISNUMBER(VLOOKUP($A126,Haver_M!$B$1:$BZ$300,MATCH(data!BB$1,Haver_M!$B$1:$BZ$1,0),FALSE)),VLOOKUP($A126,Haver_M!$B$1:$BZ$300,MATCH(data!BB$1,Haver_M!$B$1:$BZ$1,0),FALSE),"")</f>
        <v>54.793300000000002</v>
      </c>
      <c r="BC126">
        <f>IF(ISNUMBER(VLOOKUP($A126,Haver_M!$B$1:$BZ$300,MATCH(data!BC$1,Haver_M!$B$1:$BZ$1,0),FALSE)),VLOOKUP($A126,Haver_M!$B$1:$BZ$300,MATCH(data!BC$1,Haver_M!$B$1:$BZ$1,0),FALSE),"")</f>
        <v>55.472200000000001</v>
      </c>
      <c r="BD126">
        <f>IF(ISNUMBER(VLOOKUP($A126,Haver_M!$B$1:$BZ$300,MATCH(data!BD$1,Haver_M!$B$1:$BZ$1,0),FALSE)),VLOOKUP($A126,Haver_M!$B$1:$BZ$300,MATCH(data!BD$1,Haver_M!$B$1:$BZ$1,0),FALSE),"")</f>
        <v>54.878599999999999</v>
      </c>
      <c r="BE126">
        <f>IF(ISNUMBER(VLOOKUP($A126,Haver_M!$B$1:$BZ$300,MATCH(data!BE$1,Haver_M!$B$1:$BZ$1,0),FALSE)),VLOOKUP($A126,Haver_M!$B$1:$BZ$300,MATCH(data!BE$1,Haver_M!$B$1:$BZ$1,0),FALSE),"")</f>
        <v>1.3447</v>
      </c>
      <c r="BF126">
        <f>IF(ISNUMBER(VLOOKUP($A126,Haver_M!$B$1:$BZ$300,MATCH(data!BF$1,Haver_M!$B$1:$BZ$1,0),FALSE)),VLOOKUP($A126,Haver_M!$B$1:$BZ$300,MATCH(data!BF$1,Haver_M!$B$1:$BZ$1,0),FALSE),"")</f>
        <v>53.230800000000002</v>
      </c>
      <c r="BG126">
        <f>IF(ISNUMBER(VLOOKUP($A126,Haver_M!$B$1:$BZ$300,MATCH(data!BG$1,Haver_M!$B$1:$BZ$1,0),FALSE)),VLOOKUP($A126,Haver_M!$B$1:$BZ$300,MATCH(data!BG$1,Haver_M!$B$1:$BZ$1,0),FALSE),"")</f>
        <v>53.019100000000002</v>
      </c>
      <c r="BH126">
        <f>IF(ISNUMBER(VLOOKUP($A126,Haver_M!$B$1:$BZ$300,MATCH(data!BH$1,Haver_M!$B$1:$BZ$1,0),FALSE)),VLOOKUP($A126,Haver_M!$B$1:$BZ$300,MATCH(data!BH$1,Haver_M!$B$1:$BZ$1,0),FALSE),"")</f>
        <v>60.1295</v>
      </c>
      <c r="BI126">
        <f>IF(ISNUMBER(VLOOKUP($A126,Haver_M!$B$1:$BZ$300,MATCH(data!BI$1,Haver_M!$B$1:$BZ$1,0),FALSE)),VLOOKUP($A126,Haver_M!$B$1:$BZ$300,MATCH(data!BI$1,Haver_M!$B$1:$BZ$1,0),FALSE),"")</f>
        <v>58.208599999999997</v>
      </c>
      <c r="BJ126" t="str">
        <f>IF(ISNUMBER(VLOOKUP($A126,Haver_M!$B$1:$BZ$300,MATCH(data!BJ$1,Haver_M!$B$1:$BZ$1,0),FALSE)),VLOOKUP($A126,Haver_M!$B$1:$BZ$300,MATCH(data!BJ$1,Haver_M!$B$1:$BZ$1,0),FALSE),"")</f>
        <v/>
      </c>
      <c r="BK126">
        <f>IF(ISNUMBER(VLOOKUP($A126,Haver_M!$B$1:$BZ$300,MATCH(data!BK$1,Haver_M!$B$1:$BZ$1,0),FALSE)),VLOOKUP($A126,Haver_M!$B$1:$BZ$300,MATCH(data!BK$1,Haver_M!$B$1:$BZ$1,0),FALSE),"")</f>
        <v>52.6389</v>
      </c>
      <c r="BL126">
        <f>IF(ISNUMBER(VLOOKUP($A126,Haver_M!$B$1:$BZ$300,MATCH(data!BL$1,Haver_M!$B$1:$BZ$1,0),FALSE)),VLOOKUP($A126,Haver_M!$B$1:$BZ$300,MATCH(data!BL$1,Haver_M!$B$1:$BZ$1,0),FALSE),"")</f>
        <v>16844.54</v>
      </c>
      <c r="BM126">
        <f>IF(ISNUMBER(VLOOKUP($A126,Haver_M!$B$1:$BZ$300,MATCH(data!BM$1,Haver_M!$B$1:$BZ$1,0),FALSE)),VLOOKUP($A126,Haver_M!$B$1:$BZ$300,MATCH(data!BM$1,Haver_M!$B$1:$BZ$1,0),FALSE),"")</f>
        <v>108.15833141</v>
      </c>
      <c r="BN126" t="str">
        <f>IF(ISNUMBER(VLOOKUP($A126,Haver_M!$B$1:$BZ$300,MATCH(data!BN$1,Haver_M!$B$1:$BZ$1,0),FALSE)),VLOOKUP($A126,Haver_M!$B$1:$BZ$300,MATCH(data!BN$1,Haver_M!$B$1:$BZ$1,0),FALSE),"")</f>
        <v/>
      </c>
      <c r="BO126" t="str">
        <f>IF(ISNUMBER(VLOOKUP($A126,Haver_M!$B$1:$BZ$300,MATCH(data!BO$1,Haver_M!$B$1:$BZ$1,0),FALSE)),VLOOKUP($A126,Haver_M!$B$1:$BZ$300,MATCH(data!BO$1,Haver_M!$B$1:$BZ$1,0),FALSE),"")</f>
        <v/>
      </c>
      <c r="BP126" t="str">
        <f>IF(ISNUMBER(VLOOKUP($A126,Haver_M!$B$1:$BZ$300,MATCH(data!BP$1,Haver_M!$B$1:$BZ$1,0),FALSE)),VLOOKUP($A126,Haver_M!$B$1:$BZ$300,MATCH(data!BP$1,Haver_M!$B$1:$BZ$1,0),FALSE),"")</f>
        <v/>
      </c>
      <c r="BQ126">
        <f>IF(ISNUMBER(VLOOKUP($A126,Haver_M!$B$1:$BZ$300,MATCH(data!BQ$1,Haver_M!$B$1:$BZ$1,0),FALSE)),VLOOKUP($A126,Haver_M!$B$1:$BZ$300,MATCH(data!BQ$1,Haver_M!$B$1:$BZ$1,0),FALSE),"")</f>
        <v>128.59064065757732</v>
      </c>
      <c r="BR126">
        <f>IF(ISNUMBER(VLOOKUP($A126,Haver_M!$B$1:$BZ$300,MATCH(data!BR$1,Haver_M!$B$1:$BZ$1,0),FALSE)),VLOOKUP($A126,Haver_M!$B$1:$BZ$300,MATCH(data!BR$1,Haver_M!$B$1:$BZ$1,0),FALSE),"")</f>
        <v>285.71887041666213</v>
      </c>
      <c r="BS126">
        <f>IF(ISNUMBER(VLOOKUP($A126,Haver_M!$B$1:$BZ$300,MATCH(data!BS$1,Haver_M!$B$1:$BZ$1,0),FALSE)),VLOOKUP($A126,Haver_M!$B$1:$BZ$300,MATCH(data!BS$1,Haver_M!$B$1:$BZ$1,0),FALSE),"")</f>
        <v>158.12049034483513</v>
      </c>
      <c r="BT126">
        <f>IF(ISNUMBER(VLOOKUP($A126,Haver_M!$B$1:$BZ$300,MATCH(data!BT$1,Haver_M!$B$1:$BZ$1,0),FALSE)),VLOOKUP($A126,Haver_M!$B$1:$BZ$300,MATCH(data!BT$1,Haver_M!$B$1:$BZ$1,0),FALSE),"")</f>
        <v>659.64719623617771</v>
      </c>
      <c r="BU126">
        <f>IF(ISNUMBER(VLOOKUP($A126,Haver_M!$B$1:$BZ$300,MATCH(data!BU$1,Haver_M!$B$1:$BZ$1,0),FALSE)),VLOOKUP($A126,Haver_M!$B$1:$BZ$300,MATCH(data!BU$1,Haver_M!$B$1:$BZ$1,0),FALSE),"")</f>
        <v>17282</v>
      </c>
      <c r="BV126">
        <f>IF(ISNUMBER(VLOOKUP($A126,Haver_M!$B$1:$BZ$300,MATCH(data!BV$1,Haver_M!$B$1:$BZ$1,0),FALSE)),VLOOKUP($A126,Haver_M!$B$1:$BZ$300,MATCH(data!BV$1,Haver_M!$B$1:$BZ$1,0),FALSE),"")</f>
        <v>29747.1</v>
      </c>
      <c r="BW126">
        <f>IF(ISNUMBER(VLOOKUP($A126,Haver_M!$B$1:$BZ$300,MATCH(data!BW$1,Haver_M!$B$1:$BZ$1,0),FALSE)),VLOOKUP($A126,Haver_M!$B$1:$BZ$300,MATCH(data!BW$1,Haver_M!$B$1:$BZ$1,0),FALSE),"")</f>
        <v>45.804499999999997</v>
      </c>
      <c r="BX126">
        <f>IF(ISNUMBER(VLOOKUP($A126,Haver_M!$B$1:$BZ$300,MATCH(data!BX$1,Haver_M!$B$1:$BZ$1,0),FALSE)),VLOOKUP($A126,Haver_M!$B$1:$BZ$300,MATCH(data!BX$1,Haver_M!$B$1:$BZ$1,0),FALSE),"")</f>
        <v>60879</v>
      </c>
    </row>
    <row r="127" spans="1:76" x14ac:dyDescent="0.25">
      <c r="A127" s="2">
        <v>40359</v>
      </c>
      <c r="B127">
        <f>IF(ISNUMBER(VLOOKUP($A127,Haver_Q!$B$1:$L$185,MATCH(data!B$1,Haver_Q!$B$1:$L$1,0),FALSE)),100*(VLOOKUP($A127,Haver_Q!$B$1:$L$185,MATCH(data!B$1,Haver_Q!$B$1:$L$1,0),FALSE)),"")</f>
        <v>12.156395444616219</v>
      </c>
      <c r="C127">
        <f>IF(ISNUMBER(VLOOKUP($A127,Haver_Q!$B$1:$L$185,MATCH(data!C$1,Haver_Q!$B$1:$L$1,0),FALSE)),100*(VLOOKUP($A127,Haver_Q!$B$1:$L$185,MATCH(data!C$1,Haver_Q!$B$1:$L$1,0),FALSE)),"")</f>
        <v>21.328168251867787</v>
      </c>
      <c r="D127">
        <f>IF(ISNUMBER(VLOOKUP($A127,Haver_Q!$B$1:$L$185,MATCH(data!D$1,Haver_Q!$B$1:$L$1,0),FALSE)),100*(VLOOKUP($A127,Haver_Q!$B$1:$L$185,MATCH(data!D$1,Haver_Q!$B$1:$L$1,0),FALSE)),"")</f>
        <v>-0.46760473024304305</v>
      </c>
      <c r="E127">
        <f>IF(ISNUMBER(VLOOKUP($A127,Haver_Q!$B$1:$L$185,MATCH(data!E$1,Haver_Q!$B$1:$L$1,0),FALSE)),100*(VLOOKUP($A127,Haver_Q!$B$1:$L$185,MATCH(data!E$1,Haver_Q!$B$1:$L$1,0),FALSE)),"")</f>
        <v>-26.182156240469745</v>
      </c>
      <c r="F127">
        <f>IF(ISNUMBER(VLOOKUP($A127,Haver_Q!$B$1:$L$185,MATCH(data!F$1,Haver_Q!$B$1:$L$1,0),FALSE)),100*(VLOOKUP($A127,Haver_Q!$B$1:$L$185,MATCH(data!F$1,Haver_Q!$B$1:$L$1,0),FALSE)),"")</f>
        <v>17.511016830164294</v>
      </c>
      <c r="G127">
        <f>IF(ISNUMBER(VLOOKUP($A127,Haver_Q!$B$1:$L$185,MATCH(data!G$1,Haver_Q!$B$1:$L$1,0),FALSE)),100*(VLOOKUP($A127,Haver_Q!$B$1:$L$185,MATCH(data!G$1,Haver_Q!$B$1:$L$1,0),FALSE)),"")</f>
        <v>20.98525132325555</v>
      </c>
      <c r="H127">
        <f>IF(ISNUMBER(VLOOKUP($A127,Haver_Q!$B$1:$L$185,MATCH(data!H$1,Haver_Q!$B$1:$L$1,0),FALSE)),(VLOOKUP($A127,Haver_Q!$B$1:$L$185,MATCH(data!H$1,Haver_Q!$B$1:$L$1,0),FALSE)),"")</f>
        <v>6.0376504674532212</v>
      </c>
      <c r="I127">
        <f>IF(ISNUMBER(VLOOKUP($A127,Haver_Q!$B$1:$L$185,MATCH(data!I$1,Haver_Q!$B$1:$L$1,0),FALSE)),100*(VLOOKUP($A127,Haver_Q!$B$1:$L$185,MATCH(data!I$1,Haver_Q!$B$1:$L$1,0),FALSE)),"")</f>
        <v>10.293578763475209</v>
      </c>
      <c r="J127" s="3">
        <f>IF(ISNUMBER(Bloomberg_m!C143),Bloomberg_m!C143,"")</f>
        <v>3088</v>
      </c>
      <c r="K127" s="3" t="str">
        <f>IF(ISNUMBER(Bloomberg_m!D143),Bloomberg_m!D143,"")</f>
        <v/>
      </c>
      <c r="L127" s="3" t="str">
        <f>IF(ISNUMBER(Bloomberg_m!E143),Bloomberg_m!E143,"")</f>
        <v/>
      </c>
      <c r="M127" s="3">
        <f>IF(ISNUMBER(Bloomberg_m!F143),Bloomberg_m!F143,"")</f>
        <v>525.30999999999995</v>
      </c>
      <c r="N127">
        <f>IF(ISNUMBER(VLOOKUP($A127,Haver_M!$B$1:$BZ$300,MATCH(data!N$1,Haver_M!$B$1:$BZ$1,0),FALSE)),VLOOKUP($A127,Haver_M!$B$1:$BZ$300,MATCH(data!N$1,Haver_M!$B$1:$BZ$1,0),FALSE),"")</f>
        <v>5.25</v>
      </c>
      <c r="O127">
        <f>IF(ISNUMBER(VLOOKUP($A127,Haver_M!$B$1:$BZ$300,MATCH(data!O$1,Haver_M!$B$1:$BZ$1,0),FALSE)),VLOOKUP($A127,Haver_M!$B$1:$BZ$300,MATCH(data!O$1,Haver_M!$B$1:$BZ$1,0),FALSE),"")</f>
        <v>7.5758000000000001</v>
      </c>
      <c r="P127">
        <f>IF(ISNUMBER(VLOOKUP($A127,Haver_M!$B$1:$BZ$300,MATCH(data!P$1,Haver_M!$B$1:$BZ$1,0),FALSE)),VLOOKUP($A127,Haver_M!$B$1:$BZ$300,MATCH(data!P$1,Haver_M!$B$1:$BZ$1,0),FALSE),"")</f>
        <v>101.59001000000001</v>
      </c>
      <c r="Q127">
        <f>IF(ISNUMBER(VLOOKUP($A127,Haver_M!$B$1:$BZ$300,MATCH(data!Q$1,Haver_M!$B$1:$BZ$1,0),FALSE)),VLOOKUP($A127,Haver_M!$B$1:$BZ$300,MATCH(data!Q$1,Haver_M!$B$1:$BZ$1,0),FALSE),"")</f>
        <v>83.7</v>
      </c>
      <c r="R127" t="str">
        <f>IF(ISNUMBER(VLOOKUP($A127,Haver_M!$B$1:$BZ$300,MATCH(data!R$1,Haver_M!$B$1:$BZ$1,0),FALSE)),VLOOKUP($A127,Haver_M!$B$1:$BZ$300,MATCH(data!R$1,Haver_M!$B$1:$BZ$1,0),FALSE),"")</f>
        <v/>
      </c>
      <c r="S127">
        <f>IF(ISNUMBER(VLOOKUP($A127,Haver_M!$B$1:$BZ$300,MATCH(data!S$1,Haver_M!$B$1:$BZ$1,0),FALSE)),VLOOKUP($A127,Haver_M!$B$1:$BZ$300,MATCH(data!S$1,Haver_M!$B$1:$BZ$1,0),FALSE),"")</f>
        <v>95.35</v>
      </c>
      <c r="T127">
        <f>IF(ISNUMBER(VLOOKUP($A127,Haver_M!$B$1:$BZ$300,MATCH(data!T$1,Haver_M!$B$1:$BZ$1,0),FALSE)),VLOOKUP($A127,Haver_M!$B$1:$BZ$300,MATCH(data!T$1,Haver_M!$B$1:$BZ$1,0),FALSE),"")</f>
        <v>91.23</v>
      </c>
      <c r="U127">
        <f>IF(ISNUMBER(VLOOKUP($A127,Haver_M!$B$1:$BZ$300,MATCH(data!U$1,Haver_M!$B$1:$BZ$1,0),FALSE)),VLOOKUP($A127,Haver_M!$B$1:$BZ$300,MATCH(data!U$1,Haver_M!$B$1:$BZ$1,0),FALSE),"")</f>
        <v>99.64</v>
      </c>
      <c r="V127">
        <f>IF(ISNUMBER(VLOOKUP($A127,Haver_M!$B$1:$BZ$300,MATCH(data!V$1,Haver_M!$B$1:$BZ$1,0),FALSE)),VLOOKUP($A127,Haver_M!$B$1:$BZ$300,MATCH(data!V$1,Haver_M!$B$1:$BZ$1,0),FALSE),"")</f>
        <v>103.91</v>
      </c>
      <c r="W127" t="str">
        <f>IF(ISNUMBER(VLOOKUP($A127,Haver_M!$B$1:$BZ$300,MATCH(data!W$1,Haver_M!$B$1:$BZ$1,0),FALSE)),VLOOKUP($A127,Haver_M!$B$1:$BZ$300,MATCH(data!W$1,Haver_M!$B$1:$BZ$1,0),FALSE),"")</f>
        <v/>
      </c>
      <c r="X127">
        <f>IF(ISNUMBER(VLOOKUP($A127,Haver_M!$B$1:$BZ$300,MATCH(data!X$1,Haver_M!$B$1:$BZ$1,0),FALSE)),VLOOKUP($A127,Haver_M!$B$1:$BZ$300,MATCH(data!X$1,Haver_M!$B$1:$BZ$1,0),FALSE),"")</f>
        <v>92.88</v>
      </c>
      <c r="Y127">
        <f>IF(ISNUMBER(VLOOKUP($A127,Haver_M!$B$1:$BZ$300,MATCH(data!Y$1,Haver_M!$B$1:$BZ$1,0),FALSE)),VLOOKUP($A127,Haver_M!$B$1:$BZ$300,MATCH(data!Y$1,Haver_M!$B$1:$BZ$1,0),FALSE),"")</f>
        <v>93.48</v>
      </c>
      <c r="Z127">
        <f>IF(ISNUMBER(VLOOKUP($A127,Haver_M!$B$1:$BZ$300,MATCH(data!Z$1,Haver_M!$B$1:$BZ$1,0),FALSE)),VLOOKUP($A127,Haver_M!$B$1:$BZ$300,MATCH(data!Z$1,Haver_M!$B$1:$BZ$1,0),FALSE),"")</f>
        <v>94.2</v>
      </c>
      <c r="AA127">
        <f>IF(ISNUMBER(VLOOKUP($A127,Haver_M!$B$1:$BZ$300,MATCH(data!AA$1,Haver_M!$B$1:$BZ$1,0),FALSE)),VLOOKUP($A127,Haver_M!$B$1:$BZ$300,MATCH(data!AA$1,Haver_M!$B$1:$BZ$1,0),FALSE),"")</f>
        <v>100.786</v>
      </c>
      <c r="AB127">
        <f>IF(ISNUMBER(VLOOKUP($A127,Haver_M!$B$1:$BZ$300,MATCH(data!AB$1,Haver_M!$B$1:$BZ$1,0),FALSE)),VLOOKUP($A127,Haver_M!$B$1:$BZ$300,MATCH(data!AB$1,Haver_M!$B$1:$BZ$1,0),FALSE),"")</f>
        <v>94.078999999999994</v>
      </c>
      <c r="AC127">
        <f>IF(ISNUMBER(VLOOKUP($A127,Haver_M!$B$1:$BZ$300,MATCH(data!AC$1,Haver_M!$B$1:$BZ$1,0),FALSE)),VLOOKUP($A127,Haver_M!$B$1:$BZ$300,MATCH(data!AC$1,Haver_M!$B$1:$BZ$1,0),FALSE),"")</f>
        <v>116.943</v>
      </c>
      <c r="AD127">
        <f>IF(ISNUMBER(VLOOKUP($A127,Haver_M!$B$1:$BZ$300,MATCH(data!AD$1,Haver_M!$B$1:$BZ$1,0),FALSE)),VLOOKUP($A127,Haver_M!$B$1:$BZ$300,MATCH(data!AD$1,Haver_M!$B$1:$BZ$1,0),FALSE),"")</f>
        <v>96.808999999999997</v>
      </c>
      <c r="AE127">
        <f>IF(ISNUMBER(VLOOKUP($A127,Haver_M!$B$1:$BZ$300,MATCH(data!AE$1,Haver_M!$B$1:$BZ$1,0),FALSE)),VLOOKUP($A127,Haver_M!$B$1:$BZ$300,MATCH(data!AE$1,Haver_M!$B$1:$BZ$1,0),FALSE),"")</f>
        <v>98.724000000000004</v>
      </c>
      <c r="AF127">
        <f>IF(ISNUMBER(VLOOKUP($A127,Haver_M!$B$1:$BZ$300,MATCH(data!AF$1,Haver_M!$B$1:$BZ$1,0),FALSE)),VLOOKUP($A127,Haver_M!$B$1:$BZ$300,MATCH(data!AF$1,Haver_M!$B$1:$BZ$1,0),FALSE),"")</f>
        <v>87.706999999999994</v>
      </c>
      <c r="AG127">
        <f>IF(ISNUMBER(VLOOKUP($A127,Haver_M!$B$1:$BZ$300,MATCH(data!AG$1,Haver_M!$B$1:$BZ$1,0),FALSE)),VLOOKUP($A127,Haver_M!$B$1:$BZ$300,MATCH(data!AG$1,Haver_M!$B$1:$BZ$1,0),FALSE),"")</f>
        <v>92.358999999999995</v>
      </c>
      <c r="AH127">
        <f>IF(ISNUMBER(VLOOKUP($A127,Haver_M!$B$1:$BZ$300,MATCH(data!AH$1,Haver_M!$B$1:$BZ$1,0),FALSE)),VLOOKUP($A127,Haver_M!$B$1:$BZ$300,MATCH(data!AH$1,Haver_M!$B$1:$BZ$1,0),FALSE),"")</f>
        <v>90.084999999999994</v>
      </c>
      <c r="AI127">
        <f>IF(ISNUMBER(VLOOKUP($A127,Haver_M!$B$1:$BZ$300,MATCH(data!AI$1,Haver_M!$B$1:$BZ$1,0),FALSE)),VLOOKUP($A127,Haver_M!$B$1:$BZ$300,MATCH(data!AI$1,Haver_M!$B$1:$BZ$1,0),FALSE),"")</f>
        <v>11742.553907034922</v>
      </c>
      <c r="AJ127">
        <f>IF(ISNUMBER(VLOOKUP($A127,Haver_M!$B$1:$BZ$300,MATCH(data!AJ$1,Haver_M!$B$1:$BZ$1,0),FALSE)),VLOOKUP($A127,Haver_M!$B$1:$BZ$300,MATCH(data!AJ$1,Haver_M!$B$1:$BZ$1,0),FALSE),"")</f>
        <v>20028.439999999999</v>
      </c>
      <c r="AK127">
        <f>IF(ISNUMBER(VLOOKUP($A127,Haver_M!$B$1:$BZ$300,MATCH(data!AK$1,Haver_M!$B$1:$BZ$1,0),FALSE)),VLOOKUP($A127,Haver_M!$B$1:$BZ$300,MATCH(data!AK$1,Haver_M!$B$1:$BZ$1,0),FALSE),"")</f>
        <v>28637.22</v>
      </c>
      <c r="AL127" t="str">
        <f>IF(ISNUMBER(VLOOKUP($A127,Haver_M!$B$1:$BZ$300,MATCH(data!AL$1,Haver_M!$B$1:$BZ$1,0),FALSE)),VLOOKUP($A127,Haver_M!$B$1:$BZ$300,MATCH(data!AL$1,Haver_M!$B$1:$BZ$1,0),FALSE),"")</f>
        <v/>
      </c>
      <c r="AM127" t="str">
        <f>IF(ISNUMBER(VLOOKUP($A127,Haver_M!$B$1:$BZ$300,MATCH(data!AM$1,Haver_M!$B$1:$BZ$1,0),FALSE)),VLOOKUP($A127,Haver_M!$B$1:$BZ$300,MATCH(data!AM$1,Haver_M!$B$1:$BZ$1,0),FALSE),"")</f>
        <v/>
      </c>
      <c r="AN127" t="str">
        <f>IF(ISNUMBER(VLOOKUP($A127,Haver_M!$B$1:$BZ$300,MATCH(data!AN$1,Haver_M!$B$1:$BZ$1,0),FALSE)),VLOOKUP($A127,Haver_M!$B$1:$BZ$300,MATCH(data!AN$1,Haver_M!$B$1:$BZ$1,0),FALSE),"")</f>
        <v/>
      </c>
      <c r="AO127" t="str">
        <f>IF(ISNUMBER(VLOOKUP($A127,Haver_M!$B$1:$BZ$300,MATCH(data!AO$1,Haver_M!$B$1:$BZ$1,0),FALSE)),VLOOKUP($A127,Haver_M!$B$1:$BZ$300,MATCH(data!AO$1,Haver_M!$B$1:$BZ$1,0),FALSE),"")</f>
        <v/>
      </c>
      <c r="AP127">
        <f>IF(ISNUMBER(VLOOKUP($A127,Haver_M!$B$1:$BZ$300,MATCH(data!AP$1,Haver_M!$B$1:$BZ$1,0),FALSE)),VLOOKUP($A127,Haver_M!$B$1:$BZ$300,MATCH(data!AP$1,Haver_M!$B$1:$BZ$1,0),FALSE),"")</f>
        <v>161.90600232471613</v>
      </c>
      <c r="AQ127">
        <f>IF(ISNUMBER(VLOOKUP($A127,Haver_M!$B$1:$BZ$300,MATCH(data!AQ$1,Haver_M!$B$1:$BZ$1,0),FALSE)),VLOOKUP($A127,Haver_M!$B$1:$BZ$300,MATCH(data!AQ$1,Haver_M!$B$1:$BZ$1,0),FALSE),"")</f>
        <v>62.843899999999998</v>
      </c>
      <c r="AR127">
        <f>IF(ISNUMBER(VLOOKUP($A127,Haver_M!$B$1:$BZ$300,MATCH(data!AR$1,Haver_M!$B$1:$BZ$1,0),FALSE)),VLOOKUP($A127,Haver_M!$B$1:$BZ$300,MATCH(data!AR$1,Haver_M!$B$1:$BZ$1,0),FALSE),"")</f>
        <v>57.255600000000001</v>
      </c>
      <c r="AS127">
        <f>IF(ISNUMBER(VLOOKUP($A127,Haver_M!$B$1:$BZ$300,MATCH(data!AS$1,Haver_M!$B$1:$BZ$1,0),FALSE)),VLOOKUP($A127,Haver_M!$B$1:$BZ$300,MATCH(data!AS$1,Haver_M!$B$1:$BZ$1,0),FALSE),"")</f>
        <v>63.9664</v>
      </c>
      <c r="AT127">
        <f>IF(ISNUMBER(VLOOKUP($A127,Haver_M!$B$1:$BZ$300,MATCH(data!AT$1,Haver_M!$B$1:$BZ$1,0),FALSE)),VLOOKUP($A127,Haver_M!$B$1:$BZ$300,MATCH(data!AT$1,Haver_M!$B$1:$BZ$1,0),FALSE),"")</f>
        <v>60.514000000000003</v>
      </c>
      <c r="AU127">
        <f>IF(ISNUMBER(VLOOKUP($A127,Haver_M!$B$1:$BZ$300,MATCH(data!AU$1,Haver_M!$B$1:$BZ$1,0),FALSE)),VLOOKUP($A127,Haver_M!$B$1:$BZ$300,MATCH(data!AU$1,Haver_M!$B$1:$BZ$1,0),FALSE),"")</f>
        <v>62.438400000000001</v>
      </c>
      <c r="AV127">
        <f>IF(ISNUMBER(VLOOKUP($A127,Haver_M!$B$1:$BZ$300,MATCH(data!AV$1,Haver_M!$B$1:$BZ$1,0),FALSE)),VLOOKUP($A127,Haver_M!$B$1:$BZ$300,MATCH(data!AV$1,Haver_M!$B$1:$BZ$1,0),FALSE),"")</f>
        <v>49.9983</v>
      </c>
      <c r="AW127">
        <f>IF(ISNUMBER(VLOOKUP($A127,Haver_M!$B$1:$BZ$300,MATCH(data!AW$1,Haver_M!$B$1:$BZ$1,0),FALSE)),VLOOKUP($A127,Haver_M!$B$1:$BZ$300,MATCH(data!AW$1,Haver_M!$B$1:$BZ$1,0),FALSE),"")</f>
        <v>48.7239</v>
      </c>
      <c r="AX127">
        <f>IF(ISNUMBER(VLOOKUP($A127,Haver_M!$B$1:$BZ$300,MATCH(data!AX$1,Haver_M!$B$1:$BZ$1,0),FALSE)),VLOOKUP($A127,Haver_M!$B$1:$BZ$300,MATCH(data!AX$1,Haver_M!$B$1:$BZ$1,0),FALSE),"")</f>
        <v>57.045099999999998</v>
      </c>
      <c r="AY127">
        <f>IF(ISNUMBER(VLOOKUP($A127,Haver_M!$B$1:$BZ$300,MATCH(data!AY$1,Haver_M!$B$1:$BZ$1,0),FALSE)),VLOOKUP($A127,Haver_M!$B$1:$BZ$300,MATCH(data!AY$1,Haver_M!$B$1:$BZ$1,0),FALSE),"")</f>
        <v>53.5565</v>
      </c>
      <c r="AZ127">
        <f>IF(ISNUMBER(VLOOKUP($A127,Haver_M!$B$1:$BZ$300,MATCH(data!AZ$1,Haver_M!$B$1:$BZ$1,0),FALSE)),VLOOKUP($A127,Haver_M!$B$1:$BZ$300,MATCH(data!AZ$1,Haver_M!$B$1:$BZ$1,0),FALSE),"")</f>
        <v>61.233199999999997</v>
      </c>
      <c r="BA127">
        <f>IF(ISNUMBER(VLOOKUP($A127,Haver_M!$B$1:$BZ$300,MATCH(data!BA$1,Haver_M!$B$1:$BZ$1,0),FALSE)),VLOOKUP($A127,Haver_M!$B$1:$BZ$300,MATCH(data!BA$1,Haver_M!$B$1:$BZ$1,0),FALSE),"")</f>
        <v>57.045099999999998</v>
      </c>
      <c r="BB127">
        <f>IF(ISNUMBER(VLOOKUP($A127,Haver_M!$B$1:$BZ$300,MATCH(data!BB$1,Haver_M!$B$1:$BZ$1,0),FALSE)),VLOOKUP($A127,Haver_M!$B$1:$BZ$300,MATCH(data!BB$1,Haver_M!$B$1:$BZ$1,0),FALSE),"")</f>
        <v>55.628399999999999</v>
      </c>
      <c r="BC127">
        <f>IF(ISNUMBER(VLOOKUP($A127,Haver_M!$B$1:$BZ$300,MATCH(data!BC$1,Haver_M!$B$1:$BZ$1,0),FALSE)),VLOOKUP($A127,Haver_M!$B$1:$BZ$300,MATCH(data!BC$1,Haver_M!$B$1:$BZ$1,0),FALSE),"")</f>
        <v>52.143900000000002</v>
      </c>
      <c r="BD127">
        <f>IF(ISNUMBER(VLOOKUP($A127,Haver_M!$B$1:$BZ$300,MATCH(data!BD$1,Haver_M!$B$1:$BZ$1,0),FALSE)),VLOOKUP($A127,Haver_M!$B$1:$BZ$300,MATCH(data!BD$1,Haver_M!$B$1:$BZ$1,0),FALSE),"")</f>
        <v>55.698300000000003</v>
      </c>
      <c r="BE127">
        <f>IF(ISNUMBER(VLOOKUP($A127,Haver_M!$B$1:$BZ$300,MATCH(data!BE$1,Haver_M!$B$1:$BZ$1,0),FALSE)),VLOOKUP($A127,Haver_M!$B$1:$BZ$300,MATCH(data!BE$1,Haver_M!$B$1:$BZ$1,0),FALSE),"")</f>
        <v>1.2442</v>
      </c>
      <c r="BF127">
        <f>IF(ISNUMBER(VLOOKUP($A127,Haver_M!$B$1:$BZ$300,MATCH(data!BF$1,Haver_M!$B$1:$BZ$1,0),FALSE)),VLOOKUP($A127,Haver_M!$B$1:$BZ$300,MATCH(data!BF$1,Haver_M!$B$1:$BZ$1,0),FALSE),"")</f>
        <v>53.364699999999999</v>
      </c>
      <c r="BG127">
        <f>IF(ISNUMBER(VLOOKUP($A127,Haver_M!$B$1:$BZ$300,MATCH(data!BG$1,Haver_M!$B$1:$BZ$1,0),FALSE)),VLOOKUP($A127,Haver_M!$B$1:$BZ$300,MATCH(data!BG$1,Haver_M!$B$1:$BZ$1,0),FALSE),"")</f>
        <v>53.3992</v>
      </c>
      <c r="BH127">
        <f>IF(ISNUMBER(VLOOKUP($A127,Haver_M!$B$1:$BZ$300,MATCH(data!BH$1,Haver_M!$B$1:$BZ$1,0),FALSE)),VLOOKUP($A127,Haver_M!$B$1:$BZ$300,MATCH(data!BH$1,Haver_M!$B$1:$BZ$1,0),FALSE),"")</f>
        <v>63.317900000000002</v>
      </c>
      <c r="BI127">
        <f>IF(ISNUMBER(VLOOKUP($A127,Haver_M!$B$1:$BZ$300,MATCH(data!BI$1,Haver_M!$B$1:$BZ$1,0),FALSE)),VLOOKUP($A127,Haver_M!$B$1:$BZ$300,MATCH(data!BI$1,Haver_M!$B$1:$BZ$1,0),FALSE),"")</f>
        <v>55.181399999999996</v>
      </c>
      <c r="BJ127" t="str">
        <f>IF(ISNUMBER(VLOOKUP($A127,Haver_M!$B$1:$BZ$300,MATCH(data!BJ$1,Haver_M!$B$1:$BZ$1,0),FALSE)),VLOOKUP($A127,Haver_M!$B$1:$BZ$300,MATCH(data!BJ$1,Haver_M!$B$1:$BZ$1,0),FALSE),"")</f>
        <v/>
      </c>
      <c r="BK127">
        <f>IF(ISNUMBER(VLOOKUP($A127,Haver_M!$B$1:$BZ$300,MATCH(data!BK$1,Haver_M!$B$1:$BZ$1,0),FALSE)),VLOOKUP($A127,Haver_M!$B$1:$BZ$300,MATCH(data!BK$1,Haver_M!$B$1:$BZ$1,0),FALSE),"")</f>
        <v>53.167499999999997</v>
      </c>
      <c r="BL127">
        <f>IF(ISNUMBER(VLOOKUP($A127,Haver_M!$B$1:$BZ$300,MATCH(data!BL$1,Haver_M!$B$1:$BZ$1,0),FALSE)),VLOOKUP($A127,Haver_M!$B$1:$BZ$300,MATCH(data!BL$1,Haver_M!$B$1:$BZ$1,0),FALSE),"")</f>
        <v>17299.75</v>
      </c>
      <c r="BM127">
        <f>IF(ISNUMBER(VLOOKUP($A127,Haver_M!$B$1:$BZ$300,MATCH(data!BM$1,Haver_M!$B$1:$BZ$1,0),FALSE)),VLOOKUP($A127,Haver_M!$B$1:$BZ$300,MATCH(data!BM$1,Haver_M!$B$1:$BZ$1,0),FALSE),"")</f>
        <v>109.33317049999999</v>
      </c>
      <c r="BN127">
        <f>IF(ISNUMBER(VLOOKUP($A127,Haver_M!$B$1:$BZ$300,MATCH(data!BN$1,Haver_M!$B$1:$BZ$1,0),FALSE)),VLOOKUP($A127,Haver_M!$B$1:$BZ$300,MATCH(data!BN$1,Haver_M!$B$1:$BZ$1,0),FALSE),"")</f>
        <v>115.9</v>
      </c>
      <c r="BO127">
        <f>IF(ISNUMBER(VLOOKUP($A127,Haver_M!$B$1:$BZ$300,MATCH(data!BO$1,Haver_M!$B$1:$BZ$1,0),FALSE)),VLOOKUP($A127,Haver_M!$B$1:$BZ$300,MATCH(data!BO$1,Haver_M!$B$1:$BZ$1,0),FALSE),"")</f>
        <v>119.8</v>
      </c>
      <c r="BP127">
        <f>IF(ISNUMBER(VLOOKUP($A127,Haver_M!$B$1:$BZ$300,MATCH(data!BP$1,Haver_M!$B$1:$BZ$1,0),FALSE)),VLOOKUP($A127,Haver_M!$B$1:$BZ$300,MATCH(data!BP$1,Haver_M!$B$1:$BZ$1,0),FALSE),"")</f>
        <v>41.2</v>
      </c>
      <c r="BQ127">
        <f>IF(ISNUMBER(VLOOKUP($A127,Haver_M!$B$1:$BZ$300,MATCH(data!BQ$1,Haver_M!$B$1:$BZ$1,0),FALSE)),VLOOKUP($A127,Haver_M!$B$1:$BZ$300,MATCH(data!BQ$1,Haver_M!$B$1:$BZ$1,0),FALSE),"")</f>
        <v>127.3218868451288</v>
      </c>
      <c r="BR127">
        <f>IF(ISNUMBER(VLOOKUP($A127,Haver_M!$B$1:$BZ$300,MATCH(data!BR$1,Haver_M!$B$1:$BZ$1,0),FALSE)),VLOOKUP($A127,Haver_M!$B$1:$BZ$300,MATCH(data!BR$1,Haver_M!$B$1:$BZ$1,0),FALSE),"")</f>
        <v>293.54207604505575</v>
      </c>
      <c r="BS127">
        <f>IF(ISNUMBER(VLOOKUP($A127,Haver_M!$B$1:$BZ$300,MATCH(data!BS$1,Haver_M!$B$1:$BZ$1,0),FALSE)),VLOOKUP($A127,Haver_M!$B$1:$BZ$300,MATCH(data!BS$1,Haver_M!$B$1:$BZ$1,0),FALSE),"")</f>
        <v>158.54631747361188</v>
      </c>
      <c r="BT127">
        <f>IF(ISNUMBER(VLOOKUP($A127,Haver_M!$B$1:$BZ$300,MATCH(data!BT$1,Haver_M!$B$1:$BZ$1,0),FALSE)),VLOOKUP($A127,Haver_M!$B$1:$BZ$300,MATCH(data!BT$1,Haver_M!$B$1:$BZ$1,0),FALSE),"")</f>
        <v>665.78981842390658</v>
      </c>
      <c r="BU127">
        <f>IF(ISNUMBER(VLOOKUP($A127,Haver_M!$B$1:$BZ$300,MATCH(data!BU$1,Haver_M!$B$1:$BZ$1,0),FALSE)),VLOOKUP($A127,Haver_M!$B$1:$BZ$300,MATCH(data!BU$1,Haver_M!$B$1:$BZ$1,0),FALSE),"")</f>
        <v>20667.099999999999</v>
      </c>
      <c r="BV127">
        <f>IF(ISNUMBER(VLOOKUP($A127,Haver_M!$B$1:$BZ$300,MATCH(data!BV$1,Haver_M!$B$1:$BZ$1,0),FALSE)),VLOOKUP($A127,Haver_M!$B$1:$BZ$300,MATCH(data!BV$1,Haver_M!$B$1:$BZ$1,0),FALSE),"")</f>
        <v>28648.6</v>
      </c>
      <c r="BW127">
        <f>IF(ISNUMBER(VLOOKUP($A127,Haver_M!$B$1:$BZ$300,MATCH(data!BW$1,Haver_M!$B$1:$BZ$1,0),FALSE)),VLOOKUP($A127,Haver_M!$B$1:$BZ$300,MATCH(data!BW$1,Haver_M!$B$1:$BZ$1,0),FALSE),"")</f>
        <v>46.564500000000002</v>
      </c>
      <c r="BX127">
        <f>IF(ISNUMBER(VLOOKUP($A127,Haver_M!$B$1:$BZ$300,MATCH(data!BX$1,Haver_M!$B$1:$BZ$1,0),FALSE)),VLOOKUP($A127,Haver_M!$B$1:$BZ$300,MATCH(data!BX$1,Haver_M!$B$1:$BZ$1,0),FALSE),"")</f>
        <v>58288</v>
      </c>
    </row>
    <row r="128" spans="1:76" x14ac:dyDescent="0.25">
      <c r="A128" s="2">
        <v>40390</v>
      </c>
      <c r="B128" t="str">
        <f>IF(ISNUMBER(VLOOKUP($A128,Haver_Q!$B$1:$L$185,MATCH(data!B$1,Haver_Q!$B$1:$L$1,0),FALSE)),100*(VLOOKUP($A128,Haver_Q!$B$1:$L$185,MATCH(data!B$1,Haver_Q!$B$1:$L$1,0),FALSE)),"")</f>
        <v/>
      </c>
      <c r="C128" t="str">
        <f>IF(ISNUMBER(VLOOKUP($A128,Haver_Q!$B$1:$L$185,MATCH(data!C$1,Haver_Q!$B$1:$L$1,0),FALSE)),100*(VLOOKUP($A128,Haver_Q!$B$1:$L$185,MATCH(data!C$1,Haver_Q!$B$1:$L$1,0),FALSE)),"")</f>
        <v/>
      </c>
      <c r="D128" t="str">
        <f>IF(ISNUMBER(VLOOKUP($A128,Haver_Q!$B$1:$L$185,MATCH(data!D$1,Haver_Q!$B$1:$L$1,0),FALSE)),100*(VLOOKUP($A128,Haver_Q!$B$1:$L$185,MATCH(data!D$1,Haver_Q!$B$1:$L$1,0),FALSE)),"")</f>
        <v/>
      </c>
      <c r="E128" t="str">
        <f>IF(ISNUMBER(VLOOKUP($A128,Haver_Q!$B$1:$L$185,MATCH(data!E$1,Haver_Q!$B$1:$L$1,0),FALSE)),100*(VLOOKUP($A128,Haver_Q!$B$1:$L$185,MATCH(data!E$1,Haver_Q!$B$1:$L$1,0),FALSE)),"")</f>
        <v/>
      </c>
      <c r="F128" t="str">
        <f>IF(ISNUMBER(VLOOKUP($A128,Haver_Q!$B$1:$L$185,MATCH(data!F$1,Haver_Q!$B$1:$L$1,0),FALSE)),100*(VLOOKUP($A128,Haver_Q!$B$1:$L$185,MATCH(data!F$1,Haver_Q!$B$1:$L$1,0),FALSE)),"")</f>
        <v/>
      </c>
      <c r="G128" t="str">
        <f>IF(ISNUMBER(VLOOKUP($A128,Haver_Q!$B$1:$L$185,MATCH(data!G$1,Haver_Q!$B$1:$L$1,0),FALSE)),100*(VLOOKUP($A128,Haver_Q!$B$1:$L$185,MATCH(data!G$1,Haver_Q!$B$1:$L$1,0),FALSE)),"")</f>
        <v/>
      </c>
      <c r="H128" t="str">
        <f>IF(ISNUMBER(VLOOKUP($A128,Haver_Q!$B$1:$L$185,MATCH(data!H$1,Haver_Q!$B$1:$L$1,0),FALSE)),(VLOOKUP($A128,Haver_Q!$B$1:$L$185,MATCH(data!H$1,Haver_Q!$B$1:$L$1,0),FALSE)),"")</f>
        <v/>
      </c>
      <c r="I128" t="str">
        <f>IF(ISNUMBER(VLOOKUP($A128,Haver_Q!$B$1:$L$185,MATCH(data!I$1,Haver_Q!$B$1:$L$1,0),FALSE)),100*(VLOOKUP($A128,Haver_Q!$B$1:$L$185,MATCH(data!I$1,Haver_Q!$B$1:$L$1,0),FALSE)),"")</f>
        <v/>
      </c>
      <c r="J128" s="3">
        <f>IF(ISNUMBER(Bloomberg_m!C144),Bloomberg_m!C144,"")</f>
        <v>1910</v>
      </c>
      <c r="K128" s="3" t="str">
        <f>IF(ISNUMBER(Bloomberg_m!D144),Bloomberg_m!D144,"")</f>
        <v/>
      </c>
      <c r="L128" s="3" t="str">
        <f>IF(ISNUMBER(Bloomberg_m!E144),Bloomberg_m!E144,"")</f>
        <v/>
      </c>
      <c r="M128" s="3">
        <f>IF(ISNUMBER(Bloomberg_m!F144),Bloomberg_m!F144,"")</f>
        <v>517.17999999999995</v>
      </c>
      <c r="N128">
        <f>IF(ISNUMBER(VLOOKUP($A128,Haver_M!$B$1:$BZ$300,MATCH(data!N$1,Haver_M!$B$1:$BZ$1,0),FALSE)),VLOOKUP($A128,Haver_M!$B$1:$BZ$300,MATCH(data!N$1,Haver_M!$B$1:$BZ$1,0),FALSE),"")</f>
        <v>5.75</v>
      </c>
      <c r="O128">
        <f>IF(ISNUMBER(VLOOKUP($A128,Haver_M!$B$1:$BZ$300,MATCH(data!O$1,Haver_M!$B$1:$BZ$1,0),FALSE)),VLOOKUP($A128,Haver_M!$B$1:$BZ$300,MATCH(data!O$1,Haver_M!$B$1:$BZ$1,0),FALSE),"")</f>
        <v>7.8285999999999998</v>
      </c>
      <c r="P128">
        <f>IF(ISNUMBER(VLOOKUP($A128,Haver_M!$B$1:$BZ$300,MATCH(data!P$1,Haver_M!$B$1:$BZ$1,0),FALSE)),VLOOKUP($A128,Haver_M!$B$1:$BZ$300,MATCH(data!P$1,Haver_M!$B$1:$BZ$1,0),FALSE),"")</f>
        <v>99.760260000000002</v>
      </c>
      <c r="Q128">
        <f>IF(ISNUMBER(VLOOKUP($A128,Haver_M!$B$1:$BZ$300,MATCH(data!Q$1,Haver_M!$B$1:$BZ$1,0),FALSE)),VLOOKUP($A128,Haver_M!$B$1:$BZ$300,MATCH(data!Q$1,Haver_M!$B$1:$BZ$1,0),FALSE),"")</f>
        <v>85.6</v>
      </c>
      <c r="R128" t="str">
        <f>IF(ISNUMBER(VLOOKUP($A128,Haver_M!$B$1:$BZ$300,MATCH(data!R$1,Haver_M!$B$1:$BZ$1,0),FALSE)),VLOOKUP($A128,Haver_M!$B$1:$BZ$300,MATCH(data!R$1,Haver_M!$B$1:$BZ$1,0),FALSE),"")</f>
        <v/>
      </c>
      <c r="S128">
        <f>IF(ISNUMBER(VLOOKUP($A128,Haver_M!$B$1:$BZ$300,MATCH(data!S$1,Haver_M!$B$1:$BZ$1,0),FALSE)),VLOOKUP($A128,Haver_M!$B$1:$BZ$300,MATCH(data!S$1,Haver_M!$B$1:$BZ$1,0),FALSE),"")</f>
        <v>99.3</v>
      </c>
      <c r="T128">
        <f>IF(ISNUMBER(VLOOKUP($A128,Haver_M!$B$1:$BZ$300,MATCH(data!T$1,Haver_M!$B$1:$BZ$1,0),FALSE)),VLOOKUP($A128,Haver_M!$B$1:$BZ$300,MATCH(data!T$1,Haver_M!$B$1:$BZ$1,0),FALSE),"")</f>
        <v>91.76</v>
      </c>
      <c r="U128">
        <f>IF(ISNUMBER(VLOOKUP($A128,Haver_M!$B$1:$BZ$300,MATCH(data!U$1,Haver_M!$B$1:$BZ$1,0),FALSE)),VLOOKUP($A128,Haver_M!$B$1:$BZ$300,MATCH(data!U$1,Haver_M!$B$1:$BZ$1,0),FALSE),"")</f>
        <v>134.34</v>
      </c>
      <c r="V128">
        <f>IF(ISNUMBER(VLOOKUP($A128,Haver_M!$B$1:$BZ$300,MATCH(data!V$1,Haver_M!$B$1:$BZ$1,0),FALSE)),VLOOKUP($A128,Haver_M!$B$1:$BZ$300,MATCH(data!V$1,Haver_M!$B$1:$BZ$1,0),FALSE),"")</f>
        <v>104.68</v>
      </c>
      <c r="W128" t="str">
        <f>IF(ISNUMBER(VLOOKUP($A128,Haver_M!$B$1:$BZ$300,MATCH(data!W$1,Haver_M!$B$1:$BZ$1,0),FALSE)),VLOOKUP($A128,Haver_M!$B$1:$BZ$300,MATCH(data!W$1,Haver_M!$B$1:$BZ$1,0),FALSE),"")</f>
        <v/>
      </c>
      <c r="X128">
        <f>IF(ISNUMBER(VLOOKUP($A128,Haver_M!$B$1:$BZ$300,MATCH(data!X$1,Haver_M!$B$1:$BZ$1,0),FALSE)),VLOOKUP($A128,Haver_M!$B$1:$BZ$300,MATCH(data!X$1,Haver_M!$B$1:$BZ$1,0),FALSE),"")</f>
        <v>92.44</v>
      </c>
      <c r="Y128">
        <f>IF(ISNUMBER(VLOOKUP($A128,Haver_M!$B$1:$BZ$300,MATCH(data!Y$1,Haver_M!$B$1:$BZ$1,0),FALSE)),VLOOKUP($A128,Haver_M!$B$1:$BZ$300,MATCH(data!Y$1,Haver_M!$B$1:$BZ$1,0),FALSE),"")</f>
        <v>91.18</v>
      </c>
      <c r="Z128">
        <f>IF(ISNUMBER(VLOOKUP($A128,Haver_M!$B$1:$BZ$300,MATCH(data!Z$1,Haver_M!$B$1:$BZ$1,0),FALSE)),VLOOKUP($A128,Haver_M!$B$1:$BZ$300,MATCH(data!Z$1,Haver_M!$B$1:$BZ$1,0),FALSE),"")</f>
        <v>93.9</v>
      </c>
      <c r="AA128">
        <f>IF(ISNUMBER(VLOOKUP($A128,Haver_M!$B$1:$BZ$300,MATCH(data!AA$1,Haver_M!$B$1:$BZ$1,0),FALSE)),VLOOKUP($A128,Haver_M!$B$1:$BZ$300,MATCH(data!AA$1,Haver_M!$B$1:$BZ$1,0),FALSE),"")</f>
        <v>102.458</v>
      </c>
      <c r="AB128">
        <f>IF(ISNUMBER(VLOOKUP($A128,Haver_M!$B$1:$BZ$300,MATCH(data!AB$1,Haver_M!$B$1:$BZ$1,0),FALSE)),VLOOKUP($A128,Haver_M!$B$1:$BZ$300,MATCH(data!AB$1,Haver_M!$B$1:$BZ$1,0),FALSE),"")</f>
        <v>100.768</v>
      </c>
      <c r="AC128">
        <f>IF(ISNUMBER(VLOOKUP($A128,Haver_M!$B$1:$BZ$300,MATCH(data!AC$1,Haver_M!$B$1:$BZ$1,0),FALSE)),VLOOKUP($A128,Haver_M!$B$1:$BZ$300,MATCH(data!AC$1,Haver_M!$B$1:$BZ$1,0),FALSE),"")</f>
        <v>113.46899999999999</v>
      </c>
      <c r="AD128">
        <f>IF(ISNUMBER(VLOOKUP($A128,Haver_M!$B$1:$BZ$300,MATCH(data!AD$1,Haver_M!$B$1:$BZ$1,0),FALSE)),VLOOKUP($A128,Haver_M!$B$1:$BZ$300,MATCH(data!AD$1,Haver_M!$B$1:$BZ$1,0),FALSE),"")</f>
        <v>99.037999999999997</v>
      </c>
      <c r="AE128">
        <f>IF(ISNUMBER(VLOOKUP($A128,Haver_M!$B$1:$BZ$300,MATCH(data!AE$1,Haver_M!$B$1:$BZ$1,0),FALSE)),VLOOKUP($A128,Haver_M!$B$1:$BZ$300,MATCH(data!AE$1,Haver_M!$B$1:$BZ$1,0),FALSE),"")</f>
        <v>97.864999999999995</v>
      </c>
      <c r="AF128">
        <f>IF(ISNUMBER(VLOOKUP($A128,Haver_M!$B$1:$BZ$300,MATCH(data!AF$1,Haver_M!$B$1:$BZ$1,0),FALSE)),VLOOKUP($A128,Haver_M!$B$1:$BZ$300,MATCH(data!AF$1,Haver_M!$B$1:$BZ$1,0),FALSE),"")</f>
        <v>84.944000000000003</v>
      </c>
      <c r="AG128">
        <f>IF(ISNUMBER(VLOOKUP($A128,Haver_M!$B$1:$BZ$300,MATCH(data!AG$1,Haver_M!$B$1:$BZ$1,0),FALSE)),VLOOKUP($A128,Haver_M!$B$1:$BZ$300,MATCH(data!AG$1,Haver_M!$B$1:$BZ$1,0),FALSE),"")</f>
        <v>88.191999999999993</v>
      </c>
      <c r="AH128">
        <f>IF(ISNUMBER(VLOOKUP($A128,Haver_M!$B$1:$BZ$300,MATCH(data!AH$1,Haver_M!$B$1:$BZ$1,0),FALSE)),VLOOKUP($A128,Haver_M!$B$1:$BZ$300,MATCH(data!AH$1,Haver_M!$B$1:$BZ$1,0),FALSE),"")</f>
        <v>89.224000000000004</v>
      </c>
      <c r="AI128">
        <f>IF(ISNUMBER(VLOOKUP($A128,Haver_M!$B$1:$BZ$300,MATCH(data!AI$1,Haver_M!$B$1:$BZ$1,0),FALSE)),VLOOKUP($A128,Haver_M!$B$1:$BZ$300,MATCH(data!AI$1,Haver_M!$B$1:$BZ$1,0),FALSE),"")</f>
        <v>11797.434833796395</v>
      </c>
      <c r="AJ128">
        <f>IF(ISNUMBER(VLOOKUP($A128,Haver_M!$B$1:$BZ$300,MATCH(data!AJ$1,Haver_M!$B$1:$BZ$1,0),FALSE)),VLOOKUP($A128,Haver_M!$B$1:$BZ$300,MATCH(data!AJ$1,Haver_M!$B$1:$BZ$1,0),FALSE),"")</f>
        <v>16598.310000000001</v>
      </c>
      <c r="AK128">
        <f>IF(ISNUMBER(VLOOKUP($A128,Haver_M!$B$1:$BZ$300,MATCH(data!AK$1,Haver_M!$B$1:$BZ$1,0),FALSE)),VLOOKUP($A128,Haver_M!$B$1:$BZ$300,MATCH(data!AK$1,Haver_M!$B$1:$BZ$1,0),FALSE),"")</f>
        <v>28274.46</v>
      </c>
      <c r="AL128" t="str">
        <f>IF(ISNUMBER(VLOOKUP($A128,Haver_M!$B$1:$BZ$300,MATCH(data!AL$1,Haver_M!$B$1:$BZ$1,0),FALSE)),VLOOKUP($A128,Haver_M!$B$1:$BZ$300,MATCH(data!AL$1,Haver_M!$B$1:$BZ$1,0),FALSE),"")</f>
        <v/>
      </c>
      <c r="AM128" t="str">
        <f>IF(ISNUMBER(VLOOKUP($A128,Haver_M!$B$1:$BZ$300,MATCH(data!AM$1,Haver_M!$B$1:$BZ$1,0),FALSE)),VLOOKUP($A128,Haver_M!$B$1:$BZ$300,MATCH(data!AM$1,Haver_M!$B$1:$BZ$1,0),FALSE),"")</f>
        <v/>
      </c>
      <c r="AN128" t="str">
        <f>IF(ISNUMBER(VLOOKUP($A128,Haver_M!$B$1:$BZ$300,MATCH(data!AN$1,Haver_M!$B$1:$BZ$1,0),FALSE)),VLOOKUP($A128,Haver_M!$B$1:$BZ$300,MATCH(data!AN$1,Haver_M!$B$1:$BZ$1,0),FALSE),"")</f>
        <v/>
      </c>
      <c r="AO128" t="str">
        <f>IF(ISNUMBER(VLOOKUP($A128,Haver_M!$B$1:$BZ$300,MATCH(data!AO$1,Haver_M!$B$1:$BZ$1,0),FALSE)),VLOOKUP($A128,Haver_M!$B$1:$BZ$300,MATCH(data!AO$1,Haver_M!$B$1:$BZ$1,0),FALSE),"")</f>
        <v/>
      </c>
      <c r="AP128">
        <f>IF(ISNUMBER(VLOOKUP($A128,Haver_M!$B$1:$BZ$300,MATCH(data!AP$1,Haver_M!$B$1:$BZ$1,0),FALSE)),VLOOKUP($A128,Haver_M!$B$1:$BZ$300,MATCH(data!AP$1,Haver_M!$B$1:$BZ$1,0),FALSE),"")</f>
        <v>95.410785808821544</v>
      </c>
      <c r="AQ128">
        <f>IF(ISNUMBER(VLOOKUP($A128,Haver_M!$B$1:$BZ$300,MATCH(data!AQ$1,Haver_M!$B$1:$BZ$1,0),FALSE)),VLOOKUP($A128,Haver_M!$B$1:$BZ$300,MATCH(data!AQ$1,Haver_M!$B$1:$BZ$1,0),FALSE),"")</f>
        <v>61.896000000000001</v>
      </c>
      <c r="AR128">
        <f>IF(ISNUMBER(VLOOKUP($A128,Haver_M!$B$1:$BZ$300,MATCH(data!AR$1,Haver_M!$B$1:$BZ$1,0),FALSE)),VLOOKUP($A128,Haver_M!$B$1:$BZ$300,MATCH(data!AR$1,Haver_M!$B$1:$BZ$1,0),FALSE),"")</f>
        <v>57.594499999999996</v>
      </c>
      <c r="AS128">
        <f>IF(ISNUMBER(VLOOKUP($A128,Haver_M!$B$1:$BZ$300,MATCH(data!AS$1,Haver_M!$B$1:$BZ$1,0),FALSE)),VLOOKUP($A128,Haver_M!$B$1:$BZ$300,MATCH(data!AS$1,Haver_M!$B$1:$BZ$1,0),FALSE),"")</f>
        <v>61.718800000000002</v>
      </c>
      <c r="AT128">
        <f>IF(ISNUMBER(VLOOKUP($A128,Haver_M!$B$1:$BZ$300,MATCH(data!AT$1,Haver_M!$B$1:$BZ$1,0),FALSE)),VLOOKUP($A128,Haver_M!$B$1:$BZ$300,MATCH(data!AT$1,Haver_M!$B$1:$BZ$1,0),FALSE),"")</f>
        <v>62.263800000000003</v>
      </c>
      <c r="AU128">
        <f>IF(ISNUMBER(VLOOKUP($A128,Haver_M!$B$1:$BZ$300,MATCH(data!AU$1,Haver_M!$B$1:$BZ$1,0),FALSE)),VLOOKUP($A128,Haver_M!$B$1:$BZ$300,MATCH(data!AU$1,Haver_M!$B$1:$BZ$1,0),FALSE),"")</f>
        <v>62.816000000000003</v>
      </c>
      <c r="AV128">
        <f>IF(ISNUMBER(VLOOKUP($A128,Haver_M!$B$1:$BZ$300,MATCH(data!AV$1,Haver_M!$B$1:$BZ$1,0),FALSE)),VLOOKUP($A128,Haver_M!$B$1:$BZ$300,MATCH(data!AV$1,Haver_M!$B$1:$BZ$1,0),FALSE),"")</f>
        <v>49.867100000000001</v>
      </c>
      <c r="AW128">
        <f>IF(ISNUMBER(VLOOKUP($A128,Haver_M!$B$1:$BZ$300,MATCH(data!AW$1,Haver_M!$B$1:$BZ$1,0),FALSE)),VLOOKUP($A128,Haver_M!$B$1:$BZ$300,MATCH(data!AW$1,Haver_M!$B$1:$BZ$1,0),FALSE),"")</f>
        <v>49.656599999999997</v>
      </c>
      <c r="AX128">
        <f>IF(ISNUMBER(VLOOKUP($A128,Haver_M!$B$1:$BZ$300,MATCH(data!AX$1,Haver_M!$B$1:$BZ$1,0),FALSE)),VLOOKUP($A128,Haver_M!$B$1:$BZ$300,MATCH(data!AX$1,Haver_M!$B$1:$BZ$1,0),FALSE),"")</f>
        <v>56.588000000000001</v>
      </c>
      <c r="AY128">
        <f>IF(ISNUMBER(VLOOKUP($A128,Haver_M!$B$1:$BZ$300,MATCH(data!AY$1,Haver_M!$B$1:$BZ$1,0),FALSE)),VLOOKUP($A128,Haver_M!$B$1:$BZ$300,MATCH(data!AY$1,Haver_M!$B$1:$BZ$1,0),FALSE),"")</f>
        <v>54.548000000000002</v>
      </c>
      <c r="AZ128">
        <f>IF(ISNUMBER(VLOOKUP($A128,Haver_M!$B$1:$BZ$300,MATCH(data!AZ$1,Haver_M!$B$1:$BZ$1,0),FALSE)),VLOOKUP($A128,Haver_M!$B$1:$BZ$300,MATCH(data!AZ$1,Haver_M!$B$1:$BZ$1,0),FALSE),"")</f>
        <v>60.071599999999997</v>
      </c>
      <c r="BA128">
        <f>IF(ISNUMBER(VLOOKUP($A128,Haver_M!$B$1:$BZ$300,MATCH(data!BA$1,Haver_M!$B$1:$BZ$1,0),FALSE)),VLOOKUP($A128,Haver_M!$B$1:$BZ$300,MATCH(data!BA$1,Haver_M!$B$1:$BZ$1,0),FALSE),"")</f>
        <v>56.588000000000001</v>
      </c>
      <c r="BB128">
        <f>IF(ISNUMBER(VLOOKUP($A128,Haver_M!$B$1:$BZ$300,MATCH(data!BB$1,Haver_M!$B$1:$BZ$1,0),FALSE)),VLOOKUP($A128,Haver_M!$B$1:$BZ$300,MATCH(data!BB$1,Haver_M!$B$1:$BZ$1,0),FALSE),"")</f>
        <v>57.387099999999997</v>
      </c>
      <c r="BC128">
        <f>IF(ISNUMBER(VLOOKUP($A128,Haver_M!$B$1:$BZ$300,MATCH(data!BC$1,Haver_M!$B$1:$BZ$1,0),FALSE)),VLOOKUP($A128,Haver_M!$B$1:$BZ$300,MATCH(data!BC$1,Haver_M!$B$1:$BZ$1,0),FALSE),"")</f>
        <v>52.770499999999998</v>
      </c>
      <c r="BD128">
        <f>IF(ISNUMBER(VLOOKUP($A128,Haver_M!$B$1:$BZ$300,MATCH(data!BD$1,Haver_M!$B$1:$BZ$1,0),FALSE)),VLOOKUP($A128,Haver_M!$B$1:$BZ$300,MATCH(data!BD$1,Haver_M!$B$1:$BZ$1,0),FALSE),"")</f>
        <v>52.336100000000002</v>
      </c>
      <c r="BE128">
        <f>IF(ISNUMBER(VLOOKUP($A128,Haver_M!$B$1:$BZ$300,MATCH(data!BE$1,Haver_M!$B$1:$BZ$1,0),FALSE)),VLOOKUP($A128,Haver_M!$B$1:$BZ$300,MATCH(data!BE$1,Haver_M!$B$1:$BZ$1,0),FALSE),"")</f>
        <v>1.2435</v>
      </c>
      <c r="BF128">
        <f>IF(ISNUMBER(VLOOKUP($A128,Haver_M!$B$1:$BZ$300,MATCH(data!BF$1,Haver_M!$B$1:$BZ$1,0),FALSE)),VLOOKUP($A128,Haver_M!$B$1:$BZ$300,MATCH(data!BF$1,Haver_M!$B$1:$BZ$1,0),FALSE),"")</f>
        <v>51.9497</v>
      </c>
      <c r="BG128">
        <f>IF(ISNUMBER(VLOOKUP($A128,Haver_M!$B$1:$BZ$300,MATCH(data!BG$1,Haver_M!$B$1:$BZ$1,0),FALSE)),VLOOKUP($A128,Haver_M!$B$1:$BZ$300,MATCH(data!BG$1,Haver_M!$B$1:$BZ$1,0),FALSE),"")</f>
        <v>53.142699999999998</v>
      </c>
      <c r="BH128">
        <f>IF(ISNUMBER(VLOOKUP($A128,Haver_M!$B$1:$BZ$300,MATCH(data!BH$1,Haver_M!$B$1:$BZ$1,0),FALSE)),VLOOKUP($A128,Haver_M!$B$1:$BZ$300,MATCH(data!BH$1,Haver_M!$B$1:$BZ$1,0),FALSE),"")</f>
        <v>58.124299999999998</v>
      </c>
      <c r="BI128">
        <f>IF(ISNUMBER(VLOOKUP($A128,Haver_M!$B$1:$BZ$300,MATCH(data!BI$1,Haver_M!$B$1:$BZ$1,0),FALSE)),VLOOKUP($A128,Haver_M!$B$1:$BZ$300,MATCH(data!BI$1,Haver_M!$B$1:$BZ$1,0),FALSE),"")</f>
        <v>58.542299999999997</v>
      </c>
      <c r="BJ128" t="str">
        <f>IF(ISNUMBER(VLOOKUP($A128,Haver_M!$B$1:$BZ$300,MATCH(data!BJ$1,Haver_M!$B$1:$BZ$1,0),FALSE)),VLOOKUP($A128,Haver_M!$B$1:$BZ$300,MATCH(data!BJ$1,Haver_M!$B$1:$BZ$1,0),FALSE),"")</f>
        <v/>
      </c>
      <c r="BK128">
        <f>IF(ISNUMBER(VLOOKUP($A128,Haver_M!$B$1:$BZ$300,MATCH(data!BK$1,Haver_M!$B$1:$BZ$1,0),FALSE)),VLOOKUP($A128,Haver_M!$B$1:$BZ$300,MATCH(data!BK$1,Haver_M!$B$1:$BZ$1,0),FALSE),"")</f>
        <v>51.231299999999997</v>
      </c>
      <c r="BL128">
        <f>IF(ISNUMBER(VLOOKUP($A128,Haver_M!$B$1:$BZ$300,MATCH(data!BL$1,Haver_M!$B$1:$BZ$1,0),FALSE)),VLOOKUP($A128,Haver_M!$B$1:$BZ$300,MATCH(data!BL$1,Haver_M!$B$1:$BZ$1,0),FALSE),"")</f>
        <v>17847.830000000002</v>
      </c>
      <c r="BM128">
        <f>IF(ISNUMBER(VLOOKUP($A128,Haver_M!$B$1:$BZ$300,MATCH(data!BM$1,Haver_M!$B$1:$BZ$1,0),FALSE)),VLOOKUP($A128,Haver_M!$B$1:$BZ$300,MATCH(data!BM$1,Haver_M!$B$1:$BZ$1,0),FALSE),"")</f>
        <v>110.68954975</v>
      </c>
      <c r="BN128" t="str">
        <f>IF(ISNUMBER(VLOOKUP($A128,Haver_M!$B$1:$BZ$300,MATCH(data!BN$1,Haver_M!$B$1:$BZ$1,0),FALSE)),VLOOKUP($A128,Haver_M!$B$1:$BZ$300,MATCH(data!BN$1,Haver_M!$B$1:$BZ$1,0),FALSE),"")</f>
        <v/>
      </c>
      <c r="BO128" t="str">
        <f>IF(ISNUMBER(VLOOKUP($A128,Haver_M!$B$1:$BZ$300,MATCH(data!BO$1,Haver_M!$B$1:$BZ$1,0),FALSE)),VLOOKUP($A128,Haver_M!$B$1:$BZ$300,MATCH(data!BO$1,Haver_M!$B$1:$BZ$1,0),FALSE),"")</f>
        <v/>
      </c>
      <c r="BP128" t="str">
        <f>IF(ISNUMBER(VLOOKUP($A128,Haver_M!$B$1:$BZ$300,MATCH(data!BP$1,Haver_M!$B$1:$BZ$1,0),FALSE)),VLOOKUP($A128,Haver_M!$B$1:$BZ$300,MATCH(data!BP$1,Haver_M!$B$1:$BZ$1,0),FALSE),"")</f>
        <v/>
      </c>
      <c r="BQ128">
        <f>IF(ISNUMBER(VLOOKUP($A128,Haver_M!$B$1:$BZ$300,MATCH(data!BQ$1,Haver_M!$B$1:$BZ$1,0),FALSE)),VLOOKUP($A128,Haver_M!$B$1:$BZ$300,MATCH(data!BQ$1,Haver_M!$B$1:$BZ$1,0),FALSE),"")</f>
        <v>129.6034708047587</v>
      </c>
      <c r="BR128">
        <f>IF(ISNUMBER(VLOOKUP($A128,Haver_M!$B$1:$BZ$300,MATCH(data!BR$1,Haver_M!$B$1:$BZ$1,0),FALSE)),VLOOKUP($A128,Haver_M!$B$1:$BZ$300,MATCH(data!BR$1,Haver_M!$B$1:$BZ$1,0),FALSE),"")</f>
        <v>295.89998377330454</v>
      </c>
      <c r="BS128">
        <f>IF(ISNUMBER(VLOOKUP($A128,Haver_M!$B$1:$BZ$300,MATCH(data!BS$1,Haver_M!$B$1:$BZ$1,0),FALSE)),VLOOKUP($A128,Haver_M!$B$1:$BZ$300,MATCH(data!BS$1,Haver_M!$B$1:$BZ$1,0),FALSE),"")</f>
        <v>159.31860689549154</v>
      </c>
      <c r="BT128">
        <f>IF(ISNUMBER(VLOOKUP($A128,Haver_M!$B$1:$BZ$300,MATCH(data!BT$1,Haver_M!$B$1:$BZ$1,0),FALSE)),VLOOKUP($A128,Haver_M!$B$1:$BZ$300,MATCH(data!BT$1,Haver_M!$B$1:$BZ$1,0),FALSE),"")</f>
        <v>669.45580787592564</v>
      </c>
      <c r="BU128">
        <f>IF(ISNUMBER(VLOOKUP($A128,Haver_M!$B$1:$BZ$300,MATCH(data!BU$1,Haver_M!$B$1:$BZ$1,0),FALSE)),VLOOKUP($A128,Haver_M!$B$1:$BZ$300,MATCH(data!BU$1,Haver_M!$B$1:$BZ$1,0),FALSE),"")</f>
        <v>16954.5</v>
      </c>
      <c r="BV128">
        <f>IF(ISNUMBER(VLOOKUP($A128,Haver_M!$B$1:$BZ$300,MATCH(data!BV$1,Haver_M!$B$1:$BZ$1,0),FALSE)),VLOOKUP($A128,Haver_M!$B$1:$BZ$300,MATCH(data!BV$1,Haver_M!$B$1:$BZ$1,0),FALSE),"")</f>
        <v>29669.9</v>
      </c>
      <c r="BW128">
        <f>IF(ISNUMBER(VLOOKUP($A128,Haver_M!$B$1:$BZ$300,MATCH(data!BW$1,Haver_M!$B$1:$BZ$1,0),FALSE)),VLOOKUP($A128,Haver_M!$B$1:$BZ$300,MATCH(data!BW$1,Haver_M!$B$1:$BZ$1,0),FALSE),"")</f>
        <v>46.836399999999998</v>
      </c>
      <c r="BX128">
        <f>IF(ISNUMBER(VLOOKUP($A128,Haver_M!$B$1:$BZ$300,MATCH(data!BX$1,Haver_M!$B$1:$BZ$1,0),FALSE)),VLOOKUP($A128,Haver_M!$B$1:$BZ$300,MATCH(data!BX$1,Haver_M!$B$1:$BZ$1,0),FALSE),"")</f>
        <v>55358</v>
      </c>
    </row>
    <row r="129" spans="1:76" x14ac:dyDescent="0.25">
      <c r="A129" s="2">
        <v>40421</v>
      </c>
      <c r="B129" t="str">
        <f>IF(ISNUMBER(VLOOKUP($A129,Haver_Q!$B$1:$L$185,MATCH(data!B$1,Haver_Q!$B$1:$L$1,0),FALSE)),100*(VLOOKUP($A129,Haver_Q!$B$1:$L$185,MATCH(data!B$1,Haver_Q!$B$1:$L$1,0),FALSE)),"")</f>
        <v/>
      </c>
      <c r="C129" t="str">
        <f>IF(ISNUMBER(VLOOKUP($A129,Haver_Q!$B$1:$L$185,MATCH(data!C$1,Haver_Q!$B$1:$L$1,0),FALSE)),100*(VLOOKUP($A129,Haver_Q!$B$1:$L$185,MATCH(data!C$1,Haver_Q!$B$1:$L$1,0),FALSE)),"")</f>
        <v/>
      </c>
      <c r="D129" t="str">
        <f>IF(ISNUMBER(VLOOKUP($A129,Haver_Q!$B$1:$L$185,MATCH(data!D$1,Haver_Q!$B$1:$L$1,0),FALSE)),100*(VLOOKUP($A129,Haver_Q!$B$1:$L$185,MATCH(data!D$1,Haver_Q!$B$1:$L$1,0),FALSE)),"")</f>
        <v/>
      </c>
      <c r="E129" t="str">
        <f>IF(ISNUMBER(VLOOKUP($A129,Haver_Q!$B$1:$L$185,MATCH(data!E$1,Haver_Q!$B$1:$L$1,0),FALSE)),100*(VLOOKUP($A129,Haver_Q!$B$1:$L$185,MATCH(data!E$1,Haver_Q!$B$1:$L$1,0),FALSE)),"")</f>
        <v/>
      </c>
      <c r="F129" t="str">
        <f>IF(ISNUMBER(VLOOKUP($A129,Haver_Q!$B$1:$L$185,MATCH(data!F$1,Haver_Q!$B$1:$L$1,0),FALSE)),100*(VLOOKUP($A129,Haver_Q!$B$1:$L$185,MATCH(data!F$1,Haver_Q!$B$1:$L$1,0),FALSE)),"")</f>
        <v/>
      </c>
      <c r="G129" t="str">
        <f>IF(ISNUMBER(VLOOKUP($A129,Haver_Q!$B$1:$L$185,MATCH(data!G$1,Haver_Q!$B$1:$L$1,0),FALSE)),100*(VLOOKUP($A129,Haver_Q!$B$1:$L$185,MATCH(data!G$1,Haver_Q!$B$1:$L$1,0),FALSE)),"")</f>
        <v/>
      </c>
      <c r="H129" t="str">
        <f>IF(ISNUMBER(VLOOKUP($A129,Haver_Q!$B$1:$L$185,MATCH(data!H$1,Haver_Q!$B$1:$L$1,0),FALSE)),(VLOOKUP($A129,Haver_Q!$B$1:$L$185,MATCH(data!H$1,Haver_Q!$B$1:$L$1,0),FALSE)),"")</f>
        <v/>
      </c>
      <c r="I129" t="str">
        <f>IF(ISNUMBER(VLOOKUP($A129,Haver_Q!$B$1:$L$185,MATCH(data!I$1,Haver_Q!$B$1:$L$1,0),FALSE)),100*(VLOOKUP($A129,Haver_Q!$B$1:$L$185,MATCH(data!I$1,Haver_Q!$B$1:$L$1,0),FALSE)),"")</f>
        <v/>
      </c>
      <c r="J129" s="3">
        <f>IF(ISNUMBER(Bloomberg_m!C145),Bloomberg_m!C145,"")</f>
        <v>2432</v>
      </c>
      <c r="K129" s="3" t="str">
        <f>IF(ISNUMBER(Bloomberg_m!D145),Bloomberg_m!D145,"")</f>
        <v/>
      </c>
      <c r="L129" s="3" t="str">
        <f>IF(ISNUMBER(Bloomberg_m!E145),Bloomberg_m!E145,"")</f>
        <v/>
      </c>
      <c r="M129" s="3">
        <f>IF(ISNUMBER(Bloomberg_m!F145),Bloomberg_m!F145,"")</f>
        <v>512.34</v>
      </c>
      <c r="N129">
        <f>IF(ISNUMBER(VLOOKUP($A129,Haver_M!$B$1:$BZ$300,MATCH(data!N$1,Haver_M!$B$1:$BZ$1,0),FALSE)),VLOOKUP($A129,Haver_M!$B$1:$BZ$300,MATCH(data!N$1,Haver_M!$B$1:$BZ$1,0),FALSE),"")</f>
        <v>5.75</v>
      </c>
      <c r="O129">
        <f>IF(ISNUMBER(VLOOKUP($A129,Haver_M!$B$1:$BZ$300,MATCH(data!O$1,Haver_M!$B$1:$BZ$1,0),FALSE)),VLOOKUP($A129,Haver_M!$B$1:$BZ$300,MATCH(data!O$1,Haver_M!$B$1:$BZ$1,0),FALSE),"")</f>
        <v>7.9863</v>
      </c>
      <c r="P129">
        <f>IF(ISNUMBER(VLOOKUP($A129,Haver_M!$B$1:$BZ$300,MATCH(data!P$1,Haver_M!$B$1:$BZ$1,0),FALSE)),VLOOKUP($A129,Haver_M!$B$1:$BZ$300,MATCH(data!P$1,Haver_M!$B$1:$BZ$1,0),FALSE),"")</f>
        <v>99.637510000000006</v>
      </c>
      <c r="Q129">
        <f>IF(ISNUMBER(VLOOKUP($A129,Haver_M!$B$1:$BZ$300,MATCH(data!Q$1,Haver_M!$B$1:$BZ$1,0),FALSE)),VLOOKUP($A129,Haver_M!$B$1:$BZ$300,MATCH(data!Q$1,Haver_M!$B$1:$BZ$1,0),FALSE),"")</f>
        <v>85.7</v>
      </c>
      <c r="R129" t="str">
        <f>IF(ISNUMBER(VLOOKUP($A129,Haver_M!$B$1:$BZ$300,MATCH(data!R$1,Haver_M!$B$1:$BZ$1,0),FALSE)),VLOOKUP($A129,Haver_M!$B$1:$BZ$300,MATCH(data!R$1,Haver_M!$B$1:$BZ$1,0),FALSE),"")</f>
        <v/>
      </c>
      <c r="S129">
        <f>IF(ISNUMBER(VLOOKUP($A129,Haver_M!$B$1:$BZ$300,MATCH(data!S$1,Haver_M!$B$1:$BZ$1,0),FALSE)),VLOOKUP($A129,Haver_M!$B$1:$BZ$300,MATCH(data!S$1,Haver_M!$B$1:$BZ$1,0),FALSE),"")</f>
        <v>97.79</v>
      </c>
      <c r="T129">
        <f>IF(ISNUMBER(VLOOKUP($A129,Haver_M!$B$1:$BZ$300,MATCH(data!T$1,Haver_M!$B$1:$BZ$1,0),FALSE)),VLOOKUP($A129,Haver_M!$B$1:$BZ$300,MATCH(data!T$1,Haver_M!$B$1:$BZ$1,0),FALSE),"")</f>
        <v>92.77</v>
      </c>
      <c r="U129">
        <f>IF(ISNUMBER(VLOOKUP($A129,Haver_M!$B$1:$BZ$300,MATCH(data!U$1,Haver_M!$B$1:$BZ$1,0),FALSE)),VLOOKUP($A129,Haver_M!$B$1:$BZ$300,MATCH(data!U$1,Haver_M!$B$1:$BZ$1,0),FALSE),"")</f>
        <v>112.29</v>
      </c>
      <c r="V129">
        <f>IF(ISNUMBER(VLOOKUP($A129,Haver_M!$B$1:$BZ$300,MATCH(data!V$1,Haver_M!$B$1:$BZ$1,0),FALSE)),VLOOKUP($A129,Haver_M!$B$1:$BZ$300,MATCH(data!V$1,Haver_M!$B$1:$BZ$1,0),FALSE),"")</f>
        <v>105.16</v>
      </c>
      <c r="W129" t="str">
        <f>IF(ISNUMBER(VLOOKUP($A129,Haver_M!$B$1:$BZ$300,MATCH(data!W$1,Haver_M!$B$1:$BZ$1,0),FALSE)),VLOOKUP($A129,Haver_M!$B$1:$BZ$300,MATCH(data!W$1,Haver_M!$B$1:$BZ$1,0),FALSE),"")</f>
        <v/>
      </c>
      <c r="X129">
        <f>IF(ISNUMBER(VLOOKUP($A129,Haver_M!$B$1:$BZ$300,MATCH(data!X$1,Haver_M!$B$1:$BZ$1,0),FALSE)),VLOOKUP($A129,Haver_M!$B$1:$BZ$300,MATCH(data!X$1,Haver_M!$B$1:$BZ$1,0),FALSE),"")</f>
        <v>90.14</v>
      </c>
      <c r="Y129">
        <f>IF(ISNUMBER(VLOOKUP($A129,Haver_M!$B$1:$BZ$300,MATCH(data!Y$1,Haver_M!$B$1:$BZ$1,0),FALSE)),VLOOKUP($A129,Haver_M!$B$1:$BZ$300,MATCH(data!Y$1,Haver_M!$B$1:$BZ$1,0),FALSE),"")</f>
        <v>92.24</v>
      </c>
      <c r="Z129">
        <f>IF(ISNUMBER(VLOOKUP($A129,Haver_M!$B$1:$BZ$300,MATCH(data!Z$1,Haver_M!$B$1:$BZ$1,0),FALSE)),VLOOKUP($A129,Haver_M!$B$1:$BZ$300,MATCH(data!Z$1,Haver_M!$B$1:$BZ$1,0),FALSE),"")</f>
        <v>94.7</v>
      </c>
      <c r="AA129">
        <f>IF(ISNUMBER(VLOOKUP($A129,Haver_M!$B$1:$BZ$300,MATCH(data!AA$1,Haver_M!$B$1:$BZ$1,0),FALSE)),VLOOKUP($A129,Haver_M!$B$1:$BZ$300,MATCH(data!AA$1,Haver_M!$B$1:$BZ$1,0),FALSE),"")</f>
        <v>102.815</v>
      </c>
      <c r="AB129">
        <f>IF(ISNUMBER(VLOOKUP($A129,Haver_M!$B$1:$BZ$300,MATCH(data!AB$1,Haver_M!$B$1:$BZ$1,0),FALSE)),VLOOKUP($A129,Haver_M!$B$1:$BZ$300,MATCH(data!AB$1,Haver_M!$B$1:$BZ$1,0),FALSE),"")</f>
        <v>98.748999999999995</v>
      </c>
      <c r="AC129">
        <f>IF(ISNUMBER(VLOOKUP($A129,Haver_M!$B$1:$BZ$300,MATCH(data!AC$1,Haver_M!$B$1:$BZ$1,0),FALSE)),VLOOKUP($A129,Haver_M!$B$1:$BZ$300,MATCH(data!AC$1,Haver_M!$B$1:$BZ$1,0),FALSE),"")</f>
        <v>108.312</v>
      </c>
      <c r="AD129">
        <f>IF(ISNUMBER(VLOOKUP($A129,Haver_M!$B$1:$BZ$300,MATCH(data!AD$1,Haver_M!$B$1:$BZ$1,0),FALSE)),VLOOKUP($A129,Haver_M!$B$1:$BZ$300,MATCH(data!AD$1,Haver_M!$B$1:$BZ$1,0),FALSE),"")</f>
        <v>94.722999999999999</v>
      </c>
      <c r="AE129">
        <f>IF(ISNUMBER(VLOOKUP($A129,Haver_M!$B$1:$BZ$300,MATCH(data!AE$1,Haver_M!$B$1:$BZ$1,0),FALSE)),VLOOKUP($A129,Haver_M!$B$1:$BZ$300,MATCH(data!AE$1,Haver_M!$B$1:$BZ$1,0),FALSE),"")</f>
        <v>93.686999999999998</v>
      </c>
      <c r="AF129">
        <f>IF(ISNUMBER(VLOOKUP($A129,Haver_M!$B$1:$BZ$300,MATCH(data!AF$1,Haver_M!$B$1:$BZ$1,0),FALSE)),VLOOKUP($A129,Haver_M!$B$1:$BZ$300,MATCH(data!AF$1,Haver_M!$B$1:$BZ$1,0),FALSE),"")</f>
        <v>90.608000000000004</v>
      </c>
      <c r="AG129">
        <f>IF(ISNUMBER(VLOOKUP($A129,Haver_M!$B$1:$BZ$300,MATCH(data!AG$1,Haver_M!$B$1:$BZ$1,0),FALSE)),VLOOKUP($A129,Haver_M!$B$1:$BZ$300,MATCH(data!AG$1,Haver_M!$B$1:$BZ$1,0),FALSE),"")</f>
        <v>92.100999999999999</v>
      </c>
      <c r="AH129">
        <f>IF(ISNUMBER(VLOOKUP($A129,Haver_M!$B$1:$BZ$300,MATCH(data!AH$1,Haver_M!$B$1:$BZ$1,0),FALSE)),VLOOKUP($A129,Haver_M!$B$1:$BZ$300,MATCH(data!AH$1,Haver_M!$B$1:$BZ$1,0),FALSE),"")</f>
        <v>91.245999999999995</v>
      </c>
      <c r="AI129">
        <f>IF(ISNUMBER(VLOOKUP($A129,Haver_M!$B$1:$BZ$300,MATCH(data!AI$1,Haver_M!$B$1:$BZ$1,0),FALSE)),VLOOKUP($A129,Haver_M!$B$1:$BZ$300,MATCH(data!AI$1,Haver_M!$B$1:$BZ$1,0),FALSE),"")</f>
        <v>11564.345748301341</v>
      </c>
      <c r="AJ129">
        <f>IF(ISNUMBER(VLOOKUP($A129,Haver_M!$B$1:$BZ$300,MATCH(data!AJ$1,Haver_M!$B$1:$BZ$1,0),FALSE)),VLOOKUP($A129,Haver_M!$B$1:$BZ$300,MATCH(data!AJ$1,Haver_M!$B$1:$BZ$1,0),FALSE),"")</f>
        <v>18337.22</v>
      </c>
      <c r="AK129">
        <f>IF(ISNUMBER(VLOOKUP($A129,Haver_M!$B$1:$BZ$300,MATCH(data!AK$1,Haver_M!$B$1:$BZ$1,0),FALSE)),VLOOKUP($A129,Haver_M!$B$1:$BZ$300,MATCH(data!AK$1,Haver_M!$B$1:$BZ$1,0),FALSE),"")</f>
        <v>27438.34</v>
      </c>
      <c r="AL129" t="str">
        <f>IF(ISNUMBER(VLOOKUP($A129,Haver_M!$B$1:$BZ$300,MATCH(data!AL$1,Haver_M!$B$1:$BZ$1,0),FALSE)),VLOOKUP($A129,Haver_M!$B$1:$BZ$300,MATCH(data!AL$1,Haver_M!$B$1:$BZ$1,0),FALSE),"")</f>
        <v/>
      </c>
      <c r="AM129" t="str">
        <f>IF(ISNUMBER(VLOOKUP($A129,Haver_M!$B$1:$BZ$300,MATCH(data!AM$1,Haver_M!$B$1:$BZ$1,0),FALSE)),VLOOKUP($A129,Haver_M!$B$1:$BZ$300,MATCH(data!AM$1,Haver_M!$B$1:$BZ$1,0),FALSE),"")</f>
        <v/>
      </c>
      <c r="AN129" t="str">
        <f>IF(ISNUMBER(VLOOKUP($A129,Haver_M!$B$1:$BZ$300,MATCH(data!AN$1,Haver_M!$B$1:$BZ$1,0),FALSE)),VLOOKUP($A129,Haver_M!$B$1:$BZ$300,MATCH(data!AN$1,Haver_M!$B$1:$BZ$1,0),FALSE),"")</f>
        <v/>
      </c>
      <c r="AO129" t="str">
        <f>IF(ISNUMBER(VLOOKUP($A129,Haver_M!$B$1:$BZ$300,MATCH(data!AO$1,Haver_M!$B$1:$BZ$1,0),FALSE)),VLOOKUP($A129,Haver_M!$B$1:$BZ$300,MATCH(data!AO$1,Haver_M!$B$1:$BZ$1,0),FALSE),"")</f>
        <v/>
      </c>
      <c r="AP129">
        <f>IF(ISNUMBER(VLOOKUP($A129,Haver_M!$B$1:$BZ$300,MATCH(data!AP$1,Haver_M!$B$1:$BZ$1,0),FALSE)),VLOOKUP($A129,Haver_M!$B$1:$BZ$300,MATCH(data!AP$1,Haver_M!$B$1:$BZ$1,0),FALSE),"")</f>
        <v>89.608020554521701</v>
      </c>
      <c r="AQ129">
        <f>IF(ISNUMBER(VLOOKUP($A129,Haver_M!$B$1:$BZ$300,MATCH(data!AQ$1,Haver_M!$B$1:$BZ$1,0),FALSE)),VLOOKUP($A129,Haver_M!$B$1:$BZ$300,MATCH(data!AQ$1,Haver_M!$B$1:$BZ$1,0),FALSE),"")</f>
        <v>60.278799999999997</v>
      </c>
      <c r="AR129">
        <f>IF(ISNUMBER(VLOOKUP($A129,Haver_M!$B$1:$BZ$300,MATCH(data!AR$1,Haver_M!$B$1:$BZ$1,0),FALSE)),VLOOKUP($A129,Haver_M!$B$1:$BZ$300,MATCH(data!AR$1,Haver_M!$B$1:$BZ$1,0),FALSE),"")</f>
        <v>57.248199999999997</v>
      </c>
      <c r="AS129">
        <f>IF(ISNUMBER(VLOOKUP($A129,Haver_M!$B$1:$BZ$300,MATCH(data!AS$1,Haver_M!$B$1:$BZ$1,0),FALSE)),VLOOKUP($A129,Haver_M!$B$1:$BZ$300,MATCH(data!AS$1,Haver_M!$B$1:$BZ$1,0),FALSE),"")</f>
        <v>59.302999999999997</v>
      </c>
      <c r="AT129">
        <f>IF(ISNUMBER(VLOOKUP($A129,Haver_M!$B$1:$BZ$300,MATCH(data!AT$1,Haver_M!$B$1:$BZ$1,0),FALSE)),VLOOKUP($A129,Haver_M!$B$1:$BZ$300,MATCH(data!AT$1,Haver_M!$B$1:$BZ$1,0),FALSE),"")</f>
        <v>62.304299999999998</v>
      </c>
      <c r="AU129">
        <f>IF(ISNUMBER(VLOOKUP($A129,Haver_M!$B$1:$BZ$300,MATCH(data!AU$1,Haver_M!$B$1:$BZ$1,0),FALSE)),VLOOKUP($A129,Haver_M!$B$1:$BZ$300,MATCH(data!AU$1,Haver_M!$B$1:$BZ$1,0),FALSE),"")</f>
        <v>61.993400000000001</v>
      </c>
      <c r="AV129">
        <f>IF(ISNUMBER(VLOOKUP($A129,Haver_M!$B$1:$BZ$300,MATCH(data!AV$1,Haver_M!$B$1:$BZ$1,0),FALSE)),VLOOKUP($A129,Haver_M!$B$1:$BZ$300,MATCH(data!AV$1,Haver_M!$B$1:$BZ$1,0),FALSE),"")</f>
        <v>49.473399999999998</v>
      </c>
      <c r="AW129">
        <f>IF(ISNUMBER(VLOOKUP($A129,Haver_M!$B$1:$BZ$300,MATCH(data!AW$1,Haver_M!$B$1:$BZ$1,0),FALSE)),VLOOKUP($A129,Haver_M!$B$1:$BZ$300,MATCH(data!AW$1,Haver_M!$B$1:$BZ$1,0),FALSE),"")</f>
        <v>48.4422</v>
      </c>
      <c r="AX129">
        <f>IF(ISNUMBER(VLOOKUP($A129,Haver_M!$B$1:$BZ$300,MATCH(data!AX$1,Haver_M!$B$1:$BZ$1,0),FALSE)),VLOOKUP($A129,Haver_M!$B$1:$BZ$300,MATCH(data!AX$1,Haver_M!$B$1:$BZ$1,0),FALSE),"")</f>
        <v>54.4572</v>
      </c>
      <c r="AY129">
        <f>IF(ISNUMBER(VLOOKUP($A129,Haver_M!$B$1:$BZ$300,MATCH(data!AY$1,Haver_M!$B$1:$BZ$1,0),FALSE)),VLOOKUP($A129,Haver_M!$B$1:$BZ$300,MATCH(data!AY$1,Haver_M!$B$1:$BZ$1,0),FALSE),"")</f>
        <v>55.303699999999999</v>
      </c>
      <c r="AZ129">
        <f>IF(ISNUMBER(VLOOKUP($A129,Haver_M!$B$1:$BZ$300,MATCH(data!AZ$1,Haver_M!$B$1:$BZ$1,0),FALSE)),VLOOKUP($A129,Haver_M!$B$1:$BZ$300,MATCH(data!AZ$1,Haver_M!$B$1:$BZ$1,0),FALSE),"")</f>
        <v>59.320999999999998</v>
      </c>
      <c r="BA129">
        <f>IF(ISNUMBER(VLOOKUP($A129,Haver_M!$B$1:$BZ$300,MATCH(data!BA$1,Haver_M!$B$1:$BZ$1,0),FALSE)),VLOOKUP($A129,Haver_M!$B$1:$BZ$300,MATCH(data!BA$1,Haver_M!$B$1:$BZ$1,0),FALSE),"")</f>
        <v>54.4572</v>
      </c>
      <c r="BB129">
        <f>IF(ISNUMBER(VLOOKUP($A129,Haver_M!$B$1:$BZ$300,MATCH(data!BB$1,Haver_M!$B$1:$BZ$1,0),FALSE)),VLOOKUP($A129,Haver_M!$B$1:$BZ$300,MATCH(data!BB$1,Haver_M!$B$1:$BZ$1,0),FALSE),"")</f>
        <v>55.484099999999998</v>
      </c>
      <c r="BC129">
        <f>IF(ISNUMBER(VLOOKUP($A129,Haver_M!$B$1:$BZ$300,MATCH(data!BC$1,Haver_M!$B$1:$BZ$1,0),FALSE)),VLOOKUP($A129,Haver_M!$B$1:$BZ$300,MATCH(data!BC$1,Haver_M!$B$1:$BZ$1,0),FALSE),"")</f>
        <v>52.035600000000002</v>
      </c>
      <c r="BD129">
        <f>IF(ISNUMBER(VLOOKUP($A129,Haver_M!$B$1:$BZ$300,MATCH(data!BD$1,Haver_M!$B$1:$BZ$1,0),FALSE)),VLOOKUP($A129,Haver_M!$B$1:$BZ$300,MATCH(data!BD$1,Haver_M!$B$1:$BZ$1,0),FALSE),"")</f>
        <v>52.473100000000002</v>
      </c>
      <c r="BE129">
        <f>IF(ISNUMBER(VLOOKUP($A129,Haver_M!$B$1:$BZ$300,MATCH(data!BE$1,Haver_M!$B$1:$BZ$1,0),FALSE)),VLOOKUP($A129,Haver_M!$B$1:$BZ$300,MATCH(data!BE$1,Haver_M!$B$1:$BZ$1,0),FALSE),"")</f>
        <v>1.2195</v>
      </c>
      <c r="BF129">
        <f>IF(ISNUMBER(VLOOKUP($A129,Haver_M!$B$1:$BZ$300,MATCH(data!BF$1,Haver_M!$B$1:$BZ$1,0),FALSE)),VLOOKUP($A129,Haver_M!$B$1:$BZ$300,MATCH(data!BF$1,Haver_M!$B$1:$BZ$1,0),FALSE),"")</f>
        <v>51.813299999999998</v>
      </c>
      <c r="BG129">
        <f>IF(ISNUMBER(VLOOKUP($A129,Haver_M!$B$1:$BZ$300,MATCH(data!BG$1,Haver_M!$B$1:$BZ$1,0),FALSE)),VLOOKUP($A129,Haver_M!$B$1:$BZ$300,MATCH(data!BG$1,Haver_M!$B$1:$BZ$1,0),FALSE),"")</f>
        <v>53.270099999999999</v>
      </c>
      <c r="BH129">
        <f>IF(ISNUMBER(VLOOKUP($A129,Haver_M!$B$1:$BZ$300,MATCH(data!BH$1,Haver_M!$B$1:$BZ$1,0),FALSE)),VLOOKUP($A129,Haver_M!$B$1:$BZ$300,MATCH(data!BH$1,Haver_M!$B$1:$BZ$1,0),FALSE),"")</f>
        <v>58.872599999999998</v>
      </c>
      <c r="BI129">
        <f>IF(ISNUMBER(VLOOKUP($A129,Haver_M!$B$1:$BZ$300,MATCH(data!BI$1,Haver_M!$B$1:$BZ$1,0),FALSE)),VLOOKUP($A129,Haver_M!$B$1:$BZ$300,MATCH(data!BI$1,Haver_M!$B$1:$BZ$1,0),FALSE),"")</f>
        <v>57.13</v>
      </c>
      <c r="BJ129" t="str">
        <f>IF(ISNUMBER(VLOOKUP($A129,Haver_M!$B$1:$BZ$300,MATCH(data!BJ$1,Haver_M!$B$1:$BZ$1,0),FALSE)),VLOOKUP($A129,Haver_M!$B$1:$BZ$300,MATCH(data!BJ$1,Haver_M!$B$1:$BZ$1,0),FALSE),"")</f>
        <v/>
      </c>
      <c r="BK129">
        <f>IF(ISNUMBER(VLOOKUP($A129,Haver_M!$B$1:$BZ$300,MATCH(data!BK$1,Haver_M!$B$1:$BZ$1,0),FALSE)),VLOOKUP($A129,Haver_M!$B$1:$BZ$300,MATCH(data!BK$1,Haver_M!$B$1:$BZ$1,0),FALSE),"")</f>
        <v>51.073700000000002</v>
      </c>
      <c r="BL129">
        <f>IF(ISNUMBER(VLOOKUP($A129,Haver_M!$B$1:$BZ$300,MATCH(data!BL$1,Haver_M!$B$1:$BZ$1,0),FALSE)),VLOOKUP($A129,Haver_M!$B$1:$BZ$300,MATCH(data!BL$1,Haver_M!$B$1:$BZ$1,0),FALSE),"")</f>
        <v>18176.86</v>
      </c>
      <c r="BM129">
        <f>IF(ISNUMBER(VLOOKUP($A129,Haver_M!$B$1:$BZ$300,MATCH(data!BM$1,Haver_M!$B$1:$BZ$1,0),FALSE)),VLOOKUP($A129,Haver_M!$B$1:$BZ$300,MATCH(data!BM$1,Haver_M!$B$1:$BZ$1,0),FALSE),"")</f>
        <v>112.02836773999999</v>
      </c>
      <c r="BN129" t="str">
        <f>IF(ISNUMBER(VLOOKUP($A129,Haver_M!$B$1:$BZ$300,MATCH(data!BN$1,Haver_M!$B$1:$BZ$1,0),FALSE)),VLOOKUP($A129,Haver_M!$B$1:$BZ$300,MATCH(data!BN$1,Haver_M!$B$1:$BZ$1,0),FALSE),"")</f>
        <v/>
      </c>
      <c r="BO129" t="str">
        <f>IF(ISNUMBER(VLOOKUP($A129,Haver_M!$B$1:$BZ$300,MATCH(data!BO$1,Haver_M!$B$1:$BZ$1,0),FALSE)),VLOOKUP($A129,Haver_M!$B$1:$BZ$300,MATCH(data!BO$1,Haver_M!$B$1:$BZ$1,0),FALSE),"")</f>
        <v/>
      </c>
      <c r="BP129" t="str">
        <f>IF(ISNUMBER(VLOOKUP($A129,Haver_M!$B$1:$BZ$300,MATCH(data!BP$1,Haver_M!$B$1:$BZ$1,0),FALSE)),VLOOKUP($A129,Haver_M!$B$1:$BZ$300,MATCH(data!BP$1,Haver_M!$B$1:$BZ$1,0),FALSE),"")</f>
        <v/>
      </c>
      <c r="BQ129">
        <f>IF(ISNUMBER(VLOOKUP($A129,Haver_M!$B$1:$BZ$300,MATCH(data!BQ$1,Haver_M!$B$1:$BZ$1,0),FALSE)),VLOOKUP($A129,Haver_M!$B$1:$BZ$300,MATCH(data!BQ$1,Haver_M!$B$1:$BZ$1,0),FALSE),"")</f>
        <v>131.85424902989448</v>
      </c>
      <c r="BR129">
        <f>IF(ISNUMBER(VLOOKUP($A129,Haver_M!$B$1:$BZ$300,MATCH(data!BR$1,Haver_M!$B$1:$BZ$1,0),FALSE)),VLOOKUP($A129,Haver_M!$B$1:$BZ$300,MATCH(data!BR$1,Haver_M!$B$1:$BZ$1,0),FALSE),"")</f>
        <v>297.97410618226172</v>
      </c>
      <c r="BS129">
        <f>IF(ISNUMBER(VLOOKUP($A129,Haver_M!$B$1:$BZ$300,MATCH(data!BS$1,Haver_M!$B$1:$BZ$1,0),FALSE)),VLOOKUP($A129,Haver_M!$B$1:$BZ$300,MATCH(data!BS$1,Haver_M!$B$1:$BZ$1,0),FALSE),"")</f>
        <v>159.40975495575202</v>
      </c>
      <c r="BT129">
        <f>IF(ISNUMBER(VLOOKUP($A129,Haver_M!$B$1:$BZ$300,MATCH(data!BT$1,Haver_M!$B$1:$BZ$1,0),FALSE)),VLOOKUP($A129,Haver_M!$B$1:$BZ$300,MATCH(data!BT$1,Haver_M!$B$1:$BZ$1,0),FALSE),"")</f>
        <v>674.14462141726665</v>
      </c>
      <c r="BU129">
        <f>IF(ISNUMBER(VLOOKUP($A129,Haver_M!$B$1:$BZ$300,MATCH(data!BU$1,Haver_M!$B$1:$BZ$1,0),FALSE)),VLOOKUP($A129,Haver_M!$B$1:$BZ$300,MATCH(data!BU$1,Haver_M!$B$1:$BZ$1,0),FALSE),"")</f>
        <v>17750.400000000001</v>
      </c>
      <c r="BV129">
        <f>IF(ISNUMBER(VLOOKUP($A129,Haver_M!$B$1:$BZ$300,MATCH(data!BV$1,Haver_M!$B$1:$BZ$1,0),FALSE)),VLOOKUP($A129,Haver_M!$B$1:$BZ$300,MATCH(data!BV$1,Haver_M!$B$1:$BZ$1,0),FALSE),"")</f>
        <v>27107.7</v>
      </c>
      <c r="BW129">
        <f>IF(ISNUMBER(VLOOKUP($A129,Haver_M!$B$1:$BZ$300,MATCH(data!BW$1,Haver_M!$B$1:$BZ$1,0),FALSE)),VLOOKUP($A129,Haver_M!$B$1:$BZ$300,MATCH(data!BW$1,Haver_M!$B$1:$BZ$1,0),FALSE),"")</f>
        <v>46.567100000000003</v>
      </c>
      <c r="BX129">
        <f>IF(ISNUMBER(VLOOKUP($A129,Haver_M!$B$1:$BZ$300,MATCH(data!BX$1,Haver_M!$B$1:$BZ$1,0),FALSE)),VLOOKUP($A129,Haver_M!$B$1:$BZ$300,MATCH(data!BX$1,Haver_M!$B$1:$BZ$1,0),FALSE),"")</f>
        <v>50773</v>
      </c>
    </row>
    <row r="130" spans="1:76" x14ac:dyDescent="0.25">
      <c r="A130" s="2">
        <v>40451</v>
      </c>
      <c r="B130">
        <f>IF(ISNUMBER(VLOOKUP($A130,Haver_Q!$B$1:$L$185,MATCH(data!B$1,Haver_Q!$B$1:$L$1,0),FALSE)),100*(VLOOKUP($A130,Haver_Q!$B$1:$L$185,MATCH(data!B$1,Haver_Q!$B$1:$L$1,0),FALSE)),"")</f>
        <v>6.0929227021223609</v>
      </c>
      <c r="C130">
        <f>IF(ISNUMBER(VLOOKUP($A130,Haver_Q!$B$1:$L$185,MATCH(data!C$1,Haver_Q!$B$1:$L$1,0),FALSE)),100*(VLOOKUP($A130,Haver_Q!$B$1:$L$185,MATCH(data!C$1,Haver_Q!$B$1:$L$1,0),FALSE)),"")</f>
        <v>5.7102714245274244</v>
      </c>
      <c r="D130">
        <f>IF(ISNUMBER(VLOOKUP($A130,Haver_Q!$B$1:$L$185,MATCH(data!D$1,Haver_Q!$B$1:$L$1,0),FALSE)),100*(VLOOKUP($A130,Haver_Q!$B$1:$L$185,MATCH(data!D$1,Haver_Q!$B$1:$L$1,0),FALSE)),"")</f>
        <v>14.821007367566885</v>
      </c>
      <c r="E130">
        <f>IF(ISNUMBER(VLOOKUP($A130,Haver_Q!$B$1:$L$185,MATCH(data!E$1,Haver_Q!$B$1:$L$1,0),FALSE)),100*(VLOOKUP($A130,Haver_Q!$B$1:$L$185,MATCH(data!E$1,Haver_Q!$B$1:$L$1,0),FALSE)),"")</f>
        <v>35.702060691607194</v>
      </c>
      <c r="F130">
        <f>IF(ISNUMBER(VLOOKUP($A130,Haver_Q!$B$1:$L$185,MATCH(data!F$1,Haver_Q!$B$1:$L$1,0),FALSE)),100*(VLOOKUP($A130,Haver_Q!$B$1:$L$185,MATCH(data!F$1,Haver_Q!$B$1:$L$1,0),FALSE)),"")</f>
        <v>17.579432506425221</v>
      </c>
      <c r="G130">
        <f>IF(ISNUMBER(VLOOKUP($A130,Haver_Q!$B$1:$L$185,MATCH(data!G$1,Haver_Q!$B$1:$L$1,0),FALSE)),100*(VLOOKUP($A130,Haver_Q!$B$1:$L$185,MATCH(data!G$1,Haver_Q!$B$1:$L$1,0),FALSE)),"")</f>
        <v>-8.1804150310277652</v>
      </c>
      <c r="H130">
        <f>IF(ISNUMBER(VLOOKUP($A130,Haver_Q!$B$1:$L$185,MATCH(data!H$1,Haver_Q!$B$1:$L$1,0),FALSE)),(VLOOKUP($A130,Haver_Q!$B$1:$L$185,MATCH(data!H$1,Haver_Q!$B$1:$L$1,0),FALSE)),"")</f>
        <v>4.8679329635956501</v>
      </c>
      <c r="I130">
        <f>IF(ISNUMBER(VLOOKUP($A130,Haver_Q!$B$1:$L$185,MATCH(data!I$1,Haver_Q!$B$1:$L$1,0),FALSE)),100*(VLOOKUP($A130,Haver_Q!$B$1:$L$185,MATCH(data!I$1,Haver_Q!$B$1:$L$1,0),FALSE)),"")</f>
        <v>9.6794331732914287</v>
      </c>
      <c r="J130" s="3">
        <f>IF(ISNUMBER(Bloomberg_m!C146),Bloomberg_m!C146,"")</f>
        <v>2719</v>
      </c>
      <c r="K130" s="3" t="str">
        <f>IF(ISNUMBER(Bloomberg_m!D146),Bloomberg_m!D146,"")</f>
        <v/>
      </c>
      <c r="L130" s="3" t="str">
        <f>IF(ISNUMBER(Bloomberg_m!E146),Bloomberg_m!E146,"")</f>
        <v/>
      </c>
      <c r="M130" s="3">
        <f>IF(ISNUMBER(Bloomberg_m!F146),Bloomberg_m!F146,"")</f>
        <v>521.58000000000004</v>
      </c>
      <c r="N130">
        <f>IF(ISNUMBER(VLOOKUP($A130,Haver_M!$B$1:$BZ$300,MATCH(data!N$1,Haver_M!$B$1:$BZ$1,0),FALSE)),VLOOKUP($A130,Haver_M!$B$1:$BZ$300,MATCH(data!N$1,Haver_M!$B$1:$BZ$1,0),FALSE),"")</f>
        <v>6</v>
      </c>
      <c r="O130">
        <f>IF(ISNUMBER(VLOOKUP($A130,Haver_M!$B$1:$BZ$300,MATCH(data!O$1,Haver_M!$B$1:$BZ$1,0),FALSE)),VLOOKUP($A130,Haver_M!$B$1:$BZ$300,MATCH(data!O$1,Haver_M!$B$1:$BZ$1,0),FALSE),"")</f>
        <v>7.8963000000000001</v>
      </c>
      <c r="P130">
        <f>IF(ISNUMBER(VLOOKUP($A130,Haver_M!$B$1:$BZ$300,MATCH(data!P$1,Haver_M!$B$1:$BZ$1,0),FALSE)),VLOOKUP($A130,Haver_M!$B$1:$BZ$300,MATCH(data!P$1,Haver_M!$B$1:$BZ$1,0),FALSE),"")</f>
        <v>100.10533</v>
      </c>
      <c r="Q130">
        <f>IF(ISNUMBER(VLOOKUP($A130,Haver_M!$B$1:$BZ$300,MATCH(data!Q$1,Haver_M!$B$1:$BZ$1,0),FALSE)),VLOOKUP($A130,Haver_M!$B$1:$BZ$300,MATCH(data!Q$1,Haver_M!$B$1:$BZ$1,0),FALSE),"")</f>
        <v>86.5</v>
      </c>
      <c r="R130" t="str">
        <f>IF(ISNUMBER(VLOOKUP($A130,Haver_M!$B$1:$BZ$300,MATCH(data!R$1,Haver_M!$B$1:$BZ$1,0),FALSE)),VLOOKUP($A130,Haver_M!$B$1:$BZ$300,MATCH(data!R$1,Haver_M!$B$1:$BZ$1,0),FALSE),"")</f>
        <v/>
      </c>
      <c r="S130">
        <f>IF(ISNUMBER(VLOOKUP($A130,Haver_M!$B$1:$BZ$300,MATCH(data!S$1,Haver_M!$B$1:$BZ$1,0),FALSE)),VLOOKUP($A130,Haver_M!$B$1:$BZ$300,MATCH(data!S$1,Haver_M!$B$1:$BZ$1,0),FALSE),"")</f>
        <v>99.13</v>
      </c>
      <c r="T130">
        <f>IF(ISNUMBER(VLOOKUP($A130,Haver_M!$B$1:$BZ$300,MATCH(data!T$1,Haver_M!$B$1:$BZ$1,0),FALSE)),VLOOKUP($A130,Haver_M!$B$1:$BZ$300,MATCH(data!T$1,Haver_M!$B$1:$BZ$1,0),FALSE),"")</f>
        <v>93.34</v>
      </c>
      <c r="U130">
        <f>IF(ISNUMBER(VLOOKUP($A130,Haver_M!$B$1:$BZ$300,MATCH(data!U$1,Haver_M!$B$1:$BZ$1,0),FALSE)),VLOOKUP($A130,Haver_M!$B$1:$BZ$300,MATCH(data!U$1,Haver_M!$B$1:$BZ$1,0),FALSE),"")</f>
        <v>118.83</v>
      </c>
      <c r="V130">
        <f>IF(ISNUMBER(VLOOKUP($A130,Haver_M!$B$1:$BZ$300,MATCH(data!V$1,Haver_M!$B$1:$BZ$1,0),FALSE)),VLOOKUP($A130,Haver_M!$B$1:$BZ$300,MATCH(data!V$1,Haver_M!$B$1:$BZ$1,0),FALSE),"")</f>
        <v>104.94</v>
      </c>
      <c r="W130" t="str">
        <f>IF(ISNUMBER(VLOOKUP($A130,Haver_M!$B$1:$BZ$300,MATCH(data!W$1,Haver_M!$B$1:$BZ$1,0),FALSE)),VLOOKUP($A130,Haver_M!$B$1:$BZ$300,MATCH(data!W$1,Haver_M!$B$1:$BZ$1,0),FALSE),"")</f>
        <v/>
      </c>
      <c r="X130">
        <f>IF(ISNUMBER(VLOOKUP($A130,Haver_M!$B$1:$BZ$300,MATCH(data!X$1,Haver_M!$B$1:$BZ$1,0),FALSE)),VLOOKUP($A130,Haver_M!$B$1:$BZ$300,MATCH(data!X$1,Haver_M!$B$1:$BZ$1,0),FALSE),"")</f>
        <v>92.09</v>
      </c>
      <c r="Y130">
        <f>IF(ISNUMBER(VLOOKUP($A130,Haver_M!$B$1:$BZ$300,MATCH(data!Y$1,Haver_M!$B$1:$BZ$1,0),FALSE)),VLOOKUP($A130,Haver_M!$B$1:$BZ$300,MATCH(data!Y$1,Haver_M!$B$1:$BZ$1,0),FALSE),"")</f>
        <v>93.43</v>
      </c>
      <c r="Z130">
        <f>IF(ISNUMBER(VLOOKUP($A130,Haver_M!$B$1:$BZ$300,MATCH(data!Z$1,Haver_M!$B$1:$BZ$1,0),FALSE)),VLOOKUP($A130,Haver_M!$B$1:$BZ$300,MATCH(data!Z$1,Haver_M!$B$1:$BZ$1,0),FALSE),"")</f>
        <v>94.3</v>
      </c>
      <c r="AA130">
        <f>IF(ISNUMBER(VLOOKUP($A130,Haver_M!$B$1:$BZ$300,MATCH(data!AA$1,Haver_M!$B$1:$BZ$1,0),FALSE)),VLOOKUP($A130,Haver_M!$B$1:$BZ$300,MATCH(data!AA$1,Haver_M!$B$1:$BZ$1,0),FALSE),"")</f>
        <v>101.477</v>
      </c>
      <c r="AB130">
        <f>IF(ISNUMBER(VLOOKUP($A130,Haver_M!$B$1:$BZ$300,MATCH(data!AB$1,Haver_M!$B$1:$BZ$1,0),FALSE)),VLOOKUP($A130,Haver_M!$B$1:$BZ$300,MATCH(data!AB$1,Haver_M!$B$1:$BZ$1,0),FALSE),"")</f>
        <v>99.552000000000007</v>
      </c>
      <c r="AC130">
        <f>IF(ISNUMBER(VLOOKUP($A130,Haver_M!$B$1:$BZ$300,MATCH(data!AC$1,Haver_M!$B$1:$BZ$1,0),FALSE)),VLOOKUP($A130,Haver_M!$B$1:$BZ$300,MATCH(data!AC$1,Haver_M!$B$1:$BZ$1,0),FALSE),"")</f>
        <v>109.145</v>
      </c>
      <c r="AD130">
        <f>IF(ISNUMBER(VLOOKUP($A130,Haver_M!$B$1:$BZ$300,MATCH(data!AD$1,Haver_M!$B$1:$BZ$1,0),FALSE)),VLOOKUP($A130,Haver_M!$B$1:$BZ$300,MATCH(data!AD$1,Haver_M!$B$1:$BZ$1,0),FALSE),"")</f>
        <v>91.150999999999996</v>
      </c>
      <c r="AE130">
        <f>IF(ISNUMBER(VLOOKUP($A130,Haver_M!$B$1:$BZ$300,MATCH(data!AE$1,Haver_M!$B$1:$BZ$1,0),FALSE)),VLOOKUP($A130,Haver_M!$B$1:$BZ$300,MATCH(data!AE$1,Haver_M!$B$1:$BZ$1,0),FALSE),"")</f>
        <v>96.036000000000001</v>
      </c>
      <c r="AF130">
        <f>IF(ISNUMBER(VLOOKUP($A130,Haver_M!$B$1:$BZ$300,MATCH(data!AF$1,Haver_M!$B$1:$BZ$1,0),FALSE)),VLOOKUP($A130,Haver_M!$B$1:$BZ$300,MATCH(data!AF$1,Haver_M!$B$1:$BZ$1,0),FALSE),"")</f>
        <v>91.356999999999999</v>
      </c>
      <c r="AG130">
        <f>IF(ISNUMBER(VLOOKUP($A130,Haver_M!$B$1:$BZ$300,MATCH(data!AG$1,Haver_M!$B$1:$BZ$1,0),FALSE)),VLOOKUP($A130,Haver_M!$B$1:$BZ$300,MATCH(data!AG$1,Haver_M!$B$1:$BZ$1,0),FALSE),"")</f>
        <v>92.596999999999994</v>
      </c>
      <c r="AH130">
        <f>IF(ISNUMBER(VLOOKUP($A130,Haver_M!$B$1:$BZ$300,MATCH(data!AH$1,Haver_M!$B$1:$BZ$1,0),FALSE)),VLOOKUP($A130,Haver_M!$B$1:$BZ$300,MATCH(data!AH$1,Haver_M!$B$1:$BZ$1,0),FALSE),"")</f>
        <v>90.956000000000003</v>
      </c>
      <c r="AI130">
        <f>IF(ISNUMBER(VLOOKUP($A130,Haver_M!$B$1:$BZ$300,MATCH(data!AI$1,Haver_M!$B$1:$BZ$1,0),FALSE)),VLOOKUP($A130,Haver_M!$B$1:$BZ$300,MATCH(data!AI$1,Haver_M!$B$1:$BZ$1,0),FALSE),"")</f>
        <v>11435.247381157864</v>
      </c>
      <c r="AJ130">
        <f>IF(ISNUMBER(VLOOKUP($A130,Haver_M!$B$1:$BZ$300,MATCH(data!AJ$1,Haver_M!$B$1:$BZ$1,0),FALSE)),VLOOKUP($A130,Haver_M!$B$1:$BZ$300,MATCH(data!AJ$1,Haver_M!$B$1:$BZ$1,0),FALSE),"")</f>
        <v>19083.150000000001</v>
      </c>
      <c r="AK130">
        <f>IF(ISNUMBER(VLOOKUP($A130,Haver_M!$B$1:$BZ$300,MATCH(data!AK$1,Haver_M!$B$1:$BZ$1,0),FALSE)),VLOOKUP($A130,Haver_M!$B$1:$BZ$300,MATCH(data!AK$1,Haver_M!$B$1:$BZ$1,0),FALSE),"")</f>
        <v>29034.78</v>
      </c>
      <c r="AL130" t="str">
        <f>IF(ISNUMBER(VLOOKUP($A130,Haver_M!$B$1:$BZ$300,MATCH(data!AL$1,Haver_M!$B$1:$BZ$1,0),FALSE)),VLOOKUP($A130,Haver_M!$B$1:$BZ$300,MATCH(data!AL$1,Haver_M!$B$1:$BZ$1,0),FALSE),"")</f>
        <v/>
      </c>
      <c r="AM130" t="str">
        <f>IF(ISNUMBER(VLOOKUP($A130,Haver_M!$B$1:$BZ$300,MATCH(data!AM$1,Haver_M!$B$1:$BZ$1,0),FALSE)),VLOOKUP($A130,Haver_M!$B$1:$BZ$300,MATCH(data!AM$1,Haver_M!$B$1:$BZ$1,0),FALSE),"")</f>
        <v/>
      </c>
      <c r="AN130" t="str">
        <f>IF(ISNUMBER(VLOOKUP($A130,Haver_M!$B$1:$BZ$300,MATCH(data!AN$1,Haver_M!$B$1:$BZ$1,0),FALSE)),VLOOKUP($A130,Haver_M!$B$1:$BZ$300,MATCH(data!AN$1,Haver_M!$B$1:$BZ$1,0),FALSE),"")</f>
        <v/>
      </c>
      <c r="AO130" t="str">
        <f>IF(ISNUMBER(VLOOKUP($A130,Haver_M!$B$1:$BZ$300,MATCH(data!AO$1,Haver_M!$B$1:$BZ$1,0),FALSE)),VLOOKUP($A130,Haver_M!$B$1:$BZ$300,MATCH(data!AO$1,Haver_M!$B$1:$BZ$1,0),FALSE),"")</f>
        <v/>
      </c>
      <c r="AP130">
        <f>IF(ISNUMBER(VLOOKUP($A130,Haver_M!$B$1:$BZ$300,MATCH(data!AP$1,Haver_M!$B$1:$BZ$1,0),FALSE)),VLOOKUP($A130,Haver_M!$B$1:$BZ$300,MATCH(data!AP$1,Haver_M!$B$1:$BZ$1,0),FALSE),"")</f>
        <v>102.11741877359944</v>
      </c>
      <c r="AQ130">
        <f>IF(ISNUMBER(VLOOKUP($A130,Haver_M!$B$1:$BZ$300,MATCH(data!AQ$1,Haver_M!$B$1:$BZ$1,0),FALSE)),VLOOKUP($A130,Haver_M!$B$1:$BZ$300,MATCH(data!AQ$1,Haver_M!$B$1:$BZ$1,0),FALSE),"")</f>
        <v>56.483699999999999</v>
      </c>
      <c r="AR130">
        <f>IF(ISNUMBER(VLOOKUP($A130,Haver_M!$B$1:$BZ$300,MATCH(data!AR$1,Haver_M!$B$1:$BZ$1,0),FALSE)),VLOOKUP($A130,Haver_M!$B$1:$BZ$300,MATCH(data!AR$1,Haver_M!$B$1:$BZ$1,0),FALSE),"")</f>
        <v>55.130899999999997</v>
      </c>
      <c r="AS130">
        <f>IF(ISNUMBER(VLOOKUP($A130,Haver_M!$B$1:$BZ$300,MATCH(data!AS$1,Haver_M!$B$1:$BZ$1,0),FALSE)),VLOOKUP($A130,Haver_M!$B$1:$BZ$300,MATCH(data!AS$1,Haver_M!$B$1:$BZ$1,0),FALSE),"")</f>
        <v>55.578800000000001</v>
      </c>
      <c r="AT130">
        <f>IF(ISNUMBER(VLOOKUP($A130,Haver_M!$B$1:$BZ$300,MATCH(data!AT$1,Haver_M!$B$1:$BZ$1,0),FALSE)),VLOOKUP($A130,Haver_M!$B$1:$BZ$300,MATCH(data!AT$1,Haver_M!$B$1:$BZ$1,0),FALSE),"")</f>
        <v>58.362099999999998</v>
      </c>
      <c r="AU130">
        <f>IF(ISNUMBER(VLOOKUP($A130,Haver_M!$B$1:$BZ$300,MATCH(data!AU$1,Haver_M!$B$1:$BZ$1,0),FALSE)),VLOOKUP($A130,Haver_M!$B$1:$BZ$300,MATCH(data!AU$1,Haver_M!$B$1:$BZ$1,0),FALSE),"")</f>
        <v>58.650599999999997</v>
      </c>
      <c r="AV130">
        <f>IF(ISNUMBER(VLOOKUP($A130,Haver_M!$B$1:$BZ$300,MATCH(data!AV$1,Haver_M!$B$1:$BZ$1,0),FALSE)),VLOOKUP($A130,Haver_M!$B$1:$BZ$300,MATCH(data!AV$1,Haver_M!$B$1:$BZ$1,0),FALSE),"")</f>
        <v>49.561700000000002</v>
      </c>
      <c r="AW130">
        <f>IF(ISNUMBER(VLOOKUP($A130,Haver_M!$B$1:$BZ$300,MATCH(data!AW$1,Haver_M!$B$1:$BZ$1,0),FALSE)),VLOOKUP($A130,Haver_M!$B$1:$BZ$300,MATCH(data!AW$1,Haver_M!$B$1:$BZ$1,0),FALSE),"")</f>
        <v>50.163899999999998</v>
      </c>
      <c r="AX130">
        <f>IF(ISNUMBER(VLOOKUP($A130,Haver_M!$B$1:$BZ$300,MATCH(data!AX$1,Haver_M!$B$1:$BZ$1,0),FALSE)),VLOOKUP($A130,Haver_M!$B$1:$BZ$300,MATCH(data!AX$1,Haver_M!$B$1:$BZ$1,0),FALSE),"")</f>
        <v>55.5747</v>
      </c>
      <c r="AY130">
        <f>IF(ISNUMBER(VLOOKUP($A130,Haver_M!$B$1:$BZ$300,MATCH(data!AY$1,Haver_M!$B$1:$BZ$1,0),FALSE)),VLOOKUP($A130,Haver_M!$B$1:$BZ$300,MATCH(data!AY$1,Haver_M!$B$1:$BZ$1,0),FALSE),"")</f>
        <v>57.755000000000003</v>
      </c>
      <c r="AZ130">
        <f>IF(ISNUMBER(VLOOKUP($A130,Haver_M!$B$1:$BZ$300,MATCH(data!AZ$1,Haver_M!$B$1:$BZ$1,0),FALSE)),VLOOKUP($A130,Haver_M!$B$1:$BZ$300,MATCH(data!AZ$1,Haver_M!$B$1:$BZ$1,0),FALSE),"")</f>
        <v>56.382899999999999</v>
      </c>
      <c r="BA130">
        <f>IF(ISNUMBER(VLOOKUP($A130,Haver_M!$B$1:$BZ$300,MATCH(data!BA$1,Haver_M!$B$1:$BZ$1,0),FALSE)),VLOOKUP($A130,Haver_M!$B$1:$BZ$300,MATCH(data!BA$1,Haver_M!$B$1:$BZ$1,0),FALSE),"")</f>
        <v>55.5747</v>
      </c>
      <c r="BB130">
        <f>IF(ISNUMBER(VLOOKUP($A130,Haver_M!$B$1:$BZ$300,MATCH(data!BB$1,Haver_M!$B$1:$BZ$1,0),FALSE)),VLOOKUP($A130,Haver_M!$B$1:$BZ$300,MATCH(data!BB$1,Haver_M!$B$1:$BZ$1,0),FALSE),"")</f>
        <v>54.008699999999997</v>
      </c>
      <c r="BC130">
        <f>IF(ISNUMBER(VLOOKUP($A130,Haver_M!$B$1:$BZ$300,MATCH(data!BC$1,Haver_M!$B$1:$BZ$1,0),FALSE)),VLOOKUP($A130,Haver_M!$B$1:$BZ$300,MATCH(data!BC$1,Haver_M!$B$1:$BZ$1,0),FALSE),"")</f>
        <v>50.862000000000002</v>
      </c>
      <c r="BD130">
        <f>IF(ISNUMBER(VLOOKUP($A130,Haver_M!$B$1:$BZ$300,MATCH(data!BD$1,Haver_M!$B$1:$BZ$1,0),FALSE)),VLOOKUP($A130,Haver_M!$B$1:$BZ$300,MATCH(data!BD$1,Haver_M!$B$1:$BZ$1,0),FALSE),"")</f>
        <v>52.6554</v>
      </c>
      <c r="BE130">
        <f>IF(ISNUMBER(VLOOKUP($A130,Haver_M!$B$1:$BZ$300,MATCH(data!BE$1,Haver_M!$B$1:$BZ$1,0),FALSE)),VLOOKUP($A130,Haver_M!$B$1:$BZ$300,MATCH(data!BE$1,Haver_M!$B$1:$BZ$1,0),FALSE),"")</f>
        <v>1.1818</v>
      </c>
      <c r="BF130">
        <f>IF(ISNUMBER(VLOOKUP($A130,Haver_M!$B$1:$BZ$300,MATCH(data!BF$1,Haver_M!$B$1:$BZ$1,0),FALSE)),VLOOKUP($A130,Haver_M!$B$1:$BZ$300,MATCH(data!BF$1,Haver_M!$B$1:$BZ$1,0),FALSE),"")</f>
        <v>50.274900000000002</v>
      </c>
      <c r="BG130">
        <f>IF(ISNUMBER(VLOOKUP($A130,Haver_M!$B$1:$BZ$300,MATCH(data!BG$1,Haver_M!$B$1:$BZ$1,0),FALSE)),VLOOKUP($A130,Haver_M!$B$1:$BZ$300,MATCH(data!BG$1,Haver_M!$B$1:$BZ$1,0),FALSE),"")</f>
        <v>51.851799999999997</v>
      </c>
      <c r="BH130">
        <f>IF(ISNUMBER(VLOOKUP($A130,Haver_M!$B$1:$BZ$300,MATCH(data!BH$1,Haver_M!$B$1:$BZ$1,0),FALSE)),VLOOKUP($A130,Haver_M!$B$1:$BZ$300,MATCH(data!BH$1,Haver_M!$B$1:$BZ$1,0),FALSE),"")</f>
        <v>54.048900000000003</v>
      </c>
      <c r="BI130">
        <f>IF(ISNUMBER(VLOOKUP($A130,Haver_M!$B$1:$BZ$300,MATCH(data!BI$1,Haver_M!$B$1:$BZ$1,0),FALSE)),VLOOKUP($A130,Haver_M!$B$1:$BZ$300,MATCH(data!BI$1,Haver_M!$B$1:$BZ$1,0),FALSE),"")</f>
        <v>55.573700000000002</v>
      </c>
      <c r="BJ130" t="str">
        <f>IF(ISNUMBER(VLOOKUP($A130,Haver_M!$B$1:$BZ$300,MATCH(data!BJ$1,Haver_M!$B$1:$BZ$1,0),FALSE)),VLOOKUP($A130,Haver_M!$B$1:$BZ$300,MATCH(data!BJ$1,Haver_M!$B$1:$BZ$1,0),FALSE),"")</f>
        <v/>
      </c>
      <c r="BK130">
        <f>IF(ISNUMBER(VLOOKUP($A130,Haver_M!$B$1:$BZ$300,MATCH(data!BK$1,Haver_M!$B$1:$BZ$1,0),FALSE)),VLOOKUP($A130,Haver_M!$B$1:$BZ$300,MATCH(data!BK$1,Haver_M!$B$1:$BZ$1,0),FALSE),"")</f>
        <v>49.836199999999998</v>
      </c>
      <c r="BL130">
        <f>IF(ISNUMBER(VLOOKUP($A130,Haver_M!$B$1:$BZ$300,MATCH(data!BL$1,Haver_M!$B$1:$BZ$1,0),FALSE)),VLOOKUP($A130,Haver_M!$B$1:$BZ$300,MATCH(data!BL$1,Haver_M!$B$1:$BZ$1,0),FALSE),"")</f>
        <v>19352.86</v>
      </c>
      <c r="BM130">
        <f>IF(ISNUMBER(VLOOKUP($A130,Haver_M!$B$1:$BZ$300,MATCH(data!BM$1,Haver_M!$B$1:$BZ$1,0),FALSE)),VLOOKUP($A130,Haver_M!$B$1:$BZ$300,MATCH(data!BM$1,Haver_M!$B$1:$BZ$1,0),FALSE),"")</f>
        <v>113.29319235</v>
      </c>
      <c r="BN130">
        <f>IF(ISNUMBER(VLOOKUP($A130,Haver_M!$B$1:$BZ$300,MATCH(data!BN$1,Haver_M!$B$1:$BZ$1,0),FALSE)),VLOOKUP($A130,Haver_M!$B$1:$BZ$300,MATCH(data!BN$1,Haver_M!$B$1:$BZ$1,0),FALSE),"")</f>
        <v>119</v>
      </c>
      <c r="BO130">
        <f>IF(ISNUMBER(VLOOKUP($A130,Haver_M!$B$1:$BZ$300,MATCH(data!BO$1,Haver_M!$B$1:$BZ$1,0),FALSE)),VLOOKUP($A130,Haver_M!$B$1:$BZ$300,MATCH(data!BO$1,Haver_M!$B$1:$BZ$1,0),FALSE),"")</f>
        <v>118.8</v>
      </c>
      <c r="BP130">
        <f>IF(ISNUMBER(VLOOKUP($A130,Haver_M!$B$1:$BZ$300,MATCH(data!BP$1,Haver_M!$B$1:$BZ$1,0),FALSE)),VLOOKUP($A130,Haver_M!$B$1:$BZ$300,MATCH(data!BP$1,Haver_M!$B$1:$BZ$1,0),FALSE),"")</f>
        <v>41.5</v>
      </c>
      <c r="BQ130">
        <f>IF(ISNUMBER(VLOOKUP($A130,Haver_M!$B$1:$BZ$300,MATCH(data!BQ$1,Haver_M!$B$1:$BZ$1,0),FALSE)),VLOOKUP($A130,Haver_M!$B$1:$BZ$300,MATCH(data!BQ$1,Haver_M!$B$1:$BZ$1,0),FALSE),"")</f>
        <v>137.07744414772358</v>
      </c>
      <c r="BR130">
        <f>IF(ISNUMBER(VLOOKUP($A130,Haver_M!$B$1:$BZ$300,MATCH(data!BR$1,Haver_M!$B$1:$BZ$1,0),FALSE)),VLOOKUP($A130,Haver_M!$B$1:$BZ$300,MATCH(data!BR$1,Haver_M!$B$1:$BZ$1,0),FALSE),"")</f>
        <v>307.69230769230774</v>
      </c>
      <c r="BS130">
        <f>IF(ISNUMBER(VLOOKUP($A130,Haver_M!$B$1:$BZ$300,MATCH(data!BS$1,Haver_M!$B$1:$BZ$1,0),FALSE)),VLOOKUP($A130,Haver_M!$B$1:$BZ$300,MATCH(data!BS$1,Haver_M!$B$1:$BZ$1,0),FALSE),"")</f>
        <v>162.54217416791508</v>
      </c>
      <c r="BT130">
        <f>IF(ISNUMBER(VLOOKUP($A130,Haver_M!$B$1:$BZ$300,MATCH(data!BT$1,Haver_M!$B$1:$BZ$1,0),FALSE)),VLOOKUP($A130,Haver_M!$B$1:$BZ$300,MATCH(data!BT$1,Haver_M!$B$1:$BZ$1,0),FALSE),"")</f>
        <v>694.5767385310146</v>
      </c>
      <c r="BU130">
        <f>IF(ISNUMBER(VLOOKUP($A130,Haver_M!$B$1:$BZ$300,MATCH(data!BU$1,Haver_M!$B$1:$BZ$1,0),FALSE)),VLOOKUP($A130,Haver_M!$B$1:$BZ$300,MATCH(data!BU$1,Haver_M!$B$1:$BZ$1,0),FALSE),"")</f>
        <v>18984.2</v>
      </c>
      <c r="BV130">
        <f>IF(ISNUMBER(VLOOKUP($A130,Haver_M!$B$1:$BZ$300,MATCH(data!BV$1,Haver_M!$B$1:$BZ$1,0),FALSE)),VLOOKUP($A130,Haver_M!$B$1:$BZ$300,MATCH(data!BV$1,Haver_M!$B$1:$BZ$1,0),FALSE),"")</f>
        <v>29511.8</v>
      </c>
      <c r="BW130">
        <f>IF(ISNUMBER(VLOOKUP($A130,Haver_M!$B$1:$BZ$300,MATCH(data!BW$1,Haver_M!$B$1:$BZ$1,0),FALSE)),VLOOKUP($A130,Haver_M!$B$1:$BZ$300,MATCH(data!BW$1,Haver_M!$B$1:$BZ$1,0),FALSE),"")</f>
        <v>46.058999999999997</v>
      </c>
      <c r="BX130">
        <f>IF(ISNUMBER(VLOOKUP($A130,Haver_M!$B$1:$BZ$300,MATCH(data!BX$1,Haver_M!$B$1:$BZ$1,0),FALSE)),VLOOKUP($A130,Haver_M!$B$1:$BZ$300,MATCH(data!BX$1,Haver_M!$B$1:$BZ$1,0),FALSE),"")</f>
        <v>46650</v>
      </c>
    </row>
    <row r="131" spans="1:76" x14ac:dyDescent="0.25">
      <c r="A131" s="2">
        <v>40482</v>
      </c>
      <c r="B131" t="str">
        <f>IF(ISNUMBER(VLOOKUP($A131,Haver_Q!$B$1:$L$185,MATCH(data!B$1,Haver_Q!$B$1:$L$1,0),FALSE)),100*(VLOOKUP($A131,Haver_Q!$B$1:$L$185,MATCH(data!B$1,Haver_Q!$B$1:$L$1,0),FALSE)),"")</f>
        <v/>
      </c>
      <c r="C131" t="str">
        <f>IF(ISNUMBER(VLOOKUP($A131,Haver_Q!$B$1:$L$185,MATCH(data!C$1,Haver_Q!$B$1:$L$1,0),FALSE)),100*(VLOOKUP($A131,Haver_Q!$B$1:$L$185,MATCH(data!C$1,Haver_Q!$B$1:$L$1,0),FALSE)),"")</f>
        <v/>
      </c>
      <c r="D131" t="str">
        <f>IF(ISNUMBER(VLOOKUP($A131,Haver_Q!$B$1:$L$185,MATCH(data!D$1,Haver_Q!$B$1:$L$1,0),FALSE)),100*(VLOOKUP($A131,Haver_Q!$B$1:$L$185,MATCH(data!D$1,Haver_Q!$B$1:$L$1,0),FALSE)),"")</f>
        <v/>
      </c>
      <c r="E131" t="str">
        <f>IF(ISNUMBER(VLOOKUP($A131,Haver_Q!$B$1:$L$185,MATCH(data!E$1,Haver_Q!$B$1:$L$1,0),FALSE)),100*(VLOOKUP($A131,Haver_Q!$B$1:$L$185,MATCH(data!E$1,Haver_Q!$B$1:$L$1,0),FALSE)),"")</f>
        <v/>
      </c>
      <c r="F131" t="str">
        <f>IF(ISNUMBER(VLOOKUP($A131,Haver_Q!$B$1:$L$185,MATCH(data!F$1,Haver_Q!$B$1:$L$1,0),FALSE)),100*(VLOOKUP($A131,Haver_Q!$B$1:$L$185,MATCH(data!F$1,Haver_Q!$B$1:$L$1,0),FALSE)),"")</f>
        <v/>
      </c>
      <c r="G131" t="str">
        <f>IF(ISNUMBER(VLOOKUP($A131,Haver_Q!$B$1:$L$185,MATCH(data!G$1,Haver_Q!$B$1:$L$1,0),FALSE)),100*(VLOOKUP($A131,Haver_Q!$B$1:$L$185,MATCH(data!G$1,Haver_Q!$B$1:$L$1,0),FALSE)),"")</f>
        <v/>
      </c>
      <c r="H131" t="str">
        <f>IF(ISNUMBER(VLOOKUP($A131,Haver_Q!$B$1:$L$185,MATCH(data!H$1,Haver_Q!$B$1:$L$1,0),FALSE)),(VLOOKUP($A131,Haver_Q!$B$1:$L$185,MATCH(data!H$1,Haver_Q!$B$1:$L$1,0),FALSE)),"")</f>
        <v/>
      </c>
      <c r="I131" t="str">
        <f>IF(ISNUMBER(VLOOKUP($A131,Haver_Q!$B$1:$L$185,MATCH(data!I$1,Haver_Q!$B$1:$L$1,0),FALSE)),100*(VLOOKUP($A131,Haver_Q!$B$1:$L$185,MATCH(data!I$1,Haver_Q!$B$1:$L$1,0),FALSE)),"")</f>
        <v/>
      </c>
      <c r="J131" s="3">
        <f>IF(ISNUMBER(Bloomberg_m!C147),Bloomberg_m!C147,"")</f>
        <v>2693</v>
      </c>
      <c r="K131" s="3" t="str">
        <f>IF(ISNUMBER(Bloomberg_m!D147),Bloomberg_m!D147,"")</f>
        <v/>
      </c>
      <c r="L131" s="3" t="str">
        <f>IF(ISNUMBER(Bloomberg_m!E147),Bloomberg_m!E147,"")</f>
        <v/>
      </c>
      <c r="M131" s="3">
        <f>IF(ISNUMBER(Bloomberg_m!F147),Bloomberg_m!F147,"")</f>
        <v>543.80999999999995</v>
      </c>
      <c r="N131">
        <f>IF(ISNUMBER(VLOOKUP($A131,Haver_M!$B$1:$BZ$300,MATCH(data!N$1,Haver_M!$B$1:$BZ$1,0),FALSE)),VLOOKUP($A131,Haver_M!$B$1:$BZ$300,MATCH(data!N$1,Haver_M!$B$1:$BZ$1,0),FALSE),"")</f>
        <v>6</v>
      </c>
      <c r="O131">
        <f>IF(ISNUMBER(VLOOKUP($A131,Haver_M!$B$1:$BZ$300,MATCH(data!O$1,Haver_M!$B$1:$BZ$1,0),FALSE)),VLOOKUP($A131,Haver_M!$B$1:$BZ$300,MATCH(data!O$1,Haver_M!$B$1:$BZ$1,0),FALSE),"")</f>
        <v>8.1179000000000006</v>
      </c>
      <c r="P131">
        <f>IF(ISNUMBER(VLOOKUP($A131,Haver_M!$B$1:$BZ$300,MATCH(data!P$1,Haver_M!$B$1:$BZ$1,0),FALSE)),VLOOKUP($A131,Haver_M!$B$1:$BZ$300,MATCH(data!P$1,Haver_M!$B$1:$BZ$1,0),FALSE),"")</f>
        <v>101.22752</v>
      </c>
      <c r="Q131">
        <f>IF(ISNUMBER(VLOOKUP($A131,Haver_M!$B$1:$BZ$300,MATCH(data!Q$1,Haver_M!$B$1:$BZ$1,0),FALSE)),VLOOKUP($A131,Haver_M!$B$1:$BZ$300,MATCH(data!Q$1,Haver_M!$B$1:$BZ$1,0),FALSE),"")</f>
        <v>87</v>
      </c>
      <c r="R131" t="str">
        <f>IF(ISNUMBER(VLOOKUP($A131,Haver_M!$B$1:$BZ$300,MATCH(data!R$1,Haver_M!$B$1:$BZ$1,0),FALSE)),VLOOKUP($A131,Haver_M!$B$1:$BZ$300,MATCH(data!R$1,Haver_M!$B$1:$BZ$1,0),FALSE),"")</f>
        <v/>
      </c>
      <c r="S131">
        <f>IF(ISNUMBER(VLOOKUP($A131,Haver_M!$B$1:$BZ$300,MATCH(data!S$1,Haver_M!$B$1:$BZ$1,0),FALSE)),VLOOKUP($A131,Haver_M!$B$1:$BZ$300,MATCH(data!S$1,Haver_M!$B$1:$BZ$1,0),FALSE),"")</f>
        <v>101.58</v>
      </c>
      <c r="T131">
        <f>IF(ISNUMBER(VLOOKUP($A131,Haver_M!$B$1:$BZ$300,MATCH(data!T$1,Haver_M!$B$1:$BZ$1,0),FALSE)),VLOOKUP($A131,Haver_M!$B$1:$BZ$300,MATCH(data!T$1,Haver_M!$B$1:$BZ$1,0),FALSE),"")</f>
        <v>97.18</v>
      </c>
      <c r="U131">
        <f>IF(ISNUMBER(VLOOKUP($A131,Haver_M!$B$1:$BZ$300,MATCH(data!U$1,Haver_M!$B$1:$BZ$1,0),FALSE)),VLOOKUP($A131,Haver_M!$B$1:$BZ$300,MATCH(data!U$1,Haver_M!$B$1:$BZ$1,0),FALSE),"")</f>
        <v>133.09</v>
      </c>
      <c r="V131">
        <f>IF(ISNUMBER(VLOOKUP($A131,Haver_M!$B$1:$BZ$300,MATCH(data!V$1,Haver_M!$B$1:$BZ$1,0),FALSE)),VLOOKUP($A131,Haver_M!$B$1:$BZ$300,MATCH(data!V$1,Haver_M!$B$1:$BZ$1,0),FALSE),"")</f>
        <v>107.42</v>
      </c>
      <c r="W131" t="str">
        <f>IF(ISNUMBER(VLOOKUP($A131,Haver_M!$B$1:$BZ$300,MATCH(data!W$1,Haver_M!$B$1:$BZ$1,0),FALSE)),VLOOKUP($A131,Haver_M!$B$1:$BZ$300,MATCH(data!W$1,Haver_M!$B$1:$BZ$1,0),FALSE),"")</f>
        <v/>
      </c>
      <c r="X131">
        <f>IF(ISNUMBER(VLOOKUP($A131,Haver_M!$B$1:$BZ$300,MATCH(data!X$1,Haver_M!$B$1:$BZ$1,0),FALSE)),VLOOKUP($A131,Haver_M!$B$1:$BZ$300,MATCH(data!X$1,Haver_M!$B$1:$BZ$1,0),FALSE),"")</f>
        <v>93.48</v>
      </c>
      <c r="Y131">
        <f>IF(ISNUMBER(VLOOKUP($A131,Haver_M!$B$1:$BZ$300,MATCH(data!Y$1,Haver_M!$B$1:$BZ$1,0),FALSE)),VLOOKUP($A131,Haver_M!$B$1:$BZ$300,MATCH(data!Y$1,Haver_M!$B$1:$BZ$1,0),FALSE),"")</f>
        <v>90.59</v>
      </c>
      <c r="Z131">
        <f>IF(ISNUMBER(VLOOKUP($A131,Haver_M!$B$1:$BZ$300,MATCH(data!Z$1,Haver_M!$B$1:$BZ$1,0),FALSE)),VLOOKUP($A131,Haver_M!$B$1:$BZ$300,MATCH(data!Z$1,Haver_M!$B$1:$BZ$1,0),FALSE),"")</f>
        <v>97.3</v>
      </c>
      <c r="AA131">
        <f>IF(ISNUMBER(VLOOKUP($A131,Haver_M!$B$1:$BZ$300,MATCH(data!AA$1,Haver_M!$B$1:$BZ$1,0),FALSE)),VLOOKUP($A131,Haver_M!$B$1:$BZ$300,MATCH(data!AA$1,Haver_M!$B$1:$BZ$1,0),FALSE),"")</f>
        <v>102.33</v>
      </c>
      <c r="AB131">
        <f>IF(ISNUMBER(VLOOKUP($A131,Haver_M!$B$1:$BZ$300,MATCH(data!AB$1,Haver_M!$B$1:$BZ$1,0),FALSE)),VLOOKUP($A131,Haver_M!$B$1:$BZ$300,MATCH(data!AB$1,Haver_M!$B$1:$BZ$1,0),FALSE),"")</f>
        <v>100.303</v>
      </c>
      <c r="AC131">
        <f>IF(ISNUMBER(VLOOKUP($A131,Haver_M!$B$1:$BZ$300,MATCH(data!AC$1,Haver_M!$B$1:$BZ$1,0),FALSE)),VLOOKUP($A131,Haver_M!$B$1:$BZ$300,MATCH(data!AC$1,Haver_M!$B$1:$BZ$1,0),FALSE),"")</f>
        <v>107.96299999999999</v>
      </c>
      <c r="AD131">
        <f>IF(ISNUMBER(VLOOKUP($A131,Haver_M!$B$1:$BZ$300,MATCH(data!AD$1,Haver_M!$B$1:$BZ$1,0),FALSE)),VLOOKUP($A131,Haver_M!$B$1:$BZ$300,MATCH(data!AD$1,Haver_M!$B$1:$BZ$1,0),FALSE),"")</f>
        <v>95.75</v>
      </c>
      <c r="AE131">
        <f>IF(ISNUMBER(VLOOKUP($A131,Haver_M!$B$1:$BZ$300,MATCH(data!AE$1,Haver_M!$B$1:$BZ$1,0),FALSE)),VLOOKUP($A131,Haver_M!$B$1:$BZ$300,MATCH(data!AE$1,Haver_M!$B$1:$BZ$1,0),FALSE),"")</f>
        <v>93.947000000000003</v>
      </c>
      <c r="AF131">
        <f>IF(ISNUMBER(VLOOKUP($A131,Haver_M!$B$1:$BZ$300,MATCH(data!AF$1,Haver_M!$B$1:$BZ$1,0),FALSE)),VLOOKUP($A131,Haver_M!$B$1:$BZ$300,MATCH(data!AF$1,Haver_M!$B$1:$BZ$1,0),FALSE),"")</f>
        <v>92.522999999999996</v>
      </c>
      <c r="AG131">
        <f>IF(ISNUMBER(VLOOKUP($A131,Haver_M!$B$1:$BZ$300,MATCH(data!AG$1,Haver_M!$B$1:$BZ$1,0),FALSE)),VLOOKUP($A131,Haver_M!$B$1:$BZ$300,MATCH(data!AG$1,Haver_M!$B$1:$BZ$1,0),FALSE),"")</f>
        <v>99.155000000000001</v>
      </c>
      <c r="AH131">
        <f>IF(ISNUMBER(VLOOKUP($A131,Haver_M!$B$1:$BZ$300,MATCH(data!AH$1,Haver_M!$B$1:$BZ$1,0),FALSE)),VLOOKUP($A131,Haver_M!$B$1:$BZ$300,MATCH(data!AH$1,Haver_M!$B$1:$BZ$1,0),FALSE),"")</f>
        <v>94.224000000000004</v>
      </c>
      <c r="AI131">
        <f>IF(ISNUMBER(VLOOKUP($A131,Haver_M!$B$1:$BZ$300,MATCH(data!AI$1,Haver_M!$B$1:$BZ$1,0),FALSE)),VLOOKUP($A131,Haver_M!$B$1:$BZ$300,MATCH(data!AI$1,Haver_M!$B$1:$BZ$1,0),FALSE),"")</f>
        <v>11779.572757313139</v>
      </c>
      <c r="AJ131">
        <f>IF(ISNUMBER(VLOOKUP($A131,Haver_M!$B$1:$BZ$300,MATCH(data!AJ$1,Haver_M!$B$1:$BZ$1,0),FALSE)),VLOOKUP($A131,Haver_M!$B$1:$BZ$300,MATCH(data!AJ$1,Haver_M!$B$1:$BZ$1,0),FALSE),"")</f>
        <v>20190.150000000001</v>
      </c>
      <c r="AK131">
        <f>IF(ISNUMBER(VLOOKUP($A131,Haver_M!$B$1:$BZ$300,MATCH(data!AK$1,Haver_M!$B$1:$BZ$1,0),FALSE)),VLOOKUP($A131,Haver_M!$B$1:$BZ$300,MATCH(data!AK$1,Haver_M!$B$1:$BZ$1,0),FALSE),"")</f>
        <v>31150.33</v>
      </c>
      <c r="AL131" t="str">
        <f>IF(ISNUMBER(VLOOKUP($A131,Haver_M!$B$1:$BZ$300,MATCH(data!AL$1,Haver_M!$B$1:$BZ$1,0),FALSE)),VLOOKUP($A131,Haver_M!$B$1:$BZ$300,MATCH(data!AL$1,Haver_M!$B$1:$BZ$1,0),FALSE),"")</f>
        <v/>
      </c>
      <c r="AM131" t="str">
        <f>IF(ISNUMBER(VLOOKUP($A131,Haver_M!$B$1:$BZ$300,MATCH(data!AM$1,Haver_M!$B$1:$BZ$1,0),FALSE)),VLOOKUP($A131,Haver_M!$B$1:$BZ$300,MATCH(data!AM$1,Haver_M!$B$1:$BZ$1,0),FALSE),"")</f>
        <v/>
      </c>
      <c r="AN131" t="str">
        <f>IF(ISNUMBER(VLOOKUP($A131,Haver_M!$B$1:$BZ$300,MATCH(data!AN$1,Haver_M!$B$1:$BZ$1,0),FALSE)),VLOOKUP($A131,Haver_M!$B$1:$BZ$300,MATCH(data!AN$1,Haver_M!$B$1:$BZ$1,0),FALSE),"")</f>
        <v/>
      </c>
      <c r="AO131" t="str">
        <f>IF(ISNUMBER(VLOOKUP($A131,Haver_M!$B$1:$BZ$300,MATCH(data!AO$1,Haver_M!$B$1:$BZ$1,0),FALSE)),VLOOKUP($A131,Haver_M!$B$1:$BZ$300,MATCH(data!AO$1,Haver_M!$B$1:$BZ$1,0),FALSE),"")</f>
        <v/>
      </c>
      <c r="AP131">
        <f>IF(ISNUMBER(VLOOKUP($A131,Haver_M!$B$1:$BZ$300,MATCH(data!AP$1,Haver_M!$B$1:$BZ$1,0),FALSE)),VLOOKUP($A131,Haver_M!$B$1:$BZ$300,MATCH(data!AP$1,Haver_M!$B$1:$BZ$1,0),FALSE),"")</f>
        <v>82.621383170813061</v>
      </c>
      <c r="AQ131">
        <f>IF(ISNUMBER(VLOOKUP($A131,Haver_M!$B$1:$BZ$300,MATCH(data!AQ$1,Haver_M!$B$1:$BZ$1,0),FALSE)),VLOOKUP($A131,Haver_M!$B$1:$BZ$300,MATCH(data!AQ$1,Haver_M!$B$1:$BZ$1,0),FALSE),"")</f>
        <v>58.350499999999997</v>
      </c>
      <c r="AR131">
        <f>IF(ISNUMBER(VLOOKUP($A131,Haver_M!$B$1:$BZ$300,MATCH(data!AR$1,Haver_M!$B$1:$BZ$1,0),FALSE)),VLOOKUP($A131,Haver_M!$B$1:$BZ$300,MATCH(data!AR$1,Haver_M!$B$1:$BZ$1,0),FALSE),"")</f>
        <v>57.214300000000001</v>
      </c>
      <c r="AS131">
        <f>IF(ISNUMBER(VLOOKUP($A131,Haver_M!$B$1:$BZ$300,MATCH(data!AS$1,Haver_M!$B$1:$BZ$1,0),FALSE)),VLOOKUP($A131,Haver_M!$B$1:$BZ$300,MATCH(data!AS$1,Haver_M!$B$1:$BZ$1,0),FALSE),"")</f>
        <v>56.211100000000002</v>
      </c>
      <c r="AT131">
        <f>IF(ISNUMBER(VLOOKUP($A131,Haver_M!$B$1:$BZ$300,MATCH(data!AT$1,Haver_M!$B$1:$BZ$1,0),FALSE)),VLOOKUP($A131,Haver_M!$B$1:$BZ$300,MATCH(data!AT$1,Haver_M!$B$1:$BZ$1,0),FALSE),"")</f>
        <v>62.7913</v>
      </c>
      <c r="AU131">
        <f>IF(ISNUMBER(VLOOKUP($A131,Haver_M!$B$1:$BZ$300,MATCH(data!AU$1,Haver_M!$B$1:$BZ$1,0),FALSE)),VLOOKUP($A131,Haver_M!$B$1:$BZ$300,MATCH(data!AU$1,Haver_M!$B$1:$BZ$1,0),FALSE),"")</f>
        <v>60.636000000000003</v>
      </c>
      <c r="AV131">
        <f>IF(ISNUMBER(VLOOKUP($A131,Haver_M!$B$1:$BZ$300,MATCH(data!AV$1,Haver_M!$B$1:$BZ$1,0),FALSE)),VLOOKUP($A131,Haver_M!$B$1:$BZ$300,MATCH(data!AV$1,Haver_M!$B$1:$BZ$1,0),FALSE),"")</f>
        <v>50.962000000000003</v>
      </c>
      <c r="AW131">
        <f>IF(ISNUMBER(VLOOKUP($A131,Haver_M!$B$1:$BZ$300,MATCH(data!AW$1,Haver_M!$B$1:$BZ$1,0),FALSE)),VLOOKUP($A131,Haver_M!$B$1:$BZ$300,MATCH(data!AW$1,Haver_M!$B$1:$BZ$1,0),FALSE),"")</f>
        <v>49.634700000000002</v>
      </c>
      <c r="AX131">
        <f>IF(ISNUMBER(VLOOKUP($A131,Haver_M!$B$1:$BZ$300,MATCH(data!AX$1,Haver_M!$B$1:$BZ$1,0),FALSE)),VLOOKUP($A131,Haver_M!$B$1:$BZ$300,MATCH(data!AX$1,Haver_M!$B$1:$BZ$1,0),FALSE),"")</f>
        <v>55.784799999999997</v>
      </c>
      <c r="AY131">
        <f>IF(ISNUMBER(VLOOKUP($A131,Haver_M!$B$1:$BZ$300,MATCH(data!AY$1,Haver_M!$B$1:$BZ$1,0),FALSE)),VLOOKUP($A131,Haver_M!$B$1:$BZ$300,MATCH(data!AY$1,Haver_M!$B$1:$BZ$1,0),FALSE),"")</f>
        <v>60.8992</v>
      </c>
      <c r="AZ131">
        <f>IF(ISNUMBER(VLOOKUP($A131,Haver_M!$B$1:$BZ$300,MATCH(data!AZ$1,Haver_M!$B$1:$BZ$1,0),FALSE)),VLOOKUP($A131,Haver_M!$B$1:$BZ$300,MATCH(data!AZ$1,Haver_M!$B$1:$BZ$1,0),FALSE),"")</f>
        <v>56.580800000000004</v>
      </c>
      <c r="BA131">
        <f>IF(ISNUMBER(VLOOKUP($A131,Haver_M!$B$1:$BZ$300,MATCH(data!BA$1,Haver_M!$B$1:$BZ$1,0),FALSE)),VLOOKUP($A131,Haver_M!$B$1:$BZ$300,MATCH(data!BA$1,Haver_M!$B$1:$BZ$1,0),FALSE),"")</f>
        <v>55.784799999999997</v>
      </c>
      <c r="BB131">
        <f>IF(ISNUMBER(VLOOKUP($A131,Haver_M!$B$1:$BZ$300,MATCH(data!BB$1,Haver_M!$B$1:$BZ$1,0),FALSE)),VLOOKUP($A131,Haver_M!$B$1:$BZ$300,MATCH(data!BB$1,Haver_M!$B$1:$BZ$1,0),FALSE),"")</f>
        <v>53.429099999999998</v>
      </c>
      <c r="BC131">
        <f>IF(ISNUMBER(VLOOKUP($A131,Haver_M!$B$1:$BZ$300,MATCH(data!BC$1,Haver_M!$B$1:$BZ$1,0),FALSE)),VLOOKUP($A131,Haver_M!$B$1:$BZ$300,MATCH(data!BC$1,Haver_M!$B$1:$BZ$1,0),FALSE),"")</f>
        <v>51.591200000000001</v>
      </c>
      <c r="BD131">
        <f>IF(ISNUMBER(VLOOKUP($A131,Haver_M!$B$1:$BZ$300,MATCH(data!BD$1,Haver_M!$B$1:$BZ$1,0),FALSE)),VLOOKUP($A131,Haver_M!$B$1:$BZ$300,MATCH(data!BD$1,Haver_M!$B$1:$BZ$1,0),FALSE),"")</f>
        <v>50.9985</v>
      </c>
      <c r="BE131">
        <f>IF(ISNUMBER(VLOOKUP($A131,Haver_M!$B$1:$BZ$300,MATCH(data!BE$1,Haver_M!$B$1:$BZ$1,0),FALSE)),VLOOKUP($A131,Haver_M!$B$1:$BZ$300,MATCH(data!BE$1,Haver_M!$B$1:$BZ$1,0),FALSE),"")</f>
        <v>1.2072000000000001</v>
      </c>
      <c r="BF131">
        <f>IF(ISNUMBER(VLOOKUP($A131,Haver_M!$B$1:$BZ$300,MATCH(data!BF$1,Haver_M!$B$1:$BZ$1,0),FALSE)),VLOOKUP($A131,Haver_M!$B$1:$BZ$300,MATCH(data!BF$1,Haver_M!$B$1:$BZ$1,0),FALSE),"")</f>
        <v>51.373800000000003</v>
      </c>
      <c r="BG131">
        <f>IF(ISNUMBER(VLOOKUP($A131,Haver_M!$B$1:$BZ$300,MATCH(data!BG$1,Haver_M!$B$1:$BZ$1,0),FALSE)),VLOOKUP($A131,Haver_M!$B$1:$BZ$300,MATCH(data!BG$1,Haver_M!$B$1:$BZ$1,0),FALSE),"")</f>
        <v>49.386299999999999</v>
      </c>
      <c r="BH131">
        <f>IF(ISNUMBER(VLOOKUP($A131,Haver_M!$B$1:$BZ$300,MATCH(data!BH$1,Haver_M!$B$1:$BZ$1,0),FALSE)),VLOOKUP($A131,Haver_M!$B$1:$BZ$300,MATCH(data!BH$1,Haver_M!$B$1:$BZ$1,0),FALSE),"")</f>
        <v>53.334699999999998</v>
      </c>
      <c r="BI131">
        <f>IF(ISNUMBER(VLOOKUP($A131,Haver_M!$B$1:$BZ$300,MATCH(data!BI$1,Haver_M!$B$1:$BZ$1,0),FALSE)),VLOOKUP($A131,Haver_M!$B$1:$BZ$300,MATCH(data!BI$1,Haver_M!$B$1:$BZ$1,0),FALSE),"")</f>
        <v>53.805900000000001</v>
      </c>
      <c r="BJ131" t="str">
        <f>IF(ISNUMBER(VLOOKUP($A131,Haver_M!$B$1:$BZ$300,MATCH(data!BJ$1,Haver_M!$B$1:$BZ$1,0),FALSE)),VLOOKUP($A131,Haver_M!$B$1:$BZ$300,MATCH(data!BJ$1,Haver_M!$B$1:$BZ$1,0),FALSE),"")</f>
        <v/>
      </c>
      <c r="BK131">
        <f>IF(ISNUMBER(VLOOKUP($A131,Haver_M!$B$1:$BZ$300,MATCH(data!BK$1,Haver_M!$B$1:$BZ$1,0),FALSE)),VLOOKUP($A131,Haver_M!$B$1:$BZ$300,MATCH(data!BK$1,Haver_M!$B$1:$BZ$1,0),FALSE),"")</f>
        <v>48.404000000000003</v>
      </c>
      <c r="BL131">
        <f>IF(ISNUMBER(VLOOKUP($A131,Haver_M!$B$1:$BZ$300,MATCH(data!BL$1,Haver_M!$B$1:$BZ$1,0),FALSE)),VLOOKUP($A131,Haver_M!$B$1:$BZ$300,MATCH(data!BL$1,Haver_M!$B$1:$BZ$1,0),FALSE),"")</f>
        <v>20249.75</v>
      </c>
      <c r="BM131">
        <f>IF(ISNUMBER(VLOOKUP($A131,Haver_M!$B$1:$BZ$300,MATCH(data!BM$1,Haver_M!$B$1:$BZ$1,0),FALSE)),VLOOKUP($A131,Haver_M!$B$1:$BZ$300,MATCH(data!BM$1,Haver_M!$B$1:$BZ$1,0),FALSE),"")</f>
        <v>114.37879982</v>
      </c>
      <c r="BN131" t="str">
        <f>IF(ISNUMBER(VLOOKUP($A131,Haver_M!$B$1:$BZ$300,MATCH(data!BN$1,Haver_M!$B$1:$BZ$1,0),FALSE)),VLOOKUP($A131,Haver_M!$B$1:$BZ$300,MATCH(data!BN$1,Haver_M!$B$1:$BZ$1,0),FALSE),"")</f>
        <v/>
      </c>
      <c r="BO131" t="str">
        <f>IF(ISNUMBER(VLOOKUP($A131,Haver_M!$B$1:$BZ$300,MATCH(data!BO$1,Haver_M!$B$1:$BZ$1,0),FALSE)),VLOOKUP($A131,Haver_M!$B$1:$BZ$300,MATCH(data!BO$1,Haver_M!$B$1:$BZ$1,0),FALSE),"")</f>
        <v/>
      </c>
      <c r="BP131" t="str">
        <f>IF(ISNUMBER(VLOOKUP($A131,Haver_M!$B$1:$BZ$300,MATCH(data!BP$1,Haver_M!$B$1:$BZ$1,0),FALSE)),VLOOKUP($A131,Haver_M!$B$1:$BZ$300,MATCH(data!BP$1,Haver_M!$B$1:$BZ$1,0),FALSE),"")</f>
        <v/>
      </c>
      <c r="BQ131">
        <f>IF(ISNUMBER(VLOOKUP($A131,Haver_M!$B$1:$BZ$300,MATCH(data!BQ$1,Haver_M!$B$1:$BZ$1,0),FALSE)),VLOOKUP($A131,Haver_M!$B$1:$BZ$300,MATCH(data!BQ$1,Haver_M!$B$1:$BZ$1,0),FALSE),"")</f>
        <v>144.05395851111976</v>
      </c>
      <c r="BR131">
        <f>IF(ISNUMBER(VLOOKUP($A131,Haver_M!$B$1:$BZ$300,MATCH(data!BR$1,Haver_M!$B$1:$BZ$1,0),FALSE)),VLOOKUP($A131,Haver_M!$B$1:$BZ$300,MATCH(data!BR$1,Haver_M!$B$1:$BZ$1,0),FALSE),"")</f>
        <v>321.94029077792209</v>
      </c>
      <c r="BS131">
        <f>IF(ISNUMBER(VLOOKUP($A131,Haver_M!$B$1:$BZ$300,MATCH(data!BS$1,Haver_M!$B$1:$BZ$1,0),FALSE)),VLOOKUP($A131,Haver_M!$B$1:$BZ$300,MATCH(data!BS$1,Haver_M!$B$1:$BZ$1,0),FALSE),"")</f>
        <v>173.48413375694352</v>
      </c>
      <c r="BT131">
        <f>IF(ISNUMBER(VLOOKUP($A131,Haver_M!$B$1:$BZ$300,MATCH(data!BT$1,Haver_M!$B$1:$BZ$1,0),FALSE)),VLOOKUP($A131,Haver_M!$B$1:$BZ$300,MATCH(data!BT$1,Haver_M!$B$1:$BZ$1,0),FALSE),"")</f>
        <v>730.98606454576361</v>
      </c>
      <c r="BU131">
        <f>IF(ISNUMBER(VLOOKUP($A131,Haver_M!$B$1:$BZ$300,MATCH(data!BU$1,Haver_M!$B$1:$BZ$1,0),FALSE)),VLOOKUP($A131,Haver_M!$B$1:$BZ$300,MATCH(data!BU$1,Haver_M!$B$1:$BZ$1,0),FALSE),"")</f>
        <v>19080.8</v>
      </c>
      <c r="BV131">
        <f>IF(ISNUMBER(VLOOKUP($A131,Haver_M!$B$1:$BZ$300,MATCH(data!BV$1,Haver_M!$B$1:$BZ$1,0),FALSE)),VLOOKUP($A131,Haver_M!$B$1:$BZ$300,MATCH(data!BV$1,Haver_M!$B$1:$BZ$1,0),FALSE),"")</f>
        <v>32461.7</v>
      </c>
      <c r="BW131">
        <f>IF(ISNUMBER(VLOOKUP($A131,Haver_M!$B$1:$BZ$300,MATCH(data!BW$1,Haver_M!$B$1:$BZ$1,0),FALSE)),VLOOKUP($A131,Haver_M!$B$1:$BZ$300,MATCH(data!BW$1,Haver_M!$B$1:$BZ$1,0),FALSE),"")</f>
        <v>44.411900000000003</v>
      </c>
      <c r="BX131">
        <f>IF(ISNUMBER(VLOOKUP($A131,Haver_M!$B$1:$BZ$300,MATCH(data!BX$1,Haver_M!$B$1:$BZ$1,0),FALSE)),VLOOKUP($A131,Haver_M!$B$1:$BZ$300,MATCH(data!BX$1,Haver_M!$B$1:$BZ$1,0),FALSE),"")</f>
        <v>49027</v>
      </c>
    </row>
    <row r="132" spans="1:76" x14ac:dyDescent="0.25">
      <c r="A132" s="2">
        <v>40512</v>
      </c>
      <c r="B132" t="str">
        <f>IF(ISNUMBER(VLOOKUP($A132,Haver_Q!$B$1:$L$185,MATCH(data!B$1,Haver_Q!$B$1:$L$1,0),FALSE)),100*(VLOOKUP($A132,Haver_Q!$B$1:$L$185,MATCH(data!B$1,Haver_Q!$B$1:$L$1,0),FALSE)),"")</f>
        <v/>
      </c>
      <c r="C132" t="str">
        <f>IF(ISNUMBER(VLOOKUP($A132,Haver_Q!$B$1:$L$185,MATCH(data!C$1,Haver_Q!$B$1:$L$1,0),FALSE)),100*(VLOOKUP($A132,Haver_Q!$B$1:$L$185,MATCH(data!C$1,Haver_Q!$B$1:$L$1,0),FALSE)),"")</f>
        <v/>
      </c>
      <c r="D132" t="str">
        <f>IF(ISNUMBER(VLOOKUP($A132,Haver_Q!$B$1:$L$185,MATCH(data!D$1,Haver_Q!$B$1:$L$1,0),FALSE)),100*(VLOOKUP($A132,Haver_Q!$B$1:$L$185,MATCH(data!D$1,Haver_Q!$B$1:$L$1,0),FALSE)),"")</f>
        <v/>
      </c>
      <c r="E132" t="str">
        <f>IF(ISNUMBER(VLOOKUP($A132,Haver_Q!$B$1:$L$185,MATCH(data!E$1,Haver_Q!$B$1:$L$1,0),FALSE)),100*(VLOOKUP($A132,Haver_Q!$B$1:$L$185,MATCH(data!E$1,Haver_Q!$B$1:$L$1,0),FALSE)),"")</f>
        <v/>
      </c>
      <c r="F132" t="str">
        <f>IF(ISNUMBER(VLOOKUP($A132,Haver_Q!$B$1:$L$185,MATCH(data!F$1,Haver_Q!$B$1:$L$1,0),FALSE)),100*(VLOOKUP($A132,Haver_Q!$B$1:$L$185,MATCH(data!F$1,Haver_Q!$B$1:$L$1,0),FALSE)),"")</f>
        <v/>
      </c>
      <c r="G132" t="str">
        <f>IF(ISNUMBER(VLOOKUP($A132,Haver_Q!$B$1:$L$185,MATCH(data!G$1,Haver_Q!$B$1:$L$1,0),FALSE)),100*(VLOOKUP($A132,Haver_Q!$B$1:$L$185,MATCH(data!G$1,Haver_Q!$B$1:$L$1,0),FALSE)),"")</f>
        <v/>
      </c>
      <c r="H132" t="str">
        <f>IF(ISNUMBER(VLOOKUP($A132,Haver_Q!$B$1:$L$185,MATCH(data!H$1,Haver_Q!$B$1:$L$1,0),FALSE)),(VLOOKUP($A132,Haver_Q!$B$1:$L$185,MATCH(data!H$1,Haver_Q!$B$1:$L$1,0),FALSE)),"")</f>
        <v/>
      </c>
      <c r="I132" t="str">
        <f>IF(ISNUMBER(VLOOKUP($A132,Haver_Q!$B$1:$L$185,MATCH(data!I$1,Haver_Q!$B$1:$L$1,0),FALSE)),100*(VLOOKUP($A132,Haver_Q!$B$1:$L$185,MATCH(data!I$1,Haver_Q!$B$1:$L$1,0),FALSE)),"")</f>
        <v/>
      </c>
      <c r="J132" s="3">
        <f>IF(ISNUMBER(Bloomberg_m!C148),Bloomberg_m!C148,"")</f>
        <v>2321</v>
      </c>
      <c r="K132" s="3" t="str">
        <f>IF(ISNUMBER(Bloomberg_m!D148),Bloomberg_m!D148,"")</f>
        <v/>
      </c>
      <c r="L132" s="3">
        <f>IF(ISNUMBER(Bloomberg_m!E148),Bloomberg_m!E148,"")</f>
        <v>1202.68</v>
      </c>
      <c r="M132" s="3">
        <f>IF(ISNUMBER(Bloomberg_m!F148),Bloomberg_m!F148,"")</f>
        <v>572.92999999999995</v>
      </c>
      <c r="N132">
        <f>IF(ISNUMBER(VLOOKUP($A132,Haver_M!$B$1:$BZ$300,MATCH(data!N$1,Haver_M!$B$1:$BZ$1,0),FALSE)),VLOOKUP($A132,Haver_M!$B$1:$BZ$300,MATCH(data!N$1,Haver_M!$B$1:$BZ$1,0),FALSE),"")</f>
        <v>6.25</v>
      </c>
      <c r="O132">
        <f>IF(ISNUMBER(VLOOKUP($A132,Haver_M!$B$1:$BZ$300,MATCH(data!O$1,Haver_M!$B$1:$BZ$1,0),FALSE)),VLOOKUP($A132,Haver_M!$B$1:$BZ$300,MATCH(data!O$1,Haver_M!$B$1:$BZ$1,0),FALSE),"")</f>
        <v>8.0497999999999994</v>
      </c>
      <c r="P132">
        <f>IF(ISNUMBER(VLOOKUP($A132,Haver_M!$B$1:$BZ$300,MATCH(data!P$1,Haver_M!$B$1:$BZ$1,0),FALSE)),VLOOKUP($A132,Haver_M!$B$1:$BZ$300,MATCH(data!P$1,Haver_M!$B$1:$BZ$1,0),FALSE),"")</f>
        <v>100.38441</v>
      </c>
      <c r="Q132">
        <f>IF(ISNUMBER(VLOOKUP($A132,Haver_M!$B$1:$BZ$300,MATCH(data!Q$1,Haver_M!$B$1:$BZ$1,0),FALSE)),VLOOKUP($A132,Haver_M!$B$1:$BZ$300,MATCH(data!Q$1,Haver_M!$B$1:$BZ$1,0),FALSE),"")</f>
        <v>87.5</v>
      </c>
      <c r="R132" t="str">
        <f>IF(ISNUMBER(VLOOKUP($A132,Haver_M!$B$1:$BZ$300,MATCH(data!R$1,Haver_M!$B$1:$BZ$1,0),FALSE)),VLOOKUP($A132,Haver_M!$B$1:$BZ$300,MATCH(data!R$1,Haver_M!$B$1:$BZ$1,0),FALSE),"")</f>
        <v/>
      </c>
      <c r="S132">
        <f>IF(ISNUMBER(VLOOKUP($A132,Haver_M!$B$1:$BZ$300,MATCH(data!S$1,Haver_M!$B$1:$BZ$1,0),FALSE)),VLOOKUP($A132,Haver_M!$B$1:$BZ$300,MATCH(data!S$1,Haver_M!$B$1:$BZ$1,0),FALSE),"")</f>
        <v>100.14</v>
      </c>
      <c r="T132">
        <f>IF(ISNUMBER(VLOOKUP($A132,Haver_M!$B$1:$BZ$300,MATCH(data!T$1,Haver_M!$B$1:$BZ$1,0),FALSE)),VLOOKUP($A132,Haver_M!$B$1:$BZ$300,MATCH(data!T$1,Haver_M!$B$1:$BZ$1,0),FALSE),"")</f>
        <v>94.71</v>
      </c>
      <c r="U132">
        <f>IF(ISNUMBER(VLOOKUP($A132,Haver_M!$B$1:$BZ$300,MATCH(data!U$1,Haver_M!$B$1:$BZ$1,0),FALSE)),VLOOKUP($A132,Haver_M!$B$1:$BZ$300,MATCH(data!U$1,Haver_M!$B$1:$BZ$1,0),FALSE),"")</f>
        <v>123.06</v>
      </c>
      <c r="V132">
        <f>IF(ISNUMBER(VLOOKUP($A132,Haver_M!$B$1:$BZ$300,MATCH(data!V$1,Haver_M!$B$1:$BZ$1,0),FALSE)),VLOOKUP($A132,Haver_M!$B$1:$BZ$300,MATCH(data!V$1,Haver_M!$B$1:$BZ$1,0),FALSE),"")</f>
        <v>106.34</v>
      </c>
      <c r="W132" t="str">
        <f>IF(ISNUMBER(VLOOKUP($A132,Haver_M!$B$1:$BZ$300,MATCH(data!W$1,Haver_M!$B$1:$BZ$1,0),FALSE)),VLOOKUP($A132,Haver_M!$B$1:$BZ$300,MATCH(data!W$1,Haver_M!$B$1:$BZ$1,0),FALSE),"")</f>
        <v/>
      </c>
      <c r="X132">
        <f>IF(ISNUMBER(VLOOKUP($A132,Haver_M!$B$1:$BZ$300,MATCH(data!X$1,Haver_M!$B$1:$BZ$1,0),FALSE)),VLOOKUP($A132,Haver_M!$B$1:$BZ$300,MATCH(data!X$1,Haver_M!$B$1:$BZ$1,0),FALSE),"")</f>
        <v>96.25</v>
      </c>
      <c r="Y132">
        <f>IF(ISNUMBER(VLOOKUP($A132,Haver_M!$B$1:$BZ$300,MATCH(data!Y$1,Haver_M!$B$1:$BZ$1,0),FALSE)),VLOOKUP($A132,Haver_M!$B$1:$BZ$300,MATCH(data!Y$1,Haver_M!$B$1:$BZ$1,0),FALSE),"")</f>
        <v>88.31</v>
      </c>
      <c r="Z132">
        <f>IF(ISNUMBER(VLOOKUP($A132,Haver_M!$B$1:$BZ$300,MATCH(data!Z$1,Haver_M!$B$1:$BZ$1,0),FALSE)),VLOOKUP($A132,Haver_M!$B$1:$BZ$300,MATCH(data!Z$1,Haver_M!$B$1:$BZ$1,0),FALSE),"")</f>
        <v>93.4</v>
      </c>
      <c r="AA132">
        <f>IF(ISNUMBER(VLOOKUP($A132,Haver_M!$B$1:$BZ$300,MATCH(data!AA$1,Haver_M!$B$1:$BZ$1,0),FALSE)),VLOOKUP($A132,Haver_M!$B$1:$BZ$300,MATCH(data!AA$1,Haver_M!$B$1:$BZ$1,0),FALSE),"")</f>
        <v>101.02200000000001</v>
      </c>
      <c r="AB132">
        <f>IF(ISNUMBER(VLOOKUP($A132,Haver_M!$B$1:$BZ$300,MATCH(data!AB$1,Haver_M!$B$1:$BZ$1,0),FALSE)),VLOOKUP($A132,Haver_M!$B$1:$BZ$300,MATCH(data!AB$1,Haver_M!$B$1:$BZ$1,0),FALSE),"")</f>
        <v>103.483</v>
      </c>
      <c r="AC132">
        <f>IF(ISNUMBER(VLOOKUP($A132,Haver_M!$B$1:$BZ$300,MATCH(data!AC$1,Haver_M!$B$1:$BZ$1,0),FALSE)),VLOOKUP($A132,Haver_M!$B$1:$BZ$300,MATCH(data!AC$1,Haver_M!$B$1:$BZ$1,0),FALSE),"")</f>
        <v>109.102</v>
      </c>
      <c r="AD132">
        <f>IF(ISNUMBER(VLOOKUP($A132,Haver_M!$B$1:$BZ$300,MATCH(data!AD$1,Haver_M!$B$1:$BZ$1,0),FALSE)),VLOOKUP($A132,Haver_M!$B$1:$BZ$300,MATCH(data!AD$1,Haver_M!$B$1:$BZ$1,0),FALSE),"")</f>
        <v>94.241</v>
      </c>
      <c r="AE132">
        <f>IF(ISNUMBER(VLOOKUP($A132,Haver_M!$B$1:$BZ$300,MATCH(data!AE$1,Haver_M!$B$1:$BZ$1,0),FALSE)),VLOOKUP($A132,Haver_M!$B$1:$BZ$300,MATCH(data!AE$1,Haver_M!$B$1:$BZ$1,0),FALSE),"")</f>
        <v>96.944999999999993</v>
      </c>
      <c r="AF132">
        <f>IF(ISNUMBER(VLOOKUP($A132,Haver_M!$B$1:$BZ$300,MATCH(data!AF$1,Haver_M!$B$1:$BZ$1,0),FALSE)),VLOOKUP($A132,Haver_M!$B$1:$BZ$300,MATCH(data!AF$1,Haver_M!$B$1:$BZ$1,0),FALSE),"")</f>
        <v>88.213999999999999</v>
      </c>
      <c r="AG132">
        <f>IF(ISNUMBER(VLOOKUP($A132,Haver_M!$B$1:$BZ$300,MATCH(data!AG$1,Haver_M!$B$1:$BZ$1,0),FALSE)),VLOOKUP($A132,Haver_M!$B$1:$BZ$300,MATCH(data!AG$1,Haver_M!$B$1:$BZ$1,0),FALSE),"")</f>
        <v>89.097999999999999</v>
      </c>
      <c r="AH132">
        <f>IF(ISNUMBER(VLOOKUP($A132,Haver_M!$B$1:$BZ$300,MATCH(data!AH$1,Haver_M!$B$1:$BZ$1,0),FALSE)),VLOOKUP($A132,Haver_M!$B$1:$BZ$300,MATCH(data!AH$1,Haver_M!$B$1:$BZ$1,0),FALSE),"")</f>
        <v>88.944000000000003</v>
      </c>
      <c r="AI132">
        <f>IF(ISNUMBER(VLOOKUP($A132,Haver_M!$B$1:$BZ$300,MATCH(data!AI$1,Haver_M!$B$1:$BZ$1,0),FALSE)),VLOOKUP($A132,Haver_M!$B$1:$BZ$300,MATCH(data!AI$1,Haver_M!$B$1:$BZ$1,0),FALSE),"")</f>
        <v>11603.264198919522</v>
      </c>
      <c r="AJ132">
        <f>IF(ISNUMBER(VLOOKUP($A132,Haver_M!$B$1:$BZ$300,MATCH(data!AJ$1,Haver_M!$B$1:$BZ$1,0),FALSE)),VLOOKUP($A132,Haver_M!$B$1:$BZ$300,MATCH(data!AJ$1,Haver_M!$B$1:$BZ$1,0),FALSE),"")</f>
        <v>24476.799999999999</v>
      </c>
      <c r="AK132">
        <f>IF(ISNUMBER(VLOOKUP($A132,Haver_M!$B$1:$BZ$300,MATCH(data!AK$1,Haver_M!$B$1:$BZ$1,0),FALSE)),VLOOKUP($A132,Haver_M!$B$1:$BZ$300,MATCH(data!AK$1,Haver_M!$B$1:$BZ$1,0),FALSE),"")</f>
        <v>30135.96</v>
      </c>
      <c r="AL132" t="str">
        <f>IF(ISNUMBER(VLOOKUP($A132,Haver_M!$B$1:$BZ$300,MATCH(data!AL$1,Haver_M!$B$1:$BZ$1,0),FALSE)),VLOOKUP($A132,Haver_M!$B$1:$BZ$300,MATCH(data!AL$1,Haver_M!$B$1:$BZ$1,0),FALSE),"")</f>
        <v/>
      </c>
      <c r="AM132" t="str">
        <f>IF(ISNUMBER(VLOOKUP($A132,Haver_M!$B$1:$BZ$300,MATCH(data!AM$1,Haver_M!$B$1:$BZ$1,0),FALSE)),VLOOKUP($A132,Haver_M!$B$1:$BZ$300,MATCH(data!AM$1,Haver_M!$B$1:$BZ$1,0),FALSE),"")</f>
        <v/>
      </c>
      <c r="AN132" t="str">
        <f>IF(ISNUMBER(VLOOKUP($A132,Haver_M!$B$1:$BZ$300,MATCH(data!AN$1,Haver_M!$B$1:$BZ$1,0),FALSE)),VLOOKUP($A132,Haver_M!$B$1:$BZ$300,MATCH(data!AN$1,Haver_M!$B$1:$BZ$1,0),FALSE),"")</f>
        <v/>
      </c>
      <c r="AO132" t="str">
        <f>IF(ISNUMBER(VLOOKUP($A132,Haver_M!$B$1:$BZ$300,MATCH(data!AO$1,Haver_M!$B$1:$BZ$1,0),FALSE)),VLOOKUP($A132,Haver_M!$B$1:$BZ$300,MATCH(data!AO$1,Haver_M!$B$1:$BZ$1,0),FALSE),"")</f>
        <v/>
      </c>
      <c r="AP132">
        <f>IF(ISNUMBER(VLOOKUP($A132,Haver_M!$B$1:$BZ$300,MATCH(data!AP$1,Haver_M!$B$1:$BZ$1,0),FALSE)),VLOOKUP($A132,Haver_M!$B$1:$BZ$300,MATCH(data!AP$1,Haver_M!$B$1:$BZ$1,0),FALSE),"")</f>
        <v>113.8628981520785</v>
      </c>
      <c r="AQ132">
        <f>IF(ISNUMBER(VLOOKUP($A132,Haver_M!$B$1:$BZ$300,MATCH(data!AQ$1,Haver_M!$B$1:$BZ$1,0),FALSE)),VLOOKUP($A132,Haver_M!$B$1:$BZ$300,MATCH(data!AQ$1,Haver_M!$B$1:$BZ$1,0),FALSE),"")</f>
        <v>61.251800000000003</v>
      </c>
      <c r="AR132">
        <f>IF(ISNUMBER(VLOOKUP($A132,Haver_M!$B$1:$BZ$300,MATCH(data!AR$1,Haver_M!$B$1:$BZ$1,0),FALSE)),VLOOKUP($A132,Haver_M!$B$1:$BZ$300,MATCH(data!AR$1,Haver_M!$B$1:$BZ$1,0),FALSE),"")</f>
        <v>58.366399999999999</v>
      </c>
      <c r="AS132">
        <f>IF(ISNUMBER(VLOOKUP($A132,Haver_M!$B$1:$BZ$300,MATCH(data!AS$1,Haver_M!$B$1:$BZ$1,0),FALSE)),VLOOKUP($A132,Haver_M!$B$1:$BZ$300,MATCH(data!AS$1,Haver_M!$B$1:$BZ$1,0),FALSE),"")</f>
        <v>60.096299999999999</v>
      </c>
      <c r="AT132">
        <f>IF(ISNUMBER(VLOOKUP($A132,Haver_M!$B$1:$BZ$300,MATCH(data!AT$1,Haver_M!$B$1:$BZ$1,0),FALSE)),VLOOKUP($A132,Haver_M!$B$1:$BZ$300,MATCH(data!AT$1,Haver_M!$B$1:$BZ$1,0),FALSE),"")</f>
        <v>63.650500000000001</v>
      </c>
      <c r="AU132">
        <f>IF(ISNUMBER(VLOOKUP($A132,Haver_M!$B$1:$BZ$300,MATCH(data!AU$1,Haver_M!$B$1:$BZ$1,0),FALSE)),VLOOKUP($A132,Haver_M!$B$1:$BZ$300,MATCH(data!AU$1,Haver_M!$B$1:$BZ$1,0),FALSE),"")</f>
        <v>62.152299999999997</v>
      </c>
      <c r="AV132">
        <f>IF(ISNUMBER(VLOOKUP($A132,Haver_M!$B$1:$BZ$300,MATCH(data!AV$1,Haver_M!$B$1:$BZ$1,0),FALSE)),VLOOKUP($A132,Haver_M!$B$1:$BZ$300,MATCH(data!AV$1,Haver_M!$B$1:$BZ$1,0),FALSE),"")</f>
        <v>49.807299999999998</v>
      </c>
      <c r="AW132">
        <f>IF(ISNUMBER(VLOOKUP($A132,Haver_M!$B$1:$BZ$300,MATCH(data!AW$1,Haver_M!$B$1:$BZ$1,0),FALSE)),VLOOKUP($A132,Haver_M!$B$1:$BZ$300,MATCH(data!AW$1,Haver_M!$B$1:$BZ$1,0),FALSE),"")</f>
        <v>47.152500000000003</v>
      </c>
      <c r="AX132">
        <f>IF(ISNUMBER(VLOOKUP($A132,Haver_M!$B$1:$BZ$300,MATCH(data!AX$1,Haver_M!$B$1:$BZ$1,0),FALSE)),VLOOKUP($A132,Haver_M!$B$1:$BZ$300,MATCH(data!AX$1,Haver_M!$B$1:$BZ$1,0),FALSE),"")</f>
        <v>59.195399999999999</v>
      </c>
      <c r="AY132">
        <f>IF(ISNUMBER(VLOOKUP($A132,Haver_M!$B$1:$BZ$300,MATCH(data!AY$1,Haver_M!$B$1:$BZ$1,0),FALSE)),VLOOKUP($A132,Haver_M!$B$1:$BZ$300,MATCH(data!AY$1,Haver_M!$B$1:$BZ$1,0),FALSE),"")</f>
        <v>62.5227</v>
      </c>
      <c r="AZ132">
        <f>IF(ISNUMBER(VLOOKUP($A132,Haver_M!$B$1:$BZ$300,MATCH(data!AZ$1,Haver_M!$B$1:$BZ$1,0),FALSE)),VLOOKUP($A132,Haver_M!$B$1:$BZ$300,MATCH(data!AZ$1,Haver_M!$B$1:$BZ$1,0),FALSE),"")</f>
        <v>60.212499999999999</v>
      </c>
      <c r="BA132">
        <f>IF(ISNUMBER(VLOOKUP($A132,Haver_M!$B$1:$BZ$300,MATCH(data!BA$1,Haver_M!$B$1:$BZ$1,0),FALSE)),VLOOKUP($A132,Haver_M!$B$1:$BZ$300,MATCH(data!BA$1,Haver_M!$B$1:$BZ$1,0),FALSE),"")</f>
        <v>59.195399999999999</v>
      </c>
      <c r="BB132">
        <f>IF(ISNUMBER(VLOOKUP($A132,Haver_M!$B$1:$BZ$300,MATCH(data!BB$1,Haver_M!$B$1:$BZ$1,0),FALSE)),VLOOKUP($A132,Haver_M!$B$1:$BZ$300,MATCH(data!BB$1,Haver_M!$B$1:$BZ$1,0),FALSE),"")</f>
        <v>58.962400000000002</v>
      </c>
      <c r="BC132">
        <f>IF(ISNUMBER(VLOOKUP($A132,Haver_M!$B$1:$BZ$300,MATCH(data!BC$1,Haver_M!$B$1:$BZ$1,0),FALSE)),VLOOKUP($A132,Haver_M!$B$1:$BZ$300,MATCH(data!BC$1,Haver_M!$B$1:$BZ$1,0),FALSE),"")</f>
        <v>52.503100000000003</v>
      </c>
      <c r="BD132">
        <f>IF(ISNUMBER(VLOOKUP($A132,Haver_M!$B$1:$BZ$300,MATCH(data!BD$1,Haver_M!$B$1:$BZ$1,0),FALSE)),VLOOKUP($A132,Haver_M!$B$1:$BZ$300,MATCH(data!BD$1,Haver_M!$B$1:$BZ$1,0),FALSE),"")</f>
        <v>55.6907</v>
      </c>
      <c r="BE132">
        <f>IF(ISNUMBER(VLOOKUP($A132,Haver_M!$B$1:$BZ$300,MATCH(data!BE$1,Haver_M!$B$1:$BZ$1,0),FALSE)),VLOOKUP($A132,Haver_M!$B$1:$BZ$300,MATCH(data!BE$1,Haver_M!$B$1:$BZ$1,0),FALSE),"")</f>
        <v>1.2185999999999999</v>
      </c>
      <c r="BF132">
        <f>IF(ISNUMBER(VLOOKUP($A132,Haver_M!$B$1:$BZ$300,MATCH(data!BF$1,Haver_M!$B$1:$BZ$1,0),FALSE)),VLOOKUP($A132,Haver_M!$B$1:$BZ$300,MATCH(data!BF$1,Haver_M!$B$1:$BZ$1,0),FALSE),"")</f>
        <v>51.898499999999999</v>
      </c>
      <c r="BG132">
        <f>IF(ISNUMBER(VLOOKUP($A132,Haver_M!$B$1:$BZ$300,MATCH(data!BG$1,Haver_M!$B$1:$BZ$1,0),FALSE)),VLOOKUP($A132,Haver_M!$B$1:$BZ$300,MATCH(data!BG$1,Haver_M!$B$1:$BZ$1,0),FALSE),"")</f>
        <v>52.831099999999999</v>
      </c>
      <c r="BH132">
        <f>IF(ISNUMBER(VLOOKUP($A132,Haver_M!$B$1:$BZ$300,MATCH(data!BH$1,Haver_M!$B$1:$BZ$1,0),FALSE)),VLOOKUP($A132,Haver_M!$B$1:$BZ$300,MATCH(data!BH$1,Haver_M!$B$1:$BZ$1,0),FALSE),"")</f>
        <v>57.660800000000002</v>
      </c>
      <c r="BI132">
        <f>IF(ISNUMBER(VLOOKUP($A132,Haver_M!$B$1:$BZ$300,MATCH(data!BI$1,Haver_M!$B$1:$BZ$1,0),FALSE)),VLOOKUP($A132,Haver_M!$B$1:$BZ$300,MATCH(data!BI$1,Haver_M!$B$1:$BZ$1,0),FALSE),"")</f>
        <v>54.948700000000002</v>
      </c>
      <c r="BJ132" t="str">
        <f>IF(ISNUMBER(VLOOKUP($A132,Haver_M!$B$1:$BZ$300,MATCH(data!BJ$1,Haver_M!$B$1:$BZ$1,0),FALSE)),VLOOKUP($A132,Haver_M!$B$1:$BZ$300,MATCH(data!BJ$1,Haver_M!$B$1:$BZ$1,0),FALSE),"")</f>
        <v/>
      </c>
      <c r="BK132">
        <f>IF(ISNUMBER(VLOOKUP($A132,Haver_M!$B$1:$BZ$300,MATCH(data!BK$1,Haver_M!$B$1:$BZ$1,0),FALSE)),VLOOKUP($A132,Haver_M!$B$1:$BZ$300,MATCH(data!BK$1,Haver_M!$B$1:$BZ$1,0),FALSE),"")</f>
        <v>49.563800000000001</v>
      </c>
      <c r="BL132">
        <f>IF(ISNUMBER(VLOOKUP($A132,Haver_M!$B$1:$BZ$300,MATCH(data!BL$1,Haver_M!$B$1:$BZ$1,0),FALSE)),VLOOKUP($A132,Haver_M!$B$1:$BZ$300,MATCH(data!BL$1,Haver_M!$B$1:$BZ$1,0),FALSE),"")</f>
        <v>20126.349999999999</v>
      </c>
      <c r="BM132">
        <f>IF(ISNUMBER(VLOOKUP($A132,Haver_M!$B$1:$BZ$300,MATCH(data!BM$1,Haver_M!$B$1:$BZ$1,0),FALSE)),VLOOKUP($A132,Haver_M!$B$1:$BZ$300,MATCH(data!BM$1,Haver_M!$B$1:$BZ$1,0),FALSE),"")</f>
        <v>115.08023295</v>
      </c>
      <c r="BN132" t="str">
        <f>IF(ISNUMBER(VLOOKUP($A132,Haver_M!$B$1:$BZ$300,MATCH(data!BN$1,Haver_M!$B$1:$BZ$1,0),FALSE)),VLOOKUP($A132,Haver_M!$B$1:$BZ$300,MATCH(data!BN$1,Haver_M!$B$1:$BZ$1,0),FALSE),"")</f>
        <v/>
      </c>
      <c r="BO132" t="str">
        <f>IF(ISNUMBER(VLOOKUP($A132,Haver_M!$B$1:$BZ$300,MATCH(data!BO$1,Haver_M!$B$1:$BZ$1,0),FALSE)),VLOOKUP($A132,Haver_M!$B$1:$BZ$300,MATCH(data!BO$1,Haver_M!$B$1:$BZ$1,0),FALSE),"")</f>
        <v/>
      </c>
      <c r="BP132" t="str">
        <f>IF(ISNUMBER(VLOOKUP($A132,Haver_M!$B$1:$BZ$300,MATCH(data!BP$1,Haver_M!$B$1:$BZ$1,0),FALSE)),VLOOKUP($A132,Haver_M!$B$1:$BZ$300,MATCH(data!BP$1,Haver_M!$B$1:$BZ$1,0),FALSE),"")</f>
        <v/>
      </c>
      <c r="BQ132">
        <f>IF(ISNUMBER(VLOOKUP($A132,Haver_M!$B$1:$BZ$300,MATCH(data!BQ$1,Haver_M!$B$1:$BZ$1,0),FALSE)),VLOOKUP($A132,Haver_M!$B$1:$BZ$300,MATCH(data!BQ$1,Haver_M!$B$1:$BZ$1,0),FALSE),"")</f>
        <v>144.70516366221273</v>
      </c>
      <c r="BR132">
        <f>IF(ISNUMBER(VLOOKUP($A132,Haver_M!$B$1:$BZ$300,MATCH(data!BR$1,Haver_M!$B$1:$BZ$1,0),FALSE)),VLOOKUP($A132,Haver_M!$B$1:$BZ$300,MATCH(data!BR$1,Haver_M!$B$1:$BZ$1,0),FALSE),"")</f>
        <v>325.54219008585738</v>
      </c>
      <c r="BS132">
        <f>IF(ISNUMBER(VLOOKUP($A132,Haver_M!$B$1:$BZ$300,MATCH(data!BS$1,Haver_M!$B$1:$BZ$1,0),FALSE)),VLOOKUP($A132,Haver_M!$B$1:$BZ$300,MATCH(data!BS$1,Haver_M!$B$1:$BZ$1,0),FALSE),"")</f>
        <v>174.73548587740049</v>
      </c>
      <c r="BT132">
        <f>IF(ISNUMBER(VLOOKUP($A132,Haver_M!$B$1:$BZ$300,MATCH(data!BT$1,Haver_M!$B$1:$BZ$1,0),FALSE)),VLOOKUP($A132,Haver_M!$B$1:$BZ$300,MATCH(data!BT$1,Haver_M!$B$1:$BZ$1,0),FALSE),"")</f>
        <v>736.46396321348834</v>
      </c>
      <c r="BU132">
        <f>IF(ISNUMBER(VLOOKUP($A132,Haver_M!$B$1:$BZ$300,MATCH(data!BU$1,Haver_M!$B$1:$BZ$1,0),FALSE)),VLOOKUP($A132,Haver_M!$B$1:$BZ$300,MATCH(data!BU$1,Haver_M!$B$1:$BZ$1,0),FALSE),"")</f>
        <v>22575</v>
      </c>
      <c r="BV132">
        <f>IF(ISNUMBER(VLOOKUP($A132,Haver_M!$B$1:$BZ$300,MATCH(data!BV$1,Haver_M!$B$1:$BZ$1,0),FALSE)),VLOOKUP($A132,Haver_M!$B$1:$BZ$300,MATCH(data!BV$1,Haver_M!$B$1:$BZ$1,0),FALSE),"")</f>
        <v>28842.3</v>
      </c>
      <c r="BW132">
        <f>IF(ISNUMBER(VLOOKUP($A132,Haver_M!$B$1:$BZ$300,MATCH(data!BW$1,Haver_M!$B$1:$BZ$1,0),FALSE)),VLOOKUP($A132,Haver_M!$B$1:$BZ$300,MATCH(data!BW$1,Haver_M!$B$1:$BZ$1,0),FALSE),"")</f>
        <v>45.016500000000001</v>
      </c>
      <c r="BX132">
        <f>IF(ISNUMBER(VLOOKUP($A132,Haver_M!$B$1:$BZ$300,MATCH(data!BX$1,Haver_M!$B$1:$BZ$1,0),FALSE)),VLOOKUP($A132,Haver_M!$B$1:$BZ$300,MATCH(data!BX$1,Haver_M!$B$1:$BZ$1,0),FALSE),"")</f>
        <v>48634</v>
      </c>
    </row>
    <row r="133" spans="1:76" x14ac:dyDescent="0.25">
      <c r="A133" s="2">
        <v>40543</v>
      </c>
      <c r="B133">
        <f>IF(ISNUMBER(VLOOKUP($A133,Haver_Q!$B$1:$L$185,MATCH(data!B$1,Haver_Q!$B$1:$L$1,0),FALSE)),100*(VLOOKUP($A133,Haver_Q!$B$1:$L$185,MATCH(data!B$1,Haver_Q!$B$1:$L$1,0),FALSE)),"")</f>
        <v>13.915255902003398</v>
      </c>
      <c r="C133">
        <f>IF(ISNUMBER(VLOOKUP($A133,Haver_Q!$B$1:$L$185,MATCH(data!C$1,Haver_Q!$B$1:$L$1,0),FALSE)),100*(VLOOKUP($A133,Haver_Q!$B$1:$L$185,MATCH(data!C$1,Haver_Q!$B$1:$L$1,0),FALSE)),"")</f>
        <v>-3.6736548704628613</v>
      </c>
      <c r="D133">
        <f>IF(ISNUMBER(VLOOKUP($A133,Haver_Q!$B$1:$L$185,MATCH(data!D$1,Haver_Q!$B$1:$L$1,0),FALSE)),100*(VLOOKUP($A133,Haver_Q!$B$1:$L$185,MATCH(data!D$1,Haver_Q!$B$1:$L$1,0),FALSE)),"")</f>
        <v>4.9709634161513083</v>
      </c>
      <c r="E133">
        <f>IF(ISNUMBER(VLOOKUP($A133,Haver_Q!$B$1:$L$185,MATCH(data!E$1,Haver_Q!$B$1:$L$1,0),FALSE)),100*(VLOOKUP($A133,Haver_Q!$B$1:$L$185,MATCH(data!E$1,Haver_Q!$B$1:$L$1,0),FALSE)),"")</f>
        <v>30.22495265546581</v>
      </c>
      <c r="F133">
        <f>IF(ISNUMBER(VLOOKUP($A133,Haver_Q!$B$1:$L$185,MATCH(data!F$1,Haver_Q!$B$1:$L$1,0),FALSE)),100*(VLOOKUP($A133,Haver_Q!$B$1:$L$185,MATCH(data!F$1,Haver_Q!$B$1:$L$1,0),FALSE)),"")</f>
        <v>60.136005069681772</v>
      </c>
      <c r="G133">
        <f>IF(ISNUMBER(VLOOKUP($A133,Haver_Q!$B$1:$L$185,MATCH(data!G$1,Haver_Q!$B$1:$L$1,0),FALSE)),100*(VLOOKUP($A133,Haver_Q!$B$1:$L$185,MATCH(data!G$1,Haver_Q!$B$1:$L$1,0),FALSE)),"")</f>
        <v>10.35752539850483</v>
      </c>
      <c r="H133">
        <f>IF(ISNUMBER(VLOOKUP($A133,Haver_Q!$B$1:$L$185,MATCH(data!H$1,Haver_Q!$B$1:$L$1,0),FALSE)),(VLOOKUP($A133,Haver_Q!$B$1:$L$185,MATCH(data!H$1,Haver_Q!$B$1:$L$1,0),FALSE)),"")</f>
        <v>4.8324770606724732</v>
      </c>
      <c r="I133">
        <f>IF(ISNUMBER(VLOOKUP($A133,Haver_Q!$B$1:$L$185,MATCH(data!I$1,Haver_Q!$B$1:$L$1,0),FALSE)),100*(VLOOKUP($A133,Haver_Q!$B$1:$L$185,MATCH(data!I$1,Haver_Q!$B$1:$L$1,0),FALSE)),"")</f>
        <v>10.690423397852001</v>
      </c>
      <c r="J133" s="3">
        <f>IF(ISNUMBER(Bloomberg_m!C149),Bloomberg_m!C149,"")</f>
        <v>2031</v>
      </c>
      <c r="K133" s="3" t="str">
        <f>IF(ISNUMBER(Bloomberg_m!D149),Bloomberg_m!D149,"")</f>
        <v/>
      </c>
      <c r="L133" s="3">
        <f>IF(ISNUMBER(Bloomberg_m!E149),Bloomberg_m!E149,"")</f>
        <v>1103.6600000000001</v>
      </c>
      <c r="M133" s="3">
        <f>IF(ISNUMBER(Bloomberg_m!F149),Bloomberg_m!F149,"")</f>
        <v>575.19000000000005</v>
      </c>
      <c r="N133">
        <f>IF(ISNUMBER(VLOOKUP($A133,Haver_M!$B$1:$BZ$300,MATCH(data!N$1,Haver_M!$B$1:$BZ$1,0),FALSE)),VLOOKUP($A133,Haver_M!$B$1:$BZ$300,MATCH(data!N$1,Haver_M!$B$1:$BZ$1,0),FALSE),"")</f>
        <v>6.25</v>
      </c>
      <c r="O133">
        <f>IF(ISNUMBER(VLOOKUP($A133,Haver_M!$B$1:$BZ$300,MATCH(data!O$1,Haver_M!$B$1:$BZ$1,0),FALSE)),VLOOKUP($A133,Haver_M!$B$1:$BZ$300,MATCH(data!O$1,Haver_M!$B$1:$BZ$1,0),FALSE),"")</f>
        <v>7.9534000000000002</v>
      </c>
      <c r="P133">
        <f>IF(ISNUMBER(VLOOKUP($A133,Haver_M!$B$1:$BZ$300,MATCH(data!P$1,Haver_M!$B$1:$BZ$1,0),FALSE)),VLOOKUP($A133,Haver_M!$B$1:$BZ$300,MATCH(data!P$1,Haver_M!$B$1:$BZ$1,0),FALSE),"")</f>
        <v>101.49627</v>
      </c>
      <c r="Q133">
        <f>IF(ISNUMBER(VLOOKUP($A133,Haver_M!$B$1:$BZ$300,MATCH(data!Q$1,Haver_M!$B$1:$BZ$1,0),FALSE)),VLOOKUP($A133,Haver_M!$B$1:$BZ$300,MATCH(data!Q$1,Haver_M!$B$1:$BZ$1,0),FALSE),"")</f>
        <v>88.5</v>
      </c>
      <c r="R133" t="str">
        <f>IF(ISNUMBER(VLOOKUP($A133,Haver_M!$B$1:$BZ$300,MATCH(data!R$1,Haver_M!$B$1:$BZ$1,0),FALSE)),VLOOKUP($A133,Haver_M!$B$1:$BZ$300,MATCH(data!R$1,Haver_M!$B$1:$BZ$1,0),FALSE),"")</f>
        <v/>
      </c>
      <c r="S133">
        <f>IF(ISNUMBER(VLOOKUP($A133,Haver_M!$B$1:$BZ$300,MATCH(data!S$1,Haver_M!$B$1:$BZ$1,0),FALSE)),VLOOKUP($A133,Haver_M!$B$1:$BZ$300,MATCH(data!S$1,Haver_M!$B$1:$BZ$1,0),FALSE),"")</f>
        <v>101.9</v>
      </c>
      <c r="T133">
        <f>IF(ISNUMBER(VLOOKUP($A133,Haver_M!$B$1:$BZ$300,MATCH(data!T$1,Haver_M!$B$1:$BZ$1,0),FALSE)),VLOOKUP($A133,Haver_M!$B$1:$BZ$300,MATCH(data!T$1,Haver_M!$B$1:$BZ$1,0),FALSE),"")</f>
        <v>95.62</v>
      </c>
      <c r="U133">
        <f>IF(ISNUMBER(VLOOKUP($A133,Haver_M!$B$1:$BZ$300,MATCH(data!U$1,Haver_M!$B$1:$BZ$1,0),FALSE)),VLOOKUP($A133,Haver_M!$B$1:$BZ$300,MATCH(data!U$1,Haver_M!$B$1:$BZ$1,0),FALSE),"")</f>
        <v>129.94999999999999</v>
      </c>
      <c r="V133">
        <f>IF(ISNUMBER(VLOOKUP($A133,Haver_M!$B$1:$BZ$300,MATCH(data!V$1,Haver_M!$B$1:$BZ$1,0),FALSE)),VLOOKUP($A133,Haver_M!$B$1:$BZ$300,MATCH(data!V$1,Haver_M!$B$1:$BZ$1,0),FALSE),"")</f>
        <v>108.4</v>
      </c>
      <c r="W133" t="str">
        <f>IF(ISNUMBER(VLOOKUP($A133,Haver_M!$B$1:$BZ$300,MATCH(data!W$1,Haver_M!$B$1:$BZ$1,0),FALSE)),VLOOKUP($A133,Haver_M!$B$1:$BZ$300,MATCH(data!W$1,Haver_M!$B$1:$BZ$1,0),FALSE),"")</f>
        <v/>
      </c>
      <c r="X133">
        <f>IF(ISNUMBER(VLOOKUP($A133,Haver_M!$B$1:$BZ$300,MATCH(data!X$1,Haver_M!$B$1:$BZ$1,0),FALSE)),VLOOKUP($A133,Haver_M!$B$1:$BZ$300,MATCH(data!X$1,Haver_M!$B$1:$BZ$1,0),FALSE),"")</f>
        <v>97.11</v>
      </c>
      <c r="Y133">
        <f>IF(ISNUMBER(VLOOKUP($A133,Haver_M!$B$1:$BZ$300,MATCH(data!Y$1,Haver_M!$B$1:$BZ$1,0),FALSE)),VLOOKUP($A133,Haver_M!$B$1:$BZ$300,MATCH(data!Y$1,Haver_M!$B$1:$BZ$1,0),FALSE),"")</f>
        <v>91.64</v>
      </c>
      <c r="Z133">
        <f>IF(ISNUMBER(VLOOKUP($A133,Haver_M!$B$1:$BZ$300,MATCH(data!Z$1,Haver_M!$B$1:$BZ$1,0),FALSE)),VLOOKUP($A133,Haver_M!$B$1:$BZ$300,MATCH(data!Z$1,Haver_M!$B$1:$BZ$1,0),FALSE),"")</f>
        <v>96.9</v>
      </c>
      <c r="AA133">
        <f>IF(ISNUMBER(VLOOKUP($A133,Haver_M!$B$1:$BZ$300,MATCH(data!AA$1,Haver_M!$B$1:$BZ$1,0),FALSE)),VLOOKUP($A133,Haver_M!$B$1:$BZ$300,MATCH(data!AA$1,Haver_M!$B$1:$BZ$1,0),FALSE),"")</f>
        <v>99.335999999999999</v>
      </c>
      <c r="AB133">
        <f>IF(ISNUMBER(VLOOKUP($A133,Haver_M!$B$1:$BZ$300,MATCH(data!AB$1,Haver_M!$B$1:$BZ$1,0),FALSE)),VLOOKUP($A133,Haver_M!$B$1:$BZ$300,MATCH(data!AB$1,Haver_M!$B$1:$BZ$1,0),FALSE),"")</f>
        <v>103.399</v>
      </c>
      <c r="AC133">
        <f>IF(ISNUMBER(VLOOKUP($A133,Haver_M!$B$1:$BZ$300,MATCH(data!AC$1,Haver_M!$B$1:$BZ$1,0),FALSE)),VLOOKUP($A133,Haver_M!$B$1:$BZ$300,MATCH(data!AC$1,Haver_M!$B$1:$BZ$1,0),FALSE),"")</f>
        <v>108.745</v>
      </c>
      <c r="AD133">
        <f>IF(ISNUMBER(VLOOKUP($A133,Haver_M!$B$1:$BZ$300,MATCH(data!AD$1,Haver_M!$B$1:$BZ$1,0),FALSE)),VLOOKUP($A133,Haver_M!$B$1:$BZ$300,MATCH(data!AD$1,Haver_M!$B$1:$BZ$1,0),FALSE),"")</f>
        <v>101.849</v>
      </c>
      <c r="AE133">
        <f>IF(ISNUMBER(VLOOKUP($A133,Haver_M!$B$1:$BZ$300,MATCH(data!AE$1,Haver_M!$B$1:$BZ$1,0),FALSE)),VLOOKUP($A133,Haver_M!$B$1:$BZ$300,MATCH(data!AE$1,Haver_M!$B$1:$BZ$1,0),FALSE),"")</f>
        <v>96.697999999999993</v>
      </c>
      <c r="AF133">
        <f>IF(ISNUMBER(VLOOKUP($A133,Haver_M!$B$1:$BZ$300,MATCH(data!AF$1,Haver_M!$B$1:$BZ$1,0),FALSE)),VLOOKUP($A133,Haver_M!$B$1:$BZ$300,MATCH(data!AF$1,Haver_M!$B$1:$BZ$1,0),FALSE),"")</f>
        <v>92.114999999999995</v>
      </c>
      <c r="AG133">
        <f>IF(ISNUMBER(VLOOKUP($A133,Haver_M!$B$1:$BZ$300,MATCH(data!AG$1,Haver_M!$B$1:$BZ$1,0),FALSE)),VLOOKUP($A133,Haver_M!$B$1:$BZ$300,MATCH(data!AG$1,Haver_M!$B$1:$BZ$1,0),FALSE),"")</f>
        <v>89.753</v>
      </c>
      <c r="AH133">
        <f>IF(ISNUMBER(VLOOKUP($A133,Haver_M!$B$1:$BZ$300,MATCH(data!AH$1,Haver_M!$B$1:$BZ$1,0),FALSE)),VLOOKUP($A133,Haver_M!$B$1:$BZ$300,MATCH(data!AH$1,Haver_M!$B$1:$BZ$1,0),FALSE),"")</f>
        <v>92.808000000000007</v>
      </c>
      <c r="AI133">
        <f>IF(ISNUMBER(VLOOKUP($A133,Haver_M!$B$1:$BZ$300,MATCH(data!AI$1,Haver_M!$B$1:$BZ$1,0),FALSE)),VLOOKUP($A133,Haver_M!$B$1:$BZ$300,MATCH(data!AI$1,Haver_M!$B$1:$BZ$1,0),FALSE),"")</f>
        <v>12202.522996271247</v>
      </c>
      <c r="AJ133">
        <f>IF(ISNUMBER(VLOOKUP($A133,Haver_M!$B$1:$BZ$300,MATCH(data!AJ$1,Haver_M!$B$1:$BZ$1,0),FALSE)),VLOOKUP($A133,Haver_M!$B$1:$BZ$300,MATCH(data!AJ$1,Haver_M!$B$1:$BZ$1,0),FALSE),"")</f>
        <v>23171.75</v>
      </c>
      <c r="AK133">
        <f>IF(ISNUMBER(VLOOKUP($A133,Haver_M!$B$1:$BZ$300,MATCH(data!AK$1,Haver_M!$B$1:$BZ$1,0),FALSE)),VLOOKUP($A133,Haver_M!$B$1:$BZ$300,MATCH(data!AK$1,Haver_M!$B$1:$BZ$1,0),FALSE),"")</f>
        <v>32256.86</v>
      </c>
      <c r="AL133" t="str">
        <f>IF(ISNUMBER(VLOOKUP($A133,Haver_M!$B$1:$BZ$300,MATCH(data!AL$1,Haver_M!$B$1:$BZ$1,0),FALSE)),VLOOKUP($A133,Haver_M!$B$1:$BZ$300,MATCH(data!AL$1,Haver_M!$B$1:$BZ$1,0),FALSE),"")</f>
        <v/>
      </c>
      <c r="AM133" t="str">
        <f>IF(ISNUMBER(VLOOKUP($A133,Haver_M!$B$1:$BZ$300,MATCH(data!AM$1,Haver_M!$B$1:$BZ$1,0),FALSE)),VLOOKUP($A133,Haver_M!$B$1:$BZ$300,MATCH(data!AM$1,Haver_M!$B$1:$BZ$1,0),FALSE),"")</f>
        <v/>
      </c>
      <c r="AN133">
        <f>IF(ISNUMBER(VLOOKUP($A133,Haver_M!$B$1:$BZ$300,MATCH(data!AN$1,Haver_M!$B$1:$BZ$1,0),FALSE)),VLOOKUP($A133,Haver_M!$B$1:$BZ$300,MATCH(data!AN$1,Haver_M!$B$1:$BZ$1,0),FALSE),"")</f>
        <v>116.7</v>
      </c>
      <c r="AO133">
        <f>IF(ISNUMBER(VLOOKUP($A133,Haver_M!$B$1:$BZ$300,MATCH(data!AO$1,Haver_M!$B$1:$BZ$1,0),FALSE)),VLOOKUP($A133,Haver_M!$B$1:$BZ$300,MATCH(data!AO$1,Haver_M!$B$1:$BZ$1,0),FALSE),"")</f>
        <v>119</v>
      </c>
      <c r="AP133">
        <f>IF(ISNUMBER(VLOOKUP($A133,Haver_M!$B$1:$BZ$300,MATCH(data!AP$1,Haver_M!$B$1:$BZ$1,0),FALSE)),VLOOKUP($A133,Haver_M!$B$1:$BZ$300,MATCH(data!AP$1,Haver_M!$B$1:$BZ$1,0),FALSE),"")</f>
        <v>144.0965080399798</v>
      </c>
      <c r="AQ133">
        <f>IF(ISNUMBER(VLOOKUP($A133,Haver_M!$B$1:$BZ$300,MATCH(data!AQ$1,Haver_M!$B$1:$BZ$1,0),FALSE)),VLOOKUP($A133,Haver_M!$B$1:$BZ$300,MATCH(data!AQ$1,Haver_M!$B$1:$BZ$1,0),FALSE),"")</f>
        <v>58.916499999999999</v>
      </c>
      <c r="AR133">
        <f>IF(ISNUMBER(VLOOKUP($A133,Haver_M!$B$1:$BZ$300,MATCH(data!AR$1,Haver_M!$B$1:$BZ$1,0),FALSE)),VLOOKUP($A133,Haver_M!$B$1:$BZ$300,MATCH(data!AR$1,Haver_M!$B$1:$BZ$1,0),FALSE),"")</f>
        <v>56.661000000000001</v>
      </c>
      <c r="AS133">
        <f>IF(ISNUMBER(VLOOKUP($A133,Haver_M!$B$1:$BZ$300,MATCH(data!AS$1,Haver_M!$B$1:$BZ$1,0),FALSE)),VLOOKUP($A133,Haver_M!$B$1:$BZ$300,MATCH(data!AS$1,Haver_M!$B$1:$BZ$1,0),FALSE),"")</f>
        <v>57.743899999999996</v>
      </c>
      <c r="AT133">
        <f>IF(ISNUMBER(VLOOKUP($A133,Haver_M!$B$1:$BZ$300,MATCH(data!AT$1,Haver_M!$B$1:$BZ$1,0),FALSE)),VLOOKUP($A133,Haver_M!$B$1:$BZ$300,MATCH(data!AT$1,Haver_M!$B$1:$BZ$1,0),FALSE),"")</f>
        <v>61.3504</v>
      </c>
      <c r="AU133">
        <f>IF(ISNUMBER(VLOOKUP($A133,Haver_M!$B$1:$BZ$300,MATCH(data!AU$1,Haver_M!$B$1:$BZ$1,0),FALSE)),VLOOKUP($A133,Haver_M!$B$1:$BZ$300,MATCH(data!AU$1,Haver_M!$B$1:$BZ$1,0),FALSE),"")</f>
        <v>59.319899999999997</v>
      </c>
      <c r="AV133">
        <f>IF(ISNUMBER(VLOOKUP($A133,Haver_M!$B$1:$BZ$300,MATCH(data!AV$1,Haver_M!$B$1:$BZ$1,0),FALSE)),VLOOKUP($A133,Haver_M!$B$1:$BZ$300,MATCH(data!AV$1,Haver_M!$B$1:$BZ$1,0),FALSE),"")</f>
        <v>49.970500000000001</v>
      </c>
      <c r="AW133">
        <f>IF(ISNUMBER(VLOOKUP($A133,Haver_M!$B$1:$BZ$300,MATCH(data!AW$1,Haver_M!$B$1:$BZ$1,0),FALSE)),VLOOKUP($A133,Haver_M!$B$1:$BZ$300,MATCH(data!AW$1,Haver_M!$B$1:$BZ$1,0),FALSE),"")</f>
        <v>47.984200000000001</v>
      </c>
      <c r="AX133">
        <f>IF(ISNUMBER(VLOOKUP($A133,Haver_M!$B$1:$BZ$300,MATCH(data!AX$1,Haver_M!$B$1:$BZ$1,0),FALSE)),VLOOKUP($A133,Haver_M!$B$1:$BZ$300,MATCH(data!AX$1,Haver_M!$B$1:$BZ$1,0),FALSE),"")</f>
        <v>57.31</v>
      </c>
      <c r="AY133">
        <f>IF(ISNUMBER(VLOOKUP($A133,Haver_M!$B$1:$BZ$300,MATCH(data!AY$1,Haver_M!$B$1:$BZ$1,0),FALSE)),VLOOKUP($A133,Haver_M!$B$1:$BZ$300,MATCH(data!AY$1,Haver_M!$B$1:$BZ$1,0),FALSE),"")</f>
        <v>64.854399999999998</v>
      </c>
      <c r="AZ133">
        <f>IF(ISNUMBER(VLOOKUP($A133,Haver_M!$B$1:$BZ$300,MATCH(data!AZ$1,Haver_M!$B$1:$BZ$1,0),FALSE)),VLOOKUP($A133,Haver_M!$B$1:$BZ$300,MATCH(data!AZ$1,Haver_M!$B$1:$BZ$1,0),FALSE),"")</f>
        <v>57.451099999999997</v>
      </c>
      <c r="BA133">
        <f>IF(ISNUMBER(VLOOKUP($A133,Haver_M!$B$1:$BZ$300,MATCH(data!BA$1,Haver_M!$B$1:$BZ$1,0),FALSE)),VLOOKUP($A133,Haver_M!$B$1:$BZ$300,MATCH(data!BA$1,Haver_M!$B$1:$BZ$1,0),FALSE),"")</f>
        <v>57.31</v>
      </c>
      <c r="BB133">
        <f>IF(ISNUMBER(VLOOKUP($A133,Haver_M!$B$1:$BZ$300,MATCH(data!BB$1,Haver_M!$B$1:$BZ$1,0),FALSE)),VLOOKUP($A133,Haver_M!$B$1:$BZ$300,MATCH(data!BB$1,Haver_M!$B$1:$BZ$1,0),FALSE),"")</f>
        <v>58.212200000000003</v>
      </c>
      <c r="BC133">
        <f>IF(ISNUMBER(VLOOKUP($A133,Haver_M!$B$1:$BZ$300,MATCH(data!BC$1,Haver_M!$B$1:$BZ$1,0),FALSE)),VLOOKUP($A133,Haver_M!$B$1:$BZ$300,MATCH(data!BC$1,Haver_M!$B$1:$BZ$1,0),FALSE),"")</f>
        <v>54.690100000000001</v>
      </c>
      <c r="BD133">
        <f>IF(ISNUMBER(VLOOKUP($A133,Haver_M!$B$1:$BZ$300,MATCH(data!BD$1,Haver_M!$B$1:$BZ$1,0),FALSE)),VLOOKUP($A133,Haver_M!$B$1:$BZ$300,MATCH(data!BD$1,Haver_M!$B$1:$BZ$1,0),FALSE),"")</f>
        <v>53.890799999999999</v>
      </c>
      <c r="BE133">
        <f>IF(ISNUMBER(VLOOKUP($A133,Haver_M!$B$1:$BZ$300,MATCH(data!BE$1,Haver_M!$B$1:$BZ$1,0),FALSE)),VLOOKUP($A133,Haver_M!$B$1:$BZ$300,MATCH(data!BE$1,Haver_M!$B$1:$BZ$1,0),FALSE),"")</f>
        <v>1.177</v>
      </c>
      <c r="BF133">
        <f>IF(ISNUMBER(VLOOKUP($A133,Haver_M!$B$1:$BZ$300,MATCH(data!BF$1,Haver_M!$B$1:$BZ$1,0),FALSE)),VLOOKUP($A133,Haver_M!$B$1:$BZ$300,MATCH(data!BF$1,Haver_M!$B$1:$BZ$1,0),FALSE),"")</f>
        <v>51.7761</v>
      </c>
      <c r="BG133">
        <f>IF(ISNUMBER(VLOOKUP($A133,Haver_M!$B$1:$BZ$300,MATCH(data!BG$1,Haver_M!$B$1:$BZ$1,0),FALSE)),VLOOKUP($A133,Haver_M!$B$1:$BZ$300,MATCH(data!BG$1,Haver_M!$B$1:$BZ$1,0),FALSE),"")</f>
        <v>54.7607</v>
      </c>
      <c r="BH133">
        <f>IF(ISNUMBER(VLOOKUP($A133,Haver_M!$B$1:$BZ$300,MATCH(data!BH$1,Haver_M!$B$1:$BZ$1,0),FALSE)),VLOOKUP($A133,Haver_M!$B$1:$BZ$300,MATCH(data!BH$1,Haver_M!$B$1:$BZ$1,0),FALSE),"")</f>
        <v>56.838200000000001</v>
      </c>
      <c r="BI133">
        <f>IF(ISNUMBER(VLOOKUP($A133,Haver_M!$B$1:$BZ$300,MATCH(data!BI$1,Haver_M!$B$1:$BZ$1,0),FALSE)),VLOOKUP($A133,Haver_M!$B$1:$BZ$300,MATCH(data!BI$1,Haver_M!$B$1:$BZ$1,0),FALSE),"")</f>
        <v>57.678899999999999</v>
      </c>
      <c r="BJ133" t="str">
        <f>IF(ISNUMBER(VLOOKUP($A133,Haver_M!$B$1:$BZ$300,MATCH(data!BJ$1,Haver_M!$B$1:$BZ$1,0),FALSE)),VLOOKUP($A133,Haver_M!$B$1:$BZ$300,MATCH(data!BJ$1,Haver_M!$B$1:$BZ$1,0),FALSE),"")</f>
        <v/>
      </c>
      <c r="BK133">
        <f>IF(ISNUMBER(VLOOKUP($A133,Haver_M!$B$1:$BZ$300,MATCH(data!BK$1,Haver_M!$B$1:$BZ$1,0),FALSE)),VLOOKUP($A133,Haver_M!$B$1:$BZ$300,MATCH(data!BK$1,Haver_M!$B$1:$BZ$1,0),FALSE),"")</f>
        <v>50.726999999999997</v>
      </c>
      <c r="BL133">
        <f>IF(ISNUMBER(VLOOKUP($A133,Haver_M!$B$1:$BZ$300,MATCH(data!BL$1,Haver_M!$B$1:$BZ$1,0),FALSE)),VLOOKUP($A133,Haver_M!$B$1:$BZ$300,MATCH(data!BL$1,Haver_M!$B$1:$BZ$1,0),FALSE),"")</f>
        <v>19927.59</v>
      </c>
      <c r="BM133">
        <f>IF(ISNUMBER(VLOOKUP($A133,Haver_M!$B$1:$BZ$300,MATCH(data!BM$1,Haver_M!$B$1:$BZ$1,0),FALSE)),VLOOKUP($A133,Haver_M!$B$1:$BZ$300,MATCH(data!BM$1,Haver_M!$B$1:$BZ$1,0),FALSE),"")</f>
        <v>115.37577537999999</v>
      </c>
      <c r="BN133">
        <f>IF(ISNUMBER(VLOOKUP($A133,Haver_M!$B$1:$BZ$300,MATCH(data!BN$1,Haver_M!$B$1:$BZ$1,0),FALSE)),VLOOKUP($A133,Haver_M!$B$1:$BZ$300,MATCH(data!BN$1,Haver_M!$B$1:$BZ$1,0),FALSE),"")</f>
        <v>122.8</v>
      </c>
      <c r="BO133">
        <f>IF(ISNUMBER(VLOOKUP($A133,Haver_M!$B$1:$BZ$300,MATCH(data!BO$1,Haver_M!$B$1:$BZ$1,0),FALSE)),VLOOKUP($A133,Haver_M!$B$1:$BZ$300,MATCH(data!BO$1,Haver_M!$B$1:$BZ$1,0),FALSE),"")</f>
        <v>126.5</v>
      </c>
      <c r="BP133">
        <f>IF(ISNUMBER(VLOOKUP($A133,Haver_M!$B$1:$BZ$300,MATCH(data!BP$1,Haver_M!$B$1:$BZ$1,0),FALSE)),VLOOKUP($A133,Haver_M!$B$1:$BZ$300,MATCH(data!BP$1,Haver_M!$B$1:$BZ$1,0),FALSE),"")</f>
        <v>47.5</v>
      </c>
      <c r="BQ133">
        <f>IF(ISNUMBER(VLOOKUP($A133,Haver_M!$B$1:$BZ$300,MATCH(data!BQ$1,Haver_M!$B$1:$BZ$1,0),FALSE)),VLOOKUP($A133,Haver_M!$B$1:$BZ$300,MATCH(data!BQ$1,Haver_M!$B$1:$BZ$1,0),FALSE),"")</f>
        <v>149.65732266586357</v>
      </c>
      <c r="BR133">
        <f>IF(ISNUMBER(VLOOKUP($A133,Haver_M!$B$1:$BZ$300,MATCH(data!BR$1,Haver_M!$B$1:$BZ$1,0),FALSE)),VLOOKUP($A133,Haver_M!$B$1:$BZ$300,MATCH(data!BR$1,Haver_M!$B$1:$BZ$1,0),FALSE),"")</f>
        <v>343.45901490507998</v>
      </c>
      <c r="BS133">
        <f>IF(ISNUMBER(VLOOKUP($A133,Haver_M!$B$1:$BZ$300,MATCH(data!BS$1,Haver_M!$B$1:$BZ$1,0),FALSE)),VLOOKUP($A133,Haver_M!$B$1:$BZ$300,MATCH(data!BS$1,Haver_M!$B$1:$BZ$1,0),FALSE),"")</f>
        <v>186.36310289620474</v>
      </c>
      <c r="BT133">
        <f>IF(ISNUMBER(VLOOKUP($A133,Haver_M!$B$1:$BZ$300,MATCH(data!BT$1,Haver_M!$B$1:$BZ$1,0),FALSE)),VLOOKUP($A133,Haver_M!$B$1:$BZ$300,MATCH(data!BT$1,Haver_M!$B$1:$BZ$1,0),FALSE),"")</f>
        <v>776.10559112116937</v>
      </c>
      <c r="BU133">
        <f>IF(ISNUMBER(VLOOKUP($A133,Haver_M!$B$1:$BZ$300,MATCH(data!BU$1,Haver_M!$B$1:$BZ$1,0),FALSE)),VLOOKUP($A133,Haver_M!$B$1:$BZ$300,MATCH(data!BU$1,Haver_M!$B$1:$BZ$1,0),FALSE),"")</f>
        <v>23349.4</v>
      </c>
      <c r="BV133">
        <f>IF(ISNUMBER(VLOOKUP($A133,Haver_M!$B$1:$BZ$300,MATCH(data!BV$1,Haver_M!$B$1:$BZ$1,0),FALSE)),VLOOKUP($A133,Haver_M!$B$1:$BZ$300,MATCH(data!BV$1,Haver_M!$B$1:$BZ$1,0),FALSE),"")</f>
        <v>31511.1</v>
      </c>
      <c r="BW133">
        <f>IF(ISNUMBER(VLOOKUP($A133,Haver_M!$B$1:$BZ$300,MATCH(data!BW$1,Haver_M!$B$1:$BZ$1,0),FALSE)),VLOOKUP($A133,Haver_M!$B$1:$BZ$300,MATCH(data!BW$1,Haver_M!$B$1:$BZ$1,0),FALSE),"")</f>
        <v>45.159100000000002</v>
      </c>
      <c r="BX133">
        <f>IF(ISNUMBER(VLOOKUP($A133,Haver_M!$B$1:$BZ$300,MATCH(data!BX$1,Haver_M!$B$1:$BZ$1,0),FALSE)),VLOOKUP($A133,Haver_M!$B$1:$BZ$300,MATCH(data!BX$1,Haver_M!$B$1:$BZ$1,0),FALSE),"")</f>
        <v>47219</v>
      </c>
    </row>
    <row r="134" spans="1:76" x14ac:dyDescent="0.25">
      <c r="A134" s="2">
        <v>40574</v>
      </c>
      <c r="B134" t="str">
        <f>IF(ISNUMBER(VLOOKUP($A134,Haver_Q!$B$1:$L$185,MATCH(data!B$1,Haver_Q!$B$1:$L$1,0),FALSE)),100*(VLOOKUP($A134,Haver_Q!$B$1:$L$185,MATCH(data!B$1,Haver_Q!$B$1:$L$1,0),FALSE)),"")</f>
        <v/>
      </c>
      <c r="C134" t="str">
        <f>IF(ISNUMBER(VLOOKUP($A134,Haver_Q!$B$1:$L$185,MATCH(data!C$1,Haver_Q!$B$1:$L$1,0),FALSE)),100*(VLOOKUP($A134,Haver_Q!$B$1:$L$185,MATCH(data!C$1,Haver_Q!$B$1:$L$1,0),FALSE)),"")</f>
        <v/>
      </c>
      <c r="D134" t="str">
        <f>IF(ISNUMBER(VLOOKUP($A134,Haver_Q!$B$1:$L$185,MATCH(data!D$1,Haver_Q!$B$1:$L$1,0),FALSE)),100*(VLOOKUP($A134,Haver_Q!$B$1:$L$185,MATCH(data!D$1,Haver_Q!$B$1:$L$1,0),FALSE)),"")</f>
        <v/>
      </c>
      <c r="E134" t="str">
        <f>IF(ISNUMBER(VLOOKUP($A134,Haver_Q!$B$1:$L$185,MATCH(data!E$1,Haver_Q!$B$1:$L$1,0),FALSE)),100*(VLOOKUP($A134,Haver_Q!$B$1:$L$185,MATCH(data!E$1,Haver_Q!$B$1:$L$1,0),FALSE)),"")</f>
        <v/>
      </c>
      <c r="F134" t="str">
        <f>IF(ISNUMBER(VLOOKUP($A134,Haver_Q!$B$1:$L$185,MATCH(data!F$1,Haver_Q!$B$1:$L$1,0),FALSE)),100*(VLOOKUP($A134,Haver_Q!$B$1:$L$185,MATCH(data!F$1,Haver_Q!$B$1:$L$1,0),FALSE)),"")</f>
        <v/>
      </c>
      <c r="G134" t="str">
        <f>IF(ISNUMBER(VLOOKUP($A134,Haver_Q!$B$1:$L$185,MATCH(data!G$1,Haver_Q!$B$1:$L$1,0),FALSE)),100*(VLOOKUP($A134,Haver_Q!$B$1:$L$185,MATCH(data!G$1,Haver_Q!$B$1:$L$1,0),FALSE)),"")</f>
        <v/>
      </c>
      <c r="H134" t="str">
        <f>IF(ISNUMBER(VLOOKUP($A134,Haver_Q!$B$1:$L$185,MATCH(data!H$1,Haver_Q!$B$1:$L$1,0),FALSE)),(VLOOKUP($A134,Haver_Q!$B$1:$L$185,MATCH(data!H$1,Haver_Q!$B$1:$L$1,0),FALSE)),"")</f>
        <v/>
      </c>
      <c r="I134" t="str">
        <f>IF(ISNUMBER(VLOOKUP($A134,Haver_Q!$B$1:$L$185,MATCH(data!I$1,Haver_Q!$B$1:$L$1,0),FALSE)),100*(VLOOKUP($A134,Haver_Q!$B$1:$L$185,MATCH(data!I$1,Haver_Q!$B$1:$L$1,0),FALSE)),"")</f>
        <v/>
      </c>
      <c r="J134" s="3">
        <f>IF(ISNUMBER(Bloomberg_m!C150),Bloomberg_m!C150,"")</f>
        <v>1401</v>
      </c>
      <c r="K134" s="3" t="str">
        <f>IF(ISNUMBER(Bloomberg_m!D150),Bloomberg_m!D150,"")</f>
        <v/>
      </c>
      <c r="L134" s="3">
        <f>IF(ISNUMBER(Bloomberg_m!E150),Bloomberg_m!E150,"")</f>
        <v>1112.82</v>
      </c>
      <c r="M134" s="3">
        <f>IF(ISNUMBER(Bloomberg_m!F150),Bloomberg_m!F150,"")</f>
        <v>591.16999999999996</v>
      </c>
      <c r="N134">
        <f>IF(ISNUMBER(VLOOKUP($A134,Haver_M!$B$1:$BZ$300,MATCH(data!N$1,Haver_M!$B$1:$BZ$1,0),FALSE)),VLOOKUP($A134,Haver_M!$B$1:$BZ$300,MATCH(data!N$1,Haver_M!$B$1:$BZ$1,0),FALSE),"")</f>
        <v>6.5</v>
      </c>
      <c r="O134">
        <f>IF(ISNUMBER(VLOOKUP($A134,Haver_M!$B$1:$BZ$300,MATCH(data!O$1,Haver_M!$B$1:$BZ$1,0),FALSE)),VLOOKUP($A134,Haver_M!$B$1:$BZ$300,MATCH(data!O$1,Haver_M!$B$1:$BZ$1,0),FALSE),"")</f>
        <v>8.1504999999999992</v>
      </c>
      <c r="P134">
        <f>IF(ISNUMBER(VLOOKUP($A134,Haver_M!$B$1:$BZ$300,MATCH(data!P$1,Haver_M!$B$1:$BZ$1,0),FALSE)),VLOOKUP($A134,Haver_M!$B$1:$BZ$300,MATCH(data!P$1,Haver_M!$B$1:$BZ$1,0),FALSE),"")</f>
        <v>100.00814</v>
      </c>
      <c r="Q134">
        <f>IF(ISNUMBER(VLOOKUP($A134,Haver_M!$B$1:$BZ$300,MATCH(data!Q$1,Haver_M!$B$1:$BZ$1,0),FALSE)),VLOOKUP($A134,Haver_M!$B$1:$BZ$300,MATCH(data!Q$1,Haver_M!$B$1:$BZ$1,0),FALSE),"")</f>
        <v>89.5</v>
      </c>
      <c r="R134">
        <f>IF(ISNUMBER(VLOOKUP($A134,Haver_M!$B$1:$BZ$300,MATCH(data!R$1,Haver_M!$B$1:$BZ$1,0),FALSE)),VLOOKUP($A134,Haver_M!$B$1:$BZ$300,MATCH(data!R$1,Haver_M!$B$1:$BZ$1,0),FALSE),"")</f>
        <v>87.3</v>
      </c>
      <c r="S134">
        <f>IF(ISNUMBER(VLOOKUP($A134,Haver_M!$B$1:$BZ$300,MATCH(data!S$1,Haver_M!$B$1:$BZ$1,0),FALSE)),VLOOKUP($A134,Haver_M!$B$1:$BZ$300,MATCH(data!S$1,Haver_M!$B$1:$BZ$1,0),FALSE),"")</f>
        <v>103.1</v>
      </c>
      <c r="T134">
        <f>IF(ISNUMBER(VLOOKUP($A134,Haver_M!$B$1:$BZ$300,MATCH(data!T$1,Haver_M!$B$1:$BZ$1,0),FALSE)),VLOOKUP($A134,Haver_M!$B$1:$BZ$300,MATCH(data!T$1,Haver_M!$B$1:$BZ$1,0),FALSE),"")</f>
        <v>97.66</v>
      </c>
      <c r="U134">
        <f>IF(ISNUMBER(VLOOKUP($A134,Haver_M!$B$1:$BZ$300,MATCH(data!U$1,Haver_M!$B$1:$BZ$1,0),FALSE)),VLOOKUP($A134,Haver_M!$B$1:$BZ$300,MATCH(data!U$1,Haver_M!$B$1:$BZ$1,0),FALSE),"")</f>
        <v>120.11</v>
      </c>
      <c r="V134">
        <f>IF(ISNUMBER(VLOOKUP($A134,Haver_M!$B$1:$BZ$300,MATCH(data!V$1,Haver_M!$B$1:$BZ$1,0),FALSE)),VLOOKUP($A134,Haver_M!$B$1:$BZ$300,MATCH(data!V$1,Haver_M!$B$1:$BZ$1,0),FALSE),"")</f>
        <v>108.27</v>
      </c>
      <c r="W134" t="str">
        <f>IF(ISNUMBER(VLOOKUP($A134,Haver_M!$B$1:$BZ$300,MATCH(data!W$1,Haver_M!$B$1:$BZ$1,0),FALSE)),VLOOKUP($A134,Haver_M!$B$1:$BZ$300,MATCH(data!W$1,Haver_M!$B$1:$BZ$1,0),FALSE),"")</f>
        <v/>
      </c>
      <c r="X134">
        <f>IF(ISNUMBER(VLOOKUP($A134,Haver_M!$B$1:$BZ$300,MATCH(data!X$1,Haver_M!$B$1:$BZ$1,0),FALSE)),VLOOKUP($A134,Haver_M!$B$1:$BZ$300,MATCH(data!X$1,Haver_M!$B$1:$BZ$1,0),FALSE),"")</f>
        <v>101.1</v>
      </c>
      <c r="Y134">
        <f>IF(ISNUMBER(VLOOKUP($A134,Haver_M!$B$1:$BZ$300,MATCH(data!Y$1,Haver_M!$B$1:$BZ$1,0),FALSE)),VLOOKUP($A134,Haver_M!$B$1:$BZ$300,MATCH(data!Y$1,Haver_M!$B$1:$BZ$1,0),FALSE),"")</f>
        <v>94.1</v>
      </c>
      <c r="Z134">
        <f>IF(ISNUMBER(VLOOKUP($A134,Haver_M!$B$1:$BZ$300,MATCH(data!Z$1,Haver_M!$B$1:$BZ$1,0),FALSE)),VLOOKUP($A134,Haver_M!$B$1:$BZ$300,MATCH(data!Z$1,Haver_M!$B$1:$BZ$1,0),FALSE),"")</f>
        <v>99.5</v>
      </c>
      <c r="AA134">
        <f>IF(ISNUMBER(VLOOKUP($A134,Haver_M!$B$1:$BZ$300,MATCH(data!AA$1,Haver_M!$B$1:$BZ$1,0),FALSE)),VLOOKUP($A134,Haver_M!$B$1:$BZ$300,MATCH(data!AA$1,Haver_M!$B$1:$BZ$1,0),FALSE),"")</f>
        <v>97.471000000000004</v>
      </c>
      <c r="AB134">
        <f>IF(ISNUMBER(VLOOKUP($A134,Haver_M!$B$1:$BZ$300,MATCH(data!AB$1,Haver_M!$B$1:$BZ$1,0),FALSE)),VLOOKUP($A134,Haver_M!$B$1:$BZ$300,MATCH(data!AB$1,Haver_M!$B$1:$BZ$1,0),FALSE),"")</f>
        <v>100.426</v>
      </c>
      <c r="AC134">
        <f>IF(ISNUMBER(VLOOKUP($A134,Haver_M!$B$1:$BZ$300,MATCH(data!AC$1,Haver_M!$B$1:$BZ$1,0),FALSE)),VLOOKUP($A134,Haver_M!$B$1:$BZ$300,MATCH(data!AC$1,Haver_M!$B$1:$BZ$1,0),FALSE),"")</f>
        <v>107.79300000000001</v>
      </c>
      <c r="AD134">
        <f>IF(ISNUMBER(VLOOKUP($A134,Haver_M!$B$1:$BZ$300,MATCH(data!AD$1,Haver_M!$B$1:$BZ$1,0),FALSE)),VLOOKUP($A134,Haver_M!$B$1:$BZ$300,MATCH(data!AD$1,Haver_M!$B$1:$BZ$1,0),FALSE),"")</f>
        <v>105.59399999999999</v>
      </c>
      <c r="AE134">
        <f>IF(ISNUMBER(VLOOKUP($A134,Haver_M!$B$1:$BZ$300,MATCH(data!AE$1,Haver_M!$B$1:$BZ$1,0),FALSE)),VLOOKUP($A134,Haver_M!$B$1:$BZ$300,MATCH(data!AE$1,Haver_M!$B$1:$BZ$1,0),FALSE),"")</f>
        <v>99.081000000000003</v>
      </c>
      <c r="AF134">
        <f>IF(ISNUMBER(VLOOKUP($A134,Haver_M!$B$1:$BZ$300,MATCH(data!AF$1,Haver_M!$B$1:$BZ$1,0),FALSE)),VLOOKUP($A134,Haver_M!$B$1:$BZ$300,MATCH(data!AF$1,Haver_M!$B$1:$BZ$1,0),FALSE),"")</f>
        <v>96.628</v>
      </c>
      <c r="AG134">
        <f>IF(ISNUMBER(VLOOKUP($A134,Haver_M!$B$1:$BZ$300,MATCH(data!AG$1,Haver_M!$B$1:$BZ$1,0),FALSE)),VLOOKUP($A134,Haver_M!$B$1:$BZ$300,MATCH(data!AG$1,Haver_M!$B$1:$BZ$1,0),FALSE),"")</f>
        <v>92.396000000000001</v>
      </c>
      <c r="AH134">
        <f>IF(ISNUMBER(VLOOKUP($A134,Haver_M!$B$1:$BZ$300,MATCH(data!AH$1,Haver_M!$B$1:$BZ$1,0),FALSE)),VLOOKUP($A134,Haver_M!$B$1:$BZ$300,MATCH(data!AH$1,Haver_M!$B$1:$BZ$1,0),FALSE),"")</f>
        <v>97.43</v>
      </c>
      <c r="AI134">
        <f>IF(ISNUMBER(VLOOKUP($A134,Haver_M!$B$1:$BZ$300,MATCH(data!AI$1,Haver_M!$B$1:$BZ$1,0),FALSE)),VLOOKUP($A134,Haver_M!$B$1:$BZ$300,MATCH(data!AI$1,Haver_M!$B$1:$BZ$1,0),FALSE),"")</f>
        <v>11728.459806847824</v>
      </c>
      <c r="AJ134">
        <f>IF(ISNUMBER(VLOOKUP($A134,Haver_M!$B$1:$BZ$300,MATCH(data!AJ$1,Haver_M!$B$1:$BZ$1,0),FALSE)),VLOOKUP($A134,Haver_M!$B$1:$BZ$300,MATCH(data!AJ$1,Haver_M!$B$1:$BZ$1,0),FALSE),"")</f>
        <v>23117.5</v>
      </c>
      <c r="AK134">
        <f>IF(ISNUMBER(VLOOKUP($A134,Haver_M!$B$1:$BZ$300,MATCH(data!AK$1,Haver_M!$B$1:$BZ$1,0),FALSE)),VLOOKUP($A134,Haver_M!$B$1:$BZ$300,MATCH(data!AK$1,Haver_M!$B$1:$BZ$1,0),FALSE),"")</f>
        <v>33427.54</v>
      </c>
      <c r="AL134" t="str">
        <f>IF(ISNUMBER(VLOOKUP($A134,Haver_M!$B$1:$BZ$300,MATCH(data!AL$1,Haver_M!$B$1:$BZ$1,0),FALSE)),VLOOKUP($A134,Haver_M!$B$1:$BZ$300,MATCH(data!AL$1,Haver_M!$B$1:$BZ$1,0),FALSE),"")</f>
        <v/>
      </c>
      <c r="AM134" t="str">
        <f>IF(ISNUMBER(VLOOKUP($A134,Haver_M!$B$1:$BZ$300,MATCH(data!AM$1,Haver_M!$B$1:$BZ$1,0),FALSE)),VLOOKUP($A134,Haver_M!$B$1:$BZ$300,MATCH(data!AM$1,Haver_M!$B$1:$BZ$1,0),FALSE),"")</f>
        <v/>
      </c>
      <c r="AN134" t="str">
        <f>IF(ISNUMBER(VLOOKUP($A134,Haver_M!$B$1:$BZ$300,MATCH(data!AN$1,Haver_M!$B$1:$BZ$1,0),FALSE)),VLOOKUP($A134,Haver_M!$B$1:$BZ$300,MATCH(data!AN$1,Haver_M!$B$1:$BZ$1,0),FALSE),"")</f>
        <v/>
      </c>
      <c r="AO134" t="str">
        <f>IF(ISNUMBER(VLOOKUP($A134,Haver_M!$B$1:$BZ$300,MATCH(data!AO$1,Haver_M!$B$1:$BZ$1,0),FALSE)),VLOOKUP($A134,Haver_M!$B$1:$BZ$300,MATCH(data!AO$1,Haver_M!$B$1:$BZ$1,0),FALSE),"")</f>
        <v/>
      </c>
      <c r="AP134">
        <f>IF(ISNUMBER(VLOOKUP($A134,Haver_M!$B$1:$BZ$300,MATCH(data!AP$1,Haver_M!$B$1:$BZ$1,0),FALSE)),VLOOKUP($A134,Haver_M!$B$1:$BZ$300,MATCH(data!AP$1,Haver_M!$B$1:$BZ$1,0),FALSE),"")</f>
        <v>133.97454557229022</v>
      </c>
      <c r="AQ134">
        <f>IF(ISNUMBER(VLOOKUP($A134,Haver_M!$B$1:$BZ$300,MATCH(data!AQ$1,Haver_M!$B$1:$BZ$1,0),FALSE)),VLOOKUP($A134,Haver_M!$B$1:$BZ$300,MATCH(data!AQ$1,Haver_M!$B$1:$BZ$1,0),FALSE),"")</f>
        <v>59.561599999999999</v>
      </c>
      <c r="AR134">
        <f>IF(ISNUMBER(VLOOKUP($A134,Haver_M!$B$1:$BZ$300,MATCH(data!AR$1,Haver_M!$B$1:$BZ$1,0),FALSE)),VLOOKUP($A134,Haver_M!$B$1:$BZ$300,MATCH(data!AR$1,Haver_M!$B$1:$BZ$1,0),FALSE),"")</f>
        <v>56.816400000000002</v>
      </c>
      <c r="AS134">
        <f>IF(ISNUMBER(VLOOKUP($A134,Haver_M!$B$1:$BZ$300,MATCH(data!AS$1,Haver_M!$B$1:$BZ$1,0),FALSE)),VLOOKUP($A134,Haver_M!$B$1:$BZ$300,MATCH(data!AS$1,Haver_M!$B$1:$BZ$1,0),FALSE),"")</f>
        <v>58.121299999999998</v>
      </c>
      <c r="AT134">
        <f>IF(ISNUMBER(VLOOKUP($A134,Haver_M!$B$1:$BZ$300,MATCH(data!AT$1,Haver_M!$B$1:$BZ$1,0),FALSE)),VLOOKUP($A134,Haver_M!$B$1:$BZ$300,MATCH(data!AT$1,Haver_M!$B$1:$BZ$1,0),FALSE),"")</f>
        <v>62.551299999999998</v>
      </c>
      <c r="AU134">
        <f>IF(ISNUMBER(VLOOKUP($A134,Haver_M!$B$1:$BZ$300,MATCH(data!AU$1,Haver_M!$B$1:$BZ$1,0),FALSE)),VLOOKUP($A134,Haver_M!$B$1:$BZ$300,MATCH(data!AU$1,Haver_M!$B$1:$BZ$1,0),FALSE),"")</f>
        <v>60.7301</v>
      </c>
      <c r="AV134">
        <f>IF(ISNUMBER(VLOOKUP($A134,Haver_M!$B$1:$BZ$300,MATCH(data!AV$1,Haver_M!$B$1:$BZ$1,0),FALSE)),VLOOKUP($A134,Haver_M!$B$1:$BZ$300,MATCH(data!AV$1,Haver_M!$B$1:$BZ$1,0),FALSE),"")</f>
        <v>49.415300000000002</v>
      </c>
      <c r="AW134">
        <f>IF(ISNUMBER(VLOOKUP($A134,Haver_M!$B$1:$BZ$300,MATCH(data!AW$1,Haver_M!$B$1:$BZ$1,0),FALSE)),VLOOKUP($A134,Haver_M!$B$1:$BZ$300,MATCH(data!AW$1,Haver_M!$B$1:$BZ$1,0),FALSE),"")</f>
        <v>49.129100000000001</v>
      </c>
      <c r="AX134">
        <f>IF(ISNUMBER(VLOOKUP($A134,Haver_M!$B$1:$BZ$300,MATCH(data!AX$1,Haver_M!$B$1:$BZ$1,0),FALSE)),VLOOKUP($A134,Haver_M!$B$1:$BZ$300,MATCH(data!AX$1,Haver_M!$B$1:$BZ$1,0),FALSE),"")</f>
        <v>54.458500000000001</v>
      </c>
      <c r="AY134">
        <f>IF(ISNUMBER(VLOOKUP($A134,Haver_M!$B$1:$BZ$300,MATCH(data!AY$1,Haver_M!$B$1:$BZ$1,0),FALSE)),VLOOKUP($A134,Haver_M!$B$1:$BZ$300,MATCH(data!AY$1,Haver_M!$B$1:$BZ$1,0),FALSE),"")</f>
        <v>66.137600000000006</v>
      </c>
      <c r="AZ134">
        <f>IF(ISNUMBER(VLOOKUP($A134,Haver_M!$B$1:$BZ$300,MATCH(data!AZ$1,Haver_M!$B$1:$BZ$1,0),FALSE)),VLOOKUP($A134,Haver_M!$B$1:$BZ$300,MATCH(data!AZ$1,Haver_M!$B$1:$BZ$1,0),FALSE),"")</f>
        <v>58.355200000000004</v>
      </c>
      <c r="BA134">
        <f>IF(ISNUMBER(VLOOKUP($A134,Haver_M!$B$1:$BZ$300,MATCH(data!BA$1,Haver_M!$B$1:$BZ$1,0),FALSE)),VLOOKUP($A134,Haver_M!$B$1:$BZ$300,MATCH(data!BA$1,Haver_M!$B$1:$BZ$1,0),FALSE),"")</f>
        <v>54.458500000000001</v>
      </c>
      <c r="BB134">
        <f>IF(ISNUMBER(VLOOKUP($A134,Haver_M!$B$1:$BZ$300,MATCH(data!BB$1,Haver_M!$B$1:$BZ$1,0),FALSE)),VLOOKUP($A134,Haver_M!$B$1:$BZ$300,MATCH(data!BB$1,Haver_M!$B$1:$BZ$1,0),FALSE),"")</f>
        <v>55.686599999999999</v>
      </c>
      <c r="BC134">
        <f>IF(ISNUMBER(VLOOKUP($A134,Haver_M!$B$1:$BZ$300,MATCH(data!BC$1,Haver_M!$B$1:$BZ$1,0),FALSE)),VLOOKUP($A134,Haver_M!$B$1:$BZ$300,MATCH(data!BC$1,Haver_M!$B$1:$BZ$1,0),FALSE),"")</f>
        <v>56.706699999999998</v>
      </c>
      <c r="BD134">
        <f>IF(ISNUMBER(VLOOKUP($A134,Haver_M!$B$1:$BZ$300,MATCH(data!BD$1,Haver_M!$B$1:$BZ$1,0),FALSE)),VLOOKUP($A134,Haver_M!$B$1:$BZ$300,MATCH(data!BD$1,Haver_M!$B$1:$BZ$1,0),FALSE),"")</f>
        <v>52.466099999999997</v>
      </c>
      <c r="BE134">
        <f>IF(ISNUMBER(VLOOKUP($A134,Haver_M!$B$1:$BZ$300,MATCH(data!BE$1,Haver_M!$B$1:$BZ$1,0),FALSE)),VLOOKUP($A134,Haver_M!$B$1:$BZ$300,MATCH(data!BE$1,Haver_M!$B$1:$BZ$1,0),FALSE),"")</f>
        <v>1.2210000000000001</v>
      </c>
      <c r="BF134">
        <f>IF(ISNUMBER(VLOOKUP($A134,Haver_M!$B$1:$BZ$300,MATCH(data!BF$1,Haver_M!$B$1:$BZ$1,0),FALSE)),VLOOKUP($A134,Haver_M!$B$1:$BZ$300,MATCH(data!BF$1,Haver_M!$B$1:$BZ$1,0),FALSE),"")</f>
        <v>52.0824</v>
      </c>
      <c r="BG134">
        <f>IF(ISNUMBER(VLOOKUP($A134,Haver_M!$B$1:$BZ$300,MATCH(data!BG$1,Haver_M!$B$1:$BZ$1,0),FALSE)),VLOOKUP($A134,Haver_M!$B$1:$BZ$300,MATCH(data!BG$1,Haver_M!$B$1:$BZ$1,0),FALSE),"")</f>
        <v>55.3035</v>
      </c>
      <c r="BH134">
        <f>IF(ISNUMBER(VLOOKUP($A134,Haver_M!$B$1:$BZ$300,MATCH(data!BH$1,Haver_M!$B$1:$BZ$1,0),FALSE)),VLOOKUP($A134,Haver_M!$B$1:$BZ$300,MATCH(data!BH$1,Haver_M!$B$1:$BZ$1,0),FALSE),"")</f>
        <v>57.425600000000003</v>
      </c>
      <c r="BI134">
        <f>IF(ISNUMBER(VLOOKUP($A134,Haver_M!$B$1:$BZ$300,MATCH(data!BI$1,Haver_M!$B$1:$BZ$1,0),FALSE)),VLOOKUP($A134,Haver_M!$B$1:$BZ$300,MATCH(data!BI$1,Haver_M!$B$1:$BZ$1,0),FALSE),"")</f>
        <v>61.985399999999998</v>
      </c>
      <c r="BJ134" t="str">
        <f>IF(ISNUMBER(VLOOKUP($A134,Haver_M!$B$1:$BZ$300,MATCH(data!BJ$1,Haver_M!$B$1:$BZ$1,0),FALSE)),VLOOKUP($A134,Haver_M!$B$1:$BZ$300,MATCH(data!BJ$1,Haver_M!$B$1:$BZ$1,0),FALSE),"")</f>
        <v/>
      </c>
      <c r="BK134">
        <f>IF(ISNUMBER(VLOOKUP($A134,Haver_M!$B$1:$BZ$300,MATCH(data!BK$1,Haver_M!$B$1:$BZ$1,0),FALSE)),VLOOKUP($A134,Haver_M!$B$1:$BZ$300,MATCH(data!BK$1,Haver_M!$B$1:$BZ$1,0),FALSE),"")</f>
        <v>50.6952</v>
      </c>
      <c r="BL134">
        <f>IF(ISNUMBER(VLOOKUP($A134,Haver_M!$B$1:$BZ$300,MATCH(data!BL$1,Haver_M!$B$1:$BZ$1,0),FALSE)),VLOOKUP($A134,Haver_M!$B$1:$BZ$300,MATCH(data!BL$1,Haver_M!$B$1:$BZ$1,0),FALSE),"")</f>
        <v>19288.54</v>
      </c>
      <c r="BM134">
        <f>IF(ISNUMBER(VLOOKUP($A134,Haver_M!$B$1:$BZ$300,MATCH(data!BM$1,Haver_M!$B$1:$BZ$1,0),FALSE)),VLOOKUP($A134,Haver_M!$B$1:$BZ$300,MATCH(data!BM$1,Haver_M!$B$1:$BZ$1,0),FALSE),"")</f>
        <v>114.77831285000001</v>
      </c>
      <c r="BN134" t="str">
        <f>IF(ISNUMBER(VLOOKUP($A134,Haver_M!$B$1:$BZ$300,MATCH(data!BN$1,Haver_M!$B$1:$BZ$1,0),FALSE)),VLOOKUP($A134,Haver_M!$B$1:$BZ$300,MATCH(data!BN$1,Haver_M!$B$1:$BZ$1,0),FALSE),"")</f>
        <v/>
      </c>
      <c r="BO134" t="str">
        <f>IF(ISNUMBER(VLOOKUP($A134,Haver_M!$B$1:$BZ$300,MATCH(data!BO$1,Haver_M!$B$1:$BZ$1,0),FALSE)),VLOOKUP($A134,Haver_M!$B$1:$BZ$300,MATCH(data!BO$1,Haver_M!$B$1:$BZ$1,0),FALSE),"")</f>
        <v/>
      </c>
      <c r="BP134" t="str">
        <f>IF(ISNUMBER(VLOOKUP($A134,Haver_M!$B$1:$BZ$300,MATCH(data!BP$1,Haver_M!$B$1:$BZ$1,0),FALSE)),VLOOKUP($A134,Haver_M!$B$1:$BZ$300,MATCH(data!BP$1,Haver_M!$B$1:$BZ$1,0),FALSE),"")</f>
        <v/>
      </c>
      <c r="BQ134">
        <f>IF(ISNUMBER(VLOOKUP($A134,Haver_M!$B$1:$BZ$300,MATCH(data!BQ$1,Haver_M!$B$1:$BZ$1,0),FALSE)),VLOOKUP($A134,Haver_M!$B$1:$BZ$300,MATCH(data!BQ$1,Haver_M!$B$1:$BZ$1,0),FALSE),"")</f>
        <v>148.64796396039168</v>
      </c>
      <c r="BR134">
        <f>IF(ISNUMBER(VLOOKUP($A134,Haver_M!$B$1:$BZ$300,MATCH(data!BR$1,Haver_M!$B$1:$BZ$1,0),FALSE)),VLOOKUP($A134,Haver_M!$B$1:$BZ$300,MATCH(data!BR$1,Haver_M!$B$1:$BZ$1,0),FALSE),"")</f>
        <v>336.17442641729724</v>
      </c>
      <c r="BS134">
        <f>IF(ISNUMBER(VLOOKUP($A134,Haver_M!$B$1:$BZ$300,MATCH(data!BS$1,Haver_M!$B$1:$BZ$1,0),FALSE)),VLOOKUP($A134,Haver_M!$B$1:$BZ$300,MATCH(data!BS$1,Haver_M!$B$1:$BZ$1,0),FALSE),"")</f>
        <v>184.29259051206645</v>
      </c>
      <c r="BT134">
        <f>IF(ISNUMBER(VLOOKUP($A134,Haver_M!$B$1:$BZ$300,MATCH(data!BT$1,Haver_M!$B$1:$BZ$1,0),FALSE)),VLOOKUP($A134,Haver_M!$B$1:$BZ$300,MATCH(data!BT$1,Haver_M!$B$1:$BZ$1,0),FALSE),"")</f>
        <v>770.3129233717741</v>
      </c>
      <c r="BU134">
        <f>IF(ISNUMBER(VLOOKUP($A134,Haver_M!$B$1:$BZ$300,MATCH(data!BU$1,Haver_M!$B$1:$BZ$1,0),FALSE)),VLOOKUP($A134,Haver_M!$B$1:$BZ$300,MATCH(data!BU$1,Haver_M!$B$1:$BZ$1,0),FALSE),"")</f>
        <v>22691.8</v>
      </c>
      <c r="BV134">
        <f>IF(ISNUMBER(VLOOKUP($A134,Haver_M!$B$1:$BZ$300,MATCH(data!BV$1,Haver_M!$B$1:$BZ$1,0),FALSE)),VLOOKUP($A134,Haver_M!$B$1:$BZ$300,MATCH(data!BV$1,Haver_M!$B$1:$BZ$1,0),FALSE),"")</f>
        <v>33353.599999999999</v>
      </c>
      <c r="BW134">
        <f>IF(ISNUMBER(VLOOKUP($A134,Haver_M!$B$1:$BZ$300,MATCH(data!BW$1,Haver_M!$B$1:$BZ$1,0),FALSE)),VLOOKUP($A134,Haver_M!$B$1:$BZ$300,MATCH(data!BW$1,Haver_M!$B$1:$BZ$1,0),FALSE),"")</f>
        <v>45.394500000000001</v>
      </c>
      <c r="BX134">
        <f>IF(ISNUMBER(VLOOKUP($A134,Haver_M!$B$1:$BZ$300,MATCH(data!BX$1,Haver_M!$B$1:$BZ$1,0),FALSE)),VLOOKUP($A134,Haver_M!$B$1:$BZ$300,MATCH(data!BX$1,Haver_M!$B$1:$BZ$1,0),FALSE),"")</f>
        <v>47302</v>
      </c>
    </row>
    <row r="135" spans="1:76" x14ac:dyDescent="0.25">
      <c r="A135" s="2">
        <v>40602</v>
      </c>
      <c r="B135" t="str">
        <f>IF(ISNUMBER(VLOOKUP($A135,Haver_Q!$B$1:$L$185,MATCH(data!B$1,Haver_Q!$B$1:$L$1,0),FALSE)),100*(VLOOKUP($A135,Haver_Q!$B$1:$L$185,MATCH(data!B$1,Haver_Q!$B$1:$L$1,0),FALSE)),"")</f>
        <v/>
      </c>
      <c r="C135" t="str">
        <f>IF(ISNUMBER(VLOOKUP($A135,Haver_Q!$B$1:$L$185,MATCH(data!C$1,Haver_Q!$B$1:$L$1,0),FALSE)),100*(VLOOKUP($A135,Haver_Q!$B$1:$L$185,MATCH(data!C$1,Haver_Q!$B$1:$L$1,0),FALSE)),"")</f>
        <v/>
      </c>
      <c r="D135" t="str">
        <f>IF(ISNUMBER(VLOOKUP($A135,Haver_Q!$B$1:$L$185,MATCH(data!D$1,Haver_Q!$B$1:$L$1,0),FALSE)),100*(VLOOKUP($A135,Haver_Q!$B$1:$L$185,MATCH(data!D$1,Haver_Q!$B$1:$L$1,0),FALSE)),"")</f>
        <v/>
      </c>
      <c r="E135" t="str">
        <f>IF(ISNUMBER(VLOOKUP($A135,Haver_Q!$B$1:$L$185,MATCH(data!E$1,Haver_Q!$B$1:$L$1,0),FALSE)),100*(VLOOKUP($A135,Haver_Q!$B$1:$L$185,MATCH(data!E$1,Haver_Q!$B$1:$L$1,0),FALSE)),"")</f>
        <v/>
      </c>
      <c r="F135" t="str">
        <f>IF(ISNUMBER(VLOOKUP($A135,Haver_Q!$B$1:$L$185,MATCH(data!F$1,Haver_Q!$B$1:$L$1,0),FALSE)),100*(VLOOKUP($A135,Haver_Q!$B$1:$L$185,MATCH(data!F$1,Haver_Q!$B$1:$L$1,0),FALSE)),"")</f>
        <v/>
      </c>
      <c r="G135" t="str">
        <f>IF(ISNUMBER(VLOOKUP($A135,Haver_Q!$B$1:$L$185,MATCH(data!G$1,Haver_Q!$B$1:$L$1,0),FALSE)),100*(VLOOKUP($A135,Haver_Q!$B$1:$L$185,MATCH(data!G$1,Haver_Q!$B$1:$L$1,0),FALSE)),"")</f>
        <v/>
      </c>
      <c r="H135" t="str">
        <f>IF(ISNUMBER(VLOOKUP($A135,Haver_Q!$B$1:$L$185,MATCH(data!H$1,Haver_Q!$B$1:$L$1,0),FALSE)),(VLOOKUP($A135,Haver_Q!$B$1:$L$185,MATCH(data!H$1,Haver_Q!$B$1:$L$1,0),FALSE)),"")</f>
        <v/>
      </c>
      <c r="I135" t="str">
        <f>IF(ISNUMBER(VLOOKUP($A135,Haver_Q!$B$1:$L$185,MATCH(data!I$1,Haver_Q!$B$1:$L$1,0),FALSE)),100*(VLOOKUP($A135,Haver_Q!$B$1:$L$185,MATCH(data!I$1,Haver_Q!$B$1:$L$1,0),FALSE)),"")</f>
        <v/>
      </c>
      <c r="J135" s="3">
        <f>IF(ISNUMBER(Bloomberg_m!C151),Bloomberg_m!C151,"")</f>
        <v>1181</v>
      </c>
      <c r="K135" s="3" t="str">
        <f>IF(ISNUMBER(Bloomberg_m!D151),Bloomberg_m!D151,"")</f>
        <v/>
      </c>
      <c r="L135" s="3">
        <f>IF(ISNUMBER(Bloomberg_m!E151),Bloomberg_m!E151,"")</f>
        <v>1062.77</v>
      </c>
      <c r="M135" s="3">
        <f>IF(ISNUMBER(Bloomberg_m!F151),Bloomberg_m!F151,"")</f>
        <v>604.79999999999995</v>
      </c>
      <c r="N135">
        <f>IF(ISNUMBER(VLOOKUP($A135,Haver_M!$B$1:$BZ$300,MATCH(data!N$1,Haver_M!$B$1:$BZ$1,0),FALSE)),VLOOKUP($A135,Haver_M!$B$1:$BZ$300,MATCH(data!N$1,Haver_M!$B$1:$BZ$1,0),FALSE),"")</f>
        <v>6.5</v>
      </c>
      <c r="O135">
        <f>IF(ISNUMBER(VLOOKUP($A135,Haver_M!$B$1:$BZ$300,MATCH(data!O$1,Haver_M!$B$1:$BZ$1,0),FALSE)),VLOOKUP($A135,Haver_M!$B$1:$BZ$300,MATCH(data!O$1,Haver_M!$B$1:$BZ$1,0),FALSE),"")</f>
        <v>8.0983000000000001</v>
      </c>
      <c r="P135">
        <f>IF(ISNUMBER(VLOOKUP($A135,Haver_M!$B$1:$BZ$300,MATCH(data!P$1,Haver_M!$B$1:$BZ$1,0),FALSE)),VLOOKUP($A135,Haver_M!$B$1:$BZ$300,MATCH(data!P$1,Haver_M!$B$1:$BZ$1,0),FALSE),"")</f>
        <v>98.516720000000007</v>
      </c>
      <c r="Q135">
        <f>IF(ISNUMBER(VLOOKUP($A135,Haver_M!$B$1:$BZ$300,MATCH(data!Q$1,Haver_M!$B$1:$BZ$1,0),FALSE)),VLOOKUP($A135,Haver_M!$B$1:$BZ$300,MATCH(data!Q$1,Haver_M!$B$1:$BZ$1,0),FALSE),"")</f>
        <v>88.4</v>
      </c>
      <c r="R135">
        <f>IF(ISNUMBER(VLOOKUP($A135,Haver_M!$B$1:$BZ$300,MATCH(data!R$1,Haver_M!$B$1:$BZ$1,0),FALSE)),VLOOKUP($A135,Haver_M!$B$1:$BZ$300,MATCH(data!R$1,Haver_M!$B$1:$BZ$1,0),FALSE),"")</f>
        <v>87.8</v>
      </c>
      <c r="S135">
        <f>IF(ISNUMBER(VLOOKUP($A135,Haver_M!$B$1:$BZ$300,MATCH(data!S$1,Haver_M!$B$1:$BZ$1,0),FALSE)),VLOOKUP($A135,Haver_M!$B$1:$BZ$300,MATCH(data!S$1,Haver_M!$B$1:$BZ$1,0),FALSE),"")</f>
        <v>103.33</v>
      </c>
      <c r="T135">
        <f>IF(ISNUMBER(VLOOKUP($A135,Haver_M!$B$1:$BZ$300,MATCH(data!T$1,Haver_M!$B$1:$BZ$1,0),FALSE)),VLOOKUP($A135,Haver_M!$B$1:$BZ$300,MATCH(data!T$1,Haver_M!$B$1:$BZ$1,0),FALSE),"")</f>
        <v>97.04</v>
      </c>
      <c r="U135">
        <f>IF(ISNUMBER(VLOOKUP($A135,Haver_M!$B$1:$BZ$300,MATCH(data!U$1,Haver_M!$B$1:$BZ$1,0),FALSE)),VLOOKUP($A135,Haver_M!$B$1:$BZ$300,MATCH(data!U$1,Haver_M!$B$1:$BZ$1,0),FALSE),"")</f>
        <v>107.39</v>
      </c>
      <c r="V135">
        <f>IF(ISNUMBER(VLOOKUP($A135,Haver_M!$B$1:$BZ$300,MATCH(data!V$1,Haver_M!$B$1:$BZ$1,0),FALSE)),VLOOKUP($A135,Haver_M!$B$1:$BZ$300,MATCH(data!V$1,Haver_M!$B$1:$BZ$1,0),FALSE),"")</f>
        <v>108.22</v>
      </c>
      <c r="W135" t="str">
        <f>IF(ISNUMBER(VLOOKUP($A135,Haver_M!$B$1:$BZ$300,MATCH(data!W$1,Haver_M!$B$1:$BZ$1,0),FALSE)),VLOOKUP($A135,Haver_M!$B$1:$BZ$300,MATCH(data!W$1,Haver_M!$B$1:$BZ$1,0),FALSE),"")</f>
        <v/>
      </c>
      <c r="X135">
        <f>IF(ISNUMBER(VLOOKUP($A135,Haver_M!$B$1:$BZ$300,MATCH(data!X$1,Haver_M!$B$1:$BZ$1,0),FALSE)),VLOOKUP($A135,Haver_M!$B$1:$BZ$300,MATCH(data!X$1,Haver_M!$B$1:$BZ$1,0),FALSE),"")</f>
        <v>106.91</v>
      </c>
      <c r="Y135">
        <f>IF(ISNUMBER(VLOOKUP($A135,Haver_M!$B$1:$BZ$300,MATCH(data!Y$1,Haver_M!$B$1:$BZ$1,0),FALSE)),VLOOKUP($A135,Haver_M!$B$1:$BZ$300,MATCH(data!Y$1,Haver_M!$B$1:$BZ$1,0),FALSE),"")</f>
        <v>99.23</v>
      </c>
      <c r="Z135">
        <f>IF(ISNUMBER(VLOOKUP($A135,Haver_M!$B$1:$BZ$300,MATCH(data!Z$1,Haver_M!$B$1:$BZ$1,0),FALSE)),VLOOKUP($A135,Haver_M!$B$1:$BZ$300,MATCH(data!Z$1,Haver_M!$B$1:$BZ$1,0),FALSE),"")</f>
        <v>99.1</v>
      </c>
      <c r="AA135">
        <f>IF(ISNUMBER(VLOOKUP($A135,Haver_M!$B$1:$BZ$300,MATCH(data!AA$1,Haver_M!$B$1:$BZ$1,0),FALSE)),VLOOKUP($A135,Haver_M!$B$1:$BZ$300,MATCH(data!AA$1,Haver_M!$B$1:$BZ$1,0),FALSE),"")</f>
        <v>95.399000000000001</v>
      </c>
      <c r="AB135">
        <f>IF(ISNUMBER(VLOOKUP($A135,Haver_M!$B$1:$BZ$300,MATCH(data!AB$1,Haver_M!$B$1:$BZ$1,0),FALSE)),VLOOKUP($A135,Haver_M!$B$1:$BZ$300,MATCH(data!AB$1,Haver_M!$B$1:$BZ$1,0),FALSE),"")</f>
        <v>102.12</v>
      </c>
      <c r="AC135">
        <f>IF(ISNUMBER(VLOOKUP($A135,Haver_M!$B$1:$BZ$300,MATCH(data!AC$1,Haver_M!$B$1:$BZ$1,0),FALSE)),VLOOKUP($A135,Haver_M!$B$1:$BZ$300,MATCH(data!AC$1,Haver_M!$B$1:$BZ$1,0),FALSE),"")</f>
        <v>107.37</v>
      </c>
      <c r="AD135">
        <f>IF(ISNUMBER(VLOOKUP($A135,Haver_M!$B$1:$BZ$300,MATCH(data!AD$1,Haver_M!$B$1:$BZ$1,0),FALSE)),VLOOKUP($A135,Haver_M!$B$1:$BZ$300,MATCH(data!AD$1,Haver_M!$B$1:$BZ$1,0),FALSE),"")</f>
        <v>99.465000000000003</v>
      </c>
      <c r="AE135">
        <f>IF(ISNUMBER(VLOOKUP($A135,Haver_M!$B$1:$BZ$300,MATCH(data!AE$1,Haver_M!$B$1:$BZ$1,0),FALSE)),VLOOKUP($A135,Haver_M!$B$1:$BZ$300,MATCH(data!AE$1,Haver_M!$B$1:$BZ$1,0),FALSE),"")</f>
        <v>99.444999999999993</v>
      </c>
      <c r="AF135">
        <f>IF(ISNUMBER(VLOOKUP($A135,Haver_M!$B$1:$BZ$300,MATCH(data!AF$1,Haver_M!$B$1:$BZ$1,0),FALSE)),VLOOKUP($A135,Haver_M!$B$1:$BZ$300,MATCH(data!AF$1,Haver_M!$B$1:$BZ$1,0),FALSE),"")</f>
        <v>95.046000000000006</v>
      </c>
      <c r="AG135">
        <f>IF(ISNUMBER(VLOOKUP($A135,Haver_M!$B$1:$BZ$300,MATCH(data!AG$1,Haver_M!$B$1:$BZ$1,0),FALSE)),VLOOKUP($A135,Haver_M!$B$1:$BZ$300,MATCH(data!AG$1,Haver_M!$B$1:$BZ$1,0),FALSE),"")</f>
        <v>96.933999999999997</v>
      </c>
      <c r="AH135">
        <f>IF(ISNUMBER(VLOOKUP($A135,Haver_M!$B$1:$BZ$300,MATCH(data!AH$1,Haver_M!$B$1:$BZ$1,0),FALSE)),VLOOKUP($A135,Haver_M!$B$1:$BZ$300,MATCH(data!AH$1,Haver_M!$B$1:$BZ$1,0),FALSE),"")</f>
        <v>97.19</v>
      </c>
      <c r="AI135">
        <f>IF(ISNUMBER(VLOOKUP($A135,Haver_M!$B$1:$BZ$300,MATCH(data!AI$1,Haver_M!$B$1:$BZ$1,0),FALSE)),VLOOKUP($A135,Haver_M!$B$1:$BZ$300,MATCH(data!AI$1,Haver_M!$B$1:$BZ$1,0),FALSE),"")</f>
        <v>11764.584185999442</v>
      </c>
      <c r="AJ135">
        <f>IF(ISNUMBER(VLOOKUP($A135,Haver_M!$B$1:$BZ$300,MATCH(data!AJ$1,Haver_M!$B$1:$BZ$1,0),FALSE)),VLOOKUP($A135,Haver_M!$B$1:$BZ$300,MATCH(data!AJ$1,Haver_M!$B$1:$BZ$1,0),FALSE),"")</f>
        <v>24009.38</v>
      </c>
      <c r="AK135">
        <f>IF(ISNUMBER(VLOOKUP($A135,Haver_M!$B$1:$BZ$300,MATCH(data!AK$1,Haver_M!$B$1:$BZ$1,0),FALSE)),VLOOKUP($A135,Haver_M!$B$1:$BZ$300,MATCH(data!AK$1,Haver_M!$B$1:$BZ$1,0),FALSE),"")</f>
        <v>35877.54</v>
      </c>
      <c r="AL135" t="str">
        <f>IF(ISNUMBER(VLOOKUP($A135,Haver_M!$B$1:$BZ$300,MATCH(data!AL$1,Haver_M!$B$1:$BZ$1,0),FALSE)),VLOOKUP($A135,Haver_M!$B$1:$BZ$300,MATCH(data!AL$1,Haver_M!$B$1:$BZ$1,0),FALSE),"")</f>
        <v/>
      </c>
      <c r="AM135" t="str">
        <f>IF(ISNUMBER(VLOOKUP($A135,Haver_M!$B$1:$BZ$300,MATCH(data!AM$1,Haver_M!$B$1:$BZ$1,0),FALSE)),VLOOKUP($A135,Haver_M!$B$1:$BZ$300,MATCH(data!AM$1,Haver_M!$B$1:$BZ$1,0),FALSE),"")</f>
        <v/>
      </c>
      <c r="AN135" t="str">
        <f>IF(ISNUMBER(VLOOKUP($A135,Haver_M!$B$1:$BZ$300,MATCH(data!AN$1,Haver_M!$B$1:$BZ$1,0),FALSE)),VLOOKUP($A135,Haver_M!$B$1:$BZ$300,MATCH(data!AN$1,Haver_M!$B$1:$BZ$1,0),FALSE),"")</f>
        <v/>
      </c>
      <c r="AO135" t="str">
        <f>IF(ISNUMBER(VLOOKUP($A135,Haver_M!$B$1:$BZ$300,MATCH(data!AO$1,Haver_M!$B$1:$BZ$1,0),FALSE)),VLOOKUP($A135,Haver_M!$B$1:$BZ$300,MATCH(data!AO$1,Haver_M!$B$1:$BZ$1,0),FALSE),"")</f>
        <v/>
      </c>
      <c r="AP135">
        <f>IF(ISNUMBER(VLOOKUP($A135,Haver_M!$B$1:$BZ$300,MATCH(data!AP$1,Haver_M!$B$1:$BZ$1,0),FALSE)),VLOOKUP($A135,Haver_M!$B$1:$BZ$300,MATCH(data!AP$1,Haver_M!$B$1:$BZ$1,0),FALSE),"")</f>
        <v>131.81931105377291</v>
      </c>
      <c r="AQ135">
        <f>IF(ISNUMBER(VLOOKUP($A135,Haver_M!$B$1:$BZ$300,MATCH(data!AQ$1,Haver_M!$B$1:$BZ$1,0),FALSE)),VLOOKUP($A135,Haver_M!$B$1:$BZ$300,MATCH(data!AQ$1,Haver_M!$B$1:$BZ$1,0),FALSE),"")</f>
        <v>61.012700000000002</v>
      </c>
      <c r="AR135">
        <f>IF(ISNUMBER(VLOOKUP($A135,Haver_M!$B$1:$BZ$300,MATCH(data!AR$1,Haver_M!$B$1:$BZ$1,0),FALSE)),VLOOKUP($A135,Haver_M!$B$1:$BZ$300,MATCH(data!AR$1,Haver_M!$B$1:$BZ$1,0),FALSE),"")</f>
        <v>57.941400000000002</v>
      </c>
      <c r="AS135">
        <f>IF(ISNUMBER(VLOOKUP($A135,Haver_M!$B$1:$BZ$300,MATCH(data!AS$1,Haver_M!$B$1:$BZ$1,0),FALSE)),VLOOKUP($A135,Haver_M!$B$1:$BZ$300,MATCH(data!AS$1,Haver_M!$B$1:$BZ$1,0),FALSE),"")</f>
        <v>60.177999999999997</v>
      </c>
      <c r="AT135">
        <f>IF(ISNUMBER(VLOOKUP($A135,Haver_M!$B$1:$BZ$300,MATCH(data!AT$1,Haver_M!$B$1:$BZ$1,0),FALSE)),VLOOKUP($A135,Haver_M!$B$1:$BZ$300,MATCH(data!AT$1,Haver_M!$B$1:$BZ$1,0),FALSE),"")</f>
        <v>62.745399999999997</v>
      </c>
      <c r="AU135">
        <f>IF(ISNUMBER(VLOOKUP($A135,Haver_M!$B$1:$BZ$300,MATCH(data!AU$1,Haver_M!$B$1:$BZ$1,0),FALSE)),VLOOKUP($A135,Haver_M!$B$1:$BZ$300,MATCH(data!AU$1,Haver_M!$B$1:$BZ$1,0),FALSE),"")</f>
        <v>62.391500000000001</v>
      </c>
      <c r="AV135">
        <f>IF(ISNUMBER(VLOOKUP($A135,Haver_M!$B$1:$BZ$300,MATCH(data!AV$1,Haver_M!$B$1:$BZ$1,0),FALSE)),VLOOKUP($A135,Haver_M!$B$1:$BZ$300,MATCH(data!AV$1,Haver_M!$B$1:$BZ$1,0),FALSE),"")</f>
        <v>49.437800000000003</v>
      </c>
      <c r="AW135">
        <f>IF(ISNUMBER(VLOOKUP($A135,Haver_M!$B$1:$BZ$300,MATCH(data!AW$1,Haver_M!$B$1:$BZ$1,0),FALSE)),VLOOKUP($A135,Haver_M!$B$1:$BZ$300,MATCH(data!AW$1,Haver_M!$B$1:$BZ$1,0),FALSE),"")</f>
        <v>47.283000000000001</v>
      </c>
      <c r="AX135">
        <f>IF(ISNUMBER(VLOOKUP($A135,Haver_M!$B$1:$BZ$300,MATCH(data!AX$1,Haver_M!$B$1:$BZ$1,0),FALSE)),VLOOKUP($A135,Haver_M!$B$1:$BZ$300,MATCH(data!AX$1,Haver_M!$B$1:$BZ$1,0),FALSE),"")</f>
        <v>57.424799999999998</v>
      </c>
      <c r="AY135">
        <f>IF(ISNUMBER(VLOOKUP($A135,Haver_M!$B$1:$BZ$300,MATCH(data!AY$1,Haver_M!$B$1:$BZ$1,0),FALSE)),VLOOKUP($A135,Haver_M!$B$1:$BZ$300,MATCH(data!AY$1,Haver_M!$B$1:$BZ$1,0),FALSE),"")</f>
        <v>68.392600000000002</v>
      </c>
      <c r="AZ135">
        <f>IF(ISNUMBER(VLOOKUP($A135,Haver_M!$B$1:$BZ$300,MATCH(data!AZ$1,Haver_M!$B$1:$BZ$1,0),FALSE)),VLOOKUP($A135,Haver_M!$B$1:$BZ$300,MATCH(data!AZ$1,Haver_M!$B$1:$BZ$1,0),FALSE),"")</f>
        <v>61.049100000000003</v>
      </c>
      <c r="BA135">
        <f>IF(ISNUMBER(VLOOKUP($A135,Haver_M!$B$1:$BZ$300,MATCH(data!BA$1,Haver_M!$B$1:$BZ$1,0),FALSE)),VLOOKUP($A135,Haver_M!$B$1:$BZ$300,MATCH(data!BA$1,Haver_M!$B$1:$BZ$1,0),FALSE),"")</f>
        <v>57.424799999999998</v>
      </c>
      <c r="BB135">
        <f>IF(ISNUMBER(VLOOKUP($A135,Haver_M!$B$1:$BZ$300,MATCH(data!BB$1,Haver_M!$B$1:$BZ$1,0),FALSE)),VLOOKUP($A135,Haver_M!$B$1:$BZ$300,MATCH(data!BB$1,Haver_M!$B$1:$BZ$1,0),FALSE),"")</f>
        <v>58.732500000000002</v>
      </c>
      <c r="BC135">
        <f>IF(ISNUMBER(VLOOKUP($A135,Haver_M!$B$1:$BZ$300,MATCH(data!BC$1,Haver_M!$B$1:$BZ$1,0),FALSE)),VLOOKUP($A135,Haver_M!$B$1:$BZ$300,MATCH(data!BC$1,Haver_M!$B$1:$BZ$1,0),FALSE),"")</f>
        <v>56.260300000000001</v>
      </c>
      <c r="BD135">
        <f>IF(ISNUMBER(VLOOKUP($A135,Haver_M!$B$1:$BZ$300,MATCH(data!BD$1,Haver_M!$B$1:$BZ$1,0),FALSE)),VLOOKUP($A135,Haver_M!$B$1:$BZ$300,MATCH(data!BD$1,Haver_M!$B$1:$BZ$1,0),FALSE),"")</f>
        <v>51.753300000000003</v>
      </c>
      <c r="BE135">
        <f>IF(ISNUMBER(VLOOKUP($A135,Haver_M!$B$1:$BZ$300,MATCH(data!BE$1,Haver_M!$B$1:$BZ$1,0),FALSE)),VLOOKUP($A135,Haver_M!$B$1:$BZ$300,MATCH(data!BE$1,Haver_M!$B$1:$BZ$1,0),FALSE),"")</f>
        <v>1.2583</v>
      </c>
      <c r="BF135">
        <f>IF(ISNUMBER(VLOOKUP($A135,Haver_M!$B$1:$BZ$300,MATCH(data!BF$1,Haver_M!$B$1:$BZ$1,0),FALSE)),VLOOKUP($A135,Haver_M!$B$1:$BZ$300,MATCH(data!BF$1,Haver_M!$B$1:$BZ$1,0),FALSE),"")</f>
        <v>52.011000000000003</v>
      </c>
      <c r="BG135">
        <f>IF(ISNUMBER(VLOOKUP($A135,Haver_M!$B$1:$BZ$300,MATCH(data!BG$1,Haver_M!$B$1:$BZ$1,0),FALSE)),VLOOKUP($A135,Haver_M!$B$1:$BZ$300,MATCH(data!BG$1,Haver_M!$B$1:$BZ$1,0),FALSE),"")</f>
        <v>54.432400000000001</v>
      </c>
      <c r="BH135">
        <f>IF(ISNUMBER(VLOOKUP($A135,Haver_M!$B$1:$BZ$300,MATCH(data!BH$1,Haver_M!$B$1:$BZ$1,0),FALSE)),VLOOKUP($A135,Haver_M!$B$1:$BZ$300,MATCH(data!BH$1,Haver_M!$B$1:$BZ$1,0),FALSE),"")</f>
        <v>59.633600000000001</v>
      </c>
      <c r="BI135">
        <f>IF(ISNUMBER(VLOOKUP($A135,Haver_M!$B$1:$BZ$300,MATCH(data!BI$1,Haver_M!$B$1:$BZ$1,0),FALSE)),VLOOKUP($A135,Haver_M!$B$1:$BZ$300,MATCH(data!BI$1,Haver_M!$B$1:$BZ$1,0),FALSE),"")</f>
        <v>59.520899999999997</v>
      </c>
      <c r="BJ135" t="str">
        <f>IF(ISNUMBER(VLOOKUP($A135,Haver_M!$B$1:$BZ$300,MATCH(data!BJ$1,Haver_M!$B$1:$BZ$1,0),FALSE)),VLOOKUP($A135,Haver_M!$B$1:$BZ$300,MATCH(data!BJ$1,Haver_M!$B$1:$BZ$1,0),FALSE),"")</f>
        <v/>
      </c>
      <c r="BK135">
        <f>IF(ISNUMBER(VLOOKUP($A135,Haver_M!$B$1:$BZ$300,MATCH(data!BK$1,Haver_M!$B$1:$BZ$1,0),FALSE)),VLOOKUP($A135,Haver_M!$B$1:$BZ$300,MATCH(data!BK$1,Haver_M!$B$1:$BZ$1,0),FALSE),"")</f>
        <v>50.151000000000003</v>
      </c>
      <c r="BL135">
        <f>IF(ISNUMBER(VLOOKUP($A135,Haver_M!$B$1:$BZ$300,MATCH(data!BL$1,Haver_M!$B$1:$BZ$1,0),FALSE)),VLOOKUP($A135,Haver_M!$B$1:$BZ$300,MATCH(data!BL$1,Haver_M!$B$1:$BZ$1,0),FALSE),"")</f>
        <v>18036.62</v>
      </c>
      <c r="BM135">
        <f>IF(ISNUMBER(VLOOKUP($A135,Haver_M!$B$1:$BZ$300,MATCH(data!BM$1,Haver_M!$B$1:$BZ$1,0),FALSE)),VLOOKUP($A135,Haver_M!$B$1:$BZ$300,MATCH(data!BM$1,Haver_M!$B$1:$BZ$1,0),FALSE),"")</f>
        <v>113.16684191</v>
      </c>
      <c r="BN135" t="str">
        <f>IF(ISNUMBER(VLOOKUP($A135,Haver_M!$B$1:$BZ$300,MATCH(data!BN$1,Haver_M!$B$1:$BZ$1,0),FALSE)),VLOOKUP($A135,Haver_M!$B$1:$BZ$300,MATCH(data!BN$1,Haver_M!$B$1:$BZ$1,0),FALSE),"")</f>
        <v/>
      </c>
      <c r="BO135" t="str">
        <f>IF(ISNUMBER(VLOOKUP($A135,Haver_M!$B$1:$BZ$300,MATCH(data!BO$1,Haver_M!$B$1:$BZ$1,0),FALSE)),VLOOKUP($A135,Haver_M!$B$1:$BZ$300,MATCH(data!BO$1,Haver_M!$B$1:$BZ$1,0),FALSE),"")</f>
        <v/>
      </c>
      <c r="BP135" t="str">
        <f>IF(ISNUMBER(VLOOKUP($A135,Haver_M!$B$1:$BZ$300,MATCH(data!BP$1,Haver_M!$B$1:$BZ$1,0),FALSE)),VLOOKUP($A135,Haver_M!$B$1:$BZ$300,MATCH(data!BP$1,Haver_M!$B$1:$BZ$1,0),FALSE),"")</f>
        <v/>
      </c>
      <c r="BQ135">
        <f>IF(ISNUMBER(VLOOKUP($A135,Haver_M!$B$1:$BZ$300,MATCH(data!BQ$1,Haver_M!$B$1:$BZ$1,0),FALSE)),VLOOKUP($A135,Haver_M!$B$1:$BZ$300,MATCH(data!BQ$1,Haver_M!$B$1:$BZ$1,0),FALSE),"")</f>
        <v>150.38515036270161</v>
      </c>
      <c r="BR135">
        <f>IF(ISNUMBER(VLOOKUP($A135,Haver_M!$B$1:$BZ$300,MATCH(data!BR$1,Haver_M!$B$1:$BZ$1,0),FALSE)),VLOOKUP($A135,Haver_M!$B$1:$BZ$300,MATCH(data!BR$1,Haver_M!$B$1:$BZ$1,0),FALSE),"")</f>
        <v>345.36322980491587</v>
      </c>
      <c r="BS135">
        <f>IF(ISNUMBER(VLOOKUP($A135,Haver_M!$B$1:$BZ$300,MATCH(data!BS$1,Haver_M!$B$1:$BZ$1,0),FALSE)),VLOOKUP($A135,Haver_M!$B$1:$BZ$300,MATCH(data!BS$1,Haver_M!$B$1:$BZ$1,0),FALSE),"")</f>
        <v>187.32437143460808</v>
      </c>
      <c r="BT135">
        <f>IF(ISNUMBER(VLOOKUP($A135,Haver_M!$B$1:$BZ$300,MATCH(data!BT$1,Haver_M!$B$1:$BZ$1,0),FALSE)),VLOOKUP($A135,Haver_M!$B$1:$BZ$300,MATCH(data!BT$1,Haver_M!$B$1:$BZ$1,0),FALSE),"")</f>
        <v>784.29092717797027</v>
      </c>
      <c r="BU135">
        <f>IF(ISNUMBER(VLOOKUP($A135,Haver_M!$B$1:$BZ$300,MATCH(data!BU$1,Haver_M!$B$1:$BZ$1,0),FALSE)),VLOOKUP($A135,Haver_M!$B$1:$BZ$300,MATCH(data!BU$1,Haver_M!$B$1:$BZ$1,0),FALSE),"")</f>
        <v>23243.5</v>
      </c>
      <c r="BV135">
        <f>IF(ISNUMBER(VLOOKUP($A135,Haver_M!$B$1:$BZ$300,MATCH(data!BV$1,Haver_M!$B$1:$BZ$1,0),FALSE)),VLOOKUP($A135,Haver_M!$B$1:$BZ$300,MATCH(data!BV$1,Haver_M!$B$1:$BZ$1,0),FALSE),"")</f>
        <v>32973.4</v>
      </c>
      <c r="BW135">
        <f>IF(ISNUMBER(VLOOKUP($A135,Haver_M!$B$1:$BZ$300,MATCH(data!BW$1,Haver_M!$B$1:$BZ$1,0),FALSE)),VLOOKUP($A135,Haver_M!$B$1:$BZ$300,MATCH(data!BW$1,Haver_M!$B$1:$BZ$1,0),FALSE),"")</f>
        <v>45.436799999999998</v>
      </c>
      <c r="BX135">
        <f>IF(ISNUMBER(VLOOKUP($A135,Haver_M!$B$1:$BZ$300,MATCH(data!BX$1,Haver_M!$B$1:$BZ$1,0),FALSE)),VLOOKUP($A135,Haver_M!$B$1:$BZ$300,MATCH(data!BX$1,Haver_M!$B$1:$BZ$1,0),FALSE),"")</f>
        <v>46012</v>
      </c>
    </row>
    <row r="136" spans="1:76" x14ac:dyDescent="0.25">
      <c r="A136" s="2">
        <v>40633</v>
      </c>
      <c r="B136">
        <f>IF(ISNUMBER(VLOOKUP($A136,Haver_Q!$B$1:$L$185,MATCH(data!B$1,Haver_Q!$B$1:$L$1,0),FALSE)),100*(VLOOKUP($A136,Haver_Q!$B$1:$L$185,MATCH(data!B$1,Haver_Q!$B$1:$L$1,0),FALSE)),"")</f>
        <v>8.8866212291005109</v>
      </c>
      <c r="C136">
        <f>IF(ISNUMBER(VLOOKUP($A136,Haver_Q!$B$1:$L$185,MATCH(data!C$1,Haver_Q!$B$1:$L$1,0),FALSE)),100*(VLOOKUP($A136,Haver_Q!$B$1:$L$185,MATCH(data!C$1,Haver_Q!$B$1:$L$1,0),FALSE)),"")</f>
        <v>22.855971105982565</v>
      </c>
      <c r="D136">
        <f>IF(ISNUMBER(VLOOKUP($A136,Haver_Q!$B$1:$L$185,MATCH(data!D$1,Haver_Q!$B$1:$L$1,0),FALSE)),100*(VLOOKUP($A136,Haver_Q!$B$1:$L$185,MATCH(data!D$1,Haver_Q!$B$1:$L$1,0),FALSE)),"")</f>
        <v>13.429487612329272</v>
      </c>
      <c r="E136">
        <f>IF(ISNUMBER(VLOOKUP($A136,Haver_Q!$B$1:$L$185,MATCH(data!E$1,Haver_Q!$B$1:$L$1,0),FALSE)),100*(VLOOKUP($A136,Haver_Q!$B$1:$L$185,MATCH(data!E$1,Haver_Q!$B$1:$L$1,0),FALSE)),"")</f>
        <v>2.9324229837670579</v>
      </c>
      <c r="F136">
        <f>IF(ISNUMBER(VLOOKUP($A136,Haver_Q!$B$1:$L$185,MATCH(data!F$1,Haver_Q!$B$1:$L$1,0),FALSE)),100*(VLOOKUP($A136,Haver_Q!$B$1:$L$185,MATCH(data!F$1,Haver_Q!$B$1:$L$1,0),FALSE)),"")</f>
        <v>25.568462130635126</v>
      </c>
      <c r="G136">
        <f>IF(ISNUMBER(VLOOKUP($A136,Haver_Q!$B$1:$L$185,MATCH(data!G$1,Haver_Q!$B$1:$L$1,0),FALSE)),100*(VLOOKUP($A136,Haver_Q!$B$1:$L$185,MATCH(data!G$1,Haver_Q!$B$1:$L$1,0),FALSE)),"")</f>
        <v>25.668004587469007</v>
      </c>
      <c r="H136">
        <f>IF(ISNUMBER(VLOOKUP($A136,Haver_Q!$B$1:$L$185,MATCH(data!H$1,Haver_Q!$B$1:$L$1,0),FALSE)),(VLOOKUP($A136,Haver_Q!$B$1:$L$185,MATCH(data!H$1,Haver_Q!$B$1:$L$1,0),FALSE)),"")</f>
        <v>4.1425235881197819</v>
      </c>
      <c r="I136">
        <f>IF(ISNUMBER(VLOOKUP($A136,Haver_Q!$B$1:$L$185,MATCH(data!I$1,Haver_Q!$B$1:$L$1,0),FALSE)),100*(VLOOKUP($A136,Haver_Q!$B$1:$L$185,MATCH(data!I$1,Haver_Q!$B$1:$L$1,0),FALSE)),"")</f>
        <v>10.326061787284857</v>
      </c>
      <c r="J136" s="3">
        <f>IF(ISNUMBER(Bloomberg_m!C152),Bloomberg_m!C152,"")</f>
        <v>1493</v>
      </c>
      <c r="K136" s="3" t="str">
        <f>IF(ISNUMBER(Bloomberg_m!D152),Bloomberg_m!D152,"")</f>
        <v/>
      </c>
      <c r="L136" s="3">
        <f>IF(ISNUMBER(Bloomberg_m!E152),Bloomberg_m!E152,"")</f>
        <v>999.1</v>
      </c>
      <c r="M136" s="3">
        <f>IF(ISNUMBER(Bloomberg_m!F152),Bloomberg_m!F152,"")</f>
        <v>603.69000000000005</v>
      </c>
      <c r="N136">
        <f>IF(ISNUMBER(VLOOKUP($A136,Haver_M!$B$1:$BZ$300,MATCH(data!N$1,Haver_M!$B$1:$BZ$1,0),FALSE)),VLOOKUP($A136,Haver_M!$B$1:$BZ$300,MATCH(data!N$1,Haver_M!$B$1:$BZ$1,0),FALSE),"")</f>
        <v>6.75</v>
      </c>
      <c r="O136">
        <f>IF(ISNUMBER(VLOOKUP($A136,Haver_M!$B$1:$BZ$300,MATCH(data!O$1,Haver_M!$B$1:$BZ$1,0),FALSE)),VLOOKUP($A136,Haver_M!$B$1:$BZ$300,MATCH(data!O$1,Haver_M!$B$1:$BZ$1,0),FALSE),"")</f>
        <v>8.0222999999999995</v>
      </c>
      <c r="P136">
        <f>IF(ISNUMBER(VLOOKUP($A136,Haver_M!$B$1:$BZ$300,MATCH(data!P$1,Haver_M!$B$1:$BZ$1,0),FALSE)),VLOOKUP($A136,Haver_M!$B$1:$BZ$300,MATCH(data!P$1,Haver_M!$B$1:$BZ$1,0),FALSE),"")</f>
        <v>98.348820000000003</v>
      </c>
      <c r="Q136">
        <f>IF(ISNUMBER(VLOOKUP($A136,Haver_M!$B$1:$BZ$300,MATCH(data!Q$1,Haver_M!$B$1:$BZ$1,0),FALSE)),VLOOKUP($A136,Haver_M!$B$1:$BZ$300,MATCH(data!Q$1,Haver_M!$B$1:$BZ$1,0),FALSE),"")</f>
        <v>88.4</v>
      </c>
      <c r="R136">
        <f>IF(ISNUMBER(VLOOKUP($A136,Haver_M!$B$1:$BZ$300,MATCH(data!R$1,Haver_M!$B$1:$BZ$1,0),FALSE)),VLOOKUP($A136,Haver_M!$B$1:$BZ$300,MATCH(data!R$1,Haver_M!$B$1:$BZ$1,0),FALSE),"")</f>
        <v>88.4</v>
      </c>
      <c r="S136">
        <f>IF(ISNUMBER(VLOOKUP($A136,Haver_M!$B$1:$BZ$300,MATCH(data!S$1,Haver_M!$B$1:$BZ$1,0),FALSE)),VLOOKUP($A136,Haver_M!$B$1:$BZ$300,MATCH(data!S$1,Haver_M!$B$1:$BZ$1,0),FALSE),"")</f>
        <v>106.12</v>
      </c>
      <c r="T136">
        <f>IF(ISNUMBER(VLOOKUP($A136,Haver_M!$B$1:$BZ$300,MATCH(data!T$1,Haver_M!$B$1:$BZ$1,0),FALSE)),VLOOKUP($A136,Haver_M!$B$1:$BZ$300,MATCH(data!T$1,Haver_M!$B$1:$BZ$1,0),FALSE),"")</f>
        <v>98.04</v>
      </c>
      <c r="U136">
        <f>IF(ISNUMBER(VLOOKUP($A136,Haver_M!$B$1:$BZ$300,MATCH(data!U$1,Haver_M!$B$1:$BZ$1,0),FALSE)),VLOOKUP($A136,Haver_M!$B$1:$BZ$300,MATCH(data!U$1,Haver_M!$B$1:$BZ$1,0),FALSE),"")</f>
        <v>134.36000000000001</v>
      </c>
      <c r="V136">
        <f>IF(ISNUMBER(VLOOKUP($A136,Haver_M!$B$1:$BZ$300,MATCH(data!V$1,Haver_M!$B$1:$BZ$1,0),FALSE)),VLOOKUP($A136,Haver_M!$B$1:$BZ$300,MATCH(data!V$1,Haver_M!$B$1:$BZ$1,0),FALSE),"")</f>
        <v>106.07</v>
      </c>
      <c r="W136" t="str">
        <f>IF(ISNUMBER(VLOOKUP($A136,Haver_M!$B$1:$BZ$300,MATCH(data!W$1,Haver_M!$B$1:$BZ$1,0),FALSE)),VLOOKUP($A136,Haver_M!$B$1:$BZ$300,MATCH(data!W$1,Haver_M!$B$1:$BZ$1,0),FALSE),"")</f>
        <v/>
      </c>
      <c r="X136">
        <f>IF(ISNUMBER(VLOOKUP($A136,Haver_M!$B$1:$BZ$300,MATCH(data!X$1,Haver_M!$B$1:$BZ$1,0),FALSE)),VLOOKUP($A136,Haver_M!$B$1:$BZ$300,MATCH(data!X$1,Haver_M!$B$1:$BZ$1,0),FALSE),"")</f>
        <v>101.9</v>
      </c>
      <c r="Y136">
        <f>IF(ISNUMBER(VLOOKUP($A136,Haver_M!$B$1:$BZ$300,MATCH(data!Y$1,Haver_M!$B$1:$BZ$1,0),FALSE)),VLOOKUP($A136,Haver_M!$B$1:$BZ$300,MATCH(data!Y$1,Haver_M!$B$1:$BZ$1,0),FALSE),"")</f>
        <v>98.7</v>
      </c>
      <c r="Z136">
        <f>IF(ISNUMBER(VLOOKUP($A136,Haver_M!$B$1:$BZ$300,MATCH(data!Z$1,Haver_M!$B$1:$BZ$1,0),FALSE)),VLOOKUP($A136,Haver_M!$B$1:$BZ$300,MATCH(data!Z$1,Haver_M!$B$1:$BZ$1,0),FALSE),"")</f>
        <v>99.5</v>
      </c>
      <c r="AA136">
        <f>IF(ISNUMBER(VLOOKUP($A136,Haver_M!$B$1:$BZ$300,MATCH(data!AA$1,Haver_M!$B$1:$BZ$1,0),FALSE)),VLOOKUP($A136,Haver_M!$B$1:$BZ$300,MATCH(data!AA$1,Haver_M!$B$1:$BZ$1,0),FALSE),"")</f>
        <v>98.793999999999997</v>
      </c>
      <c r="AB136">
        <f>IF(ISNUMBER(VLOOKUP($A136,Haver_M!$B$1:$BZ$300,MATCH(data!AB$1,Haver_M!$B$1:$BZ$1,0),FALSE)),VLOOKUP($A136,Haver_M!$B$1:$BZ$300,MATCH(data!AB$1,Haver_M!$B$1:$BZ$1,0),FALSE),"")</f>
        <v>102.129</v>
      </c>
      <c r="AC136">
        <f>IF(ISNUMBER(VLOOKUP($A136,Haver_M!$B$1:$BZ$300,MATCH(data!AC$1,Haver_M!$B$1:$BZ$1,0),FALSE)),VLOOKUP($A136,Haver_M!$B$1:$BZ$300,MATCH(data!AC$1,Haver_M!$B$1:$BZ$1,0),FALSE),"")</f>
        <v>107.075</v>
      </c>
      <c r="AD136">
        <f>IF(ISNUMBER(VLOOKUP($A136,Haver_M!$B$1:$BZ$300,MATCH(data!AD$1,Haver_M!$B$1:$BZ$1,0),FALSE)),VLOOKUP($A136,Haver_M!$B$1:$BZ$300,MATCH(data!AD$1,Haver_M!$B$1:$BZ$1,0),FALSE),"")</f>
        <v>102.188</v>
      </c>
      <c r="AE136">
        <f>IF(ISNUMBER(VLOOKUP($A136,Haver_M!$B$1:$BZ$300,MATCH(data!AE$1,Haver_M!$B$1:$BZ$1,0),FALSE)),VLOOKUP($A136,Haver_M!$B$1:$BZ$300,MATCH(data!AE$1,Haver_M!$B$1:$BZ$1,0),FALSE),"")</f>
        <v>98.376000000000005</v>
      </c>
      <c r="AF136">
        <f>IF(ISNUMBER(VLOOKUP($A136,Haver_M!$B$1:$BZ$300,MATCH(data!AF$1,Haver_M!$B$1:$BZ$1,0),FALSE)),VLOOKUP($A136,Haver_M!$B$1:$BZ$300,MATCH(data!AF$1,Haver_M!$B$1:$BZ$1,0),FALSE),"")</f>
        <v>94.316999999999993</v>
      </c>
      <c r="AG136">
        <f>IF(ISNUMBER(VLOOKUP($A136,Haver_M!$B$1:$BZ$300,MATCH(data!AG$1,Haver_M!$B$1:$BZ$1,0),FALSE)),VLOOKUP($A136,Haver_M!$B$1:$BZ$300,MATCH(data!AG$1,Haver_M!$B$1:$BZ$1,0),FALSE),"")</f>
        <v>96.334000000000003</v>
      </c>
      <c r="AH136">
        <f>IF(ISNUMBER(VLOOKUP($A136,Haver_M!$B$1:$BZ$300,MATCH(data!AH$1,Haver_M!$B$1:$BZ$1,0),FALSE)),VLOOKUP($A136,Haver_M!$B$1:$BZ$300,MATCH(data!AH$1,Haver_M!$B$1:$BZ$1,0),FALSE),"")</f>
        <v>98.497</v>
      </c>
      <c r="AI136">
        <f>IF(ISNUMBER(VLOOKUP($A136,Haver_M!$B$1:$BZ$300,MATCH(data!AI$1,Haver_M!$B$1:$BZ$1,0),FALSE)),VLOOKUP($A136,Haver_M!$B$1:$BZ$300,MATCH(data!AI$1,Haver_M!$B$1:$BZ$1,0),FALSE),"")</f>
        <v>11995.937304870477</v>
      </c>
      <c r="AJ136">
        <f>IF(ISNUMBER(VLOOKUP($A136,Haver_M!$B$1:$BZ$300,MATCH(data!AJ$1,Haver_M!$B$1:$BZ$1,0),FALSE)),VLOOKUP($A136,Haver_M!$B$1:$BZ$300,MATCH(data!AJ$1,Haver_M!$B$1:$BZ$1,0),FALSE),"")</f>
        <v>25707.83</v>
      </c>
      <c r="AK136">
        <f>IF(ISNUMBER(VLOOKUP($A136,Haver_M!$B$1:$BZ$300,MATCH(data!AK$1,Haver_M!$B$1:$BZ$1,0),FALSE)),VLOOKUP($A136,Haver_M!$B$1:$BZ$300,MATCH(data!AK$1,Haver_M!$B$1:$BZ$1,0),FALSE),"")</f>
        <v>34629.65</v>
      </c>
      <c r="AL136" t="str">
        <f>IF(ISNUMBER(VLOOKUP($A136,Haver_M!$B$1:$BZ$300,MATCH(data!AL$1,Haver_M!$B$1:$BZ$1,0),FALSE)),VLOOKUP($A136,Haver_M!$B$1:$BZ$300,MATCH(data!AL$1,Haver_M!$B$1:$BZ$1,0),FALSE),"")</f>
        <v/>
      </c>
      <c r="AM136" t="str">
        <f>IF(ISNUMBER(VLOOKUP($A136,Haver_M!$B$1:$BZ$300,MATCH(data!AM$1,Haver_M!$B$1:$BZ$1,0),FALSE)),VLOOKUP($A136,Haver_M!$B$1:$BZ$300,MATCH(data!AM$1,Haver_M!$B$1:$BZ$1,0),FALSE),"")</f>
        <v/>
      </c>
      <c r="AN136">
        <f>IF(ISNUMBER(VLOOKUP($A136,Haver_M!$B$1:$BZ$300,MATCH(data!AN$1,Haver_M!$B$1:$BZ$1,0),FALSE)),VLOOKUP($A136,Haver_M!$B$1:$BZ$300,MATCH(data!AN$1,Haver_M!$B$1:$BZ$1,0),FALSE),"")</f>
        <v>112.2</v>
      </c>
      <c r="AO136">
        <f>IF(ISNUMBER(VLOOKUP($A136,Haver_M!$B$1:$BZ$300,MATCH(data!AO$1,Haver_M!$B$1:$BZ$1,0),FALSE)),VLOOKUP($A136,Haver_M!$B$1:$BZ$300,MATCH(data!AO$1,Haver_M!$B$1:$BZ$1,0),FALSE),"")</f>
        <v>120.8</v>
      </c>
      <c r="AP136">
        <f>IF(ISNUMBER(VLOOKUP($A136,Haver_M!$B$1:$BZ$300,MATCH(data!AP$1,Haver_M!$B$1:$BZ$1,0),FALSE)),VLOOKUP($A136,Haver_M!$B$1:$BZ$300,MATCH(data!AP$1,Haver_M!$B$1:$BZ$1,0),FALSE),"")</f>
        <v>93.870627189524285</v>
      </c>
      <c r="AQ136">
        <f>IF(ISNUMBER(VLOOKUP($A136,Haver_M!$B$1:$BZ$300,MATCH(data!AQ$1,Haver_M!$B$1:$BZ$1,0),FALSE)),VLOOKUP($A136,Haver_M!$B$1:$BZ$300,MATCH(data!AQ$1,Haver_M!$B$1:$BZ$1,0),FALSE),"")</f>
        <v>60.0105</v>
      </c>
      <c r="AR136">
        <f>IF(ISNUMBER(VLOOKUP($A136,Haver_M!$B$1:$BZ$300,MATCH(data!AR$1,Haver_M!$B$1:$BZ$1,0),FALSE)),VLOOKUP($A136,Haver_M!$B$1:$BZ$300,MATCH(data!AR$1,Haver_M!$B$1:$BZ$1,0),FALSE),"")</f>
        <v>57.927199999999999</v>
      </c>
      <c r="AS136">
        <f>IF(ISNUMBER(VLOOKUP($A136,Haver_M!$B$1:$BZ$300,MATCH(data!AS$1,Haver_M!$B$1:$BZ$1,0),FALSE)),VLOOKUP($A136,Haver_M!$B$1:$BZ$300,MATCH(data!AS$1,Haver_M!$B$1:$BZ$1,0),FALSE),"")</f>
        <v>58.774000000000001</v>
      </c>
      <c r="AT136">
        <f>IF(ISNUMBER(VLOOKUP($A136,Haver_M!$B$1:$BZ$300,MATCH(data!AT$1,Haver_M!$B$1:$BZ$1,0),FALSE)),VLOOKUP($A136,Haver_M!$B$1:$BZ$300,MATCH(data!AT$1,Haver_M!$B$1:$BZ$1,0),FALSE),"")</f>
        <v>62.576900000000002</v>
      </c>
      <c r="AU136">
        <f>IF(ISNUMBER(VLOOKUP($A136,Haver_M!$B$1:$BZ$300,MATCH(data!AU$1,Haver_M!$B$1:$BZ$1,0),FALSE)),VLOOKUP($A136,Haver_M!$B$1:$BZ$300,MATCH(data!AU$1,Haver_M!$B$1:$BZ$1,0),FALSE),"")</f>
        <v>64.212199999999996</v>
      </c>
      <c r="AV136">
        <f>IF(ISNUMBER(VLOOKUP($A136,Haver_M!$B$1:$BZ$300,MATCH(data!AV$1,Haver_M!$B$1:$BZ$1,0),FALSE)),VLOOKUP($A136,Haver_M!$B$1:$BZ$300,MATCH(data!AV$1,Haver_M!$B$1:$BZ$1,0),FALSE),"")</f>
        <v>49.0809</v>
      </c>
      <c r="AW136">
        <f>IF(ISNUMBER(VLOOKUP($A136,Haver_M!$B$1:$BZ$300,MATCH(data!AW$1,Haver_M!$B$1:$BZ$1,0),FALSE)),VLOOKUP($A136,Haver_M!$B$1:$BZ$300,MATCH(data!AW$1,Haver_M!$B$1:$BZ$1,0),FALSE),"")</f>
        <v>50.0794</v>
      </c>
      <c r="AX136">
        <f>IF(ISNUMBER(VLOOKUP($A136,Haver_M!$B$1:$BZ$300,MATCH(data!AX$1,Haver_M!$B$1:$BZ$1,0),FALSE)),VLOOKUP($A136,Haver_M!$B$1:$BZ$300,MATCH(data!AX$1,Haver_M!$B$1:$BZ$1,0),FALSE),"")</f>
        <v>57.150300000000001</v>
      </c>
      <c r="AY136">
        <f>IF(ISNUMBER(VLOOKUP($A136,Haver_M!$B$1:$BZ$300,MATCH(data!AY$1,Haver_M!$B$1:$BZ$1,0),FALSE)),VLOOKUP($A136,Haver_M!$B$1:$BZ$300,MATCH(data!AY$1,Haver_M!$B$1:$BZ$1,0),FALSE),"")</f>
        <v>68.676599999999993</v>
      </c>
      <c r="AZ136">
        <f>IF(ISNUMBER(VLOOKUP($A136,Haver_M!$B$1:$BZ$300,MATCH(data!AZ$1,Haver_M!$B$1:$BZ$1,0),FALSE)),VLOOKUP($A136,Haver_M!$B$1:$BZ$300,MATCH(data!AZ$1,Haver_M!$B$1:$BZ$1,0),FALSE),"")</f>
        <v>63.391800000000003</v>
      </c>
      <c r="BA136">
        <f>IF(ISNUMBER(VLOOKUP($A136,Haver_M!$B$1:$BZ$300,MATCH(data!BA$1,Haver_M!$B$1:$BZ$1,0),FALSE)),VLOOKUP($A136,Haver_M!$B$1:$BZ$300,MATCH(data!BA$1,Haver_M!$B$1:$BZ$1,0),FALSE),"")</f>
        <v>57.150300000000001</v>
      </c>
      <c r="BB136">
        <f>IF(ISNUMBER(VLOOKUP($A136,Haver_M!$B$1:$BZ$300,MATCH(data!BB$1,Haver_M!$B$1:$BZ$1,0),FALSE)),VLOOKUP($A136,Haver_M!$B$1:$BZ$300,MATCH(data!BB$1,Haver_M!$B$1:$BZ$1,0),FALSE),"")</f>
        <v>57.998800000000003</v>
      </c>
      <c r="BC136">
        <f>IF(ISNUMBER(VLOOKUP($A136,Haver_M!$B$1:$BZ$300,MATCH(data!BC$1,Haver_M!$B$1:$BZ$1,0),FALSE)),VLOOKUP($A136,Haver_M!$B$1:$BZ$300,MATCH(data!BC$1,Haver_M!$B$1:$BZ$1,0),FALSE),"")</f>
        <v>59.746299999999998</v>
      </c>
      <c r="BD136">
        <f>IF(ISNUMBER(VLOOKUP($A136,Haver_M!$B$1:$BZ$300,MATCH(data!BD$1,Haver_M!$B$1:$BZ$1,0),FALSE)),VLOOKUP($A136,Haver_M!$B$1:$BZ$300,MATCH(data!BD$1,Haver_M!$B$1:$BZ$1,0),FALSE),"")</f>
        <v>54.994500000000002</v>
      </c>
      <c r="BE136">
        <f>IF(ISNUMBER(VLOOKUP($A136,Haver_M!$B$1:$BZ$300,MATCH(data!BE$1,Haver_M!$B$1:$BZ$1,0),FALSE)),VLOOKUP($A136,Haver_M!$B$1:$BZ$300,MATCH(data!BE$1,Haver_M!$B$1:$BZ$1,0),FALSE),"")</f>
        <v>1.2687999999999999</v>
      </c>
      <c r="BF136">
        <f>IF(ISNUMBER(VLOOKUP($A136,Haver_M!$B$1:$BZ$300,MATCH(data!BF$1,Haver_M!$B$1:$BZ$1,0),FALSE)),VLOOKUP($A136,Haver_M!$B$1:$BZ$300,MATCH(data!BF$1,Haver_M!$B$1:$BZ$1,0),FALSE),"")</f>
        <v>53.802100000000003</v>
      </c>
      <c r="BG136">
        <f>IF(ISNUMBER(VLOOKUP($A136,Haver_M!$B$1:$BZ$300,MATCH(data!BG$1,Haver_M!$B$1:$BZ$1,0),FALSE)),VLOOKUP($A136,Haver_M!$B$1:$BZ$300,MATCH(data!BG$1,Haver_M!$B$1:$BZ$1,0),FALSE),"")</f>
        <v>55.098399999999998</v>
      </c>
      <c r="BH136">
        <f>IF(ISNUMBER(VLOOKUP($A136,Haver_M!$B$1:$BZ$300,MATCH(data!BH$1,Haver_M!$B$1:$BZ$1,0),FALSE)),VLOOKUP($A136,Haver_M!$B$1:$BZ$300,MATCH(data!BH$1,Haver_M!$B$1:$BZ$1,0),FALSE),"")</f>
        <v>58.409399999999998</v>
      </c>
      <c r="BI136">
        <f>IF(ISNUMBER(VLOOKUP($A136,Haver_M!$B$1:$BZ$300,MATCH(data!BI$1,Haver_M!$B$1:$BZ$1,0),FALSE)),VLOOKUP($A136,Haver_M!$B$1:$BZ$300,MATCH(data!BI$1,Haver_M!$B$1:$BZ$1,0),FALSE),"")</f>
        <v>59.701000000000001</v>
      </c>
      <c r="BJ136" t="str">
        <f>IF(ISNUMBER(VLOOKUP($A136,Haver_M!$B$1:$BZ$300,MATCH(data!BJ$1,Haver_M!$B$1:$BZ$1,0),FALSE)),VLOOKUP($A136,Haver_M!$B$1:$BZ$300,MATCH(data!BJ$1,Haver_M!$B$1:$BZ$1,0),FALSE),"")</f>
        <v/>
      </c>
      <c r="BK136">
        <f>IF(ISNUMBER(VLOOKUP($A136,Haver_M!$B$1:$BZ$300,MATCH(data!BK$1,Haver_M!$B$1:$BZ$1,0),FALSE)),VLOOKUP($A136,Haver_M!$B$1:$BZ$300,MATCH(data!BK$1,Haver_M!$B$1:$BZ$1,0),FALSE),"")</f>
        <v>51.157699999999998</v>
      </c>
      <c r="BL136">
        <f>IF(ISNUMBER(VLOOKUP($A136,Haver_M!$B$1:$BZ$300,MATCH(data!BL$1,Haver_M!$B$1:$BZ$1,0),FALSE)),VLOOKUP($A136,Haver_M!$B$1:$BZ$300,MATCH(data!BL$1,Haver_M!$B$1:$BZ$1,0),FALSE),"")</f>
        <v>18456.849999999999</v>
      </c>
      <c r="BM136">
        <f>IF(ISNUMBER(VLOOKUP($A136,Haver_M!$B$1:$BZ$300,MATCH(data!BM$1,Haver_M!$B$1:$BZ$1,0),FALSE)),VLOOKUP($A136,Haver_M!$B$1:$BZ$300,MATCH(data!BM$1,Haver_M!$B$1:$BZ$1,0),FALSE),"")</f>
        <v>110.81617337</v>
      </c>
      <c r="BN136">
        <f>IF(ISNUMBER(VLOOKUP($A136,Haver_M!$B$1:$BZ$300,MATCH(data!BN$1,Haver_M!$B$1:$BZ$1,0),FALSE)),VLOOKUP($A136,Haver_M!$B$1:$BZ$300,MATCH(data!BN$1,Haver_M!$B$1:$BZ$1,0),FALSE),"")</f>
        <v>122</v>
      </c>
      <c r="BO136">
        <f>IF(ISNUMBER(VLOOKUP($A136,Haver_M!$B$1:$BZ$300,MATCH(data!BO$1,Haver_M!$B$1:$BZ$1,0),FALSE)),VLOOKUP($A136,Haver_M!$B$1:$BZ$300,MATCH(data!BO$1,Haver_M!$B$1:$BZ$1,0),FALSE),"")</f>
        <v>125.9</v>
      </c>
      <c r="BP136">
        <f>IF(ISNUMBER(VLOOKUP($A136,Haver_M!$B$1:$BZ$300,MATCH(data!BP$1,Haver_M!$B$1:$BZ$1,0),FALSE)),VLOOKUP($A136,Haver_M!$B$1:$BZ$300,MATCH(data!BP$1,Haver_M!$B$1:$BZ$1,0),FALSE),"")</f>
        <v>50.1</v>
      </c>
      <c r="BQ136">
        <f>IF(ISNUMBER(VLOOKUP($A136,Haver_M!$B$1:$BZ$300,MATCH(data!BQ$1,Haver_M!$B$1:$BZ$1,0),FALSE)),VLOOKUP($A136,Haver_M!$B$1:$BZ$300,MATCH(data!BQ$1,Haver_M!$B$1:$BZ$1,0),FALSE),"")</f>
        <v>152.91212394003045</v>
      </c>
      <c r="BR136">
        <f>IF(ISNUMBER(VLOOKUP($A136,Haver_M!$B$1:$BZ$300,MATCH(data!BR$1,Haver_M!$B$1:$BZ$1,0),FALSE)),VLOOKUP($A136,Haver_M!$B$1:$BZ$300,MATCH(data!BR$1,Haver_M!$B$1:$BZ$1,0),FALSE),"")</f>
        <v>356.65566409940095</v>
      </c>
      <c r="BS136">
        <f>IF(ISNUMBER(VLOOKUP($A136,Haver_M!$B$1:$BZ$300,MATCH(data!BS$1,Haver_M!$B$1:$BZ$1,0),FALSE)),VLOOKUP($A136,Haver_M!$B$1:$BZ$300,MATCH(data!BS$1,Haver_M!$B$1:$BZ$1,0),FALSE),"")</f>
        <v>198.75771013236422</v>
      </c>
      <c r="BT136">
        <f>IF(ISNUMBER(VLOOKUP($A136,Haver_M!$B$1:$BZ$300,MATCH(data!BT$1,Haver_M!$B$1:$BZ$1,0),FALSE)),VLOOKUP($A136,Haver_M!$B$1:$BZ$300,MATCH(data!BT$1,Haver_M!$B$1:$BZ$1,0),FALSE),"")</f>
        <v>815.15775903266319</v>
      </c>
      <c r="BU136">
        <f>IF(ISNUMBER(VLOOKUP($A136,Haver_M!$B$1:$BZ$300,MATCH(data!BU$1,Haver_M!$B$1:$BZ$1,0),FALSE)),VLOOKUP($A136,Haver_M!$B$1:$BZ$300,MATCH(data!BU$1,Haver_M!$B$1:$BZ$1,0),FALSE),"")</f>
        <v>30418.5</v>
      </c>
      <c r="BV136">
        <f>IF(ISNUMBER(VLOOKUP($A136,Haver_M!$B$1:$BZ$300,MATCH(data!BV$1,Haver_M!$B$1:$BZ$1,0),FALSE)),VLOOKUP($A136,Haver_M!$B$1:$BZ$300,MATCH(data!BV$1,Haver_M!$B$1:$BZ$1,0),FALSE),"")</f>
        <v>34267</v>
      </c>
      <c r="BW136">
        <f>IF(ISNUMBER(VLOOKUP($A136,Haver_M!$B$1:$BZ$300,MATCH(data!BW$1,Haver_M!$B$1:$BZ$1,0),FALSE)),VLOOKUP($A136,Haver_M!$B$1:$BZ$300,MATCH(data!BW$1,Haver_M!$B$1:$BZ$1,0),FALSE),"")</f>
        <v>44.9895</v>
      </c>
      <c r="BX136">
        <f>IF(ISNUMBER(VLOOKUP($A136,Haver_M!$B$1:$BZ$300,MATCH(data!BX$1,Haver_M!$B$1:$BZ$1,0),FALSE)),VLOOKUP($A136,Haver_M!$B$1:$BZ$300,MATCH(data!BX$1,Haver_M!$B$1:$BZ$1,0),FALSE),"")</f>
        <v>44313</v>
      </c>
    </row>
    <row r="137" spans="1:76" x14ac:dyDescent="0.25">
      <c r="A137" s="2">
        <v>40663</v>
      </c>
      <c r="B137" t="str">
        <f>IF(ISNUMBER(VLOOKUP($A137,Haver_Q!$B$1:$L$185,MATCH(data!B$1,Haver_Q!$B$1:$L$1,0),FALSE)),100*(VLOOKUP($A137,Haver_Q!$B$1:$L$185,MATCH(data!B$1,Haver_Q!$B$1:$L$1,0),FALSE)),"")</f>
        <v/>
      </c>
      <c r="C137" t="str">
        <f>IF(ISNUMBER(VLOOKUP($A137,Haver_Q!$B$1:$L$185,MATCH(data!C$1,Haver_Q!$B$1:$L$1,0),FALSE)),100*(VLOOKUP($A137,Haver_Q!$B$1:$L$185,MATCH(data!C$1,Haver_Q!$B$1:$L$1,0),FALSE)),"")</f>
        <v/>
      </c>
      <c r="D137" t="str">
        <f>IF(ISNUMBER(VLOOKUP($A137,Haver_Q!$B$1:$L$185,MATCH(data!D$1,Haver_Q!$B$1:$L$1,0),FALSE)),100*(VLOOKUP($A137,Haver_Q!$B$1:$L$185,MATCH(data!D$1,Haver_Q!$B$1:$L$1,0),FALSE)),"")</f>
        <v/>
      </c>
      <c r="E137" t="str">
        <f>IF(ISNUMBER(VLOOKUP($A137,Haver_Q!$B$1:$L$185,MATCH(data!E$1,Haver_Q!$B$1:$L$1,0),FALSE)),100*(VLOOKUP($A137,Haver_Q!$B$1:$L$185,MATCH(data!E$1,Haver_Q!$B$1:$L$1,0),FALSE)),"")</f>
        <v/>
      </c>
      <c r="F137" t="str">
        <f>IF(ISNUMBER(VLOOKUP($A137,Haver_Q!$B$1:$L$185,MATCH(data!F$1,Haver_Q!$B$1:$L$1,0),FALSE)),100*(VLOOKUP($A137,Haver_Q!$B$1:$L$185,MATCH(data!F$1,Haver_Q!$B$1:$L$1,0),FALSE)),"")</f>
        <v/>
      </c>
      <c r="G137" t="str">
        <f>IF(ISNUMBER(VLOOKUP($A137,Haver_Q!$B$1:$L$185,MATCH(data!G$1,Haver_Q!$B$1:$L$1,0),FALSE)),100*(VLOOKUP($A137,Haver_Q!$B$1:$L$185,MATCH(data!G$1,Haver_Q!$B$1:$L$1,0),FALSE)),"")</f>
        <v/>
      </c>
      <c r="H137" t="str">
        <f>IF(ISNUMBER(VLOOKUP($A137,Haver_Q!$B$1:$L$185,MATCH(data!H$1,Haver_Q!$B$1:$L$1,0),FALSE)),(VLOOKUP($A137,Haver_Q!$B$1:$L$185,MATCH(data!H$1,Haver_Q!$B$1:$L$1,0),FALSE)),"")</f>
        <v/>
      </c>
      <c r="I137" t="str">
        <f>IF(ISNUMBER(VLOOKUP($A137,Haver_Q!$B$1:$L$185,MATCH(data!I$1,Haver_Q!$B$1:$L$1,0),FALSE)),100*(VLOOKUP($A137,Haver_Q!$B$1:$L$185,MATCH(data!I$1,Haver_Q!$B$1:$L$1,0),FALSE)),"")</f>
        <v/>
      </c>
      <c r="J137" s="3">
        <f>IF(ISNUMBER(Bloomberg_m!C153),Bloomberg_m!C153,"")</f>
        <v>1343</v>
      </c>
      <c r="K137" s="3" t="str">
        <f>IF(ISNUMBER(Bloomberg_m!D153),Bloomberg_m!D153,"")</f>
        <v/>
      </c>
      <c r="L137" s="3">
        <f>IF(ISNUMBER(Bloomberg_m!E153),Bloomberg_m!E153,"")</f>
        <v>1023.63</v>
      </c>
      <c r="M137" s="3">
        <f>IF(ISNUMBER(Bloomberg_m!F153),Bloomberg_m!F153,"")</f>
        <v>606.07000000000005</v>
      </c>
      <c r="N137">
        <f>IF(ISNUMBER(VLOOKUP($A137,Haver_M!$B$1:$BZ$300,MATCH(data!N$1,Haver_M!$B$1:$BZ$1,0),FALSE)),VLOOKUP($A137,Haver_M!$B$1:$BZ$300,MATCH(data!N$1,Haver_M!$B$1:$BZ$1,0),FALSE),"")</f>
        <v>6.75</v>
      </c>
      <c r="O137">
        <f>IF(ISNUMBER(VLOOKUP($A137,Haver_M!$B$1:$BZ$300,MATCH(data!O$1,Haver_M!$B$1:$BZ$1,0),FALSE)),VLOOKUP($A137,Haver_M!$B$1:$BZ$300,MATCH(data!O$1,Haver_M!$B$1:$BZ$1,0),FALSE),"")</f>
        <v>8.1266999999999996</v>
      </c>
      <c r="P137">
        <f>IF(ISNUMBER(VLOOKUP($A137,Haver_M!$B$1:$BZ$300,MATCH(data!P$1,Haver_M!$B$1:$BZ$1,0),FALSE)),VLOOKUP($A137,Haver_M!$B$1:$BZ$300,MATCH(data!P$1,Haver_M!$B$1:$BZ$1,0),FALSE),"")</f>
        <v>98.769649999999999</v>
      </c>
      <c r="Q137">
        <f>IF(ISNUMBER(VLOOKUP($A137,Haver_M!$B$1:$BZ$300,MATCH(data!Q$1,Haver_M!$B$1:$BZ$1,0),FALSE)),VLOOKUP($A137,Haver_M!$B$1:$BZ$300,MATCH(data!Q$1,Haver_M!$B$1:$BZ$1,0),FALSE),"")</f>
        <v>89.1</v>
      </c>
      <c r="R137">
        <f>IF(ISNUMBER(VLOOKUP($A137,Haver_M!$B$1:$BZ$300,MATCH(data!R$1,Haver_M!$B$1:$BZ$1,0),FALSE)),VLOOKUP($A137,Haver_M!$B$1:$BZ$300,MATCH(data!R$1,Haver_M!$B$1:$BZ$1,0),FALSE),"")</f>
        <v>89.4</v>
      </c>
      <c r="S137">
        <f>IF(ISNUMBER(VLOOKUP($A137,Haver_M!$B$1:$BZ$300,MATCH(data!S$1,Haver_M!$B$1:$BZ$1,0),FALSE)),VLOOKUP($A137,Haver_M!$B$1:$BZ$300,MATCH(data!S$1,Haver_M!$B$1:$BZ$1,0),FALSE),"")</f>
        <v>103.62</v>
      </c>
      <c r="T137">
        <f>IF(ISNUMBER(VLOOKUP($A137,Haver_M!$B$1:$BZ$300,MATCH(data!T$1,Haver_M!$B$1:$BZ$1,0),FALSE)),VLOOKUP($A137,Haver_M!$B$1:$BZ$300,MATCH(data!T$1,Haver_M!$B$1:$BZ$1,0),FALSE),"")</f>
        <v>98.36</v>
      </c>
      <c r="U137">
        <f>IF(ISNUMBER(VLOOKUP($A137,Haver_M!$B$1:$BZ$300,MATCH(data!U$1,Haver_M!$B$1:$BZ$1,0),FALSE)),VLOOKUP($A137,Haver_M!$B$1:$BZ$300,MATCH(data!U$1,Haver_M!$B$1:$BZ$1,0),FALSE),"")</f>
        <v>129.97</v>
      </c>
      <c r="V137">
        <f>IF(ISNUMBER(VLOOKUP($A137,Haver_M!$B$1:$BZ$300,MATCH(data!V$1,Haver_M!$B$1:$BZ$1,0),FALSE)),VLOOKUP($A137,Haver_M!$B$1:$BZ$300,MATCH(data!V$1,Haver_M!$B$1:$BZ$1,0),FALSE),"")</f>
        <v>107.49</v>
      </c>
      <c r="W137" t="str">
        <f>IF(ISNUMBER(VLOOKUP($A137,Haver_M!$B$1:$BZ$300,MATCH(data!W$1,Haver_M!$B$1:$BZ$1,0),FALSE)),VLOOKUP($A137,Haver_M!$B$1:$BZ$300,MATCH(data!W$1,Haver_M!$B$1:$BZ$1,0),FALSE),"")</f>
        <v/>
      </c>
      <c r="X137">
        <f>IF(ISNUMBER(VLOOKUP($A137,Haver_M!$B$1:$BZ$300,MATCH(data!X$1,Haver_M!$B$1:$BZ$1,0),FALSE)),VLOOKUP($A137,Haver_M!$B$1:$BZ$300,MATCH(data!X$1,Haver_M!$B$1:$BZ$1,0),FALSE),"")</f>
        <v>96.27</v>
      </c>
      <c r="Y137">
        <f>IF(ISNUMBER(VLOOKUP($A137,Haver_M!$B$1:$BZ$300,MATCH(data!Y$1,Haver_M!$B$1:$BZ$1,0),FALSE)),VLOOKUP($A137,Haver_M!$B$1:$BZ$300,MATCH(data!Y$1,Haver_M!$B$1:$BZ$1,0),FALSE),"")</f>
        <v>97.39</v>
      </c>
      <c r="Z137">
        <f>IF(ISNUMBER(VLOOKUP($A137,Haver_M!$B$1:$BZ$300,MATCH(data!Z$1,Haver_M!$B$1:$BZ$1,0),FALSE)),VLOOKUP($A137,Haver_M!$B$1:$BZ$300,MATCH(data!Z$1,Haver_M!$B$1:$BZ$1,0),FALSE),"")</f>
        <v>100.1</v>
      </c>
      <c r="AA137">
        <f>IF(ISNUMBER(VLOOKUP($A137,Haver_M!$B$1:$BZ$300,MATCH(data!AA$1,Haver_M!$B$1:$BZ$1,0),FALSE)),VLOOKUP($A137,Haver_M!$B$1:$BZ$300,MATCH(data!AA$1,Haver_M!$B$1:$BZ$1,0),FALSE),"")</f>
        <v>99.283000000000001</v>
      </c>
      <c r="AB137">
        <f>IF(ISNUMBER(VLOOKUP($A137,Haver_M!$B$1:$BZ$300,MATCH(data!AB$1,Haver_M!$B$1:$BZ$1,0),FALSE)),VLOOKUP($A137,Haver_M!$B$1:$BZ$300,MATCH(data!AB$1,Haver_M!$B$1:$BZ$1,0),FALSE),"")</f>
        <v>101.776</v>
      </c>
      <c r="AC137">
        <f>IF(ISNUMBER(VLOOKUP($A137,Haver_M!$B$1:$BZ$300,MATCH(data!AC$1,Haver_M!$B$1:$BZ$1,0),FALSE)),VLOOKUP($A137,Haver_M!$B$1:$BZ$300,MATCH(data!AC$1,Haver_M!$B$1:$BZ$1,0),FALSE),"")</f>
        <v>106.26300000000001</v>
      </c>
      <c r="AD137">
        <f>IF(ISNUMBER(VLOOKUP($A137,Haver_M!$B$1:$BZ$300,MATCH(data!AD$1,Haver_M!$B$1:$BZ$1,0),FALSE)),VLOOKUP($A137,Haver_M!$B$1:$BZ$300,MATCH(data!AD$1,Haver_M!$B$1:$BZ$1,0),FALSE),"")</f>
        <v>103.66800000000001</v>
      </c>
      <c r="AE137">
        <f>IF(ISNUMBER(VLOOKUP($A137,Haver_M!$B$1:$BZ$300,MATCH(data!AE$1,Haver_M!$B$1:$BZ$1,0),FALSE)),VLOOKUP($A137,Haver_M!$B$1:$BZ$300,MATCH(data!AE$1,Haver_M!$B$1:$BZ$1,0),FALSE),"")</f>
        <v>101.34099999999999</v>
      </c>
      <c r="AF137">
        <f>IF(ISNUMBER(VLOOKUP($A137,Haver_M!$B$1:$BZ$300,MATCH(data!AF$1,Haver_M!$B$1:$BZ$1,0),FALSE)),VLOOKUP($A137,Haver_M!$B$1:$BZ$300,MATCH(data!AF$1,Haver_M!$B$1:$BZ$1,0),FALSE),"")</f>
        <v>95.938999999999993</v>
      </c>
      <c r="AG137">
        <f>IF(ISNUMBER(VLOOKUP($A137,Haver_M!$B$1:$BZ$300,MATCH(data!AG$1,Haver_M!$B$1:$BZ$1,0),FALSE)),VLOOKUP($A137,Haver_M!$B$1:$BZ$300,MATCH(data!AG$1,Haver_M!$B$1:$BZ$1,0),FALSE),"")</f>
        <v>93.432000000000002</v>
      </c>
      <c r="AH137">
        <f>IF(ISNUMBER(VLOOKUP($A137,Haver_M!$B$1:$BZ$300,MATCH(data!AH$1,Haver_M!$B$1:$BZ$1,0),FALSE)),VLOOKUP($A137,Haver_M!$B$1:$BZ$300,MATCH(data!AH$1,Haver_M!$B$1:$BZ$1,0),FALSE),"")</f>
        <v>97.355999999999995</v>
      </c>
      <c r="AI137">
        <f>IF(ISNUMBER(VLOOKUP($A137,Haver_M!$B$1:$BZ$300,MATCH(data!AI$1,Haver_M!$B$1:$BZ$1,0),FALSE)),VLOOKUP($A137,Haver_M!$B$1:$BZ$300,MATCH(data!AI$1,Haver_M!$B$1:$BZ$1,0),FALSE),"")</f>
        <v>12296.584967759594</v>
      </c>
      <c r="AJ137">
        <f>IF(ISNUMBER(VLOOKUP($A137,Haver_M!$B$1:$BZ$300,MATCH(data!AJ$1,Haver_M!$B$1:$BZ$1,0),FALSE)),VLOOKUP($A137,Haver_M!$B$1:$BZ$300,MATCH(data!AJ$1,Haver_M!$B$1:$BZ$1,0),FALSE),"")</f>
        <v>23917.79</v>
      </c>
      <c r="AK137">
        <f>IF(ISNUMBER(VLOOKUP($A137,Haver_M!$B$1:$BZ$300,MATCH(data!AK$1,Haver_M!$B$1:$BZ$1,0),FALSE)),VLOOKUP($A137,Haver_M!$B$1:$BZ$300,MATCH(data!AK$1,Haver_M!$B$1:$BZ$1,0),FALSE),"")</f>
        <v>36068.449999999997</v>
      </c>
      <c r="AL137">
        <f>IF(ISNUMBER(VLOOKUP($A137,Haver_M!$B$1:$BZ$300,MATCH(data!AL$1,Haver_M!$B$1:$BZ$1,0),FALSE)),VLOOKUP($A137,Haver_M!$B$1:$BZ$300,MATCH(data!AL$1,Haver_M!$B$1:$BZ$1,0),FALSE),"")</f>
        <v>11469</v>
      </c>
      <c r="AM137">
        <f>IF(ISNUMBER(VLOOKUP($A137,Haver_M!$B$1:$BZ$300,MATCH(data!AM$1,Haver_M!$B$1:$BZ$1,0),FALSE)),VLOOKUP($A137,Haver_M!$B$1:$BZ$300,MATCH(data!AM$1,Haver_M!$B$1:$BZ$1,0),FALSE),"")</f>
        <v>6889</v>
      </c>
      <c r="AN137" t="str">
        <f>IF(ISNUMBER(VLOOKUP($A137,Haver_M!$B$1:$BZ$300,MATCH(data!AN$1,Haver_M!$B$1:$BZ$1,0),FALSE)),VLOOKUP($A137,Haver_M!$B$1:$BZ$300,MATCH(data!AN$1,Haver_M!$B$1:$BZ$1,0),FALSE),"")</f>
        <v/>
      </c>
      <c r="AO137" t="str">
        <f>IF(ISNUMBER(VLOOKUP($A137,Haver_M!$B$1:$BZ$300,MATCH(data!AO$1,Haver_M!$B$1:$BZ$1,0),FALSE)),VLOOKUP($A137,Haver_M!$B$1:$BZ$300,MATCH(data!AO$1,Haver_M!$B$1:$BZ$1,0),FALSE),"")</f>
        <v/>
      </c>
      <c r="AP137">
        <f>IF(ISNUMBER(VLOOKUP($A137,Haver_M!$B$1:$BZ$300,MATCH(data!AP$1,Haver_M!$B$1:$BZ$1,0),FALSE)),VLOOKUP($A137,Haver_M!$B$1:$BZ$300,MATCH(data!AP$1,Haver_M!$B$1:$BZ$1,0),FALSE),"")</f>
        <v>80.495799361094583</v>
      </c>
      <c r="AQ137">
        <f>IF(ISNUMBER(VLOOKUP($A137,Haver_M!$B$1:$BZ$300,MATCH(data!AQ$1,Haver_M!$B$1:$BZ$1,0),FALSE)),VLOOKUP($A137,Haver_M!$B$1:$BZ$300,MATCH(data!AQ$1,Haver_M!$B$1:$BZ$1,0),FALSE),"")</f>
        <v>60.737299999999998</v>
      </c>
      <c r="AR137">
        <f>IF(ISNUMBER(VLOOKUP($A137,Haver_M!$B$1:$BZ$300,MATCH(data!AR$1,Haver_M!$B$1:$BZ$1,0),FALSE)),VLOOKUP($A137,Haver_M!$B$1:$BZ$300,MATCH(data!AR$1,Haver_M!$B$1:$BZ$1,0),FALSE),"")</f>
        <v>57.964199999999998</v>
      </c>
      <c r="AS137">
        <f>IF(ISNUMBER(VLOOKUP($A137,Haver_M!$B$1:$BZ$300,MATCH(data!AS$1,Haver_M!$B$1:$BZ$1,0),FALSE)),VLOOKUP($A137,Haver_M!$B$1:$BZ$300,MATCH(data!AS$1,Haver_M!$B$1:$BZ$1,0),FALSE),"")</f>
        <v>59.201900000000002</v>
      </c>
      <c r="AT137">
        <f>IF(ISNUMBER(VLOOKUP($A137,Haver_M!$B$1:$BZ$300,MATCH(data!AT$1,Haver_M!$B$1:$BZ$1,0),FALSE)),VLOOKUP($A137,Haver_M!$B$1:$BZ$300,MATCH(data!AT$1,Haver_M!$B$1:$BZ$1,0),FALSE),"")</f>
        <v>63.924500000000002</v>
      </c>
      <c r="AU137">
        <f>IF(ISNUMBER(VLOOKUP($A137,Haver_M!$B$1:$BZ$300,MATCH(data!AU$1,Haver_M!$B$1:$BZ$1,0),FALSE)),VLOOKUP($A137,Haver_M!$B$1:$BZ$300,MATCH(data!AU$1,Haver_M!$B$1:$BZ$1,0),FALSE),"")</f>
        <v>63.066600000000001</v>
      </c>
      <c r="AV137">
        <f>IF(ISNUMBER(VLOOKUP($A137,Haver_M!$B$1:$BZ$300,MATCH(data!AV$1,Haver_M!$B$1:$BZ$1,0),FALSE)),VLOOKUP($A137,Haver_M!$B$1:$BZ$300,MATCH(data!AV$1,Haver_M!$B$1:$BZ$1,0),FALSE),"")</f>
        <v>49.962400000000002</v>
      </c>
      <c r="AW137">
        <f>IF(ISNUMBER(VLOOKUP($A137,Haver_M!$B$1:$BZ$300,MATCH(data!AW$1,Haver_M!$B$1:$BZ$1,0),FALSE)),VLOOKUP($A137,Haver_M!$B$1:$BZ$300,MATCH(data!AW$1,Haver_M!$B$1:$BZ$1,0),FALSE),"")</f>
        <v>49.822099999999999</v>
      </c>
      <c r="AX137">
        <f>IF(ISNUMBER(VLOOKUP($A137,Haver_M!$B$1:$BZ$300,MATCH(data!AX$1,Haver_M!$B$1:$BZ$1,0),FALSE)),VLOOKUP($A137,Haver_M!$B$1:$BZ$300,MATCH(data!AX$1,Haver_M!$B$1:$BZ$1,0),FALSE),"")</f>
        <v>55.439900000000002</v>
      </c>
      <c r="AY137">
        <f>IF(ISNUMBER(VLOOKUP($A137,Haver_M!$B$1:$BZ$300,MATCH(data!AY$1,Haver_M!$B$1:$BZ$1,0),FALSE)),VLOOKUP($A137,Haver_M!$B$1:$BZ$300,MATCH(data!AY$1,Haver_M!$B$1:$BZ$1,0),FALSE),"")</f>
        <v>66.334299999999999</v>
      </c>
      <c r="AZ137">
        <f>IF(ISNUMBER(VLOOKUP($A137,Haver_M!$B$1:$BZ$300,MATCH(data!AZ$1,Haver_M!$B$1:$BZ$1,0),FALSE)),VLOOKUP($A137,Haver_M!$B$1:$BZ$300,MATCH(data!AZ$1,Haver_M!$B$1:$BZ$1,0),FALSE),"")</f>
        <v>64.629000000000005</v>
      </c>
      <c r="BA137">
        <f>IF(ISNUMBER(VLOOKUP($A137,Haver_M!$B$1:$BZ$300,MATCH(data!BA$1,Haver_M!$B$1:$BZ$1,0),FALSE)),VLOOKUP($A137,Haver_M!$B$1:$BZ$300,MATCH(data!BA$1,Haver_M!$B$1:$BZ$1,0),FALSE),"")</f>
        <v>55.439900000000002</v>
      </c>
      <c r="BB137">
        <f>IF(ISNUMBER(VLOOKUP($A137,Haver_M!$B$1:$BZ$300,MATCH(data!BB$1,Haver_M!$B$1:$BZ$1,0),FALSE)),VLOOKUP($A137,Haver_M!$B$1:$BZ$300,MATCH(data!BB$1,Haver_M!$B$1:$BZ$1,0),FALSE),"")</f>
        <v>57.277000000000001</v>
      </c>
      <c r="BC137">
        <f>IF(ISNUMBER(VLOOKUP($A137,Haver_M!$B$1:$BZ$300,MATCH(data!BC$1,Haver_M!$B$1:$BZ$1,0),FALSE)),VLOOKUP($A137,Haver_M!$B$1:$BZ$300,MATCH(data!BC$1,Haver_M!$B$1:$BZ$1,0),FALSE),"")</f>
        <v>56.196100000000001</v>
      </c>
      <c r="BD137">
        <f>IF(ISNUMBER(VLOOKUP($A137,Haver_M!$B$1:$BZ$300,MATCH(data!BD$1,Haver_M!$B$1:$BZ$1,0),FALSE)),VLOOKUP($A137,Haver_M!$B$1:$BZ$300,MATCH(data!BD$1,Haver_M!$B$1:$BZ$1,0),FALSE),"")</f>
        <v>52.481400000000001</v>
      </c>
      <c r="BE137">
        <f>IF(ISNUMBER(VLOOKUP($A137,Haver_M!$B$1:$BZ$300,MATCH(data!BE$1,Haver_M!$B$1:$BZ$1,0),FALSE)),VLOOKUP($A137,Haver_M!$B$1:$BZ$300,MATCH(data!BE$1,Haver_M!$B$1:$BZ$1,0),FALSE),"")</f>
        <v>1.2304999999999999</v>
      </c>
      <c r="BF137">
        <f>IF(ISNUMBER(VLOOKUP($A137,Haver_M!$B$1:$BZ$300,MATCH(data!BF$1,Haver_M!$B$1:$BZ$1,0),FALSE)),VLOOKUP($A137,Haver_M!$B$1:$BZ$300,MATCH(data!BF$1,Haver_M!$B$1:$BZ$1,0),FALSE),"")</f>
        <v>52.630800000000001</v>
      </c>
      <c r="BG137">
        <f>IF(ISNUMBER(VLOOKUP($A137,Haver_M!$B$1:$BZ$300,MATCH(data!BG$1,Haver_M!$B$1:$BZ$1,0),FALSE)),VLOOKUP($A137,Haver_M!$B$1:$BZ$300,MATCH(data!BG$1,Haver_M!$B$1:$BZ$1,0),FALSE),"")</f>
        <v>55.422400000000003</v>
      </c>
      <c r="BH137">
        <f>IF(ISNUMBER(VLOOKUP($A137,Haver_M!$B$1:$BZ$300,MATCH(data!BH$1,Haver_M!$B$1:$BZ$1,0),FALSE)),VLOOKUP($A137,Haver_M!$B$1:$BZ$300,MATCH(data!BH$1,Haver_M!$B$1:$BZ$1,0),FALSE),"")</f>
        <v>57.773000000000003</v>
      </c>
      <c r="BI137">
        <f>IF(ISNUMBER(VLOOKUP($A137,Haver_M!$B$1:$BZ$300,MATCH(data!BI$1,Haver_M!$B$1:$BZ$1,0),FALSE)),VLOOKUP($A137,Haver_M!$B$1:$BZ$300,MATCH(data!BI$1,Haver_M!$B$1:$BZ$1,0),FALSE),"")</f>
        <v>55.688699999999997</v>
      </c>
      <c r="BJ137" t="str">
        <f>IF(ISNUMBER(VLOOKUP($A137,Haver_M!$B$1:$BZ$300,MATCH(data!BJ$1,Haver_M!$B$1:$BZ$1,0),FALSE)),VLOOKUP($A137,Haver_M!$B$1:$BZ$300,MATCH(data!BJ$1,Haver_M!$B$1:$BZ$1,0),FALSE),"")</f>
        <v/>
      </c>
      <c r="BK137">
        <f>IF(ISNUMBER(VLOOKUP($A137,Haver_M!$B$1:$BZ$300,MATCH(data!BK$1,Haver_M!$B$1:$BZ$1,0),FALSE)),VLOOKUP($A137,Haver_M!$B$1:$BZ$300,MATCH(data!BK$1,Haver_M!$B$1:$BZ$1,0),FALSE),"")</f>
        <v>49.653199999999998</v>
      </c>
      <c r="BL137">
        <f>IF(ISNUMBER(VLOOKUP($A137,Haver_M!$B$1:$BZ$300,MATCH(data!BL$1,Haver_M!$B$1:$BZ$1,0),FALSE)),VLOOKUP($A137,Haver_M!$B$1:$BZ$300,MATCH(data!BL$1,Haver_M!$B$1:$BZ$1,0),FALSE),"")</f>
        <v>19450.14</v>
      </c>
      <c r="BM137">
        <f>IF(ISNUMBER(VLOOKUP($A137,Haver_M!$B$1:$BZ$300,MATCH(data!BM$1,Haver_M!$B$1:$BZ$1,0),FALSE)),VLOOKUP($A137,Haver_M!$B$1:$BZ$300,MATCH(data!BM$1,Haver_M!$B$1:$BZ$1,0),FALSE),"")</f>
        <v>107.88827976</v>
      </c>
      <c r="BN137" t="str">
        <f>IF(ISNUMBER(VLOOKUP($A137,Haver_M!$B$1:$BZ$300,MATCH(data!BN$1,Haver_M!$B$1:$BZ$1,0),FALSE)),VLOOKUP($A137,Haver_M!$B$1:$BZ$300,MATCH(data!BN$1,Haver_M!$B$1:$BZ$1,0),FALSE),"")</f>
        <v/>
      </c>
      <c r="BO137" t="str">
        <f>IF(ISNUMBER(VLOOKUP($A137,Haver_M!$B$1:$BZ$300,MATCH(data!BO$1,Haver_M!$B$1:$BZ$1,0),FALSE)),VLOOKUP($A137,Haver_M!$B$1:$BZ$300,MATCH(data!BO$1,Haver_M!$B$1:$BZ$1,0),FALSE),"")</f>
        <v/>
      </c>
      <c r="BP137" t="str">
        <f>IF(ISNUMBER(VLOOKUP($A137,Haver_M!$B$1:$BZ$300,MATCH(data!BP$1,Haver_M!$B$1:$BZ$1,0),FALSE)),VLOOKUP($A137,Haver_M!$B$1:$BZ$300,MATCH(data!BP$1,Haver_M!$B$1:$BZ$1,0),FALSE),"")</f>
        <v/>
      </c>
      <c r="BQ137">
        <f>IF(ISNUMBER(VLOOKUP($A137,Haver_M!$B$1:$BZ$300,MATCH(data!BQ$1,Haver_M!$B$1:$BZ$1,0),FALSE)),VLOOKUP($A137,Haver_M!$B$1:$BZ$300,MATCH(data!BQ$1,Haver_M!$B$1:$BZ$1,0),FALSE),"")</f>
        <v>158.80463666463066</v>
      </c>
      <c r="BR137">
        <f>IF(ISNUMBER(VLOOKUP($A137,Haver_M!$B$1:$BZ$300,MATCH(data!BR$1,Haver_M!$B$1:$BZ$1,0),FALSE)),VLOOKUP($A137,Haver_M!$B$1:$BZ$300,MATCH(data!BR$1,Haver_M!$B$1:$BZ$1,0),FALSE),"")</f>
        <v>364.2549489385392</v>
      </c>
      <c r="BS137">
        <f>IF(ISNUMBER(VLOOKUP($A137,Haver_M!$B$1:$BZ$300,MATCH(data!BS$1,Haver_M!$B$1:$BZ$1,0),FALSE)),VLOOKUP($A137,Haver_M!$B$1:$BZ$300,MATCH(data!BS$1,Haver_M!$B$1:$BZ$1,0),FALSE),"")</f>
        <v>199.55440958706819</v>
      </c>
      <c r="BT137">
        <f>IF(ISNUMBER(VLOOKUP($A137,Haver_M!$B$1:$BZ$300,MATCH(data!BT$1,Haver_M!$B$1:$BZ$1,0),FALSE)),VLOOKUP($A137,Haver_M!$B$1:$BZ$300,MATCH(data!BT$1,Haver_M!$B$1:$BZ$1,0),FALSE),"")</f>
        <v>830.0824240839703</v>
      </c>
      <c r="BU137">
        <f>IF(ISNUMBER(VLOOKUP($A137,Haver_M!$B$1:$BZ$300,MATCH(data!BU$1,Haver_M!$B$1:$BZ$1,0),FALSE)),VLOOKUP($A137,Haver_M!$B$1:$BZ$300,MATCH(data!BU$1,Haver_M!$B$1:$BZ$1,0),FALSE),"")</f>
        <v>23469.52</v>
      </c>
      <c r="BV137">
        <f>IF(ISNUMBER(VLOOKUP($A137,Haver_M!$B$1:$BZ$300,MATCH(data!BV$1,Haver_M!$B$1:$BZ$1,0),FALSE)),VLOOKUP($A137,Haver_M!$B$1:$BZ$300,MATCH(data!BV$1,Haver_M!$B$1:$BZ$1,0),FALSE),"")</f>
        <v>36595.86</v>
      </c>
      <c r="BW137">
        <f>IF(ISNUMBER(VLOOKUP($A137,Haver_M!$B$1:$BZ$300,MATCH(data!BW$1,Haver_M!$B$1:$BZ$1,0),FALSE)),VLOOKUP($A137,Haver_M!$B$1:$BZ$300,MATCH(data!BW$1,Haver_M!$B$1:$BZ$1,0),FALSE),"")</f>
        <v>44.368099999999998</v>
      </c>
      <c r="BX137">
        <f>IF(ISNUMBER(VLOOKUP($A137,Haver_M!$B$1:$BZ$300,MATCH(data!BX$1,Haver_M!$B$1:$BZ$1,0),FALSE)),VLOOKUP($A137,Haver_M!$B$1:$BZ$300,MATCH(data!BX$1,Haver_M!$B$1:$BZ$1,0),FALSE),"")</f>
        <v>59266</v>
      </c>
    </row>
    <row r="138" spans="1:76" x14ac:dyDescent="0.25">
      <c r="A138" s="2">
        <v>40694</v>
      </c>
      <c r="B138" t="str">
        <f>IF(ISNUMBER(VLOOKUP($A138,Haver_Q!$B$1:$L$185,MATCH(data!B$1,Haver_Q!$B$1:$L$1,0),FALSE)),100*(VLOOKUP($A138,Haver_Q!$B$1:$L$185,MATCH(data!B$1,Haver_Q!$B$1:$L$1,0),FALSE)),"")</f>
        <v/>
      </c>
      <c r="C138" t="str">
        <f>IF(ISNUMBER(VLOOKUP($A138,Haver_Q!$B$1:$L$185,MATCH(data!C$1,Haver_Q!$B$1:$L$1,0),FALSE)),100*(VLOOKUP($A138,Haver_Q!$B$1:$L$185,MATCH(data!C$1,Haver_Q!$B$1:$L$1,0),FALSE)),"")</f>
        <v/>
      </c>
      <c r="D138" t="str">
        <f>IF(ISNUMBER(VLOOKUP($A138,Haver_Q!$B$1:$L$185,MATCH(data!D$1,Haver_Q!$B$1:$L$1,0),FALSE)),100*(VLOOKUP($A138,Haver_Q!$B$1:$L$185,MATCH(data!D$1,Haver_Q!$B$1:$L$1,0),FALSE)),"")</f>
        <v/>
      </c>
      <c r="E138" t="str">
        <f>IF(ISNUMBER(VLOOKUP($A138,Haver_Q!$B$1:$L$185,MATCH(data!E$1,Haver_Q!$B$1:$L$1,0),FALSE)),100*(VLOOKUP($A138,Haver_Q!$B$1:$L$185,MATCH(data!E$1,Haver_Q!$B$1:$L$1,0),FALSE)),"")</f>
        <v/>
      </c>
      <c r="F138" t="str">
        <f>IF(ISNUMBER(VLOOKUP($A138,Haver_Q!$B$1:$L$185,MATCH(data!F$1,Haver_Q!$B$1:$L$1,0),FALSE)),100*(VLOOKUP($A138,Haver_Q!$B$1:$L$185,MATCH(data!F$1,Haver_Q!$B$1:$L$1,0),FALSE)),"")</f>
        <v/>
      </c>
      <c r="G138" t="str">
        <f>IF(ISNUMBER(VLOOKUP($A138,Haver_Q!$B$1:$L$185,MATCH(data!G$1,Haver_Q!$B$1:$L$1,0),FALSE)),100*(VLOOKUP($A138,Haver_Q!$B$1:$L$185,MATCH(data!G$1,Haver_Q!$B$1:$L$1,0),FALSE)),"")</f>
        <v/>
      </c>
      <c r="H138" t="str">
        <f>IF(ISNUMBER(VLOOKUP($A138,Haver_Q!$B$1:$L$185,MATCH(data!H$1,Haver_Q!$B$1:$L$1,0),FALSE)),(VLOOKUP($A138,Haver_Q!$B$1:$L$185,MATCH(data!H$1,Haver_Q!$B$1:$L$1,0),FALSE)),"")</f>
        <v/>
      </c>
      <c r="I138" t="str">
        <f>IF(ISNUMBER(VLOOKUP($A138,Haver_Q!$B$1:$L$185,MATCH(data!I$1,Haver_Q!$B$1:$L$1,0),FALSE)),100*(VLOOKUP($A138,Haver_Q!$B$1:$L$185,MATCH(data!I$1,Haver_Q!$B$1:$L$1,0),FALSE)),"")</f>
        <v/>
      </c>
      <c r="J138" s="3">
        <f>IF(ISNUMBER(Bloomberg_m!C154),Bloomberg_m!C154,"")</f>
        <v>1352</v>
      </c>
      <c r="K138" s="3" t="str">
        <f>IF(ISNUMBER(Bloomberg_m!D154),Bloomberg_m!D154,"")</f>
        <v/>
      </c>
      <c r="L138" s="3">
        <f>IF(ISNUMBER(Bloomberg_m!E154),Bloomberg_m!E154,"")</f>
        <v>1072.48</v>
      </c>
      <c r="M138" s="3">
        <f>IF(ISNUMBER(Bloomberg_m!F154),Bloomberg_m!F154,"")</f>
        <v>578.65</v>
      </c>
      <c r="N138">
        <f>IF(ISNUMBER(VLOOKUP($A138,Haver_M!$B$1:$BZ$300,MATCH(data!N$1,Haver_M!$B$1:$BZ$1,0),FALSE)),VLOOKUP($A138,Haver_M!$B$1:$BZ$300,MATCH(data!N$1,Haver_M!$B$1:$BZ$1,0),FALSE),"")</f>
        <v>7.25</v>
      </c>
      <c r="O138">
        <f>IF(ISNUMBER(VLOOKUP($A138,Haver_M!$B$1:$BZ$300,MATCH(data!O$1,Haver_M!$B$1:$BZ$1,0),FALSE)),VLOOKUP($A138,Haver_M!$B$1:$BZ$300,MATCH(data!O$1,Haver_M!$B$1:$BZ$1,0),FALSE),"")</f>
        <v>8.4123000000000001</v>
      </c>
      <c r="P138">
        <f>IF(ISNUMBER(VLOOKUP($A138,Haver_M!$B$1:$BZ$300,MATCH(data!P$1,Haver_M!$B$1:$BZ$1,0),FALSE)),VLOOKUP($A138,Haver_M!$B$1:$BZ$300,MATCH(data!P$1,Haver_M!$B$1:$BZ$1,0),FALSE),"")</f>
        <v>97.763210000000001</v>
      </c>
      <c r="Q138">
        <f>IF(ISNUMBER(VLOOKUP($A138,Haver_M!$B$1:$BZ$300,MATCH(data!Q$1,Haver_M!$B$1:$BZ$1,0),FALSE)),VLOOKUP($A138,Haver_M!$B$1:$BZ$300,MATCH(data!Q$1,Haver_M!$B$1:$BZ$1,0),FALSE),"")</f>
        <v>89.8</v>
      </c>
      <c r="R138">
        <f>IF(ISNUMBER(VLOOKUP($A138,Haver_M!$B$1:$BZ$300,MATCH(data!R$1,Haver_M!$B$1:$BZ$1,0),FALSE)),VLOOKUP($A138,Haver_M!$B$1:$BZ$300,MATCH(data!R$1,Haver_M!$B$1:$BZ$1,0),FALSE),"")</f>
        <v>90.3</v>
      </c>
      <c r="S138">
        <f>IF(ISNUMBER(VLOOKUP($A138,Haver_M!$B$1:$BZ$300,MATCH(data!S$1,Haver_M!$B$1:$BZ$1,0),FALSE)),VLOOKUP($A138,Haver_M!$B$1:$BZ$300,MATCH(data!S$1,Haver_M!$B$1:$BZ$1,0),FALSE),"")</f>
        <v>101.07</v>
      </c>
      <c r="T138">
        <f>IF(ISNUMBER(VLOOKUP($A138,Haver_M!$B$1:$BZ$300,MATCH(data!T$1,Haver_M!$B$1:$BZ$1,0),FALSE)),VLOOKUP($A138,Haver_M!$B$1:$BZ$300,MATCH(data!T$1,Haver_M!$B$1:$BZ$1,0),FALSE),"")</f>
        <v>97.69</v>
      </c>
      <c r="U138">
        <f>IF(ISNUMBER(VLOOKUP($A138,Haver_M!$B$1:$BZ$300,MATCH(data!U$1,Haver_M!$B$1:$BZ$1,0),FALSE)),VLOOKUP($A138,Haver_M!$B$1:$BZ$300,MATCH(data!U$1,Haver_M!$B$1:$BZ$1,0),FALSE),"")</f>
        <v>116.77</v>
      </c>
      <c r="V138">
        <f>IF(ISNUMBER(VLOOKUP($A138,Haver_M!$B$1:$BZ$300,MATCH(data!V$1,Haver_M!$B$1:$BZ$1,0),FALSE)),VLOOKUP($A138,Haver_M!$B$1:$BZ$300,MATCH(data!V$1,Haver_M!$B$1:$BZ$1,0),FALSE),"")</f>
        <v>104.96</v>
      </c>
      <c r="W138" t="str">
        <f>IF(ISNUMBER(VLOOKUP($A138,Haver_M!$B$1:$BZ$300,MATCH(data!W$1,Haver_M!$B$1:$BZ$1,0),FALSE)),VLOOKUP($A138,Haver_M!$B$1:$BZ$300,MATCH(data!W$1,Haver_M!$B$1:$BZ$1,0),FALSE),"")</f>
        <v/>
      </c>
      <c r="X138">
        <f>IF(ISNUMBER(VLOOKUP($A138,Haver_M!$B$1:$BZ$300,MATCH(data!X$1,Haver_M!$B$1:$BZ$1,0),FALSE)),VLOOKUP($A138,Haver_M!$B$1:$BZ$300,MATCH(data!X$1,Haver_M!$B$1:$BZ$1,0),FALSE),"")</f>
        <v>94.73</v>
      </c>
      <c r="Y138">
        <f>IF(ISNUMBER(VLOOKUP($A138,Haver_M!$B$1:$BZ$300,MATCH(data!Y$1,Haver_M!$B$1:$BZ$1,0),FALSE)),VLOOKUP($A138,Haver_M!$B$1:$BZ$300,MATCH(data!Y$1,Haver_M!$B$1:$BZ$1,0),FALSE),"")</f>
        <v>97.87</v>
      </c>
      <c r="Z138">
        <f>IF(ISNUMBER(VLOOKUP($A138,Haver_M!$B$1:$BZ$300,MATCH(data!Z$1,Haver_M!$B$1:$BZ$1,0),FALSE)),VLOOKUP($A138,Haver_M!$B$1:$BZ$300,MATCH(data!Z$1,Haver_M!$B$1:$BZ$1,0),FALSE),"")</f>
        <v>98.5</v>
      </c>
      <c r="AA138">
        <f>IF(ISNUMBER(VLOOKUP($A138,Haver_M!$B$1:$BZ$300,MATCH(data!AA$1,Haver_M!$B$1:$BZ$1,0),FALSE)),VLOOKUP($A138,Haver_M!$B$1:$BZ$300,MATCH(data!AA$1,Haver_M!$B$1:$BZ$1,0),FALSE),"")</f>
        <v>98.292000000000002</v>
      </c>
      <c r="AB138">
        <f>IF(ISNUMBER(VLOOKUP($A138,Haver_M!$B$1:$BZ$300,MATCH(data!AB$1,Haver_M!$B$1:$BZ$1,0),FALSE)),VLOOKUP($A138,Haver_M!$B$1:$BZ$300,MATCH(data!AB$1,Haver_M!$B$1:$BZ$1,0),FALSE),"")</f>
        <v>101.227</v>
      </c>
      <c r="AC138">
        <f>IF(ISNUMBER(VLOOKUP($A138,Haver_M!$B$1:$BZ$300,MATCH(data!AC$1,Haver_M!$B$1:$BZ$1,0),FALSE)),VLOOKUP($A138,Haver_M!$B$1:$BZ$300,MATCH(data!AC$1,Haver_M!$B$1:$BZ$1,0),FALSE),"")</f>
        <v>102.337</v>
      </c>
      <c r="AD138">
        <f>IF(ISNUMBER(VLOOKUP($A138,Haver_M!$B$1:$BZ$300,MATCH(data!AD$1,Haver_M!$B$1:$BZ$1,0),FALSE)),VLOOKUP($A138,Haver_M!$B$1:$BZ$300,MATCH(data!AD$1,Haver_M!$B$1:$BZ$1,0),FALSE),"")</f>
        <v>100.557</v>
      </c>
      <c r="AE138">
        <f>IF(ISNUMBER(VLOOKUP($A138,Haver_M!$B$1:$BZ$300,MATCH(data!AE$1,Haver_M!$B$1:$BZ$1,0),FALSE)),VLOOKUP($A138,Haver_M!$B$1:$BZ$300,MATCH(data!AE$1,Haver_M!$B$1:$BZ$1,0),FALSE),"")</f>
        <v>102.54</v>
      </c>
      <c r="AF138">
        <f>IF(ISNUMBER(VLOOKUP($A138,Haver_M!$B$1:$BZ$300,MATCH(data!AF$1,Haver_M!$B$1:$BZ$1,0),FALSE)),VLOOKUP($A138,Haver_M!$B$1:$BZ$300,MATCH(data!AF$1,Haver_M!$B$1:$BZ$1,0),FALSE),"")</f>
        <v>95.010999999999996</v>
      </c>
      <c r="AG138">
        <f>IF(ISNUMBER(VLOOKUP($A138,Haver_M!$B$1:$BZ$300,MATCH(data!AG$1,Haver_M!$B$1:$BZ$1,0),FALSE)),VLOOKUP($A138,Haver_M!$B$1:$BZ$300,MATCH(data!AG$1,Haver_M!$B$1:$BZ$1,0),FALSE),"")</f>
        <v>92.850999999999999</v>
      </c>
      <c r="AH138">
        <f>IF(ISNUMBER(VLOOKUP($A138,Haver_M!$B$1:$BZ$300,MATCH(data!AH$1,Haver_M!$B$1:$BZ$1,0),FALSE)),VLOOKUP($A138,Haver_M!$B$1:$BZ$300,MATCH(data!AH$1,Haver_M!$B$1:$BZ$1,0),FALSE),"")</f>
        <v>98.236000000000004</v>
      </c>
      <c r="AI138">
        <f>IF(ISNUMBER(VLOOKUP($A138,Haver_M!$B$1:$BZ$300,MATCH(data!AI$1,Haver_M!$B$1:$BZ$1,0),FALSE)),VLOOKUP($A138,Haver_M!$B$1:$BZ$300,MATCH(data!AI$1,Haver_M!$B$1:$BZ$1,0),FALSE),"")</f>
        <v>12038.308853951787</v>
      </c>
      <c r="AJ138">
        <f>IF(ISNUMBER(VLOOKUP($A138,Haver_M!$B$1:$BZ$300,MATCH(data!AJ$1,Haver_M!$B$1:$BZ$1,0),FALSE)),VLOOKUP($A138,Haver_M!$B$1:$BZ$300,MATCH(data!AJ$1,Haver_M!$B$1:$BZ$1,0),FALSE),"")</f>
        <v>26480.29</v>
      </c>
      <c r="AK138">
        <f>IF(ISNUMBER(VLOOKUP($A138,Haver_M!$B$1:$BZ$300,MATCH(data!AK$1,Haver_M!$B$1:$BZ$1,0),FALSE)),VLOOKUP($A138,Haver_M!$B$1:$BZ$300,MATCH(data!AK$1,Haver_M!$B$1:$BZ$1,0),FALSE),"")</f>
        <v>42078.7</v>
      </c>
      <c r="AL138">
        <f>IF(ISNUMBER(VLOOKUP($A138,Haver_M!$B$1:$BZ$300,MATCH(data!AL$1,Haver_M!$B$1:$BZ$1,0),FALSE)),VLOOKUP($A138,Haver_M!$B$1:$BZ$300,MATCH(data!AL$1,Haver_M!$B$1:$BZ$1,0),FALSE),"")</f>
        <v>11835</v>
      </c>
      <c r="AM138">
        <f>IF(ISNUMBER(VLOOKUP($A138,Haver_M!$B$1:$BZ$300,MATCH(data!AM$1,Haver_M!$B$1:$BZ$1,0),FALSE)),VLOOKUP($A138,Haver_M!$B$1:$BZ$300,MATCH(data!AM$1,Haver_M!$B$1:$BZ$1,0),FALSE),"")</f>
        <v>7088</v>
      </c>
      <c r="AN138" t="str">
        <f>IF(ISNUMBER(VLOOKUP($A138,Haver_M!$B$1:$BZ$300,MATCH(data!AN$1,Haver_M!$B$1:$BZ$1,0),FALSE)),VLOOKUP($A138,Haver_M!$B$1:$BZ$300,MATCH(data!AN$1,Haver_M!$B$1:$BZ$1,0),FALSE),"")</f>
        <v/>
      </c>
      <c r="AO138" t="str">
        <f>IF(ISNUMBER(VLOOKUP($A138,Haver_M!$B$1:$BZ$300,MATCH(data!AO$1,Haver_M!$B$1:$BZ$1,0),FALSE)),VLOOKUP($A138,Haver_M!$B$1:$BZ$300,MATCH(data!AO$1,Haver_M!$B$1:$BZ$1,0),FALSE),"")</f>
        <v/>
      </c>
      <c r="AP138">
        <f>IF(ISNUMBER(VLOOKUP($A138,Haver_M!$B$1:$BZ$300,MATCH(data!AP$1,Haver_M!$B$1:$BZ$1,0),FALSE)),VLOOKUP($A138,Haver_M!$B$1:$BZ$300,MATCH(data!AP$1,Haver_M!$B$1:$BZ$1,0),FALSE),"")</f>
        <v>104.45027940712197</v>
      </c>
      <c r="AQ138">
        <f>IF(ISNUMBER(VLOOKUP($A138,Haver_M!$B$1:$BZ$300,MATCH(data!AQ$1,Haver_M!$B$1:$BZ$1,0),FALSE)),VLOOKUP($A138,Haver_M!$B$1:$BZ$300,MATCH(data!AQ$1,Haver_M!$B$1:$BZ$1,0),FALSE),"")</f>
        <v>57.684100000000001</v>
      </c>
      <c r="AR138">
        <f>IF(ISNUMBER(VLOOKUP($A138,Haver_M!$B$1:$BZ$300,MATCH(data!AR$1,Haver_M!$B$1:$BZ$1,0),FALSE)),VLOOKUP($A138,Haver_M!$B$1:$BZ$300,MATCH(data!AR$1,Haver_M!$B$1:$BZ$1,0),FALSE),"")</f>
        <v>57.5002</v>
      </c>
      <c r="AS138">
        <f>IF(ISNUMBER(VLOOKUP($A138,Haver_M!$B$1:$BZ$300,MATCH(data!AS$1,Haver_M!$B$1:$BZ$1,0),FALSE)),VLOOKUP($A138,Haver_M!$B$1:$BZ$300,MATCH(data!AS$1,Haver_M!$B$1:$BZ$1,0),FALSE),"")</f>
        <v>55.0045</v>
      </c>
      <c r="AT138">
        <f>IF(ISNUMBER(VLOOKUP($A138,Haver_M!$B$1:$BZ$300,MATCH(data!AT$1,Haver_M!$B$1:$BZ$1,0),FALSE)),VLOOKUP($A138,Haver_M!$B$1:$BZ$300,MATCH(data!AT$1,Haver_M!$B$1:$BZ$1,0),FALSE),"")</f>
        <v>63.246099999999998</v>
      </c>
      <c r="AU138">
        <f>IF(ISNUMBER(VLOOKUP($A138,Haver_M!$B$1:$BZ$300,MATCH(data!AU$1,Haver_M!$B$1:$BZ$1,0),FALSE)),VLOOKUP($A138,Haver_M!$B$1:$BZ$300,MATCH(data!AU$1,Haver_M!$B$1:$BZ$1,0),FALSE),"")</f>
        <v>62.366999999999997</v>
      </c>
      <c r="AV138">
        <f>IF(ISNUMBER(VLOOKUP($A138,Haver_M!$B$1:$BZ$300,MATCH(data!AV$1,Haver_M!$B$1:$BZ$1,0),FALSE)),VLOOKUP($A138,Haver_M!$B$1:$BZ$300,MATCH(data!AV$1,Haver_M!$B$1:$BZ$1,0),FALSE),"")</f>
        <v>48.831400000000002</v>
      </c>
      <c r="AW138">
        <f>IF(ISNUMBER(VLOOKUP($A138,Haver_M!$B$1:$BZ$300,MATCH(data!AW$1,Haver_M!$B$1:$BZ$1,0),FALSE)),VLOOKUP($A138,Haver_M!$B$1:$BZ$300,MATCH(data!AW$1,Haver_M!$B$1:$BZ$1,0),FALSE),"")</f>
        <v>48.7622</v>
      </c>
      <c r="AX138">
        <f>IF(ISNUMBER(VLOOKUP($A138,Haver_M!$B$1:$BZ$300,MATCH(data!AX$1,Haver_M!$B$1:$BZ$1,0),FALSE)),VLOOKUP($A138,Haver_M!$B$1:$BZ$300,MATCH(data!AX$1,Haver_M!$B$1:$BZ$1,0),FALSE),"")</f>
        <v>55.266300000000001</v>
      </c>
      <c r="AY138">
        <f>IF(ISNUMBER(VLOOKUP($A138,Haver_M!$B$1:$BZ$300,MATCH(data!AY$1,Haver_M!$B$1:$BZ$1,0),FALSE)),VLOOKUP($A138,Haver_M!$B$1:$BZ$300,MATCH(data!AY$1,Haver_M!$B$1:$BZ$1,0),FALSE),"")</f>
        <v>63.439100000000003</v>
      </c>
      <c r="AZ138">
        <f>IF(ISNUMBER(VLOOKUP($A138,Haver_M!$B$1:$BZ$300,MATCH(data!AZ$1,Haver_M!$B$1:$BZ$1,0),FALSE)),VLOOKUP($A138,Haver_M!$B$1:$BZ$300,MATCH(data!AZ$1,Haver_M!$B$1:$BZ$1,0),FALSE),"")</f>
        <v>63.627600000000001</v>
      </c>
      <c r="BA138">
        <f>IF(ISNUMBER(VLOOKUP($A138,Haver_M!$B$1:$BZ$300,MATCH(data!BA$1,Haver_M!$B$1:$BZ$1,0),FALSE)),VLOOKUP($A138,Haver_M!$B$1:$BZ$300,MATCH(data!BA$1,Haver_M!$B$1:$BZ$1,0),FALSE),"")</f>
        <v>55.266300000000001</v>
      </c>
      <c r="BB138">
        <f>IF(ISNUMBER(VLOOKUP($A138,Haver_M!$B$1:$BZ$300,MATCH(data!BB$1,Haver_M!$B$1:$BZ$1,0),FALSE)),VLOOKUP($A138,Haver_M!$B$1:$BZ$300,MATCH(data!BB$1,Haver_M!$B$1:$BZ$1,0),FALSE),"")</f>
        <v>55.996899999999997</v>
      </c>
      <c r="BC138">
        <f>IF(ISNUMBER(VLOOKUP($A138,Haver_M!$B$1:$BZ$300,MATCH(data!BC$1,Haver_M!$B$1:$BZ$1,0),FALSE)),VLOOKUP($A138,Haver_M!$B$1:$BZ$300,MATCH(data!BC$1,Haver_M!$B$1:$BZ$1,0),FALSE),"")</f>
        <v>56.436300000000003</v>
      </c>
      <c r="BD138">
        <f>IF(ISNUMBER(VLOOKUP($A138,Haver_M!$B$1:$BZ$300,MATCH(data!BD$1,Haver_M!$B$1:$BZ$1,0),FALSE)),VLOOKUP($A138,Haver_M!$B$1:$BZ$300,MATCH(data!BD$1,Haver_M!$B$1:$BZ$1,0),FALSE),"")</f>
        <v>52.0822</v>
      </c>
      <c r="BE138">
        <f>IF(ISNUMBER(VLOOKUP($A138,Haver_M!$B$1:$BZ$300,MATCH(data!BE$1,Haver_M!$B$1:$BZ$1,0),FALSE)),VLOOKUP($A138,Haver_M!$B$1:$BZ$300,MATCH(data!BE$1,Haver_M!$B$1:$BZ$1,0),FALSE),"")</f>
        <v>1.2186999999999999</v>
      </c>
      <c r="BF138">
        <f>IF(ISNUMBER(VLOOKUP($A138,Haver_M!$B$1:$BZ$300,MATCH(data!BF$1,Haver_M!$B$1:$BZ$1,0),FALSE)),VLOOKUP($A138,Haver_M!$B$1:$BZ$300,MATCH(data!BF$1,Haver_M!$B$1:$BZ$1,0),FALSE),"")</f>
        <v>52.964199999999998</v>
      </c>
      <c r="BG138">
        <f>IF(ISNUMBER(VLOOKUP($A138,Haver_M!$B$1:$BZ$300,MATCH(data!BG$1,Haver_M!$B$1:$BZ$1,0),FALSE)),VLOOKUP($A138,Haver_M!$B$1:$BZ$300,MATCH(data!BG$1,Haver_M!$B$1:$BZ$1,0),FALSE),"")</f>
        <v>54.7881</v>
      </c>
      <c r="BH138">
        <f>IF(ISNUMBER(VLOOKUP($A138,Haver_M!$B$1:$BZ$300,MATCH(data!BH$1,Haver_M!$B$1:$BZ$1,0),FALSE)),VLOOKUP($A138,Haver_M!$B$1:$BZ$300,MATCH(data!BH$1,Haver_M!$B$1:$BZ$1,0),FALSE),"")</f>
        <v>54.645800000000001</v>
      </c>
      <c r="BI138">
        <f>IF(ISNUMBER(VLOOKUP($A138,Haver_M!$B$1:$BZ$300,MATCH(data!BI$1,Haver_M!$B$1:$BZ$1,0),FALSE)),VLOOKUP($A138,Haver_M!$B$1:$BZ$300,MATCH(data!BI$1,Haver_M!$B$1:$BZ$1,0),FALSE),"")</f>
        <v>56.334400000000002</v>
      </c>
      <c r="BJ138" t="str">
        <f>IF(ISNUMBER(VLOOKUP($A138,Haver_M!$B$1:$BZ$300,MATCH(data!BJ$1,Haver_M!$B$1:$BZ$1,0),FALSE)),VLOOKUP($A138,Haver_M!$B$1:$BZ$300,MATCH(data!BJ$1,Haver_M!$B$1:$BZ$1,0),FALSE),"")</f>
        <v/>
      </c>
      <c r="BK138">
        <f>IF(ISNUMBER(VLOOKUP($A138,Haver_M!$B$1:$BZ$300,MATCH(data!BK$1,Haver_M!$B$1:$BZ$1,0),FALSE)),VLOOKUP($A138,Haver_M!$B$1:$BZ$300,MATCH(data!BK$1,Haver_M!$B$1:$BZ$1,0),FALSE),"")</f>
        <v>48.947400000000002</v>
      </c>
      <c r="BL138">
        <f>IF(ISNUMBER(VLOOKUP($A138,Haver_M!$B$1:$BZ$300,MATCH(data!BL$1,Haver_M!$B$1:$BZ$1,0),FALSE)),VLOOKUP($A138,Haver_M!$B$1:$BZ$300,MATCH(data!BL$1,Haver_M!$B$1:$BZ$1,0),FALSE),"")</f>
        <v>18325.45</v>
      </c>
      <c r="BM138">
        <f>IF(ISNUMBER(VLOOKUP($A138,Haver_M!$B$1:$BZ$300,MATCH(data!BM$1,Haver_M!$B$1:$BZ$1,0),FALSE)),VLOOKUP($A138,Haver_M!$B$1:$BZ$300,MATCH(data!BM$1,Haver_M!$B$1:$BZ$1,0),FALSE),"")</f>
        <v>104.67302798</v>
      </c>
      <c r="BN138" t="str">
        <f>IF(ISNUMBER(VLOOKUP($A138,Haver_M!$B$1:$BZ$300,MATCH(data!BN$1,Haver_M!$B$1:$BZ$1,0),FALSE)),VLOOKUP($A138,Haver_M!$B$1:$BZ$300,MATCH(data!BN$1,Haver_M!$B$1:$BZ$1,0),FALSE),"")</f>
        <v/>
      </c>
      <c r="BO138" t="str">
        <f>IF(ISNUMBER(VLOOKUP($A138,Haver_M!$B$1:$BZ$300,MATCH(data!BO$1,Haver_M!$B$1:$BZ$1,0),FALSE)),VLOOKUP($A138,Haver_M!$B$1:$BZ$300,MATCH(data!BO$1,Haver_M!$B$1:$BZ$1,0),FALSE),"")</f>
        <v/>
      </c>
      <c r="BP138" t="str">
        <f>IF(ISNUMBER(VLOOKUP($A138,Haver_M!$B$1:$BZ$300,MATCH(data!BP$1,Haver_M!$B$1:$BZ$1,0),FALSE)),VLOOKUP($A138,Haver_M!$B$1:$BZ$300,MATCH(data!BP$1,Haver_M!$B$1:$BZ$1,0),FALSE),"")</f>
        <v/>
      </c>
      <c r="BQ138">
        <f>IF(ISNUMBER(VLOOKUP($A138,Haver_M!$B$1:$BZ$300,MATCH(data!BQ$1,Haver_M!$B$1:$BZ$1,0),FALSE)),VLOOKUP($A138,Haver_M!$B$1:$BZ$300,MATCH(data!BQ$1,Haver_M!$B$1:$BZ$1,0),FALSE),"")</f>
        <v>157.20479770536778</v>
      </c>
      <c r="BR138">
        <f>IF(ISNUMBER(VLOOKUP($A138,Haver_M!$B$1:$BZ$300,MATCH(data!BR$1,Haver_M!$B$1:$BZ$1,0),FALSE)),VLOOKUP($A138,Haver_M!$B$1:$BZ$300,MATCH(data!BR$1,Haver_M!$B$1:$BZ$1,0),FALSE),"")</f>
        <v>364.65344462061961</v>
      </c>
      <c r="BS138">
        <f>IF(ISNUMBER(VLOOKUP($A138,Haver_M!$B$1:$BZ$300,MATCH(data!BS$1,Haver_M!$B$1:$BZ$1,0),FALSE)),VLOOKUP($A138,Haver_M!$B$1:$BZ$300,MATCH(data!BS$1,Haver_M!$B$1:$BZ$1,0),FALSE),"")</f>
        <v>193.87526500507741</v>
      </c>
      <c r="BT138">
        <f>IF(ISNUMBER(VLOOKUP($A138,Haver_M!$B$1:$BZ$300,MATCH(data!BT$1,Haver_M!$B$1:$BZ$1,0),FALSE)),VLOOKUP($A138,Haver_M!$B$1:$BZ$300,MATCH(data!BT$1,Haver_M!$B$1:$BZ$1,0),FALSE),"")</f>
        <v>821.51395841869908</v>
      </c>
      <c r="BU138">
        <f>IF(ISNUMBER(VLOOKUP($A138,Haver_M!$B$1:$BZ$300,MATCH(data!BU$1,Haver_M!$B$1:$BZ$1,0),FALSE)),VLOOKUP($A138,Haver_M!$B$1:$BZ$300,MATCH(data!BU$1,Haver_M!$B$1:$BZ$1,0),FALSE),"")</f>
        <v>26521.93</v>
      </c>
      <c r="BV138">
        <f>IF(ISNUMBER(VLOOKUP($A138,Haver_M!$B$1:$BZ$300,MATCH(data!BV$1,Haver_M!$B$1:$BZ$1,0),FALSE)),VLOOKUP($A138,Haver_M!$B$1:$BZ$300,MATCH(data!BV$1,Haver_M!$B$1:$BZ$1,0),FALSE),"")</f>
        <v>45254.239999999998</v>
      </c>
      <c r="BW138">
        <f>IF(ISNUMBER(VLOOKUP($A138,Haver_M!$B$1:$BZ$300,MATCH(data!BW$1,Haver_M!$B$1:$BZ$1,0),FALSE)),VLOOKUP($A138,Haver_M!$B$1:$BZ$300,MATCH(data!BW$1,Haver_M!$B$1:$BZ$1,0),FALSE),"")</f>
        <v>44.904800000000002</v>
      </c>
      <c r="BX138">
        <f>IF(ISNUMBER(VLOOKUP($A138,Haver_M!$B$1:$BZ$300,MATCH(data!BX$1,Haver_M!$B$1:$BZ$1,0),FALSE)),VLOOKUP($A138,Haver_M!$B$1:$BZ$300,MATCH(data!BX$1,Haver_M!$B$1:$BZ$1,0),FALSE),"")</f>
        <v>65595</v>
      </c>
    </row>
    <row r="139" spans="1:76" x14ac:dyDescent="0.25">
      <c r="A139" s="2">
        <v>40724</v>
      </c>
      <c r="B139">
        <f>IF(ISNUMBER(VLOOKUP($A139,Haver_Q!$B$1:$L$185,MATCH(data!B$1,Haver_Q!$B$1:$L$1,0),FALSE)),100*(VLOOKUP($A139,Haver_Q!$B$1:$L$185,MATCH(data!B$1,Haver_Q!$B$1:$L$1,0),FALSE)),"")</f>
        <v>5.1238886761313163</v>
      </c>
      <c r="C139">
        <f>IF(ISNUMBER(VLOOKUP($A139,Haver_Q!$B$1:$L$185,MATCH(data!C$1,Haver_Q!$B$1:$L$1,0),FALSE)),100*(VLOOKUP($A139,Haver_Q!$B$1:$L$185,MATCH(data!C$1,Haver_Q!$B$1:$L$1,0),FALSE)),"")</f>
        <v>14.69371698973163</v>
      </c>
      <c r="D139">
        <f>IF(ISNUMBER(VLOOKUP($A139,Haver_Q!$B$1:$L$185,MATCH(data!D$1,Haver_Q!$B$1:$L$1,0),FALSE)),100*(VLOOKUP($A139,Haver_Q!$B$1:$L$185,MATCH(data!D$1,Haver_Q!$B$1:$L$1,0),FALSE)),"")</f>
        <v>-13.424047074663525</v>
      </c>
      <c r="E139">
        <f>IF(ISNUMBER(VLOOKUP($A139,Haver_Q!$B$1:$L$185,MATCH(data!E$1,Haver_Q!$B$1:$L$1,0),FALSE)),100*(VLOOKUP($A139,Haver_Q!$B$1:$L$185,MATCH(data!E$1,Haver_Q!$B$1:$L$1,0),FALSE)),"")</f>
        <v>14.99636066631027</v>
      </c>
      <c r="F139">
        <f>IF(ISNUMBER(VLOOKUP($A139,Haver_Q!$B$1:$L$185,MATCH(data!F$1,Haver_Q!$B$1:$L$1,0),FALSE)),100*(VLOOKUP($A139,Haver_Q!$B$1:$L$185,MATCH(data!F$1,Haver_Q!$B$1:$L$1,0),FALSE)),"")</f>
        <v>-1.7819678434207287</v>
      </c>
      <c r="G139">
        <f>IF(ISNUMBER(VLOOKUP($A139,Haver_Q!$B$1:$L$185,MATCH(data!G$1,Haver_Q!$B$1:$L$1,0),FALSE)),100*(VLOOKUP($A139,Haver_Q!$B$1:$L$185,MATCH(data!G$1,Haver_Q!$B$1:$L$1,0),FALSE)),"")</f>
        <v>49.059468302464907</v>
      </c>
      <c r="H139">
        <f>IF(ISNUMBER(VLOOKUP($A139,Haver_Q!$B$1:$L$185,MATCH(data!H$1,Haver_Q!$B$1:$L$1,0),FALSE)),(VLOOKUP($A139,Haver_Q!$B$1:$L$185,MATCH(data!H$1,Haver_Q!$B$1:$L$1,0),FALSE)),"")</f>
        <v>3.2539486140839839</v>
      </c>
      <c r="I139">
        <f>IF(ISNUMBER(VLOOKUP($A139,Haver_Q!$B$1:$L$185,MATCH(data!I$1,Haver_Q!$B$1:$L$1,0),FALSE)),100*(VLOOKUP($A139,Haver_Q!$B$1:$L$185,MATCH(data!I$1,Haver_Q!$B$1:$L$1,0),FALSE)),"")</f>
        <v>8.3190649853710941</v>
      </c>
      <c r="J139" s="3">
        <f>IF(ISNUMBER(Bloomberg_m!C155),Bloomberg_m!C155,"")</f>
        <v>1433</v>
      </c>
      <c r="K139" s="3">
        <f>IF(ISNUMBER(Bloomberg_m!D155),Bloomberg_m!D155,"")</f>
        <v>1599.44</v>
      </c>
      <c r="L139" s="3">
        <f>IF(ISNUMBER(Bloomberg_m!E155),Bloomberg_m!E155,"")</f>
        <v>1039.4100000000001</v>
      </c>
      <c r="M139" s="3">
        <f>IF(ISNUMBER(Bloomberg_m!F155),Bloomberg_m!F155,"")</f>
        <v>542.88</v>
      </c>
      <c r="N139">
        <f>IF(ISNUMBER(VLOOKUP($A139,Haver_M!$B$1:$BZ$300,MATCH(data!N$1,Haver_M!$B$1:$BZ$1,0),FALSE)),VLOOKUP($A139,Haver_M!$B$1:$BZ$300,MATCH(data!N$1,Haver_M!$B$1:$BZ$1,0),FALSE),"")</f>
        <v>7.5</v>
      </c>
      <c r="O139">
        <f>IF(ISNUMBER(VLOOKUP($A139,Haver_M!$B$1:$BZ$300,MATCH(data!O$1,Haver_M!$B$1:$BZ$1,0),FALSE)),VLOOKUP($A139,Haver_M!$B$1:$BZ$300,MATCH(data!O$1,Haver_M!$B$1:$BZ$1,0),FALSE),"")</f>
        <v>8.3518000000000008</v>
      </c>
      <c r="P139">
        <f>IF(ISNUMBER(VLOOKUP($A139,Haver_M!$B$1:$BZ$300,MATCH(data!P$1,Haver_M!$B$1:$BZ$1,0),FALSE)),VLOOKUP($A139,Haver_M!$B$1:$BZ$300,MATCH(data!P$1,Haver_M!$B$1:$BZ$1,0),FALSE),"")</f>
        <v>98.488979999999998</v>
      </c>
      <c r="Q139">
        <f>IF(ISNUMBER(VLOOKUP($A139,Haver_M!$B$1:$BZ$300,MATCH(data!Q$1,Haver_M!$B$1:$BZ$1,0),FALSE)),VLOOKUP($A139,Haver_M!$B$1:$BZ$300,MATCH(data!Q$1,Haver_M!$B$1:$BZ$1,0),FALSE),"")</f>
        <v>90.6</v>
      </c>
      <c r="R139">
        <f>IF(ISNUMBER(VLOOKUP($A139,Haver_M!$B$1:$BZ$300,MATCH(data!R$1,Haver_M!$B$1:$BZ$1,0),FALSE)),VLOOKUP($A139,Haver_M!$B$1:$BZ$300,MATCH(data!R$1,Haver_M!$B$1:$BZ$1,0),FALSE),"")</f>
        <v>90.9</v>
      </c>
      <c r="S139">
        <f>IF(ISNUMBER(VLOOKUP($A139,Haver_M!$B$1:$BZ$300,MATCH(data!S$1,Haver_M!$B$1:$BZ$1,0),FALSE)),VLOOKUP($A139,Haver_M!$B$1:$BZ$300,MATCH(data!S$1,Haver_M!$B$1:$BZ$1,0),FALSE),"")</f>
        <v>104.63</v>
      </c>
      <c r="T139">
        <f>IF(ISNUMBER(VLOOKUP($A139,Haver_M!$B$1:$BZ$300,MATCH(data!T$1,Haver_M!$B$1:$BZ$1,0),FALSE)),VLOOKUP($A139,Haver_M!$B$1:$BZ$300,MATCH(data!T$1,Haver_M!$B$1:$BZ$1,0),FALSE),"")</f>
        <v>98.31</v>
      </c>
      <c r="U139">
        <f>IF(ISNUMBER(VLOOKUP($A139,Haver_M!$B$1:$BZ$300,MATCH(data!U$1,Haver_M!$B$1:$BZ$1,0),FALSE)),VLOOKUP($A139,Haver_M!$B$1:$BZ$300,MATCH(data!U$1,Haver_M!$B$1:$BZ$1,0),FALSE),"")</f>
        <v>139.27000000000001</v>
      </c>
      <c r="V139">
        <f>IF(ISNUMBER(VLOOKUP($A139,Haver_M!$B$1:$BZ$300,MATCH(data!V$1,Haver_M!$B$1:$BZ$1,0),FALSE)),VLOOKUP($A139,Haver_M!$B$1:$BZ$300,MATCH(data!V$1,Haver_M!$B$1:$BZ$1,0),FALSE),"")</f>
        <v>105.8</v>
      </c>
      <c r="W139" t="str">
        <f>IF(ISNUMBER(VLOOKUP($A139,Haver_M!$B$1:$BZ$300,MATCH(data!W$1,Haver_M!$B$1:$BZ$1,0),FALSE)),VLOOKUP($A139,Haver_M!$B$1:$BZ$300,MATCH(data!W$1,Haver_M!$B$1:$BZ$1,0),FALSE),"")</f>
        <v/>
      </c>
      <c r="X139">
        <f>IF(ISNUMBER(VLOOKUP($A139,Haver_M!$B$1:$BZ$300,MATCH(data!X$1,Haver_M!$B$1:$BZ$1,0),FALSE)),VLOOKUP($A139,Haver_M!$B$1:$BZ$300,MATCH(data!X$1,Haver_M!$B$1:$BZ$1,0),FALSE),"")</f>
        <v>95.2</v>
      </c>
      <c r="Y139">
        <f>IF(ISNUMBER(VLOOKUP($A139,Haver_M!$B$1:$BZ$300,MATCH(data!Y$1,Haver_M!$B$1:$BZ$1,0),FALSE)),VLOOKUP($A139,Haver_M!$B$1:$BZ$300,MATCH(data!Y$1,Haver_M!$B$1:$BZ$1,0),FALSE),"")</f>
        <v>97.22</v>
      </c>
      <c r="Z139">
        <f>IF(ISNUMBER(VLOOKUP($A139,Haver_M!$B$1:$BZ$300,MATCH(data!Z$1,Haver_M!$B$1:$BZ$1,0),FALSE)),VLOOKUP($A139,Haver_M!$B$1:$BZ$300,MATCH(data!Z$1,Haver_M!$B$1:$BZ$1,0),FALSE),"")</f>
        <v>98.8</v>
      </c>
      <c r="AA139">
        <f>IF(ISNUMBER(VLOOKUP($A139,Haver_M!$B$1:$BZ$300,MATCH(data!AA$1,Haver_M!$B$1:$BZ$1,0),FALSE)),VLOOKUP($A139,Haver_M!$B$1:$BZ$300,MATCH(data!AA$1,Haver_M!$B$1:$BZ$1,0),FALSE),"")</f>
        <v>97.02</v>
      </c>
      <c r="AB139">
        <f>IF(ISNUMBER(VLOOKUP($A139,Haver_M!$B$1:$BZ$300,MATCH(data!AB$1,Haver_M!$B$1:$BZ$1,0),FALSE)),VLOOKUP($A139,Haver_M!$B$1:$BZ$300,MATCH(data!AB$1,Haver_M!$B$1:$BZ$1,0),FALSE),"")</f>
        <v>101.221</v>
      </c>
      <c r="AC139">
        <f>IF(ISNUMBER(VLOOKUP($A139,Haver_M!$B$1:$BZ$300,MATCH(data!AC$1,Haver_M!$B$1:$BZ$1,0),FALSE)),VLOOKUP($A139,Haver_M!$B$1:$BZ$300,MATCH(data!AC$1,Haver_M!$B$1:$BZ$1,0),FALSE),"")</f>
        <v>102.56100000000001</v>
      </c>
      <c r="AD139">
        <f>IF(ISNUMBER(VLOOKUP($A139,Haver_M!$B$1:$BZ$300,MATCH(data!AD$1,Haver_M!$B$1:$BZ$1,0),FALSE)),VLOOKUP($A139,Haver_M!$B$1:$BZ$300,MATCH(data!AD$1,Haver_M!$B$1:$BZ$1,0),FALSE),"")</f>
        <v>100.223</v>
      </c>
      <c r="AE139">
        <f>IF(ISNUMBER(VLOOKUP($A139,Haver_M!$B$1:$BZ$300,MATCH(data!AE$1,Haver_M!$B$1:$BZ$1,0),FALSE)),VLOOKUP($A139,Haver_M!$B$1:$BZ$300,MATCH(data!AE$1,Haver_M!$B$1:$BZ$1,0),FALSE),"")</f>
        <v>100.498</v>
      </c>
      <c r="AF139">
        <f>IF(ISNUMBER(VLOOKUP($A139,Haver_M!$B$1:$BZ$300,MATCH(data!AF$1,Haver_M!$B$1:$BZ$1,0),FALSE)),VLOOKUP($A139,Haver_M!$B$1:$BZ$300,MATCH(data!AF$1,Haver_M!$B$1:$BZ$1,0),FALSE),"")</f>
        <v>98.004000000000005</v>
      </c>
      <c r="AG139">
        <f>IF(ISNUMBER(VLOOKUP($A139,Haver_M!$B$1:$BZ$300,MATCH(data!AG$1,Haver_M!$B$1:$BZ$1,0),FALSE)),VLOOKUP($A139,Haver_M!$B$1:$BZ$300,MATCH(data!AG$1,Haver_M!$B$1:$BZ$1,0),FALSE),"")</f>
        <v>94.494</v>
      </c>
      <c r="AH139">
        <f>IF(ISNUMBER(VLOOKUP($A139,Haver_M!$B$1:$BZ$300,MATCH(data!AH$1,Haver_M!$B$1:$BZ$1,0),FALSE)),VLOOKUP($A139,Haver_M!$B$1:$BZ$300,MATCH(data!AH$1,Haver_M!$B$1:$BZ$1,0),FALSE),"")</f>
        <v>96.801000000000002</v>
      </c>
      <c r="AI139">
        <f>IF(ISNUMBER(VLOOKUP($A139,Haver_M!$B$1:$BZ$300,MATCH(data!AI$1,Haver_M!$B$1:$BZ$1,0),FALSE)),VLOOKUP($A139,Haver_M!$B$1:$BZ$300,MATCH(data!AI$1,Haver_M!$B$1:$BZ$1,0),FALSE),"")</f>
        <v>11968.545264167155</v>
      </c>
      <c r="AJ139">
        <f>IF(ISNUMBER(VLOOKUP($A139,Haver_M!$B$1:$BZ$300,MATCH(data!AJ$1,Haver_M!$B$1:$BZ$1,0),FALSE)),VLOOKUP($A139,Haver_M!$B$1:$BZ$300,MATCH(data!AJ$1,Haver_M!$B$1:$BZ$1,0),FALSE),"")</f>
        <v>25979.15</v>
      </c>
      <c r="AK139">
        <f>IF(ISNUMBER(VLOOKUP($A139,Haver_M!$B$1:$BZ$300,MATCH(data!AK$1,Haver_M!$B$1:$BZ$1,0),FALSE)),VLOOKUP($A139,Haver_M!$B$1:$BZ$300,MATCH(data!AK$1,Haver_M!$B$1:$BZ$1,0),FALSE),"")</f>
        <v>41495.42</v>
      </c>
      <c r="AL139">
        <f>IF(ISNUMBER(VLOOKUP($A139,Haver_M!$B$1:$BZ$300,MATCH(data!AL$1,Haver_M!$B$1:$BZ$1,0),FALSE)),VLOOKUP($A139,Haver_M!$B$1:$BZ$300,MATCH(data!AL$1,Haver_M!$B$1:$BZ$1,0),FALSE),"")</f>
        <v>11040</v>
      </c>
      <c r="AM139">
        <f>IF(ISNUMBER(VLOOKUP($A139,Haver_M!$B$1:$BZ$300,MATCH(data!AM$1,Haver_M!$B$1:$BZ$1,0),FALSE)),VLOOKUP($A139,Haver_M!$B$1:$BZ$300,MATCH(data!AM$1,Haver_M!$B$1:$BZ$1,0),FALSE),"")</f>
        <v>7205</v>
      </c>
      <c r="AN139">
        <f>IF(ISNUMBER(VLOOKUP($A139,Haver_M!$B$1:$BZ$300,MATCH(data!AN$1,Haver_M!$B$1:$BZ$1,0),FALSE)),VLOOKUP($A139,Haver_M!$B$1:$BZ$300,MATCH(data!AN$1,Haver_M!$B$1:$BZ$1,0),FALSE),"")</f>
        <v>116.3</v>
      </c>
      <c r="AO139">
        <f>IF(ISNUMBER(VLOOKUP($A139,Haver_M!$B$1:$BZ$300,MATCH(data!AO$1,Haver_M!$B$1:$BZ$1,0),FALSE)),VLOOKUP($A139,Haver_M!$B$1:$BZ$300,MATCH(data!AO$1,Haver_M!$B$1:$BZ$1,0),FALSE),"")</f>
        <v>120.2</v>
      </c>
      <c r="AP139">
        <f>IF(ISNUMBER(VLOOKUP($A139,Haver_M!$B$1:$BZ$300,MATCH(data!AP$1,Haver_M!$B$1:$BZ$1,0),FALSE)),VLOOKUP($A139,Haver_M!$B$1:$BZ$300,MATCH(data!AP$1,Haver_M!$B$1:$BZ$1,0),FALSE),"")</f>
        <v>113.6340611472927</v>
      </c>
      <c r="AQ139">
        <f>IF(ISNUMBER(VLOOKUP($A139,Haver_M!$B$1:$BZ$300,MATCH(data!AQ$1,Haver_M!$B$1:$BZ$1,0),FALSE)),VLOOKUP($A139,Haver_M!$B$1:$BZ$300,MATCH(data!AQ$1,Haver_M!$B$1:$BZ$1,0),FALSE),"")</f>
        <v>56.8491</v>
      </c>
      <c r="AR139">
        <f>IF(ISNUMBER(VLOOKUP($A139,Haver_M!$B$1:$BZ$300,MATCH(data!AR$1,Haver_M!$B$1:$BZ$1,0),FALSE)),VLOOKUP($A139,Haver_M!$B$1:$BZ$300,MATCH(data!AR$1,Haver_M!$B$1:$BZ$1,0),FALSE),"")</f>
        <v>55.2883</v>
      </c>
      <c r="AS139">
        <f>IF(ISNUMBER(VLOOKUP($A139,Haver_M!$B$1:$BZ$300,MATCH(data!AS$1,Haver_M!$B$1:$BZ$1,0),FALSE)),VLOOKUP($A139,Haver_M!$B$1:$BZ$300,MATCH(data!AS$1,Haver_M!$B$1:$BZ$1,0),FALSE),"")</f>
        <v>56.124499999999998</v>
      </c>
      <c r="AT139">
        <f>IF(ISNUMBER(VLOOKUP($A139,Haver_M!$B$1:$BZ$300,MATCH(data!AT$1,Haver_M!$B$1:$BZ$1,0),FALSE)),VLOOKUP($A139,Haver_M!$B$1:$BZ$300,MATCH(data!AT$1,Haver_M!$B$1:$BZ$1,0),FALSE),"")</f>
        <v>58.353000000000002</v>
      </c>
      <c r="AU139">
        <f>IF(ISNUMBER(VLOOKUP($A139,Haver_M!$B$1:$BZ$300,MATCH(data!AU$1,Haver_M!$B$1:$BZ$1,0),FALSE)),VLOOKUP($A139,Haver_M!$B$1:$BZ$300,MATCH(data!AU$1,Haver_M!$B$1:$BZ$1,0),FALSE),"")</f>
        <v>60.065399999999997</v>
      </c>
      <c r="AV139">
        <f>IF(ISNUMBER(VLOOKUP($A139,Haver_M!$B$1:$BZ$300,MATCH(data!AV$1,Haver_M!$B$1:$BZ$1,0),FALSE)),VLOOKUP($A139,Haver_M!$B$1:$BZ$300,MATCH(data!AV$1,Haver_M!$B$1:$BZ$1,0),FALSE),"")</f>
        <v>48.748899999999999</v>
      </c>
      <c r="AW139">
        <f>IF(ISNUMBER(VLOOKUP($A139,Haver_M!$B$1:$BZ$300,MATCH(data!AW$1,Haver_M!$B$1:$BZ$1,0),FALSE)),VLOOKUP($A139,Haver_M!$B$1:$BZ$300,MATCH(data!AW$1,Haver_M!$B$1:$BZ$1,0),FALSE),"")</f>
        <v>48.505200000000002</v>
      </c>
      <c r="AX139">
        <f>IF(ISNUMBER(VLOOKUP($A139,Haver_M!$B$1:$BZ$300,MATCH(data!AX$1,Haver_M!$B$1:$BZ$1,0),FALSE)),VLOOKUP($A139,Haver_M!$B$1:$BZ$300,MATCH(data!AX$1,Haver_M!$B$1:$BZ$1,0),FALSE),"")</f>
        <v>52.064500000000002</v>
      </c>
      <c r="AY139">
        <f>IF(ISNUMBER(VLOOKUP($A139,Haver_M!$B$1:$BZ$300,MATCH(data!AY$1,Haver_M!$B$1:$BZ$1,0),FALSE)),VLOOKUP($A139,Haver_M!$B$1:$BZ$300,MATCH(data!AY$1,Haver_M!$B$1:$BZ$1,0),FALSE),"")</f>
        <v>64.017200000000003</v>
      </c>
      <c r="AZ139">
        <f>IF(ISNUMBER(VLOOKUP($A139,Haver_M!$B$1:$BZ$300,MATCH(data!AZ$1,Haver_M!$B$1:$BZ$1,0),FALSE)),VLOOKUP($A139,Haver_M!$B$1:$BZ$300,MATCH(data!AZ$1,Haver_M!$B$1:$BZ$1,0),FALSE),"")</f>
        <v>60.567799999999998</v>
      </c>
      <c r="BA139">
        <f>IF(ISNUMBER(VLOOKUP($A139,Haver_M!$B$1:$BZ$300,MATCH(data!BA$1,Haver_M!$B$1:$BZ$1,0),FALSE)),VLOOKUP($A139,Haver_M!$B$1:$BZ$300,MATCH(data!BA$1,Haver_M!$B$1:$BZ$1,0),FALSE),"")</f>
        <v>52.064500000000002</v>
      </c>
      <c r="BB139">
        <f>IF(ISNUMBER(VLOOKUP($A139,Haver_M!$B$1:$BZ$300,MATCH(data!BB$1,Haver_M!$B$1:$BZ$1,0),FALSE)),VLOOKUP($A139,Haver_M!$B$1:$BZ$300,MATCH(data!BB$1,Haver_M!$B$1:$BZ$1,0),FALSE),"")</f>
        <v>53.192900000000002</v>
      </c>
      <c r="BC139">
        <f>IF(ISNUMBER(VLOOKUP($A139,Haver_M!$B$1:$BZ$300,MATCH(data!BC$1,Haver_M!$B$1:$BZ$1,0),FALSE)),VLOOKUP($A139,Haver_M!$B$1:$BZ$300,MATCH(data!BC$1,Haver_M!$B$1:$BZ$1,0),FALSE),"")</f>
        <v>54.59</v>
      </c>
      <c r="BD139">
        <f>IF(ISNUMBER(VLOOKUP($A139,Haver_M!$B$1:$BZ$300,MATCH(data!BD$1,Haver_M!$B$1:$BZ$1,0),FALSE)),VLOOKUP($A139,Haver_M!$B$1:$BZ$300,MATCH(data!BD$1,Haver_M!$B$1:$BZ$1,0),FALSE),"")</f>
        <v>51.483499999999999</v>
      </c>
      <c r="BE139">
        <f>IF(ISNUMBER(VLOOKUP($A139,Haver_M!$B$1:$BZ$300,MATCH(data!BE$1,Haver_M!$B$1:$BZ$1,0),FALSE)),VLOOKUP($A139,Haver_M!$B$1:$BZ$300,MATCH(data!BE$1,Haver_M!$B$1:$BZ$1,0),FALSE),"")</f>
        <v>1.1932</v>
      </c>
      <c r="BF139">
        <f>IF(ISNUMBER(VLOOKUP($A139,Haver_M!$B$1:$BZ$300,MATCH(data!BF$1,Haver_M!$B$1:$BZ$1,0),FALSE)),VLOOKUP($A139,Haver_M!$B$1:$BZ$300,MATCH(data!BF$1,Haver_M!$B$1:$BZ$1,0),FALSE),"")</f>
        <v>52.766399999999997</v>
      </c>
      <c r="BG139">
        <f>IF(ISNUMBER(VLOOKUP($A139,Haver_M!$B$1:$BZ$300,MATCH(data!BG$1,Haver_M!$B$1:$BZ$1,0),FALSE)),VLOOKUP($A139,Haver_M!$B$1:$BZ$300,MATCH(data!BG$1,Haver_M!$B$1:$BZ$1,0),FALSE),"")</f>
        <v>53.582700000000003</v>
      </c>
      <c r="BH139">
        <f>IF(ISNUMBER(VLOOKUP($A139,Haver_M!$B$1:$BZ$300,MATCH(data!BH$1,Haver_M!$B$1:$BZ$1,0),FALSE)),VLOOKUP($A139,Haver_M!$B$1:$BZ$300,MATCH(data!BH$1,Haver_M!$B$1:$BZ$1,0),FALSE),"")</f>
        <v>57.089599999999997</v>
      </c>
      <c r="BI139">
        <f>IF(ISNUMBER(VLOOKUP($A139,Haver_M!$B$1:$BZ$300,MATCH(data!BI$1,Haver_M!$B$1:$BZ$1,0),FALSE)),VLOOKUP($A139,Haver_M!$B$1:$BZ$300,MATCH(data!BI$1,Haver_M!$B$1:$BZ$1,0),FALSE),"")</f>
        <v>55.418900000000001</v>
      </c>
      <c r="BJ139" t="str">
        <f>IF(ISNUMBER(VLOOKUP($A139,Haver_M!$B$1:$BZ$300,MATCH(data!BJ$1,Haver_M!$B$1:$BZ$1,0),FALSE)),VLOOKUP($A139,Haver_M!$B$1:$BZ$300,MATCH(data!BJ$1,Haver_M!$B$1:$BZ$1,0),FALSE),"")</f>
        <v/>
      </c>
      <c r="BK139">
        <f>IF(ISNUMBER(VLOOKUP($A139,Haver_M!$B$1:$BZ$300,MATCH(data!BK$1,Haver_M!$B$1:$BZ$1,0),FALSE)),VLOOKUP($A139,Haver_M!$B$1:$BZ$300,MATCH(data!BK$1,Haver_M!$B$1:$BZ$1,0),FALSE),"")</f>
        <v>49.067100000000003</v>
      </c>
      <c r="BL139">
        <f>IF(ISNUMBER(VLOOKUP($A139,Haver_M!$B$1:$BZ$300,MATCH(data!BL$1,Haver_M!$B$1:$BZ$1,0),FALSE)),VLOOKUP($A139,Haver_M!$B$1:$BZ$300,MATCH(data!BL$1,Haver_M!$B$1:$BZ$1,0),FALSE),"")</f>
        <v>18228.939999999999</v>
      </c>
      <c r="BM139">
        <f>IF(ISNUMBER(VLOOKUP($A139,Haver_M!$B$1:$BZ$300,MATCH(data!BM$1,Haver_M!$B$1:$BZ$1,0),FALSE)),VLOOKUP($A139,Haver_M!$B$1:$BZ$300,MATCH(data!BM$1,Haver_M!$B$1:$BZ$1,0),FALSE),"")</f>
        <v>101.61480609</v>
      </c>
      <c r="BN139">
        <f>IF(ISNUMBER(VLOOKUP($A139,Haver_M!$B$1:$BZ$300,MATCH(data!BN$1,Haver_M!$B$1:$BZ$1,0),FALSE)),VLOOKUP($A139,Haver_M!$B$1:$BZ$300,MATCH(data!BN$1,Haver_M!$B$1:$BZ$1,0),FALSE),"")</f>
        <v>116.3</v>
      </c>
      <c r="BO139">
        <f>IF(ISNUMBER(VLOOKUP($A139,Haver_M!$B$1:$BZ$300,MATCH(data!BO$1,Haver_M!$B$1:$BZ$1,0),FALSE)),VLOOKUP($A139,Haver_M!$B$1:$BZ$300,MATCH(data!BO$1,Haver_M!$B$1:$BZ$1,0),FALSE),"")</f>
        <v>121.9</v>
      </c>
      <c r="BP139">
        <f>IF(ISNUMBER(VLOOKUP($A139,Haver_M!$B$1:$BZ$300,MATCH(data!BP$1,Haver_M!$B$1:$BZ$1,0),FALSE)),VLOOKUP($A139,Haver_M!$B$1:$BZ$300,MATCH(data!BP$1,Haver_M!$B$1:$BZ$1,0),FALSE),"")</f>
        <v>41.4</v>
      </c>
      <c r="BQ139">
        <f>IF(ISNUMBER(VLOOKUP($A139,Haver_M!$B$1:$BZ$300,MATCH(data!BQ$1,Haver_M!$B$1:$BZ$1,0),FALSE)),VLOOKUP($A139,Haver_M!$B$1:$BZ$300,MATCH(data!BQ$1,Haver_M!$B$1:$BZ$1,0),FALSE),"")</f>
        <v>158.2012316116633</v>
      </c>
      <c r="BR139">
        <f>IF(ISNUMBER(VLOOKUP($A139,Haver_M!$B$1:$BZ$300,MATCH(data!BR$1,Haver_M!$B$1:$BZ$1,0),FALSE)),VLOOKUP($A139,Haver_M!$B$1:$BZ$300,MATCH(data!BR$1,Haver_M!$B$1:$BZ$1,0),FALSE),"")</f>
        <v>369.54793341627317</v>
      </c>
      <c r="BS139">
        <f>IF(ISNUMBER(VLOOKUP($A139,Haver_M!$B$1:$BZ$300,MATCH(data!BS$1,Haver_M!$B$1:$BZ$1,0),FALSE)),VLOOKUP($A139,Haver_M!$B$1:$BZ$300,MATCH(data!BS$1,Haver_M!$B$1:$BZ$1,0),FALSE),"")</f>
        <v>196.20483458857839</v>
      </c>
      <c r="BT139">
        <f>IF(ISNUMBER(VLOOKUP($A139,Haver_M!$B$1:$BZ$300,MATCH(data!BT$1,Haver_M!$B$1:$BZ$1,0),FALSE)),VLOOKUP($A139,Haver_M!$B$1:$BZ$300,MATCH(data!BT$1,Haver_M!$B$1:$BZ$1,0),FALSE),"")</f>
        <v>830.26634382566601</v>
      </c>
      <c r="BU139">
        <f>IF(ISNUMBER(VLOOKUP($A139,Haver_M!$B$1:$BZ$300,MATCH(data!BU$1,Haver_M!$B$1:$BZ$1,0),FALSE)),VLOOKUP($A139,Haver_M!$B$1:$BZ$300,MATCH(data!BU$1,Haver_M!$B$1:$BZ$1,0),FALSE),"")</f>
        <v>26536.13</v>
      </c>
      <c r="BV139">
        <f>IF(ISNUMBER(VLOOKUP($A139,Haver_M!$B$1:$BZ$300,MATCH(data!BV$1,Haver_M!$B$1:$BZ$1,0),FALSE)),VLOOKUP($A139,Haver_M!$B$1:$BZ$300,MATCH(data!BV$1,Haver_M!$B$1:$BZ$1,0),FALSE),"")</f>
        <v>40849.47</v>
      </c>
      <c r="BW139">
        <f>IF(ISNUMBER(VLOOKUP($A139,Haver_M!$B$1:$BZ$300,MATCH(data!BW$1,Haver_M!$B$1:$BZ$1,0),FALSE)),VLOOKUP($A139,Haver_M!$B$1:$BZ$300,MATCH(data!BW$1,Haver_M!$B$1:$BZ$1,0),FALSE),"")</f>
        <v>44.851799999999997</v>
      </c>
      <c r="BX139">
        <f>IF(ISNUMBER(VLOOKUP($A139,Haver_M!$B$1:$BZ$300,MATCH(data!BX$1,Haver_M!$B$1:$BZ$1,0),FALSE)),VLOOKUP($A139,Haver_M!$B$1:$BZ$300,MATCH(data!BX$1,Haver_M!$B$1:$BZ$1,0),FALSE),"")</f>
        <v>64128</v>
      </c>
    </row>
    <row r="140" spans="1:76" x14ac:dyDescent="0.25">
      <c r="A140" s="2">
        <v>40755</v>
      </c>
      <c r="B140" t="str">
        <f>IF(ISNUMBER(VLOOKUP($A140,Haver_Q!$B$1:$L$185,MATCH(data!B$1,Haver_Q!$B$1:$L$1,0),FALSE)),100*(VLOOKUP($A140,Haver_Q!$B$1:$L$185,MATCH(data!B$1,Haver_Q!$B$1:$L$1,0),FALSE)),"")</f>
        <v/>
      </c>
      <c r="C140" t="str">
        <f>IF(ISNUMBER(VLOOKUP($A140,Haver_Q!$B$1:$L$185,MATCH(data!C$1,Haver_Q!$B$1:$L$1,0),FALSE)),100*(VLOOKUP($A140,Haver_Q!$B$1:$L$185,MATCH(data!C$1,Haver_Q!$B$1:$L$1,0),FALSE)),"")</f>
        <v/>
      </c>
      <c r="D140" t="str">
        <f>IF(ISNUMBER(VLOOKUP($A140,Haver_Q!$B$1:$L$185,MATCH(data!D$1,Haver_Q!$B$1:$L$1,0),FALSE)),100*(VLOOKUP($A140,Haver_Q!$B$1:$L$185,MATCH(data!D$1,Haver_Q!$B$1:$L$1,0),FALSE)),"")</f>
        <v/>
      </c>
      <c r="E140" t="str">
        <f>IF(ISNUMBER(VLOOKUP($A140,Haver_Q!$B$1:$L$185,MATCH(data!E$1,Haver_Q!$B$1:$L$1,0),FALSE)),100*(VLOOKUP($A140,Haver_Q!$B$1:$L$185,MATCH(data!E$1,Haver_Q!$B$1:$L$1,0),FALSE)),"")</f>
        <v/>
      </c>
      <c r="F140" t="str">
        <f>IF(ISNUMBER(VLOOKUP($A140,Haver_Q!$B$1:$L$185,MATCH(data!F$1,Haver_Q!$B$1:$L$1,0),FALSE)),100*(VLOOKUP($A140,Haver_Q!$B$1:$L$185,MATCH(data!F$1,Haver_Q!$B$1:$L$1,0),FALSE)),"")</f>
        <v/>
      </c>
      <c r="G140" t="str">
        <f>IF(ISNUMBER(VLOOKUP($A140,Haver_Q!$B$1:$L$185,MATCH(data!G$1,Haver_Q!$B$1:$L$1,0),FALSE)),100*(VLOOKUP($A140,Haver_Q!$B$1:$L$185,MATCH(data!G$1,Haver_Q!$B$1:$L$1,0),FALSE)),"")</f>
        <v/>
      </c>
      <c r="H140" t="str">
        <f>IF(ISNUMBER(VLOOKUP($A140,Haver_Q!$B$1:$L$185,MATCH(data!H$1,Haver_Q!$B$1:$L$1,0),FALSE)),(VLOOKUP($A140,Haver_Q!$B$1:$L$185,MATCH(data!H$1,Haver_Q!$B$1:$L$1,0),FALSE)),"")</f>
        <v/>
      </c>
      <c r="I140" t="str">
        <f>IF(ISNUMBER(VLOOKUP($A140,Haver_Q!$B$1:$L$185,MATCH(data!I$1,Haver_Q!$B$1:$L$1,0),FALSE)),100*(VLOOKUP($A140,Haver_Q!$B$1:$L$185,MATCH(data!I$1,Haver_Q!$B$1:$L$1,0),FALSE)),"")</f>
        <v/>
      </c>
      <c r="J140" s="3">
        <f>IF(ISNUMBER(Bloomberg_m!C156),Bloomberg_m!C156,"")</f>
        <v>1366</v>
      </c>
      <c r="K140" s="3">
        <f>IF(ISNUMBER(Bloomberg_m!D156),Bloomberg_m!D156,"")</f>
        <v>1611.89</v>
      </c>
      <c r="L140" s="3">
        <f>IF(ISNUMBER(Bloomberg_m!E156),Bloomberg_m!E156,"")</f>
        <v>1020.14</v>
      </c>
      <c r="M140" s="3">
        <f>IF(ISNUMBER(Bloomberg_m!F156),Bloomberg_m!F156,"")</f>
        <v>539.58000000000004</v>
      </c>
      <c r="N140">
        <f>IF(ISNUMBER(VLOOKUP($A140,Haver_M!$B$1:$BZ$300,MATCH(data!N$1,Haver_M!$B$1:$BZ$1,0),FALSE)),VLOOKUP($A140,Haver_M!$B$1:$BZ$300,MATCH(data!N$1,Haver_M!$B$1:$BZ$1,0),FALSE),"")</f>
        <v>8</v>
      </c>
      <c r="O140">
        <f>IF(ISNUMBER(VLOOKUP($A140,Haver_M!$B$1:$BZ$300,MATCH(data!O$1,Haver_M!$B$1:$BZ$1,0),FALSE)),VLOOKUP($A140,Haver_M!$B$1:$BZ$300,MATCH(data!O$1,Haver_M!$B$1:$BZ$1,0),FALSE),"")</f>
        <v>8.4792000000000005</v>
      </c>
      <c r="P140">
        <f>IF(ISNUMBER(VLOOKUP($A140,Haver_M!$B$1:$BZ$300,MATCH(data!P$1,Haver_M!$B$1:$BZ$1,0),FALSE)),VLOOKUP($A140,Haver_M!$B$1:$BZ$300,MATCH(data!P$1,Haver_M!$B$1:$BZ$1,0),FALSE),"")</f>
        <v>99.643230000000003</v>
      </c>
      <c r="Q140">
        <f>IF(ISNUMBER(VLOOKUP($A140,Haver_M!$B$1:$BZ$300,MATCH(data!Q$1,Haver_M!$B$1:$BZ$1,0),FALSE)),VLOOKUP($A140,Haver_M!$B$1:$BZ$300,MATCH(data!Q$1,Haver_M!$B$1:$BZ$1,0),FALSE),"")</f>
        <v>91.8</v>
      </c>
      <c r="R140">
        <f>IF(ISNUMBER(VLOOKUP($A140,Haver_M!$B$1:$BZ$300,MATCH(data!R$1,Haver_M!$B$1:$BZ$1,0),FALSE)),VLOOKUP($A140,Haver_M!$B$1:$BZ$300,MATCH(data!R$1,Haver_M!$B$1:$BZ$1,0),FALSE),"")</f>
        <v>91.8</v>
      </c>
      <c r="S140">
        <f>IF(ISNUMBER(VLOOKUP($A140,Haver_M!$B$1:$BZ$300,MATCH(data!S$1,Haver_M!$B$1:$BZ$1,0),FALSE)),VLOOKUP($A140,Haver_M!$B$1:$BZ$300,MATCH(data!S$1,Haver_M!$B$1:$BZ$1,0),FALSE),"")</f>
        <v>102.75</v>
      </c>
      <c r="T140">
        <f>IF(ISNUMBER(VLOOKUP($A140,Haver_M!$B$1:$BZ$300,MATCH(data!T$1,Haver_M!$B$1:$BZ$1,0),FALSE)),VLOOKUP($A140,Haver_M!$B$1:$BZ$300,MATCH(data!T$1,Haver_M!$B$1:$BZ$1,0),FALSE),"")</f>
        <v>100.83</v>
      </c>
      <c r="U140">
        <f>IF(ISNUMBER(VLOOKUP($A140,Haver_M!$B$1:$BZ$300,MATCH(data!U$1,Haver_M!$B$1:$BZ$1,0),FALSE)),VLOOKUP($A140,Haver_M!$B$1:$BZ$300,MATCH(data!U$1,Haver_M!$B$1:$BZ$1,0),FALSE),"")</f>
        <v>116.86</v>
      </c>
      <c r="V140">
        <f>IF(ISNUMBER(VLOOKUP($A140,Haver_M!$B$1:$BZ$300,MATCH(data!V$1,Haver_M!$B$1:$BZ$1,0),FALSE)),VLOOKUP($A140,Haver_M!$B$1:$BZ$300,MATCH(data!V$1,Haver_M!$B$1:$BZ$1,0),FALSE),"")</f>
        <v>104.94</v>
      </c>
      <c r="W140" t="str">
        <f>IF(ISNUMBER(VLOOKUP($A140,Haver_M!$B$1:$BZ$300,MATCH(data!W$1,Haver_M!$B$1:$BZ$1,0),FALSE)),VLOOKUP($A140,Haver_M!$B$1:$BZ$300,MATCH(data!W$1,Haver_M!$B$1:$BZ$1,0),FALSE),"")</f>
        <v/>
      </c>
      <c r="X140">
        <f>IF(ISNUMBER(VLOOKUP($A140,Haver_M!$B$1:$BZ$300,MATCH(data!X$1,Haver_M!$B$1:$BZ$1,0),FALSE)),VLOOKUP($A140,Haver_M!$B$1:$BZ$300,MATCH(data!X$1,Haver_M!$B$1:$BZ$1,0),FALSE),"")</f>
        <v>101.03</v>
      </c>
      <c r="Y140">
        <f>IF(ISNUMBER(VLOOKUP($A140,Haver_M!$B$1:$BZ$300,MATCH(data!Y$1,Haver_M!$B$1:$BZ$1,0),FALSE)),VLOOKUP($A140,Haver_M!$B$1:$BZ$300,MATCH(data!Y$1,Haver_M!$B$1:$BZ$1,0),FALSE),"")</f>
        <v>94.53</v>
      </c>
      <c r="Z140">
        <f>IF(ISNUMBER(VLOOKUP($A140,Haver_M!$B$1:$BZ$300,MATCH(data!Z$1,Haver_M!$B$1:$BZ$1,0),FALSE)),VLOOKUP($A140,Haver_M!$B$1:$BZ$300,MATCH(data!Z$1,Haver_M!$B$1:$BZ$1,0),FALSE),"")</f>
        <v>100.2</v>
      </c>
      <c r="AA140">
        <f>IF(ISNUMBER(VLOOKUP($A140,Haver_M!$B$1:$BZ$300,MATCH(data!AA$1,Haver_M!$B$1:$BZ$1,0),FALSE)),VLOOKUP($A140,Haver_M!$B$1:$BZ$300,MATCH(data!AA$1,Haver_M!$B$1:$BZ$1,0),FALSE),"")</f>
        <v>103.152</v>
      </c>
      <c r="AB140">
        <f>IF(ISNUMBER(VLOOKUP($A140,Haver_M!$B$1:$BZ$300,MATCH(data!AB$1,Haver_M!$B$1:$BZ$1,0),FALSE)),VLOOKUP($A140,Haver_M!$B$1:$BZ$300,MATCH(data!AB$1,Haver_M!$B$1:$BZ$1,0),FALSE),"")</f>
        <v>101.55500000000001</v>
      </c>
      <c r="AC140">
        <f>IF(ISNUMBER(VLOOKUP($A140,Haver_M!$B$1:$BZ$300,MATCH(data!AC$1,Haver_M!$B$1:$BZ$1,0),FALSE)),VLOOKUP($A140,Haver_M!$B$1:$BZ$300,MATCH(data!AC$1,Haver_M!$B$1:$BZ$1,0),FALSE),"")</f>
        <v>102.092</v>
      </c>
      <c r="AD140">
        <f>IF(ISNUMBER(VLOOKUP($A140,Haver_M!$B$1:$BZ$300,MATCH(data!AD$1,Haver_M!$B$1:$BZ$1,0),FALSE)),VLOOKUP($A140,Haver_M!$B$1:$BZ$300,MATCH(data!AD$1,Haver_M!$B$1:$BZ$1,0),FALSE),"")</f>
        <v>98.346000000000004</v>
      </c>
      <c r="AE140">
        <f>IF(ISNUMBER(VLOOKUP($A140,Haver_M!$B$1:$BZ$300,MATCH(data!AE$1,Haver_M!$B$1:$BZ$1,0),FALSE)),VLOOKUP($A140,Haver_M!$B$1:$BZ$300,MATCH(data!AE$1,Haver_M!$B$1:$BZ$1,0),FALSE),"")</f>
        <v>98.516999999999996</v>
      </c>
      <c r="AF140">
        <f>IF(ISNUMBER(VLOOKUP($A140,Haver_M!$B$1:$BZ$300,MATCH(data!AF$1,Haver_M!$B$1:$BZ$1,0),FALSE)),VLOOKUP($A140,Haver_M!$B$1:$BZ$300,MATCH(data!AF$1,Haver_M!$B$1:$BZ$1,0),FALSE),"")</f>
        <v>98.99</v>
      </c>
      <c r="AG140">
        <f>IF(ISNUMBER(VLOOKUP($A140,Haver_M!$B$1:$BZ$300,MATCH(data!AG$1,Haver_M!$B$1:$BZ$1,0),FALSE)),VLOOKUP($A140,Haver_M!$B$1:$BZ$300,MATCH(data!AG$1,Haver_M!$B$1:$BZ$1,0),FALSE),"")</f>
        <v>99.625</v>
      </c>
      <c r="AH140">
        <f>IF(ISNUMBER(VLOOKUP($A140,Haver_M!$B$1:$BZ$300,MATCH(data!AH$1,Haver_M!$B$1:$BZ$1,0),FALSE)),VLOOKUP($A140,Haver_M!$B$1:$BZ$300,MATCH(data!AH$1,Haver_M!$B$1:$BZ$1,0),FALSE),"")</f>
        <v>100.68300000000001</v>
      </c>
      <c r="AI140">
        <f>IF(ISNUMBER(VLOOKUP($A140,Haver_M!$B$1:$BZ$300,MATCH(data!AI$1,Haver_M!$B$1:$BZ$1,0),FALSE)),VLOOKUP($A140,Haver_M!$B$1:$BZ$300,MATCH(data!AI$1,Haver_M!$B$1:$BZ$1,0),FALSE),"")</f>
        <v>12046.871586639592</v>
      </c>
      <c r="AJ140">
        <f>IF(ISNUMBER(VLOOKUP($A140,Haver_M!$B$1:$BZ$300,MATCH(data!AJ$1,Haver_M!$B$1:$BZ$1,0),FALSE)),VLOOKUP($A140,Haver_M!$B$1:$BZ$300,MATCH(data!AJ$1,Haver_M!$B$1:$BZ$1,0),FALSE),"")</f>
        <v>26359.9</v>
      </c>
      <c r="AK140">
        <f>IF(ISNUMBER(VLOOKUP($A140,Haver_M!$B$1:$BZ$300,MATCH(data!AK$1,Haver_M!$B$1:$BZ$1,0),FALSE)),VLOOKUP($A140,Haver_M!$B$1:$BZ$300,MATCH(data!AK$1,Haver_M!$B$1:$BZ$1,0),FALSE),"")</f>
        <v>39622.32</v>
      </c>
      <c r="AL140">
        <f>IF(ISNUMBER(VLOOKUP($A140,Haver_M!$B$1:$BZ$300,MATCH(data!AL$1,Haver_M!$B$1:$BZ$1,0),FALSE)),VLOOKUP($A140,Haver_M!$B$1:$BZ$300,MATCH(data!AL$1,Haver_M!$B$1:$BZ$1,0),FALSE),"")</f>
        <v>10400</v>
      </c>
      <c r="AM140">
        <f>IF(ISNUMBER(VLOOKUP($A140,Haver_M!$B$1:$BZ$300,MATCH(data!AM$1,Haver_M!$B$1:$BZ$1,0),FALSE)),VLOOKUP($A140,Haver_M!$B$1:$BZ$300,MATCH(data!AM$1,Haver_M!$B$1:$BZ$1,0),FALSE),"")</f>
        <v>5894</v>
      </c>
      <c r="AN140" t="str">
        <f>IF(ISNUMBER(VLOOKUP($A140,Haver_M!$B$1:$BZ$300,MATCH(data!AN$1,Haver_M!$B$1:$BZ$1,0),FALSE)),VLOOKUP($A140,Haver_M!$B$1:$BZ$300,MATCH(data!AN$1,Haver_M!$B$1:$BZ$1,0),FALSE),"")</f>
        <v/>
      </c>
      <c r="AO140" t="str">
        <f>IF(ISNUMBER(VLOOKUP($A140,Haver_M!$B$1:$BZ$300,MATCH(data!AO$1,Haver_M!$B$1:$BZ$1,0),FALSE)),VLOOKUP($A140,Haver_M!$B$1:$BZ$300,MATCH(data!AO$1,Haver_M!$B$1:$BZ$1,0),FALSE),"")</f>
        <v/>
      </c>
      <c r="AP140">
        <f>IF(ISNUMBER(VLOOKUP($A140,Haver_M!$B$1:$BZ$300,MATCH(data!AP$1,Haver_M!$B$1:$BZ$1,0),FALSE)),VLOOKUP($A140,Haver_M!$B$1:$BZ$300,MATCH(data!AP$1,Haver_M!$B$1:$BZ$1,0),FALSE),"")</f>
        <v>153.86446211846734</v>
      </c>
      <c r="AQ140">
        <f>IF(ISNUMBER(VLOOKUP($A140,Haver_M!$B$1:$BZ$300,MATCH(data!AQ$1,Haver_M!$B$1:$BZ$1,0),FALSE)),VLOOKUP($A140,Haver_M!$B$1:$BZ$300,MATCH(data!AQ$1,Haver_M!$B$1:$BZ$1,0),FALSE),"")</f>
        <v>57.854399999999998</v>
      </c>
      <c r="AR140">
        <f>IF(ISNUMBER(VLOOKUP($A140,Haver_M!$B$1:$BZ$300,MATCH(data!AR$1,Haver_M!$B$1:$BZ$1,0),FALSE)),VLOOKUP($A140,Haver_M!$B$1:$BZ$300,MATCH(data!AR$1,Haver_M!$B$1:$BZ$1,0),FALSE),"")</f>
        <v>53.595100000000002</v>
      </c>
      <c r="AS140">
        <f>IF(ISNUMBER(VLOOKUP($A140,Haver_M!$B$1:$BZ$300,MATCH(data!AS$1,Haver_M!$B$1:$BZ$1,0),FALSE)),VLOOKUP($A140,Haver_M!$B$1:$BZ$300,MATCH(data!AS$1,Haver_M!$B$1:$BZ$1,0),FALSE),"")</f>
        <v>58.164099999999998</v>
      </c>
      <c r="AT140">
        <f>IF(ISNUMBER(VLOOKUP($A140,Haver_M!$B$1:$BZ$300,MATCH(data!AT$1,Haver_M!$B$1:$BZ$1,0),FALSE)),VLOOKUP($A140,Haver_M!$B$1:$BZ$300,MATCH(data!AT$1,Haver_M!$B$1:$BZ$1,0),FALSE),"")</f>
        <v>57.211799999999997</v>
      </c>
      <c r="AU140">
        <f>IF(ISNUMBER(VLOOKUP($A140,Haver_M!$B$1:$BZ$300,MATCH(data!AU$1,Haver_M!$B$1:$BZ$1,0),FALSE)),VLOOKUP($A140,Haver_M!$B$1:$BZ$300,MATCH(data!AU$1,Haver_M!$B$1:$BZ$1,0),FALSE),"")</f>
        <v>54.548299999999998</v>
      </c>
      <c r="AV140">
        <f>IF(ISNUMBER(VLOOKUP($A140,Haver_M!$B$1:$BZ$300,MATCH(data!AV$1,Haver_M!$B$1:$BZ$1,0),FALSE)),VLOOKUP($A140,Haver_M!$B$1:$BZ$300,MATCH(data!AV$1,Haver_M!$B$1:$BZ$1,0),FALSE),"")</f>
        <v>51.859699999999997</v>
      </c>
      <c r="AW140">
        <f>IF(ISNUMBER(VLOOKUP($A140,Haver_M!$B$1:$BZ$300,MATCH(data!AW$1,Haver_M!$B$1:$BZ$1,0),FALSE)),VLOOKUP($A140,Haver_M!$B$1:$BZ$300,MATCH(data!AW$1,Haver_M!$B$1:$BZ$1,0),FALSE),"")</f>
        <v>51.456499999999998</v>
      </c>
      <c r="AX140">
        <f>IF(ISNUMBER(VLOOKUP($A140,Haver_M!$B$1:$BZ$300,MATCH(data!AX$1,Haver_M!$B$1:$BZ$1,0),FALSE)),VLOOKUP($A140,Haver_M!$B$1:$BZ$300,MATCH(data!AX$1,Haver_M!$B$1:$BZ$1,0),FALSE),"")</f>
        <v>52.741500000000002</v>
      </c>
      <c r="AY140">
        <f>IF(ISNUMBER(VLOOKUP($A140,Haver_M!$B$1:$BZ$300,MATCH(data!AY$1,Haver_M!$B$1:$BZ$1,0),FALSE)),VLOOKUP($A140,Haver_M!$B$1:$BZ$300,MATCH(data!AY$1,Haver_M!$B$1:$BZ$1,0),FALSE),"")</f>
        <v>64.282399999999996</v>
      </c>
      <c r="AZ140">
        <f>IF(ISNUMBER(VLOOKUP($A140,Haver_M!$B$1:$BZ$300,MATCH(data!AZ$1,Haver_M!$B$1:$BZ$1,0),FALSE)),VLOOKUP($A140,Haver_M!$B$1:$BZ$300,MATCH(data!AZ$1,Haver_M!$B$1:$BZ$1,0),FALSE),"")</f>
        <v>56.655500000000004</v>
      </c>
      <c r="BA140">
        <f>IF(ISNUMBER(VLOOKUP($A140,Haver_M!$B$1:$BZ$300,MATCH(data!BA$1,Haver_M!$B$1:$BZ$1,0),FALSE)),VLOOKUP($A140,Haver_M!$B$1:$BZ$300,MATCH(data!BA$1,Haver_M!$B$1:$BZ$1,0),FALSE),"")</f>
        <v>52.741500000000002</v>
      </c>
      <c r="BB140">
        <f>IF(ISNUMBER(VLOOKUP($A140,Haver_M!$B$1:$BZ$300,MATCH(data!BB$1,Haver_M!$B$1:$BZ$1,0),FALSE)),VLOOKUP($A140,Haver_M!$B$1:$BZ$300,MATCH(data!BB$1,Haver_M!$B$1:$BZ$1,0),FALSE),"")</f>
        <v>49.227400000000003</v>
      </c>
      <c r="BC140">
        <f>IF(ISNUMBER(VLOOKUP($A140,Haver_M!$B$1:$BZ$300,MATCH(data!BC$1,Haver_M!$B$1:$BZ$1,0),FALSE)),VLOOKUP($A140,Haver_M!$B$1:$BZ$300,MATCH(data!BC$1,Haver_M!$B$1:$BZ$1,0),FALSE),"")</f>
        <v>56.032899999999998</v>
      </c>
      <c r="BD140">
        <f>IF(ISNUMBER(VLOOKUP($A140,Haver_M!$B$1:$BZ$300,MATCH(data!BD$1,Haver_M!$B$1:$BZ$1,0),FALSE)),VLOOKUP($A140,Haver_M!$B$1:$BZ$300,MATCH(data!BD$1,Haver_M!$B$1:$BZ$1,0),FALSE),"")</f>
        <v>50.875100000000003</v>
      </c>
      <c r="BE140">
        <f>IF(ISNUMBER(VLOOKUP($A140,Haver_M!$B$1:$BZ$300,MATCH(data!BE$1,Haver_M!$B$1:$BZ$1,0),FALSE)),VLOOKUP($A140,Haver_M!$B$1:$BZ$300,MATCH(data!BE$1,Haver_M!$B$1:$BZ$1,0),FALSE),"")</f>
        <v>1.0624</v>
      </c>
      <c r="BF140">
        <f>IF(ISNUMBER(VLOOKUP($A140,Haver_M!$B$1:$BZ$300,MATCH(data!BF$1,Haver_M!$B$1:$BZ$1,0),FALSE)),VLOOKUP($A140,Haver_M!$B$1:$BZ$300,MATCH(data!BF$1,Haver_M!$B$1:$BZ$1,0),FALSE),"")</f>
        <v>49.371600000000001</v>
      </c>
      <c r="BG140">
        <f>IF(ISNUMBER(VLOOKUP($A140,Haver_M!$B$1:$BZ$300,MATCH(data!BG$1,Haver_M!$B$1:$BZ$1,0),FALSE)),VLOOKUP($A140,Haver_M!$B$1:$BZ$300,MATCH(data!BG$1,Haver_M!$B$1:$BZ$1,0),FALSE),"")</f>
        <v>57.0745</v>
      </c>
      <c r="BH140">
        <f>IF(ISNUMBER(VLOOKUP($A140,Haver_M!$B$1:$BZ$300,MATCH(data!BH$1,Haver_M!$B$1:$BZ$1,0),FALSE)),VLOOKUP($A140,Haver_M!$B$1:$BZ$300,MATCH(data!BH$1,Haver_M!$B$1:$BZ$1,0),FALSE),"")</f>
        <v>59.278199999999998</v>
      </c>
      <c r="BI140">
        <f>IF(ISNUMBER(VLOOKUP($A140,Haver_M!$B$1:$BZ$300,MATCH(data!BI$1,Haver_M!$B$1:$BZ$1,0),FALSE)),VLOOKUP($A140,Haver_M!$B$1:$BZ$300,MATCH(data!BI$1,Haver_M!$B$1:$BZ$1,0),FALSE),"")</f>
        <v>58.857599999999998</v>
      </c>
      <c r="BJ140" t="str">
        <f>IF(ISNUMBER(VLOOKUP($A140,Haver_M!$B$1:$BZ$300,MATCH(data!BJ$1,Haver_M!$B$1:$BZ$1,0),FALSE)),VLOOKUP($A140,Haver_M!$B$1:$BZ$300,MATCH(data!BJ$1,Haver_M!$B$1:$BZ$1,0),FALSE),"")</f>
        <v/>
      </c>
      <c r="BK140">
        <f>IF(ISNUMBER(VLOOKUP($A140,Haver_M!$B$1:$BZ$300,MATCH(data!BK$1,Haver_M!$B$1:$BZ$1,0),FALSE)),VLOOKUP($A140,Haver_M!$B$1:$BZ$300,MATCH(data!BK$1,Haver_M!$B$1:$BZ$1,0),FALSE),"")</f>
        <v>52.486800000000002</v>
      </c>
      <c r="BL140">
        <f>IF(ISNUMBER(VLOOKUP($A140,Haver_M!$B$1:$BZ$300,MATCH(data!BL$1,Haver_M!$B$1:$BZ$1,0),FALSE)),VLOOKUP($A140,Haver_M!$B$1:$BZ$300,MATCH(data!BL$1,Haver_M!$B$1:$BZ$1,0),FALSE),"")</f>
        <v>18616.41</v>
      </c>
      <c r="BM140">
        <f>IF(ISNUMBER(VLOOKUP($A140,Haver_M!$B$1:$BZ$300,MATCH(data!BM$1,Haver_M!$B$1:$BZ$1,0),FALSE)),VLOOKUP($A140,Haver_M!$B$1:$BZ$300,MATCH(data!BM$1,Haver_M!$B$1:$BZ$1,0),FALSE),"")</f>
        <v>99.068912639999994</v>
      </c>
      <c r="BN140" t="str">
        <f>IF(ISNUMBER(VLOOKUP($A140,Haver_M!$B$1:$BZ$300,MATCH(data!BN$1,Haver_M!$B$1:$BZ$1,0),FALSE)),VLOOKUP($A140,Haver_M!$B$1:$BZ$300,MATCH(data!BN$1,Haver_M!$B$1:$BZ$1,0),FALSE),"")</f>
        <v/>
      </c>
      <c r="BO140" t="str">
        <f>IF(ISNUMBER(VLOOKUP($A140,Haver_M!$B$1:$BZ$300,MATCH(data!BO$1,Haver_M!$B$1:$BZ$1,0),FALSE)),VLOOKUP($A140,Haver_M!$B$1:$BZ$300,MATCH(data!BO$1,Haver_M!$B$1:$BZ$1,0),FALSE),"")</f>
        <v/>
      </c>
      <c r="BP140" t="str">
        <f>IF(ISNUMBER(VLOOKUP($A140,Haver_M!$B$1:$BZ$300,MATCH(data!BP$1,Haver_M!$B$1:$BZ$1,0),FALSE)),VLOOKUP($A140,Haver_M!$B$1:$BZ$300,MATCH(data!BP$1,Haver_M!$B$1:$BZ$1,0),FALSE),"")</f>
        <v/>
      </c>
      <c r="BQ140">
        <f>IF(ISNUMBER(VLOOKUP($A140,Haver_M!$B$1:$BZ$300,MATCH(data!BQ$1,Haver_M!$B$1:$BZ$1,0),FALSE)),VLOOKUP($A140,Haver_M!$B$1:$BZ$300,MATCH(data!BQ$1,Haver_M!$B$1:$BZ$1,0),FALSE),"")</f>
        <v>159.46361550705942</v>
      </c>
      <c r="BR140">
        <f>IF(ISNUMBER(VLOOKUP($A140,Haver_M!$B$1:$BZ$300,MATCH(data!BR$1,Haver_M!$B$1:$BZ$1,0),FALSE)),VLOOKUP($A140,Haver_M!$B$1:$BZ$300,MATCH(data!BR$1,Haver_M!$B$1:$BZ$1,0),FALSE),"")</f>
        <v>373.50385785270583</v>
      </c>
      <c r="BS140">
        <f>IF(ISNUMBER(VLOOKUP($A140,Haver_M!$B$1:$BZ$300,MATCH(data!BS$1,Haver_M!$B$1:$BZ$1,0),FALSE)),VLOOKUP($A140,Haver_M!$B$1:$BZ$300,MATCH(data!BS$1,Haver_M!$B$1:$BZ$1,0),FALSE),"")</f>
        <v>201.98082218304705</v>
      </c>
      <c r="BT140">
        <f>IF(ISNUMBER(VLOOKUP($A140,Haver_M!$B$1:$BZ$300,MATCH(data!BT$1,Haver_M!$B$1:$BZ$1,0),FALSE)),VLOOKUP($A140,Haver_M!$B$1:$BZ$300,MATCH(data!BT$1,Haver_M!$B$1:$BZ$1,0),FALSE),"")</f>
        <v>839.37463836148765</v>
      </c>
      <c r="BU140">
        <f>IF(ISNUMBER(VLOOKUP($A140,Haver_M!$B$1:$BZ$300,MATCH(data!BU$1,Haver_M!$B$1:$BZ$1,0),FALSE)),VLOOKUP($A140,Haver_M!$B$1:$BZ$300,MATCH(data!BU$1,Haver_M!$B$1:$BZ$1,0),FALSE),"")</f>
        <v>26426.54</v>
      </c>
      <c r="BV140">
        <f>IF(ISNUMBER(VLOOKUP($A140,Haver_M!$B$1:$BZ$300,MATCH(data!BV$1,Haver_M!$B$1:$BZ$1,0),FALSE)),VLOOKUP($A140,Haver_M!$B$1:$BZ$300,MATCH(data!BV$1,Haver_M!$B$1:$BZ$1,0),FALSE),"")</f>
        <v>41105.879999999997</v>
      </c>
      <c r="BW140">
        <f>IF(ISNUMBER(VLOOKUP($A140,Haver_M!$B$1:$BZ$300,MATCH(data!BW$1,Haver_M!$B$1:$BZ$1,0),FALSE)),VLOOKUP($A140,Haver_M!$B$1:$BZ$300,MATCH(data!BW$1,Haver_M!$B$1:$BZ$1,0),FALSE),"")</f>
        <v>44.415900000000001</v>
      </c>
      <c r="BX140">
        <f>IF(ISNUMBER(VLOOKUP($A140,Haver_M!$B$1:$BZ$300,MATCH(data!BX$1,Haver_M!$B$1:$BZ$1,0),FALSE)),VLOOKUP($A140,Haver_M!$B$1:$BZ$300,MATCH(data!BX$1,Haver_M!$B$1:$BZ$1,0),FALSE),"")</f>
        <v>61277</v>
      </c>
    </row>
    <row r="141" spans="1:76" x14ac:dyDescent="0.25">
      <c r="A141" s="2">
        <v>40786</v>
      </c>
      <c r="B141" t="str">
        <f>IF(ISNUMBER(VLOOKUP($A141,Haver_Q!$B$1:$L$185,MATCH(data!B$1,Haver_Q!$B$1:$L$1,0),FALSE)),100*(VLOOKUP($A141,Haver_Q!$B$1:$L$185,MATCH(data!B$1,Haver_Q!$B$1:$L$1,0),FALSE)),"")</f>
        <v/>
      </c>
      <c r="C141" t="str">
        <f>IF(ISNUMBER(VLOOKUP($A141,Haver_Q!$B$1:$L$185,MATCH(data!C$1,Haver_Q!$B$1:$L$1,0),FALSE)),100*(VLOOKUP($A141,Haver_Q!$B$1:$L$185,MATCH(data!C$1,Haver_Q!$B$1:$L$1,0),FALSE)),"")</f>
        <v/>
      </c>
      <c r="D141" t="str">
        <f>IF(ISNUMBER(VLOOKUP($A141,Haver_Q!$B$1:$L$185,MATCH(data!D$1,Haver_Q!$B$1:$L$1,0),FALSE)),100*(VLOOKUP($A141,Haver_Q!$B$1:$L$185,MATCH(data!D$1,Haver_Q!$B$1:$L$1,0),FALSE)),"")</f>
        <v/>
      </c>
      <c r="E141" t="str">
        <f>IF(ISNUMBER(VLOOKUP($A141,Haver_Q!$B$1:$L$185,MATCH(data!E$1,Haver_Q!$B$1:$L$1,0),FALSE)),100*(VLOOKUP($A141,Haver_Q!$B$1:$L$185,MATCH(data!E$1,Haver_Q!$B$1:$L$1,0),FALSE)),"")</f>
        <v/>
      </c>
      <c r="F141" t="str">
        <f>IF(ISNUMBER(VLOOKUP($A141,Haver_Q!$B$1:$L$185,MATCH(data!F$1,Haver_Q!$B$1:$L$1,0),FALSE)),100*(VLOOKUP($A141,Haver_Q!$B$1:$L$185,MATCH(data!F$1,Haver_Q!$B$1:$L$1,0),FALSE)),"")</f>
        <v/>
      </c>
      <c r="G141" t="str">
        <f>IF(ISNUMBER(VLOOKUP($A141,Haver_Q!$B$1:$L$185,MATCH(data!G$1,Haver_Q!$B$1:$L$1,0),FALSE)),100*(VLOOKUP($A141,Haver_Q!$B$1:$L$185,MATCH(data!G$1,Haver_Q!$B$1:$L$1,0),FALSE)),"")</f>
        <v/>
      </c>
      <c r="H141" t="str">
        <f>IF(ISNUMBER(VLOOKUP($A141,Haver_Q!$B$1:$L$185,MATCH(data!H$1,Haver_Q!$B$1:$L$1,0),FALSE)),(VLOOKUP($A141,Haver_Q!$B$1:$L$185,MATCH(data!H$1,Haver_Q!$B$1:$L$1,0),FALSE)),"")</f>
        <v/>
      </c>
      <c r="I141" t="str">
        <f>IF(ISNUMBER(VLOOKUP($A141,Haver_Q!$B$1:$L$185,MATCH(data!I$1,Haver_Q!$B$1:$L$1,0),FALSE)),100*(VLOOKUP($A141,Haver_Q!$B$1:$L$185,MATCH(data!I$1,Haver_Q!$B$1:$L$1,0),FALSE)),"")</f>
        <v/>
      </c>
      <c r="J141" s="3">
        <f>IF(ISNUMBER(Bloomberg_m!C157),Bloomberg_m!C157,"")</f>
        <v>1387</v>
      </c>
      <c r="K141" s="3">
        <f>IF(ISNUMBER(Bloomberg_m!D157),Bloomberg_m!D157,"")</f>
        <v>1703.82</v>
      </c>
      <c r="L141" s="3">
        <f>IF(ISNUMBER(Bloomberg_m!E157),Bloomberg_m!E157,"")</f>
        <v>1045.19</v>
      </c>
      <c r="M141" s="3">
        <f>IF(ISNUMBER(Bloomberg_m!F157),Bloomberg_m!F157,"")</f>
        <v>450.62</v>
      </c>
      <c r="N141">
        <f>IF(ISNUMBER(VLOOKUP($A141,Haver_M!$B$1:$BZ$300,MATCH(data!N$1,Haver_M!$B$1:$BZ$1,0),FALSE)),VLOOKUP($A141,Haver_M!$B$1:$BZ$300,MATCH(data!N$1,Haver_M!$B$1:$BZ$1,0),FALSE),"")</f>
        <v>8</v>
      </c>
      <c r="O141">
        <f>IF(ISNUMBER(VLOOKUP($A141,Haver_M!$B$1:$BZ$300,MATCH(data!O$1,Haver_M!$B$1:$BZ$1,0),FALSE)),VLOOKUP($A141,Haver_M!$B$1:$BZ$300,MATCH(data!O$1,Haver_M!$B$1:$BZ$1,0),FALSE),"")</f>
        <v>8.3543000000000003</v>
      </c>
      <c r="P141">
        <f>IF(ISNUMBER(VLOOKUP($A141,Haver_M!$B$1:$BZ$300,MATCH(data!P$1,Haver_M!$B$1:$BZ$1,0),FALSE)),VLOOKUP($A141,Haver_M!$B$1:$BZ$300,MATCH(data!P$1,Haver_M!$B$1:$BZ$1,0),FALSE),"")</f>
        <v>98.075620000000001</v>
      </c>
      <c r="Q141">
        <f>IF(ISNUMBER(VLOOKUP($A141,Haver_M!$B$1:$BZ$300,MATCH(data!Q$1,Haver_M!$B$1:$BZ$1,0),FALSE)),VLOOKUP($A141,Haver_M!$B$1:$BZ$300,MATCH(data!Q$1,Haver_M!$B$1:$BZ$1,0),FALSE),"")</f>
        <v>92.7</v>
      </c>
      <c r="R141">
        <f>IF(ISNUMBER(VLOOKUP($A141,Haver_M!$B$1:$BZ$300,MATCH(data!R$1,Haver_M!$B$1:$BZ$1,0),FALSE)),VLOOKUP($A141,Haver_M!$B$1:$BZ$300,MATCH(data!R$1,Haver_M!$B$1:$BZ$1,0),FALSE),"")</f>
        <v>92.5</v>
      </c>
      <c r="S141">
        <f>IF(ISNUMBER(VLOOKUP($A141,Haver_M!$B$1:$BZ$300,MATCH(data!S$1,Haver_M!$B$1:$BZ$1,0),FALSE)),VLOOKUP($A141,Haver_M!$B$1:$BZ$300,MATCH(data!S$1,Haver_M!$B$1:$BZ$1,0),FALSE),"")</f>
        <v>101.19</v>
      </c>
      <c r="T141">
        <f>IF(ISNUMBER(VLOOKUP($A141,Haver_M!$B$1:$BZ$300,MATCH(data!T$1,Haver_M!$B$1:$BZ$1,0),FALSE)),VLOOKUP($A141,Haver_M!$B$1:$BZ$300,MATCH(data!T$1,Haver_M!$B$1:$BZ$1,0),FALSE),"")</f>
        <v>98.4</v>
      </c>
      <c r="U141">
        <f>IF(ISNUMBER(VLOOKUP($A141,Haver_M!$B$1:$BZ$300,MATCH(data!U$1,Haver_M!$B$1:$BZ$1,0),FALSE)),VLOOKUP($A141,Haver_M!$B$1:$BZ$300,MATCH(data!U$1,Haver_M!$B$1:$BZ$1,0),FALSE),"")</f>
        <v>116.37</v>
      </c>
      <c r="V141">
        <f>IF(ISNUMBER(VLOOKUP($A141,Haver_M!$B$1:$BZ$300,MATCH(data!V$1,Haver_M!$B$1:$BZ$1,0),FALSE)),VLOOKUP($A141,Haver_M!$B$1:$BZ$300,MATCH(data!V$1,Haver_M!$B$1:$BZ$1,0),FALSE),"")</f>
        <v>103.92</v>
      </c>
      <c r="W141" t="str">
        <f>IF(ISNUMBER(VLOOKUP($A141,Haver_M!$B$1:$BZ$300,MATCH(data!W$1,Haver_M!$B$1:$BZ$1,0),FALSE)),VLOOKUP($A141,Haver_M!$B$1:$BZ$300,MATCH(data!W$1,Haver_M!$B$1:$BZ$1,0),FALSE),"")</f>
        <v/>
      </c>
      <c r="X141">
        <f>IF(ISNUMBER(VLOOKUP($A141,Haver_M!$B$1:$BZ$300,MATCH(data!X$1,Haver_M!$B$1:$BZ$1,0),FALSE)),VLOOKUP($A141,Haver_M!$B$1:$BZ$300,MATCH(data!X$1,Haver_M!$B$1:$BZ$1,0),FALSE),"")</f>
        <v>95.56</v>
      </c>
      <c r="Y141">
        <f>IF(ISNUMBER(VLOOKUP($A141,Haver_M!$B$1:$BZ$300,MATCH(data!Y$1,Haver_M!$B$1:$BZ$1,0),FALSE)),VLOOKUP($A141,Haver_M!$B$1:$BZ$300,MATCH(data!Y$1,Haver_M!$B$1:$BZ$1,0),FALSE),"")</f>
        <v>91.39</v>
      </c>
      <c r="Z141">
        <f>IF(ISNUMBER(VLOOKUP($A141,Haver_M!$B$1:$BZ$300,MATCH(data!Z$1,Haver_M!$B$1:$BZ$1,0),FALSE)),VLOOKUP($A141,Haver_M!$B$1:$BZ$300,MATCH(data!Z$1,Haver_M!$B$1:$BZ$1,0),FALSE),"")</f>
        <v>98.7</v>
      </c>
      <c r="AA141">
        <f>IF(ISNUMBER(VLOOKUP($A141,Haver_M!$B$1:$BZ$300,MATCH(data!AA$1,Haver_M!$B$1:$BZ$1,0),FALSE)),VLOOKUP($A141,Haver_M!$B$1:$BZ$300,MATCH(data!AA$1,Haver_M!$B$1:$BZ$1,0),FALSE),"")</f>
        <v>87.751999999999995</v>
      </c>
      <c r="AB141">
        <f>IF(ISNUMBER(VLOOKUP($A141,Haver_M!$B$1:$BZ$300,MATCH(data!AB$1,Haver_M!$B$1:$BZ$1,0),FALSE)),VLOOKUP($A141,Haver_M!$B$1:$BZ$300,MATCH(data!AB$1,Haver_M!$B$1:$BZ$1,0),FALSE),"")</f>
        <v>100.614</v>
      </c>
      <c r="AC141">
        <f>IF(ISNUMBER(VLOOKUP($A141,Haver_M!$B$1:$BZ$300,MATCH(data!AC$1,Haver_M!$B$1:$BZ$1,0),FALSE)),VLOOKUP($A141,Haver_M!$B$1:$BZ$300,MATCH(data!AC$1,Haver_M!$B$1:$BZ$1,0),FALSE),"")</f>
        <v>103.30500000000001</v>
      </c>
      <c r="AD141">
        <f>IF(ISNUMBER(VLOOKUP($A141,Haver_M!$B$1:$BZ$300,MATCH(data!AD$1,Haver_M!$B$1:$BZ$1,0),FALSE)),VLOOKUP($A141,Haver_M!$B$1:$BZ$300,MATCH(data!AD$1,Haver_M!$B$1:$BZ$1,0),FALSE),"")</f>
        <v>99.688000000000002</v>
      </c>
      <c r="AE141">
        <f>IF(ISNUMBER(VLOOKUP($A141,Haver_M!$B$1:$BZ$300,MATCH(data!AE$1,Haver_M!$B$1:$BZ$1,0),FALSE)),VLOOKUP($A141,Haver_M!$B$1:$BZ$300,MATCH(data!AE$1,Haver_M!$B$1:$BZ$1,0),FALSE),"")</f>
        <v>98.555999999999997</v>
      </c>
      <c r="AF141">
        <f>IF(ISNUMBER(VLOOKUP($A141,Haver_M!$B$1:$BZ$300,MATCH(data!AF$1,Haver_M!$B$1:$BZ$1,0),FALSE)),VLOOKUP($A141,Haver_M!$B$1:$BZ$300,MATCH(data!AF$1,Haver_M!$B$1:$BZ$1,0),FALSE),"")</f>
        <v>99.100999999999999</v>
      </c>
      <c r="AG141">
        <f>IF(ISNUMBER(VLOOKUP($A141,Haver_M!$B$1:$BZ$300,MATCH(data!AG$1,Haver_M!$B$1:$BZ$1,0),FALSE)),VLOOKUP($A141,Haver_M!$B$1:$BZ$300,MATCH(data!AG$1,Haver_M!$B$1:$BZ$1,0),FALSE),"")</f>
        <v>100.212</v>
      </c>
      <c r="AH141">
        <f>IF(ISNUMBER(VLOOKUP($A141,Haver_M!$B$1:$BZ$300,MATCH(data!AH$1,Haver_M!$B$1:$BZ$1,0),FALSE)),VLOOKUP($A141,Haver_M!$B$1:$BZ$300,MATCH(data!AH$1,Haver_M!$B$1:$BZ$1,0),FALSE),"")</f>
        <v>99.06</v>
      </c>
      <c r="AI141">
        <f>IF(ISNUMBER(VLOOKUP($A141,Haver_M!$B$1:$BZ$300,MATCH(data!AI$1,Haver_M!$B$1:$BZ$1,0),FALSE)),VLOOKUP($A141,Haver_M!$B$1:$BZ$300,MATCH(data!AI$1,Haver_M!$B$1:$BZ$1,0),FALSE),"")</f>
        <v>11991.337400922135</v>
      </c>
      <c r="AJ141">
        <f>IF(ISNUMBER(VLOOKUP($A141,Haver_M!$B$1:$BZ$300,MATCH(data!AJ$1,Haver_M!$B$1:$BZ$1,0),FALSE)),VLOOKUP($A141,Haver_M!$B$1:$BZ$300,MATCH(data!AJ$1,Haver_M!$B$1:$BZ$1,0),FALSE),"")</f>
        <v>25717.439999999999</v>
      </c>
      <c r="AK141">
        <f>IF(ISNUMBER(VLOOKUP($A141,Haver_M!$B$1:$BZ$300,MATCH(data!AK$1,Haver_M!$B$1:$BZ$1,0),FALSE)),VLOOKUP($A141,Haver_M!$B$1:$BZ$300,MATCH(data!AK$1,Haver_M!$B$1:$BZ$1,0),FALSE),"")</f>
        <v>40985.47</v>
      </c>
      <c r="AL141">
        <f>IF(ISNUMBER(VLOOKUP($A141,Haver_M!$B$1:$BZ$300,MATCH(data!AL$1,Haver_M!$B$1:$BZ$1,0),FALSE)),VLOOKUP($A141,Haver_M!$B$1:$BZ$300,MATCH(data!AL$1,Haver_M!$B$1:$BZ$1,0),FALSE),"")</f>
        <v>11897</v>
      </c>
      <c r="AM141">
        <f>IF(ISNUMBER(VLOOKUP($A141,Haver_M!$B$1:$BZ$300,MATCH(data!AM$1,Haver_M!$B$1:$BZ$1,0),FALSE)),VLOOKUP($A141,Haver_M!$B$1:$BZ$300,MATCH(data!AM$1,Haver_M!$B$1:$BZ$1,0),FALSE),"")</f>
        <v>6860</v>
      </c>
      <c r="AN141" t="str">
        <f>IF(ISNUMBER(VLOOKUP($A141,Haver_M!$B$1:$BZ$300,MATCH(data!AN$1,Haver_M!$B$1:$BZ$1,0),FALSE)),VLOOKUP($A141,Haver_M!$B$1:$BZ$300,MATCH(data!AN$1,Haver_M!$B$1:$BZ$1,0),FALSE),"")</f>
        <v/>
      </c>
      <c r="AO141" t="str">
        <f>IF(ISNUMBER(VLOOKUP($A141,Haver_M!$B$1:$BZ$300,MATCH(data!AO$1,Haver_M!$B$1:$BZ$1,0),FALSE)),VLOOKUP($A141,Haver_M!$B$1:$BZ$300,MATCH(data!AO$1,Haver_M!$B$1:$BZ$1,0),FALSE),"")</f>
        <v/>
      </c>
      <c r="AP141">
        <f>IF(ISNUMBER(VLOOKUP($A141,Haver_M!$B$1:$BZ$300,MATCH(data!AP$1,Haver_M!$B$1:$BZ$1,0),FALSE)),VLOOKUP($A141,Haver_M!$B$1:$BZ$300,MATCH(data!AP$1,Haver_M!$B$1:$BZ$1,0),FALSE),"")</f>
        <v>257.98671975866114</v>
      </c>
      <c r="AQ141">
        <f>IF(ISNUMBER(VLOOKUP($A141,Haver_M!$B$1:$BZ$300,MATCH(data!AQ$1,Haver_M!$B$1:$BZ$1,0),FALSE)),VLOOKUP($A141,Haver_M!$B$1:$BZ$300,MATCH(data!AQ$1,Haver_M!$B$1:$BZ$1,0),FALSE),"")</f>
        <v>54.529800000000002</v>
      </c>
      <c r="AR141">
        <f>IF(ISNUMBER(VLOOKUP($A141,Haver_M!$B$1:$BZ$300,MATCH(data!AR$1,Haver_M!$B$1:$BZ$1,0),FALSE)),VLOOKUP($A141,Haver_M!$B$1:$BZ$300,MATCH(data!AR$1,Haver_M!$B$1:$BZ$1,0),FALSE),"")</f>
        <v>52.593200000000003</v>
      </c>
      <c r="AS141">
        <f>IF(ISNUMBER(VLOOKUP($A141,Haver_M!$B$1:$BZ$300,MATCH(data!AS$1,Haver_M!$B$1:$BZ$1,0),FALSE)),VLOOKUP($A141,Haver_M!$B$1:$BZ$300,MATCH(data!AS$1,Haver_M!$B$1:$BZ$1,0),FALSE),"")</f>
        <v>53.808599999999998</v>
      </c>
      <c r="AT141">
        <f>IF(ISNUMBER(VLOOKUP($A141,Haver_M!$B$1:$BZ$300,MATCH(data!AT$1,Haver_M!$B$1:$BZ$1,0),FALSE)),VLOOKUP($A141,Haver_M!$B$1:$BZ$300,MATCH(data!AT$1,Haver_M!$B$1:$BZ$1,0),FALSE),"")</f>
        <v>56.026699999999998</v>
      </c>
      <c r="AU141">
        <f>IF(ISNUMBER(VLOOKUP($A141,Haver_M!$B$1:$BZ$300,MATCH(data!AU$1,Haver_M!$B$1:$BZ$1,0),FALSE)),VLOOKUP($A141,Haver_M!$B$1:$BZ$300,MATCH(data!AU$1,Haver_M!$B$1:$BZ$1,0),FALSE),"")</f>
        <v>53.0578</v>
      </c>
      <c r="AV141">
        <f>IF(ISNUMBER(VLOOKUP($A141,Haver_M!$B$1:$BZ$300,MATCH(data!AV$1,Haver_M!$B$1:$BZ$1,0),FALSE)),VLOOKUP($A141,Haver_M!$B$1:$BZ$300,MATCH(data!AV$1,Haver_M!$B$1:$BZ$1,0),FALSE),"")</f>
        <v>49.513399999999997</v>
      </c>
      <c r="AW141">
        <f>IF(ISNUMBER(VLOOKUP($A141,Haver_M!$B$1:$BZ$300,MATCH(data!AW$1,Haver_M!$B$1:$BZ$1,0),FALSE)),VLOOKUP($A141,Haver_M!$B$1:$BZ$300,MATCH(data!AW$1,Haver_M!$B$1:$BZ$1,0),FALSE),"")</f>
        <v>50.082599999999999</v>
      </c>
      <c r="AX141">
        <f>IF(ISNUMBER(VLOOKUP($A141,Haver_M!$B$1:$BZ$300,MATCH(data!AX$1,Haver_M!$B$1:$BZ$1,0),FALSE)),VLOOKUP($A141,Haver_M!$B$1:$BZ$300,MATCH(data!AX$1,Haver_M!$B$1:$BZ$1,0),FALSE),"")</f>
        <v>52.789099999999998</v>
      </c>
      <c r="AY141">
        <f>IF(ISNUMBER(VLOOKUP($A141,Haver_M!$B$1:$BZ$300,MATCH(data!AY$1,Haver_M!$B$1:$BZ$1,0),FALSE)),VLOOKUP($A141,Haver_M!$B$1:$BZ$300,MATCH(data!AY$1,Haver_M!$B$1:$BZ$1,0),FALSE),"")</f>
        <v>65.590699999999998</v>
      </c>
      <c r="AZ141">
        <f>IF(ISNUMBER(VLOOKUP($A141,Haver_M!$B$1:$BZ$300,MATCH(data!AZ$1,Haver_M!$B$1:$BZ$1,0),FALSE)),VLOOKUP($A141,Haver_M!$B$1:$BZ$300,MATCH(data!AZ$1,Haver_M!$B$1:$BZ$1,0),FALSE),"")</f>
        <v>55.648499999999999</v>
      </c>
      <c r="BA141">
        <f>IF(ISNUMBER(VLOOKUP($A141,Haver_M!$B$1:$BZ$300,MATCH(data!BA$1,Haver_M!$B$1:$BZ$1,0),FALSE)),VLOOKUP($A141,Haver_M!$B$1:$BZ$300,MATCH(data!BA$1,Haver_M!$B$1:$BZ$1,0),FALSE),"")</f>
        <v>52.789099999999998</v>
      </c>
      <c r="BB141">
        <f>IF(ISNUMBER(VLOOKUP($A141,Haver_M!$B$1:$BZ$300,MATCH(data!BB$1,Haver_M!$B$1:$BZ$1,0),FALSE)),VLOOKUP($A141,Haver_M!$B$1:$BZ$300,MATCH(data!BB$1,Haver_M!$B$1:$BZ$1,0),FALSE),"")</f>
        <v>45.038200000000003</v>
      </c>
      <c r="BC141">
        <f>IF(ISNUMBER(VLOOKUP($A141,Haver_M!$B$1:$BZ$300,MATCH(data!BC$1,Haver_M!$B$1:$BZ$1,0),FALSE)),VLOOKUP($A141,Haver_M!$B$1:$BZ$300,MATCH(data!BC$1,Haver_M!$B$1:$BZ$1,0),FALSE),"")</f>
        <v>55.642000000000003</v>
      </c>
      <c r="BD141">
        <f>IF(ISNUMBER(VLOOKUP($A141,Haver_M!$B$1:$BZ$300,MATCH(data!BD$1,Haver_M!$B$1:$BZ$1,0),FALSE)),VLOOKUP($A141,Haver_M!$B$1:$BZ$300,MATCH(data!BD$1,Haver_M!$B$1:$BZ$1,0),FALSE),"")</f>
        <v>49.272500000000001</v>
      </c>
      <c r="BE141">
        <f>IF(ISNUMBER(VLOOKUP($A141,Haver_M!$B$1:$BZ$300,MATCH(data!BE$1,Haver_M!$B$1:$BZ$1,0),FALSE)),VLOOKUP($A141,Haver_M!$B$1:$BZ$300,MATCH(data!BE$1,Haver_M!$B$1:$BZ$1,0),FALSE),"")</f>
        <v>1.0813999999999999</v>
      </c>
      <c r="BF141">
        <f>IF(ISNUMBER(VLOOKUP($A141,Haver_M!$B$1:$BZ$300,MATCH(data!BF$1,Haver_M!$B$1:$BZ$1,0),FALSE)),VLOOKUP($A141,Haver_M!$B$1:$BZ$300,MATCH(data!BF$1,Haver_M!$B$1:$BZ$1,0),FALSE),"")</f>
        <v>49.240499999999997</v>
      </c>
      <c r="BG141">
        <f>IF(ISNUMBER(VLOOKUP($A141,Haver_M!$B$1:$BZ$300,MATCH(data!BG$1,Haver_M!$B$1:$BZ$1,0),FALSE)),VLOOKUP($A141,Haver_M!$B$1:$BZ$300,MATCH(data!BG$1,Haver_M!$B$1:$BZ$1,0),FALSE),"")</f>
        <v>57.946599999999997</v>
      </c>
      <c r="BH141">
        <f>IF(ISNUMBER(VLOOKUP($A141,Haver_M!$B$1:$BZ$300,MATCH(data!BH$1,Haver_M!$B$1:$BZ$1,0),FALSE)),VLOOKUP($A141,Haver_M!$B$1:$BZ$300,MATCH(data!BH$1,Haver_M!$B$1:$BZ$1,0),FALSE),"")</f>
        <v>54.869799999999998</v>
      </c>
      <c r="BI141">
        <f>IF(ISNUMBER(VLOOKUP($A141,Haver_M!$B$1:$BZ$300,MATCH(data!BI$1,Haver_M!$B$1:$BZ$1,0),FALSE)),VLOOKUP($A141,Haver_M!$B$1:$BZ$300,MATCH(data!BI$1,Haver_M!$B$1:$BZ$1,0),FALSE),"")</f>
        <v>58.827599999999997</v>
      </c>
      <c r="BJ141" t="str">
        <f>IF(ISNUMBER(VLOOKUP($A141,Haver_M!$B$1:$BZ$300,MATCH(data!BJ$1,Haver_M!$B$1:$BZ$1,0),FALSE)),VLOOKUP($A141,Haver_M!$B$1:$BZ$300,MATCH(data!BJ$1,Haver_M!$B$1:$BZ$1,0),FALSE),"")</f>
        <v/>
      </c>
      <c r="BK141">
        <f>IF(ISNUMBER(VLOOKUP($A141,Haver_M!$B$1:$BZ$300,MATCH(data!BK$1,Haver_M!$B$1:$BZ$1,0),FALSE)),VLOOKUP($A141,Haver_M!$B$1:$BZ$300,MATCH(data!BK$1,Haver_M!$B$1:$BZ$1,0),FALSE),"")</f>
        <v>52.737900000000003</v>
      </c>
      <c r="BL141">
        <f>IF(ISNUMBER(VLOOKUP($A141,Haver_M!$B$1:$BZ$300,MATCH(data!BL$1,Haver_M!$B$1:$BZ$1,0),FALSE)),VLOOKUP($A141,Haver_M!$B$1:$BZ$300,MATCH(data!BL$1,Haver_M!$B$1:$BZ$1,0),FALSE),"")</f>
        <v>16887.53</v>
      </c>
      <c r="BM141">
        <f>IF(ISNUMBER(VLOOKUP($A141,Haver_M!$B$1:$BZ$300,MATCH(data!BM$1,Haver_M!$B$1:$BZ$1,0),FALSE)),VLOOKUP($A141,Haver_M!$B$1:$BZ$300,MATCH(data!BM$1,Haver_M!$B$1:$BZ$1,0),FALSE),"")</f>
        <v>97.131850850000006</v>
      </c>
      <c r="BN141" t="str">
        <f>IF(ISNUMBER(VLOOKUP($A141,Haver_M!$B$1:$BZ$300,MATCH(data!BN$1,Haver_M!$B$1:$BZ$1,0),FALSE)),VLOOKUP($A141,Haver_M!$B$1:$BZ$300,MATCH(data!BN$1,Haver_M!$B$1:$BZ$1,0),FALSE),"")</f>
        <v/>
      </c>
      <c r="BO141" t="str">
        <f>IF(ISNUMBER(VLOOKUP($A141,Haver_M!$B$1:$BZ$300,MATCH(data!BO$1,Haver_M!$B$1:$BZ$1,0),FALSE)),VLOOKUP($A141,Haver_M!$B$1:$BZ$300,MATCH(data!BO$1,Haver_M!$B$1:$BZ$1,0),FALSE),"")</f>
        <v/>
      </c>
      <c r="BP141" t="str">
        <f>IF(ISNUMBER(VLOOKUP($A141,Haver_M!$B$1:$BZ$300,MATCH(data!BP$1,Haver_M!$B$1:$BZ$1,0),FALSE)),VLOOKUP($A141,Haver_M!$B$1:$BZ$300,MATCH(data!BP$1,Haver_M!$B$1:$BZ$1,0),FALSE),"")</f>
        <v/>
      </c>
      <c r="BQ141">
        <f>IF(ISNUMBER(VLOOKUP($A141,Haver_M!$B$1:$BZ$300,MATCH(data!BQ$1,Haver_M!$B$1:$BZ$1,0),FALSE)),VLOOKUP($A141,Haver_M!$B$1:$BZ$300,MATCH(data!BQ$1,Haver_M!$B$1:$BZ$1,0),FALSE),"")</f>
        <v>158.70424152743576</v>
      </c>
      <c r="BR141">
        <f>IF(ISNUMBER(VLOOKUP($A141,Haver_M!$B$1:$BZ$300,MATCH(data!BR$1,Haver_M!$B$1:$BZ$1,0),FALSE)),VLOOKUP($A141,Haver_M!$B$1:$BZ$300,MATCH(data!BR$1,Haver_M!$B$1:$BZ$1,0),FALSE),"")</f>
        <v>373.98169108959002</v>
      </c>
      <c r="BS141">
        <f>IF(ISNUMBER(VLOOKUP($A141,Haver_M!$B$1:$BZ$300,MATCH(data!BS$1,Haver_M!$B$1:$BZ$1,0),FALSE)),VLOOKUP($A141,Haver_M!$B$1:$BZ$300,MATCH(data!BS$1,Haver_M!$B$1:$BZ$1,0),FALSE),"")</f>
        <v>196.77794096535882</v>
      </c>
      <c r="BT141">
        <f>IF(ISNUMBER(VLOOKUP($A141,Haver_M!$B$1:$BZ$300,MATCH(data!BT$1,Haver_M!$B$1:$BZ$1,0),FALSE)),VLOOKUP($A141,Haver_M!$B$1:$BZ$300,MATCH(data!BT$1,Haver_M!$B$1:$BZ$1,0),FALSE),"")</f>
        <v>830.65693430656938</v>
      </c>
      <c r="BU141">
        <f>IF(ISNUMBER(VLOOKUP($A141,Haver_M!$B$1:$BZ$300,MATCH(data!BU$1,Haver_M!$B$1:$BZ$1,0),FALSE)),VLOOKUP($A141,Haver_M!$B$1:$BZ$300,MATCH(data!BU$1,Haver_M!$B$1:$BZ$1,0),FALSE),"")</f>
        <v>24768.35</v>
      </c>
      <c r="BV141">
        <f>IF(ISNUMBER(VLOOKUP($A141,Haver_M!$B$1:$BZ$300,MATCH(data!BV$1,Haver_M!$B$1:$BZ$1,0),FALSE)),VLOOKUP($A141,Haver_M!$B$1:$BZ$300,MATCH(data!BV$1,Haver_M!$B$1:$BZ$1,0),FALSE),"")</f>
        <v>39984.69</v>
      </c>
      <c r="BW141">
        <f>IF(ISNUMBER(VLOOKUP($A141,Haver_M!$B$1:$BZ$300,MATCH(data!BW$1,Haver_M!$B$1:$BZ$1,0),FALSE)),VLOOKUP($A141,Haver_M!$B$1:$BZ$300,MATCH(data!BW$1,Haver_M!$B$1:$BZ$1,0),FALSE),"")</f>
        <v>45.278500000000001</v>
      </c>
      <c r="BX141">
        <f>IF(ISNUMBER(VLOOKUP($A141,Haver_M!$B$1:$BZ$300,MATCH(data!BX$1,Haver_M!$B$1:$BZ$1,0),FALSE)),VLOOKUP($A141,Haver_M!$B$1:$BZ$300,MATCH(data!BX$1,Haver_M!$B$1:$BZ$1,0),FALSE),"")</f>
        <v>56428</v>
      </c>
    </row>
    <row r="142" spans="1:76" x14ac:dyDescent="0.25">
      <c r="A142" s="2">
        <v>40816</v>
      </c>
      <c r="B142">
        <f>IF(ISNUMBER(VLOOKUP($A142,Haver_Q!$B$1:$L$185,MATCH(data!B$1,Haver_Q!$B$1:$L$1,0),FALSE)),100*(VLOOKUP($A142,Haver_Q!$B$1:$L$185,MATCH(data!B$1,Haver_Q!$B$1:$L$1,0),FALSE)),"")</f>
        <v>-1.5899395260491445</v>
      </c>
      <c r="C142">
        <f>IF(ISNUMBER(VLOOKUP($A142,Haver_Q!$B$1:$L$185,MATCH(data!C$1,Haver_Q!$B$1:$L$1,0),FALSE)),100*(VLOOKUP($A142,Haver_Q!$B$1:$L$185,MATCH(data!C$1,Haver_Q!$B$1:$L$1,0),FALSE)),"")</f>
        <v>0.18064158042883083</v>
      </c>
      <c r="D142">
        <f>IF(ISNUMBER(VLOOKUP($A142,Haver_Q!$B$1:$L$185,MATCH(data!D$1,Haver_Q!$B$1:$L$1,0),FALSE)),100*(VLOOKUP($A142,Haver_Q!$B$1:$L$185,MATCH(data!D$1,Haver_Q!$B$1:$L$1,0),FALSE)),"")</f>
        <v>15.746396377758852</v>
      </c>
      <c r="E142">
        <f>IF(ISNUMBER(VLOOKUP($A142,Haver_Q!$B$1:$L$185,MATCH(data!E$1,Haver_Q!$B$1:$L$1,0),FALSE)),100*(VLOOKUP($A142,Haver_Q!$B$1:$L$185,MATCH(data!E$1,Haver_Q!$B$1:$L$1,0),FALSE)),"")</f>
        <v>2.5511619123604667</v>
      </c>
      <c r="F142">
        <f>IF(ISNUMBER(VLOOKUP($A142,Haver_Q!$B$1:$L$185,MATCH(data!F$1,Haver_Q!$B$1:$L$1,0),FALSE)),100*(VLOOKUP($A142,Haver_Q!$B$1:$L$185,MATCH(data!F$1,Haver_Q!$B$1:$L$1,0),FALSE)),"")</f>
        <v>-0.85570998816784094</v>
      </c>
      <c r="G142">
        <f>IF(ISNUMBER(VLOOKUP($A142,Haver_Q!$B$1:$L$185,MATCH(data!G$1,Haver_Q!$B$1:$L$1,0),FALSE)),100*(VLOOKUP($A142,Haver_Q!$B$1:$L$185,MATCH(data!G$1,Haver_Q!$B$1:$L$1,0),FALSE)),"")</f>
        <v>-9.743244135336548</v>
      </c>
      <c r="H142">
        <f>IF(ISNUMBER(VLOOKUP($A142,Haver_Q!$B$1:$L$185,MATCH(data!H$1,Haver_Q!$B$1:$L$1,0),FALSE)),(VLOOKUP($A142,Haver_Q!$B$1:$L$185,MATCH(data!H$1,Haver_Q!$B$1:$L$1,0),FALSE)),"")</f>
        <v>3.2996466764784707</v>
      </c>
      <c r="I142">
        <f>IF(ISNUMBER(VLOOKUP($A142,Haver_Q!$B$1:$L$185,MATCH(data!I$1,Haver_Q!$B$1:$L$1,0),FALSE)),100*(VLOOKUP($A142,Haver_Q!$B$1:$L$185,MATCH(data!I$1,Haver_Q!$B$1:$L$1,0),FALSE)),"")</f>
        <v>6.6770617711503499</v>
      </c>
      <c r="J142" s="3">
        <f>IF(ISNUMBER(Bloomberg_m!C158),Bloomberg_m!C158,"")</f>
        <v>1840</v>
      </c>
      <c r="K142" s="3">
        <f>IF(ISNUMBER(Bloomberg_m!D158),Bloomberg_m!D158,"")</f>
        <v>1653.65</v>
      </c>
      <c r="L142" s="3">
        <f>IF(ISNUMBER(Bloomberg_m!E158),Bloomberg_m!E158,"")</f>
        <v>1016.76</v>
      </c>
      <c r="M142" s="3">
        <f>IF(ISNUMBER(Bloomberg_m!F158),Bloomberg_m!F158,"")</f>
        <v>440.16</v>
      </c>
      <c r="N142">
        <f>IF(ISNUMBER(VLOOKUP($A142,Haver_M!$B$1:$BZ$300,MATCH(data!N$1,Haver_M!$B$1:$BZ$1,0),FALSE)),VLOOKUP($A142,Haver_M!$B$1:$BZ$300,MATCH(data!N$1,Haver_M!$B$1:$BZ$1,0),FALSE),"")</f>
        <v>8.25</v>
      </c>
      <c r="O142">
        <f>IF(ISNUMBER(VLOOKUP($A142,Haver_M!$B$1:$BZ$300,MATCH(data!O$1,Haver_M!$B$1:$BZ$1,0),FALSE)),VLOOKUP($A142,Haver_M!$B$1:$BZ$300,MATCH(data!O$1,Haver_M!$B$1:$BZ$1,0),FALSE),"")</f>
        <v>8.3975000000000009</v>
      </c>
      <c r="P142">
        <f>IF(ISNUMBER(VLOOKUP($A142,Haver_M!$B$1:$BZ$300,MATCH(data!P$1,Haver_M!$B$1:$BZ$1,0),FALSE)),VLOOKUP($A142,Haver_M!$B$1:$BZ$300,MATCH(data!P$1,Haver_M!$B$1:$BZ$1,0),FALSE),"")</f>
        <v>95.676450000000003</v>
      </c>
      <c r="Q142">
        <f>IF(ISNUMBER(VLOOKUP($A142,Haver_M!$B$1:$BZ$300,MATCH(data!Q$1,Haver_M!$B$1:$BZ$1,0),FALSE)),VLOOKUP($A142,Haver_M!$B$1:$BZ$300,MATCH(data!Q$1,Haver_M!$B$1:$BZ$1,0),FALSE),"")</f>
        <v>93.8</v>
      </c>
      <c r="R142">
        <f>IF(ISNUMBER(VLOOKUP($A142,Haver_M!$B$1:$BZ$300,MATCH(data!R$1,Haver_M!$B$1:$BZ$1,0),FALSE)),VLOOKUP($A142,Haver_M!$B$1:$BZ$300,MATCH(data!R$1,Haver_M!$B$1:$BZ$1,0),FALSE),"")</f>
        <v>93.5</v>
      </c>
      <c r="S142">
        <f>IF(ISNUMBER(VLOOKUP($A142,Haver_M!$B$1:$BZ$300,MATCH(data!S$1,Haver_M!$B$1:$BZ$1,0),FALSE)),VLOOKUP($A142,Haver_M!$B$1:$BZ$300,MATCH(data!S$1,Haver_M!$B$1:$BZ$1,0),FALSE),"")</f>
        <v>101.59</v>
      </c>
      <c r="T142">
        <f>IF(ISNUMBER(VLOOKUP($A142,Haver_M!$B$1:$BZ$300,MATCH(data!T$1,Haver_M!$B$1:$BZ$1,0),FALSE)),VLOOKUP($A142,Haver_M!$B$1:$BZ$300,MATCH(data!T$1,Haver_M!$B$1:$BZ$1,0),FALSE),"")</f>
        <v>98.51</v>
      </c>
      <c r="U142">
        <f>IF(ISNUMBER(VLOOKUP($A142,Haver_M!$B$1:$BZ$300,MATCH(data!U$1,Haver_M!$B$1:$BZ$1,0),FALSE)),VLOOKUP($A142,Haver_M!$B$1:$BZ$300,MATCH(data!U$1,Haver_M!$B$1:$BZ$1,0),FALSE),"")</f>
        <v>112.86</v>
      </c>
      <c r="V142">
        <f>IF(ISNUMBER(VLOOKUP($A142,Haver_M!$B$1:$BZ$300,MATCH(data!V$1,Haver_M!$B$1:$BZ$1,0),FALSE)),VLOOKUP($A142,Haver_M!$B$1:$BZ$300,MATCH(data!V$1,Haver_M!$B$1:$BZ$1,0),FALSE),"")</f>
        <v>103.26</v>
      </c>
      <c r="W142" t="str">
        <f>IF(ISNUMBER(VLOOKUP($A142,Haver_M!$B$1:$BZ$300,MATCH(data!W$1,Haver_M!$B$1:$BZ$1,0),FALSE)),VLOOKUP($A142,Haver_M!$B$1:$BZ$300,MATCH(data!W$1,Haver_M!$B$1:$BZ$1,0),FALSE),"")</f>
        <v/>
      </c>
      <c r="X142">
        <f>IF(ISNUMBER(VLOOKUP($A142,Haver_M!$B$1:$BZ$300,MATCH(data!X$1,Haver_M!$B$1:$BZ$1,0),FALSE)),VLOOKUP($A142,Haver_M!$B$1:$BZ$300,MATCH(data!X$1,Haver_M!$B$1:$BZ$1,0),FALSE),"")</f>
        <v>100.14</v>
      </c>
      <c r="Y142">
        <f>IF(ISNUMBER(VLOOKUP($A142,Haver_M!$B$1:$BZ$300,MATCH(data!Y$1,Haver_M!$B$1:$BZ$1,0),FALSE)),VLOOKUP($A142,Haver_M!$B$1:$BZ$300,MATCH(data!Y$1,Haver_M!$B$1:$BZ$1,0),FALSE),"")</f>
        <v>94.6</v>
      </c>
      <c r="Z142">
        <f>IF(ISNUMBER(VLOOKUP($A142,Haver_M!$B$1:$BZ$300,MATCH(data!Z$1,Haver_M!$B$1:$BZ$1,0),FALSE)),VLOOKUP($A142,Haver_M!$B$1:$BZ$300,MATCH(data!Z$1,Haver_M!$B$1:$BZ$1,0),FALSE),"")</f>
        <v>97</v>
      </c>
      <c r="AA142">
        <f>IF(ISNUMBER(VLOOKUP($A142,Haver_M!$B$1:$BZ$300,MATCH(data!AA$1,Haver_M!$B$1:$BZ$1,0),FALSE)),VLOOKUP($A142,Haver_M!$B$1:$BZ$300,MATCH(data!AA$1,Haver_M!$B$1:$BZ$1,0),FALSE),"")</f>
        <v>83.27</v>
      </c>
      <c r="AB142">
        <f>IF(ISNUMBER(VLOOKUP($A142,Haver_M!$B$1:$BZ$300,MATCH(data!AB$1,Haver_M!$B$1:$BZ$1,0),FALSE)),VLOOKUP($A142,Haver_M!$B$1:$BZ$300,MATCH(data!AB$1,Haver_M!$B$1:$BZ$1,0),FALSE),"")</f>
        <v>99.924000000000007</v>
      </c>
      <c r="AC142">
        <f>IF(ISNUMBER(VLOOKUP($A142,Haver_M!$B$1:$BZ$300,MATCH(data!AC$1,Haver_M!$B$1:$BZ$1,0),FALSE)),VLOOKUP($A142,Haver_M!$B$1:$BZ$300,MATCH(data!AC$1,Haver_M!$B$1:$BZ$1,0),FALSE),"")</f>
        <v>101.286</v>
      </c>
      <c r="AD142">
        <f>IF(ISNUMBER(VLOOKUP($A142,Haver_M!$B$1:$BZ$300,MATCH(data!AD$1,Haver_M!$B$1:$BZ$1,0),FALSE)),VLOOKUP($A142,Haver_M!$B$1:$BZ$300,MATCH(data!AD$1,Haver_M!$B$1:$BZ$1,0),FALSE),"")</f>
        <v>96.706000000000003</v>
      </c>
      <c r="AE142">
        <f>IF(ISNUMBER(VLOOKUP($A142,Haver_M!$B$1:$BZ$300,MATCH(data!AE$1,Haver_M!$B$1:$BZ$1,0),FALSE)),VLOOKUP($A142,Haver_M!$B$1:$BZ$300,MATCH(data!AE$1,Haver_M!$B$1:$BZ$1,0),FALSE),"")</f>
        <v>96.415999999999997</v>
      </c>
      <c r="AF142">
        <f>IF(ISNUMBER(VLOOKUP($A142,Haver_M!$B$1:$BZ$300,MATCH(data!AF$1,Haver_M!$B$1:$BZ$1,0),FALSE)),VLOOKUP($A142,Haver_M!$B$1:$BZ$300,MATCH(data!AF$1,Haver_M!$B$1:$BZ$1,0),FALSE),"")</f>
        <v>102.101</v>
      </c>
      <c r="AG142">
        <f>IF(ISNUMBER(VLOOKUP($A142,Haver_M!$B$1:$BZ$300,MATCH(data!AG$1,Haver_M!$B$1:$BZ$1,0),FALSE)),VLOOKUP($A142,Haver_M!$B$1:$BZ$300,MATCH(data!AG$1,Haver_M!$B$1:$BZ$1,0),FALSE),"")</f>
        <v>95.429000000000002</v>
      </c>
      <c r="AH142">
        <f>IF(ISNUMBER(VLOOKUP($A142,Haver_M!$B$1:$BZ$300,MATCH(data!AH$1,Haver_M!$B$1:$BZ$1,0),FALSE)),VLOOKUP($A142,Haver_M!$B$1:$BZ$300,MATCH(data!AH$1,Haver_M!$B$1:$BZ$1,0),FALSE),"")</f>
        <v>99.001999999999995</v>
      </c>
      <c r="AI142">
        <f>IF(ISNUMBER(VLOOKUP($A142,Haver_M!$B$1:$BZ$300,MATCH(data!AI$1,Haver_M!$B$1:$BZ$1,0),FALSE)),VLOOKUP($A142,Haver_M!$B$1:$BZ$300,MATCH(data!AI$1,Haver_M!$B$1:$BZ$1,0),FALSE),"")</f>
        <v>12359.678752714421</v>
      </c>
      <c r="AJ142">
        <f>IF(ISNUMBER(VLOOKUP($A142,Haver_M!$B$1:$BZ$300,MATCH(data!AJ$1,Haver_M!$B$1:$BZ$1,0),FALSE)),VLOOKUP($A142,Haver_M!$B$1:$BZ$300,MATCH(data!AJ$1,Haver_M!$B$1:$BZ$1,0),FALSE),"")</f>
        <v>26284.65</v>
      </c>
      <c r="AK142">
        <f>IF(ISNUMBER(VLOOKUP($A142,Haver_M!$B$1:$BZ$300,MATCH(data!AK$1,Haver_M!$B$1:$BZ$1,0),FALSE)),VLOOKUP($A142,Haver_M!$B$1:$BZ$300,MATCH(data!AK$1,Haver_M!$B$1:$BZ$1,0),FALSE),"")</f>
        <v>39603.919999999998</v>
      </c>
      <c r="AL142">
        <f>IF(ISNUMBER(VLOOKUP($A142,Haver_M!$B$1:$BZ$300,MATCH(data!AL$1,Haver_M!$B$1:$BZ$1,0),FALSE)),VLOOKUP($A142,Haver_M!$B$1:$BZ$300,MATCH(data!AL$1,Haver_M!$B$1:$BZ$1,0),FALSE),"")</f>
        <v>11228</v>
      </c>
      <c r="AM142">
        <f>IF(ISNUMBER(VLOOKUP($A142,Haver_M!$B$1:$BZ$300,MATCH(data!AM$1,Haver_M!$B$1:$BZ$1,0),FALSE)),VLOOKUP($A142,Haver_M!$B$1:$BZ$300,MATCH(data!AM$1,Haver_M!$B$1:$BZ$1,0),FALSE),"")</f>
        <v>6799</v>
      </c>
      <c r="AN142">
        <f>IF(ISNUMBER(VLOOKUP($A142,Haver_M!$B$1:$BZ$300,MATCH(data!AN$1,Haver_M!$B$1:$BZ$1,0),FALSE)),VLOOKUP($A142,Haver_M!$B$1:$BZ$300,MATCH(data!AN$1,Haver_M!$B$1:$BZ$1,0),FALSE),"")</f>
        <v>115</v>
      </c>
      <c r="AO142">
        <f>IF(ISNUMBER(VLOOKUP($A142,Haver_M!$B$1:$BZ$300,MATCH(data!AO$1,Haver_M!$B$1:$BZ$1,0),FALSE)),VLOOKUP($A142,Haver_M!$B$1:$BZ$300,MATCH(data!AO$1,Haver_M!$B$1:$BZ$1,0),FALSE),"")</f>
        <v>118.7</v>
      </c>
      <c r="AP142">
        <f>IF(ISNUMBER(VLOOKUP($A142,Haver_M!$B$1:$BZ$300,MATCH(data!AP$1,Haver_M!$B$1:$BZ$1,0),FALSE)),VLOOKUP($A142,Haver_M!$B$1:$BZ$300,MATCH(data!AP$1,Haver_M!$B$1:$BZ$1,0),FALSE),"")</f>
        <v>185.06181650582545</v>
      </c>
      <c r="AQ142">
        <f>IF(ISNUMBER(VLOOKUP($A142,Haver_M!$B$1:$BZ$300,MATCH(data!AQ$1,Haver_M!$B$1:$BZ$1,0),FALSE)),VLOOKUP($A142,Haver_M!$B$1:$BZ$300,MATCH(data!AQ$1,Haver_M!$B$1:$BZ$1,0),FALSE),"")</f>
        <v>50.2072</v>
      </c>
      <c r="AR142">
        <f>IF(ISNUMBER(VLOOKUP($A142,Haver_M!$B$1:$BZ$300,MATCH(data!AR$1,Haver_M!$B$1:$BZ$1,0),FALSE)),VLOOKUP($A142,Haver_M!$B$1:$BZ$300,MATCH(data!AR$1,Haver_M!$B$1:$BZ$1,0),FALSE),"")</f>
        <v>50.4146</v>
      </c>
      <c r="AS142">
        <f>IF(ISNUMBER(VLOOKUP($A142,Haver_M!$B$1:$BZ$300,MATCH(data!AS$1,Haver_M!$B$1:$BZ$1,0),FALSE)),VLOOKUP($A142,Haver_M!$B$1:$BZ$300,MATCH(data!AS$1,Haver_M!$B$1:$BZ$1,0),FALSE),"")</f>
        <v>49.7684</v>
      </c>
      <c r="AT142">
        <f>IF(ISNUMBER(VLOOKUP($A142,Haver_M!$B$1:$BZ$300,MATCH(data!AT$1,Haver_M!$B$1:$BZ$1,0),FALSE)),VLOOKUP($A142,Haver_M!$B$1:$BZ$300,MATCH(data!AT$1,Haver_M!$B$1:$BZ$1,0),FALSE),"")</f>
        <v>51.118000000000002</v>
      </c>
      <c r="AU142">
        <f>IF(ISNUMBER(VLOOKUP($A142,Haver_M!$B$1:$BZ$300,MATCH(data!AU$1,Haver_M!$B$1:$BZ$1,0),FALSE)),VLOOKUP($A142,Haver_M!$B$1:$BZ$300,MATCH(data!AU$1,Haver_M!$B$1:$BZ$1,0),FALSE),"")</f>
        <v>51.253</v>
      </c>
      <c r="AV142">
        <f>IF(ISNUMBER(VLOOKUP($A142,Haver_M!$B$1:$BZ$300,MATCH(data!AV$1,Haver_M!$B$1:$BZ$1,0),FALSE)),VLOOKUP($A142,Haver_M!$B$1:$BZ$300,MATCH(data!AV$1,Haver_M!$B$1:$BZ$1,0),FALSE),"")</f>
        <v>47.939</v>
      </c>
      <c r="AW142">
        <f>IF(ISNUMBER(VLOOKUP($A142,Haver_M!$B$1:$BZ$300,MATCH(data!AW$1,Haver_M!$B$1:$BZ$1,0),FALSE)),VLOOKUP($A142,Haver_M!$B$1:$BZ$300,MATCH(data!AW$1,Haver_M!$B$1:$BZ$1,0),FALSE),"")</f>
        <v>49.781799999999997</v>
      </c>
      <c r="AX142">
        <f>IF(ISNUMBER(VLOOKUP($A142,Haver_M!$B$1:$BZ$300,MATCH(data!AX$1,Haver_M!$B$1:$BZ$1,0),FALSE)),VLOOKUP($A142,Haver_M!$B$1:$BZ$300,MATCH(data!AX$1,Haver_M!$B$1:$BZ$1,0),FALSE),"")</f>
        <v>51.386699999999998</v>
      </c>
      <c r="AY142">
        <f>IF(ISNUMBER(VLOOKUP($A142,Haver_M!$B$1:$BZ$300,MATCH(data!AY$1,Haver_M!$B$1:$BZ$1,0),FALSE)),VLOOKUP($A142,Haver_M!$B$1:$BZ$300,MATCH(data!AY$1,Haver_M!$B$1:$BZ$1,0),FALSE),"")</f>
        <v>62.1053</v>
      </c>
      <c r="AZ142">
        <f>IF(ISNUMBER(VLOOKUP($A142,Haver_M!$B$1:$BZ$300,MATCH(data!AZ$1,Haver_M!$B$1:$BZ$1,0),FALSE)),VLOOKUP($A142,Haver_M!$B$1:$BZ$300,MATCH(data!AZ$1,Haver_M!$B$1:$BZ$1,0),FALSE),"")</f>
        <v>50.811300000000003</v>
      </c>
      <c r="BA142">
        <f>IF(ISNUMBER(VLOOKUP($A142,Haver_M!$B$1:$BZ$300,MATCH(data!BA$1,Haver_M!$B$1:$BZ$1,0),FALSE)),VLOOKUP($A142,Haver_M!$B$1:$BZ$300,MATCH(data!BA$1,Haver_M!$B$1:$BZ$1,0),FALSE),"")</f>
        <v>51.386699999999998</v>
      </c>
      <c r="BB142">
        <f>IF(ISNUMBER(VLOOKUP($A142,Haver_M!$B$1:$BZ$300,MATCH(data!BB$1,Haver_M!$B$1:$BZ$1,0),FALSE)),VLOOKUP($A142,Haver_M!$B$1:$BZ$300,MATCH(data!BB$1,Haver_M!$B$1:$BZ$1,0),FALSE),"")</f>
        <v>46.375599999999999</v>
      </c>
      <c r="BC142">
        <f>IF(ISNUMBER(VLOOKUP($A142,Haver_M!$B$1:$BZ$300,MATCH(data!BC$1,Haver_M!$B$1:$BZ$1,0),FALSE)),VLOOKUP($A142,Haver_M!$B$1:$BZ$300,MATCH(data!BC$1,Haver_M!$B$1:$BZ$1,0),FALSE),"")</f>
        <v>55.466000000000001</v>
      </c>
      <c r="BD142">
        <f>IF(ISNUMBER(VLOOKUP($A142,Haver_M!$B$1:$BZ$300,MATCH(data!BD$1,Haver_M!$B$1:$BZ$1,0),FALSE)),VLOOKUP($A142,Haver_M!$B$1:$BZ$300,MATCH(data!BD$1,Haver_M!$B$1:$BZ$1,0),FALSE),"")</f>
        <v>48.961399999999998</v>
      </c>
      <c r="BE142">
        <f>IF(ISNUMBER(VLOOKUP($A142,Haver_M!$B$1:$BZ$300,MATCH(data!BE$1,Haver_M!$B$1:$BZ$1,0),FALSE)),VLOOKUP($A142,Haver_M!$B$1:$BZ$300,MATCH(data!BE$1,Haver_M!$B$1:$BZ$1,0),FALSE),"")</f>
        <v>1.0237000000000001</v>
      </c>
      <c r="BF142">
        <f>IF(ISNUMBER(VLOOKUP($A142,Haver_M!$B$1:$BZ$300,MATCH(data!BF$1,Haver_M!$B$1:$BZ$1,0),FALSE)),VLOOKUP($A142,Haver_M!$B$1:$BZ$300,MATCH(data!BF$1,Haver_M!$B$1:$BZ$1,0),FALSE),"")</f>
        <v>49.320999999999998</v>
      </c>
      <c r="BG142">
        <f>IF(ISNUMBER(VLOOKUP($A142,Haver_M!$B$1:$BZ$300,MATCH(data!BG$1,Haver_M!$B$1:$BZ$1,0),FALSE)),VLOOKUP($A142,Haver_M!$B$1:$BZ$300,MATCH(data!BG$1,Haver_M!$B$1:$BZ$1,0),FALSE),"")</f>
        <v>57.5428</v>
      </c>
      <c r="BH142">
        <f>IF(ISNUMBER(VLOOKUP($A142,Haver_M!$B$1:$BZ$300,MATCH(data!BH$1,Haver_M!$B$1:$BZ$1,0),FALSE)),VLOOKUP($A142,Haver_M!$B$1:$BZ$300,MATCH(data!BH$1,Haver_M!$B$1:$BZ$1,0),FALSE),"")</f>
        <v>51.595300000000002</v>
      </c>
      <c r="BI142">
        <f>IF(ISNUMBER(VLOOKUP($A142,Haver_M!$B$1:$BZ$300,MATCH(data!BI$1,Haver_M!$B$1:$BZ$1,0),FALSE)),VLOOKUP($A142,Haver_M!$B$1:$BZ$300,MATCH(data!BI$1,Haver_M!$B$1:$BZ$1,0),FALSE),"")</f>
        <v>56.340200000000003</v>
      </c>
      <c r="BJ142" t="str">
        <f>IF(ISNUMBER(VLOOKUP($A142,Haver_M!$B$1:$BZ$300,MATCH(data!BJ$1,Haver_M!$B$1:$BZ$1,0),FALSE)),VLOOKUP($A142,Haver_M!$B$1:$BZ$300,MATCH(data!BJ$1,Haver_M!$B$1:$BZ$1,0),FALSE),"")</f>
        <v/>
      </c>
      <c r="BK142">
        <f>IF(ISNUMBER(VLOOKUP($A142,Haver_M!$B$1:$BZ$300,MATCH(data!BK$1,Haver_M!$B$1:$BZ$1,0),FALSE)),VLOOKUP($A142,Haver_M!$B$1:$BZ$300,MATCH(data!BK$1,Haver_M!$B$1:$BZ$1,0),FALSE),"")</f>
        <v>50.8718</v>
      </c>
      <c r="BL142">
        <f>IF(ISNUMBER(VLOOKUP($A142,Haver_M!$B$1:$BZ$300,MATCH(data!BL$1,Haver_M!$B$1:$BZ$1,0),FALSE)),VLOOKUP($A142,Haver_M!$B$1:$BZ$300,MATCH(data!BL$1,Haver_M!$B$1:$BZ$1,0),FALSE),"")</f>
        <v>16694.77</v>
      </c>
      <c r="BM142">
        <f>IF(ISNUMBER(VLOOKUP($A142,Haver_M!$B$1:$BZ$300,MATCH(data!BM$1,Haver_M!$B$1:$BZ$1,0),FALSE)),VLOOKUP($A142,Haver_M!$B$1:$BZ$300,MATCH(data!BM$1,Haver_M!$B$1:$BZ$1,0),FALSE),"")</f>
        <v>96.033817499999998</v>
      </c>
      <c r="BN142">
        <f>IF(ISNUMBER(VLOOKUP($A142,Haver_M!$B$1:$BZ$300,MATCH(data!BN$1,Haver_M!$B$1:$BZ$1,0),FALSE)),VLOOKUP($A142,Haver_M!$B$1:$BZ$300,MATCH(data!BN$1,Haver_M!$B$1:$BZ$1,0),FALSE),"")</f>
        <v>109.4</v>
      </c>
      <c r="BO142">
        <f>IF(ISNUMBER(VLOOKUP($A142,Haver_M!$B$1:$BZ$300,MATCH(data!BO$1,Haver_M!$B$1:$BZ$1,0),FALSE)),VLOOKUP($A142,Haver_M!$B$1:$BZ$300,MATCH(data!BO$1,Haver_M!$B$1:$BZ$1,0),FALSE),"")</f>
        <v>121.5</v>
      </c>
      <c r="BP142">
        <f>IF(ISNUMBER(VLOOKUP($A142,Haver_M!$B$1:$BZ$300,MATCH(data!BP$1,Haver_M!$B$1:$BZ$1,0),FALSE)),VLOOKUP($A142,Haver_M!$B$1:$BZ$300,MATCH(data!BP$1,Haver_M!$B$1:$BZ$1,0),FALSE),"")</f>
        <v>39.799999999999997</v>
      </c>
      <c r="BQ142">
        <f>IF(ISNUMBER(VLOOKUP($A142,Haver_M!$B$1:$BZ$300,MATCH(data!BQ$1,Haver_M!$B$1:$BZ$1,0),FALSE)),VLOOKUP($A142,Haver_M!$B$1:$BZ$300,MATCH(data!BQ$1,Haver_M!$B$1:$BZ$1,0),FALSE),"")</f>
        <v>152.05067383181495</v>
      </c>
      <c r="BR142">
        <f>IF(ISNUMBER(VLOOKUP($A142,Haver_M!$B$1:$BZ$300,MATCH(data!BR$1,Haver_M!$B$1:$BZ$1,0),FALSE)),VLOOKUP($A142,Haver_M!$B$1:$BZ$300,MATCH(data!BR$1,Haver_M!$B$1:$BZ$1,0),FALSE),"")</f>
        <v>361.82543347747594</v>
      </c>
      <c r="BS142">
        <f>IF(ISNUMBER(VLOOKUP($A142,Haver_M!$B$1:$BZ$300,MATCH(data!BS$1,Haver_M!$B$1:$BZ$1,0),FALSE)),VLOOKUP($A142,Haver_M!$B$1:$BZ$300,MATCH(data!BS$1,Haver_M!$B$1:$BZ$1,0),FALSE),"")</f>
        <v>188.56018304714723</v>
      </c>
      <c r="BT142">
        <f>IF(ISNUMBER(VLOOKUP($A142,Haver_M!$B$1:$BZ$300,MATCH(data!BT$1,Haver_M!$B$1:$BZ$1,0),FALSE)),VLOOKUP($A142,Haver_M!$B$1:$BZ$300,MATCH(data!BT$1,Haver_M!$B$1:$BZ$1,0),FALSE),"")</f>
        <v>797.03031193584957</v>
      </c>
      <c r="BU142">
        <f>IF(ISNUMBER(VLOOKUP($A142,Haver_M!$B$1:$BZ$300,MATCH(data!BU$1,Haver_M!$B$1:$BZ$1,0),FALSE)),VLOOKUP($A142,Haver_M!$B$1:$BZ$300,MATCH(data!BU$1,Haver_M!$B$1:$BZ$1,0),FALSE),"")</f>
        <v>26561.200000000001</v>
      </c>
      <c r="BV142">
        <f>IF(ISNUMBER(VLOOKUP($A142,Haver_M!$B$1:$BZ$300,MATCH(data!BV$1,Haver_M!$B$1:$BZ$1,0),FALSE)),VLOOKUP($A142,Haver_M!$B$1:$BZ$300,MATCH(data!BV$1,Haver_M!$B$1:$BZ$1,0),FALSE),"")</f>
        <v>39756.07</v>
      </c>
      <c r="BW142">
        <f>IF(ISNUMBER(VLOOKUP($A142,Haver_M!$B$1:$BZ$300,MATCH(data!BW$1,Haver_M!$B$1:$BZ$1,0),FALSE)),VLOOKUP($A142,Haver_M!$B$1:$BZ$300,MATCH(data!BW$1,Haver_M!$B$1:$BZ$1,0),FALSE),"")</f>
        <v>47.637999999999998</v>
      </c>
      <c r="BX142">
        <f>IF(ISNUMBER(VLOOKUP($A142,Haver_M!$B$1:$BZ$300,MATCH(data!BX$1,Haver_M!$B$1:$BZ$1,0),FALSE)),VLOOKUP($A142,Haver_M!$B$1:$BZ$300,MATCH(data!BX$1,Haver_M!$B$1:$BZ$1,0),FALSE),"")</f>
        <v>51874</v>
      </c>
    </row>
    <row r="143" spans="1:76" x14ac:dyDescent="0.25">
      <c r="A143" s="2">
        <v>40847</v>
      </c>
      <c r="B143" t="str">
        <f>IF(ISNUMBER(VLOOKUP($A143,Haver_Q!$B$1:$L$185,MATCH(data!B$1,Haver_Q!$B$1:$L$1,0),FALSE)),100*(VLOOKUP($A143,Haver_Q!$B$1:$L$185,MATCH(data!B$1,Haver_Q!$B$1:$L$1,0),FALSE)),"")</f>
        <v/>
      </c>
      <c r="C143" t="str">
        <f>IF(ISNUMBER(VLOOKUP($A143,Haver_Q!$B$1:$L$185,MATCH(data!C$1,Haver_Q!$B$1:$L$1,0),FALSE)),100*(VLOOKUP($A143,Haver_Q!$B$1:$L$185,MATCH(data!C$1,Haver_Q!$B$1:$L$1,0),FALSE)),"")</f>
        <v/>
      </c>
      <c r="D143" t="str">
        <f>IF(ISNUMBER(VLOOKUP($A143,Haver_Q!$B$1:$L$185,MATCH(data!D$1,Haver_Q!$B$1:$L$1,0),FALSE)),100*(VLOOKUP($A143,Haver_Q!$B$1:$L$185,MATCH(data!D$1,Haver_Q!$B$1:$L$1,0),FALSE)),"")</f>
        <v/>
      </c>
      <c r="E143" t="str">
        <f>IF(ISNUMBER(VLOOKUP($A143,Haver_Q!$B$1:$L$185,MATCH(data!E$1,Haver_Q!$B$1:$L$1,0),FALSE)),100*(VLOOKUP($A143,Haver_Q!$B$1:$L$185,MATCH(data!E$1,Haver_Q!$B$1:$L$1,0),FALSE)),"")</f>
        <v/>
      </c>
      <c r="F143" t="str">
        <f>IF(ISNUMBER(VLOOKUP($A143,Haver_Q!$B$1:$L$185,MATCH(data!F$1,Haver_Q!$B$1:$L$1,0),FALSE)),100*(VLOOKUP($A143,Haver_Q!$B$1:$L$185,MATCH(data!F$1,Haver_Q!$B$1:$L$1,0),FALSE)),"")</f>
        <v/>
      </c>
      <c r="G143" t="str">
        <f>IF(ISNUMBER(VLOOKUP($A143,Haver_Q!$B$1:$L$185,MATCH(data!G$1,Haver_Q!$B$1:$L$1,0),FALSE)),100*(VLOOKUP($A143,Haver_Q!$B$1:$L$185,MATCH(data!G$1,Haver_Q!$B$1:$L$1,0),FALSE)),"")</f>
        <v/>
      </c>
      <c r="H143" t="str">
        <f>IF(ISNUMBER(VLOOKUP($A143,Haver_Q!$B$1:$L$185,MATCH(data!H$1,Haver_Q!$B$1:$L$1,0),FALSE)),(VLOOKUP($A143,Haver_Q!$B$1:$L$185,MATCH(data!H$1,Haver_Q!$B$1:$L$1,0),FALSE)),"")</f>
        <v/>
      </c>
      <c r="I143" t="str">
        <f>IF(ISNUMBER(VLOOKUP($A143,Haver_Q!$B$1:$L$185,MATCH(data!I$1,Haver_Q!$B$1:$L$1,0),FALSE)),100*(VLOOKUP($A143,Haver_Q!$B$1:$L$185,MATCH(data!I$1,Haver_Q!$B$1:$L$1,0),FALSE)),"")</f>
        <v/>
      </c>
      <c r="J143" s="3">
        <f>IF(ISNUMBER(Bloomberg_m!C159),Bloomberg_m!C159,"")</f>
        <v>2072</v>
      </c>
      <c r="K143" s="3">
        <f>IF(ISNUMBER(Bloomberg_m!D159),Bloomberg_m!D159,"")</f>
        <v>1487.56</v>
      </c>
      <c r="L143" s="3">
        <f>IF(ISNUMBER(Bloomberg_m!E159),Bloomberg_m!E159,"")</f>
        <v>939.77</v>
      </c>
      <c r="M143" s="3">
        <f>IF(ISNUMBER(Bloomberg_m!F159),Bloomberg_m!F159,"")</f>
        <v>429.75</v>
      </c>
      <c r="N143">
        <f>IF(ISNUMBER(VLOOKUP($A143,Haver_M!$B$1:$BZ$300,MATCH(data!N$1,Haver_M!$B$1:$BZ$1,0),FALSE)),VLOOKUP($A143,Haver_M!$B$1:$BZ$300,MATCH(data!N$1,Haver_M!$B$1:$BZ$1,0),FALSE),"")</f>
        <v>8.5</v>
      </c>
      <c r="O143">
        <f>IF(ISNUMBER(VLOOKUP($A143,Haver_M!$B$1:$BZ$300,MATCH(data!O$1,Haver_M!$B$1:$BZ$1,0),FALSE)),VLOOKUP($A143,Haver_M!$B$1:$BZ$300,MATCH(data!O$1,Haver_M!$B$1:$BZ$1,0),FALSE),"")</f>
        <v>8.8849</v>
      </c>
      <c r="P143">
        <f>IF(ISNUMBER(VLOOKUP($A143,Haver_M!$B$1:$BZ$300,MATCH(data!P$1,Haver_M!$B$1:$BZ$1,0),FALSE)),VLOOKUP($A143,Haver_M!$B$1:$BZ$300,MATCH(data!P$1,Haver_M!$B$1:$BZ$1,0),FALSE),"")</f>
        <v>94.058499999999995</v>
      </c>
      <c r="Q143">
        <f>IF(ISNUMBER(VLOOKUP($A143,Haver_M!$B$1:$BZ$300,MATCH(data!Q$1,Haver_M!$B$1:$BZ$1,0),FALSE)),VLOOKUP($A143,Haver_M!$B$1:$BZ$300,MATCH(data!Q$1,Haver_M!$B$1:$BZ$1,0),FALSE),"")</f>
        <v>94.8</v>
      </c>
      <c r="R143">
        <f>IF(ISNUMBER(VLOOKUP($A143,Haver_M!$B$1:$BZ$300,MATCH(data!R$1,Haver_M!$B$1:$BZ$1,0),FALSE)),VLOOKUP($A143,Haver_M!$B$1:$BZ$300,MATCH(data!R$1,Haver_M!$B$1:$BZ$1,0),FALSE),"")</f>
        <v>94.3</v>
      </c>
      <c r="S143">
        <f>IF(ISNUMBER(VLOOKUP($A143,Haver_M!$B$1:$BZ$300,MATCH(data!S$1,Haver_M!$B$1:$BZ$1,0),FALSE)),VLOOKUP($A143,Haver_M!$B$1:$BZ$300,MATCH(data!S$1,Haver_M!$B$1:$BZ$1,0),FALSE),"")</f>
        <v>97.55</v>
      </c>
      <c r="T143">
        <f>IF(ISNUMBER(VLOOKUP($A143,Haver_M!$B$1:$BZ$300,MATCH(data!T$1,Haver_M!$B$1:$BZ$1,0),FALSE)),VLOOKUP($A143,Haver_M!$B$1:$BZ$300,MATCH(data!T$1,Haver_M!$B$1:$BZ$1,0),FALSE),"")</f>
        <v>98.67</v>
      </c>
      <c r="U143">
        <f>IF(ISNUMBER(VLOOKUP($A143,Haver_M!$B$1:$BZ$300,MATCH(data!U$1,Haver_M!$B$1:$BZ$1,0),FALSE)),VLOOKUP($A143,Haver_M!$B$1:$BZ$300,MATCH(data!U$1,Haver_M!$B$1:$BZ$1,0),FALSE),"")</f>
        <v>100.49</v>
      </c>
      <c r="V143">
        <f>IF(ISNUMBER(VLOOKUP($A143,Haver_M!$B$1:$BZ$300,MATCH(data!V$1,Haver_M!$B$1:$BZ$1,0),FALSE)),VLOOKUP($A143,Haver_M!$B$1:$BZ$300,MATCH(data!V$1,Haver_M!$B$1:$BZ$1,0),FALSE),"")</f>
        <v>100.44</v>
      </c>
      <c r="W143" t="str">
        <f>IF(ISNUMBER(VLOOKUP($A143,Haver_M!$B$1:$BZ$300,MATCH(data!W$1,Haver_M!$B$1:$BZ$1,0),FALSE)),VLOOKUP($A143,Haver_M!$B$1:$BZ$300,MATCH(data!W$1,Haver_M!$B$1:$BZ$1,0),FALSE),"")</f>
        <v/>
      </c>
      <c r="X143">
        <f>IF(ISNUMBER(VLOOKUP($A143,Haver_M!$B$1:$BZ$300,MATCH(data!X$1,Haver_M!$B$1:$BZ$1,0),FALSE)),VLOOKUP($A143,Haver_M!$B$1:$BZ$300,MATCH(data!X$1,Haver_M!$B$1:$BZ$1,0),FALSE),"")</f>
        <v>95.87</v>
      </c>
      <c r="Y143">
        <f>IF(ISNUMBER(VLOOKUP($A143,Haver_M!$B$1:$BZ$300,MATCH(data!Y$1,Haver_M!$B$1:$BZ$1,0),FALSE)),VLOOKUP($A143,Haver_M!$B$1:$BZ$300,MATCH(data!Y$1,Haver_M!$B$1:$BZ$1,0),FALSE),"")</f>
        <v>91.63</v>
      </c>
      <c r="Z143">
        <f>IF(ISNUMBER(VLOOKUP($A143,Haver_M!$B$1:$BZ$300,MATCH(data!Z$1,Haver_M!$B$1:$BZ$1,0),FALSE)),VLOOKUP($A143,Haver_M!$B$1:$BZ$300,MATCH(data!Z$1,Haver_M!$B$1:$BZ$1,0),FALSE),"")</f>
        <v>98.7</v>
      </c>
      <c r="AA143">
        <f>IF(ISNUMBER(VLOOKUP($A143,Haver_M!$B$1:$BZ$300,MATCH(data!AA$1,Haver_M!$B$1:$BZ$1,0),FALSE)),VLOOKUP($A143,Haver_M!$B$1:$BZ$300,MATCH(data!AA$1,Haver_M!$B$1:$BZ$1,0),FALSE),"")</f>
        <v>94.149000000000001</v>
      </c>
      <c r="AB143">
        <f>IF(ISNUMBER(VLOOKUP($A143,Haver_M!$B$1:$BZ$300,MATCH(data!AB$1,Haver_M!$B$1:$BZ$1,0),FALSE)),VLOOKUP($A143,Haver_M!$B$1:$BZ$300,MATCH(data!AB$1,Haver_M!$B$1:$BZ$1,0),FALSE),"")</f>
        <v>99.085999999999999</v>
      </c>
      <c r="AC143">
        <f>IF(ISNUMBER(VLOOKUP($A143,Haver_M!$B$1:$BZ$300,MATCH(data!AC$1,Haver_M!$B$1:$BZ$1,0),FALSE)),VLOOKUP($A143,Haver_M!$B$1:$BZ$300,MATCH(data!AC$1,Haver_M!$B$1:$BZ$1,0),FALSE),"")</f>
        <v>99.034999999999997</v>
      </c>
      <c r="AD143">
        <f>IF(ISNUMBER(VLOOKUP($A143,Haver_M!$B$1:$BZ$300,MATCH(data!AD$1,Haver_M!$B$1:$BZ$1,0),FALSE)),VLOOKUP($A143,Haver_M!$B$1:$BZ$300,MATCH(data!AD$1,Haver_M!$B$1:$BZ$1,0),FALSE),"")</f>
        <v>93.346000000000004</v>
      </c>
      <c r="AE143">
        <f>IF(ISNUMBER(VLOOKUP($A143,Haver_M!$B$1:$BZ$300,MATCH(data!AE$1,Haver_M!$B$1:$BZ$1,0),FALSE)),VLOOKUP($A143,Haver_M!$B$1:$BZ$300,MATCH(data!AE$1,Haver_M!$B$1:$BZ$1,0),FALSE),"")</f>
        <v>98.936000000000007</v>
      </c>
      <c r="AF143">
        <f>IF(ISNUMBER(VLOOKUP($A143,Haver_M!$B$1:$BZ$300,MATCH(data!AF$1,Haver_M!$B$1:$BZ$1,0),FALSE)),VLOOKUP($A143,Haver_M!$B$1:$BZ$300,MATCH(data!AF$1,Haver_M!$B$1:$BZ$1,0),FALSE),"")</f>
        <v>105.92400000000001</v>
      </c>
      <c r="AG143">
        <f>IF(ISNUMBER(VLOOKUP($A143,Haver_M!$B$1:$BZ$300,MATCH(data!AG$1,Haver_M!$B$1:$BZ$1,0),FALSE)),VLOOKUP($A143,Haver_M!$B$1:$BZ$300,MATCH(data!AG$1,Haver_M!$B$1:$BZ$1,0),FALSE),"")</f>
        <v>102.554</v>
      </c>
      <c r="AH143">
        <f>IF(ISNUMBER(VLOOKUP($A143,Haver_M!$B$1:$BZ$300,MATCH(data!AH$1,Haver_M!$B$1:$BZ$1,0),FALSE)),VLOOKUP($A143,Haver_M!$B$1:$BZ$300,MATCH(data!AH$1,Haver_M!$B$1:$BZ$1,0),FALSE),"")</f>
        <v>99.933000000000007</v>
      </c>
      <c r="AI143">
        <f>IF(ISNUMBER(VLOOKUP($A143,Haver_M!$B$1:$BZ$300,MATCH(data!AI$1,Haver_M!$B$1:$BZ$1,0),FALSE)),VLOOKUP($A143,Haver_M!$B$1:$BZ$300,MATCH(data!AI$1,Haver_M!$B$1:$BZ$1,0),FALSE),"")</f>
        <v>12180.746749305519</v>
      </c>
      <c r="AJ143">
        <f>IF(ISNUMBER(VLOOKUP($A143,Haver_M!$B$1:$BZ$300,MATCH(data!AJ$1,Haver_M!$B$1:$BZ$1,0),FALSE)),VLOOKUP($A143,Haver_M!$B$1:$BZ$300,MATCH(data!AJ$1,Haver_M!$B$1:$BZ$1,0),FALSE),"")</f>
        <v>24758.46</v>
      </c>
      <c r="AK143">
        <f>IF(ISNUMBER(VLOOKUP($A143,Haver_M!$B$1:$BZ$300,MATCH(data!AK$1,Haver_M!$B$1:$BZ$1,0),FALSE)),VLOOKUP($A143,Haver_M!$B$1:$BZ$300,MATCH(data!AK$1,Haver_M!$B$1:$BZ$1,0),FALSE),"")</f>
        <v>39340.839999999997</v>
      </c>
      <c r="AL143">
        <f>IF(ISNUMBER(VLOOKUP($A143,Haver_M!$B$1:$BZ$300,MATCH(data!AL$1,Haver_M!$B$1:$BZ$1,0),FALSE)),VLOOKUP($A143,Haver_M!$B$1:$BZ$300,MATCH(data!AL$1,Haver_M!$B$1:$BZ$1,0),FALSE),"")</f>
        <v>11455</v>
      </c>
      <c r="AM143">
        <f>IF(ISNUMBER(VLOOKUP($A143,Haver_M!$B$1:$BZ$300,MATCH(data!AM$1,Haver_M!$B$1:$BZ$1,0),FALSE)),VLOOKUP($A143,Haver_M!$B$1:$BZ$300,MATCH(data!AM$1,Haver_M!$B$1:$BZ$1,0),FALSE),"")</f>
        <v>6820</v>
      </c>
      <c r="AN143" t="str">
        <f>IF(ISNUMBER(VLOOKUP($A143,Haver_M!$B$1:$BZ$300,MATCH(data!AN$1,Haver_M!$B$1:$BZ$1,0),FALSE)),VLOOKUP($A143,Haver_M!$B$1:$BZ$300,MATCH(data!AN$1,Haver_M!$B$1:$BZ$1,0),FALSE),"")</f>
        <v/>
      </c>
      <c r="AO143" t="str">
        <f>IF(ISNUMBER(VLOOKUP($A143,Haver_M!$B$1:$BZ$300,MATCH(data!AO$1,Haver_M!$B$1:$BZ$1,0),FALSE)),VLOOKUP($A143,Haver_M!$B$1:$BZ$300,MATCH(data!AO$1,Haver_M!$B$1:$BZ$1,0),FALSE),"")</f>
        <v/>
      </c>
      <c r="AP143">
        <f>IF(ISNUMBER(VLOOKUP($A143,Haver_M!$B$1:$BZ$300,MATCH(data!AP$1,Haver_M!$B$1:$BZ$1,0),FALSE)),VLOOKUP($A143,Haver_M!$B$1:$BZ$300,MATCH(data!AP$1,Haver_M!$B$1:$BZ$1,0),FALSE),"")</f>
        <v>217.24070062008553</v>
      </c>
      <c r="AQ143">
        <f>IF(ISNUMBER(VLOOKUP($A143,Haver_M!$B$1:$BZ$300,MATCH(data!AQ$1,Haver_M!$B$1:$BZ$1,0),FALSE)),VLOOKUP($A143,Haver_M!$B$1:$BZ$300,MATCH(data!AQ$1,Haver_M!$B$1:$BZ$1,0),FALSE),"")</f>
        <v>50.297699999999999</v>
      </c>
      <c r="AR143">
        <f>IF(ISNUMBER(VLOOKUP($A143,Haver_M!$B$1:$BZ$300,MATCH(data!AR$1,Haver_M!$B$1:$BZ$1,0),FALSE)),VLOOKUP($A143,Haver_M!$B$1:$BZ$300,MATCH(data!AR$1,Haver_M!$B$1:$BZ$1,0),FALSE),"")</f>
        <v>51.981900000000003</v>
      </c>
      <c r="AS143">
        <f>IF(ISNUMBER(VLOOKUP($A143,Haver_M!$B$1:$BZ$300,MATCH(data!AS$1,Haver_M!$B$1:$BZ$1,0),FALSE)),VLOOKUP($A143,Haver_M!$B$1:$BZ$300,MATCH(data!AS$1,Haver_M!$B$1:$BZ$1,0),FALSE),"")</f>
        <v>49.125599999999999</v>
      </c>
      <c r="AT143">
        <f>IF(ISNUMBER(VLOOKUP($A143,Haver_M!$B$1:$BZ$300,MATCH(data!AT$1,Haver_M!$B$1:$BZ$1,0),FALSE)),VLOOKUP($A143,Haver_M!$B$1:$BZ$300,MATCH(data!AT$1,Haver_M!$B$1:$BZ$1,0),FALSE),"")</f>
        <v>52.730699999999999</v>
      </c>
      <c r="AU143">
        <f>IF(ISNUMBER(VLOOKUP($A143,Haver_M!$B$1:$BZ$300,MATCH(data!AU$1,Haver_M!$B$1:$BZ$1,0),FALSE)),VLOOKUP($A143,Haver_M!$B$1:$BZ$300,MATCH(data!AU$1,Haver_M!$B$1:$BZ$1,0),FALSE),"")</f>
        <v>53.7316</v>
      </c>
      <c r="AV143">
        <f>IF(ISNUMBER(VLOOKUP($A143,Haver_M!$B$1:$BZ$300,MATCH(data!AV$1,Haver_M!$B$1:$BZ$1,0),FALSE)),VLOOKUP($A143,Haver_M!$B$1:$BZ$300,MATCH(data!AV$1,Haver_M!$B$1:$BZ$1,0),FALSE),"")</f>
        <v>48.178600000000003</v>
      </c>
      <c r="AW143">
        <f>IF(ISNUMBER(VLOOKUP($A143,Haver_M!$B$1:$BZ$300,MATCH(data!AW$1,Haver_M!$B$1:$BZ$1,0),FALSE)),VLOOKUP($A143,Haver_M!$B$1:$BZ$300,MATCH(data!AW$1,Haver_M!$B$1:$BZ$1,0),FALSE),"")</f>
        <v>47.817399999999999</v>
      </c>
      <c r="AX143">
        <f>IF(ISNUMBER(VLOOKUP($A143,Haver_M!$B$1:$BZ$300,MATCH(data!AX$1,Haver_M!$B$1:$BZ$1,0),FALSE)),VLOOKUP($A143,Haver_M!$B$1:$BZ$300,MATCH(data!AX$1,Haver_M!$B$1:$BZ$1,0),FALSE),"")</f>
        <v>52.166200000000003</v>
      </c>
      <c r="AY143">
        <f>IF(ISNUMBER(VLOOKUP($A143,Haver_M!$B$1:$BZ$300,MATCH(data!AY$1,Haver_M!$B$1:$BZ$1,0),FALSE)),VLOOKUP($A143,Haver_M!$B$1:$BZ$300,MATCH(data!AY$1,Haver_M!$B$1:$BZ$1,0),FALSE),"")</f>
        <v>62.008400000000002</v>
      </c>
      <c r="AZ143">
        <f>IF(ISNUMBER(VLOOKUP($A143,Haver_M!$B$1:$BZ$300,MATCH(data!AZ$1,Haver_M!$B$1:$BZ$1,0),FALSE)),VLOOKUP($A143,Haver_M!$B$1:$BZ$300,MATCH(data!AZ$1,Haver_M!$B$1:$BZ$1,0),FALSE),"")</f>
        <v>53.550400000000003</v>
      </c>
      <c r="BA143">
        <f>IF(ISNUMBER(VLOOKUP($A143,Haver_M!$B$1:$BZ$300,MATCH(data!BA$1,Haver_M!$B$1:$BZ$1,0),FALSE)),VLOOKUP($A143,Haver_M!$B$1:$BZ$300,MATCH(data!BA$1,Haver_M!$B$1:$BZ$1,0),FALSE),"")</f>
        <v>52.166200000000003</v>
      </c>
      <c r="BB143">
        <f>IF(ISNUMBER(VLOOKUP($A143,Haver_M!$B$1:$BZ$300,MATCH(data!BB$1,Haver_M!$B$1:$BZ$1,0),FALSE)),VLOOKUP($A143,Haver_M!$B$1:$BZ$300,MATCH(data!BB$1,Haver_M!$B$1:$BZ$1,0),FALSE),"")</f>
        <v>49.240499999999997</v>
      </c>
      <c r="BC143">
        <f>IF(ISNUMBER(VLOOKUP($A143,Haver_M!$B$1:$BZ$300,MATCH(data!BC$1,Haver_M!$B$1:$BZ$1,0),FALSE)),VLOOKUP($A143,Haver_M!$B$1:$BZ$300,MATCH(data!BC$1,Haver_M!$B$1:$BZ$1,0),FALSE),"")</f>
        <v>55.2669</v>
      </c>
      <c r="BD143">
        <f>IF(ISNUMBER(VLOOKUP($A143,Haver_M!$B$1:$BZ$300,MATCH(data!BD$1,Haver_M!$B$1:$BZ$1,0),FALSE)),VLOOKUP($A143,Haver_M!$B$1:$BZ$300,MATCH(data!BD$1,Haver_M!$B$1:$BZ$1,0),FALSE),"")</f>
        <v>50.694400000000002</v>
      </c>
      <c r="BE143">
        <f>IF(ISNUMBER(VLOOKUP($A143,Haver_M!$B$1:$BZ$300,MATCH(data!BE$1,Haver_M!$B$1:$BZ$1,0),FALSE)),VLOOKUP($A143,Haver_M!$B$1:$BZ$300,MATCH(data!BE$1,Haver_M!$B$1:$BZ$1,0),FALSE),"")</f>
        <v>1.0820000000000001</v>
      </c>
      <c r="BF143">
        <f>IF(ISNUMBER(VLOOKUP($A143,Haver_M!$B$1:$BZ$300,MATCH(data!BF$1,Haver_M!$B$1:$BZ$1,0),FALSE)),VLOOKUP($A143,Haver_M!$B$1:$BZ$300,MATCH(data!BF$1,Haver_M!$B$1:$BZ$1,0),FALSE),"")</f>
        <v>49.2575</v>
      </c>
      <c r="BG143">
        <f>IF(ISNUMBER(VLOOKUP($A143,Haver_M!$B$1:$BZ$300,MATCH(data!BG$1,Haver_M!$B$1:$BZ$1,0),FALSE)),VLOOKUP($A143,Haver_M!$B$1:$BZ$300,MATCH(data!BG$1,Haver_M!$B$1:$BZ$1,0),FALSE),"")</f>
        <v>55.903100000000002</v>
      </c>
      <c r="BH143">
        <f>IF(ISNUMBER(VLOOKUP($A143,Haver_M!$B$1:$BZ$300,MATCH(data!BH$1,Haver_M!$B$1:$BZ$1,0),FALSE)),VLOOKUP($A143,Haver_M!$B$1:$BZ$300,MATCH(data!BH$1,Haver_M!$B$1:$BZ$1,0),FALSE),"")</f>
        <v>51.011499999999998</v>
      </c>
      <c r="BI143">
        <f>IF(ISNUMBER(VLOOKUP($A143,Haver_M!$B$1:$BZ$300,MATCH(data!BI$1,Haver_M!$B$1:$BZ$1,0),FALSE)),VLOOKUP($A143,Haver_M!$B$1:$BZ$300,MATCH(data!BI$1,Haver_M!$B$1:$BZ$1,0),FALSE),"")</f>
        <v>54.518300000000004</v>
      </c>
      <c r="BJ143" t="str">
        <f>IF(ISNUMBER(VLOOKUP($A143,Haver_M!$B$1:$BZ$300,MATCH(data!BJ$1,Haver_M!$B$1:$BZ$1,0),FALSE)),VLOOKUP($A143,Haver_M!$B$1:$BZ$300,MATCH(data!BJ$1,Haver_M!$B$1:$BZ$1,0),FALSE),"")</f>
        <v/>
      </c>
      <c r="BK143">
        <f>IF(ISNUMBER(VLOOKUP($A143,Haver_M!$B$1:$BZ$300,MATCH(data!BK$1,Haver_M!$B$1:$BZ$1,0),FALSE)),VLOOKUP($A143,Haver_M!$B$1:$BZ$300,MATCH(data!BK$1,Haver_M!$B$1:$BZ$1,0),FALSE),"")</f>
        <v>49.898699999999998</v>
      </c>
      <c r="BL143">
        <f>IF(ISNUMBER(VLOOKUP($A143,Haver_M!$B$1:$BZ$300,MATCH(data!BL$1,Haver_M!$B$1:$BZ$1,0),FALSE)),VLOOKUP($A143,Haver_M!$B$1:$BZ$300,MATCH(data!BL$1,Haver_M!$B$1:$BZ$1,0),FALSE),"")</f>
        <v>16822.84</v>
      </c>
      <c r="BM143">
        <f>IF(ISNUMBER(VLOOKUP($A143,Haver_M!$B$1:$BZ$300,MATCH(data!BM$1,Haver_M!$B$1:$BZ$1,0),FALSE)),VLOOKUP($A143,Haver_M!$B$1:$BZ$300,MATCH(data!BM$1,Haver_M!$B$1:$BZ$1,0),FALSE),"")</f>
        <v>95.875529479999997</v>
      </c>
      <c r="BN143" t="str">
        <f>IF(ISNUMBER(VLOOKUP($A143,Haver_M!$B$1:$BZ$300,MATCH(data!BN$1,Haver_M!$B$1:$BZ$1,0),FALSE)),VLOOKUP($A143,Haver_M!$B$1:$BZ$300,MATCH(data!BN$1,Haver_M!$B$1:$BZ$1,0),FALSE),"")</f>
        <v/>
      </c>
      <c r="BO143" t="str">
        <f>IF(ISNUMBER(VLOOKUP($A143,Haver_M!$B$1:$BZ$300,MATCH(data!BO$1,Haver_M!$B$1:$BZ$1,0),FALSE)),VLOOKUP($A143,Haver_M!$B$1:$BZ$300,MATCH(data!BO$1,Haver_M!$B$1:$BZ$1,0),FALSE),"")</f>
        <v/>
      </c>
      <c r="BP143" t="str">
        <f>IF(ISNUMBER(VLOOKUP($A143,Haver_M!$B$1:$BZ$300,MATCH(data!BP$1,Haver_M!$B$1:$BZ$1,0),FALSE)),VLOOKUP($A143,Haver_M!$B$1:$BZ$300,MATCH(data!BP$1,Haver_M!$B$1:$BZ$1,0),FALSE),"")</f>
        <v/>
      </c>
      <c r="BQ143">
        <f>IF(ISNUMBER(VLOOKUP($A143,Haver_M!$B$1:$BZ$300,MATCH(data!BQ$1,Haver_M!$B$1:$BZ$1,0),FALSE)),VLOOKUP($A143,Haver_M!$B$1:$BZ$300,MATCH(data!BQ$1,Haver_M!$B$1:$BZ$1,0),FALSE),"")</f>
        <v>147.98312520682381</v>
      </c>
      <c r="BR143">
        <f>IF(ISNUMBER(VLOOKUP($A143,Haver_M!$B$1:$BZ$300,MATCH(data!BR$1,Haver_M!$B$1:$BZ$1,0),FALSE)),VLOOKUP($A143,Haver_M!$B$1:$BZ$300,MATCH(data!BR$1,Haver_M!$B$1:$BZ$1,0),FALSE),"")</f>
        <v>352.34271746699449</v>
      </c>
      <c r="BS143">
        <f>IF(ISNUMBER(VLOOKUP($A143,Haver_M!$B$1:$BZ$300,MATCH(data!BS$1,Haver_M!$B$1:$BZ$1,0),FALSE)),VLOOKUP($A143,Haver_M!$B$1:$BZ$300,MATCH(data!BS$1,Haver_M!$B$1:$BZ$1,0),FALSE),"")</f>
        <v>186.66298528734046</v>
      </c>
      <c r="BT143">
        <f>IF(ISNUMBER(VLOOKUP($A143,Haver_M!$B$1:$BZ$300,MATCH(data!BT$1,Haver_M!$B$1:$BZ$1,0),FALSE)),VLOOKUP($A143,Haver_M!$B$1:$BZ$300,MATCH(data!BT$1,Haver_M!$B$1:$BZ$1,0),FALSE),"")</f>
        <v>779.21854603111433</v>
      </c>
      <c r="BU143">
        <f>IF(ISNUMBER(VLOOKUP($A143,Haver_M!$B$1:$BZ$300,MATCH(data!BU$1,Haver_M!$B$1:$BZ$1,0),FALSE)),VLOOKUP($A143,Haver_M!$B$1:$BZ$300,MATCH(data!BU$1,Haver_M!$B$1:$BZ$1,0),FALSE),"")</f>
        <v>23632.02</v>
      </c>
      <c r="BV143">
        <f>IF(ISNUMBER(VLOOKUP($A143,Haver_M!$B$1:$BZ$300,MATCH(data!BV$1,Haver_M!$B$1:$BZ$1,0),FALSE)),VLOOKUP($A143,Haver_M!$B$1:$BZ$300,MATCH(data!BV$1,Haver_M!$B$1:$BZ$1,0),FALSE),"")</f>
        <v>41175.06</v>
      </c>
      <c r="BW143">
        <f>IF(ISNUMBER(VLOOKUP($A143,Haver_M!$B$1:$BZ$300,MATCH(data!BW$1,Haver_M!$B$1:$BZ$1,0),FALSE)),VLOOKUP($A143,Haver_M!$B$1:$BZ$300,MATCH(data!BW$1,Haver_M!$B$1:$BZ$1,0),FALSE),"")</f>
        <v>49.256900000000002</v>
      </c>
      <c r="BX143">
        <f>IF(ISNUMBER(VLOOKUP($A143,Haver_M!$B$1:$BZ$300,MATCH(data!BX$1,Haver_M!$B$1:$BZ$1,0),FALSE)),VLOOKUP($A143,Haver_M!$B$1:$BZ$300,MATCH(data!BX$1,Haver_M!$B$1:$BZ$1,0),FALSE),"")</f>
        <v>55851</v>
      </c>
    </row>
    <row r="144" spans="1:76" x14ac:dyDescent="0.25">
      <c r="A144" s="2">
        <v>40877</v>
      </c>
      <c r="B144" t="str">
        <f>IF(ISNUMBER(VLOOKUP($A144,Haver_Q!$B$1:$L$185,MATCH(data!B$1,Haver_Q!$B$1:$L$1,0),FALSE)),100*(VLOOKUP($A144,Haver_Q!$B$1:$L$185,MATCH(data!B$1,Haver_Q!$B$1:$L$1,0),FALSE)),"")</f>
        <v/>
      </c>
      <c r="C144" t="str">
        <f>IF(ISNUMBER(VLOOKUP($A144,Haver_Q!$B$1:$L$185,MATCH(data!C$1,Haver_Q!$B$1:$L$1,0),FALSE)),100*(VLOOKUP($A144,Haver_Q!$B$1:$L$185,MATCH(data!C$1,Haver_Q!$B$1:$L$1,0),FALSE)),"")</f>
        <v/>
      </c>
      <c r="D144" t="str">
        <f>IF(ISNUMBER(VLOOKUP($A144,Haver_Q!$B$1:$L$185,MATCH(data!D$1,Haver_Q!$B$1:$L$1,0),FALSE)),100*(VLOOKUP($A144,Haver_Q!$B$1:$L$185,MATCH(data!D$1,Haver_Q!$B$1:$L$1,0),FALSE)),"")</f>
        <v/>
      </c>
      <c r="E144" t="str">
        <f>IF(ISNUMBER(VLOOKUP($A144,Haver_Q!$B$1:$L$185,MATCH(data!E$1,Haver_Q!$B$1:$L$1,0),FALSE)),100*(VLOOKUP($A144,Haver_Q!$B$1:$L$185,MATCH(data!E$1,Haver_Q!$B$1:$L$1,0),FALSE)),"")</f>
        <v/>
      </c>
      <c r="F144" t="str">
        <f>IF(ISNUMBER(VLOOKUP($A144,Haver_Q!$B$1:$L$185,MATCH(data!F$1,Haver_Q!$B$1:$L$1,0),FALSE)),100*(VLOOKUP($A144,Haver_Q!$B$1:$L$185,MATCH(data!F$1,Haver_Q!$B$1:$L$1,0),FALSE)),"")</f>
        <v/>
      </c>
      <c r="G144" t="str">
        <f>IF(ISNUMBER(VLOOKUP($A144,Haver_Q!$B$1:$L$185,MATCH(data!G$1,Haver_Q!$B$1:$L$1,0),FALSE)),100*(VLOOKUP($A144,Haver_Q!$B$1:$L$185,MATCH(data!G$1,Haver_Q!$B$1:$L$1,0),FALSE)),"")</f>
        <v/>
      </c>
      <c r="H144" t="str">
        <f>IF(ISNUMBER(VLOOKUP($A144,Haver_Q!$B$1:$L$185,MATCH(data!H$1,Haver_Q!$B$1:$L$1,0),FALSE)),(VLOOKUP($A144,Haver_Q!$B$1:$L$185,MATCH(data!H$1,Haver_Q!$B$1:$L$1,0),FALSE)),"")</f>
        <v/>
      </c>
      <c r="I144" t="str">
        <f>IF(ISNUMBER(VLOOKUP($A144,Haver_Q!$B$1:$L$185,MATCH(data!I$1,Haver_Q!$B$1:$L$1,0),FALSE)),100*(VLOOKUP($A144,Haver_Q!$B$1:$L$185,MATCH(data!I$1,Haver_Q!$B$1:$L$1,0),FALSE)),"")</f>
        <v/>
      </c>
      <c r="J144" s="3">
        <f>IF(ISNUMBER(Bloomberg_m!C160),Bloomberg_m!C160,"")</f>
        <v>1835</v>
      </c>
      <c r="K144" s="3">
        <f>IF(ISNUMBER(Bloomberg_m!D160),Bloomberg_m!D160,"")</f>
        <v>1365.08</v>
      </c>
      <c r="L144" s="3">
        <f>IF(ISNUMBER(Bloomberg_m!E160),Bloomberg_m!E160,"")</f>
        <v>895.51</v>
      </c>
      <c r="M144" s="3">
        <f>IF(ISNUMBER(Bloomberg_m!F160),Bloomberg_m!F160,"")</f>
        <v>443.84</v>
      </c>
      <c r="N144">
        <f>IF(ISNUMBER(VLOOKUP($A144,Haver_M!$B$1:$BZ$300,MATCH(data!N$1,Haver_M!$B$1:$BZ$1,0),FALSE)),VLOOKUP($A144,Haver_M!$B$1:$BZ$300,MATCH(data!N$1,Haver_M!$B$1:$BZ$1,0),FALSE),"")</f>
        <v>8.5</v>
      </c>
      <c r="O144">
        <f>IF(ISNUMBER(VLOOKUP($A144,Haver_M!$B$1:$BZ$300,MATCH(data!O$1,Haver_M!$B$1:$BZ$1,0),FALSE)),VLOOKUP($A144,Haver_M!$B$1:$BZ$300,MATCH(data!O$1,Haver_M!$B$1:$BZ$1,0),FALSE),"")</f>
        <v>8.7593999999999994</v>
      </c>
      <c r="P144">
        <f>IF(ISNUMBER(VLOOKUP($A144,Haver_M!$B$1:$BZ$300,MATCH(data!P$1,Haver_M!$B$1:$BZ$1,0),FALSE)),VLOOKUP($A144,Haver_M!$B$1:$BZ$300,MATCH(data!P$1,Haver_M!$B$1:$BZ$1,0),FALSE),"")</f>
        <v>92.104280000000003</v>
      </c>
      <c r="Q144">
        <f>IF(ISNUMBER(VLOOKUP($A144,Haver_M!$B$1:$BZ$300,MATCH(data!Q$1,Haver_M!$B$1:$BZ$1,0),FALSE)),VLOOKUP($A144,Haver_M!$B$1:$BZ$300,MATCH(data!Q$1,Haver_M!$B$1:$BZ$1,0),FALSE),"")</f>
        <v>95.2</v>
      </c>
      <c r="R144">
        <f>IF(ISNUMBER(VLOOKUP($A144,Haver_M!$B$1:$BZ$300,MATCH(data!R$1,Haver_M!$B$1:$BZ$1,0),FALSE)),VLOOKUP($A144,Haver_M!$B$1:$BZ$300,MATCH(data!R$1,Haver_M!$B$1:$BZ$1,0),FALSE),"")</f>
        <v>95.3</v>
      </c>
      <c r="S144">
        <f>IF(ISNUMBER(VLOOKUP($A144,Haver_M!$B$1:$BZ$300,MATCH(data!S$1,Haver_M!$B$1:$BZ$1,0),FALSE)),VLOOKUP($A144,Haver_M!$B$1:$BZ$300,MATCH(data!S$1,Haver_M!$B$1:$BZ$1,0),FALSE),"")</f>
        <v>105.02</v>
      </c>
      <c r="T144">
        <f>IF(ISNUMBER(VLOOKUP($A144,Haver_M!$B$1:$BZ$300,MATCH(data!T$1,Haver_M!$B$1:$BZ$1,0),FALSE)),VLOOKUP($A144,Haver_M!$B$1:$BZ$300,MATCH(data!T$1,Haver_M!$B$1:$BZ$1,0),FALSE),"")</f>
        <v>100.41</v>
      </c>
      <c r="U144">
        <f>IF(ISNUMBER(VLOOKUP($A144,Haver_M!$B$1:$BZ$300,MATCH(data!U$1,Haver_M!$B$1:$BZ$1,0),FALSE)),VLOOKUP($A144,Haver_M!$B$1:$BZ$300,MATCH(data!U$1,Haver_M!$B$1:$BZ$1,0),FALSE),"")</f>
        <v>116.14</v>
      </c>
      <c r="V144">
        <f>IF(ISNUMBER(VLOOKUP($A144,Haver_M!$B$1:$BZ$300,MATCH(data!V$1,Haver_M!$B$1:$BZ$1,0),FALSE)),VLOOKUP($A144,Haver_M!$B$1:$BZ$300,MATCH(data!V$1,Haver_M!$B$1:$BZ$1,0),FALSE),"")</f>
        <v>105.89</v>
      </c>
      <c r="W144" t="str">
        <f>IF(ISNUMBER(VLOOKUP($A144,Haver_M!$B$1:$BZ$300,MATCH(data!W$1,Haver_M!$B$1:$BZ$1,0),FALSE)),VLOOKUP($A144,Haver_M!$B$1:$BZ$300,MATCH(data!W$1,Haver_M!$B$1:$BZ$1,0),FALSE),"")</f>
        <v/>
      </c>
      <c r="X144">
        <f>IF(ISNUMBER(VLOOKUP($A144,Haver_M!$B$1:$BZ$300,MATCH(data!X$1,Haver_M!$B$1:$BZ$1,0),FALSE)),VLOOKUP($A144,Haver_M!$B$1:$BZ$300,MATCH(data!X$1,Haver_M!$B$1:$BZ$1,0),FALSE),"")</f>
        <v>102.37</v>
      </c>
      <c r="Y144">
        <f>IF(ISNUMBER(VLOOKUP($A144,Haver_M!$B$1:$BZ$300,MATCH(data!Y$1,Haver_M!$B$1:$BZ$1,0),FALSE)),VLOOKUP($A144,Haver_M!$B$1:$BZ$300,MATCH(data!Y$1,Haver_M!$B$1:$BZ$1,0),FALSE),"")</f>
        <v>99.54</v>
      </c>
      <c r="Z144">
        <f>IF(ISNUMBER(VLOOKUP($A144,Haver_M!$B$1:$BZ$300,MATCH(data!Z$1,Haver_M!$B$1:$BZ$1,0),FALSE)),VLOOKUP($A144,Haver_M!$B$1:$BZ$300,MATCH(data!Z$1,Haver_M!$B$1:$BZ$1,0),FALSE),"")</f>
        <v>101.4</v>
      </c>
      <c r="AA144">
        <f>IF(ISNUMBER(VLOOKUP($A144,Haver_M!$B$1:$BZ$300,MATCH(data!AA$1,Haver_M!$B$1:$BZ$1,0),FALSE)),VLOOKUP($A144,Haver_M!$B$1:$BZ$300,MATCH(data!AA$1,Haver_M!$B$1:$BZ$1,0),FALSE),"")</f>
        <v>103.81399999999999</v>
      </c>
      <c r="AB144">
        <f>IF(ISNUMBER(VLOOKUP($A144,Haver_M!$B$1:$BZ$300,MATCH(data!AB$1,Haver_M!$B$1:$BZ$1,0),FALSE)),VLOOKUP($A144,Haver_M!$B$1:$BZ$300,MATCH(data!AB$1,Haver_M!$B$1:$BZ$1,0),FALSE),"")</f>
        <v>98.085999999999999</v>
      </c>
      <c r="AC144">
        <f>IF(ISNUMBER(VLOOKUP($A144,Haver_M!$B$1:$BZ$300,MATCH(data!AC$1,Haver_M!$B$1:$BZ$1,0),FALSE)),VLOOKUP($A144,Haver_M!$B$1:$BZ$300,MATCH(data!AC$1,Haver_M!$B$1:$BZ$1,0),FALSE),"")</f>
        <v>97.927999999999997</v>
      </c>
      <c r="AD144">
        <f>IF(ISNUMBER(VLOOKUP($A144,Haver_M!$B$1:$BZ$300,MATCH(data!AD$1,Haver_M!$B$1:$BZ$1,0),FALSE)),VLOOKUP($A144,Haver_M!$B$1:$BZ$300,MATCH(data!AD$1,Haver_M!$B$1:$BZ$1,0),FALSE),"")</f>
        <v>105.054</v>
      </c>
      <c r="AE144">
        <f>IF(ISNUMBER(VLOOKUP($A144,Haver_M!$B$1:$BZ$300,MATCH(data!AE$1,Haver_M!$B$1:$BZ$1,0),FALSE)),VLOOKUP($A144,Haver_M!$B$1:$BZ$300,MATCH(data!AE$1,Haver_M!$B$1:$BZ$1,0),FALSE),"")</f>
        <v>97.825999999999993</v>
      </c>
      <c r="AF144">
        <f>IF(ISNUMBER(VLOOKUP($A144,Haver_M!$B$1:$BZ$300,MATCH(data!AF$1,Haver_M!$B$1:$BZ$1,0),FALSE)),VLOOKUP($A144,Haver_M!$B$1:$BZ$300,MATCH(data!AF$1,Haver_M!$B$1:$BZ$1,0),FALSE),"")</f>
        <v>99.022999999999996</v>
      </c>
      <c r="AG144">
        <f>IF(ISNUMBER(VLOOKUP($A144,Haver_M!$B$1:$BZ$300,MATCH(data!AG$1,Haver_M!$B$1:$BZ$1,0),FALSE)),VLOOKUP($A144,Haver_M!$B$1:$BZ$300,MATCH(data!AG$1,Haver_M!$B$1:$BZ$1,0),FALSE),"")</f>
        <v>103.89700000000001</v>
      </c>
      <c r="AH144">
        <f>IF(ISNUMBER(VLOOKUP($A144,Haver_M!$B$1:$BZ$300,MATCH(data!AH$1,Haver_M!$B$1:$BZ$1,0),FALSE)),VLOOKUP($A144,Haver_M!$B$1:$BZ$300,MATCH(data!AH$1,Haver_M!$B$1:$BZ$1,0),FALSE),"")</f>
        <v>101.252</v>
      </c>
      <c r="AI144">
        <f>IF(ISNUMBER(VLOOKUP($A144,Haver_M!$B$1:$BZ$300,MATCH(data!AI$1,Haver_M!$B$1:$BZ$1,0),FALSE)),VLOOKUP($A144,Haver_M!$B$1:$BZ$300,MATCH(data!AI$1,Haver_M!$B$1:$BZ$1,0),FALSE),"")</f>
        <v>13082.001021514287</v>
      </c>
      <c r="AJ144">
        <f>IF(ISNUMBER(VLOOKUP($A144,Haver_M!$B$1:$BZ$300,MATCH(data!AJ$1,Haver_M!$B$1:$BZ$1,0),FALSE)),VLOOKUP($A144,Haver_M!$B$1:$BZ$300,MATCH(data!AJ$1,Haver_M!$B$1:$BZ$1,0),FALSE),"")</f>
        <v>25184.2</v>
      </c>
      <c r="AK144">
        <f>IF(ISNUMBER(VLOOKUP($A144,Haver_M!$B$1:$BZ$300,MATCH(data!AK$1,Haver_M!$B$1:$BZ$1,0),FALSE)),VLOOKUP($A144,Haver_M!$B$1:$BZ$300,MATCH(data!AK$1,Haver_M!$B$1:$BZ$1,0),FALSE),"")</f>
        <v>41054.769999999997</v>
      </c>
      <c r="AL144">
        <f>IF(ISNUMBER(VLOOKUP($A144,Haver_M!$B$1:$BZ$300,MATCH(data!AL$1,Haver_M!$B$1:$BZ$1,0),FALSE)),VLOOKUP($A144,Haver_M!$B$1:$BZ$300,MATCH(data!AL$1,Haver_M!$B$1:$BZ$1,0),FALSE),"")</f>
        <v>11279</v>
      </c>
      <c r="AM144">
        <f>IF(ISNUMBER(VLOOKUP($A144,Haver_M!$B$1:$BZ$300,MATCH(data!AM$1,Haver_M!$B$1:$BZ$1,0),FALSE)),VLOOKUP($A144,Haver_M!$B$1:$BZ$300,MATCH(data!AM$1,Haver_M!$B$1:$BZ$1,0),FALSE),"")</f>
        <v>7403</v>
      </c>
      <c r="AN144" t="str">
        <f>IF(ISNUMBER(VLOOKUP($A144,Haver_M!$B$1:$BZ$300,MATCH(data!AN$1,Haver_M!$B$1:$BZ$1,0),FALSE)),VLOOKUP($A144,Haver_M!$B$1:$BZ$300,MATCH(data!AN$1,Haver_M!$B$1:$BZ$1,0),FALSE),"")</f>
        <v/>
      </c>
      <c r="AO144" t="str">
        <f>IF(ISNUMBER(VLOOKUP($A144,Haver_M!$B$1:$BZ$300,MATCH(data!AO$1,Haver_M!$B$1:$BZ$1,0),FALSE)),VLOOKUP($A144,Haver_M!$B$1:$BZ$300,MATCH(data!AO$1,Haver_M!$B$1:$BZ$1,0),FALSE),"")</f>
        <v/>
      </c>
      <c r="AP144">
        <f>IF(ISNUMBER(VLOOKUP($A144,Haver_M!$B$1:$BZ$300,MATCH(data!AP$1,Haver_M!$B$1:$BZ$1,0),FALSE)),VLOOKUP($A144,Haver_M!$B$1:$BZ$300,MATCH(data!AP$1,Haver_M!$B$1:$BZ$1,0),FALSE),"")</f>
        <v>234.61385044054441</v>
      </c>
      <c r="AQ144">
        <f>IF(ISNUMBER(VLOOKUP($A144,Haver_M!$B$1:$BZ$300,MATCH(data!AQ$1,Haver_M!$B$1:$BZ$1,0),FALSE)),VLOOKUP($A144,Haver_M!$B$1:$BZ$300,MATCH(data!AQ$1,Haver_M!$B$1:$BZ$1,0),FALSE),"")</f>
        <v>52.323900000000002</v>
      </c>
      <c r="AR144">
        <f>IF(ISNUMBER(VLOOKUP($A144,Haver_M!$B$1:$BZ$300,MATCH(data!AR$1,Haver_M!$B$1:$BZ$1,0),FALSE)),VLOOKUP($A144,Haver_M!$B$1:$BZ$300,MATCH(data!AR$1,Haver_M!$B$1:$BZ$1,0),FALSE),"")</f>
        <v>51.042499999999997</v>
      </c>
      <c r="AS144">
        <f>IF(ISNUMBER(VLOOKUP($A144,Haver_M!$B$1:$BZ$300,MATCH(data!AS$1,Haver_M!$B$1:$BZ$1,0),FALSE)),VLOOKUP($A144,Haver_M!$B$1:$BZ$300,MATCH(data!AS$1,Haver_M!$B$1:$BZ$1,0),FALSE),"")</f>
        <v>53.222700000000003</v>
      </c>
      <c r="AT144">
        <f>IF(ISNUMBER(VLOOKUP($A144,Haver_M!$B$1:$BZ$300,MATCH(data!AT$1,Haver_M!$B$1:$BZ$1,0),FALSE)),VLOOKUP($A144,Haver_M!$B$1:$BZ$300,MATCH(data!AT$1,Haver_M!$B$1:$BZ$1,0),FALSE),"")</f>
        <v>50.458300000000001</v>
      </c>
      <c r="AU144">
        <f>IF(ISNUMBER(VLOOKUP($A144,Haver_M!$B$1:$BZ$300,MATCH(data!AU$1,Haver_M!$B$1:$BZ$1,0),FALSE)),VLOOKUP($A144,Haver_M!$B$1:$BZ$300,MATCH(data!AU$1,Haver_M!$B$1:$BZ$1,0),FALSE),"")</f>
        <v>52.773000000000003</v>
      </c>
      <c r="AV144">
        <f>IF(ISNUMBER(VLOOKUP($A144,Haver_M!$B$1:$BZ$300,MATCH(data!AV$1,Haver_M!$B$1:$BZ$1,0),FALSE)),VLOOKUP($A144,Haver_M!$B$1:$BZ$300,MATCH(data!AV$1,Haver_M!$B$1:$BZ$1,0),FALSE),"")</f>
        <v>48.5854</v>
      </c>
      <c r="AW144">
        <f>IF(ISNUMBER(VLOOKUP($A144,Haver_M!$B$1:$BZ$300,MATCH(data!AW$1,Haver_M!$B$1:$BZ$1,0),FALSE)),VLOOKUP($A144,Haver_M!$B$1:$BZ$300,MATCH(data!AW$1,Haver_M!$B$1:$BZ$1,0),FALSE),"")</f>
        <v>47.835700000000003</v>
      </c>
      <c r="AX144">
        <f>IF(ISNUMBER(VLOOKUP($A144,Haver_M!$B$1:$BZ$300,MATCH(data!AX$1,Haver_M!$B$1:$BZ$1,0),FALSE)),VLOOKUP($A144,Haver_M!$B$1:$BZ$300,MATCH(data!AX$1,Haver_M!$B$1:$BZ$1,0),FALSE),"")</f>
        <v>50.542700000000004</v>
      </c>
      <c r="AY144">
        <f>IF(ISNUMBER(VLOOKUP($A144,Haver_M!$B$1:$BZ$300,MATCH(data!AY$1,Haver_M!$B$1:$BZ$1,0),FALSE)),VLOOKUP($A144,Haver_M!$B$1:$BZ$300,MATCH(data!AY$1,Haver_M!$B$1:$BZ$1,0),FALSE),"")</f>
        <v>63.130499999999998</v>
      </c>
      <c r="AZ144">
        <f>IF(ISNUMBER(VLOOKUP($A144,Haver_M!$B$1:$BZ$300,MATCH(data!AZ$1,Haver_M!$B$1:$BZ$1,0),FALSE)),VLOOKUP($A144,Haver_M!$B$1:$BZ$300,MATCH(data!AZ$1,Haver_M!$B$1:$BZ$1,0),FALSE),"")</f>
        <v>52.485199999999999</v>
      </c>
      <c r="BA144">
        <f>IF(ISNUMBER(VLOOKUP($A144,Haver_M!$B$1:$BZ$300,MATCH(data!BA$1,Haver_M!$B$1:$BZ$1,0),FALSE)),VLOOKUP($A144,Haver_M!$B$1:$BZ$300,MATCH(data!BA$1,Haver_M!$B$1:$BZ$1,0),FALSE),"")</f>
        <v>50.542700000000004</v>
      </c>
      <c r="BB144">
        <f>IF(ISNUMBER(VLOOKUP($A144,Haver_M!$B$1:$BZ$300,MATCH(data!BB$1,Haver_M!$B$1:$BZ$1,0),FALSE)),VLOOKUP($A144,Haver_M!$B$1:$BZ$300,MATCH(data!BB$1,Haver_M!$B$1:$BZ$1,0),FALSE),"")</f>
        <v>50.439700000000002</v>
      </c>
      <c r="BC144">
        <f>IF(ISNUMBER(VLOOKUP($A144,Haver_M!$B$1:$BZ$300,MATCH(data!BC$1,Haver_M!$B$1:$BZ$1,0),FALSE)),VLOOKUP($A144,Haver_M!$B$1:$BZ$300,MATCH(data!BC$1,Haver_M!$B$1:$BZ$1,0),FALSE),"")</f>
        <v>55.405999999999999</v>
      </c>
      <c r="BD144">
        <f>IF(ISNUMBER(VLOOKUP($A144,Haver_M!$B$1:$BZ$300,MATCH(data!BD$1,Haver_M!$B$1:$BZ$1,0),FALSE)),VLOOKUP($A144,Haver_M!$B$1:$BZ$300,MATCH(data!BD$1,Haver_M!$B$1:$BZ$1,0),FALSE),"")</f>
        <v>53.786499999999997</v>
      </c>
      <c r="BE144">
        <f>IF(ISNUMBER(VLOOKUP($A144,Haver_M!$B$1:$BZ$300,MATCH(data!BE$1,Haver_M!$B$1:$BZ$1,0),FALSE)),VLOOKUP($A144,Haver_M!$B$1:$BZ$300,MATCH(data!BE$1,Haver_M!$B$1:$BZ$1,0),FALSE),"")</f>
        <v>1.0474000000000001</v>
      </c>
      <c r="BF144">
        <f>IF(ISNUMBER(VLOOKUP($A144,Haver_M!$B$1:$BZ$300,MATCH(data!BF$1,Haver_M!$B$1:$BZ$1,0),FALSE)),VLOOKUP($A144,Haver_M!$B$1:$BZ$300,MATCH(data!BF$1,Haver_M!$B$1:$BZ$1,0),FALSE),"")</f>
        <v>49.821399999999997</v>
      </c>
      <c r="BG144">
        <f>IF(ISNUMBER(VLOOKUP($A144,Haver_M!$B$1:$BZ$300,MATCH(data!BG$1,Haver_M!$B$1:$BZ$1,0),FALSE)),VLOOKUP($A144,Haver_M!$B$1:$BZ$300,MATCH(data!BG$1,Haver_M!$B$1:$BZ$1,0),FALSE),"")</f>
        <v>56.001199999999997</v>
      </c>
      <c r="BH144">
        <f>IF(ISNUMBER(VLOOKUP($A144,Haver_M!$B$1:$BZ$300,MATCH(data!BH$1,Haver_M!$B$1:$BZ$1,0),FALSE)),VLOOKUP($A144,Haver_M!$B$1:$BZ$300,MATCH(data!BH$1,Haver_M!$B$1:$BZ$1,0),FALSE),"")</f>
        <v>52.316000000000003</v>
      </c>
      <c r="BI144">
        <f>IF(ISNUMBER(VLOOKUP($A144,Haver_M!$B$1:$BZ$300,MATCH(data!BI$1,Haver_M!$B$1:$BZ$1,0),FALSE)),VLOOKUP($A144,Haver_M!$B$1:$BZ$300,MATCH(data!BI$1,Haver_M!$B$1:$BZ$1,0),FALSE),"")</f>
        <v>57.635800000000003</v>
      </c>
      <c r="BJ144" t="str">
        <f>IF(ISNUMBER(VLOOKUP($A144,Haver_M!$B$1:$BZ$300,MATCH(data!BJ$1,Haver_M!$B$1:$BZ$1,0),FALSE)),VLOOKUP($A144,Haver_M!$B$1:$BZ$300,MATCH(data!BJ$1,Haver_M!$B$1:$BZ$1,0),FALSE),"")</f>
        <v/>
      </c>
      <c r="BK144">
        <f>IF(ISNUMBER(VLOOKUP($A144,Haver_M!$B$1:$BZ$300,MATCH(data!BK$1,Haver_M!$B$1:$BZ$1,0),FALSE)),VLOOKUP($A144,Haver_M!$B$1:$BZ$300,MATCH(data!BK$1,Haver_M!$B$1:$BZ$1,0),FALSE),"")</f>
        <v>50.0334</v>
      </c>
      <c r="BL144">
        <f>IF(ISNUMBER(VLOOKUP($A144,Haver_M!$B$1:$BZ$300,MATCH(data!BL$1,Haver_M!$B$1:$BZ$1,0),FALSE)),VLOOKUP($A144,Haver_M!$B$1:$BZ$300,MATCH(data!BL$1,Haver_M!$B$1:$BZ$1,0),FALSE),"")</f>
        <v>16664.48</v>
      </c>
      <c r="BM144">
        <f>IF(ISNUMBER(VLOOKUP($A144,Haver_M!$B$1:$BZ$300,MATCH(data!BM$1,Haver_M!$B$1:$BZ$1,0),FALSE)),VLOOKUP($A144,Haver_M!$B$1:$BZ$300,MATCH(data!BM$1,Haver_M!$B$1:$BZ$1,0),FALSE),"")</f>
        <v>96.565157249999999</v>
      </c>
      <c r="BN144" t="str">
        <f>IF(ISNUMBER(VLOOKUP($A144,Haver_M!$B$1:$BZ$300,MATCH(data!BN$1,Haver_M!$B$1:$BZ$1,0),FALSE)),VLOOKUP($A144,Haver_M!$B$1:$BZ$300,MATCH(data!BN$1,Haver_M!$B$1:$BZ$1,0),FALSE),"")</f>
        <v/>
      </c>
      <c r="BO144" t="str">
        <f>IF(ISNUMBER(VLOOKUP($A144,Haver_M!$B$1:$BZ$300,MATCH(data!BO$1,Haver_M!$B$1:$BZ$1,0),FALSE)),VLOOKUP($A144,Haver_M!$B$1:$BZ$300,MATCH(data!BO$1,Haver_M!$B$1:$BZ$1,0),FALSE),"")</f>
        <v/>
      </c>
      <c r="BP144" t="str">
        <f>IF(ISNUMBER(VLOOKUP($A144,Haver_M!$B$1:$BZ$300,MATCH(data!BP$1,Haver_M!$B$1:$BZ$1,0),FALSE)),VLOOKUP($A144,Haver_M!$B$1:$BZ$300,MATCH(data!BP$1,Haver_M!$B$1:$BZ$1,0),FALSE),"")</f>
        <v/>
      </c>
      <c r="BQ144">
        <f>IF(ISNUMBER(VLOOKUP($A144,Haver_M!$B$1:$BZ$300,MATCH(data!BQ$1,Haver_M!$B$1:$BZ$1,0),FALSE)),VLOOKUP($A144,Haver_M!$B$1:$BZ$300,MATCH(data!BQ$1,Haver_M!$B$1:$BZ$1,0),FALSE),"")</f>
        <v>143.0084199884744</v>
      </c>
      <c r="BR144">
        <f>IF(ISNUMBER(VLOOKUP($A144,Haver_M!$B$1:$BZ$300,MATCH(data!BR$1,Haver_M!$B$1:$BZ$1,0),FALSE)),VLOOKUP($A144,Haver_M!$B$1:$BZ$300,MATCH(data!BR$1,Haver_M!$B$1:$BZ$1,0),FALSE),"")</f>
        <v>343.82819368530369</v>
      </c>
      <c r="BS144">
        <f>IF(ISNUMBER(VLOOKUP($A144,Haver_M!$B$1:$BZ$300,MATCH(data!BS$1,Haver_M!$B$1:$BZ$1,0),FALSE)),VLOOKUP($A144,Haver_M!$B$1:$BZ$300,MATCH(data!BS$1,Haver_M!$B$1:$BZ$1,0),FALSE),"")</f>
        <v>183.96130856966406</v>
      </c>
      <c r="BT144">
        <f>IF(ISNUMBER(VLOOKUP($A144,Haver_M!$B$1:$BZ$300,MATCH(data!BT$1,Haver_M!$B$1:$BZ$1,0),FALSE)),VLOOKUP($A144,Haver_M!$B$1:$BZ$300,MATCH(data!BT$1,Haver_M!$B$1:$BZ$1,0),FALSE),"")</f>
        <v>761.63152273750916</v>
      </c>
      <c r="BU144">
        <f>IF(ISNUMBER(VLOOKUP($A144,Haver_M!$B$1:$BZ$300,MATCH(data!BU$1,Haver_M!$B$1:$BZ$1,0),FALSE)),VLOOKUP($A144,Haver_M!$B$1:$BZ$300,MATCH(data!BU$1,Haver_M!$B$1:$BZ$1,0),FALSE),"")</f>
        <v>23269.71</v>
      </c>
      <c r="BV144">
        <f>IF(ISNUMBER(VLOOKUP($A144,Haver_M!$B$1:$BZ$300,MATCH(data!BV$1,Haver_M!$B$1:$BZ$1,0),FALSE)),VLOOKUP($A144,Haver_M!$B$1:$BZ$300,MATCH(data!BV$1,Haver_M!$B$1:$BZ$1,0),FALSE),"")</f>
        <v>39102.480000000003</v>
      </c>
      <c r="BW144">
        <f>IF(ISNUMBER(VLOOKUP($A144,Haver_M!$B$1:$BZ$300,MATCH(data!BW$1,Haver_M!$B$1:$BZ$1,0),FALSE)),VLOOKUP($A144,Haver_M!$B$1:$BZ$300,MATCH(data!BW$1,Haver_M!$B$1:$BZ$1,0),FALSE),"")</f>
        <v>50.843299999999999</v>
      </c>
      <c r="BX144">
        <f>IF(ISNUMBER(VLOOKUP($A144,Haver_M!$B$1:$BZ$300,MATCH(data!BX$1,Haver_M!$B$1:$BZ$1,0),FALSE)),VLOOKUP($A144,Haver_M!$B$1:$BZ$300,MATCH(data!BX$1,Haver_M!$B$1:$BZ$1,0),FALSE),"")</f>
        <v>54815</v>
      </c>
    </row>
    <row r="145" spans="1:76" x14ac:dyDescent="0.25">
      <c r="A145" s="2">
        <v>40908</v>
      </c>
      <c r="B145">
        <f>IF(ISNUMBER(VLOOKUP($A145,Haver_Q!$B$1:$L$185,MATCH(data!B$1,Haver_Q!$B$1:$L$1,0),FALSE)),100*(VLOOKUP($A145,Haver_Q!$B$1:$L$185,MATCH(data!B$1,Haver_Q!$B$1:$L$1,0),FALSE)),"")</f>
        <v>12.74434084940208</v>
      </c>
      <c r="C145">
        <f>IF(ISNUMBER(VLOOKUP($A145,Haver_Q!$B$1:$L$185,MATCH(data!C$1,Haver_Q!$B$1:$L$1,0),FALSE)),100*(VLOOKUP($A145,Haver_Q!$B$1:$L$185,MATCH(data!C$1,Haver_Q!$B$1:$L$1,0),FALSE)),"")</f>
        <v>9.221843548176567</v>
      </c>
      <c r="D145">
        <f>IF(ISNUMBER(VLOOKUP($A145,Haver_Q!$B$1:$L$185,MATCH(data!D$1,Haver_Q!$B$1:$L$1,0),FALSE)),100*(VLOOKUP($A145,Haver_Q!$B$1:$L$185,MATCH(data!D$1,Haver_Q!$B$1:$L$1,0),FALSE)),"")</f>
        <v>22.414716924403177</v>
      </c>
      <c r="E145">
        <f>IF(ISNUMBER(VLOOKUP($A145,Haver_Q!$B$1:$L$185,MATCH(data!E$1,Haver_Q!$B$1:$L$1,0),FALSE)),100*(VLOOKUP($A145,Haver_Q!$B$1:$L$185,MATCH(data!E$1,Haver_Q!$B$1:$L$1,0),FALSE)),"")</f>
        <v>7.7773808796379296</v>
      </c>
      <c r="F145">
        <f>IF(ISNUMBER(VLOOKUP($A145,Haver_Q!$B$1:$L$185,MATCH(data!F$1,Haver_Q!$B$1:$L$1,0),FALSE)),100*(VLOOKUP($A145,Haver_Q!$B$1:$L$185,MATCH(data!F$1,Haver_Q!$B$1:$L$1,0),FALSE)),"")</f>
        <v>36.517910094968009</v>
      </c>
      <c r="G145">
        <f>IF(ISNUMBER(VLOOKUP($A145,Haver_Q!$B$1:$L$185,MATCH(data!G$1,Haver_Q!$B$1:$L$1,0),FALSE)),100*(VLOOKUP($A145,Haver_Q!$B$1:$L$185,MATCH(data!G$1,Haver_Q!$B$1:$L$1,0),FALSE)),"")</f>
        <v>53.92445642774473</v>
      </c>
      <c r="H145">
        <f>IF(ISNUMBER(VLOOKUP($A145,Haver_Q!$B$1:$L$185,MATCH(data!H$1,Haver_Q!$B$1:$L$1,0),FALSE)),(VLOOKUP($A145,Haver_Q!$B$1:$L$185,MATCH(data!H$1,Haver_Q!$B$1:$L$1,0),FALSE)),"")</f>
        <v>3.4300128047765317</v>
      </c>
      <c r="I145">
        <f>IF(ISNUMBER(VLOOKUP($A145,Haver_Q!$B$1:$L$185,MATCH(data!I$1,Haver_Q!$B$1:$L$1,0),FALSE)),100*(VLOOKUP($A145,Haver_Q!$B$1:$L$185,MATCH(data!I$1,Haver_Q!$B$1:$L$1,0),FALSE)),"")</f>
        <v>6.1760153151399155</v>
      </c>
      <c r="J145" s="3">
        <f>IF(ISNUMBER(Bloomberg_m!C161),Bloomberg_m!C161,"")</f>
        <v>1869</v>
      </c>
      <c r="K145" s="3">
        <f>IF(ISNUMBER(Bloomberg_m!D161),Bloomberg_m!D161,"")</f>
        <v>1215.69</v>
      </c>
      <c r="L145" s="3">
        <f>IF(ISNUMBER(Bloomberg_m!E161),Bloomberg_m!E161,"")</f>
        <v>876.34</v>
      </c>
      <c r="M145" s="3">
        <f>IF(ISNUMBER(Bloomberg_m!F161),Bloomberg_m!F161,"")</f>
        <v>435.62</v>
      </c>
      <c r="N145">
        <f>IF(ISNUMBER(VLOOKUP($A145,Haver_M!$B$1:$BZ$300,MATCH(data!N$1,Haver_M!$B$1:$BZ$1,0),FALSE)),VLOOKUP($A145,Haver_M!$B$1:$BZ$300,MATCH(data!N$1,Haver_M!$B$1:$BZ$1,0),FALSE),"")</f>
        <v>8.5</v>
      </c>
      <c r="O145">
        <f>IF(ISNUMBER(VLOOKUP($A145,Haver_M!$B$1:$BZ$300,MATCH(data!O$1,Haver_M!$B$1:$BZ$1,0),FALSE)),VLOOKUP($A145,Haver_M!$B$1:$BZ$300,MATCH(data!O$1,Haver_M!$B$1:$BZ$1,0),FALSE),"")</f>
        <v>8.5458999999999996</v>
      </c>
      <c r="P145">
        <f>IF(ISNUMBER(VLOOKUP($A145,Haver_M!$B$1:$BZ$300,MATCH(data!P$1,Haver_M!$B$1:$BZ$1,0),FALSE)),VLOOKUP($A145,Haver_M!$B$1:$BZ$300,MATCH(data!P$1,Haver_M!$B$1:$BZ$1,0),FALSE),"")</f>
        <v>89.921779999999998</v>
      </c>
      <c r="Q145">
        <f>IF(ISNUMBER(VLOOKUP($A145,Haver_M!$B$1:$BZ$300,MATCH(data!Q$1,Haver_M!$B$1:$BZ$1,0),FALSE)),VLOOKUP($A145,Haver_M!$B$1:$BZ$300,MATCH(data!Q$1,Haver_M!$B$1:$BZ$1,0),FALSE),"")</f>
        <v>94.7</v>
      </c>
      <c r="R145">
        <f>IF(ISNUMBER(VLOOKUP($A145,Haver_M!$B$1:$BZ$300,MATCH(data!R$1,Haver_M!$B$1:$BZ$1,0),FALSE)),VLOOKUP($A145,Haver_M!$B$1:$BZ$300,MATCH(data!R$1,Haver_M!$B$1:$BZ$1,0),FALSE),"")</f>
        <v>95.6</v>
      </c>
      <c r="S145">
        <f>IF(ISNUMBER(VLOOKUP($A145,Haver_M!$B$1:$BZ$300,MATCH(data!S$1,Haver_M!$B$1:$BZ$1,0),FALSE)),VLOOKUP($A145,Haver_M!$B$1:$BZ$300,MATCH(data!S$1,Haver_M!$B$1:$BZ$1,0),FALSE),"")</f>
        <v>105.01</v>
      </c>
      <c r="T145">
        <f>IF(ISNUMBER(VLOOKUP($A145,Haver_M!$B$1:$BZ$300,MATCH(data!T$1,Haver_M!$B$1:$BZ$1,0),FALSE)),VLOOKUP($A145,Haver_M!$B$1:$BZ$300,MATCH(data!T$1,Haver_M!$B$1:$BZ$1,0),FALSE),"")</f>
        <v>100.43</v>
      </c>
      <c r="U145">
        <f>IF(ISNUMBER(VLOOKUP($A145,Haver_M!$B$1:$BZ$300,MATCH(data!U$1,Haver_M!$B$1:$BZ$1,0),FALSE)),VLOOKUP($A145,Haver_M!$B$1:$BZ$300,MATCH(data!U$1,Haver_M!$B$1:$BZ$1,0),FALSE),"")</f>
        <v>110.62</v>
      </c>
      <c r="V145">
        <f>IF(ISNUMBER(VLOOKUP($A145,Haver_M!$B$1:$BZ$300,MATCH(data!V$1,Haver_M!$B$1:$BZ$1,0),FALSE)),VLOOKUP($A145,Haver_M!$B$1:$BZ$300,MATCH(data!V$1,Haver_M!$B$1:$BZ$1,0),FALSE),"")</f>
        <v>106.88</v>
      </c>
      <c r="W145" t="str">
        <f>IF(ISNUMBER(VLOOKUP($A145,Haver_M!$B$1:$BZ$300,MATCH(data!W$1,Haver_M!$B$1:$BZ$1,0),FALSE)),VLOOKUP($A145,Haver_M!$B$1:$BZ$300,MATCH(data!W$1,Haver_M!$B$1:$BZ$1,0),FALSE),"")</f>
        <v/>
      </c>
      <c r="X145">
        <f>IF(ISNUMBER(VLOOKUP($A145,Haver_M!$B$1:$BZ$300,MATCH(data!X$1,Haver_M!$B$1:$BZ$1,0),FALSE)),VLOOKUP($A145,Haver_M!$B$1:$BZ$300,MATCH(data!X$1,Haver_M!$B$1:$BZ$1,0),FALSE),"")</f>
        <v>101.18</v>
      </c>
      <c r="Y145">
        <f>IF(ISNUMBER(VLOOKUP($A145,Haver_M!$B$1:$BZ$300,MATCH(data!Y$1,Haver_M!$B$1:$BZ$1,0),FALSE)),VLOOKUP($A145,Haver_M!$B$1:$BZ$300,MATCH(data!Y$1,Haver_M!$B$1:$BZ$1,0),FALSE),"")</f>
        <v>105.46</v>
      </c>
      <c r="Z145">
        <f>IF(ISNUMBER(VLOOKUP($A145,Haver_M!$B$1:$BZ$300,MATCH(data!Z$1,Haver_M!$B$1:$BZ$1,0),FALSE)),VLOOKUP($A145,Haver_M!$B$1:$BZ$300,MATCH(data!Z$1,Haver_M!$B$1:$BZ$1,0),FALSE),"")</f>
        <v>101.6</v>
      </c>
      <c r="AA145">
        <f>IF(ISNUMBER(VLOOKUP($A145,Haver_M!$B$1:$BZ$300,MATCH(data!AA$1,Haver_M!$B$1:$BZ$1,0),FALSE)),VLOOKUP($A145,Haver_M!$B$1:$BZ$300,MATCH(data!AA$1,Haver_M!$B$1:$BZ$1,0),FALSE),"")</f>
        <v>104.098</v>
      </c>
      <c r="AB145">
        <f>IF(ISNUMBER(VLOOKUP($A145,Haver_M!$B$1:$BZ$300,MATCH(data!AB$1,Haver_M!$B$1:$BZ$1,0),FALSE)),VLOOKUP($A145,Haver_M!$B$1:$BZ$300,MATCH(data!AB$1,Haver_M!$B$1:$BZ$1,0),FALSE),"")</f>
        <v>97.53</v>
      </c>
      <c r="AC145">
        <f>IF(ISNUMBER(VLOOKUP($A145,Haver_M!$B$1:$BZ$300,MATCH(data!AC$1,Haver_M!$B$1:$BZ$1,0),FALSE)),VLOOKUP($A145,Haver_M!$B$1:$BZ$300,MATCH(data!AC$1,Haver_M!$B$1:$BZ$1,0),FALSE),"")</f>
        <v>95.832999999999998</v>
      </c>
      <c r="AD145">
        <f>IF(ISNUMBER(VLOOKUP($A145,Haver_M!$B$1:$BZ$300,MATCH(data!AD$1,Haver_M!$B$1:$BZ$1,0),FALSE)),VLOOKUP($A145,Haver_M!$B$1:$BZ$300,MATCH(data!AD$1,Haver_M!$B$1:$BZ$1,0),FALSE),"")</f>
        <v>101.628</v>
      </c>
      <c r="AE145">
        <f>IF(ISNUMBER(VLOOKUP($A145,Haver_M!$B$1:$BZ$300,MATCH(data!AE$1,Haver_M!$B$1:$BZ$1,0),FALSE)),VLOOKUP($A145,Haver_M!$B$1:$BZ$300,MATCH(data!AE$1,Haver_M!$B$1:$BZ$1,0),FALSE),"")</f>
        <v>99.563000000000002</v>
      </c>
      <c r="AF145">
        <f>IF(ISNUMBER(VLOOKUP($A145,Haver_M!$B$1:$BZ$300,MATCH(data!AF$1,Haver_M!$B$1:$BZ$1,0),FALSE)),VLOOKUP($A145,Haver_M!$B$1:$BZ$300,MATCH(data!AF$1,Haver_M!$B$1:$BZ$1,0),FALSE),"")</f>
        <v>101.803</v>
      </c>
      <c r="AG145">
        <f>IF(ISNUMBER(VLOOKUP($A145,Haver_M!$B$1:$BZ$300,MATCH(data!AG$1,Haver_M!$B$1:$BZ$1,0),FALSE)),VLOOKUP($A145,Haver_M!$B$1:$BZ$300,MATCH(data!AG$1,Haver_M!$B$1:$BZ$1,0),FALSE),"")</f>
        <v>102.679</v>
      </c>
      <c r="AH145">
        <f>IF(ISNUMBER(VLOOKUP($A145,Haver_M!$B$1:$BZ$300,MATCH(data!AH$1,Haver_M!$B$1:$BZ$1,0),FALSE)),VLOOKUP($A145,Haver_M!$B$1:$BZ$300,MATCH(data!AH$1,Haver_M!$B$1:$BZ$1,0),FALSE),"")</f>
        <v>101.3</v>
      </c>
      <c r="AI145">
        <f>IF(ISNUMBER(VLOOKUP($A145,Haver_M!$B$1:$BZ$300,MATCH(data!AI$1,Haver_M!$B$1:$BZ$1,0),FALSE)),VLOOKUP($A145,Haver_M!$B$1:$BZ$300,MATCH(data!AI$1,Haver_M!$B$1:$BZ$1,0),FALSE),"")</f>
        <v>12624.354446333255</v>
      </c>
      <c r="AJ145">
        <f>IF(ISNUMBER(VLOOKUP($A145,Haver_M!$B$1:$BZ$300,MATCH(data!AJ$1,Haver_M!$B$1:$BZ$1,0),FALSE)),VLOOKUP($A145,Haver_M!$B$1:$BZ$300,MATCH(data!AJ$1,Haver_M!$B$1:$BZ$1,0),FALSE),"")</f>
        <v>25027.7</v>
      </c>
      <c r="AK145">
        <f>IF(ISNUMBER(VLOOKUP($A145,Haver_M!$B$1:$BZ$300,MATCH(data!AK$1,Haver_M!$B$1:$BZ$1,0),FALSE)),VLOOKUP($A145,Haver_M!$B$1:$BZ$300,MATCH(data!AK$1,Haver_M!$B$1:$BZ$1,0),FALSE),"")</f>
        <v>40401.040000000001</v>
      </c>
      <c r="AL145">
        <f>IF(ISNUMBER(VLOOKUP($A145,Haver_M!$B$1:$BZ$300,MATCH(data!AL$1,Haver_M!$B$1:$BZ$1,0),FALSE)),VLOOKUP($A145,Haver_M!$B$1:$BZ$300,MATCH(data!AL$1,Haver_M!$B$1:$BZ$1,0),FALSE),"")</f>
        <v>11181</v>
      </c>
      <c r="AM145">
        <f>IF(ISNUMBER(VLOOKUP($A145,Haver_M!$B$1:$BZ$300,MATCH(data!AM$1,Haver_M!$B$1:$BZ$1,0),FALSE)),VLOOKUP($A145,Haver_M!$B$1:$BZ$300,MATCH(data!AM$1,Haver_M!$B$1:$BZ$1,0),FALSE),"")</f>
        <v>7656</v>
      </c>
      <c r="AN145">
        <f>IF(ISNUMBER(VLOOKUP($A145,Haver_M!$B$1:$BZ$300,MATCH(data!AN$1,Haver_M!$B$1:$BZ$1,0),FALSE)),VLOOKUP($A145,Haver_M!$B$1:$BZ$300,MATCH(data!AN$1,Haver_M!$B$1:$BZ$1,0),FALSE),"")</f>
        <v>116.2</v>
      </c>
      <c r="AO145">
        <f>IF(ISNUMBER(VLOOKUP($A145,Haver_M!$B$1:$BZ$300,MATCH(data!AO$1,Haver_M!$B$1:$BZ$1,0),FALSE)),VLOOKUP($A145,Haver_M!$B$1:$BZ$300,MATCH(data!AO$1,Haver_M!$B$1:$BZ$1,0),FALSE),"")</f>
        <v>120.2</v>
      </c>
      <c r="AP145">
        <f>IF(ISNUMBER(VLOOKUP($A145,Haver_M!$B$1:$BZ$300,MATCH(data!AP$1,Haver_M!$B$1:$BZ$1,0),FALSE)),VLOOKUP($A145,Haver_M!$B$1:$BZ$300,MATCH(data!AP$1,Haver_M!$B$1:$BZ$1,0),FALSE),"")</f>
        <v>220.21654228233541</v>
      </c>
      <c r="AQ145">
        <f>IF(ISNUMBER(VLOOKUP($A145,Haver_M!$B$1:$BZ$300,MATCH(data!AQ$1,Haver_M!$B$1:$BZ$1,0),FALSE)),VLOOKUP($A145,Haver_M!$B$1:$BZ$300,MATCH(data!AQ$1,Haver_M!$B$1:$BZ$1,0),FALSE),"")</f>
        <v>54.744799999999998</v>
      </c>
      <c r="AR145">
        <f>IF(ISNUMBER(VLOOKUP($A145,Haver_M!$B$1:$BZ$300,MATCH(data!AR$1,Haver_M!$B$1:$BZ$1,0),FALSE)),VLOOKUP($A145,Haver_M!$B$1:$BZ$300,MATCH(data!AR$1,Haver_M!$B$1:$BZ$1,0),FALSE),"")</f>
        <v>54.161099999999998</v>
      </c>
      <c r="AS145">
        <f>IF(ISNUMBER(VLOOKUP($A145,Haver_M!$B$1:$BZ$300,MATCH(data!AS$1,Haver_M!$B$1:$BZ$1,0),FALSE)),VLOOKUP($A145,Haver_M!$B$1:$BZ$300,MATCH(data!AS$1,Haver_M!$B$1:$BZ$1,0),FALSE),"")</f>
        <v>54.236800000000002</v>
      </c>
      <c r="AT145">
        <f>IF(ISNUMBER(VLOOKUP($A145,Haver_M!$B$1:$BZ$300,MATCH(data!AT$1,Haver_M!$B$1:$BZ$1,0),FALSE)),VLOOKUP($A145,Haver_M!$B$1:$BZ$300,MATCH(data!AT$1,Haver_M!$B$1:$BZ$1,0),FALSE),"")</f>
        <v>55.799300000000002</v>
      </c>
      <c r="AU145">
        <f>IF(ISNUMBER(VLOOKUP($A145,Haver_M!$B$1:$BZ$300,MATCH(data!AU$1,Haver_M!$B$1:$BZ$1,0),FALSE)),VLOOKUP($A145,Haver_M!$B$1:$BZ$300,MATCH(data!AU$1,Haver_M!$B$1:$BZ$1,0),FALSE),"")</f>
        <v>57.860599999999998</v>
      </c>
      <c r="AV145">
        <f>IF(ISNUMBER(VLOOKUP($A145,Haver_M!$B$1:$BZ$300,MATCH(data!AV$1,Haver_M!$B$1:$BZ$1,0),FALSE)),VLOOKUP($A145,Haver_M!$B$1:$BZ$300,MATCH(data!AV$1,Haver_M!$B$1:$BZ$1,0),FALSE),"")</f>
        <v>50.376600000000003</v>
      </c>
      <c r="AW145">
        <f>IF(ISNUMBER(VLOOKUP($A145,Haver_M!$B$1:$BZ$300,MATCH(data!AW$1,Haver_M!$B$1:$BZ$1,0),FALSE)),VLOOKUP($A145,Haver_M!$B$1:$BZ$300,MATCH(data!AW$1,Haver_M!$B$1:$BZ$1,0),FALSE),"")</f>
        <v>50.472200000000001</v>
      </c>
      <c r="AX145">
        <f>IF(ISNUMBER(VLOOKUP($A145,Haver_M!$B$1:$BZ$300,MATCH(data!AX$1,Haver_M!$B$1:$BZ$1,0),FALSE)),VLOOKUP($A145,Haver_M!$B$1:$BZ$300,MATCH(data!AX$1,Haver_M!$B$1:$BZ$1,0),FALSE),"")</f>
        <v>53.485700000000001</v>
      </c>
      <c r="AY145">
        <f>IF(ISNUMBER(VLOOKUP($A145,Haver_M!$B$1:$BZ$300,MATCH(data!AY$1,Haver_M!$B$1:$BZ$1,0),FALSE)),VLOOKUP($A145,Haver_M!$B$1:$BZ$300,MATCH(data!AY$1,Haver_M!$B$1:$BZ$1,0),FALSE),"")</f>
        <v>62.712600000000002</v>
      </c>
      <c r="AZ145">
        <f>IF(ISNUMBER(VLOOKUP($A145,Haver_M!$B$1:$BZ$300,MATCH(data!AZ$1,Haver_M!$B$1:$BZ$1,0),FALSE)),VLOOKUP($A145,Haver_M!$B$1:$BZ$300,MATCH(data!AZ$1,Haver_M!$B$1:$BZ$1,0),FALSE),"")</f>
        <v>55.686999999999998</v>
      </c>
      <c r="BA145">
        <f>IF(ISNUMBER(VLOOKUP($A145,Haver_M!$B$1:$BZ$300,MATCH(data!BA$1,Haver_M!$B$1:$BZ$1,0),FALSE)),VLOOKUP($A145,Haver_M!$B$1:$BZ$300,MATCH(data!BA$1,Haver_M!$B$1:$BZ$1,0),FALSE),"")</f>
        <v>53.485700000000001</v>
      </c>
      <c r="BB145">
        <f>IF(ISNUMBER(VLOOKUP($A145,Haver_M!$B$1:$BZ$300,MATCH(data!BB$1,Haver_M!$B$1:$BZ$1,0),FALSE)),VLOOKUP($A145,Haver_M!$B$1:$BZ$300,MATCH(data!BB$1,Haver_M!$B$1:$BZ$1,0),FALSE),"")</f>
        <v>54.079799999999999</v>
      </c>
      <c r="BC145">
        <f>IF(ISNUMBER(VLOOKUP($A145,Haver_M!$B$1:$BZ$300,MATCH(data!BC$1,Haver_M!$B$1:$BZ$1,0),FALSE)),VLOOKUP($A145,Haver_M!$B$1:$BZ$300,MATCH(data!BC$1,Haver_M!$B$1:$BZ$1,0),FALSE),"")</f>
        <v>56.239899999999999</v>
      </c>
      <c r="BD145">
        <f>IF(ISNUMBER(VLOOKUP($A145,Haver_M!$B$1:$BZ$300,MATCH(data!BD$1,Haver_M!$B$1:$BZ$1,0),FALSE)),VLOOKUP($A145,Haver_M!$B$1:$BZ$300,MATCH(data!BD$1,Haver_M!$B$1:$BZ$1,0),FALSE),"")</f>
        <v>52.639699999999998</v>
      </c>
      <c r="BE145">
        <f>IF(ISNUMBER(VLOOKUP($A145,Haver_M!$B$1:$BZ$300,MATCH(data!BE$1,Haver_M!$B$1:$BZ$1,0),FALSE)),VLOOKUP($A145,Haver_M!$B$1:$BZ$300,MATCH(data!BE$1,Haver_M!$B$1:$BZ$1,0),FALSE),"")</f>
        <v>1.1407</v>
      </c>
      <c r="BF145">
        <f>IF(ISNUMBER(VLOOKUP($A145,Haver_M!$B$1:$BZ$300,MATCH(data!BF$1,Haver_M!$B$1:$BZ$1,0),FALSE)),VLOOKUP($A145,Haver_M!$B$1:$BZ$300,MATCH(data!BF$1,Haver_M!$B$1:$BZ$1,0),FALSE),"")</f>
        <v>50.555100000000003</v>
      </c>
      <c r="BG145">
        <f>IF(ISNUMBER(VLOOKUP($A145,Haver_M!$B$1:$BZ$300,MATCH(data!BG$1,Haver_M!$B$1:$BZ$1,0),FALSE)),VLOOKUP($A145,Haver_M!$B$1:$BZ$300,MATCH(data!BG$1,Haver_M!$B$1:$BZ$1,0),FALSE),"")</f>
        <v>57.2864</v>
      </c>
      <c r="BH145">
        <f>IF(ISNUMBER(VLOOKUP($A145,Haver_M!$B$1:$BZ$300,MATCH(data!BH$1,Haver_M!$B$1:$BZ$1,0),FALSE)),VLOOKUP($A145,Haver_M!$B$1:$BZ$300,MATCH(data!BH$1,Haver_M!$B$1:$BZ$1,0),FALSE),"")</f>
        <v>55.7425</v>
      </c>
      <c r="BI145">
        <f>IF(ISNUMBER(VLOOKUP($A145,Haver_M!$B$1:$BZ$300,MATCH(data!BI$1,Haver_M!$B$1:$BZ$1,0),FALSE)),VLOOKUP($A145,Haver_M!$B$1:$BZ$300,MATCH(data!BI$1,Haver_M!$B$1:$BZ$1,0),FALSE),"")</f>
        <v>59.099200000000003</v>
      </c>
      <c r="BJ145" t="str">
        <f>IF(ISNUMBER(VLOOKUP($A145,Haver_M!$B$1:$BZ$300,MATCH(data!BJ$1,Haver_M!$B$1:$BZ$1,0),FALSE)),VLOOKUP($A145,Haver_M!$B$1:$BZ$300,MATCH(data!BJ$1,Haver_M!$B$1:$BZ$1,0),FALSE),"")</f>
        <v/>
      </c>
      <c r="BK145">
        <f>IF(ISNUMBER(VLOOKUP($A145,Haver_M!$B$1:$BZ$300,MATCH(data!BK$1,Haver_M!$B$1:$BZ$1,0),FALSE)),VLOOKUP($A145,Haver_M!$B$1:$BZ$300,MATCH(data!BK$1,Haver_M!$B$1:$BZ$1,0),FALSE),"")</f>
        <v>50.385599999999997</v>
      </c>
      <c r="BL145">
        <f>IF(ISNUMBER(VLOOKUP($A145,Haver_M!$B$1:$BZ$300,MATCH(data!BL$1,Haver_M!$B$1:$BZ$1,0),FALSE)),VLOOKUP($A145,Haver_M!$B$1:$BZ$300,MATCH(data!BL$1,Haver_M!$B$1:$BZ$1,0),FALSE),"")</f>
        <v>15959.97</v>
      </c>
      <c r="BM145">
        <f>IF(ISNUMBER(VLOOKUP($A145,Haver_M!$B$1:$BZ$300,MATCH(data!BM$1,Haver_M!$B$1:$BZ$1,0),FALSE)),VLOOKUP($A145,Haver_M!$B$1:$BZ$300,MATCH(data!BM$1,Haver_M!$B$1:$BZ$1,0),FALSE),"")</f>
        <v>97.525768529999993</v>
      </c>
      <c r="BN145">
        <f>IF(ISNUMBER(VLOOKUP($A145,Haver_M!$B$1:$BZ$300,MATCH(data!BN$1,Haver_M!$B$1:$BZ$1,0),FALSE)),VLOOKUP($A145,Haver_M!$B$1:$BZ$300,MATCH(data!BN$1,Haver_M!$B$1:$BZ$1,0),FALSE),"")</f>
        <v>110.1</v>
      </c>
      <c r="BO145">
        <f>IF(ISNUMBER(VLOOKUP($A145,Haver_M!$B$1:$BZ$300,MATCH(data!BO$1,Haver_M!$B$1:$BZ$1,0),FALSE)),VLOOKUP($A145,Haver_M!$B$1:$BZ$300,MATCH(data!BO$1,Haver_M!$B$1:$BZ$1,0),FALSE),"")</f>
        <v>118.8</v>
      </c>
      <c r="BP145">
        <f>IF(ISNUMBER(VLOOKUP($A145,Haver_M!$B$1:$BZ$300,MATCH(data!BP$1,Haver_M!$B$1:$BZ$1,0),FALSE)),VLOOKUP($A145,Haver_M!$B$1:$BZ$300,MATCH(data!BP$1,Haver_M!$B$1:$BZ$1,0),FALSE),"")</f>
        <v>35.200000000000003</v>
      </c>
      <c r="BQ145">
        <f>IF(ISNUMBER(VLOOKUP($A145,Haver_M!$B$1:$BZ$300,MATCH(data!BQ$1,Haver_M!$B$1:$BZ$1,0),FALSE)),VLOOKUP($A145,Haver_M!$B$1:$BZ$300,MATCH(data!BQ$1,Haver_M!$B$1:$BZ$1,0),FALSE),"")</f>
        <v>144.00164806580111</v>
      </c>
      <c r="BR145">
        <f>IF(ISNUMBER(VLOOKUP($A145,Haver_M!$B$1:$BZ$300,MATCH(data!BR$1,Haver_M!$B$1:$BZ$1,0),FALSE)),VLOOKUP($A145,Haver_M!$B$1:$BZ$300,MATCH(data!BR$1,Haver_M!$B$1:$BZ$1,0),FALSE),"")</f>
        <v>348.55699307736415</v>
      </c>
      <c r="BS145">
        <f>IF(ISNUMBER(VLOOKUP($A145,Haver_M!$B$1:$BZ$300,MATCH(data!BS$1,Haver_M!$B$1:$BZ$1,0),FALSE)),VLOOKUP($A145,Haver_M!$B$1:$BZ$300,MATCH(data!BS$1,Haver_M!$B$1:$BZ$1,0),FALSE),"")</f>
        <v>184.19128955452859</v>
      </c>
      <c r="BT145">
        <f>IF(ISNUMBER(VLOOKUP($A145,Haver_M!$B$1:$BZ$300,MATCH(data!BT$1,Haver_M!$B$1:$BZ$1,0),FALSE)),VLOOKUP($A145,Haver_M!$B$1:$BZ$300,MATCH(data!BT$1,Haver_M!$B$1:$BZ$1,0),FALSE),"")</f>
        <v>768.16878624130879</v>
      </c>
      <c r="BU145">
        <f>IF(ISNUMBER(VLOOKUP($A145,Haver_M!$B$1:$BZ$300,MATCH(data!BU$1,Haver_M!$B$1:$BZ$1,0),FALSE)),VLOOKUP($A145,Haver_M!$B$1:$BZ$300,MATCH(data!BU$1,Haver_M!$B$1:$BZ$1,0),FALSE),"")</f>
        <v>25365.69</v>
      </c>
      <c r="BV145">
        <f>IF(ISNUMBER(VLOOKUP($A145,Haver_M!$B$1:$BZ$300,MATCH(data!BV$1,Haver_M!$B$1:$BZ$1,0),FALSE)),VLOOKUP($A145,Haver_M!$B$1:$BZ$300,MATCH(data!BV$1,Haver_M!$B$1:$BZ$1,0),FALSE),"")</f>
        <v>40044.06</v>
      </c>
      <c r="BW145">
        <f>IF(ISNUMBER(VLOOKUP($A145,Haver_M!$B$1:$BZ$300,MATCH(data!BW$1,Haver_M!$B$1:$BZ$1,0),FALSE)),VLOOKUP($A145,Haver_M!$B$1:$BZ$300,MATCH(data!BW$1,Haver_M!$B$1:$BZ$1,0),FALSE),"")</f>
        <v>52.6678</v>
      </c>
      <c r="BX145">
        <f>IF(ISNUMBER(VLOOKUP($A145,Haver_M!$B$1:$BZ$300,MATCH(data!BX$1,Haver_M!$B$1:$BZ$1,0),FALSE)),VLOOKUP($A145,Haver_M!$B$1:$BZ$300,MATCH(data!BX$1,Haver_M!$B$1:$BZ$1,0),FALSE),"")</f>
        <v>55489</v>
      </c>
    </row>
    <row r="146" spans="1:76" x14ac:dyDescent="0.25">
      <c r="A146" s="2">
        <v>40939</v>
      </c>
      <c r="B146" t="str">
        <f>IF(ISNUMBER(VLOOKUP($A146,Haver_Q!$B$1:$L$185,MATCH(data!B$1,Haver_Q!$B$1:$L$1,0),FALSE)),100*(VLOOKUP($A146,Haver_Q!$B$1:$L$185,MATCH(data!B$1,Haver_Q!$B$1:$L$1,0),FALSE)),"")</f>
        <v/>
      </c>
      <c r="C146" t="str">
        <f>IF(ISNUMBER(VLOOKUP($A146,Haver_Q!$B$1:$L$185,MATCH(data!C$1,Haver_Q!$B$1:$L$1,0),FALSE)),100*(VLOOKUP($A146,Haver_Q!$B$1:$L$185,MATCH(data!C$1,Haver_Q!$B$1:$L$1,0),FALSE)),"")</f>
        <v/>
      </c>
      <c r="D146" t="str">
        <f>IF(ISNUMBER(VLOOKUP($A146,Haver_Q!$B$1:$L$185,MATCH(data!D$1,Haver_Q!$B$1:$L$1,0),FALSE)),100*(VLOOKUP($A146,Haver_Q!$B$1:$L$185,MATCH(data!D$1,Haver_Q!$B$1:$L$1,0),FALSE)),"")</f>
        <v/>
      </c>
      <c r="E146" t="str">
        <f>IF(ISNUMBER(VLOOKUP($A146,Haver_Q!$B$1:$L$185,MATCH(data!E$1,Haver_Q!$B$1:$L$1,0),FALSE)),100*(VLOOKUP($A146,Haver_Q!$B$1:$L$185,MATCH(data!E$1,Haver_Q!$B$1:$L$1,0),FALSE)),"")</f>
        <v/>
      </c>
      <c r="F146" t="str">
        <f>IF(ISNUMBER(VLOOKUP($A146,Haver_Q!$B$1:$L$185,MATCH(data!F$1,Haver_Q!$B$1:$L$1,0),FALSE)),100*(VLOOKUP($A146,Haver_Q!$B$1:$L$185,MATCH(data!F$1,Haver_Q!$B$1:$L$1,0),FALSE)),"")</f>
        <v/>
      </c>
      <c r="G146" t="str">
        <f>IF(ISNUMBER(VLOOKUP($A146,Haver_Q!$B$1:$L$185,MATCH(data!G$1,Haver_Q!$B$1:$L$1,0),FALSE)),100*(VLOOKUP($A146,Haver_Q!$B$1:$L$185,MATCH(data!G$1,Haver_Q!$B$1:$L$1,0),FALSE)),"")</f>
        <v/>
      </c>
      <c r="H146" t="str">
        <f>IF(ISNUMBER(VLOOKUP($A146,Haver_Q!$B$1:$L$185,MATCH(data!H$1,Haver_Q!$B$1:$L$1,0),FALSE)),(VLOOKUP($A146,Haver_Q!$B$1:$L$185,MATCH(data!H$1,Haver_Q!$B$1:$L$1,0),FALSE)),"")</f>
        <v/>
      </c>
      <c r="I146" t="str">
        <f>IF(ISNUMBER(VLOOKUP($A146,Haver_Q!$B$1:$L$185,MATCH(data!I$1,Haver_Q!$B$1:$L$1,0),FALSE)),100*(VLOOKUP($A146,Haver_Q!$B$1:$L$185,MATCH(data!I$1,Haver_Q!$B$1:$L$1,0),FALSE)),"")</f>
        <v/>
      </c>
      <c r="J146" s="3">
        <f>IF(ISNUMBER(Bloomberg_m!C162),Bloomberg_m!C162,"")</f>
        <v>1039</v>
      </c>
      <c r="K146" s="3">
        <f>IF(ISNUMBER(Bloomberg_m!D162),Bloomberg_m!D162,"")</f>
        <v>1495.43</v>
      </c>
      <c r="L146" s="3">
        <f>IF(ISNUMBER(Bloomberg_m!E162),Bloomberg_m!E162,"")</f>
        <v>979.64</v>
      </c>
      <c r="M146" s="3">
        <f>IF(ISNUMBER(Bloomberg_m!F162),Bloomberg_m!F162,"")</f>
        <v>464.71</v>
      </c>
      <c r="N146">
        <f>IF(ISNUMBER(VLOOKUP($A146,Haver_M!$B$1:$BZ$300,MATCH(data!N$1,Haver_M!$B$1:$BZ$1,0),FALSE)),VLOOKUP($A146,Haver_M!$B$1:$BZ$300,MATCH(data!N$1,Haver_M!$B$1:$BZ$1,0),FALSE),"")</f>
        <v>8.5</v>
      </c>
      <c r="O146">
        <f>IF(ISNUMBER(VLOOKUP($A146,Haver_M!$B$1:$BZ$300,MATCH(data!O$1,Haver_M!$B$1:$BZ$1,0),FALSE)),VLOOKUP($A146,Haver_M!$B$1:$BZ$300,MATCH(data!O$1,Haver_M!$B$1:$BZ$1,0),FALSE),"")</f>
        <v>8.2878000000000007</v>
      </c>
      <c r="P146">
        <f>IF(ISNUMBER(VLOOKUP($A146,Haver_M!$B$1:$BZ$300,MATCH(data!P$1,Haver_M!$B$1:$BZ$1,0),FALSE)),VLOOKUP($A146,Haver_M!$B$1:$BZ$300,MATCH(data!P$1,Haver_M!$B$1:$BZ$1,0),FALSE),"")</f>
        <v>92.668180000000007</v>
      </c>
      <c r="Q146">
        <f>IF(ISNUMBER(VLOOKUP($A146,Haver_M!$B$1:$BZ$300,MATCH(data!Q$1,Haver_M!$B$1:$BZ$1,0),FALSE)),VLOOKUP($A146,Haver_M!$B$1:$BZ$300,MATCH(data!Q$1,Haver_M!$B$1:$BZ$1,0),FALSE),"")</f>
        <v>95.1</v>
      </c>
      <c r="R146">
        <f>IF(ISNUMBER(VLOOKUP($A146,Haver_M!$B$1:$BZ$300,MATCH(data!R$1,Haver_M!$B$1:$BZ$1,0),FALSE)),VLOOKUP($A146,Haver_M!$B$1:$BZ$300,MATCH(data!R$1,Haver_M!$B$1:$BZ$1,0),FALSE),"")</f>
        <v>96.3</v>
      </c>
      <c r="S146">
        <f>IF(ISNUMBER(VLOOKUP($A146,Haver_M!$B$1:$BZ$300,MATCH(data!S$1,Haver_M!$B$1:$BZ$1,0),FALSE)),VLOOKUP($A146,Haver_M!$B$1:$BZ$300,MATCH(data!S$1,Haver_M!$B$1:$BZ$1,0),FALSE),"")</f>
        <v>103.88</v>
      </c>
      <c r="T146">
        <f>IF(ISNUMBER(VLOOKUP($A146,Haver_M!$B$1:$BZ$300,MATCH(data!T$1,Haver_M!$B$1:$BZ$1,0),FALSE)),VLOOKUP($A146,Haver_M!$B$1:$BZ$300,MATCH(data!T$1,Haver_M!$B$1:$BZ$1,0),FALSE),"")</f>
        <v>99.31</v>
      </c>
      <c r="U146">
        <f>IF(ISNUMBER(VLOOKUP($A146,Haver_M!$B$1:$BZ$300,MATCH(data!U$1,Haver_M!$B$1:$BZ$1,0),FALSE)),VLOOKUP($A146,Haver_M!$B$1:$BZ$300,MATCH(data!U$1,Haver_M!$B$1:$BZ$1,0),FALSE),"")</f>
        <v>116.52</v>
      </c>
      <c r="V146">
        <f>IF(ISNUMBER(VLOOKUP($A146,Haver_M!$B$1:$BZ$300,MATCH(data!V$1,Haver_M!$B$1:$BZ$1,0),FALSE)),VLOOKUP($A146,Haver_M!$B$1:$BZ$300,MATCH(data!V$1,Haver_M!$B$1:$BZ$1,0),FALSE),"")</f>
        <v>105.54</v>
      </c>
      <c r="W146" t="str">
        <f>IF(ISNUMBER(VLOOKUP($A146,Haver_M!$B$1:$BZ$300,MATCH(data!W$1,Haver_M!$B$1:$BZ$1,0),FALSE)),VLOOKUP($A146,Haver_M!$B$1:$BZ$300,MATCH(data!W$1,Haver_M!$B$1:$BZ$1,0),FALSE),"")</f>
        <v/>
      </c>
      <c r="X146">
        <f>IF(ISNUMBER(VLOOKUP($A146,Haver_M!$B$1:$BZ$300,MATCH(data!X$1,Haver_M!$B$1:$BZ$1,0),FALSE)),VLOOKUP($A146,Haver_M!$B$1:$BZ$300,MATCH(data!X$1,Haver_M!$B$1:$BZ$1,0),FALSE),"")</f>
        <v>93.19</v>
      </c>
      <c r="Y146">
        <f>IF(ISNUMBER(VLOOKUP($A146,Haver_M!$B$1:$BZ$300,MATCH(data!Y$1,Haver_M!$B$1:$BZ$1,0),FALSE)),VLOOKUP($A146,Haver_M!$B$1:$BZ$300,MATCH(data!Y$1,Haver_M!$B$1:$BZ$1,0),FALSE),"")</f>
        <v>105.38</v>
      </c>
      <c r="Z146">
        <f>IF(ISNUMBER(VLOOKUP($A146,Haver_M!$B$1:$BZ$300,MATCH(data!Z$1,Haver_M!$B$1:$BZ$1,0),FALSE)),VLOOKUP($A146,Haver_M!$B$1:$BZ$300,MATCH(data!Z$1,Haver_M!$B$1:$BZ$1,0),FALSE),"")</f>
        <v>100.4</v>
      </c>
      <c r="AA146">
        <f>IF(ISNUMBER(VLOOKUP($A146,Haver_M!$B$1:$BZ$300,MATCH(data!AA$1,Haver_M!$B$1:$BZ$1,0),FALSE)),VLOOKUP($A146,Haver_M!$B$1:$BZ$300,MATCH(data!AA$1,Haver_M!$B$1:$BZ$1,0),FALSE),"")</f>
        <v>103.85599999999999</v>
      </c>
      <c r="AB146">
        <f>IF(ISNUMBER(VLOOKUP($A146,Haver_M!$B$1:$BZ$300,MATCH(data!AB$1,Haver_M!$B$1:$BZ$1,0),FALSE)),VLOOKUP($A146,Haver_M!$B$1:$BZ$300,MATCH(data!AB$1,Haver_M!$B$1:$BZ$1,0),FALSE),"")</f>
        <v>98.61</v>
      </c>
      <c r="AC146">
        <f>IF(ISNUMBER(VLOOKUP($A146,Haver_M!$B$1:$BZ$300,MATCH(data!AC$1,Haver_M!$B$1:$BZ$1,0),FALSE)),VLOOKUP($A146,Haver_M!$B$1:$BZ$300,MATCH(data!AC$1,Haver_M!$B$1:$BZ$1,0),FALSE),"")</f>
        <v>96.206000000000003</v>
      </c>
      <c r="AD146">
        <f>IF(ISNUMBER(VLOOKUP($A146,Haver_M!$B$1:$BZ$300,MATCH(data!AD$1,Haver_M!$B$1:$BZ$1,0),FALSE)),VLOOKUP($A146,Haver_M!$B$1:$BZ$300,MATCH(data!AD$1,Haver_M!$B$1:$BZ$1,0),FALSE),"")</f>
        <v>98.88</v>
      </c>
      <c r="AE146">
        <f>IF(ISNUMBER(VLOOKUP($A146,Haver_M!$B$1:$BZ$300,MATCH(data!AE$1,Haver_M!$B$1:$BZ$1,0),FALSE)),VLOOKUP($A146,Haver_M!$B$1:$BZ$300,MATCH(data!AE$1,Haver_M!$B$1:$BZ$1,0),FALSE),"")</f>
        <v>102.44199999999999</v>
      </c>
      <c r="AF146">
        <f>IF(ISNUMBER(VLOOKUP($A146,Haver_M!$B$1:$BZ$300,MATCH(data!AF$1,Haver_M!$B$1:$BZ$1,0),FALSE)),VLOOKUP($A146,Haver_M!$B$1:$BZ$300,MATCH(data!AF$1,Haver_M!$B$1:$BZ$1,0),FALSE),"")</f>
        <v>100.831</v>
      </c>
      <c r="AG146">
        <f>IF(ISNUMBER(VLOOKUP($A146,Haver_M!$B$1:$BZ$300,MATCH(data!AG$1,Haver_M!$B$1:$BZ$1,0),FALSE)),VLOOKUP($A146,Haver_M!$B$1:$BZ$300,MATCH(data!AG$1,Haver_M!$B$1:$BZ$1,0),FALSE),"")</f>
        <v>103.172</v>
      </c>
      <c r="AH146">
        <f>IF(ISNUMBER(VLOOKUP($A146,Haver_M!$B$1:$BZ$300,MATCH(data!AH$1,Haver_M!$B$1:$BZ$1,0),FALSE)),VLOOKUP($A146,Haver_M!$B$1:$BZ$300,MATCH(data!AH$1,Haver_M!$B$1:$BZ$1,0),FALSE),"")</f>
        <v>100.592</v>
      </c>
      <c r="AI146">
        <f>IF(ISNUMBER(VLOOKUP($A146,Haver_M!$B$1:$BZ$300,MATCH(data!AI$1,Haver_M!$B$1:$BZ$1,0),FALSE)),VLOOKUP($A146,Haver_M!$B$1:$BZ$300,MATCH(data!AI$1,Haver_M!$B$1:$BZ$1,0),FALSE),"")</f>
        <v>12049.723100233678</v>
      </c>
      <c r="AJ146">
        <f>IF(ISNUMBER(VLOOKUP($A146,Haver_M!$B$1:$BZ$300,MATCH(data!AJ$1,Haver_M!$B$1:$BZ$1,0),FALSE)),VLOOKUP($A146,Haver_M!$B$1:$BZ$300,MATCH(data!AJ$1,Haver_M!$B$1:$BZ$1,0),FALSE),"")</f>
        <v>25559.4</v>
      </c>
      <c r="AK146">
        <f>IF(ISNUMBER(VLOOKUP($A146,Haver_M!$B$1:$BZ$300,MATCH(data!AK$1,Haver_M!$B$1:$BZ$1,0),FALSE)),VLOOKUP($A146,Haver_M!$B$1:$BZ$300,MATCH(data!AK$1,Haver_M!$B$1:$BZ$1,0),FALSE),"")</f>
        <v>42667.83</v>
      </c>
      <c r="AL146">
        <f>IF(ISNUMBER(VLOOKUP($A146,Haver_M!$B$1:$BZ$300,MATCH(data!AL$1,Haver_M!$B$1:$BZ$1,0),FALSE)),VLOOKUP($A146,Haver_M!$B$1:$BZ$300,MATCH(data!AL$1,Haver_M!$B$1:$BZ$1,0),FALSE),"")</f>
        <v>11027</v>
      </c>
      <c r="AM146">
        <f>IF(ISNUMBER(VLOOKUP($A146,Haver_M!$B$1:$BZ$300,MATCH(data!AM$1,Haver_M!$B$1:$BZ$1,0),FALSE)),VLOOKUP($A146,Haver_M!$B$1:$BZ$300,MATCH(data!AM$1,Haver_M!$B$1:$BZ$1,0),FALSE),"")</f>
        <v>7332</v>
      </c>
      <c r="AN146" t="str">
        <f>IF(ISNUMBER(VLOOKUP($A146,Haver_M!$B$1:$BZ$300,MATCH(data!AN$1,Haver_M!$B$1:$BZ$1,0),FALSE)),VLOOKUP($A146,Haver_M!$B$1:$BZ$300,MATCH(data!AN$1,Haver_M!$B$1:$BZ$1,0),FALSE),"")</f>
        <v/>
      </c>
      <c r="AO146" t="str">
        <f>IF(ISNUMBER(VLOOKUP($A146,Haver_M!$B$1:$BZ$300,MATCH(data!AO$1,Haver_M!$B$1:$BZ$1,0),FALSE)),VLOOKUP($A146,Haver_M!$B$1:$BZ$300,MATCH(data!AO$1,Haver_M!$B$1:$BZ$1,0),FALSE),"")</f>
        <v/>
      </c>
      <c r="AP146">
        <f>IF(ISNUMBER(VLOOKUP($A146,Haver_M!$B$1:$BZ$300,MATCH(data!AP$1,Haver_M!$B$1:$BZ$1,0),FALSE)),VLOOKUP($A146,Haver_M!$B$1:$BZ$300,MATCH(data!AP$1,Haver_M!$B$1:$BZ$1,0),FALSE),"")</f>
        <v>188.07020348199407</v>
      </c>
      <c r="AQ146">
        <f>IF(ISNUMBER(VLOOKUP($A146,Haver_M!$B$1:$BZ$300,MATCH(data!AQ$1,Haver_M!$B$1:$BZ$1,0),FALSE)),VLOOKUP($A146,Haver_M!$B$1:$BZ$300,MATCH(data!AQ$1,Haver_M!$B$1:$BZ$1,0),FALSE),"")</f>
        <v>59.569600000000001</v>
      </c>
      <c r="AR146">
        <f>IF(ISNUMBER(VLOOKUP($A146,Haver_M!$B$1:$BZ$300,MATCH(data!AR$1,Haver_M!$B$1:$BZ$1,0),FALSE)),VLOOKUP($A146,Haver_M!$B$1:$BZ$300,MATCH(data!AR$1,Haver_M!$B$1:$BZ$1,0),FALSE),"")</f>
        <v>57.488199999999999</v>
      </c>
      <c r="AS146">
        <f>IF(ISNUMBER(VLOOKUP($A146,Haver_M!$B$1:$BZ$300,MATCH(data!AS$1,Haver_M!$B$1:$BZ$1,0),FALSE)),VLOOKUP($A146,Haver_M!$B$1:$BZ$300,MATCH(data!AS$1,Haver_M!$B$1:$BZ$1,0),FALSE),"")</f>
        <v>57.982399999999998</v>
      </c>
      <c r="AT146">
        <f>IF(ISNUMBER(VLOOKUP($A146,Haver_M!$B$1:$BZ$300,MATCH(data!AT$1,Haver_M!$B$1:$BZ$1,0),FALSE)),VLOOKUP($A146,Haver_M!$B$1:$BZ$300,MATCH(data!AT$1,Haver_M!$B$1:$BZ$1,0),FALSE),"")</f>
        <v>62.864199999999997</v>
      </c>
      <c r="AU146">
        <f>IF(ISNUMBER(VLOOKUP($A146,Haver_M!$B$1:$BZ$300,MATCH(data!AU$1,Haver_M!$B$1:$BZ$1,0),FALSE)),VLOOKUP($A146,Haver_M!$B$1:$BZ$300,MATCH(data!AU$1,Haver_M!$B$1:$BZ$1,0),FALSE),"")</f>
        <v>62.234099999999998</v>
      </c>
      <c r="AV146">
        <f>IF(ISNUMBER(VLOOKUP($A146,Haver_M!$B$1:$BZ$300,MATCH(data!AV$1,Haver_M!$B$1:$BZ$1,0),FALSE)),VLOOKUP($A146,Haver_M!$B$1:$BZ$300,MATCH(data!AV$1,Haver_M!$B$1:$BZ$1,0),FALSE),"")</f>
        <v>50.183999999999997</v>
      </c>
      <c r="AW146">
        <f>IF(ISNUMBER(VLOOKUP($A146,Haver_M!$B$1:$BZ$300,MATCH(data!AW$1,Haver_M!$B$1:$BZ$1,0),FALSE)),VLOOKUP($A146,Haver_M!$B$1:$BZ$300,MATCH(data!AW$1,Haver_M!$B$1:$BZ$1,0),FALSE),"")</f>
        <v>50.272799999999997</v>
      </c>
      <c r="AX146">
        <f>IF(ISNUMBER(VLOOKUP($A146,Haver_M!$B$1:$BZ$300,MATCH(data!AX$1,Haver_M!$B$1:$BZ$1,0),FALSE)),VLOOKUP($A146,Haver_M!$B$1:$BZ$300,MATCH(data!AX$1,Haver_M!$B$1:$BZ$1,0),FALSE),"")</f>
        <v>56.06</v>
      </c>
      <c r="AY146">
        <f>IF(ISNUMBER(VLOOKUP($A146,Haver_M!$B$1:$BZ$300,MATCH(data!AY$1,Haver_M!$B$1:$BZ$1,0),FALSE)),VLOOKUP($A146,Haver_M!$B$1:$BZ$300,MATCH(data!AY$1,Haver_M!$B$1:$BZ$1,0),FALSE),"")</f>
        <v>63.364100000000001</v>
      </c>
      <c r="AZ146">
        <f>IF(ISNUMBER(VLOOKUP($A146,Haver_M!$B$1:$BZ$300,MATCH(data!AZ$1,Haver_M!$B$1:$BZ$1,0),FALSE)),VLOOKUP($A146,Haver_M!$B$1:$BZ$300,MATCH(data!AZ$1,Haver_M!$B$1:$BZ$1,0),FALSE),"")</f>
        <v>60.5</v>
      </c>
      <c r="BA146">
        <f>IF(ISNUMBER(VLOOKUP($A146,Haver_M!$B$1:$BZ$300,MATCH(data!BA$1,Haver_M!$B$1:$BZ$1,0),FALSE)),VLOOKUP($A146,Haver_M!$B$1:$BZ$300,MATCH(data!BA$1,Haver_M!$B$1:$BZ$1,0),FALSE),"")</f>
        <v>56.06</v>
      </c>
      <c r="BB146">
        <f>IF(ISNUMBER(VLOOKUP($A146,Haver_M!$B$1:$BZ$300,MATCH(data!BB$1,Haver_M!$B$1:$BZ$1,0),FALSE)),VLOOKUP($A146,Haver_M!$B$1:$BZ$300,MATCH(data!BB$1,Haver_M!$B$1:$BZ$1,0),FALSE),"")</f>
        <v>56.660299999999999</v>
      </c>
      <c r="BC146">
        <f>IF(ISNUMBER(VLOOKUP($A146,Haver_M!$B$1:$BZ$300,MATCH(data!BC$1,Haver_M!$B$1:$BZ$1,0),FALSE)),VLOOKUP($A146,Haver_M!$B$1:$BZ$300,MATCH(data!BC$1,Haver_M!$B$1:$BZ$1,0),FALSE),"")</f>
        <v>56.0867</v>
      </c>
      <c r="BD146">
        <f>IF(ISNUMBER(VLOOKUP($A146,Haver_M!$B$1:$BZ$300,MATCH(data!BD$1,Haver_M!$B$1:$BZ$1,0),FALSE)),VLOOKUP($A146,Haver_M!$B$1:$BZ$300,MATCH(data!BD$1,Haver_M!$B$1:$BZ$1,0),FALSE),"")</f>
        <v>51.645699999999998</v>
      </c>
      <c r="BE146">
        <f>IF(ISNUMBER(VLOOKUP($A146,Haver_M!$B$1:$BZ$300,MATCH(data!BE$1,Haver_M!$B$1:$BZ$1,0),FALSE)),VLOOKUP($A146,Haver_M!$B$1:$BZ$300,MATCH(data!BE$1,Haver_M!$B$1:$BZ$1,0),FALSE),"")</f>
        <v>1.1934</v>
      </c>
      <c r="BF146">
        <f>IF(ISNUMBER(VLOOKUP($A146,Haver_M!$B$1:$BZ$300,MATCH(data!BF$1,Haver_M!$B$1:$BZ$1,0),FALSE)),VLOOKUP($A146,Haver_M!$B$1:$BZ$300,MATCH(data!BF$1,Haver_M!$B$1:$BZ$1,0),FALSE),"")</f>
        <v>50.421999999999997</v>
      </c>
      <c r="BG146">
        <f>IF(ISNUMBER(VLOOKUP($A146,Haver_M!$B$1:$BZ$300,MATCH(data!BG$1,Haver_M!$B$1:$BZ$1,0),FALSE)),VLOOKUP($A146,Haver_M!$B$1:$BZ$300,MATCH(data!BG$1,Haver_M!$B$1:$BZ$1,0),FALSE),"")</f>
        <v>57.659700000000001</v>
      </c>
      <c r="BH146">
        <f>IF(ISNUMBER(VLOOKUP($A146,Haver_M!$B$1:$BZ$300,MATCH(data!BH$1,Haver_M!$B$1:$BZ$1,0),FALSE)),VLOOKUP($A146,Haver_M!$B$1:$BZ$300,MATCH(data!BH$1,Haver_M!$B$1:$BZ$1,0),FALSE),"")</f>
        <v>58.196100000000001</v>
      </c>
      <c r="BI146">
        <f>IF(ISNUMBER(VLOOKUP($A146,Haver_M!$B$1:$BZ$300,MATCH(data!BI$1,Haver_M!$B$1:$BZ$1,0),FALSE)),VLOOKUP($A146,Haver_M!$B$1:$BZ$300,MATCH(data!BI$1,Haver_M!$B$1:$BZ$1,0),FALSE),"")</f>
        <v>56.905200000000001</v>
      </c>
      <c r="BJ146" t="str">
        <f>IF(ISNUMBER(VLOOKUP($A146,Haver_M!$B$1:$BZ$300,MATCH(data!BJ$1,Haver_M!$B$1:$BZ$1,0),FALSE)),VLOOKUP($A146,Haver_M!$B$1:$BZ$300,MATCH(data!BJ$1,Haver_M!$B$1:$BZ$1,0),FALSE),"")</f>
        <v/>
      </c>
      <c r="BK146">
        <f>IF(ISNUMBER(VLOOKUP($A146,Haver_M!$B$1:$BZ$300,MATCH(data!BK$1,Haver_M!$B$1:$BZ$1,0),FALSE)),VLOOKUP($A146,Haver_M!$B$1:$BZ$300,MATCH(data!BK$1,Haver_M!$B$1:$BZ$1,0),FALSE),"")</f>
        <v>49.532699999999998</v>
      </c>
      <c r="BL146">
        <f>IF(ISNUMBER(VLOOKUP($A146,Haver_M!$B$1:$BZ$300,MATCH(data!BL$1,Haver_M!$B$1:$BZ$1,0),FALSE)),VLOOKUP($A146,Haver_M!$B$1:$BZ$300,MATCH(data!BL$1,Haver_M!$B$1:$BZ$1,0),FALSE),"")</f>
        <v>16381.79</v>
      </c>
      <c r="BM146">
        <f>IF(ISNUMBER(VLOOKUP($A146,Haver_M!$B$1:$BZ$300,MATCH(data!BM$1,Haver_M!$B$1:$BZ$1,0),FALSE)),VLOOKUP($A146,Haver_M!$B$1:$BZ$300,MATCH(data!BM$1,Haver_M!$B$1:$BZ$1,0),FALSE),"")</f>
        <v>98.554194039999999</v>
      </c>
      <c r="BN146" t="str">
        <f>IF(ISNUMBER(VLOOKUP($A146,Haver_M!$B$1:$BZ$300,MATCH(data!BN$1,Haver_M!$B$1:$BZ$1,0),FALSE)),VLOOKUP($A146,Haver_M!$B$1:$BZ$300,MATCH(data!BN$1,Haver_M!$B$1:$BZ$1,0),FALSE),"")</f>
        <v/>
      </c>
      <c r="BO146" t="str">
        <f>IF(ISNUMBER(VLOOKUP($A146,Haver_M!$B$1:$BZ$300,MATCH(data!BO$1,Haver_M!$B$1:$BZ$1,0),FALSE)),VLOOKUP($A146,Haver_M!$B$1:$BZ$300,MATCH(data!BO$1,Haver_M!$B$1:$BZ$1,0),FALSE),"")</f>
        <v/>
      </c>
      <c r="BP146" t="str">
        <f>IF(ISNUMBER(VLOOKUP($A146,Haver_M!$B$1:$BZ$300,MATCH(data!BP$1,Haver_M!$B$1:$BZ$1,0),FALSE)),VLOOKUP($A146,Haver_M!$B$1:$BZ$300,MATCH(data!BP$1,Haver_M!$B$1:$BZ$1,0),FALSE),"")</f>
        <v/>
      </c>
      <c r="BQ146">
        <f>IF(ISNUMBER(VLOOKUP($A146,Haver_M!$B$1:$BZ$300,MATCH(data!BQ$1,Haver_M!$B$1:$BZ$1,0),FALSE)),VLOOKUP($A146,Haver_M!$B$1:$BZ$300,MATCH(data!BQ$1,Haver_M!$B$1:$BZ$1,0),FALSE),"")</f>
        <v>148.71002860976785</v>
      </c>
      <c r="BR146">
        <f>IF(ISNUMBER(VLOOKUP($A146,Haver_M!$B$1:$BZ$300,MATCH(data!BR$1,Haver_M!$B$1:$BZ$1,0),FALSE)),VLOOKUP($A146,Haver_M!$B$1:$BZ$300,MATCH(data!BR$1,Haver_M!$B$1:$BZ$1,0),FALSE),"")</f>
        <v>355.35142883295907</v>
      </c>
      <c r="BS146">
        <f>IF(ISNUMBER(VLOOKUP($A146,Haver_M!$B$1:$BZ$300,MATCH(data!BS$1,Haver_M!$B$1:$BZ$1,0),FALSE)),VLOOKUP($A146,Haver_M!$B$1:$BZ$300,MATCH(data!BS$1,Haver_M!$B$1:$BZ$1,0),FALSE),"")</f>
        <v>187.57549258853157</v>
      </c>
      <c r="BT146">
        <f>IF(ISNUMBER(VLOOKUP($A146,Haver_M!$B$1:$BZ$300,MATCH(data!BT$1,Haver_M!$B$1:$BZ$1,0),FALSE)),VLOOKUP($A146,Haver_M!$B$1:$BZ$300,MATCH(data!BT$1,Haver_M!$B$1:$BZ$1,0),FALSE),"")</f>
        <v>786.77270522980325</v>
      </c>
      <c r="BU146">
        <f>IF(ISNUMBER(VLOOKUP($A146,Haver_M!$B$1:$BZ$300,MATCH(data!BU$1,Haver_M!$B$1:$BZ$1,0),FALSE)),VLOOKUP($A146,Haver_M!$B$1:$BZ$300,MATCH(data!BU$1,Haver_M!$B$1:$BZ$1,0),FALSE),"")</f>
        <v>25379.05</v>
      </c>
      <c r="BV146">
        <f>IF(ISNUMBER(VLOOKUP($A146,Haver_M!$B$1:$BZ$300,MATCH(data!BV$1,Haver_M!$B$1:$BZ$1,0),FALSE)),VLOOKUP($A146,Haver_M!$B$1:$BZ$300,MATCH(data!BV$1,Haver_M!$B$1:$BZ$1,0),FALSE),"")</f>
        <v>42952.47</v>
      </c>
      <c r="BW146">
        <f>IF(ISNUMBER(VLOOKUP($A146,Haver_M!$B$1:$BZ$300,MATCH(data!BW$1,Haver_M!$B$1:$BZ$1,0),FALSE)),VLOOKUP($A146,Haver_M!$B$1:$BZ$300,MATCH(data!BW$1,Haver_M!$B$1:$BZ$1,0),FALSE),"")</f>
        <v>51.3461</v>
      </c>
      <c r="BX146">
        <f>IF(ISNUMBER(VLOOKUP($A146,Haver_M!$B$1:$BZ$300,MATCH(data!BX$1,Haver_M!$B$1:$BZ$1,0),FALSE)),VLOOKUP($A146,Haver_M!$B$1:$BZ$300,MATCH(data!BX$1,Haver_M!$B$1:$BZ$1,0),FALSE),"")</f>
        <v>55346</v>
      </c>
    </row>
    <row r="147" spans="1:76" x14ac:dyDescent="0.25">
      <c r="A147" s="2">
        <v>40968</v>
      </c>
      <c r="B147" t="str">
        <f>IF(ISNUMBER(VLOOKUP($A147,Haver_Q!$B$1:$L$185,MATCH(data!B$1,Haver_Q!$B$1:$L$1,0),FALSE)),100*(VLOOKUP($A147,Haver_Q!$B$1:$L$185,MATCH(data!B$1,Haver_Q!$B$1:$L$1,0),FALSE)),"")</f>
        <v/>
      </c>
      <c r="C147" t="str">
        <f>IF(ISNUMBER(VLOOKUP($A147,Haver_Q!$B$1:$L$185,MATCH(data!C$1,Haver_Q!$B$1:$L$1,0),FALSE)),100*(VLOOKUP($A147,Haver_Q!$B$1:$L$185,MATCH(data!C$1,Haver_Q!$B$1:$L$1,0),FALSE)),"")</f>
        <v/>
      </c>
      <c r="D147" t="str">
        <f>IF(ISNUMBER(VLOOKUP($A147,Haver_Q!$B$1:$L$185,MATCH(data!D$1,Haver_Q!$B$1:$L$1,0),FALSE)),100*(VLOOKUP($A147,Haver_Q!$B$1:$L$185,MATCH(data!D$1,Haver_Q!$B$1:$L$1,0),FALSE)),"")</f>
        <v/>
      </c>
      <c r="E147" t="str">
        <f>IF(ISNUMBER(VLOOKUP($A147,Haver_Q!$B$1:$L$185,MATCH(data!E$1,Haver_Q!$B$1:$L$1,0),FALSE)),100*(VLOOKUP($A147,Haver_Q!$B$1:$L$185,MATCH(data!E$1,Haver_Q!$B$1:$L$1,0),FALSE)),"")</f>
        <v/>
      </c>
      <c r="F147" t="str">
        <f>IF(ISNUMBER(VLOOKUP($A147,Haver_Q!$B$1:$L$185,MATCH(data!F$1,Haver_Q!$B$1:$L$1,0),FALSE)),100*(VLOOKUP($A147,Haver_Q!$B$1:$L$185,MATCH(data!F$1,Haver_Q!$B$1:$L$1,0),FALSE)),"")</f>
        <v/>
      </c>
      <c r="G147" t="str">
        <f>IF(ISNUMBER(VLOOKUP($A147,Haver_Q!$B$1:$L$185,MATCH(data!G$1,Haver_Q!$B$1:$L$1,0),FALSE)),100*(VLOOKUP($A147,Haver_Q!$B$1:$L$185,MATCH(data!G$1,Haver_Q!$B$1:$L$1,0),FALSE)),"")</f>
        <v/>
      </c>
      <c r="H147" t="str">
        <f>IF(ISNUMBER(VLOOKUP($A147,Haver_Q!$B$1:$L$185,MATCH(data!H$1,Haver_Q!$B$1:$L$1,0),FALSE)),(VLOOKUP($A147,Haver_Q!$B$1:$L$185,MATCH(data!H$1,Haver_Q!$B$1:$L$1,0),FALSE)),"")</f>
        <v/>
      </c>
      <c r="I147" t="str">
        <f>IF(ISNUMBER(VLOOKUP($A147,Haver_Q!$B$1:$L$185,MATCH(data!I$1,Haver_Q!$B$1:$L$1,0),FALSE)),100*(VLOOKUP($A147,Haver_Q!$B$1:$L$185,MATCH(data!I$1,Haver_Q!$B$1:$L$1,0),FALSE)),"")</f>
        <v/>
      </c>
      <c r="J147" s="3">
        <f>IF(ISNUMBER(Bloomberg_m!C163),Bloomberg_m!C163,"")</f>
        <v>703</v>
      </c>
      <c r="K147" s="3">
        <f>IF(ISNUMBER(Bloomberg_m!D163),Bloomberg_m!D163,"")</f>
        <v>1460.67</v>
      </c>
      <c r="L147" s="3">
        <f>IF(ISNUMBER(Bloomberg_m!E163),Bloomberg_m!E163,"")</f>
        <v>965.59</v>
      </c>
      <c r="M147" s="3">
        <f>IF(ISNUMBER(Bloomberg_m!F163),Bloomberg_m!F163,"")</f>
        <v>493.56</v>
      </c>
      <c r="N147">
        <f>IF(ISNUMBER(VLOOKUP($A147,Haver_M!$B$1:$BZ$300,MATCH(data!N$1,Haver_M!$B$1:$BZ$1,0),FALSE)),VLOOKUP($A147,Haver_M!$B$1:$BZ$300,MATCH(data!N$1,Haver_M!$B$1:$BZ$1,0),FALSE),"")</f>
        <v>8.5</v>
      </c>
      <c r="O147">
        <f>IF(ISNUMBER(VLOOKUP($A147,Haver_M!$B$1:$BZ$300,MATCH(data!O$1,Haver_M!$B$1:$BZ$1,0),FALSE)),VLOOKUP($A147,Haver_M!$B$1:$BZ$300,MATCH(data!O$1,Haver_M!$B$1:$BZ$1,0),FALSE),"")</f>
        <v>8.1999999999999993</v>
      </c>
      <c r="P147">
        <f>IF(ISNUMBER(VLOOKUP($A147,Haver_M!$B$1:$BZ$300,MATCH(data!P$1,Haver_M!$B$1:$BZ$1,0),FALSE)),VLOOKUP($A147,Haver_M!$B$1:$BZ$300,MATCH(data!P$1,Haver_M!$B$1:$BZ$1,0),FALSE),"")</f>
        <v>94.971310000000003</v>
      </c>
      <c r="Q147">
        <f>IF(ISNUMBER(VLOOKUP($A147,Haver_M!$B$1:$BZ$300,MATCH(data!Q$1,Haver_M!$B$1:$BZ$1,0),FALSE)),VLOOKUP($A147,Haver_M!$B$1:$BZ$300,MATCH(data!Q$1,Haver_M!$B$1:$BZ$1,0),FALSE),"")</f>
        <v>95.5</v>
      </c>
      <c r="R147">
        <f>IF(ISNUMBER(VLOOKUP($A147,Haver_M!$B$1:$BZ$300,MATCH(data!R$1,Haver_M!$B$1:$BZ$1,0),FALSE)),VLOOKUP($A147,Haver_M!$B$1:$BZ$300,MATCH(data!R$1,Haver_M!$B$1:$BZ$1,0),FALSE),"")</f>
        <v>96.6</v>
      </c>
      <c r="S147">
        <f>IF(ISNUMBER(VLOOKUP($A147,Haver_M!$B$1:$BZ$300,MATCH(data!S$1,Haver_M!$B$1:$BZ$1,0),FALSE)),VLOOKUP($A147,Haver_M!$B$1:$BZ$300,MATCH(data!S$1,Haver_M!$B$1:$BZ$1,0),FALSE),"")</f>
        <v>104.04</v>
      </c>
      <c r="T147">
        <f>IF(ISNUMBER(VLOOKUP($A147,Haver_M!$B$1:$BZ$300,MATCH(data!T$1,Haver_M!$B$1:$BZ$1,0),FALSE)),VLOOKUP($A147,Haver_M!$B$1:$BZ$300,MATCH(data!T$1,Haver_M!$B$1:$BZ$1,0),FALSE),"")</f>
        <v>101.08</v>
      </c>
      <c r="U147">
        <f>IF(ISNUMBER(VLOOKUP($A147,Haver_M!$B$1:$BZ$300,MATCH(data!U$1,Haver_M!$B$1:$BZ$1,0),FALSE)),VLOOKUP($A147,Haver_M!$B$1:$BZ$300,MATCH(data!U$1,Haver_M!$B$1:$BZ$1,0),FALSE),"")</f>
        <v>111.37</v>
      </c>
      <c r="V147">
        <f>IF(ISNUMBER(VLOOKUP($A147,Haver_M!$B$1:$BZ$300,MATCH(data!V$1,Haver_M!$B$1:$BZ$1,0),FALSE)),VLOOKUP($A147,Haver_M!$B$1:$BZ$300,MATCH(data!V$1,Haver_M!$B$1:$BZ$1,0),FALSE),"")</f>
        <v>105.59</v>
      </c>
      <c r="W147" t="str">
        <f>IF(ISNUMBER(VLOOKUP($A147,Haver_M!$B$1:$BZ$300,MATCH(data!W$1,Haver_M!$B$1:$BZ$1,0),FALSE)),VLOOKUP($A147,Haver_M!$B$1:$BZ$300,MATCH(data!W$1,Haver_M!$B$1:$BZ$1,0),FALSE),"")</f>
        <v/>
      </c>
      <c r="X147">
        <f>IF(ISNUMBER(VLOOKUP($A147,Haver_M!$B$1:$BZ$300,MATCH(data!X$1,Haver_M!$B$1:$BZ$1,0),FALSE)),VLOOKUP($A147,Haver_M!$B$1:$BZ$300,MATCH(data!X$1,Haver_M!$B$1:$BZ$1,0),FALSE),"")</f>
        <v>100.43</v>
      </c>
      <c r="Y147">
        <f>IF(ISNUMBER(VLOOKUP($A147,Haver_M!$B$1:$BZ$300,MATCH(data!Y$1,Haver_M!$B$1:$BZ$1,0),FALSE)),VLOOKUP($A147,Haver_M!$B$1:$BZ$300,MATCH(data!Y$1,Haver_M!$B$1:$BZ$1,0),FALSE),"")</f>
        <v>104.4</v>
      </c>
      <c r="Z147">
        <f>IF(ISNUMBER(VLOOKUP($A147,Haver_M!$B$1:$BZ$300,MATCH(data!Z$1,Haver_M!$B$1:$BZ$1,0),FALSE)),VLOOKUP($A147,Haver_M!$B$1:$BZ$300,MATCH(data!Z$1,Haver_M!$B$1:$BZ$1,0),FALSE),"")</f>
        <v>100.7</v>
      </c>
      <c r="AA147">
        <f>IF(ISNUMBER(VLOOKUP($A147,Haver_M!$B$1:$BZ$300,MATCH(data!AA$1,Haver_M!$B$1:$BZ$1,0),FALSE)),VLOOKUP($A147,Haver_M!$B$1:$BZ$300,MATCH(data!AA$1,Haver_M!$B$1:$BZ$1,0),FALSE),"")</f>
        <v>107.968</v>
      </c>
      <c r="AB147">
        <f>IF(ISNUMBER(VLOOKUP($A147,Haver_M!$B$1:$BZ$300,MATCH(data!AB$1,Haver_M!$B$1:$BZ$1,0),FALSE)),VLOOKUP($A147,Haver_M!$B$1:$BZ$300,MATCH(data!AB$1,Haver_M!$B$1:$BZ$1,0),FALSE),"")</f>
        <v>99.043999999999997</v>
      </c>
      <c r="AC147">
        <f>IF(ISNUMBER(VLOOKUP($A147,Haver_M!$B$1:$BZ$300,MATCH(data!AC$1,Haver_M!$B$1:$BZ$1,0),FALSE)),VLOOKUP($A147,Haver_M!$B$1:$BZ$300,MATCH(data!AC$1,Haver_M!$B$1:$BZ$1,0),FALSE),"")</f>
        <v>95.180999999999997</v>
      </c>
      <c r="AD147">
        <f>IF(ISNUMBER(VLOOKUP($A147,Haver_M!$B$1:$BZ$300,MATCH(data!AD$1,Haver_M!$B$1:$BZ$1,0),FALSE)),VLOOKUP($A147,Haver_M!$B$1:$BZ$300,MATCH(data!AD$1,Haver_M!$B$1:$BZ$1,0),FALSE),"")</f>
        <v>99.503</v>
      </c>
      <c r="AE147">
        <f>IF(ISNUMBER(VLOOKUP($A147,Haver_M!$B$1:$BZ$300,MATCH(data!AE$1,Haver_M!$B$1:$BZ$1,0),FALSE)),VLOOKUP($A147,Haver_M!$B$1:$BZ$300,MATCH(data!AE$1,Haver_M!$B$1:$BZ$1,0),FALSE),"")</f>
        <v>98.846999999999994</v>
      </c>
      <c r="AF147">
        <f>IF(ISNUMBER(VLOOKUP($A147,Haver_M!$B$1:$BZ$300,MATCH(data!AF$1,Haver_M!$B$1:$BZ$1,0),FALSE)),VLOOKUP($A147,Haver_M!$B$1:$BZ$300,MATCH(data!AF$1,Haver_M!$B$1:$BZ$1,0),FALSE),"")</f>
        <v>103.35299999999999</v>
      </c>
      <c r="AG147">
        <f>IF(ISNUMBER(VLOOKUP($A147,Haver_M!$B$1:$BZ$300,MATCH(data!AG$1,Haver_M!$B$1:$BZ$1,0),FALSE)),VLOOKUP($A147,Haver_M!$B$1:$BZ$300,MATCH(data!AG$1,Haver_M!$B$1:$BZ$1,0),FALSE),"")</f>
        <v>104.18899999999999</v>
      </c>
      <c r="AH147">
        <f>IF(ISNUMBER(VLOOKUP($A147,Haver_M!$B$1:$BZ$300,MATCH(data!AH$1,Haver_M!$B$1:$BZ$1,0),FALSE)),VLOOKUP($A147,Haver_M!$B$1:$BZ$300,MATCH(data!AH$1,Haver_M!$B$1:$BZ$1,0),FALSE),"")</f>
        <v>102.468</v>
      </c>
      <c r="AI147">
        <f>IF(ISNUMBER(VLOOKUP($A147,Haver_M!$B$1:$BZ$300,MATCH(data!AI$1,Haver_M!$B$1:$BZ$1,0),FALSE)),VLOOKUP($A147,Haver_M!$B$1:$BZ$300,MATCH(data!AI$1,Haver_M!$B$1:$BZ$1,0),FALSE),"")</f>
        <v>12768.596054680851</v>
      </c>
      <c r="AJ147">
        <f>IF(ISNUMBER(VLOOKUP($A147,Haver_M!$B$1:$BZ$300,MATCH(data!AJ$1,Haver_M!$B$1:$BZ$1,0),FALSE)),VLOOKUP($A147,Haver_M!$B$1:$BZ$300,MATCH(data!AJ$1,Haver_M!$B$1:$BZ$1,0),FALSE),"")</f>
        <v>25837.31</v>
      </c>
      <c r="AK147">
        <f>IF(ISNUMBER(VLOOKUP($A147,Haver_M!$B$1:$BZ$300,MATCH(data!AK$1,Haver_M!$B$1:$BZ$1,0),FALSE)),VLOOKUP($A147,Haver_M!$B$1:$BZ$300,MATCH(data!AK$1,Haver_M!$B$1:$BZ$1,0),FALSE),"")</f>
        <v>42891.69</v>
      </c>
      <c r="AL147">
        <f>IF(ISNUMBER(VLOOKUP($A147,Haver_M!$B$1:$BZ$300,MATCH(data!AL$1,Haver_M!$B$1:$BZ$1,0),FALSE)),VLOOKUP($A147,Haver_M!$B$1:$BZ$300,MATCH(data!AL$1,Haver_M!$B$1:$BZ$1,0),FALSE),"")</f>
        <v>11226</v>
      </c>
      <c r="AM147">
        <f>IF(ISNUMBER(VLOOKUP($A147,Haver_M!$B$1:$BZ$300,MATCH(data!AM$1,Haver_M!$B$1:$BZ$1,0),FALSE)),VLOOKUP($A147,Haver_M!$B$1:$BZ$300,MATCH(data!AM$1,Haver_M!$B$1:$BZ$1,0),FALSE),"")</f>
        <v>6750</v>
      </c>
      <c r="AN147" t="str">
        <f>IF(ISNUMBER(VLOOKUP($A147,Haver_M!$B$1:$BZ$300,MATCH(data!AN$1,Haver_M!$B$1:$BZ$1,0),FALSE)),VLOOKUP($A147,Haver_M!$B$1:$BZ$300,MATCH(data!AN$1,Haver_M!$B$1:$BZ$1,0),FALSE),"")</f>
        <v/>
      </c>
      <c r="AO147" t="str">
        <f>IF(ISNUMBER(VLOOKUP($A147,Haver_M!$B$1:$BZ$300,MATCH(data!AO$1,Haver_M!$B$1:$BZ$1,0),FALSE)),VLOOKUP($A147,Haver_M!$B$1:$BZ$300,MATCH(data!AO$1,Haver_M!$B$1:$BZ$1,0),FALSE),"")</f>
        <v/>
      </c>
      <c r="AP147">
        <f>IF(ISNUMBER(VLOOKUP($A147,Haver_M!$B$1:$BZ$300,MATCH(data!AP$1,Haver_M!$B$1:$BZ$1,0),FALSE)),VLOOKUP($A147,Haver_M!$B$1:$BZ$300,MATCH(data!AP$1,Haver_M!$B$1:$BZ$1,0),FALSE),"")</f>
        <v>168.19120213412862</v>
      </c>
      <c r="AQ147">
        <f>IF(ISNUMBER(VLOOKUP($A147,Haver_M!$B$1:$BZ$300,MATCH(data!AQ$1,Haver_M!$B$1:$BZ$1,0),FALSE)),VLOOKUP($A147,Haver_M!$B$1:$BZ$300,MATCH(data!AQ$1,Haver_M!$B$1:$BZ$1,0),FALSE),"")</f>
        <v>57.764800000000001</v>
      </c>
      <c r="AR147">
        <f>IF(ISNUMBER(VLOOKUP($A147,Haver_M!$B$1:$BZ$300,MATCH(data!AR$1,Haver_M!$B$1:$BZ$1,0),FALSE)),VLOOKUP($A147,Haver_M!$B$1:$BZ$300,MATCH(data!AR$1,Haver_M!$B$1:$BZ$1,0),FALSE),"")</f>
        <v>56.603200000000001</v>
      </c>
      <c r="AS147">
        <f>IF(ISNUMBER(VLOOKUP($A147,Haver_M!$B$1:$BZ$300,MATCH(data!AS$1,Haver_M!$B$1:$BZ$1,0),FALSE)),VLOOKUP($A147,Haver_M!$B$1:$BZ$300,MATCH(data!AS$1,Haver_M!$B$1:$BZ$1,0),FALSE),"")</f>
        <v>56.463700000000003</v>
      </c>
      <c r="AT147">
        <f>IF(ISNUMBER(VLOOKUP($A147,Haver_M!$B$1:$BZ$300,MATCH(data!AT$1,Haver_M!$B$1:$BZ$1,0),FALSE)),VLOOKUP($A147,Haver_M!$B$1:$BZ$300,MATCH(data!AT$1,Haver_M!$B$1:$BZ$1,0),FALSE),"")</f>
        <v>60.465400000000002</v>
      </c>
      <c r="AU147">
        <f>IF(ISNUMBER(VLOOKUP($A147,Haver_M!$B$1:$BZ$300,MATCH(data!AU$1,Haver_M!$B$1:$BZ$1,0),FALSE)),VLOOKUP($A147,Haver_M!$B$1:$BZ$300,MATCH(data!AU$1,Haver_M!$B$1:$BZ$1,0),FALSE),"")</f>
        <v>62.786200000000001</v>
      </c>
      <c r="AV147">
        <f>IF(ISNUMBER(VLOOKUP($A147,Haver_M!$B$1:$BZ$300,MATCH(data!AV$1,Haver_M!$B$1:$BZ$1,0),FALSE)),VLOOKUP($A147,Haver_M!$B$1:$BZ$300,MATCH(data!AV$1,Haver_M!$B$1:$BZ$1,0),FALSE),"")</f>
        <v>48.6907</v>
      </c>
      <c r="AW147">
        <f>IF(ISNUMBER(VLOOKUP($A147,Haver_M!$B$1:$BZ$300,MATCH(data!AW$1,Haver_M!$B$1:$BZ$1,0),FALSE)),VLOOKUP($A147,Haver_M!$B$1:$BZ$300,MATCH(data!AW$1,Haver_M!$B$1:$BZ$1,0),FALSE),"")</f>
        <v>49.344799999999999</v>
      </c>
      <c r="AX147">
        <f>IF(ISNUMBER(VLOOKUP($A147,Haver_M!$B$1:$BZ$300,MATCH(data!AX$1,Haver_M!$B$1:$BZ$1,0),FALSE)),VLOOKUP($A147,Haver_M!$B$1:$BZ$300,MATCH(data!AX$1,Haver_M!$B$1:$BZ$1,0),FALSE),"")</f>
        <v>53.1462</v>
      </c>
      <c r="AY147">
        <f>IF(ISNUMBER(VLOOKUP($A147,Haver_M!$B$1:$BZ$300,MATCH(data!AY$1,Haver_M!$B$1:$BZ$1,0),FALSE)),VLOOKUP($A147,Haver_M!$B$1:$BZ$300,MATCH(data!AY$1,Haver_M!$B$1:$BZ$1,0),FALSE),"")</f>
        <v>60.612099999999998</v>
      </c>
      <c r="AZ147">
        <f>IF(ISNUMBER(VLOOKUP($A147,Haver_M!$B$1:$BZ$300,MATCH(data!AZ$1,Haver_M!$B$1:$BZ$1,0),FALSE)),VLOOKUP($A147,Haver_M!$B$1:$BZ$300,MATCH(data!AZ$1,Haver_M!$B$1:$BZ$1,0),FALSE),"")</f>
        <v>61.485799999999998</v>
      </c>
      <c r="BA147">
        <f>IF(ISNUMBER(VLOOKUP($A147,Haver_M!$B$1:$BZ$300,MATCH(data!BA$1,Haver_M!$B$1:$BZ$1,0),FALSE)),VLOOKUP($A147,Haver_M!$B$1:$BZ$300,MATCH(data!BA$1,Haver_M!$B$1:$BZ$1,0),FALSE),"")</f>
        <v>53.1462</v>
      </c>
      <c r="BB147">
        <f>IF(ISNUMBER(VLOOKUP($A147,Haver_M!$B$1:$BZ$300,MATCH(data!BB$1,Haver_M!$B$1:$BZ$1,0),FALSE)),VLOOKUP($A147,Haver_M!$B$1:$BZ$300,MATCH(data!BB$1,Haver_M!$B$1:$BZ$1,0),FALSE),"")</f>
        <v>53.913600000000002</v>
      </c>
      <c r="BC147">
        <f>IF(ISNUMBER(VLOOKUP($A147,Haver_M!$B$1:$BZ$300,MATCH(data!BC$1,Haver_M!$B$1:$BZ$1,0),FALSE)),VLOOKUP($A147,Haver_M!$B$1:$BZ$300,MATCH(data!BC$1,Haver_M!$B$1:$BZ$1,0),FALSE),"")</f>
        <v>56.626399999999997</v>
      </c>
      <c r="BD147">
        <f>IF(ISNUMBER(VLOOKUP($A147,Haver_M!$B$1:$BZ$300,MATCH(data!BD$1,Haver_M!$B$1:$BZ$1,0),FALSE)),VLOOKUP($A147,Haver_M!$B$1:$BZ$300,MATCH(data!BD$1,Haver_M!$B$1:$BZ$1,0),FALSE),"")</f>
        <v>52.000700000000002</v>
      </c>
      <c r="BE147">
        <f>IF(ISNUMBER(VLOOKUP($A147,Haver_M!$B$1:$BZ$300,MATCH(data!BE$1,Haver_M!$B$1:$BZ$1,0),FALSE)),VLOOKUP($A147,Haver_M!$B$1:$BZ$300,MATCH(data!BE$1,Haver_M!$B$1:$BZ$1,0),FALSE),"")</f>
        <v>1.2118</v>
      </c>
      <c r="BF147">
        <f>IF(ISNUMBER(VLOOKUP($A147,Haver_M!$B$1:$BZ$300,MATCH(data!BF$1,Haver_M!$B$1:$BZ$1,0),FALSE)),VLOOKUP($A147,Haver_M!$B$1:$BZ$300,MATCH(data!BF$1,Haver_M!$B$1:$BZ$1,0),FALSE),"")</f>
        <v>49.943100000000001</v>
      </c>
      <c r="BG147">
        <f>IF(ISNUMBER(VLOOKUP($A147,Haver_M!$B$1:$BZ$300,MATCH(data!BG$1,Haver_M!$B$1:$BZ$1,0),FALSE)),VLOOKUP($A147,Haver_M!$B$1:$BZ$300,MATCH(data!BG$1,Haver_M!$B$1:$BZ$1,0),FALSE),"")</f>
        <v>54.611199999999997</v>
      </c>
      <c r="BH147">
        <f>IF(ISNUMBER(VLOOKUP($A147,Haver_M!$B$1:$BZ$300,MATCH(data!BH$1,Haver_M!$B$1:$BZ$1,0),FALSE)),VLOOKUP($A147,Haver_M!$B$1:$BZ$300,MATCH(data!BH$1,Haver_M!$B$1:$BZ$1,0),FALSE),"")</f>
        <v>58.2057</v>
      </c>
      <c r="BI147">
        <f>IF(ISNUMBER(VLOOKUP($A147,Haver_M!$B$1:$BZ$300,MATCH(data!BI$1,Haver_M!$B$1:$BZ$1,0),FALSE)),VLOOKUP($A147,Haver_M!$B$1:$BZ$300,MATCH(data!BI$1,Haver_M!$B$1:$BZ$1,0),FALSE),"")</f>
        <v>56.276000000000003</v>
      </c>
      <c r="BJ147" t="str">
        <f>IF(ISNUMBER(VLOOKUP($A147,Haver_M!$B$1:$BZ$300,MATCH(data!BJ$1,Haver_M!$B$1:$BZ$1,0),FALSE)),VLOOKUP($A147,Haver_M!$B$1:$BZ$300,MATCH(data!BJ$1,Haver_M!$B$1:$BZ$1,0),FALSE),"")</f>
        <v/>
      </c>
      <c r="BK147">
        <f>IF(ISNUMBER(VLOOKUP($A147,Haver_M!$B$1:$BZ$300,MATCH(data!BK$1,Haver_M!$B$1:$BZ$1,0),FALSE)),VLOOKUP($A147,Haver_M!$B$1:$BZ$300,MATCH(data!BK$1,Haver_M!$B$1:$BZ$1,0),FALSE),"")</f>
        <v>50.291800000000002</v>
      </c>
      <c r="BL147">
        <f>IF(ISNUMBER(VLOOKUP($A147,Haver_M!$B$1:$BZ$300,MATCH(data!BL$1,Haver_M!$B$1:$BZ$1,0),FALSE)),VLOOKUP($A147,Haver_M!$B$1:$BZ$300,MATCH(data!BL$1,Haver_M!$B$1:$BZ$1,0),FALSE),"")</f>
        <v>17836.330000000002</v>
      </c>
      <c r="BM147">
        <f>IF(ISNUMBER(VLOOKUP($A147,Haver_M!$B$1:$BZ$300,MATCH(data!BM$1,Haver_M!$B$1:$BZ$1,0),FALSE)),VLOOKUP($A147,Haver_M!$B$1:$BZ$300,MATCH(data!BM$1,Haver_M!$B$1:$BZ$1,0),FALSE),"")</f>
        <v>99.481951539999997</v>
      </c>
      <c r="BN147" t="str">
        <f>IF(ISNUMBER(VLOOKUP($A147,Haver_M!$B$1:$BZ$300,MATCH(data!BN$1,Haver_M!$B$1:$BZ$1,0),FALSE)),VLOOKUP($A147,Haver_M!$B$1:$BZ$300,MATCH(data!BN$1,Haver_M!$B$1:$BZ$1,0),FALSE),"")</f>
        <v/>
      </c>
      <c r="BO147" t="str">
        <f>IF(ISNUMBER(VLOOKUP($A147,Haver_M!$B$1:$BZ$300,MATCH(data!BO$1,Haver_M!$B$1:$BZ$1,0),FALSE)),VLOOKUP($A147,Haver_M!$B$1:$BZ$300,MATCH(data!BO$1,Haver_M!$B$1:$BZ$1,0),FALSE),"")</f>
        <v/>
      </c>
      <c r="BP147" t="str">
        <f>IF(ISNUMBER(VLOOKUP($A147,Haver_M!$B$1:$BZ$300,MATCH(data!BP$1,Haver_M!$B$1:$BZ$1,0),FALSE)),VLOOKUP($A147,Haver_M!$B$1:$BZ$300,MATCH(data!BP$1,Haver_M!$B$1:$BZ$1,0),FALSE),"")</f>
        <v/>
      </c>
      <c r="BQ147">
        <f>IF(ISNUMBER(VLOOKUP($A147,Haver_M!$B$1:$BZ$300,MATCH(data!BQ$1,Haver_M!$B$1:$BZ$1,0),FALSE)),VLOOKUP($A147,Haver_M!$B$1:$BZ$300,MATCH(data!BQ$1,Haver_M!$B$1:$BZ$1,0),FALSE),"")</f>
        <v>154.79751900516095</v>
      </c>
      <c r="BR147">
        <f>IF(ISNUMBER(VLOOKUP($A147,Haver_M!$B$1:$BZ$300,MATCH(data!BR$1,Haver_M!$B$1:$BZ$1,0),FALSE)),VLOOKUP($A147,Haver_M!$B$1:$BZ$300,MATCH(data!BR$1,Haver_M!$B$1:$BZ$1,0),FALSE),"")</f>
        <v>377.25361438797989</v>
      </c>
      <c r="BS147">
        <f>IF(ISNUMBER(VLOOKUP($A147,Haver_M!$B$1:$BZ$300,MATCH(data!BS$1,Haver_M!$B$1:$BZ$1,0),FALSE)),VLOOKUP($A147,Haver_M!$B$1:$BZ$300,MATCH(data!BS$1,Haver_M!$B$1:$BZ$1,0),FALSE),"")</f>
        <v>199.91354355472288</v>
      </c>
      <c r="BT147">
        <f>IF(ISNUMBER(VLOOKUP($A147,Haver_M!$B$1:$BZ$300,MATCH(data!BT$1,Haver_M!$B$1:$BZ$1,0),FALSE)),VLOOKUP($A147,Haver_M!$B$1:$BZ$300,MATCH(data!BT$1,Haver_M!$B$1:$BZ$1,0),FALSE),"")</f>
        <v>833.03104091525847</v>
      </c>
      <c r="BU147">
        <f>IF(ISNUMBER(VLOOKUP($A147,Haver_M!$B$1:$BZ$300,MATCH(data!BU$1,Haver_M!$B$1:$BZ$1,0),FALSE)),VLOOKUP($A147,Haver_M!$B$1:$BZ$300,MATCH(data!BU$1,Haver_M!$B$1:$BZ$1,0),FALSE),"")</f>
        <v>25194.42</v>
      </c>
      <c r="BV147">
        <f>IF(ISNUMBER(VLOOKUP($A147,Haver_M!$B$1:$BZ$300,MATCH(data!BV$1,Haver_M!$B$1:$BZ$1,0),FALSE)),VLOOKUP($A147,Haver_M!$B$1:$BZ$300,MATCH(data!BV$1,Haver_M!$B$1:$BZ$1,0),FALSE),"")</f>
        <v>40118.54</v>
      </c>
      <c r="BW147">
        <f>IF(ISNUMBER(VLOOKUP($A147,Haver_M!$B$1:$BZ$300,MATCH(data!BW$1,Haver_M!$B$1:$BZ$1,0),FALSE)),VLOOKUP($A147,Haver_M!$B$1:$BZ$300,MATCH(data!BW$1,Haver_M!$B$1:$BZ$1,0),FALSE),"")</f>
        <v>49.157699999999998</v>
      </c>
      <c r="BX147">
        <f>IF(ISNUMBER(VLOOKUP($A147,Haver_M!$B$1:$BZ$300,MATCH(data!BX$1,Haver_M!$B$1:$BZ$1,0),FALSE)),VLOOKUP($A147,Haver_M!$B$1:$BZ$300,MATCH(data!BX$1,Haver_M!$B$1:$BZ$1,0),FALSE),"")</f>
        <v>54526</v>
      </c>
    </row>
    <row r="148" spans="1:76" x14ac:dyDescent="0.25">
      <c r="A148" s="2">
        <v>40999</v>
      </c>
      <c r="B148">
        <f>IF(ISNUMBER(VLOOKUP($A148,Haver_Q!$B$1:$L$185,MATCH(data!B$1,Haver_Q!$B$1:$L$1,0),FALSE)),100*(VLOOKUP($A148,Haver_Q!$B$1:$L$185,MATCH(data!B$1,Haver_Q!$B$1:$L$1,0),FALSE)),"")</f>
        <v>7.9823305779860521</v>
      </c>
      <c r="C148">
        <f>IF(ISNUMBER(VLOOKUP($A148,Haver_Q!$B$1:$L$185,MATCH(data!C$1,Haver_Q!$B$1:$L$1,0),FALSE)),100*(VLOOKUP($A148,Haver_Q!$B$1:$L$185,MATCH(data!C$1,Haver_Q!$B$1:$L$1,0),FALSE)),"")</f>
        <v>7.1183180395751666</v>
      </c>
      <c r="D148">
        <f>IF(ISNUMBER(VLOOKUP($A148,Haver_Q!$B$1:$L$185,MATCH(data!D$1,Haver_Q!$B$1:$L$1,0),FALSE)),100*(VLOOKUP($A148,Haver_Q!$B$1:$L$185,MATCH(data!D$1,Haver_Q!$B$1:$L$1,0),FALSE)),"")</f>
        <v>24.207366550499842</v>
      </c>
      <c r="E148">
        <f>IF(ISNUMBER(VLOOKUP($A148,Haver_Q!$B$1:$L$185,MATCH(data!E$1,Haver_Q!$B$1:$L$1,0),FALSE)),100*(VLOOKUP($A148,Haver_Q!$B$1:$L$185,MATCH(data!E$1,Haver_Q!$B$1:$L$1,0),FALSE)),"")</f>
        <v>16.032686985242538</v>
      </c>
      <c r="F148">
        <f>IF(ISNUMBER(VLOOKUP($A148,Haver_Q!$B$1:$L$185,MATCH(data!F$1,Haver_Q!$B$1:$L$1,0),FALSE)),100*(VLOOKUP($A148,Haver_Q!$B$1:$L$185,MATCH(data!F$1,Haver_Q!$B$1:$L$1,0),FALSE)),"")</f>
        <v>8.5620791320832659</v>
      </c>
      <c r="G148">
        <f>IF(ISNUMBER(VLOOKUP($A148,Haver_Q!$B$1:$L$185,MATCH(data!G$1,Haver_Q!$B$1:$L$1,0),FALSE)),100*(VLOOKUP($A148,Haver_Q!$B$1:$L$185,MATCH(data!G$1,Haver_Q!$B$1:$L$1,0),FALSE)),"")</f>
        <v>9.6812261145273979</v>
      </c>
      <c r="H148">
        <f>IF(ISNUMBER(VLOOKUP($A148,Haver_Q!$B$1:$L$185,MATCH(data!H$1,Haver_Q!$B$1:$L$1,0),FALSE)),(VLOOKUP($A148,Haver_Q!$B$1:$L$185,MATCH(data!H$1,Haver_Q!$B$1:$L$1,0),FALSE)),"")</f>
        <v>4.2483498788164873</v>
      </c>
      <c r="I148">
        <f>IF(ISNUMBER(VLOOKUP($A148,Haver_Q!$B$1:$L$185,MATCH(data!I$1,Haver_Q!$B$1:$L$1,0),FALSE)),100*(VLOOKUP($A148,Haver_Q!$B$1:$L$185,MATCH(data!I$1,Haver_Q!$B$1:$L$1,0),FALSE)),"")</f>
        <v>5.6325329451219819</v>
      </c>
      <c r="J148" s="3">
        <f>IF(ISNUMBER(Bloomberg_m!C164),Bloomberg_m!C164,"")</f>
        <v>859</v>
      </c>
      <c r="K148" s="3">
        <f>IF(ISNUMBER(Bloomberg_m!D164),Bloomberg_m!D164,"")</f>
        <v>2051.34</v>
      </c>
      <c r="L148" s="3">
        <f>IF(ISNUMBER(Bloomberg_m!E164),Bloomberg_m!E164,"")</f>
        <v>1227.0899999999999</v>
      </c>
      <c r="M148" s="3">
        <f>IF(ISNUMBER(Bloomberg_m!F164),Bloomberg_m!F164,"")</f>
        <v>500.39</v>
      </c>
      <c r="N148">
        <f>IF(ISNUMBER(VLOOKUP($A148,Haver_M!$B$1:$BZ$300,MATCH(data!N$1,Haver_M!$B$1:$BZ$1,0),FALSE)),VLOOKUP($A148,Haver_M!$B$1:$BZ$300,MATCH(data!N$1,Haver_M!$B$1:$BZ$1,0),FALSE),"")</f>
        <v>8.5</v>
      </c>
      <c r="O148">
        <f>IF(ISNUMBER(VLOOKUP($A148,Haver_M!$B$1:$BZ$300,MATCH(data!O$1,Haver_M!$B$1:$BZ$1,0),FALSE)),VLOOKUP($A148,Haver_M!$B$1:$BZ$300,MATCH(data!O$1,Haver_M!$B$1:$BZ$1,0),FALSE),"")</f>
        <v>8.5607000000000006</v>
      </c>
      <c r="P148">
        <f>IF(ISNUMBER(VLOOKUP($A148,Haver_M!$B$1:$BZ$300,MATCH(data!P$1,Haver_M!$B$1:$BZ$1,0),FALSE)),VLOOKUP($A148,Haver_M!$B$1:$BZ$300,MATCH(data!P$1,Haver_M!$B$1:$BZ$1,0),FALSE),"")</f>
        <v>93.488849999999999</v>
      </c>
      <c r="Q148">
        <f>IF(ISNUMBER(VLOOKUP($A148,Haver_M!$B$1:$BZ$300,MATCH(data!Q$1,Haver_M!$B$1:$BZ$1,0),FALSE)),VLOOKUP($A148,Haver_M!$B$1:$BZ$300,MATCH(data!Q$1,Haver_M!$B$1:$BZ$1,0),FALSE),"")</f>
        <v>96.4</v>
      </c>
      <c r="R148">
        <f>IF(ISNUMBER(VLOOKUP($A148,Haver_M!$B$1:$BZ$300,MATCH(data!R$1,Haver_M!$B$1:$BZ$1,0),FALSE)),VLOOKUP($A148,Haver_M!$B$1:$BZ$300,MATCH(data!R$1,Haver_M!$B$1:$BZ$1,0),FALSE),"")</f>
        <v>97.3</v>
      </c>
      <c r="S148">
        <f>IF(ISNUMBER(VLOOKUP($A148,Haver_M!$B$1:$BZ$300,MATCH(data!S$1,Haver_M!$B$1:$BZ$1,0),FALSE)),VLOOKUP($A148,Haver_M!$B$1:$BZ$300,MATCH(data!S$1,Haver_M!$B$1:$BZ$1,0),FALSE),"")</f>
        <v>103.43</v>
      </c>
      <c r="T148">
        <f>IF(ISNUMBER(VLOOKUP($A148,Haver_M!$B$1:$BZ$300,MATCH(data!T$1,Haver_M!$B$1:$BZ$1,0),FALSE)),VLOOKUP($A148,Haver_M!$B$1:$BZ$300,MATCH(data!T$1,Haver_M!$B$1:$BZ$1,0),FALSE),"")</f>
        <v>99.48</v>
      </c>
      <c r="U148">
        <f>IF(ISNUMBER(VLOOKUP($A148,Haver_M!$B$1:$BZ$300,MATCH(data!U$1,Haver_M!$B$1:$BZ$1,0),FALSE)),VLOOKUP($A148,Haver_M!$B$1:$BZ$300,MATCH(data!U$1,Haver_M!$B$1:$BZ$1,0),FALSE),"")</f>
        <v>106.92</v>
      </c>
      <c r="V148">
        <f>IF(ISNUMBER(VLOOKUP($A148,Haver_M!$B$1:$BZ$300,MATCH(data!V$1,Haver_M!$B$1:$BZ$1,0),FALSE)),VLOOKUP($A148,Haver_M!$B$1:$BZ$300,MATCH(data!V$1,Haver_M!$B$1:$BZ$1,0),FALSE),"")</f>
        <v>105.91</v>
      </c>
      <c r="W148" t="str">
        <f>IF(ISNUMBER(VLOOKUP($A148,Haver_M!$B$1:$BZ$300,MATCH(data!W$1,Haver_M!$B$1:$BZ$1,0),FALSE)),VLOOKUP($A148,Haver_M!$B$1:$BZ$300,MATCH(data!W$1,Haver_M!$B$1:$BZ$1,0),FALSE),"")</f>
        <v/>
      </c>
      <c r="X148">
        <f>IF(ISNUMBER(VLOOKUP($A148,Haver_M!$B$1:$BZ$300,MATCH(data!X$1,Haver_M!$B$1:$BZ$1,0),FALSE)),VLOOKUP($A148,Haver_M!$B$1:$BZ$300,MATCH(data!X$1,Haver_M!$B$1:$BZ$1,0),FALSE),"")</f>
        <v>102.22</v>
      </c>
      <c r="Y148">
        <f>IF(ISNUMBER(VLOOKUP($A148,Haver_M!$B$1:$BZ$300,MATCH(data!Y$1,Haver_M!$B$1:$BZ$1,0),FALSE)),VLOOKUP($A148,Haver_M!$B$1:$BZ$300,MATCH(data!Y$1,Haver_M!$B$1:$BZ$1,0),FALSE),"")</f>
        <v>99</v>
      </c>
      <c r="Z148">
        <f>IF(ISNUMBER(VLOOKUP($A148,Haver_M!$B$1:$BZ$300,MATCH(data!Z$1,Haver_M!$B$1:$BZ$1,0),FALSE)),VLOOKUP($A148,Haver_M!$B$1:$BZ$300,MATCH(data!Z$1,Haver_M!$B$1:$BZ$1,0),FALSE),"")</f>
        <v>101.4</v>
      </c>
      <c r="AA148">
        <f>IF(ISNUMBER(VLOOKUP($A148,Haver_M!$B$1:$BZ$300,MATCH(data!AA$1,Haver_M!$B$1:$BZ$1,0),FALSE)),VLOOKUP($A148,Haver_M!$B$1:$BZ$300,MATCH(data!AA$1,Haver_M!$B$1:$BZ$1,0),FALSE),"")</f>
        <v>104.438</v>
      </c>
      <c r="AB148">
        <f>IF(ISNUMBER(VLOOKUP($A148,Haver_M!$B$1:$BZ$300,MATCH(data!AB$1,Haver_M!$B$1:$BZ$1,0),FALSE)),VLOOKUP($A148,Haver_M!$B$1:$BZ$300,MATCH(data!AB$1,Haver_M!$B$1:$BZ$1,0),FALSE),"")</f>
        <v>99.084000000000003</v>
      </c>
      <c r="AC148">
        <f>IF(ISNUMBER(VLOOKUP($A148,Haver_M!$B$1:$BZ$300,MATCH(data!AC$1,Haver_M!$B$1:$BZ$1,0),FALSE)),VLOOKUP($A148,Haver_M!$B$1:$BZ$300,MATCH(data!AC$1,Haver_M!$B$1:$BZ$1,0),FALSE),"")</f>
        <v>95.622</v>
      </c>
      <c r="AD148">
        <f>IF(ISNUMBER(VLOOKUP($A148,Haver_M!$B$1:$BZ$300,MATCH(data!AD$1,Haver_M!$B$1:$BZ$1,0),FALSE)),VLOOKUP($A148,Haver_M!$B$1:$BZ$300,MATCH(data!AD$1,Haver_M!$B$1:$BZ$1,0),FALSE),"")</f>
        <v>102.283</v>
      </c>
      <c r="AE148">
        <f>IF(ISNUMBER(VLOOKUP($A148,Haver_M!$B$1:$BZ$300,MATCH(data!AE$1,Haver_M!$B$1:$BZ$1,0),FALSE)),VLOOKUP($A148,Haver_M!$B$1:$BZ$300,MATCH(data!AE$1,Haver_M!$B$1:$BZ$1,0),FALSE),"")</f>
        <v>102.429</v>
      </c>
      <c r="AF148">
        <f>IF(ISNUMBER(VLOOKUP($A148,Haver_M!$B$1:$BZ$300,MATCH(data!AF$1,Haver_M!$B$1:$BZ$1,0),FALSE)),VLOOKUP($A148,Haver_M!$B$1:$BZ$300,MATCH(data!AF$1,Haver_M!$B$1:$BZ$1,0),FALSE),"")</f>
        <v>100.339</v>
      </c>
      <c r="AG148">
        <f>IF(ISNUMBER(VLOOKUP($A148,Haver_M!$B$1:$BZ$300,MATCH(data!AG$1,Haver_M!$B$1:$BZ$1,0),FALSE)),VLOOKUP($A148,Haver_M!$B$1:$BZ$300,MATCH(data!AG$1,Haver_M!$B$1:$BZ$1,0),FALSE),"")</f>
        <v>104.33</v>
      </c>
      <c r="AH148">
        <f>IF(ISNUMBER(VLOOKUP($A148,Haver_M!$B$1:$BZ$300,MATCH(data!AH$1,Haver_M!$B$1:$BZ$1,0),FALSE)),VLOOKUP($A148,Haver_M!$B$1:$BZ$300,MATCH(data!AH$1,Haver_M!$B$1:$BZ$1,0),FALSE),"")</f>
        <v>102.48099999999999</v>
      </c>
      <c r="AI148">
        <f>IF(ISNUMBER(VLOOKUP($A148,Haver_M!$B$1:$BZ$300,MATCH(data!AI$1,Haver_M!$B$1:$BZ$1,0),FALSE)),VLOOKUP($A148,Haver_M!$B$1:$BZ$300,MATCH(data!AI$1,Haver_M!$B$1:$BZ$1,0),FALSE),"")</f>
        <v>12712.546980131412</v>
      </c>
      <c r="AJ148">
        <f>IF(ISNUMBER(VLOOKUP($A148,Haver_M!$B$1:$BZ$300,MATCH(data!AJ$1,Haver_M!$B$1:$BZ$1,0),FALSE)),VLOOKUP($A148,Haver_M!$B$1:$BZ$300,MATCH(data!AJ$1,Haver_M!$B$1:$BZ$1,0),FALSE),"")</f>
        <v>24536.400000000001</v>
      </c>
      <c r="AK148">
        <f>IF(ISNUMBER(VLOOKUP($A148,Haver_M!$B$1:$BZ$300,MATCH(data!AK$1,Haver_M!$B$1:$BZ$1,0),FALSE)),VLOOKUP($A148,Haver_M!$B$1:$BZ$300,MATCH(data!AK$1,Haver_M!$B$1:$BZ$1,0),FALSE),"")</f>
        <v>41976.5</v>
      </c>
      <c r="AL148">
        <f>IF(ISNUMBER(VLOOKUP($A148,Haver_M!$B$1:$BZ$300,MATCH(data!AL$1,Haver_M!$B$1:$BZ$1,0),FALSE)),VLOOKUP($A148,Haver_M!$B$1:$BZ$300,MATCH(data!AL$1,Haver_M!$B$1:$BZ$1,0),FALSE),"")</f>
        <v>12891</v>
      </c>
      <c r="AM148">
        <f>IF(ISNUMBER(VLOOKUP($A148,Haver_M!$B$1:$BZ$300,MATCH(data!AM$1,Haver_M!$B$1:$BZ$1,0),FALSE)),VLOOKUP($A148,Haver_M!$B$1:$BZ$300,MATCH(data!AM$1,Haver_M!$B$1:$BZ$1,0),FALSE),"")</f>
        <v>9080</v>
      </c>
      <c r="AN148">
        <f>IF(ISNUMBER(VLOOKUP($A148,Haver_M!$B$1:$BZ$300,MATCH(data!AN$1,Haver_M!$B$1:$BZ$1,0),FALSE)),VLOOKUP($A148,Haver_M!$B$1:$BZ$300,MATCH(data!AN$1,Haver_M!$B$1:$BZ$1,0),FALSE),"")</f>
        <v>114.6</v>
      </c>
      <c r="AO148">
        <f>IF(ISNUMBER(VLOOKUP($A148,Haver_M!$B$1:$BZ$300,MATCH(data!AO$1,Haver_M!$B$1:$BZ$1,0),FALSE)),VLOOKUP($A148,Haver_M!$B$1:$BZ$300,MATCH(data!AO$1,Haver_M!$B$1:$BZ$1,0),FALSE),"")</f>
        <v>115.5</v>
      </c>
      <c r="AP148">
        <f>IF(ISNUMBER(VLOOKUP($A148,Haver_M!$B$1:$BZ$300,MATCH(data!AP$1,Haver_M!$B$1:$BZ$1,0),FALSE)),VLOOKUP($A148,Haver_M!$B$1:$BZ$300,MATCH(data!AP$1,Haver_M!$B$1:$BZ$1,0),FALSE),"")</f>
        <v>247.13578345039952</v>
      </c>
      <c r="AQ148">
        <f>IF(ISNUMBER(VLOOKUP($A148,Haver_M!$B$1:$BZ$300,MATCH(data!AQ$1,Haver_M!$B$1:$BZ$1,0),FALSE)),VLOOKUP($A148,Haver_M!$B$1:$BZ$300,MATCH(data!AQ$1,Haver_M!$B$1:$BZ$1,0),FALSE),"")</f>
        <v>53.592100000000002</v>
      </c>
      <c r="AR148">
        <f>IF(ISNUMBER(VLOOKUP($A148,Haver_M!$B$1:$BZ$300,MATCH(data!AR$1,Haver_M!$B$1:$BZ$1,0),FALSE)),VLOOKUP($A148,Haver_M!$B$1:$BZ$300,MATCH(data!AR$1,Haver_M!$B$1:$BZ$1,0),FALSE),"")</f>
        <v>54.743000000000002</v>
      </c>
      <c r="AS148">
        <f>IF(ISNUMBER(VLOOKUP($A148,Haver_M!$B$1:$BZ$300,MATCH(data!AS$1,Haver_M!$B$1:$BZ$1,0),FALSE)),VLOOKUP($A148,Haver_M!$B$1:$BZ$300,MATCH(data!AS$1,Haver_M!$B$1:$BZ$1,0),FALSE),"")</f>
        <v>52.307699999999997</v>
      </c>
      <c r="AT148">
        <f>IF(ISNUMBER(VLOOKUP($A148,Haver_M!$B$1:$BZ$300,MATCH(data!AT$1,Haver_M!$B$1:$BZ$1,0),FALSE)),VLOOKUP($A148,Haver_M!$B$1:$BZ$300,MATCH(data!AT$1,Haver_M!$B$1:$BZ$1,0),FALSE),"")</f>
        <v>56.258099999999999</v>
      </c>
      <c r="AU148">
        <f>IF(ISNUMBER(VLOOKUP($A148,Haver_M!$B$1:$BZ$300,MATCH(data!AU$1,Haver_M!$B$1:$BZ$1,0),FALSE)),VLOOKUP($A148,Haver_M!$B$1:$BZ$300,MATCH(data!AU$1,Haver_M!$B$1:$BZ$1,0),FALSE),"")</f>
        <v>58.096299999999999</v>
      </c>
      <c r="AV148">
        <f>IF(ISNUMBER(VLOOKUP($A148,Haver_M!$B$1:$BZ$300,MATCH(data!AV$1,Haver_M!$B$1:$BZ$1,0),FALSE)),VLOOKUP($A148,Haver_M!$B$1:$BZ$300,MATCH(data!AV$1,Haver_M!$B$1:$BZ$1,0),FALSE),"")</f>
        <v>51.095100000000002</v>
      </c>
      <c r="AW148">
        <f>IF(ISNUMBER(VLOOKUP($A148,Haver_M!$B$1:$BZ$300,MATCH(data!AW$1,Haver_M!$B$1:$BZ$1,0),FALSE)),VLOOKUP($A148,Haver_M!$B$1:$BZ$300,MATCH(data!AW$1,Haver_M!$B$1:$BZ$1,0),FALSE),"")</f>
        <v>48.824199999999998</v>
      </c>
      <c r="AX148">
        <f>IF(ISNUMBER(VLOOKUP($A148,Haver_M!$B$1:$BZ$300,MATCH(data!AX$1,Haver_M!$B$1:$BZ$1,0),FALSE)),VLOOKUP($A148,Haver_M!$B$1:$BZ$300,MATCH(data!AX$1,Haver_M!$B$1:$BZ$1,0),FALSE),"")</f>
        <v>53.541699999999999</v>
      </c>
      <c r="AY148">
        <f>IF(ISNUMBER(VLOOKUP($A148,Haver_M!$B$1:$BZ$300,MATCH(data!AY$1,Haver_M!$B$1:$BZ$1,0),FALSE)),VLOOKUP($A148,Haver_M!$B$1:$BZ$300,MATCH(data!AY$1,Haver_M!$B$1:$BZ$1,0),FALSE),"")</f>
        <v>61.1706</v>
      </c>
      <c r="AZ148">
        <f>IF(ISNUMBER(VLOOKUP($A148,Haver_M!$B$1:$BZ$300,MATCH(data!AZ$1,Haver_M!$B$1:$BZ$1,0),FALSE)),VLOOKUP($A148,Haver_M!$B$1:$BZ$300,MATCH(data!AZ$1,Haver_M!$B$1:$BZ$1,0),FALSE),"")</f>
        <v>58.023800000000001</v>
      </c>
      <c r="BA148">
        <f>IF(ISNUMBER(VLOOKUP($A148,Haver_M!$B$1:$BZ$300,MATCH(data!BA$1,Haver_M!$B$1:$BZ$1,0),FALSE)),VLOOKUP($A148,Haver_M!$B$1:$BZ$300,MATCH(data!BA$1,Haver_M!$B$1:$BZ$1,0),FALSE),"")</f>
        <v>53.541699999999999</v>
      </c>
      <c r="BB148">
        <f>IF(ISNUMBER(VLOOKUP($A148,Haver_M!$B$1:$BZ$300,MATCH(data!BB$1,Haver_M!$B$1:$BZ$1,0),FALSE)),VLOOKUP($A148,Haver_M!$B$1:$BZ$300,MATCH(data!BB$1,Haver_M!$B$1:$BZ$1,0),FALSE),"")</f>
        <v>55.616</v>
      </c>
      <c r="BC148">
        <f>IF(ISNUMBER(VLOOKUP($A148,Haver_M!$B$1:$BZ$300,MATCH(data!BC$1,Haver_M!$B$1:$BZ$1,0),FALSE)),VLOOKUP($A148,Haver_M!$B$1:$BZ$300,MATCH(data!BC$1,Haver_M!$B$1:$BZ$1,0),FALSE),"")</f>
        <v>54.144199999999998</v>
      </c>
      <c r="BD148">
        <f>IF(ISNUMBER(VLOOKUP($A148,Haver_M!$B$1:$BZ$300,MATCH(data!BD$1,Haver_M!$B$1:$BZ$1,0),FALSE)),VLOOKUP($A148,Haver_M!$B$1:$BZ$300,MATCH(data!BD$1,Haver_M!$B$1:$BZ$1,0),FALSE),"")</f>
        <v>56.391300000000001</v>
      </c>
      <c r="BE148">
        <f>IF(ISNUMBER(VLOOKUP($A148,Haver_M!$B$1:$BZ$300,MATCH(data!BE$1,Haver_M!$B$1:$BZ$1,0),FALSE)),VLOOKUP($A148,Haver_M!$B$1:$BZ$300,MATCH(data!BE$1,Haver_M!$B$1:$BZ$1,0),FALSE),"")</f>
        <v>1.1301000000000001</v>
      </c>
      <c r="BF148">
        <f>IF(ISNUMBER(VLOOKUP($A148,Haver_M!$B$1:$BZ$300,MATCH(data!BF$1,Haver_M!$B$1:$BZ$1,0),FALSE)),VLOOKUP($A148,Haver_M!$B$1:$BZ$300,MATCH(data!BF$1,Haver_M!$B$1:$BZ$1,0),FALSE),"")</f>
        <v>50.634599999999999</v>
      </c>
      <c r="BG148">
        <f>IF(ISNUMBER(VLOOKUP($A148,Haver_M!$B$1:$BZ$300,MATCH(data!BG$1,Haver_M!$B$1:$BZ$1,0),FALSE)),VLOOKUP($A148,Haver_M!$B$1:$BZ$300,MATCH(data!BG$1,Haver_M!$B$1:$BZ$1,0),FALSE),"")</f>
        <v>54.769199999999998</v>
      </c>
      <c r="BH148">
        <f>IF(ISNUMBER(VLOOKUP($A148,Haver_M!$B$1:$BZ$300,MATCH(data!BH$1,Haver_M!$B$1:$BZ$1,0),FALSE)),VLOOKUP($A148,Haver_M!$B$1:$BZ$300,MATCH(data!BH$1,Haver_M!$B$1:$BZ$1,0),FALSE),"")</f>
        <v>54.777099999999997</v>
      </c>
      <c r="BI148">
        <f>IF(ISNUMBER(VLOOKUP($A148,Haver_M!$B$1:$BZ$300,MATCH(data!BI$1,Haver_M!$B$1:$BZ$1,0),FALSE)),VLOOKUP($A148,Haver_M!$B$1:$BZ$300,MATCH(data!BI$1,Haver_M!$B$1:$BZ$1,0),FALSE),"")</f>
        <v>56.923099999999998</v>
      </c>
      <c r="BJ148" t="str">
        <f>IF(ISNUMBER(VLOOKUP($A148,Haver_M!$B$1:$BZ$300,MATCH(data!BJ$1,Haver_M!$B$1:$BZ$1,0),FALSE)),VLOOKUP($A148,Haver_M!$B$1:$BZ$300,MATCH(data!BJ$1,Haver_M!$B$1:$BZ$1,0),FALSE),"")</f>
        <v/>
      </c>
      <c r="BK148">
        <f>IF(ISNUMBER(VLOOKUP($A148,Haver_M!$B$1:$BZ$300,MATCH(data!BK$1,Haver_M!$B$1:$BZ$1,0),FALSE)),VLOOKUP($A148,Haver_M!$B$1:$BZ$300,MATCH(data!BK$1,Haver_M!$B$1:$BZ$1,0),FALSE),"")</f>
        <v>50</v>
      </c>
      <c r="BL148">
        <f>IF(ISNUMBER(VLOOKUP($A148,Haver_M!$B$1:$BZ$300,MATCH(data!BL$1,Haver_M!$B$1:$BZ$1,0),FALSE)),VLOOKUP($A148,Haver_M!$B$1:$BZ$300,MATCH(data!BL$1,Haver_M!$B$1:$BZ$1,0),FALSE),"")</f>
        <v>17405.349999999999</v>
      </c>
      <c r="BM148">
        <f>IF(ISNUMBER(VLOOKUP($A148,Haver_M!$B$1:$BZ$300,MATCH(data!BM$1,Haver_M!$B$1:$BZ$1,0),FALSE)),VLOOKUP($A148,Haver_M!$B$1:$BZ$300,MATCH(data!BM$1,Haver_M!$B$1:$BZ$1,0),FALSE),"")</f>
        <v>100.07384971</v>
      </c>
      <c r="BN148">
        <f>IF(ISNUMBER(VLOOKUP($A148,Haver_M!$B$1:$BZ$300,MATCH(data!BN$1,Haver_M!$B$1:$BZ$1,0),FALSE)),VLOOKUP($A148,Haver_M!$B$1:$BZ$300,MATCH(data!BN$1,Haver_M!$B$1:$BZ$1,0),FALSE),"")</f>
        <v>114.9</v>
      </c>
      <c r="BO148">
        <f>IF(ISNUMBER(VLOOKUP($A148,Haver_M!$B$1:$BZ$300,MATCH(data!BO$1,Haver_M!$B$1:$BZ$1,0),FALSE)),VLOOKUP($A148,Haver_M!$B$1:$BZ$300,MATCH(data!BO$1,Haver_M!$B$1:$BZ$1,0),FALSE),"")</f>
        <v>117.2</v>
      </c>
      <c r="BP148">
        <f>IF(ISNUMBER(VLOOKUP($A148,Haver_M!$B$1:$BZ$300,MATCH(data!BP$1,Haver_M!$B$1:$BZ$1,0),FALSE)),VLOOKUP($A148,Haver_M!$B$1:$BZ$300,MATCH(data!BP$1,Haver_M!$B$1:$BZ$1,0),FALSE),"")</f>
        <v>33.6</v>
      </c>
      <c r="BQ148">
        <f>IF(ISNUMBER(VLOOKUP($A148,Haver_M!$B$1:$BZ$300,MATCH(data!BQ$1,Haver_M!$B$1:$BZ$1,0),FALSE)),VLOOKUP($A148,Haver_M!$B$1:$BZ$300,MATCH(data!BQ$1,Haver_M!$B$1:$BZ$1,0),FALSE),"")</f>
        <v>155.56206903404012</v>
      </c>
      <c r="BR148">
        <f>IF(ISNUMBER(VLOOKUP($A148,Haver_M!$B$1:$BZ$300,MATCH(data!BR$1,Haver_M!$B$1:$BZ$1,0),FALSE)),VLOOKUP($A148,Haver_M!$B$1:$BZ$300,MATCH(data!BR$1,Haver_M!$B$1:$BZ$1,0),FALSE),"")</f>
        <v>384.97804184965128</v>
      </c>
      <c r="BS148">
        <f>IF(ISNUMBER(VLOOKUP($A148,Haver_M!$B$1:$BZ$300,MATCH(data!BS$1,Haver_M!$B$1:$BZ$1,0),FALSE)),VLOOKUP($A148,Haver_M!$B$1:$BZ$300,MATCH(data!BS$1,Haver_M!$B$1:$BZ$1,0),FALSE),"")</f>
        <v>203.2788188303559</v>
      </c>
      <c r="BT148">
        <f>IF(ISNUMBER(VLOOKUP($A148,Haver_M!$B$1:$BZ$300,MATCH(data!BT$1,Haver_M!$B$1:$BZ$1,0),FALSE)),VLOOKUP($A148,Haver_M!$B$1:$BZ$300,MATCH(data!BT$1,Haver_M!$B$1:$BZ$1,0),FALSE),"")</f>
        <v>852.44222323788324</v>
      </c>
      <c r="BU148">
        <f>IF(ISNUMBER(VLOOKUP($A148,Haver_M!$B$1:$BZ$300,MATCH(data!BU$1,Haver_M!$B$1:$BZ$1,0),FALSE)),VLOOKUP($A148,Haver_M!$B$1:$BZ$300,MATCH(data!BU$1,Haver_M!$B$1:$BZ$1,0),FALSE),"")</f>
        <v>28839.37</v>
      </c>
      <c r="BV148">
        <f>IF(ISNUMBER(VLOOKUP($A148,Haver_M!$B$1:$BZ$300,MATCH(data!BV$1,Haver_M!$B$1:$BZ$1,0),FALSE)),VLOOKUP($A148,Haver_M!$B$1:$BZ$300,MATCH(data!BV$1,Haver_M!$B$1:$BZ$1,0),FALSE),"")</f>
        <v>42380.69</v>
      </c>
      <c r="BW148">
        <f>IF(ISNUMBER(VLOOKUP($A148,Haver_M!$B$1:$BZ$300,MATCH(data!BW$1,Haver_M!$B$1:$BZ$1,0),FALSE)),VLOOKUP($A148,Haver_M!$B$1:$BZ$300,MATCH(data!BW$1,Haver_M!$B$1:$BZ$1,0),FALSE),"")</f>
        <v>50.323</v>
      </c>
      <c r="BX148">
        <f>IF(ISNUMBER(VLOOKUP($A148,Haver_M!$B$1:$BZ$300,MATCH(data!BX$1,Haver_M!$B$1:$BZ$1,0),FALSE)),VLOOKUP($A148,Haver_M!$B$1:$BZ$300,MATCH(data!BX$1,Haver_M!$B$1:$BZ$1,0),FALSE),"")</f>
        <v>53395</v>
      </c>
    </row>
    <row r="149" spans="1:76" x14ac:dyDescent="0.25">
      <c r="A149" s="2">
        <v>41029</v>
      </c>
      <c r="B149" t="str">
        <f>IF(ISNUMBER(VLOOKUP($A149,Haver_Q!$B$1:$L$185,MATCH(data!B$1,Haver_Q!$B$1:$L$1,0),FALSE)),100*(VLOOKUP($A149,Haver_Q!$B$1:$L$185,MATCH(data!B$1,Haver_Q!$B$1:$L$1,0),FALSE)),"")</f>
        <v/>
      </c>
      <c r="C149" t="str">
        <f>IF(ISNUMBER(VLOOKUP($A149,Haver_Q!$B$1:$L$185,MATCH(data!C$1,Haver_Q!$B$1:$L$1,0),FALSE)),100*(VLOOKUP($A149,Haver_Q!$B$1:$L$185,MATCH(data!C$1,Haver_Q!$B$1:$L$1,0),FALSE)),"")</f>
        <v/>
      </c>
      <c r="D149" t="str">
        <f>IF(ISNUMBER(VLOOKUP($A149,Haver_Q!$B$1:$L$185,MATCH(data!D$1,Haver_Q!$B$1:$L$1,0),FALSE)),100*(VLOOKUP($A149,Haver_Q!$B$1:$L$185,MATCH(data!D$1,Haver_Q!$B$1:$L$1,0),FALSE)),"")</f>
        <v/>
      </c>
      <c r="E149" t="str">
        <f>IF(ISNUMBER(VLOOKUP($A149,Haver_Q!$B$1:$L$185,MATCH(data!E$1,Haver_Q!$B$1:$L$1,0),FALSE)),100*(VLOOKUP($A149,Haver_Q!$B$1:$L$185,MATCH(data!E$1,Haver_Q!$B$1:$L$1,0),FALSE)),"")</f>
        <v/>
      </c>
      <c r="F149" t="str">
        <f>IF(ISNUMBER(VLOOKUP($A149,Haver_Q!$B$1:$L$185,MATCH(data!F$1,Haver_Q!$B$1:$L$1,0),FALSE)),100*(VLOOKUP($A149,Haver_Q!$B$1:$L$185,MATCH(data!F$1,Haver_Q!$B$1:$L$1,0),FALSE)),"")</f>
        <v/>
      </c>
      <c r="G149" t="str">
        <f>IF(ISNUMBER(VLOOKUP($A149,Haver_Q!$B$1:$L$185,MATCH(data!G$1,Haver_Q!$B$1:$L$1,0),FALSE)),100*(VLOOKUP($A149,Haver_Q!$B$1:$L$185,MATCH(data!G$1,Haver_Q!$B$1:$L$1,0),FALSE)),"")</f>
        <v/>
      </c>
      <c r="H149" t="str">
        <f>IF(ISNUMBER(VLOOKUP($A149,Haver_Q!$B$1:$L$185,MATCH(data!H$1,Haver_Q!$B$1:$L$1,0),FALSE)),(VLOOKUP($A149,Haver_Q!$B$1:$L$185,MATCH(data!H$1,Haver_Q!$B$1:$L$1,0),FALSE)),"")</f>
        <v/>
      </c>
      <c r="I149" t="str">
        <f>IF(ISNUMBER(VLOOKUP($A149,Haver_Q!$B$1:$L$185,MATCH(data!I$1,Haver_Q!$B$1:$L$1,0),FALSE)),100*(VLOOKUP($A149,Haver_Q!$B$1:$L$185,MATCH(data!I$1,Haver_Q!$B$1:$L$1,0),FALSE)),"")</f>
        <v/>
      </c>
      <c r="J149" s="3">
        <f>IF(ISNUMBER(Bloomberg_m!C165),Bloomberg_m!C165,"")</f>
        <v>1021</v>
      </c>
      <c r="K149" s="3">
        <f>IF(ISNUMBER(Bloomberg_m!D165),Bloomberg_m!D165,"")</f>
        <v>2411.67</v>
      </c>
      <c r="L149" s="3">
        <f>IF(ISNUMBER(Bloomberg_m!E165),Bloomberg_m!E165,"")</f>
        <v>1426.54</v>
      </c>
      <c r="M149" s="3">
        <f>IF(ISNUMBER(Bloomberg_m!F165),Bloomberg_m!F165,"")</f>
        <v>500.74</v>
      </c>
      <c r="N149">
        <f>IF(ISNUMBER(VLOOKUP($A149,Haver_M!$B$1:$BZ$300,MATCH(data!N$1,Haver_M!$B$1:$BZ$1,0),FALSE)),VLOOKUP($A149,Haver_M!$B$1:$BZ$300,MATCH(data!N$1,Haver_M!$B$1:$BZ$1,0),FALSE),"")</f>
        <v>8</v>
      </c>
      <c r="O149">
        <f>IF(ISNUMBER(VLOOKUP($A149,Haver_M!$B$1:$BZ$300,MATCH(data!O$1,Haver_M!$B$1:$BZ$1,0),FALSE)),VLOOKUP($A149,Haver_M!$B$1:$BZ$300,MATCH(data!O$1,Haver_M!$B$1:$BZ$1,0),FALSE),"")</f>
        <v>8.6523000000000003</v>
      </c>
      <c r="P149">
        <f>IF(ISNUMBER(VLOOKUP($A149,Haver_M!$B$1:$BZ$300,MATCH(data!P$1,Haver_M!$B$1:$BZ$1,0),FALSE)),VLOOKUP($A149,Haver_M!$B$1:$BZ$300,MATCH(data!P$1,Haver_M!$B$1:$BZ$1,0),FALSE),"")</f>
        <v>92.269260000000003</v>
      </c>
      <c r="Q149">
        <f>IF(ISNUMBER(VLOOKUP($A149,Haver_M!$B$1:$BZ$300,MATCH(data!Q$1,Haver_M!$B$1:$BZ$1,0),FALSE)),VLOOKUP($A149,Haver_M!$B$1:$BZ$300,MATCH(data!Q$1,Haver_M!$B$1:$BZ$1,0),FALSE),"")</f>
        <v>97.8</v>
      </c>
      <c r="R149">
        <f>IF(ISNUMBER(VLOOKUP($A149,Haver_M!$B$1:$BZ$300,MATCH(data!R$1,Haver_M!$B$1:$BZ$1,0),FALSE)),VLOOKUP($A149,Haver_M!$B$1:$BZ$300,MATCH(data!R$1,Haver_M!$B$1:$BZ$1,0),FALSE),"")</f>
        <v>98.1</v>
      </c>
      <c r="S149">
        <f>IF(ISNUMBER(VLOOKUP($A149,Haver_M!$B$1:$BZ$300,MATCH(data!S$1,Haver_M!$B$1:$BZ$1,0),FALSE)),VLOOKUP($A149,Haver_M!$B$1:$BZ$300,MATCH(data!S$1,Haver_M!$B$1:$BZ$1,0),FALSE),"")</f>
        <v>102.43</v>
      </c>
      <c r="T149">
        <f>IF(ISNUMBER(VLOOKUP($A149,Haver_M!$B$1:$BZ$300,MATCH(data!T$1,Haver_M!$B$1:$BZ$1,0),FALSE)),VLOOKUP($A149,Haver_M!$B$1:$BZ$300,MATCH(data!T$1,Haver_M!$B$1:$BZ$1,0),FALSE),"")</f>
        <v>100.49</v>
      </c>
      <c r="U149">
        <f>IF(ISNUMBER(VLOOKUP($A149,Haver_M!$B$1:$BZ$300,MATCH(data!U$1,Haver_M!$B$1:$BZ$1,0),FALSE)),VLOOKUP($A149,Haver_M!$B$1:$BZ$300,MATCH(data!U$1,Haver_M!$B$1:$BZ$1,0),FALSE),"")</f>
        <v>101.2</v>
      </c>
      <c r="V149">
        <f>IF(ISNUMBER(VLOOKUP($A149,Haver_M!$B$1:$BZ$300,MATCH(data!V$1,Haver_M!$B$1:$BZ$1,0),FALSE)),VLOOKUP($A149,Haver_M!$B$1:$BZ$300,MATCH(data!V$1,Haver_M!$B$1:$BZ$1,0),FALSE),"")</f>
        <v>105.46</v>
      </c>
      <c r="W149">
        <f>IF(ISNUMBER(VLOOKUP($A149,Haver_M!$B$1:$BZ$300,MATCH(data!W$1,Haver_M!$B$1:$BZ$1,0),FALSE)),VLOOKUP($A149,Haver_M!$B$1:$BZ$300,MATCH(data!W$1,Haver_M!$B$1:$BZ$1,0),FALSE),"")</f>
        <v>103.73</v>
      </c>
      <c r="X149">
        <f>IF(ISNUMBER(VLOOKUP($A149,Haver_M!$B$1:$BZ$300,MATCH(data!X$1,Haver_M!$B$1:$BZ$1,0),FALSE)),VLOOKUP($A149,Haver_M!$B$1:$BZ$300,MATCH(data!X$1,Haver_M!$B$1:$BZ$1,0),FALSE),"")</f>
        <v>102.57</v>
      </c>
      <c r="Y149">
        <f>IF(ISNUMBER(VLOOKUP($A149,Haver_M!$B$1:$BZ$300,MATCH(data!Y$1,Haver_M!$B$1:$BZ$1,0),FALSE)),VLOOKUP($A149,Haver_M!$B$1:$BZ$300,MATCH(data!Y$1,Haver_M!$B$1:$BZ$1,0),FALSE),"")</f>
        <v>100.29</v>
      </c>
      <c r="Z149">
        <f>IF(ISNUMBER(VLOOKUP($A149,Haver_M!$B$1:$BZ$300,MATCH(data!Z$1,Haver_M!$B$1:$BZ$1,0),FALSE)),VLOOKUP($A149,Haver_M!$B$1:$BZ$300,MATCH(data!Z$1,Haver_M!$B$1:$BZ$1,0),FALSE),"")</f>
        <v>102.2</v>
      </c>
      <c r="AA149">
        <f>IF(ISNUMBER(VLOOKUP($A149,Haver_M!$B$1:$BZ$300,MATCH(data!AA$1,Haver_M!$B$1:$BZ$1,0),FALSE)),VLOOKUP($A149,Haver_M!$B$1:$BZ$300,MATCH(data!AA$1,Haver_M!$B$1:$BZ$1,0),FALSE),"")</f>
        <v>102.53</v>
      </c>
      <c r="AB149">
        <f>IF(ISNUMBER(VLOOKUP($A149,Haver_M!$B$1:$BZ$300,MATCH(data!AB$1,Haver_M!$B$1:$BZ$1,0),FALSE)),VLOOKUP($A149,Haver_M!$B$1:$BZ$300,MATCH(data!AB$1,Haver_M!$B$1:$BZ$1,0),FALSE),"")</f>
        <v>100.425</v>
      </c>
      <c r="AC149">
        <f>IF(ISNUMBER(VLOOKUP($A149,Haver_M!$B$1:$BZ$300,MATCH(data!AC$1,Haver_M!$B$1:$BZ$1,0),FALSE)),VLOOKUP($A149,Haver_M!$B$1:$BZ$300,MATCH(data!AC$1,Haver_M!$B$1:$BZ$1,0),FALSE),"")</f>
        <v>93.816999999999993</v>
      </c>
      <c r="AD149">
        <f>IF(ISNUMBER(VLOOKUP($A149,Haver_M!$B$1:$BZ$300,MATCH(data!AD$1,Haver_M!$B$1:$BZ$1,0),FALSE)),VLOOKUP($A149,Haver_M!$B$1:$BZ$300,MATCH(data!AD$1,Haver_M!$B$1:$BZ$1,0),FALSE),"")</f>
        <v>102.206</v>
      </c>
      <c r="AE149">
        <f>IF(ISNUMBER(VLOOKUP($A149,Haver_M!$B$1:$BZ$300,MATCH(data!AE$1,Haver_M!$B$1:$BZ$1,0),FALSE)),VLOOKUP($A149,Haver_M!$B$1:$BZ$300,MATCH(data!AE$1,Haver_M!$B$1:$BZ$1,0),FALSE),"")</f>
        <v>86.875</v>
      </c>
      <c r="AF149">
        <f>IF(ISNUMBER(VLOOKUP($A149,Haver_M!$B$1:$BZ$300,MATCH(data!AF$1,Haver_M!$B$1:$BZ$1,0),FALSE)),VLOOKUP($A149,Haver_M!$B$1:$BZ$300,MATCH(data!AF$1,Haver_M!$B$1:$BZ$1,0),FALSE),"")</f>
        <v>106.875</v>
      </c>
      <c r="AG149">
        <f>IF(ISNUMBER(VLOOKUP($A149,Haver_M!$B$1:$BZ$300,MATCH(data!AG$1,Haver_M!$B$1:$BZ$1,0),FALSE)),VLOOKUP($A149,Haver_M!$B$1:$BZ$300,MATCH(data!AG$1,Haver_M!$B$1:$BZ$1,0),FALSE),"")</f>
        <v>102.20699999999999</v>
      </c>
      <c r="AH149">
        <f>IF(ISNUMBER(VLOOKUP($A149,Haver_M!$B$1:$BZ$300,MATCH(data!AH$1,Haver_M!$B$1:$BZ$1,0),FALSE)),VLOOKUP($A149,Haver_M!$B$1:$BZ$300,MATCH(data!AH$1,Haver_M!$B$1:$BZ$1,0),FALSE),"")</f>
        <v>102.68600000000001</v>
      </c>
      <c r="AI149">
        <f>IF(ISNUMBER(VLOOKUP($A149,Haver_M!$B$1:$BZ$300,MATCH(data!AI$1,Haver_M!$B$1:$BZ$1,0),FALSE)),VLOOKUP($A149,Haver_M!$B$1:$BZ$300,MATCH(data!AI$1,Haver_M!$B$1:$BZ$1,0),FALSE),"")</f>
        <v>12604.663017983656</v>
      </c>
      <c r="AJ149">
        <f>IF(ISNUMBER(VLOOKUP($A149,Haver_M!$B$1:$BZ$300,MATCH(data!AJ$1,Haver_M!$B$1:$BZ$1,0),FALSE)),VLOOKUP($A149,Haver_M!$B$1:$BZ$300,MATCH(data!AJ$1,Haver_M!$B$1:$BZ$1,0),FALSE),"")</f>
        <v>24568.97</v>
      </c>
      <c r="AK149">
        <f>IF(ISNUMBER(VLOOKUP($A149,Haver_M!$B$1:$BZ$300,MATCH(data!AK$1,Haver_M!$B$1:$BZ$1,0),FALSE)),VLOOKUP($A149,Haver_M!$B$1:$BZ$300,MATCH(data!AK$1,Haver_M!$B$1:$BZ$1,0),FALSE),"")</f>
        <v>38205.43</v>
      </c>
      <c r="AL149">
        <f>IF(ISNUMBER(VLOOKUP($A149,Haver_M!$B$1:$BZ$300,MATCH(data!AL$1,Haver_M!$B$1:$BZ$1,0),FALSE)),VLOOKUP($A149,Haver_M!$B$1:$BZ$300,MATCH(data!AL$1,Haver_M!$B$1:$BZ$1,0),FALSE),"")</f>
        <v>10484</v>
      </c>
      <c r="AM149">
        <f>IF(ISNUMBER(VLOOKUP($A149,Haver_M!$B$1:$BZ$300,MATCH(data!AM$1,Haver_M!$B$1:$BZ$1,0),FALSE)),VLOOKUP($A149,Haver_M!$B$1:$BZ$300,MATCH(data!AM$1,Haver_M!$B$1:$BZ$1,0),FALSE),"")</f>
        <v>6510</v>
      </c>
      <c r="AN149" t="str">
        <f>IF(ISNUMBER(VLOOKUP($A149,Haver_M!$B$1:$BZ$300,MATCH(data!AN$1,Haver_M!$B$1:$BZ$1,0),FALSE)),VLOOKUP($A149,Haver_M!$B$1:$BZ$300,MATCH(data!AN$1,Haver_M!$B$1:$BZ$1,0),FALSE),"")</f>
        <v/>
      </c>
      <c r="AO149" t="str">
        <f>IF(ISNUMBER(VLOOKUP($A149,Haver_M!$B$1:$BZ$300,MATCH(data!AO$1,Haver_M!$B$1:$BZ$1,0),FALSE)),VLOOKUP($A149,Haver_M!$B$1:$BZ$300,MATCH(data!AO$1,Haver_M!$B$1:$BZ$1,0),FALSE),"")</f>
        <v/>
      </c>
      <c r="AP149">
        <f>IF(ISNUMBER(VLOOKUP($A149,Haver_M!$B$1:$BZ$300,MATCH(data!AP$1,Haver_M!$B$1:$BZ$1,0),FALSE)),VLOOKUP($A149,Haver_M!$B$1:$BZ$300,MATCH(data!AP$1,Haver_M!$B$1:$BZ$1,0),FALSE),"")</f>
        <v>202.43937677951794</v>
      </c>
      <c r="AQ149">
        <f>IF(ISNUMBER(VLOOKUP($A149,Haver_M!$B$1:$BZ$300,MATCH(data!AQ$1,Haver_M!$B$1:$BZ$1,0),FALSE)),VLOOKUP($A149,Haver_M!$B$1:$BZ$300,MATCH(data!AQ$1,Haver_M!$B$1:$BZ$1,0),FALSE),"")</f>
        <v>53.834899999999998</v>
      </c>
      <c r="AR149">
        <f>IF(ISNUMBER(VLOOKUP($A149,Haver_M!$B$1:$BZ$300,MATCH(data!AR$1,Haver_M!$B$1:$BZ$1,0),FALSE)),VLOOKUP($A149,Haver_M!$B$1:$BZ$300,MATCH(data!AR$1,Haver_M!$B$1:$BZ$1,0),FALSE),"")</f>
        <v>54.913800000000002</v>
      </c>
      <c r="AS149">
        <f>IF(ISNUMBER(VLOOKUP($A149,Haver_M!$B$1:$BZ$300,MATCH(data!AS$1,Haver_M!$B$1:$BZ$1,0),FALSE)),VLOOKUP($A149,Haver_M!$B$1:$BZ$300,MATCH(data!AS$1,Haver_M!$B$1:$BZ$1,0),FALSE),"")</f>
        <v>52.763500000000001</v>
      </c>
      <c r="AT149">
        <f>IF(ISNUMBER(VLOOKUP($A149,Haver_M!$B$1:$BZ$300,MATCH(data!AT$1,Haver_M!$B$1:$BZ$1,0),FALSE)),VLOOKUP($A149,Haver_M!$B$1:$BZ$300,MATCH(data!AT$1,Haver_M!$B$1:$BZ$1,0),FALSE),"")</f>
        <v>56.058799999999998</v>
      </c>
      <c r="AU149">
        <f>IF(ISNUMBER(VLOOKUP($A149,Haver_M!$B$1:$BZ$300,MATCH(data!AU$1,Haver_M!$B$1:$BZ$1,0),FALSE)),VLOOKUP($A149,Haver_M!$B$1:$BZ$300,MATCH(data!AU$1,Haver_M!$B$1:$BZ$1,0),FALSE),"")</f>
        <v>61.09</v>
      </c>
      <c r="AV149">
        <f>IF(ISNUMBER(VLOOKUP($A149,Haver_M!$B$1:$BZ$300,MATCH(data!AV$1,Haver_M!$B$1:$BZ$1,0),FALSE)),VLOOKUP($A149,Haver_M!$B$1:$BZ$300,MATCH(data!AV$1,Haver_M!$B$1:$BZ$1,0),FALSE),"")</f>
        <v>50.991599999999998</v>
      </c>
      <c r="AW149">
        <f>IF(ISNUMBER(VLOOKUP($A149,Haver_M!$B$1:$BZ$300,MATCH(data!AW$1,Haver_M!$B$1:$BZ$1,0),FALSE)),VLOOKUP($A149,Haver_M!$B$1:$BZ$300,MATCH(data!AW$1,Haver_M!$B$1:$BZ$1,0),FALSE),"")</f>
        <v>50.220500000000001</v>
      </c>
      <c r="AX149">
        <f>IF(ISNUMBER(VLOOKUP($A149,Haver_M!$B$1:$BZ$300,MATCH(data!AX$1,Haver_M!$B$1:$BZ$1,0),FALSE)),VLOOKUP($A149,Haver_M!$B$1:$BZ$300,MATCH(data!AX$1,Haver_M!$B$1:$BZ$1,0),FALSE),"")</f>
        <v>49.068199999999997</v>
      </c>
      <c r="AY149">
        <f>IF(ISNUMBER(VLOOKUP($A149,Haver_M!$B$1:$BZ$300,MATCH(data!AY$1,Haver_M!$B$1:$BZ$1,0),FALSE)),VLOOKUP($A149,Haver_M!$B$1:$BZ$300,MATCH(data!AY$1,Haver_M!$B$1:$BZ$1,0),FALSE),"")</f>
        <v>64.762299999999996</v>
      </c>
      <c r="AZ149">
        <f>IF(ISNUMBER(VLOOKUP($A149,Haver_M!$B$1:$BZ$300,MATCH(data!AZ$1,Haver_M!$B$1:$BZ$1,0),FALSE)),VLOOKUP($A149,Haver_M!$B$1:$BZ$300,MATCH(data!AZ$1,Haver_M!$B$1:$BZ$1,0),FALSE),"")</f>
        <v>57.117899999999999</v>
      </c>
      <c r="BA149">
        <f>IF(ISNUMBER(VLOOKUP($A149,Haver_M!$B$1:$BZ$300,MATCH(data!BA$1,Haver_M!$B$1:$BZ$1,0),FALSE)),VLOOKUP($A149,Haver_M!$B$1:$BZ$300,MATCH(data!BA$1,Haver_M!$B$1:$BZ$1,0),FALSE),"")</f>
        <v>49.068199999999997</v>
      </c>
      <c r="BB149">
        <f>IF(ISNUMBER(VLOOKUP($A149,Haver_M!$B$1:$BZ$300,MATCH(data!BB$1,Haver_M!$B$1:$BZ$1,0),FALSE)),VLOOKUP($A149,Haver_M!$B$1:$BZ$300,MATCH(data!BB$1,Haver_M!$B$1:$BZ$1,0),FALSE),"")</f>
        <v>56.187199999999997</v>
      </c>
      <c r="BC149">
        <f>IF(ISNUMBER(VLOOKUP($A149,Haver_M!$B$1:$BZ$300,MATCH(data!BC$1,Haver_M!$B$1:$BZ$1,0),FALSE)),VLOOKUP($A149,Haver_M!$B$1:$BZ$300,MATCH(data!BC$1,Haver_M!$B$1:$BZ$1,0),FALSE),"")</f>
        <v>58.678199999999997</v>
      </c>
      <c r="BD149">
        <f>IF(ISNUMBER(VLOOKUP($A149,Haver_M!$B$1:$BZ$300,MATCH(data!BD$1,Haver_M!$B$1:$BZ$1,0),FALSE)),VLOOKUP($A149,Haver_M!$B$1:$BZ$300,MATCH(data!BD$1,Haver_M!$B$1:$BZ$1,0),FALSE),"")</f>
        <v>56.2926</v>
      </c>
      <c r="BE149">
        <f>IF(ISNUMBER(VLOOKUP($A149,Haver_M!$B$1:$BZ$300,MATCH(data!BE$1,Haver_M!$B$1:$BZ$1,0),FALSE)),VLOOKUP($A149,Haver_M!$B$1:$BZ$300,MATCH(data!BE$1,Haver_M!$B$1:$BZ$1,0),FALSE),"")</f>
        <v>1.1972</v>
      </c>
      <c r="BF149">
        <f>IF(ISNUMBER(VLOOKUP($A149,Haver_M!$B$1:$BZ$300,MATCH(data!BF$1,Haver_M!$B$1:$BZ$1,0),FALSE)),VLOOKUP($A149,Haver_M!$B$1:$BZ$300,MATCH(data!BF$1,Haver_M!$B$1:$BZ$1,0),FALSE),"")</f>
        <v>50.754899999999999</v>
      </c>
      <c r="BG149">
        <f>IF(ISNUMBER(VLOOKUP($A149,Haver_M!$B$1:$BZ$300,MATCH(data!BG$1,Haver_M!$B$1:$BZ$1,0),FALSE)),VLOOKUP($A149,Haver_M!$B$1:$BZ$300,MATCH(data!BG$1,Haver_M!$B$1:$BZ$1,0),FALSE),"")</f>
        <v>54.753599999999999</v>
      </c>
      <c r="BH149">
        <f>IF(ISNUMBER(VLOOKUP($A149,Haver_M!$B$1:$BZ$300,MATCH(data!BH$1,Haver_M!$B$1:$BZ$1,0),FALSE)),VLOOKUP($A149,Haver_M!$B$1:$BZ$300,MATCH(data!BH$1,Haver_M!$B$1:$BZ$1,0),FALSE),"")</f>
        <v>55.1051</v>
      </c>
      <c r="BI149">
        <f>IF(ISNUMBER(VLOOKUP($A149,Haver_M!$B$1:$BZ$300,MATCH(data!BI$1,Haver_M!$B$1:$BZ$1,0),FALSE)),VLOOKUP($A149,Haver_M!$B$1:$BZ$300,MATCH(data!BI$1,Haver_M!$B$1:$BZ$1,0),FALSE),"")</f>
        <v>56.365400000000001</v>
      </c>
      <c r="BJ149" t="str">
        <f>IF(ISNUMBER(VLOOKUP($A149,Haver_M!$B$1:$BZ$300,MATCH(data!BJ$1,Haver_M!$B$1:$BZ$1,0),FALSE)),VLOOKUP($A149,Haver_M!$B$1:$BZ$300,MATCH(data!BJ$1,Haver_M!$B$1:$BZ$1,0),FALSE),"")</f>
        <v/>
      </c>
      <c r="BK149">
        <f>IF(ISNUMBER(VLOOKUP($A149,Haver_M!$B$1:$BZ$300,MATCH(data!BK$1,Haver_M!$B$1:$BZ$1,0),FALSE)),VLOOKUP($A149,Haver_M!$B$1:$BZ$300,MATCH(data!BK$1,Haver_M!$B$1:$BZ$1,0),FALSE),"")</f>
        <v>49.604100000000003</v>
      </c>
      <c r="BL149">
        <f>IF(ISNUMBER(VLOOKUP($A149,Haver_M!$B$1:$BZ$300,MATCH(data!BL$1,Haver_M!$B$1:$BZ$1,0),FALSE)),VLOOKUP($A149,Haver_M!$B$1:$BZ$300,MATCH(data!BL$1,Haver_M!$B$1:$BZ$1,0),FALSE),"")</f>
        <v>17288</v>
      </c>
      <c r="BM149">
        <f>IF(ISNUMBER(VLOOKUP($A149,Haver_M!$B$1:$BZ$300,MATCH(data!BM$1,Haver_M!$B$1:$BZ$1,0),FALSE)),VLOOKUP($A149,Haver_M!$B$1:$BZ$300,MATCH(data!BM$1,Haver_M!$B$1:$BZ$1,0),FALSE),"")</f>
        <v>100.2460585</v>
      </c>
      <c r="BN149" t="str">
        <f>IF(ISNUMBER(VLOOKUP($A149,Haver_M!$B$1:$BZ$300,MATCH(data!BN$1,Haver_M!$B$1:$BZ$1,0),FALSE)),VLOOKUP($A149,Haver_M!$B$1:$BZ$300,MATCH(data!BN$1,Haver_M!$B$1:$BZ$1,0),FALSE),"")</f>
        <v/>
      </c>
      <c r="BO149" t="str">
        <f>IF(ISNUMBER(VLOOKUP($A149,Haver_M!$B$1:$BZ$300,MATCH(data!BO$1,Haver_M!$B$1:$BZ$1,0),FALSE)),VLOOKUP($A149,Haver_M!$B$1:$BZ$300,MATCH(data!BO$1,Haver_M!$B$1:$BZ$1,0),FALSE),"")</f>
        <v/>
      </c>
      <c r="BP149" t="str">
        <f>IF(ISNUMBER(VLOOKUP($A149,Haver_M!$B$1:$BZ$300,MATCH(data!BP$1,Haver_M!$B$1:$BZ$1,0),FALSE)),VLOOKUP($A149,Haver_M!$B$1:$BZ$300,MATCH(data!BP$1,Haver_M!$B$1:$BZ$1,0),FALSE),"")</f>
        <v/>
      </c>
      <c r="BQ149">
        <f>IF(ISNUMBER(VLOOKUP($A149,Haver_M!$B$1:$BZ$300,MATCH(data!BQ$1,Haver_M!$B$1:$BZ$1,0),FALSE)),VLOOKUP($A149,Haver_M!$B$1:$BZ$300,MATCH(data!BQ$1,Haver_M!$B$1:$BZ$1,0),FALSE),"")</f>
        <v>151.56680417505584</v>
      </c>
      <c r="BR149">
        <f>IF(ISNUMBER(VLOOKUP($A149,Haver_M!$B$1:$BZ$300,MATCH(data!BR$1,Haver_M!$B$1:$BZ$1,0),FALSE)),VLOOKUP($A149,Haver_M!$B$1:$BZ$300,MATCH(data!BR$1,Haver_M!$B$1:$BZ$1,0),FALSE),"")</f>
        <v>373.78196973528509</v>
      </c>
      <c r="BS149">
        <f>IF(ISNUMBER(VLOOKUP($A149,Haver_M!$B$1:$BZ$300,MATCH(data!BS$1,Haver_M!$B$1:$BZ$1,0),FALSE)),VLOOKUP($A149,Haver_M!$B$1:$BZ$300,MATCH(data!BS$1,Haver_M!$B$1:$BZ$1,0),FALSE),"")</f>
        <v>197.86633566846641</v>
      </c>
      <c r="BT149">
        <f>IF(ISNUMBER(VLOOKUP($A149,Haver_M!$B$1:$BZ$300,MATCH(data!BT$1,Haver_M!$B$1:$BZ$1,0),FALSE)),VLOOKUP($A149,Haver_M!$B$1:$BZ$300,MATCH(data!BT$1,Haver_M!$B$1:$BZ$1,0),FALSE),"")</f>
        <v>828.12178468772981</v>
      </c>
      <c r="BU149">
        <f>IF(ISNUMBER(VLOOKUP($A149,Haver_M!$B$1:$BZ$300,MATCH(data!BU$1,Haver_M!$B$1:$BZ$1,0),FALSE)),VLOOKUP($A149,Haver_M!$B$1:$BZ$300,MATCH(data!BU$1,Haver_M!$B$1:$BZ$1,0),FALSE),"")</f>
        <v>23791.86</v>
      </c>
      <c r="BV149">
        <f>IF(ISNUMBER(VLOOKUP($A149,Haver_M!$B$1:$BZ$300,MATCH(data!BV$1,Haver_M!$B$1:$BZ$1,0),FALSE)),VLOOKUP($A149,Haver_M!$B$1:$BZ$300,MATCH(data!BV$1,Haver_M!$B$1:$BZ$1,0),FALSE),"")</f>
        <v>38171.040000000001</v>
      </c>
      <c r="BW149">
        <f>IF(ISNUMBER(VLOOKUP($A149,Haver_M!$B$1:$BZ$300,MATCH(data!BW$1,Haver_M!$B$1:$BZ$1,0),FALSE)),VLOOKUP($A149,Haver_M!$B$1:$BZ$300,MATCH(data!BW$1,Haver_M!$B$1:$BZ$1,0),FALSE),"")</f>
        <v>51.802900000000001</v>
      </c>
      <c r="BX149">
        <f>IF(ISNUMBER(VLOOKUP($A149,Haver_M!$B$1:$BZ$300,MATCH(data!BX$1,Haver_M!$B$1:$BZ$1,0),FALSE)),VLOOKUP($A149,Haver_M!$B$1:$BZ$300,MATCH(data!BX$1,Haver_M!$B$1:$BZ$1,0),FALSE),"")</f>
        <v>71211</v>
      </c>
    </row>
    <row r="150" spans="1:76" x14ac:dyDescent="0.25">
      <c r="A150" s="2">
        <v>41060</v>
      </c>
      <c r="B150" t="str">
        <f>IF(ISNUMBER(VLOOKUP($A150,Haver_Q!$B$1:$L$185,MATCH(data!B$1,Haver_Q!$B$1:$L$1,0),FALSE)),100*(VLOOKUP($A150,Haver_Q!$B$1:$L$185,MATCH(data!B$1,Haver_Q!$B$1:$L$1,0),FALSE)),"")</f>
        <v/>
      </c>
      <c r="C150" t="str">
        <f>IF(ISNUMBER(VLOOKUP($A150,Haver_Q!$B$1:$L$185,MATCH(data!C$1,Haver_Q!$B$1:$L$1,0),FALSE)),100*(VLOOKUP($A150,Haver_Q!$B$1:$L$185,MATCH(data!C$1,Haver_Q!$B$1:$L$1,0),FALSE)),"")</f>
        <v/>
      </c>
      <c r="D150" t="str">
        <f>IF(ISNUMBER(VLOOKUP($A150,Haver_Q!$B$1:$L$185,MATCH(data!D$1,Haver_Q!$B$1:$L$1,0),FALSE)),100*(VLOOKUP($A150,Haver_Q!$B$1:$L$185,MATCH(data!D$1,Haver_Q!$B$1:$L$1,0),FALSE)),"")</f>
        <v/>
      </c>
      <c r="E150" t="str">
        <f>IF(ISNUMBER(VLOOKUP($A150,Haver_Q!$B$1:$L$185,MATCH(data!E$1,Haver_Q!$B$1:$L$1,0),FALSE)),100*(VLOOKUP($A150,Haver_Q!$B$1:$L$185,MATCH(data!E$1,Haver_Q!$B$1:$L$1,0),FALSE)),"")</f>
        <v/>
      </c>
      <c r="F150" t="str">
        <f>IF(ISNUMBER(VLOOKUP($A150,Haver_Q!$B$1:$L$185,MATCH(data!F$1,Haver_Q!$B$1:$L$1,0),FALSE)),100*(VLOOKUP($A150,Haver_Q!$B$1:$L$185,MATCH(data!F$1,Haver_Q!$B$1:$L$1,0),FALSE)),"")</f>
        <v/>
      </c>
      <c r="G150" t="str">
        <f>IF(ISNUMBER(VLOOKUP($A150,Haver_Q!$B$1:$L$185,MATCH(data!G$1,Haver_Q!$B$1:$L$1,0),FALSE)),100*(VLOOKUP($A150,Haver_Q!$B$1:$L$185,MATCH(data!G$1,Haver_Q!$B$1:$L$1,0),FALSE)),"")</f>
        <v/>
      </c>
      <c r="H150" t="str">
        <f>IF(ISNUMBER(VLOOKUP($A150,Haver_Q!$B$1:$L$185,MATCH(data!H$1,Haver_Q!$B$1:$L$1,0),FALSE)),(VLOOKUP($A150,Haver_Q!$B$1:$L$185,MATCH(data!H$1,Haver_Q!$B$1:$L$1,0),FALSE)),"")</f>
        <v/>
      </c>
      <c r="I150" t="str">
        <f>IF(ISNUMBER(VLOOKUP($A150,Haver_Q!$B$1:$L$185,MATCH(data!I$1,Haver_Q!$B$1:$L$1,0),FALSE)),100*(VLOOKUP($A150,Haver_Q!$B$1:$L$185,MATCH(data!I$1,Haver_Q!$B$1:$L$1,0),FALSE)),"")</f>
        <v/>
      </c>
      <c r="J150" s="3">
        <f>IF(ISNUMBER(Bloomberg_m!C166),Bloomberg_m!C166,"")</f>
        <v>1101</v>
      </c>
      <c r="K150" s="3">
        <f>IF(ISNUMBER(Bloomberg_m!D166),Bloomberg_m!D166,"")</f>
        <v>2609.48</v>
      </c>
      <c r="L150" s="3">
        <f>IF(ISNUMBER(Bloomberg_m!E166),Bloomberg_m!E166,"")</f>
        <v>1450.27</v>
      </c>
      <c r="M150" s="3">
        <f>IF(ISNUMBER(Bloomberg_m!F166),Bloomberg_m!F166,"")</f>
        <v>462.12</v>
      </c>
      <c r="N150">
        <f>IF(ISNUMBER(VLOOKUP($A150,Haver_M!$B$1:$BZ$300,MATCH(data!N$1,Haver_M!$B$1:$BZ$1,0),FALSE)),VLOOKUP($A150,Haver_M!$B$1:$BZ$300,MATCH(data!N$1,Haver_M!$B$1:$BZ$1,0),FALSE),"")</f>
        <v>8</v>
      </c>
      <c r="O150">
        <f>IF(ISNUMBER(VLOOKUP($A150,Haver_M!$B$1:$BZ$300,MATCH(data!O$1,Haver_M!$B$1:$BZ$1,0),FALSE)),VLOOKUP($A150,Haver_M!$B$1:$BZ$300,MATCH(data!O$1,Haver_M!$B$1:$BZ$1,0),FALSE),"")</f>
        <v>8.4598999999999993</v>
      </c>
      <c r="P150">
        <f>IF(ISNUMBER(VLOOKUP($A150,Haver_M!$B$1:$BZ$300,MATCH(data!P$1,Haver_M!$B$1:$BZ$1,0),FALSE)),VLOOKUP($A150,Haver_M!$B$1:$BZ$300,MATCH(data!P$1,Haver_M!$B$1:$BZ$1,0),FALSE),"")</f>
        <v>90.041460000000001</v>
      </c>
      <c r="Q150">
        <f>IF(ISNUMBER(VLOOKUP($A150,Haver_M!$B$1:$BZ$300,MATCH(data!Q$1,Haver_M!$B$1:$BZ$1,0),FALSE)),VLOOKUP($A150,Haver_M!$B$1:$BZ$300,MATCH(data!Q$1,Haver_M!$B$1:$BZ$1,0),FALSE),"")</f>
        <v>98.6</v>
      </c>
      <c r="R150">
        <f>IF(ISNUMBER(VLOOKUP($A150,Haver_M!$B$1:$BZ$300,MATCH(data!R$1,Haver_M!$B$1:$BZ$1,0),FALSE)),VLOOKUP($A150,Haver_M!$B$1:$BZ$300,MATCH(data!R$1,Haver_M!$B$1:$BZ$1,0),FALSE),"")</f>
        <v>98.8</v>
      </c>
      <c r="S150">
        <f>IF(ISNUMBER(VLOOKUP($A150,Haver_M!$B$1:$BZ$300,MATCH(data!S$1,Haver_M!$B$1:$BZ$1,0),FALSE)),VLOOKUP($A150,Haver_M!$B$1:$BZ$300,MATCH(data!S$1,Haver_M!$B$1:$BZ$1,0),FALSE),"")</f>
        <v>104.88</v>
      </c>
      <c r="T150">
        <f>IF(ISNUMBER(VLOOKUP($A150,Haver_M!$B$1:$BZ$300,MATCH(data!T$1,Haver_M!$B$1:$BZ$1,0),FALSE)),VLOOKUP($A150,Haver_M!$B$1:$BZ$300,MATCH(data!T$1,Haver_M!$B$1:$BZ$1,0),FALSE),"")</f>
        <v>102.21</v>
      </c>
      <c r="U150">
        <f>IF(ISNUMBER(VLOOKUP($A150,Haver_M!$B$1:$BZ$300,MATCH(data!U$1,Haver_M!$B$1:$BZ$1,0),FALSE)),VLOOKUP($A150,Haver_M!$B$1:$BZ$300,MATCH(data!U$1,Haver_M!$B$1:$BZ$1,0),FALSE),"")</f>
        <v>104.46</v>
      </c>
      <c r="V150">
        <f>IF(ISNUMBER(VLOOKUP($A150,Haver_M!$B$1:$BZ$300,MATCH(data!V$1,Haver_M!$B$1:$BZ$1,0),FALSE)),VLOOKUP($A150,Haver_M!$B$1:$BZ$300,MATCH(data!V$1,Haver_M!$B$1:$BZ$1,0),FALSE),"")</f>
        <v>105.73</v>
      </c>
      <c r="W150">
        <f>IF(ISNUMBER(VLOOKUP($A150,Haver_M!$B$1:$BZ$300,MATCH(data!W$1,Haver_M!$B$1:$BZ$1,0),FALSE)),VLOOKUP($A150,Haver_M!$B$1:$BZ$300,MATCH(data!W$1,Haver_M!$B$1:$BZ$1,0),FALSE),"")</f>
        <v>111.03</v>
      </c>
      <c r="X150">
        <f>IF(ISNUMBER(VLOOKUP($A150,Haver_M!$B$1:$BZ$300,MATCH(data!X$1,Haver_M!$B$1:$BZ$1,0),FALSE)),VLOOKUP($A150,Haver_M!$B$1:$BZ$300,MATCH(data!X$1,Haver_M!$B$1:$BZ$1,0),FALSE),"")</f>
        <v>106.72</v>
      </c>
      <c r="Y150">
        <f>IF(ISNUMBER(VLOOKUP($A150,Haver_M!$B$1:$BZ$300,MATCH(data!Y$1,Haver_M!$B$1:$BZ$1,0),FALSE)),VLOOKUP($A150,Haver_M!$B$1:$BZ$300,MATCH(data!Y$1,Haver_M!$B$1:$BZ$1,0),FALSE),"")</f>
        <v>102.04</v>
      </c>
      <c r="Z150">
        <f>IF(ISNUMBER(VLOOKUP($A150,Haver_M!$B$1:$BZ$300,MATCH(data!Z$1,Haver_M!$B$1:$BZ$1,0),FALSE)),VLOOKUP($A150,Haver_M!$B$1:$BZ$300,MATCH(data!Z$1,Haver_M!$B$1:$BZ$1,0),FALSE),"")</f>
        <v>104.2</v>
      </c>
      <c r="AA150">
        <f>IF(ISNUMBER(VLOOKUP($A150,Haver_M!$B$1:$BZ$300,MATCH(data!AA$1,Haver_M!$B$1:$BZ$1,0),FALSE)),VLOOKUP($A150,Haver_M!$B$1:$BZ$300,MATCH(data!AA$1,Haver_M!$B$1:$BZ$1,0),FALSE),"")</f>
        <v>106.505</v>
      </c>
      <c r="AB150">
        <f>IF(ISNUMBER(VLOOKUP($A150,Haver_M!$B$1:$BZ$300,MATCH(data!AB$1,Haver_M!$B$1:$BZ$1,0),FALSE)),VLOOKUP($A150,Haver_M!$B$1:$BZ$300,MATCH(data!AB$1,Haver_M!$B$1:$BZ$1,0),FALSE),"")</f>
        <v>101.495</v>
      </c>
      <c r="AC150">
        <f>IF(ISNUMBER(VLOOKUP($A150,Haver_M!$B$1:$BZ$300,MATCH(data!AC$1,Haver_M!$B$1:$BZ$1,0),FALSE)),VLOOKUP($A150,Haver_M!$B$1:$BZ$300,MATCH(data!AC$1,Haver_M!$B$1:$BZ$1,0),FALSE),"")</f>
        <v>91.628</v>
      </c>
      <c r="AD150">
        <f>IF(ISNUMBER(VLOOKUP($A150,Haver_M!$B$1:$BZ$300,MATCH(data!AD$1,Haver_M!$B$1:$BZ$1,0),FALSE)),VLOOKUP($A150,Haver_M!$B$1:$BZ$300,MATCH(data!AD$1,Haver_M!$B$1:$BZ$1,0),FALSE),"")</f>
        <v>103.48099999999999</v>
      </c>
      <c r="AE150">
        <f>IF(ISNUMBER(VLOOKUP($A150,Haver_M!$B$1:$BZ$300,MATCH(data!AE$1,Haver_M!$B$1:$BZ$1,0),FALSE)),VLOOKUP($A150,Haver_M!$B$1:$BZ$300,MATCH(data!AE$1,Haver_M!$B$1:$BZ$1,0),FALSE),"")</f>
        <v>88.527000000000001</v>
      </c>
      <c r="AF150">
        <f>IF(ISNUMBER(VLOOKUP($A150,Haver_M!$B$1:$BZ$300,MATCH(data!AF$1,Haver_M!$B$1:$BZ$1,0),FALSE)),VLOOKUP($A150,Haver_M!$B$1:$BZ$300,MATCH(data!AF$1,Haver_M!$B$1:$BZ$1,0),FALSE),"")</f>
        <v>113.64400000000001</v>
      </c>
      <c r="AG150">
        <f>IF(ISNUMBER(VLOOKUP($A150,Haver_M!$B$1:$BZ$300,MATCH(data!AG$1,Haver_M!$B$1:$BZ$1,0),FALSE)),VLOOKUP($A150,Haver_M!$B$1:$BZ$300,MATCH(data!AG$1,Haver_M!$B$1:$BZ$1,0),FALSE),"")</f>
        <v>103.98099999999999</v>
      </c>
      <c r="AH150">
        <f>IF(ISNUMBER(VLOOKUP($A150,Haver_M!$B$1:$BZ$300,MATCH(data!AH$1,Haver_M!$B$1:$BZ$1,0),FALSE)),VLOOKUP($A150,Haver_M!$B$1:$BZ$300,MATCH(data!AH$1,Haver_M!$B$1:$BZ$1,0),FALSE),"")</f>
        <v>103.292</v>
      </c>
      <c r="AI150">
        <f>IF(ISNUMBER(VLOOKUP($A150,Haver_M!$B$1:$BZ$300,MATCH(data!AI$1,Haver_M!$B$1:$BZ$1,0),FALSE)),VLOOKUP($A150,Haver_M!$B$1:$BZ$300,MATCH(data!AI$1,Haver_M!$B$1:$BZ$1,0),FALSE),"")</f>
        <v>12886.157861730109</v>
      </c>
      <c r="AJ150">
        <f>IF(ISNUMBER(VLOOKUP($A150,Haver_M!$B$1:$BZ$300,MATCH(data!AJ$1,Haver_M!$B$1:$BZ$1,0),FALSE)),VLOOKUP($A150,Haver_M!$B$1:$BZ$300,MATCH(data!AJ$1,Haver_M!$B$1:$BZ$1,0),FALSE),"")</f>
        <v>24776.639999999999</v>
      </c>
      <c r="AK150">
        <f>IF(ISNUMBER(VLOOKUP($A150,Haver_M!$B$1:$BZ$300,MATCH(data!AK$1,Haver_M!$B$1:$BZ$1,0),FALSE)),VLOOKUP($A150,Haver_M!$B$1:$BZ$300,MATCH(data!AK$1,Haver_M!$B$1:$BZ$1,0),FALSE),"")</f>
        <v>39427.14</v>
      </c>
      <c r="AL150">
        <f>IF(ISNUMBER(VLOOKUP($A150,Haver_M!$B$1:$BZ$300,MATCH(data!AL$1,Haver_M!$B$1:$BZ$1,0),FALSE)),VLOOKUP($A150,Haver_M!$B$1:$BZ$300,MATCH(data!AL$1,Haver_M!$B$1:$BZ$1,0),FALSE),"")</f>
        <v>12052</v>
      </c>
      <c r="AM150">
        <f>IF(ISNUMBER(VLOOKUP($A150,Haver_M!$B$1:$BZ$300,MATCH(data!AM$1,Haver_M!$B$1:$BZ$1,0),FALSE)),VLOOKUP($A150,Haver_M!$B$1:$BZ$300,MATCH(data!AM$1,Haver_M!$B$1:$BZ$1,0),FALSE),"")</f>
        <v>7711</v>
      </c>
      <c r="AN150" t="str">
        <f>IF(ISNUMBER(VLOOKUP($A150,Haver_M!$B$1:$BZ$300,MATCH(data!AN$1,Haver_M!$B$1:$BZ$1,0),FALSE)),VLOOKUP($A150,Haver_M!$B$1:$BZ$300,MATCH(data!AN$1,Haver_M!$B$1:$BZ$1,0),FALSE),"")</f>
        <v/>
      </c>
      <c r="AO150" t="str">
        <f>IF(ISNUMBER(VLOOKUP($A150,Haver_M!$B$1:$BZ$300,MATCH(data!AO$1,Haver_M!$B$1:$BZ$1,0),FALSE)),VLOOKUP($A150,Haver_M!$B$1:$BZ$300,MATCH(data!AO$1,Haver_M!$B$1:$BZ$1,0),FALSE),"")</f>
        <v/>
      </c>
      <c r="AP150">
        <f>IF(ISNUMBER(VLOOKUP($A150,Haver_M!$B$1:$BZ$300,MATCH(data!AP$1,Haver_M!$B$1:$BZ$1,0),FALSE)),VLOOKUP($A150,Haver_M!$B$1:$BZ$300,MATCH(data!AP$1,Haver_M!$B$1:$BZ$1,0),FALSE),"")</f>
        <v>250.03695505570903</v>
      </c>
      <c r="AQ150">
        <f>IF(ISNUMBER(VLOOKUP($A150,Haver_M!$B$1:$BZ$300,MATCH(data!AQ$1,Haver_M!$B$1:$BZ$1,0),FALSE)),VLOOKUP($A150,Haver_M!$B$1:$BZ$300,MATCH(data!AQ$1,Haver_M!$B$1:$BZ$1,0),FALSE),"")</f>
        <v>55.253900000000002</v>
      </c>
      <c r="AR150">
        <f>IF(ISNUMBER(VLOOKUP($A150,Haver_M!$B$1:$BZ$300,MATCH(data!AR$1,Haver_M!$B$1:$BZ$1,0),FALSE)),VLOOKUP($A150,Haver_M!$B$1:$BZ$300,MATCH(data!AR$1,Haver_M!$B$1:$BZ$1,0),FALSE),"")</f>
        <v>54.808100000000003</v>
      </c>
      <c r="AS150">
        <f>IF(ISNUMBER(VLOOKUP($A150,Haver_M!$B$1:$BZ$300,MATCH(data!AS$1,Haver_M!$B$1:$BZ$1,0),FALSE)),VLOOKUP($A150,Haver_M!$B$1:$BZ$300,MATCH(data!AS$1,Haver_M!$B$1:$BZ$1,0),FALSE),"")</f>
        <v>54.693800000000003</v>
      </c>
      <c r="AT150">
        <f>IF(ISNUMBER(VLOOKUP($A150,Haver_M!$B$1:$BZ$300,MATCH(data!AT$1,Haver_M!$B$1:$BZ$1,0),FALSE)),VLOOKUP($A150,Haver_M!$B$1:$BZ$300,MATCH(data!AT$1,Haver_M!$B$1:$BZ$1,0),FALSE),"")</f>
        <v>56.416499999999999</v>
      </c>
      <c r="AU150">
        <f>IF(ISNUMBER(VLOOKUP($A150,Haver_M!$B$1:$BZ$300,MATCH(data!AU$1,Haver_M!$B$1:$BZ$1,0),FALSE)),VLOOKUP($A150,Haver_M!$B$1:$BZ$300,MATCH(data!AU$1,Haver_M!$B$1:$BZ$1,0),FALSE),"")</f>
        <v>59.574800000000003</v>
      </c>
      <c r="AV150">
        <f>IF(ISNUMBER(VLOOKUP($A150,Haver_M!$B$1:$BZ$300,MATCH(data!AV$1,Haver_M!$B$1:$BZ$1,0),FALSE)),VLOOKUP($A150,Haver_M!$B$1:$BZ$300,MATCH(data!AV$1,Haver_M!$B$1:$BZ$1,0),FALSE),"")</f>
        <v>51.207000000000001</v>
      </c>
      <c r="AW150">
        <f>IF(ISNUMBER(VLOOKUP($A150,Haver_M!$B$1:$BZ$300,MATCH(data!AW$1,Haver_M!$B$1:$BZ$1,0),FALSE)),VLOOKUP($A150,Haver_M!$B$1:$BZ$300,MATCH(data!AW$1,Haver_M!$B$1:$BZ$1,0),FALSE),"")</f>
        <v>49.689799999999998</v>
      </c>
      <c r="AX150">
        <f>IF(ISNUMBER(VLOOKUP($A150,Haver_M!$B$1:$BZ$300,MATCH(data!AX$1,Haver_M!$B$1:$BZ$1,0),FALSE)),VLOOKUP($A150,Haver_M!$B$1:$BZ$300,MATCH(data!AX$1,Haver_M!$B$1:$BZ$1,0),FALSE),"")</f>
        <v>50.435699999999997</v>
      </c>
      <c r="AY150">
        <f>IF(ISNUMBER(VLOOKUP($A150,Haver_M!$B$1:$BZ$300,MATCH(data!AY$1,Haver_M!$B$1:$BZ$1,0),FALSE)),VLOOKUP($A150,Haver_M!$B$1:$BZ$300,MATCH(data!AY$1,Haver_M!$B$1:$BZ$1,0),FALSE),"")</f>
        <v>64.241500000000002</v>
      </c>
      <c r="AZ150">
        <f>IF(ISNUMBER(VLOOKUP($A150,Haver_M!$B$1:$BZ$300,MATCH(data!AZ$1,Haver_M!$B$1:$BZ$1,0),FALSE)),VLOOKUP($A150,Haver_M!$B$1:$BZ$300,MATCH(data!AZ$1,Haver_M!$B$1:$BZ$1,0),FALSE),"")</f>
        <v>57.957599999999999</v>
      </c>
      <c r="BA150">
        <f>IF(ISNUMBER(VLOOKUP($A150,Haver_M!$B$1:$BZ$300,MATCH(data!BA$1,Haver_M!$B$1:$BZ$1,0),FALSE)),VLOOKUP($A150,Haver_M!$B$1:$BZ$300,MATCH(data!BA$1,Haver_M!$B$1:$BZ$1,0),FALSE),"")</f>
        <v>50.435699999999997</v>
      </c>
      <c r="BB150">
        <f>IF(ISNUMBER(VLOOKUP($A150,Haver_M!$B$1:$BZ$300,MATCH(data!BB$1,Haver_M!$B$1:$BZ$1,0),FALSE)),VLOOKUP($A150,Haver_M!$B$1:$BZ$300,MATCH(data!BB$1,Haver_M!$B$1:$BZ$1,0),FALSE),"")</f>
        <v>56.1892</v>
      </c>
      <c r="BC150">
        <f>IF(ISNUMBER(VLOOKUP($A150,Haver_M!$B$1:$BZ$300,MATCH(data!BC$1,Haver_M!$B$1:$BZ$1,0),FALSE)),VLOOKUP($A150,Haver_M!$B$1:$BZ$300,MATCH(data!BC$1,Haver_M!$B$1:$BZ$1,0),FALSE),"")</f>
        <v>57.7881</v>
      </c>
      <c r="BD150">
        <f>IF(ISNUMBER(VLOOKUP($A150,Haver_M!$B$1:$BZ$300,MATCH(data!BD$1,Haver_M!$B$1:$BZ$1,0),FALSE)),VLOOKUP($A150,Haver_M!$B$1:$BZ$300,MATCH(data!BD$1,Haver_M!$B$1:$BZ$1,0),FALSE),"")</f>
        <v>56.162999999999997</v>
      </c>
      <c r="BE150">
        <f>IF(ISNUMBER(VLOOKUP($A150,Haver_M!$B$1:$BZ$300,MATCH(data!BE$1,Haver_M!$B$1:$BZ$1,0),FALSE)),VLOOKUP($A150,Haver_M!$B$1:$BZ$300,MATCH(data!BE$1,Haver_M!$B$1:$BZ$1,0),FALSE),"")</f>
        <v>1.1563000000000001</v>
      </c>
      <c r="BF150">
        <f>IF(ISNUMBER(VLOOKUP($A150,Haver_M!$B$1:$BZ$300,MATCH(data!BF$1,Haver_M!$B$1:$BZ$1,0),FALSE)),VLOOKUP($A150,Haver_M!$B$1:$BZ$300,MATCH(data!BF$1,Haver_M!$B$1:$BZ$1,0),FALSE),"")</f>
        <v>50.507599999999996</v>
      </c>
      <c r="BG150">
        <f>IF(ISNUMBER(VLOOKUP($A150,Haver_M!$B$1:$BZ$300,MATCH(data!BG$1,Haver_M!$B$1:$BZ$1,0),FALSE)),VLOOKUP($A150,Haver_M!$B$1:$BZ$300,MATCH(data!BG$1,Haver_M!$B$1:$BZ$1,0),FALSE),"")</f>
        <v>56.3688</v>
      </c>
      <c r="BH150">
        <f>IF(ISNUMBER(VLOOKUP($A150,Haver_M!$B$1:$BZ$300,MATCH(data!BH$1,Haver_M!$B$1:$BZ$1,0),FALSE)),VLOOKUP($A150,Haver_M!$B$1:$BZ$300,MATCH(data!BH$1,Haver_M!$B$1:$BZ$1,0),FALSE),"")</f>
        <v>55.305799999999998</v>
      </c>
      <c r="BI150">
        <f>IF(ISNUMBER(VLOOKUP($A150,Haver_M!$B$1:$BZ$300,MATCH(data!BI$1,Haver_M!$B$1:$BZ$1,0),FALSE)),VLOOKUP($A150,Haver_M!$B$1:$BZ$300,MATCH(data!BI$1,Haver_M!$B$1:$BZ$1,0),FALSE),"")</f>
        <v>57.396000000000001</v>
      </c>
      <c r="BJ150" t="str">
        <f>IF(ISNUMBER(VLOOKUP($A150,Haver_M!$B$1:$BZ$300,MATCH(data!BJ$1,Haver_M!$B$1:$BZ$1,0),FALSE)),VLOOKUP($A150,Haver_M!$B$1:$BZ$300,MATCH(data!BJ$1,Haver_M!$B$1:$BZ$1,0),FALSE),"")</f>
        <v/>
      </c>
      <c r="BK150">
        <f>IF(ISNUMBER(VLOOKUP($A150,Haver_M!$B$1:$BZ$300,MATCH(data!BK$1,Haver_M!$B$1:$BZ$1,0),FALSE)),VLOOKUP($A150,Haver_M!$B$1:$BZ$300,MATCH(data!BK$1,Haver_M!$B$1:$BZ$1,0),FALSE),"")</f>
        <v>50.944499999999998</v>
      </c>
      <c r="BL150">
        <f>IF(ISNUMBER(VLOOKUP($A150,Haver_M!$B$1:$BZ$300,MATCH(data!BL$1,Haver_M!$B$1:$BZ$1,0),FALSE)),VLOOKUP($A150,Haver_M!$B$1:$BZ$300,MATCH(data!BL$1,Haver_M!$B$1:$BZ$1,0),FALSE),"")</f>
        <v>16396.23</v>
      </c>
      <c r="BM150">
        <f>IF(ISNUMBER(VLOOKUP($A150,Haver_M!$B$1:$BZ$300,MATCH(data!BM$1,Haver_M!$B$1:$BZ$1,0),FALSE)),VLOOKUP($A150,Haver_M!$B$1:$BZ$300,MATCH(data!BM$1,Haver_M!$B$1:$BZ$1,0),FALSE),"")</f>
        <v>99.891578879999997</v>
      </c>
      <c r="BN150" t="str">
        <f>IF(ISNUMBER(VLOOKUP($A150,Haver_M!$B$1:$BZ$300,MATCH(data!BN$1,Haver_M!$B$1:$BZ$1,0),FALSE)),VLOOKUP($A150,Haver_M!$B$1:$BZ$300,MATCH(data!BN$1,Haver_M!$B$1:$BZ$1,0),FALSE),"")</f>
        <v/>
      </c>
      <c r="BO150" t="str">
        <f>IF(ISNUMBER(VLOOKUP($A150,Haver_M!$B$1:$BZ$300,MATCH(data!BO$1,Haver_M!$B$1:$BZ$1,0),FALSE)),VLOOKUP($A150,Haver_M!$B$1:$BZ$300,MATCH(data!BO$1,Haver_M!$B$1:$BZ$1,0),FALSE),"")</f>
        <v/>
      </c>
      <c r="BP150" t="str">
        <f>IF(ISNUMBER(VLOOKUP($A150,Haver_M!$B$1:$BZ$300,MATCH(data!BP$1,Haver_M!$B$1:$BZ$1,0),FALSE)),VLOOKUP($A150,Haver_M!$B$1:$BZ$300,MATCH(data!BP$1,Haver_M!$B$1:$BZ$1,0),FALSE),"")</f>
        <v/>
      </c>
      <c r="BQ150">
        <f>IF(ISNUMBER(VLOOKUP($A150,Haver_M!$B$1:$BZ$300,MATCH(data!BQ$1,Haver_M!$B$1:$BZ$1,0),FALSE)),VLOOKUP($A150,Haver_M!$B$1:$BZ$300,MATCH(data!BQ$1,Haver_M!$B$1:$BZ$1,0),FALSE),"")</f>
        <v>144.70926230185319</v>
      </c>
      <c r="BR150">
        <f>IF(ISNUMBER(VLOOKUP($A150,Haver_M!$B$1:$BZ$300,MATCH(data!BR$1,Haver_M!$B$1:$BZ$1,0),FALSE)),VLOOKUP($A150,Haver_M!$B$1:$BZ$300,MATCH(data!BR$1,Haver_M!$B$1:$BZ$1,0),FALSE),"")</f>
        <v>357.85638888633918</v>
      </c>
      <c r="BS150">
        <f>IF(ISNUMBER(VLOOKUP($A150,Haver_M!$B$1:$BZ$300,MATCH(data!BS$1,Haver_M!$B$1:$BZ$1,0),FALSE)),VLOOKUP($A150,Haver_M!$B$1:$BZ$300,MATCH(data!BS$1,Haver_M!$B$1:$BZ$1,0),FALSE),"")</f>
        <v>185.84137241043811</v>
      </c>
      <c r="BT150">
        <f>IF(ISNUMBER(VLOOKUP($A150,Haver_M!$B$1:$BZ$300,MATCH(data!BT$1,Haver_M!$B$1:$BZ$1,0),FALSE)),VLOOKUP($A150,Haver_M!$B$1:$BZ$300,MATCH(data!BT$1,Haver_M!$B$1:$BZ$1,0),FALSE),"")</f>
        <v>787.58882759506912</v>
      </c>
      <c r="BU150">
        <f>IF(ISNUMBER(VLOOKUP($A150,Haver_M!$B$1:$BZ$300,MATCH(data!BU$1,Haver_M!$B$1:$BZ$1,0),FALSE)),VLOOKUP($A150,Haver_M!$B$1:$BZ$300,MATCH(data!BU$1,Haver_M!$B$1:$BZ$1,0),FALSE),"")</f>
        <v>24821.439999999999</v>
      </c>
      <c r="BV150">
        <f>IF(ISNUMBER(VLOOKUP($A150,Haver_M!$B$1:$BZ$300,MATCH(data!BV$1,Haver_M!$B$1:$BZ$1,0),FALSE)),VLOOKUP($A150,Haver_M!$B$1:$BZ$300,MATCH(data!BV$1,Haver_M!$B$1:$BZ$1,0),FALSE),"")</f>
        <v>42187.32</v>
      </c>
      <c r="BW150">
        <f>IF(ISNUMBER(VLOOKUP($A150,Haver_M!$B$1:$BZ$300,MATCH(data!BW$1,Haver_M!$B$1:$BZ$1,0),FALSE)),VLOOKUP($A150,Haver_M!$B$1:$BZ$300,MATCH(data!BW$1,Haver_M!$B$1:$BZ$1,0),FALSE),"")</f>
        <v>54.473500000000001</v>
      </c>
      <c r="BX150">
        <f>IF(ISNUMBER(VLOOKUP($A150,Haver_M!$B$1:$BZ$300,MATCH(data!BX$1,Haver_M!$B$1:$BZ$1,0),FALSE)),VLOOKUP($A150,Haver_M!$B$1:$BZ$300,MATCH(data!BX$1,Haver_M!$B$1:$BZ$1,0),FALSE),"")</f>
        <v>82411</v>
      </c>
    </row>
    <row r="151" spans="1:76" x14ac:dyDescent="0.25">
      <c r="A151" s="2">
        <v>41090</v>
      </c>
      <c r="B151">
        <f>IF(ISNUMBER(VLOOKUP($A151,Haver_Q!$B$1:$L$185,MATCH(data!B$1,Haver_Q!$B$1:$L$1,0),FALSE)),100*(VLOOKUP($A151,Haver_Q!$B$1:$L$185,MATCH(data!B$1,Haver_Q!$B$1:$L$1,0),FALSE)),"")</f>
        <v>1.2182400003565963</v>
      </c>
      <c r="C151">
        <f>IF(ISNUMBER(VLOOKUP($A151,Haver_Q!$B$1:$L$185,MATCH(data!C$1,Haver_Q!$B$1:$L$1,0),FALSE)),100*(VLOOKUP($A151,Haver_Q!$B$1:$L$185,MATCH(data!C$1,Haver_Q!$B$1:$L$1,0),FALSE)),"")</f>
        <v>-12.077882182393529</v>
      </c>
      <c r="D151">
        <f>IF(ISNUMBER(VLOOKUP($A151,Haver_Q!$B$1:$L$185,MATCH(data!D$1,Haver_Q!$B$1:$L$1,0),FALSE)),100*(VLOOKUP($A151,Haver_Q!$B$1:$L$185,MATCH(data!D$1,Haver_Q!$B$1:$L$1,0),FALSE)),"")</f>
        <v>-24.62267402737708</v>
      </c>
      <c r="E151">
        <f>IF(ISNUMBER(VLOOKUP($A151,Haver_Q!$B$1:$L$185,MATCH(data!E$1,Haver_Q!$B$1:$L$1,0),FALSE)),100*(VLOOKUP($A151,Haver_Q!$B$1:$L$185,MATCH(data!E$1,Haver_Q!$B$1:$L$1,0),FALSE)),"")</f>
        <v>5.0453337286705535</v>
      </c>
      <c r="F151">
        <f>IF(ISNUMBER(VLOOKUP($A151,Haver_Q!$B$1:$L$185,MATCH(data!F$1,Haver_Q!$B$1:$L$1,0),FALSE)),100*(VLOOKUP($A151,Haver_Q!$B$1:$L$185,MATCH(data!F$1,Haver_Q!$B$1:$L$1,0),FALSE)),"")</f>
        <v>-11.923331974980156</v>
      </c>
      <c r="G151">
        <f>IF(ISNUMBER(VLOOKUP($A151,Haver_Q!$B$1:$L$185,MATCH(data!G$1,Haver_Q!$B$1:$L$1,0),FALSE)),100*(VLOOKUP($A151,Haver_Q!$B$1:$L$185,MATCH(data!G$1,Haver_Q!$B$1:$L$1,0),FALSE)),"")</f>
        <v>-17.211040479725391</v>
      </c>
      <c r="H151">
        <f>IF(ISNUMBER(VLOOKUP($A151,Haver_Q!$B$1:$L$185,MATCH(data!H$1,Haver_Q!$B$1:$L$1,0),FALSE)),(VLOOKUP($A151,Haver_Q!$B$1:$L$185,MATCH(data!H$1,Haver_Q!$B$1:$L$1,0),FALSE)),"")</f>
        <v>2.3173451083879262</v>
      </c>
      <c r="I151">
        <f>IF(ISNUMBER(VLOOKUP($A151,Haver_Q!$B$1:$L$185,MATCH(data!I$1,Haver_Q!$B$1:$L$1,0),FALSE)),100*(VLOOKUP($A151,Haver_Q!$B$1:$L$185,MATCH(data!I$1,Haver_Q!$B$1:$L$1,0),FALSE)),"")</f>
        <v>4.8676494854871688</v>
      </c>
      <c r="J151" s="3">
        <f>IF(ISNUMBER(Bloomberg_m!C167),Bloomberg_m!C167,"")</f>
        <v>937</v>
      </c>
      <c r="K151" s="3">
        <f>IF(ISNUMBER(Bloomberg_m!D167),Bloomberg_m!D167,"")</f>
        <v>2526.37</v>
      </c>
      <c r="L151" s="3">
        <f>IF(ISNUMBER(Bloomberg_m!E167),Bloomberg_m!E167,"")</f>
        <v>1427.61</v>
      </c>
      <c r="M151" s="3">
        <f>IF(ISNUMBER(Bloomberg_m!F167),Bloomberg_m!F167,"")</f>
        <v>423.3</v>
      </c>
      <c r="N151">
        <f>IF(ISNUMBER(VLOOKUP($A151,Haver_M!$B$1:$BZ$300,MATCH(data!N$1,Haver_M!$B$1:$BZ$1,0),FALSE)),VLOOKUP($A151,Haver_M!$B$1:$BZ$300,MATCH(data!N$1,Haver_M!$B$1:$BZ$1,0),FALSE),"")</f>
        <v>8</v>
      </c>
      <c r="O151">
        <f>IF(ISNUMBER(VLOOKUP($A151,Haver_M!$B$1:$BZ$300,MATCH(data!O$1,Haver_M!$B$1:$BZ$1,0),FALSE)),VLOOKUP($A151,Haver_M!$B$1:$BZ$300,MATCH(data!O$1,Haver_M!$B$1:$BZ$1,0),FALSE),"")</f>
        <v>8.2269000000000005</v>
      </c>
      <c r="P151">
        <f>IF(ISNUMBER(VLOOKUP($A151,Haver_M!$B$1:$BZ$300,MATCH(data!P$1,Haver_M!$B$1:$BZ$1,0),FALSE)),VLOOKUP($A151,Haver_M!$B$1:$BZ$300,MATCH(data!P$1,Haver_M!$B$1:$BZ$1,0),FALSE),"")</f>
        <v>89.347239999999999</v>
      </c>
      <c r="Q151">
        <f>IF(ISNUMBER(VLOOKUP($A151,Haver_M!$B$1:$BZ$300,MATCH(data!Q$1,Haver_M!$B$1:$BZ$1,0),FALSE)),VLOOKUP($A151,Haver_M!$B$1:$BZ$300,MATCH(data!Q$1,Haver_M!$B$1:$BZ$1,0),FALSE),"")</f>
        <v>99.8</v>
      </c>
      <c r="R151">
        <f>IF(ISNUMBER(VLOOKUP($A151,Haver_M!$B$1:$BZ$300,MATCH(data!R$1,Haver_M!$B$1:$BZ$1,0),FALSE)),VLOOKUP($A151,Haver_M!$B$1:$BZ$300,MATCH(data!R$1,Haver_M!$B$1:$BZ$1,0),FALSE),"")</f>
        <v>99.6</v>
      </c>
      <c r="S151">
        <f>IF(ISNUMBER(VLOOKUP($A151,Haver_M!$B$1:$BZ$300,MATCH(data!S$1,Haver_M!$B$1:$BZ$1,0),FALSE)),VLOOKUP($A151,Haver_M!$B$1:$BZ$300,MATCH(data!S$1,Haver_M!$B$1:$BZ$1,0),FALSE),"")</f>
        <v>103.72</v>
      </c>
      <c r="T151">
        <f>IF(ISNUMBER(VLOOKUP($A151,Haver_M!$B$1:$BZ$300,MATCH(data!T$1,Haver_M!$B$1:$BZ$1,0),FALSE)),VLOOKUP($A151,Haver_M!$B$1:$BZ$300,MATCH(data!T$1,Haver_M!$B$1:$BZ$1,0),FALSE),"")</f>
        <v>101.32</v>
      </c>
      <c r="U151">
        <f>IF(ISNUMBER(VLOOKUP($A151,Haver_M!$B$1:$BZ$300,MATCH(data!U$1,Haver_M!$B$1:$BZ$1,0),FALSE)),VLOOKUP($A151,Haver_M!$B$1:$BZ$300,MATCH(data!U$1,Haver_M!$B$1:$BZ$1,0),FALSE),"")</f>
        <v>102.49</v>
      </c>
      <c r="V151">
        <f>IF(ISNUMBER(VLOOKUP($A151,Haver_M!$B$1:$BZ$300,MATCH(data!V$1,Haver_M!$B$1:$BZ$1,0),FALSE)),VLOOKUP($A151,Haver_M!$B$1:$BZ$300,MATCH(data!V$1,Haver_M!$B$1:$BZ$1,0),FALSE),"")</f>
        <v>104.42</v>
      </c>
      <c r="W151">
        <f>IF(ISNUMBER(VLOOKUP($A151,Haver_M!$B$1:$BZ$300,MATCH(data!W$1,Haver_M!$B$1:$BZ$1,0),FALSE)),VLOOKUP($A151,Haver_M!$B$1:$BZ$300,MATCH(data!W$1,Haver_M!$B$1:$BZ$1,0),FALSE),"")</f>
        <v>101.77</v>
      </c>
      <c r="X151">
        <f>IF(ISNUMBER(VLOOKUP($A151,Haver_M!$B$1:$BZ$300,MATCH(data!X$1,Haver_M!$B$1:$BZ$1,0),FALSE)),VLOOKUP($A151,Haver_M!$B$1:$BZ$300,MATCH(data!X$1,Haver_M!$B$1:$BZ$1,0),FALSE),"")</f>
        <v>107.25</v>
      </c>
      <c r="Y151">
        <f>IF(ISNUMBER(VLOOKUP($A151,Haver_M!$B$1:$BZ$300,MATCH(data!Y$1,Haver_M!$B$1:$BZ$1,0),FALSE)),VLOOKUP($A151,Haver_M!$B$1:$BZ$300,MATCH(data!Y$1,Haver_M!$B$1:$BZ$1,0),FALSE),"")</f>
        <v>107.32</v>
      </c>
      <c r="Z151">
        <f>IF(ISNUMBER(VLOOKUP($A151,Haver_M!$B$1:$BZ$300,MATCH(data!Z$1,Haver_M!$B$1:$BZ$1,0),FALSE)),VLOOKUP($A151,Haver_M!$B$1:$BZ$300,MATCH(data!Z$1,Haver_M!$B$1:$BZ$1,0),FALSE),"")</f>
        <v>103.1</v>
      </c>
      <c r="AA151">
        <f>IF(ISNUMBER(VLOOKUP($A151,Haver_M!$B$1:$BZ$300,MATCH(data!AA$1,Haver_M!$B$1:$BZ$1,0),FALSE)),VLOOKUP($A151,Haver_M!$B$1:$BZ$300,MATCH(data!AA$1,Haver_M!$B$1:$BZ$1,0),FALSE),"")</f>
        <v>104.604</v>
      </c>
      <c r="AB151">
        <f>IF(ISNUMBER(VLOOKUP($A151,Haver_M!$B$1:$BZ$300,MATCH(data!AB$1,Haver_M!$B$1:$BZ$1,0),FALSE)),VLOOKUP($A151,Haver_M!$B$1:$BZ$300,MATCH(data!AB$1,Haver_M!$B$1:$BZ$1,0),FALSE),"")</f>
        <v>100.27</v>
      </c>
      <c r="AC151">
        <f>IF(ISNUMBER(VLOOKUP($A151,Haver_M!$B$1:$BZ$300,MATCH(data!AC$1,Haver_M!$B$1:$BZ$1,0),FALSE)),VLOOKUP($A151,Haver_M!$B$1:$BZ$300,MATCH(data!AC$1,Haver_M!$B$1:$BZ$1,0),FALSE),"")</f>
        <v>91.031999999999996</v>
      </c>
      <c r="AD151">
        <f>IF(ISNUMBER(VLOOKUP($A151,Haver_M!$B$1:$BZ$300,MATCH(data!AD$1,Haver_M!$B$1:$BZ$1,0),FALSE)),VLOOKUP($A151,Haver_M!$B$1:$BZ$300,MATCH(data!AD$1,Haver_M!$B$1:$BZ$1,0),FALSE),"")</f>
        <v>104.748</v>
      </c>
      <c r="AE151">
        <f>IF(ISNUMBER(VLOOKUP($A151,Haver_M!$B$1:$BZ$300,MATCH(data!AE$1,Haver_M!$B$1:$BZ$1,0),FALSE)),VLOOKUP($A151,Haver_M!$B$1:$BZ$300,MATCH(data!AE$1,Haver_M!$B$1:$BZ$1,0),FALSE),"")</f>
        <v>94.495999999999995</v>
      </c>
      <c r="AF151">
        <f>IF(ISNUMBER(VLOOKUP($A151,Haver_M!$B$1:$BZ$300,MATCH(data!AF$1,Haver_M!$B$1:$BZ$1,0),FALSE)),VLOOKUP($A151,Haver_M!$B$1:$BZ$300,MATCH(data!AF$1,Haver_M!$B$1:$BZ$1,0),FALSE),"")</f>
        <v>105.955</v>
      </c>
      <c r="AG151">
        <f>IF(ISNUMBER(VLOOKUP($A151,Haver_M!$B$1:$BZ$300,MATCH(data!AG$1,Haver_M!$B$1:$BZ$1,0),FALSE)),VLOOKUP($A151,Haver_M!$B$1:$BZ$300,MATCH(data!AG$1,Haver_M!$B$1:$BZ$1,0),FALSE),"")</f>
        <v>104.444</v>
      </c>
      <c r="AH151">
        <f>IF(ISNUMBER(VLOOKUP($A151,Haver_M!$B$1:$BZ$300,MATCH(data!AH$1,Haver_M!$B$1:$BZ$1,0),FALSE)),VLOOKUP($A151,Haver_M!$B$1:$BZ$300,MATCH(data!AH$1,Haver_M!$B$1:$BZ$1,0),FALSE),"")</f>
        <v>105.303</v>
      </c>
      <c r="AI151">
        <f>IF(ISNUMBER(VLOOKUP($A151,Haver_M!$B$1:$BZ$300,MATCH(data!AI$1,Haver_M!$B$1:$BZ$1,0),FALSE)),VLOOKUP($A151,Haver_M!$B$1:$BZ$300,MATCH(data!AI$1,Haver_M!$B$1:$BZ$1,0),FALSE),"")</f>
        <v>13077.197839513932</v>
      </c>
      <c r="AJ151">
        <f>IF(ISNUMBER(VLOOKUP($A151,Haver_M!$B$1:$BZ$300,MATCH(data!AJ$1,Haver_M!$B$1:$BZ$1,0),FALSE)),VLOOKUP($A151,Haver_M!$B$1:$BZ$300,MATCH(data!AJ$1,Haver_M!$B$1:$BZ$1,0),FALSE),"")</f>
        <v>24699.34</v>
      </c>
      <c r="AK151">
        <f>IF(ISNUMBER(VLOOKUP($A151,Haver_M!$B$1:$BZ$300,MATCH(data!AK$1,Haver_M!$B$1:$BZ$1,0),FALSE)),VLOOKUP($A151,Haver_M!$B$1:$BZ$300,MATCH(data!AK$1,Haver_M!$B$1:$BZ$1,0),FALSE),"")</f>
        <v>37075.120000000003</v>
      </c>
      <c r="AL151">
        <f>IF(ISNUMBER(VLOOKUP($A151,Haver_M!$B$1:$BZ$300,MATCH(data!AL$1,Haver_M!$B$1:$BZ$1,0),FALSE)),VLOOKUP($A151,Haver_M!$B$1:$BZ$300,MATCH(data!AL$1,Haver_M!$B$1:$BZ$1,0),FALSE),"")</f>
        <v>10843</v>
      </c>
      <c r="AM151">
        <f>IF(ISNUMBER(VLOOKUP($A151,Haver_M!$B$1:$BZ$300,MATCH(data!AM$1,Haver_M!$B$1:$BZ$1,0),FALSE)),VLOOKUP($A151,Haver_M!$B$1:$BZ$300,MATCH(data!AM$1,Haver_M!$B$1:$BZ$1,0),FALSE),"")</f>
        <v>6317</v>
      </c>
      <c r="AN151">
        <f>IF(ISNUMBER(VLOOKUP($A151,Haver_M!$B$1:$BZ$300,MATCH(data!AN$1,Haver_M!$B$1:$BZ$1,0),FALSE)),VLOOKUP($A151,Haver_M!$B$1:$BZ$300,MATCH(data!AN$1,Haver_M!$B$1:$BZ$1,0),FALSE),"")</f>
        <v>106.7</v>
      </c>
      <c r="AO151">
        <f>IF(ISNUMBER(VLOOKUP($A151,Haver_M!$B$1:$BZ$300,MATCH(data!AO$1,Haver_M!$B$1:$BZ$1,0),FALSE)),VLOOKUP($A151,Haver_M!$B$1:$BZ$300,MATCH(data!AO$1,Haver_M!$B$1:$BZ$1,0),FALSE),"")</f>
        <v>115.2</v>
      </c>
      <c r="AP151">
        <f>IF(ISNUMBER(VLOOKUP($A151,Haver_M!$B$1:$BZ$300,MATCH(data!AP$1,Haver_M!$B$1:$BZ$1,0),FALSE)),VLOOKUP($A151,Haver_M!$B$1:$BZ$300,MATCH(data!AP$1,Haver_M!$B$1:$BZ$1,0),FALSE),"")</f>
        <v>310.10711737746908</v>
      </c>
      <c r="AQ151">
        <f>IF(ISNUMBER(VLOOKUP($A151,Haver_M!$B$1:$BZ$300,MATCH(data!AQ$1,Haver_M!$B$1:$BZ$1,0),FALSE)),VLOOKUP($A151,Haver_M!$B$1:$BZ$300,MATCH(data!AQ$1,Haver_M!$B$1:$BZ$1,0),FALSE),"")</f>
        <v>55.666800000000002</v>
      </c>
      <c r="AR151">
        <f>IF(ISNUMBER(VLOOKUP($A151,Haver_M!$B$1:$BZ$300,MATCH(data!AR$1,Haver_M!$B$1:$BZ$1,0),FALSE)),VLOOKUP($A151,Haver_M!$B$1:$BZ$300,MATCH(data!AR$1,Haver_M!$B$1:$BZ$1,0),FALSE),"")</f>
        <v>55.020699999999998</v>
      </c>
      <c r="AS151">
        <f>IF(ISNUMBER(VLOOKUP($A151,Haver_M!$B$1:$BZ$300,MATCH(data!AS$1,Haver_M!$B$1:$BZ$1,0),FALSE)),VLOOKUP($A151,Haver_M!$B$1:$BZ$300,MATCH(data!AS$1,Haver_M!$B$1:$BZ$1,0),FALSE),"")</f>
        <v>54.293500000000002</v>
      </c>
      <c r="AT151">
        <f>IF(ISNUMBER(VLOOKUP($A151,Haver_M!$B$1:$BZ$300,MATCH(data!AT$1,Haver_M!$B$1:$BZ$1,0),FALSE)),VLOOKUP($A151,Haver_M!$B$1:$BZ$300,MATCH(data!AT$1,Haver_M!$B$1:$BZ$1,0),FALSE),"")</f>
        <v>58.517200000000003</v>
      </c>
      <c r="AU151">
        <f>IF(ISNUMBER(VLOOKUP($A151,Haver_M!$B$1:$BZ$300,MATCH(data!AU$1,Haver_M!$B$1:$BZ$1,0),FALSE)),VLOOKUP($A151,Haver_M!$B$1:$BZ$300,MATCH(data!AU$1,Haver_M!$B$1:$BZ$1,0),FALSE),"")</f>
        <v>58.503399999999999</v>
      </c>
      <c r="AV151">
        <f>IF(ISNUMBER(VLOOKUP($A151,Haver_M!$B$1:$BZ$300,MATCH(data!AV$1,Haver_M!$B$1:$BZ$1,0),FALSE)),VLOOKUP($A151,Haver_M!$B$1:$BZ$300,MATCH(data!AV$1,Haver_M!$B$1:$BZ$1,0),FALSE),"")</f>
        <v>52.377400000000002</v>
      </c>
      <c r="AW151">
        <f>IF(ISNUMBER(VLOOKUP($A151,Haver_M!$B$1:$BZ$300,MATCH(data!AW$1,Haver_M!$B$1:$BZ$1,0),FALSE)),VLOOKUP($A151,Haver_M!$B$1:$BZ$300,MATCH(data!AW$1,Haver_M!$B$1:$BZ$1,0),FALSE),"")</f>
        <v>51.751199999999997</v>
      </c>
      <c r="AX151">
        <f>IF(ISNUMBER(VLOOKUP($A151,Haver_M!$B$1:$BZ$300,MATCH(data!AX$1,Haver_M!$B$1:$BZ$1,0),FALSE)),VLOOKUP($A151,Haver_M!$B$1:$BZ$300,MATCH(data!AX$1,Haver_M!$B$1:$BZ$1,0),FALSE),"")</f>
        <v>51.275399999999998</v>
      </c>
      <c r="AY151">
        <f>IF(ISNUMBER(VLOOKUP($A151,Haver_M!$B$1:$BZ$300,MATCH(data!AY$1,Haver_M!$B$1:$BZ$1,0),FALSE)),VLOOKUP($A151,Haver_M!$B$1:$BZ$300,MATCH(data!AY$1,Haver_M!$B$1:$BZ$1,0),FALSE),"")</f>
        <v>65.082800000000006</v>
      </c>
      <c r="AZ151">
        <f>IF(ISNUMBER(VLOOKUP($A151,Haver_M!$B$1:$BZ$300,MATCH(data!AZ$1,Haver_M!$B$1:$BZ$1,0),FALSE)),VLOOKUP($A151,Haver_M!$B$1:$BZ$300,MATCH(data!AZ$1,Haver_M!$B$1:$BZ$1,0),FALSE),"")</f>
        <v>56.244100000000003</v>
      </c>
      <c r="BA151">
        <f>IF(ISNUMBER(VLOOKUP($A151,Haver_M!$B$1:$BZ$300,MATCH(data!BA$1,Haver_M!$B$1:$BZ$1,0),FALSE)),VLOOKUP($A151,Haver_M!$B$1:$BZ$300,MATCH(data!BA$1,Haver_M!$B$1:$BZ$1,0),FALSE),"")</f>
        <v>51.275399999999998</v>
      </c>
      <c r="BB151">
        <f>IF(ISNUMBER(VLOOKUP($A151,Haver_M!$B$1:$BZ$300,MATCH(data!BB$1,Haver_M!$B$1:$BZ$1,0),FALSE)),VLOOKUP($A151,Haver_M!$B$1:$BZ$300,MATCH(data!BB$1,Haver_M!$B$1:$BZ$1,0),FALSE),"")</f>
        <v>52.328600000000002</v>
      </c>
      <c r="BC151">
        <f>IF(ISNUMBER(VLOOKUP($A151,Haver_M!$B$1:$BZ$300,MATCH(data!BC$1,Haver_M!$B$1:$BZ$1,0),FALSE)),VLOOKUP($A151,Haver_M!$B$1:$BZ$300,MATCH(data!BC$1,Haver_M!$B$1:$BZ$1,0),FALSE),"")</f>
        <v>59.5259</v>
      </c>
      <c r="BD151">
        <f>IF(ISNUMBER(VLOOKUP($A151,Haver_M!$B$1:$BZ$300,MATCH(data!BD$1,Haver_M!$B$1:$BZ$1,0),FALSE)),VLOOKUP($A151,Haver_M!$B$1:$BZ$300,MATCH(data!BD$1,Haver_M!$B$1:$BZ$1,0),FALSE),"")</f>
        <v>51.489199999999997</v>
      </c>
      <c r="BE151">
        <f>IF(ISNUMBER(VLOOKUP($A151,Haver_M!$B$1:$BZ$300,MATCH(data!BE$1,Haver_M!$B$1:$BZ$1,0),FALSE)),VLOOKUP($A151,Haver_M!$B$1:$BZ$300,MATCH(data!BE$1,Haver_M!$B$1:$BZ$1,0),FALSE),"")</f>
        <v>1.1061000000000001</v>
      </c>
      <c r="BF151">
        <f>IF(ISNUMBER(VLOOKUP($A151,Haver_M!$B$1:$BZ$300,MATCH(data!BF$1,Haver_M!$B$1:$BZ$1,0),FALSE)),VLOOKUP($A151,Haver_M!$B$1:$BZ$300,MATCH(data!BF$1,Haver_M!$B$1:$BZ$1,0),FALSE),"")</f>
        <v>51.106099999999998</v>
      </c>
      <c r="BG151">
        <f>IF(ISNUMBER(VLOOKUP($A151,Haver_M!$B$1:$BZ$300,MATCH(data!BG$1,Haver_M!$B$1:$BZ$1,0),FALSE)),VLOOKUP($A151,Haver_M!$B$1:$BZ$300,MATCH(data!BG$1,Haver_M!$B$1:$BZ$1,0),FALSE),"")</f>
        <v>56.184699999999999</v>
      </c>
      <c r="BH151">
        <f>IF(ISNUMBER(VLOOKUP($A151,Haver_M!$B$1:$BZ$300,MATCH(data!BH$1,Haver_M!$B$1:$BZ$1,0),FALSE)),VLOOKUP($A151,Haver_M!$B$1:$BZ$300,MATCH(data!BH$1,Haver_M!$B$1:$BZ$1,0),FALSE),"")</f>
        <v>55.685499999999998</v>
      </c>
      <c r="BI151">
        <f>IF(ISNUMBER(VLOOKUP($A151,Haver_M!$B$1:$BZ$300,MATCH(data!BI$1,Haver_M!$B$1:$BZ$1,0),FALSE)),VLOOKUP($A151,Haver_M!$B$1:$BZ$300,MATCH(data!BI$1,Haver_M!$B$1:$BZ$1,0),FALSE),"")</f>
        <v>57.381700000000002</v>
      </c>
      <c r="BJ151" t="str">
        <f>IF(ISNUMBER(VLOOKUP($A151,Haver_M!$B$1:$BZ$300,MATCH(data!BJ$1,Haver_M!$B$1:$BZ$1,0),FALSE)),VLOOKUP($A151,Haver_M!$B$1:$BZ$300,MATCH(data!BJ$1,Haver_M!$B$1:$BZ$1,0),FALSE),"")</f>
        <v/>
      </c>
      <c r="BK151">
        <f>IF(ISNUMBER(VLOOKUP($A151,Haver_M!$B$1:$BZ$300,MATCH(data!BK$1,Haver_M!$B$1:$BZ$1,0),FALSE)),VLOOKUP($A151,Haver_M!$B$1:$BZ$300,MATCH(data!BK$1,Haver_M!$B$1:$BZ$1,0),FALSE),"")</f>
        <v>48.692300000000003</v>
      </c>
      <c r="BL151">
        <f>IF(ISNUMBER(VLOOKUP($A151,Haver_M!$B$1:$BZ$300,MATCH(data!BL$1,Haver_M!$B$1:$BZ$1,0),FALSE)),VLOOKUP($A151,Haver_M!$B$1:$BZ$300,MATCH(data!BL$1,Haver_M!$B$1:$BZ$1,0),FALSE),"")</f>
        <v>16737.14</v>
      </c>
      <c r="BM151">
        <f>IF(ISNUMBER(VLOOKUP($A151,Haver_M!$B$1:$BZ$300,MATCH(data!BM$1,Haver_M!$B$1:$BZ$1,0),FALSE)),VLOOKUP($A151,Haver_M!$B$1:$BZ$300,MATCH(data!BM$1,Haver_M!$B$1:$BZ$1,0),FALSE),"")</f>
        <v>99.124098180000004</v>
      </c>
      <c r="BN151">
        <f>IF(ISNUMBER(VLOOKUP($A151,Haver_M!$B$1:$BZ$300,MATCH(data!BN$1,Haver_M!$B$1:$BZ$1,0),FALSE)),VLOOKUP($A151,Haver_M!$B$1:$BZ$300,MATCH(data!BN$1,Haver_M!$B$1:$BZ$1,0),FALSE),"")</f>
        <v>107.4</v>
      </c>
      <c r="BO151">
        <f>IF(ISNUMBER(VLOOKUP($A151,Haver_M!$B$1:$BZ$300,MATCH(data!BO$1,Haver_M!$B$1:$BZ$1,0),FALSE)),VLOOKUP($A151,Haver_M!$B$1:$BZ$300,MATCH(data!BO$1,Haver_M!$B$1:$BZ$1,0),FALSE),"")</f>
        <v>116.8</v>
      </c>
      <c r="BP151">
        <f>IF(ISNUMBER(VLOOKUP($A151,Haver_M!$B$1:$BZ$300,MATCH(data!BP$1,Haver_M!$B$1:$BZ$1,0),FALSE)),VLOOKUP($A151,Haver_M!$B$1:$BZ$300,MATCH(data!BP$1,Haver_M!$B$1:$BZ$1,0),FALSE),"")</f>
        <v>34.9</v>
      </c>
      <c r="BQ151">
        <f>IF(ISNUMBER(VLOOKUP($A151,Haver_M!$B$1:$BZ$300,MATCH(data!BQ$1,Haver_M!$B$1:$BZ$1,0),FALSE)),VLOOKUP($A151,Haver_M!$B$1:$BZ$300,MATCH(data!BQ$1,Haver_M!$B$1:$BZ$1,0),FALSE),"")</f>
        <v>142.94559005679082</v>
      </c>
      <c r="BR151">
        <f>IF(ISNUMBER(VLOOKUP($A151,Haver_M!$B$1:$BZ$300,MATCH(data!BR$1,Haver_M!$B$1:$BZ$1,0),FALSE)),VLOOKUP($A151,Haver_M!$B$1:$BZ$300,MATCH(data!BR$1,Haver_M!$B$1:$BZ$1,0),FALSE),"")</f>
        <v>356.79437160674064</v>
      </c>
      <c r="BS151">
        <f>IF(ISNUMBER(VLOOKUP($A151,Haver_M!$B$1:$BZ$300,MATCH(data!BS$1,Haver_M!$B$1:$BZ$1,0),FALSE)),VLOOKUP($A151,Haver_M!$B$1:$BZ$300,MATCH(data!BS$1,Haver_M!$B$1:$BZ$1,0),FALSE),"")</f>
        <v>187.13354583778033</v>
      </c>
      <c r="BT151">
        <f>IF(ISNUMBER(VLOOKUP($A151,Haver_M!$B$1:$BZ$300,MATCH(data!BT$1,Haver_M!$B$1:$BZ$1,0),FALSE)),VLOOKUP($A151,Haver_M!$B$1:$BZ$300,MATCH(data!BT$1,Haver_M!$B$1:$BZ$1,0),FALSE),"")</f>
        <v>785.09910726715236</v>
      </c>
      <c r="BU151">
        <f>IF(ISNUMBER(VLOOKUP($A151,Haver_M!$B$1:$BZ$300,MATCH(data!BU$1,Haver_M!$B$1:$BZ$1,0),FALSE)),VLOOKUP($A151,Haver_M!$B$1:$BZ$300,MATCH(data!BU$1,Haver_M!$B$1:$BZ$1,0),FALSE),"")</f>
        <v>24924.26</v>
      </c>
      <c r="BV151">
        <f>IF(ISNUMBER(VLOOKUP($A151,Haver_M!$B$1:$BZ$300,MATCH(data!BV$1,Haver_M!$B$1:$BZ$1,0),FALSE)),VLOOKUP($A151,Haver_M!$B$1:$BZ$300,MATCH(data!BV$1,Haver_M!$B$1:$BZ$1,0),FALSE),"")</f>
        <v>36157.370000000003</v>
      </c>
      <c r="BW151">
        <f>IF(ISNUMBER(VLOOKUP($A151,Haver_M!$B$1:$BZ$300,MATCH(data!BW$1,Haver_M!$B$1:$BZ$1,0),FALSE)),VLOOKUP($A151,Haver_M!$B$1:$BZ$300,MATCH(data!BW$1,Haver_M!$B$1:$BZ$1,0),FALSE),"")</f>
        <v>56.030200000000001</v>
      </c>
      <c r="BX151">
        <f>IF(ISNUMBER(VLOOKUP($A151,Haver_M!$B$1:$BZ$300,MATCH(data!BX$1,Haver_M!$B$1:$BZ$1,0),FALSE)),VLOOKUP($A151,Haver_M!$B$1:$BZ$300,MATCH(data!BX$1,Haver_M!$B$1:$BZ$1,0),FALSE),"")</f>
        <v>80569</v>
      </c>
    </row>
    <row r="152" spans="1:76" x14ac:dyDescent="0.25">
      <c r="A152" s="2">
        <v>41121</v>
      </c>
      <c r="B152" t="str">
        <f>IF(ISNUMBER(VLOOKUP($A152,Haver_Q!$B$1:$L$185,MATCH(data!B$1,Haver_Q!$B$1:$L$1,0),FALSE)),100*(VLOOKUP($A152,Haver_Q!$B$1:$L$185,MATCH(data!B$1,Haver_Q!$B$1:$L$1,0),FALSE)),"")</f>
        <v/>
      </c>
      <c r="C152" t="str">
        <f>IF(ISNUMBER(VLOOKUP($A152,Haver_Q!$B$1:$L$185,MATCH(data!C$1,Haver_Q!$B$1:$L$1,0),FALSE)),100*(VLOOKUP($A152,Haver_Q!$B$1:$L$185,MATCH(data!C$1,Haver_Q!$B$1:$L$1,0),FALSE)),"")</f>
        <v/>
      </c>
      <c r="D152" t="str">
        <f>IF(ISNUMBER(VLOOKUP($A152,Haver_Q!$B$1:$L$185,MATCH(data!D$1,Haver_Q!$B$1:$L$1,0),FALSE)),100*(VLOOKUP($A152,Haver_Q!$B$1:$L$185,MATCH(data!D$1,Haver_Q!$B$1:$L$1,0),FALSE)),"")</f>
        <v/>
      </c>
      <c r="E152" t="str">
        <f>IF(ISNUMBER(VLOOKUP($A152,Haver_Q!$B$1:$L$185,MATCH(data!E$1,Haver_Q!$B$1:$L$1,0),FALSE)),100*(VLOOKUP($A152,Haver_Q!$B$1:$L$185,MATCH(data!E$1,Haver_Q!$B$1:$L$1,0),FALSE)),"")</f>
        <v/>
      </c>
      <c r="F152" t="str">
        <f>IF(ISNUMBER(VLOOKUP($A152,Haver_Q!$B$1:$L$185,MATCH(data!F$1,Haver_Q!$B$1:$L$1,0),FALSE)),100*(VLOOKUP($A152,Haver_Q!$B$1:$L$185,MATCH(data!F$1,Haver_Q!$B$1:$L$1,0),FALSE)),"")</f>
        <v/>
      </c>
      <c r="G152" t="str">
        <f>IF(ISNUMBER(VLOOKUP($A152,Haver_Q!$B$1:$L$185,MATCH(data!G$1,Haver_Q!$B$1:$L$1,0),FALSE)),100*(VLOOKUP($A152,Haver_Q!$B$1:$L$185,MATCH(data!G$1,Haver_Q!$B$1:$L$1,0),FALSE)),"")</f>
        <v/>
      </c>
      <c r="H152" t="str">
        <f>IF(ISNUMBER(VLOOKUP($A152,Haver_Q!$B$1:$L$185,MATCH(data!H$1,Haver_Q!$B$1:$L$1,0),FALSE)),(VLOOKUP($A152,Haver_Q!$B$1:$L$185,MATCH(data!H$1,Haver_Q!$B$1:$L$1,0),FALSE)),"")</f>
        <v/>
      </c>
      <c r="I152" t="str">
        <f>IF(ISNUMBER(VLOOKUP($A152,Haver_Q!$B$1:$L$185,MATCH(data!I$1,Haver_Q!$B$1:$L$1,0),FALSE)),100*(VLOOKUP($A152,Haver_Q!$B$1:$L$185,MATCH(data!I$1,Haver_Q!$B$1:$L$1,0),FALSE)),"")</f>
        <v/>
      </c>
      <c r="J152" s="3">
        <f>IF(ISNUMBER(Bloomberg_m!C168),Bloomberg_m!C168,"")</f>
        <v>1056</v>
      </c>
      <c r="K152" s="3">
        <f>IF(ISNUMBER(Bloomberg_m!D168),Bloomberg_m!D168,"")</f>
        <v>2592.67</v>
      </c>
      <c r="L152" s="3">
        <f>IF(ISNUMBER(Bloomberg_m!E168),Bloomberg_m!E168,"")</f>
        <v>1362.25</v>
      </c>
      <c r="M152" s="3">
        <f>IF(ISNUMBER(Bloomberg_m!F168),Bloomberg_m!F168,"")</f>
        <v>399.47</v>
      </c>
      <c r="N152">
        <f>IF(ISNUMBER(VLOOKUP($A152,Haver_M!$B$1:$BZ$300,MATCH(data!N$1,Haver_M!$B$1:$BZ$1,0),FALSE)),VLOOKUP($A152,Haver_M!$B$1:$BZ$300,MATCH(data!N$1,Haver_M!$B$1:$BZ$1,0),FALSE),"")</f>
        <v>8</v>
      </c>
      <c r="O152">
        <f>IF(ISNUMBER(VLOOKUP($A152,Haver_M!$B$1:$BZ$300,MATCH(data!O$1,Haver_M!$B$1:$BZ$1,0),FALSE)),VLOOKUP($A152,Haver_M!$B$1:$BZ$300,MATCH(data!O$1,Haver_M!$B$1:$BZ$1,0),FALSE),"")</f>
        <v>8.2630999999999997</v>
      </c>
      <c r="P152">
        <f>IF(ISNUMBER(VLOOKUP($A152,Haver_M!$B$1:$BZ$300,MATCH(data!P$1,Haver_M!$B$1:$BZ$1,0),FALSE)),VLOOKUP($A152,Haver_M!$B$1:$BZ$300,MATCH(data!P$1,Haver_M!$B$1:$BZ$1,0),FALSE),"")</f>
        <v>91.196010000000001</v>
      </c>
      <c r="Q152">
        <f>IF(ISNUMBER(VLOOKUP($A152,Haver_M!$B$1:$BZ$300,MATCH(data!Q$1,Haver_M!$B$1:$BZ$1,0),FALSE)),VLOOKUP($A152,Haver_M!$B$1:$BZ$300,MATCH(data!Q$1,Haver_M!$B$1:$BZ$1,0),FALSE),"")</f>
        <v>101.1</v>
      </c>
      <c r="R152">
        <f>IF(ISNUMBER(VLOOKUP($A152,Haver_M!$B$1:$BZ$300,MATCH(data!R$1,Haver_M!$B$1:$BZ$1,0),FALSE)),VLOOKUP($A152,Haver_M!$B$1:$BZ$300,MATCH(data!R$1,Haver_M!$B$1:$BZ$1,0),FALSE),"")</f>
        <v>100.1</v>
      </c>
      <c r="S152">
        <f>IF(ISNUMBER(VLOOKUP($A152,Haver_M!$B$1:$BZ$300,MATCH(data!S$1,Haver_M!$B$1:$BZ$1,0),FALSE)),VLOOKUP($A152,Haver_M!$B$1:$BZ$300,MATCH(data!S$1,Haver_M!$B$1:$BZ$1,0),FALSE),"")</f>
        <v>102.39</v>
      </c>
      <c r="T152">
        <f>IF(ISNUMBER(VLOOKUP($A152,Haver_M!$B$1:$BZ$300,MATCH(data!T$1,Haver_M!$B$1:$BZ$1,0),FALSE)),VLOOKUP($A152,Haver_M!$B$1:$BZ$300,MATCH(data!T$1,Haver_M!$B$1:$BZ$1,0),FALSE),"")</f>
        <v>100.57</v>
      </c>
      <c r="U152">
        <f>IF(ISNUMBER(VLOOKUP($A152,Haver_M!$B$1:$BZ$300,MATCH(data!U$1,Haver_M!$B$1:$BZ$1,0),FALSE)),VLOOKUP($A152,Haver_M!$B$1:$BZ$300,MATCH(data!U$1,Haver_M!$B$1:$BZ$1,0),FALSE),"")</f>
        <v>103.5</v>
      </c>
      <c r="V152">
        <f>IF(ISNUMBER(VLOOKUP($A152,Haver_M!$B$1:$BZ$300,MATCH(data!V$1,Haver_M!$B$1:$BZ$1,0),FALSE)),VLOOKUP($A152,Haver_M!$B$1:$BZ$300,MATCH(data!V$1,Haver_M!$B$1:$BZ$1,0),FALSE),"")</f>
        <v>101.31</v>
      </c>
      <c r="W152">
        <f>IF(ISNUMBER(VLOOKUP($A152,Haver_M!$B$1:$BZ$300,MATCH(data!W$1,Haver_M!$B$1:$BZ$1,0),FALSE)),VLOOKUP($A152,Haver_M!$B$1:$BZ$300,MATCH(data!W$1,Haver_M!$B$1:$BZ$1,0),FALSE),"")</f>
        <v>104.87</v>
      </c>
      <c r="X152">
        <f>IF(ISNUMBER(VLOOKUP($A152,Haver_M!$B$1:$BZ$300,MATCH(data!X$1,Haver_M!$B$1:$BZ$1,0),FALSE)),VLOOKUP($A152,Haver_M!$B$1:$BZ$300,MATCH(data!X$1,Haver_M!$B$1:$BZ$1,0),FALSE),"")</f>
        <v>101.6</v>
      </c>
      <c r="Y152">
        <f>IF(ISNUMBER(VLOOKUP($A152,Haver_M!$B$1:$BZ$300,MATCH(data!Y$1,Haver_M!$B$1:$BZ$1,0),FALSE)),VLOOKUP($A152,Haver_M!$B$1:$BZ$300,MATCH(data!Y$1,Haver_M!$B$1:$BZ$1,0),FALSE),"")</f>
        <v>106.34</v>
      </c>
      <c r="Z152">
        <f>IF(ISNUMBER(VLOOKUP($A152,Haver_M!$B$1:$BZ$300,MATCH(data!Z$1,Haver_M!$B$1:$BZ$1,0),FALSE)),VLOOKUP($A152,Haver_M!$B$1:$BZ$300,MATCH(data!Z$1,Haver_M!$B$1:$BZ$1,0),FALSE),"")</f>
        <v>104</v>
      </c>
      <c r="AA152">
        <f>IF(ISNUMBER(VLOOKUP($A152,Haver_M!$B$1:$BZ$300,MATCH(data!AA$1,Haver_M!$B$1:$BZ$1,0),FALSE)),VLOOKUP($A152,Haver_M!$B$1:$BZ$300,MATCH(data!AA$1,Haver_M!$B$1:$BZ$1,0),FALSE),"")</f>
        <v>103.509</v>
      </c>
      <c r="AB152">
        <f>IF(ISNUMBER(VLOOKUP($A152,Haver_M!$B$1:$BZ$300,MATCH(data!AB$1,Haver_M!$B$1:$BZ$1,0),FALSE)),VLOOKUP($A152,Haver_M!$B$1:$BZ$300,MATCH(data!AB$1,Haver_M!$B$1:$BZ$1,0),FALSE),"")</f>
        <v>100.414</v>
      </c>
      <c r="AC152">
        <f>IF(ISNUMBER(VLOOKUP($A152,Haver_M!$B$1:$BZ$300,MATCH(data!AC$1,Haver_M!$B$1:$BZ$1,0),FALSE)),VLOOKUP($A152,Haver_M!$B$1:$BZ$300,MATCH(data!AC$1,Haver_M!$B$1:$BZ$1,0),FALSE),"")</f>
        <v>88.352999999999994</v>
      </c>
      <c r="AD152">
        <f>IF(ISNUMBER(VLOOKUP($A152,Haver_M!$B$1:$BZ$300,MATCH(data!AD$1,Haver_M!$B$1:$BZ$1,0),FALSE)),VLOOKUP($A152,Haver_M!$B$1:$BZ$300,MATCH(data!AD$1,Haver_M!$B$1:$BZ$1,0),FALSE),"")</f>
        <v>105.35299999999999</v>
      </c>
      <c r="AE152">
        <f>IF(ISNUMBER(VLOOKUP($A152,Haver_M!$B$1:$BZ$300,MATCH(data!AE$1,Haver_M!$B$1:$BZ$1,0),FALSE)),VLOOKUP($A152,Haver_M!$B$1:$BZ$300,MATCH(data!AE$1,Haver_M!$B$1:$BZ$1,0),FALSE),"")</f>
        <v>97.863</v>
      </c>
      <c r="AF152">
        <f>IF(ISNUMBER(VLOOKUP($A152,Haver_M!$B$1:$BZ$300,MATCH(data!AF$1,Haver_M!$B$1:$BZ$1,0),FALSE)),VLOOKUP($A152,Haver_M!$B$1:$BZ$300,MATCH(data!AF$1,Haver_M!$B$1:$BZ$1,0),FALSE),"")</f>
        <v>109.895</v>
      </c>
      <c r="AG152">
        <f>IF(ISNUMBER(VLOOKUP($A152,Haver_M!$B$1:$BZ$300,MATCH(data!AG$1,Haver_M!$B$1:$BZ$1,0),FALSE)),VLOOKUP($A152,Haver_M!$B$1:$BZ$300,MATCH(data!AG$1,Haver_M!$B$1:$BZ$1,0),FALSE),"")</f>
        <v>103.462</v>
      </c>
      <c r="AH152">
        <f>IF(ISNUMBER(VLOOKUP($A152,Haver_M!$B$1:$BZ$300,MATCH(data!AH$1,Haver_M!$B$1:$BZ$1,0),FALSE)),VLOOKUP($A152,Haver_M!$B$1:$BZ$300,MATCH(data!AH$1,Haver_M!$B$1:$BZ$1,0),FALSE),"")</f>
        <v>102.40600000000001</v>
      </c>
      <c r="AI152">
        <f>IF(ISNUMBER(VLOOKUP($A152,Haver_M!$B$1:$BZ$300,MATCH(data!AI$1,Haver_M!$B$1:$BZ$1,0),FALSE)),VLOOKUP($A152,Haver_M!$B$1:$BZ$300,MATCH(data!AI$1,Haver_M!$B$1:$BZ$1,0),FALSE),"")</f>
        <v>13282.872426467527</v>
      </c>
      <c r="AJ152">
        <f>IF(ISNUMBER(VLOOKUP($A152,Haver_M!$B$1:$BZ$300,MATCH(data!AJ$1,Haver_M!$B$1:$BZ$1,0),FALSE)),VLOOKUP($A152,Haver_M!$B$1:$BZ$300,MATCH(data!AJ$1,Haver_M!$B$1:$BZ$1,0),FALSE),"")</f>
        <v>23440.61</v>
      </c>
      <c r="AK152">
        <f>IF(ISNUMBER(VLOOKUP($A152,Haver_M!$B$1:$BZ$300,MATCH(data!AK$1,Haver_M!$B$1:$BZ$1,0),FALSE)),VLOOKUP($A152,Haver_M!$B$1:$BZ$300,MATCH(data!AK$1,Haver_M!$B$1:$BZ$1,0),FALSE),"")</f>
        <v>39390.58</v>
      </c>
      <c r="AL152">
        <f>IF(ISNUMBER(VLOOKUP($A152,Haver_M!$B$1:$BZ$300,MATCH(data!AL$1,Haver_M!$B$1:$BZ$1,0),FALSE)),VLOOKUP($A152,Haver_M!$B$1:$BZ$300,MATCH(data!AL$1,Haver_M!$B$1:$BZ$1,0),FALSE),"")</f>
        <v>11065</v>
      </c>
      <c r="AM152">
        <f>IF(ISNUMBER(VLOOKUP($A152,Haver_M!$B$1:$BZ$300,MATCH(data!AM$1,Haver_M!$B$1:$BZ$1,0),FALSE)),VLOOKUP($A152,Haver_M!$B$1:$BZ$300,MATCH(data!AM$1,Haver_M!$B$1:$BZ$1,0),FALSE),"")</f>
        <v>6500</v>
      </c>
      <c r="AN152" t="str">
        <f>IF(ISNUMBER(VLOOKUP($A152,Haver_M!$B$1:$BZ$300,MATCH(data!AN$1,Haver_M!$B$1:$BZ$1,0),FALSE)),VLOOKUP($A152,Haver_M!$B$1:$BZ$300,MATCH(data!AN$1,Haver_M!$B$1:$BZ$1,0),FALSE),"")</f>
        <v/>
      </c>
      <c r="AO152" t="str">
        <f>IF(ISNUMBER(VLOOKUP($A152,Haver_M!$B$1:$BZ$300,MATCH(data!AO$1,Haver_M!$B$1:$BZ$1,0),FALSE)),VLOOKUP($A152,Haver_M!$B$1:$BZ$300,MATCH(data!AO$1,Haver_M!$B$1:$BZ$1,0),FALSE),"")</f>
        <v/>
      </c>
      <c r="AP152">
        <f>IF(ISNUMBER(VLOOKUP($A152,Haver_M!$B$1:$BZ$300,MATCH(data!AP$1,Haver_M!$B$1:$BZ$1,0),FALSE)),VLOOKUP($A152,Haver_M!$B$1:$BZ$300,MATCH(data!AP$1,Haver_M!$B$1:$BZ$1,0),FALSE),"")</f>
        <v>148.88491078014837</v>
      </c>
      <c r="AQ152">
        <f>IF(ISNUMBER(VLOOKUP($A152,Haver_M!$B$1:$BZ$300,MATCH(data!AQ$1,Haver_M!$B$1:$BZ$1,0),FALSE)),VLOOKUP($A152,Haver_M!$B$1:$BZ$300,MATCH(data!AQ$1,Haver_M!$B$1:$BZ$1,0),FALSE),"")</f>
        <v>54.3628</v>
      </c>
      <c r="AR152">
        <f>IF(ISNUMBER(VLOOKUP($A152,Haver_M!$B$1:$BZ$300,MATCH(data!AR$1,Haver_M!$B$1:$BZ$1,0),FALSE)),VLOOKUP($A152,Haver_M!$B$1:$BZ$300,MATCH(data!AR$1,Haver_M!$B$1:$BZ$1,0),FALSE),"")</f>
        <v>52.888500000000001</v>
      </c>
      <c r="AS152">
        <f>IF(ISNUMBER(VLOOKUP($A152,Haver_M!$B$1:$BZ$300,MATCH(data!AS$1,Haver_M!$B$1:$BZ$1,0),FALSE)),VLOOKUP($A152,Haver_M!$B$1:$BZ$300,MATCH(data!AS$1,Haver_M!$B$1:$BZ$1,0),FALSE),"")</f>
        <v>54.204099999999997</v>
      </c>
      <c r="AT152">
        <f>IF(ISNUMBER(VLOOKUP($A152,Haver_M!$B$1:$BZ$300,MATCH(data!AT$1,Haver_M!$B$1:$BZ$1,0),FALSE)),VLOOKUP($A152,Haver_M!$B$1:$BZ$300,MATCH(data!AT$1,Haver_M!$B$1:$BZ$1,0),FALSE),"")</f>
        <v>54.692300000000003</v>
      </c>
      <c r="AU152">
        <f>IF(ISNUMBER(VLOOKUP($A152,Haver_M!$B$1:$BZ$300,MATCH(data!AU$1,Haver_M!$B$1:$BZ$1,0),FALSE)),VLOOKUP($A152,Haver_M!$B$1:$BZ$300,MATCH(data!AU$1,Haver_M!$B$1:$BZ$1,0),FALSE),"")</f>
        <v>54.925400000000003</v>
      </c>
      <c r="AV152">
        <f>IF(ISNUMBER(VLOOKUP($A152,Haver_M!$B$1:$BZ$300,MATCH(data!AV$1,Haver_M!$B$1:$BZ$1,0),FALSE)),VLOOKUP($A152,Haver_M!$B$1:$BZ$300,MATCH(data!AV$1,Haver_M!$B$1:$BZ$1,0),FALSE),"")</f>
        <v>51.181899999999999</v>
      </c>
      <c r="AW152">
        <f>IF(ISNUMBER(VLOOKUP($A152,Haver_M!$B$1:$BZ$300,MATCH(data!AW$1,Haver_M!$B$1:$BZ$1,0),FALSE)),VLOOKUP($A152,Haver_M!$B$1:$BZ$300,MATCH(data!AW$1,Haver_M!$B$1:$BZ$1,0),FALSE),"")</f>
        <v>50.080500000000001</v>
      </c>
      <c r="AX152">
        <f>IF(ISNUMBER(VLOOKUP($A152,Haver_M!$B$1:$BZ$300,MATCH(data!AX$1,Haver_M!$B$1:$BZ$1,0),FALSE)),VLOOKUP($A152,Haver_M!$B$1:$BZ$300,MATCH(data!AX$1,Haver_M!$B$1:$BZ$1,0),FALSE),"")</f>
        <v>50.134999999999998</v>
      </c>
      <c r="AY152">
        <f>IF(ISNUMBER(VLOOKUP($A152,Haver_M!$B$1:$BZ$300,MATCH(data!AY$1,Haver_M!$B$1:$BZ$1,0),FALSE)),VLOOKUP($A152,Haver_M!$B$1:$BZ$300,MATCH(data!AY$1,Haver_M!$B$1:$BZ$1,0),FALSE),"")</f>
        <v>61.924599999999998</v>
      </c>
      <c r="AZ152">
        <f>IF(ISNUMBER(VLOOKUP($A152,Haver_M!$B$1:$BZ$300,MATCH(data!AZ$1,Haver_M!$B$1:$BZ$1,0),FALSE)),VLOOKUP($A152,Haver_M!$B$1:$BZ$300,MATCH(data!AZ$1,Haver_M!$B$1:$BZ$1,0),FALSE),"")</f>
        <v>52.004300000000001</v>
      </c>
      <c r="BA152">
        <f>IF(ISNUMBER(VLOOKUP($A152,Haver_M!$B$1:$BZ$300,MATCH(data!BA$1,Haver_M!$B$1:$BZ$1,0),FALSE)),VLOOKUP($A152,Haver_M!$B$1:$BZ$300,MATCH(data!BA$1,Haver_M!$B$1:$BZ$1,0),FALSE),"")</f>
        <v>50.134999999999998</v>
      </c>
      <c r="BB152">
        <f>IF(ISNUMBER(VLOOKUP($A152,Haver_M!$B$1:$BZ$300,MATCH(data!BB$1,Haver_M!$B$1:$BZ$1,0),FALSE)),VLOOKUP($A152,Haver_M!$B$1:$BZ$300,MATCH(data!BB$1,Haver_M!$B$1:$BZ$1,0),FALSE),"")</f>
        <v>49.656799999999997</v>
      </c>
      <c r="BC152">
        <f>IF(ISNUMBER(VLOOKUP($A152,Haver_M!$B$1:$BZ$300,MATCH(data!BC$1,Haver_M!$B$1:$BZ$1,0),FALSE)),VLOOKUP($A152,Haver_M!$B$1:$BZ$300,MATCH(data!BC$1,Haver_M!$B$1:$BZ$1,0),FALSE),"")</f>
        <v>57.48</v>
      </c>
      <c r="BD152">
        <f>IF(ISNUMBER(VLOOKUP($A152,Haver_M!$B$1:$BZ$300,MATCH(data!BD$1,Haver_M!$B$1:$BZ$1,0),FALSE)),VLOOKUP($A152,Haver_M!$B$1:$BZ$300,MATCH(data!BD$1,Haver_M!$B$1:$BZ$1,0),FALSE),"")</f>
        <v>47.540599999999998</v>
      </c>
      <c r="BE152">
        <f>IF(ISNUMBER(VLOOKUP($A152,Haver_M!$B$1:$BZ$300,MATCH(data!BE$1,Haver_M!$B$1:$BZ$1,0),FALSE)),VLOOKUP($A152,Haver_M!$B$1:$BZ$300,MATCH(data!BE$1,Haver_M!$B$1:$BZ$1,0),FALSE),"")</f>
        <v>1.0876999999999999</v>
      </c>
      <c r="BF152">
        <f>IF(ISNUMBER(VLOOKUP($A152,Haver_M!$B$1:$BZ$300,MATCH(data!BF$1,Haver_M!$B$1:$BZ$1,0),FALSE)),VLOOKUP($A152,Haver_M!$B$1:$BZ$300,MATCH(data!BF$1,Haver_M!$B$1:$BZ$1,0),FALSE),"")</f>
        <v>51.085099999999997</v>
      </c>
      <c r="BG152">
        <f>IF(ISNUMBER(VLOOKUP($A152,Haver_M!$B$1:$BZ$300,MATCH(data!BG$1,Haver_M!$B$1:$BZ$1,0),FALSE)),VLOOKUP($A152,Haver_M!$B$1:$BZ$300,MATCH(data!BG$1,Haver_M!$B$1:$BZ$1,0),FALSE),"")</f>
        <v>55.603200000000001</v>
      </c>
      <c r="BH152">
        <f>IF(ISNUMBER(VLOOKUP($A152,Haver_M!$B$1:$BZ$300,MATCH(data!BH$1,Haver_M!$B$1:$BZ$1,0),FALSE)),VLOOKUP($A152,Haver_M!$B$1:$BZ$300,MATCH(data!BH$1,Haver_M!$B$1:$BZ$1,0),FALSE),"")</f>
        <v>55.701099999999997</v>
      </c>
      <c r="BI152">
        <f>IF(ISNUMBER(VLOOKUP($A152,Haver_M!$B$1:$BZ$300,MATCH(data!BI$1,Haver_M!$B$1:$BZ$1,0),FALSE)),VLOOKUP($A152,Haver_M!$B$1:$BZ$300,MATCH(data!BI$1,Haver_M!$B$1:$BZ$1,0),FALSE),"")</f>
        <v>54.502800000000001</v>
      </c>
      <c r="BJ152" t="str">
        <f>IF(ISNUMBER(VLOOKUP($A152,Haver_M!$B$1:$BZ$300,MATCH(data!BJ$1,Haver_M!$B$1:$BZ$1,0),FALSE)),VLOOKUP($A152,Haver_M!$B$1:$BZ$300,MATCH(data!BJ$1,Haver_M!$B$1:$BZ$1,0),FALSE),"")</f>
        <v/>
      </c>
      <c r="BK152">
        <f>IF(ISNUMBER(VLOOKUP($A152,Haver_M!$B$1:$BZ$300,MATCH(data!BK$1,Haver_M!$B$1:$BZ$1,0),FALSE)),VLOOKUP($A152,Haver_M!$B$1:$BZ$300,MATCH(data!BK$1,Haver_M!$B$1:$BZ$1,0),FALSE),"")</f>
        <v>50.616399999999999</v>
      </c>
      <c r="BL152">
        <f>IF(ISNUMBER(VLOOKUP($A152,Haver_M!$B$1:$BZ$300,MATCH(data!BL$1,Haver_M!$B$1:$BZ$1,0),FALSE)),VLOOKUP($A152,Haver_M!$B$1:$BZ$300,MATCH(data!BL$1,Haver_M!$B$1:$BZ$1,0),FALSE),"")</f>
        <v>17210.189999999999</v>
      </c>
      <c r="BM152">
        <f>IF(ISNUMBER(VLOOKUP($A152,Haver_M!$B$1:$BZ$300,MATCH(data!BM$1,Haver_M!$B$1:$BZ$1,0),FALSE)),VLOOKUP($A152,Haver_M!$B$1:$BZ$300,MATCH(data!BM$1,Haver_M!$B$1:$BZ$1,0),FALSE),"")</f>
        <v>98.141654900000006</v>
      </c>
      <c r="BN152" t="str">
        <f>IF(ISNUMBER(VLOOKUP($A152,Haver_M!$B$1:$BZ$300,MATCH(data!BN$1,Haver_M!$B$1:$BZ$1,0),FALSE)),VLOOKUP($A152,Haver_M!$B$1:$BZ$300,MATCH(data!BN$1,Haver_M!$B$1:$BZ$1,0),FALSE),"")</f>
        <v/>
      </c>
      <c r="BO152" t="str">
        <f>IF(ISNUMBER(VLOOKUP($A152,Haver_M!$B$1:$BZ$300,MATCH(data!BO$1,Haver_M!$B$1:$BZ$1,0),FALSE)),VLOOKUP($A152,Haver_M!$B$1:$BZ$300,MATCH(data!BO$1,Haver_M!$B$1:$BZ$1,0),FALSE),"")</f>
        <v/>
      </c>
      <c r="BP152" t="str">
        <f>IF(ISNUMBER(VLOOKUP($A152,Haver_M!$B$1:$BZ$300,MATCH(data!BP$1,Haver_M!$B$1:$BZ$1,0),FALSE)),VLOOKUP($A152,Haver_M!$B$1:$BZ$300,MATCH(data!BP$1,Haver_M!$B$1:$BZ$1,0),FALSE),"")</f>
        <v/>
      </c>
      <c r="BQ152">
        <f>IF(ISNUMBER(VLOOKUP($A152,Haver_M!$B$1:$BZ$300,MATCH(data!BQ$1,Haver_M!$B$1:$BZ$1,0),FALSE)),VLOOKUP($A152,Haver_M!$B$1:$BZ$300,MATCH(data!BQ$1,Haver_M!$B$1:$BZ$1,0),FALSE),"")</f>
        <v>144.15062312144562</v>
      </c>
      <c r="BR152">
        <f>IF(ISNUMBER(VLOOKUP($A152,Haver_M!$B$1:$BZ$300,MATCH(data!BR$1,Haver_M!$B$1:$BZ$1,0),FALSE)),VLOOKUP($A152,Haver_M!$B$1:$BZ$300,MATCH(data!BR$1,Haver_M!$B$1:$BZ$1,0),FALSE),"")</f>
        <v>354.07894072958192</v>
      </c>
      <c r="BS152">
        <f>IF(ISNUMBER(VLOOKUP($A152,Haver_M!$B$1:$BZ$300,MATCH(data!BS$1,Haver_M!$B$1:$BZ$1,0),FALSE)),VLOOKUP($A152,Haver_M!$B$1:$BZ$300,MATCH(data!BS$1,Haver_M!$B$1:$BZ$1,0),FALSE),"")</f>
        <v>186.61334034900568</v>
      </c>
      <c r="BT152">
        <f>IF(ISNUMBER(VLOOKUP($A152,Haver_M!$B$1:$BZ$300,MATCH(data!BT$1,Haver_M!$B$1:$BZ$1,0),FALSE)),VLOOKUP($A152,Haver_M!$B$1:$BZ$300,MATCH(data!BT$1,Haver_M!$B$1:$BZ$1,0),FALSE),"")</f>
        <v>783.10220056653952</v>
      </c>
      <c r="BU152">
        <f>IF(ISNUMBER(VLOOKUP($A152,Haver_M!$B$1:$BZ$300,MATCH(data!BU$1,Haver_M!$B$1:$BZ$1,0),FALSE)),VLOOKUP($A152,Haver_M!$B$1:$BZ$300,MATCH(data!BU$1,Haver_M!$B$1:$BZ$1,0),FALSE),"")</f>
        <v>23099.88</v>
      </c>
      <c r="BV152">
        <f>IF(ISNUMBER(VLOOKUP($A152,Haver_M!$B$1:$BZ$300,MATCH(data!BV$1,Haver_M!$B$1:$BZ$1,0),FALSE)),VLOOKUP($A152,Haver_M!$B$1:$BZ$300,MATCH(data!BV$1,Haver_M!$B$1:$BZ$1,0),FALSE),"")</f>
        <v>40619.440000000002</v>
      </c>
      <c r="BW152">
        <f>IF(ISNUMBER(VLOOKUP($A152,Haver_M!$B$1:$BZ$300,MATCH(data!BW$1,Haver_M!$B$1:$BZ$1,0),FALSE)),VLOOKUP($A152,Haver_M!$B$1:$BZ$300,MATCH(data!BW$1,Haver_M!$B$1:$BZ$1,0),FALSE),"")</f>
        <v>55.494799999999998</v>
      </c>
      <c r="BX152">
        <f>IF(ISNUMBER(VLOOKUP($A152,Haver_M!$B$1:$BZ$300,MATCH(data!BX$1,Haver_M!$B$1:$BZ$1,0),FALSE)),VLOOKUP($A152,Haver_M!$B$1:$BZ$300,MATCH(data!BX$1,Haver_M!$B$1:$BZ$1,0),FALSE),"")</f>
        <v>76105</v>
      </c>
    </row>
    <row r="153" spans="1:76" x14ac:dyDescent="0.25">
      <c r="A153" s="2">
        <v>41152</v>
      </c>
      <c r="B153" t="str">
        <f>IF(ISNUMBER(VLOOKUP($A153,Haver_Q!$B$1:$L$185,MATCH(data!B$1,Haver_Q!$B$1:$L$1,0),FALSE)),100*(VLOOKUP($A153,Haver_Q!$B$1:$L$185,MATCH(data!B$1,Haver_Q!$B$1:$L$1,0),FALSE)),"")</f>
        <v/>
      </c>
      <c r="C153" t="str">
        <f>IF(ISNUMBER(VLOOKUP($A153,Haver_Q!$B$1:$L$185,MATCH(data!C$1,Haver_Q!$B$1:$L$1,0),FALSE)),100*(VLOOKUP($A153,Haver_Q!$B$1:$L$185,MATCH(data!C$1,Haver_Q!$B$1:$L$1,0),FALSE)),"")</f>
        <v/>
      </c>
      <c r="D153" t="str">
        <f>IF(ISNUMBER(VLOOKUP($A153,Haver_Q!$B$1:$L$185,MATCH(data!D$1,Haver_Q!$B$1:$L$1,0),FALSE)),100*(VLOOKUP($A153,Haver_Q!$B$1:$L$185,MATCH(data!D$1,Haver_Q!$B$1:$L$1,0),FALSE)),"")</f>
        <v/>
      </c>
      <c r="E153" t="str">
        <f>IF(ISNUMBER(VLOOKUP($A153,Haver_Q!$B$1:$L$185,MATCH(data!E$1,Haver_Q!$B$1:$L$1,0),FALSE)),100*(VLOOKUP($A153,Haver_Q!$B$1:$L$185,MATCH(data!E$1,Haver_Q!$B$1:$L$1,0),FALSE)),"")</f>
        <v/>
      </c>
      <c r="F153" t="str">
        <f>IF(ISNUMBER(VLOOKUP($A153,Haver_Q!$B$1:$L$185,MATCH(data!F$1,Haver_Q!$B$1:$L$1,0),FALSE)),100*(VLOOKUP($A153,Haver_Q!$B$1:$L$185,MATCH(data!F$1,Haver_Q!$B$1:$L$1,0),FALSE)),"")</f>
        <v/>
      </c>
      <c r="G153" t="str">
        <f>IF(ISNUMBER(VLOOKUP($A153,Haver_Q!$B$1:$L$185,MATCH(data!G$1,Haver_Q!$B$1:$L$1,0),FALSE)),100*(VLOOKUP($A153,Haver_Q!$B$1:$L$185,MATCH(data!G$1,Haver_Q!$B$1:$L$1,0),FALSE)),"")</f>
        <v/>
      </c>
      <c r="H153" t="str">
        <f>IF(ISNUMBER(VLOOKUP($A153,Haver_Q!$B$1:$L$185,MATCH(data!H$1,Haver_Q!$B$1:$L$1,0),FALSE)),(VLOOKUP($A153,Haver_Q!$B$1:$L$185,MATCH(data!H$1,Haver_Q!$B$1:$L$1,0),FALSE)),"")</f>
        <v/>
      </c>
      <c r="I153" t="str">
        <f>IF(ISNUMBER(VLOOKUP($A153,Haver_Q!$B$1:$L$185,MATCH(data!I$1,Haver_Q!$B$1:$L$1,0),FALSE)),100*(VLOOKUP($A153,Haver_Q!$B$1:$L$185,MATCH(data!I$1,Haver_Q!$B$1:$L$1,0),FALSE)),"")</f>
        <v/>
      </c>
      <c r="J153" s="3">
        <f>IF(ISNUMBER(Bloomberg_m!C169),Bloomberg_m!C169,"")</f>
        <v>761</v>
      </c>
      <c r="K153" s="3">
        <f>IF(ISNUMBER(Bloomberg_m!D169),Bloomberg_m!D169,"")</f>
        <v>2532.84</v>
      </c>
      <c r="L153" s="3">
        <f>IF(ISNUMBER(Bloomberg_m!E169),Bloomberg_m!E169,"")</f>
        <v>1346.28</v>
      </c>
      <c r="M153" s="3">
        <f>IF(ISNUMBER(Bloomberg_m!F169),Bloomberg_m!F169,"")</f>
        <v>408.7</v>
      </c>
      <c r="N153">
        <f>IF(ISNUMBER(VLOOKUP($A153,Haver_M!$B$1:$BZ$300,MATCH(data!N$1,Haver_M!$B$1:$BZ$1,0),FALSE)),VLOOKUP($A153,Haver_M!$B$1:$BZ$300,MATCH(data!N$1,Haver_M!$B$1:$BZ$1,0),FALSE),"")</f>
        <v>8</v>
      </c>
      <c r="O153">
        <f>IF(ISNUMBER(VLOOKUP($A153,Haver_M!$B$1:$BZ$300,MATCH(data!O$1,Haver_M!$B$1:$BZ$1,0),FALSE)),VLOOKUP($A153,Haver_M!$B$1:$BZ$300,MATCH(data!O$1,Haver_M!$B$1:$BZ$1,0),FALSE),"")</f>
        <v>8.3134999999999994</v>
      </c>
      <c r="P153">
        <f>IF(ISNUMBER(VLOOKUP($A153,Haver_M!$B$1:$BZ$300,MATCH(data!P$1,Haver_M!$B$1:$BZ$1,0),FALSE)),VLOOKUP($A153,Haver_M!$B$1:$BZ$300,MATCH(data!P$1,Haver_M!$B$1:$BZ$1,0),FALSE),"")</f>
        <v>90.876930000000002</v>
      </c>
      <c r="Q153">
        <f>IF(ISNUMBER(VLOOKUP($A153,Haver_M!$B$1:$BZ$300,MATCH(data!Q$1,Haver_M!$B$1:$BZ$1,0),FALSE)),VLOOKUP($A153,Haver_M!$B$1:$BZ$300,MATCH(data!Q$1,Haver_M!$B$1:$BZ$1,0),FALSE),"")</f>
        <v>102.2</v>
      </c>
      <c r="R153">
        <f>IF(ISNUMBER(VLOOKUP($A153,Haver_M!$B$1:$BZ$300,MATCH(data!R$1,Haver_M!$B$1:$BZ$1,0),FALSE)),VLOOKUP($A153,Haver_M!$B$1:$BZ$300,MATCH(data!R$1,Haver_M!$B$1:$BZ$1,0),FALSE),"")</f>
        <v>100.9</v>
      </c>
      <c r="S153">
        <f>IF(ISNUMBER(VLOOKUP($A153,Haver_M!$B$1:$BZ$300,MATCH(data!S$1,Haver_M!$B$1:$BZ$1,0),FALSE)),VLOOKUP($A153,Haver_M!$B$1:$BZ$300,MATCH(data!S$1,Haver_M!$B$1:$BZ$1,0),FALSE),"")</f>
        <v>103.28</v>
      </c>
      <c r="T153">
        <f>IF(ISNUMBER(VLOOKUP($A153,Haver_M!$B$1:$BZ$300,MATCH(data!T$1,Haver_M!$B$1:$BZ$1,0),FALSE)),VLOOKUP($A153,Haver_M!$B$1:$BZ$300,MATCH(data!T$1,Haver_M!$B$1:$BZ$1,0),FALSE),"")</f>
        <v>99.04</v>
      </c>
      <c r="U153">
        <f>IF(ISNUMBER(VLOOKUP($A153,Haver_M!$B$1:$BZ$300,MATCH(data!U$1,Haver_M!$B$1:$BZ$1,0),FALSE)),VLOOKUP($A153,Haver_M!$B$1:$BZ$300,MATCH(data!U$1,Haver_M!$B$1:$BZ$1,0),FALSE),"")</f>
        <v>102.61</v>
      </c>
      <c r="V153">
        <f>IF(ISNUMBER(VLOOKUP($A153,Haver_M!$B$1:$BZ$300,MATCH(data!V$1,Haver_M!$B$1:$BZ$1,0),FALSE)),VLOOKUP($A153,Haver_M!$B$1:$BZ$300,MATCH(data!V$1,Haver_M!$B$1:$BZ$1,0),FALSE),"")</f>
        <v>103.47</v>
      </c>
      <c r="W153">
        <f>IF(ISNUMBER(VLOOKUP($A153,Haver_M!$B$1:$BZ$300,MATCH(data!W$1,Haver_M!$B$1:$BZ$1,0),FALSE)),VLOOKUP($A153,Haver_M!$B$1:$BZ$300,MATCH(data!W$1,Haver_M!$B$1:$BZ$1,0),FALSE),"")</f>
        <v>98.99</v>
      </c>
      <c r="X153">
        <f>IF(ISNUMBER(VLOOKUP($A153,Haver_M!$B$1:$BZ$300,MATCH(data!X$1,Haver_M!$B$1:$BZ$1,0),FALSE)),VLOOKUP($A153,Haver_M!$B$1:$BZ$300,MATCH(data!X$1,Haver_M!$B$1:$BZ$1,0),FALSE),"")</f>
        <v>105.46</v>
      </c>
      <c r="Y153">
        <f>IF(ISNUMBER(VLOOKUP($A153,Haver_M!$B$1:$BZ$300,MATCH(data!Y$1,Haver_M!$B$1:$BZ$1,0),FALSE)),VLOOKUP($A153,Haver_M!$B$1:$BZ$300,MATCH(data!Y$1,Haver_M!$B$1:$BZ$1,0),FALSE),"")</f>
        <v>111.65</v>
      </c>
      <c r="Z153">
        <f>IF(ISNUMBER(VLOOKUP($A153,Haver_M!$B$1:$BZ$300,MATCH(data!Z$1,Haver_M!$B$1:$BZ$1,0),FALSE)),VLOOKUP($A153,Haver_M!$B$1:$BZ$300,MATCH(data!Z$1,Haver_M!$B$1:$BZ$1,0),FALSE),"")</f>
        <v>101.8</v>
      </c>
      <c r="AA153">
        <f>IF(ISNUMBER(VLOOKUP($A153,Haver_M!$B$1:$BZ$300,MATCH(data!AA$1,Haver_M!$B$1:$BZ$1,0),FALSE)),VLOOKUP($A153,Haver_M!$B$1:$BZ$300,MATCH(data!AA$1,Haver_M!$B$1:$BZ$1,0),FALSE),"")</f>
        <v>98.988</v>
      </c>
      <c r="AB153">
        <f>IF(ISNUMBER(VLOOKUP($A153,Haver_M!$B$1:$BZ$300,MATCH(data!AB$1,Haver_M!$B$1:$BZ$1,0),FALSE)),VLOOKUP($A153,Haver_M!$B$1:$BZ$300,MATCH(data!AB$1,Haver_M!$B$1:$BZ$1,0),FALSE),"")</f>
        <v>99.945999999999998</v>
      </c>
      <c r="AC153">
        <f>IF(ISNUMBER(VLOOKUP($A153,Haver_M!$B$1:$BZ$300,MATCH(data!AC$1,Haver_M!$B$1:$BZ$1,0),FALSE)),VLOOKUP($A153,Haver_M!$B$1:$BZ$300,MATCH(data!AC$1,Haver_M!$B$1:$BZ$1,0),FALSE),"")</f>
        <v>88.754999999999995</v>
      </c>
      <c r="AD153">
        <f>IF(ISNUMBER(VLOOKUP($A153,Haver_M!$B$1:$BZ$300,MATCH(data!AD$1,Haver_M!$B$1:$BZ$1,0),FALSE)),VLOOKUP($A153,Haver_M!$B$1:$BZ$300,MATCH(data!AD$1,Haver_M!$B$1:$BZ$1,0),FALSE),"")</f>
        <v>106.70699999999999</v>
      </c>
      <c r="AE153">
        <f>IF(ISNUMBER(VLOOKUP($A153,Haver_M!$B$1:$BZ$300,MATCH(data!AE$1,Haver_M!$B$1:$BZ$1,0),FALSE)),VLOOKUP($A153,Haver_M!$B$1:$BZ$300,MATCH(data!AE$1,Haver_M!$B$1:$BZ$1,0),FALSE),"")</f>
        <v>99.617000000000004</v>
      </c>
      <c r="AF153">
        <f>IF(ISNUMBER(VLOOKUP($A153,Haver_M!$B$1:$BZ$300,MATCH(data!AF$1,Haver_M!$B$1:$BZ$1,0),FALSE)),VLOOKUP($A153,Haver_M!$B$1:$BZ$300,MATCH(data!AF$1,Haver_M!$B$1:$BZ$1,0),FALSE),"")</f>
        <v>103.827</v>
      </c>
      <c r="AG153">
        <f>IF(ISNUMBER(VLOOKUP($A153,Haver_M!$B$1:$BZ$300,MATCH(data!AG$1,Haver_M!$B$1:$BZ$1,0),FALSE)),VLOOKUP($A153,Haver_M!$B$1:$BZ$300,MATCH(data!AG$1,Haver_M!$B$1:$BZ$1,0),FALSE),"")</f>
        <v>102.991</v>
      </c>
      <c r="AH153">
        <f>IF(ISNUMBER(VLOOKUP($A153,Haver_M!$B$1:$BZ$300,MATCH(data!AH$1,Haver_M!$B$1:$BZ$1,0),FALSE)),VLOOKUP($A153,Haver_M!$B$1:$BZ$300,MATCH(data!AH$1,Haver_M!$B$1:$BZ$1,0),FALSE),"")</f>
        <v>100.68899999999999</v>
      </c>
      <c r="AI153">
        <f>IF(ISNUMBER(VLOOKUP($A153,Haver_M!$B$1:$BZ$300,MATCH(data!AI$1,Haver_M!$B$1:$BZ$1,0),FALSE)),VLOOKUP($A153,Haver_M!$B$1:$BZ$300,MATCH(data!AI$1,Haver_M!$B$1:$BZ$1,0),FALSE),"")</f>
        <v>13363.871887837297</v>
      </c>
      <c r="AJ153">
        <f>IF(ISNUMBER(VLOOKUP($A153,Haver_M!$B$1:$BZ$300,MATCH(data!AJ$1,Haver_M!$B$1:$BZ$1,0),FALSE)),VLOOKUP($A153,Haver_M!$B$1:$BZ$300,MATCH(data!AJ$1,Haver_M!$B$1:$BZ$1,0),FALSE),"")</f>
        <v>23951.83</v>
      </c>
      <c r="AK153">
        <f>IF(ISNUMBER(VLOOKUP($A153,Haver_M!$B$1:$BZ$300,MATCH(data!AK$1,Haver_M!$B$1:$BZ$1,0),FALSE)),VLOOKUP($A153,Haver_M!$B$1:$BZ$300,MATCH(data!AK$1,Haver_M!$B$1:$BZ$1,0),FALSE),"")</f>
        <v>38245.71</v>
      </c>
      <c r="AL153">
        <f>IF(ISNUMBER(VLOOKUP($A153,Haver_M!$B$1:$BZ$300,MATCH(data!AL$1,Haver_M!$B$1:$BZ$1,0),FALSE)),VLOOKUP($A153,Haver_M!$B$1:$BZ$300,MATCH(data!AL$1,Haver_M!$B$1:$BZ$1,0),FALSE),"")</f>
        <v>11402</v>
      </c>
      <c r="AM153">
        <f>IF(ISNUMBER(VLOOKUP($A153,Haver_M!$B$1:$BZ$300,MATCH(data!AM$1,Haver_M!$B$1:$BZ$1,0),FALSE)),VLOOKUP($A153,Haver_M!$B$1:$BZ$300,MATCH(data!AM$1,Haver_M!$B$1:$BZ$1,0),FALSE),"")</f>
        <v>6608</v>
      </c>
      <c r="AN153" t="str">
        <f>IF(ISNUMBER(VLOOKUP($A153,Haver_M!$B$1:$BZ$300,MATCH(data!AN$1,Haver_M!$B$1:$BZ$1,0),FALSE)),VLOOKUP($A153,Haver_M!$B$1:$BZ$300,MATCH(data!AN$1,Haver_M!$B$1:$BZ$1,0),FALSE),"")</f>
        <v/>
      </c>
      <c r="AO153" t="str">
        <f>IF(ISNUMBER(VLOOKUP($A153,Haver_M!$B$1:$BZ$300,MATCH(data!AO$1,Haver_M!$B$1:$BZ$1,0),FALSE)),VLOOKUP($A153,Haver_M!$B$1:$BZ$300,MATCH(data!AO$1,Haver_M!$B$1:$BZ$1,0),FALSE),"")</f>
        <v/>
      </c>
      <c r="AP153">
        <f>IF(ISNUMBER(VLOOKUP($A153,Haver_M!$B$1:$BZ$300,MATCH(data!AP$1,Haver_M!$B$1:$BZ$1,0),FALSE)),VLOOKUP($A153,Haver_M!$B$1:$BZ$300,MATCH(data!AP$1,Haver_M!$B$1:$BZ$1,0),FALSE),"")</f>
        <v>145.23820627284729</v>
      </c>
      <c r="AQ153">
        <f>IF(ISNUMBER(VLOOKUP($A153,Haver_M!$B$1:$BZ$300,MATCH(data!AQ$1,Haver_M!$B$1:$BZ$1,0),FALSE)),VLOOKUP($A153,Haver_M!$B$1:$BZ$300,MATCH(data!AQ$1,Haver_M!$B$1:$BZ$1,0),FALSE),"")</f>
        <v>54.266599999999997</v>
      </c>
      <c r="AR153">
        <f>IF(ISNUMBER(VLOOKUP($A153,Haver_M!$B$1:$BZ$300,MATCH(data!AR$1,Haver_M!$B$1:$BZ$1,0),FALSE)),VLOOKUP($A153,Haver_M!$B$1:$BZ$300,MATCH(data!AR$1,Haver_M!$B$1:$BZ$1,0),FALSE),"")</f>
        <v>52.776000000000003</v>
      </c>
      <c r="AS153">
        <f>IF(ISNUMBER(VLOOKUP($A153,Haver_M!$B$1:$BZ$300,MATCH(data!AS$1,Haver_M!$B$1:$BZ$1,0),FALSE)),VLOOKUP($A153,Haver_M!$B$1:$BZ$300,MATCH(data!AS$1,Haver_M!$B$1:$BZ$1,0),FALSE),"")</f>
        <v>55.001100000000001</v>
      </c>
      <c r="AT153">
        <f>IF(ISNUMBER(VLOOKUP($A153,Haver_M!$B$1:$BZ$300,MATCH(data!AT$1,Haver_M!$B$1:$BZ$1,0),FALSE)),VLOOKUP($A153,Haver_M!$B$1:$BZ$300,MATCH(data!AT$1,Haver_M!$B$1:$BZ$1,0),FALSE),"")</f>
        <v>52.741799999999998</v>
      </c>
      <c r="AU153">
        <f>IF(ISNUMBER(VLOOKUP($A153,Haver_M!$B$1:$BZ$300,MATCH(data!AU$1,Haver_M!$B$1:$BZ$1,0),FALSE)),VLOOKUP($A153,Haver_M!$B$1:$BZ$300,MATCH(data!AU$1,Haver_M!$B$1:$BZ$1,0),FALSE),"")</f>
        <v>54.311500000000002</v>
      </c>
      <c r="AV153">
        <f>IF(ISNUMBER(VLOOKUP($A153,Haver_M!$B$1:$BZ$300,MATCH(data!AV$1,Haver_M!$B$1:$BZ$1,0),FALSE)),VLOOKUP($A153,Haver_M!$B$1:$BZ$300,MATCH(data!AV$1,Haver_M!$B$1:$BZ$1,0),FALSE),"")</f>
        <v>53.861600000000003</v>
      </c>
      <c r="AW153">
        <f>IF(ISNUMBER(VLOOKUP($A153,Haver_M!$B$1:$BZ$300,MATCH(data!AW$1,Haver_M!$B$1:$BZ$1,0),FALSE)),VLOOKUP($A153,Haver_M!$B$1:$BZ$300,MATCH(data!AW$1,Haver_M!$B$1:$BZ$1,0),FALSE),"")</f>
        <v>49.89</v>
      </c>
      <c r="AX153">
        <f>IF(ISNUMBER(VLOOKUP($A153,Haver_M!$B$1:$BZ$300,MATCH(data!AX$1,Haver_M!$B$1:$BZ$1,0),FALSE)),VLOOKUP($A153,Haver_M!$B$1:$BZ$300,MATCH(data!AX$1,Haver_M!$B$1:$BZ$1,0),FALSE),"")</f>
        <v>50.082799999999999</v>
      </c>
      <c r="AY153">
        <f>IF(ISNUMBER(VLOOKUP($A153,Haver_M!$B$1:$BZ$300,MATCH(data!AY$1,Haver_M!$B$1:$BZ$1,0),FALSE)),VLOOKUP($A153,Haver_M!$B$1:$BZ$300,MATCH(data!AY$1,Haver_M!$B$1:$BZ$1,0),FALSE),"")</f>
        <v>60.6813</v>
      </c>
      <c r="AZ153">
        <f>IF(ISNUMBER(VLOOKUP($A153,Haver_M!$B$1:$BZ$300,MATCH(data!AZ$1,Haver_M!$B$1:$BZ$1,0),FALSE)),VLOOKUP($A153,Haver_M!$B$1:$BZ$300,MATCH(data!AZ$1,Haver_M!$B$1:$BZ$1,0),FALSE),"")</f>
        <v>52.805</v>
      </c>
      <c r="BA153">
        <f>IF(ISNUMBER(VLOOKUP($A153,Haver_M!$B$1:$BZ$300,MATCH(data!BA$1,Haver_M!$B$1:$BZ$1,0),FALSE)),VLOOKUP($A153,Haver_M!$B$1:$BZ$300,MATCH(data!BA$1,Haver_M!$B$1:$BZ$1,0),FALSE),"")</f>
        <v>50.082799999999999</v>
      </c>
      <c r="BB153">
        <f>IF(ISNUMBER(VLOOKUP($A153,Haver_M!$B$1:$BZ$300,MATCH(data!BB$1,Haver_M!$B$1:$BZ$1,0),FALSE)),VLOOKUP($A153,Haver_M!$B$1:$BZ$300,MATCH(data!BB$1,Haver_M!$B$1:$BZ$1,0),FALSE),"")</f>
        <v>49.176400000000001</v>
      </c>
      <c r="BC153">
        <f>IF(ISNUMBER(VLOOKUP($A153,Haver_M!$B$1:$BZ$300,MATCH(data!BC$1,Haver_M!$B$1:$BZ$1,0),FALSE)),VLOOKUP($A153,Haver_M!$B$1:$BZ$300,MATCH(data!BC$1,Haver_M!$B$1:$BZ$1,0),FALSE),"")</f>
        <v>59.136600000000001</v>
      </c>
      <c r="BD153">
        <f>IF(ISNUMBER(VLOOKUP($A153,Haver_M!$B$1:$BZ$300,MATCH(data!BD$1,Haver_M!$B$1:$BZ$1,0),FALSE)),VLOOKUP($A153,Haver_M!$B$1:$BZ$300,MATCH(data!BD$1,Haver_M!$B$1:$BZ$1,0),FALSE),"")</f>
        <v>51.710700000000003</v>
      </c>
      <c r="BE153">
        <f>IF(ISNUMBER(VLOOKUP($A153,Haver_M!$B$1:$BZ$300,MATCH(data!BE$1,Haver_M!$B$1:$BZ$1,0),FALSE)),VLOOKUP($A153,Haver_M!$B$1:$BZ$300,MATCH(data!BE$1,Haver_M!$B$1:$BZ$1,0),FALSE),"")</f>
        <v>1.0615000000000001</v>
      </c>
      <c r="BF153">
        <f>IF(ISNUMBER(VLOOKUP($A153,Haver_M!$B$1:$BZ$300,MATCH(data!BF$1,Haver_M!$B$1:$BZ$1,0),FALSE)),VLOOKUP($A153,Haver_M!$B$1:$BZ$300,MATCH(data!BF$1,Haver_M!$B$1:$BZ$1,0),FALSE),"")</f>
        <v>51.335999999999999</v>
      </c>
      <c r="BG153">
        <f>IF(ISNUMBER(VLOOKUP($A153,Haver_M!$B$1:$BZ$300,MATCH(data!BG$1,Haver_M!$B$1:$BZ$1,0),FALSE)),VLOOKUP($A153,Haver_M!$B$1:$BZ$300,MATCH(data!BG$1,Haver_M!$B$1:$BZ$1,0),FALSE),"")</f>
        <v>53.323399999999999</v>
      </c>
      <c r="BH153">
        <f>IF(ISNUMBER(VLOOKUP($A153,Haver_M!$B$1:$BZ$300,MATCH(data!BH$1,Haver_M!$B$1:$BZ$1,0),FALSE)),VLOOKUP($A153,Haver_M!$B$1:$BZ$300,MATCH(data!BH$1,Haver_M!$B$1:$BZ$1,0),FALSE),"")</f>
        <v>55.948999999999998</v>
      </c>
      <c r="BI153">
        <f>IF(ISNUMBER(VLOOKUP($A153,Haver_M!$B$1:$BZ$300,MATCH(data!BI$1,Haver_M!$B$1:$BZ$1,0),FALSE)),VLOOKUP($A153,Haver_M!$B$1:$BZ$300,MATCH(data!BI$1,Haver_M!$B$1:$BZ$1,0),FALSE),"")</f>
        <v>53.468800000000002</v>
      </c>
      <c r="BJ153" t="str">
        <f>IF(ISNUMBER(VLOOKUP($A153,Haver_M!$B$1:$BZ$300,MATCH(data!BJ$1,Haver_M!$B$1:$BZ$1,0),FALSE)),VLOOKUP($A153,Haver_M!$B$1:$BZ$300,MATCH(data!BJ$1,Haver_M!$B$1:$BZ$1,0),FALSE),"")</f>
        <v/>
      </c>
      <c r="BK153">
        <f>IF(ISNUMBER(VLOOKUP($A153,Haver_M!$B$1:$BZ$300,MATCH(data!BK$1,Haver_M!$B$1:$BZ$1,0),FALSE)),VLOOKUP($A153,Haver_M!$B$1:$BZ$300,MATCH(data!BK$1,Haver_M!$B$1:$BZ$1,0),FALSE),"")</f>
        <v>51.978499999999997</v>
      </c>
      <c r="BL153">
        <f>IF(ISNUMBER(VLOOKUP($A153,Haver_M!$B$1:$BZ$300,MATCH(data!BL$1,Haver_M!$B$1:$BZ$1,0),FALSE)),VLOOKUP($A153,Haver_M!$B$1:$BZ$300,MATCH(data!BL$1,Haver_M!$B$1:$BZ$1,0),FALSE),"")</f>
        <v>17583.89</v>
      </c>
      <c r="BM153">
        <f>IF(ISNUMBER(VLOOKUP($A153,Haver_M!$B$1:$BZ$300,MATCH(data!BM$1,Haver_M!$B$1:$BZ$1,0),FALSE)),VLOOKUP($A153,Haver_M!$B$1:$BZ$300,MATCH(data!BM$1,Haver_M!$B$1:$BZ$1,0),FALSE),"")</f>
        <v>97.406318080000005</v>
      </c>
      <c r="BN153" t="str">
        <f>IF(ISNUMBER(VLOOKUP($A153,Haver_M!$B$1:$BZ$300,MATCH(data!BN$1,Haver_M!$B$1:$BZ$1,0),FALSE)),VLOOKUP($A153,Haver_M!$B$1:$BZ$300,MATCH(data!BN$1,Haver_M!$B$1:$BZ$1,0),FALSE),"")</f>
        <v/>
      </c>
      <c r="BO153" t="str">
        <f>IF(ISNUMBER(VLOOKUP($A153,Haver_M!$B$1:$BZ$300,MATCH(data!BO$1,Haver_M!$B$1:$BZ$1,0),FALSE)),VLOOKUP($A153,Haver_M!$B$1:$BZ$300,MATCH(data!BO$1,Haver_M!$B$1:$BZ$1,0),FALSE),"")</f>
        <v/>
      </c>
      <c r="BP153" t="str">
        <f>IF(ISNUMBER(VLOOKUP($A153,Haver_M!$B$1:$BZ$300,MATCH(data!BP$1,Haver_M!$B$1:$BZ$1,0),FALSE)),VLOOKUP($A153,Haver_M!$B$1:$BZ$300,MATCH(data!BP$1,Haver_M!$B$1:$BZ$1,0),FALSE),"")</f>
        <v/>
      </c>
      <c r="BQ153">
        <f>IF(ISNUMBER(VLOOKUP($A153,Haver_M!$B$1:$BZ$300,MATCH(data!BQ$1,Haver_M!$B$1:$BZ$1,0),FALSE)),VLOOKUP($A153,Haver_M!$B$1:$BZ$300,MATCH(data!BQ$1,Haver_M!$B$1:$BZ$1,0),FALSE),"")</f>
        <v>146.13515527413705</v>
      </c>
      <c r="BR153">
        <f>IF(ISNUMBER(VLOOKUP($A153,Haver_M!$B$1:$BZ$300,MATCH(data!BR$1,Haver_M!$B$1:$BZ$1,0),FALSE)),VLOOKUP($A153,Haver_M!$B$1:$BZ$300,MATCH(data!BR$1,Haver_M!$B$1:$BZ$1,0),FALSE),"")</f>
        <v>357.38627568853741</v>
      </c>
      <c r="BS153">
        <f>IF(ISNUMBER(VLOOKUP($A153,Haver_M!$B$1:$BZ$300,MATCH(data!BS$1,Haver_M!$B$1:$BZ$1,0),FALSE)),VLOOKUP($A153,Haver_M!$B$1:$BZ$300,MATCH(data!BS$1,Haver_M!$B$1:$BZ$1,0),FALSE),"")</f>
        <v>183.20314327985341</v>
      </c>
      <c r="BT153">
        <f>IF(ISNUMBER(VLOOKUP($A153,Haver_M!$B$1:$BZ$300,MATCH(data!BT$1,Haver_M!$B$1:$BZ$1,0),FALSE)),VLOOKUP($A153,Haver_M!$B$1:$BZ$300,MATCH(data!BT$1,Haver_M!$B$1:$BZ$1,0),FALSE),"")</f>
        <v>784.61819516988908</v>
      </c>
      <c r="BU153">
        <f>IF(ISNUMBER(VLOOKUP($A153,Haver_M!$B$1:$BZ$300,MATCH(data!BU$1,Haver_M!$B$1:$BZ$1,0),FALSE)),VLOOKUP($A153,Haver_M!$B$1:$BZ$300,MATCH(data!BU$1,Haver_M!$B$1:$BZ$1,0),FALSE),"")</f>
        <v>23134.47</v>
      </c>
      <c r="BV153">
        <f>IF(ISNUMBER(VLOOKUP($A153,Haver_M!$B$1:$BZ$300,MATCH(data!BV$1,Haver_M!$B$1:$BZ$1,0),FALSE)),VLOOKUP($A153,Haver_M!$B$1:$BZ$300,MATCH(data!BV$1,Haver_M!$B$1:$BZ$1,0),FALSE),"")</f>
        <v>37307.269999999997</v>
      </c>
      <c r="BW153">
        <f>IF(ISNUMBER(VLOOKUP($A153,Haver_M!$B$1:$BZ$300,MATCH(data!BW$1,Haver_M!$B$1:$BZ$1,0),FALSE)),VLOOKUP($A153,Haver_M!$B$1:$BZ$300,MATCH(data!BW$1,Haver_M!$B$1:$BZ$1,0),FALSE),"")</f>
        <v>55.559800000000003</v>
      </c>
      <c r="BX153">
        <f>IF(ISNUMBER(VLOOKUP($A153,Haver_M!$B$1:$BZ$300,MATCH(data!BX$1,Haver_M!$B$1:$BZ$1,0),FALSE)),VLOOKUP($A153,Haver_M!$B$1:$BZ$300,MATCH(data!BX$1,Haver_M!$B$1:$BZ$1,0),FALSE),"")</f>
        <v>71812</v>
      </c>
    </row>
    <row r="154" spans="1:76" x14ac:dyDescent="0.25">
      <c r="A154" s="2">
        <v>41182</v>
      </c>
      <c r="B154">
        <f>IF(ISNUMBER(VLOOKUP($A154,Haver_Q!$B$1:$L$185,MATCH(data!B$1,Haver_Q!$B$1:$L$1,0),FALSE)),100*(VLOOKUP($A154,Haver_Q!$B$1:$L$185,MATCH(data!B$1,Haver_Q!$B$1:$L$1,0),FALSE)),"")</f>
        <v>5.7861907724621631</v>
      </c>
      <c r="C154">
        <f>IF(ISNUMBER(VLOOKUP($A154,Haver_Q!$B$1:$L$185,MATCH(data!C$1,Haver_Q!$B$1:$L$1,0),FALSE)),100*(VLOOKUP($A154,Haver_Q!$B$1:$L$185,MATCH(data!C$1,Haver_Q!$B$1:$L$1,0),FALSE)),"")</f>
        <v>31.76106475953755</v>
      </c>
      <c r="D154">
        <f>IF(ISNUMBER(VLOOKUP($A154,Haver_Q!$B$1:$L$185,MATCH(data!D$1,Haver_Q!$B$1:$L$1,0),FALSE)),100*(VLOOKUP($A154,Haver_Q!$B$1:$L$185,MATCH(data!D$1,Haver_Q!$B$1:$L$1,0),FALSE)),"")</f>
        <v>25.413318773719308</v>
      </c>
      <c r="E154">
        <f>IF(ISNUMBER(VLOOKUP($A154,Haver_Q!$B$1:$L$185,MATCH(data!E$1,Haver_Q!$B$1:$L$1,0),FALSE)),100*(VLOOKUP($A154,Haver_Q!$B$1:$L$185,MATCH(data!E$1,Haver_Q!$B$1:$L$1,0),FALSE)),"")</f>
        <v>-4.7492740406505636</v>
      </c>
      <c r="F154">
        <f>IF(ISNUMBER(VLOOKUP($A154,Haver_Q!$B$1:$L$185,MATCH(data!F$1,Haver_Q!$B$1:$L$1,0),FALSE)),100*(VLOOKUP($A154,Haver_Q!$B$1:$L$185,MATCH(data!F$1,Haver_Q!$B$1:$L$1,0),FALSE)),"")</f>
        <v>99.634198404644309</v>
      </c>
      <c r="G154">
        <f>IF(ISNUMBER(VLOOKUP($A154,Haver_Q!$B$1:$L$185,MATCH(data!G$1,Haver_Q!$B$1:$L$1,0),FALSE)),100*(VLOOKUP($A154,Haver_Q!$B$1:$L$185,MATCH(data!G$1,Haver_Q!$B$1:$L$1,0),FALSE)),"")</f>
        <v>28.563733061442107</v>
      </c>
      <c r="H154">
        <f>IF(ISNUMBER(VLOOKUP($A154,Haver_Q!$B$1:$L$185,MATCH(data!H$1,Haver_Q!$B$1:$L$1,0),FALSE)),(VLOOKUP($A154,Haver_Q!$B$1:$L$185,MATCH(data!H$1,Haver_Q!$B$1:$L$1,0),FALSE)),"")</f>
        <v>2.9352427218452912</v>
      </c>
      <c r="I154">
        <f>IF(ISNUMBER(VLOOKUP($A154,Haver_Q!$B$1:$L$185,MATCH(data!I$1,Haver_Q!$B$1:$L$1,0),FALSE)),100*(VLOOKUP($A154,Haver_Q!$B$1:$L$185,MATCH(data!I$1,Haver_Q!$B$1:$L$1,0),FALSE)),"")</f>
        <v>7.4931836093339088</v>
      </c>
      <c r="J154" s="3">
        <f>IF(ISNUMBER(Bloomberg_m!C170),Bloomberg_m!C170,"")</f>
        <v>707</v>
      </c>
      <c r="K154" s="3">
        <f>IF(ISNUMBER(Bloomberg_m!D170),Bloomberg_m!D170,"")</f>
        <v>2251.1799999999998</v>
      </c>
      <c r="L154" s="3">
        <f>IF(ISNUMBER(Bloomberg_m!E170),Bloomberg_m!E170,"")</f>
        <v>1265.1300000000001</v>
      </c>
      <c r="M154" s="3">
        <f>IF(ISNUMBER(Bloomberg_m!F170),Bloomberg_m!F170,"")</f>
        <v>409.75</v>
      </c>
      <c r="N154">
        <f>IF(ISNUMBER(VLOOKUP($A154,Haver_M!$B$1:$BZ$300,MATCH(data!N$1,Haver_M!$B$1:$BZ$1,0),FALSE)),VLOOKUP($A154,Haver_M!$B$1:$BZ$300,MATCH(data!N$1,Haver_M!$B$1:$BZ$1,0),FALSE),"")</f>
        <v>8</v>
      </c>
      <c r="O154">
        <f>IF(ISNUMBER(VLOOKUP($A154,Haver_M!$B$1:$BZ$300,MATCH(data!O$1,Haver_M!$B$1:$BZ$1,0),FALSE)),VLOOKUP($A154,Haver_M!$B$1:$BZ$300,MATCH(data!O$1,Haver_M!$B$1:$BZ$1,0),FALSE),"")</f>
        <v>8.1387999999999998</v>
      </c>
      <c r="P154">
        <f>IF(ISNUMBER(VLOOKUP($A154,Haver_M!$B$1:$BZ$300,MATCH(data!P$1,Haver_M!$B$1:$BZ$1,0),FALSE)),VLOOKUP($A154,Haver_M!$B$1:$BZ$300,MATCH(data!P$1,Haver_M!$B$1:$BZ$1,0),FALSE),"")</f>
        <v>91.450019999999995</v>
      </c>
      <c r="Q154">
        <f>IF(ISNUMBER(VLOOKUP($A154,Haver_M!$B$1:$BZ$300,MATCH(data!Q$1,Haver_M!$B$1:$BZ$1,0),FALSE)),VLOOKUP($A154,Haver_M!$B$1:$BZ$300,MATCH(data!Q$1,Haver_M!$B$1:$BZ$1,0),FALSE),"")</f>
        <v>102.9</v>
      </c>
      <c r="R154">
        <f>IF(ISNUMBER(VLOOKUP($A154,Haver_M!$B$1:$BZ$300,MATCH(data!R$1,Haver_M!$B$1:$BZ$1,0),FALSE)),VLOOKUP($A154,Haver_M!$B$1:$BZ$300,MATCH(data!R$1,Haver_M!$B$1:$BZ$1,0),FALSE),"")</f>
        <v>101.8</v>
      </c>
      <c r="S154">
        <f>IF(ISNUMBER(VLOOKUP($A154,Haver_M!$B$1:$BZ$300,MATCH(data!S$1,Haver_M!$B$1:$BZ$1,0),FALSE)),VLOOKUP($A154,Haver_M!$B$1:$BZ$300,MATCH(data!S$1,Haver_M!$B$1:$BZ$1,0),FALSE),"")</f>
        <v>101.83</v>
      </c>
      <c r="T154">
        <f>IF(ISNUMBER(VLOOKUP($A154,Haver_M!$B$1:$BZ$300,MATCH(data!T$1,Haver_M!$B$1:$BZ$1,0),FALSE)),VLOOKUP($A154,Haver_M!$B$1:$BZ$300,MATCH(data!T$1,Haver_M!$B$1:$BZ$1,0),FALSE),"")</f>
        <v>98.04</v>
      </c>
      <c r="U154">
        <f>IF(ISNUMBER(VLOOKUP($A154,Haver_M!$B$1:$BZ$300,MATCH(data!U$1,Haver_M!$B$1:$BZ$1,0),FALSE)),VLOOKUP($A154,Haver_M!$B$1:$BZ$300,MATCH(data!U$1,Haver_M!$B$1:$BZ$1,0),FALSE),"")</f>
        <v>99.07</v>
      </c>
      <c r="V154">
        <f>IF(ISNUMBER(VLOOKUP($A154,Haver_M!$B$1:$BZ$300,MATCH(data!V$1,Haver_M!$B$1:$BZ$1,0),FALSE)),VLOOKUP($A154,Haver_M!$B$1:$BZ$300,MATCH(data!V$1,Haver_M!$B$1:$BZ$1,0),FALSE),"")</f>
        <v>104.9</v>
      </c>
      <c r="W154">
        <f>IF(ISNUMBER(VLOOKUP($A154,Haver_M!$B$1:$BZ$300,MATCH(data!W$1,Haver_M!$B$1:$BZ$1,0),FALSE)),VLOOKUP($A154,Haver_M!$B$1:$BZ$300,MATCH(data!W$1,Haver_M!$B$1:$BZ$1,0),FALSE),"")</f>
        <v>103.24</v>
      </c>
      <c r="X154">
        <f>IF(ISNUMBER(VLOOKUP($A154,Haver_M!$B$1:$BZ$300,MATCH(data!X$1,Haver_M!$B$1:$BZ$1,0),FALSE)),VLOOKUP($A154,Haver_M!$B$1:$BZ$300,MATCH(data!X$1,Haver_M!$B$1:$BZ$1,0),FALSE),"")</f>
        <v>103.18</v>
      </c>
      <c r="Y154">
        <f>IF(ISNUMBER(VLOOKUP($A154,Haver_M!$B$1:$BZ$300,MATCH(data!Y$1,Haver_M!$B$1:$BZ$1,0),FALSE)),VLOOKUP($A154,Haver_M!$B$1:$BZ$300,MATCH(data!Y$1,Haver_M!$B$1:$BZ$1,0),FALSE),"")</f>
        <v>105.49</v>
      </c>
      <c r="Z154">
        <f>IF(ISNUMBER(VLOOKUP($A154,Haver_M!$B$1:$BZ$300,MATCH(data!Z$1,Haver_M!$B$1:$BZ$1,0),FALSE)),VLOOKUP($A154,Haver_M!$B$1:$BZ$300,MATCH(data!Z$1,Haver_M!$B$1:$BZ$1,0),FALSE),"")</f>
        <v>101.4</v>
      </c>
      <c r="AA154">
        <f>IF(ISNUMBER(VLOOKUP($A154,Haver_M!$B$1:$BZ$300,MATCH(data!AA$1,Haver_M!$B$1:$BZ$1,0),FALSE)),VLOOKUP($A154,Haver_M!$B$1:$BZ$300,MATCH(data!AA$1,Haver_M!$B$1:$BZ$1,0),FALSE),"")</f>
        <v>98.757000000000005</v>
      </c>
      <c r="AB154">
        <f>IF(ISNUMBER(VLOOKUP($A154,Haver_M!$B$1:$BZ$300,MATCH(data!AB$1,Haver_M!$B$1:$BZ$1,0),FALSE)),VLOOKUP($A154,Haver_M!$B$1:$BZ$300,MATCH(data!AB$1,Haver_M!$B$1:$BZ$1,0),FALSE),"")</f>
        <v>98.57</v>
      </c>
      <c r="AC154">
        <f>IF(ISNUMBER(VLOOKUP($A154,Haver_M!$B$1:$BZ$300,MATCH(data!AC$1,Haver_M!$B$1:$BZ$1,0),FALSE)),VLOOKUP($A154,Haver_M!$B$1:$BZ$300,MATCH(data!AC$1,Haver_M!$B$1:$BZ$1,0),FALSE),"")</f>
        <v>85.775000000000006</v>
      </c>
      <c r="AD154">
        <f>IF(ISNUMBER(VLOOKUP($A154,Haver_M!$B$1:$BZ$300,MATCH(data!AD$1,Haver_M!$B$1:$BZ$1,0),FALSE)),VLOOKUP($A154,Haver_M!$B$1:$BZ$300,MATCH(data!AD$1,Haver_M!$B$1:$BZ$1,0),FALSE),"")</f>
        <v>105.971</v>
      </c>
      <c r="AE154">
        <f>IF(ISNUMBER(VLOOKUP($A154,Haver_M!$B$1:$BZ$300,MATCH(data!AE$1,Haver_M!$B$1:$BZ$1,0),FALSE)),VLOOKUP($A154,Haver_M!$B$1:$BZ$300,MATCH(data!AE$1,Haver_M!$B$1:$BZ$1,0),FALSE),"")</f>
        <v>100.312</v>
      </c>
      <c r="AF154">
        <f>IF(ISNUMBER(VLOOKUP($A154,Haver_M!$B$1:$BZ$300,MATCH(data!AF$1,Haver_M!$B$1:$BZ$1,0),FALSE)),VLOOKUP($A154,Haver_M!$B$1:$BZ$300,MATCH(data!AF$1,Haver_M!$B$1:$BZ$1,0),FALSE),"")</f>
        <v>103.77800000000001</v>
      </c>
      <c r="AG154">
        <f>IF(ISNUMBER(VLOOKUP($A154,Haver_M!$B$1:$BZ$300,MATCH(data!AG$1,Haver_M!$B$1:$BZ$1,0),FALSE)),VLOOKUP($A154,Haver_M!$B$1:$BZ$300,MATCH(data!AG$1,Haver_M!$B$1:$BZ$1,0),FALSE),"")</f>
        <v>106.123</v>
      </c>
      <c r="AH154">
        <f>IF(ISNUMBER(VLOOKUP($A154,Haver_M!$B$1:$BZ$300,MATCH(data!AH$1,Haver_M!$B$1:$BZ$1,0),FALSE)),VLOOKUP($A154,Haver_M!$B$1:$BZ$300,MATCH(data!AH$1,Haver_M!$B$1:$BZ$1,0),FALSE),"")</f>
        <v>102.51300000000001</v>
      </c>
      <c r="AI154">
        <f>IF(ISNUMBER(VLOOKUP($A154,Haver_M!$B$1:$BZ$300,MATCH(data!AI$1,Haver_M!$B$1:$BZ$1,0),FALSE)),VLOOKUP($A154,Haver_M!$B$1:$BZ$300,MATCH(data!AI$1,Haver_M!$B$1:$BZ$1,0),FALSE),"")</f>
        <v>13011.157510787445</v>
      </c>
      <c r="AJ154">
        <f>IF(ISNUMBER(VLOOKUP($A154,Haver_M!$B$1:$BZ$300,MATCH(data!AJ$1,Haver_M!$B$1:$BZ$1,0),FALSE)),VLOOKUP($A154,Haver_M!$B$1:$BZ$300,MATCH(data!AJ$1,Haver_M!$B$1:$BZ$1,0),FALSE),"")</f>
        <v>24263.51</v>
      </c>
      <c r="AK154">
        <f>IF(ISNUMBER(VLOOKUP($A154,Haver_M!$B$1:$BZ$300,MATCH(data!AK$1,Haver_M!$B$1:$BZ$1,0),FALSE)),VLOOKUP($A154,Haver_M!$B$1:$BZ$300,MATCH(data!AK$1,Haver_M!$B$1:$BZ$1,0),FALSE),"")</f>
        <v>42335.79</v>
      </c>
      <c r="AL154">
        <f>IF(ISNUMBER(VLOOKUP($A154,Haver_M!$B$1:$BZ$300,MATCH(data!AL$1,Haver_M!$B$1:$BZ$1,0),FALSE)),VLOOKUP($A154,Haver_M!$B$1:$BZ$300,MATCH(data!AL$1,Haver_M!$B$1:$BZ$1,0),FALSE),"")</f>
        <v>11939</v>
      </c>
      <c r="AM154">
        <f>IF(ISNUMBER(VLOOKUP($A154,Haver_M!$B$1:$BZ$300,MATCH(data!AM$1,Haver_M!$B$1:$BZ$1,0),FALSE)),VLOOKUP($A154,Haver_M!$B$1:$BZ$300,MATCH(data!AM$1,Haver_M!$B$1:$BZ$1,0),FALSE),"")</f>
        <v>6137</v>
      </c>
      <c r="AN154">
        <f>IF(ISNUMBER(VLOOKUP($A154,Haver_M!$B$1:$BZ$300,MATCH(data!AN$1,Haver_M!$B$1:$BZ$1,0),FALSE)),VLOOKUP($A154,Haver_M!$B$1:$BZ$300,MATCH(data!AN$1,Haver_M!$B$1:$BZ$1,0),FALSE),"")</f>
        <v>107</v>
      </c>
      <c r="AO154">
        <f>IF(ISNUMBER(VLOOKUP($A154,Haver_M!$B$1:$BZ$300,MATCH(data!AO$1,Haver_M!$B$1:$BZ$1,0),FALSE)),VLOOKUP($A154,Haver_M!$B$1:$BZ$300,MATCH(data!AO$1,Haver_M!$B$1:$BZ$1,0),FALSE),"")</f>
        <v>107.7</v>
      </c>
      <c r="AP154">
        <f>IF(ISNUMBER(VLOOKUP($A154,Haver_M!$B$1:$BZ$300,MATCH(data!AP$1,Haver_M!$B$1:$BZ$1,0),FALSE)),VLOOKUP($A154,Haver_M!$B$1:$BZ$300,MATCH(data!AP$1,Haver_M!$B$1:$BZ$1,0),FALSE),"")</f>
        <v>141.63274195827745</v>
      </c>
      <c r="AQ154">
        <f>IF(ISNUMBER(VLOOKUP($A154,Haver_M!$B$1:$BZ$300,MATCH(data!AQ$1,Haver_M!$B$1:$BZ$1,0),FALSE)),VLOOKUP($A154,Haver_M!$B$1:$BZ$300,MATCH(data!AQ$1,Haver_M!$B$1:$BZ$1,0),FALSE),"")</f>
        <v>54.962699999999998</v>
      </c>
      <c r="AR154">
        <f>IF(ISNUMBER(VLOOKUP($A154,Haver_M!$B$1:$BZ$300,MATCH(data!AR$1,Haver_M!$B$1:$BZ$1,0),FALSE)),VLOOKUP($A154,Haver_M!$B$1:$BZ$300,MATCH(data!AR$1,Haver_M!$B$1:$BZ$1,0),FALSE),"")</f>
        <v>52.802</v>
      </c>
      <c r="AS154">
        <f>IF(ISNUMBER(VLOOKUP($A154,Haver_M!$B$1:$BZ$300,MATCH(data!AS$1,Haver_M!$B$1:$BZ$1,0),FALSE)),VLOOKUP($A154,Haver_M!$B$1:$BZ$300,MATCH(data!AS$1,Haver_M!$B$1:$BZ$1,0),FALSE),"")</f>
        <v>55.814100000000003</v>
      </c>
      <c r="AT154">
        <f>IF(ISNUMBER(VLOOKUP($A154,Haver_M!$B$1:$BZ$300,MATCH(data!AT$1,Haver_M!$B$1:$BZ$1,0),FALSE)),VLOOKUP($A154,Haver_M!$B$1:$BZ$300,MATCH(data!AT$1,Haver_M!$B$1:$BZ$1,0),FALSE),"")</f>
        <v>53.195500000000003</v>
      </c>
      <c r="AU154">
        <f>IF(ISNUMBER(VLOOKUP($A154,Haver_M!$B$1:$BZ$300,MATCH(data!AU$1,Haver_M!$B$1:$BZ$1,0),FALSE)),VLOOKUP($A154,Haver_M!$B$1:$BZ$300,MATCH(data!AU$1,Haver_M!$B$1:$BZ$1,0),FALSE),"")</f>
        <v>54.372500000000002</v>
      </c>
      <c r="AV154">
        <f>IF(ISNUMBER(VLOOKUP($A154,Haver_M!$B$1:$BZ$300,MATCH(data!AV$1,Haver_M!$B$1:$BZ$1,0),FALSE)),VLOOKUP($A154,Haver_M!$B$1:$BZ$300,MATCH(data!AV$1,Haver_M!$B$1:$BZ$1,0),FALSE),"")</f>
        <v>52.841500000000003</v>
      </c>
      <c r="AW154">
        <f>IF(ISNUMBER(VLOOKUP($A154,Haver_M!$B$1:$BZ$300,MATCH(data!AW$1,Haver_M!$B$1:$BZ$1,0),FALSE)),VLOOKUP($A154,Haver_M!$B$1:$BZ$300,MATCH(data!AW$1,Haver_M!$B$1:$BZ$1,0),FALSE),"")</f>
        <v>50.662399999999998</v>
      </c>
      <c r="AX154">
        <f>IF(ISNUMBER(VLOOKUP($A154,Haver_M!$B$1:$BZ$300,MATCH(data!AX$1,Haver_M!$B$1:$BZ$1,0),FALSE)),VLOOKUP($A154,Haver_M!$B$1:$BZ$300,MATCH(data!AX$1,Haver_M!$B$1:$BZ$1,0),FALSE),"")</f>
        <v>52.2241</v>
      </c>
      <c r="AY154">
        <f>IF(ISNUMBER(VLOOKUP($A154,Haver_M!$B$1:$BZ$300,MATCH(data!AY$1,Haver_M!$B$1:$BZ$1,0),FALSE)),VLOOKUP($A154,Haver_M!$B$1:$BZ$300,MATCH(data!AY$1,Haver_M!$B$1:$BZ$1,0),FALSE),"")</f>
        <v>62.319000000000003</v>
      </c>
      <c r="AZ154">
        <f>IF(ISNUMBER(VLOOKUP($A154,Haver_M!$B$1:$BZ$300,MATCH(data!AZ$1,Haver_M!$B$1:$BZ$1,0),FALSE)),VLOOKUP($A154,Haver_M!$B$1:$BZ$300,MATCH(data!AZ$1,Haver_M!$B$1:$BZ$1,0),FALSE),"")</f>
        <v>53.374400000000001</v>
      </c>
      <c r="BA154">
        <f>IF(ISNUMBER(VLOOKUP($A154,Haver_M!$B$1:$BZ$300,MATCH(data!BA$1,Haver_M!$B$1:$BZ$1,0),FALSE)),VLOOKUP($A154,Haver_M!$B$1:$BZ$300,MATCH(data!BA$1,Haver_M!$B$1:$BZ$1,0),FALSE),"")</f>
        <v>52.2241</v>
      </c>
      <c r="BB154">
        <f>IF(ISNUMBER(VLOOKUP($A154,Haver_M!$B$1:$BZ$300,MATCH(data!BB$1,Haver_M!$B$1:$BZ$1,0),FALSE)),VLOOKUP($A154,Haver_M!$B$1:$BZ$300,MATCH(data!BB$1,Haver_M!$B$1:$BZ$1,0),FALSE),"")</f>
        <v>53.840499999999999</v>
      </c>
      <c r="BC154">
        <f>IF(ISNUMBER(VLOOKUP($A154,Haver_M!$B$1:$BZ$300,MATCH(data!BC$1,Haver_M!$B$1:$BZ$1,0),FALSE)),VLOOKUP($A154,Haver_M!$B$1:$BZ$300,MATCH(data!BC$1,Haver_M!$B$1:$BZ$1,0),FALSE),"")</f>
        <v>56.786000000000001</v>
      </c>
      <c r="BD154">
        <f>IF(ISNUMBER(VLOOKUP($A154,Haver_M!$B$1:$BZ$300,MATCH(data!BD$1,Haver_M!$B$1:$BZ$1,0),FALSE)),VLOOKUP($A154,Haver_M!$B$1:$BZ$300,MATCH(data!BD$1,Haver_M!$B$1:$BZ$1,0),FALSE),"")</f>
        <v>53.213500000000003</v>
      </c>
      <c r="BE154">
        <f>IF(ISNUMBER(VLOOKUP($A154,Haver_M!$B$1:$BZ$300,MATCH(data!BE$1,Haver_M!$B$1:$BZ$1,0),FALSE)),VLOOKUP($A154,Haver_M!$B$1:$BZ$300,MATCH(data!BE$1,Haver_M!$B$1:$BZ$1,0),FALSE),"")</f>
        <v>1.0299</v>
      </c>
      <c r="BF154">
        <f>IF(ISNUMBER(VLOOKUP($A154,Haver_M!$B$1:$BZ$300,MATCH(data!BF$1,Haver_M!$B$1:$BZ$1,0),FALSE)),VLOOKUP($A154,Haver_M!$B$1:$BZ$300,MATCH(data!BF$1,Haver_M!$B$1:$BZ$1,0),FALSE),"")</f>
        <v>51.5837</v>
      </c>
      <c r="BG154">
        <f>IF(ISNUMBER(VLOOKUP($A154,Haver_M!$B$1:$BZ$300,MATCH(data!BG$1,Haver_M!$B$1:$BZ$1,0),FALSE)),VLOOKUP($A154,Haver_M!$B$1:$BZ$300,MATCH(data!BG$1,Haver_M!$B$1:$BZ$1,0),FALSE),"")</f>
        <v>53.967300000000002</v>
      </c>
      <c r="BH154">
        <f>IF(ISNUMBER(VLOOKUP($A154,Haver_M!$B$1:$BZ$300,MATCH(data!BH$1,Haver_M!$B$1:$BZ$1,0),FALSE)),VLOOKUP($A154,Haver_M!$B$1:$BZ$300,MATCH(data!BH$1,Haver_M!$B$1:$BZ$1,0),FALSE),"")</f>
        <v>56.716999999999999</v>
      </c>
      <c r="BI154">
        <f>IF(ISNUMBER(VLOOKUP($A154,Haver_M!$B$1:$BZ$300,MATCH(data!BI$1,Haver_M!$B$1:$BZ$1,0),FALSE)),VLOOKUP($A154,Haver_M!$B$1:$BZ$300,MATCH(data!BI$1,Haver_M!$B$1:$BZ$1,0),FALSE),"")</f>
        <v>54.345599999999997</v>
      </c>
      <c r="BJ154" t="str">
        <f>IF(ISNUMBER(VLOOKUP($A154,Haver_M!$B$1:$BZ$300,MATCH(data!BJ$1,Haver_M!$B$1:$BZ$1,0),FALSE)),VLOOKUP($A154,Haver_M!$B$1:$BZ$300,MATCH(data!BJ$1,Haver_M!$B$1:$BZ$1,0),FALSE),"")</f>
        <v/>
      </c>
      <c r="BK154">
        <f>IF(ISNUMBER(VLOOKUP($A154,Haver_M!$B$1:$BZ$300,MATCH(data!BK$1,Haver_M!$B$1:$BZ$1,0),FALSE)),VLOOKUP($A154,Haver_M!$B$1:$BZ$300,MATCH(data!BK$1,Haver_M!$B$1:$BZ$1,0),FALSE),"")</f>
        <v>49.182400000000001</v>
      </c>
      <c r="BL154">
        <f>IF(ISNUMBER(VLOOKUP($A154,Haver_M!$B$1:$BZ$300,MATCH(data!BL$1,Haver_M!$B$1:$BZ$1,0),FALSE)),VLOOKUP($A154,Haver_M!$B$1:$BZ$300,MATCH(data!BL$1,Haver_M!$B$1:$BZ$1,0),FALSE),"")</f>
        <v>18145.07</v>
      </c>
      <c r="BM154">
        <f>IF(ISNUMBER(VLOOKUP($A154,Haver_M!$B$1:$BZ$300,MATCH(data!BM$1,Haver_M!$B$1:$BZ$1,0),FALSE)),VLOOKUP($A154,Haver_M!$B$1:$BZ$300,MATCH(data!BM$1,Haver_M!$B$1:$BZ$1,0),FALSE),"")</f>
        <v>97.23111609</v>
      </c>
      <c r="BN154">
        <f>IF(ISNUMBER(VLOOKUP($A154,Haver_M!$B$1:$BZ$300,MATCH(data!BN$1,Haver_M!$B$1:$BZ$1,0),FALSE)),VLOOKUP($A154,Haver_M!$B$1:$BZ$300,MATCH(data!BN$1,Haver_M!$B$1:$BZ$1,0),FALSE),"")</f>
        <v>103.8</v>
      </c>
      <c r="BO154">
        <f>IF(ISNUMBER(VLOOKUP($A154,Haver_M!$B$1:$BZ$300,MATCH(data!BO$1,Haver_M!$B$1:$BZ$1,0),FALSE)),VLOOKUP($A154,Haver_M!$B$1:$BZ$300,MATCH(data!BO$1,Haver_M!$B$1:$BZ$1,0),FALSE),"")</f>
        <v>114</v>
      </c>
      <c r="BP154">
        <f>IF(ISNUMBER(VLOOKUP($A154,Haver_M!$B$1:$BZ$300,MATCH(data!BP$1,Haver_M!$B$1:$BZ$1,0),FALSE)),VLOOKUP($A154,Haver_M!$B$1:$BZ$300,MATCH(data!BP$1,Haver_M!$B$1:$BZ$1,0),FALSE),"")</f>
        <v>30.6</v>
      </c>
      <c r="BQ154">
        <f>IF(ISNUMBER(VLOOKUP($A154,Haver_M!$B$1:$BZ$300,MATCH(data!BQ$1,Haver_M!$B$1:$BZ$1,0),FALSE)),VLOOKUP($A154,Haver_M!$B$1:$BZ$300,MATCH(data!BQ$1,Haver_M!$B$1:$BZ$1,0),FALSE),"")</f>
        <v>149.95467489538601</v>
      </c>
      <c r="BR154">
        <f>IF(ISNUMBER(VLOOKUP($A154,Haver_M!$B$1:$BZ$300,MATCH(data!BR$1,Haver_M!$B$1:$BZ$1,0),FALSE)),VLOOKUP($A154,Haver_M!$B$1:$BZ$300,MATCH(data!BR$1,Haver_M!$B$1:$BZ$1,0),FALSE),"")</f>
        <v>369.24101052091822</v>
      </c>
      <c r="BS154">
        <f>IF(ISNUMBER(VLOOKUP($A154,Haver_M!$B$1:$BZ$300,MATCH(data!BS$1,Haver_M!$B$1:$BZ$1,0),FALSE)),VLOOKUP($A154,Haver_M!$B$1:$BZ$300,MATCH(data!BS$1,Haver_M!$B$1:$BZ$1,0),FALSE),"")</f>
        <v>188.24770398586224</v>
      </c>
      <c r="BT154">
        <f>IF(ISNUMBER(VLOOKUP($A154,Haver_M!$B$1:$BZ$300,MATCH(data!BT$1,Haver_M!$B$1:$BZ$1,0),FALSE)),VLOOKUP($A154,Haver_M!$B$1:$BZ$300,MATCH(data!BT$1,Haver_M!$B$1:$BZ$1,0),FALSE),"")</f>
        <v>806.14022397011297</v>
      </c>
      <c r="BU154">
        <f>IF(ISNUMBER(VLOOKUP($A154,Haver_M!$B$1:$BZ$300,MATCH(data!BU$1,Haver_M!$B$1:$BZ$1,0),FALSE)),VLOOKUP($A154,Haver_M!$B$1:$BZ$300,MATCH(data!BU$1,Haver_M!$B$1:$BZ$1,0),FALSE),"")</f>
        <v>24902</v>
      </c>
      <c r="BV154">
        <f>IF(ISNUMBER(VLOOKUP($A154,Haver_M!$B$1:$BZ$300,MATCH(data!BV$1,Haver_M!$B$1:$BZ$1,0),FALSE)),VLOOKUP($A154,Haver_M!$B$1:$BZ$300,MATCH(data!BV$1,Haver_M!$B$1:$BZ$1,0),FALSE),"")</f>
        <v>42051.45</v>
      </c>
      <c r="BW154">
        <f>IF(ISNUMBER(VLOOKUP($A154,Haver_M!$B$1:$BZ$300,MATCH(data!BW$1,Haver_M!$B$1:$BZ$1,0),FALSE)),VLOOKUP($A154,Haver_M!$B$1:$BZ$300,MATCH(data!BW$1,Haver_M!$B$1:$BZ$1,0),FALSE),"")</f>
        <v>54.605499999999999</v>
      </c>
      <c r="BX154">
        <f>IF(ISNUMBER(VLOOKUP($A154,Haver_M!$B$1:$BZ$300,MATCH(data!BX$1,Haver_M!$B$1:$BZ$1,0),FALSE)),VLOOKUP($A154,Haver_M!$B$1:$BZ$300,MATCH(data!BX$1,Haver_M!$B$1:$BZ$1,0),FALSE),"")</f>
        <v>66585</v>
      </c>
    </row>
    <row r="155" spans="1:76" x14ac:dyDescent="0.25">
      <c r="A155" s="2">
        <v>41213</v>
      </c>
      <c r="B155" t="str">
        <f>IF(ISNUMBER(VLOOKUP($A155,Haver_Q!$B$1:$L$185,MATCH(data!B$1,Haver_Q!$B$1:$L$1,0),FALSE)),100*(VLOOKUP($A155,Haver_Q!$B$1:$L$185,MATCH(data!B$1,Haver_Q!$B$1:$L$1,0),FALSE)),"")</f>
        <v/>
      </c>
      <c r="C155" t="str">
        <f>IF(ISNUMBER(VLOOKUP($A155,Haver_Q!$B$1:$L$185,MATCH(data!C$1,Haver_Q!$B$1:$L$1,0),FALSE)),100*(VLOOKUP($A155,Haver_Q!$B$1:$L$185,MATCH(data!C$1,Haver_Q!$B$1:$L$1,0),FALSE)),"")</f>
        <v/>
      </c>
      <c r="D155" t="str">
        <f>IF(ISNUMBER(VLOOKUP($A155,Haver_Q!$B$1:$L$185,MATCH(data!D$1,Haver_Q!$B$1:$L$1,0),FALSE)),100*(VLOOKUP($A155,Haver_Q!$B$1:$L$185,MATCH(data!D$1,Haver_Q!$B$1:$L$1,0),FALSE)),"")</f>
        <v/>
      </c>
      <c r="E155" t="str">
        <f>IF(ISNUMBER(VLOOKUP($A155,Haver_Q!$B$1:$L$185,MATCH(data!E$1,Haver_Q!$B$1:$L$1,0),FALSE)),100*(VLOOKUP($A155,Haver_Q!$B$1:$L$185,MATCH(data!E$1,Haver_Q!$B$1:$L$1,0),FALSE)),"")</f>
        <v/>
      </c>
      <c r="F155" t="str">
        <f>IF(ISNUMBER(VLOOKUP($A155,Haver_Q!$B$1:$L$185,MATCH(data!F$1,Haver_Q!$B$1:$L$1,0),FALSE)),100*(VLOOKUP($A155,Haver_Q!$B$1:$L$185,MATCH(data!F$1,Haver_Q!$B$1:$L$1,0),FALSE)),"")</f>
        <v/>
      </c>
      <c r="G155" t="str">
        <f>IF(ISNUMBER(VLOOKUP($A155,Haver_Q!$B$1:$L$185,MATCH(data!G$1,Haver_Q!$B$1:$L$1,0),FALSE)),100*(VLOOKUP($A155,Haver_Q!$B$1:$L$185,MATCH(data!G$1,Haver_Q!$B$1:$L$1,0),FALSE)),"")</f>
        <v/>
      </c>
      <c r="H155" t="str">
        <f>IF(ISNUMBER(VLOOKUP($A155,Haver_Q!$B$1:$L$185,MATCH(data!H$1,Haver_Q!$B$1:$L$1,0),FALSE)),(VLOOKUP($A155,Haver_Q!$B$1:$L$185,MATCH(data!H$1,Haver_Q!$B$1:$L$1,0),FALSE)),"")</f>
        <v/>
      </c>
      <c r="I155" t="str">
        <f>IF(ISNUMBER(VLOOKUP($A155,Haver_Q!$B$1:$L$185,MATCH(data!I$1,Haver_Q!$B$1:$L$1,0),FALSE)),100*(VLOOKUP($A155,Haver_Q!$B$1:$L$185,MATCH(data!I$1,Haver_Q!$B$1:$L$1,0),FALSE)),"")</f>
        <v/>
      </c>
      <c r="J155" s="3">
        <f>IF(ISNUMBER(Bloomberg_m!C171),Bloomberg_m!C171,"")</f>
        <v>952</v>
      </c>
      <c r="K155" s="3">
        <f>IF(ISNUMBER(Bloomberg_m!D171),Bloomberg_m!D171,"")</f>
        <v>2094.16</v>
      </c>
      <c r="L155" s="3">
        <f>IF(ISNUMBER(Bloomberg_m!E171),Bloomberg_m!E171,"")</f>
        <v>1202.6300000000001</v>
      </c>
      <c r="M155" s="3">
        <f>IF(ISNUMBER(Bloomberg_m!F171),Bloomberg_m!F171,"")</f>
        <v>401.14</v>
      </c>
      <c r="N155">
        <f>IF(ISNUMBER(VLOOKUP($A155,Haver_M!$B$1:$BZ$300,MATCH(data!N$1,Haver_M!$B$1:$BZ$1,0),FALSE)),VLOOKUP($A155,Haver_M!$B$1:$BZ$300,MATCH(data!N$1,Haver_M!$B$1:$BZ$1,0),FALSE),"")</f>
        <v>8</v>
      </c>
      <c r="O155">
        <f>IF(ISNUMBER(VLOOKUP($A155,Haver_M!$B$1:$BZ$300,MATCH(data!O$1,Haver_M!$B$1:$BZ$1,0),FALSE)),VLOOKUP($A155,Haver_M!$B$1:$BZ$300,MATCH(data!O$1,Haver_M!$B$1:$BZ$1,0),FALSE),"")</f>
        <v>8.2010000000000005</v>
      </c>
      <c r="P155">
        <f>IF(ISNUMBER(VLOOKUP($A155,Haver_M!$B$1:$BZ$300,MATCH(data!P$1,Haver_M!$B$1:$BZ$1,0),FALSE)),VLOOKUP($A155,Haver_M!$B$1:$BZ$300,MATCH(data!P$1,Haver_M!$B$1:$BZ$1,0),FALSE),"")</f>
        <v>93.580439999999996</v>
      </c>
      <c r="Q155">
        <f>IF(ISNUMBER(VLOOKUP($A155,Haver_M!$B$1:$BZ$300,MATCH(data!Q$1,Haver_M!$B$1:$BZ$1,0),FALSE)),VLOOKUP($A155,Haver_M!$B$1:$BZ$300,MATCH(data!Q$1,Haver_M!$B$1:$BZ$1,0),FALSE),"")</f>
        <v>103.6</v>
      </c>
      <c r="R155">
        <f>IF(ISNUMBER(VLOOKUP($A155,Haver_M!$B$1:$BZ$300,MATCH(data!R$1,Haver_M!$B$1:$BZ$1,0),FALSE)),VLOOKUP($A155,Haver_M!$B$1:$BZ$300,MATCH(data!R$1,Haver_M!$B$1:$BZ$1,0),FALSE),"")</f>
        <v>102.7</v>
      </c>
      <c r="S155">
        <f>IF(ISNUMBER(VLOOKUP($A155,Haver_M!$B$1:$BZ$300,MATCH(data!S$1,Haver_M!$B$1:$BZ$1,0),FALSE)),VLOOKUP($A155,Haver_M!$B$1:$BZ$300,MATCH(data!S$1,Haver_M!$B$1:$BZ$1,0),FALSE),"")</f>
        <v>103.32</v>
      </c>
      <c r="T155">
        <f>IF(ISNUMBER(VLOOKUP($A155,Haver_M!$B$1:$BZ$300,MATCH(data!T$1,Haver_M!$B$1:$BZ$1,0),FALSE)),VLOOKUP($A155,Haver_M!$B$1:$BZ$300,MATCH(data!T$1,Haver_M!$B$1:$BZ$1,0),FALSE),"")</f>
        <v>102.88</v>
      </c>
      <c r="U155">
        <f>IF(ISNUMBER(VLOOKUP($A155,Haver_M!$B$1:$BZ$300,MATCH(data!U$1,Haver_M!$B$1:$BZ$1,0),FALSE)),VLOOKUP($A155,Haver_M!$B$1:$BZ$300,MATCH(data!U$1,Haver_M!$B$1:$BZ$1,0),FALSE),"")</f>
        <v>95.35</v>
      </c>
      <c r="V155">
        <f>IF(ISNUMBER(VLOOKUP($A155,Haver_M!$B$1:$BZ$300,MATCH(data!V$1,Haver_M!$B$1:$BZ$1,0),FALSE)),VLOOKUP($A155,Haver_M!$B$1:$BZ$300,MATCH(data!V$1,Haver_M!$B$1:$BZ$1,0),FALSE),"")</f>
        <v>105.17</v>
      </c>
      <c r="W155">
        <f>IF(ISNUMBER(VLOOKUP($A155,Haver_M!$B$1:$BZ$300,MATCH(data!W$1,Haver_M!$B$1:$BZ$1,0),FALSE)),VLOOKUP($A155,Haver_M!$B$1:$BZ$300,MATCH(data!W$1,Haver_M!$B$1:$BZ$1,0),FALSE),"")</f>
        <v>104.28</v>
      </c>
      <c r="X155">
        <f>IF(ISNUMBER(VLOOKUP($A155,Haver_M!$B$1:$BZ$300,MATCH(data!X$1,Haver_M!$B$1:$BZ$1,0),FALSE)),VLOOKUP($A155,Haver_M!$B$1:$BZ$300,MATCH(data!X$1,Haver_M!$B$1:$BZ$1,0),FALSE),"")</f>
        <v>108.06</v>
      </c>
      <c r="Y155">
        <f>IF(ISNUMBER(VLOOKUP($A155,Haver_M!$B$1:$BZ$300,MATCH(data!Y$1,Haver_M!$B$1:$BZ$1,0),FALSE)),VLOOKUP($A155,Haver_M!$B$1:$BZ$300,MATCH(data!Y$1,Haver_M!$B$1:$BZ$1,0),FALSE),"")</f>
        <v>108.17</v>
      </c>
      <c r="Z155">
        <f>IF(ISNUMBER(VLOOKUP($A155,Haver_M!$B$1:$BZ$300,MATCH(data!Z$1,Haver_M!$B$1:$BZ$1,0),FALSE)),VLOOKUP($A155,Haver_M!$B$1:$BZ$300,MATCH(data!Z$1,Haver_M!$B$1:$BZ$1,0),FALSE),"")</f>
        <v>104</v>
      </c>
      <c r="AA155">
        <f>IF(ISNUMBER(VLOOKUP($A155,Haver_M!$B$1:$BZ$300,MATCH(data!AA$1,Haver_M!$B$1:$BZ$1,0),FALSE)),VLOOKUP($A155,Haver_M!$B$1:$BZ$300,MATCH(data!AA$1,Haver_M!$B$1:$BZ$1,0),FALSE),"")</f>
        <v>102.393</v>
      </c>
      <c r="AB155">
        <f>IF(ISNUMBER(VLOOKUP($A155,Haver_M!$B$1:$BZ$300,MATCH(data!AB$1,Haver_M!$B$1:$BZ$1,0),FALSE)),VLOOKUP($A155,Haver_M!$B$1:$BZ$300,MATCH(data!AB$1,Haver_M!$B$1:$BZ$1,0),FALSE),"")</f>
        <v>99.451999999999998</v>
      </c>
      <c r="AC155">
        <f>IF(ISNUMBER(VLOOKUP($A155,Haver_M!$B$1:$BZ$300,MATCH(data!AC$1,Haver_M!$B$1:$BZ$1,0),FALSE)),VLOOKUP($A155,Haver_M!$B$1:$BZ$300,MATCH(data!AC$1,Haver_M!$B$1:$BZ$1,0),FALSE),"")</f>
        <v>85.373000000000005</v>
      </c>
      <c r="AD155">
        <f>IF(ISNUMBER(VLOOKUP($A155,Haver_M!$B$1:$BZ$300,MATCH(data!AD$1,Haver_M!$B$1:$BZ$1,0),FALSE)),VLOOKUP($A155,Haver_M!$B$1:$BZ$300,MATCH(data!AD$1,Haver_M!$B$1:$BZ$1,0),FALSE),"")</f>
        <v>111.146</v>
      </c>
      <c r="AE155">
        <f>IF(ISNUMBER(VLOOKUP($A155,Haver_M!$B$1:$BZ$300,MATCH(data!AE$1,Haver_M!$B$1:$BZ$1,0),FALSE)),VLOOKUP($A155,Haver_M!$B$1:$BZ$300,MATCH(data!AE$1,Haver_M!$B$1:$BZ$1,0),FALSE),"")</f>
        <v>99.936000000000007</v>
      </c>
      <c r="AF155">
        <f>IF(ISNUMBER(VLOOKUP($A155,Haver_M!$B$1:$BZ$300,MATCH(data!AF$1,Haver_M!$B$1:$BZ$1,0),FALSE)),VLOOKUP($A155,Haver_M!$B$1:$BZ$300,MATCH(data!AF$1,Haver_M!$B$1:$BZ$1,0),FALSE),"")</f>
        <v>102.895</v>
      </c>
      <c r="AG155">
        <f>IF(ISNUMBER(VLOOKUP($A155,Haver_M!$B$1:$BZ$300,MATCH(data!AG$1,Haver_M!$B$1:$BZ$1,0),FALSE)),VLOOKUP($A155,Haver_M!$B$1:$BZ$300,MATCH(data!AG$1,Haver_M!$B$1:$BZ$1,0),FALSE),"")</f>
        <v>107.321</v>
      </c>
      <c r="AH155">
        <f>IF(ISNUMBER(VLOOKUP($A155,Haver_M!$B$1:$BZ$300,MATCH(data!AH$1,Haver_M!$B$1:$BZ$1,0),FALSE)),VLOOKUP($A155,Haver_M!$B$1:$BZ$300,MATCH(data!AH$1,Haver_M!$B$1:$BZ$1,0),FALSE),"")</f>
        <v>103.83</v>
      </c>
      <c r="AI155">
        <f>IF(ISNUMBER(VLOOKUP($A155,Haver_M!$B$1:$BZ$300,MATCH(data!AI$1,Haver_M!$B$1:$BZ$1,0),FALSE)),VLOOKUP($A155,Haver_M!$B$1:$BZ$300,MATCH(data!AI$1,Haver_M!$B$1:$BZ$1,0),FALSE),"")</f>
        <v>13090.739919905205</v>
      </c>
      <c r="AJ155">
        <f>IF(ISNUMBER(VLOOKUP($A155,Haver_M!$B$1:$BZ$300,MATCH(data!AJ$1,Haver_M!$B$1:$BZ$1,0),FALSE)),VLOOKUP($A155,Haver_M!$B$1:$BZ$300,MATCH(data!AJ$1,Haver_M!$B$1:$BZ$1,0),FALSE),"")</f>
        <v>24835.86</v>
      </c>
      <c r="AK155">
        <f>IF(ISNUMBER(VLOOKUP($A155,Haver_M!$B$1:$BZ$300,MATCH(data!AK$1,Haver_M!$B$1:$BZ$1,0),FALSE)),VLOOKUP($A155,Haver_M!$B$1:$BZ$300,MATCH(data!AK$1,Haver_M!$B$1:$BZ$1,0),FALSE),"")</f>
        <v>42341.5</v>
      </c>
      <c r="AL155">
        <f>IF(ISNUMBER(VLOOKUP($A155,Haver_M!$B$1:$BZ$300,MATCH(data!AL$1,Haver_M!$B$1:$BZ$1,0),FALSE)),VLOOKUP($A155,Haver_M!$B$1:$BZ$300,MATCH(data!AL$1,Haver_M!$B$1:$BZ$1,0),FALSE),"")</f>
        <v>12348</v>
      </c>
      <c r="AM155">
        <f>IF(ISNUMBER(VLOOKUP($A155,Haver_M!$B$1:$BZ$300,MATCH(data!AM$1,Haver_M!$B$1:$BZ$1,0),FALSE)),VLOOKUP($A155,Haver_M!$B$1:$BZ$300,MATCH(data!AM$1,Haver_M!$B$1:$BZ$1,0),FALSE),"")</f>
        <v>6703</v>
      </c>
      <c r="AN155" t="str">
        <f>IF(ISNUMBER(VLOOKUP($A155,Haver_M!$B$1:$BZ$300,MATCH(data!AN$1,Haver_M!$B$1:$BZ$1,0),FALSE)),VLOOKUP($A155,Haver_M!$B$1:$BZ$300,MATCH(data!AN$1,Haver_M!$B$1:$BZ$1,0),FALSE),"")</f>
        <v/>
      </c>
      <c r="AO155" t="str">
        <f>IF(ISNUMBER(VLOOKUP($A155,Haver_M!$B$1:$BZ$300,MATCH(data!AO$1,Haver_M!$B$1:$BZ$1,0),FALSE)),VLOOKUP($A155,Haver_M!$B$1:$BZ$300,MATCH(data!AO$1,Haver_M!$B$1:$BZ$1,0),FALSE),"")</f>
        <v/>
      </c>
      <c r="AP155">
        <f>IF(ISNUMBER(VLOOKUP($A155,Haver_M!$B$1:$BZ$300,MATCH(data!AP$1,Haver_M!$B$1:$BZ$1,0),FALSE)),VLOOKUP($A155,Haver_M!$B$1:$BZ$300,MATCH(data!AP$1,Haver_M!$B$1:$BZ$1,0),FALSE),"")</f>
        <v>168.29465799760851</v>
      </c>
      <c r="AQ155">
        <f>IF(ISNUMBER(VLOOKUP($A155,Haver_M!$B$1:$BZ$300,MATCH(data!AQ$1,Haver_M!$B$1:$BZ$1,0),FALSE)),VLOOKUP($A155,Haver_M!$B$1:$BZ$300,MATCH(data!AQ$1,Haver_M!$B$1:$BZ$1,0),FALSE),"")</f>
        <v>53.460799999999999</v>
      </c>
      <c r="AR155">
        <f>IF(ISNUMBER(VLOOKUP($A155,Haver_M!$B$1:$BZ$300,MATCH(data!AR$1,Haver_M!$B$1:$BZ$1,0),FALSE)),VLOOKUP($A155,Haver_M!$B$1:$BZ$300,MATCH(data!AR$1,Haver_M!$B$1:$BZ$1,0),FALSE),"")</f>
        <v>52.865200000000002</v>
      </c>
      <c r="AS155">
        <f>IF(ISNUMBER(VLOOKUP($A155,Haver_M!$B$1:$BZ$300,MATCH(data!AS$1,Haver_M!$B$1:$BZ$1,0),FALSE)),VLOOKUP($A155,Haver_M!$B$1:$BZ$300,MATCH(data!AS$1,Haver_M!$B$1:$BZ$1,0),FALSE),"")</f>
        <v>53.832700000000003</v>
      </c>
      <c r="AT155">
        <f>IF(ISNUMBER(VLOOKUP($A155,Haver_M!$B$1:$BZ$300,MATCH(data!AT$1,Haver_M!$B$1:$BZ$1,0),FALSE)),VLOOKUP($A155,Haver_M!$B$1:$BZ$300,MATCH(data!AT$1,Haver_M!$B$1:$BZ$1,0),FALSE),"")</f>
        <v>52.688800000000001</v>
      </c>
      <c r="AU155">
        <f>IF(ISNUMBER(VLOOKUP($A155,Haver_M!$B$1:$BZ$300,MATCH(data!AU$1,Haver_M!$B$1:$BZ$1,0),FALSE)),VLOOKUP($A155,Haver_M!$B$1:$BZ$300,MATCH(data!AU$1,Haver_M!$B$1:$BZ$1,0),FALSE),"")</f>
        <v>54.9208</v>
      </c>
      <c r="AV155">
        <f>IF(ISNUMBER(VLOOKUP($A155,Haver_M!$B$1:$BZ$300,MATCH(data!AV$1,Haver_M!$B$1:$BZ$1,0),FALSE)),VLOOKUP($A155,Haver_M!$B$1:$BZ$300,MATCH(data!AV$1,Haver_M!$B$1:$BZ$1,0),FALSE),"")</f>
        <v>52.089599999999997</v>
      </c>
      <c r="AW155">
        <f>IF(ISNUMBER(VLOOKUP($A155,Haver_M!$B$1:$BZ$300,MATCH(data!AW$1,Haver_M!$B$1:$BZ$1,0),FALSE)),VLOOKUP($A155,Haver_M!$B$1:$BZ$300,MATCH(data!AW$1,Haver_M!$B$1:$BZ$1,0),FALSE),"")</f>
        <v>49.698099999999997</v>
      </c>
      <c r="AX155">
        <f>IF(ISNUMBER(VLOOKUP($A155,Haver_M!$B$1:$BZ$300,MATCH(data!AX$1,Haver_M!$B$1:$BZ$1,0),FALSE)),VLOOKUP($A155,Haver_M!$B$1:$BZ$300,MATCH(data!AX$1,Haver_M!$B$1:$BZ$1,0),FALSE),"")</f>
        <v>52.535800000000002</v>
      </c>
      <c r="AY155">
        <f>IF(ISNUMBER(VLOOKUP($A155,Haver_M!$B$1:$BZ$300,MATCH(data!AY$1,Haver_M!$B$1:$BZ$1,0),FALSE)),VLOOKUP($A155,Haver_M!$B$1:$BZ$300,MATCH(data!AY$1,Haver_M!$B$1:$BZ$1,0),FALSE),"")</f>
        <v>58.513100000000001</v>
      </c>
      <c r="AZ155">
        <f>IF(ISNUMBER(VLOOKUP($A155,Haver_M!$B$1:$BZ$300,MATCH(data!AZ$1,Haver_M!$B$1:$BZ$1,0),FALSE)),VLOOKUP($A155,Haver_M!$B$1:$BZ$300,MATCH(data!AZ$1,Haver_M!$B$1:$BZ$1,0),FALSE),"")</f>
        <v>53.838299999999997</v>
      </c>
      <c r="BA155">
        <f>IF(ISNUMBER(VLOOKUP($A155,Haver_M!$B$1:$BZ$300,MATCH(data!BA$1,Haver_M!$B$1:$BZ$1,0),FALSE)),VLOOKUP($A155,Haver_M!$B$1:$BZ$300,MATCH(data!BA$1,Haver_M!$B$1:$BZ$1,0),FALSE),"")</f>
        <v>52.535800000000002</v>
      </c>
      <c r="BB155">
        <f>IF(ISNUMBER(VLOOKUP($A155,Haver_M!$B$1:$BZ$300,MATCH(data!BB$1,Haver_M!$B$1:$BZ$1,0),FALSE)),VLOOKUP($A155,Haver_M!$B$1:$BZ$300,MATCH(data!BB$1,Haver_M!$B$1:$BZ$1,0),FALSE),"")</f>
        <v>53.614699999999999</v>
      </c>
      <c r="BC155">
        <f>IF(ISNUMBER(VLOOKUP($A155,Haver_M!$B$1:$BZ$300,MATCH(data!BC$1,Haver_M!$B$1:$BZ$1,0),FALSE)),VLOOKUP($A155,Haver_M!$B$1:$BZ$300,MATCH(data!BC$1,Haver_M!$B$1:$BZ$1,0),FALSE),"")</f>
        <v>52.925899999999999</v>
      </c>
      <c r="BD155">
        <f>IF(ISNUMBER(VLOOKUP($A155,Haver_M!$B$1:$BZ$300,MATCH(data!BD$1,Haver_M!$B$1:$BZ$1,0),FALSE)),VLOOKUP($A155,Haver_M!$B$1:$BZ$300,MATCH(data!BD$1,Haver_M!$B$1:$BZ$1,0),FALSE),"")</f>
        <v>56.332900000000002</v>
      </c>
      <c r="BE155">
        <f>IF(ISNUMBER(VLOOKUP($A155,Haver_M!$B$1:$BZ$300,MATCH(data!BE$1,Haver_M!$B$1:$BZ$1,0),FALSE)),VLOOKUP($A155,Haver_M!$B$1:$BZ$300,MATCH(data!BE$1,Haver_M!$B$1:$BZ$1,0),FALSE),"")</f>
        <v>1.1368</v>
      </c>
      <c r="BF155">
        <f>IF(ISNUMBER(VLOOKUP($A155,Haver_M!$B$1:$BZ$300,MATCH(data!BF$1,Haver_M!$B$1:$BZ$1,0),FALSE)),VLOOKUP($A155,Haver_M!$B$1:$BZ$300,MATCH(data!BF$1,Haver_M!$B$1:$BZ$1,0),FALSE),"")</f>
        <v>50.807000000000002</v>
      </c>
      <c r="BG155">
        <f>IF(ISNUMBER(VLOOKUP($A155,Haver_M!$B$1:$BZ$300,MATCH(data!BG$1,Haver_M!$B$1:$BZ$1,0),FALSE)),VLOOKUP($A155,Haver_M!$B$1:$BZ$300,MATCH(data!BG$1,Haver_M!$B$1:$BZ$1,0),FALSE),"")</f>
        <v>54.343499999999999</v>
      </c>
      <c r="BH155">
        <f>IF(ISNUMBER(VLOOKUP($A155,Haver_M!$B$1:$BZ$300,MATCH(data!BH$1,Haver_M!$B$1:$BZ$1,0),FALSE)),VLOOKUP($A155,Haver_M!$B$1:$BZ$300,MATCH(data!BH$1,Haver_M!$B$1:$BZ$1,0),FALSE),"")</f>
        <v>56.2562</v>
      </c>
      <c r="BI155">
        <f>IF(ISNUMBER(VLOOKUP($A155,Haver_M!$B$1:$BZ$300,MATCH(data!BI$1,Haver_M!$B$1:$BZ$1,0),FALSE)),VLOOKUP($A155,Haver_M!$B$1:$BZ$300,MATCH(data!BI$1,Haver_M!$B$1:$BZ$1,0),FALSE),"")</f>
        <v>54.875</v>
      </c>
      <c r="BJ155" t="str">
        <f>IF(ISNUMBER(VLOOKUP($A155,Haver_M!$B$1:$BZ$300,MATCH(data!BJ$1,Haver_M!$B$1:$BZ$1,0),FALSE)),VLOOKUP($A155,Haver_M!$B$1:$BZ$300,MATCH(data!BJ$1,Haver_M!$B$1:$BZ$1,0),FALSE),"")</f>
        <v/>
      </c>
      <c r="BK155">
        <f>IF(ISNUMBER(VLOOKUP($A155,Haver_M!$B$1:$BZ$300,MATCH(data!BK$1,Haver_M!$B$1:$BZ$1,0),FALSE)),VLOOKUP($A155,Haver_M!$B$1:$BZ$300,MATCH(data!BK$1,Haver_M!$B$1:$BZ$1,0),FALSE),"")</f>
        <v>52.35</v>
      </c>
      <c r="BL155">
        <f>IF(ISNUMBER(VLOOKUP($A155,Haver_M!$B$1:$BZ$300,MATCH(data!BL$1,Haver_M!$B$1:$BZ$1,0),FALSE)),VLOOKUP($A155,Haver_M!$B$1:$BZ$300,MATCH(data!BL$1,Haver_M!$B$1:$BZ$1,0),FALSE),"")</f>
        <v>18720.919999999998</v>
      </c>
      <c r="BM155">
        <f>IF(ISNUMBER(VLOOKUP($A155,Haver_M!$B$1:$BZ$300,MATCH(data!BM$1,Haver_M!$B$1:$BZ$1,0),FALSE)),VLOOKUP($A155,Haver_M!$B$1:$BZ$300,MATCH(data!BM$1,Haver_M!$B$1:$BZ$1,0),FALSE),"")</f>
        <v>97.518325660000002</v>
      </c>
      <c r="BN155" t="str">
        <f>IF(ISNUMBER(VLOOKUP($A155,Haver_M!$B$1:$BZ$300,MATCH(data!BN$1,Haver_M!$B$1:$BZ$1,0),FALSE)),VLOOKUP($A155,Haver_M!$B$1:$BZ$300,MATCH(data!BN$1,Haver_M!$B$1:$BZ$1,0),FALSE),"")</f>
        <v/>
      </c>
      <c r="BO155" t="str">
        <f>IF(ISNUMBER(VLOOKUP($A155,Haver_M!$B$1:$BZ$300,MATCH(data!BO$1,Haver_M!$B$1:$BZ$1,0),FALSE)),VLOOKUP($A155,Haver_M!$B$1:$BZ$300,MATCH(data!BO$1,Haver_M!$B$1:$BZ$1,0),FALSE),"")</f>
        <v/>
      </c>
      <c r="BP155" t="str">
        <f>IF(ISNUMBER(VLOOKUP($A155,Haver_M!$B$1:$BZ$300,MATCH(data!BP$1,Haver_M!$B$1:$BZ$1,0),FALSE)),VLOOKUP($A155,Haver_M!$B$1:$BZ$300,MATCH(data!BP$1,Haver_M!$B$1:$BZ$1,0),FALSE),"")</f>
        <v/>
      </c>
      <c r="BQ155">
        <f>IF(ISNUMBER(VLOOKUP($A155,Haver_M!$B$1:$BZ$300,MATCH(data!BQ$1,Haver_M!$B$1:$BZ$1,0),FALSE)),VLOOKUP($A155,Haver_M!$B$1:$BZ$300,MATCH(data!BQ$1,Haver_M!$B$1:$BZ$1,0),FALSE),"")</f>
        <v>157.23739672110125</v>
      </c>
      <c r="BR155">
        <f>IF(ISNUMBER(VLOOKUP($A155,Haver_M!$B$1:$BZ$300,MATCH(data!BR$1,Haver_M!$B$1:$BZ$1,0),FALSE)),VLOOKUP($A155,Haver_M!$B$1:$BZ$300,MATCH(data!BR$1,Haver_M!$B$1:$BZ$1,0),FALSE),"")</f>
        <v>383.33279898310008</v>
      </c>
      <c r="BS155">
        <f>IF(ISNUMBER(VLOOKUP($A155,Haver_M!$B$1:$BZ$300,MATCH(data!BS$1,Haver_M!$B$1:$BZ$1,0),FALSE)),VLOOKUP($A155,Haver_M!$B$1:$BZ$300,MATCH(data!BS$1,Haver_M!$B$1:$BZ$1,0),FALSE),"")</f>
        <v>193.29170430692577</v>
      </c>
      <c r="BT155">
        <f>IF(ISNUMBER(VLOOKUP($A155,Haver_M!$B$1:$BZ$300,MATCH(data!BT$1,Haver_M!$B$1:$BZ$1,0),FALSE)),VLOOKUP($A155,Haver_M!$B$1:$BZ$300,MATCH(data!BT$1,Haver_M!$B$1:$BZ$1,0),FALSE),"")</f>
        <v>837.01142315069251</v>
      </c>
      <c r="BU155">
        <f>IF(ISNUMBER(VLOOKUP($A155,Haver_M!$B$1:$BZ$300,MATCH(data!BU$1,Haver_M!$B$1:$BZ$1,0),FALSE)),VLOOKUP($A155,Haver_M!$B$1:$BZ$300,MATCH(data!BU$1,Haver_M!$B$1:$BZ$1,0),FALSE),"")</f>
        <v>24032.9</v>
      </c>
      <c r="BV155">
        <f>IF(ISNUMBER(VLOOKUP($A155,Haver_M!$B$1:$BZ$300,MATCH(data!BV$1,Haver_M!$B$1:$BZ$1,0),FALSE)),VLOOKUP($A155,Haver_M!$B$1:$BZ$300,MATCH(data!BV$1,Haver_M!$B$1:$BZ$1,0),FALSE),"")</f>
        <v>44243.75</v>
      </c>
      <c r="BW155">
        <f>IF(ISNUMBER(VLOOKUP($A155,Haver_M!$B$1:$BZ$300,MATCH(data!BW$1,Haver_M!$B$1:$BZ$1,0),FALSE)),VLOOKUP($A155,Haver_M!$B$1:$BZ$300,MATCH(data!BW$1,Haver_M!$B$1:$BZ$1,0),FALSE),"")</f>
        <v>53.023899999999998</v>
      </c>
      <c r="BX155">
        <f>IF(ISNUMBER(VLOOKUP($A155,Haver_M!$B$1:$BZ$300,MATCH(data!BX$1,Haver_M!$B$1:$BZ$1,0),FALSE)),VLOOKUP($A155,Haver_M!$B$1:$BZ$300,MATCH(data!BX$1,Haver_M!$B$1:$BZ$1,0),FALSE),"")</f>
        <v>69588</v>
      </c>
    </row>
    <row r="156" spans="1:76" x14ac:dyDescent="0.25">
      <c r="A156" s="2">
        <v>41243</v>
      </c>
      <c r="B156" t="str">
        <f>IF(ISNUMBER(VLOOKUP($A156,Haver_Q!$B$1:$L$185,MATCH(data!B$1,Haver_Q!$B$1:$L$1,0),FALSE)),100*(VLOOKUP($A156,Haver_Q!$B$1:$L$185,MATCH(data!B$1,Haver_Q!$B$1:$L$1,0),FALSE)),"")</f>
        <v/>
      </c>
      <c r="C156" t="str">
        <f>IF(ISNUMBER(VLOOKUP($A156,Haver_Q!$B$1:$L$185,MATCH(data!C$1,Haver_Q!$B$1:$L$1,0),FALSE)),100*(VLOOKUP($A156,Haver_Q!$B$1:$L$185,MATCH(data!C$1,Haver_Q!$B$1:$L$1,0),FALSE)),"")</f>
        <v/>
      </c>
      <c r="D156" t="str">
        <f>IF(ISNUMBER(VLOOKUP($A156,Haver_Q!$B$1:$L$185,MATCH(data!D$1,Haver_Q!$B$1:$L$1,0),FALSE)),100*(VLOOKUP($A156,Haver_Q!$B$1:$L$185,MATCH(data!D$1,Haver_Q!$B$1:$L$1,0),FALSE)),"")</f>
        <v/>
      </c>
      <c r="E156" t="str">
        <f>IF(ISNUMBER(VLOOKUP($A156,Haver_Q!$B$1:$L$185,MATCH(data!E$1,Haver_Q!$B$1:$L$1,0),FALSE)),100*(VLOOKUP($A156,Haver_Q!$B$1:$L$185,MATCH(data!E$1,Haver_Q!$B$1:$L$1,0),FALSE)),"")</f>
        <v/>
      </c>
      <c r="F156" t="str">
        <f>IF(ISNUMBER(VLOOKUP($A156,Haver_Q!$B$1:$L$185,MATCH(data!F$1,Haver_Q!$B$1:$L$1,0),FALSE)),100*(VLOOKUP($A156,Haver_Q!$B$1:$L$185,MATCH(data!F$1,Haver_Q!$B$1:$L$1,0),FALSE)),"")</f>
        <v/>
      </c>
      <c r="G156" t="str">
        <f>IF(ISNUMBER(VLOOKUP($A156,Haver_Q!$B$1:$L$185,MATCH(data!G$1,Haver_Q!$B$1:$L$1,0),FALSE)),100*(VLOOKUP($A156,Haver_Q!$B$1:$L$185,MATCH(data!G$1,Haver_Q!$B$1:$L$1,0),FALSE)),"")</f>
        <v/>
      </c>
      <c r="H156" t="str">
        <f>IF(ISNUMBER(VLOOKUP($A156,Haver_Q!$B$1:$L$185,MATCH(data!H$1,Haver_Q!$B$1:$L$1,0),FALSE)),(VLOOKUP($A156,Haver_Q!$B$1:$L$185,MATCH(data!H$1,Haver_Q!$B$1:$L$1,0),FALSE)),"")</f>
        <v/>
      </c>
      <c r="I156" t="str">
        <f>IF(ISNUMBER(VLOOKUP($A156,Haver_Q!$B$1:$L$185,MATCH(data!I$1,Haver_Q!$B$1:$L$1,0),FALSE)),100*(VLOOKUP($A156,Haver_Q!$B$1:$L$185,MATCH(data!I$1,Haver_Q!$B$1:$L$1,0),FALSE)),"")</f>
        <v/>
      </c>
      <c r="J156" s="3">
        <f>IF(ISNUMBER(Bloomberg_m!C172),Bloomberg_m!C172,"")</f>
        <v>1025</v>
      </c>
      <c r="K156" s="3">
        <f>IF(ISNUMBER(Bloomberg_m!D172),Bloomberg_m!D172,"")</f>
        <v>2040.1</v>
      </c>
      <c r="L156" s="3">
        <f>IF(ISNUMBER(Bloomberg_m!E172),Bloomberg_m!E172,"")</f>
        <v>1148</v>
      </c>
      <c r="M156" s="3">
        <f>IF(ISNUMBER(Bloomberg_m!F172),Bloomberg_m!F172,"")</f>
        <v>386.85</v>
      </c>
      <c r="N156">
        <f>IF(ISNUMBER(VLOOKUP($A156,Haver_M!$B$1:$BZ$300,MATCH(data!N$1,Haver_M!$B$1:$BZ$1,0),FALSE)),VLOOKUP($A156,Haver_M!$B$1:$BZ$300,MATCH(data!N$1,Haver_M!$B$1:$BZ$1,0),FALSE),"")</f>
        <v>8</v>
      </c>
      <c r="O156">
        <f>IF(ISNUMBER(VLOOKUP($A156,Haver_M!$B$1:$BZ$300,MATCH(data!O$1,Haver_M!$B$1:$BZ$1,0),FALSE)),VLOOKUP($A156,Haver_M!$B$1:$BZ$300,MATCH(data!O$1,Haver_M!$B$1:$BZ$1,0),FALSE),"")</f>
        <v>8.1981000000000002</v>
      </c>
      <c r="P156">
        <f>IF(ISNUMBER(VLOOKUP($A156,Haver_M!$B$1:$BZ$300,MATCH(data!P$1,Haver_M!$B$1:$BZ$1,0),FALSE)),VLOOKUP($A156,Haver_M!$B$1:$BZ$300,MATCH(data!P$1,Haver_M!$B$1:$BZ$1,0),FALSE),"")</f>
        <v>91.33314</v>
      </c>
      <c r="Q156">
        <f>IF(ISNUMBER(VLOOKUP($A156,Haver_M!$B$1:$BZ$300,MATCH(data!Q$1,Haver_M!$B$1:$BZ$1,0),FALSE)),VLOOKUP($A156,Haver_M!$B$1:$BZ$300,MATCH(data!Q$1,Haver_M!$B$1:$BZ$1,0),FALSE),"")</f>
        <v>104.3</v>
      </c>
      <c r="R156">
        <f>IF(ISNUMBER(VLOOKUP($A156,Haver_M!$B$1:$BZ$300,MATCH(data!R$1,Haver_M!$B$1:$BZ$1,0),FALSE)),VLOOKUP($A156,Haver_M!$B$1:$BZ$300,MATCH(data!R$1,Haver_M!$B$1:$BZ$1,0),FALSE),"")</f>
        <v>103.6</v>
      </c>
      <c r="S156">
        <f>IF(ISNUMBER(VLOOKUP($A156,Haver_M!$B$1:$BZ$300,MATCH(data!S$1,Haver_M!$B$1:$BZ$1,0),FALSE)),VLOOKUP($A156,Haver_M!$B$1:$BZ$300,MATCH(data!S$1,Haver_M!$B$1:$BZ$1,0),FALSE),"")</f>
        <v>103.51</v>
      </c>
      <c r="T156">
        <f>IF(ISNUMBER(VLOOKUP($A156,Haver_M!$B$1:$BZ$300,MATCH(data!T$1,Haver_M!$B$1:$BZ$1,0),FALSE)),VLOOKUP($A156,Haver_M!$B$1:$BZ$300,MATCH(data!T$1,Haver_M!$B$1:$BZ$1,0),FALSE),"")</f>
        <v>100.71</v>
      </c>
      <c r="U156">
        <f>IF(ISNUMBER(VLOOKUP($A156,Haver_M!$B$1:$BZ$300,MATCH(data!U$1,Haver_M!$B$1:$BZ$1,0),FALSE)),VLOOKUP($A156,Haver_M!$B$1:$BZ$300,MATCH(data!U$1,Haver_M!$B$1:$BZ$1,0),FALSE),"")</f>
        <v>96.75</v>
      </c>
      <c r="V156">
        <f>IF(ISNUMBER(VLOOKUP($A156,Haver_M!$B$1:$BZ$300,MATCH(data!V$1,Haver_M!$B$1:$BZ$1,0),FALSE)),VLOOKUP($A156,Haver_M!$B$1:$BZ$300,MATCH(data!V$1,Haver_M!$B$1:$BZ$1,0),FALSE),"")</f>
        <v>105.6</v>
      </c>
      <c r="W156">
        <f>IF(ISNUMBER(VLOOKUP($A156,Haver_M!$B$1:$BZ$300,MATCH(data!W$1,Haver_M!$B$1:$BZ$1,0),FALSE)),VLOOKUP($A156,Haver_M!$B$1:$BZ$300,MATCH(data!W$1,Haver_M!$B$1:$BZ$1,0),FALSE),"")</f>
        <v>106.21</v>
      </c>
      <c r="X156">
        <f>IF(ISNUMBER(VLOOKUP($A156,Haver_M!$B$1:$BZ$300,MATCH(data!X$1,Haver_M!$B$1:$BZ$1,0),FALSE)),VLOOKUP($A156,Haver_M!$B$1:$BZ$300,MATCH(data!X$1,Haver_M!$B$1:$BZ$1,0),FALSE),"")</f>
        <v>102.05</v>
      </c>
      <c r="Y156">
        <f>IF(ISNUMBER(VLOOKUP($A156,Haver_M!$B$1:$BZ$300,MATCH(data!Y$1,Haver_M!$B$1:$BZ$1,0),FALSE)),VLOOKUP($A156,Haver_M!$B$1:$BZ$300,MATCH(data!Y$1,Haver_M!$B$1:$BZ$1,0),FALSE),"")</f>
        <v>108.35</v>
      </c>
      <c r="Z156">
        <f>IF(ISNUMBER(VLOOKUP($A156,Haver_M!$B$1:$BZ$300,MATCH(data!Z$1,Haver_M!$B$1:$BZ$1,0),FALSE)),VLOOKUP($A156,Haver_M!$B$1:$BZ$300,MATCH(data!Z$1,Haver_M!$B$1:$BZ$1,0),FALSE),"")</f>
        <v>104.5</v>
      </c>
      <c r="AA156">
        <f>IF(ISNUMBER(VLOOKUP($A156,Haver_M!$B$1:$BZ$300,MATCH(data!AA$1,Haver_M!$B$1:$BZ$1,0),FALSE)),VLOOKUP($A156,Haver_M!$B$1:$BZ$300,MATCH(data!AA$1,Haver_M!$B$1:$BZ$1,0),FALSE),"")</f>
        <v>101.193</v>
      </c>
      <c r="AB156">
        <f>IF(ISNUMBER(VLOOKUP($A156,Haver_M!$B$1:$BZ$300,MATCH(data!AB$1,Haver_M!$B$1:$BZ$1,0),FALSE)),VLOOKUP($A156,Haver_M!$B$1:$BZ$300,MATCH(data!AB$1,Haver_M!$B$1:$BZ$1,0),FALSE),"")</f>
        <v>98.340999999999994</v>
      </c>
      <c r="AC156">
        <f>IF(ISNUMBER(VLOOKUP($A156,Haver_M!$B$1:$BZ$300,MATCH(data!AC$1,Haver_M!$B$1:$BZ$1,0),FALSE)),VLOOKUP($A156,Haver_M!$B$1:$BZ$300,MATCH(data!AC$1,Haver_M!$B$1:$BZ$1,0),FALSE),"")</f>
        <v>82.141999999999996</v>
      </c>
      <c r="AD156">
        <f>IF(ISNUMBER(VLOOKUP($A156,Haver_M!$B$1:$BZ$300,MATCH(data!AD$1,Haver_M!$B$1:$BZ$1,0),FALSE)),VLOOKUP($A156,Haver_M!$B$1:$BZ$300,MATCH(data!AD$1,Haver_M!$B$1:$BZ$1,0),FALSE),"")</f>
        <v>109.88</v>
      </c>
      <c r="AE156">
        <f>IF(ISNUMBER(VLOOKUP($A156,Haver_M!$B$1:$BZ$300,MATCH(data!AE$1,Haver_M!$B$1:$BZ$1,0),FALSE)),VLOOKUP($A156,Haver_M!$B$1:$BZ$300,MATCH(data!AE$1,Haver_M!$B$1:$BZ$1,0),FALSE),"")</f>
        <v>100.313</v>
      </c>
      <c r="AF156">
        <f>IF(ISNUMBER(VLOOKUP($A156,Haver_M!$B$1:$BZ$300,MATCH(data!AF$1,Haver_M!$B$1:$BZ$1,0),FALSE)),VLOOKUP($A156,Haver_M!$B$1:$BZ$300,MATCH(data!AF$1,Haver_M!$B$1:$BZ$1,0),FALSE),"")</f>
        <v>110.099</v>
      </c>
      <c r="AG156">
        <f>IF(ISNUMBER(VLOOKUP($A156,Haver_M!$B$1:$BZ$300,MATCH(data!AG$1,Haver_M!$B$1:$BZ$1,0),FALSE)),VLOOKUP($A156,Haver_M!$B$1:$BZ$300,MATCH(data!AG$1,Haver_M!$B$1:$BZ$1,0),FALSE),"")</f>
        <v>107.99</v>
      </c>
      <c r="AH156">
        <f>IF(ISNUMBER(VLOOKUP($A156,Haver_M!$B$1:$BZ$300,MATCH(data!AH$1,Haver_M!$B$1:$BZ$1,0),FALSE)),VLOOKUP($A156,Haver_M!$B$1:$BZ$300,MATCH(data!AH$1,Haver_M!$B$1:$BZ$1,0),FALSE),"")</f>
        <v>105.068</v>
      </c>
      <c r="AI156">
        <f>IF(ISNUMBER(VLOOKUP($A156,Haver_M!$B$1:$BZ$300,MATCH(data!AI$1,Haver_M!$B$1:$BZ$1,0),FALSE)),VLOOKUP($A156,Haver_M!$B$1:$BZ$300,MATCH(data!AI$1,Haver_M!$B$1:$BZ$1,0),FALSE),"")</f>
        <v>13320.56246792504</v>
      </c>
      <c r="AJ156">
        <f>IF(ISNUMBER(VLOOKUP($A156,Haver_M!$B$1:$BZ$300,MATCH(data!AJ$1,Haver_M!$B$1:$BZ$1,0),FALSE)),VLOOKUP($A156,Haver_M!$B$1:$BZ$300,MATCH(data!AJ$1,Haver_M!$B$1:$BZ$1,0),FALSE),"")</f>
        <v>25173.33</v>
      </c>
      <c r="AK156">
        <f>IF(ISNUMBER(VLOOKUP($A156,Haver_M!$B$1:$BZ$300,MATCH(data!AK$1,Haver_M!$B$1:$BZ$1,0),FALSE)),VLOOKUP($A156,Haver_M!$B$1:$BZ$300,MATCH(data!AK$1,Haver_M!$B$1:$BZ$1,0),FALSE),"")</f>
        <v>42324.5</v>
      </c>
      <c r="AL156">
        <f>IF(ISNUMBER(VLOOKUP($A156,Haver_M!$B$1:$BZ$300,MATCH(data!AL$1,Haver_M!$B$1:$BZ$1,0),FALSE)),VLOOKUP($A156,Haver_M!$B$1:$BZ$300,MATCH(data!AL$1,Haver_M!$B$1:$BZ$1,0),FALSE),"")</f>
        <v>12029</v>
      </c>
      <c r="AM156">
        <f>IF(ISNUMBER(VLOOKUP($A156,Haver_M!$B$1:$BZ$300,MATCH(data!AM$1,Haver_M!$B$1:$BZ$1,0),FALSE)),VLOOKUP($A156,Haver_M!$B$1:$BZ$300,MATCH(data!AM$1,Haver_M!$B$1:$BZ$1,0),FALSE),"")</f>
        <v>6618</v>
      </c>
      <c r="AN156" t="str">
        <f>IF(ISNUMBER(VLOOKUP($A156,Haver_M!$B$1:$BZ$300,MATCH(data!AN$1,Haver_M!$B$1:$BZ$1,0),FALSE)),VLOOKUP($A156,Haver_M!$B$1:$BZ$300,MATCH(data!AN$1,Haver_M!$B$1:$BZ$1,0),FALSE),"")</f>
        <v/>
      </c>
      <c r="AO156" t="str">
        <f>IF(ISNUMBER(VLOOKUP($A156,Haver_M!$B$1:$BZ$300,MATCH(data!AO$1,Haver_M!$B$1:$BZ$1,0),FALSE)),VLOOKUP($A156,Haver_M!$B$1:$BZ$300,MATCH(data!AO$1,Haver_M!$B$1:$BZ$1,0),FALSE),"")</f>
        <v/>
      </c>
      <c r="AP156">
        <f>IF(ISNUMBER(VLOOKUP($A156,Haver_M!$B$1:$BZ$300,MATCH(data!AP$1,Haver_M!$B$1:$BZ$1,0),FALSE)),VLOOKUP($A156,Haver_M!$B$1:$BZ$300,MATCH(data!AP$1,Haver_M!$B$1:$BZ$1,0),FALSE),"")</f>
        <v>149.58160224625718</v>
      </c>
      <c r="AQ156">
        <f>IF(ISNUMBER(VLOOKUP($A156,Haver_M!$B$1:$BZ$300,MATCH(data!AQ$1,Haver_M!$B$1:$BZ$1,0),FALSE)),VLOOKUP($A156,Haver_M!$B$1:$BZ$300,MATCH(data!AQ$1,Haver_M!$B$1:$BZ$1,0),FALSE),"")</f>
        <v>53.2012</v>
      </c>
      <c r="AR156">
        <f>IF(ISNUMBER(VLOOKUP($A156,Haver_M!$B$1:$BZ$300,MATCH(data!AR$1,Haver_M!$B$1:$BZ$1,0),FALSE)),VLOOKUP($A156,Haver_M!$B$1:$BZ$300,MATCH(data!AR$1,Haver_M!$B$1:$BZ$1,0),FALSE),"")</f>
        <v>53.697099999999999</v>
      </c>
      <c r="AS156">
        <f>IF(ISNUMBER(VLOOKUP($A156,Haver_M!$B$1:$BZ$300,MATCH(data!AS$1,Haver_M!$B$1:$BZ$1,0),FALSE)),VLOOKUP($A156,Haver_M!$B$1:$BZ$300,MATCH(data!AS$1,Haver_M!$B$1:$BZ$1,0),FALSE),"")</f>
        <v>52.124099999999999</v>
      </c>
      <c r="AT156">
        <f>IF(ISNUMBER(VLOOKUP($A156,Haver_M!$B$1:$BZ$300,MATCH(data!AT$1,Haver_M!$B$1:$BZ$1,0),FALSE)),VLOOKUP($A156,Haver_M!$B$1:$BZ$300,MATCH(data!AT$1,Haver_M!$B$1:$BZ$1,0),FALSE),"")</f>
        <v>55.436900000000001</v>
      </c>
      <c r="AU156">
        <f>IF(ISNUMBER(VLOOKUP($A156,Haver_M!$B$1:$BZ$300,MATCH(data!AU$1,Haver_M!$B$1:$BZ$1,0),FALSE)),VLOOKUP($A156,Haver_M!$B$1:$BZ$300,MATCH(data!AU$1,Haver_M!$B$1:$BZ$1,0),FALSE),"")</f>
        <v>55.8048</v>
      </c>
      <c r="AV156">
        <f>IF(ISNUMBER(VLOOKUP($A156,Haver_M!$B$1:$BZ$300,MATCH(data!AV$1,Haver_M!$B$1:$BZ$1,0),FALSE)),VLOOKUP($A156,Haver_M!$B$1:$BZ$300,MATCH(data!AV$1,Haver_M!$B$1:$BZ$1,0),FALSE),"")</f>
        <v>51.440199999999997</v>
      </c>
      <c r="AW156">
        <f>IF(ISNUMBER(VLOOKUP($A156,Haver_M!$B$1:$BZ$300,MATCH(data!AW$1,Haver_M!$B$1:$BZ$1,0),FALSE)),VLOOKUP($A156,Haver_M!$B$1:$BZ$300,MATCH(data!AW$1,Haver_M!$B$1:$BZ$1,0),FALSE),"")</f>
        <v>50.846200000000003</v>
      </c>
      <c r="AX156">
        <f>IF(ISNUMBER(VLOOKUP($A156,Haver_M!$B$1:$BZ$300,MATCH(data!AX$1,Haver_M!$B$1:$BZ$1,0),FALSE)),VLOOKUP($A156,Haver_M!$B$1:$BZ$300,MATCH(data!AX$1,Haver_M!$B$1:$BZ$1,0),FALSE),"")</f>
        <v>54.353099999999998</v>
      </c>
      <c r="AY156">
        <f>IF(ISNUMBER(VLOOKUP($A156,Haver_M!$B$1:$BZ$300,MATCH(data!AY$1,Haver_M!$B$1:$BZ$1,0),FALSE)),VLOOKUP($A156,Haver_M!$B$1:$BZ$300,MATCH(data!AY$1,Haver_M!$B$1:$BZ$1,0),FALSE),"")</f>
        <v>59.994199999999999</v>
      </c>
      <c r="AZ156">
        <f>IF(ISNUMBER(VLOOKUP($A156,Haver_M!$B$1:$BZ$300,MATCH(data!AZ$1,Haver_M!$B$1:$BZ$1,0),FALSE)),VLOOKUP($A156,Haver_M!$B$1:$BZ$300,MATCH(data!AZ$1,Haver_M!$B$1:$BZ$1,0),FALSE),"")</f>
        <v>55.305700000000002</v>
      </c>
      <c r="BA156">
        <f>IF(ISNUMBER(VLOOKUP($A156,Haver_M!$B$1:$BZ$300,MATCH(data!BA$1,Haver_M!$B$1:$BZ$1,0),FALSE)),VLOOKUP($A156,Haver_M!$B$1:$BZ$300,MATCH(data!BA$1,Haver_M!$B$1:$BZ$1,0),FALSE),"")</f>
        <v>54.353099999999998</v>
      </c>
      <c r="BB156">
        <f>IF(ISNUMBER(VLOOKUP($A156,Haver_M!$B$1:$BZ$300,MATCH(data!BB$1,Haver_M!$B$1:$BZ$1,0),FALSE)),VLOOKUP($A156,Haver_M!$B$1:$BZ$300,MATCH(data!BB$1,Haver_M!$B$1:$BZ$1,0),FALSE),"")</f>
        <v>55.907699999999998</v>
      </c>
      <c r="BC156">
        <f>IF(ISNUMBER(VLOOKUP($A156,Haver_M!$B$1:$BZ$300,MATCH(data!BC$1,Haver_M!$B$1:$BZ$1,0),FALSE)),VLOOKUP($A156,Haver_M!$B$1:$BZ$300,MATCH(data!BC$1,Haver_M!$B$1:$BZ$1,0),FALSE),"")</f>
        <v>56.020299999999999</v>
      </c>
      <c r="BD156">
        <f>IF(ISNUMBER(VLOOKUP($A156,Haver_M!$B$1:$BZ$300,MATCH(data!BD$1,Haver_M!$B$1:$BZ$1,0),FALSE)),VLOOKUP($A156,Haver_M!$B$1:$BZ$300,MATCH(data!BD$1,Haver_M!$B$1:$BZ$1,0),FALSE),"")</f>
        <v>54.122</v>
      </c>
      <c r="BE156">
        <f>IF(ISNUMBER(VLOOKUP($A156,Haver_M!$B$1:$BZ$300,MATCH(data!BE$1,Haver_M!$B$1:$BZ$1,0),FALSE)),VLOOKUP($A156,Haver_M!$B$1:$BZ$300,MATCH(data!BE$1,Haver_M!$B$1:$BZ$1,0),FALSE),"")</f>
        <v>1.2331000000000001</v>
      </c>
      <c r="BF156">
        <f>IF(ISNUMBER(VLOOKUP($A156,Haver_M!$B$1:$BZ$300,MATCH(data!BF$1,Haver_M!$B$1:$BZ$1,0),FALSE)),VLOOKUP($A156,Haver_M!$B$1:$BZ$300,MATCH(data!BF$1,Haver_M!$B$1:$BZ$1,0),FALSE),"")</f>
        <v>50.686300000000003</v>
      </c>
      <c r="BG156">
        <f>IF(ISNUMBER(VLOOKUP($A156,Haver_M!$B$1:$BZ$300,MATCH(data!BG$1,Haver_M!$B$1:$BZ$1,0),FALSE)),VLOOKUP($A156,Haver_M!$B$1:$BZ$300,MATCH(data!BG$1,Haver_M!$B$1:$BZ$1,0),FALSE),"")</f>
        <v>54.332900000000002</v>
      </c>
      <c r="BH156">
        <f>IF(ISNUMBER(VLOOKUP($A156,Haver_M!$B$1:$BZ$300,MATCH(data!BH$1,Haver_M!$B$1:$BZ$1,0),FALSE)),VLOOKUP($A156,Haver_M!$B$1:$BZ$300,MATCH(data!BH$1,Haver_M!$B$1:$BZ$1,0),FALSE),"")</f>
        <v>54.938400000000001</v>
      </c>
      <c r="BI156">
        <f>IF(ISNUMBER(VLOOKUP($A156,Haver_M!$B$1:$BZ$300,MATCH(data!BI$1,Haver_M!$B$1:$BZ$1,0),FALSE)),VLOOKUP($A156,Haver_M!$B$1:$BZ$300,MATCH(data!BI$1,Haver_M!$B$1:$BZ$1,0),FALSE),"")</f>
        <v>54.793100000000003</v>
      </c>
      <c r="BJ156" t="str">
        <f>IF(ISNUMBER(VLOOKUP($A156,Haver_M!$B$1:$BZ$300,MATCH(data!BJ$1,Haver_M!$B$1:$BZ$1,0),FALSE)),VLOOKUP($A156,Haver_M!$B$1:$BZ$300,MATCH(data!BJ$1,Haver_M!$B$1:$BZ$1,0),FALSE),"")</f>
        <v/>
      </c>
      <c r="BK156">
        <f>IF(ISNUMBER(VLOOKUP($A156,Haver_M!$B$1:$BZ$300,MATCH(data!BK$1,Haver_M!$B$1:$BZ$1,0),FALSE)),VLOOKUP($A156,Haver_M!$B$1:$BZ$300,MATCH(data!BK$1,Haver_M!$B$1:$BZ$1,0),FALSE),"")</f>
        <v>49.5199</v>
      </c>
      <c r="BL156">
        <f>IF(ISNUMBER(VLOOKUP($A156,Haver_M!$B$1:$BZ$300,MATCH(data!BL$1,Haver_M!$B$1:$BZ$1,0),FALSE)),VLOOKUP($A156,Haver_M!$B$1:$BZ$300,MATCH(data!BL$1,Haver_M!$B$1:$BZ$1,0),FALSE),"")</f>
        <v>18672.11</v>
      </c>
      <c r="BM156">
        <f>IF(ISNUMBER(VLOOKUP($A156,Haver_M!$B$1:$BZ$300,MATCH(data!BM$1,Haver_M!$B$1:$BZ$1,0),FALSE)),VLOOKUP($A156,Haver_M!$B$1:$BZ$300,MATCH(data!BM$1,Haver_M!$B$1:$BZ$1,0),FALSE),"")</f>
        <v>98.070616599999994</v>
      </c>
      <c r="BN156" t="str">
        <f>IF(ISNUMBER(VLOOKUP($A156,Haver_M!$B$1:$BZ$300,MATCH(data!BN$1,Haver_M!$B$1:$BZ$1,0),FALSE)),VLOOKUP($A156,Haver_M!$B$1:$BZ$300,MATCH(data!BN$1,Haver_M!$B$1:$BZ$1,0),FALSE),"")</f>
        <v/>
      </c>
      <c r="BO156" t="str">
        <f>IF(ISNUMBER(VLOOKUP($A156,Haver_M!$B$1:$BZ$300,MATCH(data!BO$1,Haver_M!$B$1:$BZ$1,0),FALSE)),VLOOKUP($A156,Haver_M!$B$1:$BZ$300,MATCH(data!BO$1,Haver_M!$B$1:$BZ$1,0),FALSE),"")</f>
        <v/>
      </c>
      <c r="BP156" t="str">
        <f>IF(ISNUMBER(VLOOKUP($A156,Haver_M!$B$1:$BZ$300,MATCH(data!BP$1,Haver_M!$B$1:$BZ$1,0),FALSE)),VLOOKUP($A156,Haver_M!$B$1:$BZ$300,MATCH(data!BP$1,Haver_M!$B$1:$BZ$1,0),FALSE),"")</f>
        <v/>
      </c>
      <c r="BQ156">
        <f>IF(ISNUMBER(VLOOKUP($A156,Haver_M!$B$1:$BZ$300,MATCH(data!BQ$1,Haver_M!$B$1:$BZ$1,0),FALSE)),VLOOKUP($A156,Haver_M!$B$1:$BZ$300,MATCH(data!BQ$1,Haver_M!$B$1:$BZ$1,0),FALSE),"")</f>
        <v>156.00192055615801</v>
      </c>
      <c r="BR156">
        <f>IF(ISNUMBER(VLOOKUP($A156,Haver_M!$B$1:$BZ$300,MATCH(data!BR$1,Haver_M!$B$1:$BZ$1,0),FALSE)),VLOOKUP($A156,Haver_M!$B$1:$BZ$300,MATCH(data!BR$1,Haver_M!$B$1:$BZ$1,0),FALSE),"")</f>
        <v>380.99781290277826</v>
      </c>
      <c r="BS156">
        <f>IF(ISNUMBER(VLOOKUP($A156,Haver_M!$B$1:$BZ$300,MATCH(data!BS$1,Haver_M!$B$1:$BZ$1,0),FALSE)),VLOOKUP($A156,Haver_M!$B$1:$BZ$300,MATCH(data!BS$1,Haver_M!$B$1:$BZ$1,0),FALSE),"")</f>
        <v>192.52261034982604</v>
      </c>
      <c r="BT156">
        <f>IF(ISNUMBER(VLOOKUP($A156,Haver_M!$B$1:$BZ$300,MATCH(data!BT$1,Haver_M!$B$1:$BZ$1,0),FALSE)),VLOOKUP($A156,Haver_M!$B$1:$BZ$300,MATCH(data!BT$1,Haver_M!$B$1:$BZ$1,0),FALSE),"")</f>
        <v>831.61341322262763</v>
      </c>
      <c r="BU156">
        <f>IF(ISNUMBER(VLOOKUP($A156,Haver_M!$B$1:$BZ$300,MATCH(data!BU$1,Haver_M!$B$1:$BZ$1,0),FALSE)),VLOOKUP($A156,Haver_M!$B$1:$BZ$300,MATCH(data!BU$1,Haver_M!$B$1:$BZ$1,0),FALSE),"")</f>
        <v>23250.94</v>
      </c>
      <c r="BV156">
        <f>IF(ISNUMBER(VLOOKUP($A156,Haver_M!$B$1:$BZ$300,MATCH(data!BV$1,Haver_M!$B$1:$BZ$1,0),FALSE)),VLOOKUP($A156,Haver_M!$B$1:$BZ$300,MATCH(data!BV$1,Haver_M!$B$1:$BZ$1,0),FALSE),"")</f>
        <v>40454.01</v>
      </c>
      <c r="BW156">
        <f>IF(ISNUMBER(VLOOKUP($A156,Haver_M!$B$1:$BZ$300,MATCH(data!BW$1,Haver_M!$B$1:$BZ$1,0),FALSE)),VLOOKUP($A156,Haver_M!$B$1:$BZ$300,MATCH(data!BW$1,Haver_M!$B$1:$BZ$1,0),FALSE),"")</f>
        <v>54.775799999999997</v>
      </c>
      <c r="BX156">
        <f>IF(ISNUMBER(VLOOKUP($A156,Haver_M!$B$1:$BZ$300,MATCH(data!BX$1,Haver_M!$B$1:$BZ$1,0),FALSE)),VLOOKUP($A156,Haver_M!$B$1:$BZ$300,MATCH(data!BX$1,Haver_M!$B$1:$BZ$1,0),FALSE),"")</f>
        <v>68322</v>
      </c>
    </row>
    <row r="157" spans="1:76" x14ac:dyDescent="0.25">
      <c r="A157" s="2">
        <v>41274</v>
      </c>
      <c r="B157">
        <f>IF(ISNUMBER(VLOOKUP($A157,Haver_Q!$B$1:$L$185,MATCH(data!B$1,Haver_Q!$B$1:$L$1,0),FALSE)),100*(VLOOKUP($A157,Haver_Q!$B$1:$L$185,MATCH(data!B$1,Haver_Q!$B$1:$L$1,0),FALSE)),"")</f>
        <v>7.0289931210353984</v>
      </c>
      <c r="C157">
        <f>IF(ISNUMBER(VLOOKUP($A157,Haver_Q!$B$1:$L$185,MATCH(data!C$1,Haver_Q!$B$1:$L$1,0),FALSE)),100*(VLOOKUP($A157,Haver_Q!$B$1:$L$185,MATCH(data!C$1,Haver_Q!$B$1:$L$1,0),FALSE)),"")</f>
        <v>11.282447240575856</v>
      </c>
      <c r="D157">
        <f>IF(ISNUMBER(VLOOKUP($A157,Haver_Q!$B$1:$L$185,MATCH(data!D$1,Haver_Q!$B$1:$L$1,0),FALSE)),100*(VLOOKUP($A157,Haver_Q!$B$1:$L$185,MATCH(data!D$1,Haver_Q!$B$1:$L$1,0),FALSE)),"")</f>
        <v>-51.813907728256282</v>
      </c>
      <c r="E157">
        <f>IF(ISNUMBER(VLOOKUP($A157,Haver_Q!$B$1:$L$185,MATCH(data!E$1,Haver_Q!$B$1:$L$1,0),FALSE)),100*(VLOOKUP($A157,Haver_Q!$B$1:$L$185,MATCH(data!E$1,Haver_Q!$B$1:$L$1,0),FALSE)),"")</f>
        <v>-1.7528617532330593</v>
      </c>
      <c r="F157">
        <f>IF(ISNUMBER(VLOOKUP($A157,Haver_Q!$B$1:$L$185,MATCH(data!F$1,Haver_Q!$B$1:$L$1,0),FALSE)),100*(VLOOKUP($A157,Haver_Q!$B$1:$L$185,MATCH(data!F$1,Haver_Q!$B$1:$L$1,0),FALSE)),"")</f>
        <v>-55.320419975405656</v>
      </c>
      <c r="G157">
        <f>IF(ISNUMBER(VLOOKUP($A157,Haver_Q!$B$1:$L$185,MATCH(data!G$1,Haver_Q!$B$1:$L$1,0),FALSE)),100*(VLOOKUP($A157,Haver_Q!$B$1:$L$185,MATCH(data!G$1,Haver_Q!$B$1:$L$1,0),FALSE)),"")</f>
        <v>-0.88755441612061725</v>
      </c>
      <c r="H157">
        <f>IF(ISNUMBER(VLOOKUP($A157,Haver_Q!$B$1:$L$185,MATCH(data!H$1,Haver_Q!$B$1:$L$1,0),FALSE)),(VLOOKUP($A157,Haver_Q!$B$1:$L$185,MATCH(data!H$1,Haver_Q!$B$1:$L$1,0),FALSE)),"")</f>
        <v>2.8000030370659932</v>
      </c>
      <c r="I157">
        <f>IF(ISNUMBER(VLOOKUP($A157,Haver_Q!$B$1:$L$185,MATCH(data!I$1,Haver_Q!$B$1:$L$1,0),FALSE)),100*(VLOOKUP($A157,Haver_Q!$B$1:$L$185,MATCH(data!I$1,Haver_Q!$B$1:$L$1,0),FALSE)),"")</f>
        <v>5.3763928930154803</v>
      </c>
      <c r="J157" s="3">
        <f>IF(ISNUMBER(Bloomberg_m!C173),Bloomberg_m!C173,"")</f>
        <v>856</v>
      </c>
      <c r="K157" s="3">
        <f>IF(ISNUMBER(Bloomberg_m!D173),Bloomberg_m!D173,"")</f>
        <v>1915.01</v>
      </c>
      <c r="L157" s="3">
        <f>IF(ISNUMBER(Bloomberg_m!E173),Bloomberg_m!E173,"")</f>
        <v>1127.06</v>
      </c>
      <c r="M157" s="3">
        <f>IF(ISNUMBER(Bloomberg_m!F173),Bloomberg_m!F173,"")</f>
        <v>398.23</v>
      </c>
      <c r="N157">
        <f>IF(ISNUMBER(VLOOKUP($A157,Haver_M!$B$1:$BZ$300,MATCH(data!N$1,Haver_M!$B$1:$BZ$1,0),FALSE)),VLOOKUP($A157,Haver_M!$B$1:$BZ$300,MATCH(data!N$1,Haver_M!$B$1:$BZ$1,0),FALSE),"")</f>
        <v>8</v>
      </c>
      <c r="O157">
        <f>IF(ISNUMBER(VLOOKUP($A157,Haver_M!$B$1:$BZ$300,MATCH(data!O$1,Haver_M!$B$1:$BZ$1,0),FALSE)),VLOOKUP($A157,Haver_M!$B$1:$BZ$300,MATCH(data!O$1,Haver_M!$B$1:$BZ$1,0),FALSE),"")</f>
        <v>8.2003000000000004</v>
      </c>
      <c r="P157">
        <f>IF(ISNUMBER(VLOOKUP($A157,Haver_M!$B$1:$BZ$300,MATCH(data!P$1,Haver_M!$B$1:$BZ$1,0),FALSE)),VLOOKUP($A157,Haver_M!$B$1:$BZ$300,MATCH(data!P$1,Haver_M!$B$1:$BZ$1,0),FALSE),"")</f>
        <v>90.728390000000005</v>
      </c>
      <c r="Q157">
        <f>IF(ISNUMBER(VLOOKUP($A157,Haver_M!$B$1:$BZ$300,MATCH(data!Q$1,Haver_M!$B$1:$BZ$1,0),FALSE)),VLOOKUP($A157,Haver_M!$B$1:$BZ$300,MATCH(data!Q$1,Haver_M!$B$1:$BZ$1,0),FALSE),"")</f>
        <v>104.6</v>
      </c>
      <c r="R157">
        <f>IF(ISNUMBER(VLOOKUP($A157,Haver_M!$B$1:$BZ$300,MATCH(data!R$1,Haver_M!$B$1:$BZ$1,0),FALSE)),VLOOKUP($A157,Haver_M!$B$1:$BZ$300,MATCH(data!R$1,Haver_M!$B$1:$BZ$1,0),FALSE),"")</f>
        <v>104.2</v>
      </c>
      <c r="S157">
        <f>IF(ISNUMBER(VLOOKUP($A157,Haver_M!$B$1:$BZ$300,MATCH(data!S$1,Haver_M!$B$1:$BZ$1,0),FALSE)),VLOOKUP($A157,Haver_M!$B$1:$BZ$300,MATCH(data!S$1,Haver_M!$B$1:$BZ$1,0),FALSE),"")</f>
        <v>103.53</v>
      </c>
      <c r="T157">
        <f>IF(ISNUMBER(VLOOKUP($A157,Haver_M!$B$1:$BZ$300,MATCH(data!T$1,Haver_M!$B$1:$BZ$1,0),FALSE)),VLOOKUP($A157,Haver_M!$B$1:$BZ$300,MATCH(data!T$1,Haver_M!$B$1:$BZ$1,0),FALSE),"")</f>
        <v>100.8</v>
      </c>
      <c r="U157">
        <f>IF(ISNUMBER(VLOOKUP($A157,Haver_M!$B$1:$BZ$300,MATCH(data!U$1,Haver_M!$B$1:$BZ$1,0),FALSE)),VLOOKUP($A157,Haver_M!$B$1:$BZ$300,MATCH(data!U$1,Haver_M!$B$1:$BZ$1,0),FALSE),"")</f>
        <v>99.88</v>
      </c>
      <c r="V157">
        <f>IF(ISNUMBER(VLOOKUP($A157,Haver_M!$B$1:$BZ$300,MATCH(data!V$1,Haver_M!$B$1:$BZ$1,0),FALSE)),VLOOKUP($A157,Haver_M!$B$1:$BZ$300,MATCH(data!V$1,Haver_M!$B$1:$BZ$1,0),FALSE),"")</f>
        <v>106.1</v>
      </c>
      <c r="W157">
        <f>IF(ISNUMBER(VLOOKUP($A157,Haver_M!$B$1:$BZ$300,MATCH(data!W$1,Haver_M!$B$1:$BZ$1,0),FALSE)),VLOOKUP($A157,Haver_M!$B$1:$BZ$300,MATCH(data!W$1,Haver_M!$B$1:$BZ$1,0),FALSE),"")</f>
        <v>107.99</v>
      </c>
      <c r="X157">
        <f>IF(ISNUMBER(VLOOKUP($A157,Haver_M!$B$1:$BZ$300,MATCH(data!X$1,Haver_M!$B$1:$BZ$1,0),FALSE)),VLOOKUP($A157,Haver_M!$B$1:$BZ$300,MATCH(data!X$1,Haver_M!$B$1:$BZ$1,0),FALSE),"")</f>
        <v>104.84</v>
      </c>
      <c r="Y157">
        <f>IF(ISNUMBER(VLOOKUP($A157,Haver_M!$B$1:$BZ$300,MATCH(data!Y$1,Haver_M!$B$1:$BZ$1,0),FALSE)),VLOOKUP($A157,Haver_M!$B$1:$BZ$300,MATCH(data!Y$1,Haver_M!$B$1:$BZ$1,0),FALSE),"")</f>
        <v>105.48</v>
      </c>
      <c r="Z157">
        <f>IF(ISNUMBER(VLOOKUP($A157,Haver_M!$B$1:$BZ$300,MATCH(data!Z$1,Haver_M!$B$1:$BZ$1,0),FALSE)),VLOOKUP($A157,Haver_M!$B$1:$BZ$300,MATCH(data!Z$1,Haver_M!$B$1:$BZ$1,0),FALSE),"")</f>
        <v>106</v>
      </c>
      <c r="AA157">
        <f>IF(ISNUMBER(VLOOKUP($A157,Haver_M!$B$1:$BZ$300,MATCH(data!AA$1,Haver_M!$B$1:$BZ$1,0),FALSE)),VLOOKUP($A157,Haver_M!$B$1:$BZ$300,MATCH(data!AA$1,Haver_M!$B$1:$BZ$1,0),FALSE),"")</f>
        <v>104.11499999999999</v>
      </c>
      <c r="AB157">
        <f>IF(ISNUMBER(VLOOKUP($A157,Haver_M!$B$1:$BZ$300,MATCH(data!AB$1,Haver_M!$B$1:$BZ$1,0),FALSE)),VLOOKUP($A157,Haver_M!$B$1:$BZ$300,MATCH(data!AB$1,Haver_M!$B$1:$BZ$1,0),FALSE),"")</f>
        <v>98.635000000000005</v>
      </c>
      <c r="AC157">
        <f>IF(ISNUMBER(VLOOKUP($A157,Haver_M!$B$1:$BZ$300,MATCH(data!AC$1,Haver_M!$B$1:$BZ$1,0),FALSE)),VLOOKUP($A157,Haver_M!$B$1:$BZ$300,MATCH(data!AC$1,Haver_M!$B$1:$BZ$1,0),FALSE),"")</f>
        <v>81.796000000000006</v>
      </c>
      <c r="AD157">
        <f>IF(ISNUMBER(VLOOKUP($A157,Haver_M!$B$1:$BZ$300,MATCH(data!AD$1,Haver_M!$B$1:$BZ$1,0),FALSE)),VLOOKUP($A157,Haver_M!$B$1:$BZ$300,MATCH(data!AD$1,Haver_M!$B$1:$BZ$1,0),FALSE),"")</f>
        <v>109.349</v>
      </c>
      <c r="AE157">
        <f>IF(ISNUMBER(VLOOKUP($A157,Haver_M!$B$1:$BZ$300,MATCH(data!AE$1,Haver_M!$B$1:$BZ$1,0),FALSE)),VLOOKUP($A157,Haver_M!$B$1:$BZ$300,MATCH(data!AE$1,Haver_M!$B$1:$BZ$1,0),FALSE),"")</f>
        <v>95.201999999999998</v>
      </c>
      <c r="AF157">
        <f>IF(ISNUMBER(VLOOKUP($A157,Haver_M!$B$1:$BZ$300,MATCH(data!AF$1,Haver_M!$B$1:$BZ$1,0),FALSE)),VLOOKUP($A157,Haver_M!$B$1:$BZ$300,MATCH(data!AF$1,Haver_M!$B$1:$BZ$1,0),FALSE),"")</f>
        <v>109.786</v>
      </c>
      <c r="AG157">
        <f>IF(ISNUMBER(VLOOKUP($A157,Haver_M!$B$1:$BZ$300,MATCH(data!AG$1,Haver_M!$B$1:$BZ$1,0),FALSE)),VLOOKUP($A157,Haver_M!$B$1:$BZ$300,MATCH(data!AG$1,Haver_M!$B$1:$BZ$1,0),FALSE),"")</f>
        <v>112.247</v>
      </c>
      <c r="AH157">
        <f>IF(ISNUMBER(VLOOKUP($A157,Haver_M!$B$1:$BZ$300,MATCH(data!AH$1,Haver_M!$B$1:$BZ$1,0),FALSE)),VLOOKUP($A157,Haver_M!$B$1:$BZ$300,MATCH(data!AH$1,Haver_M!$B$1:$BZ$1,0),FALSE),"")</f>
        <v>106.958</v>
      </c>
      <c r="AI157">
        <f>IF(ISNUMBER(VLOOKUP($A157,Haver_M!$B$1:$BZ$300,MATCH(data!AI$1,Haver_M!$B$1:$BZ$1,0),FALSE)),VLOOKUP($A157,Haver_M!$B$1:$BZ$300,MATCH(data!AI$1,Haver_M!$B$1:$BZ$1,0),FALSE),"")</f>
        <v>13085.431904605215</v>
      </c>
      <c r="AJ157">
        <f>IF(ISNUMBER(VLOOKUP($A157,Haver_M!$B$1:$BZ$300,MATCH(data!AJ$1,Haver_M!$B$1:$BZ$1,0),FALSE)),VLOOKUP($A157,Haver_M!$B$1:$BZ$300,MATCH(data!AJ$1,Haver_M!$B$1:$BZ$1,0),FALSE),"")</f>
        <v>24990.04</v>
      </c>
      <c r="AK157">
        <f>IF(ISNUMBER(VLOOKUP($A157,Haver_M!$B$1:$BZ$300,MATCH(data!AK$1,Haver_M!$B$1:$BZ$1,0),FALSE)),VLOOKUP($A157,Haver_M!$B$1:$BZ$300,MATCH(data!AK$1,Haver_M!$B$1:$BZ$1,0),FALSE),"")</f>
        <v>43047.44</v>
      </c>
      <c r="AL157">
        <f>IF(ISNUMBER(VLOOKUP($A157,Haver_M!$B$1:$BZ$300,MATCH(data!AL$1,Haver_M!$B$1:$BZ$1,0),FALSE)),VLOOKUP($A157,Haver_M!$B$1:$BZ$300,MATCH(data!AL$1,Haver_M!$B$1:$BZ$1,0),FALSE),"")</f>
        <v>12881</v>
      </c>
      <c r="AM157">
        <f>IF(ISNUMBER(VLOOKUP($A157,Haver_M!$B$1:$BZ$300,MATCH(data!AM$1,Haver_M!$B$1:$BZ$1,0),FALSE)),VLOOKUP($A157,Haver_M!$B$1:$BZ$300,MATCH(data!AM$1,Haver_M!$B$1:$BZ$1,0),FALSE),"")</f>
        <v>6761</v>
      </c>
      <c r="AN157">
        <f>IF(ISNUMBER(VLOOKUP($A157,Haver_M!$B$1:$BZ$300,MATCH(data!AN$1,Haver_M!$B$1:$BZ$1,0),FALSE)),VLOOKUP($A157,Haver_M!$B$1:$BZ$300,MATCH(data!AN$1,Haver_M!$B$1:$BZ$1,0),FALSE),"")</f>
        <v>106.9</v>
      </c>
      <c r="AO157">
        <f>IF(ISNUMBER(VLOOKUP($A157,Haver_M!$B$1:$BZ$300,MATCH(data!AO$1,Haver_M!$B$1:$BZ$1,0),FALSE)),VLOOKUP($A157,Haver_M!$B$1:$BZ$300,MATCH(data!AO$1,Haver_M!$B$1:$BZ$1,0),FALSE),"")</f>
        <v>105.6</v>
      </c>
      <c r="AP157">
        <f>IF(ISNUMBER(VLOOKUP($A157,Haver_M!$B$1:$BZ$300,MATCH(data!AP$1,Haver_M!$B$1:$BZ$1,0),FALSE)),VLOOKUP($A157,Haver_M!$B$1:$BZ$300,MATCH(data!AP$1,Haver_M!$B$1:$BZ$1,0),FALSE),"")</f>
        <v>133.96412195591338</v>
      </c>
      <c r="AQ157">
        <f>IF(ISNUMBER(VLOOKUP($A157,Haver_M!$B$1:$BZ$300,MATCH(data!AQ$1,Haver_M!$B$1:$BZ$1,0),FALSE)),VLOOKUP($A157,Haver_M!$B$1:$BZ$300,MATCH(data!AQ$1,Haver_M!$B$1:$BZ$1,0),FALSE),"")</f>
        <v>56.301200000000001</v>
      </c>
      <c r="AR157">
        <f>IF(ISNUMBER(VLOOKUP($A157,Haver_M!$B$1:$BZ$300,MATCH(data!AR$1,Haver_M!$B$1:$BZ$1,0),FALSE)),VLOOKUP($A157,Haver_M!$B$1:$BZ$300,MATCH(data!AR$1,Haver_M!$B$1:$BZ$1,0),FALSE),"")</f>
        <v>54.682299999999998</v>
      </c>
      <c r="AS157">
        <f>IF(ISNUMBER(VLOOKUP($A157,Haver_M!$B$1:$BZ$300,MATCH(data!AS$1,Haver_M!$B$1:$BZ$1,0),FALSE)),VLOOKUP($A157,Haver_M!$B$1:$BZ$300,MATCH(data!AS$1,Haver_M!$B$1:$BZ$1,0),FALSE),"")</f>
        <v>55.611400000000003</v>
      </c>
      <c r="AT157">
        <f>IF(ISNUMBER(VLOOKUP($A157,Haver_M!$B$1:$BZ$300,MATCH(data!AT$1,Haver_M!$B$1:$BZ$1,0),FALSE)),VLOOKUP($A157,Haver_M!$B$1:$BZ$300,MATCH(data!AT$1,Haver_M!$B$1:$BZ$1,0),FALSE),"")</f>
        <v>57.733199999999997</v>
      </c>
      <c r="AU157">
        <f>IF(ISNUMBER(VLOOKUP($A157,Haver_M!$B$1:$BZ$300,MATCH(data!AU$1,Haver_M!$B$1:$BZ$1,0),FALSE)),VLOOKUP($A157,Haver_M!$B$1:$BZ$300,MATCH(data!AU$1,Haver_M!$B$1:$BZ$1,0),FALSE),"")</f>
        <v>58.0336</v>
      </c>
      <c r="AV157">
        <f>IF(ISNUMBER(VLOOKUP($A157,Haver_M!$B$1:$BZ$300,MATCH(data!AV$1,Haver_M!$B$1:$BZ$1,0),FALSE)),VLOOKUP($A157,Haver_M!$B$1:$BZ$300,MATCH(data!AV$1,Haver_M!$B$1:$BZ$1,0),FALSE),"")</f>
        <v>51.110700000000001</v>
      </c>
      <c r="AW157">
        <f>IF(ISNUMBER(VLOOKUP($A157,Haver_M!$B$1:$BZ$300,MATCH(data!AW$1,Haver_M!$B$1:$BZ$1,0),FALSE)),VLOOKUP($A157,Haver_M!$B$1:$BZ$300,MATCH(data!AW$1,Haver_M!$B$1:$BZ$1,0),FALSE),"")</f>
        <v>51.152000000000001</v>
      </c>
      <c r="AX157">
        <f>IF(ISNUMBER(VLOOKUP($A157,Haver_M!$B$1:$BZ$300,MATCH(data!AX$1,Haver_M!$B$1:$BZ$1,0),FALSE)),VLOOKUP($A157,Haver_M!$B$1:$BZ$300,MATCH(data!AX$1,Haver_M!$B$1:$BZ$1,0),FALSE),"")</f>
        <v>52.895600000000002</v>
      </c>
      <c r="AY157">
        <f>IF(ISNUMBER(VLOOKUP($A157,Haver_M!$B$1:$BZ$300,MATCH(data!AY$1,Haver_M!$B$1:$BZ$1,0),FALSE)),VLOOKUP($A157,Haver_M!$B$1:$BZ$300,MATCH(data!AY$1,Haver_M!$B$1:$BZ$1,0),FALSE),"")</f>
        <v>59.615600000000001</v>
      </c>
      <c r="AZ157">
        <f>IF(ISNUMBER(VLOOKUP($A157,Haver_M!$B$1:$BZ$300,MATCH(data!AZ$1,Haver_M!$B$1:$BZ$1,0),FALSE)),VLOOKUP($A157,Haver_M!$B$1:$BZ$300,MATCH(data!AZ$1,Haver_M!$B$1:$BZ$1,0),FALSE),"")</f>
        <v>56.032200000000003</v>
      </c>
      <c r="BA157">
        <f>IF(ISNUMBER(VLOOKUP($A157,Haver_M!$B$1:$BZ$300,MATCH(data!BA$1,Haver_M!$B$1:$BZ$1,0),FALSE)),VLOOKUP($A157,Haver_M!$B$1:$BZ$300,MATCH(data!BA$1,Haver_M!$B$1:$BZ$1,0),FALSE),"")</f>
        <v>52.895600000000002</v>
      </c>
      <c r="BB157">
        <f>IF(ISNUMBER(VLOOKUP($A157,Haver_M!$B$1:$BZ$300,MATCH(data!BB$1,Haver_M!$B$1:$BZ$1,0),FALSE)),VLOOKUP($A157,Haver_M!$B$1:$BZ$300,MATCH(data!BB$1,Haver_M!$B$1:$BZ$1,0),FALSE),"")</f>
        <v>56.387700000000002</v>
      </c>
      <c r="BC157">
        <f>IF(ISNUMBER(VLOOKUP($A157,Haver_M!$B$1:$BZ$300,MATCH(data!BC$1,Haver_M!$B$1:$BZ$1,0),FALSE)),VLOOKUP($A157,Haver_M!$B$1:$BZ$300,MATCH(data!BC$1,Haver_M!$B$1:$BZ$1,0),FALSE),"")</f>
        <v>55.870800000000003</v>
      </c>
      <c r="BD157">
        <f>IF(ISNUMBER(VLOOKUP($A157,Haver_M!$B$1:$BZ$300,MATCH(data!BD$1,Haver_M!$B$1:$BZ$1,0),FALSE)),VLOOKUP($A157,Haver_M!$B$1:$BZ$300,MATCH(data!BD$1,Haver_M!$B$1:$BZ$1,0),FALSE),"")</f>
        <v>56.513399999999997</v>
      </c>
      <c r="BE157">
        <f>IF(ISNUMBER(VLOOKUP($A157,Haver_M!$B$1:$BZ$300,MATCH(data!BE$1,Haver_M!$B$1:$BZ$1,0),FALSE)),VLOOKUP($A157,Haver_M!$B$1:$BZ$300,MATCH(data!BE$1,Haver_M!$B$1:$BZ$1,0),FALSE),"")</f>
        <v>1.2065999999999999</v>
      </c>
      <c r="BF157">
        <f>IF(ISNUMBER(VLOOKUP($A157,Haver_M!$B$1:$BZ$300,MATCH(data!BF$1,Haver_M!$B$1:$BZ$1,0),FALSE)),VLOOKUP($A157,Haver_M!$B$1:$BZ$300,MATCH(data!BF$1,Haver_M!$B$1:$BZ$1,0),FALSE),"")</f>
        <v>50.294699999999999</v>
      </c>
      <c r="BG157">
        <f>IF(ISNUMBER(VLOOKUP($A157,Haver_M!$B$1:$BZ$300,MATCH(data!BG$1,Haver_M!$B$1:$BZ$1,0),FALSE)),VLOOKUP($A157,Haver_M!$B$1:$BZ$300,MATCH(data!BG$1,Haver_M!$B$1:$BZ$1,0),FALSE),"")</f>
        <v>52.972200000000001</v>
      </c>
      <c r="BH157">
        <f>IF(ISNUMBER(VLOOKUP($A157,Haver_M!$B$1:$BZ$300,MATCH(data!BH$1,Haver_M!$B$1:$BZ$1,0),FALSE)),VLOOKUP($A157,Haver_M!$B$1:$BZ$300,MATCH(data!BH$1,Haver_M!$B$1:$BZ$1,0),FALSE),"")</f>
        <v>57.107300000000002</v>
      </c>
      <c r="BI157">
        <f>IF(ISNUMBER(VLOOKUP($A157,Haver_M!$B$1:$BZ$300,MATCH(data!BI$1,Haver_M!$B$1:$BZ$1,0),FALSE)),VLOOKUP($A157,Haver_M!$B$1:$BZ$300,MATCH(data!BI$1,Haver_M!$B$1:$BZ$1,0),FALSE),"")</f>
        <v>53.872799999999998</v>
      </c>
      <c r="BJ157" t="str">
        <f>IF(ISNUMBER(VLOOKUP($A157,Haver_M!$B$1:$BZ$300,MATCH(data!BJ$1,Haver_M!$B$1:$BZ$1,0),FALSE)),VLOOKUP($A157,Haver_M!$B$1:$BZ$300,MATCH(data!BJ$1,Haver_M!$B$1:$BZ$1,0),FALSE),"")</f>
        <v/>
      </c>
      <c r="BK157">
        <f>IF(ISNUMBER(VLOOKUP($A157,Haver_M!$B$1:$BZ$300,MATCH(data!BK$1,Haver_M!$B$1:$BZ$1,0),FALSE)),VLOOKUP($A157,Haver_M!$B$1:$BZ$300,MATCH(data!BK$1,Haver_M!$B$1:$BZ$1,0),FALSE),"")</f>
        <v>52.691499999999998</v>
      </c>
      <c r="BL157">
        <f>IF(ISNUMBER(VLOOKUP($A157,Haver_M!$B$1:$BZ$300,MATCH(data!BL$1,Haver_M!$B$1:$BZ$1,0),FALSE)),VLOOKUP($A157,Haver_M!$B$1:$BZ$300,MATCH(data!BL$1,Haver_M!$B$1:$BZ$1,0),FALSE),"")</f>
        <v>19365.189999999999</v>
      </c>
      <c r="BM157">
        <f>IF(ISNUMBER(VLOOKUP($A157,Haver_M!$B$1:$BZ$300,MATCH(data!BM$1,Haver_M!$B$1:$BZ$1,0),FALSE)),VLOOKUP($A157,Haver_M!$B$1:$BZ$300,MATCH(data!BM$1,Haver_M!$B$1:$BZ$1,0),FALSE),"")</f>
        <v>98.632185010000001</v>
      </c>
      <c r="BN157">
        <f>IF(ISNUMBER(VLOOKUP($A157,Haver_M!$B$1:$BZ$300,MATCH(data!BN$1,Haver_M!$B$1:$BZ$1,0),FALSE)),VLOOKUP($A157,Haver_M!$B$1:$BZ$300,MATCH(data!BN$1,Haver_M!$B$1:$BZ$1,0),FALSE),"")</f>
        <v>104.5</v>
      </c>
      <c r="BO157">
        <f>IF(ISNUMBER(VLOOKUP($A157,Haver_M!$B$1:$BZ$300,MATCH(data!BO$1,Haver_M!$B$1:$BZ$1,0),FALSE)),VLOOKUP($A157,Haver_M!$B$1:$BZ$300,MATCH(data!BO$1,Haver_M!$B$1:$BZ$1,0),FALSE),"")</f>
        <v>115.7</v>
      </c>
      <c r="BP157">
        <f>IF(ISNUMBER(VLOOKUP($A157,Haver_M!$B$1:$BZ$300,MATCH(data!BP$1,Haver_M!$B$1:$BZ$1,0),FALSE)),VLOOKUP($A157,Haver_M!$B$1:$BZ$300,MATCH(data!BP$1,Haver_M!$B$1:$BZ$1,0),FALSE),"")</f>
        <v>32.200000000000003</v>
      </c>
      <c r="BQ157">
        <f>IF(ISNUMBER(VLOOKUP($A157,Haver_M!$B$1:$BZ$300,MATCH(data!BQ$1,Haver_M!$B$1:$BZ$1,0),FALSE)),VLOOKUP($A157,Haver_M!$B$1:$BZ$300,MATCH(data!BQ$1,Haver_M!$B$1:$BZ$1,0),FALSE),"")</f>
        <v>157.9079121208905</v>
      </c>
      <c r="BR157">
        <f>IF(ISNUMBER(VLOOKUP($A157,Haver_M!$B$1:$BZ$300,MATCH(data!BR$1,Haver_M!$B$1:$BZ$1,0),FALSE)),VLOOKUP($A157,Haver_M!$B$1:$BZ$300,MATCH(data!BR$1,Haver_M!$B$1:$BZ$1,0),FALSE),"")</f>
        <v>386.93963892416537</v>
      </c>
      <c r="BS157">
        <f>IF(ISNUMBER(VLOOKUP($A157,Haver_M!$B$1:$BZ$300,MATCH(data!BS$1,Haver_M!$B$1:$BZ$1,0),FALSE)),VLOOKUP($A157,Haver_M!$B$1:$BZ$300,MATCH(data!BS$1,Haver_M!$B$1:$BZ$1,0),FALSE),"")</f>
        <v>196.8787398577802</v>
      </c>
      <c r="BT157">
        <f>IF(ISNUMBER(VLOOKUP($A157,Haver_M!$B$1:$BZ$300,MATCH(data!BT$1,Haver_M!$B$1:$BZ$1,0),FALSE)),VLOOKUP($A157,Haver_M!$B$1:$BZ$300,MATCH(data!BT$1,Haver_M!$B$1:$BZ$1,0),FALSE),"")</f>
        <v>845.98153997050201</v>
      </c>
      <c r="BU157">
        <f>IF(ISNUMBER(VLOOKUP($A157,Haver_M!$B$1:$BZ$300,MATCH(data!BU$1,Haver_M!$B$1:$BZ$1,0),FALSE)),VLOOKUP($A157,Haver_M!$B$1:$BZ$300,MATCH(data!BU$1,Haver_M!$B$1:$BZ$1,0),FALSE),"")</f>
        <v>25457.54</v>
      </c>
      <c r="BV157">
        <f>IF(ISNUMBER(VLOOKUP($A157,Haver_M!$B$1:$BZ$300,MATCH(data!BV$1,Haver_M!$B$1:$BZ$1,0),FALSE)),VLOOKUP($A157,Haver_M!$B$1:$BZ$300,MATCH(data!BV$1,Haver_M!$B$1:$BZ$1,0),FALSE),"")</f>
        <v>43050.57</v>
      </c>
      <c r="BW157">
        <f>IF(ISNUMBER(VLOOKUP($A157,Haver_M!$B$1:$BZ$300,MATCH(data!BW$1,Haver_M!$B$1:$BZ$1,0),FALSE)),VLOOKUP($A157,Haver_M!$B$1:$BZ$300,MATCH(data!BW$1,Haver_M!$B$1:$BZ$1,0),FALSE),"")</f>
        <v>54.647799999999997</v>
      </c>
      <c r="BX157">
        <f>IF(ISNUMBER(VLOOKUP($A157,Haver_M!$B$1:$BZ$300,MATCH(data!BX$1,Haver_M!$B$1:$BZ$1,0),FALSE)),VLOOKUP($A157,Haver_M!$B$1:$BZ$300,MATCH(data!BX$1,Haver_M!$B$1:$BZ$1,0),FALSE),"")</f>
        <v>66693</v>
      </c>
    </row>
    <row r="158" spans="1:76" x14ac:dyDescent="0.25">
      <c r="A158" s="2">
        <v>41305</v>
      </c>
      <c r="B158" t="str">
        <f>IF(ISNUMBER(VLOOKUP($A158,Haver_Q!$B$1:$L$185,MATCH(data!B$1,Haver_Q!$B$1:$L$1,0),FALSE)),100*(VLOOKUP($A158,Haver_Q!$B$1:$L$185,MATCH(data!B$1,Haver_Q!$B$1:$L$1,0),FALSE)),"")</f>
        <v/>
      </c>
      <c r="C158" t="str">
        <f>IF(ISNUMBER(VLOOKUP($A158,Haver_Q!$B$1:$L$185,MATCH(data!C$1,Haver_Q!$B$1:$L$1,0),FALSE)),100*(VLOOKUP($A158,Haver_Q!$B$1:$L$185,MATCH(data!C$1,Haver_Q!$B$1:$L$1,0),FALSE)),"")</f>
        <v/>
      </c>
      <c r="D158" t="str">
        <f>IF(ISNUMBER(VLOOKUP($A158,Haver_Q!$B$1:$L$185,MATCH(data!D$1,Haver_Q!$B$1:$L$1,0),FALSE)),100*(VLOOKUP($A158,Haver_Q!$B$1:$L$185,MATCH(data!D$1,Haver_Q!$B$1:$L$1,0),FALSE)),"")</f>
        <v/>
      </c>
      <c r="E158" t="str">
        <f>IF(ISNUMBER(VLOOKUP($A158,Haver_Q!$B$1:$L$185,MATCH(data!E$1,Haver_Q!$B$1:$L$1,0),FALSE)),100*(VLOOKUP($A158,Haver_Q!$B$1:$L$185,MATCH(data!E$1,Haver_Q!$B$1:$L$1,0),FALSE)),"")</f>
        <v/>
      </c>
      <c r="F158" t="str">
        <f>IF(ISNUMBER(VLOOKUP($A158,Haver_Q!$B$1:$L$185,MATCH(data!F$1,Haver_Q!$B$1:$L$1,0),FALSE)),100*(VLOOKUP($A158,Haver_Q!$B$1:$L$185,MATCH(data!F$1,Haver_Q!$B$1:$L$1,0),FALSE)),"")</f>
        <v/>
      </c>
      <c r="G158" t="str">
        <f>IF(ISNUMBER(VLOOKUP($A158,Haver_Q!$B$1:$L$185,MATCH(data!G$1,Haver_Q!$B$1:$L$1,0),FALSE)),100*(VLOOKUP($A158,Haver_Q!$B$1:$L$185,MATCH(data!G$1,Haver_Q!$B$1:$L$1,0),FALSE)),"")</f>
        <v/>
      </c>
      <c r="H158" t="str">
        <f>IF(ISNUMBER(VLOOKUP($A158,Haver_Q!$B$1:$L$185,MATCH(data!H$1,Haver_Q!$B$1:$L$1,0),FALSE)),(VLOOKUP($A158,Haver_Q!$B$1:$L$185,MATCH(data!H$1,Haver_Q!$B$1:$L$1,0),FALSE)),"")</f>
        <v/>
      </c>
      <c r="I158" t="str">
        <f>IF(ISNUMBER(VLOOKUP($A158,Haver_Q!$B$1:$L$185,MATCH(data!I$1,Haver_Q!$B$1:$L$1,0),FALSE)),100*(VLOOKUP($A158,Haver_Q!$B$1:$L$185,MATCH(data!I$1,Haver_Q!$B$1:$L$1,0),FALSE)),"")</f>
        <v/>
      </c>
      <c r="J158" s="3">
        <f>IF(ISNUMBER(Bloomberg_m!C174),Bloomberg_m!C174,"")</f>
        <v>771</v>
      </c>
      <c r="K158" s="3">
        <f>IF(ISNUMBER(Bloomberg_m!D174),Bloomberg_m!D174,"")</f>
        <v>2196.0300000000002</v>
      </c>
      <c r="L158" s="3">
        <f>IF(ISNUMBER(Bloomberg_m!E174),Bloomberg_m!E174,"")</f>
        <v>1200.44</v>
      </c>
      <c r="M158" s="3">
        <f>IF(ISNUMBER(Bloomberg_m!F174),Bloomberg_m!F174,"")</f>
        <v>428.09</v>
      </c>
      <c r="N158">
        <f>IF(ISNUMBER(VLOOKUP($A158,Haver_M!$B$1:$BZ$300,MATCH(data!N$1,Haver_M!$B$1:$BZ$1,0),FALSE)),VLOOKUP($A158,Haver_M!$B$1:$BZ$300,MATCH(data!N$1,Haver_M!$B$1:$BZ$1,0),FALSE),"")</f>
        <v>7.75</v>
      </c>
      <c r="O158">
        <f>IF(ISNUMBER(VLOOKUP($A158,Haver_M!$B$1:$BZ$300,MATCH(data!O$1,Haver_M!$B$1:$BZ$1,0),FALSE)),VLOOKUP($A158,Haver_M!$B$1:$BZ$300,MATCH(data!O$1,Haver_M!$B$1:$BZ$1,0),FALSE),"")</f>
        <v>7.9417</v>
      </c>
      <c r="P158">
        <f>IF(ISNUMBER(VLOOKUP($A158,Haver_M!$B$1:$BZ$300,MATCH(data!P$1,Haver_M!$B$1:$BZ$1,0),FALSE)),VLOOKUP($A158,Haver_M!$B$1:$BZ$300,MATCH(data!P$1,Haver_M!$B$1:$BZ$1,0),FALSE),"")</f>
        <v>91.494</v>
      </c>
      <c r="Q158">
        <f>IF(ISNUMBER(VLOOKUP($A158,Haver_M!$B$1:$BZ$300,MATCH(data!Q$1,Haver_M!$B$1:$BZ$1,0),FALSE)),VLOOKUP($A158,Haver_M!$B$1:$BZ$300,MATCH(data!Q$1,Haver_M!$B$1:$BZ$1,0),FALSE),"")</f>
        <v>105.1</v>
      </c>
      <c r="R158">
        <f>IF(ISNUMBER(VLOOKUP($A158,Haver_M!$B$1:$BZ$300,MATCH(data!R$1,Haver_M!$B$1:$BZ$1,0),FALSE)),VLOOKUP($A158,Haver_M!$B$1:$BZ$300,MATCH(data!R$1,Haver_M!$B$1:$BZ$1,0),FALSE),"")</f>
        <v>104.6</v>
      </c>
      <c r="S158">
        <f>IF(ISNUMBER(VLOOKUP($A158,Haver_M!$B$1:$BZ$300,MATCH(data!S$1,Haver_M!$B$1:$BZ$1,0),FALSE)),VLOOKUP($A158,Haver_M!$B$1:$BZ$300,MATCH(data!S$1,Haver_M!$B$1:$BZ$1,0),FALSE),"")</f>
        <v>103.44</v>
      </c>
      <c r="T158">
        <f>IF(ISNUMBER(VLOOKUP($A158,Haver_M!$B$1:$BZ$300,MATCH(data!T$1,Haver_M!$B$1:$BZ$1,0),FALSE)),VLOOKUP($A158,Haver_M!$B$1:$BZ$300,MATCH(data!T$1,Haver_M!$B$1:$BZ$1,0),FALSE),"")</f>
        <v>100.99</v>
      </c>
      <c r="U158">
        <f>IF(ISNUMBER(VLOOKUP($A158,Haver_M!$B$1:$BZ$300,MATCH(data!U$1,Haver_M!$B$1:$BZ$1,0),FALSE)),VLOOKUP($A158,Haver_M!$B$1:$BZ$300,MATCH(data!U$1,Haver_M!$B$1:$BZ$1,0),FALSE),"")</f>
        <v>96.94</v>
      </c>
      <c r="V158">
        <f>IF(ISNUMBER(VLOOKUP($A158,Haver_M!$B$1:$BZ$300,MATCH(data!V$1,Haver_M!$B$1:$BZ$1,0),FALSE)),VLOOKUP($A158,Haver_M!$B$1:$BZ$300,MATCH(data!V$1,Haver_M!$B$1:$BZ$1,0),FALSE),"")</f>
        <v>106.42</v>
      </c>
      <c r="W158">
        <f>IF(ISNUMBER(VLOOKUP($A158,Haver_M!$B$1:$BZ$300,MATCH(data!W$1,Haver_M!$B$1:$BZ$1,0),FALSE)),VLOOKUP($A158,Haver_M!$B$1:$BZ$300,MATCH(data!W$1,Haver_M!$B$1:$BZ$1,0),FALSE),"")</f>
        <v>105.26</v>
      </c>
      <c r="X158">
        <f>IF(ISNUMBER(VLOOKUP($A158,Haver_M!$B$1:$BZ$300,MATCH(data!X$1,Haver_M!$B$1:$BZ$1,0),FALSE)),VLOOKUP($A158,Haver_M!$B$1:$BZ$300,MATCH(data!X$1,Haver_M!$B$1:$BZ$1,0),FALSE),"")</f>
        <v>105.83</v>
      </c>
      <c r="Y158">
        <f>IF(ISNUMBER(VLOOKUP($A158,Haver_M!$B$1:$BZ$300,MATCH(data!Y$1,Haver_M!$B$1:$BZ$1,0),FALSE)),VLOOKUP($A158,Haver_M!$B$1:$BZ$300,MATCH(data!Y$1,Haver_M!$B$1:$BZ$1,0),FALSE),"")</f>
        <v>104</v>
      </c>
      <c r="Z158">
        <f>IF(ISNUMBER(VLOOKUP($A158,Haver_M!$B$1:$BZ$300,MATCH(data!Z$1,Haver_M!$B$1:$BZ$1,0),FALSE)),VLOOKUP($A158,Haver_M!$B$1:$BZ$300,MATCH(data!Z$1,Haver_M!$B$1:$BZ$1,0),FALSE),"")</f>
        <v>105.4</v>
      </c>
      <c r="AA158">
        <f>IF(ISNUMBER(VLOOKUP($A158,Haver_M!$B$1:$BZ$300,MATCH(data!AA$1,Haver_M!$B$1:$BZ$1,0),FALSE)),VLOOKUP($A158,Haver_M!$B$1:$BZ$300,MATCH(data!AA$1,Haver_M!$B$1:$BZ$1,0),FALSE),"")</f>
        <v>105.91800000000001</v>
      </c>
      <c r="AB158">
        <f>IF(ISNUMBER(VLOOKUP($A158,Haver_M!$B$1:$BZ$300,MATCH(data!AB$1,Haver_M!$B$1:$BZ$1,0),FALSE)),VLOOKUP($A158,Haver_M!$B$1:$BZ$300,MATCH(data!AB$1,Haver_M!$B$1:$BZ$1,0),FALSE),"")</f>
        <v>98.504999999999995</v>
      </c>
      <c r="AC158">
        <f>IF(ISNUMBER(VLOOKUP($A158,Haver_M!$B$1:$BZ$300,MATCH(data!AC$1,Haver_M!$B$1:$BZ$1,0),FALSE)),VLOOKUP($A158,Haver_M!$B$1:$BZ$300,MATCH(data!AC$1,Haver_M!$B$1:$BZ$1,0),FALSE),"")</f>
        <v>80.552999999999997</v>
      </c>
      <c r="AD158">
        <f>IF(ISNUMBER(VLOOKUP($A158,Haver_M!$B$1:$BZ$300,MATCH(data!AD$1,Haver_M!$B$1:$BZ$1,0),FALSE)),VLOOKUP($A158,Haver_M!$B$1:$BZ$300,MATCH(data!AD$1,Haver_M!$B$1:$BZ$1,0),FALSE),"")</f>
        <v>110.05200000000001</v>
      </c>
      <c r="AE158">
        <f>IF(ISNUMBER(VLOOKUP($A158,Haver_M!$B$1:$BZ$300,MATCH(data!AE$1,Haver_M!$B$1:$BZ$1,0),FALSE)),VLOOKUP($A158,Haver_M!$B$1:$BZ$300,MATCH(data!AE$1,Haver_M!$B$1:$BZ$1,0),FALSE),"")</f>
        <v>94.212000000000003</v>
      </c>
      <c r="AF158">
        <f>IF(ISNUMBER(VLOOKUP($A158,Haver_M!$B$1:$BZ$300,MATCH(data!AF$1,Haver_M!$B$1:$BZ$1,0),FALSE)),VLOOKUP($A158,Haver_M!$B$1:$BZ$300,MATCH(data!AF$1,Haver_M!$B$1:$BZ$1,0),FALSE),"")</f>
        <v>107.24299999999999</v>
      </c>
      <c r="AG158">
        <f>IF(ISNUMBER(VLOOKUP($A158,Haver_M!$B$1:$BZ$300,MATCH(data!AG$1,Haver_M!$B$1:$BZ$1,0),FALSE)),VLOOKUP($A158,Haver_M!$B$1:$BZ$300,MATCH(data!AG$1,Haver_M!$B$1:$BZ$1,0),FALSE),"")</f>
        <v>113.496</v>
      </c>
      <c r="AH158">
        <f>IF(ISNUMBER(VLOOKUP($A158,Haver_M!$B$1:$BZ$300,MATCH(data!AH$1,Haver_M!$B$1:$BZ$1,0),FALSE)),VLOOKUP($A158,Haver_M!$B$1:$BZ$300,MATCH(data!AH$1,Haver_M!$B$1:$BZ$1,0),FALSE),"")</f>
        <v>107.405</v>
      </c>
      <c r="AI158">
        <f>IF(ISNUMBER(VLOOKUP($A158,Haver_M!$B$1:$BZ$300,MATCH(data!AI$1,Haver_M!$B$1:$BZ$1,0),FALSE)),VLOOKUP($A158,Haver_M!$B$1:$BZ$300,MATCH(data!AI$1,Haver_M!$B$1:$BZ$1,0),FALSE),"")</f>
        <v>13300.966027396678</v>
      </c>
      <c r="AJ158">
        <f>IF(ISNUMBER(VLOOKUP($A158,Haver_M!$B$1:$BZ$300,MATCH(data!AJ$1,Haver_M!$B$1:$BZ$1,0),FALSE)),VLOOKUP($A158,Haver_M!$B$1:$BZ$300,MATCH(data!AJ$1,Haver_M!$B$1:$BZ$1,0),FALSE),"")</f>
        <v>25743.61</v>
      </c>
      <c r="AK158">
        <f>IF(ISNUMBER(VLOOKUP($A158,Haver_M!$B$1:$BZ$300,MATCH(data!AK$1,Haver_M!$B$1:$BZ$1,0),FALSE)),VLOOKUP($A158,Haver_M!$B$1:$BZ$300,MATCH(data!AK$1,Haver_M!$B$1:$BZ$1,0),FALSE),"")</f>
        <v>44359.17</v>
      </c>
      <c r="AL158">
        <f>IF(ISNUMBER(VLOOKUP($A158,Haver_M!$B$1:$BZ$300,MATCH(data!AL$1,Haver_M!$B$1:$BZ$1,0),FALSE)),VLOOKUP($A158,Haver_M!$B$1:$BZ$300,MATCH(data!AL$1,Haver_M!$B$1:$BZ$1,0),FALSE),"")</f>
        <v>13899</v>
      </c>
      <c r="AM158">
        <f>IF(ISNUMBER(VLOOKUP($A158,Haver_M!$B$1:$BZ$300,MATCH(data!AM$1,Haver_M!$B$1:$BZ$1,0),FALSE)),VLOOKUP($A158,Haver_M!$B$1:$BZ$300,MATCH(data!AM$1,Haver_M!$B$1:$BZ$1,0),FALSE),"")</f>
        <v>7522</v>
      </c>
      <c r="AN158" t="str">
        <f>IF(ISNUMBER(VLOOKUP($A158,Haver_M!$B$1:$BZ$300,MATCH(data!AN$1,Haver_M!$B$1:$BZ$1,0),FALSE)),VLOOKUP($A158,Haver_M!$B$1:$BZ$300,MATCH(data!AN$1,Haver_M!$B$1:$BZ$1,0),FALSE),"")</f>
        <v/>
      </c>
      <c r="AO158" t="str">
        <f>IF(ISNUMBER(VLOOKUP($A158,Haver_M!$B$1:$BZ$300,MATCH(data!AO$1,Haver_M!$B$1:$BZ$1,0),FALSE)),VLOOKUP($A158,Haver_M!$B$1:$BZ$300,MATCH(data!AO$1,Haver_M!$B$1:$BZ$1,0),FALSE),"")</f>
        <v/>
      </c>
      <c r="AP158">
        <f>IF(ISNUMBER(VLOOKUP($A158,Haver_M!$B$1:$BZ$300,MATCH(data!AP$1,Haver_M!$B$1:$BZ$1,0),FALSE)),VLOOKUP($A158,Haver_M!$B$1:$BZ$300,MATCH(data!AP$1,Haver_M!$B$1:$BZ$1,0),FALSE),"")</f>
        <v>130.85621663597405</v>
      </c>
      <c r="AQ158">
        <f>IF(ISNUMBER(VLOOKUP($A158,Haver_M!$B$1:$BZ$300,MATCH(data!AQ$1,Haver_M!$B$1:$BZ$1,0),FALSE)),VLOOKUP($A158,Haver_M!$B$1:$BZ$300,MATCH(data!AQ$1,Haver_M!$B$1:$BZ$1,0),FALSE),"")</f>
        <v>56.347799999999999</v>
      </c>
      <c r="AR158">
        <f>IF(ISNUMBER(VLOOKUP($A158,Haver_M!$B$1:$BZ$300,MATCH(data!AR$1,Haver_M!$B$1:$BZ$1,0),FALSE)),VLOOKUP($A158,Haver_M!$B$1:$BZ$300,MATCH(data!AR$1,Haver_M!$B$1:$BZ$1,0),FALSE),"")</f>
        <v>53.179499999999997</v>
      </c>
      <c r="AS158">
        <f>IF(ISNUMBER(VLOOKUP($A158,Haver_M!$B$1:$BZ$300,MATCH(data!AS$1,Haver_M!$B$1:$BZ$1,0),FALSE)),VLOOKUP($A158,Haver_M!$B$1:$BZ$300,MATCH(data!AS$1,Haver_M!$B$1:$BZ$1,0),FALSE),"")</f>
        <v>57.458500000000001</v>
      </c>
      <c r="AT158">
        <f>IF(ISNUMBER(VLOOKUP($A158,Haver_M!$B$1:$BZ$300,MATCH(data!AT$1,Haver_M!$B$1:$BZ$1,0),FALSE)),VLOOKUP($A158,Haver_M!$B$1:$BZ$300,MATCH(data!AT$1,Haver_M!$B$1:$BZ$1,0),FALSE),"")</f>
        <v>54.042200000000001</v>
      </c>
      <c r="AU158">
        <f>IF(ISNUMBER(VLOOKUP($A158,Haver_M!$B$1:$BZ$300,MATCH(data!AU$1,Haver_M!$B$1:$BZ$1,0),FALSE)),VLOOKUP($A158,Haver_M!$B$1:$BZ$300,MATCH(data!AU$1,Haver_M!$B$1:$BZ$1,0),FALSE),"")</f>
        <v>55.856000000000002</v>
      </c>
      <c r="AV158">
        <f>IF(ISNUMBER(VLOOKUP($A158,Haver_M!$B$1:$BZ$300,MATCH(data!AV$1,Haver_M!$B$1:$BZ$1,0),FALSE)),VLOOKUP($A158,Haver_M!$B$1:$BZ$300,MATCH(data!AV$1,Haver_M!$B$1:$BZ$1,0),FALSE),"")</f>
        <v>51.078400000000002</v>
      </c>
      <c r="AW158">
        <f>IF(ISNUMBER(VLOOKUP($A158,Haver_M!$B$1:$BZ$300,MATCH(data!AW$1,Haver_M!$B$1:$BZ$1,0),FALSE)),VLOOKUP($A158,Haver_M!$B$1:$BZ$300,MATCH(data!AW$1,Haver_M!$B$1:$BZ$1,0),FALSE),"")</f>
        <v>49.519199999999998</v>
      </c>
      <c r="AX158">
        <f>IF(ISNUMBER(VLOOKUP($A158,Haver_M!$B$1:$BZ$300,MATCH(data!AX$1,Haver_M!$B$1:$BZ$1,0),FALSE)),VLOOKUP($A158,Haver_M!$B$1:$BZ$300,MATCH(data!AX$1,Haver_M!$B$1:$BZ$1,0),FALSE),"")</f>
        <v>51.243499999999997</v>
      </c>
      <c r="AY158">
        <f>IF(ISNUMBER(VLOOKUP($A158,Haver_M!$B$1:$BZ$300,MATCH(data!AY$1,Haver_M!$B$1:$BZ$1,0),FALSE)),VLOOKUP($A158,Haver_M!$B$1:$BZ$300,MATCH(data!AY$1,Haver_M!$B$1:$BZ$1,0),FALSE),"")</f>
        <v>58.909100000000002</v>
      </c>
      <c r="AZ158">
        <f>IF(ISNUMBER(VLOOKUP($A158,Haver_M!$B$1:$BZ$300,MATCH(data!AZ$1,Haver_M!$B$1:$BZ$1,0),FALSE)),VLOOKUP($A158,Haver_M!$B$1:$BZ$300,MATCH(data!AZ$1,Haver_M!$B$1:$BZ$1,0),FALSE),"")</f>
        <v>54.466299999999997</v>
      </c>
      <c r="BA158">
        <f>IF(ISNUMBER(VLOOKUP($A158,Haver_M!$B$1:$BZ$300,MATCH(data!BA$1,Haver_M!$B$1:$BZ$1,0),FALSE)),VLOOKUP($A158,Haver_M!$B$1:$BZ$300,MATCH(data!BA$1,Haver_M!$B$1:$BZ$1,0),FALSE),"")</f>
        <v>51.243499999999997</v>
      </c>
      <c r="BB158">
        <f>IF(ISNUMBER(VLOOKUP($A158,Haver_M!$B$1:$BZ$300,MATCH(data!BB$1,Haver_M!$B$1:$BZ$1,0),FALSE)),VLOOKUP($A158,Haver_M!$B$1:$BZ$300,MATCH(data!BB$1,Haver_M!$B$1:$BZ$1,0),FALSE),"")</f>
        <v>54.557699999999997</v>
      </c>
      <c r="BC158">
        <f>IF(ISNUMBER(VLOOKUP($A158,Haver_M!$B$1:$BZ$300,MATCH(data!BC$1,Haver_M!$B$1:$BZ$1,0),FALSE)),VLOOKUP($A158,Haver_M!$B$1:$BZ$300,MATCH(data!BC$1,Haver_M!$B$1:$BZ$1,0),FALSE),"")</f>
        <v>54.964700000000001</v>
      </c>
      <c r="BD158">
        <f>IF(ISNUMBER(VLOOKUP($A158,Haver_M!$B$1:$BZ$300,MATCH(data!BD$1,Haver_M!$B$1:$BZ$1,0),FALSE)),VLOOKUP($A158,Haver_M!$B$1:$BZ$300,MATCH(data!BD$1,Haver_M!$B$1:$BZ$1,0),FALSE),"")</f>
        <v>53.185099999999998</v>
      </c>
      <c r="BE158">
        <f>IF(ISNUMBER(VLOOKUP($A158,Haver_M!$B$1:$BZ$300,MATCH(data!BE$1,Haver_M!$B$1:$BZ$1,0),FALSE)),VLOOKUP($A158,Haver_M!$B$1:$BZ$300,MATCH(data!BE$1,Haver_M!$B$1:$BZ$1,0),FALSE),"")</f>
        <v>1.1588000000000001</v>
      </c>
      <c r="BF158">
        <f>IF(ISNUMBER(VLOOKUP($A158,Haver_M!$B$1:$BZ$300,MATCH(data!BF$1,Haver_M!$B$1:$BZ$1,0),FALSE)),VLOOKUP($A158,Haver_M!$B$1:$BZ$300,MATCH(data!BF$1,Haver_M!$B$1:$BZ$1,0),FALSE),"")</f>
        <v>51.017400000000002</v>
      </c>
      <c r="BG158">
        <f>IF(ISNUMBER(VLOOKUP($A158,Haver_M!$B$1:$BZ$300,MATCH(data!BG$1,Haver_M!$B$1:$BZ$1,0),FALSE)),VLOOKUP($A158,Haver_M!$B$1:$BZ$300,MATCH(data!BG$1,Haver_M!$B$1:$BZ$1,0),FALSE),"")</f>
        <v>52.963200000000001</v>
      </c>
      <c r="BH158">
        <f>IF(ISNUMBER(VLOOKUP($A158,Haver_M!$B$1:$BZ$300,MATCH(data!BH$1,Haver_M!$B$1:$BZ$1,0),FALSE)),VLOOKUP($A158,Haver_M!$B$1:$BZ$300,MATCH(data!BH$1,Haver_M!$B$1:$BZ$1,0),FALSE),"")</f>
        <v>58.333300000000001</v>
      </c>
      <c r="BI158">
        <f>IF(ISNUMBER(VLOOKUP($A158,Haver_M!$B$1:$BZ$300,MATCH(data!BI$1,Haver_M!$B$1:$BZ$1,0),FALSE)),VLOOKUP($A158,Haver_M!$B$1:$BZ$300,MATCH(data!BI$1,Haver_M!$B$1:$BZ$1,0),FALSE),"")</f>
        <v>53.995699999999999</v>
      </c>
      <c r="BJ158" t="str">
        <f>IF(ISNUMBER(VLOOKUP($A158,Haver_M!$B$1:$BZ$300,MATCH(data!BJ$1,Haver_M!$B$1:$BZ$1,0),FALSE)),VLOOKUP($A158,Haver_M!$B$1:$BZ$300,MATCH(data!BJ$1,Haver_M!$B$1:$BZ$1,0),FALSE),"")</f>
        <v/>
      </c>
      <c r="BK158">
        <f>IF(ISNUMBER(VLOOKUP($A158,Haver_M!$B$1:$BZ$300,MATCH(data!BK$1,Haver_M!$B$1:$BZ$1,0),FALSE)),VLOOKUP($A158,Haver_M!$B$1:$BZ$300,MATCH(data!BK$1,Haver_M!$B$1:$BZ$1,0),FALSE),"")</f>
        <v>50.675600000000003</v>
      </c>
      <c r="BL158">
        <f>IF(ISNUMBER(VLOOKUP($A158,Haver_M!$B$1:$BZ$300,MATCH(data!BL$1,Haver_M!$B$1:$BZ$1,0),FALSE)),VLOOKUP($A158,Haver_M!$B$1:$BZ$300,MATCH(data!BL$1,Haver_M!$B$1:$BZ$1,0),FALSE),"")</f>
        <v>19874.66</v>
      </c>
      <c r="BM158">
        <f>IF(ISNUMBER(VLOOKUP($A158,Haver_M!$B$1:$BZ$300,MATCH(data!BM$1,Haver_M!$B$1:$BZ$1,0),FALSE)),VLOOKUP($A158,Haver_M!$B$1:$BZ$300,MATCH(data!BM$1,Haver_M!$B$1:$BZ$1,0),FALSE),"")</f>
        <v>98.952627849999999</v>
      </c>
      <c r="BN158" t="str">
        <f>IF(ISNUMBER(VLOOKUP($A158,Haver_M!$B$1:$BZ$300,MATCH(data!BN$1,Haver_M!$B$1:$BZ$1,0),FALSE)),VLOOKUP($A158,Haver_M!$B$1:$BZ$300,MATCH(data!BN$1,Haver_M!$B$1:$BZ$1,0),FALSE),"")</f>
        <v/>
      </c>
      <c r="BO158" t="str">
        <f>IF(ISNUMBER(VLOOKUP($A158,Haver_M!$B$1:$BZ$300,MATCH(data!BO$1,Haver_M!$B$1:$BZ$1,0),FALSE)),VLOOKUP($A158,Haver_M!$B$1:$BZ$300,MATCH(data!BO$1,Haver_M!$B$1:$BZ$1,0),FALSE),"")</f>
        <v/>
      </c>
      <c r="BP158" t="str">
        <f>IF(ISNUMBER(VLOOKUP($A158,Haver_M!$B$1:$BZ$300,MATCH(data!BP$1,Haver_M!$B$1:$BZ$1,0),FALSE)),VLOOKUP($A158,Haver_M!$B$1:$BZ$300,MATCH(data!BP$1,Haver_M!$B$1:$BZ$1,0),FALSE),"")</f>
        <v/>
      </c>
      <c r="BQ158">
        <f>IF(ISNUMBER(VLOOKUP($A158,Haver_M!$B$1:$BZ$300,MATCH(data!BQ$1,Haver_M!$B$1:$BZ$1,0),FALSE)),VLOOKUP($A158,Haver_M!$B$1:$BZ$300,MATCH(data!BQ$1,Haver_M!$B$1:$BZ$1,0),FALSE),"")</f>
        <v>159.59077117945091</v>
      </c>
      <c r="BR158">
        <f>IF(ISNUMBER(VLOOKUP($A158,Haver_M!$B$1:$BZ$300,MATCH(data!BR$1,Haver_M!$B$1:$BZ$1,0),FALSE)),VLOOKUP($A158,Haver_M!$B$1:$BZ$300,MATCH(data!BR$1,Haver_M!$B$1:$BZ$1,0),FALSE),"")</f>
        <v>393.45727288794626</v>
      </c>
      <c r="BS158">
        <f>IF(ISNUMBER(VLOOKUP($A158,Haver_M!$B$1:$BZ$300,MATCH(data!BS$1,Haver_M!$B$1:$BZ$1,0),FALSE)),VLOOKUP($A158,Haver_M!$B$1:$BZ$300,MATCH(data!BS$1,Haver_M!$B$1:$BZ$1,0),FALSE),"")</f>
        <v>197.37355661600094</v>
      </c>
      <c r="BT158">
        <f>IF(ISNUMBER(VLOOKUP($A158,Haver_M!$B$1:$BZ$300,MATCH(data!BT$1,Haver_M!$B$1:$BZ$1,0),FALSE)),VLOOKUP($A158,Haver_M!$B$1:$BZ$300,MATCH(data!BT$1,Haver_M!$B$1:$BZ$1,0),FALSE),"")</f>
        <v>855.73542624013191</v>
      </c>
      <c r="BU158">
        <f>IF(ISNUMBER(VLOOKUP($A158,Haver_M!$B$1:$BZ$300,MATCH(data!BU$1,Haver_M!$B$1:$BZ$1,0),FALSE)),VLOOKUP($A158,Haver_M!$B$1:$BZ$300,MATCH(data!BU$1,Haver_M!$B$1:$BZ$1,0),FALSE),"")</f>
        <v>25775.19</v>
      </c>
      <c r="BV158">
        <f>IF(ISNUMBER(VLOOKUP($A158,Haver_M!$B$1:$BZ$300,MATCH(data!BV$1,Haver_M!$B$1:$BZ$1,0),FALSE)),VLOOKUP($A158,Haver_M!$B$1:$BZ$300,MATCH(data!BV$1,Haver_M!$B$1:$BZ$1,0),FALSE),"")</f>
        <v>44754.68</v>
      </c>
      <c r="BW158">
        <f>IF(ISNUMBER(VLOOKUP($A158,Haver_M!$B$1:$BZ$300,MATCH(data!BW$1,Haver_M!$B$1:$BZ$1,0),FALSE)),VLOOKUP($A158,Haver_M!$B$1:$BZ$300,MATCH(data!BW$1,Haver_M!$B$1:$BZ$1,0),FALSE),"")</f>
        <v>54.316800000000001</v>
      </c>
      <c r="BX158">
        <f>IF(ISNUMBER(VLOOKUP($A158,Haver_M!$B$1:$BZ$300,MATCH(data!BX$1,Haver_M!$B$1:$BZ$1,0),FALSE)),VLOOKUP($A158,Haver_M!$B$1:$BZ$300,MATCH(data!BX$1,Haver_M!$B$1:$BZ$1,0),FALSE),"")</f>
        <v>66283</v>
      </c>
    </row>
    <row r="159" spans="1:76" x14ac:dyDescent="0.25">
      <c r="A159" s="2">
        <v>41333</v>
      </c>
      <c r="B159" t="str">
        <f>IF(ISNUMBER(VLOOKUP($A159,Haver_Q!$B$1:$L$185,MATCH(data!B$1,Haver_Q!$B$1:$L$1,0),FALSE)),100*(VLOOKUP($A159,Haver_Q!$B$1:$L$185,MATCH(data!B$1,Haver_Q!$B$1:$L$1,0),FALSE)),"")</f>
        <v/>
      </c>
      <c r="C159" t="str">
        <f>IF(ISNUMBER(VLOOKUP($A159,Haver_Q!$B$1:$L$185,MATCH(data!C$1,Haver_Q!$B$1:$L$1,0),FALSE)),100*(VLOOKUP($A159,Haver_Q!$B$1:$L$185,MATCH(data!C$1,Haver_Q!$B$1:$L$1,0),FALSE)),"")</f>
        <v/>
      </c>
      <c r="D159" t="str">
        <f>IF(ISNUMBER(VLOOKUP($A159,Haver_Q!$B$1:$L$185,MATCH(data!D$1,Haver_Q!$B$1:$L$1,0),FALSE)),100*(VLOOKUP($A159,Haver_Q!$B$1:$L$185,MATCH(data!D$1,Haver_Q!$B$1:$L$1,0),FALSE)),"")</f>
        <v/>
      </c>
      <c r="E159" t="str">
        <f>IF(ISNUMBER(VLOOKUP($A159,Haver_Q!$B$1:$L$185,MATCH(data!E$1,Haver_Q!$B$1:$L$1,0),FALSE)),100*(VLOOKUP($A159,Haver_Q!$B$1:$L$185,MATCH(data!E$1,Haver_Q!$B$1:$L$1,0),FALSE)),"")</f>
        <v/>
      </c>
      <c r="F159" t="str">
        <f>IF(ISNUMBER(VLOOKUP($A159,Haver_Q!$B$1:$L$185,MATCH(data!F$1,Haver_Q!$B$1:$L$1,0),FALSE)),100*(VLOOKUP($A159,Haver_Q!$B$1:$L$185,MATCH(data!F$1,Haver_Q!$B$1:$L$1,0),FALSE)),"")</f>
        <v/>
      </c>
      <c r="G159" t="str">
        <f>IF(ISNUMBER(VLOOKUP($A159,Haver_Q!$B$1:$L$185,MATCH(data!G$1,Haver_Q!$B$1:$L$1,0),FALSE)),100*(VLOOKUP($A159,Haver_Q!$B$1:$L$185,MATCH(data!G$1,Haver_Q!$B$1:$L$1,0),FALSE)),"")</f>
        <v/>
      </c>
      <c r="H159" t="str">
        <f>IF(ISNUMBER(VLOOKUP($A159,Haver_Q!$B$1:$L$185,MATCH(data!H$1,Haver_Q!$B$1:$L$1,0),FALSE)),(VLOOKUP($A159,Haver_Q!$B$1:$L$185,MATCH(data!H$1,Haver_Q!$B$1:$L$1,0),FALSE)),"")</f>
        <v/>
      </c>
      <c r="I159" t="str">
        <f>IF(ISNUMBER(VLOOKUP($A159,Haver_Q!$B$1:$L$185,MATCH(data!I$1,Haver_Q!$B$1:$L$1,0),FALSE)),100*(VLOOKUP($A159,Haver_Q!$B$1:$L$185,MATCH(data!I$1,Haver_Q!$B$1:$L$1,0),FALSE)),"")</f>
        <v/>
      </c>
      <c r="J159" s="3">
        <f>IF(ISNUMBER(Bloomberg_m!C175),Bloomberg_m!C175,"")</f>
        <v>745</v>
      </c>
      <c r="K159" s="3">
        <f>IF(ISNUMBER(Bloomberg_m!D175),Bloomberg_m!D175,"")</f>
        <v>2129.15</v>
      </c>
      <c r="L159" s="3">
        <f>IF(ISNUMBER(Bloomberg_m!E175),Bloomberg_m!E175,"")</f>
        <v>1197.7</v>
      </c>
      <c r="M159" s="3">
        <f>IF(ISNUMBER(Bloomberg_m!F175),Bloomberg_m!F175,"")</f>
        <v>447.11</v>
      </c>
      <c r="N159">
        <f>IF(ISNUMBER(VLOOKUP($A159,Haver_M!$B$1:$BZ$300,MATCH(data!N$1,Haver_M!$B$1:$BZ$1,0),FALSE)),VLOOKUP($A159,Haver_M!$B$1:$BZ$300,MATCH(data!N$1,Haver_M!$B$1:$BZ$1,0),FALSE),"")</f>
        <v>7.75</v>
      </c>
      <c r="O159">
        <f>IF(ISNUMBER(VLOOKUP($A159,Haver_M!$B$1:$BZ$300,MATCH(data!O$1,Haver_M!$B$1:$BZ$1,0),FALSE)),VLOOKUP($A159,Haver_M!$B$1:$BZ$300,MATCH(data!O$1,Haver_M!$B$1:$BZ$1,0),FALSE),"")</f>
        <v>7.9241000000000001</v>
      </c>
      <c r="P159">
        <f>IF(ISNUMBER(VLOOKUP($A159,Haver_M!$B$1:$BZ$300,MATCH(data!P$1,Haver_M!$B$1:$BZ$1,0),FALSE)),VLOOKUP($A159,Haver_M!$B$1:$BZ$300,MATCH(data!P$1,Haver_M!$B$1:$BZ$1,0),FALSE),"")</f>
        <v>92.81474</v>
      </c>
      <c r="Q159">
        <f>IF(ISNUMBER(VLOOKUP($A159,Haver_M!$B$1:$BZ$300,MATCH(data!Q$1,Haver_M!$B$1:$BZ$1,0),FALSE)),VLOOKUP($A159,Haver_M!$B$1:$BZ$300,MATCH(data!Q$1,Haver_M!$B$1:$BZ$1,0),FALSE),"")</f>
        <v>105.9</v>
      </c>
      <c r="R159">
        <f>IF(ISNUMBER(VLOOKUP($A159,Haver_M!$B$1:$BZ$300,MATCH(data!R$1,Haver_M!$B$1:$BZ$1,0),FALSE)),VLOOKUP($A159,Haver_M!$B$1:$BZ$300,MATCH(data!R$1,Haver_M!$B$1:$BZ$1,0),FALSE),"")</f>
        <v>105.2</v>
      </c>
      <c r="S159">
        <f>IF(ISNUMBER(VLOOKUP($A159,Haver_M!$B$1:$BZ$300,MATCH(data!S$1,Haver_M!$B$1:$BZ$1,0),FALSE)),VLOOKUP($A159,Haver_M!$B$1:$BZ$300,MATCH(data!S$1,Haver_M!$B$1:$BZ$1,0),FALSE),"")</f>
        <v>103.25</v>
      </c>
      <c r="T159">
        <f>IF(ISNUMBER(VLOOKUP($A159,Haver_M!$B$1:$BZ$300,MATCH(data!T$1,Haver_M!$B$1:$BZ$1,0),FALSE)),VLOOKUP($A159,Haver_M!$B$1:$BZ$300,MATCH(data!T$1,Haver_M!$B$1:$BZ$1,0),FALSE),"")</f>
        <v>98.66</v>
      </c>
      <c r="U159">
        <f>IF(ISNUMBER(VLOOKUP($A159,Haver_M!$B$1:$BZ$300,MATCH(data!U$1,Haver_M!$B$1:$BZ$1,0),FALSE)),VLOOKUP($A159,Haver_M!$B$1:$BZ$300,MATCH(data!U$1,Haver_M!$B$1:$BZ$1,0),FALSE),"")</f>
        <v>99.93</v>
      </c>
      <c r="V159">
        <f>IF(ISNUMBER(VLOOKUP($A159,Haver_M!$B$1:$BZ$300,MATCH(data!V$1,Haver_M!$B$1:$BZ$1,0),FALSE)),VLOOKUP($A159,Haver_M!$B$1:$BZ$300,MATCH(data!V$1,Haver_M!$B$1:$BZ$1,0),FALSE),"")</f>
        <v>106.6</v>
      </c>
      <c r="W159">
        <f>IF(ISNUMBER(VLOOKUP($A159,Haver_M!$B$1:$BZ$300,MATCH(data!W$1,Haver_M!$B$1:$BZ$1,0),FALSE)),VLOOKUP($A159,Haver_M!$B$1:$BZ$300,MATCH(data!W$1,Haver_M!$B$1:$BZ$1,0),FALSE),"")</f>
        <v>106.7</v>
      </c>
      <c r="X159">
        <f>IF(ISNUMBER(VLOOKUP($A159,Haver_M!$B$1:$BZ$300,MATCH(data!X$1,Haver_M!$B$1:$BZ$1,0),FALSE)),VLOOKUP($A159,Haver_M!$B$1:$BZ$300,MATCH(data!X$1,Haver_M!$B$1:$BZ$1,0),FALSE),"")</f>
        <v>104.93</v>
      </c>
      <c r="Y159">
        <f>IF(ISNUMBER(VLOOKUP($A159,Haver_M!$B$1:$BZ$300,MATCH(data!Y$1,Haver_M!$B$1:$BZ$1,0),FALSE)),VLOOKUP($A159,Haver_M!$B$1:$BZ$300,MATCH(data!Y$1,Haver_M!$B$1:$BZ$1,0),FALSE),"")</f>
        <v>104.56</v>
      </c>
      <c r="Z159">
        <f>IF(ISNUMBER(VLOOKUP($A159,Haver_M!$B$1:$BZ$300,MATCH(data!Z$1,Haver_M!$B$1:$BZ$1,0),FALSE)),VLOOKUP($A159,Haver_M!$B$1:$BZ$300,MATCH(data!Z$1,Haver_M!$B$1:$BZ$1,0),FALSE),"")</f>
        <v>104.1</v>
      </c>
      <c r="AA159">
        <f>IF(ISNUMBER(VLOOKUP($A159,Haver_M!$B$1:$BZ$300,MATCH(data!AA$1,Haver_M!$B$1:$BZ$1,0),FALSE)),VLOOKUP($A159,Haver_M!$B$1:$BZ$300,MATCH(data!AA$1,Haver_M!$B$1:$BZ$1,0),FALSE),"")</f>
        <v>102.639</v>
      </c>
      <c r="AB159">
        <f>IF(ISNUMBER(VLOOKUP($A159,Haver_M!$B$1:$BZ$300,MATCH(data!AB$1,Haver_M!$B$1:$BZ$1,0),FALSE)),VLOOKUP($A159,Haver_M!$B$1:$BZ$300,MATCH(data!AB$1,Haver_M!$B$1:$BZ$1,0),FALSE),"")</f>
        <v>98.388999999999996</v>
      </c>
      <c r="AC159">
        <f>IF(ISNUMBER(VLOOKUP($A159,Haver_M!$B$1:$BZ$300,MATCH(data!AC$1,Haver_M!$B$1:$BZ$1,0),FALSE)),VLOOKUP($A159,Haver_M!$B$1:$BZ$300,MATCH(data!AC$1,Haver_M!$B$1:$BZ$1,0),FALSE),"")</f>
        <v>79.040999999999997</v>
      </c>
      <c r="AD159">
        <f>IF(ISNUMBER(VLOOKUP($A159,Haver_M!$B$1:$BZ$300,MATCH(data!AD$1,Haver_M!$B$1:$BZ$1,0),FALSE)),VLOOKUP($A159,Haver_M!$B$1:$BZ$300,MATCH(data!AD$1,Haver_M!$B$1:$BZ$1,0),FALSE),"")</f>
        <v>108.133</v>
      </c>
      <c r="AE159">
        <f>IF(ISNUMBER(VLOOKUP($A159,Haver_M!$B$1:$BZ$300,MATCH(data!AE$1,Haver_M!$B$1:$BZ$1,0),FALSE)),VLOOKUP($A159,Haver_M!$B$1:$BZ$300,MATCH(data!AE$1,Haver_M!$B$1:$BZ$1,0),FALSE),"")</f>
        <v>96.933999999999997</v>
      </c>
      <c r="AF159">
        <f>IF(ISNUMBER(VLOOKUP($A159,Haver_M!$B$1:$BZ$300,MATCH(data!AF$1,Haver_M!$B$1:$BZ$1,0),FALSE)),VLOOKUP($A159,Haver_M!$B$1:$BZ$300,MATCH(data!AF$1,Haver_M!$B$1:$BZ$1,0),FALSE),"")</f>
        <v>108.178</v>
      </c>
      <c r="AG159">
        <f>IF(ISNUMBER(VLOOKUP($A159,Haver_M!$B$1:$BZ$300,MATCH(data!AG$1,Haver_M!$B$1:$BZ$1,0),FALSE)),VLOOKUP($A159,Haver_M!$B$1:$BZ$300,MATCH(data!AG$1,Haver_M!$B$1:$BZ$1,0),FALSE),"")</f>
        <v>111.6</v>
      </c>
      <c r="AH159">
        <f>IF(ISNUMBER(VLOOKUP($A159,Haver_M!$B$1:$BZ$300,MATCH(data!AH$1,Haver_M!$B$1:$BZ$1,0),FALSE)),VLOOKUP($A159,Haver_M!$B$1:$BZ$300,MATCH(data!AH$1,Haver_M!$B$1:$BZ$1,0),FALSE),"")</f>
        <v>102.971</v>
      </c>
      <c r="AI159">
        <f>IF(ISNUMBER(VLOOKUP($A159,Haver_M!$B$1:$BZ$300,MATCH(data!AI$1,Haver_M!$B$1:$BZ$1,0),FALSE)),VLOOKUP($A159,Haver_M!$B$1:$BZ$300,MATCH(data!AI$1,Haver_M!$B$1:$BZ$1,0),FALSE),"")</f>
        <v>12851.548739105656</v>
      </c>
      <c r="AJ159">
        <f>IF(ISNUMBER(VLOOKUP($A159,Haver_M!$B$1:$BZ$300,MATCH(data!AJ$1,Haver_M!$B$1:$BZ$1,0),FALSE)),VLOOKUP($A159,Haver_M!$B$1:$BZ$300,MATCH(data!AJ$1,Haver_M!$B$1:$BZ$1,0),FALSE),"")</f>
        <v>27316.59</v>
      </c>
      <c r="AK159">
        <f>IF(ISNUMBER(VLOOKUP($A159,Haver_M!$B$1:$BZ$300,MATCH(data!AK$1,Haver_M!$B$1:$BZ$1,0),FALSE)),VLOOKUP($A159,Haver_M!$B$1:$BZ$300,MATCH(data!AK$1,Haver_M!$B$1:$BZ$1,0),FALSE),"")</f>
        <v>43221.53</v>
      </c>
      <c r="AL159">
        <f>IF(ISNUMBER(VLOOKUP($A159,Haver_M!$B$1:$BZ$300,MATCH(data!AL$1,Haver_M!$B$1:$BZ$1,0),FALSE)),VLOOKUP($A159,Haver_M!$B$1:$BZ$300,MATCH(data!AL$1,Haver_M!$B$1:$BZ$1,0),FALSE),"")</f>
        <v>12287</v>
      </c>
      <c r="AM159">
        <f>IF(ISNUMBER(VLOOKUP($A159,Haver_M!$B$1:$BZ$300,MATCH(data!AM$1,Haver_M!$B$1:$BZ$1,0),FALSE)),VLOOKUP($A159,Haver_M!$B$1:$BZ$300,MATCH(data!AM$1,Haver_M!$B$1:$BZ$1,0),FALSE),"")</f>
        <v>6349</v>
      </c>
      <c r="AN159" t="str">
        <f>IF(ISNUMBER(VLOOKUP($A159,Haver_M!$B$1:$BZ$300,MATCH(data!AN$1,Haver_M!$B$1:$BZ$1,0),FALSE)),VLOOKUP($A159,Haver_M!$B$1:$BZ$300,MATCH(data!AN$1,Haver_M!$B$1:$BZ$1,0),FALSE),"")</f>
        <v/>
      </c>
      <c r="AO159" t="str">
        <f>IF(ISNUMBER(VLOOKUP($A159,Haver_M!$B$1:$BZ$300,MATCH(data!AO$1,Haver_M!$B$1:$BZ$1,0),FALSE)),VLOOKUP($A159,Haver_M!$B$1:$BZ$300,MATCH(data!AO$1,Haver_M!$B$1:$BZ$1,0),FALSE),"")</f>
        <v/>
      </c>
      <c r="AP159">
        <f>IF(ISNUMBER(VLOOKUP($A159,Haver_M!$B$1:$BZ$300,MATCH(data!AP$1,Haver_M!$B$1:$BZ$1,0),FALSE)),VLOOKUP($A159,Haver_M!$B$1:$BZ$300,MATCH(data!AP$1,Haver_M!$B$1:$BZ$1,0),FALSE),"")</f>
        <v>130.97583174278296</v>
      </c>
      <c r="AQ159">
        <f>IF(ISNUMBER(VLOOKUP($A159,Haver_M!$B$1:$BZ$300,MATCH(data!AQ$1,Haver_M!$B$1:$BZ$1,0),FALSE)),VLOOKUP($A159,Haver_M!$B$1:$BZ$300,MATCH(data!AQ$1,Haver_M!$B$1:$BZ$1,0),FALSE),"")</f>
        <v>54.848399999999998</v>
      </c>
      <c r="AR159">
        <f>IF(ISNUMBER(VLOOKUP($A159,Haver_M!$B$1:$BZ$300,MATCH(data!AR$1,Haver_M!$B$1:$BZ$1,0),FALSE)),VLOOKUP($A159,Haver_M!$B$1:$BZ$300,MATCH(data!AR$1,Haver_M!$B$1:$BZ$1,0),FALSE),"")</f>
        <v>54.2074</v>
      </c>
      <c r="AS159">
        <f>IF(ISNUMBER(VLOOKUP($A159,Haver_M!$B$1:$BZ$300,MATCH(data!AS$1,Haver_M!$B$1:$BZ$1,0),FALSE)),VLOOKUP($A159,Haver_M!$B$1:$BZ$300,MATCH(data!AS$1,Haver_M!$B$1:$BZ$1,0),FALSE),"")</f>
        <v>54.150599999999997</v>
      </c>
      <c r="AT159">
        <f>IF(ISNUMBER(VLOOKUP($A159,Haver_M!$B$1:$BZ$300,MATCH(data!AT$1,Haver_M!$B$1:$BZ$1,0),FALSE)),VLOOKUP($A159,Haver_M!$B$1:$BZ$300,MATCH(data!AT$1,Haver_M!$B$1:$BZ$1,0),FALSE),"")</f>
        <v>56.296799999999998</v>
      </c>
      <c r="AU159">
        <f>IF(ISNUMBER(VLOOKUP($A159,Haver_M!$B$1:$BZ$300,MATCH(data!AU$1,Haver_M!$B$1:$BZ$1,0),FALSE)),VLOOKUP($A159,Haver_M!$B$1:$BZ$300,MATCH(data!AU$1,Haver_M!$B$1:$BZ$1,0),FALSE),"")</f>
        <v>56.290300000000002</v>
      </c>
      <c r="AV159">
        <f>IF(ISNUMBER(VLOOKUP($A159,Haver_M!$B$1:$BZ$300,MATCH(data!AV$1,Haver_M!$B$1:$BZ$1,0),FALSE)),VLOOKUP($A159,Haver_M!$B$1:$BZ$300,MATCH(data!AV$1,Haver_M!$B$1:$BZ$1,0),FALSE),"")</f>
        <v>51.012</v>
      </c>
      <c r="AW159">
        <f>IF(ISNUMBER(VLOOKUP($A159,Haver_M!$B$1:$BZ$300,MATCH(data!AW$1,Haver_M!$B$1:$BZ$1,0),FALSE)),VLOOKUP($A159,Haver_M!$B$1:$BZ$300,MATCH(data!AW$1,Haver_M!$B$1:$BZ$1,0),FALSE),"")</f>
        <v>48.361400000000003</v>
      </c>
      <c r="AX159">
        <f>IF(ISNUMBER(VLOOKUP($A159,Haver_M!$B$1:$BZ$300,MATCH(data!AX$1,Haver_M!$B$1:$BZ$1,0),FALSE)),VLOOKUP($A159,Haver_M!$B$1:$BZ$300,MATCH(data!AX$1,Haver_M!$B$1:$BZ$1,0),FALSE),"")</f>
        <v>52.979500000000002</v>
      </c>
      <c r="AY159">
        <f>IF(ISNUMBER(VLOOKUP($A159,Haver_M!$B$1:$BZ$300,MATCH(data!AY$1,Haver_M!$B$1:$BZ$1,0),FALSE)),VLOOKUP($A159,Haver_M!$B$1:$BZ$300,MATCH(data!AY$1,Haver_M!$B$1:$BZ$1,0),FALSE),"")</f>
        <v>58.854300000000002</v>
      </c>
      <c r="AZ159">
        <f>IF(ISNUMBER(VLOOKUP($A159,Haver_M!$B$1:$BZ$300,MATCH(data!AZ$1,Haver_M!$B$1:$BZ$1,0),FALSE)),VLOOKUP($A159,Haver_M!$B$1:$BZ$300,MATCH(data!AZ$1,Haver_M!$B$1:$BZ$1,0),FALSE),"")</f>
        <v>56.427199999999999</v>
      </c>
      <c r="BA159">
        <f>IF(ISNUMBER(VLOOKUP($A159,Haver_M!$B$1:$BZ$300,MATCH(data!BA$1,Haver_M!$B$1:$BZ$1,0),FALSE)),VLOOKUP($A159,Haver_M!$B$1:$BZ$300,MATCH(data!BA$1,Haver_M!$B$1:$BZ$1,0),FALSE),"")</f>
        <v>52.979500000000002</v>
      </c>
      <c r="BB159">
        <f>IF(ISNUMBER(VLOOKUP($A159,Haver_M!$B$1:$BZ$300,MATCH(data!BB$1,Haver_M!$B$1:$BZ$1,0),FALSE)),VLOOKUP($A159,Haver_M!$B$1:$BZ$300,MATCH(data!BB$1,Haver_M!$B$1:$BZ$1,0),FALSE),"")</f>
        <v>53.1785</v>
      </c>
      <c r="BC159">
        <f>IF(ISNUMBER(VLOOKUP($A159,Haver_M!$B$1:$BZ$300,MATCH(data!BC$1,Haver_M!$B$1:$BZ$1,0),FALSE)),VLOOKUP($A159,Haver_M!$B$1:$BZ$300,MATCH(data!BC$1,Haver_M!$B$1:$BZ$1,0),FALSE),"")</f>
        <v>57.912199999999999</v>
      </c>
      <c r="BD159">
        <f>IF(ISNUMBER(VLOOKUP($A159,Haver_M!$B$1:$BZ$300,MATCH(data!BD$1,Haver_M!$B$1:$BZ$1,0),FALSE)),VLOOKUP($A159,Haver_M!$B$1:$BZ$300,MATCH(data!BD$1,Haver_M!$B$1:$BZ$1,0),FALSE),"")</f>
        <v>52.344700000000003</v>
      </c>
      <c r="BE159">
        <f>IF(ISNUMBER(VLOOKUP($A159,Haver_M!$B$1:$BZ$300,MATCH(data!BE$1,Haver_M!$B$1:$BZ$1,0),FALSE)),VLOOKUP($A159,Haver_M!$B$1:$BZ$300,MATCH(data!BE$1,Haver_M!$B$1:$BZ$1,0),FALSE),"")</f>
        <v>1.0979000000000001</v>
      </c>
      <c r="BF159">
        <f>IF(ISNUMBER(VLOOKUP($A159,Haver_M!$B$1:$BZ$300,MATCH(data!BF$1,Haver_M!$B$1:$BZ$1,0),FALSE)),VLOOKUP($A159,Haver_M!$B$1:$BZ$300,MATCH(data!BF$1,Haver_M!$B$1:$BZ$1,0),FALSE),"")</f>
        <v>51.3964</v>
      </c>
      <c r="BG159">
        <f>IF(ISNUMBER(VLOOKUP($A159,Haver_M!$B$1:$BZ$300,MATCH(data!BG$1,Haver_M!$B$1:$BZ$1,0),FALSE)),VLOOKUP($A159,Haver_M!$B$1:$BZ$300,MATCH(data!BG$1,Haver_M!$B$1:$BZ$1,0),FALSE),"")</f>
        <v>55.360399999999998</v>
      </c>
      <c r="BH159">
        <f>IF(ISNUMBER(VLOOKUP($A159,Haver_M!$B$1:$BZ$300,MATCH(data!BH$1,Haver_M!$B$1:$BZ$1,0),FALSE)),VLOOKUP($A159,Haver_M!$B$1:$BZ$300,MATCH(data!BH$1,Haver_M!$B$1:$BZ$1,0),FALSE),"")</f>
        <v>55.375599999999999</v>
      </c>
      <c r="BI159">
        <f>IF(ISNUMBER(VLOOKUP($A159,Haver_M!$B$1:$BZ$300,MATCH(data!BI$1,Haver_M!$B$1:$BZ$1,0),FALSE)),VLOOKUP($A159,Haver_M!$B$1:$BZ$300,MATCH(data!BI$1,Haver_M!$B$1:$BZ$1,0),FALSE),"")</f>
        <v>57.171999999999997</v>
      </c>
      <c r="BJ159" t="str">
        <f>IF(ISNUMBER(VLOOKUP($A159,Haver_M!$B$1:$BZ$300,MATCH(data!BJ$1,Haver_M!$B$1:$BZ$1,0),FALSE)),VLOOKUP($A159,Haver_M!$B$1:$BZ$300,MATCH(data!BJ$1,Haver_M!$B$1:$BZ$1,0),FALSE),"")</f>
        <v/>
      </c>
      <c r="BK159">
        <f>IF(ISNUMBER(VLOOKUP($A159,Haver_M!$B$1:$BZ$300,MATCH(data!BK$1,Haver_M!$B$1:$BZ$1,0),FALSE)),VLOOKUP($A159,Haver_M!$B$1:$BZ$300,MATCH(data!BK$1,Haver_M!$B$1:$BZ$1,0),FALSE),"")</f>
        <v>52.958799999999997</v>
      </c>
      <c r="BL159">
        <f>IF(ISNUMBER(VLOOKUP($A159,Haver_M!$B$1:$BZ$300,MATCH(data!BL$1,Haver_M!$B$1:$BZ$1,0),FALSE)),VLOOKUP($A159,Haver_M!$B$1:$BZ$300,MATCH(data!BL$1,Haver_M!$B$1:$BZ$1,0),FALSE),"")</f>
        <v>19463.740000000002</v>
      </c>
      <c r="BM159">
        <f>IF(ISNUMBER(VLOOKUP($A159,Haver_M!$B$1:$BZ$300,MATCH(data!BM$1,Haver_M!$B$1:$BZ$1,0),FALSE)),VLOOKUP($A159,Haver_M!$B$1:$BZ$300,MATCH(data!BM$1,Haver_M!$B$1:$BZ$1,0),FALSE),"")</f>
        <v>98.922075100000001</v>
      </c>
      <c r="BN159" t="str">
        <f>IF(ISNUMBER(VLOOKUP($A159,Haver_M!$B$1:$BZ$300,MATCH(data!BN$1,Haver_M!$B$1:$BZ$1,0),FALSE)),VLOOKUP($A159,Haver_M!$B$1:$BZ$300,MATCH(data!BN$1,Haver_M!$B$1:$BZ$1,0),FALSE),"")</f>
        <v/>
      </c>
      <c r="BO159" t="str">
        <f>IF(ISNUMBER(VLOOKUP($A159,Haver_M!$B$1:$BZ$300,MATCH(data!BO$1,Haver_M!$B$1:$BZ$1,0),FALSE)),VLOOKUP($A159,Haver_M!$B$1:$BZ$300,MATCH(data!BO$1,Haver_M!$B$1:$BZ$1,0),FALSE),"")</f>
        <v/>
      </c>
      <c r="BP159" t="str">
        <f>IF(ISNUMBER(VLOOKUP($A159,Haver_M!$B$1:$BZ$300,MATCH(data!BP$1,Haver_M!$B$1:$BZ$1,0),FALSE)),VLOOKUP($A159,Haver_M!$B$1:$BZ$300,MATCH(data!BP$1,Haver_M!$B$1:$BZ$1,0),FALSE),"")</f>
        <v/>
      </c>
      <c r="BQ159">
        <f>IF(ISNUMBER(VLOOKUP($A159,Haver_M!$B$1:$BZ$300,MATCH(data!BQ$1,Haver_M!$B$1:$BZ$1,0),FALSE)),VLOOKUP($A159,Haver_M!$B$1:$BZ$300,MATCH(data!BQ$1,Haver_M!$B$1:$BZ$1,0),FALSE),"")</f>
        <v>162.16012660464133</v>
      </c>
      <c r="BR159">
        <f>IF(ISNUMBER(VLOOKUP($A159,Haver_M!$B$1:$BZ$300,MATCH(data!BR$1,Haver_M!$B$1:$BZ$1,0),FALSE)),VLOOKUP($A159,Haver_M!$B$1:$BZ$300,MATCH(data!BR$1,Haver_M!$B$1:$BZ$1,0),FALSE),"")</f>
        <v>404.90128073760968</v>
      </c>
      <c r="BS159">
        <f>IF(ISNUMBER(VLOOKUP($A159,Haver_M!$B$1:$BZ$300,MATCH(data!BS$1,Haver_M!$B$1:$BZ$1,0),FALSE)),VLOOKUP($A159,Haver_M!$B$1:$BZ$300,MATCH(data!BS$1,Haver_M!$B$1:$BZ$1,0),FALSE),"")</f>
        <v>204.63404973063041</v>
      </c>
      <c r="BT159">
        <f>IF(ISNUMBER(VLOOKUP($A159,Haver_M!$B$1:$BZ$300,MATCH(data!BT$1,Haver_M!$B$1:$BZ$1,0),FALSE)),VLOOKUP($A159,Haver_M!$B$1:$BZ$300,MATCH(data!BT$1,Haver_M!$B$1:$BZ$1,0),FALSE),"")</f>
        <v>878.73495779535358</v>
      </c>
      <c r="BU159">
        <f>IF(ISNUMBER(VLOOKUP($A159,Haver_M!$B$1:$BZ$300,MATCH(data!BU$1,Haver_M!$B$1:$BZ$1,0),FALSE)),VLOOKUP($A159,Haver_M!$B$1:$BZ$300,MATCH(data!BU$1,Haver_M!$B$1:$BZ$1,0),FALSE),"")</f>
        <v>26668.77</v>
      </c>
      <c r="BV159">
        <f>IF(ISNUMBER(VLOOKUP($A159,Haver_M!$B$1:$BZ$300,MATCH(data!BV$1,Haver_M!$B$1:$BZ$1,0),FALSE)),VLOOKUP($A159,Haver_M!$B$1:$BZ$300,MATCH(data!BV$1,Haver_M!$B$1:$BZ$1,0),FALSE),"")</f>
        <v>40791.99</v>
      </c>
      <c r="BW159">
        <f>IF(ISNUMBER(VLOOKUP($A159,Haver_M!$B$1:$BZ$300,MATCH(data!BW$1,Haver_M!$B$1:$BZ$1,0),FALSE)),VLOOKUP($A159,Haver_M!$B$1:$BZ$300,MATCH(data!BW$1,Haver_M!$B$1:$BZ$1,0),FALSE),"")</f>
        <v>53.773699999999998</v>
      </c>
      <c r="BX159">
        <f>IF(ISNUMBER(VLOOKUP($A159,Haver_M!$B$1:$BZ$300,MATCH(data!BX$1,Haver_M!$B$1:$BZ$1,0),FALSE)),VLOOKUP($A159,Haver_M!$B$1:$BZ$300,MATCH(data!BX$1,Haver_M!$B$1:$BZ$1,0),FALSE),"")</f>
        <v>62943</v>
      </c>
    </row>
    <row r="160" spans="1:76" x14ac:dyDescent="0.25">
      <c r="A160" s="2">
        <v>41364</v>
      </c>
      <c r="B160">
        <f>IF(ISNUMBER(VLOOKUP($A160,Haver_Q!$B$1:$L$185,MATCH(data!B$1,Haver_Q!$B$1:$L$1,0),FALSE)),100*(VLOOKUP($A160,Haver_Q!$B$1:$L$185,MATCH(data!B$1,Haver_Q!$B$1:$L$1,0),FALSE)),"")</f>
        <v>5.9737848843700148</v>
      </c>
      <c r="C160">
        <f>IF(ISNUMBER(VLOOKUP($A160,Haver_Q!$B$1:$L$185,MATCH(data!C$1,Haver_Q!$B$1:$L$1,0),FALSE)),100*(VLOOKUP($A160,Haver_Q!$B$1:$L$185,MATCH(data!C$1,Haver_Q!$B$1:$L$1,0),FALSE)),"")</f>
        <v>-5.6803615847642703</v>
      </c>
      <c r="D160">
        <f>IF(ISNUMBER(VLOOKUP($A160,Haver_Q!$B$1:$L$185,MATCH(data!D$1,Haver_Q!$B$1:$L$1,0),FALSE)),100*(VLOOKUP($A160,Haver_Q!$B$1:$L$185,MATCH(data!D$1,Haver_Q!$B$1:$L$1,0),FALSE)),"")</f>
        <v>114.57789653411514</v>
      </c>
      <c r="E160">
        <f>IF(ISNUMBER(VLOOKUP($A160,Haver_Q!$B$1:$L$185,MATCH(data!E$1,Haver_Q!$B$1:$L$1,0),FALSE)),100*(VLOOKUP($A160,Haver_Q!$B$1:$L$185,MATCH(data!E$1,Haver_Q!$B$1:$L$1,0),FALSE)),"")</f>
        <v>15.440792599533371</v>
      </c>
      <c r="F160">
        <f>IF(ISNUMBER(VLOOKUP($A160,Haver_Q!$B$1:$L$185,MATCH(data!F$1,Haver_Q!$B$1:$L$1,0),FALSE)),100*(VLOOKUP($A160,Haver_Q!$B$1:$L$185,MATCH(data!F$1,Haver_Q!$B$1:$L$1,0),FALSE)),"")</f>
        <v>24.803452925666324</v>
      </c>
      <c r="G160">
        <f>IF(ISNUMBER(VLOOKUP($A160,Haver_Q!$B$1:$L$185,MATCH(data!G$1,Haver_Q!$B$1:$L$1,0),FALSE)),100*(VLOOKUP($A160,Haver_Q!$B$1:$L$185,MATCH(data!G$1,Haver_Q!$B$1:$L$1,0),FALSE)),"")</f>
        <v>-6.2063628517166514</v>
      </c>
      <c r="H160">
        <f>IF(ISNUMBER(VLOOKUP($A160,Haver_Q!$B$1:$L$185,MATCH(data!H$1,Haver_Q!$B$1:$L$1,0),FALSE)),(VLOOKUP($A160,Haver_Q!$B$1:$L$185,MATCH(data!H$1,Haver_Q!$B$1:$L$1,0),FALSE)),"")</f>
        <v>3.7144309861498188</v>
      </c>
      <c r="I160">
        <f>IF(ISNUMBER(VLOOKUP($A160,Haver_Q!$B$1:$L$185,MATCH(data!I$1,Haver_Q!$B$1:$L$1,0),FALSE)),100*(VLOOKUP($A160,Haver_Q!$B$1:$L$185,MATCH(data!I$1,Haver_Q!$B$1:$L$1,0),FALSE)),"")</f>
        <v>4.2960336272718003</v>
      </c>
      <c r="J160" s="3">
        <f>IF(ISNUMBER(Bloomberg_m!C176),Bloomberg_m!C176,"")</f>
        <v>876</v>
      </c>
      <c r="K160" s="3">
        <f>IF(ISNUMBER(Bloomberg_m!D176),Bloomberg_m!D176,"")</f>
        <v>1993.33</v>
      </c>
      <c r="L160" s="3">
        <f>IF(ISNUMBER(Bloomberg_m!E176),Bloomberg_m!E176,"")</f>
        <v>1142.25</v>
      </c>
      <c r="M160" s="3">
        <f>IF(ISNUMBER(Bloomberg_m!F176),Bloomberg_m!F176,"")</f>
        <v>457.19</v>
      </c>
      <c r="N160">
        <f>IF(ISNUMBER(VLOOKUP($A160,Haver_M!$B$1:$BZ$300,MATCH(data!N$1,Haver_M!$B$1:$BZ$1,0),FALSE)),VLOOKUP($A160,Haver_M!$B$1:$BZ$300,MATCH(data!N$1,Haver_M!$B$1:$BZ$1,0),FALSE),"")</f>
        <v>7.5</v>
      </c>
      <c r="O160">
        <f>IF(ISNUMBER(VLOOKUP($A160,Haver_M!$B$1:$BZ$300,MATCH(data!O$1,Haver_M!$B$1:$BZ$1,0),FALSE)),VLOOKUP($A160,Haver_M!$B$1:$BZ$300,MATCH(data!O$1,Haver_M!$B$1:$BZ$1,0),FALSE),"")</f>
        <v>8.0101999999999993</v>
      </c>
      <c r="P160">
        <f>IF(ISNUMBER(VLOOKUP($A160,Haver_M!$B$1:$BZ$300,MATCH(data!P$1,Haver_M!$B$1:$BZ$1,0),FALSE)),VLOOKUP($A160,Haver_M!$B$1:$BZ$300,MATCH(data!P$1,Haver_M!$B$1:$BZ$1,0),FALSE),"")</f>
        <v>92.880170000000007</v>
      </c>
      <c r="Q160">
        <f>IF(ISNUMBER(VLOOKUP($A160,Haver_M!$B$1:$BZ$300,MATCH(data!Q$1,Haver_M!$B$1:$BZ$1,0),FALSE)),VLOOKUP($A160,Haver_M!$B$1:$BZ$300,MATCH(data!Q$1,Haver_M!$B$1:$BZ$1,0),FALSE),"")</f>
        <v>106.1</v>
      </c>
      <c r="R160">
        <f>IF(ISNUMBER(VLOOKUP($A160,Haver_M!$B$1:$BZ$300,MATCH(data!R$1,Haver_M!$B$1:$BZ$1,0),FALSE)),VLOOKUP($A160,Haver_M!$B$1:$BZ$300,MATCH(data!R$1,Haver_M!$B$1:$BZ$1,0),FALSE),"")</f>
        <v>105.3</v>
      </c>
      <c r="S160">
        <f>IF(ISNUMBER(VLOOKUP($A160,Haver_M!$B$1:$BZ$300,MATCH(data!S$1,Haver_M!$B$1:$BZ$1,0),FALSE)),VLOOKUP($A160,Haver_M!$B$1:$BZ$300,MATCH(data!S$1,Haver_M!$B$1:$BZ$1,0),FALSE),"")</f>
        <v>105.45</v>
      </c>
      <c r="T160">
        <f>IF(ISNUMBER(VLOOKUP($A160,Haver_M!$B$1:$BZ$300,MATCH(data!T$1,Haver_M!$B$1:$BZ$1,0),FALSE)),VLOOKUP($A160,Haver_M!$B$1:$BZ$300,MATCH(data!T$1,Haver_M!$B$1:$BZ$1,0),FALSE),"")</f>
        <v>101.14</v>
      </c>
      <c r="U160">
        <f>IF(ISNUMBER(VLOOKUP($A160,Haver_M!$B$1:$BZ$300,MATCH(data!U$1,Haver_M!$B$1:$BZ$1,0),FALSE)),VLOOKUP($A160,Haver_M!$B$1:$BZ$300,MATCH(data!U$1,Haver_M!$B$1:$BZ$1,0),FALSE),"")</f>
        <v>102.87</v>
      </c>
      <c r="V160">
        <f>IF(ISNUMBER(VLOOKUP($A160,Haver_M!$B$1:$BZ$300,MATCH(data!V$1,Haver_M!$B$1:$BZ$1,0),FALSE)),VLOOKUP($A160,Haver_M!$B$1:$BZ$300,MATCH(data!V$1,Haver_M!$B$1:$BZ$1,0),FALSE),"")</f>
        <v>107.35</v>
      </c>
      <c r="W160">
        <f>IF(ISNUMBER(VLOOKUP($A160,Haver_M!$B$1:$BZ$300,MATCH(data!W$1,Haver_M!$B$1:$BZ$1,0),FALSE)),VLOOKUP($A160,Haver_M!$B$1:$BZ$300,MATCH(data!W$1,Haver_M!$B$1:$BZ$1,0),FALSE),"")</f>
        <v>110.87</v>
      </c>
      <c r="X160">
        <f>IF(ISNUMBER(VLOOKUP($A160,Haver_M!$B$1:$BZ$300,MATCH(data!X$1,Haver_M!$B$1:$BZ$1,0),FALSE)),VLOOKUP($A160,Haver_M!$B$1:$BZ$300,MATCH(data!X$1,Haver_M!$B$1:$BZ$1,0),FALSE),"")</f>
        <v>104.8</v>
      </c>
      <c r="Y160">
        <f>IF(ISNUMBER(VLOOKUP($A160,Haver_M!$B$1:$BZ$300,MATCH(data!Y$1,Haver_M!$B$1:$BZ$1,0),FALSE)),VLOOKUP($A160,Haver_M!$B$1:$BZ$300,MATCH(data!Y$1,Haver_M!$B$1:$BZ$1,0),FALSE),"")</f>
        <v>110.11</v>
      </c>
      <c r="Z160">
        <f>IF(ISNUMBER(VLOOKUP($A160,Haver_M!$B$1:$BZ$300,MATCH(data!Z$1,Haver_M!$B$1:$BZ$1,0),FALSE)),VLOOKUP($A160,Haver_M!$B$1:$BZ$300,MATCH(data!Z$1,Haver_M!$B$1:$BZ$1,0),FALSE),"")</f>
        <v>105.5</v>
      </c>
      <c r="AA160">
        <f>IF(ISNUMBER(VLOOKUP($A160,Haver_M!$B$1:$BZ$300,MATCH(data!AA$1,Haver_M!$B$1:$BZ$1,0),FALSE)),VLOOKUP($A160,Haver_M!$B$1:$BZ$300,MATCH(data!AA$1,Haver_M!$B$1:$BZ$1,0),FALSE),"")</f>
        <v>105.699</v>
      </c>
      <c r="AB160">
        <f>IF(ISNUMBER(VLOOKUP($A160,Haver_M!$B$1:$BZ$300,MATCH(data!AB$1,Haver_M!$B$1:$BZ$1,0),FALSE)),VLOOKUP($A160,Haver_M!$B$1:$BZ$300,MATCH(data!AB$1,Haver_M!$B$1:$BZ$1,0),FALSE),"")</f>
        <v>99.254000000000005</v>
      </c>
      <c r="AC160">
        <f>IF(ISNUMBER(VLOOKUP($A160,Haver_M!$B$1:$BZ$300,MATCH(data!AC$1,Haver_M!$B$1:$BZ$1,0),FALSE)),VLOOKUP($A160,Haver_M!$B$1:$BZ$300,MATCH(data!AC$1,Haver_M!$B$1:$BZ$1,0),FALSE),"")</f>
        <v>79.072000000000003</v>
      </c>
      <c r="AD160">
        <f>IF(ISNUMBER(VLOOKUP($A160,Haver_M!$B$1:$BZ$300,MATCH(data!AD$1,Haver_M!$B$1:$BZ$1,0),FALSE)),VLOOKUP($A160,Haver_M!$B$1:$BZ$300,MATCH(data!AD$1,Haver_M!$B$1:$BZ$1,0),FALSE),"")</f>
        <v>108.245</v>
      </c>
      <c r="AE160">
        <f>IF(ISNUMBER(VLOOKUP($A160,Haver_M!$B$1:$BZ$300,MATCH(data!AE$1,Haver_M!$B$1:$BZ$1,0),FALSE)),VLOOKUP($A160,Haver_M!$B$1:$BZ$300,MATCH(data!AE$1,Haver_M!$B$1:$BZ$1,0),FALSE),"")</f>
        <v>103.79900000000001</v>
      </c>
      <c r="AF160">
        <f>IF(ISNUMBER(VLOOKUP($A160,Haver_M!$B$1:$BZ$300,MATCH(data!AF$1,Haver_M!$B$1:$BZ$1,0),FALSE)),VLOOKUP($A160,Haver_M!$B$1:$BZ$300,MATCH(data!AF$1,Haver_M!$B$1:$BZ$1,0),FALSE),"")</f>
        <v>111.884</v>
      </c>
      <c r="AG160">
        <f>IF(ISNUMBER(VLOOKUP($A160,Haver_M!$B$1:$BZ$300,MATCH(data!AG$1,Haver_M!$B$1:$BZ$1,0),FALSE)),VLOOKUP($A160,Haver_M!$B$1:$BZ$300,MATCH(data!AG$1,Haver_M!$B$1:$BZ$1,0),FALSE),"")</f>
        <v>113.554</v>
      </c>
      <c r="AH160">
        <f>IF(ISNUMBER(VLOOKUP($A160,Haver_M!$B$1:$BZ$300,MATCH(data!AH$1,Haver_M!$B$1:$BZ$1,0),FALSE)),VLOOKUP($A160,Haver_M!$B$1:$BZ$300,MATCH(data!AH$1,Haver_M!$B$1:$BZ$1,0),FALSE),"")</f>
        <v>107.732</v>
      </c>
      <c r="AI160">
        <f>IF(ISNUMBER(VLOOKUP($A160,Haver_M!$B$1:$BZ$300,MATCH(data!AI$1,Haver_M!$B$1:$BZ$1,0),FALSE)),VLOOKUP($A160,Haver_M!$B$1:$BZ$300,MATCH(data!AI$1,Haver_M!$B$1:$BZ$1,0),FALSE),"")</f>
        <v>13183.97431399235</v>
      </c>
      <c r="AJ160">
        <f>IF(ISNUMBER(VLOOKUP($A160,Haver_M!$B$1:$BZ$300,MATCH(data!AJ$1,Haver_M!$B$1:$BZ$1,0),FALSE)),VLOOKUP($A160,Haver_M!$B$1:$BZ$300,MATCH(data!AJ$1,Haver_M!$B$1:$BZ$1,0),FALSE),"")</f>
        <v>26426.89</v>
      </c>
      <c r="AK160">
        <f>IF(ISNUMBER(VLOOKUP($A160,Haver_M!$B$1:$BZ$300,MATCH(data!AK$1,Haver_M!$B$1:$BZ$1,0),FALSE)),VLOOKUP($A160,Haver_M!$B$1:$BZ$300,MATCH(data!AK$1,Haver_M!$B$1:$BZ$1,0),FALSE),"")</f>
        <v>39800.39</v>
      </c>
      <c r="AL160">
        <f>IF(ISNUMBER(VLOOKUP($A160,Haver_M!$B$1:$BZ$300,MATCH(data!AL$1,Haver_M!$B$1:$BZ$1,0),FALSE)),VLOOKUP($A160,Haver_M!$B$1:$BZ$300,MATCH(data!AL$1,Haver_M!$B$1:$BZ$1,0),FALSE),"")</f>
        <v>12253</v>
      </c>
      <c r="AM160">
        <f>IF(ISNUMBER(VLOOKUP($A160,Haver_M!$B$1:$BZ$300,MATCH(data!AM$1,Haver_M!$B$1:$BZ$1,0),FALSE)),VLOOKUP($A160,Haver_M!$B$1:$BZ$300,MATCH(data!AM$1,Haver_M!$B$1:$BZ$1,0),FALSE),"")</f>
        <v>6805</v>
      </c>
      <c r="AN160">
        <f>IF(ISNUMBER(VLOOKUP($A160,Haver_M!$B$1:$BZ$300,MATCH(data!AN$1,Haver_M!$B$1:$BZ$1,0),FALSE)),VLOOKUP($A160,Haver_M!$B$1:$BZ$300,MATCH(data!AN$1,Haver_M!$B$1:$BZ$1,0),FALSE),"")</f>
        <v>101.7</v>
      </c>
      <c r="AO160">
        <f>IF(ISNUMBER(VLOOKUP($A160,Haver_M!$B$1:$BZ$300,MATCH(data!AO$1,Haver_M!$B$1:$BZ$1,0),FALSE)),VLOOKUP($A160,Haver_M!$B$1:$BZ$300,MATCH(data!AO$1,Haver_M!$B$1:$BZ$1,0),FALSE),"")</f>
        <v>103.9</v>
      </c>
      <c r="AP160">
        <f>IF(ISNUMBER(VLOOKUP($A160,Haver_M!$B$1:$BZ$300,MATCH(data!AP$1,Haver_M!$B$1:$BZ$1,0),FALSE)),VLOOKUP($A160,Haver_M!$B$1:$BZ$300,MATCH(data!AP$1,Haver_M!$B$1:$BZ$1,0),FALSE),"")</f>
        <v>165.56266613981401</v>
      </c>
      <c r="AQ160">
        <f>IF(ISNUMBER(VLOOKUP($A160,Haver_M!$B$1:$BZ$300,MATCH(data!AQ$1,Haver_M!$B$1:$BZ$1,0),FALSE)),VLOOKUP($A160,Haver_M!$B$1:$BZ$300,MATCH(data!AQ$1,Haver_M!$B$1:$BZ$1,0),FALSE),"")</f>
        <v>51.434199999999997</v>
      </c>
      <c r="AR160">
        <f>IF(ISNUMBER(VLOOKUP($A160,Haver_M!$B$1:$BZ$300,MATCH(data!AR$1,Haver_M!$B$1:$BZ$1,0),FALSE)),VLOOKUP($A160,Haver_M!$B$1:$BZ$300,MATCH(data!AR$1,Haver_M!$B$1:$BZ$1,0),FALSE),"")</f>
        <v>51.983899999999998</v>
      </c>
      <c r="AS160">
        <f>IF(ISNUMBER(VLOOKUP($A160,Haver_M!$B$1:$BZ$300,MATCH(data!AS$1,Haver_M!$B$1:$BZ$1,0),FALSE)),VLOOKUP($A160,Haver_M!$B$1:$BZ$300,MATCH(data!AS$1,Haver_M!$B$1:$BZ$1,0),FALSE),"")</f>
        <v>51.355600000000003</v>
      </c>
      <c r="AT160">
        <f>IF(ISNUMBER(VLOOKUP($A160,Haver_M!$B$1:$BZ$300,MATCH(data!AT$1,Haver_M!$B$1:$BZ$1,0),FALSE)),VLOOKUP($A160,Haver_M!$B$1:$BZ$300,MATCH(data!AT$1,Haver_M!$B$1:$BZ$1,0),FALSE),"")</f>
        <v>51.597099999999998</v>
      </c>
      <c r="AU160">
        <f>IF(ISNUMBER(VLOOKUP($A160,Haver_M!$B$1:$BZ$300,MATCH(data!AU$1,Haver_M!$B$1:$BZ$1,0),FALSE)),VLOOKUP($A160,Haver_M!$B$1:$BZ$300,MATCH(data!AU$1,Haver_M!$B$1:$BZ$1,0),FALSE),"")</f>
        <v>52.815300000000001</v>
      </c>
      <c r="AV160">
        <f>IF(ISNUMBER(VLOOKUP($A160,Haver_M!$B$1:$BZ$300,MATCH(data!AV$1,Haver_M!$B$1:$BZ$1,0),FALSE)),VLOOKUP($A160,Haver_M!$B$1:$BZ$300,MATCH(data!AV$1,Haver_M!$B$1:$BZ$1,0),FALSE),"")</f>
        <v>51.457299999999996</v>
      </c>
      <c r="AW160">
        <f>IF(ISNUMBER(VLOOKUP($A160,Haver_M!$B$1:$BZ$300,MATCH(data!AW$1,Haver_M!$B$1:$BZ$1,0),FALSE)),VLOOKUP($A160,Haver_M!$B$1:$BZ$300,MATCH(data!AW$1,Haver_M!$B$1:$BZ$1,0),FALSE),"")</f>
        <v>47.6494</v>
      </c>
      <c r="AX160">
        <f>IF(ISNUMBER(VLOOKUP($A160,Haver_M!$B$1:$BZ$300,MATCH(data!AX$1,Haver_M!$B$1:$BZ$1,0),FALSE)),VLOOKUP($A160,Haver_M!$B$1:$BZ$300,MATCH(data!AX$1,Haver_M!$B$1:$BZ$1,0),FALSE),"")</f>
        <v>50.96</v>
      </c>
      <c r="AY160">
        <f>IF(ISNUMBER(VLOOKUP($A160,Haver_M!$B$1:$BZ$300,MATCH(data!AY$1,Haver_M!$B$1:$BZ$1,0),FALSE)),VLOOKUP($A160,Haver_M!$B$1:$BZ$300,MATCH(data!AY$1,Haver_M!$B$1:$BZ$1,0),FALSE),"")</f>
        <v>55.040999999999997</v>
      </c>
      <c r="AZ160">
        <f>IF(ISNUMBER(VLOOKUP($A160,Haver_M!$B$1:$BZ$300,MATCH(data!AZ$1,Haver_M!$B$1:$BZ$1,0),FALSE)),VLOOKUP($A160,Haver_M!$B$1:$BZ$300,MATCH(data!AZ$1,Haver_M!$B$1:$BZ$1,0),FALSE),"")</f>
        <v>53.963099999999997</v>
      </c>
      <c r="BA160">
        <f>IF(ISNUMBER(VLOOKUP($A160,Haver_M!$B$1:$BZ$300,MATCH(data!BA$1,Haver_M!$B$1:$BZ$1,0),FALSE)),VLOOKUP($A160,Haver_M!$B$1:$BZ$300,MATCH(data!BA$1,Haver_M!$B$1:$BZ$1,0),FALSE),"")</f>
        <v>50.96</v>
      </c>
      <c r="BB160">
        <f>IF(ISNUMBER(VLOOKUP($A160,Haver_M!$B$1:$BZ$300,MATCH(data!BB$1,Haver_M!$B$1:$BZ$1,0),FALSE)),VLOOKUP($A160,Haver_M!$B$1:$BZ$300,MATCH(data!BB$1,Haver_M!$B$1:$BZ$1,0),FALSE),"")</f>
        <v>50.4285</v>
      </c>
      <c r="BC160">
        <f>IF(ISNUMBER(VLOOKUP($A160,Haver_M!$B$1:$BZ$300,MATCH(data!BC$1,Haver_M!$B$1:$BZ$1,0),FALSE)),VLOOKUP($A160,Haver_M!$B$1:$BZ$300,MATCH(data!BC$1,Haver_M!$B$1:$BZ$1,0),FALSE),"")</f>
        <v>53.053600000000003</v>
      </c>
      <c r="BD160">
        <f>IF(ISNUMBER(VLOOKUP($A160,Haver_M!$B$1:$BZ$300,MATCH(data!BD$1,Haver_M!$B$1:$BZ$1,0),FALSE)),VLOOKUP($A160,Haver_M!$B$1:$BZ$300,MATCH(data!BD$1,Haver_M!$B$1:$BZ$1,0),FALSE),"")</f>
        <v>51.285200000000003</v>
      </c>
      <c r="BE160">
        <f>IF(ISNUMBER(VLOOKUP($A160,Haver_M!$B$1:$BZ$300,MATCH(data!BE$1,Haver_M!$B$1:$BZ$1,0),FALSE)),VLOOKUP($A160,Haver_M!$B$1:$BZ$300,MATCH(data!BE$1,Haver_M!$B$1:$BZ$1,0),FALSE),"")</f>
        <v>1.0895999999999999</v>
      </c>
      <c r="BF160">
        <f>IF(ISNUMBER(VLOOKUP($A160,Haver_M!$B$1:$BZ$300,MATCH(data!BF$1,Haver_M!$B$1:$BZ$1,0),FALSE)),VLOOKUP($A160,Haver_M!$B$1:$BZ$300,MATCH(data!BF$1,Haver_M!$B$1:$BZ$1,0),FALSE),"")</f>
        <v>51.097299999999997</v>
      </c>
      <c r="BG160">
        <f>IF(ISNUMBER(VLOOKUP($A160,Haver_M!$B$1:$BZ$300,MATCH(data!BG$1,Haver_M!$B$1:$BZ$1,0),FALSE)),VLOOKUP($A160,Haver_M!$B$1:$BZ$300,MATCH(data!BG$1,Haver_M!$B$1:$BZ$1,0),FALSE),"")</f>
        <v>53.021700000000003</v>
      </c>
      <c r="BH160">
        <f>IF(ISNUMBER(VLOOKUP($A160,Haver_M!$B$1:$BZ$300,MATCH(data!BH$1,Haver_M!$B$1:$BZ$1,0),FALSE)),VLOOKUP($A160,Haver_M!$B$1:$BZ$300,MATCH(data!BH$1,Haver_M!$B$1:$BZ$1,0),FALSE),"")</f>
        <v>53.336799999999997</v>
      </c>
      <c r="BI160">
        <f>IF(ISNUMBER(VLOOKUP($A160,Haver_M!$B$1:$BZ$300,MATCH(data!BI$1,Haver_M!$B$1:$BZ$1,0),FALSE)),VLOOKUP($A160,Haver_M!$B$1:$BZ$300,MATCH(data!BI$1,Haver_M!$B$1:$BZ$1,0),FALSE),"")</f>
        <v>53.866999999999997</v>
      </c>
      <c r="BJ160" t="str">
        <f>IF(ISNUMBER(VLOOKUP($A160,Haver_M!$B$1:$BZ$300,MATCH(data!BJ$1,Haver_M!$B$1:$BZ$1,0),FALSE)),VLOOKUP($A160,Haver_M!$B$1:$BZ$300,MATCH(data!BJ$1,Haver_M!$B$1:$BZ$1,0),FALSE),"")</f>
        <v/>
      </c>
      <c r="BK160">
        <f>IF(ISNUMBER(VLOOKUP($A160,Haver_M!$B$1:$BZ$300,MATCH(data!BK$1,Haver_M!$B$1:$BZ$1,0),FALSE)),VLOOKUP($A160,Haver_M!$B$1:$BZ$300,MATCH(data!BK$1,Haver_M!$B$1:$BZ$1,0),FALSE),"")</f>
        <v>52.107199999999999</v>
      </c>
      <c r="BL160">
        <f>IF(ISNUMBER(VLOOKUP($A160,Haver_M!$B$1:$BZ$300,MATCH(data!BL$1,Haver_M!$B$1:$BZ$1,0),FALSE)),VLOOKUP($A160,Haver_M!$B$1:$BZ$300,MATCH(data!BL$1,Haver_M!$B$1:$BZ$1,0),FALSE),"")</f>
        <v>19147.18</v>
      </c>
      <c r="BM160">
        <f>IF(ISNUMBER(VLOOKUP($A160,Haver_M!$B$1:$BZ$300,MATCH(data!BM$1,Haver_M!$B$1:$BZ$1,0),FALSE)),VLOOKUP($A160,Haver_M!$B$1:$BZ$300,MATCH(data!BM$1,Haver_M!$B$1:$BZ$1,0),FALSE),"")</f>
        <v>98.758571770000003</v>
      </c>
      <c r="BN160">
        <f>IF(ISNUMBER(VLOOKUP($A160,Haver_M!$B$1:$BZ$300,MATCH(data!BN$1,Haver_M!$B$1:$BZ$1,0),FALSE)),VLOOKUP($A160,Haver_M!$B$1:$BZ$300,MATCH(data!BN$1,Haver_M!$B$1:$BZ$1,0),FALSE),"")</f>
        <v>105.6</v>
      </c>
      <c r="BO160">
        <f>IF(ISNUMBER(VLOOKUP($A160,Haver_M!$B$1:$BZ$300,MATCH(data!BO$1,Haver_M!$B$1:$BZ$1,0),FALSE)),VLOOKUP($A160,Haver_M!$B$1:$BZ$300,MATCH(data!BO$1,Haver_M!$B$1:$BZ$1,0),FALSE),"")</f>
        <v>115.6</v>
      </c>
      <c r="BP160">
        <f>IF(ISNUMBER(VLOOKUP($A160,Haver_M!$B$1:$BZ$300,MATCH(data!BP$1,Haver_M!$B$1:$BZ$1,0),FALSE)),VLOOKUP($A160,Haver_M!$B$1:$BZ$300,MATCH(data!BP$1,Haver_M!$B$1:$BZ$1,0),FALSE),"")</f>
        <v>37.5</v>
      </c>
      <c r="BQ160">
        <f>IF(ISNUMBER(VLOOKUP($A160,Haver_M!$B$1:$BZ$300,MATCH(data!BQ$1,Haver_M!$B$1:$BZ$1,0),FALSE)),VLOOKUP($A160,Haver_M!$B$1:$BZ$300,MATCH(data!BQ$1,Haver_M!$B$1:$BZ$1,0),FALSE),"")</f>
        <v>164.98310804601081</v>
      </c>
      <c r="BR160">
        <f>IF(ISNUMBER(VLOOKUP($A160,Haver_M!$B$1:$BZ$300,MATCH(data!BR$1,Haver_M!$B$1:$BZ$1,0),FALSE)),VLOOKUP($A160,Haver_M!$B$1:$BZ$300,MATCH(data!BR$1,Haver_M!$B$1:$BZ$1,0),FALSE),"")</f>
        <v>409.92471224859662</v>
      </c>
      <c r="BS160">
        <f>IF(ISNUMBER(VLOOKUP($A160,Haver_M!$B$1:$BZ$300,MATCH(data!BS$1,Haver_M!$B$1:$BZ$1,0),FALSE)),VLOOKUP($A160,Haver_M!$B$1:$BZ$300,MATCH(data!BS$1,Haver_M!$B$1:$BZ$1,0),FALSE),"")</f>
        <v>211.7258467114913</v>
      </c>
      <c r="BT160">
        <f>IF(ISNUMBER(VLOOKUP($A160,Haver_M!$B$1:$BZ$300,MATCH(data!BT$1,Haver_M!$B$1:$BZ$1,0),FALSE)),VLOOKUP($A160,Haver_M!$B$1:$BZ$300,MATCH(data!BT$1,Haver_M!$B$1:$BZ$1,0),FALSE),"")</f>
        <v>895.06457174577145</v>
      </c>
      <c r="BU160">
        <f>IF(ISNUMBER(VLOOKUP($A160,Haver_M!$B$1:$BZ$300,MATCH(data!BU$1,Haver_M!$B$1:$BZ$1,0),FALSE)),VLOOKUP($A160,Haver_M!$B$1:$BZ$300,MATCH(data!BU$1,Haver_M!$B$1:$BZ$1,0),FALSE),"")</f>
        <v>30541.41</v>
      </c>
      <c r="BV160">
        <f>IF(ISNUMBER(VLOOKUP($A160,Haver_M!$B$1:$BZ$300,MATCH(data!BV$1,Haver_M!$B$1:$BZ$1,0),FALSE)),VLOOKUP($A160,Haver_M!$B$1:$BZ$300,MATCH(data!BV$1,Haver_M!$B$1:$BZ$1,0),FALSE),"")</f>
        <v>40947.79</v>
      </c>
      <c r="BW160">
        <f>IF(ISNUMBER(VLOOKUP($A160,Haver_M!$B$1:$BZ$300,MATCH(data!BW$1,Haver_M!$B$1:$BZ$1,0),FALSE)),VLOOKUP($A160,Haver_M!$B$1:$BZ$300,MATCH(data!BW$1,Haver_M!$B$1:$BZ$1,0),FALSE),"")</f>
        <v>54.404600000000002</v>
      </c>
      <c r="BX160">
        <f>IF(ISNUMBER(VLOOKUP($A160,Haver_M!$B$1:$BZ$300,MATCH(data!BX$1,Haver_M!$B$1:$BZ$1,0),FALSE)),VLOOKUP($A160,Haver_M!$B$1:$BZ$300,MATCH(data!BX$1,Haver_M!$B$1:$BZ$1,0),FALSE),"")</f>
        <v>59758</v>
      </c>
    </row>
    <row r="161" spans="1:76" x14ac:dyDescent="0.25">
      <c r="A161" s="2">
        <v>41394</v>
      </c>
      <c r="B161" t="str">
        <f>IF(ISNUMBER(VLOOKUP($A161,Haver_Q!$B$1:$L$185,MATCH(data!B$1,Haver_Q!$B$1:$L$1,0),FALSE)),100*(VLOOKUP($A161,Haver_Q!$B$1:$L$185,MATCH(data!B$1,Haver_Q!$B$1:$L$1,0),FALSE)),"")</f>
        <v/>
      </c>
      <c r="C161" t="str">
        <f>IF(ISNUMBER(VLOOKUP($A161,Haver_Q!$B$1:$L$185,MATCH(data!C$1,Haver_Q!$B$1:$L$1,0),FALSE)),100*(VLOOKUP($A161,Haver_Q!$B$1:$L$185,MATCH(data!C$1,Haver_Q!$B$1:$L$1,0),FALSE)),"")</f>
        <v/>
      </c>
      <c r="D161" t="str">
        <f>IF(ISNUMBER(VLOOKUP($A161,Haver_Q!$B$1:$L$185,MATCH(data!D$1,Haver_Q!$B$1:$L$1,0),FALSE)),100*(VLOOKUP($A161,Haver_Q!$B$1:$L$185,MATCH(data!D$1,Haver_Q!$B$1:$L$1,0),FALSE)),"")</f>
        <v/>
      </c>
      <c r="E161" t="str">
        <f>IF(ISNUMBER(VLOOKUP($A161,Haver_Q!$B$1:$L$185,MATCH(data!E$1,Haver_Q!$B$1:$L$1,0),FALSE)),100*(VLOOKUP($A161,Haver_Q!$B$1:$L$185,MATCH(data!E$1,Haver_Q!$B$1:$L$1,0),FALSE)),"")</f>
        <v/>
      </c>
      <c r="F161" t="str">
        <f>IF(ISNUMBER(VLOOKUP($A161,Haver_Q!$B$1:$L$185,MATCH(data!F$1,Haver_Q!$B$1:$L$1,0),FALSE)),100*(VLOOKUP($A161,Haver_Q!$B$1:$L$185,MATCH(data!F$1,Haver_Q!$B$1:$L$1,0),FALSE)),"")</f>
        <v/>
      </c>
      <c r="G161" t="str">
        <f>IF(ISNUMBER(VLOOKUP($A161,Haver_Q!$B$1:$L$185,MATCH(data!G$1,Haver_Q!$B$1:$L$1,0),FALSE)),100*(VLOOKUP($A161,Haver_Q!$B$1:$L$185,MATCH(data!G$1,Haver_Q!$B$1:$L$1,0),FALSE)),"")</f>
        <v/>
      </c>
      <c r="H161" t="str">
        <f>IF(ISNUMBER(VLOOKUP($A161,Haver_Q!$B$1:$L$185,MATCH(data!H$1,Haver_Q!$B$1:$L$1,0),FALSE)),(VLOOKUP($A161,Haver_Q!$B$1:$L$185,MATCH(data!H$1,Haver_Q!$B$1:$L$1,0),FALSE)),"")</f>
        <v/>
      </c>
      <c r="I161" t="str">
        <f>IF(ISNUMBER(VLOOKUP($A161,Haver_Q!$B$1:$L$185,MATCH(data!I$1,Haver_Q!$B$1:$L$1,0),FALSE)),100*(VLOOKUP($A161,Haver_Q!$B$1:$L$185,MATCH(data!I$1,Haver_Q!$B$1:$L$1,0),FALSE)),"")</f>
        <v/>
      </c>
      <c r="J161" s="3">
        <f>IF(ISNUMBER(Bloomberg_m!C177),Bloomberg_m!C177,"")</f>
        <v>874</v>
      </c>
      <c r="K161" s="3">
        <f>IF(ISNUMBER(Bloomberg_m!D177),Bloomberg_m!D177,"")</f>
        <v>1939.28</v>
      </c>
      <c r="L161" s="3">
        <f>IF(ISNUMBER(Bloomberg_m!E177),Bloomberg_m!E177,"")</f>
        <v>1094.1600000000001</v>
      </c>
      <c r="M161" s="3">
        <f>IF(ISNUMBER(Bloomberg_m!F177),Bloomberg_m!F177,"")</f>
        <v>452.81</v>
      </c>
      <c r="N161">
        <f>IF(ISNUMBER(VLOOKUP($A161,Haver_M!$B$1:$BZ$300,MATCH(data!N$1,Haver_M!$B$1:$BZ$1,0),FALSE)),VLOOKUP($A161,Haver_M!$B$1:$BZ$300,MATCH(data!N$1,Haver_M!$B$1:$BZ$1,0),FALSE),"")</f>
        <v>7.5</v>
      </c>
      <c r="O161">
        <f>IF(ISNUMBER(VLOOKUP($A161,Haver_M!$B$1:$BZ$300,MATCH(data!O$1,Haver_M!$B$1:$BZ$1,0),FALSE)),VLOOKUP($A161,Haver_M!$B$1:$BZ$300,MATCH(data!O$1,Haver_M!$B$1:$BZ$1,0),FALSE),"")</f>
        <v>7.7878999999999996</v>
      </c>
      <c r="P161">
        <f>IF(ISNUMBER(VLOOKUP($A161,Haver_M!$B$1:$BZ$300,MATCH(data!P$1,Haver_M!$B$1:$BZ$1,0),FALSE)),VLOOKUP($A161,Haver_M!$B$1:$BZ$300,MATCH(data!P$1,Haver_M!$B$1:$BZ$1,0),FALSE),"")</f>
        <v>93.083730000000003</v>
      </c>
      <c r="Q161">
        <f>IF(ISNUMBER(VLOOKUP($A161,Haver_M!$B$1:$BZ$300,MATCH(data!Q$1,Haver_M!$B$1:$BZ$1,0),FALSE)),VLOOKUP($A161,Haver_M!$B$1:$BZ$300,MATCH(data!Q$1,Haver_M!$B$1:$BZ$1,0),FALSE),"")</f>
        <v>106.7</v>
      </c>
      <c r="R161">
        <f>IF(ISNUMBER(VLOOKUP($A161,Haver_M!$B$1:$BZ$300,MATCH(data!R$1,Haver_M!$B$1:$BZ$1,0),FALSE)),VLOOKUP($A161,Haver_M!$B$1:$BZ$300,MATCH(data!R$1,Haver_M!$B$1:$BZ$1,0),FALSE),"")</f>
        <v>105.8</v>
      </c>
      <c r="S161">
        <f>IF(ISNUMBER(VLOOKUP($A161,Haver_M!$B$1:$BZ$300,MATCH(data!S$1,Haver_M!$B$1:$BZ$1,0),FALSE)),VLOOKUP($A161,Haver_M!$B$1:$BZ$300,MATCH(data!S$1,Haver_M!$B$1:$BZ$1,0),FALSE),"")</f>
        <v>105.84</v>
      </c>
      <c r="T161">
        <f>IF(ISNUMBER(VLOOKUP($A161,Haver_M!$B$1:$BZ$300,MATCH(data!T$1,Haver_M!$B$1:$BZ$1,0),FALSE)),VLOOKUP($A161,Haver_M!$B$1:$BZ$300,MATCH(data!T$1,Haver_M!$B$1:$BZ$1,0),FALSE),"")</f>
        <v>100.42</v>
      </c>
      <c r="U161">
        <f>IF(ISNUMBER(VLOOKUP($A161,Haver_M!$B$1:$BZ$300,MATCH(data!U$1,Haver_M!$B$1:$BZ$1,0),FALSE)),VLOOKUP($A161,Haver_M!$B$1:$BZ$300,MATCH(data!U$1,Haver_M!$B$1:$BZ$1,0),FALSE),"")</f>
        <v>100.8</v>
      </c>
      <c r="V161">
        <f>IF(ISNUMBER(VLOOKUP($A161,Haver_M!$B$1:$BZ$300,MATCH(data!V$1,Haver_M!$B$1:$BZ$1,0),FALSE)),VLOOKUP($A161,Haver_M!$B$1:$BZ$300,MATCH(data!V$1,Haver_M!$B$1:$BZ$1,0),FALSE),"")</f>
        <v>105.99</v>
      </c>
      <c r="W161">
        <f>IF(ISNUMBER(VLOOKUP($A161,Haver_M!$B$1:$BZ$300,MATCH(data!W$1,Haver_M!$B$1:$BZ$1,0),FALSE)),VLOOKUP($A161,Haver_M!$B$1:$BZ$300,MATCH(data!W$1,Haver_M!$B$1:$BZ$1,0),FALSE),"")</f>
        <v>114.55</v>
      </c>
      <c r="X161">
        <f>IF(ISNUMBER(VLOOKUP($A161,Haver_M!$B$1:$BZ$300,MATCH(data!X$1,Haver_M!$B$1:$BZ$1,0),FALSE)),VLOOKUP($A161,Haver_M!$B$1:$BZ$300,MATCH(data!X$1,Haver_M!$B$1:$BZ$1,0),FALSE),"")</f>
        <v>108.22</v>
      </c>
      <c r="Y161">
        <f>IF(ISNUMBER(VLOOKUP($A161,Haver_M!$B$1:$BZ$300,MATCH(data!Y$1,Haver_M!$B$1:$BZ$1,0),FALSE)),VLOOKUP($A161,Haver_M!$B$1:$BZ$300,MATCH(data!Y$1,Haver_M!$B$1:$BZ$1,0),FALSE),"")</f>
        <v>109.35</v>
      </c>
      <c r="Z161">
        <f>IF(ISNUMBER(VLOOKUP($A161,Haver_M!$B$1:$BZ$300,MATCH(data!Z$1,Haver_M!$B$1:$BZ$1,0),FALSE)),VLOOKUP($A161,Haver_M!$B$1:$BZ$300,MATCH(data!Z$1,Haver_M!$B$1:$BZ$1,0),FALSE),"")</f>
        <v>104.7</v>
      </c>
      <c r="AA161">
        <f>IF(ISNUMBER(VLOOKUP($A161,Haver_M!$B$1:$BZ$300,MATCH(data!AA$1,Haver_M!$B$1:$BZ$1,0),FALSE)),VLOOKUP($A161,Haver_M!$B$1:$BZ$300,MATCH(data!AA$1,Haver_M!$B$1:$BZ$1,0),FALSE),"")</f>
        <v>103.71599999999999</v>
      </c>
      <c r="AB161">
        <f>IF(ISNUMBER(VLOOKUP($A161,Haver_M!$B$1:$BZ$300,MATCH(data!AB$1,Haver_M!$B$1:$BZ$1,0),FALSE)),VLOOKUP($A161,Haver_M!$B$1:$BZ$300,MATCH(data!AB$1,Haver_M!$B$1:$BZ$1,0),FALSE),"")</f>
        <v>99.3</v>
      </c>
      <c r="AC161">
        <f>IF(ISNUMBER(VLOOKUP($A161,Haver_M!$B$1:$BZ$300,MATCH(data!AC$1,Haver_M!$B$1:$BZ$1,0),FALSE)),VLOOKUP($A161,Haver_M!$B$1:$BZ$300,MATCH(data!AC$1,Haver_M!$B$1:$BZ$1,0),FALSE),"")</f>
        <v>78.239000000000004</v>
      </c>
      <c r="AD161">
        <f>IF(ISNUMBER(VLOOKUP($A161,Haver_M!$B$1:$BZ$300,MATCH(data!AD$1,Haver_M!$B$1:$BZ$1,0),FALSE)),VLOOKUP($A161,Haver_M!$B$1:$BZ$300,MATCH(data!AD$1,Haver_M!$B$1:$BZ$1,0),FALSE),"")</f>
        <v>107.875</v>
      </c>
      <c r="AE161">
        <f>IF(ISNUMBER(VLOOKUP($A161,Haver_M!$B$1:$BZ$300,MATCH(data!AE$1,Haver_M!$B$1:$BZ$1,0),FALSE)),VLOOKUP($A161,Haver_M!$B$1:$BZ$300,MATCH(data!AE$1,Haver_M!$B$1:$BZ$1,0),FALSE),"")</f>
        <v>90.001999999999995</v>
      </c>
      <c r="AF161">
        <f>IF(ISNUMBER(VLOOKUP($A161,Haver_M!$B$1:$BZ$300,MATCH(data!AF$1,Haver_M!$B$1:$BZ$1,0),FALSE)),VLOOKUP($A161,Haver_M!$B$1:$BZ$300,MATCH(data!AF$1,Haver_M!$B$1:$BZ$1,0),FALSE),"")</f>
        <v>110.596</v>
      </c>
      <c r="AG161">
        <f>IF(ISNUMBER(VLOOKUP($A161,Haver_M!$B$1:$BZ$300,MATCH(data!AG$1,Haver_M!$B$1:$BZ$1,0),FALSE)),VLOOKUP($A161,Haver_M!$B$1:$BZ$300,MATCH(data!AG$1,Haver_M!$B$1:$BZ$1,0),FALSE),"")</f>
        <v>112.214</v>
      </c>
      <c r="AH161">
        <f>IF(ISNUMBER(VLOOKUP($A161,Haver_M!$B$1:$BZ$300,MATCH(data!AH$1,Haver_M!$B$1:$BZ$1,0),FALSE)),VLOOKUP($A161,Haver_M!$B$1:$BZ$300,MATCH(data!AH$1,Haver_M!$B$1:$BZ$1,0),FALSE),"")</f>
        <v>105.861</v>
      </c>
      <c r="AI161">
        <f>IF(ISNUMBER(VLOOKUP($A161,Haver_M!$B$1:$BZ$300,MATCH(data!AI$1,Haver_M!$B$1:$BZ$1,0),FALSE)),VLOOKUP($A161,Haver_M!$B$1:$BZ$300,MATCH(data!AI$1,Haver_M!$B$1:$BZ$1,0),FALSE),"")</f>
        <v>13007.735653570187</v>
      </c>
      <c r="AJ161">
        <f>IF(ISNUMBER(VLOOKUP($A161,Haver_M!$B$1:$BZ$300,MATCH(data!AJ$1,Haver_M!$B$1:$BZ$1,0),FALSE)),VLOOKUP($A161,Haver_M!$B$1:$BZ$300,MATCH(data!AJ$1,Haver_M!$B$1:$BZ$1,0),FALSE),"")</f>
        <v>25465.55</v>
      </c>
      <c r="AK161">
        <f>IF(ISNUMBER(VLOOKUP($A161,Haver_M!$B$1:$BZ$300,MATCH(data!AK$1,Haver_M!$B$1:$BZ$1,0),FALSE)),VLOOKUP($A161,Haver_M!$B$1:$BZ$300,MATCH(data!AK$1,Haver_M!$B$1:$BZ$1,0),FALSE),"")</f>
        <v>42356.6</v>
      </c>
      <c r="AL161">
        <f>IF(ISNUMBER(VLOOKUP($A161,Haver_M!$B$1:$BZ$300,MATCH(data!AL$1,Haver_M!$B$1:$BZ$1,0),FALSE)),VLOOKUP($A161,Haver_M!$B$1:$BZ$300,MATCH(data!AL$1,Haver_M!$B$1:$BZ$1,0),FALSE),"")</f>
        <v>12842</v>
      </c>
      <c r="AM161">
        <f>IF(ISNUMBER(VLOOKUP($A161,Haver_M!$B$1:$BZ$300,MATCH(data!AM$1,Haver_M!$B$1:$BZ$1,0),FALSE)),VLOOKUP($A161,Haver_M!$B$1:$BZ$300,MATCH(data!AM$1,Haver_M!$B$1:$BZ$1,0),FALSE),"")</f>
        <v>7378</v>
      </c>
      <c r="AN161" t="str">
        <f>IF(ISNUMBER(VLOOKUP($A161,Haver_M!$B$1:$BZ$300,MATCH(data!AN$1,Haver_M!$B$1:$BZ$1,0),FALSE)),VLOOKUP($A161,Haver_M!$B$1:$BZ$300,MATCH(data!AN$1,Haver_M!$B$1:$BZ$1,0),FALSE),"")</f>
        <v/>
      </c>
      <c r="AO161" t="str">
        <f>IF(ISNUMBER(VLOOKUP($A161,Haver_M!$B$1:$BZ$300,MATCH(data!AO$1,Haver_M!$B$1:$BZ$1,0),FALSE)),VLOOKUP($A161,Haver_M!$B$1:$BZ$300,MATCH(data!AO$1,Haver_M!$B$1:$BZ$1,0),FALSE),"")</f>
        <v/>
      </c>
      <c r="AP161">
        <f>IF(ISNUMBER(VLOOKUP($A161,Haver_M!$B$1:$BZ$300,MATCH(data!AP$1,Haver_M!$B$1:$BZ$1,0),FALSE)),VLOOKUP($A161,Haver_M!$B$1:$BZ$300,MATCH(data!AP$1,Haver_M!$B$1:$BZ$1,0),FALSE),"")</f>
        <v>177.7712854733326</v>
      </c>
      <c r="AQ161">
        <f>IF(ISNUMBER(VLOOKUP($A161,Haver_M!$B$1:$BZ$300,MATCH(data!AQ$1,Haver_M!$B$1:$BZ$1,0),FALSE)),VLOOKUP($A161,Haver_M!$B$1:$BZ$300,MATCH(data!AQ$1,Haver_M!$B$1:$BZ$1,0),FALSE),"")</f>
        <v>50.500300000000003</v>
      </c>
      <c r="AR161">
        <f>IF(ISNUMBER(VLOOKUP($A161,Haver_M!$B$1:$BZ$300,MATCH(data!AR$1,Haver_M!$B$1:$BZ$1,0),FALSE)),VLOOKUP($A161,Haver_M!$B$1:$BZ$300,MATCH(data!AR$1,Haver_M!$B$1:$BZ$1,0),FALSE),"")</f>
        <v>51.045999999999999</v>
      </c>
      <c r="AS161">
        <f>IF(ISNUMBER(VLOOKUP($A161,Haver_M!$B$1:$BZ$300,MATCH(data!AS$1,Haver_M!$B$1:$BZ$1,0),FALSE)),VLOOKUP($A161,Haver_M!$B$1:$BZ$300,MATCH(data!AS$1,Haver_M!$B$1:$BZ$1,0),FALSE),"")</f>
        <v>50.658999999999999</v>
      </c>
      <c r="AT161">
        <f>IF(ISNUMBER(VLOOKUP($A161,Haver_M!$B$1:$BZ$300,MATCH(data!AT$1,Haver_M!$B$1:$BZ$1,0),FALSE)),VLOOKUP($A161,Haver_M!$B$1:$BZ$300,MATCH(data!AT$1,Haver_M!$B$1:$BZ$1,0),FALSE),"")</f>
        <v>50.170699999999997</v>
      </c>
      <c r="AU161">
        <f>IF(ISNUMBER(VLOOKUP($A161,Haver_M!$B$1:$BZ$300,MATCH(data!AU$1,Haver_M!$B$1:$BZ$1,0),FALSE)),VLOOKUP($A161,Haver_M!$B$1:$BZ$300,MATCH(data!AU$1,Haver_M!$B$1:$BZ$1,0),FALSE),"")</f>
        <v>52.266399999999997</v>
      </c>
      <c r="AV161">
        <f>IF(ISNUMBER(VLOOKUP($A161,Haver_M!$B$1:$BZ$300,MATCH(data!AV$1,Haver_M!$B$1:$BZ$1,0),FALSE)),VLOOKUP($A161,Haver_M!$B$1:$BZ$300,MATCH(data!AV$1,Haver_M!$B$1:$BZ$1,0),FALSE),"")</f>
        <v>50.5946</v>
      </c>
      <c r="AW161">
        <f>IF(ISNUMBER(VLOOKUP($A161,Haver_M!$B$1:$BZ$300,MATCH(data!AW$1,Haver_M!$B$1:$BZ$1,0),FALSE)),VLOOKUP($A161,Haver_M!$B$1:$BZ$300,MATCH(data!AW$1,Haver_M!$B$1:$BZ$1,0),FALSE),"")</f>
        <v>49.254899999999999</v>
      </c>
      <c r="AX161">
        <f>IF(ISNUMBER(VLOOKUP($A161,Haver_M!$B$1:$BZ$300,MATCH(data!AX$1,Haver_M!$B$1:$BZ$1,0),FALSE)),VLOOKUP($A161,Haver_M!$B$1:$BZ$300,MATCH(data!AX$1,Haver_M!$B$1:$BZ$1,0),FALSE),"")</f>
        <v>50.927799999999998</v>
      </c>
      <c r="AY161">
        <f>IF(ISNUMBER(VLOOKUP($A161,Haver_M!$B$1:$BZ$300,MATCH(data!AY$1,Haver_M!$B$1:$BZ$1,0),FALSE)),VLOOKUP($A161,Haver_M!$B$1:$BZ$300,MATCH(data!AY$1,Haver_M!$B$1:$BZ$1,0),FALSE),"")</f>
        <v>54.147799999999997</v>
      </c>
      <c r="AZ161">
        <f>IF(ISNUMBER(VLOOKUP($A161,Haver_M!$B$1:$BZ$300,MATCH(data!AZ$1,Haver_M!$B$1:$BZ$1,0),FALSE)),VLOOKUP($A161,Haver_M!$B$1:$BZ$300,MATCH(data!AZ$1,Haver_M!$B$1:$BZ$1,0),FALSE),"")</f>
        <v>53.295299999999997</v>
      </c>
      <c r="BA161">
        <f>IF(ISNUMBER(VLOOKUP($A161,Haver_M!$B$1:$BZ$300,MATCH(data!BA$1,Haver_M!$B$1:$BZ$1,0),FALSE)),VLOOKUP($A161,Haver_M!$B$1:$BZ$300,MATCH(data!BA$1,Haver_M!$B$1:$BZ$1,0),FALSE),"")</f>
        <v>50.927799999999998</v>
      </c>
      <c r="BB161">
        <f>IF(ISNUMBER(VLOOKUP($A161,Haver_M!$B$1:$BZ$300,MATCH(data!BB$1,Haver_M!$B$1:$BZ$1,0),FALSE)),VLOOKUP($A161,Haver_M!$B$1:$BZ$300,MATCH(data!BB$1,Haver_M!$B$1:$BZ$1,0),FALSE),"")</f>
        <v>51.087899999999998</v>
      </c>
      <c r="BC161">
        <f>IF(ISNUMBER(VLOOKUP($A161,Haver_M!$B$1:$BZ$300,MATCH(data!BC$1,Haver_M!$B$1:$BZ$1,0),FALSE)),VLOOKUP($A161,Haver_M!$B$1:$BZ$300,MATCH(data!BC$1,Haver_M!$B$1:$BZ$1,0),FALSE),"")</f>
        <v>51.891599999999997</v>
      </c>
      <c r="BD161">
        <f>IF(ISNUMBER(VLOOKUP($A161,Haver_M!$B$1:$BZ$300,MATCH(data!BD$1,Haver_M!$B$1:$BZ$1,0),FALSE)),VLOOKUP($A161,Haver_M!$B$1:$BZ$300,MATCH(data!BD$1,Haver_M!$B$1:$BZ$1,0),FALSE),"")</f>
        <v>51.040799999999997</v>
      </c>
      <c r="BE161">
        <f>IF(ISNUMBER(VLOOKUP($A161,Haver_M!$B$1:$BZ$300,MATCH(data!BE$1,Haver_M!$B$1:$BZ$1,0),FALSE)),VLOOKUP($A161,Haver_M!$B$1:$BZ$300,MATCH(data!BE$1,Haver_M!$B$1:$BZ$1,0),FALSE),"")</f>
        <v>1.0307999999999999</v>
      </c>
      <c r="BF161">
        <f>IF(ISNUMBER(VLOOKUP($A161,Haver_M!$B$1:$BZ$300,MATCH(data!BF$1,Haver_M!$B$1:$BZ$1,0),FALSE)),VLOOKUP($A161,Haver_M!$B$1:$BZ$300,MATCH(data!BF$1,Haver_M!$B$1:$BZ$1,0),FALSE),"")</f>
        <v>50.5398</v>
      </c>
      <c r="BG161">
        <f>IF(ISNUMBER(VLOOKUP($A161,Haver_M!$B$1:$BZ$300,MATCH(data!BG$1,Haver_M!$B$1:$BZ$1,0),FALSE)),VLOOKUP($A161,Haver_M!$B$1:$BZ$300,MATCH(data!BG$1,Haver_M!$B$1:$BZ$1,0),FALSE),"")</f>
        <v>52.115900000000003</v>
      </c>
      <c r="BH161">
        <f>IF(ISNUMBER(VLOOKUP($A161,Haver_M!$B$1:$BZ$300,MATCH(data!BH$1,Haver_M!$B$1:$BZ$1,0),FALSE)),VLOOKUP($A161,Haver_M!$B$1:$BZ$300,MATCH(data!BH$1,Haver_M!$B$1:$BZ$1,0),FALSE),"")</f>
        <v>52.555900000000001</v>
      </c>
      <c r="BI161">
        <f>IF(ISNUMBER(VLOOKUP($A161,Haver_M!$B$1:$BZ$300,MATCH(data!BI$1,Haver_M!$B$1:$BZ$1,0),FALSE)),VLOOKUP($A161,Haver_M!$B$1:$BZ$300,MATCH(data!BI$1,Haver_M!$B$1:$BZ$1,0),FALSE),"")</f>
        <v>53.405700000000003</v>
      </c>
      <c r="BJ161" t="str">
        <f>IF(ISNUMBER(VLOOKUP($A161,Haver_M!$B$1:$BZ$300,MATCH(data!BJ$1,Haver_M!$B$1:$BZ$1,0),FALSE)),VLOOKUP($A161,Haver_M!$B$1:$BZ$300,MATCH(data!BJ$1,Haver_M!$B$1:$BZ$1,0),FALSE),"")</f>
        <v/>
      </c>
      <c r="BK161">
        <f>IF(ISNUMBER(VLOOKUP($A161,Haver_M!$B$1:$BZ$300,MATCH(data!BK$1,Haver_M!$B$1:$BZ$1,0),FALSE)),VLOOKUP($A161,Haver_M!$B$1:$BZ$300,MATCH(data!BK$1,Haver_M!$B$1:$BZ$1,0),FALSE),"")</f>
        <v>50.4101</v>
      </c>
      <c r="BL161">
        <f>IF(ISNUMBER(VLOOKUP($A161,Haver_M!$B$1:$BZ$300,MATCH(data!BL$1,Haver_M!$B$1:$BZ$1,0),FALSE)),VLOOKUP($A161,Haver_M!$B$1:$BZ$300,MATCH(data!BL$1,Haver_M!$B$1:$BZ$1,0),FALSE),"")</f>
        <v>18815.78</v>
      </c>
      <c r="BM161">
        <f>IF(ISNUMBER(VLOOKUP($A161,Haver_M!$B$1:$BZ$300,MATCH(data!BM$1,Haver_M!$B$1:$BZ$1,0),FALSE)),VLOOKUP($A161,Haver_M!$B$1:$BZ$300,MATCH(data!BM$1,Haver_M!$B$1:$BZ$1,0),FALSE),"")</f>
        <v>98.518819350000001</v>
      </c>
      <c r="BN161" t="str">
        <f>IF(ISNUMBER(VLOOKUP($A161,Haver_M!$B$1:$BZ$300,MATCH(data!BN$1,Haver_M!$B$1:$BZ$1,0),FALSE)),VLOOKUP($A161,Haver_M!$B$1:$BZ$300,MATCH(data!BN$1,Haver_M!$B$1:$BZ$1,0),FALSE),"")</f>
        <v/>
      </c>
      <c r="BO161" t="str">
        <f>IF(ISNUMBER(VLOOKUP($A161,Haver_M!$B$1:$BZ$300,MATCH(data!BO$1,Haver_M!$B$1:$BZ$1,0),FALSE)),VLOOKUP($A161,Haver_M!$B$1:$BZ$300,MATCH(data!BO$1,Haver_M!$B$1:$BZ$1,0),FALSE),"")</f>
        <v/>
      </c>
      <c r="BP161" t="str">
        <f>IF(ISNUMBER(VLOOKUP($A161,Haver_M!$B$1:$BZ$300,MATCH(data!BP$1,Haver_M!$B$1:$BZ$1,0),FALSE)),VLOOKUP($A161,Haver_M!$B$1:$BZ$300,MATCH(data!BP$1,Haver_M!$B$1:$BZ$1,0),FALSE),"")</f>
        <v/>
      </c>
      <c r="BQ161">
        <f>IF(ISNUMBER(VLOOKUP($A161,Haver_M!$B$1:$BZ$300,MATCH(data!BQ$1,Haver_M!$B$1:$BZ$1,0),FALSE)),VLOOKUP($A161,Haver_M!$B$1:$BZ$300,MATCH(data!BQ$1,Haver_M!$B$1:$BZ$1,0),FALSE),"")</f>
        <v>161.39507169562873</v>
      </c>
      <c r="BR161">
        <f>IF(ISNUMBER(VLOOKUP($A161,Haver_M!$B$1:$BZ$300,MATCH(data!BR$1,Haver_M!$B$1:$BZ$1,0),FALSE)),VLOOKUP($A161,Haver_M!$B$1:$BZ$300,MATCH(data!BR$1,Haver_M!$B$1:$BZ$1,0),FALSE),"")</f>
        <v>410.93484773529349</v>
      </c>
      <c r="BS161">
        <f>IF(ISNUMBER(VLOOKUP($A161,Haver_M!$B$1:$BZ$300,MATCH(data!BS$1,Haver_M!$B$1:$BZ$1,0),FALSE)),VLOOKUP($A161,Haver_M!$B$1:$BZ$300,MATCH(data!BS$1,Haver_M!$B$1:$BZ$1,0),FALSE),"")</f>
        <v>211.03268555623191</v>
      </c>
      <c r="BT161">
        <f>IF(ISNUMBER(VLOOKUP($A161,Haver_M!$B$1:$BZ$300,MATCH(data!BT$1,Haver_M!$B$1:$BZ$1,0),FALSE)),VLOOKUP($A161,Haver_M!$B$1:$BZ$300,MATCH(data!BT$1,Haver_M!$B$1:$BZ$1,0),FALSE),"")</f>
        <v>893.30620111557187</v>
      </c>
      <c r="BU161">
        <f>IF(ISNUMBER(VLOOKUP($A161,Haver_M!$B$1:$BZ$300,MATCH(data!BU$1,Haver_M!$B$1:$BZ$1,0),FALSE)),VLOOKUP($A161,Haver_M!$B$1:$BZ$300,MATCH(data!BU$1,Haver_M!$B$1:$BZ$1,0),FALSE),"")</f>
        <v>24524.54</v>
      </c>
      <c r="BV161">
        <f>IF(ISNUMBER(VLOOKUP($A161,Haver_M!$B$1:$BZ$300,MATCH(data!BV$1,Haver_M!$B$1:$BZ$1,0),FALSE)),VLOOKUP($A161,Haver_M!$B$1:$BZ$300,MATCH(data!BV$1,Haver_M!$B$1:$BZ$1,0),FALSE),"")</f>
        <v>41577.15</v>
      </c>
      <c r="BW161">
        <f>IF(ISNUMBER(VLOOKUP($A161,Haver_M!$B$1:$BZ$300,MATCH(data!BW$1,Haver_M!$B$1:$BZ$1,0),FALSE)),VLOOKUP($A161,Haver_M!$B$1:$BZ$300,MATCH(data!BW$1,Haver_M!$B$1:$BZ$1,0),FALSE),"")</f>
        <v>54.375700000000002</v>
      </c>
      <c r="BX161">
        <f>IF(ISNUMBER(VLOOKUP($A161,Haver_M!$B$1:$BZ$300,MATCH(data!BX$1,Haver_M!$B$1:$BZ$1,0),FALSE)),VLOOKUP($A161,Haver_M!$B$1:$BZ$300,MATCH(data!BX$1,Haver_M!$B$1:$BZ$1,0),FALSE),"")</f>
        <v>77544</v>
      </c>
    </row>
    <row r="162" spans="1:76" x14ac:dyDescent="0.25">
      <c r="A162" s="2">
        <v>41425</v>
      </c>
      <c r="B162" t="str">
        <f>IF(ISNUMBER(VLOOKUP($A162,Haver_Q!$B$1:$L$185,MATCH(data!B$1,Haver_Q!$B$1:$L$1,0),FALSE)),100*(VLOOKUP($A162,Haver_Q!$B$1:$L$185,MATCH(data!B$1,Haver_Q!$B$1:$L$1,0),FALSE)),"")</f>
        <v/>
      </c>
      <c r="C162" t="str">
        <f>IF(ISNUMBER(VLOOKUP($A162,Haver_Q!$B$1:$L$185,MATCH(data!C$1,Haver_Q!$B$1:$L$1,0),FALSE)),100*(VLOOKUP($A162,Haver_Q!$B$1:$L$185,MATCH(data!C$1,Haver_Q!$B$1:$L$1,0),FALSE)),"")</f>
        <v/>
      </c>
      <c r="D162" t="str">
        <f>IF(ISNUMBER(VLOOKUP($A162,Haver_Q!$B$1:$L$185,MATCH(data!D$1,Haver_Q!$B$1:$L$1,0),FALSE)),100*(VLOOKUP($A162,Haver_Q!$B$1:$L$185,MATCH(data!D$1,Haver_Q!$B$1:$L$1,0),FALSE)),"")</f>
        <v/>
      </c>
      <c r="E162" t="str">
        <f>IF(ISNUMBER(VLOOKUP($A162,Haver_Q!$B$1:$L$185,MATCH(data!E$1,Haver_Q!$B$1:$L$1,0),FALSE)),100*(VLOOKUP($A162,Haver_Q!$B$1:$L$185,MATCH(data!E$1,Haver_Q!$B$1:$L$1,0),FALSE)),"")</f>
        <v/>
      </c>
      <c r="F162" t="str">
        <f>IF(ISNUMBER(VLOOKUP($A162,Haver_Q!$B$1:$L$185,MATCH(data!F$1,Haver_Q!$B$1:$L$1,0),FALSE)),100*(VLOOKUP($A162,Haver_Q!$B$1:$L$185,MATCH(data!F$1,Haver_Q!$B$1:$L$1,0),FALSE)),"")</f>
        <v/>
      </c>
      <c r="G162" t="str">
        <f>IF(ISNUMBER(VLOOKUP($A162,Haver_Q!$B$1:$L$185,MATCH(data!G$1,Haver_Q!$B$1:$L$1,0),FALSE)),100*(VLOOKUP($A162,Haver_Q!$B$1:$L$185,MATCH(data!G$1,Haver_Q!$B$1:$L$1,0),FALSE)),"")</f>
        <v/>
      </c>
      <c r="H162" t="str">
        <f>IF(ISNUMBER(VLOOKUP($A162,Haver_Q!$B$1:$L$185,MATCH(data!H$1,Haver_Q!$B$1:$L$1,0),FALSE)),(VLOOKUP($A162,Haver_Q!$B$1:$L$185,MATCH(data!H$1,Haver_Q!$B$1:$L$1,0),FALSE)),"")</f>
        <v/>
      </c>
      <c r="I162" t="str">
        <f>IF(ISNUMBER(VLOOKUP($A162,Haver_Q!$B$1:$L$185,MATCH(data!I$1,Haver_Q!$B$1:$L$1,0),FALSE)),100*(VLOOKUP($A162,Haver_Q!$B$1:$L$185,MATCH(data!I$1,Haver_Q!$B$1:$L$1,0),FALSE)),"")</f>
        <v/>
      </c>
      <c r="J162" s="3">
        <f>IF(ISNUMBER(Bloomberg_m!C178),Bloomberg_m!C178,"")</f>
        <v>851</v>
      </c>
      <c r="K162" s="3">
        <f>IF(ISNUMBER(Bloomberg_m!D178),Bloomberg_m!D178,"")</f>
        <v>1644.49</v>
      </c>
      <c r="L162" s="3">
        <f>IF(ISNUMBER(Bloomberg_m!E178),Bloomberg_m!E178,"")</f>
        <v>1006.41</v>
      </c>
      <c r="M162" s="3">
        <f>IF(ISNUMBER(Bloomberg_m!F178),Bloomberg_m!F178,"")</f>
        <v>484.03</v>
      </c>
      <c r="N162">
        <f>IF(ISNUMBER(VLOOKUP($A162,Haver_M!$B$1:$BZ$300,MATCH(data!N$1,Haver_M!$B$1:$BZ$1,0),FALSE)),VLOOKUP($A162,Haver_M!$B$1:$BZ$300,MATCH(data!N$1,Haver_M!$B$1:$BZ$1,0),FALSE),"")</f>
        <v>7.25</v>
      </c>
      <c r="O162">
        <f>IF(ISNUMBER(VLOOKUP($A162,Haver_M!$B$1:$BZ$300,MATCH(data!O$1,Haver_M!$B$1:$BZ$1,0),FALSE)),VLOOKUP($A162,Haver_M!$B$1:$BZ$300,MATCH(data!O$1,Haver_M!$B$1:$BZ$1,0),FALSE),"")</f>
        <v>7.4802999999999997</v>
      </c>
      <c r="P162">
        <f>IF(ISNUMBER(VLOOKUP($A162,Haver_M!$B$1:$BZ$300,MATCH(data!P$1,Haver_M!$B$1:$BZ$1,0),FALSE)),VLOOKUP($A162,Haver_M!$B$1:$BZ$300,MATCH(data!P$1,Haver_M!$B$1:$BZ$1,0),FALSE),"")</f>
        <v>92.647559999999999</v>
      </c>
      <c r="Q162">
        <f>IF(ISNUMBER(VLOOKUP($A162,Haver_M!$B$1:$BZ$300,MATCH(data!Q$1,Haver_M!$B$1:$BZ$1,0),FALSE)),VLOOKUP($A162,Haver_M!$B$1:$BZ$300,MATCH(data!Q$1,Haver_M!$B$1:$BZ$1,0),FALSE),"")</f>
        <v>107.5</v>
      </c>
      <c r="R162">
        <f>IF(ISNUMBER(VLOOKUP($A162,Haver_M!$B$1:$BZ$300,MATCH(data!R$1,Haver_M!$B$1:$BZ$1,0),FALSE)),VLOOKUP($A162,Haver_M!$B$1:$BZ$300,MATCH(data!R$1,Haver_M!$B$1:$BZ$1,0),FALSE),"")</f>
        <v>105.9</v>
      </c>
      <c r="S162">
        <f>IF(ISNUMBER(VLOOKUP($A162,Haver_M!$B$1:$BZ$300,MATCH(data!S$1,Haver_M!$B$1:$BZ$1,0),FALSE)),VLOOKUP($A162,Haver_M!$B$1:$BZ$300,MATCH(data!S$1,Haver_M!$B$1:$BZ$1,0),FALSE),"")</f>
        <v>105.39</v>
      </c>
      <c r="T162">
        <f>IF(ISNUMBER(VLOOKUP($A162,Haver_M!$B$1:$BZ$300,MATCH(data!T$1,Haver_M!$B$1:$BZ$1,0),FALSE)),VLOOKUP($A162,Haver_M!$B$1:$BZ$300,MATCH(data!T$1,Haver_M!$B$1:$BZ$1,0),FALSE),"")</f>
        <v>101.77</v>
      </c>
      <c r="U162">
        <f>IF(ISNUMBER(VLOOKUP($A162,Haver_M!$B$1:$BZ$300,MATCH(data!U$1,Haver_M!$B$1:$BZ$1,0),FALSE)),VLOOKUP($A162,Haver_M!$B$1:$BZ$300,MATCH(data!U$1,Haver_M!$B$1:$BZ$1,0),FALSE),"")</f>
        <v>104.17</v>
      </c>
      <c r="V162">
        <f>IF(ISNUMBER(VLOOKUP($A162,Haver_M!$B$1:$BZ$300,MATCH(data!V$1,Haver_M!$B$1:$BZ$1,0),FALSE)),VLOOKUP($A162,Haver_M!$B$1:$BZ$300,MATCH(data!V$1,Haver_M!$B$1:$BZ$1,0),FALSE),"")</f>
        <v>106.08</v>
      </c>
      <c r="W162">
        <f>IF(ISNUMBER(VLOOKUP($A162,Haver_M!$B$1:$BZ$300,MATCH(data!W$1,Haver_M!$B$1:$BZ$1,0),FALSE)),VLOOKUP($A162,Haver_M!$B$1:$BZ$300,MATCH(data!W$1,Haver_M!$B$1:$BZ$1,0),FALSE),"")</f>
        <v>109.84</v>
      </c>
      <c r="X162">
        <f>IF(ISNUMBER(VLOOKUP($A162,Haver_M!$B$1:$BZ$300,MATCH(data!X$1,Haver_M!$B$1:$BZ$1,0),FALSE)),VLOOKUP($A162,Haver_M!$B$1:$BZ$300,MATCH(data!X$1,Haver_M!$B$1:$BZ$1,0),FALSE),"")</f>
        <v>104.55</v>
      </c>
      <c r="Y162">
        <f>IF(ISNUMBER(VLOOKUP($A162,Haver_M!$B$1:$BZ$300,MATCH(data!Y$1,Haver_M!$B$1:$BZ$1,0),FALSE)),VLOOKUP($A162,Haver_M!$B$1:$BZ$300,MATCH(data!Y$1,Haver_M!$B$1:$BZ$1,0),FALSE),"")</f>
        <v>110.61</v>
      </c>
      <c r="Z162">
        <f>IF(ISNUMBER(VLOOKUP($A162,Haver_M!$B$1:$BZ$300,MATCH(data!Z$1,Haver_M!$B$1:$BZ$1,0),FALSE)),VLOOKUP($A162,Haver_M!$B$1:$BZ$300,MATCH(data!Z$1,Haver_M!$B$1:$BZ$1,0),FALSE),"")</f>
        <v>105.7</v>
      </c>
      <c r="AA162">
        <f>IF(ISNUMBER(VLOOKUP($A162,Haver_M!$B$1:$BZ$300,MATCH(data!AA$1,Haver_M!$B$1:$BZ$1,0),FALSE)),VLOOKUP($A162,Haver_M!$B$1:$BZ$300,MATCH(data!AA$1,Haver_M!$B$1:$BZ$1,0),FALSE),"")</f>
        <v>101.623</v>
      </c>
      <c r="AB162">
        <f>IF(ISNUMBER(VLOOKUP($A162,Haver_M!$B$1:$BZ$300,MATCH(data!AB$1,Haver_M!$B$1:$BZ$1,0),FALSE)),VLOOKUP($A162,Haver_M!$B$1:$BZ$300,MATCH(data!AB$1,Haver_M!$B$1:$BZ$1,0),FALSE),"")</f>
        <v>98.688999999999993</v>
      </c>
      <c r="AC162">
        <f>IF(ISNUMBER(VLOOKUP($A162,Haver_M!$B$1:$BZ$300,MATCH(data!AC$1,Haver_M!$B$1:$BZ$1,0),FALSE)),VLOOKUP($A162,Haver_M!$B$1:$BZ$300,MATCH(data!AC$1,Haver_M!$B$1:$BZ$1,0),FALSE),"")</f>
        <v>75.159000000000006</v>
      </c>
      <c r="AD162">
        <f>IF(ISNUMBER(VLOOKUP($A162,Haver_M!$B$1:$BZ$300,MATCH(data!AD$1,Haver_M!$B$1:$BZ$1,0),FALSE)),VLOOKUP($A162,Haver_M!$B$1:$BZ$300,MATCH(data!AD$1,Haver_M!$B$1:$BZ$1,0),FALSE),"")</f>
        <v>108.973</v>
      </c>
      <c r="AE162">
        <f>IF(ISNUMBER(VLOOKUP($A162,Haver_M!$B$1:$BZ$300,MATCH(data!AE$1,Haver_M!$B$1:$BZ$1,0),FALSE)),VLOOKUP($A162,Haver_M!$B$1:$BZ$300,MATCH(data!AE$1,Haver_M!$B$1:$BZ$1,0),FALSE),"")</f>
        <v>85.977999999999994</v>
      </c>
      <c r="AF162">
        <f>IF(ISNUMBER(VLOOKUP($A162,Haver_M!$B$1:$BZ$300,MATCH(data!AF$1,Haver_M!$B$1:$BZ$1,0),FALSE)),VLOOKUP($A162,Haver_M!$B$1:$BZ$300,MATCH(data!AF$1,Haver_M!$B$1:$BZ$1,0),FALSE),"")</f>
        <v>114.749</v>
      </c>
      <c r="AG162">
        <f>IF(ISNUMBER(VLOOKUP($A162,Haver_M!$B$1:$BZ$300,MATCH(data!AG$1,Haver_M!$B$1:$BZ$1,0),FALSE)),VLOOKUP($A162,Haver_M!$B$1:$BZ$300,MATCH(data!AG$1,Haver_M!$B$1:$BZ$1,0),FALSE),"")</f>
        <v>110.33199999999999</v>
      </c>
      <c r="AH162">
        <f>IF(ISNUMBER(VLOOKUP($A162,Haver_M!$B$1:$BZ$300,MATCH(data!AH$1,Haver_M!$B$1:$BZ$1,0),FALSE)),VLOOKUP($A162,Haver_M!$B$1:$BZ$300,MATCH(data!AH$1,Haver_M!$B$1:$BZ$1,0),FALSE),"")</f>
        <v>109.4</v>
      </c>
      <c r="AI162">
        <f>IF(ISNUMBER(VLOOKUP($A162,Haver_M!$B$1:$BZ$300,MATCH(data!AI$1,Haver_M!$B$1:$BZ$1,0),FALSE)),VLOOKUP($A162,Haver_M!$B$1:$BZ$300,MATCH(data!AI$1,Haver_M!$B$1:$BZ$1,0),FALSE),"")</f>
        <v>13264.047704909164</v>
      </c>
      <c r="AJ162">
        <f>IF(ISNUMBER(VLOOKUP($A162,Haver_M!$B$1:$BZ$300,MATCH(data!AJ$1,Haver_M!$B$1:$BZ$1,0),FALSE)),VLOOKUP($A162,Haver_M!$B$1:$BZ$300,MATCH(data!AJ$1,Haver_M!$B$1:$BZ$1,0),FALSE),"")</f>
        <v>24759.35</v>
      </c>
      <c r="AK162">
        <f>IF(ISNUMBER(VLOOKUP($A162,Haver_M!$B$1:$BZ$300,MATCH(data!AK$1,Haver_M!$B$1:$BZ$1,0),FALSE)),VLOOKUP($A162,Haver_M!$B$1:$BZ$300,MATCH(data!AK$1,Haver_M!$B$1:$BZ$1,0),FALSE),"")</f>
        <v>41713.89</v>
      </c>
      <c r="AL162">
        <f>IF(ISNUMBER(VLOOKUP($A162,Haver_M!$B$1:$BZ$300,MATCH(data!AL$1,Haver_M!$B$1:$BZ$1,0),FALSE)),VLOOKUP($A162,Haver_M!$B$1:$BZ$300,MATCH(data!AL$1,Haver_M!$B$1:$BZ$1,0),FALSE),"")</f>
        <v>12799</v>
      </c>
      <c r="AM162">
        <f>IF(ISNUMBER(VLOOKUP($A162,Haver_M!$B$1:$BZ$300,MATCH(data!AM$1,Haver_M!$B$1:$BZ$1,0),FALSE)),VLOOKUP($A162,Haver_M!$B$1:$BZ$300,MATCH(data!AM$1,Haver_M!$B$1:$BZ$1,0),FALSE),"")</f>
        <v>6983</v>
      </c>
      <c r="AN162" t="str">
        <f>IF(ISNUMBER(VLOOKUP($A162,Haver_M!$B$1:$BZ$300,MATCH(data!AN$1,Haver_M!$B$1:$BZ$1,0),FALSE)),VLOOKUP($A162,Haver_M!$B$1:$BZ$300,MATCH(data!AN$1,Haver_M!$B$1:$BZ$1,0),FALSE),"")</f>
        <v/>
      </c>
      <c r="AO162" t="str">
        <f>IF(ISNUMBER(VLOOKUP($A162,Haver_M!$B$1:$BZ$300,MATCH(data!AO$1,Haver_M!$B$1:$BZ$1,0),FALSE)),VLOOKUP($A162,Haver_M!$B$1:$BZ$300,MATCH(data!AO$1,Haver_M!$B$1:$BZ$1,0),FALSE),"")</f>
        <v/>
      </c>
      <c r="AP162">
        <f>IF(ISNUMBER(VLOOKUP($A162,Haver_M!$B$1:$BZ$300,MATCH(data!AP$1,Haver_M!$B$1:$BZ$1,0),FALSE)),VLOOKUP($A162,Haver_M!$B$1:$BZ$300,MATCH(data!AP$1,Haver_M!$B$1:$BZ$1,0),FALSE),"")</f>
        <v>126.62388191413319</v>
      </c>
      <c r="AQ162">
        <f>IF(ISNUMBER(VLOOKUP($A162,Haver_M!$B$1:$BZ$300,MATCH(data!AQ$1,Haver_M!$B$1:$BZ$1,0),FALSE)),VLOOKUP($A162,Haver_M!$B$1:$BZ$300,MATCH(data!AQ$1,Haver_M!$B$1:$BZ$1,0),FALSE),"")</f>
        <v>51.988900000000001</v>
      </c>
      <c r="AR162">
        <f>IF(ISNUMBER(VLOOKUP($A162,Haver_M!$B$1:$BZ$300,MATCH(data!AR$1,Haver_M!$B$1:$BZ$1,0),FALSE)),VLOOKUP($A162,Haver_M!$B$1:$BZ$300,MATCH(data!AR$1,Haver_M!$B$1:$BZ$1,0),FALSE),"")</f>
        <v>50.106299999999997</v>
      </c>
      <c r="AS162">
        <f>IF(ISNUMBER(VLOOKUP($A162,Haver_M!$B$1:$BZ$300,MATCH(data!AS$1,Haver_M!$B$1:$BZ$1,0),FALSE)),VLOOKUP($A162,Haver_M!$B$1:$BZ$300,MATCH(data!AS$1,Haver_M!$B$1:$BZ$1,0),FALSE),"")</f>
        <v>53.6096</v>
      </c>
      <c r="AT162">
        <f>IF(ISNUMBER(VLOOKUP($A162,Haver_M!$B$1:$BZ$300,MATCH(data!AT$1,Haver_M!$B$1:$BZ$1,0),FALSE)),VLOOKUP($A162,Haver_M!$B$1:$BZ$300,MATCH(data!AT$1,Haver_M!$B$1:$BZ$1,0),FALSE),"")</f>
        <v>48.6248</v>
      </c>
      <c r="AU162">
        <f>IF(ISNUMBER(VLOOKUP($A162,Haver_M!$B$1:$BZ$300,MATCH(data!AU$1,Haver_M!$B$1:$BZ$1,0),FALSE)),VLOOKUP($A162,Haver_M!$B$1:$BZ$300,MATCH(data!AU$1,Haver_M!$B$1:$BZ$1,0),FALSE),"")</f>
        <v>50.491399999999999</v>
      </c>
      <c r="AV162">
        <f>IF(ISNUMBER(VLOOKUP($A162,Haver_M!$B$1:$BZ$300,MATCH(data!AV$1,Haver_M!$B$1:$BZ$1,0),FALSE)),VLOOKUP($A162,Haver_M!$B$1:$BZ$300,MATCH(data!AV$1,Haver_M!$B$1:$BZ$1,0),FALSE),"")</f>
        <v>50.694200000000002</v>
      </c>
      <c r="AW162">
        <f>IF(ISNUMBER(VLOOKUP($A162,Haver_M!$B$1:$BZ$300,MATCH(data!AW$1,Haver_M!$B$1:$BZ$1,0),FALSE)),VLOOKUP($A162,Haver_M!$B$1:$BZ$300,MATCH(data!AW$1,Haver_M!$B$1:$BZ$1,0),FALSE),"")</f>
        <v>49.812600000000003</v>
      </c>
      <c r="AX162">
        <f>IF(ISNUMBER(VLOOKUP($A162,Haver_M!$B$1:$BZ$300,MATCH(data!AX$1,Haver_M!$B$1:$BZ$1,0),FALSE)),VLOOKUP($A162,Haver_M!$B$1:$BZ$300,MATCH(data!AX$1,Haver_M!$B$1:$BZ$1,0),FALSE),"")</f>
        <v>51.357799999999997</v>
      </c>
      <c r="AY162">
        <f>IF(ISNUMBER(VLOOKUP($A162,Haver_M!$B$1:$BZ$300,MATCH(data!AY$1,Haver_M!$B$1:$BZ$1,0),FALSE)),VLOOKUP($A162,Haver_M!$B$1:$BZ$300,MATCH(data!AY$1,Haver_M!$B$1:$BZ$1,0),FALSE),"")</f>
        <v>51.335700000000003</v>
      </c>
      <c r="AZ162">
        <f>IF(ISNUMBER(VLOOKUP($A162,Haver_M!$B$1:$BZ$300,MATCH(data!AZ$1,Haver_M!$B$1:$BZ$1,0),FALSE)),VLOOKUP($A162,Haver_M!$B$1:$BZ$300,MATCH(data!AZ$1,Haver_M!$B$1:$BZ$1,0),FALSE),"")</f>
        <v>51.483800000000002</v>
      </c>
      <c r="BA162">
        <f>IF(ISNUMBER(VLOOKUP($A162,Haver_M!$B$1:$BZ$300,MATCH(data!BA$1,Haver_M!$B$1:$BZ$1,0),FALSE)),VLOOKUP($A162,Haver_M!$B$1:$BZ$300,MATCH(data!BA$1,Haver_M!$B$1:$BZ$1,0),FALSE),"")</f>
        <v>51.357799999999997</v>
      </c>
      <c r="BB162">
        <f>IF(ISNUMBER(VLOOKUP($A162,Haver_M!$B$1:$BZ$300,MATCH(data!BB$1,Haver_M!$B$1:$BZ$1,0),FALSE)),VLOOKUP($A162,Haver_M!$B$1:$BZ$300,MATCH(data!BB$1,Haver_M!$B$1:$BZ$1,0),FALSE),"")</f>
        <v>53.974899999999998</v>
      </c>
      <c r="BC162">
        <f>IF(ISNUMBER(VLOOKUP($A162,Haver_M!$B$1:$BZ$300,MATCH(data!BC$1,Haver_M!$B$1:$BZ$1,0),FALSE)),VLOOKUP($A162,Haver_M!$B$1:$BZ$300,MATCH(data!BC$1,Haver_M!$B$1:$BZ$1,0),FALSE),"")</f>
        <v>49.776400000000002</v>
      </c>
      <c r="BD162">
        <f>IF(ISNUMBER(VLOOKUP($A162,Haver_M!$B$1:$BZ$300,MATCH(data!BD$1,Haver_M!$B$1:$BZ$1,0),FALSE)),VLOOKUP($A162,Haver_M!$B$1:$BZ$300,MATCH(data!BD$1,Haver_M!$B$1:$BZ$1,0),FALSE),"")</f>
        <v>54.066800000000001</v>
      </c>
      <c r="BE162">
        <f>IF(ISNUMBER(VLOOKUP($A162,Haver_M!$B$1:$BZ$300,MATCH(data!BE$1,Haver_M!$B$1:$BZ$1,0),FALSE)),VLOOKUP($A162,Haver_M!$B$1:$BZ$300,MATCH(data!BE$1,Haver_M!$B$1:$BZ$1,0),FALSE),"")</f>
        <v>0.99790000000000001</v>
      </c>
      <c r="BF162">
        <f>IF(ISNUMBER(VLOOKUP($A162,Haver_M!$B$1:$BZ$300,MATCH(data!BF$1,Haver_M!$B$1:$BZ$1,0),FALSE)),VLOOKUP($A162,Haver_M!$B$1:$BZ$300,MATCH(data!BF$1,Haver_M!$B$1:$BZ$1,0),FALSE),"")</f>
        <v>50.540900000000001</v>
      </c>
      <c r="BG162">
        <f>IF(ISNUMBER(VLOOKUP($A162,Haver_M!$B$1:$BZ$300,MATCH(data!BG$1,Haver_M!$B$1:$BZ$1,0),FALSE)),VLOOKUP($A162,Haver_M!$B$1:$BZ$300,MATCH(data!BG$1,Haver_M!$B$1:$BZ$1,0),FALSE),"")</f>
        <v>51.257599999999996</v>
      </c>
      <c r="BH162">
        <f>IF(ISNUMBER(VLOOKUP($A162,Haver_M!$B$1:$BZ$300,MATCH(data!BH$1,Haver_M!$B$1:$BZ$1,0),FALSE)),VLOOKUP($A162,Haver_M!$B$1:$BZ$300,MATCH(data!BH$1,Haver_M!$B$1:$BZ$1,0),FALSE),"")</f>
        <v>53.240299999999998</v>
      </c>
      <c r="BI162">
        <f>IF(ISNUMBER(VLOOKUP($A162,Haver_M!$B$1:$BZ$300,MATCH(data!BI$1,Haver_M!$B$1:$BZ$1,0),FALSE)),VLOOKUP($A162,Haver_M!$B$1:$BZ$300,MATCH(data!BI$1,Haver_M!$B$1:$BZ$1,0),FALSE),"")</f>
        <v>52.690899999999999</v>
      </c>
      <c r="BJ162" t="str">
        <f>IF(ISNUMBER(VLOOKUP($A162,Haver_M!$B$1:$BZ$300,MATCH(data!BJ$1,Haver_M!$B$1:$BZ$1,0),FALSE)),VLOOKUP($A162,Haver_M!$B$1:$BZ$300,MATCH(data!BJ$1,Haver_M!$B$1:$BZ$1,0),FALSE),"")</f>
        <v/>
      </c>
      <c r="BK162">
        <f>IF(ISNUMBER(VLOOKUP($A162,Haver_M!$B$1:$BZ$300,MATCH(data!BK$1,Haver_M!$B$1:$BZ$1,0),FALSE)),VLOOKUP($A162,Haver_M!$B$1:$BZ$300,MATCH(data!BK$1,Haver_M!$B$1:$BZ$1,0),FALSE),"")</f>
        <v>50.9024</v>
      </c>
      <c r="BL162">
        <f>IF(ISNUMBER(VLOOKUP($A162,Haver_M!$B$1:$BZ$300,MATCH(data!BL$1,Haver_M!$B$1:$BZ$1,0),FALSE)),VLOOKUP($A162,Haver_M!$B$1:$BZ$300,MATCH(data!BL$1,Haver_M!$B$1:$BZ$1,0),FALSE),"")</f>
        <v>19960.8</v>
      </c>
      <c r="BM162">
        <f>IF(ISNUMBER(VLOOKUP($A162,Haver_M!$B$1:$BZ$300,MATCH(data!BM$1,Haver_M!$B$1:$BZ$1,0),FALSE)),VLOOKUP($A162,Haver_M!$B$1:$BZ$300,MATCH(data!BM$1,Haver_M!$B$1:$BZ$1,0),FALSE),"")</f>
        <v>98.343334220000003</v>
      </c>
      <c r="BN162" t="str">
        <f>IF(ISNUMBER(VLOOKUP($A162,Haver_M!$B$1:$BZ$300,MATCH(data!BN$1,Haver_M!$B$1:$BZ$1,0),FALSE)),VLOOKUP($A162,Haver_M!$B$1:$BZ$300,MATCH(data!BN$1,Haver_M!$B$1:$BZ$1,0),FALSE),"")</f>
        <v/>
      </c>
      <c r="BO162" t="str">
        <f>IF(ISNUMBER(VLOOKUP($A162,Haver_M!$B$1:$BZ$300,MATCH(data!BO$1,Haver_M!$B$1:$BZ$1,0),FALSE)),VLOOKUP($A162,Haver_M!$B$1:$BZ$300,MATCH(data!BO$1,Haver_M!$B$1:$BZ$1,0),FALSE),"")</f>
        <v/>
      </c>
      <c r="BP162" t="str">
        <f>IF(ISNUMBER(VLOOKUP($A162,Haver_M!$B$1:$BZ$300,MATCH(data!BP$1,Haver_M!$B$1:$BZ$1,0),FALSE)),VLOOKUP($A162,Haver_M!$B$1:$BZ$300,MATCH(data!BP$1,Haver_M!$B$1:$BZ$1,0),FALSE),"")</f>
        <v/>
      </c>
      <c r="BQ162">
        <f>IF(ISNUMBER(VLOOKUP($A162,Haver_M!$B$1:$BZ$300,MATCH(data!BQ$1,Haver_M!$B$1:$BZ$1,0),FALSE)),VLOOKUP($A162,Haver_M!$B$1:$BZ$300,MATCH(data!BQ$1,Haver_M!$B$1:$BZ$1,0),FALSE),"")</f>
        <v>162.29594915907421</v>
      </c>
      <c r="BR162">
        <f>IF(ISNUMBER(VLOOKUP($A162,Haver_M!$B$1:$BZ$300,MATCH(data!BR$1,Haver_M!$B$1:$BZ$1,0),FALSE)),VLOOKUP($A162,Haver_M!$B$1:$BZ$300,MATCH(data!BR$1,Haver_M!$B$1:$BZ$1,0),FALSE),"")</f>
        <v>409.78971401979248</v>
      </c>
      <c r="BS162">
        <f>IF(ISNUMBER(VLOOKUP($A162,Haver_M!$B$1:$BZ$300,MATCH(data!BS$1,Haver_M!$B$1:$BZ$1,0),FALSE)),VLOOKUP($A162,Haver_M!$B$1:$BZ$300,MATCH(data!BS$1,Haver_M!$B$1:$BZ$1,0),FALSE),"")</f>
        <v>211.72896958415436</v>
      </c>
      <c r="BT162">
        <f>IF(ISNUMBER(VLOOKUP($A162,Haver_M!$B$1:$BZ$300,MATCH(data!BT$1,Haver_M!$B$1:$BZ$1,0),FALSE)),VLOOKUP($A162,Haver_M!$B$1:$BZ$300,MATCH(data!BT$1,Haver_M!$B$1:$BZ$1,0),FALSE),"")</f>
        <v>892.90666560020941</v>
      </c>
      <c r="BU162">
        <f>IF(ISNUMBER(VLOOKUP($A162,Haver_M!$B$1:$BZ$300,MATCH(data!BU$1,Haver_M!$B$1:$BZ$1,0),FALSE)),VLOOKUP($A162,Haver_M!$B$1:$BZ$300,MATCH(data!BU$1,Haver_M!$B$1:$BZ$1,0),FALSE),"")</f>
        <v>24922.94</v>
      </c>
      <c r="BV162">
        <f>IF(ISNUMBER(VLOOKUP($A162,Haver_M!$B$1:$BZ$300,MATCH(data!BV$1,Haver_M!$B$1:$BZ$1,0),FALSE)),VLOOKUP($A162,Haver_M!$B$1:$BZ$300,MATCH(data!BV$1,Haver_M!$B$1:$BZ$1,0),FALSE),"")</f>
        <v>43987.1</v>
      </c>
      <c r="BW162">
        <f>IF(ISNUMBER(VLOOKUP($A162,Haver_M!$B$1:$BZ$300,MATCH(data!BW$1,Haver_M!$B$1:$BZ$1,0),FALSE)),VLOOKUP($A162,Haver_M!$B$1:$BZ$300,MATCH(data!BW$1,Haver_M!$B$1:$BZ$1,0),FALSE),"")</f>
        <v>55.010800000000003</v>
      </c>
      <c r="BX162">
        <f>IF(ISNUMBER(VLOOKUP($A162,Haver_M!$B$1:$BZ$300,MATCH(data!BX$1,Haver_M!$B$1:$BZ$1,0),FALSE)),VLOOKUP($A162,Haver_M!$B$1:$BZ$300,MATCH(data!BX$1,Haver_M!$B$1:$BZ$1,0),FALSE),"")</f>
        <v>77740</v>
      </c>
    </row>
    <row r="163" spans="1:76" x14ac:dyDescent="0.25">
      <c r="A163" s="2">
        <v>41455</v>
      </c>
      <c r="B163">
        <f>IF(ISNUMBER(VLOOKUP($A163,Haver_Q!$B$1:$L$185,MATCH(data!B$1,Haver_Q!$B$1:$L$1,0),FALSE)),100*(VLOOKUP($A163,Haver_Q!$B$1:$L$185,MATCH(data!B$1,Haver_Q!$B$1:$L$1,0),FALSE)),"")</f>
        <v>6.1592498010307306</v>
      </c>
      <c r="C163">
        <f>IF(ISNUMBER(VLOOKUP($A163,Haver_Q!$B$1:$L$185,MATCH(data!C$1,Haver_Q!$B$1:$L$1,0),FALSE)),100*(VLOOKUP($A163,Haver_Q!$B$1:$L$185,MATCH(data!C$1,Haver_Q!$B$1:$L$1,0),FALSE)),"")</f>
        <v>3.7330071742396775</v>
      </c>
      <c r="D163">
        <f>IF(ISNUMBER(VLOOKUP($A163,Haver_Q!$B$1:$L$185,MATCH(data!D$1,Haver_Q!$B$1:$L$1,0),FALSE)),100*(VLOOKUP($A163,Haver_Q!$B$1:$L$185,MATCH(data!D$1,Haver_Q!$B$1:$L$1,0),FALSE)),"")</f>
        <v>25.998666815529514</v>
      </c>
      <c r="E163">
        <f>IF(ISNUMBER(VLOOKUP($A163,Haver_Q!$B$1:$L$185,MATCH(data!E$1,Haver_Q!$B$1:$L$1,0),FALSE)),100*(VLOOKUP($A163,Haver_Q!$B$1:$L$185,MATCH(data!E$1,Haver_Q!$B$1:$L$1,0),FALSE)),"")</f>
        <v>-1.4179176255899373</v>
      </c>
      <c r="F163">
        <f>IF(ISNUMBER(VLOOKUP($A163,Haver_Q!$B$1:$L$185,MATCH(data!F$1,Haver_Q!$B$1:$L$1,0),FALSE)),100*(VLOOKUP($A163,Haver_Q!$B$1:$L$185,MATCH(data!F$1,Haver_Q!$B$1:$L$1,0),FALSE)),"")</f>
        <v>6.1503536775021406</v>
      </c>
      <c r="G163">
        <f>IF(ISNUMBER(VLOOKUP($A163,Haver_Q!$B$1:$L$185,MATCH(data!G$1,Haver_Q!$B$1:$L$1,0),FALSE)),100*(VLOOKUP($A163,Haver_Q!$B$1:$L$185,MATCH(data!G$1,Haver_Q!$B$1:$L$1,0),FALSE)),"")</f>
        <v>-24.271538030463581</v>
      </c>
      <c r="H163">
        <f>IF(ISNUMBER(VLOOKUP($A163,Haver_Q!$B$1:$L$185,MATCH(data!H$1,Haver_Q!$B$1:$L$1,0),FALSE)),(VLOOKUP($A163,Haver_Q!$B$1:$L$185,MATCH(data!H$1,Haver_Q!$B$1:$L$1,0),FALSE)),"")</f>
        <v>3.6774311222064804</v>
      </c>
      <c r="I163">
        <f>IF(ISNUMBER(VLOOKUP($A163,Haver_Q!$B$1:$L$185,MATCH(data!I$1,Haver_Q!$B$1:$L$1,0),FALSE)),100*(VLOOKUP($A163,Haver_Q!$B$1:$L$185,MATCH(data!I$1,Haver_Q!$B$1:$L$1,0),FALSE)),"")</f>
        <v>6.4471030820919317</v>
      </c>
      <c r="J163" s="3">
        <f>IF(ISNUMBER(Bloomberg_m!C179),Bloomberg_m!C179,"")</f>
        <v>941</v>
      </c>
      <c r="K163" s="3">
        <f>IF(ISNUMBER(Bloomberg_m!D179),Bloomberg_m!D179,"")</f>
        <v>1596.83</v>
      </c>
      <c r="L163" s="3">
        <f>IF(ISNUMBER(Bloomberg_m!E179),Bloomberg_m!E179,"")</f>
        <v>999.3</v>
      </c>
      <c r="M163" s="3">
        <f>IF(ISNUMBER(Bloomberg_m!F179),Bloomberg_m!F179,"")</f>
        <v>483.42</v>
      </c>
      <c r="N163">
        <f>IF(ISNUMBER(VLOOKUP($A163,Haver_M!$B$1:$BZ$300,MATCH(data!N$1,Haver_M!$B$1:$BZ$1,0),FALSE)),VLOOKUP($A163,Haver_M!$B$1:$BZ$300,MATCH(data!N$1,Haver_M!$B$1:$BZ$1,0),FALSE),"")</f>
        <v>7.25</v>
      </c>
      <c r="O163">
        <f>IF(ISNUMBER(VLOOKUP($A163,Haver_M!$B$1:$BZ$300,MATCH(data!O$1,Haver_M!$B$1:$BZ$1,0),FALSE)),VLOOKUP($A163,Haver_M!$B$1:$BZ$300,MATCH(data!O$1,Haver_M!$B$1:$BZ$1,0),FALSE),"")</f>
        <v>7.4603999999999999</v>
      </c>
      <c r="P163">
        <f>IF(ISNUMBER(VLOOKUP($A163,Haver_M!$B$1:$BZ$300,MATCH(data!P$1,Haver_M!$B$1:$BZ$1,0),FALSE)),VLOOKUP($A163,Haver_M!$B$1:$BZ$300,MATCH(data!P$1,Haver_M!$B$1:$BZ$1,0),FALSE),"")</f>
        <v>88.720020000000005</v>
      </c>
      <c r="Q163">
        <f>IF(ISNUMBER(VLOOKUP($A163,Haver_M!$B$1:$BZ$300,MATCH(data!Q$1,Haver_M!$B$1:$BZ$1,0),FALSE)),VLOOKUP($A163,Haver_M!$B$1:$BZ$300,MATCH(data!Q$1,Haver_M!$B$1:$BZ$1,0),FALSE),"")</f>
        <v>109.3</v>
      </c>
      <c r="R163">
        <f>IF(ISNUMBER(VLOOKUP($A163,Haver_M!$B$1:$BZ$300,MATCH(data!R$1,Haver_M!$B$1:$BZ$1,0),FALSE)),VLOOKUP($A163,Haver_M!$B$1:$BZ$300,MATCH(data!R$1,Haver_M!$B$1:$BZ$1,0),FALSE),"")</f>
        <v>106.6</v>
      </c>
      <c r="S163">
        <f>IF(ISNUMBER(VLOOKUP($A163,Haver_M!$B$1:$BZ$300,MATCH(data!S$1,Haver_M!$B$1:$BZ$1,0),FALSE)),VLOOKUP($A163,Haver_M!$B$1:$BZ$300,MATCH(data!S$1,Haver_M!$B$1:$BZ$1,0),FALSE),"")</f>
        <v>102.95</v>
      </c>
      <c r="T163">
        <f>IF(ISNUMBER(VLOOKUP($A163,Haver_M!$B$1:$BZ$300,MATCH(data!T$1,Haver_M!$B$1:$BZ$1,0),FALSE)),VLOOKUP($A163,Haver_M!$B$1:$BZ$300,MATCH(data!T$1,Haver_M!$B$1:$BZ$1,0),FALSE),"")</f>
        <v>98.63</v>
      </c>
      <c r="U163">
        <f>IF(ISNUMBER(VLOOKUP($A163,Haver_M!$B$1:$BZ$300,MATCH(data!U$1,Haver_M!$B$1:$BZ$1,0),FALSE)),VLOOKUP($A163,Haver_M!$B$1:$BZ$300,MATCH(data!U$1,Haver_M!$B$1:$BZ$1,0),FALSE),"")</f>
        <v>93.61</v>
      </c>
      <c r="V163">
        <f>IF(ISNUMBER(VLOOKUP($A163,Haver_M!$B$1:$BZ$300,MATCH(data!V$1,Haver_M!$B$1:$BZ$1,0),FALSE)),VLOOKUP($A163,Haver_M!$B$1:$BZ$300,MATCH(data!V$1,Haver_M!$B$1:$BZ$1,0),FALSE),"")</f>
        <v>106.28</v>
      </c>
      <c r="W163">
        <f>IF(ISNUMBER(VLOOKUP($A163,Haver_M!$B$1:$BZ$300,MATCH(data!W$1,Haver_M!$B$1:$BZ$1,0),FALSE)),VLOOKUP($A163,Haver_M!$B$1:$BZ$300,MATCH(data!W$1,Haver_M!$B$1:$BZ$1,0),FALSE),"")</f>
        <v>103.9</v>
      </c>
      <c r="X163">
        <f>IF(ISNUMBER(VLOOKUP($A163,Haver_M!$B$1:$BZ$300,MATCH(data!X$1,Haver_M!$B$1:$BZ$1,0),FALSE)),VLOOKUP($A163,Haver_M!$B$1:$BZ$300,MATCH(data!X$1,Haver_M!$B$1:$BZ$1,0),FALSE),"")</f>
        <v>107.12</v>
      </c>
      <c r="Y163">
        <f>IF(ISNUMBER(VLOOKUP($A163,Haver_M!$B$1:$BZ$300,MATCH(data!Y$1,Haver_M!$B$1:$BZ$1,0),FALSE)),VLOOKUP($A163,Haver_M!$B$1:$BZ$300,MATCH(data!Y$1,Haver_M!$B$1:$BZ$1,0),FALSE),"")</f>
        <v>108.47</v>
      </c>
      <c r="Z163">
        <f>IF(ISNUMBER(VLOOKUP($A163,Haver_M!$B$1:$BZ$300,MATCH(data!Z$1,Haver_M!$B$1:$BZ$1,0),FALSE)),VLOOKUP($A163,Haver_M!$B$1:$BZ$300,MATCH(data!Z$1,Haver_M!$B$1:$BZ$1,0),FALSE),"")</f>
        <v>102.8</v>
      </c>
      <c r="AA163">
        <f>IF(ISNUMBER(VLOOKUP($A163,Haver_M!$B$1:$BZ$300,MATCH(data!AA$1,Haver_M!$B$1:$BZ$1,0),FALSE)),VLOOKUP($A163,Haver_M!$B$1:$BZ$300,MATCH(data!AA$1,Haver_M!$B$1:$BZ$1,0),FALSE),"")</f>
        <v>101.309</v>
      </c>
      <c r="AB163">
        <f>IF(ISNUMBER(VLOOKUP($A163,Haver_M!$B$1:$BZ$300,MATCH(data!AB$1,Haver_M!$B$1:$BZ$1,0),FALSE)),VLOOKUP($A163,Haver_M!$B$1:$BZ$300,MATCH(data!AB$1,Haver_M!$B$1:$BZ$1,0),FALSE),"")</f>
        <v>99.4</v>
      </c>
      <c r="AC163">
        <f>IF(ISNUMBER(VLOOKUP($A163,Haver_M!$B$1:$BZ$300,MATCH(data!AC$1,Haver_M!$B$1:$BZ$1,0),FALSE)),VLOOKUP($A163,Haver_M!$B$1:$BZ$300,MATCH(data!AC$1,Haver_M!$B$1:$BZ$1,0),FALSE),"")</f>
        <v>75.063000000000002</v>
      </c>
      <c r="AD163">
        <f>IF(ISNUMBER(VLOOKUP($A163,Haver_M!$B$1:$BZ$300,MATCH(data!AD$1,Haver_M!$B$1:$BZ$1,0),FALSE)),VLOOKUP($A163,Haver_M!$B$1:$BZ$300,MATCH(data!AD$1,Haver_M!$B$1:$BZ$1,0),FALSE),"")</f>
        <v>106.65</v>
      </c>
      <c r="AE163">
        <f>IF(ISNUMBER(VLOOKUP($A163,Haver_M!$B$1:$BZ$300,MATCH(data!AE$1,Haver_M!$B$1:$BZ$1,0),FALSE)),VLOOKUP($A163,Haver_M!$B$1:$BZ$300,MATCH(data!AE$1,Haver_M!$B$1:$BZ$1,0),FALSE),"")</f>
        <v>94.741</v>
      </c>
      <c r="AF163">
        <f>IF(ISNUMBER(VLOOKUP($A163,Haver_M!$B$1:$BZ$300,MATCH(data!AF$1,Haver_M!$B$1:$BZ$1,0),FALSE)),VLOOKUP($A163,Haver_M!$B$1:$BZ$300,MATCH(data!AF$1,Haver_M!$B$1:$BZ$1,0),FALSE),"")</f>
        <v>110.173</v>
      </c>
      <c r="AG163">
        <f>IF(ISNUMBER(VLOOKUP($A163,Haver_M!$B$1:$BZ$300,MATCH(data!AG$1,Haver_M!$B$1:$BZ$1,0),FALSE)),VLOOKUP($A163,Haver_M!$B$1:$BZ$300,MATCH(data!AG$1,Haver_M!$B$1:$BZ$1,0),FALSE),"")</f>
        <v>106.09399999999999</v>
      </c>
      <c r="AH163">
        <f>IF(ISNUMBER(VLOOKUP($A163,Haver_M!$B$1:$BZ$300,MATCH(data!AH$1,Haver_M!$B$1:$BZ$1,0),FALSE)),VLOOKUP($A163,Haver_M!$B$1:$BZ$300,MATCH(data!AH$1,Haver_M!$B$1:$BZ$1,0),FALSE),"")</f>
        <v>105.014</v>
      </c>
      <c r="AI163">
        <f>IF(ISNUMBER(VLOOKUP($A163,Haver_M!$B$1:$BZ$300,MATCH(data!AI$1,Haver_M!$B$1:$BZ$1,0),FALSE)),VLOOKUP($A163,Haver_M!$B$1:$BZ$300,MATCH(data!AI$1,Haver_M!$B$1:$BZ$1,0),FALSE),"")</f>
        <v>12881.233912077883</v>
      </c>
      <c r="AJ163">
        <f>IF(ISNUMBER(VLOOKUP($A163,Haver_M!$B$1:$BZ$300,MATCH(data!AJ$1,Haver_M!$B$1:$BZ$1,0),FALSE)),VLOOKUP($A163,Haver_M!$B$1:$BZ$300,MATCH(data!AJ$1,Haver_M!$B$1:$BZ$1,0),FALSE),"")</f>
        <v>23962.12</v>
      </c>
      <c r="AK163">
        <f>IF(ISNUMBER(VLOOKUP($A163,Haver_M!$B$1:$BZ$300,MATCH(data!AK$1,Haver_M!$B$1:$BZ$1,0),FALSE)),VLOOKUP($A163,Haver_M!$B$1:$BZ$300,MATCH(data!AK$1,Haver_M!$B$1:$BZ$1,0),FALSE),"")</f>
        <v>36245.68</v>
      </c>
      <c r="AL163">
        <f>IF(ISNUMBER(VLOOKUP($A163,Haver_M!$B$1:$BZ$300,MATCH(data!AL$1,Haver_M!$B$1:$BZ$1,0),FALSE)),VLOOKUP($A163,Haver_M!$B$1:$BZ$300,MATCH(data!AL$1,Haver_M!$B$1:$BZ$1,0),FALSE),"")</f>
        <v>12348</v>
      </c>
      <c r="AM163">
        <f>IF(ISNUMBER(VLOOKUP($A163,Haver_M!$B$1:$BZ$300,MATCH(data!AM$1,Haver_M!$B$1:$BZ$1,0),FALSE)),VLOOKUP($A163,Haver_M!$B$1:$BZ$300,MATCH(data!AM$1,Haver_M!$B$1:$BZ$1,0),FALSE),"")</f>
        <v>6219</v>
      </c>
      <c r="AN163">
        <f>IF(ISNUMBER(VLOOKUP($A163,Haver_M!$B$1:$BZ$300,MATCH(data!AN$1,Haver_M!$B$1:$BZ$1,0),FALSE)),VLOOKUP($A163,Haver_M!$B$1:$BZ$300,MATCH(data!AN$1,Haver_M!$B$1:$BZ$1,0),FALSE),"")</f>
        <v>101.7</v>
      </c>
      <c r="AO163">
        <f>IF(ISNUMBER(VLOOKUP($A163,Haver_M!$B$1:$BZ$300,MATCH(data!AO$1,Haver_M!$B$1:$BZ$1,0),FALSE)),VLOOKUP($A163,Haver_M!$B$1:$BZ$300,MATCH(data!AO$1,Haver_M!$B$1:$BZ$1,0),FALSE),"")</f>
        <v>109.8</v>
      </c>
      <c r="AP163">
        <f>IF(ISNUMBER(VLOOKUP($A163,Haver_M!$B$1:$BZ$300,MATCH(data!AP$1,Haver_M!$B$1:$BZ$1,0),FALSE)),VLOOKUP($A163,Haver_M!$B$1:$BZ$300,MATCH(data!AP$1,Haver_M!$B$1:$BZ$1,0),FALSE),"")</f>
        <v>139.59292152967834</v>
      </c>
      <c r="AQ163">
        <f>IF(ISNUMBER(VLOOKUP($A163,Haver_M!$B$1:$BZ$300,MATCH(data!AQ$1,Haver_M!$B$1:$BZ$1,0),FALSE)),VLOOKUP($A163,Haver_M!$B$1:$BZ$300,MATCH(data!AQ$1,Haver_M!$B$1:$BZ$1,0),FALSE),"")</f>
        <v>50.908200000000001</v>
      </c>
      <c r="AR163">
        <f>IF(ISNUMBER(VLOOKUP($A163,Haver_M!$B$1:$BZ$300,MATCH(data!AR$1,Haver_M!$B$1:$BZ$1,0),FALSE)),VLOOKUP($A163,Haver_M!$B$1:$BZ$300,MATCH(data!AR$1,Haver_M!$B$1:$BZ$1,0),FALSE),"")</f>
        <v>50.2592</v>
      </c>
      <c r="AS163">
        <f>IF(ISNUMBER(VLOOKUP($A163,Haver_M!$B$1:$BZ$300,MATCH(data!AS$1,Haver_M!$B$1:$BZ$1,0),FALSE)),VLOOKUP($A163,Haver_M!$B$1:$BZ$300,MATCH(data!AS$1,Haver_M!$B$1:$BZ$1,0),FALSE),"")</f>
        <v>51.686799999999998</v>
      </c>
      <c r="AT163">
        <f>IF(ISNUMBER(VLOOKUP($A163,Haver_M!$B$1:$BZ$300,MATCH(data!AT$1,Haver_M!$B$1:$BZ$1,0),FALSE)),VLOOKUP($A163,Haver_M!$B$1:$BZ$300,MATCH(data!AT$1,Haver_M!$B$1:$BZ$1,0),FALSE),"")</f>
        <v>49.108699999999999</v>
      </c>
      <c r="AU163">
        <f>IF(ISNUMBER(VLOOKUP($A163,Haver_M!$B$1:$BZ$300,MATCH(data!AU$1,Haver_M!$B$1:$BZ$1,0),FALSE)),VLOOKUP($A163,Haver_M!$B$1:$BZ$300,MATCH(data!AU$1,Haver_M!$B$1:$BZ$1,0),FALSE),"")</f>
        <v>49.657600000000002</v>
      </c>
      <c r="AV163">
        <f>IF(ISNUMBER(VLOOKUP($A163,Haver_M!$B$1:$BZ$300,MATCH(data!AV$1,Haver_M!$B$1:$BZ$1,0),FALSE)),VLOOKUP($A163,Haver_M!$B$1:$BZ$300,MATCH(data!AV$1,Haver_M!$B$1:$BZ$1,0),FALSE),"")</f>
        <v>51.134300000000003</v>
      </c>
      <c r="AW163">
        <f>IF(ISNUMBER(VLOOKUP($A163,Haver_M!$B$1:$BZ$300,MATCH(data!AW$1,Haver_M!$B$1:$BZ$1,0),FALSE)),VLOOKUP($A163,Haver_M!$B$1:$BZ$300,MATCH(data!AW$1,Haver_M!$B$1:$BZ$1,0),FALSE),"")</f>
        <v>48.810200000000002</v>
      </c>
      <c r="AX163">
        <f>IF(ISNUMBER(VLOOKUP($A163,Haver_M!$B$1:$BZ$300,MATCH(data!AX$1,Haver_M!$B$1:$BZ$1,0),FALSE)),VLOOKUP($A163,Haver_M!$B$1:$BZ$300,MATCH(data!AX$1,Haver_M!$B$1:$BZ$1,0),FALSE),"")</f>
        <v>51.794400000000003</v>
      </c>
      <c r="AY163">
        <f>IF(ISNUMBER(VLOOKUP($A163,Haver_M!$B$1:$BZ$300,MATCH(data!AY$1,Haver_M!$B$1:$BZ$1,0),FALSE)),VLOOKUP($A163,Haver_M!$B$1:$BZ$300,MATCH(data!AY$1,Haver_M!$B$1:$BZ$1,0),FALSE),"")</f>
        <v>55.924100000000003</v>
      </c>
      <c r="AZ163">
        <f>IF(ISNUMBER(VLOOKUP($A163,Haver_M!$B$1:$BZ$300,MATCH(data!AZ$1,Haver_M!$B$1:$BZ$1,0),FALSE)),VLOOKUP($A163,Haver_M!$B$1:$BZ$300,MATCH(data!AZ$1,Haver_M!$B$1:$BZ$1,0),FALSE),"")</f>
        <v>52.723599999999998</v>
      </c>
      <c r="BA163">
        <f>IF(ISNUMBER(VLOOKUP($A163,Haver_M!$B$1:$BZ$300,MATCH(data!BA$1,Haver_M!$B$1:$BZ$1,0),FALSE)),VLOOKUP($A163,Haver_M!$B$1:$BZ$300,MATCH(data!BA$1,Haver_M!$B$1:$BZ$1,0),FALSE),"")</f>
        <v>51.794400000000003</v>
      </c>
      <c r="BB163">
        <f>IF(ISNUMBER(VLOOKUP($A163,Haver_M!$B$1:$BZ$300,MATCH(data!BB$1,Haver_M!$B$1:$BZ$1,0),FALSE)),VLOOKUP($A163,Haver_M!$B$1:$BZ$300,MATCH(data!BB$1,Haver_M!$B$1:$BZ$1,0),FALSE),"")</f>
        <v>54.440100000000001</v>
      </c>
      <c r="BC163">
        <f>IF(ISNUMBER(VLOOKUP($A163,Haver_M!$B$1:$BZ$300,MATCH(data!BC$1,Haver_M!$B$1:$BZ$1,0),FALSE)),VLOOKUP($A163,Haver_M!$B$1:$BZ$300,MATCH(data!BC$1,Haver_M!$B$1:$BZ$1,0),FALSE),"")</f>
        <v>50.904400000000003</v>
      </c>
      <c r="BD163">
        <f>IF(ISNUMBER(VLOOKUP($A163,Haver_M!$B$1:$BZ$300,MATCH(data!BD$1,Haver_M!$B$1:$BZ$1,0),FALSE)),VLOOKUP($A163,Haver_M!$B$1:$BZ$300,MATCH(data!BD$1,Haver_M!$B$1:$BZ$1,0),FALSE),"")</f>
        <v>54.665599999999998</v>
      </c>
      <c r="BE163">
        <f>IF(ISNUMBER(VLOOKUP($A163,Haver_M!$B$1:$BZ$300,MATCH(data!BE$1,Haver_M!$B$1:$BZ$1,0),FALSE)),VLOOKUP($A163,Haver_M!$B$1:$BZ$300,MATCH(data!BE$1,Haver_M!$B$1:$BZ$1,0),FALSE),"")</f>
        <v>0.97330000000000005</v>
      </c>
      <c r="BF163">
        <f>IF(ISNUMBER(VLOOKUP($A163,Haver_M!$B$1:$BZ$300,MATCH(data!BF$1,Haver_M!$B$1:$BZ$1,0),FALSE)),VLOOKUP($A163,Haver_M!$B$1:$BZ$300,MATCH(data!BF$1,Haver_M!$B$1:$BZ$1,0),FALSE),"")</f>
        <v>51.901800000000001</v>
      </c>
      <c r="BG163">
        <f>IF(ISNUMBER(VLOOKUP($A163,Haver_M!$B$1:$BZ$300,MATCH(data!BG$1,Haver_M!$B$1:$BZ$1,0),FALSE)),VLOOKUP($A163,Haver_M!$B$1:$BZ$300,MATCH(data!BG$1,Haver_M!$B$1:$BZ$1,0),FALSE),"")</f>
        <v>51.923400000000001</v>
      </c>
      <c r="BH163">
        <f>IF(ISNUMBER(VLOOKUP($A163,Haver_M!$B$1:$BZ$300,MATCH(data!BH$1,Haver_M!$B$1:$BZ$1,0),FALSE)),VLOOKUP($A163,Haver_M!$B$1:$BZ$300,MATCH(data!BH$1,Haver_M!$B$1:$BZ$1,0),FALSE),"")</f>
        <v>51.873100000000001</v>
      </c>
      <c r="BI163">
        <f>IF(ISNUMBER(VLOOKUP($A163,Haver_M!$B$1:$BZ$300,MATCH(data!BI$1,Haver_M!$B$1:$BZ$1,0),FALSE)),VLOOKUP($A163,Haver_M!$B$1:$BZ$300,MATCH(data!BI$1,Haver_M!$B$1:$BZ$1,0),FALSE),"")</f>
        <v>53.134500000000003</v>
      </c>
      <c r="BJ163" t="str">
        <f>IF(ISNUMBER(VLOOKUP($A163,Haver_M!$B$1:$BZ$300,MATCH(data!BJ$1,Haver_M!$B$1:$BZ$1,0),FALSE)),VLOOKUP($A163,Haver_M!$B$1:$BZ$300,MATCH(data!BJ$1,Haver_M!$B$1:$BZ$1,0),FALSE),"")</f>
        <v/>
      </c>
      <c r="BK163">
        <f>IF(ISNUMBER(VLOOKUP($A163,Haver_M!$B$1:$BZ$300,MATCH(data!BK$1,Haver_M!$B$1:$BZ$1,0),FALSE)),VLOOKUP($A163,Haver_M!$B$1:$BZ$300,MATCH(data!BK$1,Haver_M!$B$1:$BZ$1,0),FALSE),"")</f>
        <v>50.367199999999997</v>
      </c>
      <c r="BL163">
        <f>IF(ISNUMBER(VLOOKUP($A163,Haver_M!$B$1:$BZ$300,MATCH(data!BL$1,Haver_M!$B$1:$BZ$1,0),FALSE)),VLOOKUP($A163,Haver_M!$B$1:$BZ$300,MATCH(data!BL$1,Haver_M!$B$1:$BZ$1,0),FALSE),"")</f>
        <v>19129.29</v>
      </c>
      <c r="BM163">
        <f>IF(ISNUMBER(VLOOKUP($A163,Haver_M!$B$1:$BZ$300,MATCH(data!BM$1,Haver_M!$B$1:$BZ$1,0),FALSE)),VLOOKUP($A163,Haver_M!$B$1:$BZ$300,MATCH(data!BM$1,Haver_M!$B$1:$BZ$1,0),FALSE),"")</f>
        <v>98.254475170000006</v>
      </c>
      <c r="BN163">
        <f>IF(ISNUMBER(VLOOKUP($A163,Haver_M!$B$1:$BZ$300,MATCH(data!BN$1,Haver_M!$B$1:$BZ$1,0),FALSE)),VLOOKUP($A163,Haver_M!$B$1:$BZ$300,MATCH(data!BN$1,Haver_M!$B$1:$BZ$1,0),FALSE),"")</f>
        <v>101.2</v>
      </c>
      <c r="BO163">
        <f>IF(ISNUMBER(VLOOKUP($A163,Haver_M!$B$1:$BZ$300,MATCH(data!BO$1,Haver_M!$B$1:$BZ$1,0),FALSE)),VLOOKUP($A163,Haver_M!$B$1:$BZ$300,MATCH(data!BO$1,Haver_M!$B$1:$BZ$1,0),FALSE),"")</f>
        <v>111.6</v>
      </c>
      <c r="BP163">
        <f>IF(ISNUMBER(VLOOKUP($A163,Haver_M!$B$1:$BZ$300,MATCH(data!BP$1,Haver_M!$B$1:$BZ$1,0),FALSE)),VLOOKUP($A163,Haver_M!$B$1:$BZ$300,MATCH(data!BP$1,Haver_M!$B$1:$BZ$1,0),FALSE),"")</f>
        <v>29.6</v>
      </c>
      <c r="BQ163">
        <f>IF(ISNUMBER(VLOOKUP($A163,Haver_M!$B$1:$BZ$300,MATCH(data!BQ$1,Haver_M!$B$1:$BZ$1,0),FALSE)),VLOOKUP($A163,Haver_M!$B$1:$BZ$300,MATCH(data!BQ$1,Haver_M!$B$1:$BZ$1,0),FALSE),"")</f>
        <v>153.95831656600561</v>
      </c>
      <c r="BR163">
        <f>IF(ISNUMBER(VLOOKUP($A163,Haver_M!$B$1:$BZ$300,MATCH(data!BR$1,Haver_M!$B$1:$BZ$1,0),FALSE)),VLOOKUP($A163,Haver_M!$B$1:$BZ$300,MATCH(data!BR$1,Haver_M!$B$1:$BZ$1,0),FALSE),"")</f>
        <v>389.83976998936595</v>
      </c>
      <c r="BS163">
        <f>IF(ISNUMBER(VLOOKUP($A163,Haver_M!$B$1:$BZ$300,MATCH(data!BS$1,Haver_M!$B$1:$BZ$1,0),FALSE)),VLOOKUP($A163,Haver_M!$B$1:$BZ$300,MATCH(data!BS$1,Haver_M!$B$1:$BZ$1,0),FALSE),"")</f>
        <v>202.23657600608246</v>
      </c>
      <c r="BT163">
        <f>IF(ISNUMBER(VLOOKUP($A163,Haver_M!$B$1:$BZ$300,MATCH(data!BT$1,Haver_M!$B$1:$BZ$1,0),FALSE)),VLOOKUP($A163,Haver_M!$B$1:$BZ$300,MATCH(data!BT$1,Haver_M!$B$1:$BZ$1,0),FALSE),"")</f>
        <v>849.10911977094827</v>
      </c>
      <c r="BU163">
        <f>IF(ISNUMBER(VLOOKUP($A163,Haver_M!$B$1:$BZ$300,MATCH(data!BU$1,Haver_M!$B$1:$BZ$1,0),FALSE)),VLOOKUP($A163,Haver_M!$B$1:$BZ$300,MATCH(data!BU$1,Haver_M!$B$1:$BZ$1,0),FALSE),"")</f>
        <v>23998.41</v>
      </c>
      <c r="BV163">
        <f>IF(ISNUMBER(VLOOKUP($A163,Haver_M!$B$1:$BZ$300,MATCH(data!BV$1,Haver_M!$B$1:$BZ$1,0),FALSE)),VLOOKUP($A163,Haver_M!$B$1:$BZ$300,MATCH(data!BV$1,Haver_M!$B$1:$BZ$1,0),FALSE),"")</f>
        <v>35304.36</v>
      </c>
      <c r="BW163">
        <f>IF(ISNUMBER(VLOOKUP($A163,Haver_M!$B$1:$BZ$300,MATCH(data!BW$1,Haver_M!$B$1:$BZ$1,0),FALSE)),VLOOKUP($A163,Haver_M!$B$1:$BZ$300,MATCH(data!BW$1,Haver_M!$B$1:$BZ$1,0),FALSE),"")</f>
        <v>58.397300000000001</v>
      </c>
      <c r="BX163">
        <f>IF(ISNUMBER(VLOOKUP($A163,Haver_M!$B$1:$BZ$300,MATCH(data!BX$1,Haver_M!$B$1:$BZ$1,0),FALSE)),VLOOKUP($A163,Haver_M!$B$1:$BZ$300,MATCH(data!BX$1,Haver_M!$B$1:$BZ$1,0),FALSE),"")</f>
        <v>73944</v>
      </c>
    </row>
    <row r="164" spans="1:76" x14ac:dyDescent="0.25">
      <c r="A164" s="2">
        <v>41486</v>
      </c>
      <c r="B164" t="str">
        <f>IF(ISNUMBER(VLOOKUP($A164,Haver_Q!$B$1:$L$185,MATCH(data!B$1,Haver_Q!$B$1:$L$1,0),FALSE)),100*(VLOOKUP($A164,Haver_Q!$B$1:$L$185,MATCH(data!B$1,Haver_Q!$B$1:$L$1,0),FALSE)),"")</f>
        <v/>
      </c>
      <c r="C164" t="str">
        <f>IF(ISNUMBER(VLOOKUP($A164,Haver_Q!$B$1:$L$185,MATCH(data!C$1,Haver_Q!$B$1:$L$1,0),FALSE)),100*(VLOOKUP($A164,Haver_Q!$B$1:$L$185,MATCH(data!C$1,Haver_Q!$B$1:$L$1,0),FALSE)),"")</f>
        <v/>
      </c>
      <c r="D164" t="str">
        <f>IF(ISNUMBER(VLOOKUP($A164,Haver_Q!$B$1:$L$185,MATCH(data!D$1,Haver_Q!$B$1:$L$1,0),FALSE)),100*(VLOOKUP($A164,Haver_Q!$B$1:$L$185,MATCH(data!D$1,Haver_Q!$B$1:$L$1,0),FALSE)),"")</f>
        <v/>
      </c>
      <c r="E164" t="str">
        <f>IF(ISNUMBER(VLOOKUP($A164,Haver_Q!$B$1:$L$185,MATCH(data!E$1,Haver_Q!$B$1:$L$1,0),FALSE)),100*(VLOOKUP($A164,Haver_Q!$B$1:$L$185,MATCH(data!E$1,Haver_Q!$B$1:$L$1,0),FALSE)),"")</f>
        <v/>
      </c>
      <c r="F164" t="str">
        <f>IF(ISNUMBER(VLOOKUP($A164,Haver_Q!$B$1:$L$185,MATCH(data!F$1,Haver_Q!$B$1:$L$1,0),FALSE)),100*(VLOOKUP($A164,Haver_Q!$B$1:$L$185,MATCH(data!F$1,Haver_Q!$B$1:$L$1,0),FALSE)),"")</f>
        <v/>
      </c>
      <c r="G164" t="str">
        <f>IF(ISNUMBER(VLOOKUP($A164,Haver_Q!$B$1:$L$185,MATCH(data!G$1,Haver_Q!$B$1:$L$1,0),FALSE)),100*(VLOOKUP($A164,Haver_Q!$B$1:$L$185,MATCH(data!G$1,Haver_Q!$B$1:$L$1,0),FALSE)),"")</f>
        <v/>
      </c>
      <c r="H164" t="str">
        <f>IF(ISNUMBER(VLOOKUP($A164,Haver_Q!$B$1:$L$185,MATCH(data!H$1,Haver_Q!$B$1:$L$1,0),FALSE)),(VLOOKUP($A164,Haver_Q!$B$1:$L$185,MATCH(data!H$1,Haver_Q!$B$1:$L$1,0),FALSE)),"")</f>
        <v/>
      </c>
      <c r="I164" t="str">
        <f>IF(ISNUMBER(VLOOKUP($A164,Haver_Q!$B$1:$L$185,MATCH(data!I$1,Haver_Q!$B$1:$L$1,0),FALSE)),100*(VLOOKUP($A164,Haver_Q!$B$1:$L$185,MATCH(data!I$1,Haver_Q!$B$1:$L$1,0),FALSE)),"")</f>
        <v/>
      </c>
      <c r="J164" s="3">
        <f>IF(ISNUMBER(Bloomberg_m!C180),Bloomberg_m!C180,"")</f>
        <v>1123</v>
      </c>
      <c r="K164" s="3">
        <f>IF(ISNUMBER(Bloomberg_m!D180),Bloomberg_m!D180,"")</f>
        <v>2058.9899999999998</v>
      </c>
      <c r="L164" s="3">
        <f>IF(ISNUMBER(Bloomberg_m!E180),Bloomberg_m!E180,"")</f>
        <v>1090.52</v>
      </c>
      <c r="M164" s="3">
        <f>IF(ISNUMBER(Bloomberg_m!F180),Bloomberg_m!F180,"")</f>
        <v>515.41999999999996</v>
      </c>
      <c r="N164">
        <f>IF(ISNUMBER(VLOOKUP($A164,Haver_M!$B$1:$BZ$300,MATCH(data!N$1,Haver_M!$B$1:$BZ$1,0),FALSE)),VLOOKUP($A164,Haver_M!$B$1:$BZ$300,MATCH(data!N$1,Haver_M!$B$1:$BZ$1,0),FALSE),"")</f>
        <v>7.25</v>
      </c>
      <c r="O164">
        <f>IF(ISNUMBER(VLOOKUP($A164,Haver_M!$B$1:$BZ$300,MATCH(data!O$1,Haver_M!$B$1:$BZ$1,0),FALSE)),VLOOKUP($A164,Haver_M!$B$1:$BZ$300,MATCH(data!O$1,Haver_M!$B$1:$BZ$1,0),FALSE),"")</f>
        <v>8.2727000000000004</v>
      </c>
      <c r="P164">
        <f>IF(ISNUMBER(VLOOKUP($A164,Haver_M!$B$1:$BZ$300,MATCH(data!P$1,Haver_M!$B$1:$BZ$1,0),FALSE)),VLOOKUP($A164,Haver_M!$B$1:$BZ$300,MATCH(data!P$1,Haver_M!$B$1:$BZ$1,0),FALSE),"")</f>
        <v>87.854579999999999</v>
      </c>
      <c r="Q164">
        <f>IF(ISNUMBER(VLOOKUP($A164,Haver_M!$B$1:$BZ$300,MATCH(data!Q$1,Haver_M!$B$1:$BZ$1,0),FALSE)),VLOOKUP($A164,Haver_M!$B$1:$BZ$300,MATCH(data!Q$1,Haver_M!$B$1:$BZ$1,0),FALSE),"")</f>
        <v>111</v>
      </c>
      <c r="R164">
        <f>IF(ISNUMBER(VLOOKUP($A164,Haver_M!$B$1:$BZ$300,MATCH(data!R$1,Haver_M!$B$1:$BZ$1,0),FALSE)),VLOOKUP($A164,Haver_M!$B$1:$BZ$300,MATCH(data!R$1,Haver_M!$B$1:$BZ$1,0),FALSE),"")</f>
        <v>107.7</v>
      </c>
      <c r="S164">
        <f>IF(ISNUMBER(VLOOKUP($A164,Haver_M!$B$1:$BZ$300,MATCH(data!S$1,Haver_M!$B$1:$BZ$1,0),FALSE)),VLOOKUP($A164,Haver_M!$B$1:$BZ$300,MATCH(data!S$1,Haver_M!$B$1:$BZ$1,0),FALSE),"")</f>
        <v>105.7</v>
      </c>
      <c r="T164">
        <f>IF(ISNUMBER(VLOOKUP($A164,Haver_M!$B$1:$BZ$300,MATCH(data!T$1,Haver_M!$B$1:$BZ$1,0),FALSE)),VLOOKUP($A164,Haver_M!$B$1:$BZ$300,MATCH(data!T$1,Haver_M!$B$1:$BZ$1,0),FALSE),"")</f>
        <v>102.13</v>
      </c>
      <c r="U164">
        <f>IF(ISNUMBER(VLOOKUP($A164,Haver_M!$B$1:$BZ$300,MATCH(data!U$1,Haver_M!$B$1:$BZ$1,0),FALSE)),VLOOKUP($A164,Haver_M!$B$1:$BZ$300,MATCH(data!U$1,Haver_M!$B$1:$BZ$1,0),FALSE),"")</f>
        <v>98.12</v>
      </c>
      <c r="V164">
        <f>IF(ISNUMBER(VLOOKUP($A164,Haver_M!$B$1:$BZ$300,MATCH(data!V$1,Haver_M!$B$1:$BZ$1,0),FALSE)),VLOOKUP($A164,Haver_M!$B$1:$BZ$300,MATCH(data!V$1,Haver_M!$B$1:$BZ$1,0),FALSE),"")</f>
        <v>109.2</v>
      </c>
      <c r="W164">
        <f>IF(ISNUMBER(VLOOKUP($A164,Haver_M!$B$1:$BZ$300,MATCH(data!W$1,Haver_M!$B$1:$BZ$1,0),FALSE)),VLOOKUP($A164,Haver_M!$B$1:$BZ$300,MATCH(data!W$1,Haver_M!$B$1:$BZ$1,0),FALSE),"")</f>
        <v>108.04</v>
      </c>
      <c r="X164">
        <f>IF(ISNUMBER(VLOOKUP($A164,Haver_M!$B$1:$BZ$300,MATCH(data!X$1,Haver_M!$B$1:$BZ$1,0),FALSE)),VLOOKUP($A164,Haver_M!$B$1:$BZ$300,MATCH(data!X$1,Haver_M!$B$1:$BZ$1,0),FALSE),"")</f>
        <v>106.77</v>
      </c>
      <c r="Y164">
        <f>IF(ISNUMBER(VLOOKUP($A164,Haver_M!$B$1:$BZ$300,MATCH(data!Y$1,Haver_M!$B$1:$BZ$1,0),FALSE)),VLOOKUP($A164,Haver_M!$B$1:$BZ$300,MATCH(data!Y$1,Haver_M!$B$1:$BZ$1,0),FALSE),"")</f>
        <v>111.8</v>
      </c>
      <c r="Z164">
        <f>IF(ISNUMBER(VLOOKUP($A164,Haver_M!$B$1:$BZ$300,MATCH(data!Z$1,Haver_M!$B$1:$BZ$1,0),FALSE)),VLOOKUP($A164,Haver_M!$B$1:$BZ$300,MATCH(data!Z$1,Haver_M!$B$1:$BZ$1,0),FALSE),"")</f>
        <v>106.1</v>
      </c>
      <c r="AA164">
        <f>IF(ISNUMBER(VLOOKUP($A164,Haver_M!$B$1:$BZ$300,MATCH(data!AA$1,Haver_M!$B$1:$BZ$1,0),FALSE)),VLOOKUP($A164,Haver_M!$B$1:$BZ$300,MATCH(data!AA$1,Haver_M!$B$1:$BZ$1,0),FALSE),"")</f>
        <v>104.849</v>
      </c>
      <c r="AB164">
        <f>IF(ISNUMBER(VLOOKUP($A164,Haver_M!$B$1:$BZ$300,MATCH(data!AB$1,Haver_M!$B$1:$BZ$1,0),FALSE)),VLOOKUP($A164,Haver_M!$B$1:$BZ$300,MATCH(data!AB$1,Haver_M!$B$1:$BZ$1,0),FALSE),"")</f>
        <v>98.331000000000003</v>
      </c>
      <c r="AC164">
        <f>IF(ISNUMBER(VLOOKUP($A164,Haver_M!$B$1:$BZ$300,MATCH(data!AC$1,Haver_M!$B$1:$BZ$1,0),FALSE)),VLOOKUP($A164,Haver_M!$B$1:$BZ$300,MATCH(data!AC$1,Haver_M!$B$1:$BZ$1,0),FALSE),"")</f>
        <v>74.738</v>
      </c>
      <c r="AD164">
        <f>IF(ISNUMBER(VLOOKUP($A164,Haver_M!$B$1:$BZ$300,MATCH(data!AD$1,Haver_M!$B$1:$BZ$1,0),FALSE)),VLOOKUP($A164,Haver_M!$B$1:$BZ$300,MATCH(data!AD$1,Haver_M!$B$1:$BZ$1,0),FALSE),"")</f>
        <v>109.24299999999999</v>
      </c>
      <c r="AE164">
        <f>IF(ISNUMBER(VLOOKUP($A164,Haver_M!$B$1:$BZ$300,MATCH(data!AE$1,Haver_M!$B$1:$BZ$1,0),FALSE)),VLOOKUP($A164,Haver_M!$B$1:$BZ$300,MATCH(data!AE$1,Haver_M!$B$1:$BZ$1,0),FALSE),"")</f>
        <v>98.578000000000003</v>
      </c>
      <c r="AF164">
        <f>IF(ISNUMBER(VLOOKUP($A164,Haver_M!$B$1:$BZ$300,MATCH(data!AF$1,Haver_M!$B$1:$BZ$1,0),FALSE)),VLOOKUP($A164,Haver_M!$B$1:$BZ$300,MATCH(data!AF$1,Haver_M!$B$1:$BZ$1,0),FALSE),"")</f>
        <v>115.928</v>
      </c>
      <c r="AG164">
        <f>IF(ISNUMBER(VLOOKUP($A164,Haver_M!$B$1:$BZ$300,MATCH(data!AG$1,Haver_M!$B$1:$BZ$1,0),FALSE)),VLOOKUP($A164,Haver_M!$B$1:$BZ$300,MATCH(data!AG$1,Haver_M!$B$1:$BZ$1,0),FALSE),"")</f>
        <v>102.622</v>
      </c>
      <c r="AH164">
        <f>IF(ISNUMBER(VLOOKUP($A164,Haver_M!$B$1:$BZ$300,MATCH(data!AH$1,Haver_M!$B$1:$BZ$1,0),FALSE)),VLOOKUP($A164,Haver_M!$B$1:$BZ$300,MATCH(data!AH$1,Haver_M!$B$1:$BZ$1,0),FALSE),"")</f>
        <v>106.48699999999999</v>
      </c>
      <c r="AI164">
        <f>IF(ISNUMBER(VLOOKUP($A164,Haver_M!$B$1:$BZ$300,MATCH(data!AI$1,Haver_M!$B$1:$BZ$1,0),FALSE)),VLOOKUP($A164,Haver_M!$B$1:$BZ$300,MATCH(data!AI$1,Haver_M!$B$1:$BZ$1,0),FALSE),"")</f>
        <v>13172.998450776468</v>
      </c>
      <c r="AJ164">
        <f>IF(ISNUMBER(VLOOKUP($A164,Haver_M!$B$1:$BZ$300,MATCH(data!AJ$1,Haver_M!$B$1:$BZ$1,0),FALSE)),VLOOKUP($A164,Haver_M!$B$1:$BZ$300,MATCH(data!AJ$1,Haver_M!$B$1:$BZ$1,0),FALSE),"")</f>
        <v>26570.880000000001</v>
      </c>
      <c r="AK164">
        <f>IF(ISNUMBER(VLOOKUP($A164,Haver_M!$B$1:$BZ$300,MATCH(data!AK$1,Haver_M!$B$1:$BZ$1,0),FALSE)),VLOOKUP($A164,Haver_M!$B$1:$BZ$300,MATCH(data!AK$1,Haver_M!$B$1:$BZ$1,0),FALSE),"")</f>
        <v>37176.58</v>
      </c>
      <c r="AL164">
        <f>IF(ISNUMBER(VLOOKUP($A164,Haver_M!$B$1:$BZ$300,MATCH(data!AL$1,Haver_M!$B$1:$BZ$1,0),FALSE)),VLOOKUP($A164,Haver_M!$B$1:$BZ$300,MATCH(data!AL$1,Haver_M!$B$1:$BZ$1,0),FALSE),"")</f>
        <v>12941</v>
      </c>
      <c r="AM164">
        <f>IF(ISNUMBER(VLOOKUP($A164,Haver_M!$B$1:$BZ$300,MATCH(data!AM$1,Haver_M!$B$1:$BZ$1,0),FALSE)),VLOOKUP($A164,Haver_M!$B$1:$BZ$300,MATCH(data!AM$1,Haver_M!$B$1:$BZ$1,0),FALSE),"")</f>
        <v>6619</v>
      </c>
      <c r="AN164" t="str">
        <f>IF(ISNUMBER(VLOOKUP($A164,Haver_M!$B$1:$BZ$300,MATCH(data!AN$1,Haver_M!$B$1:$BZ$1,0),FALSE)),VLOOKUP($A164,Haver_M!$B$1:$BZ$300,MATCH(data!AN$1,Haver_M!$B$1:$BZ$1,0),FALSE),"")</f>
        <v/>
      </c>
      <c r="AO164" t="str">
        <f>IF(ISNUMBER(VLOOKUP($A164,Haver_M!$B$1:$BZ$300,MATCH(data!AO$1,Haver_M!$B$1:$BZ$1,0),FALSE)),VLOOKUP($A164,Haver_M!$B$1:$BZ$300,MATCH(data!AO$1,Haver_M!$B$1:$BZ$1,0),FALSE),"")</f>
        <v/>
      </c>
      <c r="AP164">
        <f>IF(ISNUMBER(VLOOKUP($A164,Haver_M!$B$1:$BZ$300,MATCH(data!AP$1,Haver_M!$B$1:$BZ$1,0),FALSE)),VLOOKUP($A164,Haver_M!$B$1:$BZ$300,MATCH(data!AP$1,Haver_M!$B$1:$BZ$1,0),FALSE),"")</f>
        <v>139.48357250155317</v>
      </c>
      <c r="AQ164">
        <f>IF(ISNUMBER(VLOOKUP($A164,Haver_M!$B$1:$BZ$300,MATCH(data!AQ$1,Haver_M!$B$1:$BZ$1,0),FALSE)),VLOOKUP($A164,Haver_M!$B$1:$BZ$300,MATCH(data!AQ$1,Haver_M!$B$1:$BZ$1,0),FALSE),"")</f>
        <v>48.448700000000002</v>
      </c>
      <c r="AR164">
        <f>IF(ISNUMBER(VLOOKUP($A164,Haver_M!$B$1:$BZ$300,MATCH(data!AR$1,Haver_M!$B$1:$BZ$1,0),FALSE)),VLOOKUP($A164,Haver_M!$B$1:$BZ$300,MATCH(data!AR$1,Haver_M!$B$1:$BZ$1,0),FALSE),"")</f>
        <v>50.136099999999999</v>
      </c>
      <c r="AS164">
        <f>IF(ISNUMBER(VLOOKUP($A164,Haver_M!$B$1:$BZ$300,MATCH(data!AS$1,Haver_M!$B$1:$BZ$1,0),FALSE)),VLOOKUP($A164,Haver_M!$B$1:$BZ$300,MATCH(data!AS$1,Haver_M!$B$1:$BZ$1,0),FALSE),"")</f>
        <v>47.853900000000003</v>
      </c>
      <c r="AT164">
        <f>IF(ISNUMBER(VLOOKUP($A164,Haver_M!$B$1:$BZ$300,MATCH(data!AT$1,Haver_M!$B$1:$BZ$1,0),FALSE)),VLOOKUP($A164,Haver_M!$B$1:$BZ$300,MATCH(data!AT$1,Haver_M!$B$1:$BZ$1,0),FALSE),"")</f>
        <v>49.8232</v>
      </c>
      <c r="AU164">
        <f>IF(ISNUMBER(VLOOKUP($A164,Haver_M!$B$1:$BZ$300,MATCH(data!AU$1,Haver_M!$B$1:$BZ$1,0),FALSE)),VLOOKUP($A164,Haver_M!$B$1:$BZ$300,MATCH(data!AU$1,Haver_M!$B$1:$BZ$1,0),FALSE),"")</f>
        <v>49.460099999999997</v>
      </c>
      <c r="AV164">
        <f>IF(ISNUMBER(VLOOKUP($A164,Haver_M!$B$1:$BZ$300,MATCH(data!AV$1,Haver_M!$B$1:$BZ$1,0),FALSE)),VLOOKUP($A164,Haver_M!$B$1:$BZ$300,MATCH(data!AV$1,Haver_M!$B$1:$BZ$1,0),FALSE),"")</f>
        <v>50.945900000000002</v>
      </c>
      <c r="AW164">
        <f>IF(ISNUMBER(VLOOKUP($A164,Haver_M!$B$1:$BZ$300,MATCH(data!AW$1,Haver_M!$B$1:$BZ$1,0),FALSE)),VLOOKUP($A164,Haver_M!$B$1:$BZ$300,MATCH(data!AW$1,Haver_M!$B$1:$BZ$1,0),FALSE),"")</f>
        <v>48.669199999999996</v>
      </c>
      <c r="AX164">
        <f>IF(ISNUMBER(VLOOKUP($A164,Haver_M!$B$1:$BZ$300,MATCH(data!AX$1,Haver_M!$B$1:$BZ$1,0),FALSE)),VLOOKUP($A164,Haver_M!$B$1:$BZ$300,MATCH(data!AX$1,Haver_M!$B$1:$BZ$1,0),FALSE),"")</f>
        <v>49.535200000000003</v>
      </c>
      <c r="AY164">
        <f>IF(ISNUMBER(VLOOKUP($A164,Haver_M!$B$1:$BZ$300,MATCH(data!AY$1,Haver_M!$B$1:$BZ$1,0),FALSE)),VLOOKUP($A164,Haver_M!$B$1:$BZ$300,MATCH(data!AY$1,Haver_M!$B$1:$BZ$1,0),FALSE),"")</f>
        <v>60.5854</v>
      </c>
      <c r="AZ164">
        <f>IF(ISNUMBER(VLOOKUP($A164,Haver_M!$B$1:$BZ$300,MATCH(data!AZ$1,Haver_M!$B$1:$BZ$1,0),FALSE)),VLOOKUP($A164,Haver_M!$B$1:$BZ$300,MATCH(data!AZ$1,Haver_M!$B$1:$BZ$1,0),FALSE),"")</f>
        <v>50.399700000000003</v>
      </c>
      <c r="BA164">
        <f>IF(ISNUMBER(VLOOKUP($A164,Haver_M!$B$1:$BZ$300,MATCH(data!BA$1,Haver_M!$B$1:$BZ$1,0),FALSE)),VLOOKUP($A164,Haver_M!$B$1:$BZ$300,MATCH(data!BA$1,Haver_M!$B$1:$BZ$1,0),FALSE),"")</f>
        <v>49.535200000000003</v>
      </c>
      <c r="BB164">
        <f>IF(ISNUMBER(VLOOKUP($A164,Haver_M!$B$1:$BZ$300,MATCH(data!BB$1,Haver_M!$B$1:$BZ$1,0),FALSE)),VLOOKUP($A164,Haver_M!$B$1:$BZ$300,MATCH(data!BB$1,Haver_M!$B$1:$BZ$1,0),FALSE),"")</f>
        <v>52.387599999999999</v>
      </c>
      <c r="BC164">
        <f>IF(ISNUMBER(VLOOKUP($A164,Haver_M!$B$1:$BZ$300,MATCH(data!BC$1,Haver_M!$B$1:$BZ$1,0),FALSE)),VLOOKUP($A164,Haver_M!$B$1:$BZ$300,MATCH(data!BC$1,Haver_M!$B$1:$BZ$1,0),FALSE),"")</f>
        <v>53.388100000000001</v>
      </c>
      <c r="BD164">
        <f>IF(ISNUMBER(VLOOKUP($A164,Haver_M!$B$1:$BZ$300,MATCH(data!BD$1,Haver_M!$B$1:$BZ$1,0),FALSE)),VLOOKUP($A164,Haver_M!$B$1:$BZ$300,MATCH(data!BD$1,Haver_M!$B$1:$BZ$1,0),FALSE),"")</f>
        <v>53.429299999999998</v>
      </c>
      <c r="BE164">
        <f>IF(ISNUMBER(VLOOKUP($A164,Haver_M!$B$1:$BZ$300,MATCH(data!BE$1,Haver_M!$B$1:$BZ$1,0),FALSE)),VLOOKUP($A164,Haver_M!$B$1:$BZ$300,MATCH(data!BE$1,Haver_M!$B$1:$BZ$1,0),FALSE),"")</f>
        <v>0.98729999999999996</v>
      </c>
      <c r="BF164">
        <f>IF(ISNUMBER(VLOOKUP($A164,Haver_M!$B$1:$BZ$300,MATCH(data!BF$1,Haver_M!$B$1:$BZ$1,0),FALSE)),VLOOKUP($A164,Haver_M!$B$1:$BZ$300,MATCH(data!BF$1,Haver_M!$B$1:$BZ$1,0),FALSE),"")</f>
        <v>51.7074</v>
      </c>
      <c r="BG164">
        <f>IF(ISNUMBER(VLOOKUP($A164,Haver_M!$B$1:$BZ$300,MATCH(data!BG$1,Haver_M!$B$1:$BZ$1,0),FALSE)),VLOOKUP($A164,Haver_M!$B$1:$BZ$300,MATCH(data!BG$1,Haver_M!$B$1:$BZ$1,0),FALSE),"")</f>
        <v>50.6616</v>
      </c>
      <c r="BH164">
        <f>IF(ISNUMBER(VLOOKUP($A164,Haver_M!$B$1:$BZ$300,MATCH(data!BH$1,Haver_M!$B$1:$BZ$1,0),FALSE)),VLOOKUP($A164,Haver_M!$B$1:$BZ$300,MATCH(data!BH$1,Haver_M!$B$1:$BZ$1,0),FALSE),"")</f>
        <v>47.834699999999998</v>
      </c>
      <c r="BI164">
        <f>IF(ISNUMBER(VLOOKUP($A164,Haver_M!$B$1:$BZ$300,MATCH(data!BI$1,Haver_M!$B$1:$BZ$1,0),FALSE)),VLOOKUP($A164,Haver_M!$B$1:$BZ$300,MATCH(data!BI$1,Haver_M!$B$1:$BZ$1,0),FALSE),"")</f>
        <v>52.530200000000001</v>
      </c>
      <c r="BJ164" t="str">
        <f>IF(ISNUMBER(VLOOKUP($A164,Haver_M!$B$1:$BZ$300,MATCH(data!BJ$1,Haver_M!$B$1:$BZ$1,0),FALSE)),VLOOKUP($A164,Haver_M!$B$1:$BZ$300,MATCH(data!BJ$1,Haver_M!$B$1:$BZ$1,0),FALSE),"")</f>
        <v/>
      </c>
      <c r="BK164">
        <f>IF(ISNUMBER(VLOOKUP($A164,Haver_M!$B$1:$BZ$300,MATCH(data!BK$1,Haver_M!$B$1:$BZ$1,0),FALSE)),VLOOKUP($A164,Haver_M!$B$1:$BZ$300,MATCH(data!BK$1,Haver_M!$B$1:$BZ$1,0),FALSE),"")</f>
        <v>50.650300000000001</v>
      </c>
      <c r="BL164">
        <f>IF(ISNUMBER(VLOOKUP($A164,Haver_M!$B$1:$BZ$300,MATCH(data!BL$1,Haver_M!$B$1:$BZ$1,0),FALSE)),VLOOKUP($A164,Haver_M!$B$1:$BZ$300,MATCH(data!BL$1,Haver_M!$B$1:$BZ$1,0),FALSE),"")</f>
        <v>19709.71</v>
      </c>
      <c r="BM164">
        <f>IF(ISNUMBER(VLOOKUP($A164,Haver_M!$B$1:$BZ$300,MATCH(data!BM$1,Haver_M!$B$1:$BZ$1,0),FALSE)),VLOOKUP($A164,Haver_M!$B$1:$BZ$300,MATCH(data!BM$1,Haver_M!$B$1:$BZ$1,0),FALSE),"")</f>
        <v>98.464847019999993</v>
      </c>
      <c r="BN164" t="str">
        <f>IF(ISNUMBER(VLOOKUP($A164,Haver_M!$B$1:$BZ$300,MATCH(data!BN$1,Haver_M!$B$1:$BZ$1,0),FALSE)),VLOOKUP($A164,Haver_M!$B$1:$BZ$300,MATCH(data!BN$1,Haver_M!$B$1:$BZ$1,0),FALSE),"")</f>
        <v/>
      </c>
      <c r="BO164" t="str">
        <f>IF(ISNUMBER(VLOOKUP($A164,Haver_M!$B$1:$BZ$300,MATCH(data!BO$1,Haver_M!$B$1:$BZ$1,0),FALSE)),VLOOKUP($A164,Haver_M!$B$1:$BZ$300,MATCH(data!BO$1,Haver_M!$B$1:$BZ$1,0),FALSE),"")</f>
        <v/>
      </c>
      <c r="BP164" t="str">
        <f>IF(ISNUMBER(VLOOKUP($A164,Haver_M!$B$1:$BZ$300,MATCH(data!BP$1,Haver_M!$B$1:$BZ$1,0),FALSE)),VLOOKUP($A164,Haver_M!$B$1:$BZ$300,MATCH(data!BP$1,Haver_M!$B$1:$BZ$1,0),FALSE),"")</f>
        <v/>
      </c>
      <c r="BQ164">
        <f>IF(ISNUMBER(VLOOKUP($A164,Haver_M!$B$1:$BZ$300,MATCH(data!BQ$1,Haver_M!$B$1:$BZ$1,0),FALSE)),VLOOKUP($A164,Haver_M!$B$1:$BZ$300,MATCH(data!BQ$1,Haver_M!$B$1:$BZ$1,0),FALSE),"")</f>
        <v>151.6100268672397</v>
      </c>
      <c r="BR164">
        <f>IF(ISNUMBER(VLOOKUP($A164,Haver_M!$B$1:$BZ$300,MATCH(data!BR$1,Haver_M!$B$1:$BZ$1,0),FALSE)),VLOOKUP($A164,Haver_M!$B$1:$BZ$300,MATCH(data!BR$1,Haver_M!$B$1:$BZ$1,0),FALSE),"")</f>
        <v>379.77211361195407</v>
      </c>
      <c r="BS164">
        <f>IF(ISNUMBER(VLOOKUP($A164,Haver_M!$B$1:$BZ$300,MATCH(data!BS$1,Haver_M!$B$1:$BZ$1,0),FALSE)),VLOOKUP($A164,Haver_M!$B$1:$BZ$300,MATCH(data!BS$1,Haver_M!$B$1:$BZ$1,0),FALSE),"")</f>
        <v>197.44460095624623</v>
      </c>
      <c r="BT164">
        <f>IF(ISNUMBER(VLOOKUP($A164,Haver_M!$B$1:$BZ$300,MATCH(data!BT$1,Haver_M!$B$1:$BZ$1,0),FALSE)),VLOOKUP($A164,Haver_M!$B$1:$BZ$300,MATCH(data!BT$1,Haver_M!$B$1:$BZ$1,0),FALSE),"")</f>
        <v>829.1041130632334</v>
      </c>
      <c r="BU164">
        <f>IF(ISNUMBER(VLOOKUP($A164,Haver_M!$B$1:$BZ$300,MATCH(data!BU$1,Haver_M!$B$1:$BZ$1,0),FALSE)),VLOOKUP($A164,Haver_M!$B$1:$BZ$300,MATCH(data!BU$1,Haver_M!$B$1:$BZ$1,0),FALSE),"")</f>
        <v>25835.08</v>
      </c>
      <c r="BV164">
        <f>IF(ISNUMBER(VLOOKUP($A164,Haver_M!$B$1:$BZ$300,MATCH(data!BV$1,Haver_M!$B$1:$BZ$1,0),FALSE)),VLOOKUP($A164,Haver_M!$B$1:$BZ$300,MATCH(data!BV$1,Haver_M!$B$1:$BZ$1,0),FALSE),"")</f>
        <v>38326.449999999997</v>
      </c>
      <c r="BW164">
        <f>IF(ISNUMBER(VLOOKUP($A164,Haver_M!$B$1:$BZ$300,MATCH(data!BW$1,Haver_M!$B$1:$BZ$1,0),FALSE)),VLOOKUP($A164,Haver_M!$B$1:$BZ$300,MATCH(data!BW$1,Haver_M!$B$1:$BZ$1,0),FALSE),"")</f>
        <v>59.775399999999998</v>
      </c>
      <c r="BX164">
        <f>IF(ISNUMBER(VLOOKUP($A164,Haver_M!$B$1:$BZ$300,MATCH(data!BX$1,Haver_M!$B$1:$BZ$1,0),FALSE)),VLOOKUP($A164,Haver_M!$B$1:$BZ$300,MATCH(data!BX$1,Haver_M!$B$1:$BZ$1,0),FALSE),"")</f>
        <v>69653</v>
      </c>
    </row>
    <row r="165" spans="1:76" x14ac:dyDescent="0.25">
      <c r="A165" s="2">
        <v>41517</v>
      </c>
      <c r="B165" t="str">
        <f>IF(ISNUMBER(VLOOKUP($A165,Haver_Q!$B$1:$L$185,MATCH(data!B$1,Haver_Q!$B$1:$L$1,0),FALSE)),100*(VLOOKUP($A165,Haver_Q!$B$1:$L$185,MATCH(data!B$1,Haver_Q!$B$1:$L$1,0),FALSE)),"")</f>
        <v/>
      </c>
      <c r="C165" t="str">
        <f>IF(ISNUMBER(VLOOKUP($A165,Haver_Q!$B$1:$L$185,MATCH(data!C$1,Haver_Q!$B$1:$L$1,0),FALSE)),100*(VLOOKUP($A165,Haver_Q!$B$1:$L$185,MATCH(data!C$1,Haver_Q!$B$1:$L$1,0),FALSE)),"")</f>
        <v/>
      </c>
      <c r="D165" t="str">
        <f>IF(ISNUMBER(VLOOKUP($A165,Haver_Q!$B$1:$L$185,MATCH(data!D$1,Haver_Q!$B$1:$L$1,0),FALSE)),100*(VLOOKUP($A165,Haver_Q!$B$1:$L$185,MATCH(data!D$1,Haver_Q!$B$1:$L$1,0),FALSE)),"")</f>
        <v/>
      </c>
      <c r="E165" t="str">
        <f>IF(ISNUMBER(VLOOKUP($A165,Haver_Q!$B$1:$L$185,MATCH(data!E$1,Haver_Q!$B$1:$L$1,0),FALSE)),100*(VLOOKUP($A165,Haver_Q!$B$1:$L$185,MATCH(data!E$1,Haver_Q!$B$1:$L$1,0),FALSE)),"")</f>
        <v/>
      </c>
      <c r="F165" t="str">
        <f>IF(ISNUMBER(VLOOKUP($A165,Haver_Q!$B$1:$L$185,MATCH(data!F$1,Haver_Q!$B$1:$L$1,0),FALSE)),100*(VLOOKUP($A165,Haver_Q!$B$1:$L$185,MATCH(data!F$1,Haver_Q!$B$1:$L$1,0),FALSE)),"")</f>
        <v/>
      </c>
      <c r="G165" t="str">
        <f>IF(ISNUMBER(VLOOKUP($A165,Haver_Q!$B$1:$L$185,MATCH(data!G$1,Haver_Q!$B$1:$L$1,0),FALSE)),100*(VLOOKUP($A165,Haver_Q!$B$1:$L$185,MATCH(data!G$1,Haver_Q!$B$1:$L$1,0),FALSE)),"")</f>
        <v/>
      </c>
      <c r="H165" t="str">
        <f>IF(ISNUMBER(VLOOKUP($A165,Haver_Q!$B$1:$L$185,MATCH(data!H$1,Haver_Q!$B$1:$L$1,0),FALSE)),(VLOOKUP($A165,Haver_Q!$B$1:$L$185,MATCH(data!H$1,Haver_Q!$B$1:$L$1,0),FALSE)),"")</f>
        <v/>
      </c>
      <c r="I165" t="str">
        <f>IF(ISNUMBER(VLOOKUP($A165,Haver_Q!$B$1:$L$185,MATCH(data!I$1,Haver_Q!$B$1:$L$1,0),FALSE)),100*(VLOOKUP($A165,Haver_Q!$B$1:$L$185,MATCH(data!I$1,Haver_Q!$B$1:$L$1,0),FALSE)),"")</f>
        <v/>
      </c>
      <c r="J165" s="3">
        <f>IF(ISNUMBER(Bloomberg_m!C181),Bloomberg_m!C181,"")</f>
        <v>1088</v>
      </c>
      <c r="K165" s="3">
        <f>IF(ISNUMBER(Bloomberg_m!D181),Bloomberg_m!D181,"")</f>
        <v>2072.23</v>
      </c>
      <c r="L165" s="3">
        <f>IF(ISNUMBER(Bloomberg_m!E181),Bloomberg_m!E181,"")</f>
        <v>1122.94</v>
      </c>
      <c r="M165" s="3">
        <f>IF(ISNUMBER(Bloomberg_m!F181),Bloomberg_m!F181,"")</f>
        <v>518.12</v>
      </c>
      <c r="N165">
        <f>IF(ISNUMBER(VLOOKUP($A165,Haver_M!$B$1:$BZ$300,MATCH(data!N$1,Haver_M!$B$1:$BZ$1,0),FALSE)),VLOOKUP($A165,Haver_M!$B$1:$BZ$300,MATCH(data!N$1,Haver_M!$B$1:$BZ$1,0),FALSE),"")</f>
        <v>7.25</v>
      </c>
      <c r="O165">
        <f>IF(ISNUMBER(VLOOKUP($A165,Haver_M!$B$1:$BZ$300,MATCH(data!O$1,Haver_M!$B$1:$BZ$1,0),FALSE)),VLOOKUP($A165,Haver_M!$B$1:$BZ$300,MATCH(data!O$1,Haver_M!$B$1:$BZ$1,0),FALSE),"")</f>
        <v>8.7829999999999995</v>
      </c>
      <c r="P165">
        <f>IF(ISNUMBER(VLOOKUP($A165,Haver_M!$B$1:$BZ$300,MATCH(data!P$1,Haver_M!$B$1:$BZ$1,0),FALSE)),VLOOKUP($A165,Haver_M!$B$1:$BZ$300,MATCH(data!P$1,Haver_M!$B$1:$BZ$1,0),FALSE),"")</f>
        <v>84.515039999999999</v>
      </c>
      <c r="Q165">
        <f>IF(ISNUMBER(VLOOKUP($A165,Haver_M!$B$1:$BZ$300,MATCH(data!Q$1,Haver_M!$B$1:$BZ$1,0),FALSE)),VLOOKUP($A165,Haver_M!$B$1:$BZ$300,MATCH(data!Q$1,Haver_M!$B$1:$BZ$1,0),FALSE),"")</f>
        <v>112.4</v>
      </c>
      <c r="R165">
        <f>IF(ISNUMBER(VLOOKUP($A165,Haver_M!$B$1:$BZ$300,MATCH(data!R$1,Haver_M!$B$1:$BZ$1,0),FALSE)),VLOOKUP($A165,Haver_M!$B$1:$BZ$300,MATCH(data!R$1,Haver_M!$B$1:$BZ$1,0),FALSE),"")</f>
        <v>108.7</v>
      </c>
      <c r="S165">
        <f>IF(ISNUMBER(VLOOKUP($A165,Haver_M!$B$1:$BZ$300,MATCH(data!S$1,Haver_M!$B$1:$BZ$1,0),FALSE)),VLOOKUP($A165,Haver_M!$B$1:$BZ$300,MATCH(data!S$1,Haver_M!$B$1:$BZ$1,0),FALSE),"")</f>
        <v>107.52</v>
      </c>
      <c r="T165">
        <f>IF(ISNUMBER(VLOOKUP($A165,Haver_M!$B$1:$BZ$300,MATCH(data!T$1,Haver_M!$B$1:$BZ$1,0),FALSE)),VLOOKUP($A165,Haver_M!$B$1:$BZ$300,MATCH(data!T$1,Haver_M!$B$1:$BZ$1,0),FALSE),"")</f>
        <v>103</v>
      </c>
      <c r="U165">
        <f>IF(ISNUMBER(VLOOKUP($A165,Haver_M!$B$1:$BZ$300,MATCH(data!U$1,Haver_M!$B$1:$BZ$1,0),FALSE)),VLOOKUP($A165,Haver_M!$B$1:$BZ$300,MATCH(data!U$1,Haver_M!$B$1:$BZ$1,0),FALSE),"")</f>
        <v>96.91</v>
      </c>
      <c r="V165">
        <f>IF(ISNUMBER(VLOOKUP($A165,Haver_M!$B$1:$BZ$300,MATCH(data!V$1,Haver_M!$B$1:$BZ$1,0),FALSE)),VLOOKUP($A165,Haver_M!$B$1:$BZ$300,MATCH(data!V$1,Haver_M!$B$1:$BZ$1,0),FALSE),"")</f>
        <v>111.95</v>
      </c>
      <c r="W165">
        <f>IF(ISNUMBER(VLOOKUP($A165,Haver_M!$B$1:$BZ$300,MATCH(data!W$1,Haver_M!$B$1:$BZ$1,0),FALSE)),VLOOKUP($A165,Haver_M!$B$1:$BZ$300,MATCH(data!W$1,Haver_M!$B$1:$BZ$1,0),FALSE),"")</f>
        <v>111.52</v>
      </c>
      <c r="X165">
        <f>IF(ISNUMBER(VLOOKUP($A165,Haver_M!$B$1:$BZ$300,MATCH(data!X$1,Haver_M!$B$1:$BZ$1,0),FALSE)),VLOOKUP($A165,Haver_M!$B$1:$BZ$300,MATCH(data!X$1,Haver_M!$B$1:$BZ$1,0),FALSE),"")</f>
        <v>109.49</v>
      </c>
      <c r="Y165">
        <f>IF(ISNUMBER(VLOOKUP($A165,Haver_M!$B$1:$BZ$300,MATCH(data!Y$1,Haver_M!$B$1:$BZ$1,0),FALSE)),VLOOKUP($A165,Haver_M!$B$1:$BZ$300,MATCH(data!Y$1,Haver_M!$B$1:$BZ$1,0),FALSE),"")</f>
        <v>113.26</v>
      </c>
      <c r="Z165">
        <f>IF(ISNUMBER(VLOOKUP($A165,Haver_M!$B$1:$BZ$300,MATCH(data!Z$1,Haver_M!$B$1:$BZ$1,0),FALSE)),VLOOKUP($A165,Haver_M!$B$1:$BZ$300,MATCH(data!Z$1,Haver_M!$B$1:$BZ$1,0),FALSE),"")</f>
        <v>106.5</v>
      </c>
      <c r="AA165">
        <f>IF(ISNUMBER(VLOOKUP($A165,Haver_M!$B$1:$BZ$300,MATCH(data!AA$1,Haver_M!$B$1:$BZ$1,0),FALSE)),VLOOKUP($A165,Haver_M!$B$1:$BZ$300,MATCH(data!AA$1,Haver_M!$B$1:$BZ$1,0),FALSE),"")</f>
        <v>105.02200000000001</v>
      </c>
      <c r="AB165">
        <f>IF(ISNUMBER(VLOOKUP($A165,Haver_M!$B$1:$BZ$300,MATCH(data!AB$1,Haver_M!$B$1:$BZ$1,0),FALSE)),VLOOKUP($A165,Haver_M!$B$1:$BZ$300,MATCH(data!AB$1,Haver_M!$B$1:$BZ$1,0),FALSE),"")</f>
        <v>98.254999999999995</v>
      </c>
      <c r="AC165">
        <f>IF(ISNUMBER(VLOOKUP($A165,Haver_M!$B$1:$BZ$300,MATCH(data!AC$1,Haver_M!$B$1:$BZ$1,0),FALSE)),VLOOKUP($A165,Haver_M!$B$1:$BZ$300,MATCH(data!AC$1,Haver_M!$B$1:$BZ$1,0),FALSE),"")</f>
        <v>73.986000000000004</v>
      </c>
      <c r="AD165">
        <f>IF(ISNUMBER(VLOOKUP($A165,Haver_M!$B$1:$BZ$300,MATCH(data!AD$1,Haver_M!$B$1:$BZ$1,0),FALSE)),VLOOKUP($A165,Haver_M!$B$1:$BZ$300,MATCH(data!AD$1,Haver_M!$B$1:$BZ$1,0),FALSE),"")</f>
        <v>112.61799999999999</v>
      </c>
      <c r="AE165">
        <f>IF(ISNUMBER(VLOOKUP($A165,Haver_M!$B$1:$BZ$300,MATCH(data!AE$1,Haver_M!$B$1:$BZ$1,0),FALSE)),VLOOKUP($A165,Haver_M!$B$1:$BZ$300,MATCH(data!AE$1,Haver_M!$B$1:$BZ$1,0),FALSE),"")</f>
        <v>101.014</v>
      </c>
      <c r="AF165">
        <f>IF(ISNUMBER(VLOOKUP($A165,Haver_M!$B$1:$BZ$300,MATCH(data!AF$1,Haver_M!$B$1:$BZ$1,0),FALSE)),VLOOKUP($A165,Haver_M!$B$1:$BZ$300,MATCH(data!AF$1,Haver_M!$B$1:$BZ$1,0),FALSE),"")</f>
        <v>113.226</v>
      </c>
      <c r="AG165">
        <f>IF(ISNUMBER(VLOOKUP($A165,Haver_M!$B$1:$BZ$300,MATCH(data!AG$1,Haver_M!$B$1:$BZ$1,0),FALSE)),VLOOKUP($A165,Haver_M!$B$1:$BZ$300,MATCH(data!AG$1,Haver_M!$B$1:$BZ$1,0),FALSE),"")</f>
        <v>109.13500000000001</v>
      </c>
      <c r="AH165">
        <f>IF(ISNUMBER(VLOOKUP($A165,Haver_M!$B$1:$BZ$300,MATCH(data!AH$1,Haver_M!$B$1:$BZ$1,0),FALSE)),VLOOKUP($A165,Haver_M!$B$1:$BZ$300,MATCH(data!AH$1,Haver_M!$B$1:$BZ$1,0),FALSE),"")</f>
        <v>107.496</v>
      </c>
      <c r="AI165">
        <f>IF(ISNUMBER(VLOOKUP($A165,Haver_M!$B$1:$BZ$300,MATCH(data!AI$1,Haver_M!$B$1:$BZ$1,0),FALSE)),VLOOKUP($A165,Haver_M!$B$1:$BZ$300,MATCH(data!AI$1,Haver_M!$B$1:$BZ$1,0),FALSE),"")</f>
        <v>13228.552448785844</v>
      </c>
      <c r="AJ165">
        <f>IF(ISNUMBER(VLOOKUP($A165,Haver_M!$B$1:$BZ$300,MATCH(data!AJ$1,Haver_M!$B$1:$BZ$1,0),FALSE)),VLOOKUP($A165,Haver_M!$B$1:$BZ$300,MATCH(data!AJ$1,Haver_M!$B$1:$BZ$1,0),FALSE),"")</f>
        <v>27066.76</v>
      </c>
      <c r="AK165">
        <f>IF(ISNUMBER(VLOOKUP($A165,Haver_M!$B$1:$BZ$300,MATCH(data!AK$1,Haver_M!$B$1:$BZ$1,0),FALSE)),VLOOKUP($A165,Haver_M!$B$1:$BZ$300,MATCH(data!AK$1,Haver_M!$B$1:$BZ$1,0),FALSE),"")</f>
        <v>37897.379999999997</v>
      </c>
      <c r="AL165">
        <f>IF(ISNUMBER(VLOOKUP($A165,Haver_M!$B$1:$BZ$300,MATCH(data!AL$1,Haver_M!$B$1:$BZ$1,0),FALSE)),VLOOKUP($A165,Haver_M!$B$1:$BZ$300,MATCH(data!AL$1,Haver_M!$B$1:$BZ$1,0),FALSE),"")</f>
        <v>12310</v>
      </c>
      <c r="AM165">
        <f>IF(ISNUMBER(VLOOKUP($A165,Haver_M!$B$1:$BZ$300,MATCH(data!AM$1,Haver_M!$B$1:$BZ$1,0),FALSE)),VLOOKUP($A165,Haver_M!$B$1:$BZ$300,MATCH(data!AM$1,Haver_M!$B$1:$BZ$1,0),FALSE),"")</f>
        <v>6295</v>
      </c>
      <c r="AN165" t="str">
        <f>IF(ISNUMBER(VLOOKUP($A165,Haver_M!$B$1:$BZ$300,MATCH(data!AN$1,Haver_M!$B$1:$BZ$1,0),FALSE)),VLOOKUP($A165,Haver_M!$B$1:$BZ$300,MATCH(data!AN$1,Haver_M!$B$1:$BZ$1,0),FALSE),"")</f>
        <v/>
      </c>
      <c r="AO165" t="str">
        <f>IF(ISNUMBER(VLOOKUP($A165,Haver_M!$B$1:$BZ$300,MATCH(data!AO$1,Haver_M!$B$1:$BZ$1,0),FALSE)),VLOOKUP($A165,Haver_M!$B$1:$BZ$300,MATCH(data!AO$1,Haver_M!$B$1:$BZ$1,0),FALSE),"")</f>
        <v/>
      </c>
      <c r="AP165">
        <f>IF(ISNUMBER(VLOOKUP($A165,Haver_M!$B$1:$BZ$300,MATCH(data!AP$1,Haver_M!$B$1:$BZ$1,0),FALSE)),VLOOKUP($A165,Haver_M!$B$1:$BZ$300,MATCH(data!AP$1,Haver_M!$B$1:$BZ$1,0),FALSE),"")</f>
        <v>161.23215389605539</v>
      </c>
      <c r="AQ165">
        <f>IF(ISNUMBER(VLOOKUP($A165,Haver_M!$B$1:$BZ$300,MATCH(data!AQ$1,Haver_M!$B$1:$BZ$1,0),FALSE)),VLOOKUP($A165,Haver_M!$B$1:$BZ$300,MATCH(data!AQ$1,Haver_M!$B$1:$BZ$1,0),FALSE),"")</f>
        <v>47.6083</v>
      </c>
      <c r="AR165">
        <f>IF(ISNUMBER(VLOOKUP($A165,Haver_M!$B$1:$BZ$300,MATCH(data!AR$1,Haver_M!$B$1:$BZ$1,0),FALSE)),VLOOKUP($A165,Haver_M!$B$1:$BZ$300,MATCH(data!AR$1,Haver_M!$B$1:$BZ$1,0),FALSE),"")</f>
        <v>48.533700000000003</v>
      </c>
      <c r="AS165">
        <f>IF(ISNUMBER(VLOOKUP($A165,Haver_M!$B$1:$BZ$300,MATCH(data!AS$1,Haver_M!$B$1:$BZ$1,0),FALSE)),VLOOKUP($A165,Haver_M!$B$1:$BZ$300,MATCH(data!AS$1,Haver_M!$B$1:$BZ$1,0),FALSE),"")</f>
        <v>47.649099999999997</v>
      </c>
      <c r="AT165">
        <f>IF(ISNUMBER(VLOOKUP($A165,Haver_M!$B$1:$BZ$300,MATCH(data!AT$1,Haver_M!$B$1:$BZ$1,0),FALSE)),VLOOKUP($A165,Haver_M!$B$1:$BZ$300,MATCH(data!AT$1,Haver_M!$B$1:$BZ$1,0),FALSE),"")</f>
        <v>47.514099999999999</v>
      </c>
      <c r="AU165">
        <f>IF(ISNUMBER(VLOOKUP($A165,Haver_M!$B$1:$BZ$300,MATCH(data!AU$1,Haver_M!$B$1:$BZ$1,0),FALSE)),VLOOKUP($A165,Haver_M!$B$1:$BZ$300,MATCH(data!AU$1,Haver_M!$B$1:$BZ$1,0),FALSE),"")</f>
        <v>47.464500000000001</v>
      </c>
      <c r="AV165">
        <f>IF(ISNUMBER(VLOOKUP($A165,Haver_M!$B$1:$BZ$300,MATCH(data!AV$1,Haver_M!$B$1:$BZ$1,0),FALSE)),VLOOKUP($A165,Haver_M!$B$1:$BZ$300,MATCH(data!AV$1,Haver_M!$B$1:$BZ$1,0),FALSE),"")</f>
        <v>50.9848</v>
      </c>
      <c r="AW165">
        <f>IF(ISNUMBER(VLOOKUP($A165,Haver_M!$B$1:$BZ$300,MATCH(data!AW$1,Haver_M!$B$1:$BZ$1,0),FALSE)),VLOOKUP($A165,Haver_M!$B$1:$BZ$300,MATCH(data!AW$1,Haver_M!$B$1:$BZ$1,0),FALSE),"")</f>
        <v>49.841999999999999</v>
      </c>
      <c r="AX165">
        <f>IF(ISNUMBER(VLOOKUP($A165,Haver_M!$B$1:$BZ$300,MATCH(data!AX$1,Haver_M!$B$1:$BZ$1,0),FALSE)),VLOOKUP($A165,Haver_M!$B$1:$BZ$300,MATCH(data!AX$1,Haver_M!$B$1:$BZ$1,0),FALSE),"")</f>
        <v>46.952399999999997</v>
      </c>
      <c r="AY165">
        <f>IF(ISNUMBER(VLOOKUP($A165,Haver_M!$B$1:$BZ$300,MATCH(data!AY$1,Haver_M!$B$1:$BZ$1,0),FALSE)),VLOOKUP($A165,Haver_M!$B$1:$BZ$300,MATCH(data!AY$1,Haver_M!$B$1:$BZ$1,0),FALSE),"")</f>
        <v>57.819800000000001</v>
      </c>
      <c r="AZ165">
        <f>IF(ISNUMBER(VLOOKUP($A165,Haver_M!$B$1:$BZ$300,MATCH(data!AZ$1,Haver_M!$B$1:$BZ$1,0),FALSE)),VLOOKUP($A165,Haver_M!$B$1:$BZ$300,MATCH(data!AZ$1,Haver_M!$B$1:$BZ$1,0),FALSE),"")</f>
        <v>48.186799999999998</v>
      </c>
      <c r="BA165">
        <f>IF(ISNUMBER(VLOOKUP($A165,Haver_M!$B$1:$BZ$300,MATCH(data!BA$1,Haver_M!$B$1:$BZ$1,0),FALSE)),VLOOKUP($A165,Haver_M!$B$1:$BZ$300,MATCH(data!BA$1,Haver_M!$B$1:$BZ$1,0),FALSE),"")</f>
        <v>46.952399999999997</v>
      </c>
      <c r="BB165">
        <f>IF(ISNUMBER(VLOOKUP($A165,Haver_M!$B$1:$BZ$300,MATCH(data!BB$1,Haver_M!$B$1:$BZ$1,0),FALSE)),VLOOKUP($A165,Haver_M!$B$1:$BZ$300,MATCH(data!BB$1,Haver_M!$B$1:$BZ$1,0),FALSE),"")</f>
        <v>49.832900000000002</v>
      </c>
      <c r="BC165">
        <f>IF(ISNUMBER(VLOOKUP($A165,Haver_M!$B$1:$BZ$300,MATCH(data!BC$1,Haver_M!$B$1:$BZ$1,0),FALSE)),VLOOKUP($A165,Haver_M!$B$1:$BZ$300,MATCH(data!BC$1,Haver_M!$B$1:$BZ$1,0),FALSE),"")</f>
        <v>51.771599999999999</v>
      </c>
      <c r="BD165">
        <f>IF(ISNUMBER(VLOOKUP($A165,Haver_M!$B$1:$BZ$300,MATCH(data!BD$1,Haver_M!$B$1:$BZ$1,0),FALSE)),VLOOKUP($A165,Haver_M!$B$1:$BZ$300,MATCH(data!BD$1,Haver_M!$B$1:$BZ$1,0),FALSE),"")</f>
        <v>51.430500000000002</v>
      </c>
      <c r="BE165">
        <f>IF(ISNUMBER(VLOOKUP($A165,Haver_M!$B$1:$BZ$300,MATCH(data!BE$1,Haver_M!$B$1:$BZ$1,0),FALSE)),VLOOKUP($A165,Haver_M!$B$1:$BZ$300,MATCH(data!BE$1,Haver_M!$B$1:$BZ$1,0),FALSE),"")</f>
        <v>0.98109999999999997</v>
      </c>
      <c r="BF165">
        <f>IF(ISNUMBER(VLOOKUP($A165,Haver_M!$B$1:$BZ$300,MATCH(data!BF$1,Haver_M!$B$1:$BZ$1,0),FALSE)),VLOOKUP($A165,Haver_M!$B$1:$BZ$300,MATCH(data!BF$1,Haver_M!$B$1:$BZ$1,0),FALSE),"")</f>
        <v>50.119900000000001</v>
      </c>
      <c r="BG165">
        <f>IF(ISNUMBER(VLOOKUP($A165,Haver_M!$B$1:$BZ$300,MATCH(data!BG$1,Haver_M!$B$1:$BZ$1,0),FALSE)),VLOOKUP($A165,Haver_M!$B$1:$BZ$300,MATCH(data!BG$1,Haver_M!$B$1:$BZ$1,0),FALSE),"")</f>
        <v>51.076999999999998</v>
      </c>
      <c r="BH165">
        <f>IF(ISNUMBER(VLOOKUP($A165,Haver_M!$B$1:$BZ$300,MATCH(data!BH$1,Haver_M!$B$1:$BZ$1,0),FALSE)),VLOOKUP($A165,Haver_M!$B$1:$BZ$300,MATCH(data!BH$1,Haver_M!$B$1:$BZ$1,0),FALSE),"")</f>
        <v>46.555999999999997</v>
      </c>
      <c r="BI165">
        <f>IF(ISNUMBER(VLOOKUP($A165,Haver_M!$B$1:$BZ$300,MATCH(data!BI$1,Haver_M!$B$1:$BZ$1,0),FALSE)),VLOOKUP($A165,Haver_M!$B$1:$BZ$300,MATCH(data!BI$1,Haver_M!$B$1:$BZ$1,0),FALSE),"")</f>
        <v>55.275500000000001</v>
      </c>
      <c r="BJ165" t="str">
        <f>IF(ISNUMBER(VLOOKUP($A165,Haver_M!$B$1:$BZ$300,MATCH(data!BJ$1,Haver_M!$B$1:$BZ$1,0),FALSE)),VLOOKUP($A165,Haver_M!$B$1:$BZ$300,MATCH(data!BJ$1,Haver_M!$B$1:$BZ$1,0),FALSE),"")</f>
        <v/>
      </c>
      <c r="BK165">
        <f>IF(ISNUMBER(VLOOKUP($A165,Haver_M!$B$1:$BZ$300,MATCH(data!BK$1,Haver_M!$B$1:$BZ$1,0),FALSE)),VLOOKUP($A165,Haver_M!$B$1:$BZ$300,MATCH(data!BK$1,Haver_M!$B$1:$BZ$1,0),FALSE),"")</f>
        <v>48.851399999999998</v>
      </c>
      <c r="BL165">
        <f>IF(ISNUMBER(VLOOKUP($A165,Haver_M!$B$1:$BZ$300,MATCH(data!BL$1,Haver_M!$B$1:$BZ$1,0),FALSE)),VLOOKUP($A165,Haver_M!$B$1:$BZ$300,MATCH(data!BL$1,Haver_M!$B$1:$BZ$1,0),FALSE),"")</f>
        <v>18641.41</v>
      </c>
      <c r="BM165">
        <f>IF(ISNUMBER(VLOOKUP($A165,Haver_M!$B$1:$BZ$300,MATCH(data!BM$1,Haver_M!$B$1:$BZ$1,0),FALSE)),VLOOKUP($A165,Haver_M!$B$1:$BZ$300,MATCH(data!BM$1,Haver_M!$B$1:$BZ$1,0),FALSE),"")</f>
        <v>98.90988514</v>
      </c>
      <c r="BN165" t="str">
        <f>IF(ISNUMBER(VLOOKUP($A165,Haver_M!$B$1:$BZ$300,MATCH(data!BN$1,Haver_M!$B$1:$BZ$1,0),FALSE)),VLOOKUP($A165,Haver_M!$B$1:$BZ$300,MATCH(data!BN$1,Haver_M!$B$1:$BZ$1,0),FALSE),"")</f>
        <v/>
      </c>
      <c r="BO165" t="str">
        <f>IF(ISNUMBER(VLOOKUP($A165,Haver_M!$B$1:$BZ$300,MATCH(data!BO$1,Haver_M!$B$1:$BZ$1,0),FALSE)),VLOOKUP($A165,Haver_M!$B$1:$BZ$300,MATCH(data!BO$1,Haver_M!$B$1:$BZ$1,0),FALSE),"")</f>
        <v/>
      </c>
      <c r="BP165" t="str">
        <f>IF(ISNUMBER(VLOOKUP($A165,Haver_M!$B$1:$BZ$300,MATCH(data!BP$1,Haver_M!$B$1:$BZ$1,0),FALSE)),VLOOKUP($A165,Haver_M!$B$1:$BZ$300,MATCH(data!BP$1,Haver_M!$B$1:$BZ$1,0),FALSE),"")</f>
        <v/>
      </c>
      <c r="BQ165">
        <f>IF(ISNUMBER(VLOOKUP($A165,Haver_M!$B$1:$BZ$300,MATCH(data!BQ$1,Haver_M!$B$1:$BZ$1,0),FALSE)),VLOOKUP($A165,Haver_M!$B$1:$BZ$300,MATCH(data!BQ$1,Haver_M!$B$1:$BZ$1,0),FALSE),"")</f>
        <v>146.67245699965827</v>
      </c>
      <c r="BR165">
        <f>IF(ISNUMBER(VLOOKUP($A165,Haver_M!$B$1:$BZ$300,MATCH(data!BR$1,Haver_M!$B$1:$BZ$1,0),FALSE)),VLOOKUP($A165,Haver_M!$B$1:$BZ$300,MATCH(data!BR$1,Haver_M!$B$1:$BZ$1,0),FALSE),"")</f>
        <v>366.99431091873288</v>
      </c>
      <c r="BS165">
        <f>IF(ISNUMBER(VLOOKUP($A165,Haver_M!$B$1:$BZ$300,MATCH(data!BS$1,Haver_M!$B$1:$BZ$1,0),FALSE)),VLOOKUP($A165,Haver_M!$B$1:$BZ$300,MATCH(data!BS$1,Haver_M!$B$1:$BZ$1,0),FALSE),"")</f>
        <v>191.93656579463621</v>
      </c>
      <c r="BT165">
        <f>IF(ISNUMBER(VLOOKUP($A165,Haver_M!$B$1:$BZ$300,MATCH(data!BT$1,Haver_M!$B$1:$BZ$1,0),FALSE)),VLOOKUP($A165,Haver_M!$B$1:$BZ$300,MATCH(data!BT$1,Haver_M!$B$1:$BZ$1,0),FALSE),"")</f>
        <v>801.54313956284579</v>
      </c>
      <c r="BU165">
        <f>IF(ISNUMBER(VLOOKUP($A165,Haver_M!$B$1:$BZ$300,MATCH(data!BU$1,Haver_M!$B$1:$BZ$1,0),FALSE)),VLOOKUP($A165,Haver_M!$B$1:$BZ$300,MATCH(data!BU$1,Haver_M!$B$1:$BZ$1,0),FALSE),"")</f>
        <v>26337.98</v>
      </c>
      <c r="BV165">
        <f>IF(ISNUMBER(VLOOKUP($A165,Haver_M!$B$1:$BZ$300,MATCH(data!BV$1,Haver_M!$B$1:$BZ$1,0),FALSE)),VLOOKUP($A165,Haver_M!$B$1:$BZ$300,MATCH(data!BV$1,Haver_M!$B$1:$BZ$1,0),FALSE),"")</f>
        <v>37026.019999999997</v>
      </c>
      <c r="BW165">
        <f>IF(ISNUMBER(VLOOKUP($A165,Haver_M!$B$1:$BZ$300,MATCH(data!BW$1,Haver_M!$B$1:$BZ$1,0),FALSE)),VLOOKUP($A165,Haver_M!$B$1:$BZ$300,MATCH(data!BW$1,Haver_M!$B$1:$BZ$1,0),FALSE),"")</f>
        <v>63.208799999999997</v>
      </c>
      <c r="BX165">
        <f>IF(ISNUMBER(VLOOKUP($A165,Haver_M!$B$1:$BZ$300,MATCH(data!BX$1,Haver_M!$B$1:$BZ$1,0),FALSE)),VLOOKUP($A165,Haver_M!$B$1:$BZ$300,MATCH(data!BX$1,Haver_M!$B$1:$BZ$1,0),FALSE),"")</f>
        <v>68238</v>
      </c>
    </row>
    <row r="166" spans="1:76" x14ac:dyDescent="0.25">
      <c r="A166" s="2">
        <v>41547</v>
      </c>
      <c r="B166">
        <f>IF(ISNUMBER(VLOOKUP($A166,Haver_Q!$B$1:$L$185,MATCH(data!B$1,Haver_Q!$B$1:$L$1,0),FALSE)),100*(VLOOKUP($A166,Haver_Q!$B$1:$L$185,MATCH(data!B$1,Haver_Q!$B$1:$L$1,0),FALSE)),"")</f>
        <v>6.6919482840159139</v>
      </c>
      <c r="C166">
        <f>IF(ISNUMBER(VLOOKUP($A166,Haver_Q!$B$1:$L$185,MATCH(data!C$1,Haver_Q!$B$1:$L$1,0),FALSE)),100*(VLOOKUP($A166,Haver_Q!$B$1:$L$185,MATCH(data!C$1,Haver_Q!$B$1:$L$1,0),FALSE)),"")</f>
        <v>12.286641425111045</v>
      </c>
      <c r="D166">
        <f>IF(ISNUMBER(VLOOKUP($A166,Haver_Q!$B$1:$L$185,MATCH(data!D$1,Haver_Q!$B$1:$L$1,0),FALSE)),100*(VLOOKUP($A166,Haver_Q!$B$1:$L$185,MATCH(data!D$1,Haver_Q!$B$1:$L$1,0),FALSE)),"")</f>
        <v>-33.053803148567219</v>
      </c>
      <c r="E166">
        <f>IF(ISNUMBER(VLOOKUP($A166,Haver_Q!$B$1:$L$185,MATCH(data!E$1,Haver_Q!$B$1:$L$1,0),FALSE)),100*(VLOOKUP($A166,Haver_Q!$B$1:$L$185,MATCH(data!E$1,Haver_Q!$B$1:$L$1,0),FALSE)),"")</f>
        <v>-4.3159628942702533</v>
      </c>
      <c r="F166">
        <f>IF(ISNUMBER(VLOOKUP($A166,Haver_Q!$B$1:$L$185,MATCH(data!F$1,Haver_Q!$B$1:$L$1,0),FALSE)),100*(VLOOKUP($A166,Haver_Q!$B$1:$L$185,MATCH(data!F$1,Haver_Q!$B$1:$L$1,0),FALSE)),"")</f>
        <v>54.80086785436049</v>
      </c>
      <c r="G166">
        <f>IF(ISNUMBER(VLOOKUP($A166,Haver_Q!$B$1:$L$185,MATCH(data!G$1,Haver_Q!$B$1:$L$1,0),FALSE)),100*(VLOOKUP($A166,Haver_Q!$B$1:$L$185,MATCH(data!G$1,Haver_Q!$B$1:$L$1,0),FALSE)),"")</f>
        <v>-1.0318456504469942</v>
      </c>
      <c r="H166">
        <f>IF(ISNUMBER(VLOOKUP($A166,Haver_Q!$B$1:$L$185,MATCH(data!H$1,Haver_Q!$B$1:$L$1,0),FALSE)),(VLOOKUP($A166,Haver_Q!$B$1:$L$185,MATCH(data!H$1,Haver_Q!$B$1:$L$1,0),FALSE)),"")</f>
        <v>4.2666243873699852</v>
      </c>
      <c r="I166">
        <f>IF(ISNUMBER(VLOOKUP($A166,Haver_Q!$B$1:$L$185,MATCH(data!I$1,Haver_Q!$B$1:$L$1,0),FALSE)),100*(VLOOKUP($A166,Haver_Q!$B$1:$L$185,MATCH(data!I$1,Haver_Q!$B$1:$L$1,0),FALSE)),"")</f>
        <v>7.33774874245543</v>
      </c>
      <c r="J166" s="3">
        <f>IF(ISNUMBER(Bloomberg_m!C182),Bloomberg_m!C182,"")</f>
        <v>1681</v>
      </c>
      <c r="K166" s="3">
        <f>IF(ISNUMBER(Bloomberg_m!D182),Bloomberg_m!D182,"")</f>
        <v>1876.71</v>
      </c>
      <c r="L166" s="3">
        <f>IF(ISNUMBER(Bloomberg_m!E182),Bloomberg_m!E182,"")</f>
        <v>1023.94</v>
      </c>
      <c r="M166" s="3">
        <f>IF(ISNUMBER(Bloomberg_m!F182),Bloomberg_m!F182,"")</f>
        <v>525.19000000000005</v>
      </c>
      <c r="N166">
        <f>IF(ISNUMBER(VLOOKUP($A166,Haver_M!$B$1:$BZ$300,MATCH(data!N$1,Haver_M!$B$1:$BZ$1,0),FALSE)),VLOOKUP($A166,Haver_M!$B$1:$BZ$300,MATCH(data!N$1,Haver_M!$B$1:$BZ$1,0),FALSE),"")</f>
        <v>7.5</v>
      </c>
      <c r="O166">
        <f>IF(ISNUMBER(VLOOKUP($A166,Haver_M!$B$1:$BZ$300,MATCH(data!O$1,Haver_M!$B$1:$BZ$1,0),FALSE)),VLOOKUP($A166,Haver_M!$B$1:$BZ$300,MATCH(data!O$1,Haver_M!$B$1:$BZ$1,0),FALSE),"")</f>
        <v>8.7629000000000001</v>
      </c>
      <c r="P166">
        <f>IF(ISNUMBER(VLOOKUP($A166,Haver_M!$B$1:$BZ$300,MATCH(data!P$1,Haver_M!$B$1:$BZ$1,0),FALSE)),VLOOKUP($A166,Haver_M!$B$1:$BZ$300,MATCH(data!P$1,Haver_M!$B$1:$BZ$1,0),FALSE),"")</f>
        <v>83.85275</v>
      </c>
      <c r="Q166">
        <f>IF(ISNUMBER(VLOOKUP($A166,Haver_M!$B$1:$BZ$300,MATCH(data!Q$1,Haver_M!$B$1:$BZ$1,0),FALSE)),VLOOKUP($A166,Haver_M!$B$1:$BZ$300,MATCH(data!Q$1,Haver_M!$B$1:$BZ$1,0),FALSE),"")</f>
        <v>113.7</v>
      </c>
      <c r="R166">
        <f>IF(ISNUMBER(VLOOKUP($A166,Haver_M!$B$1:$BZ$300,MATCH(data!R$1,Haver_M!$B$1:$BZ$1,0),FALSE)),VLOOKUP($A166,Haver_M!$B$1:$BZ$300,MATCH(data!R$1,Haver_M!$B$1:$BZ$1,0),FALSE),"")</f>
        <v>109.7</v>
      </c>
      <c r="S166">
        <f>IF(ISNUMBER(VLOOKUP($A166,Haver_M!$B$1:$BZ$300,MATCH(data!S$1,Haver_M!$B$1:$BZ$1,0),FALSE)),VLOOKUP($A166,Haver_M!$B$1:$BZ$300,MATCH(data!S$1,Haver_M!$B$1:$BZ$1,0),FALSE),"")</f>
        <v>108.16</v>
      </c>
      <c r="T166">
        <f>IF(ISNUMBER(VLOOKUP($A166,Haver_M!$B$1:$BZ$300,MATCH(data!T$1,Haver_M!$B$1:$BZ$1,0),FALSE)),VLOOKUP($A166,Haver_M!$B$1:$BZ$300,MATCH(data!T$1,Haver_M!$B$1:$BZ$1,0),FALSE),"")</f>
        <v>105.96</v>
      </c>
      <c r="U166">
        <f>IF(ISNUMBER(VLOOKUP($A166,Haver_M!$B$1:$BZ$300,MATCH(data!U$1,Haver_M!$B$1:$BZ$1,0),FALSE)),VLOOKUP($A166,Haver_M!$B$1:$BZ$300,MATCH(data!U$1,Haver_M!$B$1:$BZ$1,0),FALSE),"")</f>
        <v>92.96</v>
      </c>
      <c r="V166">
        <f>IF(ISNUMBER(VLOOKUP($A166,Haver_M!$B$1:$BZ$300,MATCH(data!V$1,Haver_M!$B$1:$BZ$1,0),FALSE)),VLOOKUP($A166,Haver_M!$B$1:$BZ$300,MATCH(data!V$1,Haver_M!$B$1:$BZ$1,0),FALSE),"")</f>
        <v>110.92</v>
      </c>
      <c r="W166">
        <f>IF(ISNUMBER(VLOOKUP($A166,Haver_M!$B$1:$BZ$300,MATCH(data!W$1,Haver_M!$B$1:$BZ$1,0),FALSE)),VLOOKUP($A166,Haver_M!$B$1:$BZ$300,MATCH(data!W$1,Haver_M!$B$1:$BZ$1,0),FALSE),"")</f>
        <v>112.33</v>
      </c>
      <c r="X166">
        <f>IF(ISNUMBER(VLOOKUP($A166,Haver_M!$B$1:$BZ$300,MATCH(data!X$1,Haver_M!$B$1:$BZ$1,0),FALSE)),VLOOKUP($A166,Haver_M!$B$1:$BZ$300,MATCH(data!X$1,Haver_M!$B$1:$BZ$1,0),FALSE),"")</f>
        <v>110.92</v>
      </c>
      <c r="Y166">
        <f>IF(ISNUMBER(VLOOKUP($A166,Haver_M!$B$1:$BZ$300,MATCH(data!Y$1,Haver_M!$B$1:$BZ$1,0),FALSE)),VLOOKUP($A166,Haver_M!$B$1:$BZ$300,MATCH(data!Y$1,Haver_M!$B$1:$BZ$1,0),FALSE),"")</f>
        <v>113.07</v>
      </c>
      <c r="Z166">
        <f>IF(ISNUMBER(VLOOKUP($A166,Haver_M!$B$1:$BZ$300,MATCH(data!Z$1,Haver_M!$B$1:$BZ$1,0),FALSE)),VLOOKUP($A166,Haver_M!$B$1:$BZ$300,MATCH(data!Z$1,Haver_M!$B$1:$BZ$1,0),FALSE),"")</f>
        <v>109.2</v>
      </c>
      <c r="AA166">
        <f>IF(ISNUMBER(VLOOKUP($A166,Haver_M!$B$1:$BZ$300,MATCH(data!AA$1,Haver_M!$B$1:$BZ$1,0),FALSE)),VLOOKUP($A166,Haver_M!$B$1:$BZ$300,MATCH(data!AA$1,Haver_M!$B$1:$BZ$1,0),FALSE),"")</f>
        <v>110.46899999999999</v>
      </c>
      <c r="AB166">
        <f>IF(ISNUMBER(VLOOKUP($A166,Haver_M!$B$1:$BZ$300,MATCH(data!AB$1,Haver_M!$B$1:$BZ$1,0),FALSE)),VLOOKUP($A166,Haver_M!$B$1:$BZ$300,MATCH(data!AB$1,Haver_M!$B$1:$BZ$1,0),FALSE),"")</f>
        <v>99.284000000000006</v>
      </c>
      <c r="AC166">
        <f>IF(ISNUMBER(VLOOKUP($A166,Haver_M!$B$1:$BZ$300,MATCH(data!AC$1,Haver_M!$B$1:$BZ$1,0),FALSE)),VLOOKUP($A166,Haver_M!$B$1:$BZ$300,MATCH(data!AC$1,Haver_M!$B$1:$BZ$1,0),FALSE),"")</f>
        <v>74.421000000000006</v>
      </c>
      <c r="AD166">
        <f>IF(ISNUMBER(VLOOKUP($A166,Haver_M!$B$1:$BZ$300,MATCH(data!AD$1,Haver_M!$B$1:$BZ$1,0),FALSE)),VLOOKUP($A166,Haver_M!$B$1:$BZ$300,MATCH(data!AD$1,Haver_M!$B$1:$BZ$1,0),FALSE),"")</f>
        <v>114.6</v>
      </c>
      <c r="AE166">
        <f>IF(ISNUMBER(VLOOKUP($A166,Haver_M!$B$1:$BZ$300,MATCH(data!AE$1,Haver_M!$B$1:$BZ$1,0),FALSE)),VLOOKUP($A166,Haver_M!$B$1:$BZ$300,MATCH(data!AE$1,Haver_M!$B$1:$BZ$1,0),FALSE),"")</f>
        <v>104.18600000000001</v>
      </c>
      <c r="AF166">
        <f>IF(ISNUMBER(VLOOKUP($A166,Haver_M!$B$1:$BZ$300,MATCH(data!AF$1,Haver_M!$B$1:$BZ$1,0),FALSE)),VLOOKUP($A166,Haver_M!$B$1:$BZ$300,MATCH(data!AF$1,Haver_M!$B$1:$BZ$1,0),FALSE),"")</f>
        <v>114.35</v>
      </c>
      <c r="AG166">
        <f>IF(ISNUMBER(VLOOKUP($A166,Haver_M!$B$1:$BZ$300,MATCH(data!AG$1,Haver_M!$B$1:$BZ$1,0),FALSE)),VLOOKUP($A166,Haver_M!$B$1:$BZ$300,MATCH(data!AG$1,Haver_M!$B$1:$BZ$1,0),FALSE),"")</f>
        <v>118.04</v>
      </c>
      <c r="AH166">
        <f>IF(ISNUMBER(VLOOKUP($A166,Haver_M!$B$1:$BZ$300,MATCH(data!AH$1,Haver_M!$B$1:$BZ$1,0),FALSE)),VLOOKUP($A166,Haver_M!$B$1:$BZ$300,MATCH(data!AH$1,Haver_M!$B$1:$BZ$1,0),FALSE),"")</f>
        <v>114.52500000000001</v>
      </c>
      <c r="AI166">
        <f>IF(ISNUMBER(VLOOKUP($A166,Haver_M!$B$1:$BZ$300,MATCH(data!AI$1,Haver_M!$B$1:$BZ$1,0),FALSE)),VLOOKUP($A166,Haver_M!$B$1:$BZ$300,MATCH(data!AI$1,Haver_M!$B$1:$BZ$1,0),FALSE),"")</f>
        <v>13093.590242761136</v>
      </c>
      <c r="AJ166">
        <f>IF(ISNUMBER(VLOOKUP($A166,Haver_M!$B$1:$BZ$300,MATCH(data!AJ$1,Haver_M!$B$1:$BZ$1,0),FALSE)),VLOOKUP($A166,Haver_M!$B$1:$BZ$300,MATCH(data!AJ$1,Haver_M!$B$1:$BZ$1,0),FALSE),"")</f>
        <v>27173.82</v>
      </c>
      <c r="AK166">
        <f>IF(ISNUMBER(VLOOKUP($A166,Haver_M!$B$1:$BZ$300,MATCH(data!AK$1,Haver_M!$B$1:$BZ$1,0),FALSE)),VLOOKUP($A166,Haver_M!$B$1:$BZ$300,MATCH(data!AK$1,Haver_M!$B$1:$BZ$1,0),FALSE),"")</f>
        <v>34335.57</v>
      </c>
      <c r="AL166">
        <f>IF(ISNUMBER(VLOOKUP($A166,Haver_M!$B$1:$BZ$300,MATCH(data!AL$1,Haver_M!$B$1:$BZ$1,0),FALSE)),VLOOKUP($A166,Haver_M!$B$1:$BZ$300,MATCH(data!AL$1,Haver_M!$B$1:$BZ$1,0),FALSE),"")</f>
        <v>12290</v>
      </c>
      <c r="AM166">
        <f>IF(ISNUMBER(VLOOKUP($A166,Haver_M!$B$1:$BZ$300,MATCH(data!AM$1,Haver_M!$B$1:$BZ$1,0),FALSE)),VLOOKUP($A166,Haver_M!$B$1:$BZ$300,MATCH(data!AM$1,Haver_M!$B$1:$BZ$1,0),FALSE),"")</f>
        <v>6792</v>
      </c>
      <c r="AN166">
        <f>IF(ISNUMBER(VLOOKUP($A166,Haver_M!$B$1:$BZ$300,MATCH(data!AN$1,Haver_M!$B$1:$BZ$1,0),FALSE)),VLOOKUP($A166,Haver_M!$B$1:$BZ$300,MATCH(data!AN$1,Haver_M!$B$1:$BZ$1,0),FALSE),"")</f>
        <v>87.2</v>
      </c>
      <c r="AO166">
        <f>IF(ISNUMBER(VLOOKUP($A166,Haver_M!$B$1:$BZ$300,MATCH(data!AO$1,Haver_M!$B$1:$BZ$1,0),FALSE)),VLOOKUP($A166,Haver_M!$B$1:$BZ$300,MATCH(data!AO$1,Haver_M!$B$1:$BZ$1,0),FALSE),"")</f>
        <v>87.7</v>
      </c>
      <c r="AP166">
        <f>IF(ISNUMBER(VLOOKUP($A166,Haver_M!$B$1:$BZ$300,MATCH(data!AP$1,Haver_M!$B$1:$BZ$1,0),FALSE)),VLOOKUP($A166,Haver_M!$B$1:$BZ$300,MATCH(data!AP$1,Haver_M!$B$1:$BZ$1,0),FALSE),"")</f>
        <v>144.1965348480997</v>
      </c>
      <c r="AQ166">
        <f>IF(ISNUMBER(VLOOKUP($A166,Haver_M!$B$1:$BZ$300,MATCH(data!AQ$1,Haver_M!$B$1:$BZ$1,0),FALSE)),VLOOKUP($A166,Haver_M!$B$1:$BZ$300,MATCH(data!AQ$1,Haver_M!$B$1:$BZ$1,0),FALSE),"")</f>
        <v>46.0837</v>
      </c>
      <c r="AR166">
        <f>IF(ISNUMBER(VLOOKUP($A166,Haver_M!$B$1:$BZ$300,MATCH(data!AR$1,Haver_M!$B$1:$BZ$1,0),FALSE)),VLOOKUP($A166,Haver_M!$B$1:$BZ$300,MATCH(data!AR$1,Haver_M!$B$1:$BZ$1,0),FALSE),"")</f>
        <v>49.556199999999997</v>
      </c>
      <c r="AS166">
        <f>IF(ISNUMBER(VLOOKUP($A166,Haver_M!$B$1:$BZ$300,MATCH(data!AS$1,Haver_M!$B$1:$BZ$1,0),FALSE)),VLOOKUP($A166,Haver_M!$B$1:$BZ$300,MATCH(data!AS$1,Haver_M!$B$1:$BZ$1,0),FALSE),"")</f>
        <v>44.563499999999998</v>
      </c>
      <c r="AT166">
        <f>IF(ISNUMBER(VLOOKUP($A166,Haver_M!$B$1:$BZ$300,MATCH(data!AT$1,Haver_M!$B$1:$BZ$1,0),FALSE)),VLOOKUP($A166,Haver_M!$B$1:$BZ$300,MATCH(data!AT$1,Haver_M!$B$1:$BZ$1,0),FALSE),"")</f>
        <v>49.596899999999998</v>
      </c>
      <c r="AU166">
        <f>IF(ISNUMBER(VLOOKUP($A166,Haver_M!$B$1:$BZ$300,MATCH(data!AU$1,Haver_M!$B$1:$BZ$1,0),FALSE)),VLOOKUP($A166,Haver_M!$B$1:$BZ$300,MATCH(data!AU$1,Haver_M!$B$1:$BZ$1,0),FALSE),"")</f>
        <v>49.642000000000003</v>
      </c>
      <c r="AV166">
        <f>IF(ISNUMBER(VLOOKUP($A166,Haver_M!$B$1:$BZ$300,MATCH(data!AV$1,Haver_M!$B$1:$BZ$1,0),FALSE)),VLOOKUP($A166,Haver_M!$B$1:$BZ$300,MATCH(data!AV$1,Haver_M!$B$1:$BZ$1,0),FALSE),"")</f>
        <v>49.664900000000003</v>
      </c>
      <c r="AW166">
        <f>IF(ISNUMBER(VLOOKUP($A166,Haver_M!$B$1:$BZ$300,MATCH(data!AW$1,Haver_M!$B$1:$BZ$1,0),FALSE)),VLOOKUP($A166,Haver_M!$B$1:$BZ$300,MATCH(data!AW$1,Haver_M!$B$1:$BZ$1,0),FALSE),"")</f>
        <v>50.383299999999998</v>
      </c>
      <c r="AX166">
        <f>IF(ISNUMBER(VLOOKUP($A166,Haver_M!$B$1:$BZ$300,MATCH(data!AX$1,Haver_M!$B$1:$BZ$1,0),FALSE)),VLOOKUP($A166,Haver_M!$B$1:$BZ$300,MATCH(data!AX$1,Haver_M!$B$1:$BZ$1,0),FALSE),"")</f>
        <v>48.8889</v>
      </c>
      <c r="AY166">
        <f>IF(ISNUMBER(VLOOKUP($A166,Haver_M!$B$1:$BZ$300,MATCH(data!AY$1,Haver_M!$B$1:$BZ$1,0),FALSE)),VLOOKUP($A166,Haver_M!$B$1:$BZ$300,MATCH(data!AY$1,Haver_M!$B$1:$BZ$1,0),FALSE),"")</f>
        <v>63.514800000000001</v>
      </c>
      <c r="AZ166">
        <f>IF(ISNUMBER(VLOOKUP($A166,Haver_M!$B$1:$BZ$300,MATCH(data!AZ$1,Haver_M!$B$1:$BZ$1,0),FALSE)),VLOOKUP($A166,Haver_M!$B$1:$BZ$300,MATCH(data!AZ$1,Haver_M!$B$1:$BZ$1,0),FALSE),"")</f>
        <v>49.113399999999999</v>
      </c>
      <c r="BA166">
        <f>IF(ISNUMBER(VLOOKUP($A166,Haver_M!$B$1:$BZ$300,MATCH(data!BA$1,Haver_M!$B$1:$BZ$1,0),FALSE)),VLOOKUP($A166,Haver_M!$B$1:$BZ$300,MATCH(data!BA$1,Haver_M!$B$1:$BZ$1,0),FALSE),"")</f>
        <v>48.8889</v>
      </c>
      <c r="BB166">
        <f>IF(ISNUMBER(VLOOKUP($A166,Haver_M!$B$1:$BZ$300,MATCH(data!BB$1,Haver_M!$B$1:$BZ$1,0),FALSE)),VLOOKUP($A166,Haver_M!$B$1:$BZ$300,MATCH(data!BB$1,Haver_M!$B$1:$BZ$1,0),FALSE),"")</f>
        <v>46.206499999999998</v>
      </c>
      <c r="BC166">
        <f>IF(ISNUMBER(VLOOKUP($A166,Haver_M!$B$1:$BZ$300,MATCH(data!BC$1,Haver_M!$B$1:$BZ$1,0),FALSE)),VLOOKUP($A166,Haver_M!$B$1:$BZ$300,MATCH(data!BC$1,Haver_M!$B$1:$BZ$1,0),FALSE),"")</f>
        <v>51.120800000000003</v>
      </c>
      <c r="BD166">
        <f>IF(ISNUMBER(VLOOKUP($A166,Haver_M!$B$1:$BZ$300,MATCH(data!BD$1,Haver_M!$B$1:$BZ$1,0),FALSE)),VLOOKUP($A166,Haver_M!$B$1:$BZ$300,MATCH(data!BD$1,Haver_M!$B$1:$BZ$1,0),FALSE),"")</f>
        <v>50.7087</v>
      </c>
      <c r="BE166">
        <f>IF(ISNUMBER(VLOOKUP($A166,Haver_M!$B$1:$BZ$300,MATCH(data!BE$1,Haver_M!$B$1:$BZ$1,0),FALSE)),VLOOKUP($A166,Haver_M!$B$1:$BZ$300,MATCH(data!BE$1,Haver_M!$B$1:$BZ$1,0),FALSE),"")</f>
        <v>0.98199999999999998</v>
      </c>
      <c r="BF166">
        <f>IF(ISNUMBER(VLOOKUP($A166,Haver_M!$B$1:$BZ$300,MATCH(data!BF$1,Haver_M!$B$1:$BZ$1,0),FALSE)),VLOOKUP($A166,Haver_M!$B$1:$BZ$300,MATCH(data!BF$1,Haver_M!$B$1:$BZ$1,0),FALSE),"")</f>
        <v>49.7303</v>
      </c>
      <c r="BG166">
        <f>IF(ISNUMBER(VLOOKUP($A166,Haver_M!$B$1:$BZ$300,MATCH(data!BG$1,Haver_M!$B$1:$BZ$1,0),FALSE)),VLOOKUP($A166,Haver_M!$B$1:$BZ$300,MATCH(data!BG$1,Haver_M!$B$1:$BZ$1,0),FALSE),"")</f>
        <v>50.987499999999997</v>
      </c>
      <c r="BH166">
        <f>IF(ISNUMBER(VLOOKUP($A166,Haver_M!$B$1:$BZ$300,MATCH(data!BH$1,Haver_M!$B$1:$BZ$1,0),FALSE)),VLOOKUP($A166,Haver_M!$B$1:$BZ$300,MATCH(data!BH$1,Haver_M!$B$1:$BZ$1,0),FALSE),"")</f>
        <v>44.9527</v>
      </c>
      <c r="BI166">
        <f>IF(ISNUMBER(VLOOKUP($A166,Haver_M!$B$1:$BZ$300,MATCH(data!BI$1,Haver_M!$B$1:$BZ$1,0),FALSE)),VLOOKUP($A166,Haver_M!$B$1:$BZ$300,MATCH(data!BI$1,Haver_M!$B$1:$BZ$1,0),FALSE),"")</f>
        <v>55.0242</v>
      </c>
      <c r="BJ166" t="str">
        <f>IF(ISNUMBER(VLOOKUP($A166,Haver_M!$B$1:$BZ$300,MATCH(data!BJ$1,Haver_M!$B$1:$BZ$1,0),FALSE)),VLOOKUP($A166,Haver_M!$B$1:$BZ$300,MATCH(data!BJ$1,Haver_M!$B$1:$BZ$1,0),FALSE),"")</f>
        <v/>
      </c>
      <c r="BK166">
        <f>IF(ISNUMBER(VLOOKUP($A166,Haver_M!$B$1:$BZ$300,MATCH(data!BK$1,Haver_M!$B$1:$BZ$1,0),FALSE)),VLOOKUP($A166,Haver_M!$B$1:$BZ$300,MATCH(data!BK$1,Haver_M!$B$1:$BZ$1,0),FALSE),"")</f>
        <v>47.800199999999997</v>
      </c>
      <c r="BL166">
        <f>IF(ISNUMBER(VLOOKUP($A166,Haver_M!$B$1:$BZ$300,MATCH(data!BL$1,Haver_M!$B$1:$BZ$1,0),FALSE)),VLOOKUP($A166,Haver_M!$B$1:$BZ$300,MATCH(data!BL$1,Haver_M!$B$1:$BZ$1,0),FALSE),"")</f>
        <v>19627.23</v>
      </c>
      <c r="BM166">
        <f>IF(ISNUMBER(VLOOKUP($A166,Haver_M!$B$1:$BZ$300,MATCH(data!BM$1,Haver_M!$B$1:$BZ$1,0),FALSE)),VLOOKUP($A166,Haver_M!$B$1:$BZ$300,MATCH(data!BM$1,Haver_M!$B$1:$BZ$1,0),FALSE),"")</f>
        <v>99.484244200000006</v>
      </c>
      <c r="BN166">
        <f>IF(ISNUMBER(VLOOKUP($A166,Haver_M!$B$1:$BZ$300,MATCH(data!BN$1,Haver_M!$B$1:$BZ$1,0),FALSE)),VLOOKUP($A166,Haver_M!$B$1:$BZ$300,MATCH(data!BN$1,Haver_M!$B$1:$BZ$1,0),FALSE),"")</f>
        <v>97.3</v>
      </c>
      <c r="BO166">
        <f>IF(ISNUMBER(VLOOKUP($A166,Haver_M!$B$1:$BZ$300,MATCH(data!BO$1,Haver_M!$B$1:$BZ$1,0),FALSE)),VLOOKUP($A166,Haver_M!$B$1:$BZ$300,MATCH(data!BO$1,Haver_M!$B$1:$BZ$1,0),FALSE),"")</f>
        <v>112.7</v>
      </c>
      <c r="BP166">
        <f>IF(ISNUMBER(VLOOKUP($A166,Haver_M!$B$1:$BZ$300,MATCH(data!BP$1,Haver_M!$B$1:$BZ$1,0),FALSE)),VLOOKUP($A166,Haver_M!$B$1:$BZ$300,MATCH(data!BP$1,Haver_M!$B$1:$BZ$1,0),FALSE),"")</f>
        <v>30</v>
      </c>
      <c r="BQ166">
        <f>IF(ISNUMBER(VLOOKUP($A166,Haver_M!$B$1:$BZ$300,MATCH(data!BQ$1,Haver_M!$B$1:$BZ$1,0),FALSE)),VLOOKUP($A166,Haver_M!$B$1:$BZ$300,MATCH(data!BQ$1,Haver_M!$B$1:$BZ$1,0),FALSE),"")</f>
        <v>146.90449412646799</v>
      </c>
      <c r="BR166">
        <f>IF(ISNUMBER(VLOOKUP($A166,Haver_M!$B$1:$BZ$300,MATCH(data!BR$1,Haver_M!$B$1:$BZ$1,0),FALSE)),VLOOKUP($A166,Haver_M!$B$1:$BZ$300,MATCH(data!BR$1,Haver_M!$B$1:$BZ$1,0),FALSE),"")</f>
        <v>371.23530048421935</v>
      </c>
      <c r="BS166">
        <f>IF(ISNUMBER(VLOOKUP($A166,Haver_M!$B$1:$BZ$300,MATCH(data!BS$1,Haver_M!$B$1:$BZ$1,0),FALSE)),VLOOKUP($A166,Haver_M!$B$1:$BZ$300,MATCH(data!BS$1,Haver_M!$B$1:$BZ$1,0),FALSE),"")</f>
        <v>197.67803727249768</v>
      </c>
      <c r="BT166">
        <f>IF(ISNUMBER(VLOOKUP($A166,Haver_M!$B$1:$BZ$300,MATCH(data!BT$1,Haver_M!$B$1:$BZ$1,0),FALSE)),VLOOKUP($A166,Haver_M!$B$1:$BZ$300,MATCH(data!BT$1,Haver_M!$B$1:$BZ$1,0),FALSE),"")</f>
        <v>810.97877560111749</v>
      </c>
      <c r="BU166">
        <f>IF(ISNUMBER(VLOOKUP($A166,Haver_M!$B$1:$BZ$300,MATCH(data!BU$1,Haver_M!$B$1:$BZ$1,0),FALSE)),VLOOKUP($A166,Haver_M!$B$1:$BZ$300,MATCH(data!BU$1,Haver_M!$B$1:$BZ$1,0),FALSE),"")</f>
        <v>28135.9</v>
      </c>
      <c r="BV166">
        <f>IF(ISNUMBER(VLOOKUP($A166,Haver_M!$B$1:$BZ$300,MATCH(data!BV$1,Haver_M!$B$1:$BZ$1,0),FALSE)),VLOOKUP($A166,Haver_M!$B$1:$BZ$300,MATCH(data!BV$1,Haver_M!$B$1:$BZ$1,0),FALSE),"")</f>
        <v>34258.239999999998</v>
      </c>
      <c r="BW166">
        <f>IF(ISNUMBER(VLOOKUP($A166,Haver_M!$B$1:$BZ$300,MATCH(data!BW$1,Haver_M!$B$1:$BZ$1,0),FALSE)),VLOOKUP($A166,Haver_M!$B$1:$BZ$300,MATCH(data!BW$1,Haver_M!$B$1:$BZ$1,0),FALSE),"")</f>
        <v>63.752099999999999</v>
      </c>
      <c r="BX166">
        <f>IF(ISNUMBER(VLOOKUP($A166,Haver_M!$B$1:$BZ$300,MATCH(data!BX$1,Haver_M!$B$1:$BZ$1,0),FALSE)),VLOOKUP($A166,Haver_M!$B$1:$BZ$300,MATCH(data!BX$1,Haver_M!$B$1:$BZ$1,0),FALSE),"")</f>
        <v>61285</v>
      </c>
    </row>
    <row r="167" spans="1:76" x14ac:dyDescent="0.25">
      <c r="A167" s="2">
        <v>41578</v>
      </c>
      <c r="B167" t="str">
        <f>IF(ISNUMBER(VLOOKUP($A167,Haver_Q!$B$1:$L$185,MATCH(data!B$1,Haver_Q!$B$1:$L$1,0),FALSE)),100*(VLOOKUP($A167,Haver_Q!$B$1:$L$185,MATCH(data!B$1,Haver_Q!$B$1:$L$1,0),FALSE)),"")</f>
        <v/>
      </c>
      <c r="C167" t="str">
        <f>IF(ISNUMBER(VLOOKUP($A167,Haver_Q!$B$1:$L$185,MATCH(data!C$1,Haver_Q!$B$1:$L$1,0),FALSE)),100*(VLOOKUP($A167,Haver_Q!$B$1:$L$185,MATCH(data!C$1,Haver_Q!$B$1:$L$1,0),FALSE)),"")</f>
        <v/>
      </c>
      <c r="D167" t="str">
        <f>IF(ISNUMBER(VLOOKUP($A167,Haver_Q!$B$1:$L$185,MATCH(data!D$1,Haver_Q!$B$1:$L$1,0),FALSE)),100*(VLOOKUP($A167,Haver_Q!$B$1:$L$185,MATCH(data!D$1,Haver_Q!$B$1:$L$1,0),FALSE)),"")</f>
        <v/>
      </c>
      <c r="E167" t="str">
        <f>IF(ISNUMBER(VLOOKUP($A167,Haver_Q!$B$1:$L$185,MATCH(data!E$1,Haver_Q!$B$1:$L$1,0),FALSE)),100*(VLOOKUP($A167,Haver_Q!$B$1:$L$185,MATCH(data!E$1,Haver_Q!$B$1:$L$1,0),FALSE)),"")</f>
        <v/>
      </c>
      <c r="F167" t="str">
        <f>IF(ISNUMBER(VLOOKUP($A167,Haver_Q!$B$1:$L$185,MATCH(data!F$1,Haver_Q!$B$1:$L$1,0),FALSE)),100*(VLOOKUP($A167,Haver_Q!$B$1:$L$185,MATCH(data!F$1,Haver_Q!$B$1:$L$1,0),FALSE)),"")</f>
        <v/>
      </c>
      <c r="G167" t="str">
        <f>IF(ISNUMBER(VLOOKUP($A167,Haver_Q!$B$1:$L$185,MATCH(data!G$1,Haver_Q!$B$1:$L$1,0),FALSE)),100*(VLOOKUP($A167,Haver_Q!$B$1:$L$185,MATCH(data!G$1,Haver_Q!$B$1:$L$1,0),FALSE)),"")</f>
        <v/>
      </c>
      <c r="H167" t="str">
        <f>IF(ISNUMBER(VLOOKUP($A167,Haver_Q!$B$1:$L$185,MATCH(data!H$1,Haver_Q!$B$1:$L$1,0),FALSE)),(VLOOKUP($A167,Haver_Q!$B$1:$L$185,MATCH(data!H$1,Haver_Q!$B$1:$L$1,0),FALSE)),"")</f>
        <v/>
      </c>
      <c r="I167" t="str">
        <f>IF(ISNUMBER(VLOOKUP($A167,Haver_Q!$B$1:$L$185,MATCH(data!I$1,Haver_Q!$B$1:$L$1,0),FALSE)),100*(VLOOKUP($A167,Haver_Q!$B$1:$L$185,MATCH(data!I$1,Haver_Q!$B$1:$L$1,0),FALSE)),"")</f>
        <v/>
      </c>
      <c r="J167" s="3">
        <f>IF(ISNUMBER(Bloomberg_m!C183),Bloomberg_m!C183,"")</f>
        <v>1883</v>
      </c>
      <c r="K167" s="3">
        <f>IF(ISNUMBER(Bloomberg_m!D183),Bloomberg_m!D183,"")</f>
        <v>1534.77</v>
      </c>
      <c r="L167" s="3">
        <f>IF(ISNUMBER(Bloomberg_m!E183),Bloomberg_m!E183,"")</f>
        <v>889.54</v>
      </c>
      <c r="M167" s="3">
        <f>IF(ISNUMBER(Bloomberg_m!F183),Bloomberg_m!F183,"")</f>
        <v>542.26</v>
      </c>
      <c r="N167">
        <f>IF(ISNUMBER(VLOOKUP($A167,Haver_M!$B$1:$BZ$300,MATCH(data!N$1,Haver_M!$B$1:$BZ$1,0),FALSE)),VLOOKUP($A167,Haver_M!$B$1:$BZ$300,MATCH(data!N$1,Haver_M!$B$1:$BZ$1,0),FALSE),"")</f>
        <v>7.75</v>
      </c>
      <c r="O167">
        <f>IF(ISNUMBER(VLOOKUP($A167,Haver_M!$B$1:$BZ$300,MATCH(data!O$1,Haver_M!$B$1:$BZ$1,0),FALSE)),VLOOKUP($A167,Haver_M!$B$1:$BZ$300,MATCH(data!O$1,Haver_M!$B$1:$BZ$1,0),FALSE),"")</f>
        <v>8.7086000000000006</v>
      </c>
      <c r="P167">
        <f>IF(ISNUMBER(VLOOKUP($A167,Haver_M!$B$1:$BZ$300,MATCH(data!P$1,Haver_M!$B$1:$BZ$1,0),FALSE)),VLOOKUP($A167,Haver_M!$B$1:$BZ$300,MATCH(data!P$1,Haver_M!$B$1:$BZ$1,0),FALSE),"")</f>
        <v>86.453310000000002</v>
      </c>
      <c r="Q167">
        <f>IF(ISNUMBER(VLOOKUP($A167,Haver_M!$B$1:$BZ$300,MATCH(data!Q$1,Haver_M!$B$1:$BZ$1,0),FALSE)),VLOOKUP($A167,Haver_M!$B$1:$BZ$300,MATCH(data!Q$1,Haver_M!$B$1:$BZ$1,0),FALSE),"")</f>
        <v>114.8</v>
      </c>
      <c r="R167">
        <f>IF(ISNUMBER(VLOOKUP($A167,Haver_M!$B$1:$BZ$300,MATCH(data!R$1,Haver_M!$B$1:$BZ$1,0),FALSE)),VLOOKUP($A167,Haver_M!$B$1:$BZ$300,MATCH(data!R$1,Haver_M!$B$1:$BZ$1,0),FALSE),"")</f>
        <v>110.1</v>
      </c>
      <c r="S167">
        <f>IF(ISNUMBER(VLOOKUP($A167,Haver_M!$B$1:$BZ$300,MATCH(data!S$1,Haver_M!$B$1:$BZ$1,0),FALSE)),VLOOKUP($A167,Haver_M!$B$1:$BZ$300,MATCH(data!S$1,Haver_M!$B$1:$BZ$1,0),FALSE),"")</f>
        <v>106.48</v>
      </c>
      <c r="T167">
        <f>IF(ISNUMBER(VLOOKUP($A167,Haver_M!$B$1:$BZ$300,MATCH(data!T$1,Haver_M!$B$1:$BZ$1,0),FALSE)),VLOOKUP($A167,Haver_M!$B$1:$BZ$300,MATCH(data!T$1,Haver_M!$B$1:$BZ$1,0),FALSE),"")</f>
        <v>100.42</v>
      </c>
      <c r="U167">
        <f>IF(ISNUMBER(VLOOKUP($A167,Haver_M!$B$1:$BZ$300,MATCH(data!U$1,Haver_M!$B$1:$BZ$1,0),FALSE)),VLOOKUP($A167,Haver_M!$B$1:$BZ$300,MATCH(data!U$1,Haver_M!$B$1:$BZ$1,0),FALSE),"")</f>
        <v>96.5</v>
      </c>
      <c r="V167">
        <f>IF(ISNUMBER(VLOOKUP($A167,Haver_M!$B$1:$BZ$300,MATCH(data!V$1,Haver_M!$B$1:$BZ$1,0),FALSE)),VLOOKUP($A167,Haver_M!$B$1:$BZ$300,MATCH(data!V$1,Haver_M!$B$1:$BZ$1,0),FALSE),"")</f>
        <v>110.95</v>
      </c>
      <c r="W167">
        <f>IF(ISNUMBER(VLOOKUP($A167,Haver_M!$B$1:$BZ$300,MATCH(data!W$1,Haver_M!$B$1:$BZ$1,0),FALSE)),VLOOKUP($A167,Haver_M!$B$1:$BZ$300,MATCH(data!W$1,Haver_M!$B$1:$BZ$1,0),FALSE),"")</f>
        <v>109.11</v>
      </c>
      <c r="X167">
        <f>IF(ISNUMBER(VLOOKUP($A167,Haver_M!$B$1:$BZ$300,MATCH(data!X$1,Haver_M!$B$1:$BZ$1,0),FALSE)),VLOOKUP($A167,Haver_M!$B$1:$BZ$300,MATCH(data!X$1,Haver_M!$B$1:$BZ$1,0),FALSE),"")</f>
        <v>119.78</v>
      </c>
      <c r="Y167">
        <f>IF(ISNUMBER(VLOOKUP($A167,Haver_M!$B$1:$BZ$300,MATCH(data!Y$1,Haver_M!$B$1:$BZ$1,0),FALSE)),VLOOKUP($A167,Haver_M!$B$1:$BZ$300,MATCH(data!Y$1,Haver_M!$B$1:$BZ$1,0),FALSE),"")</f>
        <v>112.9</v>
      </c>
      <c r="Z167">
        <f>IF(ISNUMBER(VLOOKUP($A167,Haver_M!$B$1:$BZ$300,MATCH(data!Z$1,Haver_M!$B$1:$BZ$1,0),FALSE)),VLOOKUP($A167,Haver_M!$B$1:$BZ$300,MATCH(data!Z$1,Haver_M!$B$1:$BZ$1,0),FALSE),"")</f>
        <v>103.1</v>
      </c>
      <c r="AA167">
        <f>IF(ISNUMBER(VLOOKUP($A167,Haver_M!$B$1:$BZ$300,MATCH(data!AA$1,Haver_M!$B$1:$BZ$1,0),FALSE)),VLOOKUP($A167,Haver_M!$B$1:$BZ$300,MATCH(data!AA$1,Haver_M!$B$1:$BZ$1,0),FALSE),"")</f>
        <v>99.32</v>
      </c>
      <c r="AB167">
        <f>IF(ISNUMBER(VLOOKUP($A167,Haver_M!$B$1:$BZ$300,MATCH(data!AB$1,Haver_M!$B$1:$BZ$1,0),FALSE)),VLOOKUP($A167,Haver_M!$B$1:$BZ$300,MATCH(data!AB$1,Haver_M!$B$1:$BZ$1,0),FALSE),"")</f>
        <v>98.399000000000001</v>
      </c>
      <c r="AC167">
        <f>IF(ISNUMBER(VLOOKUP($A167,Haver_M!$B$1:$BZ$300,MATCH(data!AC$1,Haver_M!$B$1:$BZ$1,0),FALSE)),VLOOKUP($A167,Haver_M!$B$1:$BZ$300,MATCH(data!AC$1,Haver_M!$B$1:$BZ$1,0),FALSE),"")</f>
        <v>73.197999999999993</v>
      </c>
      <c r="AD167">
        <f>IF(ISNUMBER(VLOOKUP($A167,Haver_M!$B$1:$BZ$300,MATCH(data!AD$1,Haver_M!$B$1:$BZ$1,0),FALSE)),VLOOKUP($A167,Haver_M!$B$1:$BZ$300,MATCH(data!AD$1,Haver_M!$B$1:$BZ$1,0),FALSE),"")</f>
        <v>106.205</v>
      </c>
      <c r="AE167">
        <f>IF(ISNUMBER(VLOOKUP($A167,Haver_M!$B$1:$BZ$300,MATCH(data!AE$1,Haver_M!$B$1:$BZ$1,0),FALSE)),VLOOKUP($A167,Haver_M!$B$1:$BZ$300,MATCH(data!AE$1,Haver_M!$B$1:$BZ$1,0),FALSE),"")</f>
        <v>103.616</v>
      </c>
      <c r="AF167">
        <f>IF(ISNUMBER(VLOOKUP($A167,Haver_M!$B$1:$BZ$300,MATCH(data!AF$1,Haver_M!$B$1:$BZ$1,0),FALSE)),VLOOKUP($A167,Haver_M!$B$1:$BZ$300,MATCH(data!AF$1,Haver_M!$B$1:$BZ$1,0),FALSE),"")</f>
        <v>108.358</v>
      </c>
      <c r="AG167">
        <f>IF(ISNUMBER(VLOOKUP($A167,Haver_M!$B$1:$BZ$300,MATCH(data!AG$1,Haver_M!$B$1:$BZ$1,0),FALSE)),VLOOKUP($A167,Haver_M!$B$1:$BZ$300,MATCH(data!AG$1,Haver_M!$B$1:$BZ$1,0),FALSE),"")</f>
        <v>110.821</v>
      </c>
      <c r="AH167">
        <f>IF(ISNUMBER(VLOOKUP($A167,Haver_M!$B$1:$BZ$300,MATCH(data!AH$1,Haver_M!$B$1:$BZ$1,0),FALSE)),VLOOKUP($A167,Haver_M!$B$1:$BZ$300,MATCH(data!AH$1,Haver_M!$B$1:$BZ$1,0),FALSE),"")</f>
        <v>105.776</v>
      </c>
      <c r="AI167">
        <f>IF(ISNUMBER(VLOOKUP($A167,Haver_M!$B$1:$BZ$300,MATCH(data!AI$1,Haver_M!$B$1:$BZ$1,0),FALSE)),VLOOKUP($A167,Haver_M!$B$1:$BZ$300,MATCH(data!AI$1,Haver_M!$B$1:$BZ$1,0),FALSE),"")</f>
        <v>13297.13300487937</v>
      </c>
      <c r="AJ167">
        <f>IF(ISNUMBER(VLOOKUP($A167,Haver_M!$B$1:$BZ$300,MATCH(data!AJ$1,Haver_M!$B$1:$BZ$1,0),FALSE)),VLOOKUP($A167,Haver_M!$B$1:$BZ$300,MATCH(data!AJ$1,Haver_M!$B$1:$BZ$1,0),FALSE),"")</f>
        <v>28009.919999999998</v>
      </c>
      <c r="AK167">
        <f>IF(ISNUMBER(VLOOKUP($A167,Haver_M!$B$1:$BZ$300,MATCH(data!AK$1,Haver_M!$B$1:$BZ$1,0),FALSE)),VLOOKUP($A167,Haver_M!$B$1:$BZ$300,MATCH(data!AK$1,Haver_M!$B$1:$BZ$1,0),FALSE),"")</f>
        <v>36441.040000000001</v>
      </c>
      <c r="AL167">
        <f>IF(ISNUMBER(VLOOKUP($A167,Haver_M!$B$1:$BZ$300,MATCH(data!AL$1,Haver_M!$B$1:$BZ$1,0),FALSE)),VLOOKUP($A167,Haver_M!$B$1:$BZ$300,MATCH(data!AL$1,Haver_M!$B$1:$BZ$1,0),FALSE),"")</f>
        <v>12563</v>
      </c>
      <c r="AM167">
        <f>IF(ISNUMBER(VLOOKUP($A167,Haver_M!$B$1:$BZ$300,MATCH(data!AM$1,Haver_M!$B$1:$BZ$1,0),FALSE)),VLOOKUP($A167,Haver_M!$B$1:$BZ$300,MATCH(data!AM$1,Haver_M!$B$1:$BZ$1,0),FALSE),"")</f>
        <v>6964</v>
      </c>
      <c r="AN167" t="str">
        <f>IF(ISNUMBER(VLOOKUP($A167,Haver_M!$B$1:$BZ$300,MATCH(data!AN$1,Haver_M!$B$1:$BZ$1,0),FALSE)),VLOOKUP($A167,Haver_M!$B$1:$BZ$300,MATCH(data!AN$1,Haver_M!$B$1:$BZ$1,0),FALSE),"")</f>
        <v/>
      </c>
      <c r="AO167" t="str">
        <f>IF(ISNUMBER(VLOOKUP($A167,Haver_M!$B$1:$BZ$300,MATCH(data!AO$1,Haver_M!$B$1:$BZ$1,0),FALSE)),VLOOKUP($A167,Haver_M!$B$1:$BZ$300,MATCH(data!AO$1,Haver_M!$B$1:$BZ$1,0),FALSE),"")</f>
        <v/>
      </c>
      <c r="AP167">
        <f>IF(ISNUMBER(VLOOKUP($A167,Haver_M!$B$1:$BZ$300,MATCH(data!AP$1,Haver_M!$B$1:$BZ$1,0),FALSE)),VLOOKUP($A167,Haver_M!$B$1:$BZ$300,MATCH(data!AP$1,Haver_M!$B$1:$BZ$1,0),FALSE),"")</f>
        <v>117.07606470881366</v>
      </c>
      <c r="AQ167">
        <f>IF(ISNUMBER(VLOOKUP($A167,Haver_M!$B$1:$BZ$300,MATCH(data!AQ$1,Haver_M!$B$1:$BZ$1,0),FALSE)),VLOOKUP($A167,Haver_M!$B$1:$BZ$300,MATCH(data!AQ$1,Haver_M!$B$1:$BZ$1,0),FALSE),"")</f>
        <v>47.527799999999999</v>
      </c>
      <c r="AR167">
        <f>IF(ISNUMBER(VLOOKUP($A167,Haver_M!$B$1:$BZ$300,MATCH(data!AR$1,Haver_M!$B$1:$BZ$1,0),FALSE)),VLOOKUP($A167,Haver_M!$B$1:$BZ$300,MATCH(data!AR$1,Haver_M!$B$1:$BZ$1,0),FALSE),"")</f>
        <v>49.610100000000003</v>
      </c>
      <c r="AS167">
        <f>IF(ISNUMBER(VLOOKUP($A167,Haver_M!$B$1:$BZ$300,MATCH(data!AS$1,Haver_M!$B$1:$BZ$1,0),FALSE)),VLOOKUP($A167,Haver_M!$B$1:$BZ$300,MATCH(data!AS$1,Haver_M!$B$1:$BZ$1,0),FALSE),"")</f>
        <v>47.057200000000002</v>
      </c>
      <c r="AT167">
        <f>IF(ISNUMBER(VLOOKUP($A167,Haver_M!$B$1:$BZ$300,MATCH(data!AT$1,Haver_M!$B$1:$BZ$1,0),FALSE)),VLOOKUP($A167,Haver_M!$B$1:$BZ$300,MATCH(data!AT$1,Haver_M!$B$1:$BZ$1,0),FALSE),"")</f>
        <v>48.615499999999997</v>
      </c>
      <c r="AU167">
        <f>IF(ISNUMBER(VLOOKUP($A167,Haver_M!$B$1:$BZ$300,MATCH(data!AU$1,Haver_M!$B$1:$BZ$1,0),FALSE)),VLOOKUP($A167,Haver_M!$B$1:$BZ$300,MATCH(data!AU$1,Haver_M!$B$1:$BZ$1,0),FALSE),"")</f>
        <v>48.894399999999997</v>
      </c>
      <c r="AV167">
        <f>IF(ISNUMBER(VLOOKUP($A167,Haver_M!$B$1:$BZ$300,MATCH(data!AV$1,Haver_M!$B$1:$BZ$1,0),FALSE)),VLOOKUP($A167,Haver_M!$B$1:$BZ$300,MATCH(data!AV$1,Haver_M!$B$1:$BZ$1,0),FALSE),"")</f>
        <v>50.556399999999996</v>
      </c>
      <c r="AW167">
        <f>IF(ISNUMBER(VLOOKUP($A167,Haver_M!$B$1:$BZ$300,MATCH(data!AW$1,Haver_M!$B$1:$BZ$1,0),FALSE)),VLOOKUP($A167,Haver_M!$B$1:$BZ$300,MATCH(data!AW$1,Haver_M!$B$1:$BZ$1,0),FALSE),"")</f>
        <v>49.130299999999998</v>
      </c>
      <c r="AX167">
        <f>IF(ISNUMBER(VLOOKUP($A167,Haver_M!$B$1:$BZ$300,MATCH(data!AX$1,Haver_M!$B$1:$BZ$1,0),FALSE)),VLOOKUP($A167,Haver_M!$B$1:$BZ$300,MATCH(data!AX$1,Haver_M!$B$1:$BZ$1,0),FALSE),"")</f>
        <v>50.461300000000001</v>
      </c>
      <c r="AY167">
        <f>IF(ISNUMBER(VLOOKUP($A167,Haver_M!$B$1:$BZ$300,MATCH(data!AY$1,Haver_M!$B$1:$BZ$1,0),FALSE)),VLOOKUP($A167,Haver_M!$B$1:$BZ$300,MATCH(data!AY$1,Haver_M!$B$1:$BZ$1,0),FALSE),"")</f>
        <v>64.518799999999999</v>
      </c>
      <c r="AZ167">
        <f>IF(ISNUMBER(VLOOKUP($A167,Haver_M!$B$1:$BZ$300,MATCH(data!AZ$1,Haver_M!$B$1:$BZ$1,0),FALSE)),VLOOKUP($A167,Haver_M!$B$1:$BZ$300,MATCH(data!AZ$1,Haver_M!$B$1:$BZ$1,0),FALSE),"")</f>
        <v>48.7378</v>
      </c>
      <c r="BA167">
        <f>IF(ISNUMBER(VLOOKUP($A167,Haver_M!$B$1:$BZ$300,MATCH(data!BA$1,Haver_M!$B$1:$BZ$1,0),FALSE)),VLOOKUP($A167,Haver_M!$B$1:$BZ$300,MATCH(data!BA$1,Haver_M!$B$1:$BZ$1,0),FALSE),"")</f>
        <v>50.461300000000001</v>
      </c>
      <c r="BB167">
        <f>IF(ISNUMBER(VLOOKUP($A167,Haver_M!$B$1:$BZ$300,MATCH(data!BB$1,Haver_M!$B$1:$BZ$1,0),FALSE)),VLOOKUP($A167,Haver_M!$B$1:$BZ$300,MATCH(data!BB$1,Haver_M!$B$1:$BZ$1,0),FALSE),"")</f>
        <v>52.256500000000003</v>
      </c>
      <c r="BC167">
        <f>IF(ISNUMBER(VLOOKUP($A167,Haver_M!$B$1:$BZ$300,MATCH(data!BC$1,Haver_M!$B$1:$BZ$1,0),FALSE)),VLOOKUP($A167,Haver_M!$B$1:$BZ$300,MATCH(data!BC$1,Haver_M!$B$1:$BZ$1,0),FALSE),"")</f>
        <v>55.253</v>
      </c>
      <c r="BD167">
        <f>IF(ISNUMBER(VLOOKUP($A167,Haver_M!$B$1:$BZ$300,MATCH(data!BD$1,Haver_M!$B$1:$BZ$1,0),FALSE)),VLOOKUP($A167,Haver_M!$B$1:$BZ$300,MATCH(data!BD$1,Haver_M!$B$1:$BZ$1,0),FALSE),"")</f>
        <v>52.596200000000003</v>
      </c>
      <c r="BE167">
        <f>IF(ISNUMBER(VLOOKUP($A167,Haver_M!$B$1:$BZ$300,MATCH(data!BE$1,Haver_M!$B$1:$BZ$1,0),FALSE)),VLOOKUP($A167,Haver_M!$B$1:$BZ$300,MATCH(data!BE$1,Haver_M!$B$1:$BZ$1,0),FALSE),"")</f>
        <v>0.94089999999999996</v>
      </c>
      <c r="BF167">
        <f>IF(ISNUMBER(VLOOKUP($A167,Haver_M!$B$1:$BZ$300,MATCH(data!BF$1,Haver_M!$B$1:$BZ$1,0),FALSE)),VLOOKUP($A167,Haver_M!$B$1:$BZ$300,MATCH(data!BF$1,Haver_M!$B$1:$BZ$1,0),FALSE),"")</f>
        <v>50.095300000000002</v>
      </c>
      <c r="BG167">
        <f>IF(ISNUMBER(VLOOKUP($A167,Haver_M!$B$1:$BZ$300,MATCH(data!BG$1,Haver_M!$B$1:$BZ$1,0),FALSE)),VLOOKUP($A167,Haver_M!$B$1:$BZ$300,MATCH(data!BG$1,Haver_M!$B$1:$BZ$1,0),FALSE),"")</f>
        <v>51.031300000000002</v>
      </c>
      <c r="BH167">
        <f>IF(ISNUMBER(VLOOKUP($A167,Haver_M!$B$1:$BZ$300,MATCH(data!BH$1,Haver_M!$B$1:$BZ$1,0),FALSE)),VLOOKUP($A167,Haver_M!$B$1:$BZ$300,MATCH(data!BH$1,Haver_M!$B$1:$BZ$1,0),FALSE),"")</f>
        <v>48.024099999999997</v>
      </c>
      <c r="BI167">
        <f>IF(ISNUMBER(VLOOKUP($A167,Haver_M!$B$1:$BZ$300,MATCH(data!BI$1,Haver_M!$B$1:$BZ$1,0),FALSE)),VLOOKUP($A167,Haver_M!$B$1:$BZ$300,MATCH(data!BI$1,Haver_M!$B$1:$BZ$1,0),FALSE),"")</f>
        <v>55.0411</v>
      </c>
      <c r="BJ167" t="str">
        <f>IF(ISNUMBER(VLOOKUP($A167,Haver_M!$B$1:$BZ$300,MATCH(data!BJ$1,Haver_M!$B$1:$BZ$1,0),FALSE)),VLOOKUP($A167,Haver_M!$B$1:$BZ$300,MATCH(data!BJ$1,Haver_M!$B$1:$BZ$1,0),FALSE),"")</f>
        <v/>
      </c>
      <c r="BK167">
        <f>IF(ISNUMBER(VLOOKUP($A167,Haver_M!$B$1:$BZ$300,MATCH(data!BK$1,Haver_M!$B$1:$BZ$1,0),FALSE)),VLOOKUP($A167,Haver_M!$B$1:$BZ$300,MATCH(data!BK$1,Haver_M!$B$1:$BZ$1,0),FALSE),"")</f>
        <v>48.813699999999997</v>
      </c>
      <c r="BL167">
        <f>IF(ISNUMBER(VLOOKUP($A167,Haver_M!$B$1:$BZ$300,MATCH(data!BL$1,Haver_M!$B$1:$BZ$1,0),FALSE)),VLOOKUP($A167,Haver_M!$B$1:$BZ$300,MATCH(data!BL$1,Haver_M!$B$1:$BZ$1,0),FALSE),"")</f>
        <v>20492.939999999999</v>
      </c>
      <c r="BM167">
        <f>IF(ISNUMBER(VLOOKUP($A167,Haver_M!$B$1:$BZ$300,MATCH(data!BM$1,Haver_M!$B$1:$BZ$1,0),FALSE)),VLOOKUP($A167,Haver_M!$B$1:$BZ$300,MATCH(data!BM$1,Haver_M!$B$1:$BZ$1,0),FALSE),"")</f>
        <v>99.972104369999997</v>
      </c>
      <c r="BN167" t="str">
        <f>IF(ISNUMBER(VLOOKUP($A167,Haver_M!$B$1:$BZ$300,MATCH(data!BN$1,Haver_M!$B$1:$BZ$1,0),FALSE)),VLOOKUP($A167,Haver_M!$B$1:$BZ$300,MATCH(data!BN$1,Haver_M!$B$1:$BZ$1,0),FALSE),"")</f>
        <v/>
      </c>
      <c r="BO167" t="str">
        <f>IF(ISNUMBER(VLOOKUP($A167,Haver_M!$B$1:$BZ$300,MATCH(data!BO$1,Haver_M!$B$1:$BZ$1,0),FALSE)),VLOOKUP($A167,Haver_M!$B$1:$BZ$300,MATCH(data!BO$1,Haver_M!$B$1:$BZ$1,0),FALSE),"")</f>
        <v/>
      </c>
      <c r="BP167" t="str">
        <f>IF(ISNUMBER(VLOOKUP($A167,Haver_M!$B$1:$BZ$300,MATCH(data!BP$1,Haver_M!$B$1:$BZ$1,0),FALSE)),VLOOKUP($A167,Haver_M!$B$1:$BZ$300,MATCH(data!BP$1,Haver_M!$B$1:$BZ$1,0),FALSE),"")</f>
        <v/>
      </c>
      <c r="BQ167">
        <f>IF(ISNUMBER(VLOOKUP($A167,Haver_M!$B$1:$BZ$300,MATCH(data!BQ$1,Haver_M!$B$1:$BZ$1,0),FALSE)),VLOOKUP($A167,Haver_M!$B$1:$BZ$300,MATCH(data!BQ$1,Haver_M!$B$1:$BZ$1,0),FALSE),"")</f>
        <v>152.84684398106972</v>
      </c>
      <c r="BR167">
        <f>IF(ISNUMBER(VLOOKUP($A167,Haver_M!$B$1:$BZ$300,MATCH(data!BR$1,Haver_M!$B$1:$BZ$1,0),FALSE)),VLOOKUP($A167,Haver_M!$B$1:$BZ$300,MATCH(data!BR$1,Haver_M!$B$1:$BZ$1,0),FALSE),"")</f>
        <v>381.61017664357729</v>
      </c>
      <c r="BS167">
        <f>IF(ISNUMBER(VLOOKUP($A167,Haver_M!$B$1:$BZ$300,MATCH(data!BS$1,Haver_M!$B$1:$BZ$1,0),FALSE)),VLOOKUP($A167,Haver_M!$B$1:$BZ$300,MATCH(data!BS$1,Haver_M!$B$1:$BZ$1,0),FALSE),"")</f>
        <v>203.14011386726739</v>
      </c>
      <c r="BT167">
        <f>IF(ISNUMBER(VLOOKUP($A167,Haver_M!$B$1:$BZ$300,MATCH(data!BT$1,Haver_M!$B$1:$BZ$1,0),FALSE)),VLOOKUP($A167,Haver_M!$B$1:$BZ$300,MATCH(data!BT$1,Haver_M!$B$1:$BZ$1,0),FALSE),"")</f>
        <v>837.56191613812086</v>
      </c>
      <c r="BU167">
        <f>IF(ISNUMBER(VLOOKUP($A167,Haver_M!$B$1:$BZ$300,MATCH(data!BU$1,Haver_M!$B$1:$BZ$1,0),FALSE)),VLOOKUP($A167,Haver_M!$B$1:$BZ$300,MATCH(data!BU$1,Haver_M!$B$1:$BZ$1,0),FALSE),"")</f>
        <v>27480.13</v>
      </c>
      <c r="BV167">
        <f>IF(ISNUMBER(VLOOKUP($A167,Haver_M!$B$1:$BZ$300,MATCH(data!BV$1,Haver_M!$B$1:$BZ$1,0),FALSE)),VLOOKUP($A167,Haver_M!$B$1:$BZ$300,MATCH(data!BV$1,Haver_M!$B$1:$BZ$1,0),FALSE),"")</f>
        <v>38075.019999999997</v>
      </c>
      <c r="BW167">
        <f>IF(ISNUMBER(VLOOKUP($A167,Haver_M!$B$1:$BZ$300,MATCH(data!BW$1,Haver_M!$B$1:$BZ$1,0),FALSE)),VLOOKUP($A167,Haver_M!$B$1:$BZ$300,MATCH(data!BW$1,Haver_M!$B$1:$BZ$1,0),FALSE),"")</f>
        <v>61.615600000000001</v>
      </c>
      <c r="BX167">
        <f>IF(ISNUMBER(VLOOKUP($A167,Haver_M!$B$1:$BZ$300,MATCH(data!BX$1,Haver_M!$B$1:$BZ$1,0),FALSE)),VLOOKUP($A167,Haver_M!$B$1:$BZ$300,MATCH(data!BX$1,Haver_M!$B$1:$BZ$1,0),FALSE),"")</f>
        <v>68487</v>
      </c>
    </row>
    <row r="168" spans="1:76" x14ac:dyDescent="0.25">
      <c r="A168" s="2">
        <v>41608</v>
      </c>
      <c r="B168" t="str">
        <f>IF(ISNUMBER(VLOOKUP($A168,Haver_Q!$B$1:$L$185,MATCH(data!B$1,Haver_Q!$B$1:$L$1,0),FALSE)),100*(VLOOKUP($A168,Haver_Q!$B$1:$L$185,MATCH(data!B$1,Haver_Q!$B$1:$L$1,0),FALSE)),"")</f>
        <v/>
      </c>
      <c r="C168" t="str">
        <f>IF(ISNUMBER(VLOOKUP($A168,Haver_Q!$B$1:$L$185,MATCH(data!C$1,Haver_Q!$B$1:$L$1,0),FALSE)),100*(VLOOKUP($A168,Haver_Q!$B$1:$L$185,MATCH(data!C$1,Haver_Q!$B$1:$L$1,0),FALSE)),"")</f>
        <v/>
      </c>
      <c r="D168" t="str">
        <f>IF(ISNUMBER(VLOOKUP($A168,Haver_Q!$B$1:$L$185,MATCH(data!D$1,Haver_Q!$B$1:$L$1,0),FALSE)),100*(VLOOKUP($A168,Haver_Q!$B$1:$L$185,MATCH(data!D$1,Haver_Q!$B$1:$L$1,0),FALSE)),"")</f>
        <v/>
      </c>
      <c r="E168" t="str">
        <f>IF(ISNUMBER(VLOOKUP($A168,Haver_Q!$B$1:$L$185,MATCH(data!E$1,Haver_Q!$B$1:$L$1,0),FALSE)),100*(VLOOKUP($A168,Haver_Q!$B$1:$L$185,MATCH(data!E$1,Haver_Q!$B$1:$L$1,0),FALSE)),"")</f>
        <v/>
      </c>
      <c r="F168" t="str">
        <f>IF(ISNUMBER(VLOOKUP($A168,Haver_Q!$B$1:$L$185,MATCH(data!F$1,Haver_Q!$B$1:$L$1,0),FALSE)),100*(VLOOKUP($A168,Haver_Q!$B$1:$L$185,MATCH(data!F$1,Haver_Q!$B$1:$L$1,0),FALSE)),"")</f>
        <v/>
      </c>
      <c r="G168" t="str">
        <f>IF(ISNUMBER(VLOOKUP($A168,Haver_Q!$B$1:$L$185,MATCH(data!G$1,Haver_Q!$B$1:$L$1,0),FALSE)),100*(VLOOKUP($A168,Haver_Q!$B$1:$L$185,MATCH(data!G$1,Haver_Q!$B$1:$L$1,0),FALSE)),"")</f>
        <v/>
      </c>
      <c r="H168" t="str">
        <f>IF(ISNUMBER(VLOOKUP($A168,Haver_Q!$B$1:$L$185,MATCH(data!H$1,Haver_Q!$B$1:$L$1,0),FALSE)),(VLOOKUP($A168,Haver_Q!$B$1:$L$185,MATCH(data!H$1,Haver_Q!$B$1:$L$1,0),FALSE)),"")</f>
        <v/>
      </c>
      <c r="I168" t="str">
        <f>IF(ISNUMBER(VLOOKUP($A168,Haver_Q!$B$1:$L$185,MATCH(data!I$1,Haver_Q!$B$1:$L$1,0),FALSE)),100*(VLOOKUP($A168,Haver_Q!$B$1:$L$185,MATCH(data!I$1,Haver_Q!$B$1:$L$1,0),FALSE)),"")</f>
        <v/>
      </c>
      <c r="J168" s="3">
        <f>IF(ISNUMBER(Bloomberg_m!C184),Bloomberg_m!C184,"")</f>
        <v>1559</v>
      </c>
      <c r="K168" s="3">
        <f>IF(ISNUMBER(Bloomberg_m!D184),Bloomberg_m!D184,"")</f>
        <v>1952.04</v>
      </c>
      <c r="L168" s="3">
        <f>IF(ISNUMBER(Bloomberg_m!E184),Bloomberg_m!E184,"")</f>
        <v>1068.8599999999999</v>
      </c>
      <c r="M168" s="3">
        <f>IF(ISNUMBER(Bloomberg_m!F184),Bloomberg_m!F184,"")</f>
        <v>564.08000000000004</v>
      </c>
      <c r="N168">
        <f>IF(ISNUMBER(VLOOKUP($A168,Haver_M!$B$1:$BZ$300,MATCH(data!N$1,Haver_M!$B$1:$BZ$1,0),FALSE)),VLOOKUP($A168,Haver_M!$B$1:$BZ$300,MATCH(data!N$1,Haver_M!$B$1:$BZ$1,0),FALSE),"")</f>
        <v>7.75</v>
      </c>
      <c r="O168">
        <f>IF(ISNUMBER(VLOOKUP($A168,Haver_M!$B$1:$BZ$300,MATCH(data!O$1,Haver_M!$B$1:$BZ$1,0),FALSE)),VLOOKUP($A168,Haver_M!$B$1:$BZ$300,MATCH(data!O$1,Haver_M!$B$1:$BZ$1,0),FALSE),"")</f>
        <v>8.7178000000000004</v>
      </c>
      <c r="P168">
        <f>IF(ISNUMBER(VLOOKUP($A168,Haver_M!$B$1:$BZ$300,MATCH(data!P$1,Haver_M!$B$1:$BZ$1,0),FALSE)),VLOOKUP($A168,Haver_M!$B$1:$BZ$300,MATCH(data!P$1,Haver_M!$B$1:$BZ$1,0),FALSE),"")</f>
        <v>85.671689999999998</v>
      </c>
      <c r="Q168">
        <f>IF(ISNUMBER(VLOOKUP($A168,Haver_M!$B$1:$BZ$300,MATCH(data!Q$1,Haver_M!$B$1:$BZ$1,0),FALSE)),VLOOKUP($A168,Haver_M!$B$1:$BZ$300,MATCH(data!Q$1,Haver_M!$B$1:$BZ$1,0),FALSE),"")</f>
        <v>116.3</v>
      </c>
      <c r="R168">
        <f>IF(ISNUMBER(VLOOKUP($A168,Haver_M!$B$1:$BZ$300,MATCH(data!R$1,Haver_M!$B$1:$BZ$1,0),FALSE)),VLOOKUP($A168,Haver_M!$B$1:$BZ$300,MATCH(data!R$1,Haver_M!$B$1:$BZ$1,0),FALSE),"")</f>
        <v>110.9</v>
      </c>
      <c r="S168">
        <f>IF(ISNUMBER(VLOOKUP($A168,Haver_M!$B$1:$BZ$300,MATCH(data!S$1,Haver_M!$B$1:$BZ$1,0),FALSE)),VLOOKUP($A168,Haver_M!$B$1:$BZ$300,MATCH(data!S$1,Haver_M!$B$1:$BZ$1,0),FALSE),"")</f>
        <v>106.16</v>
      </c>
      <c r="T168">
        <f>IF(ISNUMBER(VLOOKUP($A168,Haver_M!$B$1:$BZ$300,MATCH(data!T$1,Haver_M!$B$1:$BZ$1,0),FALSE)),VLOOKUP($A168,Haver_M!$B$1:$BZ$300,MATCH(data!T$1,Haver_M!$B$1:$BZ$1,0),FALSE),"")</f>
        <v>101.7</v>
      </c>
      <c r="U168">
        <f>IF(ISNUMBER(VLOOKUP($A168,Haver_M!$B$1:$BZ$300,MATCH(data!U$1,Haver_M!$B$1:$BZ$1,0),FALSE)),VLOOKUP($A168,Haver_M!$B$1:$BZ$300,MATCH(data!U$1,Haver_M!$B$1:$BZ$1,0),FALSE),"")</f>
        <v>98.06</v>
      </c>
      <c r="V168">
        <f>IF(ISNUMBER(VLOOKUP($A168,Haver_M!$B$1:$BZ$300,MATCH(data!V$1,Haver_M!$B$1:$BZ$1,0),FALSE)),VLOOKUP($A168,Haver_M!$B$1:$BZ$300,MATCH(data!V$1,Haver_M!$B$1:$BZ$1,0),FALSE),"")</f>
        <v>108.87</v>
      </c>
      <c r="W168">
        <f>IF(ISNUMBER(VLOOKUP($A168,Haver_M!$B$1:$BZ$300,MATCH(data!W$1,Haver_M!$B$1:$BZ$1,0),FALSE)),VLOOKUP($A168,Haver_M!$B$1:$BZ$300,MATCH(data!W$1,Haver_M!$B$1:$BZ$1,0),FALSE),"")</f>
        <v>111.93</v>
      </c>
      <c r="X168">
        <f>IF(ISNUMBER(VLOOKUP($A168,Haver_M!$B$1:$BZ$300,MATCH(data!X$1,Haver_M!$B$1:$BZ$1,0),FALSE)),VLOOKUP($A168,Haver_M!$B$1:$BZ$300,MATCH(data!X$1,Haver_M!$B$1:$BZ$1,0),FALSE),"")</f>
        <v>110.56</v>
      </c>
      <c r="Y168">
        <f>IF(ISNUMBER(VLOOKUP($A168,Haver_M!$B$1:$BZ$300,MATCH(data!Y$1,Haver_M!$B$1:$BZ$1,0),FALSE)),VLOOKUP($A168,Haver_M!$B$1:$BZ$300,MATCH(data!Y$1,Haver_M!$B$1:$BZ$1,0),FALSE),"")</f>
        <v>105.72</v>
      </c>
      <c r="Z168">
        <f>IF(ISNUMBER(VLOOKUP($A168,Haver_M!$B$1:$BZ$300,MATCH(data!Z$1,Haver_M!$B$1:$BZ$1,0),FALSE)),VLOOKUP($A168,Haver_M!$B$1:$BZ$300,MATCH(data!Z$1,Haver_M!$B$1:$BZ$1,0),FALSE),"")</f>
        <v>105.1</v>
      </c>
      <c r="AA168">
        <f>IF(ISNUMBER(VLOOKUP($A168,Haver_M!$B$1:$BZ$300,MATCH(data!AA$1,Haver_M!$B$1:$BZ$1,0),FALSE)),VLOOKUP($A168,Haver_M!$B$1:$BZ$300,MATCH(data!AA$1,Haver_M!$B$1:$BZ$1,0),FALSE),"")</f>
        <v>101.377</v>
      </c>
      <c r="AB168">
        <f>IF(ISNUMBER(VLOOKUP($A168,Haver_M!$B$1:$BZ$300,MATCH(data!AB$1,Haver_M!$B$1:$BZ$1,0),FALSE)),VLOOKUP($A168,Haver_M!$B$1:$BZ$300,MATCH(data!AB$1,Haver_M!$B$1:$BZ$1,0),FALSE),"")</f>
        <v>100.133</v>
      </c>
      <c r="AC168">
        <f>IF(ISNUMBER(VLOOKUP($A168,Haver_M!$B$1:$BZ$300,MATCH(data!AC$1,Haver_M!$B$1:$BZ$1,0),FALSE)),VLOOKUP($A168,Haver_M!$B$1:$BZ$300,MATCH(data!AC$1,Haver_M!$B$1:$BZ$1,0),FALSE),"")</f>
        <v>73.251999999999995</v>
      </c>
      <c r="AD168">
        <f>IF(ISNUMBER(VLOOKUP($A168,Haver_M!$B$1:$BZ$300,MATCH(data!AD$1,Haver_M!$B$1:$BZ$1,0),FALSE)),VLOOKUP($A168,Haver_M!$B$1:$BZ$300,MATCH(data!AD$1,Haver_M!$B$1:$BZ$1,0),FALSE),"")</f>
        <v>105.158</v>
      </c>
      <c r="AE168">
        <f>IF(ISNUMBER(VLOOKUP($A168,Haver_M!$B$1:$BZ$300,MATCH(data!AE$1,Haver_M!$B$1:$BZ$1,0),FALSE)),VLOOKUP($A168,Haver_M!$B$1:$BZ$300,MATCH(data!AE$1,Haver_M!$B$1:$BZ$1,0),FALSE),"")</f>
        <v>99.066999999999993</v>
      </c>
      <c r="AF168">
        <f>IF(ISNUMBER(VLOOKUP($A168,Haver_M!$B$1:$BZ$300,MATCH(data!AF$1,Haver_M!$B$1:$BZ$1,0),FALSE)),VLOOKUP($A168,Haver_M!$B$1:$BZ$300,MATCH(data!AF$1,Haver_M!$B$1:$BZ$1,0),FALSE),"")</f>
        <v>116.074</v>
      </c>
      <c r="AG168">
        <f>IF(ISNUMBER(VLOOKUP($A168,Haver_M!$B$1:$BZ$300,MATCH(data!AG$1,Haver_M!$B$1:$BZ$1,0),FALSE)),VLOOKUP($A168,Haver_M!$B$1:$BZ$300,MATCH(data!AG$1,Haver_M!$B$1:$BZ$1,0),FALSE),"")</f>
        <v>110.154</v>
      </c>
      <c r="AH168">
        <f>IF(ISNUMBER(VLOOKUP($A168,Haver_M!$B$1:$BZ$300,MATCH(data!AH$1,Haver_M!$B$1:$BZ$1,0),FALSE)),VLOOKUP($A168,Haver_M!$B$1:$BZ$300,MATCH(data!AH$1,Haver_M!$B$1:$BZ$1,0),FALSE),"")</f>
        <v>111.783</v>
      </c>
      <c r="AI168">
        <f>IF(ISNUMBER(VLOOKUP($A168,Haver_M!$B$1:$BZ$300,MATCH(data!AI$1,Haver_M!$B$1:$BZ$1,0),FALSE)),VLOOKUP($A168,Haver_M!$B$1:$BZ$300,MATCH(data!AI$1,Haver_M!$B$1:$BZ$1,0),FALSE),"")</f>
        <v>13232.985377758067</v>
      </c>
      <c r="AJ168">
        <f>IF(ISNUMBER(VLOOKUP($A168,Haver_M!$B$1:$BZ$300,MATCH(data!AJ$1,Haver_M!$B$1:$BZ$1,0),FALSE)),VLOOKUP($A168,Haver_M!$B$1:$BZ$300,MATCH(data!AJ$1,Haver_M!$B$1:$BZ$1,0),FALSE),"")</f>
        <v>26267.63</v>
      </c>
      <c r="AK168">
        <f>IF(ISNUMBER(VLOOKUP($A168,Haver_M!$B$1:$BZ$300,MATCH(data!AK$1,Haver_M!$B$1:$BZ$1,0),FALSE)),VLOOKUP($A168,Haver_M!$B$1:$BZ$300,MATCH(data!AK$1,Haver_M!$B$1:$BZ$1,0),FALSE),"")</f>
        <v>34962.57</v>
      </c>
      <c r="AL168">
        <f>IF(ISNUMBER(VLOOKUP($A168,Haver_M!$B$1:$BZ$300,MATCH(data!AL$1,Haver_M!$B$1:$BZ$1,0),FALSE)),VLOOKUP($A168,Haver_M!$B$1:$BZ$300,MATCH(data!AL$1,Haver_M!$B$1:$BZ$1,0),FALSE),"")</f>
        <v>12317</v>
      </c>
      <c r="AM168">
        <f>IF(ISNUMBER(VLOOKUP($A168,Haver_M!$B$1:$BZ$300,MATCH(data!AM$1,Haver_M!$B$1:$BZ$1,0),FALSE)),VLOOKUP($A168,Haver_M!$B$1:$BZ$300,MATCH(data!AM$1,Haver_M!$B$1:$BZ$1,0),FALSE),"")</f>
        <v>6117</v>
      </c>
      <c r="AN168" t="str">
        <f>IF(ISNUMBER(VLOOKUP($A168,Haver_M!$B$1:$BZ$300,MATCH(data!AN$1,Haver_M!$B$1:$BZ$1,0),FALSE)),VLOOKUP($A168,Haver_M!$B$1:$BZ$300,MATCH(data!AN$1,Haver_M!$B$1:$BZ$1,0),FALSE),"")</f>
        <v/>
      </c>
      <c r="AO168" t="str">
        <f>IF(ISNUMBER(VLOOKUP($A168,Haver_M!$B$1:$BZ$300,MATCH(data!AO$1,Haver_M!$B$1:$BZ$1,0),FALSE)),VLOOKUP($A168,Haver_M!$B$1:$BZ$300,MATCH(data!AO$1,Haver_M!$B$1:$BZ$1,0),FALSE),"")</f>
        <v/>
      </c>
      <c r="AP168">
        <f>IF(ISNUMBER(VLOOKUP($A168,Haver_M!$B$1:$BZ$300,MATCH(data!AP$1,Haver_M!$B$1:$BZ$1,0),FALSE)),VLOOKUP($A168,Haver_M!$B$1:$BZ$300,MATCH(data!AP$1,Haver_M!$B$1:$BZ$1,0),FALSE),"")</f>
        <v>83.923867531167332</v>
      </c>
      <c r="AQ168">
        <f>IF(ISNUMBER(VLOOKUP($A168,Haver_M!$B$1:$BZ$300,MATCH(data!AQ$1,Haver_M!$B$1:$BZ$1,0),FALSE)),VLOOKUP($A168,Haver_M!$B$1:$BZ$300,MATCH(data!AQ$1,Haver_M!$B$1:$BZ$1,0),FALSE),"")</f>
        <v>48.492400000000004</v>
      </c>
      <c r="AR168">
        <f>IF(ISNUMBER(VLOOKUP($A168,Haver_M!$B$1:$BZ$300,MATCH(data!AR$1,Haver_M!$B$1:$BZ$1,0),FALSE)),VLOOKUP($A168,Haver_M!$B$1:$BZ$300,MATCH(data!AR$1,Haver_M!$B$1:$BZ$1,0),FALSE),"")</f>
        <v>51.310299999999998</v>
      </c>
      <c r="AS168">
        <f>IF(ISNUMBER(VLOOKUP($A168,Haver_M!$B$1:$BZ$300,MATCH(data!AS$1,Haver_M!$B$1:$BZ$1,0),FALSE)),VLOOKUP($A168,Haver_M!$B$1:$BZ$300,MATCH(data!AS$1,Haver_M!$B$1:$BZ$1,0),FALSE),"")</f>
        <v>47.183399999999999</v>
      </c>
      <c r="AT168">
        <f>IF(ISNUMBER(VLOOKUP($A168,Haver_M!$B$1:$BZ$300,MATCH(data!AT$1,Haver_M!$B$1:$BZ$1,0),FALSE)),VLOOKUP($A168,Haver_M!$B$1:$BZ$300,MATCH(data!AT$1,Haver_M!$B$1:$BZ$1,0),FALSE),"")</f>
        <v>51.517299999999999</v>
      </c>
      <c r="AU168">
        <f>IF(ISNUMBER(VLOOKUP($A168,Haver_M!$B$1:$BZ$300,MATCH(data!AU$1,Haver_M!$B$1:$BZ$1,0),FALSE)),VLOOKUP($A168,Haver_M!$B$1:$BZ$300,MATCH(data!AU$1,Haver_M!$B$1:$BZ$1,0),FALSE),"")</f>
        <v>51.946100000000001</v>
      </c>
      <c r="AV168">
        <f>IF(ISNUMBER(VLOOKUP($A168,Haver_M!$B$1:$BZ$300,MATCH(data!AV$1,Haver_M!$B$1:$BZ$1,0),FALSE)),VLOOKUP($A168,Haver_M!$B$1:$BZ$300,MATCH(data!AV$1,Haver_M!$B$1:$BZ$1,0),FALSE),"")</f>
        <v>50.494399999999999</v>
      </c>
      <c r="AW168">
        <f>IF(ISNUMBER(VLOOKUP($A168,Haver_M!$B$1:$BZ$300,MATCH(data!AW$1,Haver_M!$B$1:$BZ$1,0),FALSE)),VLOOKUP($A168,Haver_M!$B$1:$BZ$300,MATCH(data!AW$1,Haver_M!$B$1:$BZ$1,0),FALSE),"")</f>
        <v>49.489100000000001</v>
      </c>
      <c r="AX168">
        <f>IF(ISNUMBER(VLOOKUP($A168,Haver_M!$B$1:$BZ$300,MATCH(data!AX$1,Haver_M!$B$1:$BZ$1,0),FALSE)),VLOOKUP($A168,Haver_M!$B$1:$BZ$300,MATCH(data!AX$1,Haver_M!$B$1:$BZ$1,0),FALSE),"")</f>
        <v>51.716799999999999</v>
      </c>
      <c r="AY168">
        <f>IF(ISNUMBER(VLOOKUP($A168,Haver_M!$B$1:$BZ$300,MATCH(data!AY$1,Haver_M!$B$1:$BZ$1,0),FALSE)),VLOOKUP($A168,Haver_M!$B$1:$BZ$300,MATCH(data!AY$1,Haver_M!$B$1:$BZ$1,0),FALSE),"")</f>
        <v>57.9998</v>
      </c>
      <c r="AZ168">
        <f>IF(ISNUMBER(VLOOKUP($A168,Haver_M!$B$1:$BZ$300,MATCH(data!AZ$1,Haver_M!$B$1:$BZ$1,0),FALSE)),VLOOKUP($A168,Haver_M!$B$1:$BZ$300,MATCH(data!AZ$1,Haver_M!$B$1:$BZ$1,0),FALSE),"")</f>
        <v>51.8902</v>
      </c>
      <c r="BA168">
        <f>IF(ISNUMBER(VLOOKUP($A168,Haver_M!$B$1:$BZ$300,MATCH(data!BA$1,Haver_M!$B$1:$BZ$1,0),FALSE)),VLOOKUP($A168,Haver_M!$B$1:$BZ$300,MATCH(data!BA$1,Haver_M!$B$1:$BZ$1,0),FALSE),"")</f>
        <v>51.716799999999999</v>
      </c>
      <c r="BB168">
        <f>IF(ISNUMBER(VLOOKUP($A168,Haver_M!$B$1:$BZ$300,MATCH(data!BB$1,Haver_M!$B$1:$BZ$1,0),FALSE)),VLOOKUP($A168,Haver_M!$B$1:$BZ$300,MATCH(data!BB$1,Haver_M!$B$1:$BZ$1,0),FALSE),"")</f>
        <v>50.560400000000001</v>
      </c>
      <c r="BC168">
        <f>IF(ISNUMBER(VLOOKUP($A168,Haver_M!$B$1:$BZ$300,MATCH(data!BC$1,Haver_M!$B$1:$BZ$1,0),FALSE)),VLOOKUP($A168,Haver_M!$B$1:$BZ$300,MATCH(data!BC$1,Haver_M!$B$1:$BZ$1,0),FALSE),"")</f>
        <v>51.937600000000003</v>
      </c>
      <c r="BD168">
        <f>IF(ISNUMBER(VLOOKUP($A168,Haver_M!$B$1:$BZ$300,MATCH(data!BD$1,Haver_M!$B$1:$BZ$1,0),FALSE)),VLOOKUP($A168,Haver_M!$B$1:$BZ$300,MATCH(data!BD$1,Haver_M!$B$1:$BZ$1,0),FALSE),"")</f>
        <v>53.167299999999997</v>
      </c>
      <c r="BE168">
        <f>IF(ISNUMBER(VLOOKUP($A168,Haver_M!$B$1:$BZ$300,MATCH(data!BE$1,Haver_M!$B$1:$BZ$1,0),FALSE)),VLOOKUP($A168,Haver_M!$B$1:$BZ$300,MATCH(data!BE$1,Haver_M!$B$1:$BZ$1,0),FALSE),"")</f>
        <v>1.0342</v>
      </c>
      <c r="BF168">
        <f>IF(ISNUMBER(VLOOKUP($A168,Haver_M!$B$1:$BZ$300,MATCH(data!BF$1,Haver_M!$B$1:$BZ$1,0),FALSE)),VLOOKUP($A168,Haver_M!$B$1:$BZ$300,MATCH(data!BF$1,Haver_M!$B$1:$BZ$1,0),FALSE),"")</f>
        <v>49.8521</v>
      </c>
      <c r="BG168">
        <f>IF(ISNUMBER(VLOOKUP($A168,Haver_M!$B$1:$BZ$300,MATCH(data!BG$1,Haver_M!$B$1:$BZ$1,0),FALSE)),VLOOKUP($A168,Haver_M!$B$1:$BZ$300,MATCH(data!BG$1,Haver_M!$B$1:$BZ$1,0),FALSE),"")</f>
        <v>53.192100000000003</v>
      </c>
      <c r="BH168">
        <f>IF(ISNUMBER(VLOOKUP($A168,Haver_M!$B$1:$BZ$300,MATCH(data!BH$1,Haver_M!$B$1:$BZ$1,0),FALSE)),VLOOKUP($A168,Haver_M!$B$1:$BZ$300,MATCH(data!BH$1,Haver_M!$B$1:$BZ$1,0),FALSE),"")</f>
        <v>48.180700000000002</v>
      </c>
      <c r="BI168">
        <f>IF(ISNUMBER(VLOOKUP($A168,Haver_M!$B$1:$BZ$300,MATCH(data!BI$1,Haver_M!$B$1:$BZ$1,0),FALSE)),VLOOKUP($A168,Haver_M!$B$1:$BZ$300,MATCH(data!BI$1,Haver_M!$B$1:$BZ$1,0),FALSE),"")</f>
        <v>54.094099999999997</v>
      </c>
      <c r="BJ168" t="str">
        <f>IF(ISNUMBER(VLOOKUP($A168,Haver_M!$B$1:$BZ$300,MATCH(data!BJ$1,Haver_M!$B$1:$BZ$1,0),FALSE)),VLOOKUP($A168,Haver_M!$B$1:$BZ$300,MATCH(data!BJ$1,Haver_M!$B$1:$BZ$1,0),FALSE),"")</f>
        <v/>
      </c>
      <c r="BK168">
        <f>IF(ISNUMBER(VLOOKUP($A168,Haver_M!$B$1:$BZ$300,MATCH(data!BK$1,Haver_M!$B$1:$BZ$1,0),FALSE)),VLOOKUP($A168,Haver_M!$B$1:$BZ$300,MATCH(data!BK$1,Haver_M!$B$1:$BZ$1,0),FALSE),"")</f>
        <v>51.604399999999998</v>
      </c>
      <c r="BL168">
        <f>IF(ISNUMBER(VLOOKUP($A168,Haver_M!$B$1:$BZ$300,MATCH(data!BL$1,Haver_M!$B$1:$BZ$1,0),FALSE)),VLOOKUP($A168,Haver_M!$B$1:$BZ$300,MATCH(data!BL$1,Haver_M!$B$1:$BZ$1,0),FALSE),"")</f>
        <v>20638.09</v>
      </c>
      <c r="BM168">
        <f>IF(ISNUMBER(VLOOKUP($A168,Haver_M!$B$1:$BZ$300,MATCH(data!BM$1,Haver_M!$B$1:$BZ$1,0),FALSE)),VLOOKUP($A168,Haver_M!$B$1:$BZ$300,MATCH(data!BM$1,Haver_M!$B$1:$BZ$1,0),FALSE),"")</f>
        <v>100.42132347</v>
      </c>
      <c r="BN168" t="str">
        <f>IF(ISNUMBER(VLOOKUP($A168,Haver_M!$B$1:$BZ$300,MATCH(data!BN$1,Haver_M!$B$1:$BZ$1,0),FALSE)),VLOOKUP($A168,Haver_M!$B$1:$BZ$300,MATCH(data!BN$1,Haver_M!$B$1:$BZ$1,0),FALSE),"")</f>
        <v/>
      </c>
      <c r="BO168" t="str">
        <f>IF(ISNUMBER(VLOOKUP($A168,Haver_M!$B$1:$BZ$300,MATCH(data!BO$1,Haver_M!$B$1:$BZ$1,0),FALSE)),VLOOKUP($A168,Haver_M!$B$1:$BZ$300,MATCH(data!BO$1,Haver_M!$B$1:$BZ$1,0),FALSE),"")</f>
        <v/>
      </c>
      <c r="BP168" t="str">
        <f>IF(ISNUMBER(VLOOKUP($A168,Haver_M!$B$1:$BZ$300,MATCH(data!BP$1,Haver_M!$B$1:$BZ$1,0),FALSE)),VLOOKUP($A168,Haver_M!$B$1:$BZ$300,MATCH(data!BP$1,Haver_M!$B$1:$BZ$1,0),FALSE),"")</f>
        <v/>
      </c>
      <c r="BQ168">
        <f>IF(ISNUMBER(VLOOKUP($A168,Haver_M!$B$1:$BZ$300,MATCH(data!BQ$1,Haver_M!$B$1:$BZ$1,0),FALSE)),VLOOKUP($A168,Haver_M!$B$1:$BZ$300,MATCH(data!BQ$1,Haver_M!$B$1:$BZ$1,0),FALSE),"")</f>
        <v>152.48622930404099</v>
      </c>
      <c r="BR168">
        <f>IF(ISNUMBER(VLOOKUP($A168,Haver_M!$B$1:$BZ$300,MATCH(data!BR$1,Haver_M!$B$1:$BZ$1,0),FALSE)),VLOOKUP($A168,Haver_M!$B$1:$BZ$300,MATCH(data!BR$1,Haver_M!$B$1:$BZ$1,0),FALSE),"")</f>
        <v>378.1000431082656</v>
      </c>
      <c r="BS168">
        <f>IF(ISNUMBER(VLOOKUP($A168,Haver_M!$B$1:$BZ$300,MATCH(data!BS$1,Haver_M!$B$1:$BZ$1,0),FALSE)),VLOOKUP($A168,Haver_M!$B$1:$BZ$300,MATCH(data!BS$1,Haver_M!$B$1:$BZ$1,0),FALSE),"")</f>
        <v>199.50984305398111</v>
      </c>
      <c r="BT168">
        <f>IF(ISNUMBER(VLOOKUP($A168,Haver_M!$B$1:$BZ$300,MATCH(data!BT$1,Haver_M!$B$1:$BZ$1,0),FALSE)),VLOOKUP($A168,Haver_M!$B$1:$BZ$300,MATCH(data!BT$1,Haver_M!$B$1:$BZ$1,0),FALSE),"")</f>
        <v>828.66172784314972</v>
      </c>
      <c r="BU168">
        <f>IF(ISNUMBER(VLOOKUP($A168,Haver_M!$B$1:$BZ$300,MATCH(data!BU$1,Haver_M!$B$1:$BZ$1,0),FALSE)),VLOOKUP($A168,Haver_M!$B$1:$BZ$300,MATCH(data!BU$1,Haver_M!$B$1:$BZ$1,0),FALSE),"")</f>
        <v>24201.83</v>
      </c>
      <c r="BV168">
        <f>IF(ISNUMBER(VLOOKUP($A168,Haver_M!$B$1:$BZ$300,MATCH(data!BV$1,Haver_M!$B$1:$BZ$1,0),FALSE)),VLOOKUP($A168,Haver_M!$B$1:$BZ$300,MATCH(data!BV$1,Haver_M!$B$1:$BZ$1,0),FALSE),"")</f>
        <v>33772.92</v>
      </c>
      <c r="BW168">
        <f>IF(ISNUMBER(VLOOKUP($A168,Haver_M!$B$1:$BZ$300,MATCH(data!BW$1,Haver_M!$B$1:$BZ$1,0),FALSE)),VLOOKUP($A168,Haver_M!$B$1:$BZ$300,MATCH(data!BW$1,Haver_M!$B$1:$BZ$1,0),FALSE),"")</f>
        <v>62.633000000000003</v>
      </c>
      <c r="BX168">
        <f>IF(ISNUMBER(VLOOKUP($A168,Haver_M!$B$1:$BZ$300,MATCH(data!BX$1,Haver_M!$B$1:$BZ$1,0),FALSE)),VLOOKUP($A168,Haver_M!$B$1:$BZ$300,MATCH(data!BX$1,Haver_M!$B$1:$BZ$1,0),FALSE),"")</f>
        <v>66821</v>
      </c>
    </row>
    <row r="169" spans="1:76" x14ac:dyDescent="0.25">
      <c r="A169" s="2">
        <v>41639</v>
      </c>
      <c r="B169">
        <f>IF(ISNUMBER(VLOOKUP($A169,Haver_Q!$B$1:$L$185,MATCH(data!B$1,Haver_Q!$B$1:$L$1,0),FALSE)),100*(VLOOKUP($A169,Haver_Q!$B$1:$L$185,MATCH(data!B$1,Haver_Q!$B$1:$L$1,0),FALSE)),"")</f>
        <v>8.9467638595338137</v>
      </c>
      <c r="C169">
        <f>IF(ISNUMBER(VLOOKUP($A169,Haver_Q!$B$1:$L$185,MATCH(data!C$1,Haver_Q!$B$1:$L$1,0),FALSE)),100*(VLOOKUP($A169,Haver_Q!$B$1:$L$185,MATCH(data!C$1,Haver_Q!$B$1:$L$1,0),FALSE)),"")</f>
        <v>19.281531151425526</v>
      </c>
      <c r="D169">
        <f>IF(ISNUMBER(VLOOKUP($A169,Haver_Q!$B$1:$L$185,MATCH(data!D$1,Haver_Q!$B$1:$L$1,0),FALSE)),100*(VLOOKUP($A169,Haver_Q!$B$1:$L$185,MATCH(data!D$1,Haver_Q!$B$1:$L$1,0),FALSE)),"")</f>
        <v>-38.812775323372037</v>
      </c>
      <c r="E169">
        <f>IF(ISNUMBER(VLOOKUP($A169,Haver_Q!$B$1:$L$185,MATCH(data!E$1,Haver_Q!$B$1:$L$1,0),FALSE)),100*(VLOOKUP($A169,Haver_Q!$B$1:$L$185,MATCH(data!E$1,Haver_Q!$B$1:$L$1,0),FALSE)),"")</f>
        <v>3.2237498960915545</v>
      </c>
      <c r="F169">
        <f>IF(ISNUMBER(VLOOKUP($A169,Haver_Q!$B$1:$L$185,MATCH(data!F$1,Haver_Q!$B$1:$L$1,0),FALSE)),100*(VLOOKUP($A169,Haver_Q!$B$1:$L$185,MATCH(data!F$1,Haver_Q!$B$1:$L$1,0),FALSE)),"")</f>
        <v>-9.0874273712430504</v>
      </c>
      <c r="G169">
        <f>IF(ISNUMBER(VLOOKUP($A169,Haver_Q!$B$1:$L$185,MATCH(data!G$1,Haver_Q!$B$1:$L$1,0),FALSE)),100*(VLOOKUP($A169,Haver_Q!$B$1:$L$185,MATCH(data!G$1,Haver_Q!$B$1:$L$1,0),FALSE)),"")</f>
        <v>-21.369728437310265</v>
      </c>
      <c r="H169">
        <f>IF(ISNUMBER(VLOOKUP($A169,Haver_Q!$B$1:$L$185,MATCH(data!H$1,Haver_Q!$B$1:$L$1,0),FALSE)),(VLOOKUP($A169,Haver_Q!$B$1:$L$185,MATCH(data!H$1,Haver_Q!$B$1:$L$1,0),FALSE)),"")</f>
        <v>3.6445539412656318</v>
      </c>
      <c r="I169">
        <f>IF(ISNUMBER(VLOOKUP($A169,Haver_Q!$B$1:$L$185,MATCH(data!I$1,Haver_Q!$B$1:$L$1,0),FALSE)),100*(VLOOKUP($A169,Haver_Q!$B$1:$L$185,MATCH(data!I$1,Haver_Q!$B$1:$L$1,0),FALSE)),"")</f>
        <v>6.5349776758202527</v>
      </c>
      <c r="J169" s="3">
        <f>IF(ISNUMBER(Bloomberg_m!C185),Bloomberg_m!C185,"")</f>
        <v>2178</v>
      </c>
      <c r="K169" s="3">
        <f>IF(ISNUMBER(Bloomberg_m!D185),Bloomberg_m!D185,"")</f>
        <v>1851.3</v>
      </c>
      <c r="L169" s="3">
        <f>IF(ISNUMBER(Bloomberg_m!E185),Bloomberg_m!E185,"")</f>
        <v>1079.29</v>
      </c>
      <c r="M169" s="3">
        <f>IF(ISNUMBER(Bloomberg_m!F185),Bloomberg_m!F185,"")</f>
        <v>574.6</v>
      </c>
      <c r="N169">
        <f>IF(ISNUMBER(VLOOKUP($A169,Haver_M!$B$1:$BZ$300,MATCH(data!N$1,Haver_M!$B$1:$BZ$1,0),FALSE)),VLOOKUP($A169,Haver_M!$B$1:$BZ$300,MATCH(data!N$1,Haver_M!$B$1:$BZ$1,0),FALSE),"")</f>
        <v>7.75</v>
      </c>
      <c r="O169">
        <f>IF(ISNUMBER(VLOOKUP($A169,Haver_M!$B$1:$BZ$300,MATCH(data!O$1,Haver_M!$B$1:$BZ$1,0),FALSE)),VLOOKUP($A169,Haver_M!$B$1:$BZ$300,MATCH(data!O$1,Haver_M!$B$1:$BZ$1,0),FALSE),"")</f>
        <v>8.7689000000000004</v>
      </c>
      <c r="P169">
        <f>IF(ISNUMBER(VLOOKUP($A169,Haver_M!$B$1:$BZ$300,MATCH(data!P$1,Haver_M!$B$1:$BZ$1,0),FALSE)),VLOOKUP($A169,Haver_M!$B$1:$BZ$300,MATCH(data!P$1,Haver_M!$B$1:$BZ$1,0),FALSE),"")</f>
        <v>85.490309999999994</v>
      </c>
      <c r="Q169">
        <f>IF(ISNUMBER(VLOOKUP($A169,Haver_M!$B$1:$BZ$300,MATCH(data!Q$1,Haver_M!$B$1:$BZ$1,0),FALSE)),VLOOKUP($A169,Haver_M!$B$1:$BZ$300,MATCH(data!Q$1,Haver_M!$B$1:$BZ$1,0),FALSE),"")</f>
        <v>114.5</v>
      </c>
      <c r="R169">
        <f>IF(ISNUMBER(VLOOKUP($A169,Haver_M!$B$1:$BZ$300,MATCH(data!R$1,Haver_M!$B$1:$BZ$1,0),FALSE)),VLOOKUP($A169,Haver_M!$B$1:$BZ$300,MATCH(data!R$1,Haver_M!$B$1:$BZ$1,0),FALSE),"")</f>
        <v>111.1</v>
      </c>
      <c r="S169">
        <f>IF(ISNUMBER(VLOOKUP($A169,Haver_M!$B$1:$BZ$300,MATCH(data!S$1,Haver_M!$B$1:$BZ$1,0),FALSE)),VLOOKUP($A169,Haver_M!$B$1:$BZ$300,MATCH(data!S$1,Haver_M!$B$1:$BZ$1,0),FALSE),"")</f>
        <v>107.29</v>
      </c>
      <c r="T169">
        <f>IF(ISNUMBER(VLOOKUP($A169,Haver_M!$B$1:$BZ$300,MATCH(data!T$1,Haver_M!$B$1:$BZ$1,0),FALSE)),VLOOKUP($A169,Haver_M!$B$1:$BZ$300,MATCH(data!T$1,Haver_M!$B$1:$BZ$1,0),FALSE),"")</f>
        <v>105.18</v>
      </c>
      <c r="U169">
        <f>IF(ISNUMBER(VLOOKUP($A169,Haver_M!$B$1:$BZ$300,MATCH(data!U$1,Haver_M!$B$1:$BZ$1,0),FALSE)),VLOOKUP($A169,Haver_M!$B$1:$BZ$300,MATCH(data!U$1,Haver_M!$B$1:$BZ$1,0),FALSE),"")</f>
        <v>94.87</v>
      </c>
      <c r="V169">
        <f>IF(ISNUMBER(VLOOKUP($A169,Haver_M!$B$1:$BZ$300,MATCH(data!V$1,Haver_M!$B$1:$BZ$1,0),FALSE)),VLOOKUP($A169,Haver_M!$B$1:$BZ$300,MATCH(data!V$1,Haver_M!$B$1:$BZ$1,0),FALSE),"")</f>
        <v>111.63</v>
      </c>
      <c r="W169">
        <f>IF(ISNUMBER(VLOOKUP($A169,Haver_M!$B$1:$BZ$300,MATCH(data!W$1,Haver_M!$B$1:$BZ$1,0),FALSE)),VLOOKUP($A169,Haver_M!$B$1:$BZ$300,MATCH(data!W$1,Haver_M!$B$1:$BZ$1,0),FALSE),"")</f>
        <v>111.19</v>
      </c>
      <c r="X169">
        <f>IF(ISNUMBER(VLOOKUP($A169,Haver_M!$B$1:$BZ$300,MATCH(data!X$1,Haver_M!$B$1:$BZ$1,0),FALSE)),VLOOKUP($A169,Haver_M!$B$1:$BZ$300,MATCH(data!X$1,Haver_M!$B$1:$BZ$1,0),FALSE),"")</f>
        <v>111.12</v>
      </c>
      <c r="Y169">
        <f>IF(ISNUMBER(VLOOKUP($A169,Haver_M!$B$1:$BZ$300,MATCH(data!Y$1,Haver_M!$B$1:$BZ$1,0),FALSE)),VLOOKUP($A169,Haver_M!$B$1:$BZ$300,MATCH(data!Y$1,Haver_M!$B$1:$BZ$1,0),FALSE),"")</f>
        <v>108.52</v>
      </c>
      <c r="Z169">
        <f>IF(ISNUMBER(VLOOKUP($A169,Haver_M!$B$1:$BZ$300,MATCH(data!Z$1,Haver_M!$B$1:$BZ$1,0),FALSE)),VLOOKUP($A169,Haver_M!$B$1:$BZ$300,MATCH(data!Z$1,Haver_M!$B$1:$BZ$1,0),FALSE),"")</f>
        <v>109</v>
      </c>
      <c r="AA169">
        <f>IF(ISNUMBER(VLOOKUP($A169,Haver_M!$B$1:$BZ$300,MATCH(data!AA$1,Haver_M!$B$1:$BZ$1,0),FALSE)),VLOOKUP($A169,Haver_M!$B$1:$BZ$300,MATCH(data!AA$1,Haver_M!$B$1:$BZ$1,0),FALSE),"")</f>
        <v>105.008</v>
      </c>
      <c r="AB169">
        <f>IF(ISNUMBER(VLOOKUP($A169,Haver_M!$B$1:$BZ$300,MATCH(data!AB$1,Haver_M!$B$1:$BZ$1,0),FALSE)),VLOOKUP($A169,Haver_M!$B$1:$BZ$300,MATCH(data!AB$1,Haver_M!$B$1:$BZ$1,0),FALSE),"")</f>
        <v>100.426</v>
      </c>
      <c r="AC169">
        <f>IF(ISNUMBER(VLOOKUP($A169,Haver_M!$B$1:$BZ$300,MATCH(data!AC$1,Haver_M!$B$1:$BZ$1,0),FALSE)),VLOOKUP($A169,Haver_M!$B$1:$BZ$300,MATCH(data!AC$1,Haver_M!$B$1:$BZ$1,0),FALSE),"")</f>
        <v>73.813999999999993</v>
      </c>
      <c r="AD169">
        <f>IF(ISNUMBER(VLOOKUP($A169,Haver_M!$B$1:$BZ$300,MATCH(data!AD$1,Haver_M!$B$1:$BZ$1,0),FALSE)),VLOOKUP($A169,Haver_M!$B$1:$BZ$300,MATCH(data!AD$1,Haver_M!$B$1:$BZ$1,0),FALSE),"")</f>
        <v>107.27200000000001</v>
      </c>
      <c r="AE169">
        <f>IF(ISNUMBER(VLOOKUP($A169,Haver_M!$B$1:$BZ$300,MATCH(data!AE$1,Haver_M!$B$1:$BZ$1,0),FALSE)),VLOOKUP($A169,Haver_M!$B$1:$BZ$300,MATCH(data!AE$1,Haver_M!$B$1:$BZ$1,0),FALSE),"")</f>
        <v>101.36799999999999</v>
      </c>
      <c r="AF169">
        <f>IF(ISNUMBER(VLOOKUP($A169,Haver_M!$B$1:$BZ$300,MATCH(data!AF$1,Haver_M!$B$1:$BZ$1,0),FALSE)),VLOOKUP($A169,Haver_M!$B$1:$BZ$300,MATCH(data!AF$1,Haver_M!$B$1:$BZ$1,0),FALSE),"")</f>
        <v>121.02</v>
      </c>
      <c r="AG169">
        <f>IF(ISNUMBER(VLOOKUP($A169,Haver_M!$B$1:$BZ$300,MATCH(data!AG$1,Haver_M!$B$1:$BZ$1,0),FALSE)),VLOOKUP($A169,Haver_M!$B$1:$BZ$300,MATCH(data!AG$1,Haver_M!$B$1:$BZ$1,0),FALSE),"")</f>
        <v>114.101</v>
      </c>
      <c r="AH169">
        <f>IF(ISNUMBER(VLOOKUP($A169,Haver_M!$B$1:$BZ$300,MATCH(data!AH$1,Haver_M!$B$1:$BZ$1,0),FALSE)),VLOOKUP($A169,Haver_M!$B$1:$BZ$300,MATCH(data!AH$1,Haver_M!$B$1:$BZ$1,0),FALSE),"")</f>
        <v>115.349</v>
      </c>
      <c r="AI169">
        <f>IF(ISNUMBER(VLOOKUP($A169,Haver_M!$B$1:$BZ$300,MATCH(data!AI$1,Haver_M!$B$1:$BZ$1,0),FALSE)),VLOOKUP($A169,Haver_M!$B$1:$BZ$300,MATCH(data!AI$1,Haver_M!$B$1:$BZ$1,0),FALSE),"")</f>
        <v>13236.73495960945</v>
      </c>
      <c r="AJ169">
        <f>IF(ISNUMBER(VLOOKUP($A169,Haver_M!$B$1:$BZ$300,MATCH(data!AJ$1,Haver_M!$B$1:$BZ$1,0),FALSE)),VLOOKUP($A169,Haver_M!$B$1:$BZ$300,MATCH(data!AJ$1,Haver_M!$B$1:$BZ$1,0),FALSE),"")</f>
        <v>25777.22</v>
      </c>
      <c r="AK169">
        <f>IF(ISNUMBER(VLOOKUP($A169,Haver_M!$B$1:$BZ$300,MATCH(data!AK$1,Haver_M!$B$1:$BZ$1,0),FALSE)),VLOOKUP($A169,Haver_M!$B$1:$BZ$300,MATCH(data!AK$1,Haver_M!$B$1:$BZ$1,0),FALSE),"")</f>
        <v>36474.18</v>
      </c>
      <c r="AL169">
        <f>IF(ISNUMBER(VLOOKUP($A169,Haver_M!$B$1:$BZ$300,MATCH(data!AL$1,Haver_M!$B$1:$BZ$1,0),FALSE)),VLOOKUP($A169,Haver_M!$B$1:$BZ$300,MATCH(data!AL$1,Haver_M!$B$1:$BZ$1,0),FALSE),"")</f>
        <v>12869</v>
      </c>
      <c r="AM169">
        <f>IF(ISNUMBER(VLOOKUP($A169,Haver_M!$B$1:$BZ$300,MATCH(data!AM$1,Haver_M!$B$1:$BZ$1,0),FALSE)),VLOOKUP($A169,Haver_M!$B$1:$BZ$300,MATCH(data!AM$1,Haver_M!$B$1:$BZ$1,0),FALSE),"")</f>
        <v>6725</v>
      </c>
      <c r="AN169">
        <f>IF(ISNUMBER(VLOOKUP($A169,Haver_M!$B$1:$BZ$300,MATCH(data!AN$1,Haver_M!$B$1:$BZ$1,0),FALSE)),VLOOKUP($A169,Haver_M!$B$1:$BZ$300,MATCH(data!AN$1,Haver_M!$B$1:$BZ$1,0),FALSE),"")</f>
        <v>91.6</v>
      </c>
      <c r="AO169">
        <f>IF(ISNUMBER(VLOOKUP($A169,Haver_M!$B$1:$BZ$300,MATCH(data!AO$1,Haver_M!$B$1:$BZ$1,0),FALSE)),VLOOKUP($A169,Haver_M!$B$1:$BZ$300,MATCH(data!AO$1,Haver_M!$B$1:$BZ$1,0),FALSE),"")</f>
        <v>96.9</v>
      </c>
      <c r="AP169">
        <f>IF(ISNUMBER(VLOOKUP($A169,Haver_M!$B$1:$BZ$300,MATCH(data!AP$1,Haver_M!$B$1:$BZ$1,0),FALSE)),VLOOKUP($A169,Haver_M!$B$1:$BZ$300,MATCH(data!AP$1,Haver_M!$B$1:$BZ$1,0),FALSE),"")</f>
        <v>88.407515538683867</v>
      </c>
      <c r="AQ169">
        <f>IF(ISNUMBER(VLOOKUP($A169,Haver_M!$B$1:$BZ$300,MATCH(data!AQ$1,Haver_M!$B$1:$BZ$1,0),FALSE)),VLOOKUP($A169,Haver_M!$B$1:$BZ$300,MATCH(data!AQ$1,Haver_M!$B$1:$BZ$1,0),FALSE),"")</f>
        <v>48.0642</v>
      </c>
      <c r="AR169">
        <f>IF(ISNUMBER(VLOOKUP($A169,Haver_M!$B$1:$BZ$300,MATCH(data!AR$1,Haver_M!$B$1:$BZ$1,0),FALSE)),VLOOKUP($A169,Haver_M!$B$1:$BZ$300,MATCH(data!AR$1,Haver_M!$B$1:$BZ$1,0),FALSE),"")</f>
        <v>50.7273</v>
      </c>
      <c r="AS169">
        <f>IF(ISNUMBER(VLOOKUP($A169,Haver_M!$B$1:$BZ$300,MATCH(data!AS$1,Haver_M!$B$1:$BZ$1,0),FALSE)),VLOOKUP($A169,Haver_M!$B$1:$BZ$300,MATCH(data!AS$1,Haver_M!$B$1:$BZ$1,0),FALSE),"")</f>
        <v>46.669199999999996</v>
      </c>
      <c r="AT169">
        <f>IF(ISNUMBER(VLOOKUP($A169,Haver_M!$B$1:$BZ$300,MATCH(data!AT$1,Haver_M!$B$1:$BZ$1,0),FALSE)),VLOOKUP($A169,Haver_M!$B$1:$BZ$300,MATCH(data!AT$1,Haver_M!$B$1:$BZ$1,0),FALSE),"")</f>
        <v>51.288200000000003</v>
      </c>
      <c r="AU169">
        <f>IF(ISNUMBER(VLOOKUP($A169,Haver_M!$B$1:$BZ$300,MATCH(data!AU$1,Haver_M!$B$1:$BZ$1,0),FALSE)),VLOOKUP($A169,Haver_M!$B$1:$BZ$300,MATCH(data!AU$1,Haver_M!$B$1:$BZ$1,0),FALSE),"")</f>
        <v>51.277900000000002</v>
      </c>
      <c r="AV169">
        <f>IF(ISNUMBER(VLOOKUP($A169,Haver_M!$B$1:$BZ$300,MATCH(data!AV$1,Haver_M!$B$1:$BZ$1,0),FALSE)),VLOOKUP($A169,Haver_M!$B$1:$BZ$300,MATCH(data!AV$1,Haver_M!$B$1:$BZ$1,0),FALSE),"")</f>
        <v>50.750900000000001</v>
      </c>
      <c r="AW169">
        <f>IF(ISNUMBER(VLOOKUP($A169,Haver_M!$B$1:$BZ$300,MATCH(data!AW$1,Haver_M!$B$1:$BZ$1,0),FALSE)),VLOOKUP($A169,Haver_M!$B$1:$BZ$300,MATCH(data!AW$1,Haver_M!$B$1:$BZ$1,0),FALSE),"")</f>
        <v>49.685400000000001</v>
      </c>
      <c r="AX169">
        <f>IF(ISNUMBER(VLOOKUP($A169,Haver_M!$B$1:$BZ$300,MATCH(data!AX$1,Haver_M!$B$1:$BZ$1,0),FALSE)),VLOOKUP($A169,Haver_M!$B$1:$BZ$300,MATCH(data!AX$1,Haver_M!$B$1:$BZ$1,0),FALSE),"")</f>
        <v>48.244900000000001</v>
      </c>
      <c r="AY169">
        <f>IF(ISNUMBER(VLOOKUP($A169,Haver_M!$B$1:$BZ$300,MATCH(data!AY$1,Haver_M!$B$1:$BZ$1,0),FALSE)),VLOOKUP($A169,Haver_M!$B$1:$BZ$300,MATCH(data!AY$1,Haver_M!$B$1:$BZ$1,0),FALSE),"")</f>
        <v>57.7684</v>
      </c>
      <c r="AZ169">
        <f>IF(ISNUMBER(VLOOKUP($A169,Haver_M!$B$1:$BZ$300,MATCH(data!AZ$1,Haver_M!$B$1:$BZ$1,0),FALSE)),VLOOKUP($A169,Haver_M!$B$1:$BZ$300,MATCH(data!AZ$1,Haver_M!$B$1:$BZ$1,0),FALSE),"")</f>
        <v>50.1661</v>
      </c>
      <c r="BA169">
        <f>IF(ISNUMBER(VLOOKUP($A169,Haver_M!$B$1:$BZ$300,MATCH(data!BA$1,Haver_M!$B$1:$BZ$1,0),FALSE)),VLOOKUP($A169,Haver_M!$B$1:$BZ$300,MATCH(data!BA$1,Haver_M!$B$1:$BZ$1,0),FALSE),"")</f>
        <v>48.244900000000001</v>
      </c>
      <c r="BB169">
        <f>IF(ISNUMBER(VLOOKUP($A169,Haver_M!$B$1:$BZ$300,MATCH(data!BB$1,Haver_M!$B$1:$BZ$1,0),FALSE)),VLOOKUP($A169,Haver_M!$B$1:$BZ$300,MATCH(data!BB$1,Haver_M!$B$1:$BZ$1,0),FALSE),"")</f>
        <v>51.597000000000001</v>
      </c>
      <c r="BC169">
        <f>IF(ISNUMBER(VLOOKUP($A169,Haver_M!$B$1:$BZ$300,MATCH(data!BC$1,Haver_M!$B$1:$BZ$1,0),FALSE)),VLOOKUP($A169,Haver_M!$B$1:$BZ$300,MATCH(data!BC$1,Haver_M!$B$1:$BZ$1,0),FALSE),"")</f>
        <v>51.804600000000001</v>
      </c>
      <c r="BD169">
        <f>IF(ISNUMBER(VLOOKUP($A169,Haver_M!$B$1:$BZ$300,MATCH(data!BD$1,Haver_M!$B$1:$BZ$1,0),FALSE)),VLOOKUP($A169,Haver_M!$B$1:$BZ$300,MATCH(data!BD$1,Haver_M!$B$1:$BZ$1,0),FALSE),"")</f>
        <v>53.800800000000002</v>
      </c>
      <c r="BE169">
        <f>IF(ISNUMBER(VLOOKUP($A169,Haver_M!$B$1:$BZ$300,MATCH(data!BE$1,Haver_M!$B$1:$BZ$1,0),FALSE)),VLOOKUP($A169,Haver_M!$B$1:$BZ$300,MATCH(data!BE$1,Haver_M!$B$1:$BZ$1,0),FALSE),"")</f>
        <v>1.0213000000000001</v>
      </c>
      <c r="BF169">
        <f>IF(ISNUMBER(VLOOKUP($A169,Haver_M!$B$1:$BZ$300,MATCH(data!BF$1,Haver_M!$B$1:$BZ$1,0),FALSE)),VLOOKUP($A169,Haver_M!$B$1:$BZ$300,MATCH(data!BF$1,Haver_M!$B$1:$BZ$1,0),FALSE),"")</f>
        <v>51.161000000000001</v>
      </c>
      <c r="BG169">
        <f>IF(ISNUMBER(VLOOKUP($A169,Haver_M!$B$1:$BZ$300,MATCH(data!BG$1,Haver_M!$B$1:$BZ$1,0),FALSE)),VLOOKUP($A169,Haver_M!$B$1:$BZ$300,MATCH(data!BG$1,Haver_M!$B$1:$BZ$1,0),FALSE),"")</f>
        <v>51.671399999999998</v>
      </c>
      <c r="BH169">
        <f>IF(ISNUMBER(VLOOKUP($A169,Haver_M!$B$1:$BZ$300,MATCH(data!BH$1,Haver_M!$B$1:$BZ$1,0),FALSE)),VLOOKUP($A169,Haver_M!$B$1:$BZ$300,MATCH(data!BH$1,Haver_M!$B$1:$BZ$1,0),FALSE),"")</f>
        <v>47.308500000000002</v>
      </c>
      <c r="BI169">
        <f>IF(ISNUMBER(VLOOKUP($A169,Haver_M!$B$1:$BZ$300,MATCH(data!BI$1,Haver_M!$B$1:$BZ$1,0),FALSE)),VLOOKUP($A169,Haver_M!$B$1:$BZ$300,MATCH(data!BI$1,Haver_M!$B$1:$BZ$1,0),FALSE),"")</f>
        <v>52.816899999999997</v>
      </c>
      <c r="BJ169" t="str">
        <f>IF(ISNUMBER(VLOOKUP($A169,Haver_M!$B$1:$BZ$300,MATCH(data!BJ$1,Haver_M!$B$1:$BZ$1,0),FALSE)),VLOOKUP($A169,Haver_M!$B$1:$BZ$300,MATCH(data!BJ$1,Haver_M!$B$1:$BZ$1,0),FALSE),"")</f>
        <v/>
      </c>
      <c r="BK169">
        <f>IF(ISNUMBER(VLOOKUP($A169,Haver_M!$B$1:$BZ$300,MATCH(data!BK$1,Haver_M!$B$1:$BZ$1,0),FALSE)),VLOOKUP($A169,Haver_M!$B$1:$BZ$300,MATCH(data!BK$1,Haver_M!$B$1:$BZ$1,0),FALSE),"")</f>
        <v>51.506999999999998</v>
      </c>
      <c r="BL169">
        <f>IF(ISNUMBER(VLOOKUP($A169,Haver_M!$B$1:$BZ$300,MATCH(data!BL$1,Haver_M!$B$1:$BZ$1,0),FALSE)),VLOOKUP($A169,Haver_M!$B$1:$BZ$300,MATCH(data!BL$1,Haver_M!$B$1:$BZ$1,0),FALSE),"")</f>
        <v>20973.61</v>
      </c>
      <c r="BM169">
        <f>IF(ISNUMBER(VLOOKUP($A169,Haver_M!$B$1:$BZ$300,MATCH(data!BM$1,Haver_M!$B$1:$BZ$1,0),FALSE)),VLOOKUP($A169,Haver_M!$B$1:$BZ$300,MATCH(data!BM$1,Haver_M!$B$1:$BZ$1,0),FALSE),"")</f>
        <v>100.72484813</v>
      </c>
      <c r="BN169">
        <f>IF(ISNUMBER(VLOOKUP($A169,Haver_M!$B$1:$BZ$300,MATCH(data!BN$1,Haver_M!$B$1:$BZ$1,0),FALSE)),VLOOKUP($A169,Haver_M!$B$1:$BZ$300,MATCH(data!BN$1,Haver_M!$B$1:$BZ$1,0),FALSE),"")</f>
        <v>98.8</v>
      </c>
      <c r="BO169">
        <f>IF(ISNUMBER(VLOOKUP($A169,Haver_M!$B$1:$BZ$300,MATCH(data!BO$1,Haver_M!$B$1:$BZ$1,0),FALSE)),VLOOKUP($A169,Haver_M!$B$1:$BZ$300,MATCH(data!BO$1,Haver_M!$B$1:$BZ$1,0),FALSE),"")</f>
        <v>109.9</v>
      </c>
      <c r="BP169">
        <f>IF(ISNUMBER(VLOOKUP($A169,Haver_M!$B$1:$BZ$300,MATCH(data!BP$1,Haver_M!$B$1:$BZ$1,0),FALSE)),VLOOKUP($A169,Haver_M!$B$1:$BZ$300,MATCH(data!BP$1,Haver_M!$B$1:$BZ$1,0),FALSE),"")</f>
        <v>25.7</v>
      </c>
      <c r="BQ169">
        <f>IF(ISNUMBER(VLOOKUP($A169,Haver_M!$B$1:$BZ$300,MATCH(data!BQ$1,Haver_M!$B$1:$BZ$1,0),FALSE)),VLOOKUP($A169,Haver_M!$B$1:$BZ$300,MATCH(data!BQ$1,Haver_M!$B$1:$BZ$1,0),FALSE),"")</f>
        <v>160.49881845185698</v>
      </c>
      <c r="BR169">
        <f>IF(ISNUMBER(VLOOKUP($A169,Haver_M!$B$1:$BZ$300,MATCH(data!BR$1,Haver_M!$B$1:$BZ$1,0),FALSE)),VLOOKUP($A169,Haver_M!$B$1:$BZ$300,MATCH(data!BR$1,Haver_M!$B$1:$BZ$1,0),FALSE),"")</f>
        <v>387.26302408484531</v>
      </c>
      <c r="BS169">
        <f>IF(ISNUMBER(VLOOKUP($A169,Haver_M!$B$1:$BZ$300,MATCH(data!BS$1,Haver_M!$B$1:$BZ$1,0),FALSE)),VLOOKUP($A169,Haver_M!$B$1:$BZ$300,MATCH(data!BS$1,Haver_M!$B$1:$BZ$1,0),FALSE),"")</f>
        <v>202.3123777465139</v>
      </c>
      <c r="BT169">
        <f>IF(ISNUMBER(VLOOKUP($A169,Haver_M!$B$1:$BZ$300,MATCH(data!BT$1,Haver_M!$B$1:$BZ$1,0),FALSE)),VLOOKUP($A169,Haver_M!$B$1:$BZ$300,MATCH(data!BT$1,Haver_M!$B$1:$BZ$1,0),FALSE),"")</f>
        <v>852.10506167794381</v>
      </c>
      <c r="BU169">
        <f>IF(ISNUMBER(VLOOKUP($A169,Haver_M!$B$1:$BZ$300,MATCH(data!BU$1,Haver_M!$B$1:$BZ$1,0),FALSE)),VLOOKUP($A169,Haver_M!$B$1:$BZ$300,MATCH(data!BU$1,Haver_M!$B$1:$BZ$1,0),FALSE),"")</f>
        <v>26393.06</v>
      </c>
      <c r="BV169">
        <f>IF(ISNUMBER(VLOOKUP($A169,Haver_M!$B$1:$BZ$300,MATCH(data!BV$1,Haver_M!$B$1:$BZ$1,0),FALSE)),VLOOKUP($A169,Haver_M!$B$1:$BZ$300,MATCH(data!BV$1,Haver_M!$B$1:$BZ$1,0),FALSE),"")</f>
        <v>36580.089999999997</v>
      </c>
      <c r="BW169">
        <f>IF(ISNUMBER(VLOOKUP($A169,Haver_M!$B$1:$BZ$300,MATCH(data!BW$1,Haver_M!$B$1:$BZ$1,0),FALSE)),VLOOKUP($A169,Haver_M!$B$1:$BZ$300,MATCH(data!BW$1,Haver_M!$B$1:$BZ$1,0),FALSE),"")</f>
        <v>61.910299999999999</v>
      </c>
      <c r="BX169">
        <f>IF(ISNUMBER(VLOOKUP($A169,Haver_M!$B$1:$BZ$300,MATCH(data!BX$1,Haver_M!$B$1:$BZ$1,0),FALSE)),VLOOKUP($A169,Haver_M!$B$1:$BZ$300,MATCH(data!BX$1,Haver_M!$B$1:$BZ$1,0),FALSE),"")</f>
        <v>66436</v>
      </c>
    </row>
    <row r="170" spans="1:76" x14ac:dyDescent="0.25">
      <c r="A170" s="2">
        <v>41670</v>
      </c>
      <c r="B170" t="str">
        <f>IF(ISNUMBER(VLOOKUP($A170,Haver_Q!$B$1:$L$185,MATCH(data!B$1,Haver_Q!$B$1:$L$1,0),FALSE)),100*(VLOOKUP($A170,Haver_Q!$B$1:$L$185,MATCH(data!B$1,Haver_Q!$B$1:$L$1,0),FALSE)),"")</f>
        <v/>
      </c>
      <c r="C170" t="str">
        <f>IF(ISNUMBER(VLOOKUP($A170,Haver_Q!$B$1:$L$185,MATCH(data!C$1,Haver_Q!$B$1:$L$1,0),FALSE)),100*(VLOOKUP($A170,Haver_Q!$B$1:$L$185,MATCH(data!C$1,Haver_Q!$B$1:$L$1,0),FALSE)),"")</f>
        <v/>
      </c>
      <c r="D170" t="str">
        <f>IF(ISNUMBER(VLOOKUP($A170,Haver_Q!$B$1:$L$185,MATCH(data!D$1,Haver_Q!$B$1:$L$1,0),FALSE)),100*(VLOOKUP($A170,Haver_Q!$B$1:$L$185,MATCH(data!D$1,Haver_Q!$B$1:$L$1,0),FALSE)),"")</f>
        <v/>
      </c>
      <c r="E170" t="str">
        <f>IF(ISNUMBER(VLOOKUP($A170,Haver_Q!$B$1:$L$185,MATCH(data!E$1,Haver_Q!$B$1:$L$1,0),FALSE)),100*(VLOOKUP($A170,Haver_Q!$B$1:$L$185,MATCH(data!E$1,Haver_Q!$B$1:$L$1,0),FALSE)),"")</f>
        <v/>
      </c>
      <c r="F170" t="str">
        <f>IF(ISNUMBER(VLOOKUP($A170,Haver_Q!$B$1:$L$185,MATCH(data!F$1,Haver_Q!$B$1:$L$1,0),FALSE)),100*(VLOOKUP($A170,Haver_Q!$B$1:$L$185,MATCH(data!F$1,Haver_Q!$B$1:$L$1,0),FALSE)),"")</f>
        <v/>
      </c>
      <c r="G170" t="str">
        <f>IF(ISNUMBER(VLOOKUP($A170,Haver_Q!$B$1:$L$185,MATCH(data!G$1,Haver_Q!$B$1:$L$1,0),FALSE)),100*(VLOOKUP($A170,Haver_Q!$B$1:$L$185,MATCH(data!G$1,Haver_Q!$B$1:$L$1,0),FALSE)),"")</f>
        <v/>
      </c>
      <c r="H170" t="str">
        <f>IF(ISNUMBER(VLOOKUP($A170,Haver_Q!$B$1:$L$185,MATCH(data!H$1,Haver_Q!$B$1:$L$1,0),FALSE)),(VLOOKUP($A170,Haver_Q!$B$1:$L$185,MATCH(data!H$1,Haver_Q!$B$1:$L$1,0),FALSE)),"")</f>
        <v/>
      </c>
      <c r="I170" t="str">
        <f>IF(ISNUMBER(VLOOKUP($A170,Haver_Q!$B$1:$L$185,MATCH(data!I$1,Haver_Q!$B$1:$L$1,0),FALSE)),100*(VLOOKUP($A170,Haver_Q!$B$1:$L$185,MATCH(data!I$1,Haver_Q!$B$1:$L$1,0),FALSE)),"")</f>
        <v/>
      </c>
      <c r="J170" s="3">
        <f>IF(ISNUMBER(Bloomberg_m!C186),Bloomberg_m!C186,"")</f>
        <v>1472</v>
      </c>
      <c r="K170" s="3">
        <f>IF(ISNUMBER(Bloomberg_m!D186),Bloomberg_m!D186,"")</f>
        <v>2304.0100000000002</v>
      </c>
      <c r="L170" s="3">
        <f>IF(ISNUMBER(Bloomberg_m!E186),Bloomberg_m!E186,"")</f>
        <v>1174.8699999999999</v>
      </c>
      <c r="M170" s="3">
        <f>IF(ISNUMBER(Bloomberg_m!F186),Bloomberg_m!F186,"")</f>
        <v>602.37</v>
      </c>
      <c r="N170">
        <f>IF(ISNUMBER(VLOOKUP($A170,Haver_M!$B$1:$BZ$300,MATCH(data!N$1,Haver_M!$B$1:$BZ$1,0),FALSE)),VLOOKUP($A170,Haver_M!$B$1:$BZ$300,MATCH(data!N$1,Haver_M!$B$1:$BZ$1,0),FALSE),"")</f>
        <v>8</v>
      </c>
      <c r="O170">
        <f>IF(ISNUMBER(VLOOKUP($A170,Haver_M!$B$1:$BZ$300,MATCH(data!O$1,Haver_M!$B$1:$BZ$1,0),FALSE)),VLOOKUP($A170,Haver_M!$B$1:$BZ$300,MATCH(data!O$1,Haver_M!$B$1:$BZ$1,0),FALSE),"")</f>
        <v>8.8697999999999997</v>
      </c>
      <c r="P170">
        <f>IF(ISNUMBER(VLOOKUP($A170,Haver_M!$B$1:$BZ$300,MATCH(data!P$1,Haver_M!$B$1:$BZ$1,0),FALSE)),VLOOKUP($A170,Haver_M!$B$1:$BZ$300,MATCH(data!P$1,Haver_M!$B$1:$BZ$1,0),FALSE),"")</f>
        <v>85.161150000000006</v>
      </c>
      <c r="Q170">
        <f>IF(ISNUMBER(VLOOKUP($A170,Haver_M!$B$1:$BZ$300,MATCH(data!Q$1,Haver_M!$B$1:$BZ$1,0),FALSE)),VLOOKUP($A170,Haver_M!$B$1:$BZ$300,MATCH(data!Q$1,Haver_M!$B$1:$BZ$1,0),FALSE),"")</f>
        <v>113.6</v>
      </c>
      <c r="R170">
        <f>IF(ISNUMBER(VLOOKUP($A170,Haver_M!$B$1:$BZ$300,MATCH(data!R$1,Haver_M!$B$1:$BZ$1,0),FALSE)),VLOOKUP($A170,Haver_M!$B$1:$BZ$300,MATCH(data!R$1,Haver_M!$B$1:$BZ$1,0),FALSE),"")</f>
        <v>111.9</v>
      </c>
      <c r="S170">
        <f>IF(ISNUMBER(VLOOKUP($A170,Haver_M!$B$1:$BZ$300,MATCH(data!S$1,Haver_M!$B$1:$BZ$1,0),FALSE)),VLOOKUP($A170,Haver_M!$B$1:$BZ$300,MATCH(data!S$1,Haver_M!$B$1:$BZ$1,0),FALSE),"")</f>
        <v>108.63</v>
      </c>
      <c r="T170">
        <f>IF(ISNUMBER(VLOOKUP($A170,Haver_M!$B$1:$BZ$300,MATCH(data!T$1,Haver_M!$B$1:$BZ$1,0),FALSE)),VLOOKUP($A170,Haver_M!$B$1:$BZ$300,MATCH(data!T$1,Haver_M!$B$1:$BZ$1,0),FALSE),"")</f>
        <v>104.83</v>
      </c>
      <c r="U170">
        <f>IF(ISNUMBER(VLOOKUP($A170,Haver_M!$B$1:$BZ$300,MATCH(data!U$1,Haver_M!$B$1:$BZ$1,0),FALSE)),VLOOKUP($A170,Haver_M!$B$1:$BZ$300,MATCH(data!U$1,Haver_M!$B$1:$BZ$1,0),FALSE),"")</f>
        <v>96.09</v>
      </c>
      <c r="V170">
        <f>IF(ISNUMBER(VLOOKUP($A170,Haver_M!$B$1:$BZ$300,MATCH(data!V$1,Haver_M!$B$1:$BZ$1,0),FALSE)),VLOOKUP($A170,Haver_M!$B$1:$BZ$300,MATCH(data!V$1,Haver_M!$B$1:$BZ$1,0),FALSE),"")</f>
        <v>111.8</v>
      </c>
      <c r="W170">
        <f>IF(ISNUMBER(VLOOKUP($A170,Haver_M!$B$1:$BZ$300,MATCH(data!W$1,Haver_M!$B$1:$BZ$1,0),FALSE)),VLOOKUP($A170,Haver_M!$B$1:$BZ$300,MATCH(data!W$1,Haver_M!$B$1:$BZ$1,0),FALSE),"")</f>
        <v>115.42</v>
      </c>
      <c r="X170">
        <f>IF(ISNUMBER(VLOOKUP($A170,Haver_M!$B$1:$BZ$300,MATCH(data!X$1,Haver_M!$B$1:$BZ$1,0),FALSE)),VLOOKUP($A170,Haver_M!$B$1:$BZ$300,MATCH(data!X$1,Haver_M!$B$1:$BZ$1,0),FALSE),"")</f>
        <v>114.57</v>
      </c>
      <c r="Y170">
        <f>IF(ISNUMBER(VLOOKUP($A170,Haver_M!$B$1:$BZ$300,MATCH(data!Y$1,Haver_M!$B$1:$BZ$1,0),FALSE)),VLOOKUP($A170,Haver_M!$B$1:$BZ$300,MATCH(data!Y$1,Haver_M!$B$1:$BZ$1,0),FALSE),"")</f>
        <v>109.56</v>
      </c>
      <c r="Z170">
        <f>IF(ISNUMBER(VLOOKUP($A170,Haver_M!$B$1:$BZ$300,MATCH(data!Z$1,Haver_M!$B$1:$BZ$1,0),FALSE)),VLOOKUP($A170,Haver_M!$B$1:$BZ$300,MATCH(data!Z$1,Haver_M!$B$1:$BZ$1,0),FALSE),"")</f>
        <v>108.3</v>
      </c>
      <c r="AA170">
        <f>IF(ISNUMBER(VLOOKUP($A170,Haver_M!$B$1:$BZ$300,MATCH(data!AA$1,Haver_M!$B$1:$BZ$1,0),FALSE)),VLOOKUP($A170,Haver_M!$B$1:$BZ$300,MATCH(data!AA$1,Haver_M!$B$1:$BZ$1,0),FALSE),"")</f>
        <v>107.137</v>
      </c>
      <c r="AB170">
        <f>IF(ISNUMBER(VLOOKUP($A170,Haver_M!$B$1:$BZ$300,MATCH(data!AB$1,Haver_M!$B$1:$BZ$1,0),FALSE)),VLOOKUP($A170,Haver_M!$B$1:$BZ$300,MATCH(data!AB$1,Haver_M!$B$1:$BZ$1,0),FALSE),"")</f>
        <v>101.577</v>
      </c>
      <c r="AC170">
        <f>IF(ISNUMBER(VLOOKUP($A170,Haver_M!$B$1:$BZ$300,MATCH(data!AC$1,Haver_M!$B$1:$BZ$1,0),FALSE)),VLOOKUP($A170,Haver_M!$B$1:$BZ$300,MATCH(data!AC$1,Haver_M!$B$1:$BZ$1,0),FALSE),"")</f>
        <v>76.346000000000004</v>
      </c>
      <c r="AD170">
        <f>IF(ISNUMBER(VLOOKUP($A170,Haver_M!$B$1:$BZ$300,MATCH(data!AD$1,Haver_M!$B$1:$BZ$1,0),FALSE)),VLOOKUP($A170,Haver_M!$B$1:$BZ$300,MATCH(data!AD$1,Haver_M!$B$1:$BZ$1,0),FALSE),"")</f>
        <v>106.17100000000001</v>
      </c>
      <c r="AE170">
        <f>IF(ISNUMBER(VLOOKUP($A170,Haver_M!$B$1:$BZ$300,MATCH(data!AE$1,Haver_M!$B$1:$BZ$1,0),FALSE)),VLOOKUP($A170,Haver_M!$B$1:$BZ$300,MATCH(data!AE$1,Haver_M!$B$1:$BZ$1,0),FALSE),"")</f>
        <v>99.58</v>
      </c>
      <c r="AF170">
        <f>IF(ISNUMBER(VLOOKUP($A170,Haver_M!$B$1:$BZ$300,MATCH(data!AF$1,Haver_M!$B$1:$BZ$1,0),FALSE)),VLOOKUP($A170,Haver_M!$B$1:$BZ$300,MATCH(data!AF$1,Haver_M!$B$1:$BZ$1,0),FALSE),"")</f>
        <v>118.78</v>
      </c>
      <c r="AG170">
        <f>IF(ISNUMBER(VLOOKUP($A170,Haver_M!$B$1:$BZ$300,MATCH(data!AG$1,Haver_M!$B$1:$BZ$1,0),FALSE)),VLOOKUP($A170,Haver_M!$B$1:$BZ$300,MATCH(data!AG$1,Haver_M!$B$1:$BZ$1,0),FALSE),"")</f>
        <v>116.10299999999999</v>
      </c>
      <c r="AH170">
        <f>IF(ISNUMBER(VLOOKUP($A170,Haver_M!$B$1:$BZ$300,MATCH(data!AH$1,Haver_M!$B$1:$BZ$1,0),FALSE)),VLOOKUP($A170,Haver_M!$B$1:$BZ$300,MATCH(data!AH$1,Haver_M!$B$1:$BZ$1,0),FALSE),"")</f>
        <v>115.358</v>
      </c>
      <c r="AI170">
        <f>IF(ISNUMBER(VLOOKUP($A170,Haver_M!$B$1:$BZ$300,MATCH(data!AI$1,Haver_M!$B$1:$BZ$1,0),FALSE)),VLOOKUP($A170,Haver_M!$B$1:$BZ$300,MATCH(data!AI$1,Haver_M!$B$1:$BZ$1,0),FALSE),"")</f>
        <v>13417.441368888614</v>
      </c>
      <c r="AJ170">
        <f>IF(ISNUMBER(VLOOKUP($A170,Haver_M!$B$1:$BZ$300,MATCH(data!AJ$1,Haver_M!$B$1:$BZ$1,0),FALSE)),VLOOKUP($A170,Haver_M!$B$1:$BZ$300,MATCH(data!AJ$1,Haver_M!$B$1:$BZ$1,0),FALSE),"")</f>
        <v>26836.799999999999</v>
      </c>
      <c r="AK170">
        <f>IF(ISNUMBER(VLOOKUP($A170,Haver_M!$B$1:$BZ$300,MATCH(data!AK$1,Haver_M!$B$1:$BZ$1,0),FALSE)),VLOOKUP($A170,Haver_M!$B$1:$BZ$300,MATCH(data!AK$1,Haver_M!$B$1:$BZ$1,0),FALSE),"")</f>
        <v>36424.92</v>
      </c>
      <c r="AL170">
        <f>IF(ISNUMBER(VLOOKUP($A170,Haver_M!$B$1:$BZ$300,MATCH(data!AL$1,Haver_M!$B$1:$BZ$1,0),FALSE)),VLOOKUP($A170,Haver_M!$B$1:$BZ$300,MATCH(data!AL$1,Haver_M!$B$1:$BZ$1,0),FALSE),"")</f>
        <v>13927</v>
      </c>
      <c r="AM170">
        <f>IF(ISNUMBER(VLOOKUP($A170,Haver_M!$B$1:$BZ$300,MATCH(data!AM$1,Haver_M!$B$1:$BZ$1,0),FALSE)),VLOOKUP($A170,Haver_M!$B$1:$BZ$300,MATCH(data!AM$1,Haver_M!$B$1:$BZ$1,0),FALSE),"")</f>
        <v>7268</v>
      </c>
      <c r="AN170" t="str">
        <f>IF(ISNUMBER(VLOOKUP($A170,Haver_M!$B$1:$BZ$300,MATCH(data!AN$1,Haver_M!$B$1:$BZ$1,0),FALSE)),VLOOKUP($A170,Haver_M!$B$1:$BZ$300,MATCH(data!AN$1,Haver_M!$B$1:$BZ$1,0),FALSE),"")</f>
        <v/>
      </c>
      <c r="AO170" t="str">
        <f>IF(ISNUMBER(VLOOKUP($A170,Haver_M!$B$1:$BZ$300,MATCH(data!AO$1,Haver_M!$B$1:$BZ$1,0),FALSE)),VLOOKUP($A170,Haver_M!$B$1:$BZ$300,MATCH(data!AO$1,Haver_M!$B$1:$BZ$1,0),FALSE),"")</f>
        <v/>
      </c>
      <c r="AP170">
        <f>IF(ISNUMBER(VLOOKUP($A170,Haver_M!$B$1:$BZ$300,MATCH(data!AP$1,Haver_M!$B$1:$BZ$1,0),FALSE)),VLOOKUP($A170,Haver_M!$B$1:$BZ$300,MATCH(data!AP$1,Haver_M!$B$1:$BZ$1,0),FALSE),"")</f>
        <v>90.906442818909824</v>
      </c>
      <c r="AQ170">
        <f>IF(ISNUMBER(VLOOKUP($A170,Haver_M!$B$1:$BZ$300,MATCH(data!AQ$1,Haver_M!$B$1:$BZ$1,0),FALSE)),VLOOKUP($A170,Haver_M!$B$1:$BZ$300,MATCH(data!AQ$1,Haver_M!$B$1:$BZ$1,0),FALSE),"")</f>
        <v>49.559699999999999</v>
      </c>
      <c r="AR170">
        <f>IF(ISNUMBER(VLOOKUP($A170,Haver_M!$B$1:$BZ$300,MATCH(data!AR$1,Haver_M!$B$1:$BZ$1,0),FALSE)),VLOOKUP($A170,Haver_M!$B$1:$BZ$300,MATCH(data!AR$1,Haver_M!$B$1:$BZ$1,0),FALSE),"")</f>
        <v>51.399500000000003</v>
      </c>
      <c r="AS170">
        <f>IF(ISNUMBER(VLOOKUP($A170,Haver_M!$B$1:$BZ$300,MATCH(data!AS$1,Haver_M!$B$1:$BZ$1,0),FALSE)),VLOOKUP($A170,Haver_M!$B$1:$BZ$300,MATCH(data!AS$1,Haver_M!$B$1:$BZ$1,0),FALSE),"")</f>
        <v>48.259</v>
      </c>
      <c r="AT170">
        <f>IF(ISNUMBER(VLOOKUP($A170,Haver_M!$B$1:$BZ$300,MATCH(data!AT$1,Haver_M!$B$1:$BZ$1,0),FALSE)),VLOOKUP($A170,Haver_M!$B$1:$BZ$300,MATCH(data!AT$1,Haver_M!$B$1:$BZ$1,0),FALSE),"")</f>
        <v>52.648699999999998</v>
      </c>
      <c r="AU170">
        <f>IF(ISNUMBER(VLOOKUP($A170,Haver_M!$B$1:$BZ$300,MATCH(data!AU$1,Haver_M!$B$1:$BZ$1,0),FALSE)),VLOOKUP($A170,Haver_M!$B$1:$BZ$300,MATCH(data!AU$1,Haver_M!$B$1:$BZ$1,0),FALSE),"")</f>
        <v>52.372199999999999</v>
      </c>
      <c r="AV170">
        <f>IF(ISNUMBER(VLOOKUP($A170,Haver_M!$B$1:$BZ$300,MATCH(data!AV$1,Haver_M!$B$1:$BZ$1,0),FALSE)),VLOOKUP($A170,Haver_M!$B$1:$BZ$300,MATCH(data!AV$1,Haver_M!$B$1:$BZ$1,0),FALSE),"")</f>
        <v>51.010599999999997</v>
      </c>
      <c r="AW170">
        <f>IF(ISNUMBER(VLOOKUP($A170,Haver_M!$B$1:$BZ$300,MATCH(data!AW$1,Haver_M!$B$1:$BZ$1,0),FALSE)),VLOOKUP($A170,Haver_M!$B$1:$BZ$300,MATCH(data!AW$1,Haver_M!$B$1:$BZ$1,0),FALSE),"")</f>
        <v>50.519599999999997</v>
      </c>
      <c r="AX170">
        <f>IF(ISNUMBER(VLOOKUP($A170,Haver_M!$B$1:$BZ$300,MATCH(data!AX$1,Haver_M!$B$1:$BZ$1,0),FALSE)),VLOOKUP($A170,Haver_M!$B$1:$BZ$300,MATCH(data!AX$1,Haver_M!$B$1:$BZ$1,0),FALSE),"")</f>
        <v>49.014299999999999</v>
      </c>
      <c r="AY170">
        <f>IF(ISNUMBER(VLOOKUP($A170,Haver_M!$B$1:$BZ$300,MATCH(data!AY$1,Haver_M!$B$1:$BZ$1,0),FALSE)),VLOOKUP($A170,Haver_M!$B$1:$BZ$300,MATCH(data!AY$1,Haver_M!$B$1:$BZ$1,0),FALSE),"")</f>
        <v>57.6586</v>
      </c>
      <c r="AZ170">
        <f>IF(ISNUMBER(VLOOKUP($A170,Haver_M!$B$1:$BZ$300,MATCH(data!AZ$1,Haver_M!$B$1:$BZ$1,0),FALSE)),VLOOKUP($A170,Haver_M!$B$1:$BZ$300,MATCH(data!AZ$1,Haver_M!$B$1:$BZ$1,0),FALSE),"")</f>
        <v>51.431699999999999</v>
      </c>
      <c r="BA170">
        <f>IF(ISNUMBER(VLOOKUP($A170,Haver_M!$B$1:$BZ$300,MATCH(data!BA$1,Haver_M!$B$1:$BZ$1,0),FALSE)),VLOOKUP($A170,Haver_M!$B$1:$BZ$300,MATCH(data!BA$1,Haver_M!$B$1:$BZ$1,0),FALSE),"")</f>
        <v>49.014299999999999</v>
      </c>
      <c r="BB170">
        <f>IF(ISNUMBER(VLOOKUP($A170,Haver_M!$B$1:$BZ$300,MATCH(data!BB$1,Haver_M!$B$1:$BZ$1,0),FALSE)),VLOOKUP($A170,Haver_M!$B$1:$BZ$300,MATCH(data!BB$1,Haver_M!$B$1:$BZ$1,0),FALSE),"")</f>
        <v>52.599899999999998</v>
      </c>
      <c r="BC170">
        <f>IF(ISNUMBER(VLOOKUP($A170,Haver_M!$B$1:$BZ$300,MATCH(data!BC$1,Haver_M!$B$1:$BZ$1,0),FALSE)),VLOOKUP($A170,Haver_M!$B$1:$BZ$300,MATCH(data!BC$1,Haver_M!$B$1:$BZ$1,0),FALSE),"")</f>
        <v>52.3782</v>
      </c>
      <c r="BD170">
        <f>IF(ISNUMBER(VLOOKUP($A170,Haver_M!$B$1:$BZ$300,MATCH(data!BD$1,Haver_M!$B$1:$BZ$1,0),FALSE)),VLOOKUP($A170,Haver_M!$B$1:$BZ$300,MATCH(data!BD$1,Haver_M!$B$1:$BZ$1,0),FALSE),"")</f>
        <v>53.183199999999999</v>
      </c>
      <c r="BE170">
        <f>IF(ISNUMBER(VLOOKUP($A170,Haver_M!$B$1:$BZ$300,MATCH(data!BE$1,Haver_M!$B$1:$BZ$1,0),FALSE)),VLOOKUP($A170,Haver_M!$B$1:$BZ$300,MATCH(data!BE$1,Haver_M!$B$1:$BZ$1,0),FALSE),"")</f>
        <v>1.0184</v>
      </c>
      <c r="BF170">
        <f>IF(ISNUMBER(VLOOKUP($A170,Haver_M!$B$1:$BZ$300,MATCH(data!BF$1,Haver_M!$B$1:$BZ$1,0),FALSE)),VLOOKUP($A170,Haver_M!$B$1:$BZ$300,MATCH(data!BF$1,Haver_M!$B$1:$BZ$1,0),FALSE),"")</f>
        <v>50.895600000000002</v>
      </c>
      <c r="BG170">
        <f>IF(ISNUMBER(VLOOKUP($A170,Haver_M!$B$1:$BZ$300,MATCH(data!BG$1,Haver_M!$B$1:$BZ$1,0),FALSE)),VLOOKUP($A170,Haver_M!$B$1:$BZ$300,MATCH(data!BG$1,Haver_M!$B$1:$BZ$1,0),FALSE),"")</f>
        <v>51.62</v>
      </c>
      <c r="BH170">
        <f>IF(ISNUMBER(VLOOKUP($A170,Haver_M!$B$1:$BZ$300,MATCH(data!BH$1,Haver_M!$B$1:$BZ$1,0),FALSE)),VLOOKUP($A170,Haver_M!$B$1:$BZ$300,MATCH(data!BH$1,Haver_M!$B$1:$BZ$1,0),FALSE),"")</f>
        <v>48.716200000000001</v>
      </c>
      <c r="BI170">
        <f>IF(ISNUMBER(VLOOKUP($A170,Haver_M!$B$1:$BZ$300,MATCH(data!BI$1,Haver_M!$B$1:$BZ$1,0),FALSE)),VLOOKUP($A170,Haver_M!$B$1:$BZ$300,MATCH(data!BI$1,Haver_M!$B$1:$BZ$1,0),FALSE),"")</f>
        <v>54.693399999999997</v>
      </c>
      <c r="BJ170" t="str">
        <f>IF(ISNUMBER(VLOOKUP($A170,Haver_M!$B$1:$BZ$300,MATCH(data!BJ$1,Haver_M!$B$1:$BZ$1,0),FALSE)),VLOOKUP($A170,Haver_M!$B$1:$BZ$300,MATCH(data!BJ$1,Haver_M!$B$1:$BZ$1,0),FALSE),"")</f>
        <v/>
      </c>
      <c r="BK170">
        <f>IF(ISNUMBER(VLOOKUP($A170,Haver_M!$B$1:$BZ$300,MATCH(data!BK$1,Haver_M!$B$1:$BZ$1,0),FALSE)),VLOOKUP($A170,Haver_M!$B$1:$BZ$300,MATCH(data!BK$1,Haver_M!$B$1:$BZ$1,0),FALSE),"")</f>
        <v>48.689300000000003</v>
      </c>
      <c r="BL170">
        <f>IF(ISNUMBER(VLOOKUP($A170,Haver_M!$B$1:$BZ$300,MATCH(data!BL$1,Haver_M!$B$1:$BZ$1,0),FALSE)),VLOOKUP($A170,Haver_M!$B$1:$BZ$300,MATCH(data!BL$1,Haver_M!$B$1:$BZ$1,0),FALSE),"")</f>
        <v>20943.419999999998</v>
      </c>
      <c r="BM170">
        <f>IF(ISNUMBER(VLOOKUP($A170,Haver_M!$B$1:$BZ$300,MATCH(data!BM$1,Haver_M!$B$1:$BZ$1,0),FALSE)),VLOOKUP($A170,Haver_M!$B$1:$BZ$300,MATCH(data!BM$1,Haver_M!$B$1:$BZ$1,0),FALSE),"")</f>
        <v>100.93811786000001</v>
      </c>
      <c r="BN170" t="str">
        <f>IF(ISNUMBER(VLOOKUP($A170,Haver_M!$B$1:$BZ$300,MATCH(data!BN$1,Haver_M!$B$1:$BZ$1,0),FALSE)),VLOOKUP($A170,Haver_M!$B$1:$BZ$300,MATCH(data!BN$1,Haver_M!$B$1:$BZ$1,0),FALSE),"")</f>
        <v/>
      </c>
      <c r="BO170" t="str">
        <f>IF(ISNUMBER(VLOOKUP($A170,Haver_M!$B$1:$BZ$300,MATCH(data!BO$1,Haver_M!$B$1:$BZ$1,0),FALSE)),VLOOKUP($A170,Haver_M!$B$1:$BZ$300,MATCH(data!BO$1,Haver_M!$B$1:$BZ$1,0),FALSE),"")</f>
        <v/>
      </c>
      <c r="BP170" t="str">
        <f>IF(ISNUMBER(VLOOKUP($A170,Haver_M!$B$1:$BZ$300,MATCH(data!BP$1,Haver_M!$B$1:$BZ$1,0),FALSE)),VLOOKUP($A170,Haver_M!$B$1:$BZ$300,MATCH(data!BP$1,Haver_M!$B$1:$BZ$1,0),FALSE),"")</f>
        <v/>
      </c>
      <c r="BQ170">
        <f>IF(ISNUMBER(VLOOKUP($A170,Haver_M!$B$1:$BZ$300,MATCH(data!BQ$1,Haver_M!$B$1:$BZ$1,0),FALSE)),VLOOKUP($A170,Haver_M!$B$1:$BZ$300,MATCH(data!BQ$1,Haver_M!$B$1:$BZ$1,0),FALSE),"")</f>
        <v>158.06656356724014</v>
      </c>
      <c r="BR170">
        <f>IF(ISNUMBER(VLOOKUP($A170,Haver_M!$B$1:$BZ$300,MATCH(data!BR$1,Haver_M!$B$1:$BZ$1,0),FALSE)),VLOOKUP($A170,Haver_M!$B$1:$BZ$300,MATCH(data!BR$1,Haver_M!$B$1:$BZ$1,0),FALSE),"")</f>
        <v>390.39065017075842</v>
      </c>
      <c r="BS170">
        <f>IF(ISNUMBER(VLOOKUP($A170,Haver_M!$B$1:$BZ$300,MATCH(data!BS$1,Haver_M!$B$1:$BZ$1,0),FALSE)),VLOOKUP($A170,Haver_M!$B$1:$BZ$300,MATCH(data!BS$1,Haver_M!$B$1:$BZ$1,0),FALSE),"")</f>
        <v>203.26470777756299</v>
      </c>
      <c r="BT170">
        <f>IF(ISNUMBER(VLOOKUP($A170,Haver_M!$B$1:$BZ$300,MATCH(data!BT$1,Haver_M!$B$1:$BZ$1,0),FALSE)),VLOOKUP($A170,Haver_M!$B$1:$BZ$300,MATCH(data!BT$1,Haver_M!$B$1:$BZ$1,0),FALSE),"")</f>
        <v>855.48295637605509</v>
      </c>
      <c r="BU170">
        <f>IF(ISNUMBER(VLOOKUP($A170,Haver_M!$B$1:$BZ$300,MATCH(data!BU$1,Haver_M!$B$1:$BZ$1,0),FALSE)),VLOOKUP($A170,Haver_M!$B$1:$BZ$300,MATCH(data!BU$1,Haver_M!$B$1:$BZ$1,0),FALSE),"")</f>
        <v>26891.58</v>
      </c>
      <c r="BV170">
        <f>IF(ISNUMBER(VLOOKUP($A170,Haver_M!$B$1:$BZ$300,MATCH(data!BV$1,Haver_M!$B$1:$BZ$1,0),FALSE)),VLOOKUP($A170,Haver_M!$B$1:$BZ$300,MATCH(data!BV$1,Haver_M!$B$1:$BZ$1,0),FALSE),"")</f>
        <v>36346.32</v>
      </c>
      <c r="BW170">
        <f>IF(ISNUMBER(VLOOKUP($A170,Haver_M!$B$1:$BZ$300,MATCH(data!BW$1,Haver_M!$B$1:$BZ$1,0),FALSE)),VLOOKUP($A170,Haver_M!$B$1:$BZ$300,MATCH(data!BW$1,Haver_M!$B$1:$BZ$1,0),FALSE),"")</f>
        <v>62.076000000000001</v>
      </c>
      <c r="BX170">
        <f>IF(ISNUMBER(VLOOKUP($A170,Haver_M!$B$1:$BZ$300,MATCH(data!BX$1,Haver_M!$B$1:$BZ$1,0),FALSE)),VLOOKUP($A170,Haver_M!$B$1:$BZ$300,MATCH(data!BX$1,Haver_M!$B$1:$BZ$1,0),FALSE),"")</f>
        <v>63907</v>
      </c>
    </row>
    <row r="171" spans="1:76" x14ac:dyDescent="0.25">
      <c r="A171" s="2">
        <v>41698</v>
      </c>
      <c r="B171" t="str">
        <f>IF(ISNUMBER(VLOOKUP($A171,Haver_Q!$B$1:$L$185,MATCH(data!B$1,Haver_Q!$B$1:$L$1,0),FALSE)),100*(VLOOKUP($A171,Haver_Q!$B$1:$L$185,MATCH(data!B$1,Haver_Q!$B$1:$L$1,0),FALSE)),"")</f>
        <v/>
      </c>
      <c r="C171" t="str">
        <f>IF(ISNUMBER(VLOOKUP($A171,Haver_Q!$B$1:$L$185,MATCH(data!C$1,Haver_Q!$B$1:$L$1,0),FALSE)),100*(VLOOKUP($A171,Haver_Q!$B$1:$L$185,MATCH(data!C$1,Haver_Q!$B$1:$L$1,0),FALSE)),"")</f>
        <v/>
      </c>
      <c r="D171" t="str">
        <f>IF(ISNUMBER(VLOOKUP($A171,Haver_Q!$B$1:$L$185,MATCH(data!D$1,Haver_Q!$B$1:$L$1,0),FALSE)),100*(VLOOKUP($A171,Haver_Q!$B$1:$L$185,MATCH(data!D$1,Haver_Q!$B$1:$L$1,0),FALSE)),"")</f>
        <v/>
      </c>
      <c r="E171" t="str">
        <f>IF(ISNUMBER(VLOOKUP($A171,Haver_Q!$B$1:$L$185,MATCH(data!E$1,Haver_Q!$B$1:$L$1,0),FALSE)),100*(VLOOKUP($A171,Haver_Q!$B$1:$L$185,MATCH(data!E$1,Haver_Q!$B$1:$L$1,0),FALSE)),"")</f>
        <v/>
      </c>
      <c r="F171" t="str">
        <f>IF(ISNUMBER(VLOOKUP($A171,Haver_Q!$B$1:$L$185,MATCH(data!F$1,Haver_Q!$B$1:$L$1,0),FALSE)),100*(VLOOKUP($A171,Haver_Q!$B$1:$L$185,MATCH(data!F$1,Haver_Q!$B$1:$L$1,0),FALSE)),"")</f>
        <v/>
      </c>
      <c r="G171" t="str">
        <f>IF(ISNUMBER(VLOOKUP($A171,Haver_Q!$B$1:$L$185,MATCH(data!G$1,Haver_Q!$B$1:$L$1,0),FALSE)),100*(VLOOKUP($A171,Haver_Q!$B$1:$L$185,MATCH(data!G$1,Haver_Q!$B$1:$L$1,0),FALSE)),"")</f>
        <v/>
      </c>
      <c r="H171" t="str">
        <f>IF(ISNUMBER(VLOOKUP($A171,Haver_Q!$B$1:$L$185,MATCH(data!H$1,Haver_Q!$B$1:$L$1,0),FALSE)),(VLOOKUP($A171,Haver_Q!$B$1:$L$185,MATCH(data!H$1,Haver_Q!$B$1:$L$1,0),FALSE)),"")</f>
        <v/>
      </c>
      <c r="I171" t="str">
        <f>IF(ISNUMBER(VLOOKUP($A171,Haver_Q!$B$1:$L$185,MATCH(data!I$1,Haver_Q!$B$1:$L$1,0),FALSE)),100*(VLOOKUP($A171,Haver_Q!$B$1:$L$185,MATCH(data!I$1,Haver_Q!$B$1:$L$1,0),FALSE)),"")</f>
        <v/>
      </c>
      <c r="J171" s="3">
        <f>IF(ISNUMBER(Bloomberg_m!C187),Bloomberg_m!C187,"")</f>
        <v>1140</v>
      </c>
      <c r="K171" s="3">
        <f>IF(ISNUMBER(Bloomberg_m!D187),Bloomberg_m!D187,"")</f>
        <v>2199.16</v>
      </c>
      <c r="L171" s="3">
        <f>IF(ISNUMBER(Bloomberg_m!E187),Bloomberg_m!E187,"")</f>
        <v>1069.3599999999999</v>
      </c>
      <c r="M171" s="3">
        <f>IF(ISNUMBER(Bloomberg_m!F187),Bloomberg_m!F187,"")</f>
        <v>590.70000000000005</v>
      </c>
      <c r="N171">
        <f>IF(ISNUMBER(VLOOKUP($A171,Haver_M!$B$1:$BZ$300,MATCH(data!N$1,Haver_M!$B$1:$BZ$1,0),FALSE)),VLOOKUP($A171,Haver_M!$B$1:$BZ$300,MATCH(data!N$1,Haver_M!$B$1:$BZ$1,0),FALSE),"")</f>
        <v>8</v>
      </c>
      <c r="O171">
        <f>IF(ISNUMBER(VLOOKUP($A171,Haver_M!$B$1:$BZ$300,MATCH(data!O$1,Haver_M!$B$1:$BZ$1,0),FALSE)),VLOOKUP($A171,Haver_M!$B$1:$BZ$300,MATCH(data!O$1,Haver_M!$B$1:$BZ$1,0),FALSE),"")</f>
        <v>8.9383999999999997</v>
      </c>
      <c r="P171">
        <f>IF(ISNUMBER(VLOOKUP($A171,Haver_M!$B$1:$BZ$300,MATCH(data!P$1,Haver_M!$B$1:$BZ$1,0),FALSE)),VLOOKUP($A171,Haver_M!$B$1:$BZ$300,MATCH(data!P$1,Haver_M!$B$1:$BZ$1,0),FALSE),"")</f>
        <v>85.16789</v>
      </c>
      <c r="Q171">
        <f>IF(ISNUMBER(VLOOKUP($A171,Haver_M!$B$1:$BZ$300,MATCH(data!Q$1,Haver_M!$B$1:$BZ$1,0),FALSE)),VLOOKUP($A171,Haver_M!$B$1:$BZ$300,MATCH(data!Q$1,Haver_M!$B$1:$BZ$1,0),FALSE),"")</f>
        <v>113.6</v>
      </c>
      <c r="R171">
        <f>IF(ISNUMBER(VLOOKUP($A171,Haver_M!$B$1:$BZ$300,MATCH(data!R$1,Haver_M!$B$1:$BZ$1,0),FALSE)),VLOOKUP($A171,Haver_M!$B$1:$BZ$300,MATCH(data!R$1,Haver_M!$B$1:$BZ$1,0),FALSE),"")</f>
        <v>112.3</v>
      </c>
      <c r="S171">
        <f>IF(ISNUMBER(VLOOKUP($A171,Haver_M!$B$1:$BZ$300,MATCH(data!S$1,Haver_M!$B$1:$BZ$1,0),FALSE)),VLOOKUP($A171,Haver_M!$B$1:$BZ$300,MATCH(data!S$1,Haver_M!$B$1:$BZ$1,0),FALSE),"")</f>
        <v>108.76</v>
      </c>
      <c r="T171">
        <f>IF(ISNUMBER(VLOOKUP($A171,Haver_M!$B$1:$BZ$300,MATCH(data!T$1,Haver_M!$B$1:$BZ$1,0),FALSE)),VLOOKUP($A171,Haver_M!$B$1:$BZ$300,MATCH(data!T$1,Haver_M!$B$1:$BZ$1,0),FALSE),"")</f>
        <v>105.02</v>
      </c>
      <c r="U171">
        <f>IF(ISNUMBER(VLOOKUP($A171,Haver_M!$B$1:$BZ$300,MATCH(data!U$1,Haver_M!$B$1:$BZ$1,0),FALSE)),VLOOKUP($A171,Haver_M!$B$1:$BZ$300,MATCH(data!U$1,Haver_M!$B$1:$BZ$1,0),FALSE),"")</f>
        <v>97.34</v>
      </c>
      <c r="V171">
        <f>IF(ISNUMBER(VLOOKUP($A171,Haver_M!$B$1:$BZ$300,MATCH(data!V$1,Haver_M!$B$1:$BZ$1,0),FALSE)),VLOOKUP($A171,Haver_M!$B$1:$BZ$300,MATCH(data!V$1,Haver_M!$B$1:$BZ$1,0),FALSE),"")</f>
        <v>112.27</v>
      </c>
      <c r="W171">
        <f>IF(ISNUMBER(VLOOKUP($A171,Haver_M!$B$1:$BZ$300,MATCH(data!W$1,Haver_M!$B$1:$BZ$1,0),FALSE)),VLOOKUP($A171,Haver_M!$B$1:$BZ$300,MATCH(data!W$1,Haver_M!$B$1:$BZ$1,0),FALSE),"")</f>
        <v>116.97</v>
      </c>
      <c r="X171">
        <f>IF(ISNUMBER(VLOOKUP($A171,Haver_M!$B$1:$BZ$300,MATCH(data!X$1,Haver_M!$B$1:$BZ$1,0),FALSE)),VLOOKUP($A171,Haver_M!$B$1:$BZ$300,MATCH(data!X$1,Haver_M!$B$1:$BZ$1,0),FALSE),"")</f>
        <v>112.99</v>
      </c>
      <c r="Y171">
        <f>IF(ISNUMBER(VLOOKUP($A171,Haver_M!$B$1:$BZ$300,MATCH(data!Y$1,Haver_M!$B$1:$BZ$1,0),FALSE)),VLOOKUP($A171,Haver_M!$B$1:$BZ$300,MATCH(data!Y$1,Haver_M!$B$1:$BZ$1,0),FALSE),"")</f>
        <v>106.83</v>
      </c>
      <c r="Z171">
        <f>IF(ISNUMBER(VLOOKUP($A171,Haver_M!$B$1:$BZ$300,MATCH(data!Z$1,Haver_M!$B$1:$BZ$1,0),FALSE)),VLOOKUP($A171,Haver_M!$B$1:$BZ$300,MATCH(data!Z$1,Haver_M!$B$1:$BZ$1,0),FALSE),"")</f>
        <v>109.3</v>
      </c>
      <c r="AA171">
        <f>IF(ISNUMBER(VLOOKUP($A171,Haver_M!$B$1:$BZ$300,MATCH(data!AA$1,Haver_M!$B$1:$BZ$1,0),FALSE)),VLOOKUP($A171,Haver_M!$B$1:$BZ$300,MATCH(data!AA$1,Haver_M!$B$1:$BZ$1,0),FALSE),"")</f>
        <v>104.267</v>
      </c>
      <c r="AB171">
        <f>IF(ISNUMBER(VLOOKUP($A171,Haver_M!$B$1:$BZ$300,MATCH(data!AB$1,Haver_M!$B$1:$BZ$1,0),FALSE)),VLOOKUP($A171,Haver_M!$B$1:$BZ$300,MATCH(data!AB$1,Haver_M!$B$1:$BZ$1,0),FALSE),"")</f>
        <v>100.17700000000001</v>
      </c>
      <c r="AC171">
        <f>IF(ISNUMBER(VLOOKUP($A171,Haver_M!$B$1:$BZ$300,MATCH(data!AC$1,Haver_M!$B$1:$BZ$1,0),FALSE)),VLOOKUP($A171,Haver_M!$B$1:$BZ$300,MATCH(data!AC$1,Haver_M!$B$1:$BZ$1,0),FALSE),"")</f>
        <v>75.528999999999996</v>
      </c>
      <c r="AD171">
        <f>IF(ISNUMBER(VLOOKUP($A171,Haver_M!$B$1:$BZ$300,MATCH(data!AD$1,Haver_M!$B$1:$BZ$1,0),FALSE)),VLOOKUP($A171,Haver_M!$B$1:$BZ$300,MATCH(data!AD$1,Haver_M!$B$1:$BZ$1,0),FALSE),"")</f>
        <v>109.539</v>
      </c>
      <c r="AE171">
        <f>IF(ISNUMBER(VLOOKUP($A171,Haver_M!$B$1:$BZ$300,MATCH(data!AE$1,Haver_M!$B$1:$BZ$1,0),FALSE)),VLOOKUP($A171,Haver_M!$B$1:$BZ$300,MATCH(data!AE$1,Haver_M!$B$1:$BZ$1,0),FALSE),"")</f>
        <v>99.817999999999998</v>
      </c>
      <c r="AF171">
        <f>IF(ISNUMBER(VLOOKUP($A171,Haver_M!$B$1:$BZ$300,MATCH(data!AF$1,Haver_M!$B$1:$BZ$1,0),FALSE)),VLOOKUP($A171,Haver_M!$B$1:$BZ$300,MATCH(data!AF$1,Haver_M!$B$1:$BZ$1,0),FALSE),"")</f>
        <v>120.26</v>
      </c>
      <c r="AG171">
        <f>IF(ISNUMBER(VLOOKUP($A171,Haver_M!$B$1:$BZ$300,MATCH(data!AG$1,Haver_M!$B$1:$BZ$1,0),FALSE)),VLOOKUP($A171,Haver_M!$B$1:$BZ$300,MATCH(data!AG$1,Haver_M!$B$1:$BZ$1,0),FALSE),"")</f>
        <v>114.875</v>
      </c>
      <c r="AH171">
        <f>IF(ISNUMBER(VLOOKUP($A171,Haver_M!$B$1:$BZ$300,MATCH(data!AH$1,Haver_M!$B$1:$BZ$1,0),FALSE)),VLOOKUP($A171,Haver_M!$B$1:$BZ$300,MATCH(data!AH$1,Haver_M!$B$1:$BZ$1,0),FALSE),"")</f>
        <v>115.45</v>
      </c>
      <c r="AI171">
        <f>IF(ISNUMBER(VLOOKUP($A171,Haver_M!$B$1:$BZ$300,MATCH(data!AI$1,Haver_M!$B$1:$BZ$1,0),FALSE)),VLOOKUP($A171,Haver_M!$B$1:$BZ$300,MATCH(data!AI$1,Haver_M!$B$1:$BZ$1,0),FALSE),"")</f>
        <v>13137.763660898949</v>
      </c>
      <c r="AJ171">
        <f>IF(ISNUMBER(VLOOKUP($A171,Haver_M!$B$1:$BZ$300,MATCH(data!AJ$1,Haver_M!$B$1:$BZ$1,0),FALSE)),VLOOKUP($A171,Haver_M!$B$1:$BZ$300,MATCH(data!AJ$1,Haver_M!$B$1:$BZ$1,0),FALSE),"")</f>
        <v>25938.58</v>
      </c>
      <c r="AK171">
        <f>IF(ISNUMBER(VLOOKUP($A171,Haver_M!$B$1:$BZ$300,MATCH(data!AK$1,Haver_M!$B$1:$BZ$1,0),FALSE)),VLOOKUP($A171,Haver_M!$B$1:$BZ$300,MATCH(data!AK$1,Haver_M!$B$1:$BZ$1,0),FALSE),"")</f>
        <v>35747.42</v>
      </c>
      <c r="AL171">
        <f>IF(ISNUMBER(VLOOKUP($A171,Haver_M!$B$1:$BZ$300,MATCH(data!AL$1,Haver_M!$B$1:$BZ$1,0),FALSE)),VLOOKUP($A171,Haver_M!$B$1:$BZ$300,MATCH(data!AL$1,Haver_M!$B$1:$BZ$1,0),FALSE),"")</f>
        <v>13155</v>
      </c>
      <c r="AM171">
        <f>IF(ISNUMBER(VLOOKUP($A171,Haver_M!$B$1:$BZ$300,MATCH(data!AM$1,Haver_M!$B$1:$BZ$1,0),FALSE)),VLOOKUP($A171,Haver_M!$B$1:$BZ$300,MATCH(data!AM$1,Haver_M!$B$1:$BZ$1,0),FALSE),"")</f>
        <v>6386</v>
      </c>
      <c r="AN171" t="str">
        <f>IF(ISNUMBER(VLOOKUP($A171,Haver_M!$B$1:$BZ$300,MATCH(data!AN$1,Haver_M!$B$1:$BZ$1,0),FALSE)),VLOOKUP($A171,Haver_M!$B$1:$BZ$300,MATCH(data!AN$1,Haver_M!$B$1:$BZ$1,0),FALSE),"")</f>
        <v/>
      </c>
      <c r="AO171" t="str">
        <f>IF(ISNUMBER(VLOOKUP($A171,Haver_M!$B$1:$BZ$300,MATCH(data!AO$1,Haver_M!$B$1:$BZ$1,0),FALSE)),VLOOKUP($A171,Haver_M!$B$1:$BZ$300,MATCH(data!AO$1,Haver_M!$B$1:$BZ$1,0),FALSE),"")</f>
        <v/>
      </c>
      <c r="AP171">
        <f>IF(ISNUMBER(VLOOKUP($A171,Haver_M!$B$1:$BZ$300,MATCH(data!AP$1,Haver_M!$B$1:$BZ$1,0),FALSE)),VLOOKUP($A171,Haver_M!$B$1:$BZ$300,MATCH(data!AP$1,Haver_M!$B$1:$BZ$1,0),FALSE),"")</f>
        <v>71.87346176225428</v>
      </c>
      <c r="AQ171">
        <f>IF(ISNUMBER(VLOOKUP($A171,Haver_M!$B$1:$BZ$300,MATCH(data!AQ$1,Haver_M!$B$1:$BZ$1,0),FALSE)),VLOOKUP($A171,Haver_M!$B$1:$BZ$300,MATCH(data!AQ$1,Haver_M!$B$1:$BZ$1,0),FALSE),"")</f>
        <v>50.3309</v>
      </c>
      <c r="AR171">
        <f>IF(ISNUMBER(VLOOKUP($A171,Haver_M!$B$1:$BZ$300,MATCH(data!AR$1,Haver_M!$B$1:$BZ$1,0),FALSE)),VLOOKUP($A171,Haver_M!$B$1:$BZ$300,MATCH(data!AR$1,Haver_M!$B$1:$BZ$1,0),FALSE),"")</f>
        <v>52.533200000000001</v>
      </c>
      <c r="AS171">
        <f>IF(ISNUMBER(VLOOKUP($A171,Haver_M!$B$1:$BZ$300,MATCH(data!AS$1,Haver_M!$B$1:$BZ$1,0),FALSE)),VLOOKUP($A171,Haver_M!$B$1:$BZ$300,MATCH(data!AS$1,Haver_M!$B$1:$BZ$1,0),FALSE),"")</f>
        <v>48.771099999999997</v>
      </c>
      <c r="AT171">
        <f>IF(ISNUMBER(VLOOKUP($A171,Haver_M!$B$1:$BZ$300,MATCH(data!AT$1,Haver_M!$B$1:$BZ$1,0),FALSE)),VLOOKUP($A171,Haver_M!$B$1:$BZ$300,MATCH(data!AT$1,Haver_M!$B$1:$BZ$1,0),FALSE),"")</f>
        <v>54.035299999999999</v>
      </c>
      <c r="AU171">
        <f>IF(ISNUMBER(VLOOKUP($A171,Haver_M!$B$1:$BZ$300,MATCH(data!AU$1,Haver_M!$B$1:$BZ$1,0),FALSE)),VLOOKUP($A171,Haver_M!$B$1:$BZ$300,MATCH(data!AU$1,Haver_M!$B$1:$BZ$1,0),FALSE),"")</f>
        <v>54.8917</v>
      </c>
      <c r="AV171">
        <f>IF(ISNUMBER(VLOOKUP($A171,Haver_M!$B$1:$BZ$300,MATCH(data!AV$1,Haver_M!$B$1:$BZ$1,0),FALSE)),VLOOKUP($A171,Haver_M!$B$1:$BZ$300,MATCH(data!AV$1,Haver_M!$B$1:$BZ$1,0),FALSE),"")</f>
        <v>50.163899999999998</v>
      </c>
      <c r="AW171">
        <f>IF(ISNUMBER(VLOOKUP($A171,Haver_M!$B$1:$BZ$300,MATCH(data!AW$1,Haver_M!$B$1:$BZ$1,0),FALSE)),VLOOKUP($A171,Haver_M!$B$1:$BZ$300,MATCH(data!AW$1,Haver_M!$B$1:$BZ$1,0),FALSE),"")</f>
        <v>49.444800000000001</v>
      </c>
      <c r="AX171">
        <f>IF(ISNUMBER(VLOOKUP($A171,Haver_M!$B$1:$BZ$300,MATCH(data!AX$1,Haver_M!$B$1:$BZ$1,0),FALSE)),VLOOKUP($A171,Haver_M!$B$1:$BZ$300,MATCH(data!AX$1,Haver_M!$B$1:$BZ$1,0),FALSE),"")</f>
        <v>49.407600000000002</v>
      </c>
      <c r="AY171">
        <f>IF(ISNUMBER(VLOOKUP($A171,Haver_M!$B$1:$BZ$300,MATCH(data!AY$1,Haver_M!$B$1:$BZ$1,0),FALSE)),VLOOKUP($A171,Haver_M!$B$1:$BZ$300,MATCH(data!AY$1,Haver_M!$B$1:$BZ$1,0),FALSE),"")</f>
        <v>60.96</v>
      </c>
      <c r="AZ171">
        <f>IF(ISNUMBER(VLOOKUP($A171,Haver_M!$B$1:$BZ$300,MATCH(data!AZ$1,Haver_M!$B$1:$BZ$1,0),FALSE)),VLOOKUP($A171,Haver_M!$B$1:$BZ$300,MATCH(data!AZ$1,Haver_M!$B$1:$BZ$1,0),FALSE),"")</f>
        <v>52.801000000000002</v>
      </c>
      <c r="BA171">
        <f>IF(ISNUMBER(VLOOKUP($A171,Haver_M!$B$1:$BZ$300,MATCH(data!BA$1,Haver_M!$B$1:$BZ$1,0),FALSE)),VLOOKUP($A171,Haver_M!$B$1:$BZ$300,MATCH(data!BA$1,Haver_M!$B$1:$BZ$1,0),FALSE),"")</f>
        <v>49.407600000000002</v>
      </c>
      <c r="BB171">
        <f>IF(ISNUMBER(VLOOKUP($A171,Haver_M!$B$1:$BZ$300,MATCH(data!BB$1,Haver_M!$B$1:$BZ$1,0),FALSE)),VLOOKUP($A171,Haver_M!$B$1:$BZ$300,MATCH(data!BB$1,Haver_M!$B$1:$BZ$1,0),FALSE),"")</f>
        <v>54.1233</v>
      </c>
      <c r="BC171">
        <f>IF(ISNUMBER(VLOOKUP($A171,Haver_M!$B$1:$BZ$300,MATCH(data!BC$1,Haver_M!$B$1:$BZ$1,0),FALSE)),VLOOKUP($A171,Haver_M!$B$1:$BZ$300,MATCH(data!BC$1,Haver_M!$B$1:$BZ$1,0),FALSE),"")</f>
        <v>51.352499999999999</v>
      </c>
      <c r="BD171">
        <f>IF(ISNUMBER(VLOOKUP($A171,Haver_M!$B$1:$BZ$300,MATCH(data!BD$1,Haver_M!$B$1:$BZ$1,0),FALSE)),VLOOKUP($A171,Haver_M!$B$1:$BZ$300,MATCH(data!BD$1,Haver_M!$B$1:$BZ$1,0),FALSE),"")</f>
        <v>52.919199999999996</v>
      </c>
      <c r="BE171">
        <f>IF(ISNUMBER(VLOOKUP($A171,Haver_M!$B$1:$BZ$300,MATCH(data!BE$1,Haver_M!$B$1:$BZ$1,0),FALSE)),VLOOKUP($A171,Haver_M!$B$1:$BZ$300,MATCH(data!BE$1,Haver_M!$B$1:$BZ$1,0),FALSE),"")</f>
        <v>1.0686</v>
      </c>
      <c r="BF171">
        <f>IF(ISNUMBER(VLOOKUP($A171,Haver_M!$B$1:$BZ$300,MATCH(data!BF$1,Haver_M!$B$1:$BZ$1,0),FALSE)),VLOOKUP($A171,Haver_M!$B$1:$BZ$300,MATCH(data!BF$1,Haver_M!$B$1:$BZ$1,0),FALSE),"")</f>
        <v>50.068100000000001</v>
      </c>
      <c r="BG171">
        <f>IF(ISNUMBER(VLOOKUP($A171,Haver_M!$B$1:$BZ$300,MATCH(data!BG$1,Haver_M!$B$1:$BZ$1,0),FALSE)),VLOOKUP($A171,Haver_M!$B$1:$BZ$300,MATCH(data!BG$1,Haver_M!$B$1:$BZ$1,0),FALSE),"")</f>
        <v>51.987900000000003</v>
      </c>
      <c r="BH171">
        <f>IF(ISNUMBER(VLOOKUP($A171,Haver_M!$B$1:$BZ$300,MATCH(data!BH$1,Haver_M!$B$1:$BZ$1,0),FALSE)),VLOOKUP($A171,Haver_M!$B$1:$BZ$300,MATCH(data!BH$1,Haver_M!$B$1:$BZ$1,0),FALSE),"")</f>
        <v>49.460799999999999</v>
      </c>
      <c r="BI171">
        <f>IF(ISNUMBER(VLOOKUP($A171,Haver_M!$B$1:$BZ$300,MATCH(data!BI$1,Haver_M!$B$1:$BZ$1,0),FALSE)),VLOOKUP($A171,Haver_M!$B$1:$BZ$300,MATCH(data!BI$1,Haver_M!$B$1:$BZ$1,0),FALSE),"")</f>
        <v>53.893099999999997</v>
      </c>
      <c r="BJ171" t="str">
        <f>IF(ISNUMBER(VLOOKUP($A171,Haver_M!$B$1:$BZ$300,MATCH(data!BJ$1,Haver_M!$B$1:$BZ$1,0),FALSE)),VLOOKUP($A171,Haver_M!$B$1:$BZ$300,MATCH(data!BJ$1,Haver_M!$B$1:$BZ$1,0),FALSE),"")</f>
        <v/>
      </c>
      <c r="BK171">
        <f>IF(ISNUMBER(VLOOKUP($A171,Haver_M!$B$1:$BZ$300,MATCH(data!BK$1,Haver_M!$B$1:$BZ$1,0),FALSE)),VLOOKUP($A171,Haver_M!$B$1:$BZ$300,MATCH(data!BK$1,Haver_M!$B$1:$BZ$1,0),FALSE),"")</f>
        <v>48.189500000000002</v>
      </c>
      <c r="BL171">
        <f>IF(ISNUMBER(VLOOKUP($A171,Haver_M!$B$1:$BZ$300,MATCH(data!BL$1,Haver_M!$B$1:$BZ$1,0),FALSE)),VLOOKUP($A171,Haver_M!$B$1:$BZ$300,MATCH(data!BL$1,Haver_M!$B$1:$BZ$1,0),FALSE),"")</f>
        <v>20521.34</v>
      </c>
      <c r="BM171">
        <f>IF(ISNUMBER(VLOOKUP($A171,Haver_M!$B$1:$BZ$300,MATCH(data!BM$1,Haver_M!$B$1:$BZ$1,0),FALSE)),VLOOKUP($A171,Haver_M!$B$1:$BZ$300,MATCH(data!BM$1,Haver_M!$B$1:$BZ$1,0),FALSE),"")</f>
        <v>101.29078471</v>
      </c>
      <c r="BN171" t="str">
        <f>IF(ISNUMBER(VLOOKUP($A171,Haver_M!$B$1:$BZ$300,MATCH(data!BN$1,Haver_M!$B$1:$BZ$1,0),FALSE)),VLOOKUP($A171,Haver_M!$B$1:$BZ$300,MATCH(data!BN$1,Haver_M!$B$1:$BZ$1,0),FALSE),"")</f>
        <v/>
      </c>
      <c r="BO171" t="str">
        <f>IF(ISNUMBER(VLOOKUP($A171,Haver_M!$B$1:$BZ$300,MATCH(data!BO$1,Haver_M!$B$1:$BZ$1,0),FALSE)),VLOOKUP($A171,Haver_M!$B$1:$BZ$300,MATCH(data!BO$1,Haver_M!$B$1:$BZ$1,0),FALSE),"")</f>
        <v/>
      </c>
      <c r="BP171" t="str">
        <f>IF(ISNUMBER(VLOOKUP($A171,Haver_M!$B$1:$BZ$300,MATCH(data!BP$1,Haver_M!$B$1:$BZ$1,0),FALSE)),VLOOKUP($A171,Haver_M!$B$1:$BZ$300,MATCH(data!BP$1,Haver_M!$B$1:$BZ$1,0),FALSE),"")</f>
        <v/>
      </c>
      <c r="BQ171">
        <f>IF(ISNUMBER(VLOOKUP($A171,Haver_M!$B$1:$BZ$300,MATCH(data!BQ$1,Haver_M!$B$1:$BZ$1,0),FALSE)),VLOOKUP($A171,Haver_M!$B$1:$BZ$300,MATCH(data!BQ$1,Haver_M!$B$1:$BZ$1,0),FALSE),"")</f>
        <v>158.56587528512225</v>
      </c>
      <c r="BR171">
        <f>IF(ISNUMBER(VLOOKUP($A171,Haver_M!$B$1:$BZ$300,MATCH(data!BR$1,Haver_M!$B$1:$BZ$1,0),FALSE)),VLOOKUP($A171,Haver_M!$B$1:$BZ$300,MATCH(data!BR$1,Haver_M!$B$1:$BZ$1,0),FALSE),"")</f>
        <v>395.26440068108076</v>
      </c>
      <c r="BS171">
        <f>IF(ISNUMBER(VLOOKUP($A171,Haver_M!$B$1:$BZ$300,MATCH(data!BS$1,Haver_M!$B$1:$BZ$1,0),FALSE)),VLOOKUP($A171,Haver_M!$B$1:$BZ$300,MATCH(data!BS$1,Haver_M!$B$1:$BZ$1,0),FALSE),"")</f>
        <v>207.43389982972982</v>
      </c>
      <c r="BT171">
        <f>IF(ISNUMBER(VLOOKUP($A171,Haver_M!$B$1:$BZ$300,MATCH(data!BT$1,Haver_M!$B$1:$BZ$1,0),FALSE)),VLOOKUP($A171,Haver_M!$B$1:$BZ$300,MATCH(data!BT$1,Haver_M!$B$1:$BZ$1,0),FALSE),"")</f>
        <v>865.2939570148103</v>
      </c>
      <c r="BU171">
        <f>IF(ISNUMBER(VLOOKUP($A171,Haver_M!$B$1:$BZ$300,MATCH(data!BU$1,Haver_M!$B$1:$BZ$1,0),FALSE)),VLOOKUP($A171,Haver_M!$B$1:$BZ$300,MATCH(data!BU$1,Haver_M!$B$1:$BZ$1,0),FALSE),"")</f>
        <v>25353.24</v>
      </c>
      <c r="BV171">
        <f>IF(ISNUMBER(VLOOKUP($A171,Haver_M!$B$1:$BZ$300,MATCH(data!BV$1,Haver_M!$B$1:$BZ$1,0),FALSE)),VLOOKUP($A171,Haver_M!$B$1:$BZ$300,MATCH(data!BV$1,Haver_M!$B$1:$BZ$1,0),FALSE),"")</f>
        <v>33665.550000000003</v>
      </c>
      <c r="BW171">
        <f>IF(ISNUMBER(VLOOKUP($A171,Haver_M!$B$1:$BZ$300,MATCH(data!BW$1,Haver_M!$B$1:$BZ$1,0),FALSE)),VLOOKUP($A171,Haver_M!$B$1:$BZ$300,MATCH(data!BW$1,Haver_M!$B$1:$BZ$1,0),FALSE),"")</f>
        <v>62.253999999999998</v>
      </c>
      <c r="BX171">
        <f>IF(ISNUMBER(VLOOKUP($A171,Haver_M!$B$1:$BZ$300,MATCH(data!BX$1,Haver_M!$B$1:$BZ$1,0),FALSE)),VLOOKUP($A171,Haver_M!$B$1:$BZ$300,MATCH(data!BX$1,Haver_M!$B$1:$BZ$1,0),FALSE),"")</f>
        <v>59854</v>
      </c>
    </row>
    <row r="172" spans="1:76" x14ac:dyDescent="0.25">
      <c r="A172" s="2">
        <v>41729</v>
      </c>
      <c r="B172">
        <f>IF(ISNUMBER(VLOOKUP($A172,Haver_Q!$B$1:$L$185,MATCH(data!B$1,Haver_Q!$B$1:$L$1,0),FALSE)),100*(VLOOKUP($A172,Haver_Q!$B$1:$L$185,MATCH(data!B$1,Haver_Q!$B$1:$L$1,0),FALSE)),"")</f>
        <v>2.5500111045266838</v>
      </c>
      <c r="C172">
        <f>IF(ISNUMBER(VLOOKUP($A172,Haver_Q!$B$1:$L$185,MATCH(data!C$1,Haver_Q!$B$1:$L$1,0),FALSE)),100*(VLOOKUP($A172,Haver_Q!$B$1:$L$185,MATCH(data!C$1,Haver_Q!$B$1:$L$1,0),FALSE)),"")</f>
        <v>-2.9559446474682893</v>
      </c>
      <c r="D172">
        <f>IF(ISNUMBER(VLOOKUP($A172,Haver_Q!$B$1:$L$185,MATCH(data!D$1,Haver_Q!$B$1:$L$1,0),FALSE)),100*(VLOOKUP($A172,Haver_Q!$B$1:$L$185,MATCH(data!D$1,Haver_Q!$B$1:$L$1,0),FALSE)),"")</f>
        <v>35.055949444282987</v>
      </c>
      <c r="E172">
        <f>IF(ISNUMBER(VLOOKUP($A172,Haver_Q!$B$1:$L$185,MATCH(data!E$1,Haver_Q!$B$1:$L$1,0),FALSE)),100*(VLOOKUP($A172,Haver_Q!$B$1:$L$185,MATCH(data!E$1,Haver_Q!$B$1:$L$1,0),FALSE)),"")</f>
        <v>2.7856656200160534</v>
      </c>
      <c r="F172">
        <f>IF(ISNUMBER(VLOOKUP($A172,Haver_Q!$B$1:$L$185,MATCH(data!F$1,Haver_Q!$B$1:$L$1,0),FALSE)),100*(VLOOKUP($A172,Haver_Q!$B$1:$L$185,MATCH(data!F$1,Haver_Q!$B$1:$L$1,0),FALSE)),"")</f>
        <v>14.731479680619785</v>
      </c>
      <c r="G172">
        <f>IF(ISNUMBER(VLOOKUP($A172,Haver_Q!$B$1:$L$185,MATCH(data!G$1,Haver_Q!$B$1:$L$1,0),FALSE)),100*(VLOOKUP($A172,Haver_Q!$B$1:$L$185,MATCH(data!G$1,Haver_Q!$B$1:$L$1,0),FALSE)),"")</f>
        <v>27.497934029466652</v>
      </c>
      <c r="H172">
        <f>IF(ISNUMBER(VLOOKUP($A172,Haver_Q!$B$1:$L$185,MATCH(data!H$1,Haver_Q!$B$1:$L$1,0),FALSE)),(VLOOKUP($A172,Haver_Q!$B$1:$L$185,MATCH(data!H$1,Haver_Q!$B$1:$L$1,0),FALSE)),"")</f>
        <v>2.7904610046009757</v>
      </c>
      <c r="I172">
        <f>IF(ISNUMBER(VLOOKUP($A172,Haver_Q!$B$1:$L$185,MATCH(data!I$1,Haver_Q!$B$1:$L$1,0),FALSE)),100*(VLOOKUP($A172,Haver_Q!$B$1:$L$185,MATCH(data!I$1,Haver_Q!$B$1:$L$1,0),FALSE)),"")</f>
        <v>5.3429111800904927</v>
      </c>
      <c r="J172" s="3">
        <f>IF(ISNUMBER(Bloomberg_m!C188),Bloomberg_m!C188,"")</f>
        <v>1484</v>
      </c>
      <c r="K172" s="3">
        <f>IF(ISNUMBER(Bloomberg_m!D188),Bloomberg_m!D188,"")</f>
        <v>1817.14</v>
      </c>
      <c r="L172" s="3">
        <f>IF(ISNUMBER(Bloomberg_m!E188),Bloomberg_m!E188,"")</f>
        <v>969.14</v>
      </c>
      <c r="M172" s="3">
        <f>IF(ISNUMBER(Bloomberg_m!F188),Bloomberg_m!F188,"")</f>
        <v>603.23</v>
      </c>
      <c r="N172">
        <f>IF(ISNUMBER(VLOOKUP($A172,Haver_M!$B$1:$BZ$300,MATCH(data!N$1,Haver_M!$B$1:$BZ$1,0),FALSE)),VLOOKUP($A172,Haver_M!$B$1:$BZ$300,MATCH(data!N$1,Haver_M!$B$1:$BZ$1,0),FALSE),"")</f>
        <v>8</v>
      </c>
      <c r="O172">
        <f>IF(ISNUMBER(VLOOKUP($A172,Haver_M!$B$1:$BZ$300,MATCH(data!O$1,Haver_M!$B$1:$BZ$1,0),FALSE)),VLOOKUP($A172,Haver_M!$B$1:$BZ$300,MATCH(data!O$1,Haver_M!$B$1:$BZ$1,0),FALSE),"")</f>
        <v>8.8775999999999993</v>
      </c>
      <c r="P172">
        <f>IF(ISNUMBER(VLOOKUP($A172,Haver_M!$B$1:$BZ$300,MATCH(data!P$1,Haver_M!$B$1:$BZ$1,0),FALSE)),VLOOKUP($A172,Haver_M!$B$1:$BZ$300,MATCH(data!P$1,Haver_M!$B$1:$BZ$1,0),FALSE),"")</f>
        <v>87.215389999999999</v>
      </c>
      <c r="Q172">
        <f>IF(ISNUMBER(VLOOKUP($A172,Haver_M!$B$1:$BZ$300,MATCH(data!Q$1,Haver_M!$B$1:$BZ$1,0),FALSE)),VLOOKUP($A172,Haver_M!$B$1:$BZ$300,MATCH(data!Q$1,Haver_M!$B$1:$BZ$1,0),FALSE),"")</f>
        <v>114.2</v>
      </c>
      <c r="R172">
        <f>IF(ISNUMBER(VLOOKUP($A172,Haver_M!$B$1:$BZ$300,MATCH(data!R$1,Haver_M!$B$1:$BZ$1,0),FALSE)),VLOOKUP($A172,Haver_M!$B$1:$BZ$300,MATCH(data!R$1,Haver_M!$B$1:$BZ$1,0),FALSE),"")</f>
        <v>112.8</v>
      </c>
      <c r="S172">
        <f>IF(ISNUMBER(VLOOKUP($A172,Haver_M!$B$1:$BZ$300,MATCH(data!S$1,Haver_M!$B$1:$BZ$1,0),FALSE)),VLOOKUP($A172,Haver_M!$B$1:$BZ$300,MATCH(data!S$1,Haver_M!$B$1:$BZ$1,0),FALSE),"")</f>
        <v>108.72</v>
      </c>
      <c r="T172">
        <f>IF(ISNUMBER(VLOOKUP($A172,Haver_M!$B$1:$BZ$300,MATCH(data!T$1,Haver_M!$B$1:$BZ$1,0),FALSE)),VLOOKUP($A172,Haver_M!$B$1:$BZ$300,MATCH(data!T$1,Haver_M!$B$1:$BZ$1,0),FALSE),"")</f>
        <v>105.63</v>
      </c>
      <c r="U172">
        <f>IF(ISNUMBER(VLOOKUP($A172,Haver_M!$B$1:$BZ$300,MATCH(data!U$1,Haver_M!$B$1:$BZ$1,0),FALSE)),VLOOKUP($A172,Haver_M!$B$1:$BZ$300,MATCH(data!U$1,Haver_M!$B$1:$BZ$1,0),FALSE),"")</f>
        <v>93.12</v>
      </c>
      <c r="V172">
        <f>IF(ISNUMBER(VLOOKUP($A172,Haver_M!$B$1:$BZ$300,MATCH(data!V$1,Haver_M!$B$1:$BZ$1,0),FALSE)),VLOOKUP($A172,Haver_M!$B$1:$BZ$300,MATCH(data!V$1,Haver_M!$B$1:$BZ$1,0),FALSE),"")</f>
        <v>113.58</v>
      </c>
      <c r="W172">
        <f>IF(ISNUMBER(VLOOKUP($A172,Haver_M!$B$1:$BZ$300,MATCH(data!W$1,Haver_M!$B$1:$BZ$1,0),FALSE)),VLOOKUP($A172,Haver_M!$B$1:$BZ$300,MATCH(data!W$1,Haver_M!$B$1:$BZ$1,0),FALSE),"")</f>
        <v>112.62</v>
      </c>
      <c r="X172">
        <f>IF(ISNUMBER(VLOOKUP($A172,Haver_M!$B$1:$BZ$300,MATCH(data!X$1,Haver_M!$B$1:$BZ$1,0),FALSE)),VLOOKUP($A172,Haver_M!$B$1:$BZ$300,MATCH(data!X$1,Haver_M!$B$1:$BZ$1,0),FALSE),"")</f>
        <v>113.1</v>
      </c>
      <c r="Y172">
        <f>IF(ISNUMBER(VLOOKUP($A172,Haver_M!$B$1:$BZ$300,MATCH(data!Y$1,Haver_M!$B$1:$BZ$1,0),FALSE)),VLOOKUP($A172,Haver_M!$B$1:$BZ$300,MATCH(data!Y$1,Haver_M!$B$1:$BZ$1,0),FALSE),"")</f>
        <v>110.6</v>
      </c>
      <c r="Z172">
        <f>IF(ISNUMBER(VLOOKUP($A172,Haver_M!$B$1:$BZ$300,MATCH(data!Z$1,Haver_M!$B$1:$BZ$1,0),FALSE)),VLOOKUP($A172,Haver_M!$B$1:$BZ$300,MATCH(data!Z$1,Haver_M!$B$1:$BZ$1,0),FALSE),"")</f>
        <v>108.7</v>
      </c>
      <c r="AA172">
        <f>IF(ISNUMBER(VLOOKUP($A172,Haver_M!$B$1:$BZ$300,MATCH(data!AA$1,Haver_M!$B$1:$BZ$1,0),FALSE)),VLOOKUP($A172,Haver_M!$B$1:$BZ$300,MATCH(data!AA$1,Haver_M!$B$1:$BZ$1,0),FALSE),"")</f>
        <v>106.35599999999999</v>
      </c>
      <c r="AB172">
        <f>IF(ISNUMBER(VLOOKUP($A172,Haver_M!$B$1:$BZ$300,MATCH(data!AB$1,Haver_M!$B$1:$BZ$1,0),FALSE)),VLOOKUP($A172,Haver_M!$B$1:$BZ$300,MATCH(data!AB$1,Haver_M!$B$1:$BZ$1,0),FALSE),"")</f>
        <v>97.567999999999998</v>
      </c>
      <c r="AC172">
        <f>IF(ISNUMBER(VLOOKUP($A172,Haver_M!$B$1:$BZ$300,MATCH(data!AC$1,Haver_M!$B$1:$BZ$1,0),FALSE)),VLOOKUP($A172,Haver_M!$B$1:$BZ$300,MATCH(data!AC$1,Haver_M!$B$1:$BZ$1,0),FALSE),"")</f>
        <v>71.290999999999997</v>
      </c>
      <c r="AD172">
        <f>IF(ISNUMBER(VLOOKUP($A172,Haver_M!$B$1:$BZ$300,MATCH(data!AD$1,Haver_M!$B$1:$BZ$1,0),FALSE)),VLOOKUP($A172,Haver_M!$B$1:$BZ$300,MATCH(data!AD$1,Haver_M!$B$1:$BZ$1,0),FALSE),"")</f>
        <v>109.577</v>
      </c>
      <c r="AE172">
        <f>IF(ISNUMBER(VLOOKUP($A172,Haver_M!$B$1:$BZ$300,MATCH(data!AE$1,Haver_M!$B$1:$BZ$1,0),FALSE)),VLOOKUP($A172,Haver_M!$B$1:$BZ$300,MATCH(data!AE$1,Haver_M!$B$1:$BZ$1,0),FALSE),"")</f>
        <v>96.599000000000004</v>
      </c>
      <c r="AF172">
        <f>IF(ISNUMBER(VLOOKUP($A172,Haver_M!$B$1:$BZ$300,MATCH(data!AF$1,Haver_M!$B$1:$BZ$1,0),FALSE)),VLOOKUP($A172,Haver_M!$B$1:$BZ$300,MATCH(data!AF$1,Haver_M!$B$1:$BZ$1,0),FALSE),"")</f>
        <v>124.66</v>
      </c>
      <c r="AG172">
        <f>IF(ISNUMBER(VLOOKUP($A172,Haver_M!$B$1:$BZ$300,MATCH(data!AG$1,Haver_M!$B$1:$BZ$1,0),FALSE)),VLOOKUP($A172,Haver_M!$B$1:$BZ$300,MATCH(data!AG$1,Haver_M!$B$1:$BZ$1,0),FALSE),"")</f>
        <v>114.789</v>
      </c>
      <c r="AH172">
        <f>IF(ISNUMBER(VLOOKUP($A172,Haver_M!$B$1:$BZ$300,MATCH(data!AH$1,Haver_M!$B$1:$BZ$1,0),FALSE)),VLOOKUP($A172,Haver_M!$B$1:$BZ$300,MATCH(data!AH$1,Haver_M!$B$1:$BZ$1,0),FALSE),"")</f>
        <v>114.818</v>
      </c>
      <c r="AI172">
        <f>IF(ISNUMBER(VLOOKUP($A172,Haver_M!$B$1:$BZ$300,MATCH(data!AI$1,Haver_M!$B$1:$BZ$1,0),FALSE)),VLOOKUP($A172,Haver_M!$B$1:$BZ$300,MATCH(data!AI$1,Haver_M!$B$1:$BZ$1,0),FALSE),"")</f>
        <v>13387.892345318445</v>
      </c>
      <c r="AJ172">
        <f>IF(ISNUMBER(VLOOKUP($A172,Haver_M!$B$1:$BZ$300,MATCH(data!AJ$1,Haver_M!$B$1:$BZ$1,0),FALSE)),VLOOKUP($A172,Haver_M!$B$1:$BZ$300,MATCH(data!AJ$1,Haver_M!$B$1:$BZ$1,0),FALSE),"")</f>
        <v>26650.080000000002</v>
      </c>
      <c r="AK172">
        <f>IF(ISNUMBER(VLOOKUP($A172,Haver_M!$B$1:$BZ$300,MATCH(data!AK$1,Haver_M!$B$1:$BZ$1,0),FALSE)),VLOOKUP($A172,Haver_M!$B$1:$BZ$300,MATCH(data!AK$1,Haver_M!$B$1:$BZ$1,0),FALSE),"")</f>
        <v>39826.160000000003</v>
      </c>
      <c r="AL172">
        <f>IF(ISNUMBER(VLOOKUP($A172,Haver_M!$B$1:$BZ$300,MATCH(data!AL$1,Haver_M!$B$1:$BZ$1,0),FALSE)),VLOOKUP($A172,Haver_M!$B$1:$BZ$300,MATCH(data!AL$1,Haver_M!$B$1:$BZ$1,0),FALSE),"")</f>
        <v>14319</v>
      </c>
      <c r="AM172">
        <f>IF(ISNUMBER(VLOOKUP($A172,Haver_M!$B$1:$BZ$300,MATCH(data!AM$1,Haver_M!$B$1:$BZ$1,0),FALSE)),VLOOKUP($A172,Haver_M!$B$1:$BZ$300,MATCH(data!AM$1,Haver_M!$B$1:$BZ$1,0),FALSE),"")</f>
        <v>8490</v>
      </c>
      <c r="AN172">
        <f>IF(ISNUMBER(VLOOKUP($A172,Haver_M!$B$1:$BZ$300,MATCH(data!AN$1,Haver_M!$B$1:$BZ$1,0),FALSE)),VLOOKUP($A172,Haver_M!$B$1:$BZ$300,MATCH(data!AN$1,Haver_M!$B$1:$BZ$1,0),FALSE),"")</f>
        <v>98.6</v>
      </c>
      <c r="AO172">
        <f>IF(ISNUMBER(VLOOKUP($A172,Haver_M!$B$1:$BZ$300,MATCH(data!AO$1,Haver_M!$B$1:$BZ$1,0),FALSE)),VLOOKUP($A172,Haver_M!$B$1:$BZ$300,MATCH(data!AO$1,Haver_M!$B$1:$BZ$1,0),FALSE),"")</f>
        <v>109.7</v>
      </c>
      <c r="AP172">
        <f>IF(ISNUMBER(VLOOKUP($A172,Haver_M!$B$1:$BZ$300,MATCH(data!AP$1,Haver_M!$B$1:$BZ$1,0),FALSE)),VLOOKUP($A172,Haver_M!$B$1:$BZ$300,MATCH(data!AP$1,Haver_M!$B$1:$BZ$1,0),FALSE),"")</f>
        <v>72.622595537076123</v>
      </c>
      <c r="AQ172">
        <f>IF(ISNUMBER(VLOOKUP($A172,Haver_M!$B$1:$BZ$300,MATCH(data!AQ$1,Haver_M!$B$1:$BZ$1,0),FALSE)),VLOOKUP($A172,Haver_M!$B$1:$BZ$300,MATCH(data!AQ$1,Haver_M!$B$1:$BZ$1,0),FALSE),"")</f>
        <v>48.910299999999999</v>
      </c>
      <c r="AR172">
        <f>IF(ISNUMBER(VLOOKUP($A172,Haver_M!$B$1:$BZ$300,MATCH(data!AR$1,Haver_M!$B$1:$BZ$1,0),FALSE)),VLOOKUP($A172,Haver_M!$B$1:$BZ$300,MATCH(data!AR$1,Haver_M!$B$1:$BZ$1,0),FALSE),"")</f>
        <v>51.296300000000002</v>
      </c>
      <c r="AS172">
        <f>IF(ISNUMBER(VLOOKUP($A172,Haver_M!$B$1:$BZ$300,MATCH(data!AS$1,Haver_M!$B$1:$BZ$1,0),FALSE)),VLOOKUP($A172,Haver_M!$B$1:$BZ$300,MATCH(data!AS$1,Haver_M!$B$1:$BZ$1,0),FALSE),"")</f>
        <v>47.5199</v>
      </c>
      <c r="AT172">
        <f>IF(ISNUMBER(VLOOKUP($A172,Haver_M!$B$1:$BZ$300,MATCH(data!AT$1,Haver_M!$B$1:$BZ$1,0),FALSE)),VLOOKUP($A172,Haver_M!$B$1:$BZ$300,MATCH(data!AT$1,Haver_M!$B$1:$BZ$1,0),FALSE),"")</f>
        <v>52.2121</v>
      </c>
      <c r="AU172">
        <f>IF(ISNUMBER(VLOOKUP($A172,Haver_M!$B$1:$BZ$300,MATCH(data!AU$1,Haver_M!$B$1:$BZ$1,0),FALSE)),VLOOKUP($A172,Haver_M!$B$1:$BZ$300,MATCH(data!AU$1,Haver_M!$B$1:$BZ$1,0),FALSE),"")</f>
        <v>52.662399999999998</v>
      </c>
      <c r="AV172">
        <f>IF(ISNUMBER(VLOOKUP($A172,Haver_M!$B$1:$BZ$300,MATCH(data!AV$1,Haver_M!$B$1:$BZ$1,0),FALSE)),VLOOKUP($A172,Haver_M!$B$1:$BZ$300,MATCH(data!AV$1,Haver_M!$B$1:$BZ$1,0),FALSE),"")</f>
        <v>50.154299999999999</v>
      </c>
      <c r="AW172">
        <f>IF(ISNUMBER(VLOOKUP($A172,Haver_M!$B$1:$BZ$300,MATCH(data!AW$1,Haver_M!$B$1:$BZ$1,0),FALSE)),VLOOKUP($A172,Haver_M!$B$1:$BZ$300,MATCH(data!AW$1,Haver_M!$B$1:$BZ$1,0),FALSE),"")</f>
        <v>50.479799999999997</v>
      </c>
      <c r="AX172">
        <f>IF(ISNUMBER(VLOOKUP($A172,Haver_M!$B$1:$BZ$300,MATCH(data!AX$1,Haver_M!$B$1:$BZ$1,0),FALSE)),VLOOKUP($A172,Haver_M!$B$1:$BZ$300,MATCH(data!AX$1,Haver_M!$B$1:$BZ$1,0),FALSE),"")</f>
        <v>49.856200000000001</v>
      </c>
      <c r="AY172">
        <f>IF(ISNUMBER(VLOOKUP($A172,Haver_M!$B$1:$BZ$300,MATCH(data!AY$1,Haver_M!$B$1:$BZ$1,0),FALSE)),VLOOKUP($A172,Haver_M!$B$1:$BZ$300,MATCH(data!AY$1,Haver_M!$B$1:$BZ$1,0),FALSE),"")</f>
        <v>57.188600000000001</v>
      </c>
      <c r="AZ172">
        <f>IF(ISNUMBER(VLOOKUP($A172,Haver_M!$B$1:$BZ$300,MATCH(data!AZ$1,Haver_M!$B$1:$BZ$1,0),FALSE)),VLOOKUP($A172,Haver_M!$B$1:$BZ$300,MATCH(data!AZ$1,Haver_M!$B$1:$BZ$1,0),FALSE),"")</f>
        <v>51.734400000000001</v>
      </c>
      <c r="BA172">
        <f>IF(ISNUMBER(VLOOKUP($A172,Haver_M!$B$1:$BZ$300,MATCH(data!BA$1,Haver_M!$B$1:$BZ$1,0),FALSE)),VLOOKUP($A172,Haver_M!$B$1:$BZ$300,MATCH(data!BA$1,Haver_M!$B$1:$BZ$1,0),FALSE),"")</f>
        <v>49.856200000000001</v>
      </c>
      <c r="BB172">
        <f>IF(ISNUMBER(VLOOKUP($A172,Haver_M!$B$1:$BZ$300,MATCH(data!BB$1,Haver_M!$B$1:$BZ$1,0),FALSE)),VLOOKUP($A172,Haver_M!$B$1:$BZ$300,MATCH(data!BB$1,Haver_M!$B$1:$BZ$1,0),FALSE),"")</f>
        <v>56.835799999999999</v>
      </c>
      <c r="BC172">
        <f>IF(ISNUMBER(VLOOKUP($A172,Haver_M!$B$1:$BZ$300,MATCH(data!BC$1,Haver_M!$B$1:$BZ$1,0),FALSE)),VLOOKUP($A172,Haver_M!$B$1:$BZ$300,MATCH(data!BC$1,Haver_M!$B$1:$BZ$1,0),FALSE),"")</f>
        <v>50.959499999999998</v>
      </c>
      <c r="BD172">
        <f>IF(ISNUMBER(VLOOKUP($A172,Haver_M!$B$1:$BZ$300,MATCH(data!BD$1,Haver_M!$B$1:$BZ$1,0),FALSE)),VLOOKUP($A172,Haver_M!$B$1:$BZ$300,MATCH(data!BD$1,Haver_M!$B$1:$BZ$1,0),FALSE),"")</f>
        <v>53.023800000000001</v>
      </c>
      <c r="BE172">
        <f>IF(ISNUMBER(VLOOKUP($A172,Haver_M!$B$1:$BZ$300,MATCH(data!BE$1,Haver_M!$B$1:$BZ$1,0),FALSE)),VLOOKUP($A172,Haver_M!$B$1:$BZ$300,MATCH(data!BE$1,Haver_M!$B$1:$BZ$1,0),FALSE),"")</f>
        <v>1.0247999999999999</v>
      </c>
      <c r="BF172">
        <f>IF(ISNUMBER(VLOOKUP($A172,Haver_M!$B$1:$BZ$300,MATCH(data!BF$1,Haver_M!$B$1:$BZ$1,0),FALSE)),VLOOKUP($A172,Haver_M!$B$1:$BZ$300,MATCH(data!BF$1,Haver_M!$B$1:$BZ$1,0),FALSE),"")</f>
        <v>51.155000000000001</v>
      </c>
      <c r="BG172">
        <f>IF(ISNUMBER(VLOOKUP($A172,Haver_M!$B$1:$BZ$300,MATCH(data!BG$1,Haver_M!$B$1:$BZ$1,0),FALSE)),VLOOKUP($A172,Haver_M!$B$1:$BZ$300,MATCH(data!BG$1,Haver_M!$B$1:$BZ$1,0),FALSE),"")</f>
        <v>51.190300000000001</v>
      </c>
      <c r="BH172">
        <f>IF(ISNUMBER(VLOOKUP($A172,Haver_M!$B$1:$BZ$300,MATCH(data!BH$1,Haver_M!$B$1:$BZ$1,0),FALSE)),VLOOKUP($A172,Haver_M!$B$1:$BZ$300,MATCH(data!BH$1,Haver_M!$B$1:$BZ$1,0),FALSE),"")</f>
        <v>47.6265</v>
      </c>
      <c r="BI172">
        <f>IF(ISNUMBER(VLOOKUP($A172,Haver_M!$B$1:$BZ$300,MATCH(data!BI$1,Haver_M!$B$1:$BZ$1,0),FALSE)),VLOOKUP($A172,Haver_M!$B$1:$BZ$300,MATCH(data!BI$1,Haver_M!$B$1:$BZ$1,0),FALSE),"")</f>
        <v>53.218699999999998</v>
      </c>
      <c r="BJ172" t="str">
        <f>IF(ISNUMBER(VLOOKUP($A172,Haver_M!$B$1:$BZ$300,MATCH(data!BJ$1,Haver_M!$B$1:$BZ$1,0),FALSE)),VLOOKUP($A172,Haver_M!$B$1:$BZ$300,MATCH(data!BJ$1,Haver_M!$B$1:$BZ$1,0),FALSE),"")</f>
        <v/>
      </c>
      <c r="BK172">
        <f>IF(ISNUMBER(VLOOKUP($A172,Haver_M!$B$1:$BZ$300,MATCH(data!BK$1,Haver_M!$B$1:$BZ$1,0),FALSE)),VLOOKUP($A172,Haver_M!$B$1:$BZ$300,MATCH(data!BK$1,Haver_M!$B$1:$BZ$1,0),FALSE),"")</f>
        <v>52.153500000000001</v>
      </c>
      <c r="BL172">
        <f>IF(ISNUMBER(VLOOKUP($A172,Haver_M!$B$1:$BZ$300,MATCH(data!BL$1,Haver_M!$B$1:$BZ$1,0),FALSE)),VLOOKUP($A172,Haver_M!$B$1:$BZ$300,MATCH(data!BL$1,Haver_M!$B$1:$BZ$1,0),FALSE),"")</f>
        <v>21818.73</v>
      </c>
      <c r="BM172">
        <f>IF(ISNUMBER(VLOOKUP($A172,Haver_M!$B$1:$BZ$300,MATCH(data!BM$1,Haver_M!$B$1:$BZ$1,0),FALSE)),VLOOKUP($A172,Haver_M!$B$1:$BZ$300,MATCH(data!BM$1,Haver_M!$B$1:$BZ$1,0),FALSE),"")</f>
        <v>102.04303231</v>
      </c>
      <c r="BN172">
        <f>IF(ISNUMBER(VLOOKUP($A172,Haver_M!$B$1:$BZ$300,MATCH(data!BN$1,Haver_M!$B$1:$BZ$1,0),FALSE)),VLOOKUP($A172,Haver_M!$B$1:$BZ$300,MATCH(data!BN$1,Haver_M!$B$1:$BZ$1,0),FALSE),"")</f>
        <v>104.3</v>
      </c>
      <c r="BO172">
        <f>IF(ISNUMBER(VLOOKUP($A172,Haver_M!$B$1:$BZ$300,MATCH(data!BO$1,Haver_M!$B$1:$BZ$1,0),FALSE)),VLOOKUP($A172,Haver_M!$B$1:$BZ$300,MATCH(data!BO$1,Haver_M!$B$1:$BZ$1,0),FALSE),"")</f>
        <v>112.7</v>
      </c>
      <c r="BP172">
        <f>IF(ISNUMBER(VLOOKUP($A172,Haver_M!$B$1:$BZ$300,MATCH(data!BP$1,Haver_M!$B$1:$BZ$1,0),FALSE)),VLOOKUP($A172,Haver_M!$B$1:$BZ$300,MATCH(data!BP$1,Haver_M!$B$1:$BZ$1,0),FALSE),"")</f>
        <v>31.5</v>
      </c>
      <c r="BQ172">
        <f>IF(ISNUMBER(VLOOKUP($A172,Haver_M!$B$1:$BZ$300,MATCH(data!BQ$1,Haver_M!$B$1:$BZ$1,0),FALSE)),VLOOKUP($A172,Haver_M!$B$1:$BZ$300,MATCH(data!BQ$1,Haver_M!$B$1:$BZ$1,0),FALSE),"")</f>
        <v>165.48480676566032</v>
      </c>
      <c r="BR172">
        <f>IF(ISNUMBER(VLOOKUP($A172,Haver_M!$B$1:$BZ$300,MATCH(data!BR$1,Haver_M!$B$1:$BZ$1,0),FALSE)),VLOOKUP($A172,Haver_M!$B$1:$BZ$300,MATCH(data!BR$1,Haver_M!$B$1:$BZ$1,0),FALSE),"")</f>
        <v>412.44353754875931</v>
      </c>
      <c r="BS172">
        <f>IF(ISNUMBER(VLOOKUP($A172,Haver_M!$B$1:$BZ$300,MATCH(data!BS$1,Haver_M!$B$1:$BZ$1,0),FALSE)),VLOOKUP($A172,Haver_M!$B$1:$BZ$300,MATCH(data!BS$1,Haver_M!$B$1:$BZ$1,0),FALSE),"")</f>
        <v>219.20395319107089</v>
      </c>
      <c r="BT172">
        <f>IF(ISNUMBER(VLOOKUP($A172,Haver_M!$B$1:$BZ$300,MATCH(data!BT$1,Haver_M!$B$1:$BZ$1,0),FALSE)),VLOOKUP($A172,Haver_M!$B$1:$BZ$300,MATCH(data!BT$1,Haver_M!$B$1:$BZ$1,0),FALSE),"")</f>
        <v>906.28396761399017</v>
      </c>
      <c r="BU172">
        <f>IF(ISNUMBER(VLOOKUP($A172,Haver_M!$B$1:$BZ$300,MATCH(data!BU$1,Haver_M!$B$1:$BZ$1,0),FALSE)),VLOOKUP($A172,Haver_M!$B$1:$BZ$300,MATCH(data!BU$1,Haver_M!$B$1:$BZ$1,0),FALSE),"")</f>
        <v>30341.03</v>
      </c>
      <c r="BV172">
        <f>IF(ISNUMBER(VLOOKUP($A172,Haver_M!$B$1:$BZ$300,MATCH(data!BV$1,Haver_M!$B$1:$BZ$1,0),FALSE)),VLOOKUP($A172,Haver_M!$B$1:$BZ$300,MATCH(data!BV$1,Haver_M!$B$1:$BZ$1,0),FALSE),"")</f>
        <v>41294.46</v>
      </c>
      <c r="BW172">
        <f>IF(ISNUMBER(VLOOKUP($A172,Haver_M!$B$1:$BZ$300,MATCH(data!BW$1,Haver_M!$B$1:$BZ$1,0),FALSE)),VLOOKUP($A172,Haver_M!$B$1:$BZ$300,MATCH(data!BW$1,Haver_M!$B$1:$BZ$1,0),FALSE),"")</f>
        <v>61.014000000000003</v>
      </c>
      <c r="BX172">
        <f>IF(ISNUMBER(VLOOKUP($A172,Haver_M!$B$1:$BZ$300,MATCH(data!BX$1,Haver_M!$B$1:$BZ$1,0),FALSE)),VLOOKUP($A172,Haver_M!$B$1:$BZ$300,MATCH(data!BX$1,Haver_M!$B$1:$BZ$1,0),FALSE),"")</f>
        <v>54580</v>
      </c>
    </row>
    <row r="173" spans="1:76" x14ac:dyDescent="0.25">
      <c r="A173" s="2">
        <v>41759</v>
      </c>
      <c r="B173" t="str">
        <f>IF(ISNUMBER(VLOOKUP($A173,Haver_Q!$B$1:$L$185,MATCH(data!B$1,Haver_Q!$B$1:$L$1,0),FALSE)),100*(VLOOKUP($A173,Haver_Q!$B$1:$L$185,MATCH(data!B$1,Haver_Q!$B$1:$L$1,0),FALSE)),"")</f>
        <v/>
      </c>
      <c r="C173" t="str">
        <f>IF(ISNUMBER(VLOOKUP($A173,Haver_Q!$B$1:$L$185,MATCH(data!C$1,Haver_Q!$B$1:$L$1,0),FALSE)),100*(VLOOKUP($A173,Haver_Q!$B$1:$L$185,MATCH(data!C$1,Haver_Q!$B$1:$L$1,0),FALSE)),"")</f>
        <v/>
      </c>
      <c r="D173" t="str">
        <f>IF(ISNUMBER(VLOOKUP($A173,Haver_Q!$B$1:$L$185,MATCH(data!D$1,Haver_Q!$B$1:$L$1,0),FALSE)),100*(VLOOKUP($A173,Haver_Q!$B$1:$L$185,MATCH(data!D$1,Haver_Q!$B$1:$L$1,0),FALSE)),"")</f>
        <v/>
      </c>
      <c r="E173" t="str">
        <f>IF(ISNUMBER(VLOOKUP($A173,Haver_Q!$B$1:$L$185,MATCH(data!E$1,Haver_Q!$B$1:$L$1,0),FALSE)),100*(VLOOKUP($A173,Haver_Q!$B$1:$L$185,MATCH(data!E$1,Haver_Q!$B$1:$L$1,0),FALSE)),"")</f>
        <v/>
      </c>
      <c r="F173" t="str">
        <f>IF(ISNUMBER(VLOOKUP($A173,Haver_Q!$B$1:$L$185,MATCH(data!F$1,Haver_Q!$B$1:$L$1,0),FALSE)),100*(VLOOKUP($A173,Haver_Q!$B$1:$L$185,MATCH(data!F$1,Haver_Q!$B$1:$L$1,0),FALSE)),"")</f>
        <v/>
      </c>
      <c r="G173" t="str">
        <f>IF(ISNUMBER(VLOOKUP($A173,Haver_Q!$B$1:$L$185,MATCH(data!G$1,Haver_Q!$B$1:$L$1,0),FALSE)),100*(VLOOKUP($A173,Haver_Q!$B$1:$L$185,MATCH(data!G$1,Haver_Q!$B$1:$L$1,0),FALSE)),"")</f>
        <v/>
      </c>
      <c r="H173" t="str">
        <f>IF(ISNUMBER(VLOOKUP($A173,Haver_Q!$B$1:$L$185,MATCH(data!H$1,Haver_Q!$B$1:$L$1,0),FALSE)),(VLOOKUP($A173,Haver_Q!$B$1:$L$185,MATCH(data!H$1,Haver_Q!$B$1:$L$1,0),FALSE)),"")</f>
        <v/>
      </c>
      <c r="I173" t="str">
        <f>IF(ISNUMBER(VLOOKUP($A173,Haver_Q!$B$1:$L$185,MATCH(data!I$1,Haver_Q!$B$1:$L$1,0),FALSE)),100*(VLOOKUP($A173,Haver_Q!$B$1:$L$185,MATCH(data!I$1,Haver_Q!$B$1:$L$1,0),FALSE)),"")</f>
        <v/>
      </c>
      <c r="J173" s="3">
        <f>IF(ISNUMBER(Bloomberg_m!C189),Bloomberg_m!C189,"")</f>
        <v>1045</v>
      </c>
      <c r="K173" s="3">
        <f>IF(ISNUMBER(Bloomberg_m!D189),Bloomberg_m!D189,"")</f>
        <v>1952.88</v>
      </c>
      <c r="L173" s="3">
        <f>IF(ISNUMBER(Bloomberg_m!E189),Bloomberg_m!E189,"")</f>
        <v>1078.46</v>
      </c>
      <c r="M173" s="3">
        <f>IF(ISNUMBER(Bloomberg_m!F189),Bloomberg_m!F189,"")</f>
        <v>587.54</v>
      </c>
      <c r="N173">
        <f>IF(ISNUMBER(VLOOKUP($A173,Haver_M!$B$1:$BZ$300,MATCH(data!N$1,Haver_M!$B$1:$BZ$1,0),FALSE)),VLOOKUP($A173,Haver_M!$B$1:$BZ$300,MATCH(data!N$1,Haver_M!$B$1:$BZ$1,0),FALSE),"")</f>
        <v>8</v>
      </c>
      <c r="O173">
        <f>IF(ISNUMBER(VLOOKUP($A173,Haver_M!$B$1:$BZ$300,MATCH(data!O$1,Haver_M!$B$1:$BZ$1,0),FALSE)),VLOOKUP($A173,Haver_M!$B$1:$BZ$300,MATCH(data!O$1,Haver_M!$B$1:$BZ$1,0),FALSE),"")</f>
        <v>8.8902000000000001</v>
      </c>
      <c r="P173">
        <f>IF(ISNUMBER(VLOOKUP($A173,Haver_M!$B$1:$BZ$300,MATCH(data!P$1,Haver_M!$B$1:$BZ$1,0),FALSE)),VLOOKUP($A173,Haver_M!$B$1:$BZ$300,MATCH(data!P$1,Haver_M!$B$1:$BZ$1,0),FALSE),"")</f>
        <v>87.451160000000002</v>
      </c>
      <c r="Q173">
        <f>IF(ISNUMBER(VLOOKUP($A173,Haver_M!$B$1:$BZ$300,MATCH(data!Q$1,Haver_M!$B$1:$BZ$1,0),FALSE)),VLOOKUP($A173,Haver_M!$B$1:$BZ$300,MATCH(data!Q$1,Haver_M!$B$1:$BZ$1,0),FALSE),"")</f>
        <v>115.1</v>
      </c>
      <c r="R173">
        <f>IF(ISNUMBER(VLOOKUP($A173,Haver_M!$B$1:$BZ$300,MATCH(data!R$1,Haver_M!$B$1:$BZ$1,0),FALSE)),VLOOKUP($A173,Haver_M!$B$1:$BZ$300,MATCH(data!R$1,Haver_M!$B$1:$BZ$1,0),FALSE),"")</f>
        <v>113.3</v>
      </c>
      <c r="S173">
        <f>IF(ISNUMBER(VLOOKUP($A173,Haver_M!$B$1:$BZ$300,MATCH(data!S$1,Haver_M!$B$1:$BZ$1,0),FALSE)),VLOOKUP($A173,Haver_M!$B$1:$BZ$300,MATCH(data!S$1,Haver_M!$B$1:$BZ$1,0),FALSE),"")</f>
        <v>110.17</v>
      </c>
      <c r="T173">
        <f>IF(ISNUMBER(VLOOKUP($A173,Haver_M!$B$1:$BZ$300,MATCH(data!T$1,Haver_M!$B$1:$BZ$1,0),FALSE)),VLOOKUP($A173,Haver_M!$B$1:$BZ$300,MATCH(data!T$1,Haver_M!$B$1:$BZ$1,0),FALSE),"")</f>
        <v>106.24</v>
      </c>
      <c r="U173">
        <f>IF(ISNUMBER(VLOOKUP($A173,Haver_M!$B$1:$BZ$300,MATCH(data!U$1,Haver_M!$B$1:$BZ$1,0),FALSE)),VLOOKUP($A173,Haver_M!$B$1:$BZ$300,MATCH(data!U$1,Haver_M!$B$1:$BZ$1,0),FALSE),"")</f>
        <v>92.47</v>
      </c>
      <c r="V173">
        <f>IF(ISNUMBER(VLOOKUP($A173,Haver_M!$B$1:$BZ$300,MATCH(data!V$1,Haver_M!$B$1:$BZ$1,0),FALSE)),VLOOKUP($A173,Haver_M!$B$1:$BZ$300,MATCH(data!V$1,Haver_M!$B$1:$BZ$1,0),FALSE),"")</f>
        <v>119.23</v>
      </c>
      <c r="W173">
        <f>IF(ISNUMBER(VLOOKUP($A173,Haver_M!$B$1:$BZ$300,MATCH(data!W$1,Haver_M!$B$1:$BZ$1,0),FALSE)),VLOOKUP($A173,Haver_M!$B$1:$BZ$300,MATCH(data!W$1,Haver_M!$B$1:$BZ$1,0),FALSE),"")</f>
        <v>114.31</v>
      </c>
      <c r="X173">
        <f>IF(ISNUMBER(VLOOKUP($A173,Haver_M!$B$1:$BZ$300,MATCH(data!X$1,Haver_M!$B$1:$BZ$1,0),FALSE)),VLOOKUP($A173,Haver_M!$B$1:$BZ$300,MATCH(data!X$1,Haver_M!$B$1:$BZ$1,0),FALSE),"")</f>
        <v>111.41</v>
      </c>
      <c r="Y173">
        <f>IF(ISNUMBER(VLOOKUP($A173,Haver_M!$B$1:$BZ$300,MATCH(data!Y$1,Haver_M!$B$1:$BZ$1,0),FALSE)),VLOOKUP($A173,Haver_M!$B$1:$BZ$300,MATCH(data!Y$1,Haver_M!$B$1:$BZ$1,0),FALSE),"")</f>
        <v>112.19</v>
      </c>
      <c r="Z173">
        <f>IF(ISNUMBER(VLOOKUP($A173,Haver_M!$B$1:$BZ$300,MATCH(data!Z$1,Haver_M!$B$1:$BZ$1,0),FALSE)),VLOOKUP($A173,Haver_M!$B$1:$BZ$300,MATCH(data!Z$1,Haver_M!$B$1:$BZ$1,0),FALSE),"")</f>
        <v>110.2</v>
      </c>
      <c r="AA173">
        <f>IF(ISNUMBER(VLOOKUP($A173,Haver_M!$B$1:$BZ$300,MATCH(data!AA$1,Haver_M!$B$1:$BZ$1,0),FALSE)),VLOOKUP($A173,Haver_M!$B$1:$BZ$300,MATCH(data!AA$1,Haver_M!$B$1:$BZ$1,0),FALSE),"")</f>
        <v>109.31399999999999</v>
      </c>
      <c r="AB173">
        <f>IF(ISNUMBER(VLOOKUP($A173,Haver_M!$B$1:$BZ$300,MATCH(data!AB$1,Haver_M!$B$1:$BZ$1,0),FALSE)),VLOOKUP($A173,Haver_M!$B$1:$BZ$300,MATCH(data!AB$1,Haver_M!$B$1:$BZ$1,0),FALSE),"")</f>
        <v>99.343999999999994</v>
      </c>
      <c r="AC173">
        <f>IF(ISNUMBER(VLOOKUP($A173,Haver_M!$B$1:$BZ$300,MATCH(data!AC$1,Haver_M!$B$1:$BZ$1,0),FALSE)),VLOOKUP($A173,Haver_M!$B$1:$BZ$300,MATCH(data!AC$1,Haver_M!$B$1:$BZ$1,0),FALSE),"")</f>
        <v>71.762</v>
      </c>
      <c r="AD173">
        <f>IF(ISNUMBER(VLOOKUP($A173,Haver_M!$B$1:$BZ$300,MATCH(data!AD$1,Haver_M!$B$1:$BZ$1,0),FALSE)),VLOOKUP($A173,Haver_M!$B$1:$BZ$300,MATCH(data!AD$1,Haver_M!$B$1:$BZ$1,0),FALSE),"")</f>
        <v>106.694</v>
      </c>
      <c r="AE173">
        <f>IF(ISNUMBER(VLOOKUP($A173,Haver_M!$B$1:$BZ$300,MATCH(data!AE$1,Haver_M!$B$1:$BZ$1,0),FALSE)),VLOOKUP($A173,Haver_M!$B$1:$BZ$300,MATCH(data!AE$1,Haver_M!$B$1:$BZ$1,0),FALSE),"")</f>
        <v>101.331</v>
      </c>
      <c r="AF173">
        <f>IF(ISNUMBER(VLOOKUP($A173,Haver_M!$B$1:$BZ$300,MATCH(data!AF$1,Haver_M!$B$1:$BZ$1,0),FALSE)),VLOOKUP($A173,Haver_M!$B$1:$BZ$300,MATCH(data!AF$1,Haver_M!$B$1:$BZ$1,0),FALSE),"")</f>
        <v>117.321</v>
      </c>
      <c r="AG173">
        <f>IF(ISNUMBER(VLOOKUP($A173,Haver_M!$B$1:$BZ$300,MATCH(data!AG$1,Haver_M!$B$1:$BZ$1,0),FALSE)),VLOOKUP($A173,Haver_M!$B$1:$BZ$300,MATCH(data!AG$1,Haver_M!$B$1:$BZ$1,0),FALSE),"")</f>
        <v>122.301</v>
      </c>
      <c r="AH173">
        <f>IF(ISNUMBER(VLOOKUP($A173,Haver_M!$B$1:$BZ$300,MATCH(data!AH$1,Haver_M!$B$1:$BZ$1,0),FALSE)),VLOOKUP($A173,Haver_M!$B$1:$BZ$300,MATCH(data!AH$1,Haver_M!$B$1:$BZ$1,0),FALSE),"")</f>
        <v>123.262</v>
      </c>
      <c r="AI173">
        <f>IF(ISNUMBER(VLOOKUP($A173,Haver_M!$B$1:$BZ$300,MATCH(data!AI$1,Haver_M!$B$1:$BZ$1,0),FALSE)),VLOOKUP($A173,Haver_M!$B$1:$BZ$300,MATCH(data!AI$1,Haver_M!$B$1:$BZ$1,0),FALSE),"")</f>
        <v>13329.566541317778</v>
      </c>
      <c r="AJ173">
        <f>IF(ISNUMBER(VLOOKUP($A173,Haver_M!$B$1:$BZ$300,MATCH(data!AJ$1,Haver_M!$B$1:$BZ$1,0),FALSE)),VLOOKUP($A173,Haver_M!$B$1:$BZ$300,MATCH(data!AJ$1,Haver_M!$B$1:$BZ$1,0),FALSE),"")</f>
        <v>26776.11</v>
      </c>
      <c r="AK173">
        <f>IF(ISNUMBER(VLOOKUP($A173,Haver_M!$B$1:$BZ$300,MATCH(data!AK$1,Haver_M!$B$1:$BZ$1,0),FALSE)),VLOOKUP($A173,Haver_M!$B$1:$BZ$300,MATCH(data!AK$1,Haver_M!$B$1:$BZ$1,0),FALSE),"")</f>
        <v>36618.910000000003</v>
      </c>
      <c r="AL173">
        <f>IF(ISNUMBER(VLOOKUP($A173,Haver_M!$B$1:$BZ$300,MATCH(data!AL$1,Haver_M!$B$1:$BZ$1,0),FALSE)),VLOOKUP($A173,Haver_M!$B$1:$BZ$300,MATCH(data!AL$1,Haver_M!$B$1:$BZ$1,0),FALSE),"")</f>
        <v>13632</v>
      </c>
      <c r="AM173">
        <f>IF(ISNUMBER(VLOOKUP($A173,Haver_M!$B$1:$BZ$300,MATCH(data!AM$1,Haver_M!$B$1:$BZ$1,0),FALSE)),VLOOKUP($A173,Haver_M!$B$1:$BZ$300,MATCH(data!AM$1,Haver_M!$B$1:$BZ$1,0),FALSE),"")</f>
        <v>8058</v>
      </c>
      <c r="AN173" t="str">
        <f>IF(ISNUMBER(VLOOKUP($A173,Haver_M!$B$1:$BZ$300,MATCH(data!AN$1,Haver_M!$B$1:$BZ$1,0),FALSE)),VLOOKUP($A173,Haver_M!$B$1:$BZ$300,MATCH(data!AN$1,Haver_M!$B$1:$BZ$1,0),FALSE),"")</f>
        <v/>
      </c>
      <c r="AO173" t="str">
        <f>IF(ISNUMBER(VLOOKUP($A173,Haver_M!$B$1:$BZ$300,MATCH(data!AO$1,Haver_M!$B$1:$BZ$1,0),FALSE)),VLOOKUP($A173,Haver_M!$B$1:$BZ$300,MATCH(data!AO$1,Haver_M!$B$1:$BZ$1,0),FALSE),"")</f>
        <v/>
      </c>
      <c r="AP173">
        <f>IF(ISNUMBER(VLOOKUP($A173,Haver_M!$B$1:$BZ$300,MATCH(data!AP$1,Haver_M!$B$1:$BZ$1,0),FALSE)),VLOOKUP($A173,Haver_M!$B$1:$BZ$300,MATCH(data!AP$1,Haver_M!$B$1:$BZ$1,0),FALSE),"")</f>
        <v>93.95465243350958</v>
      </c>
      <c r="AQ173">
        <f>IF(ISNUMBER(VLOOKUP($A173,Haver_M!$B$1:$BZ$300,MATCH(data!AQ$1,Haver_M!$B$1:$BZ$1,0),FALSE)),VLOOKUP($A173,Haver_M!$B$1:$BZ$300,MATCH(data!AQ$1,Haver_M!$B$1:$BZ$1,0),FALSE),"")</f>
        <v>49.473700000000001</v>
      </c>
      <c r="AR173">
        <f>IF(ISNUMBER(VLOOKUP($A173,Haver_M!$B$1:$BZ$300,MATCH(data!AR$1,Haver_M!$B$1:$BZ$1,0),FALSE)),VLOOKUP($A173,Haver_M!$B$1:$BZ$300,MATCH(data!AR$1,Haver_M!$B$1:$BZ$1,0),FALSE),"")</f>
        <v>51.261800000000001</v>
      </c>
      <c r="AS173">
        <f>IF(ISNUMBER(VLOOKUP($A173,Haver_M!$B$1:$BZ$300,MATCH(data!AS$1,Haver_M!$B$1:$BZ$1,0),FALSE)),VLOOKUP($A173,Haver_M!$B$1:$BZ$300,MATCH(data!AS$1,Haver_M!$B$1:$BZ$1,0),FALSE),"")</f>
        <v>48.524700000000003</v>
      </c>
      <c r="AT173">
        <f>IF(ISNUMBER(VLOOKUP($A173,Haver_M!$B$1:$BZ$300,MATCH(data!AT$1,Haver_M!$B$1:$BZ$1,0),FALSE)),VLOOKUP($A173,Haver_M!$B$1:$BZ$300,MATCH(data!AT$1,Haver_M!$B$1:$BZ$1,0),FALSE),"")</f>
        <v>51.7273</v>
      </c>
      <c r="AU173">
        <f>IF(ISNUMBER(VLOOKUP($A173,Haver_M!$B$1:$BZ$300,MATCH(data!AU$1,Haver_M!$B$1:$BZ$1,0),FALSE)),VLOOKUP($A173,Haver_M!$B$1:$BZ$300,MATCH(data!AU$1,Haver_M!$B$1:$BZ$1,0),FALSE),"")</f>
        <v>52.486600000000003</v>
      </c>
      <c r="AV173">
        <f>IF(ISNUMBER(VLOOKUP($A173,Haver_M!$B$1:$BZ$300,MATCH(data!AV$1,Haver_M!$B$1:$BZ$1,0),FALSE)),VLOOKUP($A173,Haver_M!$B$1:$BZ$300,MATCH(data!AV$1,Haver_M!$B$1:$BZ$1,0),FALSE),"")</f>
        <v>50.169899999999998</v>
      </c>
      <c r="AW173">
        <f>IF(ISNUMBER(VLOOKUP($A173,Haver_M!$B$1:$BZ$300,MATCH(data!AW$1,Haver_M!$B$1:$BZ$1,0),FALSE)),VLOOKUP($A173,Haver_M!$B$1:$BZ$300,MATCH(data!AW$1,Haver_M!$B$1:$BZ$1,0),FALSE),"")</f>
        <v>51.0623</v>
      </c>
      <c r="AX173">
        <f>IF(ISNUMBER(VLOOKUP($A173,Haver_M!$B$1:$BZ$300,MATCH(data!AX$1,Haver_M!$B$1:$BZ$1,0),FALSE)),VLOOKUP($A173,Haver_M!$B$1:$BZ$300,MATCH(data!AX$1,Haver_M!$B$1:$BZ$1,0),FALSE),"")</f>
        <v>52.094000000000001</v>
      </c>
      <c r="AY173">
        <f>IF(ISNUMBER(VLOOKUP($A173,Haver_M!$B$1:$BZ$300,MATCH(data!AY$1,Haver_M!$B$1:$BZ$1,0),FALSE)),VLOOKUP($A173,Haver_M!$B$1:$BZ$300,MATCH(data!AY$1,Haver_M!$B$1:$BZ$1,0),FALSE),"")</f>
        <v>54.575099999999999</v>
      </c>
      <c r="AZ173">
        <f>IF(ISNUMBER(VLOOKUP($A173,Haver_M!$B$1:$BZ$300,MATCH(data!AZ$1,Haver_M!$B$1:$BZ$1,0),FALSE)),VLOOKUP($A173,Haver_M!$B$1:$BZ$300,MATCH(data!AZ$1,Haver_M!$B$1:$BZ$1,0),FALSE),"")</f>
        <v>52.993000000000002</v>
      </c>
      <c r="BA173">
        <f>IF(ISNUMBER(VLOOKUP($A173,Haver_M!$B$1:$BZ$300,MATCH(data!BA$1,Haver_M!$B$1:$BZ$1,0),FALSE)),VLOOKUP($A173,Haver_M!$B$1:$BZ$300,MATCH(data!BA$1,Haver_M!$B$1:$BZ$1,0),FALSE),"")</f>
        <v>52.094000000000001</v>
      </c>
      <c r="BB173">
        <f>IF(ISNUMBER(VLOOKUP($A173,Haver_M!$B$1:$BZ$300,MATCH(data!BB$1,Haver_M!$B$1:$BZ$1,0),FALSE)),VLOOKUP($A173,Haver_M!$B$1:$BZ$300,MATCH(data!BB$1,Haver_M!$B$1:$BZ$1,0),FALSE),"")</f>
        <v>52.995600000000003</v>
      </c>
      <c r="BC173">
        <f>IF(ISNUMBER(VLOOKUP($A173,Haver_M!$B$1:$BZ$300,MATCH(data!BC$1,Haver_M!$B$1:$BZ$1,0),FALSE)),VLOOKUP($A173,Haver_M!$B$1:$BZ$300,MATCH(data!BC$1,Haver_M!$B$1:$BZ$1,0),FALSE),"")</f>
        <v>50.8628</v>
      </c>
      <c r="BD173">
        <f>IF(ISNUMBER(VLOOKUP($A173,Haver_M!$B$1:$BZ$300,MATCH(data!BD$1,Haver_M!$B$1:$BZ$1,0),FALSE)),VLOOKUP($A173,Haver_M!$B$1:$BZ$300,MATCH(data!BD$1,Haver_M!$B$1:$BZ$1,0),FALSE),"")</f>
        <v>51.177</v>
      </c>
      <c r="BE173">
        <f>IF(ISNUMBER(VLOOKUP($A173,Haver_M!$B$1:$BZ$300,MATCH(data!BE$1,Haver_M!$B$1:$BZ$1,0),FALSE)),VLOOKUP($A173,Haver_M!$B$1:$BZ$300,MATCH(data!BE$1,Haver_M!$B$1:$BZ$1,0),FALSE),"")</f>
        <v>0.99560000000000004</v>
      </c>
      <c r="BF173">
        <f>IF(ISNUMBER(VLOOKUP($A173,Haver_M!$B$1:$BZ$300,MATCH(data!BF$1,Haver_M!$B$1:$BZ$1,0),FALSE)),VLOOKUP($A173,Haver_M!$B$1:$BZ$300,MATCH(data!BF$1,Haver_M!$B$1:$BZ$1,0),FALSE),"")</f>
        <v>49.814</v>
      </c>
      <c r="BG173">
        <f>IF(ISNUMBER(VLOOKUP($A173,Haver_M!$B$1:$BZ$300,MATCH(data!BG$1,Haver_M!$B$1:$BZ$1,0),FALSE)),VLOOKUP($A173,Haver_M!$B$1:$BZ$300,MATCH(data!BG$1,Haver_M!$B$1:$BZ$1,0),FALSE),"")</f>
        <v>52.567900000000002</v>
      </c>
      <c r="BH173">
        <f>IF(ISNUMBER(VLOOKUP($A173,Haver_M!$B$1:$BZ$300,MATCH(data!BH$1,Haver_M!$B$1:$BZ$1,0),FALSE)),VLOOKUP($A173,Haver_M!$B$1:$BZ$300,MATCH(data!BH$1,Haver_M!$B$1:$BZ$1,0),FALSE),"")</f>
        <v>48.439</v>
      </c>
      <c r="BI173">
        <f>IF(ISNUMBER(VLOOKUP($A173,Haver_M!$B$1:$BZ$300,MATCH(data!BI$1,Haver_M!$B$1:$BZ$1,0),FALSE)),VLOOKUP($A173,Haver_M!$B$1:$BZ$300,MATCH(data!BI$1,Haver_M!$B$1:$BZ$1,0),FALSE),"")</f>
        <v>53.8598</v>
      </c>
      <c r="BJ173" t="str">
        <f>IF(ISNUMBER(VLOOKUP($A173,Haver_M!$B$1:$BZ$300,MATCH(data!BJ$1,Haver_M!$B$1:$BZ$1,0),FALSE)),VLOOKUP($A173,Haver_M!$B$1:$BZ$300,MATCH(data!BJ$1,Haver_M!$B$1:$BZ$1,0),FALSE),"")</f>
        <v/>
      </c>
      <c r="BK173">
        <f>IF(ISNUMBER(VLOOKUP($A173,Haver_M!$B$1:$BZ$300,MATCH(data!BK$1,Haver_M!$B$1:$BZ$1,0),FALSE)),VLOOKUP($A173,Haver_M!$B$1:$BZ$300,MATCH(data!BK$1,Haver_M!$B$1:$BZ$1,0),FALSE),"")</f>
        <v>52.053800000000003</v>
      </c>
      <c r="BL173">
        <f>IF(ISNUMBER(VLOOKUP($A173,Haver_M!$B$1:$BZ$300,MATCH(data!BL$1,Haver_M!$B$1:$BZ$1,0),FALSE)),VLOOKUP($A173,Haver_M!$B$1:$BZ$300,MATCH(data!BL$1,Haver_M!$B$1:$BZ$1,0),FALSE),"")</f>
        <v>22569.5</v>
      </c>
      <c r="BM173">
        <f>IF(ISNUMBER(VLOOKUP($A173,Haver_M!$B$1:$BZ$300,MATCH(data!BM$1,Haver_M!$B$1:$BZ$1,0),FALSE)),VLOOKUP($A173,Haver_M!$B$1:$BZ$300,MATCH(data!BM$1,Haver_M!$B$1:$BZ$1,0),FALSE),"")</f>
        <v>103.23097722999999</v>
      </c>
      <c r="BN173" t="str">
        <f>IF(ISNUMBER(VLOOKUP($A173,Haver_M!$B$1:$BZ$300,MATCH(data!BN$1,Haver_M!$B$1:$BZ$1,0),FALSE)),VLOOKUP($A173,Haver_M!$B$1:$BZ$300,MATCH(data!BN$1,Haver_M!$B$1:$BZ$1,0),FALSE),"")</f>
        <v/>
      </c>
      <c r="BO173" t="str">
        <f>IF(ISNUMBER(VLOOKUP($A173,Haver_M!$B$1:$BZ$300,MATCH(data!BO$1,Haver_M!$B$1:$BZ$1,0),FALSE)),VLOOKUP($A173,Haver_M!$B$1:$BZ$300,MATCH(data!BO$1,Haver_M!$B$1:$BZ$1,0),FALSE),"")</f>
        <v/>
      </c>
      <c r="BP173" t="str">
        <f>IF(ISNUMBER(VLOOKUP($A173,Haver_M!$B$1:$BZ$300,MATCH(data!BP$1,Haver_M!$B$1:$BZ$1,0),FALSE)),VLOOKUP($A173,Haver_M!$B$1:$BZ$300,MATCH(data!BP$1,Haver_M!$B$1:$BZ$1,0),FALSE),"")</f>
        <v/>
      </c>
      <c r="BQ173">
        <f>IF(ISNUMBER(VLOOKUP($A173,Haver_M!$B$1:$BZ$300,MATCH(data!BQ$1,Haver_M!$B$1:$BZ$1,0),FALSE)),VLOOKUP($A173,Haver_M!$B$1:$BZ$300,MATCH(data!BQ$1,Haver_M!$B$1:$BZ$1,0),FALSE),"")</f>
        <v>168.5920015375286</v>
      </c>
      <c r="BR173">
        <f>IF(ISNUMBER(VLOOKUP($A173,Haver_M!$B$1:$BZ$300,MATCH(data!BR$1,Haver_M!$B$1:$BZ$1,0),FALSE)),VLOOKUP($A173,Haver_M!$B$1:$BZ$300,MATCH(data!BR$1,Haver_M!$B$1:$BZ$1,0),FALSE),"")</f>
        <v>415.82196478926909</v>
      </c>
      <c r="BS173">
        <f>IF(ISNUMBER(VLOOKUP($A173,Haver_M!$B$1:$BZ$300,MATCH(data!BS$1,Haver_M!$B$1:$BZ$1,0),FALSE)),VLOOKUP($A173,Haver_M!$B$1:$BZ$300,MATCH(data!BS$1,Haver_M!$B$1:$BZ$1,0),FALSE),"")</f>
        <v>221.08833168203643</v>
      </c>
      <c r="BT173">
        <f>IF(ISNUMBER(VLOOKUP($A173,Haver_M!$B$1:$BZ$300,MATCH(data!BT$1,Haver_M!$B$1:$BZ$1,0),FALSE)),VLOOKUP($A173,Haver_M!$B$1:$BZ$300,MATCH(data!BT$1,Haver_M!$B$1:$BZ$1,0),FALSE),"")</f>
        <v>919.24942756881592</v>
      </c>
      <c r="BU173">
        <f>IF(ISNUMBER(VLOOKUP($A173,Haver_M!$B$1:$BZ$300,MATCH(data!BU$1,Haver_M!$B$1:$BZ$1,0),FALSE)),VLOOKUP($A173,Haver_M!$B$1:$BZ$300,MATCH(data!BU$1,Haver_M!$B$1:$BZ$1,0),FALSE),"")</f>
        <v>25827.54</v>
      </c>
      <c r="BV173">
        <f>IF(ISNUMBER(VLOOKUP($A173,Haver_M!$B$1:$BZ$300,MATCH(data!BV$1,Haver_M!$B$1:$BZ$1,0),FALSE)),VLOOKUP($A173,Haver_M!$B$1:$BZ$300,MATCH(data!BV$1,Haver_M!$B$1:$BZ$1,0),FALSE),"")</f>
        <v>35795.64</v>
      </c>
      <c r="BW173">
        <f>IF(ISNUMBER(VLOOKUP($A173,Haver_M!$B$1:$BZ$300,MATCH(data!BW$1,Haver_M!$B$1:$BZ$1,0),FALSE)),VLOOKUP($A173,Haver_M!$B$1:$BZ$300,MATCH(data!BW$1,Haver_M!$B$1:$BZ$1,0),FALSE),"")</f>
        <v>60.3566</v>
      </c>
      <c r="BX173">
        <f>IF(ISNUMBER(VLOOKUP($A173,Haver_M!$B$1:$BZ$300,MATCH(data!BX$1,Haver_M!$B$1:$BZ$1,0),FALSE)),VLOOKUP($A173,Haver_M!$B$1:$BZ$300,MATCH(data!BX$1,Haver_M!$B$1:$BZ$1,0),FALSE),"")</f>
        <v>68311</v>
      </c>
    </row>
    <row r="174" spans="1:76" x14ac:dyDescent="0.25">
      <c r="A174" s="2">
        <v>41790</v>
      </c>
      <c r="B174" t="str">
        <f>IF(ISNUMBER(VLOOKUP($A174,Haver_Q!$B$1:$L$185,MATCH(data!B$1,Haver_Q!$B$1:$L$1,0),FALSE)),100*(VLOOKUP($A174,Haver_Q!$B$1:$L$185,MATCH(data!B$1,Haver_Q!$B$1:$L$1,0),FALSE)),"")</f>
        <v/>
      </c>
      <c r="C174" t="str">
        <f>IF(ISNUMBER(VLOOKUP($A174,Haver_Q!$B$1:$L$185,MATCH(data!C$1,Haver_Q!$B$1:$L$1,0),FALSE)),100*(VLOOKUP($A174,Haver_Q!$B$1:$L$185,MATCH(data!C$1,Haver_Q!$B$1:$L$1,0),FALSE)),"")</f>
        <v/>
      </c>
      <c r="D174" t="str">
        <f>IF(ISNUMBER(VLOOKUP($A174,Haver_Q!$B$1:$L$185,MATCH(data!D$1,Haver_Q!$B$1:$L$1,0),FALSE)),100*(VLOOKUP($A174,Haver_Q!$B$1:$L$185,MATCH(data!D$1,Haver_Q!$B$1:$L$1,0),FALSE)),"")</f>
        <v/>
      </c>
      <c r="E174" t="str">
        <f>IF(ISNUMBER(VLOOKUP($A174,Haver_Q!$B$1:$L$185,MATCH(data!E$1,Haver_Q!$B$1:$L$1,0),FALSE)),100*(VLOOKUP($A174,Haver_Q!$B$1:$L$185,MATCH(data!E$1,Haver_Q!$B$1:$L$1,0),FALSE)),"")</f>
        <v/>
      </c>
      <c r="F174" t="str">
        <f>IF(ISNUMBER(VLOOKUP($A174,Haver_Q!$B$1:$L$185,MATCH(data!F$1,Haver_Q!$B$1:$L$1,0),FALSE)),100*(VLOOKUP($A174,Haver_Q!$B$1:$L$185,MATCH(data!F$1,Haver_Q!$B$1:$L$1,0),FALSE)),"")</f>
        <v/>
      </c>
      <c r="G174" t="str">
        <f>IF(ISNUMBER(VLOOKUP($A174,Haver_Q!$B$1:$L$185,MATCH(data!G$1,Haver_Q!$B$1:$L$1,0),FALSE)),100*(VLOOKUP($A174,Haver_Q!$B$1:$L$185,MATCH(data!G$1,Haver_Q!$B$1:$L$1,0),FALSE)),"")</f>
        <v/>
      </c>
      <c r="H174" t="str">
        <f>IF(ISNUMBER(VLOOKUP($A174,Haver_Q!$B$1:$L$185,MATCH(data!H$1,Haver_Q!$B$1:$L$1,0),FALSE)),(VLOOKUP($A174,Haver_Q!$B$1:$L$185,MATCH(data!H$1,Haver_Q!$B$1:$L$1,0),FALSE)),"")</f>
        <v/>
      </c>
      <c r="I174" t="str">
        <f>IF(ISNUMBER(VLOOKUP($A174,Haver_Q!$B$1:$L$185,MATCH(data!I$1,Haver_Q!$B$1:$L$1,0),FALSE)),100*(VLOOKUP($A174,Haver_Q!$B$1:$L$185,MATCH(data!I$1,Haver_Q!$B$1:$L$1,0),FALSE)),"")</f>
        <v/>
      </c>
      <c r="J174" s="3">
        <f>IF(ISNUMBER(Bloomberg_m!C190),Bloomberg_m!C190,"")</f>
        <v>991</v>
      </c>
      <c r="K174" s="3">
        <f>IF(ISNUMBER(Bloomberg_m!D190),Bloomberg_m!D190,"")</f>
        <v>2015.24</v>
      </c>
      <c r="L174" s="3">
        <f>IF(ISNUMBER(Bloomberg_m!E190),Bloomberg_m!E190,"")</f>
        <v>1137.1099999999999</v>
      </c>
      <c r="M174" s="3">
        <f>IF(ISNUMBER(Bloomberg_m!F190),Bloomberg_m!F190,"")</f>
        <v>590.4</v>
      </c>
      <c r="N174">
        <f>IF(ISNUMBER(VLOOKUP($A174,Haver_M!$B$1:$BZ$300,MATCH(data!N$1,Haver_M!$B$1:$BZ$1,0),FALSE)),VLOOKUP($A174,Haver_M!$B$1:$BZ$300,MATCH(data!N$1,Haver_M!$B$1:$BZ$1,0),FALSE),"")</f>
        <v>8</v>
      </c>
      <c r="O174">
        <f>IF(ISNUMBER(VLOOKUP($A174,Haver_M!$B$1:$BZ$300,MATCH(data!O$1,Haver_M!$B$1:$BZ$1,0),FALSE)),VLOOKUP($A174,Haver_M!$B$1:$BZ$300,MATCH(data!O$1,Haver_M!$B$1:$BZ$1,0),FALSE),"")</f>
        <v>8.6867000000000001</v>
      </c>
      <c r="P174">
        <f>IF(ISNUMBER(VLOOKUP($A174,Haver_M!$B$1:$BZ$300,MATCH(data!P$1,Haver_M!$B$1:$BZ$1,0),FALSE)),VLOOKUP($A174,Haver_M!$B$1:$BZ$300,MATCH(data!P$1,Haver_M!$B$1:$BZ$1,0),FALSE),"")</f>
        <v>89.68759</v>
      </c>
      <c r="Q174">
        <f>IF(ISNUMBER(VLOOKUP($A174,Haver_M!$B$1:$BZ$300,MATCH(data!Q$1,Haver_M!$B$1:$BZ$1,0),FALSE)),VLOOKUP($A174,Haver_M!$B$1:$BZ$300,MATCH(data!Q$1,Haver_M!$B$1:$BZ$1,0),FALSE),"")</f>
        <v>115.8</v>
      </c>
      <c r="R174">
        <f>IF(ISNUMBER(VLOOKUP($A174,Haver_M!$B$1:$BZ$300,MATCH(data!R$1,Haver_M!$B$1:$BZ$1,0),FALSE)),VLOOKUP($A174,Haver_M!$B$1:$BZ$300,MATCH(data!R$1,Haver_M!$B$1:$BZ$1,0),FALSE),"")</f>
        <v>113.6</v>
      </c>
      <c r="S174">
        <f>IF(ISNUMBER(VLOOKUP($A174,Haver_M!$B$1:$BZ$300,MATCH(data!S$1,Haver_M!$B$1:$BZ$1,0),FALSE)),VLOOKUP($A174,Haver_M!$B$1:$BZ$300,MATCH(data!S$1,Haver_M!$B$1:$BZ$1,0),FALSE),"")</f>
        <v>110.21</v>
      </c>
      <c r="T174">
        <f>IF(ISNUMBER(VLOOKUP($A174,Haver_M!$B$1:$BZ$300,MATCH(data!T$1,Haver_M!$B$1:$BZ$1,0),FALSE)),VLOOKUP($A174,Haver_M!$B$1:$BZ$300,MATCH(data!T$1,Haver_M!$B$1:$BZ$1,0),FALSE),"")</f>
        <v>105.38</v>
      </c>
      <c r="U174">
        <f>IF(ISNUMBER(VLOOKUP($A174,Haver_M!$B$1:$BZ$300,MATCH(data!U$1,Haver_M!$B$1:$BZ$1,0),FALSE)),VLOOKUP($A174,Haver_M!$B$1:$BZ$300,MATCH(data!U$1,Haver_M!$B$1:$BZ$1,0),FALSE),"")</f>
        <v>96.87</v>
      </c>
      <c r="V174">
        <f>IF(ISNUMBER(VLOOKUP($A174,Haver_M!$B$1:$BZ$300,MATCH(data!V$1,Haver_M!$B$1:$BZ$1,0),FALSE)),VLOOKUP($A174,Haver_M!$B$1:$BZ$300,MATCH(data!V$1,Haver_M!$B$1:$BZ$1,0),FALSE),"")</f>
        <v>116.47</v>
      </c>
      <c r="W174">
        <f>IF(ISNUMBER(VLOOKUP($A174,Haver_M!$B$1:$BZ$300,MATCH(data!W$1,Haver_M!$B$1:$BZ$1,0),FALSE)),VLOOKUP($A174,Haver_M!$B$1:$BZ$300,MATCH(data!W$1,Haver_M!$B$1:$BZ$1,0),FALSE),"")</f>
        <v>116.22</v>
      </c>
      <c r="X174">
        <f>IF(ISNUMBER(VLOOKUP($A174,Haver_M!$B$1:$BZ$300,MATCH(data!X$1,Haver_M!$B$1:$BZ$1,0),FALSE)),VLOOKUP($A174,Haver_M!$B$1:$BZ$300,MATCH(data!X$1,Haver_M!$B$1:$BZ$1,0),FALSE),"")</f>
        <v>115.86</v>
      </c>
      <c r="Y174">
        <f>IF(ISNUMBER(VLOOKUP($A174,Haver_M!$B$1:$BZ$300,MATCH(data!Y$1,Haver_M!$B$1:$BZ$1,0),FALSE)),VLOOKUP($A174,Haver_M!$B$1:$BZ$300,MATCH(data!Y$1,Haver_M!$B$1:$BZ$1,0),FALSE),"")</f>
        <v>111.75</v>
      </c>
      <c r="Z174">
        <f>IF(ISNUMBER(VLOOKUP($A174,Haver_M!$B$1:$BZ$300,MATCH(data!Z$1,Haver_M!$B$1:$BZ$1,0),FALSE)),VLOOKUP($A174,Haver_M!$B$1:$BZ$300,MATCH(data!Z$1,Haver_M!$B$1:$BZ$1,0),FALSE),"")</f>
        <v>111</v>
      </c>
      <c r="AA174">
        <f>IF(ISNUMBER(VLOOKUP($A174,Haver_M!$B$1:$BZ$300,MATCH(data!AA$1,Haver_M!$B$1:$BZ$1,0),FALSE)),VLOOKUP($A174,Haver_M!$B$1:$BZ$300,MATCH(data!AA$1,Haver_M!$B$1:$BZ$1,0),FALSE),"")</f>
        <v>108.15300000000001</v>
      </c>
      <c r="AB174">
        <f>IF(ISNUMBER(VLOOKUP($A174,Haver_M!$B$1:$BZ$300,MATCH(data!AB$1,Haver_M!$B$1:$BZ$1,0),FALSE)),VLOOKUP($A174,Haver_M!$B$1:$BZ$300,MATCH(data!AB$1,Haver_M!$B$1:$BZ$1,0),FALSE),"")</f>
        <v>98.087000000000003</v>
      </c>
      <c r="AC174">
        <f>IF(ISNUMBER(VLOOKUP($A174,Haver_M!$B$1:$BZ$300,MATCH(data!AC$1,Haver_M!$B$1:$BZ$1,0),FALSE)),VLOOKUP($A174,Haver_M!$B$1:$BZ$300,MATCH(data!AC$1,Haver_M!$B$1:$BZ$1,0),FALSE),"")</f>
        <v>73.358000000000004</v>
      </c>
      <c r="AD174">
        <f>IF(ISNUMBER(VLOOKUP($A174,Haver_M!$B$1:$BZ$300,MATCH(data!AD$1,Haver_M!$B$1:$BZ$1,0),FALSE)),VLOOKUP($A174,Haver_M!$B$1:$BZ$300,MATCH(data!AD$1,Haver_M!$B$1:$BZ$1,0),FALSE),"")</f>
        <v>108.119</v>
      </c>
      <c r="AE174">
        <f>IF(ISNUMBER(VLOOKUP($A174,Haver_M!$B$1:$BZ$300,MATCH(data!AE$1,Haver_M!$B$1:$BZ$1,0),FALSE)),VLOOKUP($A174,Haver_M!$B$1:$BZ$300,MATCH(data!AE$1,Haver_M!$B$1:$BZ$1,0),FALSE),"")</f>
        <v>100.854</v>
      </c>
      <c r="AF174">
        <f>IF(ISNUMBER(VLOOKUP($A174,Haver_M!$B$1:$BZ$300,MATCH(data!AF$1,Haver_M!$B$1:$BZ$1,0),FALSE)),VLOOKUP($A174,Haver_M!$B$1:$BZ$300,MATCH(data!AF$1,Haver_M!$B$1:$BZ$1,0),FALSE),"")</f>
        <v>123.95</v>
      </c>
      <c r="AG174">
        <f>IF(ISNUMBER(VLOOKUP($A174,Haver_M!$B$1:$BZ$300,MATCH(data!AG$1,Haver_M!$B$1:$BZ$1,0),FALSE)),VLOOKUP($A174,Haver_M!$B$1:$BZ$300,MATCH(data!AG$1,Haver_M!$B$1:$BZ$1,0),FALSE),"")</f>
        <v>120.464</v>
      </c>
      <c r="AH174">
        <f>IF(ISNUMBER(VLOOKUP($A174,Haver_M!$B$1:$BZ$300,MATCH(data!AH$1,Haver_M!$B$1:$BZ$1,0),FALSE)),VLOOKUP($A174,Haver_M!$B$1:$BZ$300,MATCH(data!AH$1,Haver_M!$B$1:$BZ$1,0),FALSE),"")</f>
        <v>121.806</v>
      </c>
      <c r="AI174">
        <f>IF(ISNUMBER(VLOOKUP($A174,Haver_M!$B$1:$BZ$300,MATCH(data!AI$1,Haver_M!$B$1:$BZ$1,0),FALSE)),VLOOKUP($A174,Haver_M!$B$1:$BZ$300,MATCH(data!AI$1,Haver_M!$B$1:$BZ$1,0),FALSE),"")</f>
        <v>13738.190227974013</v>
      </c>
      <c r="AJ174">
        <f>IF(ISNUMBER(VLOOKUP($A174,Haver_M!$B$1:$BZ$300,MATCH(data!AJ$1,Haver_M!$B$1:$BZ$1,0),FALSE)),VLOOKUP($A174,Haver_M!$B$1:$BZ$300,MATCH(data!AJ$1,Haver_M!$B$1:$BZ$1,0),FALSE),"")</f>
        <v>27826.06</v>
      </c>
      <c r="AK174">
        <f>IF(ISNUMBER(VLOOKUP($A174,Haver_M!$B$1:$BZ$300,MATCH(data!AK$1,Haver_M!$B$1:$BZ$1,0),FALSE)),VLOOKUP($A174,Haver_M!$B$1:$BZ$300,MATCH(data!AK$1,Haver_M!$B$1:$BZ$1,0),FALSE),"")</f>
        <v>37540.44</v>
      </c>
      <c r="AL174">
        <f>IF(ISNUMBER(VLOOKUP($A174,Haver_M!$B$1:$BZ$300,MATCH(data!AL$1,Haver_M!$B$1:$BZ$1,0),FALSE)),VLOOKUP($A174,Haver_M!$B$1:$BZ$300,MATCH(data!AL$1,Haver_M!$B$1:$BZ$1,0),FALSE),"")</f>
        <v>13920</v>
      </c>
      <c r="AM174">
        <f>IF(ISNUMBER(VLOOKUP($A174,Haver_M!$B$1:$BZ$300,MATCH(data!AM$1,Haver_M!$B$1:$BZ$1,0),FALSE)),VLOOKUP($A174,Haver_M!$B$1:$BZ$300,MATCH(data!AM$1,Haver_M!$B$1:$BZ$1,0),FALSE),"")</f>
        <v>8027</v>
      </c>
      <c r="AN174" t="str">
        <f>IF(ISNUMBER(VLOOKUP($A174,Haver_M!$B$1:$BZ$300,MATCH(data!AN$1,Haver_M!$B$1:$BZ$1,0),FALSE)),VLOOKUP($A174,Haver_M!$B$1:$BZ$300,MATCH(data!AN$1,Haver_M!$B$1:$BZ$1,0),FALSE),"")</f>
        <v/>
      </c>
      <c r="AO174" t="str">
        <f>IF(ISNUMBER(VLOOKUP($A174,Haver_M!$B$1:$BZ$300,MATCH(data!AO$1,Haver_M!$B$1:$BZ$1,0),FALSE)),VLOOKUP($A174,Haver_M!$B$1:$BZ$300,MATCH(data!AO$1,Haver_M!$B$1:$BZ$1,0),FALSE),"")</f>
        <v/>
      </c>
      <c r="AP174">
        <f>IF(ISNUMBER(VLOOKUP($A174,Haver_M!$B$1:$BZ$300,MATCH(data!AP$1,Haver_M!$B$1:$BZ$1,0),FALSE)),VLOOKUP($A174,Haver_M!$B$1:$BZ$300,MATCH(data!AP$1,Haver_M!$B$1:$BZ$1,0),FALSE),"")</f>
        <v>99.290209673537788</v>
      </c>
      <c r="AQ174">
        <f>IF(ISNUMBER(VLOOKUP($A174,Haver_M!$B$1:$BZ$300,MATCH(data!AQ$1,Haver_M!$B$1:$BZ$1,0),FALSE)),VLOOKUP($A174,Haver_M!$B$1:$BZ$300,MATCH(data!AQ$1,Haver_M!$B$1:$BZ$1,0),FALSE),"")</f>
        <v>50.6663</v>
      </c>
      <c r="AR174">
        <f>IF(ISNUMBER(VLOOKUP($A174,Haver_M!$B$1:$BZ$300,MATCH(data!AR$1,Haver_M!$B$1:$BZ$1,0),FALSE)),VLOOKUP($A174,Haver_M!$B$1:$BZ$300,MATCH(data!AR$1,Haver_M!$B$1:$BZ$1,0),FALSE),"")</f>
        <v>51.399799999999999</v>
      </c>
      <c r="AS174">
        <f>IF(ISNUMBER(VLOOKUP($A174,Haver_M!$B$1:$BZ$300,MATCH(data!AS$1,Haver_M!$B$1:$BZ$1,0),FALSE)),VLOOKUP($A174,Haver_M!$B$1:$BZ$300,MATCH(data!AS$1,Haver_M!$B$1:$BZ$1,0),FALSE),"")</f>
        <v>50.218600000000002</v>
      </c>
      <c r="AT174">
        <f>IF(ISNUMBER(VLOOKUP($A174,Haver_M!$B$1:$BZ$300,MATCH(data!AT$1,Haver_M!$B$1:$BZ$1,0),FALSE)),VLOOKUP($A174,Haver_M!$B$1:$BZ$300,MATCH(data!AT$1,Haver_M!$B$1:$BZ$1,0),FALSE),"")</f>
        <v>51.729500000000002</v>
      </c>
      <c r="AU174">
        <f>IF(ISNUMBER(VLOOKUP($A174,Haver_M!$B$1:$BZ$300,MATCH(data!AU$1,Haver_M!$B$1:$BZ$1,0),FALSE)),VLOOKUP($A174,Haver_M!$B$1:$BZ$300,MATCH(data!AU$1,Haver_M!$B$1:$BZ$1,0),FALSE),"")</f>
        <v>53.246299999999998</v>
      </c>
      <c r="AV174">
        <f>IF(ISNUMBER(VLOOKUP($A174,Haver_M!$B$1:$BZ$300,MATCH(data!AV$1,Haver_M!$B$1:$BZ$1,0),FALSE)),VLOOKUP($A174,Haver_M!$B$1:$BZ$300,MATCH(data!AV$1,Haver_M!$B$1:$BZ$1,0),FALSE),"")</f>
        <v>50.570700000000002</v>
      </c>
      <c r="AW174">
        <f>IF(ISNUMBER(VLOOKUP($A174,Haver_M!$B$1:$BZ$300,MATCH(data!AW$1,Haver_M!$B$1:$BZ$1,0),FALSE)),VLOOKUP($A174,Haver_M!$B$1:$BZ$300,MATCH(data!AW$1,Haver_M!$B$1:$BZ$1,0),FALSE),"")</f>
        <v>50.737400000000001</v>
      </c>
      <c r="AX174">
        <f>IF(ISNUMBER(VLOOKUP($A174,Haver_M!$B$1:$BZ$300,MATCH(data!AX$1,Haver_M!$B$1:$BZ$1,0),FALSE)),VLOOKUP($A174,Haver_M!$B$1:$BZ$300,MATCH(data!AX$1,Haver_M!$B$1:$BZ$1,0),FALSE),"")</f>
        <v>49.900100000000002</v>
      </c>
      <c r="AY174">
        <f>IF(ISNUMBER(VLOOKUP($A174,Haver_M!$B$1:$BZ$300,MATCH(data!AY$1,Haver_M!$B$1:$BZ$1,0),FALSE)),VLOOKUP($A174,Haver_M!$B$1:$BZ$300,MATCH(data!AY$1,Haver_M!$B$1:$BZ$1,0),FALSE),"")</f>
        <v>54.035299999999999</v>
      </c>
      <c r="AZ174">
        <f>IF(ISNUMBER(VLOOKUP($A174,Haver_M!$B$1:$BZ$300,MATCH(data!AZ$1,Haver_M!$B$1:$BZ$1,0),FALSE)),VLOOKUP($A174,Haver_M!$B$1:$BZ$300,MATCH(data!AZ$1,Haver_M!$B$1:$BZ$1,0),FALSE),"")</f>
        <v>51.829300000000003</v>
      </c>
      <c r="BA174">
        <f>IF(ISNUMBER(VLOOKUP($A174,Haver_M!$B$1:$BZ$300,MATCH(data!BA$1,Haver_M!$B$1:$BZ$1,0),FALSE)),VLOOKUP($A174,Haver_M!$B$1:$BZ$300,MATCH(data!BA$1,Haver_M!$B$1:$BZ$1,0),FALSE),"")</f>
        <v>49.900100000000002</v>
      </c>
      <c r="BB174">
        <f>IF(ISNUMBER(VLOOKUP($A174,Haver_M!$B$1:$BZ$300,MATCH(data!BB$1,Haver_M!$B$1:$BZ$1,0),FALSE)),VLOOKUP($A174,Haver_M!$B$1:$BZ$300,MATCH(data!BB$1,Haver_M!$B$1:$BZ$1,0),FALSE),"")</f>
        <v>53.6708</v>
      </c>
      <c r="BC174">
        <f>IF(ISNUMBER(VLOOKUP($A174,Haver_M!$B$1:$BZ$300,MATCH(data!BC$1,Haver_M!$B$1:$BZ$1,0),FALSE)),VLOOKUP($A174,Haver_M!$B$1:$BZ$300,MATCH(data!BC$1,Haver_M!$B$1:$BZ$1,0),FALSE),"")</f>
        <v>51.104199999999999</v>
      </c>
      <c r="BD174">
        <f>IF(ISNUMBER(VLOOKUP($A174,Haver_M!$B$1:$BZ$300,MATCH(data!BD$1,Haver_M!$B$1:$BZ$1,0),FALSE)),VLOOKUP($A174,Haver_M!$B$1:$BZ$300,MATCH(data!BD$1,Haver_M!$B$1:$BZ$1,0),FALSE),"")</f>
        <v>52.253399999999999</v>
      </c>
      <c r="BE174">
        <f>IF(ISNUMBER(VLOOKUP($A174,Haver_M!$B$1:$BZ$300,MATCH(data!BE$1,Haver_M!$B$1:$BZ$1,0),FALSE)),VLOOKUP($A174,Haver_M!$B$1:$BZ$300,MATCH(data!BE$1,Haver_M!$B$1:$BZ$1,0),FALSE),"")</f>
        <v>1.0441</v>
      </c>
      <c r="BF174">
        <f>IF(ISNUMBER(VLOOKUP($A174,Haver_M!$B$1:$BZ$300,MATCH(data!BF$1,Haver_M!$B$1:$BZ$1,0),FALSE)),VLOOKUP($A174,Haver_M!$B$1:$BZ$300,MATCH(data!BF$1,Haver_M!$B$1:$BZ$1,0),FALSE),"")</f>
        <v>49.944000000000003</v>
      </c>
      <c r="BG174">
        <f>IF(ISNUMBER(VLOOKUP($A174,Haver_M!$B$1:$BZ$300,MATCH(data!BG$1,Haver_M!$B$1:$BZ$1,0),FALSE)),VLOOKUP($A174,Haver_M!$B$1:$BZ$300,MATCH(data!BG$1,Haver_M!$B$1:$BZ$1,0),FALSE),"")</f>
        <v>50.899700000000003</v>
      </c>
      <c r="BH174">
        <f>IF(ISNUMBER(VLOOKUP($A174,Haver_M!$B$1:$BZ$300,MATCH(data!BH$1,Haver_M!$B$1:$BZ$1,0),FALSE)),VLOOKUP($A174,Haver_M!$B$1:$BZ$300,MATCH(data!BH$1,Haver_M!$B$1:$BZ$1,0),FALSE),"")</f>
        <v>50.479399999999998</v>
      </c>
      <c r="BI174">
        <f>IF(ISNUMBER(VLOOKUP($A174,Haver_M!$B$1:$BZ$300,MATCH(data!BI$1,Haver_M!$B$1:$BZ$1,0),FALSE)),VLOOKUP($A174,Haver_M!$B$1:$BZ$300,MATCH(data!BI$1,Haver_M!$B$1:$BZ$1,0),FALSE),"")</f>
        <v>52.732500000000002</v>
      </c>
      <c r="BJ174" t="str">
        <f>IF(ISNUMBER(VLOOKUP($A174,Haver_M!$B$1:$BZ$300,MATCH(data!BJ$1,Haver_M!$B$1:$BZ$1,0),FALSE)),VLOOKUP($A174,Haver_M!$B$1:$BZ$300,MATCH(data!BJ$1,Haver_M!$B$1:$BZ$1,0),FALSE),"")</f>
        <v/>
      </c>
      <c r="BK174">
        <f>IF(ISNUMBER(VLOOKUP($A174,Haver_M!$B$1:$BZ$300,MATCH(data!BK$1,Haver_M!$B$1:$BZ$1,0),FALSE)),VLOOKUP($A174,Haver_M!$B$1:$BZ$300,MATCH(data!BK$1,Haver_M!$B$1:$BZ$1,0),FALSE),"")</f>
        <v>53.609400000000001</v>
      </c>
      <c r="BL174">
        <f>IF(ISNUMBER(VLOOKUP($A174,Haver_M!$B$1:$BZ$300,MATCH(data!BL$1,Haver_M!$B$1:$BZ$1,0),FALSE)),VLOOKUP($A174,Haver_M!$B$1:$BZ$300,MATCH(data!BL$1,Haver_M!$B$1:$BZ$1,0),FALSE),"")</f>
        <v>23745.9</v>
      </c>
      <c r="BM174">
        <f>IF(ISNUMBER(VLOOKUP($A174,Haver_M!$B$1:$BZ$300,MATCH(data!BM$1,Haver_M!$B$1:$BZ$1,0),FALSE)),VLOOKUP($A174,Haver_M!$B$1:$BZ$300,MATCH(data!BM$1,Haver_M!$B$1:$BZ$1,0),FALSE),"")</f>
        <v>104.61125809000001</v>
      </c>
      <c r="BN174" t="str">
        <f>IF(ISNUMBER(VLOOKUP($A174,Haver_M!$B$1:$BZ$300,MATCH(data!BN$1,Haver_M!$B$1:$BZ$1,0),FALSE)),VLOOKUP($A174,Haver_M!$B$1:$BZ$300,MATCH(data!BN$1,Haver_M!$B$1:$BZ$1,0),FALSE),"")</f>
        <v/>
      </c>
      <c r="BO174" t="str">
        <f>IF(ISNUMBER(VLOOKUP($A174,Haver_M!$B$1:$BZ$300,MATCH(data!BO$1,Haver_M!$B$1:$BZ$1,0),FALSE)),VLOOKUP($A174,Haver_M!$B$1:$BZ$300,MATCH(data!BO$1,Haver_M!$B$1:$BZ$1,0),FALSE),"")</f>
        <v/>
      </c>
      <c r="BP174" t="str">
        <f>IF(ISNUMBER(VLOOKUP($A174,Haver_M!$B$1:$BZ$300,MATCH(data!BP$1,Haver_M!$B$1:$BZ$1,0),FALSE)),VLOOKUP($A174,Haver_M!$B$1:$BZ$300,MATCH(data!BP$1,Haver_M!$B$1:$BZ$1,0),FALSE),"")</f>
        <v/>
      </c>
      <c r="BQ174">
        <f>IF(ISNUMBER(VLOOKUP($A174,Haver_M!$B$1:$BZ$300,MATCH(data!BQ$1,Haver_M!$B$1:$BZ$1,0),FALSE)),VLOOKUP($A174,Haver_M!$B$1:$BZ$300,MATCH(data!BQ$1,Haver_M!$B$1:$BZ$1,0),FALSE),"")</f>
        <v>172.75811483011552</v>
      </c>
      <c r="BR174">
        <f>IF(ISNUMBER(VLOOKUP($A174,Haver_M!$B$1:$BZ$300,MATCH(data!BR$1,Haver_M!$B$1:$BZ$1,0),FALSE)),VLOOKUP($A174,Haver_M!$B$1:$BZ$300,MATCH(data!BR$1,Haver_M!$B$1:$BZ$1,0),FALSE),"")</f>
        <v>423.09012730798418</v>
      </c>
      <c r="BS174">
        <f>IF(ISNUMBER(VLOOKUP($A174,Haver_M!$B$1:$BZ$300,MATCH(data!BS$1,Haver_M!$B$1:$BZ$1,0),FALSE)),VLOOKUP($A174,Haver_M!$B$1:$BZ$300,MATCH(data!BS$1,Haver_M!$B$1:$BZ$1,0),FALSE),"")</f>
        <v>222.06491864092402</v>
      </c>
      <c r="BT174">
        <f>IF(ISNUMBER(VLOOKUP($A174,Haver_M!$B$1:$BZ$300,MATCH(data!BT$1,Haver_M!$B$1:$BZ$1,0),FALSE)),VLOOKUP($A174,Haver_M!$B$1:$BZ$300,MATCH(data!BT$1,Haver_M!$B$1:$BZ$1,0),FALSE),"")</f>
        <v>936.12933142230838</v>
      </c>
      <c r="BU174">
        <f>IF(ISNUMBER(VLOOKUP($A174,Haver_M!$B$1:$BZ$300,MATCH(data!BU$1,Haver_M!$B$1:$BZ$1,0),FALSE)),VLOOKUP($A174,Haver_M!$B$1:$BZ$300,MATCH(data!BU$1,Haver_M!$B$1:$BZ$1,0),FALSE),"")</f>
        <v>28019.24</v>
      </c>
      <c r="BV174">
        <f>IF(ISNUMBER(VLOOKUP($A174,Haver_M!$B$1:$BZ$300,MATCH(data!BV$1,Haver_M!$B$1:$BZ$1,0),FALSE)),VLOOKUP($A174,Haver_M!$B$1:$BZ$300,MATCH(data!BV$1,Haver_M!$B$1:$BZ$1,0),FALSE),"")</f>
        <v>39058.85</v>
      </c>
      <c r="BW174">
        <f>IF(ISNUMBER(VLOOKUP($A174,Haver_M!$B$1:$BZ$300,MATCH(data!BW$1,Haver_M!$B$1:$BZ$1,0),FALSE)),VLOOKUP($A174,Haver_M!$B$1:$BZ$300,MATCH(data!BW$1,Haver_M!$B$1:$BZ$1,0),FALSE),"")</f>
        <v>59.305</v>
      </c>
      <c r="BX174">
        <f>IF(ISNUMBER(VLOOKUP($A174,Haver_M!$B$1:$BZ$300,MATCH(data!BX$1,Haver_M!$B$1:$BZ$1,0),FALSE)),VLOOKUP($A174,Haver_M!$B$1:$BZ$300,MATCH(data!BX$1,Haver_M!$B$1:$BZ$1,0),FALSE),"")</f>
        <v>74781</v>
      </c>
    </row>
    <row r="175" spans="1:76" x14ac:dyDescent="0.25">
      <c r="A175" s="2">
        <v>41820</v>
      </c>
      <c r="B175">
        <f>IF(ISNUMBER(VLOOKUP($A175,Haver_Q!$B$1:$L$185,MATCH(data!B$1,Haver_Q!$B$1:$L$1,0),FALSE)),100*(VLOOKUP($A175,Haver_Q!$B$1:$L$185,MATCH(data!B$1,Haver_Q!$B$1:$L$1,0),FALSE)),"")</f>
        <v>12.542389682239108</v>
      </c>
      <c r="C175">
        <f>IF(ISNUMBER(VLOOKUP($A175,Haver_Q!$B$1:$L$185,MATCH(data!C$1,Haver_Q!$B$1:$L$1,0),FALSE)),100*(VLOOKUP($A175,Haver_Q!$B$1:$L$185,MATCH(data!C$1,Haver_Q!$B$1:$L$1,0),FALSE)),"")</f>
        <v>6.4809173241236806</v>
      </c>
      <c r="D175">
        <f>IF(ISNUMBER(VLOOKUP($A175,Haver_Q!$B$1:$L$185,MATCH(data!D$1,Haver_Q!$B$1:$L$1,0),FALSE)),100*(VLOOKUP($A175,Haver_Q!$B$1:$L$185,MATCH(data!D$1,Haver_Q!$B$1:$L$1,0),FALSE)),"")</f>
        <v>71.892033934974535</v>
      </c>
      <c r="E175">
        <f>IF(ISNUMBER(VLOOKUP($A175,Haver_Q!$B$1:$L$185,MATCH(data!E$1,Haver_Q!$B$1:$L$1,0),FALSE)),100*(VLOOKUP($A175,Haver_Q!$B$1:$L$185,MATCH(data!E$1,Haver_Q!$B$1:$L$1,0),FALSE)),"")</f>
        <v>6.8647789860321051</v>
      </c>
      <c r="F175">
        <f>IF(ISNUMBER(VLOOKUP($A175,Haver_Q!$B$1:$L$185,MATCH(data!F$1,Haver_Q!$B$1:$L$1,0),FALSE)),100*(VLOOKUP($A175,Haver_Q!$B$1:$L$185,MATCH(data!F$1,Haver_Q!$B$1:$L$1,0),FALSE)),"")</f>
        <v>-0.35409512606421334</v>
      </c>
      <c r="G175">
        <f>IF(ISNUMBER(VLOOKUP($A175,Haver_Q!$B$1:$L$185,MATCH(data!G$1,Haver_Q!$B$1:$L$1,0),FALSE)),100*(VLOOKUP($A175,Haver_Q!$B$1:$L$185,MATCH(data!G$1,Haver_Q!$B$1:$L$1,0),FALSE)),"")</f>
        <v>4.4505386922354395</v>
      </c>
      <c r="H175">
        <f>IF(ISNUMBER(VLOOKUP($A175,Haver_Q!$B$1:$L$185,MATCH(data!H$1,Haver_Q!$B$1:$L$1,0),FALSE)),(VLOOKUP($A175,Haver_Q!$B$1:$L$185,MATCH(data!H$1,Haver_Q!$B$1:$L$1,0),FALSE)),"")</f>
        <v>4.0487810162211257</v>
      </c>
      <c r="I175">
        <f>IF(ISNUMBER(VLOOKUP($A175,Haver_Q!$B$1:$L$185,MATCH(data!I$1,Haver_Q!$B$1:$L$1,0),FALSE)),100*(VLOOKUP($A175,Haver_Q!$B$1:$L$185,MATCH(data!I$1,Haver_Q!$B$1:$L$1,0),FALSE)),"")</f>
        <v>8.0239976552741723</v>
      </c>
      <c r="J175" s="3">
        <f>IF(ISNUMBER(Bloomberg_m!C191),Bloomberg_m!C191,"")</f>
        <v>912</v>
      </c>
      <c r="K175" s="3">
        <f>IF(ISNUMBER(Bloomberg_m!D191),Bloomberg_m!D191,"")</f>
        <v>2024.09</v>
      </c>
      <c r="L175" s="3">
        <f>IF(ISNUMBER(Bloomberg_m!E191),Bloomberg_m!E191,"")</f>
        <v>1070.3</v>
      </c>
      <c r="M175" s="3">
        <f>IF(ISNUMBER(Bloomberg_m!F191),Bloomberg_m!F191,"")</f>
        <v>616.04999999999995</v>
      </c>
      <c r="N175">
        <f>IF(ISNUMBER(VLOOKUP($A175,Haver_M!$B$1:$BZ$300,MATCH(data!N$1,Haver_M!$B$1:$BZ$1,0),FALSE)),VLOOKUP($A175,Haver_M!$B$1:$BZ$300,MATCH(data!N$1,Haver_M!$B$1:$BZ$1,0),FALSE),"")</f>
        <v>8</v>
      </c>
      <c r="O175">
        <f>IF(ISNUMBER(VLOOKUP($A175,Haver_M!$B$1:$BZ$300,MATCH(data!O$1,Haver_M!$B$1:$BZ$1,0),FALSE)),VLOOKUP($A175,Haver_M!$B$1:$BZ$300,MATCH(data!O$1,Haver_M!$B$1:$BZ$1,0),FALSE),"")</f>
        <v>8.7536000000000005</v>
      </c>
      <c r="P175">
        <f>IF(ISNUMBER(VLOOKUP($A175,Haver_M!$B$1:$BZ$300,MATCH(data!P$1,Haver_M!$B$1:$BZ$1,0),FALSE)),VLOOKUP($A175,Haver_M!$B$1:$BZ$300,MATCH(data!P$1,Haver_M!$B$1:$BZ$1,0),FALSE),"")</f>
        <v>89.873699999999999</v>
      </c>
      <c r="Q175">
        <f>IF(ISNUMBER(VLOOKUP($A175,Haver_M!$B$1:$BZ$300,MATCH(data!Q$1,Haver_M!$B$1:$BZ$1,0),FALSE)),VLOOKUP($A175,Haver_M!$B$1:$BZ$300,MATCH(data!Q$1,Haver_M!$B$1:$BZ$1,0),FALSE),"")</f>
        <v>116.7</v>
      </c>
      <c r="R175">
        <f>IF(ISNUMBER(VLOOKUP($A175,Haver_M!$B$1:$BZ$300,MATCH(data!R$1,Haver_M!$B$1:$BZ$1,0),FALSE)),VLOOKUP($A175,Haver_M!$B$1:$BZ$300,MATCH(data!R$1,Haver_M!$B$1:$BZ$1,0),FALSE),"")</f>
        <v>113.9</v>
      </c>
      <c r="S175">
        <f>IF(ISNUMBER(VLOOKUP($A175,Haver_M!$B$1:$BZ$300,MATCH(data!S$1,Haver_M!$B$1:$BZ$1,0),FALSE)),VLOOKUP($A175,Haver_M!$B$1:$BZ$300,MATCH(data!S$1,Haver_M!$B$1:$BZ$1,0),FALSE),"")</f>
        <v>110.88</v>
      </c>
      <c r="T175">
        <f>IF(ISNUMBER(VLOOKUP($A175,Haver_M!$B$1:$BZ$300,MATCH(data!T$1,Haver_M!$B$1:$BZ$1,0),FALSE)),VLOOKUP($A175,Haver_M!$B$1:$BZ$300,MATCH(data!T$1,Haver_M!$B$1:$BZ$1,0),FALSE),"")</f>
        <v>106.79</v>
      </c>
      <c r="U175">
        <f>IF(ISNUMBER(VLOOKUP($A175,Haver_M!$B$1:$BZ$300,MATCH(data!U$1,Haver_M!$B$1:$BZ$1,0),FALSE)),VLOOKUP($A175,Haver_M!$B$1:$BZ$300,MATCH(data!U$1,Haver_M!$B$1:$BZ$1,0),FALSE),"")</f>
        <v>101.82</v>
      </c>
      <c r="V175">
        <f>IF(ISNUMBER(VLOOKUP($A175,Haver_M!$B$1:$BZ$300,MATCH(data!V$1,Haver_M!$B$1:$BZ$1,0),FALSE)),VLOOKUP($A175,Haver_M!$B$1:$BZ$300,MATCH(data!V$1,Haver_M!$B$1:$BZ$1,0),FALSE),"")</f>
        <v>118.43</v>
      </c>
      <c r="W175">
        <f>IF(ISNUMBER(VLOOKUP($A175,Haver_M!$B$1:$BZ$300,MATCH(data!W$1,Haver_M!$B$1:$BZ$1,0),FALSE)),VLOOKUP($A175,Haver_M!$B$1:$BZ$300,MATCH(data!W$1,Haver_M!$B$1:$BZ$1,0),FALSE),"")</f>
        <v>116.92</v>
      </c>
      <c r="X175">
        <f>IF(ISNUMBER(VLOOKUP($A175,Haver_M!$B$1:$BZ$300,MATCH(data!X$1,Haver_M!$B$1:$BZ$1,0),FALSE)),VLOOKUP($A175,Haver_M!$B$1:$BZ$300,MATCH(data!X$1,Haver_M!$B$1:$BZ$1,0),FALSE),"")</f>
        <v>110.81</v>
      </c>
      <c r="Y175">
        <f>IF(ISNUMBER(VLOOKUP($A175,Haver_M!$B$1:$BZ$300,MATCH(data!Y$1,Haver_M!$B$1:$BZ$1,0),FALSE)),VLOOKUP($A175,Haver_M!$B$1:$BZ$300,MATCH(data!Y$1,Haver_M!$B$1:$BZ$1,0),FALSE),"")</f>
        <v>112.92</v>
      </c>
      <c r="Z175">
        <f>IF(ISNUMBER(VLOOKUP($A175,Haver_M!$B$1:$BZ$300,MATCH(data!Z$1,Haver_M!$B$1:$BZ$1,0),FALSE)),VLOOKUP($A175,Haver_M!$B$1:$BZ$300,MATCH(data!Z$1,Haver_M!$B$1:$BZ$1,0),FALSE),"")</f>
        <v>112.1</v>
      </c>
      <c r="AA175">
        <f>IF(ISNUMBER(VLOOKUP($A175,Haver_M!$B$1:$BZ$300,MATCH(data!AA$1,Haver_M!$B$1:$BZ$1,0),FALSE)),VLOOKUP($A175,Haver_M!$B$1:$BZ$300,MATCH(data!AA$1,Haver_M!$B$1:$BZ$1,0),FALSE),"")</f>
        <v>112.94499999999999</v>
      </c>
      <c r="AB175">
        <f>IF(ISNUMBER(VLOOKUP($A175,Haver_M!$B$1:$BZ$300,MATCH(data!AB$1,Haver_M!$B$1:$BZ$1,0),FALSE)),VLOOKUP($A175,Haver_M!$B$1:$BZ$300,MATCH(data!AB$1,Haver_M!$B$1:$BZ$1,0),FALSE),"")</f>
        <v>98.796000000000006</v>
      </c>
      <c r="AC175">
        <f>IF(ISNUMBER(VLOOKUP($A175,Haver_M!$B$1:$BZ$300,MATCH(data!AC$1,Haver_M!$B$1:$BZ$1,0),FALSE)),VLOOKUP($A175,Haver_M!$B$1:$BZ$300,MATCH(data!AC$1,Haver_M!$B$1:$BZ$1,0),FALSE),"")</f>
        <v>73.218999999999994</v>
      </c>
      <c r="AD175">
        <f>IF(ISNUMBER(VLOOKUP($A175,Haver_M!$B$1:$BZ$300,MATCH(data!AD$1,Haver_M!$B$1:$BZ$1,0),FALSE)),VLOOKUP($A175,Haver_M!$B$1:$BZ$300,MATCH(data!AD$1,Haver_M!$B$1:$BZ$1,0),FALSE),"")</f>
        <v>107.43899999999999</v>
      </c>
      <c r="AE175">
        <f>IF(ISNUMBER(VLOOKUP($A175,Haver_M!$B$1:$BZ$300,MATCH(data!AE$1,Haver_M!$B$1:$BZ$1,0),FALSE)),VLOOKUP($A175,Haver_M!$B$1:$BZ$300,MATCH(data!AE$1,Haver_M!$B$1:$BZ$1,0),FALSE),"")</f>
        <v>98.248000000000005</v>
      </c>
      <c r="AF175">
        <f>IF(ISNUMBER(VLOOKUP($A175,Haver_M!$B$1:$BZ$300,MATCH(data!AF$1,Haver_M!$B$1:$BZ$1,0),FALSE)),VLOOKUP($A175,Haver_M!$B$1:$BZ$300,MATCH(data!AF$1,Haver_M!$B$1:$BZ$1,0),FALSE),"")</f>
        <v>123.129</v>
      </c>
      <c r="AG175">
        <f>IF(ISNUMBER(VLOOKUP($A175,Haver_M!$B$1:$BZ$300,MATCH(data!AG$1,Haver_M!$B$1:$BZ$1,0),FALSE)),VLOOKUP($A175,Haver_M!$B$1:$BZ$300,MATCH(data!AG$1,Haver_M!$B$1:$BZ$1,0),FALSE),"")</f>
        <v>120.509</v>
      </c>
      <c r="AH175">
        <f>IF(ISNUMBER(VLOOKUP($A175,Haver_M!$B$1:$BZ$300,MATCH(data!AH$1,Haver_M!$B$1:$BZ$1,0),FALSE)),VLOOKUP($A175,Haver_M!$B$1:$BZ$300,MATCH(data!AH$1,Haver_M!$B$1:$BZ$1,0),FALSE),"")</f>
        <v>129.732</v>
      </c>
      <c r="AI175">
        <f>IF(ISNUMBER(VLOOKUP($A175,Haver_M!$B$1:$BZ$300,MATCH(data!AI$1,Haver_M!$B$1:$BZ$1,0),FALSE)),VLOOKUP($A175,Haver_M!$B$1:$BZ$300,MATCH(data!AI$1,Haver_M!$B$1:$BZ$1,0),FALSE),"")</f>
        <v>13876.7013209794</v>
      </c>
      <c r="AJ175">
        <f>IF(ISNUMBER(VLOOKUP($A175,Haver_M!$B$1:$BZ$300,MATCH(data!AJ$1,Haver_M!$B$1:$BZ$1,0),FALSE)),VLOOKUP($A175,Haver_M!$B$1:$BZ$300,MATCH(data!AJ$1,Haver_M!$B$1:$BZ$1,0),FALSE),"")</f>
        <v>26021.14</v>
      </c>
      <c r="AK175">
        <f>IF(ISNUMBER(VLOOKUP($A175,Haver_M!$B$1:$BZ$300,MATCH(data!AK$1,Haver_M!$B$1:$BZ$1,0),FALSE)),VLOOKUP($A175,Haver_M!$B$1:$BZ$300,MATCH(data!AK$1,Haver_M!$B$1:$BZ$1,0),FALSE),"")</f>
        <v>39122.58</v>
      </c>
      <c r="AL175">
        <f>IF(ISNUMBER(VLOOKUP($A175,Haver_M!$B$1:$BZ$300,MATCH(data!AL$1,Haver_M!$B$1:$BZ$1,0),FALSE)),VLOOKUP($A175,Haver_M!$B$1:$BZ$300,MATCH(data!AL$1,Haver_M!$B$1:$BZ$1,0),FALSE),"")</f>
        <v>12972</v>
      </c>
      <c r="AM175">
        <f>IF(ISNUMBER(VLOOKUP($A175,Haver_M!$B$1:$BZ$300,MATCH(data!AM$1,Haver_M!$B$1:$BZ$1,0),FALSE)),VLOOKUP($A175,Haver_M!$B$1:$BZ$300,MATCH(data!AM$1,Haver_M!$B$1:$BZ$1,0),FALSE),"")</f>
        <v>7194</v>
      </c>
      <c r="AN175">
        <f>IF(ISNUMBER(VLOOKUP($A175,Haver_M!$B$1:$BZ$300,MATCH(data!AN$1,Haver_M!$B$1:$BZ$1,0),FALSE)),VLOOKUP($A175,Haver_M!$B$1:$BZ$300,MATCH(data!AN$1,Haver_M!$B$1:$BZ$1,0),FALSE),"")</f>
        <v>98.6</v>
      </c>
      <c r="AO175">
        <f>IF(ISNUMBER(VLOOKUP($A175,Haver_M!$B$1:$BZ$300,MATCH(data!AO$1,Haver_M!$B$1:$BZ$1,0),FALSE)),VLOOKUP($A175,Haver_M!$B$1:$BZ$300,MATCH(data!AO$1,Haver_M!$B$1:$BZ$1,0),FALSE),"")</f>
        <v>117.7</v>
      </c>
      <c r="AP175">
        <f>IF(ISNUMBER(VLOOKUP($A175,Haver_M!$B$1:$BZ$300,MATCH(data!AP$1,Haver_M!$B$1:$BZ$1,0),FALSE)),VLOOKUP($A175,Haver_M!$B$1:$BZ$300,MATCH(data!AP$1,Haver_M!$B$1:$BZ$1,0),FALSE),"")</f>
        <v>76.924626132181743</v>
      </c>
      <c r="AQ175">
        <f>IF(ISNUMBER(VLOOKUP($A175,Haver_M!$B$1:$BZ$300,MATCH(data!AQ$1,Haver_M!$B$1:$BZ$1,0),FALSE)),VLOOKUP($A175,Haver_M!$B$1:$BZ$300,MATCH(data!AQ$1,Haver_M!$B$1:$BZ$1,0),FALSE),"")</f>
        <v>53.836199999999998</v>
      </c>
      <c r="AR175">
        <f>IF(ISNUMBER(VLOOKUP($A175,Haver_M!$B$1:$BZ$300,MATCH(data!AR$1,Haver_M!$B$1:$BZ$1,0),FALSE)),VLOOKUP($A175,Haver_M!$B$1:$BZ$300,MATCH(data!AR$1,Haver_M!$B$1:$BZ$1,0),FALSE),"")</f>
        <v>51.520699999999998</v>
      </c>
      <c r="AS175">
        <f>IF(ISNUMBER(VLOOKUP($A175,Haver_M!$B$1:$BZ$300,MATCH(data!AS$1,Haver_M!$B$1:$BZ$1,0),FALSE)),VLOOKUP($A175,Haver_M!$B$1:$BZ$300,MATCH(data!AS$1,Haver_M!$B$1:$BZ$1,0),FALSE),"")</f>
        <v>54.434800000000003</v>
      </c>
      <c r="AT175">
        <f>IF(ISNUMBER(VLOOKUP($A175,Haver_M!$B$1:$BZ$300,MATCH(data!AT$1,Haver_M!$B$1:$BZ$1,0),FALSE)),VLOOKUP($A175,Haver_M!$B$1:$BZ$300,MATCH(data!AT$1,Haver_M!$B$1:$BZ$1,0),FALSE),"")</f>
        <v>52.414400000000001</v>
      </c>
      <c r="AU175">
        <f>IF(ISNUMBER(VLOOKUP($A175,Haver_M!$B$1:$BZ$300,MATCH(data!AU$1,Haver_M!$B$1:$BZ$1,0),FALSE)),VLOOKUP($A175,Haver_M!$B$1:$BZ$300,MATCH(data!AU$1,Haver_M!$B$1:$BZ$1,0),FALSE),"")</f>
        <v>52.954500000000003</v>
      </c>
      <c r="AV175">
        <f>IF(ISNUMBER(VLOOKUP($A175,Haver_M!$B$1:$BZ$300,MATCH(data!AV$1,Haver_M!$B$1:$BZ$1,0),FALSE)),VLOOKUP($A175,Haver_M!$B$1:$BZ$300,MATCH(data!AV$1,Haver_M!$B$1:$BZ$1,0),FALSE),"")</f>
        <v>50.349699999999999</v>
      </c>
      <c r="AW175">
        <f>IF(ISNUMBER(VLOOKUP($A175,Haver_M!$B$1:$BZ$300,MATCH(data!AW$1,Haver_M!$B$1:$BZ$1,0),FALSE)),VLOOKUP($A175,Haver_M!$B$1:$BZ$300,MATCH(data!AW$1,Haver_M!$B$1:$BZ$1,0),FALSE),"")</f>
        <v>51.092500000000001</v>
      </c>
      <c r="AX175">
        <f>IF(ISNUMBER(VLOOKUP($A175,Haver_M!$B$1:$BZ$300,MATCH(data!AX$1,Haver_M!$B$1:$BZ$1,0),FALSE)),VLOOKUP($A175,Haver_M!$B$1:$BZ$300,MATCH(data!AX$1,Haver_M!$B$1:$BZ$1,0),FALSE),"")</f>
        <v>51.246699999999997</v>
      </c>
      <c r="AY175">
        <f>IF(ISNUMBER(VLOOKUP($A175,Haver_M!$B$1:$BZ$300,MATCH(data!AY$1,Haver_M!$B$1:$BZ$1,0),FALSE)),VLOOKUP($A175,Haver_M!$B$1:$BZ$300,MATCH(data!AY$1,Haver_M!$B$1:$BZ$1,0),FALSE),"")</f>
        <v>55.816600000000001</v>
      </c>
      <c r="AZ175">
        <f>IF(ISNUMBER(VLOOKUP($A175,Haver_M!$B$1:$BZ$300,MATCH(data!AZ$1,Haver_M!$B$1:$BZ$1,0),FALSE)),VLOOKUP($A175,Haver_M!$B$1:$BZ$300,MATCH(data!AZ$1,Haver_M!$B$1:$BZ$1,0),FALSE),"")</f>
        <v>53.425899999999999</v>
      </c>
      <c r="BA175">
        <f>IF(ISNUMBER(VLOOKUP($A175,Haver_M!$B$1:$BZ$300,MATCH(data!BA$1,Haver_M!$B$1:$BZ$1,0),FALSE)),VLOOKUP($A175,Haver_M!$B$1:$BZ$300,MATCH(data!BA$1,Haver_M!$B$1:$BZ$1,0),FALSE),"")</f>
        <v>51.246699999999997</v>
      </c>
      <c r="BB175">
        <f>IF(ISNUMBER(VLOOKUP($A175,Haver_M!$B$1:$BZ$300,MATCH(data!BB$1,Haver_M!$B$1:$BZ$1,0),FALSE)),VLOOKUP($A175,Haver_M!$B$1:$BZ$300,MATCH(data!BB$1,Haver_M!$B$1:$BZ$1,0),FALSE),"")</f>
        <v>55.856400000000001</v>
      </c>
      <c r="BC175">
        <f>IF(ISNUMBER(VLOOKUP($A175,Haver_M!$B$1:$BZ$300,MATCH(data!BC$1,Haver_M!$B$1:$BZ$1,0),FALSE)),VLOOKUP($A175,Haver_M!$B$1:$BZ$300,MATCH(data!BC$1,Haver_M!$B$1:$BZ$1,0),FALSE),"")</f>
        <v>52.537700000000001</v>
      </c>
      <c r="BD175">
        <f>IF(ISNUMBER(VLOOKUP($A175,Haver_M!$B$1:$BZ$300,MATCH(data!BD$1,Haver_M!$B$1:$BZ$1,0),FALSE)),VLOOKUP($A175,Haver_M!$B$1:$BZ$300,MATCH(data!BD$1,Haver_M!$B$1:$BZ$1,0),FALSE),"")</f>
        <v>51.899500000000003</v>
      </c>
      <c r="BE175">
        <f>IF(ISNUMBER(VLOOKUP($A175,Haver_M!$B$1:$BZ$300,MATCH(data!BE$1,Haver_M!$B$1:$BZ$1,0),FALSE)),VLOOKUP($A175,Haver_M!$B$1:$BZ$300,MATCH(data!BE$1,Haver_M!$B$1:$BZ$1,0),FALSE),"")</f>
        <v>1.0327999999999999</v>
      </c>
      <c r="BF175">
        <f>IF(ISNUMBER(VLOOKUP($A175,Haver_M!$B$1:$BZ$300,MATCH(data!BF$1,Haver_M!$B$1:$BZ$1,0),FALSE)),VLOOKUP($A175,Haver_M!$B$1:$BZ$300,MATCH(data!BF$1,Haver_M!$B$1:$BZ$1,0),FALSE),"")</f>
        <v>50.096499999999999</v>
      </c>
      <c r="BG175">
        <f>IF(ISNUMBER(VLOOKUP($A175,Haver_M!$B$1:$BZ$300,MATCH(data!BG$1,Haver_M!$B$1:$BZ$1,0),FALSE)),VLOOKUP($A175,Haver_M!$B$1:$BZ$300,MATCH(data!BG$1,Haver_M!$B$1:$BZ$1,0),FALSE),"")</f>
        <v>51.130200000000002</v>
      </c>
      <c r="BH175">
        <f>IF(ISNUMBER(VLOOKUP($A175,Haver_M!$B$1:$BZ$300,MATCH(data!BH$1,Haver_M!$B$1:$BZ$1,0),FALSE)),VLOOKUP($A175,Haver_M!$B$1:$BZ$300,MATCH(data!BH$1,Haver_M!$B$1:$BZ$1,0),FALSE),"")</f>
        <v>54.314799999999998</v>
      </c>
      <c r="BI175">
        <f>IF(ISNUMBER(VLOOKUP($A175,Haver_M!$B$1:$BZ$300,MATCH(data!BI$1,Haver_M!$B$1:$BZ$1,0),FALSE)),VLOOKUP($A175,Haver_M!$B$1:$BZ$300,MATCH(data!BI$1,Haver_M!$B$1:$BZ$1,0),FALSE),"")</f>
        <v>54.474400000000003</v>
      </c>
      <c r="BJ175" t="str">
        <f>IF(ISNUMBER(VLOOKUP($A175,Haver_M!$B$1:$BZ$300,MATCH(data!BJ$1,Haver_M!$B$1:$BZ$1,0),FALSE)),VLOOKUP($A175,Haver_M!$B$1:$BZ$300,MATCH(data!BJ$1,Haver_M!$B$1:$BZ$1,0),FALSE),"")</f>
        <v/>
      </c>
      <c r="BK175">
        <f>IF(ISNUMBER(VLOOKUP($A175,Haver_M!$B$1:$BZ$300,MATCH(data!BK$1,Haver_M!$B$1:$BZ$1,0),FALSE)),VLOOKUP($A175,Haver_M!$B$1:$BZ$300,MATCH(data!BK$1,Haver_M!$B$1:$BZ$1,0),FALSE),"")</f>
        <v>53.8249</v>
      </c>
      <c r="BL175">
        <f>IF(ISNUMBER(VLOOKUP($A175,Haver_M!$B$1:$BZ$300,MATCH(data!BL$1,Haver_M!$B$1:$BZ$1,0),FALSE)),VLOOKUP($A175,Haver_M!$B$1:$BZ$300,MATCH(data!BL$1,Haver_M!$B$1:$BZ$1,0),FALSE),"")</f>
        <v>25226.81</v>
      </c>
      <c r="BM175">
        <f>IF(ISNUMBER(VLOOKUP($A175,Haver_M!$B$1:$BZ$300,MATCH(data!BM$1,Haver_M!$B$1:$BZ$1,0),FALSE)),VLOOKUP($A175,Haver_M!$B$1:$BZ$300,MATCH(data!BM$1,Haver_M!$B$1:$BZ$1,0),FALSE),"")</f>
        <v>105.82240054</v>
      </c>
      <c r="BN175">
        <f>IF(ISNUMBER(VLOOKUP($A175,Haver_M!$B$1:$BZ$300,MATCH(data!BN$1,Haver_M!$B$1:$BZ$1,0),FALSE)),VLOOKUP($A175,Haver_M!$B$1:$BZ$300,MATCH(data!BN$1,Haver_M!$B$1:$BZ$1,0),FALSE),"")</f>
        <v>105.2</v>
      </c>
      <c r="BO175">
        <f>IF(ISNUMBER(VLOOKUP($A175,Haver_M!$B$1:$BZ$300,MATCH(data!BO$1,Haver_M!$B$1:$BZ$1,0),FALSE)),VLOOKUP($A175,Haver_M!$B$1:$BZ$300,MATCH(data!BO$1,Haver_M!$B$1:$BZ$1,0),FALSE),"")</f>
        <v>111.1</v>
      </c>
      <c r="BP175">
        <f>IF(ISNUMBER(VLOOKUP($A175,Haver_M!$B$1:$BZ$300,MATCH(data!BP$1,Haver_M!$B$1:$BZ$1,0),FALSE)),VLOOKUP($A175,Haver_M!$B$1:$BZ$300,MATCH(data!BP$1,Haver_M!$B$1:$BZ$1,0),FALSE),"")</f>
        <v>27.4</v>
      </c>
      <c r="BQ175">
        <f>IF(ISNUMBER(VLOOKUP($A175,Haver_M!$B$1:$BZ$300,MATCH(data!BQ$1,Haver_M!$B$1:$BZ$1,0),FALSE)),VLOOKUP($A175,Haver_M!$B$1:$BZ$300,MATCH(data!BQ$1,Haver_M!$B$1:$BZ$1,0),FALSE),"")</f>
        <v>173.53270596192579</v>
      </c>
      <c r="BR175">
        <f>IF(ISNUMBER(VLOOKUP($A175,Haver_M!$B$1:$BZ$300,MATCH(data!BR$1,Haver_M!$B$1:$BZ$1,0),FALSE)),VLOOKUP($A175,Haver_M!$B$1:$BZ$300,MATCH(data!BR$1,Haver_M!$B$1:$BZ$1,0),FALSE),"")</f>
        <v>420.12683594868304</v>
      </c>
      <c r="BS175">
        <f>IF(ISNUMBER(VLOOKUP($A175,Haver_M!$B$1:$BZ$300,MATCH(data!BS$1,Haver_M!$B$1:$BZ$1,0),FALSE)),VLOOKUP($A175,Haver_M!$B$1:$BZ$300,MATCH(data!BS$1,Haver_M!$B$1:$BZ$1,0),FALSE),"")</f>
        <v>224.37339592537842</v>
      </c>
      <c r="BT175">
        <f>IF(ISNUMBER(VLOOKUP($A175,Haver_M!$B$1:$BZ$300,MATCH(data!BT$1,Haver_M!$B$1:$BZ$1,0),FALSE)),VLOOKUP($A175,Haver_M!$B$1:$BZ$300,MATCH(data!BT$1,Haver_M!$B$1:$BZ$1,0),FALSE),"")</f>
        <v>937.74307014650765</v>
      </c>
      <c r="BU175">
        <f>IF(ISNUMBER(VLOOKUP($A175,Haver_M!$B$1:$BZ$300,MATCH(data!BU$1,Haver_M!$B$1:$BZ$1,0),FALSE)),VLOOKUP($A175,Haver_M!$B$1:$BZ$300,MATCH(data!BU$1,Haver_M!$B$1:$BZ$1,0),FALSE),"")</f>
        <v>25926.63</v>
      </c>
      <c r="BV175">
        <f>IF(ISNUMBER(VLOOKUP($A175,Haver_M!$B$1:$BZ$300,MATCH(data!BV$1,Haver_M!$B$1:$BZ$1,0),FALSE)),VLOOKUP($A175,Haver_M!$B$1:$BZ$300,MATCH(data!BV$1,Haver_M!$B$1:$BZ$1,0),FALSE),"")</f>
        <v>38352.39</v>
      </c>
      <c r="BW175">
        <f>IF(ISNUMBER(VLOOKUP($A175,Haver_M!$B$1:$BZ$300,MATCH(data!BW$1,Haver_M!$B$1:$BZ$1,0),FALSE)),VLOOKUP($A175,Haver_M!$B$1:$BZ$300,MATCH(data!BW$1,Haver_M!$B$1:$BZ$1,0),FALSE),"")</f>
        <v>59.730699999999999</v>
      </c>
      <c r="BX175">
        <f>IF(ISNUMBER(VLOOKUP($A175,Haver_M!$B$1:$BZ$300,MATCH(data!BX$1,Haver_M!$B$1:$BZ$1,0),FALSE)),VLOOKUP($A175,Haver_M!$B$1:$BZ$300,MATCH(data!BX$1,Haver_M!$B$1:$BZ$1,0),FALSE),"")</f>
        <v>68659</v>
      </c>
    </row>
    <row r="176" spans="1:76" x14ac:dyDescent="0.25">
      <c r="A176" s="2">
        <v>41851</v>
      </c>
      <c r="B176" t="str">
        <f>IF(ISNUMBER(VLOOKUP($A176,Haver_Q!$B$1:$L$185,MATCH(data!B$1,Haver_Q!$B$1:$L$1,0),FALSE)),100*(VLOOKUP($A176,Haver_Q!$B$1:$L$185,MATCH(data!B$1,Haver_Q!$B$1:$L$1,0),FALSE)),"")</f>
        <v/>
      </c>
      <c r="C176" t="str">
        <f>IF(ISNUMBER(VLOOKUP($A176,Haver_Q!$B$1:$L$185,MATCH(data!C$1,Haver_Q!$B$1:$L$1,0),FALSE)),100*(VLOOKUP($A176,Haver_Q!$B$1:$L$185,MATCH(data!C$1,Haver_Q!$B$1:$L$1,0),FALSE)),"")</f>
        <v/>
      </c>
      <c r="D176" t="str">
        <f>IF(ISNUMBER(VLOOKUP($A176,Haver_Q!$B$1:$L$185,MATCH(data!D$1,Haver_Q!$B$1:$L$1,0),FALSE)),100*(VLOOKUP($A176,Haver_Q!$B$1:$L$185,MATCH(data!D$1,Haver_Q!$B$1:$L$1,0),FALSE)),"")</f>
        <v/>
      </c>
      <c r="E176" t="str">
        <f>IF(ISNUMBER(VLOOKUP($A176,Haver_Q!$B$1:$L$185,MATCH(data!E$1,Haver_Q!$B$1:$L$1,0),FALSE)),100*(VLOOKUP($A176,Haver_Q!$B$1:$L$185,MATCH(data!E$1,Haver_Q!$B$1:$L$1,0),FALSE)),"")</f>
        <v/>
      </c>
      <c r="F176" t="str">
        <f>IF(ISNUMBER(VLOOKUP($A176,Haver_Q!$B$1:$L$185,MATCH(data!F$1,Haver_Q!$B$1:$L$1,0),FALSE)),100*(VLOOKUP($A176,Haver_Q!$B$1:$L$185,MATCH(data!F$1,Haver_Q!$B$1:$L$1,0),FALSE)),"")</f>
        <v/>
      </c>
      <c r="G176" t="str">
        <f>IF(ISNUMBER(VLOOKUP($A176,Haver_Q!$B$1:$L$185,MATCH(data!G$1,Haver_Q!$B$1:$L$1,0),FALSE)),100*(VLOOKUP($A176,Haver_Q!$B$1:$L$185,MATCH(data!G$1,Haver_Q!$B$1:$L$1,0),FALSE)),"")</f>
        <v/>
      </c>
      <c r="H176" t="str">
        <f>IF(ISNUMBER(VLOOKUP($A176,Haver_Q!$B$1:$L$185,MATCH(data!H$1,Haver_Q!$B$1:$L$1,0),FALSE)),(VLOOKUP($A176,Haver_Q!$B$1:$L$185,MATCH(data!H$1,Haver_Q!$B$1:$L$1,0),FALSE)),"")</f>
        <v/>
      </c>
      <c r="I176" t="str">
        <f>IF(ISNUMBER(VLOOKUP($A176,Haver_Q!$B$1:$L$185,MATCH(data!I$1,Haver_Q!$B$1:$L$1,0),FALSE)),100*(VLOOKUP($A176,Haver_Q!$B$1:$L$185,MATCH(data!I$1,Haver_Q!$B$1:$L$1,0),FALSE)),"")</f>
        <v/>
      </c>
      <c r="J176" s="3">
        <f>IF(ISNUMBER(Bloomberg_m!C192),Bloomberg_m!C192,"")</f>
        <v>796</v>
      </c>
      <c r="K176" s="3">
        <f>IF(ISNUMBER(Bloomberg_m!D192),Bloomberg_m!D192,"")</f>
        <v>2067.3200000000002</v>
      </c>
      <c r="L176" s="3">
        <f>IF(ISNUMBER(Bloomberg_m!E192),Bloomberg_m!E192,"")</f>
        <v>1092.5999999999999</v>
      </c>
      <c r="M176" s="3">
        <f>IF(ISNUMBER(Bloomberg_m!F192),Bloomberg_m!F192,"")</f>
        <v>604.54</v>
      </c>
      <c r="N176">
        <f>IF(ISNUMBER(VLOOKUP($A176,Haver_M!$B$1:$BZ$300,MATCH(data!N$1,Haver_M!$B$1:$BZ$1,0),FALSE)),VLOOKUP($A176,Haver_M!$B$1:$BZ$300,MATCH(data!N$1,Haver_M!$B$1:$BZ$1,0),FALSE),"")</f>
        <v>8</v>
      </c>
      <c r="O176">
        <f>IF(ISNUMBER(VLOOKUP($A176,Haver_M!$B$1:$BZ$300,MATCH(data!O$1,Haver_M!$B$1:$BZ$1,0),FALSE)),VLOOKUP($A176,Haver_M!$B$1:$BZ$300,MATCH(data!O$1,Haver_M!$B$1:$BZ$1,0),FALSE),"")</f>
        <v>8.4928000000000008</v>
      </c>
      <c r="P176">
        <f>IF(ISNUMBER(VLOOKUP($A176,Haver_M!$B$1:$BZ$300,MATCH(data!P$1,Haver_M!$B$1:$BZ$1,0),FALSE)),VLOOKUP($A176,Haver_M!$B$1:$BZ$300,MATCH(data!P$1,Haver_M!$B$1:$BZ$1,0),FALSE),"")</f>
        <v>90.385859999999994</v>
      </c>
      <c r="Q176">
        <f>IF(ISNUMBER(VLOOKUP($A176,Haver_M!$B$1:$BZ$300,MATCH(data!Q$1,Haver_M!$B$1:$BZ$1,0),FALSE)),VLOOKUP($A176,Haver_M!$B$1:$BZ$300,MATCH(data!Q$1,Haver_M!$B$1:$BZ$1,0),FALSE),"")</f>
        <v>119.2</v>
      </c>
      <c r="R176">
        <f>IF(ISNUMBER(VLOOKUP($A176,Haver_M!$B$1:$BZ$300,MATCH(data!R$1,Haver_M!$B$1:$BZ$1,0),FALSE)),VLOOKUP($A176,Haver_M!$B$1:$BZ$300,MATCH(data!R$1,Haver_M!$B$1:$BZ$1,0),FALSE),"")</f>
        <v>114.9</v>
      </c>
      <c r="S176">
        <f>IF(ISNUMBER(VLOOKUP($A176,Haver_M!$B$1:$BZ$300,MATCH(data!S$1,Haver_M!$B$1:$BZ$1,0),FALSE)),VLOOKUP($A176,Haver_M!$B$1:$BZ$300,MATCH(data!S$1,Haver_M!$B$1:$BZ$1,0),FALSE),"")</f>
        <v>112.14</v>
      </c>
      <c r="T176">
        <f>IF(ISNUMBER(VLOOKUP($A176,Haver_M!$B$1:$BZ$300,MATCH(data!T$1,Haver_M!$B$1:$BZ$1,0),FALSE)),VLOOKUP($A176,Haver_M!$B$1:$BZ$300,MATCH(data!T$1,Haver_M!$B$1:$BZ$1,0),FALSE),"")</f>
        <v>105.36</v>
      </c>
      <c r="U176">
        <f>IF(ISNUMBER(VLOOKUP($A176,Haver_M!$B$1:$BZ$300,MATCH(data!U$1,Haver_M!$B$1:$BZ$1,0),FALSE)),VLOOKUP($A176,Haver_M!$B$1:$BZ$300,MATCH(data!U$1,Haver_M!$B$1:$BZ$1,0),FALSE),"")</f>
        <v>99.27</v>
      </c>
      <c r="V176">
        <f>IF(ISNUMBER(VLOOKUP($A176,Haver_M!$B$1:$BZ$300,MATCH(data!V$1,Haver_M!$B$1:$BZ$1,0),FALSE)),VLOOKUP($A176,Haver_M!$B$1:$BZ$300,MATCH(data!V$1,Haver_M!$B$1:$BZ$1,0),FALSE),"")</f>
        <v>116.3</v>
      </c>
      <c r="W176">
        <f>IF(ISNUMBER(VLOOKUP($A176,Haver_M!$B$1:$BZ$300,MATCH(data!W$1,Haver_M!$B$1:$BZ$1,0),FALSE)),VLOOKUP($A176,Haver_M!$B$1:$BZ$300,MATCH(data!W$1,Haver_M!$B$1:$BZ$1,0),FALSE),"")</f>
        <v>117.81</v>
      </c>
      <c r="X176">
        <f>IF(ISNUMBER(VLOOKUP($A176,Haver_M!$B$1:$BZ$300,MATCH(data!X$1,Haver_M!$B$1:$BZ$1,0),FALSE)),VLOOKUP($A176,Haver_M!$B$1:$BZ$300,MATCH(data!X$1,Haver_M!$B$1:$BZ$1,0),FALSE),"")</f>
        <v>115.84</v>
      </c>
      <c r="Y176">
        <f>IF(ISNUMBER(VLOOKUP($A176,Haver_M!$B$1:$BZ$300,MATCH(data!Y$1,Haver_M!$B$1:$BZ$1,0),FALSE)),VLOOKUP($A176,Haver_M!$B$1:$BZ$300,MATCH(data!Y$1,Haver_M!$B$1:$BZ$1,0),FALSE),"")</f>
        <v>121.12</v>
      </c>
      <c r="Z176">
        <f>IF(ISNUMBER(VLOOKUP($A176,Haver_M!$B$1:$BZ$300,MATCH(data!Z$1,Haver_M!$B$1:$BZ$1,0),FALSE)),VLOOKUP($A176,Haver_M!$B$1:$BZ$300,MATCH(data!Z$1,Haver_M!$B$1:$BZ$1,0),FALSE),"")</f>
        <v>111</v>
      </c>
      <c r="AA176">
        <f>IF(ISNUMBER(VLOOKUP($A176,Haver_M!$B$1:$BZ$300,MATCH(data!AA$1,Haver_M!$B$1:$BZ$1,0),FALSE)),VLOOKUP($A176,Haver_M!$B$1:$BZ$300,MATCH(data!AA$1,Haver_M!$B$1:$BZ$1,0),FALSE),"")</f>
        <v>112.746</v>
      </c>
      <c r="AB176">
        <f>IF(ISNUMBER(VLOOKUP($A176,Haver_M!$B$1:$BZ$300,MATCH(data!AB$1,Haver_M!$B$1:$BZ$1,0),FALSE)),VLOOKUP($A176,Haver_M!$B$1:$BZ$300,MATCH(data!AB$1,Haver_M!$B$1:$BZ$1,0),FALSE),"")</f>
        <v>97.703000000000003</v>
      </c>
      <c r="AC176">
        <f>IF(ISNUMBER(VLOOKUP($A176,Haver_M!$B$1:$BZ$300,MATCH(data!AC$1,Haver_M!$B$1:$BZ$1,0),FALSE)),VLOOKUP($A176,Haver_M!$B$1:$BZ$300,MATCH(data!AC$1,Haver_M!$B$1:$BZ$1,0),FALSE),"")</f>
        <v>68.471000000000004</v>
      </c>
      <c r="AD176">
        <f>IF(ISNUMBER(VLOOKUP($A176,Haver_M!$B$1:$BZ$300,MATCH(data!AD$1,Haver_M!$B$1:$BZ$1,0),FALSE)),VLOOKUP($A176,Haver_M!$B$1:$BZ$300,MATCH(data!AD$1,Haver_M!$B$1:$BZ$1,0),FALSE),"")</f>
        <v>104.04</v>
      </c>
      <c r="AE176">
        <f>IF(ISNUMBER(VLOOKUP($A176,Haver_M!$B$1:$BZ$300,MATCH(data!AE$1,Haver_M!$B$1:$BZ$1,0),FALSE)),VLOOKUP($A176,Haver_M!$B$1:$BZ$300,MATCH(data!AE$1,Haver_M!$B$1:$BZ$1,0),FALSE),"")</f>
        <v>95.777000000000001</v>
      </c>
      <c r="AF176">
        <f>IF(ISNUMBER(VLOOKUP($A176,Haver_M!$B$1:$BZ$300,MATCH(data!AF$1,Haver_M!$B$1:$BZ$1,0),FALSE)),VLOOKUP($A176,Haver_M!$B$1:$BZ$300,MATCH(data!AF$1,Haver_M!$B$1:$BZ$1,0),FALSE),"")</f>
        <v>120.105</v>
      </c>
      <c r="AG176">
        <f>IF(ISNUMBER(VLOOKUP($A176,Haver_M!$B$1:$BZ$300,MATCH(data!AG$1,Haver_M!$B$1:$BZ$1,0),FALSE)),VLOOKUP($A176,Haver_M!$B$1:$BZ$300,MATCH(data!AG$1,Haver_M!$B$1:$BZ$1,0),FALSE),"")</f>
        <v>119.325</v>
      </c>
      <c r="AH176">
        <f>IF(ISNUMBER(VLOOKUP($A176,Haver_M!$B$1:$BZ$300,MATCH(data!AH$1,Haver_M!$B$1:$BZ$1,0),FALSE)),VLOOKUP($A176,Haver_M!$B$1:$BZ$300,MATCH(data!AH$1,Haver_M!$B$1:$BZ$1,0),FALSE),"")</f>
        <v>128.96799999999999</v>
      </c>
      <c r="AI176">
        <f>IF(ISNUMBER(VLOOKUP($A176,Haver_M!$B$1:$BZ$300,MATCH(data!AI$1,Haver_M!$B$1:$BZ$1,0),FALSE)),VLOOKUP($A176,Haver_M!$B$1:$BZ$300,MATCH(data!AI$1,Haver_M!$B$1:$BZ$1,0),FALSE),"")</f>
        <v>13687.316977139491</v>
      </c>
      <c r="AJ176">
        <f>IF(ISNUMBER(VLOOKUP($A176,Haver_M!$B$1:$BZ$300,MATCH(data!AJ$1,Haver_M!$B$1:$BZ$1,0),FALSE)),VLOOKUP($A176,Haver_M!$B$1:$BZ$300,MATCH(data!AJ$1,Haver_M!$B$1:$BZ$1,0),FALSE),"")</f>
        <v>26754.86</v>
      </c>
      <c r="AK176">
        <f>IF(ISNUMBER(VLOOKUP($A176,Haver_M!$B$1:$BZ$300,MATCH(data!AK$1,Haver_M!$B$1:$BZ$1,0),FALSE)),VLOOKUP($A176,Haver_M!$B$1:$BZ$300,MATCH(data!AK$1,Haver_M!$B$1:$BZ$1,0),FALSE),"")</f>
        <v>38945.9</v>
      </c>
      <c r="AL176">
        <f>IF(ISNUMBER(VLOOKUP($A176,Haver_M!$B$1:$BZ$300,MATCH(data!AL$1,Haver_M!$B$1:$BZ$1,0),FALSE)),VLOOKUP($A176,Haver_M!$B$1:$BZ$300,MATCH(data!AL$1,Haver_M!$B$1:$BZ$1,0),FALSE),"")</f>
        <v>13344</v>
      </c>
      <c r="AM176">
        <f>IF(ISNUMBER(VLOOKUP($A176,Haver_M!$B$1:$BZ$300,MATCH(data!AM$1,Haver_M!$B$1:$BZ$1,0),FALSE)),VLOOKUP($A176,Haver_M!$B$1:$BZ$300,MATCH(data!AM$1,Haver_M!$B$1:$BZ$1,0),FALSE),"")</f>
        <v>6822</v>
      </c>
      <c r="AN176" t="str">
        <f>IF(ISNUMBER(VLOOKUP($A176,Haver_M!$B$1:$BZ$300,MATCH(data!AN$1,Haver_M!$B$1:$BZ$1,0),FALSE)),VLOOKUP($A176,Haver_M!$B$1:$BZ$300,MATCH(data!AN$1,Haver_M!$B$1:$BZ$1,0),FALSE),"")</f>
        <v/>
      </c>
      <c r="AO176" t="str">
        <f>IF(ISNUMBER(VLOOKUP($A176,Haver_M!$B$1:$BZ$300,MATCH(data!AO$1,Haver_M!$B$1:$BZ$1,0),FALSE)),VLOOKUP($A176,Haver_M!$B$1:$BZ$300,MATCH(data!AO$1,Haver_M!$B$1:$BZ$1,0),FALSE),"")</f>
        <v/>
      </c>
      <c r="AP176">
        <f>IF(ISNUMBER(VLOOKUP($A176,Haver_M!$B$1:$BZ$300,MATCH(data!AP$1,Haver_M!$B$1:$BZ$1,0),FALSE)),VLOOKUP($A176,Haver_M!$B$1:$BZ$300,MATCH(data!AP$1,Haver_M!$B$1:$BZ$1,0),FALSE),"")</f>
        <v>112.23380762982468</v>
      </c>
      <c r="AQ176">
        <f>IF(ISNUMBER(VLOOKUP($A176,Haver_M!$B$1:$BZ$300,MATCH(data!AQ$1,Haver_M!$B$1:$BZ$1,0),FALSE)),VLOOKUP($A176,Haver_M!$B$1:$BZ$300,MATCH(data!AQ$1,Haver_M!$B$1:$BZ$1,0),FALSE),"")</f>
        <v>52.987299999999998</v>
      </c>
      <c r="AR176">
        <f>IF(ISNUMBER(VLOOKUP($A176,Haver_M!$B$1:$BZ$300,MATCH(data!AR$1,Haver_M!$B$1:$BZ$1,0),FALSE)),VLOOKUP($A176,Haver_M!$B$1:$BZ$300,MATCH(data!AR$1,Haver_M!$B$1:$BZ$1,0),FALSE),"")</f>
        <v>53.001300000000001</v>
      </c>
      <c r="AS176">
        <f>IF(ISNUMBER(VLOOKUP($A176,Haver_M!$B$1:$BZ$300,MATCH(data!AS$1,Haver_M!$B$1:$BZ$1,0),FALSE)),VLOOKUP($A176,Haver_M!$B$1:$BZ$300,MATCH(data!AS$1,Haver_M!$B$1:$BZ$1,0),FALSE),"")</f>
        <v>52.194099999999999</v>
      </c>
      <c r="AT176">
        <f>IF(ISNUMBER(VLOOKUP($A176,Haver_M!$B$1:$BZ$300,MATCH(data!AT$1,Haver_M!$B$1:$BZ$1,0),FALSE)),VLOOKUP($A176,Haver_M!$B$1:$BZ$300,MATCH(data!AT$1,Haver_M!$B$1:$BZ$1,0),FALSE),"")</f>
        <v>54.871000000000002</v>
      </c>
      <c r="AU176">
        <f>IF(ISNUMBER(VLOOKUP($A176,Haver_M!$B$1:$BZ$300,MATCH(data!AU$1,Haver_M!$B$1:$BZ$1,0),FALSE)),VLOOKUP($A176,Haver_M!$B$1:$BZ$300,MATCH(data!AU$1,Haver_M!$B$1:$BZ$1,0),FALSE),"")</f>
        <v>55.896299999999997</v>
      </c>
      <c r="AV176">
        <f>IF(ISNUMBER(VLOOKUP($A176,Haver_M!$B$1:$BZ$300,MATCH(data!AV$1,Haver_M!$B$1:$BZ$1,0),FALSE)),VLOOKUP($A176,Haver_M!$B$1:$BZ$300,MATCH(data!AV$1,Haver_M!$B$1:$BZ$1,0),FALSE),"")</f>
        <v>49.817999999999998</v>
      </c>
      <c r="AW176">
        <f>IF(ISNUMBER(VLOOKUP($A176,Haver_M!$B$1:$BZ$300,MATCH(data!AW$1,Haver_M!$B$1:$BZ$1,0),FALSE)),VLOOKUP($A176,Haver_M!$B$1:$BZ$300,MATCH(data!AW$1,Haver_M!$B$1:$BZ$1,0),FALSE),"")</f>
        <v>50.863599999999998</v>
      </c>
      <c r="AX176">
        <f>IF(ISNUMBER(VLOOKUP($A176,Haver_M!$B$1:$BZ$300,MATCH(data!AX$1,Haver_M!$B$1:$BZ$1,0),FALSE)),VLOOKUP($A176,Haver_M!$B$1:$BZ$300,MATCH(data!AX$1,Haver_M!$B$1:$BZ$1,0),FALSE),"")</f>
        <v>51.8065</v>
      </c>
      <c r="AY176">
        <f>IF(ISNUMBER(VLOOKUP($A176,Haver_M!$B$1:$BZ$300,MATCH(data!AY$1,Haver_M!$B$1:$BZ$1,0),FALSE)),VLOOKUP($A176,Haver_M!$B$1:$BZ$300,MATCH(data!AY$1,Haver_M!$B$1:$BZ$1,0),FALSE),"")</f>
        <v>59.637599999999999</v>
      </c>
      <c r="AZ176">
        <f>IF(ISNUMBER(VLOOKUP($A176,Haver_M!$B$1:$BZ$300,MATCH(data!AZ$1,Haver_M!$B$1:$BZ$1,0),FALSE)),VLOOKUP($A176,Haver_M!$B$1:$BZ$300,MATCH(data!AZ$1,Haver_M!$B$1:$BZ$1,0),FALSE),"")</f>
        <v>54.0548</v>
      </c>
      <c r="BA176">
        <f>IF(ISNUMBER(VLOOKUP($A176,Haver_M!$B$1:$BZ$300,MATCH(data!BA$1,Haver_M!$B$1:$BZ$1,0),FALSE)),VLOOKUP($A176,Haver_M!$B$1:$BZ$300,MATCH(data!BA$1,Haver_M!$B$1:$BZ$1,0),FALSE),"")</f>
        <v>51.8065</v>
      </c>
      <c r="BB176">
        <f>IF(ISNUMBER(VLOOKUP($A176,Haver_M!$B$1:$BZ$300,MATCH(data!BB$1,Haver_M!$B$1:$BZ$1,0),FALSE)),VLOOKUP($A176,Haver_M!$B$1:$BZ$300,MATCH(data!BB$1,Haver_M!$B$1:$BZ$1,0),FALSE),"")</f>
        <v>54.275799999999997</v>
      </c>
      <c r="BC176">
        <f>IF(ISNUMBER(VLOOKUP($A176,Haver_M!$B$1:$BZ$300,MATCH(data!BC$1,Haver_M!$B$1:$BZ$1,0),FALSE)),VLOOKUP($A176,Haver_M!$B$1:$BZ$300,MATCH(data!BC$1,Haver_M!$B$1:$BZ$1,0),FALSE),"")</f>
        <v>50.695799999999998</v>
      </c>
      <c r="BD176">
        <f>IF(ISNUMBER(VLOOKUP($A176,Haver_M!$B$1:$BZ$300,MATCH(data!BD$1,Haver_M!$B$1:$BZ$1,0),FALSE)),VLOOKUP($A176,Haver_M!$B$1:$BZ$300,MATCH(data!BD$1,Haver_M!$B$1:$BZ$1,0),FALSE),"")</f>
        <v>51.6494</v>
      </c>
      <c r="BE176">
        <f>IF(ISNUMBER(VLOOKUP($A176,Haver_M!$B$1:$BZ$300,MATCH(data!BE$1,Haver_M!$B$1:$BZ$1,0),FALSE)),VLOOKUP($A176,Haver_M!$B$1:$BZ$300,MATCH(data!BE$1,Haver_M!$B$1:$BZ$1,0),FALSE),"")</f>
        <v>1.1074999999999999</v>
      </c>
      <c r="BF176">
        <f>IF(ISNUMBER(VLOOKUP($A176,Haver_M!$B$1:$BZ$300,MATCH(data!BF$1,Haver_M!$B$1:$BZ$1,0),FALSE)),VLOOKUP($A176,Haver_M!$B$1:$BZ$300,MATCH(data!BF$1,Haver_M!$B$1:$BZ$1,0),FALSE),"")</f>
        <v>49.758299999999998</v>
      </c>
      <c r="BG176">
        <f>IF(ISNUMBER(VLOOKUP($A176,Haver_M!$B$1:$BZ$300,MATCH(data!BG$1,Haver_M!$B$1:$BZ$1,0),FALSE)),VLOOKUP($A176,Haver_M!$B$1:$BZ$300,MATCH(data!BG$1,Haver_M!$B$1:$BZ$1,0),FALSE),"")</f>
        <v>51.823900000000002</v>
      </c>
      <c r="BH176">
        <f>IF(ISNUMBER(VLOOKUP($A176,Haver_M!$B$1:$BZ$300,MATCH(data!BH$1,Haver_M!$B$1:$BZ$1,0),FALSE)),VLOOKUP($A176,Haver_M!$B$1:$BZ$300,MATCH(data!BH$1,Haver_M!$B$1:$BZ$1,0),FALSE),"")</f>
        <v>52.608800000000002</v>
      </c>
      <c r="BI176">
        <f>IF(ISNUMBER(VLOOKUP($A176,Haver_M!$B$1:$BZ$300,MATCH(data!BI$1,Haver_M!$B$1:$BZ$1,0),FALSE)),VLOOKUP($A176,Haver_M!$B$1:$BZ$300,MATCH(data!BI$1,Haver_M!$B$1:$BZ$1,0),FALSE),"")</f>
        <v>54.018700000000003</v>
      </c>
      <c r="BJ176" t="str">
        <f>IF(ISNUMBER(VLOOKUP($A176,Haver_M!$B$1:$BZ$300,MATCH(data!BJ$1,Haver_M!$B$1:$BZ$1,0),FALSE)),VLOOKUP($A176,Haver_M!$B$1:$BZ$300,MATCH(data!BJ$1,Haver_M!$B$1:$BZ$1,0),FALSE),"")</f>
        <v/>
      </c>
      <c r="BK176">
        <f>IF(ISNUMBER(VLOOKUP($A176,Haver_M!$B$1:$BZ$300,MATCH(data!BK$1,Haver_M!$B$1:$BZ$1,0),FALSE)),VLOOKUP($A176,Haver_M!$B$1:$BZ$300,MATCH(data!BK$1,Haver_M!$B$1:$BZ$1,0),FALSE),"")</f>
        <v>53.634399999999999</v>
      </c>
      <c r="BL176">
        <f>IF(ISNUMBER(VLOOKUP($A176,Haver_M!$B$1:$BZ$300,MATCH(data!BL$1,Haver_M!$B$1:$BZ$1,0),FALSE)),VLOOKUP($A176,Haver_M!$B$1:$BZ$300,MATCH(data!BL$1,Haver_M!$B$1:$BZ$1,0),FALSE),"")</f>
        <v>25723.46</v>
      </c>
      <c r="BM176">
        <f>IF(ISNUMBER(VLOOKUP($A176,Haver_M!$B$1:$BZ$300,MATCH(data!BM$1,Haver_M!$B$1:$BZ$1,0),FALSE)),VLOOKUP($A176,Haver_M!$B$1:$BZ$300,MATCH(data!BM$1,Haver_M!$B$1:$BZ$1,0),FALSE),"")</f>
        <v>106.48419976</v>
      </c>
      <c r="BN176" t="str">
        <f>IF(ISNUMBER(VLOOKUP($A176,Haver_M!$B$1:$BZ$300,MATCH(data!BN$1,Haver_M!$B$1:$BZ$1,0),FALSE)),VLOOKUP($A176,Haver_M!$B$1:$BZ$300,MATCH(data!BN$1,Haver_M!$B$1:$BZ$1,0),FALSE),"")</f>
        <v/>
      </c>
      <c r="BO176" t="str">
        <f>IF(ISNUMBER(VLOOKUP($A176,Haver_M!$B$1:$BZ$300,MATCH(data!BO$1,Haver_M!$B$1:$BZ$1,0),FALSE)),VLOOKUP($A176,Haver_M!$B$1:$BZ$300,MATCH(data!BO$1,Haver_M!$B$1:$BZ$1,0),FALSE),"")</f>
        <v/>
      </c>
      <c r="BP176" t="str">
        <f>IF(ISNUMBER(VLOOKUP($A176,Haver_M!$B$1:$BZ$300,MATCH(data!BP$1,Haver_M!$B$1:$BZ$1,0),FALSE)),VLOOKUP($A176,Haver_M!$B$1:$BZ$300,MATCH(data!BP$1,Haver_M!$B$1:$BZ$1,0),FALSE),"")</f>
        <v/>
      </c>
      <c r="BQ176">
        <f>IF(ISNUMBER(VLOOKUP($A176,Haver_M!$B$1:$BZ$300,MATCH(data!BQ$1,Haver_M!$B$1:$BZ$1,0),FALSE)),VLOOKUP($A176,Haver_M!$B$1:$BZ$300,MATCH(data!BQ$1,Haver_M!$B$1:$BZ$1,0),FALSE),"")</f>
        <v>173.65539656269044</v>
      </c>
      <c r="BR176">
        <f>IF(ISNUMBER(VLOOKUP($A176,Haver_M!$B$1:$BZ$300,MATCH(data!BR$1,Haver_M!$B$1:$BZ$1,0),FALSE)),VLOOKUP($A176,Haver_M!$B$1:$BZ$300,MATCH(data!BR$1,Haver_M!$B$1:$BZ$1,0),FALSE),"")</f>
        <v>416.44543828860481</v>
      </c>
      <c r="BS176">
        <f>IF(ISNUMBER(VLOOKUP($A176,Haver_M!$B$1:$BZ$300,MATCH(data!BS$1,Haver_M!$B$1:$BZ$1,0),FALSE)),VLOOKUP($A176,Haver_M!$B$1:$BZ$300,MATCH(data!BS$1,Haver_M!$B$1:$BZ$1,0),FALSE),"")</f>
        <v>219.6136773084954</v>
      </c>
      <c r="BT176">
        <f>IF(ISNUMBER(VLOOKUP($A176,Haver_M!$B$1:$BZ$300,MATCH(data!BT$1,Haver_M!$B$1:$BZ$1,0),FALSE)),VLOOKUP($A176,Haver_M!$B$1:$BZ$300,MATCH(data!BT$1,Haver_M!$B$1:$BZ$1,0),FALSE),"")</f>
        <v>929.02515210144759</v>
      </c>
      <c r="BU176">
        <f>IF(ISNUMBER(VLOOKUP($A176,Haver_M!$B$1:$BZ$300,MATCH(data!BU$1,Haver_M!$B$1:$BZ$1,0),FALSE)),VLOOKUP($A176,Haver_M!$B$1:$BZ$300,MATCH(data!BU$1,Haver_M!$B$1:$BZ$1,0),FALSE),"")</f>
        <v>25815.7</v>
      </c>
      <c r="BV176">
        <f>IF(ISNUMBER(VLOOKUP($A176,Haver_M!$B$1:$BZ$300,MATCH(data!BV$1,Haver_M!$B$1:$BZ$1,0),FALSE)),VLOOKUP($A176,Haver_M!$B$1:$BZ$300,MATCH(data!BV$1,Haver_M!$B$1:$BZ$1,0),FALSE),"")</f>
        <v>40068.01</v>
      </c>
      <c r="BW176">
        <f>IF(ISNUMBER(VLOOKUP($A176,Haver_M!$B$1:$BZ$300,MATCH(data!BW$1,Haver_M!$B$1:$BZ$1,0),FALSE)),VLOOKUP($A176,Haver_M!$B$1:$BZ$300,MATCH(data!BW$1,Haver_M!$B$1:$BZ$1,0),FALSE),"")</f>
        <v>60.058599999999998</v>
      </c>
      <c r="BX176">
        <f>IF(ISNUMBER(VLOOKUP($A176,Haver_M!$B$1:$BZ$300,MATCH(data!BX$1,Haver_M!$B$1:$BZ$1,0),FALSE)),VLOOKUP($A176,Haver_M!$B$1:$BZ$300,MATCH(data!BX$1,Haver_M!$B$1:$BZ$1,0),FALSE),"")</f>
        <v>66483</v>
      </c>
    </row>
    <row r="177" spans="1:76" x14ac:dyDescent="0.25">
      <c r="A177" s="2">
        <v>41882</v>
      </c>
      <c r="B177" t="str">
        <f>IF(ISNUMBER(VLOOKUP($A177,Haver_Q!$B$1:$L$185,MATCH(data!B$1,Haver_Q!$B$1:$L$1,0),FALSE)),100*(VLOOKUP($A177,Haver_Q!$B$1:$L$185,MATCH(data!B$1,Haver_Q!$B$1:$L$1,0),FALSE)),"")</f>
        <v/>
      </c>
      <c r="C177" t="str">
        <f>IF(ISNUMBER(VLOOKUP($A177,Haver_Q!$B$1:$L$185,MATCH(data!C$1,Haver_Q!$B$1:$L$1,0),FALSE)),100*(VLOOKUP($A177,Haver_Q!$B$1:$L$185,MATCH(data!C$1,Haver_Q!$B$1:$L$1,0),FALSE)),"")</f>
        <v/>
      </c>
      <c r="D177" t="str">
        <f>IF(ISNUMBER(VLOOKUP($A177,Haver_Q!$B$1:$L$185,MATCH(data!D$1,Haver_Q!$B$1:$L$1,0),FALSE)),100*(VLOOKUP($A177,Haver_Q!$B$1:$L$185,MATCH(data!D$1,Haver_Q!$B$1:$L$1,0),FALSE)),"")</f>
        <v/>
      </c>
      <c r="E177" t="str">
        <f>IF(ISNUMBER(VLOOKUP($A177,Haver_Q!$B$1:$L$185,MATCH(data!E$1,Haver_Q!$B$1:$L$1,0),FALSE)),100*(VLOOKUP($A177,Haver_Q!$B$1:$L$185,MATCH(data!E$1,Haver_Q!$B$1:$L$1,0),FALSE)),"")</f>
        <v/>
      </c>
      <c r="F177" t="str">
        <f>IF(ISNUMBER(VLOOKUP($A177,Haver_Q!$B$1:$L$185,MATCH(data!F$1,Haver_Q!$B$1:$L$1,0),FALSE)),100*(VLOOKUP($A177,Haver_Q!$B$1:$L$185,MATCH(data!F$1,Haver_Q!$B$1:$L$1,0),FALSE)),"")</f>
        <v/>
      </c>
      <c r="G177" t="str">
        <f>IF(ISNUMBER(VLOOKUP($A177,Haver_Q!$B$1:$L$185,MATCH(data!G$1,Haver_Q!$B$1:$L$1,0),FALSE)),100*(VLOOKUP($A177,Haver_Q!$B$1:$L$185,MATCH(data!G$1,Haver_Q!$B$1:$L$1,0),FALSE)),"")</f>
        <v/>
      </c>
      <c r="H177" t="str">
        <f>IF(ISNUMBER(VLOOKUP($A177,Haver_Q!$B$1:$L$185,MATCH(data!H$1,Haver_Q!$B$1:$L$1,0),FALSE)),(VLOOKUP($A177,Haver_Q!$B$1:$L$185,MATCH(data!H$1,Haver_Q!$B$1:$L$1,0),FALSE)),"")</f>
        <v/>
      </c>
      <c r="I177" t="str">
        <f>IF(ISNUMBER(VLOOKUP($A177,Haver_Q!$B$1:$L$185,MATCH(data!I$1,Haver_Q!$B$1:$L$1,0),FALSE)),100*(VLOOKUP($A177,Haver_Q!$B$1:$L$185,MATCH(data!I$1,Haver_Q!$B$1:$L$1,0),FALSE)),"")</f>
        <v/>
      </c>
      <c r="J177" s="3">
        <f>IF(ISNUMBER(Bloomberg_m!C193),Bloomberg_m!C193,"")</f>
        <v>937</v>
      </c>
      <c r="K177" s="3">
        <f>IF(ISNUMBER(Bloomberg_m!D193),Bloomberg_m!D193,"")</f>
        <v>2221.0300000000002</v>
      </c>
      <c r="L177" s="3">
        <f>IF(ISNUMBER(Bloomberg_m!E193),Bloomberg_m!E193,"")</f>
        <v>1134.29</v>
      </c>
      <c r="M177" s="3">
        <f>IF(ISNUMBER(Bloomberg_m!F193),Bloomberg_m!F193,"")</f>
        <v>600.17999999999995</v>
      </c>
      <c r="N177">
        <f>IF(ISNUMBER(VLOOKUP($A177,Haver_M!$B$1:$BZ$300,MATCH(data!N$1,Haver_M!$B$1:$BZ$1,0),FALSE)),VLOOKUP($A177,Haver_M!$B$1:$BZ$300,MATCH(data!N$1,Haver_M!$B$1:$BZ$1,0),FALSE),"")</f>
        <v>8</v>
      </c>
      <c r="O177">
        <f>IF(ISNUMBER(VLOOKUP($A177,Haver_M!$B$1:$BZ$300,MATCH(data!O$1,Haver_M!$B$1:$BZ$1,0),FALSE)),VLOOKUP($A177,Haver_M!$B$1:$BZ$300,MATCH(data!O$1,Haver_M!$B$1:$BZ$1,0),FALSE),"")</f>
        <v>8.6251999999999995</v>
      </c>
      <c r="P177">
        <f>IF(ISNUMBER(VLOOKUP($A177,Haver_M!$B$1:$BZ$300,MATCH(data!P$1,Haver_M!$B$1:$BZ$1,0),FALSE)),VLOOKUP($A177,Haver_M!$B$1:$BZ$300,MATCH(data!P$1,Haver_M!$B$1:$BZ$1,0),FALSE),"")</f>
        <v>90.61927</v>
      </c>
      <c r="Q177">
        <f>IF(ISNUMBER(VLOOKUP($A177,Haver_M!$B$1:$BZ$300,MATCH(data!Q$1,Haver_M!$B$1:$BZ$1,0),FALSE)),VLOOKUP($A177,Haver_M!$B$1:$BZ$300,MATCH(data!Q$1,Haver_M!$B$1:$BZ$1,0),FALSE),"")</f>
        <v>120.3</v>
      </c>
      <c r="R177">
        <f>IF(ISNUMBER(VLOOKUP($A177,Haver_M!$B$1:$BZ$300,MATCH(data!R$1,Haver_M!$B$1:$BZ$1,0),FALSE)),VLOOKUP($A177,Haver_M!$B$1:$BZ$300,MATCH(data!R$1,Haver_M!$B$1:$BZ$1,0),FALSE),"")</f>
        <v>115.5</v>
      </c>
      <c r="S177">
        <f>IF(ISNUMBER(VLOOKUP($A177,Haver_M!$B$1:$BZ$300,MATCH(data!S$1,Haver_M!$B$1:$BZ$1,0),FALSE)),VLOOKUP($A177,Haver_M!$B$1:$BZ$300,MATCH(data!S$1,Haver_M!$B$1:$BZ$1,0),FALSE),"")</f>
        <v>111.06</v>
      </c>
      <c r="T177">
        <f>IF(ISNUMBER(VLOOKUP($A177,Haver_M!$B$1:$BZ$300,MATCH(data!T$1,Haver_M!$B$1:$BZ$1,0),FALSE)),VLOOKUP($A177,Haver_M!$B$1:$BZ$300,MATCH(data!T$1,Haver_M!$B$1:$BZ$1,0),FALSE),"")</f>
        <v>106.31</v>
      </c>
      <c r="U177">
        <f>IF(ISNUMBER(VLOOKUP($A177,Haver_M!$B$1:$BZ$300,MATCH(data!U$1,Haver_M!$B$1:$BZ$1,0),FALSE)),VLOOKUP($A177,Haver_M!$B$1:$BZ$300,MATCH(data!U$1,Haver_M!$B$1:$BZ$1,0),FALSE),"")</f>
        <v>95.39</v>
      </c>
      <c r="V177">
        <f>IF(ISNUMBER(VLOOKUP($A177,Haver_M!$B$1:$BZ$300,MATCH(data!V$1,Haver_M!$B$1:$BZ$1,0),FALSE)),VLOOKUP($A177,Haver_M!$B$1:$BZ$300,MATCH(data!V$1,Haver_M!$B$1:$BZ$1,0),FALSE),"")</f>
        <v>117.76</v>
      </c>
      <c r="W177">
        <f>IF(ISNUMBER(VLOOKUP($A177,Haver_M!$B$1:$BZ$300,MATCH(data!W$1,Haver_M!$B$1:$BZ$1,0),FALSE)),VLOOKUP($A177,Haver_M!$B$1:$BZ$300,MATCH(data!W$1,Haver_M!$B$1:$BZ$1,0),FALSE),"")</f>
        <v>115.55</v>
      </c>
      <c r="X177">
        <f>IF(ISNUMBER(VLOOKUP($A177,Haver_M!$B$1:$BZ$300,MATCH(data!X$1,Haver_M!$B$1:$BZ$1,0),FALSE)),VLOOKUP($A177,Haver_M!$B$1:$BZ$300,MATCH(data!X$1,Haver_M!$B$1:$BZ$1,0),FALSE),"")</f>
        <v>116.07</v>
      </c>
      <c r="Y177">
        <f>IF(ISNUMBER(VLOOKUP($A177,Haver_M!$B$1:$BZ$300,MATCH(data!Y$1,Haver_M!$B$1:$BZ$1,0),FALSE)),VLOOKUP($A177,Haver_M!$B$1:$BZ$300,MATCH(data!Y$1,Haver_M!$B$1:$BZ$1,0),FALSE),"")</f>
        <v>113.8</v>
      </c>
      <c r="Z177">
        <f>IF(ISNUMBER(VLOOKUP($A177,Haver_M!$B$1:$BZ$300,MATCH(data!Z$1,Haver_M!$B$1:$BZ$1,0),FALSE)),VLOOKUP($A177,Haver_M!$B$1:$BZ$300,MATCH(data!Z$1,Haver_M!$B$1:$BZ$1,0),FALSE),"")</f>
        <v>112.3</v>
      </c>
      <c r="AA177">
        <f>IF(ISNUMBER(VLOOKUP($A177,Haver_M!$B$1:$BZ$300,MATCH(data!AA$1,Haver_M!$B$1:$BZ$1,0),FALSE)),VLOOKUP($A177,Haver_M!$B$1:$BZ$300,MATCH(data!AA$1,Haver_M!$B$1:$BZ$1,0),FALSE),"")</f>
        <v>118.23699999999999</v>
      </c>
      <c r="AB177">
        <f>IF(ISNUMBER(VLOOKUP($A177,Haver_M!$B$1:$BZ$300,MATCH(data!AB$1,Haver_M!$B$1:$BZ$1,0),FALSE)),VLOOKUP($A177,Haver_M!$B$1:$BZ$300,MATCH(data!AB$1,Haver_M!$B$1:$BZ$1,0),FALSE),"")</f>
        <v>93.521000000000001</v>
      </c>
      <c r="AC177">
        <f>IF(ISNUMBER(VLOOKUP($A177,Haver_M!$B$1:$BZ$300,MATCH(data!AC$1,Haver_M!$B$1:$BZ$1,0),FALSE)),VLOOKUP($A177,Haver_M!$B$1:$BZ$300,MATCH(data!AC$1,Haver_M!$B$1:$BZ$1,0),FALSE),"")</f>
        <v>67.433000000000007</v>
      </c>
      <c r="AD177">
        <f>IF(ISNUMBER(VLOOKUP($A177,Haver_M!$B$1:$BZ$300,MATCH(data!AD$1,Haver_M!$B$1:$BZ$1,0),FALSE)),VLOOKUP($A177,Haver_M!$B$1:$BZ$300,MATCH(data!AD$1,Haver_M!$B$1:$BZ$1,0),FALSE),"")</f>
        <v>107.282</v>
      </c>
      <c r="AE177">
        <f>IF(ISNUMBER(VLOOKUP($A177,Haver_M!$B$1:$BZ$300,MATCH(data!AE$1,Haver_M!$B$1:$BZ$1,0),FALSE)),VLOOKUP($A177,Haver_M!$B$1:$BZ$300,MATCH(data!AE$1,Haver_M!$B$1:$BZ$1,0),FALSE),"")</f>
        <v>95.126000000000005</v>
      </c>
      <c r="AF177">
        <f>IF(ISNUMBER(VLOOKUP($A177,Haver_M!$B$1:$BZ$300,MATCH(data!AF$1,Haver_M!$B$1:$BZ$1,0),FALSE)),VLOOKUP($A177,Haver_M!$B$1:$BZ$300,MATCH(data!AF$1,Haver_M!$B$1:$BZ$1,0),FALSE),"")</f>
        <v>124.143</v>
      </c>
      <c r="AG177">
        <f>IF(ISNUMBER(VLOOKUP($A177,Haver_M!$B$1:$BZ$300,MATCH(data!AG$1,Haver_M!$B$1:$BZ$1,0),FALSE)),VLOOKUP($A177,Haver_M!$B$1:$BZ$300,MATCH(data!AG$1,Haver_M!$B$1:$BZ$1,0),FALSE),"")</f>
        <v>119.045</v>
      </c>
      <c r="AH177">
        <f>IF(ISNUMBER(VLOOKUP($A177,Haver_M!$B$1:$BZ$300,MATCH(data!AH$1,Haver_M!$B$1:$BZ$1,0),FALSE)),VLOOKUP($A177,Haver_M!$B$1:$BZ$300,MATCH(data!AH$1,Haver_M!$B$1:$BZ$1,0),FALSE),"")</f>
        <v>130.05000000000001</v>
      </c>
      <c r="AI177">
        <f>IF(ISNUMBER(VLOOKUP($A177,Haver_M!$B$1:$BZ$300,MATCH(data!AI$1,Haver_M!$B$1:$BZ$1,0),FALSE)),VLOOKUP($A177,Haver_M!$B$1:$BZ$300,MATCH(data!AI$1,Haver_M!$B$1:$BZ$1,0),FALSE),"")</f>
        <v>13641.104438017004</v>
      </c>
      <c r="AJ177">
        <f>IF(ISNUMBER(VLOOKUP($A177,Haver_M!$B$1:$BZ$300,MATCH(data!AJ$1,Haver_M!$B$1:$BZ$1,0),FALSE)),VLOOKUP($A177,Haver_M!$B$1:$BZ$300,MATCH(data!AJ$1,Haver_M!$B$1:$BZ$1,0),FALSE),"")</f>
        <v>27426.58</v>
      </c>
      <c r="AK177">
        <f>IF(ISNUMBER(VLOOKUP($A177,Haver_M!$B$1:$BZ$300,MATCH(data!AK$1,Haver_M!$B$1:$BZ$1,0),FALSE)),VLOOKUP($A177,Haver_M!$B$1:$BZ$300,MATCH(data!AK$1,Haver_M!$B$1:$BZ$1,0),FALSE),"")</f>
        <v>38008.31</v>
      </c>
      <c r="AL177">
        <f>IF(ISNUMBER(VLOOKUP($A177,Haver_M!$B$1:$BZ$300,MATCH(data!AL$1,Haver_M!$B$1:$BZ$1,0),FALSE)),VLOOKUP($A177,Haver_M!$B$1:$BZ$300,MATCH(data!AL$1,Haver_M!$B$1:$BZ$1,0),FALSE),"")</f>
        <v>12242</v>
      </c>
      <c r="AM177">
        <f>IF(ISNUMBER(VLOOKUP($A177,Haver_M!$B$1:$BZ$300,MATCH(data!AM$1,Haver_M!$B$1:$BZ$1,0),FALSE)),VLOOKUP($A177,Haver_M!$B$1:$BZ$300,MATCH(data!AM$1,Haver_M!$B$1:$BZ$1,0),FALSE),"")</f>
        <v>6767</v>
      </c>
      <c r="AN177" t="str">
        <f>IF(ISNUMBER(VLOOKUP($A177,Haver_M!$B$1:$BZ$300,MATCH(data!AN$1,Haver_M!$B$1:$BZ$1,0),FALSE)),VLOOKUP($A177,Haver_M!$B$1:$BZ$300,MATCH(data!AN$1,Haver_M!$B$1:$BZ$1,0),FALSE),"")</f>
        <v/>
      </c>
      <c r="AO177" t="str">
        <f>IF(ISNUMBER(VLOOKUP($A177,Haver_M!$B$1:$BZ$300,MATCH(data!AO$1,Haver_M!$B$1:$BZ$1,0),FALSE)),VLOOKUP($A177,Haver_M!$B$1:$BZ$300,MATCH(data!AO$1,Haver_M!$B$1:$BZ$1,0),FALSE),"")</f>
        <v/>
      </c>
      <c r="AP177">
        <f>IF(ISNUMBER(VLOOKUP($A177,Haver_M!$B$1:$BZ$300,MATCH(data!AP$1,Haver_M!$B$1:$BZ$1,0),FALSE)),VLOOKUP($A177,Haver_M!$B$1:$BZ$300,MATCH(data!AP$1,Haver_M!$B$1:$BZ$1,0),FALSE),"")</f>
        <v>113.61790362565706</v>
      </c>
      <c r="AQ177">
        <f>IF(ISNUMBER(VLOOKUP($A177,Haver_M!$B$1:$BZ$300,MATCH(data!AQ$1,Haver_M!$B$1:$BZ$1,0),FALSE)),VLOOKUP($A177,Haver_M!$B$1:$BZ$300,MATCH(data!AQ$1,Haver_M!$B$1:$BZ$1,0),FALSE),"")</f>
        <v>51.607500000000002</v>
      </c>
      <c r="AR177">
        <f>IF(ISNUMBER(VLOOKUP($A177,Haver_M!$B$1:$BZ$300,MATCH(data!AR$1,Haver_M!$B$1:$BZ$1,0),FALSE)),VLOOKUP($A177,Haver_M!$B$1:$BZ$300,MATCH(data!AR$1,Haver_M!$B$1:$BZ$1,0),FALSE),"")</f>
        <v>52.388500000000001</v>
      </c>
      <c r="AS177">
        <f>IF(ISNUMBER(VLOOKUP($A177,Haver_M!$B$1:$BZ$300,MATCH(data!AS$1,Haver_M!$B$1:$BZ$1,0),FALSE)),VLOOKUP($A177,Haver_M!$B$1:$BZ$300,MATCH(data!AS$1,Haver_M!$B$1:$BZ$1,0),FALSE),"")</f>
        <v>50.569299999999998</v>
      </c>
      <c r="AT177">
        <f>IF(ISNUMBER(VLOOKUP($A177,Haver_M!$B$1:$BZ$300,MATCH(data!AT$1,Haver_M!$B$1:$BZ$1,0),FALSE)),VLOOKUP($A177,Haver_M!$B$1:$BZ$300,MATCH(data!AT$1,Haver_M!$B$1:$BZ$1,0),FALSE),"")</f>
        <v>54.072899999999997</v>
      </c>
      <c r="AU177">
        <f>IF(ISNUMBER(VLOOKUP($A177,Haver_M!$B$1:$BZ$300,MATCH(data!AU$1,Haver_M!$B$1:$BZ$1,0),FALSE)),VLOOKUP($A177,Haver_M!$B$1:$BZ$300,MATCH(data!AU$1,Haver_M!$B$1:$BZ$1,0),FALSE),"")</f>
        <v>54.519100000000002</v>
      </c>
      <c r="AV177">
        <f>IF(ISNUMBER(VLOOKUP($A177,Haver_M!$B$1:$BZ$300,MATCH(data!AV$1,Haver_M!$B$1:$BZ$1,0),FALSE)),VLOOKUP($A177,Haver_M!$B$1:$BZ$300,MATCH(data!AV$1,Haver_M!$B$1:$BZ$1,0),FALSE),"")</f>
        <v>49.747700000000002</v>
      </c>
      <c r="AW177">
        <f>IF(ISNUMBER(VLOOKUP($A177,Haver_M!$B$1:$BZ$300,MATCH(data!AW$1,Haver_M!$B$1:$BZ$1,0),FALSE)),VLOOKUP($A177,Haver_M!$B$1:$BZ$300,MATCH(data!AW$1,Haver_M!$B$1:$BZ$1,0),FALSE),"")</f>
        <v>50.802300000000002</v>
      </c>
      <c r="AX177">
        <f>IF(ISNUMBER(VLOOKUP($A177,Haver_M!$B$1:$BZ$300,MATCH(data!AX$1,Haver_M!$B$1:$BZ$1,0),FALSE)),VLOOKUP($A177,Haver_M!$B$1:$BZ$300,MATCH(data!AX$1,Haver_M!$B$1:$BZ$1,0),FALSE),"")</f>
        <v>51.853299999999997</v>
      </c>
      <c r="AY177">
        <f>IF(ISNUMBER(VLOOKUP($A177,Haver_M!$B$1:$BZ$300,MATCH(data!AY$1,Haver_M!$B$1:$BZ$1,0),FALSE)),VLOOKUP($A177,Haver_M!$B$1:$BZ$300,MATCH(data!AY$1,Haver_M!$B$1:$BZ$1,0),FALSE),"")</f>
        <v>57.910800000000002</v>
      </c>
      <c r="AZ177">
        <f>IF(ISNUMBER(VLOOKUP($A177,Haver_M!$B$1:$BZ$300,MATCH(data!AZ$1,Haver_M!$B$1:$BZ$1,0),FALSE)),VLOOKUP($A177,Haver_M!$B$1:$BZ$300,MATCH(data!AZ$1,Haver_M!$B$1:$BZ$1,0),FALSE),"")</f>
        <v>53.477400000000003</v>
      </c>
      <c r="BA177">
        <f>IF(ISNUMBER(VLOOKUP($A177,Haver_M!$B$1:$BZ$300,MATCH(data!BA$1,Haver_M!$B$1:$BZ$1,0),FALSE)),VLOOKUP($A177,Haver_M!$B$1:$BZ$300,MATCH(data!BA$1,Haver_M!$B$1:$BZ$1,0),FALSE),"")</f>
        <v>51.853299999999997</v>
      </c>
      <c r="BB177">
        <f>IF(ISNUMBER(VLOOKUP($A177,Haver_M!$B$1:$BZ$300,MATCH(data!BB$1,Haver_M!$B$1:$BZ$1,0),FALSE)),VLOOKUP($A177,Haver_M!$B$1:$BZ$300,MATCH(data!BB$1,Haver_M!$B$1:$BZ$1,0),FALSE),"")</f>
        <v>54.457000000000001</v>
      </c>
      <c r="BC177">
        <f>IF(ISNUMBER(VLOOKUP($A177,Haver_M!$B$1:$BZ$300,MATCH(data!BC$1,Haver_M!$B$1:$BZ$1,0),FALSE)),VLOOKUP($A177,Haver_M!$B$1:$BZ$300,MATCH(data!BC$1,Haver_M!$B$1:$BZ$1,0),FALSE),"")</f>
        <v>50.435400000000001</v>
      </c>
      <c r="BD177">
        <f>IF(ISNUMBER(VLOOKUP($A177,Haver_M!$B$1:$BZ$300,MATCH(data!BD$1,Haver_M!$B$1:$BZ$1,0),FALSE)),VLOOKUP($A177,Haver_M!$B$1:$BZ$300,MATCH(data!BD$1,Haver_M!$B$1:$BZ$1,0),FALSE),"")</f>
        <v>52.793199999999999</v>
      </c>
      <c r="BE177">
        <f>IF(ISNUMBER(VLOOKUP($A177,Haver_M!$B$1:$BZ$300,MATCH(data!BE$1,Haver_M!$B$1:$BZ$1,0),FALSE)),VLOOKUP($A177,Haver_M!$B$1:$BZ$300,MATCH(data!BE$1,Haver_M!$B$1:$BZ$1,0),FALSE),"")</f>
        <v>1.0681</v>
      </c>
      <c r="BF177">
        <f>IF(ISNUMBER(VLOOKUP($A177,Haver_M!$B$1:$BZ$300,MATCH(data!BF$1,Haver_M!$B$1:$BZ$1,0),FALSE)),VLOOKUP($A177,Haver_M!$B$1:$BZ$300,MATCH(data!BF$1,Haver_M!$B$1:$BZ$1,0),FALSE),"")</f>
        <v>50.0092</v>
      </c>
      <c r="BG177">
        <f>IF(ISNUMBER(VLOOKUP($A177,Haver_M!$B$1:$BZ$300,MATCH(data!BG$1,Haver_M!$B$1:$BZ$1,0),FALSE)),VLOOKUP($A177,Haver_M!$B$1:$BZ$300,MATCH(data!BG$1,Haver_M!$B$1:$BZ$1,0),FALSE),"")</f>
        <v>51.119599999999998</v>
      </c>
      <c r="BH177">
        <f>IF(ISNUMBER(VLOOKUP($A177,Haver_M!$B$1:$BZ$300,MATCH(data!BH$1,Haver_M!$B$1:$BZ$1,0),FALSE)),VLOOKUP($A177,Haver_M!$B$1:$BZ$300,MATCH(data!BH$1,Haver_M!$B$1:$BZ$1,0),FALSE),"")</f>
        <v>51.9236</v>
      </c>
      <c r="BI177">
        <f>IF(ISNUMBER(VLOOKUP($A177,Haver_M!$B$1:$BZ$300,MATCH(data!BI$1,Haver_M!$B$1:$BZ$1,0),FALSE)),VLOOKUP($A177,Haver_M!$B$1:$BZ$300,MATCH(data!BI$1,Haver_M!$B$1:$BZ$1,0),FALSE),"")</f>
        <v>52.6126</v>
      </c>
      <c r="BJ177" t="str">
        <f>IF(ISNUMBER(VLOOKUP($A177,Haver_M!$B$1:$BZ$300,MATCH(data!BJ$1,Haver_M!$B$1:$BZ$1,0),FALSE)),VLOOKUP($A177,Haver_M!$B$1:$BZ$300,MATCH(data!BJ$1,Haver_M!$B$1:$BZ$1,0),FALSE),"")</f>
        <v/>
      </c>
      <c r="BK177">
        <f>IF(ISNUMBER(VLOOKUP($A177,Haver_M!$B$1:$BZ$300,MATCH(data!BK$1,Haver_M!$B$1:$BZ$1,0),FALSE)),VLOOKUP($A177,Haver_M!$B$1:$BZ$300,MATCH(data!BK$1,Haver_M!$B$1:$BZ$1,0),FALSE),"")</f>
        <v>50.878399999999999</v>
      </c>
      <c r="BL177">
        <f>IF(ISNUMBER(VLOOKUP($A177,Haver_M!$B$1:$BZ$300,MATCH(data!BL$1,Haver_M!$B$1:$BZ$1,0),FALSE)),VLOOKUP($A177,Haver_M!$B$1:$BZ$300,MATCH(data!BL$1,Haver_M!$B$1:$BZ$1,0),FALSE),"")</f>
        <v>26057.96</v>
      </c>
      <c r="BM177">
        <f>IF(ISNUMBER(VLOOKUP($A177,Haver_M!$B$1:$BZ$300,MATCH(data!BM$1,Haver_M!$B$1:$BZ$1,0),FALSE)),VLOOKUP($A177,Haver_M!$B$1:$BZ$300,MATCH(data!BM$1,Haver_M!$B$1:$BZ$1,0),FALSE),"")</f>
        <v>106.36198503999999</v>
      </c>
      <c r="BN177" t="str">
        <f>IF(ISNUMBER(VLOOKUP($A177,Haver_M!$B$1:$BZ$300,MATCH(data!BN$1,Haver_M!$B$1:$BZ$1,0),FALSE)),VLOOKUP($A177,Haver_M!$B$1:$BZ$300,MATCH(data!BN$1,Haver_M!$B$1:$BZ$1,0),FALSE),"")</f>
        <v/>
      </c>
      <c r="BO177" t="str">
        <f>IF(ISNUMBER(VLOOKUP($A177,Haver_M!$B$1:$BZ$300,MATCH(data!BO$1,Haver_M!$B$1:$BZ$1,0),FALSE)),VLOOKUP($A177,Haver_M!$B$1:$BZ$300,MATCH(data!BO$1,Haver_M!$B$1:$BZ$1,0),FALSE),"")</f>
        <v/>
      </c>
      <c r="BP177" t="str">
        <f>IF(ISNUMBER(VLOOKUP($A177,Haver_M!$B$1:$BZ$300,MATCH(data!BP$1,Haver_M!$B$1:$BZ$1,0),FALSE)),VLOOKUP($A177,Haver_M!$B$1:$BZ$300,MATCH(data!BP$1,Haver_M!$B$1:$BZ$1,0),FALSE),"")</f>
        <v/>
      </c>
      <c r="BQ177">
        <f>IF(ISNUMBER(VLOOKUP($A177,Haver_M!$B$1:$BZ$300,MATCH(data!BQ$1,Haver_M!$B$1:$BZ$1,0),FALSE)),VLOOKUP($A177,Haver_M!$B$1:$BZ$300,MATCH(data!BQ$1,Haver_M!$B$1:$BZ$1,0),FALSE),"")</f>
        <v>172.6691102090148</v>
      </c>
      <c r="BR177">
        <f>IF(ISNUMBER(VLOOKUP($A177,Haver_M!$B$1:$BZ$300,MATCH(data!BR$1,Haver_M!$B$1:$BZ$1,0),FALSE)),VLOOKUP($A177,Haver_M!$B$1:$BZ$300,MATCH(data!BR$1,Haver_M!$B$1:$BZ$1,0),FALSE),"")</f>
        <v>410.53186458045951</v>
      </c>
      <c r="BS177">
        <f>IF(ISNUMBER(VLOOKUP($A177,Haver_M!$B$1:$BZ$300,MATCH(data!BS$1,Haver_M!$B$1:$BZ$1,0),FALSE)),VLOOKUP($A177,Haver_M!$B$1:$BZ$300,MATCH(data!BS$1,Haver_M!$B$1:$BZ$1,0),FALSE),"")</f>
        <v>215.7046860836322</v>
      </c>
      <c r="BT177">
        <f>IF(ISNUMBER(VLOOKUP($A177,Haver_M!$B$1:$BZ$300,MATCH(data!BT$1,Haver_M!$B$1:$BZ$1,0),FALSE)),VLOOKUP($A177,Haver_M!$B$1:$BZ$300,MATCH(data!BT$1,Haver_M!$B$1:$BZ$1,0),FALSE),"")</f>
        <v>917.20316215399566</v>
      </c>
      <c r="BU177">
        <f>IF(ISNUMBER(VLOOKUP($A177,Haver_M!$B$1:$BZ$300,MATCH(data!BU$1,Haver_M!$B$1:$BZ$1,0),FALSE)),VLOOKUP($A177,Haver_M!$B$1:$BZ$300,MATCH(data!BU$1,Haver_M!$B$1:$BZ$1,0),FALSE),"")</f>
        <v>26825.3</v>
      </c>
      <c r="BV177">
        <f>IF(ISNUMBER(VLOOKUP($A177,Haver_M!$B$1:$BZ$300,MATCH(data!BV$1,Haver_M!$B$1:$BZ$1,0),FALSE)),VLOOKUP($A177,Haver_M!$B$1:$BZ$300,MATCH(data!BV$1,Haver_M!$B$1:$BZ$1,0),FALSE),"")</f>
        <v>37472.78</v>
      </c>
      <c r="BW177">
        <f>IF(ISNUMBER(VLOOKUP($A177,Haver_M!$B$1:$BZ$300,MATCH(data!BW$1,Haver_M!$B$1:$BZ$1,0),FALSE)),VLOOKUP($A177,Haver_M!$B$1:$BZ$300,MATCH(data!BW$1,Haver_M!$B$1:$BZ$1,0),FALSE),"")</f>
        <v>60.895200000000003</v>
      </c>
      <c r="BX177">
        <f>IF(ISNUMBER(VLOOKUP($A177,Haver_M!$B$1:$BZ$300,MATCH(data!BX$1,Haver_M!$B$1:$BZ$1,0),FALSE)),VLOOKUP($A177,Haver_M!$B$1:$BZ$300,MATCH(data!BX$1,Haver_M!$B$1:$BZ$1,0),FALSE),"")</f>
        <v>60218</v>
      </c>
    </row>
    <row r="178" spans="1:76" x14ac:dyDescent="0.25">
      <c r="A178" s="2">
        <v>41912</v>
      </c>
      <c r="B178">
        <f>IF(ISNUMBER(VLOOKUP($A178,Haver_Q!$B$1:$L$185,MATCH(data!B$1,Haver_Q!$B$1:$L$1,0),FALSE)),100*(VLOOKUP($A178,Haver_Q!$B$1:$L$185,MATCH(data!B$1,Haver_Q!$B$1:$L$1,0),FALSE)),"")</f>
        <v>7.4537742581134436</v>
      </c>
      <c r="C178">
        <f>IF(ISNUMBER(VLOOKUP($A178,Haver_Q!$B$1:$L$185,MATCH(data!C$1,Haver_Q!$B$1:$L$1,0),FALSE)),100*(VLOOKUP($A178,Haver_Q!$B$1:$L$185,MATCH(data!C$1,Haver_Q!$B$1:$L$1,0),FALSE)),"")</f>
        <v>9.3736862146917233</v>
      </c>
      <c r="D178">
        <f>IF(ISNUMBER(VLOOKUP($A178,Haver_Q!$B$1:$L$185,MATCH(data!D$1,Haver_Q!$B$1:$L$1,0),FALSE)),100*(VLOOKUP($A178,Haver_Q!$B$1:$L$185,MATCH(data!D$1,Haver_Q!$B$1:$L$1,0),FALSE)),"")</f>
        <v>0.75703923255105998</v>
      </c>
      <c r="E178">
        <f>IF(ISNUMBER(VLOOKUP($A178,Haver_Q!$B$1:$L$185,MATCH(data!E$1,Haver_Q!$B$1:$L$1,0),FALSE)),100*(VLOOKUP($A178,Haver_Q!$B$1:$L$185,MATCH(data!E$1,Haver_Q!$B$1:$L$1,0),FALSE)),"")</f>
        <v>5.7546303554114608</v>
      </c>
      <c r="F178">
        <f>IF(ISNUMBER(VLOOKUP($A178,Haver_Q!$B$1:$L$185,MATCH(data!F$1,Haver_Q!$B$1:$L$1,0),FALSE)),100*(VLOOKUP($A178,Haver_Q!$B$1:$L$185,MATCH(data!F$1,Haver_Q!$B$1:$L$1,0),FALSE)),"")</f>
        <v>-13.168746419725409</v>
      </c>
      <c r="G178">
        <f>IF(ISNUMBER(VLOOKUP($A178,Haver_Q!$B$1:$L$185,MATCH(data!G$1,Haver_Q!$B$1:$L$1,0),FALSE)),100*(VLOOKUP($A178,Haver_Q!$B$1:$L$185,MATCH(data!G$1,Haver_Q!$B$1:$L$1,0),FALSE)),"")</f>
        <v>-7.2725161316023579</v>
      </c>
      <c r="H178">
        <f>IF(ISNUMBER(VLOOKUP($A178,Haver_Q!$B$1:$L$185,MATCH(data!H$1,Haver_Q!$B$1:$L$1,0),FALSE)),(VLOOKUP($A178,Haver_Q!$B$1:$L$185,MATCH(data!H$1,Haver_Q!$B$1:$L$1,0),FALSE)),"")</f>
        <v>4.1718483941460827</v>
      </c>
      <c r="I178">
        <f>IF(ISNUMBER(VLOOKUP($A178,Haver_Q!$B$1:$L$185,MATCH(data!I$1,Haver_Q!$B$1:$L$1,0),FALSE)),100*(VLOOKUP($A178,Haver_Q!$B$1:$L$185,MATCH(data!I$1,Haver_Q!$B$1:$L$1,0),FALSE)),"")</f>
        <v>8.7041206510261038</v>
      </c>
      <c r="J178" s="3">
        <f>IF(ISNUMBER(Bloomberg_m!C194),Bloomberg_m!C194,"")</f>
        <v>1123</v>
      </c>
      <c r="K178" s="3">
        <f>IF(ISNUMBER(Bloomberg_m!D194),Bloomberg_m!D194,"")</f>
        <v>2102.9499999999998</v>
      </c>
      <c r="L178" s="3">
        <f>IF(ISNUMBER(Bloomberg_m!E194),Bloomberg_m!E194,"")</f>
        <v>1033.76</v>
      </c>
      <c r="M178" s="3">
        <f>IF(ISNUMBER(Bloomberg_m!F194),Bloomberg_m!F194,"")</f>
        <v>595.66</v>
      </c>
      <c r="N178">
        <f>IF(ISNUMBER(VLOOKUP($A178,Haver_M!$B$1:$BZ$300,MATCH(data!N$1,Haver_M!$B$1:$BZ$1,0),FALSE)),VLOOKUP($A178,Haver_M!$B$1:$BZ$300,MATCH(data!N$1,Haver_M!$B$1:$BZ$1,0),FALSE),"")</f>
        <v>8</v>
      </c>
      <c r="O178">
        <f>IF(ISNUMBER(VLOOKUP($A178,Haver_M!$B$1:$BZ$300,MATCH(data!O$1,Haver_M!$B$1:$BZ$1,0),FALSE)),VLOOKUP($A178,Haver_M!$B$1:$BZ$300,MATCH(data!O$1,Haver_M!$B$1:$BZ$1,0),FALSE),"")</f>
        <v>8.5269999999999992</v>
      </c>
      <c r="P178">
        <f>IF(ISNUMBER(VLOOKUP($A178,Haver_M!$B$1:$BZ$300,MATCH(data!P$1,Haver_M!$B$1:$BZ$1,0),FALSE)),VLOOKUP($A178,Haver_M!$B$1:$BZ$300,MATCH(data!P$1,Haver_M!$B$1:$BZ$1,0),FALSE),"")</f>
        <v>91.227779999999996</v>
      </c>
      <c r="Q178">
        <f>IF(ISNUMBER(VLOOKUP($A178,Haver_M!$B$1:$BZ$300,MATCH(data!Q$1,Haver_M!$B$1:$BZ$1,0),FALSE)),VLOOKUP($A178,Haver_M!$B$1:$BZ$300,MATCH(data!Q$1,Haver_M!$B$1:$BZ$1,0),FALSE),"")</f>
        <v>120.1</v>
      </c>
      <c r="R178">
        <f>IF(ISNUMBER(VLOOKUP($A178,Haver_M!$B$1:$BZ$300,MATCH(data!R$1,Haver_M!$B$1:$BZ$1,0),FALSE)),VLOOKUP($A178,Haver_M!$B$1:$BZ$300,MATCH(data!R$1,Haver_M!$B$1:$BZ$1,0),FALSE),"")</f>
        <v>116</v>
      </c>
      <c r="S178">
        <f>IF(ISNUMBER(VLOOKUP($A178,Haver_M!$B$1:$BZ$300,MATCH(data!S$1,Haver_M!$B$1:$BZ$1,0),FALSE)),VLOOKUP($A178,Haver_M!$B$1:$BZ$300,MATCH(data!S$1,Haver_M!$B$1:$BZ$1,0),FALSE),"")</f>
        <v>112.02</v>
      </c>
      <c r="T178">
        <f>IF(ISNUMBER(VLOOKUP($A178,Haver_M!$B$1:$BZ$300,MATCH(data!T$1,Haver_M!$B$1:$BZ$1,0),FALSE)),VLOOKUP($A178,Haver_M!$B$1:$BZ$300,MATCH(data!T$1,Haver_M!$B$1:$BZ$1,0),FALSE),"")</f>
        <v>107.4</v>
      </c>
      <c r="U178">
        <f>IF(ISNUMBER(VLOOKUP($A178,Haver_M!$B$1:$BZ$300,MATCH(data!U$1,Haver_M!$B$1:$BZ$1,0),FALSE)),VLOOKUP($A178,Haver_M!$B$1:$BZ$300,MATCH(data!U$1,Haver_M!$B$1:$BZ$1,0),FALSE),"")</f>
        <v>99.79</v>
      </c>
      <c r="V178">
        <f>IF(ISNUMBER(VLOOKUP($A178,Haver_M!$B$1:$BZ$300,MATCH(data!V$1,Haver_M!$B$1:$BZ$1,0),FALSE)),VLOOKUP($A178,Haver_M!$B$1:$BZ$300,MATCH(data!V$1,Haver_M!$B$1:$BZ$1,0),FALSE),"")</f>
        <v>117.29</v>
      </c>
      <c r="W178">
        <f>IF(ISNUMBER(VLOOKUP($A178,Haver_M!$B$1:$BZ$300,MATCH(data!W$1,Haver_M!$B$1:$BZ$1,0),FALSE)),VLOOKUP($A178,Haver_M!$B$1:$BZ$300,MATCH(data!W$1,Haver_M!$B$1:$BZ$1,0),FALSE),"")</f>
        <v>116.65</v>
      </c>
      <c r="X178">
        <f>IF(ISNUMBER(VLOOKUP($A178,Haver_M!$B$1:$BZ$300,MATCH(data!X$1,Haver_M!$B$1:$BZ$1,0),FALSE)),VLOOKUP($A178,Haver_M!$B$1:$BZ$300,MATCH(data!X$1,Haver_M!$B$1:$BZ$1,0),FALSE),"")</f>
        <v>119.37</v>
      </c>
      <c r="Y178">
        <f>IF(ISNUMBER(VLOOKUP($A178,Haver_M!$B$1:$BZ$300,MATCH(data!Y$1,Haver_M!$B$1:$BZ$1,0),FALSE)),VLOOKUP($A178,Haver_M!$B$1:$BZ$300,MATCH(data!Y$1,Haver_M!$B$1:$BZ$1,0),FALSE),"")</f>
        <v>114.1</v>
      </c>
      <c r="Z178">
        <f>IF(ISNUMBER(VLOOKUP($A178,Haver_M!$B$1:$BZ$300,MATCH(data!Z$1,Haver_M!$B$1:$BZ$1,0),FALSE)),VLOOKUP($A178,Haver_M!$B$1:$BZ$300,MATCH(data!Z$1,Haver_M!$B$1:$BZ$1,0),FALSE),"")</f>
        <v>112.7</v>
      </c>
      <c r="AA178">
        <f>IF(ISNUMBER(VLOOKUP($A178,Haver_M!$B$1:$BZ$300,MATCH(data!AA$1,Haver_M!$B$1:$BZ$1,0),FALSE)),VLOOKUP($A178,Haver_M!$B$1:$BZ$300,MATCH(data!AA$1,Haver_M!$B$1:$BZ$1,0),FALSE),"")</f>
        <v>118.032</v>
      </c>
      <c r="AB178">
        <f>IF(ISNUMBER(VLOOKUP($A178,Haver_M!$B$1:$BZ$300,MATCH(data!AB$1,Haver_M!$B$1:$BZ$1,0),FALSE)),VLOOKUP($A178,Haver_M!$B$1:$BZ$300,MATCH(data!AB$1,Haver_M!$B$1:$BZ$1,0),FALSE),"")</f>
        <v>98.218999999999994</v>
      </c>
      <c r="AC178">
        <f>IF(ISNUMBER(VLOOKUP($A178,Haver_M!$B$1:$BZ$300,MATCH(data!AC$1,Haver_M!$B$1:$BZ$1,0),FALSE)),VLOOKUP($A178,Haver_M!$B$1:$BZ$300,MATCH(data!AC$1,Haver_M!$B$1:$BZ$1,0),FALSE),"")</f>
        <v>70.018000000000001</v>
      </c>
      <c r="AD178">
        <f>IF(ISNUMBER(VLOOKUP($A178,Haver_M!$B$1:$BZ$300,MATCH(data!AD$1,Haver_M!$B$1:$BZ$1,0),FALSE)),VLOOKUP($A178,Haver_M!$B$1:$BZ$300,MATCH(data!AD$1,Haver_M!$B$1:$BZ$1,0),FALSE),"")</f>
        <v>112.938</v>
      </c>
      <c r="AE178">
        <f>IF(ISNUMBER(VLOOKUP($A178,Haver_M!$B$1:$BZ$300,MATCH(data!AE$1,Haver_M!$B$1:$BZ$1,0),FALSE)),VLOOKUP($A178,Haver_M!$B$1:$BZ$300,MATCH(data!AE$1,Haver_M!$B$1:$BZ$1,0),FALSE),"")</f>
        <v>94.215000000000003</v>
      </c>
      <c r="AF178">
        <f>IF(ISNUMBER(VLOOKUP($A178,Haver_M!$B$1:$BZ$300,MATCH(data!AF$1,Haver_M!$B$1:$BZ$1,0),FALSE)),VLOOKUP($A178,Haver_M!$B$1:$BZ$300,MATCH(data!AF$1,Haver_M!$B$1:$BZ$1,0),FALSE),"")</f>
        <v>121.541</v>
      </c>
      <c r="AG178">
        <f>IF(ISNUMBER(VLOOKUP($A178,Haver_M!$B$1:$BZ$300,MATCH(data!AG$1,Haver_M!$B$1:$BZ$1,0),FALSE)),VLOOKUP($A178,Haver_M!$B$1:$BZ$300,MATCH(data!AG$1,Haver_M!$B$1:$BZ$1,0),FALSE),"")</f>
        <v>121.95399999999999</v>
      </c>
      <c r="AH178">
        <f>IF(ISNUMBER(VLOOKUP($A178,Haver_M!$B$1:$BZ$300,MATCH(data!AH$1,Haver_M!$B$1:$BZ$1,0),FALSE)),VLOOKUP($A178,Haver_M!$B$1:$BZ$300,MATCH(data!AH$1,Haver_M!$B$1:$BZ$1,0),FALSE),"")</f>
        <v>125.11199999999999</v>
      </c>
      <c r="AI178">
        <f>IF(ISNUMBER(VLOOKUP($A178,Haver_M!$B$1:$BZ$300,MATCH(data!AI$1,Haver_M!$B$1:$BZ$1,0),FALSE)),VLOOKUP($A178,Haver_M!$B$1:$BZ$300,MATCH(data!AI$1,Haver_M!$B$1:$BZ$1,0),FALSE),"")</f>
        <v>13947.811119524515</v>
      </c>
      <c r="AJ178">
        <f>IF(ISNUMBER(VLOOKUP($A178,Haver_M!$B$1:$BZ$300,MATCH(data!AJ$1,Haver_M!$B$1:$BZ$1,0),FALSE)),VLOOKUP($A178,Haver_M!$B$1:$BZ$300,MATCH(data!AJ$1,Haver_M!$B$1:$BZ$1,0),FALSE),"")</f>
        <v>27837.84</v>
      </c>
      <c r="AK178">
        <f>IF(ISNUMBER(VLOOKUP($A178,Haver_M!$B$1:$BZ$300,MATCH(data!AK$1,Haver_M!$B$1:$BZ$1,0),FALSE)),VLOOKUP($A178,Haver_M!$B$1:$BZ$300,MATCH(data!AK$1,Haver_M!$B$1:$BZ$1,0),FALSE),"")</f>
        <v>43358.13</v>
      </c>
      <c r="AL178">
        <f>IF(ISNUMBER(VLOOKUP($A178,Haver_M!$B$1:$BZ$300,MATCH(data!AL$1,Haver_M!$B$1:$BZ$1,0),FALSE)),VLOOKUP($A178,Haver_M!$B$1:$BZ$300,MATCH(data!AL$1,Haver_M!$B$1:$BZ$1,0),FALSE),"")</f>
        <v>12940</v>
      </c>
      <c r="AM178">
        <f>IF(ISNUMBER(VLOOKUP($A178,Haver_M!$B$1:$BZ$300,MATCH(data!AM$1,Haver_M!$B$1:$BZ$1,0),FALSE)),VLOOKUP($A178,Haver_M!$B$1:$BZ$300,MATCH(data!AM$1,Haver_M!$B$1:$BZ$1,0),FALSE),"")</f>
        <v>6174</v>
      </c>
      <c r="AN178">
        <f>IF(ISNUMBER(VLOOKUP($A178,Haver_M!$B$1:$BZ$300,MATCH(data!AN$1,Haver_M!$B$1:$BZ$1,0),FALSE)),VLOOKUP($A178,Haver_M!$B$1:$BZ$300,MATCH(data!AN$1,Haver_M!$B$1:$BZ$1,0),FALSE),"")</f>
        <v>103.1</v>
      </c>
      <c r="AO178">
        <f>IF(ISNUMBER(VLOOKUP($A178,Haver_M!$B$1:$BZ$300,MATCH(data!AO$1,Haver_M!$B$1:$BZ$1,0),FALSE)),VLOOKUP($A178,Haver_M!$B$1:$BZ$300,MATCH(data!AO$1,Haver_M!$B$1:$BZ$1,0),FALSE),"")</f>
        <v>118.6</v>
      </c>
      <c r="AP178">
        <f>IF(ISNUMBER(VLOOKUP($A178,Haver_M!$B$1:$BZ$300,MATCH(data!AP$1,Haver_M!$B$1:$BZ$1,0),FALSE)),VLOOKUP($A178,Haver_M!$B$1:$BZ$300,MATCH(data!AP$1,Haver_M!$B$1:$BZ$1,0),FALSE),"")</f>
        <v>99.618295194559067</v>
      </c>
      <c r="AQ178">
        <f>IF(ISNUMBER(VLOOKUP($A178,Haver_M!$B$1:$BZ$300,MATCH(data!AQ$1,Haver_M!$B$1:$BZ$1,0),FALSE)),VLOOKUP($A178,Haver_M!$B$1:$BZ$300,MATCH(data!AQ$1,Haver_M!$B$1:$BZ$1,0),FALSE),"")</f>
        <v>51.7971</v>
      </c>
      <c r="AR178">
        <f>IF(ISNUMBER(VLOOKUP($A178,Haver_M!$B$1:$BZ$300,MATCH(data!AR$1,Haver_M!$B$1:$BZ$1,0),FALSE)),VLOOKUP($A178,Haver_M!$B$1:$BZ$300,MATCH(data!AR$1,Haver_M!$B$1:$BZ$1,0),FALSE),"")</f>
        <v>50.974800000000002</v>
      </c>
      <c r="AS178">
        <f>IF(ISNUMBER(VLOOKUP($A178,Haver_M!$B$1:$BZ$300,MATCH(data!AS$1,Haver_M!$B$1:$BZ$1,0),FALSE)),VLOOKUP($A178,Haver_M!$B$1:$BZ$300,MATCH(data!AS$1,Haver_M!$B$1:$BZ$1,0),FALSE),"")</f>
        <v>51.596600000000002</v>
      </c>
      <c r="AT178">
        <f>IF(ISNUMBER(VLOOKUP($A178,Haver_M!$B$1:$BZ$300,MATCH(data!AT$1,Haver_M!$B$1:$BZ$1,0),FALSE)),VLOOKUP($A178,Haver_M!$B$1:$BZ$300,MATCH(data!AT$1,Haver_M!$B$1:$BZ$1,0),FALSE),"")</f>
        <v>52.273200000000003</v>
      </c>
      <c r="AU178">
        <f>IF(ISNUMBER(VLOOKUP($A178,Haver_M!$B$1:$BZ$300,MATCH(data!AU$1,Haver_M!$B$1:$BZ$1,0),FALSE)),VLOOKUP($A178,Haver_M!$B$1:$BZ$300,MATCH(data!AU$1,Haver_M!$B$1:$BZ$1,0),FALSE),"")</f>
        <v>51.278300000000002</v>
      </c>
      <c r="AV178">
        <f>IF(ISNUMBER(VLOOKUP($A178,Haver_M!$B$1:$BZ$300,MATCH(data!AV$1,Haver_M!$B$1:$BZ$1,0),FALSE)),VLOOKUP($A178,Haver_M!$B$1:$BZ$300,MATCH(data!AV$1,Haver_M!$B$1:$BZ$1,0),FALSE),"")</f>
        <v>49.930399999999999</v>
      </c>
      <c r="AW178">
        <f>IF(ISNUMBER(VLOOKUP($A178,Haver_M!$B$1:$BZ$300,MATCH(data!AW$1,Haver_M!$B$1:$BZ$1,0),FALSE)),VLOOKUP($A178,Haver_M!$B$1:$BZ$300,MATCH(data!AW$1,Haver_M!$B$1:$BZ$1,0),FALSE),"")</f>
        <v>50.082099999999997</v>
      </c>
      <c r="AX178">
        <f>IF(ISNUMBER(VLOOKUP($A178,Haver_M!$B$1:$BZ$300,MATCH(data!AX$1,Haver_M!$B$1:$BZ$1,0),FALSE)),VLOOKUP($A178,Haver_M!$B$1:$BZ$300,MATCH(data!AX$1,Haver_M!$B$1:$BZ$1,0),FALSE),"")</f>
        <v>50.492100000000001</v>
      </c>
      <c r="AY178">
        <f>IF(ISNUMBER(VLOOKUP($A178,Haver_M!$B$1:$BZ$300,MATCH(data!AY$1,Haver_M!$B$1:$BZ$1,0),FALSE)),VLOOKUP($A178,Haver_M!$B$1:$BZ$300,MATCH(data!AY$1,Haver_M!$B$1:$BZ$1,0),FALSE),"")</f>
        <v>53.823500000000003</v>
      </c>
      <c r="AZ178">
        <f>IF(ISNUMBER(VLOOKUP($A178,Haver_M!$B$1:$BZ$300,MATCH(data!AZ$1,Haver_M!$B$1:$BZ$1,0),FALSE)),VLOOKUP($A178,Haver_M!$B$1:$BZ$300,MATCH(data!AZ$1,Haver_M!$B$1:$BZ$1,0),FALSE),"")</f>
        <v>52.718899999999998</v>
      </c>
      <c r="BA178">
        <f>IF(ISNUMBER(VLOOKUP($A178,Haver_M!$B$1:$BZ$300,MATCH(data!BA$1,Haver_M!$B$1:$BZ$1,0),FALSE)),VLOOKUP($A178,Haver_M!$B$1:$BZ$300,MATCH(data!BA$1,Haver_M!$B$1:$BZ$1,0),FALSE),"")</f>
        <v>50.492100000000001</v>
      </c>
      <c r="BB178">
        <f>IF(ISNUMBER(VLOOKUP($A178,Haver_M!$B$1:$BZ$300,MATCH(data!BB$1,Haver_M!$B$1:$BZ$1,0),FALSE)),VLOOKUP($A178,Haver_M!$B$1:$BZ$300,MATCH(data!BB$1,Haver_M!$B$1:$BZ$1,0),FALSE),"")</f>
        <v>54.699800000000003</v>
      </c>
      <c r="BC178">
        <f>IF(ISNUMBER(VLOOKUP($A178,Haver_M!$B$1:$BZ$300,MATCH(data!BC$1,Haver_M!$B$1:$BZ$1,0),FALSE)),VLOOKUP($A178,Haver_M!$B$1:$BZ$300,MATCH(data!BC$1,Haver_M!$B$1:$BZ$1,0),FALSE),"")</f>
        <v>50.119900000000001</v>
      </c>
      <c r="BD178">
        <f>IF(ISNUMBER(VLOOKUP($A178,Haver_M!$B$1:$BZ$300,MATCH(data!BD$1,Haver_M!$B$1:$BZ$1,0),FALSE)),VLOOKUP($A178,Haver_M!$B$1:$BZ$300,MATCH(data!BD$1,Haver_M!$B$1:$BZ$1,0),FALSE),"")</f>
        <v>52.661299999999997</v>
      </c>
      <c r="BE178">
        <f>IF(ISNUMBER(VLOOKUP($A178,Haver_M!$B$1:$BZ$300,MATCH(data!BE$1,Haver_M!$B$1:$BZ$1,0),FALSE)),VLOOKUP($A178,Haver_M!$B$1:$BZ$300,MATCH(data!BE$1,Haver_M!$B$1:$BZ$1,0),FALSE),"")</f>
        <v>1.0401</v>
      </c>
      <c r="BF178">
        <f>IF(ISNUMBER(VLOOKUP($A178,Haver_M!$B$1:$BZ$300,MATCH(data!BF$1,Haver_M!$B$1:$BZ$1,0),FALSE)),VLOOKUP($A178,Haver_M!$B$1:$BZ$300,MATCH(data!BF$1,Haver_M!$B$1:$BZ$1,0),FALSE),"")</f>
        <v>50.466999999999999</v>
      </c>
      <c r="BG178">
        <f>IF(ISNUMBER(VLOOKUP($A178,Haver_M!$B$1:$BZ$300,MATCH(data!BG$1,Haver_M!$B$1:$BZ$1,0),FALSE)),VLOOKUP($A178,Haver_M!$B$1:$BZ$300,MATCH(data!BG$1,Haver_M!$B$1:$BZ$1,0),FALSE),"")</f>
        <v>50.586599999999997</v>
      </c>
      <c r="BH178">
        <f>IF(ISNUMBER(VLOOKUP($A178,Haver_M!$B$1:$BZ$300,MATCH(data!BH$1,Haver_M!$B$1:$BZ$1,0),FALSE)),VLOOKUP($A178,Haver_M!$B$1:$BZ$300,MATCH(data!BH$1,Haver_M!$B$1:$BZ$1,0),FALSE),"")</f>
        <v>52.4452</v>
      </c>
      <c r="BI178">
        <f>IF(ISNUMBER(VLOOKUP($A178,Haver_M!$B$1:$BZ$300,MATCH(data!BI$1,Haver_M!$B$1:$BZ$1,0),FALSE)),VLOOKUP($A178,Haver_M!$B$1:$BZ$300,MATCH(data!BI$1,Haver_M!$B$1:$BZ$1,0),FALSE),"")</f>
        <v>50.977600000000002</v>
      </c>
      <c r="BJ178">
        <f>IF(ISNUMBER(VLOOKUP($A178,Haver_M!$B$1:$BZ$300,MATCH(data!BJ$1,Haver_M!$B$1:$BZ$1,0),FALSE)),VLOOKUP($A178,Haver_M!$B$1:$BZ$300,MATCH(data!BJ$1,Haver_M!$B$1:$BZ$1,0),FALSE),"")</f>
        <v>49.6995</v>
      </c>
      <c r="BK178">
        <f>IF(ISNUMBER(VLOOKUP($A178,Haver_M!$B$1:$BZ$300,MATCH(data!BK$1,Haver_M!$B$1:$BZ$1,0),FALSE)),VLOOKUP($A178,Haver_M!$B$1:$BZ$300,MATCH(data!BK$1,Haver_M!$B$1:$BZ$1,0),FALSE),"")</f>
        <v>50.012799999999999</v>
      </c>
      <c r="BL178">
        <f>IF(ISNUMBER(VLOOKUP($A178,Haver_M!$B$1:$BZ$300,MATCH(data!BL$1,Haver_M!$B$1:$BZ$1,0),FALSE)),VLOOKUP($A178,Haver_M!$B$1:$BZ$300,MATCH(data!BL$1,Haver_M!$B$1:$BZ$1,0),FALSE),"")</f>
        <v>26910.52</v>
      </c>
      <c r="BM178">
        <f>IF(ISNUMBER(VLOOKUP($A178,Haver_M!$B$1:$BZ$300,MATCH(data!BM$1,Haver_M!$B$1:$BZ$1,0),FALSE)),VLOOKUP($A178,Haver_M!$B$1:$BZ$300,MATCH(data!BM$1,Haver_M!$B$1:$BZ$1,0),FALSE),"")</f>
        <v>105.54156918</v>
      </c>
      <c r="BN178">
        <f>IF(ISNUMBER(VLOOKUP($A178,Haver_M!$B$1:$BZ$300,MATCH(data!BN$1,Haver_M!$B$1:$BZ$1,0),FALSE)),VLOOKUP($A178,Haver_M!$B$1:$BZ$300,MATCH(data!BN$1,Haver_M!$B$1:$BZ$1,0),FALSE),"")</f>
        <v>106.3</v>
      </c>
      <c r="BO178">
        <f>IF(ISNUMBER(VLOOKUP($A178,Haver_M!$B$1:$BZ$300,MATCH(data!BO$1,Haver_M!$B$1:$BZ$1,0),FALSE)),VLOOKUP($A178,Haver_M!$B$1:$BZ$300,MATCH(data!BO$1,Haver_M!$B$1:$BZ$1,0),FALSE),"")</f>
        <v>114.7</v>
      </c>
      <c r="BP178">
        <f>IF(ISNUMBER(VLOOKUP($A178,Haver_M!$B$1:$BZ$300,MATCH(data!BP$1,Haver_M!$B$1:$BZ$1,0),FALSE)),VLOOKUP($A178,Haver_M!$B$1:$BZ$300,MATCH(data!BP$1,Haver_M!$B$1:$BZ$1,0),FALSE),"")</f>
        <v>37</v>
      </c>
      <c r="BQ178">
        <f>IF(ISNUMBER(VLOOKUP($A178,Haver_M!$B$1:$BZ$300,MATCH(data!BQ$1,Haver_M!$B$1:$BZ$1,0),FALSE)),VLOOKUP($A178,Haver_M!$B$1:$BZ$300,MATCH(data!BQ$1,Haver_M!$B$1:$BZ$1,0),FALSE),"")</f>
        <v>174.68294534288233</v>
      </c>
      <c r="BR178">
        <f>IF(ISNUMBER(VLOOKUP($A178,Haver_M!$B$1:$BZ$300,MATCH(data!BR$1,Haver_M!$B$1:$BZ$1,0),FALSE)),VLOOKUP($A178,Haver_M!$B$1:$BZ$300,MATCH(data!BR$1,Haver_M!$B$1:$BZ$1,0),FALSE),"")</f>
        <v>411.90554818951483</v>
      </c>
      <c r="BS178">
        <f>IF(ISNUMBER(VLOOKUP($A178,Haver_M!$B$1:$BZ$300,MATCH(data!BS$1,Haver_M!$B$1:$BZ$1,0),FALSE)),VLOOKUP($A178,Haver_M!$B$1:$BZ$300,MATCH(data!BS$1,Haver_M!$B$1:$BZ$1,0),FALSE),"")</f>
        <v>217.32427063874252</v>
      </c>
      <c r="BT178">
        <f>IF(ISNUMBER(VLOOKUP($A178,Haver_M!$B$1:$BZ$300,MATCH(data!BT$1,Haver_M!$B$1:$BZ$1,0),FALSE)),VLOOKUP($A178,Haver_M!$B$1:$BZ$300,MATCH(data!BT$1,Haver_M!$B$1:$BZ$1,0),FALSE),"")</f>
        <v>922.34571978266627</v>
      </c>
      <c r="BU178">
        <f>IF(ISNUMBER(VLOOKUP($A178,Haver_M!$B$1:$BZ$300,MATCH(data!BU$1,Haver_M!$B$1:$BZ$1,0),FALSE)),VLOOKUP($A178,Haver_M!$B$1:$BZ$300,MATCH(data!BU$1,Haver_M!$B$1:$BZ$1,0),FALSE),"")</f>
        <v>28889.65</v>
      </c>
      <c r="BV178">
        <f>IF(ISNUMBER(VLOOKUP($A178,Haver_M!$B$1:$BZ$300,MATCH(data!BV$1,Haver_M!$B$1:$BZ$1,0),FALSE)),VLOOKUP($A178,Haver_M!$B$1:$BZ$300,MATCH(data!BV$1,Haver_M!$B$1:$BZ$1,0),FALSE),"")</f>
        <v>43341.75</v>
      </c>
      <c r="BW178">
        <f>IF(ISNUMBER(VLOOKUP($A178,Haver_M!$B$1:$BZ$300,MATCH(data!BW$1,Haver_M!$B$1:$BZ$1,0),FALSE)),VLOOKUP($A178,Haver_M!$B$1:$BZ$300,MATCH(data!BW$1,Haver_M!$B$1:$BZ$1,0),FALSE),"")</f>
        <v>60.864899999999999</v>
      </c>
      <c r="BX178">
        <f>IF(ISNUMBER(VLOOKUP($A178,Haver_M!$B$1:$BZ$300,MATCH(data!BX$1,Haver_M!$B$1:$BZ$1,0),FALSE)),VLOOKUP($A178,Haver_M!$B$1:$BZ$300,MATCH(data!BX$1,Haver_M!$B$1:$BZ$1,0),FALSE),"")</f>
        <v>53102</v>
      </c>
    </row>
    <row r="179" spans="1:76" x14ac:dyDescent="0.25">
      <c r="A179" s="2">
        <v>41943</v>
      </c>
      <c r="B179" t="str">
        <f>IF(ISNUMBER(VLOOKUP($A179,Haver_Q!$B$1:$L$185,MATCH(data!B$1,Haver_Q!$B$1:$L$1,0),FALSE)),100*(VLOOKUP($A179,Haver_Q!$B$1:$L$185,MATCH(data!B$1,Haver_Q!$B$1:$L$1,0),FALSE)),"")</f>
        <v/>
      </c>
      <c r="C179" t="str">
        <f>IF(ISNUMBER(VLOOKUP($A179,Haver_Q!$B$1:$L$185,MATCH(data!C$1,Haver_Q!$B$1:$L$1,0),FALSE)),100*(VLOOKUP($A179,Haver_Q!$B$1:$L$185,MATCH(data!C$1,Haver_Q!$B$1:$L$1,0),FALSE)),"")</f>
        <v/>
      </c>
      <c r="D179" t="str">
        <f>IF(ISNUMBER(VLOOKUP($A179,Haver_Q!$B$1:$L$185,MATCH(data!D$1,Haver_Q!$B$1:$L$1,0),FALSE)),100*(VLOOKUP($A179,Haver_Q!$B$1:$L$185,MATCH(data!D$1,Haver_Q!$B$1:$L$1,0),FALSE)),"")</f>
        <v/>
      </c>
      <c r="E179" t="str">
        <f>IF(ISNUMBER(VLOOKUP($A179,Haver_Q!$B$1:$L$185,MATCH(data!E$1,Haver_Q!$B$1:$L$1,0),FALSE)),100*(VLOOKUP($A179,Haver_Q!$B$1:$L$185,MATCH(data!E$1,Haver_Q!$B$1:$L$1,0),FALSE)),"")</f>
        <v/>
      </c>
      <c r="F179" t="str">
        <f>IF(ISNUMBER(VLOOKUP($A179,Haver_Q!$B$1:$L$185,MATCH(data!F$1,Haver_Q!$B$1:$L$1,0),FALSE)),100*(VLOOKUP($A179,Haver_Q!$B$1:$L$185,MATCH(data!F$1,Haver_Q!$B$1:$L$1,0),FALSE)),"")</f>
        <v/>
      </c>
      <c r="G179" t="str">
        <f>IF(ISNUMBER(VLOOKUP($A179,Haver_Q!$B$1:$L$185,MATCH(data!G$1,Haver_Q!$B$1:$L$1,0),FALSE)),100*(VLOOKUP($A179,Haver_Q!$B$1:$L$185,MATCH(data!G$1,Haver_Q!$B$1:$L$1,0),FALSE)),"")</f>
        <v/>
      </c>
      <c r="H179" t="str">
        <f>IF(ISNUMBER(VLOOKUP($A179,Haver_Q!$B$1:$L$185,MATCH(data!H$1,Haver_Q!$B$1:$L$1,0),FALSE)),(VLOOKUP($A179,Haver_Q!$B$1:$L$185,MATCH(data!H$1,Haver_Q!$B$1:$L$1,0),FALSE)),"")</f>
        <v/>
      </c>
      <c r="I179" t="str">
        <f>IF(ISNUMBER(VLOOKUP($A179,Haver_Q!$B$1:$L$185,MATCH(data!I$1,Haver_Q!$B$1:$L$1,0),FALSE)),100*(VLOOKUP($A179,Haver_Q!$B$1:$L$185,MATCH(data!I$1,Haver_Q!$B$1:$L$1,0),FALSE)),"")</f>
        <v/>
      </c>
      <c r="J179" s="3">
        <f>IF(ISNUMBER(Bloomberg_m!C195),Bloomberg_m!C195,"")</f>
        <v>1101</v>
      </c>
      <c r="K179" s="3">
        <f>IF(ISNUMBER(Bloomberg_m!D195),Bloomberg_m!D195,"")</f>
        <v>1730.61</v>
      </c>
      <c r="L179" s="3">
        <f>IF(ISNUMBER(Bloomberg_m!E195),Bloomberg_m!E195,"")</f>
        <v>988.26</v>
      </c>
      <c r="M179" s="3">
        <f>IF(ISNUMBER(Bloomberg_m!F195),Bloomberg_m!F195,"")</f>
        <v>531.16</v>
      </c>
      <c r="N179">
        <f>IF(ISNUMBER(VLOOKUP($A179,Haver_M!$B$1:$BZ$300,MATCH(data!N$1,Haver_M!$B$1:$BZ$1,0),FALSE)),VLOOKUP($A179,Haver_M!$B$1:$BZ$300,MATCH(data!N$1,Haver_M!$B$1:$BZ$1,0),FALSE),"")</f>
        <v>8</v>
      </c>
      <c r="O179">
        <f>IF(ISNUMBER(VLOOKUP($A179,Haver_M!$B$1:$BZ$300,MATCH(data!O$1,Haver_M!$B$1:$BZ$1,0),FALSE)),VLOOKUP($A179,Haver_M!$B$1:$BZ$300,MATCH(data!O$1,Haver_M!$B$1:$BZ$1,0),FALSE),"")</f>
        <v>8.2996999999999996</v>
      </c>
      <c r="P179">
        <f>IF(ISNUMBER(VLOOKUP($A179,Haver_M!$B$1:$BZ$300,MATCH(data!P$1,Haver_M!$B$1:$BZ$1,0),FALSE)),VLOOKUP($A179,Haver_M!$B$1:$BZ$300,MATCH(data!P$1,Haver_M!$B$1:$BZ$1,0),FALSE),"")</f>
        <v>91.477500000000006</v>
      </c>
      <c r="Q179">
        <f>IF(ISNUMBER(VLOOKUP($A179,Haver_M!$B$1:$BZ$300,MATCH(data!Q$1,Haver_M!$B$1:$BZ$1,0),FALSE)),VLOOKUP($A179,Haver_M!$B$1:$BZ$300,MATCH(data!Q$1,Haver_M!$B$1:$BZ$1,0),FALSE),"")</f>
        <v>120.1</v>
      </c>
      <c r="R179">
        <f>IF(ISNUMBER(VLOOKUP($A179,Haver_M!$B$1:$BZ$300,MATCH(data!R$1,Haver_M!$B$1:$BZ$1,0),FALSE)),VLOOKUP($A179,Haver_M!$B$1:$BZ$300,MATCH(data!R$1,Haver_M!$B$1:$BZ$1,0),FALSE),"")</f>
        <v>116.4</v>
      </c>
      <c r="S179">
        <f>IF(ISNUMBER(VLOOKUP($A179,Haver_M!$B$1:$BZ$300,MATCH(data!S$1,Haver_M!$B$1:$BZ$1,0),FALSE)),VLOOKUP($A179,Haver_M!$B$1:$BZ$300,MATCH(data!S$1,Haver_M!$B$1:$BZ$1,0),FALSE),"")</f>
        <v>107.4</v>
      </c>
      <c r="T179">
        <f>IF(ISNUMBER(VLOOKUP($A179,Haver_M!$B$1:$BZ$300,MATCH(data!T$1,Haver_M!$B$1:$BZ$1,0),FALSE)),VLOOKUP($A179,Haver_M!$B$1:$BZ$300,MATCH(data!T$1,Haver_M!$B$1:$BZ$1,0),FALSE),"")</f>
        <v>107.19</v>
      </c>
      <c r="U179">
        <f>IF(ISNUMBER(VLOOKUP($A179,Haver_M!$B$1:$BZ$300,MATCH(data!U$1,Haver_M!$B$1:$BZ$1,0),FALSE)),VLOOKUP($A179,Haver_M!$B$1:$BZ$300,MATCH(data!U$1,Haver_M!$B$1:$BZ$1,0),FALSE),"")</f>
        <v>85.53</v>
      </c>
      <c r="V179">
        <f>IF(ISNUMBER(VLOOKUP($A179,Haver_M!$B$1:$BZ$300,MATCH(data!V$1,Haver_M!$B$1:$BZ$1,0),FALSE)),VLOOKUP($A179,Haver_M!$B$1:$BZ$300,MATCH(data!V$1,Haver_M!$B$1:$BZ$1,0),FALSE),"")</f>
        <v>115.21</v>
      </c>
      <c r="W179">
        <f>IF(ISNUMBER(VLOOKUP($A179,Haver_M!$B$1:$BZ$300,MATCH(data!W$1,Haver_M!$B$1:$BZ$1,0),FALSE)),VLOOKUP($A179,Haver_M!$B$1:$BZ$300,MATCH(data!W$1,Haver_M!$B$1:$BZ$1,0),FALSE),"")</f>
        <v>118.64</v>
      </c>
      <c r="X179">
        <f>IF(ISNUMBER(VLOOKUP($A179,Haver_M!$B$1:$BZ$300,MATCH(data!X$1,Haver_M!$B$1:$BZ$1,0),FALSE)),VLOOKUP($A179,Haver_M!$B$1:$BZ$300,MATCH(data!X$1,Haver_M!$B$1:$BZ$1,0),FALSE),"")</f>
        <v>106.3</v>
      </c>
      <c r="Y179">
        <f>IF(ISNUMBER(VLOOKUP($A179,Haver_M!$B$1:$BZ$300,MATCH(data!Y$1,Haver_M!$B$1:$BZ$1,0),FALSE)),VLOOKUP($A179,Haver_M!$B$1:$BZ$300,MATCH(data!Y$1,Haver_M!$B$1:$BZ$1,0),FALSE),"")</f>
        <v>106.35</v>
      </c>
      <c r="Z179">
        <f>IF(ISNUMBER(VLOOKUP($A179,Haver_M!$B$1:$BZ$300,MATCH(data!Z$1,Haver_M!$B$1:$BZ$1,0),FALSE)),VLOOKUP($A179,Haver_M!$B$1:$BZ$300,MATCH(data!Z$1,Haver_M!$B$1:$BZ$1,0),FALSE),"")</f>
        <v>112.2</v>
      </c>
      <c r="AA179">
        <f>IF(ISNUMBER(VLOOKUP($A179,Haver_M!$B$1:$BZ$300,MATCH(data!AA$1,Haver_M!$B$1:$BZ$1,0),FALSE)),VLOOKUP($A179,Haver_M!$B$1:$BZ$300,MATCH(data!AA$1,Haver_M!$B$1:$BZ$1,0),FALSE),"")</f>
        <v>115.94</v>
      </c>
      <c r="AB179">
        <f>IF(ISNUMBER(VLOOKUP($A179,Haver_M!$B$1:$BZ$300,MATCH(data!AB$1,Haver_M!$B$1:$BZ$1,0),FALSE)),VLOOKUP($A179,Haver_M!$B$1:$BZ$300,MATCH(data!AB$1,Haver_M!$B$1:$BZ$1,0),FALSE),"")</f>
        <v>99.171000000000006</v>
      </c>
      <c r="AC179">
        <f>IF(ISNUMBER(VLOOKUP($A179,Haver_M!$B$1:$BZ$300,MATCH(data!AC$1,Haver_M!$B$1:$BZ$1,0),FALSE)),VLOOKUP($A179,Haver_M!$B$1:$BZ$300,MATCH(data!AC$1,Haver_M!$B$1:$BZ$1,0),FALSE),"")</f>
        <v>69.936999999999998</v>
      </c>
      <c r="AD179">
        <f>IF(ISNUMBER(VLOOKUP($A179,Haver_M!$B$1:$BZ$300,MATCH(data!AD$1,Haver_M!$B$1:$BZ$1,0),FALSE)),VLOOKUP($A179,Haver_M!$B$1:$BZ$300,MATCH(data!AD$1,Haver_M!$B$1:$BZ$1,0),FALSE),"")</f>
        <v>109.351</v>
      </c>
      <c r="AE179">
        <f>IF(ISNUMBER(VLOOKUP($A179,Haver_M!$B$1:$BZ$300,MATCH(data!AE$1,Haver_M!$B$1:$BZ$1,0),FALSE)),VLOOKUP($A179,Haver_M!$B$1:$BZ$300,MATCH(data!AE$1,Haver_M!$B$1:$BZ$1,0),FALSE),"")</f>
        <v>98.938000000000002</v>
      </c>
      <c r="AF179">
        <f>IF(ISNUMBER(VLOOKUP($A179,Haver_M!$B$1:$BZ$300,MATCH(data!AF$1,Haver_M!$B$1:$BZ$1,0),FALSE)),VLOOKUP($A179,Haver_M!$B$1:$BZ$300,MATCH(data!AF$1,Haver_M!$B$1:$BZ$1,0),FALSE),"")</f>
        <v>122.94499999999999</v>
      </c>
      <c r="AG179">
        <f>IF(ISNUMBER(VLOOKUP($A179,Haver_M!$B$1:$BZ$300,MATCH(data!AG$1,Haver_M!$B$1:$BZ$1,0),FALSE)),VLOOKUP($A179,Haver_M!$B$1:$BZ$300,MATCH(data!AG$1,Haver_M!$B$1:$BZ$1,0),FALSE),"")</f>
        <v>110.95699999999999</v>
      </c>
      <c r="AH179">
        <f>IF(ISNUMBER(VLOOKUP($A179,Haver_M!$B$1:$BZ$300,MATCH(data!AH$1,Haver_M!$B$1:$BZ$1,0),FALSE)),VLOOKUP($A179,Haver_M!$B$1:$BZ$300,MATCH(data!AH$1,Haver_M!$B$1:$BZ$1,0),FALSE),"")</f>
        <v>126.824</v>
      </c>
      <c r="AI179">
        <f>IF(ISNUMBER(VLOOKUP($A179,Haver_M!$B$1:$BZ$300,MATCH(data!AI$1,Haver_M!$B$1:$BZ$1,0),FALSE)),VLOOKUP($A179,Haver_M!$B$1:$BZ$300,MATCH(data!AI$1,Haver_M!$B$1:$BZ$1,0),FALSE),"")</f>
        <v>12974.238861938142</v>
      </c>
      <c r="AJ179">
        <f>IF(ISNUMBER(VLOOKUP($A179,Haver_M!$B$1:$BZ$300,MATCH(data!AJ$1,Haver_M!$B$1:$BZ$1,0),FALSE)),VLOOKUP($A179,Haver_M!$B$1:$BZ$300,MATCH(data!AJ$1,Haver_M!$B$1:$BZ$1,0),FALSE),"")</f>
        <v>26070.39</v>
      </c>
      <c r="AK179">
        <f>IF(ISNUMBER(VLOOKUP($A179,Haver_M!$B$1:$BZ$300,MATCH(data!AK$1,Haver_M!$B$1:$BZ$1,0),FALSE)),VLOOKUP($A179,Haver_M!$B$1:$BZ$300,MATCH(data!AK$1,Haver_M!$B$1:$BZ$1,0),FALSE),"")</f>
        <v>38023.519999999997</v>
      </c>
      <c r="AL179">
        <f>IF(ISNUMBER(VLOOKUP($A179,Haver_M!$B$1:$BZ$300,MATCH(data!AL$1,Haver_M!$B$1:$BZ$1,0),FALSE)),VLOOKUP($A179,Haver_M!$B$1:$BZ$300,MATCH(data!AL$1,Haver_M!$B$1:$BZ$1,0),FALSE),"")</f>
        <v>12146</v>
      </c>
      <c r="AM179">
        <f>IF(ISNUMBER(VLOOKUP($A179,Haver_M!$B$1:$BZ$300,MATCH(data!AM$1,Haver_M!$B$1:$BZ$1,0),FALSE)),VLOOKUP($A179,Haver_M!$B$1:$BZ$300,MATCH(data!AM$1,Haver_M!$B$1:$BZ$1,0),FALSE),"")</f>
        <v>5942</v>
      </c>
      <c r="AN179" t="str">
        <f>IF(ISNUMBER(VLOOKUP($A179,Haver_M!$B$1:$BZ$300,MATCH(data!AN$1,Haver_M!$B$1:$BZ$1,0),FALSE)),VLOOKUP($A179,Haver_M!$B$1:$BZ$300,MATCH(data!AN$1,Haver_M!$B$1:$BZ$1,0),FALSE),"")</f>
        <v/>
      </c>
      <c r="AO179" t="str">
        <f>IF(ISNUMBER(VLOOKUP($A179,Haver_M!$B$1:$BZ$300,MATCH(data!AO$1,Haver_M!$B$1:$BZ$1,0),FALSE)),VLOOKUP($A179,Haver_M!$B$1:$BZ$300,MATCH(data!AO$1,Haver_M!$B$1:$BZ$1,0),FALSE),"")</f>
        <v/>
      </c>
      <c r="AP179">
        <f>IF(ISNUMBER(VLOOKUP($A179,Haver_M!$B$1:$BZ$300,MATCH(data!AP$1,Haver_M!$B$1:$BZ$1,0),FALSE)),VLOOKUP($A179,Haver_M!$B$1:$BZ$300,MATCH(data!AP$1,Haver_M!$B$1:$BZ$1,0),FALSE),"")</f>
        <v>105.25230995786271</v>
      </c>
      <c r="AQ179">
        <f>IF(ISNUMBER(VLOOKUP($A179,Haver_M!$B$1:$BZ$300,MATCH(data!AQ$1,Haver_M!$B$1:$BZ$1,0),FALSE)),VLOOKUP($A179,Haver_M!$B$1:$BZ$300,MATCH(data!AQ$1,Haver_M!$B$1:$BZ$1,0),FALSE),"")</f>
        <v>50.963900000000002</v>
      </c>
      <c r="AR179">
        <f>IF(ISNUMBER(VLOOKUP($A179,Haver_M!$B$1:$BZ$300,MATCH(data!AR$1,Haver_M!$B$1:$BZ$1,0),FALSE)),VLOOKUP($A179,Haver_M!$B$1:$BZ$300,MATCH(data!AR$1,Haver_M!$B$1:$BZ$1,0),FALSE),"")</f>
        <v>51.610300000000002</v>
      </c>
      <c r="AS179">
        <f>IF(ISNUMBER(VLOOKUP($A179,Haver_M!$B$1:$BZ$300,MATCH(data!AS$1,Haver_M!$B$1:$BZ$1,0),FALSE)),VLOOKUP($A179,Haver_M!$B$1:$BZ$300,MATCH(data!AS$1,Haver_M!$B$1:$BZ$1,0),FALSE),"")</f>
        <v>49.979500000000002</v>
      </c>
      <c r="AT179">
        <f>IF(ISNUMBER(VLOOKUP($A179,Haver_M!$B$1:$BZ$300,MATCH(data!AT$1,Haver_M!$B$1:$BZ$1,0),FALSE)),VLOOKUP($A179,Haver_M!$B$1:$BZ$300,MATCH(data!AT$1,Haver_M!$B$1:$BZ$1,0),FALSE),"")</f>
        <v>53.301600000000001</v>
      </c>
      <c r="AU179">
        <f>IF(ISNUMBER(VLOOKUP($A179,Haver_M!$B$1:$BZ$300,MATCH(data!AU$1,Haver_M!$B$1:$BZ$1,0),FALSE)),VLOOKUP($A179,Haver_M!$B$1:$BZ$300,MATCH(data!AU$1,Haver_M!$B$1:$BZ$1,0),FALSE),"")</f>
        <v>53.023899999999998</v>
      </c>
      <c r="AV179">
        <f>IF(ISNUMBER(VLOOKUP($A179,Haver_M!$B$1:$BZ$300,MATCH(data!AV$1,Haver_M!$B$1:$BZ$1,0),FALSE)),VLOOKUP($A179,Haver_M!$B$1:$BZ$300,MATCH(data!AV$1,Haver_M!$B$1:$BZ$1,0),FALSE),"")</f>
        <v>50.090499999999999</v>
      </c>
      <c r="AW179">
        <f>IF(ISNUMBER(VLOOKUP($A179,Haver_M!$B$1:$BZ$300,MATCH(data!AW$1,Haver_M!$B$1:$BZ$1,0),FALSE)),VLOOKUP($A179,Haver_M!$B$1:$BZ$300,MATCH(data!AW$1,Haver_M!$B$1:$BZ$1,0),FALSE),"")</f>
        <v>51.360599999999998</v>
      </c>
      <c r="AX179">
        <f>IF(ISNUMBER(VLOOKUP($A179,Haver_M!$B$1:$BZ$300,MATCH(data!AX$1,Haver_M!$B$1:$BZ$1,0),FALSE)),VLOOKUP($A179,Haver_M!$B$1:$BZ$300,MATCH(data!AX$1,Haver_M!$B$1:$BZ$1,0),FALSE),"")</f>
        <v>50.636699999999998</v>
      </c>
      <c r="AY179">
        <f>IF(ISNUMBER(VLOOKUP($A179,Haver_M!$B$1:$BZ$300,MATCH(data!AY$1,Haver_M!$B$1:$BZ$1,0),FALSE)),VLOOKUP($A179,Haver_M!$B$1:$BZ$300,MATCH(data!AY$1,Haver_M!$B$1:$BZ$1,0),FALSE),"")</f>
        <v>51.756799999999998</v>
      </c>
      <c r="AZ179">
        <f>IF(ISNUMBER(VLOOKUP($A179,Haver_M!$B$1:$BZ$300,MATCH(data!AZ$1,Haver_M!$B$1:$BZ$1,0),FALSE)),VLOOKUP($A179,Haver_M!$B$1:$BZ$300,MATCH(data!AZ$1,Haver_M!$B$1:$BZ$1,0),FALSE),"")</f>
        <v>51.830399999999997</v>
      </c>
      <c r="BA179">
        <f>IF(ISNUMBER(VLOOKUP($A179,Haver_M!$B$1:$BZ$300,MATCH(data!BA$1,Haver_M!$B$1:$BZ$1,0),FALSE)),VLOOKUP($A179,Haver_M!$B$1:$BZ$300,MATCH(data!BA$1,Haver_M!$B$1:$BZ$1,0),FALSE),"")</f>
        <v>50.636699999999998</v>
      </c>
      <c r="BB179">
        <f>IF(ISNUMBER(VLOOKUP($A179,Haver_M!$B$1:$BZ$300,MATCH(data!BB$1,Haver_M!$B$1:$BZ$1,0),FALSE)),VLOOKUP($A179,Haver_M!$B$1:$BZ$300,MATCH(data!BB$1,Haver_M!$B$1:$BZ$1,0),FALSE),"")</f>
        <v>55.290599999999998</v>
      </c>
      <c r="BC179">
        <f>IF(ISNUMBER(VLOOKUP($A179,Haver_M!$B$1:$BZ$300,MATCH(data!BC$1,Haver_M!$B$1:$BZ$1,0),FALSE)),VLOOKUP($A179,Haver_M!$B$1:$BZ$300,MATCH(data!BC$1,Haver_M!$B$1:$BZ$1,0),FALSE),"")</f>
        <v>50.496200000000002</v>
      </c>
      <c r="BD179">
        <f>IF(ISNUMBER(VLOOKUP($A179,Haver_M!$B$1:$BZ$300,MATCH(data!BD$1,Haver_M!$B$1:$BZ$1,0),FALSE)),VLOOKUP($A179,Haver_M!$B$1:$BZ$300,MATCH(data!BD$1,Haver_M!$B$1:$BZ$1,0),FALSE),"")</f>
        <v>51.820300000000003</v>
      </c>
      <c r="BE179">
        <f>IF(ISNUMBER(VLOOKUP($A179,Haver_M!$B$1:$BZ$300,MATCH(data!BE$1,Haver_M!$B$1:$BZ$1,0),FALSE)),VLOOKUP($A179,Haver_M!$B$1:$BZ$300,MATCH(data!BE$1,Haver_M!$B$1:$BZ$1,0),FALSE),"")</f>
        <v>1.0549999999999999</v>
      </c>
      <c r="BF179">
        <f>IF(ISNUMBER(VLOOKUP($A179,Haver_M!$B$1:$BZ$300,MATCH(data!BF$1,Haver_M!$B$1:$BZ$1,0),FALSE)),VLOOKUP($A179,Haver_M!$B$1:$BZ$300,MATCH(data!BF$1,Haver_M!$B$1:$BZ$1,0),FALSE),"")</f>
        <v>50.245600000000003</v>
      </c>
      <c r="BG179">
        <f>IF(ISNUMBER(VLOOKUP($A179,Haver_M!$B$1:$BZ$300,MATCH(data!BG$1,Haver_M!$B$1:$BZ$1,0),FALSE)),VLOOKUP($A179,Haver_M!$B$1:$BZ$300,MATCH(data!BG$1,Haver_M!$B$1:$BZ$1,0),FALSE),"")</f>
        <v>50.679200000000002</v>
      </c>
      <c r="BH179">
        <f>IF(ISNUMBER(VLOOKUP($A179,Haver_M!$B$1:$BZ$300,MATCH(data!BH$1,Haver_M!$B$1:$BZ$1,0),FALSE)),VLOOKUP($A179,Haver_M!$B$1:$BZ$300,MATCH(data!BH$1,Haver_M!$B$1:$BZ$1,0),FALSE),"")</f>
        <v>51.584000000000003</v>
      </c>
      <c r="BI179">
        <f>IF(ISNUMBER(VLOOKUP($A179,Haver_M!$B$1:$BZ$300,MATCH(data!BI$1,Haver_M!$B$1:$BZ$1,0),FALSE)),VLOOKUP($A179,Haver_M!$B$1:$BZ$300,MATCH(data!BI$1,Haver_M!$B$1:$BZ$1,0),FALSE),"")</f>
        <v>51.037100000000002</v>
      </c>
      <c r="BJ179">
        <f>IF(ISNUMBER(VLOOKUP($A179,Haver_M!$B$1:$BZ$300,MATCH(data!BJ$1,Haver_M!$B$1:$BZ$1,0),FALSE)),VLOOKUP($A179,Haver_M!$B$1:$BZ$300,MATCH(data!BJ$1,Haver_M!$B$1:$BZ$1,0),FALSE),"")</f>
        <v>49.257300000000001</v>
      </c>
      <c r="BK179">
        <f>IF(ISNUMBER(VLOOKUP($A179,Haver_M!$B$1:$BZ$300,MATCH(data!BK$1,Haver_M!$B$1:$BZ$1,0),FALSE)),VLOOKUP($A179,Haver_M!$B$1:$BZ$300,MATCH(data!BK$1,Haver_M!$B$1:$BZ$1,0),FALSE),"")</f>
        <v>52.4833</v>
      </c>
      <c r="BL179">
        <f>IF(ISNUMBER(VLOOKUP($A179,Haver_M!$B$1:$BZ$300,MATCH(data!BL$1,Haver_M!$B$1:$BZ$1,0),FALSE)),VLOOKUP($A179,Haver_M!$B$1:$BZ$300,MATCH(data!BL$1,Haver_M!$B$1:$BZ$1,0),FALSE),"")</f>
        <v>26636.14</v>
      </c>
      <c r="BM179">
        <f>IF(ISNUMBER(VLOOKUP($A179,Haver_M!$B$1:$BZ$300,MATCH(data!BM$1,Haver_M!$B$1:$BZ$1,0),FALSE)),VLOOKUP($A179,Haver_M!$B$1:$BZ$300,MATCH(data!BM$1,Haver_M!$B$1:$BZ$1,0),FALSE),"")</f>
        <v>104.42257995</v>
      </c>
      <c r="BN179" t="str">
        <f>IF(ISNUMBER(VLOOKUP($A179,Haver_M!$B$1:$BZ$300,MATCH(data!BN$1,Haver_M!$B$1:$BZ$1,0),FALSE)),VLOOKUP($A179,Haver_M!$B$1:$BZ$300,MATCH(data!BN$1,Haver_M!$B$1:$BZ$1,0),FALSE),"")</f>
        <v/>
      </c>
      <c r="BO179" t="str">
        <f>IF(ISNUMBER(VLOOKUP($A179,Haver_M!$B$1:$BZ$300,MATCH(data!BO$1,Haver_M!$B$1:$BZ$1,0),FALSE)),VLOOKUP($A179,Haver_M!$B$1:$BZ$300,MATCH(data!BO$1,Haver_M!$B$1:$BZ$1,0),FALSE),"")</f>
        <v/>
      </c>
      <c r="BP179" t="str">
        <f>IF(ISNUMBER(VLOOKUP($A179,Haver_M!$B$1:$BZ$300,MATCH(data!BP$1,Haver_M!$B$1:$BZ$1,0),FALSE)),VLOOKUP($A179,Haver_M!$B$1:$BZ$300,MATCH(data!BP$1,Haver_M!$B$1:$BZ$1,0),FALSE),"")</f>
        <v/>
      </c>
      <c r="BQ179">
        <f>IF(ISNUMBER(VLOOKUP($A179,Haver_M!$B$1:$BZ$300,MATCH(data!BQ$1,Haver_M!$B$1:$BZ$1,0),FALSE)),VLOOKUP($A179,Haver_M!$B$1:$BZ$300,MATCH(data!BQ$1,Haver_M!$B$1:$BZ$1,0),FALSE),"")</f>
        <v>179.22483779465946</v>
      </c>
      <c r="BR179">
        <f>IF(ISNUMBER(VLOOKUP($A179,Haver_M!$B$1:$BZ$300,MATCH(data!BR$1,Haver_M!$B$1:$BZ$1,0),FALSE)),VLOOKUP($A179,Haver_M!$B$1:$BZ$300,MATCH(data!BR$1,Haver_M!$B$1:$BZ$1,0),FALSE),"")</f>
        <v>413.22747872583221</v>
      </c>
      <c r="BS179">
        <f>IF(ISNUMBER(VLOOKUP($A179,Haver_M!$B$1:$BZ$300,MATCH(data!BS$1,Haver_M!$B$1:$BZ$1,0),FALSE)),VLOOKUP($A179,Haver_M!$B$1:$BZ$300,MATCH(data!BS$1,Haver_M!$B$1:$BZ$1,0),FALSE),"")</f>
        <v>221.27661308728113</v>
      </c>
      <c r="BT179">
        <f>IF(ISNUMBER(VLOOKUP($A179,Haver_M!$B$1:$BZ$300,MATCH(data!BT$1,Haver_M!$B$1:$BZ$1,0),FALSE)),VLOOKUP($A179,Haver_M!$B$1:$BZ$300,MATCH(data!BT$1,Haver_M!$B$1:$BZ$1,0),FALSE),"")</f>
        <v>934.51273189657979</v>
      </c>
      <c r="BU179">
        <f>IF(ISNUMBER(VLOOKUP($A179,Haver_M!$B$1:$BZ$300,MATCH(data!BU$1,Haver_M!$B$1:$BZ$1,0),FALSE)),VLOOKUP($A179,Haver_M!$B$1:$BZ$300,MATCH(data!BU$1,Haver_M!$B$1:$BZ$1,0),FALSE),"")</f>
        <v>25914.720000000001</v>
      </c>
      <c r="BV179">
        <f>IF(ISNUMBER(VLOOKUP($A179,Haver_M!$B$1:$BZ$300,MATCH(data!BV$1,Haver_M!$B$1:$BZ$1,0),FALSE)),VLOOKUP($A179,Haver_M!$B$1:$BZ$300,MATCH(data!BV$1,Haver_M!$B$1:$BZ$1,0),FALSE),"")</f>
        <v>39468.76</v>
      </c>
      <c r="BW179">
        <f>IF(ISNUMBER(VLOOKUP($A179,Haver_M!$B$1:$BZ$300,MATCH(data!BW$1,Haver_M!$B$1:$BZ$1,0),FALSE)),VLOOKUP($A179,Haver_M!$B$1:$BZ$300,MATCH(data!BW$1,Haver_M!$B$1:$BZ$1,0),FALSE),"")</f>
        <v>61.341999999999999</v>
      </c>
      <c r="BX179">
        <f>IF(ISNUMBER(VLOOKUP($A179,Haver_M!$B$1:$BZ$300,MATCH(data!BX$1,Haver_M!$B$1:$BZ$1,0),FALSE)),VLOOKUP($A179,Haver_M!$B$1:$BZ$300,MATCH(data!BX$1,Haver_M!$B$1:$BZ$1,0),FALSE),"")</f>
        <v>58576</v>
      </c>
    </row>
    <row r="180" spans="1:76" x14ac:dyDescent="0.25">
      <c r="A180" s="2">
        <v>41973</v>
      </c>
      <c r="B180" t="str">
        <f>IF(ISNUMBER(VLOOKUP($A180,Haver_Q!$B$1:$L$185,MATCH(data!B$1,Haver_Q!$B$1:$L$1,0),FALSE)),100*(VLOOKUP($A180,Haver_Q!$B$1:$L$185,MATCH(data!B$1,Haver_Q!$B$1:$L$1,0),FALSE)),"")</f>
        <v/>
      </c>
      <c r="C180" t="str">
        <f>IF(ISNUMBER(VLOOKUP($A180,Haver_Q!$B$1:$L$185,MATCH(data!C$1,Haver_Q!$B$1:$L$1,0),FALSE)),100*(VLOOKUP($A180,Haver_Q!$B$1:$L$185,MATCH(data!C$1,Haver_Q!$B$1:$L$1,0),FALSE)),"")</f>
        <v/>
      </c>
      <c r="D180" t="str">
        <f>IF(ISNUMBER(VLOOKUP($A180,Haver_Q!$B$1:$L$185,MATCH(data!D$1,Haver_Q!$B$1:$L$1,0),FALSE)),100*(VLOOKUP($A180,Haver_Q!$B$1:$L$185,MATCH(data!D$1,Haver_Q!$B$1:$L$1,0),FALSE)),"")</f>
        <v/>
      </c>
      <c r="E180" t="str">
        <f>IF(ISNUMBER(VLOOKUP($A180,Haver_Q!$B$1:$L$185,MATCH(data!E$1,Haver_Q!$B$1:$L$1,0),FALSE)),100*(VLOOKUP($A180,Haver_Q!$B$1:$L$185,MATCH(data!E$1,Haver_Q!$B$1:$L$1,0),FALSE)),"")</f>
        <v/>
      </c>
      <c r="F180" t="str">
        <f>IF(ISNUMBER(VLOOKUP($A180,Haver_Q!$B$1:$L$185,MATCH(data!F$1,Haver_Q!$B$1:$L$1,0),FALSE)),100*(VLOOKUP($A180,Haver_Q!$B$1:$L$185,MATCH(data!F$1,Haver_Q!$B$1:$L$1,0),FALSE)),"")</f>
        <v/>
      </c>
      <c r="G180" t="str">
        <f>IF(ISNUMBER(VLOOKUP($A180,Haver_Q!$B$1:$L$185,MATCH(data!G$1,Haver_Q!$B$1:$L$1,0),FALSE)),100*(VLOOKUP($A180,Haver_Q!$B$1:$L$185,MATCH(data!G$1,Haver_Q!$B$1:$L$1,0),FALSE)),"")</f>
        <v/>
      </c>
      <c r="H180" t="str">
        <f>IF(ISNUMBER(VLOOKUP($A180,Haver_Q!$B$1:$L$185,MATCH(data!H$1,Haver_Q!$B$1:$L$1,0),FALSE)),(VLOOKUP($A180,Haver_Q!$B$1:$L$185,MATCH(data!H$1,Haver_Q!$B$1:$L$1,0),FALSE)),"")</f>
        <v/>
      </c>
      <c r="I180" t="str">
        <f>IF(ISNUMBER(VLOOKUP($A180,Haver_Q!$B$1:$L$185,MATCH(data!I$1,Haver_Q!$B$1:$L$1,0),FALSE)),100*(VLOOKUP($A180,Haver_Q!$B$1:$L$185,MATCH(data!I$1,Haver_Q!$B$1:$L$1,0),FALSE)),"")</f>
        <v/>
      </c>
      <c r="J180" s="3">
        <f>IF(ISNUMBER(Bloomberg_m!C196),Bloomberg_m!C196,"")</f>
        <v>1332</v>
      </c>
      <c r="K180" s="3">
        <f>IF(ISNUMBER(Bloomberg_m!D196),Bloomberg_m!D196,"")</f>
        <v>1963.29</v>
      </c>
      <c r="L180" s="3">
        <f>IF(ISNUMBER(Bloomberg_m!E196),Bloomberg_m!E196,"")</f>
        <v>1018.88</v>
      </c>
      <c r="M180" s="3">
        <f>IF(ISNUMBER(Bloomberg_m!F196),Bloomberg_m!F196,"")</f>
        <v>537.79999999999995</v>
      </c>
      <c r="N180">
        <f>IF(ISNUMBER(VLOOKUP($A180,Haver_M!$B$1:$BZ$300,MATCH(data!N$1,Haver_M!$B$1:$BZ$1,0),FALSE)),VLOOKUP($A180,Haver_M!$B$1:$BZ$300,MATCH(data!N$1,Haver_M!$B$1:$BZ$1,0),FALSE),"")</f>
        <v>8</v>
      </c>
      <c r="O180">
        <f>IF(ISNUMBER(VLOOKUP($A180,Haver_M!$B$1:$BZ$300,MATCH(data!O$1,Haver_M!$B$1:$BZ$1,0),FALSE)),VLOOKUP($A180,Haver_M!$B$1:$BZ$300,MATCH(data!O$1,Haver_M!$B$1:$BZ$1,0),FALSE),"")</f>
        <v>8.1234000000000002</v>
      </c>
      <c r="P180">
        <f>IF(ISNUMBER(VLOOKUP($A180,Haver_M!$B$1:$BZ$300,MATCH(data!P$1,Haver_M!$B$1:$BZ$1,0),FALSE)),VLOOKUP($A180,Haver_M!$B$1:$BZ$300,MATCH(data!P$1,Haver_M!$B$1:$BZ$1,0),FALSE),"")</f>
        <v>91.751609999999999</v>
      </c>
      <c r="Q180">
        <f>IF(ISNUMBER(VLOOKUP($A180,Haver_M!$B$1:$BZ$300,MATCH(data!Q$1,Haver_M!$B$1:$BZ$1,0),FALSE)),VLOOKUP($A180,Haver_M!$B$1:$BZ$300,MATCH(data!Q$1,Haver_M!$B$1:$BZ$1,0),FALSE),"")</f>
        <v>120.1</v>
      </c>
      <c r="R180">
        <f>IF(ISNUMBER(VLOOKUP($A180,Haver_M!$B$1:$BZ$300,MATCH(data!R$1,Haver_M!$B$1:$BZ$1,0),FALSE)),VLOOKUP($A180,Haver_M!$B$1:$BZ$300,MATCH(data!R$1,Haver_M!$B$1:$BZ$1,0),FALSE),"")</f>
        <v>116.8</v>
      </c>
      <c r="S180">
        <f>IF(ISNUMBER(VLOOKUP($A180,Haver_M!$B$1:$BZ$300,MATCH(data!S$1,Haver_M!$B$1:$BZ$1,0),FALSE)),VLOOKUP($A180,Haver_M!$B$1:$BZ$300,MATCH(data!S$1,Haver_M!$B$1:$BZ$1,0),FALSE),"")</f>
        <v>113.43</v>
      </c>
      <c r="T180">
        <f>IF(ISNUMBER(VLOOKUP($A180,Haver_M!$B$1:$BZ$300,MATCH(data!T$1,Haver_M!$B$1:$BZ$1,0),FALSE)),VLOOKUP($A180,Haver_M!$B$1:$BZ$300,MATCH(data!T$1,Haver_M!$B$1:$BZ$1,0),FALSE),"")</f>
        <v>108.56</v>
      </c>
      <c r="U180">
        <f>IF(ISNUMBER(VLOOKUP($A180,Haver_M!$B$1:$BZ$300,MATCH(data!U$1,Haver_M!$B$1:$BZ$1,0),FALSE)),VLOOKUP($A180,Haver_M!$B$1:$BZ$300,MATCH(data!U$1,Haver_M!$B$1:$BZ$1,0),FALSE),"")</f>
        <v>93.33</v>
      </c>
      <c r="V180">
        <f>IF(ISNUMBER(VLOOKUP($A180,Haver_M!$B$1:$BZ$300,MATCH(data!V$1,Haver_M!$B$1:$BZ$1,0),FALSE)),VLOOKUP($A180,Haver_M!$B$1:$BZ$300,MATCH(data!V$1,Haver_M!$B$1:$BZ$1,0),FALSE),"")</f>
        <v>117.62</v>
      </c>
      <c r="W180">
        <f>IF(ISNUMBER(VLOOKUP($A180,Haver_M!$B$1:$BZ$300,MATCH(data!W$1,Haver_M!$B$1:$BZ$1,0),FALSE)),VLOOKUP($A180,Haver_M!$B$1:$BZ$300,MATCH(data!W$1,Haver_M!$B$1:$BZ$1,0),FALSE),"")</f>
        <v>123.57</v>
      </c>
      <c r="X180">
        <f>IF(ISNUMBER(VLOOKUP($A180,Haver_M!$B$1:$BZ$300,MATCH(data!X$1,Haver_M!$B$1:$BZ$1,0),FALSE)),VLOOKUP($A180,Haver_M!$B$1:$BZ$300,MATCH(data!X$1,Haver_M!$B$1:$BZ$1,0),FALSE),"")</f>
        <v>118.85</v>
      </c>
      <c r="Y180">
        <f>IF(ISNUMBER(VLOOKUP($A180,Haver_M!$B$1:$BZ$300,MATCH(data!Y$1,Haver_M!$B$1:$BZ$1,0),FALSE)),VLOOKUP($A180,Haver_M!$B$1:$BZ$300,MATCH(data!Y$1,Haver_M!$B$1:$BZ$1,0),FALSE),"")</f>
        <v>112.62</v>
      </c>
      <c r="Z180">
        <f>IF(ISNUMBER(VLOOKUP($A180,Haver_M!$B$1:$BZ$300,MATCH(data!Z$1,Haver_M!$B$1:$BZ$1,0),FALSE)),VLOOKUP($A180,Haver_M!$B$1:$BZ$300,MATCH(data!Z$1,Haver_M!$B$1:$BZ$1,0),FALSE),"")</f>
        <v>114.9</v>
      </c>
      <c r="AA180">
        <f>IF(ISNUMBER(VLOOKUP($A180,Haver_M!$B$1:$BZ$300,MATCH(data!AA$1,Haver_M!$B$1:$BZ$1,0),FALSE)),VLOOKUP($A180,Haver_M!$B$1:$BZ$300,MATCH(data!AA$1,Haver_M!$B$1:$BZ$1,0),FALSE),"")</f>
        <v>115.74</v>
      </c>
      <c r="AB180">
        <f>IF(ISNUMBER(VLOOKUP($A180,Haver_M!$B$1:$BZ$300,MATCH(data!AB$1,Haver_M!$B$1:$BZ$1,0),FALSE)),VLOOKUP($A180,Haver_M!$B$1:$BZ$300,MATCH(data!AB$1,Haver_M!$B$1:$BZ$1,0),FALSE),"")</f>
        <v>100.47</v>
      </c>
      <c r="AC180">
        <f>IF(ISNUMBER(VLOOKUP($A180,Haver_M!$B$1:$BZ$300,MATCH(data!AC$1,Haver_M!$B$1:$BZ$1,0),FALSE)),VLOOKUP($A180,Haver_M!$B$1:$BZ$300,MATCH(data!AC$1,Haver_M!$B$1:$BZ$1,0),FALSE),"")</f>
        <v>71.275000000000006</v>
      </c>
      <c r="AD180">
        <f>IF(ISNUMBER(VLOOKUP($A180,Haver_M!$B$1:$BZ$300,MATCH(data!AD$1,Haver_M!$B$1:$BZ$1,0),FALSE)),VLOOKUP($A180,Haver_M!$B$1:$BZ$300,MATCH(data!AD$1,Haver_M!$B$1:$BZ$1,0),FALSE),"")</f>
        <v>113.318</v>
      </c>
      <c r="AE180">
        <f>IF(ISNUMBER(VLOOKUP($A180,Haver_M!$B$1:$BZ$300,MATCH(data!AE$1,Haver_M!$B$1:$BZ$1,0),FALSE)),VLOOKUP($A180,Haver_M!$B$1:$BZ$300,MATCH(data!AE$1,Haver_M!$B$1:$BZ$1,0),FALSE),"")</f>
        <v>101.12</v>
      </c>
      <c r="AF180">
        <f>IF(ISNUMBER(VLOOKUP($A180,Haver_M!$B$1:$BZ$300,MATCH(data!AF$1,Haver_M!$B$1:$BZ$1,0),FALSE)),VLOOKUP($A180,Haver_M!$B$1:$BZ$300,MATCH(data!AF$1,Haver_M!$B$1:$BZ$1,0),FALSE),"")</f>
        <v>127.971</v>
      </c>
      <c r="AG180">
        <f>IF(ISNUMBER(VLOOKUP($A180,Haver_M!$B$1:$BZ$300,MATCH(data!AG$1,Haver_M!$B$1:$BZ$1,0),FALSE)),VLOOKUP($A180,Haver_M!$B$1:$BZ$300,MATCH(data!AG$1,Haver_M!$B$1:$BZ$1,0),FALSE),"")</f>
        <v>120.155</v>
      </c>
      <c r="AH180">
        <f>IF(ISNUMBER(VLOOKUP($A180,Haver_M!$B$1:$BZ$300,MATCH(data!AH$1,Haver_M!$B$1:$BZ$1,0),FALSE)),VLOOKUP($A180,Haver_M!$B$1:$BZ$300,MATCH(data!AH$1,Haver_M!$B$1:$BZ$1,0),FALSE),"")</f>
        <v>129.07499999999999</v>
      </c>
      <c r="AI180">
        <f>IF(ISNUMBER(VLOOKUP($A180,Haver_M!$B$1:$BZ$300,MATCH(data!AI$1,Haver_M!$B$1:$BZ$1,0),FALSE)),VLOOKUP($A180,Haver_M!$B$1:$BZ$300,MATCH(data!AI$1,Haver_M!$B$1:$BZ$1,0),FALSE),"")</f>
        <v>13843.363489494646</v>
      </c>
      <c r="AJ180">
        <f>IF(ISNUMBER(VLOOKUP($A180,Haver_M!$B$1:$BZ$300,MATCH(data!AJ$1,Haver_M!$B$1:$BZ$1,0),FALSE)),VLOOKUP($A180,Haver_M!$B$1:$BZ$300,MATCH(data!AJ$1,Haver_M!$B$1:$BZ$1,0),FALSE),"")</f>
        <v>28719.26</v>
      </c>
      <c r="AK180">
        <f>IF(ISNUMBER(VLOOKUP($A180,Haver_M!$B$1:$BZ$300,MATCH(data!AK$1,Haver_M!$B$1:$BZ$1,0),FALSE)),VLOOKUP($A180,Haver_M!$B$1:$BZ$300,MATCH(data!AK$1,Haver_M!$B$1:$BZ$1,0),FALSE),"")</f>
        <v>43649.73</v>
      </c>
      <c r="AL180">
        <f>IF(ISNUMBER(VLOOKUP($A180,Haver_M!$B$1:$BZ$300,MATCH(data!AL$1,Haver_M!$B$1:$BZ$1,0),FALSE)),VLOOKUP($A180,Haver_M!$B$1:$BZ$300,MATCH(data!AL$1,Haver_M!$B$1:$BZ$1,0),FALSE),"")</f>
        <v>12473</v>
      </c>
      <c r="AM180">
        <f>IF(ISNUMBER(VLOOKUP($A180,Haver_M!$B$1:$BZ$300,MATCH(data!AM$1,Haver_M!$B$1:$BZ$1,0),FALSE)),VLOOKUP($A180,Haver_M!$B$1:$BZ$300,MATCH(data!AM$1,Haver_M!$B$1:$BZ$1,0),FALSE),"")</f>
        <v>6155</v>
      </c>
      <c r="AN180" t="str">
        <f>IF(ISNUMBER(VLOOKUP($A180,Haver_M!$B$1:$BZ$300,MATCH(data!AN$1,Haver_M!$B$1:$BZ$1,0),FALSE)),VLOOKUP($A180,Haver_M!$B$1:$BZ$300,MATCH(data!AN$1,Haver_M!$B$1:$BZ$1,0),FALSE),"")</f>
        <v/>
      </c>
      <c r="AO180" t="str">
        <f>IF(ISNUMBER(VLOOKUP($A180,Haver_M!$B$1:$BZ$300,MATCH(data!AO$1,Haver_M!$B$1:$BZ$1,0),FALSE)),VLOOKUP($A180,Haver_M!$B$1:$BZ$300,MATCH(data!AO$1,Haver_M!$B$1:$BZ$1,0),FALSE),"")</f>
        <v/>
      </c>
      <c r="AP180">
        <f>IF(ISNUMBER(VLOOKUP($A180,Haver_M!$B$1:$BZ$300,MATCH(data!AP$1,Haver_M!$B$1:$BZ$1,0),FALSE)),VLOOKUP($A180,Haver_M!$B$1:$BZ$300,MATCH(data!AP$1,Haver_M!$B$1:$BZ$1,0),FALSE),"")</f>
        <v>128.99399638193029</v>
      </c>
      <c r="AQ180">
        <f>IF(ISNUMBER(VLOOKUP($A180,Haver_M!$B$1:$BZ$300,MATCH(data!AQ$1,Haver_M!$B$1:$BZ$1,0),FALSE)),VLOOKUP($A180,Haver_M!$B$1:$BZ$300,MATCH(data!AQ$1,Haver_M!$B$1:$BZ$1,0),FALSE),"")</f>
        <v>53.6477</v>
      </c>
      <c r="AR180">
        <f>IF(ISNUMBER(VLOOKUP($A180,Haver_M!$B$1:$BZ$300,MATCH(data!AR$1,Haver_M!$B$1:$BZ$1,0),FALSE)),VLOOKUP($A180,Haver_M!$B$1:$BZ$300,MATCH(data!AR$1,Haver_M!$B$1:$BZ$1,0),FALSE),"")</f>
        <v>53.258400000000002</v>
      </c>
      <c r="AS180">
        <f>IF(ISNUMBER(VLOOKUP($A180,Haver_M!$B$1:$BZ$300,MATCH(data!AS$1,Haver_M!$B$1:$BZ$1,0),FALSE)),VLOOKUP($A180,Haver_M!$B$1:$BZ$300,MATCH(data!AS$1,Haver_M!$B$1:$BZ$1,0),FALSE),"")</f>
        <v>52.638599999999997</v>
      </c>
      <c r="AT180">
        <f>IF(ISNUMBER(VLOOKUP($A180,Haver_M!$B$1:$BZ$300,MATCH(data!AT$1,Haver_M!$B$1:$BZ$1,0),FALSE)),VLOOKUP($A180,Haver_M!$B$1:$BZ$300,MATCH(data!AT$1,Haver_M!$B$1:$BZ$1,0),FALSE),"")</f>
        <v>56.0441</v>
      </c>
      <c r="AU180">
        <f>IF(ISNUMBER(VLOOKUP($A180,Haver_M!$B$1:$BZ$300,MATCH(data!AU$1,Haver_M!$B$1:$BZ$1,0),FALSE)),VLOOKUP($A180,Haver_M!$B$1:$BZ$300,MATCH(data!AU$1,Haver_M!$B$1:$BZ$1,0),FALSE),"")</f>
        <v>56.164999999999999</v>
      </c>
      <c r="AV180">
        <f>IF(ISNUMBER(VLOOKUP($A180,Haver_M!$B$1:$BZ$300,MATCH(data!AV$1,Haver_M!$B$1:$BZ$1,0),FALSE)),VLOOKUP($A180,Haver_M!$B$1:$BZ$300,MATCH(data!AV$1,Haver_M!$B$1:$BZ$1,0),FALSE),"")</f>
        <v>50.243699999999997</v>
      </c>
      <c r="AW180">
        <f>IF(ISNUMBER(VLOOKUP($A180,Haver_M!$B$1:$BZ$300,MATCH(data!AW$1,Haver_M!$B$1:$BZ$1,0),FALSE)),VLOOKUP($A180,Haver_M!$B$1:$BZ$300,MATCH(data!AW$1,Haver_M!$B$1:$BZ$1,0),FALSE),"")</f>
        <v>51.679200000000002</v>
      </c>
      <c r="AX180">
        <f>IF(ISNUMBER(VLOOKUP($A180,Haver_M!$B$1:$BZ$300,MATCH(data!AX$1,Haver_M!$B$1:$BZ$1,0),FALSE)),VLOOKUP($A180,Haver_M!$B$1:$BZ$300,MATCH(data!AX$1,Haver_M!$B$1:$BZ$1,0),FALSE),"")</f>
        <v>51.010199999999998</v>
      </c>
      <c r="AY180">
        <f>IF(ISNUMBER(VLOOKUP($A180,Haver_M!$B$1:$BZ$300,MATCH(data!AY$1,Haver_M!$B$1:$BZ$1,0),FALSE)),VLOOKUP($A180,Haver_M!$B$1:$BZ$300,MATCH(data!AY$1,Haver_M!$B$1:$BZ$1,0),FALSE),"")</f>
        <v>54.278599999999997</v>
      </c>
      <c r="AZ180">
        <f>IF(ISNUMBER(VLOOKUP($A180,Haver_M!$B$1:$BZ$300,MATCH(data!AZ$1,Haver_M!$B$1:$BZ$1,0),FALSE)),VLOOKUP($A180,Haver_M!$B$1:$BZ$300,MATCH(data!AZ$1,Haver_M!$B$1:$BZ$1,0),FALSE),"")</f>
        <v>53.271599999999999</v>
      </c>
      <c r="BA180">
        <f>IF(ISNUMBER(VLOOKUP($A180,Haver_M!$B$1:$BZ$300,MATCH(data!BA$1,Haver_M!$B$1:$BZ$1,0),FALSE)),VLOOKUP($A180,Haver_M!$B$1:$BZ$300,MATCH(data!BA$1,Haver_M!$B$1:$BZ$1,0),FALSE),"")</f>
        <v>51.010199999999998</v>
      </c>
      <c r="BB180">
        <f>IF(ISNUMBER(VLOOKUP($A180,Haver_M!$B$1:$BZ$300,MATCH(data!BB$1,Haver_M!$B$1:$BZ$1,0),FALSE)),VLOOKUP($A180,Haver_M!$B$1:$BZ$300,MATCH(data!BB$1,Haver_M!$B$1:$BZ$1,0),FALSE),"")</f>
        <v>55.057499999999997</v>
      </c>
      <c r="BC180">
        <f>IF(ISNUMBER(VLOOKUP($A180,Haver_M!$B$1:$BZ$300,MATCH(data!BC$1,Haver_M!$B$1:$BZ$1,0),FALSE)),VLOOKUP($A180,Haver_M!$B$1:$BZ$300,MATCH(data!BC$1,Haver_M!$B$1:$BZ$1,0),FALSE),"")</f>
        <v>52.1858</v>
      </c>
      <c r="BD180">
        <f>IF(ISNUMBER(VLOOKUP($A180,Haver_M!$B$1:$BZ$300,MATCH(data!BD$1,Haver_M!$B$1:$BZ$1,0),FALSE)),VLOOKUP($A180,Haver_M!$B$1:$BZ$300,MATCH(data!BD$1,Haver_M!$B$1:$BZ$1,0),FALSE),"")</f>
        <v>51.609400000000001</v>
      </c>
      <c r="BE180">
        <f>IF(ISNUMBER(VLOOKUP($A180,Haver_M!$B$1:$BZ$300,MATCH(data!BE$1,Haver_M!$B$1:$BZ$1,0),FALSE)),VLOOKUP($A180,Haver_M!$B$1:$BZ$300,MATCH(data!BE$1,Haver_M!$B$1:$BZ$1,0),FALSE),"")</f>
        <v>1.1034999999999999</v>
      </c>
      <c r="BF180">
        <f>IF(ISNUMBER(VLOOKUP($A180,Haver_M!$B$1:$BZ$300,MATCH(data!BF$1,Haver_M!$B$1:$BZ$1,0),FALSE)),VLOOKUP($A180,Haver_M!$B$1:$BZ$300,MATCH(data!BF$1,Haver_M!$B$1:$BZ$1,0),FALSE),"")</f>
        <v>49.836799999999997</v>
      </c>
      <c r="BG180">
        <f>IF(ISNUMBER(VLOOKUP($A180,Haver_M!$B$1:$BZ$300,MATCH(data!BG$1,Haver_M!$B$1:$BZ$1,0),FALSE)),VLOOKUP($A180,Haver_M!$B$1:$BZ$300,MATCH(data!BG$1,Haver_M!$B$1:$BZ$1,0),FALSE),"")</f>
        <v>49.639899999999997</v>
      </c>
      <c r="BH180">
        <f>IF(ISNUMBER(VLOOKUP($A180,Haver_M!$B$1:$BZ$300,MATCH(data!BH$1,Haver_M!$B$1:$BZ$1,0),FALSE)),VLOOKUP($A180,Haver_M!$B$1:$BZ$300,MATCH(data!BH$1,Haver_M!$B$1:$BZ$1,0),FALSE),"")</f>
        <v>52.506300000000003</v>
      </c>
      <c r="BI180">
        <f>IF(ISNUMBER(VLOOKUP($A180,Haver_M!$B$1:$BZ$300,MATCH(data!BI$1,Haver_M!$B$1:$BZ$1,0),FALSE)),VLOOKUP($A180,Haver_M!$B$1:$BZ$300,MATCH(data!BI$1,Haver_M!$B$1:$BZ$1,0),FALSE),"")</f>
        <v>48.540599999999998</v>
      </c>
      <c r="BJ180">
        <f>IF(ISNUMBER(VLOOKUP($A180,Haver_M!$B$1:$BZ$300,MATCH(data!BJ$1,Haver_M!$B$1:$BZ$1,0),FALSE)),VLOOKUP($A180,Haver_M!$B$1:$BZ$300,MATCH(data!BJ$1,Haver_M!$B$1:$BZ$1,0),FALSE),"")</f>
        <v>50.07</v>
      </c>
      <c r="BK180">
        <f>IF(ISNUMBER(VLOOKUP($A180,Haver_M!$B$1:$BZ$300,MATCH(data!BK$1,Haver_M!$B$1:$BZ$1,0),FALSE)),VLOOKUP($A180,Haver_M!$B$1:$BZ$300,MATCH(data!BK$1,Haver_M!$B$1:$BZ$1,0),FALSE),"")</f>
        <v>51.324199999999998</v>
      </c>
      <c r="BL180">
        <f>IF(ISNUMBER(VLOOKUP($A180,Haver_M!$B$1:$BZ$300,MATCH(data!BL$1,Haver_M!$B$1:$BZ$1,0),FALSE)),VLOOKUP($A180,Haver_M!$B$1:$BZ$300,MATCH(data!BL$1,Haver_M!$B$1:$BZ$1,0),FALSE),"")</f>
        <v>28142.15</v>
      </c>
      <c r="BM180">
        <f>IF(ISNUMBER(VLOOKUP($A180,Haver_M!$B$1:$BZ$300,MATCH(data!BM$1,Haver_M!$B$1:$BZ$1,0),FALSE)),VLOOKUP($A180,Haver_M!$B$1:$BZ$300,MATCH(data!BM$1,Haver_M!$B$1:$BZ$1,0),FALSE),"")</f>
        <v>103.26254304</v>
      </c>
      <c r="BN180" t="str">
        <f>IF(ISNUMBER(VLOOKUP($A180,Haver_M!$B$1:$BZ$300,MATCH(data!BN$1,Haver_M!$B$1:$BZ$1,0),FALSE)),VLOOKUP($A180,Haver_M!$B$1:$BZ$300,MATCH(data!BN$1,Haver_M!$B$1:$BZ$1,0),FALSE),"")</f>
        <v/>
      </c>
      <c r="BO180" t="str">
        <f>IF(ISNUMBER(VLOOKUP($A180,Haver_M!$B$1:$BZ$300,MATCH(data!BO$1,Haver_M!$B$1:$BZ$1,0),FALSE)),VLOOKUP($A180,Haver_M!$B$1:$BZ$300,MATCH(data!BO$1,Haver_M!$B$1:$BZ$1,0),FALSE),"")</f>
        <v/>
      </c>
      <c r="BP180" t="str">
        <f>IF(ISNUMBER(VLOOKUP($A180,Haver_M!$B$1:$BZ$300,MATCH(data!BP$1,Haver_M!$B$1:$BZ$1,0),FALSE)),VLOOKUP($A180,Haver_M!$B$1:$BZ$300,MATCH(data!BP$1,Haver_M!$B$1:$BZ$1,0),FALSE),"")</f>
        <v/>
      </c>
      <c r="BQ180">
        <f>IF(ISNUMBER(VLOOKUP($A180,Haver_M!$B$1:$BZ$300,MATCH(data!BQ$1,Haver_M!$B$1:$BZ$1,0),FALSE)),VLOOKUP($A180,Haver_M!$B$1:$BZ$300,MATCH(data!BQ$1,Haver_M!$B$1:$BZ$1,0),FALSE),"")</f>
        <v>179.2276700775636</v>
      </c>
      <c r="BR180">
        <f>IF(ISNUMBER(VLOOKUP($A180,Haver_M!$B$1:$BZ$300,MATCH(data!BR$1,Haver_M!$B$1:$BZ$1,0),FALSE)),VLOOKUP($A180,Haver_M!$B$1:$BZ$300,MATCH(data!BR$1,Haver_M!$B$1:$BZ$1,0),FALSE),"")</f>
        <v>411.95672255697343</v>
      </c>
      <c r="BS180">
        <f>IF(ISNUMBER(VLOOKUP($A180,Haver_M!$B$1:$BZ$300,MATCH(data!BS$1,Haver_M!$B$1:$BZ$1,0),FALSE)),VLOOKUP($A180,Haver_M!$B$1:$BZ$300,MATCH(data!BS$1,Haver_M!$B$1:$BZ$1,0),FALSE),"")</f>
        <v>218.53374648727316</v>
      </c>
      <c r="BT180">
        <f>IF(ISNUMBER(VLOOKUP($A180,Haver_M!$B$1:$BZ$300,MATCH(data!BT$1,Haver_M!$B$1:$BZ$1,0),FALSE)),VLOOKUP($A180,Haver_M!$B$1:$BZ$300,MATCH(data!BT$1,Haver_M!$B$1:$BZ$1,0),FALSE),"")</f>
        <v>929.50512282794364</v>
      </c>
      <c r="BU180">
        <f>IF(ISNUMBER(VLOOKUP($A180,Haver_M!$B$1:$BZ$300,MATCH(data!BU$1,Haver_M!$B$1:$BZ$1,0),FALSE)),VLOOKUP($A180,Haver_M!$B$1:$BZ$300,MATCH(data!BU$1,Haver_M!$B$1:$BZ$1,0),FALSE),"")</f>
        <v>26503.040000000001</v>
      </c>
      <c r="BV180">
        <f>IF(ISNUMBER(VLOOKUP($A180,Haver_M!$B$1:$BZ$300,MATCH(data!BV$1,Haver_M!$B$1:$BZ$1,0),FALSE)),VLOOKUP($A180,Haver_M!$B$1:$BZ$300,MATCH(data!BV$1,Haver_M!$B$1:$BZ$1,0),FALSE),"")</f>
        <v>42722.49</v>
      </c>
      <c r="BW180">
        <f>IF(ISNUMBER(VLOOKUP($A180,Haver_M!$B$1:$BZ$300,MATCH(data!BW$1,Haver_M!$B$1:$BZ$1,0),FALSE)),VLOOKUP($A180,Haver_M!$B$1:$BZ$300,MATCH(data!BW$1,Haver_M!$B$1:$BZ$1,0),FALSE),"")</f>
        <v>61.7042</v>
      </c>
      <c r="BX180">
        <f>IF(ISNUMBER(VLOOKUP($A180,Haver_M!$B$1:$BZ$300,MATCH(data!BX$1,Haver_M!$B$1:$BZ$1,0),FALSE)),VLOOKUP($A180,Haver_M!$B$1:$BZ$300,MATCH(data!BX$1,Haver_M!$B$1:$BZ$1,0),FALSE),"")</f>
        <v>55297</v>
      </c>
    </row>
    <row r="181" spans="1:76" x14ac:dyDescent="0.25">
      <c r="A181" s="2">
        <v>42004</v>
      </c>
      <c r="B181">
        <f>IF(ISNUMBER(VLOOKUP($A181,Haver_Q!$B$1:$L$185,MATCH(data!B$1,Haver_Q!$B$1:$L$1,0),FALSE)),100*(VLOOKUP($A181,Haver_Q!$B$1:$L$185,MATCH(data!B$1,Haver_Q!$B$1:$L$1,0),FALSE)),"")</f>
        <v>4.1313574006057285</v>
      </c>
      <c r="C181">
        <f>IF(ISNUMBER(VLOOKUP($A181,Haver_Q!$B$1:$L$185,MATCH(data!C$1,Haver_Q!$B$1:$L$1,0),FALSE)),100*(VLOOKUP($A181,Haver_Q!$B$1:$L$185,MATCH(data!C$1,Haver_Q!$B$1:$L$1,0),FALSE)),"")</f>
        <v>-2.127509799816385</v>
      </c>
      <c r="D181">
        <f>IF(ISNUMBER(VLOOKUP($A181,Haver_Q!$B$1:$L$185,MATCH(data!D$1,Haver_Q!$B$1:$L$1,0),FALSE)),100*(VLOOKUP($A181,Haver_Q!$B$1:$L$185,MATCH(data!D$1,Haver_Q!$B$1:$L$1,0),FALSE)),"")</f>
        <v>9.6614893520719836</v>
      </c>
      <c r="E181">
        <f>IF(ISNUMBER(VLOOKUP($A181,Haver_Q!$B$1:$L$185,MATCH(data!E$1,Haver_Q!$B$1:$L$1,0),FALSE)),100*(VLOOKUP($A181,Haver_Q!$B$1:$L$185,MATCH(data!E$1,Haver_Q!$B$1:$L$1,0),FALSE)),"")</f>
        <v>-11.07608748234583</v>
      </c>
      <c r="F181">
        <f>IF(ISNUMBER(VLOOKUP($A181,Haver_Q!$B$1:$L$185,MATCH(data!F$1,Haver_Q!$B$1:$L$1,0),FALSE)),100*(VLOOKUP($A181,Haver_Q!$B$1:$L$185,MATCH(data!F$1,Haver_Q!$B$1:$L$1,0),FALSE)),"")</f>
        <v>15.119224989145907</v>
      </c>
      <c r="G181">
        <f>IF(ISNUMBER(VLOOKUP($A181,Haver_Q!$B$1:$L$185,MATCH(data!G$1,Haver_Q!$B$1:$L$1,0),FALSE)),100*(VLOOKUP($A181,Haver_Q!$B$1:$L$185,MATCH(data!G$1,Haver_Q!$B$1:$L$1,0),FALSE)),"")</f>
        <v>9.13068532485768</v>
      </c>
      <c r="H181">
        <f>IF(ISNUMBER(VLOOKUP($A181,Haver_Q!$B$1:$L$185,MATCH(data!H$1,Haver_Q!$B$1:$L$1,0),FALSE)),(VLOOKUP($A181,Haver_Q!$B$1:$L$185,MATCH(data!H$1,Haver_Q!$B$1:$L$1,0),FALSE)),"")</f>
        <v>3.6907587457265301</v>
      </c>
      <c r="I181">
        <f>IF(ISNUMBER(VLOOKUP($A181,Haver_Q!$B$1:$L$185,MATCH(data!I$1,Haver_Q!$B$1:$L$1,0),FALSE)),100*(VLOOKUP($A181,Haver_Q!$B$1:$L$185,MATCH(data!I$1,Haver_Q!$B$1:$L$1,0),FALSE)),"")</f>
        <v>5.9227453035372024</v>
      </c>
      <c r="J181" s="3">
        <f>IF(ISNUMBER(Bloomberg_m!C197),Bloomberg_m!C197,"")</f>
        <v>910</v>
      </c>
      <c r="K181" s="3">
        <f>IF(ISNUMBER(Bloomberg_m!D197),Bloomberg_m!D197,"")</f>
        <v>1841.72</v>
      </c>
      <c r="L181" s="3">
        <f>IF(ISNUMBER(Bloomberg_m!E197),Bloomberg_m!E197,"")</f>
        <v>1060.08</v>
      </c>
      <c r="M181" s="3">
        <f>IF(ISNUMBER(Bloomberg_m!F197),Bloomberg_m!F197,"")</f>
        <v>495.23</v>
      </c>
      <c r="N181">
        <f>IF(ISNUMBER(VLOOKUP($A181,Haver_M!$B$1:$BZ$300,MATCH(data!N$1,Haver_M!$B$1:$BZ$1,0),FALSE)),VLOOKUP($A181,Haver_M!$B$1:$BZ$300,MATCH(data!N$1,Haver_M!$B$1:$BZ$1,0),FALSE),"")</f>
        <v>8</v>
      </c>
      <c r="O181">
        <f>IF(ISNUMBER(VLOOKUP($A181,Haver_M!$B$1:$BZ$300,MATCH(data!O$1,Haver_M!$B$1:$BZ$1,0),FALSE)),VLOOKUP($A181,Haver_M!$B$1:$BZ$300,MATCH(data!O$1,Haver_M!$B$1:$BZ$1,0),FALSE),"")</f>
        <v>7.9170999999999996</v>
      </c>
      <c r="P181">
        <f>IF(ISNUMBER(VLOOKUP($A181,Haver_M!$B$1:$BZ$300,MATCH(data!P$1,Haver_M!$B$1:$BZ$1,0),FALSE)),VLOOKUP($A181,Haver_M!$B$1:$BZ$300,MATCH(data!P$1,Haver_M!$B$1:$BZ$1,0),FALSE),"")</f>
        <v>90.661510000000007</v>
      </c>
      <c r="Q181">
        <f>IF(ISNUMBER(VLOOKUP($A181,Haver_M!$B$1:$BZ$300,MATCH(data!Q$1,Haver_M!$B$1:$BZ$1,0),FALSE)),VLOOKUP($A181,Haver_M!$B$1:$BZ$300,MATCH(data!Q$1,Haver_M!$B$1:$BZ$1,0),FALSE),"")</f>
        <v>119.4</v>
      </c>
      <c r="R181">
        <f>IF(ISNUMBER(VLOOKUP($A181,Haver_M!$B$1:$BZ$300,MATCH(data!R$1,Haver_M!$B$1:$BZ$1,0),FALSE)),VLOOKUP($A181,Haver_M!$B$1:$BZ$300,MATCH(data!R$1,Haver_M!$B$1:$BZ$1,0),FALSE),"")</f>
        <v>116.9</v>
      </c>
      <c r="S181">
        <f>IF(ISNUMBER(VLOOKUP($A181,Haver_M!$B$1:$BZ$300,MATCH(data!S$1,Haver_M!$B$1:$BZ$1,0),FALSE)),VLOOKUP($A181,Haver_M!$B$1:$BZ$300,MATCH(data!S$1,Haver_M!$B$1:$BZ$1,0),FALSE),"")</f>
        <v>111.69</v>
      </c>
      <c r="T181">
        <f>IF(ISNUMBER(VLOOKUP($A181,Haver_M!$B$1:$BZ$300,MATCH(data!T$1,Haver_M!$B$1:$BZ$1,0),FALSE)),VLOOKUP($A181,Haver_M!$B$1:$BZ$300,MATCH(data!T$1,Haver_M!$B$1:$BZ$1,0),FALSE),"")</f>
        <v>107.65</v>
      </c>
      <c r="U181">
        <f>IF(ISNUMBER(VLOOKUP($A181,Haver_M!$B$1:$BZ$300,MATCH(data!U$1,Haver_M!$B$1:$BZ$1,0),FALSE)),VLOOKUP($A181,Haver_M!$B$1:$BZ$300,MATCH(data!U$1,Haver_M!$B$1:$BZ$1,0),FALSE),"")</f>
        <v>96.46</v>
      </c>
      <c r="V181">
        <f>IF(ISNUMBER(VLOOKUP($A181,Haver_M!$B$1:$BZ$300,MATCH(data!V$1,Haver_M!$B$1:$BZ$1,0),FALSE)),VLOOKUP($A181,Haver_M!$B$1:$BZ$300,MATCH(data!V$1,Haver_M!$B$1:$BZ$1,0),FALSE),"")</f>
        <v>115.6</v>
      </c>
      <c r="W181">
        <f>IF(ISNUMBER(VLOOKUP($A181,Haver_M!$B$1:$BZ$300,MATCH(data!W$1,Haver_M!$B$1:$BZ$1,0),FALSE)),VLOOKUP($A181,Haver_M!$B$1:$BZ$300,MATCH(data!W$1,Haver_M!$B$1:$BZ$1,0),FALSE),"")</f>
        <v>118.97</v>
      </c>
      <c r="X181">
        <f>IF(ISNUMBER(VLOOKUP($A181,Haver_M!$B$1:$BZ$300,MATCH(data!X$1,Haver_M!$B$1:$BZ$1,0),FALSE)),VLOOKUP($A181,Haver_M!$B$1:$BZ$300,MATCH(data!X$1,Haver_M!$B$1:$BZ$1,0),FALSE),"")</f>
        <v>118.74</v>
      </c>
      <c r="Y181">
        <f>IF(ISNUMBER(VLOOKUP($A181,Haver_M!$B$1:$BZ$300,MATCH(data!Y$1,Haver_M!$B$1:$BZ$1,0),FALSE)),VLOOKUP($A181,Haver_M!$B$1:$BZ$300,MATCH(data!Y$1,Haver_M!$B$1:$BZ$1,0),FALSE),"")</f>
        <v>114.4</v>
      </c>
      <c r="Z181">
        <f>IF(ISNUMBER(VLOOKUP($A181,Haver_M!$B$1:$BZ$300,MATCH(data!Z$1,Haver_M!$B$1:$BZ$1,0),FALSE)),VLOOKUP($A181,Haver_M!$B$1:$BZ$300,MATCH(data!Z$1,Haver_M!$B$1:$BZ$1,0),FALSE),"")</f>
        <v>112.6</v>
      </c>
      <c r="AA181">
        <f>IF(ISNUMBER(VLOOKUP($A181,Haver_M!$B$1:$BZ$300,MATCH(data!AA$1,Haver_M!$B$1:$BZ$1,0),FALSE)),VLOOKUP($A181,Haver_M!$B$1:$BZ$300,MATCH(data!AA$1,Haver_M!$B$1:$BZ$1,0),FALSE),"")</f>
        <v>108.001</v>
      </c>
      <c r="AB181">
        <f>IF(ISNUMBER(VLOOKUP($A181,Haver_M!$B$1:$BZ$300,MATCH(data!AB$1,Haver_M!$B$1:$BZ$1,0),FALSE)),VLOOKUP($A181,Haver_M!$B$1:$BZ$300,MATCH(data!AB$1,Haver_M!$B$1:$BZ$1,0),FALSE),"")</f>
        <v>99.286000000000001</v>
      </c>
      <c r="AC181">
        <f>IF(ISNUMBER(VLOOKUP($A181,Haver_M!$B$1:$BZ$300,MATCH(data!AC$1,Haver_M!$B$1:$BZ$1,0),FALSE)),VLOOKUP($A181,Haver_M!$B$1:$BZ$300,MATCH(data!AC$1,Haver_M!$B$1:$BZ$1,0),FALSE),"")</f>
        <v>71.557000000000002</v>
      </c>
      <c r="AD181">
        <f>IF(ISNUMBER(VLOOKUP($A181,Haver_M!$B$1:$BZ$300,MATCH(data!AD$1,Haver_M!$B$1:$BZ$1,0),FALSE)),VLOOKUP($A181,Haver_M!$B$1:$BZ$300,MATCH(data!AD$1,Haver_M!$B$1:$BZ$1,0),FALSE),"")</f>
        <v>110.9</v>
      </c>
      <c r="AE181">
        <f>IF(ISNUMBER(VLOOKUP($A181,Haver_M!$B$1:$BZ$300,MATCH(data!AE$1,Haver_M!$B$1:$BZ$1,0),FALSE)),VLOOKUP($A181,Haver_M!$B$1:$BZ$300,MATCH(data!AE$1,Haver_M!$B$1:$BZ$1,0),FALSE),"")</f>
        <v>103.94799999999999</v>
      </c>
      <c r="AF181">
        <f>IF(ISNUMBER(VLOOKUP($A181,Haver_M!$B$1:$BZ$300,MATCH(data!AF$1,Haver_M!$B$1:$BZ$1,0),FALSE)),VLOOKUP($A181,Haver_M!$B$1:$BZ$300,MATCH(data!AF$1,Haver_M!$B$1:$BZ$1,0),FALSE),"")</f>
        <v>121.15600000000001</v>
      </c>
      <c r="AG181">
        <f>IF(ISNUMBER(VLOOKUP($A181,Haver_M!$B$1:$BZ$300,MATCH(data!AG$1,Haver_M!$B$1:$BZ$1,0),FALSE)),VLOOKUP($A181,Haver_M!$B$1:$BZ$300,MATCH(data!AG$1,Haver_M!$B$1:$BZ$1,0),FALSE),"")</f>
        <v>119.184</v>
      </c>
      <c r="AH181">
        <f>IF(ISNUMBER(VLOOKUP($A181,Haver_M!$B$1:$BZ$300,MATCH(data!AH$1,Haver_M!$B$1:$BZ$1,0),FALSE)),VLOOKUP($A181,Haver_M!$B$1:$BZ$300,MATCH(data!AH$1,Haver_M!$B$1:$BZ$1,0),FALSE),"")</f>
        <v>127.67700000000001</v>
      </c>
      <c r="AI181">
        <f>IF(ISNUMBER(VLOOKUP($A181,Haver_M!$B$1:$BZ$300,MATCH(data!AI$1,Haver_M!$B$1:$BZ$1,0),FALSE)),VLOOKUP($A181,Haver_M!$B$1:$BZ$300,MATCH(data!AI$1,Haver_M!$B$1:$BZ$1,0),FALSE),"")</f>
        <v>14310.719122771341</v>
      </c>
      <c r="AJ181">
        <f>IF(ISNUMBER(VLOOKUP($A181,Haver_M!$B$1:$BZ$300,MATCH(data!AJ$1,Haver_M!$B$1:$BZ$1,0),FALSE)),VLOOKUP($A181,Haver_M!$B$1:$BZ$300,MATCH(data!AJ$1,Haver_M!$B$1:$BZ$1,0),FALSE),"")</f>
        <v>25412.66</v>
      </c>
      <c r="AK181">
        <f>IF(ISNUMBER(VLOOKUP($A181,Haver_M!$B$1:$BZ$300,MATCH(data!AK$1,Haver_M!$B$1:$BZ$1,0),FALSE)),VLOOKUP($A181,Haver_M!$B$1:$BZ$300,MATCH(data!AK$1,Haver_M!$B$1:$BZ$1,0),FALSE),"")</f>
        <v>35028.720000000001</v>
      </c>
      <c r="AL181">
        <f>IF(ISNUMBER(VLOOKUP($A181,Haver_M!$B$1:$BZ$300,MATCH(data!AL$1,Haver_M!$B$1:$BZ$1,0),FALSE)),VLOOKUP($A181,Haver_M!$B$1:$BZ$300,MATCH(data!AL$1,Haver_M!$B$1:$BZ$1,0),FALSE),"")</f>
        <v>14303</v>
      </c>
      <c r="AM181">
        <f>IF(ISNUMBER(VLOOKUP($A181,Haver_M!$B$1:$BZ$300,MATCH(data!AM$1,Haver_M!$B$1:$BZ$1,0),FALSE)),VLOOKUP($A181,Haver_M!$B$1:$BZ$300,MATCH(data!AM$1,Haver_M!$B$1:$BZ$1,0),FALSE),"")</f>
        <v>7240</v>
      </c>
      <c r="AN181">
        <f>IF(ISNUMBER(VLOOKUP($A181,Haver_M!$B$1:$BZ$300,MATCH(data!AN$1,Haver_M!$B$1:$BZ$1,0),FALSE)),VLOOKUP($A181,Haver_M!$B$1:$BZ$300,MATCH(data!AN$1,Haver_M!$B$1:$BZ$1,0),FALSE),"")</f>
        <v>105.5</v>
      </c>
      <c r="AO181">
        <f>IF(ISNUMBER(VLOOKUP($A181,Haver_M!$B$1:$BZ$300,MATCH(data!AO$1,Haver_M!$B$1:$BZ$1,0),FALSE)),VLOOKUP($A181,Haver_M!$B$1:$BZ$300,MATCH(data!AO$1,Haver_M!$B$1:$BZ$1,0),FALSE),"")</f>
        <v>118.3</v>
      </c>
      <c r="AP181">
        <f>IF(ISNUMBER(VLOOKUP($A181,Haver_M!$B$1:$BZ$300,MATCH(data!AP$1,Haver_M!$B$1:$BZ$1,0),FALSE)),VLOOKUP($A181,Haver_M!$B$1:$BZ$300,MATCH(data!AP$1,Haver_M!$B$1:$BZ$1,0),FALSE),"")</f>
        <v>96.436513008990332</v>
      </c>
      <c r="AQ181">
        <f>IF(ISNUMBER(VLOOKUP($A181,Haver_M!$B$1:$BZ$300,MATCH(data!AQ$1,Haver_M!$B$1:$BZ$1,0),FALSE)),VLOOKUP($A181,Haver_M!$B$1:$BZ$300,MATCH(data!AQ$1,Haver_M!$B$1:$BZ$1,0),FALSE),"")</f>
        <v>52.868499999999997</v>
      </c>
      <c r="AR181">
        <f>IF(ISNUMBER(VLOOKUP($A181,Haver_M!$B$1:$BZ$300,MATCH(data!AR$1,Haver_M!$B$1:$BZ$1,0),FALSE)),VLOOKUP($A181,Haver_M!$B$1:$BZ$300,MATCH(data!AR$1,Haver_M!$B$1:$BZ$1,0),FALSE),"")</f>
        <v>54.543100000000003</v>
      </c>
      <c r="AS181">
        <f>IF(ISNUMBER(VLOOKUP($A181,Haver_M!$B$1:$BZ$300,MATCH(data!AS$1,Haver_M!$B$1:$BZ$1,0),FALSE)),VLOOKUP($A181,Haver_M!$B$1:$BZ$300,MATCH(data!AS$1,Haver_M!$B$1:$BZ$1,0),FALSE),"")</f>
        <v>51.148000000000003</v>
      </c>
      <c r="AT181">
        <f>IF(ISNUMBER(VLOOKUP($A181,Haver_M!$B$1:$BZ$300,MATCH(data!AT$1,Haver_M!$B$1:$BZ$1,0),FALSE)),VLOOKUP($A181,Haver_M!$B$1:$BZ$300,MATCH(data!AT$1,Haver_M!$B$1:$BZ$1,0),FALSE),"")</f>
        <v>56.954500000000003</v>
      </c>
      <c r="AU181">
        <f>IF(ISNUMBER(VLOOKUP($A181,Haver_M!$B$1:$BZ$300,MATCH(data!AU$1,Haver_M!$B$1:$BZ$1,0),FALSE)),VLOOKUP($A181,Haver_M!$B$1:$BZ$300,MATCH(data!AU$1,Haver_M!$B$1:$BZ$1,0),FALSE),"")</f>
        <v>57.9497</v>
      </c>
      <c r="AV181">
        <f>IF(ISNUMBER(VLOOKUP($A181,Haver_M!$B$1:$BZ$300,MATCH(data!AV$1,Haver_M!$B$1:$BZ$1,0),FALSE)),VLOOKUP($A181,Haver_M!$B$1:$BZ$300,MATCH(data!AV$1,Haver_M!$B$1:$BZ$1,0),FALSE),"")</f>
        <v>49.589100000000002</v>
      </c>
      <c r="AW181">
        <f>IF(ISNUMBER(VLOOKUP($A181,Haver_M!$B$1:$BZ$300,MATCH(data!AW$1,Haver_M!$B$1:$BZ$1,0),FALSE)),VLOOKUP($A181,Haver_M!$B$1:$BZ$300,MATCH(data!AW$1,Haver_M!$B$1:$BZ$1,0),FALSE),"")</f>
        <v>49.442</v>
      </c>
      <c r="AX181">
        <f>IF(ISNUMBER(VLOOKUP($A181,Haver_M!$B$1:$BZ$300,MATCH(data!AX$1,Haver_M!$B$1:$BZ$1,0),FALSE)),VLOOKUP($A181,Haver_M!$B$1:$BZ$300,MATCH(data!AX$1,Haver_M!$B$1:$BZ$1,0),FALSE),"")</f>
        <v>54.180500000000002</v>
      </c>
      <c r="AY181">
        <f>IF(ISNUMBER(VLOOKUP($A181,Haver_M!$B$1:$BZ$300,MATCH(data!AY$1,Haver_M!$B$1:$BZ$1,0),FALSE)),VLOOKUP($A181,Haver_M!$B$1:$BZ$300,MATCH(data!AY$1,Haver_M!$B$1:$BZ$1,0),FALSE),"")</f>
        <v>50.960999999999999</v>
      </c>
      <c r="AZ181">
        <f>IF(ISNUMBER(VLOOKUP($A181,Haver_M!$B$1:$BZ$300,MATCH(data!AZ$1,Haver_M!$B$1:$BZ$1,0),FALSE)),VLOOKUP($A181,Haver_M!$B$1:$BZ$300,MATCH(data!AZ$1,Haver_M!$B$1:$BZ$1,0),FALSE),"")</f>
        <v>55.9178</v>
      </c>
      <c r="BA181">
        <f>IF(ISNUMBER(VLOOKUP($A181,Haver_M!$B$1:$BZ$300,MATCH(data!BA$1,Haver_M!$B$1:$BZ$1,0),FALSE)),VLOOKUP($A181,Haver_M!$B$1:$BZ$300,MATCH(data!BA$1,Haver_M!$B$1:$BZ$1,0),FALSE),"")</f>
        <v>54.180500000000002</v>
      </c>
      <c r="BB181">
        <f>IF(ISNUMBER(VLOOKUP($A181,Haver_M!$B$1:$BZ$300,MATCH(data!BB$1,Haver_M!$B$1:$BZ$1,0),FALSE)),VLOOKUP($A181,Haver_M!$B$1:$BZ$300,MATCH(data!BB$1,Haver_M!$B$1:$BZ$1,0),FALSE),"")</f>
        <v>56.923999999999999</v>
      </c>
      <c r="BC181">
        <f>IF(ISNUMBER(VLOOKUP($A181,Haver_M!$B$1:$BZ$300,MATCH(data!BC$1,Haver_M!$B$1:$BZ$1,0),FALSE)),VLOOKUP($A181,Haver_M!$B$1:$BZ$300,MATCH(data!BC$1,Haver_M!$B$1:$BZ$1,0),FALSE),"")</f>
        <v>50.661200000000001</v>
      </c>
      <c r="BD181">
        <f>IF(ISNUMBER(VLOOKUP($A181,Haver_M!$B$1:$BZ$300,MATCH(data!BD$1,Haver_M!$B$1:$BZ$1,0),FALSE)),VLOOKUP($A181,Haver_M!$B$1:$BZ$300,MATCH(data!BD$1,Haver_M!$B$1:$BZ$1,0),FALSE),"")</f>
        <v>51.768900000000002</v>
      </c>
      <c r="BE181">
        <f>IF(ISNUMBER(VLOOKUP($A181,Haver_M!$B$1:$BZ$300,MATCH(data!BE$1,Haver_M!$B$1:$BZ$1,0),FALSE)),VLOOKUP($A181,Haver_M!$B$1:$BZ$300,MATCH(data!BE$1,Haver_M!$B$1:$BZ$1,0),FALSE),"")</f>
        <v>1.0731999999999999</v>
      </c>
      <c r="BF181">
        <f>IF(ISNUMBER(VLOOKUP($A181,Haver_M!$B$1:$BZ$300,MATCH(data!BF$1,Haver_M!$B$1:$BZ$1,0),FALSE)),VLOOKUP($A181,Haver_M!$B$1:$BZ$300,MATCH(data!BF$1,Haver_M!$B$1:$BZ$1,0),FALSE),"")</f>
        <v>50.587400000000002</v>
      </c>
      <c r="BG181">
        <f>IF(ISNUMBER(VLOOKUP($A181,Haver_M!$B$1:$BZ$300,MATCH(data!BG$1,Haver_M!$B$1:$BZ$1,0),FALSE)),VLOOKUP($A181,Haver_M!$B$1:$BZ$300,MATCH(data!BG$1,Haver_M!$B$1:$BZ$1,0),FALSE),"")</f>
        <v>50.211100000000002</v>
      </c>
      <c r="BH181">
        <f>IF(ISNUMBER(VLOOKUP($A181,Haver_M!$B$1:$BZ$300,MATCH(data!BH$1,Haver_M!$B$1:$BZ$1,0),FALSE)),VLOOKUP($A181,Haver_M!$B$1:$BZ$300,MATCH(data!BH$1,Haver_M!$B$1:$BZ$1,0),FALSE),"")</f>
        <v>51.827800000000003</v>
      </c>
      <c r="BI181">
        <f>IF(ISNUMBER(VLOOKUP($A181,Haver_M!$B$1:$BZ$300,MATCH(data!BI$1,Haver_M!$B$1:$BZ$1,0),FALSE)),VLOOKUP($A181,Haver_M!$B$1:$BZ$300,MATCH(data!BI$1,Haver_M!$B$1:$BZ$1,0),FALSE),"")</f>
        <v>50.871000000000002</v>
      </c>
      <c r="BJ181">
        <f>IF(ISNUMBER(VLOOKUP($A181,Haver_M!$B$1:$BZ$300,MATCH(data!BJ$1,Haver_M!$B$1:$BZ$1,0),FALSE)),VLOOKUP($A181,Haver_M!$B$1:$BZ$300,MATCH(data!BJ$1,Haver_M!$B$1:$BZ$1,0),FALSE),"")</f>
        <v>51.668300000000002</v>
      </c>
      <c r="BK181">
        <f>IF(ISNUMBER(VLOOKUP($A181,Haver_M!$B$1:$BZ$300,MATCH(data!BK$1,Haver_M!$B$1:$BZ$1,0),FALSE)),VLOOKUP($A181,Haver_M!$B$1:$BZ$300,MATCH(data!BK$1,Haver_M!$B$1:$BZ$1,0),FALSE),"")</f>
        <v>50.204599999999999</v>
      </c>
      <c r="BL181">
        <f>IF(ISNUMBER(VLOOKUP($A181,Haver_M!$B$1:$BZ$300,MATCH(data!BL$1,Haver_M!$B$1:$BZ$1,0),FALSE)),VLOOKUP($A181,Haver_M!$B$1:$BZ$300,MATCH(data!BL$1,Haver_M!$B$1:$BZ$1,0),FALSE),"")</f>
        <v>27656.11</v>
      </c>
      <c r="BM181">
        <f>IF(ISNUMBER(VLOOKUP($A181,Haver_M!$B$1:$BZ$300,MATCH(data!BM$1,Haver_M!$B$1:$BZ$1,0),FALSE)),VLOOKUP($A181,Haver_M!$B$1:$BZ$300,MATCH(data!BM$1,Haver_M!$B$1:$BZ$1,0),FALSE),"")</f>
        <v>101.9177421</v>
      </c>
      <c r="BN181">
        <f>IF(ISNUMBER(VLOOKUP($A181,Haver_M!$B$1:$BZ$300,MATCH(data!BN$1,Haver_M!$B$1:$BZ$1,0),FALSE)),VLOOKUP($A181,Haver_M!$B$1:$BZ$300,MATCH(data!BN$1,Haver_M!$B$1:$BZ$1,0),FALSE),"")</f>
        <v>104.6</v>
      </c>
      <c r="BO181">
        <f>IF(ISNUMBER(VLOOKUP($A181,Haver_M!$B$1:$BZ$300,MATCH(data!BO$1,Haver_M!$B$1:$BZ$1,0),FALSE)),VLOOKUP($A181,Haver_M!$B$1:$BZ$300,MATCH(data!BO$1,Haver_M!$B$1:$BZ$1,0),FALSE),"")</f>
        <v>117.7</v>
      </c>
      <c r="BP181">
        <f>IF(ISNUMBER(VLOOKUP($A181,Haver_M!$B$1:$BZ$300,MATCH(data!BP$1,Haver_M!$B$1:$BZ$1,0),FALSE)),VLOOKUP($A181,Haver_M!$B$1:$BZ$300,MATCH(data!BP$1,Haver_M!$B$1:$BZ$1,0),FALSE),"")</f>
        <v>39.700000000000003</v>
      </c>
      <c r="BQ181">
        <f>IF(ISNUMBER(VLOOKUP($A181,Haver_M!$B$1:$BZ$300,MATCH(data!BQ$1,Haver_M!$B$1:$BZ$1,0),FALSE)),VLOOKUP($A181,Haver_M!$B$1:$BZ$300,MATCH(data!BQ$1,Haver_M!$B$1:$BZ$1,0),FALSE),"")</f>
        <v>178.80690962981851</v>
      </c>
      <c r="BR181">
        <f>IF(ISNUMBER(VLOOKUP($A181,Haver_M!$B$1:$BZ$300,MATCH(data!BR$1,Haver_M!$B$1:$BZ$1,0),FALSE)),VLOOKUP($A181,Haver_M!$B$1:$BZ$300,MATCH(data!BR$1,Haver_M!$B$1:$BZ$1,0),FALSE),"")</f>
        <v>409.32911573948655</v>
      </c>
      <c r="BS181">
        <f>IF(ISNUMBER(VLOOKUP($A181,Haver_M!$B$1:$BZ$300,MATCH(data!BS$1,Haver_M!$B$1:$BZ$1,0),FALSE)),VLOOKUP($A181,Haver_M!$B$1:$BZ$300,MATCH(data!BS$1,Haver_M!$B$1:$BZ$1,0),FALSE),"")</f>
        <v>214.9551415868564</v>
      </c>
      <c r="BT181">
        <f>IF(ISNUMBER(VLOOKUP($A181,Haver_M!$B$1:$BZ$300,MATCH(data!BT$1,Haver_M!$B$1:$BZ$1,0),FALSE)),VLOOKUP($A181,Haver_M!$B$1:$BZ$300,MATCH(data!BT$1,Haver_M!$B$1:$BZ$1,0),FALSE),"")</f>
        <v>922.17981610440938</v>
      </c>
      <c r="BU181">
        <f>IF(ISNUMBER(VLOOKUP($A181,Haver_M!$B$1:$BZ$300,MATCH(data!BU$1,Haver_M!$B$1:$BZ$1,0),FALSE)),VLOOKUP($A181,Haver_M!$B$1:$BZ$300,MATCH(data!BU$1,Haver_M!$B$1:$BZ$1,0),FALSE),"")</f>
        <v>26172.79</v>
      </c>
      <c r="BV181">
        <f>IF(ISNUMBER(VLOOKUP($A181,Haver_M!$B$1:$BZ$300,MATCH(data!BV$1,Haver_M!$B$1:$BZ$1,0),FALSE)),VLOOKUP($A181,Haver_M!$B$1:$BZ$300,MATCH(data!BV$1,Haver_M!$B$1:$BZ$1,0),FALSE),"")</f>
        <v>35333.269999999997</v>
      </c>
      <c r="BW181">
        <f>IF(ISNUMBER(VLOOKUP($A181,Haver_M!$B$1:$BZ$300,MATCH(data!BW$1,Haver_M!$B$1:$BZ$1,0),FALSE)),VLOOKUP($A181,Haver_M!$B$1:$BZ$300,MATCH(data!BW$1,Haver_M!$B$1:$BZ$1,0),FALSE),"")</f>
        <v>62.753</v>
      </c>
      <c r="BX181">
        <f>IF(ISNUMBER(VLOOKUP($A181,Haver_M!$B$1:$BZ$300,MATCH(data!BX$1,Haver_M!$B$1:$BZ$1,0),FALSE)),VLOOKUP($A181,Haver_M!$B$1:$BZ$300,MATCH(data!BX$1,Haver_M!$B$1:$BZ$1,0),FALSE),"")</f>
        <v>54107</v>
      </c>
    </row>
    <row r="182" spans="1:76" x14ac:dyDescent="0.25">
      <c r="A182" s="2">
        <v>42035</v>
      </c>
      <c r="B182" t="str">
        <f>IF(ISNUMBER(VLOOKUP($A182,Haver_Q!$B$1:$L$185,MATCH(data!B$1,Haver_Q!$B$1:$L$1,0),FALSE)),100*(VLOOKUP($A182,Haver_Q!$B$1:$L$185,MATCH(data!B$1,Haver_Q!$B$1:$L$1,0),FALSE)),"")</f>
        <v/>
      </c>
      <c r="C182" t="str">
        <f>IF(ISNUMBER(VLOOKUP($A182,Haver_Q!$B$1:$L$185,MATCH(data!C$1,Haver_Q!$B$1:$L$1,0),FALSE)),100*(VLOOKUP($A182,Haver_Q!$B$1:$L$185,MATCH(data!C$1,Haver_Q!$B$1:$L$1,0),FALSE)),"")</f>
        <v/>
      </c>
      <c r="D182" t="str">
        <f>IF(ISNUMBER(VLOOKUP($A182,Haver_Q!$B$1:$L$185,MATCH(data!D$1,Haver_Q!$B$1:$L$1,0),FALSE)),100*(VLOOKUP($A182,Haver_Q!$B$1:$L$185,MATCH(data!D$1,Haver_Q!$B$1:$L$1,0),FALSE)),"")</f>
        <v/>
      </c>
      <c r="E182" t="str">
        <f>IF(ISNUMBER(VLOOKUP($A182,Haver_Q!$B$1:$L$185,MATCH(data!E$1,Haver_Q!$B$1:$L$1,0),FALSE)),100*(VLOOKUP($A182,Haver_Q!$B$1:$L$185,MATCH(data!E$1,Haver_Q!$B$1:$L$1,0),FALSE)),"")</f>
        <v/>
      </c>
      <c r="F182" t="str">
        <f>IF(ISNUMBER(VLOOKUP($A182,Haver_Q!$B$1:$L$185,MATCH(data!F$1,Haver_Q!$B$1:$L$1,0),FALSE)),100*(VLOOKUP($A182,Haver_Q!$B$1:$L$185,MATCH(data!F$1,Haver_Q!$B$1:$L$1,0),FALSE)),"")</f>
        <v/>
      </c>
      <c r="G182" t="str">
        <f>IF(ISNUMBER(VLOOKUP($A182,Haver_Q!$B$1:$L$185,MATCH(data!G$1,Haver_Q!$B$1:$L$1,0),FALSE)),100*(VLOOKUP($A182,Haver_Q!$B$1:$L$185,MATCH(data!G$1,Haver_Q!$B$1:$L$1,0),FALSE)),"")</f>
        <v/>
      </c>
      <c r="H182" t="str">
        <f>IF(ISNUMBER(VLOOKUP($A182,Haver_Q!$B$1:$L$185,MATCH(data!H$1,Haver_Q!$B$1:$L$1,0),FALSE)),(VLOOKUP($A182,Haver_Q!$B$1:$L$185,MATCH(data!H$1,Haver_Q!$B$1:$L$1,0),FALSE)),"")</f>
        <v/>
      </c>
      <c r="I182" t="str">
        <f>IF(ISNUMBER(VLOOKUP($A182,Haver_Q!$B$1:$L$185,MATCH(data!I$1,Haver_Q!$B$1:$L$1,0),FALSE)),100*(VLOOKUP($A182,Haver_Q!$B$1:$L$185,MATCH(data!I$1,Haver_Q!$B$1:$L$1,0),FALSE)),"")</f>
        <v/>
      </c>
      <c r="J182" s="3">
        <f>IF(ISNUMBER(Bloomberg_m!C198),Bloomberg_m!C198,"")</f>
        <v>725</v>
      </c>
      <c r="K182" s="3">
        <f>IF(ISNUMBER(Bloomberg_m!D198),Bloomberg_m!D198,"")</f>
        <v>2032.7</v>
      </c>
      <c r="L182" s="3">
        <f>IF(ISNUMBER(Bloomberg_m!E198),Bloomberg_m!E198,"")</f>
        <v>1051.76</v>
      </c>
      <c r="M182" s="3">
        <f>IF(ISNUMBER(Bloomberg_m!F198),Bloomberg_m!F198,"")</f>
        <v>492.94</v>
      </c>
      <c r="N182">
        <f>IF(ISNUMBER(VLOOKUP($A182,Haver_M!$B$1:$BZ$300,MATCH(data!N$1,Haver_M!$B$1:$BZ$1,0),FALSE)),VLOOKUP($A182,Haver_M!$B$1:$BZ$300,MATCH(data!N$1,Haver_M!$B$1:$BZ$1,0),FALSE),"")</f>
        <v>7.75</v>
      </c>
      <c r="O182">
        <f>IF(ISNUMBER(VLOOKUP($A182,Haver_M!$B$1:$BZ$300,MATCH(data!O$1,Haver_M!$B$1:$BZ$1,0),FALSE)),VLOOKUP($A182,Haver_M!$B$1:$BZ$300,MATCH(data!O$1,Haver_M!$B$1:$BZ$1,0),FALSE),"")</f>
        <v>7.6872999999999996</v>
      </c>
      <c r="P182">
        <f>IF(ISNUMBER(VLOOKUP($A182,Haver_M!$B$1:$BZ$300,MATCH(data!P$1,Haver_M!$B$1:$BZ$1,0),FALSE)),VLOOKUP($A182,Haver_M!$B$1:$BZ$300,MATCH(data!P$1,Haver_M!$B$1:$BZ$1,0),FALSE),"")</f>
        <v>93.004409999999993</v>
      </c>
      <c r="Q182">
        <f>IF(ISNUMBER(VLOOKUP($A182,Haver_M!$B$1:$BZ$300,MATCH(data!Q$1,Haver_M!$B$1:$BZ$1,0),FALSE)),VLOOKUP($A182,Haver_M!$B$1:$BZ$300,MATCH(data!Q$1,Haver_M!$B$1:$BZ$1,0),FALSE),"")</f>
        <v>119.5</v>
      </c>
      <c r="R182">
        <f>IF(ISNUMBER(VLOOKUP($A182,Haver_M!$B$1:$BZ$300,MATCH(data!R$1,Haver_M!$B$1:$BZ$1,0),FALSE)),VLOOKUP($A182,Haver_M!$B$1:$BZ$300,MATCH(data!R$1,Haver_M!$B$1:$BZ$1,0),FALSE),"")</f>
        <v>117.7</v>
      </c>
      <c r="S182">
        <f>IF(ISNUMBER(VLOOKUP($A182,Haver_M!$B$1:$BZ$300,MATCH(data!S$1,Haver_M!$B$1:$BZ$1,0),FALSE)),VLOOKUP($A182,Haver_M!$B$1:$BZ$300,MATCH(data!S$1,Haver_M!$B$1:$BZ$1,0),FALSE),"")</f>
        <v>111.07</v>
      </c>
      <c r="T182">
        <f>IF(ISNUMBER(VLOOKUP($A182,Haver_M!$B$1:$BZ$300,MATCH(data!T$1,Haver_M!$B$1:$BZ$1,0),FALSE)),VLOOKUP($A182,Haver_M!$B$1:$BZ$300,MATCH(data!T$1,Haver_M!$B$1:$BZ$1,0),FALSE),"")</f>
        <v>107.78</v>
      </c>
      <c r="U182">
        <f>IF(ISNUMBER(VLOOKUP($A182,Haver_M!$B$1:$BZ$300,MATCH(data!U$1,Haver_M!$B$1:$BZ$1,0),FALSE)),VLOOKUP($A182,Haver_M!$B$1:$BZ$300,MATCH(data!U$1,Haver_M!$B$1:$BZ$1,0),FALSE),"")</f>
        <v>91.2</v>
      </c>
      <c r="V182">
        <f>IF(ISNUMBER(VLOOKUP($A182,Haver_M!$B$1:$BZ$300,MATCH(data!V$1,Haver_M!$B$1:$BZ$1,0),FALSE)),VLOOKUP($A182,Haver_M!$B$1:$BZ$300,MATCH(data!V$1,Haver_M!$B$1:$BZ$1,0),FALSE),"")</f>
        <v>115.77</v>
      </c>
      <c r="W182">
        <f>IF(ISNUMBER(VLOOKUP($A182,Haver_M!$B$1:$BZ$300,MATCH(data!W$1,Haver_M!$B$1:$BZ$1,0),FALSE)),VLOOKUP($A182,Haver_M!$B$1:$BZ$300,MATCH(data!W$1,Haver_M!$B$1:$BZ$1,0),FALSE),"")</f>
        <v>118.2</v>
      </c>
      <c r="X182">
        <f>IF(ISNUMBER(VLOOKUP($A182,Haver_M!$B$1:$BZ$300,MATCH(data!X$1,Haver_M!$B$1:$BZ$1,0),FALSE)),VLOOKUP($A182,Haver_M!$B$1:$BZ$300,MATCH(data!X$1,Haver_M!$B$1:$BZ$1,0),FALSE),"")</f>
        <v>115.48</v>
      </c>
      <c r="Y182">
        <f>IF(ISNUMBER(VLOOKUP($A182,Haver_M!$B$1:$BZ$300,MATCH(data!Y$1,Haver_M!$B$1:$BZ$1,0),FALSE)),VLOOKUP($A182,Haver_M!$B$1:$BZ$300,MATCH(data!Y$1,Haver_M!$B$1:$BZ$1,0),FALSE),"")</f>
        <v>114.01</v>
      </c>
      <c r="Z182">
        <f>IF(ISNUMBER(VLOOKUP($A182,Haver_M!$B$1:$BZ$300,MATCH(data!Z$1,Haver_M!$B$1:$BZ$1,0),FALSE)),VLOOKUP($A182,Haver_M!$B$1:$BZ$300,MATCH(data!Z$1,Haver_M!$B$1:$BZ$1,0),FALSE),"")</f>
        <v>111.6</v>
      </c>
      <c r="AA182">
        <f>IF(ISNUMBER(VLOOKUP($A182,Haver_M!$B$1:$BZ$300,MATCH(data!AA$1,Haver_M!$B$1:$BZ$1,0),FALSE)),VLOOKUP($A182,Haver_M!$B$1:$BZ$300,MATCH(data!AA$1,Haver_M!$B$1:$BZ$1,0),FALSE),"")</f>
        <v>108.411</v>
      </c>
      <c r="AB182">
        <f>IF(ISNUMBER(VLOOKUP($A182,Haver_M!$B$1:$BZ$300,MATCH(data!AB$1,Haver_M!$B$1:$BZ$1,0),FALSE)),VLOOKUP($A182,Haver_M!$B$1:$BZ$300,MATCH(data!AB$1,Haver_M!$B$1:$BZ$1,0),FALSE),"")</f>
        <v>99.242000000000004</v>
      </c>
      <c r="AC182">
        <f>IF(ISNUMBER(VLOOKUP($A182,Haver_M!$B$1:$BZ$300,MATCH(data!AC$1,Haver_M!$B$1:$BZ$1,0),FALSE)),VLOOKUP($A182,Haver_M!$B$1:$BZ$300,MATCH(data!AC$1,Haver_M!$B$1:$BZ$1,0),FALSE),"")</f>
        <v>71.234999999999999</v>
      </c>
      <c r="AD182">
        <f>IF(ISNUMBER(VLOOKUP($A182,Haver_M!$B$1:$BZ$300,MATCH(data!AD$1,Haver_M!$B$1:$BZ$1,0),FALSE)),VLOOKUP($A182,Haver_M!$B$1:$BZ$300,MATCH(data!AD$1,Haver_M!$B$1:$BZ$1,0),FALSE),"")</f>
        <v>109.16500000000001</v>
      </c>
      <c r="AE182">
        <f>IF(ISNUMBER(VLOOKUP($A182,Haver_M!$B$1:$BZ$300,MATCH(data!AE$1,Haver_M!$B$1:$BZ$1,0),FALSE)),VLOOKUP($A182,Haver_M!$B$1:$BZ$300,MATCH(data!AE$1,Haver_M!$B$1:$BZ$1,0),FALSE),"")</f>
        <v>105.70699999999999</v>
      </c>
      <c r="AF182">
        <f>IF(ISNUMBER(VLOOKUP($A182,Haver_M!$B$1:$BZ$300,MATCH(data!AF$1,Haver_M!$B$1:$BZ$1,0),FALSE)),VLOOKUP($A182,Haver_M!$B$1:$BZ$300,MATCH(data!AF$1,Haver_M!$B$1:$BZ$1,0),FALSE),"")</f>
        <v>122.901</v>
      </c>
      <c r="AG182">
        <f>IF(ISNUMBER(VLOOKUP($A182,Haver_M!$B$1:$BZ$300,MATCH(data!AG$1,Haver_M!$B$1:$BZ$1,0),FALSE)),VLOOKUP($A182,Haver_M!$B$1:$BZ$300,MATCH(data!AG$1,Haver_M!$B$1:$BZ$1,0),FALSE),"")</f>
        <v>116.85899999999999</v>
      </c>
      <c r="AH182">
        <f>IF(ISNUMBER(VLOOKUP($A182,Haver_M!$B$1:$BZ$300,MATCH(data!AH$1,Haver_M!$B$1:$BZ$1,0),FALSE)),VLOOKUP($A182,Haver_M!$B$1:$BZ$300,MATCH(data!AH$1,Haver_M!$B$1:$BZ$1,0),FALSE),"")</f>
        <v>126.699</v>
      </c>
      <c r="AI182">
        <f>IF(ISNUMBER(VLOOKUP($A182,Haver_M!$B$1:$BZ$300,MATCH(data!AI$1,Haver_M!$B$1:$BZ$1,0),FALSE)),VLOOKUP($A182,Haver_M!$B$1:$BZ$300,MATCH(data!AI$1,Haver_M!$B$1:$BZ$1,0),FALSE),"")</f>
        <v>13867.869406659165</v>
      </c>
      <c r="AJ182">
        <f>IF(ISNUMBER(VLOOKUP($A182,Haver_M!$B$1:$BZ$300,MATCH(data!AJ$1,Haver_M!$B$1:$BZ$1,0),FALSE)),VLOOKUP($A182,Haver_M!$B$1:$BZ$300,MATCH(data!AJ$1,Haver_M!$B$1:$BZ$1,0),FALSE),"")</f>
        <v>24530.799999999999</v>
      </c>
      <c r="AK182">
        <f>IF(ISNUMBER(VLOOKUP($A182,Haver_M!$B$1:$BZ$300,MATCH(data!AK$1,Haver_M!$B$1:$BZ$1,0),FALSE)),VLOOKUP($A182,Haver_M!$B$1:$BZ$300,MATCH(data!AK$1,Haver_M!$B$1:$BZ$1,0),FALSE),"")</f>
        <v>32757.39</v>
      </c>
      <c r="AL182">
        <f>IF(ISNUMBER(VLOOKUP($A182,Haver_M!$B$1:$BZ$300,MATCH(data!AL$1,Haver_M!$B$1:$BZ$1,0),FALSE)),VLOOKUP($A182,Haver_M!$B$1:$BZ$300,MATCH(data!AL$1,Haver_M!$B$1:$BZ$1,0),FALSE),"")</f>
        <v>14250</v>
      </c>
      <c r="AM182">
        <f>IF(ISNUMBER(VLOOKUP($A182,Haver_M!$B$1:$BZ$300,MATCH(data!AM$1,Haver_M!$B$1:$BZ$1,0),FALSE)),VLOOKUP($A182,Haver_M!$B$1:$BZ$300,MATCH(data!AM$1,Haver_M!$B$1:$BZ$1,0),FALSE),"")</f>
        <v>7788</v>
      </c>
      <c r="AN182" t="str">
        <f>IF(ISNUMBER(VLOOKUP($A182,Haver_M!$B$1:$BZ$300,MATCH(data!AN$1,Haver_M!$B$1:$BZ$1,0),FALSE)),VLOOKUP($A182,Haver_M!$B$1:$BZ$300,MATCH(data!AN$1,Haver_M!$B$1:$BZ$1,0),FALSE),"")</f>
        <v/>
      </c>
      <c r="AO182" t="str">
        <f>IF(ISNUMBER(VLOOKUP($A182,Haver_M!$B$1:$BZ$300,MATCH(data!AO$1,Haver_M!$B$1:$BZ$1,0),FALSE)),VLOOKUP($A182,Haver_M!$B$1:$BZ$300,MATCH(data!AO$1,Haver_M!$B$1:$BZ$1,0),FALSE),"")</f>
        <v/>
      </c>
      <c r="AP182">
        <f>IF(ISNUMBER(VLOOKUP($A182,Haver_M!$B$1:$BZ$300,MATCH(data!AP$1,Haver_M!$B$1:$BZ$1,0),FALSE)),VLOOKUP($A182,Haver_M!$B$1:$BZ$300,MATCH(data!AP$1,Haver_M!$B$1:$BZ$1,0),FALSE),"")</f>
        <v>115.65390032455824</v>
      </c>
      <c r="AQ182">
        <f>IF(ISNUMBER(VLOOKUP($A182,Haver_M!$B$1:$BZ$300,MATCH(data!AQ$1,Haver_M!$B$1:$BZ$1,0),FALSE)),VLOOKUP($A182,Haver_M!$B$1:$BZ$300,MATCH(data!AQ$1,Haver_M!$B$1:$BZ$1,0),FALSE),"")</f>
        <v>53.271900000000002</v>
      </c>
      <c r="AR182">
        <f>IF(ISNUMBER(VLOOKUP($A182,Haver_M!$B$1:$BZ$300,MATCH(data!AR$1,Haver_M!$B$1:$BZ$1,0),FALSE)),VLOOKUP($A182,Haver_M!$B$1:$BZ$300,MATCH(data!AR$1,Haver_M!$B$1:$BZ$1,0),FALSE),"")</f>
        <v>52.9345</v>
      </c>
      <c r="AS182">
        <f>IF(ISNUMBER(VLOOKUP($A182,Haver_M!$B$1:$BZ$300,MATCH(data!AS$1,Haver_M!$B$1:$BZ$1,0),FALSE)),VLOOKUP($A182,Haver_M!$B$1:$BZ$300,MATCH(data!AS$1,Haver_M!$B$1:$BZ$1,0),FALSE),"")</f>
        <v>52.400500000000001</v>
      </c>
      <c r="AT182">
        <f>IF(ISNUMBER(VLOOKUP($A182,Haver_M!$B$1:$BZ$300,MATCH(data!AT$1,Haver_M!$B$1:$BZ$1,0),FALSE)),VLOOKUP($A182,Haver_M!$B$1:$BZ$300,MATCH(data!AT$1,Haver_M!$B$1:$BZ$1,0),FALSE),"")</f>
        <v>55.407200000000003</v>
      </c>
      <c r="AU182">
        <f>IF(ISNUMBER(VLOOKUP($A182,Haver_M!$B$1:$BZ$300,MATCH(data!AU$1,Haver_M!$B$1:$BZ$1,0),FALSE)),VLOOKUP($A182,Haver_M!$B$1:$BZ$300,MATCH(data!AU$1,Haver_M!$B$1:$BZ$1,0),FALSE),"")</f>
        <v>54.436500000000002</v>
      </c>
      <c r="AV182">
        <f>IF(ISNUMBER(VLOOKUP($A182,Haver_M!$B$1:$BZ$300,MATCH(data!AV$1,Haver_M!$B$1:$BZ$1,0),FALSE)),VLOOKUP($A182,Haver_M!$B$1:$BZ$300,MATCH(data!AV$1,Haver_M!$B$1:$BZ$1,0),FALSE),"")</f>
        <v>50.368600000000001</v>
      </c>
      <c r="AW182">
        <f>IF(ISNUMBER(VLOOKUP($A182,Haver_M!$B$1:$BZ$300,MATCH(data!AW$1,Haver_M!$B$1:$BZ$1,0),FALSE)),VLOOKUP($A182,Haver_M!$B$1:$BZ$300,MATCH(data!AW$1,Haver_M!$B$1:$BZ$1,0),FALSE),"")</f>
        <v>50.487400000000001</v>
      </c>
      <c r="AX182">
        <f>IF(ISNUMBER(VLOOKUP($A182,Haver_M!$B$1:$BZ$300,MATCH(data!AX$1,Haver_M!$B$1:$BZ$1,0),FALSE)),VLOOKUP($A182,Haver_M!$B$1:$BZ$300,MATCH(data!AX$1,Haver_M!$B$1:$BZ$1,0),FALSE),"")</f>
        <v>52.511499999999998</v>
      </c>
      <c r="AY182">
        <f>IF(ISNUMBER(VLOOKUP($A182,Haver_M!$B$1:$BZ$300,MATCH(data!AY$1,Haver_M!$B$1:$BZ$1,0),FALSE)),VLOOKUP($A182,Haver_M!$B$1:$BZ$300,MATCH(data!AY$1,Haver_M!$B$1:$BZ$1,0),FALSE),"")</f>
        <v>50.253100000000003</v>
      </c>
      <c r="AZ182">
        <f>IF(ISNUMBER(VLOOKUP($A182,Haver_M!$B$1:$BZ$300,MATCH(data!AZ$1,Haver_M!$B$1:$BZ$1,0),FALSE)),VLOOKUP($A182,Haver_M!$B$1:$BZ$300,MATCH(data!AZ$1,Haver_M!$B$1:$BZ$1,0),FALSE),"")</f>
        <v>53.733800000000002</v>
      </c>
      <c r="BA182">
        <f>IF(ISNUMBER(VLOOKUP($A182,Haver_M!$B$1:$BZ$300,MATCH(data!BA$1,Haver_M!$B$1:$BZ$1,0),FALSE)),VLOOKUP($A182,Haver_M!$B$1:$BZ$300,MATCH(data!BA$1,Haver_M!$B$1:$BZ$1,0),FALSE),"")</f>
        <v>52.511499999999998</v>
      </c>
      <c r="BB182">
        <f>IF(ISNUMBER(VLOOKUP($A182,Haver_M!$B$1:$BZ$300,MATCH(data!BB$1,Haver_M!$B$1:$BZ$1,0),FALSE)),VLOOKUP($A182,Haver_M!$B$1:$BZ$300,MATCH(data!BB$1,Haver_M!$B$1:$BZ$1,0),FALSE),"")</f>
        <v>54.919800000000002</v>
      </c>
      <c r="BC182">
        <f>IF(ISNUMBER(VLOOKUP($A182,Haver_M!$B$1:$BZ$300,MATCH(data!BC$1,Haver_M!$B$1:$BZ$1,0),FALSE)),VLOOKUP($A182,Haver_M!$B$1:$BZ$300,MATCH(data!BC$1,Haver_M!$B$1:$BZ$1,0),FALSE),"")</f>
        <v>50.632399999999997</v>
      </c>
      <c r="BD182">
        <f>IF(ISNUMBER(VLOOKUP($A182,Haver_M!$B$1:$BZ$300,MATCH(data!BD$1,Haver_M!$B$1:$BZ$1,0),FALSE)),VLOOKUP($A182,Haver_M!$B$1:$BZ$300,MATCH(data!BD$1,Haver_M!$B$1:$BZ$1,0),FALSE),"")</f>
        <v>53.133299999999998</v>
      </c>
      <c r="BE182">
        <f>IF(ISNUMBER(VLOOKUP($A182,Haver_M!$B$1:$BZ$300,MATCH(data!BE$1,Haver_M!$B$1:$BZ$1,0),FALSE)),VLOOKUP($A182,Haver_M!$B$1:$BZ$300,MATCH(data!BE$1,Haver_M!$B$1:$BZ$1,0),FALSE),"")</f>
        <v>1.0831</v>
      </c>
      <c r="BF182">
        <f>IF(ISNUMBER(VLOOKUP($A182,Haver_M!$B$1:$BZ$300,MATCH(data!BF$1,Haver_M!$B$1:$BZ$1,0),FALSE)),VLOOKUP($A182,Haver_M!$B$1:$BZ$300,MATCH(data!BF$1,Haver_M!$B$1:$BZ$1,0),FALSE),"")</f>
        <v>50.218000000000004</v>
      </c>
      <c r="BG182">
        <f>IF(ISNUMBER(VLOOKUP($A182,Haver_M!$B$1:$BZ$300,MATCH(data!BG$1,Haver_M!$B$1:$BZ$1,0),FALSE)),VLOOKUP($A182,Haver_M!$B$1:$BZ$300,MATCH(data!BG$1,Haver_M!$B$1:$BZ$1,0),FALSE),"")</f>
        <v>51.425600000000003</v>
      </c>
      <c r="BH182">
        <f>IF(ISNUMBER(VLOOKUP($A182,Haver_M!$B$1:$BZ$300,MATCH(data!BH$1,Haver_M!$B$1:$BZ$1,0),FALSE)),VLOOKUP($A182,Haver_M!$B$1:$BZ$300,MATCH(data!BH$1,Haver_M!$B$1:$BZ$1,0),FALSE),"")</f>
        <v>52.075600000000001</v>
      </c>
      <c r="BI182">
        <f>IF(ISNUMBER(VLOOKUP($A182,Haver_M!$B$1:$BZ$300,MATCH(data!BI$1,Haver_M!$B$1:$BZ$1,0),FALSE)),VLOOKUP($A182,Haver_M!$B$1:$BZ$300,MATCH(data!BI$1,Haver_M!$B$1:$BZ$1,0),FALSE),"")</f>
        <v>52.782299999999999</v>
      </c>
      <c r="BJ182">
        <f>IF(ISNUMBER(VLOOKUP($A182,Haver_M!$B$1:$BZ$300,MATCH(data!BJ$1,Haver_M!$B$1:$BZ$1,0),FALSE)),VLOOKUP($A182,Haver_M!$B$1:$BZ$300,MATCH(data!BJ$1,Haver_M!$B$1:$BZ$1,0),FALSE),"")</f>
        <v>51.940199999999997</v>
      </c>
      <c r="BK182">
        <f>IF(ISNUMBER(VLOOKUP($A182,Haver_M!$B$1:$BZ$300,MATCH(data!BK$1,Haver_M!$B$1:$BZ$1,0),FALSE)),VLOOKUP($A182,Haver_M!$B$1:$BZ$300,MATCH(data!BK$1,Haver_M!$B$1:$BZ$1,0),FALSE),"")</f>
        <v>50.862099999999998</v>
      </c>
      <c r="BL182">
        <f>IF(ISNUMBER(VLOOKUP($A182,Haver_M!$B$1:$BZ$300,MATCH(data!BL$1,Haver_M!$B$1:$BZ$1,0),FALSE)),VLOOKUP($A182,Haver_M!$B$1:$BZ$300,MATCH(data!BL$1,Haver_M!$B$1:$BZ$1,0),FALSE),"")</f>
        <v>28220.84</v>
      </c>
      <c r="BM182">
        <f>IF(ISNUMBER(VLOOKUP($A182,Haver_M!$B$1:$BZ$300,MATCH(data!BM$1,Haver_M!$B$1:$BZ$1,0),FALSE)),VLOOKUP($A182,Haver_M!$B$1:$BZ$300,MATCH(data!BM$1,Haver_M!$B$1:$BZ$1,0),FALSE),"")</f>
        <v>100.52407429</v>
      </c>
      <c r="BN182" t="str">
        <f>IF(ISNUMBER(VLOOKUP($A182,Haver_M!$B$1:$BZ$300,MATCH(data!BN$1,Haver_M!$B$1:$BZ$1,0),FALSE)),VLOOKUP($A182,Haver_M!$B$1:$BZ$300,MATCH(data!BN$1,Haver_M!$B$1:$BZ$1,0),FALSE),"")</f>
        <v/>
      </c>
      <c r="BO182" t="str">
        <f>IF(ISNUMBER(VLOOKUP($A182,Haver_M!$B$1:$BZ$300,MATCH(data!BO$1,Haver_M!$B$1:$BZ$1,0),FALSE)),VLOOKUP($A182,Haver_M!$B$1:$BZ$300,MATCH(data!BO$1,Haver_M!$B$1:$BZ$1,0),FALSE),"")</f>
        <v/>
      </c>
      <c r="BP182" t="str">
        <f>IF(ISNUMBER(VLOOKUP($A182,Haver_M!$B$1:$BZ$300,MATCH(data!BP$1,Haver_M!$B$1:$BZ$1,0),FALSE)),VLOOKUP($A182,Haver_M!$B$1:$BZ$300,MATCH(data!BP$1,Haver_M!$B$1:$BZ$1,0),FALSE),"")</f>
        <v/>
      </c>
      <c r="BQ182">
        <f>IF(ISNUMBER(VLOOKUP($A182,Haver_M!$B$1:$BZ$300,MATCH(data!BQ$1,Haver_M!$B$1:$BZ$1,0),FALSE)),VLOOKUP($A182,Haver_M!$B$1:$BZ$300,MATCH(data!BQ$1,Haver_M!$B$1:$BZ$1,0),FALSE),"")</f>
        <v>183.60425481993832</v>
      </c>
      <c r="BR182">
        <f>IF(ISNUMBER(VLOOKUP($A182,Haver_M!$B$1:$BZ$300,MATCH(data!BR$1,Haver_M!$B$1:$BZ$1,0),FALSE)),VLOOKUP($A182,Haver_M!$B$1:$BZ$300,MATCH(data!BR$1,Haver_M!$B$1:$BZ$1,0),FALSE),"")</f>
        <v>414.48705442589016</v>
      </c>
      <c r="BS182">
        <f>IF(ISNUMBER(VLOOKUP($A182,Haver_M!$B$1:$BZ$300,MATCH(data!BS$1,Haver_M!$B$1:$BZ$1,0),FALSE)),VLOOKUP($A182,Haver_M!$B$1:$BZ$300,MATCH(data!BS$1,Haver_M!$B$1:$BZ$1,0),FALSE),"")</f>
        <v>217.38182975256285</v>
      </c>
      <c r="BT182">
        <f>IF(ISNUMBER(VLOOKUP($A182,Haver_M!$B$1:$BZ$300,MATCH(data!BT$1,Haver_M!$B$1:$BZ$1,0),FALSE)),VLOOKUP($A182,Haver_M!$B$1:$BZ$300,MATCH(data!BT$1,Haver_M!$B$1:$BZ$1,0),FALSE),"")</f>
        <v>936.15825564596093</v>
      </c>
      <c r="BU182">
        <f>IF(ISNUMBER(VLOOKUP($A182,Haver_M!$B$1:$BZ$300,MATCH(data!BU$1,Haver_M!$B$1:$BZ$1,0),FALSE)),VLOOKUP($A182,Haver_M!$B$1:$BZ$300,MATCH(data!BU$1,Haver_M!$B$1:$BZ$1,0),FALSE),"")</f>
        <v>24415.17</v>
      </c>
      <c r="BV182">
        <f>IF(ISNUMBER(VLOOKUP($A182,Haver_M!$B$1:$BZ$300,MATCH(data!BV$1,Haver_M!$B$1:$BZ$1,0),FALSE)),VLOOKUP($A182,Haver_M!$B$1:$BZ$300,MATCH(data!BV$1,Haver_M!$B$1:$BZ$1,0),FALSE),"")</f>
        <v>32265.37</v>
      </c>
      <c r="BW182">
        <f>IF(ISNUMBER(VLOOKUP($A182,Haver_M!$B$1:$BZ$300,MATCH(data!BW$1,Haver_M!$B$1:$BZ$1,0),FALSE)),VLOOKUP($A182,Haver_M!$B$1:$BZ$300,MATCH(data!BW$1,Haver_M!$B$1:$BZ$1,0),FALSE),"")</f>
        <v>62.225900000000003</v>
      </c>
      <c r="BX182">
        <f>IF(ISNUMBER(VLOOKUP($A182,Haver_M!$B$1:$BZ$300,MATCH(data!BX$1,Haver_M!$B$1:$BZ$1,0),FALSE)),VLOOKUP($A182,Haver_M!$B$1:$BZ$300,MATCH(data!BX$1,Haver_M!$B$1:$BZ$1,0),FALSE),"")</f>
        <v>53311</v>
      </c>
    </row>
    <row r="183" spans="1:76" x14ac:dyDescent="0.25">
      <c r="A183" s="2">
        <v>42063</v>
      </c>
      <c r="B183" t="str">
        <f>IF(ISNUMBER(VLOOKUP($A183,Haver_Q!$B$1:$L$185,MATCH(data!B$1,Haver_Q!$B$1:$L$1,0),FALSE)),100*(VLOOKUP($A183,Haver_Q!$B$1:$L$185,MATCH(data!B$1,Haver_Q!$B$1:$L$1,0),FALSE)),"")</f>
        <v/>
      </c>
      <c r="C183" t="str">
        <f>IF(ISNUMBER(VLOOKUP($A183,Haver_Q!$B$1:$L$185,MATCH(data!C$1,Haver_Q!$B$1:$L$1,0),FALSE)),100*(VLOOKUP($A183,Haver_Q!$B$1:$L$185,MATCH(data!C$1,Haver_Q!$B$1:$L$1,0),FALSE)),"")</f>
        <v/>
      </c>
      <c r="D183" t="str">
        <f>IF(ISNUMBER(VLOOKUP($A183,Haver_Q!$B$1:$L$185,MATCH(data!D$1,Haver_Q!$B$1:$L$1,0),FALSE)),100*(VLOOKUP($A183,Haver_Q!$B$1:$L$185,MATCH(data!D$1,Haver_Q!$B$1:$L$1,0),FALSE)),"")</f>
        <v/>
      </c>
      <c r="E183" t="str">
        <f>IF(ISNUMBER(VLOOKUP($A183,Haver_Q!$B$1:$L$185,MATCH(data!E$1,Haver_Q!$B$1:$L$1,0),FALSE)),100*(VLOOKUP($A183,Haver_Q!$B$1:$L$185,MATCH(data!E$1,Haver_Q!$B$1:$L$1,0),FALSE)),"")</f>
        <v/>
      </c>
      <c r="F183" t="str">
        <f>IF(ISNUMBER(VLOOKUP($A183,Haver_Q!$B$1:$L$185,MATCH(data!F$1,Haver_Q!$B$1:$L$1,0),FALSE)),100*(VLOOKUP($A183,Haver_Q!$B$1:$L$185,MATCH(data!F$1,Haver_Q!$B$1:$L$1,0),FALSE)),"")</f>
        <v/>
      </c>
      <c r="G183" t="str">
        <f>IF(ISNUMBER(VLOOKUP($A183,Haver_Q!$B$1:$L$185,MATCH(data!G$1,Haver_Q!$B$1:$L$1,0),FALSE)),100*(VLOOKUP($A183,Haver_Q!$B$1:$L$185,MATCH(data!G$1,Haver_Q!$B$1:$L$1,0),FALSE)),"")</f>
        <v/>
      </c>
      <c r="H183" t="str">
        <f>IF(ISNUMBER(VLOOKUP($A183,Haver_Q!$B$1:$L$185,MATCH(data!H$1,Haver_Q!$B$1:$L$1,0),FALSE)),(VLOOKUP($A183,Haver_Q!$B$1:$L$185,MATCH(data!H$1,Haver_Q!$B$1:$L$1,0),FALSE)),"")</f>
        <v/>
      </c>
      <c r="I183" t="str">
        <f>IF(ISNUMBER(VLOOKUP($A183,Haver_Q!$B$1:$L$185,MATCH(data!I$1,Haver_Q!$B$1:$L$1,0),FALSE)),100*(VLOOKUP($A183,Haver_Q!$B$1:$L$185,MATCH(data!I$1,Haver_Q!$B$1:$L$1,0),FALSE)),"")</f>
        <v/>
      </c>
      <c r="J183" s="3">
        <f>IF(ISNUMBER(Bloomberg_m!C199),Bloomberg_m!C199,"")</f>
        <v>539</v>
      </c>
      <c r="K183" s="3">
        <f>IF(ISNUMBER(Bloomberg_m!D199),Bloomberg_m!D199,"")</f>
        <v>2101.27</v>
      </c>
      <c r="L183" s="3">
        <f>IF(ISNUMBER(Bloomberg_m!E199),Bloomberg_m!E199,"")</f>
        <v>1066.21</v>
      </c>
      <c r="M183" s="3">
        <f>IF(ISNUMBER(Bloomberg_m!F199),Bloomberg_m!F199,"")</f>
        <v>507.89</v>
      </c>
      <c r="N183">
        <f>IF(ISNUMBER(VLOOKUP($A183,Haver_M!$B$1:$BZ$300,MATCH(data!N$1,Haver_M!$B$1:$BZ$1,0),FALSE)),VLOOKUP($A183,Haver_M!$B$1:$BZ$300,MATCH(data!N$1,Haver_M!$B$1:$BZ$1,0),FALSE),"")</f>
        <v>7.75</v>
      </c>
      <c r="O183">
        <f>IF(ISNUMBER(VLOOKUP($A183,Haver_M!$B$1:$BZ$300,MATCH(data!O$1,Haver_M!$B$1:$BZ$1,0),FALSE)),VLOOKUP($A183,Haver_M!$B$1:$BZ$300,MATCH(data!O$1,Haver_M!$B$1:$BZ$1,0),FALSE),"")</f>
        <v>7.7655000000000003</v>
      </c>
      <c r="P183">
        <f>IF(ISNUMBER(VLOOKUP($A183,Haver_M!$B$1:$BZ$300,MATCH(data!P$1,Haver_M!$B$1:$BZ$1,0),FALSE)),VLOOKUP($A183,Haver_M!$B$1:$BZ$300,MATCH(data!P$1,Haver_M!$B$1:$BZ$1,0),FALSE),"")</f>
        <v>93.297579999999996</v>
      </c>
      <c r="Q183">
        <f>IF(ISNUMBER(VLOOKUP($A183,Haver_M!$B$1:$BZ$300,MATCH(data!Q$1,Haver_M!$B$1:$BZ$1,0),FALSE)),VLOOKUP($A183,Haver_M!$B$1:$BZ$300,MATCH(data!Q$1,Haver_M!$B$1:$BZ$1,0),FALSE),"")</f>
        <v>119.7</v>
      </c>
      <c r="R183">
        <f>IF(ISNUMBER(VLOOKUP($A183,Haver_M!$B$1:$BZ$300,MATCH(data!R$1,Haver_M!$B$1:$BZ$1,0),FALSE)),VLOOKUP($A183,Haver_M!$B$1:$BZ$300,MATCH(data!R$1,Haver_M!$B$1:$BZ$1,0),FALSE),"")</f>
        <v>118.1</v>
      </c>
      <c r="S183">
        <f>IF(ISNUMBER(VLOOKUP($A183,Haver_M!$B$1:$BZ$300,MATCH(data!S$1,Haver_M!$B$1:$BZ$1,0),FALSE)),VLOOKUP($A183,Haver_M!$B$1:$BZ$300,MATCH(data!S$1,Haver_M!$B$1:$BZ$1,0),FALSE),"")</f>
        <v>111.97</v>
      </c>
      <c r="T183">
        <f>IF(ISNUMBER(VLOOKUP($A183,Haver_M!$B$1:$BZ$300,MATCH(data!T$1,Haver_M!$B$1:$BZ$1,0),FALSE)),VLOOKUP($A183,Haver_M!$B$1:$BZ$300,MATCH(data!T$1,Haver_M!$B$1:$BZ$1,0),FALSE),"")</f>
        <v>107.31</v>
      </c>
      <c r="U183">
        <f>IF(ISNUMBER(VLOOKUP($A183,Haver_M!$B$1:$BZ$300,MATCH(data!U$1,Haver_M!$B$1:$BZ$1,0),FALSE)),VLOOKUP($A183,Haver_M!$B$1:$BZ$300,MATCH(data!U$1,Haver_M!$B$1:$BZ$1,0),FALSE),"")</f>
        <v>98.27</v>
      </c>
      <c r="V183">
        <f>IF(ISNUMBER(VLOOKUP($A183,Haver_M!$B$1:$BZ$300,MATCH(data!V$1,Haver_M!$B$1:$BZ$1,0),FALSE)),VLOOKUP($A183,Haver_M!$B$1:$BZ$300,MATCH(data!V$1,Haver_M!$B$1:$BZ$1,0),FALSE),"")</f>
        <v>115.96</v>
      </c>
      <c r="W183">
        <f>IF(ISNUMBER(VLOOKUP($A183,Haver_M!$B$1:$BZ$300,MATCH(data!W$1,Haver_M!$B$1:$BZ$1,0),FALSE)),VLOOKUP($A183,Haver_M!$B$1:$BZ$300,MATCH(data!W$1,Haver_M!$B$1:$BZ$1,0),FALSE),"")</f>
        <v>114.95</v>
      </c>
      <c r="X183">
        <f>IF(ISNUMBER(VLOOKUP($A183,Haver_M!$B$1:$BZ$300,MATCH(data!X$1,Haver_M!$B$1:$BZ$1,0),FALSE)),VLOOKUP($A183,Haver_M!$B$1:$BZ$300,MATCH(data!X$1,Haver_M!$B$1:$BZ$1,0),FALSE),"")</f>
        <v>116.1</v>
      </c>
      <c r="Y183">
        <f>IF(ISNUMBER(VLOOKUP($A183,Haver_M!$B$1:$BZ$300,MATCH(data!Y$1,Haver_M!$B$1:$BZ$1,0),FALSE)),VLOOKUP($A183,Haver_M!$B$1:$BZ$300,MATCH(data!Y$1,Haver_M!$B$1:$BZ$1,0),FALSE),"")</f>
        <v>117.72</v>
      </c>
      <c r="Z183">
        <f>IF(ISNUMBER(VLOOKUP($A183,Haver_M!$B$1:$BZ$300,MATCH(data!Z$1,Haver_M!$B$1:$BZ$1,0),FALSE)),VLOOKUP($A183,Haver_M!$B$1:$BZ$300,MATCH(data!Z$1,Haver_M!$B$1:$BZ$1,0),FALSE),"")</f>
        <v>112.7</v>
      </c>
      <c r="AA183">
        <f>IF(ISNUMBER(VLOOKUP($A183,Haver_M!$B$1:$BZ$300,MATCH(data!AA$1,Haver_M!$B$1:$BZ$1,0),FALSE)),VLOOKUP($A183,Haver_M!$B$1:$BZ$300,MATCH(data!AA$1,Haver_M!$B$1:$BZ$1,0),FALSE),"")</f>
        <v>115.41500000000001</v>
      </c>
      <c r="AB183">
        <f>IF(ISNUMBER(VLOOKUP($A183,Haver_M!$B$1:$BZ$300,MATCH(data!AB$1,Haver_M!$B$1:$BZ$1,0),FALSE)),VLOOKUP($A183,Haver_M!$B$1:$BZ$300,MATCH(data!AB$1,Haver_M!$B$1:$BZ$1,0),FALSE),"")</f>
        <v>98.108999999999995</v>
      </c>
      <c r="AC183">
        <f>IF(ISNUMBER(VLOOKUP($A183,Haver_M!$B$1:$BZ$300,MATCH(data!AC$1,Haver_M!$B$1:$BZ$1,0),FALSE)),VLOOKUP($A183,Haver_M!$B$1:$BZ$300,MATCH(data!AC$1,Haver_M!$B$1:$BZ$1,0),FALSE),"")</f>
        <v>68.98</v>
      </c>
      <c r="AD183">
        <f>IF(ISNUMBER(VLOOKUP($A183,Haver_M!$B$1:$BZ$300,MATCH(data!AD$1,Haver_M!$B$1:$BZ$1,0),FALSE)),VLOOKUP($A183,Haver_M!$B$1:$BZ$300,MATCH(data!AD$1,Haver_M!$B$1:$BZ$1,0),FALSE),"")</f>
        <v>109.459</v>
      </c>
      <c r="AE183">
        <f>IF(ISNUMBER(VLOOKUP($A183,Haver_M!$B$1:$BZ$300,MATCH(data!AE$1,Haver_M!$B$1:$BZ$1,0),FALSE)),VLOOKUP($A183,Haver_M!$B$1:$BZ$300,MATCH(data!AE$1,Haver_M!$B$1:$BZ$1,0),FALSE),"")</f>
        <v>101.429</v>
      </c>
      <c r="AF183">
        <f>IF(ISNUMBER(VLOOKUP($A183,Haver_M!$B$1:$BZ$300,MATCH(data!AF$1,Haver_M!$B$1:$BZ$1,0),FALSE)),VLOOKUP($A183,Haver_M!$B$1:$BZ$300,MATCH(data!AF$1,Haver_M!$B$1:$BZ$1,0),FALSE),"")</f>
        <v>119.02</v>
      </c>
      <c r="AG183">
        <f>IF(ISNUMBER(VLOOKUP($A183,Haver_M!$B$1:$BZ$300,MATCH(data!AG$1,Haver_M!$B$1:$BZ$1,0),FALSE)),VLOOKUP($A183,Haver_M!$B$1:$BZ$300,MATCH(data!AG$1,Haver_M!$B$1:$BZ$1,0),FALSE),"")</f>
        <v>117.973</v>
      </c>
      <c r="AH183">
        <f>IF(ISNUMBER(VLOOKUP($A183,Haver_M!$B$1:$BZ$300,MATCH(data!AH$1,Haver_M!$B$1:$BZ$1,0),FALSE)),VLOOKUP($A183,Haver_M!$B$1:$BZ$300,MATCH(data!AH$1,Haver_M!$B$1:$BZ$1,0),FALSE),"")</f>
        <v>129.83699999999999</v>
      </c>
      <c r="AI183">
        <f>IF(ISNUMBER(VLOOKUP($A183,Haver_M!$B$1:$BZ$300,MATCH(data!AI$1,Haver_M!$B$1:$BZ$1,0),FALSE)),VLOOKUP($A183,Haver_M!$B$1:$BZ$300,MATCH(data!AI$1,Haver_M!$B$1:$BZ$1,0),FALSE),"")</f>
        <v>14558.786535339359</v>
      </c>
      <c r="AJ183">
        <f>IF(ISNUMBER(VLOOKUP($A183,Haver_M!$B$1:$BZ$300,MATCH(data!AJ$1,Haver_M!$B$1:$BZ$1,0),FALSE)),VLOOKUP($A183,Haver_M!$B$1:$BZ$300,MATCH(data!AJ$1,Haver_M!$B$1:$BZ$1,0),FALSE),"")</f>
        <v>22515.93</v>
      </c>
      <c r="AK183">
        <f>IF(ISNUMBER(VLOOKUP($A183,Haver_M!$B$1:$BZ$300,MATCH(data!AK$1,Haver_M!$B$1:$BZ$1,0),FALSE)),VLOOKUP($A183,Haver_M!$B$1:$BZ$300,MATCH(data!AK$1,Haver_M!$B$1:$BZ$1,0),FALSE),"")</f>
        <v>30703.58</v>
      </c>
      <c r="AL183">
        <f>IF(ISNUMBER(VLOOKUP($A183,Haver_M!$B$1:$BZ$300,MATCH(data!AL$1,Haver_M!$B$1:$BZ$1,0),FALSE)),VLOOKUP($A183,Haver_M!$B$1:$BZ$300,MATCH(data!AL$1,Haver_M!$B$1:$BZ$1,0),FALSE),"")</f>
        <v>14099</v>
      </c>
      <c r="AM183">
        <f>IF(ISNUMBER(VLOOKUP($A183,Haver_M!$B$1:$BZ$300,MATCH(data!AM$1,Haver_M!$B$1:$BZ$1,0),FALSE)),VLOOKUP($A183,Haver_M!$B$1:$BZ$300,MATCH(data!AM$1,Haver_M!$B$1:$BZ$1,0),FALSE),"")</f>
        <v>7896</v>
      </c>
      <c r="AN183" t="str">
        <f>IF(ISNUMBER(VLOOKUP($A183,Haver_M!$B$1:$BZ$300,MATCH(data!AN$1,Haver_M!$B$1:$BZ$1,0),FALSE)),VLOOKUP($A183,Haver_M!$B$1:$BZ$300,MATCH(data!AN$1,Haver_M!$B$1:$BZ$1,0),FALSE),"")</f>
        <v/>
      </c>
      <c r="AO183" t="str">
        <f>IF(ISNUMBER(VLOOKUP($A183,Haver_M!$B$1:$BZ$300,MATCH(data!AO$1,Haver_M!$B$1:$BZ$1,0),FALSE)),VLOOKUP($A183,Haver_M!$B$1:$BZ$300,MATCH(data!AO$1,Haver_M!$B$1:$BZ$1,0),FALSE),"")</f>
        <v/>
      </c>
      <c r="AP183">
        <f>IF(ISNUMBER(VLOOKUP($A183,Haver_M!$B$1:$BZ$300,MATCH(data!AP$1,Haver_M!$B$1:$BZ$1,0),FALSE)),VLOOKUP($A183,Haver_M!$B$1:$BZ$300,MATCH(data!AP$1,Haver_M!$B$1:$BZ$1,0),FALSE),"")</f>
        <v>82.626225503770627</v>
      </c>
      <c r="AQ183">
        <f>IF(ISNUMBER(VLOOKUP($A183,Haver_M!$B$1:$BZ$300,MATCH(data!AQ$1,Haver_M!$B$1:$BZ$1,0),FALSE)),VLOOKUP($A183,Haver_M!$B$1:$BZ$300,MATCH(data!AQ$1,Haver_M!$B$1:$BZ$1,0),FALSE),"")</f>
        <v>53.534300000000002</v>
      </c>
      <c r="AR183">
        <f>IF(ISNUMBER(VLOOKUP($A183,Haver_M!$B$1:$BZ$300,MATCH(data!AR$1,Haver_M!$B$1:$BZ$1,0),FALSE)),VLOOKUP($A183,Haver_M!$B$1:$BZ$300,MATCH(data!AR$1,Haver_M!$B$1:$BZ$1,0),FALSE),"")</f>
        <v>51.1691</v>
      </c>
      <c r="AS183">
        <f>IF(ISNUMBER(VLOOKUP($A183,Haver_M!$B$1:$BZ$300,MATCH(data!AS$1,Haver_M!$B$1:$BZ$1,0),FALSE)),VLOOKUP($A183,Haver_M!$B$1:$BZ$300,MATCH(data!AS$1,Haver_M!$B$1:$BZ$1,0),FALSE),"")</f>
        <v>53.933999999999997</v>
      </c>
      <c r="AT183">
        <f>IF(ISNUMBER(VLOOKUP($A183,Haver_M!$B$1:$BZ$300,MATCH(data!AT$1,Haver_M!$B$1:$BZ$1,0),FALSE)),VLOOKUP($A183,Haver_M!$B$1:$BZ$300,MATCH(data!AT$1,Haver_M!$B$1:$BZ$1,0),FALSE),"")</f>
        <v>52.555100000000003</v>
      </c>
      <c r="AU183">
        <f>IF(ISNUMBER(VLOOKUP($A183,Haver_M!$B$1:$BZ$300,MATCH(data!AU$1,Haver_M!$B$1:$BZ$1,0),FALSE)),VLOOKUP($A183,Haver_M!$B$1:$BZ$300,MATCH(data!AU$1,Haver_M!$B$1:$BZ$1,0),FALSE),"")</f>
        <v>51.888500000000001</v>
      </c>
      <c r="AV183">
        <f>IF(ISNUMBER(VLOOKUP($A183,Haver_M!$B$1:$BZ$300,MATCH(data!AV$1,Haver_M!$B$1:$BZ$1,0),FALSE)),VLOOKUP($A183,Haver_M!$B$1:$BZ$300,MATCH(data!AV$1,Haver_M!$B$1:$BZ$1,0),FALSE),"")</f>
        <v>49.566800000000001</v>
      </c>
      <c r="AW183">
        <f>IF(ISNUMBER(VLOOKUP($A183,Haver_M!$B$1:$BZ$300,MATCH(data!AW$1,Haver_M!$B$1:$BZ$1,0),FALSE)),VLOOKUP($A183,Haver_M!$B$1:$BZ$300,MATCH(data!AW$1,Haver_M!$B$1:$BZ$1,0),FALSE),"")</f>
        <v>50.789900000000003</v>
      </c>
      <c r="AX183">
        <f>IF(ISNUMBER(VLOOKUP($A183,Haver_M!$B$1:$BZ$300,MATCH(data!AX$1,Haver_M!$B$1:$BZ$1,0),FALSE)),VLOOKUP($A183,Haver_M!$B$1:$BZ$300,MATCH(data!AX$1,Haver_M!$B$1:$BZ$1,0),FALSE),"")</f>
        <v>51.688899999999997</v>
      </c>
      <c r="AY183">
        <f>IF(ISNUMBER(VLOOKUP($A183,Haver_M!$B$1:$BZ$300,MATCH(data!AY$1,Haver_M!$B$1:$BZ$1,0),FALSE)),VLOOKUP($A183,Haver_M!$B$1:$BZ$300,MATCH(data!AY$1,Haver_M!$B$1:$BZ$1,0),FALSE),"")</f>
        <v>49.293599999999998</v>
      </c>
      <c r="AZ183">
        <f>IF(ISNUMBER(VLOOKUP($A183,Haver_M!$B$1:$BZ$300,MATCH(data!AZ$1,Haver_M!$B$1:$BZ$1,0),FALSE)),VLOOKUP($A183,Haver_M!$B$1:$BZ$300,MATCH(data!AZ$1,Haver_M!$B$1:$BZ$1,0),FALSE),"")</f>
        <v>52.984699999999997</v>
      </c>
      <c r="BA183">
        <f>IF(ISNUMBER(VLOOKUP($A183,Haver_M!$B$1:$BZ$300,MATCH(data!BA$1,Haver_M!$B$1:$BZ$1,0),FALSE)),VLOOKUP($A183,Haver_M!$B$1:$BZ$300,MATCH(data!BA$1,Haver_M!$B$1:$BZ$1,0),FALSE),"")</f>
        <v>51.688899999999997</v>
      </c>
      <c r="BB183">
        <f>IF(ISNUMBER(VLOOKUP($A183,Haver_M!$B$1:$BZ$300,MATCH(data!BB$1,Haver_M!$B$1:$BZ$1,0),FALSE)),VLOOKUP($A183,Haver_M!$B$1:$BZ$300,MATCH(data!BB$1,Haver_M!$B$1:$BZ$1,0),FALSE),"")</f>
        <v>55.1081</v>
      </c>
      <c r="BC183">
        <f>IF(ISNUMBER(VLOOKUP($A183,Haver_M!$B$1:$BZ$300,MATCH(data!BC$1,Haver_M!$B$1:$BZ$1,0),FALSE)),VLOOKUP($A183,Haver_M!$B$1:$BZ$300,MATCH(data!BC$1,Haver_M!$B$1:$BZ$1,0),FALSE),"")</f>
        <v>50.1995</v>
      </c>
      <c r="BD183">
        <f>IF(ISNUMBER(VLOOKUP($A183,Haver_M!$B$1:$BZ$300,MATCH(data!BD$1,Haver_M!$B$1:$BZ$1,0),FALSE)),VLOOKUP($A183,Haver_M!$B$1:$BZ$300,MATCH(data!BD$1,Haver_M!$B$1:$BZ$1,0),FALSE),"")</f>
        <v>51.633200000000002</v>
      </c>
      <c r="BE183">
        <f>IF(ISNUMBER(VLOOKUP($A183,Haver_M!$B$1:$BZ$300,MATCH(data!BE$1,Haver_M!$B$1:$BZ$1,0),FALSE)),VLOOKUP($A183,Haver_M!$B$1:$BZ$300,MATCH(data!BE$1,Haver_M!$B$1:$BZ$1,0),FALSE),"")</f>
        <v>1.0196000000000001</v>
      </c>
      <c r="BF183">
        <f>IF(ISNUMBER(VLOOKUP($A183,Haver_M!$B$1:$BZ$300,MATCH(data!BF$1,Haver_M!$B$1:$BZ$1,0),FALSE)),VLOOKUP($A183,Haver_M!$B$1:$BZ$300,MATCH(data!BF$1,Haver_M!$B$1:$BZ$1,0),FALSE),"")</f>
        <v>49.919400000000003</v>
      </c>
      <c r="BG183">
        <f>IF(ISNUMBER(VLOOKUP($A183,Haver_M!$B$1:$BZ$300,MATCH(data!BG$1,Haver_M!$B$1:$BZ$1,0),FALSE)),VLOOKUP($A183,Haver_M!$B$1:$BZ$300,MATCH(data!BG$1,Haver_M!$B$1:$BZ$1,0),FALSE),"")</f>
        <v>51.047800000000002</v>
      </c>
      <c r="BH183">
        <f>IF(ISNUMBER(VLOOKUP($A183,Haver_M!$B$1:$BZ$300,MATCH(data!BH$1,Haver_M!$B$1:$BZ$1,0),FALSE)),VLOOKUP($A183,Haver_M!$B$1:$BZ$300,MATCH(data!BH$1,Haver_M!$B$1:$BZ$1,0),FALSE),"")</f>
        <v>54.105200000000004</v>
      </c>
      <c r="BI183">
        <f>IF(ISNUMBER(VLOOKUP($A183,Haver_M!$B$1:$BZ$300,MATCH(data!BI$1,Haver_M!$B$1:$BZ$1,0),FALSE)),VLOOKUP($A183,Haver_M!$B$1:$BZ$300,MATCH(data!BI$1,Haver_M!$B$1:$BZ$1,0),FALSE),"")</f>
        <v>51.220500000000001</v>
      </c>
      <c r="BJ183">
        <f>IF(ISNUMBER(VLOOKUP($A183,Haver_M!$B$1:$BZ$300,MATCH(data!BJ$1,Haver_M!$B$1:$BZ$1,0),FALSE)),VLOOKUP($A183,Haver_M!$B$1:$BZ$300,MATCH(data!BJ$1,Haver_M!$B$1:$BZ$1,0),FALSE),"")</f>
        <v>51.994999999999997</v>
      </c>
      <c r="BK183">
        <f>IF(ISNUMBER(VLOOKUP($A183,Haver_M!$B$1:$BZ$300,MATCH(data!BK$1,Haver_M!$B$1:$BZ$1,0),FALSE)),VLOOKUP($A183,Haver_M!$B$1:$BZ$300,MATCH(data!BK$1,Haver_M!$B$1:$BZ$1,0),FALSE),"")</f>
        <v>51.143099999999997</v>
      </c>
      <c r="BL183">
        <f>IF(ISNUMBER(VLOOKUP($A183,Haver_M!$B$1:$BZ$300,MATCH(data!BL$1,Haver_M!$B$1:$BZ$1,0),FALSE)),VLOOKUP($A183,Haver_M!$B$1:$BZ$300,MATCH(data!BL$1,Haver_M!$B$1:$BZ$1,0),FALSE),"")</f>
        <v>28931.360000000001</v>
      </c>
      <c r="BM183">
        <f>IF(ISNUMBER(VLOOKUP($A183,Haver_M!$B$1:$BZ$300,MATCH(data!BM$1,Haver_M!$B$1:$BZ$1,0),FALSE)),VLOOKUP($A183,Haver_M!$B$1:$BZ$300,MATCH(data!BM$1,Haver_M!$B$1:$BZ$1,0),FALSE),"")</f>
        <v>99.188446060000004</v>
      </c>
      <c r="BN183" t="str">
        <f>IF(ISNUMBER(VLOOKUP($A183,Haver_M!$B$1:$BZ$300,MATCH(data!BN$1,Haver_M!$B$1:$BZ$1,0),FALSE)),VLOOKUP($A183,Haver_M!$B$1:$BZ$300,MATCH(data!BN$1,Haver_M!$B$1:$BZ$1,0),FALSE),"")</f>
        <v/>
      </c>
      <c r="BO183" t="str">
        <f>IF(ISNUMBER(VLOOKUP($A183,Haver_M!$B$1:$BZ$300,MATCH(data!BO$1,Haver_M!$B$1:$BZ$1,0),FALSE)),VLOOKUP($A183,Haver_M!$B$1:$BZ$300,MATCH(data!BO$1,Haver_M!$B$1:$BZ$1,0),FALSE),"")</f>
        <v/>
      </c>
      <c r="BP183" t="str">
        <f>IF(ISNUMBER(VLOOKUP($A183,Haver_M!$B$1:$BZ$300,MATCH(data!BP$1,Haver_M!$B$1:$BZ$1,0),FALSE)),VLOOKUP($A183,Haver_M!$B$1:$BZ$300,MATCH(data!BP$1,Haver_M!$B$1:$BZ$1,0),FALSE),"")</f>
        <v/>
      </c>
      <c r="BQ183">
        <f>IF(ISNUMBER(VLOOKUP($A183,Haver_M!$B$1:$BZ$300,MATCH(data!BQ$1,Haver_M!$B$1:$BZ$1,0),FALSE)),VLOOKUP($A183,Haver_M!$B$1:$BZ$300,MATCH(data!BQ$1,Haver_M!$B$1:$BZ$1,0),FALSE),"")</f>
        <v>185.88162662643299</v>
      </c>
      <c r="BR183">
        <f>IF(ISNUMBER(VLOOKUP($A183,Haver_M!$B$1:$BZ$300,MATCH(data!BR$1,Haver_M!$B$1:$BZ$1,0),FALSE)),VLOOKUP($A183,Haver_M!$B$1:$BZ$300,MATCH(data!BR$1,Haver_M!$B$1:$BZ$1,0),FALSE),"")</f>
        <v>420.03575251138017</v>
      </c>
      <c r="BS183">
        <f>IF(ISNUMBER(VLOOKUP($A183,Haver_M!$B$1:$BZ$300,MATCH(data!BS$1,Haver_M!$B$1:$BZ$1,0),FALSE)),VLOOKUP($A183,Haver_M!$B$1:$BZ$300,MATCH(data!BS$1,Haver_M!$B$1:$BZ$1,0),FALSE),"")</f>
        <v>222.10933369440468</v>
      </c>
      <c r="BT183">
        <f>IF(ISNUMBER(VLOOKUP($A183,Haver_M!$B$1:$BZ$300,MATCH(data!BT$1,Haver_M!$B$1:$BZ$1,0),FALSE)),VLOOKUP($A183,Haver_M!$B$1:$BZ$300,MATCH(data!BT$1,Haver_M!$B$1:$BZ$1,0),FALSE),"")</f>
        <v>949.63425406527654</v>
      </c>
      <c r="BU183">
        <f>IF(ISNUMBER(VLOOKUP($A183,Haver_M!$B$1:$BZ$300,MATCH(data!BU$1,Haver_M!$B$1:$BZ$1,0),FALSE)),VLOOKUP($A183,Haver_M!$B$1:$BZ$300,MATCH(data!BU$1,Haver_M!$B$1:$BZ$1,0),FALSE),"")</f>
        <v>22008.04</v>
      </c>
      <c r="BV183">
        <f>IF(ISNUMBER(VLOOKUP($A183,Haver_M!$B$1:$BZ$300,MATCH(data!BV$1,Haver_M!$B$1:$BZ$1,0),FALSE)),VLOOKUP($A183,Haver_M!$B$1:$BZ$300,MATCH(data!BV$1,Haver_M!$B$1:$BZ$1,0),FALSE),"")</f>
        <v>28725.38</v>
      </c>
      <c r="BW183">
        <f>IF(ISNUMBER(VLOOKUP($A183,Haver_M!$B$1:$BZ$300,MATCH(data!BW$1,Haver_M!$B$1:$BZ$1,0),FALSE)),VLOOKUP($A183,Haver_M!$B$1:$BZ$300,MATCH(data!BW$1,Haver_M!$B$1:$BZ$1,0),FALSE),"")</f>
        <v>62.037599999999998</v>
      </c>
      <c r="BX183">
        <f>IF(ISNUMBER(VLOOKUP($A183,Haver_M!$B$1:$BZ$300,MATCH(data!BX$1,Haver_M!$B$1:$BZ$1,0),FALSE)),VLOOKUP($A183,Haver_M!$B$1:$BZ$300,MATCH(data!BX$1,Haver_M!$B$1:$BZ$1,0),FALSE),"")</f>
        <v>48228</v>
      </c>
    </row>
    <row r="184" spans="1:76" x14ac:dyDescent="0.25">
      <c r="A184" s="2">
        <v>42094</v>
      </c>
      <c r="B184">
        <f>IF(ISNUMBER(VLOOKUP($A184,Haver_Q!$B$1:$L$185,MATCH(data!B$1,Haver_Q!$B$1:$L$1,0),FALSE)),100*(VLOOKUP($A184,Haver_Q!$B$1:$L$185,MATCH(data!B$1,Haver_Q!$B$1:$L$1,0),FALSE)),"")</f>
        <v>6.2353853026179795</v>
      </c>
      <c r="C184">
        <f>IF(ISNUMBER(VLOOKUP($A184,Haver_Q!$B$1:$L$185,MATCH(data!C$1,Haver_Q!$B$1:$L$1,0),FALSE)),100*(VLOOKUP($A184,Haver_Q!$B$1:$L$185,MATCH(data!C$1,Haver_Q!$B$1:$L$1,0),FALSE)),"")</f>
        <v>16.829708242229337</v>
      </c>
      <c r="D184">
        <f>IF(ISNUMBER(VLOOKUP($A184,Haver_Q!$B$1:$L$185,MATCH(data!D$1,Haver_Q!$B$1:$L$1,0),FALSE)),100*(VLOOKUP($A184,Haver_Q!$B$1:$L$185,MATCH(data!D$1,Haver_Q!$B$1:$L$1,0),FALSE)),"")</f>
        <v>-52.271396525325073</v>
      </c>
      <c r="E184">
        <f>IF(ISNUMBER(VLOOKUP($A184,Haver_Q!$B$1:$L$185,MATCH(data!E$1,Haver_Q!$B$1:$L$1,0),FALSE)),100*(VLOOKUP($A184,Haver_Q!$B$1:$L$185,MATCH(data!E$1,Haver_Q!$B$1:$L$1,0),FALSE)),"")</f>
        <v>11.211560312306235</v>
      </c>
      <c r="F184">
        <f>IF(ISNUMBER(VLOOKUP($A184,Haver_Q!$B$1:$L$185,MATCH(data!F$1,Haver_Q!$B$1:$L$1,0),FALSE)),100*(VLOOKUP($A184,Haver_Q!$B$1:$L$185,MATCH(data!F$1,Haver_Q!$B$1:$L$1,0),FALSE)),"")</f>
        <v>-16.530294980087344</v>
      </c>
      <c r="G184">
        <f>IF(ISNUMBER(VLOOKUP($A184,Haver_Q!$B$1:$L$185,MATCH(data!G$1,Haver_Q!$B$1:$L$1,0),FALSE)),100*(VLOOKUP($A184,Haver_Q!$B$1:$L$185,MATCH(data!G$1,Haver_Q!$B$1:$L$1,0),FALSE)),"")</f>
        <v>-18.662459717984426</v>
      </c>
      <c r="H184">
        <f>IF(ISNUMBER(VLOOKUP($A184,Haver_Q!$B$1:$L$185,MATCH(data!H$1,Haver_Q!$B$1:$L$1,0),FALSE)),(VLOOKUP($A184,Haver_Q!$B$1:$L$185,MATCH(data!H$1,Haver_Q!$B$1:$L$1,0),FALSE)),"")</f>
        <v>3.7607579747972242</v>
      </c>
      <c r="I184">
        <f>IF(ISNUMBER(VLOOKUP($A184,Haver_Q!$B$1:$L$185,MATCH(data!I$1,Haver_Q!$B$1:$L$1,0),FALSE)),100*(VLOOKUP($A184,Haver_Q!$B$1:$L$185,MATCH(data!I$1,Haver_Q!$B$1:$L$1,0),FALSE)),"")</f>
        <v>7.1121353066840864</v>
      </c>
      <c r="J184" s="3">
        <f>IF(ISNUMBER(Bloomberg_m!C200),Bloomberg_m!C200,"")</f>
        <v>576</v>
      </c>
      <c r="K184" s="3">
        <f>IF(ISNUMBER(Bloomberg_m!D200),Bloomberg_m!D200,"")</f>
        <v>1752.16</v>
      </c>
      <c r="L184" s="3">
        <f>IF(ISNUMBER(Bloomberg_m!E200),Bloomberg_m!E200,"")</f>
        <v>868.47</v>
      </c>
      <c r="M184" s="3">
        <f>IF(ISNUMBER(Bloomberg_m!F200),Bloomberg_m!F200,"")</f>
        <v>527.47</v>
      </c>
      <c r="N184">
        <f>IF(ISNUMBER(VLOOKUP($A184,Haver_M!$B$1:$BZ$300,MATCH(data!N$1,Haver_M!$B$1:$BZ$1,0),FALSE)),VLOOKUP($A184,Haver_M!$B$1:$BZ$300,MATCH(data!N$1,Haver_M!$B$1:$BZ$1,0),FALSE),"")</f>
        <v>7.5</v>
      </c>
      <c r="O184">
        <f>IF(ISNUMBER(VLOOKUP($A184,Haver_M!$B$1:$BZ$300,MATCH(data!O$1,Haver_M!$B$1:$BZ$1,0),FALSE)),VLOOKUP($A184,Haver_M!$B$1:$BZ$300,MATCH(data!O$1,Haver_M!$B$1:$BZ$1,0),FALSE),"")</f>
        <v>7.7991000000000001</v>
      </c>
      <c r="P184">
        <f>IF(ISNUMBER(VLOOKUP($A184,Haver_M!$B$1:$BZ$300,MATCH(data!P$1,Haver_M!$B$1:$BZ$1,0),FALSE)),VLOOKUP($A184,Haver_M!$B$1:$BZ$300,MATCH(data!P$1,Haver_M!$B$1:$BZ$1,0),FALSE),"")</f>
        <v>93.714529999999996</v>
      </c>
      <c r="Q184">
        <f>IF(ISNUMBER(VLOOKUP($A184,Haver_M!$B$1:$BZ$300,MATCH(data!Q$1,Haver_M!$B$1:$BZ$1,0),FALSE)),VLOOKUP($A184,Haver_M!$B$1:$BZ$300,MATCH(data!Q$1,Haver_M!$B$1:$BZ$1,0),FALSE),"")</f>
        <v>120.2</v>
      </c>
      <c r="R184">
        <f>IF(ISNUMBER(VLOOKUP($A184,Haver_M!$B$1:$BZ$300,MATCH(data!R$1,Haver_M!$B$1:$BZ$1,0),FALSE)),VLOOKUP($A184,Haver_M!$B$1:$BZ$300,MATCH(data!R$1,Haver_M!$B$1:$BZ$1,0),FALSE),"")</f>
        <v>118.6</v>
      </c>
      <c r="S184">
        <f>IF(ISNUMBER(VLOOKUP($A184,Haver_M!$B$1:$BZ$300,MATCH(data!S$1,Haver_M!$B$1:$BZ$1,0),FALSE)),VLOOKUP($A184,Haver_M!$B$1:$BZ$300,MATCH(data!S$1,Haver_M!$B$1:$BZ$1,0),FALSE),"")</f>
        <v>111.22</v>
      </c>
      <c r="T184">
        <f>IF(ISNUMBER(VLOOKUP($A184,Haver_M!$B$1:$BZ$300,MATCH(data!T$1,Haver_M!$B$1:$BZ$1,0),FALSE)),VLOOKUP($A184,Haver_M!$B$1:$BZ$300,MATCH(data!T$1,Haver_M!$B$1:$BZ$1,0),FALSE),"")</f>
        <v>105.2</v>
      </c>
      <c r="U184">
        <f>IF(ISNUMBER(VLOOKUP($A184,Haver_M!$B$1:$BZ$300,MATCH(data!U$1,Haver_M!$B$1:$BZ$1,0),FALSE)),VLOOKUP($A184,Haver_M!$B$1:$BZ$300,MATCH(data!U$1,Haver_M!$B$1:$BZ$1,0),FALSE),"")</f>
        <v>95.67</v>
      </c>
      <c r="V184">
        <f>IF(ISNUMBER(VLOOKUP($A184,Haver_M!$B$1:$BZ$300,MATCH(data!V$1,Haver_M!$B$1:$BZ$1,0),FALSE)),VLOOKUP($A184,Haver_M!$B$1:$BZ$300,MATCH(data!V$1,Haver_M!$B$1:$BZ$1,0),FALSE),"")</f>
        <v>114.74</v>
      </c>
      <c r="W184">
        <f>IF(ISNUMBER(VLOOKUP($A184,Haver_M!$B$1:$BZ$300,MATCH(data!W$1,Haver_M!$B$1:$BZ$1,0),FALSE)),VLOOKUP($A184,Haver_M!$B$1:$BZ$300,MATCH(data!W$1,Haver_M!$B$1:$BZ$1,0),FALSE),"")</f>
        <v>112.69</v>
      </c>
      <c r="X184">
        <f>IF(ISNUMBER(VLOOKUP($A184,Haver_M!$B$1:$BZ$300,MATCH(data!X$1,Haver_M!$B$1:$BZ$1,0),FALSE)),VLOOKUP($A184,Haver_M!$B$1:$BZ$300,MATCH(data!X$1,Haver_M!$B$1:$BZ$1,0),FALSE),"")</f>
        <v>118.72</v>
      </c>
      <c r="Y184">
        <f>IF(ISNUMBER(VLOOKUP($A184,Haver_M!$B$1:$BZ$300,MATCH(data!Y$1,Haver_M!$B$1:$BZ$1,0),FALSE)),VLOOKUP($A184,Haver_M!$B$1:$BZ$300,MATCH(data!Y$1,Haver_M!$B$1:$BZ$1,0),FALSE),"")</f>
        <v>118.9</v>
      </c>
      <c r="Z184">
        <f>IF(ISNUMBER(VLOOKUP($A184,Haver_M!$B$1:$BZ$300,MATCH(data!Z$1,Haver_M!$B$1:$BZ$1,0),FALSE)),VLOOKUP($A184,Haver_M!$B$1:$BZ$300,MATCH(data!Z$1,Haver_M!$B$1:$BZ$1,0),FALSE),"")</f>
        <v>108.8</v>
      </c>
      <c r="AA184">
        <f>IF(ISNUMBER(VLOOKUP($A184,Haver_M!$B$1:$BZ$300,MATCH(data!AA$1,Haver_M!$B$1:$BZ$1,0),FALSE)),VLOOKUP($A184,Haver_M!$B$1:$BZ$300,MATCH(data!AA$1,Haver_M!$B$1:$BZ$1,0),FALSE),"")</f>
        <v>111.456</v>
      </c>
      <c r="AB184">
        <f>IF(ISNUMBER(VLOOKUP($A184,Haver_M!$B$1:$BZ$300,MATCH(data!AB$1,Haver_M!$B$1:$BZ$1,0),FALSE)),VLOOKUP($A184,Haver_M!$B$1:$BZ$300,MATCH(data!AB$1,Haver_M!$B$1:$BZ$1,0),FALSE),"")</f>
        <v>99.177999999999997</v>
      </c>
      <c r="AC184">
        <f>IF(ISNUMBER(VLOOKUP($A184,Haver_M!$B$1:$BZ$300,MATCH(data!AC$1,Haver_M!$B$1:$BZ$1,0),FALSE)),VLOOKUP($A184,Haver_M!$B$1:$BZ$300,MATCH(data!AC$1,Haver_M!$B$1:$BZ$1,0),FALSE),"")</f>
        <v>69.837000000000003</v>
      </c>
      <c r="AD184">
        <f>IF(ISNUMBER(VLOOKUP($A184,Haver_M!$B$1:$BZ$300,MATCH(data!AD$1,Haver_M!$B$1:$BZ$1,0),FALSE)),VLOOKUP($A184,Haver_M!$B$1:$BZ$300,MATCH(data!AD$1,Haver_M!$B$1:$BZ$1,0),FALSE),"")</f>
        <v>107.366</v>
      </c>
      <c r="AE184">
        <f>IF(ISNUMBER(VLOOKUP($A184,Haver_M!$B$1:$BZ$300,MATCH(data!AE$1,Haver_M!$B$1:$BZ$1,0),FALSE)),VLOOKUP($A184,Haver_M!$B$1:$BZ$300,MATCH(data!AE$1,Haver_M!$B$1:$BZ$1,0),FALSE),"")</f>
        <v>97.771000000000001</v>
      </c>
      <c r="AF184">
        <f>IF(ISNUMBER(VLOOKUP($A184,Haver_M!$B$1:$BZ$300,MATCH(data!AF$1,Haver_M!$B$1:$BZ$1,0),FALSE)),VLOOKUP($A184,Haver_M!$B$1:$BZ$300,MATCH(data!AF$1,Haver_M!$B$1:$BZ$1,0),FALSE),"")</f>
        <v>116.01600000000001</v>
      </c>
      <c r="AG184">
        <f>IF(ISNUMBER(VLOOKUP($A184,Haver_M!$B$1:$BZ$300,MATCH(data!AG$1,Haver_M!$B$1:$BZ$1,0),FALSE)),VLOOKUP($A184,Haver_M!$B$1:$BZ$300,MATCH(data!AG$1,Haver_M!$B$1:$BZ$1,0),FALSE),"")</f>
        <v>111.78100000000001</v>
      </c>
      <c r="AH184">
        <f>IF(ISNUMBER(VLOOKUP($A184,Haver_M!$B$1:$BZ$300,MATCH(data!AH$1,Haver_M!$B$1:$BZ$1,0),FALSE)),VLOOKUP($A184,Haver_M!$B$1:$BZ$300,MATCH(data!AH$1,Haver_M!$B$1:$BZ$1,0),FALSE),"")</f>
        <v>123.89700000000001</v>
      </c>
      <c r="AI184">
        <f>IF(ISNUMBER(VLOOKUP($A184,Haver_M!$B$1:$BZ$300,MATCH(data!AI$1,Haver_M!$B$1:$BZ$1,0),FALSE)),VLOOKUP($A184,Haver_M!$B$1:$BZ$300,MATCH(data!AI$1,Haver_M!$B$1:$BZ$1,0),FALSE),"")</f>
        <v>13758.481770486105</v>
      </c>
      <c r="AJ184">
        <f>IF(ISNUMBER(VLOOKUP($A184,Haver_M!$B$1:$BZ$300,MATCH(data!AJ$1,Haver_M!$B$1:$BZ$1,0),FALSE)),VLOOKUP($A184,Haver_M!$B$1:$BZ$300,MATCH(data!AJ$1,Haver_M!$B$1:$BZ$1,0),FALSE),"")</f>
        <v>21405.98</v>
      </c>
      <c r="AK184">
        <f>IF(ISNUMBER(VLOOKUP($A184,Haver_M!$B$1:$BZ$300,MATCH(data!AK$1,Haver_M!$B$1:$BZ$1,0),FALSE)),VLOOKUP($A184,Haver_M!$B$1:$BZ$300,MATCH(data!AK$1,Haver_M!$B$1:$BZ$1,0),FALSE),"")</f>
        <v>33905.64</v>
      </c>
      <c r="AL184">
        <f>IF(ISNUMBER(VLOOKUP($A184,Haver_M!$B$1:$BZ$300,MATCH(data!AL$1,Haver_M!$B$1:$BZ$1,0),FALSE)),VLOOKUP($A184,Haver_M!$B$1:$BZ$300,MATCH(data!AL$1,Haver_M!$B$1:$BZ$1,0),FALSE),"")</f>
        <v>14049</v>
      </c>
      <c r="AM184">
        <f>IF(ISNUMBER(VLOOKUP($A184,Haver_M!$B$1:$BZ$300,MATCH(data!AM$1,Haver_M!$B$1:$BZ$1,0),FALSE)),VLOOKUP($A184,Haver_M!$B$1:$BZ$300,MATCH(data!AM$1,Haver_M!$B$1:$BZ$1,0),FALSE),"")</f>
        <v>7866</v>
      </c>
      <c r="AN184">
        <f>IF(ISNUMBER(VLOOKUP($A184,Haver_M!$B$1:$BZ$300,MATCH(data!AN$1,Haver_M!$B$1:$BZ$1,0),FALSE)),VLOOKUP($A184,Haver_M!$B$1:$BZ$300,MATCH(data!AN$1,Haver_M!$B$1:$BZ$1,0),FALSE),"")</f>
        <v>108.6</v>
      </c>
      <c r="AO184">
        <f>IF(ISNUMBER(VLOOKUP($A184,Haver_M!$B$1:$BZ$300,MATCH(data!AO$1,Haver_M!$B$1:$BZ$1,0),FALSE)),VLOOKUP($A184,Haver_M!$B$1:$BZ$300,MATCH(data!AO$1,Haver_M!$B$1:$BZ$1,0),FALSE),"")</f>
        <v>126.7</v>
      </c>
      <c r="AP184">
        <f>IF(ISNUMBER(VLOOKUP($A184,Haver_M!$B$1:$BZ$300,MATCH(data!AP$1,Haver_M!$B$1:$BZ$1,0),FALSE)),VLOOKUP($A184,Haver_M!$B$1:$BZ$300,MATCH(data!AP$1,Haver_M!$B$1:$BZ$1,0),FALSE),"")</f>
        <v>60.009904336358083</v>
      </c>
      <c r="AQ184">
        <f>IF(ISNUMBER(VLOOKUP($A184,Haver_M!$B$1:$BZ$300,MATCH(data!AQ$1,Haver_M!$B$1:$BZ$1,0),FALSE)),VLOOKUP($A184,Haver_M!$B$1:$BZ$300,MATCH(data!AQ$1,Haver_M!$B$1:$BZ$1,0),FALSE),"")</f>
        <v>53.166499999999999</v>
      </c>
      <c r="AR184">
        <f>IF(ISNUMBER(VLOOKUP($A184,Haver_M!$B$1:$BZ$300,MATCH(data!AR$1,Haver_M!$B$1:$BZ$1,0),FALSE)),VLOOKUP($A184,Haver_M!$B$1:$BZ$300,MATCH(data!AR$1,Haver_M!$B$1:$BZ$1,0),FALSE),"")</f>
        <v>52.060499999999998</v>
      </c>
      <c r="AS184">
        <f>IF(ISNUMBER(VLOOKUP($A184,Haver_M!$B$1:$BZ$300,MATCH(data!AS$1,Haver_M!$B$1:$BZ$1,0),FALSE)),VLOOKUP($A184,Haver_M!$B$1:$BZ$300,MATCH(data!AS$1,Haver_M!$B$1:$BZ$1,0),FALSE),"")</f>
        <v>52.977800000000002</v>
      </c>
      <c r="AT184">
        <f>IF(ISNUMBER(VLOOKUP($A184,Haver_M!$B$1:$BZ$300,MATCH(data!AT$1,Haver_M!$B$1:$BZ$1,0),FALSE)),VLOOKUP($A184,Haver_M!$B$1:$BZ$300,MATCH(data!AT$1,Haver_M!$B$1:$BZ$1,0),FALSE),"")</f>
        <v>53.628799999999998</v>
      </c>
      <c r="AU184">
        <f>IF(ISNUMBER(VLOOKUP($A184,Haver_M!$B$1:$BZ$300,MATCH(data!AU$1,Haver_M!$B$1:$BZ$1,0),FALSE)),VLOOKUP($A184,Haver_M!$B$1:$BZ$300,MATCH(data!AU$1,Haver_M!$B$1:$BZ$1,0),FALSE),"")</f>
        <v>53.161099999999998</v>
      </c>
      <c r="AV184">
        <f>IF(ISNUMBER(VLOOKUP($A184,Haver_M!$B$1:$BZ$300,MATCH(data!AV$1,Haver_M!$B$1:$BZ$1,0),FALSE)),VLOOKUP($A184,Haver_M!$B$1:$BZ$300,MATCH(data!AV$1,Haver_M!$B$1:$BZ$1,0),FALSE),"")</f>
        <v>50</v>
      </c>
      <c r="AW184">
        <f>IF(ISNUMBER(VLOOKUP($A184,Haver_M!$B$1:$BZ$300,MATCH(data!AW$1,Haver_M!$B$1:$BZ$1,0),FALSE)),VLOOKUP($A184,Haver_M!$B$1:$BZ$300,MATCH(data!AW$1,Haver_M!$B$1:$BZ$1,0),FALSE),"")</f>
        <v>50.0901</v>
      </c>
      <c r="AX184">
        <f>IF(ISNUMBER(VLOOKUP($A184,Haver_M!$B$1:$BZ$300,MATCH(data!AX$1,Haver_M!$B$1:$BZ$1,0),FALSE)),VLOOKUP($A184,Haver_M!$B$1:$BZ$300,MATCH(data!AX$1,Haver_M!$B$1:$BZ$1,0),FALSE),"")</f>
        <v>52.185099999999998</v>
      </c>
      <c r="AY184">
        <f>IF(ISNUMBER(VLOOKUP($A184,Haver_M!$B$1:$BZ$300,MATCH(data!AY$1,Haver_M!$B$1:$BZ$1,0),FALSE)),VLOOKUP($A184,Haver_M!$B$1:$BZ$300,MATCH(data!AY$1,Haver_M!$B$1:$BZ$1,0),FALSE),"")</f>
        <v>55.1021</v>
      </c>
      <c r="AZ184">
        <f>IF(ISNUMBER(VLOOKUP($A184,Haver_M!$B$1:$BZ$300,MATCH(data!AZ$1,Haver_M!$B$1:$BZ$1,0),FALSE)),VLOOKUP($A184,Haver_M!$B$1:$BZ$300,MATCH(data!AZ$1,Haver_M!$B$1:$BZ$1,0),FALSE),"")</f>
        <v>53.816000000000003</v>
      </c>
      <c r="BA184">
        <f>IF(ISNUMBER(VLOOKUP($A184,Haver_M!$B$1:$BZ$300,MATCH(data!BA$1,Haver_M!$B$1:$BZ$1,0),FALSE)),VLOOKUP($A184,Haver_M!$B$1:$BZ$300,MATCH(data!BA$1,Haver_M!$B$1:$BZ$1,0),FALSE),"")</f>
        <v>52.185099999999998</v>
      </c>
      <c r="BB184">
        <f>IF(ISNUMBER(VLOOKUP($A184,Haver_M!$B$1:$BZ$300,MATCH(data!BB$1,Haver_M!$B$1:$BZ$1,0),FALSE)),VLOOKUP($A184,Haver_M!$B$1:$BZ$300,MATCH(data!BB$1,Haver_M!$B$1:$BZ$1,0),FALSE),"")</f>
        <v>54.083500000000001</v>
      </c>
      <c r="BC184">
        <f>IF(ISNUMBER(VLOOKUP($A184,Haver_M!$B$1:$BZ$300,MATCH(data!BC$1,Haver_M!$B$1:$BZ$1,0),FALSE)),VLOOKUP($A184,Haver_M!$B$1:$BZ$300,MATCH(data!BC$1,Haver_M!$B$1:$BZ$1,0),FALSE),"")</f>
        <v>51.049900000000001</v>
      </c>
      <c r="BD184">
        <f>IF(ISNUMBER(VLOOKUP($A184,Haver_M!$B$1:$BZ$300,MATCH(data!BD$1,Haver_M!$B$1:$BZ$1,0),FALSE)),VLOOKUP($A184,Haver_M!$B$1:$BZ$300,MATCH(data!BD$1,Haver_M!$B$1:$BZ$1,0),FALSE),"")</f>
        <v>52.151699999999998</v>
      </c>
      <c r="BE184">
        <f>IF(ISNUMBER(VLOOKUP($A184,Haver_M!$B$1:$BZ$300,MATCH(data!BE$1,Haver_M!$B$1:$BZ$1,0),FALSE)),VLOOKUP($A184,Haver_M!$B$1:$BZ$300,MATCH(data!BE$1,Haver_M!$B$1:$BZ$1,0),FALSE),"")</f>
        <v>1.0011000000000001</v>
      </c>
      <c r="BF184">
        <f>IF(ISNUMBER(VLOOKUP($A184,Haver_M!$B$1:$BZ$300,MATCH(data!BF$1,Haver_M!$B$1:$BZ$1,0),FALSE)),VLOOKUP($A184,Haver_M!$B$1:$BZ$300,MATCH(data!BF$1,Haver_M!$B$1:$BZ$1,0),FALSE),"")</f>
        <v>50.181699999999999</v>
      </c>
      <c r="BG184">
        <f>IF(ISNUMBER(VLOOKUP($A184,Haver_M!$B$1:$BZ$300,MATCH(data!BG$1,Haver_M!$B$1:$BZ$1,0),FALSE)),VLOOKUP($A184,Haver_M!$B$1:$BZ$300,MATCH(data!BG$1,Haver_M!$B$1:$BZ$1,0),FALSE),"")</f>
        <v>50.555599999999998</v>
      </c>
      <c r="BH184">
        <f>IF(ISNUMBER(VLOOKUP($A184,Haver_M!$B$1:$BZ$300,MATCH(data!BH$1,Haver_M!$B$1:$BZ$1,0),FALSE)),VLOOKUP($A184,Haver_M!$B$1:$BZ$300,MATCH(data!BH$1,Haver_M!$B$1:$BZ$1,0),FALSE),"")</f>
        <v>53.516800000000003</v>
      </c>
      <c r="BI184">
        <f>IF(ISNUMBER(VLOOKUP($A184,Haver_M!$B$1:$BZ$300,MATCH(data!BI$1,Haver_M!$B$1:$BZ$1,0),FALSE)),VLOOKUP($A184,Haver_M!$B$1:$BZ$300,MATCH(data!BI$1,Haver_M!$B$1:$BZ$1,0),FALSE),"")</f>
        <v>54.319899999999997</v>
      </c>
      <c r="BJ184">
        <f>IF(ISNUMBER(VLOOKUP($A184,Haver_M!$B$1:$BZ$300,MATCH(data!BJ$1,Haver_M!$B$1:$BZ$1,0),FALSE)),VLOOKUP($A184,Haver_M!$B$1:$BZ$300,MATCH(data!BJ$1,Haver_M!$B$1:$BZ$1,0),FALSE),"")</f>
        <v>49.171300000000002</v>
      </c>
      <c r="BK184">
        <f>IF(ISNUMBER(VLOOKUP($A184,Haver_M!$B$1:$BZ$300,MATCH(data!BK$1,Haver_M!$B$1:$BZ$1,0),FALSE)),VLOOKUP($A184,Haver_M!$B$1:$BZ$300,MATCH(data!BK$1,Haver_M!$B$1:$BZ$1,0),FALSE),"")</f>
        <v>51.462600000000002</v>
      </c>
      <c r="BL184">
        <f>IF(ISNUMBER(VLOOKUP($A184,Haver_M!$B$1:$BZ$300,MATCH(data!BL$1,Haver_M!$B$1:$BZ$1,0),FALSE)),VLOOKUP($A184,Haver_M!$B$1:$BZ$300,MATCH(data!BL$1,Haver_M!$B$1:$BZ$1,0),FALSE),"")</f>
        <v>28541.53</v>
      </c>
      <c r="BM184">
        <f>IF(ISNUMBER(VLOOKUP($A184,Haver_M!$B$1:$BZ$300,MATCH(data!BM$1,Haver_M!$B$1:$BZ$1,0),FALSE)),VLOOKUP($A184,Haver_M!$B$1:$BZ$300,MATCH(data!BM$1,Haver_M!$B$1:$BZ$1,0),FALSE),"")</f>
        <v>98.047857930000006</v>
      </c>
      <c r="BN184">
        <f>IF(ISNUMBER(VLOOKUP($A184,Haver_M!$B$1:$BZ$300,MATCH(data!BN$1,Haver_M!$B$1:$BZ$1,0),FALSE)),VLOOKUP($A184,Haver_M!$B$1:$BZ$300,MATCH(data!BN$1,Haver_M!$B$1:$BZ$1,0),FALSE),"")</f>
        <v>106.7</v>
      </c>
      <c r="BO184">
        <f>IF(ISNUMBER(VLOOKUP($A184,Haver_M!$B$1:$BZ$300,MATCH(data!BO$1,Haver_M!$B$1:$BZ$1,0),FALSE)),VLOOKUP($A184,Haver_M!$B$1:$BZ$300,MATCH(data!BO$1,Haver_M!$B$1:$BZ$1,0),FALSE),"")</f>
        <v>115.6</v>
      </c>
      <c r="BP184">
        <f>IF(ISNUMBER(VLOOKUP($A184,Haver_M!$B$1:$BZ$300,MATCH(data!BP$1,Haver_M!$B$1:$BZ$1,0),FALSE)),VLOOKUP($A184,Haver_M!$B$1:$BZ$300,MATCH(data!BP$1,Haver_M!$B$1:$BZ$1,0),FALSE),"")</f>
        <v>36</v>
      </c>
      <c r="BQ184">
        <f>IF(ISNUMBER(VLOOKUP($A184,Haver_M!$B$1:$BZ$300,MATCH(data!BQ$1,Haver_M!$B$1:$BZ$1,0),FALSE)),VLOOKUP($A184,Haver_M!$B$1:$BZ$300,MATCH(data!BQ$1,Haver_M!$B$1:$BZ$1,0),FALSE),"")</f>
        <v>186.76569020237054</v>
      </c>
      <c r="BR184">
        <f>IF(ISNUMBER(VLOOKUP($A184,Haver_M!$B$1:$BZ$300,MATCH(data!BR$1,Haver_M!$B$1:$BZ$1,0),FALSE)),VLOOKUP($A184,Haver_M!$B$1:$BZ$300,MATCH(data!BR$1,Haver_M!$B$1:$BZ$1,0),FALSE),"")</f>
        <v>425.56213150402402</v>
      </c>
      <c r="BS184">
        <f>IF(ISNUMBER(VLOOKUP($A184,Haver_M!$B$1:$BZ$300,MATCH(data!BS$1,Haver_M!$B$1:$BZ$1,0),FALSE)),VLOOKUP($A184,Haver_M!$B$1:$BZ$300,MATCH(data!BS$1,Haver_M!$B$1:$BZ$1,0),FALSE),"")</f>
        <v>226.27726589997084</v>
      </c>
      <c r="BT184">
        <f>IF(ISNUMBER(VLOOKUP($A184,Haver_M!$B$1:$BZ$300,MATCH(data!BT$1,Haver_M!$B$1:$BZ$1,0),FALSE)),VLOOKUP($A184,Haver_M!$B$1:$BZ$300,MATCH(data!BT$1,Haver_M!$B$1:$BZ$1,0),FALSE),"")</f>
        <v>961.24439149524892</v>
      </c>
      <c r="BU184">
        <f>IF(ISNUMBER(VLOOKUP($A184,Haver_M!$B$1:$BZ$300,MATCH(data!BU$1,Haver_M!$B$1:$BZ$1,0),FALSE)),VLOOKUP($A184,Haver_M!$B$1:$BZ$300,MATCH(data!BU$1,Haver_M!$B$1:$BZ$1,0),FALSE),"")</f>
        <v>24034.18</v>
      </c>
      <c r="BV184">
        <f>IF(ISNUMBER(VLOOKUP($A184,Haver_M!$B$1:$BZ$300,MATCH(data!BV$1,Haver_M!$B$1:$BZ$1,0),FALSE)),VLOOKUP($A184,Haver_M!$B$1:$BZ$300,MATCH(data!BV$1,Haver_M!$B$1:$BZ$1,0),FALSE),"")</f>
        <v>35428.720000000001</v>
      </c>
      <c r="BW184">
        <f>IF(ISNUMBER(VLOOKUP($A184,Haver_M!$B$1:$BZ$300,MATCH(data!BW$1,Haver_M!$B$1:$BZ$1,0),FALSE)),VLOOKUP($A184,Haver_M!$B$1:$BZ$300,MATCH(data!BW$1,Haver_M!$B$1:$BZ$1,0),FALSE),"")</f>
        <v>62.449800000000003</v>
      </c>
      <c r="BX184">
        <f>IF(ISNUMBER(VLOOKUP($A184,Haver_M!$B$1:$BZ$300,MATCH(data!BX$1,Haver_M!$B$1:$BZ$1,0),FALSE)),VLOOKUP($A184,Haver_M!$B$1:$BZ$300,MATCH(data!BX$1,Haver_M!$B$1:$BZ$1,0),FALSE),"")</f>
        <v>44656</v>
      </c>
    </row>
    <row r="185" spans="1:76" x14ac:dyDescent="0.25">
      <c r="A185" s="2">
        <v>42124</v>
      </c>
      <c r="B185" t="str">
        <f>IF(ISNUMBER(VLOOKUP($A185,Haver_Q!$B$1:$L$185,MATCH(data!B$1,Haver_Q!$B$1:$L$1,0),FALSE)),100*(VLOOKUP($A185,Haver_Q!$B$1:$L$185,MATCH(data!B$1,Haver_Q!$B$1:$L$1,0),FALSE)),"")</f>
        <v/>
      </c>
      <c r="C185" t="str">
        <f>IF(ISNUMBER(VLOOKUP($A185,Haver_Q!$B$1:$L$185,MATCH(data!C$1,Haver_Q!$B$1:$L$1,0),FALSE)),100*(VLOOKUP($A185,Haver_Q!$B$1:$L$185,MATCH(data!C$1,Haver_Q!$B$1:$L$1,0),FALSE)),"")</f>
        <v/>
      </c>
      <c r="D185" t="str">
        <f>IF(ISNUMBER(VLOOKUP($A185,Haver_Q!$B$1:$L$185,MATCH(data!D$1,Haver_Q!$B$1:$L$1,0),FALSE)),100*(VLOOKUP($A185,Haver_Q!$B$1:$L$185,MATCH(data!D$1,Haver_Q!$B$1:$L$1,0),FALSE)),"")</f>
        <v/>
      </c>
      <c r="E185" t="str">
        <f>IF(ISNUMBER(VLOOKUP($A185,Haver_Q!$B$1:$L$185,MATCH(data!E$1,Haver_Q!$B$1:$L$1,0),FALSE)),100*(VLOOKUP($A185,Haver_Q!$B$1:$L$185,MATCH(data!E$1,Haver_Q!$B$1:$L$1,0),FALSE)),"")</f>
        <v/>
      </c>
      <c r="F185" t="str">
        <f>IF(ISNUMBER(VLOOKUP($A185,Haver_Q!$B$1:$L$185,MATCH(data!F$1,Haver_Q!$B$1:$L$1,0),FALSE)),100*(VLOOKUP($A185,Haver_Q!$B$1:$L$185,MATCH(data!F$1,Haver_Q!$B$1:$L$1,0),FALSE)),"")</f>
        <v/>
      </c>
      <c r="G185" t="str">
        <f>IF(ISNUMBER(VLOOKUP($A185,Haver_Q!$B$1:$L$185,MATCH(data!G$1,Haver_Q!$B$1:$L$1,0),FALSE)),100*(VLOOKUP($A185,Haver_Q!$B$1:$L$185,MATCH(data!G$1,Haver_Q!$B$1:$L$1,0),FALSE)),"")</f>
        <v/>
      </c>
      <c r="H185" t="str">
        <f>IF(ISNUMBER(VLOOKUP($A185,Haver_Q!$B$1:$L$185,MATCH(data!H$1,Haver_Q!$B$1:$L$1,0),FALSE)),(VLOOKUP($A185,Haver_Q!$B$1:$L$185,MATCH(data!H$1,Haver_Q!$B$1:$L$1,0),FALSE)),"")</f>
        <v/>
      </c>
      <c r="I185" t="str">
        <f>IF(ISNUMBER(VLOOKUP($A185,Haver_Q!$B$1:$L$185,MATCH(data!I$1,Haver_Q!$B$1:$L$1,0),FALSE)),100*(VLOOKUP($A185,Haver_Q!$B$1:$L$185,MATCH(data!I$1,Haver_Q!$B$1:$L$1,0),FALSE)),"")</f>
        <v/>
      </c>
      <c r="J185" s="3">
        <f>IF(ISNUMBER(Bloomberg_m!C201),Bloomberg_m!C201,"")</f>
        <v>591</v>
      </c>
      <c r="K185" s="3">
        <f>IF(ISNUMBER(Bloomberg_m!D201),Bloomberg_m!D201,"")</f>
        <v>1404.28</v>
      </c>
      <c r="L185" s="3">
        <f>IF(ISNUMBER(Bloomberg_m!E201),Bloomberg_m!E201,"")</f>
        <v>748.39</v>
      </c>
      <c r="M185" s="3">
        <f>IF(ISNUMBER(Bloomberg_m!F201),Bloomberg_m!F201,"")</f>
        <v>562.83000000000004</v>
      </c>
      <c r="N185">
        <f>IF(ISNUMBER(VLOOKUP($A185,Haver_M!$B$1:$BZ$300,MATCH(data!N$1,Haver_M!$B$1:$BZ$1,0),FALSE)),VLOOKUP($A185,Haver_M!$B$1:$BZ$300,MATCH(data!N$1,Haver_M!$B$1:$BZ$1,0),FALSE),"")</f>
        <v>7.5</v>
      </c>
      <c r="O185">
        <f>IF(ISNUMBER(VLOOKUP($A185,Haver_M!$B$1:$BZ$300,MATCH(data!O$1,Haver_M!$B$1:$BZ$1,0),FALSE)),VLOOKUP($A185,Haver_M!$B$1:$BZ$300,MATCH(data!O$1,Haver_M!$B$1:$BZ$1,0),FALSE),"")</f>
        <v>7.8903999999999996</v>
      </c>
      <c r="P185">
        <f>IF(ISNUMBER(VLOOKUP($A185,Haver_M!$B$1:$BZ$300,MATCH(data!P$1,Haver_M!$B$1:$BZ$1,0),FALSE)),VLOOKUP($A185,Haver_M!$B$1:$BZ$300,MATCH(data!P$1,Haver_M!$B$1:$BZ$1,0),FALSE),"")</f>
        <v>92.780879999999996</v>
      </c>
      <c r="Q185">
        <f>IF(ISNUMBER(VLOOKUP($A185,Haver_M!$B$1:$BZ$300,MATCH(data!Q$1,Haver_M!$B$1:$BZ$1,0),FALSE)),VLOOKUP($A185,Haver_M!$B$1:$BZ$300,MATCH(data!Q$1,Haver_M!$B$1:$BZ$1,0),FALSE),"")</f>
        <v>120.7</v>
      </c>
      <c r="R185">
        <f>IF(ISNUMBER(VLOOKUP($A185,Haver_M!$B$1:$BZ$300,MATCH(data!R$1,Haver_M!$B$1:$BZ$1,0),FALSE)),VLOOKUP($A185,Haver_M!$B$1:$BZ$300,MATCH(data!R$1,Haver_M!$B$1:$BZ$1,0),FALSE),"")</f>
        <v>119.1</v>
      </c>
      <c r="S185">
        <f>IF(ISNUMBER(VLOOKUP($A185,Haver_M!$B$1:$BZ$300,MATCH(data!S$1,Haver_M!$B$1:$BZ$1,0),FALSE)),VLOOKUP($A185,Haver_M!$B$1:$BZ$300,MATCH(data!S$1,Haver_M!$B$1:$BZ$1,0),FALSE),"")</f>
        <v>111.06</v>
      </c>
      <c r="T185">
        <f>IF(ISNUMBER(VLOOKUP($A185,Haver_M!$B$1:$BZ$300,MATCH(data!T$1,Haver_M!$B$1:$BZ$1,0),FALSE)),VLOOKUP($A185,Haver_M!$B$1:$BZ$300,MATCH(data!T$1,Haver_M!$B$1:$BZ$1,0),FALSE),"")</f>
        <v>103.21</v>
      </c>
      <c r="U185">
        <f>IF(ISNUMBER(VLOOKUP($A185,Haver_M!$B$1:$BZ$300,MATCH(data!U$1,Haver_M!$B$1:$BZ$1,0),FALSE)),VLOOKUP($A185,Haver_M!$B$1:$BZ$300,MATCH(data!U$1,Haver_M!$B$1:$BZ$1,0),FALSE),"")</f>
        <v>95.81</v>
      </c>
      <c r="V185">
        <f>IF(ISNUMBER(VLOOKUP($A185,Haver_M!$B$1:$BZ$300,MATCH(data!V$1,Haver_M!$B$1:$BZ$1,0),FALSE)),VLOOKUP($A185,Haver_M!$B$1:$BZ$300,MATCH(data!V$1,Haver_M!$B$1:$BZ$1,0),FALSE),"")</f>
        <v>118.13</v>
      </c>
      <c r="W185">
        <f>IF(ISNUMBER(VLOOKUP($A185,Haver_M!$B$1:$BZ$300,MATCH(data!W$1,Haver_M!$B$1:$BZ$1,0),FALSE)),VLOOKUP($A185,Haver_M!$B$1:$BZ$300,MATCH(data!W$1,Haver_M!$B$1:$BZ$1,0),FALSE),"")</f>
        <v>119.11</v>
      </c>
      <c r="X185">
        <f>IF(ISNUMBER(VLOOKUP($A185,Haver_M!$B$1:$BZ$300,MATCH(data!X$1,Haver_M!$B$1:$BZ$1,0),FALSE)),VLOOKUP($A185,Haver_M!$B$1:$BZ$300,MATCH(data!X$1,Haver_M!$B$1:$BZ$1,0),FALSE),"")</f>
        <v>113.78</v>
      </c>
      <c r="Y185">
        <f>IF(ISNUMBER(VLOOKUP($A185,Haver_M!$B$1:$BZ$300,MATCH(data!Y$1,Haver_M!$B$1:$BZ$1,0),FALSE)),VLOOKUP($A185,Haver_M!$B$1:$BZ$300,MATCH(data!Y$1,Haver_M!$B$1:$BZ$1,0),FALSE),"")</f>
        <v>119.23</v>
      </c>
      <c r="Z185">
        <f>IF(ISNUMBER(VLOOKUP($A185,Haver_M!$B$1:$BZ$300,MATCH(data!Z$1,Haver_M!$B$1:$BZ$1,0),FALSE)),VLOOKUP($A185,Haver_M!$B$1:$BZ$300,MATCH(data!Z$1,Haver_M!$B$1:$BZ$1,0),FALSE),"")</f>
        <v>109.8</v>
      </c>
      <c r="AA185">
        <f>IF(ISNUMBER(VLOOKUP($A185,Haver_M!$B$1:$BZ$300,MATCH(data!AA$1,Haver_M!$B$1:$BZ$1,0),FALSE)),VLOOKUP($A185,Haver_M!$B$1:$BZ$300,MATCH(data!AA$1,Haver_M!$B$1:$BZ$1,0),FALSE),"")</f>
        <v>118.401</v>
      </c>
      <c r="AB185">
        <f>IF(ISNUMBER(VLOOKUP($A185,Haver_M!$B$1:$BZ$300,MATCH(data!AB$1,Haver_M!$B$1:$BZ$1,0),FALSE)),VLOOKUP($A185,Haver_M!$B$1:$BZ$300,MATCH(data!AB$1,Haver_M!$B$1:$BZ$1,0),FALSE),"")</f>
        <v>96.921999999999997</v>
      </c>
      <c r="AC185">
        <f>IF(ISNUMBER(VLOOKUP($A185,Haver_M!$B$1:$BZ$300,MATCH(data!AC$1,Haver_M!$B$1:$BZ$1,0),FALSE)),VLOOKUP($A185,Haver_M!$B$1:$BZ$300,MATCH(data!AC$1,Haver_M!$B$1:$BZ$1,0),FALSE),"")</f>
        <v>68.731999999999999</v>
      </c>
      <c r="AD185">
        <f>IF(ISNUMBER(VLOOKUP($A185,Haver_M!$B$1:$BZ$300,MATCH(data!AD$1,Haver_M!$B$1:$BZ$1,0),FALSE)),VLOOKUP($A185,Haver_M!$B$1:$BZ$300,MATCH(data!AD$1,Haver_M!$B$1:$BZ$1,0),FALSE),"")</f>
        <v>101.818</v>
      </c>
      <c r="AE185">
        <f>IF(ISNUMBER(VLOOKUP($A185,Haver_M!$B$1:$BZ$300,MATCH(data!AE$1,Haver_M!$B$1:$BZ$1,0),FALSE)),VLOOKUP($A185,Haver_M!$B$1:$BZ$300,MATCH(data!AE$1,Haver_M!$B$1:$BZ$1,0),FALSE),"")</f>
        <v>104.36</v>
      </c>
      <c r="AF185">
        <f>IF(ISNUMBER(VLOOKUP($A185,Haver_M!$B$1:$BZ$300,MATCH(data!AF$1,Haver_M!$B$1:$BZ$1,0),FALSE)),VLOOKUP($A185,Haver_M!$B$1:$BZ$300,MATCH(data!AF$1,Haver_M!$B$1:$BZ$1,0),FALSE),"")</f>
        <v>120.59099999999999</v>
      </c>
      <c r="AG185">
        <f>IF(ISNUMBER(VLOOKUP($A185,Haver_M!$B$1:$BZ$300,MATCH(data!AG$1,Haver_M!$B$1:$BZ$1,0),FALSE)),VLOOKUP($A185,Haver_M!$B$1:$BZ$300,MATCH(data!AG$1,Haver_M!$B$1:$BZ$1,0),FALSE),"")</f>
        <v>119.35</v>
      </c>
      <c r="AH185">
        <f>IF(ISNUMBER(VLOOKUP($A185,Haver_M!$B$1:$BZ$300,MATCH(data!AH$1,Haver_M!$B$1:$BZ$1,0),FALSE)),VLOOKUP($A185,Haver_M!$B$1:$BZ$300,MATCH(data!AH$1,Haver_M!$B$1:$BZ$1,0),FALSE),"")</f>
        <v>123.242</v>
      </c>
      <c r="AI185">
        <f>IF(ISNUMBER(VLOOKUP($A185,Haver_M!$B$1:$BZ$300,MATCH(data!AI$1,Haver_M!$B$1:$BZ$1,0),FALSE)),VLOOKUP($A185,Haver_M!$B$1:$BZ$300,MATCH(data!AI$1,Haver_M!$B$1:$BZ$1,0),FALSE),"")</f>
        <v>14556.750574116326</v>
      </c>
      <c r="AJ185">
        <f>IF(ISNUMBER(VLOOKUP($A185,Haver_M!$B$1:$BZ$300,MATCH(data!AJ$1,Haver_M!$B$1:$BZ$1,0),FALSE)),VLOOKUP($A185,Haver_M!$B$1:$BZ$300,MATCH(data!AJ$1,Haver_M!$B$1:$BZ$1,0),FALSE),"")</f>
        <v>22784.17</v>
      </c>
      <c r="AK185">
        <f>IF(ISNUMBER(VLOOKUP($A185,Haver_M!$B$1:$BZ$300,MATCH(data!AK$1,Haver_M!$B$1:$BZ$1,0),FALSE)),VLOOKUP($A185,Haver_M!$B$1:$BZ$300,MATCH(data!AK$1,Haver_M!$B$1:$BZ$1,0),FALSE),"")</f>
        <v>34382.559999999998</v>
      </c>
      <c r="AL185">
        <f>IF(ISNUMBER(VLOOKUP($A185,Haver_M!$B$1:$BZ$300,MATCH(data!AL$1,Haver_M!$B$1:$BZ$1,0),FALSE)),VLOOKUP($A185,Haver_M!$B$1:$BZ$300,MATCH(data!AL$1,Haver_M!$B$1:$BZ$1,0),FALSE),"")</f>
        <v>13012</v>
      </c>
      <c r="AM185">
        <f>IF(ISNUMBER(VLOOKUP($A185,Haver_M!$B$1:$BZ$300,MATCH(data!AM$1,Haver_M!$B$1:$BZ$1,0),FALSE)),VLOOKUP($A185,Haver_M!$B$1:$BZ$300,MATCH(data!AM$1,Haver_M!$B$1:$BZ$1,0),FALSE),"")</f>
        <v>7324</v>
      </c>
      <c r="AN185" t="str">
        <f>IF(ISNUMBER(VLOOKUP($A185,Haver_M!$B$1:$BZ$300,MATCH(data!AN$1,Haver_M!$B$1:$BZ$1,0),FALSE)),VLOOKUP($A185,Haver_M!$B$1:$BZ$300,MATCH(data!AN$1,Haver_M!$B$1:$BZ$1,0),FALSE),"")</f>
        <v/>
      </c>
      <c r="AO185" t="str">
        <f>IF(ISNUMBER(VLOOKUP($A185,Haver_M!$B$1:$BZ$300,MATCH(data!AO$1,Haver_M!$B$1:$BZ$1,0),FALSE)),VLOOKUP($A185,Haver_M!$B$1:$BZ$300,MATCH(data!AO$1,Haver_M!$B$1:$BZ$1,0),FALSE),"")</f>
        <v/>
      </c>
      <c r="AP185">
        <f>IF(ISNUMBER(VLOOKUP($A185,Haver_M!$B$1:$BZ$300,MATCH(data!AP$1,Haver_M!$B$1:$BZ$1,0),FALSE)),VLOOKUP($A185,Haver_M!$B$1:$BZ$300,MATCH(data!AP$1,Haver_M!$B$1:$BZ$1,0),FALSE),"")</f>
        <v>62.841918596138832</v>
      </c>
      <c r="AQ185">
        <f>IF(ISNUMBER(VLOOKUP($A185,Haver_M!$B$1:$BZ$300,MATCH(data!AQ$1,Haver_M!$B$1:$BZ$1,0),FALSE)),VLOOKUP($A185,Haver_M!$B$1:$BZ$300,MATCH(data!AQ$1,Haver_M!$B$1:$BZ$1,0),FALSE),"")</f>
        <v>52.508699999999997</v>
      </c>
      <c r="AR185">
        <f>IF(ISNUMBER(VLOOKUP($A185,Haver_M!$B$1:$BZ$300,MATCH(data!AR$1,Haver_M!$B$1:$BZ$1,0),FALSE)),VLOOKUP($A185,Haver_M!$B$1:$BZ$300,MATCH(data!AR$1,Haver_M!$B$1:$BZ$1,0),FALSE),"")</f>
        <v>51.288800000000002</v>
      </c>
      <c r="AS185">
        <f>IF(ISNUMBER(VLOOKUP($A185,Haver_M!$B$1:$BZ$300,MATCH(data!AS$1,Haver_M!$B$1:$BZ$1,0),FALSE)),VLOOKUP($A185,Haver_M!$B$1:$BZ$300,MATCH(data!AS$1,Haver_M!$B$1:$BZ$1,0),FALSE),"")</f>
        <v>52.359099999999998</v>
      </c>
      <c r="AT185">
        <f>IF(ISNUMBER(VLOOKUP($A185,Haver_M!$B$1:$BZ$300,MATCH(data!AT$1,Haver_M!$B$1:$BZ$1,0),FALSE)),VLOOKUP($A185,Haver_M!$B$1:$BZ$300,MATCH(data!AT$1,Haver_M!$B$1:$BZ$1,0),FALSE),"")</f>
        <v>52.8752</v>
      </c>
      <c r="AU185">
        <f>IF(ISNUMBER(VLOOKUP($A185,Haver_M!$B$1:$BZ$300,MATCH(data!AU$1,Haver_M!$B$1:$BZ$1,0),FALSE)),VLOOKUP($A185,Haver_M!$B$1:$BZ$300,MATCH(data!AU$1,Haver_M!$B$1:$BZ$1,0),FALSE),"")</f>
        <v>51.880099999999999</v>
      </c>
      <c r="AV185">
        <f>IF(ISNUMBER(VLOOKUP($A185,Haver_M!$B$1:$BZ$300,MATCH(data!AV$1,Haver_M!$B$1:$BZ$1,0),FALSE)),VLOOKUP($A185,Haver_M!$B$1:$BZ$300,MATCH(data!AV$1,Haver_M!$B$1:$BZ$1,0),FALSE),"")</f>
        <v>49.667299999999997</v>
      </c>
      <c r="AW185">
        <f>IF(ISNUMBER(VLOOKUP($A185,Haver_M!$B$1:$BZ$300,MATCH(data!AW$1,Haver_M!$B$1:$BZ$1,0),FALSE)),VLOOKUP($A185,Haver_M!$B$1:$BZ$300,MATCH(data!AW$1,Haver_M!$B$1:$BZ$1,0),FALSE),"")</f>
        <v>50.265300000000003</v>
      </c>
      <c r="AX185">
        <f>IF(ISNUMBER(VLOOKUP($A185,Haver_M!$B$1:$BZ$300,MATCH(data!AX$1,Haver_M!$B$1:$BZ$1,0),FALSE)),VLOOKUP($A185,Haver_M!$B$1:$BZ$300,MATCH(data!AX$1,Haver_M!$B$1:$BZ$1,0),FALSE),"")</f>
        <v>51.122799999999998</v>
      </c>
      <c r="AY185">
        <f>IF(ISNUMBER(VLOOKUP($A185,Haver_M!$B$1:$BZ$300,MATCH(data!AY$1,Haver_M!$B$1:$BZ$1,0),FALSE)),VLOOKUP($A185,Haver_M!$B$1:$BZ$300,MATCH(data!AY$1,Haver_M!$B$1:$BZ$1,0),FALSE),"")</f>
        <v>51.6205</v>
      </c>
      <c r="AZ185">
        <f>IF(ISNUMBER(VLOOKUP($A185,Haver_M!$B$1:$BZ$300,MATCH(data!AZ$1,Haver_M!$B$1:$BZ$1,0),FALSE)),VLOOKUP($A185,Haver_M!$B$1:$BZ$300,MATCH(data!AZ$1,Haver_M!$B$1:$BZ$1,0),FALSE),"")</f>
        <v>51.906100000000002</v>
      </c>
      <c r="BA185">
        <f>IF(ISNUMBER(VLOOKUP($A185,Haver_M!$B$1:$BZ$300,MATCH(data!BA$1,Haver_M!$B$1:$BZ$1,0),FALSE)),VLOOKUP($A185,Haver_M!$B$1:$BZ$300,MATCH(data!BA$1,Haver_M!$B$1:$BZ$1,0),FALSE),"")</f>
        <v>51.122799999999998</v>
      </c>
      <c r="BB185">
        <f>IF(ISNUMBER(VLOOKUP($A185,Haver_M!$B$1:$BZ$300,MATCH(data!BB$1,Haver_M!$B$1:$BZ$1,0),FALSE)),VLOOKUP($A185,Haver_M!$B$1:$BZ$300,MATCH(data!BB$1,Haver_M!$B$1:$BZ$1,0),FALSE),"")</f>
        <v>54.060899999999997</v>
      </c>
      <c r="BC185">
        <f>IF(ISNUMBER(VLOOKUP($A185,Haver_M!$B$1:$BZ$300,MATCH(data!BC$1,Haver_M!$B$1:$BZ$1,0),FALSE)),VLOOKUP($A185,Haver_M!$B$1:$BZ$300,MATCH(data!BC$1,Haver_M!$B$1:$BZ$1,0),FALSE),"")</f>
        <v>49.692599999999999</v>
      </c>
      <c r="BD185">
        <f>IF(ISNUMBER(VLOOKUP($A185,Haver_M!$B$1:$BZ$300,MATCH(data!BD$1,Haver_M!$B$1:$BZ$1,0),FALSE)),VLOOKUP($A185,Haver_M!$B$1:$BZ$300,MATCH(data!BD$1,Haver_M!$B$1:$BZ$1,0),FALSE),"")</f>
        <v>50.123600000000003</v>
      </c>
      <c r="BE185">
        <f>IF(ISNUMBER(VLOOKUP($A185,Haver_M!$B$1:$BZ$300,MATCH(data!BE$1,Haver_M!$B$1:$BZ$1,0),FALSE)),VLOOKUP($A185,Haver_M!$B$1:$BZ$300,MATCH(data!BE$1,Haver_M!$B$1:$BZ$1,0),FALSE),"")</f>
        <v>1.0282</v>
      </c>
      <c r="BF185">
        <f>IF(ISNUMBER(VLOOKUP($A185,Haver_M!$B$1:$BZ$300,MATCH(data!BF$1,Haver_M!$B$1:$BZ$1,0),FALSE)),VLOOKUP($A185,Haver_M!$B$1:$BZ$300,MATCH(data!BF$1,Haver_M!$B$1:$BZ$1,0),FALSE),"")</f>
        <v>49.839700000000001</v>
      </c>
      <c r="BG185">
        <f>IF(ISNUMBER(VLOOKUP($A185,Haver_M!$B$1:$BZ$300,MATCH(data!BG$1,Haver_M!$B$1:$BZ$1,0),FALSE)),VLOOKUP($A185,Haver_M!$B$1:$BZ$300,MATCH(data!BG$1,Haver_M!$B$1:$BZ$1,0),FALSE),"")</f>
        <v>50.418599999999998</v>
      </c>
      <c r="BH185">
        <f>IF(ISNUMBER(VLOOKUP($A185,Haver_M!$B$1:$BZ$300,MATCH(data!BH$1,Haver_M!$B$1:$BZ$1,0),FALSE)),VLOOKUP($A185,Haver_M!$B$1:$BZ$300,MATCH(data!BH$1,Haver_M!$B$1:$BZ$1,0),FALSE),"")</f>
        <v>51.6252</v>
      </c>
      <c r="BI185">
        <f>IF(ISNUMBER(VLOOKUP($A185,Haver_M!$B$1:$BZ$300,MATCH(data!BI$1,Haver_M!$B$1:$BZ$1,0),FALSE)),VLOOKUP($A185,Haver_M!$B$1:$BZ$300,MATCH(data!BI$1,Haver_M!$B$1:$BZ$1,0),FALSE),"")</f>
        <v>51.822699999999998</v>
      </c>
      <c r="BJ185">
        <f>IF(ISNUMBER(VLOOKUP($A185,Haver_M!$B$1:$BZ$300,MATCH(data!BJ$1,Haver_M!$B$1:$BZ$1,0),FALSE)),VLOOKUP($A185,Haver_M!$B$1:$BZ$300,MATCH(data!BJ$1,Haver_M!$B$1:$BZ$1,0),FALSE),"")</f>
        <v>50.508200000000002</v>
      </c>
      <c r="BK185">
        <f>IF(ISNUMBER(VLOOKUP($A185,Haver_M!$B$1:$BZ$300,MATCH(data!BK$1,Haver_M!$B$1:$BZ$1,0),FALSE)),VLOOKUP($A185,Haver_M!$B$1:$BZ$300,MATCH(data!BK$1,Haver_M!$B$1:$BZ$1,0),FALSE),"")</f>
        <v>51.848999999999997</v>
      </c>
      <c r="BL185">
        <f>IF(ISNUMBER(VLOOKUP($A185,Haver_M!$B$1:$BZ$300,MATCH(data!BL$1,Haver_M!$B$1:$BZ$1,0),FALSE)),VLOOKUP($A185,Haver_M!$B$1:$BZ$300,MATCH(data!BL$1,Haver_M!$B$1:$BZ$1,0),FALSE),"")</f>
        <v>28112.720000000001</v>
      </c>
      <c r="BM185">
        <f>IF(ISNUMBER(VLOOKUP($A185,Haver_M!$B$1:$BZ$300,MATCH(data!BM$1,Haver_M!$B$1:$BZ$1,0),FALSE)),VLOOKUP($A185,Haver_M!$B$1:$BZ$300,MATCH(data!BM$1,Haver_M!$B$1:$BZ$1,0),FALSE),"")</f>
        <v>97.488093480000003</v>
      </c>
      <c r="BN185" t="str">
        <f>IF(ISNUMBER(VLOOKUP($A185,Haver_M!$B$1:$BZ$300,MATCH(data!BN$1,Haver_M!$B$1:$BZ$1,0),FALSE)),VLOOKUP($A185,Haver_M!$B$1:$BZ$300,MATCH(data!BN$1,Haver_M!$B$1:$BZ$1,0),FALSE),"")</f>
        <v/>
      </c>
      <c r="BO185" t="str">
        <f>IF(ISNUMBER(VLOOKUP($A185,Haver_M!$B$1:$BZ$300,MATCH(data!BO$1,Haver_M!$B$1:$BZ$1,0),FALSE)),VLOOKUP($A185,Haver_M!$B$1:$BZ$300,MATCH(data!BO$1,Haver_M!$B$1:$BZ$1,0),FALSE),"")</f>
        <v/>
      </c>
      <c r="BP185" t="str">
        <f>IF(ISNUMBER(VLOOKUP($A185,Haver_M!$B$1:$BZ$300,MATCH(data!BP$1,Haver_M!$B$1:$BZ$1,0),FALSE)),VLOOKUP($A185,Haver_M!$B$1:$BZ$300,MATCH(data!BP$1,Haver_M!$B$1:$BZ$1,0),FALSE),"")</f>
        <v/>
      </c>
      <c r="BQ185">
        <f>IF(ISNUMBER(VLOOKUP($A185,Haver_M!$B$1:$BZ$300,MATCH(data!BQ$1,Haver_M!$B$1:$BZ$1,0),FALSE)),VLOOKUP($A185,Haver_M!$B$1:$BZ$300,MATCH(data!BQ$1,Haver_M!$B$1:$BZ$1,0),FALSE),"")</f>
        <v>187.64270188611897</v>
      </c>
      <c r="BR185">
        <f>IF(ISNUMBER(VLOOKUP($A185,Haver_M!$B$1:$BZ$300,MATCH(data!BR$1,Haver_M!$B$1:$BZ$1,0),FALSE)),VLOOKUP($A185,Haver_M!$B$1:$BZ$300,MATCH(data!BR$1,Haver_M!$B$1:$BZ$1,0),FALSE),"")</f>
        <v>423.59959332751157</v>
      </c>
      <c r="BS185">
        <f>IF(ISNUMBER(VLOOKUP($A185,Haver_M!$B$1:$BZ$300,MATCH(data!BS$1,Haver_M!$B$1:$BZ$1,0),FALSE)),VLOOKUP($A185,Haver_M!$B$1:$BZ$300,MATCH(data!BS$1,Haver_M!$B$1:$BZ$1,0),FALSE),"")</f>
        <v>226.61792546037492</v>
      </c>
      <c r="BT185">
        <f>IF(ISNUMBER(VLOOKUP($A185,Haver_M!$B$1:$BZ$300,MATCH(data!BT$1,Haver_M!$B$1:$BZ$1,0),FALSE)),VLOOKUP($A185,Haver_M!$B$1:$BZ$300,MATCH(data!BT$1,Haver_M!$B$1:$BZ$1,0),FALSE),"")</f>
        <v>962.71982942702527</v>
      </c>
      <c r="BU185">
        <f>IF(ISNUMBER(VLOOKUP($A185,Haver_M!$B$1:$BZ$300,MATCH(data!BU$1,Haver_M!$B$1:$BZ$1,0),FALSE)),VLOOKUP($A185,Haver_M!$B$1:$BZ$300,MATCH(data!BU$1,Haver_M!$B$1:$BZ$1,0),FALSE),"")</f>
        <v>22137.21</v>
      </c>
      <c r="BV185">
        <f>IF(ISNUMBER(VLOOKUP($A185,Haver_M!$B$1:$BZ$300,MATCH(data!BV$1,Haver_M!$B$1:$BZ$1,0),FALSE)),VLOOKUP($A185,Haver_M!$B$1:$BZ$300,MATCH(data!BV$1,Haver_M!$B$1:$BZ$1,0),FALSE),"")</f>
        <v>33506.51</v>
      </c>
      <c r="BW185">
        <f>IF(ISNUMBER(VLOOKUP($A185,Haver_M!$B$1:$BZ$300,MATCH(data!BW$1,Haver_M!$B$1:$BZ$1,0),FALSE)),VLOOKUP($A185,Haver_M!$B$1:$BZ$300,MATCH(data!BW$1,Haver_M!$B$1:$BZ$1,0),FALSE),"")</f>
        <v>62.7532</v>
      </c>
      <c r="BX185">
        <f>IF(ISNUMBER(VLOOKUP($A185,Haver_M!$B$1:$BZ$300,MATCH(data!BX$1,Haver_M!$B$1:$BZ$1,0),FALSE)),VLOOKUP($A185,Haver_M!$B$1:$BZ$300,MATCH(data!BX$1,Haver_M!$B$1:$BZ$1,0),FALSE),"")</f>
        <v>59369</v>
      </c>
    </row>
    <row r="186" spans="1:76" x14ac:dyDescent="0.25">
      <c r="A186" s="2">
        <v>42155</v>
      </c>
      <c r="B186" t="str">
        <f>IF(ISNUMBER(VLOOKUP($A186,Haver_Q!$B$1:$L$185,MATCH(data!B$1,Haver_Q!$B$1:$L$1,0),FALSE)),100*(VLOOKUP($A186,Haver_Q!$B$1:$L$185,MATCH(data!B$1,Haver_Q!$B$1:$L$1,0),FALSE)),"")</f>
        <v/>
      </c>
      <c r="C186" t="str">
        <f>IF(ISNUMBER(VLOOKUP($A186,Haver_Q!$B$1:$L$185,MATCH(data!C$1,Haver_Q!$B$1:$L$1,0),FALSE)),100*(VLOOKUP($A186,Haver_Q!$B$1:$L$185,MATCH(data!C$1,Haver_Q!$B$1:$L$1,0),FALSE)),"")</f>
        <v/>
      </c>
      <c r="D186" t="str">
        <f>IF(ISNUMBER(VLOOKUP($A186,Haver_Q!$B$1:$L$185,MATCH(data!D$1,Haver_Q!$B$1:$L$1,0),FALSE)),100*(VLOOKUP($A186,Haver_Q!$B$1:$L$185,MATCH(data!D$1,Haver_Q!$B$1:$L$1,0),FALSE)),"")</f>
        <v/>
      </c>
      <c r="E186" t="str">
        <f>IF(ISNUMBER(VLOOKUP($A186,Haver_Q!$B$1:$L$185,MATCH(data!E$1,Haver_Q!$B$1:$L$1,0),FALSE)),100*(VLOOKUP($A186,Haver_Q!$B$1:$L$185,MATCH(data!E$1,Haver_Q!$B$1:$L$1,0),FALSE)),"")</f>
        <v/>
      </c>
      <c r="F186" t="str">
        <f>IF(ISNUMBER(VLOOKUP($A186,Haver_Q!$B$1:$L$185,MATCH(data!F$1,Haver_Q!$B$1:$L$1,0),FALSE)),100*(VLOOKUP($A186,Haver_Q!$B$1:$L$185,MATCH(data!F$1,Haver_Q!$B$1:$L$1,0),FALSE)),"")</f>
        <v/>
      </c>
      <c r="G186" t="str">
        <f>IF(ISNUMBER(VLOOKUP($A186,Haver_Q!$B$1:$L$185,MATCH(data!G$1,Haver_Q!$B$1:$L$1,0),FALSE)),100*(VLOOKUP($A186,Haver_Q!$B$1:$L$185,MATCH(data!G$1,Haver_Q!$B$1:$L$1,0),FALSE)),"")</f>
        <v/>
      </c>
      <c r="H186" t="str">
        <f>IF(ISNUMBER(VLOOKUP($A186,Haver_Q!$B$1:$L$185,MATCH(data!H$1,Haver_Q!$B$1:$L$1,0),FALSE)),(VLOOKUP($A186,Haver_Q!$B$1:$L$185,MATCH(data!H$1,Haver_Q!$B$1:$L$1,0),FALSE)),"")</f>
        <v/>
      </c>
      <c r="I186" t="str">
        <f>IF(ISNUMBER(VLOOKUP($A186,Haver_Q!$B$1:$L$185,MATCH(data!I$1,Haver_Q!$B$1:$L$1,0),FALSE)),100*(VLOOKUP($A186,Haver_Q!$B$1:$L$185,MATCH(data!I$1,Haver_Q!$B$1:$L$1,0),FALSE)),"")</f>
        <v/>
      </c>
      <c r="J186" s="3">
        <f>IF(ISNUMBER(Bloomberg_m!C202),Bloomberg_m!C202,"")</f>
        <v>597</v>
      </c>
      <c r="K186" s="3">
        <f>IF(ISNUMBER(Bloomberg_m!D202),Bloomberg_m!D202,"")</f>
        <v>1438.01</v>
      </c>
      <c r="L186" s="3">
        <f>IF(ISNUMBER(Bloomberg_m!E202),Bloomberg_m!E202,"")</f>
        <v>731.35</v>
      </c>
      <c r="M186" s="3">
        <f>IF(ISNUMBER(Bloomberg_m!F202),Bloomberg_m!F202,"")</f>
        <v>549.07000000000005</v>
      </c>
      <c r="N186">
        <f>IF(ISNUMBER(VLOOKUP($A186,Haver_M!$B$1:$BZ$300,MATCH(data!N$1,Haver_M!$B$1:$BZ$1,0),FALSE)),VLOOKUP($A186,Haver_M!$B$1:$BZ$300,MATCH(data!N$1,Haver_M!$B$1:$BZ$1,0),FALSE),"")</f>
        <v>7.5</v>
      </c>
      <c r="O186">
        <f>IF(ISNUMBER(VLOOKUP($A186,Haver_M!$B$1:$BZ$300,MATCH(data!O$1,Haver_M!$B$1:$BZ$1,0),FALSE)),VLOOKUP($A186,Haver_M!$B$1:$BZ$300,MATCH(data!O$1,Haver_M!$B$1:$BZ$1,0),FALSE),"")</f>
        <v>7.6433</v>
      </c>
      <c r="P186">
        <f>IF(ISNUMBER(VLOOKUP($A186,Haver_M!$B$1:$BZ$300,MATCH(data!P$1,Haver_M!$B$1:$BZ$1,0),FALSE)),VLOOKUP($A186,Haver_M!$B$1:$BZ$300,MATCH(data!P$1,Haver_M!$B$1:$BZ$1,0),FALSE),"")</f>
        <v>91.505780000000001</v>
      </c>
      <c r="Q186">
        <f>IF(ISNUMBER(VLOOKUP($A186,Haver_M!$B$1:$BZ$300,MATCH(data!Q$1,Haver_M!$B$1:$BZ$1,0),FALSE)),VLOOKUP($A186,Haver_M!$B$1:$BZ$300,MATCH(data!Q$1,Haver_M!$B$1:$BZ$1,0),FALSE),"")</f>
        <v>121.6</v>
      </c>
      <c r="R186">
        <f>IF(ISNUMBER(VLOOKUP($A186,Haver_M!$B$1:$BZ$300,MATCH(data!R$1,Haver_M!$B$1:$BZ$1,0),FALSE)),VLOOKUP($A186,Haver_M!$B$1:$BZ$300,MATCH(data!R$1,Haver_M!$B$1:$BZ$1,0),FALSE),"")</f>
        <v>119.7</v>
      </c>
      <c r="S186">
        <f>IF(ISNUMBER(VLOOKUP($A186,Haver_M!$B$1:$BZ$300,MATCH(data!S$1,Haver_M!$B$1:$BZ$1,0),FALSE)),VLOOKUP($A186,Haver_M!$B$1:$BZ$300,MATCH(data!S$1,Haver_M!$B$1:$BZ$1,0),FALSE),"")</f>
        <v>112.26</v>
      </c>
      <c r="T186">
        <f>IF(ISNUMBER(VLOOKUP($A186,Haver_M!$B$1:$BZ$300,MATCH(data!T$1,Haver_M!$B$1:$BZ$1,0),FALSE)),VLOOKUP($A186,Haver_M!$B$1:$BZ$300,MATCH(data!T$1,Haver_M!$B$1:$BZ$1,0),FALSE),"")</f>
        <v>110.61</v>
      </c>
      <c r="U186">
        <f>IF(ISNUMBER(VLOOKUP($A186,Haver_M!$B$1:$BZ$300,MATCH(data!U$1,Haver_M!$B$1:$BZ$1,0),FALSE)),VLOOKUP($A186,Haver_M!$B$1:$BZ$300,MATCH(data!U$1,Haver_M!$B$1:$BZ$1,0),FALSE),"")</f>
        <v>92.7</v>
      </c>
      <c r="V186">
        <f>IF(ISNUMBER(VLOOKUP($A186,Haver_M!$B$1:$BZ$300,MATCH(data!V$1,Haver_M!$B$1:$BZ$1,0),FALSE)),VLOOKUP($A186,Haver_M!$B$1:$BZ$300,MATCH(data!V$1,Haver_M!$B$1:$BZ$1,0),FALSE),"")</f>
        <v>116.87</v>
      </c>
      <c r="W186">
        <f>IF(ISNUMBER(VLOOKUP($A186,Haver_M!$B$1:$BZ$300,MATCH(data!W$1,Haver_M!$B$1:$BZ$1,0),FALSE)),VLOOKUP($A186,Haver_M!$B$1:$BZ$300,MATCH(data!W$1,Haver_M!$B$1:$BZ$1,0),FALSE),"")</f>
        <v>117.33</v>
      </c>
      <c r="X186">
        <f>IF(ISNUMBER(VLOOKUP($A186,Haver_M!$B$1:$BZ$300,MATCH(data!X$1,Haver_M!$B$1:$BZ$1,0),FALSE)),VLOOKUP($A186,Haver_M!$B$1:$BZ$300,MATCH(data!X$1,Haver_M!$B$1:$BZ$1,0),FALSE),"")</f>
        <v>113.73</v>
      </c>
      <c r="Y186">
        <f>IF(ISNUMBER(VLOOKUP($A186,Haver_M!$B$1:$BZ$300,MATCH(data!Y$1,Haver_M!$B$1:$BZ$1,0),FALSE)),VLOOKUP($A186,Haver_M!$B$1:$BZ$300,MATCH(data!Y$1,Haver_M!$B$1:$BZ$1,0),FALSE),"")</f>
        <v>115.83</v>
      </c>
      <c r="Z186">
        <f>IF(ISNUMBER(VLOOKUP($A186,Haver_M!$B$1:$BZ$300,MATCH(data!Z$1,Haver_M!$B$1:$BZ$1,0),FALSE)),VLOOKUP($A186,Haver_M!$B$1:$BZ$300,MATCH(data!Z$1,Haver_M!$B$1:$BZ$1,0),FALSE),"")</f>
        <v>113.6</v>
      </c>
      <c r="AA186">
        <f>IF(ISNUMBER(VLOOKUP($A186,Haver_M!$B$1:$BZ$300,MATCH(data!AA$1,Haver_M!$B$1:$BZ$1,0),FALSE)),VLOOKUP($A186,Haver_M!$B$1:$BZ$300,MATCH(data!AA$1,Haver_M!$B$1:$BZ$1,0),FALSE),"")</f>
        <v>117.194</v>
      </c>
      <c r="AB186">
        <f>IF(ISNUMBER(VLOOKUP($A186,Haver_M!$B$1:$BZ$300,MATCH(data!AB$1,Haver_M!$B$1:$BZ$1,0),FALSE)),VLOOKUP($A186,Haver_M!$B$1:$BZ$300,MATCH(data!AB$1,Haver_M!$B$1:$BZ$1,0),FALSE),"")</f>
        <v>98.62</v>
      </c>
      <c r="AC186">
        <f>IF(ISNUMBER(VLOOKUP($A186,Haver_M!$B$1:$BZ$300,MATCH(data!AC$1,Haver_M!$B$1:$BZ$1,0),FALSE)),VLOOKUP($A186,Haver_M!$B$1:$BZ$300,MATCH(data!AC$1,Haver_M!$B$1:$BZ$1,0),FALSE),"")</f>
        <v>70.370999999999995</v>
      </c>
      <c r="AD186">
        <f>IF(ISNUMBER(VLOOKUP($A186,Haver_M!$B$1:$BZ$300,MATCH(data!AD$1,Haver_M!$B$1:$BZ$1,0),FALSE)),VLOOKUP($A186,Haver_M!$B$1:$BZ$300,MATCH(data!AD$1,Haver_M!$B$1:$BZ$1,0),FALSE),"")</f>
        <v>114.10599999999999</v>
      </c>
      <c r="AE186">
        <f>IF(ISNUMBER(VLOOKUP($A186,Haver_M!$B$1:$BZ$300,MATCH(data!AE$1,Haver_M!$B$1:$BZ$1,0),FALSE)),VLOOKUP($A186,Haver_M!$B$1:$BZ$300,MATCH(data!AE$1,Haver_M!$B$1:$BZ$1,0),FALSE),"")</f>
        <v>103.30800000000001</v>
      </c>
      <c r="AF186">
        <f>IF(ISNUMBER(VLOOKUP($A186,Haver_M!$B$1:$BZ$300,MATCH(data!AF$1,Haver_M!$B$1:$BZ$1,0),FALSE)),VLOOKUP($A186,Haver_M!$B$1:$BZ$300,MATCH(data!AF$1,Haver_M!$B$1:$BZ$1,0),FALSE),"")</f>
        <v>115.634</v>
      </c>
      <c r="AG186">
        <f>IF(ISNUMBER(VLOOKUP($A186,Haver_M!$B$1:$BZ$300,MATCH(data!AG$1,Haver_M!$B$1:$BZ$1,0),FALSE)),VLOOKUP($A186,Haver_M!$B$1:$BZ$300,MATCH(data!AG$1,Haver_M!$B$1:$BZ$1,0),FALSE),"")</f>
        <v>121.70399999999999</v>
      </c>
      <c r="AH186">
        <f>IF(ISNUMBER(VLOOKUP($A186,Haver_M!$B$1:$BZ$300,MATCH(data!AH$1,Haver_M!$B$1:$BZ$1,0),FALSE)),VLOOKUP($A186,Haver_M!$B$1:$BZ$300,MATCH(data!AH$1,Haver_M!$B$1:$BZ$1,0),FALSE),"")</f>
        <v>130.60499999999999</v>
      </c>
      <c r="AI186">
        <f>IF(ISNUMBER(VLOOKUP($A186,Haver_M!$B$1:$BZ$300,MATCH(data!AI$1,Haver_M!$B$1:$BZ$1,0),FALSE)),VLOOKUP($A186,Haver_M!$B$1:$BZ$300,MATCH(data!AI$1,Haver_M!$B$1:$BZ$1,0),FALSE),"")</f>
        <v>14471.181697685754</v>
      </c>
      <c r="AJ186">
        <f>IF(ISNUMBER(VLOOKUP($A186,Haver_M!$B$1:$BZ$300,MATCH(data!AJ$1,Haver_M!$B$1:$BZ$1,0),FALSE)),VLOOKUP($A186,Haver_M!$B$1:$BZ$300,MATCH(data!AJ$1,Haver_M!$B$1:$BZ$1,0),FALSE),"")</f>
        <v>22237.62</v>
      </c>
      <c r="AK186">
        <f>IF(ISNUMBER(VLOOKUP($A186,Haver_M!$B$1:$BZ$300,MATCH(data!AK$1,Haver_M!$B$1:$BZ$1,0),FALSE)),VLOOKUP($A186,Haver_M!$B$1:$BZ$300,MATCH(data!AK$1,Haver_M!$B$1:$BZ$1,0),FALSE),"")</f>
        <v>32038.05</v>
      </c>
      <c r="AL186">
        <f>IF(ISNUMBER(VLOOKUP($A186,Haver_M!$B$1:$BZ$300,MATCH(data!AL$1,Haver_M!$B$1:$BZ$1,0),FALSE)),VLOOKUP($A186,Haver_M!$B$1:$BZ$300,MATCH(data!AL$1,Haver_M!$B$1:$BZ$1,0),FALSE),"")</f>
        <v>11874</v>
      </c>
      <c r="AM186">
        <f>IF(ISNUMBER(VLOOKUP($A186,Haver_M!$B$1:$BZ$300,MATCH(data!AM$1,Haver_M!$B$1:$BZ$1,0),FALSE)),VLOOKUP($A186,Haver_M!$B$1:$BZ$300,MATCH(data!AM$1,Haver_M!$B$1:$BZ$1,0),FALSE),"")</f>
        <v>6318</v>
      </c>
      <c r="AN186" t="str">
        <f>IF(ISNUMBER(VLOOKUP($A186,Haver_M!$B$1:$BZ$300,MATCH(data!AN$1,Haver_M!$B$1:$BZ$1,0),FALSE)),VLOOKUP($A186,Haver_M!$B$1:$BZ$300,MATCH(data!AN$1,Haver_M!$B$1:$BZ$1,0),FALSE),"")</f>
        <v/>
      </c>
      <c r="AO186" t="str">
        <f>IF(ISNUMBER(VLOOKUP($A186,Haver_M!$B$1:$BZ$300,MATCH(data!AO$1,Haver_M!$B$1:$BZ$1,0),FALSE)),VLOOKUP($A186,Haver_M!$B$1:$BZ$300,MATCH(data!AO$1,Haver_M!$B$1:$BZ$1,0),FALSE),"")</f>
        <v/>
      </c>
      <c r="AP186">
        <f>IF(ISNUMBER(VLOOKUP($A186,Haver_M!$B$1:$BZ$300,MATCH(data!AP$1,Haver_M!$B$1:$BZ$1,0),FALSE)),VLOOKUP($A186,Haver_M!$B$1:$BZ$300,MATCH(data!AP$1,Haver_M!$B$1:$BZ$1,0),FALSE),"")</f>
        <v>76.103476471373696</v>
      </c>
      <c r="AQ186">
        <f>IF(ISNUMBER(VLOOKUP($A186,Haver_M!$B$1:$BZ$300,MATCH(data!AQ$1,Haver_M!$B$1:$BZ$1,0),FALSE)),VLOOKUP($A186,Haver_M!$B$1:$BZ$300,MATCH(data!AQ$1,Haver_M!$B$1:$BZ$1,0),FALSE),"")</f>
        <v>51.204500000000003</v>
      </c>
      <c r="AR186">
        <f>IF(ISNUMBER(VLOOKUP($A186,Haver_M!$B$1:$BZ$300,MATCH(data!AR$1,Haver_M!$B$1:$BZ$1,0),FALSE)),VLOOKUP($A186,Haver_M!$B$1:$BZ$300,MATCH(data!AR$1,Haver_M!$B$1:$BZ$1,0),FALSE),"")</f>
        <v>52.642200000000003</v>
      </c>
      <c r="AS186">
        <f>IF(ISNUMBER(VLOOKUP($A186,Haver_M!$B$1:$BZ$300,MATCH(data!AS$1,Haver_M!$B$1:$BZ$1,0),FALSE)),VLOOKUP($A186,Haver_M!$B$1:$BZ$300,MATCH(data!AS$1,Haver_M!$B$1:$BZ$1,0),FALSE),"")</f>
        <v>49.577199999999998</v>
      </c>
      <c r="AT186">
        <f>IF(ISNUMBER(VLOOKUP($A186,Haver_M!$B$1:$BZ$300,MATCH(data!AT$1,Haver_M!$B$1:$BZ$1,0),FALSE)),VLOOKUP($A186,Haver_M!$B$1:$BZ$300,MATCH(data!AT$1,Haver_M!$B$1:$BZ$1,0),FALSE),"")</f>
        <v>55.191899999999997</v>
      </c>
      <c r="AU186">
        <f>IF(ISNUMBER(VLOOKUP($A186,Haver_M!$B$1:$BZ$300,MATCH(data!AU$1,Haver_M!$B$1:$BZ$1,0),FALSE)),VLOOKUP($A186,Haver_M!$B$1:$BZ$300,MATCH(data!AU$1,Haver_M!$B$1:$BZ$1,0),FALSE),"")</f>
        <v>54.306199999999997</v>
      </c>
      <c r="AV186">
        <f>IF(ISNUMBER(VLOOKUP($A186,Haver_M!$B$1:$BZ$300,MATCH(data!AV$1,Haver_M!$B$1:$BZ$1,0),FALSE)),VLOOKUP($A186,Haver_M!$B$1:$BZ$300,MATCH(data!AV$1,Haver_M!$B$1:$BZ$1,0),FALSE),"")</f>
        <v>49.880800000000001</v>
      </c>
      <c r="AW186">
        <f>IF(ISNUMBER(VLOOKUP($A186,Haver_M!$B$1:$BZ$300,MATCH(data!AW$1,Haver_M!$B$1:$BZ$1,0),FALSE)),VLOOKUP($A186,Haver_M!$B$1:$BZ$300,MATCH(data!AW$1,Haver_M!$B$1:$BZ$1,0),FALSE),"")</f>
        <v>50.5261</v>
      </c>
      <c r="AX186">
        <f>IF(ISNUMBER(VLOOKUP($A186,Haver_M!$B$1:$BZ$300,MATCH(data!AX$1,Haver_M!$B$1:$BZ$1,0),FALSE)),VLOOKUP($A186,Haver_M!$B$1:$BZ$300,MATCH(data!AX$1,Haver_M!$B$1:$BZ$1,0),FALSE),"")</f>
        <v>51.550899999999999</v>
      </c>
      <c r="AY186">
        <f>IF(ISNUMBER(VLOOKUP($A186,Haver_M!$B$1:$BZ$300,MATCH(data!AY$1,Haver_M!$B$1:$BZ$1,0),FALSE)),VLOOKUP($A186,Haver_M!$B$1:$BZ$300,MATCH(data!AY$1,Haver_M!$B$1:$BZ$1,0),FALSE),"")</f>
        <v>54.1858</v>
      </c>
      <c r="AZ186">
        <f>IF(ISNUMBER(VLOOKUP($A186,Haver_M!$B$1:$BZ$300,MATCH(data!AZ$1,Haver_M!$B$1:$BZ$1,0),FALSE)),VLOOKUP($A186,Haver_M!$B$1:$BZ$300,MATCH(data!AZ$1,Haver_M!$B$1:$BZ$1,0),FALSE),"")</f>
        <v>54.571599999999997</v>
      </c>
      <c r="BA186">
        <f>IF(ISNUMBER(VLOOKUP($A186,Haver_M!$B$1:$BZ$300,MATCH(data!BA$1,Haver_M!$B$1:$BZ$1,0),FALSE)),VLOOKUP($A186,Haver_M!$B$1:$BZ$300,MATCH(data!BA$1,Haver_M!$B$1:$BZ$1,0),FALSE),"")</f>
        <v>51.550899999999999</v>
      </c>
      <c r="BB186">
        <f>IF(ISNUMBER(VLOOKUP($A186,Haver_M!$B$1:$BZ$300,MATCH(data!BB$1,Haver_M!$B$1:$BZ$1,0),FALSE)),VLOOKUP($A186,Haver_M!$B$1:$BZ$300,MATCH(data!BB$1,Haver_M!$B$1:$BZ$1,0),FALSE),"")</f>
        <v>53.342799999999997</v>
      </c>
      <c r="BC186">
        <f>IF(ISNUMBER(VLOOKUP($A186,Haver_M!$B$1:$BZ$300,MATCH(data!BC$1,Haver_M!$B$1:$BZ$1,0),FALSE)),VLOOKUP($A186,Haver_M!$B$1:$BZ$300,MATCH(data!BC$1,Haver_M!$B$1:$BZ$1,0),FALSE),"")</f>
        <v>50.968699999999998</v>
      </c>
      <c r="BD186">
        <f>IF(ISNUMBER(VLOOKUP($A186,Haver_M!$B$1:$BZ$300,MATCH(data!BD$1,Haver_M!$B$1:$BZ$1,0),FALSE)),VLOOKUP($A186,Haver_M!$B$1:$BZ$300,MATCH(data!BD$1,Haver_M!$B$1:$BZ$1,0),FALSE),"")</f>
        <v>49.7087</v>
      </c>
      <c r="BE186">
        <f>IF(ISNUMBER(VLOOKUP($A186,Haver_M!$B$1:$BZ$300,MATCH(data!BE$1,Haver_M!$B$1:$BZ$1,0),FALSE)),VLOOKUP($A186,Haver_M!$B$1:$BZ$300,MATCH(data!BE$1,Haver_M!$B$1:$BZ$1,0),FALSE),"")</f>
        <v>1.0446</v>
      </c>
      <c r="BF186">
        <f>IF(ISNUMBER(VLOOKUP($A186,Haver_M!$B$1:$BZ$300,MATCH(data!BF$1,Haver_M!$B$1:$BZ$1,0),FALSE)),VLOOKUP($A186,Haver_M!$B$1:$BZ$300,MATCH(data!BF$1,Haver_M!$B$1:$BZ$1,0),FALSE),"")</f>
        <v>50.2699</v>
      </c>
      <c r="BG186">
        <f>IF(ISNUMBER(VLOOKUP($A186,Haver_M!$B$1:$BZ$300,MATCH(data!BG$1,Haver_M!$B$1:$BZ$1,0),FALSE)),VLOOKUP($A186,Haver_M!$B$1:$BZ$300,MATCH(data!BG$1,Haver_M!$B$1:$BZ$1,0),FALSE),"")</f>
        <v>52.594999999999999</v>
      </c>
      <c r="BH186">
        <f>IF(ISNUMBER(VLOOKUP($A186,Haver_M!$B$1:$BZ$300,MATCH(data!BH$1,Haver_M!$B$1:$BZ$1,0),FALSE)),VLOOKUP($A186,Haver_M!$B$1:$BZ$300,MATCH(data!BH$1,Haver_M!$B$1:$BZ$1,0),FALSE),"")</f>
        <v>49.671999999999997</v>
      </c>
      <c r="BI186">
        <f>IF(ISNUMBER(VLOOKUP($A186,Haver_M!$B$1:$BZ$300,MATCH(data!BI$1,Haver_M!$B$1:$BZ$1,0),FALSE)),VLOOKUP($A186,Haver_M!$B$1:$BZ$300,MATCH(data!BI$1,Haver_M!$B$1:$BZ$1,0),FALSE),"")</f>
        <v>53.071199999999997</v>
      </c>
      <c r="BJ186">
        <f>IF(ISNUMBER(VLOOKUP($A186,Haver_M!$B$1:$BZ$300,MATCH(data!BJ$1,Haver_M!$B$1:$BZ$1,0),FALSE)),VLOOKUP($A186,Haver_M!$B$1:$BZ$300,MATCH(data!BJ$1,Haver_M!$B$1:$BZ$1,0),FALSE),"")</f>
        <v>50.817900000000002</v>
      </c>
      <c r="BK186">
        <f>IF(ISNUMBER(VLOOKUP($A186,Haver_M!$B$1:$BZ$300,MATCH(data!BK$1,Haver_M!$B$1:$BZ$1,0),FALSE)),VLOOKUP($A186,Haver_M!$B$1:$BZ$300,MATCH(data!BK$1,Haver_M!$B$1:$BZ$1,0),FALSE),"")</f>
        <v>50.932200000000002</v>
      </c>
      <c r="BL186">
        <f>IF(ISNUMBER(VLOOKUP($A186,Haver_M!$B$1:$BZ$300,MATCH(data!BL$1,Haver_M!$B$1:$BZ$1,0),FALSE)),VLOOKUP($A186,Haver_M!$B$1:$BZ$300,MATCH(data!BL$1,Haver_M!$B$1:$BZ$1,0),FALSE),"")</f>
        <v>27426.53</v>
      </c>
      <c r="BM186">
        <f>IF(ISNUMBER(VLOOKUP($A186,Haver_M!$B$1:$BZ$300,MATCH(data!BM$1,Haver_M!$B$1:$BZ$1,0),FALSE)),VLOOKUP($A186,Haver_M!$B$1:$BZ$300,MATCH(data!BM$1,Haver_M!$B$1:$BZ$1,0),FALSE),"")</f>
        <v>97.52781392</v>
      </c>
      <c r="BN186" t="str">
        <f>IF(ISNUMBER(VLOOKUP($A186,Haver_M!$B$1:$BZ$300,MATCH(data!BN$1,Haver_M!$B$1:$BZ$1,0),FALSE)),VLOOKUP($A186,Haver_M!$B$1:$BZ$300,MATCH(data!BN$1,Haver_M!$B$1:$BZ$1,0),FALSE),"")</f>
        <v/>
      </c>
      <c r="BO186" t="str">
        <f>IF(ISNUMBER(VLOOKUP($A186,Haver_M!$B$1:$BZ$300,MATCH(data!BO$1,Haver_M!$B$1:$BZ$1,0),FALSE)),VLOOKUP($A186,Haver_M!$B$1:$BZ$300,MATCH(data!BO$1,Haver_M!$B$1:$BZ$1,0),FALSE),"")</f>
        <v/>
      </c>
      <c r="BP186" t="str">
        <f>IF(ISNUMBER(VLOOKUP($A186,Haver_M!$B$1:$BZ$300,MATCH(data!BP$1,Haver_M!$B$1:$BZ$1,0),FALSE)),VLOOKUP($A186,Haver_M!$B$1:$BZ$300,MATCH(data!BP$1,Haver_M!$B$1:$BZ$1,0),FALSE),"")</f>
        <v/>
      </c>
      <c r="BQ186">
        <f>IF(ISNUMBER(VLOOKUP($A186,Haver_M!$B$1:$BZ$300,MATCH(data!BQ$1,Haver_M!$B$1:$BZ$1,0),FALSE)),VLOOKUP($A186,Haver_M!$B$1:$BZ$300,MATCH(data!BQ$1,Haver_M!$B$1:$BZ$1,0),FALSE),"")</f>
        <v>187.28031059415082</v>
      </c>
      <c r="BR186">
        <f>IF(ISNUMBER(VLOOKUP($A186,Haver_M!$B$1:$BZ$300,MATCH(data!BR$1,Haver_M!$B$1:$BZ$1,0),FALSE)),VLOOKUP($A186,Haver_M!$B$1:$BZ$300,MATCH(data!BR$1,Haver_M!$B$1:$BZ$1,0),FALSE),"")</f>
        <v>413.61843126129503</v>
      </c>
      <c r="BS186">
        <f>IF(ISNUMBER(VLOOKUP($A186,Haver_M!$B$1:$BZ$300,MATCH(data!BS$1,Haver_M!$B$1:$BZ$1,0),FALSE)),VLOOKUP($A186,Haver_M!$B$1:$BZ$300,MATCH(data!BS$1,Haver_M!$B$1:$BZ$1,0),FALSE),"")</f>
        <v>225.26477148226576</v>
      </c>
      <c r="BT186">
        <f>IF(ISNUMBER(VLOOKUP($A186,Haver_M!$B$1:$BZ$300,MATCH(data!BT$1,Haver_M!$B$1:$BZ$1,0),FALSE)),VLOOKUP($A186,Haver_M!$B$1:$BZ$300,MATCH(data!BT$1,Haver_M!$B$1:$BZ$1,0),FALSE),"")</f>
        <v>948.09256382806973</v>
      </c>
      <c r="BU186">
        <f>IF(ISNUMBER(VLOOKUP($A186,Haver_M!$B$1:$BZ$300,MATCH(data!BU$1,Haver_M!$B$1:$BZ$1,0),FALSE)),VLOOKUP($A186,Haver_M!$B$1:$BZ$300,MATCH(data!BU$1,Haver_M!$B$1:$BZ$1,0),FALSE),"")</f>
        <v>22529.08</v>
      </c>
      <c r="BV186">
        <f>IF(ISNUMBER(VLOOKUP($A186,Haver_M!$B$1:$BZ$300,MATCH(data!BV$1,Haver_M!$B$1:$BZ$1,0),FALSE)),VLOOKUP($A186,Haver_M!$B$1:$BZ$300,MATCH(data!BV$1,Haver_M!$B$1:$BZ$1,0),FALSE),"")</f>
        <v>32837.760000000002</v>
      </c>
      <c r="BW186">
        <f>IF(ISNUMBER(VLOOKUP($A186,Haver_M!$B$1:$BZ$300,MATCH(data!BW$1,Haver_M!$B$1:$BZ$1,0),FALSE)),VLOOKUP($A186,Haver_M!$B$1:$BZ$300,MATCH(data!BW$1,Haver_M!$B$1:$BZ$1,0),FALSE),"")</f>
        <v>63.8003</v>
      </c>
      <c r="BX186">
        <f>IF(ISNUMBER(VLOOKUP($A186,Haver_M!$B$1:$BZ$300,MATCH(data!BX$1,Haver_M!$B$1:$BZ$1,0),FALSE)),VLOOKUP($A186,Haver_M!$B$1:$BZ$300,MATCH(data!BX$1,Haver_M!$B$1:$BZ$1,0),FALSE),"")</f>
        <v>66250</v>
      </c>
    </row>
    <row r="187" spans="1:76" x14ac:dyDescent="0.25">
      <c r="A187" s="2">
        <v>42185</v>
      </c>
      <c r="B187">
        <f>IF(ISNUMBER(VLOOKUP($A187,Haver_Q!$B$1:$L$185,MATCH(data!B$1,Haver_Q!$B$1:$L$1,0),FALSE)),100*(VLOOKUP($A187,Haver_Q!$B$1:$L$185,MATCH(data!B$1,Haver_Q!$B$1:$L$1,0),FALSE)),"")</f>
        <v>11.072222837595325</v>
      </c>
      <c r="C187">
        <f>IF(ISNUMBER(VLOOKUP($A187,Haver_Q!$B$1:$L$185,MATCH(data!C$1,Haver_Q!$B$1:$L$1,0),FALSE)),100*(VLOOKUP($A187,Haver_Q!$B$1:$L$185,MATCH(data!C$1,Haver_Q!$B$1:$L$1,0),FALSE)),"")</f>
        <v>7.360104563995562</v>
      </c>
      <c r="D187">
        <f>IF(ISNUMBER(VLOOKUP($A187,Haver_Q!$B$1:$L$185,MATCH(data!D$1,Haver_Q!$B$1:$L$1,0),FALSE)),100*(VLOOKUP($A187,Haver_Q!$B$1:$L$185,MATCH(data!D$1,Haver_Q!$B$1:$L$1,0),FALSE)),"")</f>
        <v>109.76370752450725</v>
      </c>
      <c r="E187">
        <f>IF(ISNUMBER(VLOOKUP($A187,Haver_Q!$B$1:$L$185,MATCH(data!E$1,Haver_Q!$B$1:$L$1,0),FALSE)),100*(VLOOKUP($A187,Haver_Q!$B$1:$L$185,MATCH(data!E$1,Haver_Q!$B$1:$L$1,0),FALSE)),"")</f>
        <v>7.5191237113004794</v>
      </c>
      <c r="F187">
        <f>IF(ISNUMBER(VLOOKUP($A187,Haver_Q!$B$1:$L$185,MATCH(data!F$1,Haver_Q!$B$1:$L$1,0),FALSE)),100*(VLOOKUP($A187,Haver_Q!$B$1:$L$185,MATCH(data!F$1,Haver_Q!$B$1:$L$1,0),FALSE)),"")</f>
        <v>-10.448086447356674</v>
      </c>
      <c r="G187">
        <f>IF(ISNUMBER(VLOOKUP($A187,Haver_Q!$B$1:$L$185,MATCH(data!G$1,Haver_Q!$B$1:$L$1,0),FALSE)),100*(VLOOKUP($A187,Haver_Q!$B$1:$L$185,MATCH(data!G$1,Haver_Q!$B$1:$L$1,0),FALSE)),"")</f>
        <v>-6.3715827482237808</v>
      </c>
      <c r="H187">
        <f>IF(ISNUMBER(VLOOKUP($A187,Haver_Q!$B$1:$L$185,MATCH(data!H$1,Haver_Q!$B$1:$L$1,0),FALSE)),(VLOOKUP($A187,Haver_Q!$B$1:$L$185,MATCH(data!H$1,Haver_Q!$B$1:$L$1,0),FALSE)),"")</f>
        <v>3.6417465455998999</v>
      </c>
      <c r="I187">
        <f>IF(ISNUMBER(VLOOKUP($A187,Haver_Q!$B$1:$L$185,MATCH(data!I$1,Haver_Q!$B$1:$L$1,0),FALSE)),100*(VLOOKUP($A187,Haver_Q!$B$1:$L$185,MATCH(data!I$1,Haver_Q!$B$1:$L$1,0),FALSE)),"")</f>
        <v>7.59254358965058</v>
      </c>
      <c r="J187" s="3">
        <f>IF(ISNUMBER(Bloomberg_m!C203),Bloomberg_m!C203,"")</f>
        <v>699</v>
      </c>
      <c r="K187" s="3">
        <f>IF(ISNUMBER(Bloomberg_m!D203),Bloomberg_m!D203,"")</f>
        <v>1109.27</v>
      </c>
      <c r="L187" s="3">
        <f>IF(ISNUMBER(Bloomberg_m!E203),Bloomberg_m!E203,"")</f>
        <v>600.52</v>
      </c>
      <c r="M187" s="3">
        <f>IF(ISNUMBER(Bloomberg_m!F203),Bloomberg_m!F203,"")</f>
        <v>535.26</v>
      </c>
      <c r="N187">
        <f>IF(ISNUMBER(VLOOKUP($A187,Haver_M!$B$1:$BZ$300,MATCH(data!N$1,Haver_M!$B$1:$BZ$1,0),FALSE)),VLOOKUP($A187,Haver_M!$B$1:$BZ$300,MATCH(data!N$1,Haver_M!$B$1:$BZ$1,0),FALSE),"")</f>
        <v>7.25</v>
      </c>
      <c r="O187">
        <f>IF(ISNUMBER(VLOOKUP($A187,Haver_M!$B$1:$BZ$300,MATCH(data!O$1,Haver_M!$B$1:$BZ$1,0),FALSE)),VLOOKUP($A187,Haver_M!$B$1:$BZ$300,MATCH(data!O$1,Haver_M!$B$1:$BZ$1,0),FALSE),"")</f>
        <v>7.8696999999999999</v>
      </c>
      <c r="P187">
        <f>IF(ISNUMBER(VLOOKUP($A187,Haver_M!$B$1:$BZ$300,MATCH(data!P$1,Haver_M!$B$1:$BZ$1,0),FALSE)),VLOOKUP($A187,Haver_M!$B$1:$BZ$300,MATCH(data!P$1,Haver_M!$B$1:$BZ$1,0),FALSE),"")</f>
        <v>92.539789999999996</v>
      </c>
      <c r="Q187">
        <f>IF(ISNUMBER(VLOOKUP($A187,Haver_M!$B$1:$BZ$300,MATCH(data!Q$1,Haver_M!$B$1:$BZ$1,0),FALSE)),VLOOKUP($A187,Haver_M!$B$1:$BZ$300,MATCH(data!Q$1,Haver_M!$B$1:$BZ$1,0),FALSE),"")</f>
        <v>123</v>
      </c>
      <c r="R187">
        <f>IF(ISNUMBER(VLOOKUP($A187,Haver_M!$B$1:$BZ$300,MATCH(data!R$1,Haver_M!$B$1:$BZ$1,0),FALSE)),VLOOKUP($A187,Haver_M!$B$1:$BZ$300,MATCH(data!R$1,Haver_M!$B$1:$BZ$1,0),FALSE),"")</f>
        <v>120.2</v>
      </c>
      <c r="S187">
        <f>IF(ISNUMBER(VLOOKUP($A187,Haver_M!$B$1:$BZ$300,MATCH(data!S$1,Haver_M!$B$1:$BZ$1,0),FALSE)),VLOOKUP($A187,Haver_M!$B$1:$BZ$300,MATCH(data!S$1,Haver_M!$B$1:$BZ$1,0),FALSE),"")</f>
        <v>111.64</v>
      </c>
      <c r="T187">
        <f>IF(ISNUMBER(VLOOKUP($A187,Haver_M!$B$1:$BZ$300,MATCH(data!T$1,Haver_M!$B$1:$BZ$1,0),FALSE)),VLOOKUP($A187,Haver_M!$B$1:$BZ$300,MATCH(data!T$1,Haver_M!$B$1:$BZ$1,0),FALSE),"")</f>
        <v>108.76</v>
      </c>
      <c r="U187">
        <f>IF(ISNUMBER(VLOOKUP($A187,Haver_M!$B$1:$BZ$300,MATCH(data!U$1,Haver_M!$B$1:$BZ$1,0),FALSE)),VLOOKUP($A187,Haver_M!$B$1:$BZ$300,MATCH(data!U$1,Haver_M!$B$1:$BZ$1,0),FALSE),"")</f>
        <v>92.53</v>
      </c>
      <c r="V187">
        <f>IF(ISNUMBER(VLOOKUP($A187,Haver_M!$B$1:$BZ$300,MATCH(data!V$1,Haver_M!$B$1:$BZ$1,0),FALSE)),VLOOKUP($A187,Haver_M!$B$1:$BZ$300,MATCH(data!V$1,Haver_M!$B$1:$BZ$1,0),FALSE),"")</f>
        <v>116.38</v>
      </c>
      <c r="W187">
        <f>IF(ISNUMBER(VLOOKUP($A187,Haver_M!$B$1:$BZ$300,MATCH(data!W$1,Haver_M!$B$1:$BZ$1,0),FALSE)),VLOOKUP($A187,Haver_M!$B$1:$BZ$300,MATCH(data!W$1,Haver_M!$B$1:$BZ$1,0),FALSE),"")</f>
        <v>118.67</v>
      </c>
      <c r="X187">
        <f>IF(ISNUMBER(VLOOKUP($A187,Haver_M!$B$1:$BZ$300,MATCH(data!X$1,Haver_M!$B$1:$BZ$1,0),FALSE)),VLOOKUP($A187,Haver_M!$B$1:$BZ$300,MATCH(data!X$1,Haver_M!$B$1:$BZ$1,0),FALSE),"")</f>
        <v>118.91</v>
      </c>
      <c r="Y187">
        <f>IF(ISNUMBER(VLOOKUP($A187,Haver_M!$B$1:$BZ$300,MATCH(data!Y$1,Haver_M!$B$1:$BZ$1,0),FALSE)),VLOOKUP($A187,Haver_M!$B$1:$BZ$300,MATCH(data!Y$1,Haver_M!$B$1:$BZ$1,0),FALSE),"")</f>
        <v>113.43</v>
      </c>
      <c r="Z187">
        <f>IF(ISNUMBER(VLOOKUP($A187,Haver_M!$B$1:$BZ$300,MATCH(data!Z$1,Haver_M!$B$1:$BZ$1,0),FALSE)),VLOOKUP($A187,Haver_M!$B$1:$BZ$300,MATCH(data!Z$1,Haver_M!$B$1:$BZ$1,0),FALSE),"")</f>
        <v>113.2</v>
      </c>
      <c r="AA187">
        <f>IF(ISNUMBER(VLOOKUP($A187,Haver_M!$B$1:$BZ$300,MATCH(data!AA$1,Haver_M!$B$1:$BZ$1,0),FALSE)),VLOOKUP($A187,Haver_M!$B$1:$BZ$300,MATCH(data!AA$1,Haver_M!$B$1:$BZ$1,0),FALSE),"")</f>
        <v>114.473</v>
      </c>
      <c r="AB187">
        <f>IF(ISNUMBER(VLOOKUP($A187,Haver_M!$B$1:$BZ$300,MATCH(data!AB$1,Haver_M!$B$1:$BZ$1,0),FALSE)),VLOOKUP($A187,Haver_M!$B$1:$BZ$300,MATCH(data!AB$1,Haver_M!$B$1:$BZ$1,0),FALSE),"")</f>
        <v>97.834000000000003</v>
      </c>
      <c r="AC187">
        <f>IF(ISNUMBER(VLOOKUP($A187,Haver_M!$B$1:$BZ$300,MATCH(data!AC$1,Haver_M!$B$1:$BZ$1,0),FALSE)),VLOOKUP($A187,Haver_M!$B$1:$BZ$300,MATCH(data!AC$1,Haver_M!$B$1:$BZ$1,0),FALSE),"")</f>
        <v>67.852999999999994</v>
      </c>
      <c r="AD187">
        <f>IF(ISNUMBER(VLOOKUP($A187,Haver_M!$B$1:$BZ$300,MATCH(data!AD$1,Haver_M!$B$1:$BZ$1,0),FALSE)),VLOOKUP($A187,Haver_M!$B$1:$BZ$300,MATCH(data!AD$1,Haver_M!$B$1:$BZ$1,0),FALSE),"")</f>
        <v>113.27200000000001</v>
      </c>
      <c r="AE187">
        <f>IF(ISNUMBER(VLOOKUP($A187,Haver_M!$B$1:$BZ$300,MATCH(data!AE$1,Haver_M!$B$1:$BZ$1,0),FALSE)),VLOOKUP($A187,Haver_M!$B$1:$BZ$300,MATCH(data!AE$1,Haver_M!$B$1:$BZ$1,0),FALSE),"")</f>
        <v>104.32299999999999</v>
      </c>
      <c r="AF187">
        <f>IF(ISNUMBER(VLOOKUP($A187,Haver_M!$B$1:$BZ$300,MATCH(data!AF$1,Haver_M!$B$1:$BZ$1,0),FALSE)),VLOOKUP($A187,Haver_M!$B$1:$BZ$300,MATCH(data!AF$1,Haver_M!$B$1:$BZ$1,0),FALSE),"")</f>
        <v>119.928</v>
      </c>
      <c r="AG187">
        <f>IF(ISNUMBER(VLOOKUP($A187,Haver_M!$B$1:$BZ$300,MATCH(data!AG$1,Haver_M!$B$1:$BZ$1,0),FALSE)),VLOOKUP($A187,Haver_M!$B$1:$BZ$300,MATCH(data!AG$1,Haver_M!$B$1:$BZ$1,0),FALSE),"")</f>
        <v>119.887</v>
      </c>
      <c r="AH187">
        <f>IF(ISNUMBER(VLOOKUP($A187,Haver_M!$B$1:$BZ$300,MATCH(data!AH$1,Haver_M!$B$1:$BZ$1,0),FALSE)),VLOOKUP($A187,Haver_M!$B$1:$BZ$300,MATCH(data!AH$1,Haver_M!$B$1:$BZ$1,0),FALSE),"")</f>
        <v>129.43799999999999</v>
      </c>
      <c r="AI187">
        <f>IF(ISNUMBER(VLOOKUP($A187,Haver_M!$B$1:$BZ$300,MATCH(data!AI$1,Haver_M!$B$1:$BZ$1,0),FALSE)),VLOOKUP($A187,Haver_M!$B$1:$BZ$300,MATCH(data!AI$1,Haver_M!$B$1:$BZ$1,0),FALSE),"")</f>
        <v>14657.708874760645</v>
      </c>
      <c r="AJ187">
        <f>IF(ISNUMBER(VLOOKUP($A187,Haver_M!$B$1:$BZ$300,MATCH(data!AJ$1,Haver_M!$B$1:$BZ$1,0),FALSE)),VLOOKUP($A187,Haver_M!$B$1:$BZ$300,MATCH(data!AJ$1,Haver_M!$B$1:$BZ$1,0),FALSE),"")</f>
        <v>22487.42</v>
      </c>
      <c r="AK187">
        <f>IF(ISNUMBER(VLOOKUP($A187,Haver_M!$B$1:$BZ$300,MATCH(data!AK$1,Haver_M!$B$1:$BZ$1,0),FALSE)),VLOOKUP($A187,Haver_M!$B$1:$BZ$300,MATCH(data!AK$1,Haver_M!$B$1:$BZ$1,0),FALSE),"")</f>
        <v>33734.46</v>
      </c>
      <c r="AL187">
        <f>IF(ISNUMBER(VLOOKUP($A187,Haver_M!$B$1:$BZ$300,MATCH(data!AL$1,Haver_M!$B$1:$BZ$1,0),FALSE)),VLOOKUP($A187,Haver_M!$B$1:$BZ$300,MATCH(data!AL$1,Haver_M!$B$1:$BZ$1,0),FALSE),"")</f>
        <v>12765</v>
      </c>
      <c r="AM187">
        <f>IF(ISNUMBER(VLOOKUP($A187,Haver_M!$B$1:$BZ$300,MATCH(data!AM$1,Haver_M!$B$1:$BZ$1,0),FALSE)),VLOOKUP($A187,Haver_M!$B$1:$BZ$300,MATCH(data!AM$1,Haver_M!$B$1:$BZ$1,0),FALSE),"")</f>
        <v>7522</v>
      </c>
      <c r="AN187">
        <f>IF(ISNUMBER(VLOOKUP($A187,Haver_M!$B$1:$BZ$300,MATCH(data!AN$1,Haver_M!$B$1:$BZ$1,0),FALSE)),VLOOKUP($A187,Haver_M!$B$1:$BZ$300,MATCH(data!AN$1,Haver_M!$B$1:$BZ$1,0),FALSE),"")</f>
        <v>107.7</v>
      </c>
      <c r="AO187">
        <f>IF(ISNUMBER(VLOOKUP($A187,Haver_M!$B$1:$BZ$300,MATCH(data!AO$1,Haver_M!$B$1:$BZ$1,0),FALSE)),VLOOKUP($A187,Haver_M!$B$1:$BZ$300,MATCH(data!AO$1,Haver_M!$B$1:$BZ$1,0),FALSE),"")</f>
        <v>124.2</v>
      </c>
      <c r="AP187">
        <f>IF(ISNUMBER(VLOOKUP($A187,Haver_M!$B$1:$BZ$300,MATCH(data!AP$1,Haver_M!$B$1:$BZ$1,0),FALSE)),VLOOKUP($A187,Haver_M!$B$1:$BZ$300,MATCH(data!AP$1,Haver_M!$B$1:$BZ$1,0),FALSE),"")</f>
        <v>84.475346278212001</v>
      </c>
      <c r="AQ187">
        <f>IF(ISNUMBER(VLOOKUP($A187,Haver_M!$B$1:$BZ$300,MATCH(data!AQ$1,Haver_M!$B$1:$BZ$1,0),FALSE)),VLOOKUP($A187,Haver_M!$B$1:$BZ$300,MATCH(data!AQ$1,Haver_M!$B$1:$BZ$1,0),FALSE),"")</f>
        <v>49.212800000000001</v>
      </c>
      <c r="AR187">
        <f>IF(ISNUMBER(VLOOKUP($A187,Haver_M!$B$1:$BZ$300,MATCH(data!AR$1,Haver_M!$B$1:$BZ$1,0),FALSE)),VLOOKUP($A187,Haver_M!$B$1:$BZ$300,MATCH(data!AR$1,Haver_M!$B$1:$BZ$1,0),FALSE),"")</f>
        <v>51.338500000000003</v>
      </c>
      <c r="AS187">
        <f>IF(ISNUMBER(VLOOKUP($A187,Haver_M!$B$1:$BZ$300,MATCH(data!AS$1,Haver_M!$B$1:$BZ$1,0),FALSE)),VLOOKUP($A187,Haver_M!$B$1:$BZ$300,MATCH(data!AS$1,Haver_M!$B$1:$BZ$1,0),FALSE),"")</f>
        <v>47.6785</v>
      </c>
      <c r="AT187">
        <f>IF(ISNUMBER(VLOOKUP($A187,Haver_M!$B$1:$BZ$300,MATCH(data!AT$1,Haver_M!$B$1:$BZ$1,0),FALSE)),VLOOKUP($A187,Haver_M!$B$1:$BZ$300,MATCH(data!AT$1,Haver_M!$B$1:$BZ$1,0),FALSE),"")</f>
        <v>52.972000000000001</v>
      </c>
      <c r="AU187">
        <f>IF(ISNUMBER(VLOOKUP($A187,Haver_M!$B$1:$BZ$300,MATCH(data!AU$1,Haver_M!$B$1:$BZ$1,0),FALSE)),VLOOKUP($A187,Haver_M!$B$1:$BZ$300,MATCH(data!AU$1,Haver_M!$B$1:$BZ$1,0),FALSE),"")</f>
        <v>51.7742</v>
      </c>
      <c r="AV187">
        <f>IF(ISNUMBER(VLOOKUP($A187,Haver_M!$B$1:$BZ$300,MATCH(data!AV$1,Haver_M!$B$1:$BZ$1,0),FALSE)),VLOOKUP($A187,Haver_M!$B$1:$BZ$300,MATCH(data!AV$1,Haver_M!$B$1:$BZ$1,0),FALSE),"")</f>
        <v>49.914299999999997</v>
      </c>
      <c r="AW187">
        <f>IF(ISNUMBER(VLOOKUP($A187,Haver_M!$B$1:$BZ$300,MATCH(data!AW$1,Haver_M!$B$1:$BZ$1,0),FALSE)),VLOOKUP($A187,Haver_M!$B$1:$BZ$300,MATCH(data!AW$1,Haver_M!$B$1:$BZ$1,0),FALSE),"")</f>
        <v>50.041800000000002</v>
      </c>
      <c r="AX187">
        <f>IF(ISNUMBER(VLOOKUP($A187,Haver_M!$B$1:$BZ$300,MATCH(data!AX$1,Haver_M!$B$1:$BZ$1,0),FALSE)),VLOOKUP($A187,Haver_M!$B$1:$BZ$300,MATCH(data!AX$1,Haver_M!$B$1:$BZ$1,0),FALSE),"")</f>
        <v>50.866999999999997</v>
      </c>
      <c r="AY187">
        <f>IF(ISNUMBER(VLOOKUP($A187,Haver_M!$B$1:$BZ$300,MATCH(data!AY$1,Haver_M!$B$1:$BZ$1,0),FALSE)),VLOOKUP($A187,Haver_M!$B$1:$BZ$300,MATCH(data!AY$1,Haver_M!$B$1:$BZ$1,0),FALSE),"")</f>
        <v>50.4938</v>
      </c>
      <c r="AZ187">
        <f>IF(ISNUMBER(VLOOKUP($A187,Haver_M!$B$1:$BZ$300,MATCH(data!AZ$1,Haver_M!$B$1:$BZ$1,0),FALSE)),VLOOKUP($A187,Haver_M!$B$1:$BZ$300,MATCH(data!AZ$1,Haver_M!$B$1:$BZ$1,0),FALSE),"")</f>
        <v>52.450099999999999</v>
      </c>
      <c r="BA187">
        <f>IF(ISNUMBER(VLOOKUP($A187,Haver_M!$B$1:$BZ$300,MATCH(data!BA$1,Haver_M!$B$1:$BZ$1,0),FALSE)),VLOOKUP($A187,Haver_M!$B$1:$BZ$300,MATCH(data!BA$1,Haver_M!$B$1:$BZ$1,0),FALSE),"")</f>
        <v>50.866999999999997</v>
      </c>
      <c r="BB187">
        <f>IF(ISNUMBER(VLOOKUP($A187,Haver_M!$B$1:$BZ$300,MATCH(data!BB$1,Haver_M!$B$1:$BZ$1,0),FALSE)),VLOOKUP($A187,Haver_M!$B$1:$BZ$300,MATCH(data!BB$1,Haver_M!$B$1:$BZ$1,0),FALSE),"")</f>
        <v>51.823</v>
      </c>
      <c r="BC187">
        <f>IF(ISNUMBER(VLOOKUP($A187,Haver_M!$B$1:$BZ$300,MATCH(data!BC$1,Haver_M!$B$1:$BZ$1,0),FALSE)),VLOOKUP($A187,Haver_M!$B$1:$BZ$300,MATCH(data!BC$1,Haver_M!$B$1:$BZ$1,0),FALSE),"")</f>
        <v>50.759399999999999</v>
      </c>
      <c r="BD187">
        <f>IF(ISNUMBER(VLOOKUP($A187,Haver_M!$B$1:$BZ$300,MATCH(data!BD$1,Haver_M!$B$1:$BZ$1,0),FALSE)),VLOOKUP($A187,Haver_M!$B$1:$BZ$300,MATCH(data!BD$1,Haver_M!$B$1:$BZ$1,0),FALSE),"")</f>
        <v>50.319600000000001</v>
      </c>
      <c r="BE187">
        <f>IF(ISNUMBER(VLOOKUP($A187,Haver_M!$B$1:$BZ$300,MATCH(data!BE$1,Haver_M!$B$1:$BZ$1,0),FALSE)),VLOOKUP($A187,Haver_M!$B$1:$BZ$300,MATCH(data!BE$1,Haver_M!$B$1:$BZ$1,0),FALSE),"")</f>
        <v>1.0018</v>
      </c>
      <c r="BF187">
        <f>IF(ISNUMBER(VLOOKUP($A187,Haver_M!$B$1:$BZ$300,MATCH(data!BF$1,Haver_M!$B$1:$BZ$1,0),FALSE)),VLOOKUP($A187,Haver_M!$B$1:$BZ$300,MATCH(data!BF$1,Haver_M!$B$1:$BZ$1,0),FALSE),"")</f>
        <v>50.433199999999999</v>
      </c>
      <c r="BG187">
        <f>IF(ISNUMBER(VLOOKUP($A187,Haver_M!$B$1:$BZ$300,MATCH(data!BG$1,Haver_M!$B$1:$BZ$1,0),FALSE)),VLOOKUP($A187,Haver_M!$B$1:$BZ$300,MATCH(data!BG$1,Haver_M!$B$1:$BZ$1,0),FALSE),"")</f>
        <v>51.498199999999997</v>
      </c>
      <c r="BH187">
        <f>IF(ISNUMBER(VLOOKUP($A187,Haver_M!$B$1:$BZ$300,MATCH(data!BH$1,Haver_M!$B$1:$BZ$1,0),FALSE)),VLOOKUP($A187,Haver_M!$B$1:$BZ$300,MATCH(data!BH$1,Haver_M!$B$1:$BZ$1,0),FALSE),"")</f>
        <v>47.268300000000004</v>
      </c>
      <c r="BI187">
        <f>IF(ISNUMBER(VLOOKUP($A187,Haver_M!$B$1:$BZ$300,MATCH(data!BI$1,Haver_M!$B$1:$BZ$1,0),FALSE)),VLOOKUP($A187,Haver_M!$B$1:$BZ$300,MATCH(data!BI$1,Haver_M!$B$1:$BZ$1,0),FALSE),"")</f>
        <v>51.5276</v>
      </c>
      <c r="BJ187">
        <f>IF(ISNUMBER(VLOOKUP($A187,Haver_M!$B$1:$BZ$300,MATCH(data!BJ$1,Haver_M!$B$1:$BZ$1,0),FALSE)),VLOOKUP($A187,Haver_M!$B$1:$BZ$300,MATCH(data!BJ$1,Haver_M!$B$1:$BZ$1,0),FALSE),"")</f>
        <v>50.1038</v>
      </c>
      <c r="BK187">
        <f>IF(ISNUMBER(VLOOKUP($A187,Haver_M!$B$1:$BZ$300,MATCH(data!BK$1,Haver_M!$B$1:$BZ$1,0),FALSE)),VLOOKUP($A187,Haver_M!$B$1:$BZ$300,MATCH(data!BK$1,Haver_M!$B$1:$BZ$1,0),FALSE),"")</f>
        <v>50.4116</v>
      </c>
      <c r="BL187">
        <f>IF(ISNUMBER(VLOOKUP($A187,Haver_M!$B$1:$BZ$300,MATCH(data!BL$1,Haver_M!$B$1:$BZ$1,0),FALSE)),VLOOKUP($A187,Haver_M!$B$1:$BZ$300,MATCH(data!BL$1,Haver_M!$B$1:$BZ$1,0),FALSE),"")</f>
        <v>27137.88</v>
      </c>
      <c r="BM187">
        <f>IF(ISNUMBER(VLOOKUP($A187,Haver_M!$B$1:$BZ$300,MATCH(data!BM$1,Haver_M!$B$1:$BZ$1,0),FALSE)),VLOOKUP($A187,Haver_M!$B$1:$BZ$300,MATCH(data!BM$1,Haver_M!$B$1:$BZ$1,0),FALSE),"")</f>
        <v>97.917785330000001</v>
      </c>
      <c r="BN187">
        <f>IF(ISNUMBER(VLOOKUP($A187,Haver_M!$B$1:$BZ$300,MATCH(data!BN$1,Haver_M!$B$1:$BZ$1,0),FALSE)),VLOOKUP($A187,Haver_M!$B$1:$BZ$300,MATCH(data!BN$1,Haver_M!$B$1:$BZ$1,0),FALSE),"")</f>
        <v>104.8</v>
      </c>
      <c r="BO187">
        <f>IF(ISNUMBER(VLOOKUP($A187,Haver_M!$B$1:$BZ$300,MATCH(data!BO$1,Haver_M!$B$1:$BZ$1,0),FALSE)),VLOOKUP($A187,Haver_M!$B$1:$BZ$300,MATCH(data!BO$1,Haver_M!$B$1:$BZ$1,0),FALSE),"")</f>
        <v>115.2</v>
      </c>
      <c r="BP187">
        <f>IF(ISNUMBER(VLOOKUP($A187,Haver_M!$B$1:$BZ$300,MATCH(data!BP$1,Haver_M!$B$1:$BZ$1,0),FALSE)),VLOOKUP($A187,Haver_M!$B$1:$BZ$300,MATCH(data!BP$1,Haver_M!$B$1:$BZ$1,0),FALSE),"")</f>
        <v>36</v>
      </c>
      <c r="BQ187">
        <f>IF(ISNUMBER(VLOOKUP($A187,Haver_M!$B$1:$BZ$300,MATCH(data!BQ$1,Haver_M!$B$1:$BZ$1,0),FALSE)),VLOOKUP($A187,Haver_M!$B$1:$BZ$300,MATCH(data!BQ$1,Haver_M!$B$1:$BZ$1,0),FALSE),"")</f>
        <v>190.01890051314814</v>
      </c>
      <c r="BR187">
        <f>IF(ISNUMBER(VLOOKUP($A187,Haver_M!$B$1:$BZ$300,MATCH(data!BR$1,Haver_M!$B$1:$BZ$1,0),FALSE)),VLOOKUP($A187,Haver_M!$B$1:$BZ$300,MATCH(data!BR$1,Haver_M!$B$1:$BZ$1,0),FALSE),"")</f>
        <v>411.8569010361615</v>
      </c>
      <c r="BS187">
        <f>IF(ISNUMBER(VLOOKUP($A187,Haver_M!$B$1:$BZ$300,MATCH(data!BS$1,Haver_M!$B$1:$BZ$1,0),FALSE)),VLOOKUP($A187,Haver_M!$B$1:$BZ$300,MATCH(data!BS$1,Haver_M!$B$1:$BZ$1,0),FALSE),"")</f>
        <v>224.41517239867397</v>
      </c>
      <c r="BT187">
        <f>IF(ISNUMBER(VLOOKUP($A187,Haver_M!$B$1:$BZ$300,MATCH(data!BT$1,Haver_M!$B$1:$BZ$1,0),FALSE)),VLOOKUP($A187,Haver_M!$B$1:$BZ$300,MATCH(data!BT$1,Haver_M!$B$1:$BZ$1,0),FALSE),"")</f>
        <v>950.72509383705471</v>
      </c>
      <c r="BU187">
        <f>IF(ISNUMBER(VLOOKUP($A187,Haver_M!$B$1:$BZ$300,MATCH(data!BU$1,Haver_M!$B$1:$BZ$1,0),FALSE)),VLOOKUP($A187,Haver_M!$B$1:$BZ$300,MATCH(data!BU$1,Haver_M!$B$1:$BZ$1,0),FALSE),"")</f>
        <v>22323.72</v>
      </c>
      <c r="BV187">
        <f>IF(ISNUMBER(VLOOKUP($A187,Haver_M!$B$1:$BZ$300,MATCH(data!BV$1,Haver_M!$B$1:$BZ$1,0),FALSE)),VLOOKUP($A187,Haver_M!$B$1:$BZ$300,MATCH(data!BV$1,Haver_M!$B$1:$BZ$1,0),FALSE),"")</f>
        <v>33536.230000000003</v>
      </c>
      <c r="BW187">
        <f>IF(ISNUMBER(VLOOKUP($A187,Haver_M!$B$1:$BZ$300,MATCH(data!BW$1,Haver_M!$B$1:$BZ$1,0),FALSE)),VLOOKUP($A187,Haver_M!$B$1:$BZ$300,MATCH(data!BW$1,Haver_M!$B$1:$BZ$1,0),FALSE),"")</f>
        <v>63.860700000000001</v>
      </c>
      <c r="BX187">
        <f>IF(ISNUMBER(VLOOKUP($A187,Haver_M!$B$1:$BZ$300,MATCH(data!BX$1,Haver_M!$B$1:$BZ$1,0),FALSE)),VLOOKUP($A187,Haver_M!$B$1:$BZ$300,MATCH(data!BX$1,Haver_M!$B$1:$BZ$1,0),FALSE),"")</f>
        <v>63339</v>
      </c>
    </row>
    <row r="188" spans="1:76" x14ac:dyDescent="0.25">
      <c r="A188" s="2">
        <v>42216</v>
      </c>
      <c r="B188" t="str">
        <f>IF(ISNUMBER(VLOOKUP($A188,Haver_Q!$B$1:$L$185,MATCH(data!B$1,Haver_Q!$B$1:$L$1,0),FALSE)),100*(VLOOKUP($A188,Haver_Q!$B$1:$L$185,MATCH(data!B$1,Haver_Q!$B$1:$L$1,0),FALSE)),"")</f>
        <v/>
      </c>
      <c r="C188" t="str">
        <f>IF(ISNUMBER(VLOOKUP($A188,Haver_Q!$B$1:$L$185,MATCH(data!C$1,Haver_Q!$B$1:$L$1,0),FALSE)),100*(VLOOKUP($A188,Haver_Q!$B$1:$L$185,MATCH(data!C$1,Haver_Q!$B$1:$L$1,0),FALSE)),"")</f>
        <v/>
      </c>
      <c r="D188" t="str">
        <f>IF(ISNUMBER(VLOOKUP($A188,Haver_Q!$B$1:$L$185,MATCH(data!D$1,Haver_Q!$B$1:$L$1,0),FALSE)),100*(VLOOKUP($A188,Haver_Q!$B$1:$L$185,MATCH(data!D$1,Haver_Q!$B$1:$L$1,0),FALSE)),"")</f>
        <v/>
      </c>
      <c r="E188" t="str">
        <f>IF(ISNUMBER(VLOOKUP($A188,Haver_Q!$B$1:$L$185,MATCH(data!E$1,Haver_Q!$B$1:$L$1,0),FALSE)),100*(VLOOKUP($A188,Haver_Q!$B$1:$L$185,MATCH(data!E$1,Haver_Q!$B$1:$L$1,0),FALSE)),"")</f>
        <v/>
      </c>
      <c r="F188" t="str">
        <f>IF(ISNUMBER(VLOOKUP($A188,Haver_Q!$B$1:$L$185,MATCH(data!F$1,Haver_Q!$B$1:$L$1,0),FALSE)),100*(VLOOKUP($A188,Haver_Q!$B$1:$L$185,MATCH(data!F$1,Haver_Q!$B$1:$L$1,0),FALSE)),"")</f>
        <v/>
      </c>
      <c r="G188" t="str">
        <f>IF(ISNUMBER(VLOOKUP($A188,Haver_Q!$B$1:$L$185,MATCH(data!G$1,Haver_Q!$B$1:$L$1,0),FALSE)),100*(VLOOKUP($A188,Haver_Q!$B$1:$L$185,MATCH(data!G$1,Haver_Q!$B$1:$L$1,0),FALSE)),"")</f>
        <v/>
      </c>
      <c r="H188" t="str">
        <f>IF(ISNUMBER(VLOOKUP($A188,Haver_Q!$B$1:$L$185,MATCH(data!H$1,Haver_Q!$B$1:$L$1,0),FALSE)),(VLOOKUP($A188,Haver_Q!$B$1:$L$185,MATCH(data!H$1,Haver_Q!$B$1:$L$1,0),FALSE)),"")</f>
        <v/>
      </c>
      <c r="I188" t="str">
        <f>IF(ISNUMBER(VLOOKUP($A188,Haver_Q!$B$1:$L$185,MATCH(data!I$1,Haver_Q!$B$1:$L$1,0),FALSE)),100*(VLOOKUP($A188,Haver_Q!$B$1:$L$185,MATCH(data!I$1,Haver_Q!$B$1:$L$1,0),FALSE)),"")</f>
        <v/>
      </c>
      <c r="J188" s="3">
        <f>IF(ISNUMBER(Bloomberg_m!C204),Bloomberg_m!C204,"")</f>
        <v>975</v>
      </c>
      <c r="K188" s="3">
        <f>IF(ISNUMBER(Bloomberg_m!D204),Bloomberg_m!D204,"")</f>
        <v>1313.86</v>
      </c>
      <c r="L188" s="3">
        <f>IF(ISNUMBER(Bloomberg_m!E204),Bloomberg_m!E204,"")</f>
        <v>675.17</v>
      </c>
      <c r="M188" s="3">
        <f>IF(ISNUMBER(Bloomberg_m!F204),Bloomberg_m!F204,"")</f>
        <v>523.44000000000005</v>
      </c>
      <c r="N188">
        <f>IF(ISNUMBER(VLOOKUP($A188,Haver_M!$B$1:$BZ$300,MATCH(data!N$1,Haver_M!$B$1:$BZ$1,0),FALSE)),VLOOKUP($A188,Haver_M!$B$1:$BZ$300,MATCH(data!N$1,Haver_M!$B$1:$BZ$1,0),FALSE),"")</f>
        <v>7.25</v>
      </c>
      <c r="O188">
        <f>IF(ISNUMBER(VLOOKUP($A188,Haver_M!$B$1:$BZ$300,MATCH(data!O$1,Haver_M!$B$1:$BZ$1,0),FALSE)),VLOOKUP($A188,Haver_M!$B$1:$BZ$300,MATCH(data!O$1,Haver_M!$B$1:$BZ$1,0),FALSE),"")</f>
        <v>7.8049999999999997</v>
      </c>
      <c r="P188">
        <f>IF(ISNUMBER(VLOOKUP($A188,Haver_M!$B$1:$BZ$300,MATCH(data!P$1,Haver_M!$B$1:$BZ$1,0),FALSE)),VLOOKUP($A188,Haver_M!$B$1:$BZ$300,MATCH(data!P$1,Haver_M!$B$1:$BZ$1,0),FALSE),"")</f>
        <v>93.486260000000001</v>
      </c>
      <c r="Q188">
        <f>IF(ISNUMBER(VLOOKUP($A188,Haver_M!$B$1:$BZ$300,MATCH(data!Q$1,Haver_M!$B$1:$BZ$1,0),FALSE)),VLOOKUP($A188,Haver_M!$B$1:$BZ$300,MATCH(data!Q$1,Haver_M!$B$1:$BZ$1,0),FALSE),"")</f>
        <v>123.6</v>
      </c>
      <c r="R188">
        <f>IF(ISNUMBER(VLOOKUP($A188,Haver_M!$B$1:$BZ$300,MATCH(data!R$1,Haver_M!$B$1:$BZ$1,0),FALSE)),VLOOKUP($A188,Haver_M!$B$1:$BZ$300,MATCH(data!R$1,Haver_M!$B$1:$BZ$1,0),FALSE),"")</f>
        <v>120.7</v>
      </c>
      <c r="S188">
        <f>IF(ISNUMBER(VLOOKUP($A188,Haver_M!$B$1:$BZ$300,MATCH(data!S$1,Haver_M!$B$1:$BZ$1,0),FALSE)),VLOOKUP($A188,Haver_M!$B$1:$BZ$300,MATCH(data!S$1,Haver_M!$B$1:$BZ$1,0),FALSE),"")</f>
        <v>113.77</v>
      </c>
      <c r="T188">
        <f>IF(ISNUMBER(VLOOKUP($A188,Haver_M!$B$1:$BZ$300,MATCH(data!T$1,Haver_M!$B$1:$BZ$1,0),FALSE)),VLOOKUP($A188,Haver_M!$B$1:$BZ$300,MATCH(data!T$1,Haver_M!$B$1:$BZ$1,0),FALSE),"")</f>
        <v>111.4</v>
      </c>
      <c r="U188">
        <f>IF(ISNUMBER(VLOOKUP($A188,Haver_M!$B$1:$BZ$300,MATCH(data!U$1,Haver_M!$B$1:$BZ$1,0),FALSE)),VLOOKUP($A188,Haver_M!$B$1:$BZ$300,MATCH(data!U$1,Haver_M!$B$1:$BZ$1,0),FALSE),"")</f>
        <v>93.16</v>
      </c>
      <c r="V188">
        <f>IF(ISNUMBER(VLOOKUP($A188,Haver_M!$B$1:$BZ$300,MATCH(data!V$1,Haver_M!$B$1:$BZ$1,0),FALSE)),VLOOKUP($A188,Haver_M!$B$1:$BZ$300,MATCH(data!V$1,Haver_M!$B$1:$BZ$1,0),FALSE),"")</f>
        <v>119.13</v>
      </c>
      <c r="W188">
        <f>IF(ISNUMBER(VLOOKUP($A188,Haver_M!$B$1:$BZ$300,MATCH(data!W$1,Haver_M!$B$1:$BZ$1,0),FALSE)),VLOOKUP($A188,Haver_M!$B$1:$BZ$300,MATCH(data!W$1,Haver_M!$B$1:$BZ$1,0),FALSE),"")</f>
        <v>121.43</v>
      </c>
      <c r="X188">
        <f>IF(ISNUMBER(VLOOKUP($A188,Haver_M!$B$1:$BZ$300,MATCH(data!X$1,Haver_M!$B$1:$BZ$1,0),FALSE)),VLOOKUP($A188,Haver_M!$B$1:$BZ$300,MATCH(data!X$1,Haver_M!$B$1:$BZ$1,0),FALSE),"")</f>
        <v>121.3</v>
      </c>
      <c r="Y188">
        <f>IF(ISNUMBER(VLOOKUP($A188,Haver_M!$B$1:$BZ$300,MATCH(data!Y$1,Haver_M!$B$1:$BZ$1,0),FALSE)),VLOOKUP($A188,Haver_M!$B$1:$BZ$300,MATCH(data!Y$1,Haver_M!$B$1:$BZ$1,0),FALSE),"")</f>
        <v>114.01</v>
      </c>
      <c r="Z188">
        <f>IF(ISNUMBER(VLOOKUP($A188,Haver_M!$B$1:$BZ$300,MATCH(data!Z$1,Haver_M!$B$1:$BZ$1,0),FALSE)),VLOOKUP($A188,Haver_M!$B$1:$BZ$300,MATCH(data!Z$1,Haver_M!$B$1:$BZ$1,0),FALSE),"")</f>
        <v>115</v>
      </c>
      <c r="AA188">
        <f>IF(ISNUMBER(VLOOKUP($A188,Haver_M!$B$1:$BZ$300,MATCH(data!AA$1,Haver_M!$B$1:$BZ$1,0),FALSE)),VLOOKUP($A188,Haver_M!$B$1:$BZ$300,MATCH(data!AA$1,Haver_M!$B$1:$BZ$1,0),FALSE),"")</f>
        <v>115.84099999999999</v>
      </c>
      <c r="AB188">
        <f>IF(ISNUMBER(VLOOKUP($A188,Haver_M!$B$1:$BZ$300,MATCH(data!AB$1,Haver_M!$B$1:$BZ$1,0),FALSE)),VLOOKUP($A188,Haver_M!$B$1:$BZ$300,MATCH(data!AB$1,Haver_M!$B$1:$BZ$1,0),FALSE),"")</f>
        <v>97.281999999999996</v>
      </c>
      <c r="AC188">
        <f>IF(ISNUMBER(VLOOKUP($A188,Haver_M!$B$1:$BZ$300,MATCH(data!AC$1,Haver_M!$B$1:$BZ$1,0),FALSE)),VLOOKUP($A188,Haver_M!$B$1:$BZ$300,MATCH(data!AC$1,Haver_M!$B$1:$BZ$1,0),FALSE),"")</f>
        <v>64.77</v>
      </c>
      <c r="AD188">
        <f>IF(ISNUMBER(VLOOKUP($A188,Haver_M!$B$1:$BZ$300,MATCH(data!AD$1,Haver_M!$B$1:$BZ$1,0),FALSE)),VLOOKUP($A188,Haver_M!$B$1:$BZ$300,MATCH(data!AD$1,Haver_M!$B$1:$BZ$1,0),FALSE),"")</f>
        <v>113.29300000000001</v>
      </c>
      <c r="AE188">
        <f>IF(ISNUMBER(VLOOKUP($A188,Haver_M!$B$1:$BZ$300,MATCH(data!AE$1,Haver_M!$B$1:$BZ$1,0),FALSE)),VLOOKUP($A188,Haver_M!$B$1:$BZ$300,MATCH(data!AE$1,Haver_M!$B$1:$BZ$1,0),FALSE),"")</f>
        <v>108.893</v>
      </c>
      <c r="AF188">
        <f>IF(ISNUMBER(VLOOKUP($A188,Haver_M!$B$1:$BZ$300,MATCH(data!AF$1,Haver_M!$B$1:$BZ$1,0),FALSE)),VLOOKUP($A188,Haver_M!$B$1:$BZ$300,MATCH(data!AF$1,Haver_M!$B$1:$BZ$1,0),FALSE),"")</f>
        <v>120.41800000000001</v>
      </c>
      <c r="AG188">
        <f>IF(ISNUMBER(VLOOKUP($A188,Haver_M!$B$1:$BZ$300,MATCH(data!AG$1,Haver_M!$B$1:$BZ$1,0),FALSE)),VLOOKUP($A188,Haver_M!$B$1:$BZ$300,MATCH(data!AG$1,Haver_M!$B$1:$BZ$1,0),FALSE),"")</f>
        <v>123.21599999999999</v>
      </c>
      <c r="AH188">
        <f>IF(ISNUMBER(VLOOKUP($A188,Haver_M!$B$1:$BZ$300,MATCH(data!AH$1,Haver_M!$B$1:$BZ$1,0),FALSE)),VLOOKUP($A188,Haver_M!$B$1:$BZ$300,MATCH(data!AH$1,Haver_M!$B$1:$BZ$1,0),FALSE),"")</f>
        <v>134.53200000000001</v>
      </c>
      <c r="AI188">
        <f>IF(ISNUMBER(VLOOKUP($A188,Haver_M!$B$1:$BZ$300,MATCH(data!AI$1,Haver_M!$B$1:$BZ$1,0),FALSE)),VLOOKUP($A188,Haver_M!$B$1:$BZ$300,MATCH(data!AI$1,Haver_M!$B$1:$BZ$1,0),FALSE),"")</f>
        <v>14872.402348760896</v>
      </c>
      <c r="AJ188">
        <f>IF(ISNUMBER(VLOOKUP($A188,Haver_M!$B$1:$BZ$300,MATCH(data!AJ$1,Haver_M!$B$1:$BZ$1,0),FALSE)),VLOOKUP($A188,Haver_M!$B$1:$BZ$300,MATCH(data!AJ$1,Haver_M!$B$1:$BZ$1,0),FALSE),"")</f>
        <v>24295.02</v>
      </c>
      <c r="AK188">
        <f>IF(ISNUMBER(VLOOKUP($A188,Haver_M!$B$1:$BZ$300,MATCH(data!AK$1,Haver_M!$B$1:$BZ$1,0),FALSE)),VLOOKUP($A188,Haver_M!$B$1:$BZ$300,MATCH(data!AK$1,Haver_M!$B$1:$BZ$1,0),FALSE),"")</f>
        <v>35529.19</v>
      </c>
      <c r="AL188">
        <f>IF(ISNUMBER(VLOOKUP($A188,Haver_M!$B$1:$BZ$300,MATCH(data!AL$1,Haver_M!$B$1:$BZ$1,0),FALSE)),VLOOKUP($A188,Haver_M!$B$1:$BZ$300,MATCH(data!AL$1,Haver_M!$B$1:$BZ$1,0),FALSE),"")</f>
        <v>13386</v>
      </c>
      <c r="AM188">
        <f>IF(ISNUMBER(VLOOKUP($A188,Haver_M!$B$1:$BZ$300,MATCH(data!AM$1,Haver_M!$B$1:$BZ$1,0),FALSE)),VLOOKUP($A188,Haver_M!$B$1:$BZ$300,MATCH(data!AM$1,Haver_M!$B$1:$BZ$1,0),FALSE),"")</f>
        <v>7502</v>
      </c>
      <c r="AN188" t="str">
        <f>IF(ISNUMBER(VLOOKUP($A188,Haver_M!$B$1:$BZ$300,MATCH(data!AN$1,Haver_M!$B$1:$BZ$1,0),FALSE)),VLOOKUP($A188,Haver_M!$B$1:$BZ$300,MATCH(data!AN$1,Haver_M!$B$1:$BZ$1,0),FALSE),"")</f>
        <v/>
      </c>
      <c r="AO188" t="str">
        <f>IF(ISNUMBER(VLOOKUP($A188,Haver_M!$B$1:$BZ$300,MATCH(data!AO$1,Haver_M!$B$1:$BZ$1,0),FALSE)),VLOOKUP($A188,Haver_M!$B$1:$BZ$300,MATCH(data!AO$1,Haver_M!$B$1:$BZ$1,0),FALSE),"")</f>
        <v/>
      </c>
      <c r="AP188">
        <f>IF(ISNUMBER(VLOOKUP($A188,Haver_M!$B$1:$BZ$300,MATCH(data!AP$1,Haver_M!$B$1:$BZ$1,0),FALSE)),VLOOKUP($A188,Haver_M!$B$1:$BZ$300,MATCH(data!AP$1,Haver_M!$B$1:$BZ$1,0),FALSE),"")</f>
        <v>53.244360984560061</v>
      </c>
      <c r="AQ188">
        <f>IF(ISNUMBER(VLOOKUP($A188,Haver_M!$B$1:$BZ$300,MATCH(data!AQ$1,Haver_M!$B$1:$BZ$1,0),FALSE)),VLOOKUP($A188,Haver_M!$B$1:$BZ$300,MATCH(data!AQ$1,Haver_M!$B$1:$BZ$1,0),FALSE),"")</f>
        <v>51.9846</v>
      </c>
      <c r="AR188">
        <f>IF(ISNUMBER(VLOOKUP($A188,Haver_M!$B$1:$BZ$300,MATCH(data!AR$1,Haver_M!$B$1:$BZ$1,0),FALSE)),VLOOKUP($A188,Haver_M!$B$1:$BZ$300,MATCH(data!AR$1,Haver_M!$B$1:$BZ$1,0),FALSE),"")</f>
        <v>52.6952</v>
      </c>
      <c r="AS188">
        <f>IF(ISNUMBER(VLOOKUP($A188,Haver_M!$B$1:$BZ$300,MATCH(data!AS$1,Haver_M!$B$1:$BZ$1,0),FALSE)),VLOOKUP($A188,Haver_M!$B$1:$BZ$300,MATCH(data!AS$1,Haver_M!$B$1:$BZ$1,0),FALSE),"")</f>
        <v>50.790500000000002</v>
      </c>
      <c r="AT188">
        <f>IF(ISNUMBER(VLOOKUP($A188,Haver_M!$B$1:$BZ$300,MATCH(data!AT$1,Haver_M!$B$1:$BZ$1,0),FALSE)),VLOOKUP($A188,Haver_M!$B$1:$BZ$300,MATCH(data!AT$1,Haver_M!$B$1:$BZ$1,0),FALSE),"")</f>
        <v>54.910600000000002</v>
      </c>
      <c r="AU188">
        <f>IF(ISNUMBER(VLOOKUP($A188,Haver_M!$B$1:$BZ$300,MATCH(data!AU$1,Haver_M!$B$1:$BZ$1,0),FALSE)),VLOOKUP($A188,Haver_M!$B$1:$BZ$300,MATCH(data!AU$1,Haver_M!$B$1:$BZ$1,0),FALSE),"")</f>
        <v>54.000599999999999</v>
      </c>
      <c r="AV188">
        <f>IF(ISNUMBER(VLOOKUP($A188,Haver_M!$B$1:$BZ$300,MATCH(data!AV$1,Haver_M!$B$1:$BZ$1,0),FALSE)),VLOOKUP($A188,Haver_M!$B$1:$BZ$300,MATCH(data!AV$1,Haver_M!$B$1:$BZ$1,0),FALSE),"")</f>
        <v>49.5854</v>
      </c>
      <c r="AW188">
        <f>IF(ISNUMBER(VLOOKUP($A188,Haver_M!$B$1:$BZ$300,MATCH(data!AW$1,Haver_M!$B$1:$BZ$1,0),FALSE)),VLOOKUP($A188,Haver_M!$B$1:$BZ$300,MATCH(data!AW$1,Haver_M!$B$1:$BZ$1,0),FALSE),"")</f>
        <v>50.1233</v>
      </c>
      <c r="AX188">
        <f>IF(ISNUMBER(VLOOKUP($A188,Haver_M!$B$1:$BZ$300,MATCH(data!AX$1,Haver_M!$B$1:$BZ$1,0),FALSE)),VLOOKUP($A188,Haver_M!$B$1:$BZ$300,MATCH(data!AX$1,Haver_M!$B$1:$BZ$1,0),FALSE),"")</f>
        <v>53.688499999999998</v>
      </c>
      <c r="AY188">
        <f>IF(ISNUMBER(VLOOKUP($A188,Haver_M!$B$1:$BZ$300,MATCH(data!AY$1,Haver_M!$B$1:$BZ$1,0),FALSE)),VLOOKUP($A188,Haver_M!$B$1:$BZ$300,MATCH(data!AY$1,Haver_M!$B$1:$BZ$1,0),FALSE),"")</f>
        <v>51.213500000000003</v>
      </c>
      <c r="AZ188">
        <f>IF(ISNUMBER(VLOOKUP($A188,Haver_M!$B$1:$BZ$300,MATCH(data!AZ$1,Haver_M!$B$1:$BZ$1,0),FALSE)),VLOOKUP($A188,Haver_M!$B$1:$BZ$300,MATCH(data!AZ$1,Haver_M!$B$1:$BZ$1,0),FALSE),"")</f>
        <v>54.473100000000002</v>
      </c>
      <c r="BA188">
        <f>IF(ISNUMBER(VLOOKUP($A188,Haver_M!$B$1:$BZ$300,MATCH(data!BA$1,Haver_M!$B$1:$BZ$1,0),FALSE)),VLOOKUP($A188,Haver_M!$B$1:$BZ$300,MATCH(data!BA$1,Haver_M!$B$1:$BZ$1,0),FALSE),"")</f>
        <v>53.688499999999998</v>
      </c>
      <c r="BB188">
        <f>IF(ISNUMBER(VLOOKUP($A188,Haver_M!$B$1:$BZ$300,MATCH(data!BB$1,Haver_M!$B$1:$BZ$1,0),FALSE)),VLOOKUP($A188,Haver_M!$B$1:$BZ$300,MATCH(data!BB$1,Haver_M!$B$1:$BZ$1,0),FALSE),"")</f>
        <v>54.471499999999999</v>
      </c>
      <c r="BC188">
        <f>IF(ISNUMBER(VLOOKUP($A188,Haver_M!$B$1:$BZ$300,MATCH(data!BC$1,Haver_M!$B$1:$BZ$1,0),FALSE)),VLOOKUP($A188,Haver_M!$B$1:$BZ$300,MATCH(data!BC$1,Haver_M!$B$1:$BZ$1,0),FALSE),"")</f>
        <v>49.989100000000001</v>
      </c>
      <c r="BD188">
        <f>IF(ISNUMBER(VLOOKUP($A188,Haver_M!$B$1:$BZ$300,MATCH(data!BD$1,Haver_M!$B$1:$BZ$1,0),FALSE)),VLOOKUP($A188,Haver_M!$B$1:$BZ$300,MATCH(data!BD$1,Haver_M!$B$1:$BZ$1,0),FALSE),"")</f>
        <v>51.275399999999998</v>
      </c>
      <c r="BE188">
        <f>IF(ISNUMBER(VLOOKUP($A188,Haver_M!$B$1:$BZ$300,MATCH(data!BE$1,Haver_M!$B$1:$BZ$1,0),FALSE)),VLOOKUP($A188,Haver_M!$B$1:$BZ$300,MATCH(data!BE$1,Haver_M!$B$1:$BZ$1,0),FALSE),"")</f>
        <v>1.1464000000000001</v>
      </c>
      <c r="BF188">
        <f>IF(ISNUMBER(VLOOKUP($A188,Haver_M!$B$1:$BZ$300,MATCH(data!BF$1,Haver_M!$B$1:$BZ$1,0),FALSE)),VLOOKUP($A188,Haver_M!$B$1:$BZ$300,MATCH(data!BF$1,Haver_M!$B$1:$BZ$1,0),FALSE),"")</f>
        <v>51.382199999999997</v>
      </c>
      <c r="BG188">
        <f>IF(ISNUMBER(VLOOKUP($A188,Haver_M!$B$1:$BZ$300,MATCH(data!BG$1,Haver_M!$B$1:$BZ$1,0),FALSE)),VLOOKUP($A188,Haver_M!$B$1:$BZ$300,MATCH(data!BG$1,Haver_M!$B$1:$BZ$1,0),FALSE),"")</f>
        <v>50.738599999999998</v>
      </c>
      <c r="BH188">
        <f>IF(ISNUMBER(VLOOKUP($A188,Haver_M!$B$1:$BZ$300,MATCH(data!BH$1,Haver_M!$B$1:$BZ$1,0),FALSE)),VLOOKUP($A188,Haver_M!$B$1:$BZ$300,MATCH(data!BH$1,Haver_M!$B$1:$BZ$1,0),FALSE),"")</f>
        <v>50.4679</v>
      </c>
      <c r="BI188">
        <f>IF(ISNUMBER(VLOOKUP($A188,Haver_M!$B$1:$BZ$300,MATCH(data!BI$1,Haver_M!$B$1:$BZ$1,0),FALSE)),VLOOKUP($A188,Haver_M!$B$1:$BZ$300,MATCH(data!BI$1,Haver_M!$B$1:$BZ$1,0),FALSE),"")</f>
        <v>51.952100000000002</v>
      </c>
      <c r="BJ188">
        <f>IF(ISNUMBER(VLOOKUP($A188,Haver_M!$B$1:$BZ$300,MATCH(data!BJ$1,Haver_M!$B$1:$BZ$1,0),FALSE)),VLOOKUP($A188,Haver_M!$B$1:$BZ$300,MATCH(data!BJ$1,Haver_M!$B$1:$BZ$1,0),FALSE),"")</f>
        <v>51.433</v>
      </c>
      <c r="BK188">
        <f>IF(ISNUMBER(VLOOKUP($A188,Haver_M!$B$1:$BZ$300,MATCH(data!BK$1,Haver_M!$B$1:$BZ$1,0),FALSE)),VLOOKUP($A188,Haver_M!$B$1:$BZ$300,MATCH(data!BK$1,Haver_M!$B$1:$BZ$1,0),FALSE),"")</f>
        <v>49.7669</v>
      </c>
      <c r="BL188">
        <f>IF(ISNUMBER(VLOOKUP($A188,Haver_M!$B$1:$BZ$300,MATCH(data!BL$1,Haver_M!$B$1:$BZ$1,0),FALSE)),VLOOKUP($A188,Haver_M!$B$1:$BZ$300,MATCH(data!BL$1,Haver_M!$B$1:$BZ$1,0),FALSE),"")</f>
        <v>28015.599999999999</v>
      </c>
      <c r="BM188">
        <f>IF(ISNUMBER(VLOOKUP($A188,Haver_M!$B$1:$BZ$300,MATCH(data!BM$1,Haver_M!$B$1:$BZ$1,0),FALSE)),VLOOKUP($A188,Haver_M!$B$1:$BZ$300,MATCH(data!BM$1,Haver_M!$B$1:$BZ$1,0),FALSE),"")</f>
        <v>98.523870869999996</v>
      </c>
      <c r="BN188" t="str">
        <f>IF(ISNUMBER(VLOOKUP($A188,Haver_M!$B$1:$BZ$300,MATCH(data!BN$1,Haver_M!$B$1:$BZ$1,0),FALSE)),VLOOKUP($A188,Haver_M!$B$1:$BZ$300,MATCH(data!BN$1,Haver_M!$B$1:$BZ$1,0),FALSE),"")</f>
        <v/>
      </c>
      <c r="BO188" t="str">
        <f>IF(ISNUMBER(VLOOKUP($A188,Haver_M!$B$1:$BZ$300,MATCH(data!BO$1,Haver_M!$B$1:$BZ$1,0),FALSE)),VLOOKUP($A188,Haver_M!$B$1:$BZ$300,MATCH(data!BO$1,Haver_M!$B$1:$BZ$1,0),FALSE),"")</f>
        <v/>
      </c>
      <c r="BP188" t="str">
        <f>IF(ISNUMBER(VLOOKUP($A188,Haver_M!$B$1:$BZ$300,MATCH(data!BP$1,Haver_M!$B$1:$BZ$1,0),FALSE)),VLOOKUP($A188,Haver_M!$B$1:$BZ$300,MATCH(data!BP$1,Haver_M!$B$1:$BZ$1,0),FALSE),"")</f>
        <v/>
      </c>
      <c r="BQ188">
        <f>IF(ISNUMBER(VLOOKUP($A188,Haver_M!$B$1:$BZ$300,MATCH(data!BQ$1,Haver_M!$B$1:$BZ$1,0),FALSE)),VLOOKUP($A188,Haver_M!$B$1:$BZ$300,MATCH(data!BQ$1,Haver_M!$B$1:$BZ$1,0),FALSE),"")</f>
        <v>191.4701029307771</v>
      </c>
      <c r="BR188">
        <f>IF(ISNUMBER(VLOOKUP($A188,Haver_M!$B$1:$BZ$300,MATCH(data!BR$1,Haver_M!$B$1:$BZ$1,0),FALSE)),VLOOKUP($A188,Haver_M!$B$1:$BZ$300,MATCH(data!BR$1,Haver_M!$B$1:$BZ$1,0),FALSE),"")</f>
        <v>412.03315785338259</v>
      </c>
      <c r="BS188">
        <f>IF(ISNUMBER(VLOOKUP($A188,Haver_M!$B$1:$BZ$300,MATCH(data!BS$1,Haver_M!$B$1:$BZ$1,0),FALSE)),VLOOKUP($A188,Haver_M!$B$1:$BZ$300,MATCH(data!BS$1,Haver_M!$B$1:$BZ$1,0),FALSE),"")</f>
        <v>220.62387051151097</v>
      </c>
      <c r="BT188">
        <f>IF(ISNUMBER(VLOOKUP($A188,Haver_M!$B$1:$BZ$300,MATCH(data!BT$1,Haver_M!$B$1:$BZ$1,0),FALSE)),VLOOKUP($A188,Haver_M!$B$1:$BZ$300,MATCH(data!BT$1,Haver_M!$B$1:$BZ$1,0),FALSE),"")</f>
        <v>950.52376836646511</v>
      </c>
      <c r="BU188">
        <f>IF(ISNUMBER(VLOOKUP($A188,Haver_M!$B$1:$BZ$300,MATCH(data!BU$1,Haver_M!$B$1:$BZ$1,0),FALSE)),VLOOKUP($A188,Haver_M!$B$1:$BZ$300,MATCH(data!BU$1,Haver_M!$B$1:$BZ$1,0),FALSE),"")</f>
        <v>23281.21</v>
      </c>
      <c r="BV188">
        <f>IF(ISNUMBER(VLOOKUP($A188,Haver_M!$B$1:$BZ$300,MATCH(data!BV$1,Haver_M!$B$1:$BZ$1,0),FALSE)),VLOOKUP($A188,Haver_M!$B$1:$BZ$300,MATCH(data!BV$1,Haver_M!$B$1:$BZ$1,0),FALSE),"")</f>
        <v>36372.07</v>
      </c>
      <c r="BW188">
        <f>IF(ISNUMBER(VLOOKUP($A188,Haver_M!$B$1:$BZ$300,MATCH(data!BW$1,Haver_M!$B$1:$BZ$1,0),FALSE)),VLOOKUP($A188,Haver_M!$B$1:$BZ$300,MATCH(data!BW$1,Haver_M!$B$1:$BZ$1,0),FALSE),"")</f>
        <v>63.634999999999998</v>
      </c>
      <c r="BX188">
        <f>IF(ISNUMBER(VLOOKUP($A188,Haver_M!$B$1:$BZ$300,MATCH(data!BX$1,Haver_M!$B$1:$BZ$1,0),FALSE)),VLOOKUP($A188,Haver_M!$B$1:$BZ$300,MATCH(data!BX$1,Haver_M!$B$1:$BZ$1,0),FALSE),"")</f>
        <v>57241</v>
      </c>
    </row>
    <row r="189" spans="1:76" x14ac:dyDescent="0.25">
      <c r="A189" s="2">
        <v>42247</v>
      </c>
      <c r="B189" t="str">
        <f>IF(ISNUMBER(VLOOKUP($A189,Haver_Q!$B$1:$L$185,MATCH(data!B$1,Haver_Q!$B$1:$L$1,0),FALSE)),100*(VLOOKUP($A189,Haver_Q!$B$1:$L$185,MATCH(data!B$1,Haver_Q!$B$1:$L$1,0),FALSE)),"")</f>
        <v/>
      </c>
      <c r="C189" t="str">
        <f>IF(ISNUMBER(VLOOKUP($A189,Haver_Q!$B$1:$L$185,MATCH(data!C$1,Haver_Q!$B$1:$L$1,0),FALSE)),100*(VLOOKUP($A189,Haver_Q!$B$1:$L$185,MATCH(data!C$1,Haver_Q!$B$1:$L$1,0),FALSE)),"")</f>
        <v/>
      </c>
      <c r="D189" t="str">
        <f>IF(ISNUMBER(VLOOKUP($A189,Haver_Q!$B$1:$L$185,MATCH(data!D$1,Haver_Q!$B$1:$L$1,0),FALSE)),100*(VLOOKUP($A189,Haver_Q!$B$1:$L$185,MATCH(data!D$1,Haver_Q!$B$1:$L$1,0),FALSE)),"")</f>
        <v/>
      </c>
      <c r="E189" t="str">
        <f>IF(ISNUMBER(VLOOKUP($A189,Haver_Q!$B$1:$L$185,MATCH(data!E$1,Haver_Q!$B$1:$L$1,0),FALSE)),100*(VLOOKUP($A189,Haver_Q!$B$1:$L$185,MATCH(data!E$1,Haver_Q!$B$1:$L$1,0),FALSE)),"")</f>
        <v/>
      </c>
      <c r="F189" t="str">
        <f>IF(ISNUMBER(VLOOKUP($A189,Haver_Q!$B$1:$L$185,MATCH(data!F$1,Haver_Q!$B$1:$L$1,0),FALSE)),100*(VLOOKUP($A189,Haver_Q!$B$1:$L$185,MATCH(data!F$1,Haver_Q!$B$1:$L$1,0),FALSE)),"")</f>
        <v/>
      </c>
      <c r="G189" t="str">
        <f>IF(ISNUMBER(VLOOKUP($A189,Haver_Q!$B$1:$L$185,MATCH(data!G$1,Haver_Q!$B$1:$L$1,0),FALSE)),100*(VLOOKUP($A189,Haver_Q!$B$1:$L$185,MATCH(data!G$1,Haver_Q!$B$1:$L$1,0),FALSE)),"")</f>
        <v/>
      </c>
      <c r="H189" t="str">
        <f>IF(ISNUMBER(VLOOKUP($A189,Haver_Q!$B$1:$L$185,MATCH(data!H$1,Haver_Q!$B$1:$L$1,0),FALSE)),(VLOOKUP($A189,Haver_Q!$B$1:$L$185,MATCH(data!H$1,Haver_Q!$B$1:$L$1,0),FALSE)),"")</f>
        <v/>
      </c>
      <c r="I189" t="str">
        <f>IF(ISNUMBER(VLOOKUP($A189,Haver_Q!$B$1:$L$185,MATCH(data!I$1,Haver_Q!$B$1:$L$1,0),FALSE)),100*(VLOOKUP($A189,Haver_Q!$B$1:$L$185,MATCH(data!I$1,Haver_Q!$B$1:$L$1,0),FALSE)),"")</f>
        <v/>
      </c>
      <c r="J189" s="3">
        <f>IF(ISNUMBER(Bloomberg_m!C205),Bloomberg_m!C205,"")</f>
        <v>1066</v>
      </c>
      <c r="K189" s="3">
        <f>IF(ISNUMBER(Bloomberg_m!D205),Bloomberg_m!D205,"")</f>
        <v>1461.46</v>
      </c>
      <c r="L189" s="3">
        <f>IF(ISNUMBER(Bloomberg_m!E205),Bloomberg_m!E205,"")</f>
        <v>715.04</v>
      </c>
      <c r="M189" s="3">
        <f>IF(ISNUMBER(Bloomberg_m!F205),Bloomberg_m!F205,"")</f>
        <v>485.63</v>
      </c>
      <c r="N189">
        <f>IF(ISNUMBER(VLOOKUP($A189,Haver_M!$B$1:$BZ$300,MATCH(data!N$1,Haver_M!$B$1:$BZ$1,0),FALSE)),VLOOKUP($A189,Haver_M!$B$1:$BZ$300,MATCH(data!N$1,Haver_M!$B$1:$BZ$1,0),FALSE),"")</f>
        <v>7.25</v>
      </c>
      <c r="O189">
        <f>IF(ISNUMBER(VLOOKUP($A189,Haver_M!$B$1:$BZ$300,MATCH(data!O$1,Haver_M!$B$1:$BZ$1,0),FALSE)),VLOOKUP($A189,Haver_M!$B$1:$BZ$300,MATCH(data!O$1,Haver_M!$B$1:$BZ$1,0),FALSE),"")</f>
        <v>8.0541</v>
      </c>
      <c r="P189">
        <f>IF(ISNUMBER(VLOOKUP($A189,Haver_M!$B$1:$BZ$300,MATCH(data!P$1,Haver_M!$B$1:$BZ$1,0),FALSE)),VLOOKUP($A189,Haver_M!$B$1:$BZ$300,MATCH(data!P$1,Haver_M!$B$1:$BZ$1,0),FALSE),"")</f>
        <v>92.548100000000005</v>
      </c>
      <c r="Q189">
        <f>IF(ISNUMBER(VLOOKUP($A189,Haver_M!$B$1:$BZ$300,MATCH(data!Q$1,Haver_M!$B$1:$BZ$1,0),FALSE)),VLOOKUP($A189,Haver_M!$B$1:$BZ$300,MATCH(data!Q$1,Haver_M!$B$1:$BZ$1,0),FALSE),"")</f>
        <v>124.8</v>
      </c>
      <c r="R189">
        <f>IF(ISNUMBER(VLOOKUP($A189,Haver_M!$B$1:$BZ$300,MATCH(data!R$1,Haver_M!$B$1:$BZ$1,0),FALSE)),VLOOKUP($A189,Haver_M!$B$1:$BZ$300,MATCH(data!R$1,Haver_M!$B$1:$BZ$1,0),FALSE),"")</f>
        <v>121.4</v>
      </c>
      <c r="S189">
        <f>IF(ISNUMBER(VLOOKUP($A189,Haver_M!$B$1:$BZ$300,MATCH(data!S$1,Haver_M!$B$1:$BZ$1,0),FALSE)),VLOOKUP($A189,Haver_M!$B$1:$BZ$300,MATCH(data!S$1,Haver_M!$B$1:$BZ$1,0),FALSE),"")</f>
        <v>114.99</v>
      </c>
      <c r="T189">
        <f>IF(ISNUMBER(VLOOKUP($A189,Haver_M!$B$1:$BZ$300,MATCH(data!T$1,Haver_M!$B$1:$BZ$1,0),FALSE)),VLOOKUP($A189,Haver_M!$B$1:$BZ$300,MATCH(data!T$1,Haver_M!$B$1:$BZ$1,0),FALSE),"")</f>
        <v>114.04</v>
      </c>
      <c r="U189">
        <f>IF(ISNUMBER(VLOOKUP($A189,Haver_M!$B$1:$BZ$300,MATCH(data!U$1,Haver_M!$B$1:$BZ$1,0),FALSE)),VLOOKUP($A189,Haver_M!$B$1:$BZ$300,MATCH(data!U$1,Haver_M!$B$1:$BZ$1,0),FALSE),"")</f>
        <v>99.81</v>
      </c>
      <c r="V189">
        <f>IF(ISNUMBER(VLOOKUP($A189,Haver_M!$B$1:$BZ$300,MATCH(data!V$1,Haver_M!$B$1:$BZ$1,0),FALSE)),VLOOKUP($A189,Haver_M!$B$1:$BZ$300,MATCH(data!V$1,Haver_M!$B$1:$BZ$1,0),FALSE),"")</f>
        <v>117.6</v>
      </c>
      <c r="W189">
        <f>IF(ISNUMBER(VLOOKUP($A189,Haver_M!$B$1:$BZ$300,MATCH(data!W$1,Haver_M!$B$1:$BZ$1,0),FALSE)),VLOOKUP($A189,Haver_M!$B$1:$BZ$300,MATCH(data!W$1,Haver_M!$B$1:$BZ$1,0),FALSE),"")</f>
        <v>119.83</v>
      </c>
      <c r="X189">
        <f>IF(ISNUMBER(VLOOKUP($A189,Haver_M!$B$1:$BZ$300,MATCH(data!X$1,Haver_M!$B$1:$BZ$1,0),FALSE)),VLOOKUP($A189,Haver_M!$B$1:$BZ$300,MATCH(data!X$1,Haver_M!$B$1:$BZ$1,0),FALSE),"")</f>
        <v>116.46</v>
      </c>
      <c r="Y189">
        <f>IF(ISNUMBER(VLOOKUP($A189,Haver_M!$B$1:$BZ$300,MATCH(data!Y$1,Haver_M!$B$1:$BZ$1,0),FALSE)),VLOOKUP($A189,Haver_M!$B$1:$BZ$300,MATCH(data!Y$1,Haver_M!$B$1:$BZ$1,0),FALSE),"")</f>
        <v>114.64</v>
      </c>
      <c r="Z189">
        <f>IF(ISNUMBER(VLOOKUP($A189,Haver_M!$B$1:$BZ$300,MATCH(data!Z$1,Haver_M!$B$1:$BZ$1,0),FALSE)),VLOOKUP($A189,Haver_M!$B$1:$BZ$300,MATCH(data!Z$1,Haver_M!$B$1:$BZ$1,0),FALSE),"")</f>
        <v>116.5</v>
      </c>
      <c r="AA189">
        <f>IF(ISNUMBER(VLOOKUP($A189,Haver_M!$B$1:$BZ$300,MATCH(data!AA$1,Haver_M!$B$1:$BZ$1,0),FALSE)),VLOOKUP($A189,Haver_M!$B$1:$BZ$300,MATCH(data!AA$1,Haver_M!$B$1:$BZ$1,0),FALSE),"")</f>
        <v>118.008</v>
      </c>
      <c r="AB189">
        <f>IF(ISNUMBER(VLOOKUP($A189,Haver_M!$B$1:$BZ$300,MATCH(data!AB$1,Haver_M!$B$1:$BZ$1,0),FALSE)),VLOOKUP($A189,Haver_M!$B$1:$BZ$300,MATCH(data!AB$1,Haver_M!$B$1:$BZ$1,0),FALSE),"")</f>
        <v>98.912000000000006</v>
      </c>
      <c r="AC189">
        <f>IF(ISNUMBER(VLOOKUP($A189,Haver_M!$B$1:$BZ$300,MATCH(data!AC$1,Haver_M!$B$1:$BZ$1,0),FALSE)),VLOOKUP($A189,Haver_M!$B$1:$BZ$300,MATCH(data!AC$1,Haver_M!$B$1:$BZ$1,0),FALSE),"")</f>
        <v>69.897000000000006</v>
      </c>
      <c r="AD189">
        <f>IF(ISNUMBER(VLOOKUP($A189,Haver_M!$B$1:$BZ$300,MATCH(data!AD$1,Haver_M!$B$1:$BZ$1,0),FALSE)),VLOOKUP($A189,Haver_M!$B$1:$BZ$300,MATCH(data!AD$1,Haver_M!$B$1:$BZ$1,0),FALSE),"")</f>
        <v>115.459</v>
      </c>
      <c r="AE189">
        <f>IF(ISNUMBER(VLOOKUP($A189,Haver_M!$B$1:$BZ$300,MATCH(data!AE$1,Haver_M!$B$1:$BZ$1,0),FALSE)),VLOOKUP($A189,Haver_M!$B$1:$BZ$300,MATCH(data!AE$1,Haver_M!$B$1:$BZ$1,0),FALSE),"")</f>
        <v>105.47499999999999</v>
      </c>
      <c r="AF189">
        <f>IF(ISNUMBER(VLOOKUP($A189,Haver_M!$B$1:$BZ$300,MATCH(data!AF$1,Haver_M!$B$1:$BZ$1,0),FALSE)),VLOOKUP($A189,Haver_M!$B$1:$BZ$300,MATCH(data!AF$1,Haver_M!$B$1:$BZ$1,0),FALSE),"")</f>
        <v>119.04600000000001</v>
      </c>
      <c r="AG189">
        <f>IF(ISNUMBER(VLOOKUP($A189,Haver_M!$B$1:$BZ$300,MATCH(data!AG$1,Haver_M!$B$1:$BZ$1,0),FALSE)),VLOOKUP($A189,Haver_M!$B$1:$BZ$300,MATCH(data!AG$1,Haver_M!$B$1:$BZ$1,0),FALSE),"")</f>
        <v>122.97199999999999</v>
      </c>
      <c r="AH189">
        <f>IF(ISNUMBER(VLOOKUP($A189,Haver_M!$B$1:$BZ$300,MATCH(data!AH$1,Haver_M!$B$1:$BZ$1,0),FALSE)),VLOOKUP($A189,Haver_M!$B$1:$BZ$300,MATCH(data!AH$1,Haver_M!$B$1:$BZ$1,0),FALSE),"")</f>
        <v>135.767</v>
      </c>
      <c r="AI189">
        <f>IF(ISNUMBER(VLOOKUP($A189,Haver_M!$B$1:$BZ$300,MATCH(data!AI$1,Haver_M!$B$1:$BZ$1,0),FALSE)),VLOOKUP($A189,Haver_M!$B$1:$BZ$300,MATCH(data!AI$1,Haver_M!$B$1:$BZ$1,0),FALSE),"")</f>
        <v>14954.670184942745</v>
      </c>
      <c r="AJ189">
        <f>IF(ISNUMBER(VLOOKUP($A189,Haver_M!$B$1:$BZ$300,MATCH(data!AJ$1,Haver_M!$B$1:$BZ$1,0),FALSE)),VLOOKUP($A189,Haver_M!$B$1:$BZ$300,MATCH(data!AJ$1,Haver_M!$B$1:$BZ$1,0),FALSE),"")</f>
        <v>22006.6</v>
      </c>
      <c r="AK189">
        <f>IF(ISNUMBER(VLOOKUP($A189,Haver_M!$B$1:$BZ$300,MATCH(data!AK$1,Haver_M!$B$1:$BZ$1,0),FALSE)),VLOOKUP($A189,Haver_M!$B$1:$BZ$300,MATCH(data!AK$1,Haver_M!$B$1:$BZ$1,0),FALSE),"")</f>
        <v>34312.559999999998</v>
      </c>
      <c r="AL189">
        <f>IF(ISNUMBER(VLOOKUP($A189,Haver_M!$B$1:$BZ$300,MATCH(data!AL$1,Haver_M!$B$1:$BZ$1,0),FALSE)),VLOOKUP($A189,Haver_M!$B$1:$BZ$300,MATCH(data!AL$1,Haver_M!$B$1:$BZ$1,0),FALSE),"")</f>
        <v>13580</v>
      </c>
      <c r="AM189">
        <f>IF(ISNUMBER(VLOOKUP($A189,Haver_M!$B$1:$BZ$300,MATCH(data!AM$1,Haver_M!$B$1:$BZ$1,0),FALSE)),VLOOKUP($A189,Haver_M!$B$1:$BZ$300,MATCH(data!AM$1,Haver_M!$B$1:$BZ$1,0),FALSE),"")</f>
        <v>7773</v>
      </c>
      <c r="AN189" t="str">
        <f>IF(ISNUMBER(VLOOKUP($A189,Haver_M!$B$1:$BZ$300,MATCH(data!AN$1,Haver_M!$B$1:$BZ$1,0),FALSE)),VLOOKUP($A189,Haver_M!$B$1:$BZ$300,MATCH(data!AN$1,Haver_M!$B$1:$BZ$1,0),FALSE),"")</f>
        <v/>
      </c>
      <c r="AO189" t="str">
        <f>IF(ISNUMBER(VLOOKUP($A189,Haver_M!$B$1:$BZ$300,MATCH(data!AO$1,Haver_M!$B$1:$BZ$1,0),FALSE)),VLOOKUP($A189,Haver_M!$B$1:$BZ$300,MATCH(data!AO$1,Haver_M!$B$1:$BZ$1,0),FALSE),"")</f>
        <v/>
      </c>
      <c r="AP189">
        <f>IF(ISNUMBER(VLOOKUP($A189,Haver_M!$B$1:$BZ$300,MATCH(data!AP$1,Haver_M!$B$1:$BZ$1,0),FALSE)),VLOOKUP($A189,Haver_M!$B$1:$BZ$300,MATCH(data!AP$1,Haver_M!$B$1:$BZ$1,0),FALSE),"")</f>
        <v>67.664950506439084</v>
      </c>
      <c r="AQ189">
        <f>IF(ISNUMBER(VLOOKUP($A189,Haver_M!$B$1:$BZ$300,MATCH(data!AQ$1,Haver_M!$B$1:$BZ$1,0),FALSE)),VLOOKUP($A189,Haver_M!$B$1:$BZ$300,MATCH(data!AQ$1,Haver_M!$B$1:$BZ$1,0),FALSE),"")</f>
        <v>52.591000000000001</v>
      </c>
      <c r="AR189">
        <f>IF(ISNUMBER(VLOOKUP($A189,Haver_M!$B$1:$BZ$300,MATCH(data!AR$1,Haver_M!$B$1:$BZ$1,0),FALSE)),VLOOKUP($A189,Haver_M!$B$1:$BZ$300,MATCH(data!AR$1,Haver_M!$B$1:$BZ$1,0),FALSE),"")</f>
        <v>52.348999999999997</v>
      </c>
      <c r="AS189">
        <f>IF(ISNUMBER(VLOOKUP($A189,Haver_M!$B$1:$BZ$300,MATCH(data!AS$1,Haver_M!$B$1:$BZ$1,0),FALSE)),VLOOKUP($A189,Haver_M!$B$1:$BZ$300,MATCH(data!AS$1,Haver_M!$B$1:$BZ$1,0),FALSE),"")</f>
        <v>51.800199999999997</v>
      </c>
      <c r="AT189">
        <f>IF(ISNUMBER(VLOOKUP($A189,Haver_M!$B$1:$BZ$300,MATCH(data!AT$1,Haver_M!$B$1:$BZ$1,0),FALSE)),VLOOKUP($A189,Haver_M!$B$1:$BZ$300,MATCH(data!AT$1,Haver_M!$B$1:$BZ$1,0),FALSE),"")</f>
        <v>54.528500000000001</v>
      </c>
      <c r="AU189">
        <f>IF(ISNUMBER(VLOOKUP($A189,Haver_M!$B$1:$BZ$300,MATCH(data!AU$1,Haver_M!$B$1:$BZ$1,0),FALSE)),VLOOKUP($A189,Haver_M!$B$1:$BZ$300,MATCH(data!AU$1,Haver_M!$B$1:$BZ$1,0),FALSE),"")</f>
        <v>53.621600000000001</v>
      </c>
      <c r="AV189">
        <f>IF(ISNUMBER(VLOOKUP($A189,Haver_M!$B$1:$BZ$300,MATCH(data!AV$1,Haver_M!$B$1:$BZ$1,0),FALSE)),VLOOKUP($A189,Haver_M!$B$1:$BZ$300,MATCH(data!AV$1,Haver_M!$B$1:$BZ$1,0),FALSE),"")</f>
        <v>50.01</v>
      </c>
      <c r="AW189">
        <f>IF(ISNUMBER(VLOOKUP($A189,Haver_M!$B$1:$BZ$300,MATCH(data!AW$1,Haver_M!$B$1:$BZ$1,0),FALSE)),VLOOKUP($A189,Haver_M!$B$1:$BZ$300,MATCH(data!AW$1,Haver_M!$B$1:$BZ$1,0),FALSE),"")</f>
        <v>50.2226</v>
      </c>
      <c r="AX189">
        <f>IF(ISNUMBER(VLOOKUP($A189,Haver_M!$B$1:$BZ$300,MATCH(data!AX$1,Haver_M!$B$1:$BZ$1,0),FALSE)),VLOOKUP($A189,Haver_M!$B$1:$BZ$300,MATCH(data!AX$1,Haver_M!$B$1:$BZ$1,0),FALSE),"")</f>
        <v>51.617699999999999</v>
      </c>
      <c r="AY189">
        <f>IF(ISNUMBER(VLOOKUP($A189,Haver_M!$B$1:$BZ$300,MATCH(data!AY$1,Haver_M!$B$1:$BZ$1,0),FALSE)),VLOOKUP($A189,Haver_M!$B$1:$BZ$300,MATCH(data!AY$1,Haver_M!$B$1:$BZ$1,0),FALSE),"")</f>
        <v>48.7669</v>
      </c>
      <c r="AZ189">
        <f>IF(ISNUMBER(VLOOKUP($A189,Haver_M!$B$1:$BZ$300,MATCH(data!AZ$1,Haver_M!$B$1:$BZ$1,0),FALSE)),VLOOKUP($A189,Haver_M!$B$1:$BZ$300,MATCH(data!AZ$1,Haver_M!$B$1:$BZ$1,0),FALSE),"")</f>
        <v>55.1008</v>
      </c>
      <c r="BA189">
        <f>IF(ISNUMBER(VLOOKUP($A189,Haver_M!$B$1:$BZ$300,MATCH(data!BA$1,Haver_M!$B$1:$BZ$1,0),FALSE)),VLOOKUP($A189,Haver_M!$B$1:$BZ$300,MATCH(data!BA$1,Haver_M!$B$1:$BZ$1,0),FALSE),"")</f>
        <v>51.617699999999999</v>
      </c>
      <c r="BB189">
        <f>IF(ISNUMBER(VLOOKUP($A189,Haver_M!$B$1:$BZ$300,MATCH(data!BB$1,Haver_M!$B$1:$BZ$1,0),FALSE)),VLOOKUP($A189,Haver_M!$B$1:$BZ$300,MATCH(data!BB$1,Haver_M!$B$1:$BZ$1,0),FALSE),"")</f>
        <v>53.391800000000003</v>
      </c>
      <c r="BC189">
        <f>IF(ISNUMBER(VLOOKUP($A189,Haver_M!$B$1:$BZ$300,MATCH(data!BC$1,Haver_M!$B$1:$BZ$1,0),FALSE)),VLOOKUP($A189,Haver_M!$B$1:$BZ$300,MATCH(data!BC$1,Haver_M!$B$1:$BZ$1,0),FALSE),"")</f>
        <v>48.618899999999996</v>
      </c>
      <c r="BD189">
        <f>IF(ISNUMBER(VLOOKUP($A189,Haver_M!$B$1:$BZ$300,MATCH(data!BD$1,Haver_M!$B$1:$BZ$1,0),FALSE)),VLOOKUP($A189,Haver_M!$B$1:$BZ$300,MATCH(data!BD$1,Haver_M!$B$1:$BZ$1,0),FALSE),"")</f>
        <v>48.3095</v>
      </c>
      <c r="BE189">
        <f>IF(ISNUMBER(VLOOKUP($A189,Haver_M!$B$1:$BZ$300,MATCH(data!BE$1,Haver_M!$B$1:$BZ$1,0),FALSE)),VLOOKUP($A189,Haver_M!$B$1:$BZ$300,MATCH(data!BE$1,Haver_M!$B$1:$BZ$1,0),FALSE),"")</f>
        <v>1.1970000000000001</v>
      </c>
      <c r="BF189">
        <f>IF(ISNUMBER(VLOOKUP($A189,Haver_M!$B$1:$BZ$300,MATCH(data!BF$1,Haver_M!$B$1:$BZ$1,0),FALSE)),VLOOKUP($A189,Haver_M!$B$1:$BZ$300,MATCH(data!BF$1,Haver_M!$B$1:$BZ$1,0),FALSE),"")</f>
        <v>50.0411</v>
      </c>
      <c r="BG189">
        <f>IF(ISNUMBER(VLOOKUP($A189,Haver_M!$B$1:$BZ$300,MATCH(data!BG$1,Haver_M!$B$1:$BZ$1,0),FALSE)),VLOOKUP($A189,Haver_M!$B$1:$BZ$300,MATCH(data!BG$1,Haver_M!$B$1:$BZ$1,0),FALSE),"")</f>
        <v>50.970799999999997</v>
      </c>
      <c r="BH189">
        <f>IF(ISNUMBER(VLOOKUP($A189,Haver_M!$B$1:$BZ$300,MATCH(data!BH$1,Haver_M!$B$1:$BZ$1,0),FALSE)),VLOOKUP($A189,Haver_M!$B$1:$BZ$300,MATCH(data!BH$1,Haver_M!$B$1:$BZ$1,0),FALSE),"")</f>
        <v>52.437199999999997</v>
      </c>
      <c r="BI189">
        <f>IF(ISNUMBER(VLOOKUP($A189,Haver_M!$B$1:$BZ$300,MATCH(data!BI$1,Haver_M!$B$1:$BZ$1,0),FALSE)),VLOOKUP($A189,Haver_M!$B$1:$BZ$300,MATCH(data!BI$1,Haver_M!$B$1:$BZ$1,0),FALSE),"")</f>
        <v>50.464199999999998</v>
      </c>
      <c r="BJ189">
        <f>IF(ISNUMBER(VLOOKUP($A189,Haver_M!$B$1:$BZ$300,MATCH(data!BJ$1,Haver_M!$B$1:$BZ$1,0),FALSE)),VLOOKUP($A189,Haver_M!$B$1:$BZ$300,MATCH(data!BJ$1,Haver_M!$B$1:$BZ$1,0),FALSE),"")</f>
        <v>51.885599999999997</v>
      </c>
      <c r="BK189">
        <f>IF(ISNUMBER(VLOOKUP($A189,Haver_M!$B$1:$BZ$300,MATCH(data!BK$1,Haver_M!$B$1:$BZ$1,0),FALSE)),VLOOKUP($A189,Haver_M!$B$1:$BZ$300,MATCH(data!BK$1,Haver_M!$B$1:$BZ$1,0),FALSE),"")</f>
        <v>49.578099999999999</v>
      </c>
      <c r="BL189">
        <f>IF(ISNUMBER(VLOOKUP($A189,Haver_M!$B$1:$BZ$300,MATCH(data!BL$1,Haver_M!$B$1:$BZ$1,0),FALSE)),VLOOKUP($A189,Haver_M!$B$1:$BZ$300,MATCH(data!BL$1,Haver_M!$B$1:$BZ$1,0),FALSE),"")</f>
        <v>27386.86</v>
      </c>
      <c r="BM189">
        <f>IF(ISNUMBER(VLOOKUP($A189,Haver_M!$B$1:$BZ$300,MATCH(data!BM$1,Haver_M!$B$1:$BZ$1,0),FALSE)),VLOOKUP($A189,Haver_M!$B$1:$BZ$300,MATCH(data!BM$1,Haver_M!$B$1:$BZ$1,0),FALSE),"")</f>
        <v>99.102099319999994</v>
      </c>
      <c r="BN189" t="str">
        <f>IF(ISNUMBER(VLOOKUP($A189,Haver_M!$B$1:$BZ$300,MATCH(data!BN$1,Haver_M!$B$1:$BZ$1,0),FALSE)),VLOOKUP($A189,Haver_M!$B$1:$BZ$300,MATCH(data!BN$1,Haver_M!$B$1:$BZ$1,0),FALSE),"")</f>
        <v/>
      </c>
      <c r="BO189" t="str">
        <f>IF(ISNUMBER(VLOOKUP($A189,Haver_M!$B$1:$BZ$300,MATCH(data!BO$1,Haver_M!$B$1:$BZ$1,0),FALSE)),VLOOKUP($A189,Haver_M!$B$1:$BZ$300,MATCH(data!BO$1,Haver_M!$B$1:$BZ$1,0),FALSE),"")</f>
        <v/>
      </c>
      <c r="BP189" t="str">
        <f>IF(ISNUMBER(VLOOKUP($A189,Haver_M!$B$1:$BZ$300,MATCH(data!BP$1,Haver_M!$B$1:$BZ$1,0),FALSE)),VLOOKUP($A189,Haver_M!$B$1:$BZ$300,MATCH(data!BP$1,Haver_M!$B$1:$BZ$1,0),FALSE),"")</f>
        <v/>
      </c>
      <c r="BQ189">
        <f>IF(ISNUMBER(VLOOKUP($A189,Haver_M!$B$1:$BZ$300,MATCH(data!BQ$1,Haver_M!$B$1:$BZ$1,0),FALSE)),VLOOKUP($A189,Haver_M!$B$1:$BZ$300,MATCH(data!BQ$1,Haver_M!$B$1:$BZ$1,0),FALSE),"")</f>
        <v>189.46233650877562</v>
      </c>
      <c r="BR189">
        <f>IF(ISNUMBER(VLOOKUP($A189,Haver_M!$B$1:$BZ$300,MATCH(data!BR$1,Haver_M!$B$1:$BZ$1,0),FALSE)),VLOOKUP($A189,Haver_M!$B$1:$BZ$300,MATCH(data!BR$1,Haver_M!$B$1:$BZ$1,0),FALSE),"")</f>
        <v>403.20535773286025</v>
      </c>
      <c r="BS189">
        <f>IF(ISNUMBER(VLOOKUP($A189,Haver_M!$B$1:$BZ$300,MATCH(data!BS$1,Haver_M!$B$1:$BZ$1,0),FALSE)),VLOOKUP($A189,Haver_M!$B$1:$BZ$300,MATCH(data!BS$1,Haver_M!$B$1:$BZ$1,0),FALSE),"")</f>
        <v>213.69814805992721</v>
      </c>
      <c r="BT189">
        <f>IF(ISNUMBER(VLOOKUP($A189,Haver_M!$B$1:$BZ$300,MATCH(data!BT$1,Haver_M!$B$1:$BZ$1,0),FALSE)),VLOOKUP($A189,Haver_M!$B$1:$BZ$300,MATCH(data!BT$1,Haver_M!$B$1:$BZ$1,0),FALSE),"")</f>
        <v>930.50161128467869</v>
      </c>
      <c r="BU189">
        <f>IF(ISNUMBER(VLOOKUP($A189,Haver_M!$B$1:$BZ$300,MATCH(data!BU$1,Haver_M!$B$1:$BZ$1,0),FALSE)),VLOOKUP($A189,Haver_M!$B$1:$BZ$300,MATCH(data!BU$1,Haver_M!$B$1:$BZ$1,0),FALSE),"")</f>
        <v>21582.68</v>
      </c>
      <c r="BV189">
        <f>IF(ISNUMBER(VLOOKUP($A189,Haver_M!$B$1:$BZ$300,MATCH(data!BV$1,Haver_M!$B$1:$BZ$1,0),FALSE)),VLOOKUP($A189,Haver_M!$B$1:$BZ$300,MATCH(data!BV$1,Haver_M!$B$1:$BZ$1,0),FALSE),"")</f>
        <v>33981.730000000003</v>
      </c>
      <c r="BW189">
        <f>IF(ISNUMBER(VLOOKUP($A189,Haver_M!$B$1:$BZ$300,MATCH(data!BW$1,Haver_M!$B$1:$BZ$1,0),FALSE)),VLOOKUP($A189,Haver_M!$B$1:$BZ$300,MATCH(data!BW$1,Haver_M!$B$1:$BZ$1,0),FALSE),"")</f>
        <v>65.072299999999998</v>
      </c>
      <c r="BX189">
        <f>IF(ISNUMBER(VLOOKUP($A189,Haver_M!$B$1:$BZ$300,MATCH(data!BX$1,Haver_M!$B$1:$BZ$1,0),FALSE)),VLOOKUP($A189,Haver_M!$B$1:$BZ$300,MATCH(data!BX$1,Haver_M!$B$1:$BZ$1,0),FALSE),"")</f>
        <v>52132</v>
      </c>
    </row>
    <row r="190" spans="1:76" x14ac:dyDescent="0.25">
      <c r="A190" s="2">
        <v>42277</v>
      </c>
      <c r="B190">
        <f>IF(ISNUMBER(VLOOKUP($A190,Haver_Q!$B$1:$L$185,MATCH(data!B$1,Haver_Q!$B$1:$L$1,0),FALSE)),100*(VLOOKUP($A190,Haver_Q!$B$1:$L$185,MATCH(data!B$1,Haver_Q!$B$1:$L$1,0),FALSE)),"")</f>
        <v>8.3503161696597097</v>
      </c>
      <c r="C190">
        <f>IF(ISNUMBER(VLOOKUP($A190,Haver_Q!$B$1:$L$185,MATCH(data!C$1,Haver_Q!$B$1:$L$1,0),FALSE)),100*(VLOOKUP($A190,Haver_Q!$B$1:$L$185,MATCH(data!C$1,Haver_Q!$B$1:$L$1,0),FALSE)),"")</f>
        <v>5.4632600693121036</v>
      </c>
      <c r="D190">
        <f>IF(ISNUMBER(VLOOKUP($A190,Haver_Q!$B$1:$L$185,MATCH(data!D$1,Haver_Q!$B$1:$L$1,0),FALSE)),100*(VLOOKUP($A190,Haver_Q!$B$1:$L$185,MATCH(data!D$1,Haver_Q!$B$1:$L$1,0),FALSE)),"")</f>
        <v>27.329606041487953</v>
      </c>
      <c r="E190">
        <f>IF(ISNUMBER(VLOOKUP($A190,Haver_Q!$B$1:$L$185,MATCH(data!E$1,Haver_Q!$B$1:$L$1,0),FALSE)),100*(VLOOKUP($A190,Haver_Q!$B$1:$L$185,MATCH(data!E$1,Haver_Q!$B$1:$L$1,0),FALSE)),"")</f>
        <v>8.8119575216528681</v>
      </c>
      <c r="F190">
        <f>IF(ISNUMBER(VLOOKUP($A190,Haver_Q!$B$1:$L$185,MATCH(data!F$1,Haver_Q!$B$1:$L$1,0),FALSE)),100*(VLOOKUP($A190,Haver_Q!$B$1:$L$185,MATCH(data!F$1,Haver_Q!$B$1:$L$1,0),FALSE)),"")</f>
        <v>-2.6169940366341682</v>
      </c>
      <c r="G190">
        <f>IF(ISNUMBER(VLOOKUP($A190,Haver_Q!$B$1:$L$185,MATCH(data!G$1,Haver_Q!$B$1:$L$1,0),FALSE)),100*(VLOOKUP($A190,Haver_Q!$B$1:$L$185,MATCH(data!G$1,Haver_Q!$B$1:$L$1,0),FALSE)),"")</f>
        <v>4.1593709052452743</v>
      </c>
      <c r="H190">
        <f>IF(ISNUMBER(VLOOKUP($A190,Haver_Q!$B$1:$L$185,MATCH(data!H$1,Haver_Q!$B$1:$L$1,0),FALSE)),(VLOOKUP($A190,Haver_Q!$B$1:$L$185,MATCH(data!H$1,Haver_Q!$B$1:$L$1,0),FALSE)),"")</f>
        <v>3.533877973287658</v>
      </c>
      <c r="I190">
        <f>IF(ISNUMBER(VLOOKUP($A190,Haver_Q!$B$1:$L$185,MATCH(data!I$1,Haver_Q!$B$1:$L$1,0),FALSE)),100*(VLOOKUP($A190,Haver_Q!$B$1:$L$185,MATCH(data!I$1,Haver_Q!$B$1:$L$1,0),FALSE)),"")</f>
        <v>8.0337844746905205</v>
      </c>
      <c r="J190" s="3">
        <f>IF(ISNUMBER(Bloomberg_m!C206),Bloomberg_m!C206,"")</f>
        <v>889</v>
      </c>
      <c r="K190" s="3">
        <f>IF(ISNUMBER(Bloomberg_m!D206),Bloomberg_m!D206,"")</f>
        <v>1261.01</v>
      </c>
      <c r="L190" s="3">
        <f>IF(ISNUMBER(Bloomberg_m!E206),Bloomberg_m!E206,"")</f>
        <v>646.69000000000005</v>
      </c>
      <c r="M190" s="3">
        <f>IF(ISNUMBER(Bloomberg_m!F206),Bloomberg_m!F206,"")</f>
        <v>463.08</v>
      </c>
      <c r="N190">
        <f>IF(ISNUMBER(VLOOKUP($A190,Haver_M!$B$1:$BZ$300,MATCH(data!N$1,Haver_M!$B$1:$BZ$1,0),FALSE)),VLOOKUP($A190,Haver_M!$B$1:$BZ$300,MATCH(data!N$1,Haver_M!$B$1:$BZ$1,0),FALSE),"")</f>
        <v>6.75</v>
      </c>
      <c r="O190">
        <f>IF(ISNUMBER(VLOOKUP($A190,Haver_M!$B$1:$BZ$300,MATCH(data!O$1,Haver_M!$B$1:$BZ$1,0),FALSE)),VLOOKUP($A190,Haver_M!$B$1:$BZ$300,MATCH(data!O$1,Haver_M!$B$1:$BZ$1,0),FALSE),"")</f>
        <v>7.53</v>
      </c>
      <c r="P190">
        <f>IF(ISNUMBER(VLOOKUP($A190,Haver_M!$B$1:$BZ$300,MATCH(data!P$1,Haver_M!$B$1:$BZ$1,0),FALSE)),VLOOKUP($A190,Haver_M!$B$1:$BZ$300,MATCH(data!P$1,Haver_M!$B$1:$BZ$1,0),FALSE),"")</f>
        <v>91.572540000000004</v>
      </c>
      <c r="Q190">
        <f>IF(ISNUMBER(VLOOKUP($A190,Haver_M!$B$1:$BZ$300,MATCH(data!Q$1,Haver_M!$B$1:$BZ$1,0),FALSE)),VLOOKUP($A190,Haver_M!$B$1:$BZ$300,MATCH(data!Q$1,Haver_M!$B$1:$BZ$1,0),FALSE),"")</f>
        <v>125.4</v>
      </c>
      <c r="R190">
        <f>IF(ISNUMBER(VLOOKUP($A190,Haver_M!$B$1:$BZ$300,MATCH(data!R$1,Haver_M!$B$1:$BZ$1,0),FALSE)),VLOOKUP($A190,Haver_M!$B$1:$BZ$300,MATCH(data!R$1,Haver_M!$B$1:$BZ$1,0),FALSE),"")</f>
        <v>122</v>
      </c>
      <c r="S190">
        <f>IF(ISNUMBER(VLOOKUP($A190,Haver_M!$B$1:$BZ$300,MATCH(data!S$1,Haver_M!$B$1:$BZ$1,0),FALSE)),VLOOKUP($A190,Haver_M!$B$1:$BZ$300,MATCH(data!S$1,Haver_M!$B$1:$BZ$1,0),FALSE),"")</f>
        <v>114.11</v>
      </c>
      <c r="T190">
        <f>IF(ISNUMBER(VLOOKUP($A190,Haver_M!$B$1:$BZ$300,MATCH(data!T$1,Haver_M!$B$1:$BZ$1,0),FALSE)),VLOOKUP($A190,Haver_M!$B$1:$BZ$300,MATCH(data!T$1,Haver_M!$B$1:$BZ$1,0),FALSE),"")</f>
        <v>113.18</v>
      </c>
      <c r="U190">
        <f>IF(ISNUMBER(VLOOKUP($A190,Haver_M!$B$1:$BZ$300,MATCH(data!U$1,Haver_M!$B$1:$BZ$1,0),FALSE)),VLOOKUP($A190,Haver_M!$B$1:$BZ$300,MATCH(data!U$1,Haver_M!$B$1:$BZ$1,0),FALSE),"")</f>
        <v>102.41</v>
      </c>
      <c r="V190">
        <f>IF(ISNUMBER(VLOOKUP($A190,Haver_M!$B$1:$BZ$300,MATCH(data!V$1,Haver_M!$B$1:$BZ$1,0),FALSE)),VLOOKUP($A190,Haver_M!$B$1:$BZ$300,MATCH(data!V$1,Haver_M!$B$1:$BZ$1,0),FALSE),"")</f>
        <v>118.86</v>
      </c>
      <c r="W190">
        <f>IF(ISNUMBER(VLOOKUP($A190,Haver_M!$B$1:$BZ$300,MATCH(data!W$1,Haver_M!$B$1:$BZ$1,0),FALSE)),VLOOKUP($A190,Haver_M!$B$1:$BZ$300,MATCH(data!W$1,Haver_M!$B$1:$BZ$1,0),FALSE),"")</f>
        <v>118.42</v>
      </c>
      <c r="X190">
        <f>IF(ISNUMBER(VLOOKUP($A190,Haver_M!$B$1:$BZ$300,MATCH(data!X$1,Haver_M!$B$1:$BZ$1,0),FALSE)),VLOOKUP($A190,Haver_M!$B$1:$BZ$300,MATCH(data!X$1,Haver_M!$B$1:$BZ$1,0),FALSE),"")</f>
        <v>115.43</v>
      </c>
      <c r="Y190">
        <f>IF(ISNUMBER(VLOOKUP($A190,Haver_M!$B$1:$BZ$300,MATCH(data!Y$1,Haver_M!$B$1:$BZ$1,0),FALSE)),VLOOKUP($A190,Haver_M!$B$1:$BZ$300,MATCH(data!Y$1,Haver_M!$B$1:$BZ$1,0),FALSE),"")</f>
        <v>114.55</v>
      </c>
      <c r="Z190">
        <f>IF(ISNUMBER(VLOOKUP($A190,Haver_M!$B$1:$BZ$300,MATCH(data!Z$1,Haver_M!$B$1:$BZ$1,0),FALSE)),VLOOKUP($A190,Haver_M!$B$1:$BZ$300,MATCH(data!Z$1,Haver_M!$B$1:$BZ$1,0),FALSE),"")</f>
        <v>115.1</v>
      </c>
      <c r="AA190">
        <f>IF(ISNUMBER(VLOOKUP($A190,Haver_M!$B$1:$BZ$300,MATCH(data!AA$1,Haver_M!$B$1:$BZ$1,0),FALSE)),VLOOKUP($A190,Haver_M!$B$1:$BZ$300,MATCH(data!AA$1,Haver_M!$B$1:$BZ$1,0),FALSE),"")</f>
        <v>120.40300000000001</v>
      </c>
      <c r="AB190">
        <f>IF(ISNUMBER(VLOOKUP($A190,Haver_M!$B$1:$BZ$300,MATCH(data!AB$1,Haver_M!$B$1:$BZ$1,0),FALSE)),VLOOKUP($A190,Haver_M!$B$1:$BZ$300,MATCH(data!AB$1,Haver_M!$B$1:$BZ$1,0),FALSE),"")</f>
        <v>98.126999999999995</v>
      </c>
      <c r="AC190">
        <f>IF(ISNUMBER(VLOOKUP($A190,Haver_M!$B$1:$BZ$300,MATCH(data!AC$1,Haver_M!$B$1:$BZ$1,0),FALSE)),VLOOKUP($A190,Haver_M!$B$1:$BZ$300,MATCH(data!AC$1,Haver_M!$B$1:$BZ$1,0),FALSE),"")</f>
        <v>69.938000000000002</v>
      </c>
      <c r="AD190">
        <f>IF(ISNUMBER(VLOOKUP($A190,Haver_M!$B$1:$BZ$300,MATCH(data!AD$1,Haver_M!$B$1:$BZ$1,0),FALSE)),VLOOKUP($A190,Haver_M!$B$1:$BZ$300,MATCH(data!AD$1,Haver_M!$B$1:$BZ$1,0),FALSE),"")</f>
        <v>111.56100000000001</v>
      </c>
      <c r="AE190">
        <f>IF(ISNUMBER(VLOOKUP($A190,Haver_M!$B$1:$BZ$300,MATCH(data!AE$1,Haver_M!$B$1:$BZ$1,0),FALSE)),VLOOKUP($A190,Haver_M!$B$1:$BZ$300,MATCH(data!AE$1,Haver_M!$B$1:$BZ$1,0),FALSE),"")</f>
        <v>107.374</v>
      </c>
      <c r="AF190">
        <f>IF(ISNUMBER(VLOOKUP($A190,Haver_M!$B$1:$BZ$300,MATCH(data!AF$1,Haver_M!$B$1:$BZ$1,0),FALSE)),VLOOKUP($A190,Haver_M!$B$1:$BZ$300,MATCH(data!AF$1,Haver_M!$B$1:$BZ$1,0),FALSE),"")</f>
        <v>119.854</v>
      </c>
      <c r="AG190">
        <f>IF(ISNUMBER(VLOOKUP($A190,Haver_M!$B$1:$BZ$300,MATCH(data!AG$1,Haver_M!$B$1:$BZ$1,0),FALSE)),VLOOKUP($A190,Haver_M!$B$1:$BZ$300,MATCH(data!AG$1,Haver_M!$B$1:$BZ$1,0),FALSE),"")</f>
        <v>119.631</v>
      </c>
      <c r="AH190">
        <f>IF(ISNUMBER(VLOOKUP($A190,Haver_M!$B$1:$BZ$300,MATCH(data!AH$1,Haver_M!$B$1:$BZ$1,0),FALSE)),VLOOKUP($A190,Haver_M!$B$1:$BZ$300,MATCH(data!AH$1,Haver_M!$B$1:$BZ$1,0),FALSE),"")</f>
        <v>136.91300000000001</v>
      </c>
      <c r="AI190">
        <f>IF(ISNUMBER(VLOOKUP($A190,Haver_M!$B$1:$BZ$300,MATCH(data!AI$1,Haver_M!$B$1:$BZ$1,0),FALSE)),VLOOKUP($A190,Haver_M!$B$1:$BZ$300,MATCH(data!AI$1,Haver_M!$B$1:$BZ$1,0),FALSE),"")</f>
        <v>16240.850960399452</v>
      </c>
      <c r="AJ190">
        <f>IF(ISNUMBER(VLOOKUP($A190,Haver_M!$B$1:$BZ$300,MATCH(data!AJ$1,Haver_M!$B$1:$BZ$1,0),FALSE)),VLOOKUP($A190,Haver_M!$B$1:$BZ$300,MATCH(data!AJ$1,Haver_M!$B$1:$BZ$1,0),FALSE),"")</f>
        <v>21157.99</v>
      </c>
      <c r="AK190">
        <f>IF(ISNUMBER(VLOOKUP($A190,Haver_M!$B$1:$BZ$300,MATCH(data!AK$1,Haver_M!$B$1:$BZ$1,0),FALSE)),VLOOKUP($A190,Haver_M!$B$1:$BZ$300,MATCH(data!AK$1,Haver_M!$B$1:$BZ$1,0),FALSE),"")</f>
        <v>31925.759999999998</v>
      </c>
      <c r="AL190">
        <f>IF(ISNUMBER(VLOOKUP($A190,Haver_M!$B$1:$BZ$300,MATCH(data!AL$1,Haver_M!$B$1:$BZ$1,0),FALSE)),VLOOKUP($A190,Haver_M!$B$1:$BZ$300,MATCH(data!AL$1,Haver_M!$B$1:$BZ$1,0),FALSE),"")</f>
        <v>13321</v>
      </c>
      <c r="AM190">
        <f>IF(ISNUMBER(VLOOKUP($A190,Haver_M!$B$1:$BZ$300,MATCH(data!AM$1,Haver_M!$B$1:$BZ$1,0),FALSE)),VLOOKUP($A190,Haver_M!$B$1:$BZ$300,MATCH(data!AM$1,Haver_M!$B$1:$BZ$1,0),FALSE),"")</f>
        <v>7457</v>
      </c>
      <c r="AN190">
        <f>IF(ISNUMBER(VLOOKUP($A190,Haver_M!$B$1:$BZ$300,MATCH(data!AN$1,Haver_M!$B$1:$BZ$1,0),FALSE)),VLOOKUP($A190,Haver_M!$B$1:$BZ$300,MATCH(data!AN$1,Haver_M!$B$1:$BZ$1,0),FALSE),"")</f>
        <v>102.9</v>
      </c>
      <c r="AO190">
        <f>IF(ISNUMBER(VLOOKUP($A190,Haver_M!$B$1:$BZ$300,MATCH(data!AO$1,Haver_M!$B$1:$BZ$1,0),FALSE)),VLOOKUP($A190,Haver_M!$B$1:$BZ$300,MATCH(data!AO$1,Haver_M!$B$1:$BZ$1,0),FALSE),"")</f>
        <v>119.2</v>
      </c>
      <c r="AP190">
        <f>IF(ISNUMBER(VLOOKUP($A190,Haver_M!$B$1:$BZ$300,MATCH(data!AP$1,Haver_M!$B$1:$BZ$1,0),FALSE)),VLOOKUP($A190,Haver_M!$B$1:$BZ$300,MATCH(data!AP$1,Haver_M!$B$1:$BZ$1,0),FALSE),"")</f>
        <v>73.58598570414793</v>
      </c>
      <c r="AQ190">
        <f>IF(ISNUMBER(VLOOKUP($A190,Haver_M!$B$1:$BZ$300,MATCH(data!AQ$1,Haver_M!$B$1:$BZ$1,0),FALSE)),VLOOKUP($A190,Haver_M!$B$1:$BZ$300,MATCH(data!AQ$1,Haver_M!$B$1:$BZ$1,0),FALSE),"")</f>
        <v>51.500100000000003</v>
      </c>
      <c r="AR190">
        <f>IF(ISNUMBER(VLOOKUP($A190,Haver_M!$B$1:$BZ$300,MATCH(data!AR$1,Haver_M!$B$1:$BZ$1,0),FALSE)),VLOOKUP($A190,Haver_M!$B$1:$BZ$300,MATCH(data!AR$1,Haver_M!$B$1:$BZ$1,0),FALSE),"")</f>
        <v>51.235799999999998</v>
      </c>
      <c r="AS190">
        <f>IF(ISNUMBER(VLOOKUP($A190,Haver_M!$B$1:$BZ$300,MATCH(data!AS$1,Haver_M!$B$1:$BZ$1,0),FALSE)),VLOOKUP($A190,Haver_M!$B$1:$BZ$300,MATCH(data!AS$1,Haver_M!$B$1:$BZ$1,0),FALSE),"")</f>
        <v>51.281700000000001</v>
      </c>
      <c r="AT190">
        <f>IF(ISNUMBER(VLOOKUP($A190,Haver_M!$B$1:$BZ$300,MATCH(data!AT$1,Haver_M!$B$1:$BZ$1,0),FALSE)),VLOOKUP($A190,Haver_M!$B$1:$BZ$300,MATCH(data!AT$1,Haver_M!$B$1:$BZ$1,0),FALSE),"")</f>
        <v>52.035200000000003</v>
      </c>
      <c r="AU190">
        <f>IF(ISNUMBER(VLOOKUP($A190,Haver_M!$B$1:$BZ$300,MATCH(data!AU$1,Haver_M!$B$1:$BZ$1,0),FALSE)),VLOOKUP($A190,Haver_M!$B$1:$BZ$300,MATCH(data!AU$1,Haver_M!$B$1:$BZ$1,0),FALSE),"")</f>
        <v>52.490400000000001</v>
      </c>
      <c r="AV190">
        <f>IF(ISNUMBER(VLOOKUP($A190,Haver_M!$B$1:$BZ$300,MATCH(data!AV$1,Haver_M!$B$1:$BZ$1,0),FALSE)),VLOOKUP($A190,Haver_M!$B$1:$BZ$300,MATCH(data!AV$1,Haver_M!$B$1:$BZ$1,0),FALSE),"")</f>
        <v>49.794699999999999</v>
      </c>
      <c r="AW190">
        <f>IF(ISNUMBER(VLOOKUP($A190,Haver_M!$B$1:$BZ$300,MATCH(data!AW$1,Haver_M!$B$1:$BZ$1,0),FALSE)),VLOOKUP($A190,Haver_M!$B$1:$BZ$300,MATCH(data!AW$1,Haver_M!$B$1:$BZ$1,0),FALSE),"")</f>
        <v>50.111499999999999</v>
      </c>
      <c r="AX190">
        <f>IF(ISNUMBER(VLOOKUP($A190,Haver_M!$B$1:$BZ$300,MATCH(data!AX$1,Haver_M!$B$1:$BZ$1,0),FALSE)),VLOOKUP($A190,Haver_M!$B$1:$BZ$300,MATCH(data!AX$1,Haver_M!$B$1:$BZ$1,0),FALSE),"")</f>
        <v>50.3767</v>
      </c>
      <c r="AY190">
        <f>IF(ISNUMBER(VLOOKUP($A190,Haver_M!$B$1:$BZ$300,MATCH(data!AY$1,Haver_M!$B$1:$BZ$1,0),FALSE)),VLOOKUP($A190,Haver_M!$B$1:$BZ$300,MATCH(data!AY$1,Haver_M!$B$1:$BZ$1,0),FALSE),"")</f>
        <v>47.895099999999999</v>
      </c>
      <c r="AZ190">
        <f>IF(ISNUMBER(VLOOKUP($A190,Haver_M!$B$1:$BZ$300,MATCH(data!AZ$1,Haver_M!$B$1:$BZ$1,0),FALSE)),VLOOKUP($A190,Haver_M!$B$1:$BZ$300,MATCH(data!AZ$1,Haver_M!$B$1:$BZ$1,0),FALSE),"")</f>
        <v>51.039000000000001</v>
      </c>
      <c r="BA190">
        <f>IF(ISNUMBER(VLOOKUP($A190,Haver_M!$B$1:$BZ$300,MATCH(data!BA$1,Haver_M!$B$1:$BZ$1,0),FALSE)),VLOOKUP($A190,Haver_M!$B$1:$BZ$300,MATCH(data!BA$1,Haver_M!$B$1:$BZ$1,0),FALSE),"")</f>
        <v>50.3767</v>
      </c>
      <c r="BB190">
        <f>IF(ISNUMBER(VLOOKUP($A190,Haver_M!$B$1:$BZ$300,MATCH(data!BB$1,Haver_M!$B$1:$BZ$1,0),FALSE)),VLOOKUP($A190,Haver_M!$B$1:$BZ$300,MATCH(data!BB$1,Haver_M!$B$1:$BZ$1,0),FALSE),"")</f>
        <v>50.418599999999998</v>
      </c>
      <c r="BC190">
        <f>IF(ISNUMBER(VLOOKUP($A190,Haver_M!$B$1:$BZ$300,MATCH(data!BC$1,Haver_M!$B$1:$BZ$1,0),FALSE)),VLOOKUP($A190,Haver_M!$B$1:$BZ$300,MATCH(data!BC$1,Haver_M!$B$1:$BZ$1,0),FALSE),"")</f>
        <v>48.835500000000003</v>
      </c>
      <c r="BD190">
        <f>IF(ISNUMBER(VLOOKUP($A190,Haver_M!$B$1:$BZ$300,MATCH(data!BD$1,Haver_M!$B$1:$BZ$1,0),FALSE)),VLOOKUP($A190,Haver_M!$B$1:$BZ$300,MATCH(data!BD$1,Haver_M!$B$1:$BZ$1,0),FALSE),"")</f>
        <v>48.394300000000001</v>
      </c>
      <c r="BE190">
        <f>IF(ISNUMBER(VLOOKUP($A190,Haver_M!$B$1:$BZ$300,MATCH(data!BE$1,Haver_M!$B$1:$BZ$1,0),FALSE)),VLOOKUP($A190,Haver_M!$B$1:$BZ$300,MATCH(data!BE$1,Haver_M!$B$1:$BZ$1,0),FALSE),"")</f>
        <v>1.1052999999999999</v>
      </c>
      <c r="BF190">
        <f>IF(ISNUMBER(VLOOKUP($A190,Haver_M!$B$1:$BZ$300,MATCH(data!BF$1,Haver_M!$B$1:$BZ$1,0),FALSE)),VLOOKUP($A190,Haver_M!$B$1:$BZ$300,MATCH(data!BF$1,Haver_M!$B$1:$BZ$1,0),FALSE),"")</f>
        <v>49.906100000000002</v>
      </c>
      <c r="BG190">
        <f>IF(ISNUMBER(VLOOKUP($A190,Haver_M!$B$1:$BZ$300,MATCH(data!BG$1,Haver_M!$B$1:$BZ$1,0),FALSE)),VLOOKUP($A190,Haver_M!$B$1:$BZ$300,MATCH(data!BG$1,Haver_M!$B$1:$BZ$1,0),FALSE),"")</f>
        <v>49.546399999999998</v>
      </c>
      <c r="BH190">
        <f>IF(ISNUMBER(VLOOKUP($A190,Haver_M!$B$1:$BZ$300,MATCH(data!BH$1,Haver_M!$B$1:$BZ$1,0),FALSE)),VLOOKUP($A190,Haver_M!$B$1:$BZ$300,MATCH(data!BH$1,Haver_M!$B$1:$BZ$1,0),FALSE),"")</f>
        <v>51.510599999999997</v>
      </c>
      <c r="BI190">
        <f>IF(ISNUMBER(VLOOKUP($A190,Haver_M!$B$1:$BZ$300,MATCH(data!BI$1,Haver_M!$B$1:$BZ$1,0),FALSE)),VLOOKUP($A190,Haver_M!$B$1:$BZ$300,MATCH(data!BI$1,Haver_M!$B$1:$BZ$1,0),FALSE),"")</f>
        <v>49.572299999999998</v>
      </c>
      <c r="BJ190">
        <f>IF(ISNUMBER(VLOOKUP($A190,Haver_M!$B$1:$BZ$300,MATCH(data!BJ$1,Haver_M!$B$1:$BZ$1,0),FALSE)),VLOOKUP($A190,Haver_M!$B$1:$BZ$300,MATCH(data!BJ$1,Haver_M!$B$1:$BZ$1,0),FALSE),"")</f>
        <v>51.476300000000002</v>
      </c>
      <c r="BK190">
        <f>IF(ISNUMBER(VLOOKUP($A190,Haver_M!$B$1:$BZ$300,MATCH(data!BK$1,Haver_M!$B$1:$BZ$1,0),FALSE)),VLOOKUP($A190,Haver_M!$B$1:$BZ$300,MATCH(data!BK$1,Haver_M!$B$1:$BZ$1,0),FALSE),"")</f>
        <v>49.121600000000001</v>
      </c>
      <c r="BL190">
        <f>IF(ISNUMBER(VLOOKUP($A190,Haver_M!$B$1:$BZ$300,MATCH(data!BL$1,Haver_M!$B$1:$BZ$1,0),FALSE)),VLOOKUP($A190,Haver_M!$B$1:$BZ$300,MATCH(data!BL$1,Haver_M!$B$1:$BZ$1,0),FALSE),"")</f>
        <v>25705.37</v>
      </c>
      <c r="BM190">
        <f>IF(ISNUMBER(VLOOKUP($A190,Haver_M!$B$1:$BZ$300,MATCH(data!BM$1,Haver_M!$B$1:$BZ$1,0),FALSE)),VLOOKUP($A190,Haver_M!$B$1:$BZ$300,MATCH(data!BM$1,Haver_M!$B$1:$BZ$1,0),FALSE),"")</f>
        <v>99.480964569999998</v>
      </c>
      <c r="BN190">
        <f>IF(ISNUMBER(VLOOKUP($A190,Haver_M!$B$1:$BZ$300,MATCH(data!BN$1,Haver_M!$B$1:$BZ$1,0),FALSE)),VLOOKUP($A190,Haver_M!$B$1:$BZ$300,MATCH(data!BN$1,Haver_M!$B$1:$BZ$1,0),FALSE),"")</f>
        <v>102.4</v>
      </c>
      <c r="BO190">
        <f>IF(ISNUMBER(VLOOKUP($A190,Haver_M!$B$1:$BZ$300,MATCH(data!BO$1,Haver_M!$B$1:$BZ$1,0),FALSE)),VLOOKUP($A190,Haver_M!$B$1:$BZ$300,MATCH(data!BO$1,Haver_M!$B$1:$BZ$1,0),FALSE),"")</f>
        <v>113.1</v>
      </c>
      <c r="BP190">
        <f>IF(ISNUMBER(VLOOKUP($A190,Haver_M!$B$1:$BZ$300,MATCH(data!BP$1,Haver_M!$B$1:$BZ$1,0),FALSE)),VLOOKUP($A190,Haver_M!$B$1:$BZ$300,MATCH(data!BP$1,Haver_M!$B$1:$BZ$1,0),FALSE),"")</f>
        <v>32</v>
      </c>
      <c r="BQ190">
        <f>IF(ISNUMBER(VLOOKUP($A190,Haver_M!$B$1:$BZ$300,MATCH(data!BQ$1,Haver_M!$B$1:$BZ$1,0),FALSE)),VLOOKUP($A190,Haver_M!$B$1:$BZ$300,MATCH(data!BQ$1,Haver_M!$B$1:$BZ$1,0),FALSE),"")</f>
        <v>189.47639456460348</v>
      </c>
      <c r="BR190">
        <f>IF(ISNUMBER(VLOOKUP($A190,Haver_M!$B$1:$BZ$300,MATCH(data!BR$1,Haver_M!$B$1:$BZ$1,0),FALSE)),VLOOKUP($A190,Haver_M!$B$1:$BZ$300,MATCH(data!BR$1,Haver_M!$B$1:$BZ$1,0),FALSE),"")</f>
        <v>397.06891500472682</v>
      </c>
      <c r="BS190">
        <f>IF(ISNUMBER(VLOOKUP($A190,Haver_M!$B$1:$BZ$300,MATCH(data!BS$1,Haver_M!$B$1:$BZ$1,0),FALSE)),VLOOKUP($A190,Haver_M!$B$1:$BZ$300,MATCH(data!BS$1,Haver_M!$B$1:$BZ$1,0),FALSE),"")</f>
        <v>211.6307095675181</v>
      </c>
      <c r="BT190">
        <f>IF(ISNUMBER(VLOOKUP($A190,Haver_M!$B$1:$BZ$300,MATCH(data!BT$1,Haver_M!$B$1:$BZ$1,0),FALSE)),VLOOKUP($A190,Haver_M!$B$1:$BZ$300,MATCH(data!BT$1,Haver_M!$B$1:$BZ$1,0),FALSE),"")</f>
        <v>920.99964058002536</v>
      </c>
      <c r="BU190">
        <f>IF(ISNUMBER(VLOOKUP($A190,Haver_M!$B$1:$BZ$300,MATCH(data!BU$1,Haver_M!$B$1:$BZ$1,0),FALSE)),VLOOKUP($A190,Haver_M!$B$1:$BZ$300,MATCH(data!BU$1,Haver_M!$B$1:$BZ$1,0),FALSE),"")</f>
        <v>21870.31</v>
      </c>
      <c r="BV190">
        <f>IF(ISNUMBER(VLOOKUP($A190,Haver_M!$B$1:$BZ$300,MATCH(data!BV$1,Haver_M!$B$1:$BZ$1,0),FALSE)),VLOOKUP($A190,Haver_M!$B$1:$BZ$300,MATCH(data!BV$1,Haver_M!$B$1:$BZ$1,0),FALSE),"")</f>
        <v>32036.45</v>
      </c>
      <c r="BW190">
        <f>IF(ISNUMBER(VLOOKUP($A190,Haver_M!$B$1:$BZ$300,MATCH(data!BW$1,Haver_M!$B$1:$BZ$1,0),FALSE)),VLOOKUP($A190,Haver_M!$B$1:$BZ$300,MATCH(data!BW$1,Haver_M!$B$1:$BZ$1,0),FALSE),"")</f>
        <v>66.217799999999997</v>
      </c>
      <c r="BX190">
        <f>IF(ISNUMBER(VLOOKUP($A190,Haver_M!$B$1:$BZ$300,MATCH(data!BX$1,Haver_M!$B$1:$BZ$1,0),FALSE)),VLOOKUP($A190,Haver_M!$B$1:$BZ$300,MATCH(data!BX$1,Haver_M!$B$1:$BZ$1,0),FALSE),"")</f>
        <v>47463</v>
      </c>
    </row>
    <row r="191" spans="1:76" x14ac:dyDescent="0.25">
      <c r="A191" s="2">
        <v>42308</v>
      </c>
      <c r="B191" t="str">
        <f>IF(ISNUMBER(VLOOKUP($A191,Haver_Q!$B$1:$L$185,MATCH(data!B$1,Haver_Q!$B$1:$L$1,0),FALSE)),100*(VLOOKUP($A191,Haver_Q!$B$1:$L$185,MATCH(data!B$1,Haver_Q!$B$1:$L$1,0),FALSE)),"")</f>
        <v/>
      </c>
      <c r="C191" t="str">
        <f>IF(ISNUMBER(VLOOKUP($A191,Haver_Q!$B$1:$L$185,MATCH(data!C$1,Haver_Q!$B$1:$L$1,0),FALSE)),100*(VLOOKUP($A191,Haver_Q!$B$1:$L$185,MATCH(data!C$1,Haver_Q!$B$1:$L$1,0),FALSE)),"")</f>
        <v/>
      </c>
      <c r="D191" t="str">
        <f>IF(ISNUMBER(VLOOKUP($A191,Haver_Q!$B$1:$L$185,MATCH(data!D$1,Haver_Q!$B$1:$L$1,0),FALSE)),100*(VLOOKUP($A191,Haver_Q!$B$1:$L$185,MATCH(data!D$1,Haver_Q!$B$1:$L$1,0),FALSE)),"")</f>
        <v/>
      </c>
      <c r="E191" t="str">
        <f>IF(ISNUMBER(VLOOKUP($A191,Haver_Q!$B$1:$L$185,MATCH(data!E$1,Haver_Q!$B$1:$L$1,0),FALSE)),100*(VLOOKUP($A191,Haver_Q!$B$1:$L$185,MATCH(data!E$1,Haver_Q!$B$1:$L$1,0),FALSE)),"")</f>
        <v/>
      </c>
      <c r="F191" t="str">
        <f>IF(ISNUMBER(VLOOKUP($A191,Haver_Q!$B$1:$L$185,MATCH(data!F$1,Haver_Q!$B$1:$L$1,0),FALSE)),100*(VLOOKUP($A191,Haver_Q!$B$1:$L$185,MATCH(data!F$1,Haver_Q!$B$1:$L$1,0),FALSE)),"")</f>
        <v/>
      </c>
      <c r="G191" t="str">
        <f>IF(ISNUMBER(VLOOKUP($A191,Haver_Q!$B$1:$L$185,MATCH(data!G$1,Haver_Q!$B$1:$L$1,0),FALSE)),100*(VLOOKUP($A191,Haver_Q!$B$1:$L$185,MATCH(data!G$1,Haver_Q!$B$1:$L$1,0),FALSE)),"")</f>
        <v/>
      </c>
      <c r="H191" t="str">
        <f>IF(ISNUMBER(VLOOKUP($A191,Haver_Q!$B$1:$L$185,MATCH(data!H$1,Haver_Q!$B$1:$L$1,0),FALSE)),(VLOOKUP($A191,Haver_Q!$B$1:$L$185,MATCH(data!H$1,Haver_Q!$B$1:$L$1,0),FALSE)),"")</f>
        <v/>
      </c>
      <c r="I191" t="str">
        <f>IF(ISNUMBER(VLOOKUP($A191,Haver_Q!$B$1:$L$185,MATCH(data!I$1,Haver_Q!$B$1:$L$1,0),FALSE)),100*(VLOOKUP($A191,Haver_Q!$B$1:$L$185,MATCH(data!I$1,Haver_Q!$B$1:$L$1,0),FALSE)),"")</f>
        <v/>
      </c>
      <c r="J191" s="3">
        <f>IF(ISNUMBER(Bloomberg_m!C207),Bloomberg_m!C207,"")</f>
        <v>793</v>
      </c>
      <c r="K191" s="3">
        <f>IF(ISNUMBER(Bloomberg_m!D207),Bloomberg_m!D207,"")</f>
        <v>959.45</v>
      </c>
      <c r="L191" s="3">
        <f>IF(ISNUMBER(Bloomberg_m!E207),Bloomberg_m!E207,"")</f>
        <v>599.84</v>
      </c>
      <c r="M191" s="3">
        <f>IF(ISNUMBER(Bloomberg_m!F207),Bloomberg_m!F207,"")</f>
        <v>471.94</v>
      </c>
      <c r="N191">
        <f>IF(ISNUMBER(VLOOKUP($A191,Haver_M!$B$1:$BZ$300,MATCH(data!N$1,Haver_M!$B$1:$BZ$1,0),FALSE)),VLOOKUP($A191,Haver_M!$B$1:$BZ$300,MATCH(data!N$1,Haver_M!$B$1:$BZ$1,0),FALSE),"")</f>
        <v>6.75</v>
      </c>
      <c r="O191">
        <f>IF(ISNUMBER(VLOOKUP($A191,Haver_M!$B$1:$BZ$300,MATCH(data!O$1,Haver_M!$B$1:$BZ$1,0),FALSE)),VLOOKUP($A191,Haver_M!$B$1:$BZ$300,MATCH(data!O$1,Haver_M!$B$1:$BZ$1,0),FALSE),"")</f>
        <v>7.9202000000000004</v>
      </c>
      <c r="P191">
        <f>IF(ISNUMBER(VLOOKUP($A191,Haver_M!$B$1:$BZ$300,MATCH(data!P$1,Haver_M!$B$1:$BZ$1,0),FALSE)),VLOOKUP($A191,Haver_M!$B$1:$BZ$300,MATCH(data!P$1,Haver_M!$B$1:$BZ$1,0),FALSE),"")</f>
        <v>93.325000000000003</v>
      </c>
      <c r="Q191">
        <f>IF(ISNUMBER(VLOOKUP($A191,Haver_M!$B$1:$BZ$300,MATCH(data!Q$1,Haver_M!$B$1:$BZ$1,0),FALSE)),VLOOKUP($A191,Haver_M!$B$1:$BZ$300,MATCH(data!Q$1,Haver_M!$B$1:$BZ$1,0),FALSE),"")</f>
        <v>126.1</v>
      </c>
      <c r="R191">
        <f>IF(ISNUMBER(VLOOKUP($A191,Haver_M!$B$1:$BZ$300,MATCH(data!R$1,Haver_M!$B$1:$BZ$1,0),FALSE)),VLOOKUP($A191,Haver_M!$B$1:$BZ$300,MATCH(data!R$1,Haver_M!$B$1:$BZ$1,0),FALSE),"")</f>
        <v>122.6</v>
      </c>
      <c r="S191">
        <f>IF(ISNUMBER(VLOOKUP($A191,Haver_M!$B$1:$BZ$300,MATCH(data!S$1,Haver_M!$B$1:$BZ$1,0),FALSE)),VLOOKUP($A191,Haver_M!$B$1:$BZ$300,MATCH(data!S$1,Haver_M!$B$1:$BZ$1,0),FALSE),"")</f>
        <v>115.18</v>
      </c>
      <c r="T191">
        <f>IF(ISNUMBER(VLOOKUP($A191,Haver_M!$B$1:$BZ$300,MATCH(data!T$1,Haver_M!$B$1:$BZ$1,0),FALSE)),VLOOKUP($A191,Haver_M!$B$1:$BZ$300,MATCH(data!T$1,Haver_M!$B$1:$BZ$1,0),FALSE),"")</f>
        <v>112.62</v>
      </c>
      <c r="U191">
        <f>IF(ISNUMBER(VLOOKUP($A191,Haver_M!$B$1:$BZ$300,MATCH(data!U$1,Haver_M!$B$1:$BZ$1,0),FALSE)),VLOOKUP($A191,Haver_M!$B$1:$BZ$300,MATCH(data!U$1,Haver_M!$B$1:$BZ$1,0),FALSE),"")</f>
        <v>101.86</v>
      </c>
      <c r="V191">
        <f>IF(ISNUMBER(VLOOKUP($A191,Haver_M!$B$1:$BZ$300,MATCH(data!V$1,Haver_M!$B$1:$BZ$1,0),FALSE)),VLOOKUP($A191,Haver_M!$B$1:$BZ$300,MATCH(data!V$1,Haver_M!$B$1:$BZ$1,0),FALSE),"")</f>
        <v>117.86</v>
      </c>
      <c r="W191">
        <f>IF(ISNUMBER(VLOOKUP($A191,Haver_M!$B$1:$BZ$300,MATCH(data!W$1,Haver_M!$B$1:$BZ$1,0),FALSE)),VLOOKUP($A191,Haver_M!$B$1:$BZ$300,MATCH(data!W$1,Haver_M!$B$1:$BZ$1,0),FALSE),"")</f>
        <v>118.35</v>
      </c>
      <c r="X191">
        <f>IF(ISNUMBER(VLOOKUP($A191,Haver_M!$B$1:$BZ$300,MATCH(data!X$1,Haver_M!$B$1:$BZ$1,0),FALSE)),VLOOKUP($A191,Haver_M!$B$1:$BZ$300,MATCH(data!X$1,Haver_M!$B$1:$BZ$1,0),FALSE),"")</f>
        <v>118.07</v>
      </c>
      <c r="Y191">
        <f>IF(ISNUMBER(VLOOKUP($A191,Haver_M!$B$1:$BZ$300,MATCH(data!Y$1,Haver_M!$B$1:$BZ$1,0),FALSE)),VLOOKUP($A191,Haver_M!$B$1:$BZ$300,MATCH(data!Y$1,Haver_M!$B$1:$BZ$1,0),FALSE),"")</f>
        <v>118.9</v>
      </c>
      <c r="Z191">
        <f>IF(ISNUMBER(VLOOKUP($A191,Haver_M!$B$1:$BZ$300,MATCH(data!Z$1,Haver_M!$B$1:$BZ$1,0),FALSE)),VLOOKUP($A191,Haver_M!$B$1:$BZ$300,MATCH(data!Z$1,Haver_M!$B$1:$BZ$1,0),FALSE),"")</f>
        <v>113.3</v>
      </c>
      <c r="AA191">
        <f>IF(ISNUMBER(VLOOKUP($A191,Haver_M!$B$1:$BZ$300,MATCH(data!AA$1,Haver_M!$B$1:$BZ$1,0),FALSE)),VLOOKUP($A191,Haver_M!$B$1:$BZ$300,MATCH(data!AA$1,Haver_M!$B$1:$BZ$1,0),FALSE),"")</f>
        <v>120.476</v>
      </c>
      <c r="AB191">
        <f>IF(ISNUMBER(VLOOKUP($A191,Haver_M!$B$1:$BZ$300,MATCH(data!AB$1,Haver_M!$B$1:$BZ$1,0),FALSE)),VLOOKUP($A191,Haver_M!$B$1:$BZ$300,MATCH(data!AB$1,Haver_M!$B$1:$BZ$1,0),FALSE),"")</f>
        <v>97.706999999999994</v>
      </c>
      <c r="AC191">
        <f>IF(ISNUMBER(VLOOKUP($A191,Haver_M!$B$1:$BZ$300,MATCH(data!AC$1,Haver_M!$B$1:$BZ$1,0),FALSE)),VLOOKUP($A191,Haver_M!$B$1:$BZ$300,MATCH(data!AC$1,Haver_M!$B$1:$BZ$1,0),FALSE),"")</f>
        <v>68.757999999999996</v>
      </c>
      <c r="AD191">
        <f>IF(ISNUMBER(VLOOKUP($A191,Haver_M!$B$1:$BZ$300,MATCH(data!AD$1,Haver_M!$B$1:$BZ$1,0),FALSE)),VLOOKUP($A191,Haver_M!$B$1:$BZ$300,MATCH(data!AD$1,Haver_M!$B$1:$BZ$1,0),FALSE),"")</f>
        <v>106.893</v>
      </c>
      <c r="AE191">
        <f>IF(ISNUMBER(VLOOKUP($A191,Haver_M!$B$1:$BZ$300,MATCH(data!AE$1,Haver_M!$B$1:$BZ$1,0),FALSE)),VLOOKUP($A191,Haver_M!$B$1:$BZ$300,MATCH(data!AE$1,Haver_M!$B$1:$BZ$1,0),FALSE),"")</f>
        <v>103.446</v>
      </c>
      <c r="AF191">
        <f>IF(ISNUMBER(VLOOKUP($A191,Haver_M!$B$1:$BZ$300,MATCH(data!AF$1,Haver_M!$B$1:$BZ$1,0),FALSE)),VLOOKUP($A191,Haver_M!$B$1:$BZ$300,MATCH(data!AF$1,Haver_M!$B$1:$BZ$1,0),FALSE),"")</f>
        <v>117.422</v>
      </c>
      <c r="AG191">
        <f>IF(ISNUMBER(VLOOKUP($A191,Haver_M!$B$1:$BZ$300,MATCH(data!AG$1,Haver_M!$B$1:$BZ$1,0),FALSE)),VLOOKUP($A191,Haver_M!$B$1:$BZ$300,MATCH(data!AG$1,Haver_M!$B$1:$BZ$1,0),FALSE),"")</f>
        <v>120.672</v>
      </c>
      <c r="AH191">
        <f>IF(ISNUMBER(VLOOKUP($A191,Haver_M!$B$1:$BZ$300,MATCH(data!AH$1,Haver_M!$B$1:$BZ$1,0),FALSE)),VLOOKUP($A191,Haver_M!$B$1:$BZ$300,MATCH(data!AH$1,Haver_M!$B$1:$BZ$1,0),FALSE),"")</f>
        <v>136.40799999999999</v>
      </c>
      <c r="AI191">
        <f>IF(ISNUMBER(VLOOKUP($A191,Haver_M!$B$1:$BZ$300,MATCH(data!AI$1,Haver_M!$B$1:$BZ$1,0),FALSE)),VLOOKUP($A191,Haver_M!$B$1:$BZ$300,MATCH(data!AI$1,Haver_M!$B$1:$BZ$1,0),FALSE),"")</f>
        <v>15432.827311073774</v>
      </c>
      <c r="AJ191">
        <f>IF(ISNUMBER(VLOOKUP($A191,Haver_M!$B$1:$BZ$300,MATCH(data!AJ$1,Haver_M!$B$1:$BZ$1,0),FALSE)),VLOOKUP($A191,Haver_M!$B$1:$BZ$300,MATCH(data!AJ$1,Haver_M!$B$1:$BZ$1,0),FALSE),"")</f>
        <v>21474.45</v>
      </c>
      <c r="AK191">
        <f>IF(ISNUMBER(VLOOKUP($A191,Haver_M!$B$1:$BZ$300,MATCH(data!AK$1,Haver_M!$B$1:$BZ$1,0),FALSE)),VLOOKUP($A191,Haver_M!$B$1:$BZ$300,MATCH(data!AK$1,Haver_M!$B$1:$BZ$1,0),FALSE),"")</f>
        <v>30130.69</v>
      </c>
      <c r="AL191">
        <f>IF(ISNUMBER(VLOOKUP($A191,Haver_M!$B$1:$BZ$300,MATCH(data!AL$1,Haver_M!$B$1:$BZ$1,0),FALSE)),VLOOKUP($A191,Haver_M!$B$1:$BZ$300,MATCH(data!AL$1,Haver_M!$B$1:$BZ$1,0),FALSE),"")</f>
        <v>13344</v>
      </c>
      <c r="AM191">
        <f>IF(ISNUMBER(VLOOKUP($A191,Haver_M!$B$1:$BZ$300,MATCH(data!AM$1,Haver_M!$B$1:$BZ$1,0),FALSE)),VLOOKUP($A191,Haver_M!$B$1:$BZ$300,MATCH(data!AM$1,Haver_M!$B$1:$BZ$1,0),FALSE),"")</f>
        <v>7013</v>
      </c>
      <c r="AN191" t="str">
        <f>IF(ISNUMBER(VLOOKUP($A191,Haver_M!$B$1:$BZ$300,MATCH(data!AN$1,Haver_M!$B$1:$BZ$1,0),FALSE)),VLOOKUP($A191,Haver_M!$B$1:$BZ$300,MATCH(data!AN$1,Haver_M!$B$1:$BZ$1,0),FALSE),"")</f>
        <v/>
      </c>
      <c r="AO191" t="str">
        <f>IF(ISNUMBER(VLOOKUP($A191,Haver_M!$B$1:$BZ$300,MATCH(data!AO$1,Haver_M!$B$1:$BZ$1,0),FALSE)),VLOOKUP($A191,Haver_M!$B$1:$BZ$300,MATCH(data!AO$1,Haver_M!$B$1:$BZ$1,0),FALSE),"")</f>
        <v/>
      </c>
      <c r="AP191">
        <f>IF(ISNUMBER(VLOOKUP($A191,Haver_M!$B$1:$BZ$300,MATCH(data!AP$1,Haver_M!$B$1:$BZ$1,0),FALSE)),VLOOKUP($A191,Haver_M!$B$1:$BZ$300,MATCH(data!AP$1,Haver_M!$B$1:$BZ$1,0),FALSE),"")</f>
        <v>54.531250985779394</v>
      </c>
      <c r="AQ191">
        <f>IF(ISNUMBER(VLOOKUP($A191,Haver_M!$B$1:$BZ$300,MATCH(data!AQ$1,Haver_M!$B$1:$BZ$1,0),FALSE)),VLOOKUP($A191,Haver_M!$B$1:$BZ$300,MATCH(data!AQ$1,Haver_M!$B$1:$BZ$1,0),FALSE),"")</f>
        <v>52.624499999999998</v>
      </c>
      <c r="AR191">
        <f>IF(ISNUMBER(VLOOKUP($A191,Haver_M!$B$1:$BZ$300,MATCH(data!AR$1,Haver_M!$B$1:$BZ$1,0),FALSE)),VLOOKUP($A191,Haver_M!$B$1:$BZ$300,MATCH(data!AR$1,Haver_M!$B$1:$BZ$1,0),FALSE),"")</f>
        <v>50.683300000000003</v>
      </c>
      <c r="AS191">
        <f>IF(ISNUMBER(VLOOKUP($A191,Haver_M!$B$1:$BZ$300,MATCH(data!AS$1,Haver_M!$B$1:$BZ$1,0),FALSE)),VLOOKUP($A191,Haver_M!$B$1:$BZ$300,MATCH(data!AS$1,Haver_M!$B$1:$BZ$1,0),FALSE),"")</f>
        <v>53.203000000000003</v>
      </c>
      <c r="AT191">
        <f>IF(ISNUMBER(VLOOKUP($A191,Haver_M!$B$1:$BZ$300,MATCH(data!AT$1,Haver_M!$B$1:$BZ$1,0),FALSE)),VLOOKUP($A191,Haver_M!$B$1:$BZ$300,MATCH(data!AT$1,Haver_M!$B$1:$BZ$1,0),FALSE),"")</f>
        <v>51.207099999999997</v>
      </c>
      <c r="AU191">
        <f>IF(ISNUMBER(VLOOKUP($A191,Haver_M!$B$1:$BZ$300,MATCH(data!AU$1,Haver_M!$B$1:$BZ$1,0),FALSE)),VLOOKUP($A191,Haver_M!$B$1:$BZ$300,MATCH(data!AU$1,Haver_M!$B$1:$BZ$1,0),FALSE),"")</f>
        <v>51.1526</v>
      </c>
      <c r="AV191">
        <f>IF(ISNUMBER(VLOOKUP($A191,Haver_M!$B$1:$BZ$300,MATCH(data!AV$1,Haver_M!$B$1:$BZ$1,0),FALSE)),VLOOKUP($A191,Haver_M!$B$1:$BZ$300,MATCH(data!AV$1,Haver_M!$B$1:$BZ$1,0),FALSE),"")</f>
        <v>50.303600000000003</v>
      </c>
      <c r="AW191">
        <f>IF(ISNUMBER(VLOOKUP($A191,Haver_M!$B$1:$BZ$300,MATCH(data!AW$1,Haver_M!$B$1:$BZ$1,0),FALSE)),VLOOKUP($A191,Haver_M!$B$1:$BZ$300,MATCH(data!AW$1,Haver_M!$B$1:$BZ$1,0),FALSE),"")</f>
        <v>50.229199999999999</v>
      </c>
      <c r="AX191">
        <f>IF(ISNUMBER(VLOOKUP($A191,Haver_M!$B$1:$BZ$300,MATCH(data!AX$1,Haver_M!$B$1:$BZ$1,0),FALSE)),VLOOKUP($A191,Haver_M!$B$1:$BZ$300,MATCH(data!AX$1,Haver_M!$B$1:$BZ$1,0),FALSE),"")</f>
        <v>50.094099999999997</v>
      </c>
      <c r="AY191">
        <f>IF(ISNUMBER(VLOOKUP($A191,Haver_M!$B$1:$BZ$300,MATCH(data!AY$1,Haver_M!$B$1:$BZ$1,0),FALSE)),VLOOKUP($A191,Haver_M!$B$1:$BZ$300,MATCH(data!AY$1,Haver_M!$B$1:$BZ$1,0),FALSE),"")</f>
        <v>52.302599999999998</v>
      </c>
      <c r="AZ191">
        <f>IF(ISNUMBER(VLOOKUP($A191,Haver_M!$B$1:$BZ$300,MATCH(data!AZ$1,Haver_M!$B$1:$BZ$1,0),FALSE)),VLOOKUP($A191,Haver_M!$B$1:$BZ$300,MATCH(data!AZ$1,Haver_M!$B$1:$BZ$1,0),FALSE),"")</f>
        <v>50.8611</v>
      </c>
      <c r="BA191">
        <f>IF(ISNUMBER(VLOOKUP($A191,Haver_M!$B$1:$BZ$300,MATCH(data!BA$1,Haver_M!$B$1:$BZ$1,0),FALSE)),VLOOKUP($A191,Haver_M!$B$1:$BZ$300,MATCH(data!BA$1,Haver_M!$B$1:$BZ$1,0),FALSE),"")</f>
        <v>50.094099999999997</v>
      </c>
      <c r="BB191">
        <f>IF(ISNUMBER(VLOOKUP($A191,Haver_M!$B$1:$BZ$300,MATCH(data!BB$1,Haver_M!$B$1:$BZ$1,0),FALSE)),VLOOKUP($A191,Haver_M!$B$1:$BZ$300,MATCH(data!BB$1,Haver_M!$B$1:$BZ$1,0),FALSE),"")</f>
        <v>50.598100000000002</v>
      </c>
      <c r="BC191">
        <f>IF(ISNUMBER(VLOOKUP($A191,Haver_M!$B$1:$BZ$300,MATCH(data!BC$1,Haver_M!$B$1:$BZ$1,0),FALSE)),VLOOKUP($A191,Haver_M!$B$1:$BZ$300,MATCH(data!BC$1,Haver_M!$B$1:$BZ$1,0),FALSE),"")</f>
        <v>50.479300000000002</v>
      </c>
      <c r="BD191">
        <f>IF(ISNUMBER(VLOOKUP($A191,Haver_M!$B$1:$BZ$300,MATCH(data!BD$1,Haver_M!$B$1:$BZ$1,0),FALSE)),VLOOKUP($A191,Haver_M!$B$1:$BZ$300,MATCH(data!BD$1,Haver_M!$B$1:$BZ$1,0),FALSE),"")</f>
        <v>49.164200000000001</v>
      </c>
      <c r="BE191">
        <f>IF(ISNUMBER(VLOOKUP($A191,Haver_M!$B$1:$BZ$300,MATCH(data!BE$1,Haver_M!$B$1:$BZ$1,0),FALSE)),VLOOKUP($A191,Haver_M!$B$1:$BZ$300,MATCH(data!BE$1,Haver_M!$B$1:$BZ$1,0),FALSE),"")</f>
        <v>1.0846</v>
      </c>
      <c r="BF191">
        <f>IF(ISNUMBER(VLOOKUP($A191,Haver_M!$B$1:$BZ$300,MATCH(data!BF$1,Haver_M!$B$1:$BZ$1,0),FALSE)),VLOOKUP($A191,Haver_M!$B$1:$BZ$300,MATCH(data!BF$1,Haver_M!$B$1:$BZ$1,0),FALSE),"")</f>
        <v>50.009900000000002</v>
      </c>
      <c r="BG191">
        <f>IF(ISNUMBER(VLOOKUP($A191,Haver_M!$B$1:$BZ$300,MATCH(data!BG$1,Haver_M!$B$1:$BZ$1,0),FALSE)),VLOOKUP($A191,Haver_M!$B$1:$BZ$300,MATCH(data!BG$1,Haver_M!$B$1:$BZ$1,0),FALSE),"")</f>
        <v>49.553199999999997</v>
      </c>
      <c r="BH191">
        <f>IF(ISNUMBER(VLOOKUP($A191,Haver_M!$B$1:$BZ$300,MATCH(data!BH$1,Haver_M!$B$1:$BZ$1,0),FALSE)),VLOOKUP($A191,Haver_M!$B$1:$BZ$300,MATCH(data!BH$1,Haver_M!$B$1:$BZ$1,0),FALSE),"")</f>
        <v>54.032200000000003</v>
      </c>
      <c r="BI191">
        <f>IF(ISNUMBER(VLOOKUP($A191,Haver_M!$B$1:$BZ$300,MATCH(data!BI$1,Haver_M!$B$1:$BZ$1,0),FALSE)),VLOOKUP($A191,Haver_M!$B$1:$BZ$300,MATCH(data!BI$1,Haver_M!$B$1:$BZ$1,0),FALSE),"")</f>
        <v>50.904699999999998</v>
      </c>
      <c r="BJ191">
        <f>IF(ISNUMBER(VLOOKUP($A191,Haver_M!$B$1:$BZ$300,MATCH(data!BJ$1,Haver_M!$B$1:$BZ$1,0),FALSE)),VLOOKUP($A191,Haver_M!$B$1:$BZ$300,MATCH(data!BJ$1,Haver_M!$B$1:$BZ$1,0),FALSE),"")</f>
        <v>50.402999999999999</v>
      </c>
      <c r="BK191">
        <f>IF(ISNUMBER(VLOOKUP($A191,Haver_M!$B$1:$BZ$300,MATCH(data!BK$1,Haver_M!$B$1:$BZ$1,0),FALSE)),VLOOKUP($A191,Haver_M!$B$1:$BZ$300,MATCH(data!BK$1,Haver_M!$B$1:$BZ$1,0),FALSE),"")</f>
        <v>50.103000000000002</v>
      </c>
      <c r="BL191">
        <f>IF(ISNUMBER(VLOOKUP($A191,Haver_M!$B$1:$BZ$300,MATCH(data!BL$1,Haver_M!$B$1:$BZ$1,0),FALSE)),VLOOKUP($A191,Haver_M!$B$1:$BZ$300,MATCH(data!BL$1,Haver_M!$B$1:$BZ$1,0),FALSE),"")</f>
        <v>27011.8</v>
      </c>
      <c r="BM191">
        <f>IF(ISNUMBER(VLOOKUP($A191,Haver_M!$B$1:$BZ$300,MATCH(data!BM$1,Haver_M!$B$1:$BZ$1,0),FALSE)),VLOOKUP($A191,Haver_M!$B$1:$BZ$300,MATCH(data!BM$1,Haver_M!$B$1:$BZ$1,0),FALSE),"")</f>
        <v>99.660225490000002</v>
      </c>
      <c r="BN191" t="str">
        <f>IF(ISNUMBER(VLOOKUP($A191,Haver_M!$B$1:$BZ$300,MATCH(data!BN$1,Haver_M!$B$1:$BZ$1,0),FALSE)),VLOOKUP($A191,Haver_M!$B$1:$BZ$300,MATCH(data!BN$1,Haver_M!$B$1:$BZ$1,0),FALSE),"")</f>
        <v/>
      </c>
      <c r="BO191" t="str">
        <f>IF(ISNUMBER(VLOOKUP($A191,Haver_M!$B$1:$BZ$300,MATCH(data!BO$1,Haver_M!$B$1:$BZ$1,0),FALSE)),VLOOKUP($A191,Haver_M!$B$1:$BZ$300,MATCH(data!BO$1,Haver_M!$B$1:$BZ$1,0),FALSE),"")</f>
        <v/>
      </c>
      <c r="BP191" t="str">
        <f>IF(ISNUMBER(VLOOKUP($A191,Haver_M!$B$1:$BZ$300,MATCH(data!BP$1,Haver_M!$B$1:$BZ$1,0),FALSE)),VLOOKUP($A191,Haver_M!$B$1:$BZ$300,MATCH(data!BP$1,Haver_M!$B$1:$BZ$1,0),FALSE),"")</f>
        <v/>
      </c>
      <c r="BQ191">
        <f>IF(ISNUMBER(VLOOKUP($A191,Haver_M!$B$1:$BZ$300,MATCH(data!BQ$1,Haver_M!$B$1:$BZ$1,0),FALSE)),VLOOKUP($A191,Haver_M!$B$1:$BZ$300,MATCH(data!BQ$1,Haver_M!$B$1:$BZ$1,0),FALSE),"")</f>
        <v>197.61597343908511</v>
      </c>
      <c r="BR191">
        <f>IF(ISNUMBER(VLOOKUP($A191,Haver_M!$B$1:$BZ$300,MATCH(data!BR$1,Haver_M!$B$1:$BZ$1,0),FALSE)),VLOOKUP($A191,Haver_M!$B$1:$BZ$300,MATCH(data!BR$1,Haver_M!$B$1:$BZ$1,0),FALSE),"")</f>
        <v>407.42414460942541</v>
      </c>
      <c r="BS191">
        <f>IF(ISNUMBER(VLOOKUP($A191,Haver_M!$B$1:$BZ$300,MATCH(data!BS$1,Haver_M!$B$1:$BZ$1,0),FALSE)),VLOOKUP($A191,Haver_M!$B$1:$BZ$300,MATCH(data!BS$1,Haver_M!$B$1:$BZ$1,0),FALSE),"")</f>
        <v>222.92123950936084</v>
      </c>
      <c r="BT191">
        <f>IF(ISNUMBER(VLOOKUP($A191,Haver_M!$B$1:$BZ$300,MATCH(data!BT$1,Haver_M!$B$1:$BZ$1,0),FALSE)),VLOOKUP($A191,Haver_M!$B$1:$BZ$300,MATCH(data!BT$1,Haver_M!$B$1:$BZ$1,0),FALSE),"")</f>
        <v>954.49153063420317</v>
      </c>
      <c r="BU191">
        <f>IF(ISNUMBER(VLOOKUP($A191,Haver_M!$B$1:$BZ$300,MATCH(data!BU$1,Haver_M!$B$1:$BZ$1,0),FALSE)),VLOOKUP($A191,Haver_M!$B$1:$BZ$300,MATCH(data!BU$1,Haver_M!$B$1:$BZ$1,0),FALSE),"")</f>
        <v>21456.11</v>
      </c>
      <c r="BV191">
        <f>IF(ISNUMBER(VLOOKUP($A191,Haver_M!$B$1:$BZ$300,MATCH(data!BV$1,Haver_M!$B$1:$BZ$1,0),FALSE)),VLOOKUP($A191,Haver_M!$B$1:$BZ$300,MATCH(data!BV$1,Haver_M!$B$1:$BZ$1,0),FALSE),"")</f>
        <v>31148.33</v>
      </c>
      <c r="BW191">
        <f>IF(ISNUMBER(VLOOKUP($A191,Haver_M!$B$1:$BZ$300,MATCH(data!BW$1,Haver_M!$B$1:$BZ$1,0),FALSE)),VLOOKUP($A191,Haver_M!$B$1:$BZ$300,MATCH(data!BW$1,Haver_M!$B$1:$BZ$1,0),FALSE),"")</f>
        <v>65.058000000000007</v>
      </c>
      <c r="BX191">
        <f>IF(ISNUMBER(VLOOKUP($A191,Haver_M!$B$1:$BZ$300,MATCH(data!BX$1,Haver_M!$B$1:$BZ$1,0),FALSE)),VLOOKUP($A191,Haver_M!$B$1:$BZ$300,MATCH(data!BX$1,Haver_M!$B$1:$BZ$1,0),FALSE),"")</f>
        <v>55878</v>
      </c>
    </row>
    <row r="192" spans="1:76" x14ac:dyDescent="0.25">
      <c r="A192" s="2">
        <v>42338</v>
      </c>
      <c r="B192" t="str">
        <f>IF(ISNUMBER(VLOOKUP($A192,Haver_Q!$B$1:$L$185,MATCH(data!B$1,Haver_Q!$B$1:$L$1,0),FALSE)),100*(VLOOKUP($A192,Haver_Q!$B$1:$L$185,MATCH(data!B$1,Haver_Q!$B$1:$L$1,0),FALSE)),"")</f>
        <v/>
      </c>
      <c r="C192" t="str">
        <f>IF(ISNUMBER(VLOOKUP($A192,Haver_Q!$B$1:$L$185,MATCH(data!C$1,Haver_Q!$B$1:$L$1,0),FALSE)),100*(VLOOKUP($A192,Haver_Q!$B$1:$L$185,MATCH(data!C$1,Haver_Q!$B$1:$L$1,0),FALSE)),"")</f>
        <v/>
      </c>
      <c r="D192" t="str">
        <f>IF(ISNUMBER(VLOOKUP($A192,Haver_Q!$B$1:$L$185,MATCH(data!D$1,Haver_Q!$B$1:$L$1,0),FALSE)),100*(VLOOKUP($A192,Haver_Q!$B$1:$L$185,MATCH(data!D$1,Haver_Q!$B$1:$L$1,0),FALSE)),"")</f>
        <v/>
      </c>
      <c r="E192" t="str">
        <f>IF(ISNUMBER(VLOOKUP($A192,Haver_Q!$B$1:$L$185,MATCH(data!E$1,Haver_Q!$B$1:$L$1,0),FALSE)),100*(VLOOKUP($A192,Haver_Q!$B$1:$L$185,MATCH(data!E$1,Haver_Q!$B$1:$L$1,0),FALSE)),"")</f>
        <v/>
      </c>
      <c r="F192" t="str">
        <f>IF(ISNUMBER(VLOOKUP($A192,Haver_Q!$B$1:$L$185,MATCH(data!F$1,Haver_Q!$B$1:$L$1,0),FALSE)),100*(VLOOKUP($A192,Haver_Q!$B$1:$L$185,MATCH(data!F$1,Haver_Q!$B$1:$L$1,0),FALSE)),"")</f>
        <v/>
      </c>
      <c r="G192" t="str">
        <f>IF(ISNUMBER(VLOOKUP($A192,Haver_Q!$B$1:$L$185,MATCH(data!G$1,Haver_Q!$B$1:$L$1,0),FALSE)),100*(VLOOKUP($A192,Haver_Q!$B$1:$L$185,MATCH(data!G$1,Haver_Q!$B$1:$L$1,0),FALSE)),"")</f>
        <v/>
      </c>
      <c r="H192" t="str">
        <f>IF(ISNUMBER(VLOOKUP($A192,Haver_Q!$B$1:$L$185,MATCH(data!H$1,Haver_Q!$B$1:$L$1,0),FALSE)),(VLOOKUP($A192,Haver_Q!$B$1:$L$185,MATCH(data!H$1,Haver_Q!$B$1:$L$1,0),FALSE)),"")</f>
        <v/>
      </c>
      <c r="I192" t="str">
        <f>IF(ISNUMBER(VLOOKUP($A192,Haver_Q!$B$1:$L$185,MATCH(data!I$1,Haver_Q!$B$1:$L$1,0),FALSE)),100*(VLOOKUP($A192,Haver_Q!$B$1:$L$185,MATCH(data!I$1,Haver_Q!$B$1:$L$1,0),FALSE)),"")</f>
        <v/>
      </c>
      <c r="J192" s="3">
        <f>IF(ISNUMBER(Bloomberg_m!C208),Bloomberg_m!C208,"")</f>
        <v>582</v>
      </c>
      <c r="K192" s="3">
        <f>IF(ISNUMBER(Bloomberg_m!D208),Bloomberg_m!D208,"")</f>
        <v>1021.45</v>
      </c>
      <c r="L192" s="3">
        <f>IF(ISNUMBER(Bloomberg_m!E208),Bloomberg_m!E208,"")</f>
        <v>551.29999999999995</v>
      </c>
      <c r="M192" s="3">
        <f>IF(ISNUMBER(Bloomberg_m!F208),Bloomberg_m!F208,"")</f>
        <v>475.8</v>
      </c>
      <c r="N192">
        <f>IF(ISNUMBER(VLOOKUP($A192,Haver_M!$B$1:$BZ$300,MATCH(data!N$1,Haver_M!$B$1:$BZ$1,0),FALSE)),VLOOKUP($A192,Haver_M!$B$1:$BZ$300,MATCH(data!N$1,Haver_M!$B$1:$BZ$1,0),FALSE),"")</f>
        <v>6.75</v>
      </c>
      <c r="O192">
        <f>IF(ISNUMBER(VLOOKUP($A192,Haver_M!$B$1:$BZ$300,MATCH(data!O$1,Haver_M!$B$1:$BZ$1,0),FALSE)),VLOOKUP($A192,Haver_M!$B$1:$BZ$300,MATCH(data!O$1,Haver_M!$B$1:$BZ$1,0),FALSE),"")</f>
        <v>8.0698000000000008</v>
      </c>
      <c r="P192">
        <f>IF(ISNUMBER(VLOOKUP($A192,Haver_M!$B$1:$BZ$300,MATCH(data!P$1,Haver_M!$B$1:$BZ$1,0),FALSE)),VLOOKUP($A192,Haver_M!$B$1:$BZ$300,MATCH(data!P$1,Haver_M!$B$1:$BZ$1,0),FALSE),"")</f>
        <v>93.517709999999994</v>
      </c>
      <c r="Q192">
        <f>IF(ISNUMBER(VLOOKUP($A192,Haver_M!$B$1:$BZ$300,MATCH(data!Q$1,Haver_M!$B$1:$BZ$1,0),FALSE)),VLOOKUP($A192,Haver_M!$B$1:$BZ$300,MATCH(data!Q$1,Haver_M!$B$1:$BZ$1,0),FALSE),"")</f>
        <v>126.6</v>
      </c>
      <c r="R192">
        <f>IF(ISNUMBER(VLOOKUP($A192,Haver_M!$B$1:$BZ$300,MATCH(data!R$1,Haver_M!$B$1:$BZ$1,0),FALSE)),VLOOKUP($A192,Haver_M!$B$1:$BZ$300,MATCH(data!R$1,Haver_M!$B$1:$BZ$1,0),FALSE),"")</f>
        <v>123</v>
      </c>
      <c r="S192">
        <f>IF(ISNUMBER(VLOOKUP($A192,Haver_M!$B$1:$BZ$300,MATCH(data!S$1,Haver_M!$B$1:$BZ$1,0),FALSE)),VLOOKUP($A192,Haver_M!$B$1:$BZ$300,MATCH(data!S$1,Haver_M!$B$1:$BZ$1,0),FALSE),"")</f>
        <v>115.84</v>
      </c>
      <c r="T192">
        <f>IF(ISNUMBER(VLOOKUP($A192,Haver_M!$B$1:$BZ$300,MATCH(data!T$1,Haver_M!$B$1:$BZ$1,0),FALSE)),VLOOKUP($A192,Haver_M!$B$1:$BZ$300,MATCH(data!T$1,Haver_M!$B$1:$BZ$1,0),FALSE),"")</f>
        <v>112.97</v>
      </c>
      <c r="U192">
        <f>IF(ISNUMBER(VLOOKUP($A192,Haver_M!$B$1:$BZ$300,MATCH(data!U$1,Haver_M!$B$1:$BZ$1,0),FALSE)),VLOOKUP($A192,Haver_M!$B$1:$BZ$300,MATCH(data!U$1,Haver_M!$B$1:$BZ$1,0),FALSE),"")</f>
        <v>100.2</v>
      </c>
      <c r="V192">
        <f>IF(ISNUMBER(VLOOKUP($A192,Haver_M!$B$1:$BZ$300,MATCH(data!V$1,Haver_M!$B$1:$BZ$1,0),FALSE)),VLOOKUP($A192,Haver_M!$B$1:$BZ$300,MATCH(data!V$1,Haver_M!$B$1:$BZ$1,0),FALSE),"")</f>
        <v>117.6</v>
      </c>
      <c r="W192">
        <f>IF(ISNUMBER(VLOOKUP($A192,Haver_M!$B$1:$BZ$300,MATCH(data!W$1,Haver_M!$B$1:$BZ$1,0),FALSE)),VLOOKUP($A192,Haver_M!$B$1:$BZ$300,MATCH(data!W$1,Haver_M!$B$1:$BZ$1,0),FALSE),"")</f>
        <v>117.41</v>
      </c>
      <c r="X192">
        <f>IF(ISNUMBER(VLOOKUP($A192,Haver_M!$B$1:$BZ$300,MATCH(data!X$1,Haver_M!$B$1:$BZ$1,0),FALSE)),VLOOKUP($A192,Haver_M!$B$1:$BZ$300,MATCH(data!X$1,Haver_M!$B$1:$BZ$1,0),FALSE),"")</f>
        <v>119.87</v>
      </c>
      <c r="Y192">
        <f>IF(ISNUMBER(VLOOKUP($A192,Haver_M!$B$1:$BZ$300,MATCH(data!Y$1,Haver_M!$B$1:$BZ$1,0),FALSE)),VLOOKUP($A192,Haver_M!$B$1:$BZ$300,MATCH(data!Y$1,Haver_M!$B$1:$BZ$1,0),FALSE),"")</f>
        <v>121.01</v>
      </c>
      <c r="Z192">
        <f>IF(ISNUMBER(VLOOKUP($A192,Haver_M!$B$1:$BZ$300,MATCH(data!Z$1,Haver_M!$B$1:$BZ$1,0),FALSE)),VLOOKUP($A192,Haver_M!$B$1:$BZ$300,MATCH(data!Z$1,Haver_M!$B$1:$BZ$1,0),FALSE),"")</f>
        <v>115.3</v>
      </c>
      <c r="AA192">
        <f>IF(ISNUMBER(VLOOKUP($A192,Haver_M!$B$1:$BZ$300,MATCH(data!AA$1,Haver_M!$B$1:$BZ$1,0),FALSE)),VLOOKUP($A192,Haver_M!$B$1:$BZ$300,MATCH(data!AA$1,Haver_M!$B$1:$BZ$1,0),FALSE),"")</f>
        <v>120.38200000000001</v>
      </c>
      <c r="AB192">
        <f>IF(ISNUMBER(VLOOKUP($A192,Haver_M!$B$1:$BZ$300,MATCH(data!AB$1,Haver_M!$B$1:$BZ$1,0),FALSE)),VLOOKUP($A192,Haver_M!$B$1:$BZ$300,MATCH(data!AB$1,Haver_M!$B$1:$BZ$1,0),FALSE),"")</f>
        <v>96.813999999999993</v>
      </c>
      <c r="AC192">
        <f>IF(ISNUMBER(VLOOKUP($A192,Haver_M!$B$1:$BZ$300,MATCH(data!AC$1,Haver_M!$B$1:$BZ$1,0),FALSE)),VLOOKUP($A192,Haver_M!$B$1:$BZ$300,MATCH(data!AC$1,Haver_M!$B$1:$BZ$1,0),FALSE),"")</f>
        <v>67.959000000000003</v>
      </c>
      <c r="AD192">
        <f>IF(ISNUMBER(VLOOKUP($A192,Haver_M!$B$1:$BZ$300,MATCH(data!AD$1,Haver_M!$B$1:$BZ$1,0),FALSE)),VLOOKUP($A192,Haver_M!$B$1:$BZ$300,MATCH(data!AD$1,Haver_M!$B$1:$BZ$1,0),FALSE),"")</f>
        <v>118.197</v>
      </c>
      <c r="AE192">
        <f>IF(ISNUMBER(VLOOKUP($A192,Haver_M!$B$1:$BZ$300,MATCH(data!AE$1,Haver_M!$B$1:$BZ$1,0),FALSE)),VLOOKUP($A192,Haver_M!$B$1:$BZ$300,MATCH(data!AE$1,Haver_M!$B$1:$BZ$1,0),FALSE),"")</f>
        <v>103.989</v>
      </c>
      <c r="AF192">
        <f>IF(ISNUMBER(VLOOKUP($A192,Haver_M!$B$1:$BZ$300,MATCH(data!AF$1,Haver_M!$B$1:$BZ$1,0),FALSE)),VLOOKUP($A192,Haver_M!$B$1:$BZ$300,MATCH(data!AF$1,Haver_M!$B$1:$BZ$1,0),FALSE),"")</f>
        <v>117.224</v>
      </c>
      <c r="AG192">
        <f>IF(ISNUMBER(VLOOKUP($A192,Haver_M!$B$1:$BZ$300,MATCH(data!AG$1,Haver_M!$B$1:$BZ$1,0),FALSE)),VLOOKUP($A192,Haver_M!$B$1:$BZ$300,MATCH(data!AG$1,Haver_M!$B$1:$BZ$1,0),FALSE),"")</f>
        <v>121.20699999999999</v>
      </c>
      <c r="AH192">
        <f>IF(ISNUMBER(VLOOKUP($A192,Haver_M!$B$1:$BZ$300,MATCH(data!AH$1,Haver_M!$B$1:$BZ$1,0),FALSE)),VLOOKUP($A192,Haver_M!$B$1:$BZ$300,MATCH(data!AH$1,Haver_M!$B$1:$BZ$1,0),FALSE),"")</f>
        <v>132.131</v>
      </c>
      <c r="AI192">
        <f>IF(ISNUMBER(VLOOKUP($A192,Haver_M!$B$1:$BZ$300,MATCH(data!AI$1,Haver_M!$B$1:$BZ$1,0),FALSE)),VLOOKUP($A192,Haver_M!$B$1:$BZ$300,MATCH(data!AI$1,Haver_M!$B$1:$BZ$1,0),FALSE),"")</f>
        <v>14757.106738761649</v>
      </c>
      <c r="AJ192">
        <f>IF(ISNUMBER(VLOOKUP($A192,Haver_M!$B$1:$BZ$300,MATCH(data!AJ$1,Haver_M!$B$1:$BZ$1,0),FALSE)),VLOOKUP($A192,Haver_M!$B$1:$BZ$300,MATCH(data!AJ$1,Haver_M!$B$1:$BZ$1,0),FALSE),"")</f>
        <v>21083.78</v>
      </c>
      <c r="AK192">
        <f>IF(ISNUMBER(VLOOKUP($A192,Haver_M!$B$1:$BZ$300,MATCH(data!AK$1,Haver_M!$B$1:$BZ$1,0),FALSE)),VLOOKUP($A192,Haver_M!$B$1:$BZ$300,MATCH(data!AK$1,Haver_M!$B$1:$BZ$1,0),FALSE),"")</f>
        <v>30133.3</v>
      </c>
      <c r="AL192">
        <f>IF(ISNUMBER(VLOOKUP($A192,Haver_M!$B$1:$BZ$300,MATCH(data!AL$1,Haver_M!$B$1:$BZ$1,0),FALSE)),VLOOKUP($A192,Haver_M!$B$1:$BZ$300,MATCH(data!AL$1,Haver_M!$B$1:$BZ$1,0),FALSE),"")</f>
        <v>12019</v>
      </c>
      <c r="AM192">
        <f>IF(ISNUMBER(VLOOKUP($A192,Haver_M!$B$1:$BZ$300,MATCH(data!AM$1,Haver_M!$B$1:$BZ$1,0),FALSE)),VLOOKUP($A192,Haver_M!$B$1:$BZ$300,MATCH(data!AM$1,Haver_M!$B$1:$BZ$1,0),FALSE),"")</f>
        <v>5686</v>
      </c>
      <c r="AN192" t="str">
        <f>IF(ISNUMBER(VLOOKUP($A192,Haver_M!$B$1:$BZ$300,MATCH(data!AN$1,Haver_M!$B$1:$BZ$1,0),FALSE)),VLOOKUP($A192,Haver_M!$B$1:$BZ$300,MATCH(data!AN$1,Haver_M!$B$1:$BZ$1,0),FALSE),"")</f>
        <v/>
      </c>
      <c r="AO192" t="str">
        <f>IF(ISNUMBER(VLOOKUP($A192,Haver_M!$B$1:$BZ$300,MATCH(data!AO$1,Haver_M!$B$1:$BZ$1,0),FALSE)),VLOOKUP($A192,Haver_M!$B$1:$BZ$300,MATCH(data!AO$1,Haver_M!$B$1:$BZ$1,0),FALSE),"")</f>
        <v/>
      </c>
      <c r="AP192">
        <f>IF(ISNUMBER(VLOOKUP($A192,Haver_M!$B$1:$BZ$300,MATCH(data!AP$1,Haver_M!$B$1:$BZ$1,0),FALSE)),VLOOKUP($A192,Haver_M!$B$1:$BZ$300,MATCH(data!AP$1,Haver_M!$B$1:$BZ$1,0),FALSE),"")</f>
        <v>50.293665281356866</v>
      </c>
      <c r="AQ192">
        <f>IF(ISNUMBER(VLOOKUP($A192,Haver_M!$B$1:$BZ$300,MATCH(data!AQ$1,Haver_M!$B$1:$BZ$1,0),FALSE)),VLOOKUP($A192,Haver_M!$B$1:$BZ$300,MATCH(data!AQ$1,Haver_M!$B$1:$BZ$1,0),FALSE),"")</f>
        <v>50.1785</v>
      </c>
      <c r="AR192">
        <f>IF(ISNUMBER(VLOOKUP($A192,Haver_M!$B$1:$BZ$300,MATCH(data!AR$1,Haver_M!$B$1:$BZ$1,0),FALSE)),VLOOKUP($A192,Haver_M!$B$1:$BZ$300,MATCH(data!AR$1,Haver_M!$B$1:$BZ$1,0),FALSE),"")</f>
        <v>50.318100000000001</v>
      </c>
      <c r="AS192">
        <f>IF(ISNUMBER(VLOOKUP($A192,Haver_M!$B$1:$BZ$300,MATCH(data!AS$1,Haver_M!$B$1:$BZ$1,0),FALSE)),VLOOKUP($A192,Haver_M!$B$1:$BZ$300,MATCH(data!AS$1,Haver_M!$B$1:$BZ$1,0),FALSE),"")</f>
        <v>50.104399999999998</v>
      </c>
      <c r="AT192">
        <f>IF(ISNUMBER(VLOOKUP($A192,Haver_M!$B$1:$BZ$300,MATCH(data!AT$1,Haver_M!$B$1:$BZ$1,0),FALSE)),VLOOKUP($A192,Haver_M!$B$1:$BZ$300,MATCH(data!AT$1,Haver_M!$B$1:$BZ$1,0),FALSE),"")</f>
        <v>50.360100000000003</v>
      </c>
      <c r="AU192">
        <f>IF(ISNUMBER(VLOOKUP($A192,Haver_M!$B$1:$BZ$300,MATCH(data!AU$1,Haver_M!$B$1:$BZ$1,0),FALSE)),VLOOKUP($A192,Haver_M!$B$1:$BZ$300,MATCH(data!AU$1,Haver_M!$B$1:$BZ$1,0),FALSE),"")</f>
        <v>50.462000000000003</v>
      </c>
      <c r="AV192">
        <f>IF(ISNUMBER(VLOOKUP($A192,Haver_M!$B$1:$BZ$300,MATCH(data!AV$1,Haver_M!$B$1:$BZ$1,0),FALSE)),VLOOKUP($A192,Haver_M!$B$1:$BZ$300,MATCH(data!AV$1,Haver_M!$B$1:$BZ$1,0),FALSE),"")</f>
        <v>50.076300000000003</v>
      </c>
      <c r="AW192">
        <f>IF(ISNUMBER(VLOOKUP($A192,Haver_M!$B$1:$BZ$300,MATCH(data!AW$1,Haver_M!$B$1:$BZ$1,0),FALSE)),VLOOKUP($A192,Haver_M!$B$1:$BZ$300,MATCH(data!AW$1,Haver_M!$B$1:$BZ$1,0),FALSE),"")</f>
        <v>49.401000000000003</v>
      </c>
      <c r="AX192">
        <f>IF(ISNUMBER(VLOOKUP($A192,Haver_M!$B$1:$BZ$300,MATCH(data!AX$1,Haver_M!$B$1:$BZ$1,0),FALSE)),VLOOKUP($A192,Haver_M!$B$1:$BZ$300,MATCH(data!AX$1,Haver_M!$B$1:$BZ$1,0),FALSE),"")</f>
        <v>49.843699999999998</v>
      </c>
      <c r="AY192">
        <f>IF(ISNUMBER(VLOOKUP($A192,Haver_M!$B$1:$BZ$300,MATCH(data!AY$1,Haver_M!$B$1:$BZ$1,0),FALSE)),VLOOKUP($A192,Haver_M!$B$1:$BZ$300,MATCH(data!AY$1,Haver_M!$B$1:$BZ$1,0),FALSE),"")</f>
        <v>52.701799999999999</v>
      </c>
      <c r="AZ192">
        <f>IF(ISNUMBER(VLOOKUP($A192,Haver_M!$B$1:$BZ$300,MATCH(data!AZ$1,Haver_M!$B$1:$BZ$1,0),FALSE)),VLOOKUP($A192,Haver_M!$B$1:$BZ$300,MATCH(data!AZ$1,Haver_M!$B$1:$BZ$1,0),FALSE),"")</f>
        <v>49.3065</v>
      </c>
      <c r="BA192">
        <f>IF(ISNUMBER(VLOOKUP($A192,Haver_M!$B$1:$BZ$300,MATCH(data!BA$1,Haver_M!$B$1:$BZ$1,0),FALSE)),VLOOKUP($A192,Haver_M!$B$1:$BZ$300,MATCH(data!BA$1,Haver_M!$B$1:$BZ$1,0),FALSE),"")</f>
        <v>49.843699999999998</v>
      </c>
      <c r="BB192">
        <f>IF(ISNUMBER(VLOOKUP($A192,Haver_M!$B$1:$BZ$300,MATCH(data!BB$1,Haver_M!$B$1:$BZ$1,0),FALSE)),VLOOKUP($A192,Haver_M!$B$1:$BZ$300,MATCH(data!BB$1,Haver_M!$B$1:$BZ$1,0),FALSE),"")</f>
        <v>51.140300000000003</v>
      </c>
      <c r="BC192">
        <f>IF(ISNUMBER(VLOOKUP($A192,Haver_M!$B$1:$BZ$300,MATCH(data!BC$1,Haver_M!$B$1:$BZ$1,0),FALSE)),VLOOKUP($A192,Haver_M!$B$1:$BZ$300,MATCH(data!BC$1,Haver_M!$B$1:$BZ$1,0),FALSE),"")</f>
        <v>50.191400000000002</v>
      </c>
      <c r="BD192">
        <f>IF(ISNUMBER(VLOOKUP($A192,Haver_M!$B$1:$BZ$300,MATCH(data!BD$1,Haver_M!$B$1:$BZ$1,0),FALSE)),VLOOKUP($A192,Haver_M!$B$1:$BZ$300,MATCH(data!BD$1,Haver_M!$B$1:$BZ$1,0),FALSE),"")</f>
        <v>51.040900000000001</v>
      </c>
      <c r="BE192">
        <f>IF(ISNUMBER(VLOOKUP($A192,Haver_M!$B$1:$BZ$300,MATCH(data!BE$1,Haver_M!$B$1:$BZ$1,0),FALSE)),VLOOKUP($A192,Haver_M!$B$1:$BZ$300,MATCH(data!BE$1,Haver_M!$B$1:$BZ$1,0),FALSE),"")</f>
        <v>1.0780000000000001</v>
      </c>
      <c r="BF192">
        <f>IF(ISNUMBER(VLOOKUP($A192,Haver_M!$B$1:$BZ$300,MATCH(data!BF$1,Haver_M!$B$1:$BZ$1,0),FALSE)),VLOOKUP($A192,Haver_M!$B$1:$BZ$300,MATCH(data!BF$1,Haver_M!$B$1:$BZ$1,0),FALSE),"")</f>
        <v>50.627000000000002</v>
      </c>
      <c r="BG192">
        <f>IF(ISNUMBER(VLOOKUP($A192,Haver_M!$B$1:$BZ$300,MATCH(data!BG$1,Haver_M!$B$1:$BZ$1,0),FALSE)),VLOOKUP($A192,Haver_M!$B$1:$BZ$300,MATCH(data!BG$1,Haver_M!$B$1:$BZ$1,0),FALSE),"")</f>
        <v>50.015300000000003</v>
      </c>
      <c r="BH192">
        <f>IF(ISNUMBER(VLOOKUP($A192,Haver_M!$B$1:$BZ$300,MATCH(data!BH$1,Haver_M!$B$1:$BZ$1,0),FALSE)),VLOOKUP($A192,Haver_M!$B$1:$BZ$300,MATCH(data!BH$1,Haver_M!$B$1:$BZ$1,0),FALSE),"")</f>
        <v>51.023600000000002</v>
      </c>
      <c r="BI192">
        <f>IF(ISNUMBER(VLOOKUP($A192,Haver_M!$B$1:$BZ$300,MATCH(data!BI$1,Haver_M!$B$1:$BZ$1,0),FALSE)),VLOOKUP($A192,Haver_M!$B$1:$BZ$300,MATCH(data!BI$1,Haver_M!$B$1:$BZ$1,0),FALSE),"")</f>
        <v>51.357999999999997</v>
      </c>
      <c r="BJ192">
        <f>IF(ISNUMBER(VLOOKUP($A192,Haver_M!$B$1:$BZ$300,MATCH(data!BJ$1,Haver_M!$B$1:$BZ$1,0),FALSE)),VLOOKUP($A192,Haver_M!$B$1:$BZ$300,MATCH(data!BJ$1,Haver_M!$B$1:$BZ$1,0),FALSE),"")</f>
        <v>49.916800000000002</v>
      </c>
      <c r="BK192">
        <f>IF(ISNUMBER(VLOOKUP($A192,Haver_M!$B$1:$BZ$300,MATCH(data!BK$1,Haver_M!$B$1:$BZ$1,0),FALSE)),VLOOKUP($A192,Haver_M!$B$1:$BZ$300,MATCH(data!BK$1,Haver_M!$B$1:$BZ$1,0),FALSE),"")</f>
        <v>51.650399999999998</v>
      </c>
      <c r="BL192">
        <f>IF(ISNUMBER(VLOOKUP($A192,Haver_M!$B$1:$BZ$300,MATCH(data!BL$1,Haver_M!$B$1:$BZ$1,0),FALSE)),VLOOKUP($A192,Haver_M!$B$1:$BZ$300,MATCH(data!BL$1,Haver_M!$B$1:$BZ$1,0),FALSE),"")</f>
        <v>26013.65</v>
      </c>
      <c r="BM192">
        <f>IF(ISNUMBER(VLOOKUP($A192,Haver_M!$B$1:$BZ$300,MATCH(data!BM$1,Haver_M!$B$1:$BZ$1,0),FALSE)),VLOOKUP($A192,Haver_M!$B$1:$BZ$300,MATCH(data!BM$1,Haver_M!$B$1:$BZ$1,0),FALSE),"")</f>
        <v>99.78070065</v>
      </c>
      <c r="BN192" t="str">
        <f>IF(ISNUMBER(VLOOKUP($A192,Haver_M!$B$1:$BZ$300,MATCH(data!BN$1,Haver_M!$B$1:$BZ$1,0),FALSE)),VLOOKUP($A192,Haver_M!$B$1:$BZ$300,MATCH(data!BN$1,Haver_M!$B$1:$BZ$1,0),FALSE),"")</f>
        <v/>
      </c>
      <c r="BO192" t="str">
        <f>IF(ISNUMBER(VLOOKUP($A192,Haver_M!$B$1:$BZ$300,MATCH(data!BO$1,Haver_M!$B$1:$BZ$1,0),FALSE)),VLOOKUP($A192,Haver_M!$B$1:$BZ$300,MATCH(data!BO$1,Haver_M!$B$1:$BZ$1,0),FALSE),"")</f>
        <v/>
      </c>
      <c r="BP192" t="str">
        <f>IF(ISNUMBER(VLOOKUP($A192,Haver_M!$B$1:$BZ$300,MATCH(data!BP$1,Haver_M!$B$1:$BZ$1,0),FALSE)),VLOOKUP($A192,Haver_M!$B$1:$BZ$300,MATCH(data!BP$1,Haver_M!$B$1:$BZ$1,0),FALSE),"")</f>
        <v/>
      </c>
      <c r="BQ192">
        <f>IF(ISNUMBER(VLOOKUP($A192,Haver_M!$B$1:$BZ$300,MATCH(data!BQ$1,Haver_M!$B$1:$BZ$1,0),FALSE)),VLOOKUP($A192,Haver_M!$B$1:$BZ$300,MATCH(data!BQ$1,Haver_M!$B$1:$BZ$1,0),FALSE),"")</f>
        <v>197.32217535251851</v>
      </c>
      <c r="BR192">
        <f>IF(ISNUMBER(VLOOKUP($A192,Haver_M!$B$1:$BZ$300,MATCH(data!BR$1,Haver_M!$B$1:$BZ$1,0),FALSE)),VLOOKUP($A192,Haver_M!$B$1:$BZ$300,MATCH(data!BR$1,Haver_M!$B$1:$BZ$1,0),FALSE),"")</f>
        <v>403.6291670384818</v>
      </c>
      <c r="BS192">
        <f>IF(ISNUMBER(VLOOKUP($A192,Haver_M!$B$1:$BZ$300,MATCH(data!BS$1,Haver_M!$B$1:$BZ$1,0),FALSE)),VLOOKUP($A192,Haver_M!$B$1:$BZ$300,MATCH(data!BS$1,Haver_M!$B$1:$BZ$1,0),FALSE),"")</f>
        <v>217.83971166309476</v>
      </c>
      <c r="BT192">
        <f>IF(ISNUMBER(VLOOKUP($A192,Haver_M!$B$1:$BZ$300,MATCH(data!BT$1,Haver_M!$B$1:$BZ$1,0),FALSE)),VLOOKUP($A192,Haver_M!$B$1:$BZ$300,MATCH(data!BT$1,Haver_M!$B$1:$BZ$1,0),FALSE),"")</f>
        <v>943.72711446811797</v>
      </c>
      <c r="BU192">
        <f>IF(ISNUMBER(VLOOKUP($A192,Haver_M!$B$1:$BZ$300,MATCH(data!BU$1,Haver_M!$B$1:$BZ$1,0),FALSE)),VLOOKUP($A192,Haver_M!$B$1:$BZ$300,MATCH(data!BU$1,Haver_M!$B$1:$BZ$1,0),FALSE),"")</f>
        <v>19560.919999999998</v>
      </c>
      <c r="BV192">
        <f>IF(ISNUMBER(VLOOKUP($A192,Haver_M!$B$1:$BZ$300,MATCH(data!BV$1,Haver_M!$B$1:$BZ$1,0),FALSE)),VLOOKUP($A192,Haver_M!$B$1:$BZ$300,MATCH(data!BV$1,Haver_M!$B$1:$BZ$1,0),FALSE),"")</f>
        <v>29896.400000000001</v>
      </c>
      <c r="BW192">
        <f>IF(ISNUMBER(VLOOKUP($A192,Haver_M!$B$1:$BZ$300,MATCH(data!BW$1,Haver_M!$B$1:$BZ$1,0),FALSE)),VLOOKUP($A192,Haver_M!$B$1:$BZ$300,MATCH(data!BW$1,Haver_M!$B$1:$BZ$1,0),FALSE),"")</f>
        <v>66.117099999999994</v>
      </c>
      <c r="BX192">
        <f>IF(ISNUMBER(VLOOKUP($A192,Haver_M!$B$1:$BZ$300,MATCH(data!BX$1,Haver_M!$B$1:$BZ$1,0),FALSE)),VLOOKUP($A192,Haver_M!$B$1:$BZ$300,MATCH(data!BX$1,Haver_M!$B$1:$BZ$1,0),FALSE),"")</f>
        <v>57316</v>
      </c>
    </row>
    <row r="193" spans="1:76" x14ac:dyDescent="0.25">
      <c r="A193" s="2">
        <v>42369</v>
      </c>
      <c r="B193">
        <f>IF(ISNUMBER(VLOOKUP($A193,Haver_Q!$B$1:$L$185,MATCH(data!B$1,Haver_Q!$B$1:$L$1,0),FALSE)),100*(VLOOKUP($A193,Haver_Q!$B$1:$L$185,MATCH(data!B$1,Haver_Q!$B$1:$L$1,0),FALSE)),"")</f>
        <v>5.9494935807287153</v>
      </c>
      <c r="C193">
        <f>IF(ISNUMBER(VLOOKUP($A193,Haver_Q!$B$1:$L$185,MATCH(data!C$1,Haver_Q!$B$1:$L$1,0),FALSE)),100*(VLOOKUP($A193,Haver_Q!$B$1:$L$185,MATCH(data!C$1,Haver_Q!$B$1:$L$1,0),FALSE)),"")</f>
        <v>5.7886548737020371</v>
      </c>
      <c r="D193">
        <f>IF(ISNUMBER(VLOOKUP($A193,Haver_Q!$B$1:$L$185,MATCH(data!D$1,Haver_Q!$B$1:$L$1,0),FALSE)),100*(VLOOKUP($A193,Haver_Q!$B$1:$L$185,MATCH(data!D$1,Haver_Q!$B$1:$L$1,0),FALSE)),"")</f>
        <v>0.88964991676205862</v>
      </c>
      <c r="E193">
        <f>IF(ISNUMBER(VLOOKUP($A193,Haver_Q!$B$1:$L$185,MATCH(data!E$1,Haver_Q!$B$1:$L$1,0),FALSE)),100*(VLOOKUP($A193,Haver_Q!$B$1:$L$185,MATCH(data!E$1,Haver_Q!$B$1:$L$1,0),FALSE)),"")</f>
        <v>12.239383397450254</v>
      </c>
      <c r="F193">
        <f>IF(ISNUMBER(VLOOKUP($A193,Haver_Q!$B$1:$L$185,MATCH(data!F$1,Haver_Q!$B$1:$L$1,0),FALSE)),100*(VLOOKUP($A193,Haver_Q!$B$1:$L$185,MATCH(data!F$1,Haver_Q!$B$1:$L$1,0),FALSE)),"")</f>
        <v>-5.4182976024216511</v>
      </c>
      <c r="G193">
        <f>IF(ISNUMBER(VLOOKUP($A193,Haver_Q!$B$1:$L$185,MATCH(data!G$1,Haver_Q!$B$1:$L$1,0),FALSE)),100*(VLOOKUP($A193,Haver_Q!$B$1:$L$185,MATCH(data!G$1,Haver_Q!$B$1:$L$1,0),FALSE)),"")</f>
        <v>-16.890856627496763</v>
      </c>
      <c r="H193">
        <f>IF(ISNUMBER(VLOOKUP($A193,Haver_Q!$B$1:$L$185,MATCH(data!H$1,Haver_Q!$B$1:$L$1,0),FALSE)),(VLOOKUP($A193,Haver_Q!$B$1:$L$185,MATCH(data!H$1,Haver_Q!$B$1:$L$1,0),FALSE)),"")</f>
        <v>2.7428467565808523</v>
      </c>
      <c r="I193">
        <f>IF(ISNUMBER(VLOOKUP($A193,Haver_Q!$B$1:$L$185,MATCH(data!I$1,Haver_Q!$B$1:$L$1,0),FALSE)),100*(VLOOKUP($A193,Haver_Q!$B$1:$L$185,MATCH(data!I$1,Haver_Q!$B$1:$L$1,0),FALSE)),"")</f>
        <v>7.1974230776353343</v>
      </c>
      <c r="J193" s="3">
        <f>IF(ISNUMBER(Bloomberg_m!C209),Bloomberg_m!C209,"")</f>
        <v>519</v>
      </c>
      <c r="K193" s="3">
        <f>IF(ISNUMBER(Bloomberg_m!D209),Bloomberg_m!D209,"")</f>
        <v>891.94</v>
      </c>
      <c r="L193" s="3">
        <f>IF(ISNUMBER(Bloomberg_m!E209),Bloomberg_m!E209,"")</f>
        <v>566.83000000000004</v>
      </c>
      <c r="M193" s="3">
        <f>IF(ISNUMBER(Bloomberg_m!F209),Bloomberg_m!F209,"")</f>
        <v>431.45</v>
      </c>
      <c r="N193">
        <f>IF(ISNUMBER(VLOOKUP($A193,Haver_M!$B$1:$BZ$300,MATCH(data!N$1,Haver_M!$B$1:$BZ$1,0),FALSE)),VLOOKUP($A193,Haver_M!$B$1:$BZ$300,MATCH(data!N$1,Haver_M!$B$1:$BZ$1,0),FALSE),"")</f>
        <v>6.75</v>
      </c>
      <c r="O193">
        <f>IF(ISNUMBER(VLOOKUP($A193,Haver_M!$B$1:$BZ$300,MATCH(data!O$1,Haver_M!$B$1:$BZ$1,0),FALSE)),VLOOKUP($A193,Haver_M!$B$1:$BZ$300,MATCH(data!O$1,Haver_M!$B$1:$BZ$1,0),FALSE),"")</f>
        <v>8.0939999999999994</v>
      </c>
      <c r="P193">
        <f>IF(ISNUMBER(VLOOKUP($A193,Haver_M!$B$1:$BZ$300,MATCH(data!P$1,Haver_M!$B$1:$BZ$1,0),FALSE)),VLOOKUP($A193,Haver_M!$B$1:$BZ$300,MATCH(data!P$1,Haver_M!$B$1:$BZ$1,0),FALSE),"")</f>
        <v>93.259969999999996</v>
      </c>
      <c r="Q193">
        <f>IF(ISNUMBER(VLOOKUP($A193,Haver_M!$B$1:$BZ$300,MATCH(data!Q$1,Haver_M!$B$1:$BZ$1,0),FALSE)),VLOOKUP($A193,Haver_M!$B$1:$BZ$300,MATCH(data!Q$1,Haver_M!$B$1:$BZ$1,0),FALSE),"")</f>
        <v>126.1</v>
      </c>
      <c r="R193">
        <f>IF(ISNUMBER(VLOOKUP($A193,Haver_M!$B$1:$BZ$300,MATCH(data!R$1,Haver_M!$B$1:$BZ$1,0),FALSE)),VLOOKUP($A193,Haver_M!$B$1:$BZ$300,MATCH(data!R$1,Haver_M!$B$1:$BZ$1,0),FALSE),"")</f>
        <v>123.2</v>
      </c>
      <c r="S193">
        <f>IF(ISNUMBER(VLOOKUP($A193,Haver_M!$B$1:$BZ$300,MATCH(data!S$1,Haver_M!$B$1:$BZ$1,0),FALSE)),VLOOKUP($A193,Haver_M!$B$1:$BZ$300,MATCH(data!S$1,Haver_M!$B$1:$BZ$1,0),FALSE),"")</f>
        <v>115.63</v>
      </c>
      <c r="T193">
        <f>IF(ISNUMBER(VLOOKUP($A193,Haver_M!$B$1:$BZ$300,MATCH(data!T$1,Haver_M!$B$1:$BZ$1,0),FALSE)),VLOOKUP($A193,Haver_M!$B$1:$BZ$300,MATCH(data!T$1,Haver_M!$B$1:$BZ$1,0),FALSE),"")</f>
        <v>110.76</v>
      </c>
      <c r="U193">
        <f>IF(ISNUMBER(VLOOKUP($A193,Haver_M!$B$1:$BZ$300,MATCH(data!U$1,Haver_M!$B$1:$BZ$1,0),FALSE)),VLOOKUP($A193,Haver_M!$B$1:$BZ$300,MATCH(data!U$1,Haver_M!$B$1:$BZ$1,0),FALSE),"")</f>
        <v>101.2</v>
      </c>
      <c r="V193">
        <f>IF(ISNUMBER(VLOOKUP($A193,Haver_M!$B$1:$BZ$300,MATCH(data!V$1,Haver_M!$B$1:$BZ$1,0),FALSE)),VLOOKUP($A193,Haver_M!$B$1:$BZ$300,MATCH(data!V$1,Haver_M!$B$1:$BZ$1,0),FALSE),"")</f>
        <v>117.78</v>
      </c>
      <c r="W193">
        <f>IF(ISNUMBER(VLOOKUP($A193,Haver_M!$B$1:$BZ$300,MATCH(data!W$1,Haver_M!$B$1:$BZ$1,0),FALSE)),VLOOKUP($A193,Haver_M!$B$1:$BZ$300,MATCH(data!W$1,Haver_M!$B$1:$BZ$1,0),FALSE),"")</f>
        <v>118.75</v>
      </c>
      <c r="X193">
        <f>IF(ISNUMBER(VLOOKUP($A193,Haver_M!$B$1:$BZ$300,MATCH(data!X$1,Haver_M!$B$1:$BZ$1,0),FALSE)),VLOOKUP($A193,Haver_M!$B$1:$BZ$300,MATCH(data!X$1,Haver_M!$B$1:$BZ$1,0),FALSE),"")</f>
        <v>125.9</v>
      </c>
      <c r="Y193">
        <f>IF(ISNUMBER(VLOOKUP($A193,Haver_M!$B$1:$BZ$300,MATCH(data!Y$1,Haver_M!$B$1:$BZ$1,0),FALSE)),VLOOKUP($A193,Haver_M!$B$1:$BZ$300,MATCH(data!Y$1,Haver_M!$B$1:$BZ$1,0),FALSE),"")</f>
        <v>121.53</v>
      </c>
      <c r="Z193">
        <f>IF(ISNUMBER(VLOOKUP($A193,Haver_M!$B$1:$BZ$300,MATCH(data!Z$1,Haver_M!$B$1:$BZ$1,0),FALSE)),VLOOKUP($A193,Haver_M!$B$1:$BZ$300,MATCH(data!Z$1,Haver_M!$B$1:$BZ$1,0),FALSE),"")</f>
        <v>114.8</v>
      </c>
      <c r="AA193">
        <f>IF(ISNUMBER(VLOOKUP($A193,Haver_M!$B$1:$BZ$300,MATCH(data!AA$1,Haver_M!$B$1:$BZ$1,0),FALSE)),VLOOKUP($A193,Haver_M!$B$1:$BZ$300,MATCH(data!AA$1,Haver_M!$B$1:$BZ$1,0),FALSE),"")</f>
        <v>120.65600000000001</v>
      </c>
      <c r="AB193">
        <f>IF(ISNUMBER(VLOOKUP($A193,Haver_M!$B$1:$BZ$300,MATCH(data!AB$1,Haver_M!$B$1:$BZ$1,0),FALSE)),VLOOKUP($A193,Haver_M!$B$1:$BZ$300,MATCH(data!AB$1,Haver_M!$B$1:$BZ$1,0),FALSE),"")</f>
        <v>95.388000000000005</v>
      </c>
      <c r="AC193">
        <f>IF(ISNUMBER(VLOOKUP($A193,Haver_M!$B$1:$BZ$300,MATCH(data!AC$1,Haver_M!$B$1:$BZ$1,0),FALSE)),VLOOKUP($A193,Haver_M!$B$1:$BZ$300,MATCH(data!AC$1,Haver_M!$B$1:$BZ$1,0),FALSE),"")</f>
        <v>67.019000000000005</v>
      </c>
      <c r="AD193">
        <f>IF(ISNUMBER(VLOOKUP($A193,Haver_M!$B$1:$BZ$300,MATCH(data!AD$1,Haver_M!$B$1:$BZ$1,0),FALSE)),VLOOKUP($A193,Haver_M!$B$1:$BZ$300,MATCH(data!AD$1,Haver_M!$B$1:$BZ$1,0),FALSE),"")</f>
        <v>114.06100000000001</v>
      </c>
      <c r="AE193">
        <f>IF(ISNUMBER(VLOOKUP($A193,Haver_M!$B$1:$BZ$300,MATCH(data!AE$1,Haver_M!$B$1:$BZ$1,0),FALSE)),VLOOKUP($A193,Haver_M!$B$1:$BZ$300,MATCH(data!AE$1,Haver_M!$B$1:$BZ$1,0),FALSE),"")</f>
        <v>106.706</v>
      </c>
      <c r="AF193">
        <f>IF(ISNUMBER(VLOOKUP($A193,Haver_M!$B$1:$BZ$300,MATCH(data!AF$1,Haver_M!$B$1:$BZ$1,0),FALSE)),VLOOKUP($A193,Haver_M!$B$1:$BZ$300,MATCH(data!AF$1,Haver_M!$B$1:$BZ$1,0),FALSE),"")</f>
        <v>117.53700000000001</v>
      </c>
      <c r="AG193">
        <f>IF(ISNUMBER(VLOOKUP($A193,Haver_M!$B$1:$BZ$300,MATCH(data!AG$1,Haver_M!$B$1:$BZ$1,0),FALSE)),VLOOKUP($A193,Haver_M!$B$1:$BZ$300,MATCH(data!AG$1,Haver_M!$B$1:$BZ$1,0),FALSE),"")</f>
        <v>125.038</v>
      </c>
      <c r="AH193">
        <f>IF(ISNUMBER(VLOOKUP($A193,Haver_M!$B$1:$BZ$300,MATCH(data!AH$1,Haver_M!$B$1:$BZ$1,0),FALSE)),VLOOKUP($A193,Haver_M!$B$1:$BZ$300,MATCH(data!AH$1,Haver_M!$B$1:$BZ$1,0),FALSE),"")</f>
        <v>133.22300000000001</v>
      </c>
      <c r="AI193">
        <f>IF(ISNUMBER(VLOOKUP($A193,Haver_M!$B$1:$BZ$300,MATCH(data!AI$1,Haver_M!$B$1:$BZ$1,0),FALSE)),VLOOKUP($A193,Haver_M!$B$1:$BZ$300,MATCH(data!AI$1,Haver_M!$B$1:$BZ$1,0),FALSE),"")</f>
        <v>15518.890957926789</v>
      </c>
      <c r="AJ193">
        <f>IF(ISNUMBER(VLOOKUP($A193,Haver_M!$B$1:$BZ$300,MATCH(data!AJ$1,Haver_M!$B$1:$BZ$1,0),FALSE)),VLOOKUP($A193,Haver_M!$B$1:$BZ$300,MATCH(data!AJ$1,Haver_M!$B$1:$BZ$1,0),FALSE),"")</f>
        <v>21798.3</v>
      </c>
      <c r="AK193">
        <f>IF(ISNUMBER(VLOOKUP($A193,Haver_M!$B$1:$BZ$300,MATCH(data!AK$1,Haver_M!$B$1:$BZ$1,0),FALSE)),VLOOKUP($A193,Haver_M!$B$1:$BZ$300,MATCH(data!AK$1,Haver_M!$B$1:$BZ$1,0),FALSE),"")</f>
        <v>33738.81</v>
      </c>
      <c r="AL193">
        <f>IF(ISNUMBER(VLOOKUP($A193,Haver_M!$B$1:$BZ$300,MATCH(data!AL$1,Haver_M!$B$1:$BZ$1,0),FALSE)),VLOOKUP($A193,Haver_M!$B$1:$BZ$300,MATCH(data!AL$1,Haver_M!$B$1:$BZ$1,0),FALSE),"")</f>
        <v>14038</v>
      </c>
      <c r="AM193">
        <f>IF(ISNUMBER(VLOOKUP($A193,Haver_M!$B$1:$BZ$300,MATCH(data!AM$1,Haver_M!$B$1:$BZ$1,0),FALSE)),VLOOKUP($A193,Haver_M!$B$1:$BZ$300,MATCH(data!AM$1,Haver_M!$B$1:$BZ$1,0),FALSE),"")</f>
        <v>7187</v>
      </c>
      <c r="AN193">
        <f>IF(ISNUMBER(VLOOKUP($A193,Haver_M!$B$1:$BZ$300,MATCH(data!AN$1,Haver_M!$B$1:$BZ$1,0),FALSE)),VLOOKUP($A193,Haver_M!$B$1:$BZ$300,MATCH(data!AN$1,Haver_M!$B$1:$BZ$1,0),FALSE),"")</f>
        <v>102.9</v>
      </c>
      <c r="AO193">
        <f>IF(ISNUMBER(VLOOKUP($A193,Haver_M!$B$1:$BZ$300,MATCH(data!AO$1,Haver_M!$B$1:$BZ$1,0),FALSE)),VLOOKUP($A193,Haver_M!$B$1:$BZ$300,MATCH(data!AO$1,Haver_M!$B$1:$BZ$1,0),FALSE),"")</f>
        <v>120</v>
      </c>
      <c r="AP193">
        <f>IF(ISNUMBER(VLOOKUP($A193,Haver_M!$B$1:$BZ$300,MATCH(data!AP$1,Haver_M!$B$1:$BZ$1,0),FALSE)),VLOOKUP($A193,Haver_M!$B$1:$BZ$300,MATCH(data!AP$1,Haver_M!$B$1:$BZ$1,0),FALSE),"")</f>
        <v>62.264154734481899</v>
      </c>
      <c r="AQ193">
        <f>IF(ISNUMBER(VLOOKUP($A193,Haver_M!$B$1:$BZ$300,MATCH(data!AQ$1,Haver_M!$B$1:$BZ$1,0),FALSE)),VLOOKUP($A193,Haver_M!$B$1:$BZ$300,MATCH(data!AQ$1,Haver_M!$B$1:$BZ$1,0),FALSE),"")</f>
        <v>51.649900000000002</v>
      </c>
      <c r="AR193">
        <f>IF(ISNUMBER(VLOOKUP($A193,Haver_M!$B$1:$BZ$300,MATCH(data!AR$1,Haver_M!$B$1:$BZ$1,0),FALSE)),VLOOKUP($A193,Haver_M!$B$1:$BZ$300,MATCH(data!AR$1,Haver_M!$B$1:$BZ$1,0),FALSE),"")</f>
        <v>49.071399999999997</v>
      </c>
      <c r="AS193">
        <f>IF(ISNUMBER(VLOOKUP($A193,Haver_M!$B$1:$BZ$300,MATCH(data!AS$1,Haver_M!$B$1:$BZ$1,0),FALSE)),VLOOKUP($A193,Haver_M!$B$1:$BZ$300,MATCH(data!AS$1,Haver_M!$B$1:$BZ$1,0),FALSE),"")</f>
        <v>53.627800000000001</v>
      </c>
      <c r="AT193">
        <f>IF(ISNUMBER(VLOOKUP($A193,Haver_M!$B$1:$BZ$300,MATCH(data!AT$1,Haver_M!$B$1:$BZ$1,0),FALSE)),VLOOKUP($A193,Haver_M!$B$1:$BZ$300,MATCH(data!AT$1,Haver_M!$B$1:$BZ$1,0),FALSE),"")</f>
        <v>46.803699999999999</v>
      </c>
      <c r="AU193">
        <f>IF(ISNUMBER(VLOOKUP($A193,Haver_M!$B$1:$BZ$300,MATCH(data!AU$1,Haver_M!$B$1:$BZ$1,0),FALSE)),VLOOKUP($A193,Haver_M!$B$1:$BZ$300,MATCH(data!AU$1,Haver_M!$B$1:$BZ$1,0),FALSE),"")</f>
        <v>48.04</v>
      </c>
      <c r="AV193">
        <f>IF(ISNUMBER(VLOOKUP($A193,Haver_M!$B$1:$BZ$300,MATCH(data!AV$1,Haver_M!$B$1:$BZ$1,0),FALSE)),VLOOKUP($A193,Haver_M!$B$1:$BZ$300,MATCH(data!AV$1,Haver_M!$B$1:$BZ$1,0),FALSE),"")</f>
        <v>50.4163</v>
      </c>
      <c r="AW193">
        <f>IF(ISNUMBER(VLOOKUP($A193,Haver_M!$B$1:$BZ$300,MATCH(data!AW$1,Haver_M!$B$1:$BZ$1,0),FALSE)),VLOOKUP($A193,Haver_M!$B$1:$BZ$300,MATCH(data!AW$1,Haver_M!$B$1:$BZ$1,0),FALSE),"")</f>
        <v>48.240099999999998</v>
      </c>
      <c r="AX193">
        <f>IF(ISNUMBER(VLOOKUP($A193,Haver_M!$B$1:$BZ$300,MATCH(data!AX$1,Haver_M!$B$1:$BZ$1,0),FALSE)),VLOOKUP($A193,Haver_M!$B$1:$BZ$300,MATCH(data!AX$1,Haver_M!$B$1:$BZ$1,0),FALSE),"")</f>
        <v>51.112000000000002</v>
      </c>
      <c r="AY193">
        <f>IF(ISNUMBER(VLOOKUP($A193,Haver_M!$B$1:$BZ$300,MATCH(data!AY$1,Haver_M!$B$1:$BZ$1,0),FALSE)),VLOOKUP($A193,Haver_M!$B$1:$BZ$300,MATCH(data!AY$1,Haver_M!$B$1:$BZ$1,0),FALSE),"")</f>
        <v>53.845199999999998</v>
      </c>
      <c r="AZ193">
        <f>IF(ISNUMBER(VLOOKUP($A193,Haver_M!$B$1:$BZ$300,MATCH(data!AZ$1,Haver_M!$B$1:$BZ$1,0),FALSE)),VLOOKUP($A193,Haver_M!$B$1:$BZ$300,MATCH(data!AZ$1,Haver_M!$B$1:$BZ$1,0),FALSE),"")</f>
        <v>49.052700000000002</v>
      </c>
      <c r="BA193">
        <f>IF(ISNUMBER(VLOOKUP($A193,Haver_M!$B$1:$BZ$300,MATCH(data!BA$1,Haver_M!$B$1:$BZ$1,0),FALSE)),VLOOKUP($A193,Haver_M!$B$1:$BZ$300,MATCH(data!BA$1,Haver_M!$B$1:$BZ$1,0),FALSE),"")</f>
        <v>51.112000000000002</v>
      </c>
      <c r="BB193">
        <f>IF(ISNUMBER(VLOOKUP($A193,Haver_M!$B$1:$BZ$300,MATCH(data!BB$1,Haver_M!$B$1:$BZ$1,0),FALSE)),VLOOKUP($A193,Haver_M!$B$1:$BZ$300,MATCH(data!BB$1,Haver_M!$B$1:$BZ$1,0),FALSE),"")</f>
        <v>51.4529</v>
      </c>
      <c r="BC193">
        <f>IF(ISNUMBER(VLOOKUP($A193,Haver_M!$B$1:$BZ$300,MATCH(data!BC$1,Haver_M!$B$1:$BZ$1,0),FALSE)),VLOOKUP($A193,Haver_M!$B$1:$BZ$300,MATCH(data!BC$1,Haver_M!$B$1:$BZ$1,0),FALSE),"")</f>
        <v>50.9754</v>
      </c>
      <c r="BD193">
        <f>IF(ISNUMBER(VLOOKUP($A193,Haver_M!$B$1:$BZ$300,MATCH(data!BD$1,Haver_M!$B$1:$BZ$1,0),FALSE)),VLOOKUP($A193,Haver_M!$B$1:$BZ$300,MATCH(data!BD$1,Haver_M!$B$1:$BZ$1,0),FALSE),"")</f>
        <v>50.694600000000001</v>
      </c>
      <c r="BE193">
        <f>IF(ISNUMBER(VLOOKUP($A193,Haver_M!$B$1:$BZ$300,MATCH(data!BE$1,Haver_M!$B$1:$BZ$1,0),FALSE)),VLOOKUP($A193,Haver_M!$B$1:$BZ$300,MATCH(data!BE$1,Haver_M!$B$1:$BZ$1,0),FALSE),"")</f>
        <v>1.0003</v>
      </c>
      <c r="BF193">
        <f>IF(ISNUMBER(VLOOKUP($A193,Haver_M!$B$1:$BZ$300,MATCH(data!BF$1,Haver_M!$B$1:$BZ$1,0),FALSE)),VLOOKUP($A193,Haver_M!$B$1:$BZ$300,MATCH(data!BF$1,Haver_M!$B$1:$BZ$1,0),FALSE),"")</f>
        <v>50.027700000000003</v>
      </c>
      <c r="BG193">
        <f>IF(ISNUMBER(VLOOKUP($A193,Haver_M!$B$1:$BZ$300,MATCH(data!BG$1,Haver_M!$B$1:$BZ$1,0),FALSE)),VLOOKUP($A193,Haver_M!$B$1:$BZ$300,MATCH(data!BG$1,Haver_M!$B$1:$BZ$1,0),FALSE),"")</f>
        <v>50.933</v>
      </c>
      <c r="BH193">
        <f>IF(ISNUMBER(VLOOKUP($A193,Haver_M!$B$1:$BZ$300,MATCH(data!BH$1,Haver_M!$B$1:$BZ$1,0),FALSE)),VLOOKUP($A193,Haver_M!$B$1:$BZ$300,MATCH(data!BH$1,Haver_M!$B$1:$BZ$1,0),FALSE),"")</f>
        <v>53.767699999999998</v>
      </c>
      <c r="BI193">
        <f>IF(ISNUMBER(VLOOKUP($A193,Haver_M!$B$1:$BZ$300,MATCH(data!BI$1,Haver_M!$B$1:$BZ$1,0),FALSE)),VLOOKUP($A193,Haver_M!$B$1:$BZ$300,MATCH(data!BI$1,Haver_M!$B$1:$BZ$1,0),FALSE),"")</f>
        <v>52.299100000000003</v>
      </c>
      <c r="BJ193">
        <f>IF(ISNUMBER(VLOOKUP($A193,Haver_M!$B$1:$BZ$300,MATCH(data!BJ$1,Haver_M!$B$1:$BZ$1,0),FALSE)),VLOOKUP($A193,Haver_M!$B$1:$BZ$300,MATCH(data!BJ$1,Haver_M!$B$1:$BZ$1,0),FALSE),"")</f>
        <v>50.9604</v>
      </c>
      <c r="BK193">
        <f>IF(ISNUMBER(VLOOKUP($A193,Haver_M!$B$1:$BZ$300,MATCH(data!BK$1,Haver_M!$B$1:$BZ$1,0),FALSE)),VLOOKUP($A193,Haver_M!$B$1:$BZ$300,MATCH(data!BK$1,Haver_M!$B$1:$BZ$1,0),FALSE),"")</f>
        <v>48.8536</v>
      </c>
      <c r="BL193">
        <f>IF(ISNUMBER(VLOOKUP($A193,Haver_M!$B$1:$BZ$300,MATCH(data!BL$1,Haver_M!$B$1:$BZ$1,0),FALSE)),VLOOKUP($A193,Haver_M!$B$1:$BZ$300,MATCH(data!BL$1,Haver_M!$B$1:$BZ$1,0),FALSE),"")</f>
        <v>25658.19</v>
      </c>
      <c r="BM193">
        <f>IF(ISNUMBER(VLOOKUP($A193,Haver_M!$B$1:$BZ$300,MATCH(data!BM$1,Haver_M!$B$1:$BZ$1,0),FALSE)),VLOOKUP($A193,Haver_M!$B$1:$BZ$300,MATCH(data!BM$1,Haver_M!$B$1:$BZ$1,0),FALSE),"")</f>
        <v>100.361526</v>
      </c>
      <c r="BN193">
        <f>IF(ISNUMBER(VLOOKUP($A193,Haver_M!$B$1:$BZ$300,MATCH(data!BN$1,Haver_M!$B$1:$BZ$1,0),FALSE)),VLOOKUP($A193,Haver_M!$B$1:$BZ$300,MATCH(data!BN$1,Haver_M!$B$1:$BZ$1,0),FALSE),"")</f>
        <v>103.6</v>
      </c>
      <c r="BO193">
        <f>IF(ISNUMBER(VLOOKUP($A193,Haver_M!$B$1:$BZ$300,MATCH(data!BO$1,Haver_M!$B$1:$BZ$1,0),FALSE)),VLOOKUP($A193,Haver_M!$B$1:$BZ$300,MATCH(data!BO$1,Haver_M!$B$1:$BZ$1,0),FALSE),"")</f>
        <v>113.4</v>
      </c>
      <c r="BP193">
        <f>IF(ISNUMBER(VLOOKUP($A193,Haver_M!$B$1:$BZ$300,MATCH(data!BP$1,Haver_M!$B$1:$BZ$1,0),FALSE)),VLOOKUP($A193,Haver_M!$B$1:$BZ$300,MATCH(data!BP$1,Haver_M!$B$1:$BZ$1,0),FALSE),"")</f>
        <v>31.6</v>
      </c>
      <c r="BQ193">
        <f>IF(ISNUMBER(VLOOKUP($A193,Haver_M!$B$1:$BZ$300,MATCH(data!BQ$1,Haver_M!$B$1:$BZ$1,0),FALSE)),VLOOKUP($A193,Haver_M!$B$1:$BZ$300,MATCH(data!BQ$1,Haver_M!$B$1:$BZ$1,0),FALSE),"")</f>
        <v>199.60838194772921</v>
      </c>
      <c r="BR193">
        <f>IF(ISNUMBER(VLOOKUP($A193,Haver_M!$B$1:$BZ$300,MATCH(data!BR$1,Haver_M!$B$1:$BZ$1,0),FALSE)),VLOOKUP($A193,Haver_M!$B$1:$BZ$300,MATCH(data!BR$1,Haver_M!$B$1:$BZ$1,0),FALSE),"")</f>
        <v>404.70932720679326</v>
      </c>
      <c r="BS193">
        <f>IF(ISNUMBER(VLOOKUP($A193,Haver_M!$B$1:$BZ$300,MATCH(data!BS$1,Haver_M!$B$1:$BZ$1,0),FALSE)),VLOOKUP($A193,Haver_M!$B$1:$BZ$300,MATCH(data!BS$1,Haver_M!$B$1:$BZ$1,0),FALSE),"")</f>
        <v>218.96914956716296</v>
      </c>
      <c r="BT193">
        <f>IF(ISNUMBER(VLOOKUP($A193,Haver_M!$B$1:$BZ$300,MATCH(data!BT$1,Haver_M!$B$1:$BZ$1,0),FALSE)),VLOOKUP($A193,Haver_M!$B$1:$BZ$300,MATCH(data!BT$1,Haver_M!$B$1:$BZ$1,0),FALSE),"")</f>
        <v>949.78024040663399</v>
      </c>
      <c r="BU193">
        <f>IF(ISNUMBER(VLOOKUP($A193,Haver_M!$B$1:$BZ$300,MATCH(data!BU$1,Haver_M!$B$1:$BZ$1,0),FALSE)),VLOOKUP($A193,Haver_M!$B$1:$BZ$300,MATCH(data!BU$1,Haver_M!$B$1:$BZ$1,0),FALSE),"")</f>
        <v>22593.35</v>
      </c>
      <c r="BV193">
        <f>IF(ISNUMBER(VLOOKUP($A193,Haver_M!$B$1:$BZ$300,MATCH(data!BV$1,Haver_M!$B$1:$BZ$1,0),FALSE)),VLOOKUP($A193,Haver_M!$B$1:$BZ$300,MATCH(data!BV$1,Haver_M!$B$1:$BZ$1,0),FALSE),"")</f>
        <v>34096.49</v>
      </c>
      <c r="BW193">
        <f>IF(ISNUMBER(VLOOKUP($A193,Haver_M!$B$1:$BZ$300,MATCH(data!BW$1,Haver_M!$B$1:$BZ$1,0),FALSE)),VLOOKUP($A193,Haver_M!$B$1:$BZ$300,MATCH(data!BW$1,Haver_M!$B$1:$BZ$1,0),FALSE),"")</f>
        <v>66.595500000000001</v>
      </c>
      <c r="BX193">
        <f>IF(ISNUMBER(VLOOKUP($A193,Haver_M!$B$1:$BZ$300,MATCH(data!BX$1,Haver_M!$B$1:$BZ$1,0),FALSE)),VLOOKUP($A193,Haver_M!$B$1:$BZ$300,MATCH(data!BX$1,Haver_M!$B$1:$BZ$1,0),FALSE),"")</f>
        <v>56480</v>
      </c>
    </row>
    <row r="194" spans="1:76" x14ac:dyDescent="0.25">
      <c r="A194" s="2">
        <v>42400</v>
      </c>
      <c r="B194" t="str">
        <f>IF(ISNUMBER(VLOOKUP($A194,Haver_Q!$B$1:$L$185,MATCH(data!B$1,Haver_Q!$B$1:$L$1,0),FALSE)),100*(VLOOKUP($A194,Haver_Q!$B$1:$L$185,MATCH(data!B$1,Haver_Q!$B$1:$L$1,0),FALSE)),"")</f>
        <v/>
      </c>
      <c r="C194" t="str">
        <f>IF(ISNUMBER(VLOOKUP($A194,Haver_Q!$B$1:$L$185,MATCH(data!C$1,Haver_Q!$B$1:$L$1,0),FALSE)),100*(VLOOKUP($A194,Haver_Q!$B$1:$L$185,MATCH(data!C$1,Haver_Q!$B$1:$L$1,0),FALSE)),"")</f>
        <v/>
      </c>
      <c r="D194" t="str">
        <f>IF(ISNUMBER(VLOOKUP($A194,Haver_Q!$B$1:$L$185,MATCH(data!D$1,Haver_Q!$B$1:$L$1,0),FALSE)),100*(VLOOKUP($A194,Haver_Q!$B$1:$L$185,MATCH(data!D$1,Haver_Q!$B$1:$L$1,0),FALSE)),"")</f>
        <v/>
      </c>
      <c r="E194" t="str">
        <f>IF(ISNUMBER(VLOOKUP($A194,Haver_Q!$B$1:$L$185,MATCH(data!E$1,Haver_Q!$B$1:$L$1,0),FALSE)),100*(VLOOKUP($A194,Haver_Q!$B$1:$L$185,MATCH(data!E$1,Haver_Q!$B$1:$L$1,0),FALSE)),"")</f>
        <v/>
      </c>
      <c r="F194" t="str">
        <f>IF(ISNUMBER(VLOOKUP($A194,Haver_Q!$B$1:$L$185,MATCH(data!F$1,Haver_Q!$B$1:$L$1,0),FALSE)),100*(VLOOKUP($A194,Haver_Q!$B$1:$L$185,MATCH(data!F$1,Haver_Q!$B$1:$L$1,0),FALSE)),"")</f>
        <v/>
      </c>
      <c r="G194" t="str">
        <f>IF(ISNUMBER(VLOOKUP($A194,Haver_Q!$B$1:$L$185,MATCH(data!G$1,Haver_Q!$B$1:$L$1,0),FALSE)),100*(VLOOKUP($A194,Haver_Q!$B$1:$L$185,MATCH(data!G$1,Haver_Q!$B$1:$L$1,0),FALSE)),"")</f>
        <v/>
      </c>
      <c r="H194" t="str">
        <f>IF(ISNUMBER(VLOOKUP($A194,Haver_Q!$B$1:$L$185,MATCH(data!H$1,Haver_Q!$B$1:$L$1,0),FALSE)),(VLOOKUP($A194,Haver_Q!$B$1:$L$185,MATCH(data!H$1,Haver_Q!$B$1:$L$1,0),FALSE)),"")</f>
        <v/>
      </c>
      <c r="I194" t="str">
        <f>IF(ISNUMBER(VLOOKUP($A194,Haver_Q!$B$1:$L$185,MATCH(data!I$1,Haver_Q!$B$1:$L$1,0),FALSE)),100*(VLOOKUP($A194,Haver_Q!$B$1:$L$185,MATCH(data!I$1,Haver_Q!$B$1:$L$1,0),FALSE)),"")</f>
        <v/>
      </c>
      <c r="J194" s="3">
        <f>IF(ISNUMBER(Bloomberg_m!C210),Bloomberg_m!C210,"")</f>
        <v>386</v>
      </c>
      <c r="K194" s="3">
        <f>IF(ISNUMBER(Bloomberg_m!D210),Bloomberg_m!D210,"")</f>
        <v>1393.37</v>
      </c>
      <c r="L194" s="3">
        <f>IF(ISNUMBER(Bloomberg_m!E210),Bloomberg_m!E210,"")</f>
        <v>658.35</v>
      </c>
      <c r="M194" s="3">
        <f>IF(ISNUMBER(Bloomberg_m!F210),Bloomberg_m!F210,"")</f>
        <v>366.8</v>
      </c>
      <c r="N194">
        <f>IF(ISNUMBER(VLOOKUP($A194,Haver_M!$B$1:$BZ$300,MATCH(data!N$1,Haver_M!$B$1:$BZ$1,0),FALSE)),VLOOKUP($A194,Haver_M!$B$1:$BZ$300,MATCH(data!N$1,Haver_M!$B$1:$BZ$1,0),FALSE),"")</f>
        <v>6.75</v>
      </c>
      <c r="O194">
        <f>IF(ISNUMBER(VLOOKUP($A194,Haver_M!$B$1:$BZ$300,MATCH(data!O$1,Haver_M!$B$1:$BZ$1,0),FALSE)),VLOOKUP($A194,Haver_M!$B$1:$BZ$300,MATCH(data!O$1,Haver_M!$B$1:$BZ$1,0),FALSE),"")</f>
        <v>7.5186999999999999</v>
      </c>
      <c r="P194">
        <f>IF(ISNUMBER(VLOOKUP($A194,Haver_M!$B$1:$BZ$300,MATCH(data!P$1,Haver_M!$B$1:$BZ$1,0),FALSE)),VLOOKUP($A194,Haver_M!$B$1:$BZ$300,MATCH(data!P$1,Haver_M!$B$1:$BZ$1,0),FALSE),"")</f>
        <v>92.370829999999998</v>
      </c>
      <c r="Q194">
        <f>IF(ISNUMBER(VLOOKUP($A194,Haver_M!$B$1:$BZ$300,MATCH(data!Q$1,Haver_M!$B$1:$BZ$1,0),FALSE)),VLOOKUP($A194,Haver_M!$B$1:$BZ$300,MATCH(data!Q$1,Haver_M!$B$1:$BZ$1,0),FALSE),"")</f>
        <v>126.3</v>
      </c>
      <c r="R194">
        <f>IF(ISNUMBER(VLOOKUP($A194,Haver_M!$B$1:$BZ$300,MATCH(data!R$1,Haver_M!$B$1:$BZ$1,0),FALSE)),VLOOKUP($A194,Haver_M!$B$1:$BZ$300,MATCH(data!R$1,Haver_M!$B$1:$BZ$1,0),FALSE),"")</f>
        <v>123.7</v>
      </c>
      <c r="S194">
        <f>IF(ISNUMBER(VLOOKUP($A194,Haver_M!$B$1:$BZ$300,MATCH(data!S$1,Haver_M!$B$1:$BZ$1,0),FALSE)),VLOOKUP($A194,Haver_M!$B$1:$BZ$300,MATCH(data!S$1,Haver_M!$B$1:$BZ$1,0),FALSE),"")</f>
        <v>116.02</v>
      </c>
      <c r="T194">
        <f>IF(ISNUMBER(VLOOKUP($A194,Haver_M!$B$1:$BZ$300,MATCH(data!T$1,Haver_M!$B$1:$BZ$1,0),FALSE)),VLOOKUP($A194,Haver_M!$B$1:$BZ$300,MATCH(data!T$1,Haver_M!$B$1:$BZ$1,0),FALSE),"")</f>
        <v>113.01</v>
      </c>
      <c r="U194">
        <f>IF(ISNUMBER(VLOOKUP($A194,Haver_M!$B$1:$BZ$300,MATCH(data!U$1,Haver_M!$B$1:$BZ$1,0),FALSE)),VLOOKUP($A194,Haver_M!$B$1:$BZ$300,MATCH(data!U$1,Haver_M!$B$1:$BZ$1,0),FALSE),"")</f>
        <v>103.24</v>
      </c>
      <c r="V194">
        <f>IF(ISNUMBER(VLOOKUP($A194,Haver_M!$B$1:$BZ$300,MATCH(data!V$1,Haver_M!$B$1:$BZ$1,0),FALSE)),VLOOKUP($A194,Haver_M!$B$1:$BZ$300,MATCH(data!V$1,Haver_M!$B$1:$BZ$1,0),FALSE),"")</f>
        <v>118.51</v>
      </c>
      <c r="W194">
        <f>IF(ISNUMBER(VLOOKUP($A194,Haver_M!$B$1:$BZ$300,MATCH(data!W$1,Haver_M!$B$1:$BZ$1,0),FALSE)),VLOOKUP($A194,Haver_M!$B$1:$BZ$300,MATCH(data!W$1,Haver_M!$B$1:$BZ$1,0),FALSE),"")</f>
        <v>121.75</v>
      </c>
      <c r="X194">
        <f>IF(ISNUMBER(VLOOKUP($A194,Haver_M!$B$1:$BZ$300,MATCH(data!X$1,Haver_M!$B$1:$BZ$1,0),FALSE)),VLOOKUP($A194,Haver_M!$B$1:$BZ$300,MATCH(data!X$1,Haver_M!$B$1:$BZ$1,0),FALSE),"")</f>
        <v>120.28</v>
      </c>
      <c r="Y194">
        <f>IF(ISNUMBER(VLOOKUP($A194,Haver_M!$B$1:$BZ$300,MATCH(data!Y$1,Haver_M!$B$1:$BZ$1,0),FALSE)),VLOOKUP($A194,Haver_M!$B$1:$BZ$300,MATCH(data!Y$1,Haver_M!$B$1:$BZ$1,0),FALSE),"")</f>
        <v>118.29</v>
      </c>
      <c r="Z194">
        <f>IF(ISNUMBER(VLOOKUP($A194,Haver_M!$B$1:$BZ$300,MATCH(data!Z$1,Haver_M!$B$1:$BZ$1,0),FALSE)),VLOOKUP($A194,Haver_M!$B$1:$BZ$300,MATCH(data!Z$1,Haver_M!$B$1:$BZ$1,0),FALSE),"")</f>
        <v>116.6</v>
      </c>
      <c r="AA194">
        <f>IF(ISNUMBER(VLOOKUP($A194,Haver_M!$B$1:$BZ$300,MATCH(data!AA$1,Haver_M!$B$1:$BZ$1,0),FALSE)),VLOOKUP($A194,Haver_M!$B$1:$BZ$300,MATCH(data!AA$1,Haver_M!$B$1:$BZ$1,0),FALSE),"")</f>
        <v>119.56399999999999</v>
      </c>
      <c r="AB194">
        <f>IF(ISNUMBER(VLOOKUP($A194,Haver_M!$B$1:$BZ$300,MATCH(data!AB$1,Haver_M!$B$1:$BZ$1,0),FALSE)),VLOOKUP($A194,Haver_M!$B$1:$BZ$300,MATCH(data!AB$1,Haver_M!$B$1:$BZ$1,0),FALSE),"")</f>
        <v>94.591999999999999</v>
      </c>
      <c r="AC194">
        <f>IF(ISNUMBER(VLOOKUP($A194,Haver_M!$B$1:$BZ$300,MATCH(data!AC$1,Haver_M!$B$1:$BZ$1,0),FALSE)),VLOOKUP($A194,Haver_M!$B$1:$BZ$300,MATCH(data!AC$1,Haver_M!$B$1:$BZ$1,0),FALSE),"")</f>
        <v>60.036999999999999</v>
      </c>
      <c r="AD194">
        <f>IF(ISNUMBER(VLOOKUP($A194,Haver_M!$B$1:$BZ$300,MATCH(data!AD$1,Haver_M!$B$1:$BZ$1,0),FALSE)),VLOOKUP($A194,Haver_M!$B$1:$BZ$300,MATCH(data!AD$1,Haver_M!$B$1:$BZ$1,0),FALSE),"")</f>
        <v>118.556</v>
      </c>
      <c r="AE194">
        <f>IF(ISNUMBER(VLOOKUP($A194,Haver_M!$B$1:$BZ$300,MATCH(data!AE$1,Haver_M!$B$1:$BZ$1,0),FALSE)),VLOOKUP($A194,Haver_M!$B$1:$BZ$300,MATCH(data!AE$1,Haver_M!$B$1:$BZ$1,0),FALSE),"")</f>
        <v>105.59399999999999</v>
      </c>
      <c r="AF194">
        <f>IF(ISNUMBER(VLOOKUP($A194,Haver_M!$B$1:$BZ$300,MATCH(data!AF$1,Haver_M!$B$1:$BZ$1,0),FALSE)),VLOOKUP($A194,Haver_M!$B$1:$BZ$300,MATCH(data!AF$1,Haver_M!$B$1:$BZ$1,0),FALSE),"")</f>
        <v>122.801</v>
      </c>
      <c r="AG194">
        <f>IF(ISNUMBER(VLOOKUP($A194,Haver_M!$B$1:$BZ$300,MATCH(data!AG$1,Haver_M!$B$1:$BZ$1,0),FALSE)),VLOOKUP($A194,Haver_M!$B$1:$BZ$300,MATCH(data!AG$1,Haver_M!$B$1:$BZ$1,0),FALSE),"")</f>
        <v>128.642</v>
      </c>
      <c r="AH194">
        <f>IF(ISNUMBER(VLOOKUP($A194,Haver_M!$B$1:$BZ$300,MATCH(data!AH$1,Haver_M!$B$1:$BZ$1,0),FALSE)),VLOOKUP($A194,Haver_M!$B$1:$BZ$300,MATCH(data!AH$1,Haver_M!$B$1:$BZ$1,0),FALSE),"")</f>
        <v>135.57499999999999</v>
      </c>
      <c r="AI194">
        <f>IF(ISNUMBER(VLOOKUP($A194,Haver_M!$B$1:$BZ$300,MATCH(data!AI$1,Haver_M!$B$1:$BZ$1,0),FALSE)),VLOOKUP($A194,Haver_M!$B$1:$BZ$300,MATCH(data!AI$1,Haver_M!$B$1:$BZ$1,0),FALSE),"")</f>
        <v>16204.914813372839</v>
      </c>
      <c r="AJ194">
        <f>IF(ISNUMBER(VLOOKUP($A194,Haver_M!$B$1:$BZ$300,MATCH(data!AJ$1,Haver_M!$B$1:$BZ$1,0),FALSE)),VLOOKUP($A194,Haver_M!$B$1:$BZ$300,MATCH(data!AJ$1,Haver_M!$B$1:$BZ$1,0),FALSE),"")</f>
        <v>21541.86</v>
      </c>
      <c r="AK194">
        <f>IF(ISNUMBER(VLOOKUP($A194,Haver_M!$B$1:$BZ$300,MATCH(data!AK$1,Haver_M!$B$1:$BZ$1,0),FALSE)),VLOOKUP($A194,Haver_M!$B$1:$BZ$300,MATCH(data!AK$1,Haver_M!$B$1:$BZ$1,0),FALSE),"")</f>
        <v>29694.11</v>
      </c>
      <c r="AL194">
        <f>IF(ISNUMBER(VLOOKUP($A194,Haver_M!$B$1:$BZ$300,MATCH(data!AL$1,Haver_M!$B$1:$BZ$1,0),FALSE)),VLOOKUP($A194,Haver_M!$B$1:$BZ$300,MATCH(data!AL$1,Haver_M!$B$1:$BZ$1,0),FALSE),"")</f>
        <v>12573</v>
      </c>
      <c r="AM194">
        <f>IF(ISNUMBER(VLOOKUP($A194,Haver_M!$B$1:$BZ$300,MATCH(data!AM$1,Haver_M!$B$1:$BZ$1,0),FALSE)),VLOOKUP($A194,Haver_M!$B$1:$BZ$300,MATCH(data!AM$1,Haver_M!$B$1:$BZ$1,0),FALSE),"")</f>
        <v>6841</v>
      </c>
      <c r="AN194" t="str">
        <f>IF(ISNUMBER(VLOOKUP($A194,Haver_M!$B$1:$BZ$300,MATCH(data!AN$1,Haver_M!$B$1:$BZ$1,0),FALSE)),VLOOKUP($A194,Haver_M!$B$1:$BZ$300,MATCH(data!AN$1,Haver_M!$B$1:$BZ$1,0),FALSE),"")</f>
        <v/>
      </c>
      <c r="AO194" t="str">
        <f>IF(ISNUMBER(VLOOKUP($A194,Haver_M!$B$1:$BZ$300,MATCH(data!AO$1,Haver_M!$B$1:$BZ$1,0),FALSE)),VLOOKUP($A194,Haver_M!$B$1:$BZ$300,MATCH(data!AO$1,Haver_M!$B$1:$BZ$1,0),FALSE),"")</f>
        <v/>
      </c>
      <c r="AP194">
        <f>IF(ISNUMBER(VLOOKUP($A194,Haver_M!$B$1:$BZ$300,MATCH(data!AP$1,Haver_M!$B$1:$BZ$1,0),FALSE)),VLOOKUP($A194,Haver_M!$B$1:$BZ$300,MATCH(data!AP$1,Haver_M!$B$1:$BZ$1,0),FALSE),"")</f>
        <v>67.86213228628425</v>
      </c>
      <c r="AQ194">
        <f>IF(ISNUMBER(VLOOKUP($A194,Haver_M!$B$1:$BZ$300,MATCH(data!AQ$1,Haver_M!$B$1:$BZ$1,0),FALSE)),VLOOKUP($A194,Haver_M!$B$1:$BZ$300,MATCH(data!AQ$1,Haver_M!$B$1:$BZ$1,0),FALSE),"")</f>
        <v>53.292200000000001</v>
      </c>
      <c r="AR194">
        <f>IF(ISNUMBER(VLOOKUP($A194,Haver_M!$B$1:$BZ$300,MATCH(data!AR$1,Haver_M!$B$1:$BZ$1,0),FALSE)),VLOOKUP($A194,Haver_M!$B$1:$BZ$300,MATCH(data!AR$1,Haver_M!$B$1:$BZ$1,0),FALSE),"")</f>
        <v>51.144199999999998</v>
      </c>
      <c r="AS194">
        <f>IF(ISNUMBER(VLOOKUP($A194,Haver_M!$B$1:$BZ$300,MATCH(data!AS$1,Haver_M!$B$1:$BZ$1,0),FALSE)),VLOOKUP($A194,Haver_M!$B$1:$BZ$300,MATCH(data!AS$1,Haver_M!$B$1:$BZ$1,0),FALSE),"")</f>
        <v>54.276899999999998</v>
      </c>
      <c r="AT194">
        <f>IF(ISNUMBER(VLOOKUP($A194,Haver_M!$B$1:$BZ$300,MATCH(data!AT$1,Haver_M!$B$1:$BZ$1,0),FALSE)),VLOOKUP($A194,Haver_M!$B$1:$BZ$300,MATCH(data!AT$1,Haver_M!$B$1:$BZ$1,0),FALSE),"")</f>
        <v>51.332999999999998</v>
      </c>
      <c r="AU194">
        <f>IF(ISNUMBER(VLOOKUP($A194,Haver_M!$B$1:$BZ$300,MATCH(data!AU$1,Haver_M!$B$1:$BZ$1,0),FALSE)),VLOOKUP($A194,Haver_M!$B$1:$BZ$300,MATCH(data!AU$1,Haver_M!$B$1:$BZ$1,0),FALSE),"")</f>
        <v>51.742199999999997</v>
      </c>
      <c r="AV194">
        <f>IF(ISNUMBER(VLOOKUP($A194,Haver_M!$B$1:$BZ$300,MATCH(data!AV$1,Haver_M!$B$1:$BZ$1,0),FALSE)),VLOOKUP($A194,Haver_M!$B$1:$BZ$300,MATCH(data!AV$1,Haver_M!$B$1:$BZ$1,0),FALSE),"")</f>
        <v>50.360300000000002</v>
      </c>
      <c r="AW194">
        <f>IF(ISNUMBER(VLOOKUP($A194,Haver_M!$B$1:$BZ$300,MATCH(data!AW$1,Haver_M!$B$1:$BZ$1,0),FALSE)),VLOOKUP($A194,Haver_M!$B$1:$BZ$300,MATCH(data!AW$1,Haver_M!$B$1:$BZ$1,0),FALSE),"")</f>
        <v>49.845700000000001</v>
      </c>
      <c r="AX194">
        <f>IF(ISNUMBER(VLOOKUP($A194,Haver_M!$B$1:$BZ$300,MATCH(data!AX$1,Haver_M!$B$1:$BZ$1,0),FALSE)),VLOOKUP($A194,Haver_M!$B$1:$BZ$300,MATCH(data!AX$1,Haver_M!$B$1:$BZ$1,0),FALSE),"")</f>
        <v>51.931199999999997</v>
      </c>
      <c r="AY194">
        <f>IF(ISNUMBER(VLOOKUP($A194,Haver_M!$B$1:$BZ$300,MATCH(data!AY$1,Haver_M!$B$1:$BZ$1,0),FALSE)),VLOOKUP($A194,Haver_M!$B$1:$BZ$300,MATCH(data!AY$1,Haver_M!$B$1:$BZ$1,0),FALSE),"")</f>
        <v>53.064900000000002</v>
      </c>
      <c r="AZ194">
        <f>IF(ISNUMBER(VLOOKUP($A194,Haver_M!$B$1:$BZ$300,MATCH(data!AZ$1,Haver_M!$B$1:$BZ$1,0),FALSE)),VLOOKUP($A194,Haver_M!$B$1:$BZ$300,MATCH(data!AZ$1,Haver_M!$B$1:$BZ$1,0),FALSE),"")</f>
        <v>51.101500000000001</v>
      </c>
      <c r="BA194">
        <f>IF(ISNUMBER(VLOOKUP($A194,Haver_M!$B$1:$BZ$300,MATCH(data!BA$1,Haver_M!$B$1:$BZ$1,0),FALSE)),VLOOKUP($A194,Haver_M!$B$1:$BZ$300,MATCH(data!BA$1,Haver_M!$B$1:$BZ$1,0),FALSE),"")</f>
        <v>51.931199999999997</v>
      </c>
      <c r="BB194">
        <f>IF(ISNUMBER(VLOOKUP($A194,Haver_M!$B$1:$BZ$300,MATCH(data!BB$1,Haver_M!$B$1:$BZ$1,0),FALSE)),VLOOKUP($A194,Haver_M!$B$1:$BZ$300,MATCH(data!BB$1,Haver_M!$B$1:$BZ$1,0),FALSE),"")</f>
        <v>52.493000000000002</v>
      </c>
      <c r="BC194">
        <f>IF(ISNUMBER(VLOOKUP($A194,Haver_M!$B$1:$BZ$300,MATCH(data!BC$1,Haver_M!$B$1:$BZ$1,0),FALSE)),VLOOKUP($A194,Haver_M!$B$1:$BZ$300,MATCH(data!BC$1,Haver_M!$B$1:$BZ$1,0),FALSE),"")</f>
        <v>51.105800000000002</v>
      </c>
      <c r="BD194">
        <f>IF(ISNUMBER(VLOOKUP($A194,Haver_M!$B$1:$BZ$300,MATCH(data!BD$1,Haver_M!$B$1:$BZ$1,0),FALSE)),VLOOKUP($A194,Haver_M!$B$1:$BZ$300,MATCH(data!BD$1,Haver_M!$B$1:$BZ$1,0),FALSE),"")</f>
        <v>51.5304</v>
      </c>
      <c r="BE194">
        <f>IF(ISNUMBER(VLOOKUP($A194,Haver_M!$B$1:$BZ$300,MATCH(data!BE$1,Haver_M!$B$1:$BZ$1,0),FALSE)),VLOOKUP($A194,Haver_M!$B$1:$BZ$300,MATCH(data!BE$1,Haver_M!$B$1:$BZ$1,0),FALSE),"")</f>
        <v>1.0644</v>
      </c>
      <c r="BF194">
        <f>IF(ISNUMBER(VLOOKUP($A194,Haver_M!$B$1:$BZ$300,MATCH(data!BF$1,Haver_M!$B$1:$BZ$1,0),FALSE)),VLOOKUP($A194,Haver_M!$B$1:$BZ$300,MATCH(data!BF$1,Haver_M!$B$1:$BZ$1,0),FALSE),"")</f>
        <v>50.158299999999997</v>
      </c>
      <c r="BG194">
        <f>IF(ISNUMBER(VLOOKUP($A194,Haver_M!$B$1:$BZ$300,MATCH(data!BG$1,Haver_M!$B$1:$BZ$1,0),FALSE)),VLOOKUP($A194,Haver_M!$B$1:$BZ$300,MATCH(data!BG$1,Haver_M!$B$1:$BZ$1,0),FALSE),"")</f>
        <v>50.526299999999999</v>
      </c>
      <c r="BH194">
        <f>IF(ISNUMBER(VLOOKUP($A194,Haver_M!$B$1:$BZ$300,MATCH(data!BH$1,Haver_M!$B$1:$BZ$1,0),FALSE)),VLOOKUP($A194,Haver_M!$B$1:$BZ$300,MATCH(data!BH$1,Haver_M!$B$1:$BZ$1,0),FALSE),"")</f>
        <v>54.065300000000001</v>
      </c>
      <c r="BI194">
        <f>IF(ISNUMBER(VLOOKUP($A194,Haver_M!$B$1:$BZ$300,MATCH(data!BI$1,Haver_M!$B$1:$BZ$1,0),FALSE)),VLOOKUP($A194,Haver_M!$B$1:$BZ$300,MATCH(data!BI$1,Haver_M!$B$1:$BZ$1,0),FALSE),"")</f>
        <v>51.742400000000004</v>
      </c>
      <c r="BJ194">
        <f>IF(ISNUMBER(VLOOKUP($A194,Haver_M!$B$1:$BZ$300,MATCH(data!BJ$1,Haver_M!$B$1:$BZ$1,0),FALSE)),VLOOKUP($A194,Haver_M!$B$1:$BZ$300,MATCH(data!BJ$1,Haver_M!$B$1:$BZ$1,0),FALSE),"")</f>
        <v>50.857399999999998</v>
      </c>
      <c r="BK194">
        <f>IF(ISNUMBER(VLOOKUP($A194,Haver_M!$B$1:$BZ$300,MATCH(data!BK$1,Haver_M!$B$1:$BZ$1,0),FALSE)),VLOOKUP($A194,Haver_M!$B$1:$BZ$300,MATCH(data!BK$1,Haver_M!$B$1:$BZ$1,0),FALSE),"")</f>
        <v>51.971400000000003</v>
      </c>
      <c r="BL194">
        <f>IF(ISNUMBER(VLOOKUP($A194,Haver_M!$B$1:$BZ$300,MATCH(data!BL$1,Haver_M!$B$1:$BZ$1,0),FALSE)),VLOOKUP($A194,Haver_M!$B$1:$BZ$300,MATCH(data!BL$1,Haver_M!$B$1:$BZ$1,0),FALSE),"")</f>
        <v>24779.65</v>
      </c>
      <c r="BM194">
        <f>IF(ISNUMBER(VLOOKUP($A194,Haver_M!$B$1:$BZ$300,MATCH(data!BM$1,Haver_M!$B$1:$BZ$1,0),FALSE)),VLOOKUP($A194,Haver_M!$B$1:$BZ$300,MATCH(data!BM$1,Haver_M!$B$1:$BZ$1,0),FALSE),"")</f>
        <v>101.37057289000001</v>
      </c>
      <c r="BN194" t="str">
        <f>IF(ISNUMBER(VLOOKUP($A194,Haver_M!$B$1:$BZ$300,MATCH(data!BN$1,Haver_M!$B$1:$BZ$1,0),FALSE)),VLOOKUP($A194,Haver_M!$B$1:$BZ$300,MATCH(data!BN$1,Haver_M!$B$1:$BZ$1,0),FALSE),"")</f>
        <v/>
      </c>
      <c r="BO194" t="str">
        <f>IF(ISNUMBER(VLOOKUP($A194,Haver_M!$B$1:$BZ$300,MATCH(data!BO$1,Haver_M!$B$1:$BZ$1,0),FALSE)),VLOOKUP($A194,Haver_M!$B$1:$BZ$300,MATCH(data!BO$1,Haver_M!$B$1:$BZ$1,0),FALSE),"")</f>
        <v/>
      </c>
      <c r="BP194" t="str">
        <f>IF(ISNUMBER(VLOOKUP($A194,Haver_M!$B$1:$BZ$300,MATCH(data!BP$1,Haver_M!$B$1:$BZ$1,0),FALSE)),VLOOKUP($A194,Haver_M!$B$1:$BZ$300,MATCH(data!BP$1,Haver_M!$B$1:$BZ$1,0),FALSE),"")</f>
        <v/>
      </c>
      <c r="BQ194">
        <f>IF(ISNUMBER(VLOOKUP($A194,Haver_M!$B$1:$BZ$300,MATCH(data!BQ$1,Haver_M!$B$1:$BZ$1,0),FALSE)),VLOOKUP($A194,Haver_M!$B$1:$BZ$300,MATCH(data!BQ$1,Haver_M!$B$1:$BZ$1,0),FALSE),"")</f>
        <v>200.60548115083051</v>
      </c>
      <c r="BR194">
        <f>IF(ISNUMBER(VLOOKUP($A194,Haver_M!$B$1:$BZ$300,MATCH(data!BR$1,Haver_M!$B$1:$BZ$1,0),FALSE)),VLOOKUP($A194,Haver_M!$B$1:$BZ$300,MATCH(data!BR$1,Haver_M!$B$1:$BZ$1,0),FALSE),"")</f>
        <v>405.10034601047101</v>
      </c>
      <c r="BS194">
        <f>IF(ISNUMBER(VLOOKUP($A194,Haver_M!$B$1:$BZ$300,MATCH(data!BS$1,Haver_M!$B$1:$BZ$1,0),FALSE)),VLOOKUP($A194,Haver_M!$B$1:$BZ$300,MATCH(data!BS$1,Haver_M!$B$1:$BZ$1,0),FALSE),"")</f>
        <v>219.05540777044055</v>
      </c>
      <c r="BT194">
        <f>IF(ISNUMBER(VLOOKUP($A194,Haver_M!$B$1:$BZ$300,MATCH(data!BT$1,Haver_M!$B$1:$BZ$1,0),FALSE)),VLOOKUP($A194,Haver_M!$B$1:$BZ$300,MATCH(data!BT$1,Haver_M!$B$1:$BZ$1,0),FALSE),"")</f>
        <v>951.36106869207447</v>
      </c>
      <c r="BU194">
        <f>IF(ISNUMBER(VLOOKUP($A194,Haver_M!$B$1:$BZ$300,MATCH(data!BU$1,Haver_M!$B$1:$BZ$1,0),FALSE)),VLOOKUP($A194,Haver_M!$B$1:$BZ$300,MATCH(data!BU$1,Haver_M!$B$1:$BZ$1,0),FALSE),"")</f>
        <v>21199.03</v>
      </c>
      <c r="BV194">
        <f>IF(ISNUMBER(VLOOKUP($A194,Haver_M!$B$1:$BZ$300,MATCH(data!BV$1,Haver_M!$B$1:$BZ$1,0),FALSE)),VLOOKUP($A194,Haver_M!$B$1:$BZ$300,MATCH(data!BV$1,Haver_M!$B$1:$BZ$1,0),FALSE),"")</f>
        <v>28866.53</v>
      </c>
      <c r="BW194">
        <f>IF(ISNUMBER(VLOOKUP($A194,Haver_M!$B$1:$BZ$300,MATCH(data!BW$1,Haver_M!$B$1:$BZ$1,0),FALSE)),VLOOKUP($A194,Haver_M!$B$1:$BZ$300,MATCH(data!BW$1,Haver_M!$B$1:$BZ$1,0),FALSE),"")</f>
        <v>67.252300000000005</v>
      </c>
      <c r="BX194">
        <f>IF(ISNUMBER(VLOOKUP($A194,Haver_M!$B$1:$BZ$300,MATCH(data!BX$1,Haver_M!$B$1:$BZ$1,0),FALSE)),VLOOKUP($A194,Haver_M!$B$1:$BZ$300,MATCH(data!BX$1,Haver_M!$B$1:$BZ$1,0),FALSE),"")</f>
        <v>55586</v>
      </c>
    </row>
    <row r="195" spans="1:76" x14ac:dyDescent="0.25">
      <c r="A195" s="2">
        <v>42429</v>
      </c>
      <c r="B195" t="str">
        <f>IF(ISNUMBER(VLOOKUP($A195,Haver_Q!$B$1:$L$185,MATCH(data!B$1,Haver_Q!$B$1:$L$1,0),FALSE)),100*(VLOOKUP($A195,Haver_Q!$B$1:$L$185,MATCH(data!B$1,Haver_Q!$B$1:$L$1,0),FALSE)),"")</f>
        <v/>
      </c>
      <c r="C195" t="str">
        <f>IF(ISNUMBER(VLOOKUP($A195,Haver_Q!$B$1:$L$185,MATCH(data!C$1,Haver_Q!$B$1:$L$1,0),FALSE)),100*(VLOOKUP($A195,Haver_Q!$B$1:$L$185,MATCH(data!C$1,Haver_Q!$B$1:$L$1,0),FALSE)),"")</f>
        <v/>
      </c>
      <c r="D195" t="str">
        <f>IF(ISNUMBER(VLOOKUP($A195,Haver_Q!$B$1:$L$185,MATCH(data!D$1,Haver_Q!$B$1:$L$1,0),FALSE)),100*(VLOOKUP($A195,Haver_Q!$B$1:$L$185,MATCH(data!D$1,Haver_Q!$B$1:$L$1,0),FALSE)),"")</f>
        <v/>
      </c>
      <c r="E195" t="str">
        <f>IF(ISNUMBER(VLOOKUP($A195,Haver_Q!$B$1:$L$185,MATCH(data!E$1,Haver_Q!$B$1:$L$1,0),FALSE)),100*(VLOOKUP($A195,Haver_Q!$B$1:$L$185,MATCH(data!E$1,Haver_Q!$B$1:$L$1,0),FALSE)),"")</f>
        <v/>
      </c>
      <c r="F195" t="str">
        <f>IF(ISNUMBER(VLOOKUP($A195,Haver_Q!$B$1:$L$185,MATCH(data!F$1,Haver_Q!$B$1:$L$1,0),FALSE)),100*(VLOOKUP($A195,Haver_Q!$B$1:$L$185,MATCH(data!F$1,Haver_Q!$B$1:$L$1,0),FALSE)),"")</f>
        <v/>
      </c>
      <c r="G195" t="str">
        <f>IF(ISNUMBER(VLOOKUP($A195,Haver_Q!$B$1:$L$185,MATCH(data!G$1,Haver_Q!$B$1:$L$1,0),FALSE)),100*(VLOOKUP($A195,Haver_Q!$B$1:$L$185,MATCH(data!G$1,Haver_Q!$B$1:$L$1,0),FALSE)),"")</f>
        <v/>
      </c>
      <c r="H195" t="str">
        <f>IF(ISNUMBER(VLOOKUP($A195,Haver_Q!$B$1:$L$185,MATCH(data!H$1,Haver_Q!$B$1:$L$1,0),FALSE)),(VLOOKUP($A195,Haver_Q!$B$1:$L$185,MATCH(data!H$1,Haver_Q!$B$1:$L$1,0),FALSE)),"")</f>
        <v/>
      </c>
      <c r="I195" t="str">
        <f>IF(ISNUMBER(VLOOKUP($A195,Haver_Q!$B$1:$L$185,MATCH(data!I$1,Haver_Q!$B$1:$L$1,0),FALSE)),100*(VLOOKUP($A195,Haver_Q!$B$1:$L$185,MATCH(data!I$1,Haver_Q!$B$1:$L$1,0),FALSE)),"")</f>
        <v/>
      </c>
      <c r="J195" s="3">
        <f>IF(ISNUMBER(Bloomberg_m!C211),Bloomberg_m!C211,"")</f>
        <v>307</v>
      </c>
      <c r="K195" s="3">
        <f>IF(ISNUMBER(Bloomberg_m!D211),Bloomberg_m!D211,"")</f>
        <v>1013.25</v>
      </c>
      <c r="L195" s="3">
        <f>IF(ISNUMBER(Bloomberg_m!E211),Bloomberg_m!E211,"")</f>
        <v>507.05</v>
      </c>
      <c r="M195" s="3">
        <f>IF(ISNUMBER(Bloomberg_m!F211),Bloomberg_m!F211,"")</f>
        <v>365.82</v>
      </c>
      <c r="N195">
        <f>IF(ISNUMBER(VLOOKUP($A195,Haver_M!$B$1:$BZ$300,MATCH(data!N$1,Haver_M!$B$1:$BZ$1,0),FALSE)),VLOOKUP($A195,Haver_M!$B$1:$BZ$300,MATCH(data!N$1,Haver_M!$B$1:$BZ$1,0),FALSE),"")</f>
        <v>6.75</v>
      </c>
      <c r="O195">
        <f>IF(ISNUMBER(VLOOKUP($A195,Haver_M!$B$1:$BZ$300,MATCH(data!O$1,Haver_M!$B$1:$BZ$1,0),FALSE)),VLOOKUP($A195,Haver_M!$B$1:$BZ$300,MATCH(data!O$1,Haver_M!$B$1:$BZ$1,0),FALSE),"")</f>
        <v>7.6384999999999996</v>
      </c>
      <c r="P195">
        <f>IF(ISNUMBER(VLOOKUP($A195,Haver_M!$B$1:$BZ$300,MATCH(data!P$1,Haver_M!$B$1:$BZ$1,0),FALSE)),VLOOKUP($A195,Haver_M!$B$1:$BZ$300,MATCH(data!P$1,Haver_M!$B$1:$BZ$1,0),FALSE),"")</f>
        <v>90.03537</v>
      </c>
      <c r="Q195">
        <f>IF(ISNUMBER(VLOOKUP($A195,Haver_M!$B$1:$BZ$300,MATCH(data!Q$1,Haver_M!$B$1:$BZ$1,0),FALSE)),VLOOKUP($A195,Haver_M!$B$1:$BZ$300,MATCH(data!Q$1,Haver_M!$B$1:$BZ$1,0),FALSE),"")</f>
        <v>126</v>
      </c>
      <c r="R195">
        <f>IF(ISNUMBER(VLOOKUP($A195,Haver_M!$B$1:$BZ$300,MATCH(data!R$1,Haver_M!$B$1:$BZ$1,0),FALSE)),VLOOKUP($A195,Haver_M!$B$1:$BZ$300,MATCH(data!R$1,Haver_M!$B$1:$BZ$1,0),FALSE),"")</f>
        <v>124.4</v>
      </c>
      <c r="S195">
        <f>IF(ISNUMBER(VLOOKUP($A195,Haver_M!$B$1:$BZ$300,MATCH(data!S$1,Haver_M!$B$1:$BZ$1,0),FALSE)),VLOOKUP($A195,Haver_M!$B$1:$BZ$300,MATCH(data!S$1,Haver_M!$B$1:$BZ$1,0),FALSE),"")</f>
        <v>115.6</v>
      </c>
      <c r="T195">
        <f>IF(ISNUMBER(VLOOKUP($A195,Haver_M!$B$1:$BZ$300,MATCH(data!T$1,Haver_M!$B$1:$BZ$1,0),FALSE)),VLOOKUP($A195,Haver_M!$B$1:$BZ$300,MATCH(data!T$1,Haver_M!$B$1:$BZ$1,0),FALSE),"")</f>
        <v>114.61</v>
      </c>
      <c r="U195">
        <f>IF(ISNUMBER(VLOOKUP($A195,Haver_M!$B$1:$BZ$300,MATCH(data!U$1,Haver_M!$B$1:$BZ$1,0),FALSE)),VLOOKUP($A195,Haver_M!$B$1:$BZ$300,MATCH(data!U$1,Haver_M!$B$1:$BZ$1,0),FALSE),"")</f>
        <v>98.54</v>
      </c>
      <c r="V195">
        <f>IF(ISNUMBER(VLOOKUP($A195,Haver_M!$B$1:$BZ$300,MATCH(data!V$1,Haver_M!$B$1:$BZ$1,0),FALSE)),VLOOKUP($A195,Haver_M!$B$1:$BZ$300,MATCH(data!V$1,Haver_M!$B$1:$BZ$1,0),FALSE),"")</f>
        <v>117.5</v>
      </c>
      <c r="W195">
        <f>IF(ISNUMBER(VLOOKUP($A195,Haver_M!$B$1:$BZ$300,MATCH(data!W$1,Haver_M!$B$1:$BZ$1,0),FALSE)),VLOOKUP($A195,Haver_M!$B$1:$BZ$300,MATCH(data!W$1,Haver_M!$B$1:$BZ$1,0),FALSE),"")</f>
        <v>123</v>
      </c>
      <c r="X195">
        <f>IF(ISNUMBER(VLOOKUP($A195,Haver_M!$B$1:$BZ$300,MATCH(data!X$1,Haver_M!$B$1:$BZ$1,0),FALSE)),VLOOKUP($A195,Haver_M!$B$1:$BZ$300,MATCH(data!X$1,Haver_M!$B$1:$BZ$1,0),FALSE),"")</f>
        <v>124.33</v>
      </c>
      <c r="Y195">
        <f>IF(ISNUMBER(VLOOKUP($A195,Haver_M!$B$1:$BZ$300,MATCH(data!Y$1,Haver_M!$B$1:$BZ$1,0),FALSE)),VLOOKUP($A195,Haver_M!$B$1:$BZ$300,MATCH(data!Y$1,Haver_M!$B$1:$BZ$1,0),FALSE),"")</f>
        <v>119.26</v>
      </c>
      <c r="Z195">
        <f>IF(ISNUMBER(VLOOKUP($A195,Haver_M!$B$1:$BZ$300,MATCH(data!Z$1,Haver_M!$B$1:$BZ$1,0),FALSE)),VLOOKUP($A195,Haver_M!$B$1:$BZ$300,MATCH(data!Z$1,Haver_M!$B$1:$BZ$1,0),FALSE),"")</f>
        <v>117.2</v>
      </c>
      <c r="AA195">
        <f>IF(ISNUMBER(VLOOKUP($A195,Haver_M!$B$1:$BZ$300,MATCH(data!AA$1,Haver_M!$B$1:$BZ$1,0),FALSE)),VLOOKUP($A195,Haver_M!$B$1:$BZ$300,MATCH(data!AA$1,Haver_M!$B$1:$BZ$1,0),FALSE),"")</f>
        <v>115.346</v>
      </c>
      <c r="AB195">
        <f>IF(ISNUMBER(VLOOKUP($A195,Haver_M!$B$1:$BZ$300,MATCH(data!AB$1,Haver_M!$B$1:$BZ$1,0),FALSE)),VLOOKUP($A195,Haver_M!$B$1:$BZ$300,MATCH(data!AB$1,Haver_M!$B$1:$BZ$1,0),FALSE),"")</f>
        <v>95.307000000000002</v>
      </c>
      <c r="AC195">
        <f>IF(ISNUMBER(VLOOKUP($A195,Haver_M!$B$1:$BZ$300,MATCH(data!AC$1,Haver_M!$B$1:$BZ$1,0),FALSE)),VLOOKUP($A195,Haver_M!$B$1:$BZ$300,MATCH(data!AC$1,Haver_M!$B$1:$BZ$1,0),FALSE),"")</f>
        <v>67.635000000000005</v>
      </c>
      <c r="AD195">
        <f>IF(ISNUMBER(VLOOKUP($A195,Haver_M!$B$1:$BZ$300,MATCH(data!AD$1,Haver_M!$B$1:$BZ$1,0),FALSE)),VLOOKUP($A195,Haver_M!$B$1:$BZ$300,MATCH(data!AD$1,Haver_M!$B$1:$BZ$1,0),FALSE),"")</f>
        <v>121.221</v>
      </c>
      <c r="AE195">
        <f>IF(ISNUMBER(VLOOKUP($A195,Haver_M!$B$1:$BZ$300,MATCH(data!AE$1,Haver_M!$B$1:$BZ$1,0),FALSE)),VLOOKUP($A195,Haver_M!$B$1:$BZ$300,MATCH(data!AE$1,Haver_M!$B$1:$BZ$1,0),FALSE),"")</f>
        <v>106.541</v>
      </c>
      <c r="AF195">
        <f>IF(ISNUMBER(VLOOKUP($A195,Haver_M!$B$1:$BZ$300,MATCH(data!AF$1,Haver_M!$B$1:$BZ$1,0),FALSE)),VLOOKUP($A195,Haver_M!$B$1:$BZ$300,MATCH(data!AF$1,Haver_M!$B$1:$BZ$1,0),FALSE),"")</f>
        <v>125.869</v>
      </c>
      <c r="AG195">
        <f>IF(ISNUMBER(VLOOKUP($A195,Haver_M!$B$1:$BZ$300,MATCH(data!AG$1,Haver_M!$B$1:$BZ$1,0),FALSE)),VLOOKUP($A195,Haver_M!$B$1:$BZ$300,MATCH(data!AG$1,Haver_M!$B$1:$BZ$1,0),FALSE),"")</f>
        <v>129.77699999999999</v>
      </c>
      <c r="AH195">
        <f>IF(ISNUMBER(VLOOKUP($A195,Haver_M!$B$1:$BZ$300,MATCH(data!AH$1,Haver_M!$B$1:$BZ$1,0),FALSE)),VLOOKUP($A195,Haver_M!$B$1:$BZ$300,MATCH(data!AH$1,Haver_M!$B$1:$BZ$1,0),FALSE),"")</f>
        <v>137.62</v>
      </c>
      <c r="AI195">
        <f>IF(ISNUMBER(VLOOKUP($A195,Haver_M!$B$1:$BZ$300,MATCH(data!AI$1,Haver_M!$B$1:$BZ$1,0),FALSE)),VLOOKUP($A195,Haver_M!$B$1:$BZ$300,MATCH(data!AI$1,Haver_M!$B$1:$BZ$1,0),FALSE),"")</f>
        <v>16720.729081366404</v>
      </c>
      <c r="AJ195">
        <f>IF(ISNUMBER(VLOOKUP($A195,Haver_M!$B$1:$BZ$300,MATCH(data!AJ$1,Haver_M!$B$1:$BZ$1,0),FALSE)),VLOOKUP($A195,Haver_M!$B$1:$BZ$300,MATCH(data!AJ$1,Haver_M!$B$1:$BZ$1,0),FALSE),"")</f>
        <v>21300.38</v>
      </c>
      <c r="AK195">
        <f>IF(ISNUMBER(VLOOKUP($A195,Haver_M!$B$1:$BZ$300,MATCH(data!AK$1,Haver_M!$B$1:$BZ$1,0),FALSE)),VLOOKUP($A195,Haver_M!$B$1:$BZ$300,MATCH(data!AK$1,Haver_M!$B$1:$BZ$1,0),FALSE),"")</f>
        <v>29552.42</v>
      </c>
      <c r="AL195">
        <f>IF(ISNUMBER(VLOOKUP($A195,Haver_M!$B$1:$BZ$300,MATCH(data!AL$1,Haver_M!$B$1:$BZ$1,0),FALSE)),VLOOKUP($A195,Haver_M!$B$1:$BZ$300,MATCH(data!AL$1,Haver_M!$B$1:$BZ$1,0),FALSE),"")</f>
        <v>12329</v>
      </c>
      <c r="AM195">
        <f>IF(ISNUMBER(VLOOKUP($A195,Haver_M!$B$1:$BZ$300,MATCH(data!AM$1,Haver_M!$B$1:$BZ$1,0),FALSE)),VLOOKUP($A195,Haver_M!$B$1:$BZ$300,MATCH(data!AM$1,Haver_M!$B$1:$BZ$1,0),FALSE),"")</f>
        <v>7189</v>
      </c>
      <c r="AN195" t="str">
        <f>IF(ISNUMBER(VLOOKUP($A195,Haver_M!$B$1:$BZ$300,MATCH(data!AN$1,Haver_M!$B$1:$BZ$1,0),FALSE)),VLOOKUP($A195,Haver_M!$B$1:$BZ$300,MATCH(data!AN$1,Haver_M!$B$1:$BZ$1,0),FALSE),"")</f>
        <v/>
      </c>
      <c r="AO195" t="str">
        <f>IF(ISNUMBER(VLOOKUP($A195,Haver_M!$B$1:$BZ$300,MATCH(data!AO$1,Haver_M!$B$1:$BZ$1,0),FALSE)),VLOOKUP($A195,Haver_M!$B$1:$BZ$300,MATCH(data!AO$1,Haver_M!$B$1:$BZ$1,0),FALSE),"")</f>
        <v/>
      </c>
      <c r="AP195">
        <f>IF(ISNUMBER(VLOOKUP($A195,Haver_M!$B$1:$BZ$300,MATCH(data!AP$1,Haver_M!$B$1:$BZ$1,0),FALSE)),VLOOKUP($A195,Haver_M!$B$1:$BZ$300,MATCH(data!AP$1,Haver_M!$B$1:$BZ$1,0),FALSE),"")</f>
        <v>76.560311805061374</v>
      </c>
      <c r="AQ195">
        <f>IF(ISNUMBER(VLOOKUP($A195,Haver_M!$B$1:$BZ$300,MATCH(data!AQ$1,Haver_M!$B$1:$BZ$1,0),FALSE)),VLOOKUP($A195,Haver_M!$B$1:$BZ$300,MATCH(data!AQ$1,Haver_M!$B$1:$BZ$1,0),FALSE),"")</f>
        <v>51.248100000000001</v>
      </c>
      <c r="AR195">
        <f>IF(ISNUMBER(VLOOKUP($A195,Haver_M!$B$1:$BZ$300,MATCH(data!AR$1,Haver_M!$B$1:$BZ$1,0),FALSE)),VLOOKUP($A195,Haver_M!$B$1:$BZ$300,MATCH(data!AR$1,Haver_M!$B$1:$BZ$1,0),FALSE),"")</f>
        <v>51.058</v>
      </c>
      <c r="AS195">
        <f>IF(ISNUMBER(VLOOKUP($A195,Haver_M!$B$1:$BZ$300,MATCH(data!AS$1,Haver_M!$B$1:$BZ$1,0),FALSE)),VLOOKUP($A195,Haver_M!$B$1:$BZ$300,MATCH(data!AS$1,Haver_M!$B$1:$BZ$1,0),FALSE),"")</f>
        <v>51.394300000000001</v>
      </c>
      <c r="AT195">
        <f>IF(ISNUMBER(VLOOKUP($A195,Haver_M!$B$1:$BZ$300,MATCH(data!AT$1,Haver_M!$B$1:$BZ$1,0),FALSE)),VLOOKUP($A195,Haver_M!$B$1:$BZ$300,MATCH(data!AT$1,Haver_M!$B$1:$BZ$1,0),FALSE),"")</f>
        <v>50.9572</v>
      </c>
      <c r="AU195">
        <f>IF(ISNUMBER(VLOOKUP($A195,Haver_M!$B$1:$BZ$300,MATCH(data!AU$1,Haver_M!$B$1:$BZ$1,0),FALSE)),VLOOKUP($A195,Haver_M!$B$1:$BZ$300,MATCH(data!AU$1,Haver_M!$B$1:$BZ$1,0),FALSE),"")</f>
        <v>52.325600000000001</v>
      </c>
      <c r="AV195">
        <f>IF(ISNUMBER(VLOOKUP($A195,Haver_M!$B$1:$BZ$300,MATCH(data!AV$1,Haver_M!$B$1:$BZ$1,0),FALSE)),VLOOKUP($A195,Haver_M!$B$1:$BZ$300,MATCH(data!AV$1,Haver_M!$B$1:$BZ$1,0),FALSE),"")</f>
        <v>49.9497</v>
      </c>
      <c r="AW195">
        <f>IF(ISNUMBER(VLOOKUP($A195,Haver_M!$B$1:$BZ$300,MATCH(data!AW$1,Haver_M!$B$1:$BZ$1,0),FALSE)),VLOOKUP($A195,Haver_M!$B$1:$BZ$300,MATCH(data!AW$1,Haver_M!$B$1:$BZ$1,0),FALSE),"")</f>
        <v>50.075600000000001</v>
      </c>
      <c r="AX195">
        <f>IF(ISNUMBER(VLOOKUP($A195,Haver_M!$B$1:$BZ$300,MATCH(data!AX$1,Haver_M!$B$1:$BZ$1,0),FALSE)),VLOOKUP($A195,Haver_M!$B$1:$BZ$300,MATCH(data!AX$1,Haver_M!$B$1:$BZ$1,0),FALSE),"")</f>
        <v>51.424300000000002</v>
      </c>
      <c r="AY195">
        <f>IF(ISNUMBER(VLOOKUP($A195,Haver_M!$B$1:$BZ$300,MATCH(data!AY$1,Haver_M!$B$1:$BZ$1,0),FALSE)),VLOOKUP($A195,Haver_M!$B$1:$BZ$300,MATCH(data!AY$1,Haver_M!$B$1:$BZ$1,0),FALSE),"")</f>
        <v>50.900199999999998</v>
      </c>
      <c r="AZ195">
        <f>IF(ISNUMBER(VLOOKUP($A195,Haver_M!$B$1:$BZ$300,MATCH(data!AZ$1,Haver_M!$B$1:$BZ$1,0),FALSE)),VLOOKUP($A195,Haver_M!$B$1:$BZ$300,MATCH(data!AZ$1,Haver_M!$B$1:$BZ$1,0),FALSE),"")</f>
        <v>50.76</v>
      </c>
      <c r="BA195">
        <f>IF(ISNUMBER(VLOOKUP($A195,Haver_M!$B$1:$BZ$300,MATCH(data!BA$1,Haver_M!$B$1:$BZ$1,0),FALSE)),VLOOKUP($A195,Haver_M!$B$1:$BZ$300,MATCH(data!BA$1,Haver_M!$B$1:$BZ$1,0),FALSE),"")</f>
        <v>51.424300000000002</v>
      </c>
      <c r="BB195">
        <f>IF(ISNUMBER(VLOOKUP($A195,Haver_M!$B$1:$BZ$300,MATCH(data!BB$1,Haver_M!$B$1:$BZ$1,0),FALSE)),VLOOKUP($A195,Haver_M!$B$1:$BZ$300,MATCH(data!BB$1,Haver_M!$B$1:$BZ$1,0),FALSE),"")</f>
        <v>51.109099999999998</v>
      </c>
      <c r="BC195">
        <f>IF(ISNUMBER(VLOOKUP($A195,Haver_M!$B$1:$BZ$300,MATCH(data!BC$1,Haver_M!$B$1:$BZ$1,0),FALSE)),VLOOKUP($A195,Haver_M!$B$1:$BZ$300,MATCH(data!BC$1,Haver_M!$B$1:$BZ$1,0),FALSE),"")</f>
        <v>49.804499999999997</v>
      </c>
      <c r="BD195">
        <f>IF(ISNUMBER(VLOOKUP($A195,Haver_M!$B$1:$BZ$300,MATCH(data!BD$1,Haver_M!$B$1:$BZ$1,0),FALSE)),VLOOKUP($A195,Haver_M!$B$1:$BZ$300,MATCH(data!BD$1,Haver_M!$B$1:$BZ$1,0),FALSE),"")</f>
        <v>50.472099999999998</v>
      </c>
      <c r="BE195">
        <f>IF(ISNUMBER(VLOOKUP($A195,Haver_M!$B$1:$BZ$300,MATCH(data!BE$1,Haver_M!$B$1:$BZ$1,0),FALSE)),VLOOKUP($A195,Haver_M!$B$1:$BZ$300,MATCH(data!BE$1,Haver_M!$B$1:$BZ$1,0),FALSE),"")</f>
        <v>1.1133</v>
      </c>
      <c r="BF195">
        <f>IF(ISNUMBER(VLOOKUP($A195,Haver_M!$B$1:$BZ$300,MATCH(data!BF$1,Haver_M!$B$1:$BZ$1,0),FALSE)),VLOOKUP($A195,Haver_M!$B$1:$BZ$300,MATCH(data!BF$1,Haver_M!$B$1:$BZ$1,0),FALSE),"")</f>
        <v>50.223700000000001</v>
      </c>
      <c r="BG195">
        <f>IF(ISNUMBER(VLOOKUP($A195,Haver_M!$B$1:$BZ$300,MATCH(data!BG$1,Haver_M!$B$1:$BZ$1,0),FALSE)),VLOOKUP($A195,Haver_M!$B$1:$BZ$300,MATCH(data!BG$1,Haver_M!$B$1:$BZ$1,0),FALSE),"")</f>
        <v>51.255299999999998</v>
      </c>
      <c r="BH195">
        <f>IF(ISNUMBER(VLOOKUP($A195,Haver_M!$B$1:$BZ$300,MATCH(data!BH$1,Haver_M!$B$1:$BZ$1,0),FALSE)),VLOOKUP($A195,Haver_M!$B$1:$BZ$300,MATCH(data!BH$1,Haver_M!$B$1:$BZ$1,0),FALSE),"")</f>
        <v>51.2851</v>
      </c>
      <c r="BI195">
        <f>IF(ISNUMBER(VLOOKUP($A195,Haver_M!$B$1:$BZ$300,MATCH(data!BI$1,Haver_M!$B$1:$BZ$1,0),FALSE)),VLOOKUP($A195,Haver_M!$B$1:$BZ$300,MATCH(data!BI$1,Haver_M!$B$1:$BZ$1,0),FALSE),"")</f>
        <v>52.118699999999997</v>
      </c>
      <c r="BJ195">
        <f>IF(ISNUMBER(VLOOKUP($A195,Haver_M!$B$1:$BZ$300,MATCH(data!BJ$1,Haver_M!$B$1:$BZ$1,0),FALSE)),VLOOKUP($A195,Haver_M!$B$1:$BZ$300,MATCH(data!BJ$1,Haver_M!$B$1:$BZ$1,0),FALSE),"")</f>
        <v>50.179900000000004</v>
      </c>
      <c r="BK195">
        <f>IF(ISNUMBER(VLOOKUP($A195,Haver_M!$B$1:$BZ$300,MATCH(data!BK$1,Haver_M!$B$1:$BZ$1,0),FALSE)),VLOOKUP($A195,Haver_M!$B$1:$BZ$300,MATCH(data!BK$1,Haver_M!$B$1:$BZ$1,0),FALSE),"")</f>
        <v>48.9666</v>
      </c>
      <c r="BL195">
        <f>IF(ISNUMBER(VLOOKUP($A195,Haver_M!$B$1:$BZ$300,MATCH(data!BL$1,Haver_M!$B$1:$BZ$1,0),FALSE)),VLOOKUP($A195,Haver_M!$B$1:$BZ$300,MATCH(data!BL$1,Haver_M!$B$1:$BZ$1,0),FALSE),"")</f>
        <v>23688.3</v>
      </c>
      <c r="BM195">
        <f>IF(ISNUMBER(VLOOKUP($A195,Haver_M!$B$1:$BZ$300,MATCH(data!BM$1,Haver_M!$B$1:$BZ$1,0),FALSE)),VLOOKUP($A195,Haver_M!$B$1:$BZ$300,MATCH(data!BM$1,Haver_M!$B$1:$BZ$1,0),FALSE),"")</f>
        <v>102.72749392</v>
      </c>
      <c r="BN195" t="str">
        <f>IF(ISNUMBER(VLOOKUP($A195,Haver_M!$B$1:$BZ$300,MATCH(data!BN$1,Haver_M!$B$1:$BZ$1,0),FALSE)),VLOOKUP($A195,Haver_M!$B$1:$BZ$300,MATCH(data!BN$1,Haver_M!$B$1:$BZ$1,0),FALSE),"")</f>
        <v/>
      </c>
      <c r="BO195" t="str">
        <f>IF(ISNUMBER(VLOOKUP($A195,Haver_M!$B$1:$BZ$300,MATCH(data!BO$1,Haver_M!$B$1:$BZ$1,0),FALSE)),VLOOKUP($A195,Haver_M!$B$1:$BZ$300,MATCH(data!BO$1,Haver_M!$B$1:$BZ$1,0),FALSE),"")</f>
        <v/>
      </c>
      <c r="BP195" t="str">
        <f>IF(ISNUMBER(VLOOKUP($A195,Haver_M!$B$1:$BZ$300,MATCH(data!BP$1,Haver_M!$B$1:$BZ$1,0),FALSE)),VLOOKUP($A195,Haver_M!$B$1:$BZ$300,MATCH(data!BP$1,Haver_M!$B$1:$BZ$1,0),FALSE),"")</f>
        <v/>
      </c>
      <c r="BQ195">
        <f>IF(ISNUMBER(VLOOKUP($A195,Haver_M!$B$1:$BZ$300,MATCH(data!BQ$1,Haver_M!$B$1:$BZ$1,0),FALSE)),VLOOKUP($A195,Haver_M!$B$1:$BZ$300,MATCH(data!BQ$1,Haver_M!$B$1:$BZ$1,0),FALSE),"")</f>
        <v>201.48554244940846</v>
      </c>
      <c r="BR195">
        <f>IF(ISNUMBER(VLOOKUP($A195,Haver_M!$B$1:$BZ$300,MATCH(data!BR$1,Haver_M!$B$1:$BZ$1,0),FALSE)),VLOOKUP($A195,Haver_M!$B$1:$BZ$300,MATCH(data!BR$1,Haver_M!$B$1:$BZ$1,0),FALSE),"")</f>
        <v>402.33932269112233</v>
      </c>
      <c r="BS195">
        <f>IF(ISNUMBER(VLOOKUP($A195,Haver_M!$B$1:$BZ$300,MATCH(data!BS$1,Haver_M!$B$1:$BZ$1,0),FALSE)),VLOOKUP($A195,Haver_M!$B$1:$BZ$300,MATCH(data!BS$1,Haver_M!$B$1:$BZ$1,0),FALSE),"")</f>
        <v>219.38444584152163</v>
      </c>
      <c r="BT195">
        <f>IF(ISNUMBER(VLOOKUP($A195,Haver_M!$B$1:$BZ$300,MATCH(data!BT$1,Haver_M!$B$1:$BZ$1,0),FALSE)),VLOOKUP($A195,Haver_M!$B$1:$BZ$300,MATCH(data!BT$1,Haver_M!$B$1:$BZ$1,0),FALSE),"")</f>
        <v>948.71134285006667</v>
      </c>
      <c r="BU195">
        <f>IF(ISNUMBER(VLOOKUP($A195,Haver_M!$B$1:$BZ$300,MATCH(data!BU$1,Haver_M!$B$1:$BZ$1,0),FALSE)),VLOOKUP($A195,Haver_M!$B$1:$BZ$300,MATCH(data!BU$1,Haver_M!$B$1:$BZ$1,0),FALSE),"")</f>
        <v>20845.72</v>
      </c>
      <c r="BV195">
        <f>IF(ISNUMBER(VLOOKUP($A195,Haver_M!$B$1:$BZ$300,MATCH(data!BV$1,Haver_M!$B$1:$BZ$1,0),FALSE)),VLOOKUP($A195,Haver_M!$B$1:$BZ$300,MATCH(data!BV$1,Haver_M!$B$1:$BZ$1,0),FALSE),"")</f>
        <v>27418.98</v>
      </c>
      <c r="BW195">
        <f>IF(ISNUMBER(VLOOKUP($A195,Haver_M!$B$1:$BZ$300,MATCH(data!BW$1,Haver_M!$B$1:$BZ$1,0),FALSE)),VLOOKUP($A195,Haver_M!$B$1:$BZ$300,MATCH(data!BW$1,Haver_M!$B$1:$BZ$1,0),FALSE),"")</f>
        <v>68.237700000000004</v>
      </c>
      <c r="BX195">
        <f>IF(ISNUMBER(VLOOKUP($A195,Haver_M!$B$1:$BZ$300,MATCH(data!BX$1,Haver_M!$B$1:$BZ$1,0),FALSE)),VLOOKUP($A195,Haver_M!$B$1:$BZ$300,MATCH(data!BX$1,Haver_M!$B$1:$BZ$1,0),FALSE),"")</f>
        <v>51064</v>
      </c>
    </row>
    <row r="196" spans="1:76" x14ac:dyDescent="0.25">
      <c r="A196" s="2">
        <v>42460</v>
      </c>
      <c r="B196">
        <f>IF(ISNUMBER(VLOOKUP($A196,Haver_Q!$B$1:$L$185,MATCH(data!B$1,Haver_Q!$B$1:$L$1,0),FALSE)),100*(VLOOKUP($A196,Haver_Q!$B$1:$L$185,MATCH(data!B$1,Haver_Q!$B$1:$L$1,0),FALSE)),"")</f>
        <v>11.441200604077695</v>
      </c>
      <c r="C196">
        <f>IF(ISNUMBER(VLOOKUP($A196,Haver_Q!$B$1:$L$185,MATCH(data!C$1,Haver_Q!$B$1:$L$1,0),FALSE)),100*(VLOOKUP($A196,Haver_Q!$B$1:$L$185,MATCH(data!C$1,Haver_Q!$B$1:$L$1,0),FALSE)),"")</f>
        <v>16.376647371347541</v>
      </c>
      <c r="D196">
        <f>IF(ISNUMBER(VLOOKUP($A196,Haver_Q!$B$1:$L$185,MATCH(data!D$1,Haver_Q!$B$1:$L$1,0),FALSE)),100*(VLOOKUP($A196,Haver_Q!$B$1:$L$185,MATCH(data!D$1,Haver_Q!$B$1:$L$1,0),FALSE)),"")</f>
        <v>-43.564330276629846</v>
      </c>
      <c r="E196">
        <f>IF(ISNUMBER(VLOOKUP($A196,Haver_Q!$B$1:$L$185,MATCH(data!E$1,Haver_Q!$B$1:$L$1,0),FALSE)),100*(VLOOKUP($A196,Haver_Q!$B$1:$L$185,MATCH(data!E$1,Haver_Q!$B$1:$L$1,0),FALSE)),"")</f>
        <v>8.6847578780080426</v>
      </c>
      <c r="F196">
        <f>IF(ISNUMBER(VLOOKUP($A196,Haver_Q!$B$1:$L$185,MATCH(data!F$1,Haver_Q!$B$1:$L$1,0),FALSE)),100*(VLOOKUP($A196,Haver_Q!$B$1:$L$185,MATCH(data!F$1,Haver_Q!$B$1:$L$1,0),FALSE)),"")</f>
        <v>11.200190128804021</v>
      </c>
      <c r="G196">
        <f>IF(ISNUMBER(VLOOKUP($A196,Haver_Q!$B$1:$L$185,MATCH(data!G$1,Haver_Q!$B$1:$L$1,0),FALSE)),100*(VLOOKUP($A196,Haver_Q!$B$1:$L$185,MATCH(data!G$1,Haver_Q!$B$1:$L$1,0),FALSE)),"")</f>
        <v>7.1913848954690662</v>
      </c>
      <c r="H196">
        <f>IF(ISNUMBER(VLOOKUP($A196,Haver_Q!$B$1:$L$185,MATCH(data!H$1,Haver_Q!$B$1:$L$1,0),FALSE)),(VLOOKUP($A196,Haver_Q!$B$1:$L$185,MATCH(data!H$1,Haver_Q!$B$1:$L$1,0),FALSE)),"")</f>
        <v>3.753945544462356</v>
      </c>
      <c r="I196">
        <f>IF(ISNUMBER(VLOOKUP($A196,Haver_Q!$B$1:$L$185,MATCH(data!I$1,Haver_Q!$B$1:$L$1,0),FALSE)),100*(VLOOKUP($A196,Haver_Q!$B$1:$L$185,MATCH(data!I$1,Haver_Q!$B$1:$L$1,0),FALSE)),"")</f>
        <v>9.0886949287162224</v>
      </c>
      <c r="J196" s="3">
        <f>IF(ISNUMBER(Bloomberg_m!C212),Bloomberg_m!C212,"")</f>
        <v>383</v>
      </c>
      <c r="K196" s="3">
        <f>IF(ISNUMBER(Bloomberg_m!D212),Bloomberg_m!D212,"")</f>
        <v>723.69</v>
      </c>
      <c r="L196" s="3">
        <f>IF(ISNUMBER(Bloomberg_m!E212),Bloomberg_m!E212,"")</f>
        <v>414.13</v>
      </c>
      <c r="M196" s="3">
        <f>IF(ISNUMBER(Bloomberg_m!F212),Bloomberg_m!F212,"")</f>
        <v>392.66</v>
      </c>
      <c r="N196">
        <f>IF(ISNUMBER(VLOOKUP($A196,Haver_M!$B$1:$BZ$300,MATCH(data!N$1,Haver_M!$B$1:$BZ$1,0),FALSE)),VLOOKUP($A196,Haver_M!$B$1:$BZ$300,MATCH(data!N$1,Haver_M!$B$1:$BZ$1,0),FALSE),"")</f>
        <v>6.75</v>
      </c>
      <c r="O196">
        <f>IF(ISNUMBER(VLOOKUP($A196,Haver_M!$B$1:$BZ$300,MATCH(data!O$1,Haver_M!$B$1:$BZ$1,0),FALSE)),VLOOKUP($A196,Haver_M!$B$1:$BZ$300,MATCH(data!O$1,Haver_M!$B$1:$BZ$1,0),FALSE),"")</f>
        <v>7.4024999999999999</v>
      </c>
      <c r="P196">
        <f>IF(ISNUMBER(VLOOKUP($A196,Haver_M!$B$1:$BZ$300,MATCH(data!P$1,Haver_M!$B$1:$BZ$1,0),FALSE)),VLOOKUP($A196,Haver_M!$B$1:$BZ$300,MATCH(data!P$1,Haver_M!$B$1:$BZ$1,0),FALSE),"")</f>
        <v>90.667900000000003</v>
      </c>
      <c r="Q196">
        <f>IF(ISNUMBER(VLOOKUP($A196,Haver_M!$B$1:$BZ$300,MATCH(data!Q$1,Haver_M!$B$1:$BZ$1,0),FALSE)),VLOOKUP($A196,Haver_M!$B$1:$BZ$300,MATCH(data!Q$1,Haver_M!$B$1:$BZ$1,0),FALSE),"")</f>
        <v>126</v>
      </c>
      <c r="R196">
        <f>IF(ISNUMBER(VLOOKUP($A196,Haver_M!$B$1:$BZ$300,MATCH(data!R$1,Haver_M!$B$1:$BZ$1,0),FALSE)),VLOOKUP($A196,Haver_M!$B$1:$BZ$300,MATCH(data!R$1,Haver_M!$B$1:$BZ$1,0),FALSE),"")</f>
        <v>124.7</v>
      </c>
      <c r="S196">
        <f>IF(ISNUMBER(VLOOKUP($A196,Haver_M!$B$1:$BZ$300,MATCH(data!S$1,Haver_M!$B$1:$BZ$1,0),FALSE)),VLOOKUP($A196,Haver_M!$B$1:$BZ$300,MATCH(data!S$1,Haver_M!$B$1:$BZ$1,0),FALSE),"")</f>
        <v>116.73</v>
      </c>
      <c r="T196">
        <f>IF(ISNUMBER(VLOOKUP($A196,Haver_M!$B$1:$BZ$300,MATCH(data!T$1,Haver_M!$B$1:$BZ$1,0),FALSE)),VLOOKUP($A196,Haver_M!$B$1:$BZ$300,MATCH(data!T$1,Haver_M!$B$1:$BZ$1,0),FALSE),"")</f>
        <v>115.19</v>
      </c>
      <c r="U196">
        <f>IF(ISNUMBER(VLOOKUP($A196,Haver_M!$B$1:$BZ$300,MATCH(data!U$1,Haver_M!$B$1:$BZ$1,0),FALSE)),VLOOKUP($A196,Haver_M!$B$1:$BZ$300,MATCH(data!U$1,Haver_M!$B$1:$BZ$1,0),FALSE),"")</f>
        <v>95.74</v>
      </c>
      <c r="V196">
        <f>IF(ISNUMBER(VLOOKUP($A196,Haver_M!$B$1:$BZ$300,MATCH(data!V$1,Haver_M!$B$1:$BZ$1,0),FALSE)),VLOOKUP($A196,Haver_M!$B$1:$BZ$300,MATCH(data!V$1,Haver_M!$B$1:$BZ$1,0),FALSE),"")</f>
        <v>120.54</v>
      </c>
      <c r="W196">
        <f>IF(ISNUMBER(VLOOKUP($A196,Haver_M!$B$1:$BZ$300,MATCH(data!W$1,Haver_M!$B$1:$BZ$1,0),FALSE)),VLOOKUP($A196,Haver_M!$B$1:$BZ$300,MATCH(data!W$1,Haver_M!$B$1:$BZ$1,0),FALSE),"")</f>
        <v>124.7</v>
      </c>
      <c r="X196">
        <f>IF(ISNUMBER(VLOOKUP($A196,Haver_M!$B$1:$BZ$300,MATCH(data!X$1,Haver_M!$B$1:$BZ$1,0),FALSE)),VLOOKUP($A196,Haver_M!$B$1:$BZ$300,MATCH(data!X$1,Haver_M!$B$1:$BZ$1,0),FALSE),"")</f>
        <v>121.49</v>
      </c>
      <c r="Y196">
        <f>IF(ISNUMBER(VLOOKUP($A196,Haver_M!$B$1:$BZ$300,MATCH(data!Y$1,Haver_M!$B$1:$BZ$1,0),FALSE)),VLOOKUP($A196,Haver_M!$B$1:$BZ$300,MATCH(data!Y$1,Haver_M!$B$1:$BZ$1,0),FALSE),"")</f>
        <v>114.64</v>
      </c>
      <c r="Z196">
        <f>IF(ISNUMBER(VLOOKUP($A196,Haver_M!$B$1:$BZ$300,MATCH(data!Z$1,Haver_M!$B$1:$BZ$1,0),FALSE)),VLOOKUP($A196,Haver_M!$B$1:$BZ$300,MATCH(data!Z$1,Haver_M!$B$1:$BZ$1,0),FALSE),"")</f>
        <v>117.3</v>
      </c>
      <c r="AA196">
        <f>IF(ISNUMBER(VLOOKUP($A196,Haver_M!$B$1:$BZ$300,MATCH(data!AA$1,Haver_M!$B$1:$BZ$1,0),FALSE)),VLOOKUP($A196,Haver_M!$B$1:$BZ$300,MATCH(data!AA$1,Haver_M!$B$1:$BZ$1,0),FALSE),"")</f>
        <v>112.661</v>
      </c>
      <c r="AB196">
        <f>IF(ISNUMBER(VLOOKUP($A196,Haver_M!$B$1:$BZ$300,MATCH(data!AB$1,Haver_M!$B$1:$BZ$1,0),FALSE)),VLOOKUP($A196,Haver_M!$B$1:$BZ$300,MATCH(data!AB$1,Haver_M!$B$1:$BZ$1,0),FALSE),"")</f>
        <v>94.015000000000001</v>
      </c>
      <c r="AC196">
        <f>IF(ISNUMBER(VLOOKUP($A196,Haver_M!$B$1:$BZ$300,MATCH(data!AC$1,Haver_M!$B$1:$BZ$1,0),FALSE)),VLOOKUP($A196,Haver_M!$B$1:$BZ$300,MATCH(data!AC$1,Haver_M!$B$1:$BZ$1,0),FALSE),"")</f>
        <v>62.362000000000002</v>
      </c>
      <c r="AD196">
        <f>IF(ISNUMBER(VLOOKUP($A196,Haver_M!$B$1:$BZ$300,MATCH(data!AD$1,Haver_M!$B$1:$BZ$1,0),FALSE)),VLOOKUP($A196,Haver_M!$B$1:$BZ$300,MATCH(data!AD$1,Haver_M!$B$1:$BZ$1,0),FALSE),"")</f>
        <v>120.485</v>
      </c>
      <c r="AE196">
        <f>IF(ISNUMBER(VLOOKUP($A196,Haver_M!$B$1:$BZ$300,MATCH(data!AE$1,Haver_M!$B$1:$BZ$1,0),FALSE)),VLOOKUP($A196,Haver_M!$B$1:$BZ$300,MATCH(data!AE$1,Haver_M!$B$1:$BZ$1,0),FALSE),"")</f>
        <v>114.265</v>
      </c>
      <c r="AF196">
        <f>IF(ISNUMBER(VLOOKUP($A196,Haver_M!$B$1:$BZ$300,MATCH(data!AF$1,Haver_M!$B$1:$BZ$1,0),FALSE)),VLOOKUP($A196,Haver_M!$B$1:$BZ$300,MATCH(data!AF$1,Haver_M!$B$1:$BZ$1,0),FALSE),"")</f>
        <v>124.729</v>
      </c>
      <c r="AG196">
        <f>IF(ISNUMBER(VLOOKUP($A196,Haver_M!$B$1:$BZ$300,MATCH(data!AG$1,Haver_M!$B$1:$BZ$1,0),FALSE)),VLOOKUP($A196,Haver_M!$B$1:$BZ$300,MATCH(data!AG$1,Haver_M!$B$1:$BZ$1,0),FALSE),"")</f>
        <v>127.006</v>
      </c>
      <c r="AH196">
        <f>IF(ISNUMBER(VLOOKUP($A196,Haver_M!$B$1:$BZ$300,MATCH(data!AH$1,Haver_M!$B$1:$BZ$1,0),FALSE)),VLOOKUP($A196,Haver_M!$B$1:$BZ$300,MATCH(data!AH$1,Haver_M!$B$1:$BZ$1,0),FALSE),"")</f>
        <v>138.51599999999999</v>
      </c>
      <c r="AI196">
        <f>IF(ISNUMBER(VLOOKUP($A196,Haver_M!$B$1:$BZ$300,MATCH(data!AI$1,Haver_M!$B$1:$BZ$1,0),FALSE)),VLOOKUP($A196,Haver_M!$B$1:$BZ$300,MATCH(data!AI$1,Haver_M!$B$1:$BZ$1,0),FALSE),"")</f>
        <v>16375.156799167229</v>
      </c>
      <c r="AJ196">
        <f>IF(ISNUMBER(VLOOKUP($A196,Haver_M!$B$1:$BZ$300,MATCH(data!AJ$1,Haver_M!$B$1:$BZ$1,0),FALSE)),VLOOKUP($A196,Haver_M!$B$1:$BZ$300,MATCH(data!AJ$1,Haver_M!$B$1:$BZ$1,0),FALSE),"")</f>
        <v>20431.86</v>
      </c>
      <c r="AK196">
        <f>IF(ISNUMBER(VLOOKUP($A196,Haver_M!$B$1:$BZ$300,MATCH(data!AK$1,Haver_M!$B$1:$BZ$1,0),FALSE)),VLOOKUP($A196,Haver_M!$B$1:$BZ$300,MATCH(data!AK$1,Haver_M!$B$1:$BZ$1,0),FALSE),"")</f>
        <v>26117.42</v>
      </c>
      <c r="AL196">
        <f>IF(ISNUMBER(VLOOKUP($A196,Haver_M!$B$1:$BZ$300,MATCH(data!AL$1,Haver_M!$B$1:$BZ$1,0),FALSE)),VLOOKUP($A196,Haver_M!$B$1:$BZ$300,MATCH(data!AL$1,Haver_M!$B$1:$BZ$1,0),FALSE),"")</f>
        <v>12895</v>
      </c>
      <c r="AM196">
        <f>IF(ISNUMBER(VLOOKUP($A196,Haver_M!$B$1:$BZ$300,MATCH(data!AM$1,Haver_M!$B$1:$BZ$1,0),FALSE)),VLOOKUP($A196,Haver_M!$B$1:$BZ$300,MATCH(data!AM$1,Haver_M!$B$1:$BZ$1,0),FALSE),"")</f>
        <v>7905</v>
      </c>
      <c r="AN196">
        <f>IF(ISNUMBER(VLOOKUP($A196,Haver_M!$B$1:$BZ$300,MATCH(data!AN$1,Haver_M!$B$1:$BZ$1,0),FALSE)),VLOOKUP($A196,Haver_M!$B$1:$BZ$300,MATCH(data!AN$1,Haver_M!$B$1:$BZ$1,0),FALSE),"")</f>
        <v>104.1</v>
      </c>
      <c r="AO196">
        <f>IF(ISNUMBER(VLOOKUP($A196,Haver_M!$B$1:$BZ$300,MATCH(data!AO$1,Haver_M!$B$1:$BZ$1,0),FALSE)),VLOOKUP($A196,Haver_M!$B$1:$BZ$300,MATCH(data!AO$1,Haver_M!$B$1:$BZ$1,0),FALSE),"")</f>
        <v>122.2</v>
      </c>
      <c r="AP196">
        <f>IF(ISNUMBER(VLOOKUP($A196,Haver_M!$B$1:$BZ$300,MATCH(data!AP$1,Haver_M!$B$1:$BZ$1,0),FALSE)),VLOOKUP($A196,Haver_M!$B$1:$BZ$300,MATCH(data!AP$1,Haver_M!$B$1:$BZ$1,0),FALSE),"")</f>
        <v>108.92145224006333</v>
      </c>
      <c r="AQ196">
        <f>IF(ISNUMBER(VLOOKUP($A196,Haver_M!$B$1:$BZ$300,MATCH(data!AQ$1,Haver_M!$B$1:$BZ$1,0),FALSE)),VLOOKUP($A196,Haver_M!$B$1:$BZ$300,MATCH(data!AQ$1,Haver_M!$B$1:$BZ$1,0),FALSE),"")</f>
        <v>54.277700000000003</v>
      </c>
      <c r="AR196">
        <f>IF(ISNUMBER(VLOOKUP($A196,Haver_M!$B$1:$BZ$300,MATCH(data!AR$1,Haver_M!$B$1:$BZ$1,0),FALSE)),VLOOKUP($A196,Haver_M!$B$1:$BZ$300,MATCH(data!AR$1,Haver_M!$B$1:$BZ$1,0),FALSE),"")</f>
        <v>52.377099999999999</v>
      </c>
      <c r="AS196">
        <f>IF(ISNUMBER(VLOOKUP($A196,Haver_M!$B$1:$BZ$300,MATCH(data!AS$1,Haver_M!$B$1:$BZ$1,0),FALSE)),VLOOKUP($A196,Haver_M!$B$1:$BZ$300,MATCH(data!AS$1,Haver_M!$B$1:$BZ$1,0),FALSE),"")</f>
        <v>54.332700000000003</v>
      </c>
      <c r="AT196">
        <f>IF(ISNUMBER(VLOOKUP($A196,Haver_M!$B$1:$BZ$300,MATCH(data!AT$1,Haver_M!$B$1:$BZ$1,0),FALSE)),VLOOKUP($A196,Haver_M!$B$1:$BZ$300,MATCH(data!AT$1,Haver_M!$B$1:$BZ$1,0),FALSE),"")</f>
        <v>54.168199999999999</v>
      </c>
      <c r="AU196">
        <f>IF(ISNUMBER(VLOOKUP($A196,Haver_M!$B$1:$BZ$300,MATCH(data!AU$1,Haver_M!$B$1:$BZ$1,0),FALSE)),VLOOKUP($A196,Haver_M!$B$1:$BZ$300,MATCH(data!AU$1,Haver_M!$B$1:$BZ$1,0),FALSE),"")</f>
        <v>53.8855</v>
      </c>
      <c r="AV196">
        <f>IF(ISNUMBER(VLOOKUP($A196,Haver_M!$B$1:$BZ$300,MATCH(data!AV$1,Haver_M!$B$1:$BZ$1,0),FALSE)),VLOOKUP($A196,Haver_M!$B$1:$BZ$300,MATCH(data!AV$1,Haver_M!$B$1:$BZ$1,0),FALSE),"")</f>
        <v>50.207500000000003</v>
      </c>
      <c r="AW196">
        <f>IF(ISNUMBER(VLOOKUP($A196,Haver_M!$B$1:$BZ$300,MATCH(data!AW$1,Haver_M!$B$1:$BZ$1,0),FALSE)),VLOOKUP($A196,Haver_M!$B$1:$BZ$300,MATCH(data!AW$1,Haver_M!$B$1:$BZ$1,0),FALSE),"")</f>
        <v>49.993400000000001</v>
      </c>
      <c r="AX196">
        <f>IF(ISNUMBER(VLOOKUP($A196,Haver_M!$B$1:$BZ$300,MATCH(data!AX$1,Haver_M!$B$1:$BZ$1,0),FALSE)),VLOOKUP($A196,Haver_M!$B$1:$BZ$300,MATCH(data!AX$1,Haver_M!$B$1:$BZ$1,0),FALSE),"")</f>
        <v>51.269500000000001</v>
      </c>
      <c r="AY196">
        <f>IF(ISNUMBER(VLOOKUP($A196,Haver_M!$B$1:$BZ$300,MATCH(data!AY$1,Haver_M!$B$1:$BZ$1,0),FALSE)),VLOOKUP($A196,Haver_M!$B$1:$BZ$300,MATCH(data!AY$1,Haver_M!$B$1:$BZ$1,0),FALSE),"")</f>
        <v>53.700299999999999</v>
      </c>
      <c r="AZ196">
        <f>IF(ISNUMBER(VLOOKUP($A196,Haver_M!$B$1:$BZ$300,MATCH(data!AZ$1,Haver_M!$B$1:$BZ$1,0),FALSE)),VLOOKUP($A196,Haver_M!$B$1:$BZ$300,MATCH(data!AZ$1,Haver_M!$B$1:$BZ$1,0),FALSE),"")</f>
        <v>51.281300000000002</v>
      </c>
      <c r="BA196">
        <f>IF(ISNUMBER(VLOOKUP($A196,Haver_M!$B$1:$BZ$300,MATCH(data!BA$1,Haver_M!$B$1:$BZ$1,0),FALSE)),VLOOKUP($A196,Haver_M!$B$1:$BZ$300,MATCH(data!BA$1,Haver_M!$B$1:$BZ$1,0),FALSE),"")</f>
        <v>51.269500000000001</v>
      </c>
      <c r="BB196">
        <f>IF(ISNUMBER(VLOOKUP($A196,Haver_M!$B$1:$BZ$300,MATCH(data!BB$1,Haver_M!$B$1:$BZ$1,0),FALSE)),VLOOKUP($A196,Haver_M!$B$1:$BZ$300,MATCH(data!BB$1,Haver_M!$B$1:$BZ$1,0),FALSE),"")</f>
        <v>51.2911</v>
      </c>
      <c r="BC196">
        <f>IF(ISNUMBER(VLOOKUP($A196,Haver_M!$B$1:$BZ$300,MATCH(data!BC$1,Haver_M!$B$1:$BZ$1,0),FALSE)),VLOOKUP($A196,Haver_M!$B$1:$BZ$300,MATCH(data!BC$1,Haver_M!$B$1:$BZ$1,0),FALSE),"")</f>
        <v>52.031300000000002</v>
      </c>
      <c r="BD196">
        <f>IF(ISNUMBER(VLOOKUP($A196,Haver_M!$B$1:$BZ$300,MATCH(data!BD$1,Haver_M!$B$1:$BZ$1,0),FALSE)),VLOOKUP($A196,Haver_M!$B$1:$BZ$300,MATCH(data!BD$1,Haver_M!$B$1:$BZ$1,0),FALSE),"")</f>
        <v>48.726399999999998</v>
      </c>
      <c r="BE196">
        <f>IF(ISNUMBER(VLOOKUP($A196,Haver_M!$B$1:$BZ$300,MATCH(data!BE$1,Haver_M!$B$1:$BZ$1,0),FALSE)),VLOOKUP($A196,Haver_M!$B$1:$BZ$300,MATCH(data!BE$1,Haver_M!$B$1:$BZ$1,0),FALSE),"")</f>
        <v>1.1604000000000001</v>
      </c>
      <c r="BF196">
        <f>IF(ISNUMBER(VLOOKUP($A196,Haver_M!$B$1:$BZ$300,MATCH(data!BF$1,Haver_M!$B$1:$BZ$1,0),FALSE)),VLOOKUP($A196,Haver_M!$B$1:$BZ$300,MATCH(data!BF$1,Haver_M!$B$1:$BZ$1,0),FALSE),"")</f>
        <v>50.282699999999998</v>
      </c>
      <c r="BG196">
        <f>IF(ISNUMBER(VLOOKUP($A196,Haver_M!$B$1:$BZ$300,MATCH(data!BG$1,Haver_M!$B$1:$BZ$1,0),FALSE)),VLOOKUP($A196,Haver_M!$B$1:$BZ$300,MATCH(data!BG$1,Haver_M!$B$1:$BZ$1,0),FALSE),"")</f>
        <v>51.729799999999997</v>
      </c>
      <c r="BH196">
        <f>IF(ISNUMBER(VLOOKUP($A196,Haver_M!$B$1:$BZ$300,MATCH(data!BH$1,Haver_M!$B$1:$BZ$1,0),FALSE)),VLOOKUP($A196,Haver_M!$B$1:$BZ$300,MATCH(data!BH$1,Haver_M!$B$1:$BZ$1,0),FALSE),"")</f>
        <v>54.222999999999999</v>
      </c>
      <c r="BI196">
        <f>IF(ISNUMBER(VLOOKUP($A196,Haver_M!$B$1:$BZ$300,MATCH(data!BI$1,Haver_M!$B$1:$BZ$1,0),FALSE)),VLOOKUP($A196,Haver_M!$B$1:$BZ$300,MATCH(data!BI$1,Haver_M!$B$1:$BZ$1,0),FALSE),"")</f>
        <v>52.227899999999998</v>
      </c>
      <c r="BJ196">
        <f>IF(ISNUMBER(VLOOKUP($A196,Haver_M!$B$1:$BZ$300,MATCH(data!BJ$1,Haver_M!$B$1:$BZ$1,0),FALSE)),VLOOKUP($A196,Haver_M!$B$1:$BZ$300,MATCH(data!BJ$1,Haver_M!$B$1:$BZ$1,0),FALSE),"")</f>
        <v>51.3551</v>
      </c>
      <c r="BK196">
        <f>IF(ISNUMBER(VLOOKUP($A196,Haver_M!$B$1:$BZ$300,MATCH(data!BK$1,Haver_M!$B$1:$BZ$1,0),FALSE)),VLOOKUP($A196,Haver_M!$B$1:$BZ$300,MATCH(data!BK$1,Haver_M!$B$1:$BZ$1,0),FALSE),"")</f>
        <v>45.981000000000002</v>
      </c>
      <c r="BL196">
        <f>IF(ISNUMBER(VLOOKUP($A196,Haver_M!$B$1:$BZ$300,MATCH(data!BL$1,Haver_M!$B$1:$BZ$1,0),FALSE)),VLOOKUP($A196,Haver_M!$B$1:$BZ$300,MATCH(data!BL$1,Haver_M!$B$1:$BZ$1,0),FALSE),"")</f>
        <v>24811.95</v>
      </c>
      <c r="BM196">
        <f>IF(ISNUMBER(VLOOKUP($A196,Haver_M!$B$1:$BZ$300,MATCH(data!BM$1,Haver_M!$B$1:$BZ$1,0),FALSE)),VLOOKUP($A196,Haver_M!$B$1:$BZ$300,MATCH(data!BM$1,Haver_M!$B$1:$BZ$1,0),FALSE),"")</f>
        <v>104.10075476</v>
      </c>
      <c r="BN196">
        <f>IF(ISNUMBER(VLOOKUP($A196,Haver_M!$B$1:$BZ$300,MATCH(data!BN$1,Haver_M!$B$1:$BZ$1,0),FALSE)),VLOOKUP($A196,Haver_M!$B$1:$BZ$300,MATCH(data!BN$1,Haver_M!$B$1:$BZ$1,0),FALSE),"")</f>
        <v>103</v>
      </c>
      <c r="BO196">
        <f>IF(ISNUMBER(VLOOKUP($A196,Haver_M!$B$1:$BZ$300,MATCH(data!BO$1,Haver_M!$B$1:$BZ$1,0),FALSE)),VLOOKUP($A196,Haver_M!$B$1:$BZ$300,MATCH(data!BO$1,Haver_M!$B$1:$BZ$1,0),FALSE),"")</f>
        <v>114.2</v>
      </c>
      <c r="BP196">
        <f>IF(ISNUMBER(VLOOKUP($A196,Haver_M!$B$1:$BZ$300,MATCH(data!BP$1,Haver_M!$B$1:$BZ$1,0),FALSE)),VLOOKUP($A196,Haver_M!$B$1:$BZ$300,MATCH(data!BP$1,Haver_M!$B$1:$BZ$1,0),FALSE),"")</f>
        <v>33.299999999999997</v>
      </c>
      <c r="BQ196">
        <f>IF(ISNUMBER(VLOOKUP($A196,Haver_M!$B$1:$BZ$300,MATCH(data!BQ$1,Haver_M!$B$1:$BZ$1,0),FALSE)),VLOOKUP($A196,Haver_M!$B$1:$BZ$300,MATCH(data!BQ$1,Haver_M!$B$1:$BZ$1,0),FALSE),"")</f>
        <v>207.72553448947284</v>
      </c>
      <c r="BR196">
        <f>IF(ISNUMBER(VLOOKUP($A196,Haver_M!$B$1:$BZ$300,MATCH(data!BR$1,Haver_M!$B$1:$BZ$1,0),FALSE)),VLOOKUP($A196,Haver_M!$B$1:$BZ$300,MATCH(data!BR$1,Haver_M!$B$1:$BZ$1,0),FALSE),"")</f>
        <v>407.43055628085745</v>
      </c>
      <c r="BS196">
        <f>IF(ISNUMBER(VLOOKUP($A196,Haver_M!$B$1:$BZ$300,MATCH(data!BS$1,Haver_M!$B$1:$BZ$1,0),FALSE)),VLOOKUP($A196,Haver_M!$B$1:$BZ$300,MATCH(data!BS$1,Haver_M!$B$1:$BZ$1,0),FALSE),"")</f>
        <v>229.93484219337262</v>
      </c>
      <c r="BT196">
        <f>IF(ISNUMBER(VLOOKUP($A196,Haver_M!$B$1:$BZ$300,MATCH(data!BT$1,Haver_M!$B$1:$BZ$1,0),FALSE)),VLOOKUP($A196,Haver_M!$B$1:$BZ$300,MATCH(data!BT$1,Haver_M!$B$1:$BZ$1,0),FALSE),"")</f>
        <v>976.83040916476546</v>
      </c>
      <c r="BU196">
        <f>IF(ISNUMBER(VLOOKUP($A196,Haver_M!$B$1:$BZ$300,MATCH(data!BU$1,Haver_M!$B$1:$BZ$1,0),FALSE)),VLOOKUP($A196,Haver_M!$B$1:$BZ$300,MATCH(data!BU$1,Haver_M!$B$1:$BZ$1,0),FALSE),"")</f>
        <v>22911.74</v>
      </c>
      <c r="BV196">
        <f>IF(ISNUMBER(VLOOKUP($A196,Haver_M!$B$1:$BZ$300,MATCH(data!BV$1,Haver_M!$B$1:$BZ$1,0),FALSE)),VLOOKUP($A196,Haver_M!$B$1:$BZ$300,MATCH(data!BV$1,Haver_M!$B$1:$BZ$1,0),FALSE),"")</f>
        <v>27310.28</v>
      </c>
      <c r="BW196">
        <f>IF(ISNUMBER(VLOOKUP($A196,Haver_M!$B$1:$BZ$300,MATCH(data!BW$1,Haver_M!$B$1:$BZ$1,0),FALSE)),VLOOKUP($A196,Haver_M!$B$1:$BZ$300,MATCH(data!BW$1,Haver_M!$B$1:$BZ$1,0),FALSE),"")</f>
        <v>67.021900000000002</v>
      </c>
      <c r="BX196">
        <f>IF(ISNUMBER(VLOOKUP($A196,Haver_M!$B$1:$BZ$300,MATCH(data!BX$1,Haver_M!$B$1:$BZ$1,0),FALSE)),VLOOKUP($A196,Haver_M!$B$1:$BZ$300,MATCH(data!BX$1,Haver_M!$B$1:$BZ$1,0),FALSE),"")</f>
        <v>46875</v>
      </c>
    </row>
    <row r="197" spans="1:76" x14ac:dyDescent="0.25">
      <c r="A197" s="2">
        <v>42490</v>
      </c>
      <c r="B197" t="str">
        <f>IF(ISNUMBER(VLOOKUP($A197,Haver_Q!$B$1:$L$185,MATCH(data!B$1,Haver_Q!$B$1:$L$1,0),FALSE)),100*(VLOOKUP($A197,Haver_Q!$B$1:$L$185,MATCH(data!B$1,Haver_Q!$B$1:$L$1,0),FALSE)),"")</f>
        <v/>
      </c>
      <c r="C197" t="str">
        <f>IF(ISNUMBER(VLOOKUP($A197,Haver_Q!$B$1:$L$185,MATCH(data!C$1,Haver_Q!$B$1:$L$1,0),FALSE)),100*(VLOOKUP($A197,Haver_Q!$B$1:$L$185,MATCH(data!C$1,Haver_Q!$B$1:$L$1,0),FALSE)),"")</f>
        <v/>
      </c>
      <c r="D197" t="str">
        <f>IF(ISNUMBER(VLOOKUP($A197,Haver_Q!$B$1:$L$185,MATCH(data!D$1,Haver_Q!$B$1:$L$1,0),FALSE)),100*(VLOOKUP($A197,Haver_Q!$B$1:$L$185,MATCH(data!D$1,Haver_Q!$B$1:$L$1,0),FALSE)),"")</f>
        <v/>
      </c>
      <c r="E197" t="str">
        <f>IF(ISNUMBER(VLOOKUP($A197,Haver_Q!$B$1:$L$185,MATCH(data!E$1,Haver_Q!$B$1:$L$1,0),FALSE)),100*(VLOOKUP($A197,Haver_Q!$B$1:$L$185,MATCH(data!E$1,Haver_Q!$B$1:$L$1,0),FALSE)),"")</f>
        <v/>
      </c>
      <c r="F197" t="str">
        <f>IF(ISNUMBER(VLOOKUP($A197,Haver_Q!$B$1:$L$185,MATCH(data!F$1,Haver_Q!$B$1:$L$1,0),FALSE)),100*(VLOOKUP($A197,Haver_Q!$B$1:$L$185,MATCH(data!F$1,Haver_Q!$B$1:$L$1,0),FALSE)),"")</f>
        <v/>
      </c>
      <c r="G197" t="str">
        <f>IF(ISNUMBER(VLOOKUP($A197,Haver_Q!$B$1:$L$185,MATCH(data!G$1,Haver_Q!$B$1:$L$1,0),FALSE)),100*(VLOOKUP($A197,Haver_Q!$B$1:$L$185,MATCH(data!G$1,Haver_Q!$B$1:$L$1,0),FALSE)),"")</f>
        <v/>
      </c>
      <c r="H197" t="str">
        <f>IF(ISNUMBER(VLOOKUP($A197,Haver_Q!$B$1:$L$185,MATCH(data!H$1,Haver_Q!$B$1:$L$1,0),FALSE)),(VLOOKUP($A197,Haver_Q!$B$1:$L$185,MATCH(data!H$1,Haver_Q!$B$1:$L$1,0),FALSE)),"")</f>
        <v/>
      </c>
      <c r="I197" t="str">
        <f>IF(ISNUMBER(VLOOKUP($A197,Haver_Q!$B$1:$L$185,MATCH(data!I$1,Haver_Q!$B$1:$L$1,0),FALSE)),100*(VLOOKUP($A197,Haver_Q!$B$1:$L$185,MATCH(data!I$1,Haver_Q!$B$1:$L$1,0),FALSE)),"")</f>
        <v/>
      </c>
      <c r="J197" s="3">
        <f>IF(ISNUMBER(Bloomberg_m!C213),Bloomberg_m!C213,"")</f>
        <v>607</v>
      </c>
      <c r="K197" s="3">
        <f>IF(ISNUMBER(Bloomberg_m!D213),Bloomberg_m!D213,"")</f>
        <v>794.28</v>
      </c>
      <c r="L197" s="3">
        <f>IF(ISNUMBER(Bloomberg_m!E213),Bloomberg_m!E213,"")</f>
        <v>507.02</v>
      </c>
      <c r="M197" s="3">
        <f>IF(ISNUMBER(Bloomberg_m!F213),Bloomberg_m!F213,"")</f>
        <v>404.99</v>
      </c>
      <c r="N197">
        <f>IF(ISNUMBER(VLOOKUP($A197,Haver_M!$B$1:$BZ$300,MATCH(data!N$1,Haver_M!$B$1:$BZ$1,0),FALSE)),VLOOKUP($A197,Haver_M!$B$1:$BZ$300,MATCH(data!N$1,Haver_M!$B$1:$BZ$1,0),FALSE),"")</f>
        <v>6.5</v>
      </c>
      <c r="O197">
        <f>IF(ISNUMBER(VLOOKUP($A197,Haver_M!$B$1:$BZ$300,MATCH(data!O$1,Haver_M!$B$1:$BZ$1,0),FALSE)),VLOOKUP($A197,Haver_M!$B$1:$BZ$300,MATCH(data!O$1,Haver_M!$B$1:$BZ$1,0),FALSE),"")</f>
        <v>7.8720999999999997</v>
      </c>
      <c r="P197">
        <f>IF(ISNUMBER(VLOOKUP($A197,Haver_M!$B$1:$BZ$300,MATCH(data!P$1,Haver_M!$B$1:$BZ$1,0),FALSE)),VLOOKUP($A197,Haver_M!$B$1:$BZ$300,MATCH(data!P$1,Haver_M!$B$1:$BZ$1,0),FALSE),"")</f>
        <v>90.603610000000003</v>
      </c>
      <c r="Q197">
        <f>IF(ISNUMBER(VLOOKUP($A197,Haver_M!$B$1:$BZ$300,MATCH(data!Q$1,Haver_M!$B$1:$BZ$1,0),FALSE)),VLOOKUP($A197,Haver_M!$B$1:$BZ$300,MATCH(data!Q$1,Haver_M!$B$1:$BZ$1,0),FALSE),"")</f>
        <v>127.3</v>
      </c>
      <c r="R197">
        <f>IF(ISNUMBER(VLOOKUP($A197,Haver_M!$B$1:$BZ$300,MATCH(data!R$1,Haver_M!$B$1:$BZ$1,0),FALSE)),VLOOKUP($A197,Haver_M!$B$1:$BZ$300,MATCH(data!R$1,Haver_M!$B$1:$BZ$1,0),FALSE),"")</f>
        <v>125.4</v>
      </c>
      <c r="S197">
        <f>IF(ISNUMBER(VLOOKUP($A197,Haver_M!$B$1:$BZ$300,MATCH(data!S$1,Haver_M!$B$1:$BZ$1,0),FALSE)),VLOOKUP($A197,Haver_M!$B$1:$BZ$300,MATCH(data!S$1,Haver_M!$B$1:$BZ$1,0),FALSE),"")</f>
        <v>118.17</v>
      </c>
      <c r="T197">
        <f>IF(ISNUMBER(VLOOKUP($A197,Haver_M!$B$1:$BZ$300,MATCH(data!T$1,Haver_M!$B$1:$BZ$1,0),FALSE)),VLOOKUP($A197,Haver_M!$B$1:$BZ$300,MATCH(data!T$1,Haver_M!$B$1:$BZ$1,0),FALSE),"")</f>
        <v>116.52</v>
      </c>
      <c r="U197">
        <f>IF(ISNUMBER(VLOOKUP($A197,Haver_M!$B$1:$BZ$300,MATCH(data!U$1,Haver_M!$B$1:$BZ$1,0),FALSE)),VLOOKUP($A197,Haver_M!$B$1:$BZ$300,MATCH(data!U$1,Haver_M!$B$1:$BZ$1,0),FALSE),"")</f>
        <v>105.22</v>
      </c>
      <c r="V197">
        <f>IF(ISNUMBER(VLOOKUP($A197,Haver_M!$B$1:$BZ$300,MATCH(data!V$1,Haver_M!$B$1:$BZ$1,0),FALSE)),VLOOKUP($A197,Haver_M!$B$1:$BZ$300,MATCH(data!V$1,Haver_M!$B$1:$BZ$1,0),FALSE),"")</f>
        <v>118.1</v>
      </c>
      <c r="W197">
        <f>IF(ISNUMBER(VLOOKUP($A197,Haver_M!$B$1:$BZ$300,MATCH(data!W$1,Haver_M!$B$1:$BZ$1,0),FALSE)),VLOOKUP($A197,Haver_M!$B$1:$BZ$300,MATCH(data!W$1,Haver_M!$B$1:$BZ$1,0),FALSE),"")</f>
        <v>120.71</v>
      </c>
      <c r="X197">
        <f>IF(ISNUMBER(VLOOKUP($A197,Haver_M!$B$1:$BZ$300,MATCH(data!X$1,Haver_M!$B$1:$BZ$1,0),FALSE)),VLOOKUP($A197,Haver_M!$B$1:$BZ$300,MATCH(data!X$1,Haver_M!$B$1:$BZ$1,0),FALSE),"")</f>
        <v>124.53</v>
      </c>
      <c r="Y197">
        <f>IF(ISNUMBER(VLOOKUP($A197,Haver_M!$B$1:$BZ$300,MATCH(data!Y$1,Haver_M!$B$1:$BZ$1,0),FALSE)),VLOOKUP($A197,Haver_M!$B$1:$BZ$300,MATCH(data!Y$1,Haver_M!$B$1:$BZ$1,0),FALSE),"")</f>
        <v>119.88</v>
      </c>
      <c r="Z197">
        <f>IF(ISNUMBER(VLOOKUP($A197,Haver_M!$B$1:$BZ$300,MATCH(data!Z$1,Haver_M!$B$1:$BZ$1,0),FALSE)),VLOOKUP($A197,Haver_M!$B$1:$BZ$300,MATCH(data!Z$1,Haver_M!$B$1:$BZ$1,0),FALSE),"")</f>
        <v>119.6</v>
      </c>
      <c r="AA197">
        <f>IF(ISNUMBER(VLOOKUP($A197,Haver_M!$B$1:$BZ$300,MATCH(data!AA$1,Haver_M!$B$1:$BZ$1,0),FALSE)),VLOOKUP($A197,Haver_M!$B$1:$BZ$300,MATCH(data!AA$1,Haver_M!$B$1:$BZ$1,0),FALSE),"")</f>
        <v>116.748</v>
      </c>
      <c r="AB197">
        <f>IF(ISNUMBER(VLOOKUP($A197,Haver_M!$B$1:$BZ$300,MATCH(data!AB$1,Haver_M!$B$1:$BZ$1,0),FALSE)),VLOOKUP($A197,Haver_M!$B$1:$BZ$300,MATCH(data!AB$1,Haver_M!$B$1:$BZ$1,0),FALSE),"")</f>
        <v>94.793999999999997</v>
      </c>
      <c r="AC197">
        <f>IF(ISNUMBER(VLOOKUP($A197,Haver_M!$B$1:$BZ$300,MATCH(data!AC$1,Haver_M!$B$1:$BZ$1,0),FALSE)),VLOOKUP($A197,Haver_M!$B$1:$BZ$300,MATCH(data!AC$1,Haver_M!$B$1:$BZ$1,0),FALSE),"")</f>
        <v>63.965000000000003</v>
      </c>
      <c r="AD197">
        <f>IF(ISNUMBER(VLOOKUP($A197,Haver_M!$B$1:$BZ$300,MATCH(data!AD$1,Haver_M!$B$1:$BZ$1,0),FALSE)),VLOOKUP($A197,Haver_M!$B$1:$BZ$300,MATCH(data!AD$1,Haver_M!$B$1:$BZ$1,0),FALSE),"")</f>
        <v>121.702</v>
      </c>
      <c r="AE197">
        <f>IF(ISNUMBER(VLOOKUP($A197,Haver_M!$B$1:$BZ$300,MATCH(data!AE$1,Haver_M!$B$1:$BZ$1,0),FALSE)),VLOOKUP($A197,Haver_M!$B$1:$BZ$300,MATCH(data!AE$1,Haver_M!$B$1:$BZ$1,0),FALSE),"")</f>
        <v>100.373</v>
      </c>
      <c r="AF197">
        <f>IF(ISNUMBER(VLOOKUP($A197,Haver_M!$B$1:$BZ$300,MATCH(data!AF$1,Haver_M!$B$1:$BZ$1,0),FALSE)),VLOOKUP($A197,Haver_M!$B$1:$BZ$300,MATCH(data!AF$1,Haver_M!$B$1:$BZ$1,0),FALSE),"")</f>
        <v>126.38800000000001</v>
      </c>
      <c r="AG197">
        <f>IF(ISNUMBER(VLOOKUP($A197,Haver_M!$B$1:$BZ$300,MATCH(data!AG$1,Haver_M!$B$1:$BZ$1,0),FALSE)),VLOOKUP($A197,Haver_M!$B$1:$BZ$300,MATCH(data!AG$1,Haver_M!$B$1:$BZ$1,0),FALSE),"")</f>
        <v>124.491</v>
      </c>
      <c r="AH197">
        <f>IF(ISNUMBER(VLOOKUP($A197,Haver_M!$B$1:$BZ$300,MATCH(data!AH$1,Haver_M!$B$1:$BZ$1,0),FALSE)),VLOOKUP($A197,Haver_M!$B$1:$BZ$300,MATCH(data!AH$1,Haver_M!$B$1:$BZ$1,0),FALSE),"")</f>
        <v>141.22</v>
      </c>
      <c r="AI197">
        <f>IF(ISNUMBER(VLOOKUP($A197,Haver_M!$B$1:$BZ$300,MATCH(data!AI$1,Haver_M!$B$1:$BZ$1,0),FALSE)),VLOOKUP($A197,Haver_M!$B$1:$BZ$300,MATCH(data!AI$1,Haver_M!$B$1:$BZ$1,0),FALSE),"")</f>
        <v>16195.835812741389</v>
      </c>
      <c r="AJ197">
        <f>IF(ISNUMBER(VLOOKUP($A197,Haver_M!$B$1:$BZ$300,MATCH(data!AJ$1,Haver_M!$B$1:$BZ$1,0),FALSE)),VLOOKUP($A197,Haver_M!$B$1:$BZ$300,MATCH(data!AJ$1,Haver_M!$B$1:$BZ$1,0),FALSE),"")</f>
        <v>21371.119999999999</v>
      </c>
      <c r="AK197">
        <f>IF(ISNUMBER(VLOOKUP($A197,Haver_M!$B$1:$BZ$300,MATCH(data!AK$1,Haver_M!$B$1:$BZ$1,0),FALSE)),VLOOKUP($A197,Haver_M!$B$1:$BZ$300,MATCH(data!AK$1,Haver_M!$B$1:$BZ$1,0),FALSE),"")</f>
        <v>26207.94</v>
      </c>
      <c r="AL197">
        <f>IF(ISNUMBER(VLOOKUP($A197,Haver_M!$B$1:$BZ$300,MATCH(data!AL$1,Haver_M!$B$1:$BZ$1,0),FALSE)),VLOOKUP($A197,Haver_M!$B$1:$BZ$300,MATCH(data!AL$1,Haver_M!$B$1:$BZ$1,0),FALSE),"")</f>
        <v>12908</v>
      </c>
      <c r="AM197">
        <f>IF(ISNUMBER(VLOOKUP($A197,Haver_M!$B$1:$BZ$300,MATCH(data!AM$1,Haver_M!$B$1:$BZ$1,0),FALSE)),VLOOKUP($A197,Haver_M!$B$1:$BZ$300,MATCH(data!AM$1,Haver_M!$B$1:$BZ$1,0),FALSE),"")</f>
        <v>7183</v>
      </c>
      <c r="AN197" t="str">
        <f>IF(ISNUMBER(VLOOKUP($A197,Haver_M!$B$1:$BZ$300,MATCH(data!AN$1,Haver_M!$B$1:$BZ$1,0),FALSE)),VLOOKUP($A197,Haver_M!$B$1:$BZ$300,MATCH(data!AN$1,Haver_M!$B$1:$BZ$1,0),FALSE),"")</f>
        <v/>
      </c>
      <c r="AO197" t="str">
        <f>IF(ISNUMBER(VLOOKUP($A197,Haver_M!$B$1:$BZ$300,MATCH(data!AO$1,Haver_M!$B$1:$BZ$1,0),FALSE)),VLOOKUP($A197,Haver_M!$B$1:$BZ$300,MATCH(data!AO$1,Haver_M!$B$1:$BZ$1,0),FALSE),"")</f>
        <v/>
      </c>
      <c r="AP197">
        <f>IF(ISNUMBER(VLOOKUP($A197,Haver_M!$B$1:$BZ$300,MATCH(data!AP$1,Haver_M!$B$1:$BZ$1,0),FALSE)),VLOOKUP($A197,Haver_M!$B$1:$BZ$300,MATCH(data!AP$1,Haver_M!$B$1:$BZ$1,0),FALSE),"")</f>
        <v>57.450727797957427</v>
      </c>
      <c r="AQ197">
        <f>IF(ISNUMBER(VLOOKUP($A197,Haver_M!$B$1:$BZ$300,MATCH(data!AQ$1,Haver_M!$B$1:$BZ$1,0),FALSE)),VLOOKUP($A197,Haver_M!$B$1:$BZ$300,MATCH(data!AQ$1,Haver_M!$B$1:$BZ$1,0),FALSE),"")</f>
        <v>52.817100000000003</v>
      </c>
      <c r="AR197">
        <f>IF(ISNUMBER(VLOOKUP($A197,Haver_M!$B$1:$BZ$300,MATCH(data!AR$1,Haver_M!$B$1:$BZ$1,0),FALSE)),VLOOKUP($A197,Haver_M!$B$1:$BZ$300,MATCH(data!AR$1,Haver_M!$B$1:$BZ$1,0),FALSE),"")</f>
        <v>50.474299999999999</v>
      </c>
      <c r="AS197">
        <f>IF(ISNUMBER(VLOOKUP($A197,Haver_M!$B$1:$BZ$300,MATCH(data!AS$1,Haver_M!$B$1:$BZ$1,0),FALSE)),VLOOKUP($A197,Haver_M!$B$1:$BZ$300,MATCH(data!AS$1,Haver_M!$B$1:$BZ$1,0),FALSE),"")</f>
        <v>53.745399999999997</v>
      </c>
      <c r="AT197">
        <f>IF(ISNUMBER(VLOOKUP($A197,Haver_M!$B$1:$BZ$300,MATCH(data!AT$1,Haver_M!$B$1:$BZ$1,0),FALSE)),VLOOKUP($A197,Haver_M!$B$1:$BZ$300,MATCH(data!AT$1,Haver_M!$B$1:$BZ$1,0),FALSE),"")</f>
        <v>50.970100000000002</v>
      </c>
      <c r="AU197">
        <f>IF(ISNUMBER(VLOOKUP($A197,Haver_M!$B$1:$BZ$300,MATCH(data!AU$1,Haver_M!$B$1:$BZ$1,0),FALSE)),VLOOKUP($A197,Haver_M!$B$1:$BZ$300,MATCH(data!AU$1,Haver_M!$B$1:$BZ$1,0),FALSE),"")</f>
        <v>50.1496</v>
      </c>
      <c r="AV197">
        <f>IF(ISNUMBER(VLOOKUP($A197,Haver_M!$B$1:$BZ$300,MATCH(data!AV$1,Haver_M!$B$1:$BZ$1,0),FALSE)),VLOOKUP($A197,Haver_M!$B$1:$BZ$300,MATCH(data!AV$1,Haver_M!$B$1:$BZ$1,0),FALSE),"")</f>
        <v>50.069499999999998</v>
      </c>
      <c r="AW197">
        <f>IF(ISNUMBER(VLOOKUP($A197,Haver_M!$B$1:$BZ$300,MATCH(data!AW$1,Haver_M!$B$1:$BZ$1,0),FALSE)),VLOOKUP($A197,Haver_M!$B$1:$BZ$300,MATCH(data!AW$1,Haver_M!$B$1:$BZ$1,0),FALSE),"")</f>
        <v>49.189700000000002</v>
      </c>
      <c r="AX197">
        <f>IF(ISNUMBER(VLOOKUP($A197,Haver_M!$B$1:$BZ$300,MATCH(data!AX$1,Haver_M!$B$1:$BZ$1,0),FALSE)),VLOOKUP($A197,Haver_M!$B$1:$BZ$300,MATCH(data!AX$1,Haver_M!$B$1:$BZ$1,0),FALSE),"")</f>
        <v>50.514499999999998</v>
      </c>
      <c r="AY197">
        <f>IF(ISNUMBER(VLOOKUP($A197,Haver_M!$B$1:$BZ$300,MATCH(data!AY$1,Haver_M!$B$1:$BZ$1,0),FALSE)),VLOOKUP($A197,Haver_M!$B$1:$BZ$300,MATCH(data!AY$1,Haver_M!$B$1:$BZ$1,0),FALSE),"")</f>
        <v>54.005099999999999</v>
      </c>
      <c r="AZ197">
        <f>IF(ISNUMBER(VLOOKUP($A197,Haver_M!$B$1:$BZ$300,MATCH(data!AZ$1,Haver_M!$B$1:$BZ$1,0),FALSE)),VLOOKUP($A197,Haver_M!$B$1:$BZ$300,MATCH(data!AZ$1,Haver_M!$B$1:$BZ$1,0),FALSE),"")</f>
        <v>51.472499999999997</v>
      </c>
      <c r="BA197">
        <f>IF(ISNUMBER(VLOOKUP($A197,Haver_M!$B$1:$BZ$300,MATCH(data!BA$1,Haver_M!$B$1:$BZ$1,0),FALSE)),VLOOKUP($A197,Haver_M!$B$1:$BZ$300,MATCH(data!BA$1,Haver_M!$B$1:$BZ$1,0),FALSE),"")</f>
        <v>50.514499999999998</v>
      </c>
      <c r="BB197">
        <f>IF(ISNUMBER(VLOOKUP($A197,Haver_M!$B$1:$BZ$300,MATCH(data!BB$1,Haver_M!$B$1:$BZ$1,0),FALSE)),VLOOKUP($A197,Haver_M!$B$1:$BZ$300,MATCH(data!BB$1,Haver_M!$B$1:$BZ$1,0),FALSE),"")</f>
        <v>50.893999999999998</v>
      </c>
      <c r="BC197">
        <f>IF(ISNUMBER(VLOOKUP($A197,Haver_M!$B$1:$BZ$300,MATCH(data!BC$1,Haver_M!$B$1:$BZ$1,0),FALSE)),VLOOKUP($A197,Haver_M!$B$1:$BZ$300,MATCH(data!BC$1,Haver_M!$B$1:$BZ$1,0),FALSE),"")</f>
        <v>51.795999999999999</v>
      </c>
      <c r="BD197">
        <f>IF(ISNUMBER(VLOOKUP($A197,Haver_M!$B$1:$BZ$300,MATCH(data!BD$1,Haver_M!$B$1:$BZ$1,0),FALSE)),VLOOKUP($A197,Haver_M!$B$1:$BZ$300,MATCH(data!BD$1,Haver_M!$B$1:$BZ$1,0),FALSE),"")</f>
        <v>51.351399999999998</v>
      </c>
      <c r="BE197">
        <f>IF(ISNUMBER(VLOOKUP($A197,Haver_M!$B$1:$BZ$300,MATCH(data!BE$1,Haver_M!$B$1:$BZ$1,0),FALSE)),VLOOKUP($A197,Haver_M!$B$1:$BZ$300,MATCH(data!BE$1,Haver_M!$B$1:$BZ$1,0),FALSE),"")</f>
        <v>1.0941000000000001</v>
      </c>
      <c r="BF197">
        <f>IF(ISNUMBER(VLOOKUP($A197,Haver_M!$B$1:$BZ$300,MATCH(data!BF$1,Haver_M!$B$1:$BZ$1,0),FALSE)),VLOOKUP($A197,Haver_M!$B$1:$BZ$300,MATCH(data!BF$1,Haver_M!$B$1:$BZ$1,0),FALSE),"")</f>
        <v>49.955599999999997</v>
      </c>
      <c r="BG197">
        <f>IF(ISNUMBER(VLOOKUP($A197,Haver_M!$B$1:$BZ$300,MATCH(data!BG$1,Haver_M!$B$1:$BZ$1,0),FALSE)),VLOOKUP($A197,Haver_M!$B$1:$BZ$300,MATCH(data!BG$1,Haver_M!$B$1:$BZ$1,0),FALSE),"")</f>
        <v>51.361899999999999</v>
      </c>
      <c r="BH197">
        <f>IF(ISNUMBER(VLOOKUP($A197,Haver_M!$B$1:$BZ$300,MATCH(data!BH$1,Haver_M!$B$1:$BZ$1,0),FALSE)),VLOOKUP($A197,Haver_M!$B$1:$BZ$300,MATCH(data!BH$1,Haver_M!$B$1:$BZ$1,0),FALSE),"")</f>
        <v>53.703400000000002</v>
      </c>
      <c r="BI197">
        <f>IF(ISNUMBER(VLOOKUP($A197,Haver_M!$B$1:$BZ$300,MATCH(data!BI$1,Haver_M!$B$1:$BZ$1,0),FALSE)),VLOOKUP($A197,Haver_M!$B$1:$BZ$300,MATCH(data!BI$1,Haver_M!$B$1:$BZ$1,0),FALSE),"")</f>
        <v>53.336500000000001</v>
      </c>
      <c r="BJ197">
        <f>IF(ISNUMBER(VLOOKUP($A197,Haver_M!$B$1:$BZ$300,MATCH(data!BJ$1,Haver_M!$B$1:$BZ$1,0),FALSE)),VLOOKUP($A197,Haver_M!$B$1:$BZ$300,MATCH(data!BJ$1,Haver_M!$B$1:$BZ$1,0),FALSE),"")</f>
        <v>52.994399999999999</v>
      </c>
      <c r="BK197">
        <f>IF(ISNUMBER(VLOOKUP($A197,Haver_M!$B$1:$BZ$300,MATCH(data!BK$1,Haver_M!$B$1:$BZ$1,0),FALSE)),VLOOKUP($A197,Haver_M!$B$1:$BZ$300,MATCH(data!BK$1,Haver_M!$B$1:$BZ$1,0),FALSE),"")</f>
        <v>49.783200000000001</v>
      </c>
      <c r="BL197">
        <f>IF(ISNUMBER(VLOOKUP($A197,Haver_M!$B$1:$BZ$300,MATCH(data!BL$1,Haver_M!$B$1:$BZ$1,0),FALSE)),VLOOKUP($A197,Haver_M!$B$1:$BZ$300,MATCH(data!BL$1,Haver_M!$B$1:$BZ$1,0),FALSE),"")</f>
        <v>25441.47</v>
      </c>
      <c r="BM197">
        <f>IF(ISNUMBER(VLOOKUP($A197,Haver_M!$B$1:$BZ$300,MATCH(data!BM$1,Haver_M!$B$1:$BZ$1,0),FALSE)),VLOOKUP($A197,Haver_M!$B$1:$BZ$300,MATCH(data!BM$1,Haver_M!$B$1:$BZ$1,0),FALSE),"")</f>
        <v>105.26463923999999</v>
      </c>
      <c r="BN197" t="str">
        <f>IF(ISNUMBER(VLOOKUP($A197,Haver_M!$B$1:$BZ$300,MATCH(data!BN$1,Haver_M!$B$1:$BZ$1,0),FALSE)),VLOOKUP($A197,Haver_M!$B$1:$BZ$300,MATCH(data!BN$1,Haver_M!$B$1:$BZ$1,0),FALSE),"")</f>
        <v/>
      </c>
      <c r="BO197" t="str">
        <f>IF(ISNUMBER(VLOOKUP($A197,Haver_M!$B$1:$BZ$300,MATCH(data!BO$1,Haver_M!$B$1:$BZ$1,0),FALSE)),VLOOKUP($A197,Haver_M!$B$1:$BZ$300,MATCH(data!BO$1,Haver_M!$B$1:$BZ$1,0),FALSE),"")</f>
        <v/>
      </c>
      <c r="BP197" t="str">
        <f>IF(ISNUMBER(VLOOKUP($A197,Haver_M!$B$1:$BZ$300,MATCH(data!BP$1,Haver_M!$B$1:$BZ$1,0),FALSE)),VLOOKUP($A197,Haver_M!$B$1:$BZ$300,MATCH(data!BP$1,Haver_M!$B$1:$BZ$1,0),FALSE),"")</f>
        <v/>
      </c>
      <c r="BQ197">
        <f>IF(ISNUMBER(VLOOKUP($A197,Haver_M!$B$1:$BZ$300,MATCH(data!BQ$1,Haver_M!$B$1:$BZ$1,0),FALSE)),VLOOKUP($A197,Haver_M!$B$1:$BZ$300,MATCH(data!BQ$1,Haver_M!$B$1:$BZ$1,0),FALSE),"")</f>
        <v>212.13759694295882</v>
      </c>
      <c r="BR197">
        <f>IF(ISNUMBER(VLOOKUP($A197,Haver_M!$B$1:$BZ$300,MATCH(data!BR$1,Haver_M!$B$1:$BZ$1,0),FALSE)),VLOOKUP($A197,Haver_M!$B$1:$BZ$300,MATCH(data!BR$1,Haver_M!$B$1:$BZ$1,0),FALSE),"")</f>
        <v>400.41492714703742</v>
      </c>
      <c r="BS197">
        <f>IF(ISNUMBER(VLOOKUP($A197,Haver_M!$B$1:$BZ$300,MATCH(data!BS$1,Haver_M!$B$1:$BZ$1,0),FALSE)),VLOOKUP($A197,Haver_M!$B$1:$BZ$300,MATCH(data!BS$1,Haver_M!$B$1:$BZ$1,0),FALSE),"")</f>
        <v>237.18998939363166</v>
      </c>
      <c r="BT197">
        <f>IF(ISNUMBER(VLOOKUP($A197,Haver_M!$B$1:$BZ$300,MATCH(data!BT$1,Haver_M!$B$1:$BZ$1,0),FALSE)),VLOOKUP($A197,Haver_M!$B$1:$BZ$300,MATCH(data!BT$1,Haver_M!$B$1:$BZ$1,0),FALSE),"")</f>
        <v>985.64318973363731</v>
      </c>
      <c r="BU197">
        <f>IF(ISNUMBER(VLOOKUP($A197,Haver_M!$B$1:$BZ$300,MATCH(data!BU$1,Haver_M!$B$1:$BZ$1,0),FALSE)),VLOOKUP($A197,Haver_M!$B$1:$BZ$300,MATCH(data!BU$1,Haver_M!$B$1:$BZ$1,0),FALSE),"")</f>
        <v>20863.47</v>
      </c>
      <c r="BV197">
        <f>IF(ISNUMBER(VLOOKUP($A197,Haver_M!$B$1:$BZ$300,MATCH(data!BV$1,Haver_M!$B$1:$BZ$1,0),FALSE)),VLOOKUP($A197,Haver_M!$B$1:$BZ$300,MATCH(data!BV$1,Haver_M!$B$1:$BZ$1,0),FALSE),"")</f>
        <v>25689.18</v>
      </c>
      <c r="BW197">
        <f>IF(ISNUMBER(VLOOKUP($A197,Haver_M!$B$1:$BZ$300,MATCH(data!BW$1,Haver_M!$B$1:$BZ$1,0),FALSE)),VLOOKUP($A197,Haver_M!$B$1:$BZ$300,MATCH(data!BW$1,Haver_M!$B$1:$BZ$1,0),FALSE),"")</f>
        <v>66.469499999999996</v>
      </c>
      <c r="BX197">
        <f>IF(ISNUMBER(VLOOKUP($A197,Haver_M!$B$1:$BZ$300,MATCH(data!BX$1,Haver_M!$B$1:$BZ$1,0),FALSE)),VLOOKUP($A197,Haver_M!$B$1:$BZ$300,MATCH(data!BX$1,Haver_M!$B$1:$BZ$1,0),FALSE),"")</f>
        <v>62684</v>
      </c>
    </row>
    <row r="198" spans="1:76" x14ac:dyDescent="0.25">
      <c r="A198" s="2">
        <v>42521</v>
      </c>
      <c r="B198" t="str">
        <f>IF(ISNUMBER(VLOOKUP($A198,Haver_Q!$B$1:$L$185,MATCH(data!B$1,Haver_Q!$B$1:$L$1,0),FALSE)),100*(VLOOKUP($A198,Haver_Q!$B$1:$L$185,MATCH(data!B$1,Haver_Q!$B$1:$L$1,0),FALSE)),"")</f>
        <v/>
      </c>
      <c r="C198" t="str">
        <f>IF(ISNUMBER(VLOOKUP($A198,Haver_Q!$B$1:$L$185,MATCH(data!C$1,Haver_Q!$B$1:$L$1,0),FALSE)),100*(VLOOKUP($A198,Haver_Q!$B$1:$L$185,MATCH(data!C$1,Haver_Q!$B$1:$L$1,0),FALSE)),"")</f>
        <v/>
      </c>
      <c r="D198" t="str">
        <f>IF(ISNUMBER(VLOOKUP($A198,Haver_Q!$B$1:$L$185,MATCH(data!D$1,Haver_Q!$B$1:$L$1,0),FALSE)),100*(VLOOKUP($A198,Haver_Q!$B$1:$L$185,MATCH(data!D$1,Haver_Q!$B$1:$L$1,0),FALSE)),"")</f>
        <v/>
      </c>
      <c r="E198" t="str">
        <f>IF(ISNUMBER(VLOOKUP($A198,Haver_Q!$B$1:$L$185,MATCH(data!E$1,Haver_Q!$B$1:$L$1,0),FALSE)),100*(VLOOKUP($A198,Haver_Q!$B$1:$L$185,MATCH(data!E$1,Haver_Q!$B$1:$L$1,0),FALSE)),"")</f>
        <v/>
      </c>
      <c r="F198" t="str">
        <f>IF(ISNUMBER(VLOOKUP($A198,Haver_Q!$B$1:$L$185,MATCH(data!F$1,Haver_Q!$B$1:$L$1,0),FALSE)),100*(VLOOKUP($A198,Haver_Q!$B$1:$L$185,MATCH(data!F$1,Haver_Q!$B$1:$L$1,0),FALSE)),"")</f>
        <v/>
      </c>
      <c r="G198" t="str">
        <f>IF(ISNUMBER(VLOOKUP($A198,Haver_Q!$B$1:$L$185,MATCH(data!G$1,Haver_Q!$B$1:$L$1,0),FALSE)),100*(VLOOKUP($A198,Haver_Q!$B$1:$L$185,MATCH(data!G$1,Haver_Q!$B$1:$L$1,0),FALSE)),"")</f>
        <v/>
      </c>
      <c r="H198" t="str">
        <f>IF(ISNUMBER(VLOOKUP($A198,Haver_Q!$B$1:$L$185,MATCH(data!H$1,Haver_Q!$B$1:$L$1,0),FALSE)),(VLOOKUP($A198,Haver_Q!$B$1:$L$185,MATCH(data!H$1,Haver_Q!$B$1:$L$1,0),FALSE)),"")</f>
        <v/>
      </c>
      <c r="I198" t="str">
        <f>IF(ISNUMBER(VLOOKUP($A198,Haver_Q!$B$1:$L$185,MATCH(data!I$1,Haver_Q!$B$1:$L$1,0),FALSE)),100*(VLOOKUP($A198,Haver_Q!$B$1:$L$185,MATCH(data!I$1,Haver_Q!$B$1:$L$1,0),FALSE)),"")</f>
        <v/>
      </c>
      <c r="J198" s="3">
        <f>IF(ISNUMBER(Bloomberg_m!C214),Bloomberg_m!C214,"")</f>
        <v>620</v>
      </c>
      <c r="K198" s="3">
        <f>IF(ISNUMBER(Bloomberg_m!D214),Bloomberg_m!D214,"")</f>
        <v>1064.6500000000001</v>
      </c>
      <c r="L198" s="3">
        <f>IF(ISNUMBER(Bloomberg_m!E214),Bloomberg_m!E214,"")</f>
        <v>561.76</v>
      </c>
      <c r="M198" s="3">
        <f>IF(ISNUMBER(Bloomberg_m!F214),Bloomberg_m!F214,"")</f>
        <v>413.95</v>
      </c>
      <c r="N198">
        <f>IF(ISNUMBER(VLOOKUP($A198,Haver_M!$B$1:$BZ$300,MATCH(data!N$1,Haver_M!$B$1:$BZ$1,0),FALSE)),VLOOKUP($A198,Haver_M!$B$1:$BZ$300,MATCH(data!N$1,Haver_M!$B$1:$BZ$1,0),FALSE),"")</f>
        <v>6.5</v>
      </c>
      <c r="O198">
        <f>IF(ISNUMBER(VLOOKUP($A198,Haver_M!$B$1:$BZ$300,MATCH(data!O$1,Haver_M!$B$1:$BZ$1,0),FALSE)),VLOOKUP($A198,Haver_M!$B$1:$BZ$300,MATCH(data!O$1,Haver_M!$B$1:$BZ$1,0),FALSE),"")</f>
        <v>7.4649999999999999</v>
      </c>
      <c r="P198">
        <f>IF(ISNUMBER(VLOOKUP($A198,Haver_M!$B$1:$BZ$300,MATCH(data!P$1,Haver_M!$B$1:$BZ$1,0),FALSE)),VLOOKUP($A198,Haver_M!$B$1:$BZ$300,MATCH(data!P$1,Haver_M!$B$1:$BZ$1,0),FALSE),"")</f>
        <v>91.368480000000005</v>
      </c>
      <c r="Q198">
        <f>IF(ISNUMBER(VLOOKUP($A198,Haver_M!$B$1:$BZ$300,MATCH(data!Q$1,Haver_M!$B$1:$BZ$1,0),FALSE)),VLOOKUP($A198,Haver_M!$B$1:$BZ$300,MATCH(data!Q$1,Haver_M!$B$1:$BZ$1,0),FALSE),"")</f>
        <v>128.6</v>
      </c>
      <c r="R198">
        <f>IF(ISNUMBER(VLOOKUP($A198,Haver_M!$B$1:$BZ$300,MATCH(data!R$1,Haver_M!$B$1:$BZ$1,0),FALSE)),VLOOKUP($A198,Haver_M!$B$1:$BZ$300,MATCH(data!R$1,Haver_M!$B$1:$BZ$1,0),FALSE),"")</f>
        <v>125.9</v>
      </c>
      <c r="S198">
        <f>IF(ISNUMBER(VLOOKUP($A198,Haver_M!$B$1:$BZ$300,MATCH(data!S$1,Haver_M!$B$1:$BZ$1,0),FALSE)),VLOOKUP($A198,Haver_M!$B$1:$BZ$300,MATCH(data!S$1,Haver_M!$B$1:$BZ$1,0),FALSE),"")</f>
        <v>119.76</v>
      </c>
      <c r="T198">
        <f>IF(ISNUMBER(VLOOKUP($A198,Haver_M!$B$1:$BZ$300,MATCH(data!T$1,Haver_M!$B$1:$BZ$1,0),FALSE)),VLOOKUP($A198,Haver_M!$B$1:$BZ$300,MATCH(data!T$1,Haver_M!$B$1:$BZ$1,0),FALSE),"")</f>
        <v>115.6</v>
      </c>
      <c r="U198">
        <f>IF(ISNUMBER(VLOOKUP($A198,Haver_M!$B$1:$BZ$300,MATCH(data!U$1,Haver_M!$B$1:$BZ$1,0),FALSE)),VLOOKUP($A198,Haver_M!$B$1:$BZ$300,MATCH(data!U$1,Haver_M!$B$1:$BZ$1,0),FALSE),"")</f>
        <v>105.16</v>
      </c>
      <c r="V198">
        <f>IF(ISNUMBER(VLOOKUP($A198,Haver_M!$B$1:$BZ$300,MATCH(data!V$1,Haver_M!$B$1:$BZ$1,0),FALSE)),VLOOKUP($A198,Haver_M!$B$1:$BZ$300,MATCH(data!V$1,Haver_M!$B$1:$BZ$1,0),FALSE),"")</f>
        <v>122.2</v>
      </c>
      <c r="W198">
        <f>IF(ISNUMBER(VLOOKUP($A198,Haver_M!$B$1:$BZ$300,MATCH(data!W$1,Haver_M!$B$1:$BZ$1,0),FALSE)),VLOOKUP($A198,Haver_M!$B$1:$BZ$300,MATCH(data!W$1,Haver_M!$B$1:$BZ$1,0),FALSE),"")</f>
        <v>126.14</v>
      </c>
      <c r="X198">
        <f>IF(ISNUMBER(VLOOKUP($A198,Haver_M!$B$1:$BZ$300,MATCH(data!X$1,Haver_M!$B$1:$BZ$1,0),FALSE)),VLOOKUP($A198,Haver_M!$B$1:$BZ$300,MATCH(data!X$1,Haver_M!$B$1:$BZ$1,0),FALSE),"")</f>
        <v>124.05</v>
      </c>
      <c r="Y198">
        <f>IF(ISNUMBER(VLOOKUP($A198,Haver_M!$B$1:$BZ$300,MATCH(data!Y$1,Haver_M!$B$1:$BZ$1,0),FALSE)),VLOOKUP($A198,Haver_M!$B$1:$BZ$300,MATCH(data!Y$1,Haver_M!$B$1:$BZ$1,0),FALSE),"")</f>
        <v>128.09</v>
      </c>
      <c r="Z198">
        <f>IF(ISNUMBER(VLOOKUP($A198,Haver_M!$B$1:$BZ$300,MATCH(data!Z$1,Haver_M!$B$1:$BZ$1,0),FALSE)),VLOOKUP($A198,Haver_M!$B$1:$BZ$300,MATCH(data!Z$1,Haver_M!$B$1:$BZ$1,0),FALSE),"")</f>
        <v>119.2</v>
      </c>
      <c r="AA198">
        <f>IF(ISNUMBER(VLOOKUP($A198,Haver_M!$B$1:$BZ$300,MATCH(data!AA$1,Haver_M!$B$1:$BZ$1,0),FALSE)),VLOOKUP($A198,Haver_M!$B$1:$BZ$300,MATCH(data!AA$1,Haver_M!$B$1:$BZ$1,0),FALSE),"")</f>
        <v>123.524</v>
      </c>
      <c r="AB198">
        <f>IF(ISNUMBER(VLOOKUP($A198,Haver_M!$B$1:$BZ$300,MATCH(data!AB$1,Haver_M!$B$1:$BZ$1,0),FALSE)),VLOOKUP($A198,Haver_M!$B$1:$BZ$300,MATCH(data!AB$1,Haver_M!$B$1:$BZ$1,0),FALSE),"")</f>
        <v>94.885000000000005</v>
      </c>
      <c r="AC198">
        <f>IF(ISNUMBER(VLOOKUP($A198,Haver_M!$B$1:$BZ$300,MATCH(data!AC$1,Haver_M!$B$1:$BZ$1,0),FALSE)),VLOOKUP($A198,Haver_M!$B$1:$BZ$300,MATCH(data!AC$1,Haver_M!$B$1:$BZ$1,0),FALSE),"")</f>
        <v>65.53</v>
      </c>
      <c r="AD198">
        <f>IF(ISNUMBER(VLOOKUP($A198,Haver_M!$B$1:$BZ$300,MATCH(data!AD$1,Haver_M!$B$1:$BZ$1,0),FALSE)),VLOOKUP($A198,Haver_M!$B$1:$BZ$300,MATCH(data!AD$1,Haver_M!$B$1:$BZ$1,0),FALSE),"")</f>
        <v>117.51900000000001</v>
      </c>
      <c r="AE198">
        <f>IF(ISNUMBER(VLOOKUP($A198,Haver_M!$B$1:$BZ$300,MATCH(data!AE$1,Haver_M!$B$1:$BZ$1,0),FALSE)),VLOOKUP($A198,Haver_M!$B$1:$BZ$300,MATCH(data!AE$1,Haver_M!$B$1:$BZ$1,0),FALSE),"")</f>
        <v>109.556</v>
      </c>
      <c r="AF198">
        <f>IF(ISNUMBER(VLOOKUP($A198,Haver_M!$B$1:$BZ$300,MATCH(data!AF$1,Haver_M!$B$1:$BZ$1,0),FALSE)),VLOOKUP($A198,Haver_M!$B$1:$BZ$300,MATCH(data!AF$1,Haver_M!$B$1:$BZ$1,0),FALSE),"")</f>
        <v>131.745</v>
      </c>
      <c r="AG198">
        <f>IF(ISNUMBER(VLOOKUP($A198,Haver_M!$B$1:$BZ$300,MATCH(data!AG$1,Haver_M!$B$1:$BZ$1,0),FALSE)),VLOOKUP($A198,Haver_M!$B$1:$BZ$300,MATCH(data!AG$1,Haver_M!$B$1:$BZ$1,0),FALSE),"")</f>
        <v>124.953</v>
      </c>
      <c r="AH198">
        <f>IF(ISNUMBER(VLOOKUP($A198,Haver_M!$B$1:$BZ$300,MATCH(data!AH$1,Haver_M!$B$1:$BZ$1,0),FALSE)),VLOOKUP($A198,Haver_M!$B$1:$BZ$300,MATCH(data!AH$1,Haver_M!$B$1:$BZ$1,0),FALSE),"")</f>
        <v>138.11000000000001</v>
      </c>
      <c r="AI198">
        <f>IF(ISNUMBER(VLOOKUP($A198,Haver_M!$B$1:$BZ$300,MATCH(data!AI$1,Haver_M!$B$1:$BZ$1,0),FALSE)),VLOOKUP($A198,Haver_M!$B$1:$BZ$300,MATCH(data!AI$1,Haver_M!$B$1:$BZ$1,0),FALSE),"")</f>
        <v>15853.491756899826</v>
      </c>
      <c r="AJ198">
        <f>IF(ISNUMBER(VLOOKUP($A198,Haver_M!$B$1:$BZ$300,MATCH(data!AJ$1,Haver_M!$B$1:$BZ$1,0),FALSE)),VLOOKUP($A198,Haver_M!$B$1:$BZ$300,MATCH(data!AJ$1,Haver_M!$B$1:$BZ$1,0),FALSE),"")</f>
        <v>21960.44</v>
      </c>
      <c r="AK198">
        <f>IF(ISNUMBER(VLOOKUP($A198,Haver_M!$B$1:$BZ$300,MATCH(data!AK$1,Haver_M!$B$1:$BZ$1,0),FALSE)),VLOOKUP($A198,Haver_M!$B$1:$BZ$300,MATCH(data!AK$1,Haver_M!$B$1:$BZ$1,0),FALSE),"")</f>
        <v>27764.240000000002</v>
      </c>
      <c r="AL198">
        <f>IF(ISNUMBER(VLOOKUP($A198,Haver_M!$B$1:$BZ$300,MATCH(data!AL$1,Haver_M!$B$1:$BZ$1,0),FALSE)),VLOOKUP($A198,Haver_M!$B$1:$BZ$300,MATCH(data!AL$1,Haver_M!$B$1:$BZ$1,0),FALSE),"")</f>
        <v>13460</v>
      </c>
      <c r="AM198">
        <f>IF(ISNUMBER(VLOOKUP($A198,Haver_M!$B$1:$BZ$300,MATCH(data!AM$1,Haver_M!$B$1:$BZ$1,0),FALSE)),VLOOKUP($A198,Haver_M!$B$1:$BZ$300,MATCH(data!AM$1,Haver_M!$B$1:$BZ$1,0),FALSE),"")</f>
        <v>7922</v>
      </c>
      <c r="AN198" t="str">
        <f>IF(ISNUMBER(VLOOKUP($A198,Haver_M!$B$1:$BZ$300,MATCH(data!AN$1,Haver_M!$B$1:$BZ$1,0),FALSE)),VLOOKUP($A198,Haver_M!$B$1:$BZ$300,MATCH(data!AN$1,Haver_M!$B$1:$BZ$1,0),FALSE),"")</f>
        <v/>
      </c>
      <c r="AO198" t="str">
        <f>IF(ISNUMBER(VLOOKUP($A198,Haver_M!$B$1:$BZ$300,MATCH(data!AO$1,Haver_M!$B$1:$BZ$1,0),FALSE)),VLOOKUP($A198,Haver_M!$B$1:$BZ$300,MATCH(data!AO$1,Haver_M!$B$1:$BZ$1,0),FALSE),"")</f>
        <v/>
      </c>
      <c r="AP198">
        <f>IF(ISNUMBER(VLOOKUP($A198,Haver_M!$B$1:$BZ$300,MATCH(data!AP$1,Haver_M!$B$1:$BZ$1,0),FALSE)),VLOOKUP($A198,Haver_M!$B$1:$BZ$300,MATCH(data!AP$1,Haver_M!$B$1:$BZ$1,0),FALSE),"")</f>
        <v>70.454660631479314</v>
      </c>
      <c r="AQ198">
        <f>IF(ISNUMBER(VLOOKUP($A198,Haver_M!$B$1:$BZ$300,MATCH(data!AQ$1,Haver_M!$B$1:$BZ$1,0),FALSE)),VLOOKUP($A198,Haver_M!$B$1:$BZ$300,MATCH(data!AQ$1,Haver_M!$B$1:$BZ$1,0),FALSE),"")</f>
        <v>50.885800000000003</v>
      </c>
      <c r="AR198">
        <f>IF(ISNUMBER(VLOOKUP($A198,Haver_M!$B$1:$BZ$300,MATCH(data!AR$1,Haver_M!$B$1:$BZ$1,0),FALSE)),VLOOKUP($A198,Haver_M!$B$1:$BZ$300,MATCH(data!AR$1,Haver_M!$B$1:$BZ$1,0),FALSE),"")</f>
        <v>50.694000000000003</v>
      </c>
      <c r="AS198">
        <f>IF(ISNUMBER(VLOOKUP($A198,Haver_M!$B$1:$BZ$300,MATCH(data!AS$1,Haver_M!$B$1:$BZ$1,0),FALSE)),VLOOKUP($A198,Haver_M!$B$1:$BZ$300,MATCH(data!AS$1,Haver_M!$B$1:$BZ$1,0),FALSE),"")</f>
        <v>50.990299999999998</v>
      </c>
      <c r="AT198">
        <f>IF(ISNUMBER(VLOOKUP($A198,Haver_M!$B$1:$BZ$300,MATCH(data!AT$1,Haver_M!$B$1:$BZ$1,0),FALSE)),VLOOKUP($A198,Haver_M!$B$1:$BZ$300,MATCH(data!AT$1,Haver_M!$B$1:$BZ$1,0),FALSE),"")</f>
        <v>50.677799999999998</v>
      </c>
      <c r="AU198">
        <f>IF(ISNUMBER(VLOOKUP($A198,Haver_M!$B$1:$BZ$300,MATCH(data!AU$1,Haver_M!$B$1:$BZ$1,0),FALSE)),VLOOKUP($A198,Haver_M!$B$1:$BZ$300,MATCH(data!AU$1,Haver_M!$B$1:$BZ$1,0),FALSE),"")</f>
        <v>51.3018</v>
      </c>
      <c r="AV198">
        <f>IF(ISNUMBER(VLOOKUP($A198,Haver_M!$B$1:$BZ$300,MATCH(data!AV$1,Haver_M!$B$1:$BZ$1,0),FALSE)),VLOOKUP($A198,Haver_M!$B$1:$BZ$300,MATCH(data!AV$1,Haver_M!$B$1:$BZ$1,0),FALSE),"")</f>
        <v>50.419899999999998</v>
      </c>
      <c r="AW198">
        <f>IF(ISNUMBER(VLOOKUP($A198,Haver_M!$B$1:$BZ$300,MATCH(data!AW$1,Haver_M!$B$1:$BZ$1,0),FALSE)),VLOOKUP($A198,Haver_M!$B$1:$BZ$300,MATCH(data!AW$1,Haver_M!$B$1:$BZ$1,0),FALSE),"")</f>
        <v>49.851500000000001</v>
      </c>
      <c r="AX198">
        <f>IF(ISNUMBER(VLOOKUP($A198,Haver_M!$B$1:$BZ$300,MATCH(data!AX$1,Haver_M!$B$1:$BZ$1,0),FALSE)),VLOOKUP($A198,Haver_M!$B$1:$BZ$300,MATCH(data!AX$1,Haver_M!$B$1:$BZ$1,0),FALSE),"")</f>
        <v>50.277099999999997</v>
      </c>
      <c r="AY198">
        <f>IF(ISNUMBER(VLOOKUP($A198,Haver_M!$B$1:$BZ$300,MATCH(data!AY$1,Haver_M!$B$1:$BZ$1,0),FALSE)),VLOOKUP($A198,Haver_M!$B$1:$BZ$300,MATCH(data!AY$1,Haver_M!$B$1:$BZ$1,0),FALSE),"")</f>
        <v>54.276200000000003</v>
      </c>
      <c r="AZ198">
        <f>IF(ISNUMBER(VLOOKUP($A198,Haver_M!$B$1:$BZ$300,MATCH(data!AZ$1,Haver_M!$B$1:$BZ$1,0),FALSE)),VLOOKUP($A198,Haver_M!$B$1:$BZ$300,MATCH(data!AZ$1,Haver_M!$B$1:$BZ$1,0),FALSE),"")</f>
        <v>51.180399999999999</v>
      </c>
      <c r="BA198">
        <f>IF(ISNUMBER(VLOOKUP($A198,Haver_M!$B$1:$BZ$300,MATCH(data!BA$1,Haver_M!$B$1:$BZ$1,0),FALSE)),VLOOKUP($A198,Haver_M!$B$1:$BZ$300,MATCH(data!BA$1,Haver_M!$B$1:$BZ$1,0),FALSE),"")</f>
        <v>50.277099999999997</v>
      </c>
      <c r="BB198">
        <f>IF(ISNUMBER(VLOOKUP($A198,Haver_M!$B$1:$BZ$300,MATCH(data!BB$1,Haver_M!$B$1:$BZ$1,0),FALSE)),VLOOKUP($A198,Haver_M!$B$1:$BZ$300,MATCH(data!BB$1,Haver_M!$B$1:$BZ$1,0),FALSE),"")</f>
        <v>49.631399999999999</v>
      </c>
      <c r="BC198">
        <f>IF(ISNUMBER(VLOOKUP($A198,Haver_M!$B$1:$BZ$300,MATCH(data!BC$1,Haver_M!$B$1:$BZ$1,0),FALSE)),VLOOKUP($A198,Haver_M!$B$1:$BZ$300,MATCH(data!BC$1,Haver_M!$B$1:$BZ$1,0),FALSE),"")</f>
        <v>50.453899999999997</v>
      </c>
      <c r="BD198">
        <f>IF(ISNUMBER(VLOOKUP($A198,Haver_M!$B$1:$BZ$300,MATCH(data!BD$1,Haver_M!$B$1:$BZ$1,0),FALSE)),VLOOKUP($A198,Haver_M!$B$1:$BZ$300,MATCH(data!BD$1,Haver_M!$B$1:$BZ$1,0),FALSE),"")</f>
        <v>49.469499999999996</v>
      </c>
      <c r="BE198">
        <f>IF(ISNUMBER(VLOOKUP($A198,Haver_M!$B$1:$BZ$300,MATCH(data!BE$1,Haver_M!$B$1:$BZ$1,0),FALSE)),VLOOKUP($A198,Haver_M!$B$1:$BZ$300,MATCH(data!BE$1,Haver_M!$B$1:$BZ$1,0),FALSE),"")</f>
        <v>1.1152</v>
      </c>
      <c r="BF198">
        <f>IF(ISNUMBER(VLOOKUP($A198,Haver_M!$B$1:$BZ$300,MATCH(data!BF$1,Haver_M!$B$1:$BZ$1,0),FALSE)),VLOOKUP($A198,Haver_M!$B$1:$BZ$300,MATCH(data!BF$1,Haver_M!$B$1:$BZ$1,0),FALSE),"")</f>
        <v>50.197499999999998</v>
      </c>
      <c r="BG198">
        <f>IF(ISNUMBER(VLOOKUP($A198,Haver_M!$B$1:$BZ$300,MATCH(data!BG$1,Haver_M!$B$1:$BZ$1,0),FALSE)),VLOOKUP($A198,Haver_M!$B$1:$BZ$300,MATCH(data!BG$1,Haver_M!$B$1:$BZ$1,0),FALSE),"")</f>
        <v>51.734000000000002</v>
      </c>
      <c r="BH198">
        <f>IF(ISNUMBER(VLOOKUP($A198,Haver_M!$B$1:$BZ$300,MATCH(data!BH$1,Haver_M!$B$1:$BZ$1,0),FALSE)),VLOOKUP($A198,Haver_M!$B$1:$BZ$300,MATCH(data!BH$1,Haver_M!$B$1:$BZ$1,0),FALSE),"")</f>
        <v>50.9146</v>
      </c>
      <c r="BI198">
        <f>IF(ISNUMBER(VLOOKUP($A198,Haver_M!$B$1:$BZ$300,MATCH(data!BI$1,Haver_M!$B$1:$BZ$1,0),FALSE)),VLOOKUP($A198,Haver_M!$B$1:$BZ$300,MATCH(data!BI$1,Haver_M!$B$1:$BZ$1,0),FALSE),"")</f>
        <v>52.342799999999997</v>
      </c>
      <c r="BJ198">
        <f>IF(ISNUMBER(VLOOKUP($A198,Haver_M!$B$1:$BZ$300,MATCH(data!BJ$1,Haver_M!$B$1:$BZ$1,0),FALSE)),VLOOKUP($A198,Haver_M!$B$1:$BZ$300,MATCH(data!BJ$1,Haver_M!$B$1:$BZ$1,0),FALSE),"")</f>
        <v>51.061799999999998</v>
      </c>
      <c r="BK198">
        <f>IF(ISNUMBER(VLOOKUP($A198,Haver_M!$B$1:$BZ$300,MATCH(data!BK$1,Haver_M!$B$1:$BZ$1,0),FALSE)),VLOOKUP($A198,Haver_M!$B$1:$BZ$300,MATCH(data!BK$1,Haver_M!$B$1:$BZ$1,0),FALSE),"")</f>
        <v>48.018000000000001</v>
      </c>
      <c r="BL198">
        <f>IF(ISNUMBER(VLOOKUP($A198,Haver_M!$B$1:$BZ$300,MATCH(data!BL$1,Haver_M!$B$1:$BZ$1,0),FALSE)),VLOOKUP($A198,Haver_M!$B$1:$BZ$300,MATCH(data!BL$1,Haver_M!$B$1:$BZ$1,0),FALSE),"")</f>
        <v>25693.69</v>
      </c>
      <c r="BM198">
        <f>IF(ISNUMBER(VLOOKUP($A198,Haver_M!$B$1:$BZ$300,MATCH(data!BM$1,Haver_M!$B$1:$BZ$1,0),FALSE)),VLOOKUP($A198,Haver_M!$B$1:$BZ$300,MATCH(data!BM$1,Haver_M!$B$1:$BZ$1,0),FALSE),"")</f>
        <v>105.90829239999999</v>
      </c>
      <c r="BN198" t="str">
        <f>IF(ISNUMBER(VLOOKUP($A198,Haver_M!$B$1:$BZ$300,MATCH(data!BN$1,Haver_M!$B$1:$BZ$1,0),FALSE)),VLOOKUP($A198,Haver_M!$B$1:$BZ$300,MATCH(data!BN$1,Haver_M!$B$1:$BZ$1,0),FALSE),"")</f>
        <v/>
      </c>
      <c r="BO198" t="str">
        <f>IF(ISNUMBER(VLOOKUP($A198,Haver_M!$B$1:$BZ$300,MATCH(data!BO$1,Haver_M!$B$1:$BZ$1,0),FALSE)),VLOOKUP($A198,Haver_M!$B$1:$BZ$300,MATCH(data!BO$1,Haver_M!$B$1:$BZ$1,0),FALSE),"")</f>
        <v/>
      </c>
      <c r="BP198" t="str">
        <f>IF(ISNUMBER(VLOOKUP($A198,Haver_M!$B$1:$BZ$300,MATCH(data!BP$1,Haver_M!$B$1:$BZ$1,0),FALSE)),VLOOKUP($A198,Haver_M!$B$1:$BZ$300,MATCH(data!BP$1,Haver_M!$B$1:$BZ$1,0),FALSE),"")</f>
        <v/>
      </c>
      <c r="BQ198">
        <f>IF(ISNUMBER(VLOOKUP($A198,Haver_M!$B$1:$BZ$300,MATCH(data!BQ$1,Haver_M!$B$1:$BZ$1,0),FALSE)),VLOOKUP($A198,Haver_M!$B$1:$BZ$300,MATCH(data!BQ$1,Haver_M!$B$1:$BZ$1,0),FALSE),"")</f>
        <v>212.6419327212372</v>
      </c>
      <c r="BR198">
        <f>IF(ISNUMBER(VLOOKUP($A198,Haver_M!$B$1:$BZ$300,MATCH(data!BR$1,Haver_M!$B$1:$BZ$1,0),FALSE)),VLOOKUP($A198,Haver_M!$B$1:$BZ$300,MATCH(data!BR$1,Haver_M!$B$1:$BZ$1,0),FALSE),"")</f>
        <v>398.05863986715832</v>
      </c>
      <c r="BS198">
        <f>IF(ISNUMBER(VLOOKUP($A198,Haver_M!$B$1:$BZ$300,MATCH(data!BS$1,Haver_M!$B$1:$BZ$1,0),FALSE)),VLOOKUP($A198,Haver_M!$B$1:$BZ$300,MATCH(data!BS$1,Haver_M!$B$1:$BZ$1,0),FALSE),"")</f>
        <v>234.85106872704827</v>
      </c>
      <c r="BT198">
        <f>IF(ISNUMBER(VLOOKUP($A198,Haver_M!$B$1:$BZ$300,MATCH(data!BT$1,Haver_M!$B$1:$BZ$1,0),FALSE)),VLOOKUP($A198,Haver_M!$B$1:$BZ$300,MATCH(data!BT$1,Haver_M!$B$1:$BZ$1,0),FALSE),"")</f>
        <v>979.95178360313685</v>
      </c>
      <c r="BU198">
        <f>IF(ISNUMBER(VLOOKUP($A198,Haver_M!$B$1:$BZ$300,MATCH(data!BU$1,Haver_M!$B$1:$BZ$1,0),FALSE)),VLOOKUP($A198,Haver_M!$B$1:$BZ$300,MATCH(data!BU$1,Haver_M!$B$1:$BZ$1,0),FALSE),"")</f>
        <v>22407.03</v>
      </c>
      <c r="BV198">
        <f>IF(ISNUMBER(VLOOKUP($A198,Haver_M!$B$1:$BZ$300,MATCH(data!BV$1,Haver_M!$B$1:$BZ$1,0),FALSE)),VLOOKUP($A198,Haver_M!$B$1:$BZ$300,MATCH(data!BV$1,Haver_M!$B$1:$BZ$1,0),FALSE),"")</f>
        <v>28286.23</v>
      </c>
      <c r="BW198">
        <f>IF(ISNUMBER(VLOOKUP($A198,Haver_M!$B$1:$BZ$300,MATCH(data!BW$1,Haver_M!$B$1:$BZ$1,0),FALSE)),VLOOKUP($A198,Haver_M!$B$1:$BZ$300,MATCH(data!BW$1,Haver_M!$B$1:$BZ$1,0),FALSE),"")</f>
        <v>66.906700000000001</v>
      </c>
      <c r="BX198">
        <f>IF(ISNUMBER(VLOOKUP($A198,Haver_M!$B$1:$BZ$300,MATCH(data!BX$1,Haver_M!$B$1:$BZ$1,0),FALSE)),VLOOKUP($A198,Haver_M!$B$1:$BZ$300,MATCH(data!BX$1,Haver_M!$B$1:$BZ$1,0),FALSE),"")</f>
        <v>63278</v>
      </c>
    </row>
    <row r="199" spans="1:76" x14ac:dyDescent="0.25">
      <c r="A199" s="2">
        <v>42551</v>
      </c>
      <c r="B199">
        <f>IF(ISNUMBER(VLOOKUP($A199,Haver_Q!$B$1:$L$185,MATCH(data!B$1,Haver_Q!$B$1:$L$1,0),FALSE)),100*(VLOOKUP($A199,Haver_Q!$B$1:$L$185,MATCH(data!B$1,Haver_Q!$B$1:$L$1,0),FALSE)),"")</f>
        <v>10.796798948575038</v>
      </c>
      <c r="C199">
        <f>IF(ISNUMBER(VLOOKUP($A199,Haver_Q!$B$1:$L$185,MATCH(data!C$1,Haver_Q!$B$1:$L$1,0),FALSE)),100*(VLOOKUP($A199,Haver_Q!$B$1:$L$185,MATCH(data!C$1,Haver_Q!$B$1:$L$1,0),FALSE)),"")</f>
        <v>0.86359390203836206</v>
      </c>
      <c r="D199">
        <f>IF(ISNUMBER(VLOOKUP($A199,Haver_Q!$B$1:$L$185,MATCH(data!D$1,Haver_Q!$B$1:$L$1,0),FALSE)),100*(VLOOKUP($A199,Haver_Q!$B$1:$L$185,MATCH(data!D$1,Haver_Q!$B$1:$L$1,0),FALSE)),"")</f>
        <v>43.514876905647256</v>
      </c>
      <c r="E199">
        <f>IF(ISNUMBER(VLOOKUP($A199,Haver_Q!$B$1:$L$185,MATCH(data!E$1,Haver_Q!$B$1:$L$1,0),FALSE)),100*(VLOOKUP($A199,Haver_Q!$B$1:$L$185,MATCH(data!E$1,Haver_Q!$B$1:$L$1,0),FALSE)),"")</f>
        <v>23.23261325678374</v>
      </c>
      <c r="F199">
        <f>IF(ISNUMBER(VLOOKUP($A199,Haver_Q!$B$1:$L$185,MATCH(data!F$1,Haver_Q!$B$1:$L$1,0),FALSE)),100*(VLOOKUP($A199,Haver_Q!$B$1:$L$185,MATCH(data!F$1,Haver_Q!$B$1:$L$1,0),FALSE)),"")</f>
        <v>8.6037998560162254</v>
      </c>
      <c r="G199">
        <f>IF(ISNUMBER(VLOOKUP($A199,Haver_Q!$B$1:$L$185,MATCH(data!G$1,Haver_Q!$B$1:$L$1,0),FALSE)),100*(VLOOKUP($A199,Haver_Q!$B$1:$L$185,MATCH(data!G$1,Haver_Q!$B$1:$L$1,0),FALSE)),"")</f>
        <v>6.2883247101377604</v>
      </c>
      <c r="H199">
        <f>IF(ISNUMBER(VLOOKUP($A199,Haver_Q!$B$1:$L$185,MATCH(data!H$1,Haver_Q!$B$1:$L$1,0),FALSE)),(VLOOKUP($A199,Haver_Q!$B$1:$L$185,MATCH(data!H$1,Haver_Q!$B$1:$L$1,0),FALSE)),"")</f>
        <v>3.6536825559887243</v>
      </c>
      <c r="I199">
        <f>IF(ISNUMBER(VLOOKUP($A199,Haver_Q!$B$1:$L$185,MATCH(data!I$1,Haver_Q!$B$1:$L$1,0),FALSE)),100*(VLOOKUP($A199,Haver_Q!$B$1:$L$185,MATCH(data!I$1,Haver_Q!$B$1:$L$1,0),FALSE)),"")</f>
        <v>9.3663074780841562</v>
      </c>
      <c r="J199" s="3">
        <f>IF(ISNUMBER(Bloomberg_m!C215),Bloomberg_m!C215,"")</f>
        <v>608</v>
      </c>
      <c r="K199" s="3">
        <f>IF(ISNUMBER(Bloomberg_m!D215),Bloomberg_m!D215,"")</f>
        <v>1117.52</v>
      </c>
      <c r="L199" s="3">
        <f>IF(ISNUMBER(Bloomberg_m!E215),Bloomberg_m!E215,"")</f>
        <v>554.61</v>
      </c>
      <c r="M199" s="3">
        <f>IF(ISNUMBER(Bloomberg_m!F215),Bloomberg_m!F215,"")</f>
        <v>415.85</v>
      </c>
      <c r="N199">
        <f>IF(ISNUMBER(VLOOKUP($A199,Haver_M!$B$1:$BZ$300,MATCH(data!N$1,Haver_M!$B$1:$BZ$1,0),FALSE)),VLOOKUP($A199,Haver_M!$B$1:$BZ$300,MATCH(data!N$1,Haver_M!$B$1:$BZ$1,0),FALSE),"")</f>
        <v>6.5</v>
      </c>
      <c r="O199">
        <f>IF(ISNUMBER(VLOOKUP($A199,Haver_M!$B$1:$BZ$300,MATCH(data!O$1,Haver_M!$B$1:$BZ$1,0),FALSE)),VLOOKUP($A199,Haver_M!$B$1:$BZ$300,MATCH(data!O$1,Haver_M!$B$1:$BZ$1,0),FALSE),"")</f>
        <v>7.7834000000000003</v>
      </c>
      <c r="P199">
        <f>IF(ISNUMBER(VLOOKUP($A199,Haver_M!$B$1:$BZ$300,MATCH(data!P$1,Haver_M!$B$1:$BZ$1,0),FALSE)),VLOOKUP($A199,Haver_M!$B$1:$BZ$300,MATCH(data!P$1,Haver_M!$B$1:$BZ$1,0),FALSE),"")</f>
        <v>92.005610000000004</v>
      </c>
      <c r="Q199">
        <f>IF(ISNUMBER(VLOOKUP($A199,Haver_M!$B$1:$BZ$300,MATCH(data!Q$1,Haver_M!$B$1:$BZ$1,0),FALSE)),VLOOKUP($A199,Haver_M!$B$1:$BZ$300,MATCH(data!Q$1,Haver_M!$B$1:$BZ$1,0),FALSE),"")</f>
        <v>130.1</v>
      </c>
      <c r="R199">
        <f>IF(ISNUMBER(VLOOKUP($A199,Haver_M!$B$1:$BZ$300,MATCH(data!R$1,Haver_M!$B$1:$BZ$1,0),FALSE)),VLOOKUP($A199,Haver_M!$B$1:$BZ$300,MATCH(data!R$1,Haver_M!$B$1:$BZ$1,0),FALSE),"")</f>
        <v>126.1</v>
      </c>
      <c r="S199">
        <f>IF(ISNUMBER(VLOOKUP($A199,Haver_M!$B$1:$BZ$300,MATCH(data!S$1,Haver_M!$B$1:$BZ$1,0),FALSE)),VLOOKUP($A199,Haver_M!$B$1:$BZ$300,MATCH(data!S$1,Haver_M!$B$1:$BZ$1,0),FALSE),"")</f>
        <v>121.25</v>
      </c>
      <c r="T199">
        <f>IF(ISNUMBER(VLOOKUP($A199,Haver_M!$B$1:$BZ$300,MATCH(data!T$1,Haver_M!$B$1:$BZ$1,0),FALSE)),VLOOKUP($A199,Haver_M!$B$1:$BZ$300,MATCH(data!T$1,Haver_M!$B$1:$BZ$1,0),FALSE),"")</f>
        <v>117.73</v>
      </c>
      <c r="U199">
        <f>IF(ISNUMBER(VLOOKUP($A199,Haver_M!$B$1:$BZ$300,MATCH(data!U$1,Haver_M!$B$1:$BZ$1,0),FALSE)),VLOOKUP($A199,Haver_M!$B$1:$BZ$300,MATCH(data!U$1,Haver_M!$B$1:$BZ$1,0),FALSE),"")</f>
        <v>107.1</v>
      </c>
      <c r="V199">
        <f>IF(ISNUMBER(VLOOKUP($A199,Haver_M!$B$1:$BZ$300,MATCH(data!V$1,Haver_M!$B$1:$BZ$1,0),FALSE)),VLOOKUP($A199,Haver_M!$B$1:$BZ$300,MATCH(data!V$1,Haver_M!$B$1:$BZ$1,0),FALSE),"")</f>
        <v>123.24</v>
      </c>
      <c r="W199">
        <f>IF(ISNUMBER(VLOOKUP($A199,Haver_M!$B$1:$BZ$300,MATCH(data!W$1,Haver_M!$B$1:$BZ$1,0),FALSE)),VLOOKUP($A199,Haver_M!$B$1:$BZ$300,MATCH(data!W$1,Haver_M!$B$1:$BZ$1,0),FALSE),"")</f>
        <v>125.49</v>
      </c>
      <c r="X199">
        <f>IF(ISNUMBER(VLOOKUP($A199,Haver_M!$B$1:$BZ$300,MATCH(data!X$1,Haver_M!$B$1:$BZ$1,0),FALSE)),VLOOKUP($A199,Haver_M!$B$1:$BZ$300,MATCH(data!X$1,Haver_M!$B$1:$BZ$1,0),FALSE),"")</f>
        <v>123.81</v>
      </c>
      <c r="Y199">
        <f>IF(ISNUMBER(VLOOKUP($A199,Haver_M!$B$1:$BZ$300,MATCH(data!Y$1,Haver_M!$B$1:$BZ$1,0),FALSE)),VLOOKUP($A199,Haver_M!$B$1:$BZ$300,MATCH(data!Y$1,Haver_M!$B$1:$BZ$1,0),FALSE),"")</f>
        <v>128.41999999999999</v>
      </c>
      <c r="Z199">
        <f>IF(ISNUMBER(VLOOKUP($A199,Haver_M!$B$1:$BZ$300,MATCH(data!Z$1,Haver_M!$B$1:$BZ$1,0),FALSE)),VLOOKUP($A199,Haver_M!$B$1:$BZ$300,MATCH(data!Z$1,Haver_M!$B$1:$BZ$1,0),FALSE),"")</f>
        <v>120.8</v>
      </c>
      <c r="AA199">
        <f>IF(ISNUMBER(VLOOKUP($A199,Haver_M!$B$1:$BZ$300,MATCH(data!AA$1,Haver_M!$B$1:$BZ$1,0),FALSE)),VLOOKUP($A199,Haver_M!$B$1:$BZ$300,MATCH(data!AA$1,Haver_M!$B$1:$BZ$1,0),FALSE),"")</f>
        <v>128.40299999999999</v>
      </c>
      <c r="AB199">
        <f>IF(ISNUMBER(VLOOKUP($A199,Haver_M!$B$1:$BZ$300,MATCH(data!AB$1,Haver_M!$B$1:$BZ$1,0),FALSE)),VLOOKUP($A199,Haver_M!$B$1:$BZ$300,MATCH(data!AB$1,Haver_M!$B$1:$BZ$1,0),FALSE),"")</f>
        <v>93.887</v>
      </c>
      <c r="AC199">
        <f>IF(ISNUMBER(VLOOKUP($A199,Haver_M!$B$1:$BZ$300,MATCH(data!AC$1,Haver_M!$B$1:$BZ$1,0),FALSE)),VLOOKUP($A199,Haver_M!$B$1:$BZ$300,MATCH(data!AC$1,Haver_M!$B$1:$BZ$1,0),FALSE),"")</f>
        <v>65.778000000000006</v>
      </c>
      <c r="AD199">
        <f>IF(ISNUMBER(VLOOKUP($A199,Haver_M!$B$1:$BZ$300,MATCH(data!AD$1,Haver_M!$B$1:$BZ$1,0),FALSE)),VLOOKUP($A199,Haver_M!$B$1:$BZ$300,MATCH(data!AD$1,Haver_M!$B$1:$BZ$1,0),FALSE),"")</f>
        <v>120.21299999999999</v>
      </c>
      <c r="AE199">
        <f>IF(ISNUMBER(VLOOKUP($A199,Haver_M!$B$1:$BZ$300,MATCH(data!AE$1,Haver_M!$B$1:$BZ$1,0),FALSE)),VLOOKUP($A199,Haver_M!$B$1:$BZ$300,MATCH(data!AE$1,Haver_M!$B$1:$BZ$1,0),FALSE),"")</f>
        <v>109.67</v>
      </c>
      <c r="AF199">
        <f>IF(ISNUMBER(VLOOKUP($A199,Haver_M!$B$1:$BZ$300,MATCH(data!AF$1,Haver_M!$B$1:$BZ$1,0),FALSE)),VLOOKUP($A199,Haver_M!$B$1:$BZ$300,MATCH(data!AF$1,Haver_M!$B$1:$BZ$1,0),FALSE),"")</f>
        <v>129.78100000000001</v>
      </c>
      <c r="AG199">
        <f>IF(ISNUMBER(VLOOKUP($A199,Haver_M!$B$1:$BZ$300,MATCH(data!AG$1,Haver_M!$B$1:$BZ$1,0),FALSE)),VLOOKUP($A199,Haver_M!$B$1:$BZ$300,MATCH(data!AG$1,Haver_M!$B$1:$BZ$1,0),FALSE),"")</f>
        <v>129.29300000000001</v>
      </c>
      <c r="AH199">
        <f>IF(ISNUMBER(VLOOKUP($A199,Haver_M!$B$1:$BZ$300,MATCH(data!AH$1,Haver_M!$B$1:$BZ$1,0),FALSE)),VLOOKUP($A199,Haver_M!$B$1:$BZ$300,MATCH(data!AH$1,Haver_M!$B$1:$BZ$1,0),FALSE),"")</f>
        <v>141.68299999999999</v>
      </c>
      <c r="AI199">
        <f>IF(ISNUMBER(VLOOKUP($A199,Haver_M!$B$1:$BZ$300,MATCH(data!AI$1,Haver_M!$B$1:$BZ$1,0),FALSE)),VLOOKUP($A199,Haver_M!$B$1:$BZ$300,MATCH(data!AI$1,Haver_M!$B$1:$BZ$1,0),FALSE),"")</f>
        <v>16459.044275389995</v>
      </c>
      <c r="AJ199">
        <f>IF(ISNUMBER(VLOOKUP($A199,Haver_M!$B$1:$BZ$300,MATCH(data!AJ$1,Haver_M!$B$1:$BZ$1,0),FALSE)),VLOOKUP($A199,Haver_M!$B$1:$BZ$300,MATCH(data!AJ$1,Haver_M!$B$1:$BZ$1,0),FALSE),"")</f>
        <v>22927.06</v>
      </c>
      <c r="AK199">
        <f>IF(ISNUMBER(VLOOKUP($A199,Haver_M!$B$1:$BZ$300,MATCH(data!AK$1,Haver_M!$B$1:$BZ$1,0),FALSE)),VLOOKUP($A199,Haver_M!$B$1:$BZ$300,MATCH(data!AK$1,Haver_M!$B$1:$BZ$1,0),FALSE),"")</f>
        <v>30673.13</v>
      </c>
      <c r="AL199">
        <f>IF(ISNUMBER(VLOOKUP($A199,Haver_M!$B$1:$BZ$300,MATCH(data!AL$1,Haver_M!$B$1:$BZ$1,0),FALSE)),VLOOKUP($A199,Haver_M!$B$1:$BZ$300,MATCH(data!AL$1,Haver_M!$B$1:$BZ$1,0),FALSE),"")</f>
        <v>13322</v>
      </c>
      <c r="AM199">
        <f>IF(ISNUMBER(VLOOKUP($A199,Haver_M!$B$1:$BZ$300,MATCH(data!AM$1,Haver_M!$B$1:$BZ$1,0),FALSE)),VLOOKUP($A199,Haver_M!$B$1:$BZ$300,MATCH(data!AM$1,Haver_M!$B$1:$BZ$1,0),FALSE),"")</f>
        <v>8389</v>
      </c>
      <c r="AN199">
        <f>IF(ISNUMBER(VLOOKUP($A199,Haver_M!$B$1:$BZ$300,MATCH(data!AN$1,Haver_M!$B$1:$BZ$1,0),FALSE)),VLOOKUP($A199,Haver_M!$B$1:$BZ$300,MATCH(data!AN$1,Haver_M!$B$1:$BZ$1,0),FALSE),"")</f>
        <v>105</v>
      </c>
      <c r="AO199">
        <f>IF(ISNUMBER(VLOOKUP($A199,Haver_M!$B$1:$BZ$300,MATCH(data!AO$1,Haver_M!$B$1:$BZ$1,0),FALSE)),VLOOKUP($A199,Haver_M!$B$1:$BZ$300,MATCH(data!AO$1,Haver_M!$B$1:$BZ$1,0),FALSE),"")</f>
        <v>122</v>
      </c>
      <c r="AP199">
        <f>IF(ISNUMBER(VLOOKUP($A199,Haver_M!$B$1:$BZ$300,MATCH(data!AP$1,Haver_M!$B$1:$BZ$1,0),FALSE)),VLOOKUP($A199,Haver_M!$B$1:$BZ$300,MATCH(data!AP$1,Haver_M!$B$1:$BZ$1,0),FALSE),"")</f>
        <v>154.02128365604082</v>
      </c>
      <c r="AQ199">
        <f>IF(ISNUMBER(VLOOKUP($A199,Haver_M!$B$1:$BZ$300,MATCH(data!AQ$1,Haver_M!$B$1:$BZ$1,0),FALSE)),VLOOKUP($A199,Haver_M!$B$1:$BZ$300,MATCH(data!AQ$1,Haver_M!$B$1:$BZ$1,0),FALSE),"")</f>
        <v>51.101900000000001</v>
      </c>
      <c r="AR199">
        <f>IF(ISNUMBER(VLOOKUP($A199,Haver_M!$B$1:$BZ$300,MATCH(data!AR$1,Haver_M!$B$1:$BZ$1,0),FALSE)),VLOOKUP($A199,Haver_M!$B$1:$BZ$300,MATCH(data!AR$1,Haver_M!$B$1:$BZ$1,0),FALSE),"")</f>
        <v>51.730600000000003</v>
      </c>
      <c r="AS199">
        <f>IF(ISNUMBER(VLOOKUP($A199,Haver_M!$B$1:$BZ$300,MATCH(data!AS$1,Haver_M!$B$1:$BZ$1,0),FALSE)),VLOOKUP($A199,Haver_M!$B$1:$BZ$300,MATCH(data!AS$1,Haver_M!$B$1:$BZ$1,0),FALSE),"")</f>
        <v>50.309800000000003</v>
      </c>
      <c r="AT199">
        <f>IF(ISNUMBER(VLOOKUP($A199,Haver_M!$B$1:$BZ$300,MATCH(data!AT$1,Haver_M!$B$1:$BZ$1,0),FALSE)),VLOOKUP($A199,Haver_M!$B$1:$BZ$300,MATCH(data!AT$1,Haver_M!$B$1:$BZ$1,0),FALSE),"")</f>
        <v>52.677999999999997</v>
      </c>
      <c r="AU199">
        <f>IF(ISNUMBER(VLOOKUP($A199,Haver_M!$B$1:$BZ$300,MATCH(data!AU$1,Haver_M!$B$1:$BZ$1,0),FALSE)),VLOOKUP($A199,Haver_M!$B$1:$BZ$300,MATCH(data!AU$1,Haver_M!$B$1:$BZ$1,0),FALSE),"")</f>
        <v>52.947099999999999</v>
      </c>
      <c r="AV199">
        <f>IF(ISNUMBER(VLOOKUP($A199,Haver_M!$B$1:$BZ$300,MATCH(data!AV$1,Haver_M!$B$1:$BZ$1,0),FALSE)),VLOOKUP($A199,Haver_M!$B$1:$BZ$300,MATCH(data!AV$1,Haver_M!$B$1:$BZ$1,0),FALSE),"")</f>
        <v>49.867699999999999</v>
      </c>
      <c r="AW199">
        <f>IF(ISNUMBER(VLOOKUP($A199,Haver_M!$B$1:$BZ$300,MATCH(data!AW$1,Haver_M!$B$1:$BZ$1,0),FALSE)),VLOOKUP($A199,Haver_M!$B$1:$BZ$300,MATCH(data!AW$1,Haver_M!$B$1:$BZ$1,0),FALSE),"")</f>
        <v>49.190100000000001</v>
      </c>
      <c r="AX199">
        <f>IF(ISNUMBER(VLOOKUP($A199,Haver_M!$B$1:$BZ$300,MATCH(data!AX$1,Haver_M!$B$1:$BZ$1,0),FALSE)),VLOOKUP($A199,Haver_M!$B$1:$BZ$300,MATCH(data!AX$1,Haver_M!$B$1:$BZ$1,0),FALSE),"")</f>
        <v>50.819400000000002</v>
      </c>
      <c r="AY199">
        <f>IF(ISNUMBER(VLOOKUP($A199,Haver_M!$B$1:$BZ$300,MATCH(data!AY$1,Haver_M!$B$1:$BZ$1,0),FALSE)),VLOOKUP($A199,Haver_M!$B$1:$BZ$300,MATCH(data!AY$1,Haver_M!$B$1:$BZ$1,0),FALSE),"")</f>
        <v>53.802100000000003</v>
      </c>
      <c r="AZ199">
        <f>IF(ISNUMBER(VLOOKUP($A199,Haver_M!$B$1:$BZ$300,MATCH(data!AZ$1,Haver_M!$B$1:$BZ$1,0),FALSE)),VLOOKUP($A199,Haver_M!$B$1:$BZ$300,MATCH(data!AZ$1,Haver_M!$B$1:$BZ$1,0),FALSE),"")</f>
        <v>51.675699999999999</v>
      </c>
      <c r="BA199">
        <f>IF(ISNUMBER(VLOOKUP($A199,Haver_M!$B$1:$BZ$300,MATCH(data!BA$1,Haver_M!$B$1:$BZ$1,0),FALSE)),VLOOKUP($A199,Haver_M!$B$1:$BZ$300,MATCH(data!BA$1,Haver_M!$B$1:$BZ$1,0),FALSE),"")</f>
        <v>50.819400000000002</v>
      </c>
      <c r="BB199">
        <f>IF(ISNUMBER(VLOOKUP($A199,Haver_M!$B$1:$BZ$300,MATCH(data!BB$1,Haver_M!$B$1:$BZ$1,0),FALSE)),VLOOKUP($A199,Haver_M!$B$1:$BZ$300,MATCH(data!BB$1,Haver_M!$B$1:$BZ$1,0),FALSE),"")</f>
        <v>50.551400000000001</v>
      </c>
      <c r="BC199">
        <f>IF(ISNUMBER(VLOOKUP($A199,Haver_M!$B$1:$BZ$300,MATCH(data!BC$1,Haver_M!$B$1:$BZ$1,0),FALSE)),VLOOKUP($A199,Haver_M!$B$1:$BZ$300,MATCH(data!BC$1,Haver_M!$B$1:$BZ$1,0),FALSE),"")</f>
        <v>50.073300000000003</v>
      </c>
      <c r="BD199">
        <f>IF(ISNUMBER(VLOOKUP($A199,Haver_M!$B$1:$BZ$300,MATCH(data!BD$1,Haver_M!$B$1:$BZ$1,0),FALSE)),VLOOKUP($A199,Haver_M!$B$1:$BZ$300,MATCH(data!BD$1,Haver_M!$B$1:$BZ$1,0),FALSE),"")</f>
        <v>51.7532</v>
      </c>
      <c r="BE199">
        <f>IF(ISNUMBER(VLOOKUP($A199,Haver_M!$B$1:$BZ$300,MATCH(data!BE$1,Haver_M!$B$1:$BZ$1,0),FALSE)),VLOOKUP($A199,Haver_M!$B$1:$BZ$300,MATCH(data!BE$1,Haver_M!$B$1:$BZ$1,0),FALSE),"")</f>
        <v>1.1299999999999999</v>
      </c>
      <c r="BF199">
        <f>IF(ISNUMBER(VLOOKUP($A199,Haver_M!$B$1:$BZ$300,MATCH(data!BF$1,Haver_M!$B$1:$BZ$1,0),FALSE)),VLOOKUP($A199,Haver_M!$B$1:$BZ$300,MATCH(data!BF$1,Haver_M!$B$1:$BZ$1,0),FALSE),"")</f>
        <v>50.279499999999999</v>
      </c>
      <c r="BG199">
        <f>IF(ISNUMBER(VLOOKUP($A199,Haver_M!$B$1:$BZ$300,MATCH(data!BG$1,Haver_M!$B$1:$BZ$1,0),FALSE)),VLOOKUP($A199,Haver_M!$B$1:$BZ$300,MATCH(data!BG$1,Haver_M!$B$1:$BZ$1,0),FALSE),"")</f>
        <v>51.524900000000002</v>
      </c>
      <c r="BH199">
        <f>IF(ISNUMBER(VLOOKUP($A199,Haver_M!$B$1:$BZ$300,MATCH(data!BH$1,Haver_M!$B$1:$BZ$1,0),FALSE)),VLOOKUP($A199,Haver_M!$B$1:$BZ$300,MATCH(data!BH$1,Haver_M!$B$1:$BZ$1,0),FALSE),"")</f>
        <v>50.462699999999998</v>
      </c>
      <c r="BI199">
        <f>IF(ISNUMBER(VLOOKUP($A199,Haver_M!$B$1:$BZ$300,MATCH(data!BI$1,Haver_M!$B$1:$BZ$1,0),FALSE)),VLOOKUP($A199,Haver_M!$B$1:$BZ$300,MATCH(data!BI$1,Haver_M!$B$1:$BZ$1,0),FALSE),"")</f>
        <v>52.685400000000001</v>
      </c>
      <c r="BJ199">
        <f>IF(ISNUMBER(VLOOKUP($A199,Haver_M!$B$1:$BZ$300,MATCH(data!BJ$1,Haver_M!$B$1:$BZ$1,0),FALSE)),VLOOKUP($A199,Haver_M!$B$1:$BZ$300,MATCH(data!BJ$1,Haver_M!$B$1:$BZ$1,0),FALSE),"")</f>
        <v>50.948399999999999</v>
      </c>
      <c r="BK199">
        <f>IF(ISNUMBER(VLOOKUP($A199,Haver_M!$B$1:$BZ$300,MATCH(data!BK$1,Haver_M!$B$1:$BZ$1,0),FALSE)),VLOOKUP($A199,Haver_M!$B$1:$BZ$300,MATCH(data!BK$1,Haver_M!$B$1:$BZ$1,0),FALSE),"")</f>
        <v>51.027900000000002</v>
      </c>
      <c r="BL199">
        <f>IF(ISNUMBER(VLOOKUP($A199,Haver_M!$B$1:$BZ$300,MATCH(data!BL$1,Haver_M!$B$1:$BZ$1,0),FALSE)),VLOOKUP($A199,Haver_M!$B$1:$BZ$300,MATCH(data!BL$1,Haver_M!$B$1:$BZ$1,0),FALSE),"")</f>
        <v>26717.74</v>
      </c>
      <c r="BM199">
        <f>IF(ISNUMBER(VLOOKUP($A199,Haver_M!$B$1:$BZ$300,MATCH(data!BM$1,Haver_M!$B$1:$BZ$1,0),FALSE)),VLOOKUP($A199,Haver_M!$B$1:$BZ$300,MATCH(data!BM$1,Haver_M!$B$1:$BZ$1,0),FALSE),"")</f>
        <v>106.0204205</v>
      </c>
      <c r="BN199">
        <f>IF(ISNUMBER(VLOOKUP($A199,Haver_M!$B$1:$BZ$300,MATCH(data!BN$1,Haver_M!$B$1:$BZ$1,0),FALSE)),VLOOKUP($A199,Haver_M!$B$1:$BZ$300,MATCH(data!BN$1,Haver_M!$B$1:$BZ$1,0),FALSE),"")</f>
        <v>104</v>
      </c>
      <c r="BO199">
        <f>IF(ISNUMBER(VLOOKUP($A199,Haver_M!$B$1:$BZ$300,MATCH(data!BO$1,Haver_M!$B$1:$BZ$1,0),FALSE)),VLOOKUP($A199,Haver_M!$B$1:$BZ$300,MATCH(data!BO$1,Haver_M!$B$1:$BZ$1,0),FALSE),"")</f>
        <v>110.9</v>
      </c>
      <c r="BP199">
        <f>IF(ISNUMBER(VLOOKUP($A199,Haver_M!$B$1:$BZ$300,MATCH(data!BP$1,Haver_M!$B$1:$BZ$1,0),FALSE)),VLOOKUP($A199,Haver_M!$B$1:$BZ$300,MATCH(data!BP$1,Haver_M!$B$1:$BZ$1,0),FALSE),"")</f>
        <v>30.5</v>
      </c>
      <c r="BQ199">
        <f>IF(ISNUMBER(VLOOKUP($A199,Haver_M!$B$1:$BZ$300,MATCH(data!BQ$1,Haver_M!$B$1:$BZ$1,0),FALSE)),VLOOKUP($A199,Haver_M!$B$1:$BZ$300,MATCH(data!BQ$1,Haver_M!$B$1:$BZ$1,0),FALSE),"")</f>
        <v>213.58621273788245</v>
      </c>
      <c r="BR199">
        <f>IF(ISNUMBER(VLOOKUP($A199,Haver_M!$B$1:$BZ$300,MATCH(data!BR$1,Haver_M!$B$1:$BZ$1,0),FALSE)),VLOOKUP($A199,Haver_M!$B$1:$BZ$300,MATCH(data!BR$1,Haver_M!$B$1:$BZ$1,0),FALSE),"")</f>
        <v>393.3194545365389</v>
      </c>
      <c r="BS199">
        <f>IF(ISNUMBER(VLOOKUP($A199,Haver_M!$B$1:$BZ$300,MATCH(data!BS$1,Haver_M!$B$1:$BZ$1,0),FALSE)),VLOOKUP($A199,Haver_M!$B$1:$BZ$300,MATCH(data!BS$1,Haver_M!$B$1:$BZ$1,0),FALSE),"")</f>
        <v>232.56569024724769</v>
      </c>
      <c r="BT199">
        <f>IF(ISNUMBER(VLOOKUP($A199,Haver_M!$B$1:$BZ$300,MATCH(data!BT$1,Haver_M!$B$1:$BZ$1,0),FALSE)),VLOOKUP($A199,Haver_M!$B$1:$BZ$300,MATCH(data!BT$1,Haver_M!$B$1:$BZ$1,0),FALSE),"")</f>
        <v>973.86090592583037</v>
      </c>
      <c r="BU199">
        <f>IF(ISNUMBER(VLOOKUP($A199,Haver_M!$B$1:$BZ$300,MATCH(data!BU$1,Haver_M!$B$1:$BZ$1,0),FALSE)),VLOOKUP($A199,Haver_M!$B$1:$BZ$300,MATCH(data!BU$1,Haver_M!$B$1:$BZ$1,0),FALSE),"")</f>
        <v>22655.58</v>
      </c>
      <c r="BV199">
        <f>IF(ISNUMBER(VLOOKUP($A199,Haver_M!$B$1:$BZ$300,MATCH(data!BV$1,Haver_M!$B$1:$BZ$1,0),FALSE)),VLOOKUP($A199,Haver_M!$B$1:$BZ$300,MATCH(data!BV$1,Haver_M!$B$1:$BZ$1,0),FALSE),"")</f>
        <v>30917.01</v>
      </c>
      <c r="BW199">
        <f>IF(ISNUMBER(VLOOKUP($A199,Haver_M!$B$1:$BZ$300,MATCH(data!BW$1,Haver_M!$B$1:$BZ$1,0),FALSE)),VLOOKUP($A199,Haver_M!$B$1:$BZ$300,MATCH(data!BW$1,Haver_M!$B$1:$BZ$1,0),FALSE),"")</f>
        <v>67.296899999999994</v>
      </c>
      <c r="BX199">
        <f>IF(ISNUMBER(VLOOKUP($A199,Haver_M!$B$1:$BZ$300,MATCH(data!BX$1,Haver_M!$B$1:$BZ$1,0),FALSE)),VLOOKUP($A199,Haver_M!$B$1:$BZ$300,MATCH(data!BX$1,Haver_M!$B$1:$BZ$1,0),FALSE),"")</f>
        <v>57693</v>
      </c>
    </row>
    <row r="200" spans="1:76" x14ac:dyDescent="0.25">
      <c r="A200" s="2">
        <v>42582</v>
      </c>
      <c r="B200" t="str">
        <f>IF(ISNUMBER(VLOOKUP($A200,Haver_Q!$B$1:$L$185,MATCH(data!B$1,Haver_Q!$B$1:$L$1,0),FALSE)),100*(VLOOKUP($A200,Haver_Q!$B$1:$L$185,MATCH(data!B$1,Haver_Q!$B$1:$L$1,0),FALSE)),"")</f>
        <v/>
      </c>
      <c r="C200" t="str">
        <f>IF(ISNUMBER(VLOOKUP($A200,Haver_Q!$B$1:$L$185,MATCH(data!C$1,Haver_Q!$B$1:$L$1,0),FALSE)),100*(VLOOKUP($A200,Haver_Q!$B$1:$L$185,MATCH(data!C$1,Haver_Q!$B$1:$L$1,0),FALSE)),"")</f>
        <v/>
      </c>
      <c r="D200" t="str">
        <f>IF(ISNUMBER(VLOOKUP($A200,Haver_Q!$B$1:$L$185,MATCH(data!D$1,Haver_Q!$B$1:$L$1,0),FALSE)),100*(VLOOKUP($A200,Haver_Q!$B$1:$L$185,MATCH(data!D$1,Haver_Q!$B$1:$L$1,0),FALSE)),"")</f>
        <v/>
      </c>
      <c r="E200" t="str">
        <f>IF(ISNUMBER(VLOOKUP($A200,Haver_Q!$B$1:$L$185,MATCH(data!E$1,Haver_Q!$B$1:$L$1,0),FALSE)),100*(VLOOKUP($A200,Haver_Q!$B$1:$L$185,MATCH(data!E$1,Haver_Q!$B$1:$L$1,0),FALSE)),"")</f>
        <v/>
      </c>
      <c r="F200" t="str">
        <f>IF(ISNUMBER(VLOOKUP($A200,Haver_Q!$B$1:$L$185,MATCH(data!F$1,Haver_Q!$B$1:$L$1,0),FALSE)),100*(VLOOKUP($A200,Haver_Q!$B$1:$L$185,MATCH(data!F$1,Haver_Q!$B$1:$L$1,0),FALSE)),"")</f>
        <v/>
      </c>
      <c r="G200" t="str">
        <f>IF(ISNUMBER(VLOOKUP($A200,Haver_Q!$B$1:$L$185,MATCH(data!G$1,Haver_Q!$B$1:$L$1,0),FALSE)),100*(VLOOKUP($A200,Haver_Q!$B$1:$L$185,MATCH(data!G$1,Haver_Q!$B$1:$L$1,0),FALSE)),"")</f>
        <v/>
      </c>
      <c r="H200" t="str">
        <f>IF(ISNUMBER(VLOOKUP($A200,Haver_Q!$B$1:$L$185,MATCH(data!H$1,Haver_Q!$B$1:$L$1,0),FALSE)),(VLOOKUP($A200,Haver_Q!$B$1:$L$185,MATCH(data!H$1,Haver_Q!$B$1:$L$1,0),FALSE)),"")</f>
        <v/>
      </c>
      <c r="I200" t="str">
        <f>IF(ISNUMBER(VLOOKUP($A200,Haver_Q!$B$1:$L$185,MATCH(data!I$1,Haver_Q!$B$1:$L$1,0),FALSE)),100*(VLOOKUP($A200,Haver_Q!$B$1:$L$185,MATCH(data!I$1,Haver_Q!$B$1:$L$1,0),FALSE)),"")</f>
        <v/>
      </c>
      <c r="J200" s="3">
        <f>IF(ISNUMBER(Bloomberg_m!C216),Bloomberg_m!C216,"")</f>
        <v>707</v>
      </c>
      <c r="K200" s="3">
        <f>IF(ISNUMBER(Bloomberg_m!D216),Bloomberg_m!D216,"")</f>
        <v>1296.54</v>
      </c>
      <c r="L200" s="3">
        <f>IF(ISNUMBER(Bloomberg_m!E216),Bloomberg_m!E216,"")</f>
        <v>694.89</v>
      </c>
      <c r="M200" s="3">
        <f>IF(ISNUMBER(Bloomberg_m!F216),Bloomberg_m!F216,"")</f>
        <v>409.61</v>
      </c>
      <c r="N200">
        <f>IF(ISNUMBER(VLOOKUP($A200,Haver_M!$B$1:$BZ$300,MATCH(data!N$1,Haver_M!$B$1:$BZ$1,0),FALSE)),VLOOKUP($A200,Haver_M!$B$1:$BZ$300,MATCH(data!N$1,Haver_M!$B$1:$BZ$1,0),FALSE),"")</f>
        <v>6.5</v>
      </c>
      <c r="O200">
        <f>IF(ISNUMBER(VLOOKUP($A200,Haver_M!$B$1:$BZ$300,MATCH(data!O$1,Haver_M!$B$1:$BZ$1,0),FALSE)),VLOOKUP($A200,Haver_M!$B$1:$BZ$300,MATCH(data!O$1,Haver_M!$B$1:$BZ$1,0),FALSE),"")</f>
        <v>7.4090999999999996</v>
      </c>
      <c r="P200">
        <f>IF(ISNUMBER(VLOOKUP($A200,Haver_M!$B$1:$BZ$300,MATCH(data!P$1,Haver_M!$B$1:$BZ$1,0),FALSE)),VLOOKUP($A200,Haver_M!$B$1:$BZ$300,MATCH(data!P$1,Haver_M!$B$1:$BZ$1,0),FALSE),"")</f>
        <v>92.593890000000002</v>
      </c>
      <c r="Q200">
        <f>IF(ISNUMBER(VLOOKUP($A200,Haver_M!$B$1:$BZ$300,MATCH(data!Q$1,Haver_M!$B$1:$BZ$1,0),FALSE)),VLOOKUP($A200,Haver_M!$B$1:$BZ$300,MATCH(data!Q$1,Haver_M!$B$1:$BZ$1,0),FALSE),"")</f>
        <v>131.1</v>
      </c>
      <c r="R200">
        <f>IF(ISNUMBER(VLOOKUP($A200,Haver_M!$B$1:$BZ$300,MATCH(data!R$1,Haver_M!$B$1:$BZ$1,0),FALSE)),VLOOKUP($A200,Haver_M!$B$1:$BZ$300,MATCH(data!R$1,Haver_M!$B$1:$BZ$1,0),FALSE),"")</f>
        <v>126.7</v>
      </c>
      <c r="S200">
        <f>IF(ISNUMBER(VLOOKUP($A200,Haver_M!$B$1:$BZ$300,MATCH(data!S$1,Haver_M!$B$1:$BZ$1,0),FALSE)),VLOOKUP($A200,Haver_M!$B$1:$BZ$300,MATCH(data!S$1,Haver_M!$B$1:$BZ$1,0),FALSE),"")</f>
        <v>119.68</v>
      </c>
      <c r="T200">
        <f>IF(ISNUMBER(VLOOKUP($A200,Haver_M!$B$1:$BZ$300,MATCH(data!T$1,Haver_M!$B$1:$BZ$1,0),FALSE)),VLOOKUP($A200,Haver_M!$B$1:$BZ$300,MATCH(data!T$1,Haver_M!$B$1:$BZ$1,0),FALSE),"")</f>
        <v>116.49</v>
      </c>
      <c r="U200">
        <f>IF(ISNUMBER(VLOOKUP($A200,Haver_M!$B$1:$BZ$300,MATCH(data!U$1,Haver_M!$B$1:$BZ$1,0),FALSE)),VLOOKUP($A200,Haver_M!$B$1:$BZ$300,MATCH(data!U$1,Haver_M!$B$1:$BZ$1,0),FALSE),"")</f>
        <v>104.07</v>
      </c>
      <c r="V200">
        <f>IF(ISNUMBER(VLOOKUP($A200,Haver_M!$B$1:$BZ$300,MATCH(data!V$1,Haver_M!$B$1:$BZ$1,0),FALSE)),VLOOKUP($A200,Haver_M!$B$1:$BZ$300,MATCH(data!V$1,Haver_M!$B$1:$BZ$1,0),FALSE),"")</f>
        <v>122.77</v>
      </c>
      <c r="W200">
        <f>IF(ISNUMBER(VLOOKUP($A200,Haver_M!$B$1:$BZ$300,MATCH(data!W$1,Haver_M!$B$1:$BZ$1,0),FALSE)),VLOOKUP($A200,Haver_M!$B$1:$BZ$300,MATCH(data!W$1,Haver_M!$B$1:$BZ$1,0),FALSE),"")</f>
        <v>122.85</v>
      </c>
      <c r="X200">
        <f>IF(ISNUMBER(VLOOKUP($A200,Haver_M!$B$1:$BZ$300,MATCH(data!X$1,Haver_M!$B$1:$BZ$1,0),FALSE)),VLOOKUP($A200,Haver_M!$B$1:$BZ$300,MATCH(data!X$1,Haver_M!$B$1:$BZ$1,0),FALSE),"")</f>
        <v>121.57</v>
      </c>
      <c r="Y200">
        <f>IF(ISNUMBER(VLOOKUP($A200,Haver_M!$B$1:$BZ$300,MATCH(data!Y$1,Haver_M!$B$1:$BZ$1,0),FALSE)),VLOOKUP($A200,Haver_M!$B$1:$BZ$300,MATCH(data!Y$1,Haver_M!$B$1:$BZ$1,0),FALSE),"")</f>
        <v>130.19</v>
      </c>
      <c r="Z200">
        <f>IF(ISNUMBER(VLOOKUP($A200,Haver_M!$B$1:$BZ$300,MATCH(data!Z$1,Haver_M!$B$1:$BZ$1,0),FALSE)),VLOOKUP($A200,Haver_M!$B$1:$BZ$300,MATCH(data!Z$1,Haver_M!$B$1:$BZ$1,0),FALSE),"")</f>
        <v>119.1</v>
      </c>
      <c r="AA200">
        <f>IF(ISNUMBER(VLOOKUP($A200,Haver_M!$B$1:$BZ$300,MATCH(data!AA$1,Haver_M!$B$1:$BZ$1,0),FALSE)),VLOOKUP($A200,Haver_M!$B$1:$BZ$300,MATCH(data!AA$1,Haver_M!$B$1:$BZ$1,0),FALSE),"")</f>
        <v>121.334</v>
      </c>
      <c r="AB200">
        <f>IF(ISNUMBER(VLOOKUP($A200,Haver_M!$B$1:$BZ$300,MATCH(data!AB$1,Haver_M!$B$1:$BZ$1,0),FALSE)),VLOOKUP($A200,Haver_M!$B$1:$BZ$300,MATCH(data!AB$1,Haver_M!$B$1:$BZ$1,0),FALSE),"")</f>
        <v>95.384</v>
      </c>
      <c r="AC200">
        <f>IF(ISNUMBER(VLOOKUP($A200,Haver_M!$B$1:$BZ$300,MATCH(data!AC$1,Haver_M!$B$1:$BZ$1,0),FALSE)),VLOOKUP($A200,Haver_M!$B$1:$BZ$300,MATCH(data!AC$1,Haver_M!$B$1:$BZ$1,0),FALSE),"")</f>
        <v>66.753</v>
      </c>
      <c r="AD200">
        <f>IF(ISNUMBER(VLOOKUP($A200,Haver_M!$B$1:$BZ$300,MATCH(data!AD$1,Haver_M!$B$1:$BZ$1,0),FALSE)),VLOOKUP($A200,Haver_M!$B$1:$BZ$300,MATCH(data!AD$1,Haver_M!$B$1:$BZ$1,0),FALSE),"")</f>
        <v>122.29600000000001</v>
      </c>
      <c r="AE200">
        <f>IF(ISNUMBER(VLOOKUP($A200,Haver_M!$B$1:$BZ$300,MATCH(data!AE$1,Haver_M!$B$1:$BZ$1,0),FALSE)),VLOOKUP($A200,Haver_M!$B$1:$BZ$300,MATCH(data!AE$1,Haver_M!$B$1:$BZ$1,0),FALSE),"")</f>
        <v>105.131</v>
      </c>
      <c r="AF200">
        <f>IF(ISNUMBER(VLOOKUP($A200,Haver_M!$B$1:$BZ$300,MATCH(data!AF$1,Haver_M!$B$1:$BZ$1,0),FALSE)),VLOOKUP($A200,Haver_M!$B$1:$BZ$300,MATCH(data!AF$1,Haver_M!$B$1:$BZ$1,0),FALSE),"")</f>
        <v>123.005</v>
      </c>
      <c r="AG200">
        <f>IF(ISNUMBER(VLOOKUP($A200,Haver_M!$B$1:$BZ$300,MATCH(data!AG$1,Haver_M!$B$1:$BZ$1,0),FALSE)),VLOOKUP($A200,Haver_M!$B$1:$BZ$300,MATCH(data!AG$1,Haver_M!$B$1:$BZ$1,0),FALSE),"")</f>
        <v>125.32</v>
      </c>
      <c r="AH200">
        <f>IF(ISNUMBER(VLOOKUP($A200,Haver_M!$B$1:$BZ$300,MATCH(data!AH$1,Haver_M!$B$1:$BZ$1,0),FALSE)),VLOOKUP($A200,Haver_M!$B$1:$BZ$300,MATCH(data!AH$1,Haver_M!$B$1:$BZ$1,0),FALSE),"")</f>
        <v>138.20599999999999</v>
      </c>
      <c r="AI200">
        <f>IF(ISNUMBER(VLOOKUP($A200,Haver_M!$B$1:$BZ$300,MATCH(data!AI$1,Haver_M!$B$1:$BZ$1,0),FALSE)),VLOOKUP($A200,Haver_M!$B$1:$BZ$300,MATCH(data!AI$1,Haver_M!$B$1:$BZ$1,0),FALSE),"")</f>
        <v>16257.612649617446</v>
      </c>
      <c r="AJ200">
        <f>IF(ISNUMBER(VLOOKUP($A200,Haver_M!$B$1:$BZ$300,MATCH(data!AJ$1,Haver_M!$B$1:$BZ$1,0),FALSE)),VLOOKUP($A200,Haver_M!$B$1:$BZ$300,MATCH(data!AJ$1,Haver_M!$B$1:$BZ$1,0),FALSE),"")</f>
        <v>22707.64</v>
      </c>
      <c r="AK200">
        <f>IF(ISNUMBER(VLOOKUP($A200,Haver_M!$B$1:$BZ$300,MATCH(data!AK$1,Haver_M!$B$1:$BZ$1,0),FALSE)),VLOOKUP($A200,Haver_M!$B$1:$BZ$300,MATCH(data!AK$1,Haver_M!$B$1:$BZ$1,0),FALSE),"")</f>
        <v>28819.88</v>
      </c>
      <c r="AL200">
        <f>IF(ISNUMBER(VLOOKUP($A200,Haver_M!$B$1:$BZ$300,MATCH(data!AL$1,Haver_M!$B$1:$BZ$1,0),FALSE)),VLOOKUP($A200,Haver_M!$B$1:$BZ$300,MATCH(data!AL$1,Haver_M!$B$1:$BZ$1,0),FALSE),"")</f>
        <v>12775</v>
      </c>
      <c r="AM200">
        <f>IF(ISNUMBER(VLOOKUP($A200,Haver_M!$B$1:$BZ$300,MATCH(data!AM$1,Haver_M!$B$1:$BZ$1,0),FALSE)),VLOOKUP($A200,Haver_M!$B$1:$BZ$300,MATCH(data!AM$1,Haver_M!$B$1:$BZ$1,0),FALSE),"")</f>
        <v>7409</v>
      </c>
      <c r="AN200" t="str">
        <f>IF(ISNUMBER(VLOOKUP($A200,Haver_M!$B$1:$BZ$300,MATCH(data!AN$1,Haver_M!$B$1:$BZ$1,0),FALSE)),VLOOKUP($A200,Haver_M!$B$1:$BZ$300,MATCH(data!AN$1,Haver_M!$B$1:$BZ$1,0),FALSE),"")</f>
        <v/>
      </c>
      <c r="AO200" t="str">
        <f>IF(ISNUMBER(VLOOKUP($A200,Haver_M!$B$1:$BZ$300,MATCH(data!AO$1,Haver_M!$B$1:$BZ$1,0),FALSE)),VLOOKUP($A200,Haver_M!$B$1:$BZ$300,MATCH(data!AO$1,Haver_M!$B$1:$BZ$1,0),FALSE),"")</f>
        <v/>
      </c>
      <c r="AP200">
        <f>IF(ISNUMBER(VLOOKUP($A200,Haver_M!$B$1:$BZ$300,MATCH(data!AP$1,Haver_M!$B$1:$BZ$1,0),FALSE)),VLOOKUP($A200,Haver_M!$B$1:$BZ$300,MATCH(data!AP$1,Haver_M!$B$1:$BZ$1,0),FALSE),"")</f>
        <v>81.670694084732546</v>
      </c>
      <c r="AQ200">
        <f>IF(ISNUMBER(VLOOKUP($A200,Haver_M!$B$1:$BZ$300,MATCH(data!AQ$1,Haver_M!$B$1:$BZ$1,0),FALSE)),VLOOKUP($A200,Haver_M!$B$1:$BZ$300,MATCH(data!AQ$1,Haver_M!$B$1:$BZ$1,0),FALSE),"")</f>
        <v>52.364600000000003</v>
      </c>
      <c r="AR200">
        <f>IF(ISNUMBER(VLOOKUP($A200,Haver_M!$B$1:$BZ$300,MATCH(data!AR$1,Haver_M!$B$1:$BZ$1,0),FALSE)),VLOOKUP($A200,Haver_M!$B$1:$BZ$300,MATCH(data!AR$1,Haver_M!$B$1:$BZ$1,0),FALSE),"")</f>
        <v>51.846699999999998</v>
      </c>
      <c r="AS200">
        <f>IF(ISNUMBER(VLOOKUP($A200,Haver_M!$B$1:$BZ$300,MATCH(data!AS$1,Haver_M!$B$1:$BZ$1,0),FALSE)),VLOOKUP($A200,Haver_M!$B$1:$BZ$300,MATCH(data!AS$1,Haver_M!$B$1:$BZ$1,0),FALSE),"")</f>
        <v>51.880499999999998</v>
      </c>
      <c r="AT200">
        <f>IF(ISNUMBER(VLOOKUP($A200,Haver_M!$B$1:$BZ$300,MATCH(data!AT$1,Haver_M!$B$1:$BZ$1,0),FALSE)),VLOOKUP($A200,Haver_M!$B$1:$BZ$300,MATCH(data!AT$1,Haver_M!$B$1:$BZ$1,0),FALSE),"")</f>
        <v>53.3279</v>
      </c>
      <c r="AU200">
        <f>IF(ISNUMBER(VLOOKUP($A200,Haver_M!$B$1:$BZ$300,MATCH(data!AU$1,Haver_M!$B$1:$BZ$1,0),FALSE)),VLOOKUP($A200,Haver_M!$B$1:$BZ$300,MATCH(data!AU$1,Haver_M!$B$1:$BZ$1,0),FALSE),"")</f>
        <v>53.190199999999997</v>
      </c>
      <c r="AV200">
        <f>IF(ISNUMBER(VLOOKUP($A200,Haver_M!$B$1:$BZ$300,MATCH(data!AV$1,Haver_M!$B$1:$BZ$1,0),FALSE)),VLOOKUP($A200,Haver_M!$B$1:$BZ$300,MATCH(data!AV$1,Haver_M!$B$1:$BZ$1,0),FALSE),"")</f>
        <v>50.224299999999999</v>
      </c>
      <c r="AW200">
        <f>IF(ISNUMBER(VLOOKUP($A200,Haver_M!$B$1:$BZ$300,MATCH(data!AW$1,Haver_M!$B$1:$BZ$1,0),FALSE)),VLOOKUP($A200,Haver_M!$B$1:$BZ$300,MATCH(data!AW$1,Haver_M!$B$1:$BZ$1,0),FALSE),"")</f>
        <v>50.598399999999998</v>
      </c>
      <c r="AX200">
        <f>IF(ISNUMBER(VLOOKUP($A200,Haver_M!$B$1:$BZ$300,MATCH(data!AX$1,Haver_M!$B$1:$BZ$1,0),FALSE)),VLOOKUP($A200,Haver_M!$B$1:$BZ$300,MATCH(data!AX$1,Haver_M!$B$1:$BZ$1,0),FALSE),"")</f>
        <v>51.025799999999997</v>
      </c>
      <c r="AY200">
        <f>IF(ISNUMBER(VLOOKUP($A200,Haver_M!$B$1:$BZ$300,MATCH(data!AY$1,Haver_M!$B$1:$BZ$1,0),FALSE)),VLOOKUP($A200,Haver_M!$B$1:$BZ$300,MATCH(data!AY$1,Haver_M!$B$1:$BZ$1,0),FALSE),"")</f>
        <v>52.8491</v>
      </c>
      <c r="AZ200">
        <f>IF(ISNUMBER(VLOOKUP($A200,Haver_M!$B$1:$BZ$300,MATCH(data!AZ$1,Haver_M!$B$1:$BZ$1,0),FALSE)),VLOOKUP($A200,Haver_M!$B$1:$BZ$300,MATCH(data!AZ$1,Haver_M!$B$1:$BZ$1,0),FALSE),"")</f>
        <v>52.286799999999999</v>
      </c>
      <c r="BA200">
        <f>IF(ISNUMBER(VLOOKUP($A200,Haver_M!$B$1:$BZ$300,MATCH(data!BA$1,Haver_M!$B$1:$BZ$1,0),FALSE)),VLOOKUP($A200,Haver_M!$B$1:$BZ$300,MATCH(data!BA$1,Haver_M!$B$1:$BZ$1,0),FALSE),"")</f>
        <v>51.025799999999997</v>
      </c>
      <c r="BB200">
        <f>IF(ISNUMBER(VLOOKUP($A200,Haver_M!$B$1:$BZ$300,MATCH(data!BB$1,Haver_M!$B$1:$BZ$1,0),FALSE)),VLOOKUP($A200,Haver_M!$B$1:$BZ$300,MATCH(data!BB$1,Haver_M!$B$1:$BZ$1,0),FALSE),"")</f>
        <v>52.030700000000003</v>
      </c>
      <c r="BC200">
        <f>IF(ISNUMBER(VLOOKUP($A200,Haver_M!$B$1:$BZ$300,MATCH(data!BC$1,Haver_M!$B$1:$BZ$1,0),FALSE)),VLOOKUP($A200,Haver_M!$B$1:$BZ$300,MATCH(data!BC$1,Haver_M!$B$1:$BZ$1,0),FALSE),"")</f>
        <v>50.977600000000002</v>
      </c>
      <c r="BD200">
        <f>IF(ISNUMBER(VLOOKUP($A200,Haver_M!$B$1:$BZ$300,MATCH(data!BD$1,Haver_M!$B$1:$BZ$1,0),FALSE)),VLOOKUP($A200,Haver_M!$B$1:$BZ$300,MATCH(data!BD$1,Haver_M!$B$1:$BZ$1,0),FALSE),"")</f>
        <v>52.524700000000003</v>
      </c>
      <c r="BE200">
        <f>IF(ISNUMBER(VLOOKUP($A200,Haver_M!$B$1:$BZ$300,MATCH(data!BE$1,Haver_M!$B$1:$BZ$1,0),FALSE)),VLOOKUP($A200,Haver_M!$B$1:$BZ$300,MATCH(data!BE$1,Haver_M!$B$1:$BZ$1,0),FALSE),"")</f>
        <v>1.1241000000000001</v>
      </c>
      <c r="BF200">
        <f>IF(ISNUMBER(VLOOKUP($A200,Haver_M!$B$1:$BZ$300,MATCH(data!BF$1,Haver_M!$B$1:$BZ$1,0),FALSE)),VLOOKUP($A200,Haver_M!$B$1:$BZ$300,MATCH(data!BF$1,Haver_M!$B$1:$BZ$1,0),FALSE),"")</f>
        <v>50.151400000000002</v>
      </c>
      <c r="BG200">
        <f>IF(ISNUMBER(VLOOKUP($A200,Haver_M!$B$1:$BZ$300,MATCH(data!BG$1,Haver_M!$B$1:$BZ$1,0),FALSE)),VLOOKUP($A200,Haver_M!$B$1:$BZ$300,MATCH(data!BG$1,Haver_M!$B$1:$BZ$1,0),FALSE),"")</f>
        <v>49.199100000000001</v>
      </c>
      <c r="BH200">
        <f>IF(ISNUMBER(VLOOKUP($A200,Haver_M!$B$1:$BZ$300,MATCH(data!BH$1,Haver_M!$B$1:$BZ$1,0),FALSE)),VLOOKUP($A200,Haver_M!$B$1:$BZ$300,MATCH(data!BH$1,Haver_M!$B$1:$BZ$1,0),FALSE),"")</f>
        <v>51.731099999999998</v>
      </c>
      <c r="BI200">
        <f>IF(ISNUMBER(VLOOKUP($A200,Haver_M!$B$1:$BZ$300,MATCH(data!BI$1,Haver_M!$B$1:$BZ$1,0),FALSE)),VLOOKUP($A200,Haver_M!$B$1:$BZ$300,MATCH(data!BI$1,Haver_M!$B$1:$BZ$1,0),FALSE),"")</f>
        <v>49.4985</v>
      </c>
      <c r="BJ200">
        <f>IF(ISNUMBER(VLOOKUP($A200,Haver_M!$B$1:$BZ$300,MATCH(data!BJ$1,Haver_M!$B$1:$BZ$1,0),FALSE)),VLOOKUP($A200,Haver_M!$B$1:$BZ$300,MATCH(data!BJ$1,Haver_M!$B$1:$BZ$1,0),FALSE),"")</f>
        <v>50.6601</v>
      </c>
      <c r="BK200">
        <f>IF(ISNUMBER(VLOOKUP($A200,Haver_M!$B$1:$BZ$300,MATCH(data!BK$1,Haver_M!$B$1:$BZ$1,0),FALSE)),VLOOKUP($A200,Haver_M!$B$1:$BZ$300,MATCH(data!BK$1,Haver_M!$B$1:$BZ$1,0),FALSE),"")</f>
        <v>51.8795</v>
      </c>
      <c r="BL200">
        <f>IF(ISNUMBER(VLOOKUP($A200,Haver_M!$B$1:$BZ$300,MATCH(data!BL$1,Haver_M!$B$1:$BZ$1,0),FALSE)),VLOOKUP($A200,Haver_M!$B$1:$BZ$300,MATCH(data!BL$1,Haver_M!$B$1:$BZ$1,0),FALSE),"")</f>
        <v>27713.41</v>
      </c>
      <c r="BM200">
        <f>IF(ISNUMBER(VLOOKUP($A200,Haver_M!$B$1:$BZ$300,MATCH(data!BM$1,Haver_M!$B$1:$BZ$1,0),FALSE)),VLOOKUP($A200,Haver_M!$B$1:$BZ$300,MATCH(data!BM$1,Haver_M!$B$1:$BZ$1,0),FALSE),"")</f>
        <v>105.32090384999999</v>
      </c>
      <c r="BN200" t="str">
        <f>IF(ISNUMBER(VLOOKUP($A200,Haver_M!$B$1:$BZ$300,MATCH(data!BN$1,Haver_M!$B$1:$BZ$1,0),FALSE)),VLOOKUP($A200,Haver_M!$B$1:$BZ$300,MATCH(data!BN$1,Haver_M!$B$1:$BZ$1,0),FALSE),"")</f>
        <v/>
      </c>
      <c r="BO200" t="str">
        <f>IF(ISNUMBER(VLOOKUP($A200,Haver_M!$B$1:$BZ$300,MATCH(data!BO$1,Haver_M!$B$1:$BZ$1,0),FALSE)),VLOOKUP($A200,Haver_M!$B$1:$BZ$300,MATCH(data!BO$1,Haver_M!$B$1:$BZ$1,0),FALSE),"")</f>
        <v/>
      </c>
      <c r="BP200" t="str">
        <f>IF(ISNUMBER(VLOOKUP($A200,Haver_M!$B$1:$BZ$300,MATCH(data!BP$1,Haver_M!$B$1:$BZ$1,0),FALSE)),VLOOKUP($A200,Haver_M!$B$1:$BZ$300,MATCH(data!BP$1,Haver_M!$B$1:$BZ$1,0),FALSE),"")</f>
        <v/>
      </c>
      <c r="BQ200">
        <f>IF(ISNUMBER(VLOOKUP($A200,Haver_M!$B$1:$BZ$300,MATCH(data!BQ$1,Haver_M!$B$1:$BZ$1,0),FALSE)),VLOOKUP($A200,Haver_M!$B$1:$BZ$300,MATCH(data!BQ$1,Haver_M!$B$1:$BZ$1,0),FALSE),"")</f>
        <v>215.45048476660378</v>
      </c>
      <c r="BR200">
        <f>IF(ISNUMBER(VLOOKUP($A200,Haver_M!$B$1:$BZ$300,MATCH(data!BR$1,Haver_M!$B$1:$BZ$1,0),FALSE)),VLOOKUP($A200,Haver_M!$B$1:$BZ$300,MATCH(data!BR$1,Haver_M!$B$1:$BZ$1,0),FALSE),"")</f>
        <v>392.2895624899565</v>
      </c>
      <c r="BS200">
        <f>IF(ISNUMBER(VLOOKUP($A200,Haver_M!$B$1:$BZ$300,MATCH(data!BS$1,Haver_M!$B$1:$BZ$1,0),FALSE)),VLOOKUP($A200,Haver_M!$B$1:$BZ$300,MATCH(data!BS$1,Haver_M!$B$1:$BZ$1,0),FALSE),"")</f>
        <v>231.50700218427679</v>
      </c>
      <c r="BT200">
        <f>IF(ISNUMBER(VLOOKUP($A200,Haver_M!$B$1:$BZ$300,MATCH(data!BT$1,Haver_M!$B$1:$BZ$1,0),FALSE)),VLOOKUP($A200,Haver_M!$B$1:$BZ$300,MATCH(data!BT$1,Haver_M!$B$1:$BZ$1,0),FALSE),"")</f>
        <v>974.9958338045102</v>
      </c>
      <c r="BU200">
        <f>IF(ISNUMBER(VLOOKUP($A200,Haver_M!$B$1:$BZ$300,MATCH(data!BU$1,Haver_M!$B$1:$BZ$1,0),FALSE)),VLOOKUP($A200,Haver_M!$B$1:$BZ$300,MATCH(data!BU$1,Haver_M!$B$1:$BZ$1,0),FALSE),"")</f>
        <v>21692.27</v>
      </c>
      <c r="BV200">
        <f>IF(ISNUMBER(VLOOKUP($A200,Haver_M!$B$1:$BZ$300,MATCH(data!BV$1,Haver_M!$B$1:$BZ$1,0),FALSE)),VLOOKUP($A200,Haver_M!$B$1:$BZ$300,MATCH(data!BV$1,Haver_M!$B$1:$BZ$1,0),FALSE),"")</f>
        <v>29305.25</v>
      </c>
      <c r="BW200">
        <f>IF(ISNUMBER(VLOOKUP($A200,Haver_M!$B$1:$BZ$300,MATCH(data!BW$1,Haver_M!$B$1:$BZ$1,0),FALSE)),VLOOKUP($A200,Haver_M!$B$1:$BZ$300,MATCH(data!BW$1,Haver_M!$B$1:$BZ$1,0),FALSE),"")</f>
        <v>67.207599999999999</v>
      </c>
      <c r="BX200">
        <f>IF(ISNUMBER(VLOOKUP($A200,Haver_M!$B$1:$BZ$300,MATCH(data!BX$1,Haver_M!$B$1:$BZ$1,0),FALSE)),VLOOKUP($A200,Haver_M!$B$1:$BZ$300,MATCH(data!BX$1,Haver_M!$B$1:$BZ$1,0),FALSE),"")</f>
        <v>52019</v>
      </c>
    </row>
    <row r="201" spans="1:76" x14ac:dyDescent="0.25">
      <c r="A201" s="2">
        <v>42613</v>
      </c>
      <c r="B201" t="str">
        <f>IF(ISNUMBER(VLOOKUP($A201,Haver_Q!$B$1:$L$185,MATCH(data!B$1,Haver_Q!$B$1:$L$1,0),FALSE)),100*(VLOOKUP($A201,Haver_Q!$B$1:$L$185,MATCH(data!B$1,Haver_Q!$B$1:$L$1,0),FALSE)),"")</f>
        <v/>
      </c>
      <c r="C201" t="str">
        <f>IF(ISNUMBER(VLOOKUP($A201,Haver_Q!$B$1:$L$185,MATCH(data!C$1,Haver_Q!$B$1:$L$1,0),FALSE)),100*(VLOOKUP($A201,Haver_Q!$B$1:$L$185,MATCH(data!C$1,Haver_Q!$B$1:$L$1,0),FALSE)),"")</f>
        <v/>
      </c>
      <c r="D201" t="str">
        <f>IF(ISNUMBER(VLOOKUP($A201,Haver_Q!$B$1:$L$185,MATCH(data!D$1,Haver_Q!$B$1:$L$1,0),FALSE)),100*(VLOOKUP($A201,Haver_Q!$B$1:$L$185,MATCH(data!D$1,Haver_Q!$B$1:$L$1,0),FALSE)),"")</f>
        <v/>
      </c>
      <c r="E201" t="str">
        <f>IF(ISNUMBER(VLOOKUP($A201,Haver_Q!$B$1:$L$185,MATCH(data!E$1,Haver_Q!$B$1:$L$1,0),FALSE)),100*(VLOOKUP($A201,Haver_Q!$B$1:$L$185,MATCH(data!E$1,Haver_Q!$B$1:$L$1,0),FALSE)),"")</f>
        <v/>
      </c>
      <c r="F201" t="str">
        <f>IF(ISNUMBER(VLOOKUP($A201,Haver_Q!$B$1:$L$185,MATCH(data!F$1,Haver_Q!$B$1:$L$1,0),FALSE)),100*(VLOOKUP($A201,Haver_Q!$B$1:$L$185,MATCH(data!F$1,Haver_Q!$B$1:$L$1,0),FALSE)),"")</f>
        <v/>
      </c>
      <c r="G201" t="str">
        <f>IF(ISNUMBER(VLOOKUP($A201,Haver_Q!$B$1:$L$185,MATCH(data!G$1,Haver_Q!$B$1:$L$1,0),FALSE)),100*(VLOOKUP($A201,Haver_Q!$B$1:$L$185,MATCH(data!G$1,Haver_Q!$B$1:$L$1,0),FALSE)),"")</f>
        <v/>
      </c>
      <c r="H201" t="str">
        <f>IF(ISNUMBER(VLOOKUP($A201,Haver_Q!$B$1:$L$185,MATCH(data!H$1,Haver_Q!$B$1:$L$1,0),FALSE)),(VLOOKUP($A201,Haver_Q!$B$1:$L$185,MATCH(data!H$1,Haver_Q!$B$1:$L$1,0),FALSE)),"")</f>
        <v/>
      </c>
      <c r="I201" t="str">
        <f>IF(ISNUMBER(VLOOKUP($A201,Haver_Q!$B$1:$L$185,MATCH(data!I$1,Haver_Q!$B$1:$L$1,0),FALSE)),100*(VLOOKUP($A201,Haver_Q!$B$1:$L$185,MATCH(data!I$1,Haver_Q!$B$1:$L$1,0),FALSE)),"")</f>
        <v/>
      </c>
      <c r="J201" s="3">
        <f>IF(ISNUMBER(Bloomberg_m!C217),Bloomberg_m!C217,"")</f>
        <v>673</v>
      </c>
      <c r="K201" s="3">
        <f>IF(ISNUMBER(Bloomberg_m!D217),Bloomberg_m!D217,"")</f>
        <v>1245.9000000000001</v>
      </c>
      <c r="L201" s="3">
        <f>IF(ISNUMBER(Bloomberg_m!E217),Bloomberg_m!E217,"")</f>
        <v>627.23</v>
      </c>
      <c r="M201" s="3">
        <f>IF(ISNUMBER(Bloomberg_m!F217),Bloomberg_m!F217,"")</f>
        <v>397.18</v>
      </c>
      <c r="N201">
        <f>IF(ISNUMBER(VLOOKUP($A201,Haver_M!$B$1:$BZ$300,MATCH(data!N$1,Haver_M!$B$1:$BZ$1,0),FALSE)),VLOOKUP($A201,Haver_M!$B$1:$BZ$300,MATCH(data!N$1,Haver_M!$B$1:$BZ$1,0),FALSE),"")</f>
        <v>6.5</v>
      </c>
      <c r="O201">
        <f>IF(ISNUMBER(VLOOKUP($A201,Haver_M!$B$1:$BZ$300,MATCH(data!O$1,Haver_M!$B$1:$BZ$1,0),FALSE)),VLOOKUP($A201,Haver_M!$B$1:$BZ$300,MATCH(data!O$1,Haver_M!$B$1:$BZ$1,0),FALSE),"")</f>
        <v>7.1139999999999999</v>
      </c>
      <c r="P201">
        <f>IF(ISNUMBER(VLOOKUP($A201,Haver_M!$B$1:$BZ$300,MATCH(data!P$1,Haver_M!$B$1:$BZ$1,0),FALSE)),VLOOKUP($A201,Haver_M!$B$1:$BZ$300,MATCH(data!P$1,Haver_M!$B$1:$BZ$1,0),FALSE),"")</f>
        <v>92.022909999999996</v>
      </c>
      <c r="Q201">
        <f>IF(ISNUMBER(VLOOKUP($A201,Haver_M!$B$1:$BZ$300,MATCH(data!Q$1,Haver_M!$B$1:$BZ$1,0),FALSE)),VLOOKUP($A201,Haver_M!$B$1:$BZ$300,MATCH(data!Q$1,Haver_M!$B$1:$BZ$1,0),FALSE),"")</f>
        <v>131.1</v>
      </c>
      <c r="R201">
        <f>IF(ISNUMBER(VLOOKUP($A201,Haver_M!$B$1:$BZ$300,MATCH(data!R$1,Haver_M!$B$1:$BZ$1,0),FALSE)),VLOOKUP($A201,Haver_M!$B$1:$BZ$300,MATCH(data!R$1,Haver_M!$B$1:$BZ$1,0),FALSE),"")</f>
        <v>127.4</v>
      </c>
      <c r="S201">
        <f>IF(ISNUMBER(VLOOKUP($A201,Haver_M!$B$1:$BZ$300,MATCH(data!S$1,Haver_M!$B$1:$BZ$1,0),FALSE)),VLOOKUP($A201,Haver_M!$B$1:$BZ$300,MATCH(data!S$1,Haver_M!$B$1:$BZ$1,0),FALSE),"")</f>
        <v>118.74</v>
      </c>
      <c r="T201">
        <f>IF(ISNUMBER(VLOOKUP($A201,Haver_M!$B$1:$BZ$300,MATCH(data!T$1,Haver_M!$B$1:$BZ$1,0),FALSE)),VLOOKUP($A201,Haver_M!$B$1:$BZ$300,MATCH(data!T$1,Haver_M!$B$1:$BZ$1,0),FALSE),"")</f>
        <v>112.71</v>
      </c>
      <c r="U201">
        <f>IF(ISNUMBER(VLOOKUP($A201,Haver_M!$B$1:$BZ$300,MATCH(data!U$1,Haver_M!$B$1:$BZ$1,0),FALSE)),VLOOKUP($A201,Haver_M!$B$1:$BZ$300,MATCH(data!U$1,Haver_M!$B$1:$BZ$1,0),FALSE),"")</f>
        <v>97.85</v>
      </c>
      <c r="V201">
        <f>IF(ISNUMBER(VLOOKUP($A201,Haver_M!$B$1:$BZ$300,MATCH(data!V$1,Haver_M!$B$1:$BZ$1,0),FALSE)),VLOOKUP($A201,Haver_M!$B$1:$BZ$300,MATCH(data!V$1,Haver_M!$B$1:$BZ$1,0),FALSE),"")</f>
        <v>123</v>
      </c>
      <c r="W201">
        <f>IF(ISNUMBER(VLOOKUP($A201,Haver_M!$B$1:$BZ$300,MATCH(data!W$1,Haver_M!$B$1:$BZ$1,0),FALSE)),VLOOKUP($A201,Haver_M!$B$1:$BZ$300,MATCH(data!W$1,Haver_M!$B$1:$BZ$1,0),FALSE),"")</f>
        <v>126.5</v>
      </c>
      <c r="X201">
        <f>IF(ISNUMBER(VLOOKUP($A201,Haver_M!$B$1:$BZ$300,MATCH(data!X$1,Haver_M!$B$1:$BZ$1,0),FALSE)),VLOOKUP($A201,Haver_M!$B$1:$BZ$300,MATCH(data!X$1,Haver_M!$B$1:$BZ$1,0),FALSE),"")</f>
        <v>123.93</v>
      </c>
      <c r="Y201">
        <f>IF(ISNUMBER(VLOOKUP($A201,Haver_M!$B$1:$BZ$300,MATCH(data!Y$1,Haver_M!$B$1:$BZ$1,0),FALSE)),VLOOKUP($A201,Haver_M!$B$1:$BZ$300,MATCH(data!Y$1,Haver_M!$B$1:$BZ$1,0),FALSE),"")</f>
        <v>127.79</v>
      </c>
      <c r="Z201">
        <f>IF(ISNUMBER(VLOOKUP($A201,Haver_M!$B$1:$BZ$300,MATCH(data!Z$1,Haver_M!$B$1:$BZ$1,0),FALSE)),VLOOKUP($A201,Haver_M!$B$1:$BZ$300,MATCH(data!Z$1,Haver_M!$B$1:$BZ$1,0),FALSE),"")</f>
        <v>119.8</v>
      </c>
      <c r="AA201">
        <f>IF(ISNUMBER(VLOOKUP($A201,Haver_M!$B$1:$BZ$300,MATCH(data!AA$1,Haver_M!$B$1:$BZ$1,0),FALSE)),VLOOKUP($A201,Haver_M!$B$1:$BZ$300,MATCH(data!AA$1,Haver_M!$B$1:$BZ$1,0),FALSE),"")</f>
        <v>106.851</v>
      </c>
      <c r="AB201">
        <f>IF(ISNUMBER(VLOOKUP($A201,Haver_M!$B$1:$BZ$300,MATCH(data!AB$1,Haver_M!$B$1:$BZ$1,0),FALSE)),VLOOKUP($A201,Haver_M!$B$1:$BZ$300,MATCH(data!AB$1,Haver_M!$B$1:$BZ$1,0),FALSE),"")</f>
        <v>95.129000000000005</v>
      </c>
      <c r="AC201">
        <f>IF(ISNUMBER(VLOOKUP($A201,Haver_M!$B$1:$BZ$300,MATCH(data!AC$1,Haver_M!$B$1:$BZ$1,0),FALSE)),VLOOKUP($A201,Haver_M!$B$1:$BZ$300,MATCH(data!AC$1,Haver_M!$B$1:$BZ$1,0),FALSE),"")</f>
        <v>66.174999999999997</v>
      </c>
      <c r="AD201">
        <f>IF(ISNUMBER(VLOOKUP($A201,Haver_M!$B$1:$BZ$300,MATCH(data!AD$1,Haver_M!$B$1:$BZ$1,0),FALSE)),VLOOKUP($A201,Haver_M!$B$1:$BZ$300,MATCH(data!AD$1,Haver_M!$B$1:$BZ$1,0),FALSE),"")</f>
        <v>118.31100000000001</v>
      </c>
      <c r="AE201">
        <f>IF(ISNUMBER(VLOOKUP($A201,Haver_M!$B$1:$BZ$300,MATCH(data!AE$1,Haver_M!$B$1:$BZ$1,0),FALSE)),VLOOKUP($A201,Haver_M!$B$1:$BZ$300,MATCH(data!AE$1,Haver_M!$B$1:$BZ$1,0),FALSE),"")</f>
        <v>108.86799999999999</v>
      </c>
      <c r="AF201">
        <f>IF(ISNUMBER(VLOOKUP($A201,Haver_M!$B$1:$BZ$300,MATCH(data!AF$1,Haver_M!$B$1:$BZ$1,0),FALSE)),VLOOKUP($A201,Haver_M!$B$1:$BZ$300,MATCH(data!AF$1,Haver_M!$B$1:$BZ$1,0),FALSE),"")</f>
        <v>138.34800000000001</v>
      </c>
      <c r="AG201">
        <f>IF(ISNUMBER(VLOOKUP($A201,Haver_M!$B$1:$BZ$300,MATCH(data!AG$1,Haver_M!$B$1:$BZ$1,0),FALSE)),VLOOKUP($A201,Haver_M!$B$1:$BZ$300,MATCH(data!AG$1,Haver_M!$B$1:$BZ$1,0),FALSE),"")</f>
        <v>126.232</v>
      </c>
      <c r="AH201">
        <f>IF(ISNUMBER(VLOOKUP($A201,Haver_M!$B$1:$BZ$300,MATCH(data!AH$1,Haver_M!$B$1:$BZ$1,0),FALSE)),VLOOKUP($A201,Haver_M!$B$1:$BZ$300,MATCH(data!AH$1,Haver_M!$B$1:$BZ$1,0),FALSE),"")</f>
        <v>137.167</v>
      </c>
      <c r="AI201">
        <f>IF(ISNUMBER(VLOOKUP($A201,Haver_M!$B$1:$BZ$300,MATCH(data!AI$1,Haver_M!$B$1:$BZ$1,0),FALSE)),VLOOKUP($A201,Haver_M!$B$1:$BZ$300,MATCH(data!AI$1,Haver_M!$B$1:$BZ$1,0),FALSE),"")</f>
        <v>17658.227356692943</v>
      </c>
      <c r="AJ201">
        <f>IF(ISNUMBER(VLOOKUP($A201,Haver_M!$B$1:$BZ$300,MATCH(data!AJ$1,Haver_M!$B$1:$BZ$1,0),FALSE)),VLOOKUP($A201,Haver_M!$B$1:$BZ$300,MATCH(data!AJ$1,Haver_M!$B$1:$BZ$1,0),FALSE),"")</f>
        <v>22026.82</v>
      </c>
      <c r="AK201">
        <f>IF(ISNUMBER(VLOOKUP($A201,Haver_M!$B$1:$BZ$300,MATCH(data!AK$1,Haver_M!$B$1:$BZ$1,0),FALSE)),VLOOKUP($A201,Haver_M!$B$1:$BZ$300,MATCH(data!AK$1,Haver_M!$B$1:$BZ$1,0),FALSE),"")</f>
        <v>29369.89</v>
      </c>
      <c r="AL201">
        <f>IF(ISNUMBER(VLOOKUP($A201,Haver_M!$B$1:$BZ$300,MATCH(data!AL$1,Haver_M!$B$1:$BZ$1,0),FALSE)),VLOOKUP($A201,Haver_M!$B$1:$BZ$300,MATCH(data!AL$1,Haver_M!$B$1:$BZ$1,0),FALSE),"")</f>
        <v>13381</v>
      </c>
      <c r="AM201">
        <f>IF(ISNUMBER(VLOOKUP($A201,Haver_M!$B$1:$BZ$300,MATCH(data!AM$1,Haver_M!$B$1:$BZ$1,0),FALSE)),VLOOKUP($A201,Haver_M!$B$1:$BZ$300,MATCH(data!AM$1,Haver_M!$B$1:$BZ$1,0),FALSE),"")</f>
        <v>8054</v>
      </c>
      <c r="AN201" t="str">
        <f>IF(ISNUMBER(VLOOKUP($A201,Haver_M!$B$1:$BZ$300,MATCH(data!AN$1,Haver_M!$B$1:$BZ$1,0),FALSE)),VLOOKUP($A201,Haver_M!$B$1:$BZ$300,MATCH(data!AN$1,Haver_M!$B$1:$BZ$1,0),FALSE),"")</f>
        <v/>
      </c>
      <c r="AO201" t="str">
        <f>IF(ISNUMBER(VLOOKUP($A201,Haver_M!$B$1:$BZ$300,MATCH(data!AO$1,Haver_M!$B$1:$BZ$1,0),FALSE)),VLOOKUP($A201,Haver_M!$B$1:$BZ$300,MATCH(data!AO$1,Haver_M!$B$1:$BZ$1,0),FALSE),"")</f>
        <v/>
      </c>
      <c r="AP201">
        <f>IF(ISNUMBER(VLOOKUP($A201,Haver_M!$B$1:$BZ$300,MATCH(data!AP$1,Haver_M!$B$1:$BZ$1,0),FALSE)),VLOOKUP($A201,Haver_M!$B$1:$BZ$300,MATCH(data!AP$1,Haver_M!$B$1:$BZ$1,0),FALSE),"")</f>
        <v>36.836532659420783</v>
      </c>
      <c r="AQ201">
        <f>IF(ISNUMBER(VLOOKUP($A201,Haver_M!$B$1:$BZ$300,MATCH(data!AQ$1,Haver_M!$B$1:$BZ$1,0),FALSE)),VLOOKUP($A201,Haver_M!$B$1:$BZ$300,MATCH(data!AQ$1,Haver_M!$B$1:$BZ$1,0),FALSE),"")</f>
        <v>54.559699999999999</v>
      </c>
      <c r="AR201">
        <f>IF(ISNUMBER(VLOOKUP($A201,Haver_M!$B$1:$BZ$300,MATCH(data!AR$1,Haver_M!$B$1:$BZ$1,0),FALSE)),VLOOKUP($A201,Haver_M!$B$1:$BZ$300,MATCH(data!AR$1,Haver_M!$B$1:$BZ$1,0),FALSE),"")</f>
        <v>52.623100000000001</v>
      </c>
      <c r="AS201">
        <f>IF(ISNUMBER(VLOOKUP($A201,Haver_M!$B$1:$BZ$300,MATCH(data!AS$1,Haver_M!$B$1:$BZ$1,0),FALSE)),VLOOKUP($A201,Haver_M!$B$1:$BZ$300,MATCH(data!AS$1,Haver_M!$B$1:$BZ$1,0),FALSE),"")</f>
        <v>54.712400000000002</v>
      </c>
      <c r="AT201">
        <f>IF(ISNUMBER(VLOOKUP($A201,Haver_M!$B$1:$BZ$300,MATCH(data!AT$1,Haver_M!$B$1:$BZ$1,0),FALSE)),VLOOKUP($A201,Haver_M!$B$1:$BZ$300,MATCH(data!AT$1,Haver_M!$B$1:$BZ$1,0),FALSE),"")</f>
        <v>54.255600000000001</v>
      </c>
      <c r="AU201">
        <f>IF(ISNUMBER(VLOOKUP($A201,Haver_M!$B$1:$BZ$300,MATCH(data!AU$1,Haver_M!$B$1:$BZ$1,0),FALSE)),VLOOKUP($A201,Haver_M!$B$1:$BZ$300,MATCH(data!AU$1,Haver_M!$B$1:$BZ$1,0),FALSE),"")</f>
        <v>54.836500000000001</v>
      </c>
      <c r="AV201">
        <f>IF(ISNUMBER(VLOOKUP($A201,Haver_M!$B$1:$BZ$300,MATCH(data!AV$1,Haver_M!$B$1:$BZ$1,0),FALSE)),VLOOKUP($A201,Haver_M!$B$1:$BZ$300,MATCH(data!AV$1,Haver_M!$B$1:$BZ$1,0),FALSE),"")</f>
        <v>50.413800000000002</v>
      </c>
      <c r="AW201">
        <f>IF(ISNUMBER(VLOOKUP($A201,Haver_M!$B$1:$BZ$300,MATCH(data!AW$1,Haver_M!$B$1:$BZ$1,0),FALSE)),VLOOKUP($A201,Haver_M!$B$1:$BZ$300,MATCH(data!AW$1,Haver_M!$B$1:$BZ$1,0),FALSE),"")</f>
        <v>50.3279</v>
      </c>
      <c r="AX201">
        <f>IF(ISNUMBER(VLOOKUP($A201,Haver_M!$B$1:$BZ$300,MATCH(data!AX$1,Haver_M!$B$1:$BZ$1,0),FALSE)),VLOOKUP($A201,Haver_M!$B$1:$BZ$300,MATCH(data!AX$1,Haver_M!$B$1:$BZ$1,0),FALSE),"")</f>
        <v>50.7468</v>
      </c>
      <c r="AY201">
        <f>IF(ISNUMBER(VLOOKUP($A201,Haver_M!$B$1:$BZ$300,MATCH(data!AY$1,Haver_M!$B$1:$BZ$1,0),FALSE)),VLOOKUP($A201,Haver_M!$B$1:$BZ$300,MATCH(data!AY$1,Haver_M!$B$1:$BZ$1,0),FALSE),"")</f>
        <v>51.7059</v>
      </c>
      <c r="AZ201">
        <f>IF(ISNUMBER(VLOOKUP($A201,Haver_M!$B$1:$BZ$300,MATCH(data!AZ$1,Haver_M!$B$1:$BZ$1,0),FALSE)),VLOOKUP($A201,Haver_M!$B$1:$BZ$300,MATCH(data!AZ$1,Haver_M!$B$1:$BZ$1,0),FALSE),"")</f>
        <v>52.563499999999998</v>
      </c>
      <c r="BA201">
        <f>IF(ISNUMBER(VLOOKUP($A201,Haver_M!$B$1:$BZ$300,MATCH(data!BA$1,Haver_M!$B$1:$BZ$1,0),FALSE)),VLOOKUP($A201,Haver_M!$B$1:$BZ$300,MATCH(data!BA$1,Haver_M!$B$1:$BZ$1,0),FALSE),"")</f>
        <v>50.7468</v>
      </c>
      <c r="BB201">
        <f>IF(ISNUMBER(VLOOKUP($A201,Haver_M!$B$1:$BZ$300,MATCH(data!BB$1,Haver_M!$B$1:$BZ$1,0),FALSE)),VLOOKUP($A201,Haver_M!$B$1:$BZ$300,MATCH(data!BB$1,Haver_M!$B$1:$BZ$1,0),FALSE),"")</f>
        <v>53.396900000000002</v>
      </c>
      <c r="BC201">
        <f>IF(ISNUMBER(VLOOKUP($A201,Haver_M!$B$1:$BZ$300,MATCH(data!BC$1,Haver_M!$B$1:$BZ$1,0),FALSE)),VLOOKUP($A201,Haver_M!$B$1:$BZ$300,MATCH(data!BC$1,Haver_M!$B$1:$BZ$1,0),FALSE),"")</f>
        <v>50.334099999999999</v>
      </c>
      <c r="BD201">
        <f>IF(ISNUMBER(VLOOKUP($A201,Haver_M!$B$1:$BZ$300,MATCH(data!BD$1,Haver_M!$B$1:$BZ$1,0),FALSE)),VLOOKUP($A201,Haver_M!$B$1:$BZ$300,MATCH(data!BD$1,Haver_M!$B$1:$BZ$1,0),FALSE),"")</f>
        <v>53.454799999999999</v>
      </c>
      <c r="BE201">
        <f>IF(ISNUMBER(VLOOKUP($A201,Haver_M!$B$1:$BZ$300,MATCH(data!BE$1,Haver_M!$B$1:$BZ$1,0),FALSE)),VLOOKUP($A201,Haver_M!$B$1:$BZ$300,MATCH(data!BE$1,Haver_M!$B$1:$BZ$1,0),FALSE),"")</f>
        <v>1.1634</v>
      </c>
      <c r="BF201">
        <f>IF(ISNUMBER(VLOOKUP($A201,Haver_M!$B$1:$BZ$300,MATCH(data!BF$1,Haver_M!$B$1:$BZ$1,0),FALSE)),VLOOKUP($A201,Haver_M!$B$1:$BZ$300,MATCH(data!BF$1,Haver_M!$B$1:$BZ$1,0),FALSE),"")</f>
        <v>49.796100000000003</v>
      </c>
      <c r="BG201">
        <f>IF(ISNUMBER(VLOOKUP($A201,Haver_M!$B$1:$BZ$300,MATCH(data!BG$1,Haver_M!$B$1:$BZ$1,0),FALSE)),VLOOKUP($A201,Haver_M!$B$1:$BZ$300,MATCH(data!BG$1,Haver_M!$B$1:$BZ$1,0),FALSE),"")</f>
        <v>50.061599999999999</v>
      </c>
      <c r="BH201">
        <f>IF(ISNUMBER(VLOOKUP($A201,Haver_M!$B$1:$BZ$300,MATCH(data!BH$1,Haver_M!$B$1:$BZ$1,0),FALSE)),VLOOKUP($A201,Haver_M!$B$1:$BZ$300,MATCH(data!BH$1,Haver_M!$B$1:$BZ$1,0),FALSE),"")</f>
        <v>54.450800000000001</v>
      </c>
      <c r="BI201">
        <f>IF(ISNUMBER(VLOOKUP($A201,Haver_M!$B$1:$BZ$300,MATCH(data!BI$1,Haver_M!$B$1:$BZ$1,0),FALSE)),VLOOKUP($A201,Haver_M!$B$1:$BZ$300,MATCH(data!BI$1,Haver_M!$B$1:$BZ$1,0),FALSE),"")</f>
        <v>49.695500000000003</v>
      </c>
      <c r="BJ201">
        <f>IF(ISNUMBER(VLOOKUP($A201,Haver_M!$B$1:$BZ$300,MATCH(data!BJ$1,Haver_M!$B$1:$BZ$1,0),FALSE)),VLOOKUP($A201,Haver_M!$B$1:$BZ$300,MATCH(data!BJ$1,Haver_M!$B$1:$BZ$1,0),FALSE),"")</f>
        <v>52.472900000000003</v>
      </c>
      <c r="BK201">
        <f>IF(ISNUMBER(VLOOKUP($A201,Haver_M!$B$1:$BZ$300,MATCH(data!BK$1,Haver_M!$B$1:$BZ$1,0),FALSE)),VLOOKUP($A201,Haver_M!$B$1:$BZ$300,MATCH(data!BK$1,Haver_M!$B$1:$BZ$1,0),FALSE),"")</f>
        <v>52.402099999999997</v>
      </c>
      <c r="BL201">
        <f>IF(ISNUMBER(VLOOKUP($A201,Haver_M!$B$1:$BZ$300,MATCH(data!BL$1,Haver_M!$B$1:$BZ$1,0),FALSE)),VLOOKUP($A201,Haver_M!$B$1:$BZ$300,MATCH(data!BL$1,Haver_M!$B$1:$BZ$1,0),FALSE),"")</f>
        <v>28006.9</v>
      </c>
      <c r="BM201">
        <f>IF(ISNUMBER(VLOOKUP($A201,Haver_M!$B$1:$BZ$300,MATCH(data!BM$1,Haver_M!$B$1:$BZ$1,0),FALSE)),VLOOKUP($A201,Haver_M!$B$1:$BZ$300,MATCH(data!BM$1,Haver_M!$B$1:$BZ$1,0),FALSE),"")</f>
        <v>103.74408982999999</v>
      </c>
      <c r="BN201" t="str">
        <f>IF(ISNUMBER(VLOOKUP($A201,Haver_M!$B$1:$BZ$300,MATCH(data!BN$1,Haver_M!$B$1:$BZ$1,0),FALSE)),VLOOKUP($A201,Haver_M!$B$1:$BZ$300,MATCH(data!BN$1,Haver_M!$B$1:$BZ$1,0),FALSE),"")</f>
        <v/>
      </c>
      <c r="BO201" t="str">
        <f>IF(ISNUMBER(VLOOKUP($A201,Haver_M!$B$1:$BZ$300,MATCH(data!BO$1,Haver_M!$B$1:$BZ$1,0),FALSE)),VLOOKUP($A201,Haver_M!$B$1:$BZ$300,MATCH(data!BO$1,Haver_M!$B$1:$BZ$1,0),FALSE),"")</f>
        <v/>
      </c>
      <c r="BP201" t="str">
        <f>IF(ISNUMBER(VLOOKUP($A201,Haver_M!$B$1:$BZ$300,MATCH(data!BP$1,Haver_M!$B$1:$BZ$1,0),FALSE)),VLOOKUP($A201,Haver_M!$B$1:$BZ$300,MATCH(data!BP$1,Haver_M!$B$1:$BZ$1,0),FALSE),"")</f>
        <v/>
      </c>
      <c r="BQ201">
        <f>IF(ISNUMBER(VLOOKUP($A201,Haver_M!$B$1:$BZ$300,MATCH(data!BQ$1,Haver_M!$B$1:$BZ$1,0),FALSE)),VLOOKUP($A201,Haver_M!$B$1:$BZ$300,MATCH(data!BQ$1,Haver_M!$B$1:$BZ$1,0),FALSE),"")</f>
        <v>217.55941176822091</v>
      </c>
      <c r="BR201">
        <f>IF(ISNUMBER(VLOOKUP($A201,Haver_M!$B$1:$BZ$300,MATCH(data!BR$1,Haver_M!$B$1:$BZ$1,0),FALSE)),VLOOKUP($A201,Haver_M!$B$1:$BZ$300,MATCH(data!BR$1,Haver_M!$B$1:$BZ$1,0),FALSE),"")</f>
        <v>391.11945694327426</v>
      </c>
      <c r="BS201">
        <f>IF(ISNUMBER(VLOOKUP($A201,Haver_M!$B$1:$BZ$300,MATCH(data!BS$1,Haver_M!$B$1:$BZ$1,0),FALSE)),VLOOKUP($A201,Haver_M!$B$1:$BZ$300,MATCH(data!BS$1,Haver_M!$B$1:$BZ$1,0),FALSE),"")</f>
        <v>232.9494051353758</v>
      </c>
      <c r="BT201">
        <f>IF(ISNUMBER(VLOOKUP($A201,Haver_M!$B$1:$BZ$300,MATCH(data!BT$1,Haver_M!$B$1:$BZ$1,0),FALSE)),VLOOKUP($A201,Haver_M!$B$1:$BZ$300,MATCH(data!BT$1,Haver_M!$B$1:$BZ$1,0),FALSE),"")</f>
        <v>978.72066758689925</v>
      </c>
      <c r="BU201">
        <f>IF(ISNUMBER(VLOOKUP($A201,Haver_M!$B$1:$BZ$300,MATCH(data!BU$1,Haver_M!$B$1:$BZ$1,0),FALSE)),VLOOKUP($A201,Haver_M!$B$1:$BZ$300,MATCH(data!BU$1,Haver_M!$B$1:$BZ$1,0),FALSE),"")</f>
        <v>21597.09</v>
      </c>
      <c r="BV201">
        <f>IF(ISNUMBER(VLOOKUP($A201,Haver_M!$B$1:$BZ$300,MATCH(data!BV$1,Haver_M!$B$1:$BZ$1,0),FALSE)),VLOOKUP($A201,Haver_M!$B$1:$BZ$300,MATCH(data!BV$1,Haver_M!$B$1:$BZ$1,0),FALSE),"")</f>
        <v>29303.200000000001</v>
      </c>
      <c r="BW201">
        <f>IF(ISNUMBER(VLOOKUP($A201,Haver_M!$B$1:$BZ$300,MATCH(data!BW$1,Haver_M!$B$1:$BZ$1,0),FALSE)),VLOOKUP($A201,Haver_M!$B$1:$BZ$300,MATCH(data!BW$1,Haver_M!$B$1:$BZ$1,0),FALSE),"")</f>
        <v>66.939599999999999</v>
      </c>
      <c r="BX201">
        <f>IF(ISNUMBER(VLOOKUP($A201,Haver_M!$B$1:$BZ$300,MATCH(data!BX$1,Haver_M!$B$1:$BZ$1,0),FALSE)),VLOOKUP($A201,Haver_M!$B$1:$BZ$300,MATCH(data!BX$1,Haver_M!$B$1:$BZ$1,0),FALSE),"")</f>
        <v>44232</v>
      </c>
    </row>
    <row r="202" spans="1:76" x14ac:dyDescent="0.25">
      <c r="A202" s="2">
        <v>42643</v>
      </c>
      <c r="B202">
        <f>IF(ISNUMBER(VLOOKUP($A202,Haver_Q!$B$1:$L$185,MATCH(data!B$1,Haver_Q!$B$1:$L$1,0),FALSE)),100*(VLOOKUP($A202,Haver_Q!$B$1:$L$185,MATCH(data!B$1,Haver_Q!$B$1:$L$1,0),FALSE)),"")</f>
        <v>6.1486673261726743</v>
      </c>
      <c r="C202">
        <f>IF(ISNUMBER(VLOOKUP($A202,Haver_Q!$B$1:$L$185,MATCH(data!C$1,Haver_Q!$B$1:$L$1,0),FALSE)),100*(VLOOKUP($A202,Haver_Q!$B$1:$L$185,MATCH(data!C$1,Haver_Q!$B$1:$L$1,0),FALSE)),"")</f>
        <v>15.157022179706935</v>
      </c>
      <c r="D202">
        <f>IF(ISNUMBER(VLOOKUP($A202,Haver_Q!$B$1:$L$185,MATCH(data!D$1,Haver_Q!$B$1:$L$1,0),FALSE)),100*(VLOOKUP($A202,Haver_Q!$B$1:$L$185,MATCH(data!D$1,Haver_Q!$B$1:$L$1,0),FALSE)),"")</f>
        <v>34.538544805561735</v>
      </c>
      <c r="E202">
        <f>IF(ISNUMBER(VLOOKUP($A202,Haver_Q!$B$1:$L$185,MATCH(data!E$1,Haver_Q!$B$1:$L$1,0),FALSE)),100*(VLOOKUP($A202,Haver_Q!$B$1:$L$185,MATCH(data!E$1,Haver_Q!$B$1:$L$1,0),FALSE)),"")</f>
        <v>-8.244311063616717</v>
      </c>
      <c r="F202">
        <f>IF(ISNUMBER(VLOOKUP($A202,Haver_Q!$B$1:$L$185,MATCH(data!F$1,Haver_Q!$B$1:$L$1,0),FALSE)),100*(VLOOKUP($A202,Haver_Q!$B$1:$L$185,MATCH(data!F$1,Haver_Q!$B$1:$L$1,0),FALSE)),"")</f>
        <v>-1.18355360264778</v>
      </c>
      <c r="G202">
        <f>IF(ISNUMBER(VLOOKUP($A202,Haver_Q!$B$1:$L$185,MATCH(data!G$1,Haver_Q!$B$1:$L$1,0),FALSE)),100*(VLOOKUP($A202,Haver_Q!$B$1:$L$185,MATCH(data!G$1,Haver_Q!$B$1:$L$1,0),FALSE)),"")</f>
        <v>6.0569726866896323</v>
      </c>
      <c r="H202">
        <f>IF(ISNUMBER(VLOOKUP($A202,Haver_Q!$B$1:$L$185,MATCH(data!H$1,Haver_Q!$B$1:$L$1,0),FALSE)),(VLOOKUP($A202,Haver_Q!$B$1:$L$185,MATCH(data!H$1,Haver_Q!$B$1:$L$1,0),FALSE)),"")</f>
        <v>3.1599100991553941</v>
      </c>
      <c r="I202">
        <f>IF(ISNUMBER(VLOOKUP($A202,Haver_Q!$B$1:$L$185,MATCH(data!I$1,Haver_Q!$B$1:$L$1,0),FALSE)),100*(VLOOKUP($A202,Haver_Q!$B$1:$L$185,MATCH(data!I$1,Haver_Q!$B$1:$L$1,0),FALSE)),"")</f>
        <v>8.8654005455753406</v>
      </c>
      <c r="J202" s="3">
        <f>IF(ISNUMBER(Bloomberg_m!C218),Bloomberg_m!C218,"")</f>
        <v>828</v>
      </c>
      <c r="K202" s="3">
        <f>IF(ISNUMBER(Bloomberg_m!D218),Bloomberg_m!D218,"")</f>
        <v>1419.62</v>
      </c>
      <c r="L202" s="3">
        <f>IF(ISNUMBER(Bloomberg_m!E218),Bloomberg_m!E218,"")</f>
        <v>755.92</v>
      </c>
      <c r="M202" s="3">
        <f>IF(ISNUMBER(Bloomberg_m!F218),Bloomberg_m!F218,"")</f>
        <v>386.58</v>
      </c>
      <c r="N202">
        <f>IF(ISNUMBER(VLOOKUP($A202,Haver_M!$B$1:$BZ$300,MATCH(data!N$1,Haver_M!$B$1:$BZ$1,0),FALSE)),VLOOKUP($A202,Haver_M!$B$1:$BZ$300,MATCH(data!N$1,Haver_M!$B$1:$BZ$1,0),FALSE),"")</f>
        <v>6.5</v>
      </c>
      <c r="O202">
        <f>IF(ISNUMBER(VLOOKUP($A202,Haver_M!$B$1:$BZ$300,MATCH(data!O$1,Haver_M!$B$1:$BZ$1,0),FALSE)),VLOOKUP($A202,Haver_M!$B$1:$BZ$300,MATCH(data!O$1,Haver_M!$B$1:$BZ$1,0),FALSE),"")</f>
        <v>6.8095999999999997</v>
      </c>
      <c r="P202">
        <f>IF(ISNUMBER(VLOOKUP($A202,Haver_M!$B$1:$BZ$300,MATCH(data!P$1,Haver_M!$B$1:$BZ$1,0),FALSE)),VLOOKUP($A202,Haver_M!$B$1:$BZ$300,MATCH(data!P$1,Haver_M!$B$1:$BZ$1,0),FALSE),"")</f>
        <v>92.110169999999997</v>
      </c>
      <c r="Q202">
        <f>IF(ISNUMBER(VLOOKUP($A202,Haver_M!$B$1:$BZ$300,MATCH(data!Q$1,Haver_M!$B$1:$BZ$1,0),FALSE)),VLOOKUP($A202,Haver_M!$B$1:$BZ$300,MATCH(data!Q$1,Haver_M!$B$1:$BZ$1,0),FALSE),"")</f>
        <v>130.9</v>
      </c>
      <c r="R202">
        <f>IF(ISNUMBER(VLOOKUP($A202,Haver_M!$B$1:$BZ$300,MATCH(data!R$1,Haver_M!$B$1:$BZ$1,0),FALSE)),VLOOKUP($A202,Haver_M!$B$1:$BZ$300,MATCH(data!R$1,Haver_M!$B$1:$BZ$1,0),FALSE),"")</f>
        <v>128</v>
      </c>
      <c r="S202">
        <f>IF(ISNUMBER(VLOOKUP($A202,Haver_M!$B$1:$BZ$300,MATCH(data!S$1,Haver_M!$B$1:$BZ$1,0),FALSE)),VLOOKUP($A202,Haver_M!$B$1:$BZ$300,MATCH(data!S$1,Haver_M!$B$1:$BZ$1,0),FALSE),"")</f>
        <v>119.63</v>
      </c>
      <c r="T202">
        <f>IF(ISNUMBER(VLOOKUP($A202,Haver_M!$B$1:$BZ$300,MATCH(data!T$1,Haver_M!$B$1:$BZ$1,0),FALSE)),VLOOKUP($A202,Haver_M!$B$1:$BZ$300,MATCH(data!T$1,Haver_M!$B$1:$BZ$1,0),FALSE),"")</f>
        <v>115.44</v>
      </c>
      <c r="U202">
        <f>IF(ISNUMBER(VLOOKUP($A202,Haver_M!$B$1:$BZ$300,MATCH(data!U$1,Haver_M!$B$1:$BZ$1,0),FALSE)),VLOOKUP($A202,Haver_M!$B$1:$BZ$300,MATCH(data!U$1,Haver_M!$B$1:$BZ$1,0),FALSE),"")</f>
        <v>94.88</v>
      </c>
      <c r="V202">
        <f>IF(ISNUMBER(VLOOKUP($A202,Haver_M!$B$1:$BZ$300,MATCH(data!V$1,Haver_M!$B$1:$BZ$1,0),FALSE)),VLOOKUP($A202,Haver_M!$B$1:$BZ$300,MATCH(data!V$1,Haver_M!$B$1:$BZ$1,0),FALSE),"")</f>
        <v>121.27</v>
      </c>
      <c r="W202">
        <f>IF(ISNUMBER(VLOOKUP($A202,Haver_M!$B$1:$BZ$300,MATCH(data!W$1,Haver_M!$B$1:$BZ$1,0),FALSE)),VLOOKUP($A202,Haver_M!$B$1:$BZ$300,MATCH(data!W$1,Haver_M!$B$1:$BZ$1,0),FALSE),"")</f>
        <v>128.71</v>
      </c>
      <c r="X202">
        <f>IF(ISNUMBER(VLOOKUP($A202,Haver_M!$B$1:$BZ$300,MATCH(data!X$1,Haver_M!$B$1:$BZ$1,0),FALSE)),VLOOKUP($A202,Haver_M!$B$1:$BZ$300,MATCH(data!X$1,Haver_M!$B$1:$BZ$1,0),FALSE),"")</f>
        <v>127.19</v>
      </c>
      <c r="Y202">
        <f>IF(ISNUMBER(VLOOKUP($A202,Haver_M!$B$1:$BZ$300,MATCH(data!Y$1,Haver_M!$B$1:$BZ$1,0),FALSE)),VLOOKUP($A202,Haver_M!$B$1:$BZ$300,MATCH(data!Y$1,Haver_M!$B$1:$BZ$1,0),FALSE),"")</f>
        <v>128</v>
      </c>
      <c r="Z202">
        <f>IF(ISNUMBER(VLOOKUP($A202,Haver_M!$B$1:$BZ$300,MATCH(data!Z$1,Haver_M!$B$1:$BZ$1,0),FALSE)),VLOOKUP($A202,Haver_M!$B$1:$BZ$300,MATCH(data!Z$1,Haver_M!$B$1:$BZ$1,0),FALSE),"")</f>
        <v>121</v>
      </c>
      <c r="AA202">
        <f>IF(ISNUMBER(VLOOKUP($A202,Haver_M!$B$1:$BZ$300,MATCH(data!AA$1,Haver_M!$B$1:$BZ$1,0),FALSE)),VLOOKUP($A202,Haver_M!$B$1:$BZ$300,MATCH(data!AA$1,Haver_M!$B$1:$BZ$1,0),FALSE),"")</f>
        <v>112.123</v>
      </c>
      <c r="AB202">
        <f>IF(ISNUMBER(VLOOKUP($A202,Haver_M!$B$1:$BZ$300,MATCH(data!AB$1,Haver_M!$B$1:$BZ$1,0),FALSE)),VLOOKUP($A202,Haver_M!$B$1:$BZ$300,MATCH(data!AB$1,Haver_M!$B$1:$BZ$1,0),FALSE),"")</f>
        <v>94.028000000000006</v>
      </c>
      <c r="AC202">
        <f>IF(ISNUMBER(VLOOKUP($A202,Haver_M!$B$1:$BZ$300,MATCH(data!AC$1,Haver_M!$B$1:$BZ$1,0),FALSE)),VLOOKUP($A202,Haver_M!$B$1:$BZ$300,MATCH(data!AC$1,Haver_M!$B$1:$BZ$1,0),FALSE),"")</f>
        <v>65.721000000000004</v>
      </c>
      <c r="AD202">
        <f>IF(ISNUMBER(VLOOKUP($A202,Haver_M!$B$1:$BZ$300,MATCH(data!AD$1,Haver_M!$B$1:$BZ$1,0),FALSE)),VLOOKUP($A202,Haver_M!$B$1:$BZ$300,MATCH(data!AD$1,Haver_M!$B$1:$BZ$1,0),FALSE),"")</f>
        <v>118.79600000000001</v>
      </c>
      <c r="AE202">
        <f>IF(ISNUMBER(VLOOKUP($A202,Haver_M!$B$1:$BZ$300,MATCH(data!AE$1,Haver_M!$B$1:$BZ$1,0),FALSE)),VLOOKUP($A202,Haver_M!$B$1:$BZ$300,MATCH(data!AE$1,Haver_M!$B$1:$BZ$1,0),FALSE),"")</f>
        <v>108.212</v>
      </c>
      <c r="AF202">
        <f>IF(ISNUMBER(VLOOKUP($A202,Haver_M!$B$1:$BZ$300,MATCH(data!AF$1,Haver_M!$B$1:$BZ$1,0),FALSE)),VLOOKUP($A202,Haver_M!$B$1:$BZ$300,MATCH(data!AF$1,Haver_M!$B$1:$BZ$1,0),FALSE),"")</f>
        <v>138.18</v>
      </c>
      <c r="AG202">
        <f>IF(ISNUMBER(VLOOKUP($A202,Haver_M!$B$1:$BZ$300,MATCH(data!AG$1,Haver_M!$B$1:$BZ$1,0),FALSE)),VLOOKUP($A202,Haver_M!$B$1:$BZ$300,MATCH(data!AG$1,Haver_M!$B$1:$BZ$1,0),FALSE),"")</f>
        <v>127.982</v>
      </c>
      <c r="AH202">
        <f>IF(ISNUMBER(VLOOKUP($A202,Haver_M!$B$1:$BZ$300,MATCH(data!AH$1,Haver_M!$B$1:$BZ$1,0),FALSE)),VLOOKUP($A202,Haver_M!$B$1:$BZ$300,MATCH(data!AH$1,Haver_M!$B$1:$BZ$1,0),FALSE),"")</f>
        <v>142.73699999999999</v>
      </c>
      <c r="AI202">
        <f>IF(ISNUMBER(VLOOKUP($A202,Haver_M!$B$1:$BZ$300,MATCH(data!AI$1,Haver_M!$B$1:$BZ$1,0),FALSE)),VLOOKUP($A202,Haver_M!$B$1:$BZ$300,MATCH(data!AI$1,Haver_M!$B$1:$BZ$1,0),FALSE),"")</f>
        <v>16066.004651064597</v>
      </c>
      <c r="AJ202">
        <f>IF(ISNUMBER(VLOOKUP($A202,Haver_M!$B$1:$BZ$300,MATCH(data!AJ$1,Haver_M!$B$1:$BZ$1,0),FALSE)),VLOOKUP($A202,Haver_M!$B$1:$BZ$300,MATCH(data!AJ$1,Haver_M!$B$1:$BZ$1,0),FALSE),"")</f>
        <v>22252.16</v>
      </c>
      <c r="AK202">
        <f>IF(ISNUMBER(VLOOKUP($A202,Haver_M!$B$1:$BZ$300,MATCH(data!AK$1,Haver_M!$B$1:$BZ$1,0),FALSE)),VLOOKUP($A202,Haver_M!$B$1:$BZ$300,MATCH(data!AK$1,Haver_M!$B$1:$BZ$1,0),FALSE),"")</f>
        <v>31849.9</v>
      </c>
      <c r="AL202">
        <f>IF(ISNUMBER(VLOOKUP($A202,Haver_M!$B$1:$BZ$300,MATCH(data!AL$1,Haver_M!$B$1:$BZ$1,0),FALSE)),VLOOKUP($A202,Haver_M!$B$1:$BZ$300,MATCH(data!AL$1,Haver_M!$B$1:$BZ$1,0),FALSE),"")</f>
        <v>13773</v>
      </c>
      <c r="AM202">
        <f>IF(ISNUMBER(VLOOKUP($A202,Haver_M!$B$1:$BZ$300,MATCH(data!AM$1,Haver_M!$B$1:$BZ$1,0),FALSE)),VLOOKUP($A202,Haver_M!$B$1:$BZ$300,MATCH(data!AM$1,Haver_M!$B$1:$BZ$1,0),FALSE),"")</f>
        <v>8304</v>
      </c>
      <c r="AN202">
        <f>IF(ISNUMBER(VLOOKUP($A202,Haver_M!$B$1:$BZ$300,MATCH(data!AN$1,Haver_M!$B$1:$BZ$1,0),FALSE)),VLOOKUP($A202,Haver_M!$B$1:$BZ$300,MATCH(data!AN$1,Haver_M!$B$1:$BZ$1,0),FALSE),"")</f>
        <v>104.2</v>
      </c>
      <c r="AO202">
        <f>IF(ISNUMBER(VLOOKUP($A202,Haver_M!$B$1:$BZ$300,MATCH(data!AO$1,Haver_M!$B$1:$BZ$1,0),FALSE)),VLOOKUP($A202,Haver_M!$B$1:$BZ$300,MATCH(data!AO$1,Haver_M!$B$1:$BZ$1,0),FALSE),"")</f>
        <v>123.3</v>
      </c>
      <c r="AP202">
        <f>IF(ISNUMBER(VLOOKUP($A202,Haver_M!$B$1:$BZ$300,MATCH(data!AP$1,Haver_M!$B$1:$BZ$1,0),FALSE)),VLOOKUP($A202,Haver_M!$B$1:$BZ$300,MATCH(data!AP$1,Haver_M!$B$1:$BZ$1,0),FALSE),"")</f>
        <v>28.052208941337614</v>
      </c>
      <c r="AQ202">
        <f>IF(ISNUMBER(VLOOKUP($A202,Haver_M!$B$1:$BZ$300,MATCH(data!AQ$1,Haver_M!$B$1:$BZ$1,0),FALSE)),VLOOKUP($A202,Haver_M!$B$1:$BZ$300,MATCH(data!AQ$1,Haver_M!$B$1:$BZ$1,0),FALSE),"")</f>
        <v>52.4497</v>
      </c>
      <c r="AR202">
        <f>IF(ISNUMBER(VLOOKUP($A202,Haver_M!$B$1:$BZ$300,MATCH(data!AR$1,Haver_M!$B$1:$BZ$1,0),FALSE)),VLOOKUP($A202,Haver_M!$B$1:$BZ$300,MATCH(data!AR$1,Haver_M!$B$1:$BZ$1,0),FALSE),"")</f>
        <v>52.072099999999999</v>
      </c>
      <c r="AS202">
        <f>IF(ISNUMBER(VLOOKUP($A202,Haver_M!$B$1:$BZ$300,MATCH(data!AS$1,Haver_M!$B$1:$BZ$1,0),FALSE)),VLOOKUP($A202,Haver_M!$B$1:$BZ$300,MATCH(data!AS$1,Haver_M!$B$1:$BZ$1,0),FALSE),"")</f>
        <v>52.039499999999997</v>
      </c>
      <c r="AT202">
        <f>IF(ISNUMBER(VLOOKUP($A202,Haver_M!$B$1:$BZ$300,MATCH(data!AT$1,Haver_M!$B$1:$BZ$1,0),FALSE)),VLOOKUP($A202,Haver_M!$B$1:$BZ$300,MATCH(data!AT$1,Haver_M!$B$1:$BZ$1,0),FALSE),"")</f>
        <v>53.266100000000002</v>
      </c>
      <c r="AU202">
        <f>IF(ISNUMBER(VLOOKUP($A202,Haver_M!$B$1:$BZ$300,MATCH(data!AU$1,Haver_M!$B$1:$BZ$1,0),FALSE)),VLOOKUP($A202,Haver_M!$B$1:$BZ$300,MATCH(data!AU$1,Haver_M!$B$1:$BZ$1,0),FALSE),"")</f>
        <v>53.616999999999997</v>
      </c>
      <c r="AV202">
        <f>IF(ISNUMBER(VLOOKUP($A202,Haver_M!$B$1:$BZ$300,MATCH(data!AV$1,Haver_M!$B$1:$BZ$1,0),FALSE)),VLOOKUP($A202,Haver_M!$B$1:$BZ$300,MATCH(data!AV$1,Haver_M!$B$1:$BZ$1,0),FALSE),"")</f>
        <v>50.213799999999999</v>
      </c>
      <c r="AW202">
        <f>IF(ISNUMBER(VLOOKUP($A202,Haver_M!$B$1:$BZ$300,MATCH(data!AW$1,Haver_M!$B$1:$BZ$1,0),FALSE)),VLOOKUP($A202,Haver_M!$B$1:$BZ$300,MATCH(data!AW$1,Haver_M!$B$1:$BZ$1,0),FALSE),"")</f>
        <v>49.587600000000002</v>
      </c>
      <c r="AX202">
        <f>IF(ISNUMBER(VLOOKUP($A202,Haver_M!$B$1:$BZ$300,MATCH(data!AX$1,Haver_M!$B$1:$BZ$1,0),FALSE)),VLOOKUP($A202,Haver_M!$B$1:$BZ$300,MATCH(data!AX$1,Haver_M!$B$1:$BZ$1,0),FALSE),"")</f>
        <v>50.658999999999999</v>
      </c>
      <c r="AY202">
        <f>IF(ISNUMBER(VLOOKUP($A202,Haver_M!$B$1:$BZ$300,MATCH(data!AY$1,Haver_M!$B$1:$BZ$1,0),FALSE)),VLOOKUP($A202,Haver_M!$B$1:$BZ$300,MATCH(data!AY$1,Haver_M!$B$1:$BZ$1,0),FALSE),"")</f>
        <v>52.849400000000003</v>
      </c>
      <c r="AZ202">
        <f>IF(ISNUMBER(VLOOKUP($A202,Haver_M!$B$1:$BZ$300,MATCH(data!AZ$1,Haver_M!$B$1:$BZ$1,0),FALSE)),VLOOKUP($A202,Haver_M!$B$1:$BZ$300,MATCH(data!AZ$1,Haver_M!$B$1:$BZ$1,0),FALSE),"")</f>
        <v>51.997399999999999</v>
      </c>
      <c r="BA202">
        <f>IF(ISNUMBER(VLOOKUP($A202,Haver_M!$B$1:$BZ$300,MATCH(data!BA$1,Haver_M!$B$1:$BZ$1,0),FALSE)),VLOOKUP($A202,Haver_M!$B$1:$BZ$300,MATCH(data!BA$1,Haver_M!$B$1:$BZ$1,0),FALSE),"")</f>
        <v>50.658999999999999</v>
      </c>
      <c r="BB202">
        <f>IF(ISNUMBER(VLOOKUP($A202,Haver_M!$B$1:$BZ$300,MATCH(data!BB$1,Haver_M!$B$1:$BZ$1,0),FALSE)),VLOOKUP($A202,Haver_M!$B$1:$BZ$300,MATCH(data!BB$1,Haver_M!$B$1:$BZ$1,0),FALSE),"")</f>
        <v>54.403300000000002</v>
      </c>
      <c r="BC202">
        <f>IF(ISNUMBER(VLOOKUP($A202,Haver_M!$B$1:$BZ$300,MATCH(data!BC$1,Haver_M!$B$1:$BZ$1,0),FALSE)),VLOOKUP($A202,Haver_M!$B$1:$BZ$300,MATCH(data!BC$1,Haver_M!$B$1:$BZ$1,0),FALSE),"")</f>
        <v>50.744599999999998</v>
      </c>
      <c r="BD202">
        <f>IF(ISNUMBER(VLOOKUP($A202,Haver_M!$B$1:$BZ$300,MATCH(data!BD$1,Haver_M!$B$1:$BZ$1,0),FALSE)),VLOOKUP($A202,Haver_M!$B$1:$BZ$300,MATCH(data!BD$1,Haver_M!$B$1:$BZ$1,0),FALSE),"")</f>
        <v>53.265599999999999</v>
      </c>
      <c r="BE202">
        <f>IF(ISNUMBER(VLOOKUP($A202,Haver_M!$B$1:$BZ$300,MATCH(data!BE$1,Haver_M!$B$1:$BZ$1,0),FALSE)),VLOOKUP($A202,Haver_M!$B$1:$BZ$300,MATCH(data!BE$1,Haver_M!$B$1:$BZ$1,0),FALSE),"")</f>
        <v>1.1154999999999999</v>
      </c>
      <c r="BF202">
        <f>IF(ISNUMBER(VLOOKUP($A202,Haver_M!$B$1:$BZ$300,MATCH(data!BF$1,Haver_M!$B$1:$BZ$1,0),FALSE)),VLOOKUP($A202,Haver_M!$B$1:$BZ$300,MATCH(data!BF$1,Haver_M!$B$1:$BZ$1,0),FALSE),"")</f>
        <v>50.090499999999999</v>
      </c>
      <c r="BG202">
        <f>IF(ISNUMBER(VLOOKUP($A202,Haver_M!$B$1:$BZ$300,MATCH(data!BG$1,Haver_M!$B$1:$BZ$1,0),FALSE)),VLOOKUP($A202,Haver_M!$B$1:$BZ$300,MATCH(data!BG$1,Haver_M!$B$1:$BZ$1,0),FALSE),"")</f>
        <v>50.632100000000001</v>
      </c>
      <c r="BH202">
        <f>IF(ISNUMBER(VLOOKUP($A202,Haver_M!$B$1:$BZ$300,MATCH(data!BH$1,Haver_M!$B$1:$BZ$1,0),FALSE)),VLOOKUP($A202,Haver_M!$B$1:$BZ$300,MATCH(data!BH$1,Haver_M!$B$1:$BZ$1,0),FALSE),"")</f>
        <v>52.14</v>
      </c>
      <c r="BI202">
        <f>IF(ISNUMBER(VLOOKUP($A202,Haver_M!$B$1:$BZ$300,MATCH(data!BI$1,Haver_M!$B$1:$BZ$1,0),FALSE)),VLOOKUP($A202,Haver_M!$B$1:$BZ$300,MATCH(data!BI$1,Haver_M!$B$1:$BZ$1,0),FALSE),"")</f>
        <v>52.3994</v>
      </c>
      <c r="BJ202">
        <f>IF(ISNUMBER(VLOOKUP($A202,Haver_M!$B$1:$BZ$300,MATCH(data!BJ$1,Haver_M!$B$1:$BZ$1,0),FALSE)),VLOOKUP($A202,Haver_M!$B$1:$BZ$300,MATCH(data!BJ$1,Haver_M!$B$1:$BZ$1,0),FALSE),"")</f>
        <v>52.740499999999997</v>
      </c>
      <c r="BK202">
        <f>IF(ISNUMBER(VLOOKUP($A202,Haver_M!$B$1:$BZ$300,MATCH(data!BK$1,Haver_M!$B$1:$BZ$1,0),FALSE)),VLOOKUP($A202,Haver_M!$B$1:$BZ$300,MATCH(data!BK$1,Haver_M!$B$1:$BZ$1,0),FALSE),"")</f>
        <v>52.956800000000001</v>
      </c>
      <c r="BL202">
        <f>IF(ISNUMBER(VLOOKUP($A202,Haver_M!$B$1:$BZ$300,MATCH(data!BL$1,Haver_M!$B$1:$BZ$1,0),FALSE)),VLOOKUP($A202,Haver_M!$B$1:$BZ$300,MATCH(data!BL$1,Haver_M!$B$1:$BZ$1,0),FALSE),"")</f>
        <v>28502.55</v>
      </c>
      <c r="BM202">
        <f>IF(ISNUMBER(VLOOKUP($A202,Haver_M!$B$1:$BZ$300,MATCH(data!BM$1,Haver_M!$B$1:$BZ$1,0),FALSE)),VLOOKUP($A202,Haver_M!$B$1:$BZ$300,MATCH(data!BM$1,Haver_M!$B$1:$BZ$1,0),FALSE),"")</f>
        <v>101.21481651000001</v>
      </c>
      <c r="BN202">
        <f>IF(ISNUMBER(VLOOKUP($A202,Haver_M!$B$1:$BZ$300,MATCH(data!BN$1,Haver_M!$B$1:$BZ$1,0),FALSE)),VLOOKUP($A202,Haver_M!$B$1:$BZ$300,MATCH(data!BN$1,Haver_M!$B$1:$BZ$1,0),FALSE),"")</f>
        <v>102.7</v>
      </c>
      <c r="BO202">
        <f>IF(ISNUMBER(VLOOKUP($A202,Haver_M!$B$1:$BZ$300,MATCH(data!BO$1,Haver_M!$B$1:$BZ$1,0),FALSE)),VLOOKUP($A202,Haver_M!$B$1:$BZ$300,MATCH(data!BO$1,Haver_M!$B$1:$BZ$1,0),FALSE),"")</f>
        <v>112.9</v>
      </c>
      <c r="BP202">
        <f>IF(ISNUMBER(VLOOKUP($A202,Haver_M!$B$1:$BZ$300,MATCH(data!BP$1,Haver_M!$B$1:$BZ$1,0),FALSE)),VLOOKUP($A202,Haver_M!$B$1:$BZ$300,MATCH(data!BP$1,Haver_M!$B$1:$BZ$1,0),FALSE),"")</f>
        <v>33.5</v>
      </c>
      <c r="BQ202">
        <f>IF(ISNUMBER(VLOOKUP($A202,Haver_M!$B$1:$BZ$300,MATCH(data!BQ$1,Haver_M!$B$1:$BZ$1,0),FALSE)),VLOOKUP($A202,Haver_M!$B$1:$BZ$300,MATCH(data!BQ$1,Haver_M!$B$1:$BZ$1,0),FALSE),"")</f>
        <v>225.00895296062043</v>
      </c>
      <c r="BR202">
        <f>IF(ISNUMBER(VLOOKUP($A202,Haver_M!$B$1:$BZ$300,MATCH(data!BR$1,Haver_M!$B$1:$BZ$1,0),FALSE)),VLOOKUP($A202,Haver_M!$B$1:$BZ$300,MATCH(data!BR$1,Haver_M!$B$1:$BZ$1,0),FALSE),"")</f>
        <v>397.39952081057629</v>
      </c>
      <c r="BS202">
        <f>IF(ISNUMBER(VLOOKUP($A202,Haver_M!$B$1:$BZ$300,MATCH(data!BS$1,Haver_M!$B$1:$BZ$1,0),FALSE)),VLOOKUP($A202,Haver_M!$B$1:$BZ$300,MATCH(data!BS$1,Haver_M!$B$1:$BZ$1,0),FALSE),"")</f>
        <v>248.58603158334796</v>
      </c>
      <c r="BT202">
        <f>IF(ISNUMBER(VLOOKUP($A202,Haver_M!$B$1:$BZ$300,MATCH(data!BT$1,Haver_M!$B$1:$BZ$1,0),FALSE)),VLOOKUP($A202,Haver_M!$B$1:$BZ$300,MATCH(data!BT$1,Haver_M!$B$1:$BZ$1,0),FALSE),"")</f>
        <v>1012.2561910284591</v>
      </c>
      <c r="BU202">
        <f>IF(ISNUMBER(VLOOKUP($A202,Haver_M!$B$1:$BZ$300,MATCH(data!BU$1,Haver_M!$B$1:$BZ$1,0),FALSE)),VLOOKUP($A202,Haver_M!$B$1:$BZ$300,MATCH(data!BU$1,Haver_M!$B$1:$BZ$1,0),FALSE),"")</f>
        <v>22769.07</v>
      </c>
      <c r="BV202">
        <f>IF(ISNUMBER(VLOOKUP($A202,Haver_M!$B$1:$BZ$300,MATCH(data!BV$1,Haver_M!$B$1:$BZ$1,0),FALSE)),VLOOKUP($A202,Haver_M!$B$1:$BZ$300,MATCH(data!BV$1,Haver_M!$B$1:$BZ$1,0),FALSE),"")</f>
        <v>31840.48</v>
      </c>
      <c r="BW202">
        <f>IF(ISNUMBER(VLOOKUP($A202,Haver_M!$B$1:$BZ$300,MATCH(data!BW$1,Haver_M!$B$1:$BZ$1,0),FALSE)),VLOOKUP($A202,Haver_M!$B$1:$BZ$300,MATCH(data!BW$1,Haver_M!$B$1:$BZ$1,0),FALSE),"")</f>
        <v>66.737700000000004</v>
      </c>
      <c r="BX202">
        <f>IF(ISNUMBER(VLOOKUP($A202,Haver_M!$B$1:$BZ$300,MATCH(data!BX$1,Haver_M!$B$1:$BZ$1,0),FALSE)),VLOOKUP($A202,Haver_M!$B$1:$BZ$300,MATCH(data!BX$1,Haver_M!$B$1:$BZ$1,0),FALSE),"")</f>
        <v>38020</v>
      </c>
    </row>
    <row r="203" spans="1:76" x14ac:dyDescent="0.25">
      <c r="A203" s="2">
        <v>42674</v>
      </c>
      <c r="B203" t="str">
        <f>IF(ISNUMBER(VLOOKUP($A203,Haver_Q!$B$1:$L$185,MATCH(data!B$1,Haver_Q!$B$1:$L$1,0),FALSE)),100*(VLOOKUP($A203,Haver_Q!$B$1:$L$185,MATCH(data!B$1,Haver_Q!$B$1:$L$1,0),FALSE)),"")</f>
        <v/>
      </c>
      <c r="C203" t="str">
        <f>IF(ISNUMBER(VLOOKUP($A203,Haver_Q!$B$1:$L$185,MATCH(data!C$1,Haver_Q!$B$1:$L$1,0),FALSE)),100*(VLOOKUP($A203,Haver_Q!$B$1:$L$185,MATCH(data!C$1,Haver_Q!$B$1:$L$1,0),FALSE)),"")</f>
        <v/>
      </c>
      <c r="D203" t="str">
        <f>IF(ISNUMBER(VLOOKUP($A203,Haver_Q!$B$1:$L$185,MATCH(data!D$1,Haver_Q!$B$1:$L$1,0),FALSE)),100*(VLOOKUP($A203,Haver_Q!$B$1:$L$185,MATCH(data!D$1,Haver_Q!$B$1:$L$1,0),FALSE)),"")</f>
        <v/>
      </c>
      <c r="E203" t="str">
        <f>IF(ISNUMBER(VLOOKUP($A203,Haver_Q!$B$1:$L$185,MATCH(data!E$1,Haver_Q!$B$1:$L$1,0),FALSE)),100*(VLOOKUP($A203,Haver_Q!$B$1:$L$185,MATCH(data!E$1,Haver_Q!$B$1:$L$1,0),FALSE)),"")</f>
        <v/>
      </c>
      <c r="F203" t="str">
        <f>IF(ISNUMBER(VLOOKUP($A203,Haver_Q!$B$1:$L$185,MATCH(data!F$1,Haver_Q!$B$1:$L$1,0),FALSE)),100*(VLOOKUP($A203,Haver_Q!$B$1:$L$185,MATCH(data!F$1,Haver_Q!$B$1:$L$1,0),FALSE)),"")</f>
        <v/>
      </c>
      <c r="G203" t="str">
        <f>IF(ISNUMBER(VLOOKUP($A203,Haver_Q!$B$1:$L$185,MATCH(data!G$1,Haver_Q!$B$1:$L$1,0),FALSE)),100*(VLOOKUP($A203,Haver_Q!$B$1:$L$185,MATCH(data!G$1,Haver_Q!$B$1:$L$1,0),FALSE)),"")</f>
        <v/>
      </c>
      <c r="H203" t="str">
        <f>IF(ISNUMBER(VLOOKUP($A203,Haver_Q!$B$1:$L$185,MATCH(data!H$1,Haver_Q!$B$1:$L$1,0),FALSE)),(VLOOKUP($A203,Haver_Q!$B$1:$L$185,MATCH(data!H$1,Haver_Q!$B$1:$L$1,0),FALSE)),"")</f>
        <v/>
      </c>
      <c r="I203" t="str">
        <f>IF(ISNUMBER(VLOOKUP($A203,Haver_Q!$B$1:$L$185,MATCH(data!I$1,Haver_Q!$B$1:$L$1,0),FALSE)),100*(VLOOKUP($A203,Haver_Q!$B$1:$L$185,MATCH(data!I$1,Haver_Q!$B$1:$L$1,0),FALSE)),"")</f>
        <v/>
      </c>
      <c r="J203" s="3">
        <f>IF(ISNUMBER(Bloomberg_m!C219),Bloomberg_m!C219,"")</f>
        <v>868</v>
      </c>
      <c r="K203" s="3">
        <f>IF(ISNUMBER(Bloomberg_m!D219),Bloomberg_m!D219,"")</f>
        <v>1307.1500000000001</v>
      </c>
      <c r="L203" s="3">
        <f>IF(ISNUMBER(Bloomberg_m!E219),Bloomberg_m!E219,"")</f>
        <v>819.01</v>
      </c>
      <c r="M203" s="3">
        <f>IF(ISNUMBER(Bloomberg_m!F219),Bloomberg_m!F219,"")</f>
        <v>385.72</v>
      </c>
      <c r="N203">
        <f>IF(ISNUMBER(VLOOKUP($A203,Haver_M!$B$1:$BZ$300,MATCH(data!N$1,Haver_M!$B$1:$BZ$1,0),FALSE)),VLOOKUP($A203,Haver_M!$B$1:$BZ$300,MATCH(data!N$1,Haver_M!$B$1:$BZ$1,0),FALSE),"")</f>
        <v>6.25</v>
      </c>
      <c r="O203">
        <f>IF(ISNUMBER(VLOOKUP($A203,Haver_M!$B$1:$BZ$300,MATCH(data!O$1,Haver_M!$B$1:$BZ$1,0),FALSE)),VLOOKUP($A203,Haver_M!$B$1:$BZ$300,MATCH(data!O$1,Haver_M!$B$1:$BZ$1,0),FALSE),"")</f>
        <v>6.8216000000000001</v>
      </c>
      <c r="P203">
        <f>IF(ISNUMBER(VLOOKUP($A203,Haver_M!$B$1:$BZ$300,MATCH(data!P$1,Haver_M!$B$1:$BZ$1,0),FALSE)),VLOOKUP($A203,Haver_M!$B$1:$BZ$300,MATCH(data!P$1,Haver_M!$B$1:$BZ$1,0),FALSE),"")</f>
        <v>92.918589999999995</v>
      </c>
      <c r="Q203">
        <f>IF(ISNUMBER(VLOOKUP($A203,Haver_M!$B$1:$BZ$300,MATCH(data!Q$1,Haver_M!$B$1:$BZ$1,0),FALSE)),VLOOKUP($A203,Haver_M!$B$1:$BZ$300,MATCH(data!Q$1,Haver_M!$B$1:$BZ$1,0),FALSE),"")</f>
        <v>131.4</v>
      </c>
      <c r="R203">
        <f>IF(ISNUMBER(VLOOKUP($A203,Haver_M!$B$1:$BZ$300,MATCH(data!R$1,Haver_M!$B$1:$BZ$1,0),FALSE)),VLOOKUP($A203,Haver_M!$B$1:$BZ$300,MATCH(data!R$1,Haver_M!$B$1:$BZ$1,0),FALSE),"")</f>
        <v>128.6</v>
      </c>
      <c r="S203">
        <f>IF(ISNUMBER(VLOOKUP($A203,Haver_M!$B$1:$BZ$300,MATCH(data!S$1,Haver_M!$B$1:$BZ$1,0),FALSE)),VLOOKUP($A203,Haver_M!$B$1:$BZ$300,MATCH(data!S$1,Haver_M!$B$1:$BZ$1,0),FALSE),"")</f>
        <v>122.23</v>
      </c>
      <c r="T203">
        <f>IF(ISNUMBER(VLOOKUP($A203,Haver_M!$B$1:$BZ$300,MATCH(data!T$1,Haver_M!$B$1:$BZ$1,0),FALSE)),VLOOKUP($A203,Haver_M!$B$1:$BZ$300,MATCH(data!T$1,Haver_M!$B$1:$BZ$1,0),FALSE),"")</f>
        <v>118.77</v>
      </c>
      <c r="U203">
        <f>IF(ISNUMBER(VLOOKUP($A203,Haver_M!$B$1:$BZ$300,MATCH(data!U$1,Haver_M!$B$1:$BZ$1,0),FALSE)),VLOOKUP($A203,Haver_M!$B$1:$BZ$300,MATCH(data!U$1,Haver_M!$B$1:$BZ$1,0),FALSE),"")</f>
        <v>100.33</v>
      </c>
      <c r="V203">
        <f>IF(ISNUMBER(VLOOKUP($A203,Haver_M!$B$1:$BZ$300,MATCH(data!V$1,Haver_M!$B$1:$BZ$1,0),FALSE)),VLOOKUP($A203,Haver_M!$B$1:$BZ$300,MATCH(data!V$1,Haver_M!$B$1:$BZ$1,0),FALSE),"")</f>
        <v>126.61</v>
      </c>
      <c r="W203">
        <f>IF(ISNUMBER(VLOOKUP($A203,Haver_M!$B$1:$BZ$300,MATCH(data!W$1,Haver_M!$B$1:$BZ$1,0),FALSE)),VLOOKUP($A203,Haver_M!$B$1:$BZ$300,MATCH(data!W$1,Haver_M!$B$1:$BZ$1,0),FALSE),"")</f>
        <v>127.8</v>
      </c>
      <c r="X203">
        <f>IF(ISNUMBER(VLOOKUP($A203,Haver_M!$B$1:$BZ$300,MATCH(data!X$1,Haver_M!$B$1:$BZ$1,0),FALSE)),VLOOKUP($A203,Haver_M!$B$1:$BZ$300,MATCH(data!X$1,Haver_M!$B$1:$BZ$1,0),FALSE),"")</f>
        <v>126.75</v>
      </c>
      <c r="Y203">
        <f>IF(ISNUMBER(VLOOKUP($A203,Haver_M!$B$1:$BZ$300,MATCH(data!Y$1,Haver_M!$B$1:$BZ$1,0),FALSE)),VLOOKUP($A203,Haver_M!$B$1:$BZ$300,MATCH(data!Y$1,Haver_M!$B$1:$BZ$1,0),FALSE),"")</f>
        <v>128.72</v>
      </c>
      <c r="Z203">
        <f>IF(ISNUMBER(VLOOKUP($A203,Haver_M!$B$1:$BZ$300,MATCH(data!Z$1,Haver_M!$B$1:$BZ$1,0),FALSE)),VLOOKUP($A203,Haver_M!$B$1:$BZ$300,MATCH(data!Z$1,Haver_M!$B$1:$BZ$1,0),FALSE),"")</f>
        <v>121.4</v>
      </c>
      <c r="AA203">
        <f>IF(ISNUMBER(VLOOKUP($A203,Haver_M!$B$1:$BZ$300,MATCH(data!AA$1,Haver_M!$B$1:$BZ$1,0),FALSE)),VLOOKUP($A203,Haver_M!$B$1:$BZ$300,MATCH(data!AA$1,Haver_M!$B$1:$BZ$1,0),FALSE),"")</f>
        <v>120.051</v>
      </c>
      <c r="AB203">
        <f>IF(ISNUMBER(VLOOKUP($A203,Haver_M!$B$1:$BZ$300,MATCH(data!AB$1,Haver_M!$B$1:$BZ$1,0),FALSE)),VLOOKUP($A203,Haver_M!$B$1:$BZ$300,MATCH(data!AB$1,Haver_M!$B$1:$BZ$1,0),FALSE),"")</f>
        <v>93.974999999999994</v>
      </c>
      <c r="AC203">
        <f>IF(ISNUMBER(VLOOKUP($A203,Haver_M!$B$1:$BZ$300,MATCH(data!AC$1,Haver_M!$B$1:$BZ$1,0),FALSE)),VLOOKUP($A203,Haver_M!$B$1:$BZ$300,MATCH(data!AC$1,Haver_M!$B$1:$BZ$1,0),FALSE),"")</f>
        <v>66.867000000000004</v>
      </c>
      <c r="AD203">
        <f>IF(ISNUMBER(VLOOKUP($A203,Haver_M!$B$1:$BZ$300,MATCH(data!AD$1,Haver_M!$B$1:$BZ$1,0),FALSE)),VLOOKUP($A203,Haver_M!$B$1:$BZ$300,MATCH(data!AD$1,Haver_M!$B$1:$BZ$1,0),FALSE),"")</f>
        <v>119.776</v>
      </c>
      <c r="AE203">
        <f>IF(ISNUMBER(VLOOKUP($A203,Haver_M!$B$1:$BZ$300,MATCH(data!AE$1,Haver_M!$B$1:$BZ$1,0),FALSE)),VLOOKUP($A203,Haver_M!$B$1:$BZ$300,MATCH(data!AE$1,Haver_M!$B$1:$BZ$1,0),FALSE),"")</f>
        <v>105.95399999999999</v>
      </c>
      <c r="AF203">
        <f>IF(ISNUMBER(VLOOKUP($A203,Haver_M!$B$1:$BZ$300,MATCH(data!AF$1,Haver_M!$B$1:$BZ$1,0),FALSE)),VLOOKUP($A203,Haver_M!$B$1:$BZ$300,MATCH(data!AF$1,Haver_M!$B$1:$BZ$1,0),FALSE),"")</f>
        <v>134.41999999999999</v>
      </c>
      <c r="AG203">
        <f>IF(ISNUMBER(VLOOKUP($A203,Haver_M!$B$1:$BZ$300,MATCH(data!AG$1,Haver_M!$B$1:$BZ$1,0),FALSE)),VLOOKUP($A203,Haver_M!$B$1:$BZ$300,MATCH(data!AG$1,Haver_M!$B$1:$BZ$1,0),FALSE),"")</f>
        <v>131.89699999999999</v>
      </c>
      <c r="AH203">
        <f>IF(ISNUMBER(VLOOKUP($A203,Haver_M!$B$1:$BZ$300,MATCH(data!AH$1,Haver_M!$B$1:$BZ$1,0),FALSE)),VLOOKUP($A203,Haver_M!$B$1:$BZ$300,MATCH(data!AH$1,Haver_M!$B$1:$BZ$1,0),FALSE),"")</f>
        <v>142.27199999999999</v>
      </c>
      <c r="AI203">
        <f>IF(ISNUMBER(VLOOKUP($A203,Haver_M!$B$1:$BZ$300,MATCH(data!AI$1,Haver_M!$B$1:$BZ$1,0),FALSE)),VLOOKUP($A203,Haver_M!$B$1:$BZ$300,MATCH(data!AI$1,Haver_M!$B$1:$BZ$1,0),FALSE),"")</f>
        <v>16583.867327271102</v>
      </c>
      <c r="AJ203">
        <f>IF(ISNUMBER(VLOOKUP($A203,Haver_M!$B$1:$BZ$300,MATCH(data!AJ$1,Haver_M!$B$1:$BZ$1,0),FALSE)),VLOOKUP($A203,Haver_M!$B$1:$BZ$300,MATCH(data!AJ$1,Haver_M!$B$1:$BZ$1,0),FALSE),"")</f>
        <v>23410.93</v>
      </c>
      <c r="AK203">
        <f>IF(ISNUMBER(VLOOKUP($A203,Haver_M!$B$1:$BZ$300,MATCH(data!AK$1,Haver_M!$B$1:$BZ$1,0),FALSE)),VLOOKUP($A203,Haver_M!$B$1:$BZ$300,MATCH(data!AK$1,Haver_M!$B$1:$BZ$1,0),FALSE),"")</f>
        <v>33806.29</v>
      </c>
      <c r="AL203">
        <f>IF(ISNUMBER(VLOOKUP($A203,Haver_M!$B$1:$BZ$300,MATCH(data!AL$1,Haver_M!$B$1:$BZ$1,0),FALSE)),VLOOKUP($A203,Haver_M!$B$1:$BZ$300,MATCH(data!AL$1,Haver_M!$B$1:$BZ$1,0),FALSE),"")</f>
        <v>13113</v>
      </c>
      <c r="AM203">
        <f>IF(ISNUMBER(VLOOKUP($A203,Haver_M!$B$1:$BZ$300,MATCH(data!AM$1,Haver_M!$B$1:$BZ$1,0),FALSE)),VLOOKUP($A203,Haver_M!$B$1:$BZ$300,MATCH(data!AM$1,Haver_M!$B$1:$BZ$1,0),FALSE),"")</f>
        <v>7680</v>
      </c>
      <c r="AN203" t="str">
        <f>IF(ISNUMBER(VLOOKUP($A203,Haver_M!$B$1:$BZ$300,MATCH(data!AN$1,Haver_M!$B$1:$BZ$1,0),FALSE)),VLOOKUP($A203,Haver_M!$B$1:$BZ$300,MATCH(data!AN$1,Haver_M!$B$1:$BZ$1,0),FALSE),"")</f>
        <v/>
      </c>
      <c r="AO203" t="str">
        <f>IF(ISNUMBER(VLOOKUP($A203,Haver_M!$B$1:$BZ$300,MATCH(data!AO$1,Haver_M!$B$1:$BZ$1,0),FALSE)),VLOOKUP($A203,Haver_M!$B$1:$BZ$300,MATCH(data!AO$1,Haver_M!$B$1:$BZ$1,0),FALSE),"")</f>
        <v/>
      </c>
      <c r="AP203">
        <f>IF(ISNUMBER(VLOOKUP($A203,Haver_M!$B$1:$BZ$300,MATCH(data!AP$1,Haver_M!$B$1:$BZ$1,0),FALSE)),VLOOKUP($A203,Haver_M!$B$1:$BZ$300,MATCH(data!AP$1,Haver_M!$B$1:$BZ$1,0),FALSE),"")</f>
        <v>44.949795888463257</v>
      </c>
      <c r="AQ203">
        <f>IF(ISNUMBER(VLOOKUP($A203,Haver_M!$B$1:$BZ$300,MATCH(data!AQ$1,Haver_M!$B$1:$BZ$1,0),FALSE)),VLOOKUP($A203,Haver_M!$B$1:$BZ$300,MATCH(data!AQ$1,Haver_M!$B$1:$BZ$1,0),FALSE),"")</f>
        <v>55.393599999999999</v>
      </c>
      <c r="AR203">
        <f>IF(ISNUMBER(VLOOKUP($A203,Haver_M!$B$1:$BZ$300,MATCH(data!AR$1,Haver_M!$B$1:$BZ$1,0),FALSE)),VLOOKUP($A203,Haver_M!$B$1:$BZ$300,MATCH(data!AR$1,Haver_M!$B$1:$BZ$1,0),FALSE),"")</f>
        <v>54.395099999999999</v>
      </c>
      <c r="AS203">
        <f>IF(ISNUMBER(VLOOKUP($A203,Haver_M!$B$1:$BZ$300,MATCH(data!AS$1,Haver_M!$B$1:$BZ$1,0),FALSE)),VLOOKUP($A203,Haver_M!$B$1:$BZ$300,MATCH(data!AS$1,Haver_M!$B$1:$BZ$1,0),FALSE),"")</f>
        <v>54.481400000000001</v>
      </c>
      <c r="AT203">
        <f>IF(ISNUMBER(VLOOKUP($A203,Haver_M!$B$1:$BZ$300,MATCH(data!AT$1,Haver_M!$B$1:$BZ$1,0),FALSE)),VLOOKUP($A203,Haver_M!$B$1:$BZ$300,MATCH(data!AT$1,Haver_M!$B$1:$BZ$1,0),FALSE),"")</f>
        <v>57.2087</v>
      </c>
      <c r="AU203">
        <f>IF(ISNUMBER(VLOOKUP($A203,Haver_M!$B$1:$BZ$300,MATCH(data!AU$1,Haver_M!$B$1:$BZ$1,0),FALSE)),VLOOKUP($A203,Haver_M!$B$1:$BZ$300,MATCH(data!AU$1,Haver_M!$B$1:$BZ$1,0),FALSE),"")</f>
        <v>57.721299999999999</v>
      </c>
      <c r="AV203">
        <f>IF(ISNUMBER(VLOOKUP($A203,Haver_M!$B$1:$BZ$300,MATCH(data!AV$1,Haver_M!$B$1:$BZ$1,0),FALSE)),VLOOKUP($A203,Haver_M!$B$1:$BZ$300,MATCH(data!AV$1,Haver_M!$B$1:$BZ$1,0),FALSE),"")</f>
        <v>50</v>
      </c>
      <c r="AW203">
        <f>IF(ISNUMBER(VLOOKUP($A203,Haver_M!$B$1:$BZ$300,MATCH(data!AW$1,Haver_M!$B$1:$BZ$1,0),FALSE)),VLOOKUP($A203,Haver_M!$B$1:$BZ$300,MATCH(data!AW$1,Haver_M!$B$1:$BZ$1,0),FALSE),"")</f>
        <v>49.920400000000001</v>
      </c>
      <c r="AX203">
        <f>IF(ISNUMBER(VLOOKUP($A203,Haver_M!$B$1:$BZ$300,MATCH(data!AX$1,Haver_M!$B$1:$BZ$1,0),FALSE)),VLOOKUP($A203,Haver_M!$B$1:$BZ$300,MATCH(data!AX$1,Haver_M!$B$1:$BZ$1,0),FALSE),"")</f>
        <v>52.645299999999999</v>
      </c>
      <c r="AY203">
        <f>IF(ISNUMBER(VLOOKUP($A203,Haver_M!$B$1:$BZ$300,MATCH(data!AY$1,Haver_M!$B$1:$BZ$1,0),FALSE)),VLOOKUP($A203,Haver_M!$B$1:$BZ$300,MATCH(data!AY$1,Haver_M!$B$1:$BZ$1,0),FALSE),"")</f>
        <v>55.1843</v>
      </c>
      <c r="AZ203">
        <f>IF(ISNUMBER(VLOOKUP($A203,Haver_M!$B$1:$BZ$300,MATCH(data!AZ$1,Haver_M!$B$1:$BZ$1,0),FALSE)),VLOOKUP($A203,Haver_M!$B$1:$BZ$300,MATCH(data!AZ$1,Haver_M!$B$1:$BZ$1,0),FALSE),"")</f>
        <v>54.572400000000002</v>
      </c>
      <c r="BA203">
        <f>IF(ISNUMBER(VLOOKUP($A203,Haver_M!$B$1:$BZ$300,MATCH(data!BA$1,Haver_M!$B$1:$BZ$1,0),FALSE)),VLOOKUP($A203,Haver_M!$B$1:$BZ$300,MATCH(data!BA$1,Haver_M!$B$1:$BZ$1,0),FALSE),"")</f>
        <v>52.645299999999999</v>
      </c>
      <c r="BB203">
        <f>IF(ISNUMBER(VLOOKUP($A203,Haver_M!$B$1:$BZ$300,MATCH(data!BB$1,Haver_M!$B$1:$BZ$1,0),FALSE)),VLOOKUP($A203,Haver_M!$B$1:$BZ$300,MATCH(data!BB$1,Haver_M!$B$1:$BZ$1,0),FALSE),"")</f>
        <v>53.192</v>
      </c>
      <c r="BC203">
        <f>IF(ISNUMBER(VLOOKUP($A203,Haver_M!$B$1:$BZ$300,MATCH(data!BC$1,Haver_M!$B$1:$BZ$1,0),FALSE)),VLOOKUP($A203,Haver_M!$B$1:$BZ$300,MATCH(data!BC$1,Haver_M!$B$1:$BZ$1,0),FALSE),"")</f>
        <v>51.752600000000001</v>
      </c>
      <c r="BD203">
        <f>IF(ISNUMBER(VLOOKUP($A203,Haver_M!$B$1:$BZ$300,MATCH(data!BD$1,Haver_M!$B$1:$BZ$1,0),FALSE)),VLOOKUP($A203,Haver_M!$B$1:$BZ$300,MATCH(data!BD$1,Haver_M!$B$1:$BZ$1,0),FALSE),"")</f>
        <v>53.667299999999997</v>
      </c>
      <c r="BE203">
        <f>IF(ISNUMBER(VLOOKUP($A203,Haver_M!$B$1:$BZ$300,MATCH(data!BE$1,Haver_M!$B$1:$BZ$1,0),FALSE)),VLOOKUP($A203,Haver_M!$B$1:$BZ$300,MATCH(data!BE$1,Haver_M!$B$1:$BZ$1,0),FALSE),"")</f>
        <v>1.1971000000000001</v>
      </c>
      <c r="BF203">
        <f>IF(ISNUMBER(VLOOKUP($A203,Haver_M!$B$1:$BZ$300,MATCH(data!BF$1,Haver_M!$B$1:$BZ$1,0),FALSE)),VLOOKUP($A203,Haver_M!$B$1:$BZ$300,MATCH(data!BF$1,Haver_M!$B$1:$BZ$1,0),FALSE),"")</f>
        <v>50.046799999999998</v>
      </c>
      <c r="BG203">
        <f>IF(ISNUMBER(VLOOKUP($A203,Haver_M!$B$1:$BZ$300,MATCH(data!BG$1,Haver_M!$B$1:$BZ$1,0),FALSE)),VLOOKUP($A203,Haver_M!$B$1:$BZ$300,MATCH(data!BG$1,Haver_M!$B$1:$BZ$1,0),FALSE),"")</f>
        <v>49.908000000000001</v>
      </c>
      <c r="BH203">
        <f>IF(ISNUMBER(VLOOKUP($A203,Haver_M!$B$1:$BZ$300,MATCH(data!BH$1,Haver_M!$B$1:$BZ$1,0),FALSE)),VLOOKUP($A203,Haver_M!$B$1:$BZ$300,MATCH(data!BH$1,Haver_M!$B$1:$BZ$1,0),FALSE),"")</f>
        <v>54.325899999999997</v>
      </c>
      <c r="BI203">
        <f>IF(ISNUMBER(VLOOKUP($A203,Haver_M!$B$1:$BZ$300,MATCH(data!BI$1,Haver_M!$B$1:$BZ$1,0),FALSE)),VLOOKUP($A203,Haver_M!$B$1:$BZ$300,MATCH(data!BI$1,Haver_M!$B$1:$BZ$1,0),FALSE),"")</f>
        <v>50.381799999999998</v>
      </c>
      <c r="BJ203">
        <f>IF(ISNUMBER(VLOOKUP($A203,Haver_M!$B$1:$BZ$300,MATCH(data!BJ$1,Haver_M!$B$1:$BZ$1,0),FALSE)),VLOOKUP($A203,Haver_M!$B$1:$BZ$300,MATCH(data!BJ$1,Haver_M!$B$1:$BZ$1,0),FALSE),"")</f>
        <v>53.611199999999997</v>
      </c>
      <c r="BK203">
        <f>IF(ISNUMBER(VLOOKUP($A203,Haver_M!$B$1:$BZ$300,MATCH(data!BK$1,Haver_M!$B$1:$BZ$1,0),FALSE)),VLOOKUP($A203,Haver_M!$B$1:$BZ$300,MATCH(data!BK$1,Haver_M!$B$1:$BZ$1,0),FALSE),"")</f>
        <v>52.853900000000003</v>
      </c>
      <c r="BL203">
        <f>IF(ISNUMBER(VLOOKUP($A203,Haver_M!$B$1:$BZ$300,MATCH(data!BL$1,Haver_M!$B$1:$BZ$1,0),FALSE)),VLOOKUP($A203,Haver_M!$B$1:$BZ$300,MATCH(data!BL$1,Haver_M!$B$1:$BZ$1,0),FALSE),"")</f>
        <v>28005.66</v>
      </c>
      <c r="BM203">
        <f>IF(ISNUMBER(VLOOKUP($A203,Haver_M!$B$1:$BZ$300,MATCH(data!BM$1,Haver_M!$B$1:$BZ$1,0),FALSE)),VLOOKUP($A203,Haver_M!$B$1:$BZ$300,MATCH(data!BM$1,Haver_M!$B$1:$BZ$1,0),FALSE),"")</f>
        <v>97.703140270000006</v>
      </c>
      <c r="BN203" t="str">
        <f>IF(ISNUMBER(VLOOKUP($A203,Haver_M!$B$1:$BZ$300,MATCH(data!BN$1,Haver_M!$B$1:$BZ$1,0),FALSE)),VLOOKUP($A203,Haver_M!$B$1:$BZ$300,MATCH(data!BN$1,Haver_M!$B$1:$BZ$1,0),FALSE),"")</f>
        <v/>
      </c>
      <c r="BO203" t="str">
        <f>IF(ISNUMBER(VLOOKUP($A203,Haver_M!$B$1:$BZ$300,MATCH(data!BO$1,Haver_M!$B$1:$BZ$1,0),FALSE)),VLOOKUP($A203,Haver_M!$B$1:$BZ$300,MATCH(data!BO$1,Haver_M!$B$1:$BZ$1,0),FALSE),"")</f>
        <v/>
      </c>
      <c r="BP203" t="str">
        <f>IF(ISNUMBER(VLOOKUP($A203,Haver_M!$B$1:$BZ$300,MATCH(data!BP$1,Haver_M!$B$1:$BZ$1,0),FALSE)),VLOOKUP($A203,Haver_M!$B$1:$BZ$300,MATCH(data!BP$1,Haver_M!$B$1:$BZ$1,0),FALSE),"")</f>
        <v/>
      </c>
      <c r="BQ203">
        <f>IF(ISNUMBER(VLOOKUP($A203,Haver_M!$B$1:$BZ$300,MATCH(data!BQ$1,Haver_M!$B$1:$BZ$1,0),FALSE)),VLOOKUP($A203,Haver_M!$B$1:$BZ$300,MATCH(data!BQ$1,Haver_M!$B$1:$BZ$1,0),FALSE),"")</f>
        <v>225.34349498184957</v>
      </c>
      <c r="BR203">
        <f>IF(ISNUMBER(VLOOKUP($A203,Haver_M!$B$1:$BZ$300,MATCH(data!BR$1,Haver_M!$B$1:$BZ$1,0),FALSE)),VLOOKUP($A203,Haver_M!$B$1:$BZ$300,MATCH(data!BR$1,Haver_M!$B$1:$BZ$1,0),FALSE),"")</f>
        <v>390.22707898549316</v>
      </c>
      <c r="BS203">
        <f>IF(ISNUMBER(VLOOKUP($A203,Haver_M!$B$1:$BZ$300,MATCH(data!BS$1,Haver_M!$B$1:$BZ$1,0),FALSE)),VLOOKUP($A203,Haver_M!$B$1:$BZ$300,MATCH(data!BS$1,Haver_M!$B$1:$BZ$1,0),FALSE),"")</f>
        <v>237.44563483086313</v>
      </c>
      <c r="BT203">
        <f>IF(ISNUMBER(VLOOKUP($A203,Haver_M!$B$1:$BZ$300,MATCH(data!BT$1,Haver_M!$B$1:$BZ$1,0),FALSE)),VLOOKUP($A203,Haver_M!$B$1:$BZ$300,MATCH(data!BT$1,Haver_M!$B$1:$BZ$1,0),FALSE),"")</f>
        <v>992.38190978865202</v>
      </c>
      <c r="BU203">
        <f>IF(ISNUMBER(VLOOKUP($A203,Haver_M!$B$1:$BZ$300,MATCH(data!BU$1,Haver_M!$B$1:$BZ$1,0),FALSE)),VLOOKUP($A203,Haver_M!$B$1:$BZ$300,MATCH(data!BU$1,Haver_M!$B$1:$BZ$1,0),FALSE),"")</f>
        <v>23360.61</v>
      </c>
      <c r="BV203">
        <f>IF(ISNUMBER(VLOOKUP($A203,Haver_M!$B$1:$BZ$300,MATCH(data!BV$1,Haver_M!$B$1:$BZ$1,0),FALSE)),VLOOKUP($A203,Haver_M!$B$1:$BZ$300,MATCH(data!BV$1,Haver_M!$B$1:$BZ$1,0),FALSE),"")</f>
        <v>34495.089999999997</v>
      </c>
      <c r="BW203">
        <f>IF(ISNUMBER(VLOOKUP($A203,Haver_M!$B$1:$BZ$300,MATCH(data!BW$1,Haver_M!$B$1:$BZ$1,0),FALSE)),VLOOKUP($A203,Haver_M!$B$1:$BZ$300,MATCH(data!BW$1,Haver_M!$B$1:$BZ$1,0),FALSE),"")</f>
        <v>66.747699999999995</v>
      </c>
      <c r="BX203">
        <f>IF(ISNUMBER(VLOOKUP($A203,Haver_M!$B$1:$BZ$300,MATCH(data!BX$1,Haver_M!$B$1:$BZ$1,0),FALSE)),VLOOKUP($A203,Haver_M!$B$1:$BZ$300,MATCH(data!BX$1,Haver_M!$B$1:$BZ$1,0),FALSE),"")</f>
        <v>50189</v>
      </c>
    </row>
    <row r="204" spans="1:76" x14ac:dyDescent="0.25">
      <c r="A204" s="2">
        <v>42704</v>
      </c>
      <c r="B204" t="str">
        <f>IF(ISNUMBER(VLOOKUP($A204,Haver_Q!$B$1:$L$185,MATCH(data!B$1,Haver_Q!$B$1:$L$1,0),FALSE)),100*(VLOOKUP($A204,Haver_Q!$B$1:$L$185,MATCH(data!B$1,Haver_Q!$B$1:$L$1,0),FALSE)),"")</f>
        <v/>
      </c>
      <c r="C204" t="str">
        <f>IF(ISNUMBER(VLOOKUP($A204,Haver_Q!$B$1:$L$185,MATCH(data!C$1,Haver_Q!$B$1:$L$1,0),FALSE)),100*(VLOOKUP($A204,Haver_Q!$B$1:$L$185,MATCH(data!C$1,Haver_Q!$B$1:$L$1,0),FALSE)),"")</f>
        <v/>
      </c>
      <c r="D204" t="str">
        <f>IF(ISNUMBER(VLOOKUP($A204,Haver_Q!$B$1:$L$185,MATCH(data!D$1,Haver_Q!$B$1:$L$1,0),FALSE)),100*(VLOOKUP($A204,Haver_Q!$B$1:$L$185,MATCH(data!D$1,Haver_Q!$B$1:$L$1,0),FALSE)),"")</f>
        <v/>
      </c>
      <c r="E204" t="str">
        <f>IF(ISNUMBER(VLOOKUP($A204,Haver_Q!$B$1:$L$185,MATCH(data!E$1,Haver_Q!$B$1:$L$1,0),FALSE)),100*(VLOOKUP($A204,Haver_Q!$B$1:$L$185,MATCH(data!E$1,Haver_Q!$B$1:$L$1,0),FALSE)),"")</f>
        <v/>
      </c>
      <c r="F204" t="str">
        <f>IF(ISNUMBER(VLOOKUP($A204,Haver_Q!$B$1:$L$185,MATCH(data!F$1,Haver_Q!$B$1:$L$1,0),FALSE)),100*(VLOOKUP($A204,Haver_Q!$B$1:$L$185,MATCH(data!F$1,Haver_Q!$B$1:$L$1,0),FALSE)),"")</f>
        <v/>
      </c>
      <c r="G204" t="str">
        <f>IF(ISNUMBER(VLOOKUP($A204,Haver_Q!$B$1:$L$185,MATCH(data!G$1,Haver_Q!$B$1:$L$1,0),FALSE)),100*(VLOOKUP($A204,Haver_Q!$B$1:$L$185,MATCH(data!G$1,Haver_Q!$B$1:$L$1,0),FALSE)),"")</f>
        <v/>
      </c>
      <c r="H204" t="str">
        <f>IF(ISNUMBER(VLOOKUP($A204,Haver_Q!$B$1:$L$185,MATCH(data!H$1,Haver_Q!$B$1:$L$1,0),FALSE)),(VLOOKUP($A204,Haver_Q!$B$1:$L$185,MATCH(data!H$1,Haver_Q!$B$1:$L$1,0),FALSE)),"")</f>
        <v/>
      </c>
      <c r="I204" t="str">
        <f>IF(ISNUMBER(VLOOKUP($A204,Haver_Q!$B$1:$L$185,MATCH(data!I$1,Haver_Q!$B$1:$L$1,0),FALSE)),100*(VLOOKUP($A204,Haver_Q!$B$1:$L$185,MATCH(data!I$1,Haver_Q!$B$1:$L$1,0),FALSE)),"")</f>
        <v/>
      </c>
      <c r="J204" s="3">
        <f>IF(ISNUMBER(Bloomberg_m!C220),Bloomberg_m!C220,"")</f>
        <v>1072</v>
      </c>
      <c r="K204" s="3">
        <f>IF(ISNUMBER(Bloomberg_m!D220),Bloomberg_m!D220,"")</f>
        <v>1475.17</v>
      </c>
      <c r="L204" s="3">
        <f>IF(ISNUMBER(Bloomberg_m!E220),Bloomberg_m!E220,"")</f>
        <v>820.42</v>
      </c>
      <c r="M204" s="3">
        <f>IF(ISNUMBER(Bloomberg_m!F220),Bloomberg_m!F220,"")</f>
        <v>392.18</v>
      </c>
      <c r="N204">
        <f>IF(ISNUMBER(VLOOKUP($A204,Haver_M!$B$1:$BZ$300,MATCH(data!N$1,Haver_M!$B$1:$BZ$1,0),FALSE)),VLOOKUP($A204,Haver_M!$B$1:$BZ$300,MATCH(data!N$1,Haver_M!$B$1:$BZ$1,0),FALSE),"")</f>
        <v>6.25</v>
      </c>
      <c r="O204">
        <f>IF(ISNUMBER(VLOOKUP($A204,Haver_M!$B$1:$BZ$300,MATCH(data!O$1,Haver_M!$B$1:$BZ$1,0),FALSE)),VLOOKUP($A204,Haver_M!$B$1:$BZ$300,MATCH(data!O$1,Haver_M!$B$1:$BZ$1,0),FALSE),"")</f>
        <v>6.3048999999999999</v>
      </c>
      <c r="P204">
        <f>IF(ISNUMBER(VLOOKUP($A204,Haver_M!$B$1:$BZ$300,MATCH(data!P$1,Haver_M!$B$1:$BZ$1,0),FALSE)),VLOOKUP($A204,Haver_M!$B$1:$BZ$300,MATCH(data!P$1,Haver_M!$B$1:$BZ$1,0),FALSE),"")</f>
        <v>93.335520000000002</v>
      </c>
      <c r="Q204">
        <f>IF(ISNUMBER(VLOOKUP($A204,Haver_M!$B$1:$BZ$300,MATCH(data!Q$1,Haver_M!$B$1:$BZ$1,0),FALSE)),VLOOKUP($A204,Haver_M!$B$1:$BZ$300,MATCH(data!Q$1,Haver_M!$B$1:$BZ$1,0),FALSE),"")</f>
        <v>131.19999999999999</v>
      </c>
      <c r="R204">
        <f>IF(ISNUMBER(VLOOKUP($A204,Haver_M!$B$1:$BZ$300,MATCH(data!R$1,Haver_M!$B$1:$BZ$1,0),FALSE)),VLOOKUP($A204,Haver_M!$B$1:$BZ$300,MATCH(data!R$1,Haver_M!$B$1:$BZ$1,0),FALSE),"")</f>
        <v>128.9</v>
      </c>
      <c r="S204">
        <f>IF(ISNUMBER(VLOOKUP($A204,Haver_M!$B$1:$BZ$300,MATCH(data!S$1,Haver_M!$B$1:$BZ$1,0),FALSE)),VLOOKUP($A204,Haver_M!$B$1:$BZ$300,MATCH(data!S$1,Haver_M!$B$1:$BZ$1,0),FALSE),"")</f>
        <v>119.02</v>
      </c>
      <c r="T204">
        <f>IF(ISNUMBER(VLOOKUP($A204,Haver_M!$B$1:$BZ$300,MATCH(data!T$1,Haver_M!$B$1:$BZ$1,0),FALSE)),VLOOKUP($A204,Haver_M!$B$1:$BZ$300,MATCH(data!T$1,Haver_M!$B$1:$BZ$1,0),FALSE),"")</f>
        <v>118.47</v>
      </c>
      <c r="U204">
        <f>IF(ISNUMBER(VLOOKUP($A204,Haver_M!$B$1:$BZ$300,MATCH(data!U$1,Haver_M!$B$1:$BZ$1,0),FALSE)),VLOOKUP($A204,Haver_M!$B$1:$BZ$300,MATCH(data!U$1,Haver_M!$B$1:$BZ$1,0),FALSE),"")</f>
        <v>101.84</v>
      </c>
      <c r="V204">
        <f>IF(ISNUMBER(VLOOKUP($A204,Haver_M!$B$1:$BZ$300,MATCH(data!V$1,Haver_M!$B$1:$BZ$1,0),FALSE)),VLOOKUP($A204,Haver_M!$B$1:$BZ$300,MATCH(data!V$1,Haver_M!$B$1:$BZ$1,0),FALSE),"")</f>
        <v>120.79</v>
      </c>
      <c r="W204">
        <f>IF(ISNUMBER(VLOOKUP($A204,Haver_M!$B$1:$BZ$300,MATCH(data!W$1,Haver_M!$B$1:$BZ$1,0),FALSE)),VLOOKUP($A204,Haver_M!$B$1:$BZ$300,MATCH(data!W$1,Haver_M!$B$1:$BZ$1,0),FALSE),"")</f>
        <v>120.29</v>
      </c>
      <c r="X204">
        <f>IF(ISNUMBER(VLOOKUP($A204,Haver_M!$B$1:$BZ$300,MATCH(data!X$1,Haver_M!$B$1:$BZ$1,0),FALSE)),VLOOKUP($A204,Haver_M!$B$1:$BZ$300,MATCH(data!X$1,Haver_M!$B$1:$BZ$1,0),FALSE),"")</f>
        <v>121.12</v>
      </c>
      <c r="Y204">
        <f>IF(ISNUMBER(VLOOKUP($A204,Haver_M!$B$1:$BZ$300,MATCH(data!Y$1,Haver_M!$B$1:$BZ$1,0),FALSE)),VLOOKUP($A204,Haver_M!$B$1:$BZ$300,MATCH(data!Y$1,Haver_M!$B$1:$BZ$1,0),FALSE),"")</f>
        <v>120.8</v>
      </c>
      <c r="Z204">
        <f>IF(ISNUMBER(VLOOKUP($A204,Haver_M!$B$1:$BZ$300,MATCH(data!Z$1,Haver_M!$B$1:$BZ$1,0),FALSE)),VLOOKUP($A204,Haver_M!$B$1:$BZ$300,MATCH(data!Z$1,Haver_M!$B$1:$BZ$1,0),FALSE),"")</f>
        <v>118.9</v>
      </c>
      <c r="AA204">
        <f>IF(ISNUMBER(VLOOKUP($A204,Haver_M!$B$1:$BZ$300,MATCH(data!AA$1,Haver_M!$B$1:$BZ$1,0),FALSE)),VLOOKUP($A204,Haver_M!$B$1:$BZ$300,MATCH(data!AA$1,Haver_M!$B$1:$BZ$1,0),FALSE),"")</f>
        <v>124.499</v>
      </c>
      <c r="AB204">
        <f>IF(ISNUMBER(VLOOKUP($A204,Haver_M!$B$1:$BZ$300,MATCH(data!AB$1,Haver_M!$B$1:$BZ$1,0),FALSE)),VLOOKUP($A204,Haver_M!$B$1:$BZ$300,MATCH(data!AB$1,Haver_M!$B$1:$BZ$1,0),FALSE),"")</f>
        <v>92.444999999999993</v>
      </c>
      <c r="AC204">
        <f>IF(ISNUMBER(VLOOKUP($A204,Haver_M!$B$1:$BZ$300,MATCH(data!AC$1,Haver_M!$B$1:$BZ$1,0),FALSE)),VLOOKUP($A204,Haver_M!$B$1:$BZ$300,MATCH(data!AC$1,Haver_M!$B$1:$BZ$1,0),FALSE),"")</f>
        <v>67.218000000000004</v>
      </c>
      <c r="AD204">
        <f>IF(ISNUMBER(VLOOKUP($A204,Haver_M!$B$1:$BZ$300,MATCH(data!AD$1,Haver_M!$B$1:$BZ$1,0),FALSE)),VLOOKUP($A204,Haver_M!$B$1:$BZ$300,MATCH(data!AD$1,Haver_M!$B$1:$BZ$1,0),FALSE),"")</f>
        <v>117.681</v>
      </c>
      <c r="AE204">
        <f>IF(ISNUMBER(VLOOKUP($A204,Haver_M!$B$1:$BZ$300,MATCH(data!AE$1,Haver_M!$B$1:$BZ$1,0),FALSE)),VLOOKUP($A204,Haver_M!$B$1:$BZ$300,MATCH(data!AE$1,Haver_M!$B$1:$BZ$1,0),FALSE),"")</f>
        <v>107.637</v>
      </c>
      <c r="AF204">
        <f>IF(ISNUMBER(VLOOKUP($A204,Haver_M!$B$1:$BZ$300,MATCH(data!AF$1,Haver_M!$B$1:$BZ$1,0),FALSE)),VLOOKUP($A204,Haver_M!$B$1:$BZ$300,MATCH(data!AF$1,Haver_M!$B$1:$BZ$1,0),FALSE),"")</f>
        <v>125.822</v>
      </c>
      <c r="AG204">
        <f>IF(ISNUMBER(VLOOKUP($A204,Haver_M!$B$1:$BZ$300,MATCH(data!AG$1,Haver_M!$B$1:$BZ$1,0),FALSE)),VLOOKUP($A204,Haver_M!$B$1:$BZ$300,MATCH(data!AG$1,Haver_M!$B$1:$BZ$1,0),FALSE),"")</f>
        <v>117.434</v>
      </c>
      <c r="AH204">
        <f>IF(ISNUMBER(VLOOKUP($A204,Haver_M!$B$1:$BZ$300,MATCH(data!AH$1,Haver_M!$B$1:$BZ$1,0),FALSE)),VLOOKUP($A204,Haver_M!$B$1:$BZ$300,MATCH(data!AH$1,Haver_M!$B$1:$BZ$1,0),FALSE),"")</f>
        <v>143.57</v>
      </c>
      <c r="AI204">
        <f>IF(ISNUMBER(VLOOKUP($A204,Haver_M!$B$1:$BZ$300,MATCH(data!AI$1,Haver_M!$B$1:$BZ$1,0),FALSE)),VLOOKUP($A204,Haver_M!$B$1:$BZ$300,MATCH(data!AI$1,Haver_M!$B$1:$BZ$1,0),FALSE),"")</f>
        <v>16247.641981432436</v>
      </c>
      <c r="AJ204">
        <f>IF(ISNUMBER(VLOOKUP($A204,Haver_M!$B$1:$BZ$300,MATCH(data!AJ$1,Haver_M!$B$1:$BZ$1,0),FALSE)),VLOOKUP($A204,Haver_M!$B$1:$BZ$300,MATCH(data!AJ$1,Haver_M!$B$1:$BZ$1,0),FALSE),"")</f>
        <v>21428.67</v>
      </c>
      <c r="AK204">
        <f>IF(ISNUMBER(VLOOKUP($A204,Haver_M!$B$1:$BZ$300,MATCH(data!AK$1,Haver_M!$B$1:$BZ$1,0),FALSE)),VLOOKUP($A204,Haver_M!$B$1:$BZ$300,MATCH(data!AK$1,Haver_M!$B$1:$BZ$1,0),FALSE),"")</f>
        <v>33360.339999999997</v>
      </c>
      <c r="AL204">
        <f>IF(ISNUMBER(VLOOKUP($A204,Haver_M!$B$1:$BZ$300,MATCH(data!AL$1,Haver_M!$B$1:$BZ$1,0),FALSE)),VLOOKUP($A204,Haver_M!$B$1:$BZ$300,MATCH(data!AL$1,Haver_M!$B$1:$BZ$1,0),FALSE),"")</f>
        <v>13338</v>
      </c>
      <c r="AM204">
        <f>IF(ISNUMBER(VLOOKUP($A204,Haver_M!$B$1:$BZ$300,MATCH(data!AM$1,Haver_M!$B$1:$BZ$1,0),FALSE)),VLOOKUP($A204,Haver_M!$B$1:$BZ$300,MATCH(data!AM$1,Haver_M!$B$1:$BZ$1,0),FALSE),"")</f>
        <v>8323</v>
      </c>
      <c r="AN204">
        <f>IF(ISNUMBER(VLOOKUP($A204,Haver_M!$B$1:$BZ$300,MATCH(data!AN$1,Haver_M!$B$1:$BZ$1,0),FALSE)),VLOOKUP($A204,Haver_M!$B$1:$BZ$300,MATCH(data!AN$1,Haver_M!$B$1:$BZ$1,0),FALSE),"")</f>
        <v>108.7</v>
      </c>
      <c r="AO204">
        <f>IF(ISNUMBER(VLOOKUP($A204,Haver_M!$B$1:$BZ$300,MATCH(data!AO$1,Haver_M!$B$1:$BZ$1,0),FALSE)),VLOOKUP($A204,Haver_M!$B$1:$BZ$300,MATCH(data!AO$1,Haver_M!$B$1:$BZ$1,0),FALSE),"")</f>
        <v>125.5</v>
      </c>
      <c r="AP204">
        <f>IF(ISNUMBER(VLOOKUP($A204,Haver_M!$B$1:$BZ$300,MATCH(data!AP$1,Haver_M!$B$1:$BZ$1,0),FALSE)),VLOOKUP($A204,Haver_M!$B$1:$BZ$300,MATCH(data!AP$1,Haver_M!$B$1:$BZ$1,0),FALSE),"")</f>
        <v>76.892969978354515</v>
      </c>
      <c r="AQ204">
        <f>IF(ISNUMBER(VLOOKUP($A204,Haver_M!$B$1:$BZ$300,MATCH(data!AQ$1,Haver_M!$B$1:$BZ$1,0),FALSE)),VLOOKUP($A204,Haver_M!$B$1:$BZ$300,MATCH(data!AQ$1,Haver_M!$B$1:$BZ$1,0),FALSE),"")</f>
        <v>49.059699999999999</v>
      </c>
      <c r="AR204">
        <f>IF(ISNUMBER(VLOOKUP($A204,Haver_M!$B$1:$BZ$300,MATCH(data!AR$1,Haver_M!$B$1:$BZ$1,0),FALSE)),VLOOKUP($A204,Haver_M!$B$1:$BZ$300,MATCH(data!AR$1,Haver_M!$B$1:$BZ$1,0),FALSE),"")</f>
        <v>52.255800000000001</v>
      </c>
      <c r="AS204">
        <f>IF(ISNUMBER(VLOOKUP($A204,Haver_M!$B$1:$BZ$300,MATCH(data!AS$1,Haver_M!$B$1:$BZ$1,0),FALSE)),VLOOKUP($A204,Haver_M!$B$1:$BZ$300,MATCH(data!AS$1,Haver_M!$B$1:$BZ$1,0),FALSE),"")</f>
        <v>46.694200000000002</v>
      </c>
      <c r="AT204">
        <f>IF(ISNUMBER(VLOOKUP($A204,Haver_M!$B$1:$BZ$300,MATCH(data!AT$1,Haver_M!$B$1:$BZ$1,0),FALSE)),VLOOKUP($A204,Haver_M!$B$1:$BZ$300,MATCH(data!AT$1,Haver_M!$B$1:$BZ$1,0),FALSE),"")</f>
        <v>53.766599999999997</v>
      </c>
      <c r="AU204">
        <f>IF(ISNUMBER(VLOOKUP($A204,Haver_M!$B$1:$BZ$300,MATCH(data!AU$1,Haver_M!$B$1:$BZ$1,0),FALSE)),VLOOKUP($A204,Haver_M!$B$1:$BZ$300,MATCH(data!AU$1,Haver_M!$B$1:$BZ$1,0),FALSE),"")</f>
        <v>53.280999999999999</v>
      </c>
      <c r="AV204">
        <f>IF(ISNUMBER(VLOOKUP($A204,Haver_M!$B$1:$BZ$300,MATCH(data!AV$1,Haver_M!$B$1:$BZ$1,0),FALSE)),VLOOKUP($A204,Haver_M!$B$1:$BZ$300,MATCH(data!AV$1,Haver_M!$B$1:$BZ$1,0),FALSE),"")</f>
        <v>50.19</v>
      </c>
      <c r="AW204">
        <f>IF(ISNUMBER(VLOOKUP($A204,Haver_M!$B$1:$BZ$300,MATCH(data!AW$1,Haver_M!$B$1:$BZ$1,0),FALSE)),VLOOKUP($A204,Haver_M!$B$1:$BZ$300,MATCH(data!AW$1,Haver_M!$B$1:$BZ$1,0),FALSE),"")</f>
        <v>49.801699999999997</v>
      </c>
      <c r="AX204">
        <f>IF(ISNUMBER(VLOOKUP($A204,Haver_M!$B$1:$BZ$300,MATCH(data!AX$1,Haver_M!$B$1:$BZ$1,0),FALSE)),VLOOKUP($A204,Haver_M!$B$1:$BZ$300,MATCH(data!AX$1,Haver_M!$B$1:$BZ$1,0),FALSE),"")</f>
        <v>52.620899999999999</v>
      </c>
      <c r="AY204">
        <f>IF(ISNUMBER(VLOOKUP($A204,Haver_M!$B$1:$BZ$300,MATCH(data!AY$1,Haver_M!$B$1:$BZ$1,0),FALSE)),VLOOKUP($A204,Haver_M!$B$1:$BZ$300,MATCH(data!AY$1,Haver_M!$B$1:$BZ$1,0),FALSE),"")</f>
        <v>53.540199999999999</v>
      </c>
      <c r="AZ204">
        <f>IF(ISNUMBER(VLOOKUP($A204,Haver_M!$B$1:$BZ$300,MATCH(data!AZ$1,Haver_M!$B$1:$BZ$1,0),FALSE)),VLOOKUP($A204,Haver_M!$B$1:$BZ$300,MATCH(data!AZ$1,Haver_M!$B$1:$BZ$1,0),FALSE),"")</f>
        <v>53.107599999999998</v>
      </c>
      <c r="BA204">
        <f>IF(ISNUMBER(VLOOKUP($A204,Haver_M!$B$1:$BZ$300,MATCH(data!BA$1,Haver_M!$B$1:$BZ$1,0),FALSE)),VLOOKUP($A204,Haver_M!$B$1:$BZ$300,MATCH(data!BA$1,Haver_M!$B$1:$BZ$1,0),FALSE),"")</f>
        <v>52.620899999999999</v>
      </c>
      <c r="BB204">
        <f>IF(ISNUMBER(VLOOKUP($A204,Haver_M!$B$1:$BZ$300,MATCH(data!BB$1,Haver_M!$B$1:$BZ$1,0),FALSE)),VLOOKUP($A204,Haver_M!$B$1:$BZ$300,MATCH(data!BB$1,Haver_M!$B$1:$BZ$1,0),FALSE),"")</f>
        <v>51.0809</v>
      </c>
      <c r="BC204">
        <f>IF(ISNUMBER(VLOOKUP($A204,Haver_M!$B$1:$BZ$300,MATCH(data!BC$1,Haver_M!$B$1:$BZ$1,0),FALSE)),VLOOKUP($A204,Haver_M!$B$1:$BZ$300,MATCH(data!BC$1,Haver_M!$B$1:$BZ$1,0),FALSE),"")</f>
        <v>51.1736</v>
      </c>
      <c r="BD204">
        <f>IF(ISNUMBER(VLOOKUP($A204,Haver_M!$B$1:$BZ$300,MATCH(data!BD$1,Haver_M!$B$1:$BZ$1,0),FALSE)),VLOOKUP($A204,Haver_M!$B$1:$BZ$300,MATCH(data!BD$1,Haver_M!$B$1:$BZ$1,0),FALSE),"")</f>
        <v>52.1556</v>
      </c>
      <c r="BE204">
        <f>IF(ISNUMBER(VLOOKUP($A204,Haver_M!$B$1:$BZ$300,MATCH(data!BE$1,Haver_M!$B$1:$BZ$1,0),FALSE)),VLOOKUP($A204,Haver_M!$B$1:$BZ$300,MATCH(data!BE$1,Haver_M!$B$1:$BZ$1,0),FALSE),"")</f>
        <v>1.1237999999999999</v>
      </c>
      <c r="BF204">
        <f>IF(ISNUMBER(VLOOKUP($A204,Haver_M!$B$1:$BZ$300,MATCH(data!BF$1,Haver_M!$B$1:$BZ$1,0),FALSE)),VLOOKUP($A204,Haver_M!$B$1:$BZ$300,MATCH(data!BF$1,Haver_M!$B$1:$BZ$1,0),FALSE),"")</f>
        <v>50.394799999999996</v>
      </c>
      <c r="BG204">
        <f>IF(ISNUMBER(VLOOKUP($A204,Haver_M!$B$1:$BZ$300,MATCH(data!BG$1,Haver_M!$B$1:$BZ$1,0),FALSE)),VLOOKUP($A204,Haver_M!$B$1:$BZ$300,MATCH(data!BG$1,Haver_M!$B$1:$BZ$1,0),FALSE),"")</f>
        <v>49.536799999999999</v>
      </c>
      <c r="BH204">
        <f>IF(ISNUMBER(VLOOKUP($A204,Haver_M!$B$1:$BZ$300,MATCH(data!BH$1,Haver_M!$B$1:$BZ$1,0),FALSE)),VLOOKUP($A204,Haver_M!$B$1:$BZ$300,MATCH(data!BH$1,Haver_M!$B$1:$BZ$1,0),FALSE),"")</f>
        <v>46.749099999999999</v>
      </c>
      <c r="BI204">
        <f>IF(ISNUMBER(VLOOKUP($A204,Haver_M!$B$1:$BZ$300,MATCH(data!BI$1,Haver_M!$B$1:$BZ$1,0),FALSE)),VLOOKUP($A204,Haver_M!$B$1:$BZ$300,MATCH(data!BI$1,Haver_M!$B$1:$BZ$1,0),FALSE),"")</f>
        <v>50.128999999999998</v>
      </c>
      <c r="BJ204">
        <f>IF(ISNUMBER(VLOOKUP($A204,Haver_M!$B$1:$BZ$300,MATCH(data!BJ$1,Haver_M!$B$1:$BZ$1,0),FALSE)),VLOOKUP($A204,Haver_M!$B$1:$BZ$300,MATCH(data!BJ$1,Haver_M!$B$1:$BZ$1,0),FALSE),"")</f>
        <v>50.783900000000003</v>
      </c>
      <c r="BK204">
        <f>IF(ISNUMBER(VLOOKUP($A204,Haver_M!$B$1:$BZ$300,MATCH(data!BK$1,Haver_M!$B$1:$BZ$1,0),FALSE)),VLOOKUP($A204,Haver_M!$B$1:$BZ$300,MATCH(data!BK$1,Haver_M!$B$1:$BZ$1,0),FALSE),"")</f>
        <v>52.348100000000002</v>
      </c>
      <c r="BL204">
        <f>IF(ISNUMBER(VLOOKUP($A204,Haver_M!$B$1:$BZ$300,MATCH(data!BL$1,Haver_M!$B$1:$BZ$1,0),FALSE)),VLOOKUP($A204,Haver_M!$B$1:$BZ$300,MATCH(data!BL$1,Haver_M!$B$1:$BZ$1,0),FALSE),"")</f>
        <v>26718.09</v>
      </c>
      <c r="BM204">
        <f>IF(ISNUMBER(VLOOKUP($A204,Haver_M!$B$1:$BZ$300,MATCH(data!BM$1,Haver_M!$B$1:$BZ$1,0),FALSE)),VLOOKUP($A204,Haver_M!$B$1:$BZ$300,MATCH(data!BM$1,Haver_M!$B$1:$BZ$1,0),FALSE),"")</f>
        <v>93.940853930000003</v>
      </c>
      <c r="BN204" t="str">
        <f>IF(ISNUMBER(VLOOKUP($A204,Haver_M!$B$1:$BZ$300,MATCH(data!BN$1,Haver_M!$B$1:$BZ$1,0),FALSE)),VLOOKUP($A204,Haver_M!$B$1:$BZ$300,MATCH(data!BN$1,Haver_M!$B$1:$BZ$1,0),FALSE),"")</f>
        <v/>
      </c>
      <c r="BO204" t="str">
        <f>IF(ISNUMBER(VLOOKUP($A204,Haver_M!$B$1:$BZ$300,MATCH(data!BO$1,Haver_M!$B$1:$BZ$1,0),FALSE)),VLOOKUP($A204,Haver_M!$B$1:$BZ$300,MATCH(data!BO$1,Haver_M!$B$1:$BZ$1,0),FALSE),"")</f>
        <v/>
      </c>
      <c r="BP204" t="str">
        <f>IF(ISNUMBER(VLOOKUP($A204,Haver_M!$B$1:$BZ$300,MATCH(data!BP$1,Haver_M!$B$1:$BZ$1,0),FALSE)),VLOOKUP($A204,Haver_M!$B$1:$BZ$300,MATCH(data!BP$1,Haver_M!$B$1:$BZ$1,0),FALSE),"")</f>
        <v/>
      </c>
      <c r="BQ204">
        <f>IF(ISNUMBER(VLOOKUP($A204,Haver_M!$B$1:$BZ$300,MATCH(data!BQ$1,Haver_M!$B$1:$BZ$1,0),FALSE)),VLOOKUP($A204,Haver_M!$B$1:$BZ$300,MATCH(data!BQ$1,Haver_M!$B$1:$BZ$1,0),FALSE),"")</f>
        <v>222.27097094743567</v>
      </c>
      <c r="BR204">
        <f>IF(ISNUMBER(VLOOKUP($A204,Haver_M!$B$1:$BZ$300,MATCH(data!BR$1,Haver_M!$B$1:$BZ$1,0),FALSE)),VLOOKUP($A204,Haver_M!$B$1:$BZ$300,MATCH(data!BR$1,Haver_M!$B$1:$BZ$1,0),FALSE),"")</f>
        <v>381.40263243116152</v>
      </c>
      <c r="BS204">
        <f>IF(ISNUMBER(VLOOKUP($A204,Haver_M!$B$1:$BZ$300,MATCH(data!BS$1,Haver_M!$B$1:$BZ$1,0),FALSE)),VLOOKUP($A204,Haver_M!$B$1:$BZ$300,MATCH(data!BS$1,Haver_M!$B$1:$BZ$1,0),FALSE),"")</f>
        <v>228.11164986092567</v>
      </c>
      <c r="BT204">
        <f>IF(ISNUMBER(VLOOKUP($A204,Haver_M!$B$1:$BZ$300,MATCH(data!BT$1,Haver_M!$B$1:$BZ$1,0),FALSE)),VLOOKUP($A204,Haver_M!$B$1:$BZ$300,MATCH(data!BT$1,Haver_M!$B$1:$BZ$1,0),FALSE),"")</f>
        <v>966.53121520368745</v>
      </c>
      <c r="BU204">
        <f>IF(ISNUMBER(VLOOKUP($A204,Haver_M!$B$1:$BZ$300,MATCH(data!BU$1,Haver_M!$B$1:$BZ$1,0),FALSE)),VLOOKUP($A204,Haver_M!$B$1:$BZ$300,MATCH(data!BU$1,Haver_M!$B$1:$BZ$1,0),FALSE),"")</f>
        <v>20066.259999999998</v>
      </c>
      <c r="BV204">
        <f>IF(ISNUMBER(VLOOKUP($A204,Haver_M!$B$1:$BZ$300,MATCH(data!BV$1,Haver_M!$B$1:$BZ$1,0),FALSE)),VLOOKUP($A204,Haver_M!$B$1:$BZ$300,MATCH(data!BV$1,Haver_M!$B$1:$BZ$1,0),FALSE),"")</f>
        <v>33461.870000000003</v>
      </c>
      <c r="BW204">
        <f>IF(ISNUMBER(VLOOKUP($A204,Haver_M!$B$1:$BZ$300,MATCH(data!BW$1,Haver_M!$B$1:$BZ$1,0),FALSE)),VLOOKUP($A204,Haver_M!$B$1:$BZ$300,MATCH(data!BW$1,Haver_M!$B$1:$BZ$1,0),FALSE),"")</f>
        <v>67.625699999999995</v>
      </c>
      <c r="BX204">
        <f>IF(ISNUMBER(VLOOKUP($A204,Haver_M!$B$1:$BZ$300,MATCH(data!BX$1,Haver_M!$B$1:$BZ$1,0),FALSE)),VLOOKUP($A204,Haver_M!$B$1:$BZ$300,MATCH(data!BX$1,Haver_M!$B$1:$BZ$1,0),FALSE),"")</f>
        <v>51442</v>
      </c>
    </row>
    <row r="205" spans="1:76" x14ac:dyDescent="0.25">
      <c r="A205" s="2">
        <v>42735</v>
      </c>
      <c r="B205">
        <f>IF(ISNUMBER(VLOOKUP($A205,Haver_Q!$B$1:$L$185,MATCH(data!B$1,Haver_Q!$B$1:$L$1,0),FALSE)),100*(VLOOKUP($A205,Haver_Q!$B$1:$L$185,MATCH(data!B$1,Haver_Q!$B$1:$L$1,0),FALSE)),"")</f>
        <v>3.8922999001935077</v>
      </c>
      <c r="C205">
        <f>IF(ISNUMBER(VLOOKUP($A205,Haver_Q!$B$1:$L$185,MATCH(data!C$1,Haver_Q!$B$1:$L$1,0),FALSE)),100*(VLOOKUP($A205,Haver_Q!$B$1:$L$185,MATCH(data!C$1,Haver_Q!$B$1:$L$1,0),FALSE)),"")</f>
        <v>12.708847035253923</v>
      </c>
      <c r="D205">
        <f>IF(ISNUMBER(VLOOKUP($A205,Haver_Q!$B$1:$L$185,MATCH(data!D$1,Haver_Q!$B$1:$L$1,0),FALSE)),100*(VLOOKUP($A205,Haver_Q!$B$1:$L$185,MATCH(data!D$1,Haver_Q!$B$1:$L$1,0),FALSE)),"")</f>
        <v>11.984439297958073</v>
      </c>
      <c r="E205">
        <f>IF(ISNUMBER(VLOOKUP($A205,Haver_Q!$B$1:$L$185,MATCH(data!E$1,Haver_Q!$B$1:$L$1,0),FALSE)),100*(VLOOKUP($A205,Haver_Q!$B$1:$L$185,MATCH(data!E$1,Haver_Q!$B$1:$L$1,0),FALSE)),"")</f>
        <v>3.5986042405072638</v>
      </c>
      <c r="F205">
        <f>IF(ISNUMBER(VLOOKUP($A205,Haver_Q!$B$1:$L$185,MATCH(data!F$1,Haver_Q!$B$1:$L$1,0),FALSE)),100*(VLOOKUP($A205,Haver_Q!$B$1:$L$185,MATCH(data!F$1,Haver_Q!$B$1:$L$1,0),FALSE)),"")</f>
        <v>8.8285555530307924</v>
      </c>
      <c r="G205">
        <f>IF(ISNUMBER(VLOOKUP($A205,Haver_Q!$B$1:$L$185,MATCH(data!G$1,Haver_Q!$B$1:$L$1,0),FALSE)),100*(VLOOKUP($A205,Haver_Q!$B$1:$L$185,MATCH(data!G$1,Haver_Q!$B$1:$L$1,0),FALSE)),"")</f>
        <v>23.252931631822026</v>
      </c>
      <c r="H205">
        <f>IF(ISNUMBER(VLOOKUP($A205,Haver_Q!$B$1:$L$185,MATCH(data!H$1,Haver_Q!$B$1:$L$1,0),FALSE)),(VLOOKUP($A205,Haver_Q!$B$1:$L$185,MATCH(data!H$1,Haver_Q!$B$1:$L$1,0),FALSE)),"")</f>
        <v>4.1250145521093851</v>
      </c>
      <c r="I205">
        <f>IF(ISNUMBER(VLOOKUP($A205,Haver_Q!$B$1:$L$185,MATCH(data!I$1,Haver_Q!$B$1:$L$1,0),FALSE)),100*(VLOOKUP($A205,Haver_Q!$B$1:$L$185,MATCH(data!I$1,Haver_Q!$B$1:$L$1,0),FALSE)),"")</f>
        <v>7.5461493794746648</v>
      </c>
      <c r="J205" s="3">
        <f>IF(ISNUMBER(Bloomberg_m!C221),Bloomberg_m!C221,"")</f>
        <v>1050</v>
      </c>
      <c r="K205" s="3">
        <f>IF(ISNUMBER(Bloomberg_m!D221),Bloomberg_m!D221,"")</f>
        <v>1471.45</v>
      </c>
      <c r="L205" s="3">
        <f>IF(ISNUMBER(Bloomberg_m!E221),Bloomberg_m!E221,"")</f>
        <v>838.53</v>
      </c>
      <c r="M205" s="3">
        <f>IF(ISNUMBER(Bloomberg_m!F221),Bloomberg_m!F221,"")</f>
        <v>415.86</v>
      </c>
      <c r="N205">
        <f>IF(ISNUMBER(VLOOKUP($A205,Haver_M!$B$1:$BZ$300,MATCH(data!N$1,Haver_M!$B$1:$BZ$1,0),FALSE)),VLOOKUP($A205,Haver_M!$B$1:$BZ$300,MATCH(data!N$1,Haver_M!$B$1:$BZ$1,0),FALSE),"")</f>
        <v>6.25</v>
      </c>
      <c r="O205">
        <f>IF(ISNUMBER(VLOOKUP($A205,Haver_M!$B$1:$BZ$300,MATCH(data!O$1,Haver_M!$B$1:$BZ$1,0),FALSE)),VLOOKUP($A205,Haver_M!$B$1:$BZ$300,MATCH(data!O$1,Haver_M!$B$1:$BZ$1,0),FALSE),"")</f>
        <v>7.1725000000000003</v>
      </c>
      <c r="P205">
        <f>IF(ISNUMBER(VLOOKUP($A205,Haver_M!$B$1:$BZ$300,MATCH(data!P$1,Haver_M!$B$1:$BZ$1,0),FALSE)),VLOOKUP($A205,Haver_M!$B$1:$BZ$300,MATCH(data!P$1,Haver_M!$B$1:$BZ$1,0),FALSE),"")</f>
        <v>93.064520000000002</v>
      </c>
      <c r="Q205">
        <f>IF(ISNUMBER(VLOOKUP($A205,Haver_M!$B$1:$BZ$300,MATCH(data!Q$1,Haver_M!$B$1:$BZ$1,0),FALSE)),VLOOKUP($A205,Haver_M!$B$1:$BZ$300,MATCH(data!Q$1,Haver_M!$B$1:$BZ$1,0),FALSE),"")</f>
        <v>130.4</v>
      </c>
      <c r="R205">
        <f>IF(ISNUMBER(VLOOKUP($A205,Haver_M!$B$1:$BZ$300,MATCH(data!R$1,Haver_M!$B$1:$BZ$1,0),FALSE)),VLOOKUP($A205,Haver_M!$B$1:$BZ$300,MATCH(data!R$1,Haver_M!$B$1:$BZ$1,0),FALSE),"")</f>
        <v>128.9</v>
      </c>
      <c r="S205">
        <f>IF(ISNUMBER(VLOOKUP($A205,Haver_M!$B$1:$BZ$300,MATCH(data!S$1,Haver_M!$B$1:$BZ$1,0),FALSE)),VLOOKUP($A205,Haver_M!$B$1:$BZ$300,MATCH(data!S$1,Haver_M!$B$1:$BZ$1,0),FALSE),"")</f>
        <v>118.91</v>
      </c>
      <c r="T205">
        <f>IF(ISNUMBER(VLOOKUP($A205,Haver_M!$B$1:$BZ$300,MATCH(data!T$1,Haver_M!$B$1:$BZ$1,0),FALSE)),VLOOKUP($A205,Haver_M!$B$1:$BZ$300,MATCH(data!T$1,Haver_M!$B$1:$BZ$1,0),FALSE),"")</f>
        <v>119.31</v>
      </c>
      <c r="U205">
        <f>IF(ISNUMBER(VLOOKUP($A205,Haver_M!$B$1:$BZ$300,MATCH(data!U$1,Haver_M!$B$1:$BZ$1,0),FALSE)),VLOOKUP($A205,Haver_M!$B$1:$BZ$300,MATCH(data!U$1,Haver_M!$B$1:$BZ$1,0),FALSE),"")</f>
        <v>95.91</v>
      </c>
      <c r="V205">
        <f>IF(ISNUMBER(VLOOKUP($A205,Haver_M!$B$1:$BZ$300,MATCH(data!V$1,Haver_M!$B$1:$BZ$1,0),FALSE)),VLOOKUP($A205,Haver_M!$B$1:$BZ$300,MATCH(data!V$1,Haver_M!$B$1:$BZ$1,0),FALSE),"")</f>
        <v>120.01</v>
      </c>
      <c r="W205">
        <f>IF(ISNUMBER(VLOOKUP($A205,Haver_M!$B$1:$BZ$300,MATCH(data!W$1,Haver_M!$B$1:$BZ$1,0),FALSE)),VLOOKUP($A205,Haver_M!$B$1:$BZ$300,MATCH(data!W$1,Haver_M!$B$1:$BZ$1,0),FALSE),"")</f>
        <v>125.73</v>
      </c>
      <c r="X205">
        <f>IF(ISNUMBER(VLOOKUP($A205,Haver_M!$B$1:$BZ$300,MATCH(data!X$1,Haver_M!$B$1:$BZ$1,0),FALSE)),VLOOKUP($A205,Haver_M!$B$1:$BZ$300,MATCH(data!X$1,Haver_M!$B$1:$BZ$1,0),FALSE),"")</f>
        <v>120.49</v>
      </c>
      <c r="Y205">
        <f>IF(ISNUMBER(VLOOKUP($A205,Haver_M!$B$1:$BZ$300,MATCH(data!Y$1,Haver_M!$B$1:$BZ$1,0),FALSE)),VLOOKUP($A205,Haver_M!$B$1:$BZ$300,MATCH(data!Y$1,Haver_M!$B$1:$BZ$1,0),FALSE),"")</f>
        <v>121.46</v>
      </c>
      <c r="Z205">
        <f>IF(ISNUMBER(VLOOKUP($A205,Haver_M!$B$1:$BZ$300,MATCH(data!Z$1,Haver_M!$B$1:$BZ$1,0),FALSE)),VLOOKUP($A205,Haver_M!$B$1:$BZ$300,MATCH(data!Z$1,Haver_M!$B$1:$BZ$1,0),FALSE),"")</f>
        <v>121.4</v>
      </c>
      <c r="AA205">
        <f>IF(ISNUMBER(VLOOKUP($A205,Haver_M!$B$1:$BZ$300,MATCH(data!AA$1,Haver_M!$B$1:$BZ$1,0),FALSE)),VLOOKUP($A205,Haver_M!$B$1:$BZ$300,MATCH(data!AA$1,Haver_M!$B$1:$BZ$1,0),FALSE),"")</f>
        <v>125.685</v>
      </c>
      <c r="AB205">
        <f>IF(ISNUMBER(VLOOKUP($A205,Haver_M!$B$1:$BZ$300,MATCH(data!AB$1,Haver_M!$B$1:$BZ$1,0),FALSE)),VLOOKUP($A205,Haver_M!$B$1:$BZ$300,MATCH(data!AB$1,Haver_M!$B$1:$BZ$1,0),FALSE),"")</f>
        <v>94.8</v>
      </c>
      <c r="AC205">
        <f>IF(ISNUMBER(VLOOKUP($A205,Haver_M!$B$1:$BZ$300,MATCH(data!AC$1,Haver_M!$B$1:$BZ$1,0),FALSE)),VLOOKUP($A205,Haver_M!$B$1:$BZ$300,MATCH(data!AC$1,Haver_M!$B$1:$BZ$1,0),FALSE),"")</f>
        <v>66.543000000000006</v>
      </c>
      <c r="AD205">
        <f>IF(ISNUMBER(VLOOKUP($A205,Haver_M!$B$1:$BZ$300,MATCH(data!AD$1,Haver_M!$B$1:$BZ$1,0),FALSE)),VLOOKUP($A205,Haver_M!$B$1:$BZ$300,MATCH(data!AD$1,Haver_M!$B$1:$BZ$1,0),FALSE),"")</f>
        <v>120.521</v>
      </c>
      <c r="AE205">
        <f>IF(ISNUMBER(VLOOKUP($A205,Haver_M!$B$1:$BZ$300,MATCH(data!AE$1,Haver_M!$B$1:$BZ$1,0),FALSE)),VLOOKUP($A205,Haver_M!$B$1:$BZ$300,MATCH(data!AE$1,Haver_M!$B$1:$BZ$1,0),FALSE),"")</f>
        <v>103.56699999999999</v>
      </c>
      <c r="AF205">
        <f>IF(ISNUMBER(VLOOKUP($A205,Haver_M!$B$1:$BZ$300,MATCH(data!AF$1,Haver_M!$B$1:$BZ$1,0),FALSE)),VLOOKUP($A205,Haver_M!$B$1:$BZ$300,MATCH(data!AF$1,Haver_M!$B$1:$BZ$1,0),FALSE),"")</f>
        <v>136.28299999999999</v>
      </c>
      <c r="AG205">
        <f>IF(ISNUMBER(VLOOKUP($A205,Haver_M!$B$1:$BZ$300,MATCH(data!AG$1,Haver_M!$B$1:$BZ$1,0),FALSE)),VLOOKUP($A205,Haver_M!$B$1:$BZ$300,MATCH(data!AG$1,Haver_M!$B$1:$BZ$1,0),FALSE),"")</f>
        <v>114.629</v>
      </c>
      <c r="AH205">
        <f>IF(ISNUMBER(VLOOKUP($A205,Haver_M!$B$1:$BZ$300,MATCH(data!AH$1,Haver_M!$B$1:$BZ$1,0),FALSE)),VLOOKUP($A205,Haver_M!$B$1:$BZ$300,MATCH(data!AH$1,Haver_M!$B$1:$BZ$1,0),FALSE),"")</f>
        <v>143.42500000000001</v>
      </c>
      <c r="AI205">
        <f>IF(ISNUMBER(VLOOKUP($A205,Haver_M!$B$1:$BZ$300,MATCH(data!AI$1,Haver_M!$B$1:$BZ$1,0),FALSE)),VLOOKUP($A205,Haver_M!$B$1:$BZ$300,MATCH(data!AI$1,Haver_M!$B$1:$BZ$1,0),FALSE),"")</f>
        <v>15822.682291345905</v>
      </c>
      <c r="AJ205">
        <f>IF(ISNUMBER(VLOOKUP($A205,Haver_M!$B$1:$BZ$300,MATCH(data!AJ$1,Haver_M!$B$1:$BZ$1,0),FALSE)),VLOOKUP($A205,Haver_M!$B$1:$BZ$300,MATCH(data!AJ$1,Haver_M!$B$1:$BZ$1,0),FALSE),"")</f>
        <v>23151.27</v>
      </c>
      <c r="AK205">
        <f>IF(ISNUMBER(VLOOKUP($A205,Haver_M!$B$1:$BZ$300,MATCH(data!AK$1,Haver_M!$B$1:$BZ$1,0),FALSE)),VLOOKUP($A205,Haver_M!$B$1:$BZ$300,MATCH(data!AK$1,Haver_M!$B$1:$BZ$1,0),FALSE),"")</f>
        <v>34189.65</v>
      </c>
      <c r="AL205">
        <f>IF(ISNUMBER(VLOOKUP($A205,Haver_M!$B$1:$BZ$300,MATCH(data!AL$1,Haver_M!$B$1:$BZ$1,0),FALSE)),VLOOKUP($A205,Haver_M!$B$1:$BZ$300,MATCH(data!AL$1,Haver_M!$B$1:$BZ$1,0),FALSE),"")</f>
        <v>13804</v>
      </c>
      <c r="AM205">
        <f>IF(ISNUMBER(VLOOKUP($A205,Haver_M!$B$1:$BZ$300,MATCH(data!AM$1,Haver_M!$B$1:$BZ$1,0),FALSE)),VLOOKUP($A205,Haver_M!$B$1:$BZ$300,MATCH(data!AM$1,Haver_M!$B$1:$BZ$1,0),FALSE),"")</f>
        <v>8294</v>
      </c>
      <c r="AN205">
        <f>IF(ISNUMBER(VLOOKUP($A205,Haver_M!$B$1:$BZ$300,MATCH(data!AN$1,Haver_M!$B$1:$BZ$1,0),FALSE)),VLOOKUP($A205,Haver_M!$B$1:$BZ$300,MATCH(data!AN$1,Haver_M!$B$1:$BZ$1,0),FALSE),"")</f>
        <v>102</v>
      </c>
      <c r="AO205">
        <f>IF(ISNUMBER(VLOOKUP($A205,Haver_M!$B$1:$BZ$300,MATCH(data!AO$1,Haver_M!$B$1:$BZ$1,0),FALSE)),VLOOKUP($A205,Haver_M!$B$1:$BZ$300,MATCH(data!AO$1,Haver_M!$B$1:$BZ$1,0),FALSE),"")</f>
        <v>129.69999999999999</v>
      </c>
      <c r="AP205">
        <f>IF(ISNUMBER(VLOOKUP($A205,Haver_M!$B$1:$BZ$300,MATCH(data!AP$1,Haver_M!$B$1:$BZ$1,0),FALSE)),VLOOKUP($A205,Haver_M!$B$1:$BZ$300,MATCH(data!AP$1,Haver_M!$B$1:$BZ$1,0),FALSE),"")</f>
        <v>91.00034109343153</v>
      </c>
      <c r="AQ205">
        <f>IF(ISNUMBER(VLOOKUP($A205,Haver_M!$B$1:$BZ$300,MATCH(data!AQ$1,Haver_M!$B$1:$BZ$1,0),FALSE)),VLOOKUP($A205,Haver_M!$B$1:$BZ$300,MATCH(data!AQ$1,Haver_M!$B$1:$BZ$1,0),FALSE),"")</f>
        <v>47.565199999999997</v>
      </c>
      <c r="AR205">
        <f>IF(ISNUMBER(VLOOKUP($A205,Haver_M!$B$1:$BZ$300,MATCH(data!AR$1,Haver_M!$B$1:$BZ$1,0),FALSE)),VLOOKUP($A205,Haver_M!$B$1:$BZ$300,MATCH(data!AR$1,Haver_M!$B$1:$BZ$1,0),FALSE),"")</f>
        <v>49.610599999999998</v>
      </c>
      <c r="AS205">
        <f>IF(ISNUMBER(VLOOKUP($A205,Haver_M!$B$1:$BZ$300,MATCH(data!AS$1,Haver_M!$B$1:$BZ$1,0),FALSE)),VLOOKUP($A205,Haver_M!$B$1:$BZ$300,MATCH(data!AS$1,Haver_M!$B$1:$BZ$1,0),FALSE),"")</f>
        <v>46.8277</v>
      </c>
      <c r="AT205">
        <f>IF(ISNUMBER(VLOOKUP($A205,Haver_M!$B$1:$BZ$300,MATCH(data!AT$1,Haver_M!$B$1:$BZ$1,0),FALSE)),VLOOKUP($A205,Haver_M!$B$1:$BZ$300,MATCH(data!AT$1,Haver_M!$B$1:$BZ$1,0),FALSE),"")</f>
        <v>49.032800000000002</v>
      </c>
      <c r="AU205">
        <f>IF(ISNUMBER(VLOOKUP($A205,Haver_M!$B$1:$BZ$300,MATCH(data!AU$1,Haver_M!$B$1:$BZ$1,0),FALSE)),VLOOKUP($A205,Haver_M!$B$1:$BZ$300,MATCH(data!AU$1,Haver_M!$B$1:$BZ$1,0),FALSE),"")</f>
        <v>49.697000000000003</v>
      </c>
      <c r="AV205">
        <f>IF(ISNUMBER(VLOOKUP($A205,Haver_M!$B$1:$BZ$300,MATCH(data!AV$1,Haver_M!$B$1:$BZ$1,0),FALSE)),VLOOKUP($A205,Haver_M!$B$1:$BZ$300,MATCH(data!AV$1,Haver_M!$B$1:$BZ$1,0),FALSE),"")</f>
        <v>49.771700000000003</v>
      </c>
      <c r="AW205">
        <f>IF(ISNUMBER(VLOOKUP($A205,Haver_M!$B$1:$BZ$300,MATCH(data!AW$1,Haver_M!$B$1:$BZ$1,0),FALSE)),VLOOKUP($A205,Haver_M!$B$1:$BZ$300,MATCH(data!AW$1,Haver_M!$B$1:$BZ$1,0),FALSE),"")</f>
        <v>49.835000000000001</v>
      </c>
      <c r="AX205">
        <f>IF(ISNUMBER(VLOOKUP($A205,Haver_M!$B$1:$BZ$300,MATCH(data!AX$1,Haver_M!$B$1:$BZ$1,0),FALSE)),VLOOKUP($A205,Haver_M!$B$1:$BZ$300,MATCH(data!AX$1,Haver_M!$B$1:$BZ$1,0),FALSE),"")</f>
        <v>49.642000000000003</v>
      </c>
      <c r="AY205">
        <f>IF(ISNUMBER(VLOOKUP($A205,Haver_M!$B$1:$BZ$300,MATCH(data!AY$1,Haver_M!$B$1:$BZ$1,0),FALSE)),VLOOKUP($A205,Haver_M!$B$1:$BZ$300,MATCH(data!AY$1,Haver_M!$B$1:$BZ$1,0),FALSE),"")</f>
        <v>54.734200000000001</v>
      </c>
      <c r="AZ205">
        <f>IF(ISNUMBER(VLOOKUP($A205,Haver_M!$B$1:$BZ$300,MATCH(data!AZ$1,Haver_M!$B$1:$BZ$1,0),FALSE)),VLOOKUP($A205,Haver_M!$B$1:$BZ$300,MATCH(data!AZ$1,Haver_M!$B$1:$BZ$1,0),FALSE),"")</f>
        <v>49.399000000000001</v>
      </c>
      <c r="BA205">
        <f>IF(ISNUMBER(VLOOKUP($A205,Haver_M!$B$1:$BZ$300,MATCH(data!BA$1,Haver_M!$B$1:$BZ$1,0),FALSE)),VLOOKUP($A205,Haver_M!$B$1:$BZ$300,MATCH(data!BA$1,Haver_M!$B$1:$BZ$1,0),FALSE),"")</f>
        <v>49.642000000000003</v>
      </c>
      <c r="BB205">
        <f>IF(ISNUMBER(VLOOKUP($A205,Haver_M!$B$1:$BZ$300,MATCH(data!BB$1,Haver_M!$B$1:$BZ$1,0),FALSE)),VLOOKUP($A205,Haver_M!$B$1:$BZ$300,MATCH(data!BB$1,Haver_M!$B$1:$BZ$1,0),FALSE),"")</f>
        <v>48.5169</v>
      </c>
      <c r="BC205">
        <f>IF(ISNUMBER(VLOOKUP($A205,Haver_M!$B$1:$BZ$300,MATCH(data!BC$1,Haver_M!$B$1:$BZ$1,0),FALSE)),VLOOKUP($A205,Haver_M!$B$1:$BZ$300,MATCH(data!BC$1,Haver_M!$B$1:$BZ$1,0),FALSE),"")</f>
        <v>50.463200000000001</v>
      </c>
      <c r="BD205">
        <f>IF(ISNUMBER(VLOOKUP($A205,Haver_M!$B$1:$BZ$300,MATCH(data!BD$1,Haver_M!$B$1:$BZ$1,0),FALSE)),VLOOKUP($A205,Haver_M!$B$1:$BZ$300,MATCH(data!BD$1,Haver_M!$B$1:$BZ$1,0),FALSE),"")</f>
        <v>51.491100000000003</v>
      </c>
      <c r="BE205">
        <f>IF(ISNUMBER(VLOOKUP($A205,Haver_M!$B$1:$BZ$300,MATCH(data!BE$1,Haver_M!$B$1:$BZ$1,0),FALSE)),VLOOKUP($A205,Haver_M!$B$1:$BZ$300,MATCH(data!BE$1,Haver_M!$B$1:$BZ$1,0),FALSE),"")</f>
        <v>1.0190999999999999</v>
      </c>
      <c r="BF205">
        <f>IF(ISNUMBER(VLOOKUP($A205,Haver_M!$B$1:$BZ$300,MATCH(data!BF$1,Haver_M!$B$1:$BZ$1,0),FALSE)),VLOOKUP($A205,Haver_M!$B$1:$BZ$300,MATCH(data!BF$1,Haver_M!$B$1:$BZ$1,0),FALSE),"")</f>
        <v>49.919400000000003</v>
      </c>
      <c r="BG205">
        <f>IF(ISNUMBER(VLOOKUP($A205,Haver_M!$B$1:$BZ$300,MATCH(data!BG$1,Haver_M!$B$1:$BZ$1,0),FALSE)),VLOOKUP($A205,Haver_M!$B$1:$BZ$300,MATCH(data!BG$1,Haver_M!$B$1:$BZ$1,0),FALSE),"")</f>
        <v>49.665599999999998</v>
      </c>
      <c r="BH205">
        <f>IF(ISNUMBER(VLOOKUP($A205,Haver_M!$B$1:$BZ$300,MATCH(data!BH$1,Haver_M!$B$1:$BZ$1,0),FALSE)),VLOOKUP($A205,Haver_M!$B$1:$BZ$300,MATCH(data!BH$1,Haver_M!$B$1:$BZ$1,0),FALSE),"")</f>
        <v>46.027900000000002</v>
      </c>
      <c r="BI205">
        <f>IF(ISNUMBER(VLOOKUP($A205,Haver_M!$B$1:$BZ$300,MATCH(data!BI$1,Haver_M!$B$1:$BZ$1,0),FALSE)),VLOOKUP($A205,Haver_M!$B$1:$BZ$300,MATCH(data!BI$1,Haver_M!$B$1:$BZ$1,0),FALSE),"")</f>
        <v>50.6935</v>
      </c>
      <c r="BJ205">
        <f>IF(ISNUMBER(VLOOKUP($A205,Haver_M!$B$1:$BZ$300,MATCH(data!BJ$1,Haver_M!$B$1:$BZ$1,0),FALSE)),VLOOKUP($A205,Haver_M!$B$1:$BZ$300,MATCH(data!BJ$1,Haver_M!$B$1:$BZ$1,0),FALSE),"")</f>
        <v>48.662300000000002</v>
      </c>
      <c r="BK205">
        <f>IF(ISNUMBER(VLOOKUP($A205,Haver_M!$B$1:$BZ$300,MATCH(data!BK$1,Haver_M!$B$1:$BZ$1,0),FALSE)),VLOOKUP($A205,Haver_M!$B$1:$BZ$300,MATCH(data!BK$1,Haver_M!$B$1:$BZ$1,0),FALSE),"")</f>
        <v>52.1267</v>
      </c>
      <c r="BL205">
        <f>IF(ISNUMBER(VLOOKUP($A205,Haver_M!$B$1:$BZ$300,MATCH(data!BL$1,Haver_M!$B$1:$BZ$1,0),FALSE)),VLOOKUP($A205,Haver_M!$B$1:$BZ$300,MATCH(data!BL$1,Haver_M!$B$1:$BZ$1,0),FALSE),"")</f>
        <v>26372.93</v>
      </c>
      <c r="BM205">
        <f>IF(ISNUMBER(VLOOKUP($A205,Haver_M!$B$1:$BZ$300,MATCH(data!BM$1,Haver_M!$B$1:$BZ$1,0),FALSE)),VLOOKUP($A205,Haver_M!$B$1:$BZ$300,MATCH(data!BM$1,Haver_M!$B$1:$BZ$1,0),FALSE),"")</f>
        <v>91.250913679999996</v>
      </c>
      <c r="BN205">
        <f>IF(ISNUMBER(VLOOKUP($A205,Haver_M!$B$1:$BZ$300,MATCH(data!BN$1,Haver_M!$B$1:$BZ$1,0),FALSE)),VLOOKUP($A205,Haver_M!$B$1:$BZ$300,MATCH(data!BN$1,Haver_M!$B$1:$BZ$1,0),FALSE),"")</f>
        <v>101.1</v>
      </c>
      <c r="BO205">
        <f>IF(ISNUMBER(VLOOKUP($A205,Haver_M!$B$1:$BZ$300,MATCH(data!BO$1,Haver_M!$B$1:$BZ$1,0),FALSE)),VLOOKUP($A205,Haver_M!$B$1:$BZ$300,MATCH(data!BO$1,Haver_M!$B$1:$BZ$1,0),FALSE),"")</f>
        <v>112.9</v>
      </c>
      <c r="BP205">
        <f>IF(ISNUMBER(VLOOKUP($A205,Haver_M!$B$1:$BZ$300,MATCH(data!BP$1,Haver_M!$B$1:$BZ$1,0),FALSE)),VLOOKUP($A205,Haver_M!$B$1:$BZ$300,MATCH(data!BP$1,Haver_M!$B$1:$BZ$1,0),FALSE),"")</f>
        <v>31.3</v>
      </c>
      <c r="BQ205">
        <f>IF(ISNUMBER(VLOOKUP($A205,Haver_M!$B$1:$BZ$300,MATCH(data!BQ$1,Haver_M!$B$1:$BZ$1,0),FALSE)),VLOOKUP($A205,Haver_M!$B$1:$BZ$300,MATCH(data!BQ$1,Haver_M!$B$1:$BZ$1,0),FALSE),"")</f>
        <v>222.26555366389593</v>
      </c>
      <c r="BR205">
        <f>IF(ISNUMBER(VLOOKUP($A205,Haver_M!$B$1:$BZ$300,MATCH(data!BR$1,Haver_M!$B$1:$BZ$1,0),FALSE)),VLOOKUP($A205,Haver_M!$B$1:$BZ$300,MATCH(data!BR$1,Haver_M!$B$1:$BZ$1,0),FALSE),"")</f>
        <v>379.83929402477747</v>
      </c>
      <c r="BS205">
        <f>IF(ISNUMBER(VLOOKUP($A205,Haver_M!$B$1:$BZ$300,MATCH(data!BS$1,Haver_M!$B$1:$BZ$1,0),FALSE)),VLOOKUP($A205,Haver_M!$B$1:$BZ$300,MATCH(data!BS$1,Haver_M!$B$1:$BZ$1,0),FALSE),"")</f>
        <v>232.60378436651328</v>
      </c>
      <c r="BT205">
        <f>IF(ISNUMBER(VLOOKUP($A205,Haver_M!$B$1:$BZ$300,MATCH(data!BT$1,Haver_M!$B$1:$BZ$1,0),FALSE)),VLOOKUP($A205,Haver_M!$B$1:$BZ$300,MATCH(data!BT$1,Haver_M!$B$1:$BZ$1,0),FALSE),"")</f>
        <v>968.91535248687785</v>
      </c>
      <c r="BU205">
        <f>IF(ISNUMBER(VLOOKUP($A205,Haver_M!$B$1:$BZ$300,MATCH(data!BU$1,Haver_M!$B$1:$BZ$1,0),FALSE)),VLOOKUP($A205,Haver_M!$B$1:$BZ$300,MATCH(data!BU$1,Haver_M!$B$1:$BZ$1,0),FALSE),"")</f>
        <v>24056.48</v>
      </c>
      <c r="BV205">
        <f>IF(ISNUMBER(VLOOKUP($A205,Haver_M!$B$1:$BZ$300,MATCH(data!BV$1,Haver_M!$B$1:$BZ$1,0),FALSE)),VLOOKUP($A205,Haver_M!$B$1:$BZ$300,MATCH(data!BV$1,Haver_M!$B$1:$BZ$1,0),FALSE),"")</f>
        <v>34602.47</v>
      </c>
      <c r="BW205">
        <f>IF(ISNUMBER(VLOOKUP($A205,Haver_M!$B$1:$BZ$300,MATCH(data!BW$1,Haver_M!$B$1:$BZ$1,0),FALSE)),VLOOKUP($A205,Haver_M!$B$1:$BZ$300,MATCH(data!BW$1,Haver_M!$B$1:$BZ$1,0),FALSE),"")</f>
        <v>67.900400000000005</v>
      </c>
      <c r="BX205">
        <f>IF(ISNUMBER(VLOOKUP($A205,Haver_M!$B$1:$BZ$300,MATCH(data!BX$1,Haver_M!$B$1:$BZ$1,0),FALSE)),VLOOKUP($A205,Haver_M!$B$1:$BZ$300,MATCH(data!BX$1,Haver_M!$B$1:$BZ$1,0),FALSE),"")</f>
        <v>51584</v>
      </c>
    </row>
    <row r="206" spans="1:76" x14ac:dyDescent="0.25">
      <c r="A206" s="2">
        <v>42766</v>
      </c>
      <c r="B206" t="str">
        <f>IF(ISNUMBER(VLOOKUP($A206,Haver_Q!$B$1:$L$185,MATCH(data!B$1,Haver_Q!$B$1:$L$1,0),FALSE)),100*(VLOOKUP($A206,Haver_Q!$B$1:$L$185,MATCH(data!B$1,Haver_Q!$B$1:$L$1,0),FALSE)),"")</f>
        <v/>
      </c>
      <c r="C206" t="str">
        <f>IF(ISNUMBER(VLOOKUP($A206,Haver_Q!$B$1:$L$185,MATCH(data!C$1,Haver_Q!$B$1:$L$1,0),FALSE)),100*(VLOOKUP($A206,Haver_Q!$B$1:$L$185,MATCH(data!C$1,Haver_Q!$B$1:$L$1,0),FALSE)),"")</f>
        <v/>
      </c>
      <c r="D206" t="str">
        <f>IF(ISNUMBER(VLOOKUP($A206,Haver_Q!$B$1:$L$185,MATCH(data!D$1,Haver_Q!$B$1:$L$1,0),FALSE)),100*(VLOOKUP($A206,Haver_Q!$B$1:$L$185,MATCH(data!D$1,Haver_Q!$B$1:$L$1,0),FALSE)),"")</f>
        <v/>
      </c>
      <c r="E206" t="str">
        <f>IF(ISNUMBER(VLOOKUP($A206,Haver_Q!$B$1:$L$185,MATCH(data!E$1,Haver_Q!$B$1:$L$1,0),FALSE)),100*(VLOOKUP($A206,Haver_Q!$B$1:$L$185,MATCH(data!E$1,Haver_Q!$B$1:$L$1,0),FALSE)),"")</f>
        <v/>
      </c>
      <c r="F206" t="str">
        <f>IF(ISNUMBER(VLOOKUP($A206,Haver_Q!$B$1:$L$185,MATCH(data!F$1,Haver_Q!$B$1:$L$1,0),FALSE)),100*(VLOOKUP($A206,Haver_Q!$B$1:$L$185,MATCH(data!F$1,Haver_Q!$B$1:$L$1,0),FALSE)),"")</f>
        <v/>
      </c>
      <c r="G206" t="str">
        <f>IF(ISNUMBER(VLOOKUP($A206,Haver_Q!$B$1:$L$185,MATCH(data!G$1,Haver_Q!$B$1:$L$1,0),FALSE)),100*(VLOOKUP($A206,Haver_Q!$B$1:$L$185,MATCH(data!G$1,Haver_Q!$B$1:$L$1,0),FALSE)),"")</f>
        <v/>
      </c>
      <c r="H206" t="str">
        <f>IF(ISNUMBER(VLOOKUP($A206,Haver_Q!$B$1:$L$185,MATCH(data!H$1,Haver_Q!$B$1:$L$1,0),FALSE)),(VLOOKUP($A206,Haver_Q!$B$1:$L$185,MATCH(data!H$1,Haver_Q!$B$1:$L$1,0),FALSE)),"")</f>
        <v/>
      </c>
      <c r="I206" t="str">
        <f>IF(ISNUMBER(VLOOKUP($A206,Haver_Q!$B$1:$L$185,MATCH(data!I$1,Haver_Q!$B$1:$L$1,0),FALSE)),100*(VLOOKUP($A206,Haver_Q!$B$1:$L$185,MATCH(data!I$1,Haver_Q!$B$1:$L$1,0),FALSE)),"")</f>
        <v/>
      </c>
      <c r="J206" s="3">
        <f>IF(ISNUMBER(Bloomberg_m!C222),Bloomberg_m!C222,"")</f>
        <v>907</v>
      </c>
      <c r="K206" s="3">
        <f>IF(ISNUMBER(Bloomberg_m!D222),Bloomberg_m!D222,"")</f>
        <v>1821.32</v>
      </c>
      <c r="L206" s="3">
        <f>IF(ISNUMBER(Bloomberg_m!E222),Bloomberg_m!E222,"")</f>
        <v>971.14</v>
      </c>
      <c r="M206" s="3">
        <f>IF(ISNUMBER(Bloomberg_m!F222),Bloomberg_m!F222,"")</f>
        <v>431.49</v>
      </c>
      <c r="N206">
        <f>IF(ISNUMBER(VLOOKUP($A206,Haver_M!$B$1:$BZ$300,MATCH(data!N$1,Haver_M!$B$1:$BZ$1,0),FALSE)),VLOOKUP($A206,Haver_M!$B$1:$BZ$300,MATCH(data!N$1,Haver_M!$B$1:$BZ$1,0),FALSE),"")</f>
        <v>6.25</v>
      </c>
      <c r="O206">
        <f>IF(ISNUMBER(VLOOKUP($A206,Haver_M!$B$1:$BZ$300,MATCH(data!O$1,Haver_M!$B$1:$BZ$1,0),FALSE)),VLOOKUP($A206,Haver_M!$B$1:$BZ$300,MATCH(data!O$1,Haver_M!$B$1:$BZ$1,0),FALSE),"")</f>
        <v>7.1485000000000003</v>
      </c>
      <c r="P206">
        <f>IF(ISNUMBER(VLOOKUP($A206,Haver_M!$B$1:$BZ$300,MATCH(data!P$1,Haver_M!$B$1:$BZ$1,0),FALSE)),VLOOKUP($A206,Haver_M!$B$1:$BZ$300,MATCH(data!P$1,Haver_M!$B$1:$BZ$1,0),FALSE),"")</f>
        <v>91.803070000000005</v>
      </c>
      <c r="Q206">
        <f>IF(ISNUMBER(VLOOKUP($A206,Haver_M!$B$1:$BZ$300,MATCH(data!Q$1,Haver_M!$B$1:$BZ$1,0),FALSE)),VLOOKUP($A206,Haver_M!$B$1:$BZ$300,MATCH(data!Q$1,Haver_M!$B$1:$BZ$1,0),FALSE),"")</f>
        <v>130.30000000000001</v>
      </c>
      <c r="R206">
        <f>IF(ISNUMBER(VLOOKUP($A206,Haver_M!$B$1:$BZ$300,MATCH(data!R$1,Haver_M!$B$1:$BZ$1,0),FALSE)),VLOOKUP($A206,Haver_M!$B$1:$BZ$300,MATCH(data!R$1,Haver_M!$B$1:$BZ$1,0),FALSE),"")</f>
        <v>129.4</v>
      </c>
      <c r="S206">
        <f>IF(ISNUMBER(VLOOKUP($A206,Haver_M!$B$1:$BZ$300,MATCH(data!S$1,Haver_M!$B$1:$BZ$1,0),FALSE)),VLOOKUP($A206,Haver_M!$B$1:$BZ$300,MATCH(data!S$1,Haver_M!$B$1:$BZ$1,0),FALSE),"")</f>
        <v>119.83</v>
      </c>
      <c r="T206">
        <f>IF(ISNUMBER(VLOOKUP($A206,Haver_M!$B$1:$BZ$300,MATCH(data!T$1,Haver_M!$B$1:$BZ$1,0),FALSE)),VLOOKUP($A206,Haver_M!$B$1:$BZ$300,MATCH(data!T$1,Haver_M!$B$1:$BZ$1,0),FALSE),"")</f>
        <v>117.58</v>
      </c>
      <c r="U206">
        <f>IF(ISNUMBER(VLOOKUP($A206,Haver_M!$B$1:$BZ$300,MATCH(data!U$1,Haver_M!$B$1:$BZ$1,0),FALSE)),VLOOKUP($A206,Haver_M!$B$1:$BZ$300,MATCH(data!U$1,Haver_M!$B$1:$BZ$1,0),FALSE),"")</f>
        <v>100.57</v>
      </c>
      <c r="V206">
        <f>IF(ISNUMBER(VLOOKUP($A206,Haver_M!$B$1:$BZ$300,MATCH(data!V$1,Haver_M!$B$1:$BZ$1,0),FALSE)),VLOOKUP($A206,Haver_M!$B$1:$BZ$300,MATCH(data!V$1,Haver_M!$B$1:$BZ$1,0),FALSE),"")</f>
        <v>122.09</v>
      </c>
      <c r="W206">
        <f>IF(ISNUMBER(VLOOKUP($A206,Haver_M!$B$1:$BZ$300,MATCH(data!W$1,Haver_M!$B$1:$BZ$1,0),FALSE)),VLOOKUP($A206,Haver_M!$B$1:$BZ$300,MATCH(data!W$1,Haver_M!$B$1:$BZ$1,0),FALSE),"")</f>
        <v>124.82</v>
      </c>
      <c r="X206">
        <f>IF(ISNUMBER(VLOOKUP($A206,Haver_M!$B$1:$BZ$300,MATCH(data!X$1,Haver_M!$B$1:$BZ$1,0),FALSE)),VLOOKUP($A206,Haver_M!$B$1:$BZ$300,MATCH(data!X$1,Haver_M!$B$1:$BZ$1,0),FALSE),"")</f>
        <v>118.69</v>
      </c>
      <c r="Y206">
        <f>IF(ISNUMBER(VLOOKUP($A206,Haver_M!$B$1:$BZ$300,MATCH(data!Y$1,Haver_M!$B$1:$BZ$1,0),FALSE)),VLOOKUP($A206,Haver_M!$B$1:$BZ$300,MATCH(data!Y$1,Haver_M!$B$1:$BZ$1,0),FALSE),"")</f>
        <v>129.22999999999999</v>
      </c>
      <c r="Z206">
        <f>IF(ISNUMBER(VLOOKUP($A206,Haver_M!$B$1:$BZ$300,MATCH(data!Z$1,Haver_M!$B$1:$BZ$1,0),FALSE)),VLOOKUP($A206,Haver_M!$B$1:$BZ$300,MATCH(data!Z$1,Haver_M!$B$1:$BZ$1,0),FALSE),"")</f>
        <v>120.7</v>
      </c>
      <c r="AA206">
        <f>IF(ISNUMBER(VLOOKUP($A206,Haver_M!$B$1:$BZ$300,MATCH(data!AA$1,Haver_M!$B$1:$BZ$1,0),FALSE)),VLOOKUP($A206,Haver_M!$B$1:$BZ$300,MATCH(data!AA$1,Haver_M!$B$1:$BZ$1,0),FALSE),"")</f>
        <v>123.947</v>
      </c>
      <c r="AB206">
        <f>IF(ISNUMBER(VLOOKUP($A206,Haver_M!$B$1:$BZ$300,MATCH(data!AB$1,Haver_M!$B$1:$BZ$1,0),FALSE)),VLOOKUP($A206,Haver_M!$B$1:$BZ$300,MATCH(data!AB$1,Haver_M!$B$1:$BZ$1,0),FALSE),"")</f>
        <v>95.921999999999997</v>
      </c>
      <c r="AC206">
        <f>IF(ISNUMBER(VLOOKUP($A206,Haver_M!$B$1:$BZ$300,MATCH(data!AC$1,Haver_M!$B$1:$BZ$1,0),FALSE)),VLOOKUP($A206,Haver_M!$B$1:$BZ$300,MATCH(data!AC$1,Haver_M!$B$1:$BZ$1,0),FALSE),"")</f>
        <v>67.325000000000003</v>
      </c>
      <c r="AD206">
        <f>IF(ISNUMBER(VLOOKUP($A206,Haver_M!$B$1:$BZ$300,MATCH(data!AD$1,Haver_M!$B$1:$BZ$1,0),FALSE)),VLOOKUP($A206,Haver_M!$B$1:$BZ$300,MATCH(data!AD$1,Haver_M!$B$1:$BZ$1,0),FALSE),"")</f>
        <v>118.574</v>
      </c>
      <c r="AE206">
        <f>IF(ISNUMBER(VLOOKUP($A206,Haver_M!$B$1:$BZ$300,MATCH(data!AE$1,Haver_M!$B$1:$BZ$1,0),FALSE)),VLOOKUP($A206,Haver_M!$B$1:$BZ$300,MATCH(data!AE$1,Haver_M!$B$1:$BZ$1,0),FALSE),"")</f>
        <v>104.834</v>
      </c>
      <c r="AF206">
        <f>IF(ISNUMBER(VLOOKUP($A206,Haver_M!$B$1:$BZ$300,MATCH(data!AF$1,Haver_M!$B$1:$BZ$1,0),FALSE)),VLOOKUP($A206,Haver_M!$B$1:$BZ$300,MATCH(data!AF$1,Haver_M!$B$1:$BZ$1,0),FALSE),"")</f>
        <v>136.768</v>
      </c>
      <c r="AG206">
        <f>IF(ISNUMBER(VLOOKUP($A206,Haver_M!$B$1:$BZ$300,MATCH(data!AG$1,Haver_M!$B$1:$BZ$1,0),FALSE)),VLOOKUP($A206,Haver_M!$B$1:$BZ$300,MATCH(data!AG$1,Haver_M!$B$1:$BZ$1,0),FALSE),"")</f>
        <v>112.491</v>
      </c>
      <c r="AH206">
        <f>IF(ISNUMBER(VLOOKUP($A206,Haver_M!$B$1:$BZ$300,MATCH(data!AH$1,Haver_M!$B$1:$BZ$1,0),FALSE)),VLOOKUP($A206,Haver_M!$B$1:$BZ$300,MATCH(data!AH$1,Haver_M!$B$1:$BZ$1,0),FALSE),"")</f>
        <v>142.572</v>
      </c>
      <c r="AI206">
        <f>IF(ISNUMBER(VLOOKUP($A206,Haver_M!$B$1:$BZ$300,MATCH(data!AI$1,Haver_M!$B$1:$BZ$1,0),FALSE)),VLOOKUP($A206,Haver_M!$B$1:$BZ$300,MATCH(data!AI$1,Haver_M!$B$1:$BZ$1,0),FALSE),"")</f>
        <v>15310.290524414368</v>
      </c>
      <c r="AJ206">
        <f>IF(ISNUMBER(VLOOKUP($A206,Haver_M!$B$1:$BZ$300,MATCH(data!AJ$1,Haver_M!$B$1:$BZ$1,0),FALSE)),VLOOKUP($A206,Haver_M!$B$1:$BZ$300,MATCH(data!AJ$1,Haver_M!$B$1:$BZ$1,0),FALSE),"")</f>
        <v>22877.97</v>
      </c>
      <c r="AK206">
        <f>IF(ISNUMBER(VLOOKUP($A206,Haver_M!$B$1:$BZ$300,MATCH(data!AK$1,Haver_M!$B$1:$BZ$1,0),FALSE)),VLOOKUP($A206,Haver_M!$B$1:$BZ$300,MATCH(data!AK$1,Haver_M!$B$1:$BZ$1,0),FALSE),"")</f>
        <v>33238.33</v>
      </c>
      <c r="AL206">
        <f>IF(ISNUMBER(VLOOKUP($A206,Haver_M!$B$1:$BZ$300,MATCH(data!AL$1,Haver_M!$B$1:$BZ$1,0),FALSE)),VLOOKUP($A206,Haver_M!$B$1:$BZ$300,MATCH(data!AL$1,Haver_M!$B$1:$BZ$1,0),FALSE),"")</f>
        <v>13570</v>
      </c>
      <c r="AM206">
        <f>IF(ISNUMBER(VLOOKUP($A206,Haver_M!$B$1:$BZ$300,MATCH(data!AM$1,Haver_M!$B$1:$BZ$1,0),FALSE)),VLOOKUP($A206,Haver_M!$B$1:$BZ$300,MATCH(data!AM$1,Haver_M!$B$1:$BZ$1,0),FALSE),"")</f>
        <v>8409</v>
      </c>
      <c r="AN206" t="str">
        <f>IF(ISNUMBER(VLOOKUP($A206,Haver_M!$B$1:$BZ$300,MATCH(data!AN$1,Haver_M!$B$1:$BZ$1,0),FALSE)),VLOOKUP($A206,Haver_M!$B$1:$BZ$300,MATCH(data!AN$1,Haver_M!$B$1:$BZ$1,0),FALSE),"")</f>
        <v/>
      </c>
      <c r="AO206" t="str">
        <f>IF(ISNUMBER(VLOOKUP($A206,Haver_M!$B$1:$BZ$300,MATCH(data!AO$1,Haver_M!$B$1:$BZ$1,0),FALSE)),VLOOKUP($A206,Haver_M!$B$1:$BZ$300,MATCH(data!AO$1,Haver_M!$B$1:$BZ$1,0),FALSE),"")</f>
        <v/>
      </c>
      <c r="AP206">
        <f>IF(ISNUMBER(VLOOKUP($A206,Haver_M!$B$1:$BZ$300,MATCH(data!AP$1,Haver_M!$B$1:$BZ$1,0),FALSE)),VLOOKUP($A206,Haver_M!$B$1:$BZ$300,MATCH(data!AP$1,Haver_M!$B$1:$BZ$1,0),FALSE),"")</f>
        <v>84.997114292322451</v>
      </c>
      <c r="AQ206">
        <f>IF(ISNUMBER(VLOOKUP($A206,Haver_M!$B$1:$BZ$300,MATCH(data!AQ$1,Haver_M!$B$1:$BZ$1,0),FALSE)),VLOOKUP($A206,Haver_M!$B$1:$BZ$300,MATCH(data!AQ$1,Haver_M!$B$1:$BZ$1,0),FALSE),"")</f>
        <v>49.418599999999998</v>
      </c>
      <c r="AR206">
        <f>IF(ISNUMBER(VLOOKUP($A206,Haver_M!$B$1:$BZ$300,MATCH(data!AR$1,Haver_M!$B$1:$BZ$1,0),FALSE)),VLOOKUP($A206,Haver_M!$B$1:$BZ$300,MATCH(data!AR$1,Haver_M!$B$1:$BZ$1,0),FALSE),"")</f>
        <v>50.359400000000001</v>
      </c>
      <c r="AS206">
        <f>IF(ISNUMBER(VLOOKUP($A206,Haver_M!$B$1:$BZ$300,MATCH(data!AS$1,Haver_M!$B$1:$BZ$1,0),FALSE)),VLOOKUP($A206,Haver_M!$B$1:$BZ$300,MATCH(data!AS$1,Haver_M!$B$1:$BZ$1,0),FALSE),"")</f>
        <v>48.747599999999998</v>
      </c>
      <c r="AT206">
        <f>IF(ISNUMBER(VLOOKUP($A206,Haver_M!$B$1:$BZ$300,MATCH(data!AT$1,Haver_M!$B$1:$BZ$1,0),FALSE)),VLOOKUP($A206,Haver_M!$B$1:$BZ$300,MATCH(data!AT$1,Haver_M!$B$1:$BZ$1,0),FALSE),"")</f>
        <v>50.896500000000003</v>
      </c>
      <c r="AU206">
        <f>IF(ISNUMBER(VLOOKUP($A206,Haver_M!$B$1:$BZ$300,MATCH(data!AU$1,Haver_M!$B$1:$BZ$1,0),FALSE)),VLOOKUP($A206,Haver_M!$B$1:$BZ$300,MATCH(data!AU$1,Haver_M!$B$1:$BZ$1,0),FALSE),"")</f>
        <v>50.929299999999998</v>
      </c>
      <c r="AV206">
        <f>IF(ISNUMBER(VLOOKUP($A206,Haver_M!$B$1:$BZ$300,MATCH(data!AV$1,Haver_M!$B$1:$BZ$1,0),FALSE)),VLOOKUP($A206,Haver_M!$B$1:$BZ$300,MATCH(data!AV$1,Haver_M!$B$1:$BZ$1,0),FALSE),"")</f>
        <v>50</v>
      </c>
      <c r="AW206">
        <f>IF(ISNUMBER(VLOOKUP($A206,Haver_M!$B$1:$BZ$300,MATCH(data!AW$1,Haver_M!$B$1:$BZ$1,0),FALSE)),VLOOKUP($A206,Haver_M!$B$1:$BZ$300,MATCH(data!AW$1,Haver_M!$B$1:$BZ$1,0),FALSE),"")</f>
        <v>50.0807</v>
      </c>
      <c r="AX206">
        <f>IF(ISNUMBER(VLOOKUP($A206,Haver_M!$B$1:$BZ$300,MATCH(data!AX$1,Haver_M!$B$1:$BZ$1,0),FALSE)),VLOOKUP($A206,Haver_M!$B$1:$BZ$300,MATCH(data!AX$1,Haver_M!$B$1:$BZ$1,0),FALSE),"")</f>
        <v>48.685600000000001</v>
      </c>
      <c r="AY206">
        <f>IF(ISNUMBER(VLOOKUP($A206,Haver_M!$B$1:$BZ$300,MATCH(data!AY$1,Haver_M!$B$1:$BZ$1,0),FALSE)),VLOOKUP($A206,Haver_M!$B$1:$BZ$300,MATCH(data!AY$1,Haver_M!$B$1:$BZ$1,0),FALSE),"")</f>
        <v>56.760800000000003</v>
      </c>
      <c r="AZ206">
        <f>IF(ISNUMBER(VLOOKUP($A206,Haver_M!$B$1:$BZ$300,MATCH(data!AZ$1,Haver_M!$B$1:$BZ$1,0),FALSE)),VLOOKUP($A206,Haver_M!$B$1:$BZ$300,MATCH(data!AZ$1,Haver_M!$B$1:$BZ$1,0),FALSE),"")</f>
        <v>50.747599999999998</v>
      </c>
      <c r="BA206">
        <f>IF(ISNUMBER(VLOOKUP($A206,Haver_M!$B$1:$BZ$300,MATCH(data!BA$1,Haver_M!$B$1:$BZ$1,0),FALSE)),VLOOKUP($A206,Haver_M!$B$1:$BZ$300,MATCH(data!BA$1,Haver_M!$B$1:$BZ$1,0),FALSE),"")</f>
        <v>48.685600000000001</v>
      </c>
      <c r="BB206">
        <f>IF(ISNUMBER(VLOOKUP($A206,Haver_M!$B$1:$BZ$300,MATCH(data!BB$1,Haver_M!$B$1:$BZ$1,0),FALSE)),VLOOKUP($A206,Haver_M!$B$1:$BZ$300,MATCH(data!BB$1,Haver_M!$B$1:$BZ$1,0),FALSE),"")</f>
        <v>49.806800000000003</v>
      </c>
      <c r="BC206">
        <f>IF(ISNUMBER(VLOOKUP($A206,Haver_M!$B$1:$BZ$300,MATCH(data!BC$1,Haver_M!$B$1:$BZ$1,0),FALSE)),VLOOKUP($A206,Haver_M!$B$1:$BZ$300,MATCH(data!BC$1,Haver_M!$B$1:$BZ$1,0),FALSE),"")</f>
        <v>50.71</v>
      </c>
      <c r="BD206">
        <f>IF(ISNUMBER(VLOOKUP($A206,Haver_M!$B$1:$BZ$300,MATCH(data!BD$1,Haver_M!$B$1:$BZ$1,0),FALSE)),VLOOKUP($A206,Haver_M!$B$1:$BZ$300,MATCH(data!BD$1,Haver_M!$B$1:$BZ$1,0),FALSE),"")</f>
        <v>51.867400000000004</v>
      </c>
      <c r="BE206">
        <f>IF(ISNUMBER(VLOOKUP($A206,Haver_M!$B$1:$BZ$300,MATCH(data!BE$1,Haver_M!$B$1:$BZ$1,0),FALSE)),VLOOKUP($A206,Haver_M!$B$1:$BZ$300,MATCH(data!BE$1,Haver_M!$B$1:$BZ$1,0),FALSE),"")</f>
        <v>1.1006</v>
      </c>
      <c r="BF206">
        <f>IF(ISNUMBER(VLOOKUP($A206,Haver_M!$B$1:$BZ$300,MATCH(data!BF$1,Haver_M!$B$1:$BZ$1,0),FALSE)),VLOOKUP($A206,Haver_M!$B$1:$BZ$300,MATCH(data!BF$1,Haver_M!$B$1:$BZ$1,0),FALSE),"")</f>
        <v>50.320500000000003</v>
      </c>
      <c r="BG206">
        <f>IF(ISNUMBER(VLOOKUP($A206,Haver_M!$B$1:$BZ$300,MATCH(data!BG$1,Haver_M!$B$1:$BZ$1,0),FALSE)),VLOOKUP($A206,Haver_M!$B$1:$BZ$300,MATCH(data!BG$1,Haver_M!$B$1:$BZ$1,0),FALSE),"")</f>
        <v>49.878900000000002</v>
      </c>
      <c r="BH206">
        <f>IF(ISNUMBER(VLOOKUP($A206,Haver_M!$B$1:$BZ$300,MATCH(data!BH$1,Haver_M!$B$1:$BZ$1,0),FALSE)),VLOOKUP($A206,Haver_M!$B$1:$BZ$300,MATCH(data!BH$1,Haver_M!$B$1:$BZ$1,0),FALSE),"")</f>
        <v>48.586100000000002</v>
      </c>
      <c r="BI206">
        <f>IF(ISNUMBER(VLOOKUP($A206,Haver_M!$B$1:$BZ$300,MATCH(data!BI$1,Haver_M!$B$1:$BZ$1,0),FALSE)),VLOOKUP($A206,Haver_M!$B$1:$BZ$300,MATCH(data!BI$1,Haver_M!$B$1:$BZ$1,0),FALSE),"")</f>
        <v>50.320500000000003</v>
      </c>
      <c r="BJ206">
        <f>IF(ISNUMBER(VLOOKUP($A206,Haver_M!$B$1:$BZ$300,MATCH(data!BJ$1,Haver_M!$B$1:$BZ$1,0),FALSE)),VLOOKUP($A206,Haver_M!$B$1:$BZ$300,MATCH(data!BJ$1,Haver_M!$B$1:$BZ$1,0),FALSE),"")</f>
        <v>49.950800000000001</v>
      </c>
      <c r="BK206">
        <f>IF(ISNUMBER(VLOOKUP($A206,Haver_M!$B$1:$BZ$300,MATCH(data!BK$1,Haver_M!$B$1:$BZ$1,0),FALSE)),VLOOKUP($A206,Haver_M!$B$1:$BZ$300,MATCH(data!BK$1,Haver_M!$B$1:$BZ$1,0),FALSE),"")</f>
        <v>52.322499999999998</v>
      </c>
      <c r="BL206">
        <f>IF(ISNUMBER(VLOOKUP($A206,Haver_M!$B$1:$BZ$300,MATCH(data!BL$1,Haver_M!$B$1:$BZ$1,0),FALSE)),VLOOKUP($A206,Haver_M!$B$1:$BZ$300,MATCH(data!BL$1,Haver_M!$B$1:$BZ$1,0),FALSE),"")</f>
        <v>27165.46</v>
      </c>
      <c r="BM206">
        <f>IF(ISNUMBER(VLOOKUP($A206,Haver_M!$B$1:$BZ$300,MATCH(data!BM$1,Haver_M!$B$1:$BZ$1,0),FALSE)),VLOOKUP($A206,Haver_M!$B$1:$BZ$300,MATCH(data!BM$1,Haver_M!$B$1:$BZ$1,0),FALSE),"")</f>
        <v>90.491737740000005</v>
      </c>
      <c r="BN206" t="str">
        <f>IF(ISNUMBER(VLOOKUP($A206,Haver_M!$B$1:$BZ$300,MATCH(data!BN$1,Haver_M!$B$1:$BZ$1,0),FALSE)),VLOOKUP($A206,Haver_M!$B$1:$BZ$300,MATCH(data!BN$1,Haver_M!$B$1:$BZ$1,0),FALSE),"")</f>
        <v/>
      </c>
      <c r="BO206" t="str">
        <f>IF(ISNUMBER(VLOOKUP($A206,Haver_M!$B$1:$BZ$300,MATCH(data!BO$1,Haver_M!$B$1:$BZ$1,0),FALSE)),VLOOKUP($A206,Haver_M!$B$1:$BZ$300,MATCH(data!BO$1,Haver_M!$B$1:$BZ$1,0),FALSE),"")</f>
        <v/>
      </c>
      <c r="BP206" t="str">
        <f>IF(ISNUMBER(VLOOKUP($A206,Haver_M!$B$1:$BZ$300,MATCH(data!BP$1,Haver_M!$B$1:$BZ$1,0),FALSE)),VLOOKUP($A206,Haver_M!$B$1:$BZ$300,MATCH(data!BP$1,Haver_M!$B$1:$BZ$1,0),FALSE),"")</f>
        <v/>
      </c>
      <c r="BQ206">
        <f>IF(ISNUMBER(VLOOKUP($A206,Haver_M!$B$1:$BZ$300,MATCH(data!BQ$1,Haver_M!$B$1:$BZ$1,0),FALSE)),VLOOKUP($A206,Haver_M!$B$1:$BZ$300,MATCH(data!BQ$1,Haver_M!$B$1:$BZ$1,0),FALSE),"")</f>
        <v>223.791869612987</v>
      </c>
      <c r="BR206">
        <f>IF(ISNUMBER(VLOOKUP($A206,Haver_M!$B$1:$BZ$300,MATCH(data!BR$1,Haver_M!$B$1:$BZ$1,0),FALSE)),VLOOKUP($A206,Haver_M!$B$1:$BZ$300,MATCH(data!BR$1,Haver_M!$B$1:$BZ$1,0),FALSE),"")</f>
        <v>379.93255033754207</v>
      </c>
      <c r="BS206">
        <f>IF(ISNUMBER(VLOOKUP($A206,Haver_M!$B$1:$BZ$300,MATCH(data!BS$1,Haver_M!$B$1:$BZ$1,0),FALSE)),VLOOKUP($A206,Haver_M!$B$1:$BZ$300,MATCH(data!BS$1,Haver_M!$B$1:$BZ$1,0),FALSE),"")</f>
        <v>233.89154587810884</v>
      </c>
      <c r="BT206">
        <f>IF(ISNUMBER(VLOOKUP($A206,Haver_M!$B$1:$BZ$300,MATCH(data!BT$1,Haver_M!$B$1:$BZ$1,0),FALSE)),VLOOKUP($A206,Haver_M!$B$1:$BZ$300,MATCH(data!BT$1,Haver_M!$B$1:$BZ$1,0),FALSE),"")</f>
        <v>972.78497188618167</v>
      </c>
      <c r="BU206">
        <f>IF(ISNUMBER(VLOOKUP($A206,Haver_M!$B$1:$BZ$300,MATCH(data!BU$1,Haver_M!$B$1:$BZ$1,0),FALSE)),VLOOKUP($A206,Haver_M!$B$1:$BZ$300,MATCH(data!BU$1,Haver_M!$B$1:$BZ$1,0),FALSE),"")</f>
        <v>22356.32</v>
      </c>
      <c r="BV206">
        <f>IF(ISNUMBER(VLOOKUP($A206,Haver_M!$B$1:$BZ$300,MATCH(data!BV$1,Haver_M!$B$1:$BZ$1,0),FALSE)),VLOOKUP($A206,Haver_M!$B$1:$BZ$300,MATCH(data!BV$1,Haver_M!$B$1:$BZ$1,0),FALSE),"")</f>
        <v>32261.14</v>
      </c>
      <c r="BW206">
        <f>IF(ISNUMBER(VLOOKUP($A206,Haver_M!$B$1:$BZ$300,MATCH(data!BW$1,Haver_M!$B$1:$BZ$1,0),FALSE)),VLOOKUP($A206,Haver_M!$B$1:$BZ$300,MATCH(data!BW$1,Haver_M!$B$1:$BZ$1,0),FALSE),"")</f>
        <v>68.080399999999997</v>
      </c>
      <c r="BX206">
        <f>IF(ISNUMBER(VLOOKUP($A206,Haver_M!$B$1:$BZ$300,MATCH(data!BX$1,Haver_M!$B$1:$BZ$1,0),FALSE)),VLOOKUP($A206,Haver_M!$B$1:$BZ$300,MATCH(data!BX$1,Haver_M!$B$1:$BZ$1,0),FALSE),"")</f>
        <v>46998</v>
      </c>
    </row>
    <row r="207" spans="1:76" x14ac:dyDescent="0.25">
      <c r="A207" s="2">
        <v>42794</v>
      </c>
      <c r="B207" t="str">
        <f>IF(ISNUMBER(VLOOKUP($A207,Haver_Q!$B$1:$L$185,MATCH(data!B$1,Haver_Q!$B$1:$L$1,0),FALSE)),100*(VLOOKUP($A207,Haver_Q!$B$1:$L$185,MATCH(data!B$1,Haver_Q!$B$1:$L$1,0),FALSE)),"")</f>
        <v/>
      </c>
      <c r="C207" t="str">
        <f>IF(ISNUMBER(VLOOKUP($A207,Haver_Q!$B$1:$L$185,MATCH(data!C$1,Haver_Q!$B$1:$L$1,0),FALSE)),100*(VLOOKUP($A207,Haver_Q!$B$1:$L$185,MATCH(data!C$1,Haver_Q!$B$1:$L$1,0),FALSE)),"")</f>
        <v/>
      </c>
      <c r="D207" t="str">
        <f>IF(ISNUMBER(VLOOKUP($A207,Haver_Q!$B$1:$L$185,MATCH(data!D$1,Haver_Q!$B$1:$L$1,0),FALSE)),100*(VLOOKUP($A207,Haver_Q!$B$1:$L$185,MATCH(data!D$1,Haver_Q!$B$1:$L$1,0),FALSE)),"")</f>
        <v/>
      </c>
      <c r="E207" t="str">
        <f>IF(ISNUMBER(VLOOKUP($A207,Haver_Q!$B$1:$L$185,MATCH(data!E$1,Haver_Q!$B$1:$L$1,0),FALSE)),100*(VLOOKUP($A207,Haver_Q!$B$1:$L$185,MATCH(data!E$1,Haver_Q!$B$1:$L$1,0),FALSE)),"")</f>
        <v/>
      </c>
      <c r="F207" t="str">
        <f>IF(ISNUMBER(VLOOKUP($A207,Haver_Q!$B$1:$L$185,MATCH(data!F$1,Haver_Q!$B$1:$L$1,0),FALSE)),100*(VLOOKUP($A207,Haver_Q!$B$1:$L$185,MATCH(data!F$1,Haver_Q!$B$1:$L$1,0),FALSE)),"")</f>
        <v/>
      </c>
      <c r="G207" t="str">
        <f>IF(ISNUMBER(VLOOKUP($A207,Haver_Q!$B$1:$L$185,MATCH(data!G$1,Haver_Q!$B$1:$L$1,0),FALSE)),100*(VLOOKUP($A207,Haver_Q!$B$1:$L$185,MATCH(data!G$1,Haver_Q!$B$1:$L$1,0),FALSE)),"")</f>
        <v/>
      </c>
      <c r="H207" t="str">
        <f>IF(ISNUMBER(VLOOKUP($A207,Haver_Q!$B$1:$L$185,MATCH(data!H$1,Haver_Q!$B$1:$L$1,0),FALSE)),(VLOOKUP($A207,Haver_Q!$B$1:$L$185,MATCH(data!H$1,Haver_Q!$B$1:$L$1,0),FALSE)),"")</f>
        <v/>
      </c>
      <c r="I207" t="str">
        <f>IF(ISNUMBER(VLOOKUP($A207,Haver_Q!$B$1:$L$185,MATCH(data!I$1,Haver_Q!$B$1:$L$1,0),FALSE)),100*(VLOOKUP($A207,Haver_Q!$B$1:$L$185,MATCH(data!I$1,Haver_Q!$B$1:$L$1,0),FALSE)),"")</f>
        <v/>
      </c>
      <c r="J207" s="3">
        <f>IF(ISNUMBER(Bloomberg_m!C223),Bloomberg_m!C223,"")</f>
        <v>759</v>
      </c>
      <c r="K207" s="3">
        <f>IF(ISNUMBER(Bloomberg_m!D223),Bloomberg_m!D223,"")</f>
        <v>1676.16</v>
      </c>
      <c r="L207" s="3">
        <f>IF(ISNUMBER(Bloomberg_m!E223),Bloomberg_m!E223,"")</f>
        <v>869.98</v>
      </c>
      <c r="M207" s="3">
        <f>IF(ISNUMBER(Bloomberg_m!F223),Bloomberg_m!F223,"")</f>
        <v>445.95</v>
      </c>
      <c r="N207">
        <f>IF(ISNUMBER(VLOOKUP($A207,Haver_M!$B$1:$BZ$300,MATCH(data!N$1,Haver_M!$B$1:$BZ$1,0),FALSE)),VLOOKUP($A207,Haver_M!$B$1:$BZ$300,MATCH(data!N$1,Haver_M!$B$1:$BZ$1,0),FALSE),"")</f>
        <v>6.25</v>
      </c>
      <c r="O207">
        <f>IF(ISNUMBER(VLOOKUP($A207,Haver_M!$B$1:$BZ$300,MATCH(data!O$1,Haver_M!$B$1:$BZ$1,0),FALSE)),VLOOKUP($A207,Haver_M!$B$1:$BZ$300,MATCH(data!O$1,Haver_M!$B$1:$BZ$1,0),FALSE),"")</f>
        <v>7.0911999999999997</v>
      </c>
      <c r="P207">
        <f>IF(ISNUMBER(VLOOKUP($A207,Haver_M!$B$1:$BZ$300,MATCH(data!P$1,Haver_M!$B$1:$BZ$1,0),FALSE)),VLOOKUP($A207,Haver_M!$B$1:$BZ$300,MATCH(data!P$1,Haver_M!$B$1:$BZ$1,0),FALSE),"")</f>
        <v>92.787289999999999</v>
      </c>
      <c r="Q207">
        <f>IF(ISNUMBER(VLOOKUP($A207,Haver_M!$B$1:$BZ$300,MATCH(data!Q$1,Haver_M!$B$1:$BZ$1,0),FALSE)),VLOOKUP($A207,Haver_M!$B$1:$BZ$300,MATCH(data!Q$1,Haver_M!$B$1:$BZ$1,0),FALSE),"")</f>
        <v>130.6</v>
      </c>
      <c r="R207">
        <f>IF(ISNUMBER(VLOOKUP($A207,Haver_M!$B$1:$BZ$300,MATCH(data!R$1,Haver_M!$B$1:$BZ$1,0),FALSE)),VLOOKUP($A207,Haver_M!$B$1:$BZ$300,MATCH(data!R$1,Haver_M!$B$1:$BZ$1,0),FALSE),"")</f>
        <v>129.9</v>
      </c>
      <c r="S207">
        <f>IF(ISNUMBER(VLOOKUP($A207,Haver_M!$B$1:$BZ$300,MATCH(data!S$1,Haver_M!$B$1:$BZ$1,0),FALSE)),VLOOKUP($A207,Haver_M!$B$1:$BZ$300,MATCH(data!S$1,Haver_M!$B$1:$BZ$1,0),FALSE),"")</f>
        <v>121.05</v>
      </c>
      <c r="T207">
        <f>IF(ISNUMBER(VLOOKUP($A207,Haver_M!$B$1:$BZ$300,MATCH(data!T$1,Haver_M!$B$1:$BZ$1,0),FALSE)),VLOOKUP($A207,Haver_M!$B$1:$BZ$300,MATCH(data!T$1,Haver_M!$B$1:$BZ$1,0),FALSE),"")</f>
        <v>119.63</v>
      </c>
      <c r="U207">
        <f>IF(ISNUMBER(VLOOKUP($A207,Haver_M!$B$1:$BZ$300,MATCH(data!U$1,Haver_M!$B$1:$BZ$1,0),FALSE)),VLOOKUP($A207,Haver_M!$B$1:$BZ$300,MATCH(data!U$1,Haver_M!$B$1:$BZ$1,0),FALSE),"")</f>
        <v>100.16</v>
      </c>
      <c r="V207">
        <f>IF(ISNUMBER(VLOOKUP($A207,Haver_M!$B$1:$BZ$300,MATCH(data!V$1,Haver_M!$B$1:$BZ$1,0),FALSE)),VLOOKUP($A207,Haver_M!$B$1:$BZ$300,MATCH(data!V$1,Haver_M!$B$1:$BZ$1,0),FALSE),"")</f>
        <v>124.13</v>
      </c>
      <c r="W207">
        <f>IF(ISNUMBER(VLOOKUP($A207,Haver_M!$B$1:$BZ$300,MATCH(data!W$1,Haver_M!$B$1:$BZ$1,0),FALSE)),VLOOKUP($A207,Haver_M!$B$1:$BZ$300,MATCH(data!W$1,Haver_M!$B$1:$BZ$1,0),FALSE),"")</f>
        <v>124.65</v>
      </c>
      <c r="X207">
        <f>IF(ISNUMBER(VLOOKUP($A207,Haver_M!$B$1:$BZ$300,MATCH(data!X$1,Haver_M!$B$1:$BZ$1,0),FALSE)),VLOOKUP($A207,Haver_M!$B$1:$BZ$300,MATCH(data!X$1,Haver_M!$B$1:$BZ$1,0),FALSE),"")</f>
        <v>118.8</v>
      </c>
      <c r="Y207">
        <f>IF(ISNUMBER(VLOOKUP($A207,Haver_M!$B$1:$BZ$300,MATCH(data!Y$1,Haver_M!$B$1:$BZ$1,0),FALSE)),VLOOKUP($A207,Haver_M!$B$1:$BZ$300,MATCH(data!Y$1,Haver_M!$B$1:$BZ$1,0),FALSE),"")</f>
        <v>131.41999999999999</v>
      </c>
      <c r="Z207">
        <f>IF(ISNUMBER(VLOOKUP($A207,Haver_M!$B$1:$BZ$300,MATCH(data!Z$1,Haver_M!$B$1:$BZ$1,0),FALSE)),VLOOKUP($A207,Haver_M!$B$1:$BZ$300,MATCH(data!Z$1,Haver_M!$B$1:$BZ$1,0),FALSE),"")</f>
        <v>122</v>
      </c>
      <c r="AA207">
        <f>IF(ISNUMBER(VLOOKUP($A207,Haver_M!$B$1:$BZ$300,MATCH(data!AA$1,Haver_M!$B$1:$BZ$1,0),FALSE)),VLOOKUP($A207,Haver_M!$B$1:$BZ$300,MATCH(data!AA$1,Haver_M!$B$1:$BZ$1,0),FALSE),"")</f>
        <v>127.41</v>
      </c>
      <c r="AB207">
        <f>IF(ISNUMBER(VLOOKUP($A207,Haver_M!$B$1:$BZ$300,MATCH(data!AB$1,Haver_M!$B$1:$BZ$1,0),FALSE)),VLOOKUP($A207,Haver_M!$B$1:$BZ$300,MATCH(data!AB$1,Haver_M!$B$1:$BZ$1,0),FALSE),"")</f>
        <v>95.234999999999999</v>
      </c>
      <c r="AC207">
        <f>IF(ISNUMBER(VLOOKUP($A207,Haver_M!$B$1:$BZ$300,MATCH(data!AC$1,Haver_M!$B$1:$BZ$1,0),FALSE)),VLOOKUP($A207,Haver_M!$B$1:$BZ$300,MATCH(data!AC$1,Haver_M!$B$1:$BZ$1,0),FALSE),"")</f>
        <v>68.585999999999999</v>
      </c>
      <c r="AD207">
        <f>IF(ISNUMBER(VLOOKUP($A207,Haver_M!$B$1:$BZ$300,MATCH(data!AD$1,Haver_M!$B$1:$BZ$1,0),FALSE)),VLOOKUP($A207,Haver_M!$B$1:$BZ$300,MATCH(data!AD$1,Haver_M!$B$1:$BZ$1,0),FALSE),"")</f>
        <v>117.877</v>
      </c>
      <c r="AE207">
        <f>IF(ISNUMBER(VLOOKUP($A207,Haver_M!$B$1:$BZ$300,MATCH(data!AE$1,Haver_M!$B$1:$BZ$1,0),FALSE)),VLOOKUP($A207,Haver_M!$B$1:$BZ$300,MATCH(data!AE$1,Haver_M!$B$1:$BZ$1,0),FALSE),"")</f>
        <v>105.58</v>
      </c>
      <c r="AF207">
        <f>IF(ISNUMBER(VLOOKUP($A207,Haver_M!$B$1:$BZ$300,MATCH(data!AF$1,Haver_M!$B$1:$BZ$1,0),FALSE)),VLOOKUP($A207,Haver_M!$B$1:$BZ$300,MATCH(data!AF$1,Haver_M!$B$1:$BZ$1,0),FALSE),"")</f>
        <v>136.29300000000001</v>
      </c>
      <c r="AG207">
        <f>IF(ISNUMBER(VLOOKUP($A207,Haver_M!$B$1:$BZ$300,MATCH(data!AG$1,Haver_M!$B$1:$BZ$1,0),FALSE)),VLOOKUP($A207,Haver_M!$B$1:$BZ$300,MATCH(data!AG$1,Haver_M!$B$1:$BZ$1,0),FALSE),"")</f>
        <v>113.033</v>
      </c>
      <c r="AH207">
        <f>IF(ISNUMBER(VLOOKUP($A207,Haver_M!$B$1:$BZ$300,MATCH(data!AH$1,Haver_M!$B$1:$BZ$1,0),FALSE)),VLOOKUP($A207,Haver_M!$B$1:$BZ$300,MATCH(data!AH$1,Haver_M!$B$1:$BZ$1,0),FALSE),"")</f>
        <v>144.66</v>
      </c>
      <c r="AI207">
        <f>IF(ISNUMBER(VLOOKUP($A207,Haver_M!$B$1:$BZ$300,MATCH(data!AI$1,Haver_M!$B$1:$BZ$1,0),FALSE)),VLOOKUP($A207,Haver_M!$B$1:$BZ$300,MATCH(data!AI$1,Haver_M!$B$1:$BZ$1,0),FALSE),"")</f>
        <v>15940.886841313602</v>
      </c>
      <c r="AJ207">
        <f>IF(ISNUMBER(VLOOKUP($A207,Haver_M!$B$1:$BZ$300,MATCH(data!AJ$1,Haver_M!$B$1:$BZ$1,0),FALSE)),VLOOKUP($A207,Haver_M!$B$1:$BZ$300,MATCH(data!AJ$1,Haver_M!$B$1:$BZ$1,0),FALSE),"")</f>
        <v>25163.99</v>
      </c>
      <c r="AK207">
        <f>IF(ISNUMBER(VLOOKUP($A207,Haver_M!$B$1:$BZ$300,MATCH(data!AK$1,Haver_M!$B$1:$BZ$1,0),FALSE)),VLOOKUP($A207,Haver_M!$B$1:$BZ$300,MATCH(data!AK$1,Haver_M!$B$1:$BZ$1,0),FALSE),"")</f>
        <v>37037.339999999997</v>
      </c>
      <c r="AL207">
        <f>IF(ISNUMBER(VLOOKUP($A207,Haver_M!$B$1:$BZ$300,MATCH(data!AL$1,Haver_M!$B$1:$BZ$1,0),FALSE)),VLOOKUP($A207,Haver_M!$B$1:$BZ$300,MATCH(data!AL$1,Haver_M!$B$1:$BZ$1,0),FALSE),"")</f>
        <v>13060</v>
      </c>
      <c r="AM207">
        <f>IF(ISNUMBER(VLOOKUP($A207,Haver_M!$B$1:$BZ$300,MATCH(data!AM$1,Haver_M!$B$1:$BZ$1,0),FALSE)),VLOOKUP($A207,Haver_M!$B$1:$BZ$300,MATCH(data!AM$1,Haver_M!$B$1:$BZ$1,0),FALSE),"")</f>
        <v>7235</v>
      </c>
      <c r="AN207" t="str">
        <f>IF(ISNUMBER(VLOOKUP($A207,Haver_M!$B$1:$BZ$300,MATCH(data!AN$1,Haver_M!$B$1:$BZ$1,0),FALSE)),VLOOKUP($A207,Haver_M!$B$1:$BZ$300,MATCH(data!AN$1,Haver_M!$B$1:$BZ$1,0),FALSE),"")</f>
        <v/>
      </c>
      <c r="AO207" t="str">
        <f>IF(ISNUMBER(VLOOKUP($A207,Haver_M!$B$1:$BZ$300,MATCH(data!AO$1,Haver_M!$B$1:$BZ$1,0),FALSE)),VLOOKUP($A207,Haver_M!$B$1:$BZ$300,MATCH(data!AO$1,Haver_M!$B$1:$BZ$1,0),FALSE),"")</f>
        <v/>
      </c>
      <c r="AP207">
        <f>IF(ISNUMBER(VLOOKUP($A207,Haver_M!$B$1:$BZ$300,MATCH(data!AP$1,Haver_M!$B$1:$BZ$1,0),FALSE)),VLOOKUP($A207,Haver_M!$B$1:$BZ$300,MATCH(data!AP$1,Haver_M!$B$1:$BZ$1,0),FALSE),"")</f>
        <v>100.46812846625274</v>
      </c>
      <c r="AQ207">
        <f>IF(ISNUMBER(VLOOKUP($A207,Haver_M!$B$1:$BZ$300,MATCH(data!AQ$1,Haver_M!$B$1:$BZ$1,0),FALSE)),VLOOKUP($A207,Haver_M!$B$1:$BZ$300,MATCH(data!AQ$1,Haver_M!$B$1:$BZ$1,0),FALSE),"")</f>
        <v>50.680999999999997</v>
      </c>
      <c r="AR207">
        <f>IF(ISNUMBER(VLOOKUP($A207,Haver_M!$B$1:$BZ$300,MATCH(data!AR$1,Haver_M!$B$1:$BZ$1,0),FALSE)),VLOOKUP($A207,Haver_M!$B$1:$BZ$300,MATCH(data!AR$1,Haver_M!$B$1:$BZ$1,0),FALSE),"")</f>
        <v>50.660200000000003</v>
      </c>
      <c r="AS207">
        <f>IF(ISNUMBER(VLOOKUP($A207,Haver_M!$B$1:$BZ$300,MATCH(data!AS$1,Haver_M!$B$1:$BZ$1,0),FALSE)),VLOOKUP($A207,Haver_M!$B$1:$BZ$300,MATCH(data!AS$1,Haver_M!$B$1:$BZ$1,0),FALSE),"")</f>
        <v>50.299199999999999</v>
      </c>
      <c r="AT207">
        <f>IF(ISNUMBER(VLOOKUP($A207,Haver_M!$B$1:$BZ$300,MATCH(data!AT$1,Haver_M!$B$1:$BZ$1,0),FALSE)),VLOOKUP($A207,Haver_M!$B$1:$BZ$300,MATCH(data!AT$1,Haver_M!$B$1:$BZ$1,0),FALSE),"")</f>
        <v>51.521799999999999</v>
      </c>
      <c r="AU207">
        <f>IF(ISNUMBER(VLOOKUP($A207,Haver_M!$B$1:$BZ$300,MATCH(data!AU$1,Haver_M!$B$1:$BZ$1,0),FALSE)),VLOOKUP($A207,Haver_M!$B$1:$BZ$300,MATCH(data!AU$1,Haver_M!$B$1:$BZ$1,0),FALSE),"")</f>
        <v>51.327100000000002</v>
      </c>
      <c r="AV207">
        <f>IF(ISNUMBER(VLOOKUP($A207,Haver_M!$B$1:$BZ$300,MATCH(data!AV$1,Haver_M!$B$1:$BZ$1,0),FALSE)),VLOOKUP($A207,Haver_M!$B$1:$BZ$300,MATCH(data!AV$1,Haver_M!$B$1:$BZ$1,0),FALSE),"")</f>
        <v>49.525500000000001</v>
      </c>
      <c r="AW207">
        <f>IF(ISNUMBER(VLOOKUP($A207,Haver_M!$B$1:$BZ$300,MATCH(data!AW$1,Haver_M!$B$1:$BZ$1,0),FALSE)),VLOOKUP($A207,Haver_M!$B$1:$BZ$300,MATCH(data!AW$1,Haver_M!$B$1:$BZ$1,0),FALSE),"")</f>
        <v>49.853200000000001</v>
      </c>
      <c r="AX207">
        <f>IF(ISNUMBER(VLOOKUP($A207,Haver_M!$B$1:$BZ$300,MATCH(data!AX$1,Haver_M!$B$1:$BZ$1,0),FALSE)),VLOOKUP($A207,Haver_M!$B$1:$BZ$300,MATCH(data!AX$1,Haver_M!$B$1:$BZ$1,0),FALSE),"")</f>
        <v>49.545499999999997</v>
      </c>
      <c r="AY207">
        <f>IF(ISNUMBER(VLOOKUP($A207,Haver_M!$B$1:$BZ$300,MATCH(data!AY$1,Haver_M!$B$1:$BZ$1,0),FALSE)),VLOOKUP($A207,Haver_M!$B$1:$BZ$300,MATCH(data!AY$1,Haver_M!$B$1:$BZ$1,0),FALSE),"")</f>
        <v>57.491999999999997</v>
      </c>
      <c r="AZ207">
        <f>IF(ISNUMBER(VLOOKUP($A207,Haver_M!$B$1:$BZ$300,MATCH(data!AZ$1,Haver_M!$B$1:$BZ$1,0),FALSE)),VLOOKUP($A207,Haver_M!$B$1:$BZ$300,MATCH(data!AZ$1,Haver_M!$B$1:$BZ$1,0),FALSE),"")</f>
        <v>51.020200000000003</v>
      </c>
      <c r="BA207">
        <f>IF(ISNUMBER(VLOOKUP($A207,Haver_M!$B$1:$BZ$300,MATCH(data!BA$1,Haver_M!$B$1:$BZ$1,0),FALSE)),VLOOKUP($A207,Haver_M!$B$1:$BZ$300,MATCH(data!BA$1,Haver_M!$B$1:$BZ$1,0),FALSE),"")</f>
        <v>49.545499999999997</v>
      </c>
      <c r="BB207">
        <f>IF(ISNUMBER(VLOOKUP($A207,Haver_M!$B$1:$BZ$300,MATCH(data!BB$1,Haver_M!$B$1:$BZ$1,0),FALSE)),VLOOKUP($A207,Haver_M!$B$1:$BZ$300,MATCH(data!BB$1,Haver_M!$B$1:$BZ$1,0),FALSE),"")</f>
        <v>50.709699999999998</v>
      </c>
      <c r="BC207">
        <f>IF(ISNUMBER(VLOOKUP($A207,Haver_M!$B$1:$BZ$300,MATCH(data!BC$1,Haver_M!$B$1:$BZ$1,0),FALSE)),VLOOKUP($A207,Haver_M!$B$1:$BZ$300,MATCH(data!BC$1,Haver_M!$B$1:$BZ$1,0),FALSE),"")</f>
        <v>53.3645</v>
      </c>
      <c r="BD207">
        <f>IF(ISNUMBER(VLOOKUP($A207,Haver_M!$B$1:$BZ$300,MATCH(data!BD$1,Haver_M!$B$1:$BZ$1,0),FALSE)),VLOOKUP($A207,Haver_M!$B$1:$BZ$300,MATCH(data!BD$1,Haver_M!$B$1:$BZ$1,0),FALSE),"")</f>
        <v>52.286299999999997</v>
      </c>
      <c r="BE207">
        <f>IF(ISNUMBER(VLOOKUP($A207,Haver_M!$B$1:$BZ$300,MATCH(data!BE$1,Haver_M!$B$1:$BZ$1,0),FALSE)),VLOOKUP($A207,Haver_M!$B$1:$BZ$300,MATCH(data!BE$1,Haver_M!$B$1:$BZ$1,0),FALSE),"")</f>
        <v>1.1232</v>
      </c>
      <c r="BF207">
        <f>IF(ISNUMBER(VLOOKUP($A207,Haver_M!$B$1:$BZ$300,MATCH(data!BF$1,Haver_M!$B$1:$BZ$1,0),FALSE)),VLOOKUP($A207,Haver_M!$B$1:$BZ$300,MATCH(data!BF$1,Haver_M!$B$1:$BZ$1,0),FALSE),"")</f>
        <v>49.948099999999997</v>
      </c>
      <c r="BG207">
        <f>IF(ISNUMBER(VLOOKUP($A207,Haver_M!$B$1:$BZ$300,MATCH(data!BG$1,Haver_M!$B$1:$BZ$1,0),FALSE)),VLOOKUP($A207,Haver_M!$B$1:$BZ$300,MATCH(data!BG$1,Haver_M!$B$1:$BZ$1,0),FALSE),"")</f>
        <v>50.969200000000001</v>
      </c>
      <c r="BH207">
        <f>IF(ISNUMBER(VLOOKUP($A207,Haver_M!$B$1:$BZ$300,MATCH(data!BH$1,Haver_M!$B$1:$BZ$1,0),FALSE)),VLOOKUP($A207,Haver_M!$B$1:$BZ$300,MATCH(data!BH$1,Haver_M!$B$1:$BZ$1,0),FALSE),"")</f>
        <v>50.2547</v>
      </c>
      <c r="BI207">
        <f>IF(ISNUMBER(VLOOKUP($A207,Haver_M!$B$1:$BZ$300,MATCH(data!BI$1,Haver_M!$B$1:$BZ$1,0),FALSE)),VLOOKUP($A207,Haver_M!$B$1:$BZ$300,MATCH(data!BI$1,Haver_M!$B$1:$BZ$1,0),FALSE),"")</f>
        <v>52.153399999999998</v>
      </c>
      <c r="BJ207">
        <f>IF(ISNUMBER(VLOOKUP($A207,Haver_M!$B$1:$BZ$300,MATCH(data!BJ$1,Haver_M!$B$1:$BZ$1,0),FALSE)),VLOOKUP($A207,Haver_M!$B$1:$BZ$300,MATCH(data!BJ$1,Haver_M!$B$1:$BZ$1,0),FALSE),"")</f>
        <v>51.315300000000001</v>
      </c>
      <c r="BK207">
        <f>IF(ISNUMBER(VLOOKUP($A207,Haver_M!$B$1:$BZ$300,MATCH(data!BK$1,Haver_M!$B$1:$BZ$1,0),FALSE)),VLOOKUP($A207,Haver_M!$B$1:$BZ$300,MATCH(data!BK$1,Haver_M!$B$1:$BZ$1,0),FALSE),"")</f>
        <v>52.571100000000001</v>
      </c>
      <c r="BL207">
        <f>IF(ISNUMBER(VLOOKUP($A207,Haver_M!$B$1:$BZ$300,MATCH(data!BL$1,Haver_M!$B$1:$BZ$1,0),FALSE)),VLOOKUP($A207,Haver_M!$B$1:$BZ$300,MATCH(data!BL$1,Haver_M!$B$1:$BZ$1,0),FALSE),"")</f>
        <v>28457.4</v>
      </c>
      <c r="BM207">
        <f>IF(ISNUMBER(VLOOKUP($A207,Haver_M!$B$1:$BZ$300,MATCH(data!BM$1,Haver_M!$B$1:$BZ$1,0),FALSE)),VLOOKUP($A207,Haver_M!$B$1:$BZ$300,MATCH(data!BM$1,Haver_M!$B$1:$BZ$1,0),FALSE),"")</f>
        <v>91.486917120000001</v>
      </c>
      <c r="BN207" t="str">
        <f>IF(ISNUMBER(VLOOKUP($A207,Haver_M!$B$1:$BZ$300,MATCH(data!BN$1,Haver_M!$B$1:$BZ$1,0),FALSE)),VLOOKUP($A207,Haver_M!$B$1:$BZ$300,MATCH(data!BN$1,Haver_M!$B$1:$BZ$1,0),FALSE),"")</f>
        <v/>
      </c>
      <c r="BO207" t="str">
        <f>IF(ISNUMBER(VLOOKUP($A207,Haver_M!$B$1:$BZ$300,MATCH(data!BO$1,Haver_M!$B$1:$BZ$1,0),FALSE)),VLOOKUP($A207,Haver_M!$B$1:$BZ$300,MATCH(data!BO$1,Haver_M!$B$1:$BZ$1,0),FALSE),"")</f>
        <v/>
      </c>
      <c r="BP207" t="str">
        <f>IF(ISNUMBER(VLOOKUP($A207,Haver_M!$B$1:$BZ$300,MATCH(data!BP$1,Haver_M!$B$1:$BZ$1,0),FALSE)),VLOOKUP($A207,Haver_M!$B$1:$BZ$300,MATCH(data!BP$1,Haver_M!$B$1:$BZ$1,0),FALSE),"")</f>
        <v/>
      </c>
      <c r="BQ207">
        <f>IF(ISNUMBER(VLOOKUP($A207,Haver_M!$B$1:$BZ$300,MATCH(data!BQ$1,Haver_M!$B$1:$BZ$1,0),FALSE)),VLOOKUP($A207,Haver_M!$B$1:$BZ$300,MATCH(data!BQ$1,Haver_M!$B$1:$BZ$1,0),FALSE),"")</f>
        <v>240.50972411685336</v>
      </c>
      <c r="BR207">
        <f>IF(ISNUMBER(VLOOKUP($A207,Haver_M!$B$1:$BZ$300,MATCH(data!BR$1,Haver_M!$B$1:$BZ$1,0),FALSE)),VLOOKUP($A207,Haver_M!$B$1:$BZ$300,MATCH(data!BR$1,Haver_M!$B$1:$BZ$1,0),FALSE),"")</f>
        <v>391.27460846359696</v>
      </c>
      <c r="BS207">
        <f>IF(ISNUMBER(VLOOKUP($A207,Haver_M!$B$1:$BZ$300,MATCH(data!BS$1,Haver_M!$B$1:$BZ$1,0),FALSE)),VLOOKUP($A207,Haver_M!$B$1:$BZ$300,MATCH(data!BS$1,Haver_M!$B$1:$BZ$1,0),FALSE),"")</f>
        <v>244.67458311902254</v>
      </c>
      <c r="BT207">
        <f>IF(ISNUMBER(VLOOKUP($A207,Haver_M!$B$1:$BZ$300,MATCH(data!BT$1,Haver_M!$B$1:$BZ$1,0),FALSE)),VLOOKUP($A207,Haver_M!$B$1:$BZ$300,MATCH(data!BT$1,Haver_M!$B$1:$BZ$1,0),FALSE),"")</f>
        <v>1021.0695410395747</v>
      </c>
      <c r="BU207">
        <f>IF(ISNUMBER(VLOOKUP($A207,Haver_M!$B$1:$BZ$300,MATCH(data!BU$1,Haver_M!$B$1:$BZ$1,0),FALSE)),VLOOKUP($A207,Haver_M!$B$1:$BZ$300,MATCH(data!BU$1,Haver_M!$B$1:$BZ$1,0),FALSE),"")</f>
        <v>24726.71</v>
      </c>
      <c r="BV207">
        <f>IF(ISNUMBER(VLOOKUP($A207,Haver_M!$B$1:$BZ$300,MATCH(data!BV$1,Haver_M!$B$1:$BZ$1,0),FALSE)),VLOOKUP($A207,Haver_M!$B$1:$BZ$300,MATCH(data!BV$1,Haver_M!$B$1:$BZ$1,0),FALSE),"")</f>
        <v>34248.44</v>
      </c>
      <c r="BW207">
        <f>IF(ISNUMBER(VLOOKUP($A207,Haver_M!$B$1:$BZ$300,MATCH(data!BW$1,Haver_M!$B$1:$BZ$1,0),FALSE)),VLOOKUP($A207,Haver_M!$B$1:$BZ$300,MATCH(data!BW$1,Haver_M!$B$1:$BZ$1,0),FALSE),"")</f>
        <v>67.075500000000005</v>
      </c>
      <c r="BX207">
        <f>IF(ISNUMBER(VLOOKUP($A207,Haver_M!$B$1:$BZ$300,MATCH(data!BX$1,Haver_M!$B$1:$BZ$1,0),FALSE)),VLOOKUP($A207,Haver_M!$B$1:$BZ$300,MATCH(data!BX$1,Haver_M!$B$1:$BZ$1,0),FALSE),"")</f>
        <v>46435</v>
      </c>
    </row>
    <row r="208" spans="1:76" x14ac:dyDescent="0.25">
      <c r="A208" s="2">
        <v>42825</v>
      </c>
      <c r="B208">
        <f>IF(ISNUMBER(VLOOKUP($A208,Haver_Q!$B$1:$L$185,MATCH(data!B$1,Haver_Q!$B$1:$L$1,0),FALSE)),100*(VLOOKUP($A208,Haver_Q!$B$1:$L$185,MATCH(data!B$1,Haver_Q!$B$1:$L$1,0),FALSE)),"")</f>
        <v>7.0483865531531853</v>
      </c>
      <c r="C208">
        <f>IF(ISNUMBER(VLOOKUP($A208,Haver_Q!$B$1:$L$185,MATCH(data!C$1,Haver_Q!$B$1:$L$1,0),FALSE)),100*(VLOOKUP($A208,Haver_Q!$B$1:$L$185,MATCH(data!C$1,Haver_Q!$B$1:$L$1,0),FALSE)),"")</f>
        <v>-4.6074177264280314</v>
      </c>
      <c r="D208">
        <f>IF(ISNUMBER(VLOOKUP($A208,Haver_Q!$B$1:$L$185,MATCH(data!D$1,Haver_Q!$B$1:$L$1,0),FALSE)),100*(VLOOKUP($A208,Haver_Q!$B$1:$L$185,MATCH(data!D$1,Haver_Q!$B$1:$L$1,0),FALSE)),"")</f>
        <v>-13.15902535545983</v>
      </c>
      <c r="E208">
        <f>IF(ISNUMBER(VLOOKUP($A208,Haver_Q!$B$1:$L$185,MATCH(data!E$1,Haver_Q!$B$1:$L$1,0),FALSE)),100*(VLOOKUP($A208,Haver_Q!$B$1:$L$185,MATCH(data!E$1,Haver_Q!$B$1:$L$1,0),FALSE)),"")</f>
        <v>7.3311009641276792</v>
      </c>
      <c r="F208">
        <f>IF(ISNUMBER(VLOOKUP($A208,Haver_Q!$B$1:$L$185,MATCH(data!F$1,Haver_Q!$B$1:$L$1,0),FALSE)),100*(VLOOKUP($A208,Haver_Q!$B$1:$L$185,MATCH(data!F$1,Haver_Q!$B$1:$L$1,0),FALSE)),"")</f>
        <v>14.909064530968186</v>
      </c>
      <c r="G208">
        <f>IF(ISNUMBER(VLOOKUP($A208,Haver_Q!$B$1:$L$185,MATCH(data!G$1,Haver_Q!$B$1:$L$1,0),FALSE)),100*(VLOOKUP($A208,Haver_Q!$B$1:$L$185,MATCH(data!G$1,Haver_Q!$B$1:$L$1,0),FALSE)),"")</f>
        <v>-3.8990366692046474</v>
      </c>
      <c r="H208">
        <f>IF(ISNUMBER(VLOOKUP($A208,Haver_Q!$B$1:$L$185,MATCH(data!H$1,Haver_Q!$B$1:$L$1,0),FALSE)),(VLOOKUP($A208,Haver_Q!$B$1:$L$185,MATCH(data!H$1,Haver_Q!$B$1:$L$1,0),FALSE)),"")</f>
        <v>4.0838497155759157</v>
      </c>
      <c r="I208">
        <f>IF(ISNUMBER(VLOOKUP($A208,Haver_Q!$B$1:$L$185,MATCH(data!I$1,Haver_Q!$B$1:$L$1,0),FALSE)),100*(VLOOKUP($A208,Haver_Q!$B$1:$L$185,MATCH(data!I$1,Haver_Q!$B$1:$L$1,0),FALSE)),"")</f>
        <v>7.0422275481124785</v>
      </c>
      <c r="J208" s="3">
        <f>IF(ISNUMBER(Bloomberg_m!C224),Bloomberg_m!C224,"")</f>
        <v>1141</v>
      </c>
      <c r="K208" s="3">
        <f>IF(ISNUMBER(Bloomberg_m!D224),Bloomberg_m!D224,"")</f>
        <v>1443.6</v>
      </c>
      <c r="L208" s="3">
        <f>IF(ISNUMBER(Bloomberg_m!E224),Bloomberg_m!E224,"")</f>
        <v>775.17</v>
      </c>
      <c r="M208" s="3">
        <f>IF(ISNUMBER(Bloomberg_m!F224),Bloomberg_m!F224,"")</f>
        <v>444.95</v>
      </c>
      <c r="N208">
        <f>IF(ISNUMBER(VLOOKUP($A208,Haver_M!$B$1:$BZ$300,MATCH(data!N$1,Haver_M!$B$1:$BZ$1,0),FALSE)),VLOOKUP($A208,Haver_M!$B$1:$BZ$300,MATCH(data!N$1,Haver_M!$B$1:$BZ$1,0),FALSE),"")</f>
        <v>6.25</v>
      </c>
      <c r="O208">
        <f>IF(ISNUMBER(VLOOKUP($A208,Haver_M!$B$1:$BZ$300,MATCH(data!O$1,Haver_M!$B$1:$BZ$1,0),FALSE)),VLOOKUP($A208,Haver_M!$B$1:$BZ$300,MATCH(data!O$1,Haver_M!$B$1:$BZ$1,0),FALSE),"")</f>
        <v>7.0563000000000002</v>
      </c>
      <c r="P208">
        <f>IF(ISNUMBER(VLOOKUP($A208,Haver_M!$B$1:$BZ$300,MATCH(data!P$1,Haver_M!$B$1:$BZ$1,0),FALSE)),VLOOKUP($A208,Haver_M!$B$1:$BZ$300,MATCH(data!P$1,Haver_M!$B$1:$BZ$1,0),FALSE),"")</f>
        <v>94.343599999999995</v>
      </c>
      <c r="Q208">
        <f>IF(ISNUMBER(VLOOKUP($A208,Haver_M!$B$1:$BZ$300,MATCH(data!Q$1,Haver_M!$B$1:$BZ$1,0),FALSE)),VLOOKUP($A208,Haver_M!$B$1:$BZ$300,MATCH(data!Q$1,Haver_M!$B$1:$BZ$1,0),FALSE),"")</f>
        <v>130.9</v>
      </c>
      <c r="R208">
        <f>IF(ISNUMBER(VLOOKUP($A208,Haver_M!$B$1:$BZ$300,MATCH(data!R$1,Haver_M!$B$1:$BZ$1,0),FALSE)),VLOOKUP($A208,Haver_M!$B$1:$BZ$300,MATCH(data!R$1,Haver_M!$B$1:$BZ$1,0),FALSE),"")</f>
        <v>130.30000000000001</v>
      </c>
      <c r="S208">
        <f>IF(ISNUMBER(VLOOKUP($A208,Haver_M!$B$1:$BZ$300,MATCH(data!S$1,Haver_M!$B$1:$BZ$1,0),FALSE)),VLOOKUP($A208,Haver_M!$B$1:$BZ$300,MATCH(data!S$1,Haver_M!$B$1:$BZ$1,0),FALSE),"")</f>
        <v>121.87</v>
      </c>
      <c r="T208">
        <f>IF(ISNUMBER(VLOOKUP($A208,Haver_M!$B$1:$BZ$300,MATCH(data!T$1,Haver_M!$B$1:$BZ$1,0),FALSE)),VLOOKUP($A208,Haver_M!$B$1:$BZ$300,MATCH(data!T$1,Haver_M!$B$1:$BZ$1,0),FALSE),"")</f>
        <v>121.69</v>
      </c>
      <c r="U208">
        <f>IF(ISNUMBER(VLOOKUP($A208,Haver_M!$B$1:$BZ$300,MATCH(data!U$1,Haver_M!$B$1:$BZ$1,0),FALSE)),VLOOKUP($A208,Haver_M!$B$1:$BZ$300,MATCH(data!U$1,Haver_M!$B$1:$BZ$1,0),FALSE),"")</f>
        <v>105.24</v>
      </c>
      <c r="V208">
        <f>IF(ISNUMBER(VLOOKUP($A208,Haver_M!$B$1:$BZ$300,MATCH(data!V$1,Haver_M!$B$1:$BZ$1,0),FALSE)),VLOOKUP($A208,Haver_M!$B$1:$BZ$300,MATCH(data!V$1,Haver_M!$B$1:$BZ$1,0),FALSE),"")</f>
        <v>123.97</v>
      </c>
      <c r="W208">
        <f>IF(ISNUMBER(VLOOKUP($A208,Haver_M!$B$1:$BZ$300,MATCH(data!W$1,Haver_M!$B$1:$BZ$1,0),FALSE)),VLOOKUP($A208,Haver_M!$B$1:$BZ$300,MATCH(data!W$1,Haver_M!$B$1:$BZ$1,0),FALSE),"")</f>
        <v>125.89</v>
      </c>
      <c r="X208">
        <f>IF(ISNUMBER(VLOOKUP($A208,Haver_M!$B$1:$BZ$300,MATCH(data!X$1,Haver_M!$B$1:$BZ$1,0),FALSE)),VLOOKUP($A208,Haver_M!$B$1:$BZ$300,MATCH(data!X$1,Haver_M!$B$1:$BZ$1,0),FALSE),"")</f>
        <v>121</v>
      </c>
      <c r="Y208">
        <f>IF(ISNUMBER(VLOOKUP($A208,Haver_M!$B$1:$BZ$300,MATCH(data!Y$1,Haver_M!$B$1:$BZ$1,0),FALSE)),VLOOKUP($A208,Haver_M!$B$1:$BZ$300,MATCH(data!Y$1,Haver_M!$B$1:$BZ$1,0),FALSE),"")</f>
        <v>124.05</v>
      </c>
      <c r="Z208">
        <f>IF(ISNUMBER(VLOOKUP($A208,Haver_M!$B$1:$BZ$300,MATCH(data!Z$1,Haver_M!$B$1:$BZ$1,0),FALSE)),VLOOKUP($A208,Haver_M!$B$1:$BZ$300,MATCH(data!Z$1,Haver_M!$B$1:$BZ$1,0),FALSE),"")</f>
        <v>123.5</v>
      </c>
      <c r="AA208">
        <f>IF(ISNUMBER(VLOOKUP($A208,Haver_M!$B$1:$BZ$300,MATCH(data!AA$1,Haver_M!$B$1:$BZ$1,0),FALSE)),VLOOKUP($A208,Haver_M!$B$1:$BZ$300,MATCH(data!AA$1,Haver_M!$B$1:$BZ$1,0),FALSE),"")</f>
        <v>124.364</v>
      </c>
      <c r="AB208">
        <f>IF(ISNUMBER(VLOOKUP($A208,Haver_M!$B$1:$BZ$300,MATCH(data!AB$1,Haver_M!$B$1:$BZ$1,0),FALSE)),VLOOKUP($A208,Haver_M!$B$1:$BZ$300,MATCH(data!AB$1,Haver_M!$B$1:$BZ$1,0),FALSE),"")</f>
        <v>94.855000000000004</v>
      </c>
      <c r="AC208">
        <f>IF(ISNUMBER(VLOOKUP($A208,Haver_M!$B$1:$BZ$300,MATCH(data!AC$1,Haver_M!$B$1:$BZ$1,0),FALSE)),VLOOKUP($A208,Haver_M!$B$1:$BZ$300,MATCH(data!AC$1,Haver_M!$B$1:$BZ$1,0),FALSE),"")</f>
        <v>68.501999999999995</v>
      </c>
      <c r="AD208">
        <f>IF(ISNUMBER(VLOOKUP($A208,Haver_M!$B$1:$BZ$300,MATCH(data!AD$1,Haver_M!$B$1:$BZ$1,0),FALSE)),VLOOKUP($A208,Haver_M!$B$1:$BZ$300,MATCH(data!AD$1,Haver_M!$B$1:$BZ$1,0),FALSE),"")</f>
        <v>123.09699999999999</v>
      </c>
      <c r="AE208">
        <f>IF(ISNUMBER(VLOOKUP($A208,Haver_M!$B$1:$BZ$300,MATCH(data!AE$1,Haver_M!$B$1:$BZ$1,0),FALSE)),VLOOKUP($A208,Haver_M!$B$1:$BZ$300,MATCH(data!AE$1,Haver_M!$B$1:$BZ$1,0),FALSE),"")</f>
        <v>109.861</v>
      </c>
      <c r="AF208">
        <f>IF(ISNUMBER(VLOOKUP($A208,Haver_M!$B$1:$BZ$300,MATCH(data!AF$1,Haver_M!$B$1:$BZ$1,0),FALSE)),VLOOKUP($A208,Haver_M!$B$1:$BZ$300,MATCH(data!AF$1,Haver_M!$B$1:$BZ$1,0),FALSE),"")</f>
        <v>138.22800000000001</v>
      </c>
      <c r="AG208">
        <f>IF(ISNUMBER(VLOOKUP($A208,Haver_M!$B$1:$BZ$300,MATCH(data!AG$1,Haver_M!$B$1:$BZ$1,0),FALSE)),VLOOKUP($A208,Haver_M!$B$1:$BZ$300,MATCH(data!AG$1,Haver_M!$B$1:$BZ$1,0),FALSE),"")</f>
        <v>118.809</v>
      </c>
      <c r="AH208">
        <f>IF(ISNUMBER(VLOOKUP($A208,Haver_M!$B$1:$BZ$300,MATCH(data!AH$1,Haver_M!$B$1:$BZ$1,0),FALSE)),VLOOKUP($A208,Haver_M!$B$1:$BZ$300,MATCH(data!AH$1,Haver_M!$B$1:$BZ$1,0),FALSE),"")</f>
        <v>146.73500000000001</v>
      </c>
      <c r="AI208">
        <f>IF(ISNUMBER(VLOOKUP($A208,Haver_M!$B$1:$BZ$300,MATCH(data!AI$1,Haver_M!$B$1:$BZ$1,0),FALSE)),VLOOKUP($A208,Haver_M!$B$1:$BZ$300,MATCH(data!AI$1,Haver_M!$B$1:$BZ$1,0),FALSE),"")</f>
        <v>16264.790699960695</v>
      </c>
      <c r="AJ208">
        <f>IF(ISNUMBER(VLOOKUP($A208,Haver_M!$B$1:$BZ$300,MATCH(data!AJ$1,Haver_M!$B$1:$BZ$1,0),FALSE)),VLOOKUP($A208,Haver_M!$B$1:$BZ$300,MATCH(data!AJ$1,Haver_M!$B$1:$BZ$1,0),FALSE),"")</f>
        <v>26056.560000000001</v>
      </c>
      <c r="AK208">
        <f>IF(ISNUMBER(VLOOKUP($A208,Haver_M!$B$1:$BZ$300,MATCH(data!AK$1,Haver_M!$B$1:$BZ$1,0),FALSE)),VLOOKUP($A208,Haver_M!$B$1:$BZ$300,MATCH(data!AK$1,Haver_M!$B$1:$BZ$1,0),FALSE),"")</f>
        <v>38246.06</v>
      </c>
      <c r="AL208">
        <f>IF(ISNUMBER(VLOOKUP($A208,Haver_M!$B$1:$BZ$300,MATCH(data!AL$1,Haver_M!$B$1:$BZ$1,0),FALSE)),VLOOKUP($A208,Haver_M!$B$1:$BZ$300,MATCH(data!AL$1,Haver_M!$B$1:$BZ$1,0),FALSE),"")</f>
        <v>14179</v>
      </c>
      <c r="AM208">
        <f>IF(ISNUMBER(VLOOKUP($A208,Haver_M!$B$1:$BZ$300,MATCH(data!AM$1,Haver_M!$B$1:$BZ$1,0),FALSE)),VLOOKUP($A208,Haver_M!$B$1:$BZ$300,MATCH(data!AM$1,Haver_M!$B$1:$BZ$1,0),FALSE),"")</f>
        <v>8267</v>
      </c>
      <c r="AN208">
        <f>IF(ISNUMBER(VLOOKUP($A208,Haver_M!$B$1:$BZ$300,MATCH(data!AN$1,Haver_M!$B$1:$BZ$1,0),FALSE)),VLOOKUP($A208,Haver_M!$B$1:$BZ$300,MATCH(data!AN$1,Haver_M!$B$1:$BZ$1,0),FALSE),"")</f>
        <v>98.7</v>
      </c>
      <c r="AO208">
        <f>IF(ISNUMBER(VLOOKUP($A208,Haver_M!$B$1:$BZ$300,MATCH(data!AO$1,Haver_M!$B$1:$BZ$1,0),FALSE)),VLOOKUP($A208,Haver_M!$B$1:$BZ$300,MATCH(data!AO$1,Haver_M!$B$1:$BZ$1,0),FALSE),"")</f>
        <v>121.7</v>
      </c>
      <c r="AP208">
        <f>IF(ISNUMBER(VLOOKUP($A208,Haver_M!$B$1:$BZ$300,MATCH(data!AP$1,Haver_M!$B$1:$BZ$1,0),FALSE)),VLOOKUP($A208,Haver_M!$B$1:$BZ$300,MATCH(data!AP$1,Haver_M!$B$1:$BZ$1,0),FALSE),"")</f>
        <v>78.703256111111685</v>
      </c>
      <c r="AQ208">
        <f>IF(ISNUMBER(VLOOKUP($A208,Haver_M!$B$1:$BZ$300,MATCH(data!AQ$1,Haver_M!$B$1:$BZ$1,0),FALSE)),VLOOKUP($A208,Haver_M!$B$1:$BZ$300,MATCH(data!AQ$1,Haver_M!$B$1:$BZ$1,0),FALSE),"")</f>
        <v>52.322099999999999</v>
      </c>
      <c r="AR208">
        <f>IF(ISNUMBER(VLOOKUP($A208,Haver_M!$B$1:$BZ$300,MATCH(data!AR$1,Haver_M!$B$1:$BZ$1,0),FALSE)),VLOOKUP($A208,Haver_M!$B$1:$BZ$300,MATCH(data!AR$1,Haver_M!$B$1:$BZ$1,0),FALSE),"")</f>
        <v>52.485900000000001</v>
      </c>
      <c r="AS208">
        <f>IF(ISNUMBER(VLOOKUP($A208,Haver_M!$B$1:$BZ$300,MATCH(data!AS$1,Haver_M!$B$1:$BZ$1,0),FALSE)),VLOOKUP($A208,Haver_M!$B$1:$BZ$300,MATCH(data!AS$1,Haver_M!$B$1:$BZ$1,0),FALSE),"")</f>
        <v>51.525199999999998</v>
      </c>
      <c r="AT208">
        <f>IF(ISNUMBER(VLOOKUP($A208,Haver_M!$B$1:$BZ$300,MATCH(data!AT$1,Haver_M!$B$1:$BZ$1,0),FALSE)),VLOOKUP($A208,Haver_M!$B$1:$BZ$300,MATCH(data!AT$1,Haver_M!$B$1:$BZ$1,0),FALSE),"")</f>
        <v>54.077300000000001</v>
      </c>
      <c r="AU208">
        <f>IF(ISNUMBER(VLOOKUP($A208,Haver_M!$B$1:$BZ$300,MATCH(data!AU$1,Haver_M!$B$1:$BZ$1,0),FALSE)),VLOOKUP($A208,Haver_M!$B$1:$BZ$300,MATCH(data!AU$1,Haver_M!$B$1:$BZ$1,0),FALSE),"")</f>
        <v>53.564900000000002</v>
      </c>
      <c r="AV208">
        <f>IF(ISNUMBER(VLOOKUP($A208,Haver_M!$B$1:$BZ$300,MATCH(data!AV$1,Haver_M!$B$1:$BZ$1,0),FALSE)),VLOOKUP($A208,Haver_M!$B$1:$BZ$300,MATCH(data!AV$1,Haver_M!$B$1:$BZ$1,0),FALSE),"")</f>
        <v>51.071100000000001</v>
      </c>
      <c r="AW208">
        <f>IF(ISNUMBER(VLOOKUP($A208,Haver_M!$B$1:$BZ$300,MATCH(data!AW$1,Haver_M!$B$1:$BZ$1,0),FALSE)),VLOOKUP($A208,Haver_M!$B$1:$BZ$300,MATCH(data!AW$1,Haver_M!$B$1:$BZ$1,0),FALSE),"")</f>
        <v>50.140799999999999</v>
      </c>
      <c r="AX208">
        <f>IF(ISNUMBER(VLOOKUP($A208,Haver_M!$B$1:$BZ$300,MATCH(data!AX$1,Haver_M!$B$1:$BZ$1,0),FALSE)),VLOOKUP($A208,Haver_M!$B$1:$BZ$300,MATCH(data!AX$1,Haver_M!$B$1:$BZ$1,0),FALSE),"")</f>
        <v>52.039900000000003</v>
      </c>
      <c r="AY208">
        <f>IF(ISNUMBER(VLOOKUP($A208,Haver_M!$B$1:$BZ$300,MATCH(data!AY$1,Haver_M!$B$1:$BZ$1,0),FALSE)),VLOOKUP($A208,Haver_M!$B$1:$BZ$300,MATCH(data!AY$1,Haver_M!$B$1:$BZ$1,0),FALSE),"")</f>
        <v>54.114699999999999</v>
      </c>
      <c r="AZ208">
        <f>IF(ISNUMBER(VLOOKUP($A208,Haver_M!$B$1:$BZ$300,MATCH(data!AZ$1,Haver_M!$B$1:$BZ$1,0),FALSE)),VLOOKUP($A208,Haver_M!$B$1:$BZ$300,MATCH(data!AZ$1,Haver_M!$B$1:$BZ$1,0),FALSE),"")</f>
        <v>52.979700000000001</v>
      </c>
      <c r="BA208">
        <f>IF(ISNUMBER(VLOOKUP($A208,Haver_M!$B$1:$BZ$300,MATCH(data!BA$1,Haver_M!$B$1:$BZ$1,0),FALSE)),VLOOKUP($A208,Haver_M!$B$1:$BZ$300,MATCH(data!BA$1,Haver_M!$B$1:$BZ$1,0),FALSE),"")</f>
        <v>52.039900000000003</v>
      </c>
      <c r="BB208">
        <f>IF(ISNUMBER(VLOOKUP($A208,Haver_M!$B$1:$BZ$300,MATCH(data!BB$1,Haver_M!$B$1:$BZ$1,0),FALSE)),VLOOKUP($A208,Haver_M!$B$1:$BZ$300,MATCH(data!BB$1,Haver_M!$B$1:$BZ$1,0),FALSE),"")</f>
        <v>52.638599999999997</v>
      </c>
      <c r="BC208">
        <f>IF(ISNUMBER(VLOOKUP($A208,Haver_M!$B$1:$BZ$300,MATCH(data!BC$1,Haver_M!$B$1:$BZ$1,0),FALSE)),VLOOKUP($A208,Haver_M!$B$1:$BZ$300,MATCH(data!BC$1,Haver_M!$B$1:$BZ$1,0),FALSE),"")</f>
        <v>50.971400000000003</v>
      </c>
      <c r="BD208">
        <f>IF(ISNUMBER(VLOOKUP($A208,Haver_M!$B$1:$BZ$300,MATCH(data!BD$1,Haver_M!$B$1:$BZ$1,0),FALSE)),VLOOKUP($A208,Haver_M!$B$1:$BZ$300,MATCH(data!BD$1,Haver_M!$B$1:$BZ$1,0),FALSE),"")</f>
        <v>51.673900000000003</v>
      </c>
      <c r="BE208">
        <f>IF(ISNUMBER(VLOOKUP($A208,Haver_M!$B$1:$BZ$300,MATCH(data!BE$1,Haver_M!$B$1:$BZ$1,0),FALSE)),VLOOKUP($A208,Haver_M!$B$1:$BZ$300,MATCH(data!BE$1,Haver_M!$B$1:$BZ$1,0),FALSE),"")</f>
        <v>1.1707000000000001</v>
      </c>
      <c r="BF208">
        <f>IF(ISNUMBER(VLOOKUP($A208,Haver_M!$B$1:$BZ$300,MATCH(data!BF$1,Haver_M!$B$1:$BZ$1,0),FALSE)),VLOOKUP($A208,Haver_M!$B$1:$BZ$300,MATCH(data!BF$1,Haver_M!$B$1:$BZ$1,0),FALSE),"")</f>
        <v>51.2256</v>
      </c>
      <c r="BG208">
        <f>IF(ISNUMBER(VLOOKUP($A208,Haver_M!$B$1:$BZ$300,MATCH(data!BG$1,Haver_M!$B$1:$BZ$1,0),FALSE)),VLOOKUP($A208,Haver_M!$B$1:$BZ$300,MATCH(data!BG$1,Haver_M!$B$1:$BZ$1,0),FALSE),"")</f>
        <v>50.541600000000003</v>
      </c>
      <c r="BH208">
        <f>IF(ISNUMBER(VLOOKUP($A208,Haver_M!$B$1:$BZ$300,MATCH(data!BH$1,Haver_M!$B$1:$BZ$1,0),FALSE)),VLOOKUP($A208,Haver_M!$B$1:$BZ$300,MATCH(data!BH$1,Haver_M!$B$1:$BZ$1,0),FALSE),"")</f>
        <v>52.2149</v>
      </c>
      <c r="BI208">
        <f>IF(ISNUMBER(VLOOKUP($A208,Haver_M!$B$1:$BZ$300,MATCH(data!BI$1,Haver_M!$B$1:$BZ$1,0),FALSE)),VLOOKUP($A208,Haver_M!$B$1:$BZ$300,MATCH(data!BI$1,Haver_M!$B$1:$BZ$1,0),FALSE),"")</f>
        <v>52.674900000000001</v>
      </c>
      <c r="BJ208">
        <f>IF(ISNUMBER(VLOOKUP($A208,Haver_M!$B$1:$BZ$300,MATCH(data!BJ$1,Haver_M!$B$1:$BZ$1,0),FALSE)),VLOOKUP($A208,Haver_M!$B$1:$BZ$300,MATCH(data!BJ$1,Haver_M!$B$1:$BZ$1,0),FALSE),"")</f>
        <v>51.141199999999998</v>
      </c>
      <c r="BK208">
        <f>IF(ISNUMBER(VLOOKUP($A208,Haver_M!$B$1:$BZ$300,MATCH(data!BK$1,Haver_M!$B$1:$BZ$1,0),FALSE)),VLOOKUP($A208,Haver_M!$B$1:$BZ$300,MATCH(data!BK$1,Haver_M!$B$1:$BZ$1,0),FALSE),"")</f>
        <v>51.688699999999997</v>
      </c>
      <c r="BL208">
        <f>IF(ISNUMBER(VLOOKUP($A208,Haver_M!$B$1:$BZ$300,MATCH(data!BL$1,Haver_M!$B$1:$BZ$1,0),FALSE)),VLOOKUP($A208,Haver_M!$B$1:$BZ$300,MATCH(data!BL$1,Haver_M!$B$1:$BZ$1,0),FALSE),"")</f>
        <v>29269.49</v>
      </c>
      <c r="BM208">
        <f>IF(ISNUMBER(VLOOKUP($A208,Haver_M!$B$1:$BZ$300,MATCH(data!BM$1,Haver_M!$B$1:$BZ$1,0),FALSE)),VLOOKUP($A208,Haver_M!$B$1:$BZ$300,MATCH(data!BM$1,Haver_M!$B$1:$BZ$1,0),FALSE),"")</f>
        <v>93.344235549999993</v>
      </c>
      <c r="BN208">
        <f>IF(ISNUMBER(VLOOKUP($A208,Haver_M!$B$1:$BZ$300,MATCH(data!BN$1,Haver_M!$B$1:$BZ$1,0),FALSE)),VLOOKUP($A208,Haver_M!$B$1:$BZ$300,MATCH(data!BN$1,Haver_M!$B$1:$BZ$1,0),FALSE),"")</f>
        <v>106</v>
      </c>
      <c r="BO208">
        <f>IF(ISNUMBER(VLOOKUP($A208,Haver_M!$B$1:$BZ$300,MATCH(data!BO$1,Haver_M!$B$1:$BZ$1,0),FALSE)),VLOOKUP($A208,Haver_M!$B$1:$BZ$300,MATCH(data!BO$1,Haver_M!$B$1:$BZ$1,0),FALSE),"")</f>
        <v>111.1</v>
      </c>
      <c r="BP208">
        <f>IF(ISNUMBER(VLOOKUP($A208,Haver_M!$B$1:$BZ$300,MATCH(data!BP$1,Haver_M!$B$1:$BZ$1,0),FALSE)),VLOOKUP($A208,Haver_M!$B$1:$BZ$300,MATCH(data!BP$1,Haver_M!$B$1:$BZ$1,0),FALSE),"")</f>
        <v>27.9</v>
      </c>
      <c r="BQ208">
        <f>IF(ISNUMBER(VLOOKUP($A208,Haver_M!$B$1:$BZ$300,MATCH(data!BQ$1,Haver_M!$B$1:$BZ$1,0),FALSE)),VLOOKUP($A208,Haver_M!$B$1:$BZ$300,MATCH(data!BQ$1,Haver_M!$B$1:$BZ$1,0),FALSE),"")</f>
        <v>245.91911859580094</v>
      </c>
      <c r="BR208">
        <f>IF(ISNUMBER(VLOOKUP($A208,Haver_M!$B$1:$BZ$300,MATCH(data!BR$1,Haver_M!$B$1:$BZ$1,0),FALSE)),VLOOKUP($A208,Haver_M!$B$1:$BZ$300,MATCH(data!BR$1,Haver_M!$B$1:$BZ$1,0),FALSE),"")</f>
        <v>406.7952705584828</v>
      </c>
      <c r="BS208">
        <f>IF(ISNUMBER(VLOOKUP($A208,Haver_M!$B$1:$BZ$300,MATCH(data!BS$1,Haver_M!$B$1:$BZ$1,0),FALSE)),VLOOKUP($A208,Haver_M!$B$1:$BZ$300,MATCH(data!BS$1,Haver_M!$B$1:$BZ$1,0),FALSE),"")</f>
        <v>273.57730426691074</v>
      </c>
      <c r="BT208">
        <f>IF(ISNUMBER(VLOOKUP($A208,Haver_M!$B$1:$BZ$300,MATCH(data!BT$1,Haver_M!$B$1:$BZ$1,0),FALSE)),VLOOKUP($A208,Haver_M!$B$1:$BZ$300,MATCH(data!BT$1,Haver_M!$B$1:$BZ$1,0),FALSE),"")</f>
        <v>1076.9346369809052</v>
      </c>
      <c r="BU208">
        <f>IF(ISNUMBER(VLOOKUP($A208,Haver_M!$B$1:$BZ$300,MATCH(data!BU$1,Haver_M!$B$1:$BZ$1,0),FALSE)),VLOOKUP($A208,Haver_M!$B$1:$BZ$300,MATCH(data!BU$1,Haver_M!$B$1:$BZ$1,0),FALSE),"")</f>
        <v>29301.55</v>
      </c>
      <c r="BV208">
        <f>IF(ISNUMBER(VLOOKUP($A208,Haver_M!$B$1:$BZ$300,MATCH(data!BV$1,Haver_M!$B$1:$BZ$1,0),FALSE)),VLOOKUP($A208,Haver_M!$B$1:$BZ$300,MATCH(data!BV$1,Haver_M!$B$1:$BZ$1,0),FALSE),"")</f>
        <v>39946.67</v>
      </c>
      <c r="BW208">
        <f>IF(ISNUMBER(VLOOKUP($A208,Haver_M!$B$1:$BZ$300,MATCH(data!BW$1,Haver_M!$B$1:$BZ$1,0),FALSE)),VLOOKUP($A208,Haver_M!$B$1:$BZ$300,MATCH(data!BW$1,Haver_M!$B$1:$BZ$1,0),FALSE),"")</f>
        <v>65.8767</v>
      </c>
      <c r="BX208">
        <f>IF(ISNUMBER(VLOOKUP($A208,Haver_M!$B$1:$BZ$300,MATCH(data!BX$1,Haver_M!$B$1:$BZ$1,0),FALSE)),VLOOKUP($A208,Haver_M!$B$1:$BZ$300,MATCH(data!BX$1,Haver_M!$B$1:$BZ$1,0),FALSE),"")</f>
        <v>41306</v>
      </c>
    </row>
    <row r="209" spans="1:76" x14ac:dyDescent="0.25">
      <c r="A209" s="2">
        <v>42855</v>
      </c>
      <c r="B209" t="str">
        <f>IF(ISNUMBER(VLOOKUP($A209,Haver_Q!$B$1:$L$185,MATCH(data!B$1,Haver_Q!$B$1:$L$1,0),FALSE)),100*(VLOOKUP($A209,Haver_Q!$B$1:$L$185,MATCH(data!B$1,Haver_Q!$B$1:$L$1,0),FALSE)),"")</f>
        <v/>
      </c>
      <c r="C209" t="str">
        <f>IF(ISNUMBER(VLOOKUP($A209,Haver_Q!$B$1:$L$185,MATCH(data!C$1,Haver_Q!$B$1:$L$1,0),FALSE)),100*(VLOOKUP($A209,Haver_Q!$B$1:$L$185,MATCH(data!C$1,Haver_Q!$B$1:$L$1,0),FALSE)),"")</f>
        <v/>
      </c>
      <c r="D209" t="str">
        <f>IF(ISNUMBER(VLOOKUP($A209,Haver_Q!$B$1:$L$185,MATCH(data!D$1,Haver_Q!$B$1:$L$1,0),FALSE)),100*(VLOOKUP($A209,Haver_Q!$B$1:$L$185,MATCH(data!D$1,Haver_Q!$B$1:$L$1,0),FALSE)),"")</f>
        <v/>
      </c>
      <c r="E209" t="str">
        <f>IF(ISNUMBER(VLOOKUP($A209,Haver_Q!$B$1:$L$185,MATCH(data!E$1,Haver_Q!$B$1:$L$1,0),FALSE)),100*(VLOOKUP($A209,Haver_Q!$B$1:$L$185,MATCH(data!E$1,Haver_Q!$B$1:$L$1,0),FALSE)),"")</f>
        <v/>
      </c>
      <c r="F209" t="str">
        <f>IF(ISNUMBER(VLOOKUP($A209,Haver_Q!$B$1:$L$185,MATCH(data!F$1,Haver_Q!$B$1:$L$1,0),FALSE)),100*(VLOOKUP($A209,Haver_Q!$B$1:$L$185,MATCH(data!F$1,Haver_Q!$B$1:$L$1,0),FALSE)),"")</f>
        <v/>
      </c>
      <c r="G209" t="str">
        <f>IF(ISNUMBER(VLOOKUP($A209,Haver_Q!$B$1:$L$185,MATCH(data!G$1,Haver_Q!$B$1:$L$1,0),FALSE)),100*(VLOOKUP($A209,Haver_Q!$B$1:$L$185,MATCH(data!G$1,Haver_Q!$B$1:$L$1,0),FALSE)),"")</f>
        <v/>
      </c>
      <c r="H209" t="str">
        <f>IF(ISNUMBER(VLOOKUP($A209,Haver_Q!$B$1:$L$185,MATCH(data!H$1,Haver_Q!$B$1:$L$1,0),FALSE)),(VLOOKUP($A209,Haver_Q!$B$1:$L$185,MATCH(data!H$1,Haver_Q!$B$1:$L$1,0),FALSE)),"")</f>
        <v/>
      </c>
      <c r="I209" t="str">
        <f>IF(ISNUMBER(VLOOKUP($A209,Haver_Q!$B$1:$L$185,MATCH(data!I$1,Haver_Q!$B$1:$L$1,0),FALSE)),100*(VLOOKUP($A209,Haver_Q!$B$1:$L$185,MATCH(data!I$1,Haver_Q!$B$1:$L$1,0),FALSE)),"")</f>
        <v/>
      </c>
      <c r="J209" s="3">
        <f>IF(ISNUMBER(Bloomberg_m!C225),Bloomberg_m!C225,"")</f>
        <v>1222</v>
      </c>
      <c r="K209" s="3">
        <f>IF(ISNUMBER(Bloomberg_m!D225),Bloomberg_m!D225,"")</f>
        <v>1464.42</v>
      </c>
      <c r="L209" s="3">
        <f>IF(ISNUMBER(Bloomberg_m!E225),Bloomberg_m!E225,"")</f>
        <v>834.06</v>
      </c>
      <c r="M209" s="3">
        <f>IF(ISNUMBER(Bloomberg_m!F225),Bloomberg_m!F225,"")</f>
        <v>435.16</v>
      </c>
      <c r="N209">
        <f>IF(ISNUMBER(VLOOKUP($A209,Haver_M!$B$1:$BZ$300,MATCH(data!N$1,Haver_M!$B$1:$BZ$1,0),FALSE)),VLOOKUP($A209,Haver_M!$B$1:$BZ$300,MATCH(data!N$1,Haver_M!$B$1:$BZ$1,0),FALSE),"")</f>
        <v>6.25</v>
      </c>
      <c r="O209">
        <f>IF(ISNUMBER(VLOOKUP($A209,Haver_M!$B$1:$BZ$300,MATCH(data!O$1,Haver_M!$B$1:$BZ$1,0),FALSE)),VLOOKUP($A209,Haver_M!$B$1:$BZ$300,MATCH(data!O$1,Haver_M!$B$1:$BZ$1,0),FALSE),"")</f>
        <v>7.2154999999999996</v>
      </c>
      <c r="P209">
        <f>IF(ISNUMBER(VLOOKUP($A209,Haver_M!$B$1:$BZ$300,MATCH(data!P$1,Haver_M!$B$1:$BZ$1,0),FALSE)),VLOOKUP($A209,Haver_M!$B$1:$BZ$300,MATCH(data!P$1,Haver_M!$B$1:$BZ$1,0),FALSE),"")</f>
        <v>95.61712</v>
      </c>
      <c r="Q209">
        <f>IF(ISNUMBER(VLOOKUP($A209,Haver_M!$B$1:$BZ$300,MATCH(data!Q$1,Haver_M!$B$1:$BZ$1,0),FALSE)),VLOOKUP($A209,Haver_M!$B$1:$BZ$300,MATCH(data!Q$1,Haver_M!$B$1:$BZ$1,0),FALSE),"")</f>
        <v>131.1</v>
      </c>
      <c r="R209">
        <f>IF(ISNUMBER(VLOOKUP($A209,Haver_M!$B$1:$BZ$300,MATCH(data!R$1,Haver_M!$B$1:$BZ$1,0),FALSE)),VLOOKUP($A209,Haver_M!$B$1:$BZ$300,MATCH(data!R$1,Haver_M!$B$1:$BZ$1,0),FALSE),"")</f>
        <v>130.4</v>
      </c>
      <c r="S209">
        <f>IF(ISNUMBER(VLOOKUP($A209,Haver_M!$B$1:$BZ$300,MATCH(data!S$1,Haver_M!$B$1:$BZ$1,0),FALSE)),VLOOKUP($A209,Haver_M!$B$1:$BZ$300,MATCH(data!S$1,Haver_M!$B$1:$BZ$1,0),FALSE),"")</f>
        <v>122.47</v>
      </c>
      <c r="T209">
        <f>IF(ISNUMBER(VLOOKUP($A209,Haver_M!$B$1:$BZ$300,MATCH(data!T$1,Haver_M!$B$1:$BZ$1,0),FALSE)),VLOOKUP($A209,Haver_M!$B$1:$BZ$300,MATCH(data!T$1,Haver_M!$B$1:$BZ$1,0),FALSE),"")</f>
        <v>120.25</v>
      </c>
      <c r="U209">
        <f>IF(ISNUMBER(VLOOKUP($A209,Haver_M!$B$1:$BZ$300,MATCH(data!U$1,Haver_M!$B$1:$BZ$1,0),FALSE)),VLOOKUP($A209,Haver_M!$B$1:$BZ$300,MATCH(data!U$1,Haver_M!$B$1:$BZ$1,0),FALSE),"")</f>
        <v>101.05</v>
      </c>
      <c r="V209">
        <f>IF(ISNUMBER(VLOOKUP($A209,Haver_M!$B$1:$BZ$300,MATCH(data!V$1,Haver_M!$B$1:$BZ$1,0),FALSE)),VLOOKUP($A209,Haver_M!$B$1:$BZ$300,MATCH(data!V$1,Haver_M!$B$1:$BZ$1,0),FALSE),"")</f>
        <v>122.78</v>
      </c>
      <c r="W209">
        <f>IF(ISNUMBER(VLOOKUP($A209,Haver_M!$B$1:$BZ$300,MATCH(data!W$1,Haver_M!$B$1:$BZ$1,0),FALSE)),VLOOKUP($A209,Haver_M!$B$1:$BZ$300,MATCH(data!W$1,Haver_M!$B$1:$BZ$1,0),FALSE),"")</f>
        <v>127.13</v>
      </c>
      <c r="X209">
        <f>IF(ISNUMBER(VLOOKUP($A209,Haver_M!$B$1:$BZ$300,MATCH(data!X$1,Haver_M!$B$1:$BZ$1,0),FALSE)),VLOOKUP($A209,Haver_M!$B$1:$BZ$300,MATCH(data!X$1,Haver_M!$B$1:$BZ$1,0),FALSE),"")</f>
        <v>123.53</v>
      </c>
      <c r="Y209">
        <f>IF(ISNUMBER(VLOOKUP($A209,Haver_M!$B$1:$BZ$300,MATCH(data!Y$1,Haver_M!$B$1:$BZ$1,0),FALSE)),VLOOKUP($A209,Haver_M!$B$1:$BZ$300,MATCH(data!Y$1,Haver_M!$B$1:$BZ$1,0),FALSE),"")</f>
        <v>131.13999999999999</v>
      </c>
      <c r="Z209">
        <f>IF(ISNUMBER(VLOOKUP($A209,Haver_M!$B$1:$BZ$300,MATCH(data!Z$1,Haver_M!$B$1:$BZ$1,0),FALSE)),VLOOKUP($A209,Haver_M!$B$1:$BZ$300,MATCH(data!Z$1,Haver_M!$B$1:$BZ$1,0),FALSE),"")</f>
        <v>122.9</v>
      </c>
      <c r="AA209">
        <f>IF(ISNUMBER(VLOOKUP($A209,Haver_M!$B$1:$BZ$300,MATCH(data!AA$1,Haver_M!$B$1:$BZ$1,0),FALSE)),VLOOKUP($A209,Haver_M!$B$1:$BZ$300,MATCH(data!AA$1,Haver_M!$B$1:$BZ$1,0),FALSE),"")</f>
        <v>113.67700000000001</v>
      </c>
      <c r="AB209">
        <f>IF(ISNUMBER(VLOOKUP($A209,Haver_M!$B$1:$BZ$300,MATCH(data!AB$1,Haver_M!$B$1:$BZ$1,0),FALSE)),VLOOKUP($A209,Haver_M!$B$1:$BZ$300,MATCH(data!AB$1,Haver_M!$B$1:$BZ$1,0),FALSE),"")</f>
        <v>94.061000000000007</v>
      </c>
      <c r="AC209">
        <f>IF(ISNUMBER(VLOOKUP($A209,Haver_M!$B$1:$BZ$300,MATCH(data!AC$1,Haver_M!$B$1:$BZ$1,0),FALSE)),VLOOKUP($A209,Haver_M!$B$1:$BZ$300,MATCH(data!AC$1,Haver_M!$B$1:$BZ$1,0),FALSE),"")</f>
        <v>65.191999999999993</v>
      </c>
      <c r="AD209">
        <f>IF(ISNUMBER(VLOOKUP($A209,Haver_M!$B$1:$BZ$300,MATCH(data!AD$1,Haver_M!$B$1:$BZ$1,0),FALSE)),VLOOKUP($A209,Haver_M!$B$1:$BZ$300,MATCH(data!AD$1,Haver_M!$B$1:$BZ$1,0),FALSE),"")</f>
        <v>122.242</v>
      </c>
      <c r="AE209">
        <f>IF(ISNUMBER(VLOOKUP($A209,Haver_M!$B$1:$BZ$300,MATCH(data!AE$1,Haver_M!$B$1:$BZ$1,0),FALSE)),VLOOKUP($A209,Haver_M!$B$1:$BZ$300,MATCH(data!AE$1,Haver_M!$B$1:$BZ$1,0),FALSE),"")</f>
        <v>106.02</v>
      </c>
      <c r="AF209">
        <f>IF(ISNUMBER(VLOOKUP($A209,Haver_M!$B$1:$BZ$300,MATCH(data!AF$1,Haver_M!$B$1:$BZ$1,0),FALSE)),VLOOKUP($A209,Haver_M!$B$1:$BZ$300,MATCH(data!AF$1,Haver_M!$B$1:$BZ$1,0),FALSE),"")</f>
        <v>138.107</v>
      </c>
      <c r="AG209">
        <f>IF(ISNUMBER(VLOOKUP($A209,Haver_M!$B$1:$BZ$300,MATCH(data!AG$1,Haver_M!$B$1:$BZ$1,0),FALSE)),VLOOKUP($A209,Haver_M!$B$1:$BZ$300,MATCH(data!AG$1,Haver_M!$B$1:$BZ$1,0),FALSE),"")</f>
        <v>117.866</v>
      </c>
      <c r="AH209">
        <f>IF(ISNUMBER(VLOOKUP($A209,Haver_M!$B$1:$BZ$300,MATCH(data!AH$1,Haver_M!$B$1:$BZ$1,0),FALSE)),VLOOKUP($A209,Haver_M!$B$1:$BZ$300,MATCH(data!AH$1,Haver_M!$B$1:$BZ$1,0),FALSE),"")</f>
        <v>148.947</v>
      </c>
      <c r="AI209">
        <f>IF(ISNUMBER(VLOOKUP($A209,Haver_M!$B$1:$BZ$300,MATCH(data!AI$1,Haver_M!$B$1:$BZ$1,0),FALSE)),VLOOKUP($A209,Haver_M!$B$1:$BZ$300,MATCH(data!AI$1,Haver_M!$B$1:$BZ$1,0),FALSE),"")</f>
        <v>16784.604877079862</v>
      </c>
      <c r="AJ209">
        <f>IF(ISNUMBER(VLOOKUP($A209,Haver_M!$B$1:$BZ$300,MATCH(data!AJ$1,Haver_M!$B$1:$BZ$1,0),FALSE)),VLOOKUP($A209,Haver_M!$B$1:$BZ$300,MATCH(data!AJ$1,Haver_M!$B$1:$BZ$1,0),FALSE),"")</f>
        <v>25158.34</v>
      </c>
      <c r="AK209">
        <f>IF(ISNUMBER(VLOOKUP($A209,Haver_M!$B$1:$BZ$300,MATCH(data!AK$1,Haver_M!$B$1:$BZ$1,0),FALSE)),VLOOKUP($A209,Haver_M!$B$1:$BZ$300,MATCH(data!AK$1,Haver_M!$B$1:$BZ$1,0),FALSE),"")</f>
        <v>39581.279999999999</v>
      </c>
      <c r="AL209">
        <f>IF(ISNUMBER(VLOOKUP($A209,Haver_M!$B$1:$BZ$300,MATCH(data!AL$1,Haver_M!$B$1:$BZ$1,0),FALSE)),VLOOKUP($A209,Haver_M!$B$1:$BZ$300,MATCH(data!AL$1,Haver_M!$B$1:$BZ$1,0),FALSE),"")</f>
        <v>12904</v>
      </c>
      <c r="AM209">
        <f>IF(ISNUMBER(VLOOKUP($A209,Haver_M!$B$1:$BZ$300,MATCH(data!AM$1,Haver_M!$B$1:$BZ$1,0),FALSE)),VLOOKUP($A209,Haver_M!$B$1:$BZ$300,MATCH(data!AM$1,Haver_M!$B$1:$BZ$1,0),FALSE),"")</f>
        <v>7222</v>
      </c>
      <c r="AN209" t="str">
        <f>IF(ISNUMBER(VLOOKUP($A209,Haver_M!$B$1:$BZ$300,MATCH(data!AN$1,Haver_M!$B$1:$BZ$1,0),FALSE)),VLOOKUP($A209,Haver_M!$B$1:$BZ$300,MATCH(data!AN$1,Haver_M!$B$1:$BZ$1,0),FALSE),"")</f>
        <v/>
      </c>
      <c r="AO209" t="str">
        <f>IF(ISNUMBER(VLOOKUP($A209,Haver_M!$B$1:$BZ$300,MATCH(data!AO$1,Haver_M!$B$1:$BZ$1,0),FALSE)),VLOOKUP($A209,Haver_M!$B$1:$BZ$300,MATCH(data!AO$1,Haver_M!$B$1:$BZ$1,0),FALSE),"")</f>
        <v/>
      </c>
      <c r="AP209">
        <f>IF(ISNUMBER(VLOOKUP($A209,Haver_M!$B$1:$BZ$300,MATCH(data!AP$1,Haver_M!$B$1:$BZ$1,0),FALSE)),VLOOKUP($A209,Haver_M!$B$1:$BZ$300,MATCH(data!AP$1,Haver_M!$B$1:$BZ$1,0),FALSE),"")</f>
        <v>100.40940877605919</v>
      </c>
      <c r="AQ209">
        <f>IF(ISNUMBER(VLOOKUP($A209,Haver_M!$B$1:$BZ$300,MATCH(data!AQ$1,Haver_M!$B$1:$BZ$1,0),FALSE)),VLOOKUP($A209,Haver_M!$B$1:$BZ$300,MATCH(data!AQ$1,Haver_M!$B$1:$BZ$1,0),FALSE),"")</f>
        <v>51.291899999999998</v>
      </c>
      <c r="AR209">
        <f>IF(ISNUMBER(VLOOKUP($A209,Haver_M!$B$1:$BZ$300,MATCH(data!AR$1,Haver_M!$B$1:$BZ$1,0),FALSE)),VLOOKUP($A209,Haver_M!$B$1:$BZ$300,MATCH(data!AR$1,Haver_M!$B$1:$BZ$1,0),FALSE),"")</f>
        <v>52.481900000000003</v>
      </c>
      <c r="AS209">
        <f>IF(ISNUMBER(VLOOKUP($A209,Haver_M!$B$1:$BZ$300,MATCH(data!AS$1,Haver_M!$B$1:$BZ$1,0),FALSE)),VLOOKUP($A209,Haver_M!$B$1:$BZ$300,MATCH(data!AS$1,Haver_M!$B$1:$BZ$1,0),FALSE),"")</f>
        <v>50.1554</v>
      </c>
      <c r="AT209">
        <f>IF(ISNUMBER(VLOOKUP($A209,Haver_M!$B$1:$BZ$300,MATCH(data!AT$1,Haver_M!$B$1:$BZ$1,0),FALSE)),VLOOKUP($A209,Haver_M!$B$1:$BZ$300,MATCH(data!AT$1,Haver_M!$B$1:$BZ$1,0),FALSE),"")</f>
        <v>53.794800000000002</v>
      </c>
      <c r="AU209">
        <f>IF(ISNUMBER(VLOOKUP($A209,Haver_M!$B$1:$BZ$300,MATCH(data!AU$1,Haver_M!$B$1:$BZ$1,0),FALSE)),VLOOKUP($A209,Haver_M!$B$1:$BZ$300,MATCH(data!AU$1,Haver_M!$B$1:$BZ$1,0),FALSE),"")</f>
        <v>53.802199999999999</v>
      </c>
      <c r="AV209">
        <f>IF(ISNUMBER(VLOOKUP($A209,Haver_M!$B$1:$BZ$300,MATCH(data!AV$1,Haver_M!$B$1:$BZ$1,0),FALSE)),VLOOKUP($A209,Haver_M!$B$1:$BZ$300,MATCH(data!AV$1,Haver_M!$B$1:$BZ$1,0),FALSE),"")</f>
        <v>50.952399999999997</v>
      </c>
      <c r="AW209">
        <f>IF(ISNUMBER(VLOOKUP($A209,Haver_M!$B$1:$BZ$300,MATCH(data!AW$1,Haver_M!$B$1:$BZ$1,0),FALSE)),VLOOKUP($A209,Haver_M!$B$1:$BZ$300,MATCH(data!AW$1,Haver_M!$B$1:$BZ$1,0),FALSE),"")</f>
        <v>49.419400000000003</v>
      </c>
      <c r="AX209">
        <f>IF(ISNUMBER(VLOOKUP($A209,Haver_M!$B$1:$BZ$300,MATCH(data!AX$1,Haver_M!$B$1:$BZ$1,0),FALSE)),VLOOKUP($A209,Haver_M!$B$1:$BZ$300,MATCH(data!AX$1,Haver_M!$B$1:$BZ$1,0),FALSE),"")</f>
        <v>51.149299999999997</v>
      </c>
      <c r="AY209">
        <f>IF(ISNUMBER(VLOOKUP($A209,Haver_M!$B$1:$BZ$300,MATCH(data!AY$1,Haver_M!$B$1:$BZ$1,0),FALSE)),VLOOKUP($A209,Haver_M!$B$1:$BZ$300,MATCH(data!AY$1,Haver_M!$B$1:$BZ$1,0),FALSE),"")</f>
        <v>54.5092</v>
      </c>
      <c r="AZ209">
        <f>IF(ISNUMBER(VLOOKUP($A209,Haver_M!$B$1:$BZ$300,MATCH(data!AZ$1,Haver_M!$B$1:$BZ$1,0),FALSE)),VLOOKUP($A209,Haver_M!$B$1:$BZ$300,MATCH(data!AZ$1,Haver_M!$B$1:$BZ$1,0),FALSE),"")</f>
        <v>51.599699999999999</v>
      </c>
      <c r="BA209">
        <f>IF(ISNUMBER(VLOOKUP($A209,Haver_M!$B$1:$BZ$300,MATCH(data!BA$1,Haver_M!$B$1:$BZ$1,0),FALSE)),VLOOKUP($A209,Haver_M!$B$1:$BZ$300,MATCH(data!BA$1,Haver_M!$B$1:$BZ$1,0),FALSE),"")</f>
        <v>51.149299999999997</v>
      </c>
      <c r="BB209">
        <f>IF(ISNUMBER(VLOOKUP($A209,Haver_M!$B$1:$BZ$300,MATCH(data!BB$1,Haver_M!$B$1:$BZ$1,0),FALSE)),VLOOKUP($A209,Haver_M!$B$1:$BZ$300,MATCH(data!BB$1,Haver_M!$B$1:$BZ$1,0),FALSE),"")</f>
        <v>51.225000000000001</v>
      </c>
      <c r="BC209">
        <f>IF(ISNUMBER(VLOOKUP($A209,Haver_M!$B$1:$BZ$300,MATCH(data!BC$1,Haver_M!$B$1:$BZ$1,0),FALSE)),VLOOKUP($A209,Haver_M!$B$1:$BZ$300,MATCH(data!BC$1,Haver_M!$B$1:$BZ$1,0),FALSE),"")</f>
        <v>50.823900000000002</v>
      </c>
      <c r="BD209">
        <f>IF(ISNUMBER(VLOOKUP($A209,Haver_M!$B$1:$BZ$300,MATCH(data!BD$1,Haver_M!$B$1:$BZ$1,0),FALSE)),VLOOKUP($A209,Haver_M!$B$1:$BZ$300,MATCH(data!BD$1,Haver_M!$B$1:$BZ$1,0),FALSE),"")</f>
        <v>51.224299999999999</v>
      </c>
      <c r="BE209">
        <f>IF(ISNUMBER(VLOOKUP($A209,Haver_M!$B$1:$BZ$300,MATCH(data!BE$1,Haver_M!$B$1:$BZ$1,0),FALSE)),VLOOKUP($A209,Haver_M!$B$1:$BZ$300,MATCH(data!BE$1,Haver_M!$B$1:$BZ$1,0),FALSE),"")</f>
        <v>1.1395999999999999</v>
      </c>
      <c r="BF209">
        <f>IF(ISNUMBER(VLOOKUP($A209,Haver_M!$B$1:$BZ$300,MATCH(data!BF$1,Haver_M!$B$1:$BZ$1,0),FALSE)),VLOOKUP($A209,Haver_M!$B$1:$BZ$300,MATCH(data!BF$1,Haver_M!$B$1:$BZ$1,0),FALSE),"")</f>
        <v>50.283999999999999</v>
      </c>
      <c r="BG209">
        <f>IF(ISNUMBER(VLOOKUP($A209,Haver_M!$B$1:$BZ$300,MATCH(data!BG$1,Haver_M!$B$1:$BZ$1,0),FALSE)),VLOOKUP($A209,Haver_M!$B$1:$BZ$300,MATCH(data!BG$1,Haver_M!$B$1:$BZ$1,0),FALSE),"")</f>
        <v>50.831400000000002</v>
      </c>
      <c r="BH209">
        <f>IF(ISNUMBER(VLOOKUP($A209,Haver_M!$B$1:$BZ$300,MATCH(data!BH$1,Haver_M!$B$1:$BZ$1,0),FALSE)),VLOOKUP($A209,Haver_M!$B$1:$BZ$300,MATCH(data!BH$1,Haver_M!$B$1:$BZ$1,0),FALSE),"")</f>
        <v>50.364600000000003</v>
      </c>
      <c r="BI209">
        <f>IF(ISNUMBER(VLOOKUP($A209,Haver_M!$B$1:$BZ$300,MATCH(data!BI$1,Haver_M!$B$1:$BZ$1,0),FALSE)),VLOOKUP($A209,Haver_M!$B$1:$BZ$300,MATCH(data!BI$1,Haver_M!$B$1:$BZ$1,0),FALSE),"")</f>
        <v>51.686100000000003</v>
      </c>
      <c r="BJ209">
        <f>IF(ISNUMBER(VLOOKUP($A209,Haver_M!$B$1:$BZ$300,MATCH(data!BJ$1,Haver_M!$B$1:$BZ$1,0),FALSE)),VLOOKUP($A209,Haver_M!$B$1:$BZ$300,MATCH(data!BJ$1,Haver_M!$B$1:$BZ$1,0),FALSE),"")</f>
        <v>49.387999999999998</v>
      </c>
      <c r="BK209">
        <f>IF(ISNUMBER(VLOOKUP($A209,Haver_M!$B$1:$BZ$300,MATCH(data!BK$1,Haver_M!$B$1:$BZ$1,0),FALSE)),VLOOKUP($A209,Haver_M!$B$1:$BZ$300,MATCH(data!BK$1,Haver_M!$B$1:$BZ$1,0),FALSE),"")</f>
        <v>51.329300000000003</v>
      </c>
      <c r="BL209">
        <f>IF(ISNUMBER(VLOOKUP($A209,Haver_M!$B$1:$BZ$300,MATCH(data!BL$1,Haver_M!$B$1:$BZ$1,0),FALSE)),VLOOKUP($A209,Haver_M!$B$1:$BZ$300,MATCH(data!BL$1,Haver_M!$B$1:$BZ$1,0),FALSE),"")</f>
        <v>29695.83</v>
      </c>
      <c r="BM209">
        <f>IF(ISNUMBER(VLOOKUP($A209,Haver_M!$B$1:$BZ$300,MATCH(data!BM$1,Haver_M!$B$1:$BZ$1,0),FALSE)),VLOOKUP($A209,Haver_M!$B$1:$BZ$300,MATCH(data!BM$1,Haver_M!$B$1:$BZ$1,0),FALSE),"")</f>
        <v>94.958344460000006</v>
      </c>
      <c r="BN209" t="str">
        <f>IF(ISNUMBER(VLOOKUP($A209,Haver_M!$B$1:$BZ$300,MATCH(data!BN$1,Haver_M!$B$1:$BZ$1,0),FALSE)),VLOOKUP($A209,Haver_M!$B$1:$BZ$300,MATCH(data!BN$1,Haver_M!$B$1:$BZ$1,0),FALSE),"")</f>
        <v/>
      </c>
      <c r="BO209" t="str">
        <f>IF(ISNUMBER(VLOOKUP($A209,Haver_M!$B$1:$BZ$300,MATCH(data!BO$1,Haver_M!$B$1:$BZ$1,0),FALSE)),VLOOKUP($A209,Haver_M!$B$1:$BZ$300,MATCH(data!BO$1,Haver_M!$B$1:$BZ$1,0),FALSE),"")</f>
        <v/>
      </c>
      <c r="BP209" t="str">
        <f>IF(ISNUMBER(VLOOKUP($A209,Haver_M!$B$1:$BZ$300,MATCH(data!BP$1,Haver_M!$B$1:$BZ$1,0),FALSE)),VLOOKUP($A209,Haver_M!$B$1:$BZ$300,MATCH(data!BP$1,Haver_M!$B$1:$BZ$1,0),FALSE),"")</f>
        <v/>
      </c>
      <c r="BQ209">
        <f>IF(ISNUMBER(VLOOKUP($A209,Haver_M!$B$1:$BZ$300,MATCH(data!BQ$1,Haver_M!$B$1:$BZ$1,0),FALSE)),VLOOKUP($A209,Haver_M!$B$1:$BZ$300,MATCH(data!BQ$1,Haver_M!$B$1:$BZ$1,0),FALSE),"")</f>
        <v>250.08580450834097</v>
      </c>
      <c r="BR209">
        <f>IF(ISNUMBER(VLOOKUP($A209,Haver_M!$B$1:$BZ$300,MATCH(data!BR$1,Haver_M!$B$1:$BZ$1,0),FALSE)),VLOOKUP($A209,Haver_M!$B$1:$BZ$300,MATCH(data!BR$1,Haver_M!$B$1:$BZ$1,0),FALSE),"")</f>
        <v>406.85350914860538</v>
      </c>
      <c r="BS209">
        <f>IF(ISNUMBER(VLOOKUP($A209,Haver_M!$B$1:$BZ$300,MATCH(data!BS$1,Haver_M!$B$1:$BZ$1,0),FALSE)),VLOOKUP($A209,Haver_M!$B$1:$BZ$300,MATCH(data!BS$1,Haver_M!$B$1:$BZ$1,0),FALSE),"")</f>
        <v>254.41649058785777</v>
      </c>
      <c r="BT209">
        <f>IF(ISNUMBER(VLOOKUP($A209,Haver_M!$B$1:$BZ$300,MATCH(data!BT$1,Haver_M!$B$1:$BZ$1,0),FALSE)),VLOOKUP($A209,Haver_M!$B$1:$BZ$300,MATCH(data!BT$1,Haver_M!$B$1:$BZ$1,0),FALSE),"")</f>
        <v>1061.724213303652</v>
      </c>
      <c r="BU209">
        <f>IF(ISNUMBER(VLOOKUP($A209,Haver_M!$B$1:$BZ$300,MATCH(data!BU$1,Haver_M!$B$1:$BZ$1,0),FALSE)),VLOOKUP($A209,Haver_M!$B$1:$BZ$300,MATCH(data!BU$1,Haver_M!$B$1:$BZ$1,0),FALSE),"")</f>
        <v>24579.01</v>
      </c>
      <c r="BV209">
        <f>IF(ISNUMBER(VLOOKUP($A209,Haver_M!$B$1:$BZ$300,MATCH(data!BV$1,Haver_M!$B$1:$BZ$1,0),FALSE)),VLOOKUP($A209,Haver_M!$B$1:$BZ$300,MATCH(data!BV$1,Haver_M!$B$1:$BZ$1,0),FALSE),"")</f>
        <v>38834.65</v>
      </c>
      <c r="BW209">
        <f>IF(ISNUMBER(VLOOKUP($A209,Haver_M!$B$1:$BZ$300,MATCH(data!BW$1,Haver_M!$B$1:$BZ$1,0),FALSE)),VLOOKUP($A209,Haver_M!$B$1:$BZ$300,MATCH(data!BW$1,Haver_M!$B$1:$BZ$1,0),FALSE),"")</f>
        <v>64.507099999999994</v>
      </c>
      <c r="BX209">
        <f>IF(ISNUMBER(VLOOKUP($A209,Haver_M!$B$1:$BZ$300,MATCH(data!BX$1,Haver_M!$B$1:$BZ$1,0),FALSE)),VLOOKUP($A209,Haver_M!$B$1:$BZ$300,MATCH(data!BX$1,Haver_M!$B$1:$BZ$1,0),FALSE),"")</f>
        <v>61963</v>
      </c>
    </row>
    <row r="210" spans="1:76" x14ac:dyDescent="0.25">
      <c r="A210" s="2">
        <v>42886</v>
      </c>
      <c r="B210" t="str">
        <f>IF(ISNUMBER(VLOOKUP($A210,Haver_Q!$B$1:$L$185,MATCH(data!B$1,Haver_Q!$B$1:$L$1,0),FALSE)),100*(VLOOKUP($A210,Haver_Q!$B$1:$L$185,MATCH(data!B$1,Haver_Q!$B$1:$L$1,0),FALSE)),"")</f>
        <v/>
      </c>
      <c r="C210" t="str">
        <f>IF(ISNUMBER(VLOOKUP($A210,Haver_Q!$B$1:$L$185,MATCH(data!C$1,Haver_Q!$B$1:$L$1,0),FALSE)),100*(VLOOKUP($A210,Haver_Q!$B$1:$L$185,MATCH(data!C$1,Haver_Q!$B$1:$L$1,0),FALSE)),"")</f>
        <v/>
      </c>
      <c r="D210" t="str">
        <f>IF(ISNUMBER(VLOOKUP($A210,Haver_Q!$B$1:$L$185,MATCH(data!D$1,Haver_Q!$B$1:$L$1,0),FALSE)),100*(VLOOKUP($A210,Haver_Q!$B$1:$L$185,MATCH(data!D$1,Haver_Q!$B$1:$L$1,0),FALSE)),"")</f>
        <v/>
      </c>
      <c r="E210" t="str">
        <f>IF(ISNUMBER(VLOOKUP($A210,Haver_Q!$B$1:$L$185,MATCH(data!E$1,Haver_Q!$B$1:$L$1,0),FALSE)),100*(VLOOKUP($A210,Haver_Q!$B$1:$L$185,MATCH(data!E$1,Haver_Q!$B$1:$L$1,0),FALSE)),"")</f>
        <v/>
      </c>
      <c r="F210" t="str">
        <f>IF(ISNUMBER(VLOOKUP($A210,Haver_Q!$B$1:$L$185,MATCH(data!F$1,Haver_Q!$B$1:$L$1,0),FALSE)),100*(VLOOKUP($A210,Haver_Q!$B$1:$L$185,MATCH(data!F$1,Haver_Q!$B$1:$L$1,0),FALSE)),"")</f>
        <v/>
      </c>
      <c r="G210" t="str">
        <f>IF(ISNUMBER(VLOOKUP($A210,Haver_Q!$B$1:$L$185,MATCH(data!G$1,Haver_Q!$B$1:$L$1,0),FALSE)),100*(VLOOKUP($A210,Haver_Q!$B$1:$L$185,MATCH(data!G$1,Haver_Q!$B$1:$L$1,0),FALSE)),"")</f>
        <v/>
      </c>
      <c r="H210" t="str">
        <f>IF(ISNUMBER(VLOOKUP($A210,Haver_Q!$B$1:$L$185,MATCH(data!H$1,Haver_Q!$B$1:$L$1,0),FALSE)),(VLOOKUP($A210,Haver_Q!$B$1:$L$185,MATCH(data!H$1,Haver_Q!$B$1:$L$1,0),FALSE)),"")</f>
        <v/>
      </c>
      <c r="I210" t="str">
        <f>IF(ISNUMBER(VLOOKUP($A210,Haver_Q!$B$1:$L$185,MATCH(data!I$1,Haver_Q!$B$1:$L$1,0),FALSE)),100*(VLOOKUP($A210,Haver_Q!$B$1:$L$185,MATCH(data!I$1,Haver_Q!$B$1:$L$1,0),FALSE)),"")</f>
        <v/>
      </c>
      <c r="J210" s="3">
        <f>IF(ISNUMBER(Bloomberg_m!C226),Bloomberg_m!C226,"")</f>
        <v>973</v>
      </c>
      <c r="K210" s="3">
        <f>IF(ISNUMBER(Bloomberg_m!D226),Bloomberg_m!D226,"")</f>
        <v>1529.47</v>
      </c>
      <c r="L210" s="3">
        <f>IF(ISNUMBER(Bloomberg_m!E226),Bloomberg_m!E226,"")</f>
        <v>860.92</v>
      </c>
      <c r="M210" s="3">
        <f>IF(ISNUMBER(Bloomberg_m!F226),Bloomberg_m!F226,"")</f>
        <v>415.83</v>
      </c>
      <c r="N210">
        <f>IF(ISNUMBER(VLOOKUP($A210,Haver_M!$B$1:$BZ$300,MATCH(data!N$1,Haver_M!$B$1:$BZ$1,0),FALSE)),VLOOKUP($A210,Haver_M!$B$1:$BZ$300,MATCH(data!N$1,Haver_M!$B$1:$BZ$1,0),FALSE),"")</f>
        <v>6.25</v>
      </c>
      <c r="O210">
        <f>IF(ISNUMBER(VLOOKUP($A210,Haver_M!$B$1:$BZ$300,MATCH(data!O$1,Haver_M!$B$1:$BZ$1,0),FALSE)),VLOOKUP($A210,Haver_M!$B$1:$BZ$300,MATCH(data!O$1,Haver_M!$B$1:$BZ$1,0),FALSE),"")</f>
        <v>6.5110999999999999</v>
      </c>
      <c r="P210">
        <f>IF(ISNUMBER(VLOOKUP($A210,Haver_M!$B$1:$BZ$300,MATCH(data!P$1,Haver_M!$B$1:$BZ$1,0),FALSE)),VLOOKUP($A210,Haver_M!$B$1:$BZ$300,MATCH(data!P$1,Haver_M!$B$1:$BZ$1,0),FALSE),"")</f>
        <v>95.380979999999994</v>
      </c>
      <c r="Q210">
        <f>IF(ISNUMBER(VLOOKUP($A210,Haver_M!$B$1:$BZ$300,MATCH(data!Q$1,Haver_M!$B$1:$BZ$1,0),FALSE)),VLOOKUP($A210,Haver_M!$B$1:$BZ$300,MATCH(data!Q$1,Haver_M!$B$1:$BZ$1,0),FALSE),"")</f>
        <v>131.4</v>
      </c>
      <c r="R210">
        <f>IF(ISNUMBER(VLOOKUP($A210,Haver_M!$B$1:$BZ$300,MATCH(data!R$1,Haver_M!$B$1:$BZ$1,0),FALSE)),VLOOKUP($A210,Haver_M!$B$1:$BZ$300,MATCH(data!R$1,Haver_M!$B$1:$BZ$1,0),FALSE),"")</f>
        <v>131</v>
      </c>
      <c r="S210">
        <f>IF(ISNUMBER(VLOOKUP($A210,Haver_M!$B$1:$BZ$300,MATCH(data!S$1,Haver_M!$B$1:$BZ$1,0),FALSE)),VLOOKUP($A210,Haver_M!$B$1:$BZ$300,MATCH(data!S$1,Haver_M!$B$1:$BZ$1,0),FALSE),"")</f>
        <v>122.28</v>
      </c>
      <c r="T210">
        <f>IF(ISNUMBER(VLOOKUP($A210,Haver_M!$B$1:$BZ$300,MATCH(data!T$1,Haver_M!$B$1:$BZ$1,0),FALSE)),VLOOKUP($A210,Haver_M!$B$1:$BZ$300,MATCH(data!T$1,Haver_M!$B$1:$BZ$1,0),FALSE),"")</f>
        <v>119.55</v>
      </c>
      <c r="U210">
        <f>IF(ISNUMBER(VLOOKUP($A210,Haver_M!$B$1:$BZ$300,MATCH(data!U$1,Haver_M!$B$1:$BZ$1,0),FALSE)),VLOOKUP($A210,Haver_M!$B$1:$BZ$300,MATCH(data!U$1,Haver_M!$B$1:$BZ$1,0),FALSE),"")</f>
        <v>102.35</v>
      </c>
      <c r="V210">
        <f>IF(ISNUMBER(VLOOKUP($A210,Haver_M!$B$1:$BZ$300,MATCH(data!V$1,Haver_M!$B$1:$BZ$1,0),FALSE)),VLOOKUP($A210,Haver_M!$B$1:$BZ$300,MATCH(data!V$1,Haver_M!$B$1:$BZ$1,0),FALSE),"")</f>
        <v>123.5</v>
      </c>
      <c r="W210">
        <f>IF(ISNUMBER(VLOOKUP($A210,Haver_M!$B$1:$BZ$300,MATCH(data!W$1,Haver_M!$B$1:$BZ$1,0),FALSE)),VLOOKUP($A210,Haver_M!$B$1:$BZ$300,MATCH(data!W$1,Haver_M!$B$1:$BZ$1,0),FALSE),"")</f>
        <v>126.04</v>
      </c>
      <c r="X210">
        <f>IF(ISNUMBER(VLOOKUP($A210,Haver_M!$B$1:$BZ$300,MATCH(data!X$1,Haver_M!$B$1:$BZ$1,0),FALSE)),VLOOKUP($A210,Haver_M!$B$1:$BZ$300,MATCH(data!X$1,Haver_M!$B$1:$BZ$1,0),FALSE),"")</f>
        <v>123.65</v>
      </c>
      <c r="Y210">
        <f>IF(ISNUMBER(VLOOKUP($A210,Haver_M!$B$1:$BZ$300,MATCH(data!Y$1,Haver_M!$B$1:$BZ$1,0),FALSE)),VLOOKUP($A210,Haver_M!$B$1:$BZ$300,MATCH(data!Y$1,Haver_M!$B$1:$BZ$1,0),FALSE),"")</f>
        <v>139.86000000000001</v>
      </c>
      <c r="Z210">
        <f>IF(ISNUMBER(VLOOKUP($A210,Haver_M!$B$1:$BZ$300,MATCH(data!Z$1,Haver_M!$B$1:$BZ$1,0),FALSE)),VLOOKUP($A210,Haver_M!$B$1:$BZ$300,MATCH(data!Z$1,Haver_M!$B$1:$BZ$1,0),FALSE),"")</f>
        <v>123.3</v>
      </c>
      <c r="AA210">
        <f>IF(ISNUMBER(VLOOKUP($A210,Haver_M!$B$1:$BZ$300,MATCH(data!AA$1,Haver_M!$B$1:$BZ$1,0),FALSE)),VLOOKUP($A210,Haver_M!$B$1:$BZ$300,MATCH(data!AA$1,Haver_M!$B$1:$BZ$1,0),FALSE),"")</f>
        <v>118.24</v>
      </c>
      <c r="AB210">
        <f>IF(ISNUMBER(VLOOKUP($A210,Haver_M!$B$1:$BZ$300,MATCH(data!AB$1,Haver_M!$B$1:$BZ$1,0),FALSE)),VLOOKUP($A210,Haver_M!$B$1:$BZ$300,MATCH(data!AB$1,Haver_M!$B$1:$BZ$1,0),FALSE),"")</f>
        <v>94.908000000000001</v>
      </c>
      <c r="AC210">
        <f>IF(ISNUMBER(VLOOKUP($A210,Haver_M!$B$1:$BZ$300,MATCH(data!AC$1,Haver_M!$B$1:$BZ$1,0),FALSE)),VLOOKUP($A210,Haver_M!$B$1:$BZ$300,MATCH(data!AC$1,Haver_M!$B$1:$BZ$1,0),FALSE),"")</f>
        <v>67.995999999999995</v>
      </c>
      <c r="AD210">
        <f>IF(ISNUMBER(VLOOKUP($A210,Haver_M!$B$1:$BZ$300,MATCH(data!AD$1,Haver_M!$B$1:$BZ$1,0),FALSE)),VLOOKUP($A210,Haver_M!$B$1:$BZ$300,MATCH(data!AD$1,Haver_M!$B$1:$BZ$1,0),FALSE),"")</f>
        <v>123.254</v>
      </c>
      <c r="AE210">
        <f>IF(ISNUMBER(VLOOKUP($A210,Haver_M!$B$1:$BZ$300,MATCH(data!AE$1,Haver_M!$B$1:$BZ$1,0),FALSE)),VLOOKUP($A210,Haver_M!$B$1:$BZ$300,MATCH(data!AE$1,Haver_M!$B$1:$BZ$1,0),FALSE),"")</f>
        <v>102.71899999999999</v>
      </c>
      <c r="AF210">
        <f>IF(ISNUMBER(VLOOKUP($A210,Haver_M!$B$1:$BZ$300,MATCH(data!AF$1,Haver_M!$B$1:$BZ$1,0),FALSE)),VLOOKUP($A210,Haver_M!$B$1:$BZ$300,MATCH(data!AF$1,Haver_M!$B$1:$BZ$1,0),FALSE),"")</f>
        <v>136.797</v>
      </c>
      <c r="AG210">
        <f>IF(ISNUMBER(VLOOKUP($A210,Haver_M!$B$1:$BZ$300,MATCH(data!AG$1,Haver_M!$B$1:$BZ$1,0),FALSE)),VLOOKUP($A210,Haver_M!$B$1:$BZ$300,MATCH(data!AG$1,Haver_M!$B$1:$BZ$1,0),FALSE),"")</f>
        <v>123.529</v>
      </c>
      <c r="AH210">
        <f>IF(ISNUMBER(VLOOKUP($A210,Haver_M!$B$1:$BZ$300,MATCH(data!AH$1,Haver_M!$B$1:$BZ$1,0),FALSE)),VLOOKUP($A210,Haver_M!$B$1:$BZ$300,MATCH(data!AH$1,Haver_M!$B$1:$BZ$1,0),FALSE),"")</f>
        <v>149.12899999999999</v>
      </c>
      <c r="AI210">
        <f>IF(ISNUMBER(VLOOKUP($A210,Haver_M!$B$1:$BZ$300,MATCH(data!AI$1,Haver_M!$B$1:$BZ$1,0),FALSE)),VLOOKUP($A210,Haver_M!$B$1:$BZ$300,MATCH(data!AI$1,Haver_M!$B$1:$BZ$1,0),FALSE),"")</f>
        <v>17095.61645793905</v>
      </c>
      <c r="AJ210">
        <f>IF(ISNUMBER(VLOOKUP($A210,Haver_M!$B$1:$BZ$300,MATCH(data!AJ$1,Haver_M!$B$1:$BZ$1,0),FALSE)),VLOOKUP($A210,Haver_M!$B$1:$BZ$300,MATCH(data!AJ$1,Haver_M!$B$1:$BZ$1,0),FALSE),"")</f>
        <v>23280.3</v>
      </c>
      <c r="AK210">
        <f>IF(ISNUMBER(VLOOKUP($A210,Haver_M!$B$1:$BZ$300,MATCH(data!AK$1,Haver_M!$B$1:$BZ$1,0),FALSE)),VLOOKUP($A210,Haver_M!$B$1:$BZ$300,MATCH(data!AK$1,Haver_M!$B$1:$BZ$1,0),FALSE),"")</f>
        <v>37471.379999999997</v>
      </c>
      <c r="AL210">
        <f>IF(ISNUMBER(VLOOKUP($A210,Haver_M!$B$1:$BZ$300,MATCH(data!AL$1,Haver_M!$B$1:$BZ$1,0),FALSE)),VLOOKUP($A210,Haver_M!$B$1:$BZ$300,MATCH(data!AL$1,Haver_M!$B$1:$BZ$1,0),FALSE),"")</f>
        <v>13430</v>
      </c>
      <c r="AM210">
        <f>IF(ISNUMBER(VLOOKUP($A210,Haver_M!$B$1:$BZ$300,MATCH(data!AM$1,Haver_M!$B$1:$BZ$1,0),FALSE)),VLOOKUP($A210,Haver_M!$B$1:$BZ$300,MATCH(data!AM$1,Haver_M!$B$1:$BZ$1,0),FALSE),"")</f>
        <v>7615</v>
      </c>
      <c r="AN210">
        <f>IF(ISNUMBER(VLOOKUP($A210,Haver_M!$B$1:$BZ$300,MATCH(data!AN$1,Haver_M!$B$1:$BZ$1,0),FALSE)),VLOOKUP($A210,Haver_M!$B$1:$BZ$300,MATCH(data!AN$1,Haver_M!$B$1:$BZ$1,0),FALSE),"")</f>
        <v>100</v>
      </c>
      <c r="AO210">
        <f>IF(ISNUMBER(VLOOKUP($A210,Haver_M!$B$1:$BZ$300,MATCH(data!AO$1,Haver_M!$B$1:$BZ$1,0),FALSE)),VLOOKUP($A210,Haver_M!$B$1:$BZ$300,MATCH(data!AO$1,Haver_M!$B$1:$BZ$1,0),FALSE),"")</f>
        <v>123.4</v>
      </c>
      <c r="AP210">
        <f>IF(ISNUMBER(VLOOKUP($A210,Haver_M!$B$1:$BZ$300,MATCH(data!AP$1,Haver_M!$B$1:$BZ$1,0),FALSE)),VLOOKUP($A210,Haver_M!$B$1:$BZ$300,MATCH(data!AP$1,Haver_M!$B$1:$BZ$1,0),FALSE),"")</f>
        <v>55.872409772734713</v>
      </c>
      <c r="AQ210">
        <f>IF(ISNUMBER(VLOOKUP($A210,Haver_M!$B$1:$BZ$300,MATCH(data!AQ$1,Haver_M!$B$1:$BZ$1,0),FALSE)),VLOOKUP($A210,Haver_M!$B$1:$BZ$300,MATCH(data!AQ$1,Haver_M!$B$1:$BZ$1,0),FALSE),"")</f>
        <v>52.513100000000001</v>
      </c>
      <c r="AR210">
        <f>IF(ISNUMBER(VLOOKUP($A210,Haver_M!$B$1:$BZ$300,MATCH(data!AR$1,Haver_M!$B$1:$BZ$1,0),FALSE)),VLOOKUP($A210,Haver_M!$B$1:$BZ$300,MATCH(data!AR$1,Haver_M!$B$1:$BZ$1,0),FALSE),"")</f>
        <v>51.611400000000003</v>
      </c>
      <c r="AS210">
        <f>IF(ISNUMBER(VLOOKUP($A210,Haver_M!$B$1:$BZ$300,MATCH(data!AS$1,Haver_M!$B$1:$BZ$1,0),FALSE)),VLOOKUP($A210,Haver_M!$B$1:$BZ$300,MATCH(data!AS$1,Haver_M!$B$1:$BZ$1,0),FALSE),"")</f>
        <v>52.238100000000003</v>
      </c>
      <c r="AT210">
        <f>IF(ISNUMBER(VLOOKUP($A210,Haver_M!$B$1:$BZ$300,MATCH(data!AT$1,Haver_M!$B$1:$BZ$1,0),FALSE)),VLOOKUP($A210,Haver_M!$B$1:$BZ$300,MATCH(data!AT$1,Haver_M!$B$1:$BZ$1,0),FALSE),"")</f>
        <v>53.118600000000001</v>
      </c>
      <c r="AU210">
        <f>IF(ISNUMBER(VLOOKUP($A210,Haver_M!$B$1:$BZ$300,MATCH(data!AU$1,Haver_M!$B$1:$BZ$1,0),FALSE)),VLOOKUP($A210,Haver_M!$B$1:$BZ$300,MATCH(data!AU$1,Haver_M!$B$1:$BZ$1,0),FALSE),"")</f>
        <v>52.635100000000001</v>
      </c>
      <c r="AV210">
        <f>IF(ISNUMBER(VLOOKUP($A210,Haver_M!$B$1:$BZ$300,MATCH(data!AV$1,Haver_M!$B$1:$BZ$1,0),FALSE)),VLOOKUP($A210,Haver_M!$B$1:$BZ$300,MATCH(data!AV$1,Haver_M!$B$1:$BZ$1,0),FALSE),"")</f>
        <v>48.832299999999996</v>
      </c>
      <c r="AW210">
        <f>IF(ISNUMBER(VLOOKUP($A210,Haver_M!$B$1:$BZ$300,MATCH(data!AW$1,Haver_M!$B$1:$BZ$1,0),FALSE)),VLOOKUP($A210,Haver_M!$B$1:$BZ$300,MATCH(data!AW$1,Haver_M!$B$1:$BZ$1,0),FALSE),"")</f>
        <v>49.720799999999997</v>
      </c>
      <c r="AX210">
        <f>IF(ISNUMBER(VLOOKUP($A210,Haver_M!$B$1:$BZ$300,MATCH(data!AX$1,Haver_M!$B$1:$BZ$1,0),FALSE)),VLOOKUP($A210,Haver_M!$B$1:$BZ$300,MATCH(data!AX$1,Haver_M!$B$1:$BZ$1,0),FALSE),"")</f>
        <v>52.3292</v>
      </c>
      <c r="AY210">
        <f>IF(ISNUMBER(VLOOKUP($A210,Haver_M!$B$1:$BZ$300,MATCH(data!AY$1,Haver_M!$B$1:$BZ$1,0),FALSE)),VLOOKUP($A210,Haver_M!$B$1:$BZ$300,MATCH(data!AY$1,Haver_M!$B$1:$BZ$1,0),FALSE),"")</f>
        <v>53.360199999999999</v>
      </c>
      <c r="AZ210">
        <f>IF(ISNUMBER(VLOOKUP($A210,Haver_M!$B$1:$BZ$300,MATCH(data!AZ$1,Haver_M!$B$1:$BZ$1,0),FALSE)),VLOOKUP($A210,Haver_M!$B$1:$BZ$300,MATCH(data!AZ$1,Haver_M!$B$1:$BZ$1,0),FALSE),"")</f>
        <v>52.372700000000002</v>
      </c>
      <c r="BA210">
        <f>IF(ISNUMBER(VLOOKUP($A210,Haver_M!$B$1:$BZ$300,MATCH(data!BA$1,Haver_M!$B$1:$BZ$1,0),FALSE)),VLOOKUP($A210,Haver_M!$B$1:$BZ$300,MATCH(data!BA$1,Haver_M!$B$1:$BZ$1,0),FALSE),"")</f>
        <v>52.3292</v>
      </c>
      <c r="BB210">
        <f>IF(ISNUMBER(VLOOKUP($A210,Haver_M!$B$1:$BZ$300,MATCH(data!BB$1,Haver_M!$B$1:$BZ$1,0),FALSE)),VLOOKUP($A210,Haver_M!$B$1:$BZ$300,MATCH(data!BB$1,Haver_M!$B$1:$BZ$1,0),FALSE),"")</f>
        <v>49.105200000000004</v>
      </c>
      <c r="BC210">
        <f>IF(ISNUMBER(VLOOKUP($A210,Haver_M!$B$1:$BZ$300,MATCH(data!BC$1,Haver_M!$B$1:$BZ$1,0),FALSE)),VLOOKUP($A210,Haver_M!$B$1:$BZ$300,MATCH(data!BC$1,Haver_M!$B$1:$BZ$1,0),FALSE),"")</f>
        <v>50.954599999999999</v>
      </c>
      <c r="BD210">
        <f>IF(ISNUMBER(VLOOKUP($A210,Haver_M!$B$1:$BZ$300,MATCH(data!BD$1,Haver_M!$B$1:$BZ$1,0),FALSE)),VLOOKUP($A210,Haver_M!$B$1:$BZ$300,MATCH(data!BD$1,Haver_M!$B$1:$BZ$1,0),FALSE),"")</f>
        <v>51.705199999999998</v>
      </c>
      <c r="BE210">
        <f>IF(ISNUMBER(VLOOKUP($A210,Haver_M!$B$1:$BZ$300,MATCH(data!BE$1,Haver_M!$B$1:$BZ$1,0),FALSE)),VLOOKUP($A210,Haver_M!$B$1:$BZ$300,MATCH(data!BE$1,Haver_M!$B$1:$BZ$1,0),FALSE),"")</f>
        <v>1.1655</v>
      </c>
      <c r="BF210">
        <f>IF(ISNUMBER(VLOOKUP($A210,Haver_M!$B$1:$BZ$300,MATCH(data!BF$1,Haver_M!$B$1:$BZ$1,0),FALSE)),VLOOKUP($A210,Haver_M!$B$1:$BZ$300,MATCH(data!BF$1,Haver_M!$B$1:$BZ$1,0),FALSE),"")</f>
        <v>51.814599999999999</v>
      </c>
      <c r="BG210">
        <f>IF(ISNUMBER(VLOOKUP($A210,Haver_M!$B$1:$BZ$300,MATCH(data!BG$1,Haver_M!$B$1:$BZ$1,0),FALSE)),VLOOKUP($A210,Haver_M!$B$1:$BZ$300,MATCH(data!BG$1,Haver_M!$B$1:$BZ$1,0),FALSE),"")</f>
        <v>50.610399999999998</v>
      </c>
      <c r="BH210">
        <f>IF(ISNUMBER(VLOOKUP($A210,Haver_M!$B$1:$BZ$300,MATCH(data!BH$1,Haver_M!$B$1:$BZ$1,0),FALSE)),VLOOKUP($A210,Haver_M!$B$1:$BZ$300,MATCH(data!BH$1,Haver_M!$B$1:$BZ$1,0),FALSE),"")</f>
        <v>51.616100000000003</v>
      </c>
      <c r="BI210">
        <f>IF(ISNUMBER(VLOOKUP($A210,Haver_M!$B$1:$BZ$300,MATCH(data!BI$1,Haver_M!$B$1:$BZ$1,0),FALSE)),VLOOKUP($A210,Haver_M!$B$1:$BZ$300,MATCH(data!BI$1,Haver_M!$B$1:$BZ$1,0),FALSE),"")</f>
        <v>50.865400000000001</v>
      </c>
      <c r="BJ210">
        <f>IF(ISNUMBER(VLOOKUP($A210,Haver_M!$B$1:$BZ$300,MATCH(data!BJ$1,Haver_M!$B$1:$BZ$1,0),FALSE)),VLOOKUP($A210,Haver_M!$B$1:$BZ$300,MATCH(data!BJ$1,Haver_M!$B$1:$BZ$1,0),FALSE),"")</f>
        <v>50.985700000000001</v>
      </c>
      <c r="BK210">
        <f>IF(ISNUMBER(VLOOKUP($A210,Haver_M!$B$1:$BZ$300,MATCH(data!BK$1,Haver_M!$B$1:$BZ$1,0),FALSE)),VLOOKUP($A210,Haver_M!$B$1:$BZ$300,MATCH(data!BK$1,Haver_M!$B$1:$BZ$1,0),FALSE),"")</f>
        <v>51.563600000000001</v>
      </c>
      <c r="BL210">
        <f>IF(ISNUMBER(VLOOKUP($A210,Haver_M!$B$1:$BZ$300,MATCH(data!BL$1,Haver_M!$B$1:$BZ$1,0),FALSE)),VLOOKUP($A210,Haver_M!$B$1:$BZ$300,MATCH(data!BL$1,Haver_M!$B$1:$BZ$1,0),FALSE),"")</f>
        <v>30420.07</v>
      </c>
      <c r="BM210">
        <f>IF(ISNUMBER(VLOOKUP($A210,Haver_M!$B$1:$BZ$300,MATCH(data!BM$1,Haver_M!$B$1:$BZ$1,0),FALSE)),VLOOKUP($A210,Haver_M!$B$1:$BZ$300,MATCH(data!BM$1,Haver_M!$B$1:$BZ$1,0),FALSE),"")</f>
        <v>96.149210220000001</v>
      </c>
      <c r="BN210" t="str">
        <f>IF(ISNUMBER(VLOOKUP($A210,Haver_M!$B$1:$BZ$300,MATCH(data!BN$1,Haver_M!$B$1:$BZ$1,0),FALSE)),VLOOKUP($A210,Haver_M!$B$1:$BZ$300,MATCH(data!BN$1,Haver_M!$B$1:$BZ$1,0),FALSE),"")</f>
        <v/>
      </c>
      <c r="BO210" t="str">
        <f>IF(ISNUMBER(VLOOKUP($A210,Haver_M!$B$1:$BZ$300,MATCH(data!BO$1,Haver_M!$B$1:$BZ$1,0),FALSE)),VLOOKUP($A210,Haver_M!$B$1:$BZ$300,MATCH(data!BO$1,Haver_M!$B$1:$BZ$1,0),FALSE),"")</f>
        <v/>
      </c>
      <c r="BP210" t="str">
        <f>IF(ISNUMBER(VLOOKUP($A210,Haver_M!$B$1:$BZ$300,MATCH(data!BP$1,Haver_M!$B$1:$BZ$1,0),FALSE)),VLOOKUP($A210,Haver_M!$B$1:$BZ$300,MATCH(data!BP$1,Haver_M!$B$1:$BZ$1,0),FALSE),"")</f>
        <v/>
      </c>
      <c r="BQ210">
        <f>IF(ISNUMBER(VLOOKUP($A210,Haver_M!$B$1:$BZ$300,MATCH(data!BQ$1,Haver_M!$B$1:$BZ$1,0),FALSE)),VLOOKUP($A210,Haver_M!$B$1:$BZ$300,MATCH(data!BQ$1,Haver_M!$B$1:$BZ$1,0),FALSE),"")</f>
        <v>251.03221119817212</v>
      </c>
      <c r="BR210">
        <f>IF(ISNUMBER(VLOOKUP($A210,Haver_M!$B$1:$BZ$300,MATCH(data!BR$1,Haver_M!$B$1:$BZ$1,0),FALSE)),VLOOKUP($A210,Haver_M!$B$1:$BZ$300,MATCH(data!BR$1,Haver_M!$B$1:$BZ$1,0),FALSE),"")</f>
        <v>404.63051495697306</v>
      </c>
      <c r="BS210">
        <f>IF(ISNUMBER(VLOOKUP($A210,Haver_M!$B$1:$BZ$300,MATCH(data!BS$1,Haver_M!$B$1:$BZ$1,0),FALSE)),VLOOKUP($A210,Haver_M!$B$1:$BZ$300,MATCH(data!BS$1,Haver_M!$B$1:$BZ$1,0),FALSE),"")</f>
        <v>253.70307707590865</v>
      </c>
      <c r="BT210">
        <f>IF(ISNUMBER(VLOOKUP($A210,Haver_M!$B$1:$BZ$300,MATCH(data!BT$1,Haver_M!$B$1:$BZ$1,0),FALSE)),VLOOKUP($A210,Haver_M!$B$1:$BZ$300,MATCH(data!BT$1,Haver_M!$B$1:$BZ$1,0),FALSE),"")</f>
        <v>1059.2622716717783</v>
      </c>
      <c r="BU210">
        <f>IF(ISNUMBER(VLOOKUP($A210,Haver_M!$B$1:$BZ$300,MATCH(data!BU$1,Haver_M!$B$1:$BZ$1,0),FALSE)),VLOOKUP($A210,Haver_M!$B$1:$BZ$300,MATCH(data!BU$1,Haver_M!$B$1:$BZ$1,0),FALSE),"")</f>
        <v>23947.040000000001</v>
      </c>
      <c r="BV210">
        <f>IF(ISNUMBER(VLOOKUP($A210,Haver_M!$B$1:$BZ$300,MATCH(data!BV$1,Haver_M!$B$1:$BZ$1,0),FALSE)),VLOOKUP($A210,Haver_M!$B$1:$BZ$300,MATCH(data!BV$1,Haver_M!$B$1:$BZ$1,0),FALSE),"")</f>
        <v>38278.74</v>
      </c>
      <c r="BW210">
        <f>IF(ISNUMBER(VLOOKUP($A210,Haver_M!$B$1:$BZ$300,MATCH(data!BW$1,Haver_M!$B$1:$BZ$1,0),FALSE)),VLOOKUP($A210,Haver_M!$B$1:$BZ$300,MATCH(data!BW$1,Haver_M!$B$1:$BZ$1,0),FALSE),"")</f>
        <v>64.424800000000005</v>
      </c>
      <c r="BX210">
        <f>IF(ISNUMBER(VLOOKUP($A210,Haver_M!$B$1:$BZ$300,MATCH(data!BX$1,Haver_M!$B$1:$BZ$1,0),FALSE)),VLOOKUP($A210,Haver_M!$B$1:$BZ$300,MATCH(data!BX$1,Haver_M!$B$1:$BZ$1,0),FALSE),"")</f>
        <v>65763</v>
      </c>
    </row>
    <row r="211" spans="1:76" x14ac:dyDescent="0.25">
      <c r="A211" s="2">
        <v>42916</v>
      </c>
      <c r="B211">
        <f>IF(ISNUMBER(VLOOKUP($A211,Haver_Q!$B$1:$L$185,MATCH(data!B$1,Haver_Q!$B$1:$L$1,0),FALSE)),100*(VLOOKUP($A211,Haver_Q!$B$1:$L$185,MATCH(data!B$1,Haver_Q!$B$1:$L$1,0),FALSE)),"")</f>
        <v>6.4975875030640617</v>
      </c>
      <c r="C211">
        <f>IF(ISNUMBER(VLOOKUP($A211,Haver_Q!$B$1:$L$185,MATCH(data!C$1,Haver_Q!$B$1:$L$1,0),FALSE)),100*(VLOOKUP($A211,Haver_Q!$B$1:$L$185,MATCH(data!C$1,Haver_Q!$B$1:$L$1,0),FALSE)),"")</f>
        <v>18.109078166973092</v>
      </c>
      <c r="D211">
        <f>IF(ISNUMBER(VLOOKUP($A211,Haver_Q!$B$1:$L$185,MATCH(data!D$1,Haver_Q!$B$1:$L$1,0),FALSE)),100*(VLOOKUP($A211,Haver_Q!$B$1:$L$185,MATCH(data!D$1,Haver_Q!$B$1:$L$1,0),FALSE)),"")</f>
        <v>60.983830322493638</v>
      </c>
      <c r="E211">
        <f>IF(ISNUMBER(VLOOKUP($A211,Haver_Q!$B$1:$L$185,MATCH(data!E$1,Haver_Q!$B$1:$L$1,0),FALSE)),100*(VLOOKUP($A211,Haver_Q!$B$1:$L$185,MATCH(data!E$1,Haver_Q!$B$1:$L$1,0),FALSE)),"")</f>
        <v>12.951529444623699</v>
      </c>
      <c r="F211">
        <f>IF(ISNUMBER(VLOOKUP($A211,Haver_Q!$B$1:$L$185,MATCH(data!F$1,Haver_Q!$B$1:$L$1,0),FALSE)),100*(VLOOKUP($A211,Haver_Q!$B$1:$L$185,MATCH(data!F$1,Haver_Q!$B$1:$L$1,0),FALSE)),"")</f>
        <v>-3.4130952221552158</v>
      </c>
      <c r="G211">
        <f>IF(ISNUMBER(VLOOKUP($A211,Haver_Q!$B$1:$L$185,MATCH(data!G$1,Haver_Q!$B$1:$L$1,0),FALSE)),100*(VLOOKUP($A211,Haver_Q!$B$1:$L$185,MATCH(data!G$1,Haver_Q!$B$1:$L$1,0),FALSE)),"")</f>
        <v>83.817524943239036</v>
      </c>
      <c r="H211">
        <f>IF(ISNUMBER(VLOOKUP($A211,Haver_Q!$B$1:$L$185,MATCH(data!H$1,Haver_Q!$B$1:$L$1,0),FALSE)),(VLOOKUP($A211,Haver_Q!$B$1:$L$185,MATCH(data!H$1,Haver_Q!$B$1:$L$1,0),FALSE)),"")</f>
        <v>4.0631648657085462</v>
      </c>
      <c r="I211">
        <f>IF(ISNUMBER(VLOOKUP($A211,Haver_Q!$B$1:$L$185,MATCH(data!I$1,Haver_Q!$B$1:$L$1,0),FALSE)),100*(VLOOKUP($A211,Haver_Q!$B$1:$L$185,MATCH(data!I$1,Haver_Q!$B$1:$L$1,0),FALSE)),"")</f>
        <v>5.9896079452567141</v>
      </c>
      <c r="J211" s="3">
        <f>IF(ISNUMBER(Bloomberg_m!C227),Bloomberg_m!C227,"")</f>
        <v>860</v>
      </c>
      <c r="K211" s="3">
        <f>IF(ISNUMBER(Bloomberg_m!D227),Bloomberg_m!D227,"")</f>
        <v>1434.75</v>
      </c>
      <c r="L211" s="3">
        <f>IF(ISNUMBER(Bloomberg_m!E227),Bloomberg_m!E227,"")</f>
        <v>869.76</v>
      </c>
      <c r="M211" s="3">
        <f>IF(ISNUMBER(Bloomberg_m!F227),Bloomberg_m!F227,"")</f>
        <v>400.11</v>
      </c>
      <c r="N211">
        <f>IF(ISNUMBER(VLOOKUP($A211,Haver_M!$B$1:$BZ$300,MATCH(data!N$1,Haver_M!$B$1:$BZ$1,0),FALSE)),VLOOKUP($A211,Haver_M!$B$1:$BZ$300,MATCH(data!N$1,Haver_M!$B$1:$BZ$1,0),FALSE),"")</f>
        <v>6.25</v>
      </c>
      <c r="O211">
        <f>IF(ISNUMBER(VLOOKUP($A211,Haver_M!$B$1:$BZ$300,MATCH(data!O$1,Haver_M!$B$1:$BZ$1,0),FALSE)),VLOOKUP($A211,Haver_M!$B$1:$BZ$300,MATCH(data!O$1,Haver_M!$B$1:$BZ$1,0),FALSE),"")</f>
        <v>6.5899000000000001</v>
      </c>
      <c r="P211">
        <f>IF(ISNUMBER(VLOOKUP($A211,Haver_M!$B$1:$BZ$300,MATCH(data!P$1,Haver_M!$B$1:$BZ$1,0),FALSE)),VLOOKUP($A211,Haver_M!$B$1:$BZ$300,MATCH(data!P$1,Haver_M!$B$1:$BZ$1,0),FALSE),"")</f>
        <v>94.954030000000003</v>
      </c>
      <c r="Q211">
        <f>IF(ISNUMBER(VLOOKUP($A211,Haver_M!$B$1:$BZ$300,MATCH(data!Q$1,Haver_M!$B$1:$BZ$1,0),FALSE)),VLOOKUP($A211,Haver_M!$B$1:$BZ$300,MATCH(data!Q$1,Haver_M!$B$1:$BZ$1,0),FALSE),"")</f>
        <v>132</v>
      </c>
      <c r="R211">
        <f>IF(ISNUMBER(VLOOKUP($A211,Haver_M!$B$1:$BZ$300,MATCH(data!R$1,Haver_M!$B$1:$BZ$1,0),FALSE)),VLOOKUP($A211,Haver_M!$B$1:$BZ$300,MATCH(data!R$1,Haver_M!$B$1:$BZ$1,0),FALSE),"")</f>
        <v>130.9</v>
      </c>
      <c r="S211">
        <f>IF(ISNUMBER(VLOOKUP($A211,Haver_M!$B$1:$BZ$300,MATCH(data!S$1,Haver_M!$B$1:$BZ$1,0),FALSE)),VLOOKUP($A211,Haver_M!$B$1:$BZ$300,MATCH(data!S$1,Haver_M!$B$1:$BZ$1,0),FALSE),"")</f>
        <v>121.35</v>
      </c>
      <c r="T211">
        <f>IF(ISNUMBER(VLOOKUP($A211,Haver_M!$B$1:$BZ$300,MATCH(data!T$1,Haver_M!$B$1:$BZ$1,0),FALSE)),VLOOKUP($A211,Haver_M!$B$1:$BZ$300,MATCH(data!T$1,Haver_M!$B$1:$BZ$1,0),FALSE),"")</f>
        <v>117.54</v>
      </c>
      <c r="U211">
        <f>IF(ISNUMBER(VLOOKUP($A211,Haver_M!$B$1:$BZ$300,MATCH(data!U$1,Haver_M!$B$1:$BZ$1,0),FALSE)),VLOOKUP($A211,Haver_M!$B$1:$BZ$300,MATCH(data!U$1,Haver_M!$B$1:$BZ$1,0),FALSE),"")</f>
        <v>99.86</v>
      </c>
      <c r="V211">
        <f>IF(ISNUMBER(VLOOKUP($A211,Haver_M!$B$1:$BZ$300,MATCH(data!V$1,Haver_M!$B$1:$BZ$1,0),FALSE)),VLOOKUP($A211,Haver_M!$B$1:$BZ$300,MATCH(data!V$1,Haver_M!$B$1:$BZ$1,0),FALSE),"")</f>
        <v>121.92</v>
      </c>
      <c r="W211">
        <f>IF(ISNUMBER(VLOOKUP($A211,Haver_M!$B$1:$BZ$300,MATCH(data!W$1,Haver_M!$B$1:$BZ$1,0),FALSE)),VLOOKUP($A211,Haver_M!$B$1:$BZ$300,MATCH(data!W$1,Haver_M!$B$1:$BZ$1,0),FALSE),"")</f>
        <v>127.01</v>
      </c>
      <c r="X211">
        <f>IF(ISNUMBER(VLOOKUP($A211,Haver_M!$B$1:$BZ$300,MATCH(data!X$1,Haver_M!$B$1:$BZ$1,0),FALSE)),VLOOKUP($A211,Haver_M!$B$1:$BZ$300,MATCH(data!X$1,Haver_M!$B$1:$BZ$1,0),FALSE),"")</f>
        <v>119.43</v>
      </c>
      <c r="Y211">
        <f>IF(ISNUMBER(VLOOKUP($A211,Haver_M!$B$1:$BZ$300,MATCH(data!Y$1,Haver_M!$B$1:$BZ$1,0),FALSE)),VLOOKUP($A211,Haver_M!$B$1:$BZ$300,MATCH(data!Y$1,Haver_M!$B$1:$BZ$1,0),FALSE),"")</f>
        <v>136.88</v>
      </c>
      <c r="Z211">
        <f>IF(ISNUMBER(VLOOKUP($A211,Haver_M!$B$1:$BZ$300,MATCH(data!Z$1,Haver_M!$B$1:$BZ$1,0),FALSE)),VLOOKUP($A211,Haver_M!$B$1:$BZ$300,MATCH(data!Z$1,Haver_M!$B$1:$BZ$1,0),FALSE),"")</f>
        <v>122.4</v>
      </c>
      <c r="AA211">
        <f>IF(ISNUMBER(VLOOKUP($A211,Haver_M!$B$1:$BZ$300,MATCH(data!AA$1,Haver_M!$B$1:$BZ$1,0),FALSE)),VLOOKUP($A211,Haver_M!$B$1:$BZ$300,MATCH(data!AA$1,Haver_M!$B$1:$BZ$1,0),FALSE),"")</f>
        <v>121.036</v>
      </c>
      <c r="AB211">
        <f>IF(ISNUMBER(VLOOKUP($A211,Haver_M!$B$1:$BZ$300,MATCH(data!AB$1,Haver_M!$B$1:$BZ$1,0),FALSE)),VLOOKUP($A211,Haver_M!$B$1:$BZ$300,MATCH(data!AB$1,Haver_M!$B$1:$BZ$1,0),FALSE),"")</f>
        <v>94.808000000000007</v>
      </c>
      <c r="AC211">
        <f>IF(ISNUMBER(VLOOKUP($A211,Haver_M!$B$1:$BZ$300,MATCH(data!AC$1,Haver_M!$B$1:$BZ$1,0),FALSE)),VLOOKUP($A211,Haver_M!$B$1:$BZ$300,MATCH(data!AC$1,Haver_M!$B$1:$BZ$1,0),FALSE),"")</f>
        <v>70.38</v>
      </c>
      <c r="AD211">
        <f>IF(ISNUMBER(VLOOKUP($A211,Haver_M!$B$1:$BZ$300,MATCH(data!AD$1,Haver_M!$B$1:$BZ$1,0),FALSE)),VLOOKUP($A211,Haver_M!$B$1:$BZ$300,MATCH(data!AD$1,Haver_M!$B$1:$BZ$1,0),FALSE),"")</f>
        <v>120.73699999999999</v>
      </c>
      <c r="AE211">
        <f>IF(ISNUMBER(VLOOKUP($A211,Haver_M!$B$1:$BZ$300,MATCH(data!AE$1,Haver_M!$B$1:$BZ$1,0),FALSE)),VLOOKUP($A211,Haver_M!$B$1:$BZ$300,MATCH(data!AE$1,Haver_M!$B$1:$BZ$1,0),FALSE),"")</f>
        <v>106.83</v>
      </c>
      <c r="AF211">
        <f>IF(ISNUMBER(VLOOKUP($A211,Haver_M!$B$1:$BZ$300,MATCH(data!AF$1,Haver_M!$B$1:$BZ$1,0),FALSE)),VLOOKUP($A211,Haver_M!$B$1:$BZ$300,MATCH(data!AF$1,Haver_M!$B$1:$BZ$1,0),FALSE),"")</f>
        <v>138.185</v>
      </c>
      <c r="AG211">
        <f>IF(ISNUMBER(VLOOKUP($A211,Haver_M!$B$1:$BZ$300,MATCH(data!AG$1,Haver_M!$B$1:$BZ$1,0),FALSE)),VLOOKUP($A211,Haver_M!$B$1:$BZ$300,MATCH(data!AG$1,Haver_M!$B$1:$BZ$1,0),FALSE),"")</f>
        <v>124.286</v>
      </c>
      <c r="AH211">
        <f>IF(ISNUMBER(VLOOKUP($A211,Haver_M!$B$1:$BZ$300,MATCH(data!AH$1,Haver_M!$B$1:$BZ$1,0),FALSE)),VLOOKUP($A211,Haver_M!$B$1:$BZ$300,MATCH(data!AH$1,Haver_M!$B$1:$BZ$1,0),FALSE),"")</f>
        <v>144.43799999999999</v>
      </c>
      <c r="AI211">
        <f>IF(ISNUMBER(VLOOKUP($A211,Haver_M!$B$1:$BZ$300,MATCH(data!AI$1,Haver_M!$B$1:$BZ$1,0),FALSE)),VLOOKUP($A211,Haver_M!$B$1:$BZ$300,MATCH(data!AI$1,Haver_M!$B$1:$BZ$1,0),FALSE),"")</f>
        <v>16424.888905015352</v>
      </c>
      <c r="AJ211">
        <f>IF(ISNUMBER(VLOOKUP($A211,Haver_M!$B$1:$BZ$300,MATCH(data!AJ$1,Haver_M!$B$1:$BZ$1,0),FALSE)),VLOOKUP($A211,Haver_M!$B$1:$BZ$300,MATCH(data!AJ$1,Haver_M!$B$1:$BZ$1,0),FALSE),"")</f>
        <v>23356.94</v>
      </c>
      <c r="AK211">
        <f>IF(ISNUMBER(VLOOKUP($A211,Haver_M!$B$1:$BZ$300,MATCH(data!AK$1,Haver_M!$B$1:$BZ$1,0),FALSE)),VLOOKUP($A211,Haver_M!$B$1:$BZ$300,MATCH(data!AK$1,Haver_M!$B$1:$BZ$1,0),FALSE),"")</f>
        <v>36427.300000000003</v>
      </c>
      <c r="AL211">
        <f>IF(ISNUMBER(VLOOKUP($A211,Haver_M!$B$1:$BZ$300,MATCH(data!AL$1,Haver_M!$B$1:$BZ$1,0),FALSE)),VLOOKUP($A211,Haver_M!$B$1:$BZ$300,MATCH(data!AL$1,Haver_M!$B$1:$BZ$1,0),FALSE),"")</f>
        <v>13388</v>
      </c>
      <c r="AM211">
        <f>IF(ISNUMBER(VLOOKUP($A211,Haver_M!$B$1:$BZ$300,MATCH(data!AM$1,Haver_M!$B$1:$BZ$1,0),FALSE)),VLOOKUP($A211,Haver_M!$B$1:$BZ$300,MATCH(data!AM$1,Haver_M!$B$1:$BZ$1,0),FALSE),"")</f>
        <v>7457</v>
      </c>
      <c r="AN211">
        <f>IF(ISNUMBER(VLOOKUP($A211,Haver_M!$B$1:$BZ$300,MATCH(data!AN$1,Haver_M!$B$1:$BZ$1,0),FALSE)),VLOOKUP($A211,Haver_M!$B$1:$BZ$300,MATCH(data!AN$1,Haver_M!$B$1:$BZ$1,0),FALSE),"")</f>
        <v>96.8</v>
      </c>
      <c r="AO211">
        <f>IF(ISNUMBER(VLOOKUP($A211,Haver_M!$B$1:$BZ$300,MATCH(data!AO$1,Haver_M!$B$1:$BZ$1,0),FALSE)),VLOOKUP($A211,Haver_M!$B$1:$BZ$300,MATCH(data!AO$1,Haver_M!$B$1:$BZ$1,0),FALSE),"")</f>
        <v>120.8</v>
      </c>
      <c r="AP211">
        <f>IF(ISNUMBER(VLOOKUP($A211,Haver_M!$B$1:$BZ$300,MATCH(data!AP$1,Haver_M!$B$1:$BZ$1,0),FALSE)),VLOOKUP($A211,Haver_M!$B$1:$BZ$300,MATCH(data!AP$1,Haver_M!$B$1:$BZ$1,0),FALSE),"")</f>
        <v>63.743918012697016</v>
      </c>
      <c r="AQ211">
        <f>IF(ISNUMBER(VLOOKUP($A211,Haver_M!$B$1:$BZ$300,MATCH(data!AQ$1,Haver_M!$B$1:$BZ$1,0),FALSE)),VLOOKUP($A211,Haver_M!$B$1:$BZ$300,MATCH(data!AQ$1,Haver_M!$B$1:$BZ$1,0),FALSE),"")</f>
        <v>52.686399999999999</v>
      </c>
      <c r="AR211">
        <f>IF(ISNUMBER(VLOOKUP($A211,Haver_M!$B$1:$BZ$300,MATCH(data!AR$1,Haver_M!$B$1:$BZ$1,0),FALSE)),VLOOKUP($A211,Haver_M!$B$1:$BZ$300,MATCH(data!AR$1,Haver_M!$B$1:$BZ$1,0),FALSE),"")</f>
        <v>50.944000000000003</v>
      </c>
      <c r="AS211">
        <f>IF(ISNUMBER(VLOOKUP($A211,Haver_M!$B$1:$BZ$300,MATCH(data!AS$1,Haver_M!$B$1:$BZ$1,0),FALSE)),VLOOKUP($A211,Haver_M!$B$1:$BZ$300,MATCH(data!AS$1,Haver_M!$B$1:$BZ$1,0),FALSE),"")</f>
        <v>53.134099999999997</v>
      </c>
      <c r="AT211">
        <f>IF(ISNUMBER(VLOOKUP($A211,Haver_M!$B$1:$BZ$300,MATCH(data!AT$1,Haver_M!$B$1:$BZ$1,0),FALSE)),VLOOKUP($A211,Haver_M!$B$1:$BZ$300,MATCH(data!AT$1,Haver_M!$B$1:$BZ$1,0),FALSE),"")</f>
        <v>51.700499999999998</v>
      </c>
      <c r="AU211">
        <f>IF(ISNUMBER(VLOOKUP($A211,Haver_M!$B$1:$BZ$300,MATCH(data!AU$1,Haver_M!$B$1:$BZ$1,0),FALSE)),VLOOKUP($A211,Haver_M!$B$1:$BZ$300,MATCH(data!AU$1,Haver_M!$B$1:$BZ$1,0),FALSE),"")</f>
        <v>51.295200000000001</v>
      </c>
      <c r="AV211">
        <f>IF(ISNUMBER(VLOOKUP($A211,Haver_M!$B$1:$BZ$300,MATCH(data!AV$1,Haver_M!$B$1:$BZ$1,0),FALSE)),VLOOKUP($A211,Haver_M!$B$1:$BZ$300,MATCH(data!AV$1,Haver_M!$B$1:$BZ$1,0),FALSE),"")</f>
        <v>50.177399999999999</v>
      </c>
      <c r="AW211">
        <f>IF(ISNUMBER(VLOOKUP($A211,Haver_M!$B$1:$BZ$300,MATCH(data!AW$1,Haver_M!$B$1:$BZ$1,0),FALSE)),VLOOKUP($A211,Haver_M!$B$1:$BZ$300,MATCH(data!AW$1,Haver_M!$B$1:$BZ$1,0),FALSE),"")</f>
        <v>49.763599999999997</v>
      </c>
      <c r="AX211">
        <f>IF(ISNUMBER(VLOOKUP($A211,Haver_M!$B$1:$BZ$300,MATCH(data!AX$1,Haver_M!$B$1:$BZ$1,0),FALSE)),VLOOKUP($A211,Haver_M!$B$1:$BZ$300,MATCH(data!AX$1,Haver_M!$B$1:$BZ$1,0),FALSE),"")</f>
        <v>50.593200000000003</v>
      </c>
      <c r="AY211">
        <f>IF(ISNUMBER(VLOOKUP($A211,Haver_M!$B$1:$BZ$300,MATCH(data!AY$1,Haver_M!$B$1:$BZ$1,0),FALSE)),VLOOKUP($A211,Haver_M!$B$1:$BZ$300,MATCH(data!AY$1,Haver_M!$B$1:$BZ$1,0),FALSE),"")</f>
        <v>52.637599999999999</v>
      </c>
      <c r="AZ211">
        <f>IF(ISNUMBER(VLOOKUP($A211,Haver_M!$B$1:$BZ$300,MATCH(data!AZ$1,Haver_M!$B$1:$BZ$1,0),FALSE)),VLOOKUP($A211,Haver_M!$B$1:$BZ$300,MATCH(data!AZ$1,Haver_M!$B$1:$BZ$1,0),FALSE),"")</f>
        <v>50.833399999999997</v>
      </c>
      <c r="BA211">
        <f>IF(ISNUMBER(VLOOKUP($A211,Haver_M!$B$1:$BZ$300,MATCH(data!BA$1,Haver_M!$B$1:$BZ$1,0),FALSE)),VLOOKUP($A211,Haver_M!$B$1:$BZ$300,MATCH(data!BA$1,Haver_M!$B$1:$BZ$1,0),FALSE),"")</f>
        <v>50.593200000000003</v>
      </c>
      <c r="BB211">
        <f>IF(ISNUMBER(VLOOKUP($A211,Haver_M!$B$1:$BZ$300,MATCH(data!BB$1,Haver_M!$B$1:$BZ$1,0),FALSE)),VLOOKUP($A211,Haver_M!$B$1:$BZ$300,MATCH(data!BB$1,Haver_M!$B$1:$BZ$1,0),FALSE),"")</f>
        <v>52.8337</v>
      </c>
      <c r="BC211">
        <f>IF(ISNUMBER(VLOOKUP($A211,Haver_M!$B$1:$BZ$300,MATCH(data!BC$1,Haver_M!$B$1:$BZ$1,0),FALSE)),VLOOKUP($A211,Haver_M!$B$1:$BZ$300,MATCH(data!BC$1,Haver_M!$B$1:$BZ$1,0),FALSE),"")</f>
        <v>51.336199999999998</v>
      </c>
      <c r="BD211">
        <f>IF(ISNUMBER(VLOOKUP($A211,Haver_M!$B$1:$BZ$300,MATCH(data!BD$1,Haver_M!$B$1:$BZ$1,0),FALSE)),VLOOKUP($A211,Haver_M!$B$1:$BZ$300,MATCH(data!BD$1,Haver_M!$B$1:$BZ$1,0),FALSE),"")</f>
        <v>50.244599999999998</v>
      </c>
      <c r="BE211">
        <f>IF(ISNUMBER(VLOOKUP($A211,Haver_M!$B$1:$BZ$300,MATCH(data!BE$1,Haver_M!$B$1:$BZ$1,0),FALSE)),VLOOKUP($A211,Haver_M!$B$1:$BZ$300,MATCH(data!BE$1,Haver_M!$B$1:$BZ$1,0),FALSE),"")</f>
        <v>1.0903</v>
      </c>
      <c r="BF211">
        <f>IF(ISNUMBER(VLOOKUP($A211,Haver_M!$B$1:$BZ$300,MATCH(data!BF$1,Haver_M!$B$1:$BZ$1,0),FALSE)),VLOOKUP($A211,Haver_M!$B$1:$BZ$300,MATCH(data!BF$1,Haver_M!$B$1:$BZ$1,0),FALSE),"")</f>
        <v>51.805900000000001</v>
      </c>
      <c r="BG211">
        <f>IF(ISNUMBER(VLOOKUP($A211,Haver_M!$B$1:$BZ$300,MATCH(data!BG$1,Haver_M!$B$1:$BZ$1,0),FALSE)),VLOOKUP($A211,Haver_M!$B$1:$BZ$300,MATCH(data!BG$1,Haver_M!$B$1:$BZ$1,0),FALSE),"")</f>
        <v>51.021299999999997</v>
      </c>
      <c r="BH211">
        <f>IF(ISNUMBER(VLOOKUP($A211,Haver_M!$B$1:$BZ$300,MATCH(data!BH$1,Haver_M!$B$1:$BZ$1,0),FALSE)),VLOOKUP($A211,Haver_M!$B$1:$BZ$300,MATCH(data!BH$1,Haver_M!$B$1:$BZ$1,0),FALSE),"")</f>
        <v>53.309600000000003</v>
      </c>
      <c r="BI211">
        <f>IF(ISNUMBER(VLOOKUP($A211,Haver_M!$B$1:$BZ$300,MATCH(data!BI$1,Haver_M!$B$1:$BZ$1,0),FALSE)),VLOOKUP($A211,Haver_M!$B$1:$BZ$300,MATCH(data!BI$1,Haver_M!$B$1:$BZ$1,0),FALSE),"")</f>
        <v>52.337299999999999</v>
      </c>
      <c r="BJ211">
        <f>IF(ISNUMBER(VLOOKUP($A211,Haver_M!$B$1:$BZ$300,MATCH(data!BJ$1,Haver_M!$B$1:$BZ$1,0),FALSE)),VLOOKUP($A211,Haver_M!$B$1:$BZ$300,MATCH(data!BJ$1,Haver_M!$B$1:$BZ$1,0),FALSE),"")</f>
        <v>51.9221</v>
      </c>
      <c r="BK211">
        <f>IF(ISNUMBER(VLOOKUP($A211,Haver_M!$B$1:$BZ$300,MATCH(data!BK$1,Haver_M!$B$1:$BZ$1,0),FALSE)),VLOOKUP($A211,Haver_M!$B$1:$BZ$300,MATCH(data!BK$1,Haver_M!$B$1:$BZ$1,0),FALSE),"")</f>
        <v>50.566899999999997</v>
      </c>
      <c r="BL211">
        <f>IF(ISNUMBER(VLOOKUP($A211,Haver_M!$B$1:$BZ$300,MATCH(data!BL$1,Haver_M!$B$1:$BZ$1,0),FALSE)),VLOOKUP($A211,Haver_M!$B$1:$BZ$300,MATCH(data!BL$1,Haver_M!$B$1:$BZ$1,0),FALSE),"")</f>
        <v>31144.68</v>
      </c>
      <c r="BM211">
        <f>IF(ISNUMBER(VLOOKUP($A211,Haver_M!$B$1:$BZ$300,MATCH(data!BM$1,Haver_M!$B$1:$BZ$1,0),FALSE)),VLOOKUP($A211,Haver_M!$B$1:$BZ$300,MATCH(data!BM$1,Haver_M!$B$1:$BZ$1,0),FALSE),"")</f>
        <v>97.181281589999998</v>
      </c>
      <c r="BN211">
        <f>IF(ISNUMBER(VLOOKUP($A211,Haver_M!$B$1:$BZ$300,MATCH(data!BN$1,Haver_M!$B$1:$BZ$1,0),FALSE)),VLOOKUP($A211,Haver_M!$B$1:$BZ$300,MATCH(data!BN$1,Haver_M!$B$1:$BZ$1,0),FALSE),"")</f>
        <v>105.4</v>
      </c>
      <c r="BO211">
        <f>IF(ISNUMBER(VLOOKUP($A211,Haver_M!$B$1:$BZ$300,MATCH(data!BO$1,Haver_M!$B$1:$BZ$1,0),FALSE)),VLOOKUP($A211,Haver_M!$B$1:$BZ$300,MATCH(data!BO$1,Haver_M!$B$1:$BZ$1,0),FALSE),"")</f>
        <v>114.2</v>
      </c>
      <c r="BP211">
        <f>IF(ISNUMBER(VLOOKUP($A211,Haver_M!$B$1:$BZ$300,MATCH(data!BP$1,Haver_M!$B$1:$BZ$1,0),FALSE)),VLOOKUP($A211,Haver_M!$B$1:$BZ$300,MATCH(data!BP$1,Haver_M!$B$1:$BZ$1,0),FALSE),"")</f>
        <v>36</v>
      </c>
      <c r="BQ211">
        <f>IF(ISNUMBER(VLOOKUP($A211,Haver_M!$B$1:$BZ$300,MATCH(data!BQ$1,Haver_M!$B$1:$BZ$1,0),FALSE)),VLOOKUP($A211,Haver_M!$B$1:$BZ$300,MATCH(data!BQ$1,Haver_M!$B$1:$BZ$1,0),FALSE),"")</f>
        <v>254.50770448303155</v>
      </c>
      <c r="BR211">
        <f>IF(ISNUMBER(VLOOKUP($A211,Haver_M!$B$1:$BZ$300,MATCH(data!BR$1,Haver_M!$B$1:$BZ$1,0),FALSE)),VLOOKUP($A211,Haver_M!$B$1:$BZ$300,MATCH(data!BR$1,Haver_M!$B$1:$BZ$1,0),FALSE),"")</f>
        <v>406.32559005632885</v>
      </c>
      <c r="BS211">
        <f>IF(ISNUMBER(VLOOKUP($A211,Haver_M!$B$1:$BZ$300,MATCH(data!BS$1,Haver_M!$B$1:$BZ$1,0),FALSE)),VLOOKUP($A211,Haver_M!$B$1:$BZ$300,MATCH(data!BS$1,Haver_M!$B$1:$BZ$1,0),FALSE),"")</f>
        <v>254.37952919634407</v>
      </c>
      <c r="BT211">
        <f>IF(ISNUMBER(VLOOKUP($A211,Haver_M!$B$1:$BZ$300,MATCH(data!BT$1,Haver_M!$B$1:$BZ$1,0),FALSE)),VLOOKUP($A211,Haver_M!$B$1:$BZ$300,MATCH(data!BT$1,Haver_M!$B$1:$BZ$1,0),FALSE),"")</f>
        <v>1066.0208246046896</v>
      </c>
      <c r="BU211">
        <f>IF(ISNUMBER(VLOOKUP($A211,Haver_M!$B$1:$BZ$300,MATCH(data!BU$1,Haver_M!$B$1:$BZ$1,0),FALSE)),VLOOKUP($A211,Haver_M!$B$1:$BZ$300,MATCH(data!BU$1,Haver_M!$B$1:$BZ$1,0),FALSE),"")</f>
        <v>23012.65</v>
      </c>
      <c r="BV211">
        <f>IF(ISNUMBER(VLOOKUP($A211,Haver_M!$B$1:$BZ$300,MATCH(data!BV$1,Haver_M!$B$1:$BZ$1,0),FALSE)),VLOOKUP($A211,Haver_M!$B$1:$BZ$300,MATCH(data!BV$1,Haver_M!$B$1:$BZ$1,0),FALSE),"")</f>
        <v>37055.019999999997</v>
      </c>
      <c r="BW211">
        <f>IF(ISNUMBER(VLOOKUP($A211,Haver_M!$B$1:$BZ$300,MATCH(data!BW$1,Haver_M!$B$1:$BZ$1,0),FALSE)),VLOOKUP($A211,Haver_M!$B$1:$BZ$300,MATCH(data!BW$1,Haver_M!$B$1:$BZ$1,0),FALSE),"")</f>
        <v>64.442999999999998</v>
      </c>
      <c r="BX211">
        <f>IF(ISNUMBER(VLOOKUP($A211,Haver_M!$B$1:$BZ$300,MATCH(data!BX$1,Haver_M!$B$1:$BZ$1,0),FALSE)),VLOOKUP($A211,Haver_M!$B$1:$BZ$300,MATCH(data!BX$1,Haver_M!$B$1:$BZ$1,0),FALSE),"")</f>
        <v>61571</v>
      </c>
    </row>
    <row r="212" spans="1:76" x14ac:dyDescent="0.25">
      <c r="A212" s="2">
        <v>42947</v>
      </c>
      <c r="B212" t="str">
        <f>IF(ISNUMBER(VLOOKUP($A212,Haver_Q!$B$1:$L$185,MATCH(data!B$1,Haver_Q!$B$1:$L$1,0),FALSE)),100*(VLOOKUP($A212,Haver_Q!$B$1:$L$185,MATCH(data!B$1,Haver_Q!$B$1:$L$1,0),FALSE)),"")</f>
        <v/>
      </c>
      <c r="C212" t="str">
        <f>IF(ISNUMBER(VLOOKUP($A212,Haver_Q!$B$1:$L$185,MATCH(data!C$1,Haver_Q!$B$1:$L$1,0),FALSE)),100*(VLOOKUP($A212,Haver_Q!$B$1:$L$185,MATCH(data!C$1,Haver_Q!$B$1:$L$1,0),FALSE)),"")</f>
        <v/>
      </c>
      <c r="D212" t="str">
        <f>IF(ISNUMBER(VLOOKUP($A212,Haver_Q!$B$1:$L$185,MATCH(data!D$1,Haver_Q!$B$1:$L$1,0),FALSE)),100*(VLOOKUP($A212,Haver_Q!$B$1:$L$185,MATCH(data!D$1,Haver_Q!$B$1:$L$1,0),FALSE)),"")</f>
        <v/>
      </c>
      <c r="E212" t="str">
        <f>IF(ISNUMBER(VLOOKUP($A212,Haver_Q!$B$1:$L$185,MATCH(data!E$1,Haver_Q!$B$1:$L$1,0),FALSE)),100*(VLOOKUP($A212,Haver_Q!$B$1:$L$185,MATCH(data!E$1,Haver_Q!$B$1:$L$1,0),FALSE)),"")</f>
        <v/>
      </c>
      <c r="F212" t="str">
        <f>IF(ISNUMBER(VLOOKUP($A212,Haver_Q!$B$1:$L$185,MATCH(data!F$1,Haver_Q!$B$1:$L$1,0),FALSE)),100*(VLOOKUP($A212,Haver_Q!$B$1:$L$185,MATCH(data!F$1,Haver_Q!$B$1:$L$1,0),FALSE)),"")</f>
        <v/>
      </c>
      <c r="G212" t="str">
        <f>IF(ISNUMBER(VLOOKUP($A212,Haver_Q!$B$1:$L$185,MATCH(data!G$1,Haver_Q!$B$1:$L$1,0),FALSE)),100*(VLOOKUP($A212,Haver_Q!$B$1:$L$185,MATCH(data!G$1,Haver_Q!$B$1:$L$1,0),FALSE)),"")</f>
        <v/>
      </c>
      <c r="H212" t="str">
        <f>IF(ISNUMBER(VLOOKUP($A212,Haver_Q!$B$1:$L$185,MATCH(data!H$1,Haver_Q!$B$1:$L$1,0),FALSE)),(VLOOKUP($A212,Haver_Q!$B$1:$L$185,MATCH(data!H$1,Haver_Q!$B$1:$L$1,0),FALSE)),"")</f>
        <v/>
      </c>
      <c r="I212" t="str">
        <f>IF(ISNUMBER(VLOOKUP($A212,Haver_Q!$B$1:$L$185,MATCH(data!I$1,Haver_Q!$B$1:$L$1,0),FALSE)),100*(VLOOKUP($A212,Haver_Q!$B$1:$L$185,MATCH(data!I$1,Haver_Q!$B$1:$L$1,0),FALSE)),"")</f>
        <v/>
      </c>
      <c r="J212" s="3">
        <f>IF(ISNUMBER(Bloomberg_m!C228),Bloomberg_m!C228,"")</f>
        <v>906</v>
      </c>
      <c r="K212" s="3">
        <f>IF(ISNUMBER(Bloomberg_m!D228),Bloomberg_m!D228,"")</f>
        <v>1473.72</v>
      </c>
      <c r="L212" s="3">
        <f>IF(ISNUMBER(Bloomberg_m!E228),Bloomberg_m!E228,"")</f>
        <v>878.54</v>
      </c>
      <c r="M212" s="3">
        <f>IF(ISNUMBER(Bloomberg_m!F228),Bloomberg_m!F228,"")</f>
        <v>412.92</v>
      </c>
      <c r="N212">
        <f>IF(ISNUMBER(VLOOKUP($A212,Haver_M!$B$1:$BZ$300,MATCH(data!N$1,Haver_M!$B$1:$BZ$1,0),FALSE)),VLOOKUP($A212,Haver_M!$B$1:$BZ$300,MATCH(data!N$1,Haver_M!$B$1:$BZ$1,0),FALSE),"")</f>
        <v>6.25</v>
      </c>
      <c r="O212">
        <f>IF(ISNUMBER(VLOOKUP($A212,Haver_M!$B$1:$BZ$300,MATCH(data!O$1,Haver_M!$B$1:$BZ$1,0),FALSE)),VLOOKUP($A212,Haver_M!$B$1:$BZ$300,MATCH(data!O$1,Haver_M!$B$1:$BZ$1,0),FALSE),"")</f>
        <v>6.5521000000000003</v>
      </c>
      <c r="P212">
        <f>IF(ISNUMBER(VLOOKUP($A212,Haver_M!$B$1:$BZ$300,MATCH(data!P$1,Haver_M!$B$1:$BZ$1,0),FALSE)),VLOOKUP($A212,Haver_M!$B$1:$BZ$300,MATCH(data!P$1,Haver_M!$B$1:$BZ$1,0),FALSE),"")</f>
        <v>95.154020000000003</v>
      </c>
      <c r="Q212">
        <f>IF(ISNUMBER(VLOOKUP($A212,Haver_M!$B$1:$BZ$300,MATCH(data!Q$1,Haver_M!$B$1:$BZ$1,0),FALSE)),VLOOKUP($A212,Haver_M!$B$1:$BZ$300,MATCH(data!Q$1,Haver_M!$B$1:$BZ$1,0),FALSE),"")</f>
        <v>134.19999999999999</v>
      </c>
      <c r="R212">
        <f>IF(ISNUMBER(VLOOKUP($A212,Haver_M!$B$1:$BZ$300,MATCH(data!R$1,Haver_M!$B$1:$BZ$1,0),FALSE)),VLOOKUP($A212,Haver_M!$B$1:$BZ$300,MATCH(data!R$1,Haver_M!$B$1:$BZ$1,0),FALSE),"")</f>
        <v>132</v>
      </c>
      <c r="S212">
        <f>IF(ISNUMBER(VLOOKUP($A212,Haver_M!$B$1:$BZ$300,MATCH(data!S$1,Haver_M!$B$1:$BZ$1,0),FALSE)),VLOOKUP($A212,Haver_M!$B$1:$BZ$300,MATCH(data!S$1,Haver_M!$B$1:$BZ$1,0),FALSE),"")</f>
        <v>121.33</v>
      </c>
      <c r="T212">
        <f>IF(ISNUMBER(VLOOKUP($A212,Haver_M!$B$1:$BZ$300,MATCH(data!T$1,Haver_M!$B$1:$BZ$1,0),FALSE)),VLOOKUP($A212,Haver_M!$B$1:$BZ$300,MATCH(data!T$1,Haver_M!$B$1:$BZ$1,0),FALSE),"")</f>
        <v>119.19</v>
      </c>
      <c r="U212">
        <f>IF(ISNUMBER(VLOOKUP($A212,Haver_M!$B$1:$BZ$300,MATCH(data!U$1,Haver_M!$B$1:$BZ$1,0),FALSE)),VLOOKUP($A212,Haver_M!$B$1:$BZ$300,MATCH(data!U$1,Haver_M!$B$1:$BZ$1,0),FALSE),"")</f>
        <v>104.44</v>
      </c>
      <c r="V212">
        <f>IF(ISNUMBER(VLOOKUP($A212,Haver_M!$B$1:$BZ$300,MATCH(data!V$1,Haver_M!$B$1:$BZ$1,0),FALSE)),VLOOKUP($A212,Haver_M!$B$1:$BZ$300,MATCH(data!V$1,Haver_M!$B$1:$BZ$1,0),FALSE),"")</f>
        <v>119.58</v>
      </c>
      <c r="W212">
        <f>IF(ISNUMBER(VLOOKUP($A212,Haver_M!$B$1:$BZ$300,MATCH(data!W$1,Haver_M!$B$1:$BZ$1,0),FALSE)),VLOOKUP($A212,Haver_M!$B$1:$BZ$300,MATCH(data!W$1,Haver_M!$B$1:$BZ$1,0),FALSE),"")</f>
        <v>128.5</v>
      </c>
      <c r="X212">
        <f>IF(ISNUMBER(VLOOKUP($A212,Haver_M!$B$1:$BZ$300,MATCH(data!X$1,Haver_M!$B$1:$BZ$1,0),FALSE)),VLOOKUP($A212,Haver_M!$B$1:$BZ$300,MATCH(data!X$1,Haver_M!$B$1:$BZ$1,0),FALSE),"")</f>
        <v>118.3</v>
      </c>
      <c r="Y212">
        <f>IF(ISNUMBER(VLOOKUP($A212,Haver_M!$B$1:$BZ$300,MATCH(data!Y$1,Haver_M!$B$1:$BZ$1,0),FALSE)),VLOOKUP($A212,Haver_M!$B$1:$BZ$300,MATCH(data!Y$1,Haver_M!$B$1:$BZ$1,0),FALSE),"")</f>
        <v>134.80000000000001</v>
      </c>
      <c r="Z212">
        <f>IF(ISNUMBER(VLOOKUP($A212,Haver_M!$B$1:$BZ$300,MATCH(data!Z$1,Haver_M!$B$1:$BZ$1,0),FALSE)),VLOOKUP($A212,Haver_M!$B$1:$BZ$300,MATCH(data!Z$1,Haver_M!$B$1:$BZ$1,0),FALSE),"")</f>
        <v>122.6</v>
      </c>
      <c r="AA212">
        <f>IF(ISNUMBER(VLOOKUP($A212,Haver_M!$B$1:$BZ$300,MATCH(data!AA$1,Haver_M!$B$1:$BZ$1,0),FALSE)),VLOOKUP($A212,Haver_M!$B$1:$BZ$300,MATCH(data!AA$1,Haver_M!$B$1:$BZ$1,0),FALSE),"")</f>
        <v>121.008</v>
      </c>
      <c r="AB212">
        <f>IF(ISNUMBER(VLOOKUP($A212,Haver_M!$B$1:$BZ$300,MATCH(data!AB$1,Haver_M!$B$1:$BZ$1,0),FALSE)),VLOOKUP($A212,Haver_M!$B$1:$BZ$300,MATCH(data!AB$1,Haver_M!$B$1:$BZ$1,0),FALSE),"")</f>
        <v>94.914000000000001</v>
      </c>
      <c r="AC212">
        <f>IF(ISNUMBER(VLOOKUP($A212,Haver_M!$B$1:$BZ$300,MATCH(data!AC$1,Haver_M!$B$1:$BZ$1,0),FALSE)),VLOOKUP($A212,Haver_M!$B$1:$BZ$300,MATCH(data!AC$1,Haver_M!$B$1:$BZ$1,0),FALSE),"")</f>
        <v>71.3</v>
      </c>
      <c r="AD212">
        <f>IF(ISNUMBER(VLOOKUP($A212,Haver_M!$B$1:$BZ$300,MATCH(data!AD$1,Haver_M!$B$1:$BZ$1,0),FALSE)),VLOOKUP($A212,Haver_M!$B$1:$BZ$300,MATCH(data!AD$1,Haver_M!$B$1:$BZ$1,0),FALSE),"")</f>
        <v>118.636</v>
      </c>
      <c r="AE212">
        <f>IF(ISNUMBER(VLOOKUP($A212,Haver_M!$B$1:$BZ$300,MATCH(data!AE$1,Haver_M!$B$1:$BZ$1,0),FALSE)),VLOOKUP($A212,Haver_M!$B$1:$BZ$300,MATCH(data!AE$1,Haver_M!$B$1:$BZ$1,0),FALSE),"")</f>
        <v>105.006</v>
      </c>
      <c r="AF212">
        <f>IF(ISNUMBER(VLOOKUP($A212,Haver_M!$B$1:$BZ$300,MATCH(data!AF$1,Haver_M!$B$1:$BZ$1,0),FALSE)),VLOOKUP($A212,Haver_M!$B$1:$BZ$300,MATCH(data!AF$1,Haver_M!$B$1:$BZ$1,0),FALSE),"")</f>
        <v>136.09299999999999</v>
      </c>
      <c r="AG212">
        <f>IF(ISNUMBER(VLOOKUP($A212,Haver_M!$B$1:$BZ$300,MATCH(data!AG$1,Haver_M!$B$1:$BZ$1,0),FALSE)),VLOOKUP($A212,Haver_M!$B$1:$BZ$300,MATCH(data!AG$1,Haver_M!$B$1:$BZ$1,0),FALSE),"")</f>
        <v>126.861</v>
      </c>
      <c r="AH212">
        <f>IF(ISNUMBER(VLOOKUP($A212,Haver_M!$B$1:$BZ$300,MATCH(data!AH$1,Haver_M!$B$1:$BZ$1,0),FALSE)),VLOOKUP($A212,Haver_M!$B$1:$BZ$300,MATCH(data!AH$1,Haver_M!$B$1:$BZ$1,0),FALSE),"")</f>
        <v>147.31</v>
      </c>
      <c r="AI212">
        <f>IF(ISNUMBER(VLOOKUP($A212,Haver_M!$B$1:$BZ$300,MATCH(data!AI$1,Haver_M!$B$1:$BZ$1,0),FALSE)),VLOOKUP($A212,Haver_M!$B$1:$BZ$300,MATCH(data!AI$1,Haver_M!$B$1:$BZ$1,0),FALSE),"")</f>
        <v>16603.240779318341</v>
      </c>
      <c r="AJ212">
        <f>IF(ISNUMBER(VLOOKUP($A212,Haver_M!$B$1:$BZ$300,MATCH(data!AJ$1,Haver_M!$B$1:$BZ$1,0),FALSE)),VLOOKUP($A212,Haver_M!$B$1:$BZ$300,MATCH(data!AJ$1,Haver_M!$B$1:$BZ$1,0),FALSE),"")</f>
        <v>23368.78</v>
      </c>
      <c r="AK212">
        <f>IF(ISNUMBER(VLOOKUP($A212,Haver_M!$B$1:$BZ$300,MATCH(data!AK$1,Haver_M!$B$1:$BZ$1,0),FALSE)),VLOOKUP($A212,Haver_M!$B$1:$BZ$300,MATCH(data!AK$1,Haver_M!$B$1:$BZ$1,0),FALSE),"")</f>
        <v>33886.839999999997</v>
      </c>
      <c r="AL212">
        <f>IF(ISNUMBER(VLOOKUP($A212,Haver_M!$B$1:$BZ$300,MATCH(data!AL$1,Haver_M!$B$1:$BZ$1,0),FALSE)),VLOOKUP($A212,Haver_M!$B$1:$BZ$300,MATCH(data!AL$1,Haver_M!$B$1:$BZ$1,0),FALSE),"")</f>
        <v>13178</v>
      </c>
      <c r="AM212">
        <f>IF(ISNUMBER(VLOOKUP($A212,Haver_M!$B$1:$BZ$300,MATCH(data!AM$1,Haver_M!$B$1:$BZ$1,0),FALSE)),VLOOKUP($A212,Haver_M!$B$1:$BZ$300,MATCH(data!AM$1,Haver_M!$B$1:$BZ$1,0),FALSE),"")</f>
        <v>7334</v>
      </c>
      <c r="AN212" t="str">
        <f>IF(ISNUMBER(VLOOKUP($A212,Haver_M!$B$1:$BZ$300,MATCH(data!AN$1,Haver_M!$B$1:$BZ$1,0),FALSE)),VLOOKUP($A212,Haver_M!$B$1:$BZ$300,MATCH(data!AN$1,Haver_M!$B$1:$BZ$1,0),FALSE),"")</f>
        <v/>
      </c>
      <c r="AO212" t="str">
        <f>IF(ISNUMBER(VLOOKUP($A212,Haver_M!$B$1:$BZ$300,MATCH(data!AO$1,Haver_M!$B$1:$BZ$1,0),FALSE)),VLOOKUP($A212,Haver_M!$B$1:$BZ$300,MATCH(data!AO$1,Haver_M!$B$1:$BZ$1,0),FALSE),"")</f>
        <v/>
      </c>
      <c r="AP212">
        <f>IF(ISNUMBER(VLOOKUP($A212,Haver_M!$B$1:$BZ$300,MATCH(data!AP$1,Haver_M!$B$1:$BZ$1,0),FALSE)),VLOOKUP($A212,Haver_M!$B$1:$BZ$300,MATCH(data!AP$1,Haver_M!$B$1:$BZ$1,0),FALSE),"")</f>
        <v>64.051317111711342</v>
      </c>
      <c r="AQ212">
        <f>IF(ISNUMBER(VLOOKUP($A212,Haver_M!$B$1:$BZ$300,MATCH(data!AQ$1,Haver_M!$B$1:$BZ$1,0),FALSE)),VLOOKUP($A212,Haver_M!$B$1:$BZ$300,MATCH(data!AQ$1,Haver_M!$B$1:$BZ$1,0),FALSE),"")</f>
        <v>46.036700000000003</v>
      </c>
      <c r="AR212">
        <f>IF(ISNUMBER(VLOOKUP($A212,Haver_M!$B$1:$BZ$300,MATCH(data!AR$1,Haver_M!$B$1:$BZ$1,0),FALSE)),VLOOKUP($A212,Haver_M!$B$1:$BZ$300,MATCH(data!AR$1,Haver_M!$B$1:$BZ$1,0),FALSE),"")</f>
        <v>47.851999999999997</v>
      </c>
      <c r="AS212">
        <f>IF(ISNUMBER(VLOOKUP($A212,Haver_M!$B$1:$BZ$300,MATCH(data!AS$1,Haver_M!$B$1:$BZ$1,0),FALSE)),VLOOKUP($A212,Haver_M!$B$1:$BZ$300,MATCH(data!AS$1,Haver_M!$B$1:$BZ$1,0),FALSE),"")</f>
        <v>45.898200000000003</v>
      </c>
      <c r="AT212">
        <f>IF(ISNUMBER(VLOOKUP($A212,Haver_M!$B$1:$BZ$300,MATCH(data!AT$1,Haver_M!$B$1:$BZ$1,0),FALSE)),VLOOKUP($A212,Haver_M!$B$1:$BZ$300,MATCH(data!AT$1,Haver_M!$B$1:$BZ$1,0),FALSE),"")</f>
        <v>46.341700000000003</v>
      </c>
      <c r="AU212">
        <f>IF(ISNUMBER(VLOOKUP($A212,Haver_M!$B$1:$BZ$300,MATCH(data!AU$1,Haver_M!$B$1:$BZ$1,0),FALSE)),VLOOKUP($A212,Haver_M!$B$1:$BZ$300,MATCH(data!AU$1,Haver_M!$B$1:$BZ$1,0),FALSE),"")</f>
        <v>46.231099999999998</v>
      </c>
      <c r="AV212">
        <f>IF(ISNUMBER(VLOOKUP($A212,Haver_M!$B$1:$BZ$300,MATCH(data!AV$1,Haver_M!$B$1:$BZ$1,0),FALSE)),VLOOKUP($A212,Haver_M!$B$1:$BZ$300,MATCH(data!AV$1,Haver_M!$B$1:$BZ$1,0),FALSE),"")</f>
        <v>49.478900000000003</v>
      </c>
      <c r="AW212">
        <f>IF(ISNUMBER(VLOOKUP($A212,Haver_M!$B$1:$BZ$300,MATCH(data!AW$1,Haver_M!$B$1:$BZ$1,0),FALSE)),VLOOKUP($A212,Haver_M!$B$1:$BZ$300,MATCH(data!AW$1,Haver_M!$B$1:$BZ$1,0),FALSE),"")</f>
        <v>49.378799999999998</v>
      </c>
      <c r="AX212">
        <f>IF(ISNUMBER(VLOOKUP($A212,Haver_M!$B$1:$BZ$300,MATCH(data!AX$1,Haver_M!$B$1:$BZ$1,0),FALSE)),VLOOKUP($A212,Haver_M!$B$1:$BZ$300,MATCH(data!AX$1,Haver_M!$B$1:$BZ$1,0),FALSE),"")</f>
        <v>49.083300000000001</v>
      </c>
      <c r="AY212">
        <f>IF(ISNUMBER(VLOOKUP($A212,Haver_M!$B$1:$BZ$300,MATCH(data!AY$1,Haver_M!$B$1:$BZ$1,0),FALSE)),VLOOKUP($A212,Haver_M!$B$1:$BZ$300,MATCH(data!AY$1,Haver_M!$B$1:$BZ$1,0),FALSE),"")</f>
        <v>52.710500000000003</v>
      </c>
      <c r="AZ212">
        <f>IF(ISNUMBER(VLOOKUP($A212,Haver_M!$B$1:$BZ$300,MATCH(data!AZ$1,Haver_M!$B$1:$BZ$1,0),FALSE)),VLOOKUP($A212,Haver_M!$B$1:$BZ$300,MATCH(data!AZ$1,Haver_M!$B$1:$BZ$1,0),FALSE),"")</f>
        <v>47.680700000000002</v>
      </c>
      <c r="BA212">
        <f>IF(ISNUMBER(VLOOKUP($A212,Haver_M!$B$1:$BZ$300,MATCH(data!BA$1,Haver_M!$B$1:$BZ$1,0),FALSE)),VLOOKUP($A212,Haver_M!$B$1:$BZ$300,MATCH(data!BA$1,Haver_M!$B$1:$BZ$1,0),FALSE),"")</f>
        <v>49.083300000000001</v>
      </c>
      <c r="BB212">
        <f>IF(ISNUMBER(VLOOKUP($A212,Haver_M!$B$1:$BZ$300,MATCH(data!BB$1,Haver_M!$B$1:$BZ$1,0),FALSE)),VLOOKUP($A212,Haver_M!$B$1:$BZ$300,MATCH(data!BB$1,Haver_M!$B$1:$BZ$1,0),FALSE),"")</f>
        <v>50.9773</v>
      </c>
      <c r="BC212">
        <f>IF(ISNUMBER(VLOOKUP($A212,Haver_M!$B$1:$BZ$300,MATCH(data!BC$1,Haver_M!$B$1:$BZ$1,0),FALSE)),VLOOKUP($A212,Haver_M!$B$1:$BZ$300,MATCH(data!BC$1,Haver_M!$B$1:$BZ$1,0),FALSE),"")</f>
        <v>49.668399999999998</v>
      </c>
      <c r="BD212">
        <f>IF(ISNUMBER(VLOOKUP($A212,Haver_M!$B$1:$BZ$300,MATCH(data!BD$1,Haver_M!$B$1:$BZ$1,0),FALSE)),VLOOKUP($A212,Haver_M!$B$1:$BZ$300,MATCH(data!BD$1,Haver_M!$B$1:$BZ$1,0),FALSE),"")</f>
        <v>50.393300000000004</v>
      </c>
      <c r="BE212">
        <f>IF(ISNUMBER(VLOOKUP($A212,Haver_M!$B$1:$BZ$300,MATCH(data!BE$1,Haver_M!$B$1:$BZ$1,0),FALSE)),VLOOKUP($A212,Haver_M!$B$1:$BZ$300,MATCH(data!BE$1,Haver_M!$B$1:$BZ$1,0),FALSE),"")</f>
        <v>0.92169999999999996</v>
      </c>
      <c r="BF212">
        <f>IF(ISNUMBER(VLOOKUP($A212,Haver_M!$B$1:$BZ$300,MATCH(data!BF$1,Haver_M!$B$1:$BZ$1,0),FALSE)),VLOOKUP($A212,Haver_M!$B$1:$BZ$300,MATCH(data!BF$1,Haver_M!$B$1:$BZ$1,0),FALSE),"")</f>
        <v>48.905799999999999</v>
      </c>
      <c r="BG212">
        <f>IF(ISNUMBER(VLOOKUP($A212,Haver_M!$B$1:$BZ$300,MATCH(data!BG$1,Haver_M!$B$1:$BZ$1,0),FALSE)),VLOOKUP($A212,Haver_M!$B$1:$BZ$300,MATCH(data!BG$1,Haver_M!$B$1:$BZ$1,0),FALSE),"")</f>
        <v>54.594499999999996</v>
      </c>
      <c r="BH212">
        <f>IF(ISNUMBER(VLOOKUP($A212,Haver_M!$B$1:$BZ$300,MATCH(data!BH$1,Haver_M!$B$1:$BZ$1,0),FALSE)),VLOOKUP($A212,Haver_M!$B$1:$BZ$300,MATCH(data!BH$1,Haver_M!$B$1:$BZ$1,0),FALSE),"")</f>
        <v>45.151499999999999</v>
      </c>
      <c r="BI212">
        <f>IF(ISNUMBER(VLOOKUP($A212,Haver_M!$B$1:$BZ$300,MATCH(data!BI$1,Haver_M!$B$1:$BZ$1,0),FALSE)),VLOOKUP($A212,Haver_M!$B$1:$BZ$300,MATCH(data!BI$1,Haver_M!$B$1:$BZ$1,0),FALSE),"")</f>
        <v>51.738599999999998</v>
      </c>
      <c r="BJ212">
        <f>IF(ISNUMBER(VLOOKUP($A212,Haver_M!$B$1:$BZ$300,MATCH(data!BJ$1,Haver_M!$B$1:$BZ$1,0),FALSE)),VLOOKUP($A212,Haver_M!$B$1:$BZ$300,MATCH(data!BJ$1,Haver_M!$B$1:$BZ$1,0),FALSE),"")</f>
        <v>50.253300000000003</v>
      </c>
      <c r="BK212">
        <f>IF(ISNUMBER(VLOOKUP($A212,Haver_M!$B$1:$BZ$300,MATCH(data!BK$1,Haver_M!$B$1:$BZ$1,0),FALSE)),VLOOKUP($A212,Haver_M!$B$1:$BZ$300,MATCH(data!BK$1,Haver_M!$B$1:$BZ$1,0),FALSE),"")</f>
        <v>52.124099999999999</v>
      </c>
      <c r="BL212">
        <f>IF(ISNUMBER(VLOOKUP($A212,Haver_M!$B$1:$BZ$300,MATCH(data!BL$1,Haver_M!$B$1:$BZ$1,0),FALSE)),VLOOKUP($A212,Haver_M!$B$1:$BZ$300,MATCH(data!BL$1,Haver_M!$B$1:$BZ$1,0),FALSE),"")</f>
        <v>31879.61</v>
      </c>
      <c r="BM212">
        <f>IF(ISNUMBER(VLOOKUP($A212,Haver_M!$B$1:$BZ$300,MATCH(data!BM$1,Haver_M!$B$1:$BZ$1,0),FALSE)),VLOOKUP($A212,Haver_M!$B$1:$BZ$300,MATCH(data!BM$1,Haver_M!$B$1:$BZ$1,0),FALSE),"")</f>
        <v>98.341579800000005</v>
      </c>
      <c r="BN212" t="str">
        <f>IF(ISNUMBER(VLOOKUP($A212,Haver_M!$B$1:$BZ$300,MATCH(data!BN$1,Haver_M!$B$1:$BZ$1,0),FALSE)),VLOOKUP($A212,Haver_M!$B$1:$BZ$300,MATCH(data!BN$1,Haver_M!$B$1:$BZ$1,0),FALSE),"")</f>
        <v/>
      </c>
      <c r="BO212" t="str">
        <f>IF(ISNUMBER(VLOOKUP($A212,Haver_M!$B$1:$BZ$300,MATCH(data!BO$1,Haver_M!$B$1:$BZ$1,0),FALSE)),VLOOKUP($A212,Haver_M!$B$1:$BZ$300,MATCH(data!BO$1,Haver_M!$B$1:$BZ$1,0),FALSE),"")</f>
        <v/>
      </c>
      <c r="BP212" t="str">
        <f>IF(ISNUMBER(VLOOKUP($A212,Haver_M!$B$1:$BZ$300,MATCH(data!BP$1,Haver_M!$B$1:$BZ$1,0),FALSE)),VLOOKUP($A212,Haver_M!$B$1:$BZ$300,MATCH(data!BP$1,Haver_M!$B$1:$BZ$1,0),FALSE),"")</f>
        <v/>
      </c>
      <c r="BQ212">
        <f>IF(ISNUMBER(VLOOKUP($A212,Haver_M!$B$1:$BZ$300,MATCH(data!BQ$1,Haver_M!$B$1:$BZ$1,0),FALSE)),VLOOKUP($A212,Haver_M!$B$1:$BZ$300,MATCH(data!BQ$1,Haver_M!$B$1:$BZ$1,0),FALSE),"")</f>
        <v>258.42506271729974</v>
      </c>
      <c r="BR212">
        <f>IF(ISNUMBER(VLOOKUP($A212,Haver_M!$B$1:$BZ$300,MATCH(data!BR$1,Haver_M!$B$1:$BZ$1,0),FALSE)),VLOOKUP($A212,Haver_M!$B$1:$BZ$300,MATCH(data!BR$1,Haver_M!$B$1:$BZ$1,0),FALSE),"")</f>
        <v>407.71380121912813</v>
      </c>
      <c r="BS212">
        <f>IF(ISNUMBER(VLOOKUP($A212,Haver_M!$B$1:$BZ$300,MATCH(data!BS$1,Haver_M!$B$1:$BZ$1,0),FALSE)),VLOOKUP($A212,Haver_M!$B$1:$BZ$300,MATCH(data!BS$1,Haver_M!$B$1:$BZ$1,0),FALSE),"")</f>
        <v>253.13695100060662</v>
      </c>
      <c r="BT212">
        <f>IF(ISNUMBER(VLOOKUP($A212,Haver_M!$B$1:$BZ$300,MATCH(data!BT$1,Haver_M!$B$1:$BZ$1,0),FALSE)),VLOOKUP($A212,Haver_M!$B$1:$BZ$300,MATCH(data!BT$1,Haver_M!$B$1:$BZ$1,0),FALSE),"")</f>
        <v>1070.4357552993597</v>
      </c>
      <c r="BU212">
        <f>IF(ISNUMBER(VLOOKUP($A212,Haver_M!$B$1:$BZ$300,MATCH(data!BU$1,Haver_M!$B$1:$BZ$1,0),FALSE)),VLOOKUP($A212,Haver_M!$B$1:$BZ$300,MATCH(data!BU$1,Haver_M!$B$1:$BZ$1,0),FALSE),"")</f>
        <v>22292.63</v>
      </c>
      <c r="BV212">
        <f>IF(ISNUMBER(VLOOKUP($A212,Haver_M!$B$1:$BZ$300,MATCH(data!BV$1,Haver_M!$B$1:$BZ$1,0),FALSE)),VLOOKUP($A212,Haver_M!$B$1:$BZ$300,MATCH(data!BV$1,Haver_M!$B$1:$BZ$1,0),FALSE),"")</f>
        <v>34215.040000000001</v>
      </c>
      <c r="BW212">
        <f>IF(ISNUMBER(VLOOKUP($A212,Haver_M!$B$1:$BZ$300,MATCH(data!BW$1,Haver_M!$B$1:$BZ$1,0),FALSE)),VLOOKUP($A212,Haver_M!$B$1:$BZ$300,MATCH(data!BW$1,Haver_M!$B$1:$BZ$1,0),FALSE),"")</f>
        <v>64.4559</v>
      </c>
      <c r="BX212">
        <f>IF(ISNUMBER(VLOOKUP($A212,Haver_M!$B$1:$BZ$300,MATCH(data!BX$1,Haver_M!$B$1:$BZ$1,0),FALSE)),VLOOKUP($A212,Haver_M!$B$1:$BZ$300,MATCH(data!BX$1,Haver_M!$B$1:$BZ$1,0),FALSE),"")</f>
        <v>55811</v>
      </c>
    </row>
    <row r="213" spans="1:76" x14ac:dyDescent="0.25">
      <c r="A213" s="2">
        <v>42978</v>
      </c>
      <c r="B213" t="str">
        <f>IF(ISNUMBER(VLOOKUP($A213,Haver_Q!$B$1:$L$185,MATCH(data!B$1,Haver_Q!$B$1:$L$1,0),FALSE)),100*(VLOOKUP($A213,Haver_Q!$B$1:$L$185,MATCH(data!B$1,Haver_Q!$B$1:$L$1,0),FALSE)),"")</f>
        <v/>
      </c>
      <c r="C213" t="str">
        <f>IF(ISNUMBER(VLOOKUP($A213,Haver_Q!$B$1:$L$185,MATCH(data!C$1,Haver_Q!$B$1:$L$1,0),FALSE)),100*(VLOOKUP($A213,Haver_Q!$B$1:$L$185,MATCH(data!C$1,Haver_Q!$B$1:$L$1,0),FALSE)),"")</f>
        <v/>
      </c>
      <c r="D213" t="str">
        <f>IF(ISNUMBER(VLOOKUP($A213,Haver_Q!$B$1:$L$185,MATCH(data!D$1,Haver_Q!$B$1:$L$1,0),FALSE)),100*(VLOOKUP($A213,Haver_Q!$B$1:$L$185,MATCH(data!D$1,Haver_Q!$B$1:$L$1,0),FALSE)),"")</f>
        <v/>
      </c>
      <c r="E213" t="str">
        <f>IF(ISNUMBER(VLOOKUP($A213,Haver_Q!$B$1:$L$185,MATCH(data!E$1,Haver_Q!$B$1:$L$1,0),FALSE)),100*(VLOOKUP($A213,Haver_Q!$B$1:$L$185,MATCH(data!E$1,Haver_Q!$B$1:$L$1,0),FALSE)),"")</f>
        <v/>
      </c>
      <c r="F213" t="str">
        <f>IF(ISNUMBER(VLOOKUP($A213,Haver_Q!$B$1:$L$185,MATCH(data!F$1,Haver_Q!$B$1:$L$1,0),FALSE)),100*(VLOOKUP($A213,Haver_Q!$B$1:$L$185,MATCH(data!F$1,Haver_Q!$B$1:$L$1,0),FALSE)),"")</f>
        <v/>
      </c>
      <c r="G213" t="str">
        <f>IF(ISNUMBER(VLOOKUP($A213,Haver_Q!$B$1:$L$185,MATCH(data!G$1,Haver_Q!$B$1:$L$1,0),FALSE)),100*(VLOOKUP($A213,Haver_Q!$B$1:$L$185,MATCH(data!G$1,Haver_Q!$B$1:$L$1,0),FALSE)),"")</f>
        <v/>
      </c>
      <c r="H213" t="str">
        <f>IF(ISNUMBER(VLOOKUP($A213,Haver_Q!$B$1:$L$185,MATCH(data!H$1,Haver_Q!$B$1:$L$1,0),FALSE)),(VLOOKUP($A213,Haver_Q!$B$1:$L$185,MATCH(data!H$1,Haver_Q!$B$1:$L$1,0),FALSE)),"")</f>
        <v/>
      </c>
      <c r="I213" t="str">
        <f>IF(ISNUMBER(VLOOKUP($A213,Haver_Q!$B$1:$L$185,MATCH(data!I$1,Haver_Q!$B$1:$L$1,0),FALSE)),100*(VLOOKUP($A213,Haver_Q!$B$1:$L$185,MATCH(data!I$1,Haver_Q!$B$1:$L$1,0),FALSE)),"")</f>
        <v/>
      </c>
      <c r="J213" s="3">
        <f>IF(ISNUMBER(Bloomberg_m!C229),Bloomberg_m!C229,"")</f>
        <v>1142</v>
      </c>
      <c r="K213" s="3">
        <f>IF(ISNUMBER(Bloomberg_m!D229),Bloomberg_m!D229,"")</f>
        <v>1552.85</v>
      </c>
      <c r="L213" s="3">
        <f>IF(ISNUMBER(Bloomberg_m!E229),Bloomberg_m!E229,"")</f>
        <v>864.2</v>
      </c>
      <c r="M213" s="3">
        <f>IF(ISNUMBER(Bloomberg_m!F229),Bloomberg_m!F229,"")</f>
        <v>413.86</v>
      </c>
      <c r="N213">
        <f>IF(ISNUMBER(VLOOKUP($A213,Haver_M!$B$1:$BZ$300,MATCH(data!N$1,Haver_M!$B$1:$BZ$1,0),FALSE)),VLOOKUP($A213,Haver_M!$B$1:$BZ$300,MATCH(data!N$1,Haver_M!$B$1:$BZ$1,0),FALSE),"")</f>
        <v>6</v>
      </c>
      <c r="O213">
        <f>IF(ISNUMBER(VLOOKUP($A213,Haver_M!$B$1:$BZ$300,MATCH(data!O$1,Haver_M!$B$1:$BZ$1,0),FALSE)),VLOOKUP($A213,Haver_M!$B$1:$BZ$300,MATCH(data!O$1,Haver_M!$B$1:$BZ$1,0),FALSE),"")</f>
        <v>6.5426000000000002</v>
      </c>
      <c r="P213">
        <f>IF(ISNUMBER(VLOOKUP($A213,Haver_M!$B$1:$BZ$300,MATCH(data!P$1,Haver_M!$B$1:$BZ$1,0),FALSE)),VLOOKUP($A213,Haver_M!$B$1:$BZ$300,MATCH(data!P$1,Haver_M!$B$1:$BZ$1,0),FALSE),"")</f>
        <v>95.329040000000006</v>
      </c>
      <c r="Q213">
        <f>IF(ISNUMBER(VLOOKUP($A213,Haver_M!$B$1:$BZ$300,MATCH(data!Q$1,Haver_M!$B$1:$BZ$1,0),FALSE)),VLOOKUP($A213,Haver_M!$B$1:$BZ$300,MATCH(data!Q$1,Haver_M!$B$1:$BZ$1,0),FALSE),"")</f>
        <v>135.4</v>
      </c>
      <c r="R213">
        <f>IF(ISNUMBER(VLOOKUP($A213,Haver_M!$B$1:$BZ$300,MATCH(data!R$1,Haver_M!$B$1:$BZ$1,0),FALSE)),VLOOKUP($A213,Haver_M!$B$1:$BZ$300,MATCH(data!R$1,Haver_M!$B$1:$BZ$1,0),FALSE),"")</f>
        <v>132.80000000000001</v>
      </c>
      <c r="S213">
        <f>IF(ISNUMBER(VLOOKUP($A213,Haver_M!$B$1:$BZ$300,MATCH(data!S$1,Haver_M!$B$1:$BZ$1,0),FALSE)),VLOOKUP($A213,Haver_M!$B$1:$BZ$300,MATCH(data!S$1,Haver_M!$B$1:$BZ$1,0),FALSE),"")</f>
        <v>124.44</v>
      </c>
      <c r="T213">
        <f>IF(ISNUMBER(VLOOKUP($A213,Haver_M!$B$1:$BZ$300,MATCH(data!T$1,Haver_M!$B$1:$BZ$1,0),FALSE)),VLOOKUP($A213,Haver_M!$B$1:$BZ$300,MATCH(data!T$1,Haver_M!$B$1:$BZ$1,0),FALSE),"")</f>
        <v>120.91</v>
      </c>
      <c r="U213">
        <f>IF(ISNUMBER(VLOOKUP($A213,Haver_M!$B$1:$BZ$300,MATCH(data!U$1,Haver_M!$B$1:$BZ$1,0),FALSE)),VLOOKUP($A213,Haver_M!$B$1:$BZ$300,MATCH(data!U$1,Haver_M!$B$1:$BZ$1,0),FALSE),"")</f>
        <v>104.63</v>
      </c>
      <c r="V213">
        <f>IF(ISNUMBER(VLOOKUP($A213,Haver_M!$B$1:$BZ$300,MATCH(data!V$1,Haver_M!$B$1:$BZ$1,0),FALSE)),VLOOKUP($A213,Haver_M!$B$1:$BZ$300,MATCH(data!V$1,Haver_M!$B$1:$BZ$1,0),FALSE),"")</f>
        <v>122.49</v>
      </c>
      <c r="W213">
        <f>IF(ISNUMBER(VLOOKUP($A213,Haver_M!$B$1:$BZ$300,MATCH(data!W$1,Haver_M!$B$1:$BZ$1,0),FALSE)),VLOOKUP($A213,Haver_M!$B$1:$BZ$300,MATCH(data!W$1,Haver_M!$B$1:$BZ$1,0),FALSE),"")</f>
        <v>130.13999999999999</v>
      </c>
      <c r="X213">
        <f>IF(ISNUMBER(VLOOKUP($A213,Haver_M!$B$1:$BZ$300,MATCH(data!X$1,Haver_M!$B$1:$BZ$1,0),FALSE)),VLOOKUP($A213,Haver_M!$B$1:$BZ$300,MATCH(data!X$1,Haver_M!$B$1:$BZ$1,0),FALSE),"")</f>
        <v>128.25</v>
      </c>
      <c r="Y213">
        <f>IF(ISNUMBER(VLOOKUP($A213,Haver_M!$B$1:$BZ$300,MATCH(data!Y$1,Haver_M!$B$1:$BZ$1,0),FALSE)),VLOOKUP($A213,Haver_M!$B$1:$BZ$300,MATCH(data!Y$1,Haver_M!$B$1:$BZ$1,0),FALSE),"")</f>
        <v>137.01</v>
      </c>
      <c r="Z213">
        <f>IF(ISNUMBER(VLOOKUP($A213,Haver_M!$B$1:$BZ$300,MATCH(data!Z$1,Haver_M!$B$1:$BZ$1,0),FALSE)),VLOOKUP($A213,Haver_M!$B$1:$BZ$300,MATCH(data!Z$1,Haver_M!$B$1:$BZ$1,0),FALSE),"")</f>
        <v>125</v>
      </c>
      <c r="AA213">
        <f>IF(ISNUMBER(VLOOKUP($A213,Haver_M!$B$1:$BZ$300,MATCH(data!AA$1,Haver_M!$B$1:$BZ$1,0),FALSE)),VLOOKUP($A213,Haver_M!$B$1:$BZ$300,MATCH(data!AA$1,Haver_M!$B$1:$BZ$1,0),FALSE),"")</f>
        <v>124.28400000000001</v>
      </c>
      <c r="AB213">
        <f>IF(ISNUMBER(VLOOKUP($A213,Haver_M!$B$1:$BZ$300,MATCH(data!AB$1,Haver_M!$B$1:$BZ$1,0),FALSE)),VLOOKUP($A213,Haver_M!$B$1:$BZ$300,MATCH(data!AB$1,Haver_M!$B$1:$BZ$1,0),FALSE),"")</f>
        <v>93.766000000000005</v>
      </c>
      <c r="AC213">
        <f>IF(ISNUMBER(VLOOKUP($A213,Haver_M!$B$1:$BZ$300,MATCH(data!AC$1,Haver_M!$B$1:$BZ$1,0),FALSE)),VLOOKUP($A213,Haver_M!$B$1:$BZ$300,MATCH(data!AC$1,Haver_M!$B$1:$BZ$1,0),FALSE),"")</f>
        <v>69.033000000000001</v>
      </c>
      <c r="AD213">
        <f>IF(ISNUMBER(VLOOKUP($A213,Haver_M!$B$1:$BZ$300,MATCH(data!AD$1,Haver_M!$B$1:$BZ$1,0),FALSE)),VLOOKUP($A213,Haver_M!$B$1:$BZ$300,MATCH(data!AD$1,Haver_M!$B$1:$BZ$1,0),FALSE),"")</f>
        <v>121.393</v>
      </c>
      <c r="AE213">
        <f>IF(ISNUMBER(VLOOKUP($A213,Haver_M!$B$1:$BZ$300,MATCH(data!AE$1,Haver_M!$B$1:$BZ$1,0),FALSE)),VLOOKUP($A213,Haver_M!$B$1:$BZ$300,MATCH(data!AE$1,Haver_M!$B$1:$BZ$1,0),FALSE),"")</f>
        <v>108.42400000000001</v>
      </c>
      <c r="AF213">
        <f>IF(ISNUMBER(VLOOKUP($A213,Haver_M!$B$1:$BZ$300,MATCH(data!AF$1,Haver_M!$B$1:$BZ$1,0),FALSE)),VLOOKUP($A213,Haver_M!$B$1:$BZ$300,MATCH(data!AF$1,Haver_M!$B$1:$BZ$1,0),FALSE),"")</f>
        <v>141.047</v>
      </c>
      <c r="AG213">
        <f>IF(ISNUMBER(VLOOKUP($A213,Haver_M!$B$1:$BZ$300,MATCH(data!AG$1,Haver_M!$B$1:$BZ$1,0),FALSE)),VLOOKUP($A213,Haver_M!$B$1:$BZ$300,MATCH(data!AG$1,Haver_M!$B$1:$BZ$1,0),FALSE),"")</f>
        <v>126.76</v>
      </c>
      <c r="AH213">
        <f>IF(ISNUMBER(VLOOKUP($A213,Haver_M!$B$1:$BZ$300,MATCH(data!AH$1,Haver_M!$B$1:$BZ$1,0),FALSE)),VLOOKUP($A213,Haver_M!$B$1:$BZ$300,MATCH(data!AH$1,Haver_M!$B$1:$BZ$1,0),FALSE),"")</f>
        <v>148.31700000000001</v>
      </c>
      <c r="AI213">
        <f>IF(ISNUMBER(VLOOKUP($A213,Haver_M!$B$1:$BZ$300,MATCH(data!AI$1,Haver_M!$B$1:$BZ$1,0),FALSE)),VLOOKUP($A213,Haver_M!$B$1:$BZ$300,MATCH(data!AI$1,Haver_M!$B$1:$BZ$1,0),FALSE),"")</f>
        <v>17387.037446617072</v>
      </c>
      <c r="AJ213">
        <f>IF(ISNUMBER(VLOOKUP($A213,Haver_M!$B$1:$BZ$300,MATCH(data!AJ$1,Haver_M!$B$1:$BZ$1,0),FALSE)),VLOOKUP($A213,Haver_M!$B$1:$BZ$300,MATCH(data!AJ$1,Haver_M!$B$1:$BZ$1,0),FALSE),"")</f>
        <v>23865.11</v>
      </c>
      <c r="AK213">
        <f>IF(ISNUMBER(VLOOKUP($A213,Haver_M!$B$1:$BZ$300,MATCH(data!AK$1,Haver_M!$B$1:$BZ$1,0),FALSE)),VLOOKUP($A213,Haver_M!$B$1:$BZ$300,MATCH(data!AK$1,Haver_M!$B$1:$BZ$1,0),FALSE),"")</f>
        <v>36097.68</v>
      </c>
      <c r="AL213">
        <f>IF(ISNUMBER(VLOOKUP($A213,Haver_M!$B$1:$BZ$300,MATCH(data!AL$1,Haver_M!$B$1:$BZ$1,0),FALSE)),VLOOKUP($A213,Haver_M!$B$1:$BZ$300,MATCH(data!AL$1,Haver_M!$B$1:$BZ$1,0),FALSE),"")</f>
        <v>13701</v>
      </c>
      <c r="AM213">
        <f>IF(ISNUMBER(VLOOKUP($A213,Haver_M!$B$1:$BZ$300,MATCH(data!AM$1,Haver_M!$B$1:$BZ$1,0),FALSE)),VLOOKUP($A213,Haver_M!$B$1:$BZ$300,MATCH(data!AM$1,Haver_M!$B$1:$BZ$1,0),FALSE),"")</f>
        <v>8658</v>
      </c>
      <c r="AN213" t="str">
        <f>IF(ISNUMBER(VLOOKUP($A213,Haver_M!$B$1:$BZ$300,MATCH(data!AN$1,Haver_M!$B$1:$BZ$1,0),FALSE)),VLOOKUP($A213,Haver_M!$B$1:$BZ$300,MATCH(data!AN$1,Haver_M!$B$1:$BZ$1,0),FALSE),"")</f>
        <v/>
      </c>
      <c r="AO213" t="str">
        <f>IF(ISNUMBER(VLOOKUP($A213,Haver_M!$B$1:$BZ$300,MATCH(data!AO$1,Haver_M!$B$1:$BZ$1,0),FALSE)),VLOOKUP($A213,Haver_M!$B$1:$BZ$300,MATCH(data!AO$1,Haver_M!$B$1:$BZ$1,0),FALSE),"")</f>
        <v/>
      </c>
      <c r="AP213">
        <f>IF(ISNUMBER(VLOOKUP($A213,Haver_M!$B$1:$BZ$300,MATCH(data!AP$1,Haver_M!$B$1:$BZ$1,0),FALSE)),VLOOKUP($A213,Haver_M!$B$1:$BZ$300,MATCH(data!AP$1,Haver_M!$B$1:$BZ$1,0),FALSE),"")</f>
        <v>34.980254310697596</v>
      </c>
      <c r="AQ213">
        <f>IF(ISNUMBER(VLOOKUP($A213,Haver_M!$B$1:$BZ$300,MATCH(data!AQ$1,Haver_M!$B$1:$BZ$1,0),FALSE)),VLOOKUP($A213,Haver_M!$B$1:$BZ$300,MATCH(data!AQ$1,Haver_M!$B$1:$BZ$1,0),FALSE),"")</f>
        <v>48.963799999999999</v>
      </c>
      <c r="AR213">
        <f>IF(ISNUMBER(VLOOKUP($A213,Haver_M!$B$1:$BZ$300,MATCH(data!AR$1,Haver_M!$B$1:$BZ$1,0),FALSE)),VLOOKUP($A213,Haver_M!$B$1:$BZ$300,MATCH(data!AR$1,Haver_M!$B$1:$BZ$1,0),FALSE),"")</f>
        <v>51.248800000000003</v>
      </c>
      <c r="AS213">
        <f>IF(ISNUMBER(VLOOKUP($A213,Haver_M!$B$1:$BZ$300,MATCH(data!AS$1,Haver_M!$B$1:$BZ$1,0),FALSE)),VLOOKUP($A213,Haver_M!$B$1:$BZ$300,MATCH(data!AS$1,Haver_M!$B$1:$BZ$1,0),FALSE),"")</f>
        <v>47.490099999999998</v>
      </c>
      <c r="AT213">
        <f>IF(ISNUMBER(VLOOKUP($A213,Haver_M!$B$1:$BZ$300,MATCH(data!AT$1,Haver_M!$B$1:$BZ$1,0),FALSE)),VLOOKUP($A213,Haver_M!$B$1:$BZ$300,MATCH(data!AT$1,Haver_M!$B$1:$BZ$1,0),FALSE),"")</f>
        <v>52.209400000000002</v>
      </c>
      <c r="AU213">
        <f>IF(ISNUMBER(VLOOKUP($A213,Haver_M!$B$1:$BZ$300,MATCH(data!AU$1,Haver_M!$B$1:$BZ$1,0),FALSE)),VLOOKUP($A213,Haver_M!$B$1:$BZ$300,MATCH(data!AU$1,Haver_M!$B$1:$BZ$1,0),FALSE),"")</f>
        <v>51.527000000000001</v>
      </c>
      <c r="AV213">
        <f>IF(ISNUMBER(VLOOKUP($A213,Haver_M!$B$1:$BZ$300,MATCH(data!AV$1,Haver_M!$B$1:$BZ$1,0),FALSE)),VLOOKUP($A213,Haver_M!$B$1:$BZ$300,MATCH(data!AV$1,Haver_M!$B$1:$BZ$1,0),FALSE),"")</f>
        <v>51.486499999999999</v>
      </c>
      <c r="AW213">
        <f>IF(ISNUMBER(VLOOKUP($A213,Haver_M!$B$1:$BZ$300,MATCH(data!AW$1,Haver_M!$B$1:$BZ$1,0),FALSE)),VLOOKUP($A213,Haver_M!$B$1:$BZ$300,MATCH(data!AW$1,Haver_M!$B$1:$BZ$1,0),FALSE),"")</f>
        <v>49.780099999999997</v>
      </c>
      <c r="AX213">
        <f>IF(ISNUMBER(VLOOKUP($A213,Haver_M!$B$1:$BZ$300,MATCH(data!AX$1,Haver_M!$B$1:$BZ$1,0),FALSE)),VLOOKUP($A213,Haver_M!$B$1:$BZ$300,MATCH(data!AX$1,Haver_M!$B$1:$BZ$1,0),FALSE),"")</f>
        <v>49.081099999999999</v>
      </c>
      <c r="AY213">
        <f>IF(ISNUMBER(VLOOKUP($A213,Haver_M!$B$1:$BZ$300,MATCH(data!AY$1,Haver_M!$B$1:$BZ$1,0),FALSE)),VLOOKUP($A213,Haver_M!$B$1:$BZ$300,MATCH(data!AY$1,Haver_M!$B$1:$BZ$1,0),FALSE),"")</f>
        <v>51.868499999999997</v>
      </c>
      <c r="AZ213">
        <f>IF(ISNUMBER(VLOOKUP($A213,Haver_M!$B$1:$BZ$300,MATCH(data!AZ$1,Haver_M!$B$1:$BZ$1,0),FALSE)),VLOOKUP($A213,Haver_M!$B$1:$BZ$300,MATCH(data!AZ$1,Haver_M!$B$1:$BZ$1,0),FALSE),"")</f>
        <v>51.917900000000003</v>
      </c>
      <c r="BA213">
        <f>IF(ISNUMBER(VLOOKUP($A213,Haver_M!$B$1:$BZ$300,MATCH(data!BA$1,Haver_M!$B$1:$BZ$1,0),FALSE)),VLOOKUP($A213,Haver_M!$B$1:$BZ$300,MATCH(data!BA$1,Haver_M!$B$1:$BZ$1,0),FALSE),"")</f>
        <v>49.081099999999999</v>
      </c>
      <c r="BB213">
        <f>IF(ISNUMBER(VLOOKUP($A213,Haver_M!$B$1:$BZ$300,MATCH(data!BB$1,Haver_M!$B$1:$BZ$1,0),FALSE)),VLOOKUP($A213,Haver_M!$B$1:$BZ$300,MATCH(data!BB$1,Haver_M!$B$1:$BZ$1,0),FALSE),"")</f>
        <v>50.792499999999997</v>
      </c>
      <c r="BC213">
        <f>IF(ISNUMBER(VLOOKUP($A213,Haver_M!$B$1:$BZ$300,MATCH(data!BC$1,Haver_M!$B$1:$BZ$1,0),FALSE)),VLOOKUP($A213,Haver_M!$B$1:$BZ$300,MATCH(data!BC$1,Haver_M!$B$1:$BZ$1,0),FALSE),"")</f>
        <v>50.586399999999998</v>
      </c>
      <c r="BD213">
        <f>IF(ISNUMBER(VLOOKUP($A213,Haver_M!$B$1:$BZ$300,MATCH(data!BD$1,Haver_M!$B$1:$BZ$1,0),FALSE)),VLOOKUP($A213,Haver_M!$B$1:$BZ$300,MATCH(data!BD$1,Haver_M!$B$1:$BZ$1,0),FALSE),"")</f>
        <v>51.0017</v>
      </c>
      <c r="BE213">
        <f>IF(ISNUMBER(VLOOKUP($A213,Haver_M!$B$1:$BZ$300,MATCH(data!BE$1,Haver_M!$B$1:$BZ$1,0),FALSE)),VLOOKUP($A213,Haver_M!$B$1:$BZ$300,MATCH(data!BE$1,Haver_M!$B$1:$BZ$1,0),FALSE),"")</f>
        <v>1.0895999999999999</v>
      </c>
      <c r="BF213">
        <f>IF(ISNUMBER(VLOOKUP($A213,Haver_M!$B$1:$BZ$300,MATCH(data!BF$1,Haver_M!$B$1:$BZ$1,0),FALSE)),VLOOKUP($A213,Haver_M!$B$1:$BZ$300,MATCH(data!BF$1,Haver_M!$B$1:$BZ$1,0),FALSE),"")</f>
        <v>49.673400000000001</v>
      </c>
      <c r="BG213">
        <f>IF(ISNUMBER(VLOOKUP($A213,Haver_M!$B$1:$BZ$300,MATCH(data!BG$1,Haver_M!$B$1:$BZ$1,0),FALSE)),VLOOKUP($A213,Haver_M!$B$1:$BZ$300,MATCH(data!BG$1,Haver_M!$B$1:$BZ$1,0),FALSE),"")</f>
        <v>52.051600000000001</v>
      </c>
      <c r="BH213">
        <f>IF(ISNUMBER(VLOOKUP($A213,Haver_M!$B$1:$BZ$300,MATCH(data!BH$1,Haver_M!$B$1:$BZ$1,0),FALSE)),VLOOKUP($A213,Haver_M!$B$1:$BZ$300,MATCH(data!BH$1,Haver_M!$B$1:$BZ$1,0),FALSE),"")</f>
        <v>47.310099999999998</v>
      </c>
      <c r="BI213">
        <f>IF(ISNUMBER(VLOOKUP($A213,Haver_M!$B$1:$BZ$300,MATCH(data!BI$1,Haver_M!$B$1:$BZ$1,0),FALSE)),VLOOKUP($A213,Haver_M!$B$1:$BZ$300,MATCH(data!BI$1,Haver_M!$B$1:$BZ$1,0),FALSE),"")</f>
        <v>52.119199999999999</v>
      </c>
      <c r="BJ213">
        <f>IF(ISNUMBER(VLOOKUP($A213,Haver_M!$B$1:$BZ$300,MATCH(data!BJ$1,Haver_M!$B$1:$BZ$1,0),FALSE)),VLOOKUP($A213,Haver_M!$B$1:$BZ$300,MATCH(data!BJ$1,Haver_M!$B$1:$BZ$1,0),FALSE),"")</f>
        <v>48.686700000000002</v>
      </c>
      <c r="BK213">
        <f>IF(ISNUMBER(VLOOKUP($A213,Haver_M!$B$1:$BZ$300,MATCH(data!BK$1,Haver_M!$B$1:$BZ$1,0),FALSE)),VLOOKUP($A213,Haver_M!$B$1:$BZ$300,MATCH(data!BK$1,Haver_M!$B$1:$BZ$1,0),FALSE),"")</f>
        <v>52.418799999999997</v>
      </c>
      <c r="BL213">
        <f>IF(ISNUMBER(VLOOKUP($A213,Haver_M!$B$1:$BZ$300,MATCH(data!BL$1,Haver_M!$B$1:$BZ$1,0),FALSE)),VLOOKUP($A213,Haver_M!$B$1:$BZ$300,MATCH(data!BL$1,Haver_M!$B$1:$BZ$1,0),FALSE),"")</f>
        <v>31772.23</v>
      </c>
      <c r="BM213">
        <f>IF(ISNUMBER(VLOOKUP($A213,Haver_M!$B$1:$BZ$300,MATCH(data!BM$1,Haver_M!$B$1:$BZ$1,0),FALSE)),VLOOKUP($A213,Haver_M!$B$1:$BZ$300,MATCH(data!BM$1,Haver_M!$B$1:$BZ$1,0),FALSE),"")</f>
        <v>99.441136610000001</v>
      </c>
      <c r="BN213" t="str">
        <f>IF(ISNUMBER(VLOOKUP($A213,Haver_M!$B$1:$BZ$300,MATCH(data!BN$1,Haver_M!$B$1:$BZ$1,0),FALSE)),VLOOKUP($A213,Haver_M!$B$1:$BZ$300,MATCH(data!BN$1,Haver_M!$B$1:$BZ$1,0),FALSE),"")</f>
        <v/>
      </c>
      <c r="BO213" t="str">
        <f>IF(ISNUMBER(VLOOKUP($A213,Haver_M!$B$1:$BZ$300,MATCH(data!BO$1,Haver_M!$B$1:$BZ$1,0),FALSE)),VLOOKUP($A213,Haver_M!$B$1:$BZ$300,MATCH(data!BO$1,Haver_M!$B$1:$BZ$1,0),FALSE),"")</f>
        <v/>
      </c>
      <c r="BP213" t="str">
        <f>IF(ISNUMBER(VLOOKUP($A213,Haver_M!$B$1:$BZ$300,MATCH(data!BP$1,Haver_M!$B$1:$BZ$1,0),FALSE)),VLOOKUP($A213,Haver_M!$B$1:$BZ$300,MATCH(data!BP$1,Haver_M!$B$1:$BZ$1,0),FALSE),"")</f>
        <v/>
      </c>
      <c r="BQ213">
        <f>IF(ISNUMBER(VLOOKUP($A213,Haver_M!$B$1:$BZ$300,MATCH(data!BQ$1,Haver_M!$B$1:$BZ$1,0),FALSE)),VLOOKUP($A213,Haver_M!$B$1:$BZ$300,MATCH(data!BQ$1,Haver_M!$B$1:$BZ$1,0),FALSE),"")</f>
        <v>263.47743573389357</v>
      </c>
      <c r="BR213">
        <f>IF(ISNUMBER(VLOOKUP($A213,Haver_M!$B$1:$BZ$300,MATCH(data!BR$1,Haver_M!$B$1:$BZ$1,0),FALSE)),VLOOKUP($A213,Haver_M!$B$1:$BZ$300,MATCH(data!BR$1,Haver_M!$B$1:$BZ$1,0),FALSE),"")</f>
        <v>408.19420213730524</v>
      </c>
      <c r="BS213">
        <f>IF(ISNUMBER(VLOOKUP($A213,Haver_M!$B$1:$BZ$300,MATCH(data!BS$1,Haver_M!$B$1:$BZ$1,0),FALSE)),VLOOKUP($A213,Haver_M!$B$1:$BZ$300,MATCH(data!BS$1,Haver_M!$B$1:$BZ$1,0),FALSE),"")</f>
        <v>255.97857692235542</v>
      </c>
      <c r="BT213">
        <f>IF(ISNUMBER(VLOOKUP($A213,Haver_M!$B$1:$BZ$300,MATCH(data!BT$1,Haver_M!$B$1:$BZ$1,0),FALSE)),VLOOKUP($A213,Haver_M!$B$1:$BZ$300,MATCH(data!BT$1,Haver_M!$B$1:$BZ$1,0),FALSE),"")</f>
        <v>1080.4891165012725</v>
      </c>
      <c r="BU213">
        <f>IF(ISNUMBER(VLOOKUP($A213,Haver_M!$B$1:$BZ$300,MATCH(data!BU$1,Haver_M!$B$1:$BZ$1,0),FALSE)),VLOOKUP($A213,Haver_M!$B$1:$BZ$300,MATCH(data!BU$1,Haver_M!$B$1:$BZ$1,0),FALSE),"")</f>
        <v>23355.11</v>
      </c>
      <c r="BV213">
        <f>IF(ISNUMBER(VLOOKUP($A213,Haver_M!$B$1:$BZ$300,MATCH(data!BV$1,Haver_M!$B$1:$BZ$1,0),FALSE)),VLOOKUP($A213,Haver_M!$B$1:$BZ$300,MATCH(data!BV$1,Haver_M!$B$1:$BZ$1,0),FALSE),"")</f>
        <v>36070.620000000003</v>
      </c>
      <c r="BW213">
        <f>IF(ISNUMBER(VLOOKUP($A213,Haver_M!$B$1:$BZ$300,MATCH(data!BW$1,Haver_M!$B$1:$BZ$1,0),FALSE)),VLOOKUP($A213,Haver_M!$B$1:$BZ$300,MATCH(data!BW$1,Haver_M!$B$1:$BZ$1,0),FALSE),"")</f>
        <v>63.968400000000003</v>
      </c>
      <c r="BX213">
        <f>IF(ISNUMBER(VLOOKUP($A213,Haver_M!$B$1:$BZ$300,MATCH(data!BX$1,Haver_M!$B$1:$BZ$1,0),FALSE)),VLOOKUP($A213,Haver_M!$B$1:$BZ$300,MATCH(data!BX$1,Haver_M!$B$1:$BZ$1,0),FALSE),"")</f>
        <v>49448</v>
      </c>
    </row>
    <row r="214" spans="1:76" x14ac:dyDescent="0.25">
      <c r="A214" s="2">
        <v>43008</v>
      </c>
      <c r="B214">
        <f>IF(ISNUMBER(VLOOKUP($A214,Haver_Q!$B$1:$L$185,MATCH(data!B$1,Haver_Q!$B$1:$L$1,0),FALSE)),100*(VLOOKUP($A214,Haver_Q!$B$1:$L$185,MATCH(data!B$1,Haver_Q!$B$1:$L$1,0),FALSE)),"")</f>
        <v>9.4677253518265623</v>
      </c>
      <c r="C214">
        <f>IF(ISNUMBER(VLOOKUP($A214,Haver_Q!$B$1:$L$185,MATCH(data!C$1,Haver_Q!$B$1:$L$1,0),FALSE)),100*(VLOOKUP($A214,Haver_Q!$B$1:$L$185,MATCH(data!C$1,Haver_Q!$B$1:$L$1,0),FALSE)),"")</f>
        <v>-1.0443048243949926</v>
      </c>
      <c r="D214">
        <f>IF(ISNUMBER(VLOOKUP($A214,Haver_Q!$B$1:$L$185,MATCH(data!D$1,Haver_Q!$B$1:$L$1,0),FALSE)),100*(VLOOKUP($A214,Haver_Q!$B$1:$L$185,MATCH(data!D$1,Haver_Q!$B$1:$L$1,0),FALSE)),"")</f>
        <v>-11.588467368996614</v>
      </c>
      <c r="E214">
        <f>IF(ISNUMBER(VLOOKUP($A214,Haver_Q!$B$1:$L$185,MATCH(data!E$1,Haver_Q!$B$1:$L$1,0),FALSE)),100*(VLOOKUP($A214,Haver_Q!$B$1:$L$185,MATCH(data!E$1,Haver_Q!$B$1:$L$1,0),FALSE)),"")</f>
        <v>14.789142559251234</v>
      </c>
      <c r="F214">
        <f>IF(ISNUMBER(VLOOKUP($A214,Haver_Q!$B$1:$L$185,MATCH(data!F$1,Haver_Q!$B$1:$L$1,0),FALSE)),100*(VLOOKUP($A214,Haver_Q!$B$1:$L$185,MATCH(data!F$1,Haver_Q!$B$1:$L$1,0),FALSE)),"")</f>
        <v>3.0879858216043443</v>
      </c>
      <c r="G214">
        <f>IF(ISNUMBER(VLOOKUP($A214,Haver_Q!$B$1:$L$185,MATCH(data!G$1,Haver_Q!$B$1:$L$1,0),FALSE)),100*(VLOOKUP($A214,Haver_Q!$B$1:$L$185,MATCH(data!G$1,Haver_Q!$B$1:$L$1,0),FALSE)),"")</f>
        <v>-18.677586099880294</v>
      </c>
      <c r="H214">
        <f>IF(ISNUMBER(VLOOKUP($A214,Haver_Q!$B$1:$L$185,MATCH(data!H$1,Haver_Q!$B$1:$L$1,0),FALSE)),(VLOOKUP($A214,Haver_Q!$B$1:$L$185,MATCH(data!H$1,Haver_Q!$B$1:$L$1,0),FALSE)),"")</f>
        <v>4.4997387158052016</v>
      </c>
      <c r="I214">
        <f>IF(ISNUMBER(VLOOKUP($A214,Haver_Q!$B$1:$L$185,MATCH(data!I$1,Haver_Q!$B$1:$L$1,0),FALSE)),100*(VLOOKUP($A214,Haver_Q!$B$1:$L$185,MATCH(data!I$1,Haver_Q!$B$1:$L$1,0),FALSE)),"")</f>
        <v>6.7687653746205889</v>
      </c>
      <c r="J214" s="3">
        <f>IF(ISNUMBER(Bloomberg_m!C230),Bloomberg_m!C230,"")</f>
        <v>1364</v>
      </c>
      <c r="K214" s="3">
        <f>IF(ISNUMBER(Bloomberg_m!D230),Bloomberg_m!D230,"")</f>
        <v>1383.75</v>
      </c>
      <c r="L214" s="3">
        <f>IF(ISNUMBER(Bloomberg_m!E230),Bloomberg_m!E230,"")</f>
        <v>760.54</v>
      </c>
      <c r="M214" s="3">
        <f>IF(ISNUMBER(Bloomberg_m!F230),Bloomberg_m!F230,"")</f>
        <v>423.76</v>
      </c>
      <c r="N214">
        <f>IF(ISNUMBER(VLOOKUP($A214,Haver_M!$B$1:$BZ$300,MATCH(data!N$1,Haver_M!$B$1:$BZ$1,0),FALSE)),VLOOKUP($A214,Haver_M!$B$1:$BZ$300,MATCH(data!N$1,Haver_M!$B$1:$BZ$1,0),FALSE),"")</f>
        <v>6</v>
      </c>
      <c r="O214">
        <f>IF(ISNUMBER(VLOOKUP($A214,Haver_M!$B$1:$BZ$300,MATCH(data!O$1,Haver_M!$B$1:$BZ$1,0),FALSE)),VLOOKUP($A214,Haver_M!$B$1:$BZ$300,MATCH(data!O$1,Haver_M!$B$1:$BZ$1,0),FALSE),"")</f>
        <v>6.8192000000000004</v>
      </c>
      <c r="P214">
        <f>IF(ISNUMBER(VLOOKUP($A214,Haver_M!$B$1:$BZ$300,MATCH(data!P$1,Haver_M!$B$1:$BZ$1,0),FALSE)),VLOOKUP($A214,Haver_M!$B$1:$BZ$300,MATCH(data!P$1,Haver_M!$B$1:$BZ$1,0),FALSE),"")</f>
        <v>93.10127</v>
      </c>
      <c r="Q214">
        <f>IF(ISNUMBER(VLOOKUP($A214,Haver_M!$B$1:$BZ$300,MATCH(data!Q$1,Haver_M!$B$1:$BZ$1,0),FALSE)),VLOOKUP($A214,Haver_M!$B$1:$BZ$300,MATCH(data!Q$1,Haver_M!$B$1:$BZ$1,0),FALSE),"")</f>
        <v>135.19999999999999</v>
      </c>
      <c r="R214">
        <f>IF(ISNUMBER(VLOOKUP($A214,Haver_M!$B$1:$BZ$300,MATCH(data!R$1,Haver_M!$B$1:$BZ$1,0),FALSE)),VLOOKUP($A214,Haver_M!$B$1:$BZ$300,MATCH(data!R$1,Haver_M!$B$1:$BZ$1,0),FALSE),"")</f>
        <v>133.6</v>
      </c>
      <c r="S214">
        <f>IF(ISNUMBER(VLOOKUP($A214,Haver_M!$B$1:$BZ$300,MATCH(data!S$1,Haver_M!$B$1:$BZ$1,0),FALSE)),VLOOKUP($A214,Haver_M!$B$1:$BZ$300,MATCH(data!S$1,Haver_M!$B$1:$BZ$1,0),FALSE),"")</f>
        <v>124.9</v>
      </c>
      <c r="T214">
        <f>IF(ISNUMBER(VLOOKUP($A214,Haver_M!$B$1:$BZ$300,MATCH(data!T$1,Haver_M!$B$1:$BZ$1,0),FALSE)),VLOOKUP($A214,Haver_M!$B$1:$BZ$300,MATCH(data!T$1,Haver_M!$B$1:$BZ$1,0),FALSE),"")</f>
        <v>123</v>
      </c>
      <c r="U214">
        <f>IF(ISNUMBER(VLOOKUP($A214,Haver_M!$B$1:$BZ$300,MATCH(data!U$1,Haver_M!$B$1:$BZ$1,0),FALSE)),VLOOKUP($A214,Haver_M!$B$1:$BZ$300,MATCH(data!U$1,Haver_M!$B$1:$BZ$1,0),FALSE),"")</f>
        <v>104.5</v>
      </c>
      <c r="V214">
        <f>IF(ISNUMBER(VLOOKUP($A214,Haver_M!$B$1:$BZ$300,MATCH(data!V$1,Haver_M!$B$1:$BZ$1,0),FALSE)),VLOOKUP($A214,Haver_M!$B$1:$BZ$300,MATCH(data!V$1,Haver_M!$B$1:$BZ$1,0),FALSE),"")</f>
        <v>124.14</v>
      </c>
      <c r="W214">
        <f>IF(ISNUMBER(VLOOKUP($A214,Haver_M!$B$1:$BZ$300,MATCH(data!W$1,Haver_M!$B$1:$BZ$1,0),FALSE)),VLOOKUP($A214,Haver_M!$B$1:$BZ$300,MATCH(data!W$1,Haver_M!$B$1:$BZ$1,0),FALSE),"")</f>
        <v>129.84</v>
      </c>
      <c r="X214">
        <f>IF(ISNUMBER(VLOOKUP($A214,Haver_M!$B$1:$BZ$300,MATCH(data!X$1,Haver_M!$B$1:$BZ$1,0),FALSE)),VLOOKUP($A214,Haver_M!$B$1:$BZ$300,MATCH(data!X$1,Haver_M!$B$1:$BZ$1,0),FALSE),"")</f>
        <v>122.21</v>
      </c>
      <c r="Y214">
        <f>IF(ISNUMBER(VLOOKUP($A214,Haver_M!$B$1:$BZ$300,MATCH(data!Y$1,Haver_M!$B$1:$BZ$1,0),FALSE)),VLOOKUP($A214,Haver_M!$B$1:$BZ$300,MATCH(data!Y$1,Haver_M!$B$1:$BZ$1,0),FALSE),"")</f>
        <v>140.55000000000001</v>
      </c>
      <c r="Z214">
        <f>IF(ISNUMBER(VLOOKUP($A214,Haver_M!$B$1:$BZ$300,MATCH(data!Z$1,Haver_M!$B$1:$BZ$1,0),FALSE)),VLOOKUP($A214,Haver_M!$B$1:$BZ$300,MATCH(data!Z$1,Haver_M!$B$1:$BZ$1,0),FALSE),"")</f>
        <v>126.4</v>
      </c>
      <c r="AA214">
        <f>IF(ISNUMBER(VLOOKUP($A214,Haver_M!$B$1:$BZ$300,MATCH(data!AA$1,Haver_M!$B$1:$BZ$1,0),FALSE)),VLOOKUP($A214,Haver_M!$B$1:$BZ$300,MATCH(data!AA$1,Haver_M!$B$1:$BZ$1,0),FALSE),"")</f>
        <v>124.268</v>
      </c>
      <c r="AB214">
        <f>IF(ISNUMBER(VLOOKUP($A214,Haver_M!$B$1:$BZ$300,MATCH(data!AB$1,Haver_M!$B$1:$BZ$1,0),FALSE)),VLOOKUP($A214,Haver_M!$B$1:$BZ$300,MATCH(data!AB$1,Haver_M!$B$1:$BZ$1,0),FALSE),"")</f>
        <v>94.073999999999998</v>
      </c>
      <c r="AC214">
        <f>IF(ISNUMBER(VLOOKUP($A214,Haver_M!$B$1:$BZ$300,MATCH(data!AC$1,Haver_M!$B$1:$BZ$1,0),FALSE)),VLOOKUP($A214,Haver_M!$B$1:$BZ$300,MATCH(data!AC$1,Haver_M!$B$1:$BZ$1,0),FALSE),"")</f>
        <v>69.606999999999999</v>
      </c>
      <c r="AD214">
        <f>IF(ISNUMBER(VLOOKUP($A214,Haver_M!$B$1:$BZ$300,MATCH(data!AD$1,Haver_M!$B$1:$BZ$1,0),FALSE)),VLOOKUP($A214,Haver_M!$B$1:$BZ$300,MATCH(data!AD$1,Haver_M!$B$1:$BZ$1,0),FALSE),"")</f>
        <v>127.982</v>
      </c>
      <c r="AE214">
        <f>IF(ISNUMBER(VLOOKUP($A214,Haver_M!$B$1:$BZ$300,MATCH(data!AE$1,Haver_M!$B$1:$BZ$1,0),FALSE)),VLOOKUP($A214,Haver_M!$B$1:$BZ$300,MATCH(data!AE$1,Haver_M!$B$1:$BZ$1,0),FALSE),"")</f>
        <v>100.259</v>
      </c>
      <c r="AF214">
        <f>IF(ISNUMBER(VLOOKUP($A214,Haver_M!$B$1:$BZ$300,MATCH(data!AF$1,Haver_M!$B$1:$BZ$1,0),FALSE)),VLOOKUP($A214,Haver_M!$B$1:$BZ$300,MATCH(data!AF$1,Haver_M!$B$1:$BZ$1,0),FALSE),"")</f>
        <v>142.69900000000001</v>
      </c>
      <c r="AG214">
        <f>IF(ISNUMBER(VLOOKUP($A214,Haver_M!$B$1:$BZ$300,MATCH(data!AG$1,Haver_M!$B$1:$BZ$1,0),FALSE)),VLOOKUP($A214,Haver_M!$B$1:$BZ$300,MATCH(data!AG$1,Haver_M!$B$1:$BZ$1,0),FALSE),"")</f>
        <v>128.209</v>
      </c>
      <c r="AH214">
        <f>IF(ISNUMBER(VLOOKUP($A214,Haver_M!$B$1:$BZ$300,MATCH(data!AH$1,Haver_M!$B$1:$BZ$1,0),FALSE)),VLOOKUP($A214,Haver_M!$B$1:$BZ$300,MATCH(data!AH$1,Haver_M!$B$1:$BZ$1,0),FALSE),"")</f>
        <v>147.34700000000001</v>
      </c>
      <c r="AI214">
        <f>IF(ISNUMBER(VLOOKUP($A214,Haver_M!$B$1:$BZ$300,MATCH(data!AI$1,Haver_M!$B$1:$BZ$1,0),FALSE)),VLOOKUP($A214,Haver_M!$B$1:$BZ$300,MATCH(data!AI$1,Haver_M!$B$1:$BZ$1,0),FALSE),"")</f>
        <v>17793.272117197826</v>
      </c>
      <c r="AJ214">
        <f>IF(ISNUMBER(VLOOKUP($A214,Haver_M!$B$1:$BZ$300,MATCH(data!AJ$1,Haver_M!$B$1:$BZ$1,0),FALSE)),VLOOKUP($A214,Haver_M!$B$1:$BZ$300,MATCH(data!AJ$1,Haver_M!$B$1:$BZ$1,0),FALSE),"")</f>
        <v>28210.38</v>
      </c>
      <c r="AK214">
        <f>IF(ISNUMBER(VLOOKUP($A214,Haver_M!$B$1:$BZ$300,MATCH(data!AK$1,Haver_M!$B$1:$BZ$1,0),FALSE)),VLOOKUP($A214,Haver_M!$B$1:$BZ$300,MATCH(data!AK$1,Haver_M!$B$1:$BZ$1,0),FALSE),"")</f>
        <v>38077.800000000003</v>
      </c>
      <c r="AL214">
        <f>IF(ISNUMBER(VLOOKUP($A214,Haver_M!$B$1:$BZ$300,MATCH(data!AL$1,Haver_M!$B$1:$BZ$1,0),FALSE)),VLOOKUP($A214,Haver_M!$B$1:$BZ$300,MATCH(data!AL$1,Haver_M!$B$1:$BZ$1,0),FALSE),"")</f>
        <v>13732</v>
      </c>
      <c r="AM214">
        <f>IF(ISNUMBER(VLOOKUP($A214,Haver_M!$B$1:$BZ$300,MATCH(data!AM$1,Haver_M!$B$1:$BZ$1,0),FALSE)),VLOOKUP($A214,Haver_M!$B$1:$BZ$300,MATCH(data!AM$1,Haver_M!$B$1:$BZ$1,0),FALSE),"")</f>
        <v>8450</v>
      </c>
      <c r="AN214">
        <f>IF(ISNUMBER(VLOOKUP($A214,Haver_M!$B$1:$BZ$300,MATCH(data!AN$1,Haver_M!$B$1:$BZ$1,0),FALSE)),VLOOKUP($A214,Haver_M!$B$1:$BZ$300,MATCH(data!AN$1,Haver_M!$B$1:$BZ$1,0),FALSE),"")</f>
        <v>95.5</v>
      </c>
      <c r="AO214">
        <f>IF(ISNUMBER(VLOOKUP($A214,Haver_M!$B$1:$BZ$300,MATCH(data!AO$1,Haver_M!$B$1:$BZ$1,0),FALSE)),VLOOKUP($A214,Haver_M!$B$1:$BZ$300,MATCH(data!AO$1,Haver_M!$B$1:$BZ$1,0),FALSE),"")</f>
        <v>118.8</v>
      </c>
      <c r="AP214">
        <f>IF(ISNUMBER(VLOOKUP($A214,Haver_M!$B$1:$BZ$300,MATCH(data!AP$1,Haver_M!$B$1:$BZ$1,0),FALSE)),VLOOKUP($A214,Haver_M!$B$1:$BZ$300,MATCH(data!AP$1,Haver_M!$B$1:$BZ$1,0),FALSE),"")</f>
        <v>67.101383834084146</v>
      </c>
      <c r="AQ214">
        <f>IF(ISNUMBER(VLOOKUP($A214,Haver_M!$B$1:$BZ$300,MATCH(data!AQ$1,Haver_M!$B$1:$BZ$1,0),FALSE)),VLOOKUP($A214,Haver_M!$B$1:$BZ$300,MATCH(data!AQ$1,Haver_M!$B$1:$BZ$1,0),FALSE),"")</f>
        <v>51.0518</v>
      </c>
      <c r="AR214">
        <f>IF(ISNUMBER(VLOOKUP($A214,Haver_M!$B$1:$BZ$300,MATCH(data!AR$1,Haver_M!$B$1:$BZ$1,0),FALSE)),VLOOKUP($A214,Haver_M!$B$1:$BZ$300,MATCH(data!AR$1,Haver_M!$B$1:$BZ$1,0),FALSE),"")</f>
        <v>51.1539</v>
      </c>
      <c r="AS214">
        <f>IF(ISNUMBER(VLOOKUP($A214,Haver_M!$B$1:$BZ$300,MATCH(data!AS$1,Haver_M!$B$1:$BZ$1,0),FALSE)),VLOOKUP($A214,Haver_M!$B$1:$BZ$300,MATCH(data!AS$1,Haver_M!$B$1:$BZ$1,0),FALSE),"")</f>
        <v>50.667999999999999</v>
      </c>
      <c r="AT214">
        <f>IF(ISNUMBER(VLOOKUP($A214,Haver_M!$B$1:$BZ$300,MATCH(data!AT$1,Haver_M!$B$1:$BZ$1,0),FALSE)),VLOOKUP($A214,Haver_M!$B$1:$BZ$300,MATCH(data!AT$1,Haver_M!$B$1:$BZ$1,0),FALSE),"")</f>
        <v>51.896900000000002</v>
      </c>
      <c r="AU214">
        <f>IF(ISNUMBER(VLOOKUP($A214,Haver_M!$B$1:$BZ$300,MATCH(data!AU$1,Haver_M!$B$1:$BZ$1,0),FALSE)),VLOOKUP($A214,Haver_M!$B$1:$BZ$300,MATCH(data!AU$1,Haver_M!$B$1:$BZ$1,0),FALSE),"")</f>
        <v>50.956400000000002</v>
      </c>
      <c r="AV214">
        <f>IF(ISNUMBER(VLOOKUP($A214,Haver_M!$B$1:$BZ$300,MATCH(data!AV$1,Haver_M!$B$1:$BZ$1,0),FALSE)),VLOOKUP($A214,Haver_M!$B$1:$BZ$300,MATCH(data!AV$1,Haver_M!$B$1:$BZ$1,0),FALSE),"")</f>
        <v>51.7378</v>
      </c>
      <c r="AW214">
        <f>IF(ISNUMBER(VLOOKUP($A214,Haver_M!$B$1:$BZ$300,MATCH(data!AW$1,Haver_M!$B$1:$BZ$1,0),FALSE)),VLOOKUP($A214,Haver_M!$B$1:$BZ$300,MATCH(data!AW$1,Haver_M!$B$1:$BZ$1,0),FALSE),"")</f>
        <v>49.640300000000003</v>
      </c>
      <c r="AX214">
        <f>IF(ISNUMBER(VLOOKUP($A214,Haver_M!$B$1:$BZ$300,MATCH(data!AX$1,Haver_M!$B$1:$BZ$1,0),FALSE)),VLOOKUP($A214,Haver_M!$B$1:$BZ$300,MATCH(data!AX$1,Haver_M!$B$1:$BZ$1,0),FALSE),"")</f>
        <v>49.912500000000001</v>
      </c>
      <c r="AY214">
        <f>IF(ISNUMBER(VLOOKUP($A214,Haver_M!$B$1:$BZ$300,MATCH(data!AY$1,Haver_M!$B$1:$BZ$1,0),FALSE)),VLOOKUP($A214,Haver_M!$B$1:$BZ$300,MATCH(data!AY$1,Haver_M!$B$1:$BZ$1,0),FALSE),"")</f>
        <v>52.271299999999997</v>
      </c>
      <c r="AZ214">
        <f>IF(ISNUMBER(VLOOKUP($A214,Haver_M!$B$1:$BZ$300,MATCH(data!AZ$1,Haver_M!$B$1:$BZ$1,0),FALSE)),VLOOKUP($A214,Haver_M!$B$1:$BZ$300,MATCH(data!AZ$1,Haver_M!$B$1:$BZ$1,0),FALSE),"")</f>
        <v>51.650100000000002</v>
      </c>
      <c r="BA214">
        <f>IF(ISNUMBER(VLOOKUP($A214,Haver_M!$B$1:$BZ$300,MATCH(data!BA$1,Haver_M!$B$1:$BZ$1,0),FALSE)),VLOOKUP($A214,Haver_M!$B$1:$BZ$300,MATCH(data!BA$1,Haver_M!$B$1:$BZ$1,0),FALSE),"")</f>
        <v>49.912500000000001</v>
      </c>
      <c r="BB214">
        <f>IF(ISNUMBER(VLOOKUP($A214,Haver_M!$B$1:$BZ$300,MATCH(data!BB$1,Haver_M!$B$1:$BZ$1,0),FALSE)),VLOOKUP($A214,Haver_M!$B$1:$BZ$300,MATCH(data!BB$1,Haver_M!$B$1:$BZ$1,0),FALSE),"")</f>
        <v>49.7879</v>
      </c>
      <c r="BC214">
        <f>IF(ISNUMBER(VLOOKUP($A214,Haver_M!$B$1:$BZ$300,MATCH(data!BC$1,Haver_M!$B$1:$BZ$1,0),FALSE)),VLOOKUP($A214,Haver_M!$B$1:$BZ$300,MATCH(data!BC$1,Haver_M!$B$1:$BZ$1,0),FALSE),"")</f>
        <v>50.352200000000003</v>
      </c>
      <c r="BD214">
        <f>IF(ISNUMBER(VLOOKUP($A214,Haver_M!$B$1:$BZ$300,MATCH(data!BD$1,Haver_M!$B$1:$BZ$1,0),FALSE)),VLOOKUP($A214,Haver_M!$B$1:$BZ$300,MATCH(data!BD$1,Haver_M!$B$1:$BZ$1,0),FALSE),"")</f>
        <v>50.662999999999997</v>
      </c>
      <c r="BE214">
        <f>IF(ISNUMBER(VLOOKUP($A214,Haver_M!$B$1:$BZ$300,MATCH(data!BE$1,Haver_M!$B$1:$BZ$1,0),FALSE)),VLOOKUP($A214,Haver_M!$B$1:$BZ$300,MATCH(data!BE$1,Haver_M!$B$1:$BZ$1,0),FALSE),"")</f>
        <v>1.1485000000000001</v>
      </c>
      <c r="BF214">
        <f>IF(ISNUMBER(VLOOKUP($A214,Haver_M!$B$1:$BZ$300,MATCH(data!BF$1,Haver_M!$B$1:$BZ$1,0),FALSE)),VLOOKUP($A214,Haver_M!$B$1:$BZ$300,MATCH(data!BF$1,Haver_M!$B$1:$BZ$1,0),FALSE),"")</f>
        <v>52.730200000000004</v>
      </c>
      <c r="BG214">
        <f>IF(ISNUMBER(VLOOKUP($A214,Haver_M!$B$1:$BZ$300,MATCH(data!BG$1,Haver_M!$B$1:$BZ$1,0),FALSE)),VLOOKUP($A214,Haver_M!$B$1:$BZ$300,MATCH(data!BG$1,Haver_M!$B$1:$BZ$1,0),FALSE),"")</f>
        <v>51.575899999999997</v>
      </c>
      <c r="BH214">
        <f>IF(ISNUMBER(VLOOKUP($A214,Haver_M!$B$1:$BZ$300,MATCH(data!BH$1,Haver_M!$B$1:$BZ$1,0),FALSE)),VLOOKUP($A214,Haver_M!$B$1:$BZ$300,MATCH(data!BH$1,Haver_M!$B$1:$BZ$1,0),FALSE),"")</f>
        <v>51.071599999999997</v>
      </c>
      <c r="BI214">
        <f>IF(ISNUMBER(VLOOKUP($A214,Haver_M!$B$1:$BZ$300,MATCH(data!BI$1,Haver_M!$B$1:$BZ$1,0),FALSE)),VLOOKUP($A214,Haver_M!$B$1:$BZ$300,MATCH(data!BI$1,Haver_M!$B$1:$BZ$1,0),FALSE),"")</f>
        <v>52.522100000000002</v>
      </c>
      <c r="BJ214">
        <f>IF(ISNUMBER(VLOOKUP($A214,Haver_M!$B$1:$BZ$300,MATCH(data!BJ$1,Haver_M!$B$1:$BZ$1,0),FALSE)),VLOOKUP($A214,Haver_M!$B$1:$BZ$300,MATCH(data!BJ$1,Haver_M!$B$1:$BZ$1,0),FALSE),"")</f>
        <v>50.911799999999999</v>
      </c>
      <c r="BK214">
        <f>IF(ISNUMBER(VLOOKUP($A214,Haver_M!$B$1:$BZ$300,MATCH(data!BK$1,Haver_M!$B$1:$BZ$1,0),FALSE)),VLOOKUP($A214,Haver_M!$B$1:$BZ$300,MATCH(data!BK$1,Haver_M!$B$1:$BZ$1,0),FALSE),"")</f>
        <v>53.943300000000001</v>
      </c>
      <c r="BL214">
        <f>IF(ISNUMBER(VLOOKUP($A214,Haver_M!$B$1:$BZ$300,MATCH(data!BL$1,Haver_M!$B$1:$BZ$1,0),FALSE)),VLOOKUP($A214,Haver_M!$B$1:$BZ$300,MATCH(data!BL$1,Haver_M!$B$1:$BZ$1,0),FALSE),"")</f>
        <v>31887.119999999999</v>
      </c>
      <c r="BM214">
        <f>IF(ISNUMBER(VLOOKUP($A214,Haver_M!$B$1:$BZ$300,MATCH(data!BM$1,Haver_M!$B$1:$BZ$1,0),FALSE)),VLOOKUP($A214,Haver_M!$B$1:$BZ$300,MATCH(data!BM$1,Haver_M!$B$1:$BZ$1,0),FALSE),"")</f>
        <v>100.21204733</v>
      </c>
      <c r="BN214">
        <f>IF(ISNUMBER(VLOOKUP($A214,Haver_M!$B$1:$BZ$300,MATCH(data!BN$1,Haver_M!$B$1:$BZ$1,0),FALSE)),VLOOKUP($A214,Haver_M!$B$1:$BZ$300,MATCH(data!BN$1,Haver_M!$B$1:$BZ$1,0),FALSE),"")</f>
        <v>103.7</v>
      </c>
      <c r="BO214">
        <f>IF(ISNUMBER(VLOOKUP($A214,Haver_M!$B$1:$BZ$300,MATCH(data!BO$1,Haver_M!$B$1:$BZ$1,0),FALSE)),VLOOKUP($A214,Haver_M!$B$1:$BZ$300,MATCH(data!BO$1,Haver_M!$B$1:$BZ$1,0),FALSE),"")</f>
        <v>113.3</v>
      </c>
      <c r="BP214">
        <f>IF(ISNUMBER(VLOOKUP($A214,Haver_M!$B$1:$BZ$300,MATCH(data!BP$1,Haver_M!$B$1:$BZ$1,0),FALSE)),VLOOKUP($A214,Haver_M!$B$1:$BZ$300,MATCH(data!BP$1,Haver_M!$B$1:$BZ$1,0),FALSE),"")</f>
        <v>33.700000000000003</v>
      </c>
      <c r="BQ214">
        <f>IF(ISNUMBER(VLOOKUP($A214,Haver_M!$B$1:$BZ$300,MATCH(data!BQ$1,Haver_M!$B$1:$BZ$1,0),FALSE)),VLOOKUP($A214,Haver_M!$B$1:$BZ$300,MATCH(data!BQ$1,Haver_M!$B$1:$BZ$1,0),FALSE),"")</f>
        <v>272.29321750627321</v>
      </c>
      <c r="BR214">
        <f>IF(ISNUMBER(VLOOKUP($A214,Haver_M!$B$1:$BZ$300,MATCH(data!BR$1,Haver_M!$B$1:$BZ$1,0),FALSE)),VLOOKUP($A214,Haver_M!$B$1:$BZ$300,MATCH(data!BR$1,Haver_M!$B$1:$BZ$1,0),FALSE),"")</f>
        <v>409.74148405748525</v>
      </c>
      <c r="BS214">
        <f>IF(ISNUMBER(VLOOKUP($A214,Haver_M!$B$1:$BZ$300,MATCH(data!BS$1,Haver_M!$B$1:$BZ$1,0),FALSE)),VLOOKUP($A214,Haver_M!$B$1:$BZ$300,MATCH(data!BS$1,Haver_M!$B$1:$BZ$1,0),FALSE),"")</f>
        <v>275.42538977574799</v>
      </c>
      <c r="BT214">
        <f>IF(ISNUMBER(VLOOKUP($A214,Haver_M!$B$1:$BZ$300,MATCH(data!BT$1,Haver_M!$B$1:$BZ$1,0),FALSE)),VLOOKUP($A214,Haver_M!$B$1:$BZ$300,MATCH(data!BT$1,Haver_M!$B$1:$BZ$1,0),FALSE),"")</f>
        <v>1112.1907049715321</v>
      </c>
      <c r="BU214">
        <f>IF(ISNUMBER(VLOOKUP($A214,Haver_M!$B$1:$BZ$300,MATCH(data!BU$1,Haver_M!$B$1:$BZ$1,0),FALSE)),VLOOKUP($A214,Haver_M!$B$1:$BZ$300,MATCH(data!BU$1,Haver_M!$B$1:$BZ$1,0),FALSE),"")</f>
        <v>28567.1</v>
      </c>
      <c r="BV214">
        <f>IF(ISNUMBER(VLOOKUP($A214,Haver_M!$B$1:$BZ$300,MATCH(data!BV$1,Haver_M!$B$1:$BZ$1,0),FALSE)),VLOOKUP($A214,Haver_M!$B$1:$BZ$300,MATCH(data!BV$1,Haver_M!$B$1:$BZ$1,0),FALSE),"")</f>
        <v>37962.67</v>
      </c>
      <c r="BW214">
        <f>IF(ISNUMBER(VLOOKUP($A214,Haver_M!$B$1:$BZ$300,MATCH(data!BW$1,Haver_M!$B$1:$BZ$1,0),FALSE)),VLOOKUP($A214,Haver_M!$B$1:$BZ$300,MATCH(data!BW$1,Haver_M!$B$1:$BZ$1,0),FALSE),"")</f>
        <v>64.440899999999999</v>
      </c>
      <c r="BX214">
        <f>IF(ISNUMBER(VLOOKUP($A214,Haver_M!$B$1:$BZ$300,MATCH(data!BX$1,Haver_M!$B$1:$BZ$1,0),FALSE)),VLOOKUP($A214,Haver_M!$B$1:$BZ$300,MATCH(data!BX$1,Haver_M!$B$1:$BZ$1,0),FALSE),"")</f>
        <v>44039</v>
      </c>
    </row>
    <row r="215" spans="1:76" x14ac:dyDescent="0.25">
      <c r="A215" s="2">
        <v>43039</v>
      </c>
      <c r="B215" t="str">
        <f>IF(ISNUMBER(VLOOKUP($A215,Haver_Q!$B$1:$L$185,MATCH(data!B$1,Haver_Q!$B$1:$L$1,0),FALSE)),100*(VLOOKUP($A215,Haver_Q!$B$1:$L$185,MATCH(data!B$1,Haver_Q!$B$1:$L$1,0),FALSE)),"")</f>
        <v/>
      </c>
      <c r="C215" t="str">
        <f>IF(ISNUMBER(VLOOKUP($A215,Haver_Q!$B$1:$L$185,MATCH(data!C$1,Haver_Q!$B$1:$L$1,0),FALSE)),100*(VLOOKUP($A215,Haver_Q!$B$1:$L$185,MATCH(data!C$1,Haver_Q!$B$1:$L$1,0),FALSE)),"")</f>
        <v/>
      </c>
      <c r="D215" t="str">
        <f>IF(ISNUMBER(VLOOKUP($A215,Haver_Q!$B$1:$L$185,MATCH(data!D$1,Haver_Q!$B$1:$L$1,0),FALSE)),100*(VLOOKUP($A215,Haver_Q!$B$1:$L$185,MATCH(data!D$1,Haver_Q!$B$1:$L$1,0),FALSE)),"")</f>
        <v/>
      </c>
      <c r="E215" t="str">
        <f>IF(ISNUMBER(VLOOKUP($A215,Haver_Q!$B$1:$L$185,MATCH(data!E$1,Haver_Q!$B$1:$L$1,0),FALSE)),100*(VLOOKUP($A215,Haver_Q!$B$1:$L$185,MATCH(data!E$1,Haver_Q!$B$1:$L$1,0),FALSE)),"")</f>
        <v/>
      </c>
      <c r="F215" t="str">
        <f>IF(ISNUMBER(VLOOKUP($A215,Haver_Q!$B$1:$L$185,MATCH(data!F$1,Haver_Q!$B$1:$L$1,0),FALSE)),100*(VLOOKUP($A215,Haver_Q!$B$1:$L$185,MATCH(data!F$1,Haver_Q!$B$1:$L$1,0),FALSE)),"")</f>
        <v/>
      </c>
      <c r="G215" t="str">
        <f>IF(ISNUMBER(VLOOKUP($A215,Haver_Q!$B$1:$L$185,MATCH(data!G$1,Haver_Q!$B$1:$L$1,0),FALSE)),100*(VLOOKUP($A215,Haver_Q!$B$1:$L$185,MATCH(data!G$1,Haver_Q!$B$1:$L$1,0),FALSE)),"")</f>
        <v/>
      </c>
      <c r="H215" t="str">
        <f>IF(ISNUMBER(VLOOKUP($A215,Haver_Q!$B$1:$L$185,MATCH(data!H$1,Haver_Q!$B$1:$L$1,0),FALSE)),(VLOOKUP($A215,Haver_Q!$B$1:$L$185,MATCH(data!H$1,Haver_Q!$B$1:$L$1,0),FALSE)),"")</f>
        <v/>
      </c>
      <c r="I215" t="str">
        <f>IF(ISNUMBER(VLOOKUP($A215,Haver_Q!$B$1:$L$185,MATCH(data!I$1,Haver_Q!$B$1:$L$1,0),FALSE)),100*(VLOOKUP($A215,Haver_Q!$B$1:$L$185,MATCH(data!I$1,Haver_Q!$B$1:$L$1,0),FALSE)),"")</f>
        <v/>
      </c>
      <c r="J215" s="3">
        <f>IF(ISNUMBER(Bloomberg_m!C231),Bloomberg_m!C231,"")</f>
        <v>1484</v>
      </c>
      <c r="K215" s="3">
        <f>IF(ISNUMBER(Bloomberg_m!D231),Bloomberg_m!D231,"")</f>
        <v>1251</v>
      </c>
      <c r="L215" s="3">
        <f>IF(ISNUMBER(Bloomberg_m!E231),Bloomberg_m!E231,"")</f>
        <v>759.71</v>
      </c>
      <c r="M215" s="3">
        <f>IF(ISNUMBER(Bloomberg_m!F231),Bloomberg_m!F231,"")</f>
        <v>447.18</v>
      </c>
      <c r="N215">
        <f>IF(ISNUMBER(VLOOKUP($A215,Haver_M!$B$1:$BZ$300,MATCH(data!N$1,Haver_M!$B$1:$BZ$1,0),FALSE)),VLOOKUP($A215,Haver_M!$B$1:$BZ$300,MATCH(data!N$1,Haver_M!$B$1:$BZ$1,0),FALSE),"")</f>
        <v>6</v>
      </c>
      <c r="O215">
        <f>IF(ISNUMBER(VLOOKUP($A215,Haver_M!$B$1:$BZ$300,MATCH(data!O$1,Haver_M!$B$1:$BZ$1,0),FALSE)),VLOOKUP($A215,Haver_M!$B$1:$BZ$300,MATCH(data!O$1,Haver_M!$B$1:$BZ$1,0),FALSE),"")</f>
        <v>7.0256999999999996</v>
      </c>
      <c r="P215">
        <f>IF(ISNUMBER(VLOOKUP($A215,Haver_M!$B$1:$BZ$300,MATCH(data!P$1,Haver_M!$B$1:$BZ$1,0),FALSE)),VLOOKUP($A215,Haver_M!$B$1:$BZ$300,MATCH(data!P$1,Haver_M!$B$1:$BZ$1,0),FALSE),"")</f>
        <v>93.627769999999998</v>
      </c>
      <c r="Q215">
        <f>IF(ISNUMBER(VLOOKUP($A215,Haver_M!$B$1:$BZ$300,MATCH(data!Q$1,Haver_M!$B$1:$BZ$1,0),FALSE)),VLOOKUP($A215,Haver_M!$B$1:$BZ$300,MATCH(data!Q$1,Haver_M!$B$1:$BZ$1,0),FALSE),"")</f>
        <v>136.1</v>
      </c>
      <c r="R215">
        <f>IF(ISNUMBER(VLOOKUP($A215,Haver_M!$B$1:$BZ$300,MATCH(data!R$1,Haver_M!$B$1:$BZ$1,0),FALSE)),VLOOKUP($A215,Haver_M!$B$1:$BZ$300,MATCH(data!R$1,Haver_M!$B$1:$BZ$1,0),FALSE),"")</f>
        <v>134.4</v>
      </c>
      <c r="S215">
        <f>IF(ISNUMBER(VLOOKUP($A215,Haver_M!$B$1:$BZ$300,MATCH(data!S$1,Haver_M!$B$1:$BZ$1,0),FALSE)),VLOOKUP($A215,Haver_M!$B$1:$BZ$300,MATCH(data!S$1,Haver_M!$B$1:$BZ$1,0),FALSE),"")</f>
        <v>123.97</v>
      </c>
      <c r="T215">
        <f>IF(ISNUMBER(VLOOKUP($A215,Haver_M!$B$1:$BZ$300,MATCH(data!T$1,Haver_M!$B$1:$BZ$1,0),FALSE)),VLOOKUP($A215,Haver_M!$B$1:$BZ$300,MATCH(data!T$1,Haver_M!$B$1:$BZ$1,0),FALSE),"")</f>
        <v>121.33</v>
      </c>
      <c r="U215">
        <f>IF(ISNUMBER(VLOOKUP($A215,Haver_M!$B$1:$BZ$300,MATCH(data!U$1,Haver_M!$B$1:$BZ$1,0),FALSE)),VLOOKUP($A215,Haver_M!$B$1:$BZ$300,MATCH(data!U$1,Haver_M!$B$1:$BZ$1,0),FALSE),"")</f>
        <v>102.61</v>
      </c>
      <c r="V215">
        <f>IF(ISNUMBER(VLOOKUP($A215,Haver_M!$B$1:$BZ$300,MATCH(data!V$1,Haver_M!$B$1:$BZ$1,0),FALSE)),VLOOKUP($A215,Haver_M!$B$1:$BZ$300,MATCH(data!V$1,Haver_M!$B$1:$BZ$1,0),FALSE),"")</f>
        <v>126.65</v>
      </c>
      <c r="W215">
        <f>IF(ISNUMBER(VLOOKUP($A215,Haver_M!$B$1:$BZ$300,MATCH(data!W$1,Haver_M!$B$1:$BZ$1,0),FALSE)),VLOOKUP($A215,Haver_M!$B$1:$BZ$300,MATCH(data!W$1,Haver_M!$B$1:$BZ$1,0),FALSE),"")</f>
        <v>133.78</v>
      </c>
      <c r="X215">
        <f>IF(ISNUMBER(VLOOKUP($A215,Haver_M!$B$1:$BZ$300,MATCH(data!X$1,Haver_M!$B$1:$BZ$1,0),FALSE)),VLOOKUP($A215,Haver_M!$B$1:$BZ$300,MATCH(data!X$1,Haver_M!$B$1:$BZ$1,0),FALSE),"")</f>
        <v>115.69</v>
      </c>
      <c r="Y215">
        <f>IF(ISNUMBER(VLOOKUP($A215,Haver_M!$B$1:$BZ$300,MATCH(data!Y$1,Haver_M!$B$1:$BZ$1,0),FALSE)),VLOOKUP($A215,Haver_M!$B$1:$BZ$300,MATCH(data!Y$1,Haver_M!$B$1:$BZ$1,0),FALSE),"")</f>
        <v>139.29</v>
      </c>
      <c r="Z215">
        <f>IF(ISNUMBER(VLOOKUP($A215,Haver_M!$B$1:$BZ$300,MATCH(data!Z$1,Haver_M!$B$1:$BZ$1,0),FALSE)),VLOOKUP($A215,Haver_M!$B$1:$BZ$300,MATCH(data!Z$1,Haver_M!$B$1:$BZ$1,0),FALSE),"")</f>
        <v>127.3</v>
      </c>
      <c r="AA215">
        <f>IF(ISNUMBER(VLOOKUP($A215,Haver_M!$B$1:$BZ$300,MATCH(data!AA$1,Haver_M!$B$1:$BZ$1,0),FALSE)),VLOOKUP($A215,Haver_M!$B$1:$BZ$300,MATCH(data!AA$1,Haver_M!$B$1:$BZ$1,0),FALSE),"")</f>
        <v>124.142</v>
      </c>
      <c r="AB215">
        <f>IF(ISNUMBER(VLOOKUP($A215,Haver_M!$B$1:$BZ$300,MATCH(data!AB$1,Haver_M!$B$1:$BZ$1,0),FALSE)),VLOOKUP($A215,Haver_M!$B$1:$BZ$300,MATCH(data!AB$1,Haver_M!$B$1:$BZ$1,0),FALSE),"")</f>
        <v>93.683000000000007</v>
      </c>
      <c r="AC215">
        <f>IF(ISNUMBER(VLOOKUP($A215,Haver_M!$B$1:$BZ$300,MATCH(data!AC$1,Haver_M!$B$1:$BZ$1,0),FALSE)),VLOOKUP($A215,Haver_M!$B$1:$BZ$300,MATCH(data!AC$1,Haver_M!$B$1:$BZ$1,0),FALSE),"")</f>
        <v>68.852000000000004</v>
      </c>
      <c r="AD215">
        <f>IF(ISNUMBER(VLOOKUP($A215,Haver_M!$B$1:$BZ$300,MATCH(data!AD$1,Haver_M!$B$1:$BZ$1,0),FALSE)),VLOOKUP($A215,Haver_M!$B$1:$BZ$300,MATCH(data!AD$1,Haver_M!$B$1:$BZ$1,0),FALSE),"")</f>
        <v>128.86000000000001</v>
      </c>
      <c r="AE215">
        <f>IF(ISNUMBER(VLOOKUP($A215,Haver_M!$B$1:$BZ$300,MATCH(data!AE$1,Haver_M!$B$1:$BZ$1,0),FALSE)),VLOOKUP($A215,Haver_M!$B$1:$BZ$300,MATCH(data!AE$1,Haver_M!$B$1:$BZ$1,0),FALSE),"")</f>
        <v>109.949</v>
      </c>
      <c r="AF215">
        <f>IF(ISNUMBER(VLOOKUP($A215,Haver_M!$B$1:$BZ$300,MATCH(data!AF$1,Haver_M!$B$1:$BZ$1,0),FALSE)),VLOOKUP($A215,Haver_M!$B$1:$BZ$300,MATCH(data!AF$1,Haver_M!$B$1:$BZ$1,0),FALSE),"")</f>
        <v>144.99199999999999</v>
      </c>
      <c r="AG215">
        <f>IF(ISNUMBER(VLOOKUP($A215,Haver_M!$B$1:$BZ$300,MATCH(data!AG$1,Haver_M!$B$1:$BZ$1,0),FALSE)),VLOOKUP($A215,Haver_M!$B$1:$BZ$300,MATCH(data!AG$1,Haver_M!$B$1:$BZ$1,0),FALSE),"")</f>
        <v>129.988</v>
      </c>
      <c r="AH215">
        <f>IF(ISNUMBER(VLOOKUP($A215,Haver_M!$B$1:$BZ$300,MATCH(data!AH$1,Haver_M!$B$1:$BZ$1,0),FALSE)),VLOOKUP($A215,Haver_M!$B$1:$BZ$300,MATCH(data!AH$1,Haver_M!$B$1:$BZ$1,0),FALSE),"")</f>
        <v>146.43700000000001</v>
      </c>
      <c r="AI215">
        <f>IF(ISNUMBER(VLOOKUP($A215,Haver_M!$B$1:$BZ$300,MATCH(data!AI$1,Haver_M!$B$1:$BZ$1,0),FALSE)),VLOOKUP($A215,Haver_M!$B$1:$BZ$300,MATCH(data!AI$1,Haver_M!$B$1:$BZ$1,0),FALSE),"")</f>
        <v>17338.660303450433</v>
      </c>
      <c r="AJ215">
        <f>IF(ISNUMBER(VLOOKUP($A215,Haver_M!$B$1:$BZ$300,MATCH(data!AJ$1,Haver_M!$B$1:$BZ$1,0),FALSE)),VLOOKUP($A215,Haver_M!$B$1:$BZ$300,MATCH(data!AJ$1,Haver_M!$B$1:$BZ$1,0),FALSE),"")</f>
        <v>23039.54</v>
      </c>
      <c r="AK215">
        <f>IF(ISNUMBER(VLOOKUP($A215,Haver_M!$B$1:$BZ$300,MATCH(data!AK$1,Haver_M!$B$1:$BZ$1,0),FALSE)),VLOOKUP($A215,Haver_M!$B$1:$BZ$300,MATCH(data!AK$1,Haver_M!$B$1:$BZ$1,0),FALSE),"")</f>
        <v>37013.79</v>
      </c>
      <c r="AL215">
        <f>IF(ISNUMBER(VLOOKUP($A215,Haver_M!$B$1:$BZ$300,MATCH(data!AL$1,Haver_M!$B$1:$BZ$1,0),FALSE)),VLOOKUP($A215,Haver_M!$B$1:$BZ$300,MATCH(data!AL$1,Haver_M!$B$1:$BZ$1,0),FALSE),"")</f>
        <v>14152</v>
      </c>
      <c r="AM215">
        <f>IF(ISNUMBER(VLOOKUP($A215,Haver_M!$B$1:$BZ$300,MATCH(data!AM$1,Haver_M!$B$1:$BZ$1,0),FALSE)),VLOOKUP($A215,Haver_M!$B$1:$BZ$300,MATCH(data!AM$1,Haver_M!$B$1:$BZ$1,0),FALSE),"")</f>
        <v>8700</v>
      </c>
      <c r="AN215" t="str">
        <f>IF(ISNUMBER(VLOOKUP($A215,Haver_M!$B$1:$BZ$300,MATCH(data!AN$1,Haver_M!$B$1:$BZ$1,0),FALSE)),VLOOKUP($A215,Haver_M!$B$1:$BZ$300,MATCH(data!AN$1,Haver_M!$B$1:$BZ$1,0),FALSE),"")</f>
        <v/>
      </c>
      <c r="AO215" t="str">
        <f>IF(ISNUMBER(VLOOKUP($A215,Haver_M!$B$1:$BZ$300,MATCH(data!AO$1,Haver_M!$B$1:$BZ$1,0),FALSE)),VLOOKUP($A215,Haver_M!$B$1:$BZ$300,MATCH(data!AO$1,Haver_M!$B$1:$BZ$1,0),FALSE),"")</f>
        <v/>
      </c>
      <c r="AP215">
        <f>IF(ISNUMBER(VLOOKUP($A215,Haver_M!$B$1:$BZ$300,MATCH(data!AP$1,Haver_M!$B$1:$BZ$1,0),FALSE)),VLOOKUP($A215,Haver_M!$B$1:$BZ$300,MATCH(data!AP$1,Haver_M!$B$1:$BZ$1,0),FALSE),"")</f>
        <v>91.865712673080552</v>
      </c>
      <c r="AQ215">
        <f>IF(ISNUMBER(VLOOKUP($A215,Haver_M!$B$1:$BZ$300,MATCH(data!AQ$1,Haver_M!$B$1:$BZ$1,0),FALSE)),VLOOKUP($A215,Haver_M!$B$1:$BZ$300,MATCH(data!AQ$1,Haver_M!$B$1:$BZ$1,0),FALSE),"")</f>
        <v>51.2911</v>
      </c>
      <c r="AR215">
        <f>IF(ISNUMBER(VLOOKUP($A215,Haver_M!$B$1:$BZ$300,MATCH(data!AR$1,Haver_M!$B$1:$BZ$1,0),FALSE)),VLOOKUP($A215,Haver_M!$B$1:$BZ$300,MATCH(data!AR$1,Haver_M!$B$1:$BZ$1,0),FALSE),"")</f>
        <v>50.260399999999997</v>
      </c>
      <c r="AS215">
        <f>IF(ISNUMBER(VLOOKUP($A215,Haver_M!$B$1:$BZ$300,MATCH(data!AS$1,Haver_M!$B$1:$BZ$1,0),FALSE)),VLOOKUP($A215,Haver_M!$B$1:$BZ$300,MATCH(data!AS$1,Haver_M!$B$1:$BZ$1,0),FALSE),"")</f>
        <v>51.745699999999999</v>
      </c>
      <c r="AT215">
        <f>IF(ISNUMBER(VLOOKUP($A215,Haver_M!$B$1:$BZ$300,MATCH(data!AT$1,Haver_M!$B$1:$BZ$1,0),FALSE)),VLOOKUP($A215,Haver_M!$B$1:$BZ$300,MATCH(data!AT$1,Haver_M!$B$1:$BZ$1,0),FALSE),"")</f>
        <v>50.29</v>
      </c>
      <c r="AU215">
        <f>IF(ISNUMBER(VLOOKUP($A215,Haver_M!$B$1:$BZ$300,MATCH(data!AU$1,Haver_M!$B$1:$BZ$1,0),FALSE)),VLOOKUP($A215,Haver_M!$B$1:$BZ$300,MATCH(data!AU$1,Haver_M!$B$1:$BZ$1,0),FALSE),"")</f>
        <v>49.900599999999997</v>
      </c>
      <c r="AV215">
        <f>IF(ISNUMBER(VLOOKUP($A215,Haver_M!$B$1:$BZ$300,MATCH(data!AV$1,Haver_M!$B$1:$BZ$1,0),FALSE)),VLOOKUP($A215,Haver_M!$B$1:$BZ$300,MATCH(data!AV$1,Haver_M!$B$1:$BZ$1,0),FALSE),"")</f>
        <v>51.3949</v>
      </c>
      <c r="AW215">
        <f>IF(ISNUMBER(VLOOKUP($A215,Haver_M!$B$1:$BZ$300,MATCH(data!AW$1,Haver_M!$B$1:$BZ$1,0),FALSE)),VLOOKUP($A215,Haver_M!$B$1:$BZ$300,MATCH(data!AW$1,Haver_M!$B$1:$BZ$1,0),FALSE),"")</f>
        <v>49.264400000000002</v>
      </c>
      <c r="AX215">
        <f>IF(ISNUMBER(VLOOKUP($A215,Haver_M!$B$1:$BZ$300,MATCH(data!AX$1,Haver_M!$B$1:$BZ$1,0),FALSE)),VLOOKUP($A215,Haver_M!$B$1:$BZ$300,MATCH(data!AX$1,Haver_M!$B$1:$BZ$1,0),FALSE),"")</f>
        <v>48.283499999999997</v>
      </c>
      <c r="AY215">
        <f>IF(ISNUMBER(VLOOKUP($A215,Haver_M!$B$1:$BZ$300,MATCH(data!AY$1,Haver_M!$B$1:$BZ$1,0),FALSE)),VLOOKUP($A215,Haver_M!$B$1:$BZ$300,MATCH(data!AY$1,Haver_M!$B$1:$BZ$1,0),FALSE),"")</f>
        <v>53.089500000000001</v>
      </c>
      <c r="AZ215">
        <f>IF(ISNUMBER(VLOOKUP($A215,Haver_M!$B$1:$BZ$300,MATCH(data!AZ$1,Haver_M!$B$1:$BZ$1,0),FALSE)),VLOOKUP($A215,Haver_M!$B$1:$BZ$300,MATCH(data!AZ$1,Haver_M!$B$1:$BZ$1,0),FALSE),"")</f>
        <v>49.560099999999998</v>
      </c>
      <c r="BA215">
        <f>IF(ISNUMBER(VLOOKUP($A215,Haver_M!$B$1:$BZ$300,MATCH(data!BA$1,Haver_M!$B$1:$BZ$1,0),FALSE)),VLOOKUP($A215,Haver_M!$B$1:$BZ$300,MATCH(data!BA$1,Haver_M!$B$1:$BZ$1,0),FALSE),"")</f>
        <v>48.283499999999997</v>
      </c>
      <c r="BB215">
        <f>IF(ISNUMBER(VLOOKUP($A215,Haver_M!$B$1:$BZ$300,MATCH(data!BB$1,Haver_M!$B$1:$BZ$1,0),FALSE)),VLOOKUP($A215,Haver_M!$B$1:$BZ$300,MATCH(data!BB$1,Haver_M!$B$1:$BZ$1,0),FALSE),"")</f>
        <v>47.989199999999997</v>
      </c>
      <c r="BC215">
        <f>IF(ISNUMBER(VLOOKUP($A215,Haver_M!$B$1:$BZ$300,MATCH(data!BC$1,Haver_M!$B$1:$BZ$1,0),FALSE)),VLOOKUP($A215,Haver_M!$B$1:$BZ$300,MATCH(data!BC$1,Haver_M!$B$1:$BZ$1,0),FALSE),"")</f>
        <v>51.070900000000002</v>
      </c>
      <c r="BD215">
        <f>IF(ISNUMBER(VLOOKUP($A215,Haver_M!$B$1:$BZ$300,MATCH(data!BD$1,Haver_M!$B$1:$BZ$1,0),FALSE)),VLOOKUP($A215,Haver_M!$B$1:$BZ$300,MATCH(data!BD$1,Haver_M!$B$1:$BZ$1,0),FALSE),"")</f>
        <v>51.018000000000001</v>
      </c>
      <c r="BE215">
        <f>IF(ISNUMBER(VLOOKUP($A215,Haver_M!$B$1:$BZ$300,MATCH(data!BE$1,Haver_M!$B$1:$BZ$1,0),FALSE)),VLOOKUP($A215,Haver_M!$B$1:$BZ$300,MATCH(data!BE$1,Haver_M!$B$1:$BZ$1,0),FALSE),"")</f>
        <v>1.079</v>
      </c>
      <c r="BF215">
        <f>IF(ISNUMBER(VLOOKUP($A215,Haver_M!$B$1:$BZ$300,MATCH(data!BF$1,Haver_M!$B$1:$BZ$1,0),FALSE)),VLOOKUP($A215,Haver_M!$B$1:$BZ$300,MATCH(data!BF$1,Haver_M!$B$1:$BZ$1,0),FALSE),"")</f>
        <v>51.632599999999996</v>
      </c>
      <c r="BG215">
        <f>IF(ISNUMBER(VLOOKUP($A215,Haver_M!$B$1:$BZ$300,MATCH(data!BG$1,Haver_M!$B$1:$BZ$1,0),FALSE)),VLOOKUP($A215,Haver_M!$B$1:$BZ$300,MATCH(data!BG$1,Haver_M!$B$1:$BZ$1,0),FALSE),"")</f>
        <v>52.144500000000001</v>
      </c>
      <c r="BH215">
        <f>IF(ISNUMBER(VLOOKUP($A215,Haver_M!$B$1:$BZ$300,MATCH(data!BH$1,Haver_M!$B$1:$BZ$1,0),FALSE)),VLOOKUP($A215,Haver_M!$B$1:$BZ$300,MATCH(data!BH$1,Haver_M!$B$1:$BZ$1,0),FALSE),"")</f>
        <v>51.493400000000001</v>
      </c>
      <c r="BI215">
        <f>IF(ISNUMBER(VLOOKUP($A215,Haver_M!$B$1:$BZ$300,MATCH(data!BI$1,Haver_M!$B$1:$BZ$1,0),FALSE)),VLOOKUP($A215,Haver_M!$B$1:$BZ$300,MATCH(data!BI$1,Haver_M!$B$1:$BZ$1,0),FALSE),"")</f>
        <v>52.697000000000003</v>
      </c>
      <c r="BJ215">
        <f>IF(ISNUMBER(VLOOKUP($A215,Haver_M!$B$1:$BZ$300,MATCH(data!BJ$1,Haver_M!$B$1:$BZ$1,0),FALSE)),VLOOKUP($A215,Haver_M!$B$1:$BZ$300,MATCH(data!BJ$1,Haver_M!$B$1:$BZ$1,0),FALSE),"")</f>
        <v>50.482599999999998</v>
      </c>
      <c r="BK215">
        <f>IF(ISNUMBER(VLOOKUP($A215,Haver_M!$B$1:$BZ$300,MATCH(data!BK$1,Haver_M!$B$1:$BZ$1,0),FALSE)),VLOOKUP($A215,Haver_M!$B$1:$BZ$300,MATCH(data!BK$1,Haver_M!$B$1:$BZ$1,0),FALSE),"")</f>
        <v>54.494999999999997</v>
      </c>
      <c r="BL215">
        <f>IF(ISNUMBER(VLOOKUP($A215,Haver_M!$B$1:$BZ$300,MATCH(data!BL$1,Haver_M!$B$1:$BZ$1,0),FALSE)),VLOOKUP($A215,Haver_M!$B$1:$BZ$300,MATCH(data!BL$1,Haver_M!$B$1:$BZ$1,0),FALSE),"")</f>
        <v>32397.64</v>
      </c>
      <c r="BM215">
        <f>IF(ISNUMBER(VLOOKUP($A215,Haver_M!$B$1:$BZ$300,MATCH(data!BM$1,Haver_M!$B$1:$BZ$1,0),FALSE)),VLOOKUP($A215,Haver_M!$B$1:$BZ$300,MATCH(data!BM$1,Haver_M!$B$1:$BZ$1,0),FALSE),"")</f>
        <v>100.79948924</v>
      </c>
      <c r="BN215" t="str">
        <f>IF(ISNUMBER(VLOOKUP($A215,Haver_M!$B$1:$BZ$300,MATCH(data!BN$1,Haver_M!$B$1:$BZ$1,0),FALSE)),VLOOKUP($A215,Haver_M!$B$1:$BZ$300,MATCH(data!BN$1,Haver_M!$B$1:$BZ$1,0),FALSE),"")</f>
        <v/>
      </c>
      <c r="BO215" t="str">
        <f>IF(ISNUMBER(VLOOKUP($A215,Haver_M!$B$1:$BZ$300,MATCH(data!BO$1,Haver_M!$B$1:$BZ$1,0),FALSE)),VLOOKUP($A215,Haver_M!$B$1:$BZ$300,MATCH(data!BO$1,Haver_M!$B$1:$BZ$1,0),FALSE),"")</f>
        <v/>
      </c>
      <c r="BP215" t="str">
        <f>IF(ISNUMBER(VLOOKUP($A215,Haver_M!$B$1:$BZ$300,MATCH(data!BP$1,Haver_M!$B$1:$BZ$1,0),FALSE)),VLOOKUP($A215,Haver_M!$B$1:$BZ$300,MATCH(data!BP$1,Haver_M!$B$1:$BZ$1,0),FALSE),"")</f>
        <v/>
      </c>
      <c r="BQ215">
        <f>IF(ISNUMBER(VLOOKUP($A215,Haver_M!$B$1:$BZ$300,MATCH(data!BQ$1,Haver_M!$B$1:$BZ$1,0),FALSE)),VLOOKUP($A215,Haver_M!$B$1:$BZ$300,MATCH(data!BQ$1,Haver_M!$B$1:$BZ$1,0),FALSE),"")</f>
        <v>268.07516137508009</v>
      </c>
      <c r="BR215">
        <f>IF(ISNUMBER(VLOOKUP($A215,Haver_M!$B$1:$BZ$300,MATCH(data!BR$1,Haver_M!$B$1:$BZ$1,0),FALSE)),VLOOKUP($A215,Haver_M!$B$1:$BZ$300,MATCH(data!BR$1,Haver_M!$B$1:$BZ$1,0),FALSE),"")</f>
        <v>399.36663834311855</v>
      </c>
      <c r="BS215">
        <f>IF(ISNUMBER(VLOOKUP($A215,Haver_M!$B$1:$BZ$300,MATCH(data!BS$1,Haver_M!$B$1:$BZ$1,0),FALSE)),VLOOKUP($A215,Haver_M!$B$1:$BZ$300,MATCH(data!BS$1,Haver_M!$B$1:$BZ$1,0),FALSE),"")</f>
        <v>266.37513387101978</v>
      </c>
      <c r="BT215">
        <f>IF(ISNUMBER(VLOOKUP($A215,Haver_M!$B$1:$BZ$300,MATCH(data!BT$1,Haver_M!$B$1:$BZ$1,0),FALSE)),VLOOKUP($A215,Haver_M!$B$1:$BZ$300,MATCH(data!BT$1,Haver_M!$B$1:$BZ$1,0),FALSE),"")</f>
        <v>1084.5562396571672</v>
      </c>
      <c r="BU215">
        <f>IF(ISNUMBER(VLOOKUP($A215,Haver_M!$B$1:$BZ$300,MATCH(data!BU$1,Haver_M!$B$1:$BZ$1,0),FALSE)),VLOOKUP($A215,Haver_M!$B$1:$BZ$300,MATCH(data!BU$1,Haver_M!$B$1:$BZ$1,0),FALSE),"")</f>
        <v>22888.7</v>
      </c>
      <c r="BV215">
        <f>IF(ISNUMBER(VLOOKUP($A215,Haver_M!$B$1:$BZ$300,MATCH(data!BV$1,Haver_M!$B$1:$BZ$1,0),FALSE)),VLOOKUP($A215,Haver_M!$B$1:$BZ$300,MATCH(data!BV$1,Haver_M!$B$1:$BZ$1,0),FALSE),"")</f>
        <v>37501.43</v>
      </c>
      <c r="BW215">
        <f>IF(ISNUMBER(VLOOKUP($A215,Haver_M!$B$1:$BZ$300,MATCH(data!BW$1,Haver_M!$B$1:$BZ$1,0),FALSE)),VLOOKUP($A215,Haver_M!$B$1:$BZ$300,MATCH(data!BW$1,Haver_M!$B$1:$BZ$1,0),FALSE),"")</f>
        <v>65.081299999999999</v>
      </c>
      <c r="BX215">
        <f>IF(ISNUMBER(VLOOKUP($A215,Haver_M!$B$1:$BZ$300,MATCH(data!BX$1,Haver_M!$B$1:$BZ$1,0),FALSE)),VLOOKUP($A215,Haver_M!$B$1:$BZ$300,MATCH(data!BX$1,Haver_M!$B$1:$BZ$1,0),FALSE),"")</f>
        <v>57660</v>
      </c>
    </row>
    <row r="216" spans="1:76" x14ac:dyDescent="0.25">
      <c r="A216" s="2">
        <v>43069</v>
      </c>
      <c r="B216" t="str">
        <f>IF(ISNUMBER(VLOOKUP($A216,Haver_Q!$B$1:$L$185,MATCH(data!B$1,Haver_Q!$B$1:$L$1,0),FALSE)),100*(VLOOKUP($A216,Haver_Q!$B$1:$L$185,MATCH(data!B$1,Haver_Q!$B$1:$L$1,0),FALSE)),"")</f>
        <v/>
      </c>
      <c r="C216" t="str">
        <f>IF(ISNUMBER(VLOOKUP($A216,Haver_Q!$B$1:$L$185,MATCH(data!C$1,Haver_Q!$B$1:$L$1,0),FALSE)),100*(VLOOKUP($A216,Haver_Q!$B$1:$L$185,MATCH(data!C$1,Haver_Q!$B$1:$L$1,0),FALSE)),"")</f>
        <v/>
      </c>
      <c r="D216" t="str">
        <f>IF(ISNUMBER(VLOOKUP($A216,Haver_Q!$B$1:$L$185,MATCH(data!D$1,Haver_Q!$B$1:$L$1,0),FALSE)),100*(VLOOKUP($A216,Haver_Q!$B$1:$L$185,MATCH(data!D$1,Haver_Q!$B$1:$L$1,0),FALSE)),"")</f>
        <v/>
      </c>
      <c r="E216" t="str">
        <f>IF(ISNUMBER(VLOOKUP($A216,Haver_Q!$B$1:$L$185,MATCH(data!E$1,Haver_Q!$B$1:$L$1,0),FALSE)),100*(VLOOKUP($A216,Haver_Q!$B$1:$L$185,MATCH(data!E$1,Haver_Q!$B$1:$L$1,0),FALSE)),"")</f>
        <v/>
      </c>
      <c r="F216" t="str">
        <f>IF(ISNUMBER(VLOOKUP($A216,Haver_Q!$B$1:$L$185,MATCH(data!F$1,Haver_Q!$B$1:$L$1,0),FALSE)),100*(VLOOKUP($A216,Haver_Q!$B$1:$L$185,MATCH(data!F$1,Haver_Q!$B$1:$L$1,0),FALSE)),"")</f>
        <v/>
      </c>
      <c r="G216" t="str">
        <f>IF(ISNUMBER(VLOOKUP($A216,Haver_Q!$B$1:$L$185,MATCH(data!G$1,Haver_Q!$B$1:$L$1,0),FALSE)),100*(VLOOKUP($A216,Haver_Q!$B$1:$L$185,MATCH(data!G$1,Haver_Q!$B$1:$L$1,0),FALSE)),"")</f>
        <v/>
      </c>
      <c r="H216" t="str">
        <f>IF(ISNUMBER(VLOOKUP($A216,Haver_Q!$B$1:$L$185,MATCH(data!H$1,Haver_Q!$B$1:$L$1,0),FALSE)),(VLOOKUP($A216,Haver_Q!$B$1:$L$185,MATCH(data!H$1,Haver_Q!$B$1:$L$1,0),FALSE)),"")</f>
        <v/>
      </c>
      <c r="I216" t="str">
        <f>IF(ISNUMBER(VLOOKUP($A216,Haver_Q!$B$1:$L$185,MATCH(data!I$1,Haver_Q!$B$1:$L$1,0),FALSE)),100*(VLOOKUP($A216,Haver_Q!$B$1:$L$185,MATCH(data!I$1,Haver_Q!$B$1:$L$1,0),FALSE)),"")</f>
        <v/>
      </c>
      <c r="J216" s="3">
        <f>IF(ISNUMBER(Bloomberg_m!C232),Bloomberg_m!C232,"")</f>
        <v>1454</v>
      </c>
      <c r="K216" s="3">
        <f>IF(ISNUMBER(Bloomberg_m!D232),Bloomberg_m!D232,"")</f>
        <v>1295.48</v>
      </c>
      <c r="L216" s="3">
        <f>IF(ISNUMBER(Bloomberg_m!E232),Bloomberg_m!E232,"")</f>
        <v>760.08</v>
      </c>
      <c r="M216" s="3">
        <f>IF(ISNUMBER(Bloomberg_m!F232),Bloomberg_m!F232,"")</f>
        <v>444.53</v>
      </c>
      <c r="N216">
        <f>IF(ISNUMBER(VLOOKUP($A216,Haver_M!$B$1:$BZ$300,MATCH(data!N$1,Haver_M!$B$1:$BZ$1,0),FALSE)),VLOOKUP($A216,Haver_M!$B$1:$BZ$300,MATCH(data!N$1,Haver_M!$B$1:$BZ$1,0),FALSE),"")</f>
        <v>6</v>
      </c>
      <c r="O216">
        <f>IF(ISNUMBER(VLOOKUP($A216,Haver_M!$B$1:$BZ$300,MATCH(data!O$1,Haver_M!$B$1:$BZ$1,0),FALSE)),VLOOKUP($A216,Haver_M!$B$1:$BZ$300,MATCH(data!O$1,Haver_M!$B$1:$BZ$1,0),FALSE),"")</f>
        <v>7.2457000000000003</v>
      </c>
      <c r="P216">
        <f>IF(ISNUMBER(VLOOKUP($A216,Haver_M!$B$1:$BZ$300,MATCH(data!P$1,Haver_M!$B$1:$BZ$1,0),FALSE)),VLOOKUP($A216,Haver_M!$B$1:$BZ$300,MATCH(data!P$1,Haver_M!$B$1:$BZ$1,0),FALSE),"")</f>
        <v>94.206829999999997</v>
      </c>
      <c r="Q216">
        <f>IF(ISNUMBER(VLOOKUP($A216,Haver_M!$B$1:$BZ$300,MATCH(data!Q$1,Haver_M!$B$1:$BZ$1,0),FALSE)),VLOOKUP($A216,Haver_M!$B$1:$BZ$300,MATCH(data!Q$1,Haver_M!$B$1:$BZ$1,0),FALSE),"")</f>
        <v>137.6</v>
      </c>
      <c r="R216">
        <f>IF(ISNUMBER(VLOOKUP($A216,Haver_M!$B$1:$BZ$300,MATCH(data!R$1,Haver_M!$B$1:$BZ$1,0),FALSE)),VLOOKUP($A216,Haver_M!$B$1:$BZ$300,MATCH(data!R$1,Haver_M!$B$1:$BZ$1,0),FALSE),"")</f>
        <v>135.19999999999999</v>
      </c>
      <c r="S216">
        <f>IF(ISNUMBER(VLOOKUP($A216,Haver_M!$B$1:$BZ$300,MATCH(data!S$1,Haver_M!$B$1:$BZ$1,0),FALSE)),VLOOKUP($A216,Haver_M!$B$1:$BZ$300,MATCH(data!S$1,Haver_M!$B$1:$BZ$1,0),FALSE),"")</f>
        <v>128.88999999999999</v>
      </c>
      <c r="T216">
        <f>IF(ISNUMBER(VLOOKUP($A216,Haver_M!$B$1:$BZ$300,MATCH(data!T$1,Haver_M!$B$1:$BZ$1,0),FALSE)),VLOOKUP($A216,Haver_M!$B$1:$BZ$300,MATCH(data!T$1,Haver_M!$B$1:$BZ$1,0),FALSE),"")</f>
        <v>122.27</v>
      </c>
      <c r="U216">
        <f>IF(ISNUMBER(VLOOKUP($A216,Haver_M!$B$1:$BZ$300,MATCH(data!U$1,Haver_M!$B$1:$BZ$1,0),FALSE)),VLOOKUP($A216,Haver_M!$B$1:$BZ$300,MATCH(data!U$1,Haver_M!$B$1:$BZ$1,0),FALSE),"")</f>
        <v>107.5</v>
      </c>
      <c r="V216">
        <f>IF(ISNUMBER(VLOOKUP($A216,Haver_M!$B$1:$BZ$300,MATCH(data!V$1,Haver_M!$B$1:$BZ$1,0),FALSE)),VLOOKUP($A216,Haver_M!$B$1:$BZ$300,MATCH(data!V$1,Haver_M!$B$1:$BZ$1,0),FALSE),"")</f>
        <v>128.52000000000001</v>
      </c>
      <c r="W216">
        <f>IF(ISNUMBER(VLOOKUP($A216,Haver_M!$B$1:$BZ$300,MATCH(data!W$1,Haver_M!$B$1:$BZ$1,0),FALSE)),VLOOKUP($A216,Haver_M!$B$1:$BZ$300,MATCH(data!W$1,Haver_M!$B$1:$BZ$1,0),FALSE),"")</f>
        <v>136.54</v>
      </c>
      <c r="X216">
        <f>IF(ISNUMBER(VLOOKUP($A216,Haver_M!$B$1:$BZ$300,MATCH(data!X$1,Haver_M!$B$1:$BZ$1,0),FALSE)),VLOOKUP($A216,Haver_M!$B$1:$BZ$300,MATCH(data!X$1,Haver_M!$B$1:$BZ$1,0),FALSE),"")</f>
        <v>125.15</v>
      </c>
      <c r="Y216">
        <f>IF(ISNUMBER(VLOOKUP($A216,Haver_M!$B$1:$BZ$300,MATCH(data!Y$1,Haver_M!$B$1:$BZ$1,0),FALSE)),VLOOKUP($A216,Haver_M!$B$1:$BZ$300,MATCH(data!Y$1,Haver_M!$B$1:$BZ$1,0),FALSE),"")</f>
        <v>148.52000000000001</v>
      </c>
      <c r="Z216">
        <f>IF(ISNUMBER(VLOOKUP($A216,Haver_M!$B$1:$BZ$300,MATCH(data!Z$1,Haver_M!$B$1:$BZ$1,0),FALSE)),VLOOKUP($A216,Haver_M!$B$1:$BZ$300,MATCH(data!Z$1,Haver_M!$B$1:$BZ$1,0),FALSE),"")</f>
        <v>127.1</v>
      </c>
      <c r="AA216">
        <f>IF(ISNUMBER(VLOOKUP($A216,Haver_M!$B$1:$BZ$300,MATCH(data!AA$1,Haver_M!$B$1:$BZ$1,0),FALSE)),VLOOKUP($A216,Haver_M!$B$1:$BZ$300,MATCH(data!AA$1,Haver_M!$B$1:$BZ$1,0),FALSE),"")</f>
        <v>125.09099999999999</v>
      </c>
      <c r="AB216">
        <f>IF(ISNUMBER(VLOOKUP($A216,Haver_M!$B$1:$BZ$300,MATCH(data!AB$1,Haver_M!$B$1:$BZ$1,0),FALSE)),VLOOKUP($A216,Haver_M!$B$1:$BZ$300,MATCH(data!AB$1,Haver_M!$B$1:$BZ$1,0),FALSE),"")</f>
        <v>92.796999999999997</v>
      </c>
      <c r="AC216">
        <f>IF(ISNUMBER(VLOOKUP($A216,Haver_M!$B$1:$BZ$300,MATCH(data!AC$1,Haver_M!$B$1:$BZ$1,0),FALSE)),VLOOKUP($A216,Haver_M!$B$1:$BZ$300,MATCH(data!AC$1,Haver_M!$B$1:$BZ$1,0),FALSE),"")</f>
        <v>68.704999999999998</v>
      </c>
      <c r="AD216">
        <f>IF(ISNUMBER(VLOOKUP($A216,Haver_M!$B$1:$BZ$300,MATCH(data!AD$1,Haver_M!$B$1:$BZ$1,0),FALSE)),VLOOKUP($A216,Haver_M!$B$1:$BZ$300,MATCH(data!AD$1,Haver_M!$B$1:$BZ$1,0),FALSE),"")</f>
        <v>127.16200000000001</v>
      </c>
      <c r="AE216">
        <f>IF(ISNUMBER(VLOOKUP($A216,Haver_M!$B$1:$BZ$300,MATCH(data!AE$1,Haver_M!$B$1:$BZ$1,0),FALSE)),VLOOKUP($A216,Haver_M!$B$1:$BZ$300,MATCH(data!AE$1,Haver_M!$B$1:$BZ$1,0),FALSE),"")</f>
        <v>107.80500000000001</v>
      </c>
      <c r="AF216">
        <f>IF(ISNUMBER(VLOOKUP($A216,Haver_M!$B$1:$BZ$300,MATCH(data!AF$1,Haver_M!$B$1:$BZ$1,0),FALSE)),VLOOKUP($A216,Haver_M!$B$1:$BZ$300,MATCH(data!AF$1,Haver_M!$B$1:$BZ$1,0),FALSE),"")</f>
        <v>144.13800000000001</v>
      </c>
      <c r="AG216">
        <f>IF(ISNUMBER(VLOOKUP($A216,Haver_M!$B$1:$BZ$300,MATCH(data!AG$1,Haver_M!$B$1:$BZ$1,0),FALSE)),VLOOKUP($A216,Haver_M!$B$1:$BZ$300,MATCH(data!AG$1,Haver_M!$B$1:$BZ$1,0),FALSE),"")</f>
        <v>136.31899999999999</v>
      </c>
      <c r="AH216">
        <f>IF(ISNUMBER(VLOOKUP($A216,Haver_M!$B$1:$BZ$300,MATCH(data!AH$1,Haver_M!$B$1:$BZ$1,0),FALSE)),VLOOKUP($A216,Haver_M!$B$1:$BZ$300,MATCH(data!AH$1,Haver_M!$B$1:$BZ$1,0),FALSE),"")</f>
        <v>149.446</v>
      </c>
      <c r="AI216">
        <f>IF(ISNUMBER(VLOOKUP($A216,Haver_M!$B$1:$BZ$300,MATCH(data!AI$1,Haver_M!$B$1:$BZ$1,0),FALSE)),VLOOKUP($A216,Haver_M!$B$1:$BZ$300,MATCH(data!AI$1,Haver_M!$B$1:$BZ$1,0),FALSE),"")</f>
        <v>17378.600625370429</v>
      </c>
      <c r="AJ216">
        <f>IF(ISNUMBER(VLOOKUP($A216,Haver_M!$B$1:$BZ$300,MATCH(data!AJ$1,Haver_M!$B$1:$BZ$1,0),FALSE)),VLOOKUP($A216,Haver_M!$B$1:$BZ$300,MATCH(data!AJ$1,Haver_M!$B$1:$BZ$1,0),FALSE),"")</f>
        <v>27874.37</v>
      </c>
      <c r="AK216">
        <f>IF(ISNUMBER(VLOOKUP($A216,Haver_M!$B$1:$BZ$300,MATCH(data!AK$1,Haver_M!$B$1:$BZ$1,0),FALSE)),VLOOKUP($A216,Haver_M!$B$1:$BZ$300,MATCH(data!AK$1,Haver_M!$B$1:$BZ$1,0),FALSE),"")</f>
        <v>41067.35</v>
      </c>
      <c r="AL216">
        <f>IF(ISNUMBER(VLOOKUP($A216,Haver_M!$B$1:$BZ$300,MATCH(data!AL$1,Haver_M!$B$1:$BZ$1,0),FALSE)),VLOOKUP($A216,Haver_M!$B$1:$BZ$300,MATCH(data!AL$1,Haver_M!$B$1:$BZ$1,0),FALSE),"")</f>
        <v>15392</v>
      </c>
      <c r="AM216">
        <f>IF(ISNUMBER(VLOOKUP($A216,Haver_M!$B$1:$BZ$300,MATCH(data!AM$1,Haver_M!$B$1:$BZ$1,0),FALSE)),VLOOKUP($A216,Haver_M!$B$1:$BZ$300,MATCH(data!AM$1,Haver_M!$B$1:$BZ$1,0),FALSE),"")</f>
        <v>9647</v>
      </c>
      <c r="AN216">
        <f>IF(ISNUMBER(VLOOKUP($A216,Haver_M!$B$1:$BZ$300,MATCH(data!AN$1,Haver_M!$B$1:$BZ$1,0),FALSE)),VLOOKUP($A216,Haver_M!$B$1:$BZ$300,MATCH(data!AN$1,Haver_M!$B$1:$BZ$1,0),FALSE),"")</f>
        <v>91.1</v>
      </c>
      <c r="AO216">
        <f>IF(ISNUMBER(VLOOKUP($A216,Haver_M!$B$1:$BZ$300,MATCH(data!AO$1,Haver_M!$B$1:$BZ$1,0),FALSE)),VLOOKUP($A216,Haver_M!$B$1:$BZ$300,MATCH(data!AO$1,Haver_M!$B$1:$BZ$1,0),FALSE),"")</f>
        <v>114.7</v>
      </c>
      <c r="AP216">
        <f>IF(ISNUMBER(VLOOKUP($A216,Haver_M!$B$1:$BZ$300,MATCH(data!AP$1,Haver_M!$B$1:$BZ$1,0),FALSE)),VLOOKUP($A216,Haver_M!$B$1:$BZ$300,MATCH(data!AP$1,Haver_M!$B$1:$BZ$1,0),FALSE),"")</f>
        <v>65.588833367351072</v>
      </c>
      <c r="AQ216">
        <f>IF(ISNUMBER(VLOOKUP($A216,Haver_M!$B$1:$BZ$300,MATCH(data!AQ$1,Haver_M!$B$1:$BZ$1,0),FALSE)),VLOOKUP($A216,Haver_M!$B$1:$BZ$300,MATCH(data!AQ$1,Haver_M!$B$1:$BZ$1,0),FALSE),"")</f>
        <v>50.311100000000003</v>
      </c>
      <c r="AR216">
        <f>IF(ISNUMBER(VLOOKUP($A216,Haver_M!$B$1:$BZ$300,MATCH(data!AR$1,Haver_M!$B$1:$BZ$1,0),FALSE)),VLOOKUP($A216,Haver_M!$B$1:$BZ$300,MATCH(data!AR$1,Haver_M!$B$1:$BZ$1,0),FALSE),"")</f>
        <v>52.590600000000002</v>
      </c>
      <c r="AS216">
        <f>IF(ISNUMBER(VLOOKUP($A216,Haver_M!$B$1:$BZ$300,MATCH(data!AS$1,Haver_M!$B$1:$BZ$1,0),FALSE)),VLOOKUP($A216,Haver_M!$B$1:$BZ$300,MATCH(data!AS$1,Haver_M!$B$1:$BZ$1,0),FALSE),"")</f>
        <v>48.508099999999999</v>
      </c>
      <c r="AT216">
        <f>IF(ISNUMBER(VLOOKUP($A216,Haver_M!$B$1:$BZ$300,MATCH(data!AT$1,Haver_M!$B$1:$BZ$1,0),FALSE)),VLOOKUP($A216,Haver_M!$B$1:$BZ$300,MATCH(data!AT$1,Haver_M!$B$1:$BZ$1,0),FALSE),"")</f>
        <v>54.2819</v>
      </c>
      <c r="AU216">
        <f>IF(ISNUMBER(VLOOKUP($A216,Haver_M!$B$1:$BZ$300,MATCH(data!AU$1,Haver_M!$B$1:$BZ$1,0),FALSE)),VLOOKUP($A216,Haver_M!$B$1:$BZ$300,MATCH(data!AU$1,Haver_M!$B$1:$BZ$1,0),FALSE),"")</f>
        <v>54.191200000000002</v>
      </c>
      <c r="AV216">
        <f>IF(ISNUMBER(VLOOKUP($A216,Haver_M!$B$1:$BZ$300,MATCH(data!AV$1,Haver_M!$B$1:$BZ$1,0),FALSE)),VLOOKUP($A216,Haver_M!$B$1:$BZ$300,MATCH(data!AV$1,Haver_M!$B$1:$BZ$1,0),FALSE),"")</f>
        <v>52.269199999999998</v>
      </c>
      <c r="AW216">
        <f>IF(ISNUMBER(VLOOKUP($A216,Haver_M!$B$1:$BZ$300,MATCH(data!AW$1,Haver_M!$B$1:$BZ$1,0),FALSE)),VLOOKUP($A216,Haver_M!$B$1:$BZ$300,MATCH(data!AW$1,Haver_M!$B$1:$BZ$1,0),FALSE),"")</f>
        <v>51.017699999999998</v>
      </c>
      <c r="AX216">
        <f>IF(ISNUMBER(VLOOKUP($A216,Haver_M!$B$1:$BZ$300,MATCH(data!AX$1,Haver_M!$B$1:$BZ$1,0),FALSE)),VLOOKUP($A216,Haver_M!$B$1:$BZ$300,MATCH(data!AX$1,Haver_M!$B$1:$BZ$1,0),FALSE),"")</f>
        <v>49.615600000000001</v>
      </c>
      <c r="AY216">
        <f>IF(ISNUMBER(VLOOKUP($A216,Haver_M!$B$1:$BZ$300,MATCH(data!AY$1,Haver_M!$B$1:$BZ$1,0),FALSE)),VLOOKUP($A216,Haver_M!$B$1:$BZ$300,MATCH(data!AY$1,Haver_M!$B$1:$BZ$1,0),FALSE),"")</f>
        <v>53.468699999999998</v>
      </c>
      <c r="AZ216">
        <f>IF(ISNUMBER(VLOOKUP($A216,Haver_M!$B$1:$BZ$300,MATCH(data!AZ$1,Haver_M!$B$1:$BZ$1,0),FALSE)),VLOOKUP($A216,Haver_M!$B$1:$BZ$300,MATCH(data!AZ$1,Haver_M!$B$1:$BZ$1,0),FALSE),"")</f>
        <v>51.5321</v>
      </c>
      <c r="BA216">
        <f>IF(ISNUMBER(VLOOKUP($A216,Haver_M!$B$1:$BZ$300,MATCH(data!BA$1,Haver_M!$B$1:$BZ$1,0),FALSE)),VLOOKUP($A216,Haver_M!$B$1:$BZ$300,MATCH(data!BA$1,Haver_M!$B$1:$BZ$1,0),FALSE),"")</f>
        <v>49.615600000000001</v>
      </c>
      <c r="BB216">
        <f>IF(ISNUMBER(VLOOKUP($A216,Haver_M!$B$1:$BZ$300,MATCH(data!BB$1,Haver_M!$B$1:$BZ$1,0),FALSE)),VLOOKUP($A216,Haver_M!$B$1:$BZ$300,MATCH(data!BB$1,Haver_M!$B$1:$BZ$1,0),FALSE),"")</f>
        <v>50.565600000000003</v>
      </c>
      <c r="BC216">
        <f>IF(ISNUMBER(VLOOKUP($A216,Haver_M!$B$1:$BZ$300,MATCH(data!BC$1,Haver_M!$B$1:$BZ$1,0),FALSE)),VLOOKUP($A216,Haver_M!$B$1:$BZ$300,MATCH(data!BC$1,Haver_M!$B$1:$BZ$1,0),FALSE),"")</f>
        <v>50.577800000000003</v>
      </c>
      <c r="BD216">
        <f>IF(ISNUMBER(VLOOKUP($A216,Haver_M!$B$1:$BZ$300,MATCH(data!BD$1,Haver_M!$B$1:$BZ$1,0),FALSE)),VLOOKUP($A216,Haver_M!$B$1:$BZ$300,MATCH(data!BD$1,Haver_M!$B$1:$BZ$1,0),FALSE),"")</f>
        <v>50.699599999999997</v>
      </c>
      <c r="BE216">
        <f>IF(ISNUMBER(VLOOKUP($A216,Haver_M!$B$1:$BZ$300,MATCH(data!BE$1,Haver_M!$B$1:$BZ$1,0),FALSE)),VLOOKUP($A216,Haver_M!$B$1:$BZ$300,MATCH(data!BE$1,Haver_M!$B$1:$BZ$1,0),FALSE),"")</f>
        <v>1.1535</v>
      </c>
      <c r="BF216">
        <f>IF(ISNUMBER(VLOOKUP($A216,Haver_M!$B$1:$BZ$300,MATCH(data!BF$1,Haver_M!$B$1:$BZ$1,0),FALSE)),VLOOKUP($A216,Haver_M!$B$1:$BZ$300,MATCH(data!BF$1,Haver_M!$B$1:$BZ$1,0),FALSE),"")</f>
        <v>51.157400000000003</v>
      </c>
      <c r="BG216">
        <f>IF(ISNUMBER(VLOOKUP($A216,Haver_M!$B$1:$BZ$300,MATCH(data!BG$1,Haver_M!$B$1:$BZ$1,0),FALSE)),VLOOKUP($A216,Haver_M!$B$1:$BZ$300,MATCH(data!BG$1,Haver_M!$B$1:$BZ$1,0),FALSE),"")</f>
        <v>52.255200000000002</v>
      </c>
      <c r="BH216">
        <f>IF(ISNUMBER(VLOOKUP($A216,Haver_M!$B$1:$BZ$300,MATCH(data!BH$1,Haver_M!$B$1:$BZ$1,0),FALSE)),VLOOKUP($A216,Haver_M!$B$1:$BZ$300,MATCH(data!BH$1,Haver_M!$B$1:$BZ$1,0),FALSE),"")</f>
        <v>48.308599999999998</v>
      </c>
      <c r="BI216">
        <f>IF(ISNUMBER(VLOOKUP($A216,Haver_M!$B$1:$BZ$300,MATCH(data!BI$1,Haver_M!$B$1:$BZ$1,0),FALSE)),VLOOKUP($A216,Haver_M!$B$1:$BZ$300,MATCH(data!BI$1,Haver_M!$B$1:$BZ$1,0),FALSE),"")</f>
        <v>54.996099999999998</v>
      </c>
      <c r="BJ216">
        <f>IF(ISNUMBER(VLOOKUP($A216,Haver_M!$B$1:$BZ$300,MATCH(data!BJ$1,Haver_M!$B$1:$BZ$1,0),FALSE)),VLOOKUP($A216,Haver_M!$B$1:$BZ$300,MATCH(data!BJ$1,Haver_M!$B$1:$BZ$1,0),FALSE),"")</f>
        <v>50.788499999999999</v>
      </c>
      <c r="BK216">
        <f>IF(ISNUMBER(VLOOKUP($A216,Haver_M!$B$1:$BZ$300,MATCH(data!BK$1,Haver_M!$B$1:$BZ$1,0),FALSE)),VLOOKUP($A216,Haver_M!$B$1:$BZ$300,MATCH(data!BK$1,Haver_M!$B$1:$BZ$1,0),FALSE),"")</f>
        <v>51.377099999999999</v>
      </c>
      <c r="BL216">
        <f>IF(ISNUMBER(VLOOKUP($A216,Haver_M!$B$1:$BZ$300,MATCH(data!BL$1,Haver_M!$B$1:$BZ$1,0),FALSE)),VLOOKUP($A216,Haver_M!$B$1:$BZ$300,MATCH(data!BL$1,Haver_M!$B$1:$BZ$1,0),FALSE),"")</f>
        <v>33395.14</v>
      </c>
      <c r="BM216">
        <f>IF(ISNUMBER(VLOOKUP($A216,Haver_M!$B$1:$BZ$300,MATCH(data!BM$1,Haver_M!$B$1:$BZ$1,0),FALSE)),VLOOKUP($A216,Haver_M!$B$1:$BZ$300,MATCH(data!BM$1,Haver_M!$B$1:$BZ$1,0),FALSE),"")</f>
        <v>101.38222479</v>
      </c>
      <c r="BN216" t="str">
        <f>IF(ISNUMBER(VLOOKUP($A216,Haver_M!$B$1:$BZ$300,MATCH(data!BN$1,Haver_M!$B$1:$BZ$1,0),FALSE)),VLOOKUP($A216,Haver_M!$B$1:$BZ$300,MATCH(data!BN$1,Haver_M!$B$1:$BZ$1,0),FALSE),"")</f>
        <v/>
      </c>
      <c r="BO216" t="str">
        <f>IF(ISNUMBER(VLOOKUP($A216,Haver_M!$B$1:$BZ$300,MATCH(data!BO$1,Haver_M!$B$1:$BZ$1,0),FALSE)),VLOOKUP($A216,Haver_M!$B$1:$BZ$300,MATCH(data!BO$1,Haver_M!$B$1:$BZ$1,0),FALSE),"")</f>
        <v/>
      </c>
      <c r="BP216" t="str">
        <f>IF(ISNUMBER(VLOOKUP($A216,Haver_M!$B$1:$BZ$300,MATCH(data!BP$1,Haver_M!$B$1:$BZ$1,0),FALSE)),VLOOKUP($A216,Haver_M!$B$1:$BZ$300,MATCH(data!BP$1,Haver_M!$B$1:$BZ$1,0),FALSE),"")</f>
        <v/>
      </c>
      <c r="BQ216">
        <f>IF(ISNUMBER(VLOOKUP($A216,Haver_M!$B$1:$BZ$300,MATCH(data!BQ$1,Haver_M!$B$1:$BZ$1,0),FALSE)),VLOOKUP($A216,Haver_M!$B$1:$BZ$300,MATCH(data!BQ$1,Haver_M!$B$1:$BZ$1,0),FALSE),"")</f>
        <v>271.79838612698228</v>
      </c>
      <c r="BR216">
        <f>IF(ISNUMBER(VLOOKUP($A216,Haver_M!$B$1:$BZ$300,MATCH(data!BR$1,Haver_M!$B$1:$BZ$1,0),FALSE)),VLOOKUP($A216,Haver_M!$B$1:$BZ$300,MATCH(data!BR$1,Haver_M!$B$1:$BZ$1,0),FALSE),"")</f>
        <v>401.48005167847111</v>
      </c>
      <c r="BS216">
        <f>IF(ISNUMBER(VLOOKUP($A216,Haver_M!$B$1:$BZ$300,MATCH(data!BS$1,Haver_M!$B$1:$BZ$1,0),FALSE)),VLOOKUP($A216,Haver_M!$B$1:$BZ$300,MATCH(data!BS$1,Haver_M!$B$1:$BZ$1,0),FALSE),"")</f>
        <v>271.22979960716958</v>
      </c>
      <c r="BT216">
        <f>IF(ISNUMBER(VLOOKUP($A216,Haver_M!$B$1:$BZ$300,MATCH(data!BT$1,Haver_M!$B$1:$BZ$1,0),FALSE)),VLOOKUP($A216,Haver_M!$B$1:$BZ$300,MATCH(data!BT$1,Haver_M!$B$1:$BZ$1,0),FALSE),"")</f>
        <v>1096.8630613018904</v>
      </c>
      <c r="BU216">
        <f>IF(ISNUMBER(VLOOKUP($A216,Haver_M!$B$1:$BZ$300,MATCH(data!BU$1,Haver_M!$B$1:$BZ$1,0),FALSE)),VLOOKUP($A216,Haver_M!$B$1:$BZ$300,MATCH(data!BU$1,Haver_M!$B$1:$BZ$1,0),FALSE),"")</f>
        <v>26292.66</v>
      </c>
      <c r="BV216">
        <f>IF(ISNUMBER(VLOOKUP($A216,Haver_M!$B$1:$BZ$300,MATCH(data!BV$1,Haver_M!$B$1:$BZ$1,0),FALSE)),VLOOKUP($A216,Haver_M!$B$1:$BZ$300,MATCH(data!BV$1,Haver_M!$B$1:$BZ$1,0),FALSE),"")</f>
        <v>41390.19</v>
      </c>
      <c r="BW216">
        <f>IF(ISNUMBER(VLOOKUP($A216,Haver_M!$B$1:$BZ$300,MATCH(data!BW$1,Haver_M!$B$1:$BZ$1,0),FALSE)),VLOOKUP($A216,Haver_M!$B$1:$BZ$300,MATCH(data!BW$1,Haver_M!$B$1:$BZ$1,0),FALSE),"")</f>
        <v>64.8626</v>
      </c>
      <c r="BX216">
        <f>IF(ISNUMBER(VLOOKUP($A216,Haver_M!$B$1:$BZ$300,MATCH(data!BX$1,Haver_M!$B$1:$BZ$1,0),FALSE)),VLOOKUP($A216,Haver_M!$B$1:$BZ$300,MATCH(data!BX$1,Haver_M!$B$1:$BZ$1,0),FALSE),"")</f>
        <v>60306</v>
      </c>
    </row>
    <row r="217" spans="1:76" x14ac:dyDescent="0.25">
      <c r="A217" s="2">
        <v>43100</v>
      </c>
      <c r="B217">
        <f>IF(ISNUMBER(VLOOKUP($A217,Haver_Q!$B$1:$L$185,MATCH(data!B$1,Haver_Q!$B$1:$L$1,0),FALSE)),100*(VLOOKUP($A217,Haver_Q!$B$1:$L$185,MATCH(data!B$1,Haver_Q!$B$1:$L$1,0),FALSE)),"")</f>
        <v>8.5852303363761919</v>
      </c>
      <c r="C217">
        <f>IF(ISNUMBER(VLOOKUP($A217,Haver_Q!$B$1:$L$185,MATCH(data!C$1,Haver_Q!$B$1:$L$1,0),FALSE)),100*(VLOOKUP($A217,Haver_Q!$B$1:$L$185,MATCH(data!C$1,Haver_Q!$B$1:$L$1,0),FALSE)),"")</f>
        <v>9.0672391568221489</v>
      </c>
      <c r="D217">
        <f>IF(ISNUMBER(VLOOKUP($A217,Haver_Q!$B$1:$L$185,MATCH(data!D$1,Haver_Q!$B$1:$L$1,0),FALSE)),100*(VLOOKUP($A217,Haver_Q!$B$1:$L$185,MATCH(data!D$1,Haver_Q!$B$1:$L$1,0),FALSE)),"")</f>
        <v>22.875756605782939</v>
      </c>
      <c r="E217">
        <f>IF(ISNUMBER(VLOOKUP($A217,Haver_Q!$B$1:$L$185,MATCH(data!E$1,Haver_Q!$B$1:$L$1,0),FALSE)),100*(VLOOKUP($A217,Haver_Q!$B$1:$L$185,MATCH(data!E$1,Haver_Q!$B$1:$L$1,0),FALSE)),"")</f>
        <v>12.526136218184858</v>
      </c>
      <c r="F217">
        <f>IF(ISNUMBER(VLOOKUP($A217,Haver_Q!$B$1:$L$185,MATCH(data!F$1,Haver_Q!$B$1:$L$1,0),FALSE)),100*(VLOOKUP($A217,Haver_Q!$B$1:$L$185,MATCH(data!F$1,Haver_Q!$B$1:$L$1,0),FALSE)),"")</f>
        <v>7.5624199686679994</v>
      </c>
      <c r="G217">
        <f>IF(ISNUMBER(VLOOKUP($A217,Haver_Q!$B$1:$L$185,MATCH(data!G$1,Haver_Q!$B$1:$L$1,0),FALSE)),100*(VLOOKUP($A217,Haver_Q!$B$1:$L$185,MATCH(data!G$1,Haver_Q!$B$1:$L$1,0),FALSE)),"")</f>
        <v>24.242346213659527</v>
      </c>
      <c r="H217">
        <f>IF(ISNUMBER(VLOOKUP($A217,Haver_Q!$B$1:$L$185,MATCH(data!H$1,Haver_Q!$B$1:$L$1,0),FALSE)),(VLOOKUP($A217,Haver_Q!$B$1:$L$185,MATCH(data!H$1,Haver_Q!$B$1:$L$1,0),FALSE)),"")</f>
        <v>4.1521979280172205</v>
      </c>
      <c r="I217">
        <f>IF(ISNUMBER(VLOOKUP($A217,Haver_Q!$B$1:$L$185,MATCH(data!I$1,Haver_Q!$B$1:$L$1,0),FALSE)),100*(VLOOKUP($A217,Haver_Q!$B$1:$L$185,MATCH(data!I$1,Haver_Q!$B$1:$L$1,0),FALSE)),"")</f>
        <v>7.6889613742347374</v>
      </c>
      <c r="J217" s="3">
        <f>IF(ISNUMBER(Bloomberg_m!C233),Bloomberg_m!C233,"")</f>
        <v>1619</v>
      </c>
      <c r="K217" s="3">
        <f>IF(ISNUMBER(Bloomberg_m!D233),Bloomberg_m!D233,"")</f>
        <v>1174.42</v>
      </c>
      <c r="L217" s="3">
        <f>IF(ISNUMBER(Bloomberg_m!E233),Bloomberg_m!E233,"")</f>
        <v>742.05</v>
      </c>
      <c r="M217" s="3">
        <f>IF(ISNUMBER(Bloomberg_m!F233),Bloomberg_m!F233,"")</f>
        <v>440.96</v>
      </c>
      <c r="N217">
        <f>IF(ISNUMBER(VLOOKUP($A217,Haver_M!$B$1:$BZ$300,MATCH(data!N$1,Haver_M!$B$1:$BZ$1,0),FALSE)),VLOOKUP($A217,Haver_M!$B$1:$BZ$300,MATCH(data!N$1,Haver_M!$B$1:$BZ$1,0),FALSE),"")</f>
        <v>6</v>
      </c>
      <c r="O217">
        <f>IF(ISNUMBER(VLOOKUP($A217,Haver_M!$B$1:$BZ$300,MATCH(data!O$1,Haver_M!$B$1:$BZ$1,0),FALSE)),VLOOKUP($A217,Haver_M!$B$1:$BZ$300,MATCH(data!O$1,Haver_M!$B$1:$BZ$1,0),FALSE),"")</f>
        <v>7.5236000000000001</v>
      </c>
      <c r="P217">
        <f>IF(ISNUMBER(VLOOKUP($A217,Haver_M!$B$1:$BZ$300,MATCH(data!P$1,Haver_M!$B$1:$BZ$1,0),FALSE)),VLOOKUP($A217,Haver_M!$B$1:$BZ$300,MATCH(data!P$1,Haver_M!$B$1:$BZ$1,0),FALSE),"")</f>
        <v>93.483410000000006</v>
      </c>
      <c r="Q217">
        <f>IF(ISNUMBER(VLOOKUP($A217,Haver_M!$B$1:$BZ$300,MATCH(data!Q$1,Haver_M!$B$1:$BZ$1,0),FALSE)),VLOOKUP($A217,Haver_M!$B$1:$BZ$300,MATCH(data!Q$1,Haver_M!$B$1:$BZ$1,0),FALSE),"")</f>
        <v>137.19999999999999</v>
      </c>
      <c r="R217">
        <f>IF(ISNUMBER(VLOOKUP($A217,Haver_M!$B$1:$BZ$300,MATCH(data!R$1,Haver_M!$B$1:$BZ$1,0),FALSE)),VLOOKUP($A217,Haver_M!$B$1:$BZ$300,MATCH(data!R$1,Haver_M!$B$1:$BZ$1,0),FALSE),"")</f>
        <v>135.69999999999999</v>
      </c>
      <c r="S217">
        <f>IF(ISNUMBER(VLOOKUP($A217,Haver_M!$B$1:$BZ$300,MATCH(data!S$1,Haver_M!$B$1:$BZ$1,0),FALSE)),VLOOKUP($A217,Haver_M!$B$1:$BZ$300,MATCH(data!S$1,Haver_M!$B$1:$BZ$1,0),FALSE),"")</f>
        <v>128.07</v>
      </c>
      <c r="T217">
        <f>IF(ISNUMBER(VLOOKUP($A217,Haver_M!$B$1:$BZ$300,MATCH(data!T$1,Haver_M!$B$1:$BZ$1,0),FALSE)),VLOOKUP($A217,Haver_M!$B$1:$BZ$300,MATCH(data!T$1,Haver_M!$B$1:$BZ$1,0),FALSE),"")</f>
        <v>124.07</v>
      </c>
      <c r="U217">
        <f>IF(ISNUMBER(VLOOKUP($A217,Haver_M!$B$1:$BZ$300,MATCH(data!U$1,Haver_M!$B$1:$BZ$1,0),FALSE)),VLOOKUP($A217,Haver_M!$B$1:$BZ$300,MATCH(data!U$1,Haver_M!$B$1:$BZ$1,0),FALSE),"")</f>
        <v>109.32</v>
      </c>
      <c r="V217">
        <f>IF(ISNUMBER(VLOOKUP($A217,Haver_M!$B$1:$BZ$300,MATCH(data!V$1,Haver_M!$B$1:$BZ$1,0),FALSE)),VLOOKUP($A217,Haver_M!$B$1:$BZ$300,MATCH(data!V$1,Haver_M!$B$1:$BZ$1,0),FALSE),"")</f>
        <v>128.61000000000001</v>
      </c>
      <c r="W217">
        <f>IF(ISNUMBER(VLOOKUP($A217,Haver_M!$B$1:$BZ$300,MATCH(data!W$1,Haver_M!$B$1:$BZ$1,0),FALSE)),VLOOKUP($A217,Haver_M!$B$1:$BZ$300,MATCH(data!W$1,Haver_M!$B$1:$BZ$1,0),FALSE),"")</f>
        <v>133.97</v>
      </c>
      <c r="X217">
        <f>IF(ISNUMBER(VLOOKUP($A217,Haver_M!$B$1:$BZ$300,MATCH(data!X$1,Haver_M!$B$1:$BZ$1,0),FALSE)),VLOOKUP($A217,Haver_M!$B$1:$BZ$300,MATCH(data!X$1,Haver_M!$B$1:$BZ$1,0),FALSE),"")</f>
        <v>123.93</v>
      </c>
      <c r="Y217">
        <f>IF(ISNUMBER(VLOOKUP($A217,Haver_M!$B$1:$BZ$300,MATCH(data!Y$1,Haver_M!$B$1:$BZ$1,0),FALSE)),VLOOKUP($A217,Haver_M!$B$1:$BZ$300,MATCH(data!Y$1,Haver_M!$B$1:$BZ$1,0),FALSE),"")</f>
        <v>142.03</v>
      </c>
      <c r="Z217">
        <f>IF(ISNUMBER(VLOOKUP($A217,Haver_M!$B$1:$BZ$300,MATCH(data!Z$1,Haver_M!$B$1:$BZ$1,0),FALSE)),VLOOKUP($A217,Haver_M!$B$1:$BZ$300,MATCH(data!Z$1,Haver_M!$B$1:$BZ$1,0),FALSE),"")</f>
        <v>126.3</v>
      </c>
      <c r="AA217">
        <f>IF(ISNUMBER(VLOOKUP($A217,Haver_M!$B$1:$BZ$300,MATCH(data!AA$1,Haver_M!$B$1:$BZ$1,0),FALSE)),VLOOKUP($A217,Haver_M!$B$1:$BZ$300,MATCH(data!AA$1,Haver_M!$B$1:$BZ$1,0),FALSE),"")</f>
        <v>126.699</v>
      </c>
      <c r="AB217">
        <f>IF(ISNUMBER(VLOOKUP($A217,Haver_M!$B$1:$BZ$300,MATCH(data!AB$1,Haver_M!$B$1:$BZ$1,0),FALSE)),VLOOKUP($A217,Haver_M!$B$1:$BZ$300,MATCH(data!AB$1,Haver_M!$B$1:$BZ$1,0),FALSE),"")</f>
        <v>92.909000000000006</v>
      </c>
      <c r="AC217">
        <f>IF(ISNUMBER(VLOOKUP($A217,Haver_M!$B$1:$BZ$300,MATCH(data!AC$1,Haver_M!$B$1:$BZ$1,0),FALSE)),VLOOKUP($A217,Haver_M!$B$1:$BZ$300,MATCH(data!AC$1,Haver_M!$B$1:$BZ$1,0),FALSE),"")</f>
        <v>67.088999999999999</v>
      </c>
      <c r="AD217">
        <f>IF(ISNUMBER(VLOOKUP($A217,Haver_M!$B$1:$BZ$300,MATCH(data!AD$1,Haver_M!$B$1:$BZ$1,0),FALSE)),VLOOKUP($A217,Haver_M!$B$1:$BZ$300,MATCH(data!AD$1,Haver_M!$B$1:$BZ$1,0),FALSE),"")</f>
        <v>128.59899999999999</v>
      </c>
      <c r="AE217">
        <f>IF(ISNUMBER(VLOOKUP($A217,Haver_M!$B$1:$BZ$300,MATCH(data!AE$1,Haver_M!$B$1:$BZ$1,0),FALSE)),VLOOKUP($A217,Haver_M!$B$1:$BZ$300,MATCH(data!AE$1,Haver_M!$B$1:$BZ$1,0),FALSE),"")</f>
        <v>106.495</v>
      </c>
      <c r="AF217">
        <f>IF(ISNUMBER(VLOOKUP($A217,Haver_M!$B$1:$BZ$300,MATCH(data!AF$1,Haver_M!$B$1:$BZ$1,0),FALSE)),VLOOKUP($A217,Haver_M!$B$1:$BZ$300,MATCH(data!AF$1,Haver_M!$B$1:$BZ$1,0),FALSE),"")</f>
        <v>136.48500000000001</v>
      </c>
      <c r="AG217">
        <f>IF(ISNUMBER(VLOOKUP($A217,Haver_M!$B$1:$BZ$300,MATCH(data!AG$1,Haver_M!$B$1:$BZ$1,0),FALSE)),VLOOKUP($A217,Haver_M!$B$1:$BZ$300,MATCH(data!AG$1,Haver_M!$B$1:$BZ$1,0),FALSE),"")</f>
        <v>135.04499999999999</v>
      </c>
      <c r="AH217">
        <f>IF(ISNUMBER(VLOOKUP($A217,Haver_M!$B$1:$BZ$300,MATCH(data!AH$1,Haver_M!$B$1:$BZ$1,0),FALSE)),VLOOKUP($A217,Haver_M!$B$1:$BZ$300,MATCH(data!AH$1,Haver_M!$B$1:$BZ$1,0),FALSE),"")</f>
        <v>150.94999999999999</v>
      </c>
      <c r="AI217">
        <f>IF(ISNUMBER(VLOOKUP($A217,Haver_M!$B$1:$BZ$300,MATCH(data!AI$1,Haver_M!$B$1:$BZ$1,0),FALSE)),VLOOKUP($A217,Haver_M!$B$1:$BZ$300,MATCH(data!AI$1,Haver_M!$B$1:$BZ$1,0),FALSE),"")</f>
        <v>17488.204166182586</v>
      </c>
      <c r="AJ217">
        <f>IF(ISNUMBER(VLOOKUP($A217,Haver_M!$B$1:$BZ$300,MATCH(data!AJ$1,Haver_M!$B$1:$BZ$1,0),FALSE)),VLOOKUP($A217,Haver_M!$B$1:$BZ$300,MATCH(data!AJ$1,Haver_M!$B$1:$BZ$1,0),FALSE),"")</f>
        <v>26848.78</v>
      </c>
      <c r="AK217">
        <f>IF(ISNUMBER(VLOOKUP($A217,Haver_M!$B$1:$BZ$300,MATCH(data!AK$1,Haver_M!$B$1:$BZ$1,0),FALSE)),VLOOKUP($A217,Haver_M!$B$1:$BZ$300,MATCH(data!AK$1,Haver_M!$B$1:$BZ$1,0),FALSE),"")</f>
        <v>41595.589999999997</v>
      </c>
      <c r="AL217">
        <f>IF(ISNUMBER(VLOOKUP($A217,Haver_M!$B$1:$BZ$300,MATCH(data!AL$1,Haver_M!$B$1:$BZ$1,0),FALSE)),VLOOKUP($A217,Haver_M!$B$1:$BZ$300,MATCH(data!AL$1,Haver_M!$B$1:$BZ$1,0),FALSE),"")</f>
        <v>16005</v>
      </c>
      <c r="AM217">
        <f>IF(ISNUMBER(VLOOKUP($A217,Haver_M!$B$1:$BZ$300,MATCH(data!AM$1,Haver_M!$B$1:$BZ$1,0),FALSE)),VLOOKUP($A217,Haver_M!$B$1:$BZ$300,MATCH(data!AM$1,Haver_M!$B$1:$BZ$1,0),FALSE),"")</f>
        <v>9859</v>
      </c>
      <c r="AN217">
        <f>IF(ISNUMBER(VLOOKUP($A217,Haver_M!$B$1:$BZ$300,MATCH(data!AN$1,Haver_M!$B$1:$BZ$1,0),FALSE)),VLOOKUP($A217,Haver_M!$B$1:$BZ$300,MATCH(data!AN$1,Haver_M!$B$1:$BZ$1,0),FALSE),"")</f>
        <v>96.9</v>
      </c>
      <c r="AO217">
        <f>IF(ISNUMBER(VLOOKUP($A217,Haver_M!$B$1:$BZ$300,MATCH(data!AO$1,Haver_M!$B$1:$BZ$1,0),FALSE)),VLOOKUP($A217,Haver_M!$B$1:$BZ$300,MATCH(data!AO$1,Haver_M!$B$1:$BZ$1,0),FALSE),"")</f>
        <v>122.6</v>
      </c>
      <c r="AP217">
        <f>IF(ISNUMBER(VLOOKUP($A217,Haver_M!$B$1:$BZ$300,MATCH(data!AP$1,Haver_M!$B$1:$BZ$1,0),FALSE)),VLOOKUP($A217,Haver_M!$B$1:$BZ$300,MATCH(data!AP$1,Haver_M!$B$1:$BZ$1,0),FALSE),"")</f>
        <v>61.152286707930124</v>
      </c>
      <c r="AQ217">
        <f>IF(ISNUMBER(VLOOKUP($A217,Haver_M!$B$1:$BZ$300,MATCH(data!AQ$1,Haver_M!$B$1:$BZ$1,0),FALSE)),VLOOKUP($A217,Haver_M!$B$1:$BZ$300,MATCH(data!AQ$1,Haver_M!$B$1:$BZ$1,0),FALSE),"")</f>
        <v>52.959899999999998</v>
      </c>
      <c r="AR217">
        <f>IF(ISNUMBER(VLOOKUP($A217,Haver_M!$B$1:$BZ$300,MATCH(data!AR$1,Haver_M!$B$1:$BZ$1,0),FALSE)),VLOOKUP($A217,Haver_M!$B$1:$BZ$300,MATCH(data!AR$1,Haver_M!$B$1:$BZ$1,0),FALSE),"")</f>
        <v>54.749000000000002</v>
      </c>
      <c r="AS217">
        <f>IF(ISNUMBER(VLOOKUP($A217,Haver_M!$B$1:$BZ$300,MATCH(data!AS$1,Haver_M!$B$1:$BZ$1,0),FALSE)),VLOOKUP($A217,Haver_M!$B$1:$BZ$300,MATCH(data!AS$1,Haver_M!$B$1:$BZ$1,0),FALSE),"")</f>
        <v>50.897300000000001</v>
      </c>
      <c r="AT217">
        <f>IF(ISNUMBER(VLOOKUP($A217,Haver_M!$B$1:$BZ$300,MATCH(data!AT$1,Haver_M!$B$1:$BZ$1,0),FALSE)),VLOOKUP($A217,Haver_M!$B$1:$BZ$300,MATCH(data!AT$1,Haver_M!$B$1:$BZ$1,0),FALSE),"")</f>
        <v>57.502600000000001</v>
      </c>
      <c r="AU217">
        <f>IF(ISNUMBER(VLOOKUP($A217,Haver_M!$B$1:$BZ$300,MATCH(data!AU$1,Haver_M!$B$1:$BZ$1,0),FALSE)),VLOOKUP($A217,Haver_M!$B$1:$BZ$300,MATCH(data!AU$1,Haver_M!$B$1:$BZ$1,0),FALSE),"")</f>
        <v>56.779299999999999</v>
      </c>
      <c r="AV217">
        <f>IF(ISNUMBER(VLOOKUP($A217,Haver_M!$B$1:$BZ$300,MATCH(data!AV$1,Haver_M!$B$1:$BZ$1,0),FALSE)),VLOOKUP($A217,Haver_M!$B$1:$BZ$300,MATCH(data!AV$1,Haver_M!$B$1:$BZ$1,0),FALSE),"")</f>
        <v>53.429099999999998</v>
      </c>
      <c r="AW217">
        <f>IF(ISNUMBER(VLOOKUP($A217,Haver_M!$B$1:$BZ$300,MATCH(data!AW$1,Haver_M!$B$1:$BZ$1,0),FALSE)),VLOOKUP($A217,Haver_M!$B$1:$BZ$300,MATCH(data!AW$1,Haver_M!$B$1:$BZ$1,0),FALSE),"")</f>
        <v>49.994199999999999</v>
      </c>
      <c r="AX217">
        <f>IF(ISNUMBER(VLOOKUP($A217,Haver_M!$B$1:$BZ$300,MATCH(data!AX$1,Haver_M!$B$1:$BZ$1,0),FALSE)),VLOOKUP($A217,Haver_M!$B$1:$BZ$300,MATCH(data!AX$1,Haver_M!$B$1:$BZ$1,0),FALSE),"")</f>
        <v>51.528700000000001</v>
      </c>
      <c r="AY217">
        <f>IF(ISNUMBER(VLOOKUP($A217,Haver_M!$B$1:$BZ$300,MATCH(data!AY$1,Haver_M!$B$1:$BZ$1,0),FALSE)),VLOOKUP($A217,Haver_M!$B$1:$BZ$300,MATCH(data!AY$1,Haver_M!$B$1:$BZ$1,0),FALSE),"")</f>
        <v>54.410699999999999</v>
      </c>
      <c r="AZ217">
        <f>IF(ISNUMBER(VLOOKUP($A217,Haver_M!$B$1:$BZ$300,MATCH(data!AZ$1,Haver_M!$B$1:$BZ$1,0),FALSE)),VLOOKUP($A217,Haver_M!$B$1:$BZ$300,MATCH(data!AZ$1,Haver_M!$B$1:$BZ$1,0),FALSE),"")</f>
        <v>54.793700000000001</v>
      </c>
      <c r="BA217">
        <f>IF(ISNUMBER(VLOOKUP($A217,Haver_M!$B$1:$BZ$300,MATCH(data!BA$1,Haver_M!$B$1:$BZ$1,0),FALSE)),VLOOKUP($A217,Haver_M!$B$1:$BZ$300,MATCH(data!BA$1,Haver_M!$B$1:$BZ$1,0),FALSE),"")</f>
        <v>51.528700000000001</v>
      </c>
      <c r="BB217">
        <f>IF(ISNUMBER(VLOOKUP($A217,Haver_M!$B$1:$BZ$300,MATCH(data!BB$1,Haver_M!$B$1:$BZ$1,0),FALSE)),VLOOKUP($A217,Haver_M!$B$1:$BZ$300,MATCH(data!BB$1,Haver_M!$B$1:$BZ$1,0),FALSE),"")</f>
        <v>52.252200000000002</v>
      </c>
      <c r="BC217">
        <f>IF(ISNUMBER(VLOOKUP($A217,Haver_M!$B$1:$BZ$300,MATCH(data!BC$1,Haver_M!$B$1:$BZ$1,0),FALSE)),VLOOKUP($A217,Haver_M!$B$1:$BZ$300,MATCH(data!BC$1,Haver_M!$B$1:$BZ$1,0),FALSE),"")</f>
        <v>51.532800000000002</v>
      </c>
      <c r="BD217">
        <f>IF(ISNUMBER(VLOOKUP($A217,Haver_M!$B$1:$BZ$300,MATCH(data!BD$1,Haver_M!$B$1:$BZ$1,0),FALSE)),VLOOKUP($A217,Haver_M!$B$1:$BZ$300,MATCH(data!BD$1,Haver_M!$B$1:$BZ$1,0),FALSE),"")</f>
        <v>52.284300000000002</v>
      </c>
      <c r="BE217">
        <f>IF(ISNUMBER(VLOOKUP($A217,Haver_M!$B$1:$BZ$300,MATCH(data!BE$1,Haver_M!$B$1:$BZ$1,0),FALSE)),VLOOKUP($A217,Haver_M!$B$1:$BZ$300,MATCH(data!BE$1,Haver_M!$B$1:$BZ$1,0),FALSE),"")</f>
        <v>1.2617</v>
      </c>
      <c r="BF217">
        <f>IF(ISNUMBER(VLOOKUP($A217,Haver_M!$B$1:$BZ$300,MATCH(data!BF$1,Haver_M!$B$1:$BZ$1,0),FALSE)),VLOOKUP($A217,Haver_M!$B$1:$BZ$300,MATCH(data!BF$1,Haver_M!$B$1:$BZ$1,0),FALSE),"")</f>
        <v>51.966500000000003</v>
      </c>
      <c r="BG217">
        <f>IF(ISNUMBER(VLOOKUP($A217,Haver_M!$B$1:$BZ$300,MATCH(data!BG$1,Haver_M!$B$1:$BZ$1,0),FALSE)),VLOOKUP($A217,Haver_M!$B$1:$BZ$300,MATCH(data!BG$1,Haver_M!$B$1:$BZ$1,0),FALSE),"")</f>
        <v>51.393500000000003</v>
      </c>
      <c r="BH217">
        <f>IF(ISNUMBER(VLOOKUP($A217,Haver_M!$B$1:$BZ$300,MATCH(data!BH$1,Haver_M!$B$1:$BZ$1,0),FALSE)),VLOOKUP($A217,Haver_M!$B$1:$BZ$300,MATCH(data!BH$1,Haver_M!$B$1:$BZ$1,0),FALSE),"")</f>
        <v>50.028100000000002</v>
      </c>
      <c r="BI217">
        <f>IF(ISNUMBER(VLOOKUP($A217,Haver_M!$B$1:$BZ$300,MATCH(data!BI$1,Haver_M!$B$1:$BZ$1,0),FALSE)),VLOOKUP($A217,Haver_M!$B$1:$BZ$300,MATCH(data!BI$1,Haver_M!$B$1:$BZ$1,0),FALSE),"")</f>
        <v>52.996600000000001</v>
      </c>
      <c r="BJ217">
        <f>IF(ISNUMBER(VLOOKUP($A217,Haver_M!$B$1:$BZ$300,MATCH(data!BJ$1,Haver_M!$B$1:$BZ$1,0),FALSE)),VLOOKUP($A217,Haver_M!$B$1:$BZ$300,MATCH(data!BJ$1,Haver_M!$B$1:$BZ$1,0),FALSE),"")</f>
        <v>51.815399999999997</v>
      </c>
      <c r="BK217">
        <f>IF(ISNUMBER(VLOOKUP($A217,Haver_M!$B$1:$BZ$300,MATCH(data!BK$1,Haver_M!$B$1:$BZ$1,0),FALSE)),VLOOKUP($A217,Haver_M!$B$1:$BZ$300,MATCH(data!BK$1,Haver_M!$B$1:$BZ$1,0),FALSE),"")</f>
        <v>51.679099999999998</v>
      </c>
      <c r="BL217">
        <f>IF(ISNUMBER(VLOOKUP($A217,Haver_M!$B$1:$BZ$300,MATCH(data!BL$1,Haver_M!$B$1:$BZ$1,0),FALSE)),VLOOKUP($A217,Haver_M!$B$1:$BZ$300,MATCH(data!BL$1,Haver_M!$B$1:$BZ$1,0),FALSE),"")</f>
        <v>33424.400000000001</v>
      </c>
      <c r="BM217">
        <f>IF(ISNUMBER(VLOOKUP($A217,Haver_M!$B$1:$BZ$300,MATCH(data!BM$1,Haver_M!$B$1:$BZ$1,0),FALSE)),VLOOKUP($A217,Haver_M!$B$1:$BZ$300,MATCH(data!BM$1,Haver_M!$B$1:$BZ$1,0),FALSE),"")</f>
        <v>101.80346437</v>
      </c>
      <c r="BN217">
        <f>IF(ISNUMBER(VLOOKUP($A217,Haver_M!$B$1:$BZ$300,MATCH(data!BN$1,Haver_M!$B$1:$BZ$1,0),FALSE)),VLOOKUP($A217,Haver_M!$B$1:$BZ$300,MATCH(data!BN$1,Haver_M!$B$1:$BZ$1,0),FALSE),"")</f>
        <v>109.8</v>
      </c>
      <c r="BO217">
        <f>IF(ISNUMBER(VLOOKUP($A217,Haver_M!$B$1:$BZ$300,MATCH(data!BO$1,Haver_M!$B$1:$BZ$1,0),FALSE)),VLOOKUP($A217,Haver_M!$B$1:$BZ$300,MATCH(data!BO$1,Haver_M!$B$1:$BZ$1,0),FALSE),"")</f>
        <v>115</v>
      </c>
      <c r="BP217">
        <f>IF(ISNUMBER(VLOOKUP($A217,Haver_M!$B$1:$BZ$300,MATCH(data!BP$1,Haver_M!$B$1:$BZ$1,0),FALSE)),VLOOKUP($A217,Haver_M!$B$1:$BZ$300,MATCH(data!BP$1,Haver_M!$B$1:$BZ$1,0),FALSE),"")</f>
        <v>36.9</v>
      </c>
      <c r="BQ217">
        <f>IF(ISNUMBER(VLOOKUP($A217,Haver_M!$B$1:$BZ$300,MATCH(data!BQ$1,Haver_M!$B$1:$BZ$1,0),FALSE)),VLOOKUP($A217,Haver_M!$B$1:$BZ$300,MATCH(data!BQ$1,Haver_M!$B$1:$BZ$1,0),FALSE),"")</f>
        <v>279.43520079449212</v>
      </c>
      <c r="BR217">
        <f>IF(ISNUMBER(VLOOKUP($A217,Haver_M!$B$1:$BZ$300,MATCH(data!BR$1,Haver_M!$B$1:$BZ$1,0),FALSE)),VLOOKUP($A217,Haver_M!$B$1:$BZ$300,MATCH(data!BR$1,Haver_M!$B$1:$BZ$1,0),FALSE),"")</f>
        <v>410.03264204426051</v>
      </c>
      <c r="BS217">
        <f>IF(ISNUMBER(VLOOKUP($A217,Haver_M!$B$1:$BZ$300,MATCH(data!BS$1,Haver_M!$B$1:$BZ$1,0),FALSE)),VLOOKUP($A217,Haver_M!$B$1:$BZ$300,MATCH(data!BS$1,Haver_M!$B$1:$BZ$1,0),FALSE),"")</f>
        <v>282.03924828345185</v>
      </c>
      <c r="BT217">
        <f>IF(ISNUMBER(VLOOKUP($A217,Haver_M!$B$1:$BZ$300,MATCH(data!BT$1,Haver_M!$B$1:$BZ$1,0),FALSE)),VLOOKUP($A217,Haver_M!$B$1:$BZ$300,MATCH(data!BT$1,Haver_M!$B$1:$BZ$1,0),FALSE),"")</f>
        <v>1126.8743491437883</v>
      </c>
      <c r="BU217">
        <f>IF(ISNUMBER(VLOOKUP($A217,Haver_M!$B$1:$BZ$300,MATCH(data!BU$1,Haver_M!$B$1:$BZ$1,0),FALSE)),VLOOKUP($A217,Haver_M!$B$1:$BZ$300,MATCH(data!BU$1,Haver_M!$B$1:$BZ$1,0),FALSE),"")</f>
        <v>27832.560000000001</v>
      </c>
      <c r="BV217">
        <f>IF(ISNUMBER(VLOOKUP($A217,Haver_M!$B$1:$BZ$300,MATCH(data!BV$1,Haver_M!$B$1:$BZ$1,0),FALSE)),VLOOKUP($A217,Haver_M!$B$1:$BZ$300,MATCH(data!BV$1,Haver_M!$B$1:$BZ$1,0),FALSE),"")</f>
        <v>42030.79</v>
      </c>
      <c r="BW217">
        <f>IF(ISNUMBER(VLOOKUP($A217,Haver_M!$B$1:$BZ$300,MATCH(data!BW$1,Haver_M!$B$1:$BZ$1,0),FALSE)),VLOOKUP($A217,Haver_M!$B$1:$BZ$300,MATCH(data!BW$1,Haver_M!$B$1:$BZ$1,0),FALSE),"")</f>
        <v>64.2423</v>
      </c>
      <c r="BX217">
        <f>IF(ISNUMBER(VLOOKUP($A217,Haver_M!$B$1:$BZ$300,MATCH(data!BX$1,Haver_M!$B$1:$BZ$1,0),FALSE)),VLOOKUP($A217,Haver_M!$B$1:$BZ$300,MATCH(data!BX$1,Haver_M!$B$1:$BZ$1,0),FALSE),"")</f>
        <v>61372</v>
      </c>
    </row>
    <row r="218" spans="1:76" x14ac:dyDescent="0.25">
      <c r="A218" s="2">
        <v>43131</v>
      </c>
      <c r="B218" t="str">
        <f>IF(ISNUMBER(VLOOKUP($A218,Haver_Q!$B$1:$L$185,MATCH(data!B$1,Haver_Q!$B$1:$L$1,0),FALSE)),100*(VLOOKUP($A218,Haver_Q!$B$1:$L$185,MATCH(data!B$1,Haver_Q!$B$1:$L$1,0),FALSE)),"")</f>
        <v/>
      </c>
      <c r="C218" t="str">
        <f>IF(ISNUMBER(VLOOKUP($A218,Haver_Q!$B$1:$L$185,MATCH(data!C$1,Haver_Q!$B$1:$L$1,0),FALSE)),100*(VLOOKUP($A218,Haver_Q!$B$1:$L$185,MATCH(data!C$1,Haver_Q!$B$1:$L$1,0),FALSE)),"")</f>
        <v/>
      </c>
      <c r="D218" t="str">
        <f>IF(ISNUMBER(VLOOKUP($A218,Haver_Q!$B$1:$L$185,MATCH(data!D$1,Haver_Q!$B$1:$L$1,0),FALSE)),100*(VLOOKUP($A218,Haver_Q!$B$1:$L$185,MATCH(data!D$1,Haver_Q!$B$1:$L$1,0),FALSE)),"")</f>
        <v/>
      </c>
      <c r="E218" t="str">
        <f>IF(ISNUMBER(VLOOKUP($A218,Haver_Q!$B$1:$L$185,MATCH(data!E$1,Haver_Q!$B$1:$L$1,0),FALSE)),100*(VLOOKUP($A218,Haver_Q!$B$1:$L$185,MATCH(data!E$1,Haver_Q!$B$1:$L$1,0),FALSE)),"")</f>
        <v/>
      </c>
      <c r="F218" t="str">
        <f>IF(ISNUMBER(VLOOKUP($A218,Haver_Q!$B$1:$L$185,MATCH(data!F$1,Haver_Q!$B$1:$L$1,0),FALSE)),100*(VLOOKUP($A218,Haver_Q!$B$1:$L$185,MATCH(data!F$1,Haver_Q!$B$1:$L$1,0),FALSE)),"")</f>
        <v/>
      </c>
      <c r="G218" t="str">
        <f>IF(ISNUMBER(VLOOKUP($A218,Haver_Q!$B$1:$L$185,MATCH(data!G$1,Haver_Q!$B$1:$L$1,0),FALSE)),100*(VLOOKUP($A218,Haver_Q!$B$1:$L$185,MATCH(data!G$1,Haver_Q!$B$1:$L$1,0),FALSE)),"")</f>
        <v/>
      </c>
      <c r="H218" t="str">
        <f>IF(ISNUMBER(VLOOKUP($A218,Haver_Q!$B$1:$L$185,MATCH(data!H$1,Haver_Q!$B$1:$L$1,0),FALSE)),(VLOOKUP($A218,Haver_Q!$B$1:$L$185,MATCH(data!H$1,Haver_Q!$B$1:$L$1,0),FALSE)),"")</f>
        <v/>
      </c>
      <c r="I218" t="str">
        <f>IF(ISNUMBER(VLOOKUP($A218,Haver_Q!$B$1:$L$185,MATCH(data!I$1,Haver_Q!$B$1:$L$1,0),FALSE)),100*(VLOOKUP($A218,Haver_Q!$B$1:$L$185,MATCH(data!I$1,Haver_Q!$B$1:$L$1,0),FALSE)),"")</f>
        <v/>
      </c>
      <c r="J218" s="3">
        <f>IF(ISNUMBER(Bloomberg_m!C234),Bloomberg_m!C234,"")</f>
        <v>1242</v>
      </c>
      <c r="K218" s="3">
        <f>IF(ISNUMBER(Bloomberg_m!D234),Bloomberg_m!D234,"")</f>
        <v>1431.07</v>
      </c>
      <c r="L218" s="3">
        <f>IF(ISNUMBER(Bloomberg_m!E234),Bloomberg_m!E234,"")</f>
        <v>838.82</v>
      </c>
      <c r="M218" s="3">
        <f>IF(ISNUMBER(Bloomberg_m!F234),Bloomberg_m!F234,"")</f>
        <v>457.96</v>
      </c>
      <c r="N218">
        <f>IF(ISNUMBER(VLOOKUP($A218,Haver_M!$B$1:$BZ$300,MATCH(data!N$1,Haver_M!$B$1:$BZ$1,0),FALSE)),VLOOKUP($A218,Haver_M!$B$1:$BZ$300,MATCH(data!N$1,Haver_M!$B$1:$BZ$1,0),FALSE),"")</f>
        <v>6</v>
      </c>
      <c r="O218">
        <f>IF(ISNUMBER(VLOOKUP($A218,Haver_M!$B$1:$BZ$300,MATCH(data!O$1,Haver_M!$B$1:$BZ$1,0),FALSE)),VLOOKUP($A218,Haver_M!$B$1:$BZ$300,MATCH(data!O$1,Haver_M!$B$1:$BZ$1,0),FALSE),"")</f>
        <v>7.3681999999999999</v>
      </c>
      <c r="P218">
        <f>IF(ISNUMBER(VLOOKUP($A218,Haver_M!$B$1:$BZ$300,MATCH(data!P$1,Haver_M!$B$1:$BZ$1,0),FALSE)),VLOOKUP($A218,Haver_M!$B$1:$BZ$300,MATCH(data!P$1,Haver_M!$B$1:$BZ$1,0),FALSE),"")</f>
        <v>91.915430000000001</v>
      </c>
      <c r="Q218">
        <f>IF(ISNUMBER(VLOOKUP($A218,Haver_M!$B$1:$BZ$300,MATCH(data!Q$1,Haver_M!$B$1:$BZ$1,0),FALSE)),VLOOKUP($A218,Haver_M!$B$1:$BZ$300,MATCH(data!Q$1,Haver_M!$B$1:$BZ$1,0),FALSE),"")</f>
        <v>136.9</v>
      </c>
      <c r="R218">
        <f>IF(ISNUMBER(VLOOKUP($A218,Haver_M!$B$1:$BZ$300,MATCH(data!R$1,Haver_M!$B$1:$BZ$1,0),FALSE)),VLOOKUP($A218,Haver_M!$B$1:$BZ$300,MATCH(data!R$1,Haver_M!$B$1:$BZ$1,0),FALSE),"")</f>
        <v>136.30000000000001</v>
      </c>
      <c r="S218">
        <f>IF(ISNUMBER(VLOOKUP($A218,Haver_M!$B$1:$BZ$300,MATCH(data!S$1,Haver_M!$B$1:$BZ$1,0),FALSE)),VLOOKUP($A218,Haver_M!$B$1:$BZ$300,MATCH(data!S$1,Haver_M!$B$1:$BZ$1,0),FALSE),"")</f>
        <v>128.44</v>
      </c>
      <c r="T218">
        <f>IF(ISNUMBER(VLOOKUP($A218,Haver_M!$B$1:$BZ$300,MATCH(data!T$1,Haver_M!$B$1:$BZ$1,0),FALSE)),VLOOKUP($A218,Haver_M!$B$1:$BZ$300,MATCH(data!T$1,Haver_M!$B$1:$BZ$1,0),FALSE),"")</f>
        <v>124.65</v>
      </c>
      <c r="U218">
        <f>IF(ISNUMBER(VLOOKUP($A218,Haver_M!$B$1:$BZ$300,MATCH(data!U$1,Haver_M!$B$1:$BZ$1,0),FALSE)),VLOOKUP($A218,Haver_M!$B$1:$BZ$300,MATCH(data!U$1,Haver_M!$B$1:$BZ$1,0),FALSE),"")</f>
        <v>111.32</v>
      </c>
      <c r="V218">
        <f>IF(ISNUMBER(VLOOKUP($A218,Haver_M!$B$1:$BZ$300,MATCH(data!V$1,Haver_M!$B$1:$BZ$1,0),FALSE)),VLOOKUP($A218,Haver_M!$B$1:$BZ$300,MATCH(data!V$1,Haver_M!$B$1:$BZ$1,0),FALSE),"")</f>
        <v>128.41</v>
      </c>
      <c r="W218">
        <f>IF(ISNUMBER(VLOOKUP($A218,Haver_M!$B$1:$BZ$300,MATCH(data!W$1,Haver_M!$B$1:$BZ$1,0),FALSE)),VLOOKUP($A218,Haver_M!$B$1:$BZ$300,MATCH(data!W$1,Haver_M!$B$1:$BZ$1,0),FALSE),"")</f>
        <v>134.09</v>
      </c>
      <c r="X218">
        <f>IF(ISNUMBER(VLOOKUP($A218,Haver_M!$B$1:$BZ$300,MATCH(data!X$1,Haver_M!$B$1:$BZ$1,0),FALSE)),VLOOKUP($A218,Haver_M!$B$1:$BZ$300,MATCH(data!X$1,Haver_M!$B$1:$BZ$1,0),FALSE),"")</f>
        <v>128.25</v>
      </c>
      <c r="Y218">
        <f>IF(ISNUMBER(VLOOKUP($A218,Haver_M!$B$1:$BZ$300,MATCH(data!Y$1,Haver_M!$B$1:$BZ$1,0),FALSE)),VLOOKUP($A218,Haver_M!$B$1:$BZ$300,MATCH(data!Y$1,Haver_M!$B$1:$BZ$1,0),FALSE),"")</f>
        <v>142.52000000000001</v>
      </c>
      <c r="Z218">
        <f>IF(ISNUMBER(VLOOKUP($A218,Haver_M!$B$1:$BZ$300,MATCH(data!Z$1,Haver_M!$B$1:$BZ$1,0),FALSE)),VLOOKUP($A218,Haver_M!$B$1:$BZ$300,MATCH(data!Z$1,Haver_M!$B$1:$BZ$1,0),FALSE),"")</f>
        <v>128.19999999999999</v>
      </c>
      <c r="AA218">
        <f>IF(ISNUMBER(VLOOKUP($A218,Haver_M!$B$1:$BZ$300,MATCH(data!AA$1,Haver_M!$B$1:$BZ$1,0),FALSE)),VLOOKUP($A218,Haver_M!$B$1:$BZ$300,MATCH(data!AA$1,Haver_M!$B$1:$BZ$1,0),FALSE),"")</f>
        <v>128.53299999999999</v>
      </c>
      <c r="AB218">
        <f>IF(ISNUMBER(VLOOKUP($A218,Haver_M!$B$1:$BZ$300,MATCH(data!AB$1,Haver_M!$B$1:$BZ$1,0),FALSE)),VLOOKUP($A218,Haver_M!$B$1:$BZ$300,MATCH(data!AB$1,Haver_M!$B$1:$BZ$1,0),FALSE),"")</f>
        <v>92.879000000000005</v>
      </c>
      <c r="AC218">
        <f>IF(ISNUMBER(VLOOKUP($A218,Haver_M!$B$1:$BZ$300,MATCH(data!AC$1,Haver_M!$B$1:$BZ$1,0),FALSE)),VLOOKUP($A218,Haver_M!$B$1:$BZ$300,MATCH(data!AC$1,Haver_M!$B$1:$BZ$1,0),FALSE),"")</f>
        <v>66.873000000000005</v>
      </c>
      <c r="AD218">
        <f>IF(ISNUMBER(VLOOKUP($A218,Haver_M!$B$1:$BZ$300,MATCH(data!AD$1,Haver_M!$B$1:$BZ$1,0),FALSE)),VLOOKUP($A218,Haver_M!$B$1:$BZ$300,MATCH(data!AD$1,Haver_M!$B$1:$BZ$1,0),FALSE),"")</f>
        <v>131.48500000000001</v>
      </c>
      <c r="AE218">
        <f>IF(ISNUMBER(VLOOKUP($A218,Haver_M!$B$1:$BZ$300,MATCH(data!AE$1,Haver_M!$B$1:$BZ$1,0),FALSE)),VLOOKUP($A218,Haver_M!$B$1:$BZ$300,MATCH(data!AE$1,Haver_M!$B$1:$BZ$1,0),FALSE),"")</f>
        <v>103.70099999999999</v>
      </c>
      <c r="AF218">
        <f>IF(ISNUMBER(VLOOKUP($A218,Haver_M!$B$1:$BZ$300,MATCH(data!AF$1,Haver_M!$B$1:$BZ$1,0),FALSE)),VLOOKUP($A218,Haver_M!$B$1:$BZ$300,MATCH(data!AF$1,Haver_M!$B$1:$BZ$1,0),FALSE),"")</f>
        <v>139.346</v>
      </c>
      <c r="AG218">
        <f>IF(ISNUMBER(VLOOKUP($A218,Haver_M!$B$1:$BZ$300,MATCH(data!AG$1,Haver_M!$B$1:$BZ$1,0),FALSE)),VLOOKUP($A218,Haver_M!$B$1:$BZ$300,MATCH(data!AG$1,Haver_M!$B$1:$BZ$1,0),FALSE),"")</f>
        <v>135.351</v>
      </c>
      <c r="AH218">
        <f>IF(ISNUMBER(VLOOKUP($A218,Haver_M!$B$1:$BZ$300,MATCH(data!AH$1,Haver_M!$B$1:$BZ$1,0),FALSE)),VLOOKUP($A218,Haver_M!$B$1:$BZ$300,MATCH(data!AH$1,Haver_M!$B$1:$BZ$1,0),FALSE),"")</f>
        <v>153.19300000000001</v>
      </c>
      <c r="AI218">
        <f>IF(ISNUMBER(VLOOKUP($A218,Haver_M!$B$1:$BZ$300,MATCH(data!AI$1,Haver_M!$B$1:$BZ$1,0),FALSE)),VLOOKUP($A218,Haver_M!$B$1:$BZ$300,MATCH(data!AI$1,Haver_M!$B$1:$BZ$1,0),FALSE),"")</f>
        <v>17183.638004596014</v>
      </c>
      <c r="AJ218">
        <f>IF(ISNUMBER(VLOOKUP($A218,Haver_M!$B$1:$BZ$300,MATCH(data!AJ$1,Haver_M!$B$1:$BZ$1,0),FALSE)),VLOOKUP($A218,Haver_M!$B$1:$BZ$300,MATCH(data!AJ$1,Haver_M!$B$1:$BZ$1,0),FALSE),"")</f>
        <v>26147.47</v>
      </c>
      <c r="AK218">
        <f>IF(ISNUMBER(VLOOKUP($A218,Haver_M!$B$1:$BZ$300,MATCH(data!AK$1,Haver_M!$B$1:$BZ$1,0),FALSE)),VLOOKUP($A218,Haver_M!$B$1:$BZ$300,MATCH(data!AK$1,Haver_M!$B$1:$BZ$1,0),FALSE),"")</f>
        <v>41905.67</v>
      </c>
      <c r="AL218">
        <f>IF(ISNUMBER(VLOOKUP($A218,Haver_M!$B$1:$BZ$300,MATCH(data!AL$1,Haver_M!$B$1:$BZ$1,0),FALSE)),VLOOKUP($A218,Haver_M!$B$1:$BZ$300,MATCH(data!AL$1,Haver_M!$B$1:$BZ$1,0),FALSE),"")</f>
        <v>16337</v>
      </c>
      <c r="AM218">
        <f>IF(ISNUMBER(VLOOKUP($A218,Haver_M!$B$1:$BZ$300,MATCH(data!AM$1,Haver_M!$B$1:$BZ$1,0),FALSE)),VLOOKUP($A218,Haver_M!$B$1:$BZ$300,MATCH(data!AM$1,Haver_M!$B$1:$BZ$1,0),FALSE),"")</f>
        <v>9847</v>
      </c>
      <c r="AN218" t="str">
        <f>IF(ISNUMBER(VLOOKUP($A218,Haver_M!$B$1:$BZ$300,MATCH(data!AN$1,Haver_M!$B$1:$BZ$1,0),FALSE)),VLOOKUP($A218,Haver_M!$B$1:$BZ$300,MATCH(data!AN$1,Haver_M!$B$1:$BZ$1,0),FALSE),"")</f>
        <v/>
      </c>
      <c r="AO218" t="str">
        <f>IF(ISNUMBER(VLOOKUP($A218,Haver_M!$B$1:$BZ$300,MATCH(data!AO$1,Haver_M!$B$1:$BZ$1,0),FALSE)),VLOOKUP($A218,Haver_M!$B$1:$BZ$300,MATCH(data!AO$1,Haver_M!$B$1:$BZ$1,0),FALSE),"")</f>
        <v/>
      </c>
      <c r="AP218">
        <f>IF(ISNUMBER(VLOOKUP($A218,Haver_M!$B$1:$BZ$300,MATCH(data!AP$1,Haver_M!$B$1:$BZ$1,0),FALSE)),VLOOKUP($A218,Haver_M!$B$1:$BZ$300,MATCH(data!AP$1,Haver_M!$B$1:$BZ$1,0),FALSE),"")</f>
        <v>41.605324731176623</v>
      </c>
      <c r="AQ218">
        <f>IF(ISNUMBER(VLOOKUP($A218,Haver_M!$B$1:$BZ$300,MATCH(data!AQ$1,Haver_M!$B$1:$BZ$1,0),FALSE)),VLOOKUP($A218,Haver_M!$B$1:$BZ$300,MATCH(data!AQ$1,Haver_M!$B$1:$BZ$1,0),FALSE),"")</f>
        <v>52.485300000000002</v>
      </c>
      <c r="AR218">
        <f>IF(ISNUMBER(VLOOKUP($A218,Haver_M!$B$1:$BZ$300,MATCH(data!AR$1,Haver_M!$B$1:$BZ$1,0),FALSE)),VLOOKUP($A218,Haver_M!$B$1:$BZ$300,MATCH(data!AR$1,Haver_M!$B$1:$BZ$1,0),FALSE),"")</f>
        <v>52.396299999999997</v>
      </c>
      <c r="AS218">
        <f>IF(ISNUMBER(VLOOKUP($A218,Haver_M!$B$1:$BZ$300,MATCH(data!AS$1,Haver_M!$B$1:$BZ$1,0),FALSE)),VLOOKUP($A218,Haver_M!$B$1:$BZ$300,MATCH(data!AS$1,Haver_M!$B$1:$BZ$1,0),FALSE),"")</f>
        <v>51.743000000000002</v>
      </c>
      <c r="AT218">
        <f>IF(ISNUMBER(VLOOKUP($A218,Haver_M!$B$1:$BZ$300,MATCH(data!AT$1,Haver_M!$B$1:$BZ$1,0),FALSE)),VLOOKUP($A218,Haver_M!$B$1:$BZ$300,MATCH(data!AT$1,Haver_M!$B$1:$BZ$1,0),FALSE),"")</f>
        <v>54.124099999999999</v>
      </c>
      <c r="AU218">
        <f>IF(ISNUMBER(VLOOKUP($A218,Haver_M!$B$1:$BZ$300,MATCH(data!AU$1,Haver_M!$B$1:$BZ$1,0),FALSE)),VLOOKUP($A218,Haver_M!$B$1:$BZ$300,MATCH(data!AU$1,Haver_M!$B$1:$BZ$1,0),FALSE),"")</f>
        <v>53.048999999999999</v>
      </c>
      <c r="AV218">
        <f>IF(ISNUMBER(VLOOKUP($A218,Haver_M!$B$1:$BZ$300,MATCH(data!AV$1,Haver_M!$B$1:$BZ$1,0),FALSE)),VLOOKUP($A218,Haver_M!$B$1:$BZ$300,MATCH(data!AV$1,Haver_M!$B$1:$BZ$1,0),FALSE),"")</f>
        <v>51.554299999999998</v>
      </c>
      <c r="AW218">
        <f>IF(ISNUMBER(VLOOKUP($A218,Haver_M!$B$1:$BZ$300,MATCH(data!AW$1,Haver_M!$B$1:$BZ$1,0),FALSE)),VLOOKUP($A218,Haver_M!$B$1:$BZ$300,MATCH(data!AW$1,Haver_M!$B$1:$BZ$1,0),FALSE),"")</f>
        <v>49.601300000000002</v>
      </c>
      <c r="AX218">
        <f>IF(ISNUMBER(VLOOKUP($A218,Haver_M!$B$1:$BZ$300,MATCH(data!AX$1,Haver_M!$B$1:$BZ$1,0),FALSE)),VLOOKUP($A218,Haver_M!$B$1:$BZ$300,MATCH(data!AX$1,Haver_M!$B$1:$BZ$1,0),FALSE),"")</f>
        <v>50.798699999999997</v>
      </c>
      <c r="AY218">
        <f>IF(ISNUMBER(VLOOKUP($A218,Haver_M!$B$1:$BZ$300,MATCH(data!AY$1,Haver_M!$B$1:$BZ$1,0),FALSE)),VLOOKUP($A218,Haver_M!$B$1:$BZ$300,MATCH(data!AY$1,Haver_M!$B$1:$BZ$1,0),FALSE),"")</f>
        <v>54.277799999999999</v>
      </c>
      <c r="AZ218">
        <f>IF(ISNUMBER(VLOOKUP($A218,Haver_M!$B$1:$BZ$300,MATCH(data!AZ$1,Haver_M!$B$1:$BZ$1,0),FALSE)),VLOOKUP($A218,Haver_M!$B$1:$BZ$300,MATCH(data!AZ$1,Haver_M!$B$1:$BZ$1,0),FALSE),"")</f>
        <v>52.8673</v>
      </c>
      <c r="BA218">
        <f>IF(ISNUMBER(VLOOKUP($A218,Haver_M!$B$1:$BZ$300,MATCH(data!BA$1,Haver_M!$B$1:$BZ$1,0),FALSE)),VLOOKUP($A218,Haver_M!$B$1:$BZ$300,MATCH(data!BA$1,Haver_M!$B$1:$BZ$1,0),FALSE),"")</f>
        <v>50.798699999999997</v>
      </c>
      <c r="BB218">
        <f>IF(ISNUMBER(VLOOKUP($A218,Haver_M!$B$1:$BZ$300,MATCH(data!BB$1,Haver_M!$B$1:$BZ$1,0),FALSE)),VLOOKUP($A218,Haver_M!$B$1:$BZ$300,MATCH(data!BB$1,Haver_M!$B$1:$BZ$1,0),FALSE),"")</f>
        <v>54.343000000000004</v>
      </c>
      <c r="BC218">
        <f>IF(ISNUMBER(VLOOKUP($A218,Haver_M!$B$1:$BZ$300,MATCH(data!BC$1,Haver_M!$B$1:$BZ$1,0),FALSE)),VLOOKUP($A218,Haver_M!$B$1:$BZ$300,MATCH(data!BC$1,Haver_M!$B$1:$BZ$1,0),FALSE),"")</f>
        <v>50.758699999999997</v>
      </c>
      <c r="BD218">
        <f>IF(ISNUMBER(VLOOKUP($A218,Haver_M!$B$1:$BZ$300,MATCH(data!BD$1,Haver_M!$B$1:$BZ$1,0),FALSE)),VLOOKUP($A218,Haver_M!$B$1:$BZ$300,MATCH(data!BD$1,Haver_M!$B$1:$BZ$1,0),FALSE),"")</f>
        <v>51.299199999999999</v>
      </c>
      <c r="BE218">
        <f>IF(ISNUMBER(VLOOKUP($A218,Haver_M!$B$1:$BZ$300,MATCH(data!BE$1,Haver_M!$B$1:$BZ$1,0),FALSE)),VLOOKUP($A218,Haver_M!$B$1:$BZ$300,MATCH(data!BE$1,Haver_M!$B$1:$BZ$1,0),FALSE),"")</f>
        <v>1.1309</v>
      </c>
      <c r="BF218">
        <f>IF(ISNUMBER(VLOOKUP($A218,Haver_M!$B$1:$BZ$300,MATCH(data!BF$1,Haver_M!$B$1:$BZ$1,0),FALSE)),VLOOKUP($A218,Haver_M!$B$1:$BZ$300,MATCH(data!BF$1,Haver_M!$B$1:$BZ$1,0),FALSE),"")</f>
        <v>52.154299999999999</v>
      </c>
      <c r="BG218">
        <f>IF(ISNUMBER(VLOOKUP($A218,Haver_M!$B$1:$BZ$300,MATCH(data!BG$1,Haver_M!$B$1:$BZ$1,0),FALSE)),VLOOKUP($A218,Haver_M!$B$1:$BZ$300,MATCH(data!BG$1,Haver_M!$B$1:$BZ$1,0),FALSE),"")</f>
        <v>52.159100000000002</v>
      </c>
      <c r="BH218">
        <f>IF(ISNUMBER(VLOOKUP($A218,Haver_M!$B$1:$BZ$300,MATCH(data!BH$1,Haver_M!$B$1:$BZ$1,0),FALSE)),VLOOKUP($A218,Haver_M!$B$1:$BZ$300,MATCH(data!BH$1,Haver_M!$B$1:$BZ$1,0),FALSE),"")</f>
        <v>51.718299999999999</v>
      </c>
      <c r="BI218">
        <f>IF(ISNUMBER(VLOOKUP($A218,Haver_M!$B$1:$BZ$300,MATCH(data!BI$1,Haver_M!$B$1:$BZ$1,0),FALSE)),VLOOKUP($A218,Haver_M!$B$1:$BZ$300,MATCH(data!BI$1,Haver_M!$B$1:$BZ$1,0),FALSE),"")</f>
        <v>53.094700000000003</v>
      </c>
      <c r="BJ218">
        <f>IF(ISNUMBER(VLOOKUP($A218,Haver_M!$B$1:$BZ$300,MATCH(data!BJ$1,Haver_M!$B$1:$BZ$1,0),FALSE)),VLOOKUP($A218,Haver_M!$B$1:$BZ$300,MATCH(data!BJ$1,Haver_M!$B$1:$BZ$1,0),FALSE),"")</f>
        <v>50.633200000000002</v>
      </c>
      <c r="BK218">
        <f>IF(ISNUMBER(VLOOKUP($A218,Haver_M!$B$1:$BZ$300,MATCH(data!BK$1,Haver_M!$B$1:$BZ$1,0),FALSE)),VLOOKUP($A218,Haver_M!$B$1:$BZ$300,MATCH(data!BK$1,Haver_M!$B$1:$BZ$1,0),FALSE),"")</f>
        <v>51.859299999999998</v>
      </c>
      <c r="BL218">
        <f>IF(ISNUMBER(VLOOKUP($A218,Haver_M!$B$1:$BZ$300,MATCH(data!BL$1,Haver_M!$B$1:$BZ$1,0),FALSE)),VLOOKUP($A218,Haver_M!$B$1:$BZ$300,MATCH(data!BL$1,Haver_M!$B$1:$BZ$1,0),FALSE),"")</f>
        <v>34989.42</v>
      </c>
      <c r="BM218">
        <f>IF(ISNUMBER(VLOOKUP($A218,Haver_M!$B$1:$BZ$300,MATCH(data!BM$1,Haver_M!$B$1:$BZ$1,0),FALSE)),VLOOKUP($A218,Haver_M!$B$1:$BZ$300,MATCH(data!BM$1,Haver_M!$B$1:$BZ$1,0),FALSE),"")</f>
        <v>102.09204979</v>
      </c>
      <c r="BN218" t="str">
        <f>IF(ISNUMBER(VLOOKUP($A218,Haver_M!$B$1:$BZ$300,MATCH(data!BN$1,Haver_M!$B$1:$BZ$1,0),FALSE)),VLOOKUP($A218,Haver_M!$B$1:$BZ$300,MATCH(data!BN$1,Haver_M!$B$1:$BZ$1,0),FALSE),"")</f>
        <v/>
      </c>
      <c r="BO218" t="str">
        <f>IF(ISNUMBER(VLOOKUP($A218,Haver_M!$B$1:$BZ$300,MATCH(data!BO$1,Haver_M!$B$1:$BZ$1,0),FALSE)),VLOOKUP($A218,Haver_M!$B$1:$BZ$300,MATCH(data!BO$1,Haver_M!$B$1:$BZ$1,0),FALSE),"")</f>
        <v/>
      </c>
      <c r="BP218" t="str">
        <f>IF(ISNUMBER(VLOOKUP($A218,Haver_M!$B$1:$BZ$300,MATCH(data!BP$1,Haver_M!$B$1:$BZ$1,0),FALSE)),VLOOKUP($A218,Haver_M!$B$1:$BZ$300,MATCH(data!BP$1,Haver_M!$B$1:$BZ$1,0),FALSE),"")</f>
        <v/>
      </c>
      <c r="BQ218">
        <f>IF(ISNUMBER(VLOOKUP($A218,Haver_M!$B$1:$BZ$300,MATCH(data!BQ$1,Haver_M!$B$1:$BZ$1,0),FALSE)),VLOOKUP($A218,Haver_M!$B$1:$BZ$300,MATCH(data!BQ$1,Haver_M!$B$1:$BZ$1,0),FALSE),"")</f>
        <v>287.34727807294195</v>
      </c>
      <c r="BR218">
        <f>IF(ISNUMBER(VLOOKUP($A218,Haver_M!$B$1:$BZ$300,MATCH(data!BR$1,Haver_M!$B$1:$BZ$1,0),FALSE)),VLOOKUP($A218,Haver_M!$B$1:$BZ$300,MATCH(data!BR$1,Haver_M!$B$1:$BZ$1,0),FALSE),"")</f>
        <v>410.94695058998792</v>
      </c>
      <c r="BS218">
        <f>IF(ISNUMBER(VLOOKUP($A218,Haver_M!$B$1:$BZ$300,MATCH(data!BS$1,Haver_M!$B$1:$BZ$1,0),FALSE)),VLOOKUP($A218,Haver_M!$B$1:$BZ$300,MATCH(data!BS$1,Haver_M!$B$1:$BZ$1,0),FALSE),"")</f>
        <v>283.33089763957702</v>
      </c>
      <c r="BT218">
        <f>IF(ISNUMBER(VLOOKUP($A218,Haver_M!$B$1:$BZ$300,MATCH(data!BT$1,Haver_M!$B$1:$BZ$1,0),FALSE)),VLOOKUP($A218,Haver_M!$B$1:$BZ$300,MATCH(data!BT$1,Haver_M!$B$1:$BZ$1,0),FALSE),"")</f>
        <v>1139.8377356533711</v>
      </c>
      <c r="BU218">
        <f>IF(ISNUMBER(VLOOKUP($A218,Haver_M!$B$1:$BZ$300,MATCH(data!BU$1,Haver_M!$B$1:$BZ$1,0),FALSE)),VLOOKUP($A218,Haver_M!$B$1:$BZ$300,MATCH(data!BU$1,Haver_M!$B$1:$BZ$1,0),FALSE),"")</f>
        <v>25407.74</v>
      </c>
      <c r="BV218">
        <f>IF(ISNUMBER(VLOOKUP($A218,Haver_M!$B$1:$BZ$300,MATCH(data!BV$1,Haver_M!$B$1:$BZ$1,0),FALSE)),VLOOKUP($A218,Haver_M!$B$1:$BZ$300,MATCH(data!BV$1,Haver_M!$B$1:$BZ$1,0),FALSE),"")</f>
        <v>40701.21</v>
      </c>
      <c r="BW218">
        <f>IF(ISNUMBER(VLOOKUP($A218,Haver_M!$B$1:$BZ$300,MATCH(data!BW$1,Haver_M!$B$1:$BZ$1,0),FALSE)),VLOOKUP($A218,Haver_M!$B$1:$BZ$300,MATCH(data!BW$1,Haver_M!$B$1:$BZ$1,0),FALSE),"")</f>
        <v>63.636899999999997</v>
      </c>
      <c r="BX218">
        <f>IF(ISNUMBER(VLOOKUP($A218,Haver_M!$B$1:$BZ$300,MATCH(data!BX$1,Haver_M!$B$1:$BZ$1,0),FALSE)),VLOOKUP($A218,Haver_M!$B$1:$BZ$300,MATCH(data!BX$1,Haver_M!$B$1:$BZ$1,0),FALSE),"")</f>
        <v>58616</v>
      </c>
    </row>
    <row r="219" spans="1:76" x14ac:dyDescent="0.25">
      <c r="A219" s="2">
        <v>43159</v>
      </c>
      <c r="B219" t="str">
        <f>IF(ISNUMBER(VLOOKUP($A219,Haver_Q!$B$1:$L$185,MATCH(data!B$1,Haver_Q!$B$1:$L$1,0),FALSE)),100*(VLOOKUP($A219,Haver_Q!$B$1:$L$185,MATCH(data!B$1,Haver_Q!$B$1:$L$1,0),FALSE)),"")</f>
        <v/>
      </c>
      <c r="C219" t="str">
        <f>IF(ISNUMBER(VLOOKUP($A219,Haver_Q!$B$1:$L$185,MATCH(data!C$1,Haver_Q!$B$1:$L$1,0),FALSE)),100*(VLOOKUP($A219,Haver_Q!$B$1:$L$185,MATCH(data!C$1,Haver_Q!$B$1:$L$1,0),FALSE)),"")</f>
        <v/>
      </c>
      <c r="D219" t="str">
        <f>IF(ISNUMBER(VLOOKUP($A219,Haver_Q!$B$1:$L$185,MATCH(data!D$1,Haver_Q!$B$1:$L$1,0),FALSE)),100*(VLOOKUP($A219,Haver_Q!$B$1:$L$185,MATCH(data!D$1,Haver_Q!$B$1:$L$1,0),FALSE)),"")</f>
        <v/>
      </c>
      <c r="E219" t="str">
        <f>IF(ISNUMBER(VLOOKUP($A219,Haver_Q!$B$1:$L$185,MATCH(data!E$1,Haver_Q!$B$1:$L$1,0),FALSE)),100*(VLOOKUP($A219,Haver_Q!$B$1:$L$185,MATCH(data!E$1,Haver_Q!$B$1:$L$1,0),FALSE)),"")</f>
        <v/>
      </c>
      <c r="F219" t="str">
        <f>IF(ISNUMBER(VLOOKUP($A219,Haver_Q!$B$1:$L$185,MATCH(data!F$1,Haver_Q!$B$1:$L$1,0),FALSE)),100*(VLOOKUP($A219,Haver_Q!$B$1:$L$185,MATCH(data!F$1,Haver_Q!$B$1:$L$1,0),FALSE)),"")</f>
        <v/>
      </c>
      <c r="G219" t="str">
        <f>IF(ISNUMBER(VLOOKUP($A219,Haver_Q!$B$1:$L$185,MATCH(data!G$1,Haver_Q!$B$1:$L$1,0),FALSE)),100*(VLOOKUP($A219,Haver_Q!$B$1:$L$185,MATCH(data!G$1,Haver_Q!$B$1:$L$1,0),FALSE)),"")</f>
        <v/>
      </c>
      <c r="H219" t="str">
        <f>IF(ISNUMBER(VLOOKUP($A219,Haver_Q!$B$1:$L$185,MATCH(data!H$1,Haver_Q!$B$1:$L$1,0),FALSE)),(VLOOKUP($A219,Haver_Q!$B$1:$L$185,MATCH(data!H$1,Haver_Q!$B$1:$L$1,0),FALSE)),"")</f>
        <v/>
      </c>
      <c r="I219" t="str">
        <f>IF(ISNUMBER(VLOOKUP($A219,Haver_Q!$B$1:$L$185,MATCH(data!I$1,Haver_Q!$B$1:$L$1,0),FALSE)),100*(VLOOKUP($A219,Haver_Q!$B$1:$L$185,MATCH(data!I$1,Haver_Q!$B$1:$L$1,0),FALSE)),"")</f>
        <v/>
      </c>
      <c r="J219" s="3">
        <f>IF(ISNUMBER(Bloomberg_m!C235),Bloomberg_m!C235,"")</f>
        <v>1125</v>
      </c>
      <c r="K219" s="3">
        <f>IF(ISNUMBER(Bloomberg_m!D235),Bloomberg_m!D235,"")</f>
        <v>1513.88</v>
      </c>
      <c r="L219" s="3">
        <f>IF(ISNUMBER(Bloomberg_m!E235),Bloomberg_m!E235,"")</f>
        <v>869.17</v>
      </c>
      <c r="M219" s="3">
        <f>IF(ISNUMBER(Bloomberg_m!F235),Bloomberg_m!F235,"")</f>
        <v>454.56</v>
      </c>
      <c r="N219">
        <f>IF(ISNUMBER(VLOOKUP($A219,Haver_M!$B$1:$BZ$300,MATCH(data!N$1,Haver_M!$B$1:$BZ$1,0),FALSE)),VLOOKUP($A219,Haver_M!$B$1:$BZ$300,MATCH(data!N$1,Haver_M!$B$1:$BZ$1,0),FALSE),"")</f>
        <v>6</v>
      </c>
      <c r="O219">
        <f>IF(ISNUMBER(VLOOKUP($A219,Haver_M!$B$1:$BZ$300,MATCH(data!O$1,Haver_M!$B$1:$BZ$1,0),FALSE)),VLOOKUP($A219,Haver_M!$B$1:$BZ$300,MATCH(data!O$1,Haver_M!$B$1:$BZ$1,0),FALSE),"")</f>
        <v>7.7023999999999999</v>
      </c>
      <c r="P219">
        <f>IF(ISNUMBER(VLOOKUP($A219,Haver_M!$B$1:$BZ$300,MATCH(data!P$1,Haver_M!$B$1:$BZ$1,0),FALSE)),VLOOKUP($A219,Haver_M!$B$1:$BZ$300,MATCH(data!P$1,Haver_M!$B$1:$BZ$1,0),FALSE),"")</f>
        <v>90.293480000000002</v>
      </c>
      <c r="Q219">
        <f>IF(ISNUMBER(VLOOKUP($A219,Haver_M!$B$1:$BZ$300,MATCH(data!Q$1,Haver_M!$B$1:$BZ$1,0),FALSE)),VLOOKUP($A219,Haver_M!$B$1:$BZ$300,MATCH(data!Q$1,Haver_M!$B$1:$BZ$1,0),FALSE),"")</f>
        <v>136.4</v>
      </c>
      <c r="R219">
        <f>IF(ISNUMBER(VLOOKUP($A219,Haver_M!$B$1:$BZ$300,MATCH(data!R$1,Haver_M!$B$1:$BZ$1,0),FALSE)),VLOOKUP($A219,Haver_M!$B$1:$BZ$300,MATCH(data!R$1,Haver_M!$B$1:$BZ$1,0),FALSE),"")</f>
        <v>136.69999999999999</v>
      </c>
      <c r="S219">
        <f>IF(ISNUMBER(VLOOKUP($A219,Haver_M!$B$1:$BZ$300,MATCH(data!S$1,Haver_M!$B$1:$BZ$1,0),FALSE)),VLOOKUP($A219,Haver_M!$B$1:$BZ$300,MATCH(data!S$1,Haver_M!$B$1:$BZ$1,0),FALSE),"")</f>
        <v>129.19999999999999</v>
      </c>
      <c r="T219">
        <f>IF(ISNUMBER(VLOOKUP($A219,Haver_M!$B$1:$BZ$300,MATCH(data!T$1,Haver_M!$B$1:$BZ$1,0),FALSE)),VLOOKUP($A219,Haver_M!$B$1:$BZ$300,MATCH(data!T$1,Haver_M!$B$1:$BZ$1,0),FALSE),"")</f>
        <v>124.14</v>
      </c>
      <c r="U219">
        <f>IF(ISNUMBER(VLOOKUP($A219,Haver_M!$B$1:$BZ$300,MATCH(data!U$1,Haver_M!$B$1:$BZ$1,0),FALSE)),VLOOKUP($A219,Haver_M!$B$1:$BZ$300,MATCH(data!U$1,Haver_M!$B$1:$BZ$1,0),FALSE),"")</f>
        <v>116.88</v>
      </c>
      <c r="V219">
        <f>IF(ISNUMBER(VLOOKUP($A219,Haver_M!$B$1:$BZ$300,MATCH(data!V$1,Haver_M!$B$1:$BZ$1,0),FALSE)),VLOOKUP($A219,Haver_M!$B$1:$BZ$300,MATCH(data!V$1,Haver_M!$B$1:$BZ$1,0),FALSE),"")</f>
        <v>127.89</v>
      </c>
      <c r="W219">
        <f>IF(ISNUMBER(VLOOKUP($A219,Haver_M!$B$1:$BZ$300,MATCH(data!W$1,Haver_M!$B$1:$BZ$1,0),FALSE)),VLOOKUP($A219,Haver_M!$B$1:$BZ$300,MATCH(data!W$1,Haver_M!$B$1:$BZ$1,0),FALSE),"")</f>
        <v>140.52000000000001</v>
      </c>
      <c r="X219">
        <f>IF(ISNUMBER(VLOOKUP($A219,Haver_M!$B$1:$BZ$300,MATCH(data!X$1,Haver_M!$B$1:$BZ$1,0),FALSE)),VLOOKUP($A219,Haver_M!$B$1:$BZ$300,MATCH(data!X$1,Haver_M!$B$1:$BZ$1,0),FALSE),"")</f>
        <v>127.91</v>
      </c>
      <c r="Y219">
        <f>IF(ISNUMBER(VLOOKUP($A219,Haver_M!$B$1:$BZ$300,MATCH(data!Y$1,Haver_M!$B$1:$BZ$1,0),FALSE)),VLOOKUP($A219,Haver_M!$B$1:$BZ$300,MATCH(data!Y$1,Haver_M!$B$1:$BZ$1,0),FALSE),"")</f>
        <v>140.76</v>
      </c>
      <c r="Z219">
        <f>IF(ISNUMBER(VLOOKUP($A219,Haver_M!$B$1:$BZ$300,MATCH(data!Z$1,Haver_M!$B$1:$BZ$1,0),FALSE)),VLOOKUP($A219,Haver_M!$B$1:$BZ$300,MATCH(data!Z$1,Haver_M!$B$1:$BZ$1,0),FALSE),"")</f>
        <v>128.5</v>
      </c>
      <c r="AA219">
        <f>IF(ISNUMBER(VLOOKUP($A219,Haver_M!$B$1:$BZ$300,MATCH(data!AA$1,Haver_M!$B$1:$BZ$1,0),FALSE)),VLOOKUP($A219,Haver_M!$B$1:$BZ$300,MATCH(data!AA$1,Haver_M!$B$1:$BZ$1,0),FALSE),"")</f>
        <v>128.76900000000001</v>
      </c>
      <c r="AB219">
        <f>IF(ISNUMBER(VLOOKUP($A219,Haver_M!$B$1:$BZ$300,MATCH(data!AB$1,Haver_M!$B$1:$BZ$1,0),FALSE)),VLOOKUP($A219,Haver_M!$B$1:$BZ$300,MATCH(data!AB$1,Haver_M!$B$1:$BZ$1,0),FALSE),"")</f>
        <v>92.944999999999993</v>
      </c>
      <c r="AC219">
        <f>IF(ISNUMBER(VLOOKUP($A219,Haver_M!$B$1:$BZ$300,MATCH(data!AC$1,Haver_M!$B$1:$BZ$1,0),FALSE)),VLOOKUP($A219,Haver_M!$B$1:$BZ$300,MATCH(data!AC$1,Haver_M!$B$1:$BZ$1,0),FALSE),"")</f>
        <v>67.427000000000007</v>
      </c>
      <c r="AD219">
        <f>IF(ISNUMBER(VLOOKUP($A219,Haver_M!$B$1:$BZ$300,MATCH(data!AD$1,Haver_M!$B$1:$BZ$1,0),FALSE)),VLOOKUP($A219,Haver_M!$B$1:$BZ$300,MATCH(data!AD$1,Haver_M!$B$1:$BZ$1,0),FALSE),"")</f>
        <v>127.23699999999999</v>
      </c>
      <c r="AE219">
        <f>IF(ISNUMBER(VLOOKUP($A219,Haver_M!$B$1:$BZ$300,MATCH(data!AE$1,Haver_M!$B$1:$BZ$1,0),FALSE)),VLOOKUP($A219,Haver_M!$B$1:$BZ$300,MATCH(data!AE$1,Haver_M!$B$1:$BZ$1,0),FALSE),"")</f>
        <v>110.617</v>
      </c>
      <c r="AF219">
        <f>IF(ISNUMBER(VLOOKUP($A219,Haver_M!$B$1:$BZ$300,MATCH(data!AF$1,Haver_M!$B$1:$BZ$1,0),FALSE)),VLOOKUP($A219,Haver_M!$B$1:$BZ$300,MATCH(data!AF$1,Haver_M!$B$1:$BZ$1,0),FALSE),"")</f>
        <v>143</v>
      </c>
      <c r="AG219">
        <f>IF(ISNUMBER(VLOOKUP($A219,Haver_M!$B$1:$BZ$300,MATCH(data!AG$1,Haver_M!$B$1:$BZ$1,0),FALSE)),VLOOKUP($A219,Haver_M!$B$1:$BZ$300,MATCH(data!AG$1,Haver_M!$B$1:$BZ$1,0),FALSE),"")</f>
        <v>139.227</v>
      </c>
      <c r="AH219">
        <f>IF(ISNUMBER(VLOOKUP($A219,Haver_M!$B$1:$BZ$300,MATCH(data!AH$1,Haver_M!$B$1:$BZ$1,0),FALSE)),VLOOKUP($A219,Haver_M!$B$1:$BZ$300,MATCH(data!AH$1,Haver_M!$B$1:$BZ$1,0),FALSE),"")</f>
        <v>151.495</v>
      </c>
      <c r="AI219">
        <f>IF(ISNUMBER(VLOOKUP($A219,Haver_M!$B$1:$BZ$300,MATCH(data!AI$1,Haver_M!$B$1:$BZ$1,0),FALSE)),VLOOKUP($A219,Haver_M!$B$1:$BZ$300,MATCH(data!AI$1,Haver_M!$B$1:$BZ$1,0),FALSE),"")</f>
        <v>17287.199000401244</v>
      </c>
      <c r="AJ219">
        <f>IF(ISNUMBER(VLOOKUP($A219,Haver_M!$B$1:$BZ$300,MATCH(data!AJ$1,Haver_M!$B$1:$BZ$1,0),FALSE)),VLOOKUP($A219,Haver_M!$B$1:$BZ$300,MATCH(data!AJ$1,Haver_M!$B$1:$BZ$1,0),FALSE),"")</f>
        <v>26309.37</v>
      </c>
      <c r="AK219">
        <f>IF(ISNUMBER(VLOOKUP($A219,Haver_M!$B$1:$BZ$300,MATCH(data!AK$1,Haver_M!$B$1:$BZ$1,0),FALSE)),VLOOKUP($A219,Haver_M!$B$1:$BZ$300,MATCH(data!AK$1,Haver_M!$B$1:$BZ$1,0),FALSE),"")</f>
        <v>41110.68</v>
      </c>
      <c r="AL219">
        <f>IF(ISNUMBER(VLOOKUP($A219,Haver_M!$B$1:$BZ$300,MATCH(data!AL$1,Haver_M!$B$1:$BZ$1,0),FALSE)),VLOOKUP($A219,Haver_M!$B$1:$BZ$300,MATCH(data!AL$1,Haver_M!$B$1:$BZ$1,0),FALSE),"")</f>
        <v>15709</v>
      </c>
      <c r="AM219">
        <f>IF(ISNUMBER(VLOOKUP($A219,Haver_M!$B$1:$BZ$300,MATCH(data!AM$1,Haver_M!$B$1:$BZ$1,0),FALSE)),VLOOKUP($A219,Haver_M!$B$1:$BZ$300,MATCH(data!AM$1,Haver_M!$B$1:$BZ$1,0),FALSE),"")</f>
        <v>10143</v>
      </c>
      <c r="AN219" t="str">
        <f>IF(ISNUMBER(VLOOKUP($A219,Haver_M!$B$1:$BZ$300,MATCH(data!AN$1,Haver_M!$B$1:$BZ$1,0),FALSE)),VLOOKUP($A219,Haver_M!$B$1:$BZ$300,MATCH(data!AN$1,Haver_M!$B$1:$BZ$1,0),FALSE),"")</f>
        <v/>
      </c>
      <c r="AO219" t="str">
        <f>IF(ISNUMBER(VLOOKUP($A219,Haver_M!$B$1:$BZ$300,MATCH(data!AO$1,Haver_M!$B$1:$BZ$1,0),FALSE)),VLOOKUP($A219,Haver_M!$B$1:$BZ$300,MATCH(data!AO$1,Haver_M!$B$1:$BZ$1,0),FALSE),"")</f>
        <v/>
      </c>
      <c r="AP219">
        <f>IF(ISNUMBER(VLOOKUP($A219,Haver_M!$B$1:$BZ$300,MATCH(data!AP$1,Haver_M!$B$1:$BZ$1,0),FALSE)),VLOOKUP($A219,Haver_M!$B$1:$BZ$300,MATCH(data!AP$1,Haver_M!$B$1:$BZ$1,0),FALSE),"")</f>
        <v>57.070240474261915</v>
      </c>
      <c r="AQ219">
        <f>IF(ISNUMBER(VLOOKUP($A219,Haver_M!$B$1:$BZ$300,MATCH(data!AQ$1,Haver_M!$B$1:$BZ$1,0),FALSE)),VLOOKUP($A219,Haver_M!$B$1:$BZ$300,MATCH(data!AQ$1,Haver_M!$B$1:$BZ$1,0),FALSE),"")</f>
        <v>49.663499999999999</v>
      </c>
      <c r="AR219">
        <f>IF(ISNUMBER(VLOOKUP($A219,Haver_M!$B$1:$BZ$300,MATCH(data!AR$1,Haver_M!$B$1:$BZ$1,0),FALSE)),VLOOKUP($A219,Haver_M!$B$1:$BZ$300,MATCH(data!AR$1,Haver_M!$B$1:$BZ$1,0),FALSE),"")</f>
        <v>52.1372</v>
      </c>
      <c r="AS219">
        <f>IF(ISNUMBER(VLOOKUP($A219,Haver_M!$B$1:$BZ$300,MATCH(data!AS$1,Haver_M!$B$1:$BZ$1,0),FALSE)),VLOOKUP($A219,Haver_M!$B$1:$BZ$300,MATCH(data!AS$1,Haver_M!$B$1:$BZ$1,0),FALSE),"")</f>
        <v>47.813099999999999</v>
      </c>
      <c r="AT219">
        <f>IF(ISNUMBER(VLOOKUP($A219,Haver_M!$B$1:$BZ$300,MATCH(data!AT$1,Haver_M!$B$1:$BZ$1,0),FALSE)),VLOOKUP($A219,Haver_M!$B$1:$BZ$300,MATCH(data!AT$1,Haver_M!$B$1:$BZ$1,0),FALSE),"")</f>
        <v>53.748899999999999</v>
      </c>
      <c r="AU219">
        <f>IF(ISNUMBER(VLOOKUP($A219,Haver_M!$B$1:$BZ$300,MATCH(data!AU$1,Haver_M!$B$1:$BZ$1,0),FALSE)),VLOOKUP($A219,Haver_M!$B$1:$BZ$300,MATCH(data!AU$1,Haver_M!$B$1:$BZ$1,0),FALSE),"")</f>
        <v>52.330599999999997</v>
      </c>
      <c r="AV219">
        <f>IF(ISNUMBER(VLOOKUP($A219,Haver_M!$B$1:$BZ$300,MATCH(data!AV$1,Haver_M!$B$1:$BZ$1,0),FALSE)),VLOOKUP($A219,Haver_M!$B$1:$BZ$300,MATCH(data!AV$1,Haver_M!$B$1:$BZ$1,0),FALSE),"")</f>
        <v>51.914400000000001</v>
      </c>
      <c r="AW219">
        <f>IF(ISNUMBER(VLOOKUP($A219,Haver_M!$B$1:$BZ$300,MATCH(data!AW$1,Haver_M!$B$1:$BZ$1,0),FALSE)),VLOOKUP($A219,Haver_M!$B$1:$BZ$300,MATCH(data!AW$1,Haver_M!$B$1:$BZ$1,0),FALSE),"")</f>
        <v>49.154600000000002</v>
      </c>
      <c r="AX219">
        <f>IF(ISNUMBER(VLOOKUP($A219,Haver_M!$B$1:$BZ$300,MATCH(data!AX$1,Haver_M!$B$1:$BZ$1,0),FALSE)),VLOOKUP($A219,Haver_M!$B$1:$BZ$300,MATCH(data!AX$1,Haver_M!$B$1:$BZ$1,0),FALSE),"")</f>
        <v>49.910699999999999</v>
      </c>
      <c r="AY219">
        <f>IF(ISNUMBER(VLOOKUP($A219,Haver_M!$B$1:$BZ$300,MATCH(data!AY$1,Haver_M!$B$1:$BZ$1,0),FALSE)),VLOOKUP($A219,Haver_M!$B$1:$BZ$300,MATCH(data!AY$1,Haver_M!$B$1:$BZ$1,0),FALSE),"")</f>
        <v>55.634300000000003</v>
      </c>
      <c r="AZ219">
        <f>IF(ISNUMBER(VLOOKUP($A219,Haver_M!$B$1:$BZ$300,MATCH(data!AZ$1,Haver_M!$B$1:$BZ$1,0),FALSE)),VLOOKUP($A219,Haver_M!$B$1:$BZ$300,MATCH(data!AZ$1,Haver_M!$B$1:$BZ$1,0),FALSE),"")</f>
        <v>50.596400000000003</v>
      </c>
      <c r="BA219">
        <f>IF(ISNUMBER(VLOOKUP($A219,Haver_M!$B$1:$BZ$300,MATCH(data!BA$1,Haver_M!$B$1:$BZ$1,0),FALSE)),VLOOKUP($A219,Haver_M!$B$1:$BZ$300,MATCH(data!BA$1,Haver_M!$B$1:$BZ$1,0),FALSE),"")</f>
        <v>49.910699999999999</v>
      </c>
      <c r="BB219">
        <f>IF(ISNUMBER(VLOOKUP($A219,Haver_M!$B$1:$BZ$300,MATCH(data!BB$1,Haver_M!$B$1:$BZ$1,0),FALSE)),VLOOKUP($A219,Haver_M!$B$1:$BZ$300,MATCH(data!BB$1,Haver_M!$B$1:$BZ$1,0),FALSE),"")</f>
        <v>53.918999999999997</v>
      </c>
      <c r="BC219">
        <f>IF(ISNUMBER(VLOOKUP($A219,Haver_M!$B$1:$BZ$300,MATCH(data!BC$1,Haver_M!$B$1:$BZ$1,0),FALSE)),VLOOKUP($A219,Haver_M!$B$1:$BZ$300,MATCH(data!BC$1,Haver_M!$B$1:$BZ$1,0),FALSE),"")</f>
        <v>52.2301</v>
      </c>
      <c r="BD219">
        <f>IF(ISNUMBER(VLOOKUP($A219,Haver_M!$B$1:$BZ$300,MATCH(data!BD$1,Haver_M!$B$1:$BZ$1,0),FALSE)),VLOOKUP($A219,Haver_M!$B$1:$BZ$300,MATCH(data!BD$1,Haver_M!$B$1:$BZ$1,0),FALSE),"")</f>
        <v>52.420200000000001</v>
      </c>
      <c r="BE219">
        <f>IF(ISNUMBER(VLOOKUP($A219,Haver_M!$B$1:$BZ$300,MATCH(data!BE$1,Haver_M!$B$1:$BZ$1,0),FALSE)),VLOOKUP($A219,Haver_M!$B$1:$BZ$300,MATCH(data!BE$1,Haver_M!$B$1:$BZ$1,0),FALSE),"")</f>
        <v>1.0952</v>
      </c>
      <c r="BF219">
        <f>IF(ISNUMBER(VLOOKUP($A219,Haver_M!$B$1:$BZ$300,MATCH(data!BF$1,Haver_M!$B$1:$BZ$1,0),FALSE)),VLOOKUP($A219,Haver_M!$B$1:$BZ$300,MATCH(data!BF$1,Haver_M!$B$1:$BZ$1,0),FALSE),"")</f>
        <v>52.665999999999997</v>
      </c>
      <c r="BG219">
        <f>IF(ISNUMBER(VLOOKUP($A219,Haver_M!$B$1:$BZ$300,MATCH(data!BG$1,Haver_M!$B$1:$BZ$1,0),FALSE)),VLOOKUP($A219,Haver_M!$B$1:$BZ$300,MATCH(data!BG$1,Haver_M!$B$1:$BZ$1,0),FALSE),"")</f>
        <v>52.429000000000002</v>
      </c>
      <c r="BH219">
        <f>IF(ISNUMBER(VLOOKUP($A219,Haver_M!$B$1:$BZ$300,MATCH(data!BH$1,Haver_M!$B$1:$BZ$1,0),FALSE)),VLOOKUP($A219,Haver_M!$B$1:$BZ$300,MATCH(data!BH$1,Haver_M!$B$1:$BZ$1,0),FALSE),"")</f>
        <v>48.040999999999997</v>
      </c>
      <c r="BI219">
        <f>IF(ISNUMBER(VLOOKUP($A219,Haver_M!$B$1:$BZ$300,MATCH(data!BI$1,Haver_M!$B$1:$BZ$1,0),FALSE)),VLOOKUP($A219,Haver_M!$B$1:$BZ$300,MATCH(data!BI$1,Haver_M!$B$1:$BZ$1,0),FALSE),"")</f>
        <v>54.223300000000002</v>
      </c>
      <c r="BJ219">
        <f>IF(ISNUMBER(VLOOKUP($A219,Haver_M!$B$1:$BZ$300,MATCH(data!BJ$1,Haver_M!$B$1:$BZ$1,0),FALSE)),VLOOKUP($A219,Haver_M!$B$1:$BZ$300,MATCH(data!BJ$1,Haver_M!$B$1:$BZ$1,0),FALSE),"")</f>
        <v>50.87</v>
      </c>
      <c r="BK219">
        <f>IF(ISNUMBER(VLOOKUP($A219,Haver_M!$B$1:$BZ$300,MATCH(data!BK$1,Haver_M!$B$1:$BZ$1,0),FALSE)),VLOOKUP($A219,Haver_M!$B$1:$BZ$300,MATCH(data!BK$1,Haver_M!$B$1:$BZ$1,0),FALSE),"")</f>
        <v>51.415999999999997</v>
      </c>
      <c r="BL219">
        <f>IF(ISNUMBER(VLOOKUP($A219,Haver_M!$B$1:$BZ$300,MATCH(data!BL$1,Haver_M!$B$1:$BZ$1,0),FALSE)),VLOOKUP($A219,Haver_M!$B$1:$BZ$300,MATCH(data!BL$1,Haver_M!$B$1:$BZ$1,0),FALSE),"")</f>
        <v>34287.040000000001</v>
      </c>
      <c r="BM219">
        <f>IF(ISNUMBER(VLOOKUP($A219,Haver_M!$B$1:$BZ$300,MATCH(data!BM$1,Haver_M!$B$1:$BZ$1,0),FALSE)),VLOOKUP($A219,Haver_M!$B$1:$BZ$300,MATCH(data!BM$1,Haver_M!$B$1:$BZ$1,0),FALSE),"")</f>
        <v>102.22308842</v>
      </c>
      <c r="BN219" t="str">
        <f>IF(ISNUMBER(VLOOKUP($A219,Haver_M!$B$1:$BZ$300,MATCH(data!BN$1,Haver_M!$B$1:$BZ$1,0),FALSE)),VLOOKUP($A219,Haver_M!$B$1:$BZ$300,MATCH(data!BN$1,Haver_M!$B$1:$BZ$1,0),FALSE),"")</f>
        <v/>
      </c>
      <c r="BO219" t="str">
        <f>IF(ISNUMBER(VLOOKUP($A219,Haver_M!$B$1:$BZ$300,MATCH(data!BO$1,Haver_M!$B$1:$BZ$1,0),FALSE)),VLOOKUP($A219,Haver_M!$B$1:$BZ$300,MATCH(data!BO$1,Haver_M!$B$1:$BZ$1,0),FALSE),"")</f>
        <v/>
      </c>
      <c r="BP219" t="str">
        <f>IF(ISNUMBER(VLOOKUP($A219,Haver_M!$B$1:$BZ$300,MATCH(data!BP$1,Haver_M!$B$1:$BZ$1,0),FALSE)),VLOOKUP($A219,Haver_M!$B$1:$BZ$300,MATCH(data!BP$1,Haver_M!$B$1:$BZ$1,0),FALSE),"")</f>
        <v/>
      </c>
      <c r="BQ219">
        <f>IF(ISNUMBER(VLOOKUP($A219,Haver_M!$B$1:$BZ$300,MATCH(data!BQ$1,Haver_M!$B$1:$BZ$1,0),FALSE)),VLOOKUP($A219,Haver_M!$B$1:$BZ$300,MATCH(data!BQ$1,Haver_M!$B$1:$BZ$1,0),FALSE),"")</f>
        <v>288.0695251794985</v>
      </c>
      <c r="BR219">
        <f>IF(ISNUMBER(VLOOKUP($A219,Haver_M!$B$1:$BZ$300,MATCH(data!BR$1,Haver_M!$B$1:$BZ$1,0),FALSE)),VLOOKUP($A219,Haver_M!$B$1:$BZ$300,MATCH(data!BR$1,Haver_M!$B$1:$BZ$1,0),FALSE),"")</f>
        <v>408.11976300917456</v>
      </c>
      <c r="BS219">
        <f>IF(ISNUMBER(VLOOKUP($A219,Haver_M!$B$1:$BZ$300,MATCH(data!BS$1,Haver_M!$B$1:$BZ$1,0),FALSE)),VLOOKUP($A219,Haver_M!$B$1:$BZ$300,MATCH(data!BS$1,Haver_M!$B$1:$BZ$1,0),FALSE),"")</f>
        <v>285.91896081946379</v>
      </c>
      <c r="BT219">
        <f>IF(ISNUMBER(VLOOKUP($A219,Haver_M!$B$1:$BZ$300,MATCH(data!BT$1,Haver_M!$B$1:$BZ$1,0),FALSE)),VLOOKUP($A219,Haver_M!$B$1:$BZ$300,MATCH(data!BT$1,Haver_M!$B$1:$BZ$1,0),FALSE),"")</f>
        <v>1140.0566690175194</v>
      </c>
      <c r="BU219">
        <f>IF(ISNUMBER(VLOOKUP($A219,Haver_M!$B$1:$BZ$300,MATCH(data!BU$1,Haver_M!$B$1:$BZ$1,0),FALSE)),VLOOKUP($A219,Haver_M!$B$1:$BZ$300,MATCH(data!BU$1,Haver_M!$B$1:$BZ$1,0),FALSE),"")</f>
        <v>26030.720000000001</v>
      </c>
      <c r="BV219">
        <f>IF(ISNUMBER(VLOOKUP($A219,Haver_M!$B$1:$BZ$300,MATCH(data!BV$1,Haver_M!$B$1:$BZ$1,0),FALSE)),VLOOKUP($A219,Haver_M!$B$1:$BZ$300,MATCH(data!BV$1,Haver_M!$B$1:$BZ$1,0),FALSE),"")</f>
        <v>37871.269999999997</v>
      </c>
      <c r="BW219">
        <f>IF(ISNUMBER(VLOOKUP($A219,Haver_M!$B$1:$BZ$300,MATCH(data!BW$1,Haver_M!$B$1:$BZ$1,0),FALSE)),VLOOKUP($A219,Haver_M!$B$1:$BZ$300,MATCH(data!BW$1,Haver_M!$B$1:$BZ$1,0),FALSE),"")</f>
        <v>64.373800000000003</v>
      </c>
      <c r="BX219">
        <f>IF(ISNUMBER(VLOOKUP($A219,Haver_M!$B$1:$BZ$300,MATCH(data!BX$1,Haver_M!$B$1:$BZ$1,0),FALSE)),VLOOKUP($A219,Haver_M!$B$1:$BZ$300,MATCH(data!BX$1,Haver_M!$B$1:$BZ$1,0),FALSE),"")</f>
        <v>52813</v>
      </c>
    </row>
    <row r="220" spans="1:76" x14ac:dyDescent="0.25">
      <c r="A220" s="2">
        <v>43190</v>
      </c>
      <c r="B220">
        <f>IF(ISNUMBER(VLOOKUP($A220,Haver_Q!$B$1:$L$185,MATCH(data!B$1,Haver_Q!$B$1:$L$1,0),FALSE)),100*(VLOOKUP($A220,Haver_Q!$B$1:$L$185,MATCH(data!B$1,Haver_Q!$B$1:$L$1,0),FALSE)),"")</f>
        <v>7.5777241451243649</v>
      </c>
      <c r="C220">
        <f>IF(ISNUMBER(VLOOKUP($A220,Haver_Q!$B$1:$L$185,MATCH(data!C$1,Haver_Q!$B$1:$L$1,0),FALSE)),100*(VLOOKUP($A220,Haver_Q!$B$1:$L$185,MATCH(data!C$1,Haver_Q!$B$1:$L$1,0),FALSE)),"")</f>
        <v>10.8394280847258</v>
      </c>
      <c r="D220">
        <f>IF(ISNUMBER(VLOOKUP($A220,Haver_Q!$B$1:$L$185,MATCH(data!D$1,Haver_Q!$B$1:$L$1,0),FALSE)),100*(VLOOKUP($A220,Haver_Q!$B$1:$L$185,MATCH(data!D$1,Haver_Q!$B$1:$L$1,0),FALSE)),"")</f>
        <v>20.779294283095595</v>
      </c>
      <c r="E220">
        <f>IF(ISNUMBER(VLOOKUP($A220,Haver_Q!$B$1:$L$185,MATCH(data!E$1,Haver_Q!$B$1:$L$1,0),FALSE)),100*(VLOOKUP($A220,Haver_Q!$B$1:$L$185,MATCH(data!E$1,Haver_Q!$B$1:$L$1,0),FALSE)),"")</f>
        <v>8.2881012999025838</v>
      </c>
      <c r="F220">
        <f>IF(ISNUMBER(VLOOKUP($A220,Haver_Q!$B$1:$L$185,MATCH(data!F$1,Haver_Q!$B$1:$L$1,0),FALSE)),100*(VLOOKUP($A220,Haver_Q!$B$1:$L$185,MATCH(data!F$1,Haver_Q!$B$1:$L$1,0),FALSE)),"")</f>
        <v>6.8853008123006099</v>
      </c>
      <c r="G220">
        <f>IF(ISNUMBER(VLOOKUP($A220,Haver_Q!$B$1:$L$185,MATCH(data!G$1,Haver_Q!$B$1:$L$1,0),FALSE)),100*(VLOOKUP($A220,Haver_Q!$B$1:$L$185,MATCH(data!G$1,Haver_Q!$B$1:$L$1,0),FALSE)),"")</f>
        <v>-1.6625974472278315</v>
      </c>
      <c r="H220">
        <f>IF(ISNUMBER(VLOOKUP($A220,Haver_Q!$B$1:$L$185,MATCH(data!H$1,Haver_Q!$B$1:$L$1,0),FALSE)),(VLOOKUP($A220,Haver_Q!$B$1:$L$185,MATCH(data!H$1,Haver_Q!$B$1:$L$1,0),FALSE)),"")</f>
        <v>4.0991298070717663</v>
      </c>
      <c r="I220">
        <f>IF(ISNUMBER(VLOOKUP($A220,Haver_Q!$B$1:$L$185,MATCH(data!I$1,Haver_Q!$B$1:$L$1,0),FALSE)),100*(VLOOKUP($A220,Haver_Q!$B$1:$L$185,MATCH(data!I$1,Haver_Q!$B$1:$L$1,0),FALSE)),"")</f>
        <v>8.1305805219479943</v>
      </c>
      <c r="J220" s="3">
        <f>IF(ISNUMBER(Bloomberg_m!C236),Bloomberg_m!C236,"")</f>
        <v>1154</v>
      </c>
      <c r="K220" s="3">
        <f>IF(ISNUMBER(Bloomberg_m!D236),Bloomberg_m!D236,"")</f>
        <v>1322.83</v>
      </c>
      <c r="L220" s="3">
        <f>IF(ISNUMBER(Bloomberg_m!E236),Bloomberg_m!E236,"")</f>
        <v>696.53</v>
      </c>
      <c r="M220" s="3">
        <f>IF(ISNUMBER(Bloomberg_m!F236),Bloomberg_m!F236,"")</f>
        <v>459.81</v>
      </c>
      <c r="N220">
        <f>IF(ISNUMBER(VLOOKUP($A220,Haver_M!$B$1:$BZ$300,MATCH(data!N$1,Haver_M!$B$1:$BZ$1,0),FALSE)),VLOOKUP($A220,Haver_M!$B$1:$BZ$300,MATCH(data!N$1,Haver_M!$B$1:$BZ$1,0),FALSE),"")</f>
        <v>6</v>
      </c>
      <c r="O220">
        <f>IF(ISNUMBER(VLOOKUP($A220,Haver_M!$B$1:$BZ$300,MATCH(data!O$1,Haver_M!$B$1:$BZ$1,0),FALSE)),VLOOKUP($A220,Haver_M!$B$1:$BZ$300,MATCH(data!O$1,Haver_M!$B$1:$BZ$1,0),FALSE),"")</f>
        <v>7.4204999999999997</v>
      </c>
      <c r="P220">
        <f>IF(ISNUMBER(VLOOKUP($A220,Haver_M!$B$1:$BZ$300,MATCH(data!P$1,Haver_M!$B$1:$BZ$1,0),FALSE)),VLOOKUP($A220,Haver_M!$B$1:$BZ$300,MATCH(data!P$1,Haver_M!$B$1:$BZ$1,0),FALSE),"")</f>
        <v>89.415239999999997</v>
      </c>
      <c r="Q220">
        <f>IF(ISNUMBER(VLOOKUP($A220,Haver_M!$B$1:$BZ$300,MATCH(data!Q$1,Haver_M!$B$1:$BZ$1,0),FALSE)),VLOOKUP($A220,Haver_M!$B$1:$BZ$300,MATCH(data!Q$1,Haver_M!$B$1:$BZ$1,0),FALSE),"")</f>
        <v>136.5</v>
      </c>
      <c r="R220">
        <f>IF(ISNUMBER(VLOOKUP($A220,Haver_M!$B$1:$BZ$300,MATCH(data!R$1,Haver_M!$B$1:$BZ$1,0),FALSE)),VLOOKUP($A220,Haver_M!$B$1:$BZ$300,MATCH(data!R$1,Haver_M!$B$1:$BZ$1,0),FALSE),"")</f>
        <v>137.30000000000001</v>
      </c>
      <c r="S220">
        <f>IF(ISNUMBER(VLOOKUP($A220,Haver_M!$B$1:$BZ$300,MATCH(data!S$1,Haver_M!$B$1:$BZ$1,0),FALSE)),VLOOKUP($A220,Haver_M!$B$1:$BZ$300,MATCH(data!S$1,Haver_M!$B$1:$BZ$1,0),FALSE),"")</f>
        <v>128.59</v>
      </c>
      <c r="T220">
        <f>IF(ISNUMBER(VLOOKUP($A220,Haver_M!$B$1:$BZ$300,MATCH(data!T$1,Haver_M!$B$1:$BZ$1,0),FALSE)),VLOOKUP($A220,Haver_M!$B$1:$BZ$300,MATCH(data!T$1,Haver_M!$B$1:$BZ$1,0),FALSE),"")</f>
        <v>125.2</v>
      </c>
      <c r="U220">
        <f>IF(ISNUMBER(VLOOKUP($A220,Haver_M!$B$1:$BZ$300,MATCH(data!U$1,Haver_M!$B$1:$BZ$1,0),FALSE)),VLOOKUP($A220,Haver_M!$B$1:$BZ$300,MATCH(data!U$1,Haver_M!$B$1:$BZ$1,0),FALSE),"")</f>
        <v>103.29</v>
      </c>
      <c r="V220">
        <f>IF(ISNUMBER(VLOOKUP($A220,Haver_M!$B$1:$BZ$300,MATCH(data!V$1,Haver_M!$B$1:$BZ$1,0),FALSE)),VLOOKUP($A220,Haver_M!$B$1:$BZ$300,MATCH(data!V$1,Haver_M!$B$1:$BZ$1,0),FALSE),"")</f>
        <v>126.86</v>
      </c>
      <c r="W220">
        <f>IF(ISNUMBER(VLOOKUP($A220,Haver_M!$B$1:$BZ$300,MATCH(data!W$1,Haver_M!$B$1:$BZ$1,0),FALSE)),VLOOKUP($A220,Haver_M!$B$1:$BZ$300,MATCH(data!W$1,Haver_M!$B$1:$BZ$1,0),FALSE),"")</f>
        <v>137.69999999999999</v>
      </c>
      <c r="X220">
        <f>IF(ISNUMBER(VLOOKUP($A220,Haver_M!$B$1:$BZ$300,MATCH(data!X$1,Haver_M!$B$1:$BZ$1,0),FALSE)),VLOOKUP($A220,Haver_M!$B$1:$BZ$300,MATCH(data!X$1,Haver_M!$B$1:$BZ$1,0),FALSE),"")</f>
        <v>128.58000000000001</v>
      </c>
      <c r="Y220">
        <f>IF(ISNUMBER(VLOOKUP($A220,Haver_M!$B$1:$BZ$300,MATCH(data!Y$1,Haver_M!$B$1:$BZ$1,0),FALSE)),VLOOKUP($A220,Haver_M!$B$1:$BZ$300,MATCH(data!Y$1,Haver_M!$B$1:$BZ$1,0),FALSE),"")</f>
        <v>142.32</v>
      </c>
      <c r="Z220">
        <f>IF(ISNUMBER(VLOOKUP($A220,Haver_M!$B$1:$BZ$300,MATCH(data!Z$1,Haver_M!$B$1:$BZ$1,0),FALSE)),VLOOKUP($A220,Haver_M!$B$1:$BZ$300,MATCH(data!Z$1,Haver_M!$B$1:$BZ$1,0),FALSE),"")</f>
        <v>129.19999999999999</v>
      </c>
      <c r="AA220">
        <f>IF(ISNUMBER(VLOOKUP($A220,Haver_M!$B$1:$BZ$300,MATCH(data!AA$1,Haver_M!$B$1:$BZ$1,0),FALSE)),VLOOKUP($A220,Haver_M!$B$1:$BZ$300,MATCH(data!AA$1,Haver_M!$B$1:$BZ$1,0),FALSE),"")</f>
        <v>135.47499999999999</v>
      </c>
      <c r="AB220">
        <f>IF(ISNUMBER(VLOOKUP($A220,Haver_M!$B$1:$BZ$300,MATCH(data!AB$1,Haver_M!$B$1:$BZ$1,0),FALSE)),VLOOKUP($A220,Haver_M!$B$1:$BZ$300,MATCH(data!AB$1,Haver_M!$B$1:$BZ$1,0),FALSE),"")</f>
        <v>93.221999999999994</v>
      </c>
      <c r="AC220">
        <f>IF(ISNUMBER(VLOOKUP($A220,Haver_M!$B$1:$BZ$300,MATCH(data!AC$1,Haver_M!$B$1:$BZ$1,0),FALSE)),VLOOKUP($A220,Haver_M!$B$1:$BZ$300,MATCH(data!AC$1,Haver_M!$B$1:$BZ$1,0),FALSE),"")</f>
        <v>69.022000000000006</v>
      </c>
      <c r="AD220">
        <f>IF(ISNUMBER(VLOOKUP($A220,Haver_M!$B$1:$BZ$300,MATCH(data!AD$1,Haver_M!$B$1:$BZ$1,0),FALSE)),VLOOKUP($A220,Haver_M!$B$1:$BZ$300,MATCH(data!AD$1,Haver_M!$B$1:$BZ$1,0),FALSE),"")</f>
        <v>124.559</v>
      </c>
      <c r="AE220">
        <f>IF(ISNUMBER(VLOOKUP($A220,Haver_M!$B$1:$BZ$300,MATCH(data!AE$1,Haver_M!$B$1:$BZ$1,0),FALSE)),VLOOKUP($A220,Haver_M!$B$1:$BZ$300,MATCH(data!AE$1,Haver_M!$B$1:$BZ$1,0),FALSE),"")</f>
        <v>112.547</v>
      </c>
      <c r="AF220">
        <f>IF(ISNUMBER(VLOOKUP($A220,Haver_M!$B$1:$BZ$300,MATCH(data!AF$1,Haver_M!$B$1:$BZ$1,0),FALSE)),VLOOKUP($A220,Haver_M!$B$1:$BZ$300,MATCH(data!AF$1,Haver_M!$B$1:$BZ$1,0),FALSE),"")</f>
        <v>144.46600000000001</v>
      </c>
      <c r="AG220">
        <f>IF(ISNUMBER(VLOOKUP($A220,Haver_M!$B$1:$BZ$300,MATCH(data!AG$1,Haver_M!$B$1:$BZ$1,0),FALSE)),VLOOKUP($A220,Haver_M!$B$1:$BZ$300,MATCH(data!AG$1,Haver_M!$B$1:$BZ$1,0),FALSE),"")</f>
        <v>134.76300000000001</v>
      </c>
      <c r="AH220">
        <f>IF(ISNUMBER(VLOOKUP($A220,Haver_M!$B$1:$BZ$300,MATCH(data!AH$1,Haver_M!$B$1:$BZ$1,0),FALSE)),VLOOKUP($A220,Haver_M!$B$1:$BZ$300,MATCH(data!AH$1,Haver_M!$B$1:$BZ$1,0),FALSE),"")</f>
        <v>155.46600000000001</v>
      </c>
      <c r="AI220">
        <f>IF(ISNUMBER(VLOOKUP($A220,Haver_M!$B$1:$BZ$300,MATCH(data!AI$1,Haver_M!$B$1:$BZ$1,0),FALSE)),VLOOKUP($A220,Haver_M!$B$1:$BZ$300,MATCH(data!AI$1,Haver_M!$B$1:$BZ$1,0),FALSE),"")</f>
        <v>17419.999422482491</v>
      </c>
      <c r="AJ220">
        <f>IF(ISNUMBER(VLOOKUP($A220,Haver_M!$B$1:$BZ$300,MATCH(data!AJ$1,Haver_M!$B$1:$BZ$1,0),FALSE)),VLOOKUP($A220,Haver_M!$B$1:$BZ$300,MATCH(data!AJ$1,Haver_M!$B$1:$BZ$1,0),FALSE),"")</f>
        <v>25621.79</v>
      </c>
      <c r="AK220">
        <f>IF(ISNUMBER(VLOOKUP($A220,Haver_M!$B$1:$BZ$300,MATCH(data!AK$1,Haver_M!$B$1:$BZ$1,0),FALSE)),VLOOKUP($A220,Haver_M!$B$1:$BZ$300,MATCH(data!AK$1,Haver_M!$B$1:$BZ$1,0),FALSE),"")</f>
        <v>41080.78</v>
      </c>
      <c r="AL220">
        <f>IF(ISNUMBER(VLOOKUP($A220,Haver_M!$B$1:$BZ$300,MATCH(data!AL$1,Haver_M!$B$1:$BZ$1,0),FALSE)),VLOOKUP($A220,Haver_M!$B$1:$BZ$300,MATCH(data!AL$1,Haver_M!$B$1:$BZ$1,0),FALSE),"")</f>
        <v>16834</v>
      </c>
      <c r="AM220">
        <f>IF(ISNUMBER(VLOOKUP($A220,Haver_M!$B$1:$BZ$300,MATCH(data!AM$1,Haver_M!$B$1:$BZ$1,0),FALSE)),VLOOKUP($A220,Haver_M!$B$1:$BZ$300,MATCH(data!AM$1,Haver_M!$B$1:$BZ$1,0),FALSE),"")</f>
        <v>10280</v>
      </c>
      <c r="AN220">
        <f>IF(ISNUMBER(VLOOKUP($A220,Haver_M!$B$1:$BZ$300,MATCH(data!AN$1,Haver_M!$B$1:$BZ$1,0),FALSE)),VLOOKUP($A220,Haver_M!$B$1:$BZ$300,MATCH(data!AN$1,Haver_M!$B$1:$BZ$1,0),FALSE),"")</f>
        <v>95.1</v>
      </c>
      <c r="AO220">
        <f>IF(ISNUMBER(VLOOKUP($A220,Haver_M!$B$1:$BZ$300,MATCH(data!AO$1,Haver_M!$B$1:$BZ$1,0),FALSE)),VLOOKUP($A220,Haver_M!$B$1:$BZ$300,MATCH(data!AO$1,Haver_M!$B$1:$BZ$1,0),FALSE),"")</f>
        <v>117.4</v>
      </c>
      <c r="AP220">
        <f>IF(ISNUMBER(VLOOKUP($A220,Haver_M!$B$1:$BZ$300,MATCH(data!AP$1,Haver_M!$B$1:$BZ$1,0),FALSE)),VLOOKUP($A220,Haver_M!$B$1:$BZ$300,MATCH(data!AP$1,Haver_M!$B$1:$BZ$1,0),FALSE),"")</f>
        <v>51.524791531965562</v>
      </c>
      <c r="AQ220">
        <f>IF(ISNUMBER(VLOOKUP($A220,Haver_M!$B$1:$BZ$300,MATCH(data!AQ$1,Haver_M!$B$1:$BZ$1,0),FALSE)),VLOOKUP($A220,Haver_M!$B$1:$BZ$300,MATCH(data!AQ$1,Haver_M!$B$1:$BZ$1,0),FALSE),"")</f>
        <v>50.818600000000004</v>
      </c>
      <c r="AR220">
        <f>IF(ISNUMBER(VLOOKUP($A220,Haver_M!$B$1:$BZ$300,MATCH(data!AR$1,Haver_M!$B$1:$BZ$1,0),FALSE)),VLOOKUP($A220,Haver_M!$B$1:$BZ$300,MATCH(data!AR$1,Haver_M!$B$1:$BZ$1,0),FALSE),"")</f>
        <v>50.965200000000003</v>
      </c>
      <c r="AS220">
        <f>IF(ISNUMBER(VLOOKUP($A220,Haver_M!$B$1:$BZ$300,MATCH(data!AS$1,Haver_M!$B$1:$BZ$1,0),FALSE)),VLOOKUP($A220,Haver_M!$B$1:$BZ$300,MATCH(data!AS$1,Haver_M!$B$1:$BZ$1,0),FALSE),"")</f>
        <v>50.343400000000003</v>
      </c>
      <c r="AT220">
        <f>IF(ISNUMBER(VLOOKUP($A220,Haver_M!$B$1:$BZ$300,MATCH(data!AT$1,Haver_M!$B$1:$BZ$1,0),FALSE)),VLOOKUP($A220,Haver_M!$B$1:$BZ$300,MATCH(data!AT$1,Haver_M!$B$1:$BZ$1,0),FALSE),"")</f>
        <v>51.867699999999999</v>
      </c>
      <c r="AU220">
        <f>IF(ISNUMBER(VLOOKUP($A220,Haver_M!$B$1:$BZ$300,MATCH(data!AU$1,Haver_M!$B$1:$BZ$1,0),FALSE)),VLOOKUP($A220,Haver_M!$B$1:$BZ$300,MATCH(data!AU$1,Haver_M!$B$1:$BZ$1,0),FALSE),"")</f>
        <v>51.507199999999997</v>
      </c>
      <c r="AV220">
        <f>IF(ISNUMBER(VLOOKUP($A220,Haver_M!$B$1:$BZ$300,MATCH(data!AV$1,Haver_M!$B$1:$BZ$1,0),FALSE)),VLOOKUP($A220,Haver_M!$B$1:$BZ$300,MATCH(data!AV$1,Haver_M!$B$1:$BZ$1,0),FALSE),"")</f>
        <v>49.656399999999998</v>
      </c>
      <c r="AW220">
        <f>IF(ISNUMBER(VLOOKUP($A220,Haver_M!$B$1:$BZ$300,MATCH(data!AW$1,Haver_M!$B$1:$BZ$1,0),FALSE)),VLOOKUP($A220,Haver_M!$B$1:$BZ$300,MATCH(data!AW$1,Haver_M!$B$1:$BZ$1,0),FALSE),"")</f>
        <v>49.649700000000003</v>
      </c>
      <c r="AX220">
        <f>IF(ISNUMBER(VLOOKUP($A220,Haver_M!$B$1:$BZ$300,MATCH(data!AX$1,Haver_M!$B$1:$BZ$1,0),FALSE)),VLOOKUP($A220,Haver_M!$B$1:$BZ$300,MATCH(data!AX$1,Haver_M!$B$1:$BZ$1,0),FALSE),"")</f>
        <v>50.622799999999998</v>
      </c>
      <c r="AY220">
        <f>IF(ISNUMBER(VLOOKUP($A220,Haver_M!$B$1:$BZ$300,MATCH(data!AY$1,Haver_M!$B$1:$BZ$1,0),FALSE)),VLOOKUP($A220,Haver_M!$B$1:$BZ$300,MATCH(data!AY$1,Haver_M!$B$1:$BZ$1,0),FALSE),"")</f>
        <v>53.7468</v>
      </c>
      <c r="AZ220">
        <f>IF(ISNUMBER(VLOOKUP($A220,Haver_M!$B$1:$BZ$300,MATCH(data!AZ$1,Haver_M!$B$1:$BZ$1,0),FALSE)),VLOOKUP($A220,Haver_M!$B$1:$BZ$300,MATCH(data!AZ$1,Haver_M!$B$1:$BZ$1,0),FALSE),"")</f>
        <v>50.351999999999997</v>
      </c>
      <c r="BA220">
        <f>IF(ISNUMBER(VLOOKUP($A220,Haver_M!$B$1:$BZ$300,MATCH(data!BA$1,Haver_M!$B$1:$BZ$1,0),FALSE)),VLOOKUP($A220,Haver_M!$B$1:$BZ$300,MATCH(data!BA$1,Haver_M!$B$1:$BZ$1,0),FALSE),"")</f>
        <v>50.622799999999998</v>
      </c>
      <c r="BB220">
        <f>IF(ISNUMBER(VLOOKUP($A220,Haver_M!$B$1:$BZ$300,MATCH(data!BB$1,Haver_M!$B$1:$BZ$1,0),FALSE)),VLOOKUP($A220,Haver_M!$B$1:$BZ$300,MATCH(data!BB$1,Haver_M!$B$1:$BZ$1,0),FALSE),"")</f>
        <v>51.082099999999997</v>
      </c>
      <c r="BC220">
        <f>IF(ISNUMBER(VLOOKUP($A220,Haver_M!$B$1:$BZ$300,MATCH(data!BC$1,Haver_M!$B$1:$BZ$1,0),FALSE)),VLOOKUP($A220,Haver_M!$B$1:$BZ$300,MATCH(data!BC$1,Haver_M!$B$1:$BZ$1,0),FALSE),"")</f>
        <v>50.415799999999997</v>
      </c>
      <c r="BD220">
        <f>IF(ISNUMBER(VLOOKUP($A220,Haver_M!$B$1:$BZ$300,MATCH(data!BD$1,Haver_M!$B$1:$BZ$1,0),FALSE)),VLOOKUP($A220,Haver_M!$B$1:$BZ$300,MATCH(data!BD$1,Haver_M!$B$1:$BZ$1,0),FALSE),"")</f>
        <v>49.808399999999999</v>
      </c>
      <c r="BE220">
        <f>IF(ISNUMBER(VLOOKUP($A220,Haver_M!$B$1:$BZ$300,MATCH(data!BE$1,Haver_M!$B$1:$BZ$1,0),FALSE)),VLOOKUP($A220,Haver_M!$B$1:$BZ$300,MATCH(data!BE$1,Haver_M!$B$1:$BZ$1,0),FALSE),"")</f>
        <v>1.1383000000000001</v>
      </c>
      <c r="BF220">
        <f>IF(ISNUMBER(VLOOKUP($A220,Haver_M!$B$1:$BZ$300,MATCH(data!BF$1,Haver_M!$B$1:$BZ$1,0),FALSE)),VLOOKUP($A220,Haver_M!$B$1:$BZ$300,MATCH(data!BF$1,Haver_M!$B$1:$BZ$1,0),FALSE),"")</f>
        <v>52.8401</v>
      </c>
      <c r="BG220">
        <f>IF(ISNUMBER(VLOOKUP($A220,Haver_M!$B$1:$BZ$300,MATCH(data!BG$1,Haver_M!$B$1:$BZ$1,0),FALSE)),VLOOKUP($A220,Haver_M!$B$1:$BZ$300,MATCH(data!BG$1,Haver_M!$B$1:$BZ$1,0),FALSE),"")</f>
        <v>51.846200000000003</v>
      </c>
      <c r="BH220">
        <f>IF(ISNUMBER(VLOOKUP($A220,Haver_M!$B$1:$BZ$300,MATCH(data!BH$1,Haver_M!$B$1:$BZ$1,0),FALSE)),VLOOKUP($A220,Haver_M!$B$1:$BZ$300,MATCH(data!BH$1,Haver_M!$B$1:$BZ$1,0),FALSE),"")</f>
        <v>50.570700000000002</v>
      </c>
      <c r="BI220">
        <f>IF(ISNUMBER(VLOOKUP($A220,Haver_M!$B$1:$BZ$300,MATCH(data!BI$1,Haver_M!$B$1:$BZ$1,0),FALSE)),VLOOKUP($A220,Haver_M!$B$1:$BZ$300,MATCH(data!BI$1,Haver_M!$B$1:$BZ$1,0),FALSE),"")</f>
        <v>53.794199999999996</v>
      </c>
      <c r="BJ220">
        <f>IF(ISNUMBER(VLOOKUP($A220,Haver_M!$B$1:$BZ$300,MATCH(data!BJ$1,Haver_M!$B$1:$BZ$1,0),FALSE)),VLOOKUP($A220,Haver_M!$B$1:$BZ$300,MATCH(data!BJ$1,Haver_M!$B$1:$BZ$1,0),FALSE),"")</f>
        <v>49.887700000000002</v>
      </c>
      <c r="BK220">
        <f>IF(ISNUMBER(VLOOKUP($A220,Haver_M!$B$1:$BZ$300,MATCH(data!BK$1,Haver_M!$B$1:$BZ$1,0),FALSE)),VLOOKUP($A220,Haver_M!$B$1:$BZ$300,MATCH(data!BK$1,Haver_M!$B$1:$BZ$1,0),FALSE),"")</f>
        <v>53.430700000000002</v>
      </c>
      <c r="BL220">
        <f>IF(ISNUMBER(VLOOKUP($A220,Haver_M!$B$1:$BZ$300,MATCH(data!BL$1,Haver_M!$B$1:$BZ$1,0),FALSE)),VLOOKUP($A220,Haver_M!$B$1:$BZ$300,MATCH(data!BL$1,Haver_M!$B$1:$BZ$1,0),FALSE),"")</f>
        <v>33323.32</v>
      </c>
      <c r="BM220">
        <f>IF(ISNUMBER(VLOOKUP($A220,Haver_M!$B$1:$BZ$300,MATCH(data!BM$1,Haver_M!$B$1:$BZ$1,0),FALSE)),VLOOKUP($A220,Haver_M!$B$1:$BZ$300,MATCH(data!BM$1,Haver_M!$B$1:$BZ$1,0),FALSE),"")</f>
        <v>102.29551637</v>
      </c>
      <c r="BN220">
        <f>IF(ISNUMBER(VLOOKUP($A220,Haver_M!$B$1:$BZ$300,MATCH(data!BN$1,Haver_M!$B$1:$BZ$1,0),FALSE)),VLOOKUP($A220,Haver_M!$B$1:$BZ$300,MATCH(data!BN$1,Haver_M!$B$1:$BZ$1,0),FALSE),"")</f>
        <v>112.4</v>
      </c>
      <c r="BO220">
        <f>IF(ISNUMBER(VLOOKUP($A220,Haver_M!$B$1:$BZ$300,MATCH(data!BO$1,Haver_M!$B$1:$BZ$1,0),FALSE)),VLOOKUP($A220,Haver_M!$B$1:$BZ$300,MATCH(data!BO$1,Haver_M!$B$1:$BZ$1,0),FALSE),"")</f>
        <v>115.8</v>
      </c>
      <c r="BP220">
        <f>IF(ISNUMBER(VLOOKUP($A220,Haver_M!$B$1:$BZ$300,MATCH(data!BP$1,Haver_M!$B$1:$BZ$1,0),FALSE)),VLOOKUP($A220,Haver_M!$B$1:$BZ$300,MATCH(data!BP$1,Haver_M!$B$1:$BZ$1,0),FALSE),"")</f>
        <v>36.1</v>
      </c>
      <c r="BQ220">
        <f>IF(ISNUMBER(VLOOKUP($A220,Haver_M!$B$1:$BZ$300,MATCH(data!BQ$1,Haver_M!$B$1:$BZ$1,0),FALSE)),VLOOKUP($A220,Haver_M!$B$1:$BZ$300,MATCH(data!BQ$1,Haver_M!$B$1:$BZ$1,0),FALSE),"")</f>
        <v>293.51443296273681</v>
      </c>
      <c r="BR220">
        <f>IF(ISNUMBER(VLOOKUP($A220,Haver_M!$B$1:$BZ$300,MATCH(data!BR$1,Haver_M!$B$1:$BZ$1,0),FALSE)),VLOOKUP($A220,Haver_M!$B$1:$BZ$300,MATCH(data!BR$1,Haver_M!$B$1:$BZ$1,0),FALSE),"")</f>
        <v>415.13596313823319</v>
      </c>
      <c r="BS220">
        <f>IF(ISNUMBER(VLOOKUP($A220,Haver_M!$B$1:$BZ$300,MATCH(data!BS$1,Haver_M!$B$1:$BZ$1,0),FALSE)),VLOOKUP($A220,Haver_M!$B$1:$BZ$300,MATCH(data!BS$1,Haver_M!$B$1:$BZ$1,0),FALSE),"")</f>
        <v>315.35389172471179</v>
      </c>
      <c r="BT220">
        <f>IF(ISNUMBER(VLOOKUP($A220,Haver_M!$B$1:$BZ$300,MATCH(data!BT$1,Haver_M!$B$1:$BZ$1,0),FALSE)),VLOOKUP($A220,Haver_M!$B$1:$BZ$300,MATCH(data!BT$1,Haver_M!$B$1:$BZ$1,0),FALSE),"")</f>
        <v>1182.4468289622016</v>
      </c>
      <c r="BU220">
        <f>IF(ISNUMBER(VLOOKUP($A220,Haver_M!$B$1:$BZ$300,MATCH(data!BU$1,Haver_M!$B$1:$BZ$1,0),FALSE)),VLOOKUP($A220,Haver_M!$B$1:$BZ$300,MATCH(data!BU$1,Haver_M!$B$1:$BZ$1,0),FALSE),"")</f>
        <v>29167.03</v>
      </c>
      <c r="BV220">
        <f>IF(ISNUMBER(VLOOKUP($A220,Haver_M!$B$1:$BZ$300,MATCH(data!BV$1,Haver_M!$B$1:$BZ$1,0),FALSE)),VLOOKUP($A220,Haver_M!$B$1:$BZ$300,MATCH(data!BV$1,Haver_M!$B$1:$BZ$1,0),FALSE),"")</f>
        <v>42801.16</v>
      </c>
      <c r="BW220">
        <f>IF(ISNUMBER(VLOOKUP($A220,Haver_M!$B$1:$BZ$300,MATCH(data!BW$1,Haver_M!$B$1:$BZ$1,0),FALSE)),VLOOKUP($A220,Haver_M!$B$1:$BZ$300,MATCH(data!BW$1,Haver_M!$B$1:$BZ$1,0),FALSE),"")</f>
        <v>65.021299999999997</v>
      </c>
      <c r="BX220">
        <f>IF(ISNUMBER(VLOOKUP($A220,Haver_M!$B$1:$BZ$300,MATCH(data!BX$1,Haver_M!$B$1:$BZ$1,0),FALSE)),VLOOKUP($A220,Haver_M!$B$1:$BZ$300,MATCH(data!BX$1,Haver_M!$B$1:$BZ$1,0),FALSE),"")</f>
        <v>45933</v>
      </c>
    </row>
    <row r="221" spans="1:76" x14ac:dyDescent="0.25">
      <c r="A221" s="2">
        <v>43220</v>
      </c>
      <c r="B221" t="str">
        <f>IF(ISNUMBER(VLOOKUP($A221,Haver_Q!$B$1:$L$185,MATCH(data!B$1,Haver_Q!$B$1:$L$1,0),FALSE)),100*(VLOOKUP($A221,Haver_Q!$B$1:$L$185,MATCH(data!B$1,Haver_Q!$B$1:$L$1,0),FALSE)),"")</f>
        <v/>
      </c>
      <c r="C221" t="str">
        <f>IF(ISNUMBER(VLOOKUP($A221,Haver_Q!$B$1:$L$185,MATCH(data!C$1,Haver_Q!$B$1:$L$1,0),FALSE)),100*(VLOOKUP($A221,Haver_Q!$B$1:$L$185,MATCH(data!C$1,Haver_Q!$B$1:$L$1,0),FALSE)),"")</f>
        <v/>
      </c>
      <c r="D221" t="str">
        <f>IF(ISNUMBER(VLOOKUP($A221,Haver_Q!$B$1:$L$185,MATCH(data!D$1,Haver_Q!$B$1:$L$1,0),FALSE)),100*(VLOOKUP($A221,Haver_Q!$B$1:$L$185,MATCH(data!D$1,Haver_Q!$B$1:$L$1,0),FALSE)),"")</f>
        <v/>
      </c>
      <c r="E221" t="str">
        <f>IF(ISNUMBER(VLOOKUP($A221,Haver_Q!$B$1:$L$185,MATCH(data!E$1,Haver_Q!$B$1:$L$1,0),FALSE)),100*(VLOOKUP($A221,Haver_Q!$B$1:$L$185,MATCH(data!E$1,Haver_Q!$B$1:$L$1,0),FALSE)),"")</f>
        <v/>
      </c>
      <c r="F221" t="str">
        <f>IF(ISNUMBER(VLOOKUP($A221,Haver_Q!$B$1:$L$185,MATCH(data!F$1,Haver_Q!$B$1:$L$1,0),FALSE)),100*(VLOOKUP($A221,Haver_Q!$B$1:$L$185,MATCH(data!F$1,Haver_Q!$B$1:$L$1,0),FALSE)),"")</f>
        <v/>
      </c>
      <c r="G221" t="str">
        <f>IF(ISNUMBER(VLOOKUP($A221,Haver_Q!$B$1:$L$185,MATCH(data!G$1,Haver_Q!$B$1:$L$1,0),FALSE)),100*(VLOOKUP($A221,Haver_Q!$B$1:$L$185,MATCH(data!G$1,Haver_Q!$B$1:$L$1,0),FALSE)),"")</f>
        <v/>
      </c>
      <c r="H221" t="str">
        <f>IF(ISNUMBER(VLOOKUP($A221,Haver_Q!$B$1:$L$185,MATCH(data!H$1,Haver_Q!$B$1:$L$1,0),FALSE)),(VLOOKUP($A221,Haver_Q!$B$1:$L$185,MATCH(data!H$1,Haver_Q!$B$1:$L$1,0),FALSE)),"")</f>
        <v/>
      </c>
      <c r="I221" t="str">
        <f>IF(ISNUMBER(VLOOKUP($A221,Haver_Q!$B$1:$L$185,MATCH(data!I$1,Haver_Q!$B$1:$L$1,0),FALSE)),100*(VLOOKUP($A221,Haver_Q!$B$1:$L$185,MATCH(data!I$1,Haver_Q!$B$1:$L$1,0),FALSE)),"")</f>
        <v/>
      </c>
      <c r="J221" s="3">
        <f>IF(ISNUMBER(Bloomberg_m!C237),Bloomberg_m!C237,"")</f>
        <v>1129</v>
      </c>
      <c r="K221" s="3">
        <f>IF(ISNUMBER(Bloomberg_m!D237),Bloomberg_m!D237,"")</f>
        <v>1186.67</v>
      </c>
      <c r="L221" s="3">
        <f>IF(ISNUMBER(Bloomberg_m!E237),Bloomberg_m!E237,"")</f>
        <v>687.29</v>
      </c>
      <c r="M221" s="3">
        <f>IF(ISNUMBER(Bloomberg_m!F237),Bloomberg_m!F237,"")</f>
        <v>471.92</v>
      </c>
      <c r="N221">
        <f>IF(ISNUMBER(VLOOKUP($A221,Haver_M!$B$1:$BZ$300,MATCH(data!N$1,Haver_M!$B$1:$BZ$1,0),FALSE)),VLOOKUP($A221,Haver_M!$B$1:$BZ$300,MATCH(data!N$1,Haver_M!$B$1:$BZ$1,0),FALSE),"")</f>
        <v>6</v>
      </c>
      <c r="O221">
        <f>IF(ISNUMBER(VLOOKUP($A221,Haver_M!$B$1:$BZ$300,MATCH(data!O$1,Haver_M!$B$1:$BZ$1,0),FALSE)),VLOOKUP($A221,Haver_M!$B$1:$BZ$300,MATCH(data!O$1,Haver_M!$B$1:$BZ$1,0),FALSE),"")</f>
        <v>7.8013000000000003</v>
      </c>
      <c r="P221">
        <f>IF(ISNUMBER(VLOOKUP($A221,Haver_M!$B$1:$BZ$300,MATCH(data!P$1,Haver_M!$B$1:$BZ$1,0),FALSE)),VLOOKUP($A221,Haver_M!$B$1:$BZ$300,MATCH(data!P$1,Haver_M!$B$1:$BZ$1,0),FALSE),"")</f>
        <v>89.094790000000003</v>
      </c>
      <c r="Q221">
        <f>IF(ISNUMBER(VLOOKUP($A221,Haver_M!$B$1:$BZ$300,MATCH(data!Q$1,Haver_M!$B$1:$BZ$1,0),FALSE)),VLOOKUP($A221,Haver_M!$B$1:$BZ$300,MATCH(data!Q$1,Haver_M!$B$1:$BZ$1,0),FALSE),"")</f>
        <v>137.1</v>
      </c>
      <c r="R221">
        <f>IF(ISNUMBER(VLOOKUP($A221,Haver_M!$B$1:$BZ$300,MATCH(data!R$1,Haver_M!$B$1:$BZ$1,0),FALSE)),VLOOKUP($A221,Haver_M!$B$1:$BZ$300,MATCH(data!R$1,Haver_M!$B$1:$BZ$1,0),FALSE),"")</f>
        <v>138.19999999999999</v>
      </c>
      <c r="S221">
        <f>IF(ISNUMBER(VLOOKUP($A221,Haver_M!$B$1:$BZ$300,MATCH(data!S$1,Haver_M!$B$1:$BZ$1,0),FALSE)),VLOOKUP($A221,Haver_M!$B$1:$BZ$300,MATCH(data!S$1,Haver_M!$B$1:$BZ$1,0),FALSE),"")</f>
        <v>127.74</v>
      </c>
      <c r="T221">
        <f>IF(ISNUMBER(VLOOKUP($A221,Haver_M!$B$1:$BZ$300,MATCH(data!T$1,Haver_M!$B$1:$BZ$1,0),FALSE)),VLOOKUP($A221,Haver_M!$B$1:$BZ$300,MATCH(data!T$1,Haver_M!$B$1:$BZ$1,0),FALSE),"")</f>
        <v>123.7</v>
      </c>
      <c r="U221">
        <f>IF(ISNUMBER(VLOOKUP($A221,Haver_M!$B$1:$BZ$300,MATCH(data!U$1,Haver_M!$B$1:$BZ$1,0),FALSE)),VLOOKUP($A221,Haver_M!$B$1:$BZ$300,MATCH(data!U$1,Haver_M!$B$1:$BZ$1,0),FALSE),"")</f>
        <v>109.71</v>
      </c>
      <c r="V221">
        <f>IF(ISNUMBER(VLOOKUP($A221,Haver_M!$B$1:$BZ$300,MATCH(data!V$1,Haver_M!$B$1:$BZ$1,0),FALSE)),VLOOKUP($A221,Haver_M!$B$1:$BZ$300,MATCH(data!V$1,Haver_M!$B$1:$BZ$1,0),FALSE),"")</f>
        <v>123.54</v>
      </c>
      <c r="W221">
        <f>IF(ISNUMBER(VLOOKUP($A221,Haver_M!$B$1:$BZ$300,MATCH(data!W$1,Haver_M!$B$1:$BZ$1,0),FALSE)),VLOOKUP($A221,Haver_M!$B$1:$BZ$300,MATCH(data!W$1,Haver_M!$B$1:$BZ$1,0),FALSE),"")</f>
        <v>137.44</v>
      </c>
      <c r="X221">
        <f>IF(ISNUMBER(VLOOKUP($A221,Haver_M!$B$1:$BZ$300,MATCH(data!X$1,Haver_M!$B$1:$BZ$1,0),FALSE)),VLOOKUP($A221,Haver_M!$B$1:$BZ$300,MATCH(data!X$1,Haver_M!$B$1:$BZ$1,0),FALSE),"")</f>
        <v>127.93</v>
      </c>
      <c r="Y221">
        <f>IF(ISNUMBER(VLOOKUP($A221,Haver_M!$B$1:$BZ$300,MATCH(data!Y$1,Haver_M!$B$1:$BZ$1,0),FALSE)),VLOOKUP($A221,Haver_M!$B$1:$BZ$300,MATCH(data!Y$1,Haver_M!$B$1:$BZ$1,0),FALSE),"")</f>
        <v>141.41</v>
      </c>
      <c r="Z221">
        <f>IF(ISNUMBER(VLOOKUP($A221,Haver_M!$B$1:$BZ$300,MATCH(data!Z$1,Haver_M!$B$1:$BZ$1,0),FALSE)),VLOOKUP($A221,Haver_M!$B$1:$BZ$300,MATCH(data!Z$1,Haver_M!$B$1:$BZ$1,0),FALSE),"")</f>
        <v>128.69999999999999</v>
      </c>
      <c r="AA221">
        <f>IF(ISNUMBER(VLOOKUP($A221,Haver_M!$B$1:$BZ$300,MATCH(data!AA$1,Haver_M!$B$1:$BZ$1,0),FALSE)),VLOOKUP($A221,Haver_M!$B$1:$BZ$300,MATCH(data!AA$1,Haver_M!$B$1:$BZ$1,0),FALSE),"")</f>
        <v>131.28899999999999</v>
      </c>
      <c r="AB221">
        <f>IF(ISNUMBER(VLOOKUP($A221,Haver_M!$B$1:$BZ$300,MATCH(data!AB$1,Haver_M!$B$1:$BZ$1,0),FALSE)),VLOOKUP($A221,Haver_M!$B$1:$BZ$300,MATCH(data!AB$1,Haver_M!$B$1:$BZ$1,0),FALSE),"")</f>
        <v>93.23</v>
      </c>
      <c r="AC221">
        <f>IF(ISNUMBER(VLOOKUP($A221,Haver_M!$B$1:$BZ$300,MATCH(data!AC$1,Haver_M!$B$1:$BZ$1,0),FALSE)),VLOOKUP($A221,Haver_M!$B$1:$BZ$300,MATCH(data!AC$1,Haver_M!$B$1:$BZ$1,0),FALSE),"")</f>
        <v>69.206000000000003</v>
      </c>
      <c r="AD221">
        <f>IF(ISNUMBER(VLOOKUP($A221,Haver_M!$B$1:$BZ$300,MATCH(data!AD$1,Haver_M!$B$1:$BZ$1,0),FALSE)),VLOOKUP($A221,Haver_M!$B$1:$BZ$300,MATCH(data!AD$1,Haver_M!$B$1:$BZ$1,0),FALSE),"")</f>
        <v>125.649</v>
      </c>
      <c r="AE221">
        <f>IF(ISNUMBER(VLOOKUP($A221,Haver_M!$B$1:$BZ$300,MATCH(data!AE$1,Haver_M!$B$1:$BZ$1,0),FALSE)),VLOOKUP($A221,Haver_M!$B$1:$BZ$300,MATCH(data!AE$1,Haver_M!$B$1:$BZ$1,0),FALSE),"")</f>
        <v>111.20699999999999</v>
      </c>
      <c r="AF221">
        <f>IF(ISNUMBER(VLOOKUP($A221,Haver_M!$B$1:$BZ$300,MATCH(data!AF$1,Haver_M!$B$1:$BZ$1,0),FALSE)),VLOOKUP($A221,Haver_M!$B$1:$BZ$300,MATCH(data!AF$1,Haver_M!$B$1:$BZ$1,0),FALSE),"")</f>
        <v>142.30600000000001</v>
      </c>
      <c r="AG221">
        <f>IF(ISNUMBER(VLOOKUP($A221,Haver_M!$B$1:$BZ$300,MATCH(data!AG$1,Haver_M!$B$1:$BZ$1,0),FALSE)),VLOOKUP($A221,Haver_M!$B$1:$BZ$300,MATCH(data!AG$1,Haver_M!$B$1:$BZ$1,0),FALSE),"")</f>
        <v>143.744</v>
      </c>
      <c r="AH221">
        <f>IF(ISNUMBER(VLOOKUP($A221,Haver_M!$B$1:$BZ$300,MATCH(data!AH$1,Haver_M!$B$1:$BZ$1,0),FALSE)),VLOOKUP($A221,Haver_M!$B$1:$BZ$300,MATCH(data!AH$1,Haver_M!$B$1:$BZ$1,0),FALSE),"")</f>
        <v>151.63499999999999</v>
      </c>
      <c r="AI221">
        <f>IF(ISNUMBER(VLOOKUP($A221,Haver_M!$B$1:$BZ$300,MATCH(data!AI$1,Haver_M!$B$1:$BZ$1,0),FALSE)),VLOOKUP($A221,Haver_M!$B$1:$BZ$300,MATCH(data!AI$1,Haver_M!$B$1:$BZ$1,0),FALSE),"")</f>
        <v>17442.909416609706</v>
      </c>
      <c r="AJ221">
        <f>IF(ISNUMBER(VLOOKUP($A221,Haver_M!$B$1:$BZ$300,MATCH(data!AJ$1,Haver_M!$B$1:$BZ$1,0),FALSE)),VLOOKUP($A221,Haver_M!$B$1:$BZ$300,MATCH(data!AJ$1,Haver_M!$B$1:$BZ$1,0),FALSE),"")</f>
        <v>26559.79</v>
      </c>
      <c r="AK221">
        <f>IF(ISNUMBER(VLOOKUP($A221,Haver_M!$B$1:$BZ$300,MATCH(data!AK$1,Haver_M!$B$1:$BZ$1,0),FALSE)),VLOOKUP($A221,Haver_M!$B$1:$BZ$300,MATCH(data!AK$1,Haver_M!$B$1:$BZ$1,0),FALSE),"")</f>
        <v>40319.879999999997</v>
      </c>
      <c r="AL221">
        <f>IF(ISNUMBER(VLOOKUP($A221,Haver_M!$B$1:$BZ$300,MATCH(data!AL$1,Haver_M!$B$1:$BZ$1,0),FALSE)),VLOOKUP($A221,Haver_M!$B$1:$BZ$300,MATCH(data!AL$1,Haver_M!$B$1:$BZ$1,0),FALSE),"")</f>
        <v>17563</v>
      </c>
      <c r="AM221">
        <f>IF(ISNUMBER(VLOOKUP($A221,Haver_M!$B$1:$BZ$300,MATCH(data!AM$1,Haver_M!$B$1:$BZ$1,0),FALSE)),VLOOKUP($A221,Haver_M!$B$1:$BZ$300,MATCH(data!AM$1,Haver_M!$B$1:$BZ$1,0),FALSE),"")</f>
        <v>10915</v>
      </c>
      <c r="AN221" t="str">
        <f>IF(ISNUMBER(VLOOKUP($A221,Haver_M!$B$1:$BZ$300,MATCH(data!AN$1,Haver_M!$B$1:$BZ$1,0),FALSE)),VLOOKUP($A221,Haver_M!$B$1:$BZ$300,MATCH(data!AN$1,Haver_M!$B$1:$BZ$1,0),FALSE),"")</f>
        <v/>
      </c>
      <c r="AO221" t="str">
        <f>IF(ISNUMBER(VLOOKUP($A221,Haver_M!$B$1:$BZ$300,MATCH(data!AO$1,Haver_M!$B$1:$BZ$1,0),FALSE)),VLOOKUP($A221,Haver_M!$B$1:$BZ$300,MATCH(data!AO$1,Haver_M!$B$1:$BZ$1,0),FALSE),"")</f>
        <v/>
      </c>
      <c r="AP221">
        <f>IF(ISNUMBER(VLOOKUP($A221,Haver_M!$B$1:$BZ$300,MATCH(data!AP$1,Haver_M!$B$1:$BZ$1,0),FALSE)),VLOOKUP($A221,Haver_M!$B$1:$BZ$300,MATCH(data!AP$1,Haver_M!$B$1:$BZ$1,0),FALSE),"")</f>
        <v>42.43494299677738</v>
      </c>
      <c r="AQ221">
        <f>IF(ISNUMBER(VLOOKUP($A221,Haver_M!$B$1:$BZ$300,MATCH(data!AQ$1,Haver_M!$B$1:$BZ$1,0),FALSE)),VLOOKUP($A221,Haver_M!$B$1:$BZ$300,MATCH(data!AQ$1,Haver_M!$B$1:$BZ$1,0),FALSE),"")</f>
        <v>51.85</v>
      </c>
      <c r="AR221">
        <f>IF(ISNUMBER(VLOOKUP($A221,Haver_M!$B$1:$BZ$300,MATCH(data!AR$1,Haver_M!$B$1:$BZ$1,0),FALSE)),VLOOKUP($A221,Haver_M!$B$1:$BZ$300,MATCH(data!AR$1,Haver_M!$B$1:$BZ$1,0),FALSE),"")</f>
        <v>51.628399999999999</v>
      </c>
      <c r="AS221">
        <f>IF(ISNUMBER(VLOOKUP($A221,Haver_M!$B$1:$BZ$300,MATCH(data!AS$1,Haver_M!$B$1:$BZ$1,0),FALSE)),VLOOKUP($A221,Haver_M!$B$1:$BZ$300,MATCH(data!AS$1,Haver_M!$B$1:$BZ$1,0),FALSE),"")</f>
        <v>51.386499999999998</v>
      </c>
      <c r="AT221">
        <f>IF(ISNUMBER(VLOOKUP($A221,Haver_M!$B$1:$BZ$300,MATCH(data!AT$1,Haver_M!$B$1:$BZ$1,0),FALSE)),VLOOKUP($A221,Haver_M!$B$1:$BZ$300,MATCH(data!AT$1,Haver_M!$B$1:$BZ$1,0),FALSE),"")</f>
        <v>52.873399999999997</v>
      </c>
      <c r="AU221">
        <f>IF(ISNUMBER(VLOOKUP($A221,Haver_M!$B$1:$BZ$300,MATCH(data!AU$1,Haver_M!$B$1:$BZ$1,0),FALSE)),VLOOKUP($A221,Haver_M!$B$1:$BZ$300,MATCH(data!AU$1,Haver_M!$B$1:$BZ$1,0),FALSE),"")</f>
        <v>51.952800000000003</v>
      </c>
      <c r="AV221">
        <f>IF(ISNUMBER(VLOOKUP($A221,Haver_M!$B$1:$BZ$300,MATCH(data!AV$1,Haver_M!$B$1:$BZ$1,0),FALSE)),VLOOKUP($A221,Haver_M!$B$1:$BZ$300,MATCH(data!AV$1,Haver_M!$B$1:$BZ$1,0),FALSE),"")</f>
        <v>50.893799999999999</v>
      </c>
      <c r="AW221">
        <f>IF(ISNUMBER(VLOOKUP($A221,Haver_M!$B$1:$BZ$300,MATCH(data!AW$1,Haver_M!$B$1:$BZ$1,0),FALSE)),VLOOKUP($A221,Haver_M!$B$1:$BZ$300,MATCH(data!AW$1,Haver_M!$B$1:$BZ$1,0),FALSE),"")</f>
        <v>49.951599999999999</v>
      </c>
      <c r="AX221">
        <f>IF(ISNUMBER(VLOOKUP($A221,Haver_M!$B$1:$BZ$300,MATCH(data!AX$1,Haver_M!$B$1:$BZ$1,0),FALSE)),VLOOKUP($A221,Haver_M!$B$1:$BZ$300,MATCH(data!AX$1,Haver_M!$B$1:$BZ$1,0),FALSE),"")</f>
        <v>51.381399999999999</v>
      </c>
      <c r="AY221">
        <f>IF(ISNUMBER(VLOOKUP($A221,Haver_M!$B$1:$BZ$300,MATCH(data!AY$1,Haver_M!$B$1:$BZ$1,0),FALSE)),VLOOKUP($A221,Haver_M!$B$1:$BZ$300,MATCH(data!AY$1,Haver_M!$B$1:$BZ$1,0),FALSE),"")</f>
        <v>52.9328</v>
      </c>
      <c r="AZ221">
        <f>IF(ISNUMBER(VLOOKUP($A221,Haver_M!$B$1:$BZ$300,MATCH(data!AZ$1,Haver_M!$B$1:$BZ$1,0),FALSE)),VLOOKUP($A221,Haver_M!$B$1:$BZ$300,MATCH(data!AZ$1,Haver_M!$B$1:$BZ$1,0),FALSE),"")</f>
        <v>51.900300000000001</v>
      </c>
      <c r="BA221">
        <f>IF(ISNUMBER(VLOOKUP($A221,Haver_M!$B$1:$BZ$300,MATCH(data!BA$1,Haver_M!$B$1:$BZ$1,0),FALSE)),VLOOKUP($A221,Haver_M!$B$1:$BZ$300,MATCH(data!BA$1,Haver_M!$B$1:$BZ$1,0),FALSE),"")</f>
        <v>51.381399999999999</v>
      </c>
      <c r="BB221">
        <f>IF(ISNUMBER(VLOOKUP($A221,Haver_M!$B$1:$BZ$300,MATCH(data!BB$1,Haver_M!$B$1:$BZ$1,0),FALSE)),VLOOKUP($A221,Haver_M!$B$1:$BZ$300,MATCH(data!BB$1,Haver_M!$B$1:$BZ$1,0),FALSE),"")</f>
        <v>50.811599999999999</v>
      </c>
      <c r="BC221">
        <f>IF(ISNUMBER(VLOOKUP($A221,Haver_M!$B$1:$BZ$300,MATCH(data!BC$1,Haver_M!$B$1:$BZ$1,0),FALSE)),VLOOKUP($A221,Haver_M!$B$1:$BZ$300,MATCH(data!BC$1,Haver_M!$B$1:$BZ$1,0),FALSE),"")</f>
        <v>50.307600000000001</v>
      </c>
      <c r="BD221">
        <f>IF(ISNUMBER(VLOOKUP($A221,Haver_M!$B$1:$BZ$300,MATCH(data!BD$1,Haver_M!$B$1:$BZ$1,0),FALSE)),VLOOKUP($A221,Haver_M!$B$1:$BZ$300,MATCH(data!BD$1,Haver_M!$B$1:$BZ$1,0),FALSE),"")</f>
        <v>50.211500000000001</v>
      </c>
      <c r="BE221">
        <f>IF(ISNUMBER(VLOOKUP($A221,Haver_M!$B$1:$BZ$300,MATCH(data!BE$1,Haver_M!$B$1:$BZ$1,0),FALSE)),VLOOKUP($A221,Haver_M!$B$1:$BZ$300,MATCH(data!BE$1,Haver_M!$B$1:$BZ$1,0),FALSE),"")</f>
        <v>1.1704000000000001</v>
      </c>
      <c r="BF221">
        <f>IF(ISNUMBER(VLOOKUP($A221,Haver_M!$B$1:$BZ$300,MATCH(data!BF$1,Haver_M!$B$1:$BZ$1,0),FALSE)),VLOOKUP($A221,Haver_M!$B$1:$BZ$300,MATCH(data!BF$1,Haver_M!$B$1:$BZ$1,0),FALSE),"")</f>
        <v>53.344200000000001</v>
      </c>
      <c r="BG221">
        <f>IF(ISNUMBER(VLOOKUP($A221,Haver_M!$B$1:$BZ$300,MATCH(data!BG$1,Haver_M!$B$1:$BZ$1,0),FALSE)),VLOOKUP($A221,Haver_M!$B$1:$BZ$300,MATCH(data!BG$1,Haver_M!$B$1:$BZ$1,0),FALSE),"")</f>
        <v>51.496299999999998</v>
      </c>
      <c r="BH221">
        <f>IF(ISNUMBER(VLOOKUP($A221,Haver_M!$B$1:$BZ$300,MATCH(data!BH$1,Haver_M!$B$1:$BZ$1,0),FALSE)),VLOOKUP($A221,Haver_M!$B$1:$BZ$300,MATCH(data!BH$1,Haver_M!$B$1:$BZ$1,0),FALSE),"")</f>
        <v>51.446800000000003</v>
      </c>
      <c r="BI221">
        <f>IF(ISNUMBER(VLOOKUP($A221,Haver_M!$B$1:$BZ$300,MATCH(data!BI$1,Haver_M!$B$1:$BZ$1,0),FALSE)),VLOOKUP($A221,Haver_M!$B$1:$BZ$300,MATCH(data!BI$1,Haver_M!$B$1:$BZ$1,0),FALSE),"")</f>
        <v>52.4221</v>
      </c>
      <c r="BJ221">
        <f>IF(ISNUMBER(VLOOKUP($A221,Haver_M!$B$1:$BZ$300,MATCH(data!BJ$1,Haver_M!$B$1:$BZ$1,0),FALSE)),VLOOKUP($A221,Haver_M!$B$1:$BZ$300,MATCH(data!BJ$1,Haver_M!$B$1:$BZ$1,0),FALSE),"")</f>
        <v>49.876100000000001</v>
      </c>
      <c r="BK221">
        <f>IF(ISNUMBER(VLOOKUP($A221,Haver_M!$B$1:$BZ$300,MATCH(data!BK$1,Haver_M!$B$1:$BZ$1,0),FALSE)),VLOOKUP($A221,Haver_M!$B$1:$BZ$300,MATCH(data!BK$1,Haver_M!$B$1:$BZ$1,0),FALSE),"")</f>
        <v>53.081200000000003</v>
      </c>
      <c r="BL221">
        <f>IF(ISNUMBER(VLOOKUP($A221,Haver_M!$B$1:$BZ$300,MATCH(data!BL$1,Haver_M!$B$1:$BZ$1,0),FALSE)),VLOOKUP($A221,Haver_M!$B$1:$BZ$300,MATCH(data!BL$1,Haver_M!$B$1:$BZ$1,0),FALSE),"")</f>
        <v>34145.68</v>
      </c>
      <c r="BM221">
        <f>IF(ISNUMBER(VLOOKUP($A221,Haver_M!$B$1:$BZ$300,MATCH(data!BM$1,Haver_M!$B$1:$BZ$1,0),FALSE)),VLOOKUP($A221,Haver_M!$B$1:$BZ$300,MATCH(data!BM$1,Haver_M!$B$1:$BZ$1,0),FALSE),"")</f>
        <v>102.19118023</v>
      </c>
      <c r="BN221" t="str">
        <f>IF(ISNUMBER(VLOOKUP($A221,Haver_M!$B$1:$BZ$300,MATCH(data!BN$1,Haver_M!$B$1:$BZ$1,0),FALSE)),VLOOKUP($A221,Haver_M!$B$1:$BZ$300,MATCH(data!BN$1,Haver_M!$B$1:$BZ$1,0),FALSE),"")</f>
        <v/>
      </c>
      <c r="BO221" t="str">
        <f>IF(ISNUMBER(VLOOKUP($A221,Haver_M!$B$1:$BZ$300,MATCH(data!BO$1,Haver_M!$B$1:$BZ$1,0),FALSE)),VLOOKUP($A221,Haver_M!$B$1:$BZ$300,MATCH(data!BO$1,Haver_M!$B$1:$BZ$1,0),FALSE),"")</f>
        <v/>
      </c>
      <c r="BP221" t="str">
        <f>IF(ISNUMBER(VLOOKUP($A221,Haver_M!$B$1:$BZ$300,MATCH(data!BP$1,Haver_M!$B$1:$BZ$1,0),FALSE)),VLOOKUP($A221,Haver_M!$B$1:$BZ$300,MATCH(data!BP$1,Haver_M!$B$1:$BZ$1,0),FALSE),"")</f>
        <v/>
      </c>
      <c r="BQ221">
        <f>IF(ISNUMBER(VLOOKUP($A221,Haver_M!$B$1:$BZ$300,MATCH(data!BQ$1,Haver_M!$B$1:$BZ$1,0),FALSE)),VLOOKUP($A221,Haver_M!$B$1:$BZ$300,MATCH(data!BQ$1,Haver_M!$B$1:$BZ$1,0),FALSE),"")</f>
        <v>292.69504831929885</v>
      </c>
      <c r="BR221">
        <f>IF(ISNUMBER(VLOOKUP($A221,Haver_M!$B$1:$BZ$300,MATCH(data!BR$1,Haver_M!$B$1:$BZ$1,0),FALSE)),VLOOKUP($A221,Haver_M!$B$1:$BZ$300,MATCH(data!BR$1,Haver_M!$B$1:$BZ$1,0),FALSE),"")</f>
        <v>403.90424201242297</v>
      </c>
      <c r="BS221">
        <f>IF(ISNUMBER(VLOOKUP($A221,Haver_M!$B$1:$BZ$300,MATCH(data!BS$1,Haver_M!$B$1:$BZ$1,0),FALSE)),VLOOKUP($A221,Haver_M!$B$1:$BZ$300,MATCH(data!BS$1,Haver_M!$B$1:$BZ$1,0),FALSE),"")</f>
        <v>301.85948933745499</v>
      </c>
      <c r="BT221">
        <f>IF(ISNUMBER(VLOOKUP($A221,Haver_M!$B$1:$BZ$300,MATCH(data!BT$1,Haver_M!$B$1:$BZ$1,0),FALSE)),VLOOKUP($A221,Haver_M!$B$1:$BZ$300,MATCH(data!BT$1,Haver_M!$B$1:$BZ$1,0),FALSE),"")</f>
        <v>1154.9084881384233</v>
      </c>
      <c r="BU221">
        <f>IF(ISNUMBER(VLOOKUP($A221,Haver_M!$B$1:$BZ$300,MATCH(data!BU$1,Haver_M!$B$1:$BZ$1,0),FALSE)),VLOOKUP($A221,Haver_M!$B$1:$BZ$300,MATCH(data!BU$1,Haver_M!$B$1:$BZ$1,0),FALSE),"")</f>
        <v>25950.69</v>
      </c>
      <c r="BV221">
        <f>IF(ISNUMBER(VLOOKUP($A221,Haver_M!$B$1:$BZ$300,MATCH(data!BV$1,Haver_M!$B$1:$BZ$1,0),FALSE)),VLOOKUP($A221,Haver_M!$B$1:$BZ$300,MATCH(data!BV$1,Haver_M!$B$1:$BZ$1,0),FALSE),"")</f>
        <v>39950.44</v>
      </c>
      <c r="BW221">
        <f>IF(ISNUMBER(VLOOKUP($A221,Haver_M!$B$1:$BZ$300,MATCH(data!BW$1,Haver_M!$B$1:$BZ$1,0),FALSE)),VLOOKUP($A221,Haver_M!$B$1:$BZ$300,MATCH(data!BW$1,Haver_M!$B$1:$BZ$1,0),FALSE),"")</f>
        <v>65.636300000000006</v>
      </c>
      <c r="BX221">
        <f>IF(ISNUMBER(VLOOKUP($A221,Haver_M!$B$1:$BZ$300,MATCH(data!BX$1,Haver_M!$B$1:$BZ$1,0),FALSE)),VLOOKUP($A221,Haver_M!$B$1:$BZ$300,MATCH(data!BX$1,Haver_M!$B$1:$BZ$1,0),FALSE),"")</f>
        <v>67347</v>
      </c>
    </row>
    <row r="222" spans="1:76" x14ac:dyDescent="0.25">
      <c r="A222" s="2">
        <v>43251</v>
      </c>
      <c r="B222" t="str">
        <f>IF(ISNUMBER(VLOOKUP($A222,Haver_Q!$B$1:$L$185,MATCH(data!B$1,Haver_Q!$B$1:$L$1,0),FALSE)),100*(VLOOKUP($A222,Haver_Q!$B$1:$L$185,MATCH(data!B$1,Haver_Q!$B$1:$L$1,0),FALSE)),"")</f>
        <v/>
      </c>
      <c r="C222" t="str">
        <f>IF(ISNUMBER(VLOOKUP($A222,Haver_Q!$B$1:$L$185,MATCH(data!C$1,Haver_Q!$B$1:$L$1,0),FALSE)),100*(VLOOKUP($A222,Haver_Q!$B$1:$L$185,MATCH(data!C$1,Haver_Q!$B$1:$L$1,0),FALSE)),"")</f>
        <v/>
      </c>
      <c r="D222" t="str">
        <f>IF(ISNUMBER(VLOOKUP($A222,Haver_Q!$B$1:$L$185,MATCH(data!D$1,Haver_Q!$B$1:$L$1,0),FALSE)),100*(VLOOKUP($A222,Haver_Q!$B$1:$L$185,MATCH(data!D$1,Haver_Q!$B$1:$L$1,0),FALSE)),"")</f>
        <v/>
      </c>
      <c r="E222" t="str">
        <f>IF(ISNUMBER(VLOOKUP($A222,Haver_Q!$B$1:$L$185,MATCH(data!E$1,Haver_Q!$B$1:$L$1,0),FALSE)),100*(VLOOKUP($A222,Haver_Q!$B$1:$L$185,MATCH(data!E$1,Haver_Q!$B$1:$L$1,0),FALSE)),"")</f>
        <v/>
      </c>
      <c r="F222" t="str">
        <f>IF(ISNUMBER(VLOOKUP($A222,Haver_Q!$B$1:$L$185,MATCH(data!F$1,Haver_Q!$B$1:$L$1,0),FALSE)),100*(VLOOKUP($A222,Haver_Q!$B$1:$L$185,MATCH(data!F$1,Haver_Q!$B$1:$L$1,0),FALSE)),"")</f>
        <v/>
      </c>
      <c r="G222" t="str">
        <f>IF(ISNUMBER(VLOOKUP($A222,Haver_Q!$B$1:$L$185,MATCH(data!G$1,Haver_Q!$B$1:$L$1,0),FALSE)),100*(VLOOKUP($A222,Haver_Q!$B$1:$L$185,MATCH(data!G$1,Haver_Q!$B$1:$L$1,0),FALSE)),"")</f>
        <v/>
      </c>
      <c r="H222" t="str">
        <f>IF(ISNUMBER(VLOOKUP($A222,Haver_Q!$B$1:$L$185,MATCH(data!H$1,Haver_Q!$B$1:$L$1,0),FALSE)),(VLOOKUP($A222,Haver_Q!$B$1:$L$185,MATCH(data!H$1,Haver_Q!$B$1:$L$1,0),FALSE)),"")</f>
        <v/>
      </c>
      <c r="I222" t="str">
        <f>IF(ISNUMBER(VLOOKUP($A222,Haver_Q!$B$1:$L$185,MATCH(data!I$1,Haver_Q!$B$1:$L$1,0),FALSE)),100*(VLOOKUP($A222,Haver_Q!$B$1:$L$185,MATCH(data!I$1,Haver_Q!$B$1:$L$1,0),FALSE)),"")</f>
        <v/>
      </c>
      <c r="J222" s="3">
        <f>IF(ISNUMBER(Bloomberg_m!C238),Bloomberg_m!C238,"")</f>
        <v>1293</v>
      </c>
      <c r="K222" s="3">
        <f>IF(ISNUMBER(Bloomberg_m!D238),Bloomberg_m!D238,"")</f>
        <v>1380.73</v>
      </c>
      <c r="L222" s="3">
        <f>IF(ISNUMBER(Bloomberg_m!E238),Bloomberg_m!E238,"")</f>
        <v>768.47</v>
      </c>
      <c r="M222" s="3">
        <f>IF(ISNUMBER(Bloomberg_m!F238),Bloomberg_m!F238,"")</f>
        <v>454.89</v>
      </c>
      <c r="N222">
        <f>IF(ISNUMBER(VLOOKUP($A222,Haver_M!$B$1:$BZ$300,MATCH(data!N$1,Haver_M!$B$1:$BZ$1,0),FALSE)),VLOOKUP($A222,Haver_M!$B$1:$BZ$300,MATCH(data!N$1,Haver_M!$B$1:$BZ$1,0),FALSE),"")</f>
        <v>6</v>
      </c>
      <c r="O222">
        <f>IF(ISNUMBER(VLOOKUP($A222,Haver_M!$B$1:$BZ$300,MATCH(data!O$1,Haver_M!$B$1:$BZ$1,0),FALSE)),VLOOKUP($A222,Haver_M!$B$1:$BZ$300,MATCH(data!O$1,Haver_M!$B$1:$BZ$1,0),FALSE),"")</f>
        <v>7.9321999999999999</v>
      </c>
      <c r="P222">
        <f>IF(ISNUMBER(VLOOKUP($A222,Haver_M!$B$1:$BZ$300,MATCH(data!P$1,Haver_M!$B$1:$BZ$1,0),FALSE)),VLOOKUP($A222,Haver_M!$B$1:$BZ$300,MATCH(data!P$1,Haver_M!$B$1:$BZ$1,0),FALSE),"")</f>
        <v>88.476960000000005</v>
      </c>
      <c r="Q222">
        <f>IF(ISNUMBER(VLOOKUP($A222,Haver_M!$B$1:$BZ$300,MATCH(data!Q$1,Haver_M!$B$1:$BZ$1,0),FALSE)),VLOOKUP($A222,Haver_M!$B$1:$BZ$300,MATCH(data!Q$1,Haver_M!$B$1:$BZ$1,0),FALSE),"")</f>
        <v>137.80000000000001</v>
      </c>
      <c r="R222">
        <f>IF(ISNUMBER(VLOOKUP($A222,Haver_M!$B$1:$BZ$300,MATCH(data!R$1,Haver_M!$B$1:$BZ$1,0),FALSE)),VLOOKUP($A222,Haver_M!$B$1:$BZ$300,MATCH(data!R$1,Haver_M!$B$1:$BZ$1,0),FALSE),"")</f>
        <v>139</v>
      </c>
      <c r="S222">
        <f>IF(ISNUMBER(VLOOKUP($A222,Haver_M!$B$1:$BZ$300,MATCH(data!S$1,Haver_M!$B$1:$BZ$1,0),FALSE)),VLOOKUP($A222,Haver_M!$B$1:$BZ$300,MATCH(data!S$1,Haver_M!$B$1:$BZ$1,0),FALSE),"")</f>
        <v>127.01</v>
      </c>
      <c r="T222">
        <f>IF(ISNUMBER(VLOOKUP($A222,Haver_M!$B$1:$BZ$300,MATCH(data!T$1,Haver_M!$B$1:$BZ$1,0),FALSE)),VLOOKUP($A222,Haver_M!$B$1:$BZ$300,MATCH(data!T$1,Haver_M!$B$1:$BZ$1,0),FALSE),"")</f>
        <v>126.04</v>
      </c>
      <c r="U222">
        <f>IF(ISNUMBER(VLOOKUP($A222,Haver_M!$B$1:$BZ$300,MATCH(data!U$1,Haver_M!$B$1:$BZ$1,0),FALSE)),VLOOKUP($A222,Haver_M!$B$1:$BZ$300,MATCH(data!U$1,Haver_M!$B$1:$BZ$1,0),FALSE),"")</f>
        <v>109.16</v>
      </c>
      <c r="V222">
        <f>IF(ISNUMBER(VLOOKUP($A222,Haver_M!$B$1:$BZ$300,MATCH(data!V$1,Haver_M!$B$1:$BZ$1,0),FALSE)),VLOOKUP($A222,Haver_M!$B$1:$BZ$300,MATCH(data!V$1,Haver_M!$B$1:$BZ$1,0),FALSE),"")</f>
        <v>123.88</v>
      </c>
      <c r="W222">
        <f>IF(ISNUMBER(VLOOKUP($A222,Haver_M!$B$1:$BZ$300,MATCH(data!W$1,Haver_M!$B$1:$BZ$1,0),FALSE)),VLOOKUP($A222,Haver_M!$B$1:$BZ$300,MATCH(data!W$1,Haver_M!$B$1:$BZ$1,0),FALSE),"")</f>
        <v>135.77000000000001</v>
      </c>
      <c r="X222">
        <f>IF(ISNUMBER(VLOOKUP($A222,Haver_M!$B$1:$BZ$300,MATCH(data!X$1,Haver_M!$B$1:$BZ$1,0),FALSE)),VLOOKUP($A222,Haver_M!$B$1:$BZ$300,MATCH(data!X$1,Haver_M!$B$1:$BZ$1,0),FALSE),"")</f>
        <v>130.94</v>
      </c>
      <c r="Y222">
        <f>IF(ISNUMBER(VLOOKUP($A222,Haver_M!$B$1:$BZ$300,MATCH(data!Y$1,Haver_M!$B$1:$BZ$1,0),FALSE)),VLOOKUP($A222,Haver_M!$B$1:$BZ$300,MATCH(data!Y$1,Haver_M!$B$1:$BZ$1,0),FALSE),"")</f>
        <v>138.16</v>
      </c>
      <c r="Z222">
        <f>IF(ISNUMBER(VLOOKUP($A222,Haver_M!$B$1:$BZ$300,MATCH(data!Z$1,Haver_M!$B$1:$BZ$1,0),FALSE)),VLOOKUP($A222,Haver_M!$B$1:$BZ$300,MATCH(data!Z$1,Haver_M!$B$1:$BZ$1,0),FALSE),"")</f>
        <v>127.9</v>
      </c>
      <c r="AA222">
        <f>IF(ISNUMBER(VLOOKUP($A222,Haver_M!$B$1:$BZ$300,MATCH(data!AA$1,Haver_M!$B$1:$BZ$1,0),FALSE)),VLOOKUP($A222,Haver_M!$B$1:$BZ$300,MATCH(data!AA$1,Haver_M!$B$1:$BZ$1,0),FALSE),"")</f>
        <v>132.25200000000001</v>
      </c>
      <c r="AB222">
        <f>IF(ISNUMBER(VLOOKUP($A222,Haver_M!$B$1:$BZ$300,MATCH(data!AB$1,Haver_M!$B$1:$BZ$1,0),FALSE)),VLOOKUP($A222,Haver_M!$B$1:$BZ$300,MATCH(data!AB$1,Haver_M!$B$1:$BZ$1,0),FALSE),"")</f>
        <v>91.763000000000005</v>
      </c>
      <c r="AC222">
        <f>IF(ISNUMBER(VLOOKUP($A222,Haver_M!$B$1:$BZ$300,MATCH(data!AC$1,Haver_M!$B$1:$BZ$1,0),FALSE)),VLOOKUP($A222,Haver_M!$B$1:$BZ$300,MATCH(data!AC$1,Haver_M!$B$1:$BZ$1,0),FALSE),"")</f>
        <v>66.977000000000004</v>
      </c>
      <c r="AD222">
        <f>IF(ISNUMBER(VLOOKUP($A222,Haver_M!$B$1:$BZ$300,MATCH(data!AD$1,Haver_M!$B$1:$BZ$1,0),FALSE)),VLOOKUP($A222,Haver_M!$B$1:$BZ$300,MATCH(data!AD$1,Haver_M!$B$1:$BZ$1,0),FALSE),"")</f>
        <v>129.18199999999999</v>
      </c>
      <c r="AE222">
        <f>IF(ISNUMBER(VLOOKUP($A222,Haver_M!$B$1:$BZ$300,MATCH(data!AE$1,Haver_M!$B$1:$BZ$1,0),FALSE)),VLOOKUP($A222,Haver_M!$B$1:$BZ$300,MATCH(data!AE$1,Haver_M!$B$1:$BZ$1,0),FALSE),"")</f>
        <v>111.146</v>
      </c>
      <c r="AF222">
        <f>IF(ISNUMBER(VLOOKUP($A222,Haver_M!$B$1:$BZ$300,MATCH(data!AF$1,Haver_M!$B$1:$BZ$1,0),FALSE)),VLOOKUP($A222,Haver_M!$B$1:$BZ$300,MATCH(data!AF$1,Haver_M!$B$1:$BZ$1,0),FALSE),"")</f>
        <v>136.33799999999999</v>
      </c>
      <c r="AG222">
        <f>IF(ISNUMBER(VLOOKUP($A222,Haver_M!$B$1:$BZ$300,MATCH(data!AG$1,Haver_M!$B$1:$BZ$1,0),FALSE)),VLOOKUP($A222,Haver_M!$B$1:$BZ$300,MATCH(data!AG$1,Haver_M!$B$1:$BZ$1,0),FALSE),"")</f>
        <v>138.42699999999999</v>
      </c>
      <c r="AH222">
        <f>IF(ISNUMBER(VLOOKUP($A222,Haver_M!$B$1:$BZ$300,MATCH(data!AH$1,Haver_M!$B$1:$BZ$1,0),FALSE)),VLOOKUP($A222,Haver_M!$B$1:$BZ$300,MATCH(data!AH$1,Haver_M!$B$1:$BZ$1,0),FALSE),"")</f>
        <v>154.85300000000001</v>
      </c>
      <c r="AI222">
        <f>IF(ISNUMBER(VLOOKUP($A222,Haver_M!$B$1:$BZ$300,MATCH(data!AI$1,Haver_M!$B$1:$BZ$1,0),FALSE)),VLOOKUP($A222,Haver_M!$B$1:$BZ$300,MATCH(data!AI$1,Haver_M!$B$1:$BZ$1,0),FALSE),"")</f>
        <v>17499.019400671634</v>
      </c>
      <c r="AJ222">
        <f>IF(ISNUMBER(VLOOKUP($A222,Haver_M!$B$1:$BZ$300,MATCH(data!AJ$1,Haver_M!$B$1:$BZ$1,0),FALSE)),VLOOKUP($A222,Haver_M!$B$1:$BZ$300,MATCH(data!AJ$1,Haver_M!$B$1:$BZ$1,0),FALSE),"")</f>
        <v>28016.55</v>
      </c>
      <c r="AK222">
        <f>IF(ISNUMBER(VLOOKUP($A222,Haver_M!$B$1:$BZ$300,MATCH(data!AK$1,Haver_M!$B$1:$BZ$1,0),FALSE)),VLOOKUP($A222,Haver_M!$B$1:$BZ$300,MATCH(data!AK$1,Haver_M!$B$1:$BZ$1,0),FALSE),"")</f>
        <v>42598.62</v>
      </c>
      <c r="AL222">
        <f>IF(ISNUMBER(VLOOKUP($A222,Haver_M!$B$1:$BZ$300,MATCH(data!AL$1,Haver_M!$B$1:$BZ$1,0),FALSE)),VLOOKUP($A222,Haver_M!$B$1:$BZ$300,MATCH(data!AL$1,Haver_M!$B$1:$BZ$1,0),FALSE),"")</f>
        <v>16173</v>
      </c>
      <c r="AM222">
        <f>IF(ISNUMBER(VLOOKUP($A222,Haver_M!$B$1:$BZ$300,MATCH(data!AM$1,Haver_M!$B$1:$BZ$1,0),FALSE)),VLOOKUP($A222,Haver_M!$B$1:$BZ$300,MATCH(data!AM$1,Haver_M!$B$1:$BZ$1,0),FALSE),"")</f>
        <v>10208</v>
      </c>
      <c r="AN222">
        <f>IF(ISNUMBER(VLOOKUP($A222,Haver_M!$B$1:$BZ$300,MATCH(data!AN$1,Haver_M!$B$1:$BZ$1,0),FALSE)),VLOOKUP($A222,Haver_M!$B$1:$BZ$300,MATCH(data!AN$1,Haver_M!$B$1:$BZ$1,0),FALSE),"")</f>
        <v>94.2</v>
      </c>
      <c r="AO222">
        <f>IF(ISNUMBER(VLOOKUP($A222,Haver_M!$B$1:$BZ$300,MATCH(data!AO$1,Haver_M!$B$1:$BZ$1,0),FALSE)),VLOOKUP($A222,Haver_M!$B$1:$BZ$300,MATCH(data!AO$1,Haver_M!$B$1:$BZ$1,0),FALSE),"")</f>
        <v>119.3</v>
      </c>
      <c r="AP222">
        <f>IF(ISNUMBER(VLOOKUP($A222,Haver_M!$B$1:$BZ$300,MATCH(data!AP$1,Haver_M!$B$1:$BZ$1,0),FALSE)),VLOOKUP($A222,Haver_M!$B$1:$BZ$300,MATCH(data!AP$1,Haver_M!$B$1:$BZ$1,0),FALSE),"")</f>
        <v>57.131839069240861</v>
      </c>
      <c r="AQ222">
        <f>IF(ISNUMBER(VLOOKUP($A222,Haver_M!$B$1:$BZ$300,MATCH(data!AQ$1,Haver_M!$B$1:$BZ$1,0),FALSE)),VLOOKUP($A222,Haver_M!$B$1:$BZ$300,MATCH(data!AQ$1,Haver_M!$B$1:$BZ$1,0),FALSE),"")</f>
        <v>50.360900000000001</v>
      </c>
      <c r="AR222">
        <f>IF(ISNUMBER(VLOOKUP($A222,Haver_M!$B$1:$BZ$300,MATCH(data!AR$1,Haver_M!$B$1:$BZ$1,0),FALSE)),VLOOKUP($A222,Haver_M!$B$1:$BZ$300,MATCH(data!AR$1,Haver_M!$B$1:$BZ$1,0),FALSE),"")</f>
        <v>51.200299999999999</v>
      </c>
      <c r="AS222">
        <f>IF(ISNUMBER(VLOOKUP($A222,Haver_M!$B$1:$BZ$300,MATCH(data!AS$1,Haver_M!$B$1:$BZ$1,0),FALSE)),VLOOKUP($A222,Haver_M!$B$1:$BZ$300,MATCH(data!AS$1,Haver_M!$B$1:$BZ$1,0),FALSE),"")</f>
        <v>49.591299999999997</v>
      </c>
      <c r="AT222">
        <f>IF(ISNUMBER(VLOOKUP($A222,Haver_M!$B$1:$BZ$300,MATCH(data!AT$1,Haver_M!$B$1:$BZ$1,0),FALSE)),VLOOKUP($A222,Haver_M!$B$1:$BZ$300,MATCH(data!AT$1,Haver_M!$B$1:$BZ$1,0),FALSE),"")</f>
        <v>52.059899999999999</v>
      </c>
      <c r="AU222">
        <f>IF(ISNUMBER(VLOOKUP($A222,Haver_M!$B$1:$BZ$300,MATCH(data!AU$1,Haver_M!$B$1:$BZ$1,0),FALSE)),VLOOKUP($A222,Haver_M!$B$1:$BZ$300,MATCH(data!AU$1,Haver_M!$B$1:$BZ$1,0),FALSE),"")</f>
        <v>51.607999999999997</v>
      </c>
      <c r="AV222">
        <f>IF(ISNUMBER(VLOOKUP($A222,Haver_M!$B$1:$BZ$300,MATCH(data!AV$1,Haver_M!$B$1:$BZ$1,0),FALSE)),VLOOKUP($A222,Haver_M!$B$1:$BZ$300,MATCH(data!AV$1,Haver_M!$B$1:$BZ$1,0),FALSE),"")</f>
        <v>50.6646</v>
      </c>
      <c r="AW222">
        <f>IF(ISNUMBER(VLOOKUP($A222,Haver_M!$B$1:$BZ$300,MATCH(data!AW$1,Haver_M!$B$1:$BZ$1,0),FALSE)),VLOOKUP($A222,Haver_M!$B$1:$BZ$300,MATCH(data!AW$1,Haver_M!$B$1:$BZ$1,0),FALSE),"")</f>
        <v>49.908999999999999</v>
      </c>
      <c r="AX222">
        <f>IF(ISNUMBER(VLOOKUP($A222,Haver_M!$B$1:$BZ$300,MATCH(data!AX$1,Haver_M!$B$1:$BZ$1,0),FALSE)),VLOOKUP($A222,Haver_M!$B$1:$BZ$300,MATCH(data!AX$1,Haver_M!$B$1:$BZ$1,0),FALSE),"")</f>
        <v>50.563800000000001</v>
      </c>
      <c r="AY222">
        <f>IF(ISNUMBER(VLOOKUP($A222,Haver_M!$B$1:$BZ$300,MATCH(data!AY$1,Haver_M!$B$1:$BZ$1,0),FALSE)),VLOOKUP($A222,Haver_M!$B$1:$BZ$300,MATCH(data!AY$1,Haver_M!$B$1:$BZ$1,0),FALSE),"")</f>
        <v>54.694400000000002</v>
      </c>
      <c r="AZ222">
        <f>IF(ISNUMBER(VLOOKUP($A222,Haver_M!$B$1:$BZ$300,MATCH(data!AZ$1,Haver_M!$B$1:$BZ$1,0),FALSE)),VLOOKUP($A222,Haver_M!$B$1:$BZ$300,MATCH(data!AZ$1,Haver_M!$B$1:$BZ$1,0),FALSE),"")</f>
        <v>49.759599999999999</v>
      </c>
      <c r="BA222">
        <f>IF(ISNUMBER(VLOOKUP($A222,Haver_M!$B$1:$BZ$300,MATCH(data!BA$1,Haver_M!$B$1:$BZ$1,0),FALSE)),VLOOKUP($A222,Haver_M!$B$1:$BZ$300,MATCH(data!BA$1,Haver_M!$B$1:$BZ$1,0),FALSE),"")</f>
        <v>50.563800000000001</v>
      </c>
      <c r="BB222">
        <f>IF(ISNUMBER(VLOOKUP($A222,Haver_M!$B$1:$BZ$300,MATCH(data!BB$1,Haver_M!$B$1:$BZ$1,0),FALSE)),VLOOKUP($A222,Haver_M!$B$1:$BZ$300,MATCH(data!BB$1,Haver_M!$B$1:$BZ$1,0),FALSE),"")</f>
        <v>52.622799999999998</v>
      </c>
      <c r="BC222">
        <f>IF(ISNUMBER(VLOOKUP($A222,Haver_M!$B$1:$BZ$300,MATCH(data!BC$1,Haver_M!$B$1:$BZ$1,0),FALSE)),VLOOKUP($A222,Haver_M!$B$1:$BZ$300,MATCH(data!BC$1,Haver_M!$B$1:$BZ$1,0),FALSE),"")</f>
        <v>51.6265</v>
      </c>
      <c r="BD222">
        <f>IF(ISNUMBER(VLOOKUP($A222,Haver_M!$B$1:$BZ$300,MATCH(data!BD$1,Haver_M!$B$1:$BZ$1,0),FALSE)),VLOOKUP($A222,Haver_M!$B$1:$BZ$300,MATCH(data!BD$1,Haver_M!$B$1:$BZ$1,0),FALSE),"")</f>
        <v>51.351500000000001</v>
      </c>
      <c r="BE222">
        <f>IF(ISNUMBER(VLOOKUP($A222,Haver_M!$B$1:$BZ$300,MATCH(data!BE$1,Haver_M!$B$1:$BZ$1,0),FALSE)),VLOOKUP($A222,Haver_M!$B$1:$BZ$300,MATCH(data!BE$1,Haver_M!$B$1:$BZ$1,0),FALSE),"")</f>
        <v>1.1413</v>
      </c>
      <c r="BF222">
        <f>IF(ISNUMBER(VLOOKUP($A222,Haver_M!$B$1:$BZ$300,MATCH(data!BF$1,Haver_M!$B$1:$BZ$1,0),FALSE)),VLOOKUP($A222,Haver_M!$B$1:$BZ$300,MATCH(data!BF$1,Haver_M!$B$1:$BZ$1,0),FALSE),"")</f>
        <v>51.991799999999998</v>
      </c>
      <c r="BG222">
        <f>IF(ISNUMBER(VLOOKUP($A222,Haver_M!$B$1:$BZ$300,MATCH(data!BG$1,Haver_M!$B$1:$BZ$1,0),FALSE)),VLOOKUP($A222,Haver_M!$B$1:$BZ$300,MATCH(data!BG$1,Haver_M!$B$1:$BZ$1,0),FALSE),"")</f>
        <v>51.296199999999999</v>
      </c>
      <c r="BH222">
        <f>IF(ISNUMBER(VLOOKUP($A222,Haver_M!$B$1:$BZ$300,MATCH(data!BH$1,Haver_M!$B$1:$BZ$1,0),FALSE)),VLOOKUP($A222,Haver_M!$B$1:$BZ$300,MATCH(data!BH$1,Haver_M!$B$1:$BZ$1,0),FALSE),"")</f>
        <v>50.194200000000002</v>
      </c>
      <c r="BI222">
        <f>IF(ISNUMBER(VLOOKUP($A222,Haver_M!$B$1:$BZ$300,MATCH(data!BI$1,Haver_M!$B$1:$BZ$1,0),FALSE)),VLOOKUP($A222,Haver_M!$B$1:$BZ$300,MATCH(data!BI$1,Haver_M!$B$1:$BZ$1,0),FALSE),"")</f>
        <v>53.581000000000003</v>
      </c>
      <c r="BJ222">
        <f>IF(ISNUMBER(VLOOKUP($A222,Haver_M!$B$1:$BZ$300,MATCH(data!BJ$1,Haver_M!$B$1:$BZ$1,0),FALSE)),VLOOKUP($A222,Haver_M!$B$1:$BZ$300,MATCH(data!BJ$1,Haver_M!$B$1:$BZ$1,0),FALSE),"")</f>
        <v>48.511899999999997</v>
      </c>
      <c r="BK222">
        <f>IF(ISNUMBER(VLOOKUP($A222,Haver_M!$B$1:$BZ$300,MATCH(data!BK$1,Haver_M!$B$1:$BZ$1,0),FALSE)),VLOOKUP($A222,Haver_M!$B$1:$BZ$300,MATCH(data!BK$1,Haver_M!$B$1:$BZ$1,0),FALSE),"")</f>
        <v>51.048999999999999</v>
      </c>
      <c r="BL222">
        <f>IF(ISNUMBER(VLOOKUP($A222,Haver_M!$B$1:$BZ$300,MATCH(data!BL$1,Haver_M!$B$1:$BZ$1,0),FALSE)),VLOOKUP($A222,Haver_M!$B$1:$BZ$300,MATCH(data!BL$1,Haver_M!$B$1:$BZ$1,0),FALSE),"")</f>
        <v>35079.56</v>
      </c>
      <c r="BM222">
        <f>IF(ISNUMBER(VLOOKUP($A222,Haver_M!$B$1:$BZ$300,MATCH(data!BM$1,Haver_M!$B$1:$BZ$1,0),FALSE)),VLOOKUP($A222,Haver_M!$B$1:$BZ$300,MATCH(data!BM$1,Haver_M!$B$1:$BZ$1,0),FALSE),"")</f>
        <v>101.9935382</v>
      </c>
      <c r="BN222" t="str">
        <f>IF(ISNUMBER(VLOOKUP($A222,Haver_M!$B$1:$BZ$300,MATCH(data!BN$1,Haver_M!$B$1:$BZ$1,0),FALSE)),VLOOKUP($A222,Haver_M!$B$1:$BZ$300,MATCH(data!BN$1,Haver_M!$B$1:$BZ$1,0),FALSE),"")</f>
        <v/>
      </c>
      <c r="BO222" t="str">
        <f>IF(ISNUMBER(VLOOKUP($A222,Haver_M!$B$1:$BZ$300,MATCH(data!BO$1,Haver_M!$B$1:$BZ$1,0),FALSE)),VLOOKUP($A222,Haver_M!$B$1:$BZ$300,MATCH(data!BO$1,Haver_M!$B$1:$BZ$1,0),FALSE),"")</f>
        <v/>
      </c>
      <c r="BP222" t="str">
        <f>IF(ISNUMBER(VLOOKUP($A222,Haver_M!$B$1:$BZ$300,MATCH(data!BP$1,Haver_M!$B$1:$BZ$1,0),FALSE)),VLOOKUP($A222,Haver_M!$B$1:$BZ$300,MATCH(data!BP$1,Haver_M!$B$1:$BZ$1,0),FALSE),"")</f>
        <v/>
      </c>
      <c r="BQ222">
        <f>IF(ISNUMBER(VLOOKUP($A222,Haver_M!$B$1:$BZ$300,MATCH(data!BQ$1,Haver_M!$B$1:$BZ$1,0),FALSE)),VLOOKUP($A222,Haver_M!$B$1:$BZ$300,MATCH(data!BQ$1,Haver_M!$B$1:$BZ$1,0),FALSE),"")</f>
        <v>283.99393539178612</v>
      </c>
      <c r="BR222">
        <f>IF(ISNUMBER(VLOOKUP($A222,Haver_M!$B$1:$BZ$300,MATCH(data!BR$1,Haver_M!$B$1:$BZ$1,0),FALSE)),VLOOKUP($A222,Haver_M!$B$1:$BZ$300,MATCH(data!BR$1,Haver_M!$B$1:$BZ$1,0),FALSE),"")</f>
        <v>391.55929723983337</v>
      </c>
      <c r="BS222">
        <f>IF(ISNUMBER(VLOOKUP($A222,Haver_M!$B$1:$BZ$300,MATCH(data!BS$1,Haver_M!$B$1:$BZ$1,0),FALSE)),VLOOKUP($A222,Haver_M!$B$1:$BZ$300,MATCH(data!BS$1,Haver_M!$B$1:$BZ$1,0),FALSE),"")</f>
        <v>295.12151425686341</v>
      </c>
      <c r="BT222">
        <f>IF(ISNUMBER(VLOOKUP($A222,Haver_M!$B$1:$BZ$300,MATCH(data!BT$1,Haver_M!$B$1:$BZ$1,0),FALSE)),VLOOKUP($A222,Haver_M!$B$1:$BZ$300,MATCH(data!BT$1,Haver_M!$B$1:$BZ$1,0),FALSE),"")</f>
        <v>1122.8642836625734</v>
      </c>
      <c r="BU222">
        <f>IF(ISNUMBER(VLOOKUP($A222,Haver_M!$B$1:$BZ$300,MATCH(data!BU$1,Haver_M!$B$1:$BZ$1,0),FALSE)),VLOOKUP($A222,Haver_M!$B$1:$BZ$300,MATCH(data!BU$1,Haver_M!$B$1:$BZ$1,0),FALSE),"")</f>
        <v>28866.18</v>
      </c>
      <c r="BV222">
        <f>IF(ISNUMBER(VLOOKUP($A222,Haver_M!$B$1:$BZ$300,MATCH(data!BV$1,Haver_M!$B$1:$BZ$1,0),FALSE)),VLOOKUP($A222,Haver_M!$B$1:$BZ$300,MATCH(data!BV$1,Haver_M!$B$1:$BZ$1,0),FALSE),"")</f>
        <v>43916.55</v>
      </c>
      <c r="BW222">
        <f>IF(ISNUMBER(VLOOKUP($A222,Haver_M!$B$1:$BZ$300,MATCH(data!BW$1,Haver_M!$B$1:$BZ$1,0),FALSE)),VLOOKUP($A222,Haver_M!$B$1:$BZ$300,MATCH(data!BW$1,Haver_M!$B$1:$BZ$1,0),FALSE),"")</f>
        <v>67.539400000000001</v>
      </c>
      <c r="BX222">
        <f>IF(ISNUMBER(VLOOKUP($A222,Haver_M!$B$1:$BZ$300,MATCH(data!BX$1,Haver_M!$B$1:$BZ$1,0),FALSE)),VLOOKUP($A222,Haver_M!$B$1:$BZ$300,MATCH(data!BX$1,Haver_M!$B$1:$BZ$1,0),FALSE),"")</f>
        <v>75995</v>
      </c>
    </row>
    <row r="223" spans="1:76" x14ac:dyDescent="0.25">
      <c r="A223" s="2">
        <v>43281</v>
      </c>
      <c r="B223">
        <f>IF(ISNUMBER(VLOOKUP($A223,Haver_Q!$B$1:$L$185,MATCH(data!B$1,Haver_Q!$B$1:$L$1,0),FALSE)),100*(VLOOKUP($A223,Haver_Q!$B$1:$L$185,MATCH(data!B$1,Haver_Q!$B$1:$L$1,0),FALSE)),"")</f>
        <v>6.000524453810141</v>
      </c>
      <c r="C223">
        <f>IF(ISNUMBER(VLOOKUP($A223,Haver_Q!$B$1:$L$185,MATCH(data!C$1,Haver_Q!$B$1:$L$1,0),FALSE)),100*(VLOOKUP($A223,Haver_Q!$B$1:$L$185,MATCH(data!C$1,Haver_Q!$B$1:$L$1,0),FALSE)),"")</f>
        <v>10.438967482625294</v>
      </c>
      <c r="D223">
        <f>IF(ISNUMBER(VLOOKUP($A223,Haver_Q!$B$1:$L$185,MATCH(data!D$1,Haver_Q!$B$1:$L$1,0),FALSE)),100*(VLOOKUP($A223,Haver_Q!$B$1:$L$185,MATCH(data!D$1,Haver_Q!$B$1:$L$1,0),FALSE)),"")</f>
        <v>-3.5304633611690561</v>
      </c>
      <c r="E223">
        <f>IF(ISNUMBER(VLOOKUP($A223,Haver_Q!$B$1:$L$185,MATCH(data!E$1,Haver_Q!$B$1:$L$1,0),FALSE)),100*(VLOOKUP($A223,Haver_Q!$B$1:$L$185,MATCH(data!E$1,Haver_Q!$B$1:$L$1,0),FALSE)),"")</f>
        <v>17.188758549979987</v>
      </c>
      <c r="F223">
        <f>IF(ISNUMBER(VLOOKUP($A223,Haver_Q!$B$1:$L$185,MATCH(data!F$1,Haver_Q!$B$1:$L$1,0),FALSE)),100*(VLOOKUP($A223,Haver_Q!$B$1:$L$185,MATCH(data!F$1,Haver_Q!$B$1:$L$1,0),FALSE)),"")</f>
        <v>22.31554340484476</v>
      </c>
      <c r="G223">
        <f>IF(ISNUMBER(VLOOKUP($A223,Haver_Q!$B$1:$L$185,MATCH(data!G$1,Haver_Q!$B$1:$L$1,0),FALSE)),100*(VLOOKUP($A223,Haver_Q!$B$1:$L$185,MATCH(data!G$1,Haver_Q!$B$1:$L$1,0),FALSE)),"")</f>
        <v>52.072564671750008</v>
      </c>
      <c r="H223">
        <f>IF(ISNUMBER(VLOOKUP($A223,Haver_Q!$B$1:$L$185,MATCH(data!H$1,Haver_Q!$B$1:$L$1,0),FALSE)),(VLOOKUP($A223,Haver_Q!$B$1:$L$185,MATCH(data!H$1,Haver_Q!$B$1:$L$1,0),FALSE)),"")</f>
        <v>3.4507530153349064</v>
      </c>
      <c r="I223">
        <f>IF(ISNUMBER(VLOOKUP($A223,Haver_Q!$B$1:$L$185,MATCH(data!I$1,Haver_Q!$B$1:$L$1,0),FALSE)),100*(VLOOKUP($A223,Haver_Q!$B$1:$L$185,MATCH(data!I$1,Haver_Q!$B$1:$L$1,0),FALSE)),"")</f>
        <v>7.951211321796392</v>
      </c>
      <c r="J223" s="3">
        <f>IF(ISNUMBER(Bloomberg_m!C239),Bloomberg_m!C239,"")</f>
        <v>1352</v>
      </c>
      <c r="K223" s="3">
        <f>IF(ISNUMBER(Bloomberg_m!D239),Bloomberg_m!D239,"")</f>
        <v>1402.42</v>
      </c>
      <c r="L223" s="3">
        <f>IF(ISNUMBER(Bloomberg_m!E239),Bloomberg_m!E239,"")</f>
        <v>797.03</v>
      </c>
      <c r="M223" s="3">
        <f>IF(ISNUMBER(Bloomberg_m!F239),Bloomberg_m!F239,"")</f>
        <v>462.69</v>
      </c>
      <c r="N223">
        <f>IF(ISNUMBER(VLOOKUP($A223,Haver_M!$B$1:$BZ$300,MATCH(data!N$1,Haver_M!$B$1:$BZ$1,0),FALSE)),VLOOKUP($A223,Haver_M!$B$1:$BZ$300,MATCH(data!N$1,Haver_M!$B$1:$BZ$1,0),FALSE),"")</f>
        <v>6.25</v>
      </c>
      <c r="O223">
        <f>IF(ISNUMBER(VLOOKUP($A223,Haver_M!$B$1:$BZ$300,MATCH(data!O$1,Haver_M!$B$1:$BZ$1,0),FALSE)),VLOOKUP($A223,Haver_M!$B$1:$BZ$300,MATCH(data!O$1,Haver_M!$B$1:$BZ$1,0),FALSE),"")</f>
        <v>7.9954999999999998</v>
      </c>
      <c r="P223">
        <f>IF(ISNUMBER(VLOOKUP($A223,Haver_M!$B$1:$BZ$300,MATCH(data!P$1,Haver_M!$B$1:$BZ$1,0),FALSE)),VLOOKUP($A223,Haver_M!$B$1:$BZ$300,MATCH(data!P$1,Haver_M!$B$1:$BZ$1,0),FALSE),"")</f>
        <v>89.686170000000004</v>
      </c>
      <c r="Q223">
        <f>IF(ISNUMBER(VLOOKUP($A223,Haver_M!$B$1:$BZ$300,MATCH(data!Q$1,Haver_M!$B$1:$BZ$1,0),FALSE)),VLOOKUP($A223,Haver_M!$B$1:$BZ$300,MATCH(data!Q$1,Haver_M!$B$1:$BZ$1,0),FALSE),"")</f>
        <v>138.5</v>
      </c>
      <c r="R223">
        <f>IF(ISNUMBER(VLOOKUP($A223,Haver_M!$B$1:$BZ$300,MATCH(data!R$1,Haver_M!$B$1:$BZ$1,0),FALSE)),VLOOKUP($A223,Haver_M!$B$1:$BZ$300,MATCH(data!R$1,Haver_M!$B$1:$BZ$1,0),FALSE),"")</f>
        <v>139</v>
      </c>
      <c r="S223">
        <f>IF(ISNUMBER(VLOOKUP($A223,Haver_M!$B$1:$BZ$300,MATCH(data!S$1,Haver_M!$B$1:$BZ$1,0),FALSE)),VLOOKUP($A223,Haver_M!$B$1:$BZ$300,MATCH(data!S$1,Haver_M!$B$1:$BZ$1,0),FALSE),"")</f>
        <v>130.27000000000001</v>
      </c>
      <c r="T223">
        <f>IF(ISNUMBER(VLOOKUP($A223,Haver_M!$B$1:$BZ$300,MATCH(data!T$1,Haver_M!$B$1:$BZ$1,0),FALSE)),VLOOKUP($A223,Haver_M!$B$1:$BZ$300,MATCH(data!T$1,Haver_M!$B$1:$BZ$1,0),FALSE),"")</f>
        <v>128.71</v>
      </c>
      <c r="U223">
        <f>IF(ISNUMBER(VLOOKUP($A223,Haver_M!$B$1:$BZ$300,MATCH(data!U$1,Haver_M!$B$1:$BZ$1,0),FALSE)),VLOOKUP($A223,Haver_M!$B$1:$BZ$300,MATCH(data!U$1,Haver_M!$B$1:$BZ$1,0),FALSE),"")</f>
        <v>109.71</v>
      </c>
      <c r="V223">
        <f>IF(ISNUMBER(VLOOKUP($A223,Haver_M!$B$1:$BZ$300,MATCH(data!V$1,Haver_M!$B$1:$BZ$1,0),FALSE)),VLOOKUP($A223,Haver_M!$B$1:$BZ$300,MATCH(data!V$1,Haver_M!$B$1:$BZ$1,0),FALSE),"")</f>
        <v>124.61</v>
      </c>
      <c r="W223">
        <f>IF(ISNUMBER(VLOOKUP($A223,Haver_M!$B$1:$BZ$300,MATCH(data!W$1,Haver_M!$B$1:$BZ$1,0),FALSE)),VLOOKUP($A223,Haver_M!$B$1:$BZ$300,MATCH(data!W$1,Haver_M!$B$1:$BZ$1,0),FALSE),"")</f>
        <v>141.03</v>
      </c>
      <c r="X223">
        <f>IF(ISNUMBER(VLOOKUP($A223,Haver_M!$B$1:$BZ$300,MATCH(data!X$1,Haver_M!$B$1:$BZ$1,0),FALSE)),VLOOKUP($A223,Haver_M!$B$1:$BZ$300,MATCH(data!X$1,Haver_M!$B$1:$BZ$1,0),FALSE),"")</f>
        <v>136.11000000000001</v>
      </c>
      <c r="Y223">
        <f>IF(ISNUMBER(VLOOKUP($A223,Haver_M!$B$1:$BZ$300,MATCH(data!Y$1,Haver_M!$B$1:$BZ$1,0),FALSE)),VLOOKUP($A223,Haver_M!$B$1:$BZ$300,MATCH(data!Y$1,Haver_M!$B$1:$BZ$1,0),FALSE),"")</f>
        <v>138</v>
      </c>
      <c r="Z223">
        <f>IF(ISNUMBER(VLOOKUP($A223,Haver_M!$B$1:$BZ$300,MATCH(data!Z$1,Haver_M!$B$1:$BZ$1,0),FALSE)),VLOOKUP($A223,Haver_M!$B$1:$BZ$300,MATCH(data!Z$1,Haver_M!$B$1:$BZ$1,0),FALSE),"")</f>
        <v>132.69999999999999</v>
      </c>
      <c r="AA223">
        <f>IF(ISNUMBER(VLOOKUP($A223,Haver_M!$B$1:$BZ$300,MATCH(data!AA$1,Haver_M!$B$1:$BZ$1,0),FALSE)),VLOOKUP($A223,Haver_M!$B$1:$BZ$300,MATCH(data!AA$1,Haver_M!$B$1:$BZ$1,0),FALSE),"")</f>
        <v>136.49100000000001</v>
      </c>
      <c r="AB223">
        <f>IF(ISNUMBER(VLOOKUP($A223,Haver_M!$B$1:$BZ$300,MATCH(data!AB$1,Haver_M!$B$1:$BZ$1,0),FALSE)),VLOOKUP($A223,Haver_M!$B$1:$BZ$300,MATCH(data!AB$1,Haver_M!$B$1:$BZ$1,0),FALSE),"")</f>
        <v>91.524000000000001</v>
      </c>
      <c r="AC223">
        <f>IF(ISNUMBER(VLOOKUP($A223,Haver_M!$B$1:$BZ$300,MATCH(data!AC$1,Haver_M!$B$1:$BZ$1,0),FALSE)),VLOOKUP($A223,Haver_M!$B$1:$BZ$300,MATCH(data!AC$1,Haver_M!$B$1:$BZ$1,0),FALSE),"")</f>
        <v>67.891999999999996</v>
      </c>
      <c r="AD223">
        <f>IF(ISNUMBER(VLOOKUP($A223,Haver_M!$B$1:$BZ$300,MATCH(data!AD$1,Haver_M!$B$1:$BZ$1,0),FALSE)),VLOOKUP($A223,Haver_M!$B$1:$BZ$300,MATCH(data!AD$1,Haver_M!$B$1:$BZ$1,0),FALSE),"")</f>
        <v>135.74</v>
      </c>
      <c r="AE223">
        <f>IF(ISNUMBER(VLOOKUP($A223,Haver_M!$B$1:$BZ$300,MATCH(data!AE$1,Haver_M!$B$1:$BZ$1,0),FALSE)),VLOOKUP($A223,Haver_M!$B$1:$BZ$300,MATCH(data!AE$1,Haver_M!$B$1:$BZ$1,0),FALSE),"")</f>
        <v>108.164</v>
      </c>
      <c r="AF223">
        <f>IF(ISNUMBER(VLOOKUP($A223,Haver_M!$B$1:$BZ$300,MATCH(data!AF$1,Haver_M!$B$1:$BZ$1,0),FALSE)),VLOOKUP($A223,Haver_M!$B$1:$BZ$300,MATCH(data!AF$1,Haver_M!$B$1:$BZ$1,0),FALSE),"")</f>
        <v>145.68600000000001</v>
      </c>
      <c r="AG223">
        <f>IF(ISNUMBER(VLOOKUP($A223,Haver_M!$B$1:$BZ$300,MATCH(data!AG$1,Haver_M!$B$1:$BZ$1,0),FALSE)),VLOOKUP($A223,Haver_M!$B$1:$BZ$300,MATCH(data!AG$1,Haver_M!$B$1:$BZ$1,0),FALSE),"")</f>
        <v>144.27000000000001</v>
      </c>
      <c r="AH223">
        <f>IF(ISNUMBER(VLOOKUP($A223,Haver_M!$B$1:$BZ$300,MATCH(data!AH$1,Haver_M!$B$1:$BZ$1,0),FALSE)),VLOOKUP($A223,Haver_M!$B$1:$BZ$300,MATCH(data!AH$1,Haver_M!$B$1:$BZ$1,0),FALSE),"")</f>
        <v>157.691</v>
      </c>
      <c r="AI223">
        <f>IF(ISNUMBER(VLOOKUP($A223,Haver_M!$B$1:$BZ$300,MATCH(data!AI$1,Haver_M!$B$1:$BZ$1,0),FALSE)),VLOOKUP($A223,Haver_M!$B$1:$BZ$300,MATCH(data!AI$1,Haver_M!$B$1:$BZ$1,0),FALSE),"")</f>
        <v>18054.573790559178</v>
      </c>
      <c r="AJ223">
        <f>IF(ISNUMBER(VLOOKUP($A223,Haver_M!$B$1:$BZ$300,MATCH(data!AJ$1,Haver_M!$B$1:$BZ$1,0),FALSE)),VLOOKUP($A223,Haver_M!$B$1:$BZ$300,MATCH(data!AJ$1,Haver_M!$B$1:$BZ$1,0),FALSE),"")</f>
        <v>27723.93</v>
      </c>
      <c r="AK223">
        <f>IF(ISNUMBER(VLOOKUP($A223,Haver_M!$B$1:$BZ$300,MATCH(data!AK$1,Haver_M!$B$1:$BZ$1,0),FALSE)),VLOOKUP($A223,Haver_M!$B$1:$BZ$300,MATCH(data!AK$1,Haver_M!$B$1:$BZ$1,0),FALSE),"")</f>
        <v>44039.96</v>
      </c>
      <c r="AL223">
        <f>IF(ISNUMBER(VLOOKUP($A223,Haver_M!$B$1:$BZ$300,MATCH(data!AL$1,Haver_M!$B$1:$BZ$1,0),FALSE)),VLOOKUP($A223,Haver_M!$B$1:$BZ$300,MATCH(data!AL$1,Haver_M!$B$1:$BZ$1,0),FALSE),"")</f>
        <v>16872</v>
      </c>
      <c r="AM223">
        <f>IF(ISNUMBER(VLOOKUP($A223,Haver_M!$B$1:$BZ$300,MATCH(data!AM$1,Haver_M!$B$1:$BZ$1,0),FALSE)),VLOOKUP($A223,Haver_M!$B$1:$BZ$300,MATCH(data!AM$1,Haver_M!$B$1:$BZ$1,0),FALSE),"")</f>
        <v>10299</v>
      </c>
      <c r="AN223">
        <f>IF(ISNUMBER(VLOOKUP($A223,Haver_M!$B$1:$BZ$300,MATCH(data!AN$1,Haver_M!$B$1:$BZ$1,0),FALSE)),VLOOKUP($A223,Haver_M!$B$1:$BZ$300,MATCH(data!AN$1,Haver_M!$B$1:$BZ$1,0),FALSE),"")</f>
        <v>98.3</v>
      </c>
      <c r="AO223">
        <f>IF(ISNUMBER(VLOOKUP($A223,Haver_M!$B$1:$BZ$300,MATCH(data!AO$1,Haver_M!$B$1:$BZ$1,0),FALSE)),VLOOKUP($A223,Haver_M!$B$1:$BZ$300,MATCH(data!AO$1,Haver_M!$B$1:$BZ$1,0),FALSE),"")</f>
        <v>119.8</v>
      </c>
      <c r="AP223">
        <f>IF(ISNUMBER(VLOOKUP($A223,Haver_M!$B$1:$BZ$300,MATCH(data!AP$1,Haver_M!$B$1:$BZ$1,0),FALSE)),VLOOKUP($A223,Haver_M!$B$1:$BZ$300,MATCH(data!AP$1,Haver_M!$B$1:$BZ$1,0),FALSE),"")</f>
        <v>51.491502247447102</v>
      </c>
      <c r="AQ223">
        <f>IF(ISNUMBER(VLOOKUP($A223,Haver_M!$B$1:$BZ$300,MATCH(data!AQ$1,Haver_M!$B$1:$BZ$1,0),FALSE)),VLOOKUP($A223,Haver_M!$B$1:$BZ$300,MATCH(data!AQ$1,Haver_M!$B$1:$BZ$1,0),FALSE),"")</f>
        <v>53.320099999999996</v>
      </c>
      <c r="AR223">
        <f>IF(ISNUMBER(VLOOKUP($A223,Haver_M!$B$1:$BZ$300,MATCH(data!AR$1,Haver_M!$B$1:$BZ$1,0),FALSE)),VLOOKUP($A223,Haver_M!$B$1:$BZ$300,MATCH(data!AR$1,Haver_M!$B$1:$BZ$1,0),FALSE),"")</f>
        <v>53.142299999999999</v>
      </c>
      <c r="AS223">
        <f>IF(ISNUMBER(VLOOKUP($A223,Haver_M!$B$1:$BZ$300,MATCH(data!AS$1,Haver_M!$B$1:$BZ$1,0),FALSE)),VLOOKUP($A223,Haver_M!$B$1:$BZ$300,MATCH(data!AS$1,Haver_M!$B$1:$BZ$1,0),FALSE),"")</f>
        <v>52.636499999999998</v>
      </c>
      <c r="AT223">
        <f>IF(ISNUMBER(VLOOKUP($A223,Haver_M!$B$1:$BZ$300,MATCH(data!AT$1,Haver_M!$B$1:$BZ$1,0),FALSE)),VLOOKUP($A223,Haver_M!$B$1:$BZ$300,MATCH(data!AT$1,Haver_M!$B$1:$BZ$1,0),FALSE),"")</f>
        <v>54.829300000000003</v>
      </c>
      <c r="AU223">
        <f>IF(ISNUMBER(VLOOKUP($A223,Haver_M!$B$1:$BZ$300,MATCH(data!AU$1,Haver_M!$B$1:$BZ$1,0),FALSE)),VLOOKUP($A223,Haver_M!$B$1:$BZ$300,MATCH(data!AU$1,Haver_M!$B$1:$BZ$1,0),FALSE),"")</f>
        <v>54.936500000000002</v>
      </c>
      <c r="AV223">
        <f>IF(ISNUMBER(VLOOKUP($A223,Haver_M!$B$1:$BZ$300,MATCH(data!AV$1,Haver_M!$B$1:$BZ$1,0),FALSE)),VLOOKUP($A223,Haver_M!$B$1:$BZ$300,MATCH(data!AV$1,Haver_M!$B$1:$BZ$1,0),FALSE),"")</f>
        <v>52.025500000000001</v>
      </c>
      <c r="AW223">
        <f>IF(ISNUMBER(VLOOKUP($A223,Haver_M!$B$1:$BZ$300,MATCH(data!AW$1,Haver_M!$B$1:$BZ$1,0),FALSE)),VLOOKUP($A223,Haver_M!$B$1:$BZ$300,MATCH(data!AW$1,Haver_M!$B$1:$BZ$1,0),FALSE),"")</f>
        <v>49.889000000000003</v>
      </c>
      <c r="AX223">
        <f>IF(ISNUMBER(VLOOKUP($A223,Haver_M!$B$1:$BZ$300,MATCH(data!AX$1,Haver_M!$B$1:$BZ$1,0),FALSE)),VLOOKUP($A223,Haver_M!$B$1:$BZ$300,MATCH(data!AX$1,Haver_M!$B$1:$BZ$1,0),FALSE),"")</f>
        <v>50.322200000000002</v>
      </c>
      <c r="AY223">
        <f>IF(ISNUMBER(VLOOKUP($A223,Haver_M!$B$1:$BZ$300,MATCH(data!AY$1,Haver_M!$B$1:$BZ$1,0),FALSE)),VLOOKUP($A223,Haver_M!$B$1:$BZ$300,MATCH(data!AY$1,Haver_M!$B$1:$BZ$1,0),FALSE),"")</f>
        <v>58.623399999999997</v>
      </c>
      <c r="AZ223">
        <f>IF(ISNUMBER(VLOOKUP($A223,Haver_M!$B$1:$BZ$300,MATCH(data!AZ$1,Haver_M!$B$1:$BZ$1,0),FALSE)),VLOOKUP($A223,Haver_M!$B$1:$BZ$300,MATCH(data!AZ$1,Haver_M!$B$1:$BZ$1,0),FALSE),"")</f>
        <v>51.963700000000003</v>
      </c>
      <c r="BA223">
        <f>IF(ISNUMBER(VLOOKUP($A223,Haver_M!$B$1:$BZ$300,MATCH(data!BA$1,Haver_M!$B$1:$BZ$1,0),FALSE)),VLOOKUP($A223,Haver_M!$B$1:$BZ$300,MATCH(data!BA$1,Haver_M!$B$1:$BZ$1,0),FALSE),"")</f>
        <v>50.322200000000002</v>
      </c>
      <c r="BB223">
        <f>IF(ISNUMBER(VLOOKUP($A223,Haver_M!$B$1:$BZ$300,MATCH(data!BB$1,Haver_M!$B$1:$BZ$1,0),FALSE)),VLOOKUP($A223,Haver_M!$B$1:$BZ$300,MATCH(data!BB$1,Haver_M!$B$1:$BZ$1,0),FALSE),"")</f>
        <v>53.114400000000003</v>
      </c>
      <c r="BC223">
        <f>IF(ISNUMBER(VLOOKUP($A223,Haver_M!$B$1:$BZ$300,MATCH(data!BC$1,Haver_M!$B$1:$BZ$1,0),FALSE)),VLOOKUP($A223,Haver_M!$B$1:$BZ$300,MATCH(data!BC$1,Haver_M!$B$1:$BZ$1,0),FALSE),"")</f>
        <v>52.245600000000003</v>
      </c>
      <c r="BD223">
        <f>IF(ISNUMBER(VLOOKUP($A223,Haver_M!$B$1:$BZ$300,MATCH(data!BD$1,Haver_M!$B$1:$BZ$1,0),FALSE)),VLOOKUP($A223,Haver_M!$B$1:$BZ$300,MATCH(data!BD$1,Haver_M!$B$1:$BZ$1,0),FALSE),"")</f>
        <v>50.364800000000002</v>
      </c>
      <c r="BE223">
        <f>IF(ISNUMBER(VLOOKUP($A223,Haver_M!$B$1:$BZ$300,MATCH(data!BE$1,Haver_M!$B$1:$BZ$1,0),FALSE)),VLOOKUP($A223,Haver_M!$B$1:$BZ$300,MATCH(data!BE$1,Haver_M!$B$1:$BZ$1,0),FALSE),"")</f>
        <v>1.2322</v>
      </c>
      <c r="BF223">
        <f>IF(ISNUMBER(VLOOKUP($A223,Haver_M!$B$1:$BZ$300,MATCH(data!BF$1,Haver_M!$B$1:$BZ$1,0),FALSE)),VLOOKUP($A223,Haver_M!$B$1:$BZ$300,MATCH(data!BF$1,Haver_M!$B$1:$BZ$1,0),FALSE),"")</f>
        <v>52.359400000000001</v>
      </c>
      <c r="BG223">
        <f>IF(ISNUMBER(VLOOKUP($A223,Haver_M!$B$1:$BZ$300,MATCH(data!BG$1,Haver_M!$B$1:$BZ$1,0),FALSE)),VLOOKUP($A223,Haver_M!$B$1:$BZ$300,MATCH(data!BG$1,Haver_M!$B$1:$BZ$1,0),FALSE),"")</f>
        <v>50.846600000000002</v>
      </c>
      <c r="BH223">
        <f>IF(ISNUMBER(VLOOKUP($A223,Haver_M!$B$1:$BZ$300,MATCH(data!BH$1,Haver_M!$B$1:$BZ$1,0),FALSE)),VLOOKUP($A223,Haver_M!$B$1:$BZ$300,MATCH(data!BH$1,Haver_M!$B$1:$BZ$1,0),FALSE),"")</f>
        <v>51.976999999999997</v>
      </c>
      <c r="BI223">
        <f>IF(ISNUMBER(VLOOKUP($A223,Haver_M!$B$1:$BZ$300,MATCH(data!BI$1,Haver_M!$B$1:$BZ$1,0),FALSE)),VLOOKUP($A223,Haver_M!$B$1:$BZ$300,MATCH(data!BI$1,Haver_M!$B$1:$BZ$1,0),FALSE),"")</f>
        <v>53.458300000000001</v>
      </c>
      <c r="BJ223">
        <f>IF(ISNUMBER(VLOOKUP($A223,Haver_M!$B$1:$BZ$300,MATCH(data!BJ$1,Haver_M!$B$1:$BZ$1,0),FALSE)),VLOOKUP($A223,Haver_M!$B$1:$BZ$300,MATCH(data!BJ$1,Haver_M!$B$1:$BZ$1,0),FALSE),"")</f>
        <v>52.8264</v>
      </c>
      <c r="BK223">
        <f>IF(ISNUMBER(VLOOKUP($A223,Haver_M!$B$1:$BZ$300,MATCH(data!BK$1,Haver_M!$B$1:$BZ$1,0),FALSE)),VLOOKUP($A223,Haver_M!$B$1:$BZ$300,MATCH(data!BK$1,Haver_M!$B$1:$BZ$1,0),FALSE),"")</f>
        <v>52.270099999999999</v>
      </c>
      <c r="BL223">
        <f>IF(ISNUMBER(VLOOKUP($A223,Haver_M!$B$1:$BZ$300,MATCH(data!BL$1,Haver_M!$B$1:$BZ$1,0),FALSE)),VLOOKUP($A223,Haver_M!$B$1:$BZ$300,MATCH(data!BL$1,Haver_M!$B$1:$BZ$1,0),FALSE),"")</f>
        <v>35405.14</v>
      </c>
      <c r="BM223">
        <f>IF(ISNUMBER(VLOOKUP($A223,Haver_M!$B$1:$BZ$300,MATCH(data!BM$1,Haver_M!$B$1:$BZ$1,0),FALSE)),VLOOKUP($A223,Haver_M!$B$1:$BZ$300,MATCH(data!BM$1,Haver_M!$B$1:$BZ$1,0),FALSE),"")</f>
        <v>101.72180603</v>
      </c>
      <c r="BN223">
        <f>IF(ISNUMBER(VLOOKUP($A223,Haver_M!$B$1:$BZ$300,MATCH(data!BN$1,Haver_M!$B$1:$BZ$1,0),FALSE)),VLOOKUP($A223,Haver_M!$B$1:$BZ$300,MATCH(data!BN$1,Haver_M!$B$1:$BZ$1,0),FALSE),"")</f>
        <v>108.4</v>
      </c>
      <c r="BO223">
        <f>IF(ISNUMBER(VLOOKUP($A223,Haver_M!$B$1:$BZ$300,MATCH(data!BO$1,Haver_M!$B$1:$BZ$1,0),FALSE)),VLOOKUP($A223,Haver_M!$B$1:$BZ$300,MATCH(data!BO$1,Haver_M!$B$1:$BZ$1,0),FALSE),"")</f>
        <v>114.6</v>
      </c>
      <c r="BP223">
        <f>IF(ISNUMBER(VLOOKUP($A223,Haver_M!$B$1:$BZ$300,MATCH(data!BP$1,Haver_M!$B$1:$BZ$1,0),FALSE)),VLOOKUP($A223,Haver_M!$B$1:$BZ$300,MATCH(data!BP$1,Haver_M!$B$1:$BZ$1,0),FALSE),"")</f>
        <v>36.9</v>
      </c>
      <c r="BQ223">
        <f>IF(ISNUMBER(VLOOKUP($A223,Haver_M!$B$1:$BZ$300,MATCH(data!BQ$1,Haver_M!$B$1:$BZ$1,0),FALSE)),VLOOKUP($A223,Haver_M!$B$1:$BZ$300,MATCH(data!BQ$1,Haver_M!$B$1:$BZ$1,0),FALSE),"")</f>
        <v>285.22047228995285</v>
      </c>
      <c r="BR223">
        <f>IF(ISNUMBER(VLOOKUP($A223,Haver_M!$B$1:$BZ$300,MATCH(data!BR$1,Haver_M!$B$1:$BZ$1,0),FALSE)),VLOOKUP($A223,Haver_M!$B$1:$BZ$300,MATCH(data!BR$1,Haver_M!$B$1:$BZ$1,0),FALSE),"")</f>
        <v>389.67122022742728</v>
      </c>
      <c r="BS223">
        <f>IF(ISNUMBER(VLOOKUP($A223,Haver_M!$B$1:$BZ$300,MATCH(data!BS$1,Haver_M!$B$1:$BZ$1,0),FALSE)),VLOOKUP($A223,Haver_M!$B$1:$BZ$300,MATCH(data!BS$1,Haver_M!$B$1:$BZ$1,0),FALSE),"")</f>
        <v>298.22828576949576</v>
      </c>
      <c r="BT223">
        <f>IF(ISNUMBER(VLOOKUP($A223,Haver_M!$B$1:$BZ$300,MATCH(data!BT$1,Haver_M!$B$1:$BZ$1,0),FALSE)),VLOOKUP($A223,Haver_M!$B$1:$BZ$300,MATCH(data!BT$1,Haver_M!$B$1:$BZ$1,0),FALSE),"")</f>
        <v>1125.8585313254596</v>
      </c>
      <c r="BU223">
        <f>IF(ISNUMBER(VLOOKUP($A223,Haver_M!$B$1:$BZ$300,MATCH(data!BU$1,Haver_M!$B$1:$BZ$1,0),FALSE)),VLOOKUP($A223,Haver_M!$B$1:$BZ$300,MATCH(data!BU$1,Haver_M!$B$1:$BZ$1,0),FALSE),"")</f>
        <v>27142.89</v>
      </c>
      <c r="BV223">
        <f>IF(ISNUMBER(VLOOKUP($A223,Haver_M!$B$1:$BZ$300,MATCH(data!BV$1,Haver_M!$B$1:$BZ$1,0),FALSE)),VLOOKUP($A223,Haver_M!$B$1:$BZ$300,MATCH(data!BV$1,Haver_M!$B$1:$BZ$1,0),FALSE),"")</f>
        <v>44801.71</v>
      </c>
      <c r="BW223">
        <f>IF(ISNUMBER(VLOOKUP($A223,Haver_M!$B$1:$BZ$300,MATCH(data!BW$1,Haver_M!$B$1:$BZ$1,0),FALSE)),VLOOKUP($A223,Haver_M!$B$1:$BZ$300,MATCH(data!BW$1,Haver_M!$B$1:$BZ$1,0),FALSE),"")</f>
        <v>67.793099999999995</v>
      </c>
      <c r="BX223">
        <f>IF(ISNUMBER(VLOOKUP($A223,Haver_M!$B$1:$BZ$300,MATCH(data!BX$1,Haver_M!$B$1:$BZ$1,0),FALSE)),VLOOKUP($A223,Haver_M!$B$1:$BZ$300,MATCH(data!BX$1,Haver_M!$B$1:$BZ$1,0),FALSE),"")</f>
        <v>71568</v>
      </c>
    </row>
    <row r="224" spans="1:76" x14ac:dyDescent="0.25">
      <c r="A224" s="2">
        <v>43312</v>
      </c>
      <c r="B224" t="str">
        <f>IF(ISNUMBER(VLOOKUP($A224,Haver_Q!$B$1:$L$185,MATCH(data!B$1,Haver_Q!$B$1:$L$1,0),FALSE)),100*(VLOOKUP($A224,Haver_Q!$B$1:$L$185,MATCH(data!B$1,Haver_Q!$B$1:$L$1,0),FALSE)),"")</f>
        <v/>
      </c>
      <c r="C224" t="str">
        <f>IF(ISNUMBER(VLOOKUP($A224,Haver_Q!$B$1:$L$185,MATCH(data!C$1,Haver_Q!$B$1:$L$1,0),FALSE)),100*(VLOOKUP($A224,Haver_Q!$B$1:$L$185,MATCH(data!C$1,Haver_Q!$B$1:$L$1,0),FALSE)),"")</f>
        <v/>
      </c>
      <c r="D224" t="str">
        <f>IF(ISNUMBER(VLOOKUP($A224,Haver_Q!$B$1:$L$185,MATCH(data!D$1,Haver_Q!$B$1:$L$1,0),FALSE)),100*(VLOOKUP($A224,Haver_Q!$B$1:$L$185,MATCH(data!D$1,Haver_Q!$B$1:$L$1,0),FALSE)),"")</f>
        <v/>
      </c>
      <c r="E224" t="str">
        <f>IF(ISNUMBER(VLOOKUP($A224,Haver_Q!$B$1:$L$185,MATCH(data!E$1,Haver_Q!$B$1:$L$1,0),FALSE)),100*(VLOOKUP($A224,Haver_Q!$B$1:$L$185,MATCH(data!E$1,Haver_Q!$B$1:$L$1,0),FALSE)),"")</f>
        <v/>
      </c>
      <c r="F224" t="str">
        <f>IF(ISNUMBER(VLOOKUP($A224,Haver_Q!$B$1:$L$185,MATCH(data!F$1,Haver_Q!$B$1:$L$1,0),FALSE)),100*(VLOOKUP($A224,Haver_Q!$B$1:$L$185,MATCH(data!F$1,Haver_Q!$B$1:$L$1,0),FALSE)),"")</f>
        <v/>
      </c>
      <c r="G224" t="str">
        <f>IF(ISNUMBER(VLOOKUP($A224,Haver_Q!$B$1:$L$185,MATCH(data!G$1,Haver_Q!$B$1:$L$1,0),FALSE)),100*(VLOOKUP($A224,Haver_Q!$B$1:$L$185,MATCH(data!G$1,Haver_Q!$B$1:$L$1,0),FALSE)),"")</f>
        <v/>
      </c>
      <c r="H224" t="str">
        <f>IF(ISNUMBER(VLOOKUP($A224,Haver_Q!$B$1:$L$185,MATCH(data!H$1,Haver_Q!$B$1:$L$1,0),FALSE)),(VLOOKUP($A224,Haver_Q!$B$1:$L$185,MATCH(data!H$1,Haver_Q!$B$1:$L$1,0),FALSE)),"")</f>
        <v/>
      </c>
      <c r="I224" t="str">
        <f>IF(ISNUMBER(VLOOKUP($A224,Haver_Q!$B$1:$L$185,MATCH(data!I$1,Haver_Q!$B$1:$L$1,0),FALSE)),100*(VLOOKUP($A224,Haver_Q!$B$1:$L$185,MATCH(data!I$1,Haver_Q!$B$1:$L$1,0),FALSE)),"")</f>
        <v/>
      </c>
      <c r="J224" s="3">
        <f>IF(ISNUMBER(Bloomberg_m!C240),Bloomberg_m!C240,"")</f>
        <v>1650</v>
      </c>
      <c r="K224" s="3">
        <f>IF(ISNUMBER(Bloomberg_m!D240),Bloomberg_m!D240,"")</f>
        <v>1472.3</v>
      </c>
      <c r="L224" s="3">
        <f>IF(ISNUMBER(Bloomberg_m!E240),Bloomberg_m!E240,"")</f>
        <v>825.08</v>
      </c>
      <c r="M224" s="3">
        <f>IF(ISNUMBER(Bloomberg_m!F240),Bloomberg_m!F240,"")</f>
        <v>460.59</v>
      </c>
      <c r="N224">
        <f>IF(ISNUMBER(VLOOKUP($A224,Haver_M!$B$1:$BZ$300,MATCH(data!N$1,Haver_M!$B$1:$BZ$1,0),FALSE)),VLOOKUP($A224,Haver_M!$B$1:$BZ$300,MATCH(data!N$1,Haver_M!$B$1:$BZ$1,0),FALSE),"")</f>
        <v>6.25</v>
      </c>
      <c r="O224">
        <f>IF(ISNUMBER(VLOOKUP($A224,Haver_M!$B$1:$BZ$300,MATCH(data!O$1,Haver_M!$B$1:$BZ$1,0),FALSE)),VLOOKUP($A224,Haver_M!$B$1:$BZ$300,MATCH(data!O$1,Haver_M!$B$1:$BZ$1,0),FALSE),"")</f>
        <v>7.7412000000000001</v>
      </c>
      <c r="P224">
        <f>IF(ISNUMBER(VLOOKUP($A224,Haver_M!$B$1:$BZ$300,MATCH(data!P$1,Haver_M!$B$1:$BZ$1,0),FALSE)),VLOOKUP($A224,Haver_M!$B$1:$BZ$300,MATCH(data!P$1,Haver_M!$B$1:$BZ$1,0),FALSE),"")</f>
        <v>90.020129999999995</v>
      </c>
      <c r="Q224">
        <f>IF(ISNUMBER(VLOOKUP($A224,Haver_M!$B$1:$BZ$300,MATCH(data!Q$1,Haver_M!$B$1:$BZ$1,0),FALSE)),VLOOKUP($A224,Haver_M!$B$1:$BZ$300,MATCH(data!Q$1,Haver_M!$B$1:$BZ$1,0),FALSE),"")</f>
        <v>139.80000000000001</v>
      </c>
      <c r="R224">
        <f>IF(ISNUMBER(VLOOKUP($A224,Haver_M!$B$1:$BZ$300,MATCH(data!R$1,Haver_M!$B$1:$BZ$1,0),FALSE)),VLOOKUP($A224,Haver_M!$B$1:$BZ$300,MATCH(data!R$1,Haver_M!$B$1:$BZ$1,0),FALSE),"")</f>
        <v>139.6</v>
      </c>
      <c r="S224">
        <f>IF(ISNUMBER(VLOOKUP($A224,Haver_M!$B$1:$BZ$300,MATCH(data!S$1,Haver_M!$B$1:$BZ$1,0),FALSE)),VLOOKUP($A224,Haver_M!$B$1:$BZ$300,MATCH(data!S$1,Haver_M!$B$1:$BZ$1,0),FALSE),"")</f>
        <v>129.44</v>
      </c>
      <c r="T224">
        <f>IF(ISNUMBER(VLOOKUP($A224,Haver_M!$B$1:$BZ$300,MATCH(data!T$1,Haver_M!$B$1:$BZ$1,0),FALSE)),VLOOKUP($A224,Haver_M!$B$1:$BZ$300,MATCH(data!T$1,Haver_M!$B$1:$BZ$1,0),FALSE),"")</f>
        <v>127.24</v>
      </c>
      <c r="U224">
        <f>IF(ISNUMBER(VLOOKUP($A224,Haver_M!$B$1:$BZ$300,MATCH(data!U$1,Haver_M!$B$1:$BZ$1,0),FALSE)),VLOOKUP($A224,Haver_M!$B$1:$BZ$300,MATCH(data!U$1,Haver_M!$B$1:$BZ$1,0),FALSE),"")</f>
        <v>107.42</v>
      </c>
      <c r="V224">
        <f>IF(ISNUMBER(VLOOKUP($A224,Haver_M!$B$1:$BZ$300,MATCH(data!V$1,Haver_M!$B$1:$BZ$1,0),FALSE)),VLOOKUP($A224,Haver_M!$B$1:$BZ$300,MATCH(data!V$1,Haver_M!$B$1:$BZ$1,0),FALSE),"")</f>
        <v>121.09</v>
      </c>
      <c r="W224">
        <f>IF(ISNUMBER(VLOOKUP($A224,Haver_M!$B$1:$BZ$300,MATCH(data!W$1,Haver_M!$B$1:$BZ$1,0),FALSE)),VLOOKUP($A224,Haver_M!$B$1:$BZ$300,MATCH(data!W$1,Haver_M!$B$1:$BZ$1,0),FALSE),"")</f>
        <v>139.33000000000001</v>
      </c>
      <c r="X224">
        <f>IF(ISNUMBER(VLOOKUP($A224,Haver_M!$B$1:$BZ$300,MATCH(data!X$1,Haver_M!$B$1:$BZ$1,0),FALSE)),VLOOKUP($A224,Haver_M!$B$1:$BZ$300,MATCH(data!X$1,Haver_M!$B$1:$BZ$1,0),FALSE),"")</f>
        <v>134.28</v>
      </c>
      <c r="Y224">
        <f>IF(ISNUMBER(VLOOKUP($A224,Haver_M!$B$1:$BZ$300,MATCH(data!Y$1,Haver_M!$B$1:$BZ$1,0),FALSE)),VLOOKUP($A224,Haver_M!$B$1:$BZ$300,MATCH(data!Y$1,Haver_M!$B$1:$BZ$1,0),FALSE),"")</f>
        <v>141.68</v>
      </c>
      <c r="Z224">
        <f>IF(ISNUMBER(VLOOKUP($A224,Haver_M!$B$1:$BZ$300,MATCH(data!Z$1,Haver_M!$B$1:$BZ$1,0),FALSE)),VLOOKUP($A224,Haver_M!$B$1:$BZ$300,MATCH(data!Z$1,Haver_M!$B$1:$BZ$1,0),FALSE),"")</f>
        <v>131.30000000000001</v>
      </c>
      <c r="AA224">
        <f>IF(ISNUMBER(VLOOKUP($A224,Haver_M!$B$1:$BZ$300,MATCH(data!AA$1,Haver_M!$B$1:$BZ$1,0),FALSE)),VLOOKUP($A224,Haver_M!$B$1:$BZ$300,MATCH(data!AA$1,Haver_M!$B$1:$BZ$1,0),FALSE),"")</f>
        <v>130.95500000000001</v>
      </c>
      <c r="AB224">
        <f>IF(ISNUMBER(VLOOKUP($A224,Haver_M!$B$1:$BZ$300,MATCH(data!AB$1,Haver_M!$B$1:$BZ$1,0),FALSE)),VLOOKUP($A224,Haver_M!$B$1:$BZ$300,MATCH(data!AB$1,Haver_M!$B$1:$BZ$1,0),FALSE),"")</f>
        <v>89.930999999999997</v>
      </c>
      <c r="AC224">
        <f>IF(ISNUMBER(VLOOKUP($A224,Haver_M!$B$1:$BZ$300,MATCH(data!AC$1,Haver_M!$B$1:$BZ$1,0),FALSE)),VLOOKUP($A224,Haver_M!$B$1:$BZ$300,MATCH(data!AC$1,Haver_M!$B$1:$BZ$1,0),FALSE),"")</f>
        <v>68</v>
      </c>
      <c r="AD224">
        <f>IF(ISNUMBER(VLOOKUP($A224,Haver_M!$B$1:$BZ$300,MATCH(data!AD$1,Haver_M!$B$1:$BZ$1,0),FALSE)),VLOOKUP($A224,Haver_M!$B$1:$BZ$300,MATCH(data!AD$1,Haver_M!$B$1:$BZ$1,0),FALSE),"")</f>
        <v>132.697</v>
      </c>
      <c r="AE224">
        <f>IF(ISNUMBER(VLOOKUP($A224,Haver_M!$B$1:$BZ$300,MATCH(data!AE$1,Haver_M!$B$1:$BZ$1,0),FALSE)),VLOOKUP($A224,Haver_M!$B$1:$BZ$300,MATCH(data!AE$1,Haver_M!$B$1:$BZ$1,0),FALSE),"")</f>
        <v>105.89700000000001</v>
      </c>
      <c r="AF224">
        <f>IF(ISNUMBER(VLOOKUP($A224,Haver_M!$B$1:$BZ$300,MATCH(data!AF$1,Haver_M!$B$1:$BZ$1,0),FALSE)),VLOOKUP($A224,Haver_M!$B$1:$BZ$300,MATCH(data!AF$1,Haver_M!$B$1:$BZ$1,0),FALSE),"")</f>
        <v>145.803</v>
      </c>
      <c r="AG224">
        <f>IF(ISNUMBER(VLOOKUP($A224,Haver_M!$B$1:$BZ$300,MATCH(data!AG$1,Haver_M!$B$1:$BZ$1,0),FALSE)),VLOOKUP($A224,Haver_M!$B$1:$BZ$300,MATCH(data!AG$1,Haver_M!$B$1:$BZ$1,0),FALSE),"")</f>
        <v>140.11699999999999</v>
      </c>
      <c r="AH224">
        <f>IF(ISNUMBER(VLOOKUP($A224,Haver_M!$B$1:$BZ$300,MATCH(data!AH$1,Haver_M!$B$1:$BZ$1,0),FALSE)),VLOOKUP($A224,Haver_M!$B$1:$BZ$300,MATCH(data!AH$1,Haver_M!$B$1:$BZ$1,0),FALSE),"")</f>
        <v>156.46600000000001</v>
      </c>
      <c r="AI224">
        <f>IF(ISNUMBER(VLOOKUP($A224,Haver_M!$B$1:$BZ$300,MATCH(data!AI$1,Haver_M!$B$1:$BZ$1,0),FALSE)),VLOOKUP($A224,Haver_M!$B$1:$BZ$300,MATCH(data!AI$1,Haver_M!$B$1:$BZ$1,0),FALSE),"")</f>
        <v>17734.716016198676</v>
      </c>
      <c r="AJ224">
        <f>IF(ISNUMBER(VLOOKUP($A224,Haver_M!$B$1:$BZ$300,MATCH(data!AJ$1,Haver_M!$B$1:$BZ$1,0),FALSE)),VLOOKUP($A224,Haver_M!$B$1:$BZ$300,MATCH(data!AJ$1,Haver_M!$B$1:$BZ$1,0),FALSE),"")</f>
        <v>27051.759999999998</v>
      </c>
      <c r="AK224">
        <f>IF(ISNUMBER(VLOOKUP($A224,Haver_M!$B$1:$BZ$300,MATCH(data!AK$1,Haver_M!$B$1:$BZ$1,0),FALSE)),VLOOKUP($A224,Haver_M!$B$1:$BZ$300,MATCH(data!AK$1,Haver_M!$B$1:$BZ$1,0),FALSE),"")</f>
        <v>44262.54</v>
      </c>
      <c r="AL224">
        <f>IF(ISNUMBER(VLOOKUP($A224,Haver_M!$B$1:$BZ$300,MATCH(data!AL$1,Haver_M!$B$1:$BZ$1,0),FALSE)),VLOOKUP($A224,Haver_M!$B$1:$BZ$300,MATCH(data!AL$1,Haver_M!$B$1:$BZ$1,0),FALSE),"")</f>
        <v>17553</v>
      </c>
      <c r="AM224">
        <f>IF(ISNUMBER(VLOOKUP($A224,Haver_M!$B$1:$BZ$300,MATCH(data!AM$1,Haver_M!$B$1:$BZ$1,0),FALSE)),VLOOKUP($A224,Haver_M!$B$1:$BZ$300,MATCH(data!AM$1,Haver_M!$B$1:$BZ$1,0),FALSE),"")</f>
        <v>10850</v>
      </c>
      <c r="AN224" t="str">
        <f>IF(ISNUMBER(VLOOKUP($A224,Haver_M!$B$1:$BZ$300,MATCH(data!AN$1,Haver_M!$B$1:$BZ$1,0),FALSE)),VLOOKUP($A224,Haver_M!$B$1:$BZ$300,MATCH(data!AN$1,Haver_M!$B$1:$BZ$1,0),FALSE),"")</f>
        <v/>
      </c>
      <c r="AO224" t="str">
        <f>IF(ISNUMBER(VLOOKUP($A224,Haver_M!$B$1:$BZ$300,MATCH(data!AO$1,Haver_M!$B$1:$BZ$1,0),FALSE)),VLOOKUP($A224,Haver_M!$B$1:$BZ$300,MATCH(data!AO$1,Haver_M!$B$1:$BZ$1,0),FALSE),"")</f>
        <v/>
      </c>
      <c r="AP224">
        <f>IF(ISNUMBER(VLOOKUP($A224,Haver_M!$B$1:$BZ$300,MATCH(data!AP$1,Haver_M!$B$1:$BZ$1,0),FALSE)),VLOOKUP($A224,Haver_M!$B$1:$BZ$300,MATCH(data!AP$1,Haver_M!$B$1:$BZ$1,0),FALSE),"")</f>
        <v>65.444031869339895</v>
      </c>
      <c r="AQ224">
        <f>IF(ISNUMBER(VLOOKUP($A224,Haver_M!$B$1:$BZ$300,MATCH(data!AQ$1,Haver_M!$B$1:$BZ$1,0),FALSE)),VLOOKUP($A224,Haver_M!$B$1:$BZ$300,MATCH(data!AQ$1,Haver_M!$B$1:$BZ$1,0),FALSE),"")</f>
        <v>54.062199999999997</v>
      </c>
      <c r="AR224">
        <f>IF(ISNUMBER(VLOOKUP($A224,Haver_M!$B$1:$BZ$300,MATCH(data!AR$1,Haver_M!$B$1:$BZ$1,0),FALSE)),VLOOKUP($A224,Haver_M!$B$1:$BZ$300,MATCH(data!AR$1,Haver_M!$B$1:$BZ$1,0),FALSE),"")</f>
        <v>52.266100000000002</v>
      </c>
      <c r="AS224">
        <f>IF(ISNUMBER(VLOOKUP($A224,Haver_M!$B$1:$BZ$300,MATCH(data!AS$1,Haver_M!$B$1:$BZ$1,0),FALSE)),VLOOKUP($A224,Haver_M!$B$1:$BZ$300,MATCH(data!AS$1,Haver_M!$B$1:$BZ$1,0),FALSE),"")</f>
        <v>54.1554</v>
      </c>
      <c r="AT224">
        <f>IF(ISNUMBER(VLOOKUP($A224,Haver_M!$B$1:$BZ$300,MATCH(data!AT$1,Haver_M!$B$1:$BZ$1,0),FALSE)),VLOOKUP($A224,Haver_M!$B$1:$BZ$300,MATCH(data!AT$1,Haver_M!$B$1:$BZ$1,0),FALSE),"")</f>
        <v>53.856499999999997</v>
      </c>
      <c r="AU224">
        <f>IF(ISNUMBER(VLOOKUP($A224,Haver_M!$B$1:$BZ$300,MATCH(data!AU$1,Haver_M!$B$1:$BZ$1,0),FALSE)),VLOOKUP($A224,Haver_M!$B$1:$BZ$300,MATCH(data!AU$1,Haver_M!$B$1:$BZ$1,0),FALSE),"")</f>
        <v>53.565600000000003</v>
      </c>
      <c r="AV224">
        <f>IF(ISNUMBER(VLOOKUP($A224,Haver_M!$B$1:$BZ$300,MATCH(data!AV$1,Haver_M!$B$1:$BZ$1,0),FALSE)),VLOOKUP($A224,Haver_M!$B$1:$BZ$300,MATCH(data!AV$1,Haver_M!$B$1:$BZ$1,0),FALSE),"")</f>
        <v>50.816000000000003</v>
      </c>
      <c r="AW224">
        <f>IF(ISNUMBER(VLOOKUP($A224,Haver_M!$B$1:$BZ$300,MATCH(data!AW$1,Haver_M!$B$1:$BZ$1,0),FALSE)),VLOOKUP($A224,Haver_M!$B$1:$BZ$300,MATCH(data!AW$1,Haver_M!$B$1:$BZ$1,0),FALSE),"")</f>
        <v>50.203000000000003</v>
      </c>
      <c r="AX224">
        <f>IF(ISNUMBER(VLOOKUP($A224,Haver_M!$B$1:$BZ$300,MATCH(data!AX$1,Haver_M!$B$1:$BZ$1,0),FALSE)),VLOOKUP($A224,Haver_M!$B$1:$BZ$300,MATCH(data!AX$1,Haver_M!$B$1:$BZ$1,0),FALSE),"")</f>
        <v>50.9953</v>
      </c>
      <c r="AY224">
        <f>IF(ISNUMBER(VLOOKUP($A224,Haver_M!$B$1:$BZ$300,MATCH(data!AY$1,Haver_M!$B$1:$BZ$1,0),FALSE)),VLOOKUP($A224,Haver_M!$B$1:$BZ$300,MATCH(data!AY$1,Haver_M!$B$1:$BZ$1,0),FALSE),"")</f>
        <v>56.379300000000001</v>
      </c>
      <c r="AZ224">
        <f>IF(ISNUMBER(VLOOKUP($A224,Haver_M!$B$1:$BZ$300,MATCH(data!AZ$1,Haver_M!$B$1:$BZ$1,0),FALSE)),VLOOKUP($A224,Haver_M!$B$1:$BZ$300,MATCH(data!AZ$1,Haver_M!$B$1:$BZ$1,0),FALSE),"")</f>
        <v>51.795699999999997</v>
      </c>
      <c r="BA224">
        <f>IF(ISNUMBER(VLOOKUP($A224,Haver_M!$B$1:$BZ$300,MATCH(data!BA$1,Haver_M!$B$1:$BZ$1,0),FALSE)),VLOOKUP($A224,Haver_M!$B$1:$BZ$300,MATCH(data!BA$1,Haver_M!$B$1:$BZ$1,0),FALSE),"")</f>
        <v>50.9953</v>
      </c>
      <c r="BB224">
        <f>IF(ISNUMBER(VLOOKUP($A224,Haver_M!$B$1:$BZ$300,MATCH(data!BB$1,Haver_M!$B$1:$BZ$1,0),FALSE)),VLOOKUP($A224,Haver_M!$B$1:$BZ$300,MATCH(data!BB$1,Haver_M!$B$1:$BZ$1,0),FALSE),"")</f>
        <v>52.879199999999997</v>
      </c>
      <c r="BC224">
        <f>IF(ISNUMBER(VLOOKUP($A224,Haver_M!$B$1:$BZ$300,MATCH(data!BC$1,Haver_M!$B$1:$BZ$1,0),FALSE)),VLOOKUP($A224,Haver_M!$B$1:$BZ$300,MATCH(data!BC$1,Haver_M!$B$1:$BZ$1,0),FALSE),"")</f>
        <v>51.610799999999998</v>
      </c>
      <c r="BD224">
        <f>IF(ISNUMBER(VLOOKUP($A224,Haver_M!$B$1:$BZ$300,MATCH(data!BD$1,Haver_M!$B$1:$BZ$1,0),FALSE)),VLOOKUP($A224,Haver_M!$B$1:$BZ$300,MATCH(data!BD$1,Haver_M!$B$1:$BZ$1,0),FALSE),"")</f>
        <v>50.615099999999998</v>
      </c>
      <c r="BE224">
        <f>IF(ISNUMBER(VLOOKUP($A224,Haver_M!$B$1:$BZ$300,MATCH(data!BE$1,Haver_M!$B$1:$BZ$1,0),FALSE)),VLOOKUP($A224,Haver_M!$B$1:$BZ$300,MATCH(data!BE$1,Haver_M!$B$1:$BZ$1,0),FALSE),"")</f>
        <v>1.1704000000000001</v>
      </c>
      <c r="BF224">
        <f>IF(ISNUMBER(VLOOKUP($A224,Haver_M!$B$1:$BZ$300,MATCH(data!BF$1,Haver_M!$B$1:$BZ$1,0),FALSE)),VLOOKUP($A224,Haver_M!$B$1:$BZ$300,MATCH(data!BF$1,Haver_M!$B$1:$BZ$1,0),FALSE),"")</f>
        <v>52.485199999999999</v>
      </c>
      <c r="BG224">
        <f>IF(ISNUMBER(VLOOKUP($A224,Haver_M!$B$1:$BZ$300,MATCH(data!BG$1,Haver_M!$B$1:$BZ$1,0),FALSE)),VLOOKUP($A224,Haver_M!$B$1:$BZ$300,MATCH(data!BG$1,Haver_M!$B$1:$BZ$1,0),FALSE),"")</f>
        <v>50.467100000000002</v>
      </c>
      <c r="BH224">
        <f>IF(ISNUMBER(VLOOKUP($A224,Haver_M!$B$1:$BZ$300,MATCH(data!BH$1,Haver_M!$B$1:$BZ$1,0),FALSE)),VLOOKUP($A224,Haver_M!$B$1:$BZ$300,MATCH(data!BH$1,Haver_M!$B$1:$BZ$1,0),FALSE),"")</f>
        <v>53.306800000000003</v>
      </c>
      <c r="BI224">
        <f>IF(ISNUMBER(VLOOKUP($A224,Haver_M!$B$1:$BZ$300,MATCH(data!BI$1,Haver_M!$B$1:$BZ$1,0),FALSE)),VLOOKUP($A224,Haver_M!$B$1:$BZ$300,MATCH(data!BI$1,Haver_M!$B$1:$BZ$1,0),FALSE),"")</f>
        <v>53.760599999999997</v>
      </c>
      <c r="BJ224">
        <f>IF(ISNUMBER(VLOOKUP($A224,Haver_M!$B$1:$BZ$300,MATCH(data!BJ$1,Haver_M!$B$1:$BZ$1,0),FALSE)),VLOOKUP($A224,Haver_M!$B$1:$BZ$300,MATCH(data!BJ$1,Haver_M!$B$1:$BZ$1,0),FALSE),"")</f>
        <v>51.824199999999998</v>
      </c>
      <c r="BK224">
        <f>IF(ISNUMBER(VLOOKUP($A224,Haver_M!$B$1:$BZ$300,MATCH(data!BK$1,Haver_M!$B$1:$BZ$1,0),FALSE)),VLOOKUP($A224,Haver_M!$B$1:$BZ$300,MATCH(data!BK$1,Haver_M!$B$1:$BZ$1,0),FALSE),"")</f>
        <v>50.550600000000003</v>
      </c>
      <c r="BL224">
        <f>IF(ISNUMBER(VLOOKUP($A224,Haver_M!$B$1:$BZ$300,MATCH(data!BL$1,Haver_M!$B$1:$BZ$1,0),FALSE)),VLOOKUP($A224,Haver_M!$B$1:$BZ$300,MATCH(data!BL$1,Haver_M!$B$1:$BZ$1,0),FALSE),"")</f>
        <v>36406.379999999997</v>
      </c>
      <c r="BM224">
        <f>IF(ISNUMBER(VLOOKUP($A224,Haver_M!$B$1:$BZ$300,MATCH(data!BM$1,Haver_M!$B$1:$BZ$1,0),FALSE)),VLOOKUP($A224,Haver_M!$B$1:$BZ$300,MATCH(data!BM$1,Haver_M!$B$1:$BZ$1,0),FALSE),"")</f>
        <v>101.45691708</v>
      </c>
      <c r="BN224" t="str">
        <f>IF(ISNUMBER(VLOOKUP($A224,Haver_M!$B$1:$BZ$300,MATCH(data!BN$1,Haver_M!$B$1:$BZ$1,0),FALSE)),VLOOKUP($A224,Haver_M!$B$1:$BZ$300,MATCH(data!BN$1,Haver_M!$B$1:$BZ$1,0),FALSE),"")</f>
        <v/>
      </c>
      <c r="BO224" t="str">
        <f>IF(ISNUMBER(VLOOKUP($A224,Haver_M!$B$1:$BZ$300,MATCH(data!BO$1,Haver_M!$B$1:$BZ$1,0),FALSE)),VLOOKUP($A224,Haver_M!$B$1:$BZ$300,MATCH(data!BO$1,Haver_M!$B$1:$BZ$1,0),FALSE),"")</f>
        <v/>
      </c>
      <c r="BP224" t="str">
        <f>IF(ISNUMBER(VLOOKUP($A224,Haver_M!$B$1:$BZ$300,MATCH(data!BP$1,Haver_M!$B$1:$BZ$1,0),FALSE)),VLOOKUP($A224,Haver_M!$B$1:$BZ$300,MATCH(data!BP$1,Haver_M!$B$1:$BZ$1,0),FALSE),"")</f>
        <v/>
      </c>
      <c r="BQ224">
        <f>IF(ISNUMBER(VLOOKUP($A224,Haver_M!$B$1:$BZ$300,MATCH(data!BQ$1,Haver_M!$B$1:$BZ$1,0),FALSE)),VLOOKUP($A224,Haver_M!$B$1:$BZ$300,MATCH(data!BQ$1,Haver_M!$B$1:$BZ$1,0),FALSE),"")</f>
        <v>283.06620432239487</v>
      </c>
      <c r="BR224">
        <f>IF(ISNUMBER(VLOOKUP($A224,Haver_M!$B$1:$BZ$300,MATCH(data!BR$1,Haver_M!$B$1:$BZ$1,0),FALSE)),VLOOKUP($A224,Haver_M!$B$1:$BZ$300,MATCH(data!BR$1,Haver_M!$B$1:$BZ$1,0),FALSE),"")</f>
        <v>383.88724389824932</v>
      </c>
      <c r="BS224">
        <f>IF(ISNUMBER(VLOOKUP($A224,Haver_M!$B$1:$BZ$300,MATCH(data!BS$1,Haver_M!$B$1:$BZ$1,0),FALSE)),VLOOKUP($A224,Haver_M!$B$1:$BZ$300,MATCH(data!BS$1,Haver_M!$B$1:$BZ$1,0),FALSE),"")</f>
        <v>292.24714455828365</v>
      </c>
      <c r="BT224">
        <f>IF(ISNUMBER(VLOOKUP($A224,Haver_M!$B$1:$BZ$300,MATCH(data!BT$1,Haver_M!$B$1:$BZ$1,0),FALSE)),VLOOKUP($A224,Haver_M!$B$1:$BZ$300,MATCH(data!BT$1,Haver_M!$B$1:$BZ$1,0),FALSE),"")</f>
        <v>1110.3820745515582</v>
      </c>
      <c r="BU224">
        <f>IF(ISNUMBER(VLOOKUP($A224,Haver_M!$B$1:$BZ$300,MATCH(data!BU$1,Haver_M!$B$1:$BZ$1,0),FALSE)),VLOOKUP($A224,Haver_M!$B$1:$BZ$300,MATCH(data!BU$1,Haver_M!$B$1:$BZ$1,0),FALSE),"")</f>
        <v>25808.13</v>
      </c>
      <c r="BV224">
        <f>IF(ISNUMBER(VLOOKUP($A224,Haver_M!$B$1:$BZ$300,MATCH(data!BV$1,Haver_M!$B$1:$BZ$1,0),FALSE)),VLOOKUP($A224,Haver_M!$B$1:$BZ$300,MATCH(data!BV$1,Haver_M!$B$1:$BZ$1,0),FALSE),"")</f>
        <v>44387.47</v>
      </c>
      <c r="BW224">
        <f>IF(ISNUMBER(VLOOKUP($A224,Haver_M!$B$1:$BZ$300,MATCH(data!BW$1,Haver_M!$B$1:$BZ$1,0),FALSE)),VLOOKUP($A224,Haver_M!$B$1:$BZ$300,MATCH(data!BW$1,Haver_M!$B$1:$BZ$1,0),FALSE),"")</f>
        <v>68.693399999999997</v>
      </c>
      <c r="BX224">
        <f>IF(ISNUMBER(VLOOKUP($A224,Haver_M!$B$1:$BZ$300,MATCH(data!BX$1,Haver_M!$B$1:$BZ$1,0),FALSE)),VLOOKUP($A224,Haver_M!$B$1:$BZ$300,MATCH(data!BX$1,Haver_M!$B$1:$BZ$1,0),FALSE),"")</f>
        <v>67395</v>
      </c>
    </row>
    <row r="225" spans="1:76" x14ac:dyDescent="0.25">
      <c r="A225" s="2">
        <v>43343</v>
      </c>
      <c r="B225" t="str">
        <f>IF(ISNUMBER(VLOOKUP($A225,Haver_Q!$B$1:$L$185,MATCH(data!B$1,Haver_Q!$B$1:$L$1,0),FALSE)),100*(VLOOKUP($A225,Haver_Q!$B$1:$L$185,MATCH(data!B$1,Haver_Q!$B$1:$L$1,0),FALSE)),"")</f>
        <v/>
      </c>
      <c r="C225" t="str">
        <f>IF(ISNUMBER(VLOOKUP($A225,Haver_Q!$B$1:$L$185,MATCH(data!C$1,Haver_Q!$B$1:$L$1,0),FALSE)),100*(VLOOKUP($A225,Haver_Q!$B$1:$L$185,MATCH(data!C$1,Haver_Q!$B$1:$L$1,0),FALSE)),"")</f>
        <v/>
      </c>
      <c r="D225" t="str">
        <f>IF(ISNUMBER(VLOOKUP($A225,Haver_Q!$B$1:$L$185,MATCH(data!D$1,Haver_Q!$B$1:$L$1,0),FALSE)),100*(VLOOKUP($A225,Haver_Q!$B$1:$L$185,MATCH(data!D$1,Haver_Q!$B$1:$L$1,0),FALSE)),"")</f>
        <v/>
      </c>
      <c r="E225" t="str">
        <f>IF(ISNUMBER(VLOOKUP($A225,Haver_Q!$B$1:$L$185,MATCH(data!E$1,Haver_Q!$B$1:$L$1,0),FALSE)),100*(VLOOKUP($A225,Haver_Q!$B$1:$L$185,MATCH(data!E$1,Haver_Q!$B$1:$L$1,0),FALSE)),"")</f>
        <v/>
      </c>
      <c r="F225" t="str">
        <f>IF(ISNUMBER(VLOOKUP($A225,Haver_Q!$B$1:$L$185,MATCH(data!F$1,Haver_Q!$B$1:$L$1,0),FALSE)),100*(VLOOKUP($A225,Haver_Q!$B$1:$L$185,MATCH(data!F$1,Haver_Q!$B$1:$L$1,0),FALSE)),"")</f>
        <v/>
      </c>
      <c r="G225" t="str">
        <f>IF(ISNUMBER(VLOOKUP($A225,Haver_Q!$B$1:$L$185,MATCH(data!G$1,Haver_Q!$B$1:$L$1,0),FALSE)),100*(VLOOKUP($A225,Haver_Q!$B$1:$L$185,MATCH(data!G$1,Haver_Q!$B$1:$L$1,0),FALSE)),"")</f>
        <v/>
      </c>
      <c r="H225" t="str">
        <f>IF(ISNUMBER(VLOOKUP($A225,Haver_Q!$B$1:$L$185,MATCH(data!H$1,Haver_Q!$B$1:$L$1,0),FALSE)),(VLOOKUP($A225,Haver_Q!$B$1:$L$185,MATCH(data!H$1,Haver_Q!$B$1:$L$1,0),FALSE)),"")</f>
        <v/>
      </c>
      <c r="I225" t="str">
        <f>IF(ISNUMBER(VLOOKUP($A225,Haver_Q!$B$1:$L$185,MATCH(data!I$1,Haver_Q!$B$1:$L$1,0),FALSE)),100*(VLOOKUP($A225,Haver_Q!$B$1:$L$185,MATCH(data!I$1,Haver_Q!$B$1:$L$1,0),FALSE)),"")</f>
        <v/>
      </c>
      <c r="J225" s="3">
        <f>IF(ISNUMBER(Bloomberg_m!C241),Bloomberg_m!C241,"")</f>
        <v>1710</v>
      </c>
      <c r="K225" s="3">
        <f>IF(ISNUMBER(Bloomberg_m!D241),Bloomberg_m!D241,"")</f>
        <v>1731.35</v>
      </c>
      <c r="L225" s="3">
        <f>IF(ISNUMBER(Bloomberg_m!E241),Bloomberg_m!E241,"")</f>
        <v>903.47</v>
      </c>
      <c r="M225" s="3">
        <f>IF(ISNUMBER(Bloomberg_m!F241),Bloomberg_m!F241,"")</f>
        <v>466.07</v>
      </c>
      <c r="N225">
        <f>IF(ISNUMBER(VLOOKUP($A225,Haver_M!$B$1:$BZ$300,MATCH(data!N$1,Haver_M!$B$1:$BZ$1,0),FALSE)),VLOOKUP($A225,Haver_M!$B$1:$BZ$300,MATCH(data!N$1,Haver_M!$B$1:$BZ$1,0),FALSE),"")</f>
        <v>6.5</v>
      </c>
      <c r="O225">
        <f>IF(ISNUMBER(VLOOKUP($A225,Haver_M!$B$1:$BZ$300,MATCH(data!O$1,Haver_M!$B$1:$BZ$1,0),FALSE)),VLOOKUP($A225,Haver_M!$B$1:$BZ$300,MATCH(data!O$1,Haver_M!$B$1:$BZ$1,0),FALSE),"")</f>
        <v>8.0122</v>
      </c>
      <c r="P225">
        <f>IF(ISNUMBER(VLOOKUP($A225,Haver_M!$B$1:$BZ$300,MATCH(data!P$1,Haver_M!$B$1:$BZ$1,0),FALSE)),VLOOKUP($A225,Haver_M!$B$1:$BZ$300,MATCH(data!P$1,Haver_M!$B$1:$BZ$1,0),FALSE),"")</f>
        <v>90.072749999999999</v>
      </c>
      <c r="Q225">
        <f>IF(ISNUMBER(VLOOKUP($A225,Haver_M!$B$1:$BZ$300,MATCH(data!Q$1,Haver_M!$B$1:$BZ$1,0),FALSE)),VLOOKUP($A225,Haver_M!$B$1:$BZ$300,MATCH(data!Q$1,Haver_M!$B$1:$BZ$1,0),FALSE),"")</f>
        <v>140.4</v>
      </c>
      <c r="R225">
        <f>IF(ISNUMBER(VLOOKUP($A225,Haver_M!$B$1:$BZ$300,MATCH(data!R$1,Haver_M!$B$1:$BZ$1,0),FALSE)),VLOOKUP($A225,Haver_M!$B$1:$BZ$300,MATCH(data!R$1,Haver_M!$B$1:$BZ$1,0),FALSE),"")</f>
        <v>140.4</v>
      </c>
      <c r="S225">
        <f>IF(ISNUMBER(VLOOKUP($A225,Haver_M!$B$1:$BZ$300,MATCH(data!S$1,Haver_M!$B$1:$BZ$1,0),FALSE)),VLOOKUP($A225,Haver_M!$B$1:$BZ$300,MATCH(data!S$1,Haver_M!$B$1:$BZ$1,0),FALSE),"")</f>
        <v>130.41999999999999</v>
      </c>
      <c r="T225">
        <f>IF(ISNUMBER(VLOOKUP($A225,Haver_M!$B$1:$BZ$300,MATCH(data!T$1,Haver_M!$B$1:$BZ$1,0),FALSE)),VLOOKUP($A225,Haver_M!$B$1:$BZ$300,MATCH(data!T$1,Haver_M!$B$1:$BZ$1,0),FALSE),"")</f>
        <v>124.06</v>
      </c>
      <c r="U225">
        <f>IF(ISNUMBER(VLOOKUP($A225,Haver_M!$B$1:$BZ$300,MATCH(data!U$1,Haver_M!$B$1:$BZ$1,0),FALSE)),VLOOKUP($A225,Haver_M!$B$1:$BZ$300,MATCH(data!U$1,Haver_M!$B$1:$BZ$1,0),FALSE),"")</f>
        <v>114.95</v>
      </c>
      <c r="V225">
        <f>IF(ISNUMBER(VLOOKUP($A225,Haver_M!$B$1:$BZ$300,MATCH(data!V$1,Haver_M!$B$1:$BZ$1,0),FALSE)),VLOOKUP($A225,Haver_M!$B$1:$BZ$300,MATCH(data!V$1,Haver_M!$B$1:$BZ$1,0),FALSE),"")</f>
        <v>126.24</v>
      </c>
      <c r="W225">
        <f>IF(ISNUMBER(VLOOKUP($A225,Haver_M!$B$1:$BZ$300,MATCH(data!W$1,Haver_M!$B$1:$BZ$1,0),FALSE)),VLOOKUP($A225,Haver_M!$B$1:$BZ$300,MATCH(data!W$1,Haver_M!$B$1:$BZ$1,0),FALSE),"")</f>
        <v>140.69</v>
      </c>
      <c r="X225">
        <f>IF(ISNUMBER(VLOOKUP($A225,Haver_M!$B$1:$BZ$300,MATCH(data!X$1,Haver_M!$B$1:$BZ$1,0),FALSE)),VLOOKUP($A225,Haver_M!$B$1:$BZ$300,MATCH(data!X$1,Haver_M!$B$1:$BZ$1,0),FALSE),"")</f>
        <v>134.53</v>
      </c>
      <c r="Y225">
        <f>IF(ISNUMBER(VLOOKUP($A225,Haver_M!$B$1:$BZ$300,MATCH(data!Y$1,Haver_M!$B$1:$BZ$1,0),FALSE)),VLOOKUP($A225,Haver_M!$B$1:$BZ$300,MATCH(data!Y$1,Haver_M!$B$1:$BZ$1,0),FALSE),"")</f>
        <v>145.99</v>
      </c>
      <c r="Z225">
        <f>IF(ISNUMBER(VLOOKUP($A225,Haver_M!$B$1:$BZ$300,MATCH(data!Z$1,Haver_M!$B$1:$BZ$1,0),FALSE)),VLOOKUP($A225,Haver_M!$B$1:$BZ$300,MATCH(data!Z$1,Haver_M!$B$1:$BZ$1,0),FALSE),"")</f>
        <v>130.80000000000001</v>
      </c>
      <c r="AA225">
        <f>IF(ISNUMBER(VLOOKUP($A225,Haver_M!$B$1:$BZ$300,MATCH(data!AA$1,Haver_M!$B$1:$BZ$1,0),FALSE)),VLOOKUP($A225,Haver_M!$B$1:$BZ$300,MATCH(data!AA$1,Haver_M!$B$1:$BZ$1,0),FALSE),"")</f>
        <v>127.898</v>
      </c>
      <c r="AB225">
        <f>IF(ISNUMBER(VLOOKUP($A225,Haver_M!$B$1:$BZ$300,MATCH(data!AB$1,Haver_M!$B$1:$BZ$1,0),FALSE)),VLOOKUP($A225,Haver_M!$B$1:$BZ$300,MATCH(data!AB$1,Haver_M!$B$1:$BZ$1,0),FALSE),"")</f>
        <v>90.53</v>
      </c>
      <c r="AC225">
        <f>IF(ISNUMBER(VLOOKUP($A225,Haver_M!$B$1:$BZ$300,MATCH(data!AC$1,Haver_M!$B$1:$BZ$1,0),FALSE)),VLOOKUP($A225,Haver_M!$B$1:$BZ$300,MATCH(data!AC$1,Haver_M!$B$1:$BZ$1,0),FALSE),"")</f>
        <v>69.760999999999996</v>
      </c>
      <c r="AD225">
        <f>IF(ISNUMBER(VLOOKUP($A225,Haver_M!$B$1:$BZ$300,MATCH(data!AD$1,Haver_M!$B$1:$BZ$1,0),FALSE)),VLOOKUP($A225,Haver_M!$B$1:$BZ$300,MATCH(data!AD$1,Haver_M!$B$1:$BZ$1,0),FALSE),"")</f>
        <v>127.777</v>
      </c>
      <c r="AE225">
        <f>IF(ISNUMBER(VLOOKUP($A225,Haver_M!$B$1:$BZ$300,MATCH(data!AE$1,Haver_M!$B$1:$BZ$1,0),FALSE)),VLOOKUP($A225,Haver_M!$B$1:$BZ$300,MATCH(data!AE$1,Haver_M!$B$1:$BZ$1,0),FALSE),"")</f>
        <v>102.89400000000001</v>
      </c>
      <c r="AF225">
        <f>IF(ISNUMBER(VLOOKUP($A225,Haver_M!$B$1:$BZ$300,MATCH(data!AF$1,Haver_M!$B$1:$BZ$1,0),FALSE)),VLOOKUP($A225,Haver_M!$B$1:$BZ$300,MATCH(data!AF$1,Haver_M!$B$1:$BZ$1,0),FALSE),"")</f>
        <v>146.43299999999999</v>
      </c>
      <c r="AG225">
        <f>IF(ISNUMBER(VLOOKUP($A225,Haver_M!$B$1:$BZ$300,MATCH(data!AG$1,Haver_M!$B$1:$BZ$1,0),FALSE)),VLOOKUP($A225,Haver_M!$B$1:$BZ$300,MATCH(data!AG$1,Haver_M!$B$1:$BZ$1,0),FALSE),"")</f>
        <v>145.40100000000001</v>
      </c>
      <c r="AH225">
        <f>IF(ISNUMBER(VLOOKUP($A225,Haver_M!$B$1:$BZ$300,MATCH(data!AH$1,Haver_M!$B$1:$BZ$1,0),FALSE)),VLOOKUP($A225,Haver_M!$B$1:$BZ$300,MATCH(data!AH$1,Haver_M!$B$1:$BZ$1,0),FALSE),"")</f>
        <v>159.48099999999999</v>
      </c>
      <c r="AI225">
        <f>IF(ISNUMBER(VLOOKUP($A225,Haver_M!$B$1:$BZ$300,MATCH(data!AI$1,Haver_M!$B$1:$BZ$1,0),FALSE)),VLOOKUP($A225,Haver_M!$B$1:$BZ$300,MATCH(data!AI$1,Haver_M!$B$1:$BZ$1,0),FALSE),"")</f>
        <v>17369.058501700143</v>
      </c>
      <c r="AJ225">
        <f>IF(ISNUMBER(VLOOKUP($A225,Haver_M!$B$1:$BZ$300,MATCH(data!AJ$1,Haver_M!$B$1:$BZ$1,0),FALSE)),VLOOKUP($A225,Haver_M!$B$1:$BZ$300,MATCH(data!AJ$1,Haver_M!$B$1:$BZ$1,0),FALSE),"")</f>
        <v>28483.65</v>
      </c>
      <c r="AK225">
        <f>IF(ISNUMBER(VLOOKUP($A225,Haver_M!$B$1:$BZ$300,MATCH(data!AK$1,Haver_M!$B$1:$BZ$1,0),FALSE)),VLOOKUP($A225,Haver_M!$B$1:$BZ$300,MATCH(data!AK$1,Haver_M!$B$1:$BZ$1,0),FALSE),"")</f>
        <v>45650.53</v>
      </c>
      <c r="AL225">
        <f>IF(ISNUMBER(VLOOKUP($A225,Haver_M!$B$1:$BZ$300,MATCH(data!AL$1,Haver_M!$B$1:$BZ$1,0),FALSE)),VLOOKUP($A225,Haver_M!$B$1:$BZ$300,MATCH(data!AL$1,Haver_M!$B$1:$BZ$1,0),FALSE),"")</f>
        <v>16526</v>
      </c>
      <c r="AM225">
        <f>IF(ISNUMBER(VLOOKUP($A225,Haver_M!$B$1:$BZ$300,MATCH(data!AM$1,Haver_M!$B$1:$BZ$1,0),FALSE)),VLOOKUP($A225,Haver_M!$B$1:$BZ$300,MATCH(data!AM$1,Haver_M!$B$1:$BZ$1,0),FALSE),"")</f>
        <v>10354</v>
      </c>
      <c r="AN225" t="str">
        <f>IF(ISNUMBER(VLOOKUP($A225,Haver_M!$B$1:$BZ$300,MATCH(data!AN$1,Haver_M!$B$1:$BZ$1,0),FALSE)),VLOOKUP($A225,Haver_M!$B$1:$BZ$300,MATCH(data!AN$1,Haver_M!$B$1:$BZ$1,0),FALSE),"")</f>
        <v/>
      </c>
      <c r="AO225" t="str">
        <f>IF(ISNUMBER(VLOOKUP($A225,Haver_M!$B$1:$BZ$300,MATCH(data!AO$1,Haver_M!$B$1:$BZ$1,0),FALSE)),VLOOKUP($A225,Haver_M!$B$1:$BZ$300,MATCH(data!AO$1,Haver_M!$B$1:$BZ$1,0),FALSE),"")</f>
        <v/>
      </c>
      <c r="AP225">
        <f>IF(ISNUMBER(VLOOKUP($A225,Haver_M!$B$1:$BZ$300,MATCH(data!AP$1,Haver_M!$B$1:$BZ$1,0),FALSE)),VLOOKUP($A225,Haver_M!$B$1:$BZ$300,MATCH(data!AP$1,Haver_M!$B$1:$BZ$1,0),FALSE),"")</f>
        <v>73.640109534509023</v>
      </c>
      <c r="AQ225">
        <f>IF(ISNUMBER(VLOOKUP($A225,Haver_M!$B$1:$BZ$300,MATCH(data!AQ$1,Haver_M!$B$1:$BZ$1,0),FALSE)),VLOOKUP($A225,Haver_M!$B$1:$BZ$300,MATCH(data!AQ$1,Haver_M!$B$1:$BZ$1,0),FALSE),"")</f>
        <v>51.859900000000003</v>
      </c>
      <c r="AR225">
        <f>IF(ISNUMBER(VLOOKUP($A225,Haver_M!$B$1:$BZ$300,MATCH(data!AR$1,Haver_M!$B$1:$BZ$1,0),FALSE)),VLOOKUP($A225,Haver_M!$B$1:$BZ$300,MATCH(data!AR$1,Haver_M!$B$1:$BZ$1,0),FALSE),"")</f>
        <v>51.73</v>
      </c>
      <c r="AS225">
        <f>IF(ISNUMBER(VLOOKUP($A225,Haver_M!$B$1:$BZ$300,MATCH(data!AS$1,Haver_M!$B$1:$BZ$1,0),FALSE)),VLOOKUP($A225,Haver_M!$B$1:$BZ$300,MATCH(data!AS$1,Haver_M!$B$1:$BZ$1,0),FALSE),"")</f>
        <v>51.496699999999997</v>
      </c>
      <c r="AT225">
        <f>IF(ISNUMBER(VLOOKUP($A225,Haver_M!$B$1:$BZ$300,MATCH(data!AT$1,Haver_M!$B$1:$BZ$1,0),FALSE)),VLOOKUP($A225,Haver_M!$B$1:$BZ$300,MATCH(data!AT$1,Haver_M!$B$1:$BZ$1,0),FALSE),"")</f>
        <v>52.661799999999999</v>
      </c>
      <c r="AU225">
        <f>IF(ISNUMBER(VLOOKUP($A225,Haver_M!$B$1:$BZ$300,MATCH(data!AU$1,Haver_M!$B$1:$BZ$1,0),FALSE)),VLOOKUP($A225,Haver_M!$B$1:$BZ$300,MATCH(data!AU$1,Haver_M!$B$1:$BZ$1,0),FALSE),"")</f>
        <v>52.5214</v>
      </c>
      <c r="AV225">
        <f>IF(ISNUMBER(VLOOKUP($A225,Haver_M!$B$1:$BZ$300,MATCH(data!AV$1,Haver_M!$B$1:$BZ$1,0),FALSE)),VLOOKUP($A225,Haver_M!$B$1:$BZ$300,MATCH(data!AV$1,Haver_M!$B$1:$BZ$1,0),FALSE),"")</f>
        <v>51.026499999999999</v>
      </c>
      <c r="AW225">
        <f>IF(ISNUMBER(VLOOKUP($A225,Haver_M!$B$1:$BZ$300,MATCH(data!AW$1,Haver_M!$B$1:$BZ$1,0),FALSE)),VLOOKUP($A225,Haver_M!$B$1:$BZ$300,MATCH(data!AW$1,Haver_M!$B$1:$BZ$1,0),FALSE),"")</f>
        <v>49.744700000000002</v>
      </c>
      <c r="AX225">
        <f>IF(ISNUMBER(VLOOKUP($A225,Haver_M!$B$1:$BZ$300,MATCH(data!AX$1,Haver_M!$B$1:$BZ$1,0),FALSE)),VLOOKUP($A225,Haver_M!$B$1:$BZ$300,MATCH(data!AX$1,Haver_M!$B$1:$BZ$1,0),FALSE),"")</f>
        <v>50.645400000000002</v>
      </c>
      <c r="AY225">
        <f>IF(ISNUMBER(VLOOKUP($A225,Haver_M!$B$1:$BZ$300,MATCH(data!AY$1,Haver_M!$B$1:$BZ$1,0),FALSE)),VLOOKUP($A225,Haver_M!$B$1:$BZ$300,MATCH(data!AY$1,Haver_M!$B$1:$BZ$1,0),FALSE),"")</f>
        <v>55.2517</v>
      </c>
      <c r="AZ225">
        <f>IF(ISNUMBER(VLOOKUP($A225,Haver_M!$B$1:$BZ$300,MATCH(data!AZ$1,Haver_M!$B$1:$BZ$1,0),FALSE)),VLOOKUP($A225,Haver_M!$B$1:$BZ$300,MATCH(data!AZ$1,Haver_M!$B$1:$BZ$1,0),FALSE),"")</f>
        <v>51.723799999999997</v>
      </c>
      <c r="BA225">
        <f>IF(ISNUMBER(VLOOKUP($A225,Haver_M!$B$1:$BZ$300,MATCH(data!BA$1,Haver_M!$B$1:$BZ$1,0),FALSE)),VLOOKUP($A225,Haver_M!$B$1:$BZ$300,MATCH(data!BA$1,Haver_M!$B$1:$BZ$1,0),FALSE),"")</f>
        <v>50.645400000000002</v>
      </c>
      <c r="BB225">
        <f>IF(ISNUMBER(VLOOKUP($A225,Haver_M!$B$1:$BZ$300,MATCH(data!BB$1,Haver_M!$B$1:$BZ$1,0),FALSE)),VLOOKUP($A225,Haver_M!$B$1:$BZ$300,MATCH(data!BB$1,Haver_M!$B$1:$BZ$1,0),FALSE),"")</f>
        <v>53.866</v>
      </c>
      <c r="BC225">
        <f>IF(ISNUMBER(VLOOKUP($A225,Haver_M!$B$1:$BZ$300,MATCH(data!BC$1,Haver_M!$B$1:$BZ$1,0),FALSE)),VLOOKUP($A225,Haver_M!$B$1:$BZ$300,MATCH(data!BC$1,Haver_M!$B$1:$BZ$1,0),FALSE),"")</f>
        <v>51.168599999999998</v>
      </c>
      <c r="BD225">
        <f>IF(ISNUMBER(VLOOKUP($A225,Haver_M!$B$1:$BZ$300,MATCH(data!BD$1,Haver_M!$B$1:$BZ$1,0),FALSE)),VLOOKUP($A225,Haver_M!$B$1:$BZ$300,MATCH(data!BD$1,Haver_M!$B$1:$BZ$1,0),FALSE),"")</f>
        <v>50.205500000000001</v>
      </c>
      <c r="BE225">
        <f>IF(ISNUMBER(VLOOKUP($A225,Haver_M!$B$1:$BZ$300,MATCH(data!BE$1,Haver_M!$B$1:$BZ$1,0),FALSE)),VLOOKUP($A225,Haver_M!$B$1:$BZ$300,MATCH(data!BE$1,Haver_M!$B$1:$BZ$1,0),FALSE),"")</f>
        <v>1.1442000000000001</v>
      </c>
      <c r="BF225">
        <f>IF(ISNUMBER(VLOOKUP($A225,Haver_M!$B$1:$BZ$300,MATCH(data!BF$1,Haver_M!$B$1:$BZ$1,0),FALSE)),VLOOKUP($A225,Haver_M!$B$1:$BZ$300,MATCH(data!BF$1,Haver_M!$B$1:$BZ$1,0),FALSE),"")</f>
        <v>51.753</v>
      </c>
      <c r="BG225">
        <f>IF(ISNUMBER(VLOOKUP($A225,Haver_M!$B$1:$BZ$300,MATCH(data!BG$1,Haver_M!$B$1:$BZ$1,0),FALSE)),VLOOKUP($A225,Haver_M!$B$1:$BZ$300,MATCH(data!BG$1,Haver_M!$B$1:$BZ$1,0),FALSE),"")</f>
        <v>50.685499999999998</v>
      </c>
      <c r="BH225">
        <f>IF(ISNUMBER(VLOOKUP($A225,Haver_M!$B$1:$BZ$300,MATCH(data!BH$1,Haver_M!$B$1:$BZ$1,0),FALSE)),VLOOKUP($A225,Haver_M!$B$1:$BZ$300,MATCH(data!BH$1,Haver_M!$B$1:$BZ$1,0),FALSE),"")</f>
        <v>51.043100000000003</v>
      </c>
      <c r="BI225">
        <f>IF(ISNUMBER(VLOOKUP($A225,Haver_M!$B$1:$BZ$300,MATCH(data!BI$1,Haver_M!$B$1:$BZ$1,0),FALSE)),VLOOKUP($A225,Haver_M!$B$1:$BZ$300,MATCH(data!BI$1,Haver_M!$B$1:$BZ$1,0),FALSE),"")</f>
        <v>54.382399999999997</v>
      </c>
      <c r="BJ225">
        <f>IF(ISNUMBER(VLOOKUP($A225,Haver_M!$B$1:$BZ$300,MATCH(data!BJ$1,Haver_M!$B$1:$BZ$1,0),FALSE)),VLOOKUP($A225,Haver_M!$B$1:$BZ$300,MATCH(data!BJ$1,Haver_M!$B$1:$BZ$1,0),FALSE),"")</f>
        <v>50.332299999999996</v>
      </c>
      <c r="BK225">
        <f>IF(ISNUMBER(VLOOKUP($A225,Haver_M!$B$1:$BZ$300,MATCH(data!BK$1,Haver_M!$B$1:$BZ$1,0),FALSE)),VLOOKUP($A225,Haver_M!$B$1:$BZ$300,MATCH(data!BK$1,Haver_M!$B$1:$BZ$1,0),FALSE),"")</f>
        <v>51.757300000000001</v>
      </c>
      <c r="BL225">
        <f>IF(ISNUMBER(VLOOKUP($A225,Haver_M!$B$1:$BZ$300,MATCH(data!BL$1,Haver_M!$B$1:$BZ$1,0),FALSE)),VLOOKUP($A225,Haver_M!$B$1:$BZ$300,MATCH(data!BL$1,Haver_M!$B$1:$BZ$1,0),FALSE),"")</f>
        <v>38061.53</v>
      </c>
      <c r="BM225">
        <f>IF(ISNUMBER(VLOOKUP($A225,Haver_M!$B$1:$BZ$300,MATCH(data!BM$1,Haver_M!$B$1:$BZ$1,0),FALSE)),VLOOKUP($A225,Haver_M!$B$1:$BZ$300,MATCH(data!BM$1,Haver_M!$B$1:$BZ$1,0),FALSE),"")</f>
        <v>101.19137825</v>
      </c>
      <c r="BN225" t="str">
        <f>IF(ISNUMBER(VLOOKUP($A225,Haver_M!$B$1:$BZ$300,MATCH(data!BN$1,Haver_M!$B$1:$BZ$1,0),FALSE)),VLOOKUP($A225,Haver_M!$B$1:$BZ$300,MATCH(data!BN$1,Haver_M!$B$1:$BZ$1,0),FALSE),"")</f>
        <v/>
      </c>
      <c r="BO225" t="str">
        <f>IF(ISNUMBER(VLOOKUP($A225,Haver_M!$B$1:$BZ$300,MATCH(data!BO$1,Haver_M!$B$1:$BZ$1,0),FALSE)),VLOOKUP($A225,Haver_M!$B$1:$BZ$300,MATCH(data!BO$1,Haver_M!$B$1:$BZ$1,0),FALSE),"")</f>
        <v/>
      </c>
      <c r="BP225" t="str">
        <f>IF(ISNUMBER(VLOOKUP($A225,Haver_M!$B$1:$BZ$300,MATCH(data!BP$1,Haver_M!$B$1:$BZ$1,0),FALSE)),VLOOKUP($A225,Haver_M!$B$1:$BZ$300,MATCH(data!BP$1,Haver_M!$B$1:$BZ$1,0),FALSE),"")</f>
        <v/>
      </c>
      <c r="BQ225">
        <f>IF(ISNUMBER(VLOOKUP($A225,Haver_M!$B$1:$BZ$300,MATCH(data!BQ$1,Haver_M!$B$1:$BZ$1,0),FALSE)),VLOOKUP($A225,Haver_M!$B$1:$BZ$300,MATCH(data!BQ$1,Haver_M!$B$1:$BZ$1,0),FALSE),"")</f>
        <v>286.48774560905298</v>
      </c>
      <c r="BR225">
        <f>IF(ISNUMBER(VLOOKUP($A225,Haver_M!$B$1:$BZ$300,MATCH(data!BR$1,Haver_M!$B$1:$BZ$1,0),FALSE)),VLOOKUP($A225,Haver_M!$B$1:$BZ$300,MATCH(data!BR$1,Haver_M!$B$1:$BZ$1,0),FALSE),"")</f>
        <v>382.77497789248923</v>
      </c>
      <c r="BS225">
        <f>IF(ISNUMBER(VLOOKUP($A225,Haver_M!$B$1:$BZ$300,MATCH(data!BS$1,Haver_M!$B$1:$BZ$1,0),FALSE)),VLOOKUP($A225,Haver_M!$B$1:$BZ$300,MATCH(data!BS$1,Haver_M!$B$1:$BZ$1,0),FALSE),"")</f>
        <v>298.21960846340221</v>
      </c>
      <c r="BT225">
        <f>IF(ISNUMBER(VLOOKUP($A225,Haver_M!$B$1:$BZ$300,MATCH(data!BT$1,Haver_M!$B$1:$BZ$1,0),FALSE)),VLOOKUP($A225,Haver_M!$B$1:$BZ$300,MATCH(data!BT$1,Haver_M!$B$1:$BZ$1,0),FALSE),"")</f>
        <v>1117.2927465796267</v>
      </c>
      <c r="BU225">
        <f>IF(ISNUMBER(VLOOKUP($A225,Haver_M!$B$1:$BZ$300,MATCH(data!BU$1,Haver_M!$B$1:$BZ$1,0),FALSE)),VLOOKUP($A225,Haver_M!$B$1:$BZ$300,MATCH(data!BU$1,Haver_M!$B$1:$BZ$1,0),FALSE),"")</f>
        <v>27813.1</v>
      </c>
      <c r="BV225">
        <f>IF(ISNUMBER(VLOOKUP($A225,Haver_M!$B$1:$BZ$300,MATCH(data!BV$1,Haver_M!$B$1:$BZ$1,0),FALSE)),VLOOKUP($A225,Haver_M!$B$1:$BZ$300,MATCH(data!BV$1,Haver_M!$B$1:$BZ$1,0),FALSE),"")</f>
        <v>45724.160000000003</v>
      </c>
      <c r="BW225">
        <f>IF(ISNUMBER(VLOOKUP($A225,Haver_M!$B$1:$BZ$300,MATCH(data!BW$1,Haver_M!$B$1:$BZ$1,0),FALSE)),VLOOKUP($A225,Haver_M!$B$1:$BZ$300,MATCH(data!BW$1,Haver_M!$B$1:$BZ$1,0),FALSE),"")</f>
        <v>69.546499999999995</v>
      </c>
      <c r="BX225">
        <f>IF(ISNUMBER(VLOOKUP($A225,Haver_M!$B$1:$BZ$300,MATCH(data!BX$1,Haver_M!$B$1:$BZ$1,0),FALSE)),VLOOKUP($A225,Haver_M!$B$1:$BZ$300,MATCH(data!BX$1,Haver_M!$B$1:$BZ$1,0),FALSE),"")</f>
        <v>62188</v>
      </c>
    </row>
    <row r="226" spans="1:76" x14ac:dyDescent="0.25">
      <c r="A226" s="2">
        <v>43373</v>
      </c>
      <c r="B226">
        <f>IF(ISNUMBER(VLOOKUP($A226,Haver_Q!$B$1:$L$185,MATCH(data!B$1,Haver_Q!$B$1:$L$1,0),FALSE)),100*(VLOOKUP($A226,Haver_Q!$B$1:$L$185,MATCH(data!B$1,Haver_Q!$B$1:$L$1,0),FALSE)),"")</f>
        <v>6.0729617129845037</v>
      </c>
      <c r="C226">
        <f>IF(ISNUMBER(VLOOKUP($A226,Haver_Q!$B$1:$L$185,MATCH(data!C$1,Haver_Q!$B$1:$L$1,0),FALSE)),100*(VLOOKUP($A226,Haver_Q!$B$1:$L$185,MATCH(data!C$1,Haver_Q!$B$1:$L$1,0),FALSE)),"")</f>
        <v>7.905745507053652</v>
      </c>
      <c r="D226">
        <f>IF(ISNUMBER(VLOOKUP($A226,Haver_Q!$B$1:$L$185,MATCH(data!D$1,Haver_Q!$B$1:$L$1,0),FALSE)),100*(VLOOKUP($A226,Haver_Q!$B$1:$L$185,MATCH(data!D$1,Haver_Q!$B$1:$L$1,0),FALSE)),"")</f>
        <v>7.4457543909681956</v>
      </c>
      <c r="E226">
        <f>IF(ISNUMBER(VLOOKUP($A226,Haver_Q!$B$1:$L$185,MATCH(data!E$1,Haver_Q!$B$1:$L$1,0),FALSE)),100*(VLOOKUP($A226,Haver_Q!$B$1:$L$185,MATCH(data!E$1,Haver_Q!$B$1:$L$1,0),FALSE)),"")</f>
        <v>10.046067530188662</v>
      </c>
      <c r="F226">
        <f>IF(ISNUMBER(VLOOKUP($A226,Haver_Q!$B$1:$L$185,MATCH(data!F$1,Haver_Q!$B$1:$L$1,0),FALSE)),100*(VLOOKUP($A226,Haver_Q!$B$1:$L$185,MATCH(data!F$1,Haver_Q!$B$1:$L$1,0),FALSE)),"")</f>
        <v>14.274275476124432</v>
      </c>
      <c r="G226">
        <f>IF(ISNUMBER(VLOOKUP($A226,Haver_Q!$B$1:$L$185,MATCH(data!G$1,Haver_Q!$B$1:$L$1,0),FALSE)),100*(VLOOKUP($A226,Haver_Q!$B$1:$L$185,MATCH(data!G$1,Haver_Q!$B$1:$L$1,0),FALSE)),"")</f>
        <v>24.201776549949106</v>
      </c>
      <c r="H226">
        <f>IF(ISNUMBER(VLOOKUP($A226,Haver_Q!$B$1:$L$185,MATCH(data!H$1,Haver_Q!$B$1:$L$1,0),FALSE)),(VLOOKUP($A226,Haver_Q!$B$1:$L$185,MATCH(data!H$1,Haver_Q!$B$1:$L$1,0),FALSE)),"")</f>
        <v>2.9505265686017967</v>
      </c>
      <c r="I226">
        <f>IF(ISNUMBER(VLOOKUP($A226,Haver_Q!$B$1:$L$185,MATCH(data!I$1,Haver_Q!$B$1:$L$1,0),FALSE)),100*(VLOOKUP($A226,Haver_Q!$B$1:$L$185,MATCH(data!I$1,Haver_Q!$B$1:$L$1,0),FALSE)),"")</f>
        <v>7.0015990849939147</v>
      </c>
      <c r="J226" s="3">
        <f>IF(ISNUMBER(Bloomberg_m!C242),Bloomberg_m!C242,"")</f>
        <v>1447</v>
      </c>
      <c r="K226" s="3">
        <f>IF(ISNUMBER(Bloomberg_m!D242),Bloomberg_m!D242,"")</f>
        <v>1743.23</v>
      </c>
      <c r="L226" s="3">
        <f>IF(ISNUMBER(Bloomberg_m!E242),Bloomberg_m!E242,"")</f>
        <v>897.97</v>
      </c>
      <c r="M226" s="3">
        <f>IF(ISNUMBER(Bloomberg_m!F242),Bloomberg_m!F242,"")</f>
        <v>464.61</v>
      </c>
      <c r="N226">
        <f>IF(ISNUMBER(VLOOKUP($A226,Haver_M!$B$1:$BZ$300,MATCH(data!N$1,Haver_M!$B$1:$BZ$1,0),FALSE)),VLOOKUP($A226,Haver_M!$B$1:$BZ$300,MATCH(data!N$1,Haver_M!$B$1:$BZ$1,0),FALSE),"")</f>
        <v>6.5</v>
      </c>
      <c r="O226">
        <f>IF(ISNUMBER(VLOOKUP($A226,Haver_M!$B$1:$BZ$300,MATCH(data!O$1,Haver_M!$B$1:$BZ$1,0),FALSE)),VLOOKUP($A226,Haver_M!$B$1:$BZ$300,MATCH(data!O$1,Haver_M!$B$1:$BZ$1,0),FALSE),"")</f>
        <v>8.0126000000000008</v>
      </c>
      <c r="P226">
        <f>IF(ISNUMBER(VLOOKUP($A226,Haver_M!$B$1:$BZ$300,MATCH(data!P$1,Haver_M!$B$1:$BZ$1,0),FALSE)),VLOOKUP($A226,Haver_M!$B$1:$BZ$300,MATCH(data!P$1,Haver_M!$B$1:$BZ$1,0),FALSE),"")</f>
        <v>86.693879999999993</v>
      </c>
      <c r="Q226">
        <f>IF(ISNUMBER(VLOOKUP($A226,Haver_M!$B$1:$BZ$300,MATCH(data!Q$1,Haver_M!$B$1:$BZ$1,0),FALSE)),VLOOKUP($A226,Haver_M!$B$1:$BZ$300,MATCH(data!Q$1,Haver_M!$B$1:$BZ$1,0),FALSE),"")</f>
        <v>140.19999999999999</v>
      </c>
      <c r="R226">
        <f>IF(ISNUMBER(VLOOKUP($A226,Haver_M!$B$1:$BZ$300,MATCH(data!R$1,Haver_M!$B$1:$BZ$1,0),FALSE)),VLOOKUP($A226,Haver_M!$B$1:$BZ$300,MATCH(data!R$1,Haver_M!$B$1:$BZ$1,0),FALSE),"")</f>
        <v>140.80000000000001</v>
      </c>
      <c r="S226">
        <f>IF(ISNUMBER(VLOOKUP($A226,Haver_M!$B$1:$BZ$300,MATCH(data!S$1,Haver_M!$B$1:$BZ$1,0),FALSE)),VLOOKUP($A226,Haver_M!$B$1:$BZ$300,MATCH(data!S$1,Haver_M!$B$1:$BZ$1,0),FALSE),"")</f>
        <v>131</v>
      </c>
      <c r="T226">
        <f>IF(ISNUMBER(VLOOKUP($A226,Haver_M!$B$1:$BZ$300,MATCH(data!T$1,Haver_M!$B$1:$BZ$1,0),FALSE)),VLOOKUP($A226,Haver_M!$B$1:$BZ$300,MATCH(data!T$1,Haver_M!$B$1:$BZ$1,0),FALSE),"")</f>
        <v>126.02</v>
      </c>
      <c r="U226">
        <f>IF(ISNUMBER(VLOOKUP($A226,Haver_M!$B$1:$BZ$300,MATCH(data!U$1,Haver_M!$B$1:$BZ$1,0),FALSE)),VLOOKUP($A226,Haver_M!$B$1:$BZ$300,MATCH(data!U$1,Haver_M!$B$1:$BZ$1,0),FALSE),"")</f>
        <v>113.06</v>
      </c>
      <c r="V226">
        <f>IF(ISNUMBER(VLOOKUP($A226,Haver_M!$B$1:$BZ$300,MATCH(data!V$1,Haver_M!$B$1:$BZ$1,0),FALSE)),VLOOKUP($A226,Haver_M!$B$1:$BZ$300,MATCH(data!V$1,Haver_M!$B$1:$BZ$1,0),FALSE),"")</f>
        <v>126.09</v>
      </c>
      <c r="W226">
        <f>IF(ISNUMBER(VLOOKUP($A226,Haver_M!$B$1:$BZ$300,MATCH(data!W$1,Haver_M!$B$1:$BZ$1,0),FALSE)),VLOOKUP($A226,Haver_M!$B$1:$BZ$300,MATCH(data!W$1,Haver_M!$B$1:$BZ$1,0),FALSE),"")</f>
        <v>142.80000000000001</v>
      </c>
      <c r="X226">
        <f>IF(ISNUMBER(VLOOKUP($A226,Haver_M!$B$1:$BZ$300,MATCH(data!X$1,Haver_M!$B$1:$BZ$1,0),FALSE)),VLOOKUP($A226,Haver_M!$B$1:$BZ$300,MATCH(data!X$1,Haver_M!$B$1:$BZ$1,0),FALSE),"")</f>
        <v>129.13</v>
      </c>
      <c r="Y226">
        <f>IF(ISNUMBER(VLOOKUP($A226,Haver_M!$B$1:$BZ$300,MATCH(data!Y$1,Haver_M!$B$1:$BZ$1,0),FALSE)),VLOOKUP($A226,Haver_M!$B$1:$BZ$300,MATCH(data!Y$1,Haver_M!$B$1:$BZ$1,0),FALSE),"")</f>
        <v>148.84</v>
      </c>
      <c r="Z226">
        <f>IF(ISNUMBER(VLOOKUP($A226,Haver_M!$B$1:$BZ$300,MATCH(data!Z$1,Haver_M!$B$1:$BZ$1,0),FALSE)),VLOOKUP($A226,Haver_M!$B$1:$BZ$300,MATCH(data!Z$1,Haver_M!$B$1:$BZ$1,0),FALSE),"")</f>
        <v>131.6</v>
      </c>
      <c r="AA226">
        <f>IF(ISNUMBER(VLOOKUP($A226,Haver_M!$B$1:$BZ$300,MATCH(data!AA$1,Haver_M!$B$1:$BZ$1,0),FALSE)),VLOOKUP($A226,Haver_M!$B$1:$BZ$300,MATCH(data!AA$1,Haver_M!$B$1:$BZ$1,0),FALSE),"")</f>
        <v>132.71100000000001</v>
      </c>
      <c r="AB226">
        <f>IF(ISNUMBER(VLOOKUP($A226,Haver_M!$B$1:$BZ$300,MATCH(data!AB$1,Haver_M!$B$1:$BZ$1,0),FALSE)),VLOOKUP($A226,Haver_M!$B$1:$BZ$300,MATCH(data!AB$1,Haver_M!$B$1:$BZ$1,0),FALSE),"")</f>
        <v>90.063000000000002</v>
      </c>
      <c r="AC226">
        <f>IF(ISNUMBER(VLOOKUP($A226,Haver_M!$B$1:$BZ$300,MATCH(data!AC$1,Haver_M!$B$1:$BZ$1,0),FALSE)),VLOOKUP($A226,Haver_M!$B$1:$BZ$300,MATCH(data!AC$1,Haver_M!$B$1:$BZ$1,0),FALSE),"")</f>
        <v>68.194000000000003</v>
      </c>
      <c r="AD226">
        <f>IF(ISNUMBER(VLOOKUP($A226,Haver_M!$B$1:$BZ$300,MATCH(data!AD$1,Haver_M!$B$1:$BZ$1,0),FALSE)),VLOOKUP($A226,Haver_M!$B$1:$BZ$300,MATCH(data!AD$1,Haver_M!$B$1:$BZ$1,0),FALSE),"")</f>
        <v>130.97300000000001</v>
      </c>
      <c r="AE226">
        <f>IF(ISNUMBER(VLOOKUP($A226,Haver_M!$B$1:$BZ$300,MATCH(data!AE$1,Haver_M!$B$1:$BZ$1,0),FALSE)),VLOOKUP($A226,Haver_M!$B$1:$BZ$300,MATCH(data!AE$1,Haver_M!$B$1:$BZ$1,0),FALSE),"")</f>
        <v>102.991</v>
      </c>
      <c r="AF226">
        <f>IF(ISNUMBER(VLOOKUP($A226,Haver_M!$B$1:$BZ$300,MATCH(data!AF$1,Haver_M!$B$1:$BZ$1,0),FALSE)),VLOOKUP($A226,Haver_M!$B$1:$BZ$300,MATCH(data!AF$1,Haver_M!$B$1:$BZ$1,0),FALSE),"")</f>
        <v>146.994</v>
      </c>
      <c r="AG226">
        <f>IF(ISNUMBER(VLOOKUP($A226,Haver_M!$B$1:$BZ$300,MATCH(data!AG$1,Haver_M!$B$1:$BZ$1,0),FALSE)),VLOOKUP($A226,Haver_M!$B$1:$BZ$300,MATCH(data!AG$1,Haver_M!$B$1:$BZ$1,0),FALSE),"")</f>
        <v>143.626</v>
      </c>
      <c r="AH226">
        <f>IF(ISNUMBER(VLOOKUP($A226,Haver_M!$B$1:$BZ$300,MATCH(data!AH$1,Haver_M!$B$1:$BZ$1,0),FALSE)),VLOOKUP($A226,Haver_M!$B$1:$BZ$300,MATCH(data!AH$1,Haver_M!$B$1:$BZ$1,0),FALSE),"")</f>
        <v>159.67099999999999</v>
      </c>
      <c r="AI226">
        <f>IF(ISNUMBER(VLOOKUP($A226,Haver_M!$B$1:$BZ$300,MATCH(data!AI$1,Haver_M!$B$1:$BZ$1,0),FALSE)),VLOOKUP($A226,Haver_M!$B$1:$BZ$300,MATCH(data!AI$1,Haver_M!$B$1:$BZ$1,0),FALSE),"")</f>
        <v>17494.103052978844</v>
      </c>
      <c r="AJ226">
        <f>IF(ISNUMBER(VLOOKUP($A226,Haver_M!$B$1:$BZ$300,MATCH(data!AJ$1,Haver_M!$B$1:$BZ$1,0),FALSE)),VLOOKUP($A226,Haver_M!$B$1:$BZ$300,MATCH(data!AJ$1,Haver_M!$B$1:$BZ$1,0),FALSE),"")</f>
        <v>27711.53</v>
      </c>
      <c r="AK226">
        <f>IF(ISNUMBER(VLOOKUP($A226,Haver_M!$B$1:$BZ$300,MATCH(data!AK$1,Haver_M!$B$1:$BZ$1,0),FALSE)),VLOOKUP($A226,Haver_M!$B$1:$BZ$300,MATCH(data!AK$1,Haver_M!$B$1:$BZ$1,0),FALSE),"")</f>
        <v>43210.05</v>
      </c>
      <c r="AL226">
        <f>IF(ISNUMBER(VLOOKUP($A226,Haver_M!$B$1:$BZ$300,MATCH(data!AL$1,Haver_M!$B$1:$BZ$1,0),FALSE)),VLOOKUP($A226,Haver_M!$B$1:$BZ$300,MATCH(data!AL$1,Haver_M!$B$1:$BZ$1,0),FALSE),"")</f>
        <v>16381</v>
      </c>
      <c r="AM226">
        <f>IF(ISNUMBER(VLOOKUP($A226,Haver_M!$B$1:$BZ$300,MATCH(data!AM$1,Haver_M!$B$1:$BZ$1,0),FALSE)),VLOOKUP($A226,Haver_M!$B$1:$BZ$300,MATCH(data!AM$1,Haver_M!$B$1:$BZ$1,0),FALSE),"")</f>
        <v>9946</v>
      </c>
      <c r="AN226">
        <f>IF(ISNUMBER(VLOOKUP($A226,Haver_M!$B$1:$BZ$300,MATCH(data!AN$1,Haver_M!$B$1:$BZ$1,0),FALSE)),VLOOKUP($A226,Haver_M!$B$1:$BZ$300,MATCH(data!AN$1,Haver_M!$B$1:$BZ$1,0),FALSE),"")</f>
        <v>94.8</v>
      </c>
      <c r="AO226">
        <f>IF(ISNUMBER(VLOOKUP($A226,Haver_M!$B$1:$BZ$300,MATCH(data!AO$1,Haver_M!$B$1:$BZ$1,0),FALSE)),VLOOKUP($A226,Haver_M!$B$1:$BZ$300,MATCH(data!AO$1,Haver_M!$B$1:$BZ$1,0),FALSE),"")</f>
        <v>121.1</v>
      </c>
      <c r="AP226">
        <f>IF(ISNUMBER(VLOOKUP($A226,Haver_M!$B$1:$BZ$300,MATCH(data!AP$1,Haver_M!$B$1:$BZ$1,0),FALSE)),VLOOKUP($A226,Haver_M!$B$1:$BZ$300,MATCH(data!AP$1,Haver_M!$B$1:$BZ$1,0),FALSE),"")</f>
        <v>54.120163094306498</v>
      </c>
      <c r="AQ226">
        <f>IF(ISNUMBER(VLOOKUP($A226,Haver_M!$B$1:$BZ$300,MATCH(data!AQ$1,Haver_M!$B$1:$BZ$1,0),FALSE)),VLOOKUP($A226,Haver_M!$B$1:$BZ$300,MATCH(data!AQ$1,Haver_M!$B$1:$BZ$1,0),FALSE),"")</f>
        <v>51.563800000000001</v>
      </c>
      <c r="AR226">
        <f>IF(ISNUMBER(VLOOKUP($A226,Haver_M!$B$1:$BZ$300,MATCH(data!AR$1,Haver_M!$B$1:$BZ$1,0),FALSE)),VLOOKUP($A226,Haver_M!$B$1:$BZ$300,MATCH(data!AR$1,Haver_M!$B$1:$BZ$1,0),FALSE),"")</f>
        <v>52.189700000000002</v>
      </c>
      <c r="AS226">
        <f>IF(ISNUMBER(VLOOKUP($A226,Haver_M!$B$1:$BZ$300,MATCH(data!AS$1,Haver_M!$B$1:$BZ$1,0),FALSE)),VLOOKUP($A226,Haver_M!$B$1:$BZ$300,MATCH(data!AS$1,Haver_M!$B$1:$BZ$1,0),FALSE),"")</f>
        <v>50.8523</v>
      </c>
      <c r="AT226">
        <f>IF(ISNUMBER(VLOOKUP($A226,Haver_M!$B$1:$BZ$300,MATCH(data!AT$1,Haver_M!$B$1:$BZ$1,0),FALSE)),VLOOKUP($A226,Haver_M!$B$1:$BZ$300,MATCH(data!AT$1,Haver_M!$B$1:$BZ$1,0),FALSE),"")</f>
        <v>53.134599999999999</v>
      </c>
      <c r="AU226">
        <f>IF(ISNUMBER(VLOOKUP($A226,Haver_M!$B$1:$BZ$300,MATCH(data!AU$1,Haver_M!$B$1:$BZ$1,0),FALSE)),VLOOKUP($A226,Haver_M!$B$1:$BZ$300,MATCH(data!AU$1,Haver_M!$B$1:$BZ$1,0),FALSE),"")</f>
        <v>52.951799999999999</v>
      </c>
      <c r="AV226">
        <f>IF(ISNUMBER(VLOOKUP($A226,Haver_M!$B$1:$BZ$300,MATCH(data!AV$1,Haver_M!$B$1:$BZ$1,0),FALSE)),VLOOKUP($A226,Haver_M!$B$1:$BZ$300,MATCH(data!AV$1,Haver_M!$B$1:$BZ$1,0),FALSE),"")</f>
        <v>51.529000000000003</v>
      </c>
      <c r="AW226">
        <f>IF(ISNUMBER(VLOOKUP($A226,Haver_M!$B$1:$BZ$300,MATCH(data!AW$1,Haver_M!$B$1:$BZ$1,0),FALSE)),VLOOKUP($A226,Haver_M!$B$1:$BZ$300,MATCH(data!AW$1,Haver_M!$B$1:$BZ$1,0),FALSE),"")</f>
        <v>49.6081</v>
      </c>
      <c r="AX226">
        <f>IF(ISNUMBER(VLOOKUP($A226,Haver_M!$B$1:$BZ$300,MATCH(data!AX$1,Haver_M!$B$1:$BZ$1,0),FALSE)),VLOOKUP($A226,Haver_M!$B$1:$BZ$300,MATCH(data!AX$1,Haver_M!$B$1:$BZ$1,0),FALSE),"")</f>
        <v>51.558999999999997</v>
      </c>
      <c r="AY226">
        <f>IF(ISNUMBER(VLOOKUP($A226,Haver_M!$B$1:$BZ$300,MATCH(data!AY$1,Haver_M!$B$1:$BZ$1,0),FALSE)),VLOOKUP($A226,Haver_M!$B$1:$BZ$300,MATCH(data!AY$1,Haver_M!$B$1:$BZ$1,0),FALSE),"")</f>
        <v>56.844000000000001</v>
      </c>
      <c r="AZ226">
        <f>IF(ISNUMBER(VLOOKUP($A226,Haver_M!$B$1:$BZ$300,MATCH(data!AZ$1,Haver_M!$B$1:$BZ$1,0),FALSE)),VLOOKUP($A226,Haver_M!$B$1:$BZ$300,MATCH(data!AZ$1,Haver_M!$B$1:$BZ$1,0),FALSE),"")</f>
        <v>52.3264</v>
      </c>
      <c r="BA226">
        <f>IF(ISNUMBER(VLOOKUP($A226,Haver_M!$B$1:$BZ$300,MATCH(data!BA$1,Haver_M!$B$1:$BZ$1,0),FALSE)),VLOOKUP($A226,Haver_M!$B$1:$BZ$300,MATCH(data!BA$1,Haver_M!$B$1:$BZ$1,0),FALSE),"")</f>
        <v>51.558999999999997</v>
      </c>
      <c r="BB226">
        <f>IF(ISNUMBER(VLOOKUP($A226,Haver_M!$B$1:$BZ$300,MATCH(data!BB$1,Haver_M!$B$1:$BZ$1,0),FALSE)),VLOOKUP($A226,Haver_M!$B$1:$BZ$300,MATCH(data!BB$1,Haver_M!$B$1:$BZ$1,0),FALSE),"")</f>
        <v>54.087699999999998</v>
      </c>
      <c r="BC226">
        <f>IF(ISNUMBER(VLOOKUP($A226,Haver_M!$B$1:$BZ$300,MATCH(data!BC$1,Haver_M!$B$1:$BZ$1,0),FALSE)),VLOOKUP($A226,Haver_M!$B$1:$BZ$300,MATCH(data!BC$1,Haver_M!$B$1:$BZ$1,0),FALSE),"")</f>
        <v>51.8371</v>
      </c>
      <c r="BD226">
        <f>IF(ISNUMBER(VLOOKUP($A226,Haver_M!$B$1:$BZ$300,MATCH(data!BD$1,Haver_M!$B$1:$BZ$1,0),FALSE)),VLOOKUP($A226,Haver_M!$B$1:$BZ$300,MATCH(data!BD$1,Haver_M!$B$1:$BZ$1,0),FALSE),"")</f>
        <v>49.838200000000001</v>
      </c>
      <c r="BE226">
        <f>IF(ISNUMBER(VLOOKUP($A226,Haver_M!$B$1:$BZ$300,MATCH(data!BE$1,Haver_M!$B$1:$BZ$1,0),FALSE)),VLOOKUP($A226,Haver_M!$B$1:$BZ$300,MATCH(data!BE$1,Haver_M!$B$1:$BZ$1,0),FALSE),"")</f>
        <v>1.1722999999999999</v>
      </c>
      <c r="BF226">
        <f>IF(ISNUMBER(VLOOKUP($A226,Haver_M!$B$1:$BZ$300,MATCH(data!BF$1,Haver_M!$B$1:$BZ$1,0),FALSE)),VLOOKUP($A226,Haver_M!$B$1:$BZ$300,MATCH(data!BF$1,Haver_M!$B$1:$BZ$1,0),FALSE),"")</f>
        <v>51.224899999999998</v>
      </c>
      <c r="BG226">
        <f>IF(ISNUMBER(VLOOKUP($A226,Haver_M!$B$1:$BZ$300,MATCH(data!BG$1,Haver_M!$B$1:$BZ$1,0),FALSE)),VLOOKUP($A226,Haver_M!$B$1:$BZ$300,MATCH(data!BG$1,Haver_M!$B$1:$BZ$1,0),FALSE),"")</f>
        <v>51.394500000000001</v>
      </c>
      <c r="BH226">
        <f>IF(ISNUMBER(VLOOKUP($A226,Haver_M!$B$1:$BZ$300,MATCH(data!BH$1,Haver_M!$B$1:$BZ$1,0),FALSE)),VLOOKUP($A226,Haver_M!$B$1:$BZ$300,MATCH(data!BH$1,Haver_M!$B$1:$BZ$1,0),FALSE),"")</f>
        <v>50.1372</v>
      </c>
      <c r="BI226">
        <f>IF(ISNUMBER(VLOOKUP($A226,Haver_M!$B$1:$BZ$300,MATCH(data!BI$1,Haver_M!$B$1:$BZ$1,0),FALSE)),VLOOKUP($A226,Haver_M!$B$1:$BZ$300,MATCH(data!BI$1,Haver_M!$B$1:$BZ$1,0),FALSE),"")</f>
        <v>54.466700000000003</v>
      </c>
      <c r="BJ226">
        <f>IF(ISNUMBER(VLOOKUP($A226,Haver_M!$B$1:$BZ$300,MATCH(data!BJ$1,Haver_M!$B$1:$BZ$1,0),FALSE)),VLOOKUP($A226,Haver_M!$B$1:$BZ$300,MATCH(data!BJ$1,Haver_M!$B$1:$BZ$1,0),FALSE),"")</f>
        <v>51.513399999999997</v>
      </c>
      <c r="BK226">
        <f>IF(ISNUMBER(VLOOKUP($A226,Haver_M!$B$1:$BZ$300,MATCH(data!BK$1,Haver_M!$B$1:$BZ$1,0),FALSE)),VLOOKUP($A226,Haver_M!$B$1:$BZ$300,MATCH(data!BK$1,Haver_M!$B$1:$BZ$1,0),FALSE),"")</f>
        <v>52.130400000000002</v>
      </c>
      <c r="BL226">
        <f>IF(ISNUMBER(VLOOKUP($A226,Haver_M!$B$1:$BZ$300,MATCH(data!BL$1,Haver_M!$B$1:$BZ$1,0),FALSE)),VLOOKUP($A226,Haver_M!$B$1:$BZ$300,MATCH(data!BL$1,Haver_M!$B$1:$BZ$1,0),FALSE),"")</f>
        <v>37397.5</v>
      </c>
      <c r="BM226">
        <f>IF(ISNUMBER(VLOOKUP($A226,Haver_M!$B$1:$BZ$300,MATCH(data!BM$1,Haver_M!$B$1:$BZ$1,0),FALSE)),VLOOKUP($A226,Haver_M!$B$1:$BZ$300,MATCH(data!BM$1,Haver_M!$B$1:$BZ$1,0),FALSE),"")</f>
        <v>100.75872133999999</v>
      </c>
      <c r="BN226">
        <f>IF(ISNUMBER(VLOOKUP($A226,Haver_M!$B$1:$BZ$300,MATCH(data!BN$1,Haver_M!$B$1:$BZ$1,0),FALSE)),VLOOKUP($A226,Haver_M!$B$1:$BZ$300,MATCH(data!BN$1,Haver_M!$B$1:$BZ$1,0),FALSE),"")</f>
        <v>110</v>
      </c>
      <c r="BO226">
        <f>IF(ISNUMBER(VLOOKUP($A226,Haver_M!$B$1:$BZ$300,MATCH(data!BO$1,Haver_M!$B$1:$BZ$1,0),FALSE)),VLOOKUP($A226,Haver_M!$B$1:$BZ$300,MATCH(data!BO$1,Haver_M!$B$1:$BZ$1,0),FALSE),"")</f>
        <v>114.1</v>
      </c>
      <c r="BP226">
        <f>IF(ISNUMBER(VLOOKUP($A226,Haver_M!$B$1:$BZ$300,MATCH(data!BP$1,Haver_M!$B$1:$BZ$1,0),FALSE)),VLOOKUP($A226,Haver_M!$B$1:$BZ$300,MATCH(data!BP$1,Haver_M!$B$1:$BZ$1,0),FALSE),"")</f>
        <v>34.6</v>
      </c>
      <c r="BQ226">
        <f>IF(ISNUMBER(VLOOKUP($A226,Haver_M!$B$1:$BZ$300,MATCH(data!BQ$1,Haver_M!$B$1:$BZ$1,0),FALSE)),VLOOKUP($A226,Haver_M!$B$1:$BZ$300,MATCH(data!BQ$1,Haver_M!$B$1:$BZ$1,0),FALSE),"")</f>
        <v>279.71399412589852</v>
      </c>
      <c r="BR226">
        <f>IF(ISNUMBER(VLOOKUP($A226,Haver_M!$B$1:$BZ$300,MATCH(data!BR$1,Haver_M!$B$1:$BZ$1,0),FALSE)),VLOOKUP($A226,Haver_M!$B$1:$BZ$300,MATCH(data!BR$1,Haver_M!$B$1:$BZ$1,0),FALSE),"")</f>
        <v>374.11033395970111</v>
      </c>
      <c r="BS226">
        <f>IF(ISNUMBER(VLOOKUP($A226,Haver_M!$B$1:$BZ$300,MATCH(data!BS$1,Haver_M!$B$1:$BZ$1,0),FALSE)),VLOOKUP($A226,Haver_M!$B$1:$BZ$300,MATCH(data!BS$1,Haver_M!$B$1:$BZ$1,0),FALSE),"")</f>
        <v>304.83734056356474</v>
      </c>
      <c r="BT226">
        <f>IF(ISNUMBER(VLOOKUP($A226,Haver_M!$B$1:$BZ$300,MATCH(data!BT$1,Haver_M!$B$1:$BZ$1,0),FALSE)),VLOOKUP($A226,Haver_M!$B$1:$BZ$300,MATCH(data!BT$1,Haver_M!$B$1:$BZ$1,0),FALSE),"")</f>
        <v>1104.675048085378</v>
      </c>
      <c r="BU226">
        <f>IF(ISNUMBER(VLOOKUP($A226,Haver_M!$B$1:$BZ$300,MATCH(data!BU$1,Haver_M!$B$1:$BZ$1,0),FALSE)),VLOOKUP($A226,Haver_M!$B$1:$BZ$300,MATCH(data!BU$1,Haver_M!$B$1:$BZ$1,0),FALSE),"")</f>
        <v>27841.11</v>
      </c>
      <c r="BV226">
        <f>IF(ISNUMBER(VLOOKUP($A226,Haver_M!$B$1:$BZ$300,MATCH(data!BV$1,Haver_M!$B$1:$BZ$1,0),FALSE)),VLOOKUP($A226,Haver_M!$B$1:$BZ$300,MATCH(data!BV$1,Haver_M!$B$1:$BZ$1,0),FALSE),"")</f>
        <v>42820.25</v>
      </c>
      <c r="BW226">
        <f>IF(ISNUMBER(VLOOKUP($A226,Haver_M!$B$1:$BZ$300,MATCH(data!BW$1,Haver_M!$B$1:$BZ$1,0),FALSE)),VLOOKUP($A226,Haver_M!$B$1:$BZ$300,MATCH(data!BW$1,Haver_M!$B$1:$BZ$1,0),FALSE),"")</f>
        <v>72.215299999999999</v>
      </c>
      <c r="BX226">
        <f>IF(ISNUMBER(VLOOKUP($A226,Haver_M!$B$1:$BZ$300,MATCH(data!BX$1,Haver_M!$B$1:$BZ$1,0),FALSE)),VLOOKUP($A226,Haver_M!$B$1:$BZ$300,MATCH(data!BX$1,Haver_M!$B$1:$BZ$1,0),FALSE),"")</f>
        <v>55962</v>
      </c>
    </row>
    <row r="227" spans="1:76" x14ac:dyDescent="0.25">
      <c r="A227" s="2">
        <v>43404</v>
      </c>
      <c r="B227" t="str">
        <f>IF(ISNUMBER(VLOOKUP($A227,Haver_Q!$B$1:$L$185,MATCH(data!B$1,Haver_Q!$B$1:$L$1,0),FALSE)),100*(VLOOKUP($A227,Haver_Q!$B$1:$L$185,MATCH(data!B$1,Haver_Q!$B$1:$L$1,0),FALSE)),"")</f>
        <v/>
      </c>
      <c r="C227" t="str">
        <f>IF(ISNUMBER(VLOOKUP($A227,Haver_Q!$B$1:$L$185,MATCH(data!C$1,Haver_Q!$B$1:$L$1,0),FALSE)),100*(VLOOKUP($A227,Haver_Q!$B$1:$L$185,MATCH(data!C$1,Haver_Q!$B$1:$L$1,0),FALSE)),"")</f>
        <v/>
      </c>
      <c r="D227" t="str">
        <f>IF(ISNUMBER(VLOOKUP($A227,Haver_Q!$B$1:$L$185,MATCH(data!D$1,Haver_Q!$B$1:$L$1,0),FALSE)),100*(VLOOKUP($A227,Haver_Q!$B$1:$L$185,MATCH(data!D$1,Haver_Q!$B$1:$L$1,0),FALSE)),"")</f>
        <v/>
      </c>
      <c r="E227" t="str">
        <f>IF(ISNUMBER(VLOOKUP($A227,Haver_Q!$B$1:$L$185,MATCH(data!E$1,Haver_Q!$B$1:$L$1,0),FALSE)),100*(VLOOKUP($A227,Haver_Q!$B$1:$L$185,MATCH(data!E$1,Haver_Q!$B$1:$L$1,0),FALSE)),"")</f>
        <v/>
      </c>
      <c r="F227" t="str">
        <f>IF(ISNUMBER(VLOOKUP($A227,Haver_Q!$B$1:$L$185,MATCH(data!F$1,Haver_Q!$B$1:$L$1,0),FALSE)),100*(VLOOKUP($A227,Haver_Q!$B$1:$L$185,MATCH(data!F$1,Haver_Q!$B$1:$L$1,0),FALSE)),"")</f>
        <v/>
      </c>
      <c r="G227" t="str">
        <f>IF(ISNUMBER(VLOOKUP($A227,Haver_Q!$B$1:$L$185,MATCH(data!G$1,Haver_Q!$B$1:$L$1,0),FALSE)),100*(VLOOKUP($A227,Haver_Q!$B$1:$L$185,MATCH(data!G$1,Haver_Q!$B$1:$L$1,0),FALSE)),"")</f>
        <v/>
      </c>
      <c r="H227" t="str">
        <f>IF(ISNUMBER(VLOOKUP($A227,Haver_Q!$B$1:$L$185,MATCH(data!H$1,Haver_Q!$B$1:$L$1,0),FALSE)),(VLOOKUP($A227,Haver_Q!$B$1:$L$185,MATCH(data!H$1,Haver_Q!$B$1:$L$1,0),FALSE)),"")</f>
        <v/>
      </c>
      <c r="I227" t="str">
        <f>IF(ISNUMBER(VLOOKUP($A227,Haver_Q!$B$1:$L$185,MATCH(data!I$1,Haver_Q!$B$1:$L$1,0),FALSE)),100*(VLOOKUP($A227,Haver_Q!$B$1:$L$185,MATCH(data!I$1,Haver_Q!$B$1:$L$1,0),FALSE)),"")</f>
        <v/>
      </c>
      <c r="J227" s="3">
        <f>IF(ISNUMBER(Bloomberg_m!C243),Bloomberg_m!C243,"")</f>
        <v>1545</v>
      </c>
      <c r="K227" s="3">
        <f>IF(ISNUMBER(Bloomberg_m!D243),Bloomberg_m!D243,"")</f>
        <v>1659.15</v>
      </c>
      <c r="L227" s="3">
        <f>IF(ISNUMBER(Bloomberg_m!E243),Bloomberg_m!E243,"")</f>
        <v>929.13</v>
      </c>
      <c r="M227" s="3">
        <f>IF(ISNUMBER(Bloomberg_m!F243),Bloomberg_m!F243,"")</f>
        <v>451.84</v>
      </c>
      <c r="N227">
        <f>IF(ISNUMBER(VLOOKUP($A227,Haver_M!$B$1:$BZ$300,MATCH(data!N$1,Haver_M!$B$1:$BZ$1,0),FALSE)),VLOOKUP($A227,Haver_M!$B$1:$BZ$300,MATCH(data!N$1,Haver_M!$B$1:$BZ$1,0),FALSE),"")</f>
        <v>6.5</v>
      </c>
      <c r="O227">
        <f>IF(ISNUMBER(VLOOKUP($A227,Haver_M!$B$1:$BZ$300,MATCH(data!O$1,Haver_M!$B$1:$BZ$1,0),FALSE)),VLOOKUP($A227,Haver_M!$B$1:$BZ$300,MATCH(data!O$1,Haver_M!$B$1:$BZ$1,0),FALSE),"")</f>
        <v>7.8403</v>
      </c>
      <c r="P227">
        <f>IF(ISNUMBER(VLOOKUP($A227,Haver_M!$B$1:$BZ$300,MATCH(data!P$1,Haver_M!$B$1:$BZ$1,0),FALSE)),VLOOKUP($A227,Haver_M!$B$1:$BZ$300,MATCH(data!P$1,Haver_M!$B$1:$BZ$1,0),FALSE),"")</f>
        <v>86.304320000000004</v>
      </c>
      <c r="Q227">
        <f>IF(ISNUMBER(VLOOKUP($A227,Haver_M!$B$1:$BZ$300,MATCH(data!Q$1,Haver_M!$B$1:$BZ$1,0),FALSE)),VLOOKUP($A227,Haver_M!$B$1:$BZ$300,MATCH(data!Q$1,Haver_M!$B$1:$BZ$1,0),FALSE),"")</f>
        <v>140.69999999999999</v>
      </c>
      <c r="R227">
        <f>IF(ISNUMBER(VLOOKUP($A227,Haver_M!$B$1:$BZ$300,MATCH(data!R$1,Haver_M!$B$1:$BZ$1,0),FALSE)),VLOOKUP($A227,Haver_M!$B$1:$BZ$300,MATCH(data!R$1,Haver_M!$B$1:$BZ$1,0),FALSE),"")</f>
        <v>142.19999999999999</v>
      </c>
      <c r="S227">
        <f>IF(ISNUMBER(VLOOKUP($A227,Haver_M!$B$1:$BZ$300,MATCH(data!S$1,Haver_M!$B$1:$BZ$1,0),FALSE)),VLOOKUP($A227,Haver_M!$B$1:$BZ$300,MATCH(data!S$1,Haver_M!$B$1:$BZ$1,0),FALSE),"")</f>
        <v>131.68</v>
      </c>
      <c r="T227">
        <f>IF(ISNUMBER(VLOOKUP($A227,Haver_M!$B$1:$BZ$300,MATCH(data!T$1,Haver_M!$B$1:$BZ$1,0),FALSE)),VLOOKUP($A227,Haver_M!$B$1:$BZ$300,MATCH(data!T$1,Haver_M!$B$1:$BZ$1,0),FALSE),"")</f>
        <v>128.01</v>
      </c>
      <c r="U227">
        <f>IF(ISNUMBER(VLOOKUP($A227,Haver_M!$B$1:$BZ$300,MATCH(data!U$1,Haver_M!$B$1:$BZ$1,0),FALSE)),VLOOKUP($A227,Haver_M!$B$1:$BZ$300,MATCH(data!U$1,Haver_M!$B$1:$BZ$1,0),FALSE),"")</f>
        <v>116.05</v>
      </c>
      <c r="V227">
        <f>IF(ISNUMBER(VLOOKUP($A227,Haver_M!$B$1:$BZ$300,MATCH(data!V$1,Haver_M!$B$1:$BZ$1,0),FALSE)),VLOOKUP($A227,Haver_M!$B$1:$BZ$300,MATCH(data!V$1,Haver_M!$B$1:$BZ$1,0),FALSE),"")</f>
        <v>125.9</v>
      </c>
      <c r="W227">
        <f>IF(ISNUMBER(VLOOKUP($A227,Haver_M!$B$1:$BZ$300,MATCH(data!W$1,Haver_M!$B$1:$BZ$1,0),FALSE)),VLOOKUP($A227,Haver_M!$B$1:$BZ$300,MATCH(data!W$1,Haver_M!$B$1:$BZ$1,0),FALSE),"")</f>
        <v>143.57</v>
      </c>
      <c r="X227">
        <f>IF(ISNUMBER(VLOOKUP($A227,Haver_M!$B$1:$BZ$300,MATCH(data!X$1,Haver_M!$B$1:$BZ$1,0),FALSE)),VLOOKUP($A227,Haver_M!$B$1:$BZ$300,MATCH(data!X$1,Haver_M!$B$1:$BZ$1,0),FALSE),"")</f>
        <v>129.21</v>
      </c>
      <c r="Y227">
        <f>IF(ISNUMBER(VLOOKUP($A227,Haver_M!$B$1:$BZ$300,MATCH(data!Y$1,Haver_M!$B$1:$BZ$1,0),FALSE)),VLOOKUP($A227,Haver_M!$B$1:$BZ$300,MATCH(data!Y$1,Haver_M!$B$1:$BZ$1,0),FALSE),"")</f>
        <v>147.43</v>
      </c>
      <c r="Z227">
        <f>IF(ISNUMBER(VLOOKUP($A227,Haver_M!$B$1:$BZ$300,MATCH(data!Z$1,Haver_M!$B$1:$BZ$1,0),FALSE)),VLOOKUP($A227,Haver_M!$B$1:$BZ$300,MATCH(data!Z$1,Haver_M!$B$1:$BZ$1,0),FALSE),"")</f>
        <v>133</v>
      </c>
      <c r="AA227">
        <f>IF(ISNUMBER(VLOOKUP($A227,Haver_M!$B$1:$BZ$300,MATCH(data!AA$1,Haver_M!$B$1:$BZ$1,0),FALSE)),VLOOKUP($A227,Haver_M!$B$1:$BZ$300,MATCH(data!AA$1,Haver_M!$B$1:$BZ$1,0),FALSE),"")</f>
        <v>135.22</v>
      </c>
      <c r="AB227">
        <f>IF(ISNUMBER(VLOOKUP($A227,Haver_M!$B$1:$BZ$300,MATCH(data!AB$1,Haver_M!$B$1:$BZ$1,0),FALSE)),VLOOKUP($A227,Haver_M!$B$1:$BZ$300,MATCH(data!AB$1,Haver_M!$B$1:$BZ$1,0),FALSE),"")</f>
        <v>89.661000000000001</v>
      </c>
      <c r="AC227">
        <f>IF(ISNUMBER(VLOOKUP($A227,Haver_M!$B$1:$BZ$300,MATCH(data!AC$1,Haver_M!$B$1:$BZ$1,0),FALSE)),VLOOKUP($A227,Haver_M!$B$1:$BZ$300,MATCH(data!AC$1,Haver_M!$B$1:$BZ$1,0),FALSE),"")</f>
        <v>68.912999999999997</v>
      </c>
      <c r="AD227">
        <f>IF(ISNUMBER(VLOOKUP($A227,Haver_M!$B$1:$BZ$300,MATCH(data!AD$1,Haver_M!$B$1:$BZ$1,0),FALSE)),VLOOKUP($A227,Haver_M!$B$1:$BZ$300,MATCH(data!AD$1,Haver_M!$B$1:$BZ$1,0),FALSE),"")</f>
        <v>131.21700000000001</v>
      </c>
      <c r="AE227">
        <f>IF(ISNUMBER(VLOOKUP($A227,Haver_M!$B$1:$BZ$300,MATCH(data!AE$1,Haver_M!$B$1:$BZ$1,0),FALSE)),VLOOKUP($A227,Haver_M!$B$1:$BZ$300,MATCH(data!AE$1,Haver_M!$B$1:$BZ$1,0),FALSE),"")</f>
        <v>96.391000000000005</v>
      </c>
      <c r="AF227">
        <f>IF(ISNUMBER(VLOOKUP($A227,Haver_M!$B$1:$BZ$300,MATCH(data!AF$1,Haver_M!$B$1:$BZ$1,0),FALSE)),VLOOKUP($A227,Haver_M!$B$1:$BZ$300,MATCH(data!AF$1,Haver_M!$B$1:$BZ$1,0),FALSE),"")</f>
        <v>150.09700000000001</v>
      </c>
      <c r="AG227">
        <f>IF(ISNUMBER(VLOOKUP($A227,Haver_M!$B$1:$BZ$300,MATCH(data!AG$1,Haver_M!$B$1:$BZ$1,0),FALSE)),VLOOKUP($A227,Haver_M!$B$1:$BZ$300,MATCH(data!AG$1,Haver_M!$B$1:$BZ$1,0),FALSE),"")</f>
        <v>149.16800000000001</v>
      </c>
      <c r="AH227">
        <f>IF(ISNUMBER(VLOOKUP($A227,Haver_M!$B$1:$BZ$300,MATCH(data!AH$1,Haver_M!$B$1:$BZ$1,0),FALSE)),VLOOKUP($A227,Haver_M!$B$1:$BZ$300,MATCH(data!AH$1,Haver_M!$B$1:$BZ$1,0),FALSE),"")</f>
        <v>160.46</v>
      </c>
      <c r="AI227">
        <f>IF(ISNUMBER(VLOOKUP($A227,Haver_M!$B$1:$BZ$300,MATCH(data!AI$1,Haver_M!$B$1:$BZ$1,0),FALSE)),VLOOKUP($A227,Haver_M!$B$1:$BZ$300,MATCH(data!AI$1,Haver_M!$B$1:$BZ$1,0),FALSE),"")</f>
        <v>17771.697674840259</v>
      </c>
      <c r="AJ227">
        <f>IF(ISNUMBER(VLOOKUP($A227,Haver_M!$B$1:$BZ$300,MATCH(data!AJ$1,Haver_M!$B$1:$BZ$1,0),FALSE)),VLOOKUP($A227,Haver_M!$B$1:$BZ$300,MATCH(data!AJ$1,Haver_M!$B$1:$BZ$1,0),FALSE),"")</f>
        <v>26924.1</v>
      </c>
      <c r="AK227">
        <f>IF(ISNUMBER(VLOOKUP($A227,Haver_M!$B$1:$BZ$300,MATCH(data!AK$1,Haver_M!$B$1:$BZ$1,0),FALSE)),VLOOKUP($A227,Haver_M!$B$1:$BZ$300,MATCH(data!AK$1,Haver_M!$B$1:$BZ$1,0),FALSE),"")</f>
        <v>44474.85</v>
      </c>
      <c r="AL227">
        <f>IF(ISNUMBER(VLOOKUP($A227,Haver_M!$B$1:$BZ$300,MATCH(data!AL$1,Haver_M!$B$1:$BZ$1,0),FALSE)),VLOOKUP($A227,Haver_M!$B$1:$BZ$300,MATCH(data!AL$1,Haver_M!$B$1:$BZ$1,0),FALSE),"")</f>
        <v>16815</v>
      </c>
      <c r="AM227">
        <f>IF(ISNUMBER(VLOOKUP($A227,Haver_M!$B$1:$BZ$300,MATCH(data!AM$1,Haver_M!$B$1:$BZ$1,0),FALSE)),VLOOKUP($A227,Haver_M!$B$1:$BZ$300,MATCH(data!AM$1,Haver_M!$B$1:$BZ$1,0),FALSE),"")</f>
        <v>10099</v>
      </c>
      <c r="AN227" t="str">
        <f>IF(ISNUMBER(VLOOKUP($A227,Haver_M!$B$1:$BZ$300,MATCH(data!AN$1,Haver_M!$B$1:$BZ$1,0),FALSE)),VLOOKUP($A227,Haver_M!$B$1:$BZ$300,MATCH(data!AN$1,Haver_M!$B$1:$BZ$1,0),FALSE),"")</f>
        <v/>
      </c>
      <c r="AO227" t="str">
        <f>IF(ISNUMBER(VLOOKUP($A227,Haver_M!$B$1:$BZ$300,MATCH(data!AO$1,Haver_M!$B$1:$BZ$1,0),FALSE)),VLOOKUP($A227,Haver_M!$B$1:$BZ$300,MATCH(data!AO$1,Haver_M!$B$1:$BZ$1,0),FALSE),"")</f>
        <v/>
      </c>
      <c r="AP227">
        <f>IF(ISNUMBER(VLOOKUP($A227,Haver_M!$B$1:$BZ$300,MATCH(data!AP$1,Haver_M!$B$1:$BZ$1,0),FALSE)),VLOOKUP($A227,Haver_M!$B$1:$BZ$300,MATCH(data!AP$1,Haver_M!$B$1:$BZ$1,0),FALSE),"")</f>
        <v>65.760781681752803</v>
      </c>
      <c r="AQ227">
        <f>IF(ISNUMBER(VLOOKUP($A227,Haver_M!$B$1:$BZ$300,MATCH(data!AQ$1,Haver_M!$B$1:$BZ$1,0),FALSE)),VLOOKUP($A227,Haver_M!$B$1:$BZ$300,MATCH(data!AQ$1,Haver_M!$B$1:$BZ$1,0),FALSE),"")</f>
        <v>52.969700000000003</v>
      </c>
      <c r="AR227">
        <f>IF(ISNUMBER(VLOOKUP($A227,Haver_M!$B$1:$BZ$300,MATCH(data!AR$1,Haver_M!$B$1:$BZ$1,0),FALSE)),VLOOKUP($A227,Haver_M!$B$1:$BZ$300,MATCH(data!AR$1,Haver_M!$B$1:$BZ$1,0),FALSE),"")</f>
        <v>53.143799999999999</v>
      </c>
      <c r="AS227">
        <f>IF(ISNUMBER(VLOOKUP($A227,Haver_M!$B$1:$BZ$300,MATCH(data!AS$1,Haver_M!$B$1:$BZ$1,0),FALSE)),VLOOKUP($A227,Haver_M!$B$1:$BZ$300,MATCH(data!AS$1,Haver_M!$B$1:$BZ$1,0),FALSE),"")</f>
        <v>52.224200000000003</v>
      </c>
      <c r="AT227">
        <f>IF(ISNUMBER(VLOOKUP($A227,Haver_M!$B$1:$BZ$300,MATCH(data!AT$1,Haver_M!$B$1:$BZ$1,0),FALSE)),VLOOKUP($A227,Haver_M!$B$1:$BZ$300,MATCH(data!AT$1,Haver_M!$B$1:$BZ$1,0),FALSE),"")</f>
        <v>54.6158</v>
      </c>
      <c r="AU227">
        <f>IF(ISNUMBER(VLOOKUP($A227,Haver_M!$B$1:$BZ$300,MATCH(data!AU$1,Haver_M!$B$1:$BZ$1,0),FALSE)),VLOOKUP($A227,Haver_M!$B$1:$BZ$300,MATCH(data!AU$1,Haver_M!$B$1:$BZ$1,0),FALSE),"")</f>
        <v>54.465200000000003</v>
      </c>
      <c r="AV227">
        <f>IF(ISNUMBER(VLOOKUP($A227,Haver_M!$B$1:$BZ$300,MATCH(data!AV$1,Haver_M!$B$1:$BZ$1,0),FALSE)),VLOOKUP($A227,Haver_M!$B$1:$BZ$300,MATCH(data!AV$1,Haver_M!$B$1:$BZ$1,0),FALSE),"")</f>
        <v>52.759900000000002</v>
      </c>
      <c r="AW227">
        <f>IF(ISNUMBER(VLOOKUP($A227,Haver_M!$B$1:$BZ$300,MATCH(data!AW$1,Haver_M!$B$1:$BZ$1,0),FALSE)),VLOOKUP($A227,Haver_M!$B$1:$BZ$300,MATCH(data!AW$1,Haver_M!$B$1:$BZ$1,0),FALSE),"")</f>
        <v>49.864199999999997</v>
      </c>
      <c r="AX227">
        <f>IF(ISNUMBER(VLOOKUP($A227,Haver_M!$B$1:$BZ$300,MATCH(data!AX$1,Haver_M!$B$1:$BZ$1,0),FALSE)),VLOOKUP($A227,Haver_M!$B$1:$BZ$300,MATCH(data!AX$1,Haver_M!$B$1:$BZ$1,0),FALSE),"")</f>
        <v>50.779699999999998</v>
      </c>
      <c r="AY227">
        <f>IF(ISNUMBER(VLOOKUP($A227,Haver_M!$B$1:$BZ$300,MATCH(data!AY$1,Haver_M!$B$1:$BZ$1,0),FALSE)),VLOOKUP($A227,Haver_M!$B$1:$BZ$300,MATCH(data!AY$1,Haver_M!$B$1:$BZ$1,0),FALSE),"")</f>
        <v>56.686500000000002</v>
      </c>
      <c r="AZ227">
        <f>IF(ISNUMBER(VLOOKUP($A227,Haver_M!$B$1:$BZ$300,MATCH(data!AZ$1,Haver_M!$B$1:$BZ$1,0),FALSE)),VLOOKUP($A227,Haver_M!$B$1:$BZ$300,MATCH(data!AZ$1,Haver_M!$B$1:$BZ$1,0),FALSE),"")</f>
        <v>52.142400000000002</v>
      </c>
      <c r="BA227">
        <f>IF(ISNUMBER(VLOOKUP($A227,Haver_M!$B$1:$BZ$300,MATCH(data!BA$1,Haver_M!$B$1:$BZ$1,0),FALSE)),VLOOKUP($A227,Haver_M!$B$1:$BZ$300,MATCH(data!BA$1,Haver_M!$B$1:$BZ$1,0),FALSE),"")</f>
        <v>50.779699999999998</v>
      </c>
      <c r="BB227">
        <f>IF(ISNUMBER(VLOOKUP($A227,Haver_M!$B$1:$BZ$300,MATCH(data!BB$1,Haver_M!$B$1:$BZ$1,0),FALSE)),VLOOKUP($A227,Haver_M!$B$1:$BZ$300,MATCH(data!BB$1,Haver_M!$B$1:$BZ$1,0),FALSE),"")</f>
        <v>53.116599999999998</v>
      </c>
      <c r="BC227">
        <f>IF(ISNUMBER(VLOOKUP($A227,Haver_M!$B$1:$BZ$300,MATCH(data!BC$1,Haver_M!$B$1:$BZ$1,0),FALSE)),VLOOKUP($A227,Haver_M!$B$1:$BZ$300,MATCH(data!BC$1,Haver_M!$B$1:$BZ$1,0),FALSE),"")</f>
        <v>51.262099999999997</v>
      </c>
      <c r="BD227">
        <f>IF(ISNUMBER(VLOOKUP($A227,Haver_M!$B$1:$BZ$300,MATCH(data!BD$1,Haver_M!$B$1:$BZ$1,0),FALSE)),VLOOKUP($A227,Haver_M!$B$1:$BZ$300,MATCH(data!BD$1,Haver_M!$B$1:$BZ$1,0),FALSE),"")</f>
        <v>49.296500000000002</v>
      </c>
      <c r="BE227">
        <f>IF(ISNUMBER(VLOOKUP($A227,Haver_M!$B$1:$BZ$300,MATCH(data!BE$1,Haver_M!$B$1:$BZ$1,0),FALSE)),VLOOKUP($A227,Haver_M!$B$1:$BZ$300,MATCH(data!BE$1,Haver_M!$B$1:$BZ$1,0),FALSE),"")</f>
        <v>1.1726000000000001</v>
      </c>
      <c r="BF227">
        <f>IF(ISNUMBER(VLOOKUP($A227,Haver_M!$B$1:$BZ$300,MATCH(data!BF$1,Haver_M!$B$1:$BZ$1,0),FALSE)),VLOOKUP($A227,Haver_M!$B$1:$BZ$300,MATCH(data!BF$1,Haver_M!$B$1:$BZ$1,0),FALSE),"")</f>
        <v>53.219200000000001</v>
      </c>
      <c r="BG227">
        <f>IF(ISNUMBER(VLOOKUP($A227,Haver_M!$B$1:$BZ$300,MATCH(data!BG$1,Haver_M!$B$1:$BZ$1,0),FALSE)),VLOOKUP($A227,Haver_M!$B$1:$BZ$300,MATCH(data!BG$1,Haver_M!$B$1:$BZ$1,0),FALSE),"")</f>
        <v>50.702399999999997</v>
      </c>
      <c r="BH227">
        <f>IF(ISNUMBER(VLOOKUP($A227,Haver_M!$B$1:$BZ$300,MATCH(data!BH$1,Haver_M!$B$1:$BZ$1,0),FALSE)),VLOOKUP($A227,Haver_M!$B$1:$BZ$300,MATCH(data!BH$1,Haver_M!$B$1:$BZ$1,0),FALSE),"")</f>
        <v>52.384500000000003</v>
      </c>
      <c r="BI227">
        <f>IF(ISNUMBER(VLOOKUP($A227,Haver_M!$B$1:$BZ$300,MATCH(data!BI$1,Haver_M!$B$1:$BZ$1,0),FALSE)),VLOOKUP($A227,Haver_M!$B$1:$BZ$300,MATCH(data!BI$1,Haver_M!$B$1:$BZ$1,0),FALSE),"")</f>
        <v>53.895000000000003</v>
      </c>
      <c r="BJ227">
        <f>IF(ISNUMBER(VLOOKUP($A227,Haver_M!$B$1:$BZ$300,MATCH(data!BJ$1,Haver_M!$B$1:$BZ$1,0),FALSE)),VLOOKUP($A227,Haver_M!$B$1:$BZ$300,MATCH(data!BJ$1,Haver_M!$B$1:$BZ$1,0),FALSE),"")</f>
        <v>50.5959</v>
      </c>
      <c r="BK227">
        <f>IF(ISNUMBER(VLOOKUP($A227,Haver_M!$B$1:$BZ$300,MATCH(data!BK$1,Haver_M!$B$1:$BZ$1,0),FALSE)),VLOOKUP($A227,Haver_M!$B$1:$BZ$300,MATCH(data!BK$1,Haver_M!$B$1:$BZ$1,0),FALSE),"")</f>
        <v>52.954000000000001</v>
      </c>
      <c r="BL227">
        <f>IF(ISNUMBER(VLOOKUP($A227,Haver_M!$B$1:$BZ$300,MATCH(data!BL$1,Haver_M!$B$1:$BZ$1,0),FALSE)),VLOOKUP($A227,Haver_M!$B$1:$BZ$300,MATCH(data!BL$1,Haver_M!$B$1:$BZ$1,0),FALSE),"")</f>
        <v>34518.839999999997</v>
      </c>
      <c r="BM227">
        <f>IF(ISNUMBER(VLOOKUP($A227,Haver_M!$B$1:$BZ$300,MATCH(data!BM$1,Haver_M!$B$1:$BZ$1,0),FALSE)),VLOOKUP($A227,Haver_M!$B$1:$BZ$300,MATCH(data!BM$1,Haver_M!$B$1:$BZ$1,0),FALSE),"")</f>
        <v>100.15630353</v>
      </c>
      <c r="BN227" t="str">
        <f>IF(ISNUMBER(VLOOKUP($A227,Haver_M!$B$1:$BZ$300,MATCH(data!BN$1,Haver_M!$B$1:$BZ$1,0),FALSE)),VLOOKUP($A227,Haver_M!$B$1:$BZ$300,MATCH(data!BN$1,Haver_M!$B$1:$BZ$1,0),FALSE),"")</f>
        <v/>
      </c>
      <c r="BO227" t="str">
        <f>IF(ISNUMBER(VLOOKUP($A227,Haver_M!$B$1:$BZ$300,MATCH(data!BO$1,Haver_M!$B$1:$BZ$1,0),FALSE)),VLOOKUP($A227,Haver_M!$B$1:$BZ$300,MATCH(data!BO$1,Haver_M!$B$1:$BZ$1,0),FALSE),"")</f>
        <v/>
      </c>
      <c r="BP227" t="str">
        <f>IF(ISNUMBER(VLOOKUP($A227,Haver_M!$B$1:$BZ$300,MATCH(data!BP$1,Haver_M!$B$1:$BZ$1,0),FALSE)),VLOOKUP($A227,Haver_M!$B$1:$BZ$300,MATCH(data!BP$1,Haver_M!$B$1:$BZ$1,0),FALSE),"")</f>
        <v/>
      </c>
      <c r="BQ227">
        <f>IF(ISNUMBER(VLOOKUP($A227,Haver_M!$B$1:$BZ$300,MATCH(data!BQ$1,Haver_M!$B$1:$BZ$1,0),FALSE)),VLOOKUP($A227,Haver_M!$B$1:$BZ$300,MATCH(data!BQ$1,Haver_M!$B$1:$BZ$1,0),FALSE),"")</f>
        <v>276.86259970148967</v>
      </c>
      <c r="BR227">
        <f>IF(ISNUMBER(VLOOKUP($A227,Haver_M!$B$1:$BZ$300,MATCH(data!BR$1,Haver_M!$B$1:$BZ$1,0),FALSE)),VLOOKUP($A227,Haver_M!$B$1:$BZ$300,MATCH(data!BR$1,Haver_M!$B$1:$BZ$1,0),FALSE),"")</f>
        <v>366.16525628019224</v>
      </c>
      <c r="BS227">
        <f>IF(ISNUMBER(VLOOKUP($A227,Haver_M!$B$1:$BZ$300,MATCH(data!BS$1,Haver_M!$B$1:$BZ$1,0),FALSE)),VLOOKUP($A227,Haver_M!$B$1:$BZ$300,MATCH(data!BS$1,Haver_M!$B$1:$BZ$1,0),FALSE),"")</f>
        <v>299.87926494215174</v>
      </c>
      <c r="BT227">
        <f>IF(ISNUMBER(VLOOKUP($A227,Haver_M!$B$1:$BZ$300,MATCH(data!BT$1,Haver_M!$B$1:$BZ$1,0),FALSE)),VLOOKUP($A227,Haver_M!$B$1:$BZ$300,MATCH(data!BT$1,Haver_M!$B$1:$BZ$1,0),FALSE),"")</f>
        <v>1086.8302361871081</v>
      </c>
      <c r="BU227">
        <f>IF(ISNUMBER(VLOOKUP($A227,Haver_M!$B$1:$BZ$300,MATCH(data!BU$1,Haver_M!$B$1:$BZ$1,0),FALSE)),VLOOKUP($A227,Haver_M!$B$1:$BZ$300,MATCH(data!BU$1,Haver_M!$B$1:$BZ$1,0),FALSE),"")</f>
        <v>26638.21</v>
      </c>
      <c r="BV227">
        <f>IF(ISNUMBER(VLOOKUP($A227,Haver_M!$B$1:$BZ$300,MATCH(data!BV$1,Haver_M!$B$1:$BZ$1,0),FALSE)),VLOOKUP($A227,Haver_M!$B$1:$BZ$300,MATCH(data!BV$1,Haver_M!$B$1:$BZ$1,0),FALSE),"")</f>
        <v>44678.04</v>
      </c>
      <c r="BW227">
        <f>IF(ISNUMBER(VLOOKUP($A227,Haver_M!$B$1:$BZ$300,MATCH(data!BW$1,Haver_M!$B$1:$BZ$1,0),FALSE)),VLOOKUP($A227,Haver_M!$B$1:$BZ$300,MATCH(data!BW$1,Haver_M!$B$1:$BZ$1,0),FALSE),"")</f>
        <v>73.632300000000001</v>
      </c>
      <c r="BX227">
        <f>IF(ISNUMBER(VLOOKUP($A227,Haver_M!$B$1:$BZ$300,MATCH(data!BX$1,Haver_M!$B$1:$BZ$1,0),FALSE)),VLOOKUP($A227,Haver_M!$B$1:$BZ$300,MATCH(data!BX$1,Haver_M!$B$1:$BZ$1,0),FALSE),"")</f>
        <v>66156</v>
      </c>
    </row>
    <row r="228" spans="1:76" x14ac:dyDescent="0.25">
      <c r="A228" s="2">
        <v>43434</v>
      </c>
      <c r="B228" t="str">
        <f>IF(ISNUMBER(VLOOKUP($A228,Haver_Q!$B$1:$L$185,MATCH(data!B$1,Haver_Q!$B$1:$L$1,0),FALSE)),100*(VLOOKUP($A228,Haver_Q!$B$1:$L$185,MATCH(data!B$1,Haver_Q!$B$1:$L$1,0),FALSE)),"")</f>
        <v/>
      </c>
      <c r="C228" t="str">
        <f>IF(ISNUMBER(VLOOKUP($A228,Haver_Q!$B$1:$L$185,MATCH(data!C$1,Haver_Q!$B$1:$L$1,0),FALSE)),100*(VLOOKUP($A228,Haver_Q!$B$1:$L$185,MATCH(data!C$1,Haver_Q!$B$1:$L$1,0),FALSE)),"")</f>
        <v/>
      </c>
      <c r="D228" t="str">
        <f>IF(ISNUMBER(VLOOKUP($A228,Haver_Q!$B$1:$L$185,MATCH(data!D$1,Haver_Q!$B$1:$L$1,0),FALSE)),100*(VLOOKUP($A228,Haver_Q!$B$1:$L$185,MATCH(data!D$1,Haver_Q!$B$1:$L$1,0),FALSE)),"")</f>
        <v/>
      </c>
      <c r="E228" t="str">
        <f>IF(ISNUMBER(VLOOKUP($A228,Haver_Q!$B$1:$L$185,MATCH(data!E$1,Haver_Q!$B$1:$L$1,0),FALSE)),100*(VLOOKUP($A228,Haver_Q!$B$1:$L$185,MATCH(data!E$1,Haver_Q!$B$1:$L$1,0),FALSE)),"")</f>
        <v/>
      </c>
      <c r="F228" t="str">
        <f>IF(ISNUMBER(VLOOKUP($A228,Haver_Q!$B$1:$L$185,MATCH(data!F$1,Haver_Q!$B$1:$L$1,0),FALSE)),100*(VLOOKUP($A228,Haver_Q!$B$1:$L$185,MATCH(data!F$1,Haver_Q!$B$1:$L$1,0),FALSE)),"")</f>
        <v/>
      </c>
      <c r="G228" t="str">
        <f>IF(ISNUMBER(VLOOKUP($A228,Haver_Q!$B$1:$L$185,MATCH(data!G$1,Haver_Q!$B$1:$L$1,0),FALSE)),100*(VLOOKUP($A228,Haver_Q!$B$1:$L$185,MATCH(data!G$1,Haver_Q!$B$1:$L$1,0),FALSE)),"")</f>
        <v/>
      </c>
      <c r="H228" t="str">
        <f>IF(ISNUMBER(VLOOKUP($A228,Haver_Q!$B$1:$L$185,MATCH(data!H$1,Haver_Q!$B$1:$L$1,0),FALSE)),(VLOOKUP($A228,Haver_Q!$B$1:$L$185,MATCH(data!H$1,Haver_Q!$B$1:$L$1,0),FALSE)),"")</f>
        <v/>
      </c>
      <c r="I228" t="str">
        <f>IF(ISNUMBER(VLOOKUP($A228,Haver_Q!$B$1:$L$185,MATCH(data!I$1,Haver_Q!$B$1:$L$1,0),FALSE)),100*(VLOOKUP($A228,Haver_Q!$B$1:$L$185,MATCH(data!I$1,Haver_Q!$B$1:$L$1,0),FALSE)),"")</f>
        <v/>
      </c>
      <c r="J228" s="3">
        <f>IF(ISNUMBER(Bloomberg_m!C244),Bloomberg_m!C244,"")</f>
        <v>1192</v>
      </c>
      <c r="K228" s="3">
        <f>IF(ISNUMBER(Bloomberg_m!D244),Bloomberg_m!D244,"")</f>
        <v>1745.23</v>
      </c>
      <c r="L228" s="3">
        <f>IF(ISNUMBER(Bloomberg_m!E244),Bloomberg_m!E244,"")</f>
        <v>936.86</v>
      </c>
      <c r="M228" s="3">
        <f>IF(ISNUMBER(Bloomberg_m!F244),Bloomberg_m!F244,"")</f>
        <v>425.91</v>
      </c>
      <c r="N228">
        <f>IF(ISNUMBER(VLOOKUP($A228,Haver_M!$B$1:$BZ$300,MATCH(data!N$1,Haver_M!$B$1:$BZ$1,0),FALSE)),VLOOKUP($A228,Haver_M!$B$1:$BZ$300,MATCH(data!N$1,Haver_M!$B$1:$BZ$1,0),FALSE),"")</f>
        <v>6.5</v>
      </c>
      <c r="O228">
        <f>IF(ISNUMBER(VLOOKUP($A228,Haver_M!$B$1:$BZ$300,MATCH(data!O$1,Haver_M!$B$1:$BZ$1,0),FALSE)),VLOOKUP($A228,Haver_M!$B$1:$BZ$300,MATCH(data!O$1,Haver_M!$B$1:$BZ$1,0),FALSE),"")</f>
        <v>7.6881000000000004</v>
      </c>
      <c r="P228">
        <f>IF(ISNUMBER(VLOOKUP($A228,Haver_M!$B$1:$BZ$300,MATCH(data!P$1,Haver_M!$B$1:$BZ$1,0),FALSE)),VLOOKUP($A228,Haver_M!$B$1:$BZ$300,MATCH(data!P$1,Haver_M!$B$1:$BZ$1,0),FALSE),"")</f>
        <v>89.119129999999998</v>
      </c>
      <c r="Q228">
        <f>IF(ISNUMBER(VLOOKUP($A228,Haver_M!$B$1:$BZ$300,MATCH(data!Q$1,Haver_M!$B$1:$BZ$1,0),FALSE)),VLOOKUP($A228,Haver_M!$B$1:$BZ$300,MATCH(data!Q$1,Haver_M!$B$1:$BZ$1,0),FALSE),"")</f>
        <v>140.80000000000001</v>
      </c>
      <c r="R228">
        <f>IF(ISNUMBER(VLOOKUP($A228,Haver_M!$B$1:$BZ$300,MATCH(data!R$1,Haver_M!$B$1:$BZ$1,0),FALSE)),VLOOKUP($A228,Haver_M!$B$1:$BZ$300,MATCH(data!R$1,Haver_M!$B$1:$BZ$1,0),FALSE),"")</f>
        <v>142.80000000000001</v>
      </c>
      <c r="S228">
        <f>IF(ISNUMBER(VLOOKUP($A228,Haver_M!$B$1:$BZ$300,MATCH(data!S$1,Haver_M!$B$1:$BZ$1,0),FALSE)),VLOOKUP($A228,Haver_M!$B$1:$BZ$300,MATCH(data!S$1,Haver_M!$B$1:$BZ$1,0),FALSE),"")</f>
        <v>131.24</v>
      </c>
      <c r="T228">
        <f>IF(ISNUMBER(VLOOKUP($A228,Haver_M!$B$1:$BZ$300,MATCH(data!T$1,Haver_M!$B$1:$BZ$1,0),FALSE)),VLOOKUP($A228,Haver_M!$B$1:$BZ$300,MATCH(data!T$1,Haver_M!$B$1:$BZ$1,0),FALSE),"")</f>
        <v>126.83</v>
      </c>
      <c r="U228">
        <f>IF(ISNUMBER(VLOOKUP($A228,Haver_M!$B$1:$BZ$300,MATCH(data!U$1,Haver_M!$B$1:$BZ$1,0),FALSE)),VLOOKUP($A228,Haver_M!$B$1:$BZ$300,MATCH(data!U$1,Haver_M!$B$1:$BZ$1,0),FALSE),"")</f>
        <v>105.37</v>
      </c>
      <c r="V228">
        <f>IF(ISNUMBER(VLOOKUP($A228,Haver_M!$B$1:$BZ$300,MATCH(data!V$1,Haver_M!$B$1:$BZ$1,0),FALSE)),VLOOKUP($A228,Haver_M!$B$1:$BZ$300,MATCH(data!V$1,Haver_M!$B$1:$BZ$1,0),FALSE),"")</f>
        <v>126.35</v>
      </c>
      <c r="W228">
        <f>IF(ISNUMBER(VLOOKUP($A228,Haver_M!$B$1:$BZ$300,MATCH(data!W$1,Haver_M!$B$1:$BZ$1,0),FALSE)),VLOOKUP($A228,Haver_M!$B$1:$BZ$300,MATCH(data!W$1,Haver_M!$B$1:$BZ$1,0),FALSE),"")</f>
        <v>143.99</v>
      </c>
      <c r="X228">
        <f>IF(ISNUMBER(VLOOKUP($A228,Haver_M!$B$1:$BZ$300,MATCH(data!X$1,Haver_M!$B$1:$BZ$1,0),FALSE)),VLOOKUP($A228,Haver_M!$B$1:$BZ$300,MATCH(data!X$1,Haver_M!$B$1:$BZ$1,0),FALSE),"")</f>
        <v>128.29</v>
      </c>
      <c r="Y228">
        <f>IF(ISNUMBER(VLOOKUP($A228,Haver_M!$B$1:$BZ$300,MATCH(data!Y$1,Haver_M!$B$1:$BZ$1,0),FALSE)),VLOOKUP($A228,Haver_M!$B$1:$BZ$300,MATCH(data!Y$1,Haver_M!$B$1:$BZ$1,0),FALSE),"")</f>
        <v>151.22999999999999</v>
      </c>
      <c r="Z228">
        <f>IF(ISNUMBER(VLOOKUP($A228,Haver_M!$B$1:$BZ$300,MATCH(data!Z$1,Haver_M!$B$1:$BZ$1,0),FALSE)),VLOOKUP($A228,Haver_M!$B$1:$BZ$300,MATCH(data!Z$1,Haver_M!$B$1:$BZ$1,0),FALSE),"")</f>
        <v>131.6</v>
      </c>
      <c r="AA228">
        <f>IF(ISNUMBER(VLOOKUP($A228,Haver_M!$B$1:$BZ$300,MATCH(data!AA$1,Haver_M!$B$1:$BZ$1,0),FALSE)),VLOOKUP($A228,Haver_M!$B$1:$BZ$300,MATCH(data!AA$1,Haver_M!$B$1:$BZ$1,0),FALSE),"")</f>
        <v>132.435</v>
      </c>
      <c r="AB228">
        <f>IF(ISNUMBER(VLOOKUP($A228,Haver_M!$B$1:$BZ$300,MATCH(data!AB$1,Haver_M!$B$1:$BZ$1,0),FALSE)),VLOOKUP($A228,Haver_M!$B$1:$BZ$300,MATCH(data!AB$1,Haver_M!$B$1:$BZ$1,0),FALSE),"")</f>
        <v>89.105000000000004</v>
      </c>
      <c r="AC228">
        <f>IF(ISNUMBER(VLOOKUP($A228,Haver_M!$B$1:$BZ$300,MATCH(data!AC$1,Haver_M!$B$1:$BZ$1,0),FALSE)),VLOOKUP($A228,Haver_M!$B$1:$BZ$300,MATCH(data!AC$1,Haver_M!$B$1:$BZ$1,0),FALSE),"")</f>
        <v>68.435000000000002</v>
      </c>
      <c r="AD228">
        <f>IF(ISNUMBER(VLOOKUP($A228,Haver_M!$B$1:$BZ$300,MATCH(data!AD$1,Haver_M!$B$1:$BZ$1,0),FALSE)),VLOOKUP($A228,Haver_M!$B$1:$BZ$300,MATCH(data!AD$1,Haver_M!$B$1:$BZ$1,0),FALSE),"")</f>
        <v>129.30500000000001</v>
      </c>
      <c r="AE228">
        <f>IF(ISNUMBER(VLOOKUP($A228,Haver_M!$B$1:$BZ$300,MATCH(data!AE$1,Haver_M!$B$1:$BZ$1,0),FALSE)),VLOOKUP($A228,Haver_M!$B$1:$BZ$300,MATCH(data!AE$1,Haver_M!$B$1:$BZ$1,0),FALSE),"")</f>
        <v>100.215</v>
      </c>
      <c r="AF228">
        <f>IF(ISNUMBER(VLOOKUP($A228,Haver_M!$B$1:$BZ$300,MATCH(data!AF$1,Haver_M!$B$1:$BZ$1,0),FALSE)),VLOOKUP($A228,Haver_M!$B$1:$BZ$300,MATCH(data!AF$1,Haver_M!$B$1:$BZ$1,0),FALSE),"")</f>
        <v>149.411</v>
      </c>
      <c r="AG228">
        <f>IF(ISNUMBER(VLOOKUP($A228,Haver_M!$B$1:$BZ$300,MATCH(data!AG$1,Haver_M!$B$1:$BZ$1,0),FALSE)),VLOOKUP($A228,Haver_M!$B$1:$BZ$300,MATCH(data!AG$1,Haver_M!$B$1:$BZ$1,0),FALSE),"")</f>
        <v>152.054</v>
      </c>
      <c r="AH228">
        <f>IF(ISNUMBER(VLOOKUP($A228,Haver_M!$B$1:$BZ$300,MATCH(data!AH$1,Haver_M!$B$1:$BZ$1,0),FALSE)),VLOOKUP($A228,Haver_M!$B$1:$BZ$300,MATCH(data!AH$1,Haver_M!$B$1:$BZ$1,0),FALSE),"")</f>
        <v>158.71700000000001</v>
      </c>
      <c r="AI228">
        <f>IF(ISNUMBER(VLOOKUP($A228,Haver_M!$B$1:$BZ$300,MATCH(data!AI$1,Haver_M!$B$1:$BZ$1,0),FALSE)),VLOOKUP($A228,Haver_M!$B$1:$BZ$300,MATCH(data!AI$1,Haver_M!$B$1:$BZ$1,0),FALSE),"")</f>
        <v>16741.190926403429</v>
      </c>
      <c r="AJ228">
        <f>IF(ISNUMBER(VLOOKUP($A228,Haver_M!$B$1:$BZ$300,MATCH(data!AJ$1,Haver_M!$B$1:$BZ$1,0),FALSE)),VLOOKUP($A228,Haver_M!$B$1:$BZ$300,MATCH(data!AJ$1,Haver_M!$B$1:$BZ$1,0),FALSE),"")</f>
        <v>27391.95</v>
      </c>
      <c r="AK228">
        <f>IF(ISNUMBER(VLOOKUP($A228,Haver_M!$B$1:$BZ$300,MATCH(data!AK$1,Haver_M!$B$1:$BZ$1,0),FALSE)),VLOOKUP($A228,Haver_M!$B$1:$BZ$300,MATCH(data!AK$1,Haver_M!$B$1:$BZ$1,0),FALSE),"")</f>
        <v>43228.19</v>
      </c>
      <c r="AL228">
        <f>IF(ISNUMBER(VLOOKUP($A228,Haver_M!$B$1:$BZ$300,MATCH(data!AL$1,Haver_M!$B$1:$BZ$1,0),FALSE)),VLOOKUP($A228,Haver_M!$B$1:$BZ$300,MATCH(data!AL$1,Haver_M!$B$1:$BZ$1,0),FALSE),"")</f>
        <v>16677</v>
      </c>
      <c r="AM228">
        <f>IF(ISNUMBER(VLOOKUP($A228,Haver_M!$B$1:$BZ$300,MATCH(data!AM$1,Haver_M!$B$1:$BZ$1,0),FALSE)),VLOOKUP($A228,Haver_M!$B$1:$BZ$300,MATCH(data!AM$1,Haver_M!$B$1:$BZ$1,0),FALSE),"")</f>
        <v>10109</v>
      </c>
      <c r="AN228">
        <f>IF(ISNUMBER(VLOOKUP($A228,Haver_M!$B$1:$BZ$300,MATCH(data!AN$1,Haver_M!$B$1:$BZ$1,0),FALSE)),VLOOKUP($A228,Haver_M!$B$1:$BZ$300,MATCH(data!AN$1,Haver_M!$B$1:$BZ$1,0),FALSE),"")</f>
        <v>93.9</v>
      </c>
      <c r="AO228">
        <f>IF(ISNUMBER(VLOOKUP($A228,Haver_M!$B$1:$BZ$300,MATCH(data!AO$1,Haver_M!$B$1:$BZ$1,0),FALSE)),VLOOKUP($A228,Haver_M!$B$1:$BZ$300,MATCH(data!AO$1,Haver_M!$B$1:$BZ$1,0),FALSE),"")</f>
        <v>120</v>
      </c>
      <c r="AP228">
        <f>IF(ISNUMBER(VLOOKUP($A228,Haver_M!$B$1:$BZ$300,MATCH(data!AP$1,Haver_M!$B$1:$BZ$1,0),FALSE)),VLOOKUP($A228,Haver_M!$B$1:$BZ$300,MATCH(data!AP$1,Haver_M!$B$1:$BZ$1,0),FALSE),"")</f>
        <v>72.905748627880598</v>
      </c>
      <c r="AQ228">
        <f>IF(ISNUMBER(VLOOKUP($A228,Haver_M!$B$1:$BZ$300,MATCH(data!AQ$1,Haver_M!$B$1:$BZ$1,0),FALSE)),VLOOKUP($A228,Haver_M!$B$1:$BZ$300,MATCH(data!AQ$1,Haver_M!$B$1:$BZ$1,0),FALSE),"")</f>
        <v>54.474800000000002</v>
      </c>
      <c r="AR228">
        <f>IF(ISNUMBER(VLOOKUP($A228,Haver_M!$B$1:$BZ$300,MATCH(data!AR$1,Haver_M!$B$1:$BZ$1,0),FALSE)),VLOOKUP($A228,Haver_M!$B$1:$BZ$300,MATCH(data!AR$1,Haver_M!$B$1:$BZ$1,0),FALSE),"")</f>
        <v>53.999099999999999</v>
      </c>
      <c r="AS228">
        <f>IF(ISNUMBER(VLOOKUP($A228,Haver_M!$B$1:$BZ$300,MATCH(data!AS$1,Haver_M!$B$1:$BZ$1,0),FALSE)),VLOOKUP($A228,Haver_M!$B$1:$BZ$300,MATCH(data!AS$1,Haver_M!$B$1:$BZ$1,0),FALSE),"")</f>
        <v>53.652299999999997</v>
      </c>
      <c r="AT228">
        <f>IF(ISNUMBER(VLOOKUP($A228,Haver_M!$B$1:$BZ$300,MATCH(data!AT$1,Haver_M!$B$1:$BZ$1,0),FALSE)),VLOOKUP($A228,Haver_M!$B$1:$BZ$300,MATCH(data!AT$1,Haver_M!$B$1:$BZ$1,0),FALSE),"")</f>
        <v>56.290599999999998</v>
      </c>
      <c r="AU228">
        <f>IF(ISNUMBER(VLOOKUP($A228,Haver_M!$B$1:$BZ$300,MATCH(data!AU$1,Haver_M!$B$1:$BZ$1,0),FALSE)),VLOOKUP($A228,Haver_M!$B$1:$BZ$300,MATCH(data!AU$1,Haver_M!$B$1:$BZ$1,0),FALSE),"")</f>
        <v>55.883400000000002</v>
      </c>
      <c r="AV228">
        <f>IF(ISNUMBER(VLOOKUP($A228,Haver_M!$B$1:$BZ$300,MATCH(data!AV$1,Haver_M!$B$1:$BZ$1,0),FALSE)),VLOOKUP($A228,Haver_M!$B$1:$BZ$300,MATCH(data!AV$1,Haver_M!$B$1:$BZ$1,0),FALSE),"")</f>
        <v>52.398899999999998</v>
      </c>
      <c r="AW228">
        <f>IF(ISNUMBER(VLOOKUP($A228,Haver_M!$B$1:$BZ$300,MATCH(data!AW$1,Haver_M!$B$1:$BZ$1,0),FALSE)),VLOOKUP($A228,Haver_M!$B$1:$BZ$300,MATCH(data!AW$1,Haver_M!$B$1:$BZ$1,0),FALSE),"")</f>
        <v>49.799799999999998</v>
      </c>
      <c r="AX228">
        <f>IF(ISNUMBER(VLOOKUP($A228,Haver_M!$B$1:$BZ$300,MATCH(data!AX$1,Haver_M!$B$1:$BZ$1,0),FALSE)),VLOOKUP($A228,Haver_M!$B$1:$BZ$300,MATCH(data!AX$1,Haver_M!$B$1:$BZ$1,0),FALSE),"")</f>
        <v>51.515999999999998</v>
      </c>
      <c r="AY228">
        <f>IF(ISNUMBER(VLOOKUP($A228,Haver_M!$B$1:$BZ$300,MATCH(data!AY$1,Haver_M!$B$1:$BZ$1,0),FALSE)),VLOOKUP($A228,Haver_M!$B$1:$BZ$300,MATCH(data!AY$1,Haver_M!$B$1:$BZ$1,0),FALSE),"")</f>
        <v>54.324599999999997</v>
      </c>
      <c r="AZ228">
        <f>IF(ISNUMBER(VLOOKUP($A228,Haver_M!$B$1:$BZ$300,MATCH(data!AZ$1,Haver_M!$B$1:$BZ$1,0),FALSE)),VLOOKUP($A228,Haver_M!$B$1:$BZ$300,MATCH(data!AZ$1,Haver_M!$B$1:$BZ$1,0),FALSE),"")</f>
        <v>52.587699999999998</v>
      </c>
      <c r="BA228">
        <f>IF(ISNUMBER(VLOOKUP($A228,Haver_M!$B$1:$BZ$300,MATCH(data!BA$1,Haver_M!$B$1:$BZ$1,0),FALSE)),VLOOKUP($A228,Haver_M!$B$1:$BZ$300,MATCH(data!BA$1,Haver_M!$B$1:$BZ$1,0),FALSE),"")</f>
        <v>51.515999999999998</v>
      </c>
      <c r="BB228">
        <f>IF(ISNUMBER(VLOOKUP($A228,Haver_M!$B$1:$BZ$300,MATCH(data!BB$1,Haver_M!$B$1:$BZ$1,0),FALSE)),VLOOKUP($A228,Haver_M!$B$1:$BZ$300,MATCH(data!BB$1,Haver_M!$B$1:$BZ$1,0),FALSE),"")</f>
        <v>54.619700000000002</v>
      </c>
      <c r="BC228">
        <f>IF(ISNUMBER(VLOOKUP($A228,Haver_M!$B$1:$BZ$300,MATCH(data!BC$1,Haver_M!$B$1:$BZ$1,0),FALSE)),VLOOKUP($A228,Haver_M!$B$1:$BZ$300,MATCH(data!BC$1,Haver_M!$B$1:$BZ$1,0),FALSE),"")</f>
        <v>52.651899999999998</v>
      </c>
      <c r="BD228">
        <f>IF(ISNUMBER(VLOOKUP($A228,Haver_M!$B$1:$BZ$300,MATCH(data!BD$1,Haver_M!$B$1:$BZ$1,0),FALSE)),VLOOKUP($A228,Haver_M!$B$1:$BZ$300,MATCH(data!BD$1,Haver_M!$B$1:$BZ$1,0),FALSE),"")</f>
        <v>50.8934</v>
      </c>
      <c r="BE228">
        <f>IF(ISNUMBER(VLOOKUP($A228,Haver_M!$B$1:$BZ$300,MATCH(data!BE$1,Haver_M!$B$1:$BZ$1,0),FALSE)),VLOOKUP($A228,Haver_M!$B$1:$BZ$300,MATCH(data!BE$1,Haver_M!$B$1:$BZ$1,0),FALSE),"")</f>
        <v>1.1751</v>
      </c>
      <c r="BF228">
        <f>IF(ISNUMBER(VLOOKUP($A228,Haver_M!$B$1:$BZ$300,MATCH(data!BF$1,Haver_M!$B$1:$BZ$1,0),FALSE)),VLOOKUP($A228,Haver_M!$B$1:$BZ$300,MATCH(data!BF$1,Haver_M!$B$1:$BZ$1,0),FALSE),"")</f>
        <v>51.629399999999997</v>
      </c>
      <c r="BG228">
        <f>IF(ISNUMBER(VLOOKUP($A228,Haver_M!$B$1:$BZ$300,MATCH(data!BG$1,Haver_M!$B$1:$BZ$1,0),FALSE)),VLOOKUP($A228,Haver_M!$B$1:$BZ$300,MATCH(data!BG$1,Haver_M!$B$1:$BZ$1,0),FALSE),"")</f>
        <v>51.0608</v>
      </c>
      <c r="BH228">
        <f>IF(ISNUMBER(VLOOKUP($A228,Haver_M!$B$1:$BZ$300,MATCH(data!BH$1,Haver_M!$B$1:$BZ$1,0),FALSE)),VLOOKUP($A228,Haver_M!$B$1:$BZ$300,MATCH(data!BH$1,Haver_M!$B$1:$BZ$1,0),FALSE),"")</f>
        <v>53.257399999999997</v>
      </c>
      <c r="BI228">
        <f>IF(ISNUMBER(VLOOKUP($A228,Haver_M!$B$1:$BZ$300,MATCH(data!BI$1,Haver_M!$B$1:$BZ$1,0),FALSE)),VLOOKUP($A228,Haver_M!$B$1:$BZ$300,MATCH(data!BI$1,Haver_M!$B$1:$BZ$1,0),FALSE),"")</f>
        <v>52.668700000000001</v>
      </c>
      <c r="BJ228">
        <f>IF(ISNUMBER(VLOOKUP($A228,Haver_M!$B$1:$BZ$300,MATCH(data!BJ$1,Haver_M!$B$1:$BZ$1,0),FALSE)),VLOOKUP($A228,Haver_M!$B$1:$BZ$300,MATCH(data!BJ$1,Haver_M!$B$1:$BZ$1,0),FALSE),"")</f>
        <v>49.068199999999997</v>
      </c>
      <c r="BK228">
        <f>IF(ISNUMBER(VLOOKUP($A228,Haver_M!$B$1:$BZ$300,MATCH(data!BK$1,Haver_M!$B$1:$BZ$1,0),FALSE)),VLOOKUP($A228,Haver_M!$B$1:$BZ$300,MATCH(data!BK$1,Haver_M!$B$1:$BZ$1,0),FALSE),"")</f>
        <v>52.752899999999997</v>
      </c>
      <c r="BL228">
        <f>IF(ISNUMBER(VLOOKUP($A228,Haver_M!$B$1:$BZ$300,MATCH(data!BL$1,Haver_M!$B$1:$BZ$1,0),FALSE)),VLOOKUP($A228,Haver_M!$B$1:$BZ$300,MATCH(data!BL$1,Haver_M!$B$1:$BZ$1,0),FALSE),"")</f>
        <v>35298.949999999997</v>
      </c>
      <c r="BM228">
        <f>IF(ISNUMBER(VLOOKUP($A228,Haver_M!$B$1:$BZ$300,MATCH(data!BM$1,Haver_M!$B$1:$BZ$1,0),FALSE)),VLOOKUP($A228,Haver_M!$B$1:$BZ$300,MATCH(data!BM$1,Haver_M!$B$1:$BZ$1,0),FALSE),"")</f>
        <v>99.567640350000005</v>
      </c>
      <c r="BN228" t="str">
        <f>IF(ISNUMBER(VLOOKUP($A228,Haver_M!$B$1:$BZ$300,MATCH(data!BN$1,Haver_M!$B$1:$BZ$1,0),FALSE)),VLOOKUP($A228,Haver_M!$B$1:$BZ$300,MATCH(data!BN$1,Haver_M!$B$1:$BZ$1,0),FALSE),"")</f>
        <v/>
      </c>
      <c r="BO228" t="str">
        <f>IF(ISNUMBER(VLOOKUP($A228,Haver_M!$B$1:$BZ$300,MATCH(data!BO$1,Haver_M!$B$1:$BZ$1,0),FALSE)),VLOOKUP($A228,Haver_M!$B$1:$BZ$300,MATCH(data!BO$1,Haver_M!$B$1:$BZ$1,0),FALSE),"")</f>
        <v/>
      </c>
      <c r="BP228" t="str">
        <f>IF(ISNUMBER(VLOOKUP($A228,Haver_M!$B$1:$BZ$300,MATCH(data!BP$1,Haver_M!$B$1:$BZ$1,0),FALSE)),VLOOKUP($A228,Haver_M!$B$1:$BZ$300,MATCH(data!BP$1,Haver_M!$B$1:$BZ$1,0),FALSE),"")</f>
        <v/>
      </c>
      <c r="BQ228">
        <f>IF(ISNUMBER(VLOOKUP($A228,Haver_M!$B$1:$BZ$300,MATCH(data!BQ$1,Haver_M!$B$1:$BZ$1,0),FALSE)),VLOOKUP($A228,Haver_M!$B$1:$BZ$300,MATCH(data!BQ$1,Haver_M!$B$1:$BZ$1,0),FALSE),"")</f>
        <v>287.55118002844642</v>
      </c>
      <c r="BR228">
        <f>IF(ISNUMBER(VLOOKUP($A228,Haver_M!$B$1:$BZ$300,MATCH(data!BR$1,Haver_M!$B$1:$BZ$1,0),FALSE)),VLOOKUP($A228,Haver_M!$B$1:$BZ$300,MATCH(data!BR$1,Haver_M!$B$1:$BZ$1,0),FALSE),"")</f>
        <v>376.92925396149423</v>
      </c>
      <c r="BS228">
        <f>IF(ISNUMBER(VLOOKUP($A228,Haver_M!$B$1:$BZ$300,MATCH(data!BS$1,Haver_M!$B$1:$BZ$1,0),FALSE)),VLOOKUP($A228,Haver_M!$B$1:$BZ$300,MATCH(data!BS$1,Haver_M!$B$1:$BZ$1,0),FALSE),"")</f>
        <v>313.66503280253625</v>
      </c>
      <c r="BT228">
        <f>IF(ISNUMBER(VLOOKUP($A228,Haver_M!$B$1:$BZ$300,MATCH(data!BT$1,Haver_M!$B$1:$BZ$1,0),FALSE)),VLOOKUP($A228,Haver_M!$B$1:$BZ$300,MATCH(data!BT$1,Haver_M!$B$1:$BZ$1,0),FALSE),"")</f>
        <v>1126.3278973254171</v>
      </c>
      <c r="BU228">
        <f>IF(ISNUMBER(VLOOKUP($A228,Haver_M!$B$1:$BZ$300,MATCH(data!BU$1,Haver_M!$B$1:$BZ$1,0),FALSE)),VLOOKUP($A228,Haver_M!$B$1:$BZ$300,MATCH(data!BU$1,Haver_M!$B$1:$BZ$1,0),FALSE),"")</f>
        <v>26071.56</v>
      </c>
      <c r="BV228">
        <f>IF(ISNUMBER(VLOOKUP($A228,Haver_M!$B$1:$BZ$300,MATCH(data!BV$1,Haver_M!$B$1:$BZ$1,0),FALSE)),VLOOKUP($A228,Haver_M!$B$1:$BZ$300,MATCH(data!BV$1,Haver_M!$B$1:$BZ$1,0),FALSE),"")</f>
        <v>43655.19</v>
      </c>
      <c r="BW228">
        <f>IF(ISNUMBER(VLOOKUP($A228,Haver_M!$B$1:$BZ$300,MATCH(data!BW$1,Haver_M!$B$1:$BZ$1,0),FALSE)),VLOOKUP($A228,Haver_M!$B$1:$BZ$300,MATCH(data!BW$1,Haver_M!$B$1:$BZ$1,0),FALSE),"")</f>
        <v>71.854200000000006</v>
      </c>
      <c r="BX228">
        <f>IF(ISNUMBER(VLOOKUP($A228,Haver_M!$B$1:$BZ$300,MATCH(data!BX$1,Haver_M!$B$1:$BZ$1,0),FALSE)),VLOOKUP($A228,Haver_M!$B$1:$BZ$300,MATCH(data!BX$1,Haver_M!$B$1:$BZ$1,0),FALSE),"")</f>
        <v>72275</v>
      </c>
    </row>
    <row r="229" spans="1:76" x14ac:dyDescent="0.25">
      <c r="A229" s="2">
        <v>43465</v>
      </c>
      <c r="B229">
        <f>IF(ISNUMBER(VLOOKUP($A229,Haver_Q!$B$1:$L$185,MATCH(data!B$1,Haver_Q!$B$1:$L$1,0),FALSE)),100*(VLOOKUP($A229,Haver_Q!$B$1:$L$185,MATCH(data!B$1,Haver_Q!$B$1:$L$1,0),FALSE)),"")</f>
        <v>6.8743141135315877</v>
      </c>
      <c r="C229">
        <f>IF(ISNUMBER(VLOOKUP($A229,Haver_Q!$B$1:$L$185,MATCH(data!C$1,Haver_Q!$B$1:$L$1,0),FALSE)),100*(VLOOKUP($A229,Haver_Q!$B$1:$L$185,MATCH(data!C$1,Haver_Q!$B$1:$L$1,0),FALSE)),"")</f>
        <v>3.8083167722139155</v>
      </c>
      <c r="D229">
        <f>IF(ISNUMBER(VLOOKUP($A229,Haver_Q!$B$1:$L$185,MATCH(data!D$1,Haver_Q!$B$1:$L$1,0),FALSE)),100*(VLOOKUP($A229,Haver_Q!$B$1:$L$185,MATCH(data!D$1,Haver_Q!$B$1:$L$1,0),FALSE)),"")</f>
        <v>4.9981267988098432</v>
      </c>
      <c r="E229">
        <f>IF(ISNUMBER(VLOOKUP($A229,Haver_Q!$B$1:$L$185,MATCH(data!E$1,Haver_Q!$B$1:$L$1,0),FALSE)),100*(VLOOKUP($A229,Haver_Q!$B$1:$L$185,MATCH(data!E$1,Haver_Q!$B$1:$L$1,0),FALSE)),"")</f>
        <v>10.869122363986893</v>
      </c>
      <c r="F229">
        <f>IF(ISNUMBER(VLOOKUP($A229,Haver_Q!$B$1:$L$185,MATCH(data!F$1,Haver_Q!$B$1:$L$1,0),FALSE)),100*(VLOOKUP($A229,Haver_Q!$B$1:$L$185,MATCH(data!F$1,Haver_Q!$B$1:$L$1,0),FALSE)),"")</f>
        <v>23.365892090579777</v>
      </c>
      <c r="G229">
        <f>IF(ISNUMBER(VLOOKUP($A229,Haver_Q!$B$1:$L$185,MATCH(data!G$1,Haver_Q!$B$1:$L$1,0),FALSE)),100*(VLOOKUP($A229,Haver_Q!$B$1:$L$185,MATCH(data!G$1,Haver_Q!$B$1:$L$1,0),FALSE)),"")</f>
        <v>-7.8344543091730117</v>
      </c>
      <c r="H229">
        <f>IF(ISNUMBER(VLOOKUP($A229,Haver_Q!$B$1:$L$185,MATCH(data!H$1,Haver_Q!$B$1:$L$1,0),FALSE)),(VLOOKUP($A229,Haver_Q!$B$1:$L$185,MATCH(data!H$1,Haver_Q!$B$1:$L$1,0),FALSE)),"")</f>
        <v>2.7438063877121222</v>
      </c>
      <c r="I229">
        <f>IF(ISNUMBER(VLOOKUP($A229,Haver_Q!$B$1:$L$185,MATCH(data!I$1,Haver_Q!$B$1:$L$1,0),FALSE)),100*(VLOOKUP($A229,Haver_Q!$B$1:$L$185,MATCH(data!I$1,Haver_Q!$B$1:$L$1,0),FALSE)),"")</f>
        <v>6.5768921552123327</v>
      </c>
      <c r="J229" s="3">
        <f>IF(ISNUMBER(Bloomberg_m!C245),Bloomberg_m!C245,"")</f>
        <v>1335</v>
      </c>
      <c r="K229" s="3">
        <f>IF(ISNUMBER(Bloomberg_m!D245),Bloomberg_m!D245,"")</f>
        <v>1616.01</v>
      </c>
      <c r="L229" s="3">
        <f>IF(ISNUMBER(Bloomberg_m!E245),Bloomberg_m!E245,"")</f>
        <v>863.71</v>
      </c>
      <c r="M229" s="3">
        <f>IF(ISNUMBER(Bloomberg_m!F245),Bloomberg_m!F245,"")</f>
        <v>381.79</v>
      </c>
      <c r="N229">
        <f>IF(ISNUMBER(VLOOKUP($A229,Haver_M!$B$1:$BZ$300,MATCH(data!N$1,Haver_M!$B$1:$BZ$1,0),FALSE)),VLOOKUP($A229,Haver_M!$B$1:$BZ$300,MATCH(data!N$1,Haver_M!$B$1:$BZ$1,0),FALSE),"")</f>
        <v>6.5</v>
      </c>
      <c r="O229">
        <f>IF(ISNUMBER(VLOOKUP($A229,Haver_M!$B$1:$BZ$300,MATCH(data!O$1,Haver_M!$B$1:$BZ$1,0),FALSE)),VLOOKUP($A229,Haver_M!$B$1:$BZ$300,MATCH(data!O$1,Haver_M!$B$1:$BZ$1,0),FALSE),"")</f>
        <v>7.4371</v>
      </c>
      <c r="P229">
        <f>IF(ISNUMBER(VLOOKUP($A229,Haver_M!$B$1:$BZ$300,MATCH(data!P$1,Haver_M!$B$1:$BZ$1,0),FALSE)),VLOOKUP($A229,Haver_M!$B$1:$BZ$300,MATCH(data!P$1,Haver_M!$B$1:$BZ$1,0),FALSE),"")</f>
        <v>89.403260000000003</v>
      </c>
      <c r="Q229">
        <f>IF(ISNUMBER(VLOOKUP($A229,Haver_M!$B$1:$BZ$300,MATCH(data!Q$1,Haver_M!$B$1:$BZ$1,0),FALSE)),VLOOKUP($A229,Haver_M!$B$1:$BZ$300,MATCH(data!Q$1,Haver_M!$B$1:$BZ$1,0),FALSE),"")</f>
        <v>140.1</v>
      </c>
      <c r="R229">
        <f>IF(ISNUMBER(VLOOKUP($A229,Haver_M!$B$1:$BZ$300,MATCH(data!R$1,Haver_M!$B$1:$BZ$1,0),FALSE)),VLOOKUP($A229,Haver_M!$B$1:$BZ$300,MATCH(data!R$1,Haver_M!$B$1:$BZ$1,0),FALSE),"")</f>
        <v>143.5</v>
      </c>
      <c r="S229">
        <f>IF(ISNUMBER(VLOOKUP($A229,Haver_M!$B$1:$BZ$300,MATCH(data!S$1,Haver_M!$B$1:$BZ$1,0),FALSE)),VLOOKUP($A229,Haver_M!$B$1:$BZ$300,MATCH(data!S$1,Haver_M!$B$1:$BZ$1,0),FALSE),"")</f>
        <v>131.27000000000001</v>
      </c>
      <c r="T229">
        <f>IF(ISNUMBER(VLOOKUP($A229,Haver_M!$B$1:$BZ$300,MATCH(data!T$1,Haver_M!$B$1:$BZ$1,0),FALSE)),VLOOKUP($A229,Haver_M!$B$1:$BZ$300,MATCH(data!T$1,Haver_M!$B$1:$BZ$1,0),FALSE),"")</f>
        <v>122.73</v>
      </c>
      <c r="U229">
        <f>IF(ISNUMBER(VLOOKUP($A229,Haver_M!$B$1:$BZ$300,MATCH(data!U$1,Haver_M!$B$1:$BZ$1,0),FALSE)),VLOOKUP($A229,Haver_M!$B$1:$BZ$300,MATCH(data!U$1,Haver_M!$B$1:$BZ$1,0),FALSE),"")</f>
        <v>113.26</v>
      </c>
      <c r="V229">
        <f>IF(ISNUMBER(VLOOKUP($A229,Haver_M!$B$1:$BZ$300,MATCH(data!V$1,Haver_M!$B$1:$BZ$1,0),FALSE)),VLOOKUP($A229,Haver_M!$B$1:$BZ$300,MATCH(data!V$1,Haver_M!$B$1:$BZ$1,0),FALSE),"")</f>
        <v>127.11</v>
      </c>
      <c r="W229">
        <f>IF(ISNUMBER(VLOOKUP($A229,Haver_M!$B$1:$BZ$300,MATCH(data!W$1,Haver_M!$B$1:$BZ$1,0),FALSE)),VLOOKUP($A229,Haver_M!$B$1:$BZ$300,MATCH(data!W$1,Haver_M!$B$1:$BZ$1,0),FALSE),"")</f>
        <v>145.66999999999999</v>
      </c>
      <c r="X229">
        <f>IF(ISNUMBER(VLOOKUP($A229,Haver_M!$B$1:$BZ$300,MATCH(data!X$1,Haver_M!$B$1:$BZ$1,0),FALSE)),VLOOKUP($A229,Haver_M!$B$1:$BZ$300,MATCH(data!X$1,Haver_M!$B$1:$BZ$1,0),FALSE),"")</f>
        <v>129.68</v>
      </c>
      <c r="Y229">
        <f>IF(ISNUMBER(VLOOKUP($A229,Haver_M!$B$1:$BZ$300,MATCH(data!Y$1,Haver_M!$B$1:$BZ$1,0),FALSE)),VLOOKUP($A229,Haver_M!$B$1:$BZ$300,MATCH(data!Y$1,Haver_M!$B$1:$BZ$1,0),FALSE),"")</f>
        <v>151</v>
      </c>
      <c r="Z229">
        <f>IF(ISNUMBER(VLOOKUP($A229,Haver_M!$B$1:$BZ$300,MATCH(data!Z$1,Haver_M!$B$1:$BZ$1,0),FALSE)),VLOOKUP($A229,Haver_M!$B$1:$BZ$300,MATCH(data!Z$1,Haver_M!$B$1:$BZ$1,0),FALSE),"")</f>
        <v>129.19999999999999</v>
      </c>
      <c r="AA229">
        <f>IF(ISNUMBER(VLOOKUP($A229,Haver_M!$B$1:$BZ$300,MATCH(data!AA$1,Haver_M!$B$1:$BZ$1,0),FALSE)),VLOOKUP($A229,Haver_M!$B$1:$BZ$300,MATCH(data!AA$1,Haver_M!$B$1:$BZ$1,0),FALSE),"")</f>
        <v>128.15600000000001</v>
      </c>
      <c r="AB229">
        <f>IF(ISNUMBER(VLOOKUP($A229,Haver_M!$B$1:$BZ$300,MATCH(data!AB$1,Haver_M!$B$1:$BZ$1,0),FALSE)),VLOOKUP($A229,Haver_M!$B$1:$BZ$300,MATCH(data!AB$1,Haver_M!$B$1:$BZ$1,0),FALSE),"")</f>
        <v>88.971999999999994</v>
      </c>
      <c r="AC229">
        <f>IF(ISNUMBER(VLOOKUP($A229,Haver_M!$B$1:$BZ$300,MATCH(data!AC$1,Haver_M!$B$1:$BZ$1,0),FALSE)),VLOOKUP($A229,Haver_M!$B$1:$BZ$300,MATCH(data!AC$1,Haver_M!$B$1:$BZ$1,0),FALSE),"")</f>
        <v>69.975999999999999</v>
      </c>
      <c r="AD229">
        <f>IF(ISNUMBER(VLOOKUP($A229,Haver_M!$B$1:$BZ$300,MATCH(data!AD$1,Haver_M!$B$1:$BZ$1,0),FALSE)),VLOOKUP($A229,Haver_M!$B$1:$BZ$300,MATCH(data!AD$1,Haver_M!$B$1:$BZ$1,0),FALSE),"")</f>
        <v>122.477</v>
      </c>
      <c r="AE229">
        <f>IF(ISNUMBER(VLOOKUP($A229,Haver_M!$B$1:$BZ$300,MATCH(data!AE$1,Haver_M!$B$1:$BZ$1,0),FALSE)),VLOOKUP($A229,Haver_M!$B$1:$BZ$300,MATCH(data!AE$1,Haver_M!$B$1:$BZ$1,0),FALSE),"")</f>
        <v>103.89</v>
      </c>
      <c r="AF229">
        <f>IF(ISNUMBER(VLOOKUP($A229,Haver_M!$B$1:$BZ$300,MATCH(data!AF$1,Haver_M!$B$1:$BZ$1,0),FALSE)),VLOOKUP($A229,Haver_M!$B$1:$BZ$300,MATCH(data!AF$1,Haver_M!$B$1:$BZ$1,0),FALSE),"")</f>
        <v>149.87899999999999</v>
      </c>
      <c r="AG229">
        <f>IF(ISNUMBER(VLOOKUP($A229,Haver_M!$B$1:$BZ$300,MATCH(data!AG$1,Haver_M!$B$1:$BZ$1,0),FALSE)),VLOOKUP($A229,Haver_M!$B$1:$BZ$300,MATCH(data!AG$1,Haver_M!$B$1:$BZ$1,0),FALSE),"")</f>
        <v>150.52600000000001</v>
      </c>
      <c r="AH229">
        <f>IF(ISNUMBER(VLOOKUP($A229,Haver_M!$B$1:$BZ$300,MATCH(data!AH$1,Haver_M!$B$1:$BZ$1,0),FALSE)),VLOOKUP($A229,Haver_M!$B$1:$BZ$300,MATCH(data!AH$1,Haver_M!$B$1:$BZ$1,0),FALSE),"")</f>
        <v>157.88999999999999</v>
      </c>
      <c r="AI229">
        <f>IF(ISNUMBER(VLOOKUP($A229,Haver_M!$B$1:$BZ$300,MATCH(data!AI$1,Haver_M!$B$1:$BZ$1,0),FALSE)),VLOOKUP($A229,Haver_M!$B$1:$BZ$300,MATCH(data!AI$1,Haver_M!$B$1:$BZ$1,0),FALSE),"")</f>
        <v>18286.962122480767</v>
      </c>
      <c r="AJ229">
        <f>IF(ISNUMBER(VLOOKUP($A229,Haver_M!$B$1:$BZ$300,MATCH(data!AJ$1,Haver_M!$B$1:$BZ$1,0),FALSE)),VLOOKUP($A229,Haver_M!$B$1:$BZ$300,MATCH(data!AJ$1,Haver_M!$B$1:$BZ$1,0),FALSE),"")</f>
        <v>26987.360000000001</v>
      </c>
      <c r="AK229">
        <f>IF(ISNUMBER(VLOOKUP($A229,Haver_M!$B$1:$BZ$300,MATCH(data!AK$1,Haver_M!$B$1:$BZ$1,0),FALSE)),VLOOKUP($A229,Haver_M!$B$1:$BZ$300,MATCH(data!AK$1,Haver_M!$B$1:$BZ$1,0),FALSE),"")</f>
        <v>41856.519999999997</v>
      </c>
      <c r="AL229">
        <f>IF(ISNUMBER(VLOOKUP($A229,Haver_M!$B$1:$BZ$300,MATCH(data!AL$1,Haver_M!$B$1:$BZ$1,0),FALSE)),VLOOKUP($A229,Haver_M!$B$1:$BZ$300,MATCH(data!AL$1,Haver_M!$B$1:$BZ$1,0),FALSE),"")</f>
        <v>17927</v>
      </c>
      <c r="AM229">
        <f>IF(ISNUMBER(VLOOKUP($A229,Haver_M!$B$1:$BZ$300,MATCH(data!AM$1,Haver_M!$B$1:$BZ$1,0),FALSE)),VLOOKUP($A229,Haver_M!$B$1:$BZ$300,MATCH(data!AM$1,Haver_M!$B$1:$BZ$1,0),FALSE),"")</f>
        <v>11376</v>
      </c>
      <c r="AN229">
        <f>IF(ISNUMBER(VLOOKUP($A229,Haver_M!$B$1:$BZ$300,MATCH(data!AN$1,Haver_M!$B$1:$BZ$1,0),FALSE)),VLOOKUP($A229,Haver_M!$B$1:$BZ$300,MATCH(data!AN$1,Haver_M!$B$1:$BZ$1,0),FALSE),"")</f>
        <v>96.7</v>
      </c>
      <c r="AO229">
        <f>IF(ISNUMBER(VLOOKUP($A229,Haver_M!$B$1:$BZ$300,MATCH(data!AO$1,Haver_M!$B$1:$BZ$1,0),FALSE)),VLOOKUP($A229,Haver_M!$B$1:$BZ$300,MATCH(data!AO$1,Haver_M!$B$1:$BZ$1,0),FALSE),"")</f>
        <v>128.9</v>
      </c>
      <c r="AP229">
        <f>IF(ISNUMBER(VLOOKUP($A229,Haver_M!$B$1:$BZ$300,MATCH(data!AP$1,Haver_M!$B$1:$BZ$1,0),FALSE)),VLOOKUP($A229,Haver_M!$B$1:$BZ$300,MATCH(data!AP$1,Haver_M!$B$1:$BZ$1,0),FALSE),"")</f>
        <v>48.00378023500275</v>
      </c>
      <c r="AQ229">
        <f>IF(ISNUMBER(VLOOKUP($A229,Haver_M!$B$1:$BZ$300,MATCH(data!AQ$1,Haver_M!$B$1:$BZ$1,0),FALSE)),VLOOKUP($A229,Haver_M!$B$1:$BZ$300,MATCH(data!AQ$1,Haver_M!$B$1:$BZ$1,0),FALSE),"")</f>
        <v>53.579599999999999</v>
      </c>
      <c r="AR229">
        <f>IF(ISNUMBER(VLOOKUP($A229,Haver_M!$B$1:$BZ$300,MATCH(data!AR$1,Haver_M!$B$1:$BZ$1,0),FALSE)),VLOOKUP($A229,Haver_M!$B$1:$BZ$300,MATCH(data!AR$1,Haver_M!$B$1:$BZ$1,0),FALSE),"")</f>
        <v>53.192599999999999</v>
      </c>
      <c r="AS229">
        <f>IF(ISNUMBER(VLOOKUP($A229,Haver_M!$B$1:$BZ$300,MATCH(data!AS$1,Haver_M!$B$1:$BZ$1,0),FALSE)),VLOOKUP($A229,Haver_M!$B$1:$BZ$300,MATCH(data!AS$1,Haver_M!$B$1:$BZ$1,0),FALSE),"")</f>
        <v>53.203000000000003</v>
      </c>
      <c r="AT229">
        <f>IF(ISNUMBER(VLOOKUP($A229,Haver_M!$B$1:$BZ$300,MATCH(data!AT$1,Haver_M!$B$1:$BZ$1,0),FALSE)),VLOOKUP($A229,Haver_M!$B$1:$BZ$300,MATCH(data!AT$1,Haver_M!$B$1:$BZ$1,0),FALSE),"")</f>
        <v>54.411099999999998</v>
      </c>
      <c r="AU229">
        <f>IF(ISNUMBER(VLOOKUP($A229,Haver_M!$B$1:$BZ$300,MATCH(data!AU$1,Haver_M!$B$1:$BZ$1,0),FALSE)),VLOOKUP($A229,Haver_M!$B$1:$BZ$300,MATCH(data!AU$1,Haver_M!$B$1:$BZ$1,0),FALSE),"")</f>
        <v>55.615600000000001</v>
      </c>
      <c r="AV229">
        <f>IF(ISNUMBER(VLOOKUP($A229,Haver_M!$B$1:$BZ$300,MATCH(data!AV$1,Haver_M!$B$1:$BZ$1,0),FALSE)),VLOOKUP($A229,Haver_M!$B$1:$BZ$300,MATCH(data!AV$1,Haver_M!$B$1:$BZ$1,0),FALSE),"")</f>
        <v>51.438099999999999</v>
      </c>
      <c r="AW229">
        <f>IF(ISNUMBER(VLOOKUP($A229,Haver_M!$B$1:$BZ$300,MATCH(data!AW$1,Haver_M!$B$1:$BZ$1,0),FALSE)),VLOOKUP($A229,Haver_M!$B$1:$BZ$300,MATCH(data!AW$1,Haver_M!$B$1:$BZ$1,0),FALSE),"")</f>
        <v>49.872900000000001</v>
      </c>
      <c r="AX229">
        <f>IF(ISNUMBER(VLOOKUP($A229,Haver_M!$B$1:$BZ$300,MATCH(data!AX$1,Haver_M!$B$1:$BZ$1,0),FALSE)),VLOOKUP($A229,Haver_M!$B$1:$BZ$300,MATCH(data!AX$1,Haver_M!$B$1:$BZ$1,0),FALSE),"")</f>
        <v>50.984499999999997</v>
      </c>
      <c r="AY229">
        <f>IF(ISNUMBER(VLOOKUP($A229,Haver_M!$B$1:$BZ$300,MATCH(data!AY$1,Haver_M!$B$1:$BZ$1,0),FALSE)),VLOOKUP($A229,Haver_M!$B$1:$BZ$300,MATCH(data!AY$1,Haver_M!$B$1:$BZ$1,0),FALSE),"")</f>
        <v>51.517000000000003</v>
      </c>
      <c r="AZ229">
        <f>IF(ISNUMBER(VLOOKUP($A229,Haver_M!$B$1:$BZ$300,MATCH(data!AZ$1,Haver_M!$B$1:$BZ$1,0),FALSE)),VLOOKUP($A229,Haver_M!$B$1:$BZ$300,MATCH(data!AZ$1,Haver_M!$B$1:$BZ$1,0),FALSE),"")</f>
        <v>52.550899999999999</v>
      </c>
      <c r="BA229">
        <f>IF(ISNUMBER(VLOOKUP($A229,Haver_M!$B$1:$BZ$300,MATCH(data!BA$1,Haver_M!$B$1:$BZ$1,0),FALSE)),VLOOKUP($A229,Haver_M!$B$1:$BZ$300,MATCH(data!BA$1,Haver_M!$B$1:$BZ$1,0),FALSE),"")</f>
        <v>50.984499999999997</v>
      </c>
      <c r="BB229">
        <f>IF(ISNUMBER(VLOOKUP($A229,Haver_M!$B$1:$BZ$300,MATCH(data!BB$1,Haver_M!$B$1:$BZ$1,0),FALSE)),VLOOKUP($A229,Haver_M!$B$1:$BZ$300,MATCH(data!BB$1,Haver_M!$B$1:$BZ$1,0),FALSE),"")</f>
        <v>53.581499999999998</v>
      </c>
      <c r="BC229">
        <f>IF(ISNUMBER(VLOOKUP($A229,Haver_M!$B$1:$BZ$300,MATCH(data!BC$1,Haver_M!$B$1:$BZ$1,0),FALSE)),VLOOKUP($A229,Haver_M!$B$1:$BZ$300,MATCH(data!BC$1,Haver_M!$B$1:$BZ$1,0),FALSE),"")</f>
        <v>49.8504</v>
      </c>
      <c r="BD229">
        <f>IF(ISNUMBER(VLOOKUP($A229,Haver_M!$B$1:$BZ$300,MATCH(data!BD$1,Haver_M!$B$1:$BZ$1,0),FALSE)),VLOOKUP($A229,Haver_M!$B$1:$BZ$300,MATCH(data!BD$1,Haver_M!$B$1:$BZ$1,0),FALSE),"")</f>
        <v>51.447299999999998</v>
      </c>
      <c r="BE229">
        <f>IF(ISNUMBER(VLOOKUP($A229,Haver_M!$B$1:$BZ$300,MATCH(data!BE$1,Haver_M!$B$1:$BZ$1,0),FALSE)),VLOOKUP($A229,Haver_M!$B$1:$BZ$300,MATCH(data!BE$1,Haver_M!$B$1:$BZ$1,0),FALSE),"")</f>
        <v>1.1992</v>
      </c>
      <c r="BF229">
        <f>IF(ISNUMBER(VLOOKUP($A229,Haver_M!$B$1:$BZ$300,MATCH(data!BF$1,Haver_M!$B$1:$BZ$1,0),FALSE)),VLOOKUP($A229,Haver_M!$B$1:$BZ$300,MATCH(data!BF$1,Haver_M!$B$1:$BZ$1,0),FALSE),"")</f>
        <v>52.693399999999997</v>
      </c>
      <c r="BG229">
        <f>IF(ISNUMBER(VLOOKUP($A229,Haver_M!$B$1:$BZ$300,MATCH(data!BG$1,Haver_M!$B$1:$BZ$1,0),FALSE)),VLOOKUP($A229,Haver_M!$B$1:$BZ$300,MATCH(data!BG$1,Haver_M!$B$1:$BZ$1,0),FALSE),"")</f>
        <v>51.364100000000001</v>
      </c>
      <c r="BH229">
        <f>IF(ISNUMBER(VLOOKUP($A229,Haver_M!$B$1:$BZ$300,MATCH(data!BH$1,Haver_M!$B$1:$BZ$1,0),FALSE)),VLOOKUP($A229,Haver_M!$B$1:$BZ$300,MATCH(data!BH$1,Haver_M!$B$1:$BZ$1,0),FALSE),"")</f>
        <v>52.746000000000002</v>
      </c>
      <c r="BI229">
        <f>IF(ISNUMBER(VLOOKUP($A229,Haver_M!$B$1:$BZ$300,MATCH(data!BI$1,Haver_M!$B$1:$BZ$1,0),FALSE)),VLOOKUP($A229,Haver_M!$B$1:$BZ$300,MATCH(data!BI$1,Haver_M!$B$1:$BZ$1,0),FALSE),"")</f>
        <v>51.348599999999998</v>
      </c>
      <c r="BJ229">
        <f>IF(ISNUMBER(VLOOKUP($A229,Haver_M!$B$1:$BZ$300,MATCH(data!BJ$1,Haver_M!$B$1:$BZ$1,0),FALSE)),VLOOKUP($A229,Haver_M!$B$1:$BZ$300,MATCH(data!BJ$1,Haver_M!$B$1:$BZ$1,0),FALSE),"")</f>
        <v>49.907200000000003</v>
      </c>
      <c r="BK229">
        <f>IF(ISNUMBER(VLOOKUP($A229,Haver_M!$B$1:$BZ$300,MATCH(data!BK$1,Haver_M!$B$1:$BZ$1,0),FALSE)),VLOOKUP($A229,Haver_M!$B$1:$BZ$300,MATCH(data!BK$1,Haver_M!$B$1:$BZ$1,0),FALSE),"")</f>
        <v>51.087499999999999</v>
      </c>
      <c r="BL229">
        <f>IF(ISNUMBER(VLOOKUP($A229,Haver_M!$B$1:$BZ$300,MATCH(data!BL$1,Haver_M!$B$1:$BZ$1,0),FALSE)),VLOOKUP($A229,Haver_M!$B$1:$BZ$300,MATCH(data!BL$1,Haver_M!$B$1:$BZ$1,0),FALSE),"")</f>
        <v>35868.71</v>
      </c>
      <c r="BM229">
        <f>IF(ISNUMBER(VLOOKUP($A229,Haver_M!$B$1:$BZ$300,MATCH(data!BM$1,Haver_M!$B$1:$BZ$1,0),FALSE)),VLOOKUP($A229,Haver_M!$B$1:$BZ$300,MATCH(data!BM$1,Haver_M!$B$1:$BZ$1,0),FALSE),"")</f>
        <v>99.540646039999999</v>
      </c>
      <c r="BN229">
        <f>IF(ISNUMBER(VLOOKUP($A229,Haver_M!$B$1:$BZ$300,MATCH(data!BN$1,Haver_M!$B$1:$BZ$1,0),FALSE)),VLOOKUP($A229,Haver_M!$B$1:$BZ$300,MATCH(data!BN$1,Haver_M!$B$1:$BZ$1,0),FALSE),"")</f>
        <v>107.1</v>
      </c>
      <c r="BO229">
        <f>IF(ISNUMBER(VLOOKUP($A229,Haver_M!$B$1:$BZ$300,MATCH(data!BO$1,Haver_M!$B$1:$BZ$1,0),FALSE)),VLOOKUP($A229,Haver_M!$B$1:$BZ$300,MATCH(data!BO$1,Haver_M!$B$1:$BZ$1,0),FALSE),"")</f>
        <v>115</v>
      </c>
      <c r="BP229">
        <f>IF(ISNUMBER(VLOOKUP($A229,Haver_M!$B$1:$BZ$300,MATCH(data!BP$1,Haver_M!$B$1:$BZ$1,0),FALSE)),VLOOKUP($A229,Haver_M!$B$1:$BZ$300,MATCH(data!BP$1,Haver_M!$B$1:$BZ$1,0),FALSE),"")</f>
        <v>36.299999999999997</v>
      </c>
      <c r="BQ229">
        <f>IF(ISNUMBER(VLOOKUP($A229,Haver_M!$B$1:$BZ$300,MATCH(data!BQ$1,Haver_M!$B$1:$BZ$1,0),FALSE)),VLOOKUP($A229,Haver_M!$B$1:$BZ$300,MATCH(data!BQ$1,Haver_M!$B$1:$BZ$1,0),FALSE),"")</f>
        <v>296.85654542344179</v>
      </c>
      <c r="BR229">
        <f>IF(ISNUMBER(VLOOKUP($A229,Haver_M!$B$1:$BZ$300,MATCH(data!BR$1,Haver_M!$B$1:$BZ$1,0),FALSE)),VLOOKUP($A229,Haver_M!$B$1:$BZ$300,MATCH(data!BR$1,Haver_M!$B$1:$BZ$1,0),FALSE),"")</f>
        <v>388.70807890729822</v>
      </c>
      <c r="BS229">
        <f>IF(ISNUMBER(VLOOKUP($A229,Haver_M!$B$1:$BZ$300,MATCH(data!BS$1,Haver_M!$B$1:$BZ$1,0),FALSE)),VLOOKUP($A229,Haver_M!$B$1:$BZ$300,MATCH(data!BS$1,Haver_M!$B$1:$BZ$1,0),FALSE),"")</f>
        <v>315.7008727419763</v>
      </c>
      <c r="BT229">
        <f>IF(ISNUMBER(VLOOKUP($A229,Haver_M!$B$1:$BZ$300,MATCH(data!BT$1,Haver_M!$B$1:$BZ$1,0),FALSE)),VLOOKUP($A229,Haver_M!$B$1:$BZ$300,MATCH(data!BT$1,Haver_M!$B$1:$BZ$1,0),FALSE),"")</f>
        <v>1154.2553417096581</v>
      </c>
      <c r="BU229">
        <f>IF(ISNUMBER(VLOOKUP($A229,Haver_M!$B$1:$BZ$300,MATCH(data!BU$1,Haver_M!$B$1:$BZ$1,0),FALSE)),VLOOKUP($A229,Haver_M!$B$1:$BZ$300,MATCH(data!BU$1,Haver_M!$B$1:$BZ$1,0),FALSE),"")</f>
        <v>27858.29</v>
      </c>
      <c r="BV229">
        <f>IF(ISNUMBER(VLOOKUP($A229,Haver_M!$B$1:$BZ$300,MATCH(data!BV$1,Haver_M!$B$1:$BZ$1,0),FALSE)),VLOOKUP($A229,Haver_M!$B$1:$BZ$300,MATCH(data!BV$1,Haver_M!$B$1:$BZ$1,0),FALSE),"")</f>
        <v>42351.02</v>
      </c>
      <c r="BW229">
        <f>IF(ISNUMBER(VLOOKUP($A229,Haver_M!$B$1:$BZ$300,MATCH(data!BW$1,Haver_M!$B$1:$BZ$1,0),FALSE)),VLOOKUP($A229,Haver_M!$B$1:$BZ$300,MATCH(data!BW$1,Haver_M!$B$1:$BZ$1,0),FALSE),"")</f>
        <v>70.731099999999998</v>
      </c>
      <c r="BX229">
        <f>IF(ISNUMBER(VLOOKUP($A229,Haver_M!$B$1:$BZ$300,MATCH(data!BX$1,Haver_M!$B$1:$BZ$1,0),FALSE)),VLOOKUP($A229,Haver_M!$B$1:$BZ$300,MATCH(data!BX$1,Haver_M!$B$1:$BZ$1,0),FALSE),"")</f>
        <v>73029</v>
      </c>
    </row>
    <row r="230" spans="1:76" x14ac:dyDescent="0.25">
      <c r="A230" s="2">
        <v>43496</v>
      </c>
      <c r="B230" t="str">
        <f>IF(ISNUMBER(VLOOKUP($A230,Haver_Q!$B$1:$L$185,MATCH(data!B$1,Haver_Q!$B$1:$L$1,0),FALSE)),100*(VLOOKUP($A230,Haver_Q!$B$1:$L$185,MATCH(data!B$1,Haver_Q!$B$1:$L$1,0),FALSE)),"")</f>
        <v/>
      </c>
      <c r="C230" t="str">
        <f>IF(ISNUMBER(VLOOKUP($A230,Haver_Q!$B$1:$L$185,MATCH(data!C$1,Haver_Q!$B$1:$L$1,0),FALSE)),100*(VLOOKUP($A230,Haver_Q!$B$1:$L$185,MATCH(data!C$1,Haver_Q!$B$1:$L$1,0),FALSE)),"")</f>
        <v/>
      </c>
      <c r="D230" t="str">
        <f>IF(ISNUMBER(VLOOKUP($A230,Haver_Q!$B$1:$L$185,MATCH(data!D$1,Haver_Q!$B$1:$L$1,0),FALSE)),100*(VLOOKUP($A230,Haver_Q!$B$1:$L$185,MATCH(data!D$1,Haver_Q!$B$1:$L$1,0),FALSE)),"")</f>
        <v/>
      </c>
      <c r="E230" t="str">
        <f>IF(ISNUMBER(VLOOKUP($A230,Haver_Q!$B$1:$L$185,MATCH(data!E$1,Haver_Q!$B$1:$L$1,0),FALSE)),100*(VLOOKUP($A230,Haver_Q!$B$1:$L$185,MATCH(data!E$1,Haver_Q!$B$1:$L$1,0),FALSE)),"")</f>
        <v/>
      </c>
      <c r="F230" t="str">
        <f>IF(ISNUMBER(VLOOKUP($A230,Haver_Q!$B$1:$L$185,MATCH(data!F$1,Haver_Q!$B$1:$L$1,0),FALSE)),100*(VLOOKUP($A230,Haver_Q!$B$1:$L$185,MATCH(data!F$1,Haver_Q!$B$1:$L$1,0),FALSE)),"")</f>
        <v/>
      </c>
      <c r="G230" t="str">
        <f>IF(ISNUMBER(VLOOKUP($A230,Haver_Q!$B$1:$L$185,MATCH(data!G$1,Haver_Q!$B$1:$L$1,0),FALSE)),100*(VLOOKUP($A230,Haver_Q!$B$1:$L$185,MATCH(data!G$1,Haver_Q!$B$1:$L$1,0),FALSE)),"")</f>
        <v/>
      </c>
      <c r="H230" t="str">
        <f>IF(ISNUMBER(VLOOKUP($A230,Haver_Q!$B$1:$L$185,MATCH(data!H$1,Haver_Q!$B$1:$L$1,0),FALSE)),(VLOOKUP($A230,Haver_Q!$B$1:$L$185,MATCH(data!H$1,Haver_Q!$B$1:$L$1,0),FALSE)),"")</f>
        <v/>
      </c>
      <c r="I230" t="str">
        <f>IF(ISNUMBER(VLOOKUP($A230,Haver_Q!$B$1:$L$185,MATCH(data!I$1,Haver_Q!$B$1:$L$1,0),FALSE)),100*(VLOOKUP($A230,Haver_Q!$B$1:$L$185,MATCH(data!I$1,Haver_Q!$B$1:$L$1,0),FALSE)),"")</f>
        <v/>
      </c>
      <c r="J230" s="3">
        <f>IF(ISNUMBER(Bloomberg_m!C246),Bloomberg_m!C246,"")</f>
        <v>1063</v>
      </c>
      <c r="K230" s="3">
        <f>IF(ISNUMBER(Bloomberg_m!D246),Bloomberg_m!D246,"")</f>
        <v>1744.21</v>
      </c>
      <c r="L230" s="3">
        <f>IF(ISNUMBER(Bloomberg_m!E246),Bloomberg_m!E246,"")</f>
        <v>948.61</v>
      </c>
      <c r="M230" s="3">
        <f>IF(ISNUMBER(Bloomberg_m!F246),Bloomberg_m!F246,"")</f>
        <v>383.92</v>
      </c>
      <c r="N230">
        <f>IF(ISNUMBER(VLOOKUP($A230,Haver_M!$B$1:$BZ$300,MATCH(data!N$1,Haver_M!$B$1:$BZ$1,0),FALSE)),VLOOKUP($A230,Haver_M!$B$1:$BZ$300,MATCH(data!N$1,Haver_M!$B$1:$BZ$1,0),FALSE),"")</f>
        <v>6.5</v>
      </c>
      <c r="O230">
        <f>IF(ISNUMBER(VLOOKUP($A230,Haver_M!$B$1:$BZ$300,MATCH(data!O$1,Haver_M!$B$1:$BZ$1,0),FALSE)),VLOOKUP($A230,Haver_M!$B$1:$BZ$300,MATCH(data!O$1,Haver_M!$B$1:$BZ$1,0),FALSE),"")</f>
        <v>7.2859999999999996</v>
      </c>
      <c r="P230">
        <f>IF(ISNUMBER(VLOOKUP($A230,Haver_M!$B$1:$BZ$300,MATCH(data!P$1,Haver_M!$B$1:$BZ$1,0),FALSE)),VLOOKUP($A230,Haver_M!$B$1:$BZ$300,MATCH(data!P$1,Haver_M!$B$1:$BZ$1,0),FALSE),"")</f>
        <v>88.183940000000007</v>
      </c>
      <c r="Q230">
        <f>IF(ISNUMBER(VLOOKUP($A230,Haver_M!$B$1:$BZ$300,MATCH(data!Q$1,Haver_M!$B$1:$BZ$1,0),FALSE)),VLOOKUP($A230,Haver_M!$B$1:$BZ$300,MATCH(data!Q$1,Haver_M!$B$1:$BZ$1,0),FALSE),"")</f>
        <v>139.6</v>
      </c>
      <c r="R230">
        <f>IF(ISNUMBER(VLOOKUP($A230,Haver_M!$B$1:$BZ$300,MATCH(data!R$1,Haver_M!$B$1:$BZ$1,0),FALSE)),VLOOKUP($A230,Haver_M!$B$1:$BZ$300,MATCH(data!R$1,Haver_M!$B$1:$BZ$1,0),FALSE),"")</f>
        <v>143.80000000000001</v>
      </c>
      <c r="S230">
        <f>IF(ISNUMBER(VLOOKUP($A230,Haver_M!$B$1:$BZ$300,MATCH(data!S$1,Haver_M!$B$1:$BZ$1,0),FALSE)),VLOOKUP($A230,Haver_M!$B$1:$BZ$300,MATCH(data!S$1,Haver_M!$B$1:$BZ$1,0),FALSE),"")</f>
        <v>130.4</v>
      </c>
      <c r="T230">
        <f>IF(ISNUMBER(VLOOKUP($A230,Haver_M!$B$1:$BZ$300,MATCH(data!T$1,Haver_M!$B$1:$BZ$1,0),FALSE)),VLOOKUP($A230,Haver_M!$B$1:$BZ$300,MATCH(data!T$1,Haver_M!$B$1:$BZ$1,0),FALSE),"")</f>
        <v>126.4</v>
      </c>
      <c r="U230">
        <f>IF(ISNUMBER(VLOOKUP($A230,Haver_M!$B$1:$BZ$300,MATCH(data!U$1,Haver_M!$B$1:$BZ$1,0),FALSE)),VLOOKUP($A230,Haver_M!$B$1:$BZ$300,MATCH(data!U$1,Haver_M!$B$1:$BZ$1,0),FALSE),"")</f>
        <v>106.92</v>
      </c>
      <c r="V230">
        <f>IF(ISNUMBER(VLOOKUP($A230,Haver_M!$B$1:$BZ$300,MATCH(data!V$1,Haver_M!$B$1:$BZ$1,0),FALSE)),VLOOKUP($A230,Haver_M!$B$1:$BZ$300,MATCH(data!V$1,Haver_M!$B$1:$BZ$1,0),FALSE),"")</f>
        <v>124.69</v>
      </c>
      <c r="W230">
        <f>IF(ISNUMBER(VLOOKUP($A230,Haver_M!$B$1:$BZ$300,MATCH(data!W$1,Haver_M!$B$1:$BZ$1,0),FALSE)),VLOOKUP($A230,Haver_M!$B$1:$BZ$300,MATCH(data!W$1,Haver_M!$B$1:$BZ$1,0),FALSE),"")</f>
        <v>143.03</v>
      </c>
      <c r="X230">
        <f>IF(ISNUMBER(VLOOKUP($A230,Haver_M!$B$1:$BZ$300,MATCH(data!X$1,Haver_M!$B$1:$BZ$1,0),FALSE)),VLOOKUP($A230,Haver_M!$B$1:$BZ$300,MATCH(data!X$1,Haver_M!$B$1:$BZ$1,0),FALSE),"")</f>
        <v>131.35</v>
      </c>
      <c r="Y230">
        <f>IF(ISNUMBER(VLOOKUP($A230,Haver_M!$B$1:$BZ$300,MATCH(data!Y$1,Haver_M!$B$1:$BZ$1,0),FALSE)),VLOOKUP($A230,Haver_M!$B$1:$BZ$300,MATCH(data!Y$1,Haver_M!$B$1:$BZ$1,0),FALSE),"")</f>
        <v>147.49</v>
      </c>
      <c r="Z230">
        <f>IF(ISNUMBER(VLOOKUP($A230,Haver_M!$B$1:$BZ$300,MATCH(data!Z$1,Haver_M!$B$1:$BZ$1,0),FALSE)),VLOOKUP($A230,Haver_M!$B$1:$BZ$300,MATCH(data!Z$1,Haver_M!$B$1:$BZ$1,0),FALSE),"")</f>
        <v>130.19999999999999</v>
      </c>
      <c r="AA230">
        <f>IF(ISNUMBER(VLOOKUP($A230,Haver_M!$B$1:$BZ$300,MATCH(data!AA$1,Haver_M!$B$1:$BZ$1,0),FALSE)),VLOOKUP($A230,Haver_M!$B$1:$BZ$300,MATCH(data!AA$1,Haver_M!$B$1:$BZ$1,0),FALSE),"")</f>
        <v>130.90899999999999</v>
      </c>
      <c r="AB230">
        <f>IF(ISNUMBER(VLOOKUP($A230,Haver_M!$B$1:$BZ$300,MATCH(data!AB$1,Haver_M!$B$1:$BZ$1,0),FALSE)),VLOOKUP($A230,Haver_M!$B$1:$BZ$300,MATCH(data!AB$1,Haver_M!$B$1:$BZ$1,0),FALSE),"")</f>
        <v>88.864000000000004</v>
      </c>
      <c r="AC230">
        <f>IF(ISNUMBER(VLOOKUP($A230,Haver_M!$B$1:$BZ$300,MATCH(data!AC$1,Haver_M!$B$1:$BZ$1,0),FALSE)),VLOOKUP($A230,Haver_M!$B$1:$BZ$300,MATCH(data!AC$1,Haver_M!$B$1:$BZ$1,0),FALSE),"")</f>
        <v>71.260000000000005</v>
      </c>
      <c r="AD230">
        <f>IF(ISNUMBER(VLOOKUP($A230,Haver_M!$B$1:$BZ$300,MATCH(data!AD$1,Haver_M!$B$1:$BZ$1,0),FALSE)),VLOOKUP($A230,Haver_M!$B$1:$BZ$300,MATCH(data!AD$1,Haver_M!$B$1:$BZ$1,0),FALSE),"")</f>
        <v>127.952</v>
      </c>
      <c r="AE230">
        <f>IF(ISNUMBER(VLOOKUP($A230,Haver_M!$B$1:$BZ$300,MATCH(data!AE$1,Haver_M!$B$1:$BZ$1,0),FALSE)),VLOOKUP($A230,Haver_M!$B$1:$BZ$300,MATCH(data!AE$1,Haver_M!$B$1:$BZ$1,0),FALSE),"")</f>
        <v>114.818</v>
      </c>
      <c r="AF230">
        <f>IF(ISNUMBER(VLOOKUP($A230,Haver_M!$B$1:$BZ$300,MATCH(data!AF$1,Haver_M!$B$1:$BZ$1,0),FALSE)),VLOOKUP($A230,Haver_M!$B$1:$BZ$300,MATCH(data!AF$1,Haver_M!$B$1:$BZ$1,0),FALSE),"")</f>
        <v>147.39699999999999</v>
      </c>
      <c r="AG230">
        <f>IF(ISNUMBER(VLOOKUP($A230,Haver_M!$B$1:$BZ$300,MATCH(data!AG$1,Haver_M!$B$1:$BZ$1,0),FALSE)),VLOOKUP($A230,Haver_M!$B$1:$BZ$300,MATCH(data!AG$1,Haver_M!$B$1:$BZ$1,0),FALSE),"")</f>
        <v>150.45400000000001</v>
      </c>
      <c r="AH230">
        <f>IF(ISNUMBER(VLOOKUP($A230,Haver_M!$B$1:$BZ$300,MATCH(data!AH$1,Haver_M!$B$1:$BZ$1,0),FALSE)),VLOOKUP($A230,Haver_M!$B$1:$BZ$300,MATCH(data!AH$1,Haver_M!$B$1:$BZ$1,0),FALSE),"")</f>
        <v>154.249</v>
      </c>
      <c r="AI230">
        <f>IF(ISNUMBER(VLOOKUP($A230,Haver_M!$B$1:$BZ$300,MATCH(data!AI$1,Haver_M!$B$1:$BZ$1,0),FALSE)),VLOOKUP($A230,Haver_M!$B$1:$BZ$300,MATCH(data!AI$1,Haver_M!$B$1:$BZ$1,0),FALSE),"")</f>
        <v>18435.240563238647</v>
      </c>
      <c r="AJ230">
        <f>IF(ISNUMBER(VLOOKUP($A230,Haver_M!$B$1:$BZ$300,MATCH(data!AJ$1,Haver_M!$B$1:$BZ$1,0),FALSE)),VLOOKUP($A230,Haver_M!$B$1:$BZ$300,MATCH(data!AJ$1,Haver_M!$B$1:$BZ$1,0),FALSE),"")</f>
        <v>27195.21</v>
      </c>
      <c r="AK230">
        <f>IF(ISNUMBER(VLOOKUP($A230,Haver_M!$B$1:$BZ$300,MATCH(data!AK$1,Haver_M!$B$1:$BZ$1,0),FALSE)),VLOOKUP($A230,Haver_M!$B$1:$BZ$300,MATCH(data!AK$1,Haver_M!$B$1:$BZ$1,0),FALSE),"")</f>
        <v>42475.11</v>
      </c>
      <c r="AL230">
        <f>IF(ISNUMBER(VLOOKUP($A230,Haver_M!$B$1:$BZ$300,MATCH(data!AL$1,Haver_M!$B$1:$BZ$1,0),FALSE)),VLOOKUP($A230,Haver_M!$B$1:$BZ$300,MATCH(data!AL$1,Haver_M!$B$1:$BZ$1,0),FALSE),"")</f>
        <v>17745</v>
      </c>
      <c r="AM230">
        <f>IF(ISNUMBER(VLOOKUP($A230,Haver_M!$B$1:$BZ$300,MATCH(data!AM$1,Haver_M!$B$1:$BZ$1,0),FALSE)),VLOOKUP($A230,Haver_M!$B$1:$BZ$300,MATCH(data!AM$1,Haver_M!$B$1:$BZ$1,0),FALSE),"")</f>
        <v>11027</v>
      </c>
      <c r="AN230" t="str">
        <f>IF(ISNUMBER(VLOOKUP($A230,Haver_M!$B$1:$BZ$300,MATCH(data!AN$1,Haver_M!$B$1:$BZ$1,0),FALSE)),VLOOKUP($A230,Haver_M!$B$1:$BZ$300,MATCH(data!AN$1,Haver_M!$B$1:$BZ$1,0),FALSE),"")</f>
        <v/>
      </c>
      <c r="AO230" t="str">
        <f>IF(ISNUMBER(VLOOKUP($A230,Haver_M!$B$1:$BZ$300,MATCH(data!AO$1,Haver_M!$B$1:$BZ$1,0),FALSE)),VLOOKUP($A230,Haver_M!$B$1:$BZ$300,MATCH(data!AO$1,Haver_M!$B$1:$BZ$1,0),FALSE),"")</f>
        <v/>
      </c>
      <c r="AP230">
        <f>IF(ISNUMBER(VLOOKUP($A230,Haver_M!$B$1:$BZ$300,MATCH(data!AP$1,Haver_M!$B$1:$BZ$1,0),FALSE)),VLOOKUP($A230,Haver_M!$B$1:$BZ$300,MATCH(data!AP$1,Haver_M!$B$1:$BZ$1,0),FALSE),"")</f>
        <v>72.132242069109751</v>
      </c>
      <c r="AQ230">
        <f>IF(ISNUMBER(VLOOKUP($A230,Haver_M!$B$1:$BZ$300,MATCH(data!AQ$1,Haver_M!$B$1:$BZ$1,0),FALSE)),VLOOKUP($A230,Haver_M!$B$1:$BZ$300,MATCH(data!AQ$1,Haver_M!$B$1:$BZ$1,0),FALSE),"")</f>
        <v>53.5762</v>
      </c>
      <c r="AR230">
        <f>IF(ISNUMBER(VLOOKUP($A230,Haver_M!$B$1:$BZ$300,MATCH(data!AR$1,Haver_M!$B$1:$BZ$1,0),FALSE)),VLOOKUP($A230,Haver_M!$B$1:$BZ$300,MATCH(data!AR$1,Haver_M!$B$1:$BZ$1,0),FALSE),"")</f>
        <v>53.921399999999998</v>
      </c>
      <c r="AS230">
        <f>IF(ISNUMBER(VLOOKUP($A230,Haver_M!$B$1:$BZ$300,MATCH(data!AS$1,Haver_M!$B$1:$BZ$1,0),FALSE)),VLOOKUP($A230,Haver_M!$B$1:$BZ$300,MATCH(data!AS$1,Haver_M!$B$1:$BZ$1,0),FALSE),"")</f>
        <v>52.233899999999998</v>
      </c>
      <c r="AT230">
        <f>IF(ISNUMBER(VLOOKUP($A230,Haver_M!$B$1:$BZ$300,MATCH(data!AT$1,Haver_M!$B$1:$BZ$1,0),FALSE)),VLOOKUP($A230,Haver_M!$B$1:$BZ$300,MATCH(data!AT$1,Haver_M!$B$1:$BZ$1,0),FALSE),"")</f>
        <v>56.455800000000004</v>
      </c>
      <c r="AU230">
        <f>IF(ISNUMBER(VLOOKUP($A230,Haver_M!$B$1:$BZ$300,MATCH(data!AU$1,Haver_M!$B$1:$BZ$1,0),FALSE)),VLOOKUP($A230,Haver_M!$B$1:$BZ$300,MATCH(data!AU$1,Haver_M!$B$1:$BZ$1,0),FALSE),"")</f>
        <v>56.341799999999999</v>
      </c>
      <c r="AV230">
        <f>IF(ISNUMBER(VLOOKUP($A230,Haver_M!$B$1:$BZ$300,MATCH(data!AV$1,Haver_M!$B$1:$BZ$1,0),FALSE)),VLOOKUP($A230,Haver_M!$B$1:$BZ$300,MATCH(data!AV$1,Haver_M!$B$1:$BZ$1,0),FALSE),"")</f>
        <v>51.213799999999999</v>
      </c>
      <c r="AW230">
        <f>IF(ISNUMBER(VLOOKUP($A230,Haver_M!$B$1:$BZ$300,MATCH(data!AW$1,Haver_M!$B$1:$BZ$1,0),FALSE)),VLOOKUP($A230,Haver_M!$B$1:$BZ$300,MATCH(data!AW$1,Haver_M!$B$1:$BZ$1,0),FALSE),"")</f>
        <v>49.995600000000003</v>
      </c>
      <c r="AX230">
        <f>IF(ISNUMBER(VLOOKUP($A230,Haver_M!$B$1:$BZ$300,MATCH(data!AX$1,Haver_M!$B$1:$BZ$1,0),FALSE)),VLOOKUP($A230,Haver_M!$B$1:$BZ$300,MATCH(data!AX$1,Haver_M!$B$1:$BZ$1,0),FALSE),"")</f>
        <v>51.615099999999998</v>
      </c>
      <c r="AY230">
        <f>IF(ISNUMBER(VLOOKUP($A230,Haver_M!$B$1:$BZ$300,MATCH(data!AY$1,Haver_M!$B$1:$BZ$1,0),FALSE)),VLOOKUP($A230,Haver_M!$B$1:$BZ$300,MATCH(data!AY$1,Haver_M!$B$1:$BZ$1,0),FALSE),"")</f>
        <v>51.994799999999998</v>
      </c>
      <c r="AZ230">
        <f>IF(ISNUMBER(VLOOKUP($A230,Haver_M!$B$1:$BZ$300,MATCH(data!AZ$1,Haver_M!$B$1:$BZ$1,0),FALSE)),VLOOKUP($A230,Haver_M!$B$1:$BZ$300,MATCH(data!AZ$1,Haver_M!$B$1:$BZ$1,0),FALSE),"")</f>
        <v>53.4238</v>
      </c>
      <c r="BA230">
        <f>IF(ISNUMBER(VLOOKUP($A230,Haver_M!$B$1:$BZ$300,MATCH(data!BA$1,Haver_M!$B$1:$BZ$1,0),FALSE)),VLOOKUP($A230,Haver_M!$B$1:$BZ$300,MATCH(data!BA$1,Haver_M!$B$1:$BZ$1,0),FALSE),"")</f>
        <v>51.615099999999998</v>
      </c>
      <c r="BB230">
        <f>IF(ISNUMBER(VLOOKUP($A230,Haver_M!$B$1:$BZ$300,MATCH(data!BB$1,Haver_M!$B$1:$BZ$1,0),FALSE)),VLOOKUP($A230,Haver_M!$B$1:$BZ$300,MATCH(data!BB$1,Haver_M!$B$1:$BZ$1,0),FALSE),"")</f>
        <v>52.5749</v>
      </c>
      <c r="BC230">
        <f>IF(ISNUMBER(VLOOKUP($A230,Haver_M!$B$1:$BZ$300,MATCH(data!BC$1,Haver_M!$B$1:$BZ$1,0),FALSE)),VLOOKUP($A230,Haver_M!$B$1:$BZ$300,MATCH(data!BC$1,Haver_M!$B$1:$BZ$1,0),FALSE),"")</f>
        <v>50.6509</v>
      </c>
      <c r="BD230">
        <f>IF(ISNUMBER(VLOOKUP($A230,Haver_M!$B$1:$BZ$300,MATCH(data!BD$1,Haver_M!$B$1:$BZ$1,0),FALSE)),VLOOKUP($A230,Haver_M!$B$1:$BZ$300,MATCH(data!BD$1,Haver_M!$B$1:$BZ$1,0),FALSE),"")</f>
        <v>51.400100000000002</v>
      </c>
      <c r="BE230">
        <f>IF(ISNUMBER(VLOOKUP($A230,Haver_M!$B$1:$BZ$300,MATCH(data!BE$1,Haver_M!$B$1:$BZ$1,0),FALSE)),VLOOKUP($A230,Haver_M!$B$1:$BZ$300,MATCH(data!BE$1,Haver_M!$B$1:$BZ$1,0),FALSE),"")</f>
        <v>1.1876</v>
      </c>
      <c r="BF230">
        <f>IF(ISNUMBER(VLOOKUP($A230,Haver_M!$B$1:$BZ$300,MATCH(data!BF$1,Haver_M!$B$1:$BZ$1,0),FALSE)),VLOOKUP($A230,Haver_M!$B$1:$BZ$300,MATCH(data!BF$1,Haver_M!$B$1:$BZ$1,0),FALSE),"")</f>
        <v>52.993499999999997</v>
      </c>
      <c r="BG230">
        <f>IF(ISNUMBER(VLOOKUP($A230,Haver_M!$B$1:$BZ$300,MATCH(data!BG$1,Haver_M!$B$1:$BZ$1,0),FALSE)),VLOOKUP($A230,Haver_M!$B$1:$BZ$300,MATCH(data!BG$1,Haver_M!$B$1:$BZ$1,0),FALSE),"")</f>
        <v>51.300899999999999</v>
      </c>
      <c r="BH230">
        <f>IF(ISNUMBER(VLOOKUP($A230,Haver_M!$B$1:$BZ$300,MATCH(data!BH$1,Haver_M!$B$1:$BZ$1,0),FALSE)),VLOOKUP($A230,Haver_M!$B$1:$BZ$300,MATCH(data!BH$1,Haver_M!$B$1:$BZ$1,0),FALSE),"")</f>
        <v>52.178199999999997</v>
      </c>
      <c r="BI230">
        <f>IF(ISNUMBER(VLOOKUP($A230,Haver_M!$B$1:$BZ$300,MATCH(data!BI$1,Haver_M!$B$1:$BZ$1,0),FALSE)),VLOOKUP($A230,Haver_M!$B$1:$BZ$300,MATCH(data!BI$1,Haver_M!$B$1:$BZ$1,0),FALSE),"")</f>
        <v>52.844499999999996</v>
      </c>
      <c r="BJ230">
        <f>IF(ISNUMBER(VLOOKUP($A230,Haver_M!$B$1:$BZ$300,MATCH(data!BJ$1,Haver_M!$B$1:$BZ$1,0),FALSE)),VLOOKUP($A230,Haver_M!$B$1:$BZ$300,MATCH(data!BJ$1,Haver_M!$B$1:$BZ$1,0),FALSE),"")</f>
        <v>51.155000000000001</v>
      </c>
      <c r="BK230">
        <f>IF(ISNUMBER(VLOOKUP($A230,Haver_M!$B$1:$BZ$300,MATCH(data!BK$1,Haver_M!$B$1:$BZ$1,0),FALSE)),VLOOKUP($A230,Haver_M!$B$1:$BZ$300,MATCH(data!BK$1,Haver_M!$B$1:$BZ$1,0),FALSE),"")</f>
        <v>52.262900000000002</v>
      </c>
      <c r="BL230">
        <f>IF(ISNUMBER(VLOOKUP($A230,Haver_M!$B$1:$BZ$300,MATCH(data!BL$1,Haver_M!$B$1:$BZ$1,0),FALSE)),VLOOKUP($A230,Haver_M!$B$1:$BZ$300,MATCH(data!BL$1,Haver_M!$B$1:$BZ$1,0),FALSE),"")</f>
        <v>36053</v>
      </c>
      <c r="BM230">
        <f>IF(ISNUMBER(VLOOKUP($A230,Haver_M!$B$1:$BZ$300,MATCH(data!BM$1,Haver_M!$B$1:$BZ$1,0),FALSE)),VLOOKUP($A230,Haver_M!$B$1:$BZ$300,MATCH(data!BM$1,Haver_M!$B$1:$BZ$1,0),FALSE),"")</f>
        <v>100.16375053</v>
      </c>
      <c r="BN230" t="str">
        <f>IF(ISNUMBER(VLOOKUP($A230,Haver_M!$B$1:$BZ$300,MATCH(data!BN$1,Haver_M!$B$1:$BZ$1,0),FALSE)),VLOOKUP($A230,Haver_M!$B$1:$BZ$300,MATCH(data!BN$1,Haver_M!$B$1:$BZ$1,0),FALSE),"")</f>
        <v/>
      </c>
      <c r="BO230" t="str">
        <f>IF(ISNUMBER(VLOOKUP($A230,Haver_M!$B$1:$BZ$300,MATCH(data!BO$1,Haver_M!$B$1:$BZ$1,0),FALSE)),VLOOKUP($A230,Haver_M!$B$1:$BZ$300,MATCH(data!BO$1,Haver_M!$B$1:$BZ$1,0),FALSE),"")</f>
        <v/>
      </c>
      <c r="BP230" t="str">
        <f>IF(ISNUMBER(VLOOKUP($A230,Haver_M!$B$1:$BZ$300,MATCH(data!BP$1,Haver_M!$B$1:$BZ$1,0),FALSE)),VLOOKUP($A230,Haver_M!$B$1:$BZ$300,MATCH(data!BP$1,Haver_M!$B$1:$BZ$1,0),FALSE),"")</f>
        <v/>
      </c>
      <c r="BQ230">
        <f>IF(ISNUMBER(VLOOKUP($A230,Haver_M!$B$1:$BZ$300,MATCH(data!BQ$1,Haver_M!$B$1:$BZ$1,0),FALSE)),VLOOKUP($A230,Haver_M!$B$1:$BZ$300,MATCH(data!BQ$1,Haver_M!$B$1:$BZ$1,0),FALSE),"")</f>
        <v>302.13153991989583</v>
      </c>
      <c r="BR230">
        <f>IF(ISNUMBER(VLOOKUP($A230,Haver_M!$B$1:$BZ$300,MATCH(data!BR$1,Haver_M!$B$1:$BZ$1,0),FALSE)),VLOOKUP($A230,Haver_M!$B$1:$BZ$300,MATCH(data!BR$1,Haver_M!$B$1:$BZ$1,0),FALSE),"")</f>
        <v>388.79192002590025</v>
      </c>
      <c r="BS230">
        <f>IF(ISNUMBER(VLOOKUP($A230,Haver_M!$B$1:$BZ$300,MATCH(data!BS$1,Haver_M!$B$1:$BZ$1,0),FALSE)),VLOOKUP($A230,Haver_M!$B$1:$BZ$300,MATCH(data!BS$1,Haver_M!$B$1:$BZ$1,0),FALSE),"")</f>
        <v>315.8360536610262</v>
      </c>
      <c r="BT230">
        <f>IF(ISNUMBER(VLOOKUP($A230,Haver_M!$B$1:$BZ$300,MATCH(data!BT$1,Haver_M!$B$1:$BZ$1,0),FALSE)),VLOOKUP($A230,Haver_M!$B$1:$BZ$300,MATCH(data!BT$1,Haver_M!$B$1:$BZ$1,0),FALSE),"")</f>
        <v>1159.8974451775623</v>
      </c>
      <c r="BU230">
        <f>IF(ISNUMBER(VLOOKUP($A230,Haver_M!$B$1:$BZ$300,MATCH(data!BU$1,Haver_M!$B$1:$BZ$1,0),FALSE)),VLOOKUP($A230,Haver_M!$B$1:$BZ$300,MATCH(data!BU$1,Haver_M!$B$1:$BZ$1,0),FALSE),"")</f>
        <v>26410</v>
      </c>
      <c r="BV230">
        <f>IF(ISNUMBER(VLOOKUP($A230,Haver_M!$B$1:$BZ$300,MATCH(data!BV$1,Haver_M!$B$1:$BZ$1,0),FALSE)),VLOOKUP($A230,Haver_M!$B$1:$BZ$300,MATCH(data!BV$1,Haver_M!$B$1:$BZ$1,0),FALSE),"")</f>
        <v>41460</v>
      </c>
      <c r="BW230">
        <f>IF(ISNUMBER(VLOOKUP($A230,Haver_M!$B$1:$BZ$300,MATCH(data!BW$1,Haver_M!$B$1:$BZ$1,0),FALSE)),VLOOKUP($A230,Haver_M!$B$1:$BZ$300,MATCH(data!BW$1,Haver_M!$B$1:$BZ$1,0),FALSE),"")</f>
        <v>70.732900000000001</v>
      </c>
      <c r="BX230">
        <f>IF(ISNUMBER(VLOOKUP($A230,Haver_M!$B$1:$BZ$300,MATCH(data!BX$1,Haver_M!$B$1:$BZ$1,0),FALSE)),VLOOKUP($A230,Haver_M!$B$1:$BZ$300,MATCH(data!BX$1,Haver_M!$B$1:$BZ$1,0),FALSE),"")</f>
        <v>73609</v>
      </c>
    </row>
    <row r="231" spans="1:76" x14ac:dyDescent="0.25">
      <c r="A231" s="2">
        <v>43524</v>
      </c>
      <c r="B231" t="str">
        <f>IF(ISNUMBER(VLOOKUP($A231,Haver_Q!$B$1:$L$185,MATCH(data!B$1,Haver_Q!$B$1:$L$1,0),FALSE)),100*(VLOOKUP($A231,Haver_Q!$B$1:$L$185,MATCH(data!B$1,Haver_Q!$B$1:$L$1,0),FALSE)),"")</f>
        <v/>
      </c>
      <c r="C231" t="str">
        <f>IF(ISNUMBER(VLOOKUP($A231,Haver_Q!$B$1:$L$185,MATCH(data!C$1,Haver_Q!$B$1:$L$1,0),FALSE)),100*(VLOOKUP($A231,Haver_Q!$B$1:$L$185,MATCH(data!C$1,Haver_Q!$B$1:$L$1,0),FALSE)),"")</f>
        <v/>
      </c>
      <c r="D231" t="str">
        <f>IF(ISNUMBER(VLOOKUP($A231,Haver_Q!$B$1:$L$185,MATCH(data!D$1,Haver_Q!$B$1:$L$1,0),FALSE)),100*(VLOOKUP($A231,Haver_Q!$B$1:$L$185,MATCH(data!D$1,Haver_Q!$B$1:$L$1,0),FALSE)),"")</f>
        <v/>
      </c>
      <c r="E231" t="str">
        <f>IF(ISNUMBER(VLOOKUP($A231,Haver_Q!$B$1:$L$185,MATCH(data!E$1,Haver_Q!$B$1:$L$1,0),FALSE)),100*(VLOOKUP($A231,Haver_Q!$B$1:$L$185,MATCH(data!E$1,Haver_Q!$B$1:$L$1,0),FALSE)),"")</f>
        <v/>
      </c>
      <c r="F231" t="str">
        <f>IF(ISNUMBER(VLOOKUP($A231,Haver_Q!$B$1:$L$185,MATCH(data!F$1,Haver_Q!$B$1:$L$1,0),FALSE)),100*(VLOOKUP($A231,Haver_Q!$B$1:$L$185,MATCH(data!F$1,Haver_Q!$B$1:$L$1,0),FALSE)),"")</f>
        <v/>
      </c>
      <c r="G231" t="str">
        <f>IF(ISNUMBER(VLOOKUP($A231,Haver_Q!$B$1:$L$185,MATCH(data!G$1,Haver_Q!$B$1:$L$1,0),FALSE)),100*(VLOOKUP($A231,Haver_Q!$B$1:$L$185,MATCH(data!G$1,Haver_Q!$B$1:$L$1,0),FALSE)),"")</f>
        <v/>
      </c>
      <c r="H231" t="str">
        <f>IF(ISNUMBER(VLOOKUP($A231,Haver_Q!$B$1:$L$185,MATCH(data!H$1,Haver_Q!$B$1:$L$1,0),FALSE)),(VLOOKUP($A231,Haver_Q!$B$1:$L$185,MATCH(data!H$1,Haver_Q!$B$1:$L$1,0),FALSE)),"")</f>
        <v/>
      </c>
      <c r="I231" t="str">
        <f>IF(ISNUMBER(VLOOKUP($A231,Haver_Q!$B$1:$L$185,MATCH(data!I$1,Haver_Q!$B$1:$L$1,0),FALSE)),100*(VLOOKUP($A231,Haver_Q!$B$1:$L$185,MATCH(data!I$1,Haver_Q!$B$1:$L$1,0),FALSE)),"")</f>
        <v/>
      </c>
      <c r="J231" s="3">
        <f>IF(ISNUMBER(Bloomberg_m!C247),Bloomberg_m!C247,"")</f>
        <v>629</v>
      </c>
      <c r="K231" s="3">
        <f>IF(ISNUMBER(Bloomberg_m!D247),Bloomberg_m!D247,"")</f>
        <v>1607.64</v>
      </c>
      <c r="L231" s="3">
        <f>IF(ISNUMBER(Bloomberg_m!E247),Bloomberg_m!E247,"")</f>
        <v>890.16</v>
      </c>
      <c r="M231" s="3">
        <f>IF(ISNUMBER(Bloomberg_m!F247),Bloomberg_m!F247,"")</f>
        <v>404.04</v>
      </c>
      <c r="N231">
        <f>IF(ISNUMBER(VLOOKUP($A231,Haver_M!$B$1:$BZ$300,MATCH(data!N$1,Haver_M!$B$1:$BZ$1,0),FALSE)),VLOOKUP($A231,Haver_M!$B$1:$BZ$300,MATCH(data!N$1,Haver_M!$B$1:$BZ$1,0),FALSE),"")</f>
        <v>6.25</v>
      </c>
      <c r="O231">
        <f>IF(ISNUMBER(VLOOKUP($A231,Haver_M!$B$1:$BZ$300,MATCH(data!O$1,Haver_M!$B$1:$BZ$1,0),FALSE)),VLOOKUP($A231,Haver_M!$B$1:$BZ$300,MATCH(data!O$1,Haver_M!$B$1:$BZ$1,0),FALSE),"")</f>
        <v>7.4549000000000003</v>
      </c>
      <c r="P231">
        <f>IF(ISNUMBER(VLOOKUP($A231,Haver_M!$B$1:$BZ$300,MATCH(data!P$1,Haver_M!$B$1:$BZ$1,0),FALSE)),VLOOKUP($A231,Haver_M!$B$1:$BZ$300,MATCH(data!P$1,Haver_M!$B$1:$BZ$1,0),FALSE),"")</f>
        <v>87.828770000000006</v>
      </c>
      <c r="Q231">
        <f>IF(ISNUMBER(VLOOKUP($A231,Haver_M!$B$1:$BZ$300,MATCH(data!Q$1,Haver_M!$B$1:$BZ$1,0),FALSE)),VLOOKUP($A231,Haver_M!$B$1:$BZ$300,MATCH(data!Q$1,Haver_M!$B$1:$BZ$1,0),FALSE),"")</f>
        <v>139.9</v>
      </c>
      <c r="R231">
        <f>IF(ISNUMBER(VLOOKUP($A231,Haver_M!$B$1:$BZ$300,MATCH(data!R$1,Haver_M!$B$1:$BZ$1,0),FALSE)),VLOOKUP($A231,Haver_M!$B$1:$BZ$300,MATCH(data!R$1,Haver_M!$B$1:$BZ$1,0),FALSE),"")</f>
        <v>144.4</v>
      </c>
      <c r="S231">
        <f>IF(ISNUMBER(VLOOKUP($A231,Haver_M!$B$1:$BZ$300,MATCH(data!S$1,Haver_M!$B$1:$BZ$1,0),FALSE)),VLOOKUP($A231,Haver_M!$B$1:$BZ$300,MATCH(data!S$1,Haver_M!$B$1:$BZ$1,0),FALSE),"")</f>
        <v>129.28</v>
      </c>
      <c r="T231">
        <f>IF(ISNUMBER(VLOOKUP($A231,Haver_M!$B$1:$BZ$300,MATCH(data!T$1,Haver_M!$B$1:$BZ$1,0),FALSE)),VLOOKUP($A231,Haver_M!$B$1:$BZ$300,MATCH(data!T$1,Haver_M!$B$1:$BZ$1,0),FALSE),"")</f>
        <v>125.85</v>
      </c>
      <c r="U231">
        <f>IF(ISNUMBER(VLOOKUP($A231,Haver_M!$B$1:$BZ$300,MATCH(data!U$1,Haver_M!$B$1:$BZ$1,0),FALSE)),VLOOKUP($A231,Haver_M!$B$1:$BZ$300,MATCH(data!U$1,Haver_M!$B$1:$BZ$1,0),FALSE),"")</f>
        <v>105.95</v>
      </c>
      <c r="V231">
        <f>IF(ISNUMBER(VLOOKUP($A231,Haver_M!$B$1:$BZ$300,MATCH(data!V$1,Haver_M!$B$1:$BZ$1,0),FALSE)),VLOOKUP($A231,Haver_M!$B$1:$BZ$300,MATCH(data!V$1,Haver_M!$B$1:$BZ$1,0),FALSE),"")</f>
        <v>121.21</v>
      </c>
      <c r="W231">
        <f>IF(ISNUMBER(VLOOKUP($A231,Haver_M!$B$1:$BZ$300,MATCH(data!W$1,Haver_M!$B$1:$BZ$1,0),FALSE)),VLOOKUP($A231,Haver_M!$B$1:$BZ$300,MATCH(data!W$1,Haver_M!$B$1:$BZ$1,0),FALSE),"")</f>
        <v>142.68</v>
      </c>
      <c r="X231">
        <f>IF(ISNUMBER(VLOOKUP($A231,Haver_M!$B$1:$BZ$300,MATCH(data!X$1,Haver_M!$B$1:$BZ$1,0),FALSE)),VLOOKUP($A231,Haver_M!$B$1:$BZ$300,MATCH(data!X$1,Haver_M!$B$1:$BZ$1,0),FALSE),"")</f>
        <v>129.12</v>
      </c>
      <c r="Y231">
        <f>IF(ISNUMBER(VLOOKUP($A231,Haver_M!$B$1:$BZ$300,MATCH(data!Y$1,Haver_M!$B$1:$BZ$1,0),FALSE)),VLOOKUP($A231,Haver_M!$B$1:$BZ$300,MATCH(data!Y$1,Haver_M!$B$1:$BZ$1,0),FALSE),"")</f>
        <v>147.76</v>
      </c>
      <c r="Z231">
        <f>IF(ISNUMBER(VLOOKUP($A231,Haver_M!$B$1:$BZ$300,MATCH(data!Z$1,Haver_M!$B$1:$BZ$1,0),FALSE)),VLOOKUP($A231,Haver_M!$B$1:$BZ$300,MATCH(data!Z$1,Haver_M!$B$1:$BZ$1,0),FALSE),"")</f>
        <v>131.30000000000001</v>
      </c>
      <c r="AA231">
        <f>IF(ISNUMBER(VLOOKUP($A231,Haver_M!$B$1:$BZ$300,MATCH(data!AA$1,Haver_M!$B$1:$BZ$1,0),FALSE)),VLOOKUP($A231,Haver_M!$B$1:$BZ$300,MATCH(data!AA$1,Haver_M!$B$1:$BZ$1,0),FALSE),"")</f>
        <v>138.34899999999999</v>
      </c>
      <c r="AB231">
        <f>IF(ISNUMBER(VLOOKUP($A231,Haver_M!$B$1:$BZ$300,MATCH(data!AB$1,Haver_M!$B$1:$BZ$1,0),FALSE)),VLOOKUP($A231,Haver_M!$B$1:$BZ$300,MATCH(data!AB$1,Haver_M!$B$1:$BZ$1,0),FALSE),"")</f>
        <v>87.207999999999998</v>
      </c>
      <c r="AC231">
        <f>IF(ISNUMBER(VLOOKUP($A231,Haver_M!$B$1:$BZ$300,MATCH(data!AC$1,Haver_M!$B$1:$BZ$1,0),FALSE)),VLOOKUP($A231,Haver_M!$B$1:$BZ$300,MATCH(data!AC$1,Haver_M!$B$1:$BZ$1,0),FALSE),"")</f>
        <v>70.078999999999994</v>
      </c>
      <c r="AD231">
        <f>IF(ISNUMBER(VLOOKUP($A231,Haver_M!$B$1:$BZ$300,MATCH(data!AD$1,Haver_M!$B$1:$BZ$1,0),FALSE)),VLOOKUP($A231,Haver_M!$B$1:$BZ$300,MATCH(data!AD$1,Haver_M!$B$1:$BZ$1,0),FALSE),"")</f>
        <v>126.41500000000001</v>
      </c>
      <c r="AE231">
        <f>IF(ISNUMBER(VLOOKUP($A231,Haver_M!$B$1:$BZ$300,MATCH(data!AE$1,Haver_M!$B$1:$BZ$1,0),FALSE)),VLOOKUP($A231,Haver_M!$B$1:$BZ$300,MATCH(data!AE$1,Haver_M!$B$1:$BZ$1,0),FALSE),"")</f>
        <v>113</v>
      </c>
      <c r="AF231">
        <f>IF(ISNUMBER(VLOOKUP($A231,Haver_M!$B$1:$BZ$300,MATCH(data!AF$1,Haver_M!$B$1:$BZ$1,0),FALSE)),VLOOKUP($A231,Haver_M!$B$1:$BZ$300,MATCH(data!AF$1,Haver_M!$B$1:$BZ$1,0),FALSE),"")</f>
        <v>150.00200000000001</v>
      </c>
      <c r="AG231">
        <f>IF(ISNUMBER(VLOOKUP($A231,Haver_M!$B$1:$BZ$300,MATCH(data!AG$1,Haver_M!$B$1:$BZ$1,0),FALSE)),VLOOKUP($A231,Haver_M!$B$1:$BZ$300,MATCH(data!AG$1,Haver_M!$B$1:$BZ$1,0),FALSE),"")</f>
        <v>150.32499999999999</v>
      </c>
      <c r="AH231">
        <f>IF(ISNUMBER(VLOOKUP($A231,Haver_M!$B$1:$BZ$300,MATCH(data!AH$1,Haver_M!$B$1:$BZ$1,0),FALSE)),VLOOKUP($A231,Haver_M!$B$1:$BZ$300,MATCH(data!AH$1,Haver_M!$B$1:$BZ$1,0),FALSE),"")</f>
        <v>153.583</v>
      </c>
      <c r="AI231">
        <f>IF(ISNUMBER(VLOOKUP($A231,Haver_M!$B$1:$BZ$300,MATCH(data!AI$1,Haver_M!$B$1:$BZ$1,0),FALSE)),VLOOKUP($A231,Haver_M!$B$1:$BZ$300,MATCH(data!AI$1,Haver_M!$B$1:$BZ$1,0),FALSE),"")</f>
        <v>18049.436495997146</v>
      </c>
      <c r="AJ231">
        <f>IF(ISNUMBER(VLOOKUP($A231,Haver_M!$B$1:$BZ$300,MATCH(data!AJ$1,Haver_M!$B$1:$BZ$1,0),FALSE)),VLOOKUP($A231,Haver_M!$B$1:$BZ$300,MATCH(data!AJ$1,Haver_M!$B$1:$BZ$1,0),FALSE),"")</f>
        <v>27070.35</v>
      </c>
      <c r="AK231">
        <f>IF(ISNUMBER(VLOOKUP($A231,Haver_M!$B$1:$BZ$300,MATCH(data!AK$1,Haver_M!$B$1:$BZ$1,0),FALSE)),VLOOKUP($A231,Haver_M!$B$1:$BZ$300,MATCH(data!AK$1,Haver_M!$B$1:$BZ$1,0),FALSE),"")</f>
        <v>39862.94</v>
      </c>
      <c r="AL231">
        <f>IF(ISNUMBER(VLOOKUP($A231,Haver_M!$B$1:$BZ$300,MATCH(data!AL$1,Haver_M!$B$1:$BZ$1,0),FALSE)),VLOOKUP($A231,Haver_M!$B$1:$BZ$300,MATCH(data!AL$1,Haver_M!$B$1:$BZ$1,0),FALSE),"")</f>
        <v>16584</v>
      </c>
      <c r="AM231">
        <f>IF(ISNUMBER(VLOOKUP($A231,Haver_M!$B$1:$BZ$300,MATCH(data!AM$1,Haver_M!$B$1:$BZ$1,0),FALSE)),VLOOKUP($A231,Haver_M!$B$1:$BZ$300,MATCH(data!AM$1,Haver_M!$B$1:$BZ$1,0),FALSE),"")</f>
        <v>9809</v>
      </c>
      <c r="AN231" t="str">
        <f>IF(ISNUMBER(VLOOKUP($A231,Haver_M!$B$1:$BZ$300,MATCH(data!AN$1,Haver_M!$B$1:$BZ$1,0),FALSE)),VLOOKUP($A231,Haver_M!$B$1:$BZ$300,MATCH(data!AN$1,Haver_M!$B$1:$BZ$1,0),FALSE),"")</f>
        <v/>
      </c>
      <c r="AO231" t="str">
        <f>IF(ISNUMBER(VLOOKUP($A231,Haver_M!$B$1:$BZ$300,MATCH(data!AO$1,Haver_M!$B$1:$BZ$1,0),FALSE)),VLOOKUP($A231,Haver_M!$B$1:$BZ$300,MATCH(data!AO$1,Haver_M!$B$1:$BZ$1,0),FALSE),"")</f>
        <v/>
      </c>
      <c r="AP231">
        <f>IF(ISNUMBER(VLOOKUP($A231,Haver_M!$B$1:$BZ$300,MATCH(data!AP$1,Haver_M!$B$1:$BZ$1,0),FALSE)),VLOOKUP($A231,Haver_M!$B$1:$BZ$300,MATCH(data!AP$1,Haver_M!$B$1:$BZ$1,0),FALSE),"")</f>
        <v>35.369936074788122</v>
      </c>
      <c r="AQ231">
        <f>IF(ISNUMBER(VLOOKUP($A231,Haver_M!$B$1:$BZ$300,MATCH(data!AQ$1,Haver_M!$B$1:$BZ$1,0),FALSE)),VLOOKUP($A231,Haver_M!$B$1:$BZ$300,MATCH(data!AQ$1,Haver_M!$B$1:$BZ$1,0),FALSE),"")</f>
        <v>53.805799999999998</v>
      </c>
      <c r="AR231">
        <f>IF(ISNUMBER(VLOOKUP($A231,Haver_M!$B$1:$BZ$300,MATCH(data!AR$1,Haver_M!$B$1:$BZ$1,0),FALSE)),VLOOKUP($A231,Haver_M!$B$1:$BZ$300,MATCH(data!AR$1,Haver_M!$B$1:$BZ$1,0),FALSE),"")</f>
        <v>54.342599999999997</v>
      </c>
      <c r="AS231">
        <f>IF(ISNUMBER(VLOOKUP($A231,Haver_M!$B$1:$BZ$300,MATCH(data!AS$1,Haver_M!$B$1:$BZ$1,0),FALSE)),VLOOKUP($A231,Haver_M!$B$1:$BZ$300,MATCH(data!AS$1,Haver_M!$B$1:$BZ$1,0),FALSE),"")</f>
        <v>52.451999999999998</v>
      </c>
      <c r="AT231">
        <f>IF(ISNUMBER(VLOOKUP($A231,Haver_M!$B$1:$BZ$300,MATCH(data!AT$1,Haver_M!$B$1:$BZ$1,0),FALSE)),VLOOKUP($A231,Haver_M!$B$1:$BZ$300,MATCH(data!AT$1,Haver_M!$B$1:$BZ$1,0),FALSE),"")</f>
        <v>56.7102</v>
      </c>
      <c r="AU231">
        <f>IF(ISNUMBER(VLOOKUP($A231,Haver_M!$B$1:$BZ$300,MATCH(data!AU$1,Haver_M!$B$1:$BZ$1,0),FALSE)),VLOOKUP($A231,Haver_M!$B$1:$BZ$300,MATCH(data!AU$1,Haver_M!$B$1:$BZ$1,0),FALSE),"")</f>
        <v>56.882300000000001</v>
      </c>
      <c r="AV231">
        <f>IF(ISNUMBER(VLOOKUP($A231,Haver_M!$B$1:$BZ$300,MATCH(data!AV$1,Haver_M!$B$1:$BZ$1,0),FALSE)),VLOOKUP($A231,Haver_M!$B$1:$BZ$300,MATCH(data!AV$1,Haver_M!$B$1:$BZ$1,0),FALSE),"")</f>
        <v>52.8157</v>
      </c>
      <c r="AW231">
        <f>IF(ISNUMBER(VLOOKUP($A231,Haver_M!$B$1:$BZ$300,MATCH(data!AW$1,Haver_M!$B$1:$BZ$1,0),FALSE)),VLOOKUP($A231,Haver_M!$B$1:$BZ$300,MATCH(data!AW$1,Haver_M!$B$1:$BZ$1,0),FALSE),"")</f>
        <v>50.201700000000002</v>
      </c>
      <c r="AX231">
        <f>IF(ISNUMBER(VLOOKUP($A231,Haver_M!$B$1:$BZ$300,MATCH(data!AX$1,Haver_M!$B$1:$BZ$1,0),FALSE)),VLOOKUP($A231,Haver_M!$B$1:$BZ$300,MATCH(data!AX$1,Haver_M!$B$1:$BZ$1,0),FALSE),"")</f>
        <v>50.674700000000001</v>
      </c>
      <c r="AY231">
        <f>IF(ISNUMBER(VLOOKUP($A231,Haver_M!$B$1:$BZ$300,MATCH(data!AY$1,Haver_M!$B$1:$BZ$1,0),FALSE)),VLOOKUP($A231,Haver_M!$B$1:$BZ$300,MATCH(data!AY$1,Haver_M!$B$1:$BZ$1,0),FALSE),"")</f>
        <v>52.233499999999999</v>
      </c>
      <c r="AZ231">
        <f>IF(ISNUMBER(VLOOKUP($A231,Haver_M!$B$1:$BZ$300,MATCH(data!AZ$1,Haver_M!$B$1:$BZ$1,0),FALSE)),VLOOKUP($A231,Haver_M!$B$1:$BZ$300,MATCH(data!AZ$1,Haver_M!$B$1:$BZ$1,0),FALSE),"")</f>
        <v>53.061199999999999</v>
      </c>
      <c r="BA231">
        <f>IF(ISNUMBER(VLOOKUP($A231,Haver_M!$B$1:$BZ$300,MATCH(data!BA$1,Haver_M!$B$1:$BZ$1,0),FALSE)),VLOOKUP($A231,Haver_M!$B$1:$BZ$300,MATCH(data!BA$1,Haver_M!$B$1:$BZ$1,0),FALSE),"")</f>
        <v>50.674700000000001</v>
      </c>
      <c r="BB231">
        <f>IF(ISNUMBER(VLOOKUP($A231,Haver_M!$B$1:$BZ$300,MATCH(data!BB$1,Haver_M!$B$1:$BZ$1,0),FALSE)),VLOOKUP($A231,Haver_M!$B$1:$BZ$300,MATCH(data!BB$1,Haver_M!$B$1:$BZ$1,0),FALSE),"")</f>
        <v>53.632399999999997</v>
      </c>
      <c r="BC231">
        <f>IF(ISNUMBER(VLOOKUP($A231,Haver_M!$B$1:$BZ$300,MATCH(data!BC$1,Haver_M!$B$1:$BZ$1,0),FALSE)),VLOOKUP($A231,Haver_M!$B$1:$BZ$300,MATCH(data!BC$1,Haver_M!$B$1:$BZ$1,0),FALSE),"")</f>
        <v>51.498199999999997</v>
      </c>
      <c r="BD231">
        <f>IF(ISNUMBER(VLOOKUP($A231,Haver_M!$B$1:$BZ$300,MATCH(data!BD$1,Haver_M!$B$1:$BZ$1,0),FALSE)),VLOOKUP($A231,Haver_M!$B$1:$BZ$300,MATCH(data!BD$1,Haver_M!$B$1:$BZ$1,0),FALSE),"")</f>
        <v>51.191699999999997</v>
      </c>
      <c r="BE231">
        <f>IF(ISNUMBER(VLOOKUP($A231,Haver_M!$B$1:$BZ$300,MATCH(data!BE$1,Haver_M!$B$1:$BZ$1,0),FALSE)),VLOOKUP($A231,Haver_M!$B$1:$BZ$300,MATCH(data!BE$1,Haver_M!$B$1:$BZ$1,0),FALSE),"")</f>
        <v>1.218</v>
      </c>
      <c r="BF231">
        <f>IF(ISNUMBER(VLOOKUP($A231,Haver_M!$B$1:$BZ$300,MATCH(data!BF$1,Haver_M!$B$1:$BZ$1,0),FALSE)),VLOOKUP($A231,Haver_M!$B$1:$BZ$300,MATCH(data!BF$1,Haver_M!$B$1:$BZ$1,0),FALSE),"")</f>
        <v>53.0154</v>
      </c>
      <c r="BG231">
        <f>IF(ISNUMBER(VLOOKUP($A231,Haver_M!$B$1:$BZ$300,MATCH(data!BG$1,Haver_M!$B$1:$BZ$1,0),FALSE)),VLOOKUP($A231,Haver_M!$B$1:$BZ$300,MATCH(data!BG$1,Haver_M!$B$1:$BZ$1,0),FALSE),"")</f>
        <v>50.469900000000003</v>
      </c>
      <c r="BH231">
        <f>IF(ISNUMBER(VLOOKUP($A231,Haver_M!$B$1:$BZ$300,MATCH(data!BH$1,Haver_M!$B$1:$BZ$1,0),FALSE)),VLOOKUP($A231,Haver_M!$B$1:$BZ$300,MATCH(data!BH$1,Haver_M!$B$1:$BZ$1,0),FALSE),"")</f>
        <v>52.574599999999997</v>
      </c>
      <c r="BI231">
        <f>IF(ISNUMBER(VLOOKUP($A231,Haver_M!$B$1:$BZ$300,MATCH(data!BI$1,Haver_M!$B$1:$BZ$1,0),FALSE)),VLOOKUP($A231,Haver_M!$B$1:$BZ$300,MATCH(data!BI$1,Haver_M!$B$1:$BZ$1,0),FALSE),"")</f>
        <v>52.669899999999998</v>
      </c>
      <c r="BJ231">
        <f>IF(ISNUMBER(VLOOKUP($A231,Haver_M!$B$1:$BZ$300,MATCH(data!BJ$1,Haver_M!$B$1:$BZ$1,0),FALSE)),VLOOKUP($A231,Haver_M!$B$1:$BZ$300,MATCH(data!BJ$1,Haver_M!$B$1:$BZ$1,0),FALSE),"")</f>
        <v>49.793700000000001</v>
      </c>
      <c r="BK231">
        <f>IF(ISNUMBER(VLOOKUP($A231,Haver_M!$B$1:$BZ$300,MATCH(data!BK$1,Haver_M!$B$1:$BZ$1,0),FALSE)),VLOOKUP($A231,Haver_M!$B$1:$BZ$300,MATCH(data!BK$1,Haver_M!$B$1:$BZ$1,0),FALSE),"")</f>
        <v>53.912799999999997</v>
      </c>
      <c r="BL231">
        <f>IF(ISNUMBER(VLOOKUP($A231,Haver_M!$B$1:$BZ$300,MATCH(data!BL$1,Haver_M!$B$1:$BZ$1,0),FALSE)),VLOOKUP($A231,Haver_M!$B$1:$BZ$300,MATCH(data!BL$1,Haver_M!$B$1:$BZ$1,0),FALSE),"")</f>
        <v>36138.339999999997</v>
      </c>
      <c r="BM231">
        <f>IF(ISNUMBER(VLOOKUP($A231,Haver_M!$B$1:$BZ$300,MATCH(data!BM$1,Haver_M!$B$1:$BZ$1,0),FALSE)),VLOOKUP($A231,Haver_M!$B$1:$BZ$300,MATCH(data!BM$1,Haver_M!$B$1:$BZ$1,0),FALSE),"")</f>
        <v>101.20120821</v>
      </c>
      <c r="BN231" t="str">
        <f>IF(ISNUMBER(VLOOKUP($A231,Haver_M!$B$1:$BZ$300,MATCH(data!BN$1,Haver_M!$B$1:$BZ$1,0),FALSE)),VLOOKUP($A231,Haver_M!$B$1:$BZ$300,MATCH(data!BN$1,Haver_M!$B$1:$BZ$1,0),FALSE),"")</f>
        <v/>
      </c>
      <c r="BO231" t="str">
        <f>IF(ISNUMBER(VLOOKUP($A231,Haver_M!$B$1:$BZ$300,MATCH(data!BO$1,Haver_M!$B$1:$BZ$1,0),FALSE)),VLOOKUP($A231,Haver_M!$B$1:$BZ$300,MATCH(data!BO$1,Haver_M!$B$1:$BZ$1,0),FALSE),"")</f>
        <v/>
      </c>
      <c r="BP231" t="str">
        <f>IF(ISNUMBER(VLOOKUP($A231,Haver_M!$B$1:$BZ$300,MATCH(data!BP$1,Haver_M!$B$1:$BZ$1,0),FALSE)),VLOOKUP($A231,Haver_M!$B$1:$BZ$300,MATCH(data!BP$1,Haver_M!$B$1:$BZ$1,0),FALSE),"")</f>
        <v/>
      </c>
      <c r="BQ231">
        <f>IF(ISNUMBER(VLOOKUP($A231,Haver_M!$B$1:$BZ$300,MATCH(data!BQ$1,Haver_M!$B$1:$BZ$1,0),FALSE)),VLOOKUP($A231,Haver_M!$B$1:$BZ$300,MATCH(data!BQ$1,Haver_M!$B$1:$BZ$1,0),FALSE),"")</f>
        <v>303.74098941616188</v>
      </c>
      <c r="BR231">
        <f>IF(ISNUMBER(VLOOKUP($A231,Haver_M!$B$1:$BZ$300,MATCH(data!BR$1,Haver_M!$B$1:$BZ$1,0),FALSE)),VLOOKUP($A231,Haver_M!$B$1:$BZ$300,MATCH(data!BR$1,Haver_M!$B$1:$BZ$1,0),FALSE),"")</f>
        <v>389.52357283865331</v>
      </c>
      <c r="BS231">
        <f>IF(ISNUMBER(VLOOKUP($A231,Haver_M!$B$1:$BZ$300,MATCH(data!BS$1,Haver_M!$B$1:$BZ$1,0),FALSE)),VLOOKUP($A231,Haver_M!$B$1:$BZ$300,MATCH(data!BS$1,Haver_M!$B$1:$BZ$1,0),FALSE),"")</f>
        <v>319.59245624233029</v>
      </c>
      <c r="BT231">
        <f>IF(ISNUMBER(VLOOKUP($A231,Haver_M!$B$1:$BZ$300,MATCH(data!BT$1,Haver_M!$B$1:$BZ$1,0),FALSE)),VLOOKUP($A231,Haver_M!$B$1:$BZ$300,MATCH(data!BT$1,Haver_M!$B$1:$BZ$1,0),FALSE),"")</f>
        <v>1166.2891137264153</v>
      </c>
      <c r="BU231">
        <f>IF(ISNUMBER(VLOOKUP($A231,Haver_M!$B$1:$BZ$300,MATCH(data!BU$1,Haver_M!$B$1:$BZ$1,0),FALSE)),VLOOKUP($A231,Haver_M!$B$1:$BZ$300,MATCH(data!BU$1,Haver_M!$B$1:$BZ$1,0),FALSE),"")</f>
        <v>26862.080000000002</v>
      </c>
      <c r="BV231">
        <f>IF(ISNUMBER(VLOOKUP($A231,Haver_M!$B$1:$BZ$300,MATCH(data!BV$1,Haver_M!$B$1:$BZ$1,0),FALSE)),VLOOKUP($A231,Haver_M!$B$1:$BZ$300,MATCH(data!BV$1,Haver_M!$B$1:$BZ$1,0),FALSE),"")</f>
        <v>36591.129999999997</v>
      </c>
      <c r="BW231">
        <f>IF(ISNUMBER(VLOOKUP($A231,Haver_M!$B$1:$BZ$300,MATCH(data!BW$1,Haver_M!$B$1:$BZ$1,0),FALSE)),VLOOKUP($A231,Haver_M!$B$1:$BZ$300,MATCH(data!BW$1,Haver_M!$B$1:$BZ$1,0),FALSE),"")</f>
        <v>71.221800000000002</v>
      </c>
      <c r="BX231">
        <f>IF(ISNUMBER(VLOOKUP($A231,Haver_M!$B$1:$BZ$300,MATCH(data!BX$1,Haver_M!$B$1:$BZ$1,0),FALSE)),VLOOKUP($A231,Haver_M!$B$1:$BZ$300,MATCH(data!BX$1,Haver_M!$B$1:$BZ$1,0),FALSE),"")</f>
        <v>67064</v>
      </c>
    </row>
    <row r="232" spans="1:76" x14ac:dyDescent="0.25">
      <c r="A232" s="2">
        <v>43555</v>
      </c>
      <c r="B232">
        <f>IF(ISNUMBER(VLOOKUP($A232,Haver_Q!$B$1:$L$185,MATCH(data!B$1,Haver_Q!$B$1:$L$1,0),FALSE)),100*(VLOOKUP($A232,Haver_Q!$B$1:$L$185,MATCH(data!B$1,Haver_Q!$B$1:$L$1,0),FALSE)),"")</f>
        <v>4.1424687710228003</v>
      </c>
      <c r="C232">
        <f>IF(ISNUMBER(VLOOKUP($A232,Haver_Q!$B$1:$L$185,MATCH(data!C$1,Haver_Q!$B$1:$L$1,0),FALSE)),100*(VLOOKUP($A232,Haver_Q!$B$1:$L$185,MATCH(data!C$1,Haver_Q!$B$1:$L$1,0),FALSE)),"")</f>
        <v>7.6348030602927608</v>
      </c>
      <c r="D232">
        <f>IF(ISNUMBER(VLOOKUP($A232,Haver_Q!$B$1:$L$185,MATCH(data!D$1,Haver_Q!$B$1:$L$1,0),FALSE)),100*(VLOOKUP($A232,Haver_Q!$B$1:$L$185,MATCH(data!D$1,Haver_Q!$B$1:$L$1,0),FALSE)),"")</f>
        <v>46.801728391896646</v>
      </c>
      <c r="E232">
        <f>IF(ISNUMBER(VLOOKUP($A232,Haver_Q!$B$1:$L$185,MATCH(data!E$1,Haver_Q!$B$1:$L$1,0),FALSE)),100*(VLOOKUP($A232,Haver_Q!$B$1:$L$185,MATCH(data!E$1,Haver_Q!$B$1:$L$1,0),FALSE)),"")</f>
        <v>-19.154143044063289</v>
      </c>
      <c r="F232">
        <f>IF(ISNUMBER(VLOOKUP($A232,Haver_Q!$B$1:$L$185,MATCH(data!F$1,Haver_Q!$B$1:$L$1,0),FALSE)),100*(VLOOKUP($A232,Haver_Q!$B$1:$L$185,MATCH(data!F$1,Haver_Q!$B$1:$L$1,0),FALSE)),"")</f>
        <v>-11.775900829074725</v>
      </c>
      <c r="G232">
        <f>IF(ISNUMBER(VLOOKUP($A232,Haver_Q!$B$1:$L$185,MATCH(data!G$1,Haver_Q!$B$1:$L$1,0),FALSE)),100*(VLOOKUP($A232,Haver_Q!$B$1:$L$185,MATCH(data!G$1,Haver_Q!$B$1:$L$1,0),FALSE)),"")</f>
        <v>-6.0714394465212536</v>
      </c>
      <c r="H232">
        <f>IF(ISNUMBER(VLOOKUP($A232,Haver_Q!$B$1:$L$185,MATCH(data!H$1,Haver_Q!$B$1:$L$1,0),FALSE)),(VLOOKUP($A232,Haver_Q!$B$1:$L$185,MATCH(data!H$1,Haver_Q!$B$1:$L$1,0),FALSE)),"")</f>
        <v>3.2958587653469262</v>
      </c>
      <c r="I232">
        <f>IF(ISNUMBER(VLOOKUP($A232,Haver_Q!$B$1:$L$185,MATCH(data!I$1,Haver_Q!$B$1:$L$1,0),FALSE)),100*(VLOOKUP($A232,Haver_Q!$B$1:$L$185,MATCH(data!I$1,Haver_Q!$B$1:$L$1,0),FALSE)),"")</f>
        <v>5.830804089125019</v>
      </c>
      <c r="J232" s="3">
        <f>IF(ISNUMBER(Bloomberg_m!C248),Bloomberg_m!C248,"")</f>
        <v>680</v>
      </c>
      <c r="K232" s="3">
        <f>IF(ISNUMBER(Bloomberg_m!D248),Bloomberg_m!D248,"")</f>
        <v>1344.95</v>
      </c>
      <c r="L232" s="3">
        <f>IF(ISNUMBER(Bloomberg_m!E248),Bloomberg_m!E248,"")</f>
        <v>766.82</v>
      </c>
      <c r="M232" s="3">
        <f>IF(ISNUMBER(Bloomberg_m!F248),Bloomberg_m!F248,"")</f>
        <v>398.09</v>
      </c>
      <c r="N232">
        <f>IF(ISNUMBER(VLOOKUP($A232,Haver_M!$B$1:$BZ$300,MATCH(data!N$1,Haver_M!$B$1:$BZ$1,0),FALSE)),VLOOKUP($A232,Haver_M!$B$1:$BZ$300,MATCH(data!N$1,Haver_M!$B$1:$BZ$1,0),FALSE),"")</f>
        <v>6.25</v>
      </c>
      <c r="O232">
        <f>IF(ISNUMBER(VLOOKUP($A232,Haver_M!$B$1:$BZ$300,MATCH(data!O$1,Haver_M!$B$1:$BZ$1,0),FALSE)),VLOOKUP($A232,Haver_M!$B$1:$BZ$300,MATCH(data!O$1,Haver_M!$B$1:$BZ$1,0),FALSE),"")</f>
        <v>7.3700999999999999</v>
      </c>
      <c r="P232">
        <f>IF(ISNUMBER(VLOOKUP($A232,Haver_M!$B$1:$BZ$300,MATCH(data!P$1,Haver_M!$B$1:$BZ$1,0),FALSE)),VLOOKUP($A232,Haver_M!$B$1:$BZ$300,MATCH(data!P$1,Haver_M!$B$1:$BZ$1,0),FALSE),"")</f>
        <v>89.958529999999996</v>
      </c>
      <c r="Q232">
        <f>IF(ISNUMBER(VLOOKUP($A232,Haver_M!$B$1:$BZ$300,MATCH(data!Q$1,Haver_M!$B$1:$BZ$1,0),FALSE)),VLOOKUP($A232,Haver_M!$B$1:$BZ$300,MATCH(data!Q$1,Haver_M!$B$1:$BZ$1,0),FALSE),"")</f>
        <v>140.4</v>
      </c>
      <c r="R232">
        <f>IF(ISNUMBER(VLOOKUP($A232,Haver_M!$B$1:$BZ$300,MATCH(data!R$1,Haver_M!$B$1:$BZ$1,0),FALSE)),VLOOKUP($A232,Haver_M!$B$1:$BZ$300,MATCH(data!R$1,Haver_M!$B$1:$BZ$1,0),FALSE),"")</f>
        <v>144.69999999999999</v>
      </c>
      <c r="S232">
        <f>IF(ISNUMBER(VLOOKUP($A232,Haver_M!$B$1:$BZ$300,MATCH(data!S$1,Haver_M!$B$1:$BZ$1,0),FALSE)),VLOOKUP($A232,Haver_M!$B$1:$BZ$300,MATCH(data!S$1,Haver_M!$B$1:$BZ$1,0),FALSE),"")</f>
        <v>132.37</v>
      </c>
      <c r="T232">
        <f>IF(ISNUMBER(VLOOKUP($A232,Haver_M!$B$1:$BZ$300,MATCH(data!T$1,Haver_M!$B$1:$BZ$1,0),FALSE)),VLOOKUP($A232,Haver_M!$B$1:$BZ$300,MATCH(data!T$1,Haver_M!$B$1:$BZ$1,0),FALSE),"")</f>
        <v>128.34</v>
      </c>
      <c r="U232">
        <f>IF(ISNUMBER(VLOOKUP($A232,Haver_M!$B$1:$BZ$300,MATCH(data!U$1,Haver_M!$B$1:$BZ$1,0),FALSE)),VLOOKUP($A232,Haver_M!$B$1:$BZ$300,MATCH(data!U$1,Haver_M!$B$1:$BZ$1,0),FALSE),"")</f>
        <v>95.21</v>
      </c>
      <c r="V232">
        <f>IF(ISNUMBER(VLOOKUP($A232,Haver_M!$B$1:$BZ$300,MATCH(data!V$1,Haver_M!$B$1:$BZ$1,0),FALSE)),VLOOKUP($A232,Haver_M!$B$1:$BZ$300,MATCH(data!V$1,Haver_M!$B$1:$BZ$1,0),FALSE),"")</f>
        <v>142.56</v>
      </c>
      <c r="W232">
        <f>IF(ISNUMBER(VLOOKUP($A232,Haver_M!$B$1:$BZ$300,MATCH(data!W$1,Haver_M!$B$1:$BZ$1,0),FALSE)),VLOOKUP($A232,Haver_M!$B$1:$BZ$300,MATCH(data!W$1,Haver_M!$B$1:$BZ$1,0),FALSE),"")</f>
        <v>145.31</v>
      </c>
      <c r="X232">
        <f>IF(ISNUMBER(VLOOKUP($A232,Haver_M!$B$1:$BZ$300,MATCH(data!X$1,Haver_M!$B$1:$BZ$1,0),FALSE)),VLOOKUP($A232,Haver_M!$B$1:$BZ$300,MATCH(data!X$1,Haver_M!$B$1:$BZ$1,0),FALSE),"")</f>
        <v>124.51</v>
      </c>
      <c r="Y232">
        <f>IF(ISNUMBER(VLOOKUP($A232,Haver_M!$B$1:$BZ$300,MATCH(data!Y$1,Haver_M!$B$1:$BZ$1,0),FALSE)),VLOOKUP($A232,Haver_M!$B$1:$BZ$300,MATCH(data!Y$1,Haver_M!$B$1:$BZ$1,0),FALSE),"")</f>
        <v>144.86000000000001</v>
      </c>
      <c r="Z232">
        <f>IF(ISNUMBER(VLOOKUP($A232,Haver_M!$B$1:$BZ$300,MATCH(data!Z$1,Haver_M!$B$1:$BZ$1,0),FALSE)),VLOOKUP($A232,Haver_M!$B$1:$BZ$300,MATCH(data!Z$1,Haver_M!$B$1:$BZ$1,0),FALSE),"")</f>
        <v>136.6</v>
      </c>
      <c r="AA232">
        <f>IF(ISNUMBER(VLOOKUP($A232,Haver_M!$B$1:$BZ$300,MATCH(data!AA$1,Haver_M!$B$1:$BZ$1,0),FALSE)),VLOOKUP($A232,Haver_M!$B$1:$BZ$300,MATCH(data!AA$1,Haver_M!$B$1:$BZ$1,0),FALSE),"")</f>
        <v>147.66</v>
      </c>
      <c r="AB232">
        <f>IF(ISNUMBER(VLOOKUP($A232,Haver_M!$B$1:$BZ$300,MATCH(data!AB$1,Haver_M!$B$1:$BZ$1,0),FALSE)),VLOOKUP($A232,Haver_M!$B$1:$BZ$300,MATCH(data!AB$1,Haver_M!$B$1:$BZ$1,0),FALSE),"")</f>
        <v>87.376999999999995</v>
      </c>
      <c r="AC232">
        <f>IF(ISNUMBER(VLOOKUP($A232,Haver_M!$B$1:$BZ$300,MATCH(data!AC$1,Haver_M!$B$1:$BZ$1,0),FALSE)),VLOOKUP($A232,Haver_M!$B$1:$BZ$300,MATCH(data!AC$1,Haver_M!$B$1:$BZ$1,0),FALSE),"")</f>
        <v>69.748999999999995</v>
      </c>
      <c r="AD232">
        <f>IF(ISNUMBER(VLOOKUP($A232,Haver_M!$B$1:$BZ$300,MATCH(data!AD$1,Haver_M!$B$1:$BZ$1,0),FALSE)),VLOOKUP($A232,Haver_M!$B$1:$BZ$300,MATCH(data!AD$1,Haver_M!$B$1:$BZ$1,0),FALSE),"")</f>
        <v>130.00399999999999</v>
      </c>
      <c r="AE232">
        <f>IF(ISNUMBER(VLOOKUP($A232,Haver_M!$B$1:$BZ$300,MATCH(data!AE$1,Haver_M!$B$1:$BZ$1,0),FALSE)),VLOOKUP($A232,Haver_M!$B$1:$BZ$300,MATCH(data!AE$1,Haver_M!$B$1:$BZ$1,0),FALSE),"")</f>
        <v>116.96299999999999</v>
      </c>
      <c r="AF232">
        <f>IF(ISNUMBER(VLOOKUP($A232,Haver_M!$B$1:$BZ$300,MATCH(data!AF$1,Haver_M!$B$1:$BZ$1,0),FALSE)),VLOOKUP($A232,Haver_M!$B$1:$BZ$300,MATCH(data!AF$1,Haver_M!$B$1:$BZ$1,0),FALSE),"")</f>
        <v>160.54499999999999</v>
      </c>
      <c r="AG232">
        <f>IF(ISNUMBER(VLOOKUP($A232,Haver_M!$B$1:$BZ$300,MATCH(data!AG$1,Haver_M!$B$1:$BZ$1,0),FALSE)),VLOOKUP($A232,Haver_M!$B$1:$BZ$300,MATCH(data!AG$1,Haver_M!$B$1:$BZ$1,0),FALSE),"")</f>
        <v>155.982</v>
      </c>
      <c r="AH232">
        <f>IF(ISNUMBER(VLOOKUP($A232,Haver_M!$B$1:$BZ$300,MATCH(data!AH$1,Haver_M!$B$1:$BZ$1,0),FALSE)),VLOOKUP($A232,Haver_M!$B$1:$BZ$300,MATCH(data!AH$1,Haver_M!$B$1:$BZ$1,0),FALSE),"")</f>
        <v>158.756</v>
      </c>
      <c r="AI232">
        <f>IF(ISNUMBER(VLOOKUP($A232,Haver_M!$B$1:$BZ$300,MATCH(data!AI$1,Haver_M!$B$1:$BZ$1,0),FALSE)),VLOOKUP($A232,Haver_M!$B$1:$BZ$300,MATCH(data!AI$1,Haver_M!$B$1:$BZ$1,0),FALSE),"")</f>
        <v>18285.43206481386</v>
      </c>
      <c r="AJ232">
        <f>IF(ISNUMBER(VLOOKUP($A232,Haver_M!$B$1:$BZ$300,MATCH(data!AJ$1,Haver_M!$B$1:$BZ$1,0),FALSE)),VLOOKUP($A232,Haver_M!$B$1:$BZ$300,MATCH(data!AJ$1,Haver_M!$B$1:$BZ$1,0),FALSE),"")</f>
        <v>28521.7</v>
      </c>
      <c r="AK232">
        <f>IF(ISNUMBER(VLOOKUP($A232,Haver_M!$B$1:$BZ$300,MATCH(data!AK$1,Haver_M!$B$1:$BZ$1,0),FALSE)),VLOOKUP($A232,Haver_M!$B$1:$BZ$300,MATCH(data!AK$1,Haver_M!$B$1:$BZ$1,0),FALSE),"")</f>
        <v>41951.75</v>
      </c>
      <c r="AL232">
        <f>IF(ISNUMBER(VLOOKUP($A232,Haver_M!$B$1:$BZ$300,MATCH(data!AL$1,Haver_M!$B$1:$BZ$1,0),FALSE)),VLOOKUP($A232,Haver_M!$B$1:$BZ$300,MATCH(data!AL$1,Haver_M!$B$1:$BZ$1,0),FALSE),"")</f>
        <v>17944</v>
      </c>
      <c r="AM232">
        <f>IF(ISNUMBER(VLOOKUP($A232,Haver_M!$B$1:$BZ$300,MATCH(data!AM$1,Haver_M!$B$1:$BZ$1,0),FALSE)),VLOOKUP($A232,Haver_M!$B$1:$BZ$300,MATCH(data!AM$1,Haver_M!$B$1:$BZ$1,0),FALSE),"")</f>
        <v>11365</v>
      </c>
      <c r="AN232">
        <f>IF(ISNUMBER(VLOOKUP($A232,Haver_M!$B$1:$BZ$300,MATCH(data!AN$1,Haver_M!$B$1:$BZ$1,0),FALSE)),VLOOKUP($A232,Haver_M!$B$1:$BZ$300,MATCH(data!AN$1,Haver_M!$B$1:$BZ$1,0),FALSE),"")</f>
        <v>104.6</v>
      </c>
      <c r="AO232">
        <f>IF(ISNUMBER(VLOOKUP($A232,Haver_M!$B$1:$BZ$300,MATCH(data!AO$1,Haver_M!$B$1:$BZ$1,0),FALSE)),VLOOKUP($A232,Haver_M!$B$1:$BZ$300,MATCH(data!AO$1,Haver_M!$B$1:$BZ$1,0),FALSE),"")</f>
        <v>133.4</v>
      </c>
      <c r="AP232">
        <f>IF(ISNUMBER(VLOOKUP($A232,Haver_M!$B$1:$BZ$300,MATCH(data!AP$1,Haver_M!$B$1:$BZ$1,0),FALSE)),VLOOKUP($A232,Haver_M!$B$1:$BZ$300,MATCH(data!AP$1,Haver_M!$B$1:$BZ$1,0),FALSE),"")</f>
        <v>50.342731922892376</v>
      </c>
      <c r="AQ232">
        <f>IF(ISNUMBER(VLOOKUP($A232,Haver_M!$B$1:$BZ$300,MATCH(data!AQ$1,Haver_M!$B$1:$BZ$1,0),FALSE)),VLOOKUP($A232,Haver_M!$B$1:$BZ$300,MATCH(data!AQ$1,Haver_M!$B$1:$BZ$1,0),FALSE),"")</f>
        <v>52.704300000000003</v>
      </c>
      <c r="AR232">
        <f>IF(ISNUMBER(VLOOKUP($A232,Haver_M!$B$1:$BZ$300,MATCH(data!AR$1,Haver_M!$B$1:$BZ$1,0),FALSE)),VLOOKUP($A232,Haver_M!$B$1:$BZ$300,MATCH(data!AR$1,Haver_M!$B$1:$BZ$1,0),FALSE),"")</f>
        <v>52.626300000000001</v>
      </c>
      <c r="AS232">
        <f>IF(ISNUMBER(VLOOKUP($A232,Haver_M!$B$1:$BZ$300,MATCH(data!AS$1,Haver_M!$B$1:$BZ$1,0),FALSE)),VLOOKUP($A232,Haver_M!$B$1:$BZ$300,MATCH(data!AS$1,Haver_M!$B$1:$BZ$1,0),FALSE),"")</f>
        <v>51.950899999999997</v>
      </c>
      <c r="AT232">
        <f>IF(ISNUMBER(VLOOKUP($A232,Haver_M!$B$1:$BZ$300,MATCH(data!AT$1,Haver_M!$B$1:$BZ$1,0),FALSE)),VLOOKUP($A232,Haver_M!$B$1:$BZ$300,MATCH(data!AT$1,Haver_M!$B$1:$BZ$1,0),FALSE),"")</f>
        <v>54.320700000000002</v>
      </c>
      <c r="AU232">
        <f>IF(ISNUMBER(VLOOKUP($A232,Haver_M!$B$1:$BZ$300,MATCH(data!AU$1,Haver_M!$B$1:$BZ$1,0),FALSE)),VLOOKUP($A232,Haver_M!$B$1:$BZ$300,MATCH(data!AU$1,Haver_M!$B$1:$BZ$1,0),FALSE),"")</f>
        <v>54.168700000000001</v>
      </c>
      <c r="AV232">
        <f>IF(ISNUMBER(VLOOKUP($A232,Haver_M!$B$1:$BZ$300,MATCH(data!AV$1,Haver_M!$B$1:$BZ$1,0),FALSE)),VLOOKUP($A232,Haver_M!$B$1:$BZ$300,MATCH(data!AV$1,Haver_M!$B$1:$BZ$1,0),FALSE),"")</f>
        <v>50.8872</v>
      </c>
      <c r="AW232">
        <f>IF(ISNUMBER(VLOOKUP($A232,Haver_M!$B$1:$BZ$300,MATCH(data!AW$1,Haver_M!$B$1:$BZ$1,0),FALSE)),VLOOKUP($A232,Haver_M!$B$1:$BZ$300,MATCH(data!AW$1,Haver_M!$B$1:$BZ$1,0),FALSE),"")</f>
        <v>49.886400000000002</v>
      </c>
      <c r="AX232">
        <f>IF(ISNUMBER(VLOOKUP($A232,Haver_M!$B$1:$BZ$300,MATCH(data!AX$1,Haver_M!$B$1:$BZ$1,0),FALSE)),VLOOKUP($A232,Haver_M!$B$1:$BZ$300,MATCH(data!AX$1,Haver_M!$B$1:$BZ$1,0),FALSE),"")</f>
        <v>51.01</v>
      </c>
      <c r="AY232">
        <f>IF(ISNUMBER(VLOOKUP($A232,Haver_M!$B$1:$BZ$300,MATCH(data!AY$1,Haver_M!$B$1:$BZ$1,0),FALSE)),VLOOKUP($A232,Haver_M!$B$1:$BZ$300,MATCH(data!AY$1,Haver_M!$B$1:$BZ$1,0),FALSE),"")</f>
        <v>51.879800000000003</v>
      </c>
      <c r="AZ232">
        <f>IF(ISNUMBER(VLOOKUP($A232,Haver_M!$B$1:$BZ$300,MATCH(data!AZ$1,Haver_M!$B$1:$BZ$1,0),FALSE)),VLOOKUP($A232,Haver_M!$B$1:$BZ$300,MATCH(data!AZ$1,Haver_M!$B$1:$BZ$1,0),FALSE),"")</f>
        <v>51.013199999999998</v>
      </c>
      <c r="BA232">
        <f>IF(ISNUMBER(VLOOKUP($A232,Haver_M!$B$1:$BZ$300,MATCH(data!BA$1,Haver_M!$B$1:$BZ$1,0),FALSE)),VLOOKUP($A232,Haver_M!$B$1:$BZ$300,MATCH(data!BA$1,Haver_M!$B$1:$BZ$1,0),FALSE),"")</f>
        <v>51.01</v>
      </c>
      <c r="BB232">
        <f>IF(ISNUMBER(VLOOKUP($A232,Haver_M!$B$1:$BZ$300,MATCH(data!BB$1,Haver_M!$B$1:$BZ$1,0),FALSE)),VLOOKUP($A232,Haver_M!$B$1:$BZ$300,MATCH(data!BB$1,Haver_M!$B$1:$BZ$1,0),FALSE),"")</f>
        <v>53.247100000000003</v>
      </c>
      <c r="BC232">
        <f>IF(ISNUMBER(VLOOKUP($A232,Haver_M!$B$1:$BZ$300,MATCH(data!BC$1,Haver_M!$B$1:$BZ$1,0),FALSE)),VLOOKUP($A232,Haver_M!$B$1:$BZ$300,MATCH(data!BC$1,Haver_M!$B$1:$BZ$1,0),FALSE),"")</f>
        <v>51.323900000000002</v>
      </c>
      <c r="BD232">
        <f>IF(ISNUMBER(VLOOKUP($A232,Haver_M!$B$1:$BZ$300,MATCH(data!BD$1,Haver_M!$B$1:$BZ$1,0),FALSE)),VLOOKUP($A232,Haver_M!$B$1:$BZ$300,MATCH(data!BD$1,Haver_M!$B$1:$BZ$1,0),FALSE),"")</f>
        <v>50.869100000000003</v>
      </c>
      <c r="BE232">
        <f>IF(ISNUMBER(VLOOKUP($A232,Haver_M!$B$1:$BZ$300,MATCH(data!BE$1,Haver_M!$B$1:$BZ$1,0),FALSE)),VLOOKUP($A232,Haver_M!$B$1:$BZ$300,MATCH(data!BE$1,Haver_M!$B$1:$BZ$1,0),FALSE),"")</f>
        <v>1.1184000000000001</v>
      </c>
      <c r="BF232">
        <f>IF(ISNUMBER(VLOOKUP($A232,Haver_M!$B$1:$BZ$300,MATCH(data!BF$1,Haver_M!$B$1:$BZ$1,0),FALSE)),VLOOKUP($A232,Haver_M!$B$1:$BZ$300,MATCH(data!BF$1,Haver_M!$B$1:$BZ$1,0),FALSE),"")</f>
        <v>51.362400000000001</v>
      </c>
      <c r="BG232">
        <f>IF(ISNUMBER(VLOOKUP($A232,Haver_M!$B$1:$BZ$300,MATCH(data!BG$1,Haver_M!$B$1:$BZ$1,0),FALSE)),VLOOKUP($A232,Haver_M!$B$1:$BZ$300,MATCH(data!BG$1,Haver_M!$B$1:$BZ$1,0),FALSE),"")</f>
        <v>51.060099999999998</v>
      </c>
      <c r="BH232">
        <f>IF(ISNUMBER(VLOOKUP($A232,Haver_M!$B$1:$BZ$300,MATCH(data!BH$1,Haver_M!$B$1:$BZ$1,0),FALSE)),VLOOKUP($A232,Haver_M!$B$1:$BZ$300,MATCH(data!BH$1,Haver_M!$B$1:$BZ$1,0),FALSE),"")</f>
        <v>52.264400000000002</v>
      </c>
      <c r="BI232">
        <f>IF(ISNUMBER(VLOOKUP($A232,Haver_M!$B$1:$BZ$300,MATCH(data!BI$1,Haver_M!$B$1:$BZ$1,0),FALSE)),VLOOKUP($A232,Haver_M!$B$1:$BZ$300,MATCH(data!BI$1,Haver_M!$B$1:$BZ$1,0),FALSE),"")</f>
        <v>51.785800000000002</v>
      </c>
      <c r="BJ232">
        <f>IF(ISNUMBER(VLOOKUP($A232,Haver_M!$B$1:$BZ$300,MATCH(data!BJ$1,Haver_M!$B$1:$BZ$1,0),FALSE)),VLOOKUP($A232,Haver_M!$B$1:$BZ$300,MATCH(data!BJ$1,Haver_M!$B$1:$BZ$1,0),FALSE),"")</f>
        <v>51.1449</v>
      </c>
      <c r="BK232">
        <f>IF(ISNUMBER(VLOOKUP($A232,Haver_M!$B$1:$BZ$300,MATCH(data!BK$1,Haver_M!$B$1:$BZ$1,0),FALSE)),VLOOKUP($A232,Haver_M!$B$1:$BZ$300,MATCH(data!BK$1,Haver_M!$B$1:$BZ$1,0),FALSE),"")</f>
        <v>53.491399999999999</v>
      </c>
      <c r="BL232">
        <f>IF(ISNUMBER(VLOOKUP($A232,Haver_M!$B$1:$BZ$300,MATCH(data!BL$1,Haver_M!$B$1:$BZ$1,0),FALSE)),VLOOKUP($A232,Haver_M!$B$1:$BZ$300,MATCH(data!BL$1,Haver_M!$B$1:$BZ$1,0),FALSE),"")</f>
        <v>37634.959999999999</v>
      </c>
      <c r="BM232">
        <f>IF(ISNUMBER(VLOOKUP($A232,Haver_M!$B$1:$BZ$300,MATCH(data!BM$1,Haver_M!$B$1:$BZ$1,0),FALSE)),VLOOKUP($A232,Haver_M!$B$1:$BZ$300,MATCH(data!BM$1,Haver_M!$B$1:$BZ$1,0),FALSE),"")</f>
        <v>102.31088409</v>
      </c>
      <c r="BN232">
        <f>IF(ISNUMBER(VLOOKUP($A232,Haver_M!$B$1:$BZ$300,MATCH(data!BN$1,Haver_M!$B$1:$BZ$1,0),FALSE)),VLOOKUP($A232,Haver_M!$B$1:$BZ$300,MATCH(data!BN$1,Haver_M!$B$1:$BZ$1,0),FALSE),"")</f>
        <v>107.2</v>
      </c>
      <c r="BO232">
        <f>IF(ISNUMBER(VLOOKUP($A232,Haver_M!$B$1:$BZ$300,MATCH(data!BO$1,Haver_M!$B$1:$BZ$1,0),FALSE)),VLOOKUP($A232,Haver_M!$B$1:$BZ$300,MATCH(data!BO$1,Haver_M!$B$1:$BZ$1,0),FALSE),"")</f>
        <v>116.2</v>
      </c>
      <c r="BP232">
        <f>IF(ISNUMBER(VLOOKUP($A232,Haver_M!$B$1:$BZ$300,MATCH(data!BP$1,Haver_M!$B$1:$BZ$1,0),FALSE)),VLOOKUP($A232,Haver_M!$B$1:$BZ$300,MATCH(data!BP$1,Haver_M!$B$1:$BZ$1,0),FALSE),"")</f>
        <v>36.700000000000003</v>
      </c>
      <c r="BQ232">
        <f>IF(ISNUMBER(VLOOKUP($A232,Haver_M!$B$1:$BZ$300,MATCH(data!BQ$1,Haver_M!$B$1:$BZ$1,0),FALSE)),VLOOKUP($A232,Haver_M!$B$1:$BZ$300,MATCH(data!BQ$1,Haver_M!$B$1:$BZ$1,0),FALSE),"")</f>
        <v>319.62820206509627</v>
      </c>
      <c r="BR232">
        <f>IF(ISNUMBER(VLOOKUP($A232,Haver_M!$B$1:$BZ$300,MATCH(data!BR$1,Haver_M!$B$1:$BZ$1,0),FALSE)),VLOOKUP($A232,Haver_M!$B$1:$BZ$300,MATCH(data!BR$1,Haver_M!$B$1:$BZ$1,0),FALSE),"")</f>
        <v>415.34774736393649</v>
      </c>
      <c r="BS232">
        <f>IF(ISNUMBER(VLOOKUP($A232,Haver_M!$B$1:$BZ$300,MATCH(data!BS$1,Haver_M!$B$1:$BZ$1,0),FALSE)),VLOOKUP($A232,Haver_M!$B$1:$BZ$300,MATCH(data!BS$1,Haver_M!$B$1:$BZ$1,0),FALSE),"")</f>
        <v>347.67669469448145</v>
      </c>
      <c r="BT232">
        <f>IF(ISNUMBER(VLOOKUP($A232,Haver_M!$B$1:$BZ$300,MATCH(data!BT$1,Haver_M!$B$1:$BZ$1,0),FALSE)),VLOOKUP($A232,Haver_M!$B$1:$BZ$300,MATCH(data!BT$1,Haver_M!$B$1:$BZ$1,0),FALSE),"")</f>
        <v>1242.6010311088594</v>
      </c>
      <c r="BU232">
        <f>IF(ISNUMBER(VLOOKUP($A232,Haver_M!$B$1:$BZ$300,MATCH(data!BU$1,Haver_M!$B$1:$BZ$1,0),FALSE)),VLOOKUP($A232,Haver_M!$B$1:$BZ$300,MATCH(data!BU$1,Haver_M!$B$1:$BZ$1,0),FALSE),"")</f>
        <v>32725.19</v>
      </c>
      <c r="BV232">
        <f>IF(ISNUMBER(VLOOKUP($A232,Haver_M!$B$1:$BZ$300,MATCH(data!BV$1,Haver_M!$B$1:$BZ$1,0),FALSE)),VLOOKUP($A232,Haver_M!$B$1:$BZ$300,MATCH(data!BV$1,Haver_M!$B$1:$BZ$1,0),FALSE),"")</f>
        <v>43690.44</v>
      </c>
      <c r="BW232">
        <f>IF(ISNUMBER(VLOOKUP($A232,Haver_M!$B$1:$BZ$300,MATCH(data!BW$1,Haver_M!$B$1:$BZ$1,0),FALSE)),VLOOKUP($A232,Haver_M!$B$1:$BZ$300,MATCH(data!BW$1,Haver_M!$B$1:$BZ$1,0),FALSE),"")</f>
        <v>69.4786</v>
      </c>
      <c r="BX232">
        <f>IF(ISNUMBER(VLOOKUP($A232,Haver_M!$B$1:$BZ$300,MATCH(data!BX$1,Haver_M!$B$1:$BZ$1,0),FALSE)),VLOOKUP($A232,Haver_M!$B$1:$BZ$300,MATCH(data!BX$1,Haver_M!$B$1:$BZ$1,0),FALSE),"")</f>
        <v>61999</v>
      </c>
    </row>
    <row r="233" spans="1:76" x14ac:dyDescent="0.25">
      <c r="A233" s="2">
        <v>43585</v>
      </c>
      <c r="B233" t="str">
        <f>IF(ISNUMBER(VLOOKUP($A233,Haver_Q!$B$1:$L$185,MATCH(data!B$1,Haver_Q!$B$1:$L$1,0),FALSE)),100*(VLOOKUP($A233,Haver_Q!$B$1:$L$185,MATCH(data!B$1,Haver_Q!$B$1:$L$1,0),FALSE)),"")</f>
        <v/>
      </c>
      <c r="C233" t="str">
        <f>IF(ISNUMBER(VLOOKUP($A233,Haver_Q!$B$1:$L$185,MATCH(data!C$1,Haver_Q!$B$1:$L$1,0),FALSE)),100*(VLOOKUP($A233,Haver_Q!$B$1:$L$185,MATCH(data!C$1,Haver_Q!$B$1:$L$1,0),FALSE)),"")</f>
        <v/>
      </c>
      <c r="D233" t="str">
        <f>IF(ISNUMBER(VLOOKUP($A233,Haver_Q!$B$1:$L$185,MATCH(data!D$1,Haver_Q!$B$1:$L$1,0),FALSE)),100*(VLOOKUP($A233,Haver_Q!$B$1:$L$185,MATCH(data!D$1,Haver_Q!$B$1:$L$1,0),FALSE)),"")</f>
        <v/>
      </c>
      <c r="E233" t="str">
        <f>IF(ISNUMBER(VLOOKUP($A233,Haver_Q!$B$1:$L$185,MATCH(data!E$1,Haver_Q!$B$1:$L$1,0),FALSE)),100*(VLOOKUP($A233,Haver_Q!$B$1:$L$185,MATCH(data!E$1,Haver_Q!$B$1:$L$1,0),FALSE)),"")</f>
        <v/>
      </c>
      <c r="F233" t="str">
        <f>IF(ISNUMBER(VLOOKUP($A233,Haver_Q!$B$1:$L$185,MATCH(data!F$1,Haver_Q!$B$1:$L$1,0),FALSE)),100*(VLOOKUP($A233,Haver_Q!$B$1:$L$185,MATCH(data!F$1,Haver_Q!$B$1:$L$1,0),FALSE)),"")</f>
        <v/>
      </c>
      <c r="G233" t="str">
        <f>IF(ISNUMBER(VLOOKUP($A233,Haver_Q!$B$1:$L$185,MATCH(data!G$1,Haver_Q!$B$1:$L$1,0),FALSE)),100*(VLOOKUP($A233,Haver_Q!$B$1:$L$185,MATCH(data!G$1,Haver_Q!$B$1:$L$1,0),FALSE)),"")</f>
        <v/>
      </c>
      <c r="H233" t="str">
        <f>IF(ISNUMBER(VLOOKUP($A233,Haver_Q!$B$1:$L$185,MATCH(data!H$1,Haver_Q!$B$1:$L$1,0),FALSE)),(VLOOKUP($A233,Haver_Q!$B$1:$L$185,MATCH(data!H$1,Haver_Q!$B$1:$L$1,0),FALSE)),"")</f>
        <v/>
      </c>
      <c r="I233" t="str">
        <f>IF(ISNUMBER(VLOOKUP($A233,Haver_Q!$B$1:$L$185,MATCH(data!I$1,Haver_Q!$B$1:$L$1,0),FALSE)),100*(VLOOKUP($A233,Haver_Q!$B$1:$L$185,MATCH(data!I$1,Haver_Q!$B$1:$L$1,0),FALSE)),"")</f>
        <v/>
      </c>
      <c r="J233" s="3">
        <f>IF(ISNUMBER(Bloomberg_m!C249),Bloomberg_m!C249,"")</f>
        <v>773</v>
      </c>
      <c r="K233" s="3">
        <f>IF(ISNUMBER(Bloomberg_m!D249),Bloomberg_m!D249,"")</f>
        <v>1350.31</v>
      </c>
      <c r="L233" s="3">
        <f>IF(ISNUMBER(Bloomberg_m!E249),Bloomberg_m!E249,"")</f>
        <v>778.61</v>
      </c>
      <c r="M233" s="3">
        <f>IF(ISNUMBER(Bloomberg_m!F249),Bloomberg_m!F249,"")</f>
        <v>425.39</v>
      </c>
      <c r="N233">
        <f>IF(ISNUMBER(VLOOKUP($A233,Haver_M!$B$1:$BZ$300,MATCH(data!N$1,Haver_M!$B$1:$BZ$1,0),FALSE)),VLOOKUP($A233,Haver_M!$B$1:$BZ$300,MATCH(data!N$1,Haver_M!$B$1:$BZ$1,0),FALSE),"")</f>
        <v>6</v>
      </c>
      <c r="O233">
        <f>IF(ISNUMBER(VLOOKUP($A233,Haver_M!$B$1:$BZ$300,MATCH(data!O$1,Haver_M!$B$1:$BZ$1,0),FALSE)),VLOOKUP($A233,Haver_M!$B$1:$BZ$300,MATCH(data!O$1,Haver_M!$B$1:$BZ$1,0),FALSE),"")</f>
        <v>7.4637000000000002</v>
      </c>
      <c r="P233">
        <f>IF(ISNUMBER(VLOOKUP($A233,Haver_M!$B$1:$BZ$300,MATCH(data!P$1,Haver_M!$B$1:$BZ$1,0),FALSE)),VLOOKUP($A233,Haver_M!$B$1:$BZ$300,MATCH(data!P$1,Haver_M!$B$1:$BZ$1,0),FALSE),"")</f>
        <v>90.51482</v>
      </c>
      <c r="Q233">
        <f>IF(ISNUMBER(VLOOKUP($A233,Haver_M!$B$1:$BZ$300,MATCH(data!Q$1,Haver_M!$B$1:$BZ$1,0),FALSE)),VLOOKUP($A233,Haver_M!$B$1:$BZ$300,MATCH(data!Q$1,Haver_M!$B$1:$BZ$1,0),FALSE),"")</f>
        <v>141.19999999999999</v>
      </c>
      <c r="R233">
        <f>IF(ISNUMBER(VLOOKUP($A233,Haver_M!$B$1:$BZ$300,MATCH(data!R$1,Haver_M!$B$1:$BZ$1,0),FALSE)),VLOOKUP($A233,Haver_M!$B$1:$BZ$300,MATCH(data!R$1,Haver_M!$B$1:$BZ$1,0),FALSE),"")</f>
        <v>145</v>
      </c>
      <c r="S233">
        <f>IF(ISNUMBER(VLOOKUP($A233,Haver_M!$B$1:$BZ$300,MATCH(data!S$1,Haver_M!$B$1:$BZ$1,0),FALSE)),VLOOKUP($A233,Haver_M!$B$1:$BZ$300,MATCH(data!S$1,Haver_M!$B$1:$BZ$1,0),FALSE),"")</f>
        <v>131.02000000000001</v>
      </c>
      <c r="T233">
        <f>IF(ISNUMBER(VLOOKUP($A233,Haver_M!$B$1:$BZ$300,MATCH(data!T$1,Haver_M!$B$1:$BZ$1,0),FALSE)),VLOOKUP($A233,Haver_M!$B$1:$BZ$300,MATCH(data!T$1,Haver_M!$B$1:$BZ$1,0),FALSE),"")</f>
        <v>129.80000000000001</v>
      </c>
      <c r="U233">
        <f>IF(ISNUMBER(VLOOKUP($A233,Haver_M!$B$1:$BZ$300,MATCH(data!U$1,Haver_M!$B$1:$BZ$1,0),FALSE)),VLOOKUP($A233,Haver_M!$B$1:$BZ$300,MATCH(data!U$1,Haver_M!$B$1:$BZ$1,0),FALSE),"")</f>
        <v>106.93</v>
      </c>
      <c r="V233">
        <f>IF(ISNUMBER(VLOOKUP($A233,Haver_M!$B$1:$BZ$300,MATCH(data!V$1,Haver_M!$B$1:$BZ$1,0),FALSE)),VLOOKUP($A233,Haver_M!$B$1:$BZ$300,MATCH(data!V$1,Haver_M!$B$1:$BZ$1,0),FALSE),"")</f>
        <v>127.72</v>
      </c>
      <c r="W233">
        <f>IF(ISNUMBER(VLOOKUP($A233,Haver_M!$B$1:$BZ$300,MATCH(data!W$1,Haver_M!$B$1:$BZ$1,0),FALSE)),VLOOKUP($A233,Haver_M!$B$1:$BZ$300,MATCH(data!W$1,Haver_M!$B$1:$BZ$1,0),FALSE),"")</f>
        <v>136.04</v>
      </c>
      <c r="X233">
        <f>IF(ISNUMBER(VLOOKUP($A233,Haver_M!$B$1:$BZ$300,MATCH(data!X$1,Haver_M!$B$1:$BZ$1,0),FALSE)),VLOOKUP($A233,Haver_M!$B$1:$BZ$300,MATCH(data!X$1,Haver_M!$B$1:$BZ$1,0),FALSE),"")</f>
        <v>130.24</v>
      </c>
      <c r="Y233">
        <f>IF(ISNUMBER(VLOOKUP($A233,Haver_M!$B$1:$BZ$300,MATCH(data!Y$1,Haver_M!$B$1:$BZ$1,0),FALSE)),VLOOKUP($A233,Haver_M!$B$1:$BZ$300,MATCH(data!Y$1,Haver_M!$B$1:$BZ$1,0),FALSE),"")</f>
        <v>148.54</v>
      </c>
      <c r="Z233">
        <f>IF(ISNUMBER(VLOOKUP($A233,Haver_M!$B$1:$BZ$300,MATCH(data!Z$1,Haver_M!$B$1:$BZ$1,0),FALSE)),VLOOKUP($A233,Haver_M!$B$1:$BZ$300,MATCH(data!Z$1,Haver_M!$B$1:$BZ$1,0),FALSE),"")</f>
        <v>134.9</v>
      </c>
      <c r="AA233">
        <f>IF(ISNUMBER(VLOOKUP($A233,Haver_M!$B$1:$BZ$300,MATCH(data!AA$1,Haver_M!$B$1:$BZ$1,0),FALSE)),VLOOKUP($A233,Haver_M!$B$1:$BZ$300,MATCH(data!AA$1,Haver_M!$B$1:$BZ$1,0),FALSE),"")</f>
        <v>134.75899999999999</v>
      </c>
      <c r="AB233">
        <f>IF(ISNUMBER(VLOOKUP($A233,Haver_M!$B$1:$BZ$300,MATCH(data!AB$1,Haver_M!$B$1:$BZ$1,0),FALSE)),VLOOKUP($A233,Haver_M!$B$1:$BZ$300,MATCH(data!AB$1,Haver_M!$B$1:$BZ$1,0),FALSE),"")</f>
        <v>86.445999999999998</v>
      </c>
      <c r="AC233">
        <f>IF(ISNUMBER(VLOOKUP($A233,Haver_M!$B$1:$BZ$300,MATCH(data!AC$1,Haver_M!$B$1:$BZ$1,0),FALSE)),VLOOKUP($A233,Haver_M!$B$1:$BZ$300,MATCH(data!AC$1,Haver_M!$B$1:$BZ$1,0),FALSE),"")</f>
        <v>68.364999999999995</v>
      </c>
      <c r="AD233">
        <f>IF(ISNUMBER(VLOOKUP($A233,Haver_M!$B$1:$BZ$300,MATCH(data!AD$1,Haver_M!$B$1:$BZ$1,0),FALSE)),VLOOKUP($A233,Haver_M!$B$1:$BZ$300,MATCH(data!AD$1,Haver_M!$B$1:$BZ$1,0),FALSE),"")</f>
        <v>130.654</v>
      </c>
      <c r="AE233">
        <f>IF(ISNUMBER(VLOOKUP($A233,Haver_M!$B$1:$BZ$300,MATCH(data!AE$1,Haver_M!$B$1:$BZ$1,0),FALSE)),VLOOKUP($A233,Haver_M!$B$1:$BZ$300,MATCH(data!AE$1,Haver_M!$B$1:$BZ$1,0),FALSE),"")</f>
        <v>106.375</v>
      </c>
      <c r="AF233">
        <f>IF(ISNUMBER(VLOOKUP($A233,Haver_M!$B$1:$BZ$300,MATCH(data!AF$1,Haver_M!$B$1:$BZ$1,0),FALSE)),VLOOKUP($A233,Haver_M!$B$1:$BZ$300,MATCH(data!AF$1,Haver_M!$B$1:$BZ$1,0),FALSE),"")</f>
        <v>160.541</v>
      </c>
      <c r="AG233">
        <f>IF(ISNUMBER(VLOOKUP($A233,Haver_M!$B$1:$BZ$300,MATCH(data!AG$1,Haver_M!$B$1:$BZ$1,0),FALSE)),VLOOKUP($A233,Haver_M!$B$1:$BZ$300,MATCH(data!AG$1,Haver_M!$B$1:$BZ$1,0),FALSE),"")</f>
        <v>146.66399999999999</v>
      </c>
      <c r="AH233">
        <f>IF(ISNUMBER(VLOOKUP($A233,Haver_M!$B$1:$BZ$300,MATCH(data!AH$1,Haver_M!$B$1:$BZ$1,0),FALSE)),VLOOKUP($A233,Haver_M!$B$1:$BZ$300,MATCH(data!AH$1,Haver_M!$B$1:$BZ$1,0),FALSE),"")</f>
        <v>160.506</v>
      </c>
      <c r="AI233">
        <f>IF(ISNUMBER(VLOOKUP($A233,Haver_M!$B$1:$BZ$300,MATCH(data!AI$1,Haver_M!$B$1:$BZ$1,0),FALSE)),VLOOKUP($A233,Haver_M!$B$1:$BZ$300,MATCH(data!AI$1,Haver_M!$B$1:$BZ$1,0),FALSE),"")</f>
        <v>17940.666612676971</v>
      </c>
      <c r="AJ233">
        <f>IF(ISNUMBER(VLOOKUP($A233,Haver_M!$B$1:$BZ$300,MATCH(data!AJ$1,Haver_M!$B$1:$BZ$1,0),FALSE)),VLOOKUP($A233,Haver_M!$B$1:$BZ$300,MATCH(data!AJ$1,Haver_M!$B$1:$BZ$1,0),FALSE),"")</f>
        <v>26692.62</v>
      </c>
      <c r="AK233">
        <f>IF(ISNUMBER(VLOOKUP($A233,Haver_M!$B$1:$BZ$300,MATCH(data!AK$1,Haver_M!$B$1:$BZ$1,0),FALSE)),VLOOKUP($A233,Haver_M!$B$1:$BZ$300,MATCH(data!AK$1,Haver_M!$B$1:$BZ$1,0),FALSE),"")</f>
        <v>42681.04</v>
      </c>
      <c r="AL233">
        <f>IF(ISNUMBER(VLOOKUP($A233,Haver_M!$B$1:$BZ$300,MATCH(data!AL$1,Haver_M!$B$1:$BZ$1,0),FALSE)),VLOOKUP($A233,Haver_M!$B$1:$BZ$300,MATCH(data!AL$1,Haver_M!$B$1:$BZ$1,0),FALSE),"")</f>
        <v>18062</v>
      </c>
      <c r="AM233">
        <f>IF(ISNUMBER(VLOOKUP($A233,Haver_M!$B$1:$BZ$300,MATCH(data!AM$1,Haver_M!$B$1:$BZ$1,0),FALSE)),VLOOKUP($A233,Haver_M!$B$1:$BZ$300,MATCH(data!AM$1,Haver_M!$B$1:$BZ$1,0),FALSE),"")</f>
        <v>11402</v>
      </c>
      <c r="AN233" t="str">
        <f>IF(ISNUMBER(VLOOKUP($A233,Haver_M!$B$1:$BZ$300,MATCH(data!AN$1,Haver_M!$B$1:$BZ$1,0),FALSE)),VLOOKUP($A233,Haver_M!$B$1:$BZ$300,MATCH(data!AN$1,Haver_M!$B$1:$BZ$1,0),FALSE),"")</f>
        <v/>
      </c>
      <c r="AO233" t="str">
        <f>IF(ISNUMBER(VLOOKUP($A233,Haver_M!$B$1:$BZ$300,MATCH(data!AO$1,Haver_M!$B$1:$BZ$1,0),FALSE)),VLOOKUP($A233,Haver_M!$B$1:$BZ$300,MATCH(data!AO$1,Haver_M!$B$1:$BZ$1,0),FALSE),"")</f>
        <v/>
      </c>
      <c r="AP233">
        <f>IF(ISNUMBER(VLOOKUP($A233,Haver_M!$B$1:$BZ$300,MATCH(data!AP$1,Haver_M!$B$1:$BZ$1,0),FALSE)),VLOOKUP($A233,Haver_M!$B$1:$BZ$300,MATCH(data!AP$1,Haver_M!$B$1:$BZ$1,0),FALSE),"")</f>
        <v>72.108513757672128</v>
      </c>
      <c r="AQ233">
        <f>IF(ISNUMBER(VLOOKUP($A233,Haver_M!$B$1:$BZ$300,MATCH(data!AQ$1,Haver_M!$B$1:$BZ$1,0),FALSE)),VLOOKUP($A233,Haver_M!$B$1:$BZ$300,MATCH(data!AQ$1,Haver_M!$B$1:$BZ$1,0),FALSE),"")</f>
        <v>51.681199999999997</v>
      </c>
      <c r="AR233">
        <f>IF(ISNUMBER(VLOOKUP($A233,Haver_M!$B$1:$BZ$300,MATCH(data!AR$1,Haver_M!$B$1:$BZ$1,0),FALSE)),VLOOKUP($A233,Haver_M!$B$1:$BZ$300,MATCH(data!AR$1,Haver_M!$B$1:$BZ$1,0),FALSE),"")</f>
        <v>51.79</v>
      </c>
      <c r="AS233">
        <f>IF(ISNUMBER(VLOOKUP($A233,Haver_M!$B$1:$BZ$300,MATCH(data!AS$1,Haver_M!$B$1:$BZ$1,0),FALSE)),VLOOKUP($A233,Haver_M!$B$1:$BZ$300,MATCH(data!AS$1,Haver_M!$B$1:$BZ$1,0),FALSE),"")</f>
        <v>50.989100000000001</v>
      </c>
      <c r="AT233">
        <f>IF(ISNUMBER(VLOOKUP($A233,Haver_M!$B$1:$BZ$300,MATCH(data!AT$1,Haver_M!$B$1:$BZ$1,0),FALSE)),VLOOKUP($A233,Haver_M!$B$1:$BZ$300,MATCH(data!AT$1,Haver_M!$B$1:$BZ$1,0),FALSE),"")</f>
        <v>53.165900000000001</v>
      </c>
      <c r="AU233">
        <f>IF(ISNUMBER(VLOOKUP($A233,Haver_M!$B$1:$BZ$300,MATCH(data!AU$1,Haver_M!$B$1:$BZ$1,0),FALSE)),VLOOKUP($A233,Haver_M!$B$1:$BZ$300,MATCH(data!AU$1,Haver_M!$B$1:$BZ$1,0),FALSE),"")</f>
        <v>52.9482</v>
      </c>
      <c r="AV233">
        <f>IF(ISNUMBER(VLOOKUP($A233,Haver_M!$B$1:$BZ$300,MATCH(data!AV$1,Haver_M!$B$1:$BZ$1,0),FALSE)),VLOOKUP($A233,Haver_M!$B$1:$BZ$300,MATCH(data!AV$1,Haver_M!$B$1:$BZ$1,0),FALSE),"")</f>
        <v>50.303899999999999</v>
      </c>
      <c r="AW233">
        <f>IF(ISNUMBER(VLOOKUP($A233,Haver_M!$B$1:$BZ$300,MATCH(data!AW$1,Haver_M!$B$1:$BZ$1,0),FALSE)),VLOOKUP($A233,Haver_M!$B$1:$BZ$300,MATCH(data!AW$1,Haver_M!$B$1:$BZ$1,0),FALSE),"")</f>
        <v>50.124200000000002</v>
      </c>
      <c r="AX233">
        <f>IF(ISNUMBER(VLOOKUP($A233,Haver_M!$B$1:$BZ$300,MATCH(data!AX$1,Haver_M!$B$1:$BZ$1,0),FALSE)),VLOOKUP($A233,Haver_M!$B$1:$BZ$300,MATCH(data!AX$1,Haver_M!$B$1:$BZ$1,0),FALSE),"")</f>
        <v>50.7196</v>
      </c>
      <c r="AY233">
        <f>IF(ISNUMBER(VLOOKUP($A233,Haver_M!$B$1:$BZ$300,MATCH(data!AY$1,Haver_M!$B$1:$BZ$1,0),FALSE)),VLOOKUP($A233,Haver_M!$B$1:$BZ$300,MATCH(data!AY$1,Haver_M!$B$1:$BZ$1,0),FALSE),"")</f>
        <v>50.807200000000002</v>
      </c>
      <c r="AZ233">
        <f>IF(ISNUMBER(VLOOKUP($A233,Haver_M!$B$1:$BZ$300,MATCH(data!AZ$1,Haver_M!$B$1:$BZ$1,0),FALSE)),VLOOKUP($A233,Haver_M!$B$1:$BZ$300,MATCH(data!AZ$1,Haver_M!$B$1:$BZ$1,0),FALSE),"")</f>
        <v>50.2575</v>
      </c>
      <c r="BA233">
        <f>IF(ISNUMBER(VLOOKUP($A233,Haver_M!$B$1:$BZ$300,MATCH(data!BA$1,Haver_M!$B$1:$BZ$1,0),FALSE)),VLOOKUP($A233,Haver_M!$B$1:$BZ$300,MATCH(data!BA$1,Haver_M!$B$1:$BZ$1,0),FALSE),"")</f>
        <v>50.7196</v>
      </c>
      <c r="BB233">
        <f>IF(ISNUMBER(VLOOKUP($A233,Haver_M!$B$1:$BZ$300,MATCH(data!BB$1,Haver_M!$B$1:$BZ$1,0),FALSE)),VLOOKUP($A233,Haver_M!$B$1:$BZ$300,MATCH(data!BB$1,Haver_M!$B$1:$BZ$1,0),FALSE),"")</f>
        <v>53.348999999999997</v>
      </c>
      <c r="BC233">
        <f>IF(ISNUMBER(VLOOKUP($A233,Haver_M!$B$1:$BZ$300,MATCH(data!BC$1,Haver_M!$B$1:$BZ$1,0),FALSE)),VLOOKUP($A233,Haver_M!$B$1:$BZ$300,MATCH(data!BC$1,Haver_M!$B$1:$BZ$1,0),FALSE),"")</f>
        <v>50.825000000000003</v>
      </c>
      <c r="BD233">
        <f>IF(ISNUMBER(VLOOKUP($A233,Haver_M!$B$1:$BZ$300,MATCH(data!BD$1,Haver_M!$B$1:$BZ$1,0),FALSE)),VLOOKUP($A233,Haver_M!$B$1:$BZ$300,MATCH(data!BD$1,Haver_M!$B$1:$BZ$1,0),FALSE),"")</f>
        <v>50.619</v>
      </c>
      <c r="BE233">
        <f>IF(ISNUMBER(VLOOKUP($A233,Haver_M!$B$1:$BZ$300,MATCH(data!BE$1,Haver_M!$B$1:$BZ$1,0),FALSE)),VLOOKUP($A233,Haver_M!$B$1:$BZ$300,MATCH(data!BE$1,Haver_M!$B$1:$BZ$1,0),FALSE),"")</f>
        <v>1.1467000000000001</v>
      </c>
      <c r="BF233">
        <f>IF(ISNUMBER(VLOOKUP($A233,Haver_M!$B$1:$BZ$300,MATCH(data!BF$1,Haver_M!$B$1:$BZ$1,0),FALSE)),VLOOKUP($A233,Haver_M!$B$1:$BZ$300,MATCH(data!BF$1,Haver_M!$B$1:$BZ$1,0),FALSE),"")</f>
        <v>51.9876</v>
      </c>
      <c r="BG233">
        <f>IF(ISNUMBER(VLOOKUP($A233,Haver_M!$B$1:$BZ$300,MATCH(data!BG$1,Haver_M!$B$1:$BZ$1,0),FALSE)),VLOOKUP($A233,Haver_M!$B$1:$BZ$300,MATCH(data!BG$1,Haver_M!$B$1:$BZ$1,0),FALSE),"")</f>
        <v>51.267699999999998</v>
      </c>
      <c r="BH233">
        <f>IF(ISNUMBER(VLOOKUP($A233,Haver_M!$B$1:$BZ$300,MATCH(data!BH$1,Haver_M!$B$1:$BZ$1,0),FALSE)),VLOOKUP($A233,Haver_M!$B$1:$BZ$300,MATCH(data!BH$1,Haver_M!$B$1:$BZ$1,0),FALSE),"")</f>
        <v>51.196399999999997</v>
      </c>
      <c r="BI233">
        <f>IF(ISNUMBER(VLOOKUP($A233,Haver_M!$B$1:$BZ$300,MATCH(data!BI$1,Haver_M!$B$1:$BZ$1,0),FALSE)),VLOOKUP($A233,Haver_M!$B$1:$BZ$300,MATCH(data!BI$1,Haver_M!$B$1:$BZ$1,0),FALSE),"")</f>
        <v>51.514899999999997</v>
      </c>
      <c r="BJ233">
        <f>IF(ISNUMBER(VLOOKUP($A233,Haver_M!$B$1:$BZ$300,MATCH(data!BJ$1,Haver_M!$B$1:$BZ$1,0),FALSE)),VLOOKUP($A233,Haver_M!$B$1:$BZ$300,MATCH(data!BJ$1,Haver_M!$B$1:$BZ$1,0),FALSE),"")</f>
        <v>52.395899999999997</v>
      </c>
      <c r="BK233">
        <f>IF(ISNUMBER(VLOOKUP($A233,Haver_M!$B$1:$BZ$300,MATCH(data!BK$1,Haver_M!$B$1:$BZ$1,0),FALSE)),VLOOKUP($A233,Haver_M!$B$1:$BZ$300,MATCH(data!BK$1,Haver_M!$B$1:$BZ$1,0),FALSE),"")</f>
        <v>52.675699999999999</v>
      </c>
      <c r="BL233">
        <f>IF(ISNUMBER(VLOOKUP($A233,Haver_M!$B$1:$BZ$300,MATCH(data!BL$1,Haver_M!$B$1:$BZ$1,0),FALSE)),VLOOKUP($A233,Haver_M!$B$1:$BZ$300,MATCH(data!BL$1,Haver_M!$B$1:$BZ$1,0),FALSE),"")</f>
        <v>38861.480000000003</v>
      </c>
      <c r="BM233">
        <f>IF(ISNUMBER(VLOOKUP($A233,Haver_M!$B$1:$BZ$300,MATCH(data!BM$1,Haver_M!$B$1:$BZ$1,0),FALSE)),VLOOKUP($A233,Haver_M!$B$1:$BZ$300,MATCH(data!BM$1,Haver_M!$B$1:$BZ$1,0),FALSE),"")</f>
        <v>102.85880745999999</v>
      </c>
      <c r="BN233" t="str">
        <f>IF(ISNUMBER(VLOOKUP($A233,Haver_M!$B$1:$BZ$300,MATCH(data!BN$1,Haver_M!$B$1:$BZ$1,0),FALSE)),VLOOKUP($A233,Haver_M!$B$1:$BZ$300,MATCH(data!BN$1,Haver_M!$B$1:$BZ$1,0),FALSE),"")</f>
        <v/>
      </c>
      <c r="BO233" t="str">
        <f>IF(ISNUMBER(VLOOKUP($A233,Haver_M!$B$1:$BZ$300,MATCH(data!BO$1,Haver_M!$B$1:$BZ$1,0),FALSE)),VLOOKUP($A233,Haver_M!$B$1:$BZ$300,MATCH(data!BO$1,Haver_M!$B$1:$BZ$1,0),FALSE),"")</f>
        <v/>
      </c>
      <c r="BP233" t="str">
        <f>IF(ISNUMBER(VLOOKUP($A233,Haver_M!$B$1:$BZ$300,MATCH(data!BP$1,Haver_M!$B$1:$BZ$1,0),FALSE)),VLOOKUP($A233,Haver_M!$B$1:$BZ$300,MATCH(data!BP$1,Haver_M!$B$1:$BZ$1,0),FALSE),"")</f>
        <v/>
      </c>
      <c r="BQ233">
        <f>IF(ISNUMBER(VLOOKUP($A233,Haver_M!$B$1:$BZ$300,MATCH(data!BQ$1,Haver_M!$B$1:$BZ$1,0),FALSE)),VLOOKUP($A233,Haver_M!$B$1:$BZ$300,MATCH(data!BQ$1,Haver_M!$B$1:$BZ$1,0),FALSE),"")</f>
        <v>320.16408507304033</v>
      </c>
      <c r="BR233">
        <f>IF(ISNUMBER(VLOOKUP($A233,Haver_M!$B$1:$BZ$300,MATCH(data!BR$1,Haver_M!$B$1:$BZ$1,0),FALSE)),VLOOKUP($A233,Haver_M!$B$1:$BZ$300,MATCH(data!BR$1,Haver_M!$B$1:$BZ$1,0),FALSE),"")</f>
        <v>408.3696062361546</v>
      </c>
      <c r="BS233">
        <f>IF(ISNUMBER(VLOOKUP($A233,Haver_M!$B$1:$BZ$300,MATCH(data!BS$1,Haver_M!$B$1:$BZ$1,0),FALSE)),VLOOKUP($A233,Haver_M!$B$1:$BZ$300,MATCH(data!BS$1,Haver_M!$B$1:$BZ$1,0),FALSE),"")</f>
        <v>333.44788944998658</v>
      </c>
      <c r="BT233">
        <f>IF(ISNUMBER(VLOOKUP($A233,Haver_M!$B$1:$BZ$300,MATCH(data!BT$1,Haver_M!$B$1:$BZ$1,0),FALSE)),VLOOKUP($A233,Haver_M!$B$1:$BZ$300,MATCH(data!BT$1,Haver_M!$B$1:$BZ$1,0),FALSE),"")</f>
        <v>1221.5684297553992</v>
      </c>
      <c r="BU233">
        <f>IF(ISNUMBER(VLOOKUP($A233,Haver_M!$B$1:$BZ$300,MATCH(data!BU$1,Haver_M!$B$1:$BZ$1,0),FALSE)),VLOOKUP($A233,Haver_M!$B$1:$BZ$300,MATCH(data!BU$1,Haver_M!$B$1:$BZ$1,0),FALSE),"")</f>
        <v>26026.11</v>
      </c>
      <c r="BV233">
        <f>IF(ISNUMBER(VLOOKUP($A233,Haver_M!$B$1:$BZ$300,MATCH(data!BV$1,Haver_M!$B$1:$BZ$1,0),FALSE)),VLOOKUP($A233,Haver_M!$B$1:$BZ$300,MATCH(data!BV$1,Haver_M!$B$1:$BZ$1,0),FALSE),"")</f>
        <v>42385.96</v>
      </c>
      <c r="BW233">
        <f>IF(ISNUMBER(VLOOKUP($A233,Haver_M!$B$1:$BZ$300,MATCH(data!BW$1,Haver_M!$B$1:$BZ$1,0),FALSE)),VLOOKUP($A233,Haver_M!$B$1:$BZ$300,MATCH(data!BW$1,Haver_M!$B$1:$BZ$1,0),FALSE),"")</f>
        <v>69.427400000000006</v>
      </c>
      <c r="BX233">
        <f>IF(ISNUMBER(VLOOKUP($A233,Haver_M!$B$1:$BZ$300,MATCH(data!BX$1,Haver_M!$B$1:$BZ$1,0),FALSE)),VLOOKUP($A233,Haver_M!$B$1:$BZ$300,MATCH(data!BX$1,Haver_M!$B$1:$BZ$1,0),FALSE),"")</f>
        <v>75747</v>
      </c>
    </row>
    <row r="234" spans="1:76" x14ac:dyDescent="0.25">
      <c r="A234" s="2">
        <v>43616</v>
      </c>
      <c r="B234" t="str">
        <f>IF(ISNUMBER(VLOOKUP($A234,Haver_Q!$B$1:$L$185,MATCH(data!B$1,Haver_Q!$B$1:$L$1,0),FALSE)),100*(VLOOKUP($A234,Haver_Q!$B$1:$L$185,MATCH(data!B$1,Haver_Q!$B$1:$L$1,0),FALSE)),"")</f>
        <v/>
      </c>
      <c r="C234" t="str">
        <f>IF(ISNUMBER(VLOOKUP($A234,Haver_Q!$B$1:$L$185,MATCH(data!C$1,Haver_Q!$B$1:$L$1,0),FALSE)),100*(VLOOKUP($A234,Haver_Q!$B$1:$L$185,MATCH(data!C$1,Haver_Q!$B$1:$L$1,0),FALSE)),"")</f>
        <v/>
      </c>
      <c r="D234" t="str">
        <f>IF(ISNUMBER(VLOOKUP($A234,Haver_Q!$B$1:$L$185,MATCH(data!D$1,Haver_Q!$B$1:$L$1,0),FALSE)),100*(VLOOKUP($A234,Haver_Q!$B$1:$L$185,MATCH(data!D$1,Haver_Q!$B$1:$L$1,0),FALSE)),"")</f>
        <v/>
      </c>
      <c r="E234" t="str">
        <f>IF(ISNUMBER(VLOOKUP($A234,Haver_Q!$B$1:$L$185,MATCH(data!E$1,Haver_Q!$B$1:$L$1,0),FALSE)),100*(VLOOKUP($A234,Haver_Q!$B$1:$L$185,MATCH(data!E$1,Haver_Q!$B$1:$L$1,0),FALSE)),"")</f>
        <v/>
      </c>
      <c r="F234" t="str">
        <f>IF(ISNUMBER(VLOOKUP($A234,Haver_Q!$B$1:$L$185,MATCH(data!F$1,Haver_Q!$B$1:$L$1,0),FALSE)),100*(VLOOKUP($A234,Haver_Q!$B$1:$L$185,MATCH(data!F$1,Haver_Q!$B$1:$L$1,0),FALSE)),"")</f>
        <v/>
      </c>
      <c r="G234" t="str">
        <f>IF(ISNUMBER(VLOOKUP($A234,Haver_Q!$B$1:$L$185,MATCH(data!G$1,Haver_Q!$B$1:$L$1,0),FALSE)),100*(VLOOKUP($A234,Haver_Q!$B$1:$L$185,MATCH(data!G$1,Haver_Q!$B$1:$L$1,0),FALSE)),"")</f>
        <v/>
      </c>
      <c r="H234" t="str">
        <f>IF(ISNUMBER(VLOOKUP($A234,Haver_Q!$B$1:$L$185,MATCH(data!H$1,Haver_Q!$B$1:$L$1,0),FALSE)),(VLOOKUP($A234,Haver_Q!$B$1:$L$185,MATCH(data!H$1,Haver_Q!$B$1:$L$1,0),FALSE)),"")</f>
        <v/>
      </c>
      <c r="I234" t="str">
        <f>IF(ISNUMBER(VLOOKUP($A234,Haver_Q!$B$1:$L$185,MATCH(data!I$1,Haver_Q!$B$1:$L$1,0),FALSE)),100*(VLOOKUP($A234,Haver_Q!$B$1:$L$185,MATCH(data!I$1,Haver_Q!$B$1:$L$1,0),FALSE)),"")</f>
        <v/>
      </c>
      <c r="J234" s="3">
        <f>IF(ISNUMBER(Bloomberg_m!C250),Bloomberg_m!C250,"")</f>
        <v>1036</v>
      </c>
      <c r="K234" s="3">
        <f>IF(ISNUMBER(Bloomberg_m!D250),Bloomberg_m!D250,"")</f>
        <v>1347.48</v>
      </c>
      <c r="L234" s="3">
        <f>IF(ISNUMBER(Bloomberg_m!E250),Bloomberg_m!E250,"")</f>
        <v>747.29</v>
      </c>
      <c r="M234" s="3">
        <f>IF(ISNUMBER(Bloomberg_m!F250),Bloomberg_m!F250,"")</f>
        <v>426.92</v>
      </c>
      <c r="N234">
        <f>IF(ISNUMBER(VLOOKUP($A234,Haver_M!$B$1:$BZ$300,MATCH(data!N$1,Haver_M!$B$1:$BZ$1,0),FALSE)),VLOOKUP($A234,Haver_M!$B$1:$BZ$300,MATCH(data!N$1,Haver_M!$B$1:$BZ$1,0),FALSE),"")</f>
        <v>6</v>
      </c>
      <c r="O234">
        <f>IF(ISNUMBER(VLOOKUP($A234,Haver_M!$B$1:$BZ$300,MATCH(data!O$1,Haver_M!$B$1:$BZ$1,0),FALSE)),VLOOKUP($A234,Haver_M!$B$1:$BZ$300,MATCH(data!O$1,Haver_M!$B$1:$BZ$1,0),FALSE),"")</f>
        <v>7.1254999999999997</v>
      </c>
      <c r="P234">
        <f>IF(ISNUMBER(VLOOKUP($A234,Haver_M!$B$1:$BZ$300,MATCH(data!P$1,Haver_M!$B$1:$BZ$1,0),FALSE)),VLOOKUP($A234,Haver_M!$B$1:$BZ$300,MATCH(data!P$1,Haver_M!$B$1:$BZ$1,0),FALSE),"")</f>
        <v>91.355149999999995</v>
      </c>
      <c r="Q234">
        <f>IF(ISNUMBER(VLOOKUP($A234,Haver_M!$B$1:$BZ$300,MATCH(data!Q$1,Haver_M!$B$1:$BZ$1,0),FALSE)),VLOOKUP($A234,Haver_M!$B$1:$BZ$300,MATCH(data!Q$1,Haver_M!$B$1:$BZ$1,0),FALSE),"")</f>
        <v>142</v>
      </c>
      <c r="R234">
        <f>IF(ISNUMBER(VLOOKUP($A234,Haver_M!$B$1:$BZ$300,MATCH(data!R$1,Haver_M!$B$1:$BZ$1,0),FALSE)),VLOOKUP($A234,Haver_M!$B$1:$BZ$300,MATCH(data!R$1,Haver_M!$B$1:$BZ$1,0),FALSE),"")</f>
        <v>145.30000000000001</v>
      </c>
      <c r="S234">
        <f>IF(ISNUMBER(VLOOKUP($A234,Haver_M!$B$1:$BZ$300,MATCH(data!S$1,Haver_M!$B$1:$BZ$1,0),FALSE)),VLOOKUP($A234,Haver_M!$B$1:$BZ$300,MATCH(data!S$1,Haver_M!$B$1:$BZ$1,0),FALSE),"")</f>
        <v>133.57</v>
      </c>
      <c r="T234">
        <f>IF(ISNUMBER(VLOOKUP($A234,Haver_M!$B$1:$BZ$300,MATCH(data!T$1,Haver_M!$B$1:$BZ$1,0),FALSE)),VLOOKUP($A234,Haver_M!$B$1:$BZ$300,MATCH(data!T$1,Haver_M!$B$1:$BZ$1,0),FALSE),"")</f>
        <v>128.88999999999999</v>
      </c>
      <c r="U234">
        <f>IF(ISNUMBER(VLOOKUP($A234,Haver_M!$B$1:$BZ$300,MATCH(data!U$1,Haver_M!$B$1:$BZ$1,0),FALSE)),VLOOKUP($A234,Haver_M!$B$1:$BZ$300,MATCH(data!U$1,Haver_M!$B$1:$BZ$1,0),FALSE),"")</f>
        <v>107.62</v>
      </c>
      <c r="V234">
        <f>IF(ISNUMBER(VLOOKUP($A234,Haver_M!$B$1:$BZ$300,MATCH(data!V$1,Haver_M!$B$1:$BZ$1,0),FALSE)),VLOOKUP($A234,Haver_M!$B$1:$BZ$300,MATCH(data!V$1,Haver_M!$B$1:$BZ$1,0),FALSE),"")</f>
        <v>139.16999999999999</v>
      </c>
      <c r="W234">
        <f>IF(ISNUMBER(VLOOKUP($A234,Haver_M!$B$1:$BZ$300,MATCH(data!W$1,Haver_M!$B$1:$BZ$1,0),FALSE)),VLOOKUP($A234,Haver_M!$B$1:$BZ$300,MATCH(data!W$1,Haver_M!$B$1:$BZ$1,0),FALSE),"")</f>
        <v>139.55000000000001</v>
      </c>
      <c r="X234">
        <f>IF(ISNUMBER(VLOOKUP($A234,Haver_M!$B$1:$BZ$300,MATCH(data!X$1,Haver_M!$B$1:$BZ$1,0),FALSE)),VLOOKUP($A234,Haver_M!$B$1:$BZ$300,MATCH(data!X$1,Haver_M!$B$1:$BZ$1,0),FALSE),"")</f>
        <v>130.78</v>
      </c>
      <c r="Y234">
        <f>IF(ISNUMBER(VLOOKUP($A234,Haver_M!$B$1:$BZ$300,MATCH(data!Y$1,Haver_M!$B$1:$BZ$1,0),FALSE)),VLOOKUP($A234,Haver_M!$B$1:$BZ$300,MATCH(data!Y$1,Haver_M!$B$1:$BZ$1,0),FALSE),"")</f>
        <v>151.33000000000001</v>
      </c>
      <c r="Z234">
        <f>IF(ISNUMBER(VLOOKUP($A234,Haver_M!$B$1:$BZ$300,MATCH(data!Z$1,Haver_M!$B$1:$BZ$1,0),FALSE)),VLOOKUP($A234,Haver_M!$B$1:$BZ$300,MATCH(data!Z$1,Haver_M!$B$1:$BZ$1,0),FALSE),"")</f>
        <v>132.9</v>
      </c>
      <c r="AA234">
        <f>IF(ISNUMBER(VLOOKUP($A234,Haver_M!$B$1:$BZ$300,MATCH(data!AA$1,Haver_M!$B$1:$BZ$1,0),FALSE)),VLOOKUP($A234,Haver_M!$B$1:$BZ$300,MATCH(data!AA$1,Haver_M!$B$1:$BZ$1,0),FALSE),"")</f>
        <v>135.541</v>
      </c>
      <c r="AB234">
        <f>IF(ISNUMBER(VLOOKUP($A234,Haver_M!$B$1:$BZ$300,MATCH(data!AB$1,Haver_M!$B$1:$BZ$1,0),FALSE)),VLOOKUP($A234,Haver_M!$B$1:$BZ$300,MATCH(data!AB$1,Haver_M!$B$1:$BZ$1,0),FALSE),"")</f>
        <v>85.721999999999994</v>
      </c>
      <c r="AC234">
        <f>IF(ISNUMBER(VLOOKUP($A234,Haver_M!$B$1:$BZ$300,MATCH(data!AC$1,Haver_M!$B$1:$BZ$1,0),FALSE)),VLOOKUP($A234,Haver_M!$B$1:$BZ$300,MATCH(data!AC$1,Haver_M!$B$1:$BZ$1,0),FALSE),"")</f>
        <v>67.716999999999999</v>
      </c>
      <c r="AD234">
        <f>IF(ISNUMBER(VLOOKUP($A234,Haver_M!$B$1:$BZ$300,MATCH(data!AD$1,Haver_M!$B$1:$BZ$1,0),FALSE)),VLOOKUP($A234,Haver_M!$B$1:$BZ$300,MATCH(data!AD$1,Haver_M!$B$1:$BZ$1,0),FALSE),"")</f>
        <v>127.86199999999999</v>
      </c>
      <c r="AE234">
        <f>IF(ISNUMBER(VLOOKUP($A234,Haver_M!$B$1:$BZ$300,MATCH(data!AE$1,Haver_M!$B$1:$BZ$1,0),FALSE)),VLOOKUP($A234,Haver_M!$B$1:$BZ$300,MATCH(data!AE$1,Haver_M!$B$1:$BZ$1,0),FALSE),"")</f>
        <v>109.985</v>
      </c>
      <c r="AF234">
        <f>IF(ISNUMBER(VLOOKUP($A234,Haver_M!$B$1:$BZ$300,MATCH(data!AF$1,Haver_M!$B$1:$BZ$1,0),FALSE)),VLOOKUP($A234,Haver_M!$B$1:$BZ$300,MATCH(data!AF$1,Haver_M!$B$1:$BZ$1,0),FALSE),"")</f>
        <v>154.49199999999999</v>
      </c>
      <c r="AG234">
        <f>IF(ISNUMBER(VLOOKUP($A234,Haver_M!$B$1:$BZ$300,MATCH(data!AG$1,Haver_M!$B$1:$BZ$1,0),FALSE)),VLOOKUP($A234,Haver_M!$B$1:$BZ$300,MATCH(data!AG$1,Haver_M!$B$1:$BZ$1,0),FALSE),"")</f>
        <v>140.96600000000001</v>
      </c>
      <c r="AH234">
        <f>IF(ISNUMBER(VLOOKUP($A234,Haver_M!$B$1:$BZ$300,MATCH(data!AH$1,Haver_M!$B$1:$BZ$1,0),FALSE)),VLOOKUP($A234,Haver_M!$B$1:$BZ$300,MATCH(data!AH$1,Haver_M!$B$1:$BZ$1,0),FALSE),"")</f>
        <v>165.91900000000001</v>
      </c>
      <c r="AI234">
        <f>IF(ISNUMBER(VLOOKUP($A234,Haver_M!$B$1:$BZ$300,MATCH(data!AI$1,Haver_M!$B$1:$BZ$1,0),FALSE)),VLOOKUP($A234,Haver_M!$B$1:$BZ$300,MATCH(data!AI$1,Haver_M!$B$1:$BZ$1,0),FALSE),"")</f>
        <v>17858.434746884086</v>
      </c>
      <c r="AJ234">
        <f>IF(ISNUMBER(VLOOKUP($A234,Haver_M!$B$1:$BZ$300,MATCH(data!AJ$1,Haver_M!$B$1:$BZ$1,0),FALSE)),VLOOKUP($A234,Haver_M!$B$1:$BZ$300,MATCH(data!AJ$1,Haver_M!$B$1:$BZ$1,0),FALSE),"")</f>
        <v>28887.1</v>
      </c>
      <c r="AK234">
        <f>IF(ISNUMBER(VLOOKUP($A234,Haver_M!$B$1:$BZ$300,MATCH(data!AK$1,Haver_M!$B$1:$BZ$1,0),FALSE)),VLOOKUP($A234,Haver_M!$B$1:$BZ$300,MATCH(data!AK$1,Haver_M!$B$1:$BZ$1,0),FALSE),"")</f>
        <v>44915.07</v>
      </c>
      <c r="AL234">
        <f>IF(ISNUMBER(VLOOKUP($A234,Haver_M!$B$1:$BZ$300,MATCH(data!AL$1,Haver_M!$B$1:$BZ$1,0),FALSE)),VLOOKUP($A234,Haver_M!$B$1:$BZ$300,MATCH(data!AL$1,Haver_M!$B$1:$BZ$1,0),FALSE),"")</f>
        <v>18679</v>
      </c>
      <c r="AM234">
        <f>IF(ISNUMBER(VLOOKUP($A234,Haver_M!$B$1:$BZ$300,MATCH(data!AM$1,Haver_M!$B$1:$BZ$1,0),FALSE)),VLOOKUP($A234,Haver_M!$B$1:$BZ$300,MATCH(data!AM$1,Haver_M!$B$1:$BZ$1,0),FALSE),"")</f>
        <v>12492</v>
      </c>
      <c r="AN234">
        <f>IF(ISNUMBER(VLOOKUP($A234,Haver_M!$B$1:$BZ$300,MATCH(data!AN$1,Haver_M!$B$1:$BZ$1,0),FALSE)),VLOOKUP($A234,Haver_M!$B$1:$BZ$300,MATCH(data!AN$1,Haver_M!$B$1:$BZ$1,0),FALSE),"")</f>
        <v>97.3</v>
      </c>
      <c r="AO234">
        <f>IF(ISNUMBER(VLOOKUP($A234,Haver_M!$B$1:$BZ$300,MATCH(data!AO$1,Haver_M!$B$1:$BZ$1,0),FALSE)),VLOOKUP($A234,Haver_M!$B$1:$BZ$300,MATCH(data!AO$1,Haver_M!$B$1:$BZ$1,0),FALSE),"")</f>
        <v>128.4</v>
      </c>
      <c r="AP234">
        <f>IF(ISNUMBER(VLOOKUP($A234,Haver_M!$B$1:$BZ$300,MATCH(data!AP$1,Haver_M!$B$1:$BZ$1,0),FALSE)),VLOOKUP($A234,Haver_M!$B$1:$BZ$300,MATCH(data!AP$1,Haver_M!$B$1:$BZ$1,0),FALSE),"")</f>
        <v>131.5238969907742</v>
      </c>
      <c r="AQ234">
        <f>IF(ISNUMBER(VLOOKUP($A234,Haver_M!$B$1:$BZ$300,MATCH(data!AQ$1,Haver_M!$B$1:$BZ$1,0),FALSE)),VLOOKUP($A234,Haver_M!$B$1:$BZ$300,MATCH(data!AQ$1,Haver_M!$B$1:$BZ$1,0),FALSE),"")</f>
        <v>51.6995</v>
      </c>
      <c r="AR234">
        <f>IF(ISNUMBER(VLOOKUP($A234,Haver_M!$B$1:$BZ$300,MATCH(data!AR$1,Haver_M!$B$1:$BZ$1,0),FALSE)),VLOOKUP($A234,Haver_M!$B$1:$BZ$300,MATCH(data!AR$1,Haver_M!$B$1:$BZ$1,0),FALSE),"")</f>
        <v>52.701700000000002</v>
      </c>
      <c r="AS234">
        <f>IF(ISNUMBER(VLOOKUP($A234,Haver_M!$B$1:$BZ$300,MATCH(data!AS$1,Haver_M!$B$1:$BZ$1,0),FALSE)),VLOOKUP($A234,Haver_M!$B$1:$BZ$300,MATCH(data!AS$1,Haver_M!$B$1:$BZ$1,0),FALSE),"")</f>
        <v>50.232500000000002</v>
      </c>
      <c r="AT234">
        <f>IF(ISNUMBER(VLOOKUP($A234,Haver_M!$B$1:$BZ$300,MATCH(data!AT$1,Haver_M!$B$1:$BZ$1,0),FALSE)),VLOOKUP($A234,Haver_M!$B$1:$BZ$300,MATCH(data!AT$1,Haver_M!$B$1:$BZ$1,0),FALSE),"")</f>
        <v>54.846800000000002</v>
      </c>
      <c r="AU234">
        <f>IF(ISNUMBER(VLOOKUP($A234,Haver_M!$B$1:$BZ$300,MATCH(data!AU$1,Haver_M!$B$1:$BZ$1,0),FALSE)),VLOOKUP($A234,Haver_M!$B$1:$BZ$300,MATCH(data!AU$1,Haver_M!$B$1:$BZ$1,0),FALSE),"")</f>
        <v>54.214599999999997</v>
      </c>
      <c r="AV234">
        <f>IF(ISNUMBER(VLOOKUP($A234,Haver_M!$B$1:$BZ$300,MATCH(data!AV$1,Haver_M!$B$1:$BZ$1,0),FALSE)),VLOOKUP($A234,Haver_M!$B$1:$BZ$300,MATCH(data!AV$1,Haver_M!$B$1:$BZ$1,0),FALSE),"")</f>
        <v>51.265799999999999</v>
      </c>
      <c r="AW234">
        <f>IF(ISNUMBER(VLOOKUP($A234,Haver_M!$B$1:$BZ$300,MATCH(data!AW$1,Haver_M!$B$1:$BZ$1,0),FALSE)),VLOOKUP($A234,Haver_M!$B$1:$BZ$300,MATCH(data!AW$1,Haver_M!$B$1:$BZ$1,0),FALSE),"")</f>
        <v>50.266500000000001</v>
      </c>
      <c r="AX234">
        <f>IF(ISNUMBER(VLOOKUP($A234,Haver_M!$B$1:$BZ$300,MATCH(data!AX$1,Haver_M!$B$1:$BZ$1,0),FALSE)),VLOOKUP($A234,Haver_M!$B$1:$BZ$300,MATCH(data!AX$1,Haver_M!$B$1:$BZ$1,0),FALSE),"")</f>
        <v>50.125</v>
      </c>
      <c r="AY234">
        <f>IF(ISNUMBER(VLOOKUP($A234,Haver_M!$B$1:$BZ$300,MATCH(data!AY$1,Haver_M!$B$1:$BZ$1,0),FALSE)),VLOOKUP($A234,Haver_M!$B$1:$BZ$300,MATCH(data!AY$1,Haver_M!$B$1:$BZ$1,0),FALSE),"")</f>
        <v>51.5443</v>
      </c>
      <c r="AZ234">
        <f>IF(ISNUMBER(VLOOKUP($A234,Haver_M!$B$1:$BZ$300,MATCH(data!AZ$1,Haver_M!$B$1:$BZ$1,0),FALSE)),VLOOKUP($A234,Haver_M!$B$1:$BZ$300,MATCH(data!AZ$1,Haver_M!$B$1:$BZ$1,0),FALSE),"")</f>
        <v>51.568899999999999</v>
      </c>
      <c r="BA234">
        <f>IF(ISNUMBER(VLOOKUP($A234,Haver_M!$B$1:$BZ$300,MATCH(data!BA$1,Haver_M!$B$1:$BZ$1,0),FALSE)),VLOOKUP($A234,Haver_M!$B$1:$BZ$300,MATCH(data!BA$1,Haver_M!$B$1:$BZ$1,0),FALSE),"")</f>
        <v>50.125</v>
      </c>
      <c r="BB234">
        <f>IF(ISNUMBER(VLOOKUP($A234,Haver_M!$B$1:$BZ$300,MATCH(data!BB$1,Haver_M!$B$1:$BZ$1,0),FALSE)),VLOOKUP($A234,Haver_M!$B$1:$BZ$300,MATCH(data!BB$1,Haver_M!$B$1:$BZ$1,0),FALSE),"")</f>
        <v>53.596200000000003</v>
      </c>
      <c r="BC234">
        <f>IF(ISNUMBER(VLOOKUP($A234,Haver_M!$B$1:$BZ$300,MATCH(data!BC$1,Haver_M!$B$1:$BZ$1,0),FALSE)),VLOOKUP($A234,Haver_M!$B$1:$BZ$300,MATCH(data!BC$1,Haver_M!$B$1:$BZ$1,0),FALSE),"")</f>
        <v>49.914200000000001</v>
      </c>
      <c r="BD234">
        <f>IF(ISNUMBER(VLOOKUP($A234,Haver_M!$B$1:$BZ$300,MATCH(data!BD$1,Haver_M!$B$1:$BZ$1,0),FALSE)),VLOOKUP($A234,Haver_M!$B$1:$BZ$300,MATCH(data!BD$1,Haver_M!$B$1:$BZ$1,0),FALSE),"")</f>
        <v>49.8904</v>
      </c>
      <c r="BE234">
        <f>IF(ISNUMBER(VLOOKUP($A234,Haver_M!$B$1:$BZ$300,MATCH(data!BE$1,Haver_M!$B$1:$BZ$1,0),FALSE)),VLOOKUP($A234,Haver_M!$B$1:$BZ$300,MATCH(data!BE$1,Haver_M!$B$1:$BZ$1,0),FALSE),"")</f>
        <v>1.1601999999999999</v>
      </c>
      <c r="BF234">
        <f>IF(ISNUMBER(VLOOKUP($A234,Haver_M!$B$1:$BZ$300,MATCH(data!BF$1,Haver_M!$B$1:$BZ$1,0),FALSE)),VLOOKUP($A234,Haver_M!$B$1:$BZ$300,MATCH(data!BF$1,Haver_M!$B$1:$BZ$1,0),FALSE),"")</f>
        <v>52.819800000000001</v>
      </c>
      <c r="BG234">
        <f>IF(ISNUMBER(VLOOKUP($A234,Haver_M!$B$1:$BZ$300,MATCH(data!BG$1,Haver_M!$B$1:$BZ$1,0),FALSE)),VLOOKUP($A234,Haver_M!$B$1:$BZ$300,MATCH(data!BG$1,Haver_M!$B$1:$BZ$1,0),FALSE),"")</f>
        <v>50.850999999999999</v>
      </c>
      <c r="BH234">
        <f>IF(ISNUMBER(VLOOKUP($A234,Haver_M!$B$1:$BZ$300,MATCH(data!BH$1,Haver_M!$B$1:$BZ$1,0),FALSE)),VLOOKUP($A234,Haver_M!$B$1:$BZ$300,MATCH(data!BH$1,Haver_M!$B$1:$BZ$1,0),FALSE),"")</f>
        <v>50.485700000000001</v>
      </c>
      <c r="BI234">
        <f>IF(ISNUMBER(VLOOKUP($A234,Haver_M!$B$1:$BZ$300,MATCH(data!BI$1,Haver_M!$B$1:$BZ$1,0),FALSE)),VLOOKUP($A234,Haver_M!$B$1:$BZ$300,MATCH(data!BI$1,Haver_M!$B$1:$BZ$1,0),FALSE),"")</f>
        <v>50.769199999999998</v>
      </c>
      <c r="BJ234">
        <f>IF(ISNUMBER(VLOOKUP($A234,Haver_M!$B$1:$BZ$300,MATCH(data!BJ$1,Haver_M!$B$1:$BZ$1,0),FALSE)),VLOOKUP($A234,Haver_M!$B$1:$BZ$300,MATCH(data!BJ$1,Haver_M!$B$1:$BZ$1,0),FALSE),"")</f>
        <v>52.744999999999997</v>
      </c>
      <c r="BK234">
        <f>IF(ISNUMBER(VLOOKUP($A234,Haver_M!$B$1:$BZ$300,MATCH(data!BK$1,Haver_M!$B$1:$BZ$1,0),FALSE)),VLOOKUP($A234,Haver_M!$B$1:$BZ$300,MATCH(data!BK$1,Haver_M!$B$1:$BZ$1,0),FALSE),"")</f>
        <v>52.451900000000002</v>
      </c>
      <c r="BL234">
        <f>IF(ISNUMBER(VLOOKUP($A234,Haver_M!$B$1:$BZ$300,MATCH(data!BL$1,Haver_M!$B$1:$BZ$1,0),FALSE)),VLOOKUP($A234,Haver_M!$B$1:$BZ$300,MATCH(data!BL$1,Haver_M!$B$1:$BZ$1,0),FALSE),"")</f>
        <v>38574.6</v>
      </c>
      <c r="BM234">
        <f>IF(ISNUMBER(VLOOKUP($A234,Haver_M!$B$1:$BZ$300,MATCH(data!BM$1,Haver_M!$B$1:$BZ$1,0),FALSE)),VLOOKUP($A234,Haver_M!$B$1:$BZ$300,MATCH(data!BM$1,Haver_M!$B$1:$BZ$1,0),FALSE),"")</f>
        <v>102.43774430000001</v>
      </c>
      <c r="BN234" t="str">
        <f>IF(ISNUMBER(VLOOKUP($A234,Haver_M!$B$1:$BZ$300,MATCH(data!BN$1,Haver_M!$B$1:$BZ$1,0),FALSE)),VLOOKUP($A234,Haver_M!$B$1:$BZ$300,MATCH(data!BN$1,Haver_M!$B$1:$BZ$1,0),FALSE),"")</f>
        <v/>
      </c>
      <c r="BO234" t="str">
        <f>IF(ISNUMBER(VLOOKUP($A234,Haver_M!$B$1:$BZ$300,MATCH(data!BO$1,Haver_M!$B$1:$BZ$1,0),FALSE)),VLOOKUP($A234,Haver_M!$B$1:$BZ$300,MATCH(data!BO$1,Haver_M!$B$1:$BZ$1,0),FALSE),"")</f>
        <v/>
      </c>
      <c r="BP234" t="str">
        <f>IF(ISNUMBER(VLOOKUP($A234,Haver_M!$B$1:$BZ$300,MATCH(data!BP$1,Haver_M!$B$1:$BZ$1,0),FALSE)),VLOOKUP($A234,Haver_M!$B$1:$BZ$300,MATCH(data!BP$1,Haver_M!$B$1:$BZ$1,0),FALSE),"")</f>
        <v/>
      </c>
      <c r="BQ234">
        <f>IF(ISNUMBER(VLOOKUP($A234,Haver_M!$B$1:$BZ$300,MATCH(data!BQ$1,Haver_M!$B$1:$BZ$1,0),FALSE)),VLOOKUP($A234,Haver_M!$B$1:$BZ$300,MATCH(data!BQ$1,Haver_M!$B$1:$BZ$1,0),FALSE),"")</f>
        <v>321.24715685557902</v>
      </c>
      <c r="BR234">
        <f>IF(ISNUMBER(VLOOKUP($A234,Haver_M!$B$1:$BZ$300,MATCH(data!BR$1,Haver_M!$B$1:$BZ$1,0),FALSE)),VLOOKUP($A234,Haver_M!$B$1:$BZ$300,MATCH(data!BR$1,Haver_M!$B$1:$BZ$1,0),FALSE),"")</f>
        <v>403.3128813253245</v>
      </c>
      <c r="BS234">
        <f>IF(ISNUMBER(VLOOKUP($A234,Haver_M!$B$1:$BZ$300,MATCH(data!BS$1,Haver_M!$B$1:$BZ$1,0),FALSE)),VLOOKUP($A234,Haver_M!$B$1:$BZ$300,MATCH(data!BS$1,Haver_M!$B$1:$BZ$1,0),FALSE),"")</f>
        <v>327.90244377847625</v>
      </c>
      <c r="BT234">
        <f>IF(ISNUMBER(VLOOKUP($A234,Haver_M!$B$1:$BZ$300,MATCH(data!BT$1,Haver_M!$B$1:$BZ$1,0),FALSE)),VLOOKUP($A234,Haver_M!$B$1:$BZ$300,MATCH(data!BT$1,Haver_M!$B$1:$BZ$1,0),FALSE),"")</f>
        <v>1211.2460246140704</v>
      </c>
      <c r="BU234">
        <f>IF(ISNUMBER(VLOOKUP($A234,Haver_M!$B$1:$BZ$300,MATCH(data!BU$1,Haver_M!$B$1:$BZ$1,0),FALSE)),VLOOKUP($A234,Haver_M!$B$1:$BZ$300,MATCH(data!BU$1,Haver_M!$B$1:$BZ$1,0),FALSE),"")</f>
        <v>29847.79</v>
      </c>
      <c r="BV234">
        <f>IF(ISNUMBER(VLOOKUP($A234,Haver_M!$B$1:$BZ$300,MATCH(data!BV$1,Haver_M!$B$1:$BZ$1,0),FALSE)),VLOOKUP($A234,Haver_M!$B$1:$BZ$300,MATCH(data!BV$1,Haver_M!$B$1:$BZ$1,0),FALSE),"")</f>
        <v>46675.08</v>
      </c>
      <c r="BW234">
        <f>IF(ISNUMBER(VLOOKUP($A234,Haver_M!$B$1:$BZ$300,MATCH(data!BW$1,Haver_M!$B$1:$BZ$1,0),FALSE)),VLOOKUP($A234,Haver_M!$B$1:$BZ$300,MATCH(data!BW$1,Haver_M!$B$1:$BZ$1,0),FALSE),"")</f>
        <v>69.773099999999999</v>
      </c>
      <c r="BX234">
        <f>IF(ISNUMBER(VLOOKUP($A234,Haver_M!$B$1:$BZ$300,MATCH(data!BX$1,Haver_M!$B$1:$BZ$1,0),FALSE)),VLOOKUP($A234,Haver_M!$B$1:$BZ$300,MATCH(data!BX$1,Haver_M!$B$1:$BZ$1,0),FALSE),"")</f>
        <v>86295</v>
      </c>
    </row>
    <row r="235" spans="1:76" x14ac:dyDescent="0.25">
      <c r="A235" s="2">
        <v>43646</v>
      </c>
      <c r="B235">
        <f>IF(ISNUMBER(VLOOKUP($A235,Haver_Q!$B$1:$L$185,MATCH(data!B$1,Haver_Q!$B$1:$L$1,0),FALSE)),100*(VLOOKUP($A235,Haver_Q!$B$1:$L$185,MATCH(data!B$1,Haver_Q!$B$1:$L$1,0),FALSE)),"")</f>
        <v>2.9368207506554667</v>
      </c>
      <c r="C235">
        <f>IF(ISNUMBER(VLOOKUP($A235,Haver_Q!$B$1:$L$185,MATCH(data!C$1,Haver_Q!$B$1:$L$1,0),FALSE)),100*(VLOOKUP($A235,Haver_Q!$B$1:$L$185,MATCH(data!C$1,Haver_Q!$B$1:$L$1,0),FALSE)),"")</f>
        <v>-6.6819149674429035</v>
      </c>
      <c r="D235">
        <f>IF(ISNUMBER(VLOOKUP($A235,Haver_Q!$B$1:$L$185,MATCH(data!D$1,Haver_Q!$B$1:$L$1,0),FALSE)),100*(VLOOKUP($A235,Haver_Q!$B$1:$L$185,MATCH(data!D$1,Haver_Q!$B$1:$L$1,0),FALSE)),"")</f>
        <v>-16.056188812223958</v>
      </c>
      <c r="E235">
        <f>IF(ISNUMBER(VLOOKUP($A235,Haver_Q!$B$1:$L$185,MATCH(data!E$1,Haver_Q!$B$1:$L$1,0),FALSE)),100*(VLOOKUP($A235,Haver_Q!$B$1:$L$185,MATCH(data!E$1,Haver_Q!$B$1:$L$1,0),FALSE)),"")</f>
        <v>18.741814030243397</v>
      </c>
      <c r="F235">
        <f>IF(ISNUMBER(VLOOKUP($A235,Haver_Q!$B$1:$L$185,MATCH(data!F$1,Haver_Q!$B$1:$L$1,0),FALSE)),100*(VLOOKUP($A235,Haver_Q!$B$1:$L$185,MATCH(data!F$1,Haver_Q!$B$1:$L$1,0),FALSE)),"")</f>
        <v>5.39325600183993E-3</v>
      </c>
      <c r="G235">
        <f>IF(ISNUMBER(VLOOKUP($A235,Haver_Q!$B$1:$L$185,MATCH(data!G$1,Haver_Q!$B$1:$L$1,0),FALSE)),100*(VLOOKUP($A235,Haver_Q!$B$1:$L$185,MATCH(data!G$1,Haver_Q!$B$1:$L$1,0),FALSE)),"")</f>
        <v>9.9133985079286724</v>
      </c>
      <c r="H235">
        <f>IF(ISNUMBER(VLOOKUP($A235,Haver_Q!$B$1:$L$185,MATCH(data!H$1,Haver_Q!$B$1:$L$1,0),FALSE)),(VLOOKUP($A235,Haver_Q!$B$1:$L$185,MATCH(data!H$1,Haver_Q!$B$1:$L$1,0),FALSE)),"")</f>
        <v>2.8315503210539994</v>
      </c>
      <c r="I235">
        <f>IF(ISNUMBER(VLOOKUP($A235,Haver_Q!$B$1:$L$185,MATCH(data!I$1,Haver_Q!$B$1:$L$1,0),FALSE)),100*(VLOOKUP($A235,Haver_Q!$B$1:$L$185,MATCH(data!I$1,Haver_Q!$B$1:$L$1,0),FALSE)),"")</f>
        <v>5.0140055776264569</v>
      </c>
      <c r="J235" s="3">
        <f>IF(ISNUMBER(Bloomberg_m!C251),Bloomberg_m!C251,"")</f>
        <v>1174</v>
      </c>
      <c r="K235" s="3">
        <f>IF(ISNUMBER(Bloomberg_m!D251),Bloomberg_m!D251,"")</f>
        <v>1351.29</v>
      </c>
      <c r="L235" s="3">
        <f>IF(ISNUMBER(Bloomberg_m!E251),Bloomberg_m!E251,"")</f>
        <v>789.08</v>
      </c>
      <c r="M235" s="3">
        <f>IF(ISNUMBER(Bloomberg_m!F251),Bloomberg_m!F251,"")</f>
        <v>423.53</v>
      </c>
      <c r="N235">
        <f>IF(ISNUMBER(VLOOKUP($A235,Haver_M!$B$1:$BZ$300,MATCH(data!N$1,Haver_M!$B$1:$BZ$1,0),FALSE)),VLOOKUP($A235,Haver_M!$B$1:$BZ$300,MATCH(data!N$1,Haver_M!$B$1:$BZ$1,0),FALSE),"")</f>
        <v>5.75</v>
      </c>
      <c r="O235">
        <f>IF(ISNUMBER(VLOOKUP($A235,Haver_M!$B$1:$BZ$300,MATCH(data!O$1,Haver_M!$B$1:$BZ$1,0),FALSE)),VLOOKUP($A235,Haver_M!$B$1:$BZ$300,MATCH(data!O$1,Haver_M!$B$1:$BZ$1,0),FALSE),"")</f>
        <v>6.9339000000000004</v>
      </c>
      <c r="P235">
        <f>IF(ISNUMBER(VLOOKUP($A235,Haver_M!$B$1:$BZ$300,MATCH(data!P$1,Haver_M!$B$1:$BZ$1,0),FALSE)),VLOOKUP($A235,Haver_M!$B$1:$BZ$300,MATCH(data!P$1,Haver_M!$B$1:$BZ$1,0),FALSE),"")</f>
        <v>92.533910000000006</v>
      </c>
      <c r="Q235">
        <f>IF(ISNUMBER(VLOOKUP($A235,Haver_M!$B$1:$BZ$300,MATCH(data!Q$1,Haver_M!$B$1:$BZ$1,0),FALSE)),VLOOKUP($A235,Haver_M!$B$1:$BZ$300,MATCH(data!Q$1,Haver_M!$B$1:$BZ$1,0),FALSE),"")</f>
        <v>142.9</v>
      </c>
      <c r="R235">
        <f>IF(ISNUMBER(VLOOKUP($A235,Haver_M!$B$1:$BZ$300,MATCH(data!R$1,Haver_M!$B$1:$BZ$1,0),FALSE)),VLOOKUP($A235,Haver_M!$B$1:$BZ$300,MATCH(data!R$1,Haver_M!$B$1:$BZ$1,0),FALSE),"")</f>
        <v>145.4</v>
      </c>
      <c r="S235">
        <f>IF(ISNUMBER(VLOOKUP($A235,Haver_M!$B$1:$BZ$300,MATCH(data!S$1,Haver_M!$B$1:$BZ$1,0),FALSE)),VLOOKUP($A235,Haver_M!$B$1:$BZ$300,MATCH(data!S$1,Haver_M!$B$1:$BZ$1,0),FALSE),"")</f>
        <v>132.1</v>
      </c>
      <c r="T235">
        <f>IF(ISNUMBER(VLOOKUP($A235,Haver_M!$B$1:$BZ$300,MATCH(data!T$1,Haver_M!$B$1:$BZ$1,0),FALSE)),VLOOKUP($A235,Haver_M!$B$1:$BZ$300,MATCH(data!T$1,Haver_M!$B$1:$BZ$1,0),FALSE),"")</f>
        <v>129.76</v>
      </c>
      <c r="U235">
        <f>IF(ISNUMBER(VLOOKUP($A235,Haver_M!$B$1:$BZ$300,MATCH(data!U$1,Haver_M!$B$1:$BZ$1,0),FALSE)),VLOOKUP($A235,Haver_M!$B$1:$BZ$300,MATCH(data!U$1,Haver_M!$B$1:$BZ$1,0),FALSE),"")</f>
        <v>103.11</v>
      </c>
      <c r="V235">
        <f>IF(ISNUMBER(VLOOKUP($A235,Haver_M!$B$1:$BZ$300,MATCH(data!V$1,Haver_M!$B$1:$BZ$1,0),FALSE)),VLOOKUP($A235,Haver_M!$B$1:$BZ$300,MATCH(data!V$1,Haver_M!$B$1:$BZ$1,0),FALSE),"")</f>
        <v>139.96</v>
      </c>
      <c r="W235">
        <f>IF(ISNUMBER(VLOOKUP($A235,Haver_M!$B$1:$BZ$300,MATCH(data!W$1,Haver_M!$B$1:$BZ$1,0),FALSE)),VLOOKUP($A235,Haver_M!$B$1:$BZ$300,MATCH(data!W$1,Haver_M!$B$1:$BZ$1,0),FALSE),"")</f>
        <v>140.47</v>
      </c>
      <c r="X235">
        <f>IF(ISNUMBER(VLOOKUP($A235,Haver_M!$B$1:$BZ$300,MATCH(data!X$1,Haver_M!$B$1:$BZ$1,0),FALSE)),VLOOKUP($A235,Haver_M!$B$1:$BZ$300,MATCH(data!X$1,Haver_M!$B$1:$BZ$1,0),FALSE),"")</f>
        <v>122.49</v>
      </c>
      <c r="Y235">
        <f>IF(ISNUMBER(VLOOKUP($A235,Haver_M!$B$1:$BZ$300,MATCH(data!Y$1,Haver_M!$B$1:$BZ$1,0),FALSE)),VLOOKUP($A235,Haver_M!$B$1:$BZ$300,MATCH(data!Y$1,Haver_M!$B$1:$BZ$1,0),FALSE),"")</f>
        <v>147.78</v>
      </c>
      <c r="Z235">
        <f>IF(ISNUMBER(VLOOKUP($A235,Haver_M!$B$1:$BZ$300,MATCH(data!Z$1,Haver_M!$B$1:$BZ$1,0),FALSE)),VLOOKUP($A235,Haver_M!$B$1:$BZ$300,MATCH(data!Z$1,Haver_M!$B$1:$BZ$1,0),FALSE),"")</f>
        <v>134.80000000000001</v>
      </c>
      <c r="AA235">
        <f>IF(ISNUMBER(VLOOKUP($A235,Haver_M!$B$1:$BZ$300,MATCH(data!AA$1,Haver_M!$B$1:$BZ$1,0),FALSE)),VLOOKUP($A235,Haver_M!$B$1:$BZ$300,MATCH(data!AA$1,Haver_M!$B$1:$BZ$1,0),FALSE),"")</f>
        <v>140.15700000000001</v>
      </c>
      <c r="AB235">
        <f>IF(ISNUMBER(VLOOKUP($A235,Haver_M!$B$1:$BZ$300,MATCH(data!AB$1,Haver_M!$B$1:$BZ$1,0),FALSE)),VLOOKUP($A235,Haver_M!$B$1:$BZ$300,MATCH(data!AB$1,Haver_M!$B$1:$BZ$1,0),FALSE),"")</f>
        <v>85.262</v>
      </c>
      <c r="AC235">
        <f>IF(ISNUMBER(VLOOKUP($A235,Haver_M!$B$1:$BZ$300,MATCH(data!AC$1,Haver_M!$B$1:$BZ$1,0),FALSE)),VLOOKUP($A235,Haver_M!$B$1:$BZ$300,MATCH(data!AC$1,Haver_M!$B$1:$BZ$1,0),FALSE),"")</f>
        <v>65.94</v>
      </c>
      <c r="AD235">
        <f>IF(ISNUMBER(VLOOKUP($A235,Haver_M!$B$1:$BZ$300,MATCH(data!AD$1,Haver_M!$B$1:$BZ$1,0),FALSE)),VLOOKUP($A235,Haver_M!$B$1:$BZ$300,MATCH(data!AD$1,Haver_M!$B$1:$BZ$1,0),FALSE),"")</f>
        <v>122.94799999999999</v>
      </c>
      <c r="AE235">
        <f>IF(ISNUMBER(VLOOKUP($A235,Haver_M!$B$1:$BZ$300,MATCH(data!AE$1,Haver_M!$B$1:$BZ$1,0),FALSE)),VLOOKUP($A235,Haver_M!$B$1:$BZ$300,MATCH(data!AE$1,Haver_M!$B$1:$BZ$1,0),FALSE),"")</f>
        <v>109.60899999999999</v>
      </c>
      <c r="AF235">
        <f>IF(ISNUMBER(VLOOKUP($A235,Haver_M!$B$1:$BZ$300,MATCH(data!AF$1,Haver_M!$B$1:$BZ$1,0),FALSE)),VLOOKUP($A235,Haver_M!$B$1:$BZ$300,MATCH(data!AF$1,Haver_M!$B$1:$BZ$1,0),FALSE),"")</f>
        <v>162.80600000000001</v>
      </c>
      <c r="AG235">
        <f>IF(ISNUMBER(VLOOKUP($A235,Haver_M!$B$1:$BZ$300,MATCH(data!AG$1,Haver_M!$B$1:$BZ$1,0),FALSE)),VLOOKUP($A235,Haver_M!$B$1:$BZ$300,MATCH(data!AG$1,Haver_M!$B$1:$BZ$1,0),FALSE),"")</f>
        <v>143.149</v>
      </c>
      <c r="AH235">
        <f>IF(ISNUMBER(VLOOKUP($A235,Haver_M!$B$1:$BZ$300,MATCH(data!AH$1,Haver_M!$B$1:$BZ$1,0),FALSE)),VLOOKUP($A235,Haver_M!$B$1:$BZ$300,MATCH(data!AH$1,Haver_M!$B$1:$BZ$1,0),FALSE),"")</f>
        <v>171.738</v>
      </c>
      <c r="AI235">
        <f>IF(ISNUMBER(VLOOKUP($A235,Haver_M!$B$1:$BZ$300,MATCH(data!AI$1,Haver_M!$B$1:$BZ$1,0),FALSE)),VLOOKUP($A235,Haver_M!$B$1:$BZ$300,MATCH(data!AI$1,Haver_M!$B$1:$BZ$1,0),FALSE),"")</f>
        <v>17611.167847315242</v>
      </c>
      <c r="AJ235">
        <f>IF(ISNUMBER(VLOOKUP($A235,Haver_M!$B$1:$BZ$300,MATCH(data!AJ$1,Haver_M!$B$1:$BZ$1,0),FALSE)),VLOOKUP($A235,Haver_M!$B$1:$BZ$300,MATCH(data!AJ$1,Haver_M!$B$1:$BZ$1,0),FALSE),"")</f>
        <v>25696.58</v>
      </c>
      <c r="AK235">
        <f>IF(ISNUMBER(VLOOKUP($A235,Haver_M!$B$1:$BZ$300,MATCH(data!AK$1,Haver_M!$B$1:$BZ$1,0),FALSE)),VLOOKUP($A235,Haver_M!$B$1:$BZ$300,MATCH(data!AK$1,Haver_M!$B$1:$BZ$1,0),FALSE),"")</f>
        <v>40368.839999999997</v>
      </c>
      <c r="AL235">
        <f>IF(ISNUMBER(VLOOKUP($A235,Haver_M!$B$1:$BZ$300,MATCH(data!AL$1,Haver_M!$B$1:$BZ$1,0),FALSE)),VLOOKUP($A235,Haver_M!$B$1:$BZ$300,MATCH(data!AL$1,Haver_M!$B$1:$BZ$1,0),FALSE),"")</f>
        <v>18552</v>
      </c>
      <c r="AM235">
        <f>IF(ISNUMBER(VLOOKUP($A235,Haver_M!$B$1:$BZ$300,MATCH(data!AM$1,Haver_M!$B$1:$BZ$1,0),FALSE)),VLOOKUP($A235,Haver_M!$B$1:$BZ$300,MATCH(data!AM$1,Haver_M!$B$1:$BZ$1,0),FALSE),"")</f>
        <v>11758</v>
      </c>
      <c r="AN235" t="str">
        <f>IF(ISNUMBER(VLOOKUP($A235,Haver_M!$B$1:$BZ$300,MATCH(data!AN$1,Haver_M!$B$1:$BZ$1,0),FALSE)),VLOOKUP($A235,Haver_M!$B$1:$BZ$300,MATCH(data!AN$1,Haver_M!$B$1:$BZ$1,0),FALSE),"")</f>
        <v/>
      </c>
      <c r="AO235" t="str">
        <f>IF(ISNUMBER(VLOOKUP($A235,Haver_M!$B$1:$BZ$300,MATCH(data!AO$1,Haver_M!$B$1:$BZ$1,0),FALSE)),VLOOKUP($A235,Haver_M!$B$1:$BZ$300,MATCH(data!AO$1,Haver_M!$B$1:$BZ$1,0),FALSE),"")</f>
        <v/>
      </c>
      <c r="AP235">
        <f>IF(ISNUMBER(VLOOKUP($A235,Haver_M!$B$1:$BZ$300,MATCH(data!AP$1,Haver_M!$B$1:$BZ$1,0),FALSE)),VLOOKUP($A235,Haver_M!$B$1:$BZ$300,MATCH(data!AP$1,Haver_M!$B$1:$BZ$1,0),FALSE),"")</f>
        <v>81.538505704582562</v>
      </c>
      <c r="AQ235">
        <f>IF(ISNUMBER(VLOOKUP($A235,Haver_M!$B$1:$BZ$300,MATCH(data!AQ$1,Haver_M!$B$1:$BZ$1,0),FALSE)),VLOOKUP($A235,Haver_M!$B$1:$BZ$300,MATCH(data!AQ$1,Haver_M!$B$1:$BZ$1,0),FALSE),"")</f>
        <v>50.8018</v>
      </c>
      <c r="AR235">
        <f>IF(ISNUMBER(VLOOKUP($A235,Haver_M!$B$1:$BZ$300,MATCH(data!AR$1,Haver_M!$B$1:$BZ$1,0),FALSE)),VLOOKUP($A235,Haver_M!$B$1:$BZ$300,MATCH(data!AR$1,Haver_M!$B$1:$BZ$1,0),FALSE),"")</f>
        <v>52.131900000000002</v>
      </c>
      <c r="AS235">
        <f>IF(ISNUMBER(VLOOKUP($A235,Haver_M!$B$1:$BZ$300,MATCH(data!AS$1,Haver_M!$B$1:$BZ$1,0),FALSE)),VLOOKUP($A235,Haver_M!$B$1:$BZ$300,MATCH(data!AS$1,Haver_M!$B$1:$BZ$1,0),FALSE),"")</f>
        <v>49.615900000000003</v>
      </c>
      <c r="AT235">
        <f>IF(ISNUMBER(VLOOKUP($A235,Haver_M!$B$1:$BZ$300,MATCH(data!AT$1,Haver_M!$B$1:$BZ$1,0),FALSE)),VLOOKUP($A235,Haver_M!$B$1:$BZ$300,MATCH(data!AT$1,Haver_M!$B$1:$BZ$1,0),FALSE),"")</f>
        <v>53.3459</v>
      </c>
      <c r="AU235">
        <f>IF(ISNUMBER(VLOOKUP($A235,Haver_M!$B$1:$BZ$300,MATCH(data!AU$1,Haver_M!$B$1:$BZ$1,0),FALSE)),VLOOKUP($A235,Haver_M!$B$1:$BZ$300,MATCH(data!AU$1,Haver_M!$B$1:$BZ$1,0),FALSE),"")</f>
        <v>53.189399999999999</v>
      </c>
      <c r="AV235">
        <f>IF(ISNUMBER(VLOOKUP($A235,Haver_M!$B$1:$BZ$300,MATCH(data!AV$1,Haver_M!$B$1:$BZ$1,0),FALSE)),VLOOKUP($A235,Haver_M!$B$1:$BZ$300,MATCH(data!AV$1,Haver_M!$B$1:$BZ$1,0),FALSE),"")</f>
        <v>50.882399999999997</v>
      </c>
      <c r="AW235">
        <f>IF(ISNUMBER(VLOOKUP($A235,Haver_M!$B$1:$BZ$300,MATCH(data!AW$1,Haver_M!$B$1:$BZ$1,0),FALSE)),VLOOKUP($A235,Haver_M!$B$1:$BZ$300,MATCH(data!AW$1,Haver_M!$B$1:$BZ$1,0),FALSE),"")</f>
        <v>50.1554</v>
      </c>
      <c r="AX235">
        <f>IF(ISNUMBER(VLOOKUP($A235,Haver_M!$B$1:$BZ$300,MATCH(data!AX$1,Haver_M!$B$1:$BZ$1,0),FALSE)),VLOOKUP($A235,Haver_M!$B$1:$BZ$300,MATCH(data!AX$1,Haver_M!$B$1:$BZ$1,0),FALSE),"")</f>
        <v>51.853900000000003</v>
      </c>
      <c r="AY235">
        <f>IF(ISNUMBER(VLOOKUP($A235,Haver_M!$B$1:$BZ$300,MATCH(data!AY$1,Haver_M!$B$1:$BZ$1,0),FALSE)),VLOOKUP($A235,Haver_M!$B$1:$BZ$300,MATCH(data!AY$1,Haver_M!$B$1:$BZ$1,0),FALSE),"")</f>
        <v>51.4968</v>
      </c>
      <c r="AZ235">
        <f>IF(ISNUMBER(VLOOKUP($A235,Haver_M!$B$1:$BZ$300,MATCH(data!AZ$1,Haver_M!$B$1:$BZ$1,0),FALSE)),VLOOKUP($A235,Haver_M!$B$1:$BZ$300,MATCH(data!AZ$1,Haver_M!$B$1:$BZ$1,0),FALSE),"")</f>
        <v>51.994999999999997</v>
      </c>
      <c r="BA235">
        <f>IF(ISNUMBER(VLOOKUP($A235,Haver_M!$B$1:$BZ$300,MATCH(data!BA$1,Haver_M!$B$1:$BZ$1,0),FALSE)),VLOOKUP($A235,Haver_M!$B$1:$BZ$300,MATCH(data!BA$1,Haver_M!$B$1:$BZ$1,0),FALSE),"")</f>
        <v>51.853900000000003</v>
      </c>
      <c r="BB235">
        <f>IF(ISNUMBER(VLOOKUP($A235,Haver_M!$B$1:$BZ$300,MATCH(data!BB$1,Haver_M!$B$1:$BZ$1,0),FALSE)),VLOOKUP($A235,Haver_M!$B$1:$BZ$300,MATCH(data!BB$1,Haver_M!$B$1:$BZ$1,0),FALSE),"")</f>
        <v>52.767200000000003</v>
      </c>
      <c r="BC235">
        <f>IF(ISNUMBER(VLOOKUP($A235,Haver_M!$B$1:$BZ$300,MATCH(data!BC$1,Haver_M!$B$1:$BZ$1,0),FALSE)),VLOOKUP($A235,Haver_M!$B$1:$BZ$300,MATCH(data!BC$1,Haver_M!$B$1:$BZ$1,0),FALSE),"")</f>
        <v>49.213299999999997</v>
      </c>
      <c r="BD235">
        <f>IF(ISNUMBER(VLOOKUP($A235,Haver_M!$B$1:$BZ$300,MATCH(data!BD$1,Haver_M!$B$1:$BZ$1,0),FALSE)),VLOOKUP($A235,Haver_M!$B$1:$BZ$300,MATCH(data!BD$1,Haver_M!$B$1:$BZ$1,0),FALSE),"")</f>
        <v>49.716000000000001</v>
      </c>
      <c r="BE235">
        <f>IF(ISNUMBER(VLOOKUP($A235,Haver_M!$B$1:$BZ$300,MATCH(data!BE$1,Haver_M!$B$1:$BZ$1,0),FALSE)),VLOOKUP($A235,Haver_M!$B$1:$BZ$300,MATCH(data!BE$1,Haver_M!$B$1:$BZ$1,0),FALSE),"")</f>
        <v>1.1549</v>
      </c>
      <c r="BF235">
        <f>IF(ISNUMBER(VLOOKUP($A235,Haver_M!$B$1:$BZ$300,MATCH(data!BF$1,Haver_M!$B$1:$BZ$1,0),FALSE)),VLOOKUP($A235,Haver_M!$B$1:$BZ$300,MATCH(data!BF$1,Haver_M!$B$1:$BZ$1,0),FALSE),"")</f>
        <v>50.747999999999998</v>
      </c>
      <c r="BG235">
        <f>IF(ISNUMBER(VLOOKUP($A235,Haver_M!$B$1:$BZ$300,MATCH(data!BG$1,Haver_M!$B$1:$BZ$1,0),FALSE)),VLOOKUP($A235,Haver_M!$B$1:$BZ$300,MATCH(data!BG$1,Haver_M!$B$1:$BZ$1,0),FALSE),"")</f>
        <v>51.076599999999999</v>
      </c>
      <c r="BH235">
        <f>IF(ISNUMBER(VLOOKUP($A235,Haver_M!$B$1:$BZ$300,MATCH(data!BH$1,Haver_M!$B$1:$BZ$1,0),FALSE)),VLOOKUP($A235,Haver_M!$B$1:$BZ$300,MATCH(data!BH$1,Haver_M!$B$1:$BZ$1,0),FALSE),"")</f>
        <v>50.201700000000002</v>
      </c>
      <c r="BI235">
        <f>IF(ISNUMBER(VLOOKUP($A235,Haver_M!$B$1:$BZ$300,MATCH(data!BI$1,Haver_M!$B$1:$BZ$1,0),FALSE)),VLOOKUP($A235,Haver_M!$B$1:$BZ$300,MATCH(data!BI$1,Haver_M!$B$1:$BZ$1,0),FALSE),"")</f>
        <v>51.066000000000003</v>
      </c>
      <c r="BJ235">
        <f>IF(ISNUMBER(VLOOKUP($A235,Haver_M!$B$1:$BZ$300,MATCH(data!BJ$1,Haver_M!$B$1:$BZ$1,0),FALSE)),VLOOKUP($A235,Haver_M!$B$1:$BZ$300,MATCH(data!BJ$1,Haver_M!$B$1:$BZ$1,0),FALSE),"")</f>
        <v>50.854799999999997</v>
      </c>
      <c r="BK235">
        <f>IF(ISNUMBER(VLOOKUP($A235,Haver_M!$B$1:$BZ$300,MATCH(data!BK$1,Haver_M!$B$1:$BZ$1,0),FALSE)),VLOOKUP($A235,Haver_M!$B$1:$BZ$300,MATCH(data!BK$1,Haver_M!$B$1:$BZ$1,0),FALSE),"")</f>
        <v>51.913400000000003</v>
      </c>
      <c r="BL235">
        <f>IF(ISNUMBER(VLOOKUP($A235,Haver_M!$B$1:$BZ$300,MATCH(data!BL$1,Haver_M!$B$1:$BZ$1,0),FALSE)),VLOOKUP($A235,Haver_M!$B$1:$BZ$300,MATCH(data!BL$1,Haver_M!$B$1:$BZ$1,0),FALSE),"")</f>
        <v>39538.370000000003</v>
      </c>
      <c r="BM235">
        <f>IF(ISNUMBER(VLOOKUP($A235,Haver_M!$B$1:$BZ$300,MATCH(data!BM$1,Haver_M!$B$1:$BZ$1,0),FALSE)),VLOOKUP($A235,Haver_M!$B$1:$BZ$300,MATCH(data!BM$1,Haver_M!$B$1:$BZ$1,0),FALSE),"")</f>
        <v>100.94078259</v>
      </c>
      <c r="BN235">
        <f>IF(ISNUMBER(VLOOKUP($A235,Haver_M!$B$1:$BZ$300,MATCH(data!BN$1,Haver_M!$B$1:$BZ$1,0),FALSE)),VLOOKUP($A235,Haver_M!$B$1:$BZ$300,MATCH(data!BN$1,Haver_M!$B$1:$BZ$1,0),FALSE),"")</f>
        <v>108.4</v>
      </c>
      <c r="BO235">
        <f>IF(ISNUMBER(VLOOKUP($A235,Haver_M!$B$1:$BZ$300,MATCH(data!BO$1,Haver_M!$B$1:$BZ$1,0),FALSE)),VLOOKUP($A235,Haver_M!$B$1:$BZ$300,MATCH(data!BO$1,Haver_M!$B$1:$BZ$1,0),FALSE),"")</f>
        <v>113.5</v>
      </c>
      <c r="BP235">
        <f>IF(ISNUMBER(VLOOKUP($A235,Haver_M!$B$1:$BZ$300,MATCH(data!BP$1,Haver_M!$B$1:$BZ$1,0),FALSE)),VLOOKUP($A235,Haver_M!$B$1:$BZ$300,MATCH(data!BP$1,Haver_M!$B$1:$BZ$1,0),FALSE),"")</f>
        <v>36.9</v>
      </c>
      <c r="BQ235">
        <f>IF(ISNUMBER(VLOOKUP($A235,Haver_M!$B$1:$BZ$300,MATCH(data!BQ$1,Haver_M!$B$1:$BZ$1,0),FALSE)),VLOOKUP($A235,Haver_M!$B$1:$BZ$300,MATCH(data!BQ$1,Haver_M!$B$1:$BZ$1,0),FALSE),"")</f>
        <v>324.57930641182389</v>
      </c>
      <c r="BR235">
        <f>IF(ISNUMBER(VLOOKUP($A235,Haver_M!$B$1:$BZ$300,MATCH(data!BR$1,Haver_M!$B$1:$BZ$1,0),FALSE)),VLOOKUP($A235,Haver_M!$B$1:$BZ$300,MATCH(data!BR$1,Haver_M!$B$1:$BZ$1,0),FALSE),"")</f>
        <v>404.96494040084156</v>
      </c>
      <c r="BS235">
        <f>IF(ISNUMBER(VLOOKUP($A235,Haver_M!$B$1:$BZ$300,MATCH(data!BS$1,Haver_M!$B$1:$BZ$1,0),FALSE)),VLOOKUP($A235,Haver_M!$B$1:$BZ$300,MATCH(data!BS$1,Haver_M!$B$1:$BZ$1,0),FALSE),"")</f>
        <v>329.02522937431326</v>
      </c>
      <c r="BT235">
        <f>IF(ISNUMBER(VLOOKUP($A235,Haver_M!$B$1:$BZ$300,MATCH(data!BT$1,Haver_M!$B$1:$BZ$1,0),FALSE)),VLOOKUP($A235,Haver_M!$B$1:$BZ$300,MATCH(data!BT$1,Haver_M!$B$1:$BZ$1,0),FALSE),"")</f>
        <v>1220.6957483485482</v>
      </c>
      <c r="BU235">
        <f>IF(ISNUMBER(VLOOKUP($A235,Haver_M!$B$1:$BZ$300,MATCH(data!BU$1,Haver_M!$B$1:$BZ$1,0),FALSE)),VLOOKUP($A235,Haver_M!$B$1:$BZ$300,MATCH(data!BU$1,Haver_M!$B$1:$BZ$1,0),FALSE),"")</f>
        <v>25017.56</v>
      </c>
      <c r="BV235">
        <f>IF(ISNUMBER(VLOOKUP($A235,Haver_M!$B$1:$BZ$300,MATCH(data!BV$1,Haver_M!$B$1:$BZ$1,0),FALSE)),VLOOKUP($A235,Haver_M!$B$1:$BZ$300,MATCH(data!BV$1,Haver_M!$B$1:$BZ$1,0),FALSE),"")</f>
        <v>41032.75</v>
      </c>
      <c r="BW235">
        <f>IF(ISNUMBER(VLOOKUP($A235,Haver_M!$B$1:$BZ$300,MATCH(data!BW$1,Haver_M!$B$1:$BZ$1,0),FALSE)),VLOOKUP($A235,Haver_M!$B$1:$BZ$300,MATCH(data!BW$1,Haver_M!$B$1:$BZ$1,0),FALSE),"")</f>
        <v>69.438900000000004</v>
      </c>
      <c r="BX235">
        <f>IF(ISNUMBER(VLOOKUP($A235,Haver_M!$B$1:$BZ$300,MATCH(data!BX$1,Haver_M!$B$1:$BZ$1,0),FALSE)),VLOOKUP($A235,Haver_M!$B$1:$BZ$300,MATCH(data!BX$1,Haver_M!$B$1:$BZ$1,0),FALSE),"")</f>
        <v>84908</v>
      </c>
    </row>
    <row r="236" spans="1:76" x14ac:dyDescent="0.25">
      <c r="A236" s="2">
        <v>43677</v>
      </c>
      <c r="B236" t="str">
        <f>IF(ISNUMBER(VLOOKUP($A236,Haver_Q!$B$1:$L$185,MATCH(data!B$1,Haver_Q!$B$1:$L$1,0),FALSE)),100*(VLOOKUP($A236,Haver_Q!$B$1:$L$185,MATCH(data!B$1,Haver_Q!$B$1:$L$1,0),FALSE)),"")</f>
        <v/>
      </c>
      <c r="C236" t="str">
        <f>IF(ISNUMBER(VLOOKUP($A236,Haver_Q!$B$1:$L$185,MATCH(data!C$1,Haver_Q!$B$1:$L$1,0),FALSE)),100*(VLOOKUP($A236,Haver_Q!$B$1:$L$185,MATCH(data!C$1,Haver_Q!$B$1:$L$1,0),FALSE)),"")</f>
        <v/>
      </c>
      <c r="D236" t="str">
        <f>IF(ISNUMBER(VLOOKUP($A236,Haver_Q!$B$1:$L$185,MATCH(data!D$1,Haver_Q!$B$1:$L$1,0),FALSE)),100*(VLOOKUP($A236,Haver_Q!$B$1:$L$185,MATCH(data!D$1,Haver_Q!$B$1:$L$1,0),FALSE)),"")</f>
        <v/>
      </c>
      <c r="E236" t="str">
        <f>IF(ISNUMBER(VLOOKUP($A236,Haver_Q!$B$1:$L$185,MATCH(data!E$1,Haver_Q!$B$1:$L$1,0),FALSE)),100*(VLOOKUP($A236,Haver_Q!$B$1:$L$185,MATCH(data!E$1,Haver_Q!$B$1:$L$1,0),FALSE)),"")</f>
        <v/>
      </c>
      <c r="F236" t="str">
        <f>IF(ISNUMBER(VLOOKUP($A236,Haver_Q!$B$1:$L$185,MATCH(data!F$1,Haver_Q!$B$1:$L$1,0),FALSE)),100*(VLOOKUP($A236,Haver_Q!$B$1:$L$185,MATCH(data!F$1,Haver_Q!$B$1:$L$1,0),FALSE)),"")</f>
        <v/>
      </c>
      <c r="G236" t="str">
        <f>IF(ISNUMBER(VLOOKUP($A236,Haver_Q!$B$1:$L$185,MATCH(data!G$1,Haver_Q!$B$1:$L$1,0),FALSE)),100*(VLOOKUP($A236,Haver_Q!$B$1:$L$185,MATCH(data!G$1,Haver_Q!$B$1:$L$1,0),FALSE)),"")</f>
        <v/>
      </c>
      <c r="H236" t="str">
        <f>IF(ISNUMBER(VLOOKUP($A236,Haver_Q!$B$1:$L$185,MATCH(data!H$1,Haver_Q!$B$1:$L$1,0),FALSE)),(VLOOKUP($A236,Haver_Q!$B$1:$L$185,MATCH(data!H$1,Haver_Q!$B$1:$L$1,0),FALSE)),"")</f>
        <v/>
      </c>
      <c r="I236" t="str">
        <f>IF(ISNUMBER(VLOOKUP($A236,Haver_Q!$B$1:$L$185,MATCH(data!I$1,Haver_Q!$B$1:$L$1,0),FALSE)),100*(VLOOKUP($A236,Haver_Q!$B$1:$L$185,MATCH(data!I$1,Haver_Q!$B$1:$L$1,0),FALSE)),"")</f>
        <v/>
      </c>
      <c r="J236" s="3">
        <f>IF(ISNUMBER(Bloomberg_m!C252),Bloomberg_m!C252,"")</f>
        <v>1870</v>
      </c>
      <c r="K236" s="3">
        <f>IF(ISNUMBER(Bloomberg_m!D252),Bloomberg_m!D252,"")</f>
        <v>1344.05</v>
      </c>
      <c r="L236" s="3">
        <f>IF(ISNUMBER(Bloomberg_m!E252),Bloomberg_m!E252,"")</f>
        <v>802.01</v>
      </c>
      <c r="M236" s="3">
        <f>IF(ISNUMBER(Bloomberg_m!F252),Bloomberg_m!F252,"")</f>
        <v>444.74</v>
      </c>
      <c r="N236">
        <f>IF(ISNUMBER(VLOOKUP($A236,Haver_M!$B$1:$BZ$300,MATCH(data!N$1,Haver_M!$B$1:$BZ$1,0),FALSE)),VLOOKUP($A236,Haver_M!$B$1:$BZ$300,MATCH(data!N$1,Haver_M!$B$1:$BZ$1,0),FALSE),"")</f>
        <v>5.75</v>
      </c>
      <c r="O236">
        <f>IF(ISNUMBER(VLOOKUP($A236,Haver_M!$B$1:$BZ$300,MATCH(data!O$1,Haver_M!$B$1:$BZ$1,0),FALSE)),VLOOKUP($A236,Haver_M!$B$1:$BZ$300,MATCH(data!O$1,Haver_M!$B$1:$BZ$1,0),FALSE),"")</f>
        <v>6.5758000000000001</v>
      </c>
      <c r="P236">
        <f>IF(ISNUMBER(VLOOKUP($A236,Haver_M!$B$1:$BZ$300,MATCH(data!P$1,Haver_M!$B$1:$BZ$1,0),FALSE)),VLOOKUP($A236,Haver_M!$B$1:$BZ$300,MATCH(data!P$1,Haver_M!$B$1:$BZ$1,0),FALSE),"")</f>
        <v>93.029790000000006</v>
      </c>
      <c r="Q236">
        <f>IF(ISNUMBER(VLOOKUP($A236,Haver_M!$B$1:$BZ$300,MATCH(data!Q$1,Haver_M!$B$1:$BZ$1,0),FALSE)),VLOOKUP($A236,Haver_M!$B$1:$BZ$300,MATCH(data!Q$1,Haver_M!$B$1:$BZ$1,0),FALSE),"")</f>
        <v>144.19999999999999</v>
      </c>
      <c r="R236">
        <f>IF(ISNUMBER(VLOOKUP($A236,Haver_M!$B$1:$BZ$300,MATCH(data!R$1,Haver_M!$B$1:$BZ$1,0),FALSE)),VLOOKUP($A236,Haver_M!$B$1:$BZ$300,MATCH(data!R$1,Haver_M!$B$1:$BZ$1,0),FALSE),"")</f>
        <v>146.4</v>
      </c>
      <c r="S236">
        <f>IF(ISNUMBER(VLOOKUP($A236,Haver_M!$B$1:$BZ$300,MATCH(data!S$1,Haver_M!$B$1:$BZ$1,0),FALSE)),VLOOKUP($A236,Haver_M!$B$1:$BZ$300,MATCH(data!S$1,Haver_M!$B$1:$BZ$1,0),FALSE),"")</f>
        <v>135.55000000000001</v>
      </c>
      <c r="T236">
        <f>IF(ISNUMBER(VLOOKUP($A236,Haver_M!$B$1:$BZ$300,MATCH(data!T$1,Haver_M!$B$1:$BZ$1,0),FALSE)),VLOOKUP($A236,Haver_M!$B$1:$BZ$300,MATCH(data!T$1,Haver_M!$B$1:$BZ$1,0),FALSE),"")</f>
        <v>131.66</v>
      </c>
      <c r="U236">
        <f>IF(ISNUMBER(VLOOKUP($A236,Haver_M!$B$1:$BZ$300,MATCH(data!U$1,Haver_M!$B$1:$BZ$1,0),FALSE)),VLOOKUP($A236,Haver_M!$B$1:$BZ$300,MATCH(data!U$1,Haver_M!$B$1:$BZ$1,0),FALSE),"")</f>
        <v>98.95</v>
      </c>
      <c r="V236">
        <f>IF(ISNUMBER(VLOOKUP($A236,Haver_M!$B$1:$BZ$300,MATCH(data!V$1,Haver_M!$B$1:$BZ$1,0),FALSE)),VLOOKUP($A236,Haver_M!$B$1:$BZ$300,MATCH(data!V$1,Haver_M!$B$1:$BZ$1,0),FALSE),"")</f>
        <v>140.44999999999999</v>
      </c>
      <c r="W236">
        <f>IF(ISNUMBER(VLOOKUP($A236,Haver_M!$B$1:$BZ$300,MATCH(data!W$1,Haver_M!$B$1:$BZ$1,0),FALSE)),VLOOKUP($A236,Haver_M!$B$1:$BZ$300,MATCH(data!W$1,Haver_M!$B$1:$BZ$1,0),FALSE),"")</f>
        <v>143.15</v>
      </c>
      <c r="X236">
        <f>IF(ISNUMBER(VLOOKUP($A236,Haver_M!$B$1:$BZ$300,MATCH(data!X$1,Haver_M!$B$1:$BZ$1,0),FALSE)),VLOOKUP($A236,Haver_M!$B$1:$BZ$300,MATCH(data!X$1,Haver_M!$B$1:$BZ$1,0),FALSE),"")</f>
        <v>130.69</v>
      </c>
      <c r="Y236">
        <f>IF(ISNUMBER(VLOOKUP($A236,Haver_M!$B$1:$BZ$300,MATCH(data!Y$1,Haver_M!$B$1:$BZ$1,0),FALSE)),VLOOKUP($A236,Haver_M!$B$1:$BZ$300,MATCH(data!Y$1,Haver_M!$B$1:$BZ$1,0),FALSE),"")</f>
        <v>153.9</v>
      </c>
      <c r="Z236">
        <f>IF(ISNUMBER(VLOOKUP($A236,Haver_M!$B$1:$BZ$300,MATCH(data!Z$1,Haver_M!$B$1:$BZ$1,0),FALSE)),VLOOKUP($A236,Haver_M!$B$1:$BZ$300,MATCH(data!Z$1,Haver_M!$B$1:$BZ$1,0),FALSE),"")</f>
        <v>134.80000000000001</v>
      </c>
      <c r="AA236">
        <f>IF(ISNUMBER(VLOOKUP($A236,Haver_M!$B$1:$BZ$300,MATCH(data!AA$1,Haver_M!$B$1:$BZ$1,0),FALSE)),VLOOKUP($A236,Haver_M!$B$1:$BZ$300,MATCH(data!AA$1,Haver_M!$B$1:$BZ$1,0),FALSE),"")</f>
        <v>128.441</v>
      </c>
      <c r="AB236">
        <f>IF(ISNUMBER(VLOOKUP($A236,Haver_M!$B$1:$BZ$300,MATCH(data!AB$1,Haver_M!$B$1:$BZ$1,0),FALSE)),VLOOKUP($A236,Haver_M!$B$1:$BZ$300,MATCH(data!AB$1,Haver_M!$B$1:$BZ$1,0),FALSE),"")</f>
        <v>85.992999999999995</v>
      </c>
      <c r="AC236">
        <f>IF(ISNUMBER(VLOOKUP($A236,Haver_M!$B$1:$BZ$300,MATCH(data!AC$1,Haver_M!$B$1:$BZ$1,0),FALSE)),VLOOKUP($A236,Haver_M!$B$1:$BZ$300,MATCH(data!AC$1,Haver_M!$B$1:$BZ$1,0),FALSE),"")</f>
        <v>67.674000000000007</v>
      </c>
      <c r="AD236">
        <f>IF(ISNUMBER(VLOOKUP($A236,Haver_M!$B$1:$BZ$300,MATCH(data!AD$1,Haver_M!$B$1:$BZ$1,0),FALSE)),VLOOKUP($A236,Haver_M!$B$1:$BZ$300,MATCH(data!AD$1,Haver_M!$B$1:$BZ$1,0),FALSE),"")</f>
        <v>131.292</v>
      </c>
      <c r="AE236">
        <f>IF(ISNUMBER(VLOOKUP($A236,Haver_M!$B$1:$BZ$300,MATCH(data!AE$1,Haver_M!$B$1:$BZ$1,0),FALSE)),VLOOKUP($A236,Haver_M!$B$1:$BZ$300,MATCH(data!AE$1,Haver_M!$B$1:$BZ$1,0),FALSE),"")</f>
        <v>107.652</v>
      </c>
      <c r="AF236">
        <f>IF(ISNUMBER(VLOOKUP($A236,Haver_M!$B$1:$BZ$300,MATCH(data!AF$1,Haver_M!$B$1:$BZ$1,0),FALSE)),VLOOKUP($A236,Haver_M!$B$1:$BZ$300,MATCH(data!AF$1,Haver_M!$B$1:$BZ$1,0),FALSE),"")</f>
        <v>158.15199999999999</v>
      </c>
      <c r="AG236">
        <f>IF(ISNUMBER(VLOOKUP($A236,Haver_M!$B$1:$BZ$300,MATCH(data!AG$1,Haver_M!$B$1:$BZ$1,0),FALSE)),VLOOKUP($A236,Haver_M!$B$1:$BZ$300,MATCH(data!AG$1,Haver_M!$B$1:$BZ$1,0),FALSE),"")</f>
        <v>151.63300000000001</v>
      </c>
      <c r="AH236">
        <f>IF(ISNUMBER(VLOOKUP($A236,Haver_M!$B$1:$BZ$300,MATCH(data!AH$1,Haver_M!$B$1:$BZ$1,0),FALSE)),VLOOKUP($A236,Haver_M!$B$1:$BZ$300,MATCH(data!AH$1,Haver_M!$B$1:$BZ$1,0),FALSE),"")</f>
        <v>164.23099999999999</v>
      </c>
      <c r="AI236">
        <f>IF(ISNUMBER(VLOOKUP($A236,Haver_M!$B$1:$BZ$300,MATCH(data!AI$1,Haver_M!$B$1:$BZ$1,0),FALSE)),VLOOKUP($A236,Haver_M!$B$1:$BZ$300,MATCH(data!AI$1,Haver_M!$B$1:$BZ$1,0),FALSE),"")</f>
        <v>18319.769495327128</v>
      </c>
      <c r="AJ236">
        <f>IF(ISNUMBER(VLOOKUP($A236,Haver_M!$B$1:$BZ$300,MATCH(data!AJ$1,Haver_M!$B$1:$BZ$1,0),FALSE)),VLOOKUP($A236,Haver_M!$B$1:$BZ$300,MATCH(data!AJ$1,Haver_M!$B$1:$BZ$1,0),FALSE),"")</f>
        <v>27489.27</v>
      </c>
      <c r="AK236">
        <f>IF(ISNUMBER(VLOOKUP($A236,Haver_M!$B$1:$BZ$300,MATCH(data!AK$1,Haver_M!$B$1:$BZ$1,0),FALSE)),VLOOKUP($A236,Haver_M!$B$1:$BZ$300,MATCH(data!AK$1,Haver_M!$B$1:$BZ$1,0),FALSE),"")</f>
        <v>40423.589999999997</v>
      </c>
      <c r="AL236">
        <f>IF(ISNUMBER(VLOOKUP($A236,Haver_M!$B$1:$BZ$300,MATCH(data!AL$1,Haver_M!$B$1:$BZ$1,0),FALSE)),VLOOKUP($A236,Haver_M!$B$1:$BZ$300,MATCH(data!AL$1,Haver_M!$B$1:$BZ$1,0),FALSE),"")</f>
        <v>19084</v>
      </c>
      <c r="AM236">
        <f>IF(ISNUMBER(VLOOKUP($A236,Haver_M!$B$1:$BZ$300,MATCH(data!AM$1,Haver_M!$B$1:$BZ$1,0),FALSE)),VLOOKUP($A236,Haver_M!$B$1:$BZ$300,MATCH(data!AM$1,Haver_M!$B$1:$BZ$1,0),FALSE),"")</f>
        <v>12829</v>
      </c>
      <c r="AN236">
        <f>IF(ISNUMBER(VLOOKUP($A236,Haver_M!$B$1:$BZ$300,MATCH(data!AN$1,Haver_M!$B$1:$BZ$1,0),FALSE)),VLOOKUP($A236,Haver_M!$B$1:$BZ$300,MATCH(data!AN$1,Haver_M!$B$1:$BZ$1,0),FALSE),"")</f>
        <v>95.7</v>
      </c>
      <c r="AO236">
        <f>IF(ISNUMBER(VLOOKUP($A236,Haver_M!$B$1:$BZ$300,MATCH(data!AO$1,Haver_M!$B$1:$BZ$1,0),FALSE)),VLOOKUP($A236,Haver_M!$B$1:$BZ$300,MATCH(data!AO$1,Haver_M!$B$1:$BZ$1,0),FALSE),"")</f>
        <v>124.8</v>
      </c>
      <c r="AP236">
        <f>IF(ISNUMBER(VLOOKUP($A236,Haver_M!$B$1:$BZ$300,MATCH(data!AP$1,Haver_M!$B$1:$BZ$1,0),FALSE)),VLOOKUP($A236,Haver_M!$B$1:$BZ$300,MATCH(data!AP$1,Haver_M!$B$1:$BZ$1,0),FALSE),"")</f>
        <v>72.220906468843808</v>
      </c>
      <c r="AQ236">
        <f>IF(ISNUMBER(VLOOKUP($A236,Haver_M!$B$1:$BZ$300,MATCH(data!AQ$1,Haver_M!$B$1:$BZ$1,0),FALSE)),VLOOKUP($A236,Haver_M!$B$1:$BZ$300,MATCH(data!AQ$1,Haver_M!$B$1:$BZ$1,0),FALSE),"")</f>
        <v>53.901200000000003</v>
      </c>
      <c r="AR236">
        <f>IF(ISNUMBER(VLOOKUP($A236,Haver_M!$B$1:$BZ$300,MATCH(data!AR$1,Haver_M!$B$1:$BZ$1,0),FALSE)),VLOOKUP($A236,Haver_M!$B$1:$BZ$300,MATCH(data!AR$1,Haver_M!$B$1:$BZ$1,0),FALSE),"")</f>
        <v>52.530200000000001</v>
      </c>
      <c r="AS236">
        <f>IF(ISNUMBER(VLOOKUP($A236,Haver_M!$B$1:$BZ$300,MATCH(data!AS$1,Haver_M!$B$1:$BZ$1,0),FALSE)),VLOOKUP($A236,Haver_M!$B$1:$BZ$300,MATCH(data!AS$1,Haver_M!$B$1:$BZ$1,0),FALSE),"")</f>
        <v>53.807200000000002</v>
      </c>
      <c r="AT236">
        <f>IF(ISNUMBER(VLOOKUP($A236,Haver_M!$B$1:$BZ$300,MATCH(data!AT$1,Haver_M!$B$1:$BZ$1,0),FALSE)),VLOOKUP($A236,Haver_M!$B$1:$BZ$300,MATCH(data!AT$1,Haver_M!$B$1:$BZ$1,0),FALSE),"")</f>
        <v>54.102800000000002</v>
      </c>
      <c r="AU236">
        <f>IF(ISNUMBER(VLOOKUP($A236,Haver_M!$B$1:$BZ$300,MATCH(data!AU$1,Haver_M!$B$1:$BZ$1,0),FALSE)),VLOOKUP($A236,Haver_M!$B$1:$BZ$300,MATCH(data!AU$1,Haver_M!$B$1:$BZ$1,0),FALSE),"")</f>
        <v>54.1449</v>
      </c>
      <c r="AV236">
        <f>IF(ISNUMBER(VLOOKUP($A236,Haver_M!$B$1:$BZ$300,MATCH(data!AV$1,Haver_M!$B$1:$BZ$1,0),FALSE)),VLOOKUP($A236,Haver_M!$B$1:$BZ$300,MATCH(data!AV$1,Haver_M!$B$1:$BZ$1,0),FALSE),"")</f>
        <v>51.372399999999999</v>
      </c>
      <c r="AW236">
        <f>IF(ISNUMBER(VLOOKUP($A236,Haver_M!$B$1:$BZ$300,MATCH(data!AW$1,Haver_M!$B$1:$BZ$1,0),FALSE)),VLOOKUP($A236,Haver_M!$B$1:$BZ$300,MATCH(data!AW$1,Haver_M!$B$1:$BZ$1,0),FALSE),"")</f>
        <v>50.398899999999998</v>
      </c>
      <c r="AX236">
        <f>IF(ISNUMBER(VLOOKUP($A236,Haver_M!$B$1:$BZ$300,MATCH(data!AX$1,Haver_M!$B$1:$BZ$1,0),FALSE)),VLOOKUP($A236,Haver_M!$B$1:$BZ$300,MATCH(data!AX$1,Haver_M!$B$1:$BZ$1,0),FALSE),"")</f>
        <v>50.463700000000003</v>
      </c>
      <c r="AY236">
        <f>IF(ISNUMBER(VLOOKUP($A236,Haver_M!$B$1:$BZ$300,MATCH(data!AY$1,Haver_M!$B$1:$BZ$1,0),FALSE)),VLOOKUP($A236,Haver_M!$B$1:$BZ$300,MATCH(data!AY$1,Haver_M!$B$1:$BZ$1,0),FALSE),"")</f>
        <v>51.079700000000003</v>
      </c>
      <c r="AZ236">
        <f>IF(ISNUMBER(VLOOKUP($A236,Haver_M!$B$1:$BZ$300,MATCH(data!AZ$1,Haver_M!$B$1:$BZ$1,0),FALSE)),VLOOKUP($A236,Haver_M!$B$1:$BZ$300,MATCH(data!AZ$1,Haver_M!$B$1:$BZ$1,0),FALSE),"")</f>
        <v>51.5319</v>
      </c>
      <c r="BA236">
        <f>IF(ISNUMBER(VLOOKUP($A236,Haver_M!$B$1:$BZ$300,MATCH(data!BA$1,Haver_M!$B$1:$BZ$1,0),FALSE)),VLOOKUP($A236,Haver_M!$B$1:$BZ$300,MATCH(data!BA$1,Haver_M!$B$1:$BZ$1,0),FALSE),"")</f>
        <v>50.463700000000003</v>
      </c>
      <c r="BB236">
        <f>IF(ISNUMBER(VLOOKUP($A236,Haver_M!$B$1:$BZ$300,MATCH(data!BB$1,Haver_M!$B$1:$BZ$1,0),FALSE)),VLOOKUP($A236,Haver_M!$B$1:$BZ$300,MATCH(data!BB$1,Haver_M!$B$1:$BZ$1,0),FALSE),"")</f>
        <v>52.066899999999997</v>
      </c>
      <c r="BC236">
        <f>IF(ISNUMBER(VLOOKUP($A236,Haver_M!$B$1:$BZ$300,MATCH(data!BC$1,Haver_M!$B$1:$BZ$1,0),FALSE)),VLOOKUP($A236,Haver_M!$B$1:$BZ$300,MATCH(data!BC$1,Haver_M!$B$1:$BZ$1,0),FALSE),"")</f>
        <v>50.8307</v>
      </c>
      <c r="BD236">
        <f>IF(ISNUMBER(VLOOKUP($A236,Haver_M!$B$1:$BZ$300,MATCH(data!BD$1,Haver_M!$B$1:$BZ$1,0),FALSE)),VLOOKUP($A236,Haver_M!$B$1:$BZ$300,MATCH(data!BD$1,Haver_M!$B$1:$BZ$1,0),FALSE),"")</f>
        <v>50.616</v>
      </c>
      <c r="BE236">
        <f>IF(ISNUMBER(VLOOKUP($A236,Haver_M!$B$1:$BZ$300,MATCH(data!BE$1,Haver_M!$B$1:$BZ$1,0),FALSE)),VLOOKUP($A236,Haver_M!$B$1:$BZ$300,MATCH(data!BE$1,Haver_M!$B$1:$BZ$1,0),FALSE),"")</f>
        <v>1.1528</v>
      </c>
      <c r="BF236">
        <f>IF(ISNUMBER(VLOOKUP($A236,Haver_M!$B$1:$BZ$300,MATCH(data!BF$1,Haver_M!$B$1:$BZ$1,0),FALSE)),VLOOKUP($A236,Haver_M!$B$1:$BZ$300,MATCH(data!BF$1,Haver_M!$B$1:$BZ$1,0),FALSE),"")</f>
        <v>53.418999999999997</v>
      </c>
      <c r="BG236">
        <f>IF(ISNUMBER(VLOOKUP($A236,Haver_M!$B$1:$BZ$300,MATCH(data!BG$1,Haver_M!$B$1:$BZ$1,0),FALSE)),VLOOKUP($A236,Haver_M!$B$1:$BZ$300,MATCH(data!BG$1,Haver_M!$B$1:$BZ$1,0),FALSE),"")</f>
        <v>50.9176</v>
      </c>
      <c r="BH236">
        <f>IF(ISNUMBER(VLOOKUP($A236,Haver_M!$B$1:$BZ$300,MATCH(data!BH$1,Haver_M!$B$1:$BZ$1,0),FALSE)),VLOOKUP($A236,Haver_M!$B$1:$BZ$300,MATCH(data!BH$1,Haver_M!$B$1:$BZ$1,0),FALSE),"")</f>
        <v>53.918399999999998</v>
      </c>
      <c r="BI236">
        <f>IF(ISNUMBER(VLOOKUP($A236,Haver_M!$B$1:$BZ$300,MATCH(data!BI$1,Haver_M!$B$1:$BZ$1,0),FALSE)),VLOOKUP($A236,Haver_M!$B$1:$BZ$300,MATCH(data!BI$1,Haver_M!$B$1:$BZ$1,0),FALSE),"")</f>
        <v>52.717199999999998</v>
      </c>
      <c r="BJ236">
        <f>IF(ISNUMBER(VLOOKUP($A236,Haver_M!$B$1:$BZ$300,MATCH(data!BJ$1,Haver_M!$B$1:$BZ$1,0),FALSE)),VLOOKUP($A236,Haver_M!$B$1:$BZ$300,MATCH(data!BJ$1,Haver_M!$B$1:$BZ$1,0),FALSE),"")</f>
        <v>54.686799999999998</v>
      </c>
      <c r="BK236">
        <f>IF(ISNUMBER(VLOOKUP($A236,Haver_M!$B$1:$BZ$300,MATCH(data!BK$1,Haver_M!$B$1:$BZ$1,0),FALSE)),VLOOKUP($A236,Haver_M!$B$1:$BZ$300,MATCH(data!BK$1,Haver_M!$B$1:$BZ$1,0),FALSE),"")</f>
        <v>51.363500000000002</v>
      </c>
      <c r="BL236">
        <f>IF(ISNUMBER(VLOOKUP($A236,Haver_M!$B$1:$BZ$300,MATCH(data!BL$1,Haver_M!$B$1:$BZ$1,0),FALSE)),VLOOKUP($A236,Haver_M!$B$1:$BZ$300,MATCH(data!BL$1,Haver_M!$B$1:$BZ$1,0),FALSE),"")</f>
        <v>38649.97</v>
      </c>
      <c r="BM236">
        <f>IF(ISNUMBER(VLOOKUP($A236,Haver_M!$B$1:$BZ$300,MATCH(data!BM$1,Haver_M!$B$1:$BZ$1,0),FALSE)),VLOOKUP($A236,Haver_M!$B$1:$BZ$300,MATCH(data!BM$1,Haver_M!$B$1:$BZ$1,0),FALSE),"")</f>
        <v>98.602033090000006</v>
      </c>
      <c r="BN236" t="str">
        <f>IF(ISNUMBER(VLOOKUP($A236,Haver_M!$B$1:$BZ$300,MATCH(data!BN$1,Haver_M!$B$1:$BZ$1,0),FALSE)),VLOOKUP($A236,Haver_M!$B$1:$BZ$300,MATCH(data!BN$1,Haver_M!$B$1:$BZ$1,0),FALSE),"")</f>
        <v/>
      </c>
      <c r="BO236" t="str">
        <f>IF(ISNUMBER(VLOOKUP($A236,Haver_M!$B$1:$BZ$300,MATCH(data!BO$1,Haver_M!$B$1:$BZ$1,0),FALSE)),VLOOKUP($A236,Haver_M!$B$1:$BZ$300,MATCH(data!BO$1,Haver_M!$B$1:$BZ$1,0),FALSE),"")</f>
        <v/>
      </c>
      <c r="BP236" t="str">
        <f>IF(ISNUMBER(VLOOKUP($A236,Haver_M!$B$1:$BZ$300,MATCH(data!BP$1,Haver_M!$B$1:$BZ$1,0),FALSE)),VLOOKUP($A236,Haver_M!$B$1:$BZ$300,MATCH(data!BP$1,Haver_M!$B$1:$BZ$1,0),FALSE),"")</f>
        <v/>
      </c>
      <c r="BQ236">
        <f>IF(ISNUMBER(VLOOKUP($A236,Haver_M!$B$1:$BZ$300,MATCH(data!BQ$1,Haver_M!$B$1:$BZ$1,0),FALSE)),VLOOKUP($A236,Haver_M!$B$1:$BZ$300,MATCH(data!BQ$1,Haver_M!$B$1:$BZ$1,0),FALSE),"")</f>
        <v>330.70719666086796</v>
      </c>
      <c r="BR236">
        <f>IF(ISNUMBER(VLOOKUP($A236,Haver_M!$B$1:$BZ$300,MATCH(data!BR$1,Haver_M!$B$1:$BZ$1,0),FALSE)),VLOOKUP($A236,Haver_M!$B$1:$BZ$300,MATCH(data!BR$1,Haver_M!$B$1:$BZ$1,0),FALSE),"")</f>
        <v>406.68930928390904</v>
      </c>
      <c r="BS236">
        <f>IF(ISNUMBER(VLOOKUP($A236,Haver_M!$B$1:$BZ$300,MATCH(data!BS$1,Haver_M!$B$1:$BZ$1,0),FALSE)),VLOOKUP($A236,Haver_M!$B$1:$BZ$300,MATCH(data!BS$1,Haver_M!$B$1:$BZ$1,0),FALSE),"")</f>
        <v>336.13255958946809</v>
      </c>
      <c r="BT236">
        <f>IF(ISNUMBER(VLOOKUP($A236,Haver_M!$B$1:$BZ$300,MATCH(data!BT$1,Haver_M!$B$1:$BZ$1,0),FALSE)),VLOOKUP($A236,Haver_M!$B$1:$BZ$300,MATCH(data!BT$1,Haver_M!$B$1:$BZ$1,0),FALSE),"")</f>
        <v>1234.6997382583204</v>
      </c>
      <c r="BU236">
        <f>IF(ISNUMBER(VLOOKUP($A236,Haver_M!$B$1:$BZ$300,MATCH(data!BU$1,Haver_M!$B$1:$BZ$1,0),FALSE)),VLOOKUP($A236,Haver_M!$B$1:$BZ$300,MATCH(data!BU$1,Haver_M!$B$1:$BZ$1,0),FALSE),"")</f>
        <v>26230.57</v>
      </c>
      <c r="BV236">
        <f>IF(ISNUMBER(VLOOKUP($A236,Haver_M!$B$1:$BZ$300,MATCH(data!BV$1,Haver_M!$B$1:$BZ$1,0),FALSE)),VLOOKUP($A236,Haver_M!$B$1:$BZ$300,MATCH(data!BV$1,Haver_M!$B$1:$BZ$1,0),FALSE),"")</f>
        <v>40431.160000000003</v>
      </c>
      <c r="BW236">
        <f>IF(ISNUMBER(VLOOKUP($A236,Haver_M!$B$1:$BZ$300,MATCH(data!BW$1,Haver_M!$B$1:$BZ$1,0),FALSE)),VLOOKUP($A236,Haver_M!$B$1:$BZ$300,MATCH(data!BW$1,Haver_M!$B$1:$BZ$1,0),FALSE),"")</f>
        <v>68.808300000000003</v>
      </c>
      <c r="BX236">
        <f>IF(ISNUMBER(VLOOKUP($A236,Haver_M!$B$1:$BZ$300,MATCH(data!BX$1,Haver_M!$B$1:$BZ$1,0),FALSE)),VLOOKUP($A236,Haver_M!$B$1:$BZ$300,MATCH(data!BX$1,Haver_M!$B$1:$BZ$1,0),FALSE),"")</f>
        <v>79257</v>
      </c>
    </row>
    <row r="237" spans="1:76" x14ac:dyDescent="0.25">
      <c r="A237" s="2">
        <v>43708</v>
      </c>
      <c r="B237" t="str">
        <f>IF(ISNUMBER(VLOOKUP($A237,Haver_Q!$B$1:$L$185,MATCH(data!B$1,Haver_Q!$B$1:$L$1,0),FALSE)),100*(VLOOKUP($A237,Haver_Q!$B$1:$L$185,MATCH(data!B$1,Haver_Q!$B$1:$L$1,0),FALSE)),"")</f>
        <v/>
      </c>
      <c r="C237" t="str">
        <f>IF(ISNUMBER(VLOOKUP($A237,Haver_Q!$B$1:$L$185,MATCH(data!C$1,Haver_Q!$B$1:$L$1,0),FALSE)),100*(VLOOKUP($A237,Haver_Q!$B$1:$L$185,MATCH(data!C$1,Haver_Q!$B$1:$L$1,0),FALSE)),"")</f>
        <v/>
      </c>
      <c r="D237" t="str">
        <f>IF(ISNUMBER(VLOOKUP($A237,Haver_Q!$B$1:$L$185,MATCH(data!D$1,Haver_Q!$B$1:$L$1,0),FALSE)),100*(VLOOKUP($A237,Haver_Q!$B$1:$L$185,MATCH(data!D$1,Haver_Q!$B$1:$L$1,0),FALSE)),"")</f>
        <v/>
      </c>
      <c r="E237" t="str">
        <f>IF(ISNUMBER(VLOOKUP($A237,Haver_Q!$B$1:$L$185,MATCH(data!E$1,Haver_Q!$B$1:$L$1,0),FALSE)),100*(VLOOKUP($A237,Haver_Q!$B$1:$L$185,MATCH(data!E$1,Haver_Q!$B$1:$L$1,0),FALSE)),"")</f>
        <v/>
      </c>
      <c r="F237" t="str">
        <f>IF(ISNUMBER(VLOOKUP($A237,Haver_Q!$B$1:$L$185,MATCH(data!F$1,Haver_Q!$B$1:$L$1,0),FALSE)),100*(VLOOKUP($A237,Haver_Q!$B$1:$L$185,MATCH(data!F$1,Haver_Q!$B$1:$L$1,0),FALSE)),"")</f>
        <v/>
      </c>
      <c r="G237" t="str">
        <f>IF(ISNUMBER(VLOOKUP($A237,Haver_Q!$B$1:$L$185,MATCH(data!G$1,Haver_Q!$B$1:$L$1,0),FALSE)),100*(VLOOKUP($A237,Haver_Q!$B$1:$L$185,MATCH(data!G$1,Haver_Q!$B$1:$L$1,0),FALSE)),"")</f>
        <v/>
      </c>
      <c r="H237" t="str">
        <f>IF(ISNUMBER(VLOOKUP($A237,Haver_Q!$B$1:$L$185,MATCH(data!H$1,Haver_Q!$B$1:$L$1,0),FALSE)),(VLOOKUP($A237,Haver_Q!$B$1:$L$185,MATCH(data!H$1,Haver_Q!$B$1:$L$1,0),FALSE)),"")</f>
        <v/>
      </c>
      <c r="I237" t="str">
        <f>IF(ISNUMBER(VLOOKUP($A237,Haver_Q!$B$1:$L$185,MATCH(data!I$1,Haver_Q!$B$1:$L$1,0),FALSE)),100*(VLOOKUP($A237,Haver_Q!$B$1:$L$185,MATCH(data!I$1,Haver_Q!$B$1:$L$1,0),FALSE)),"")</f>
        <v/>
      </c>
      <c r="J237" s="3">
        <f>IF(ISNUMBER(Bloomberg_m!C253),Bloomberg_m!C253,"")</f>
        <v>1982</v>
      </c>
      <c r="K237" s="3">
        <f>IF(ISNUMBER(Bloomberg_m!D253),Bloomberg_m!D253,"")</f>
        <v>1437.34</v>
      </c>
      <c r="L237" s="3">
        <f>IF(ISNUMBER(Bloomberg_m!E253),Bloomberg_m!E253,"")</f>
        <v>810.22</v>
      </c>
      <c r="M237" s="3">
        <f>IF(ISNUMBER(Bloomberg_m!F253),Bloomberg_m!F253,"")</f>
        <v>403.97</v>
      </c>
      <c r="N237">
        <f>IF(ISNUMBER(VLOOKUP($A237,Haver_M!$B$1:$BZ$300,MATCH(data!N$1,Haver_M!$B$1:$BZ$1,0),FALSE)),VLOOKUP($A237,Haver_M!$B$1:$BZ$300,MATCH(data!N$1,Haver_M!$B$1:$BZ$1,0),FALSE),"")</f>
        <v>5.4</v>
      </c>
      <c r="O237">
        <f>IF(ISNUMBER(VLOOKUP($A237,Haver_M!$B$1:$BZ$300,MATCH(data!O$1,Haver_M!$B$1:$BZ$1,0),FALSE)),VLOOKUP($A237,Haver_M!$B$1:$BZ$300,MATCH(data!O$1,Haver_M!$B$1:$BZ$1,0),FALSE),"")</f>
        <v>6.7058999999999997</v>
      </c>
      <c r="P237">
        <f>IF(ISNUMBER(VLOOKUP($A237,Haver_M!$B$1:$BZ$300,MATCH(data!P$1,Haver_M!$B$1:$BZ$1,0),FALSE)),VLOOKUP($A237,Haver_M!$B$1:$BZ$300,MATCH(data!P$1,Haver_M!$B$1:$BZ$1,0),FALSE),"")</f>
        <v>91.812610000000006</v>
      </c>
      <c r="Q237">
        <f>IF(ISNUMBER(VLOOKUP($A237,Haver_M!$B$1:$BZ$300,MATCH(data!Q$1,Haver_M!$B$1:$BZ$1,0),FALSE)),VLOOKUP($A237,Haver_M!$B$1:$BZ$300,MATCH(data!Q$1,Haver_M!$B$1:$BZ$1,0),FALSE),"")</f>
        <v>145</v>
      </c>
      <c r="R237">
        <f>IF(ISNUMBER(VLOOKUP($A237,Haver_M!$B$1:$BZ$300,MATCH(data!R$1,Haver_M!$B$1:$BZ$1,0),FALSE)),VLOOKUP($A237,Haver_M!$B$1:$BZ$300,MATCH(data!R$1,Haver_M!$B$1:$BZ$1,0),FALSE),"")</f>
        <v>147.1</v>
      </c>
      <c r="S237">
        <f>IF(ISNUMBER(VLOOKUP($A237,Haver_M!$B$1:$BZ$300,MATCH(data!S$1,Haver_M!$B$1:$BZ$1,0),FALSE)),VLOOKUP($A237,Haver_M!$B$1:$BZ$300,MATCH(data!S$1,Haver_M!$B$1:$BZ$1,0),FALSE),"")</f>
        <v>128.99</v>
      </c>
      <c r="T237">
        <f>IF(ISNUMBER(VLOOKUP($A237,Haver_M!$B$1:$BZ$300,MATCH(data!T$1,Haver_M!$B$1:$BZ$1,0),FALSE)),VLOOKUP($A237,Haver_M!$B$1:$BZ$300,MATCH(data!T$1,Haver_M!$B$1:$BZ$1,0),FALSE),"")</f>
        <v>125.55</v>
      </c>
      <c r="U237">
        <f>IF(ISNUMBER(VLOOKUP($A237,Haver_M!$B$1:$BZ$300,MATCH(data!U$1,Haver_M!$B$1:$BZ$1,0),FALSE)),VLOOKUP($A237,Haver_M!$B$1:$BZ$300,MATCH(data!U$1,Haver_M!$B$1:$BZ$1,0),FALSE),"")</f>
        <v>91.65</v>
      </c>
      <c r="V237">
        <f>IF(ISNUMBER(VLOOKUP($A237,Haver_M!$B$1:$BZ$300,MATCH(data!V$1,Haver_M!$B$1:$BZ$1,0),FALSE)),VLOOKUP($A237,Haver_M!$B$1:$BZ$300,MATCH(data!V$1,Haver_M!$B$1:$BZ$1,0),FALSE),"")</f>
        <v>135.53</v>
      </c>
      <c r="W237">
        <f>IF(ISNUMBER(VLOOKUP($A237,Haver_M!$B$1:$BZ$300,MATCH(data!W$1,Haver_M!$B$1:$BZ$1,0),FALSE)),VLOOKUP($A237,Haver_M!$B$1:$BZ$300,MATCH(data!W$1,Haver_M!$B$1:$BZ$1,0),FALSE),"")</f>
        <v>133.47</v>
      </c>
      <c r="X237">
        <f>IF(ISNUMBER(VLOOKUP($A237,Haver_M!$B$1:$BZ$300,MATCH(data!X$1,Haver_M!$B$1:$BZ$1,0),FALSE)),VLOOKUP($A237,Haver_M!$B$1:$BZ$300,MATCH(data!X$1,Haver_M!$B$1:$BZ$1,0),FALSE),"")</f>
        <v>121.02</v>
      </c>
      <c r="Y237">
        <f>IF(ISNUMBER(VLOOKUP($A237,Haver_M!$B$1:$BZ$300,MATCH(data!Y$1,Haver_M!$B$1:$BZ$1,0),FALSE)),VLOOKUP($A237,Haver_M!$B$1:$BZ$300,MATCH(data!Y$1,Haver_M!$B$1:$BZ$1,0),FALSE),"")</f>
        <v>150.41</v>
      </c>
      <c r="Z237">
        <f>IF(ISNUMBER(VLOOKUP($A237,Haver_M!$B$1:$BZ$300,MATCH(data!Z$1,Haver_M!$B$1:$BZ$1,0),FALSE)),VLOOKUP($A237,Haver_M!$B$1:$BZ$300,MATCH(data!Z$1,Haver_M!$B$1:$BZ$1,0),FALSE),"")</f>
        <v>130.5</v>
      </c>
      <c r="AA237">
        <f>IF(ISNUMBER(VLOOKUP($A237,Haver_M!$B$1:$BZ$300,MATCH(data!AA$1,Haver_M!$B$1:$BZ$1,0),FALSE)),VLOOKUP($A237,Haver_M!$B$1:$BZ$300,MATCH(data!AA$1,Haver_M!$B$1:$BZ$1,0),FALSE),"")</f>
        <v>117.306</v>
      </c>
      <c r="AB237">
        <f>IF(ISNUMBER(VLOOKUP($A237,Haver_M!$B$1:$BZ$300,MATCH(data!AB$1,Haver_M!$B$1:$BZ$1,0),FALSE)),VLOOKUP($A237,Haver_M!$B$1:$BZ$300,MATCH(data!AB$1,Haver_M!$B$1:$BZ$1,0),FALSE),"")</f>
        <v>85.772000000000006</v>
      </c>
      <c r="AC237">
        <f>IF(ISNUMBER(VLOOKUP($A237,Haver_M!$B$1:$BZ$300,MATCH(data!AC$1,Haver_M!$B$1:$BZ$1,0),FALSE)),VLOOKUP($A237,Haver_M!$B$1:$BZ$300,MATCH(data!AC$1,Haver_M!$B$1:$BZ$1,0),FALSE),"")</f>
        <v>66.88</v>
      </c>
      <c r="AD237">
        <f>IF(ISNUMBER(VLOOKUP($A237,Haver_M!$B$1:$BZ$300,MATCH(data!AD$1,Haver_M!$B$1:$BZ$1,0),FALSE)),VLOOKUP($A237,Haver_M!$B$1:$BZ$300,MATCH(data!AD$1,Haver_M!$B$1:$BZ$1,0),FALSE),"")</f>
        <v>131.32300000000001</v>
      </c>
      <c r="AE237">
        <f>IF(ISNUMBER(VLOOKUP($A237,Haver_M!$B$1:$BZ$300,MATCH(data!AE$1,Haver_M!$B$1:$BZ$1,0),FALSE)),VLOOKUP($A237,Haver_M!$B$1:$BZ$300,MATCH(data!AE$1,Haver_M!$B$1:$BZ$1,0),FALSE),"")</f>
        <v>105.914</v>
      </c>
      <c r="AF237">
        <f>IF(ISNUMBER(VLOOKUP($A237,Haver_M!$B$1:$BZ$300,MATCH(data!AF$1,Haver_M!$B$1:$BZ$1,0),FALSE)),VLOOKUP($A237,Haver_M!$B$1:$BZ$300,MATCH(data!AF$1,Haver_M!$B$1:$BZ$1,0),FALSE),"")</f>
        <v>151.81200000000001</v>
      </c>
      <c r="AG237">
        <f>IF(ISNUMBER(VLOOKUP($A237,Haver_M!$B$1:$BZ$300,MATCH(data!AG$1,Haver_M!$B$1:$BZ$1,0),FALSE)),VLOOKUP($A237,Haver_M!$B$1:$BZ$300,MATCH(data!AG$1,Haver_M!$B$1:$BZ$1,0),FALSE),"")</f>
        <v>138.054</v>
      </c>
      <c r="AH237">
        <f>IF(ISNUMBER(VLOOKUP($A237,Haver_M!$B$1:$BZ$300,MATCH(data!AH$1,Haver_M!$B$1:$BZ$1,0),FALSE)),VLOOKUP($A237,Haver_M!$B$1:$BZ$300,MATCH(data!AH$1,Haver_M!$B$1:$BZ$1,0),FALSE),"")</f>
        <v>158.41200000000001</v>
      </c>
      <c r="AI237">
        <f>IF(ISNUMBER(VLOOKUP($A237,Haver_M!$B$1:$BZ$300,MATCH(data!AI$1,Haver_M!$B$1:$BZ$1,0),FALSE)),VLOOKUP($A237,Haver_M!$B$1:$BZ$300,MATCH(data!AI$1,Haver_M!$B$1:$BZ$1,0),FALSE),"")</f>
        <v>17868.423414738689</v>
      </c>
      <c r="AJ237">
        <f>IF(ISNUMBER(VLOOKUP($A237,Haver_M!$B$1:$BZ$300,MATCH(data!AJ$1,Haver_M!$B$1:$BZ$1,0),FALSE)),VLOOKUP($A237,Haver_M!$B$1:$BZ$300,MATCH(data!AJ$1,Haver_M!$B$1:$BZ$1,0),FALSE),"")</f>
        <v>26649.05</v>
      </c>
      <c r="AK237">
        <f>IF(ISNUMBER(VLOOKUP($A237,Haver_M!$B$1:$BZ$300,MATCH(data!AK$1,Haver_M!$B$1:$BZ$1,0),FALSE)),VLOOKUP($A237,Haver_M!$B$1:$BZ$300,MATCH(data!AK$1,Haver_M!$B$1:$BZ$1,0),FALSE),"")</f>
        <v>39709.71</v>
      </c>
      <c r="AL237">
        <f>IF(ISNUMBER(VLOOKUP($A237,Haver_M!$B$1:$BZ$300,MATCH(data!AL$1,Haver_M!$B$1:$BZ$1,0),FALSE)),VLOOKUP($A237,Haver_M!$B$1:$BZ$300,MATCH(data!AL$1,Haver_M!$B$1:$BZ$1,0),FALSE),"")</f>
        <v>18244</v>
      </c>
      <c r="AM237">
        <f>IF(ISNUMBER(VLOOKUP($A237,Haver_M!$B$1:$BZ$300,MATCH(data!AM$1,Haver_M!$B$1:$BZ$1,0),FALSE)),VLOOKUP($A237,Haver_M!$B$1:$BZ$300,MATCH(data!AM$1,Haver_M!$B$1:$BZ$1,0),FALSE),"")</f>
        <v>12006</v>
      </c>
      <c r="AN237" t="str">
        <f>IF(ISNUMBER(VLOOKUP($A237,Haver_M!$B$1:$BZ$300,MATCH(data!AN$1,Haver_M!$B$1:$BZ$1,0),FALSE)),VLOOKUP($A237,Haver_M!$B$1:$BZ$300,MATCH(data!AN$1,Haver_M!$B$1:$BZ$1,0),FALSE),"")</f>
        <v/>
      </c>
      <c r="AO237" t="str">
        <f>IF(ISNUMBER(VLOOKUP($A237,Haver_M!$B$1:$BZ$300,MATCH(data!AO$1,Haver_M!$B$1:$BZ$1,0),FALSE)),VLOOKUP($A237,Haver_M!$B$1:$BZ$300,MATCH(data!AO$1,Haver_M!$B$1:$BZ$1,0),FALSE),"")</f>
        <v/>
      </c>
      <c r="AP237">
        <f>IF(ISNUMBER(VLOOKUP($A237,Haver_M!$B$1:$BZ$300,MATCH(data!AP$1,Haver_M!$B$1:$BZ$1,0),FALSE)),VLOOKUP($A237,Haver_M!$B$1:$BZ$300,MATCH(data!AP$1,Haver_M!$B$1:$BZ$1,0),FALSE),"")</f>
        <v>77.892170550431686</v>
      </c>
      <c r="AQ237">
        <f>IF(ISNUMBER(VLOOKUP($A237,Haver_M!$B$1:$BZ$300,MATCH(data!AQ$1,Haver_M!$B$1:$BZ$1,0),FALSE)),VLOOKUP($A237,Haver_M!$B$1:$BZ$300,MATCH(data!AQ$1,Haver_M!$B$1:$BZ$1,0),FALSE),"")</f>
        <v>52.599899999999998</v>
      </c>
      <c r="AR237">
        <f>IF(ISNUMBER(VLOOKUP($A237,Haver_M!$B$1:$BZ$300,MATCH(data!AR$1,Haver_M!$B$1:$BZ$1,0),FALSE)),VLOOKUP($A237,Haver_M!$B$1:$BZ$300,MATCH(data!AR$1,Haver_M!$B$1:$BZ$1,0),FALSE),"")</f>
        <v>51.430900000000001</v>
      </c>
      <c r="AS237">
        <f>IF(ISNUMBER(VLOOKUP($A237,Haver_M!$B$1:$BZ$300,MATCH(data!AS$1,Haver_M!$B$1:$BZ$1,0),FALSE)),VLOOKUP($A237,Haver_M!$B$1:$BZ$300,MATCH(data!AS$1,Haver_M!$B$1:$BZ$1,0),FALSE),"")</f>
        <v>52.390900000000002</v>
      </c>
      <c r="AT237">
        <f>IF(ISNUMBER(VLOOKUP($A237,Haver_M!$B$1:$BZ$300,MATCH(data!AT$1,Haver_M!$B$1:$BZ$1,0),FALSE)),VLOOKUP($A237,Haver_M!$B$1:$BZ$300,MATCH(data!AT$1,Haver_M!$B$1:$BZ$1,0),FALSE),"")</f>
        <v>53.048099999999998</v>
      </c>
      <c r="AU237">
        <f>IF(ISNUMBER(VLOOKUP($A237,Haver_M!$B$1:$BZ$300,MATCH(data!AU$1,Haver_M!$B$1:$BZ$1,0),FALSE)),VLOOKUP($A237,Haver_M!$B$1:$BZ$300,MATCH(data!AU$1,Haver_M!$B$1:$BZ$1,0),FALSE),"")</f>
        <v>51.997100000000003</v>
      </c>
      <c r="AV237">
        <f>IF(ISNUMBER(VLOOKUP($A237,Haver_M!$B$1:$BZ$300,MATCH(data!AV$1,Haver_M!$B$1:$BZ$1,0),FALSE)),VLOOKUP($A237,Haver_M!$B$1:$BZ$300,MATCH(data!AV$1,Haver_M!$B$1:$BZ$1,0),FALSE),"")</f>
        <v>50.939399999999999</v>
      </c>
      <c r="AW237">
        <f>IF(ISNUMBER(VLOOKUP($A237,Haver_M!$B$1:$BZ$300,MATCH(data!AW$1,Haver_M!$B$1:$BZ$1,0),FALSE)),VLOOKUP($A237,Haver_M!$B$1:$BZ$300,MATCH(data!AW$1,Haver_M!$B$1:$BZ$1,0),FALSE),"")</f>
        <v>50.213900000000002</v>
      </c>
      <c r="AX237">
        <f>IF(ISNUMBER(VLOOKUP($A237,Haver_M!$B$1:$BZ$300,MATCH(data!AX$1,Haver_M!$B$1:$BZ$1,0),FALSE)),VLOOKUP($A237,Haver_M!$B$1:$BZ$300,MATCH(data!AX$1,Haver_M!$B$1:$BZ$1,0),FALSE),"")</f>
        <v>49.139299999999999</v>
      </c>
      <c r="AY237">
        <f>IF(ISNUMBER(VLOOKUP($A237,Haver_M!$B$1:$BZ$300,MATCH(data!AY$1,Haver_M!$B$1:$BZ$1,0),FALSE)),VLOOKUP($A237,Haver_M!$B$1:$BZ$300,MATCH(data!AY$1,Haver_M!$B$1:$BZ$1,0),FALSE),"")</f>
        <v>52.531399999999998</v>
      </c>
      <c r="AZ237">
        <f>IF(ISNUMBER(VLOOKUP($A237,Haver_M!$B$1:$BZ$300,MATCH(data!AZ$1,Haver_M!$B$1:$BZ$1,0),FALSE)),VLOOKUP($A237,Haver_M!$B$1:$BZ$300,MATCH(data!AZ$1,Haver_M!$B$1:$BZ$1,0),FALSE),"")</f>
        <v>48.459400000000002</v>
      </c>
      <c r="BA237">
        <f>IF(ISNUMBER(VLOOKUP($A237,Haver_M!$B$1:$BZ$300,MATCH(data!BA$1,Haver_M!$B$1:$BZ$1,0),FALSE)),VLOOKUP($A237,Haver_M!$B$1:$BZ$300,MATCH(data!BA$1,Haver_M!$B$1:$BZ$1,0),FALSE),"")</f>
        <v>49.139299999999999</v>
      </c>
      <c r="BB237">
        <f>IF(ISNUMBER(VLOOKUP($A237,Haver_M!$B$1:$BZ$300,MATCH(data!BB$1,Haver_M!$B$1:$BZ$1,0),FALSE)),VLOOKUP($A237,Haver_M!$B$1:$BZ$300,MATCH(data!BB$1,Haver_M!$B$1:$BZ$1,0),FALSE),"")</f>
        <v>51.847200000000001</v>
      </c>
      <c r="BC237">
        <f>IF(ISNUMBER(VLOOKUP($A237,Haver_M!$B$1:$BZ$300,MATCH(data!BC$1,Haver_M!$B$1:$BZ$1,0),FALSE)),VLOOKUP($A237,Haver_M!$B$1:$BZ$300,MATCH(data!BC$1,Haver_M!$B$1:$BZ$1,0),FALSE),"")</f>
        <v>50.457700000000003</v>
      </c>
      <c r="BD237">
        <f>IF(ISNUMBER(VLOOKUP($A237,Haver_M!$B$1:$BZ$300,MATCH(data!BD$1,Haver_M!$B$1:$BZ$1,0),FALSE)),VLOOKUP($A237,Haver_M!$B$1:$BZ$300,MATCH(data!BD$1,Haver_M!$B$1:$BZ$1,0),FALSE),"")</f>
        <v>50.145899999999997</v>
      </c>
      <c r="BE237">
        <f>IF(ISNUMBER(VLOOKUP($A237,Haver_M!$B$1:$BZ$300,MATCH(data!BE$1,Haver_M!$B$1:$BZ$1,0),FALSE)),VLOOKUP($A237,Haver_M!$B$1:$BZ$300,MATCH(data!BE$1,Haver_M!$B$1:$BZ$1,0),FALSE),"")</f>
        <v>1.1344000000000001</v>
      </c>
      <c r="BF237">
        <f>IF(ISNUMBER(VLOOKUP($A237,Haver_M!$B$1:$BZ$300,MATCH(data!BF$1,Haver_M!$B$1:$BZ$1,0),FALSE)),VLOOKUP($A237,Haver_M!$B$1:$BZ$300,MATCH(data!BF$1,Haver_M!$B$1:$BZ$1,0),FALSE),"")</f>
        <v>52.631700000000002</v>
      </c>
      <c r="BG237">
        <f>IF(ISNUMBER(VLOOKUP($A237,Haver_M!$B$1:$BZ$300,MATCH(data!BG$1,Haver_M!$B$1:$BZ$1,0),FALSE)),VLOOKUP($A237,Haver_M!$B$1:$BZ$300,MATCH(data!BG$1,Haver_M!$B$1:$BZ$1,0),FALSE),"")</f>
        <v>51.580800000000004</v>
      </c>
      <c r="BH237">
        <f>IF(ISNUMBER(VLOOKUP($A237,Haver_M!$B$1:$BZ$300,MATCH(data!BH$1,Haver_M!$B$1:$BZ$1,0),FALSE)),VLOOKUP($A237,Haver_M!$B$1:$BZ$300,MATCH(data!BH$1,Haver_M!$B$1:$BZ$1,0),FALSE),"")</f>
        <v>51.032699999999998</v>
      </c>
      <c r="BI237">
        <f>IF(ISNUMBER(VLOOKUP($A237,Haver_M!$B$1:$BZ$300,MATCH(data!BI$1,Haver_M!$B$1:$BZ$1,0),FALSE)),VLOOKUP($A237,Haver_M!$B$1:$BZ$300,MATCH(data!BI$1,Haver_M!$B$1:$BZ$1,0),FALSE),"")</f>
        <v>51.516100000000002</v>
      </c>
      <c r="BJ237">
        <f>IF(ISNUMBER(VLOOKUP($A237,Haver_M!$B$1:$BZ$300,MATCH(data!BJ$1,Haver_M!$B$1:$BZ$1,0),FALSE)),VLOOKUP($A237,Haver_M!$B$1:$BZ$300,MATCH(data!BJ$1,Haver_M!$B$1:$BZ$1,0),FALSE),"")</f>
        <v>53.041699999999999</v>
      </c>
      <c r="BK237">
        <f>IF(ISNUMBER(VLOOKUP($A237,Haver_M!$B$1:$BZ$300,MATCH(data!BK$1,Haver_M!$B$1:$BZ$1,0),FALSE)),VLOOKUP($A237,Haver_M!$B$1:$BZ$300,MATCH(data!BK$1,Haver_M!$B$1:$BZ$1,0),FALSE),"")</f>
        <v>52.740400000000001</v>
      </c>
      <c r="BL237">
        <f>IF(ISNUMBER(VLOOKUP($A237,Haver_M!$B$1:$BZ$300,MATCH(data!BL$1,Haver_M!$B$1:$BZ$1,0),FALSE)),VLOOKUP($A237,Haver_M!$B$1:$BZ$300,MATCH(data!BL$1,Haver_M!$B$1:$BZ$1,0),FALSE),"")</f>
        <v>37149.35</v>
      </c>
      <c r="BM237">
        <f>IF(ISNUMBER(VLOOKUP($A237,Haver_M!$B$1:$BZ$300,MATCH(data!BM$1,Haver_M!$B$1:$BZ$1,0),FALSE)),VLOOKUP($A237,Haver_M!$B$1:$BZ$300,MATCH(data!BM$1,Haver_M!$B$1:$BZ$1,0),FALSE),"")</f>
        <v>96.035579670000004</v>
      </c>
      <c r="BN237" t="str">
        <f>IF(ISNUMBER(VLOOKUP($A237,Haver_M!$B$1:$BZ$300,MATCH(data!BN$1,Haver_M!$B$1:$BZ$1,0),FALSE)),VLOOKUP($A237,Haver_M!$B$1:$BZ$300,MATCH(data!BN$1,Haver_M!$B$1:$BZ$1,0),FALSE),"")</f>
        <v/>
      </c>
      <c r="BO237" t="str">
        <f>IF(ISNUMBER(VLOOKUP($A237,Haver_M!$B$1:$BZ$300,MATCH(data!BO$1,Haver_M!$B$1:$BZ$1,0),FALSE)),VLOOKUP($A237,Haver_M!$B$1:$BZ$300,MATCH(data!BO$1,Haver_M!$B$1:$BZ$1,0),FALSE),"")</f>
        <v/>
      </c>
      <c r="BP237" t="str">
        <f>IF(ISNUMBER(VLOOKUP($A237,Haver_M!$B$1:$BZ$300,MATCH(data!BP$1,Haver_M!$B$1:$BZ$1,0),FALSE)),VLOOKUP($A237,Haver_M!$B$1:$BZ$300,MATCH(data!BP$1,Haver_M!$B$1:$BZ$1,0),FALSE),"")</f>
        <v/>
      </c>
      <c r="BQ237">
        <f>IF(ISNUMBER(VLOOKUP($A237,Haver_M!$B$1:$BZ$300,MATCH(data!BQ$1,Haver_M!$B$1:$BZ$1,0),FALSE)),VLOOKUP($A237,Haver_M!$B$1:$BZ$300,MATCH(data!BQ$1,Haver_M!$B$1:$BZ$1,0),FALSE),"")</f>
        <v>323.83264202896305</v>
      </c>
      <c r="BR237">
        <f>IF(ISNUMBER(VLOOKUP($A237,Haver_M!$B$1:$BZ$300,MATCH(data!BR$1,Haver_M!$B$1:$BZ$1,0),FALSE)),VLOOKUP($A237,Haver_M!$B$1:$BZ$300,MATCH(data!BR$1,Haver_M!$B$1:$BZ$1,0),FALSE),"")</f>
        <v>388.6693081943111</v>
      </c>
      <c r="BS237">
        <f>IF(ISNUMBER(VLOOKUP($A237,Haver_M!$B$1:$BZ$300,MATCH(data!BS$1,Haver_M!$B$1:$BZ$1,0),FALSE)),VLOOKUP($A237,Haver_M!$B$1:$BZ$300,MATCH(data!BS$1,Haver_M!$B$1:$BZ$1,0),FALSE),"")</f>
        <v>330.33591629571424</v>
      </c>
      <c r="BT237">
        <f>IF(ISNUMBER(VLOOKUP($A237,Haver_M!$B$1:$BZ$300,MATCH(data!BT$1,Haver_M!$B$1:$BZ$1,0),FALSE)),VLOOKUP($A237,Haver_M!$B$1:$BZ$300,MATCH(data!BT$1,Haver_M!$B$1:$BZ$1,0),FALSE),"")</f>
        <v>1199.2807717121343</v>
      </c>
      <c r="BU237">
        <f>IF(ISNUMBER(VLOOKUP($A237,Haver_M!$B$1:$BZ$300,MATCH(data!BU$1,Haver_M!$B$1:$BZ$1,0),FALSE)),VLOOKUP($A237,Haver_M!$B$1:$BZ$300,MATCH(data!BU$1,Haver_M!$B$1:$BZ$1,0),FALSE),"")</f>
        <v>26041.78</v>
      </c>
      <c r="BV237">
        <f>IF(ISNUMBER(VLOOKUP($A237,Haver_M!$B$1:$BZ$300,MATCH(data!BV$1,Haver_M!$B$1:$BZ$1,0),FALSE)),VLOOKUP($A237,Haver_M!$B$1:$BZ$300,MATCH(data!BV$1,Haver_M!$B$1:$BZ$1,0),FALSE),"")</f>
        <v>39826.9</v>
      </c>
      <c r="BW237">
        <f>IF(ISNUMBER(VLOOKUP($A237,Haver_M!$B$1:$BZ$300,MATCH(data!BW$1,Haver_M!$B$1:$BZ$1,0),FALSE)),VLOOKUP($A237,Haver_M!$B$1:$BZ$300,MATCH(data!BW$1,Haver_M!$B$1:$BZ$1,0),FALSE),"")</f>
        <v>71.145700000000005</v>
      </c>
      <c r="BX237">
        <f>IF(ISNUMBER(VLOOKUP($A237,Haver_M!$B$1:$BZ$300,MATCH(data!BX$1,Haver_M!$B$1:$BZ$1,0),FALSE)),VLOOKUP($A237,Haver_M!$B$1:$BZ$300,MATCH(data!BX$1,Haver_M!$B$1:$BZ$1,0),FALSE),"")</f>
        <v>73755</v>
      </c>
    </row>
    <row r="238" spans="1:76" x14ac:dyDescent="0.25">
      <c r="A238" s="2">
        <v>43738</v>
      </c>
      <c r="B238">
        <f>IF(ISNUMBER(VLOOKUP($A238,Haver_Q!$B$1:$L$185,MATCH(data!B$1,Haver_Q!$B$1:$L$1,0),FALSE)),100*(VLOOKUP($A238,Haver_Q!$B$1:$L$185,MATCH(data!B$1,Haver_Q!$B$1:$L$1,0),FALSE)),"")</f>
        <v>4.4720431353243217</v>
      </c>
      <c r="C238">
        <f>IF(ISNUMBER(VLOOKUP($A238,Haver_Q!$B$1:$L$185,MATCH(data!C$1,Haver_Q!$B$1:$L$1,0),FALSE)),100*(VLOOKUP($A238,Haver_Q!$B$1:$L$185,MATCH(data!C$1,Haver_Q!$B$1:$L$1,0),FALSE)),"")</f>
        <v>16.294482726290639</v>
      </c>
      <c r="D238">
        <f>IF(ISNUMBER(VLOOKUP($A238,Haver_Q!$B$1:$L$185,MATCH(data!D$1,Haver_Q!$B$1:$L$1,0),FALSE)),100*(VLOOKUP($A238,Haver_Q!$B$1:$L$185,MATCH(data!D$1,Haver_Q!$B$1:$L$1,0),FALSE)),"")</f>
        <v>39.683152536554104</v>
      </c>
      <c r="E238">
        <f>IF(ISNUMBER(VLOOKUP($A238,Haver_Q!$B$1:$L$185,MATCH(data!E$1,Haver_Q!$B$1:$L$1,0),FALSE)),100*(VLOOKUP($A238,Haver_Q!$B$1:$L$185,MATCH(data!E$1,Haver_Q!$B$1:$L$1,0),FALSE)),"")</f>
        <v>-2.0244036833818035</v>
      </c>
      <c r="F238">
        <f>IF(ISNUMBER(VLOOKUP($A238,Haver_Q!$B$1:$L$185,MATCH(data!F$1,Haver_Q!$B$1:$L$1,0),FALSE)),100*(VLOOKUP($A238,Haver_Q!$B$1:$L$185,MATCH(data!F$1,Haver_Q!$B$1:$L$1,0),FALSE)),"")</f>
        <v>-10.278138052930474</v>
      </c>
      <c r="G238">
        <f>IF(ISNUMBER(VLOOKUP($A238,Haver_Q!$B$1:$L$185,MATCH(data!G$1,Haver_Q!$B$1:$L$1,0),FALSE)),100*(VLOOKUP($A238,Haver_Q!$B$1:$L$185,MATCH(data!G$1,Haver_Q!$B$1:$L$1,0),FALSE)),"")</f>
        <v>-20.225824815112482</v>
      </c>
      <c r="H238">
        <f>IF(ISNUMBER(VLOOKUP($A238,Haver_Q!$B$1:$L$185,MATCH(data!H$1,Haver_Q!$B$1:$L$1,0),FALSE)),(VLOOKUP($A238,Haver_Q!$B$1:$L$185,MATCH(data!H$1,Haver_Q!$B$1:$L$1,0),FALSE)),"")</f>
        <v>2.960841746246623</v>
      </c>
      <c r="I238">
        <f>IF(ISNUMBER(VLOOKUP($A238,Haver_Q!$B$1:$L$185,MATCH(data!I$1,Haver_Q!$B$1:$L$1,0),FALSE)),100*(VLOOKUP($A238,Haver_Q!$B$1:$L$185,MATCH(data!I$1,Haver_Q!$B$1:$L$1,0),FALSE)),"")</f>
        <v>4.5485585750183022</v>
      </c>
      <c r="J238" s="3">
        <f>IF(ISNUMBER(Bloomberg_m!C254),Bloomberg_m!C254,"")</f>
        <v>2255</v>
      </c>
      <c r="K238" s="3">
        <f>IF(ISNUMBER(Bloomberg_m!D254),Bloomberg_m!D254,"")</f>
        <v>1347.06</v>
      </c>
      <c r="L238" s="3">
        <f>IF(ISNUMBER(Bloomberg_m!E254),Bloomberg_m!E254,"")</f>
        <v>754.46</v>
      </c>
      <c r="M238" s="3">
        <f>IF(ISNUMBER(Bloomberg_m!F254),Bloomberg_m!F254,"")</f>
        <v>431.13</v>
      </c>
      <c r="N238">
        <f>IF(ISNUMBER(VLOOKUP($A238,Haver_M!$B$1:$BZ$300,MATCH(data!N$1,Haver_M!$B$1:$BZ$1,0),FALSE)),VLOOKUP($A238,Haver_M!$B$1:$BZ$300,MATCH(data!N$1,Haver_M!$B$1:$BZ$1,0),FALSE),"")</f>
        <v>5.4</v>
      </c>
      <c r="O238">
        <f>IF(ISNUMBER(VLOOKUP($A238,Haver_M!$B$1:$BZ$300,MATCH(data!O$1,Haver_M!$B$1:$BZ$1,0),FALSE)),VLOOKUP($A238,Haver_M!$B$1:$BZ$300,MATCH(data!O$1,Haver_M!$B$1:$BZ$1,0),FALSE),"")</f>
        <v>6.8308</v>
      </c>
      <c r="P238">
        <f>IF(ISNUMBER(VLOOKUP($A238,Haver_M!$B$1:$BZ$300,MATCH(data!P$1,Haver_M!$B$1:$BZ$1,0),FALSE)),VLOOKUP($A238,Haver_M!$B$1:$BZ$300,MATCH(data!P$1,Haver_M!$B$1:$BZ$1,0),FALSE),"")</f>
        <v>91.540369999999996</v>
      </c>
      <c r="Q238">
        <f>IF(ISNUMBER(VLOOKUP($A238,Haver_M!$B$1:$BZ$300,MATCH(data!Q$1,Haver_M!$B$1:$BZ$1,0),FALSE)),VLOOKUP($A238,Haver_M!$B$1:$BZ$300,MATCH(data!Q$1,Haver_M!$B$1:$BZ$1,0),FALSE),"")</f>
        <v>145.80000000000001</v>
      </c>
      <c r="R238">
        <f>IF(ISNUMBER(VLOOKUP($A238,Haver_M!$B$1:$BZ$300,MATCH(data!R$1,Haver_M!$B$1:$BZ$1,0),FALSE)),VLOOKUP($A238,Haver_M!$B$1:$BZ$300,MATCH(data!R$1,Haver_M!$B$1:$BZ$1,0),FALSE),"")</f>
        <v>147.6</v>
      </c>
      <c r="S238">
        <f>IF(ISNUMBER(VLOOKUP($A238,Haver_M!$B$1:$BZ$300,MATCH(data!S$1,Haver_M!$B$1:$BZ$1,0),FALSE)),VLOOKUP($A238,Haver_M!$B$1:$BZ$300,MATCH(data!S$1,Haver_M!$B$1:$BZ$1,0),FALSE),"")</f>
        <v>124.62</v>
      </c>
      <c r="T238">
        <f>IF(ISNUMBER(VLOOKUP($A238,Haver_M!$B$1:$BZ$300,MATCH(data!T$1,Haver_M!$B$1:$BZ$1,0),FALSE)),VLOOKUP($A238,Haver_M!$B$1:$BZ$300,MATCH(data!T$1,Haver_M!$B$1:$BZ$1,0),FALSE),"")</f>
        <v>119.39</v>
      </c>
      <c r="U238">
        <f>IF(ISNUMBER(VLOOKUP($A238,Haver_M!$B$1:$BZ$300,MATCH(data!U$1,Haver_M!$B$1:$BZ$1,0),FALSE)),VLOOKUP($A238,Haver_M!$B$1:$BZ$300,MATCH(data!U$1,Haver_M!$B$1:$BZ$1,0),FALSE),"")</f>
        <v>88.83</v>
      </c>
      <c r="V238">
        <f>IF(ISNUMBER(VLOOKUP($A238,Haver_M!$B$1:$BZ$300,MATCH(data!V$1,Haver_M!$B$1:$BZ$1,0),FALSE)),VLOOKUP($A238,Haver_M!$B$1:$BZ$300,MATCH(data!V$1,Haver_M!$B$1:$BZ$1,0),FALSE),"")</f>
        <v>134.62</v>
      </c>
      <c r="W238">
        <f>IF(ISNUMBER(VLOOKUP($A238,Haver_M!$B$1:$BZ$300,MATCH(data!W$1,Haver_M!$B$1:$BZ$1,0),FALSE)),VLOOKUP($A238,Haver_M!$B$1:$BZ$300,MATCH(data!W$1,Haver_M!$B$1:$BZ$1,0),FALSE),"")</f>
        <v>132.21</v>
      </c>
      <c r="X238">
        <f>IF(ISNUMBER(VLOOKUP($A238,Haver_M!$B$1:$BZ$300,MATCH(data!X$1,Haver_M!$B$1:$BZ$1,0),FALSE)),VLOOKUP($A238,Haver_M!$B$1:$BZ$300,MATCH(data!X$1,Haver_M!$B$1:$BZ$1,0),FALSE),"")</f>
        <v>115.82</v>
      </c>
      <c r="Y238">
        <f>IF(ISNUMBER(VLOOKUP($A238,Haver_M!$B$1:$BZ$300,MATCH(data!Y$1,Haver_M!$B$1:$BZ$1,0),FALSE)),VLOOKUP($A238,Haver_M!$B$1:$BZ$300,MATCH(data!Y$1,Haver_M!$B$1:$BZ$1,0),FALSE),"")</f>
        <v>146.78</v>
      </c>
      <c r="Z238">
        <f>IF(ISNUMBER(VLOOKUP($A238,Haver_M!$B$1:$BZ$300,MATCH(data!Z$1,Haver_M!$B$1:$BZ$1,0),FALSE)),VLOOKUP($A238,Haver_M!$B$1:$BZ$300,MATCH(data!Z$1,Haver_M!$B$1:$BZ$1,0),FALSE),"")</f>
        <v>124.8</v>
      </c>
      <c r="AA238">
        <f>IF(ISNUMBER(VLOOKUP($A238,Haver_M!$B$1:$BZ$300,MATCH(data!AA$1,Haver_M!$B$1:$BZ$1,0),FALSE)),VLOOKUP($A238,Haver_M!$B$1:$BZ$300,MATCH(data!AA$1,Haver_M!$B$1:$BZ$1,0),FALSE),"")</f>
        <v>105.491</v>
      </c>
      <c r="AB238">
        <f>IF(ISNUMBER(VLOOKUP($A238,Haver_M!$B$1:$BZ$300,MATCH(data!AB$1,Haver_M!$B$1:$BZ$1,0),FALSE)),VLOOKUP($A238,Haver_M!$B$1:$BZ$300,MATCH(data!AB$1,Haver_M!$B$1:$BZ$1,0),FALSE),"")</f>
        <v>85.234999999999999</v>
      </c>
      <c r="AC238">
        <f>IF(ISNUMBER(VLOOKUP($A238,Haver_M!$B$1:$BZ$300,MATCH(data!AC$1,Haver_M!$B$1:$BZ$1,0),FALSE)),VLOOKUP($A238,Haver_M!$B$1:$BZ$300,MATCH(data!AC$1,Haver_M!$B$1:$BZ$1,0),FALSE),"")</f>
        <v>65.063000000000002</v>
      </c>
      <c r="AD238">
        <f>IF(ISNUMBER(VLOOKUP($A238,Haver_M!$B$1:$BZ$300,MATCH(data!AD$1,Haver_M!$B$1:$BZ$1,0),FALSE)),VLOOKUP($A238,Haver_M!$B$1:$BZ$300,MATCH(data!AD$1,Haver_M!$B$1:$BZ$1,0),FALSE),"")</f>
        <v>122.001</v>
      </c>
      <c r="AE238">
        <f>IF(ISNUMBER(VLOOKUP($A238,Haver_M!$B$1:$BZ$300,MATCH(data!AE$1,Haver_M!$B$1:$BZ$1,0),FALSE)),VLOOKUP($A238,Haver_M!$B$1:$BZ$300,MATCH(data!AE$1,Haver_M!$B$1:$BZ$1,0),FALSE),"")</f>
        <v>109.42100000000001</v>
      </c>
      <c r="AF238">
        <f>IF(ISNUMBER(VLOOKUP($A238,Haver_M!$B$1:$BZ$300,MATCH(data!AF$1,Haver_M!$B$1:$BZ$1,0),FALSE)),VLOOKUP($A238,Haver_M!$B$1:$BZ$300,MATCH(data!AF$1,Haver_M!$B$1:$BZ$1,0),FALSE),"")</f>
        <v>144.892</v>
      </c>
      <c r="AG238">
        <f>IF(ISNUMBER(VLOOKUP($A238,Haver_M!$B$1:$BZ$300,MATCH(data!AG$1,Haver_M!$B$1:$BZ$1,0),FALSE)),VLOOKUP($A238,Haver_M!$B$1:$BZ$300,MATCH(data!AG$1,Haver_M!$B$1:$BZ$1,0),FALSE),"")</f>
        <v>141.261</v>
      </c>
      <c r="AH238">
        <f>IF(ISNUMBER(VLOOKUP($A238,Haver_M!$B$1:$BZ$300,MATCH(data!AH$1,Haver_M!$B$1:$BZ$1,0),FALSE)),VLOOKUP($A238,Haver_M!$B$1:$BZ$300,MATCH(data!AH$1,Haver_M!$B$1:$BZ$1,0),FALSE),"")</f>
        <v>155.24600000000001</v>
      </c>
      <c r="AI238">
        <f>IF(ISNUMBER(VLOOKUP($A238,Haver_M!$B$1:$BZ$300,MATCH(data!AI$1,Haver_M!$B$1:$BZ$1,0),FALSE)),VLOOKUP($A238,Haver_M!$B$1:$BZ$300,MATCH(data!AI$1,Haver_M!$B$1:$BZ$1,0),FALSE),"")</f>
        <v>17550.459418816885</v>
      </c>
      <c r="AJ238">
        <f>IF(ISNUMBER(VLOOKUP($A238,Haver_M!$B$1:$BZ$300,MATCH(data!AJ$1,Haver_M!$B$1:$BZ$1,0),FALSE)),VLOOKUP($A238,Haver_M!$B$1:$BZ$300,MATCH(data!AJ$1,Haver_M!$B$1:$BZ$1,0),FALSE),"")</f>
        <v>26025.3</v>
      </c>
      <c r="AK238">
        <f>IF(ISNUMBER(VLOOKUP($A238,Haver_M!$B$1:$BZ$300,MATCH(data!AK$1,Haver_M!$B$1:$BZ$1,0),FALSE)),VLOOKUP($A238,Haver_M!$B$1:$BZ$300,MATCH(data!AK$1,Haver_M!$B$1:$BZ$1,0),FALSE),"")</f>
        <v>38115.39</v>
      </c>
      <c r="AL238">
        <f>IF(ISNUMBER(VLOOKUP($A238,Haver_M!$B$1:$BZ$300,MATCH(data!AL$1,Haver_M!$B$1:$BZ$1,0),FALSE)),VLOOKUP($A238,Haver_M!$B$1:$BZ$300,MATCH(data!AL$1,Haver_M!$B$1:$BZ$1,0),FALSE),"")</f>
        <v>17536</v>
      </c>
      <c r="AM238">
        <f>IF(ISNUMBER(VLOOKUP($A238,Haver_M!$B$1:$BZ$300,MATCH(data!AM$1,Haver_M!$B$1:$BZ$1,0),FALSE)),VLOOKUP($A238,Haver_M!$B$1:$BZ$300,MATCH(data!AM$1,Haver_M!$B$1:$BZ$1,0),FALSE),"")</f>
        <v>11096</v>
      </c>
      <c r="AN238">
        <f>IF(ISNUMBER(VLOOKUP($A238,Haver_M!$B$1:$BZ$300,MATCH(data!AN$1,Haver_M!$B$1:$BZ$1,0),FALSE)),VLOOKUP($A238,Haver_M!$B$1:$BZ$300,MATCH(data!AN$1,Haver_M!$B$1:$BZ$1,0),FALSE),"")</f>
        <v>89.4</v>
      </c>
      <c r="AO238">
        <f>IF(ISNUMBER(VLOOKUP($A238,Haver_M!$B$1:$BZ$300,MATCH(data!AO$1,Haver_M!$B$1:$BZ$1,0),FALSE)),VLOOKUP($A238,Haver_M!$B$1:$BZ$300,MATCH(data!AO$1,Haver_M!$B$1:$BZ$1,0),FALSE),"")</f>
        <v>118</v>
      </c>
      <c r="AP238">
        <f>IF(ISNUMBER(VLOOKUP($A238,Haver_M!$B$1:$BZ$300,MATCH(data!AP$1,Haver_M!$B$1:$BZ$1,0),FALSE)),VLOOKUP($A238,Haver_M!$B$1:$BZ$300,MATCH(data!AP$1,Haver_M!$B$1:$BZ$1,0),FALSE),"")</f>
        <v>90.710554888509094</v>
      </c>
      <c r="AQ238">
        <f>IF(ISNUMBER(VLOOKUP($A238,Haver_M!$B$1:$BZ$300,MATCH(data!AQ$1,Haver_M!$B$1:$BZ$1,0),FALSE)),VLOOKUP($A238,Haver_M!$B$1:$BZ$300,MATCH(data!AQ$1,Haver_M!$B$1:$BZ$1,0),FALSE),"")</f>
        <v>49.790300000000002</v>
      </c>
      <c r="AR238">
        <f>IF(ISNUMBER(VLOOKUP($A238,Haver_M!$B$1:$BZ$300,MATCH(data!AR$1,Haver_M!$B$1:$BZ$1,0),FALSE)),VLOOKUP($A238,Haver_M!$B$1:$BZ$300,MATCH(data!AR$1,Haver_M!$B$1:$BZ$1,0),FALSE),"")</f>
        <v>51.350900000000003</v>
      </c>
      <c r="AS238">
        <f>IF(ISNUMBER(VLOOKUP($A238,Haver_M!$B$1:$BZ$300,MATCH(data!AS$1,Haver_M!$B$1:$BZ$1,0),FALSE)),VLOOKUP($A238,Haver_M!$B$1:$BZ$300,MATCH(data!AS$1,Haver_M!$B$1:$BZ$1,0),FALSE),"")</f>
        <v>48.710599999999999</v>
      </c>
      <c r="AT238">
        <f>IF(ISNUMBER(VLOOKUP($A238,Haver_M!$B$1:$BZ$300,MATCH(data!AT$1,Haver_M!$B$1:$BZ$1,0),FALSE)),VLOOKUP($A238,Haver_M!$B$1:$BZ$300,MATCH(data!AT$1,Haver_M!$B$1:$BZ$1,0),FALSE),"")</f>
        <v>52.106699999999996</v>
      </c>
      <c r="AU238">
        <f>IF(ISNUMBER(VLOOKUP($A238,Haver_M!$B$1:$BZ$300,MATCH(data!AU$1,Haver_M!$B$1:$BZ$1,0),FALSE)),VLOOKUP($A238,Haver_M!$B$1:$BZ$300,MATCH(data!AU$1,Haver_M!$B$1:$BZ$1,0),FALSE),"")</f>
        <v>52.2941</v>
      </c>
      <c r="AV238">
        <f>IF(ISNUMBER(VLOOKUP($A238,Haver_M!$B$1:$BZ$300,MATCH(data!AV$1,Haver_M!$B$1:$BZ$1,0),FALSE)),VLOOKUP($A238,Haver_M!$B$1:$BZ$300,MATCH(data!AV$1,Haver_M!$B$1:$BZ$1,0),FALSE),"")</f>
        <v>50.970500000000001</v>
      </c>
      <c r="AW238">
        <f>IF(ISNUMBER(VLOOKUP($A238,Haver_M!$B$1:$BZ$300,MATCH(data!AW$1,Haver_M!$B$1:$BZ$1,0),FALSE)),VLOOKUP($A238,Haver_M!$B$1:$BZ$300,MATCH(data!AW$1,Haver_M!$B$1:$BZ$1,0),FALSE),"")</f>
        <v>49.793799999999997</v>
      </c>
      <c r="AX238">
        <f>IF(ISNUMBER(VLOOKUP($A238,Haver_M!$B$1:$BZ$300,MATCH(data!AX$1,Haver_M!$B$1:$BZ$1,0),FALSE)),VLOOKUP($A238,Haver_M!$B$1:$BZ$300,MATCH(data!AX$1,Haver_M!$B$1:$BZ$1,0),FALSE),"")</f>
        <v>49.109299999999998</v>
      </c>
      <c r="AY238">
        <f>IF(ISNUMBER(VLOOKUP($A238,Haver_M!$B$1:$BZ$300,MATCH(data!AY$1,Haver_M!$B$1:$BZ$1,0),FALSE)),VLOOKUP($A238,Haver_M!$B$1:$BZ$300,MATCH(data!AY$1,Haver_M!$B$1:$BZ$1,0),FALSE),"")</f>
        <v>50.869900000000001</v>
      </c>
      <c r="AZ238">
        <f>IF(ISNUMBER(VLOOKUP($A238,Haver_M!$B$1:$BZ$300,MATCH(data!AZ$1,Haver_M!$B$1:$BZ$1,0),FALSE)),VLOOKUP($A238,Haver_M!$B$1:$BZ$300,MATCH(data!AZ$1,Haver_M!$B$1:$BZ$1,0),FALSE),"")</f>
        <v>48.301400000000001</v>
      </c>
      <c r="BA238">
        <f>IF(ISNUMBER(VLOOKUP($A238,Haver_M!$B$1:$BZ$300,MATCH(data!BA$1,Haver_M!$B$1:$BZ$1,0),FALSE)),VLOOKUP($A238,Haver_M!$B$1:$BZ$300,MATCH(data!BA$1,Haver_M!$B$1:$BZ$1,0),FALSE),"")</f>
        <v>49.109299999999998</v>
      </c>
      <c r="BB238">
        <f>IF(ISNUMBER(VLOOKUP($A238,Haver_M!$B$1:$BZ$300,MATCH(data!BB$1,Haver_M!$B$1:$BZ$1,0),FALSE)),VLOOKUP($A238,Haver_M!$B$1:$BZ$300,MATCH(data!BB$1,Haver_M!$B$1:$BZ$1,0),FALSE),"")</f>
        <v>50.300899999999999</v>
      </c>
      <c r="BC238">
        <f>IF(ISNUMBER(VLOOKUP($A238,Haver_M!$B$1:$BZ$300,MATCH(data!BC$1,Haver_M!$B$1:$BZ$1,0),FALSE)),VLOOKUP($A238,Haver_M!$B$1:$BZ$300,MATCH(data!BC$1,Haver_M!$B$1:$BZ$1,0),FALSE),"")</f>
        <v>50.7346</v>
      </c>
      <c r="BD238">
        <f>IF(ISNUMBER(VLOOKUP($A238,Haver_M!$B$1:$BZ$300,MATCH(data!BD$1,Haver_M!$B$1:$BZ$1,0),FALSE)),VLOOKUP($A238,Haver_M!$B$1:$BZ$300,MATCH(data!BD$1,Haver_M!$B$1:$BZ$1,0),FALSE),"")</f>
        <v>50.277299999999997</v>
      </c>
      <c r="BE238">
        <f>IF(ISNUMBER(VLOOKUP($A238,Haver_M!$B$1:$BZ$300,MATCH(data!BE$1,Haver_M!$B$1:$BZ$1,0),FALSE)),VLOOKUP($A238,Haver_M!$B$1:$BZ$300,MATCH(data!BE$1,Haver_M!$B$1:$BZ$1,0),FALSE),"")</f>
        <v>1.125</v>
      </c>
      <c r="BF238">
        <f>IF(ISNUMBER(VLOOKUP($A238,Haver_M!$B$1:$BZ$300,MATCH(data!BF$1,Haver_M!$B$1:$BZ$1,0),FALSE)),VLOOKUP($A238,Haver_M!$B$1:$BZ$300,MATCH(data!BF$1,Haver_M!$B$1:$BZ$1,0),FALSE),"")</f>
        <v>51.405500000000004</v>
      </c>
      <c r="BG238">
        <f>IF(ISNUMBER(VLOOKUP($A238,Haver_M!$B$1:$BZ$300,MATCH(data!BG$1,Haver_M!$B$1:$BZ$1,0),FALSE)),VLOOKUP($A238,Haver_M!$B$1:$BZ$300,MATCH(data!BG$1,Haver_M!$B$1:$BZ$1,0),FALSE),"")</f>
        <v>51.836399999999998</v>
      </c>
      <c r="BH238">
        <f>IF(ISNUMBER(VLOOKUP($A238,Haver_M!$B$1:$BZ$300,MATCH(data!BH$1,Haver_M!$B$1:$BZ$1,0),FALSE)),VLOOKUP($A238,Haver_M!$B$1:$BZ$300,MATCH(data!BH$1,Haver_M!$B$1:$BZ$1,0),FALSE),"")</f>
        <v>48.7898</v>
      </c>
      <c r="BI238">
        <f>IF(ISNUMBER(VLOOKUP($A238,Haver_M!$B$1:$BZ$300,MATCH(data!BI$1,Haver_M!$B$1:$BZ$1,0),FALSE)),VLOOKUP($A238,Haver_M!$B$1:$BZ$300,MATCH(data!BI$1,Haver_M!$B$1:$BZ$1,0),FALSE),"")</f>
        <v>50.414900000000003</v>
      </c>
      <c r="BJ238">
        <f>IF(ISNUMBER(VLOOKUP($A238,Haver_M!$B$1:$BZ$300,MATCH(data!BJ$1,Haver_M!$B$1:$BZ$1,0),FALSE)),VLOOKUP($A238,Haver_M!$B$1:$BZ$300,MATCH(data!BJ$1,Haver_M!$B$1:$BZ$1,0),FALSE),"")</f>
        <v>53.440100000000001</v>
      </c>
      <c r="BK238">
        <f>IF(ISNUMBER(VLOOKUP($A238,Haver_M!$B$1:$BZ$300,MATCH(data!BK$1,Haver_M!$B$1:$BZ$1,0),FALSE)),VLOOKUP($A238,Haver_M!$B$1:$BZ$300,MATCH(data!BK$1,Haver_M!$B$1:$BZ$1,0),FALSE),"")</f>
        <v>49.429299999999998</v>
      </c>
      <c r="BL238">
        <f>IF(ISNUMBER(VLOOKUP($A238,Haver_M!$B$1:$BZ$300,MATCH(data!BL$1,Haver_M!$B$1:$BZ$1,0),FALSE)),VLOOKUP($A238,Haver_M!$B$1:$BZ$300,MATCH(data!BL$1,Haver_M!$B$1:$BZ$1,0),FALSE),"")</f>
        <v>37545.06</v>
      </c>
      <c r="BM238">
        <f>IF(ISNUMBER(VLOOKUP($A238,Haver_M!$B$1:$BZ$300,MATCH(data!BM$1,Haver_M!$B$1:$BZ$1,0),FALSE)),VLOOKUP($A238,Haver_M!$B$1:$BZ$300,MATCH(data!BM$1,Haver_M!$B$1:$BZ$1,0),FALSE),"")</f>
        <v>94.006975740000001</v>
      </c>
      <c r="BN238">
        <f>IF(ISNUMBER(VLOOKUP($A238,Haver_M!$B$1:$BZ$300,MATCH(data!BN$1,Haver_M!$B$1:$BZ$1,0),FALSE)),VLOOKUP($A238,Haver_M!$B$1:$BZ$300,MATCH(data!BN$1,Haver_M!$B$1:$BZ$1,0),FALSE),"")</f>
        <v>92.5</v>
      </c>
      <c r="BO238">
        <f>IF(ISNUMBER(VLOOKUP($A238,Haver_M!$B$1:$BZ$300,MATCH(data!BO$1,Haver_M!$B$1:$BZ$1,0),FALSE)),VLOOKUP($A238,Haver_M!$B$1:$BZ$300,MATCH(data!BO$1,Haver_M!$B$1:$BZ$1,0),FALSE),"")</f>
        <v>112.8</v>
      </c>
      <c r="BP238">
        <f>IF(ISNUMBER(VLOOKUP($A238,Haver_M!$B$1:$BZ$300,MATCH(data!BP$1,Haver_M!$B$1:$BZ$1,0),FALSE)),VLOOKUP($A238,Haver_M!$B$1:$BZ$300,MATCH(data!BP$1,Haver_M!$B$1:$BZ$1,0),FALSE),"")</f>
        <v>35.200000000000003</v>
      </c>
      <c r="BQ238">
        <f>IF(ISNUMBER(VLOOKUP($A238,Haver_M!$B$1:$BZ$300,MATCH(data!BQ$1,Haver_M!$B$1:$BZ$1,0),FALSE)),VLOOKUP($A238,Haver_M!$B$1:$BZ$300,MATCH(data!BQ$1,Haver_M!$B$1:$BZ$1,0),FALSE),"")</f>
        <v>330.24853610565555</v>
      </c>
      <c r="BR238">
        <f>IF(ISNUMBER(VLOOKUP($A238,Haver_M!$B$1:$BZ$300,MATCH(data!BR$1,Haver_M!$B$1:$BZ$1,0),FALSE)),VLOOKUP($A238,Haver_M!$B$1:$BZ$300,MATCH(data!BR$1,Haver_M!$B$1:$BZ$1,0),FALSE),"")</f>
        <v>389.00029018542432</v>
      </c>
      <c r="BS238">
        <f>IF(ISNUMBER(VLOOKUP($A238,Haver_M!$B$1:$BZ$300,MATCH(data!BS$1,Haver_M!$B$1:$BZ$1,0),FALSE)),VLOOKUP($A238,Haver_M!$B$1:$BZ$300,MATCH(data!BS$1,Haver_M!$B$1:$BZ$1,0),FALSE),"")</f>
        <v>331.10100835930285</v>
      </c>
      <c r="BT238">
        <f>IF(ISNUMBER(VLOOKUP($A238,Haver_M!$B$1:$BZ$300,MATCH(data!BT$1,Haver_M!$B$1:$BZ$1,0),FALSE)),VLOOKUP($A238,Haver_M!$B$1:$BZ$300,MATCH(data!BT$1,Haver_M!$B$1:$BZ$1,0),FALSE),"")</f>
        <v>1208.451124783938</v>
      </c>
      <c r="BU238">
        <f>IF(ISNUMBER(VLOOKUP($A238,Haver_M!$B$1:$BZ$300,MATCH(data!BU$1,Haver_M!$B$1:$BZ$1,0),FALSE)),VLOOKUP($A238,Haver_M!$B$1:$BZ$300,MATCH(data!BU$1,Haver_M!$B$1:$BZ$1,0),FALSE),"")</f>
        <v>26103.02</v>
      </c>
      <c r="BV238">
        <f>IF(ISNUMBER(VLOOKUP($A238,Haver_M!$B$1:$BZ$300,MATCH(data!BV$1,Haver_M!$B$1:$BZ$1,0),FALSE)),VLOOKUP($A238,Haver_M!$B$1:$BZ$300,MATCH(data!BV$1,Haver_M!$B$1:$BZ$1,0),FALSE),"")</f>
        <v>37636</v>
      </c>
      <c r="BW238">
        <f>IF(ISNUMBER(VLOOKUP($A238,Haver_M!$B$1:$BZ$300,MATCH(data!BW$1,Haver_M!$B$1:$BZ$1,0),FALSE)),VLOOKUP($A238,Haver_M!$B$1:$BZ$300,MATCH(data!BW$1,Haver_M!$B$1:$BZ$1,0),FALSE),"")</f>
        <v>71.333699999999993</v>
      </c>
      <c r="BX238">
        <f>IF(ISNUMBER(VLOOKUP($A238,Haver_M!$B$1:$BZ$300,MATCH(data!BX$1,Haver_M!$B$1:$BZ$1,0),FALSE)),VLOOKUP($A238,Haver_M!$B$1:$BZ$300,MATCH(data!BX$1,Haver_M!$B$1:$BZ$1,0),FALSE),"")</f>
        <v>68398</v>
      </c>
    </row>
    <row r="239" spans="1:76" x14ac:dyDescent="0.25">
      <c r="A239" s="2">
        <v>43769</v>
      </c>
      <c r="B239" t="str">
        <f>IF(ISNUMBER(VLOOKUP($A239,Haver_Q!$B$1:$L$185,MATCH(data!B$1,Haver_Q!$B$1:$L$1,0),FALSE)),100*(VLOOKUP($A239,Haver_Q!$B$1:$L$185,MATCH(data!B$1,Haver_Q!$B$1:$L$1,0),FALSE)),"")</f>
        <v/>
      </c>
      <c r="C239" t="str">
        <f>IF(ISNUMBER(VLOOKUP($A239,Haver_Q!$B$1:$L$185,MATCH(data!C$1,Haver_Q!$B$1:$L$1,0),FALSE)),100*(VLOOKUP($A239,Haver_Q!$B$1:$L$185,MATCH(data!C$1,Haver_Q!$B$1:$L$1,0),FALSE)),"")</f>
        <v/>
      </c>
      <c r="D239" t="str">
        <f>IF(ISNUMBER(VLOOKUP($A239,Haver_Q!$B$1:$L$185,MATCH(data!D$1,Haver_Q!$B$1:$L$1,0),FALSE)),100*(VLOOKUP($A239,Haver_Q!$B$1:$L$185,MATCH(data!D$1,Haver_Q!$B$1:$L$1,0),FALSE)),"")</f>
        <v/>
      </c>
      <c r="E239" t="str">
        <f>IF(ISNUMBER(VLOOKUP($A239,Haver_Q!$B$1:$L$185,MATCH(data!E$1,Haver_Q!$B$1:$L$1,0),FALSE)),100*(VLOOKUP($A239,Haver_Q!$B$1:$L$185,MATCH(data!E$1,Haver_Q!$B$1:$L$1,0),FALSE)),"")</f>
        <v/>
      </c>
      <c r="F239" t="str">
        <f>IF(ISNUMBER(VLOOKUP($A239,Haver_Q!$B$1:$L$185,MATCH(data!F$1,Haver_Q!$B$1:$L$1,0),FALSE)),100*(VLOOKUP($A239,Haver_Q!$B$1:$L$185,MATCH(data!F$1,Haver_Q!$B$1:$L$1,0),FALSE)),"")</f>
        <v/>
      </c>
      <c r="G239" t="str">
        <f>IF(ISNUMBER(VLOOKUP($A239,Haver_Q!$B$1:$L$185,MATCH(data!G$1,Haver_Q!$B$1:$L$1,0),FALSE)),100*(VLOOKUP($A239,Haver_Q!$B$1:$L$185,MATCH(data!G$1,Haver_Q!$B$1:$L$1,0),FALSE)),"")</f>
        <v/>
      </c>
      <c r="H239" t="str">
        <f>IF(ISNUMBER(VLOOKUP($A239,Haver_Q!$B$1:$L$185,MATCH(data!H$1,Haver_Q!$B$1:$L$1,0),FALSE)),(VLOOKUP($A239,Haver_Q!$B$1:$L$185,MATCH(data!H$1,Haver_Q!$B$1:$L$1,0),FALSE)),"")</f>
        <v/>
      </c>
      <c r="I239" t="str">
        <f>IF(ISNUMBER(VLOOKUP($A239,Haver_Q!$B$1:$L$185,MATCH(data!I$1,Haver_Q!$B$1:$L$1,0),FALSE)),100*(VLOOKUP($A239,Haver_Q!$B$1:$L$185,MATCH(data!I$1,Haver_Q!$B$1:$L$1,0),FALSE)),"")</f>
        <v/>
      </c>
      <c r="J239" s="3">
        <f>IF(ISNUMBER(Bloomberg_m!C255),Bloomberg_m!C255,"")</f>
        <v>1826</v>
      </c>
      <c r="K239" s="3">
        <f>IF(ISNUMBER(Bloomberg_m!D255),Bloomberg_m!D255,"")</f>
        <v>1262.01</v>
      </c>
      <c r="L239" s="3">
        <f>IF(ISNUMBER(Bloomberg_m!E255),Bloomberg_m!E255,"")</f>
        <v>745.62</v>
      </c>
      <c r="M239" s="3">
        <f>IF(ISNUMBER(Bloomberg_m!F255),Bloomberg_m!F255,"")</f>
        <v>448.35</v>
      </c>
      <c r="N239">
        <f>IF(ISNUMBER(VLOOKUP($A239,Haver_M!$B$1:$BZ$300,MATCH(data!N$1,Haver_M!$B$1:$BZ$1,0),FALSE)),VLOOKUP($A239,Haver_M!$B$1:$BZ$300,MATCH(data!N$1,Haver_M!$B$1:$BZ$1,0),FALSE),"")</f>
        <v>5.15</v>
      </c>
      <c r="O239">
        <f>IF(ISNUMBER(VLOOKUP($A239,Haver_M!$B$1:$BZ$300,MATCH(data!O$1,Haver_M!$B$1:$BZ$1,0),FALSE)),VLOOKUP($A239,Haver_M!$B$1:$BZ$300,MATCH(data!O$1,Haver_M!$B$1:$BZ$1,0),FALSE),"")</f>
        <v>6.8661000000000003</v>
      </c>
      <c r="P239">
        <f>IF(ISNUMBER(VLOOKUP($A239,Haver_M!$B$1:$BZ$300,MATCH(data!P$1,Haver_M!$B$1:$BZ$1,0),FALSE)),VLOOKUP($A239,Haver_M!$B$1:$BZ$300,MATCH(data!P$1,Haver_M!$B$1:$BZ$1,0),FALSE),"")</f>
        <v>92.584180000000003</v>
      </c>
      <c r="Q239">
        <f>IF(ISNUMBER(VLOOKUP($A239,Haver_M!$B$1:$BZ$300,MATCH(data!Q$1,Haver_M!$B$1:$BZ$1,0),FALSE)),VLOOKUP($A239,Haver_M!$B$1:$BZ$300,MATCH(data!Q$1,Haver_M!$B$1:$BZ$1,0),FALSE),"")</f>
        <v>147.19999999999999</v>
      </c>
      <c r="R239">
        <f>IF(ISNUMBER(VLOOKUP($A239,Haver_M!$B$1:$BZ$300,MATCH(data!R$1,Haver_M!$B$1:$BZ$1,0),FALSE)),VLOOKUP($A239,Haver_M!$B$1:$BZ$300,MATCH(data!R$1,Haver_M!$B$1:$BZ$1,0),FALSE),"")</f>
        <v>147.80000000000001</v>
      </c>
      <c r="S239">
        <f>IF(ISNUMBER(VLOOKUP($A239,Haver_M!$B$1:$BZ$300,MATCH(data!S$1,Haver_M!$B$1:$BZ$1,0),FALSE)),VLOOKUP($A239,Haver_M!$B$1:$BZ$300,MATCH(data!S$1,Haver_M!$B$1:$BZ$1,0),FALSE),"")</f>
        <v>128.61000000000001</v>
      </c>
      <c r="T239">
        <f>IF(ISNUMBER(VLOOKUP($A239,Haver_M!$B$1:$BZ$300,MATCH(data!T$1,Haver_M!$B$1:$BZ$1,0),FALSE)),VLOOKUP($A239,Haver_M!$B$1:$BZ$300,MATCH(data!T$1,Haver_M!$B$1:$BZ$1,0),FALSE),"")</f>
        <v>120.8</v>
      </c>
      <c r="U239">
        <f>IF(ISNUMBER(VLOOKUP($A239,Haver_M!$B$1:$BZ$300,MATCH(data!U$1,Haver_M!$B$1:$BZ$1,0),FALSE)),VLOOKUP($A239,Haver_M!$B$1:$BZ$300,MATCH(data!U$1,Haver_M!$B$1:$BZ$1,0),FALSE),"")</f>
        <v>92.52</v>
      </c>
      <c r="V239">
        <f>IF(ISNUMBER(VLOOKUP($A239,Haver_M!$B$1:$BZ$300,MATCH(data!V$1,Haver_M!$B$1:$BZ$1,0),FALSE)),VLOOKUP($A239,Haver_M!$B$1:$BZ$300,MATCH(data!V$1,Haver_M!$B$1:$BZ$1,0),FALSE),"")</f>
        <v>158.83000000000001</v>
      </c>
      <c r="W239">
        <f>IF(ISNUMBER(VLOOKUP($A239,Haver_M!$B$1:$BZ$300,MATCH(data!W$1,Haver_M!$B$1:$BZ$1,0),FALSE)),VLOOKUP($A239,Haver_M!$B$1:$BZ$300,MATCH(data!W$1,Haver_M!$B$1:$BZ$1,0),FALSE),"")</f>
        <v>130.6</v>
      </c>
      <c r="X239">
        <f>IF(ISNUMBER(VLOOKUP($A239,Haver_M!$B$1:$BZ$300,MATCH(data!X$1,Haver_M!$B$1:$BZ$1,0),FALSE)),VLOOKUP($A239,Haver_M!$B$1:$BZ$300,MATCH(data!X$1,Haver_M!$B$1:$BZ$1,0),FALSE),"")</f>
        <v>111.32</v>
      </c>
      <c r="Y239">
        <f>IF(ISNUMBER(VLOOKUP($A239,Haver_M!$B$1:$BZ$300,MATCH(data!Y$1,Haver_M!$B$1:$BZ$1,0),FALSE)),VLOOKUP($A239,Haver_M!$B$1:$BZ$300,MATCH(data!Y$1,Haver_M!$B$1:$BZ$1,0),FALSE),"")</f>
        <v>148.82</v>
      </c>
      <c r="Z239">
        <f>IF(ISNUMBER(VLOOKUP($A239,Haver_M!$B$1:$BZ$300,MATCH(data!Z$1,Haver_M!$B$1:$BZ$1,0),FALSE)),VLOOKUP($A239,Haver_M!$B$1:$BZ$300,MATCH(data!Z$1,Haver_M!$B$1:$BZ$1,0),FALSE),"")</f>
        <v>125.3</v>
      </c>
      <c r="AA239">
        <f>IF(ISNUMBER(VLOOKUP($A239,Haver_M!$B$1:$BZ$300,MATCH(data!AA$1,Haver_M!$B$1:$BZ$1,0),FALSE)),VLOOKUP($A239,Haver_M!$B$1:$BZ$300,MATCH(data!AA$1,Haver_M!$B$1:$BZ$1,0),FALSE),"")</f>
        <v>113.33799999999999</v>
      </c>
      <c r="AB239">
        <f>IF(ISNUMBER(VLOOKUP($A239,Haver_M!$B$1:$BZ$300,MATCH(data!AB$1,Haver_M!$B$1:$BZ$1,0),FALSE)),VLOOKUP($A239,Haver_M!$B$1:$BZ$300,MATCH(data!AB$1,Haver_M!$B$1:$BZ$1,0),FALSE),"")</f>
        <v>84.59</v>
      </c>
      <c r="AC239">
        <f>IF(ISNUMBER(VLOOKUP($A239,Haver_M!$B$1:$BZ$300,MATCH(data!AC$1,Haver_M!$B$1:$BZ$1,0),FALSE)),VLOOKUP($A239,Haver_M!$B$1:$BZ$300,MATCH(data!AC$1,Haver_M!$B$1:$BZ$1,0),FALSE),"")</f>
        <v>64.388999999999996</v>
      </c>
      <c r="AD239">
        <f>IF(ISNUMBER(VLOOKUP($A239,Haver_M!$B$1:$BZ$300,MATCH(data!AD$1,Haver_M!$B$1:$BZ$1,0),FALSE)),VLOOKUP($A239,Haver_M!$B$1:$BZ$300,MATCH(data!AD$1,Haver_M!$B$1:$BZ$1,0),FALSE),"")</f>
        <v>130.91999999999999</v>
      </c>
      <c r="AE239">
        <f>IF(ISNUMBER(VLOOKUP($A239,Haver_M!$B$1:$BZ$300,MATCH(data!AE$1,Haver_M!$B$1:$BZ$1,0),FALSE)),VLOOKUP($A239,Haver_M!$B$1:$BZ$300,MATCH(data!AE$1,Haver_M!$B$1:$BZ$1,0),FALSE),"")</f>
        <v>109.245</v>
      </c>
      <c r="AF239">
        <f>IF(ISNUMBER(VLOOKUP($A239,Haver_M!$B$1:$BZ$300,MATCH(data!AF$1,Haver_M!$B$1:$BZ$1,0),FALSE)),VLOOKUP($A239,Haver_M!$B$1:$BZ$300,MATCH(data!AF$1,Haver_M!$B$1:$BZ$1,0),FALSE),"")</f>
        <v>144.565</v>
      </c>
      <c r="AG239">
        <f>IF(ISNUMBER(VLOOKUP($A239,Haver_M!$B$1:$BZ$300,MATCH(data!AG$1,Haver_M!$B$1:$BZ$1,0),FALSE)),VLOOKUP($A239,Haver_M!$B$1:$BZ$300,MATCH(data!AG$1,Haver_M!$B$1:$BZ$1,0),FALSE),"")</f>
        <v>141.57499999999999</v>
      </c>
      <c r="AH239">
        <f>IF(ISNUMBER(VLOOKUP($A239,Haver_M!$B$1:$BZ$300,MATCH(data!AH$1,Haver_M!$B$1:$BZ$1,0),FALSE)),VLOOKUP($A239,Haver_M!$B$1:$BZ$300,MATCH(data!AH$1,Haver_M!$B$1:$BZ$1,0),FALSE),"")</f>
        <v>142.358</v>
      </c>
      <c r="AI239">
        <f>IF(ISNUMBER(VLOOKUP($A239,Haver_M!$B$1:$BZ$300,MATCH(data!AI$1,Haver_M!$B$1:$BZ$1,0),FALSE)),VLOOKUP($A239,Haver_M!$B$1:$BZ$300,MATCH(data!AI$1,Haver_M!$B$1:$BZ$1,0),FALSE),"")</f>
        <v>17396.18430526838</v>
      </c>
      <c r="AJ239">
        <f>IF(ISNUMBER(VLOOKUP($A239,Haver_M!$B$1:$BZ$300,MATCH(data!AJ$1,Haver_M!$B$1:$BZ$1,0),FALSE)),VLOOKUP($A239,Haver_M!$B$1:$BZ$300,MATCH(data!AJ$1,Haver_M!$B$1:$BZ$1,0),FALSE),"")</f>
        <v>26898.639999999999</v>
      </c>
      <c r="AK239">
        <f>IF(ISNUMBER(VLOOKUP($A239,Haver_M!$B$1:$BZ$300,MATCH(data!AK$1,Haver_M!$B$1:$BZ$1,0),FALSE)),VLOOKUP($A239,Haver_M!$B$1:$BZ$300,MATCH(data!AK$1,Haver_M!$B$1:$BZ$1,0),FALSE),"")</f>
        <v>37313.69</v>
      </c>
      <c r="AL239">
        <f>IF(ISNUMBER(VLOOKUP($A239,Haver_M!$B$1:$BZ$300,MATCH(data!AL$1,Haver_M!$B$1:$BZ$1,0),FALSE)),VLOOKUP($A239,Haver_M!$B$1:$BZ$300,MATCH(data!AL$1,Haver_M!$B$1:$BZ$1,0),FALSE),"")</f>
        <v>17698</v>
      </c>
      <c r="AM239">
        <f>IF(ISNUMBER(VLOOKUP($A239,Haver_M!$B$1:$BZ$300,MATCH(data!AM$1,Haver_M!$B$1:$BZ$1,0),FALSE)),VLOOKUP($A239,Haver_M!$B$1:$BZ$300,MATCH(data!AM$1,Haver_M!$B$1:$BZ$1,0),FALSE),"")</f>
        <v>10864</v>
      </c>
      <c r="AN239" t="str">
        <f>IF(ISNUMBER(VLOOKUP($A239,Haver_M!$B$1:$BZ$300,MATCH(data!AN$1,Haver_M!$B$1:$BZ$1,0),FALSE)),VLOOKUP($A239,Haver_M!$B$1:$BZ$300,MATCH(data!AN$1,Haver_M!$B$1:$BZ$1,0),FALSE),"")</f>
        <v/>
      </c>
      <c r="AO239" t="str">
        <f>IF(ISNUMBER(VLOOKUP($A239,Haver_M!$B$1:$BZ$300,MATCH(data!AO$1,Haver_M!$B$1:$BZ$1,0),FALSE)),VLOOKUP($A239,Haver_M!$B$1:$BZ$300,MATCH(data!AO$1,Haver_M!$B$1:$BZ$1,0),FALSE),"")</f>
        <v/>
      </c>
      <c r="AP239">
        <f>IF(ISNUMBER(VLOOKUP($A239,Haver_M!$B$1:$BZ$300,MATCH(data!AP$1,Haver_M!$B$1:$BZ$1,0),FALSE)),VLOOKUP($A239,Haver_M!$B$1:$BZ$300,MATCH(data!AP$1,Haver_M!$B$1:$BZ$1,0),FALSE),"")</f>
        <v>89.749454611560822</v>
      </c>
      <c r="AQ239">
        <f>IF(ISNUMBER(VLOOKUP($A239,Haver_M!$B$1:$BZ$300,MATCH(data!AQ$1,Haver_M!$B$1:$BZ$1,0),FALSE)),VLOOKUP($A239,Haver_M!$B$1:$BZ$300,MATCH(data!AQ$1,Haver_M!$B$1:$BZ$1,0),FALSE),"")</f>
        <v>49.633600000000001</v>
      </c>
      <c r="AR239">
        <f>IF(ISNUMBER(VLOOKUP($A239,Haver_M!$B$1:$BZ$300,MATCH(data!AR$1,Haver_M!$B$1:$BZ$1,0),FALSE)),VLOOKUP($A239,Haver_M!$B$1:$BZ$300,MATCH(data!AR$1,Haver_M!$B$1:$BZ$1,0),FALSE),"")</f>
        <v>50.5899</v>
      </c>
      <c r="AS239">
        <f>IF(ISNUMBER(VLOOKUP($A239,Haver_M!$B$1:$BZ$300,MATCH(data!AS$1,Haver_M!$B$1:$BZ$1,0),FALSE)),VLOOKUP($A239,Haver_M!$B$1:$BZ$300,MATCH(data!AS$1,Haver_M!$B$1:$BZ$1,0),FALSE),"")</f>
        <v>49.164499999999997</v>
      </c>
      <c r="AT239">
        <f>IF(ISNUMBER(VLOOKUP($A239,Haver_M!$B$1:$BZ$300,MATCH(data!AT$1,Haver_M!$B$1:$BZ$1,0),FALSE)),VLOOKUP($A239,Haver_M!$B$1:$BZ$300,MATCH(data!AT$1,Haver_M!$B$1:$BZ$1,0),FALSE),"")</f>
        <v>50.639800000000001</v>
      </c>
      <c r="AU239">
        <f>IF(ISNUMBER(VLOOKUP($A239,Haver_M!$B$1:$BZ$300,MATCH(data!AU$1,Haver_M!$B$1:$BZ$1,0),FALSE)),VLOOKUP($A239,Haver_M!$B$1:$BZ$300,MATCH(data!AU$1,Haver_M!$B$1:$BZ$1,0),FALSE),"")</f>
        <v>51.281599999999997</v>
      </c>
      <c r="AV239">
        <f>IF(ISNUMBER(VLOOKUP($A239,Haver_M!$B$1:$BZ$300,MATCH(data!AV$1,Haver_M!$B$1:$BZ$1,0),FALSE)),VLOOKUP($A239,Haver_M!$B$1:$BZ$300,MATCH(data!AV$1,Haver_M!$B$1:$BZ$1,0),FALSE),"")</f>
        <v>50.448500000000003</v>
      </c>
      <c r="AW239">
        <f>IF(ISNUMBER(VLOOKUP($A239,Haver_M!$B$1:$BZ$300,MATCH(data!AW$1,Haver_M!$B$1:$BZ$1,0),FALSE)),VLOOKUP($A239,Haver_M!$B$1:$BZ$300,MATCH(data!AW$1,Haver_M!$B$1:$BZ$1,0),FALSE),"")</f>
        <v>49.575699999999998</v>
      </c>
      <c r="AX239">
        <f>IF(ISNUMBER(VLOOKUP($A239,Haver_M!$B$1:$BZ$300,MATCH(data!AX$1,Haver_M!$B$1:$BZ$1,0),FALSE)),VLOOKUP($A239,Haver_M!$B$1:$BZ$300,MATCH(data!AX$1,Haver_M!$B$1:$BZ$1,0),FALSE),"")</f>
        <v>48.921300000000002</v>
      </c>
      <c r="AY239">
        <f>IF(ISNUMBER(VLOOKUP($A239,Haver_M!$B$1:$BZ$300,MATCH(data!AY$1,Haver_M!$B$1:$BZ$1,0),FALSE)),VLOOKUP($A239,Haver_M!$B$1:$BZ$300,MATCH(data!AY$1,Haver_M!$B$1:$BZ$1,0),FALSE),"")</f>
        <v>49.946599999999997</v>
      </c>
      <c r="AZ239">
        <f>IF(ISNUMBER(VLOOKUP($A239,Haver_M!$B$1:$BZ$300,MATCH(data!AZ$1,Haver_M!$B$1:$BZ$1,0),FALSE)),VLOOKUP($A239,Haver_M!$B$1:$BZ$300,MATCH(data!AZ$1,Haver_M!$B$1:$BZ$1,0),FALSE),"")</f>
        <v>48.407699999999998</v>
      </c>
      <c r="BA239">
        <f>IF(ISNUMBER(VLOOKUP($A239,Haver_M!$B$1:$BZ$300,MATCH(data!BA$1,Haver_M!$B$1:$BZ$1,0),FALSE)),VLOOKUP($A239,Haver_M!$B$1:$BZ$300,MATCH(data!BA$1,Haver_M!$B$1:$BZ$1,0),FALSE),"")</f>
        <v>48.921300000000002</v>
      </c>
      <c r="BB239">
        <f>IF(ISNUMBER(VLOOKUP($A239,Haver_M!$B$1:$BZ$300,MATCH(data!BB$1,Haver_M!$B$1:$BZ$1,0),FALSE)),VLOOKUP($A239,Haver_M!$B$1:$BZ$300,MATCH(data!BB$1,Haver_M!$B$1:$BZ$1,0),FALSE),"")</f>
        <v>51.676200000000001</v>
      </c>
      <c r="BC239">
        <f>IF(ISNUMBER(VLOOKUP($A239,Haver_M!$B$1:$BZ$300,MATCH(data!BC$1,Haver_M!$B$1:$BZ$1,0),FALSE)),VLOOKUP($A239,Haver_M!$B$1:$BZ$300,MATCH(data!BC$1,Haver_M!$B$1:$BZ$1,0),FALSE),"")</f>
        <v>51.297499999999999</v>
      </c>
      <c r="BD239">
        <f>IF(ISNUMBER(VLOOKUP($A239,Haver_M!$B$1:$BZ$300,MATCH(data!BD$1,Haver_M!$B$1:$BZ$1,0),FALSE)),VLOOKUP($A239,Haver_M!$B$1:$BZ$300,MATCH(data!BD$1,Haver_M!$B$1:$BZ$1,0),FALSE),"")</f>
        <v>50.777999999999999</v>
      </c>
      <c r="BE239">
        <f>IF(ISNUMBER(VLOOKUP($A239,Haver_M!$B$1:$BZ$300,MATCH(data!BE$1,Haver_M!$B$1:$BZ$1,0),FALSE)),VLOOKUP($A239,Haver_M!$B$1:$BZ$300,MATCH(data!BE$1,Haver_M!$B$1:$BZ$1,0),FALSE),"")</f>
        <v>1.1480999999999999</v>
      </c>
      <c r="BF239">
        <f>IF(ISNUMBER(VLOOKUP($A239,Haver_M!$B$1:$BZ$300,MATCH(data!BF$1,Haver_M!$B$1:$BZ$1,0),FALSE)),VLOOKUP($A239,Haver_M!$B$1:$BZ$300,MATCH(data!BF$1,Haver_M!$B$1:$BZ$1,0),FALSE),"")</f>
        <v>50.748899999999999</v>
      </c>
      <c r="BG239">
        <f>IF(ISNUMBER(VLOOKUP($A239,Haver_M!$B$1:$BZ$300,MATCH(data!BG$1,Haver_M!$B$1:$BZ$1,0),FALSE)),VLOOKUP($A239,Haver_M!$B$1:$BZ$300,MATCH(data!BG$1,Haver_M!$B$1:$BZ$1,0),FALSE),"")</f>
        <v>51.639200000000002</v>
      </c>
      <c r="BH239">
        <f>IF(ISNUMBER(VLOOKUP($A239,Haver_M!$B$1:$BZ$300,MATCH(data!BH$1,Haver_M!$B$1:$BZ$1,0),FALSE)),VLOOKUP($A239,Haver_M!$B$1:$BZ$300,MATCH(data!BH$1,Haver_M!$B$1:$BZ$1,0),FALSE),"")</f>
        <v>50.142200000000003</v>
      </c>
      <c r="BI239">
        <f>IF(ISNUMBER(VLOOKUP($A239,Haver_M!$B$1:$BZ$300,MATCH(data!BI$1,Haver_M!$B$1:$BZ$1,0),FALSE)),VLOOKUP($A239,Haver_M!$B$1:$BZ$300,MATCH(data!BI$1,Haver_M!$B$1:$BZ$1,0),FALSE),"")</f>
        <v>53.401699999999998</v>
      </c>
      <c r="BJ239">
        <f>IF(ISNUMBER(VLOOKUP($A239,Haver_M!$B$1:$BZ$300,MATCH(data!BJ$1,Haver_M!$B$1:$BZ$1,0),FALSE)),VLOOKUP($A239,Haver_M!$B$1:$BZ$300,MATCH(data!BJ$1,Haver_M!$B$1:$BZ$1,0),FALSE),"")</f>
        <v>52.004600000000003</v>
      </c>
      <c r="BK239">
        <f>IF(ISNUMBER(VLOOKUP($A239,Haver_M!$B$1:$BZ$300,MATCH(data!BK$1,Haver_M!$B$1:$BZ$1,0),FALSE)),VLOOKUP($A239,Haver_M!$B$1:$BZ$300,MATCH(data!BK$1,Haver_M!$B$1:$BZ$1,0),FALSE),"")</f>
        <v>50.692700000000002</v>
      </c>
      <c r="BL239">
        <f>IF(ISNUMBER(VLOOKUP($A239,Haver_M!$B$1:$BZ$300,MATCH(data!BL$1,Haver_M!$B$1:$BZ$1,0),FALSE)),VLOOKUP($A239,Haver_M!$B$1:$BZ$300,MATCH(data!BL$1,Haver_M!$B$1:$BZ$1,0),FALSE),"")</f>
        <v>38741.85</v>
      </c>
      <c r="BM239">
        <f>IF(ISNUMBER(VLOOKUP($A239,Haver_M!$B$1:$BZ$300,MATCH(data!BM$1,Haver_M!$B$1:$BZ$1,0),FALSE)),VLOOKUP($A239,Haver_M!$B$1:$BZ$300,MATCH(data!BM$1,Haver_M!$B$1:$BZ$1,0),FALSE),"")</f>
        <v>93.163157859999998</v>
      </c>
      <c r="BN239" t="str">
        <f>IF(ISNUMBER(VLOOKUP($A239,Haver_M!$B$1:$BZ$300,MATCH(data!BN$1,Haver_M!$B$1:$BZ$1,0),FALSE)),VLOOKUP($A239,Haver_M!$B$1:$BZ$300,MATCH(data!BN$1,Haver_M!$B$1:$BZ$1,0),FALSE),"")</f>
        <v/>
      </c>
      <c r="BO239" t="str">
        <f>IF(ISNUMBER(VLOOKUP($A239,Haver_M!$B$1:$BZ$300,MATCH(data!BO$1,Haver_M!$B$1:$BZ$1,0),FALSE)),VLOOKUP($A239,Haver_M!$B$1:$BZ$300,MATCH(data!BO$1,Haver_M!$B$1:$BZ$1,0),FALSE),"")</f>
        <v/>
      </c>
      <c r="BP239" t="str">
        <f>IF(ISNUMBER(VLOOKUP($A239,Haver_M!$B$1:$BZ$300,MATCH(data!BP$1,Haver_M!$B$1:$BZ$1,0),FALSE)),VLOOKUP($A239,Haver_M!$B$1:$BZ$300,MATCH(data!BP$1,Haver_M!$B$1:$BZ$1,0),FALSE),"")</f>
        <v/>
      </c>
      <c r="BQ239">
        <f>IF(ISNUMBER(VLOOKUP($A239,Haver_M!$B$1:$BZ$300,MATCH(data!BQ$1,Haver_M!$B$1:$BZ$1,0),FALSE)),VLOOKUP($A239,Haver_M!$B$1:$BZ$300,MATCH(data!BQ$1,Haver_M!$B$1:$BZ$1,0),FALSE),"")</f>
        <v>336.3885393176181</v>
      </c>
      <c r="BR239">
        <f>IF(ISNUMBER(VLOOKUP($A239,Haver_M!$B$1:$BZ$300,MATCH(data!BR$1,Haver_M!$B$1:$BZ$1,0),FALSE)),VLOOKUP($A239,Haver_M!$B$1:$BZ$300,MATCH(data!BR$1,Haver_M!$B$1:$BZ$1,0),FALSE),"")</f>
        <v>392.28245170989618</v>
      </c>
      <c r="BS239">
        <f>IF(ISNUMBER(VLOOKUP($A239,Haver_M!$B$1:$BZ$300,MATCH(data!BS$1,Haver_M!$B$1:$BZ$1,0),FALSE)),VLOOKUP($A239,Haver_M!$B$1:$BZ$300,MATCH(data!BS$1,Haver_M!$B$1:$BZ$1,0),FALSE),"")</f>
        <v>331.14271798466768</v>
      </c>
      <c r="BT239">
        <f>IF(ISNUMBER(VLOOKUP($A239,Haver_M!$B$1:$BZ$300,MATCH(data!BT$1,Haver_M!$B$1:$BZ$1,0),FALSE)),VLOOKUP($A239,Haver_M!$B$1:$BZ$300,MATCH(data!BT$1,Haver_M!$B$1:$BZ$1,0),FALSE),"")</f>
        <v>1219.5425355506945</v>
      </c>
      <c r="BU239">
        <f>IF(ISNUMBER(VLOOKUP($A239,Haver_M!$B$1:$BZ$300,MATCH(data!BU$1,Haver_M!$B$1:$BZ$1,0),FALSE)),VLOOKUP($A239,Haver_M!$B$1:$BZ$300,MATCH(data!BU$1,Haver_M!$B$1:$BZ$1,0),FALSE),"")</f>
        <v>26481.99</v>
      </c>
      <c r="BV239">
        <f>IF(ISNUMBER(VLOOKUP($A239,Haver_M!$B$1:$BZ$300,MATCH(data!BV$1,Haver_M!$B$1:$BZ$1,0),FALSE)),VLOOKUP($A239,Haver_M!$B$1:$BZ$300,MATCH(data!BV$1,Haver_M!$B$1:$BZ$1,0),FALSE),"")</f>
        <v>37405.58</v>
      </c>
      <c r="BW239">
        <f>IF(ISNUMBER(VLOOKUP($A239,Haver_M!$B$1:$BZ$300,MATCH(data!BW$1,Haver_M!$B$1:$BZ$1,0),FALSE)),VLOOKUP($A239,Haver_M!$B$1:$BZ$300,MATCH(data!BW$1,Haver_M!$B$1:$BZ$1,0),FALSE),"")</f>
        <v>71.039400000000001</v>
      </c>
      <c r="BX239">
        <f>IF(ISNUMBER(VLOOKUP($A239,Haver_M!$B$1:$BZ$300,MATCH(data!BX$1,Haver_M!$B$1:$BZ$1,0),FALSE)),VLOOKUP($A239,Haver_M!$B$1:$BZ$300,MATCH(data!BX$1,Haver_M!$B$1:$BZ$1,0),FALSE),"")</f>
        <v>80524</v>
      </c>
    </row>
    <row r="240" spans="1:76" x14ac:dyDescent="0.25">
      <c r="A240" s="2">
        <v>43799</v>
      </c>
      <c r="B240" t="str">
        <f>IF(ISNUMBER(VLOOKUP($A240,Haver_Q!$B$1:$L$185,MATCH(data!B$1,Haver_Q!$B$1:$L$1,0),FALSE)),100*(VLOOKUP($A240,Haver_Q!$B$1:$L$185,MATCH(data!B$1,Haver_Q!$B$1:$L$1,0),FALSE)),"")</f>
        <v/>
      </c>
      <c r="C240" t="str">
        <f>IF(ISNUMBER(VLOOKUP($A240,Haver_Q!$B$1:$L$185,MATCH(data!C$1,Haver_Q!$B$1:$L$1,0),FALSE)),100*(VLOOKUP($A240,Haver_Q!$B$1:$L$185,MATCH(data!C$1,Haver_Q!$B$1:$L$1,0),FALSE)),"")</f>
        <v/>
      </c>
      <c r="D240" t="str">
        <f>IF(ISNUMBER(VLOOKUP($A240,Haver_Q!$B$1:$L$185,MATCH(data!D$1,Haver_Q!$B$1:$L$1,0),FALSE)),100*(VLOOKUP($A240,Haver_Q!$B$1:$L$185,MATCH(data!D$1,Haver_Q!$B$1:$L$1,0),FALSE)),"")</f>
        <v/>
      </c>
      <c r="E240" t="str">
        <f>IF(ISNUMBER(VLOOKUP($A240,Haver_Q!$B$1:$L$185,MATCH(data!E$1,Haver_Q!$B$1:$L$1,0),FALSE)),100*(VLOOKUP($A240,Haver_Q!$B$1:$L$185,MATCH(data!E$1,Haver_Q!$B$1:$L$1,0),FALSE)),"")</f>
        <v/>
      </c>
      <c r="F240" t="str">
        <f>IF(ISNUMBER(VLOOKUP($A240,Haver_Q!$B$1:$L$185,MATCH(data!F$1,Haver_Q!$B$1:$L$1,0),FALSE)),100*(VLOOKUP($A240,Haver_Q!$B$1:$L$185,MATCH(data!F$1,Haver_Q!$B$1:$L$1,0),FALSE)),"")</f>
        <v/>
      </c>
      <c r="G240" t="str">
        <f>IF(ISNUMBER(VLOOKUP($A240,Haver_Q!$B$1:$L$185,MATCH(data!G$1,Haver_Q!$B$1:$L$1,0),FALSE)),100*(VLOOKUP($A240,Haver_Q!$B$1:$L$185,MATCH(data!G$1,Haver_Q!$B$1:$L$1,0),FALSE)),"")</f>
        <v/>
      </c>
      <c r="H240" t="str">
        <f>IF(ISNUMBER(VLOOKUP($A240,Haver_Q!$B$1:$L$185,MATCH(data!H$1,Haver_Q!$B$1:$L$1,0),FALSE)),(VLOOKUP($A240,Haver_Q!$B$1:$L$185,MATCH(data!H$1,Haver_Q!$B$1:$L$1,0),FALSE)),"")</f>
        <v/>
      </c>
      <c r="I240" t="str">
        <f>IF(ISNUMBER(VLOOKUP($A240,Haver_Q!$B$1:$L$185,MATCH(data!I$1,Haver_Q!$B$1:$L$1,0),FALSE)),100*(VLOOKUP($A240,Haver_Q!$B$1:$L$185,MATCH(data!I$1,Haver_Q!$B$1:$L$1,0),FALSE)),"")</f>
        <v/>
      </c>
      <c r="J240" s="3">
        <f>IF(ISNUMBER(Bloomberg_m!C256),Bloomberg_m!C256,"")</f>
        <v>1419</v>
      </c>
      <c r="K240" s="3">
        <f>IF(ISNUMBER(Bloomberg_m!D256),Bloomberg_m!D256,"")</f>
        <v>1390.06</v>
      </c>
      <c r="L240" s="3">
        <f>IF(ISNUMBER(Bloomberg_m!E256),Bloomberg_m!E256,"")</f>
        <v>813.6</v>
      </c>
      <c r="M240" s="3">
        <f>IF(ISNUMBER(Bloomberg_m!F256),Bloomberg_m!F256,"")</f>
        <v>478.61</v>
      </c>
      <c r="N240">
        <f>IF(ISNUMBER(VLOOKUP($A240,Haver_M!$B$1:$BZ$300,MATCH(data!N$1,Haver_M!$B$1:$BZ$1,0),FALSE)),VLOOKUP($A240,Haver_M!$B$1:$BZ$300,MATCH(data!N$1,Haver_M!$B$1:$BZ$1,0),FALSE),"")</f>
        <v>5.15</v>
      </c>
      <c r="O240">
        <f>IF(ISNUMBER(VLOOKUP($A240,Haver_M!$B$1:$BZ$300,MATCH(data!O$1,Haver_M!$B$1:$BZ$1,0),FALSE)),VLOOKUP($A240,Haver_M!$B$1:$BZ$300,MATCH(data!O$1,Haver_M!$B$1:$BZ$1,0),FALSE),"")</f>
        <v>6.5906000000000002</v>
      </c>
      <c r="P240">
        <f>IF(ISNUMBER(VLOOKUP($A240,Haver_M!$B$1:$BZ$300,MATCH(data!P$1,Haver_M!$B$1:$BZ$1,0),FALSE)),VLOOKUP($A240,Haver_M!$B$1:$BZ$300,MATCH(data!P$1,Haver_M!$B$1:$BZ$1,0),FALSE),"")</f>
        <v>91.731579999999994</v>
      </c>
      <c r="Q240">
        <f>IF(ISNUMBER(VLOOKUP($A240,Haver_M!$B$1:$BZ$300,MATCH(data!Q$1,Haver_M!$B$1:$BZ$1,0),FALSE)),VLOOKUP($A240,Haver_M!$B$1:$BZ$300,MATCH(data!Q$1,Haver_M!$B$1:$BZ$1,0),FALSE),"")</f>
        <v>148.6</v>
      </c>
      <c r="R240">
        <f>IF(ISNUMBER(VLOOKUP($A240,Haver_M!$B$1:$BZ$300,MATCH(data!R$1,Haver_M!$B$1:$BZ$1,0),FALSE)),VLOOKUP($A240,Haver_M!$B$1:$BZ$300,MATCH(data!R$1,Haver_M!$B$1:$BZ$1,0),FALSE),"")</f>
        <v>148.30000000000001</v>
      </c>
      <c r="S240">
        <f>IF(ISNUMBER(VLOOKUP($A240,Haver_M!$B$1:$BZ$300,MATCH(data!S$1,Haver_M!$B$1:$BZ$1,0),FALSE)),VLOOKUP($A240,Haver_M!$B$1:$BZ$300,MATCH(data!S$1,Haver_M!$B$1:$BZ$1,0),FALSE),"")</f>
        <v>131.57</v>
      </c>
      <c r="T240">
        <f>IF(ISNUMBER(VLOOKUP($A240,Haver_M!$B$1:$BZ$300,MATCH(data!T$1,Haver_M!$B$1:$BZ$1,0),FALSE)),VLOOKUP($A240,Haver_M!$B$1:$BZ$300,MATCH(data!T$1,Haver_M!$B$1:$BZ$1,0),FALSE),"")</f>
        <v>125.89</v>
      </c>
      <c r="U240">
        <f>IF(ISNUMBER(VLOOKUP($A240,Haver_M!$B$1:$BZ$300,MATCH(data!U$1,Haver_M!$B$1:$BZ$1,0),FALSE)),VLOOKUP($A240,Haver_M!$B$1:$BZ$300,MATCH(data!U$1,Haver_M!$B$1:$BZ$1,0),FALSE),"")</f>
        <v>95.83</v>
      </c>
      <c r="V240">
        <f>IF(ISNUMBER(VLOOKUP($A240,Haver_M!$B$1:$BZ$300,MATCH(data!V$1,Haver_M!$B$1:$BZ$1,0),FALSE)),VLOOKUP($A240,Haver_M!$B$1:$BZ$300,MATCH(data!V$1,Haver_M!$B$1:$BZ$1,0),FALSE),"")</f>
        <v>143.11000000000001</v>
      </c>
      <c r="W240">
        <f>IF(ISNUMBER(VLOOKUP($A240,Haver_M!$B$1:$BZ$300,MATCH(data!W$1,Haver_M!$B$1:$BZ$1,0),FALSE)),VLOOKUP($A240,Haver_M!$B$1:$BZ$300,MATCH(data!W$1,Haver_M!$B$1:$BZ$1,0),FALSE),"")</f>
        <v>139.77000000000001</v>
      </c>
      <c r="X240">
        <f>IF(ISNUMBER(VLOOKUP($A240,Haver_M!$B$1:$BZ$300,MATCH(data!X$1,Haver_M!$B$1:$BZ$1,0),FALSE)),VLOOKUP($A240,Haver_M!$B$1:$BZ$300,MATCH(data!X$1,Haver_M!$B$1:$BZ$1,0),FALSE),"")</f>
        <v>119.65</v>
      </c>
      <c r="Y240">
        <f>IF(ISNUMBER(VLOOKUP($A240,Haver_M!$B$1:$BZ$300,MATCH(data!Y$1,Haver_M!$B$1:$BZ$1,0),FALSE)),VLOOKUP($A240,Haver_M!$B$1:$BZ$300,MATCH(data!Y$1,Haver_M!$B$1:$BZ$1,0),FALSE),"")</f>
        <v>149.27000000000001</v>
      </c>
      <c r="Z240">
        <f>IF(ISNUMBER(VLOOKUP($A240,Haver_M!$B$1:$BZ$300,MATCH(data!Z$1,Haver_M!$B$1:$BZ$1,0),FALSE)),VLOOKUP($A240,Haver_M!$B$1:$BZ$300,MATCH(data!Z$1,Haver_M!$B$1:$BZ$1,0),FALSE),"")</f>
        <v>130.69999999999999</v>
      </c>
      <c r="AA240">
        <f>IF(ISNUMBER(VLOOKUP($A240,Haver_M!$B$1:$BZ$300,MATCH(data!AA$1,Haver_M!$B$1:$BZ$1,0),FALSE)),VLOOKUP($A240,Haver_M!$B$1:$BZ$300,MATCH(data!AA$1,Haver_M!$B$1:$BZ$1,0),FALSE),"")</f>
        <v>127.072</v>
      </c>
      <c r="AB240">
        <f>IF(ISNUMBER(VLOOKUP($A240,Haver_M!$B$1:$BZ$300,MATCH(data!AB$1,Haver_M!$B$1:$BZ$1,0),FALSE)),VLOOKUP($A240,Haver_M!$B$1:$BZ$300,MATCH(data!AB$1,Haver_M!$B$1:$BZ$1,0),FALSE),"")</f>
        <v>84.299000000000007</v>
      </c>
      <c r="AC240">
        <f>IF(ISNUMBER(VLOOKUP($A240,Haver_M!$B$1:$BZ$300,MATCH(data!AC$1,Haver_M!$B$1:$BZ$1,0),FALSE)),VLOOKUP($A240,Haver_M!$B$1:$BZ$300,MATCH(data!AC$1,Haver_M!$B$1:$BZ$1,0),FALSE),"")</f>
        <v>64.438000000000002</v>
      </c>
      <c r="AD240">
        <f>IF(ISNUMBER(VLOOKUP($A240,Haver_M!$B$1:$BZ$300,MATCH(data!AD$1,Haver_M!$B$1:$BZ$1,0),FALSE)),VLOOKUP($A240,Haver_M!$B$1:$BZ$300,MATCH(data!AD$1,Haver_M!$B$1:$BZ$1,0),FALSE),"")</f>
        <v>134.149</v>
      </c>
      <c r="AE240">
        <f>IF(ISNUMBER(VLOOKUP($A240,Haver_M!$B$1:$BZ$300,MATCH(data!AE$1,Haver_M!$B$1:$BZ$1,0),FALSE)),VLOOKUP($A240,Haver_M!$B$1:$BZ$300,MATCH(data!AE$1,Haver_M!$B$1:$BZ$1,0),FALSE),"")</f>
        <v>111.875</v>
      </c>
      <c r="AF240">
        <f>IF(ISNUMBER(VLOOKUP($A240,Haver_M!$B$1:$BZ$300,MATCH(data!AF$1,Haver_M!$B$1:$BZ$1,0),FALSE)),VLOOKUP($A240,Haver_M!$B$1:$BZ$300,MATCH(data!AF$1,Haver_M!$B$1:$BZ$1,0),FALSE),"")</f>
        <v>151.595</v>
      </c>
      <c r="AG240">
        <f>IF(ISNUMBER(VLOOKUP($A240,Haver_M!$B$1:$BZ$300,MATCH(data!AG$1,Haver_M!$B$1:$BZ$1,0),FALSE)),VLOOKUP($A240,Haver_M!$B$1:$BZ$300,MATCH(data!AG$1,Haver_M!$B$1:$BZ$1,0),FALSE),"")</f>
        <v>153.09100000000001</v>
      </c>
      <c r="AH240">
        <f>IF(ISNUMBER(VLOOKUP($A240,Haver_M!$B$1:$BZ$300,MATCH(data!AH$1,Haver_M!$B$1:$BZ$1,0),FALSE)),VLOOKUP($A240,Haver_M!$B$1:$BZ$300,MATCH(data!AH$1,Haver_M!$B$1:$BZ$1,0),FALSE),"")</f>
        <v>149.756</v>
      </c>
      <c r="AI240">
        <f>IF(ISNUMBER(VLOOKUP($A240,Haver_M!$B$1:$BZ$300,MATCH(data!AI$1,Haver_M!$B$1:$BZ$1,0),FALSE)),VLOOKUP($A240,Haver_M!$B$1:$BZ$300,MATCH(data!AI$1,Haver_M!$B$1:$BZ$1,0),FALSE),"")</f>
        <v>18140.624970797671</v>
      </c>
      <c r="AJ240">
        <f>IF(ISNUMBER(VLOOKUP($A240,Haver_M!$B$1:$BZ$300,MATCH(data!AJ$1,Haver_M!$B$1:$BZ$1,0),FALSE)),VLOOKUP($A240,Haver_M!$B$1:$BZ$300,MATCH(data!AJ$1,Haver_M!$B$1:$BZ$1,0),FALSE),"")</f>
        <v>27114.26</v>
      </c>
      <c r="AK240">
        <f>IF(ISNUMBER(VLOOKUP($A240,Haver_M!$B$1:$BZ$300,MATCH(data!AK$1,Haver_M!$B$1:$BZ$1,0),FALSE)),VLOOKUP($A240,Haver_M!$B$1:$BZ$300,MATCH(data!AK$1,Haver_M!$B$1:$BZ$1,0),FALSE),"")</f>
        <v>37753.519999999997</v>
      </c>
      <c r="AL240">
        <f>IF(ISNUMBER(VLOOKUP($A240,Haver_M!$B$1:$BZ$300,MATCH(data!AL$1,Haver_M!$B$1:$BZ$1,0),FALSE)),VLOOKUP($A240,Haver_M!$B$1:$BZ$300,MATCH(data!AL$1,Haver_M!$B$1:$BZ$1,0),FALSE),"")</f>
        <v>17996</v>
      </c>
      <c r="AM240">
        <f>IF(ISNUMBER(VLOOKUP($A240,Haver_M!$B$1:$BZ$300,MATCH(data!AM$1,Haver_M!$B$1:$BZ$1,0),FALSE)),VLOOKUP($A240,Haver_M!$B$1:$BZ$300,MATCH(data!AM$1,Haver_M!$B$1:$BZ$1,0),FALSE),"")</f>
        <v>11472</v>
      </c>
      <c r="AN240">
        <f>IF(ISNUMBER(VLOOKUP($A240,Haver_M!$B$1:$BZ$300,MATCH(data!AN$1,Haver_M!$B$1:$BZ$1,0),FALSE)),VLOOKUP($A240,Haver_M!$B$1:$BZ$300,MATCH(data!AN$1,Haver_M!$B$1:$BZ$1,0),FALSE),"")</f>
        <v>85.7</v>
      </c>
      <c r="AO240">
        <f>IF(ISNUMBER(VLOOKUP($A240,Haver_M!$B$1:$BZ$300,MATCH(data!AO$1,Haver_M!$B$1:$BZ$1,0),FALSE)),VLOOKUP($A240,Haver_M!$B$1:$BZ$300,MATCH(data!AO$1,Haver_M!$B$1:$BZ$1,0),FALSE),"")</f>
        <v>114.5</v>
      </c>
      <c r="AP240">
        <f>IF(ISNUMBER(VLOOKUP($A240,Haver_M!$B$1:$BZ$300,MATCH(data!AP$1,Haver_M!$B$1:$BZ$1,0),FALSE)),VLOOKUP($A240,Haver_M!$B$1:$BZ$300,MATCH(data!AP$1,Haver_M!$B$1:$BZ$1,0),FALSE),"")</f>
        <v>52.852477615153759</v>
      </c>
      <c r="AQ240">
        <f>IF(ISNUMBER(VLOOKUP($A240,Haver_M!$B$1:$BZ$300,MATCH(data!AQ$1,Haver_M!$B$1:$BZ$1,0),FALSE)),VLOOKUP($A240,Haver_M!$B$1:$BZ$300,MATCH(data!AQ$1,Haver_M!$B$1:$BZ$1,0),FALSE),"")</f>
        <v>52.711500000000001</v>
      </c>
      <c r="AR240">
        <f>IF(ISNUMBER(VLOOKUP($A240,Haver_M!$B$1:$BZ$300,MATCH(data!AR$1,Haver_M!$B$1:$BZ$1,0),FALSE)),VLOOKUP($A240,Haver_M!$B$1:$BZ$300,MATCH(data!AR$1,Haver_M!$B$1:$BZ$1,0),FALSE),"")</f>
        <v>51.177900000000001</v>
      </c>
      <c r="AS240">
        <f>IF(ISNUMBER(VLOOKUP($A240,Haver_M!$B$1:$BZ$300,MATCH(data!AS$1,Haver_M!$B$1:$BZ$1,0),FALSE)),VLOOKUP($A240,Haver_M!$B$1:$BZ$300,MATCH(data!AS$1,Haver_M!$B$1:$BZ$1,0),FALSE),"")</f>
        <v>52.728700000000003</v>
      </c>
      <c r="AT240">
        <f>IF(ISNUMBER(VLOOKUP($A240,Haver_M!$B$1:$BZ$300,MATCH(data!AT$1,Haver_M!$B$1:$BZ$1,0),FALSE)),VLOOKUP($A240,Haver_M!$B$1:$BZ$300,MATCH(data!AT$1,Haver_M!$B$1:$BZ$1,0),FALSE),"")</f>
        <v>52.674700000000001</v>
      </c>
      <c r="AU240">
        <f>IF(ISNUMBER(VLOOKUP($A240,Haver_M!$B$1:$BZ$300,MATCH(data!AU$1,Haver_M!$B$1:$BZ$1,0),FALSE)),VLOOKUP($A240,Haver_M!$B$1:$BZ$300,MATCH(data!AU$1,Haver_M!$B$1:$BZ$1,0),FALSE),"")</f>
        <v>52.025399999999998</v>
      </c>
      <c r="AV240">
        <f>IF(ISNUMBER(VLOOKUP($A240,Haver_M!$B$1:$BZ$300,MATCH(data!AV$1,Haver_M!$B$1:$BZ$1,0),FALSE)),VLOOKUP($A240,Haver_M!$B$1:$BZ$300,MATCH(data!AV$1,Haver_M!$B$1:$BZ$1,0),FALSE),"")</f>
        <v>49.815199999999997</v>
      </c>
      <c r="AW240">
        <f>IF(ISNUMBER(VLOOKUP($A240,Haver_M!$B$1:$BZ$300,MATCH(data!AW$1,Haver_M!$B$1:$BZ$1,0),FALSE)),VLOOKUP($A240,Haver_M!$B$1:$BZ$300,MATCH(data!AW$1,Haver_M!$B$1:$BZ$1,0),FALSE),"")</f>
        <v>50.196899999999999</v>
      </c>
      <c r="AX240">
        <f>IF(ISNUMBER(VLOOKUP($A240,Haver_M!$B$1:$BZ$300,MATCH(data!AX$1,Haver_M!$B$1:$BZ$1,0),FALSE)),VLOOKUP($A240,Haver_M!$B$1:$BZ$300,MATCH(data!AX$1,Haver_M!$B$1:$BZ$1,0),FALSE),"")</f>
        <v>49.681100000000001</v>
      </c>
      <c r="AY240">
        <f>IF(ISNUMBER(VLOOKUP($A240,Haver_M!$B$1:$BZ$300,MATCH(data!AY$1,Haver_M!$B$1:$BZ$1,0),FALSE)),VLOOKUP($A240,Haver_M!$B$1:$BZ$300,MATCH(data!AY$1,Haver_M!$B$1:$BZ$1,0),FALSE),"")</f>
        <v>51.422899999999998</v>
      </c>
      <c r="AZ240">
        <f>IF(ISNUMBER(VLOOKUP($A240,Haver_M!$B$1:$BZ$300,MATCH(data!AZ$1,Haver_M!$B$1:$BZ$1,0),FALSE)),VLOOKUP($A240,Haver_M!$B$1:$BZ$300,MATCH(data!AZ$1,Haver_M!$B$1:$BZ$1,0),FALSE),"")</f>
        <v>49.6845</v>
      </c>
      <c r="BA240">
        <f>IF(ISNUMBER(VLOOKUP($A240,Haver_M!$B$1:$BZ$300,MATCH(data!BA$1,Haver_M!$B$1:$BZ$1,0),FALSE)),VLOOKUP($A240,Haver_M!$B$1:$BZ$300,MATCH(data!BA$1,Haver_M!$B$1:$BZ$1,0),FALSE),"")</f>
        <v>49.681100000000001</v>
      </c>
      <c r="BB240">
        <f>IF(ISNUMBER(VLOOKUP($A240,Haver_M!$B$1:$BZ$300,MATCH(data!BB$1,Haver_M!$B$1:$BZ$1,0),FALSE)),VLOOKUP($A240,Haver_M!$B$1:$BZ$300,MATCH(data!BB$1,Haver_M!$B$1:$BZ$1,0),FALSE),"")</f>
        <v>51.306100000000001</v>
      </c>
      <c r="BC240">
        <f>IF(ISNUMBER(VLOOKUP($A240,Haver_M!$B$1:$BZ$300,MATCH(data!BC$1,Haver_M!$B$1:$BZ$1,0),FALSE)),VLOOKUP($A240,Haver_M!$B$1:$BZ$300,MATCH(data!BC$1,Haver_M!$B$1:$BZ$1,0),FALSE),"")</f>
        <v>51.770299999999999</v>
      </c>
      <c r="BD240">
        <f>IF(ISNUMBER(VLOOKUP($A240,Haver_M!$B$1:$BZ$300,MATCH(data!BD$1,Haver_M!$B$1:$BZ$1,0),FALSE)),VLOOKUP($A240,Haver_M!$B$1:$BZ$300,MATCH(data!BD$1,Haver_M!$B$1:$BZ$1,0),FALSE),"")</f>
        <v>50.177100000000003</v>
      </c>
      <c r="BE240">
        <f>IF(ISNUMBER(VLOOKUP($A240,Haver_M!$B$1:$BZ$300,MATCH(data!BE$1,Haver_M!$B$1:$BZ$1,0),FALSE)),VLOOKUP($A240,Haver_M!$B$1:$BZ$300,MATCH(data!BE$1,Haver_M!$B$1:$BZ$1,0),FALSE),"")</f>
        <v>1.1483000000000001</v>
      </c>
      <c r="BF240">
        <f>IF(ISNUMBER(VLOOKUP($A240,Haver_M!$B$1:$BZ$300,MATCH(data!BF$1,Haver_M!$B$1:$BZ$1,0),FALSE)),VLOOKUP($A240,Haver_M!$B$1:$BZ$300,MATCH(data!BF$1,Haver_M!$B$1:$BZ$1,0),FALSE),"")</f>
        <v>51.553800000000003</v>
      </c>
      <c r="BG240">
        <f>IF(ISNUMBER(VLOOKUP($A240,Haver_M!$B$1:$BZ$300,MATCH(data!BG$1,Haver_M!$B$1:$BZ$1,0),FALSE)),VLOOKUP($A240,Haver_M!$B$1:$BZ$300,MATCH(data!BG$1,Haver_M!$B$1:$BZ$1,0),FALSE),"")</f>
        <v>51.408900000000003</v>
      </c>
      <c r="BH240">
        <f>IF(ISNUMBER(VLOOKUP($A240,Haver_M!$B$1:$BZ$300,MATCH(data!BH$1,Haver_M!$B$1:$BZ$1,0),FALSE)),VLOOKUP($A240,Haver_M!$B$1:$BZ$300,MATCH(data!BH$1,Haver_M!$B$1:$BZ$1,0),FALSE),"")</f>
        <v>53.210099999999997</v>
      </c>
      <c r="BI240">
        <f>IF(ISNUMBER(VLOOKUP($A240,Haver_M!$B$1:$BZ$300,MATCH(data!BI$1,Haver_M!$B$1:$BZ$1,0),FALSE)),VLOOKUP($A240,Haver_M!$B$1:$BZ$300,MATCH(data!BI$1,Haver_M!$B$1:$BZ$1,0),FALSE),"")</f>
        <v>53.881500000000003</v>
      </c>
      <c r="BJ240">
        <f>IF(ISNUMBER(VLOOKUP($A240,Haver_M!$B$1:$BZ$300,MATCH(data!BJ$1,Haver_M!$B$1:$BZ$1,0),FALSE)),VLOOKUP($A240,Haver_M!$B$1:$BZ$300,MATCH(data!BJ$1,Haver_M!$B$1:$BZ$1,0),FALSE),"")</f>
        <v>52.222299999999997</v>
      </c>
      <c r="BK240">
        <f>IF(ISNUMBER(VLOOKUP($A240,Haver_M!$B$1:$BZ$300,MATCH(data!BK$1,Haver_M!$B$1:$BZ$1,0),FALSE)),VLOOKUP($A240,Haver_M!$B$1:$BZ$300,MATCH(data!BK$1,Haver_M!$B$1:$BZ$1,0),FALSE),"")</f>
        <v>51.530700000000003</v>
      </c>
      <c r="BL240">
        <f>IF(ISNUMBER(VLOOKUP($A240,Haver_M!$B$1:$BZ$300,MATCH(data!BL$1,Haver_M!$B$1:$BZ$1,0),FALSE)),VLOOKUP($A240,Haver_M!$B$1:$BZ$300,MATCH(data!BL$1,Haver_M!$B$1:$BZ$1,0),FALSE),"")</f>
        <v>40513.089999999997</v>
      </c>
      <c r="BM240">
        <f>IF(ISNUMBER(VLOOKUP($A240,Haver_M!$B$1:$BZ$300,MATCH(data!BM$1,Haver_M!$B$1:$BZ$1,0),FALSE)),VLOOKUP($A240,Haver_M!$B$1:$BZ$300,MATCH(data!BM$1,Haver_M!$B$1:$BZ$1,0),FALSE),"")</f>
        <v>94.067944060000002</v>
      </c>
      <c r="BN240" t="str">
        <f>IF(ISNUMBER(VLOOKUP($A240,Haver_M!$B$1:$BZ$300,MATCH(data!BN$1,Haver_M!$B$1:$BZ$1,0),FALSE)),VLOOKUP($A240,Haver_M!$B$1:$BZ$300,MATCH(data!BN$1,Haver_M!$B$1:$BZ$1,0),FALSE),"")</f>
        <v/>
      </c>
      <c r="BO240" t="str">
        <f>IF(ISNUMBER(VLOOKUP($A240,Haver_M!$B$1:$BZ$300,MATCH(data!BO$1,Haver_M!$B$1:$BZ$1,0),FALSE)),VLOOKUP($A240,Haver_M!$B$1:$BZ$300,MATCH(data!BO$1,Haver_M!$B$1:$BZ$1,0),FALSE),"")</f>
        <v/>
      </c>
      <c r="BP240" t="str">
        <f>IF(ISNUMBER(VLOOKUP($A240,Haver_M!$B$1:$BZ$300,MATCH(data!BP$1,Haver_M!$B$1:$BZ$1,0),FALSE)),VLOOKUP($A240,Haver_M!$B$1:$BZ$300,MATCH(data!BP$1,Haver_M!$B$1:$BZ$1,0),FALSE),"")</f>
        <v/>
      </c>
      <c r="BQ240">
        <f>IF(ISNUMBER(VLOOKUP($A240,Haver_M!$B$1:$BZ$300,MATCH(data!BQ$1,Haver_M!$B$1:$BZ$1,0),FALSE)),VLOOKUP($A240,Haver_M!$B$1:$BZ$300,MATCH(data!BQ$1,Haver_M!$B$1:$BZ$1,0),FALSE),"")</f>
        <v>336.54916538024986</v>
      </c>
      <c r="BR240">
        <f>IF(ISNUMBER(VLOOKUP($A240,Haver_M!$B$1:$BZ$300,MATCH(data!BR$1,Haver_M!$B$1:$BZ$1,0),FALSE)),VLOOKUP($A240,Haver_M!$B$1:$BZ$300,MATCH(data!BR$1,Haver_M!$B$1:$BZ$1,0),FALSE),"")</f>
        <v>387.98908913293872</v>
      </c>
      <c r="BS240">
        <f>IF(ISNUMBER(VLOOKUP($A240,Haver_M!$B$1:$BZ$300,MATCH(data!BS$1,Haver_M!$B$1:$BZ$1,0),FALSE)),VLOOKUP($A240,Haver_M!$B$1:$BZ$300,MATCH(data!BS$1,Haver_M!$B$1:$BZ$1,0),FALSE),"")</f>
        <v>330.70675715203419</v>
      </c>
      <c r="BT240">
        <f>IF(ISNUMBER(VLOOKUP($A240,Haver_M!$B$1:$BZ$300,MATCH(data!BT$1,Haver_M!$B$1:$BZ$1,0),FALSE)),VLOOKUP($A240,Haver_M!$B$1:$BZ$300,MATCH(data!BT$1,Haver_M!$B$1:$BZ$1,0),FALSE),"")</f>
        <v>1213.9540416813036</v>
      </c>
      <c r="BU240">
        <f>IF(ISNUMBER(VLOOKUP($A240,Haver_M!$B$1:$BZ$300,MATCH(data!BU$1,Haver_M!$B$1:$BZ$1,0),FALSE)),VLOOKUP($A240,Haver_M!$B$1:$BZ$300,MATCH(data!BU$1,Haver_M!$B$1:$BZ$1,0),FALSE),"")</f>
        <v>25941.95</v>
      </c>
      <c r="BV240">
        <f>IF(ISNUMBER(VLOOKUP($A240,Haver_M!$B$1:$BZ$300,MATCH(data!BV$1,Haver_M!$B$1:$BZ$1,0),FALSE)),VLOOKUP($A240,Haver_M!$B$1:$BZ$300,MATCH(data!BV$1,Haver_M!$B$1:$BZ$1,0),FALSE),"")</f>
        <v>38105.86</v>
      </c>
      <c r="BW240">
        <f>IF(ISNUMBER(VLOOKUP($A240,Haver_M!$B$1:$BZ$300,MATCH(data!BW$1,Haver_M!$B$1:$BZ$1,0),FALSE)),VLOOKUP($A240,Haver_M!$B$1:$BZ$300,MATCH(data!BW$1,Haver_M!$B$1:$BZ$1,0),FALSE),"")</f>
        <v>71.451700000000002</v>
      </c>
      <c r="BX240">
        <f>IF(ISNUMBER(VLOOKUP($A240,Haver_M!$B$1:$BZ$300,MATCH(data!BX$1,Haver_M!$B$1:$BZ$1,0),FALSE)),VLOOKUP($A240,Haver_M!$B$1:$BZ$300,MATCH(data!BX$1,Haver_M!$B$1:$BZ$1,0),FALSE),"")</f>
        <v>82686</v>
      </c>
    </row>
    <row r="241" spans="1:76" x14ac:dyDescent="0.25">
      <c r="A241" s="2">
        <v>43830</v>
      </c>
      <c r="B241" t="str">
        <f>IF(ISNUMBER(VLOOKUP($A241,Haver_Q!$B$1:$L$185,MATCH(data!B$1,Haver_Q!$B$1:$L$1,0),FALSE)),100*(VLOOKUP($A241,Haver_Q!$B$1:$L$185,MATCH(data!B$1,Haver_Q!$B$1:$L$1,0),FALSE)),"")</f>
        <v/>
      </c>
      <c r="C241" t="str">
        <f>IF(ISNUMBER(VLOOKUP($A241,Haver_Q!$B$1:$L$185,MATCH(data!C$1,Haver_Q!$B$1:$L$1,0),FALSE)),100*(VLOOKUP($A241,Haver_Q!$B$1:$L$185,MATCH(data!C$1,Haver_Q!$B$1:$L$1,0),FALSE)),"")</f>
        <v/>
      </c>
      <c r="D241" t="str">
        <f>IF(ISNUMBER(VLOOKUP($A241,Haver_Q!$B$1:$L$185,MATCH(data!D$1,Haver_Q!$B$1:$L$1,0),FALSE)),100*(VLOOKUP($A241,Haver_Q!$B$1:$L$185,MATCH(data!D$1,Haver_Q!$B$1:$L$1,0),FALSE)),"")</f>
        <v/>
      </c>
      <c r="E241" t="str">
        <f>IF(ISNUMBER(VLOOKUP($A241,Haver_Q!$B$1:$L$185,MATCH(data!E$1,Haver_Q!$B$1:$L$1,0),FALSE)),100*(VLOOKUP($A241,Haver_Q!$B$1:$L$185,MATCH(data!E$1,Haver_Q!$B$1:$L$1,0),FALSE)),"")</f>
        <v/>
      </c>
      <c r="F241" t="str">
        <f>IF(ISNUMBER(VLOOKUP($A241,Haver_Q!$B$1:$L$185,MATCH(data!F$1,Haver_Q!$B$1:$L$1,0),FALSE)),100*(VLOOKUP($A241,Haver_Q!$B$1:$L$185,MATCH(data!F$1,Haver_Q!$B$1:$L$1,0),FALSE)),"")</f>
        <v/>
      </c>
      <c r="G241" t="str">
        <f>IF(ISNUMBER(VLOOKUP($A241,Haver_Q!$B$1:$L$185,MATCH(data!G$1,Haver_Q!$B$1:$L$1,0),FALSE)),100*(VLOOKUP($A241,Haver_Q!$B$1:$L$185,MATCH(data!G$1,Haver_Q!$B$1:$L$1,0),FALSE)),"")</f>
        <v/>
      </c>
      <c r="H241" t="str">
        <f>IF(ISNUMBER(VLOOKUP($A241,Haver_Q!$B$1:$L$185,MATCH(data!H$1,Haver_Q!$B$1:$L$1,0),FALSE)),(VLOOKUP($A241,Haver_Q!$B$1:$L$185,MATCH(data!H$1,Haver_Q!$B$1:$L$1,0),FALSE)),"")</f>
        <v/>
      </c>
      <c r="I241" t="str">
        <f>IF(ISNUMBER(VLOOKUP($A241,Haver_Q!$B$1:$L$185,MATCH(data!I$1,Haver_Q!$B$1:$L$1,0),FALSE)),100*(VLOOKUP($A241,Haver_Q!$B$1:$L$185,MATCH(data!I$1,Haver_Q!$B$1:$L$1,0),FALSE)),"")</f>
        <v/>
      </c>
      <c r="J241" s="3">
        <f>IF(ISNUMBER(Bloomberg_m!C257),Bloomberg_m!C257,"")</f>
        <v>1381</v>
      </c>
      <c r="K241" s="3">
        <f>IF(ISNUMBER(Bloomberg_m!D257),Bloomberg_m!D257,"")</f>
        <v>1516.16</v>
      </c>
      <c r="L241" s="3">
        <f>IF(ISNUMBER(Bloomberg_m!E257),Bloomberg_m!E257,"")</f>
        <v>898.53</v>
      </c>
      <c r="M241" s="3">
        <f>IF(ISNUMBER(Bloomberg_m!F257),Bloomberg_m!F257,"")</f>
        <v>496.1</v>
      </c>
      <c r="N241">
        <f>IF(ISNUMBER(VLOOKUP($A241,Haver_M!$B$1:$BZ$300,MATCH(data!N$1,Haver_M!$B$1:$BZ$1,0),FALSE)),VLOOKUP($A241,Haver_M!$B$1:$BZ$300,MATCH(data!N$1,Haver_M!$B$1:$BZ$1,0),FALSE),"")</f>
        <v>5.15</v>
      </c>
      <c r="O241">
        <f>IF(ISNUMBER(VLOOKUP($A241,Haver_M!$B$1:$BZ$300,MATCH(data!O$1,Haver_M!$B$1:$BZ$1,0),FALSE)),VLOOKUP($A241,Haver_M!$B$1:$BZ$300,MATCH(data!O$1,Haver_M!$B$1:$BZ$1,0),FALSE),"")</f>
        <v>6.9177</v>
      </c>
      <c r="P241">
        <f>IF(ISNUMBER(VLOOKUP($A241,Haver_M!$B$1:$BZ$300,MATCH(data!P$1,Haver_M!$B$1:$BZ$1,0),FALSE)),VLOOKUP($A241,Haver_M!$B$1:$BZ$300,MATCH(data!P$1,Haver_M!$B$1:$BZ$1,0),FALSE),"")</f>
        <v>91.986949999999993</v>
      </c>
      <c r="Q241">
        <f>IF(ISNUMBER(VLOOKUP($A241,Haver_M!$B$1:$BZ$300,MATCH(data!Q$1,Haver_M!$B$1:$BZ$1,0),FALSE)),VLOOKUP($A241,Haver_M!$B$1:$BZ$300,MATCH(data!Q$1,Haver_M!$B$1:$BZ$1,0),FALSE),"")</f>
        <v>150.4</v>
      </c>
      <c r="R241">
        <f>IF(ISNUMBER(VLOOKUP($A241,Haver_M!$B$1:$BZ$300,MATCH(data!R$1,Haver_M!$B$1:$BZ$1,0),FALSE)),VLOOKUP($A241,Haver_M!$B$1:$BZ$300,MATCH(data!R$1,Haver_M!$B$1:$BZ$1,0),FALSE),"")</f>
        <v>148.80000000000001</v>
      </c>
      <c r="S241">
        <f>IF(ISNUMBER(VLOOKUP($A241,Haver_M!$B$1:$BZ$300,MATCH(data!S$1,Haver_M!$B$1:$BZ$1,0),FALSE)),VLOOKUP($A241,Haver_M!$B$1:$BZ$300,MATCH(data!S$1,Haver_M!$B$1:$BZ$1,0),FALSE),"")</f>
        <v>130.46</v>
      </c>
      <c r="T241">
        <f>IF(ISNUMBER(VLOOKUP($A241,Haver_M!$B$1:$BZ$300,MATCH(data!T$1,Haver_M!$B$1:$BZ$1,0),FALSE)),VLOOKUP($A241,Haver_M!$B$1:$BZ$300,MATCH(data!T$1,Haver_M!$B$1:$BZ$1,0),FALSE),"")</f>
        <v>125.38</v>
      </c>
      <c r="U241">
        <f>IF(ISNUMBER(VLOOKUP($A241,Haver_M!$B$1:$BZ$300,MATCH(data!U$1,Haver_M!$B$1:$BZ$1,0),FALSE)),VLOOKUP($A241,Haver_M!$B$1:$BZ$300,MATCH(data!U$1,Haver_M!$B$1:$BZ$1,0),FALSE),"")</f>
        <v>91.15</v>
      </c>
      <c r="V241">
        <f>IF(ISNUMBER(VLOOKUP($A241,Haver_M!$B$1:$BZ$300,MATCH(data!V$1,Haver_M!$B$1:$BZ$1,0),FALSE)),VLOOKUP($A241,Haver_M!$B$1:$BZ$300,MATCH(data!V$1,Haver_M!$B$1:$BZ$1,0),FALSE),"")</f>
        <v>142.65</v>
      </c>
      <c r="W241">
        <f>IF(ISNUMBER(VLOOKUP($A241,Haver_M!$B$1:$BZ$300,MATCH(data!W$1,Haver_M!$B$1:$BZ$1,0),FALSE)),VLOOKUP($A241,Haver_M!$B$1:$BZ$300,MATCH(data!W$1,Haver_M!$B$1:$BZ$1,0),FALSE),"")</f>
        <v>140.79</v>
      </c>
      <c r="X241">
        <f>IF(ISNUMBER(VLOOKUP($A241,Haver_M!$B$1:$BZ$300,MATCH(data!X$1,Haver_M!$B$1:$BZ$1,0),FALSE)),VLOOKUP($A241,Haver_M!$B$1:$BZ$300,MATCH(data!X$1,Haver_M!$B$1:$BZ$1,0),FALSE),"")</f>
        <v>121.28</v>
      </c>
      <c r="Y241">
        <f>IF(ISNUMBER(VLOOKUP($A241,Haver_M!$B$1:$BZ$300,MATCH(data!Y$1,Haver_M!$B$1:$BZ$1,0),FALSE)),VLOOKUP($A241,Haver_M!$B$1:$BZ$300,MATCH(data!Y$1,Haver_M!$B$1:$BZ$1,0),FALSE),"")</f>
        <v>145.1</v>
      </c>
      <c r="Z241">
        <f>IF(ISNUMBER(VLOOKUP($A241,Haver_M!$B$1:$BZ$300,MATCH(data!Z$1,Haver_M!$B$1:$BZ$1,0),FALSE)),VLOOKUP($A241,Haver_M!$B$1:$BZ$300,MATCH(data!Z$1,Haver_M!$B$1:$BZ$1,0),FALSE),"")</f>
        <v>131</v>
      </c>
      <c r="AA241">
        <f>IF(ISNUMBER(VLOOKUP($A241,Haver_M!$B$1:$BZ$300,MATCH(data!AA$1,Haver_M!$B$1:$BZ$1,0),FALSE)),VLOOKUP($A241,Haver_M!$B$1:$BZ$300,MATCH(data!AA$1,Haver_M!$B$1:$BZ$1,0),FALSE),"")</f>
        <v>136.09100000000001</v>
      </c>
      <c r="AB241">
        <f>IF(ISNUMBER(VLOOKUP($A241,Haver_M!$B$1:$BZ$300,MATCH(data!AB$1,Haver_M!$B$1:$BZ$1,0),FALSE)),VLOOKUP($A241,Haver_M!$B$1:$BZ$300,MATCH(data!AB$1,Haver_M!$B$1:$BZ$1,0),FALSE),"")</f>
        <v>82.432000000000002</v>
      </c>
      <c r="AC241">
        <f>IF(ISNUMBER(VLOOKUP($A241,Haver_M!$B$1:$BZ$300,MATCH(data!AC$1,Haver_M!$B$1:$BZ$1,0),FALSE)),VLOOKUP($A241,Haver_M!$B$1:$BZ$300,MATCH(data!AC$1,Haver_M!$B$1:$BZ$1,0),FALSE),"")</f>
        <v>63.808999999999997</v>
      </c>
      <c r="AD241">
        <f>IF(ISNUMBER(VLOOKUP($A241,Haver_M!$B$1:$BZ$300,MATCH(data!AD$1,Haver_M!$B$1:$BZ$1,0),FALSE)),VLOOKUP($A241,Haver_M!$B$1:$BZ$300,MATCH(data!AD$1,Haver_M!$B$1:$BZ$1,0),FALSE),"")</f>
        <v>126.229</v>
      </c>
      <c r="AE241">
        <f>IF(ISNUMBER(VLOOKUP($A241,Haver_M!$B$1:$BZ$300,MATCH(data!AE$1,Haver_M!$B$1:$BZ$1,0),FALSE)),VLOOKUP($A241,Haver_M!$B$1:$BZ$300,MATCH(data!AE$1,Haver_M!$B$1:$BZ$1,0),FALSE),"")</f>
        <v>114.42</v>
      </c>
      <c r="AF241">
        <f>IF(ISNUMBER(VLOOKUP($A241,Haver_M!$B$1:$BZ$300,MATCH(data!AF$1,Haver_M!$B$1:$BZ$1,0),FALSE)),VLOOKUP($A241,Haver_M!$B$1:$BZ$300,MATCH(data!AF$1,Haver_M!$B$1:$BZ$1,0),FALSE),"")</f>
        <v>152.31100000000001</v>
      </c>
      <c r="AG241">
        <f>IF(ISNUMBER(VLOOKUP($A241,Haver_M!$B$1:$BZ$300,MATCH(data!AG$1,Haver_M!$B$1:$BZ$1,0),FALSE)),VLOOKUP($A241,Haver_M!$B$1:$BZ$300,MATCH(data!AG$1,Haver_M!$B$1:$BZ$1,0),FALSE),"")</f>
        <v>158.624</v>
      </c>
      <c r="AH241">
        <f>IF(ISNUMBER(VLOOKUP($A241,Haver_M!$B$1:$BZ$300,MATCH(data!AH$1,Haver_M!$B$1:$BZ$1,0),FALSE)),VLOOKUP($A241,Haver_M!$B$1:$BZ$300,MATCH(data!AH$1,Haver_M!$B$1:$BZ$1,0),FALSE),"")</f>
        <v>154.977</v>
      </c>
      <c r="AI241">
        <f>IF(ISNUMBER(VLOOKUP($A241,Haver_M!$B$1:$BZ$300,MATCH(data!AI$1,Haver_M!$B$1:$BZ$1,0),FALSE)),VLOOKUP($A241,Haver_M!$B$1:$BZ$300,MATCH(data!AI$1,Haver_M!$B$1:$BZ$1,0),FALSE),"")</f>
        <v>18242.541498315692</v>
      </c>
      <c r="AJ241">
        <f>IF(ISNUMBER(VLOOKUP($A241,Haver_M!$B$1:$BZ$300,MATCH(data!AJ$1,Haver_M!$B$1:$BZ$1,0),FALSE)),VLOOKUP($A241,Haver_M!$B$1:$BZ$300,MATCH(data!AJ$1,Haver_M!$B$1:$BZ$1,0),FALSE),"")</f>
        <v>26596.9</v>
      </c>
      <c r="AK241">
        <f>IF(ISNUMBER(VLOOKUP($A241,Haver_M!$B$1:$BZ$300,MATCH(data!AK$1,Haver_M!$B$1:$BZ$1,0),FALSE)),VLOOKUP($A241,Haver_M!$B$1:$BZ$300,MATCH(data!AK$1,Haver_M!$B$1:$BZ$1,0),FALSE),"")</f>
        <v>38206.42</v>
      </c>
      <c r="AL241">
        <f>IF(ISNUMBER(VLOOKUP($A241,Haver_M!$B$1:$BZ$300,MATCH(data!AL$1,Haver_M!$B$1:$BZ$1,0),FALSE)),VLOOKUP($A241,Haver_M!$B$1:$BZ$300,MATCH(data!AL$1,Haver_M!$B$1:$BZ$1,0),FALSE),"")</f>
        <v>20004</v>
      </c>
      <c r="AM241">
        <f>IF(ISNUMBER(VLOOKUP($A241,Haver_M!$B$1:$BZ$300,MATCH(data!AM$1,Haver_M!$B$1:$BZ$1,0),FALSE)),VLOOKUP($A241,Haver_M!$B$1:$BZ$300,MATCH(data!AM$1,Haver_M!$B$1:$BZ$1,0),FALSE),"")</f>
        <v>12555</v>
      </c>
      <c r="AN241" t="str">
        <f>IF(ISNUMBER(VLOOKUP($A241,Haver_M!$B$1:$BZ$300,MATCH(data!AN$1,Haver_M!$B$1:$BZ$1,0),FALSE)),VLOOKUP($A241,Haver_M!$B$1:$BZ$300,MATCH(data!AN$1,Haver_M!$B$1:$BZ$1,0),FALSE),"")</f>
        <v/>
      </c>
      <c r="AO241" t="str">
        <f>IF(ISNUMBER(VLOOKUP($A241,Haver_M!$B$1:$BZ$300,MATCH(data!AO$1,Haver_M!$B$1:$BZ$1,0),FALSE)),VLOOKUP($A241,Haver_M!$B$1:$BZ$300,MATCH(data!AO$1,Haver_M!$B$1:$BZ$1,0),FALSE),"")</f>
        <v/>
      </c>
      <c r="AP241">
        <f>IF(ISNUMBER(VLOOKUP($A241,Haver_M!$B$1:$BZ$300,MATCH(data!AP$1,Haver_M!$B$1:$BZ$1,0),FALSE)),VLOOKUP($A241,Haver_M!$B$1:$BZ$300,MATCH(data!AP$1,Haver_M!$B$1:$BZ$1,0),FALSE),"")</f>
        <v>76.802928064555005</v>
      </c>
      <c r="AQ241">
        <f>IF(ISNUMBER(VLOOKUP($A241,Haver_M!$B$1:$BZ$300,MATCH(data!AQ$1,Haver_M!$B$1:$BZ$1,0),FALSE)),VLOOKUP($A241,Haver_M!$B$1:$BZ$300,MATCH(data!AQ$1,Haver_M!$B$1:$BZ$1,0),FALSE),"")</f>
        <v>53.744100000000003</v>
      </c>
      <c r="AR241">
        <f>IF(ISNUMBER(VLOOKUP($A241,Haver_M!$B$1:$BZ$300,MATCH(data!AR$1,Haver_M!$B$1:$BZ$1,0),FALSE)),VLOOKUP($A241,Haver_M!$B$1:$BZ$300,MATCH(data!AR$1,Haver_M!$B$1:$BZ$1,0),FALSE),"")</f>
        <v>52.739400000000003</v>
      </c>
      <c r="AS241">
        <f>IF(ISNUMBER(VLOOKUP($A241,Haver_M!$B$1:$BZ$300,MATCH(data!AS$1,Haver_M!$B$1:$BZ$1,0),FALSE)),VLOOKUP($A241,Haver_M!$B$1:$BZ$300,MATCH(data!AS$1,Haver_M!$B$1:$BZ$1,0),FALSE),"")</f>
        <v>53.252000000000002</v>
      </c>
      <c r="AT241">
        <f>IF(ISNUMBER(VLOOKUP($A241,Haver_M!$B$1:$BZ$300,MATCH(data!AT$1,Haver_M!$B$1:$BZ$1,0),FALSE)),VLOOKUP($A241,Haver_M!$B$1:$BZ$300,MATCH(data!AT$1,Haver_M!$B$1:$BZ$1,0),FALSE),"")</f>
        <v>54.799799999999998</v>
      </c>
      <c r="AU241">
        <f>IF(ISNUMBER(VLOOKUP($A241,Haver_M!$B$1:$BZ$300,MATCH(data!AU$1,Haver_M!$B$1:$BZ$1,0),FALSE)),VLOOKUP($A241,Haver_M!$B$1:$BZ$300,MATCH(data!AU$1,Haver_M!$B$1:$BZ$1,0),FALSE),"")</f>
        <v>53.827300000000001</v>
      </c>
      <c r="AV241">
        <f>IF(ISNUMBER(VLOOKUP($A241,Haver_M!$B$1:$BZ$300,MATCH(data!AV$1,Haver_M!$B$1:$BZ$1,0),FALSE)),VLOOKUP($A241,Haver_M!$B$1:$BZ$300,MATCH(data!AV$1,Haver_M!$B$1:$BZ$1,0),FALSE),"")</f>
        <v>52.008600000000001</v>
      </c>
      <c r="AW241">
        <f>IF(ISNUMBER(VLOOKUP($A241,Haver_M!$B$1:$BZ$300,MATCH(data!AW$1,Haver_M!$B$1:$BZ$1,0),FALSE)),VLOOKUP($A241,Haver_M!$B$1:$BZ$300,MATCH(data!AW$1,Haver_M!$B$1:$BZ$1,0),FALSE),"")</f>
        <v>49.9846</v>
      </c>
      <c r="AX241">
        <f>IF(ISNUMBER(VLOOKUP($A241,Haver_M!$B$1:$BZ$300,MATCH(data!AX$1,Haver_M!$B$1:$BZ$1,0),FALSE)),VLOOKUP($A241,Haver_M!$B$1:$BZ$300,MATCH(data!AX$1,Haver_M!$B$1:$BZ$1,0),FALSE),"")</f>
        <v>49.872100000000003</v>
      </c>
      <c r="AY241">
        <f>IF(ISNUMBER(VLOOKUP($A241,Haver_M!$B$1:$BZ$300,MATCH(data!AY$1,Haver_M!$B$1:$BZ$1,0),FALSE)),VLOOKUP($A241,Haver_M!$B$1:$BZ$300,MATCH(data!AY$1,Haver_M!$B$1:$BZ$1,0),FALSE),"")</f>
        <v>53.164499999999997</v>
      </c>
      <c r="AZ241">
        <f>IF(ISNUMBER(VLOOKUP($A241,Haver_M!$B$1:$BZ$300,MATCH(data!AZ$1,Haver_M!$B$1:$BZ$1,0),FALSE)),VLOOKUP($A241,Haver_M!$B$1:$BZ$300,MATCH(data!AZ$1,Haver_M!$B$1:$BZ$1,0),FALSE),"")</f>
        <v>50.6248</v>
      </c>
      <c r="BA241">
        <f>IF(ISNUMBER(VLOOKUP($A241,Haver_M!$B$1:$BZ$300,MATCH(data!BA$1,Haver_M!$B$1:$BZ$1,0),FALSE)),VLOOKUP($A241,Haver_M!$B$1:$BZ$300,MATCH(data!BA$1,Haver_M!$B$1:$BZ$1,0),FALSE),"")</f>
        <v>49.872100000000003</v>
      </c>
      <c r="BB241">
        <f>IF(ISNUMBER(VLOOKUP($A241,Haver_M!$B$1:$BZ$300,MATCH(data!BB$1,Haver_M!$B$1:$BZ$1,0),FALSE)),VLOOKUP($A241,Haver_M!$B$1:$BZ$300,MATCH(data!BB$1,Haver_M!$B$1:$BZ$1,0),FALSE),"")</f>
        <v>51.498800000000003</v>
      </c>
      <c r="BC241">
        <f>IF(ISNUMBER(VLOOKUP($A241,Haver_M!$B$1:$BZ$300,MATCH(data!BC$1,Haver_M!$B$1:$BZ$1,0),FALSE)),VLOOKUP($A241,Haver_M!$B$1:$BZ$300,MATCH(data!BC$1,Haver_M!$B$1:$BZ$1,0),FALSE),"")</f>
        <v>53.329900000000002</v>
      </c>
      <c r="BD241">
        <f>IF(ISNUMBER(VLOOKUP($A241,Haver_M!$B$1:$BZ$300,MATCH(data!BD$1,Haver_M!$B$1:$BZ$1,0),FALSE)),VLOOKUP($A241,Haver_M!$B$1:$BZ$300,MATCH(data!BD$1,Haver_M!$B$1:$BZ$1,0),FALSE),"")</f>
        <v>50.6342</v>
      </c>
      <c r="BE241">
        <f>IF(ISNUMBER(VLOOKUP($A241,Haver_M!$B$1:$BZ$300,MATCH(data!BE$1,Haver_M!$B$1:$BZ$1,0),FALSE)),VLOOKUP($A241,Haver_M!$B$1:$BZ$300,MATCH(data!BE$1,Haver_M!$B$1:$BZ$1,0),FALSE),"")</f>
        <v>1.1852</v>
      </c>
      <c r="BF241">
        <f>IF(ISNUMBER(VLOOKUP($A241,Haver_M!$B$1:$BZ$300,MATCH(data!BF$1,Haver_M!$B$1:$BZ$1,0),FALSE)),VLOOKUP($A241,Haver_M!$B$1:$BZ$300,MATCH(data!BF$1,Haver_M!$B$1:$BZ$1,0),FALSE),"")</f>
        <v>52.112699999999997</v>
      </c>
      <c r="BG241">
        <f>IF(ISNUMBER(VLOOKUP($A241,Haver_M!$B$1:$BZ$300,MATCH(data!BG$1,Haver_M!$B$1:$BZ$1,0),FALSE)),VLOOKUP($A241,Haver_M!$B$1:$BZ$300,MATCH(data!BG$1,Haver_M!$B$1:$BZ$1,0),FALSE),"")</f>
        <v>51.982399999999998</v>
      </c>
      <c r="BH241">
        <f>IF(ISNUMBER(VLOOKUP($A241,Haver_M!$B$1:$BZ$300,MATCH(data!BH$1,Haver_M!$B$1:$BZ$1,0),FALSE)),VLOOKUP($A241,Haver_M!$B$1:$BZ$300,MATCH(data!BH$1,Haver_M!$B$1:$BZ$1,0),FALSE),"")</f>
        <v>54.166200000000003</v>
      </c>
      <c r="BI241">
        <f>IF(ISNUMBER(VLOOKUP($A241,Haver_M!$B$1:$BZ$300,MATCH(data!BI$1,Haver_M!$B$1:$BZ$1,0),FALSE)),VLOOKUP($A241,Haver_M!$B$1:$BZ$300,MATCH(data!BI$1,Haver_M!$B$1:$BZ$1,0),FALSE),"")</f>
        <v>55.656799999999997</v>
      </c>
      <c r="BJ241">
        <f>IF(ISNUMBER(VLOOKUP($A241,Haver_M!$B$1:$BZ$300,MATCH(data!BJ$1,Haver_M!$B$1:$BZ$1,0),FALSE)),VLOOKUP($A241,Haver_M!$B$1:$BZ$300,MATCH(data!BJ$1,Haver_M!$B$1:$BZ$1,0),FALSE),"")</f>
        <v>52.52</v>
      </c>
      <c r="BK241">
        <f>IF(ISNUMBER(VLOOKUP($A241,Haver_M!$B$1:$BZ$300,MATCH(data!BK$1,Haver_M!$B$1:$BZ$1,0),FALSE)),VLOOKUP($A241,Haver_M!$B$1:$BZ$300,MATCH(data!BK$1,Haver_M!$B$1:$BZ$1,0),FALSE),"")</f>
        <v>51.215000000000003</v>
      </c>
      <c r="BL241">
        <f>IF(ISNUMBER(VLOOKUP($A241,Haver_M!$B$1:$BZ$300,MATCH(data!BL$1,Haver_M!$B$1:$BZ$1,0),FALSE)),VLOOKUP($A241,Haver_M!$B$1:$BZ$300,MATCH(data!BL$1,Haver_M!$B$1:$BZ$1,0),FALSE),"")</f>
        <v>41054.449999999997</v>
      </c>
      <c r="BM241" t="str">
        <f>IF(ISNUMBER(VLOOKUP($A241,Haver_M!$B$1:$BZ$300,MATCH(data!BM$1,Haver_M!$B$1:$BZ$1,0),FALSE)),VLOOKUP($A241,Haver_M!$B$1:$BZ$300,MATCH(data!BM$1,Haver_M!$B$1:$BZ$1,0),FALSE),"")</f>
        <v/>
      </c>
      <c r="BN241" t="str">
        <f>IF(ISNUMBER(VLOOKUP($A241,Haver_M!$B$1:$BZ$300,MATCH(data!BN$1,Haver_M!$B$1:$BZ$1,0),FALSE)),VLOOKUP($A241,Haver_M!$B$1:$BZ$300,MATCH(data!BN$1,Haver_M!$B$1:$BZ$1,0),FALSE),"")</f>
        <v/>
      </c>
      <c r="BO241" t="str">
        <f>IF(ISNUMBER(VLOOKUP($A241,Haver_M!$B$1:$BZ$300,MATCH(data!BO$1,Haver_M!$B$1:$BZ$1,0),FALSE)),VLOOKUP($A241,Haver_M!$B$1:$BZ$300,MATCH(data!BO$1,Haver_M!$B$1:$BZ$1,0),FALSE),"")</f>
        <v/>
      </c>
      <c r="BP241" t="str">
        <f>IF(ISNUMBER(VLOOKUP($A241,Haver_M!$B$1:$BZ$300,MATCH(data!BP$1,Haver_M!$B$1:$BZ$1,0),FALSE)),VLOOKUP($A241,Haver_M!$B$1:$BZ$300,MATCH(data!BP$1,Haver_M!$B$1:$BZ$1,0),FALSE),"")</f>
        <v/>
      </c>
      <c r="BQ241" t="str">
        <f>IF(ISNUMBER(VLOOKUP($A241,Haver_M!$B$1:$BZ$300,MATCH(data!BQ$1,Haver_M!$B$1:$BZ$1,0),FALSE)),VLOOKUP($A241,Haver_M!$B$1:$BZ$300,MATCH(data!BQ$1,Haver_M!$B$1:$BZ$1,0),FALSE),"")</f>
        <v/>
      </c>
      <c r="BR241" t="str">
        <f>IF(ISNUMBER(VLOOKUP($A241,Haver_M!$B$1:$BZ$300,MATCH(data!BR$1,Haver_M!$B$1:$BZ$1,0),FALSE)),VLOOKUP($A241,Haver_M!$B$1:$BZ$300,MATCH(data!BR$1,Haver_M!$B$1:$BZ$1,0),FALSE),"")</f>
        <v/>
      </c>
      <c r="BS241" t="str">
        <f>IF(ISNUMBER(VLOOKUP($A241,Haver_M!$B$1:$BZ$300,MATCH(data!BS$1,Haver_M!$B$1:$BZ$1,0),FALSE)),VLOOKUP($A241,Haver_M!$B$1:$BZ$300,MATCH(data!BS$1,Haver_M!$B$1:$BZ$1,0),FALSE),"")</f>
        <v/>
      </c>
      <c r="BT241" t="str">
        <f>IF(ISNUMBER(VLOOKUP($A241,Haver_M!$B$1:$BZ$300,MATCH(data!BT$1,Haver_M!$B$1:$BZ$1,0),FALSE)),VLOOKUP($A241,Haver_M!$B$1:$BZ$300,MATCH(data!BT$1,Haver_M!$B$1:$BZ$1,0),FALSE),"")</f>
        <v/>
      </c>
      <c r="BU241">
        <f>IF(ISNUMBER(VLOOKUP($A241,Haver_M!$B$1:$BZ$300,MATCH(data!BU$1,Haver_M!$B$1:$BZ$1,0),FALSE)),VLOOKUP($A241,Haver_M!$B$1:$BZ$300,MATCH(data!BU$1,Haver_M!$B$1:$BZ$1,0),FALSE),"")</f>
        <v>27357.439999999999</v>
      </c>
      <c r="BV241">
        <f>IF(ISNUMBER(VLOOKUP($A241,Haver_M!$B$1:$BZ$300,MATCH(data!BV$1,Haver_M!$B$1:$BZ$1,0),FALSE)),VLOOKUP($A241,Haver_M!$B$1:$BZ$300,MATCH(data!BV$1,Haver_M!$B$1:$BZ$1,0),FALSE),"")</f>
        <v>38611.269999999997</v>
      </c>
      <c r="BW241">
        <f>IF(ISNUMBER(VLOOKUP($A241,Haver_M!$B$1:$BZ$300,MATCH(data!BW$1,Haver_M!$B$1:$BZ$1,0),FALSE)),VLOOKUP($A241,Haver_M!$B$1:$BZ$300,MATCH(data!BW$1,Haver_M!$B$1:$BZ$1,0),FALSE),"")</f>
        <v>71.192599999999999</v>
      </c>
      <c r="BX241">
        <f>IF(ISNUMBER(VLOOKUP($A241,Haver_M!$B$1:$BZ$300,MATCH(data!BX$1,Haver_M!$B$1:$BZ$1,0),FALSE)),VLOOKUP($A241,Haver_M!$B$1:$BZ$300,MATCH(data!BX$1,Haver_M!$B$1:$BZ$1,0),FALSE),"")</f>
        <v>84722</v>
      </c>
    </row>
    <row r="242" spans="1:76" x14ac:dyDescent="0.25">
      <c r="A242" s="2">
        <v>43861</v>
      </c>
      <c r="B242" t="str">
        <f>IF(ISNUMBER(VLOOKUP($A242,Haver_Q!$B$1:$L$185,MATCH(data!B$1,Haver_Q!$B$1:$L$1,0),FALSE)),100*(VLOOKUP($A242,Haver_Q!$B$1:$L$185,MATCH(data!B$1,Haver_Q!$B$1:$L$1,0),FALSE)),"")</f>
        <v/>
      </c>
      <c r="C242" t="str">
        <f>IF(ISNUMBER(VLOOKUP($A242,Haver_Q!$B$1:$L$185,MATCH(data!C$1,Haver_Q!$B$1:$L$1,0),FALSE)),100*(VLOOKUP($A242,Haver_Q!$B$1:$L$185,MATCH(data!C$1,Haver_Q!$B$1:$L$1,0),FALSE)),"")</f>
        <v/>
      </c>
      <c r="D242" t="str">
        <f>IF(ISNUMBER(VLOOKUP($A242,Haver_Q!$B$1:$L$185,MATCH(data!D$1,Haver_Q!$B$1:$L$1,0),FALSE)),100*(VLOOKUP($A242,Haver_Q!$B$1:$L$185,MATCH(data!D$1,Haver_Q!$B$1:$L$1,0),FALSE)),"")</f>
        <v/>
      </c>
      <c r="E242" t="str">
        <f>IF(ISNUMBER(VLOOKUP($A242,Haver_Q!$B$1:$L$185,MATCH(data!E$1,Haver_Q!$B$1:$L$1,0),FALSE)),100*(VLOOKUP($A242,Haver_Q!$B$1:$L$185,MATCH(data!E$1,Haver_Q!$B$1:$L$1,0),FALSE)),"")</f>
        <v/>
      </c>
      <c r="F242" t="str">
        <f>IF(ISNUMBER(VLOOKUP($A242,Haver_Q!$B$1:$L$185,MATCH(data!F$1,Haver_Q!$B$1:$L$1,0),FALSE)),100*(VLOOKUP($A242,Haver_Q!$B$1:$L$185,MATCH(data!F$1,Haver_Q!$B$1:$L$1,0),FALSE)),"")</f>
        <v/>
      </c>
      <c r="G242" t="str">
        <f>IF(ISNUMBER(VLOOKUP($A242,Haver_Q!$B$1:$L$185,MATCH(data!G$1,Haver_Q!$B$1:$L$1,0),FALSE)),100*(VLOOKUP($A242,Haver_Q!$B$1:$L$185,MATCH(data!G$1,Haver_Q!$B$1:$L$1,0),FALSE)),"")</f>
        <v/>
      </c>
      <c r="H242" t="str">
        <f>IF(ISNUMBER(VLOOKUP($A242,Haver_Q!$B$1:$L$185,MATCH(data!H$1,Haver_Q!$B$1:$L$1,0),FALSE)),(VLOOKUP($A242,Haver_Q!$B$1:$L$185,MATCH(data!H$1,Haver_Q!$B$1:$L$1,0),FALSE)),"")</f>
        <v/>
      </c>
      <c r="I242" t="str">
        <f>IF(ISNUMBER(VLOOKUP($A242,Haver_Q!$B$1:$L$185,MATCH(data!I$1,Haver_Q!$B$1:$L$1,0),FALSE)),100*(VLOOKUP($A242,Haver_Q!$B$1:$L$185,MATCH(data!I$1,Haver_Q!$B$1:$L$1,0),FALSE)),"")</f>
        <v/>
      </c>
      <c r="J242" s="3" t="str">
        <f>IF(ISNUMBER(Bloomberg_m!C258),Bloomberg_m!C258,"")</f>
        <v/>
      </c>
      <c r="K242" s="3" t="str">
        <f>IF(ISNUMBER(Bloomberg_m!D258),Bloomberg_m!D258,"")</f>
        <v/>
      </c>
      <c r="L242" s="3" t="str">
        <f>IF(ISNUMBER(Bloomberg_m!E258),Bloomberg_m!E258,"")</f>
        <v/>
      </c>
      <c r="M242" s="3" t="str">
        <f>IF(ISNUMBER(Bloomberg_m!F258),Bloomberg_m!F258,"")</f>
        <v/>
      </c>
      <c r="N242">
        <f>IF(ISNUMBER(VLOOKUP($A242,Haver_M!$B$1:$BZ$300,MATCH(data!N$1,Haver_M!$B$1:$BZ$1,0),FALSE)),VLOOKUP($A242,Haver_M!$B$1:$BZ$300,MATCH(data!N$1,Haver_M!$B$1:$BZ$1,0),FALSE),"")</f>
        <v>5.15</v>
      </c>
      <c r="O242" t="str">
        <f>IF(ISNUMBER(VLOOKUP($A242,Haver_M!$B$1:$BZ$300,MATCH(data!O$1,Haver_M!$B$1:$BZ$1,0),FALSE)),VLOOKUP($A242,Haver_M!$B$1:$BZ$300,MATCH(data!O$1,Haver_M!$B$1:$BZ$1,0),FALSE),"")</f>
        <v/>
      </c>
      <c r="P242">
        <f>IF(ISNUMBER(VLOOKUP($A242,Haver_M!$B$1:$BZ$300,MATCH(data!P$1,Haver_M!$B$1:$BZ$1,0),FALSE)),VLOOKUP($A242,Haver_M!$B$1:$BZ$300,MATCH(data!P$1,Haver_M!$B$1:$BZ$1,0),FALSE),"")</f>
        <v>91.748130000000003</v>
      </c>
      <c r="Q242">
        <f>IF(ISNUMBER(VLOOKUP($A242,Haver_M!$B$1:$BZ$300,MATCH(data!Q$1,Haver_M!$B$1:$BZ$1,0),FALSE)),VLOOKUP($A242,Haver_M!$B$1:$BZ$300,MATCH(data!Q$1,Haver_M!$B$1:$BZ$1,0),FALSE),"")</f>
        <v>150.19999999999999</v>
      </c>
      <c r="R242">
        <f>IF(ISNUMBER(VLOOKUP($A242,Haver_M!$B$1:$BZ$300,MATCH(data!R$1,Haver_M!$B$1:$BZ$1,0),FALSE)),VLOOKUP($A242,Haver_M!$B$1:$BZ$300,MATCH(data!R$1,Haver_M!$B$1:$BZ$1,0),FALSE),"")</f>
        <v>149.69999999999999</v>
      </c>
      <c r="S242" t="str">
        <f>IF(ISNUMBER(VLOOKUP($A242,Haver_M!$B$1:$BZ$300,MATCH(data!S$1,Haver_M!$B$1:$BZ$1,0),FALSE)),VLOOKUP($A242,Haver_M!$B$1:$BZ$300,MATCH(data!S$1,Haver_M!$B$1:$BZ$1,0),FALSE),"")</f>
        <v/>
      </c>
      <c r="T242" t="str">
        <f>IF(ISNUMBER(VLOOKUP($A242,Haver_M!$B$1:$BZ$300,MATCH(data!T$1,Haver_M!$B$1:$BZ$1,0),FALSE)),VLOOKUP($A242,Haver_M!$B$1:$BZ$300,MATCH(data!T$1,Haver_M!$B$1:$BZ$1,0),FALSE),"")</f>
        <v/>
      </c>
      <c r="U242" t="str">
        <f>IF(ISNUMBER(VLOOKUP($A242,Haver_M!$B$1:$BZ$300,MATCH(data!U$1,Haver_M!$B$1:$BZ$1,0),FALSE)),VLOOKUP($A242,Haver_M!$B$1:$BZ$300,MATCH(data!U$1,Haver_M!$B$1:$BZ$1,0),FALSE),"")</f>
        <v/>
      </c>
      <c r="V242" t="str">
        <f>IF(ISNUMBER(VLOOKUP($A242,Haver_M!$B$1:$BZ$300,MATCH(data!V$1,Haver_M!$B$1:$BZ$1,0),FALSE)),VLOOKUP($A242,Haver_M!$B$1:$BZ$300,MATCH(data!V$1,Haver_M!$B$1:$BZ$1,0),FALSE),"")</f>
        <v/>
      </c>
      <c r="W242" t="str">
        <f>IF(ISNUMBER(VLOOKUP($A242,Haver_M!$B$1:$BZ$300,MATCH(data!W$1,Haver_M!$B$1:$BZ$1,0),FALSE)),VLOOKUP($A242,Haver_M!$B$1:$BZ$300,MATCH(data!W$1,Haver_M!$B$1:$BZ$1,0),FALSE),"")</f>
        <v/>
      </c>
      <c r="X242" t="str">
        <f>IF(ISNUMBER(VLOOKUP($A242,Haver_M!$B$1:$BZ$300,MATCH(data!X$1,Haver_M!$B$1:$BZ$1,0),FALSE)),VLOOKUP($A242,Haver_M!$B$1:$BZ$300,MATCH(data!X$1,Haver_M!$B$1:$BZ$1,0),FALSE),"")</f>
        <v/>
      </c>
      <c r="Y242" t="str">
        <f>IF(ISNUMBER(VLOOKUP($A242,Haver_M!$B$1:$BZ$300,MATCH(data!Y$1,Haver_M!$B$1:$BZ$1,0),FALSE)),VLOOKUP($A242,Haver_M!$B$1:$BZ$300,MATCH(data!Y$1,Haver_M!$B$1:$BZ$1,0),FALSE),"")</f>
        <v/>
      </c>
      <c r="Z242" t="str">
        <f>IF(ISNUMBER(VLOOKUP($A242,Haver_M!$B$1:$BZ$300,MATCH(data!Z$1,Haver_M!$B$1:$BZ$1,0),FALSE)),VLOOKUP($A242,Haver_M!$B$1:$BZ$300,MATCH(data!Z$1,Haver_M!$B$1:$BZ$1,0),FALSE),"")</f>
        <v/>
      </c>
      <c r="AA242" t="str">
        <f>IF(ISNUMBER(VLOOKUP($A242,Haver_M!$B$1:$BZ$300,MATCH(data!AA$1,Haver_M!$B$1:$BZ$1,0),FALSE)),VLOOKUP($A242,Haver_M!$B$1:$BZ$300,MATCH(data!AA$1,Haver_M!$B$1:$BZ$1,0),FALSE),"")</f>
        <v/>
      </c>
      <c r="AB242" t="str">
        <f>IF(ISNUMBER(VLOOKUP($A242,Haver_M!$B$1:$BZ$300,MATCH(data!AB$1,Haver_M!$B$1:$BZ$1,0),FALSE)),VLOOKUP($A242,Haver_M!$B$1:$BZ$300,MATCH(data!AB$1,Haver_M!$B$1:$BZ$1,0),FALSE),"")</f>
        <v/>
      </c>
      <c r="AC242" t="str">
        <f>IF(ISNUMBER(VLOOKUP($A242,Haver_M!$B$1:$BZ$300,MATCH(data!AC$1,Haver_M!$B$1:$BZ$1,0),FALSE)),VLOOKUP($A242,Haver_M!$B$1:$BZ$300,MATCH(data!AC$1,Haver_M!$B$1:$BZ$1,0),FALSE),"")</f>
        <v/>
      </c>
      <c r="AD242" t="str">
        <f>IF(ISNUMBER(VLOOKUP($A242,Haver_M!$B$1:$BZ$300,MATCH(data!AD$1,Haver_M!$B$1:$BZ$1,0),FALSE)),VLOOKUP($A242,Haver_M!$B$1:$BZ$300,MATCH(data!AD$1,Haver_M!$B$1:$BZ$1,0),FALSE),"")</f>
        <v/>
      </c>
      <c r="AE242" t="str">
        <f>IF(ISNUMBER(VLOOKUP($A242,Haver_M!$B$1:$BZ$300,MATCH(data!AE$1,Haver_M!$B$1:$BZ$1,0),FALSE)),VLOOKUP($A242,Haver_M!$B$1:$BZ$300,MATCH(data!AE$1,Haver_M!$B$1:$BZ$1,0),FALSE),"")</f>
        <v/>
      </c>
      <c r="AF242" t="str">
        <f>IF(ISNUMBER(VLOOKUP($A242,Haver_M!$B$1:$BZ$300,MATCH(data!AF$1,Haver_M!$B$1:$BZ$1,0),FALSE)),VLOOKUP($A242,Haver_M!$B$1:$BZ$300,MATCH(data!AF$1,Haver_M!$B$1:$BZ$1,0),FALSE),"")</f>
        <v/>
      </c>
      <c r="AG242" t="str">
        <f>IF(ISNUMBER(VLOOKUP($A242,Haver_M!$B$1:$BZ$300,MATCH(data!AG$1,Haver_M!$B$1:$BZ$1,0),FALSE)),VLOOKUP($A242,Haver_M!$B$1:$BZ$300,MATCH(data!AG$1,Haver_M!$B$1:$BZ$1,0),FALSE),"")</f>
        <v/>
      </c>
      <c r="AH242" t="str">
        <f>IF(ISNUMBER(VLOOKUP($A242,Haver_M!$B$1:$BZ$300,MATCH(data!AH$1,Haver_M!$B$1:$BZ$1,0),FALSE)),VLOOKUP($A242,Haver_M!$B$1:$BZ$300,MATCH(data!AH$1,Haver_M!$B$1:$BZ$1,0),FALSE),"")</f>
        <v/>
      </c>
      <c r="AI242">
        <f>IF(ISNUMBER(VLOOKUP($A242,Haver_M!$B$1:$BZ$300,MATCH(data!AI$1,Haver_M!$B$1:$BZ$1,0),FALSE)),VLOOKUP($A242,Haver_M!$B$1:$BZ$300,MATCH(data!AI$1,Haver_M!$B$1:$BZ$1,0),FALSE),"")</f>
        <v>18328.863359391551</v>
      </c>
      <c r="AJ242">
        <f>IF(ISNUMBER(VLOOKUP($A242,Haver_M!$B$1:$BZ$300,MATCH(data!AJ$1,Haver_M!$B$1:$BZ$1,0),FALSE)),VLOOKUP($A242,Haver_M!$B$1:$BZ$300,MATCH(data!AJ$1,Haver_M!$B$1:$BZ$1,0),FALSE),"")</f>
        <v>26738.22</v>
      </c>
      <c r="AK242">
        <f>IF(ISNUMBER(VLOOKUP($A242,Haver_M!$B$1:$BZ$300,MATCH(data!AK$1,Haver_M!$B$1:$BZ$1,0),FALSE)),VLOOKUP($A242,Haver_M!$B$1:$BZ$300,MATCH(data!AK$1,Haver_M!$B$1:$BZ$1,0),FALSE),"")</f>
        <v>42064</v>
      </c>
      <c r="AL242" t="str">
        <f>IF(ISNUMBER(VLOOKUP($A242,Haver_M!$B$1:$BZ$300,MATCH(data!AL$1,Haver_M!$B$1:$BZ$1,0),FALSE)),VLOOKUP($A242,Haver_M!$B$1:$BZ$300,MATCH(data!AL$1,Haver_M!$B$1:$BZ$1,0),FALSE),"")</f>
        <v/>
      </c>
      <c r="AM242" t="str">
        <f>IF(ISNUMBER(VLOOKUP($A242,Haver_M!$B$1:$BZ$300,MATCH(data!AM$1,Haver_M!$B$1:$BZ$1,0),FALSE)),VLOOKUP($A242,Haver_M!$B$1:$BZ$300,MATCH(data!AM$1,Haver_M!$B$1:$BZ$1,0),FALSE),"")</f>
        <v/>
      </c>
      <c r="AN242">
        <f>IF(ISNUMBER(VLOOKUP($A242,Haver_M!$B$1:$BZ$300,MATCH(data!AN$1,Haver_M!$B$1:$BZ$1,0),FALSE)),VLOOKUP($A242,Haver_M!$B$1:$BZ$300,MATCH(data!AN$1,Haver_M!$B$1:$BZ$1,0),FALSE),"")</f>
        <v>83.7</v>
      </c>
      <c r="AO242">
        <f>IF(ISNUMBER(VLOOKUP($A242,Haver_M!$B$1:$BZ$300,MATCH(data!AO$1,Haver_M!$B$1:$BZ$1,0),FALSE)),VLOOKUP($A242,Haver_M!$B$1:$BZ$300,MATCH(data!AO$1,Haver_M!$B$1:$BZ$1,0),FALSE),"")</f>
        <v>115.1</v>
      </c>
      <c r="AP242">
        <f>IF(ISNUMBER(VLOOKUP($A242,Haver_M!$B$1:$BZ$300,MATCH(data!AP$1,Haver_M!$B$1:$BZ$1,0),FALSE)),VLOOKUP($A242,Haver_M!$B$1:$BZ$300,MATCH(data!AP$1,Haver_M!$B$1:$BZ$1,0),FALSE),"")</f>
        <v>54.343976552085557</v>
      </c>
      <c r="AQ242">
        <f>IF(ISNUMBER(VLOOKUP($A242,Haver_M!$B$1:$BZ$300,MATCH(data!AQ$1,Haver_M!$B$1:$BZ$1,0),FALSE)),VLOOKUP($A242,Haver_M!$B$1:$BZ$300,MATCH(data!AQ$1,Haver_M!$B$1:$BZ$1,0),FALSE),"")</f>
        <v>56.2806</v>
      </c>
      <c r="AR242">
        <f>IF(ISNUMBER(VLOOKUP($A242,Haver_M!$B$1:$BZ$300,MATCH(data!AR$1,Haver_M!$B$1:$BZ$1,0),FALSE)),VLOOKUP($A242,Haver_M!$B$1:$BZ$300,MATCH(data!AR$1,Haver_M!$B$1:$BZ$1,0),FALSE),"")</f>
        <v>55.3125</v>
      </c>
      <c r="AS242">
        <f>IF(ISNUMBER(VLOOKUP($A242,Haver_M!$B$1:$BZ$300,MATCH(data!AS$1,Haver_M!$B$1:$BZ$1,0),FALSE)),VLOOKUP($A242,Haver_M!$B$1:$BZ$300,MATCH(data!AS$1,Haver_M!$B$1:$BZ$1,0),FALSE),"")</f>
        <v>55.538600000000002</v>
      </c>
      <c r="AT242">
        <f>IF(ISNUMBER(VLOOKUP($A242,Haver_M!$B$1:$BZ$300,MATCH(data!AT$1,Haver_M!$B$1:$BZ$1,0),FALSE)),VLOOKUP($A242,Haver_M!$B$1:$BZ$300,MATCH(data!AT$1,Haver_M!$B$1:$BZ$1,0),FALSE),"")</f>
        <v>57.929099999999998</v>
      </c>
      <c r="AU242">
        <f>IF(ISNUMBER(VLOOKUP($A242,Haver_M!$B$1:$BZ$300,MATCH(data!AU$1,Haver_M!$B$1:$BZ$1,0),FALSE)),VLOOKUP($A242,Haver_M!$B$1:$BZ$300,MATCH(data!AU$1,Haver_M!$B$1:$BZ$1,0),FALSE),"")</f>
        <v>57.850900000000003</v>
      </c>
      <c r="AV242">
        <f>IF(ISNUMBER(VLOOKUP($A242,Haver_M!$B$1:$BZ$300,MATCH(data!AV$1,Haver_M!$B$1:$BZ$1,0),FALSE)),VLOOKUP($A242,Haver_M!$B$1:$BZ$300,MATCH(data!AV$1,Haver_M!$B$1:$BZ$1,0),FALSE),"")</f>
        <v>53.922800000000002</v>
      </c>
      <c r="AW242">
        <f>IF(ISNUMBER(VLOOKUP($A242,Haver_M!$B$1:$BZ$300,MATCH(data!AW$1,Haver_M!$B$1:$BZ$1,0),FALSE)),VLOOKUP($A242,Haver_M!$B$1:$BZ$300,MATCH(data!AW$1,Haver_M!$B$1:$BZ$1,0),FALSE),"")</f>
        <v>50.1556</v>
      </c>
      <c r="AX242">
        <f>IF(ISNUMBER(VLOOKUP($A242,Haver_M!$B$1:$BZ$300,MATCH(data!AX$1,Haver_M!$B$1:$BZ$1,0),FALSE)),VLOOKUP($A242,Haver_M!$B$1:$BZ$300,MATCH(data!AX$1,Haver_M!$B$1:$BZ$1,0),FALSE),"")</f>
        <v>52.136699999999998</v>
      </c>
      <c r="AY242">
        <f>IF(ISNUMBER(VLOOKUP($A242,Haver_M!$B$1:$BZ$300,MATCH(data!AY$1,Haver_M!$B$1:$BZ$1,0),FALSE)),VLOOKUP($A242,Haver_M!$B$1:$BZ$300,MATCH(data!AY$1,Haver_M!$B$1:$BZ$1,0),FALSE),"")</f>
        <v>52.766800000000003</v>
      </c>
      <c r="AZ242">
        <f>IF(ISNUMBER(VLOOKUP($A242,Haver_M!$B$1:$BZ$300,MATCH(data!AZ$1,Haver_M!$B$1:$BZ$1,0),FALSE)),VLOOKUP($A242,Haver_M!$B$1:$BZ$300,MATCH(data!AZ$1,Haver_M!$B$1:$BZ$1,0),FALSE),"")</f>
        <v>53.242600000000003</v>
      </c>
      <c r="BA242">
        <f>IF(ISNUMBER(VLOOKUP($A242,Haver_M!$B$1:$BZ$300,MATCH(data!BA$1,Haver_M!$B$1:$BZ$1,0),FALSE)),VLOOKUP($A242,Haver_M!$B$1:$BZ$300,MATCH(data!BA$1,Haver_M!$B$1:$BZ$1,0),FALSE),"")</f>
        <v>52.136699999999998</v>
      </c>
      <c r="BB242">
        <f>IF(ISNUMBER(VLOOKUP($A242,Haver_M!$B$1:$BZ$300,MATCH(data!BB$1,Haver_M!$B$1:$BZ$1,0),FALSE)),VLOOKUP($A242,Haver_M!$B$1:$BZ$300,MATCH(data!BB$1,Haver_M!$B$1:$BZ$1,0),FALSE),"")</f>
        <v>54.531199999999998</v>
      </c>
      <c r="BC242">
        <f>IF(ISNUMBER(VLOOKUP($A242,Haver_M!$B$1:$BZ$300,MATCH(data!BC$1,Haver_M!$B$1:$BZ$1,0),FALSE)),VLOOKUP($A242,Haver_M!$B$1:$BZ$300,MATCH(data!BC$1,Haver_M!$B$1:$BZ$1,0),FALSE),"")</f>
        <v>52.857999999999997</v>
      </c>
      <c r="BD242">
        <f>IF(ISNUMBER(VLOOKUP($A242,Haver_M!$B$1:$BZ$300,MATCH(data!BD$1,Haver_M!$B$1:$BZ$1,0),FALSE)),VLOOKUP($A242,Haver_M!$B$1:$BZ$300,MATCH(data!BD$1,Haver_M!$B$1:$BZ$1,0),FALSE),"")</f>
        <v>49.877000000000002</v>
      </c>
      <c r="BE242">
        <f>IF(ISNUMBER(VLOOKUP($A242,Haver_M!$B$1:$BZ$300,MATCH(data!BE$1,Haver_M!$B$1:$BZ$1,0),FALSE)),VLOOKUP($A242,Haver_M!$B$1:$BZ$300,MATCH(data!BE$1,Haver_M!$B$1:$BZ$1,0),FALSE),"")</f>
        <v>1.2612000000000001</v>
      </c>
      <c r="BF242">
        <f>IF(ISNUMBER(VLOOKUP($A242,Haver_M!$B$1:$BZ$300,MATCH(data!BF$1,Haver_M!$B$1:$BZ$1,0),FALSE)),VLOOKUP($A242,Haver_M!$B$1:$BZ$300,MATCH(data!BF$1,Haver_M!$B$1:$BZ$1,0),FALSE),"")</f>
        <v>51.982900000000001</v>
      </c>
      <c r="BG242">
        <f>IF(ISNUMBER(VLOOKUP($A242,Haver_M!$B$1:$BZ$300,MATCH(data!BG$1,Haver_M!$B$1:$BZ$1,0),FALSE)),VLOOKUP($A242,Haver_M!$B$1:$BZ$300,MATCH(data!BG$1,Haver_M!$B$1:$BZ$1,0),FALSE),"")</f>
        <v>52.3157</v>
      </c>
      <c r="BH242">
        <f>IF(ISNUMBER(VLOOKUP($A242,Haver_M!$B$1:$BZ$300,MATCH(data!BH$1,Haver_M!$B$1:$BZ$1,0),FALSE)),VLOOKUP($A242,Haver_M!$B$1:$BZ$300,MATCH(data!BH$1,Haver_M!$B$1:$BZ$1,0),FALSE),"")</f>
        <v>56.1006</v>
      </c>
      <c r="BI242">
        <f>IF(ISNUMBER(VLOOKUP($A242,Haver_M!$B$1:$BZ$300,MATCH(data!BI$1,Haver_M!$B$1:$BZ$1,0),FALSE)),VLOOKUP($A242,Haver_M!$B$1:$BZ$300,MATCH(data!BI$1,Haver_M!$B$1:$BZ$1,0),FALSE),"")</f>
        <v>56.451000000000001</v>
      </c>
      <c r="BJ242">
        <f>IF(ISNUMBER(VLOOKUP($A242,Haver_M!$B$1:$BZ$300,MATCH(data!BJ$1,Haver_M!$B$1:$BZ$1,0),FALSE)),VLOOKUP($A242,Haver_M!$B$1:$BZ$300,MATCH(data!BJ$1,Haver_M!$B$1:$BZ$1,0),FALSE),"")</f>
        <v>48.939500000000002</v>
      </c>
      <c r="BK242">
        <f>IF(ISNUMBER(VLOOKUP($A242,Haver_M!$B$1:$BZ$300,MATCH(data!BK$1,Haver_M!$B$1:$BZ$1,0),FALSE)),VLOOKUP($A242,Haver_M!$B$1:$BZ$300,MATCH(data!BK$1,Haver_M!$B$1:$BZ$1,0),FALSE),"")</f>
        <v>51.048099999999998</v>
      </c>
      <c r="BL242">
        <f>IF(ISNUMBER(VLOOKUP($A242,Haver_M!$B$1:$BZ$300,MATCH(data!BL$1,Haver_M!$B$1:$BZ$1,0),FALSE)),VLOOKUP($A242,Haver_M!$B$1:$BZ$300,MATCH(data!BL$1,Haver_M!$B$1:$BZ$1,0),FALSE),"")</f>
        <v>41360.949999999997</v>
      </c>
      <c r="BM242" t="str">
        <f>IF(ISNUMBER(VLOOKUP($A242,Haver_M!$B$1:$BZ$300,MATCH(data!BM$1,Haver_M!$B$1:$BZ$1,0),FALSE)),VLOOKUP($A242,Haver_M!$B$1:$BZ$300,MATCH(data!BM$1,Haver_M!$B$1:$BZ$1,0),FALSE),"")</f>
        <v/>
      </c>
      <c r="BN242" t="str">
        <f>IF(ISNUMBER(VLOOKUP($A242,Haver_M!$B$1:$BZ$300,MATCH(data!BN$1,Haver_M!$B$1:$BZ$1,0),FALSE)),VLOOKUP($A242,Haver_M!$B$1:$BZ$300,MATCH(data!BN$1,Haver_M!$B$1:$BZ$1,0),FALSE),"")</f>
        <v/>
      </c>
      <c r="BO242" t="str">
        <f>IF(ISNUMBER(VLOOKUP($A242,Haver_M!$B$1:$BZ$300,MATCH(data!BO$1,Haver_M!$B$1:$BZ$1,0),FALSE)),VLOOKUP($A242,Haver_M!$B$1:$BZ$300,MATCH(data!BO$1,Haver_M!$B$1:$BZ$1,0),FALSE),"")</f>
        <v/>
      </c>
      <c r="BP242" t="str">
        <f>IF(ISNUMBER(VLOOKUP($A242,Haver_M!$B$1:$BZ$300,MATCH(data!BP$1,Haver_M!$B$1:$BZ$1,0),FALSE)),VLOOKUP($A242,Haver_M!$B$1:$BZ$300,MATCH(data!BP$1,Haver_M!$B$1:$BZ$1,0),FALSE),"")</f>
        <v/>
      </c>
      <c r="BQ242" t="str">
        <f>IF(ISNUMBER(VLOOKUP($A242,Haver_M!$B$1:$BZ$300,MATCH(data!BQ$1,Haver_M!$B$1:$BZ$1,0),FALSE)),VLOOKUP($A242,Haver_M!$B$1:$BZ$300,MATCH(data!BQ$1,Haver_M!$B$1:$BZ$1,0),FALSE),"")</f>
        <v/>
      </c>
      <c r="BR242" t="str">
        <f>IF(ISNUMBER(VLOOKUP($A242,Haver_M!$B$1:$BZ$300,MATCH(data!BR$1,Haver_M!$B$1:$BZ$1,0),FALSE)),VLOOKUP($A242,Haver_M!$B$1:$BZ$300,MATCH(data!BR$1,Haver_M!$B$1:$BZ$1,0),FALSE),"")</f>
        <v/>
      </c>
      <c r="BS242" t="str">
        <f>IF(ISNUMBER(VLOOKUP($A242,Haver_M!$B$1:$BZ$300,MATCH(data!BS$1,Haver_M!$B$1:$BZ$1,0),FALSE)),VLOOKUP($A242,Haver_M!$B$1:$BZ$300,MATCH(data!BS$1,Haver_M!$B$1:$BZ$1,0),FALSE),"")</f>
        <v/>
      </c>
      <c r="BT242" t="str">
        <f>IF(ISNUMBER(VLOOKUP($A242,Haver_M!$B$1:$BZ$300,MATCH(data!BT$1,Haver_M!$B$1:$BZ$1,0),FALSE)),VLOOKUP($A242,Haver_M!$B$1:$BZ$300,MATCH(data!BT$1,Haver_M!$B$1:$BZ$1,0),FALSE),"")</f>
        <v/>
      </c>
      <c r="BU242">
        <f>IF(ISNUMBER(VLOOKUP($A242,Haver_M!$B$1:$BZ$300,MATCH(data!BU$1,Haver_M!$B$1:$BZ$1,0),FALSE)),VLOOKUP($A242,Haver_M!$B$1:$BZ$300,MATCH(data!BU$1,Haver_M!$B$1:$BZ$1,0),FALSE),"")</f>
        <v>25970</v>
      </c>
      <c r="BV242">
        <f>IF(ISNUMBER(VLOOKUP($A242,Haver_M!$B$1:$BZ$300,MATCH(data!BV$1,Haver_M!$B$1:$BZ$1,0),FALSE)),VLOOKUP($A242,Haver_M!$B$1:$BZ$300,MATCH(data!BV$1,Haver_M!$B$1:$BZ$1,0),FALSE),"")</f>
        <v>41140</v>
      </c>
      <c r="BW242">
        <f>IF(ISNUMBER(VLOOKUP($A242,Haver_M!$B$1:$BZ$300,MATCH(data!BW$1,Haver_M!$B$1:$BZ$1,0),FALSE)),VLOOKUP($A242,Haver_M!$B$1:$BZ$300,MATCH(data!BW$1,Haver_M!$B$1:$BZ$1,0),FALSE),"")</f>
        <v>71.313800000000001</v>
      </c>
      <c r="BX242">
        <f>IF(ISNUMBER(VLOOKUP($A242,Haver_M!$B$1:$BZ$300,MATCH(data!BX$1,Haver_M!$B$1:$BZ$1,0),FALSE)),VLOOKUP($A242,Haver_M!$B$1:$BZ$300,MATCH(data!BX$1,Haver_M!$B$1:$BZ$1,0),FALSE),"")</f>
        <v>84037</v>
      </c>
    </row>
    <row r="243" spans="1:76" x14ac:dyDescent="0.25">
      <c r="A243" s="2">
        <v>43890</v>
      </c>
      <c r="B243" t="str">
        <f>IF(ISNUMBER(VLOOKUP($A243,Haver_Q!$B$1:$L$185,MATCH(data!B$1,Haver_Q!$B$1:$L$1,0),FALSE)),100*(VLOOKUP($A243,Haver_Q!$B$1:$L$185,MATCH(data!B$1,Haver_Q!$B$1:$L$1,0),FALSE)),"")</f>
        <v/>
      </c>
      <c r="C243" t="str">
        <f>IF(ISNUMBER(VLOOKUP($A243,Haver_Q!$B$1:$L$185,MATCH(data!C$1,Haver_Q!$B$1:$L$1,0),FALSE)),100*(VLOOKUP($A243,Haver_Q!$B$1:$L$185,MATCH(data!C$1,Haver_Q!$B$1:$L$1,0),FALSE)),"")</f>
        <v/>
      </c>
      <c r="D243" t="str">
        <f>IF(ISNUMBER(VLOOKUP($A243,Haver_Q!$B$1:$L$185,MATCH(data!D$1,Haver_Q!$B$1:$L$1,0),FALSE)),100*(VLOOKUP($A243,Haver_Q!$B$1:$L$185,MATCH(data!D$1,Haver_Q!$B$1:$L$1,0),FALSE)),"")</f>
        <v/>
      </c>
      <c r="E243" t="str">
        <f>IF(ISNUMBER(VLOOKUP($A243,Haver_Q!$B$1:$L$185,MATCH(data!E$1,Haver_Q!$B$1:$L$1,0),FALSE)),100*(VLOOKUP($A243,Haver_Q!$B$1:$L$185,MATCH(data!E$1,Haver_Q!$B$1:$L$1,0),FALSE)),"")</f>
        <v/>
      </c>
      <c r="F243" t="str">
        <f>IF(ISNUMBER(VLOOKUP($A243,Haver_Q!$B$1:$L$185,MATCH(data!F$1,Haver_Q!$B$1:$L$1,0),FALSE)),100*(VLOOKUP($A243,Haver_Q!$B$1:$L$185,MATCH(data!F$1,Haver_Q!$B$1:$L$1,0),FALSE)),"")</f>
        <v/>
      </c>
      <c r="G243" t="str">
        <f>IF(ISNUMBER(VLOOKUP($A243,Haver_Q!$B$1:$L$185,MATCH(data!G$1,Haver_Q!$B$1:$L$1,0),FALSE)),100*(VLOOKUP($A243,Haver_Q!$B$1:$L$185,MATCH(data!G$1,Haver_Q!$B$1:$L$1,0),FALSE)),"")</f>
        <v/>
      </c>
      <c r="H243" t="str">
        <f>IF(ISNUMBER(VLOOKUP($A243,Haver_Q!$B$1:$L$185,MATCH(data!H$1,Haver_Q!$B$1:$L$1,0),FALSE)),(VLOOKUP($A243,Haver_Q!$B$1:$L$185,MATCH(data!H$1,Haver_Q!$B$1:$L$1,0),FALSE)),"")</f>
        <v/>
      </c>
      <c r="I243" t="str">
        <f>IF(ISNUMBER(VLOOKUP($A243,Haver_Q!$B$1:$L$185,MATCH(data!I$1,Haver_Q!$B$1:$L$1,0),FALSE)),100*(VLOOKUP($A243,Haver_Q!$B$1:$L$185,MATCH(data!I$1,Haver_Q!$B$1:$L$1,0),FALSE)),"")</f>
        <v/>
      </c>
      <c r="J243" s="3" t="str">
        <f>IF(ISNUMBER(Bloomberg_m!C259),Bloomberg_m!C259,"")</f>
        <v/>
      </c>
      <c r="K243" s="3" t="str">
        <f>IF(ISNUMBER(Bloomberg_m!D259),Bloomberg_m!D259,"")</f>
        <v/>
      </c>
      <c r="L243" s="3" t="str">
        <f>IF(ISNUMBER(Bloomberg_m!E259),Bloomberg_m!E259,"")</f>
        <v/>
      </c>
      <c r="M243" s="3" t="str">
        <f>IF(ISNUMBER(Bloomberg_m!F259),Bloomberg_m!F259,"")</f>
        <v/>
      </c>
      <c r="N243">
        <f>IF(ISNUMBER(VLOOKUP($A243,Haver_M!$B$1:$BZ$300,MATCH(data!N$1,Haver_M!$B$1:$BZ$1,0),FALSE)),VLOOKUP($A243,Haver_M!$B$1:$BZ$300,MATCH(data!N$1,Haver_M!$B$1:$BZ$1,0),FALSE),"")</f>
        <v>5.15</v>
      </c>
      <c r="O243" t="str">
        <f>IF(ISNUMBER(VLOOKUP($A243,Haver_M!$B$1:$BZ$300,MATCH(data!O$1,Haver_M!$B$1:$BZ$1,0),FALSE)),VLOOKUP($A243,Haver_M!$B$1:$BZ$300,MATCH(data!O$1,Haver_M!$B$1:$BZ$1,0),FALSE),"")</f>
        <v/>
      </c>
      <c r="P243" t="str">
        <f>IF(ISNUMBER(VLOOKUP($A243,Haver_M!$B$1:$BZ$300,MATCH(data!P$1,Haver_M!$B$1:$BZ$1,0),FALSE)),VLOOKUP($A243,Haver_M!$B$1:$BZ$300,MATCH(data!P$1,Haver_M!$B$1:$BZ$1,0),FALSE),"")</f>
        <v/>
      </c>
      <c r="Q243" t="str">
        <f>IF(ISNUMBER(VLOOKUP($A243,Haver_M!$B$1:$BZ$300,MATCH(data!Q$1,Haver_M!$B$1:$BZ$1,0),FALSE)),VLOOKUP($A243,Haver_M!$B$1:$BZ$300,MATCH(data!Q$1,Haver_M!$B$1:$BZ$1,0),FALSE),"")</f>
        <v/>
      </c>
      <c r="R243" t="str">
        <f>IF(ISNUMBER(VLOOKUP($A243,Haver_M!$B$1:$BZ$300,MATCH(data!R$1,Haver_M!$B$1:$BZ$1,0),FALSE)),VLOOKUP($A243,Haver_M!$B$1:$BZ$300,MATCH(data!R$1,Haver_M!$B$1:$BZ$1,0),FALSE),"")</f>
        <v/>
      </c>
      <c r="S243" t="str">
        <f>IF(ISNUMBER(VLOOKUP($A243,Haver_M!$B$1:$BZ$300,MATCH(data!S$1,Haver_M!$B$1:$BZ$1,0),FALSE)),VLOOKUP($A243,Haver_M!$B$1:$BZ$300,MATCH(data!S$1,Haver_M!$B$1:$BZ$1,0),FALSE),"")</f>
        <v/>
      </c>
      <c r="T243" t="str">
        <f>IF(ISNUMBER(VLOOKUP($A243,Haver_M!$B$1:$BZ$300,MATCH(data!T$1,Haver_M!$B$1:$BZ$1,0),FALSE)),VLOOKUP($A243,Haver_M!$B$1:$BZ$300,MATCH(data!T$1,Haver_M!$B$1:$BZ$1,0),FALSE),"")</f>
        <v/>
      </c>
      <c r="U243" t="str">
        <f>IF(ISNUMBER(VLOOKUP($A243,Haver_M!$B$1:$BZ$300,MATCH(data!U$1,Haver_M!$B$1:$BZ$1,0),FALSE)),VLOOKUP($A243,Haver_M!$B$1:$BZ$300,MATCH(data!U$1,Haver_M!$B$1:$BZ$1,0),FALSE),"")</f>
        <v/>
      </c>
      <c r="V243" t="str">
        <f>IF(ISNUMBER(VLOOKUP($A243,Haver_M!$B$1:$BZ$300,MATCH(data!V$1,Haver_M!$B$1:$BZ$1,0),FALSE)),VLOOKUP($A243,Haver_M!$B$1:$BZ$300,MATCH(data!V$1,Haver_M!$B$1:$BZ$1,0),FALSE),"")</f>
        <v/>
      </c>
      <c r="W243" t="str">
        <f>IF(ISNUMBER(VLOOKUP($A243,Haver_M!$B$1:$BZ$300,MATCH(data!W$1,Haver_M!$B$1:$BZ$1,0),FALSE)),VLOOKUP($A243,Haver_M!$B$1:$BZ$300,MATCH(data!W$1,Haver_M!$B$1:$BZ$1,0),FALSE),"")</f>
        <v/>
      </c>
      <c r="X243" t="str">
        <f>IF(ISNUMBER(VLOOKUP($A243,Haver_M!$B$1:$BZ$300,MATCH(data!X$1,Haver_M!$B$1:$BZ$1,0),FALSE)),VLOOKUP($A243,Haver_M!$B$1:$BZ$300,MATCH(data!X$1,Haver_M!$B$1:$BZ$1,0),FALSE),"")</f>
        <v/>
      </c>
      <c r="Y243" t="str">
        <f>IF(ISNUMBER(VLOOKUP($A243,Haver_M!$B$1:$BZ$300,MATCH(data!Y$1,Haver_M!$B$1:$BZ$1,0),FALSE)),VLOOKUP($A243,Haver_M!$B$1:$BZ$300,MATCH(data!Y$1,Haver_M!$B$1:$BZ$1,0),FALSE),"")</f>
        <v/>
      </c>
      <c r="Z243" t="str">
        <f>IF(ISNUMBER(VLOOKUP($A243,Haver_M!$B$1:$BZ$300,MATCH(data!Z$1,Haver_M!$B$1:$BZ$1,0),FALSE)),VLOOKUP($A243,Haver_M!$B$1:$BZ$300,MATCH(data!Z$1,Haver_M!$B$1:$BZ$1,0),FALSE),"")</f>
        <v/>
      </c>
      <c r="AA243" t="str">
        <f>IF(ISNUMBER(VLOOKUP($A243,Haver_M!$B$1:$BZ$300,MATCH(data!AA$1,Haver_M!$B$1:$BZ$1,0),FALSE)),VLOOKUP($A243,Haver_M!$B$1:$BZ$300,MATCH(data!AA$1,Haver_M!$B$1:$BZ$1,0),FALSE),"")</f>
        <v/>
      </c>
      <c r="AB243" t="str">
        <f>IF(ISNUMBER(VLOOKUP($A243,Haver_M!$B$1:$BZ$300,MATCH(data!AB$1,Haver_M!$B$1:$BZ$1,0),FALSE)),VLOOKUP($A243,Haver_M!$B$1:$BZ$300,MATCH(data!AB$1,Haver_M!$B$1:$BZ$1,0),FALSE),"")</f>
        <v/>
      </c>
      <c r="AC243" t="str">
        <f>IF(ISNUMBER(VLOOKUP($A243,Haver_M!$B$1:$BZ$300,MATCH(data!AC$1,Haver_M!$B$1:$BZ$1,0),FALSE)),VLOOKUP($A243,Haver_M!$B$1:$BZ$300,MATCH(data!AC$1,Haver_M!$B$1:$BZ$1,0),FALSE),"")</f>
        <v/>
      </c>
      <c r="AD243" t="str">
        <f>IF(ISNUMBER(VLOOKUP($A243,Haver_M!$B$1:$BZ$300,MATCH(data!AD$1,Haver_M!$B$1:$BZ$1,0),FALSE)),VLOOKUP($A243,Haver_M!$B$1:$BZ$300,MATCH(data!AD$1,Haver_M!$B$1:$BZ$1,0),FALSE),"")</f>
        <v/>
      </c>
      <c r="AE243" t="str">
        <f>IF(ISNUMBER(VLOOKUP($A243,Haver_M!$B$1:$BZ$300,MATCH(data!AE$1,Haver_M!$B$1:$BZ$1,0),FALSE)),VLOOKUP($A243,Haver_M!$B$1:$BZ$300,MATCH(data!AE$1,Haver_M!$B$1:$BZ$1,0),FALSE),"")</f>
        <v/>
      </c>
      <c r="AF243" t="str">
        <f>IF(ISNUMBER(VLOOKUP($A243,Haver_M!$B$1:$BZ$300,MATCH(data!AF$1,Haver_M!$B$1:$BZ$1,0),FALSE)),VLOOKUP($A243,Haver_M!$B$1:$BZ$300,MATCH(data!AF$1,Haver_M!$B$1:$BZ$1,0),FALSE),"")</f>
        <v/>
      </c>
      <c r="AG243" t="str">
        <f>IF(ISNUMBER(VLOOKUP($A243,Haver_M!$B$1:$BZ$300,MATCH(data!AG$1,Haver_M!$B$1:$BZ$1,0),FALSE)),VLOOKUP($A243,Haver_M!$B$1:$BZ$300,MATCH(data!AG$1,Haver_M!$B$1:$BZ$1,0),FALSE),"")</f>
        <v/>
      </c>
      <c r="AH243" t="str">
        <f>IF(ISNUMBER(VLOOKUP($A243,Haver_M!$B$1:$BZ$300,MATCH(data!AH$1,Haver_M!$B$1:$BZ$1,0),FALSE)),VLOOKUP($A243,Haver_M!$B$1:$BZ$300,MATCH(data!AH$1,Haver_M!$B$1:$BZ$1,0),FALSE),"")</f>
        <v/>
      </c>
      <c r="AI243" t="str">
        <f>IF(ISNUMBER(VLOOKUP($A243,Haver_M!$B$1:$BZ$300,MATCH(data!AI$1,Haver_M!$B$1:$BZ$1,0),FALSE)),VLOOKUP($A243,Haver_M!$B$1:$BZ$300,MATCH(data!AI$1,Haver_M!$B$1:$BZ$1,0),FALSE),"")</f>
        <v/>
      </c>
      <c r="AJ243" t="str">
        <f>IF(ISNUMBER(VLOOKUP($A243,Haver_M!$B$1:$BZ$300,MATCH(data!AJ$1,Haver_M!$B$1:$BZ$1,0),FALSE)),VLOOKUP($A243,Haver_M!$B$1:$BZ$300,MATCH(data!AJ$1,Haver_M!$B$1:$BZ$1,0),FALSE),"")</f>
        <v/>
      </c>
      <c r="AK243" t="str">
        <f>IF(ISNUMBER(VLOOKUP($A243,Haver_M!$B$1:$BZ$300,MATCH(data!AK$1,Haver_M!$B$1:$BZ$1,0),FALSE)),VLOOKUP($A243,Haver_M!$B$1:$BZ$300,MATCH(data!AK$1,Haver_M!$B$1:$BZ$1,0),FALSE),"")</f>
        <v/>
      </c>
      <c r="AL243" t="str">
        <f>IF(ISNUMBER(VLOOKUP($A243,Haver_M!$B$1:$BZ$300,MATCH(data!AL$1,Haver_M!$B$1:$BZ$1,0),FALSE)),VLOOKUP($A243,Haver_M!$B$1:$BZ$300,MATCH(data!AL$1,Haver_M!$B$1:$BZ$1,0),FALSE),"")</f>
        <v/>
      </c>
      <c r="AM243" t="str">
        <f>IF(ISNUMBER(VLOOKUP($A243,Haver_M!$B$1:$BZ$300,MATCH(data!AM$1,Haver_M!$B$1:$BZ$1,0),FALSE)),VLOOKUP($A243,Haver_M!$B$1:$BZ$300,MATCH(data!AM$1,Haver_M!$B$1:$BZ$1,0),FALSE),"")</f>
        <v/>
      </c>
      <c r="AN243" t="str">
        <f>IF(ISNUMBER(VLOOKUP($A243,Haver_M!$B$1:$BZ$300,MATCH(data!AN$1,Haver_M!$B$1:$BZ$1,0),FALSE)),VLOOKUP($A243,Haver_M!$B$1:$BZ$300,MATCH(data!AN$1,Haver_M!$B$1:$BZ$1,0),FALSE),"")</f>
        <v/>
      </c>
      <c r="AO243" t="str">
        <f>IF(ISNUMBER(VLOOKUP($A243,Haver_M!$B$1:$BZ$300,MATCH(data!AO$1,Haver_M!$B$1:$BZ$1,0),FALSE)),VLOOKUP($A243,Haver_M!$B$1:$BZ$300,MATCH(data!AO$1,Haver_M!$B$1:$BZ$1,0),FALSE),"")</f>
        <v/>
      </c>
      <c r="AP243" t="str">
        <f>IF(ISNUMBER(VLOOKUP($A243,Haver_M!$B$1:$BZ$300,MATCH(data!AP$1,Haver_M!$B$1:$BZ$1,0),FALSE)),VLOOKUP($A243,Haver_M!$B$1:$BZ$300,MATCH(data!AP$1,Haver_M!$B$1:$BZ$1,0),FALSE),"")</f>
        <v/>
      </c>
      <c r="AQ243" t="str">
        <f>IF(ISNUMBER(VLOOKUP($A243,Haver_M!$B$1:$BZ$300,MATCH(data!AQ$1,Haver_M!$B$1:$BZ$1,0),FALSE)),VLOOKUP($A243,Haver_M!$B$1:$BZ$300,MATCH(data!AQ$1,Haver_M!$B$1:$BZ$1,0),FALSE),"")</f>
        <v/>
      </c>
      <c r="AR243" t="str">
        <f>IF(ISNUMBER(VLOOKUP($A243,Haver_M!$B$1:$BZ$300,MATCH(data!AR$1,Haver_M!$B$1:$BZ$1,0),FALSE)),VLOOKUP($A243,Haver_M!$B$1:$BZ$300,MATCH(data!AR$1,Haver_M!$B$1:$BZ$1,0),FALSE),"")</f>
        <v/>
      </c>
      <c r="AS243" t="str">
        <f>IF(ISNUMBER(VLOOKUP($A243,Haver_M!$B$1:$BZ$300,MATCH(data!AS$1,Haver_M!$B$1:$BZ$1,0),FALSE)),VLOOKUP($A243,Haver_M!$B$1:$BZ$300,MATCH(data!AS$1,Haver_M!$B$1:$BZ$1,0),FALSE),"")</f>
        <v/>
      </c>
      <c r="AT243" t="str">
        <f>IF(ISNUMBER(VLOOKUP($A243,Haver_M!$B$1:$BZ$300,MATCH(data!AT$1,Haver_M!$B$1:$BZ$1,0),FALSE)),VLOOKUP($A243,Haver_M!$B$1:$BZ$300,MATCH(data!AT$1,Haver_M!$B$1:$BZ$1,0),FALSE),"")</f>
        <v/>
      </c>
      <c r="AU243" t="str">
        <f>IF(ISNUMBER(VLOOKUP($A243,Haver_M!$B$1:$BZ$300,MATCH(data!AU$1,Haver_M!$B$1:$BZ$1,0),FALSE)),VLOOKUP($A243,Haver_M!$B$1:$BZ$300,MATCH(data!AU$1,Haver_M!$B$1:$BZ$1,0),FALSE),"")</f>
        <v/>
      </c>
      <c r="AV243" t="str">
        <f>IF(ISNUMBER(VLOOKUP($A243,Haver_M!$B$1:$BZ$300,MATCH(data!AV$1,Haver_M!$B$1:$BZ$1,0),FALSE)),VLOOKUP($A243,Haver_M!$B$1:$BZ$300,MATCH(data!AV$1,Haver_M!$B$1:$BZ$1,0),FALSE),"")</f>
        <v/>
      </c>
      <c r="AW243" t="str">
        <f>IF(ISNUMBER(VLOOKUP($A243,Haver_M!$B$1:$BZ$300,MATCH(data!AW$1,Haver_M!$B$1:$BZ$1,0),FALSE)),VLOOKUP($A243,Haver_M!$B$1:$BZ$300,MATCH(data!AW$1,Haver_M!$B$1:$BZ$1,0),FALSE),"")</f>
        <v/>
      </c>
      <c r="AX243" t="str">
        <f>IF(ISNUMBER(VLOOKUP($A243,Haver_M!$B$1:$BZ$300,MATCH(data!AX$1,Haver_M!$B$1:$BZ$1,0),FALSE)),VLOOKUP($A243,Haver_M!$B$1:$BZ$300,MATCH(data!AX$1,Haver_M!$B$1:$BZ$1,0),FALSE),"")</f>
        <v/>
      </c>
      <c r="AY243" t="str">
        <f>IF(ISNUMBER(VLOOKUP($A243,Haver_M!$B$1:$BZ$300,MATCH(data!AY$1,Haver_M!$B$1:$BZ$1,0),FALSE)),VLOOKUP($A243,Haver_M!$B$1:$BZ$300,MATCH(data!AY$1,Haver_M!$B$1:$BZ$1,0),FALSE),"")</f>
        <v/>
      </c>
      <c r="AZ243" t="str">
        <f>IF(ISNUMBER(VLOOKUP($A243,Haver_M!$B$1:$BZ$300,MATCH(data!AZ$1,Haver_M!$B$1:$BZ$1,0),FALSE)),VLOOKUP($A243,Haver_M!$B$1:$BZ$300,MATCH(data!AZ$1,Haver_M!$B$1:$BZ$1,0),FALSE),"")</f>
        <v/>
      </c>
      <c r="BA243" t="str">
        <f>IF(ISNUMBER(VLOOKUP($A243,Haver_M!$B$1:$BZ$300,MATCH(data!BA$1,Haver_M!$B$1:$BZ$1,0),FALSE)),VLOOKUP($A243,Haver_M!$B$1:$BZ$300,MATCH(data!BA$1,Haver_M!$B$1:$BZ$1,0),FALSE),"")</f>
        <v/>
      </c>
      <c r="BB243" t="str">
        <f>IF(ISNUMBER(VLOOKUP($A243,Haver_M!$B$1:$BZ$300,MATCH(data!BB$1,Haver_M!$B$1:$BZ$1,0),FALSE)),VLOOKUP($A243,Haver_M!$B$1:$BZ$300,MATCH(data!BB$1,Haver_M!$B$1:$BZ$1,0),FALSE),"")</f>
        <v/>
      </c>
      <c r="BC243" t="str">
        <f>IF(ISNUMBER(VLOOKUP($A243,Haver_M!$B$1:$BZ$300,MATCH(data!BC$1,Haver_M!$B$1:$BZ$1,0),FALSE)),VLOOKUP($A243,Haver_M!$B$1:$BZ$300,MATCH(data!BC$1,Haver_M!$B$1:$BZ$1,0),FALSE),"")</f>
        <v/>
      </c>
      <c r="BD243" t="str">
        <f>IF(ISNUMBER(VLOOKUP($A243,Haver_M!$B$1:$BZ$300,MATCH(data!BD$1,Haver_M!$B$1:$BZ$1,0),FALSE)),VLOOKUP($A243,Haver_M!$B$1:$BZ$300,MATCH(data!BD$1,Haver_M!$B$1:$BZ$1,0),FALSE),"")</f>
        <v/>
      </c>
      <c r="BE243" t="str">
        <f>IF(ISNUMBER(VLOOKUP($A243,Haver_M!$B$1:$BZ$300,MATCH(data!BE$1,Haver_M!$B$1:$BZ$1,0),FALSE)),VLOOKUP($A243,Haver_M!$B$1:$BZ$300,MATCH(data!BE$1,Haver_M!$B$1:$BZ$1,0),FALSE),"")</f>
        <v/>
      </c>
      <c r="BF243" t="str">
        <f>IF(ISNUMBER(VLOOKUP($A243,Haver_M!$B$1:$BZ$300,MATCH(data!BF$1,Haver_M!$B$1:$BZ$1,0),FALSE)),VLOOKUP($A243,Haver_M!$B$1:$BZ$300,MATCH(data!BF$1,Haver_M!$B$1:$BZ$1,0),FALSE),"")</f>
        <v/>
      </c>
      <c r="BG243" t="str">
        <f>IF(ISNUMBER(VLOOKUP($A243,Haver_M!$B$1:$BZ$300,MATCH(data!BG$1,Haver_M!$B$1:$BZ$1,0),FALSE)),VLOOKUP($A243,Haver_M!$B$1:$BZ$300,MATCH(data!BG$1,Haver_M!$B$1:$BZ$1,0),FALSE),"")</f>
        <v/>
      </c>
      <c r="BH243" t="str">
        <f>IF(ISNUMBER(VLOOKUP($A243,Haver_M!$B$1:$BZ$300,MATCH(data!BH$1,Haver_M!$B$1:$BZ$1,0),FALSE)),VLOOKUP($A243,Haver_M!$B$1:$BZ$300,MATCH(data!BH$1,Haver_M!$B$1:$BZ$1,0),FALSE),"")</f>
        <v/>
      </c>
      <c r="BI243" t="str">
        <f>IF(ISNUMBER(VLOOKUP($A243,Haver_M!$B$1:$BZ$300,MATCH(data!BI$1,Haver_M!$B$1:$BZ$1,0),FALSE)),VLOOKUP($A243,Haver_M!$B$1:$BZ$300,MATCH(data!BI$1,Haver_M!$B$1:$BZ$1,0),FALSE),"")</f>
        <v/>
      </c>
      <c r="BJ243" t="str">
        <f>IF(ISNUMBER(VLOOKUP($A243,Haver_M!$B$1:$BZ$300,MATCH(data!BJ$1,Haver_M!$B$1:$BZ$1,0),FALSE)),VLOOKUP($A243,Haver_M!$B$1:$BZ$300,MATCH(data!BJ$1,Haver_M!$B$1:$BZ$1,0),FALSE),"")</f>
        <v/>
      </c>
      <c r="BK243" t="str">
        <f>IF(ISNUMBER(VLOOKUP($A243,Haver_M!$B$1:$BZ$300,MATCH(data!BK$1,Haver_M!$B$1:$BZ$1,0),FALSE)),VLOOKUP($A243,Haver_M!$B$1:$BZ$300,MATCH(data!BK$1,Haver_M!$B$1:$BZ$1,0),FALSE),"")</f>
        <v/>
      </c>
      <c r="BL243" t="str">
        <f>IF(ISNUMBER(VLOOKUP($A243,Haver_M!$B$1:$BZ$300,MATCH(data!BL$1,Haver_M!$B$1:$BZ$1,0),FALSE)),VLOOKUP($A243,Haver_M!$B$1:$BZ$300,MATCH(data!BL$1,Haver_M!$B$1:$BZ$1,0),FALSE),"")</f>
        <v/>
      </c>
      <c r="BM243" t="str">
        <f>IF(ISNUMBER(VLOOKUP($A243,Haver_M!$B$1:$BZ$300,MATCH(data!BM$1,Haver_M!$B$1:$BZ$1,0),FALSE)),VLOOKUP($A243,Haver_M!$B$1:$BZ$300,MATCH(data!BM$1,Haver_M!$B$1:$BZ$1,0),FALSE),"")</f>
        <v/>
      </c>
      <c r="BN243" t="str">
        <f>IF(ISNUMBER(VLOOKUP($A243,Haver_M!$B$1:$BZ$300,MATCH(data!BN$1,Haver_M!$B$1:$BZ$1,0),FALSE)),VLOOKUP($A243,Haver_M!$B$1:$BZ$300,MATCH(data!BN$1,Haver_M!$B$1:$BZ$1,0),FALSE),"")</f>
        <v/>
      </c>
      <c r="BO243" t="str">
        <f>IF(ISNUMBER(VLOOKUP($A243,Haver_M!$B$1:$BZ$300,MATCH(data!BO$1,Haver_M!$B$1:$BZ$1,0),FALSE)),VLOOKUP($A243,Haver_M!$B$1:$BZ$300,MATCH(data!BO$1,Haver_M!$B$1:$BZ$1,0),FALSE),"")</f>
        <v/>
      </c>
      <c r="BP243" t="str">
        <f>IF(ISNUMBER(VLOOKUP($A243,Haver_M!$B$1:$BZ$300,MATCH(data!BP$1,Haver_M!$B$1:$BZ$1,0),FALSE)),VLOOKUP($A243,Haver_M!$B$1:$BZ$300,MATCH(data!BP$1,Haver_M!$B$1:$BZ$1,0),FALSE),"")</f>
        <v/>
      </c>
      <c r="BQ243" t="str">
        <f>IF(ISNUMBER(VLOOKUP($A243,Haver_M!$B$1:$BZ$300,MATCH(data!BQ$1,Haver_M!$B$1:$BZ$1,0),FALSE)),VLOOKUP($A243,Haver_M!$B$1:$BZ$300,MATCH(data!BQ$1,Haver_M!$B$1:$BZ$1,0),FALSE),"")</f>
        <v/>
      </c>
      <c r="BR243" t="str">
        <f>IF(ISNUMBER(VLOOKUP($A243,Haver_M!$B$1:$BZ$300,MATCH(data!BR$1,Haver_M!$B$1:$BZ$1,0),FALSE)),VLOOKUP($A243,Haver_M!$B$1:$BZ$300,MATCH(data!BR$1,Haver_M!$B$1:$BZ$1,0),FALSE),"")</f>
        <v/>
      </c>
      <c r="BS243" t="str">
        <f>IF(ISNUMBER(VLOOKUP($A243,Haver_M!$B$1:$BZ$300,MATCH(data!BS$1,Haver_M!$B$1:$BZ$1,0),FALSE)),VLOOKUP($A243,Haver_M!$B$1:$BZ$300,MATCH(data!BS$1,Haver_M!$B$1:$BZ$1,0),FALSE),"")</f>
        <v/>
      </c>
      <c r="BT243" t="str">
        <f>IF(ISNUMBER(VLOOKUP($A243,Haver_M!$B$1:$BZ$300,MATCH(data!BT$1,Haver_M!$B$1:$BZ$1,0),FALSE)),VLOOKUP($A243,Haver_M!$B$1:$BZ$300,MATCH(data!BT$1,Haver_M!$B$1:$BZ$1,0),FALSE),"")</f>
        <v/>
      </c>
      <c r="BU243" t="str">
        <f>IF(ISNUMBER(VLOOKUP($A243,Haver_M!$B$1:$BZ$300,MATCH(data!BU$1,Haver_M!$B$1:$BZ$1,0),FALSE)),VLOOKUP($A243,Haver_M!$B$1:$BZ$300,MATCH(data!BU$1,Haver_M!$B$1:$BZ$1,0),FALSE),"")</f>
        <v/>
      </c>
      <c r="BV243" t="str">
        <f>IF(ISNUMBER(VLOOKUP($A243,Haver_M!$B$1:$BZ$300,MATCH(data!BV$1,Haver_M!$B$1:$BZ$1,0),FALSE)),VLOOKUP($A243,Haver_M!$B$1:$BZ$300,MATCH(data!BV$1,Haver_M!$B$1:$BZ$1,0),FALSE),"")</f>
        <v/>
      </c>
      <c r="BW243" t="str">
        <f>IF(ISNUMBER(VLOOKUP($A243,Haver_M!$B$1:$BZ$300,MATCH(data!BW$1,Haver_M!$B$1:$BZ$1,0),FALSE)),VLOOKUP($A243,Haver_M!$B$1:$BZ$300,MATCH(data!BW$1,Haver_M!$B$1:$BZ$1,0),FALSE),"")</f>
        <v/>
      </c>
      <c r="BX243" t="str">
        <f>IF(ISNUMBER(VLOOKUP($A243,Haver_M!$B$1:$BZ$300,MATCH(data!BX$1,Haver_M!$B$1:$BZ$1,0),FALSE)),VLOOKUP($A243,Haver_M!$B$1:$BZ$300,MATCH(data!BX$1,Haver_M!$B$1:$BZ$1,0),FALSE),"")</f>
        <v/>
      </c>
    </row>
    <row r="244" spans="1:76" x14ac:dyDescent="0.25">
      <c r="A244" s="27"/>
    </row>
    <row r="245" spans="1:76" x14ac:dyDescent="0.25">
      <c r="A245" s="27"/>
    </row>
    <row r="246" spans="1:76" x14ac:dyDescent="0.25">
      <c r="A246" s="27"/>
    </row>
    <row r="247" spans="1:76" x14ac:dyDescent="0.25">
      <c r="A247" s="27"/>
    </row>
    <row r="248" spans="1:76" x14ac:dyDescent="0.25">
      <c r="A248" s="27"/>
    </row>
    <row r="249" spans="1:76" x14ac:dyDescent="0.25">
      <c r="A249" s="27"/>
    </row>
    <row r="250" spans="1:76" x14ac:dyDescent="0.25">
      <c r="A250" s="27"/>
    </row>
    <row r="251" spans="1:76" x14ac:dyDescent="0.25">
      <c r="A251" s="27"/>
    </row>
    <row r="252" spans="1:76" x14ac:dyDescent="0.25">
      <c r="A252" s="27"/>
    </row>
    <row r="253" spans="1:76" x14ac:dyDescent="0.25">
      <c r="A253" s="27"/>
    </row>
    <row r="254" spans="1:76" x14ac:dyDescent="0.25">
      <c r="A254" s="27"/>
    </row>
    <row r="255" spans="1:76" x14ac:dyDescent="0.25">
      <c r="A255" s="27"/>
    </row>
    <row r="256" spans="1:76" x14ac:dyDescent="0.25">
      <c r="A256" s="27"/>
    </row>
    <row r="257" spans="1:1" x14ac:dyDescent="0.25">
      <c r="A257" s="27"/>
    </row>
    <row r="258" spans="1:1" x14ac:dyDescent="0.25">
      <c r="A258" s="27"/>
    </row>
    <row r="259" spans="1:1" x14ac:dyDescent="0.25">
      <c r="A259" s="27"/>
    </row>
    <row r="260" spans="1:1" x14ac:dyDescent="0.25">
      <c r="A260" s="27"/>
    </row>
    <row r="261" spans="1:1" x14ac:dyDescent="0.25">
      <c r="A261" s="27"/>
    </row>
    <row r="262" spans="1:1" x14ac:dyDescent="0.25">
      <c r="A262" s="27"/>
    </row>
    <row r="263" spans="1:1" x14ac:dyDescent="0.25">
      <c r="A263" s="27"/>
    </row>
    <row r="264" spans="1:1" x14ac:dyDescent="0.25">
      <c r="A264" s="27"/>
    </row>
    <row r="265" spans="1:1" x14ac:dyDescent="0.25">
      <c r="A265" s="27"/>
    </row>
    <row r="266" spans="1:1" x14ac:dyDescent="0.25">
      <c r="A266" s="27"/>
    </row>
    <row r="267" spans="1:1" x14ac:dyDescent="0.25">
      <c r="A267" s="27"/>
    </row>
    <row r="268" spans="1:1" x14ac:dyDescent="0.25">
      <c r="A268" s="27"/>
    </row>
    <row r="269" spans="1:1" x14ac:dyDescent="0.25">
      <c r="A269" s="27"/>
    </row>
    <row r="270" spans="1:1" x14ac:dyDescent="0.25">
      <c r="A270" s="27"/>
    </row>
    <row r="271" spans="1:1" x14ac:dyDescent="0.25">
      <c r="A271" s="27"/>
    </row>
    <row r="272" spans="1:1" x14ac:dyDescent="0.25">
      <c r="A272" s="27"/>
    </row>
    <row r="273" spans="1:1" x14ac:dyDescent="0.25">
      <c r="A273" s="27"/>
    </row>
    <row r="274" spans="1:1" x14ac:dyDescent="0.25">
      <c r="A274" s="27"/>
    </row>
    <row r="275" spans="1:1" x14ac:dyDescent="0.25">
      <c r="A275" s="27"/>
    </row>
    <row r="276" spans="1:1" x14ac:dyDescent="0.25">
      <c r="A276" s="27"/>
    </row>
    <row r="277" spans="1:1" x14ac:dyDescent="0.25">
      <c r="A277" s="27"/>
    </row>
    <row r="278" spans="1:1" x14ac:dyDescent="0.25">
      <c r="A278" s="27"/>
    </row>
    <row r="279" spans="1:1" x14ac:dyDescent="0.25">
      <c r="A279" s="27"/>
    </row>
    <row r="280" spans="1:1" x14ac:dyDescent="0.25">
      <c r="A280" s="27"/>
    </row>
    <row r="281" spans="1:1" x14ac:dyDescent="0.25">
      <c r="A281" s="27"/>
    </row>
    <row r="282" spans="1:1" x14ac:dyDescent="0.25">
      <c r="A282" s="27"/>
    </row>
    <row r="283" spans="1:1" x14ac:dyDescent="0.25">
      <c r="A283" s="27"/>
    </row>
    <row r="284" spans="1:1" x14ac:dyDescent="0.25">
      <c r="A284" s="27"/>
    </row>
    <row r="285" spans="1:1" x14ac:dyDescent="0.25">
      <c r="A285" s="27"/>
    </row>
    <row r="286" spans="1:1" x14ac:dyDescent="0.25">
      <c r="A286" s="27"/>
    </row>
    <row r="287" spans="1:1" x14ac:dyDescent="0.25">
      <c r="A287" s="27"/>
    </row>
    <row r="288" spans="1:1" x14ac:dyDescent="0.25">
      <c r="A288" s="27"/>
    </row>
    <row r="289" spans="1:1" x14ac:dyDescent="0.25">
      <c r="A289" s="27"/>
    </row>
    <row r="290" spans="1:1" x14ac:dyDescent="0.25">
      <c r="A290" s="27"/>
    </row>
    <row r="291" spans="1:1" x14ac:dyDescent="0.25">
      <c r="A291" s="27"/>
    </row>
    <row r="292" spans="1:1" x14ac:dyDescent="0.25">
      <c r="A292" s="27"/>
    </row>
    <row r="293" spans="1:1" x14ac:dyDescent="0.25">
      <c r="A293" s="27"/>
    </row>
    <row r="294" spans="1:1" x14ac:dyDescent="0.25">
      <c r="A294" s="27"/>
    </row>
    <row r="295" spans="1:1" x14ac:dyDescent="0.25">
      <c r="A295" s="27"/>
    </row>
    <row r="296" spans="1:1" x14ac:dyDescent="0.25">
      <c r="A296" s="27"/>
    </row>
    <row r="297" spans="1:1" x14ac:dyDescent="0.25">
      <c r="A297" s="27"/>
    </row>
    <row r="298" spans="1:1" x14ac:dyDescent="0.25">
      <c r="A298" s="27"/>
    </row>
    <row r="299" spans="1:1" x14ac:dyDescent="0.25">
      <c r="A299" s="27"/>
    </row>
    <row r="300" spans="1:1" x14ac:dyDescent="0.25">
      <c r="A300" s="27"/>
    </row>
    <row r="301" spans="1:1" x14ac:dyDescent="0.25">
      <c r="A301" s="27"/>
    </row>
    <row r="302" spans="1:1" x14ac:dyDescent="0.25">
      <c r="A302" s="27"/>
    </row>
    <row r="303" spans="1:1" x14ac:dyDescent="0.25">
      <c r="A303" s="27"/>
    </row>
    <row r="304" spans="1:1" x14ac:dyDescent="0.25">
      <c r="A304" s="27"/>
    </row>
    <row r="305" spans="1:1" x14ac:dyDescent="0.25">
      <c r="A305" s="27"/>
    </row>
    <row r="306" spans="1:1" x14ac:dyDescent="0.25">
      <c r="A306" s="27"/>
    </row>
    <row r="307" spans="1:1" x14ac:dyDescent="0.25">
      <c r="A307" s="27"/>
    </row>
    <row r="308" spans="1:1" x14ac:dyDescent="0.25">
      <c r="A308" s="27"/>
    </row>
    <row r="309" spans="1:1" x14ac:dyDescent="0.25">
      <c r="A309" s="27"/>
    </row>
    <row r="310" spans="1:1" x14ac:dyDescent="0.25">
      <c r="A310" s="27"/>
    </row>
    <row r="311" spans="1:1" x14ac:dyDescent="0.25">
      <c r="A311" s="27"/>
    </row>
    <row r="312" spans="1:1" x14ac:dyDescent="0.25">
      <c r="A312" s="27"/>
    </row>
    <row r="313" spans="1:1" x14ac:dyDescent="0.25">
      <c r="A313" s="27"/>
    </row>
    <row r="314" spans="1:1" x14ac:dyDescent="0.25">
      <c r="A314" s="27"/>
    </row>
    <row r="315" spans="1:1" x14ac:dyDescent="0.25">
      <c r="A315" s="27"/>
    </row>
    <row r="316" spans="1:1" x14ac:dyDescent="0.25">
      <c r="A316" s="27"/>
    </row>
    <row r="317" spans="1:1" x14ac:dyDescent="0.25">
      <c r="A317" s="27"/>
    </row>
    <row r="318" spans="1:1" x14ac:dyDescent="0.25">
      <c r="A318" s="27"/>
    </row>
    <row r="319" spans="1:1" x14ac:dyDescent="0.25">
      <c r="A319" s="27"/>
    </row>
    <row r="320" spans="1:1" x14ac:dyDescent="0.25">
      <c r="A320" s="27"/>
    </row>
    <row r="321" spans="1:1" x14ac:dyDescent="0.25">
      <c r="A321" s="27"/>
    </row>
    <row r="322" spans="1:1" x14ac:dyDescent="0.25">
      <c r="A322" s="27"/>
    </row>
    <row r="323" spans="1:1" x14ac:dyDescent="0.25">
      <c r="A323" s="27"/>
    </row>
    <row r="324" spans="1:1" x14ac:dyDescent="0.25">
      <c r="A324" s="27"/>
    </row>
    <row r="325" spans="1:1" x14ac:dyDescent="0.25">
      <c r="A325" s="27"/>
    </row>
    <row r="326" spans="1:1" x14ac:dyDescent="0.25">
      <c r="A326" s="27"/>
    </row>
    <row r="327" spans="1:1" x14ac:dyDescent="0.25">
      <c r="A327" s="27"/>
    </row>
    <row r="328" spans="1:1" x14ac:dyDescent="0.25">
      <c r="A328" s="27"/>
    </row>
    <row r="329" spans="1:1" x14ac:dyDescent="0.25">
      <c r="A329" s="27"/>
    </row>
    <row r="330" spans="1:1" x14ac:dyDescent="0.25">
      <c r="A330" s="27"/>
    </row>
    <row r="331" spans="1:1" x14ac:dyDescent="0.25">
      <c r="A331" s="27"/>
    </row>
    <row r="332" spans="1:1" x14ac:dyDescent="0.25">
      <c r="A332" s="27"/>
    </row>
    <row r="333" spans="1:1" x14ac:dyDescent="0.25">
      <c r="A333" s="27"/>
    </row>
    <row r="334" spans="1:1" x14ac:dyDescent="0.25">
      <c r="A334" s="27"/>
    </row>
    <row r="335" spans="1:1" x14ac:dyDescent="0.25">
      <c r="A335" s="27"/>
    </row>
    <row r="336" spans="1:1" x14ac:dyDescent="0.25">
      <c r="A336" s="27"/>
    </row>
    <row r="337" spans="1:1" x14ac:dyDescent="0.25">
      <c r="A337" s="27"/>
    </row>
    <row r="338" spans="1:1" x14ac:dyDescent="0.25">
      <c r="A338" s="27"/>
    </row>
    <row r="339" spans="1:1" x14ac:dyDescent="0.25">
      <c r="A339" s="27"/>
    </row>
    <row r="340" spans="1:1" x14ac:dyDescent="0.25">
      <c r="A340" s="27"/>
    </row>
    <row r="341" spans="1:1" x14ac:dyDescent="0.25">
      <c r="A341" s="27"/>
    </row>
    <row r="342" spans="1:1" x14ac:dyDescent="0.25">
      <c r="A342" s="27"/>
    </row>
    <row r="343" spans="1:1" x14ac:dyDescent="0.25">
      <c r="A343" s="27"/>
    </row>
    <row r="344" spans="1:1" x14ac:dyDescent="0.25">
      <c r="A344" s="27"/>
    </row>
    <row r="345" spans="1:1" x14ac:dyDescent="0.25">
      <c r="A345" s="27"/>
    </row>
    <row r="346" spans="1:1" x14ac:dyDescent="0.25">
      <c r="A346" s="27"/>
    </row>
    <row r="347" spans="1:1" x14ac:dyDescent="0.25">
      <c r="A347" s="27"/>
    </row>
    <row r="348" spans="1:1" x14ac:dyDescent="0.25">
      <c r="A348" s="27"/>
    </row>
    <row r="349" spans="1:1" x14ac:dyDescent="0.25">
      <c r="A349" s="27"/>
    </row>
    <row r="350" spans="1:1" x14ac:dyDescent="0.25">
      <c r="A350" s="27"/>
    </row>
    <row r="351" spans="1:1" x14ac:dyDescent="0.25">
      <c r="A351" s="27"/>
    </row>
    <row r="352" spans="1:1" x14ac:dyDescent="0.25">
      <c r="A352" s="27"/>
    </row>
    <row r="353" spans="1:1" x14ac:dyDescent="0.25">
      <c r="A353" s="27"/>
    </row>
    <row r="354" spans="1:1" x14ac:dyDescent="0.25">
      <c r="A354" s="27"/>
    </row>
    <row r="355" spans="1:1" x14ac:dyDescent="0.25">
      <c r="A355" s="27"/>
    </row>
    <row r="356" spans="1:1" x14ac:dyDescent="0.25">
      <c r="A356" s="27"/>
    </row>
    <row r="357" spans="1:1" x14ac:dyDescent="0.25">
      <c r="A357" s="27"/>
    </row>
    <row r="358" spans="1:1" x14ac:dyDescent="0.25">
      <c r="A358" s="27"/>
    </row>
    <row r="359" spans="1:1" x14ac:dyDescent="0.25">
      <c r="A359" s="27"/>
    </row>
    <row r="360" spans="1:1" x14ac:dyDescent="0.25">
      <c r="A360" s="27"/>
    </row>
    <row r="361" spans="1:1" x14ac:dyDescent="0.25">
      <c r="A361" s="27"/>
    </row>
    <row r="362" spans="1:1" x14ac:dyDescent="0.25">
      <c r="A362" s="27"/>
    </row>
    <row r="363" spans="1:1" x14ac:dyDescent="0.25">
      <c r="A363" s="27"/>
    </row>
    <row r="364" spans="1:1" x14ac:dyDescent="0.25">
      <c r="A364" s="27"/>
    </row>
    <row r="365" spans="1:1" x14ac:dyDescent="0.25">
      <c r="A365" s="27"/>
    </row>
    <row r="366" spans="1:1" x14ac:dyDescent="0.25">
      <c r="A366" s="27"/>
    </row>
    <row r="367" spans="1:1" x14ac:dyDescent="0.25">
      <c r="A367" s="27"/>
    </row>
    <row r="368" spans="1:1" x14ac:dyDescent="0.25">
      <c r="A368" s="27"/>
    </row>
    <row r="369" spans="1:1" x14ac:dyDescent="0.25">
      <c r="A369" s="27"/>
    </row>
    <row r="370" spans="1:1" x14ac:dyDescent="0.25">
      <c r="A370" s="27"/>
    </row>
    <row r="371" spans="1:1" x14ac:dyDescent="0.25">
      <c r="A371" s="27"/>
    </row>
    <row r="372" spans="1:1" x14ac:dyDescent="0.25">
      <c r="A372" s="27"/>
    </row>
    <row r="373" spans="1:1" x14ac:dyDescent="0.25">
      <c r="A373" s="27"/>
    </row>
    <row r="374" spans="1:1" x14ac:dyDescent="0.25">
      <c r="A374" s="27"/>
    </row>
    <row r="375" spans="1:1" x14ac:dyDescent="0.25">
      <c r="A375" s="27"/>
    </row>
    <row r="376" spans="1:1" x14ac:dyDescent="0.25">
      <c r="A376" s="27"/>
    </row>
    <row r="377" spans="1:1" x14ac:dyDescent="0.25">
      <c r="A377" s="27"/>
    </row>
    <row r="378" spans="1:1" x14ac:dyDescent="0.25">
      <c r="A378" s="27"/>
    </row>
    <row r="379" spans="1:1" x14ac:dyDescent="0.25">
      <c r="A379" s="27"/>
    </row>
    <row r="380" spans="1:1" x14ac:dyDescent="0.25">
      <c r="A380" s="27"/>
    </row>
    <row r="381" spans="1:1" x14ac:dyDescent="0.25">
      <c r="A381" s="27"/>
    </row>
    <row r="382" spans="1:1" x14ac:dyDescent="0.25">
      <c r="A382" s="27"/>
    </row>
    <row r="383" spans="1:1" x14ac:dyDescent="0.25">
      <c r="A383" s="27"/>
    </row>
    <row r="384" spans="1:1" x14ac:dyDescent="0.25">
      <c r="A384" s="27"/>
    </row>
    <row r="385" spans="1:1" x14ac:dyDescent="0.25">
      <c r="A385" s="27"/>
    </row>
    <row r="386" spans="1:1" x14ac:dyDescent="0.25">
      <c r="A386" s="27"/>
    </row>
    <row r="387" spans="1:1" x14ac:dyDescent="0.25">
      <c r="A387" s="27"/>
    </row>
    <row r="388" spans="1:1" x14ac:dyDescent="0.25">
      <c r="A388" s="27"/>
    </row>
    <row r="389" spans="1:1" x14ac:dyDescent="0.25">
      <c r="A389" s="27"/>
    </row>
    <row r="390" spans="1:1" x14ac:dyDescent="0.25">
      <c r="A390" s="27"/>
    </row>
    <row r="391" spans="1:1" x14ac:dyDescent="0.25">
      <c r="A391" s="27"/>
    </row>
    <row r="392" spans="1:1" x14ac:dyDescent="0.25">
      <c r="A392" s="27"/>
    </row>
    <row r="393" spans="1:1" x14ac:dyDescent="0.25">
      <c r="A393" s="27"/>
    </row>
    <row r="394" spans="1:1" x14ac:dyDescent="0.25">
      <c r="A394" s="27"/>
    </row>
    <row r="395" spans="1:1" x14ac:dyDescent="0.25">
      <c r="A395" s="27"/>
    </row>
    <row r="396" spans="1:1" x14ac:dyDescent="0.25">
      <c r="A396" s="27"/>
    </row>
    <row r="397" spans="1:1" x14ac:dyDescent="0.25">
      <c r="A397" s="27"/>
    </row>
    <row r="398" spans="1:1" x14ac:dyDescent="0.25">
      <c r="A398" s="27"/>
    </row>
    <row r="399" spans="1:1" x14ac:dyDescent="0.25">
      <c r="A399" s="27"/>
    </row>
    <row r="400" spans="1:1" x14ac:dyDescent="0.25">
      <c r="A400" s="27"/>
    </row>
    <row r="401" spans="1:1" x14ac:dyDescent="0.25">
      <c r="A401" s="27"/>
    </row>
    <row r="402" spans="1:1" x14ac:dyDescent="0.25">
      <c r="A402" s="27"/>
    </row>
    <row r="403" spans="1:1" x14ac:dyDescent="0.25">
      <c r="A403" s="27"/>
    </row>
    <row r="404" spans="1:1" x14ac:dyDescent="0.25">
      <c r="A404" s="27"/>
    </row>
    <row r="405" spans="1:1" x14ac:dyDescent="0.25">
      <c r="A405" s="27"/>
    </row>
    <row r="406" spans="1:1" x14ac:dyDescent="0.25">
      <c r="A406" s="27"/>
    </row>
    <row r="407" spans="1:1" x14ac:dyDescent="0.25">
      <c r="A407" s="27"/>
    </row>
    <row r="408" spans="1:1" x14ac:dyDescent="0.25">
      <c r="A408" s="27"/>
    </row>
    <row r="409" spans="1:1" x14ac:dyDescent="0.25">
      <c r="A409" s="27"/>
    </row>
    <row r="410" spans="1:1" x14ac:dyDescent="0.25">
      <c r="A410" s="27"/>
    </row>
    <row r="411" spans="1:1" x14ac:dyDescent="0.25">
      <c r="A411" s="27"/>
    </row>
    <row r="412" spans="1:1" x14ac:dyDescent="0.25">
      <c r="A412" s="27"/>
    </row>
    <row r="413" spans="1:1" x14ac:dyDescent="0.25">
      <c r="A413" s="27"/>
    </row>
    <row r="414" spans="1:1" x14ac:dyDescent="0.25">
      <c r="A414" s="27"/>
    </row>
    <row r="415" spans="1:1" x14ac:dyDescent="0.25">
      <c r="A415" s="27"/>
    </row>
    <row r="416" spans="1:1" x14ac:dyDescent="0.25">
      <c r="A416" s="27"/>
    </row>
    <row r="417" spans="1:1" x14ac:dyDescent="0.25">
      <c r="A417" s="27"/>
    </row>
    <row r="418" spans="1:1" x14ac:dyDescent="0.25">
      <c r="A418" s="27"/>
    </row>
    <row r="419" spans="1:1" x14ac:dyDescent="0.25">
      <c r="A419" s="27"/>
    </row>
    <row r="420" spans="1:1" x14ac:dyDescent="0.25">
      <c r="A420" s="27"/>
    </row>
    <row r="421" spans="1:1" x14ac:dyDescent="0.25">
      <c r="A421" s="27"/>
    </row>
    <row r="422" spans="1:1" x14ac:dyDescent="0.25">
      <c r="A422" s="27"/>
    </row>
    <row r="423" spans="1:1" x14ac:dyDescent="0.25">
      <c r="A423" s="27"/>
    </row>
    <row r="424" spans="1:1" x14ac:dyDescent="0.25">
      <c r="A424" s="27"/>
    </row>
    <row r="425" spans="1:1" x14ac:dyDescent="0.25">
      <c r="A425" s="27"/>
    </row>
    <row r="426" spans="1:1" x14ac:dyDescent="0.25">
      <c r="A426" s="27"/>
    </row>
    <row r="427" spans="1:1" x14ac:dyDescent="0.25">
      <c r="A427" s="27"/>
    </row>
    <row r="428" spans="1:1" x14ac:dyDescent="0.25">
      <c r="A428" s="27"/>
    </row>
    <row r="429" spans="1:1" x14ac:dyDescent="0.25">
      <c r="A429" s="27"/>
    </row>
    <row r="430" spans="1:1" x14ac:dyDescent="0.25">
      <c r="A430" s="27"/>
    </row>
    <row r="431" spans="1:1" x14ac:dyDescent="0.25">
      <c r="A431" s="27"/>
    </row>
    <row r="432" spans="1:1" x14ac:dyDescent="0.25">
      <c r="A432" s="27"/>
    </row>
    <row r="433" spans="1:1" x14ac:dyDescent="0.25">
      <c r="A433" s="27"/>
    </row>
    <row r="434" spans="1:1" x14ac:dyDescent="0.25">
      <c r="A434" s="27"/>
    </row>
    <row r="435" spans="1:1" x14ac:dyDescent="0.25">
      <c r="A435" s="27"/>
    </row>
    <row r="436" spans="1:1" x14ac:dyDescent="0.25">
      <c r="A436" s="27"/>
    </row>
    <row r="437" spans="1:1" x14ac:dyDescent="0.25">
      <c r="A437" s="27"/>
    </row>
    <row r="438" spans="1:1" x14ac:dyDescent="0.25">
      <c r="A438" s="27"/>
    </row>
    <row r="439" spans="1:1" x14ac:dyDescent="0.25">
      <c r="A439" s="27"/>
    </row>
    <row r="440" spans="1:1" x14ac:dyDescent="0.25">
      <c r="A440" s="27"/>
    </row>
    <row r="441" spans="1:1" x14ac:dyDescent="0.25">
      <c r="A441" s="27"/>
    </row>
    <row r="442" spans="1:1" x14ac:dyDescent="0.25">
      <c r="A442" s="27"/>
    </row>
    <row r="443" spans="1:1" x14ac:dyDescent="0.25">
      <c r="A443" s="27"/>
    </row>
    <row r="444" spans="1:1" x14ac:dyDescent="0.25">
      <c r="A444" s="27"/>
    </row>
    <row r="445" spans="1:1" x14ac:dyDescent="0.25">
      <c r="A445" s="27"/>
    </row>
    <row r="446" spans="1:1" x14ac:dyDescent="0.25">
      <c r="A446" s="27"/>
    </row>
    <row r="447" spans="1:1" x14ac:dyDescent="0.25">
      <c r="A447" s="27"/>
    </row>
    <row r="448" spans="1:1" x14ac:dyDescent="0.25">
      <c r="A448" s="27"/>
    </row>
    <row r="449" spans="1:1" x14ac:dyDescent="0.25">
      <c r="A449" s="27"/>
    </row>
    <row r="450" spans="1:1" x14ac:dyDescent="0.25">
      <c r="A450" s="27"/>
    </row>
    <row r="451" spans="1:1" x14ac:dyDescent="0.25">
      <c r="A451" s="27"/>
    </row>
    <row r="452" spans="1:1" x14ac:dyDescent="0.25">
      <c r="A452" s="27"/>
    </row>
    <row r="453" spans="1:1" x14ac:dyDescent="0.25">
      <c r="A453" s="27"/>
    </row>
    <row r="454" spans="1:1" x14ac:dyDescent="0.25">
      <c r="A454" s="27"/>
    </row>
    <row r="455" spans="1:1" x14ac:dyDescent="0.25">
      <c r="A455" s="27"/>
    </row>
    <row r="456" spans="1:1" x14ac:dyDescent="0.25">
      <c r="A456" s="27"/>
    </row>
    <row r="457" spans="1:1" x14ac:dyDescent="0.25">
      <c r="A457" s="27"/>
    </row>
    <row r="458" spans="1:1" x14ac:dyDescent="0.25">
      <c r="A458" s="27"/>
    </row>
    <row r="459" spans="1:1" x14ac:dyDescent="0.25">
      <c r="A459" s="27"/>
    </row>
    <row r="460" spans="1:1" x14ac:dyDescent="0.25">
      <c r="A460" s="27"/>
    </row>
    <row r="461" spans="1:1" x14ac:dyDescent="0.25">
      <c r="A461" s="27"/>
    </row>
    <row r="462" spans="1:1" x14ac:dyDescent="0.25">
      <c r="A462" s="27"/>
    </row>
    <row r="463" spans="1:1" x14ac:dyDescent="0.25">
      <c r="A463" s="27"/>
    </row>
    <row r="464" spans="1:1" x14ac:dyDescent="0.25">
      <c r="A464" s="27"/>
    </row>
    <row r="465" spans="1:1" x14ac:dyDescent="0.25">
      <c r="A465" s="27"/>
    </row>
    <row r="466" spans="1:1" x14ac:dyDescent="0.25">
      <c r="A466" s="27"/>
    </row>
    <row r="467" spans="1:1" x14ac:dyDescent="0.25">
      <c r="A467" s="27"/>
    </row>
    <row r="468" spans="1:1" x14ac:dyDescent="0.25">
      <c r="A468" s="27"/>
    </row>
    <row r="469" spans="1:1" x14ac:dyDescent="0.25">
      <c r="A469" s="27"/>
    </row>
    <row r="470" spans="1:1" x14ac:dyDescent="0.25">
      <c r="A470" s="27"/>
    </row>
    <row r="471" spans="1:1" x14ac:dyDescent="0.25">
      <c r="A471" s="27"/>
    </row>
    <row r="472" spans="1:1" x14ac:dyDescent="0.25">
      <c r="A472" s="27"/>
    </row>
    <row r="473" spans="1:1" x14ac:dyDescent="0.25">
      <c r="A473" s="27"/>
    </row>
    <row r="474" spans="1:1" x14ac:dyDescent="0.25">
      <c r="A474" s="27"/>
    </row>
    <row r="475" spans="1:1" x14ac:dyDescent="0.25">
      <c r="A475" s="27"/>
    </row>
    <row r="476" spans="1:1" x14ac:dyDescent="0.25">
      <c r="A476" s="27"/>
    </row>
    <row r="477" spans="1:1" x14ac:dyDescent="0.25">
      <c r="A477" s="27"/>
    </row>
    <row r="478" spans="1:1" x14ac:dyDescent="0.25">
      <c r="A478" s="27"/>
    </row>
    <row r="479" spans="1:1" x14ac:dyDescent="0.25">
      <c r="A479" s="27"/>
    </row>
    <row r="480" spans="1:1" x14ac:dyDescent="0.25">
      <c r="A480" s="27"/>
    </row>
    <row r="481" spans="1:1" x14ac:dyDescent="0.25">
      <c r="A481" s="27"/>
    </row>
    <row r="482" spans="1:1" x14ac:dyDescent="0.25">
      <c r="A482" s="27"/>
    </row>
    <row r="483" spans="1:1" x14ac:dyDescent="0.25">
      <c r="A483" s="27"/>
    </row>
    <row r="484" spans="1:1" x14ac:dyDescent="0.25">
      <c r="A484" s="27"/>
    </row>
    <row r="485" spans="1:1" x14ac:dyDescent="0.25">
      <c r="A485" s="27"/>
    </row>
    <row r="486" spans="1:1" x14ac:dyDescent="0.25">
      <c r="A486" s="27"/>
    </row>
    <row r="487" spans="1:1" x14ac:dyDescent="0.25">
      <c r="A487" s="27"/>
    </row>
    <row r="488" spans="1:1" x14ac:dyDescent="0.25">
      <c r="A488" s="27"/>
    </row>
    <row r="489" spans="1:1" x14ac:dyDescent="0.25">
      <c r="A489" s="27"/>
    </row>
    <row r="490" spans="1:1" x14ac:dyDescent="0.25">
      <c r="A490" s="27"/>
    </row>
    <row r="491" spans="1:1" x14ac:dyDescent="0.25">
      <c r="A491" s="27"/>
    </row>
    <row r="492" spans="1:1" x14ac:dyDescent="0.25">
      <c r="A492" s="27"/>
    </row>
    <row r="493" spans="1:1" x14ac:dyDescent="0.25">
      <c r="A493" s="27"/>
    </row>
    <row r="494" spans="1:1" x14ac:dyDescent="0.25">
      <c r="A494" s="27"/>
    </row>
    <row r="495" spans="1:1" x14ac:dyDescent="0.25">
      <c r="A495" s="27"/>
    </row>
    <row r="496" spans="1:1" x14ac:dyDescent="0.25">
      <c r="A496" s="27"/>
    </row>
    <row r="497" spans="1:1" x14ac:dyDescent="0.25">
      <c r="A497" s="27"/>
    </row>
    <row r="498" spans="1:1" x14ac:dyDescent="0.25">
      <c r="A498" s="27"/>
    </row>
    <row r="499" spans="1:1" x14ac:dyDescent="0.25">
      <c r="A499" s="27"/>
    </row>
    <row r="500" spans="1:1" x14ac:dyDescent="0.25">
      <c r="A500" s="27"/>
    </row>
    <row r="501" spans="1:1" x14ac:dyDescent="0.25">
      <c r="A501" s="27"/>
    </row>
    <row r="502" spans="1:1" x14ac:dyDescent="0.25">
      <c r="A502" s="27"/>
    </row>
    <row r="503" spans="1:1" x14ac:dyDescent="0.25">
      <c r="A503" s="27"/>
    </row>
    <row r="504" spans="1:1" x14ac:dyDescent="0.25">
      <c r="A504" s="27"/>
    </row>
    <row r="505" spans="1:1" x14ac:dyDescent="0.25">
      <c r="A505" s="27"/>
    </row>
    <row r="506" spans="1:1" x14ac:dyDescent="0.25">
      <c r="A506" s="27"/>
    </row>
    <row r="507" spans="1:1" x14ac:dyDescent="0.25">
      <c r="A507" s="27"/>
    </row>
    <row r="508" spans="1:1" x14ac:dyDescent="0.25">
      <c r="A508" s="27"/>
    </row>
    <row r="509" spans="1:1" x14ac:dyDescent="0.25">
      <c r="A509" s="27"/>
    </row>
    <row r="510" spans="1:1" x14ac:dyDescent="0.25">
      <c r="A510" s="27"/>
    </row>
    <row r="511" spans="1:1" x14ac:dyDescent="0.25">
      <c r="A511" s="27"/>
    </row>
    <row r="512" spans="1:1" x14ac:dyDescent="0.25">
      <c r="A512" s="27"/>
    </row>
    <row r="513" spans="1:1" x14ac:dyDescent="0.25">
      <c r="A513" s="27"/>
    </row>
    <row r="514" spans="1:1" x14ac:dyDescent="0.25">
      <c r="A514" s="27"/>
    </row>
    <row r="515" spans="1:1" x14ac:dyDescent="0.25">
      <c r="A515" s="27"/>
    </row>
    <row r="516" spans="1:1" x14ac:dyDescent="0.25">
      <c r="A516" s="27"/>
    </row>
    <row r="517" spans="1:1" x14ac:dyDescent="0.25">
      <c r="A517" s="27"/>
    </row>
    <row r="518" spans="1:1" x14ac:dyDescent="0.25">
      <c r="A518" s="27"/>
    </row>
    <row r="519" spans="1:1" x14ac:dyDescent="0.25">
      <c r="A519" s="27"/>
    </row>
    <row r="520" spans="1:1" x14ac:dyDescent="0.25">
      <c r="A520" s="27"/>
    </row>
    <row r="521" spans="1:1" x14ac:dyDescent="0.25">
      <c r="A521" s="27"/>
    </row>
    <row r="522" spans="1:1" x14ac:dyDescent="0.25">
      <c r="A522" s="27"/>
    </row>
    <row r="523" spans="1:1" x14ac:dyDescent="0.25">
      <c r="A523" s="27"/>
    </row>
    <row r="524" spans="1:1" x14ac:dyDescent="0.25">
      <c r="A524" s="27"/>
    </row>
    <row r="525" spans="1:1" x14ac:dyDescent="0.25">
      <c r="A525" s="27"/>
    </row>
    <row r="526" spans="1:1" x14ac:dyDescent="0.25">
      <c r="A526" s="27"/>
    </row>
    <row r="527" spans="1:1" x14ac:dyDescent="0.25">
      <c r="A527" s="27"/>
    </row>
    <row r="528" spans="1:1" x14ac:dyDescent="0.25">
      <c r="A528" s="27"/>
    </row>
    <row r="529" spans="1:1" x14ac:dyDescent="0.25">
      <c r="A529" s="27"/>
    </row>
    <row r="530" spans="1:1" x14ac:dyDescent="0.25">
      <c r="A530" s="27"/>
    </row>
    <row r="531" spans="1:1" x14ac:dyDescent="0.25">
      <c r="A531" s="27"/>
    </row>
    <row r="532" spans="1:1" x14ac:dyDescent="0.25">
      <c r="A532" s="27"/>
    </row>
    <row r="533" spans="1:1" x14ac:dyDescent="0.25">
      <c r="A533" s="27"/>
    </row>
    <row r="534" spans="1:1" x14ac:dyDescent="0.25">
      <c r="A534" s="27"/>
    </row>
    <row r="535" spans="1:1" x14ac:dyDescent="0.25">
      <c r="A535" s="27"/>
    </row>
    <row r="536" spans="1:1" x14ac:dyDescent="0.25">
      <c r="A536" s="27"/>
    </row>
    <row r="537" spans="1:1" x14ac:dyDescent="0.25">
      <c r="A537" s="27"/>
    </row>
    <row r="538" spans="1:1" x14ac:dyDescent="0.25">
      <c r="A538" s="27"/>
    </row>
    <row r="539" spans="1:1" x14ac:dyDescent="0.25">
      <c r="A539" s="27"/>
    </row>
    <row r="540" spans="1:1" x14ac:dyDescent="0.25">
      <c r="A540" s="27"/>
    </row>
    <row r="541" spans="1:1" x14ac:dyDescent="0.25">
      <c r="A541" s="27"/>
    </row>
    <row r="542" spans="1:1" x14ac:dyDescent="0.25">
      <c r="A542" s="27"/>
    </row>
    <row r="543" spans="1:1" x14ac:dyDescent="0.25">
      <c r="A543" s="27"/>
    </row>
    <row r="544" spans="1:1" x14ac:dyDescent="0.25">
      <c r="A544" s="27"/>
    </row>
    <row r="545" spans="1:1" x14ac:dyDescent="0.25">
      <c r="A545" s="27"/>
    </row>
    <row r="546" spans="1:1" x14ac:dyDescent="0.25">
      <c r="A546" s="27"/>
    </row>
    <row r="547" spans="1:1" x14ac:dyDescent="0.25">
      <c r="A547" s="27"/>
    </row>
    <row r="548" spans="1:1" x14ac:dyDescent="0.25">
      <c r="A548" s="27"/>
    </row>
    <row r="549" spans="1:1" x14ac:dyDescent="0.25">
      <c r="A549" s="27"/>
    </row>
    <row r="550" spans="1:1" x14ac:dyDescent="0.25">
      <c r="A550" s="27"/>
    </row>
    <row r="551" spans="1:1" x14ac:dyDescent="0.25">
      <c r="A551" s="27"/>
    </row>
    <row r="552" spans="1:1" x14ac:dyDescent="0.25">
      <c r="A552" s="27"/>
    </row>
    <row r="553" spans="1:1" x14ac:dyDescent="0.25">
      <c r="A553" s="27"/>
    </row>
    <row r="554" spans="1:1" x14ac:dyDescent="0.25">
      <c r="A554" s="27"/>
    </row>
    <row r="555" spans="1:1" x14ac:dyDescent="0.25">
      <c r="A555" s="27"/>
    </row>
    <row r="556" spans="1:1" x14ac:dyDescent="0.25">
      <c r="A556" s="27"/>
    </row>
    <row r="557" spans="1:1" x14ac:dyDescent="0.25">
      <c r="A557" s="27"/>
    </row>
    <row r="558" spans="1:1" x14ac:dyDescent="0.25">
      <c r="A558" s="27"/>
    </row>
    <row r="559" spans="1:1" x14ac:dyDescent="0.25">
      <c r="A559" s="27"/>
    </row>
    <row r="560" spans="1:1" x14ac:dyDescent="0.25">
      <c r="A560" s="27"/>
    </row>
    <row r="561" spans="1:1" x14ac:dyDescent="0.25">
      <c r="A561" s="27"/>
    </row>
    <row r="562" spans="1:1" x14ac:dyDescent="0.25">
      <c r="A562" s="27"/>
    </row>
    <row r="563" spans="1:1" x14ac:dyDescent="0.25">
      <c r="A563" s="27"/>
    </row>
    <row r="564" spans="1:1" x14ac:dyDescent="0.25">
      <c r="A564" s="27"/>
    </row>
    <row r="565" spans="1:1" x14ac:dyDescent="0.25">
      <c r="A565" s="27"/>
    </row>
    <row r="566" spans="1:1" x14ac:dyDescent="0.25">
      <c r="A566" s="27"/>
    </row>
    <row r="567" spans="1:1" x14ac:dyDescent="0.25">
      <c r="A567" s="27"/>
    </row>
    <row r="568" spans="1:1" x14ac:dyDescent="0.25">
      <c r="A568" s="27"/>
    </row>
    <row r="569" spans="1:1" x14ac:dyDescent="0.25">
      <c r="A569" s="27"/>
    </row>
    <row r="570" spans="1:1" x14ac:dyDescent="0.25">
      <c r="A570" s="27"/>
    </row>
    <row r="571" spans="1:1" x14ac:dyDescent="0.25">
      <c r="A571" s="27"/>
    </row>
    <row r="572" spans="1:1" x14ac:dyDescent="0.25">
      <c r="A572" s="27"/>
    </row>
    <row r="573" spans="1:1" x14ac:dyDescent="0.25">
      <c r="A573" s="27"/>
    </row>
    <row r="574" spans="1:1" x14ac:dyDescent="0.25">
      <c r="A574" s="27"/>
    </row>
    <row r="575" spans="1:1" x14ac:dyDescent="0.25">
      <c r="A575" s="27"/>
    </row>
    <row r="576" spans="1:1" x14ac:dyDescent="0.25">
      <c r="A576" s="27"/>
    </row>
    <row r="577" spans="1:1" x14ac:dyDescent="0.25">
      <c r="A577" s="27"/>
    </row>
    <row r="578" spans="1:1" x14ac:dyDescent="0.25">
      <c r="A578" s="27"/>
    </row>
    <row r="579" spans="1:1" x14ac:dyDescent="0.25">
      <c r="A579" s="27"/>
    </row>
    <row r="580" spans="1:1" x14ac:dyDescent="0.25">
      <c r="A580" s="27"/>
    </row>
    <row r="581" spans="1:1" x14ac:dyDescent="0.25">
      <c r="A581" s="27"/>
    </row>
    <row r="582" spans="1:1" x14ac:dyDescent="0.25">
      <c r="A582" s="27"/>
    </row>
    <row r="583" spans="1:1" x14ac:dyDescent="0.25">
      <c r="A583" s="27"/>
    </row>
    <row r="584" spans="1:1" x14ac:dyDescent="0.25">
      <c r="A584" s="27"/>
    </row>
    <row r="585" spans="1:1" x14ac:dyDescent="0.25">
      <c r="A585" s="27"/>
    </row>
    <row r="586" spans="1:1" x14ac:dyDescent="0.25">
      <c r="A586" s="27"/>
    </row>
    <row r="587" spans="1:1" x14ac:dyDescent="0.25">
      <c r="A587" s="27"/>
    </row>
    <row r="588" spans="1:1" x14ac:dyDescent="0.25">
      <c r="A588" s="27"/>
    </row>
    <row r="589" spans="1:1" x14ac:dyDescent="0.25">
      <c r="A589" s="27"/>
    </row>
    <row r="590" spans="1:1" x14ac:dyDescent="0.25">
      <c r="A590" s="27"/>
    </row>
    <row r="591" spans="1:1" x14ac:dyDescent="0.25">
      <c r="A591" s="27"/>
    </row>
    <row r="592" spans="1:1" x14ac:dyDescent="0.25">
      <c r="A592" s="27"/>
    </row>
    <row r="593" spans="1:1" x14ac:dyDescent="0.25">
      <c r="A593" s="27"/>
    </row>
    <row r="594" spans="1:1" x14ac:dyDescent="0.25">
      <c r="A594" s="27"/>
    </row>
    <row r="595" spans="1:1" x14ac:dyDescent="0.25">
      <c r="A595" s="27"/>
    </row>
    <row r="596" spans="1:1" x14ac:dyDescent="0.25">
      <c r="A596" s="27"/>
    </row>
    <row r="597" spans="1:1" x14ac:dyDescent="0.25">
      <c r="A597" s="27"/>
    </row>
    <row r="598" spans="1:1" x14ac:dyDescent="0.25">
      <c r="A598" s="27"/>
    </row>
    <row r="599" spans="1:1" x14ac:dyDescent="0.25">
      <c r="A599" s="27"/>
    </row>
    <row r="600" spans="1:1" x14ac:dyDescent="0.25">
      <c r="A600" s="27"/>
    </row>
    <row r="601" spans="1:1" x14ac:dyDescent="0.25">
      <c r="A601" s="27"/>
    </row>
    <row r="602" spans="1:1" x14ac:dyDescent="0.25">
      <c r="A602" s="27"/>
    </row>
    <row r="603" spans="1:1" x14ac:dyDescent="0.25">
      <c r="A603" s="27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C2EE6F-522E-4E95-AC58-039203C37E82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Haver_M</vt:lpstr>
      <vt:lpstr>Haver_Q</vt:lpstr>
      <vt:lpstr>CEIC_DATA</vt:lpstr>
      <vt:lpstr>Bloomberg_m</vt:lpstr>
      <vt:lpstr>data</vt:lpstr>
      <vt:lpstr>_DLX1.USE</vt:lpstr>
      <vt:lpstr>_DLX2.USE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2019-06-19T19:44:39Z</dcterms:created>
  <dcterms:modified xsi:type="dcterms:W3CDTF">2020-02-20T18:50:20Z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  <property fmtid="{D5CDD505-2E9C-101B-9397-08002B2CF9AE}" pid="3" name="CDMCEIC_owner">
    <vt:lpwstr>driveragreenwood@imf.org</vt:lpwstr>
  </property>
  <property fmtid="{D5CDD505-2E9C-101B-9397-08002B2CF9AE}" pid="4" name="CDMCEIC_ownerFullName">
    <vt:lpwstr>Daniel Rivera Greenwood</vt:lpwstr>
  </property>
  <property fmtid="{D5CDD505-2E9C-101B-9397-08002B2CF9AE}" pid="5" name="CDMCEIC_readOnly">
    <vt:lpwstr>False</vt:lpwstr>
  </property>
  <property fmtid="{D5CDD505-2E9C-101B-9397-08002B2CF9AE}" pid="6" name="CDMCEIC_description">
    <vt:lpwstr/>
  </property>
  <property fmtid="{D5CDD505-2E9C-101B-9397-08002B2CF9AE}" pid="7" name="CDMCEIC_Metadata">
    <vt:lpwstr>{BFC2EE6F-522E-4E95-AC58-039203C37E82}</vt:lpwstr>
  </property>
</Properties>
</file>
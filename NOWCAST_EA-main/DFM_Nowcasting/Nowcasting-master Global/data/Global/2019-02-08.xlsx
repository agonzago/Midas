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04CE8495-7DFF-478D-8115-41FCD5E92A5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238" i="11" l="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Z241" i="11" l="1"/>
  <c r="Y241" i="11"/>
  <c r="X241" i="11"/>
  <c r="W241" i="11"/>
  <c r="V241" i="11"/>
  <c r="T241" i="11"/>
  <c r="S241" i="11"/>
  <c r="R241" i="11"/>
  <c r="Q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</calcChain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<sst xmlns="http://schemas.openxmlformats.org/spreadsheetml/2006/main" count="32" uniqueCount="32">
  <si>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</si>
  <si>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</si>
  <si>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</si>
  <si>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</si>
  <si>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</si>
  <si>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</si>
  <si>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</si>
  <si>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</si>
  <si>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</si>
  <si>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</si>
  <si>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</si>
  <si>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</si>
  <si>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</si>
  <si>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</si>
  <si>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</si>
  <si>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</si>
  <si>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</si>
  <si>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</si>
  <si>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</si>
  <si>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</si>
  <si>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</si>
  <si>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</si>
  <si>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</si>
  <si>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</si>
  <si>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</si>
  <si>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</si>
  <si>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</si>
  <si>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</si>
  <si>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date</t>
  </si>
  <si>
    <t>BDIY</t>
  </si>
  <si>
    <t>GDPGPM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</si>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</sst>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2" fontId="0" fillId="0" borderId="0" xfId="0" applyNumberFormat="1" applyFill="1"/>
    <xf numFmtId="1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796B9FEC-EFEF-4421-82A1-BD8C167E1054}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izioli/Desktop/Nowcasting-master%20Global/data/2019-04-01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S_Monthly"/>
      <sheetName val="OECD"/>
      <sheetName val="GDS_Quarterly"/>
      <sheetName val="Sheet1"/>
      <sheetName val="Commodity_Prices"/>
      <sheetName val="Monthly Haver"/>
      <sheetName val="Quarterly Haver"/>
      <sheetName val="Monthly"/>
      <sheetName val="Quarterly"/>
      <sheetName val="data"/>
    </sheetNames>
    <sheetDataSet>
      <sheetData sheetId="0">
        <row r="355">
          <cell r="C355">
            <v>115.26874555415363</v>
          </cell>
          <cell r="D355">
            <v>131.02008795029795</v>
          </cell>
          <cell r="F355">
            <v>2.5836723953992164</v>
          </cell>
          <cell r="G355">
            <v>3.0612178907795919</v>
          </cell>
          <cell r="N355">
            <v>5.1054364274632107</v>
          </cell>
          <cell r="O355">
            <v>162.98151395497081</v>
          </cell>
          <cell r="T355">
            <v>124.69708186232396</v>
          </cell>
          <cell r="V355">
            <v>120.45766395768784</v>
          </cell>
          <cell r="W355">
            <v>99.600675870988411</v>
          </cell>
          <cell r="X355">
            <v>123.94124097068141</v>
          </cell>
          <cell r="AA355">
            <v>103.96957597293489</v>
          </cell>
          <cell r="AC355">
            <v>174.08774663215516</v>
          </cell>
          <cell r="AE355">
            <v>174.66010102932151</v>
          </cell>
          <cell r="AF355">
            <v>104.79703834732918</v>
          </cell>
          <cell r="AH355">
            <v>1275.7032996999999</v>
          </cell>
          <cell r="AI355">
            <v>1241.5968081000001</v>
          </cell>
        </row>
        <row r="356">
          <cell r="C356">
            <v>115.67235906683804</v>
          </cell>
          <cell r="D356">
            <v>131.76957186038896</v>
          </cell>
          <cell r="F356">
            <v>2.7624584904199962</v>
          </cell>
          <cell r="G356">
            <v>3.1160181413155232</v>
          </cell>
          <cell r="N356">
            <v>5.1375867056520814</v>
          </cell>
          <cell r="O356">
            <v>164.46541255413939</v>
          </cell>
          <cell r="T356">
            <v>125.09338784560708</v>
          </cell>
          <cell r="V356">
            <v>120.71361360939372</v>
          </cell>
          <cell r="W356">
            <v>101.44957281709289</v>
          </cell>
          <cell r="X356">
            <v>127.0928500188179</v>
          </cell>
          <cell r="AA356">
            <v>105.9024145627306</v>
          </cell>
          <cell r="AC356">
            <v>173.77068540608778</v>
          </cell>
          <cell r="AE356">
            <v>179.05631258157891</v>
          </cell>
          <cell r="AF356">
            <v>103.12315474778872</v>
          </cell>
          <cell r="AH356">
            <v>1312.9739067</v>
          </cell>
          <cell r="AI356">
            <v>1262.4140491000001</v>
          </cell>
        </row>
        <row r="357">
          <cell r="C357">
            <v>115.27481338419943</v>
          </cell>
          <cell r="D357">
            <v>131.46230225695544</v>
          </cell>
          <cell r="F357">
            <v>2.692012948720591</v>
          </cell>
          <cell r="G357">
            <v>3.1135370196256944</v>
          </cell>
          <cell r="N357">
            <v>5.1337509803490455</v>
          </cell>
          <cell r="O357">
            <v>164.85909433065672</v>
          </cell>
          <cell r="T357">
            <v>125.10047080527795</v>
          </cell>
          <cell r="V357">
            <v>120.8986756551521</v>
          </cell>
          <cell r="W357">
            <v>96.885126523382368</v>
          </cell>
          <cell r="X357">
            <v>125.26591721952977</v>
          </cell>
          <cell r="AA357">
            <v>103.25818332606129</v>
          </cell>
          <cell r="AC357">
            <v>149.3363558188704</v>
          </cell>
          <cell r="AE357">
            <v>146.29192816983564</v>
          </cell>
          <cell r="AF357">
            <v>101.54336405796263</v>
          </cell>
          <cell r="AH357">
            <v>1265.3752876999999</v>
          </cell>
          <cell r="AI357">
            <v>1232.1531101</v>
          </cell>
        </row>
        <row r="358">
          <cell r="C358">
            <v>113.7585503938292</v>
          </cell>
          <cell r="D358">
            <v>131.25511486234271</v>
          </cell>
          <cell r="F358">
            <v>2.3744840844647039</v>
          </cell>
          <cell r="N358">
            <v>5.1519303333059243</v>
          </cell>
          <cell r="O358">
            <v>163.57732743830096</v>
          </cell>
          <cell r="T358">
            <v>125.13936958308022</v>
          </cell>
          <cell r="V358">
            <v>121.11605272495716</v>
          </cell>
          <cell r="W358">
            <v>99.680798274624905</v>
          </cell>
          <cell r="X358">
            <v>122.47065476649017</v>
          </cell>
          <cell r="AC358">
            <v>133.34854575769072</v>
          </cell>
          <cell r="AE358">
            <v>126.07675794771711</v>
          </cell>
          <cell r="AF358">
            <v>101.6167669227524</v>
          </cell>
          <cell r="AH358">
            <v>1221.6423737</v>
          </cell>
          <cell r="AI358">
            <v>1189.5121701</v>
          </cell>
        </row>
      </sheetData>
      <sheetData sheetId="1">
        <row r="238">
          <cell r="B238">
            <v>99.577510000000004</v>
          </cell>
        </row>
        <row r="239">
          <cell r="B239">
            <v>99.470050000000001</v>
          </cell>
        </row>
        <row r="240">
          <cell r="B240">
            <v>99.37903</v>
          </cell>
        </row>
        <row r="241">
          <cell r="B241">
            <v>99.303110000000004</v>
          </cell>
        </row>
      </sheetData>
      <sheetData sheetId="2"/>
      <sheetData sheetId="3"/>
      <sheetData sheetId="4"/>
      <sheetData sheetId="5">
        <row r="241">
          <cell r="C241">
            <v>53.504100000000001</v>
          </cell>
          <cell r="D241">
            <v>57.995399999999997</v>
          </cell>
          <cell r="E241">
            <v>49.735799999999998</v>
          </cell>
          <cell r="G241">
            <v>52.677500000000002</v>
          </cell>
          <cell r="H241">
            <v>52.101599999999998</v>
          </cell>
          <cell r="I241">
            <v>49.239199999999997</v>
          </cell>
          <cell r="J241">
            <v>52.933999999999997</v>
          </cell>
          <cell r="K241">
            <v>114.86535000000001</v>
          </cell>
        </row>
        <row r="242">
          <cell r="C242">
            <v>53.4925</v>
          </cell>
          <cell r="D242">
            <v>58.399500000000003</v>
          </cell>
          <cell r="E242">
            <v>49.949800000000003</v>
          </cell>
          <cell r="G242">
            <v>52.529400000000003</v>
          </cell>
          <cell r="H242">
            <v>51.973100000000002</v>
          </cell>
          <cell r="I242">
            <v>49.397300000000001</v>
          </cell>
          <cell r="J242">
            <v>53.431600000000003</v>
          </cell>
          <cell r="K242">
            <v>115.96635000000001</v>
          </cell>
        </row>
        <row r="243">
          <cell r="C243">
            <v>53.186300000000003</v>
          </cell>
          <cell r="D243">
            <v>56.954799999999999</v>
          </cell>
          <cell r="E243">
            <v>49.955199999999998</v>
          </cell>
          <cell r="G243">
            <v>51.9846</v>
          </cell>
          <cell r="H243">
            <v>51.902799999999999</v>
          </cell>
          <cell r="I243">
            <v>50.136800000000001</v>
          </cell>
          <cell r="J243">
            <v>53.696300000000001</v>
          </cell>
          <cell r="K243">
            <v>115.96915</v>
          </cell>
        </row>
        <row r="244">
          <cell r="C244">
            <v>52.511800000000001</v>
          </cell>
          <cell r="D244">
            <v>55.662500000000001</v>
          </cell>
          <cell r="E244">
            <v>49.822899999999997</v>
          </cell>
          <cell r="G244">
            <v>51.885100000000001</v>
          </cell>
          <cell r="H244">
            <v>51.432699999999997</v>
          </cell>
          <cell r="I244">
            <v>49.674199999999999</v>
          </cell>
          <cell r="J244">
            <v>52.981000000000002</v>
          </cell>
          <cell r="K244">
            <v>116.93213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8"/>
  <sheetViews>
    <sheetView tabSelected="1" topLeftCell="A235" workbookViewId="0">
      <selection activeCell="L255" sqref="L255"/>
    </sheetView>
  </sheetViews>
  <sheetFormatPr defaultRowHeight="15" x14ac:dyDescent="0.25"/>
  <cols>
    <col min="1" max="1" width="9.7109375" style="1" bestFit="1" customWidth="1"/>
    <col min="2" max="16384" width="9.140625" style="1"/>
  </cols>
  <sheetData>
    <row r="1" spans="1:32" x14ac:dyDescent="0.25">
      <c r="A1" s="1" t="s">
        <v>28</v>
      </c>
      <c r="B1" s="2" t="s">
        <v>0</v>
      </c>
      <c r="C1" s="2" t="s">
        <v>1</v>
      </c>
      <c r="D1" s="2" t="s">
        <v>2</v>
      </c>
      <c r="E1" s="1" t="s">
        <v>25</v>
      </c>
      <c r="F1" s="2" t="s">
        <v>24</v>
      </c>
      <c r="G1" s="2" t="s">
        <v>3</v>
      </c>
      <c r="H1" s="2" t="s">
        <v>4</v>
      </c>
      <c r="I1" s="2" t="s">
        <v>5</v>
      </c>
      <c r="J1" s="2" t="s">
        <v>6</v>
      </c>
      <c r="K1" s="1" t="s">
        <v>7</v>
      </c>
      <c r="L1" s="1" t="s">
        <v>8</v>
      </c>
      <c r="M1" s="2" t="s">
        <v>26</v>
      </c>
      <c r="N1" s="2" t="s">
        <v>27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1" t="s">
        <v>19</v>
      </c>
      <c r="Z1" s="2" t="s">
        <v>22</v>
      </c>
      <c r="AA1" s="2" t="s">
        <v>29</v>
      </c>
      <c r="AB1" s="6" t="s">
        <v>31</v>
      </c>
      <c r="AC1" s="1" t="s">
        <v>20</v>
      </c>
      <c r="AD1" s="1" t="s">
        <v>21</v>
      </c>
      <c r="AE1" s="1" t="s">
        <v>23</v>
      </c>
      <c r="AF1" s="1" t="s">
        <v>30</v>
      </c>
    </row>
    <row r="2" spans="1:32" x14ac:dyDescent="0.25">
      <c r="A2" s="4">
        <v>36161</v>
      </c>
      <c r="B2" s="1">
        <v>53.5961</v>
      </c>
      <c r="C2" s="1">
        <v>42.7211</v>
      </c>
      <c r="E2" s="1">
        <v>50.825699999999998</v>
      </c>
      <c r="F2" s="1">
        <v>48.723199999999999</v>
      </c>
      <c r="H2" s="1">
        <v>55.695300000000003</v>
      </c>
      <c r="I2" s="1">
        <v>47.603944298534756</v>
      </c>
      <c r="J2" s="1">
        <v>65.777812708997118</v>
      </c>
      <c r="K2" s="1">
        <v>349.19883049999999</v>
      </c>
      <c r="L2" s="1">
        <v>344.20682310000001</v>
      </c>
      <c r="M2" s="1">
        <v>6.1839430187153681</v>
      </c>
      <c r="N2" s="1">
        <v>118.64847356036303</v>
      </c>
      <c r="O2" s="1">
        <v>4.1410593506899103</v>
      </c>
      <c r="P2" s="1">
        <v>5.8907895918009849</v>
      </c>
      <c r="Q2" s="1">
        <v>73.745602967646221</v>
      </c>
      <c r="R2" s="1">
        <v>79.699902589474718</v>
      </c>
      <c r="S2" s="1">
        <v>67.003804659740467</v>
      </c>
      <c r="T2" s="1">
        <v>36.397901769957684</v>
      </c>
      <c r="U2" s="1">
        <v>52.61612710466872</v>
      </c>
      <c r="V2" s="1">
        <v>32.584569473823919</v>
      </c>
      <c r="W2" s="1">
        <v>26.140233012197921</v>
      </c>
      <c r="X2" s="1">
        <v>69.79151756105621</v>
      </c>
      <c r="Y2" s="1">
        <v>99.181299999999993</v>
      </c>
      <c r="Z2" s="1">
        <v>104.79101</v>
      </c>
      <c r="AA2" s="1">
        <v>803</v>
      </c>
      <c r="AB2">
        <v>95.61</v>
      </c>
    </row>
    <row r="3" spans="1:32" x14ac:dyDescent="0.25">
      <c r="A3" s="4">
        <v>36192</v>
      </c>
      <c r="B3" s="1">
        <v>54.122500000000002</v>
      </c>
      <c r="C3" s="1">
        <v>42.861699999999999</v>
      </c>
      <c r="E3" s="1">
        <v>51.455300000000001</v>
      </c>
      <c r="F3" s="1">
        <v>49.856200000000001</v>
      </c>
      <c r="H3" s="1">
        <v>55.325000000000003</v>
      </c>
      <c r="I3" s="1">
        <v>47.925005075116623</v>
      </c>
      <c r="J3" s="1">
        <v>66.064265311287073</v>
      </c>
      <c r="K3" s="1">
        <v>350.3909936</v>
      </c>
      <c r="L3" s="1">
        <v>338.68666999999999</v>
      </c>
      <c r="M3" s="1">
        <v>6.1925231462040742</v>
      </c>
      <c r="N3" s="1">
        <v>119.73864452130601</v>
      </c>
      <c r="O3" s="1">
        <v>4.335402967492092</v>
      </c>
      <c r="P3" s="1">
        <v>5.6828228441151181</v>
      </c>
      <c r="Q3" s="1">
        <v>73.840604284100621</v>
      </c>
      <c r="R3" s="1">
        <v>79.787876922202969</v>
      </c>
      <c r="S3" s="1">
        <v>62.091428855191324</v>
      </c>
      <c r="T3" s="1">
        <v>36.917985349646727</v>
      </c>
      <c r="U3" s="1">
        <v>50.41524586064525</v>
      </c>
      <c r="V3" s="1">
        <v>31.458463415447888</v>
      </c>
      <c r="W3" s="1">
        <v>25.242404809117286</v>
      </c>
      <c r="X3" s="1">
        <v>69.661742055808162</v>
      </c>
      <c r="Y3" s="1">
        <v>99.404110000000003</v>
      </c>
      <c r="Z3" s="1">
        <v>105.62002</v>
      </c>
      <c r="AA3" s="1">
        <v>836</v>
      </c>
      <c r="AB3">
        <v>96.34</v>
      </c>
    </row>
    <row r="4" spans="1:32" x14ac:dyDescent="0.25">
      <c r="A4" s="4">
        <v>36220</v>
      </c>
      <c r="B4" s="1">
        <v>55.380699999999997</v>
      </c>
      <c r="C4" s="1">
        <v>46.313099999999999</v>
      </c>
      <c r="E4" s="1">
        <v>51.459499999999998</v>
      </c>
      <c r="F4" s="1">
        <v>50.731299999999997</v>
      </c>
      <c r="H4" s="1">
        <v>56.976100000000002</v>
      </c>
      <c r="I4" s="1">
        <v>48.674545572933624</v>
      </c>
      <c r="J4" s="1">
        <v>66.422354679453889</v>
      </c>
      <c r="K4" s="1">
        <v>354.37219210000001</v>
      </c>
      <c r="L4" s="1">
        <v>346.85052680000001</v>
      </c>
      <c r="M4" s="1">
        <v>6.192828588752513</v>
      </c>
      <c r="N4" s="1">
        <v>119.74047141782295</v>
      </c>
      <c r="O4" s="1">
        <v>4.4349197774099709</v>
      </c>
      <c r="P4" s="1">
        <v>6.0034828070542448</v>
      </c>
      <c r="Q4" s="1">
        <v>73.997953927236651</v>
      </c>
      <c r="R4" s="1">
        <v>79.928232712102997</v>
      </c>
      <c r="S4" s="1">
        <v>60.298230483446162</v>
      </c>
      <c r="T4" s="1">
        <v>37.299843026900334</v>
      </c>
      <c r="U4" s="1">
        <v>49.620258538817616</v>
      </c>
      <c r="V4" s="1">
        <v>34.98186065499236</v>
      </c>
      <c r="W4" s="1">
        <v>30.593857205065518</v>
      </c>
      <c r="X4" s="1">
        <v>70.578529801104779</v>
      </c>
      <c r="Y4" s="1">
        <v>99.647090000000006</v>
      </c>
      <c r="Z4" s="1">
        <v>106.63966000000001</v>
      </c>
      <c r="AA4" s="1">
        <v>967</v>
      </c>
      <c r="AB4">
        <v>96.64</v>
      </c>
      <c r="AC4" s="3">
        <v>90.83</v>
      </c>
      <c r="AD4" s="3">
        <v>79.14</v>
      </c>
      <c r="AE4" s="3">
        <v>74.88652337190419</v>
      </c>
      <c r="AF4" s="1">
        <v>7.9665112358096746</v>
      </c>
    </row>
    <row r="5" spans="1:32" x14ac:dyDescent="0.25">
      <c r="A5" s="4">
        <v>36251</v>
      </c>
      <c r="B5" s="1">
        <v>55.999200000000002</v>
      </c>
      <c r="C5" s="1">
        <v>49.046799999999998</v>
      </c>
      <c r="E5" s="1">
        <v>52.089199999999998</v>
      </c>
      <c r="F5" s="1">
        <v>51.2545</v>
      </c>
      <c r="H5" s="1">
        <v>57.591299999999997</v>
      </c>
      <c r="I5" s="1">
        <v>48.590321804289474</v>
      </c>
      <c r="J5" s="1">
        <v>66.634751256016088</v>
      </c>
      <c r="K5" s="1">
        <v>351.83362940000001</v>
      </c>
      <c r="L5" s="1">
        <v>345.58636109999998</v>
      </c>
      <c r="M5" s="1">
        <v>6.1832138080744716</v>
      </c>
      <c r="N5" s="1">
        <v>120.24331253501194</v>
      </c>
      <c r="O5" s="1">
        <v>4.3133266804558641</v>
      </c>
      <c r="P5" s="1">
        <v>5.3772729772080519</v>
      </c>
      <c r="Q5" s="1">
        <v>74.282620936232462</v>
      </c>
      <c r="R5" s="1">
        <v>80.107097465703831</v>
      </c>
      <c r="S5" s="1">
        <v>61.554134979683809</v>
      </c>
      <c r="T5" s="1">
        <v>38.769808792548517</v>
      </c>
      <c r="U5" s="1">
        <v>50.212477804702537</v>
      </c>
      <c r="V5" s="1">
        <v>40.728867651848724</v>
      </c>
      <c r="W5" s="1">
        <v>37.660446183989563</v>
      </c>
      <c r="X5" s="1">
        <v>69.408325759711758</v>
      </c>
      <c r="Y5" s="1">
        <v>99.895290000000003</v>
      </c>
      <c r="Z5" s="1">
        <v>106.46587</v>
      </c>
      <c r="AA5" s="1">
        <v>924</v>
      </c>
      <c r="AB5">
        <v>97.25</v>
      </c>
      <c r="AC5" s="3"/>
      <c r="AD5" s="3"/>
      <c r="AE5" s="3"/>
    </row>
    <row r="6" spans="1:32" x14ac:dyDescent="0.25">
      <c r="A6" s="4">
        <v>36281</v>
      </c>
      <c r="B6" s="1">
        <v>55.917700000000004</v>
      </c>
      <c r="C6" s="1">
        <v>51.0914</v>
      </c>
      <c r="E6" s="1">
        <v>52.693399999999997</v>
      </c>
      <c r="F6" s="1">
        <v>52.343400000000003</v>
      </c>
      <c r="H6" s="1">
        <v>56.572600000000001</v>
      </c>
      <c r="I6" s="1">
        <v>48.893976447305143</v>
      </c>
      <c r="J6" s="1">
        <v>67.091813704847368</v>
      </c>
      <c r="K6" s="1">
        <v>358.01482019999997</v>
      </c>
      <c r="L6" s="1">
        <v>348.38232249999999</v>
      </c>
      <c r="M6" s="1">
        <v>6.13480827567835</v>
      </c>
      <c r="N6" s="1">
        <v>120.84369541428342</v>
      </c>
      <c r="O6" s="1">
        <v>4.499998242647913</v>
      </c>
      <c r="P6" s="1">
        <v>4.950833030582487</v>
      </c>
      <c r="Q6" s="1">
        <v>74.371360076933911</v>
      </c>
      <c r="R6" s="1">
        <v>80.233650624701596</v>
      </c>
      <c r="S6" s="1">
        <v>62.218420415702326</v>
      </c>
      <c r="T6" s="1">
        <v>39.986860379655461</v>
      </c>
      <c r="U6" s="1">
        <v>50.768578328375526</v>
      </c>
      <c r="V6" s="1">
        <v>42.045513941387</v>
      </c>
      <c r="W6" s="1">
        <v>38.766929052616604</v>
      </c>
      <c r="X6" s="1">
        <v>71.430793997935353</v>
      </c>
      <c r="Y6" s="1">
        <v>100.12860000000001</v>
      </c>
      <c r="Z6" s="1">
        <v>107.06882</v>
      </c>
      <c r="AA6" s="1">
        <v>1063</v>
      </c>
      <c r="AB6">
        <v>98.12</v>
      </c>
      <c r="AC6" s="3"/>
      <c r="AD6" s="3"/>
      <c r="AE6" s="3"/>
    </row>
    <row r="7" spans="1:32" x14ac:dyDescent="0.25">
      <c r="A7" s="4">
        <v>36312</v>
      </c>
      <c r="B7" s="1">
        <v>57.881999999999998</v>
      </c>
      <c r="C7" s="1">
        <v>52.105400000000003</v>
      </c>
      <c r="E7" s="1">
        <v>53.680100000000003</v>
      </c>
      <c r="F7" s="1">
        <v>53.544400000000003</v>
      </c>
      <c r="H7" s="1">
        <v>57.460299999999997</v>
      </c>
      <c r="I7" s="1">
        <v>49.375919722103731</v>
      </c>
      <c r="J7" s="1">
        <v>67.300478359190706</v>
      </c>
      <c r="K7" s="1">
        <v>367.68933929999997</v>
      </c>
      <c r="L7" s="1">
        <v>351.42953729999999</v>
      </c>
      <c r="M7" s="1">
        <v>6.1332400583613484</v>
      </c>
      <c r="N7" s="1">
        <v>121.41401854856369</v>
      </c>
      <c r="O7" s="1">
        <v>4.8229321393182065</v>
      </c>
      <c r="P7" s="1">
        <v>4.8848846718913661</v>
      </c>
      <c r="Q7" s="1">
        <v>74.474004396162513</v>
      </c>
      <c r="R7" s="1">
        <v>80.338520339145973</v>
      </c>
      <c r="S7" s="1">
        <v>60.478858736698484</v>
      </c>
      <c r="T7" s="1">
        <v>39.018172612183527</v>
      </c>
      <c r="U7" s="1">
        <v>49.411856343140379</v>
      </c>
      <c r="V7" s="1">
        <v>42.719851335593297</v>
      </c>
      <c r="W7" s="1">
        <v>39.307857009132391</v>
      </c>
      <c r="X7" s="1">
        <v>71.122847966749106</v>
      </c>
      <c r="Y7" s="1">
        <v>100.34220000000001</v>
      </c>
      <c r="Z7" s="1">
        <v>108.05446999999999</v>
      </c>
      <c r="AA7" s="1">
        <v>989</v>
      </c>
      <c r="AB7">
        <v>98.7</v>
      </c>
      <c r="AC7" s="3">
        <v>91.24</v>
      </c>
      <c r="AD7" s="3">
        <v>79.62</v>
      </c>
      <c r="AE7" s="3">
        <v>75.481676047968477</v>
      </c>
      <c r="AF7" s="1">
        <v>4.1089967524457007</v>
      </c>
    </row>
    <row r="8" spans="1:32" x14ac:dyDescent="0.25">
      <c r="A8" s="4">
        <v>36342</v>
      </c>
      <c r="B8" s="1">
        <v>57.314700000000002</v>
      </c>
      <c r="C8" s="1">
        <v>54.7592</v>
      </c>
      <c r="E8" s="1">
        <v>53.423400000000001</v>
      </c>
      <c r="F8" s="1">
        <v>53.128</v>
      </c>
      <c r="H8" s="1">
        <v>59.446399999999997</v>
      </c>
      <c r="I8" s="1">
        <v>49.660449798717551</v>
      </c>
      <c r="J8" s="1">
        <v>67.693410307781292</v>
      </c>
      <c r="K8" s="1">
        <v>368.47534560000003</v>
      </c>
      <c r="L8" s="1">
        <v>360.35220839999999</v>
      </c>
      <c r="M8" s="1">
        <v>6.1069352930184824</v>
      </c>
      <c r="N8" s="1">
        <v>120.79708957782864</v>
      </c>
      <c r="O8" s="1">
        <v>4.9033118936182918</v>
      </c>
      <c r="P8" s="1">
        <v>4.748589361491538</v>
      </c>
      <c r="Q8" s="1">
        <v>74.723542957497784</v>
      </c>
      <c r="R8" s="1">
        <v>80.483456808735696</v>
      </c>
      <c r="S8" s="1">
        <v>58.803776753149883</v>
      </c>
      <c r="T8" s="1">
        <v>41.904732519579028</v>
      </c>
      <c r="U8" s="1">
        <v>48.820283255545881</v>
      </c>
      <c r="V8" s="1">
        <v>47.300331753315085</v>
      </c>
      <c r="W8" s="1">
        <v>45.405155355330443</v>
      </c>
      <c r="X8" s="1">
        <v>70.073576389296093</v>
      </c>
      <c r="Y8" s="1">
        <v>100.5275</v>
      </c>
      <c r="Z8" s="1">
        <v>107.89507</v>
      </c>
      <c r="AA8" s="1">
        <v>977</v>
      </c>
      <c r="AB8">
        <v>98.78</v>
      </c>
      <c r="AC8" s="3"/>
      <c r="AD8" s="3"/>
      <c r="AE8" s="3"/>
    </row>
    <row r="9" spans="1:32" x14ac:dyDescent="0.25">
      <c r="A9" s="4">
        <v>36373</v>
      </c>
      <c r="B9" s="1">
        <v>58.447699999999998</v>
      </c>
      <c r="C9" s="1">
        <v>56.783200000000001</v>
      </c>
      <c r="E9" s="1">
        <v>53.566000000000003</v>
      </c>
      <c r="F9" s="1">
        <v>54.079599999999999</v>
      </c>
      <c r="H9" s="1">
        <v>59.464500000000001</v>
      </c>
      <c r="I9" s="1">
        <v>50.010092226974123</v>
      </c>
      <c r="J9" s="1">
        <v>68.066623793300792</v>
      </c>
      <c r="K9" s="1">
        <v>376.68523429999999</v>
      </c>
      <c r="L9" s="1">
        <v>366.1019144</v>
      </c>
      <c r="M9" s="1">
        <v>6.0828295945888904</v>
      </c>
      <c r="N9" s="1">
        <v>120.79620921001322</v>
      </c>
      <c r="O9" s="1">
        <v>5.0664025085750168</v>
      </c>
      <c r="P9" s="1">
        <v>4.8152855130203802</v>
      </c>
      <c r="Q9" s="1">
        <v>74.939404865703935</v>
      </c>
      <c r="R9" s="1">
        <v>80.582217193761068</v>
      </c>
      <c r="S9" s="1">
        <v>60.47052343646375</v>
      </c>
      <c r="T9" s="1">
        <v>43.136453665573299</v>
      </c>
      <c r="U9" s="1">
        <v>49.795763884681648</v>
      </c>
      <c r="V9" s="1">
        <v>51.401240578470784</v>
      </c>
      <c r="W9" s="1">
        <v>48.046066624812056</v>
      </c>
      <c r="X9" s="1">
        <v>69.962439091912813</v>
      </c>
      <c r="Y9" s="1">
        <v>100.687</v>
      </c>
      <c r="Z9" s="1">
        <v>107.53127000000001</v>
      </c>
      <c r="AA9" s="1">
        <v>1046</v>
      </c>
      <c r="AB9">
        <v>98.8</v>
      </c>
      <c r="AC9" s="3"/>
      <c r="AD9" s="3"/>
      <c r="AE9" s="3"/>
    </row>
    <row r="10" spans="1:32" x14ac:dyDescent="0.25">
      <c r="A10" s="4">
        <v>36404</v>
      </c>
      <c r="B10" s="1">
        <v>60.093400000000003</v>
      </c>
      <c r="C10" s="1">
        <v>60.643900000000002</v>
      </c>
      <c r="E10" s="1">
        <v>53.511699999999998</v>
      </c>
      <c r="F10" s="1">
        <v>55.688000000000002</v>
      </c>
      <c r="H10" s="1">
        <v>59.041699999999999</v>
      </c>
      <c r="I10" s="1">
        <v>49.993906369028217</v>
      </c>
      <c r="J10" s="1">
        <v>68.507142269866534</v>
      </c>
      <c r="K10" s="1">
        <v>386.44192349999997</v>
      </c>
      <c r="L10" s="1">
        <v>373.91587279999999</v>
      </c>
      <c r="M10" s="1">
        <v>6.052741849931131</v>
      </c>
      <c r="N10" s="1">
        <v>120.37992951783473</v>
      </c>
      <c r="O10" s="1">
        <v>5.1058586153930232</v>
      </c>
      <c r="P10" s="1">
        <v>4.8960266933878218</v>
      </c>
      <c r="Q10" s="1">
        <v>75.171521354491276</v>
      </c>
      <c r="R10" s="1">
        <v>80.804807591383081</v>
      </c>
      <c r="S10" s="1">
        <v>61.124872771995463</v>
      </c>
      <c r="T10" s="1">
        <v>45.284138699606771</v>
      </c>
      <c r="U10" s="1">
        <v>50.773775643969373</v>
      </c>
      <c r="V10" s="1">
        <v>54.866576261336569</v>
      </c>
      <c r="W10" s="1">
        <v>52.726450929041789</v>
      </c>
      <c r="X10" s="1">
        <v>72.03333081164061</v>
      </c>
      <c r="Y10" s="1">
        <v>100.8322</v>
      </c>
      <c r="Z10" s="1">
        <v>106.94063</v>
      </c>
      <c r="AA10" s="1">
        <v>1146</v>
      </c>
      <c r="AB10">
        <v>98.59</v>
      </c>
      <c r="AC10" s="3">
        <v>91.65</v>
      </c>
      <c r="AD10" s="3">
        <v>80.22</v>
      </c>
      <c r="AE10" s="3">
        <v>76.34737825045849</v>
      </c>
      <c r="AF10" s="1">
        <v>4.9569061346534911</v>
      </c>
    </row>
    <row r="11" spans="1:32" x14ac:dyDescent="0.25">
      <c r="A11" s="4">
        <v>36434</v>
      </c>
      <c r="B11" s="1">
        <v>60.825699999999998</v>
      </c>
      <c r="C11" s="1">
        <v>60.563200000000002</v>
      </c>
      <c r="E11" s="1">
        <v>54.108699999999999</v>
      </c>
      <c r="F11" s="1">
        <v>56.535600000000002</v>
      </c>
      <c r="H11" s="1">
        <v>60.356499999999997</v>
      </c>
      <c r="I11" s="1">
        <v>50.595078658414785</v>
      </c>
      <c r="J11" s="1">
        <v>68.791907776556414</v>
      </c>
      <c r="K11" s="1">
        <v>392.25664160000002</v>
      </c>
      <c r="L11" s="1">
        <v>382.21843139999999</v>
      </c>
      <c r="M11" s="1">
        <v>6.0358916316903963</v>
      </c>
      <c r="N11" s="1">
        <v>119.67188234746646</v>
      </c>
      <c r="O11" s="1">
        <v>5.2649545598632361</v>
      </c>
      <c r="P11" s="1">
        <v>4.8656786551429025</v>
      </c>
      <c r="Q11" s="1">
        <v>75.358428598913079</v>
      </c>
      <c r="R11" s="1">
        <v>80.96995582364724</v>
      </c>
      <c r="S11" s="1">
        <v>60.768281890896048</v>
      </c>
      <c r="T11" s="1">
        <v>45.088045415045457</v>
      </c>
      <c r="U11" s="1">
        <v>51.49658854942939</v>
      </c>
      <c r="V11" s="1">
        <v>55.667193826689548</v>
      </c>
      <c r="W11" s="1">
        <v>51.798032762205139</v>
      </c>
      <c r="X11" s="1">
        <v>73.127539393792844</v>
      </c>
      <c r="Y11" s="1">
        <v>100.9747</v>
      </c>
      <c r="Z11" s="1">
        <v>106.02226</v>
      </c>
      <c r="AA11" s="1">
        <v>1339</v>
      </c>
      <c r="AB11">
        <v>99.03</v>
      </c>
      <c r="AC11" s="3"/>
      <c r="AD11" s="3"/>
      <c r="AE11" s="3"/>
    </row>
    <row r="12" spans="1:32" x14ac:dyDescent="0.25">
      <c r="A12" s="4">
        <v>36465</v>
      </c>
      <c r="B12" s="1">
        <v>58.685299999999998</v>
      </c>
      <c r="C12" s="1">
        <v>60.702599999999997</v>
      </c>
      <c r="E12" s="1">
        <v>53.734699999999997</v>
      </c>
      <c r="F12" s="1">
        <v>56.985399999999998</v>
      </c>
      <c r="H12" s="1">
        <v>58.1496</v>
      </c>
      <c r="I12" s="1">
        <v>50.884040317915257</v>
      </c>
      <c r="J12" s="1">
        <v>69.573499317867558</v>
      </c>
      <c r="K12" s="1">
        <v>398.19701500000002</v>
      </c>
      <c r="L12" s="1">
        <v>386.29780890000001</v>
      </c>
      <c r="M12" s="1">
        <v>5.9923578932800927</v>
      </c>
      <c r="N12" s="1">
        <v>121.35083864871619</v>
      </c>
      <c r="O12" s="1">
        <v>5.1109381766747681</v>
      </c>
      <c r="P12" s="1">
        <v>5.0126645350697308</v>
      </c>
      <c r="Q12" s="1">
        <v>75.515650684608232</v>
      </c>
      <c r="R12" s="1">
        <v>81.118118274619789</v>
      </c>
      <c r="S12" s="1">
        <v>59.846721250878758</v>
      </c>
      <c r="T12" s="1">
        <v>45.822383153690524</v>
      </c>
      <c r="U12" s="1">
        <v>51.154740524583509</v>
      </c>
      <c r="V12" s="1">
        <v>58.050902298556217</v>
      </c>
      <c r="W12" s="1">
        <v>57.073001873884316</v>
      </c>
      <c r="X12" s="1">
        <v>72.918189242999745</v>
      </c>
      <c r="Y12" s="1">
        <v>101.1157</v>
      </c>
      <c r="Z12" s="1">
        <v>106.3356</v>
      </c>
      <c r="AA12" s="1">
        <v>1334</v>
      </c>
      <c r="AB12">
        <v>100.26</v>
      </c>
      <c r="AC12" s="3"/>
      <c r="AD12" s="3"/>
      <c r="AE12" s="3"/>
    </row>
    <row r="13" spans="1:32" x14ac:dyDescent="0.25">
      <c r="A13" s="4">
        <v>36495</v>
      </c>
      <c r="B13" s="1">
        <v>60.103299999999997</v>
      </c>
      <c r="C13" s="1">
        <v>61.061399999999999</v>
      </c>
      <c r="E13" s="1">
        <v>55.101599999999998</v>
      </c>
      <c r="F13" s="1">
        <v>57.0837</v>
      </c>
      <c r="H13" s="1">
        <v>59.6569</v>
      </c>
      <c r="I13" s="1">
        <v>51.577283343972461</v>
      </c>
      <c r="J13" s="1">
        <v>70.038669176869362</v>
      </c>
      <c r="K13" s="1">
        <v>402.94521120000002</v>
      </c>
      <c r="L13" s="1">
        <v>391.47442389999998</v>
      </c>
      <c r="M13" s="1">
        <v>5.9135628800126696</v>
      </c>
      <c r="N13" s="1">
        <v>122.6834820491726</v>
      </c>
      <c r="O13" s="1">
        <v>5.2360022528303141</v>
      </c>
      <c r="P13" s="1">
        <v>5.0388087120793488</v>
      </c>
      <c r="Q13" s="1">
        <v>75.677591686949214</v>
      </c>
      <c r="R13" s="1">
        <v>81.267280766913345</v>
      </c>
      <c r="S13" s="1">
        <v>60.138399160632211</v>
      </c>
      <c r="T13" s="1">
        <v>47.04800328592129</v>
      </c>
      <c r="U13" s="1">
        <v>51.432125324461211</v>
      </c>
      <c r="V13" s="1">
        <v>59.419051106670949</v>
      </c>
      <c r="W13" s="1">
        <v>59.061833732577846</v>
      </c>
      <c r="X13" s="1">
        <v>72.298998920841896</v>
      </c>
      <c r="Y13" s="1">
        <v>101.2444</v>
      </c>
      <c r="Z13" s="1">
        <v>105.56494000000001</v>
      </c>
      <c r="AA13" s="1">
        <v>1343</v>
      </c>
      <c r="AB13">
        <v>100.67</v>
      </c>
      <c r="AC13" s="3">
        <v>92.35</v>
      </c>
      <c r="AD13" s="3">
        <v>80.650000000000006</v>
      </c>
      <c r="AE13" s="3">
        <v>77.390660744734845</v>
      </c>
      <c r="AF13" s="1">
        <v>6.2901115874208049</v>
      </c>
    </row>
    <row r="14" spans="1:32" x14ac:dyDescent="0.25">
      <c r="A14" s="4">
        <v>36526</v>
      </c>
      <c r="B14" s="1">
        <v>59.720700000000001</v>
      </c>
      <c r="C14" s="1">
        <v>62.9711</v>
      </c>
      <c r="E14" s="1">
        <v>54.118099999999998</v>
      </c>
      <c r="F14" s="1">
        <v>55.366</v>
      </c>
      <c r="H14" s="1">
        <v>57.993899999999996</v>
      </c>
      <c r="I14" s="1">
        <v>51.45881811569916</v>
      </c>
      <c r="J14" s="1">
        <v>69.936793823408621</v>
      </c>
      <c r="K14" s="1">
        <v>411.79203639999997</v>
      </c>
      <c r="L14" s="1">
        <v>395.59680839999999</v>
      </c>
      <c r="M14" s="1">
        <v>6.031191881939443</v>
      </c>
      <c r="N14" s="1">
        <v>124.781370180468</v>
      </c>
      <c r="O14" s="1">
        <v>5.5587951141926952</v>
      </c>
      <c r="P14" s="1">
        <v>4.9948362868748371</v>
      </c>
      <c r="Q14" s="1">
        <v>75.898844878057488</v>
      </c>
      <c r="R14" s="1">
        <v>81.457557759168793</v>
      </c>
      <c r="S14" s="1">
        <v>60.98912080472514</v>
      </c>
      <c r="T14" s="1">
        <v>49.224077495374594</v>
      </c>
      <c r="U14" s="1">
        <v>52.005076595522496</v>
      </c>
      <c r="V14" s="1">
        <v>62.420218979167238</v>
      </c>
      <c r="W14" s="1">
        <v>59.62157412744542</v>
      </c>
      <c r="X14" s="1">
        <v>71.264287755895111</v>
      </c>
      <c r="Y14" s="1">
        <v>101.3488</v>
      </c>
      <c r="Z14" s="1">
        <v>105.39198</v>
      </c>
      <c r="AA14" s="1">
        <v>1371</v>
      </c>
      <c r="AB14">
        <v>100.84</v>
      </c>
      <c r="AC14" s="3"/>
      <c r="AD14" s="3"/>
      <c r="AE14" s="3"/>
    </row>
    <row r="15" spans="1:32" x14ac:dyDescent="0.25">
      <c r="A15" s="4">
        <v>36557</v>
      </c>
      <c r="B15" s="1">
        <v>58.915799999999997</v>
      </c>
      <c r="C15" s="1">
        <v>65.123900000000006</v>
      </c>
      <c r="E15" s="1">
        <v>54.649700000000003</v>
      </c>
      <c r="F15" s="1">
        <v>55.296500000000002</v>
      </c>
      <c r="H15" s="1">
        <v>58.284799999999997</v>
      </c>
      <c r="I15" s="1">
        <v>52.062145046681806</v>
      </c>
      <c r="J15" s="1">
        <v>70.609927001193697</v>
      </c>
      <c r="K15" s="1">
        <v>419.4599374</v>
      </c>
      <c r="L15" s="1">
        <v>400.49868170000002</v>
      </c>
      <c r="M15" s="1">
        <v>6.0791151143215636</v>
      </c>
      <c r="N15" s="1">
        <v>123.62753658240108</v>
      </c>
      <c r="O15" s="1">
        <v>5.4796598673377659</v>
      </c>
      <c r="P15" s="1">
        <v>5.1296522959902244</v>
      </c>
      <c r="Q15" s="1">
        <v>76.124027830644636</v>
      </c>
      <c r="R15" s="1">
        <v>81.554613466683662</v>
      </c>
      <c r="S15" s="1">
        <v>61.737525434413847</v>
      </c>
      <c r="T15" s="1">
        <v>50.275821050008574</v>
      </c>
      <c r="U15" s="1">
        <v>53.285640349359241</v>
      </c>
      <c r="V15" s="1">
        <v>66.611448825495813</v>
      </c>
      <c r="W15" s="1">
        <v>65.421429387376861</v>
      </c>
      <c r="X15" s="1">
        <v>74.784892988185163</v>
      </c>
      <c r="Y15" s="1">
        <v>101.4088</v>
      </c>
      <c r="Z15" s="1">
        <v>107.42362</v>
      </c>
      <c r="AA15" s="1">
        <v>1393</v>
      </c>
      <c r="AB15">
        <v>100.41</v>
      </c>
      <c r="AC15" s="3"/>
      <c r="AD15" s="3"/>
      <c r="AE15" s="3"/>
    </row>
    <row r="16" spans="1:32" x14ac:dyDescent="0.25">
      <c r="A16" s="4">
        <v>36586</v>
      </c>
      <c r="B16" s="1">
        <v>60.222499999999997</v>
      </c>
      <c r="C16" s="1">
        <v>67.653700000000001</v>
      </c>
      <c r="E16" s="1">
        <v>55.252899999999997</v>
      </c>
      <c r="F16" s="1">
        <v>55.642099999999999</v>
      </c>
      <c r="H16" s="1">
        <v>60.365400000000001</v>
      </c>
      <c r="I16" s="1">
        <v>52.135020311287441</v>
      </c>
      <c r="J16" s="1">
        <v>71.018682504722491</v>
      </c>
      <c r="K16" s="1">
        <v>421.3309423</v>
      </c>
      <c r="L16" s="1">
        <v>400.32940719999999</v>
      </c>
      <c r="M16" s="1">
        <v>6.037590593400683</v>
      </c>
      <c r="N16" s="1">
        <v>122.53014185509522</v>
      </c>
      <c r="O16" s="1">
        <v>5.3142160233442084</v>
      </c>
      <c r="P16" s="1">
        <v>5.1965544336442315</v>
      </c>
      <c r="Q16" s="1">
        <v>76.348945052476836</v>
      </c>
      <c r="R16" s="1">
        <v>81.721506426886577</v>
      </c>
      <c r="S16" s="1">
        <v>62.852083803132928</v>
      </c>
      <c r="T16" s="1">
        <v>49.805626333407126</v>
      </c>
      <c r="U16" s="1">
        <v>53.623750892394661</v>
      </c>
      <c r="V16" s="1">
        <v>67.225029034782025</v>
      </c>
      <c r="W16" s="1">
        <v>66.344025008231014</v>
      </c>
      <c r="X16" s="1">
        <v>75.959245341329066</v>
      </c>
      <c r="Y16" s="1">
        <v>101.4212</v>
      </c>
      <c r="Z16" s="1">
        <v>107.64824</v>
      </c>
      <c r="AA16" s="1">
        <v>1621</v>
      </c>
      <c r="AB16">
        <v>101.06</v>
      </c>
      <c r="AC16" s="3">
        <v>92.63</v>
      </c>
      <c r="AD16" s="3">
        <v>81.099999999999994</v>
      </c>
      <c r="AE16" s="3">
        <v>78.252726391709089</v>
      </c>
      <c r="AF16" s="1">
        <v>5.3469095748780804</v>
      </c>
    </row>
    <row r="17" spans="1:32" x14ac:dyDescent="0.25">
      <c r="A17" s="4">
        <v>36617</v>
      </c>
      <c r="B17" s="1">
        <v>60.339100000000002</v>
      </c>
      <c r="C17" s="1">
        <v>64.913600000000002</v>
      </c>
      <c r="E17" s="1">
        <v>55.7746</v>
      </c>
      <c r="F17" s="1">
        <v>55.999000000000002</v>
      </c>
      <c r="H17" s="1">
        <v>61.189599999999999</v>
      </c>
      <c r="I17" s="1">
        <v>52.300635198109987</v>
      </c>
      <c r="J17" s="1">
        <v>71.592528499606715</v>
      </c>
      <c r="K17" s="1">
        <v>419.87876670000003</v>
      </c>
      <c r="L17" s="1">
        <v>398.9357488</v>
      </c>
      <c r="M17" s="1">
        <v>5.8914143625409743</v>
      </c>
      <c r="N17" s="1">
        <v>122.54494634375841</v>
      </c>
      <c r="O17" s="1">
        <v>5.1669861885633832</v>
      </c>
      <c r="P17" s="1">
        <v>5.2906017042427438</v>
      </c>
      <c r="Q17" s="1">
        <v>76.332799108935617</v>
      </c>
      <c r="R17" s="1">
        <v>81.808518987725819</v>
      </c>
      <c r="S17" s="1">
        <v>65.62061555362645</v>
      </c>
      <c r="T17" s="1">
        <v>47.738663306084497</v>
      </c>
      <c r="U17" s="1">
        <v>54.216291987557156</v>
      </c>
      <c r="V17" s="1">
        <v>61.406297549436132</v>
      </c>
      <c r="W17" s="1">
        <v>56.789491696574032</v>
      </c>
      <c r="X17" s="1">
        <v>75.442087185241533</v>
      </c>
      <c r="Y17" s="1">
        <v>101.3866</v>
      </c>
      <c r="Z17" s="1">
        <v>107.97504000000001</v>
      </c>
      <c r="AA17" s="1">
        <v>1667</v>
      </c>
      <c r="AB17">
        <v>101.16</v>
      </c>
      <c r="AC17" s="3"/>
      <c r="AD17" s="3"/>
      <c r="AE17" s="3"/>
    </row>
    <row r="18" spans="1:32" x14ac:dyDescent="0.25">
      <c r="A18" s="4">
        <v>36647</v>
      </c>
      <c r="B18" s="1">
        <v>58.749200000000002</v>
      </c>
      <c r="C18" s="1">
        <v>64.108999999999995</v>
      </c>
      <c r="E18" s="1">
        <v>55.488</v>
      </c>
      <c r="F18" s="1">
        <v>54.896099999999997</v>
      </c>
      <c r="H18" s="1">
        <v>60.044199999999996</v>
      </c>
      <c r="I18" s="1">
        <v>52.546225573813331</v>
      </c>
      <c r="J18" s="1">
        <v>72.242925933073536</v>
      </c>
      <c r="K18" s="1">
        <v>429.69082750000001</v>
      </c>
      <c r="L18" s="1">
        <v>407.70400360000002</v>
      </c>
      <c r="M18" s="1">
        <v>5.8874506641376723</v>
      </c>
      <c r="N18" s="1">
        <v>124.44979505750223</v>
      </c>
      <c r="O18" s="1">
        <v>5.3815480872092651</v>
      </c>
      <c r="P18" s="1">
        <v>5.4385795663712981</v>
      </c>
      <c r="Q18" s="1">
        <v>76.47336534628387</v>
      </c>
      <c r="R18" s="1">
        <v>81.960888454303984</v>
      </c>
      <c r="S18" s="1">
        <v>64.699432180797928</v>
      </c>
      <c r="T18" s="1">
        <v>48.8968798629259</v>
      </c>
      <c r="U18" s="1">
        <v>53.981808803169564</v>
      </c>
      <c r="V18" s="1">
        <v>68.9599277331086</v>
      </c>
      <c r="W18" s="1">
        <v>67.346645791958295</v>
      </c>
      <c r="X18" s="1">
        <v>76.366215153486493</v>
      </c>
      <c r="Y18" s="1">
        <v>101.30970000000001</v>
      </c>
      <c r="Z18" s="1">
        <v>110.70411</v>
      </c>
      <c r="AA18" s="1">
        <v>1602</v>
      </c>
      <c r="AB18">
        <v>100.53</v>
      </c>
      <c r="AC18" s="3"/>
      <c r="AD18" s="3"/>
      <c r="AE18" s="3"/>
    </row>
    <row r="19" spans="1:32" x14ac:dyDescent="0.25">
      <c r="A19" s="4">
        <v>36678</v>
      </c>
      <c r="B19" s="1">
        <v>57.784799999999997</v>
      </c>
      <c r="C19" s="1">
        <v>63.616500000000002</v>
      </c>
      <c r="E19" s="1">
        <v>55.3399</v>
      </c>
      <c r="F19" s="1">
        <v>53.838500000000003</v>
      </c>
      <c r="H19" s="1">
        <v>60.079900000000002</v>
      </c>
      <c r="I19" s="1">
        <v>52.93110749287866</v>
      </c>
      <c r="J19" s="1">
        <v>72.380751275871262</v>
      </c>
      <c r="K19" s="1">
        <v>440.27720090000003</v>
      </c>
      <c r="L19" s="1">
        <v>416.48743860000002</v>
      </c>
      <c r="M19" s="1">
        <v>5.855397941693802</v>
      </c>
      <c r="N19" s="1">
        <v>122.89593219312852</v>
      </c>
      <c r="O19" s="1">
        <v>5.1788356204125101</v>
      </c>
      <c r="P19" s="1">
        <v>5.5835090111904622</v>
      </c>
      <c r="Q19" s="1">
        <v>76.8205285203464</v>
      </c>
      <c r="R19" s="1">
        <v>82.115374403151165</v>
      </c>
      <c r="S19" s="1">
        <v>62.510041155560735</v>
      </c>
      <c r="T19" s="1">
        <v>46.758788632418309</v>
      </c>
      <c r="U19" s="1">
        <v>52.704860441908927</v>
      </c>
      <c r="V19" s="1">
        <v>75.499490642763945</v>
      </c>
      <c r="W19" s="1">
        <v>72.153018274180184</v>
      </c>
      <c r="X19" s="1">
        <v>75.144639402345135</v>
      </c>
      <c r="Y19" s="1">
        <v>101.1994</v>
      </c>
      <c r="Z19" s="1">
        <v>111.06789000000001</v>
      </c>
      <c r="AA19" s="1">
        <v>1589</v>
      </c>
      <c r="AB19">
        <v>100.36</v>
      </c>
      <c r="AC19" s="3">
        <v>93.28</v>
      </c>
      <c r="AD19" s="3">
        <v>81.81</v>
      </c>
      <c r="AE19" s="3">
        <v>79.14591930349124</v>
      </c>
      <c r="AF19" s="1">
        <v>4.9898550550704526</v>
      </c>
    </row>
    <row r="20" spans="1:32" x14ac:dyDescent="0.25">
      <c r="A20" s="4">
        <v>36708</v>
      </c>
      <c r="B20" s="1">
        <v>58.130600000000001</v>
      </c>
      <c r="C20" s="1">
        <v>62.653799999999997</v>
      </c>
      <c r="E20" s="1">
        <v>54.033499999999997</v>
      </c>
      <c r="F20" s="1">
        <v>54.2624</v>
      </c>
      <c r="H20" s="1">
        <v>57.701799999999999</v>
      </c>
      <c r="I20" s="1">
        <v>53.083141761194717</v>
      </c>
      <c r="J20" s="1">
        <v>72.613740353531639</v>
      </c>
      <c r="K20" s="1">
        <v>441.02837649999998</v>
      </c>
      <c r="L20" s="1">
        <v>414.24325299999998</v>
      </c>
      <c r="M20" s="1">
        <v>5.8323150187834329</v>
      </c>
      <c r="N20" s="1">
        <v>124.04271797709414</v>
      </c>
      <c r="O20" s="1">
        <v>5.1949654153271476</v>
      </c>
      <c r="P20" s="1">
        <v>5.486384779438426</v>
      </c>
      <c r="Q20" s="1">
        <v>77.088452998984764</v>
      </c>
      <c r="R20" s="1">
        <v>82.239039333711659</v>
      </c>
      <c r="S20" s="1">
        <v>60.617603947169748</v>
      </c>
      <c r="T20" s="1">
        <v>47.341899375489525</v>
      </c>
      <c r="U20" s="1">
        <v>51.906612260611297</v>
      </c>
      <c r="V20" s="1">
        <v>73.041609226337144</v>
      </c>
      <c r="W20" s="1">
        <v>68.971740265262341</v>
      </c>
      <c r="X20" s="1">
        <v>73.574182770330964</v>
      </c>
      <c r="Y20" s="1">
        <v>101.05759999999999</v>
      </c>
      <c r="Z20" s="1">
        <v>110.75896</v>
      </c>
      <c r="AA20" s="1">
        <v>1618</v>
      </c>
      <c r="AB20">
        <v>99.81</v>
      </c>
      <c r="AC20" s="3"/>
      <c r="AD20" s="3"/>
      <c r="AE20" s="3"/>
    </row>
    <row r="21" spans="1:32" x14ac:dyDescent="0.25">
      <c r="A21" s="4">
        <v>36739</v>
      </c>
      <c r="B21" s="1">
        <v>57.721400000000003</v>
      </c>
      <c r="C21" s="1">
        <v>59.630499999999998</v>
      </c>
      <c r="E21" s="1">
        <v>54.613799999999998</v>
      </c>
      <c r="F21" s="1">
        <v>52.747399999999999</v>
      </c>
      <c r="H21" s="1">
        <v>60.6218</v>
      </c>
      <c r="I21" s="1">
        <v>53.289754539508124</v>
      </c>
      <c r="J21" s="1">
        <v>73.01013836845695</v>
      </c>
      <c r="K21" s="1">
        <v>448.22285160000001</v>
      </c>
      <c r="L21" s="1">
        <v>422.5675799</v>
      </c>
      <c r="M21" s="1">
        <v>5.8303833782918195</v>
      </c>
      <c r="N21" s="1">
        <v>123.55421031634231</v>
      </c>
      <c r="O21" s="1">
        <v>5.109268680416502</v>
      </c>
      <c r="P21" s="1">
        <v>5.663756072660421</v>
      </c>
      <c r="Q21" s="1">
        <v>77.211721199065693</v>
      </c>
      <c r="R21" s="1">
        <v>82.397858082354048</v>
      </c>
      <c r="S21" s="1">
        <v>59.573262420520848</v>
      </c>
      <c r="T21" s="1">
        <v>47.330524088619761</v>
      </c>
      <c r="U21" s="1">
        <v>51.008040866639803</v>
      </c>
      <c r="V21" s="1">
        <v>76.558522186878918</v>
      </c>
      <c r="W21" s="1">
        <v>72.866443559242455</v>
      </c>
      <c r="X21" s="1">
        <v>71.061273667622018</v>
      </c>
      <c r="Y21" s="1">
        <v>100.887</v>
      </c>
      <c r="Z21" s="1">
        <v>110.72041</v>
      </c>
      <c r="AA21" s="1">
        <v>1639</v>
      </c>
      <c r="AB21">
        <v>99.36</v>
      </c>
      <c r="AC21" s="3"/>
      <c r="AD21" s="3"/>
      <c r="AE21" s="3"/>
    </row>
    <row r="22" spans="1:32" x14ac:dyDescent="0.25">
      <c r="A22" s="4">
        <v>36770</v>
      </c>
      <c r="B22" s="1">
        <v>57.058300000000003</v>
      </c>
      <c r="C22" s="1">
        <v>62.436700000000002</v>
      </c>
      <c r="E22" s="1">
        <v>54.462299999999999</v>
      </c>
      <c r="F22" s="1">
        <v>52.128900000000002</v>
      </c>
      <c r="H22" s="1">
        <v>59.188400000000001</v>
      </c>
      <c r="I22" s="1">
        <v>53.803417730293781</v>
      </c>
      <c r="J22" s="1">
        <v>72.944708500007238</v>
      </c>
      <c r="K22" s="1">
        <v>444.15564369999998</v>
      </c>
      <c r="L22" s="1">
        <v>418.82474560000003</v>
      </c>
      <c r="M22" s="1">
        <v>5.7658257513152833</v>
      </c>
      <c r="N22" s="1">
        <v>123.60174897398088</v>
      </c>
      <c r="O22" s="1">
        <v>5.1485453643558374</v>
      </c>
      <c r="P22" s="1">
        <v>5.6746030090274413</v>
      </c>
      <c r="Q22" s="1">
        <v>77.505180182996611</v>
      </c>
      <c r="R22" s="1">
        <v>82.592479056318339</v>
      </c>
      <c r="S22" s="1">
        <v>59.068948583073265</v>
      </c>
      <c r="T22" s="1">
        <v>49.503901130914166</v>
      </c>
      <c r="U22" s="1">
        <v>51.251355759285957</v>
      </c>
      <c r="V22" s="1">
        <v>83.121869000547534</v>
      </c>
      <c r="W22" s="1">
        <v>80.35912152077907</v>
      </c>
      <c r="X22" s="1">
        <v>72.716941035724716</v>
      </c>
      <c r="Y22" s="1">
        <v>100.6846</v>
      </c>
      <c r="Z22" s="1">
        <v>112.74644000000001</v>
      </c>
      <c r="AA22" s="1">
        <v>1712</v>
      </c>
      <c r="AB22">
        <v>99.81</v>
      </c>
      <c r="AC22" s="3">
        <v>93.7</v>
      </c>
      <c r="AD22" s="3">
        <v>82.17</v>
      </c>
      <c r="AE22" s="3">
        <v>79.556902048877362</v>
      </c>
      <c r="AF22" s="1">
        <v>3.1302027934320735</v>
      </c>
    </row>
    <row r="23" spans="1:32" x14ac:dyDescent="0.25">
      <c r="A23" s="4">
        <v>36800</v>
      </c>
      <c r="B23" s="1">
        <v>56.113</v>
      </c>
      <c r="C23" s="1">
        <v>62.049199999999999</v>
      </c>
      <c r="E23" s="1">
        <v>54.399000000000001</v>
      </c>
      <c r="F23" s="1">
        <v>51.151800000000001</v>
      </c>
      <c r="H23" s="1">
        <v>58.306399999999996</v>
      </c>
      <c r="I23" s="1">
        <v>53.881114901406555</v>
      </c>
      <c r="J23" s="1">
        <v>73.128269845526162</v>
      </c>
      <c r="K23" s="1">
        <v>445.542508</v>
      </c>
      <c r="L23" s="1">
        <v>417.91451130000002</v>
      </c>
      <c r="M23" s="1">
        <v>5.7169501325615597</v>
      </c>
      <c r="N23" s="1">
        <v>122.05073188454533</v>
      </c>
      <c r="O23" s="1">
        <v>5.1456285334182867</v>
      </c>
      <c r="P23" s="1">
        <v>5.7515456390460997</v>
      </c>
      <c r="Q23" s="1">
        <v>77.635144005231311</v>
      </c>
      <c r="R23" s="1">
        <v>82.715019807285458</v>
      </c>
      <c r="S23" s="1">
        <v>58.764964242037486</v>
      </c>
      <c r="T23" s="1">
        <v>46.642271360561843</v>
      </c>
      <c r="U23" s="1">
        <v>50.385336085908847</v>
      </c>
      <c r="V23" s="1">
        <v>82.635598522236336</v>
      </c>
      <c r="W23" s="1">
        <v>79.171259088956774</v>
      </c>
      <c r="X23" s="1">
        <v>71.511904693526958</v>
      </c>
      <c r="Y23" s="1">
        <v>100.4499</v>
      </c>
      <c r="Z23" s="1">
        <v>114.56831</v>
      </c>
      <c r="AA23" s="1">
        <v>1734</v>
      </c>
      <c r="AB23">
        <v>98.93</v>
      </c>
      <c r="AC23" s="3"/>
      <c r="AD23" s="3"/>
      <c r="AE23" s="3"/>
    </row>
    <row r="24" spans="1:32" x14ac:dyDescent="0.25">
      <c r="A24" s="4">
        <v>36831</v>
      </c>
      <c r="B24" s="1">
        <v>54.866700000000002</v>
      </c>
      <c r="C24" s="1">
        <v>59.7089</v>
      </c>
      <c r="E24" s="1">
        <v>54.126600000000003</v>
      </c>
      <c r="F24" s="1">
        <v>50.745100000000001</v>
      </c>
      <c r="H24" s="1">
        <v>58.236199999999997</v>
      </c>
      <c r="I24" s="1">
        <v>54.173827866214253</v>
      </c>
      <c r="J24" s="1">
        <v>73.450700326460321</v>
      </c>
      <c r="K24" s="1">
        <v>446.19965760000002</v>
      </c>
      <c r="L24" s="1">
        <v>416.87111629999998</v>
      </c>
      <c r="M24" s="1">
        <v>5.6666771894716099</v>
      </c>
      <c r="N24" s="1">
        <v>121.18565682828023</v>
      </c>
      <c r="O24" s="1">
        <v>5.0772651379069771</v>
      </c>
      <c r="P24" s="1">
        <v>5.7830984569493573</v>
      </c>
      <c r="Q24" s="1">
        <v>77.866638841709985</v>
      </c>
      <c r="R24" s="1">
        <v>82.915207934588395</v>
      </c>
      <c r="S24" s="1">
        <v>59.456652660870965</v>
      </c>
      <c r="T24" s="1">
        <v>45.256695942638892</v>
      </c>
      <c r="U24" s="1">
        <v>50.474045394058095</v>
      </c>
      <c r="V24" s="1">
        <v>85.150598647169275</v>
      </c>
      <c r="W24" s="1">
        <v>81.702653401540843</v>
      </c>
      <c r="X24" s="1">
        <v>73.199227656368848</v>
      </c>
      <c r="Y24" s="1">
        <v>100.1904</v>
      </c>
      <c r="Z24" s="1">
        <v>114.75082</v>
      </c>
      <c r="AA24" s="1">
        <v>1722</v>
      </c>
      <c r="AB24">
        <v>97.98</v>
      </c>
      <c r="AC24" s="3"/>
      <c r="AD24" s="3"/>
      <c r="AE24" s="3"/>
    </row>
    <row r="25" spans="1:32" x14ac:dyDescent="0.25">
      <c r="A25" s="4">
        <v>36861</v>
      </c>
      <c r="B25" s="1">
        <v>52.903199999999998</v>
      </c>
      <c r="C25" s="1">
        <v>59.890999999999998</v>
      </c>
      <c r="E25" s="1">
        <v>52.018900000000002</v>
      </c>
      <c r="F25" s="1">
        <v>47.850700000000003</v>
      </c>
      <c r="H25" s="1">
        <v>56.988500000000002</v>
      </c>
      <c r="I25" s="1">
        <v>54.294414487431418</v>
      </c>
      <c r="J25" s="1">
        <v>73.611848990911795</v>
      </c>
      <c r="K25" s="1">
        <v>445.2892774</v>
      </c>
      <c r="L25" s="1">
        <v>421.55728909999999</v>
      </c>
      <c r="M25" s="1">
        <v>5.5737929065709491</v>
      </c>
      <c r="N25" s="1">
        <v>120.16107811962873</v>
      </c>
      <c r="O25" s="1">
        <v>4.7510283905339836</v>
      </c>
      <c r="P25" s="1">
        <v>5.7559098469433412</v>
      </c>
      <c r="Q25" s="1">
        <v>78.047166859227275</v>
      </c>
      <c r="R25" s="1">
        <v>82.964145153204655</v>
      </c>
      <c r="S25" s="1">
        <v>62.821883651251056</v>
      </c>
      <c r="T25" s="1">
        <v>46.413624824466183</v>
      </c>
      <c r="U25" s="1">
        <v>52.044347654927563</v>
      </c>
      <c r="V25" s="1">
        <v>84.12610980972218</v>
      </c>
      <c r="W25" s="1">
        <v>63.259151596923495</v>
      </c>
      <c r="X25" s="1">
        <v>68.309322595027851</v>
      </c>
      <c r="Y25" s="1">
        <v>99.915840000000003</v>
      </c>
      <c r="Z25" s="1">
        <v>115.40864999999999</v>
      </c>
      <c r="AA25" s="1">
        <v>1609</v>
      </c>
      <c r="AB25">
        <v>96.4</v>
      </c>
      <c r="AC25" s="3">
        <v>94.19</v>
      </c>
      <c r="AD25" s="3">
        <v>82.65</v>
      </c>
      <c r="AE25" s="3">
        <v>80.090973952796574</v>
      </c>
      <c r="AF25" s="1">
        <v>2.8388005114518347</v>
      </c>
    </row>
    <row r="26" spans="1:32" x14ac:dyDescent="0.25">
      <c r="A26" s="4">
        <v>36892</v>
      </c>
      <c r="B26" s="1">
        <v>50.3996</v>
      </c>
      <c r="C26" s="1">
        <v>59.8429</v>
      </c>
      <c r="E26" s="1">
        <v>51.614199999999997</v>
      </c>
      <c r="F26" s="1">
        <v>46.672199999999997</v>
      </c>
      <c r="H26" s="1">
        <v>53.514499999999998</v>
      </c>
      <c r="I26" s="1">
        <v>54.855203627782615</v>
      </c>
      <c r="J26" s="1">
        <v>72.941789513713246</v>
      </c>
      <c r="K26" s="1">
        <v>447.3945592</v>
      </c>
      <c r="L26" s="1">
        <v>421.12831440000002</v>
      </c>
      <c r="M26" s="1">
        <v>5.722272981256018</v>
      </c>
      <c r="N26" s="1">
        <v>117.17610000246381</v>
      </c>
      <c r="O26" s="1">
        <v>4.6476613026425815</v>
      </c>
      <c r="P26" s="1">
        <v>5.3619395675579664</v>
      </c>
      <c r="Q26" s="1">
        <v>78.219158212444498</v>
      </c>
      <c r="R26" s="1">
        <v>83.138336265956696</v>
      </c>
      <c r="S26" s="1">
        <v>61.251940314269916</v>
      </c>
      <c r="T26" s="1">
        <v>46.202092619295478</v>
      </c>
      <c r="U26" s="1">
        <v>51.896815701811498</v>
      </c>
      <c r="V26" s="1">
        <v>83.181448525402473</v>
      </c>
      <c r="W26" s="1">
        <v>64.557577914874273</v>
      </c>
      <c r="X26" s="1">
        <v>71.442514138328974</v>
      </c>
      <c r="Y26" s="1">
        <v>99.651910000000001</v>
      </c>
      <c r="Z26" s="1">
        <v>118.45526</v>
      </c>
      <c r="AA26" s="1">
        <v>1566</v>
      </c>
      <c r="AB26">
        <v>96.53</v>
      </c>
      <c r="AC26" s="3"/>
      <c r="AD26" s="3"/>
      <c r="AE26" s="3"/>
    </row>
    <row r="27" spans="1:32" x14ac:dyDescent="0.25">
      <c r="A27" s="4">
        <v>36923</v>
      </c>
      <c r="B27" s="1">
        <v>50.695999999999998</v>
      </c>
      <c r="C27" s="1">
        <v>56.0593</v>
      </c>
      <c r="E27" s="1">
        <v>50.068199999999997</v>
      </c>
      <c r="F27" s="1">
        <v>46.124099999999999</v>
      </c>
      <c r="H27" s="1">
        <v>52.518500000000003</v>
      </c>
      <c r="I27" s="1">
        <v>55.1415457174501</v>
      </c>
      <c r="J27" s="1">
        <v>73.187035360936648</v>
      </c>
      <c r="K27" s="1">
        <v>436.35064970000002</v>
      </c>
      <c r="L27" s="1">
        <v>416.98695900000001</v>
      </c>
      <c r="M27" s="1">
        <v>5.7482658339990751</v>
      </c>
      <c r="N27" s="1">
        <v>115.33405650581193</v>
      </c>
      <c r="O27" s="1">
        <v>4.5828218366368247</v>
      </c>
      <c r="P27" s="1">
        <v>5.3747001172606499</v>
      </c>
      <c r="Q27" s="1">
        <v>78.360244450389573</v>
      </c>
      <c r="R27" s="1">
        <v>83.289073111655867</v>
      </c>
      <c r="S27" s="1">
        <v>60.297016103686943</v>
      </c>
      <c r="T27" s="1">
        <v>45.481200397885409</v>
      </c>
      <c r="U27" s="1">
        <v>51.247228917354512</v>
      </c>
      <c r="V27" s="1">
        <v>76.917370368811646</v>
      </c>
      <c r="W27" s="1">
        <v>68.241019550862333</v>
      </c>
      <c r="X27" s="1">
        <v>70.969655262219106</v>
      </c>
      <c r="Y27" s="1">
        <v>99.421139999999994</v>
      </c>
      <c r="Z27" s="1">
        <v>116.89342000000001</v>
      </c>
      <c r="AA27" s="1">
        <v>1479</v>
      </c>
      <c r="AB27">
        <v>95.49</v>
      </c>
      <c r="AC27" s="3"/>
      <c r="AD27" s="3"/>
      <c r="AE27" s="3"/>
    </row>
    <row r="28" spans="1:32" x14ac:dyDescent="0.25">
      <c r="A28" s="4">
        <v>36951</v>
      </c>
      <c r="B28" s="1">
        <v>50.775500000000001</v>
      </c>
      <c r="C28" s="1">
        <v>53.377800000000001</v>
      </c>
      <c r="E28" s="1">
        <v>50.028300000000002</v>
      </c>
      <c r="F28" s="1">
        <v>46.313600000000001</v>
      </c>
      <c r="H28" s="1">
        <v>51.298099999999998</v>
      </c>
      <c r="I28" s="1">
        <v>55.092777285025406</v>
      </c>
      <c r="J28" s="1">
        <v>72.830395404579107</v>
      </c>
      <c r="K28" s="1">
        <v>430.62271199999998</v>
      </c>
      <c r="L28" s="1">
        <v>407.77257250000002</v>
      </c>
      <c r="M28" s="1">
        <v>5.8113371525922135</v>
      </c>
      <c r="N28" s="1">
        <v>117.0704171517078</v>
      </c>
      <c r="O28" s="1">
        <v>4.4464864813811928</v>
      </c>
      <c r="P28" s="1">
        <v>5.1112279816144115</v>
      </c>
      <c r="Q28" s="1">
        <v>78.492053924663992</v>
      </c>
      <c r="R28" s="1">
        <v>83.470143230293232</v>
      </c>
      <c r="S28" s="1">
        <v>61.753939616028049</v>
      </c>
      <c r="T28" s="1">
        <v>43.998091610539547</v>
      </c>
      <c r="U28" s="1">
        <v>51.115773277948506</v>
      </c>
      <c r="V28" s="1">
        <v>72.361527237001766</v>
      </c>
      <c r="W28" s="1">
        <v>63.398568645519667</v>
      </c>
      <c r="X28" s="1">
        <v>67.420781525008067</v>
      </c>
      <c r="Y28" s="1">
        <v>99.231480000000005</v>
      </c>
      <c r="Z28" s="1">
        <v>117.2582</v>
      </c>
      <c r="AA28" s="1">
        <v>1502</v>
      </c>
      <c r="AB28">
        <v>94.09</v>
      </c>
      <c r="AC28" s="3">
        <v>94.82</v>
      </c>
      <c r="AD28" s="3">
        <v>83.28</v>
      </c>
      <c r="AE28" s="3">
        <v>80.380459650357821</v>
      </c>
      <c r="AF28" s="1">
        <v>1.8071470161531848</v>
      </c>
    </row>
    <row r="29" spans="1:32" x14ac:dyDescent="0.25">
      <c r="A29" s="4">
        <v>36982</v>
      </c>
      <c r="B29" s="1">
        <v>48.389499999999998</v>
      </c>
      <c r="C29" s="1">
        <v>51.529600000000002</v>
      </c>
      <c r="E29" s="1">
        <v>47.997100000000003</v>
      </c>
      <c r="F29" s="1">
        <v>45.661299999999997</v>
      </c>
      <c r="H29" s="1">
        <v>49.730800000000002</v>
      </c>
      <c r="I29" s="1">
        <v>55.408862743946095</v>
      </c>
      <c r="J29" s="1">
        <v>72.40016174984973</v>
      </c>
      <c r="K29" s="1">
        <v>420.82790269999998</v>
      </c>
      <c r="L29" s="1">
        <v>398.19909580000001</v>
      </c>
      <c r="M29" s="1">
        <v>5.7666721267018097</v>
      </c>
      <c r="N29" s="1">
        <v>114.75352227013184</v>
      </c>
      <c r="O29" s="1">
        <v>4.6566769866434452</v>
      </c>
      <c r="P29" s="1">
        <v>4.9051246641846538</v>
      </c>
      <c r="Q29" s="1">
        <v>78.759990009254849</v>
      </c>
      <c r="R29" s="1">
        <v>83.692396769822494</v>
      </c>
      <c r="S29" s="1">
        <v>62.182541298405489</v>
      </c>
      <c r="T29" s="1">
        <v>43.58306291515796</v>
      </c>
      <c r="U29" s="1">
        <v>51.025735561993002</v>
      </c>
      <c r="V29" s="1">
        <v>73.375901969700465</v>
      </c>
      <c r="W29" s="1">
        <v>65.630531725561738</v>
      </c>
      <c r="X29" s="1">
        <v>68.901251253942021</v>
      </c>
      <c r="Y29" s="1">
        <v>99.078100000000006</v>
      </c>
      <c r="Z29" s="1">
        <v>118.10184</v>
      </c>
      <c r="AA29" s="1">
        <v>1440</v>
      </c>
      <c r="AB29">
        <v>93.48</v>
      </c>
      <c r="AC29" s="3"/>
      <c r="AD29" s="3"/>
      <c r="AE29" s="3"/>
    </row>
    <row r="30" spans="1:32" x14ac:dyDescent="0.25">
      <c r="A30" s="4">
        <v>37012</v>
      </c>
      <c r="B30" s="1">
        <v>49.135199999999998</v>
      </c>
      <c r="C30" s="1">
        <v>52.884399999999999</v>
      </c>
      <c r="E30" s="1">
        <v>47.517899999999997</v>
      </c>
      <c r="F30" s="1">
        <v>44.758800000000001</v>
      </c>
      <c r="H30" s="1">
        <v>49.423099999999998</v>
      </c>
      <c r="I30" s="1">
        <v>55.810974145834813</v>
      </c>
      <c r="J30" s="1">
        <v>72.574728051942074</v>
      </c>
      <c r="K30" s="1">
        <v>416.0527591</v>
      </c>
      <c r="L30" s="1">
        <v>396.66980519999998</v>
      </c>
      <c r="M30" s="1">
        <v>5.8176176615263637</v>
      </c>
      <c r="N30" s="1">
        <v>116.18052684108822</v>
      </c>
      <c r="O30" s="1">
        <v>4.8054071616810639</v>
      </c>
      <c r="P30" s="1">
        <v>4.6026829496155202</v>
      </c>
      <c r="Q30" s="1">
        <v>79.08168649712664</v>
      </c>
      <c r="R30" s="1">
        <v>83.854085177389521</v>
      </c>
      <c r="S30" s="1">
        <v>63.668629551267095</v>
      </c>
      <c r="T30" s="1">
        <v>44.887396514958262</v>
      </c>
      <c r="U30" s="1">
        <v>51.752932795000291</v>
      </c>
      <c r="V30" s="1">
        <v>73.758302262037844</v>
      </c>
      <c r="W30" s="1">
        <v>70.73502697418833</v>
      </c>
      <c r="X30" s="1">
        <v>67.967113841161492</v>
      </c>
      <c r="Y30" s="1">
        <v>98.958209999999994</v>
      </c>
      <c r="Z30" s="1">
        <v>117.94323</v>
      </c>
      <c r="AA30" s="1">
        <v>1448</v>
      </c>
      <c r="AB30">
        <v>93.87</v>
      </c>
      <c r="AC30" s="3"/>
      <c r="AD30" s="3"/>
      <c r="AE30" s="3"/>
    </row>
    <row r="31" spans="1:32" x14ac:dyDescent="0.25">
      <c r="A31" s="4">
        <v>37043</v>
      </c>
      <c r="B31" s="1">
        <v>50.804699999999997</v>
      </c>
      <c r="C31" s="1">
        <v>50.747500000000002</v>
      </c>
      <c r="E31" s="1">
        <v>46.948399999999999</v>
      </c>
      <c r="F31" s="1">
        <v>45.633600000000001</v>
      </c>
      <c r="H31" s="1">
        <v>51.959600000000002</v>
      </c>
      <c r="I31" s="1">
        <v>55.995098390695041</v>
      </c>
      <c r="J31" s="1">
        <v>72.378789148075739</v>
      </c>
      <c r="K31" s="1">
        <v>410.38081160000002</v>
      </c>
      <c r="L31" s="1">
        <v>390.33229619999997</v>
      </c>
      <c r="M31" s="1">
        <v>5.7848487773699881</v>
      </c>
      <c r="N31" s="1">
        <v>116.69245254450006</v>
      </c>
      <c r="O31" s="1">
        <v>4.7143471571658351</v>
      </c>
      <c r="P31" s="1">
        <v>4.5419982874260523</v>
      </c>
      <c r="Q31" s="1">
        <v>79.26998426381347</v>
      </c>
      <c r="R31" s="1">
        <v>84.074498909847435</v>
      </c>
      <c r="S31" s="1">
        <v>63.445324998301722</v>
      </c>
      <c r="T31" s="1">
        <v>43.086933179923328</v>
      </c>
      <c r="U31" s="1">
        <v>50.926028529645372</v>
      </c>
      <c r="V31" s="1">
        <v>71.154271387136404</v>
      </c>
      <c r="W31" s="1">
        <v>69.920709892245114</v>
      </c>
      <c r="X31" s="1">
        <v>68.563413156989114</v>
      </c>
      <c r="Y31" s="1">
        <v>98.84402</v>
      </c>
      <c r="Z31" s="1">
        <v>117.79951</v>
      </c>
      <c r="AA31" s="1">
        <v>1377</v>
      </c>
      <c r="AB31">
        <v>93.61</v>
      </c>
      <c r="AC31" s="3">
        <v>94.76</v>
      </c>
      <c r="AD31" s="3">
        <v>83.8</v>
      </c>
      <c r="AE31" s="3">
        <v>80.61289599746577</v>
      </c>
      <c r="AF31" s="1">
        <v>1.9712927262885838</v>
      </c>
    </row>
    <row r="32" spans="1:32" x14ac:dyDescent="0.25">
      <c r="A32" s="4">
        <v>37073</v>
      </c>
      <c r="B32" s="1">
        <v>49.0456</v>
      </c>
      <c r="C32" s="1">
        <v>47.485100000000003</v>
      </c>
      <c r="E32" s="1">
        <v>47.551900000000003</v>
      </c>
      <c r="F32" s="1">
        <v>45.746200000000002</v>
      </c>
      <c r="H32" s="1">
        <v>49.535299999999999</v>
      </c>
      <c r="I32" s="1">
        <v>55.898904005838091</v>
      </c>
      <c r="J32" s="1">
        <v>71.746075475182749</v>
      </c>
      <c r="K32" s="1">
        <v>403.413591</v>
      </c>
      <c r="L32" s="1">
        <v>382.13209189999998</v>
      </c>
      <c r="M32" s="1">
        <v>5.9787622069216653</v>
      </c>
      <c r="N32" s="1">
        <v>115.92731395853495</v>
      </c>
      <c r="O32" s="1">
        <v>4.8634616066805396</v>
      </c>
      <c r="P32" s="1">
        <v>4.4913191524354712</v>
      </c>
      <c r="Q32" s="1">
        <v>79.293426196723487</v>
      </c>
      <c r="R32" s="1">
        <v>84.258423563952405</v>
      </c>
      <c r="S32" s="1">
        <v>64.995086316217183</v>
      </c>
      <c r="T32" s="1">
        <v>41.076991493233095</v>
      </c>
      <c r="U32" s="1">
        <v>50.926555541275796</v>
      </c>
      <c r="V32" s="1">
        <v>64.966555821158138</v>
      </c>
      <c r="W32" s="1">
        <v>64.280846621874929</v>
      </c>
      <c r="X32" s="1">
        <v>66.219001513779062</v>
      </c>
      <c r="Y32" s="1">
        <v>98.734849999999994</v>
      </c>
      <c r="Z32" s="1">
        <v>116.63973</v>
      </c>
      <c r="AA32" s="1">
        <v>1221</v>
      </c>
      <c r="AB32">
        <v>93.36</v>
      </c>
      <c r="AC32" s="3"/>
      <c r="AD32" s="3"/>
      <c r="AE32" s="3"/>
    </row>
    <row r="33" spans="1:32" x14ac:dyDescent="0.25">
      <c r="A33" s="4">
        <v>37104</v>
      </c>
      <c r="B33" s="1">
        <v>49.401699999999998</v>
      </c>
      <c r="C33" s="1">
        <v>45.691000000000003</v>
      </c>
      <c r="E33" s="1">
        <v>47.817500000000003</v>
      </c>
      <c r="F33" s="1">
        <v>47.606099999999998</v>
      </c>
      <c r="H33" s="1">
        <v>48.754100000000001</v>
      </c>
      <c r="I33" s="1">
        <v>56.163328869658145</v>
      </c>
      <c r="J33" s="1">
        <v>72.350290837399598</v>
      </c>
      <c r="K33" s="1">
        <v>408.50777679999999</v>
      </c>
      <c r="L33" s="1">
        <v>391.13498959999998</v>
      </c>
      <c r="M33" s="1">
        <v>5.9991968417021289</v>
      </c>
      <c r="N33" s="1">
        <v>115.13545461645532</v>
      </c>
      <c r="O33" s="1">
        <v>4.5455444317846361</v>
      </c>
      <c r="P33" s="1">
        <v>4.2916487653028819</v>
      </c>
      <c r="Q33" s="1">
        <v>79.401362904447353</v>
      </c>
      <c r="R33" s="1">
        <v>84.415235303068542</v>
      </c>
      <c r="S33" s="1">
        <v>64.857526560026287</v>
      </c>
      <c r="T33" s="1">
        <v>39.745043683848856</v>
      </c>
      <c r="U33" s="1">
        <v>50.444075944781723</v>
      </c>
      <c r="V33" s="1">
        <v>66.102523011559015</v>
      </c>
      <c r="W33" s="1">
        <v>65.642400643706381</v>
      </c>
      <c r="X33" s="1">
        <v>64.80168918360846</v>
      </c>
      <c r="Y33" s="1">
        <v>98.636470000000003</v>
      </c>
      <c r="Z33" s="1">
        <v>115.07089000000001</v>
      </c>
      <c r="AA33" s="1">
        <v>980</v>
      </c>
      <c r="AB33">
        <v>93.24</v>
      </c>
      <c r="AC33" s="3"/>
      <c r="AD33" s="3"/>
      <c r="AE33" s="3"/>
    </row>
    <row r="34" spans="1:32" x14ac:dyDescent="0.25">
      <c r="A34" s="4">
        <v>37135</v>
      </c>
      <c r="B34" s="1">
        <v>49.4788</v>
      </c>
      <c r="C34" s="1">
        <v>46.114800000000002</v>
      </c>
      <c r="E34" s="1">
        <v>47.773600000000002</v>
      </c>
      <c r="F34" s="1">
        <v>46.740299999999998</v>
      </c>
      <c r="H34" s="1">
        <v>49.223599999999998</v>
      </c>
      <c r="I34" s="1">
        <v>55.909722220289424</v>
      </c>
      <c r="J34" s="1">
        <v>71.796555628202839</v>
      </c>
      <c r="K34" s="1">
        <v>397.70796739999997</v>
      </c>
      <c r="L34" s="1">
        <v>381.04071240000002</v>
      </c>
      <c r="M34" s="1">
        <v>6.0537096250672198</v>
      </c>
      <c r="N34" s="1">
        <v>110.5841421360483</v>
      </c>
      <c r="O34" s="1">
        <v>4.4436542683891069</v>
      </c>
      <c r="P34" s="1">
        <v>3.9870360143774368</v>
      </c>
      <c r="Q34" s="1">
        <v>79.572353802176792</v>
      </c>
      <c r="R34" s="1">
        <v>84.574808137402584</v>
      </c>
      <c r="S34" s="1">
        <v>62.502098729104134</v>
      </c>
      <c r="T34" s="1">
        <v>38.523537525596758</v>
      </c>
      <c r="U34" s="1">
        <v>49.118497110462165</v>
      </c>
      <c r="V34" s="1">
        <v>62.719314674370558</v>
      </c>
      <c r="W34" s="1">
        <v>63.11969721896034</v>
      </c>
      <c r="X34" s="1">
        <v>63.115045785899575</v>
      </c>
      <c r="Y34" s="1">
        <v>98.564120000000003</v>
      </c>
      <c r="Z34" s="1">
        <v>115.04938</v>
      </c>
      <c r="AA34" s="1">
        <v>945</v>
      </c>
      <c r="AB34">
        <v>91.9</v>
      </c>
      <c r="AC34" s="3">
        <v>95.48</v>
      </c>
      <c r="AD34" s="3">
        <v>84.63</v>
      </c>
      <c r="AE34" s="3">
        <v>80.519419087533663</v>
      </c>
      <c r="AF34" s="1">
        <v>0.83935716405149374</v>
      </c>
    </row>
    <row r="35" spans="1:32" x14ac:dyDescent="0.25">
      <c r="A35" s="4">
        <v>37165</v>
      </c>
      <c r="B35" s="1">
        <v>41.774099999999997</v>
      </c>
      <c r="C35" s="1">
        <v>41.565899999999999</v>
      </c>
      <c r="E35" s="1">
        <v>44.860599999999998</v>
      </c>
      <c r="F35" s="1">
        <v>41.022300000000001</v>
      </c>
      <c r="H35" s="1">
        <v>42.8904</v>
      </c>
      <c r="I35" s="1">
        <v>56.929907880823251</v>
      </c>
      <c r="J35" s="1">
        <v>71.575140299103566</v>
      </c>
      <c r="K35" s="1">
        <v>400.49661739999999</v>
      </c>
      <c r="L35" s="1">
        <v>384.14149329999998</v>
      </c>
      <c r="M35" s="1">
        <v>6.184329182343701</v>
      </c>
      <c r="N35" s="1">
        <v>107.1474373100275</v>
      </c>
      <c r="O35" s="1">
        <v>4.4414230039654887</v>
      </c>
      <c r="P35" s="1">
        <v>3.7498306428240471</v>
      </c>
      <c r="Q35" s="1">
        <v>79.575649143333109</v>
      </c>
      <c r="R35" s="1">
        <v>84.73758903566511</v>
      </c>
      <c r="S35" s="1">
        <v>61.225784214388995</v>
      </c>
      <c r="T35" s="1">
        <v>37.289398705461515</v>
      </c>
      <c r="U35" s="1">
        <v>47.941166626716296</v>
      </c>
      <c r="V35" s="1">
        <v>55.431303027918567</v>
      </c>
      <c r="W35" s="1">
        <v>52.573066549748923</v>
      </c>
      <c r="X35" s="1">
        <v>60.097596004119623</v>
      </c>
      <c r="Y35" s="1">
        <v>98.556280000000001</v>
      </c>
      <c r="Z35" s="1">
        <v>113.84797</v>
      </c>
      <c r="AA35" s="1">
        <v>898</v>
      </c>
      <c r="AB35">
        <v>91.22</v>
      </c>
      <c r="AC35" s="3"/>
      <c r="AD35" s="3"/>
      <c r="AE35" s="3"/>
    </row>
    <row r="36" spans="1:32" x14ac:dyDescent="0.25">
      <c r="A36" s="4">
        <v>37196</v>
      </c>
      <c r="B36" s="1">
        <v>46.023800000000001</v>
      </c>
      <c r="C36" s="1">
        <v>40.396999999999998</v>
      </c>
      <c r="E36" s="1">
        <v>44.920900000000003</v>
      </c>
      <c r="F36" s="1">
        <v>43.4846</v>
      </c>
      <c r="H36" s="1">
        <v>48.477600000000002</v>
      </c>
      <c r="I36" s="1">
        <v>57.077927422464278</v>
      </c>
      <c r="J36" s="1">
        <v>71.517604171240166</v>
      </c>
      <c r="K36" s="1">
        <v>391.52617140000001</v>
      </c>
      <c r="L36" s="1">
        <v>376.8288033</v>
      </c>
      <c r="M36" s="1">
        <v>6.2151741811221415</v>
      </c>
      <c r="N36" s="1">
        <v>106.30430984055084</v>
      </c>
      <c r="O36" s="1">
        <v>4.233929641489107</v>
      </c>
      <c r="P36" s="1">
        <v>3.4611372881663116</v>
      </c>
      <c r="Q36" s="1">
        <v>79.626891273235785</v>
      </c>
      <c r="R36" s="1">
        <v>84.895066494698384</v>
      </c>
      <c r="S36" s="1">
        <v>59.841796540365301</v>
      </c>
      <c r="T36" s="1">
        <v>38.560568329420541</v>
      </c>
      <c r="U36" s="1">
        <v>47.538208738286826</v>
      </c>
      <c r="V36" s="1">
        <v>50.466009577587407</v>
      </c>
      <c r="W36" s="1">
        <v>47.766322329903744</v>
      </c>
      <c r="X36" s="1">
        <v>61.003304571282897</v>
      </c>
      <c r="Y36" s="1">
        <v>98.634550000000004</v>
      </c>
      <c r="Z36" s="1">
        <v>114.19421</v>
      </c>
      <c r="AA36" s="1">
        <v>855</v>
      </c>
      <c r="AB36">
        <v>92.02</v>
      </c>
      <c r="AC36" s="3"/>
      <c r="AD36" s="3"/>
      <c r="AE36" s="3"/>
    </row>
    <row r="37" spans="1:32" x14ac:dyDescent="0.25">
      <c r="A37" s="4">
        <v>37226</v>
      </c>
      <c r="B37" s="1">
        <v>48.447400000000002</v>
      </c>
      <c r="C37" s="1">
        <v>41.403300000000002</v>
      </c>
      <c r="E37" s="1">
        <v>45.367800000000003</v>
      </c>
      <c r="F37" s="1">
        <v>44.069400000000002</v>
      </c>
      <c r="H37" s="1">
        <v>50.219299999999997</v>
      </c>
      <c r="I37" s="1">
        <v>57.004570905837994</v>
      </c>
      <c r="J37" s="1">
        <v>71.295734790939818</v>
      </c>
      <c r="K37" s="1">
        <v>382.29406729999999</v>
      </c>
      <c r="L37" s="1">
        <v>372.62139300000001</v>
      </c>
      <c r="M37" s="1">
        <v>6.226495746796207</v>
      </c>
      <c r="N37" s="1">
        <v>109.21936984229107</v>
      </c>
      <c r="O37" s="1">
        <v>4.6665656993293778</v>
      </c>
      <c r="P37" s="1">
        <v>3.4044341272908678</v>
      </c>
      <c r="Q37" s="1">
        <v>79.71162413770729</v>
      </c>
      <c r="R37" s="1">
        <v>85.066384659200835</v>
      </c>
      <c r="S37" s="1">
        <v>59.490951552904328</v>
      </c>
      <c r="T37" s="1">
        <v>39.096092038061094</v>
      </c>
      <c r="U37" s="1">
        <v>47.554037879937106</v>
      </c>
      <c r="V37" s="1">
        <v>49.715200243765658</v>
      </c>
      <c r="W37" s="1">
        <v>47.550597466727055</v>
      </c>
      <c r="X37" s="1">
        <v>60.474277669806725</v>
      </c>
      <c r="Y37" s="1">
        <v>98.789900000000003</v>
      </c>
      <c r="Z37" s="1">
        <v>113.31216999999999</v>
      </c>
      <c r="AA37" s="1">
        <v>870</v>
      </c>
      <c r="AB37">
        <v>92.66</v>
      </c>
      <c r="AC37" s="3">
        <v>95.54</v>
      </c>
      <c r="AD37" s="3">
        <v>85.18</v>
      </c>
      <c r="AE37" s="3">
        <v>80.71690896056549</v>
      </c>
      <c r="AF37" s="1">
        <v>1.8075922221373444</v>
      </c>
    </row>
    <row r="38" spans="1:32" x14ac:dyDescent="0.25">
      <c r="A38" s="4">
        <v>37257</v>
      </c>
      <c r="B38" s="1">
        <v>49.706400000000002</v>
      </c>
      <c r="C38" s="1">
        <v>46.869700000000002</v>
      </c>
      <c r="E38" s="1">
        <v>45.684899999999999</v>
      </c>
      <c r="F38" s="1">
        <v>46.492899999999999</v>
      </c>
      <c r="H38" s="1">
        <v>50.270899999999997</v>
      </c>
      <c r="I38" s="1">
        <v>57.139590771229528</v>
      </c>
      <c r="J38" s="1">
        <v>72.074366226079491</v>
      </c>
      <c r="K38" s="1">
        <v>387.72394680000002</v>
      </c>
      <c r="L38" s="1">
        <v>378.88866819999998</v>
      </c>
      <c r="M38" s="1">
        <v>6.4122466746789248</v>
      </c>
      <c r="N38" s="1">
        <v>110.81243187970338</v>
      </c>
      <c r="O38" s="1">
        <v>4.67436494847954</v>
      </c>
      <c r="P38" s="1">
        <v>3.1964234022989628</v>
      </c>
      <c r="Q38" s="1">
        <v>79.963213722863998</v>
      </c>
      <c r="R38" s="1">
        <v>85.277730762583303</v>
      </c>
      <c r="S38" s="1">
        <v>61.176327659430619</v>
      </c>
      <c r="T38" s="1">
        <v>40.402698044035411</v>
      </c>
      <c r="U38" s="1">
        <v>48.732878540588558</v>
      </c>
      <c r="V38" s="1">
        <v>49.582557566235444</v>
      </c>
      <c r="W38" s="1">
        <v>49.578024029034673</v>
      </c>
      <c r="X38" s="1">
        <v>60.919209447255589</v>
      </c>
      <c r="Y38" s="1">
        <v>98.990359999999995</v>
      </c>
      <c r="Z38" s="1">
        <v>114.55352999999999</v>
      </c>
      <c r="AA38" s="1">
        <v>931</v>
      </c>
      <c r="AB38">
        <v>93.56</v>
      </c>
      <c r="AC38" s="3"/>
      <c r="AD38" s="3"/>
      <c r="AE38" s="3"/>
    </row>
    <row r="39" spans="1:32" x14ac:dyDescent="0.25">
      <c r="A39" s="4">
        <v>37288</v>
      </c>
      <c r="B39" s="1">
        <v>54.393099999999997</v>
      </c>
      <c r="C39" s="1">
        <v>46.474800000000002</v>
      </c>
      <c r="E39" s="1">
        <v>46.42</v>
      </c>
      <c r="F39" s="1">
        <v>49.090800000000002</v>
      </c>
      <c r="H39" s="1">
        <v>55.192399999999999</v>
      </c>
      <c r="I39" s="1">
        <v>57.178358491611391</v>
      </c>
      <c r="J39" s="1">
        <v>72.360162851831603</v>
      </c>
      <c r="K39" s="1">
        <v>397.71536250000003</v>
      </c>
      <c r="L39" s="1">
        <v>380.32103489999997</v>
      </c>
      <c r="M39" s="1">
        <v>6.4283798267896977</v>
      </c>
      <c r="N39" s="1">
        <v>110.02936926531927</v>
      </c>
      <c r="O39" s="1">
        <v>4.6539633332928574</v>
      </c>
      <c r="P39" s="1">
        <v>3.2278302642247758</v>
      </c>
      <c r="Q39" s="1">
        <v>80.057984244889695</v>
      </c>
      <c r="R39" s="1">
        <v>85.454831913500584</v>
      </c>
      <c r="S39" s="1">
        <v>61.102395476447356</v>
      </c>
      <c r="T39" s="1">
        <v>40.60334212956996</v>
      </c>
      <c r="U39" s="1">
        <v>49.125464822755248</v>
      </c>
      <c r="V39" s="1">
        <v>51.270496491074283</v>
      </c>
      <c r="W39" s="1">
        <v>52.030844747754202</v>
      </c>
      <c r="X39" s="1">
        <v>63.197900934249603</v>
      </c>
      <c r="Y39" s="1">
        <v>99.201629999999994</v>
      </c>
      <c r="Z39" s="1">
        <v>114.96611</v>
      </c>
      <c r="AA39" s="1">
        <v>960</v>
      </c>
      <c r="AB39">
        <v>93.85</v>
      </c>
      <c r="AC39" s="3"/>
      <c r="AD39" s="3"/>
      <c r="AE39" s="3"/>
    </row>
    <row r="40" spans="1:32" x14ac:dyDescent="0.25">
      <c r="A40" s="4">
        <v>37316</v>
      </c>
      <c r="B40" s="1">
        <v>55.9131</v>
      </c>
      <c r="C40" s="1">
        <v>49.279800000000002</v>
      </c>
      <c r="E40" s="1">
        <v>47.976399999999998</v>
      </c>
      <c r="F40" s="1">
        <v>51.010100000000001</v>
      </c>
      <c r="H40" s="1">
        <v>55.423699999999997</v>
      </c>
      <c r="I40" s="1">
        <v>57.52517770145765</v>
      </c>
      <c r="J40" s="1">
        <v>72.833221698568096</v>
      </c>
      <c r="K40" s="1">
        <v>400.77825799999999</v>
      </c>
      <c r="L40" s="1">
        <v>389.80102499999998</v>
      </c>
      <c r="M40" s="1">
        <v>6.444666856981466</v>
      </c>
      <c r="N40" s="1">
        <v>114.39990633315777</v>
      </c>
      <c r="O40" s="1">
        <v>4.8849698618027011</v>
      </c>
      <c r="P40" s="1">
        <v>3.6058023866853155</v>
      </c>
      <c r="Q40" s="1">
        <v>80.270908608120195</v>
      </c>
      <c r="R40" s="1">
        <v>85.539416750426668</v>
      </c>
      <c r="S40" s="1">
        <v>63.718582359824616</v>
      </c>
      <c r="T40" s="1">
        <v>41.968438995019568</v>
      </c>
      <c r="U40" s="1">
        <v>50.739552467500879</v>
      </c>
      <c r="V40" s="1">
        <v>59.613536237806585</v>
      </c>
      <c r="W40" s="1">
        <v>61.3385598405902</v>
      </c>
      <c r="X40" s="1">
        <v>62.177913175310771</v>
      </c>
      <c r="Y40" s="1">
        <v>99.385059999999996</v>
      </c>
      <c r="Z40" s="1">
        <v>114.88857</v>
      </c>
      <c r="AA40" s="1">
        <v>1065</v>
      </c>
      <c r="AB40">
        <v>94.79</v>
      </c>
      <c r="AC40" s="3">
        <v>96.16</v>
      </c>
      <c r="AD40" s="3">
        <v>86.19</v>
      </c>
      <c r="AE40" s="3">
        <v>81.202036326069361</v>
      </c>
      <c r="AF40" s="1">
        <v>3.3391726096978189</v>
      </c>
    </row>
    <row r="41" spans="1:32" x14ac:dyDescent="0.25">
      <c r="A41" s="4">
        <v>37347</v>
      </c>
      <c r="B41" s="1">
        <v>56.8185</v>
      </c>
      <c r="C41" s="1">
        <v>53.106299999999997</v>
      </c>
      <c r="E41" s="1">
        <v>49.438099999999999</v>
      </c>
      <c r="F41" s="1">
        <v>51.953099999999999</v>
      </c>
      <c r="H41" s="1">
        <v>55.192399999999999</v>
      </c>
      <c r="I41" s="1">
        <v>58.009630454530658</v>
      </c>
      <c r="J41" s="1">
        <v>73.510814145049892</v>
      </c>
      <c r="K41" s="1">
        <v>418.52486929999998</v>
      </c>
      <c r="L41" s="1">
        <v>402.14068229999998</v>
      </c>
      <c r="M41" s="1">
        <v>6.510690131492896</v>
      </c>
      <c r="N41" s="1">
        <v>113.45659890615873</v>
      </c>
      <c r="O41" s="1">
        <v>4.8545613717320926</v>
      </c>
      <c r="P41" s="1">
        <v>3.5311399505002727</v>
      </c>
      <c r="Q41" s="1">
        <v>80.632288012414193</v>
      </c>
      <c r="R41" s="1">
        <v>85.710766966644897</v>
      </c>
      <c r="S41" s="1">
        <v>63.436992955929576</v>
      </c>
      <c r="T41" s="1">
        <v>41.988457907499409</v>
      </c>
      <c r="U41" s="1">
        <v>50.776241335227233</v>
      </c>
      <c r="V41" s="1">
        <v>63.673919733197934</v>
      </c>
      <c r="W41" s="1">
        <v>65.635495065353084</v>
      </c>
      <c r="X41" s="1">
        <v>62.959154408948962</v>
      </c>
      <c r="Y41" s="1">
        <v>99.495829999999998</v>
      </c>
      <c r="Z41" s="1">
        <v>114.64904</v>
      </c>
      <c r="AA41" s="1">
        <v>1077</v>
      </c>
      <c r="AB41">
        <v>95.37</v>
      </c>
      <c r="AC41" s="3"/>
      <c r="AD41" s="3"/>
      <c r="AE41" s="3"/>
    </row>
    <row r="42" spans="1:32" x14ac:dyDescent="0.25">
      <c r="A42" s="4">
        <v>37377</v>
      </c>
      <c r="B42" s="1">
        <v>56.711399999999998</v>
      </c>
      <c r="C42" s="1">
        <v>54.037300000000002</v>
      </c>
      <c r="E42" s="1">
        <v>50.423400000000001</v>
      </c>
      <c r="F42" s="1">
        <v>53.1434</v>
      </c>
      <c r="H42" s="1">
        <v>57.653599999999997</v>
      </c>
      <c r="I42" s="1">
        <v>58.043510189520951</v>
      </c>
      <c r="J42" s="1">
        <v>73.891263521974409</v>
      </c>
      <c r="K42" s="1">
        <v>423.4697372</v>
      </c>
      <c r="L42" s="1">
        <v>407.96827300000001</v>
      </c>
      <c r="M42" s="1">
        <v>6.4779891129362168</v>
      </c>
      <c r="N42" s="1">
        <v>114.05911014616714</v>
      </c>
      <c r="O42" s="1">
        <v>4.810523485123853</v>
      </c>
      <c r="P42" s="1">
        <v>3.5312487709292086</v>
      </c>
      <c r="Q42" s="1">
        <v>80.77430597450531</v>
      </c>
      <c r="R42" s="1">
        <v>85.824991417650082</v>
      </c>
      <c r="S42" s="1">
        <v>62.587394558928089</v>
      </c>
      <c r="T42" s="1">
        <v>41.470369989130496</v>
      </c>
      <c r="U42" s="1">
        <v>50.438214294460849</v>
      </c>
      <c r="V42" s="1">
        <v>64.466222320066009</v>
      </c>
      <c r="W42" s="1">
        <v>65.233826529071379</v>
      </c>
      <c r="X42" s="1">
        <v>63.342584778621841</v>
      </c>
      <c r="Y42" s="1">
        <v>99.520259999999993</v>
      </c>
      <c r="Z42" s="1">
        <v>113.11623</v>
      </c>
      <c r="AA42" s="1">
        <v>1033</v>
      </c>
      <c r="AB42">
        <v>96.3</v>
      </c>
      <c r="AC42" s="3"/>
      <c r="AD42" s="3"/>
      <c r="AE42" s="3"/>
    </row>
    <row r="43" spans="1:32" x14ac:dyDescent="0.25">
      <c r="A43" s="4">
        <v>37408</v>
      </c>
      <c r="B43" s="1">
        <v>56.360799999999998</v>
      </c>
      <c r="C43" s="1">
        <v>54.299100000000003</v>
      </c>
      <c r="E43" s="1">
        <v>48.370100000000001</v>
      </c>
      <c r="F43" s="1">
        <v>53.495600000000003</v>
      </c>
      <c r="H43" s="1">
        <v>54.918700000000001</v>
      </c>
      <c r="I43" s="1">
        <v>58.078400313724153</v>
      </c>
      <c r="J43" s="1">
        <v>73.920862625018998</v>
      </c>
      <c r="K43" s="1">
        <v>427.35954629999998</v>
      </c>
      <c r="L43" s="1">
        <v>411.09191070000003</v>
      </c>
      <c r="M43" s="1">
        <v>6.4907393327030674</v>
      </c>
      <c r="N43" s="1">
        <v>113.07850952583483</v>
      </c>
      <c r="O43" s="1">
        <v>4.6963300770962055</v>
      </c>
      <c r="P43" s="1">
        <v>3.5790319626449683</v>
      </c>
      <c r="Q43" s="1">
        <v>80.909189697824175</v>
      </c>
      <c r="R43" s="1">
        <v>85.965185675318622</v>
      </c>
      <c r="S43" s="1">
        <v>61.833848432056044</v>
      </c>
      <c r="T43" s="1">
        <v>42.379223669207192</v>
      </c>
      <c r="U43" s="1">
        <v>50.737977074887674</v>
      </c>
      <c r="V43" s="1">
        <v>61.473099068588311</v>
      </c>
      <c r="W43" s="1">
        <v>61.089002500296118</v>
      </c>
      <c r="X43" s="1">
        <v>66.593378120132385</v>
      </c>
      <c r="Y43" s="1">
        <v>99.468729999999994</v>
      </c>
      <c r="Z43" s="1">
        <v>112.03991000000001</v>
      </c>
      <c r="AA43" s="1">
        <v>995</v>
      </c>
      <c r="AB43">
        <v>96.57</v>
      </c>
      <c r="AC43" s="3">
        <v>96.45</v>
      </c>
      <c r="AD43" s="3">
        <v>87.1</v>
      </c>
      <c r="AE43" s="3">
        <v>81.871085433241021</v>
      </c>
      <c r="AF43" s="1">
        <v>4.3511119144725088</v>
      </c>
    </row>
    <row r="44" spans="1:32" x14ac:dyDescent="0.25">
      <c r="A44" s="4">
        <v>37438</v>
      </c>
      <c r="B44" s="1">
        <v>52.523400000000002</v>
      </c>
      <c r="C44" s="1">
        <v>57.509</v>
      </c>
      <c r="E44" s="1">
        <v>48.484000000000002</v>
      </c>
      <c r="F44" s="1">
        <v>51.242199999999997</v>
      </c>
      <c r="H44" s="1">
        <v>52.229900000000001</v>
      </c>
      <c r="I44" s="1">
        <v>58.530756257844487</v>
      </c>
      <c r="J44" s="1">
        <v>74.355347479578143</v>
      </c>
      <c r="K44" s="1">
        <v>442.525102</v>
      </c>
      <c r="L44" s="1">
        <v>427.23911859999998</v>
      </c>
      <c r="M44" s="1">
        <v>6.5088675772217188</v>
      </c>
      <c r="N44" s="1">
        <v>110.46377221995807</v>
      </c>
      <c r="O44" s="1">
        <v>4.520978891747804</v>
      </c>
      <c r="P44" s="1">
        <v>3.6721704152869412</v>
      </c>
      <c r="Q44" s="1">
        <v>81.112343773596251</v>
      </c>
      <c r="R44" s="1">
        <v>86.085294259094368</v>
      </c>
      <c r="S44" s="1">
        <v>63.886987339057001</v>
      </c>
      <c r="T44" s="1">
        <v>41.884457708849808</v>
      </c>
      <c r="U44" s="1">
        <v>51.750084901981801</v>
      </c>
      <c r="V44" s="1">
        <v>63.706580253222107</v>
      </c>
      <c r="W44" s="1">
        <v>62.780354865799175</v>
      </c>
      <c r="X44" s="1">
        <v>69.519529620504031</v>
      </c>
      <c r="Y44" s="1">
        <v>99.368440000000007</v>
      </c>
      <c r="Z44" s="1">
        <v>110.39172000000001</v>
      </c>
      <c r="AA44" s="1">
        <v>989</v>
      </c>
      <c r="AB44">
        <v>95.72</v>
      </c>
      <c r="AC44" s="3"/>
      <c r="AD44" s="3"/>
      <c r="AE44" s="3"/>
    </row>
    <row r="45" spans="1:32" x14ac:dyDescent="0.25">
      <c r="A45" s="4">
        <v>37469</v>
      </c>
      <c r="B45" s="1">
        <v>52.275500000000001</v>
      </c>
      <c r="C45" s="1">
        <v>53.9544</v>
      </c>
      <c r="E45" s="1">
        <v>48.474200000000003</v>
      </c>
      <c r="F45" s="1">
        <v>50.542499999999997</v>
      </c>
      <c r="H45" s="1">
        <v>51.7864</v>
      </c>
      <c r="I45" s="1">
        <v>59.048834110043302</v>
      </c>
      <c r="J45" s="1">
        <v>74.489011301623478</v>
      </c>
      <c r="K45" s="1">
        <v>437.68044630000003</v>
      </c>
      <c r="L45" s="1">
        <v>421.00716660000001</v>
      </c>
      <c r="M45" s="1">
        <v>6.4817856756083971</v>
      </c>
      <c r="N45" s="1">
        <v>109.66633286957588</v>
      </c>
      <c r="O45" s="1">
        <v>4.2571448058637493</v>
      </c>
      <c r="P45" s="1">
        <v>3.5588197201867731</v>
      </c>
      <c r="Q45" s="1">
        <v>81.322704478672662</v>
      </c>
      <c r="R45" s="1">
        <v>86.288634374970997</v>
      </c>
      <c r="S45" s="1">
        <v>63.80645682715388</v>
      </c>
      <c r="T45" s="1">
        <v>40.128030496745197</v>
      </c>
      <c r="U45" s="1">
        <v>51.496367566481815</v>
      </c>
      <c r="V45" s="1">
        <v>64.74497039841178</v>
      </c>
      <c r="W45" s="1">
        <v>65.719295154027918</v>
      </c>
      <c r="X45" s="1">
        <v>70.977620881011475</v>
      </c>
      <c r="Y45" s="1">
        <v>99.249560000000002</v>
      </c>
      <c r="Z45" s="1">
        <v>111.66748</v>
      </c>
      <c r="AA45" s="1">
        <v>1002</v>
      </c>
      <c r="AB45">
        <v>95.41</v>
      </c>
      <c r="AC45" s="3"/>
      <c r="AD45" s="3"/>
      <c r="AE45" s="3"/>
    </row>
    <row r="46" spans="1:32" x14ac:dyDescent="0.25">
      <c r="A46" s="4">
        <v>37500</v>
      </c>
      <c r="B46" s="1">
        <v>52.773800000000001</v>
      </c>
      <c r="C46" s="1">
        <v>53.497900000000001</v>
      </c>
      <c r="E46" s="1">
        <v>47.814100000000003</v>
      </c>
      <c r="F46" s="1">
        <v>49.6432</v>
      </c>
      <c r="H46" s="1">
        <v>53.256900000000002</v>
      </c>
      <c r="I46" s="1">
        <v>58.912342891357738</v>
      </c>
      <c r="J46" s="1">
        <v>74.706498903620712</v>
      </c>
      <c r="K46" s="1">
        <v>442.38897730000002</v>
      </c>
      <c r="L46" s="1">
        <v>427.08062430000001</v>
      </c>
      <c r="M46" s="1">
        <v>6.4992565803209823</v>
      </c>
      <c r="N46" s="1">
        <v>109.62489434075556</v>
      </c>
      <c r="O46" s="1">
        <v>4.013949899732272</v>
      </c>
      <c r="P46" s="1">
        <v>3.5221610534913665</v>
      </c>
      <c r="Q46" s="1">
        <v>81.476973055438222</v>
      </c>
      <c r="R46" s="1">
        <v>86.368766737550757</v>
      </c>
      <c r="S46" s="1">
        <v>64.338772814394474</v>
      </c>
      <c r="T46" s="1">
        <v>40.108176019804731</v>
      </c>
      <c r="U46" s="1">
        <v>52.287201403446389</v>
      </c>
      <c r="V46" s="1">
        <v>69.059762962400072</v>
      </c>
      <c r="W46" s="1">
        <v>69.384659239538635</v>
      </c>
      <c r="X46" s="1">
        <v>74.079897916913794</v>
      </c>
      <c r="Y46" s="1">
        <v>99.133610000000004</v>
      </c>
      <c r="Z46" s="1">
        <v>112.53882</v>
      </c>
      <c r="AA46" s="1">
        <v>1182</v>
      </c>
      <c r="AB46">
        <v>94.97</v>
      </c>
      <c r="AC46" s="3">
        <v>96.43</v>
      </c>
      <c r="AD46" s="3">
        <v>88.1</v>
      </c>
      <c r="AE46" s="3">
        <v>82.362412778851379</v>
      </c>
      <c r="AF46" s="1">
        <v>3.4707483760965911</v>
      </c>
    </row>
    <row r="47" spans="1:32" x14ac:dyDescent="0.25">
      <c r="A47" s="4">
        <v>37530</v>
      </c>
      <c r="B47" s="1">
        <v>51.962600000000002</v>
      </c>
      <c r="C47" s="1">
        <v>53.234299999999998</v>
      </c>
      <c r="E47" s="1">
        <v>47.927500000000002</v>
      </c>
      <c r="F47" s="1">
        <v>49.1922</v>
      </c>
      <c r="H47" s="1">
        <v>52.392299999999999</v>
      </c>
      <c r="I47" s="1">
        <v>59.253860904194397</v>
      </c>
      <c r="J47" s="1">
        <v>74.894515659785583</v>
      </c>
      <c r="K47" s="1">
        <v>443.01406850000001</v>
      </c>
      <c r="L47" s="1">
        <v>425.92530640000001</v>
      </c>
      <c r="M47" s="1">
        <v>6.5265715407244986</v>
      </c>
      <c r="N47" s="1">
        <v>105.63901489870224</v>
      </c>
      <c r="O47" s="1">
        <v>4.094907454302863</v>
      </c>
      <c r="P47" s="1">
        <v>3.5556919392322865</v>
      </c>
      <c r="Q47" s="1">
        <v>81.633064579564575</v>
      </c>
      <c r="R47" s="1">
        <v>86.502153787796217</v>
      </c>
      <c r="S47" s="1">
        <v>66.914370154476515</v>
      </c>
      <c r="T47" s="1">
        <v>40.439486266554624</v>
      </c>
      <c r="U47" s="1">
        <v>53.523059280963402</v>
      </c>
      <c r="V47" s="1">
        <v>70.189662623772421</v>
      </c>
      <c r="W47" s="1">
        <v>67.744926656532314</v>
      </c>
      <c r="X47" s="1">
        <v>73.634414889292458</v>
      </c>
      <c r="Y47" s="1">
        <v>99.033569999999997</v>
      </c>
      <c r="Z47" s="1">
        <v>113.72284999999999</v>
      </c>
      <c r="AA47" s="1">
        <v>1365</v>
      </c>
      <c r="AB47">
        <v>94.37</v>
      </c>
      <c r="AC47" s="3"/>
      <c r="AD47" s="3"/>
      <c r="AE47" s="3"/>
    </row>
    <row r="48" spans="1:32" x14ac:dyDescent="0.25">
      <c r="A48" s="4">
        <v>37561</v>
      </c>
      <c r="B48" s="1">
        <v>53.302500000000002</v>
      </c>
      <c r="C48" s="1">
        <v>53.144599999999997</v>
      </c>
      <c r="E48" s="1">
        <v>47.553600000000003</v>
      </c>
      <c r="F48" s="1">
        <v>48.996099999999998</v>
      </c>
      <c r="H48" s="1">
        <v>54.853700000000003</v>
      </c>
      <c r="I48" s="1">
        <v>59.678059571484098</v>
      </c>
      <c r="J48" s="1">
        <v>75.229423296139501</v>
      </c>
      <c r="K48" s="1">
        <v>453.31015100000002</v>
      </c>
      <c r="L48" s="1">
        <v>431.60458870000002</v>
      </c>
      <c r="M48" s="1">
        <v>6.5576335646502422</v>
      </c>
      <c r="N48" s="1">
        <v>107.04248513376294</v>
      </c>
      <c r="O48" s="1">
        <v>4.0785461643776904</v>
      </c>
      <c r="P48" s="1">
        <v>3.3367795236538536</v>
      </c>
      <c r="Q48" s="1">
        <v>81.872190710289189</v>
      </c>
      <c r="R48" s="1">
        <v>86.66663028263568</v>
      </c>
      <c r="S48" s="1">
        <v>65.671441527165683</v>
      </c>
      <c r="T48" s="1">
        <v>42.267609234232033</v>
      </c>
      <c r="U48" s="1">
        <v>53.295969411987656</v>
      </c>
      <c r="V48" s="1">
        <v>65.499320565713063</v>
      </c>
      <c r="W48" s="1">
        <v>60.396844759080579</v>
      </c>
      <c r="X48" s="1">
        <v>73.466009570691881</v>
      </c>
      <c r="Y48" s="1">
        <v>98.954480000000004</v>
      </c>
      <c r="Z48" s="1">
        <v>112.46417</v>
      </c>
      <c r="AA48" s="1">
        <v>1460</v>
      </c>
      <c r="AB48">
        <v>95.19</v>
      </c>
      <c r="AC48" s="3"/>
      <c r="AD48" s="3"/>
      <c r="AE48" s="3"/>
    </row>
    <row r="49" spans="1:32" x14ac:dyDescent="0.25">
      <c r="A49" s="4">
        <v>37591</v>
      </c>
      <c r="B49" s="1">
        <v>53.589599999999997</v>
      </c>
      <c r="C49" s="1">
        <v>53.214799999999997</v>
      </c>
      <c r="E49" s="1">
        <v>48.174399999999999</v>
      </c>
      <c r="F49" s="1">
        <v>50.148299999999999</v>
      </c>
      <c r="H49" s="1">
        <v>53.828200000000002</v>
      </c>
      <c r="I49" s="1">
        <v>59.725658891536469</v>
      </c>
      <c r="J49" s="1">
        <v>74.513224022550006</v>
      </c>
      <c r="K49" s="1">
        <v>451.92712239999997</v>
      </c>
      <c r="L49" s="1">
        <v>429.08506019999999</v>
      </c>
      <c r="M49" s="1">
        <v>6.6141813307327322</v>
      </c>
      <c r="N49" s="1">
        <v>105.67517897821216</v>
      </c>
      <c r="O49" s="1">
        <v>3.9689261074207098</v>
      </c>
      <c r="P49" s="1">
        <v>3.2712863895985453</v>
      </c>
      <c r="Q49" s="1">
        <v>82.063852477542383</v>
      </c>
      <c r="R49" s="1">
        <v>86.809662269984656</v>
      </c>
      <c r="S49" s="1">
        <v>66.695143368747381</v>
      </c>
      <c r="T49" s="1">
        <v>42.317468675725458</v>
      </c>
      <c r="U49" s="1">
        <v>53.986244168599697</v>
      </c>
      <c r="V49" s="1">
        <v>72.642371408200219</v>
      </c>
      <c r="W49" s="1">
        <v>67.454397509668027</v>
      </c>
      <c r="X49" s="1">
        <v>73.89028160570787</v>
      </c>
      <c r="Y49" s="1">
        <v>98.885800000000003</v>
      </c>
      <c r="Z49" s="1">
        <v>111.43761000000001</v>
      </c>
      <c r="AA49" s="1">
        <v>1666</v>
      </c>
      <c r="AB49">
        <v>95.46</v>
      </c>
      <c r="AC49" s="3">
        <v>96.71</v>
      </c>
      <c r="AD49" s="3">
        <v>88.9</v>
      </c>
      <c r="AE49" s="3">
        <v>82.676158225629749</v>
      </c>
      <c r="AF49" s="1">
        <v>2.4581558892230921</v>
      </c>
    </row>
    <row r="50" spans="1:32" x14ac:dyDescent="0.25">
      <c r="A50" s="4">
        <v>37622</v>
      </c>
      <c r="B50" s="1">
        <v>53.299100000000003</v>
      </c>
      <c r="C50" s="1">
        <v>54.667400000000001</v>
      </c>
      <c r="E50" s="1">
        <v>49.340600000000002</v>
      </c>
      <c r="F50" s="1">
        <v>50.072099999999999</v>
      </c>
      <c r="H50" s="1">
        <v>54.021900000000002</v>
      </c>
      <c r="I50" s="1">
        <v>60.503200882251448</v>
      </c>
      <c r="J50" s="1">
        <v>75.873516142237023</v>
      </c>
      <c r="K50" s="1">
        <v>475.71094840000001</v>
      </c>
      <c r="L50" s="1">
        <v>450.97169459999998</v>
      </c>
      <c r="M50" s="1">
        <v>6.6396692019306478</v>
      </c>
      <c r="N50" s="1">
        <v>105.01607539575495</v>
      </c>
      <c r="O50" s="1">
        <v>3.8990133776121807</v>
      </c>
      <c r="P50" s="1">
        <v>3.3171576478229237</v>
      </c>
      <c r="Q50" s="1">
        <v>82.395585834401658</v>
      </c>
      <c r="R50" s="1">
        <v>86.951624474739575</v>
      </c>
      <c r="S50" s="1">
        <v>66.956524179767968</v>
      </c>
      <c r="T50" s="1">
        <v>44.545786588216103</v>
      </c>
      <c r="U50" s="1">
        <v>55.318792798521166</v>
      </c>
      <c r="V50" s="1">
        <v>80.490252328913371</v>
      </c>
      <c r="W50" s="1">
        <v>72.887991973295698</v>
      </c>
      <c r="X50" s="1">
        <v>75.81852390486425</v>
      </c>
      <c r="Y50" s="1">
        <v>98.822670000000002</v>
      </c>
      <c r="Z50" s="1">
        <v>111.33217999999999</v>
      </c>
      <c r="AA50" s="1">
        <v>1694</v>
      </c>
      <c r="AB50">
        <v>95.87</v>
      </c>
      <c r="AC50" s="3"/>
      <c r="AD50" s="3"/>
      <c r="AE50" s="3"/>
    </row>
    <row r="51" spans="1:32" x14ac:dyDescent="0.25">
      <c r="A51" s="4">
        <v>37653</v>
      </c>
      <c r="B51" s="1">
        <v>52.021299999999997</v>
      </c>
      <c r="C51" s="1">
        <v>57.856900000000003</v>
      </c>
      <c r="E51" s="1">
        <v>47.873199999999997</v>
      </c>
      <c r="F51" s="1">
        <v>49.052599999999998</v>
      </c>
      <c r="H51" s="1">
        <v>53.1736</v>
      </c>
      <c r="I51" s="1">
        <v>60.722466600276846</v>
      </c>
      <c r="J51" s="1">
        <v>76.35665684797695</v>
      </c>
      <c r="K51" s="1">
        <v>476.64893710000001</v>
      </c>
      <c r="L51" s="1">
        <v>455.70958239999999</v>
      </c>
      <c r="M51" s="1">
        <v>6.6579873822407398</v>
      </c>
      <c r="N51" s="1">
        <v>101.13483246292321</v>
      </c>
      <c r="O51" s="1">
        <v>3.7640551460104241</v>
      </c>
      <c r="P51" s="1">
        <v>3.2966638948260649</v>
      </c>
      <c r="Q51" s="1">
        <v>82.702380404248828</v>
      </c>
      <c r="R51" s="1">
        <v>87.055529246904825</v>
      </c>
      <c r="S51" s="1">
        <v>67.639728712267257</v>
      </c>
      <c r="T51" s="1">
        <v>45.921225005375405</v>
      </c>
      <c r="U51" s="1">
        <v>56.18950374875093</v>
      </c>
      <c r="V51" s="1">
        <v>91.762029530878777</v>
      </c>
      <c r="W51" s="1">
        <v>77.812647973164658</v>
      </c>
      <c r="X51" s="1">
        <v>76.401556570750671</v>
      </c>
      <c r="Y51" s="1">
        <v>98.777839999999998</v>
      </c>
      <c r="Z51" s="1">
        <v>112.35887</v>
      </c>
      <c r="AA51" s="1">
        <v>1674</v>
      </c>
      <c r="AB51">
        <v>95.57</v>
      </c>
      <c r="AC51" s="3"/>
      <c r="AD51" s="3"/>
      <c r="AE51" s="3"/>
    </row>
    <row r="52" spans="1:32" x14ac:dyDescent="0.25">
      <c r="A52" s="4">
        <v>37681</v>
      </c>
      <c r="B52" s="1">
        <v>49.046700000000001</v>
      </c>
      <c r="C52" s="1">
        <v>58.664299999999997</v>
      </c>
      <c r="E52" s="1">
        <v>47.715699999999998</v>
      </c>
      <c r="F52" s="1">
        <v>47.492899999999999</v>
      </c>
      <c r="H52" s="1">
        <v>47.053699999999999</v>
      </c>
      <c r="I52" s="1">
        <v>61.081816406295239</v>
      </c>
      <c r="J52" s="1">
        <v>76.367376532492372</v>
      </c>
      <c r="K52" s="1">
        <v>481.59557669999998</v>
      </c>
      <c r="L52" s="1">
        <v>450.83632749999998</v>
      </c>
      <c r="M52" s="1">
        <v>6.6814607276448914</v>
      </c>
      <c r="N52" s="1">
        <v>100.1676773523341</v>
      </c>
      <c r="O52" s="1">
        <v>3.778159837213078</v>
      </c>
      <c r="P52" s="1">
        <v>3.2263672648517576</v>
      </c>
      <c r="Q52" s="1">
        <v>82.912793755779006</v>
      </c>
      <c r="R52" s="1">
        <v>87.149525983381764</v>
      </c>
      <c r="S52" s="1">
        <v>67.493947764181812</v>
      </c>
      <c r="T52" s="1">
        <v>45.151396578331223</v>
      </c>
      <c r="U52" s="1">
        <v>55.719632450375705</v>
      </c>
      <c r="V52" s="1">
        <v>81.450087169133624</v>
      </c>
      <c r="W52" s="1">
        <v>71.806314435770943</v>
      </c>
      <c r="X52" s="1">
        <v>75.98905926646168</v>
      </c>
      <c r="Y52" s="1">
        <v>98.775220000000004</v>
      </c>
      <c r="Z52" s="1">
        <v>114.48898</v>
      </c>
      <c r="AA52" s="1">
        <v>1850</v>
      </c>
      <c r="AB52">
        <v>95.54</v>
      </c>
      <c r="AC52" s="3">
        <v>96.51</v>
      </c>
      <c r="AD52" s="3">
        <v>89.41</v>
      </c>
      <c r="AE52" s="3">
        <v>82.990566495059809</v>
      </c>
      <c r="AF52" s="1">
        <v>2.955374255041415</v>
      </c>
    </row>
    <row r="53" spans="1:32" x14ac:dyDescent="0.25">
      <c r="A53" s="4">
        <v>37712</v>
      </c>
      <c r="B53" s="1">
        <v>49.219000000000001</v>
      </c>
      <c r="C53" s="1">
        <v>55.131799999999998</v>
      </c>
      <c r="E53" s="1">
        <v>47.912500000000001</v>
      </c>
      <c r="F53" s="1">
        <v>47.735900000000001</v>
      </c>
      <c r="H53" s="1">
        <v>49.630200000000002</v>
      </c>
      <c r="I53" s="1">
        <v>61.199781861592918</v>
      </c>
      <c r="J53" s="1">
        <v>76.216382697562153</v>
      </c>
      <c r="K53" s="1">
        <v>475.95431259999998</v>
      </c>
      <c r="L53" s="1">
        <v>453.56980160000001</v>
      </c>
      <c r="M53" s="1">
        <v>6.6811929886673003</v>
      </c>
      <c r="N53" s="1">
        <v>105.47889373953173</v>
      </c>
      <c r="O53" s="1">
        <v>3.8263074059384308</v>
      </c>
      <c r="P53" s="1">
        <v>3.184611075311707</v>
      </c>
      <c r="Q53" s="1">
        <v>82.824614959976373</v>
      </c>
      <c r="R53" s="1">
        <v>87.240100754819963</v>
      </c>
      <c r="S53" s="1">
        <v>68.785437221428083</v>
      </c>
      <c r="T53" s="1">
        <v>43.642008262189478</v>
      </c>
      <c r="U53" s="1">
        <v>55.794684886328831</v>
      </c>
      <c r="V53" s="1">
        <v>71.4765809833589</v>
      </c>
      <c r="W53" s="1">
        <v>60.683731620518152</v>
      </c>
      <c r="X53" s="1">
        <v>77.515071831200615</v>
      </c>
      <c r="Y53" s="1">
        <v>98.835070000000002</v>
      </c>
      <c r="Z53" s="1">
        <v>110.62298</v>
      </c>
      <c r="AA53" s="1">
        <v>2064</v>
      </c>
      <c r="AB53">
        <v>95.72</v>
      </c>
      <c r="AC53" s="3"/>
      <c r="AD53" s="3"/>
      <c r="AE53" s="3"/>
    </row>
    <row r="54" spans="1:32" x14ac:dyDescent="0.25">
      <c r="A54" s="4">
        <v>37742</v>
      </c>
      <c r="B54" s="1">
        <v>52.086300000000001</v>
      </c>
      <c r="C54" s="1">
        <v>49.929299999999998</v>
      </c>
      <c r="E54" s="1">
        <v>47.904400000000003</v>
      </c>
      <c r="F54" s="1">
        <v>48.533299999999997</v>
      </c>
      <c r="H54" s="1">
        <v>52.335700000000003</v>
      </c>
      <c r="I54" s="1">
        <v>61.245389342112318</v>
      </c>
      <c r="J54" s="1">
        <v>76.015523425915958</v>
      </c>
      <c r="K54" s="1">
        <v>482.04416400000002</v>
      </c>
      <c r="L54" s="1">
        <v>460.49024220000001</v>
      </c>
      <c r="M54" s="1">
        <v>6.7280831791729847</v>
      </c>
      <c r="N54" s="1">
        <v>106.3991762798926</v>
      </c>
      <c r="O54" s="1">
        <v>3.5044460544978722</v>
      </c>
      <c r="P54" s="1">
        <v>3.0857782496438144</v>
      </c>
      <c r="Q54" s="1">
        <v>82.771487789983212</v>
      </c>
      <c r="R54" s="1">
        <v>87.369504214219802</v>
      </c>
      <c r="S54" s="1">
        <v>68.979887498070823</v>
      </c>
      <c r="T54" s="1">
        <v>45.382969847686063</v>
      </c>
      <c r="U54" s="1">
        <v>56.257468790282168</v>
      </c>
      <c r="V54" s="1">
        <v>73.565354323055885</v>
      </c>
      <c r="W54" s="1">
        <v>60.031040425072632</v>
      </c>
      <c r="X54" s="1">
        <v>74.86464160855769</v>
      </c>
      <c r="Y54" s="1">
        <v>98.952669999999998</v>
      </c>
      <c r="Z54" s="1">
        <v>107.85323</v>
      </c>
      <c r="AA54" s="1">
        <v>2231</v>
      </c>
      <c r="AB54">
        <v>96.46</v>
      </c>
      <c r="AC54" s="3"/>
      <c r="AD54" s="3"/>
      <c r="AE54" s="3"/>
    </row>
    <row r="55" spans="1:32" x14ac:dyDescent="0.25">
      <c r="A55" s="4">
        <v>37773</v>
      </c>
      <c r="B55" s="1">
        <v>53.198</v>
      </c>
      <c r="C55" s="1">
        <v>50.591200000000001</v>
      </c>
      <c r="E55" s="1">
        <v>48.849800000000002</v>
      </c>
      <c r="F55" s="1">
        <v>49.0533</v>
      </c>
      <c r="H55" s="1">
        <v>55.603700000000003</v>
      </c>
      <c r="I55" s="1">
        <v>61.894201683549554</v>
      </c>
      <c r="J55" s="1">
        <v>76.404013766689232</v>
      </c>
      <c r="K55" s="1">
        <v>483.9141525</v>
      </c>
      <c r="L55" s="1">
        <v>463.7737578</v>
      </c>
      <c r="M55" s="1">
        <v>6.785998887676735</v>
      </c>
      <c r="N55" s="1">
        <v>106.85709203121348</v>
      </c>
      <c r="O55" s="1">
        <v>3.3183122460243739</v>
      </c>
      <c r="P55" s="1">
        <v>2.8371293748689017</v>
      </c>
      <c r="Q55" s="1">
        <v>82.842451930992809</v>
      </c>
      <c r="R55" s="1">
        <v>87.447644799049058</v>
      </c>
      <c r="S55" s="1">
        <v>68.420963989449987</v>
      </c>
      <c r="T55" s="1">
        <v>46.380451132767568</v>
      </c>
      <c r="U55" s="1">
        <v>56.157645119541215</v>
      </c>
      <c r="V55" s="1">
        <v>76.804901548290232</v>
      </c>
      <c r="W55" s="1">
        <v>63.935964690392247</v>
      </c>
      <c r="X55" s="1">
        <v>76.3508113968836</v>
      </c>
      <c r="Y55" s="1">
        <v>99.121629999999996</v>
      </c>
      <c r="Z55" s="1">
        <v>108.80132</v>
      </c>
      <c r="AA55" s="1">
        <v>2136</v>
      </c>
      <c r="AB55">
        <v>97.21</v>
      </c>
      <c r="AC55" s="3">
        <v>97.05</v>
      </c>
      <c r="AD55" s="3">
        <v>90.45</v>
      </c>
      <c r="AE55" s="3">
        <v>83.513315646470531</v>
      </c>
      <c r="AF55" s="1">
        <v>2.6963080304648765</v>
      </c>
    </row>
    <row r="56" spans="1:32" x14ac:dyDescent="0.25">
      <c r="A56" s="4">
        <v>37803</v>
      </c>
      <c r="B56" s="1">
        <v>56.772199999999998</v>
      </c>
      <c r="C56" s="1">
        <v>49.656100000000002</v>
      </c>
      <c r="E56" s="1">
        <v>49.385300000000001</v>
      </c>
      <c r="F56" s="1">
        <v>50.441400000000002</v>
      </c>
      <c r="H56" s="1">
        <v>58.5182</v>
      </c>
      <c r="I56" s="1">
        <v>62.43467278979378</v>
      </c>
      <c r="J56" s="1">
        <v>77.182808914406607</v>
      </c>
      <c r="K56" s="1">
        <v>487.63141739999998</v>
      </c>
      <c r="L56" s="1">
        <v>468.86691029999997</v>
      </c>
      <c r="M56" s="1">
        <v>6.7670182025320127</v>
      </c>
      <c r="N56" s="1">
        <v>105.2690627487559</v>
      </c>
      <c r="O56" s="1">
        <v>3.791192332861089</v>
      </c>
      <c r="P56" s="1">
        <v>2.7523817817460303</v>
      </c>
      <c r="Q56" s="1">
        <v>83.019988404923055</v>
      </c>
      <c r="R56" s="1">
        <v>87.591704505135596</v>
      </c>
      <c r="S56" s="1">
        <v>65.763969643029981</v>
      </c>
      <c r="T56" s="1">
        <v>47.005522875793268</v>
      </c>
      <c r="U56" s="1">
        <v>55.105159433101427</v>
      </c>
      <c r="V56" s="1">
        <v>75.837649502475045</v>
      </c>
      <c r="W56" s="1">
        <v>66.277436162700369</v>
      </c>
      <c r="X56" s="1">
        <v>76.820275767352285</v>
      </c>
      <c r="Y56" s="1">
        <v>99.329319999999996</v>
      </c>
      <c r="Z56" s="1">
        <v>109.13298</v>
      </c>
      <c r="AA56" s="1">
        <v>2192</v>
      </c>
      <c r="AB56">
        <v>98.07</v>
      </c>
      <c r="AC56" s="3"/>
      <c r="AD56" s="3"/>
      <c r="AE56" s="3"/>
    </row>
    <row r="57" spans="1:32" x14ac:dyDescent="0.25">
      <c r="A57" s="4">
        <v>37834</v>
      </c>
      <c r="B57" s="1">
        <v>59.9236</v>
      </c>
      <c r="C57" s="1">
        <v>52.186100000000003</v>
      </c>
      <c r="E57" s="1">
        <v>50.514800000000001</v>
      </c>
      <c r="F57" s="1">
        <v>52.375100000000003</v>
      </c>
      <c r="H57" s="1">
        <v>60.514699999999998</v>
      </c>
      <c r="I57" s="1">
        <v>63.025975704316629</v>
      </c>
      <c r="J57" s="1">
        <v>77.131773012971777</v>
      </c>
      <c r="K57" s="1">
        <v>474.24642779999999</v>
      </c>
      <c r="L57" s="1">
        <v>462.13669060000001</v>
      </c>
      <c r="M57" s="1">
        <v>6.7639039016156408</v>
      </c>
      <c r="N57" s="1">
        <v>106.66485009094288</v>
      </c>
      <c r="O57" s="1">
        <v>4.0664275684988986</v>
      </c>
      <c r="P57" s="1">
        <v>2.6569374667645738</v>
      </c>
      <c r="Q57" s="1">
        <v>83.230022948040883</v>
      </c>
      <c r="R57" s="1">
        <v>87.683818614786205</v>
      </c>
      <c r="S57" s="1">
        <v>66.160755593387108</v>
      </c>
      <c r="T57" s="1">
        <v>48.042890920574095</v>
      </c>
      <c r="U57" s="1">
        <v>55.682292169052992</v>
      </c>
      <c r="V57" s="1">
        <v>77.800350224882465</v>
      </c>
      <c r="W57" s="1">
        <v>69.461359249596185</v>
      </c>
      <c r="X57" s="1">
        <v>77.650757576730896</v>
      </c>
      <c r="Y57" s="1">
        <v>99.561679999999996</v>
      </c>
      <c r="Z57" s="1">
        <v>110.45255</v>
      </c>
      <c r="AA57" s="1">
        <v>2286</v>
      </c>
      <c r="AB57">
        <v>98.52</v>
      </c>
      <c r="AC57" s="3"/>
      <c r="AD57" s="3"/>
      <c r="AE57" s="3"/>
    </row>
    <row r="58" spans="1:32" x14ac:dyDescent="0.25">
      <c r="A58" s="4">
        <v>37865</v>
      </c>
      <c r="B58" s="1">
        <v>58.569200000000002</v>
      </c>
      <c r="C58" s="1">
        <v>54.134599999999999</v>
      </c>
      <c r="E58" s="1">
        <v>50.092399999999998</v>
      </c>
      <c r="F58" s="1">
        <v>52.490499999999997</v>
      </c>
      <c r="H58" s="1">
        <v>60.252299999999998</v>
      </c>
      <c r="I58" s="1">
        <v>63.380261731171807</v>
      </c>
      <c r="J58" s="1">
        <v>77.81376354840512</v>
      </c>
      <c r="K58" s="1">
        <v>499.0191456</v>
      </c>
      <c r="L58" s="1">
        <v>481.30092389999999</v>
      </c>
      <c r="M58" s="1">
        <v>6.7653336139004248</v>
      </c>
      <c r="N58" s="1">
        <v>105.48315258998828</v>
      </c>
      <c r="O58" s="1">
        <v>4.0398194862290042</v>
      </c>
      <c r="P58" s="1">
        <v>2.5923218538862249</v>
      </c>
      <c r="Q58" s="1">
        <v>83.443883082517573</v>
      </c>
      <c r="R58" s="1">
        <v>87.784712950666488</v>
      </c>
      <c r="S58" s="1">
        <v>72.32766724093851</v>
      </c>
      <c r="T58" s="1">
        <v>48.749950088929019</v>
      </c>
      <c r="U58" s="1">
        <v>59.26755618428578</v>
      </c>
      <c r="V58" s="1">
        <v>72.634857359286585</v>
      </c>
      <c r="W58" s="1">
        <v>62.538085975898746</v>
      </c>
      <c r="X58" s="1">
        <v>79.225377567080287</v>
      </c>
      <c r="Y58" s="1">
        <v>99.807519999999997</v>
      </c>
      <c r="Z58" s="1">
        <v>109.3458</v>
      </c>
      <c r="AA58" s="1">
        <v>2463</v>
      </c>
      <c r="AB58">
        <v>99.58</v>
      </c>
      <c r="AC58" s="3">
        <v>97.68</v>
      </c>
      <c r="AD58" s="3">
        <v>91.22</v>
      </c>
      <c r="AE58" s="3">
        <v>84.584958918163139</v>
      </c>
      <c r="AF58" s="1">
        <v>6.366302362120873</v>
      </c>
    </row>
    <row r="59" spans="1:32" x14ac:dyDescent="0.25">
      <c r="A59" s="4">
        <v>37895</v>
      </c>
      <c r="B59" s="1">
        <v>61.108699999999999</v>
      </c>
      <c r="C59" s="1">
        <v>54.5366</v>
      </c>
      <c r="E59" s="1">
        <v>51.678800000000003</v>
      </c>
      <c r="F59" s="1">
        <v>54.691699999999997</v>
      </c>
      <c r="H59" s="1">
        <v>61.426499999999997</v>
      </c>
      <c r="I59" s="1">
        <v>63.774442042904177</v>
      </c>
      <c r="J59" s="1">
        <v>78.738455222583951</v>
      </c>
      <c r="K59" s="1">
        <v>515.5313539</v>
      </c>
      <c r="L59" s="1">
        <v>497.9994954</v>
      </c>
      <c r="M59" s="1">
        <v>6.7233649047926232</v>
      </c>
      <c r="N59" s="1">
        <v>106.87357507111035</v>
      </c>
      <c r="O59" s="1">
        <v>4.0735507796781576</v>
      </c>
      <c r="P59" s="1">
        <v>2.5551164819848662</v>
      </c>
      <c r="Q59" s="1">
        <v>83.501162750623735</v>
      </c>
      <c r="R59" s="1">
        <v>87.880893918295982</v>
      </c>
      <c r="S59" s="1">
        <v>75.768351656549314</v>
      </c>
      <c r="T59" s="1">
        <v>51.909958114232822</v>
      </c>
      <c r="U59" s="1">
        <v>61.688602694826912</v>
      </c>
      <c r="V59" s="1">
        <v>76.389471463112855</v>
      </c>
      <c r="W59" s="1">
        <v>65.680945889880121</v>
      </c>
      <c r="X59" s="1">
        <v>83.039186356629656</v>
      </c>
      <c r="Y59" s="1">
        <v>100.0471</v>
      </c>
      <c r="Z59" s="1">
        <v>107.87311</v>
      </c>
      <c r="AA59" s="1">
        <v>4163</v>
      </c>
      <c r="AB59">
        <v>100.42</v>
      </c>
      <c r="AC59" s="3"/>
      <c r="AD59" s="3"/>
      <c r="AE59" s="3"/>
    </row>
    <row r="60" spans="1:32" x14ac:dyDescent="0.25">
      <c r="A60" s="4">
        <v>37926</v>
      </c>
      <c r="B60" s="1">
        <v>61.453099999999999</v>
      </c>
      <c r="C60" s="1">
        <v>56.173900000000003</v>
      </c>
      <c r="E60" s="1">
        <v>52.952599999999997</v>
      </c>
      <c r="F60" s="1">
        <v>56.3782</v>
      </c>
      <c r="H60" s="1">
        <v>59.861899999999999</v>
      </c>
      <c r="I60" s="1">
        <v>63.833373213024039</v>
      </c>
      <c r="J60" s="1">
        <v>78.656462116500663</v>
      </c>
      <c r="K60" s="1">
        <v>515.93497869999999</v>
      </c>
      <c r="L60" s="1">
        <v>497.7062075</v>
      </c>
      <c r="M60" s="1">
        <v>6.6677270984121062</v>
      </c>
      <c r="N60" s="1">
        <v>109.80642921848339</v>
      </c>
      <c r="O60" s="1">
        <v>4.1449347516010819</v>
      </c>
      <c r="P60" s="1">
        <v>2.5309456891475874</v>
      </c>
      <c r="Q60" s="1">
        <v>83.65279814661524</v>
      </c>
      <c r="R60" s="1">
        <v>87.958711904927952</v>
      </c>
      <c r="S60" s="1">
        <v>73.48863139776735</v>
      </c>
      <c r="T60" s="1">
        <v>54.64529583837232</v>
      </c>
      <c r="U60" s="1">
        <v>61.443881737520996</v>
      </c>
      <c r="V60" s="1">
        <v>76.609653672770932</v>
      </c>
      <c r="W60" s="1">
        <v>65.810095050937107</v>
      </c>
      <c r="X60" s="1">
        <v>83.453040696402155</v>
      </c>
      <c r="Y60" s="1">
        <v>100.26139999999999</v>
      </c>
      <c r="Z60" s="1">
        <v>107.23358</v>
      </c>
      <c r="AA60" s="1">
        <v>4250</v>
      </c>
      <c r="AB60">
        <v>101.38</v>
      </c>
      <c r="AC60" s="3"/>
      <c r="AD60" s="3"/>
      <c r="AE60" s="3"/>
    </row>
    <row r="61" spans="1:32" x14ac:dyDescent="0.25">
      <c r="A61" s="4">
        <v>37956</v>
      </c>
      <c r="B61" s="1">
        <v>61.385899999999999</v>
      </c>
      <c r="C61" s="1">
        <v>57.463299999999997</v>
      </c>
      <c r="E61" s="1">
        <v>53.331699999999998</v>
      </c>
      <c r="F61" s="1">
        <v>57.347999999999999</v>
      </c>
      <c r="H61" s="1">
        <v>58.822200000000002</v>
      </c>
      <c r="I61" s="1">
        <v>64.167872330710253</v>
      </c>
      <c r="J61" s="1">
        <v>79.69116261718105</v>
      </c>
      <c r="K61" s="1">
        <v>544.10506539999994</v>
      </c>
      <c r="L61" s="1">
        <v>527.22533559999999</v>
      </c>
      <c r="M61" s="1">
        <v>6.629563508211997</v>
      </c>
      <c r="N61" s="1">
        <v>110.54244059702013</v>
      </c>
      <c r="O61" s="1">
        <v>4.0851537860998191</v>
      </c>
      <c r="P61" s="1">
        <v>2.5331757649159194</v>
      </c>
      <c r="Q61" s="1">
        <v>83.855504611932346</v>
      </c>
      <c r="R61" s="1">
        <v>88.051423699532378</v>
      </c>
      <c r="S61" s="1">
        <v>72.943295782270255</v>
      </c>
      <c r="T61" s="1">
        <v>59.217721876671931</v>
      </c>
      <c r="U61" s="1">
        <v>62.36155393530273</v>
      </c>
      <c r="V61" s="1">
        <v>83.000743694169302</v>
      </c>
      <c r="W61" s="1">
        <v>66.156399835148576</v>
      </c>
      <c r="X61" s="1">
        <v>81.470135531143981</v>
      </c>
      <c r="Y61" s="1">
        <v>100.43640000000001</v>
      </c>
      <c r="Z61" s="1">
        <v>105.94049</v>
      </c>
      <c r="AA61" s="1">
        <v>4609</v>
      </c>
      <c r="AB61">
        <v>101.94</v>
      </c>
      <c r="AC61" s="3">
        <v>97.97</v>
      </c>
      <c r="AD61" s="3">
        <v>92.54</v>
      </c>
      <c r="AE61" s="3">
        <v>85.640297533113056</v>
      </c>
      <c r="AF61" s="1">
        <v>6.1873771113018403</v>
      </c>
    </row>
    <row r="62" spans="1:32" x14ac:dyDescent="0.25">
      <c r="A62" s="4">
        <v>37987</v>
      </c>
      <c r="B62" s="1">
        <v>62.997900000000001</v>
      </c>
      <c r="C62" s="1">
        <v>59.888800000000003</v>
      </c>
      <c r="E62" s="1">
        <v>53.563699999999997</v>
      </c>
      <c r="F62" s="1">
        <v>57.404899999999998</v>
      </c>
      <c r="H62" s="1">
        <v>63.822000000000003</v>
      </c>
      <c r="I62" s="1">
        <v>64.975169738175936</v>
      </c>
      <c r="J62" s="1">
        <v>80.087742864858996</v>
      </c>
      <c r="K62" s="1">
        <v>550.82489750000002</v>
      </c>
      <c r="L62" s="1">
        <v>529.05658670000003</v>
      </c>
      <c r="M62" s="1">
        <v>6.6875571828701901</v>
      </c>
      <c r="N62" s="1">
        <v>111.33042678964192</v>
      </c>
      <c r="O62" s="1">
        <v>4.0491006441669191</v>
      </c>
      <c r="P62" s="1">
        <v>2.5524868475954725</v>
      </c>
      <c r="Q62" s="1">
        <v>84.070701368082325</v>
      </c>
      <c r="R62" s="1">
        <v>88.211532185724423</v>
      </c>
      <c r="S62" s="1">
        <v>74.314285982743215</v>
      </c>
      <c r="T62" s="1">
        <v>64.337302948235347</v>
      </c>
      <c r="U62" s="1">
        <v>64.478537135412012</v>
      </c>
      <c r="V62" s="1">
        <v>86.244798617721912</v>
      </c>
      <c r="W62" s="1">
        <v>68.048006134316793</v>
      </c>
      <c r="X62" s="1">
        <v>83.777162968253037</v>
      </c>
      <c r="Y62" s="1">
        <v>100.56229999999999</v>
      </c>
      <c r="Z62" s="1">
        <v>104.90551000000001</v>
      </c>
      <c r="AA62" s="1">
        <v>5229</v>
      </c>
      <c r="AB62">
        <v>102.69</v>
      </c>
      <c r="AC62" s="3"/>
      <c r="AD62" s="3"/>
      <c r="AE62" s="3"/>
    </row>
    <row r="63" spans="1:32" x14ac:dyDescent="0.25">
      <c r="A63" s="4">
        <v>38018</v>
      </c>
      <c r="B63" s="1">
        <v>60.1021</v>
      </c>
      <c r="C63" s="1">
        <v>60.591900000000003</v>
      </c>
      <c r="E63" s="1">
        <v>52.776499999999999</v>
      </c>
      <c r="F63" s="1">
        <v>56.4011</v>
      </c>
      <c r="H63" s="1">
        <v>60.259700000000002</v>
      </c>
      <c r="I63" s="1">
        <v>65.782819887260516</v>
      </c>
      <c r="J63" s="1">
        <v>80.379616935128112</v>
      </c>
      <c r="K63" s="1">
        <v>568.79047479999997</v>
      </c>
      <c r="L63" s="1">
        <v>545.19259060000002</v>
      </c>
      <c r="M63" s="1">
        <v>6.6684413291651623</v>
      </c>
      <c r="N63" s="1">
        <v>108.99043220025563</v>
      </c>
      <c r="O63" s="1">
        <v>3.9907554865215564</v>
      </c>
      <c r="P63" s="1">
        <v>2.5531168636833987</v>
      </c>
      <c r="Q63" s="1">
        <v>84.245422022570907</v>
      </c>
      <c r="R63" s="1">
        <v>88.33818377201824</v>
      </c>
      <c r="S63" s="1">
        <v>74.915533613240342</v>
      </c>
      <c r="T63" s="1">
        <v>67.686743885248561</v>
      </c>
      <c r="U63" s="1">
        <v>65.380649014733862</v>
      </c>
      <c r="V63" s="1">
        <v>84.316823770287598</v>
      </c>
      <c r="W63" s="1">
        <v>67.848389544244753</v>
      </c>
      <c r="X63" s="1">
        <v>85.733717302084912</v>
      </c>
      <c r="Y63" s="1">
        <v>100.6343</v>
      </c>
      <c r="Z63" s="1">
        <v>105.04933</v>
      </c>
      <c r="AA63" s="1">
        <v>5450</v>
      </c>
      <c r="AB63">
        <v>103.43</v>
      </c>
      <c r="AC63" s="3"/>
      <c r="AD63" s="3"/>
      <c r="AE63" s="3"/>
    </row>
    <row r="64" spans="1:32" x14ac:dyDescent="0.25">
      <c r="A64" s="4">
        <v>38047</v>
      </c>
      <c r="B64" s="1">
        <v>59.844000000000001</v>
      </c>
      <c r="C64" s="1">
        <v>64.555199999999999</v>
      </c>
      <c r="E64" s="1">
        <v>53.454799999999999</v>
      </c>
      <c r="F64" s="1">
        <v>56.9437</v>
      </c>
      <c r="H64" s="1">
        <v>59.472700000000003</v>
      </c>
      <c r="I64" s="1">
        <v>66.107855997338177</v>
      </c>
      <c r="J64" s="1">
        <v>80.64201713020384</v>
      </c>
      <c r="K64" s="1">
        <v>573.04646179999997</v>
      </c>
      <c r="L64" s="1">
        <v>547.18596849999994</v>
      </c>
      <c r="M64" s="1">
        <v>6.6772988505260553</v>
      </c>
      <c r="N64" s="1">
        <v>107.84874412673557</v>
      </c>
      <c r="O64" s="1">
        <v>3.84237306991202</v>
      </c>
      <c r="P64" s="1">
        <v>2.5319567563878653</v>
      </c>
      <c r="Q64" s="1">
        <v>84.439537364118991</v>
      </c>
      <c r="R64" s="1">
        <v>88.501743273767346</v>
      </c>
      <c r="S64" s="1">
        <v>79.888252752689837</v>
      </c>
      <c r="T64" s="1">
        <v>67.603595916554568</v>
      </c>
      <c r="U64" s="1">
        <v>67.689022816665897</v>
      </c>
      <c r="V64" s="1">
        <v>87.764425933480155</v>
      </c>
      <c r="W64" s="1">
        <v>74.057970753623991</v>
      </c>
      <c r="X64" s="1">
        <v>85.334697969394838</v>
      </c>
      <c r="Y64" s="1">
        <v>100.6557</v>
      </c>
      <c r="Z64" s="1">
        <v>105.83511</v>
      </c>
      <c r="AA64" s="1">
        <v>5131</v>
      </c>
      <c r="AB64">
        <v>104.3</v>
      </c>
      <c r="AC64" s="3">
        <v>98.41</v>
      </c>
      <c r="AD64" s="3">
        <v>93.26</v>
      </c>
      <c r="AE64" s="3">
        <v>86.379446108800167</v>
      </c>
      <c r="AF64" s="1">
        <v>4.2051687107048501</v>
      </c>
    </row>
    <row r="65" spans="1:32" x14ac:dyDescent="0.25">
      <c r="A65" s="4">
        <v>38078</v>
      </c>
      <c r="B65" s="1">
        <v>60.214300000000001</v>
      </c>
      <c r="C65" s="1">
        <v>66.678600000000003</v>
      </c>
      <c r="E65" s="1">
        <v>54.384700000000002</v>
      </c>
      <c r="F65" s="1">
        <v>57.513100000000001</v>
      </c>
      <c r="H65" s="1">
        <v>60.573700000000002</v>
      </c>
      <c r="I65" s="1">
        <v>66.402757814055718</v>
      </c>
      <c r="J65" s="1">
        <v>81.381863335923271</v>
      </c>
      <c r="K65" s="1">
        <v>581.1398848</v>
      </c>
      <c r="L65" s="1">
        <v>554.59273180000002</v>
      </c>
      <c r="M65" s="1">
        <v>6.6764817466462301</v>
      </c>
      <c r="N65" s="1">
        <v>108.9928086814008</v>
      </c>
      <c r="O65" s="1">
        <v>4.1669893387605903</v>
      </c>
      <c r="P65" s="1">
        <v>2.4997712958323843</v>
      </c>
      <c r="Q65" s="1">
        <v>84.585740983477478</v>
      </c>
      <c r="R65" s="1">
        <v>88.659159717389088</v>
      </c>
      <c r="S65" s="1">
        <v>81.59808707500676</v>
      </c>
      <c r="T65" s="1">
        <v>66.239980268057664</v>
      </c>
      <c r="U65" s="1">
        <v>68.041907325069175</v>
      </c>
      <c r="V65" s="1">
        <v>89.681737345375382</v>
      </c>
      <c r="W65" s="1">
        <v>74.826355035205253</v>
      </c>
      <c r="X65" s="1">
        <v>85.070455291217883</v>
      </c>
      <c r="Y65" s="1">
        <v>100.6383</v>
      </c>
      <c r="Z65" s="1">
        <v>106.81869</v>
      </c>
      <c r="AA65" s="1">
        <v>4489</v>
      </c>
      <c r="AB65">
        <v>104.5</v>
      </c>
      <c r="AC65" s="3"/>
      <c r="AD65" s="3"/>
      <c r="AE65" s="3"/>
    </row>
    <row r="66" spans="1:32" x14ac:dyDescent="0.25">
      <c r="A66" s="4">
        <v>38108</v>
      </c>
      <c r="B66" s="1">
        <v>59.546399999999998</v>
      </c>
      <c r="C66" s="1">
        <v>67.973799999999997</v>
      </c>
      <c r="E66" s="1">
        <v>54.741100000000003</v>
      </c>
      <c r="F66" s="1">
        <v>57.652299999999997</v>
      </c>
      <c r="H66" s="1">
        <v>59.920999999999999</v>
      </c>
      <c r="I66" s="1">
        <v>66.638220617079114</v>
      </c>
      <c r="J66" s="1">
        <v>81.656467597703738</v>
      </c>
      <c r="K66" s="1">
        <v>581.21389450000004</v>
      </c>
      <c r="L66" s="1">
        <v>560.38844889999996</v>
      </c>
      <c r="M66" s="1">
        <v>6.6083350880644067</v>
      </c>
      <c r="N66" s="1">
        <v>109.23988348993045</v>
      </c>
      <c r="O66" s="1">
        <v>4.3994817720581114</v>
      </c>
      <c r="P66" s="1">
        <v>2.5304335497066917</v>
      </c>
      <c r="Q66" s="1">
        <v>84.855551547210311</v>
      </c>
      <c r="R66" s="1">
        <v>88.766245890776176</v>
      </c>
      <c r="S66" s="1">
        <v>82.236166525674307</v>
      </c>
      <c r="T66" s="1">
        <v>62.2859872371398</v>
      </c>
      <c r="U66" s="1">
        <v>67.343730688459331</v>
      </c>
      <c r="V66" s="1">
        <v>98.390901531375775</v>
      </c>
      <c r="W66" s="1">
        <v>83.738414627863349</v>
      </c>
      <c r="X66" s="1">
        <v>87.956892930219013</v>
      </c>
      <c r="Y66" s="1">
        <v>100.59910000000001</v>
      </c>
      <c r="Z66" s="1">
        <v>109.37667999999999</v>
      </c>
      <c r="AA66" s="1">
        <v>3596</v>
      </c>
      <c r="AB66">
        <v>104.98</v>
      </c>
      <c r="AC66" s="3"/>
      <c r="AD66" s="3"/>
      <c r="AE66" s="3"/>
    </row>
    <row r="67" spans="1:32" x14ac:dyDescent="0.25">
      <c r="A67" s="4">
        <v>38139</v>
      </c>
      <c r="B67" s="1">
        <v>59.135199999999998</v>
      </c>
      <c r="C67" s="1">
        <v>67.902900000000002</v>
      </c>
      <c r="E67" s="1">
        <v>54.735999999999997</v>
      </c>
      <c r="F67" s="1">
        <v>56.119199999999999</v>
      </c>
      <c r="H67" s="1">
        <v>57.687100000000001</v>
      </c>
      <c r="I67" s="1">
        <v>67.070159732210101</v>
      </c>
      <c r="J67" s="1">
        <v>81.689543421265142</v>
      </c>
      <c r="K67" s="1">
        <v>602.58756840000001</v>
      </c>
      <c r="L67" s="1">
        <v>568.73161089999996</v>
      </c>
      <c r="M67" s="1">
        <v>6.6022702421294346</v>
      </c>
      <c r="N67" s="1">
        <v>111.2197874492711</v>
      </c>
      <c r="O67" s="1">
        <v>4.4808803461391689</v>
      </c>
      <c r="P67" s="1">
        <v>2.6307533659989515</v>
      </c>
      <c r="Q67" s="1">
        <v>85.111994192796743</v>
      </c>
      <c r="R67" s="1">
        <v>88.93261854803896</v>
      </c>
      <c r="S67" s="1">
        <v>78.183221993035843</v>
      </c>
      <c r="T67" s="1">
        <v>65.540190553020039</v>
      </c>
      <c r="U67" s="1">
        <v>66.321314619657883</v>
      </c>
      <c r="V67" s="1">
        <v>96.114392814821798</v>
      </c>
      <c r="W67" s="1">
        <v>78.646430865147622</v>
      </c>
      <c r="X67" s="1">
        <v>87.236266430361326</v>
      </c>
      <c r="Y67" s="1">
        <v>100.5548</v>
      </c>
      <c r="Z67" s="1">
        <v>108.64514</v>
      </c>
      <c r="AA67" s="1">
        <v>2902</v>
      </c>
      <c r="AB67">
        <v>104.79</v>
      </c>
      <c r="AC67" s="3">
        <v>99.01</v>
      </c>
      <c r="AD67" s="3">
        <v>94.31</v>
      </c>
      <c r="AE67" s="3">
        <v>87.033685118283941</v>
      </c>
      <c r="AF67" s="1">
        <v>4.2944364106979798</v>
      </c>
    </row>
    <row r="68" spans="1:32" x14ac:dyDescent="0.25">
      <c r="A68" s="4">
        <v>38169</v>
      </c>
      <c r="B68" s="1">
        <v>59.822000000000003</v>
      </c>
      <c r="C68" s="1">
        <v>66.595699999999994</v>
      </c>
      <c r="E68" s="1">
        <v>52.396099999999997</v>
      </c>
      <c r="F68" s="1">
        <v>56.3142</v>
      </c>
      <c r="H68" s="1">
        <v>60.108600000000003</v>
      </c>
      <c r="I68" s="1">
        <v>67.63800964427449</v>
      </c>
      <c r="J68" s="1">
        <v>82.301381024187606</v>
      </c>
      <c r="K68" s="1">
        <v>601.0566589</v>
      </c>
      <c r="L68" s="1">
        <v>574.01601600000004</v>
      </c>
      <c r="M68" s="1">
        <v>6.4863890330229701</v>
      </c>
      <c r="N68" s="1">
        <v>112.11800869914367</v>
      </c>
      <c r="O68" s="1">
        <v>4.3456391614650851</v>
      </c>
      <c r="P68" s="1">
        <v>2.6382414646453798</v>
      </c>
      <c r="Q68" s="1">
        <v>85.240777412745743</v>
      </c>
      <c r="R68" s="1">
        <v>89.065295871834792</v>
      </c>
      <c r="S68" s="1">
        <v>75.408641482029125</v>
      </c>
      <c r="T68" s="1">
        <v>68.331077174839933</v>
      </c>
      <c r="U68" s="1">
        <v>65.593157034610101</v>
      </c>
      <c r="V68" s="1">
        <v>100.31400910035929</v>
      </c>
      <c r="W68" s="1">
        <v>83.295525090523071</v>
      </c>
      <c r="X68" s="1">
        <v>84.760641294366124</v>
      </c>
      <c r="Y68" s="1">
        <v>100.5112</v>
      </c>
      <c r="Z68" s="1">
        <v>107.52540999999999</v>
      </c>
      <c r="AA68" s="1">
        <v>3778</v>
      </c>
      <c r="AB68">
        <v>105.31</v>
      </c>
      <c r="AC68" s="3"/>
      <c r="AD68" s="3"/>
      <c r="AE68" s="3"/>
    </row>
    <row r="69" spans="1:32" x14ac:dyDescent="0.25">
      <c r="A69" s="4">
        <v>38200</v>
      </c>
      <c r="B69" s="1">
        <v>57.630899999999997</v>
      </c>
      <c r="C69" s="1">
        <v>67.493600000000001</v>
      </c>
      <c r="E69" s="1">
        <v>53.717500000000001</v>
      </c>
      <c r="F69" s="1">
        <v>55.240299999999998</v>
      </c>
      <c r="H69" s="1">
        <v>57.751800000000003</v>
      </c>
      <c r="I69" s="1">
        <v>67.755498782671012</v>
      </c>
      <c r="J69" s="1">
        <v>82.189211898631115</v>
      </c>
      <c r="K69" s="1">
        <v>600.47813510000003</v>
      </c>
      <c r="L69" s="1">
        <v>568.97341249999999</v>
      </c>
      <c r="M69" s="1">
        <v>6.4808574367347527</v>
      </c>
      <c r="N69" s="1">
        <v>110.50497987318634</v>
      </c>
      <c r="O69" s="1">
        <v>4.1796301845268431</v>
      </c>
      <c r="P69" s="1">
        <v>2.739080408598249</v>
      </c>
      <c r="Q69" s="1">
        <v>85.380428686375851</v>
      </c>
      <c r="R69" s="1">
        <v>89.168607445282234</v>
      </c>
      <c r="S69" s="1">
        <v>71.567492289577629</v>
      </c>
      <c r="T69" s="1">
        <v>66.553173028464926</v>
      </c>
      <c r="U69" s="1">
        <v>63.657799206525148</v>
      </c>
      <c r="V69" s="1">
        <v>106.30566382946945</v>
      </c>
      <c r="W69" s="1">
        <v>93.069214016194849</v>
      </c>
      <c r="X69" s="1">
        <v>84.270620016570646</v>
      </c>
      <c r="Y69" s="1">
        <v>100.4712</v>
      </c>
      <c r="Z69" s="1">
        <v>107.72548</v>
      </c>
      <c r="AA69" s="1">
        <v>4169</v>
      </c>
      <c r="AB69">
        <v>105.7</v>
      </c>
      <c r="AC69" s="3"/>
      <c r="AD69" s="3"/>
      <c r="AE69" s="3"/>
    </row>
    <row r="70" spans="1:32" x14ac:dyDescent="0.25">
      <c r="A70" s="4">
        <v>38231</v>
      </c>
      <c r="B70" s="1">
        <v>57.2012</v>
      </c>
      <c r="C70" s="1">
        <v>65.603099999999998</v>
      </c>
      <c r="E70" s="1">
        <v>54.540100000000002</v>
      </c>
      <c r="F70" s="1">
        <v>54.353700000000003</v>
      </c>
      <c r="H70" s="1">
        <v>57.474400000000003</v>
      </c>
      <c r="I70" s="1">
        <v>68.682019766746322</v>
      </c>
      <c r="J70" s="1">
        <v>82.812337212251478</v>
      </c>
      <c r="K70" s="1">
        <v>610.85785599999997</v>
      </c>
      <c r="L70" s="1">
        <v>579.41357359999995</v>
      </c>
      <c r="M70" s="1">
        <v>6.4655962557819358</v>
      </c>
      <c r="N70" s="1">
        <v>109.97500742464867</v>
      </c>
      <c r="O70" s="1">
        <v>4.0724671958879979</v>
      </c>
      <c r="P70" s="1">
        <v>2.8344053200634476</v>
      </c>
      <c r="Q70" s="1">
        <v>85.578456613450498</v>
      </c>
      <c r="R70" s="1">
        <v>89.328641085321664</v>
      </c>
      <c r="S70" s="1">
        <v>72.305710467241397</v>
      </c>
      <c r="T70" s="1">
        <v>67.110515687760511</v>
      </c>
      <c r="U70" s="1">
        <v>64.201962540702539</v>
      </c>
      <c r="V70" s="1">
        <v>104.6243232845581</v>
      </c>
      <c r="W70" s="1">
        <v>91.87575960661222</v>
      </c>
      <c r="X70" s="1">
        <v>84.150219584643011</v>
      </c>
      <c r="Y70" s="1">
        <v>100.4402</v>
      </c>
      <c r="Z70" s="1">
        <v>106.58776</v>
      </c>
      <c r="AA70" s="1">
        <v>4141</v>
      </c>
      <c r="AB70">
        <v>106.32</v>
      </c>
      <c r="AC70" s="3">
        <v>99.32</v>
      </c>
      <c r="AD70" s="3">
        <v>95.89</v>
      </c>
      <c r="AE70" s="3">
        <v>87.741660491388174</v>
      </c>
      <c r="AF70" s="1">
        <v>4.3620631093442128</v>
      </c>
    </row>
    <row r="71" spans="1:32" x14ac:dyDescent="0.25">
      <c r="A71" s="4">
        <v>38261</v>
      </c>
      <c r="B71" s="1">
        <v>57.398200000000003</v>
      </c>
      <c r="C71" s="1">
        <v>69.356999999999999</v>
      </c>
      <c r="E71" s="1">
        <v>54.573399999999999</v>
      </c>
      <c r="F71" s="1">
        <v>53.626399999999997</v>
      </c>
      <c r="H71" s="1">
        <v>58.235999999999997</v>
      </c>
      <c r="I71" s="1">
        <v>69.075805156490915</v>
      </c>
      <c r="J71" s="1">
        <v>83.213668793443119</v>
      </c>
      <c r="K71" s="1">
        <v>626.62038970000003</v>
      </c>
      <c r="L71" s="1">
        <v>591.98791949999998</v>
      </c>
      <c r="M71" s="1">
        <v>6.4110383434240168</v>
      </c>
      <c r="N71" s="1">
        <v>109.39666243306814</v>
      </c>
      <c r="O71" s="1">
        <v>4.003725880668938</v>
      </c>
      <c r="P71" s="1">
        <v>2.8532576454017575</v>
      </c>
      <c r="Q71" s="1">
        <v>85.911065663928881</v>
      </c>
      <c r="R71" s="1">
        <v>89.484063590985301</v>
      </c>
      <c r="S71" s="1">
        <v>71.638728384600398</v>
      </c>
      <c r="T71" s="1">
        <v>70.176892067962427</v>
      </c>
      <c r="U71" s="1">
        <v>64.719693735183469</v>
      </c>
      <c r="V71" s="1">
        <v>118.03433760668921</v>
      </c>
      <c r="W71" s="1">
        <v>102.44017409764535</v>
      </c>
      <c r="X71" s="1">
        <v>83.675185642965459</v>
      </c>
      <c r="Y71" s="1">
        <v>100.4122</v>
      </c>
      <c r="Z71" s="1">
        <v>106.20547000000001</v>
      </c>
      <c r="AA71" s="1">
        <v>4542</v>
      </c>
      <c r="AB71">
        <v>106.82</v>
      </c>
      <c r="AC71" s="3"/>
      <c r="AD71" s="3"/>
      <c r="AE71" s="3"/>
    </row>
    <row r="72" spans="1:32" x14ac:dyDescent="0.25">
      <c r="A72" s="4">
        <v>38292</v>
      </c>
      <c r="B72" s="1">
        <v>56.637799999999999</v>
      </c>
      <c r="C72" s="1">
        <v>67.042199999999994</v>
      </c>
      <c r="E72" s="1">
        <v>54.1905</v>
      </c>
      <c r="F72" s="1">
        <v>52.976599999999998</v>
      </c>
      <c r="H72" s="1">
        <v>59.106900000000003</v>
      </c>
      <c r="I72" s="1">
        <v>69.555699758563733</v>
      </c>
      <c r="J72" s="1">
        <v>83.11444908973364</v>
      </c>
      <c r="K72" s="1">
        <v>649.88667959999998</v>
      </c>
      <c r="L72" s="1">
        <v>612.66342829999996</v>
      </c>
      <c r="M72" s="1">
        <v>6.4159083035877549</v>
      </c>
      <c r="N72" s="1">
        <v>109.5060320031935</v>
      </c>
      <c r="O72" s="1">
        <v>4.0101582783867551</v>
      </c>
      <c r="P72" s="1">
        <v>2.9634361997260212</v>
      </c>
      <c r="Q72" s="1">
        <v>86.154827384262802</v>
      </c>
      <c r="R72" s="1">
        <v>89.626766154587187</v>
      </c>
      <c r="S72" s="1">
        <v>73.557127543402643</v>
      </c>
      <c r="T72" s="1">
        <v>70.338653457472773</v>
      </c>
      <c r="U72" s="1">
        <v>66.034822257686301</v>
      </c>
      <c r="V72" s="1">
        <v>109.62584344233912</v>
      </c>
      <c r="W72" s="1">
        <v>90.040395326872499</v>
      </c>
      <c r="X72" s="1">
        <v>81.35109235425135</v>
      </c>
      <c r="Y72" s="1">
        <v>100.3832</v>
      </c>
      <c r="Z72" s="1">
        <v>104.91639000000001</v>
      </c>
      <c r="AA72" s="1">
        <v>5310</v>
      </c>
      <c r="AB72">
        <v>107.57</v>
      </c>
      <c r="AC72" s="3"/>
      <c r="AD72" s="3"/>
      <c r="AE72" s="3"/>
    </row>
    <row r="73" spans="1:32" x14ac:dyDescent="0.25">
      <c r="A73" s="4">
        <v>38322</v>
      </c>
      <c r="B73" s="1">
        <v>58.363700000000001</v>
      </c>
      <c r="C73" s="1">
        <v>65.610299999999995</v>
      </c>
      <c r="E73" s="1">
        <v>53.5792</v>
      </c>
      <c r="F73" s="1">
        <v>53.354700000000001</v>
      </c>
      <c r="H73" s="1">
        <v>60.305500000000002</v>
      </c>
      <c r="I73" s="1">
        <v>70.11539983089358</v>
      </c>
      <c r="J73" s="1">
        <v>83.828337598581086</v>
      </c>
      <c r="K73" s="1">
        <v>654.03847350000001</v>
      </c>
      <c r="L73" s="1">
        <v>624.70319259999997</v>
      </c>
      <c r="M73" s="1">
        <v>6.3981255901010758</v>
      </c>
      <c r="N73" s="1">
        <v>111.6053058472353</v>
      </c>
      <c r="O73" s="1">
        <v>3.9086712454162811</v>
      </c>
      <c r="P73" s="1">
        <v>3.0558853368711332</v>
      </c>
      <c r="Q73" s="1">
        <v>86.19936299392208</v>
      </c>
      <c r="R73" s="1">
        <v>89.763506801202482</v>
      </c>
      <c r="S73" s="1">
        <v>77.438770293605202</v>
      </c>
      <c r="T73" s="1">
        <v>70.563798387445971</v>
      </c>
      <c r="U73" s="1">
        <v>67.780899275609613</v>
      </c>
      <c r="V73" s="1">
        <v>104.28916668372923</v>
      </c>
      <c r="W73" s="1">
        <v>82.1056135030462</v>
      </c>
      <c r="X73" s="1">
        <v>78.404359418996265</v>
      </c>
      <c r="Y73" s="1">
        <v>100.3426</v>
      </c>
      <c r="Z73" s="1">
        <v>103.11516</v>
      </c>
      <c r="AA73" s="1">
        <v>5519</v>
      </c>
      <c r="AB73">
        <v>108.74</v>
      </c>
      <c r="AC73" s="3">
        <v>99.7</v>
      </c>
      <c r="AD73" s="3">
        <v>96.72</v>
      </c>
      <c r="AE73" s="3">
        <v>88.389401431317424</v>
      </c>
      <c r="AF73" s="1">
        <v>3.8631669627280449</v>
      </c>
    </row>
    <row r="74" spans="1:32" x14ac:dyDescent="0.25">
      <c r="A74" s="4">
        <v>38353</v>
      </c>
      <c r="B74" s="1">
        <v>58.572899999999997</v>
      </c>
      <c r="C74" s="1">
        <v>64.247299999999996</v>
      </c>
      <c r="E74" s="1">
        <v>54.873100000000001</v>
      </c>
      <c r="F74" s="1">
        <v>53.340499999999999</v>
      </c>
      <c r="H74" s="1">
        <v>59.092599999999997</v>
      </c>
      <c r="I74" s="1">
        <v>70.77920278778717</v>
      </c>
      <c r="J74" s="1">
        <v>84.524503178864478</v>
      </c>
      <c r="K74" s="1">
        <v>650.27676289999999</v>
      </c>
      <c r="L74" s="1">
        <v>617.59270289999995</v>
      </c>
      <c r="M74" s="1">
        <v>6.4124240448685343</v>
      </c>
      <c r="N74" s="1">
        <v>111.90787611146601</v>
      </c>
      <c r="O74" s="1">
        <v>3.9133011069731718</v>
      </c>
      <c r="P74" s="1">
        <v>3.0913328699345253</v>
      </c>
      <c r="Q74" s="1">
        <v>86.233183885669845</v>
      </c>
      <c r="R74" s="1">
        <v>89.919208911911468</v>
      </c>
      <c r="S74" s="1">
        <v>77.483420872990976</v>
      </c>
      <c r="T74" s="1">
        <v>77.734824823539384</v>
      </c>
      <c r="U74" s="1">
        <v>69.112392378901021</v>
      </c>
      <c r="V74" s="1">
        <v>109.68673388272489</v>
      </c>
      <c r="W74" s="1">
        <v>91.40848148384957</v>
      </c>
      <c r="X74" s="1">
        <v>82.135661650512347</v>
      </c>
      <c r="Y74" s="1">
        <v>100.2837</v>
      </c>
      <c r="Z74" s="1">
        <v>103.6758</v>
      </c>
      <c r="AA74" s="1">
        <v>4502</v>
      </c>
      <c r="AB74">
        <v>108.18</v>
      </c>
      <c r="AC74" s="3"/>
      <c r="AD74" s="3"/>
      <c r="AE74" s="3"/>
    </row>
    <row r="75" spans="1:32" x14ac:dyDescent="0.25">
      <c r="A75" s="4">
        <v>38384</v>
      </c>
      <c r="B75" s="1">
        <v>58.837800000000001</v>
      </c>
      <c r="C75" s="1">
        <v>63.870699999999999</v>
      </c>
      <c r="E75" s="1">
        <v>57.141800000000003</v>
      </c>
      <c r="F75" s="1">
        <v>53.168199999999999</v>
      </c>
      <c r="H75" s="1">
        <v>58.6751</v>
      </c>
      <c r="I75" s="1">
        <v>71.071452150337095</v>
      </c>
      <c r="J75" s="1">
        <v>84.83927072013941</v>
      </c>
      <c r="K75" s="1">
        <v>654.33861950000005</v>
      </c>
      <c r="L75" s="1">
        <v>620.09225909999998</v>
      </c>
      <c r="M75" s="1">
        <v>6.4005984111914769</v>
      </c>
      <c r="N75" s="1">
        <v>111.78648321222087</v>
      </c>
      <c r="O75" s="1">
        <v>3.8873887848814874</v>
      </c>
      <c r="P75" s="1">
        <v>3.1790831295270237</v>
      </c>
      <c r="Q75" s="1">
        <v>86.513004164243696</v>
      </c>
      <c r="R75" s="1">
        <v>90.024775305917743</v>
      </c>
      <c r="S75" s="1">
        <v>80.079776111702841</v>
      </c>
      <c r="T75" s="1">
        <v>80.009993630377096</v>
      </c>
      <c r="U75" s="1">
        <v>71.076938605817816</v>
      </c>
      <c r="V75" s="1">
        <v>111.83720101547975</v>
      </c>
      <c r="W75" s="1">
        <v>94.726658937612072</v>
      </c>
      <c r="X75" s="1">
        <v>82.210297892133539</v>
      </c>
      <c r="Y75" s="1">
        <v>100.20869999999999</v>
      </c>
      <c r="Z75" s="1">
        <v>103.93822</v>
      </c>
      <c r="AA75" s="1">
        <v>4532</v>
      </c>
      <c r="AB75">
        <v>109.29</v>
      </c>
      <c r="AC75" s="3"/>
      <c r="AD75" s="3"/>
      <c r="AE75" s="3"/>
    </row>
    <row r="76" spans="1:32" x14ac:dyDescent="0.25">
      <c r="A76" s="4">
        <v>38412</v>
      </c>
      <c r="B76" s="1">
        <v>57.655999999999999</v>
      </c>
      <c r="C76" s="1">
        <v>62.497500000000002</v>
      </c>
      <c r="E76" s="1">
        <v>55.992600000000003</v>
      </c>
      <c r="F76" s="1">
        <v>53.370399999999997</v>
      </c>
      <c r="H76" s="1">
        <v>58.365400000000001</v>
      </c>
      <c r="I76" s="1">
        <v>71.535481427518405</v>
      </c>
      <c r="J76" s="1">
        <v>84.941017819028858</v>
      </c>
      <c r="K76" s="1">
        <v>673.27067899999997</v>
      </c>
      <c r="L76" s="1">
        <v>635.61115970000003</v>
      </c>
      <c r="M76" s="1">
        <v>6.3647385448400229</v>
      </c>
      <c r="N76" s="1">
        <v>111.23657063296801</v>
      </c>
      <c r="O76" s="1">
        <v>4.0959242552332311</v>
      </c>
      <c r="P76" s="1">
        <v>3.2640716145150881</v>
      </c>
      <c r="Q76" s="1">
        <v>86.753061874173994</v>
      </c>
      <c r="R76" s="1">
        <v>90.175718398233826</v>
      </c>
      <c r="S76" s="1">
        <v>81.512352392109918</v>
      </c>
      <c r="T76" s="1">
        <v>82.993805218833756</v>
      </c>
      <c r="U76" s="1">
        <v>73.173233804410074</v>
      </c>
      <c r="V76" s="1">
        <v>125.78819474672711</v>
      </c>
      <c r="W76" s="1">
        <v>108.13543180092535</v>
      </c>
      <c r="X76" s="1">
        <v>86.861559556885851</v>
      </c>
      <c r="Y76" s="1">
        <v>100.1314</v>
      </c>
      <c r="Z76" s="1">
        <v>103.87935</v>
      </c>
      <c r="AA76" s="1">
        <v>4678</v>
      </c>
      <c r="AB76">
        <v>109.48</v>
      </c>
      <c r="AC76" s="3">
        <v>99.39</v>
      </c>
      <c r="AD76" s="3">
        <v>98.06</v>
      </c>
      <c r="AE76" s="3">
        <v>89.176880015840084</v>
      </c>
      <c r="AF76" s="1">
        <v>5.0294732564148328</v>
      </c>
    </row>
    <row r="77" spans="1:32" x14ac:dyDescent="0.25">
      <c r="A77" s="4">
        <v>38443</v>
      </c>
      <c r="B77" s="1">
        <v>55.893099999999997</v>
      </c>
      <c r="C77" s="1">
        <v>60.695900000000002</v>
      </c>
      <c r="E77" s="1">
        <v>54.148400000000002</v>
      </c>
      <c r="F77" s="1">
        <v>51.906100000000002</v>
      </c>
      <c r="H77" s="1">
        <v>56.568300000000001</v>
      </c>
      <c r="I77" s="1">
        <v>72.222931004097575</v>
      </c>
      <c r="J77" s="1">
        <v>85.677737664589287</v>
      </c>
      <c r="K77" s="1">
        <v>682.58863140000005</v>
      </c>
      <c r="L77" s="1">
        <v>645.12378969999997</v>
      </c>
      <c r="M77" s="1">
        <v>6.3250035227279202</v>
      </c>
      <c r="N77" s="1">
        <v>110.02144130727505</v>
      </c>
      <c r="O77" s="1">
        <v>3.9556510813367263</v>
      </c>
      <c r="P77" s="1">
        <v>3.2616457783009509</v>
      </c>
      <c r="Q77" s="1">
        <v>86.962869256987176</v>
      </c>
      <c r="R77" s="1">
        <v>90.271034457539969</v>
      </c>
      <c r="S77" s="1">
        <v>79.312799448223672</v>
      </c>
      <c r="T77" s="1">
        <v>82.036843376659817</v>
      </c>
      <c r="U77" s="1">
        <v>71.689842273351616</v>
      </c>
      <c r="V77" s="1">
        <v>127.00292288128084</v>
      </c>
      <c r="W77" s="1">
        <v>108.67098763329697</v>
      </c>
      <c r="X77" s="1">
        <v>84.983677198416174</v>
      </c>
      <c r="Y77" s="1">
        <v>100.06740000000001</v>
      </c>
      <c r="Z77" s="1">
        <v>104.76088</v>
      </c>
      <c r="AA77" s="1">
        <v>4532</v>
      </c>
      <c r="AB77">
        <v>109.43</v>
      </c>
      <c r="AC77" s="3"/>
      <c r="AD77" s="3"/>
      <c r="AE77" s="3"/>
    </row>
    <row r="78" spans="1:32" x14ac:dyDescent="0.25">
      <c r="A78" s="4">
        <v>38473</v>
      </c>
      <c r="B78" s="1">
        <v>56.0124</v>
      </c>
      <c r="C78" s="1">
        <v>56.0623</v>
      </c>
      <c r="E78" s="1">
        <v>53.049900000000001</v>
      </c>
      <c r="F78" s="1">
        <v>51.395800000000001</v>
      </c>
      <c r="H78" s="1">
        <v>55.968000000000004</v>
      </c>
      <c r="I78" s="1">
        <v>72.048219034430787</v>
      </c>
      <c r="J78" s="1">
        <v>85.471219081090126</v>
      </c>
      <c r="K78" s="1">
        <v>680.60807590000002</v>
      </c>
      <c r="L78" s="1">
        <v>643.49841849999996</v>
      </c>
      <c r="M78" s="1">
        <v>6.3338750506461743</v>
      </c>
      <c r="N78" s="1">
        <v>111.14329974487515</v>
      </c>
      <c r="O78" s="1">
        <v>3.7830320709081131</v>
      </c>
      <c r="P78" s="1">
        <v>3.3418672391322248</v>
      </c>
      <c r="Q78" s="1">
        <v>87.008329351291962</v>
      </c>
      <c r="R78" s="1">
        <v>90.404904805384518</v>
      </c>
      <c r="S78" s="1">
        <v>80.268147364060013</v>
      </c>
      <c r="T78" s="1">
        <v>81.234577715781427</v>
      </c>
      <c r="U78" s="1">
        <v>72.01808729469451</v>
      </c>
      <c r="V78" s="1">
        <v>120.42760203248572</v>
      </c>
      <c r="W78" s="1">
        <v>103.67406968333778</v>
      </c>
      <c r="X78" s="1">
        <v>85.685352778214551</v>
      </c>
      <c r="Y78" s="1">
        <v>100.0326</v>
      </c>
      <c r="Z78" s="1">
        <v>105.05986</v>
      </c>
      <c r="AA78" s="1">
        <v>3667</v>
      </c>
      <c r="AB78">
        <v>108.73</v>
      </c>
      <c r="AC78" s="3"/>
      <c r="AD78" s="3"/>
      <c r="AE78" s="3"/>
    </row>
    <row r="79" spans="1:32" x14ac:dyDescent="0.25">
      <c r="A79" s="4">
        <v>38504</v>
      </c>
      <c r="B79" s="1">
        <v>56.7941</v>
      </c>
      <c r="C79" s="1">
        <v>55.474600000000002</v>
      </c>
      <c r="E79" s="1">
        <v>54.975900000000003</v>
      </c>
      <c r="F79" s="1">
        <v>52.188699999999997</v>
      </c>
      <c r="H79" s="1">
        <v>57.888100000000001</v>
      </c>
      <c r="I79" s="1">
        <v>73.042439332189844</v>
      </c>
      <c r="J79" s="1">
        <v>85.927398022527726</v>
      </c>
      <c r="K79" s="1">
        <v>678.25207969999997</v>
      </c>
      <c r="L79" s="1">
        <v>639.26390319999996</v>
      </c>
      <c r="M79" s="1">
        <v>6.2998348091359873</v>
      </c>
      <c r="N79" s="1">
        <v>111.90305699307694</v>
      </c>
      <c r="O79" s="1">
        <v>3.6465542253827956</v>
      </c>
      <c r="P79" s="1">
        <v>3.4120797033491654</v>
      </c>
      <c r="Q79" s="1">
        <v>87.094568978623357</v>
      </c>
      <c r="R79" s="1">
        <v>90.453842041604801</v>
      </c>
      <c r="S79" s="1">
        <v>76.867303885248162</v>
      </c>
      <c r="T79" s="1">
        <v>81.884273650921571</v>
      </c>
      <c r="U79" s="1">
        <v>70.783974087475016</v>
      </c>
      <c r="V79" s="1">
        <v>131.81269783603381</v>
      </c>
      <c r="W79" s="1">
        <v>119.08139915902416</v>
      </c>
      <c r="X79" s="1">
        <v>85.869720434981915</v>
      </c>
      <c r="Y79" s="1">
        <v>100.0394</v>
      </c>
      <c r="Z79" s="1">
        <v>106.24969</v>
      </c>
      <c r="AA79" s="1">
        <v>2746</v>
      </c>
      <c r="AB79">
        <v>109.08</v>
      </c>
      <c r="AC79" s="3">
        <v>99.82</v>
      </c>
      <c r="AD79" s="3">
        <v>99.48</v>
      </c>
      <c r="AE79" s="3">
        <v>89.950802126773681</v>
      </c>
      <c r="AF79" s="1">
        <v>4.6617638215060797</v>
      </c>
    </row>
    <row r="80" spans="1:32" x14ac:dyDescent="0.25">
      <c r="A80" s="4">
        <v>38534</v>
      </c>
      <c r="B80" s="1">
        <v>59.623800000000003</v>
      </c>
      <c r="C80" s="1">
        <v>59.528599999999997</v>
      </c>
      <c r="E80" s="1">
        <v>54.833500000000001</v>
      </c>
      <c r="F80" s="1">
        <v>52.614199999999997</v>
      </c>
      <c r="H80" s="1">
        <v>58.331299999999999</v>
      </c>
      <c r="I80" s="1">
        <v>73.365149612528214</v>
      </c>
      <c r="J80" s="1">
        <v>85.956057515241284</v>
      </c>
      <c r="K80" s="1">
        <v>673.71793860000002</v>
      </c>
      <c r="L80" s="1">
        <v>636.20788990000005</v>
      </c>
      <c r="M80" s="1">
        <v>6.2983225630132038</v>
      </c>
      <c r="N80" s="1">
        <v>111.25878531098095</v>
      </c>
      <c r="O80" s="1">
        <v>3.7411275846594658</v>
      </c>
      <c r="P80" s="1">
        <v>3.4233474403706436</v>
      </c>
      <c r="Q80" s="1">
        <v>87.444453897639477</v>
      </c>
      <c r="R80" s="1">
        <v>90.576065156480041</v>
      </c>
      <c r="S80" s="1">
        <v>76.507377782599562</v>
      </c>
      <c r="T80" s="1">
        <v>80.498180901679561</v>
      </c>
      <c r="U80" s="1">
        <v>70.124682090277872</v>
      </c>
      <c r="V80" s="1">
        <v>138.61651863113232</v>
      </c>
      <c r="W80" s="1">
        <v>126.04449574137696</v>
      </c>
      <c r="X80" s="1">
        <v>87.013777374439684</v>
      </c>
      <c r="Y80" s="1">
        <v>100.0759</v>
      </c>
      <c r="Z80" s="1">
        <v>107.38012999999999</v>
      </c>
      <c r="AA80" s="1">
        <v>2220</v>
      </c>
      <c r="AB80">
        <v>109.7</v>
      </c>
      <c r="AC80" s="3"/>
      <c r="AD80" s="3"/>
      <c r="AE80" s="3"/>
    </row>
    <row r="81" spans="1:32" x14ac:dyDescent="0.25">
      <c r="A81" s="4">
        <v>38565</v>
      </c>
      <c r="B81" s="1">
        <v>59.931800000000003</v>
      </c>
      <c r="C81" s="1">
        <v>61.508299999999998</v>
      </c>
      <c r="E81" s="1">
        <v>57.161299999999997</v>
      </c>
      <c r="F81" s="1">
        <v>52.304299999999998</v>
      </c>
      <c r="H81" s="1">
        <v>60.354399999999998</v>
      </c>
      <c r="I81" s="1">
        <v>73.591244341044998</v>
      </c>
      <c r="J81" s="1">
        <v>86.443055430462579</v>
      </c>
      <c r="K81" s="1">
        <v>703.85443859999998</v>
      </c>
      <c r="L81" s="1">
        <v>657.14317960000005</v>
      </c>
      <c r="M81" s="1">
        <v>6.2654553876971848</v>
      </c>
      <c r="N81" s="1">
        <v>111.86358416516742</v>
      </c>
      <c r="O81" s="1">
        <v>3.8037201624506922</v>
      </c>
      <c r="P81" s="1">
        <v>3.4841876308523658</v>
      </c>
      <c r="Q81" s="1">
        <v>87.705323041104251</v>
      </c>
      <c r="R81" s="1">
        <v>90.694141121174169</v>
      </c>
      <c r="S81" s="1">
        <v>74.793209075613476</v>
      </c>
      <c r="T81" s="1">
        <v>83.37168385703626</v>
      </c>
      <c r="U81" s="1">
        <v>70.190567343244481</v>
      </c>
      <c r="V81" s="1">
        <v>152.93287248888237</v>
      </c>
      <c r="W81" s="1">
        <v>136.69771535222426</v>
      </c>
      <c r="X81" s="1">
        <v>88.776039674917129</v>
      </c>
      <c r="Y81" s="1">
        <v>100.13079999999999</v>
      </c>
      <c r="Z81" s="1">
        <v>106.74354</v>
      </c>
      <c r="AA81" s="1">
        <v>2207</v>
      </c>
      <c r="AB81">
        <v>109.84</v>
      </c>
      <c r="AC81" s="3"/>
      <c r="AD81" s="3"/>
      <c r="AE81" s="3"/>
    </row>
    <row r="82" spans="1:32" x14ac:dyDescent="0.25">
      <c r="A82" s="4">
        <v>38596</v>
      </c>
      <c r="B82" s="1">
        <v>56.322299999999998</v>
      </c>
      <c r="C82" s="1">
        <v>71.511099999999999</v>
      </c>
      <c r="E82" s="1">
        <v>55.145499999999998</v>
      </c>
      <c r="F82" s="1">
        <v>54.424700000000001</v>
      </c>
      <c r="H82" s="1">
        <v>54.813400000000001</v>
      </c>
      <c r="I82" s="1">
        <v>73.842146431471377</v>
      </c>
      <c r="J82" s="1">
        <v>86.59671737805202</v>
      </c>
      <c r="K82" s="1">
        <v>713.74417600000004</v>
      </c>
      <c r="L82" s="1">
        <v>665.6591244</v>
      </c>
      <c r="M82" s="1">
        <v>6.2713370136698128</v>
      </c>
      <c r="N82" s="1">
        <v>107.36531257836647</v>
      </c>
      <c r="O82" s="1">
        <v>3.7019676493506082</v>
      </c>
      <c r="P82" s="1">
        <v>3.5667734586315079</v>
      </c>
      <c r="Q82" s="1">
        <v>88.30674022276483</v>
      </c>
      <c r="R82" s="1">
        <v>90.781629823972267</v>
      </c>
      <c r="S82" s="1">
        <v>74.85688194014962</v>
      </c>
      <c r="T82" s="1">
        <v>82.816648607019943</v>
      </c>
      <c r="U82" s="1">
        <v>70.458580096579936</v>
      </c>
      <c r="V82" s="1">
        <v>162.0129129099268</v>
      </c>
      <c r="W82" s="1">
        <v>136.43304598138573</v>
      </c>
      <c r="X82" s="1">
        <v>89.843606844628184</v>
      </c>
      <c r="Y82" s="1">
        <v>100.1992</v>
      </c>
      <c r="Z82" s="1">
        <v>108.88548</v>
      </c>
      <c r="AA82" s="1">
        <v>2804</v>
      </c>
      <c r="AB82">
        <v>106.5</v>
      </c>
      <c r="AC82" s="3">
        <v>100.04</v>
      </c>
      <c r="AD82" s="3">
        <v>100.68</v>
      </c>
      <c r="AE82" s="3">
        <v>90.867060416371402</v>
      </c>
      <c r="AF82" s="1">
        <v>4.9087075730755876</v>
      </c>
    </row>
    <row r="83" spans="1:32" x14ac:dyDescent="0.25">
      <c r="A83" s="4">
        <v>38626</v>
      </c>
      <c r="B83" s="1">
        <v>57.105800000000002</v>
      </c>
      <c r="C83" s="1">
        <v>69.954899999999995</v>
      </c>
      <c r="E83" s="1">
        <v>54.780999999999999</v>
      </c>
      <c r="F83" s="1">
        <v>54.658799999999999</v>
      </c>
      <c r="H83" s="1">
        <v>57.512099999999997</v>
      </c>
      <c r="I83" s="1">
        <v>74.154835327615856</v>
      </c>
      <c r="J83" s="1">
        <v>87.266221492342694</v>
      </c>
      <c r="K83" s="1">
        <v>711.23490489999995</v>
      </c>
      <c r="L83" s="1">
        <v>662.95560609999995</v>
      </c>
      <c r="M83" s="1">
        <v>6.2737378584955517</v>
      </c>
      <c r="N83" s="1">
        <v>107.02015158047493</v>
      </c>
      <c r="O83" s="1">
        <v>3.9037712370158841</v>
      </c>
      <c r="P83" s="1">
        <v>3.5778050749438428</v>
      </c>
      <c r="Q83" s="1">
        <v>88.504863345730811</v>
      </c>
      <c r="R83" s="1">
        <v>90.963618997311883</v>
      </c>
      <c r="S83" s="1">
        <v>74.897543987961228</v>
      </c>
      <c r="T83" s="1">
        <v>83.315716448907281</v>
      </c>
      <c r="U83" s="1">
        <v>70.976688126209424</v>
      </c>
      <c r="V83" s="1">
        <v>160.17587228321588</v>
      </c>
      <c r="W83" s="1">
        <v>130.47785633519194</v>
      </c>
      <c r="X83" s="1">
        <v>90.459230505733771</v>
      </c>
      <c r="Y83" s="1">
        <v>100.2865</v>
      </c>
      <c r="Z83" s="1">
        <v>112.3278</v>
      </c>
      <c r="AA83" s="1">
        <v>3161</v>
      </c>
      <c r="AB83">
        <v>107.37</v>
      </c>
      <c r="AC83" s="3"/>
      <c r="AD83" s="3"/>
      <c r="AE83" s="3"/>
    </row>
    <row r="84" spans="1:32" x14ac:dyDescent="0.25">
      <c r="A84" s="4">
        <v>38657</v>
      </c>
      <c r="B84" s="1">
        <v>58.045200000000001</v>
      </c>
      <c r="C84" s="1">
        <v>65.015699999999995</v>
      </c>
      <c r="E84" s="1">
        <v>55.958300000000001</v>
      </c>
      <c r="F84" s="1">
        <v>54.628999999999998</v>
      </c>
      <c r="H84" s="1">
        <v>57.778500000000001</v>
      </c>
      <c r="I84" s="1">
        <v>74.909969519782976</v>
      </c>
      <c r="J84" s="1">
        <v>87.909640942624605</v>
      </c>
      <c r="K84" s="1">
        <v>718.60430050000002</v>
      </c>
      <c r="L84" s="1">
        <v>667.81576459999997</v>
      </c>
      <c r="M84" s="1">
        <v>6.259013252962089</v>
      </c>
      <c r="N84" s="1">
        <v>110.02227968289188</v>
      </c>
      <c r="O84" s="1">
        <v>4.0002113609417815</v>
      </c>
      <c r="P84" s="1">
        <v>3.6591501829791517</v>
      </c>
      <c r="Q84" s="1">
        <v>88.425864045406044</v>
      </c>
      <c r="R84" s="1">
        <v>91.061692483285725</v>
      </c>
      <c r="S84" s="1">
        <v>74.233922603395882</v>
      </c>
      <c r="T84" s="1">
        <v>85.990768306950827</v>
      </c>
      <c r="U84" s="1">
        <v>71.252225332694465</v>
      </c>
      <c r="V84" s="1">
        <v>145.21824396232358</v>
      </c>
      <c r="W84" s="1">
        <v>125.08668892782016</v>
      </c>
      <c r="X84" s="1">
        <v>89.173622117648932</v>
      </c>
      <c r="Y84" s="1">
        <v>100.39400000000001</v>
      </c>
      <c r="Z84" s="1">
        <v>111.90244</v>
      </c>
      <c r="AA84" s="1">
        <v>2916</v>
      </c>
      <c r="AB84">
        <v>109.05</v>
      </c>
      <c r="AC84" s="3"/>
      <c r="AD84" s="3"/>
      <c r="AE84" s="3"/>
    </row>
    <row r="85" spans="1:32" x14ac:dyDescent="0.25">
      <c r="A85" s="4">
        <v>38687</v>
      </c>
      <c r="B85" s="1">
        <v>60.001199999999997</v>
      </c>
      <c r="C85" s="1">
        <v>62.873800000000003</v>
      </c>
      <c r="E85" s="1">
        <v>55.804099999999998</v>
      </c>
      <c r="F85" s="1">
        <v>54.621000000000002</v>
      </c>
      <c r="H85" s="1">
        <v>58.873699999999999</v>
      </c>
      <c r="I85" s="1">
        <v>75.676919706683037</v>
      </c>
      <c r="J85" s="1">
        <v>88.560638917283498</v>
      </c>
      <c r="K85" s="1">
        <v>734.57263049999995</v>
      </c>
      <c r="L85" s="1">
        <v>690.27566549999995</v>
      </c>
      <c r="M85" s="1">
        <v>6.2350707999167616</v>
      </c>
      <c r="N85" s="1">
        <v>111.44191728568381</v>
      </c>
      <c r="O85" s="1">
        <v>3.9137246751713035</v>
      </c>
      <c r="P85" s="1">
        <v>3.8028791769759689</v>
      </c>
      <c r="Q85" s="1">
        <v>88.537129069087186</v>
      </c>
      <c r="R85" s="1">
        <v>91.229025387769283</v>
      </c>
      <c r="S85" s="1">
        <v>75.316233068617791</v>
      </c>
      <c r="T85" s="1">
        <v>92.202780532274176</v>
      </c>
      <c r="U85" s="1">
        <v>73.456419441106931</v>
      </c>
      <c r="V85" s="1">
        <v>154.13989467306311</v>
      </c>
      <c r="W85" s="1">
        <v>127.72170927603638</v>
      </c>
      <c r="X85" s="1">
        <v>89.320916638049383</v>
      </c>
      <c r="Y85" s="1">
        <v>100.5115</v>
      </c>
      <c r="Z85" s="1">
        <v>110.6491</v>
      </c>
      <c r="AA85" s="1">
        <v>2600</v>
      </c>
      <c r="AB85">
        <v>109.63</v>
      </c>
      <c r="AC85" s="3">
        <v>100.75</v>
      </c>
      <c r="AD85" s="3">
        <v>101.78</v>
      </c>
      <c r="AE85" s="3">
        <v>91.728272987482256</v>
      </c>
      <c r="AF85" s="1">
        <v>5.4855857624555524</v>
      </c>
    </row>
    <row r="86" spans="1:32" x14ac:dyDescent="0.25">
      <c r="A86" s="4">
        <v>38718</v>
      </c>
      <c r="B86" s="1">
        <v>57.4056</v>
      </c>
      <c r="C86" s="1">
        <v>62.772100000000002</v>
      </c>
      <c r="E86" s="1">
        <v>54.592599999999997</v>
      </c>
      <c r="F86" s="1">
        <v>54.451700000000002</v>
      </c>
      <c r="H86" s="1">
        <v>57.941000000000003</v>
      </c>
      <c r="I86" s="1">
        <v>76.458806462830381</v>
      </c>
      <c r="J86" s="1">
        <v>88.911150917044623</v>
      </c>
      <c r="K86" s="1">
        <v>752.78475660000004</v>
      </c>
      <c r="L86" s="1">
        <v>700.21284979999996</v>
      </c>
      <c r="M86" s="1">
        <v>6.067921482285179</v>
      </c>
      <c r="N86" s="1">
        <v>111.89047550621079</v>
      </c>
      <c r="O86" s="1">
        <v>3.8735461874037433</v>
      </c>
      <c r="P86" s="1">
        <v>3.9344587564119107</v>
      </c>
      <c r="Q86" s="1">
        <v>88.874401747402871</v>
      </c>
      <c r="R86" s="1">
        <v>91.359346905353704</v>
      </c>
      <c r="S86" s="1">
        <v>76.902689330523501</v>
      </c>
      <c r="T86" s="1">
        <v>99.69905222386997</v>
      </c>
      <c r="U86" s="1">
        <v>76.788472663132765</v>
      </c>
      <c r="V86" s="1">
        <v>153.62777908542816</v>
      </c>
      <c r="W86" s="1">
        <v>139.47561705858678</v>
      </c>
      <c r="X86" s="1">
        <v>92.819599151487481</v>
      </c>
      <c r="Y86" s="1">
        <v>100.6289</v>
      </c>
      <c r="Z86" s="1">
        <v>109.27397999999999</v>
      </c>
      <c r="AA86" s="1">
        <v>2262</v>
      </c>
      <c r="AB86">
        <v>110.9</v>
      </c>
      <c r="AC86" s="3"/>
      <c r="AD86" s="3"/>
      <c r="AE86" s="3"/>
    </row>
    <row r="87" spans="1:32" x14ac:dyDescent="0.25">
      <c r="A87" s="4">
        <v>38749</v>
      </c>
      <c r="B87" s="1">
        <v>58.015900000000002</v>
      </c>
      <c r="C87" s="1">
        <v>62.207599999999999</v>
      </c>
      <c r="E87" s="1">
        <v>56.288400000000003</v>
      </c>
      <c r="F87" s="1">
        <v>55.059600000000003</v>
      </c>
      <c r="H87" s="1">
        <v>60.1402</v>
      </c>
      <c r="I87" s="1">
        <v>76.671510610027511</v>
      </c>
      <c r="J87" s="1">
        <v>89.208690995281643</v>
      </c>
      <c r="K87" s="1">
        <v>752.9047908</v>
      </c>
      <c r="L87" s="1">
        <v>705.71465539999997</v>
      </c>
      <c r="M87" s="1">
        <v>6.0735115436380536</v>
      </c>
      <c r="N87" s="1">
        <v>111.06246311483716</v>
      </c>
      <c r="O87" s="1">
        <v>3.9889067625656232</v>
      </c>
      <c r="P87" s="1">
        <v>3.935058261926013</v>
      </c>
      <c r="Q87" s="1">
        <v>89.015691115604298</v>
      </c>
      <c r="R87" s="1">
        <v>91.51236680655802</v>
      </c>
      <c r="S87" s="1">
        <v>78.459174461128825</v>
      </c>
      <c r="T87" s="1">
        <v>102.61365190869364</v>
      </c>
      <c r="U87" s="1">
        <v>78.320894273339277</v>
      </c>
      <c r="V87" s="1">
        <v>147.023767648236</v>
      </c>
      <c r="W87" s="1">
        <v>134.82607990727396</v>
      </c>
      <c r="X87" s="1">
        <v>96.292815429840957</v>
      </c>
      <c r="Y87" s="1">
        <v>100.7373</v>
      </c>
      <c r="Z87" s="1">
        <v>107.65313</v>
      </c>
      <c r="AA87" s="1">
        <v>2444</v>
      </c>
      <c r="AB87">
        <v>110.82</v>
      </c>
      <c r="AC87" s="3"/>
      <c r="AD87" s="3"/>
      <c r="AE87" s="3"/>
    </row>
    <row r="88" spans="1:32" x14ac:dyDescent="0.25">
      <c r="A88" s="4">
        <v>38777</v>
      </c>
      <c r="B88" s="1">
        <v>58.010399999999997</v>
      </c>
      <c r="C88" s="1">
        <v>59.130499999999998</v>
      </c>
      <c r="E88" s="1">
        <v>55.280799999999999</v>
      </c>
      <c r="F88" s="1">
        <v>54.301299999999998</v>
      </c>
      <c r="H88" s="1">
        <v>59.124400000000001</v>
      </c>
      <c r="I88" s="1">
        <v>77.010096758418939</v>
      </c>
      <c r="J88" s="1">
        <v>89.85112490870425</v>
      </c>
      <c r="K88" s="1">
        <v>763.10296819999996</v>
      </c>
      <c r="L88" s="1">
        <v>723.09665389999998</v>
      </c>
      <c r="M88" s="1">
        <v>6.0356517380475516</v>
      </c>
      <c r="N88" s="1">
        <v>112.20660356081933</v>
      </c>
      <c r="O88" s="1">
        <v>4.1297824920839972</v>
      </c>
      <c r="P88" s="1">
        <v>4.0660465345387848</v>
      </c>
      <c r="Q88" s="1">
        <v>89.120911735646573</v>
      </c>
      <c r="R88" s="1">
        <v>91.69482043937559</v>
      </c>
      <c r="S88" s="1">
        <v>79.298243161087655</v>
      </c>
      <c r="T88" s="1">
        <v>103.99812855756804</v>
      </c>
      <c r="U88" s="1">
        <v>78.896576854328373</v>
      </c>
      <c r="V88" s="1">
        <v>147.87370247732105</v>
      </c>
      <c r="W88" s="1">
        <v>137.27374260735115</v>
      </c>
      <c r="X88" s="1">
        <v>95.842489550761599</v>
      </c>
      <c r="Y88" s="1">
        <v>100.8302</v>
      </c>
      <c r="Z88" s="1">
        <v>107.52023</v>
      </c>
      <c r="AA88" s="1">
        <v>2599</v>
      </c>
      <c r="AB88">
        <v>110.77</v>
      </c>
      <c r="AC88" s="3">
        <v>101.29</v>
      </c>
      <c r="AD88" s="3">
        <v>102.89</v>
      </c>
      <c r="AE88" s="3">
        <v>92.812355404568166</v>
      </c>
      <c r="AF88" s="1">
        <v>6.3695800008746097</v>
      </c>
    </row>
    <row r="89" spans="1:32" x14ac:dyDescent="0.25">
      <c r="A89" s="4">
        <v>38808</v>
      </c>
      <c r="B89" s="1">
        <v>59.488500000000002</v>
      </c>
      <c r="C89" s="1">
        <v>63.931800000000003</v>
      </c>
      <c r="E89" s="1">
        <v>56.216999999999999</v>
      </c>
      <c r="F89" s="1">
        <v>55.128399999999999</v>
      </c>
      <c r="H89" s="1">
        <v>60.131700000000002</v>
      </c>
      <c r="I89" s="1">
        <v>77.714496852352042</v>
      </c>
      <c r="J89" s="1">
        <v>90.008029260392917</v>
      </c>
      <c r="K89" s="1">
        <v>768.71601889999999</v>
      </c>
      <c r="L89" s="1">
        <v>727.70695609999996</v>
      </c>
      <c r="M89" s="1">
        <v>6.0316955133937675</v>
      </c>
      <c r="N89" s="1">
        <v>112.74474059196544</v>
      </c>
      <c r="O89" s="1">
        <v>4.3676702032585109</v>
      </c>
      <c r="P89" s="1">
        <v>4.059038059032166</v>
      </c>
      <c r="Q89" s="1">
        <v>89.424696527619361</v>
      </c>
      <c r="R89" s="1">
        <v>91.832861266500018</v>
      </c>
      <c r="S89" s="1">
        <v>82.472939326589596</v>
      </c>
      <c r="T89" s="1">
        <v>119.39113510505508</v>
      </c>
      <c r="U89" s="1">
        <v>84.333396698792541</v>
      </c>
      <c r="V89" s="1">
        <v>161.63154633322785</v>
      </c>
      <c r="W89" s="1">
        <v>151.8897760656217</v>
      </c>
      <c r="X89" s="1">
        <v>96.346150719734695</v>
      </c>
      <c r="Y89" s="1">
        <v>100.8999</v>
      </c>
      <c r="Z89" s="1">
        <v>107.04452999999999</v>
      </c>
      <c r="AA89" s="1">
        <v>2465</v>
      </c>
      <c r="AB89">
        <v>110.63</v>
      </c>
      <c r="AC89" s="3"/>
      <c r="AD89" s="3"/>
      <c r="AE89" s="3"/>
    </row>
    <row r="90" spans="1:32" x14ac:dyDescent="0.25">
      <c r="A90" s="4">
        <v>38838</v>
      </c>
      <c r="B90" s="1">
        <v>58.2712</v>
      </c>
      <c r="C90" s="1">
        <v>66.437600000000003</v>
      </c>
      <c r="E90" s="1">
        <v>55.411499999999997</v>
      </c>
      <c r="F90" s="1">
        <v>54.562199999999997</v>
      </c>
      <c r="H90" s="1">
        <v>58.555999999999997</v>
      </c>
      <c r="I90" s="1">
        <v>78.301975379526397</v>
      </c>
      <c r="J90" s="1">
        <v>90.798531434570535</v>
      </c>
      <c r="K90" s="1">
        <v>806.49169119999999</v>
      </c>
      <c r="L90" s="1">
        <v>750.82983709999996</v>
      </c>
      <c r="M90" s="1">
        <v>5.9931458983308348</v>
      </c>
      <c r="N90" s="1">
        <v>111.6085315173551</v>
      </c>
      <c r="O90" s="1">
        <v>4.4480921202106769</v>
      </c>
      <c r="P90" s="1">
        <v>4.1560678249373044</v>
      </c>
      <c r="Q90" s="1">
        <v>89.68589457939234</v>
      </c>
      <c r="R90" s="1">
        <v>92.027440992571314</v>
      </c>
      <c r="S90" s="1">
        <v>88.555488777320377</v>
      </c>
      <c r="T90" s="1">
        <v>136.89720323672498</v>
      </c>
      <c r="U90" s="1">
        <v>91.867907031225926</v>
      </c>
      <c r="V90" s="1">
        <v>160.93013882180313</v>
      </c>
      <c r="W90" s="1">
        <v>149.62569884327266</v>
      </c>
      <c r="X90" s="1">
        <v>101.3203287467954</v>
      </c>
      <c r="Y90" s="1">
        <v>100.9414</v>
      </c>
      <c r="Z90" s="1">
        <v>105.44763</v>
      </c>
      <c r="AA90" s="1">
        <v>2442</v>
      </c>
      <c r="AB90">
        <v>110.54</v>
      </c>
      <c r="AC90" s="3"/>
      <c r="AD90" s="3"/>
      <c r="AE90" s="3"/>
    </row>
    <row r="91" spans="1:32" x14ac:dyDescent="0.25">
      <c r="A91" s="4">
        <v>38869</v>
      </c>
      <c r="B91" s="1">
        <v>57.614800000000002</v>
      </c>
      <c r="C91" s="1">
        <v>65.679699999999997</v>
      </c>
      <c r="E91" s="1">
        <v>54.071800000000003</v>
      </c>
      <c r="F91" s="1">
        <v>54.085799999999999</v>
      </c>
      <c r="H91" s="1">
        <v>57.770499999999998</v>
      </c>
      <c r="I91" s="1">
        <v>78.615067843185528</v>
      </c>
      <c r="J91" s="1">
        <v>91.089376364131425</v>
      </c>
      <c r="K91" s="1">
        <v>799.71658260000004</v>
      </c>
      <c r="L91" s="1">
        <v>752.93641990000003</v>
      </c>
      <c r="M91" s="1">
        <v>6.0010430918140063</v>
      </c>
      <c r="N91" s="1">
        <v>111.57039388988366</v>
      </c>
      <c r="O91" s="1">
        <v>4.487814892570305</v>
      </c>
      <c r="P91" s="1">
        <v>4.3233378340453577</v>
      </c>
      <c r="Q91" s="1">
        <v>89.880212769881041</v>
      </c>
      <c r="R91" s="1">
        <v>92.189786896623431</v>
      </c>
      <c r="S91" s="1">
        <v>86.102204488319416</v>
      </c>
      <c r="T91" s="1">
        <v>126.64113259911414</v>
      </c>
      <c r="U91" s="1">
        <v>87.45768117506465</v>
      </c>
      <c r="V91" s="1">
        <v>160.72023798890962</v>
      </c>
      <c r="W91" s="1">
        <v>149.83181989103812</v>
      </c>
      <c r="X91" s="1">
        <v>105.02575859857761</v>
      </c>
      <c r="Y91" s="1">
        <v>100.9688</v>
      </c>
      <c r="Z91" s="1">
        <v>106.75745999999999</v>
      </c>
      <c r="AA91" s="1">
        <v>2718</v>
      </c>
      <c r="AB91">
        <v>110.31</v>
      </c>
      <c r="AC91" s="3">
        <v>101.65</v>
      </c>
      <c r="AD91" s="3">
        <v>103.58</v>
      </c>
      <c r="AE91" s="3">
        <v>93.502198478327998</v>
      </c>
      <c r="AF91" s="1">
        <v>4.0775188128988065</v>
      </c>
    </row>
    <row r="92" spans="1:32" x14ac:dyDescent="0.25">
      <c r="A92" s="4">
        <v>38899</v>
      </c>
      <c r="B92" s="1">
        <v>57.651699999999998</v>
      </c>
      <c r="C92" s="1">
        <v>66.3523</v>
      </c>
      <c r="E92" s="1">
        <v>54.584299999999999</v>
      </c>
      <c r="F92" s="1">
        <v>54.371299999999998</v>
      </c>
      <c r="H92" s="1">
        <v>56.784799999999997</v>
      </c>
      <c r="I92" s="1">
        <v>78.976914533113657</v>
      </c>
      <c r="J92" s="1">
        <v>91.218367509198728</v>
      </c>
      <c r="K92" s="1">
        <v>789.38299900000004</v>
      </c>
      <c r="L92" s="1">
        <v>739.19180329999995</v>
      </c>
      <c r="M92" s="1">
        <v>5.9939441396514432</v>
      </c>
      <c r="N92" s="1">
        <v>111.89491761102755</v>
      </c>
      <c r="O92" s="1">
        <v>4.4720953590101891</v>
      </c>
      <c r="P92" s="1">
        <v>4.3577595972553702</v>
      </c>
      <c r="Q92" s="1">
        <v>90.153632771636822</v>
      </c>
      <c r="R92" s="1">
        <v>92.36775004007869</v>
      </c>
      <c r="S92" s="1">
        <v>85.22608163904151</v>
      </c>
      <c r="T92" s="1">
        <v>137.66057780502422</v>
      </c>
      <c r="U92" s="1">
        <v>89.769488352699696</v>
      </c>
      <c r="V92" s="1">
        <v>168.28208677937462</v>
      </c>
      <c r="W92" s="1">
        <v>158.94886176355777</v>
      </c>
      <c r="X92" s="1">
        <v>103.63375668394843</v>
      </c>
      <c r="Y92" s="1">
        <v>100.9987</v>
      </c>
      <c r="Z92" s="1">
        <v>106.01074</v>
      </c>
      <c r="AA92" s="1">
        <v>3050</v>
      </c>
      <c r="AB92">
        <v>110.13</v>
      </c>
      <c r="AC92" s="3"/>
      <c r="AD92" s="3"/>
      <c r="AE92" s="3"/>
    </row>
    <row r="93" spans="1:32" x14ac:dyDescent="0.25">
      <c r="A93" s="4">
        <v>38930</v>
      </c>
      <c r="B93" s="1">
        <v>55.270099999999999</v>
      </c>
      <c r="C93" s="1">
        <v>66.084999999999994</v>
      </c>
      <c r="E93" s="1">
        <v>53.977699999999999</v>
      </c>
      <c r="F93" s="1">
        <v>54.1355</v>
      </c>
      <c r="H93" s="1">
        <v>56.775500000000001</v>
      </c>
      <c r="I93" s="1">
        <v>79.45130397821211</v>
      </c>
      <c r="J93" s="1">
        <v>91.718749697630656</v>
      </c>
      <c r="K93" s="1">
        <v>819.71514209999998</v>
      </c>
      <c r="L93" s="1">
        <v>765.36442160000001</v>
      </c>
      <c r="M93" s="1">
        <v>5.966604462630233</v>
      </c>
      <c r="N93" s="1">
        <v>110.2509203151092</v>
      </c>
      <c r="O93" s="1">
        <v>4.3119474584693442</v>
      </c>
      <c r="P93" s="1">
        <v>4.4525380155408403</v>
      </c>
      <c r="Q93" s="1">
        <v>90.427739224271775</v>
      </c>
      <c r="R93" s="1">
        <v>92.488999756176611</v>
      </c>
      <c r="S93" s="1">
        <v>83.373211392985922</v>
      </c>
      <c r="T93" s="1">
        <v>142.82250972243324</v>
      </c>
      <c r="U93" s="1">
        <v>90.094914570129163</v>
      </c>
      <c r="V93" s="1">
        <v>169.43854955719667</v>
      </c>
      <c r="W93" s="1">
        <v>156.59752437457647</v>
      </c>
      <c r="X93" s="1">
        <v>102.69386219127591</v>
      </c>
      <c r="Y93" s="1">
        <v>101.0517</v>
      </c>
      <c r="Z93" s="1">
        <v>106.0645</v>
      </c>
      <c r="AA93" s="1">
        <v>3687</v>
      </c>
      <c r="AB93">
        <v>110.17</v>
      </c>
      <c r="AC93" s="3"/>
      <c r="AD93" s="3"/>
      <c r="AE93" s="3"/>
    </row>
    <row r="94" spans="1:32" x14ac:dyDescent="0.25">
      <c r="A94" s="4">
        <v>38961</v>
      </c>
      <c r="B94" s="1">
        <v>56.921999999999997</v>
      </c>
      <c r="C94" s="1">
        <v>60.033299999999997</v>
      </c>
      <c r="E94" s="1">
        <v>54.264099999999999</v>
      </c>
      <c r="F94" s="1">
        <v>54.177500000000002</v>
      </c>
      <c r="H94" s="1">
        <v>55.558100000000003</v>
      </c>
      <c r="I94" s="1">
        <v>79.505592240848415</v>
      </c>
      <c r="J94" s="1">
        <v>92.098803688598892</v>
      </c>
      <c r="K94" s="1">
        <v>811.20672969999998</v>
      </c>
      <c r="L94" s="1">
        <v>765.68336950000003</v>
      </c>
      <c r="M94" s="1">
        <v>5.9024792411814655</v>
      </c>
      <c r="N94" s="1">
        <v>111.5417762214532</v>
      </c>
      <c r="O94" s="1">
        <v>4.1816147208420977</v>
      </c>
      <c r="P94" s="1">
        <v>4.4694298003039528</v>
      </c>
      <c r="Q94" s="1">
        <v>90.35788931238406</v>
      </c>
      <c r="R94" s="1">
        <v>92.667987362505428</v>
      </c>
      <c r="S94" s="1">
        <v>83.157978798553856</v>
      </c>
      <c r="T94" s="1">
        <v>142.87717833457043</v>
      </c>
      <c r="U94" s="1">
        <v>89.150864093935155</v>
      </c>
      <c r="V94" s="1">
        <v>147.02507377222975</v>
      </c>
      <c r="W94" s="1">
        <v>136.16785234191866</v>
      </c>
      <c r="X94" s="1">
        <v>98.825603788526777</v>
      </c>
      <c r="Y94" s="1">
        <v>101.13800000000001</v>
      </c>
      <c r="Z94" s="1">
        <v>104.93539</v>
      </c>
      <c r="AA94" s="1">
        <v>4039</v>
      </c>
      <c r="AB94">
        <v>110.29</v>
      </c>
      <c r="AC94" s="3">
        <v>102.03</v>
      </c>
      <c r="AD94" s="3">
        <v>104.07</v>
      </c>
      <c r="AE94" s="3">
        <v>94.078107982611911</v>
      </c>
      <c r="AF94" s="1">
        <v>4.2905627611372958</v>
      </c>
    </row>
    <row r="95" spans="1:32" x14ac:dyDescent="0.25">
      <c r="A95" s="4">
        <v>38991</v>
      </c>
      <c r="B95" s="1">
        <v>56.424300000000002</v>
      </c>
      <c r="C95" s="1">
        <v>56.077500000000001</v>
      </c>
      <c r="E95" s="1">
        <v>54.265900000000002</v>
      </c>
      <c r="F95" s="1">
        <v>53.72</v>
      </c>
      <c r="H95" s="1">
        <v>57.181899999999999</v>
      </c>
      <c r="I95" s="1">
        <v>80.158249213952075</v>
      </c>
      <c r="J95" s="1">
        <v>92.206819113843395</v>
      </c>
      <c r="K95" s="1">
        <v>805.97879030000001</v>
      </c>
      <c r="L95" s="1">
        <v>763.95167690000005</v>
      </c>
      <c r="M95" s="1">
        <v>5.8430072868091196</v>
      </c>
      <c r="N95" s="1">
        <v>111.7362111602137</v>
      </c>
      <c r="O95" s="1">
        <v>4.2112453229948263</v>
      </c>
      <c r="P95" s="1">
        <v>4.529529800510816</v>
      </c>
      <c r="Q95" s="1">
        <v>90.274536147941333</v>
      </c>
      <c r="R95" s="1">
        <v>92.821292904879357</v>
      </c>
      <c r="S95" s="1">
        <v>83.050840538605982</v>
      </c>
      <c r="T95" s="1">
        <v>149.07831363486818</v>
      </c>
      <c r="U95" s="1">
        <v>89.857305484348345</v>
      </c>
      <c r="V95" s="1">
        <v>141.31174975202637</v>
      </c>
      <c r="W95" s="1">
        <v>127.43744329798544</v>
      </c>
      <c r="X95" s="1">
        <v>98.884914129939332</v>
      </c>
      <c r="Y95" s="1">
        <v>101.25490000000001</v>
      </c>
      <c r="Z95" s="1">
        <v>103.42766</v>
      </c>
      <c r="AA95" s="1">
        <v>4028</v>
      </c>
      <c r="AB95">
        <v>110.32</v>
      </c>
      <c r="AC95" s="3"/>
      <c r="AD95" s="3"/>
      <c r="AE95" s="3"/>
    </row>
    <row r="96" spans="1:32" x14ac:dyDescent="0.25">
      <c r="A96" s="4">
        <v>39022</v>
      </c>
      <c r="B96" s="1">
        <v>56.936700000000002</v>
      </c>
      <c r="C96" s="1">
        <v>56.641199999999998</v>
      </c>
      <c r="E96" s="1">
        <v>54.183399999999999</v>
      </c>
      <c r="F96" s="1">
        <v>53.106400000000001</v>
      </c>
      <c r="H96" s="1">
        <v>58.709200000000003</v>
      </c>
      <c r="I96" s="1">
        <v>80.431407861835496</v>
      </c>
      <c r="J96" s="1">
        <v>93.34157121071847</v>
      </c>
      <c r="K96" s="1">
        <v>824.10439329999997</v>
      </c>
      <c r="L96" s="1">
        <v>791.26731140000004</v>
      </c>
      <c r="M96" s="1">
        <v>5.8288013162954107</v>
      </c>
      <c r="N96" s="1">
        <v>111.82058891034572</v>
      </c>
      <c r="O96" s="1">
        <v>4.1066205477959734</v>
      </c>
      <c r="P96" s="1">
        <v>4.5405819834568657</v>
      </c>
      <c r="Q96" s="1">
        <v>90.428232568972504</v>
      </c>
      <c r="R96" s="1">
        <v>92.923217909495833</v>
      </c>
      <c r="S96" s="1">
        <v>84.991814451583735</v>
      </c>
      <c r="T96" s="1">
        <v>148.02296125685803</v>
      </c>
      <c r="U96" s="1">
        <v>91.456196544865804</v>
      </c>
      <c r="V96" s="1">
        <v>145.41041427397141</v>
      </c>
      <c r="W96" s="1">
        <v>126.57533441120059</v>
      </c>
      <c r="X96" s="1">
        <v>96.442394729063238</v>
      </c>
      <c r="Y96" s="1">
        <v>101.3907</v>
      </c>
      <c r="Z96" s="1">
        <v>104.30792</v>
      </c>
      <c r="AA96" s="1">
        <v>4190</v>
      </c>
      <c r="AB96">
        <v>110.62</v>
      </c>
      <c r="AC96" s="3"/>
      <c r="AD96" s="3"/>
      <c r="AE96" s="3"/>
    </row>
    <row r="97" spans="1:32" x14ac:dyDescent="0.25">
      <c r="A97" s="4">
        <v>39052</v>
      </c>
      <c r="B97" s="1">
        <v>55.922499999999999</v>
      </c>
      <c r="C97" s="1">
        <v>57.670400000000001</v>
      </c>
      <c r="E97" s="1">
        <v>54.383099999999999</v>
      </c>
      <c r="F97" s="1">
        <v>53.331099999999999</v>
      </c>
      <c r="H97" s="1">
        <v>56.877299999999998</v>
      </c>
      <c r="I97" s="1">
        <v>81.087195862640158</v>
      </c>
      <c r="J97" s="1">
        <v>94.078401080325634</v>
      </c>
      <c r="K97" s="1">
        <v>844.62100940000005</v>
      </c>
      <c r="L97" s="1">
        <v>806.94198270000004</v>
      </c>
      <c r="M97" s="1">
        <v>5.7839731597104853</v>
      </c>
      <c r="N97" s="1">
        <v>112.94111771480949</v>
      </c>
      <c r="O97" s="1">
        <v>4.1155622939789325</v>
      </c>
      <c r="P97" s="1">
        <v>4.6088456584156869</v>
      </c>
      <c r="Q97" s="1">
        <v>90.776431987546928</v>
      </c>
      <c r="R97" s="1">
        <v>93.07178031872246</v>
      </c>
      <c r="S97" s="1">
        <v>85.123093560612006</v>
      </c>
      <c r="T97" s="1">
        <v>151.44388105203524</v>
      </c>
      <c r="U97" s="1">
        <v>92.746695429698974</v>
      </c>
      <c r="V97" s="1">
        <v>148.67678199130953</v>
      </c>
      <c r="W97" s="1">
        <v>131.14691010576163</v>
      </c>
      <c r="X97" s="1">
        <v>100.08070635496365</v>
      </c>
      <c r="Y97" s="1">
        <v>101.5264</v>
      </c>
      <c r="Z97" s="1">
        <v>103.78166</v>
      </c>
      <c r="AA97" s="1">
        <v>4336</v>
      </c>
      <c r="AB97">
        <v>111.76</v>
      </c>
      <c r="AC97" s="3">
        <v>102.96</v>
      </c>
      <c r="AD97" s="3">
        <v>105.35</v>
      </c>
      <c r="AE97" s="3">
        <v>95.212197025291744</v>
      </c>
      <c r="AF97" s="1">
        <v>6.3387809214985431</v>
      </c>
    </row>
    <row r="98" spans="1:32" x14ac:dyDescent="0.25">
      <c r="A98" s="4">
        <v>39083</v>
      </c>
      <c r="B98" s="1">
        <v>56.166400000000003</v>
      </c>
      <c r="C98" s="1">
        <v>57.180500000000002</v>
      </c>
      <c r="E98" s="1">
        <v>55.315800000000003</v>
      </c>
      <c r="F98" s="1">
        <v>52.659500000000001</v>
      </c>
      <c r="H98" s="1">
        <v>58.1188</v>
      </c>
      <c r="I98" s="1">
        <v>81.351590800197513</v>
      </c>
      <c r="J98" s="1">
        <v>94.431165512282121</v>
      </c>
      <c r="K98" s="1">
        <v>834.60511110000004</v>
      </c>
      <c r="L98" s="1">
        <v>799.43713019999996</v>
      </c>
      <c r="M98" s="1">
        <v>5.7573953583175603</v>
      </c>
      <c r="N98" s="1">
        <v>112.56054660659464</v>
      </c>
      <c r="O98" s="1">
        <v>4.313033550287086</v>
      </c>
      <c r="P98" s="1">
        <v>4.7232397218033997</v>
      </c>
      <c r="Q98" s="1">
        <v>90.906002438964634</v>
      </c>
      <c r="R98" s="1">
        <v>93.239966139439218</v>
      </c>
      <c r="S98" s="1">
        <v>87.353935695085738</v>
      </c>
      <c r="T98" s="1">
        <v>148.67777809474364</v>
      </c>
      <c r="U98" s="1">
        <v>93.918991813009285</v>
      </c>
      <c r="V98" s="1">
        <v>136.11746036849371</v>
      </c>
      <c r="W98" s="1">
        <v>116.85388033694574</v>
      </c>
      <c r="X98" s="1">
        <v>103.56778629439589</v>
      </c>
      <c r="Y98" s="1">
        <v>101.6493</v>
      </c>
      <c r="Z98" s="1">
        <v>103.53487</v>
      </c>
      <c r="AA98" s="1">
        <v>4462</v>
      </c>
      <c r="AB98">
        <v>112</v>
      </c>
      <c r="AC98" s="3"/>
      <c r="AD98" s="3"/>
      <c r="AE98" s="3"/>
    </row>
    <row r="99" spans="1:32" x14ac:dyDescent="0.25">
      <c r="A99" s="4">
        <v>39114</v>
      </c>
      <c r="B99" s="1">
        <v>56.223100000000002</v>
      </c>
      <c r="C99" s="1">
        <v>56.435200000000002</v>
      </c>
      <c r="E99" s="1">
        <v>54.3904</v>
      </c>
      <c r="F99" s="1">
        <v>53.296199999999999</v>
      </c>
      <c r="H99" s="1">
        <v>56.645800000000001</v>
      </c>
      <c r="I99" s="1">
        <v>81.779763026924769</v>
      </c>
      <c r="J99" s="1">
        <v>94.942924680416837</v>
      </c>
      <c r="K99" s="1">
        <v>849.89805639999997</v>
      </c>
      <c r="L99" s="1">
        <v>809.28929089999997</v>
      </c>
      <c r="M99" s="1">
        <v>5.7384017317732763</v>
      </c>
      <c r="N99" s="1">
        <v>112.83212579622901</v>
      </c>
      <c r="O99" s="1">
        <v>4.3171366803289333</v>
      </c>
      <c r="P99" s="1">
        <v>4.7327401354013787</v>
      </c>
      <c r="Q99" s="1">
        <v>91.14108431228712</v>
      </c>
      <c r="R99" s="1">
        <v>93.407777768012465</v>
      </c>
      <c r="S99" s="1">
        <v>89.211914973843633</v>
      </c>
      <c r="T99" s="1">
        <v>154.1996192039862</v>
      </c>
      <c r="U99" s="1">
        <v>96.843154774054668</v>
      </c>
      <c r="V99" s="1">
        <v>146.09713553485093</v>
      </c>
      <c r="W99" s="1">
        <v>124.71786208048069</v>
      </c>
      <c r="X99" s="1">
        <v>106.02663515136942</v>
      </c>
      <c r="Y99" s="1">
        <v>101.7654</v>
      </c>
      <c r="Z99" s="1">
        <v>104.79298</v>
      </c>
      <c r="AA99" s="1">
        <v>4398</v>
      </c>
      <c r="AB99">
        <v>112.16</v>
      </c>
      <c r="AC99" s="3"/>
      <c r="AD99" s="3"/>
      <c r="AE99" s="3"/>
    </row>
    <row r="100" spans="1:32" x14ac:dyDescent="0.25">
      <c r="A100" s="4">
        <v>39142</v>
      </c>
      <c r="B100" s="1">
        <v>54.829900000000002</v>
      </c>
      <c r="C100" s="1">
        <v>59.6736</v>
      </c>
      <c r="E100" s="1">
        <v>53.894100000000002</v>
      </c>
      <c r="F100" s="1">
        <v>52.426400000000001</v>
      </c>
      <c r="H100" s="1">
        <v>54.803400000000003</v>
      </c>
      <c r="I100" s="1">
        <v>82.97514388415614</v>
      </c>
      <c r="J100" s="1">
        <v>95.583600126647056</v>
      </c>
      <c r="K100" s="1">
        <v>861.25306130000001</v>
      </c>
      <c r="L100" s="1">
        <v>820.85771620000003</v>
      </c>
      <c r="M100" s="1">
        <v>5.6969559681522002</v>
      </c>
      <c r="N100" s="1">
        <v>112.19285818223256</v>
      </c>
      <c r="O100" s="1">
        <v>4.2065978164816054</v>
      </c>
      <c r="P100" s="1">
        <v>4.8125836037704204</v>
      </c>
      <c r="Q100" s="1">
        <v>91.427997676640445</v>
      </c>
      <c r="R100" s="1">
        <v>93.518434106178645</v>
      </c>
      <c r="S100" s="1">
        <v>89.10456093951241</v>
      </c>
      <c r="T100" s="1">
        <v>166.32276122034966</v>
      </c>
      <c r="U100" s="1">
        <v>99.125393660623985</v>
      </c>
      <c r="V100" s="1">
        <v>149.53734374422177</v>
      </c>
      <c r="W100" s="1">
        <v>130.38176386129419</v>
      </c>
      <c r="X100" s="1">
        <v>103.82292650801969</v>
      </c>
      <c r="Y100" s="1">
        <v>101.87430000000001</v>
      </c>
      <c r="Z100" s="1">
        <v>105.04031999999999</v>
      </c>
      <c r="AA100" s="1">
        <v>5123</v>
      </c>
      <c r="AB100">
        <v>112.98</v>
      </c>
      <c r="AC100" s="3">
        <v>103.38</v>
      </c>
      <c r="AD100" s="3">
        <v>105.66</v>
      </c>
      <c r="AE100" s="3">
        <v>96.168338032219154</v>
      </c>
      <c r="AF100" s="1">
        <v>6.4004573872714801</v>
      </c>
    </row>
    <row r="101" spans="1:32" x14ac:dyDescent="0.25">
      <c r="A101" s="4">
        <v>39173</v>
      </c>
      <c r="B101" s="1">
        <v>56.213200000000001</v>
      </c>
      <c r="C101" s="1">
        <v>60.458100000000002</v>
      </c>
      <c r="E101" s="1">
        <v>53.6096</v>
      </c>
      <c r="F101" s="1">
        <v>53.521299999999997</v>
      </c>
      <c r="H101" s="1">
        <v>56.607199999999999</v>
      </c>
      <c r="I101" s="1">
        <v>83.227349240249481</v>
      </c>
      <c r="J101" s="1">
        <v>95.722778751638316</v>
      </c>
      <c r="K101" s="1">
        <v>871.63021630000003</v>
      </c>
      <c r="L101" s="1">
        <v>833.65432980000003</v>
      </c>
      <c r="M101" s="1">
        <v>5.6351297626279608</v>
      </c>
      <c r="N101" s="1">
        <v>111.81879471856168</v>
      </c>
      <c r="O101" s="1">
        <v>4.3483827041348517</v>
      </c>
      <c r="P101" s="1">
        <v>4.8217001007200606</v>
      </c>
      <c r="Q101" s="1">
        <v>91.664000974343821</v>
      </c>
      <c r="R101" s="1">
        <v>93.726210563481871</v>
      </c>
      <c r="S101" s="1">
        <v>92.958607892776186</v>
      </c>
      <c r="T101" s="1">
        <v>183.18135595868421</v>
      </c>
      <c r="U101" s="1">
        <v>104.76473157343403</v>
      </c>
      <c r="V101" s="1">
        <v>158.15230786359257</v>
      </c>
      <c r="W101" s="1">
        <v>138.95889106689006</v>
      </c>
      <c r="X101" s="1">
        <v>105.82757954181426</v>
      </c>
      <c r="Y101" s="1">
        <v>101.9705</v>
      </c>
      <c r="Z101" s="1">
        <v>104.03577</v>
      </c>
      <c r="AA101" s="1">
        <v>5754</v>
      </c>
      <c r="AB101">
        <v>113.25</v>
      </c>
      <c r="AC101" s="3"/>
      <c r="AD101" s="3"/>
      <c r="AE101" s="3"/>
    </row>
    <row r="102" spans="1:32" x14ac:dyDescent="0.25">
      <c r="A102" s="4">
        <v>39203</v>
      </c>
      <c r="B102" s="1">
        <v>57.249499999999998</v>
      </c>
      <c r="C102" s="1">
        <v>60.989199999999997</v>
      </c>
      <c r="E102" s="1">
        <v>54.502499999999998</v>
      </c>
      <c r="F102" s="1">
        <v>53.325699999999998</v>
      </c>
      <c r="G102" s="1">
        <v>49.158999999999999</v>
      </c>
      <c r="H102" s="1">
        <v>57.7971</v>
      </c>
      <c r="I102" s="1">
        <v>83.866441923685827</v>
      </c>
      <c r="J102" s="1">
        <v>96.73386755169382</v>
      </c>
      <c r="K102" s="1">
        <v>884.08208430000002</v>
      </c>
      <c r="L102" s="1">
        <v>841.47777269999995</v>
      </c>
      <c r="M102" s="1">
        <v>5.5954676865333806</v>
      </c>
      <c r="N102" s="1">
        <v>112.36318255124844</v>
      </c>
      <c r="O102" s="1">
        <v>4.4260851802395518</v>
      </c>
      <c r="P102" s="1">
        <v>4.8440348339649502</v>
      </c>
      <c r="Q102" s="1">
        <v>91.941128549636034</v>
      </c>
      <c r="R102" s="1">
        <v>93.871019704775364</v>
      </c>
      <c r="S102" s="1">
        <v>92.171211938946698</v>
      </c>
      <c r="T102" s="1">
        <v>186.78185060478498</v>
      </c>
      <c r="U102" s="1">
        <v>104.81929248974177</v>
      </c>
      <c r="V102" s="1">
        <v>159.03435636698887</v>
      </c>
      <c r="W102" s="1">
        <v>139.33282167995824</v>
      </c>
      <c r="X102" s="1">
        <v>107.01553348262834</v>
      </c>
      <c r="Y102" s="1">
        <v>102.0428</v>
      </c>
      <c r="Z102" s="1">
        <v>104.06207000000001</v>
      </c>
      <c r="AA102" s="1">
        <v>6402</v>
      </c>
      <c r="AB102">
        <v>113.72</v>
      </c>
      <c r="AC102" s="3"/>
      <c r="AD102" s="3"/>
      <c r="AE102" s="3"/>
    </row>
    <row r="103" spans="1:32" x14ac:dyDescent="0.25">
      <c r="A103" s="4">
        <v>39234</v>
      </c>
      <c r="B103" s="1">
        <v>57.804000000000002</v>
      </c>
      <c r="C103" s="1">
        <v>61.0212</v>
      </c>
      <c r="E103" s="1">
        <v>55.133800000000001</v>
      </c>
      <c r="F103" s="1">
        <v>53.707999999999998</v>
      </c>
      <c r="G103" s="1">
        <v>49.289099999999998</v>
      </c>
      <c r="H103" s="1">
        <v>59.122900000000001</v>
      </c>
      <c r="I103" s="1">
        <v>84.308288443450735</v>
      </c>
      <c r="J103" s="1">
        <v>96.930719994047195</v>
      </c>
      <c r="K103" s="1">
        <v>886.01108520000002</v>
      </c>
      <c r="L103" s="1">
        <v>845.41052590000004</v>
      </c>
      <c r="M103" s="1">
        <v>5.5903629246706918</v>
      </c>
      <c r="N103" s="1">
        <v>111.60186324240264</v>
      </c>
      <c r="O103" s="1">
        <v>4.7099405527528857</v>
      </c>
      <c r="P103" s="1">
        <v>4.9093461920631549</v>
      </c>
      <c r="Q103" s="1">
        <v>92.142045045297891</v>
      </c>
      <c r="R103" s="1">
        <v>93.996016250947307</v>
      </c>
      <c r="S103" s="1">
        <v>92.105953366413559</v>
      </c>
      <c r="T103" s="1">
        <v>174.08028732330342</v>
      </c>
      <c r="U103" s="1">
        <v>102.11608919434268</v>
      </c>
      <c r="V103" s="1">
        <v>163.88545525698464</v>
      </c>
      <c r="W103" s="1">
        <v>146.30075792765604</v>
      </c>
      <c r="X103" s="1">
        <v>103.69822436084831</v>
      </c>
      <c r="Y103" s="1">
        <v>102.07859999999999</v>
      </c>
      <c r="Z103" s="1">
        <v>104.29998000000001</v>
      </c>
      <c r="AA103" s="1">
        <v>5772</v>
      </c>
      <c r="AB103">
        <v>113.7</v>
      </c>
      <c r="AC103" s="3">
        <v>103.47</v>
      </c>
      <c r="AD103" s="3">
        <v>105.67</v>
      </c>
      <c r="AE103" s="3">
        <v>96.978759982596202</v>
      </c>
      <c r="AF103" s="1">
        <v>4.9467381282485352</v>
      </c>
    </row>
    <row r="104" spans="1:32" x14ac:dyDescent="0.25">
      <c r="A104" s="4">
        <v>39264</v>
      </c>
      <c r="B104" s="1">
        <v>56.453099999999999</v>
      </c>
      <c r="C104" s="1">
        <v>59.844299999999997</v>
      </c>
      <c r="E104" s="1">
        <v>54.001399999999997</v>
      </c>
      <c r="F104" s="1">
        <v>52.923699999999997</v>
      </c>
      <c r="G104" s="1">
        <v>49.281100000000002</v>
      </c>
      <c r="H104" s="1">
        <v>57.350999999999999</v>
      </c>
      <c r="I104" s="1">
        <v>84.642871239075646</v>
      </c>
      <c r="J104" s="1">
        <v>97.27527849275512</v>
      </c>
      <c r="K104" s="1">
        <v>910.30526870000006</v>
      </c>
      <c r="L104" s="1">
        <v>857.12072309999996</v>
      </c>
      <c r="M104" s="1">
        <v>5.5409122664425636</v>
      </c>
      <c r="N104" s="1">
        <v>112.82740658084182</v>
      </c>
      <c r="O104" s="1">
        <v>4.6681809530420466</v>
      </c>
      <c r="P104" s="1">
        <v>4.928890244610014</v>
      </c>
      <c r="Q104" s="1">
        <v>92.366074919849197</v>
      </c>
      <c r="R104" s="1">
        <v>94.138206799599203</v>
      </c>
      <c r="S104" s="1">
        <v>93.736342206928285</v>
      </c>
      <c r="T104" s="1">
        <v>167.72079292029107</v>
      </c>
      <c r="U104" s="1">
        <v>101.7633260990555</v>
      </c>
      <c r="V104" s="1">
        <v>170.44185299585908</v>
      </c>
      <c r="W104" s="1">
        <v>155.93793700999944</v>
      </c>
      <c r="X104" s="1">
        <v>102.02420684882102</v>
      </c>
      <c r="Y104" s="1">
        <v>102.07250000000001</v>
      </c>
      <c r="Z104" s="1">
        <v>103.34172</v>
      </c>
      <c r="AA104" s="1">
        <v>6572</v>
      </c>
      <c r="AB104">
        <v>113.58</v>
      </c>
      <c r="AC104" s="3"/>
      <c r="AD104" s="3"/>
      <c r="AE104" s="3"/>
    </row>
    <row r="105" spans="1:32" x14ac:dyDescent="0.25">
      <c r="A105" s="4">
        <v>39295</v>
      </c>
      <c r="B105" s="1">
        <v>56.924700000000001</v>
      </c>
      <c r="C105" s="1">
        <v>59.625900000000001</v>
      </c>
      <c r="E105" s="1">
        <v>52.851799999999997</v>
      </c>
      <c r="F105" s="1">
        <v>52.602499999999999</v>
      </c>
      <c r="G105" s="1">
        <v>47.933500000000002</v>
      </c>
      <c r="H105" s="1">
        <v>56.527200000000001</v>
      </c>
      <c r="I105" s="1">
        <v>85.398791207261894</v>
      </c>
      <c r="J105" s="1">
        <v>98.00677054617239</v>
      </c>
      <c r="K105" s="1">
        <v>910.77186219999999</v>
      </c>
      <c r="L105" s="1">
        <v>871.55552699999998</v>
      </c>
      <c r="M105" s="1">
        <v>5.5150366263741866</v>
      </c>
      <c r="N105" s="1">
        <v>111.33685199669723</v>
      </c>
      <c r="O105" s="1">
        <v>4.4430506570415913</v>
      </c>
      <c r="P105" s="1">
        <v>4.9603824596315089</v>
      </c>
      <c r="Q105" s="1">
        <v>92.55741668269718</v>
      </c>
      <c r="R105" s="1">
        <v>94.300588567411722</v>
      </c>
      <c r="S105" s="1">
        <v>93.351003776506232</v>
      </c>
      <c r="T105" s="1">
        <v>152.09913826163279</v>
      </c>
      <c r="U105" s="1">
        <v>98.105129092311799</v>
      </c>
      <c r="V105" s="1">
        <v>165.40121925094897</v>
      </c>
      <c r="W105" s="1">
        <v>148.69908577341394</v>
      </c>
      <c r="X105" s="1">
        <v>97.650054098002215</v>
      </c>
      <c r="Y105" s="1">
        <v>102.027</v>
      </c>
      <c r="Z105" s="1">
        <v>102.39179</v>
      </c>
      <c r="AA105" s="1">
        <v>7195</v>
      </c>
      <c r="AB105">
        <v>112.5</v>
      </c>
      <c r="AC105" s="3"/>
      <c r="AD105" s="3"/>
      <c r="AE105" s="3"/>
    </row>
    <row r="106" spans="1:32" x14ac:dyDescent="0.25">
      <c r="A106" s="4">
        <v>39326</v>
      </c>
      <c r="B106" s="1">
        <v>53.94</v>
      </c>
      <c r="C106" s="1">
        <v>61.6813</v>
      </c>
      <c r="E106" s="1">
        <v>54.261499999999998</v>
      </c>
      <c r="F106" s="1">
        <v>52.683</v>
      </c>
      <c r="G106" s="1">
        <v>48.400399999999998</v>
      </c>
      <c r="H106" s="1">
        <v>53.949599999999997</v>
      </c>
      <c r="I106" s="1">
        <v>86.110372402001161</v>
      </c>
      <c r="J106" s="1">
        <v>97.851370646392027</v>
      </c>
      <c r="K106" s="1">
        <v>911.97084910000001</v>
      </c>
      <c r="L106" s="1">
        <v>875.81177100000002</v>
      </c>
      <c r="M106" s="1">
        <v>5.4949125233208518</v>
      </c>
      <c r="N106" s="1">
        <v>110.0434520634039</v>
      </c>
      <c r="O106" s="1">
        <v>4.3550996770873889</v>
      </c>
      <c r="P106" s="1">
        <v>4.83155173817822</v>
      </c>
      <c r="Q106" s="1">
        <v>92.869682405768103</v>
      </c>
      <c r="R106" s="1">
        <v>94.445764779463161</v>
      </c>
      <c r="S106" s="1">
        <v>97.028506942732292</v>
      </c>
      <c r="T106" s="1">
        <v>150.84393579745043</v>
      </c>
      <c r="U106" s="1">
        <v>101.07504014598433</v>
      </c>
      <c r="V106" s="1">
        <v>176.46862695554546</v>
      </c>
      <c r="W106" s="1">
        <v>161.05703484339395</v>
      </c>
      <c r="X106" s="1">
        <v>103.79787513809367</v>
      </c>
      <c r="Y106" s="1">
        <v>101.95</v>
      </c>
      <c r="Z106" s="1">
        <v>101.10111000000001</v>
      </c>
      <c r="AA106" s="1">
        <v>8574</v>
      </c>
      <c r="AB106">
        <v>112.47</v>
      </c>
      <c r="AC106" s="3">
        <v>103.52</v>
      </c>
      <c r="AD106" s="3">
        <v>105.38</v>
      </c>
      <c r="AE106" s="3">
        <v>97.629162291384972</v>
      </c>
      <c r="AF106" s="1">
        <v>3.9807883948842573</v>
      </c>
    </row>
    <row r="107" spans="1:32" x14ac:dyDescent="0.25">
      <c r="A107" s="4">
        <v>39356</v>
      </c>
      <c r="B107" s="1">
        <v>55.133400000000002</v>
      </c>
      <c r="C107" s="1">
        <v>62.556800000000003</v>
      </c>
      <c r="E107" s="1">
        <v>54.343699999999998</v>
      </c>
      <c r="F107" s="1">
        <v>52.339799999999997</v>
      </c>
      <c r="G107" s="1">
        <v>48.161499999999997</v>
      </c>
      <c r="H107" s="1">
        <v>54.342300000000002</v>
      </c>
      <c r="I107" s="1">
        <v>86.818289354202676</v>
      </c>
      <c r="J107" s="1">
        <v>98.82829234806519</v>
      </c>
      <c r="K107" s="1">
        <v>960.15128649999997</v>
      </c>
      <c r="L107" s="1">
        <v>916.10116040000003</v>
      </c>
      <c r="M107" s="1">
        <v>5.4536573894511289</v>
      </c>
      <c r="N107" s="1">
        <v>109.15971886808251</v>
      </c>
      <c r="O107" s="1">
        <v>4.2946048409412958</v>
      </c>
      <c r="P107" s="1">
        <v>4.7686174416772458</v>
      </c>
      <c r="Q107" s="1">
        <v>93.259682489373986</v>
      </c>
      <c r="R107" s="1">
        <v>94.660969819666391</v>
      </c>
      <c r="S107" s="1">
        <v>99.97795660652389</v>
      </c>
      <c r="T107" s="1">
        <v>155.76006856199734</v>
      </c>
      <c r="U107" s="1">
        <v>104.40607209498563</v>
      </c>
      <c r="V107" s="1">
        <v>190.30981856727198</v>
      </c>
      <c r="W107" s="1">
        <v>170.50967811395969</v>
      </c>
      <c r="X107" s="1">
        <v>103.91533407050261</v>
      </c>
      <c r="Y107" s="1">
        <v>101.8459</v>
      </c>
      <c r="Z107" s="1">
        <v>99.625889999999998</v>
      </c>
      <c r="AA107" s="1">
        <v>10426</v>
      </c>
      <c r="AB107">
        <v>112</v>
      </c>
      <c r="AC107" s="3"/>
      <c r="AD107" s="3"/>
      <c r="AE107" s="3"/>
    </row>
    <row r="108" spans="1:32" x14ac:dyDescent="0.25">
      <c r="A108" s="4">
        <v>39387</v>
      </c>
      <c r="B108" s="1">
        <v>53.543300000000002</v>
      </c>
      <c r="C108" s="1">
        <v>66.327399999999997</v>
      </c>
      <c r="E108" s="1">
        <v>53.5458</v>
      </c>
      <c r="F108" s="1">
        <v>52.352400000000003</v>
      </c>
      <c r="G108" s="1">
        <v>48.488999999999997</v>
      </c>
      <c r="H108" s="1">
        <v>54.428100000000001</v>
      </c>
      <c r="I108" s="1">
        <v>88.546743903524387</v>
      </c>
      <c r="J108" s="1">
        <v>99.238895287734351</v>
      </c>
      <c r="K108" s="1">
        <v>991.36471310000002</v>
      </c>
      <c r="L108" s="1">
        <v>947.30837510000003</v>
      </c>
      <c r="M108" s="1">
        <v>5.3994363630038986</v>
      </c>
      <c r="N108" s="1">
        <v>107.14388369602456</v>
      </c>
      <c r="O108" s="1">
        <v>4.1660955471047778</v>
      </c>
      <c r="P108" s="1">
        <v>4.7728611252285766</v>
      </c>
      <c r="Q108" s="1">
        <v>93.877922317813955</v>
      </c>
      <c r="R108" s="1">
        <v>94.900554471786009</v>
      </c>
      <c r="S108" s="1">
        <v>101.49487459594755</v>
      </c>
      <c r="T108" s="1">
        <v>149.16057138867961</v>
      </c>
      <c r="U108" s="1">
        <v>105.28196420204104</v>
      </c>
      <c r="V108" s="1">
        <v>209.49830155318338</v>
      </c>
      <c r="W108" s="1">
        <v>186.78790244265022</v>
      </c>
      <c r="X108" s="1">
        <v>106.93441211700718</v>
      </c>
      <c r="Y108" s="1">
        <v>101.7154</v>
      </c>
      <c r="Z108" s="1">
        <v>99.786670000000001</v>
      </c>
      <c r="AA108" s="1">
        <v>10543</v>
      </c>
      <c r="AB108">
        <v>111.49</v>
      </c>
      <c r="AC108" s="3"/>
      <c r="AD108" s="3"/>
      <c r="AE108" s="3"/>
    </row>
    <row r="109" spans="1:32" x14ac:dyDescent="0.25">
      <c r="A109" s="4">
        <v>39417</v>
      </c>
      <c r="B109" s="1">
        <v>52.851799999999997</v>
      </c>
      <c r="C109" s="1">
        <v>66.034400000000005</v>
      </c>
      <c r="E109" s="1">
        <v>53.4803</v>
      </c>
      <c r="F109" s="1">
        <v>51.967100000000002</v>
      </c>
      <c r="G109" s="1">
        <v>48.086100000000002</v>
      </c>
      <c r="H109" s="1">
        <v>53.190300000000001</v>
      </c>
      <c r="I109" s="1">
        <v>88.007943415538165</v>
      </c>
      <c r="J109" s="1">
        <v>99.625300905904524</v>
      </c>
      <c r="K109" s="1">
        <v>988.22093610000002</v>
      </c>
      <c r="L109" s="1">
        <v>932.50309660000005</v>
      </c>
      <c r="M109" s="1">
        <v>5.4044463224007027</v>
      </c>
      <c r="N109" s="1">
        <v>107.74639268376355</v>
      </c>
      <c r="O109" s="1">
        <v>4.1932783044459514</v>
      </c>
      <c r="P109" s="1">
        <v>4.6816016389527801</v>
      </c>
      <c r="Q109" s="1">
        <v>94.205392080934331</v>
      </c>
      <c r="R109" s="1">
        <v>95.133894357716358</v>
      </c>
      <c r="S109" s="1">
        <v>106.75520970372875</v>
      </c>
      <c r="T109" s="1">
        <v>139.15181692825504</v>
      </c>
      <c r="U109" s="1">
        <v>106.27685480092009</v>
      </c>
      <c r="V109" s="1">
        <v>208.06905036631323</v>
      </c>
      <c r="W109" s="1">
        <v>184.68324778412705</v>
      </c>
      <c r="X109" s="1">
        <v>106.23043932972784</v>
      </c>
      <c r="Y109" s="1">
        <v>101.5608</v>
      </c>
      <c r="Z109" s="1">
        <v>99.718879999999999</v>
      </c>
      <c r="AA109" s="1">
        <v>9854</v>
      </c>
      <c r="AB109">
        <v>110.37</v>
      </c>
      <c r="AC109" s="3">
        <v>103.62</v>
      </c>
      <c r="AD109" s="3">
        <v>104.91</v>
      </c>
      <c r="AE109" s="3">
        <v>98.612421833635423</v>
      </c>
      <c r="AF109" s="1">
        <v>6.2494665204965436</v>
      </c>
    </row>
    <row r="110" spans="1:32" x14ac:dyDescent="0.25">
      <c r="A110" s="4">
        <v>39448</v>
      </c>
      <c r="B110" s="1">
        <v>49.252400000000002</v>
      </c>
      <c r="C110" s="1">
        <v>65.899199999999993</v>
      </c>
      <c r="E110" s="1">
        <v>50.909199999999998</v>
      </c>
      <c r="F110" s="1">
        <v>52.112699999999997</v>
      </c>
      <c r="G110" s="1">
        <v>47.884999999999998</v>
      </c>
      <c r="H110" s="1">
        <v>47.07</v>
      </c>
      <c r="I110" s="1">
        <v>89.072424025317545</v>
      </c>
      <c r="J110" s="1">
        <v>100.51460888915472</v>
      </c>
      <c r="K110" s="1">
        <v>1046.3843442</v>
      </c>
      <c r="L110" s="1">
        <v>987.92578630000003</v>
      </c>
      <c r="M110" s="1">
        <v>5.4240828554269438</v>
      </c>
      <c r="N110" s="1">
        <v>106.4866758579473</v>
      </c>
      <c r="O110" s="1">
        <v>4.0033666254593818</v>
      </c>
      <c r="P110" s="1">
        <v>4.4460687399593244</v>
      </c>
      <c r="Q110" s="1">
        <v>94.547571110171418</v>
      </c>
      <c r="R110" s="1">
        <v>95.342871336329296</v>
      </c>
      <c r="S110" s="1">
        <v>109.70869497985437</v>
      </c>
      <c r="T110" s="1">
        <v>156.90459660640425</v>
      </c>
      <c r="U110" s="1">
        <v>113.2475182517414</v>
      </c>
      <c r="V110" s="1">
        <v>214.72114713596352</v>
      </c>
      <c r="W110" s="1">
        <v>185.81819348955969</v>
      </c>
      <c r="X110" s="1">
        <v>110.46637390068403</v>
      </c>
      <c r="Y110" s="1">
        <v>101.3767</v>
      </c>
      <c r="Z110" s="1">
        <v>99.202290000000005</v>
      </c>
      <c r="AA110" s="1">
        <v>7170</v>
      </c>
      <c r="AB110">
        <v>108.92</v>
      </c>
      <c r="AC110" s="3"/>
      <c r="AD110" s="3"/>
      <c r="AE110" s="3"/>
    </row>
    <row r="111" spans="1:32" x14ac:dyDescent="0.25">
      <c r="A111" s="4">
        <v>39479</v>
      </c>
      <c r="B111" s="1">
        <v>51.5092</v>
      </c>
      <c r="C111" s="1">
        <v>64.616600000000005</v>
      </c>
      <c r="E111" s="1">
        <v>51.020200000000003</v>
      </c>
      <c r="F111" s="1">
        <v>50.737900000000003</v>
      </c>
      <c r="G111" s="1">
        <v>49.334099999999999</v>
      </c>
      <c r="H111" s="1">
        <v>51.912999999999997</v>
      </c>
      <c r="I111" s="1">
        <v>89.885390640137913</v>
      </c>
      <c r="J111" s="1">
        <v>100.62998910458032</v>
      </c>
      <c r="K111" s="1">
        <v>1061.9128805</v>
      </c>
      <c r="L111" s="1">
        <v>1002.4510935</v>
      </c>
      <c r="M111" s="1">
        <v>5.4423652727381242</v>
      </c>
      <c r="N111" s="1">
        <v>103.82944051745825</v>
      </c>
      <c r="O111" s="1">
        <v>3.9004044467878671</v>
      </c>
      <c r="P111" s="1">
        <v>4.4475851164187485</v>
      </c>
      <c r="Q111" s="1">
        <v>94.949196281531073</v>
      </c>
      <c r="R111" s="1">
        <v>95.508091834097613</v>
      </c>
      <c r="S111" s="1">
        <v>114.9286178761333</v>
      </c>
      <c r="T111" s="1">
        <v>165.5143281829738</v>
      </c>
      <c r="U111" s="1">
        <v>119.46294192199649</v>
      </c>
      <c r="V111" s="1">
        <v>222.64527356096184</v>
      </c>
      <c r="W111" s="1">
        <v>190.64606384475405</v>
      </c>
      <c r="X111" s="1">
        <v>113.31529977771649</v>
      </c>
      <c r="Y111" s="1">
        <v>101.1443</v>
      </c>
      <c r="Z111" s="1">
        <v>98.910939999999997</v>
      </c>
      <c r="AA111" s="1">
        <v>6874</v>
      </c>
      <c r="AB111">
        <v>107.63</v>
      </c>
      <c r="AC111" s="3"/>
      <c r="AD111" s="3"/>
      <c r="AE111" s="3"/>
    </row>
    <row r="112" spans="1:32" x14ac:dyDescent="0.25">
      <c r="A112" s="4">
        <v>39508</v>
      </c>
      <c r="B112" s="1">
        <v>50.926699999999997</v>
      </c>
      <c r="C112" s="1">
        <v>66.756200000000007</v>
      </c>
      <c r="E112" s="1">
        <v>51.278700000000001</v>
      </c>
      <c r="F112" s="1">
        <v>50.622599999999998</v>
      </c>
      <c r="G112" s="1">
        <v>49.276400000000002</v>
      </c>
      <c r="H112" s="1">
        <v>51.481200000000001</v>
      </c>
      <c r="I112" s="1">
        <v>89.735784094106762</v>
      </c>
      <c r="J112" s="1">
        <v>100.2502505932006</v>
      </c>
      <c r="K112" s="1">
        <v>1061.2467188000001</v>
      </c>
      <c r="L112" s="1">
        <v>994.82173060000002</v>
      </c>
      <c r="M112" s="1">
        <v>5.407062974166478</v>
      </c>
      <c r="N112" s="1">
        <v>101.64437015126846</v>
      </c>
      <c r="O112" s="1">
        <v>3.8593900819319162</v>
      </c>
      <c r="P112" s="1">
        <v>4.2345649854088272</v>
      </c>
      <c r="Q112" s="1">
        <v>95.313382407226371</v>
      </c>
      <c r="R112" s="1">
        <v>95.783125782513764</v>
      </c>
      <c r="S112" s="1">
        <v>120.60703821738929</v>
      </c>
      <c r="T112" s="1">
        <v>174.41412631365205</v>
      </c>
      <c r="U112" s="1">
        <v>125.25436192862405</v>
      </c>
      <c r="V112" s="1">
        <v>238.87929169366538</v>
      </c>
      <c r="W112" s="1">
        <v>202.05187196903728</v>
      </c>
      <c r="X112" s="1">
        <v>114.99088691549456</v>
      </c>
      <c r="Y112" s="1">
        <v>100.86279999999999</v>
      </c>
      <c r="Z112" s="1">
        <v>98.274540000000002</v>
      </c>
      <c r="AA112" s="1">
        <v>8063</v>
      </c>
      <c r="AB112">
        <v>106.46</v>
      </c>
      <c r="AC112" s="3">
        <v>103.85</v>
      </c>
      <c r="AD112" s="3">
        <v>104</v>
      </c>
      <c r="AE112" s="3">
        <v>99.037435577878057</v>
      </c>
      <c r="AF112" s="1">
        <v>3.3612282616369447</v>
      </c>
    </row>
    <row r="113" spans="1:32" x14ac:dyDescent="0.25">
      <c r="A113" s="4">
        <v>39539</v>
      </c>
      <c r="B113" s="1">
        <v>50.956499999999998</v>
      </c>
      <c r="C113" s="1">
        <v>67.158699999999996</v>
      </c>
      <c r="E113" s="1">
        <v>52.230899999999998</v>
      </c>
      <c r="F113" s="1">
        <v>50.121200000000002</v>
      </c>
      <c r="G113" s="1">
        <v>48.128</v>
      </c>
      <c r="H113" s="1">
        <v>51.211399999999998</v>
      </c>
      <c r="I113" s="1">
        <v>90.581186473565026</v>
      </c>
      <c r="J113" s="1">
        <v>100.79151750447454</v>
      </c>
      <c r="K113" s="1">
        <v>1102.0676083000001</v>
      </c>
      <c r="L113" s="1">
        <v>1041.7376299</v>
      </c>
      <c r="M113" s="1">
        <v>5.3895090226069158</v>
      </c>
      <c r="N113" s="1">
        <v>100.37038162867242</v>
      </c>
      <c r="O113" s="1">
        <v>4.0214519476023307</v>
      </c>
      <c r="P113" s="1">
        <v>4.1639253986117248</v>
      </c>
      <c r="Q113" s="1">
        <v>95.617342697893704</v>
      </c>
      <c r="R113" s="1">
        <v>95.970010254914897</v>
      </c>
      <c r="S113" s="1">
        <v>120.8650919192757</v>
      </c>
      <c r="T113" s="1">
        <v>171.54232437222663</v>
      </c>
      <c r="U113" s="1">
        <v>124.46799967199853</v>
      </c>
      <c r="V113" s="1">
        <v>255.73600215522015</v>
      </c>
      <c r="W113" s="1">
        <v>215.49679724454336</v>
      </c>
      <c r="X113" s="1">
        <v>114.39744973533264</v>
      </c>
      <c r="Y113" s="1">
        <v>100.52070000000001</v>
      </c>
      <c r="Z113" s="1">
        <v>97.958690000000004</v>
      </c>
      <c r="AA113" s="1">
        <v>8287</v>
      </c>
      <c r="AB113">
        <v>106.05</v>
      </c>
      <c r="AC113" s="3"/>
      <c r="AD113" s="3"/>
      <c r="AE113" s="3"/>
    </row>
    <row r="114" spans="1:32" x14ac:dyDescent="0.25">
      <c r="A114" s="4">
        <v>39569</v>
      </c>
      <c r="B114" s="1">
        <v>51.7684</v>
      </c>
      <c r="C114" s="1">
        <v>68.769599999999997</v>
      </c>
      <c r="E114" s="1">
        <v>50.694099999999999</v>
      </c>
      <c r="F114" s="1">
        <v>49.9771</v>
      </c>
      <c r="G114" s="1">
        <v>48.384399999999999</v>
      </c>
      <c r="H114" s="1">
        <v>51.762500000000003</v>
      </c>
      <c r="I114" s="1">
        <v>91.432122297364586</v>
      </c>
      <c r="J114" s="1">
        <v>100.05732362923136</v>
      </c>
      <c r="K114" s="1">
        <v>1105.9815745999999</v>
      </c>
      <c r="L114" s="1">
        <v>1045.5445963</v>
      </c>
      <c r="M114" s="1">
        <v>5.4010767113571623</v>
      </c>
      <c r="N114" s="1">
        <v>98.951787412295317</v>
      </c>
      <c r="O114" s="1">
        <v>4.1187823450638037</v>
      </c>
      <c r="P114" s="1">
        <v>4.1826202062305349</v>
      </c>
      <c r="Q114" s="1">
        <v>96.169842038783884</v>
      </c>
      <c r="R114" s="1">
        <v>96.197380411124826</v>
      </c>
      <c r="S114" s="1">
        <v>123.03562938737225</v>
      </c>
      <c r="T114" s="1">
        <v>162.70378335905724</v>
      </c>
      <c r="U114" s="1">
        <v>125.34084151288734</v>
      </c>
      <c r="V114" s="1">
        <v>283.93702493243239</v>
      </c>
      <c r="W114" s="1">
        <v>245.10440250429815</v>
      </c>
      <c r="X114" s="1">
        <v>116.57964881105259</v>
      </c>
      <c r="Y114" s="1">
        <v>100.1039</v>
      </c>
      <c r="Z114" s="1">
        <v>100.15382</v>
      </c>
      <c r="AA114" s="1">
        <v>10844</v>
      </c>
      <c r="AB114">
        <v>105.69</v>
      </c>
      <c r="AC114" s="3"/>
      <c r="AD114" s="3"/>
      <c r="AE114" s="3"/>
    </row>
    <row r="115" spans="1:32" x14ac:dyDescent="0.25">
      <c r="A115" s="4">
        <v>39600</v>
      </c>
      <c r="B115" s="1">
        <v>49.176099999999998</v>
      </c>
      <c r="C115" s="1">
        <v>71.984800000000007</v>
      </c>
      <c r="E115" s="1">
        <v>49.213000000000001</v>
      </c>
      <c r="F115" s="1">
        <v>49.2196</v>
      </c>
      <c r="G115" s="1">
        <v>47.9955</v>
      </c>
      <c r="H115" s="1">
        <v>49.638100000000001</v>
      </c>
      <c r="I115" s="1">
        <v>91.729503658449147</v>
      </c>
      <c r="J115" s="1">
        <v>100.0425382344887</v>
      </c>
      <c r="K115" s="1">
        <v>1121.1241249</v>
      </c>
      <c r="L115" s="1">
        <v>1046.0897184</v>
      </c>
      <c r="M115" s="1">
        <v>5.4623421100153564</v>
      </c>
      <c r="N115" s="1">
        <v>96.850594281733194</v>
      </c>
      <c r="O115" s="1">
        <v>4.4882633906777851</v>
      </c>
      <c r="P115" s="1">
        <v>4.2409377008329736</v>
      </c>
      <c r="Q115" s="1">
        <v>96.852460975700765</v>
      </c>
      <c r="R115" s="1">
        <v>96.482754387179199</v>
      </c>
      <c r="S115" s="1">
        <v>125.529279936893</v>
      </c>
      <c r="T115" s="1">
        <v>157.12571848642389</v>
      </c>
      <c r="U115" s="1">
        <v>126.18662630580059</v>
      </c>
      <c r="V115" s="1">
        <v>306.17767521243525</v>
      </c>
      <c r="W115" s="1">
        <v>263.48645506436782</v>
      </c>
      <c r="X115" s="1">
        <v>118.31227892556521</v>
      </c>
      <c r="Y115" s="1">
        <v>99.599869999999996</v>
      </c>
      <c r="Z115" s="1">
        <v>101.15358000000001</v>
      </c>
      <c r="AA115" s="1">
        <v>10245</v>
      </c>
      <c r="AB115">
        <v>104.77</v>
      </c>
      <c r="AC115" s="3">
        <v>104.3</v>
      </c>
      <c r="AD115" s="3">
        <v>101.78</v>
      </c>
      <c r="AE115" s="3">
        <v>99.256226682810649</v>
      </c>
      <c r="AF115" s="1">
        <v>2.2110813979764243</v>
      </c>
    </row>
    <row r="116" spans="1:32" x14ac:dyDescent="0.25">
      <c r="A116" s="4">
        <v>39630</v>
      </c>
      <c r="B116" s="1">
        <v>48.360999999999997</v>
      </c>
      <c r="C116" s="1">
        <v>71.460099999999997</v>
      </c>
      <c r="E116" s="1">
        <v>50.067</v>
      </c>
      <c r="F116" s="1">
        <v>49.070099999999996</v>
      </c>
      <c r="G116" s="1">
        <v>48.357900000000001</v>
      </c>
      <c r="H116" s="1">
        <v>49.075800000000001</v>
      </c>
      <c r="I116" s="1">
        <v>92.040332298910315</v>
      </c>
      <c r="J116" s="1">
        <v>99.636791445473378</v>
      </c>
      <c r="K116" s="1">
        <v>1165.9126091999999</v>
      </c>
      <c r="L116" s="1">
        <v>1082.5329137000001</v>
      </c>
      <c r="M116" s="1">
        <v>5.5467074403565171</v>
      </c>
      <c r="N116" s="1">
        <v>96.404749204259517</v>
      </c>
      <c r="O116" s="1">
        <v>4.4613985185049554</v>
      </c>
      <c r="P116" s="1">
        <v>4.3519072355837309</v>
      </c>
      <c r="Q116" s="1">
        <v>97.380061787201882</v>
      </c>
      <c r="R116" s="1">
        <v>96.71992099979812</v>
      </c>
      <c r="S116" s="1">
        <v>124.86517705130804</v>
      </c>
      <c r="T116" s="1">
        <v>155.87361969045165</v>
      </c>
      <c r="U116" s="1">
        <v>127.29000385352916</v>
      </c>
      <c r="V116" s="1">
        <v>312.41315865125608</v>
      </c>
      <c r="W116" s="1">
        <v>264.6131066265113</v>
      </c>
      <c r="X116" s="1">
        <v>120.57057682295309</v>
      </c>
      <c r="Y116" s="1">
        <v>99.000140000000002</v>
      </c>
      <c r="Z116" s="1">
        <v>101.34430999999999</v>
      </c>
      <c r="AA116" s="1">
        <v>8936</v>
      </c>
      <c r="AB116">
        <v>102.81</v>
      </c>
      <c r="AC116" s="3"/>
      <c r="AD116" s="3"/>
      <c r="AE116" s="3"/>
    </row>
    <row r="117" spans="1:32" x14ac:dyDescent="0.25">
      <c r="A117" s="4">
        <v>39661</v>
      </c>
      <c r="B117" s="1">
        <v>49.003500000000003</v>
      </c>
      <c r="C117" s="1">
        <v>67.569199999999995</v>
      </c>
      <c r="E117" s="1">
        <v>49.184699999999999</v>
      </c>
      <c r="F117" s="1">
        <v>48.034599999999998</v>
      </c>
      <c r="G117" s="1">
        <v>48.485300000000002</v>
      </c>
      <c r="H117" s="1">
        <v>49.099800000000002</v>
      </c>
      <c r="I117" s="1">
        <v>92.287108089725365</v>
      </c>
      <c r="J117" s="1">
        <v>98.78763040879798</v>
      </c>
      <c r="K117" s="1">
        <v>1108.8619618</v>
      </c>
      <c r="L117" s="1">
        <v>1037.4488421000001</v>
      </c>
      <c r="M117" s="1">
        <v>5.5493575897144396</v>
      </c>
      <c r="N117" s="1">
        <v>97.935342228247706</v>
      </c>
      <c r="O117" s="1">
        <v>4.2217083026942825</v>
      </c>
      <c r="P117" s="1">
        <v>4.3733976164065789</v>
      </c>
      <c r="Q117" s="1">
        <v>97.401973811143023</v>
      </c>
      <c r="R117" s="1">
        <v>96.940850230117576</v>
      </c>
      <c r="S117" s="1">
        <v>115.19100029401386</v>
      </c>
      <c r="T117" s="1">
        <v>146.08512797890981</v>
      </c>
      <c r="U117" s="1">
        <v>118.91297381709353</v>
      </c>
      <c r="V117" s="1">
        <v>271.33921529158187</v>
      </c>
      <c r="W117" s="1">
        <v>234.58084103438637</v>
      </c>
      <c r="X117" s="1">
        <v>115.22431731999292</v>
      </c>
      <c r="Y117" s="1">
        <v>98.31541</v>
      </c>
      <c r="Z117" s="1">
        <v>101.02338</v>
      </c>
      <c r="AA117" s="1">
        <v>7403</v>
      </c>
      <c r="AB117">
        <v>100.75</v>
      </c>
      <c r="AC117" s="3"/>
      <c r="AD117" s="3"/>
      <c r="AE117" s="3"/>
    </row>
    <row r="118" spans="1:32" x14ac:dyDescent="0.25">
      <c r="A118" s="4">
        <v>39692</v>
      </c>
      <c r="B118" s="1">
        <v>47.182299999999998</v>
      </c>
      <c r="C118" s="1">
        <v>62.5839</v>
      </c>
      <c r="E118" s="1">
        <v>48.085900000000002</v>
      </c>
      <c r="F118" s="1">
        <v>45.088500000000003</v>
      </c>
      <c r="G118" s="1">
        <v>48.416499999999999</v>
      </c>
      <c r="H118" s="1">
        <v>48.2654</v>
      </c>
      <c r="I118" s="1">
        <v>92.269609117866437</v>
      </c>
      <c r="J118" s="1">
        <v>97.90212525591771</v>
      </c>
      <c r="K118" s="1">
        <v>1074.9147390999999</v>
      </c>
      <c r="L118" s="1">
        <v>1003.2447447</v>
      </c>
      <c r="M118" s="1">
        <v>5.5740388086781314</v>
      </c>
      <c r="N118" s="1">
        <v>98.721529854358707</v>
      </c>
      <c r="O118" s="1">
        <v>4.0239044795671308</v>
      </c>
      <c r="P118" s="1">
        <v>4.3870188111144852</v>
      </c>
      <c r="Q118" s="1">
        <v>97.570692574705163</v>
      </c>
      <c r="R118" s="1">
        <v>97.143826738058962</v>
      </c>
      <c r="S118" s="1">
        <v>107.25310469768418</v>
      </c>
      <c r="T118" s="1">
        <v>138.06631849609261</v>
      </c>
      <c r="U118" s="1">
        <v>112.72942369710819</v>
      </c>
      <c r="V118" s="1">
        <v>243.03659644720719</v>
      </c>
      <c r="W118" s="1">
        <v>208.16194919283157</v>
      </c>
      <c r="X118" s="1">
        <v>113.36478485150239</v>
      </c>
      <c r="Y118" s="1">
        <v>97.573809999999995</v>
      </c>
      <c r="Z118" s="1">
        <v>102.70705</v>
      </c>
      <c r="AA118" s="1">
        <v>4975</v>
      </c>
      <c r="AB118">
        <v>95.96</v>
      </c>
      <c r="AC118" s="3">
        <v>103.41</v>
      </c>
      <c r="AD118" s="3">
        <v>98.92</v>
      </c>
      <c r="AE118" s="3">
        <v>98.89328345578943</v>
      </c>
      <c r="AF118" s="1">
        <v>-0.19237649948631577</v>
      </c>
    </row>
    <row r="119" spans="1:32" x14ac:dyDescent="0.25">
      <c r="A119" s="4">
        <v>39722</v>
      </c>
      <c r="B119" s="1">
        <v>42.26</v>
      </c>
      <c r="C119" s="1">
        <v>53.385899999999999</v>
      </c>
      <c r="E119" s="1">
        <v>46.396599999999999</v>
      </c>
      <c r="F119" s="1">
        <v>41.066000000000003</v>
      </c>
      <c r="G119" s="1">
        <v>49.233800000000002</v>
      </c>
      <c r="H119" s="1">
        <v>43.691099999999999</v>
      </c>
      <c r="I119" s="1">
        <v>90.940997456908747</v>
      </c>
      <c r="J119" s="1">
        <v>96.74246134056547</v>
      </c>
      <c r="K119" s="1">
        <v>1004.8336058</v>
      </c>
      <c r="L119" s="1">
        <v>935.40749110000002</v>
      </c>
      <c r="M119" s="1">
        <v>5.7020706828716685</v>
      </c>
      <c r="N119" s="1">
        <v>93.258912738779813</v>
      </c>
      <c r="O119" s="1">
        <v>4.0961378397638475</v>
      </c>
      <c r="P119" s="1">
        <v>3.8458241732110663</v>
      </c>
      <c r="Q119" s="1">
        <v>97.408566091127426</v>
      </c>
      <c r="R119" s="1">
        <v>97.316938425800814</v>
      </c>
      <c r="S119" s="1">
        <v>94.471047891396154</v>
      </c>
      <c r="T119" s="1">
        <v>110.79832496067742</v>
      </c>
      <c r="U119" s="1">
        <v>97.478861456603624</v>
      </c>
      <c r="V119" s="1">
        <v>191.15301369629159</v>
      </c>
      <c r="W119" s="1">
        <v>155.61754652621855</v>
      </c>
      <c r="X119" s="1">
        <v>100.85777631729896</v>
      </c>
      <c r="Y119" s="1">
        <v>96.833849999999998</v>
      </c>
      <c r="Z119" s="1">
        <v>104.66525</v>
      </c>
      <c r="AA119" s="1">
        <v>1808</v>
      </c>
      <c r="AB119">
        <v>94.67</v>
      </c>
      <c r="AC119" s="3"/>
      <c r="AD119" s="3"/>
      <c r="AE119" s="3"/>
    </row>
    <row r="120" spans="1:32" x14ac:dyDescent="0.25">
      <c r="A120" s="4">
        <v>39753</v>
      </c>
      <c r="B120" s="1">
        <v>36.399000000000001</v>
      </c>
      <c r="C120" s="1">
        <v>42.786099999999998</v>
      </c>
      <c r="E120" s="1">
        <v>41.451500000000003</v>
      </c>
      <c r="F120" s="1">
        <v>36.841000000000001</v>
      </c>
      <c r="G120" s="1">
        <v>47.883499999999998</v>
      </c>
      <c r="H120" s="1">
        <v>37.786999999999999</v>
      </c>
      <c r="I120" s="1">
        <v>89.686575955225479</v>
      </c>
      <c r="J120" s="1">
        <v>93.325131925606669</v>
      </c>
      <c r="K120" s="1">
        <v>873.90324320000002</v>
      </c>
      <c r="L120" s="1">
        <v>823.74634400000002</v>
      </c>
      <c r="M120" s="1">
        <v>5.8200422181939038</v>
      </c>
      <c r="N120" s="1">
        <v>94.114389323271297</v>
      </c>
      <c r="O120" s="1">
        <v>3.9096896745558194</v>
      </c>
      <c r="P120" s="1">
        <v>3.5645603979214515</v>
      </c>
      <c r="Q120" s="1">
        <v>96.812680229517071</v>
      </c>
      <c r="R120" s="1">
        <v>97.455054358751042</v>
      </c>
      <c r="S120" s="1">
        <v>88.76909175648376</v>
      </c>
      <c r="T120" s="1">
        <v>98.339228187001169</v>
      </c>
      <c r="U120" s="1">
        <v>89.397401537289284</v>
      </c>
      <c r="V120" s="1">
        <v>152.56049696935753</v>
      </c>
      <c r="W120" s="1">
        <v>117.93122373852914</v>
      </c>
      <c r="X120" s="1">
        <v>96.698727556610976</v>
      </c>
      <c r="Y120" s="1">
        <v>96.193449999999999</v>
      </c>
      <c r="Z120" s="1">
        <v>104.33978999999999</v>
      </c>
      <c r="AA120" s="1">
        <v>819</v>
      </c>
      <c r="AB120">
        <v>90.74</v>
      </c>
      <c r="AC120" s="3"/>
      <c r="AD120" s="3"/>
      <c r="AE120" s="3"/>
    </row>
    <row r="121" spans="1:32" x14ac:dyDescent="0.25">
      <c r="A121" s="4">
        <v>39783</v>
      </c>
      <c r="B121" s="1">
        <v>36.593600000000002</v>
      </c>
      <c r="C121" s="1">
        <v>40.372599999999998</v>
      </c>
      <c r="E121" s="1">
        <v>41.6875</v>
      </c>
      <c r="F121" s="1">
        <v>33.827199999999998</v>
      </c>
      <c r="G121" s="1">
        <v>48.249000000000002</v>
      </c>
      <c r="H121" s="1">
        <v>39.718299999999999</v>
      </c>
      <c r="I121" s="1">
        <v>89.014795847052454</v>
      </c>
      <c r="J121" s="1">
        <v>90.592455668606604</v>
      </c>
      <c r="K121" s="1">
        <v>817.67886580000004</v>
      </c>
      <c r="L121" s="1">
        <v>776.36416650000001</v>
      </c>
      <c r="M121" s="1">
        <v>5.9480860458926994</v>
      </c>
      <c r="N121" s="1">
        <v>92.668099695387554</v>
      </c>
      <c r="O121" s="1">
        <v>3.2096974540588659</v>
      </c>
      <c r="P121" s="1">
        <v>2.8758781217106173</v>
      </c>
      <c r="Q121" s="1">
        <v>96.41471163949447</v>
      </c>
      <c r="R121" s="1">
        <v>97.483520463125885</v>
      </c>
      <c r="S121" s="1">
        <v>88.365351792472254</v>
      </c>
      <c r="T121" s="1">
        <v>94.042542386034057</v>
      </c>
      <c r="U121" s="1">
        <v>87.316795061202441</v>
      </c>
      <c r="V121" s="1">
        <v>124.84089862582108</v>
      </c>
      <c r="W121" s="1">
        <v>87.287266481462595</v>
      </c>
      <c r="X121" s="1">
        <v>88.601787507355539</v>
      </c>
      <c r="Y121" s="1">
        <v>95.736760000000004</v>
      </c>
      <c r="Z121" s="1">
        <v>101.40716999999999</v>
      </c>
      <c r="AA121" s="1">
        <v>743</v>
      </c>
      <c r="AB121">
        <v>87.89</v>
      </c>
      <c r="AC121" s="3">
        <v>103.44</v>
      </c>
      <c r="AD121" s="3">
        <v>98.01</v>
      </c>
      <c r="AE121" s="3">
        <v>97.06401314846255</v>
      </c>
      <c r="AF121" s="1">
        <v>-6.146926980224948</v>
      </c>
    </row>
    <row r="122" spans="1:32" x14ac:dyDescent="0.25">
      <c r="A122" s="4">
        <v>39814</v>
      </c>
      <c r="B122" s="1">
        <v>38.3157</v>
      </c>
      <c r="C122" s="1">
        <v>42.556399999999996</v>
      </c>
      <c r="E122" s="1">
        <v>41.766300000000001</v>
      </c>
      <c r="F122" s="1">
        <v>35.182000000000002</v>
      </c>
      <c r="G122" s="1">
        <v>44.977899999999998</v>
      </c>
      <c r="H122" s="1">
        <v>41.937600000000003</v>
      </c>
      <c r="I122" s="1">
        <v>89.326412263529036</v>
      </c>
      <c r="J122" s="1">
        <v>88.368069904923203</v>
      </c>
      <c r="K122" s="1">
        <v>752.14632610000001</v>
      </c>
      <c r="L122" s="1">
        <v>717.51382379999995</v>
      </c>
      <c r="M122" s="1">
        <v>6.1486976700079587</v>
      </c>
      <c r="N122" s="1">
        <v>92.412524784128962</v>
      </c>
      <c r="O122" s="1">
        <v>3.2225850393333912</v>
      </c>
      <c r="P122" s="1">
        <v>2.7477803535130954</v>
      </c>
      <c r="Q122" s="1">
        <v>96.51341684662961</v>
      </c>
      <c r="R122" s="1">
        <v>97.591095884376273</v>
      </c>
      <c r="S122" s="1">
        <v>89.71437166011296</v>
      </c>
      <c r="T122" s="1">
        <v>97.936213277689774</v>
      </c>
      <c r="U122" s="1">
        <v>90.359838678899663</v>
      </c>
      <c r="V122" s="1">
        <v>127.65047562157382</v>
      </c>
      <c r="W122" s="1">
        <v>93.863863576518497</v>
      </c>
      <c r="X122" s="1">
        <v>92.057858202729591</v>
      </c>
      <c r="Y122" s="1">
        <v>95.506349999999998</v>
      </c>
      <c r="Z122" s="1">
        <v>102.86317</v>
      </c>
      <c r="AA122" s="1">
        <v>905</v>
      </c>
      <c r="AB122">
        <v>87.57</v>
      </c>
      <c r="AC122" s="3"/>
      <c r="AD122" s="3"/>
      <c r="AE122" s="3"/>
    </row>
    <row r="123" spans="1:32" x14ac:dyDescent="0.25">
      <c r="A123" s="4">
        <v>39845</v>
      </c>
      <c r="B123" s="1">
        <v>38.380800000000001</v>
      </c>
      <c r="C123" s="1">
        <v>44.7316</v>
      </c>
      <c r="E123" s="1">
        <v>41.247599999999998</v>
      </c>
      <c r="F123" s="1">
        <v>36.677399999999999</v>
      </c>
      <c r="G123" s="1">
        <v>44.197800000000001</v>
      </c>
      <c r="H123" s="1">
        <v>39.996099999999998</v>
      </c>
      <c r="I123" s="1">
        <v>89.155803698474372</v>
      </c>
      <c r="J123" s="1">
        <v>88.078761490261826</v>
      </c>
      <c r="K123" s="1">
        <v>715.59910319999994</v>
      </c>
      <c r="L123" s="1">
        <v>696.82269710000003</v>
      </c>
      <c r="M123" s="1">
        <v>6.2734298611244226</v>
      </c>
      <c r="N123" s="1">
        <v>90.112449731988079</v>
      </c>
      <c r="O123" s="1">
        <v>3.5402479472140618</v>
      </c>
      <c r="P123" s="1">
        <v>2.6486289902184144</v>
      </c>
      <c r="Q123" s="1">
        <v>96.793816546996993</v>
      </c>
      <c r="R123" s="1">
        <v>97.808716251418844</v>
      </c>
      <c r="S123" s="1">
        <v>85.859816745894676</v>
      </c>
      <c r="T123" s="1">
        <v>96.884384579203314</v>
      </c>
      <c r="U123" s="1">
        <v>89.791902186130287</v>
      </c>
      <c r="V123" s="1">
        <v>119.32561636507788</v>
      </c>
      <c r="W123" s="1">
        <v>91.374751621476619</v>
      </c>
      <c r="X123" s="1">
        <v>89.060320410256807</v>
      </c>
      <c r="Y123" s="1">
        <v>95.529290000000003</v>
      </c>
      <c r="Z123" s="1">
        <v>104.55248</v>
      </c>
      <c r="AA123" s="1">
        <v>1816</v>
      </c>
      <c r="AB123">
        <v>86.81</v>
      </c>
      <c r="AC123" s="3"/>
      <c r="AD123" s="3"/>
      <c r="AE123" s="3"/>
    </row>
    <row r="124" spans="1:32" x14ac:dyDescent="0.25">
      <c r="A124" s="4">
        <v>39873</v>
      </c>
      <c r="B124" s="1">
        <v>38.896799999999999</v>
      </c>
      <c r="C124" s="1">
        <v>41.320300000000003</v>
      </c>
      <c r="E124" s="1">
        <v>39.962600000000002</v>
      </c>
      <c r="F124" s="1">
        <v>38.313299999999998</v>
      </c>
      <c r="G124" s="1">
        <v>44.233600000000003</v>
      </c>
      <c r="H124" s="1">
        <v>41.85</v>
      </c>
      <c r="I124" s="1">
        <v>89.115178208020566</v>
      </c>
      <c r="J124" s="1">
        <v>88.248394843914312</v>
      </c>
      <c r="K124" s="1">
        <v>715.07813350000004</v>
      </c>
      <c r="L124" s="1">
        <v>704.10164129999998</v>
      </c>
      <c r="M124" s="1">
        <v>6.3758850146832939</v>
      </c>
      <c r="N124" s="1">
        <v>90.492167194028283</v>
      </c>
      <c r="O124" s="1">
        <v>3.4833974882799561</v>
      </c>
      <c r="P124" s="1">
        <v>2.3659029343698958</v>
      </c>
      <c r="Q124" s="1">
        <v>96.798650753271659</v>
      </c>
      <c r="R124" s="1">
        <v>97.979423166520334</v>
      </c>
      <c r="S124" s="1">
        <v>87.225090716322271</v>
      </c>
      <c r="T124" s="1">
        <v>92.759414291668435</v>
      </c>
      <c r="U124" s="1">
        <v>89.04606742348399</v>
      </c>
      <c r="V124" s="1">
        <v>120.35808380008486</v>
      </c>
      <c r="W124" s="1">
        <v>102.36463391660091</v>
      </c>
      <c r="X124" s="1">
        <v>85.963628241602848</v>
      </c>
      <c r="Y124" s="1">
        <v>95.77928</v>
      </c>
      <c r="Z124" s="1">
        <v>104.07774000000001</v>
      </c>
      <c r="AA124" s="1">
        <v>1958</v>
      </c>
      <c r="AB124">
        <v>85.67</v>
      </c>
      <c r="AC124" s="3">
        <v>103.68</v>
      </c>
      <c r="AD124" s="3">
        <v>97.72</v>
      </c>
      <c r="AE124" s="3">
        <v>95.137964682273832</v>
      </c>
      <c r="AF124" s="1">
        <v>-5.6943119399120397</v>
      </c>
    </row>
    <row r="125" spans="1:32" x14ac:dyDescent="0.25">
      <c r="A125" s="4">
        <v>39904</v>
      </c>
      <c r="B125" s="1">
        <v>45.291499999999999</v>
      </c>
      <c r="C125" s="1">
        <v>42.652299999999997</v>
      </c>
      <c r="E125" s="1">
        <v>42.52</v>
      </c>
      <c r="F125" s="1">
        <v>42.629399999999997</v>
      </c>
      <c r="G125" s="1">
        <v>44.800600000000003</v>
      </c>
      <c r="H125" s="1">
        <v>44.602400000000003</v>
      </c>
      <c r="I125" s="1">
        <v>89.914436811324876</v>
      </c>
      <c r="J125" s="1">
        <v>88.875634661807098</v>
      </c>
      <c r="K125" s="1">
        <v>726.9398612</v>
      </c>
      <c r="L125" s="1">
        <v>709.96011850000002</v>
      </c>
      <c r="M125" s="1">
        <v>6.453132481832669</v>
      </c>
      <c r="N125" s="1">
        <v>93.728999873186126</v>
      </c>
      <c r="O125" s="1">
        <v>3.4104607765502695</v>
      </c>
      <c r="P125" s="1">
        <v>2.2023167761201092</v>
      </c>
      <c r="Q125" s="1">
        <v>96.910434148558238</v>
      </c>
      <c r="R125" s="1">
        <v>98.150481877266245</v>
      </c>
      <c r="S125" s="1">
        <v>93.586595342706914</v>
      </c>
      <c r="T125" s="1">
        <v>98.17178876409865</v>
      </c>
      <c r="U125" s="1">
        <v>92.281708064277737</v>
      </c>
      <c r="V125" s="1">
        <v>121.18461042624591</v>
      </c>
      <c r="W125" s="1">
        <v>109.58160923905228</v>
      </c>
      <c r="X125" s="1">
        <v>89.335810658105032</v>
      </c>
      <c r="Y125" s="1">
        <v>96.21893</v>
      </c>
      <c r="Z125" s="1">
        <v>101.96476</v>
      </c>
      <c r="AA125" s="1">
        <v>1659</v>
      </c>
      <c r="AB125">
        <v>86.96</v>
      </c>
      <c r="AC125" s="3"/>
      <c r="AD125" s="3"/>
      <c r="AE125" s="3"/>
    </row>
    <row r="126" spans="1:32" x14ac:dyDescent="0.25">
      <c r="A126" s="4">
        <v>39934</v>
      </c>
      <c r="B126" s="1">
        <v>46.722099999999998</v>
      </c>
      <c r="C126" s="1">
        <v>46.1342</v>
      </c>
      <c r="E126" s="1">
        <v>43.325800000000001</v>
      </c>
      <c r="F126" s="1">
        <v>45.512099999999997</v>
      </c>
      <c r="G126" s="1">
        <v>43.578099999999999</v>
      </c>
      <c r="H126" s="1">
        <v>44.625</v>
      </c>
      <c r="I126" s="1">
        <v>90.306326127704835</v>
      </c>
      <c r="J126" s="1">
        <v>89.607443427871004</v>
      </c>
      <c r="K126" s="1">
        <v>725.30445550000002</v>
      </c>
      <c r="L126" s="1">
        <v>714.79792020000002</v>
      </c>
      <c r="M126" s="1">
        <v>6.5268992697163206</v>
      </c>
      <c r="N126" s="1">
        <v>97.054656871025543</v>
      </c>
      <c r="O126" s="1">
        <v>3.7058645633318594</v>
      </c>
      <c r="P126" s="1">
        <v>2.0745614435619388</v>
      </c>
      <c r="Q126" s="1">
        <v>97.06226330753006</v>
      </c>
      <c r="R126" s="1">
        <v>98.280673027095503</v>
      </c>
      <c r="S126" s="1">
        <v>99.89969140625567</v>
      </c>
      <c r="T126" s="1">
        <v>104.04454172187283</v>
      </c>
      <c r="U126" s="1">
        <v>96.935899635567225</v>
      </c>
      <c r="V126" s="1">
        <v>135.29752219325022</v>
      </c>
      <c r="W126" s="1">
        <v>124.1522542776125</v>
      </c>
      <c r="X126" s="1">
        <v>93.814184112531422</v>
      </c>
      <c r="Y126" s="1">
        <v>96.780389999999997</v>
      </c>
      <c r="Z126" s="1">
        <v>100.49906</v>
      </c>
      <c r="AA126" s="1">
        <v>2540</v>
      </c>
      <c r="AB126">
        <v>88.3</v>
      </c>
      <c r="AC126" s="3"/>
      <c r="AD126" s="3"/>
      <c r="AE126" s="3"/>
    </row>
    <row r="127" spans="1:32" x14ac:dyDescent="0.25">
      <c r="A127" s="4">
        <v>39965</v>
      </c>
      <c r="B127" s="1">
        <v>48.742699999999999</v>
      </c>
      <c r="C127" s="1">
        <v>49.358699999999999</v>
      </c>
      <c r="E127" s="1">
        <v>45.315800000000003</v>
      </c>
      <c r="F127" s="1">
        <v>47.983600000000003</v>
      </c>
      <c r="G127" s="1">
        <v>43.748800000000003</v>
      </c>
      <c r="H127" s="1">
        <v>48.117699999999999</v>
      </c>
      <c r="I127" s="1">
        <v>91.188381353065481</v>
      </c>
      <c r="J127" s="1">
        <v>90.527615493510098</v>
      </c>
      <c r="K127" s="1">
        <v>773.32218769999997</v>
      </c>
      <c r="L127" s="1">
        <v>752.90613529999996</v>
      </c>
      <c r="M127" s="1">
        <v>6.5083754175971036</v>
      </c>
      <c r="N127" s="1">
        <v>96.579728678939176</v>
      </c>
      <c r="O127" s="1">
        <v>3.9653675466237712</v>
      </c>
      <c r="P127" s="1">
        <v>1.9981272855510679</v>
      </c>
      <c r="Q127" s="1">
        <v>97.455114643974355</v>
      </c>
      <c r="R127" s="1">
        <v>98.409003160810769</v>
      </c>
      <c r="S127" s="1">
        <v>98.328208454970508</v>
      </c>
      <c r="T127" s="1">
        <v>116.00359799834092</v>
      </c>
      <c r="U127" s="1">
        <v>98.699169979491998</v>
      </c>
      <c r="V127" s="1">
        <v>154.96302668065852</v>
      </c>
      <c r="W127" s="1">
        <v>145.27057564970801</v>
      </c>
      <c r="X127" s="1">
        <v>92.929579603260564</v>
      </c>
      <c r="Y127" s="1">
        <v>97.401319999999998</v>
      </c>
      <c r="Z127" s="1">
        <v>101.16515</v>
      </c>
      <c r="AA127" s="1">
        <v>3823</v>
      </c>
      <c r="AB127">
        <v>89.92</v>
      </c>
      <c r="AC127" s="3">
        <v>104.13</v>
      </c>
      <c r="AD127" s="3">
        <v>96.16</v>
      </c>
      <c r="AE127" s="3">
        <v>95.635999168680058</v>
      </c>
      <c r="AF127" s="1">
        <v>4.8912002316894219</v>
      </c>
    </row>
    <row r="128" spans="1:32" x14ac:dyDescent="0.25">
      <c r="A128" s="4">
        <v>39995</v>
      </c>
      <c r="B128" s="1">
        <v>50.341799999999999</v>
      </c>
      <c r="C128" s="1">
        <v>45.969700000000003</v>
      </c>
      <c r="E128" s="1">
        <v>46.109499999999997</v>
      </c>
      <c r="F128" s="1">
        <v>50.7117</v>
      </c>
      <c r="G128" s="1">
        <v>44.604700000000001</v>
      </c>
      <c r="H128" s="1">
        <v>47.917099999999998</v>
      </c>
      <c r="I128" s="1">
        <v>91.785230168725249</v>
      </c>
      <c r="J128" s="1">
        <v>91.479325430475939</v>
      </c>
      <c r="K128" s="1">
        <v>796.24938659999998</v>
      </c>
      <c r="L128" s="1">
        <v>777.86181139999997</v>
      </c>
      <c r="M128" s="1">
        <v>6.5601247891429191</v>
      </c>
      <c r="N128" s="1">
        <v>96.799573807758264</v>
      </c>
      <c r="O128" s="1">
        <v>3.819619107890039</v>
      </c>
      <c r="P128" s="1">
        <v>1.9455305688258302</v>
      </c>
      <c r="Q128" s="1">
        <v>97.574654573801297</v>
      </c>
      <c r="R128" s="1">
        <v>98.581344529971872</v>
      </c>
      <c r="S128" s="1">
        <v>94.61788491958059</v>
      </c>
      <c r="T128" s="1">
        <v>125.68529304582302</v>
      </c>
      <c r="U128" s="1">
        <v>98.494750254162525</v>
      </c>
      <c r="V128" s="1">
        <v>144.33509227842512</v>
      </c>
      <c r="W128" s="1">
        <v>135.31599248119548</v>
      </c>
      <c r="X128" s="1">
        <v>93.291701291422982</v>
      </c>
      <c r="Y128" s="1">
        <v>98.024680000000004</v>
      </c>
      <c r="Z128" s="1">
        <v>99.516499999999994</v>
      </c>
      <c r="AA128" s="1">
        <v>3362</v>
      </c>
      <c r="AB128">
        <v>91.11</v>
      </c>
      <c r="AC128" s="3"/>
      <c r="AD128" s="3"/>
      <c r="AE128" s="3"/>
    </row>
    <row r="129" spans="1:32" x14ac:dyDescent="0.25">
      <c r="A129" s="4">
        <v>40026</v>
      </c>
      <c r="B129" s="1">
        <v>53.273600000000002</v>
      </c>
      <c r="C129" s="1">
        <v>54.630400000000002</v>
      </c>
      <c r="E129" s="1">
        <v>48.233800000000002</v>
      </c>
      <c r="F129" s="1">
        <v>53.397500000000001</v>
      </c>
      <c r="G129" s="1">
        <v>44.242600000000003</v>
      </c>
      <c r="H129" s="1">
        <v>51.732100000000003</v>
      </c>
      <c r="I129" s="1">
        <v>92.651561678970367</v>
      </c>
      <c r="J129" s="1">
        <v>92.272531328013955</v>
      </c>
      <c r="K129" s="1">
        <v>799.05350329999999</v>
      </c>
      <c r="L129" s="1">
        <v>778.78821219999998</v>
      </c>
      <c r="M129" s="1">
        <v>6.5776058704251126</v>
      </c>
      <c r="N129" s="1">
        <v>98.49671971270277</v>
      </c>
      <c r="O129" s="1">
        <v>3.6803787119510796</v>
      </c>
      <c r="P129" s="1">
        <v>1.9169646776253055</v>
      </c>
      <c r="Q129" s="1">
        <v>97.873677696406645</v>
      </c>
      <c r="R129" s="1">
        <v>98.722123625207715</v>
      </c>
      <c r="S129" s="1">
        <v>92.99876060208986</v>
      </c>
      <c r="T129" s="1">
        <v>145.92736491721726</v>
      </c>
      <c r="U129" s="1">
        <v>101.74387105402447</v>
      </c>
      <c r="V129" s="1">
        <v>155.80807387079335</v>
      </c>
      <c r="W129" s="1">
        <v>148.97385844014568</v>
      </c>
      <c r="X129" s="1">
        <v>97.949866821426866</v>
      </c>
      <c r="Y129" s="1">
        <v>98.602810000000005</v>
      </c>
      <c r="Z129" s="1">
        <v>99.4529</v>
      </c>
      <c r="AA129" s="1">
        <v>2685</v>
      </c>
      <c r="AB129">
        <v>93.06</v>
      </c>
      <c r="AC129" s="3"/>
      <c r="AD129" s="3"/>
      <c r="AE129" s="3"/>
    </row>
    <row r="130" spans="1:32" x14ac:dyDescent="0.25">
      <c r="A130" s="4">
        <v>40057</v>
      </c>
      <c r="B130" s="1">
        <v>53.470700000000001</v>
      </c>
      <c r="C130" s="1">
        <v>50.176400000000001</v>
      </c>
      <c r="E130" s="1">
        <v>48.317900000000002</v>
      </c>
      <c r="F130" s="1">
        <v>53.782200000000003</v>
      </c>
      <c r="G130" s="1">
        <v>46.0672</v>
      </c>
      <c r="H130" s="1">
        <v>52.111400000000003</v>
      </c>
      <c r="I130" s="1">
        <v>92.573654156532186</v>
      </c>
      <c r="J130" s="1">
        <v>93.614419412506734</v>
      </c>
      <c r="K130" s="1">
        <v>849.67592390000004</v>
      </c>
      <c r="L130" s="1">
        <v>822.09531340000001</v>
      </c>
      <c r="M130" s="1">
        <v>6.5677962705235267</v>
      </c>
      <c r="N130" s="1">
        <v>98.691859171768854</v>
      </c>
      <c r="O130" s="1">
        <v>3.6850247223907489</v>
      </c>
      <c r="P130" s="1">
        <v>1.8799285131533048</v>
      </c>
      <c r="Q130" s="1">
        <v>98.000124909121539</v>
      </c>
      <c r="R130" s="1">
        <v>98.862961767554864</v>
      </c>
      <c r="S130" s="1">
        <v>91.219503622425208</v>
      </c>
      <c r="T130" s="1">
        <v>134.42275253074516</v>
      </c>
      <c r="U130" s="1">
        <v>99.649712260167433</v>
      </c>
      <c r="V130" s="1">
        <v>150.02414204498416</v>
      </c>
      <c r="W130" s="1">
        <v>140.52989886932832</v>
      </c>
      <c r="X130" s="1">
        <v>98.559927344561629</v>
      </c>
      <c r="Y130" s="1">
        <v>99.111739999999998</v>
      </c>
      <c r="Z130" s="1">
        <v>97.867050000000006</v>
      </c>
      <c r="AA130" s="1">
        <v>2351</v>
      </c>
      <c r="AB130">
        <v>94.05</v>
      </c>
      <c r="AC130" s="3">
        <v>103.89</v>
      </c>
      <c r="AD130" s="3">
        <v>95.38</v>
      </c>
      <c r="AE130" s="3">
        <v>96.472249395092902</v>
      </c>
      <c r="AF130" s="1">
        <v>5.919266280403666</v>
      </c>
    </row>
    <row r="131" spans="1:32" x14ac:dyDescent="0.25">
      <c r="A131" s="4">
        <v>40087</v>
      </c>
      <c r="B131" s="1">
        <v>54.230200000000004</v>
      </c>
      <c r="C131" s="1">
        <v>51.485399999999998</v>
      </c>
      <c r="E131" s="1">
        <v>48.156999999999996</v>
      </c>
      <c r="F131" s="1">
        <v>54.533000000000001</v>
      </c>
      <c r="G131" s="1">
        <v>46.671700000000001</v>
      </c>
      <c r="H131" s="1">
        <v>52.891300000000001</v>
      </c>
      <c r="I131" s="1">
        <v>93.6127816270739</v>
      </c>
      <c r="J131" s="1">
        <v>94.277965081514424</v>
      </c>
      <c r="K131" s="1">
        <v>868.06431320000002</v>
      </c>
      <c r="L131" s="1">
        <v>853.21632069999998</v>
      </c>
      <c r="M131" s="1">
        <v>6.5603752217206983</v>
      </c>
      <c r="N131" s="1">
        <v>98.25558398536181</v>
      </c>
      <c r="O131" s="1">
        <v>3.6708552636500977</v>
      </c>
      <c r="P131" s="1">
        <v>1.8627088303131887</v>
      </c>
      <c r="Q131" s="1">
        <v>98.183738767603572</v>
      </c>
      <c r="R131" s="1">
        <v>99.030445357293459</v>
      </c>
      <c r="S131" s="1">
        <v>93.851275665829348</v>
      </c>
      <c r="T131" s="1">
        <v>140.59150731263199</v>
      </c>
      <c r="U131" s="1">
        <v>103.01136481441694</v>
      </c>
      <c r="V131" s="1">
        <v>163.31357953472795</v>
      </c>
      <c r="W131" s="1">
        <v>151.23211046039626</v>
      </c>
      <c r="X131" s="1">
        <v>101.63983702230477</v>
      </c>
      <c r="Y131" s="1">
        <v>99.539550000000006</v>
      </c>
      <c r="Z131" s="1">
        <v>97.30189</v>
      </c>
      <c r="AA131" s="1">
        <v>2746</v>
      </c>
      <c r="AB131">
        <v>94.89</v>
      </c>
      <c r="AC131" s="3"/>
      <c r="AD131" s="3"/>
      <c r="AE131" s="3"/>
    </row>
    <row r="132" spans="1:32" x14ac:dyDescent="0.25">
      <c r="A132" s="4">
        <v>40118</v>
      </c>
      <c r="B132" s="1">
        <v>54.357700000000001</v>
      </c>
      <c r="C132" s="1">
        <v>51.339700000000001</v>
      </c>
      <c r="E132" s="1">
        <v>48.539700000000003</v>
      </c>
      <c r="F132" s="1">
        <v>54.0837</v>
      </c>
      <c r="G132" s="1">
        <v>46.898499999999999</v>
      </c>
      <c r="H132" s="1">
        <v>52.893999999999998</v>
      </c>
      <c r="I132" s="1">
        <v>94.070651509838825</v>
      </c>
      <c r="J132" s="1">
        <v>94.973913552600493</v>
      </c>
      <c r="K132" s="1">
        <v>885.72897360000002</v>
      </c>
      <c r="L132" s="1">
        <v>866.60640339999998</v>
      </c>
      <c r="M132" s="1">
        <v>6.5543554697006368</v>
      </c>
      <c r="N132" s="1">
        <v>98.742643532339216</v>
      </c>
      <c r="O132" s="1">
        <v>3.5864266089800907</v>
      </c>
      <c r="P132" s="1">
        <v>1.846191363996351</v>
      </c>
      <c r="Q132" s="1">
        <v>98.538695037716735</v>
      </c>
      <c r="R132" s="1">
        <v>99.167573138299304</v>
      </c>
      <c r="S132" s="1">
        <v>96.188202081552632</v>
      </c>
      <c r="T132" s="1">
        <v>148.55624966199366</v>
      </c>
      <c r="U132" s="1">
        <v>107.27778165305965</v>
      </c>
      <c r="V132" s="1">
        <v>168.93007424228193</v>
      </c>
      <c r="W132" s="1">
        <v>157.29440485919031</v>
      </c>
      <c r="X132" s="1">
        <v>106.67173371170041</v>
      </c>
      <c r="Y132" s="1">
        <v>99.8874</v>
      </c>
      <c r="Z132" s="1">
        <v>97.784440000000004</v>
      </c>
      <c r="AA132" s="1">
        <v>3941</v>
      </c>
      <c r="AB132">
        <v>95.75</v>
      </c>
      <c r="AC132" s="3"/>
      <c r="AD132" s="3"/>
      <c r="AE132" s="3"/>
    </row>
    <row r="133" spans="1:32" x14ac:dyDescent="0.25">
      <c r="A133" s="4">
        <v>40148</v>
      </c>
      <c r="B133" s="1">
        <v>55.101300000000002</v>
      </c>
      <c r="C133" s="1">
        <v>52.192599999999999</v>
      </c>
      <c r="E133" s="1">
        <v>48.6021</v>
      </c>
      <c r="F133" s="1">
        <v>54.765000000000001</v>
      </c>
      <c r="G133" s="1">
        <v>45.79</v>
      </c>
      <c r="H133" s="1">
        <v>53.963200000000001</v>
      </c>
      <c r="I133" s="1">
        <v>95.210854412181718</v>
      </c>
      <c r="J133" s="1">
        <v>95.456550017871663</v>
      </c>
      <c r="K133" s="1">
        <v>922.5837722</v>
      </c>
      <c r="L133" s="1">
        <v>895.70978700000001</v>
      </c>
      <c r="M133" s="1">
        <v>6.5441643744858444</v>
      </c>
      <c r="N133" s="1">
        <v>99.211431057879338</v>
      </c>
      <c r="O133" s="1">
        <v>3.7634498863552577</v>
      </c>
      <c r="P133" s="1">
        <v>1.8393422086852997</v>
      </c>
      <c r="Q133" s="1">
        <v>98.70934474822127</v>
      </c>
      <c r="R133" s="1">
        <v>99.304572056223307</v>
      </c>
      <c r="S133" s="1">
        <v>97.582552437651458</v>
      </c>
      <c r="T133" s="1">
        <v>156.25644627407564</v>
      </c>
      <c r="U133" s="1">
        <v>110.34074215056366</v>
      </c>
      <c r="V133" s="1">
        <v>170.81876853180927</v>
      </c>
      <c r="W133" s="1">
        <v>153.71144504793475</v>
      </c>
      <c r="X133" s="1">
        <v>111.83782322057328</v>
      </c>
      <c r="Y133" s="1">
        <v>100.15819999999999</v>
      </c>
      <c r="Z133" s="1">
        <v>98.05977</v>
      </c>
      <c r="AA133" s="1">
        <v>3572</v>
      </c>
      <c r="AB133">
        <v>96.4</v>
      </c>
      <c r="AC133" s="3">
        <v>103.97</v>
      </c>
      <c r="AD133" s="3">
        <v>95.47</v>
      </c>
      <c r="AE133" s="3">
        <v>97.539306189992956</v>
      </c>
      <c r="AF133" s="1">
        <v>5.6435745375503288</v>
      </c>
    </row>
    <row r="134" spans="1:32" x14ac:dyDescent="0.25">
      <c r="A134" s="4">
        <v>40179</v>
      </c>
      <c r="B134" s="1">
        <v>55.570500000000003</v>
      </c>
      <c r="C134" s="1">
        <v>54.787599999999998</v>
      </c>
      <c r="E134" s="1">
        <v>49.247100000000003</v>
      </c>
      <c r="F134" s="1">
        <v>55.4514</v>
      </c>
      <c r="G134" s="1">
        <v>47.31</v>
      </c>
      <c r="H134" s="1">
        <v>54.053800000000003</v>
      </c>
      <c r="I134" s="1">
        <v>95.865452008524784</v>
      </c>
      <c r="J134" s="1">
        <v>96.70500187842093</v>
      </c>
      <c r="K134" s="1">
        <v>905.88487610000004</v>
      </c>
      <c r="L134" s="1">
        <v>879.4376982</v>
      </c>
      <c r="M134" s="1">
        <v>6.472941189903608</v>
      </c>
      <c r="N134" s="1">
        <v>100.01502038452104</v>
      </c>
      <c r="O134" s="1">
        <v>3.8063811142776127</v>
      </c>
      <c r="P134" s="1">
        <v>1.9224761978228273</v>
      </c>
      <c r="Q134" s="1">
        <v>98.969485123808113</v>
      </c>
      <c r="R134" s="1">
        <v>99.447797036007529</v>
      </c>
      <c r="S134" s="1">
        <v>98.3856612475833</v>
      </c>
      <c r="T134" s="1">
        <v>171.66321695234703</v>
      </c>
      <c r="U134" s="1">
        <v>113.72089946492532</v>
      </c>
      <c r="V134" s="1">
        <v>180.07341138285148</v>
      </c>
      <c r="W134" s="1">
        <v>160.03116874019238</v>
      </c>
      <c r="X134" s="1">
        <v>114.96306581483876</v>
      </c>
      <c r="Y134" s="1">
        <v>100.357</v>
      </c>
      <c r="Z134" s="1">
        <v>99.678560000000004</v>
      </c>
      <c r="AA134" s="1">
        <v>3168</v>
      </c>
      <c r="AB134">
        <v>97.21</v>
      </c>
      <c r="AC134" s="3"/>
      <c r="AD134" s="3"/>
      <c r="AE134" s="3"/>
    </row>
    <row r="135" spans="1:32" x14ac:dyDescent="0.25">
      <c r="A135" s="4">
        <v>40210</v>
      </c>
      <c r="B135" s="1">
        <v>55.2881</v>
      </c>
      <c r="C135" s="1">
        <v>54.561</v>
      </c>
      <c r="E135" s="1">
        <v>49.5792</v>
      </c>
      <c r="F135" s="1">
        <v>54.98</v>
      </c>
      <c r="G135" s="1">
        <v>48.0807</v>
      </c>
      <c r="H135" s="1">
        <v>54.962000000000003</v>
      </c>
      <c r="I135" s="1">
        <v>97.149680552470471</v>
      </c>
      <c r="J135" s="1">
        <v>97.226076082961669</v>
      </c>
      <c r="K135" s="1">
        <v>928.84708620000004</v>
      </c>
      <c r="L135" s="1">
        <v>896.76592700000003</v>
      </c>
      <c r="M135" s="1">
        <v>6.4295583544054367</v>
      </c>
      <c r="N135" s="1">
        <v>98.266118477592954</v>
      </c>
      <c r="O135" s="1">
        <v>3.879795385281454</v>
      </c>
      <c r="P135" s="1">
        <v>1.9119343553648045</v>
      </c>
      <c r="Q135" s="1">
        <v>99.107548625733855</v>
      </c>
      <c r="R135" s="1">
        <v>99.501503719548836</v>
      </c>
      <c r="S135" s="1">
        <v>98.463704048291433</v>
      </c>
      <c r="T135" s="1">
        <v>167.30478016002482</v>
      </c>
      <c r="U135" s="1">
        <v>112.4699622068833</v>
      </c>
      <c r="V135" s="1">
        <v>173.9166108227474</v>
      </c>
      <c r="W135" s="1">
        <v>157.62757600369818</v>
      </c>
      <c r="X135" s="1">
        <v>115.2274906060351</v>
      </c>
      <c r="Y135" s="1">
        <v>100.4871</v>
      </c>
      <c r="Z135" s="1">
        <v>100.55762</v>
      </c>
      <c r="AA135" s="1">
        <v>2678</v>
      </c>
      <c r="AB135">
        <v>96.75</v>
      </c>
      <c r="AC135" s="3"/>
      <c r="AD135" s="3"/>
      <c r="AE135" s="3"/>
    </row>
    <row r="136" spans="1:32" x14ac:dyDescent="0.25">
      <c r="A136" s="4">
        <v>40238</v>
      </c>
      <c r="B136" s="1">
        <v>56.779200000000003</v>
      </c>
      <c r="C136" s="1">
        <v>55.655999999999999</v>
      </c>
      <c r="E136" s="1">
        <v>50.686700000000002</v>
      </c>
      <c r="F136" s="1">
        <v>55.968899999999998</v>
      </c>
      <c r="G136" s="1">
        <v>47.6633</v>
      </c>
      <c r="H136" s="1">
        <v>55.871899999999997</v>
      </c>
      <c r="I136" s="1">
        <v>97.974631471730106</v>
      </c>
      <c r="J136" s="1">
        <v>98.333454768391618</v>
      </c>
      <c r="K136" s="1">
        <v>962.88899330000004</v>
      </c>
      <c r="L136" s="1">
        <v>919.88691070000004</v>
      </c>
      <c r="M136" s="1">
        <v>6.4256965734561788</v>
      </c>
      <c r="N136" s="1">
        <v>99.607075844147488</v>
      </c>
      <c r="O136" s="1">
        <v>3.7599111782743657</v>
      </c>
      <c r="P136" s="1">
        <v>1.9044192868411023</v>
      </c>
      <c r="Q136" s="1">
        <v>99.286806204929889</v>
      </c>
      <c r="R136" s="1">
        <v>99.555200121491112</v>
      </c>
      <c r="S136" s="1">
        <v>101.41093884608453</v>
      </c>
      <c r="T136" s="1">
        <v>183.10133570298322</v>
      </c>
      <c r="U136" s="1">
        <v>117.49470071712285</v>
      </c>
      <c r="V136" s="1">
        <v>177.88173714192757</v>
      </c>
      <c r="W136" s="1">
        <v>168.41898124322191</v>
      </c>
      <c r="X136" s="1">
        <v>120.25894320903326</v>
      </c>
      <c r="Y136" s="1">
        <v>100.5694</v>
      </c>
      <c r="Z136" s="1">
        <v>100.34278999999999</v>
      </c>
      <c r="AA136" s="1">
        <v>3207</v>
      </c>
      <c r="AB136">
        <v>98.2</v>
      </c>
      <c r="AC136" s="3">
        <v>104.27</v>
      </c>
      <c r="AD136" s="3">
        <v>95.22</v>
      </c>
      <c r="AE136" s="3">
        <v>98.431260238040679</v>
      </c>
      <c r="AF136" s="1">
        <v>5.4595698207767551</v>
      </c>
    </row>
    <row r="137" spans="1:32" x14ac:dyDescent="0.25">
      <c r="A137" s="4">
        <v>40269</v>
      </c>
      <c r="B137" s="1">
        <v>56.810099999999998</v>
      </c>
      <c r="C137" s="1">
        <v>56.942799999999998</v>
      </c>
      <c r="E137" s="1">
        <v>51.103099999999998</v>
      </c>
      <c r="F137" s="1">
        <v>56.713999999999999</v>
      </c>
      <c r="G137" s="1">
        <v>48.009700000000002</v>
      </c>
      <c r="H137" s="1">
        <v>56.170400000000001</v>
      </c>
      <c r="I137" s="1">
        <v>98.489713877985025</v>
      </c>
      <c r="J137" s="1">
        <v>99.058938322489979</v>
      </c>
      <c r="K137" s="1">
        <v>961.81833370000004</v>
      </c>
      <c r="L137" s="1">
        <v>923.38640899999996</v>
      </c>
      <c r="M137" s="1">
        <v>6.4252119579087488</v>
      </c>
      <c r="N137" s="1">
        <v>100.65103327398741</v>
      </c>
      <c r="O137" s="1">
        <v>3.9359508227882132</v>
      </c>
      <c r="P137" s="1">
        <v>1.9343708192356535</v>
      </c>
      <c r="Q137" s="1">
        <v>99.467604349458654</v>
      </c>
      <c r="R137" s="1">
        <v>99.615463160941829</v>
      </c>
      <c r="S137" s="1">
        <v>103.83832110379352</v>
      </c>
      <c r="T137" s="1">
        <v>207.58511958420451</v>
      </c>
      <c r="U137" s="1">
        <v>124.49291154277053</v>
      </c>
      <c r="V137" s="1">
        <v>187.01648604393606</v>
      </c>
      <c r="W137" s="1">
        <v>179.92531894358999</v>
      </c>
      <c r="X137" s="1">
        <v>127.87876303383604</v>
      </c>
      <c r="Y137" s="1">
        <v>100.60169999999999</v>
      </c>
      <c r="Z137" s="1">
        <v>99.580870000000004</v>
      </c>
      <c r="AA137" s="1">
        <v>3043</v>
      </c>
      <c r="AB137">
        <v>99.14</v>
      </c>
      <c r="AC137" s="3"/>
      <c r="AD137" s="3"/>
      <c r="AE137" s="3"/>
    </row>
    <row r="138" spans="1:32" x14ac:dyDescent="0.25">
      <c r="A138" s="4">
        <v>40299</v>
      </c>
      <c r="B138" s="1">
        <v>55.321100000000001</v>
      </c>
      <c r="C138" s="1">
        <v>56.1252</v>
      </c>
      <c r="E138" s="1">
        <v>51.601900000000001</v>
      </c>
      <c r="F138" s="1">
        <v>55.5413</v>
      </c>
      <c r="G138" s="1">
        <v>48.875700000000002</v>
      </c>
      <c r="H138" s="1">
        <v>55.6098</v>
      </c>
      <c r="I138" s="1">
        <v>99.002890684384766</v>
      </c>
      <c r="J138" s="1">
        <v>99.683999872421651</v>
      </c>
      <c r="K138" s="1">
        <v>959.58434369999998</v>
      </c>
      <c r="L138" s="1">
        <v>930.51114440000003</v>
      </c>
      <c r="M138" s="1">
        <v>6.3725362858698151</v>
      </c>
      <c r="N138" s="1">
        <v>101.39154894579222</v>
      </c>
      <c r="O138" s="1">
        <v>3.5985154473314465</v>
      </c>
      <c r="P138" s="1">
        <v>1.9379986681792234</v>
      </c>
      <c r="Q138" s="1">
        <v>99.588916378628227</v>
      </c>
      <c r="R138" s="1">
        <v>99.706849976139196</v>
      </c>
      <c r="S138" s="1">
        <v>101.07959870067997</v>
      </c>
      <c r="T138" s="1">
        <v>187.03336277705984</v>
      </c>
      <c r="U138" s="1">
        <v>119.68050033653755</v>
      </c>
      <c r="V138" s="1">
        <v>172.99502369784446</v>
      </c>
      <c r="W138" s="1">
        <v>165.69220559131597</v>
      </c>
      <c r="X138" s="1">
        <v>125.81059602397542</v>
      </c>
      <c r="Y138" s="1">
        <v>100.593</v>
      </c>
      <c r="Z138" s="1">
        <v>102.36208000000001</v>
      </c>
      <c r="AA138" s="1">
        <v>3838</v>
      </c>
      <c r="AB138">
        <v>98.12</v>
      </c>
      <c r="AC138" s="3"/>
      <c r="AD138" s="3"/>
      <c r="AE138" s="3"/>
    </row>
    <row r="139" spans="1:32" x14ac:dyDescent="0.25">
      <c r="A139" s="4">
        <v>40330</v>
      </c>
      <c r="B139" s="1">
        <v>54.205300000000001</v>
      </c>
      <c r="C139" s="1">
        <v>54.150100000000002</v>
      </c>
      <c r="E139" s="1">
        <v>51.6524</v>
      </c>
      <c r="F139" s="1">
        <v>53.985300000000002</v>
      </c>
      <c r="G139" s="1">
        <v>49.508000000000003</v>
      </c>
      <c r="H139" s="1">
        <v>55.034399999999998</v>
      </c>
      <c r="I139" s="1">
        <v>99.502436477400281</v>
      </c>
      <c r="J139" s="1">
        <v>99.726850585858969</v>
      </c>
      <c r="K139" s="1">
        <v>977.11488469999995</v>
      </c>
      <c r="L139" s="1">
        <v>941.82080810000002</v>
      </c>
      <c r="M139" s="1">
        <v>6.3224860645755649</v>
      </c>
      <c r="N139" s="1">
        <v>99.957040790134229</v>
      </c>
      <c r="O139" s="1">
        <v>3.404769551417985</v>
      </c>
      <c r="P139" s="1">
        <v>1.9604053345268604</v>
      </c>
      <c r="Q139" s="1">
        <v>99.689862620956433</v>
      </c>
      <c r="R139" s="1">
        <v>99.865247595230983</v>
      </c>
      <c r="S139" s="1">
        <v>96.940105598574547</v>
      </c>
      <c r="T139" s="1">
        <v>170.55372279363118</v>
      </c>
      <c r="U139" s="1">
        <v>114.89156537494711</v>
      </c>
      <c r="V139" s="1">
        <v>172.57800465979557</v>
      </c>
      <c r="W139" s="1">
        <v>165.13913278289505</v>
      </c>
      <c r="X139" s="1">
        <v>125.20618065107769</v>
      </c>
      <c r="Y139" s="1">
        <v>100.5731</v>
      </c>
      <c r="Z139" s="1">
        <v>102.64694</v>
      </c>
      <c r="AA139" s="1">
        <v>3088</v>
      </c>
      <c r="AB139">
        <v>97.32</v>
      </c>
      <c r="AC139" s="3">
        <v>104.72</v>
      </c>
      <c r="AD139" s="3">
        <v>94.9</v>
      </c>
      <c r="AE139" s="3">
        <v>99.623217311565952</v>
      </c>
      <c r="AF139" s="1">
        <v>6.0622217890377685</v>
      </c>
    </row>
    <row r="140" spans="1:32" x14ac:dyDescent="0.25">
      <c r="A140" s="4">
        <v>40360</v>
      </c>
      <c r="B140" s="1">
        <v>54.4223</v>
      </c>
      <c r="C140" s="1">
        <v>53.885599999999997</v>
      </c>
      <c r="E140" s="1">
        <v>51.3005</v>
      </c>
      <c r="F140" s="1">
        <v>54.046199999999999</v>
      </c>
      <c r="G140" s="1">
        <v>49.026200000000003</v>
      </c>
      <c r="H140" s="1">
        <v>55.012999999999998</v>
      </c>
      <c r="I140" s="1">
        <v>100.22590653645733</v>
      </c>
      <c r="J140" s="1">
        <v>100.17700973288007</v>
      </c>
      <c r="K140" s="1">
        <v>984.99903359999996</v>
      </c>
      <c r="L140" s="1">
        <v>953.12260530000003</v>
      </c>
      <c r="M140" s="1">
        <v>6.2552339741856242</v>
      </c>
      <c r="N140" s="1">
        <v>99.469997844897478</v>
      </c>
      <c r="O140" s="1">
        <v>3.3738460398760122</v>
      </c>
      <c r="P140" s="1">
        <v>2.0003303561454269</v>
      </c>
      <c r="Q140" s="1">
        <v>99.913618368822341</v>
      </c>
      <c r="R140" s="1">
        <v>99.979959976869367</v>
      </c>
      <c r="S140" s="1">
        <v>102.49053037265953</v>
      </c>
      <c r="T140" s="1">
        <v>164.20572406389692</v>
      </c>
      <c r="U140" s="1">
        <v>115.73117805521693</v>
      </c>
      <c r="V140" s="1">
        <v>171.79219112701134</v>
      </c>
      <c r="W140" s="1">
        <v>160.71127503379088</v>
      </c>
      <c r="X140" s="1">
        <v>121.27712202207984</v>
      </c>
      <c r="Y140" s="1">
        <v>100.5749</v>
      </c>
      <c r="Z140" s="1">
        <v>101.22423000000001</v>
      </c>
      <c r="AA140" s="1">
        <v>1910</v>
      </c>
      <c r="AB140">
        <v>97.11</v>
      </c>
      <c r="AC140" s="3"/>
      <c r="AD140" s="3"/>
      <c r="AE140" s="3"/>
    </row>
    <row r="141" spans="1:32" x14ac:dyDescent="0.25">
      <c r="A141" s="4">
        <v>40391</v>
      </c>
      <c r="B141" s="1">
        <v>54.1982</v>
      </c>
      <c r="C141" s="1">
        <v>54.938800000000001</v>
      </c>
      <c r="E141" s="1">
        <v>51.648099999999999</v>
      </c>
      <c r="F141" s="1">
        <v>53.089500000000001</v>
      </c>
      <c r="G141" s="1">
        <v>48.618099999999998</v>
      </c>
      <c r="H141" s="1">
        <v>55.040900000000001</v>
      </c>
      <c r="I141" s="1">
        <v>100.91797577991922</v>
      </c>
      <c r="J141" s="1">
        <v>100.60342909904291</v>
      </c>
      <c r="K141" s="1">
        <v>1003.8547697</v>
      </c>
      <c r="L141" s="1">
        <v>963.16773250000006</v>
      </c>
      <c r="M141" s="1">
        <v>6.2481161246875754</v>
      </c>
      <c r="N141" s="1">
        <v>100.2293230088856</v>
      </c>
      <c r="O141" s="1">
        <v>3.1562693610301626</v>
      </c>
      <c r="P141" s="1">
        <v>2.0026280919209314</v>
      </c>
      <c r="Q141" s="1">
        <v>100.12871267032611</v>
      </c>
      <c r="R141" s="1">
        <v>100.12807382678936</v>
      </c>
      <c r="S141" s="1">
        <v>104.83487479539197</v>
      </c>
      <c r="T141" s="1">
        <v>182.31253494832049</v>
      </c>
      <c r="U141" s="1">
        <v>121.29106339346725</v>
      </c>
      <c r="V141" s="1">
        <v>173.13617346236873</v>
      </c>
      <c r="W141" s="1">
        <v>162.1875465968169</v>
      </c>
      <c r="X141" s="1">
        <v>123.99618750824213</v>
      </c>
      <c r="Y141" s="1">
        <v>100.6165</v>
      </c>
      <c r="Z141" s="1">
        <v>100.95242</v>
      </c>
      <c r="AA141" s="1">
        <v>2432</v>
      </c>
      <c r="AB141">
        <v>97.23</v>
      </c>
      <c r="AC141" s="3"/>
      <c r="AD141" s="3"/>
      <c r="AE141" s="3"/>
    </row>
    <row r="142" spans="1:32" x14ac:dyDescent="0.25">
      <c r="A142" s="4">
        <v>40422</v>
      </c>
      <c r="B142" s="1">
        <v>53.374499999999998</v>
      </c>
      <c r="C142" s="1">
        <v>54.662999999999997</v>
      </c>
      <c r="E142" s="1">
        <v>51.233499999999999</v>
      </c>
      <c r="F142" s="1">
        <v>52.764299999999999</v>
      </c>
      <c r="G142" s="1">
        <v>49.108199999999997</v>
      </c>
      <c r="H142" s="1">
        <v>54.203699999999998</v>
      </c>
      <c r="I142" s="1">
        <v>101.65678536186648</v>
      </c>
      <c r="J142" s="1">
        <v>101.06892521525192</v>
      </c>
      <c r="K142" s="1">
        <v>1016.0287256</v>
      </c>
      <c r="L142" s="1">
        <v>981.07593459999998</v>
      </c>
      <c r="M142" s="1">
        <v>6.211015738822975</v>
      </c>
      <c r="N142" s="1">
        <v>99.037876819571025</v>
      </c>
      <c r="O142" s="1">
        <v>3.1310053647449103</v>
      </c>
      <c r="P142" s="1">
        <v>2.0173804574783163</v>
      </c>
      <c r="Q142" s="1">
        <v>100.39825244514293</v>
      </c>
      <c r="R142" s="1">
        <v>100.26355369861054</v>
      </c>
      <c r="S142" s="1">
        <v>109.98438264497992</v>
      </c>
      <c r="T142" s="1">
        <v>184.66615598204845</v>
      </c>
      <c r="U142" s="1">
        <v>125.81711802059708</v>
      </c>
      <c r="V142" s="1">
        <v>172.96660580380609</v>
      </c>
      <c r="W142" s="1">
        <v>161.72000654368688</v>
      </c>
      <c r="X142" s="1">
        <v>130.1061896733373</v>
      </c>
      <c r="Y142" s="1">
        <v>100.6966</v>
      </c>
      <c r="Z142" s="1">
        <v>99.345420000000004</v>
      </c>
      <c r="AA142" s="1">
        <v>2719</v>
      </c>
      <c r="AB142">
        <v>97.87</v>
      </c>
      <c r="AC142" s="3">
        <v>105.16</v>
      </c>
      <c r="AD142" s="3">
        <v>95.15</v>
      </c>
      <c r="AE142" s="3">
        <v>100.56405118159984</v>
      </c>
      <c r="AF142" s="1">
        <v>4.8705501618179161</v>
      </c>
    </row>
    <row r="143" spans="1:32" x14ac:dyDescent="0.25">
      <c r="A143" s="4">
        <v>40452</v>
      </c>
      <c r="B143" s="1">
        <v>53.560200000000002</v>
      </c>
      <c r="C143" s="1">
        <v>55.511400000000002</v>
      </c>
      <c r="E143" s="1">
        <v>51.764000000000003</v>
      </c>
      <c r="F143" s="1">
        <v>53.073300000000003</v>
      </c>
      <c r="G143" s="1">
        <v>48.520899999999997</v>
      </c>
      <c r="H143" s="1">
        <v>53.1</v>
      </c>
      <c r="I143" s="1">
        <v>102.16835330171202</v>
      </c>
      <c r="J143" s="1">
        <v>101.80213216914649</v>
      </c>
      <c r="K143" s="1">
        <v>1044.4467497999999</v>
      </c>
      <c r="L143" s="1">
        <v>1017.1181202</v>
      </c>
      <c r="M143" s="1">
        <v>6.2157425577587722</v>
      </c>
      <c r="N143" s="1">
        <v>99.255673434886319</v>
      </c>
      <c r="O143" s="1">
        <v>2.9574611858654634</v>
      </c>
      <c r="P143" s="1">
        <v>2.0296199021533079</v>
      </c>
      <c r="Q143" s="1">
        <v>100.7711772472945</v>
      </c>
      <c r="R143" s="1">
        <v>100.63080983557771</v>
      </c>
      <c r="S143" s="1">
        <v>114.38087784000042</v>
      </c>
      <c r="T143" s="1">
        <v>195.44561957844172</v>
      </c>
      <c r="U143" s="1">
        <v>132.24999191650033</v>
      </c>
      <c r="V143" s="1">
        <v>182.84999770052161</v>
      </c>
      <c r="W143" s="1">
        <v>168.86987439674337</v>
      </c>
      <c r="X143" s="1">
        <v>140.30487427055112</v>
      </c>
      <c r="Y143" s="1">
        <v>100.8022</v>
      </c>
      <c r="Z143" s="1">
        <v>97.338470000000001</v>
      </c>
      <c r="AA143" s="1">
        <v>2693</v>
      </c>
      <c r="AB143">
        <v>97.64</v>
      </c>
      <c r="AC143" s="3"/>
      <c r="AD143" s="3"/>
      <c r="AE143" s="3"/>
    </row>
    <row r="144" spans="1:32" x14ac:dyDescent="0.25">
      <c r="A144" s="4">
        <v>40483</v>
      </c>
      <c r="B144" s="1">
        <v>54.071899999999999</v>
      </c>
      <c r="C144" s="1">
        <v>55.722299999999997</v>
      </c>
      <c r="E144" s="1">
        <v>51.699100000000001</v>
      </c>
      <c r="F144" s="1">
        <v>53.498100000000001</v>
      </c>
      <c r="G144" s="1">
        <v>48.0274</v>
      </c>
      <c r="H144" s="1">
        <v>53.632399999999997</v>
      </c>
      <c r="I144" s="1">
        <v>103.11579915118266</v>
      </c>
      <c r="J144" s="1">
        <v>102.40021520801245</v>
      </c>
      <c r="K144" s="1">
        <v>1077.8818726</v>
      </c>
      <c r="L144" s="1">
        <v>1040.9933979</v>
      </c>
      <c r="M144" s="1">
        <v>6.2003779695956025</v>
      </c>
      <c r="N144" s="1">
        <v>100.64307654634719</v>
      </c>
      <c r="O144" s="1">
        <v>3.2811780286387466</v>
      </c>
      <c r="P144" s="1">
        <v>2.0547999521328566</v>
      </c>
      <c r="Q144" s="1">
        <v>101.14100697360038</v>
      </c>
      <c r="R144" s="1">
        <v>100.40704756174459</v>
      </c>
      <c r="S144" s="1">
        <v>115.99654776608617</v>
      </c>
      <c r="T144" s="1">
        <v>202.8216069869236</v>
      </c>
      <c r="U144" s="1">
        <v>136.22711953960024</v>
      </c>
      <c r="V144" s="1">
        <v>190.00057566535114</v>
      </c>
      <c r="W144" s="1">
        <v>175.61404612321414</v>
      </c>
      <c r="X144" s="1">
        <v>149.8460197700025</v>
      </c>
      <c r="Y144" s="1">
        <v>100.9141</v>
      </c>
      <c r="Z144" s="1">
        <v>97.642989999999998</v>
      </c>
      <c r="AA144" s="1">
        <v>2321</v>
      </c>
      <c r="AB144">
        <v>98.46</v>
      </c>
      <c r="AC144" s="3"/>
      <c r="AD144" s="3"/>
      <c r="AE144" s="3"/>
    </row>
    <row r="145" spans="1:32" x14ac:dyDescent="0.25">
      <c r="A145" s="4">
        <v>40513</v>
      </c>
      <c r="B145" s="1">
        <v>54.5169</v>
      </c>
      <c r="C145" s="1">
        <v>56.937899999999999</v>
      </c>
      <c r="E145" s="1">
        <v>51.699199999999998</v>
      </c>
      <c r="F145" s="1">
        <v>53.767899999999997</v>
      </c>
      <c r="G145" s="1">
        <v>48.320999999999998</v>
      </c>
      <c r="H145" s="1">
        <v>54.015700000000002</v>
      </c>
      <c r="I145" s="1">
        <v>103.93037479636713</v>
      </c>
      <c r="J145" s="1">
        <v>103.21396706512118</v>
      </c>
      <c r="K145" s="1">
        <v>1084.2641347000001</v>
      </c>
      <c r="L145" s="1">
        <v>1047.5880724000001</v>
      </c>
      <c r="M145" s="1">
        <v>6.1710054515211032</v>
      </c>
      <c r="N145" s="1">
        <v>101.47621462923713</v>
      </c>
      <c r="O145" s="1">
        <v>3.6381262578992248</v>
      </c>
      <c r="P145" s="1">
        <v>2.0613429314819123</v>
      </c>
      <c r="Q145" s="1">
        <v>101.53700899129869</v>
      </c>
      <c r="R145" s="1">
        <v>100.89849349104884</v>
      </c>
      <c r="S145" s="1">
        <v>123.29816796161771</v>
      </c>
      <c r="T145" s="1">
        <v>213.35857333467814</v>
      </c>
      <c r="U145" s="1">
        <v>143.1405628963324</v>
      </c>
      <c r="V145" s="1">
        <v>201.96497239841582</v>
      </c>
      <c r="W145" s="1">
        <v>190.29871856314958</v>
      </c>
      <c r="X145" s="1">
        <v>159.99882742543718</v>
      </c>
      <c r="Y145" s="1">
        <v>101.0112</v>
      </c>
      <c r="Z145" s="1">
        <v>98.327520000000007</v>
      </c>
      <c r="AA145" s="1">
        <v>2031</v>
      </c>
      <c r="AB145">
        <v>99.93</v>
      </c>
      <c r="AC145" s="3">
        <v>105.41</v>
      </c>
      <c r="AD145" s="3">
        <v>94.61</v>
      </c>
      <c r="AE145" s="3">
        <v>101.38147126879353</v>
      </c>
      <c r="AF145" s="1">
        <v>4.78648088024394</v>
      </c>
    </row>
    <row r="146" spans="1:32" x14ac:dyDescent="0.25">
      <c r="A146" s="4">
        <v>40544</v>
      </c>
      <c r="B146" s="1">
        <v>55.751600000000003</v>
      </c>
      <c r="C146" s="1">
        <v>60.051200000000001</v>
      </c>
      <c r="E146" s="1">
        <v>52.161700000000003</v>
      </c>
      <c r="F146" s="1">
        <v>54.875500000000002</v>
      </c>
      <c r="G146" s="1">
        <v>47.695599999999999</v>
      </c>
      <c r="H146" s="1">
        <v>54.461599999999997</v>
      </c>
      <c r="I146" s="1">
        <v>104.67002685336635</v>
      </c>
      <c r="J146" s="1">
        <v>103.97727231407869</v>
      </c>
      <c r="K146" s="1">
        <v>1144.5260544</v>
      </c>
      <c r="L146" s="1">
        <v>1084.1927353000001</v>
      </c>
      <c r="M146" s="1">
        <v>6.1348119584106362</v>
      </c>
      <c r="N146" s="1">
        <v>101.2302862391397</v>
      </c>
      <c r="O146" s="1">
        <v>3.5747675995756762</v>
      </c>
      <c r="P146" s="1">
        <v>2.2234961766316355</v>
      </c>
      <c r="Q146" s="1">
        <v>101.93476841429676</v>
      </c>
      <c r="R146" s="1">
        <v>101.18901109881241</v>
      </c>
      <c r="S146" s="1">
        <v>126.97397802088908</v>
      </c>
      <c r="T146" s="1">
        <v>225.0573352323446</v>
      </c>
      <c r="U146" s="1">
        <v>147.98823837783974</v>
      </c>
      <c r="V146" s="1">
        <v>209.93946294899993</v>
      </c>
      <c r="W146" s="1">
        <v>194.38593959138157</v>
      </c>
      <c r="X146" s="1">
        <v>171.98706863404956</v>
      </c>
      <c r="Y146" s="1">
        <v>101.0784</v>
      </c>
      <c r="Z146" s="1">
        <v>97.6036</v>
      </c>
      <c r="AA146" s="1">
        <v>1401</v>
      </c>
      <c r="AB146">
        <v>99.81</v>
      </c>
      <c r="AC146" s="3"/>
      <c r="AD146" s="3"/>
      <c r="AE146" s="3"/>
    </row>
    <row r="147" spans="1:32" x14ac:dyDescent="0.25">
      <c r="A147" s="4">
        <v>40575</v>
      </c>
      <c r="B147" s="1">
        <v>56.103400000000001</v>
      </c>
      <c r="C147" s="1">
        <v>60.652000000000001</v>
      </c>
      <c r="E147" s="1">
        <v>52.477800000000002</v>
      </c>
      <c r="F147" s="1">
        <v>55.4739</v>
      </c>
      <c r="G147" s="1">
        <v>48.149000000000001</v>
      </c>
      <c r="H147" s="1">
        <v>55.163499999999999</v>
      </c>
      <c r="I147" s="1">
        <v>104.96103389533407</v>
      </c>
      <c r="J147" s="1">
        <v>104.03146454976822</v>
      </c>
      <c r="K147" s="1">
        <v>1134.4721235</v>
      </c>
      <c r="L147" s="1">
        <v>1089.4793588</v>
      </c>
      <c r="M147" s="1">
        <v>6.12108582129291</v>
      </c>
      <c r="N147" s="1">
        <v>102.5469728787122</v>
      </c>
      <c r="O147" s="1">
        <v>3.8244019288265227</v>
      </c>
      <c r="P147" s="1">
        <v>2.2524878904214609</v>
      </c>
      <c r="Q147" s="1">
        <v>102.22661010403782</v>
      </c>
      <c r="R147" s="1">
        <v>101.41691959675872</v>
      </c>
      <c r="S147" s="1">
        <v>130.7763338105996</v>
      </c>
      <c r="T147" s="1">
        <v>234.68768189901016</v>
      </c>
      <c r="U147" s="1">
        <v>153.58725894574943</v>
      </c>
      <c r="V147" s="1">
        <v>217.79225536381583</v>
      </c>
      <c r="W147" s="1">
        <v>202.9346146692632</v>
      </c>
      <c r="X147" s="1">
        <v>187.20527085098246</v>
      </c>
      <c r="Y147" s="1">
        <v>101.0988</v>
      </c>
      <c r="Z147" s="1">
        <v>97.853549999999998</v>
      </c>
      <c r="AA147" s="1">
        <v>1181</v>
      </c>
      <c r="AB147">
        <v>100.15</v>
      </c>
      <c r="AC147" s="3"/>
      <c r="AD147" s="3"/>
      <c r="AE147" s="3"/>
    </row>
    <row r="148" spans="1:32" x14ac:dyDescent="0.25">
      <c r="A148" s="4">
        <v>40603</v>
      </c>
      <c r="B148" s="1">
        <v>54.5745</v>
      </c>
      <c r="C148" s="1">
        <v>61.171900000000001</v>
      </c>
      <c r="E148" s="1">
        <v>52.676099999999998</v>
      </c>
      <c r="F148" s="1">
        <v>54.206899999999997</v>
      </c>
      <c r="G148" s="1">
        <v>49.059100000000001</v>
      </c>
      <c r="H148" s="1">
        <v>53.015300000000003</v>
      </c>
      <c r="I148" s="1">
        <v>105.73365709521563</v>
      </c>
      <c r="J148" s="1">
        <v>104.22192694298673</v>
      </c>
      <c r="K148" s="1">
        <v>1181.4699235</v>
      </c>
      <c r="L148" s="1">
        <v>1127.8646192000001</v>
      </c>
      <c r="M148" s="1">
        <v>6.0600062510894253</v>
      </c>
      <c r="N148" s="1">
        <v>101.12911757118682</v>
      </c>
      <c r="O148" s="1">
        <v>3.7421314366991947</v>
      </c>
      <c r="P148" s="1">
        <v>2.2893735218855609</v>
      </c>
      <c r="Q148" s="1">
        <v>102.63068783784195</v>
      </c>
      <c r="R148" s="1">
        <v>101.60810250197876</v>
      </c>
      <c r="S148" s="1">
        <v>129.48226753140358</v>
      </c>
      <c r="T148" s="1">
        <v>221.39146368208085</v>
      </c>
      <c r="U148" s="1">
        <v>151.20302192358835</v>
      </c>
      <c r="V148" s="1">
        <v>235.76780846488916</v>
      </c>
      <c r="W148" s="1">
        <v>223.06875439723561</v>
      </c>
      <c r="X148" s="1">
        <v>184.06653813755895</v>
      </c>
      <c r="Y148" s="1">
        <v>101.06610000000001</v>
      </c>
      <c r="Z148" s="1">
        <v>97.459620000000001</v>
      </c>
      <c r="AA148" s="1">
        <v>1493</v>
      </c>
      <c r="AB148">
        <v>101.22</v>
      </c>
      <c r="AC148" s="3">
        <v>105.6</v>
      </c>
      <c r="AD148" s="3">
        <v>93.16</v>
      </c>
      <c r="AE148" s="3">
        <v>101.9792174264059</v>
      </c>
      <c r="AF148" s="1">
        <v>4.1979192614186651</v>
      </c>
    </row>
    <row r="149" spans="1:32" x14ac:dyDescent="0.25">
      <c r="A149" s="4">
        <v>40634</v>
      </c>
      <c r="B149" s="1">
        <v>53.311799999999998</v>
      </c>
      <c r="C149" s="1">
        <v>60.233899999999998</v>
      </c>
      <c r="E149" s="1">
        <v>52.326099999999997</v>
      </c>
      <c r="F149" s="1">
        <v>53.763300000000001</v>
      </c>
      <c r="G149" s="1">
        <v>49.5321</v>
      </c>
      <c r="H149" s="1">
        <v>52.923999999999999</v>
      </c>
      <c r="I149" s="1">
        <v>107.30541920279913</v>
      </c>
      <c r="J149" s="1">
        <v>103.81063963118062</v>
      </c>
      <c r="K149" s="1">
        <v>1186.6294849999999</v>
      </c>
      <c r="L149" s="1">
        <v>1140.7735422000001</v>
      </c>
      <c r="M149" s="1">
        <v>6.0805382168964783</v>
      </c>
      <c r="N149" s="1">
        <v>100.78783890790008</v>
      </c>
      <c r="O149" s="1">
        <v>3.8954692026452311</v>
      </c>
      <c r="P149" s="1">
        <v>2.3829825576539565</v>
      </c>
      <c r="Q149" s="1">
        <v>103.05722802521345</v>
      </c>
      <c r="R149" s="1">
        <v>101.82681680167886</v>
      </c>
      <c r="S149" s="1">
        <v>133.73122877653239</v>
      </c>
      <c r="T149" s="1">
        <v>226.94933233024102</v>
      </c>
      <c r="U149" s="1">
        <v>155.41923156755766</v>
      </c>
      <c r="V149" s="1">
        <v>252.56585520286967</v>
      </c>
      <c r="W149" s="1">
        <v>236.0464987367759</v>
      </c>
      <c r="X149" s="1">
        <v>186.51421634002577</v>
      </c>
      <c r="Y149" s="1">
        <v>100.9768</v>
      </c>
      <c r="Z149" s="1">
        <v>96.732129999999998</v>
      </c>
      <c r="AA149" s="1">
        <v>1343</v>
      </c>
      <c r="AB149">
        <v>100.93</v>
      </c>
      <c r="AC149" s="3"/>
      <c r="AD149" s="3"/>
      <c r="AE149" s="3"/>
    </row>
    <row r="150" spans="1:32" x14ac:dyDescent="0.25">
      <c r="A150" s="4">
        <v>40664</v>
      </c>
      <c r="B150" s="1">
        <v>54.0212</v>
      </c>
      <c r="C150" s="1">
        <v>59.0306</v>
      </c>
      <c r="E150" s="1">
        <v>52.156199999999998</v>
      </c>
      <c r="F150" s="1">
        <v>53.269199999999998</v>
      </c>
      <c r="G150" s="1">
        <v>49.513199999999998</v>
      </c>
      <c r="H150" s="1">
        <v>54.317700000000002</v>
      </c>
      <c r="I150" s="1">
        <v>107.36648167277471</v>
      </c>
      <c r="J150" s="1">
        <v>104.4870852919636</v>
      </c>
      <c r="K150" s="1">
        <v>1216.4647242999999</v>
      </c>
      <c r="L150" s="1">
        <v>1147.2538970000001</v>
      </c>
      <c r="M150" s="1">
        <v>6.0662559003277288</v>
      </c>
      <c r="N150" s="1">
        <v>100.11576448742305</v>
      </c>
      <c r="O150" s="1">
        <v>3.5942543354392686</v>
      </c>
      <c r="P150" s="1">
        <v>2.4159144415472449</v>
      </c>
      <c r="Q150" s="1">
        <v>103.33316565135162</v>
      </c>
      <c r="R150" s="1">
        <v>102.05376623157767</v>
      </c>
      <c r="S150" s="1">
        <v>130.86451954366757</v>
      </c>
      <c r="T150" s="1">
        <v>218.56779417007394</v>
      </c>
      <c r="U150" s="1">
        <v>151.59490447562729</v>
      </c>
      <c r="V150" s="1">
        <v>240.75020452075844</v>
      </c>
      <c r="W150" s="1">
        <v>219.71445751946945</v>
      </c>
      <c r="X150" s="1">
        <v>167.84113646507245</v>
      </c>
      <c r="Y150" s="1">
        <v>100.83839999999999</v>
      </c>
      <c r="Z150" s="1">
        <v>97.397679999999994</v>
      </c>
      <c r="AA150" s="1">
        <v>1352</v>
      </c>
      <c r="AB150">
        <v>100.69</v>
      </c>
      <c r="AC150" s="3"/>
      <c r="AD150" s="3"/>
      <c r="AE150" s="3"/>
    </row>
    <row r="151" spans="1:32" x14ac:dyDescent="0.25">
      <c r="A151" s="4">
        <v>40695</v>
      </c>
      <c r="B151" s="1">
        <v>53.774999999999999</v>
      </c>
      <c r="C151" s="1">
        <v>58.516199999999998</v>
      </c>
      <c r="E151" s="1">
        <v>51.8292</v>
      </c>
      <c r="F151" s="1">
        <v>51.880699999999997</v>
      </c>
      <c r="G151" s="1">
        <v>48.902799999999999</v>
      </c>
      <c r="H151" s="1">
        <v>53.422800000000002</v>
      </c>
      <c r="I151" s="1">
        <v>108.60248709132306</v>
      </c>
      <c r="J151" s="1">
        <v>105.17671141084368</v>
      </c>
      <c r="K151" s="1">
        <v>1203.9300725999999</v>
      </c>
      <c r="L151" s="1">
        <v>1143.9257832000001</v>
      </c>
      <c r="M151" s="1">
        <v>6.0944763329950717</v>
      </c>
      <c r="N151" s="1">
        <v>99.8466231632394</v>
      </c>
      <c r="O151" s="1">
        <v>3.5864307838608056</v>
      </c>
      <c r="P151" s="1">
        <v>2.4407647976788316</v>
      </c>
      <c r="Q151" s="1">
        <v>103.50372089215251</v>
      </c>
      <c r="R151" s="1">
        <v>102.23696134832572</v>
      </c>
      <c r="S151" s="1">
        <v>128.95858249097606</v>
      </c>
      <c r="T151" s="1">
        <v>214.18751535300549</v>
      </c>
      <c r="U151" s="1">
        <v>150.54141662947174</v>
      </c>
      <c r="V151" s="1">
        <v>237.88701459901742</v>
      </c>
      <c r="W151" s="1">
        <v>214.77386965250957</v>
      </c>
      <c r="X151" s="1">
        <v>167.6343561943809</v>
      </c>
      <c r="Y151" s="1">
        <v>100.66589999999999</v>
      </c>
      <c r="Z151" s="1">
        <v>97.488349999999997</v>
      </c>
      <c r="AA151" s="1">
        <v>1433</v>
      </c>
      <c r="AB151">
        <v>100.38</v>
      </c>
      <c r="AC151" s="3">
        <v>105.65</v>
      </c>
      <c r="AD151" s="3">
        <v>92.13</v>
      </c>
      <c r="AE151" s="3">
        <v>102.55809213287885</v>
      </c>
      <c r="AF151" s="1">
        <v>3.2786869140587713</v>
      </c>
    </row>
    <row r="152" spans="1:32" x14ac:dyDescent="0.25">
      <c r="A152" s="4">
        <v>40725</v>
      </c>
      <c r="B152" s="1">
        <v>53.063200000000002</v>
      </c>
      <c r="C152" s="1">
        <v>56.809399999999997</v>
      </c>
      <c r="E152" s="1">
        <v>51.686300000000003</v>
      </c>
      <c r="F152" s="1">
        <v>51.1158</v>
      </c>
      <c r="G152" s="1">
        <v>48.807299999999998</v>
      </c>
      <c r="H152" s="1">
        <v>52.408299999999997</v>
      </c>
      <c r="I152" s="1">
        <v>109.24085228540346</v>
      </c>
      <c r="J152" s="1">
        <v>105.53129669689436</v>
      </c>
      <c r="K152" s="1">
        <v>1204.0165726</v>
      </c>
      <c r="L152" s="1">
        <v>1162.7007817000001</v>
      </c>
      <c r="M152" s="1">
        <v>6.0911352513009378</v>
      </c>
      <c r="N152" s="1">
        <v>99.963061123394695</v>
      </c>
      <c r="O152" s="1">
        <v>3.6363486239307092</v>
      </c>
      <c r="P152" s="1">
        <v>2.5417452138470567</v>
      </c>
      <c r="Q152" s="1">
        <v>103.7518318279548</v>
      </c>
      <c r="R152" s="1">
        <v>102.45312523760258</v>
      </c>
      <c r="S152" s="1">
        <v>128.07384767458444</v>
      </c>
      <c r="T152" s="1">
        <v>219.01101015761867</v>
      </c>
      <c r="U152" s="1">
        <v>151.54851303467697</v>
      </c>
      <c r="V152" s="1">
        <v>242.63204679883199</v>
      </c>
      <c r="W152" s="1">
        <v>219.51596177304597</v>
      </c>
      <c r="X152" s="1">
        <v>161.74414448691911</v>
      </c>
      <c r="Y152" s="1">
        <v>100.4765</v>
      </c>
      <c r="Z152" s="1">
        <v>96.933400000000006</v>
      </c>
      <c r="AA152" s="1">
        <v>1366</v>
      </c>
      <c r="AB152">
        <v>100.81</v>
      </c>
      <c r="AC152" s="3"/>
      <c r="AD152" s="3"/>
      <c r="AE152" s="3"/>
    </row>
    <row r="153" spans="1:32" x14ac:dyDescent="0.25">
      <c r="A153" s="4">
        <v>40756</v>
      </c>
      <c r="B153" s="1">
        <v>52.492100000000001</v>
      </c>
      <c r="C153" s="1">
        <v>56.318899999999999</v>
      </c>
      <c r="E153" s="1">
        <v>51.610500000000002</v>
      </c>
      <c r="F153" s="1">
        <v>50.959899999999998</v>
      </c>
      <c r="G153" s="1">
        <v>49.0212</v>
      </c>
      <c r="H153" s="1">
        <v>51.683199999999999</v>
      </c>
      <c r="I153" s="1">
        <v>109.68336958012731</v>
      </c>
      <c r="J153" s="1">
        <v>105.99963909891032</v>
      </c>
      <c r="K153" s="1">
        <v>1243.5086051999999</v>
      </c>
      <c r="L153" s="1">
        <v>1183.1079262999999</v>
      </c>
      <c r="M153" s="1">
        <v>6.0684210938314997</v>
      </c>
      <c r="N153" s="1">
        <v>97.132604840680457</v>
      </c>
      <c r="O153" s="1">
        <v>3.1630944460103159</v>
      </c>
      <c r="P153" s="1">
        <v>2.5411353813396227</v>
      </c>
      <c r="Q153" s="1">
        <v>103.99638920540035</v>
      </c>
      <c r="R153" s="1">
        <v>102.69966215412826</v>
      </c>
      <c r="S153" s="1">
        <v>127.41353244139584</v>
      </c>
      <c r="T153" s="1">
        <v>213.29557852029271</v>
      </c>
      <c r="U153" s="1">
        <v>152.32364498532152</v>
      </c>
      <c r="V153" s="1">
        <v>230.72674767183</v>
      </c>
      <c r="W153" s="1">
        <v>203.03216311660265</v>
      </c>
      <c r="X153" s="1">
        <v>152.96385067442205</v>
      </c>
      <c r="Y153" s="1">
        <v>100.2886</v>
      </c>
      <c r="Z153" s="1">
        <v>96.819050000000004</v>
      </c>
      <c r="AA153" s="1">
        <v>1387</v>
      </c>
      <c r="AB153">
        <v>99.52</v>
      </c>
      <c r="AC153" s="3"/>
      <c r="AD153" s="3"/>
      <c r="AE153" s="3"/>
    </row>
    <row r="154" spans="1:32" x14ac:dyDescent="0.25">
      <c r="A154" s="4">
        <v>40787</v>
      </c>
      <c r="B154" s="1">
        <v>51.1798</v>
      </c>
      <c r="C154" s="1">
        <v>56.601900000000001</v>
      </c>
      <c r="E154" s="1">
        <v>50.953099999999999</v>
      </c>
      <c r="F154" s="1">
        <v>50.411700000000003</v>
      </c>
      <c r="G154" s="1">
        <v>48.381999999999998</v>
      </c>
      <c r="H154" s="1">
        <v>51.819200000000002</v>
      </c>
      <c r="I154" s="1">
        <v>110.20295674210956</v>
      </c>
      <c r="J154" s="1">
        <v>105.84484932745295</v>
      </c>
      <c r="K154" s="1">
        <v>1202.44829</v>
      </c>
      <c r="L154" s="1">
        <v>1152.4759974999999</v>
      </c>
      <c r="M154" s="1">
        <v>6.0756187855611286</v>
      </c>
      <c r="N154" s="1">
        <v>97.286107362131631</v>
      </c>
      <c r="O154" s="1">
        <v>2.9060988183760039</v>
      </c>
      <c r="P154" s="1">
        <v>2.5243827096159484</v>
      </c>
      <c r="Q154" s="1">
        <v>104.3097635041384</v>
      </c>
      <c r="R154" s="1">
        <v>102.87593135887268</v>
      </c>
      <c r="S154" s="1">
        <v>121.32344547536039</v>
      </c>
      <c r="T154" s="1">
        <v>206.26628954824653</v>
      </c>
      <c r="U154" s="1">
        <v>147.88880304952301</v>
      </c>
      <c r="V154" s="1">
        <v>232.06916596871361</v>
      </c>
      <c r="W154" s="1">
        <v>208.89678856466648</v>
      </c>
      <c r="X154" s="1">
        <v>149.95584064752151</v>
      </c>
      <c r="Y154" s="1">
        <v>100.1349</v>
      </c>
      <c r="Z154" s="1">
        <v>99.34084</v>
      </c>
      <c r="AA154" s="1">
        <v>1840</v>
      </c>
      <c r="AB154">
        <v>98.88</v>
      </c>
      <c r="AC154" s="3">
        <v>105.79</v>
      </c>
      <c r="AD154" s="3">
        <v>92.1</v>
      </c>
      <c r="AE154" s="3">
        <v>103.25744422180144</v>
      </c>
      <c r="AF154" s="1">
        <v>3.2730681758401259</v>
      </c>
    </row>
    <row r="155" spans="1:32" x14ac:dyDescent="0.25">
      <c r="A155" s="4">
        <v>40817</v>
      </c>
      <c r="B155" s="1">
        <v>51.676000000000002</v>
      </c>
      <c r="C155" s="1">
        <v>55.093699999999998</v>
      </c>
      <c r="E155" s="1">
        <v>50.997999999999998</v>
      </c>
      <c r="F155" s="1">
        <v>50.580599999999997</v>
      </c>
      <c r="G155" s="1">
        <v>48.733499999999999</v>
      </c>
      <c r="H155" s="1">
        <v>52.714599999999997</v>
      </c>
      <c r="I155" s="1">
        <v>110.84416838744025</v>
      </c>
      <c r="J155" s="1">
        <v>105.61597647904381</v>
      </c>
      <c r="K155" s="1">
        <v>1199.1386070999999</v>
      </c>
      <c r="L155" s="1">
        <v>1132.8042022</v>
      </c>
      <c r="M155" s="1">
        <v>6.0353769685355818</v>
      </c>
      <c r="N155" s="1">
        <v>96.005795586416099</v>
      </c>
      <c r="O155" s="1">
        <v>3.0925890823232569</v>
      </c>
      <c r="P155" s="1">
        <v>2.5111494531205456</v>
      </c>
      <c r="Q155" s="1">
        <v>104.56516378009768</v>
      </c>
      <c r="R155" s="1">
        <v>103.04727061657628</v>
      </c>
      <c r="S155" s="1">
        <v>118.4080873695073</v>
      </c>
      <c r="T155" s="1">
        <v>182.79272309706354</v>
      </c>
      <c r="U155" s="1">
        <v>138.7978063451225</v>
      </c>
      <c r="V155" s="1">
        <v>229.14871990710444</v>
      </c>
      <c r="W155" s="1">
        <v>206.15573185048524</v>
      </c>
      <c r="X155" s="1">
        <v>142.20726638388004</v>
      </c>
      <c r="Y155" s="1">
        <v>100.0355</v>
      </c>
      <c r="Z155" s="1">
        <v>99.26155</v>
      </c>
      <c r="AA155" s="1">
        <v>2072</v>
      </c>
      <c r="AB155">
        <v>99.09</v>
      </c>
      <c r="AC155" s="3"/>
      <c r="AD155" s="3"/>
      <c r="AE155" s="3"/>
    </row>
    <row r="156" spans="1:32" x14ac:dyDescent="0.25">
      <c r="A156" s="4">
        <v>40848</v>
      </c>
      <c r="B156" s="1">
        <v>51.3979</v>
      </c>
      <c r="C156" s="1">
        <v>54.369799999999998</v>
      </c>
      <c r="E156" s="1">
        <v>51.564500000000002</v>
      </c>
      <c r="F156" s="1">
        <v>49.388800000000003</v>
      </c>
      <c r="G156" s="1">
        <v>48.872399999999999</v>
      </c>
      <c r="H156" s="1">
        <v>52.167900000000003</v>
      </c>
      <c r="I156" s="1">
        <v>111.05208790061573</v>
      </c>
      <c r="J156" s="1">
        <v>106.06758532303122</v>
      </c>
      <c r="K156" s="1">
        <v>1210.7683483000001</v>
      </c>
      <c r="L156" s="1">
        <v>1142.1184439000001</v>
      </c>
      <c r="M156" s="1">
        <v>6.0018605809921182</v>
      </c>
      <c r="N156" s="1">
        <v>98.486113544853907</v>
      </c>
      <c r="O156" s="1">
        <v>3.0883507741372944</v>
      </c>
      <c r="P156" s="1">
        <v>2.4424241183421938</v>
      </c>
      <c r="Q156" s="1">
        <v>104.79593904947197</v>
      </c>
      <c r="R156" s="1">
        <v>103.25847364697205</v>
      </c>
      <c r="S156" s="1">
        <v>118.24812632077078</v>
      </c>
      <c r="T156" s="1">
        <v>175.17952256386903</v>
      </c>
      <c r="U156" s="1">
        <v>137.57606775033096</v>
      </c>
      <c r="V156" s="1">
        <v>236.70040013805149</v>
      </c>
      <c r="W156" s="1">
        <v>218.32869333632541</v>
      </c>
      <c r="X156" s="1">
        <v>132.14472734245371</v>
      </c>
      <c r="Y156" s="1">
        <v>99.991730000000004</v>
      </c>
      <c r="Z156" s="1">
        <v>100.15183</v>
      </c>
      <c r="AA156" s="1">
        <v>1835</v>
      </c>
      <c r="AB156">
        <v>99.16</v>
      </c>
      <c r="AC156" s="3"/>
      <c r="AD156" s="3"/>
      <c r="AE156" s="3"/>
    </row>
    <row r="157" spans="1:32" x14ac:dyDescent="0.25">
      <c r="A157" s="4">
        <v>40878</v>
      </c>
      <c r="B157" s="1">
        <v>51.8887</v>
      </c>
      <c r="C157" s="1">
        <v>54.842700000000001</v>
      </c>
      <c r="E157" s="1">
        <v>51.5884</v>
      </c>
      <c r="F157" s="1">
        <v>50.127099999999999</v>
      </c>
      <c r="G157" s="1">
        <v>48.869199999999999</v>
      </c>
      <c r="H157" s="1">
        <v>53.2896</v>
      </c>
      <c r="I157" s="1">
        <v>112.34339080534619</v>
      </c>
      <c r="J157" s="1">
        <v>106.97498908890238</v>
      </c>
      <c r="K157" s="1">
        <v>1191.9334251</v>
      </c>
      <c r="L157" s="1">
        <v>1135.8560295</v>
      </c>
      <c r="M157" s="1">
        <v>5.980796263281027</v>
      </c>
      <c r="N157" s="1">
        <v>100.50360232428774</v>
      </c>
      <c r="O157" s="1">
        <v>2.9653360497306238</v>
      </c>
      <c r="P157" s="1">
        <v>2.3566332474706635</v>
      </c>
      <c r="Q157" s="1">
        <v>104.94118857655236</v>
      </c>
      <c r="R157" s="1">
        <v>103.44801466886859</v>
      </c>
      <c r="S157" s="1">
        <v>115.35501368720159</v>
      </c>
      <c r="T157" s="1">
        <v>174.89437150549674</v>
      </c>
      <c r="U157" s="1">
        <v>133.84228783267426</v>
      </c>
      <c r="V157" s="1">
        <v>234.13704637354604</v>
      </c>
      <c r="W157" s="1">
        <v>218.88049085900107</v>
      </c>
      <c r="X157" s="1">
        <v>128.09923395175574</v>
      </c>
      <c r="Y157" s="1">
        <v>99.986270000000005</v>
      </c>
      <c r="Z157" s="1">
        <v>100.25848000000001</v>
      </c>
      <c r="AA157" s="1">
        <v>1869</v>
      </c>
      <c r="AB157">
        <v>99.43</v>
      </c>
      <c r="AC157" s="3">
        <v>105.88</v>
      </c>
      <c r="AD157" s="3">
        <v>91.83</v>
      </c>
      <c r="AE157" s="3">
        <v>103.85835521108919</v>
      </c>
      <c r="AF157" s="1">
        <v>3.4032892578897291</v>
      </c>
    </row>
    <row r="158" spans="1:32" x14ac:dyDescent="0.25">
      <c r="A158" s="4">
        <v>40909</v>
      </c>
      <c r="B158" s="1">
        <v>52.9116</v>
      </c>
      <c r="C158" s="1">
        <v>54.116799999999998</v>
      </c>
      <c r="E158" s="1">
        <v>51.463799999999999</v>
      </c>
      <c r="F158" s="1">
        <v>50.801699999999997</v>
      </c>
      <c r="G158" s="1">
        <v>48.466299999999997</v>
      </c>
      <c r="H158" s="1">
        <v>54.621299999999998</v>
      </c>
      <c r="I158" s="1">
        <v>113.19060919761121</v>
      </c>
      <c r="J158" s="1">
        <v>107.11265050106411</v>
      </c>
      <c r="K158" s="1">
        <v>1201.8401233</v>
      </c>
      <c r="L158" s="1">
        <v>1139.877397</v>
      </c>
      <c r="M158" s="1">
        <v>5.9571416776410766</v>
      </c>
      <c r="N158" s="1">
        <v>100.27196349754307</v>
      </c>
      <c r="O158" s="1">
        <v>2.8168672097941756</v>
      </c>
      <c r="P158" s="1">
        <v>2.4763325094080821</v>
      </c>
      <c r="Q158" s="1">
        <v>105.22984148301617</v>
      </c>
      <c r="R158" s="1">
        <v>103.6590370709162</v>
      </c>
      <c r="S158" s="1">
        <v>118.091672849489</v>
      </c>
      <c r="T158" s="1">
        <v>183.21517486505689</v>
      </c>
      <c r="U158" s="1">
        <v>136.9309049668143</v>
      </c>
      <c r="V158" s="1">
        <v>236.6397809281508</v>
      </c>
      <c r="W158" s="1">
        <v>225.89176335405526</v>
      </c>
      <c r="X158" s="1">
        <v>132.99197136773969</v>
      </c>
      <c r="Y158" s="1">
        <v>99.997799999999998</v>
      </c>
      <c r="Z158" s="1">
        <v>99.522859999999994</v>
      </c>
      <c r="AA158" s="1">
        <v>1039</v>
      </c>
      <c r="AB158">
        <v>100.21</v>
      </c>
      <c r="AC158" s="3"/>
      <c r="AD158" s="3"/>
      <c r="AE158" s="3"/>
    </row>
    <row r="159" spans="1:32" x14ac:dyDescent="0.25">
      <c r="A159" s="4">
        <v>40940</v>
      </c>
      <c r="B159" s="1">
        <v>53.045900000000003</v>
      </c>
      <c r="C159" s="1">
        <v>55.106499999999997</v>
      </c>
      <c r="E159" s="1">
        <v>51.484000000000002</v>
      </c>
      <c r="F159" s="1">
        <v>51.050400000000003</v>
      </c>
      <c r="G159" s="1">
        <v>49.131999999999998</v>
      </c>
      <c r="H159" s="1">
        <v>54.080100000000002</v>
      </c>
      <c r="I159" s="1">
        <v>114.06315444249185</v>
      </c>
      <c r="J159" s="1">
        <v>107.74187702977123</v>
      </c>
      <c r="K159" s="1">
        <v>1229.0535316</v>
      </c>
      <c r="L159" s="1">
        <v>1155.6925730999999</v>
      </c>
      <c r="M159" s="1">
        <v>5.9754266722037865</v>
      </c>
      <c r="N159" s="1">
        <v>101.99066243695268</v>
      </c>
      <c r="O159" s="1">
        <v>2.7804127574691635</v>
      </c>
      <c r="P159" s="1">
        <v>2.4703375928452087</v>
      </c>
      <c r="Q159" s="1">
        <v>105.49472773151851</v>
      </c>
      <c r="R159" s="1">
        <v>103.80266799707518</v>
      </c>
      <c r="S159" s="1">
        <v>120.53674885293046</v>
      </c>
      <c r="T159" s="1">
        <v>187.27385824858268</v>
      </c>
      <c r="U159" s="1">
        <v>140.75855983162506</v>
      </c>
      <c r="V159" s="1">
        <v>244.37538237063012</v>
      </c>
      <c r="W159" s="1">
        <v>236.12063612210332</v>
      </c>
      <c r="X159" s="1">
        <v>137.75772241028153</v>
      </c>
      <c r="Y159" s="1">
        <v>100.0016</v>
      </c>
      <c r="Z159" s="1">
        <v>98.080389999999994</v>
      </c>
      <c r="AA159" s="1">
        <v>703</v>
      </c>
      <c r="AB159">
        <v>100.28</v>
      </c>
      <c r="AC159" s="3"/>
      <c r="AD159" s="3"/>
      <c r="AE159" s="3"/>
    </row>
    <row r="160" spans="1:32" x14ac:dyDescent="0.25">
      <c r="A160" s="4">
        <v>40969</v>
      </c>
      <c r="B160" s="1">
        <v>53.877299999999998</v>
      </c>
      <c r="C160" s="1">
        <v>55.5122</v>
      </c>
      <c r="E160" s="1">
        <v>51.425400000000003</v>
      </c>
      <c r="F160" s="1">
        <v>51.168399999999998</v>
      </c>
      <c r="G160" s="1">
        <v>49.279499999999999</v>
      </c>
      <c r="H160" s="1">
        <v>54.661099999999998</v>
      </c>
      <c r="I160" s="1">
        <v>114.9206776606392</v>
      </c>
      <c r="J160" s="1">
        <v>107.75175724831352</v>
      </c>
      <c r="K160" s="1">
        <v>1227.2519655000001</v>
      </c>
      <c r="L160" s="1">
        <v>1157.2688556999999</v>
      </c>
      <c r="M160" s="1">
        <v>5.9985601150166845</v>
      </c>
      <c r="N160" s="1">
        <v>101.44282802511144</v>
      </c>
      <c r="O160" s="1">
        <v>2.7573045197224841</v>
      </c>
      <c r="P160" s="1">
        <v>2.4409146033167439</v>
      </c>
      <c r="Q160" s="1">
        <v>105.78939711641991</v>
      </c>
      <c r="R160" s="1">
        <v>103.97644806939819</v>
      </c>
      <c r="S160" s="1">
        <v>123.28380122351119</v>
      </c>
      <c r="T160" s="1">
        <v>187.70109106417283</v>
      </c>
      <c r="U160" s="1">
        <v>141.62309007767558</v>
      </c>
      <c r="V160" s="1">
        <v>253.33486741662077</v>
      </c>
      <c r="W160" s="1">
        <v>248.16144522876667</v>
      </c>
      <c r="X160" s="1">
        <v>135.7068003200487</v>
      </c>
      <c r="Y160" s="1">
        <v>99.977940000000004</v>
      </c>
      <c r="Z160" s="1">
        <v>99.315520000000006</v>
      </c>
      <c r="AA160" s="1">
        <v>859</v>
      </c>
      <c r="AB160">
        <v>100.84</v>
      </c>
      <c r="AC160" s="3">
        <v>106.33</v>
      </c>
      <c r="AD160" s="3">
        <v>91</v>
      </c>
      <c r="AE160" s="3">
        <v>104.652710556481</v>
      </c>
      <c r="AF160" s="1">
        <v>4.2366968258040751</v>
      </c>
    </row>
    <row r="161" spans="1:32" x14ac:dyDescent="0.25">
      <c r="A161" s="4">
        <v>41000</v>
      </c>
      <c r="B161" s="1">
        <v>53.301600000000001</v>
      </c>
      <c r="C161" s="1">
        <v>55.334400000000002</v>
      </c>
      <c r="E161" s="1">
        <v>51.346499999999999</v>
      </c>
      <c r="F161" s="1">
        <v>50.986400000000003</v>
      </c>
      <c r="G161" s="1">
        <v>49.322299999999998</v>
      </c>
      <c r="H161" s="1">
        <v>53.063899999999997</v>
      </c>
      <c r="I161" s="1">
        <v>114.72485762623133</v>
      </c>
      <c r="J161" s="1">
        <v>107.4043742768395</v>
      </c>
      <c r="K161" s="1">
        <v>1199.1777645</v>
      </c>
      <c r="L161" s="1">
        <v>1145.8345715999999</v>
      </c>
      <c r="M161" s="1">
        <v>5.9426601423184851</v>
      </c>
      <c r="N161" s="1">
        <v>101.34749152017071</v>
      </c>
      <c r="O161" s="1">
        <v>2.7217202877587274</v>
      </c>
      <c r="P161" s="1">
        <v>2.4002187858778203</v>
      </c>
      <c r="Q161" s="1">
        <v>106.07307591986461</v>
      </c>
      <c r="R161" s="1">
        <v>104.20440738166867</v>
      </c>
      <c r="S161" s="1">
        <v>122.22477630489496</v>
      </c>
      <c r="T161" s="1">
        <v>186.17544785226792</v>
      </c>
      <c r="U161" s="1">
        <v>141.24932910807235</v>
      </c>
      <c r="V161" s="1">
        <v>246.43748335125534</v>
      </c>
      <c r="W161" s="1">
        <v>239.28040644222403</v>
      </c>
      <c r="X161" s="1">
        <v>135.82200458690062</v>
      </c>
      <c r="Y161" s="1">
        <v>99.923950000000005</v>
      </c>
      <c r="Z161" s="1">
        <v>98.976590000000002</v>
      </c>
      <c r="AA161" s="1">
        <v>1021</v>
      </c>
      <c r="AB161">
        <v>100.6</v>
      </c>
      <c r="AC161" s="3"/>
      <c r="AD161" s="3"/>
      <c r="AE161" s="3"/>
    </row>
    <row r="162" spans="1:32" x14ac:dyDescent="0.25">
      <c r="A162" s="4">
        <v>41030</v>
      </c>
      <c r="B162" s="1">
        <v>52.467599999999997</v>
      </c>
      <c r="C162" s="1">
        <v>54.014600000000002</v>
      </c>
      <c r="E162" s="1">
        <v>51.309699999999999</v>
      </c>
      <c r="F162" s="1">
        <v>49.999600000000001</v>
      </c>
      <c r="G162" s="1">
        <v>49.755600000000001</v>
      </c>
      <c r="H162" s="1">
        <v>52.924100000000003</v>
      </c>
      <c r="I162" s="1">
        <v>115.29909041540462</v>
      </c>
      <c r="J162" s="1">
        <v>108.26134335112876</v>
      </c>
      <c r="K162" s="1">
        <v>1230.0450097</v>
      </c>
      <c r="L162" s="1">
        <v>1166.9402656</v>
      </c>
      <c r="M162" s="1">
        <v>5.9250565740994015</v>
      </c>
      <c r="N162" s="1">
        <v>100.79537969030643</v>
      </c>
      <c r="O162" s="1">
        <v>2.687214078687997</v>
      </c>
      <c r="P162" s="1">
        <v>2.3747341778422197</v>
      </c>
      <c r="Q162" s="1">
        <v>106.06275901466036</v>
      </c>
      <c r="R162" s="1">
        <v>104.3356433735306</v>
      </c>
      <c r="S162" s="1">
        <v>116.55931415176867</v>
      </c>
      <c r="T162" s="1">
        <v>176.15120747384736</v>
      </c>
      <c r="U162" s="1">
        <v>135.33727129385079</v>
      </c>
      <c r="V162" s="1">
        <v>228.3456831090528</v>
      </c>
      <c r="W162" s="1">
        <v>220.83091310861093</v>
      </c>
      <c r="X162" s="1">
        <v>132.79477176929745</v>
      </c>
      <c r="Y162" s="1">
        <v>99.851969999999994</v>
      </c>
      <c r="Z162" s="1">
        <v>100.29092</v>
      </c>
      <c r="AA162" s="1">
        <v>1101</v>
      </c>
      <c r="AB162">
        <v>100.05</v>
      </c>
      <c r="AC162" s="3"/>
      <c r="AD162" s="3"/>
      <c r="AE162" s="3"/>
    </row>
    <row r="163" spans="1:32" x14ac:dyDescent="0.25">
      <c r="A163" s="4">
        <v>41061</v>
      </c>
      <c r="B163" s="1">
        <v>51.788699999999999</v>
      </c>
      <c r="C163" s="1">
        <v>52.402799999999999</v>
      </c>
      <c r="E163" s="1">
        <v>50.4221</v>
      </c>
      <c r="F163" s="1">
        <v>49.538499999999999</v>
      </c>
      <c r="G163" s="1">
        <v>49.3797</v>
      </c>
      <c r="H163" s="1">
        <v>51.225499999999997</v>
      </c>
      <c r="I163" s="1">
        <v>115.85201559047924</v>
      </c>
      <c r="J163" s="1">
        <v>108.04936367489756</v>
      </c>
      <c r="K163" s="1">
        <v>1183.0382506000001</v>
      </c>
      <c r="L163" s="1">
        <v>1135.6522434000001</v>
      </c>
      <c r="M163" s="1">
        <v>5.9309439363266199</v>
      </c>
      <c r="N163" s="1">
        <v>99.988319352267951</v>
      </c>
      <c r="O163" s="1">
        <v>2.5495371496511985</v>
      </c>
      <c r="P163" s="1">
        <v>2.3478642026987986</v>
      </c>
      <c r="Q163" s="1">
        <v>106.07370471769524</v>
      </c>
      <c r="R163" s="1">
        <v>104.5145264179904</v>
      </c>
      <c r="S163" s="1">
        <v>116.77250545054956</v>
      </c>
      <c r="T163" s="1">
        <v>169.98041123816992</v>
      </c>
      <c r="U163" s="1">
        <v>132.33599200392729</v>
      </c>
      <c r="V163" s="1">
        <v>205.11538467694805</v>
      </c>
      <c r="W163" s="1">
        <v>194.35590620821165</v>
      </c>
      <c r="X163" s="1">
        <v>124.0249227093007</v>
      </c>
      <c r="Y163" s="1">
        <v>99.775700000000001</v>
      </c>
      <c r="Z163" s="1">
        <v>101.48862</v>
      </c>
      <c r="AA163" s="1">
        <v>937</v>
      </c>
      <c r="AB163">
        <v>99.33</v>
      </c>
      <c r="AC163" s="3">
        <v>106.56</v>
      </c>
      <c r="AD163" s="3">
        <v>90.66</v>
      </c>
      <c r="AE163" s="3">
        <v>104.99570896174599</v>
      </c>
      <c r="AF163" s="1">
        <v>2.3279442286714018</v>
      </c>
    </row>
    <row r="164" spans="1:32" x14ac:dyDescent="0.25">
      <c r="A164" s="4">
        <v>41091</v>
      </c>
      <c r="B164" s="1">
        <v>50.418999999999997</v>
      </c>
      <c r="C164" s="1">
        <v>52.335900000000002</v>
      </c>
      <c r="E164" s="1">
        <v>50.685600000000001</v>
      </c>
      <c r="F164" s="1">
        <v>48.876600000000003</v>
      </c>
      <c r="G164" s="1">
        <v>49.496600000000001</v>
      </c>
      <c r="H164" s="1">
        <v>50.340899999999998</v>
      </c>
      <c r="I164" s="1">
        <v>116.34278945602912</v>
      </c>
      <c r="J164" s="1">
        <v>108.40398382966249</v>
      </c>
      <c r="K164" s="1">
        <v>1171.3551394000001</v>
      </c>
      <c r="L164" s="1">
        <v>1119.0379691999999</v>
      </c>
      <c r="M164" s="1">
        <v>5.9382086152678948</v>
      </c>
      <c r="N164" s="1">
        <v>100.46432309863765</v>
      </c>
      <c r="O164" s="1">
        <v>2.4095178603898142</v>
      </c>
      <c r="P164" s="1">
        <v>2.2352349580265898</v>
      </c>
      <c r="Q164" s="1">
        <v>106.24336643800505</v>
      </c>
      <c r="R164" s="1">
        <v>104.72766146513668</v>
      </c>
      <c r="S164" s="1">
        <v>123.76063608500732</v>
      </c>
      <c r="T164" s="1">
        <v>166.35899971121523</v>
      </c>
      <c r="U164" s="1">
        <v>134.49567354244527</v>
      </c>
      <c r="V164" s="1">
        <v>214.92379899534706</v>
      </c>
      <c r="W164" s="1">
        <v>208.46644949220789</v>
      </c>
      <c r="X164" s="1">
        <v>123.22005092680313</v>
      </c>
      <c r="Y164" s="1">
        <v>99.712569999999999</v>
      </c>
      <c r="Z164" s="1">
        <v>101.31339</v>
      </c>
      <c r="AA164" s="1">
        <v>1056</v>
      </c>
      <c r="AB164">
        <v>99.6</v>
      </c>
      <c r="AC164" s="3"/>
      <c r="AD164" s="3"/>
      <c r="AE164" s="3"/>
    </row>
    <row r="165" spans="1:32" x14ac:dyDescent="0.25">
      <c r="A165" s="4">
        <v>41122</v>
      </c>
      <c r="B165" s="1">
        <v>50.093699999999998</v>
      </c>
      <c r="C165" s="1">
        <v>52.784399999999998</v>
      </c>
      <c r="E165" s="1">
        <v>50.899900000000002</v>
      </c>
      <c r="F165" s="1">
        <v>48.722099999999998</v>
      </c>
      <c r="G165" s="1">
        <v>50.074199999999998</v>
      </c>
      <c r="H165" s="1">
        <v>50.607300000000002</v>
      </c>
      <c r="I165" s="1">
        <v>117.19910545663272</v>
      </c>
      <c r="J165" s="1">
        <v>108.41513308626737</v>
      </c>
      <c r="K165" s="1">
        <v>1189.9262140999999</v>
      </c>
      <c r="L165" s="1">
        <v>1134.9965465</v>
      </c>
      <c r="M165" s="1">
        <v>5.9194874010653349</v>
      </c>
      <c r="N165" s="1">
        <v>99.64117444130666</v>
      </c>
      <c r="O165" s="1">
        <v>2.3451405138050871</v>
      </c>
      <c r="P165" s="1">
        <v>2.209839352694754</v>
      </c>
      <c r="Q165" s="1">
        <v>106.66876609117153</v>
      </c>
      <c r="R165" s="1">
        <v>104.89104387389628</v>
      </c>
      <c r="S165" s="1">
        <v>125.06783946742235</v>
      </c>
      <c r="T165" s="1">
        <v>154.20961964448682</v>
      </c>
      <c r="U165" s="1">
        <v>133.0685521775101</v>
      </c>
      <c r="V165" s="1">
        <v>228.38041890547041</v>
      </c>
      <c r="W165" s="1">
        <v>225.86081875375535</v>
      </c>
      <c r="X165" s="1">
        <v>120.04965358844375</v>
      </c>
      <c r="Y165" s="1">
        <v>99.673479999999998</v>
      </c>
      <c r="Z165" s="1">
        <v>101.70148</v>
      </c>
      <c r="AA165" s="1">
        <v>761</v>
      </c>
      <c r="AB165">
        <v>99.83</v>
      </c>
      <c r="AC165" s="3"/>
      <c r="AD165" s="3"/>
      <c r="AE165" s="3"/>
    </row>
    <row r="166" spans="1:32" x14ac:dyDescent="0.25">
      <c r="A166" s="4">
        <v>41153</v>
      </c>
      <c r="B166" s="1">
        <v>50.361499999999999</v>
      </c>
      <c r="C166" s="1">
        <v>54.082299999999996</v>
      </c>
      <c r="E166" s="1">
        <v>50.304499999999997</v>
      </c>
      <c r="F166" s="1">
        <v>48.879800000000003</v>
      </c>
      <c r="G166" s="1">
        <v>49.200400000000002</v>
      </c>
      <c r="H166" s="1">
        <v>50.396000000000001</v>
      </c>
      <c r="I166" s="1">
        <v>117.84036785034333</v>
      </c>
      <c r="J166" s="1">
        <v>108.04095327944931</v>
      </c>
      <c r="K166" s="1">
        <v>1199.8832259999999</v>
      </c>
      <c r="L166" s="1">
        <v>1150.5063436</v>
      </c>
      <c r="M166" s="1">
        <v>5.9040957510214529</v>
      </c>
      <c r="N166" s="1">
        <v>100.91458807110885</v>
      </c>
      <c r="O166" s="1">
        <v>2.2501336684534738</v>
      </c>
      <c r="P166" s="1">
        <v>2.2126859635235081</v>
      </c>
      <c r="Q166" s="1">
        <v>107.04260971012154</v>
      </c>
      <c r="R166" s="1">
        <v>105.08911033659449</v>
      </c>
      <c r="S166" s="1">
        <v>122.51791060626283</v>
      </c>
      <c r="T166" s="1">
        <v>156.92482090617159</v>
      </c>
      <c r="U166" s="1">
        <v>134.64435866984834</v>
      </c>
      <c r="V166" s="1">
        <v>230.32900417911242</v>
      </c>
      <c r="W166" s="1">
        <v>224.3929795116062</v>
      </c>
      <c r="X166" s="1">
        <v>122.55314199917372</v>
      </c>
      <c r="Y166" s="1">
        <v>99.665180000000007</v>
      </c>
      <c r="Z166" s="1">
        <v>100.36374000000001</v>
      </c>
      <c r="AA166" s="1">
        <v>707</v>
      </c>
      <c r="AB166">
        <v>100.86</v>
      </c>
      <c r="AC166" s="3">
        <v>106.49</v>
      </c>
      <c r="AD166" s="3">
        <v>90.93</v>
      </c>
      <c r="AE166" s="3">
        <v>105.45030572583688</v>
      </c>
      <c r="AF166" s="1">
        <v>2.9466275329558993</v>
      </c>
    </row>
    <row r="167" spans="1:32" x14ac:dyDescent="0.25">
      <c r="A167" s="4">
        <v>41183</v>
      </c>
      <c r="B167" s="1">
        <v>51.087000000000003</v>
      </c>
      <c r="C167" s="1">
        <v>54.486600000000003</v>
      </c>
      <c r="E167" s="1">
        <v>50.935000000000002</v>
      </c>
      <c r="F167" s="1">
        <v>49.138800000000003</v>
      </c>
      <c r="G167" s="1">
        <v>48.180599999999998</v>
      </c>
      <c r="H167" s="1">
        <v>51.051900000000003</v>
      </c>
      <c r="I167" s="1">
        <v>118.12388681687</v>
      </c>
      <c r="J167" s="1">
        <v>108.61224915074152</v>
      </c>
      <c r="K167" s="1">
        <v>1210.9426839</v>
      </c>
      <c r="L167" s="1">
        <v>1154.8759276999999</v>
      </c>
      <c r="M167" s="1">
        <v>5.9049414320440947</v>
      </c>
      <c r="N167" s="1">
        <v>101.95587026821335</v>
      </c>
      <c r="O167" s="1">
        <v>2.2289207349401101</v>
      </c>
      <c r="P167" s="1">
        <v>2.1915825162922888</v>
      </c>
      <c r="Q167" s="1">
        <v>107.28845034738835</v>
      </c>
      <c r="R167" s="1">
        <v>105.28240247849767</v>
      </c>
      <c r="S167" s="1">
        <v>121.81263788630743</v>
      </c>
      <c r="T167" s="1">
        <v>162.63341061421184</v>
      </c>
      <c r="U167" s="1">
        <v>135.22959766378725</v>
      </c>
      <c r="V167" s="1">
        <v>225.63135207279143</v>
      </c>
      <c r="W167" s="1">
        <v>217.89054289582987</v>
      </c>
      <c r="X167" s="1">
        <v>123.4756242718296</v>
      </c>
      <c r="Y167" s="1">
        <v>99.688630000000003</v>
      </c>
      <c r="Z167" s="1">
        <v>100.02531</v>
      </c>
      <c r="AA167" s="1">
        <v>952</v>
      </c>
      <c r="AB167">
        <v>101.44</v>
      </c>
      <c r="AC167" s="3"/>
      <c r="AD167" s="3"/>
      <c r="AE167" s="3"/>
    </row>
    <row r="168" spans="1:32" x14ac:dyDescent="0.25">
      <c r="A168" s="4">
        <v>41214</v>
      </c>
      <c r="B168" s="1">
        <v>50.912500000000001</v>
      </c>
      <c r="C168" s="1">
        <v>54.770899999999997</v>
      </c>
      <c r="E168" s="1">
        <v>51.274999999999999</v>
      </c>
      <c r="F168" s="1">
        <v>49.862900000000003</v>
      </c>
      <c r="G168" s="1">
        <v>48.081000000000003</v>
      </c>
      <c r="H168" s="1">
        <v>51.6798</v>
      </c>
      <c r="I168" s="1">
        <v>118.55230654322698</v>
      </c>
      <c r="J168" s="1">
        <v>108.79448225510302</v>
      </c>
      <c r="K168" s="1">
        <v>1209.721867</v>
      </c>
      <c r="L168" s="1">
        <v>1145.0337626</v>
      </c>
      <c r="M168" s="1">
        <v>5.916238278385439</v>
      </c>
      <c r="N168" s="1">
        <v>101.77884019766209</v>
      </c>
      <c r="O168" s="1">
        <v>2.1760872261643849</v>
      </c>
      <c r="P168" s="1">
        <v>2.1865327294874088</v>
      </c>
      <c r="Q168" s="1">
        <v>107.39533318928353</v>
      </c>
      <c r="R168" s="1">
        <v>105.45591206663212</v>
      </c>
      <c r="S168" s="1">
        <v>120.92702413406046</v>
      </c>
      <c r="T168" s="1">
        <v>162.69193832813815</v>
      </c>
      <c r="U168" s="1">
        <v>133.8273394850649</v>
      </c>
      <c r="V168" s="1">
        <v>221.98324538315228</v>
      </c>
      <c r="W168" s="1">
        <v>214.73753140524624</v>
      </c>
      <c r="X168" s="1">
        <v>122.60777854291372</v>
      </c>
      <c r="Y168" s="1">
        <v>99.740780000000001</v>
      </c>
      <c r="Z168" s="1">
        <v>100.15933</v>
      </c>
      <c r="AA168" s="1">
        <v>1025</v>
      </c>
      <c r="AB168">
        <v>101.21</v>
      </c>
      <c r="AC168" s="3"/>
      <c r="AD168" s="3"/>
      <c r="AE168" s="3"/>
    </row>
    <row r="169" spans="1:32" x14ac:dyDescent="0.25">
      <c r="A169" s="4">
        <v>41244</v>
      </c>
      <c r="B169" s="1">
        <v>51.369199999999999</v>
      </c>
      <c r="C169" s="1">
        <v>55.163600000000002</v>
      </c>
      <c r="E169" s="1">
        <v>51.529400000000003</v>
      </c>
      <c r="F169" s="1">
        <v>50.2804</v>
      </c>
      <c r="G169" s="1">
        <v>48.508899999999997</v>
      </c>
      <c r="H169" s="1">
        <v>51.455199999999998</v>
      </c>
      <c r="I169" s="1">
        <v>119.33755459561954</v>
      </c>
      <c r="J169" s="1">
        <v>109.13567084153179</v>
      </c>
      <c r="K169" s="1">
        <v>1201.8095668999999</v>
      </c>
      <c r="L169" s="1">
        <v>1151.8238692</v>
      </c>
      <c r="M169" s="1">
        <v>5.9402507530170805</v>
      </c>
      <c r="N169" s="1">
        <v>100.76134652788591</v>
      </c>
      <c r="O169" s="1">
        <v>2.0874669066290745</v>
      </c>
      <c r="P169" s="1">
        <v>2.1740851648338211</v>
      </c>
      <c r="Q169" s="1">
        <v>107.63832305615225</v>
      </c>
      <c r="R169" s="1">
        <v>105.6413146848292</v>
      </c>
      <c r="S169" s="1">
        <v>121.17606019939895</v>
      </c>
      <c r="T169" s="1">
        <v>171.85464571819227</v>
      </c>
      <c r="U169" s="1">
        <v>135.20407520976033</v>
      </c>
      <c r="V169" s="1">
        <v>221.99254097164575</v>
      </c>
      <c r="W169" s="1">
        <v>213.42350584364127</v>
      </c>
      <c r="X169" s="1">
        <v>124.25906808063732</v>
      </c>
      <c r="Y169" s="1">
        <v>99.813100000000006</v>
      </c>
      <c r="Z169" s="1">
        <v>99.307580000000002</v>
      </c>
      <c r="AA169" s="1">
        <v>856</v>
      </c>
      <c r="AB169">
        <v>101.79</v>
      </c>
      <c r="AC169" s="3">
        <v>106.81</v>
      </c>
      <c r="AD169" s="3">
        <v>90.85</v>
      </c>
      <c r="AE169" s="3">
        <v>105.8343108035569</v>
      </c>
      <c r="AF169" s="1">
        <v>2.7959840543627288</v>
      </c>
    </row>
    <row r="170" spans="1:32" x14ac:dyDescent="0.25">
      <c r="A170" s="4">
        <v>41275</v>
      </c>
      <c r="B170" s="1">
        <v>52.9435</v>
      </c>
      <c r="C170" s="1">
        <v>54.576999999999998</v>
      </c>
      <c r="E170" s="1">
        <v>50.765300000000003</v>
      </c>
      <c r="F170" s="1">
        <v>51.531100000000002</v>
      </c>
      <c r="G170" s="1">
        <v>49.017000000000003</v>
      </c>
      <c r="H170" s="1">
        <v>52.174599999999998</v>
      </c>
      <c r="I170" s="1">
        <v>119.63260055064669</v>
      </c>
      <c r="J170" s="1">
        <v>109.32122025311912</v>
      </c>
      <c r="K170" s="1">
        <v>1243.6716604999999</v>
      </c>
      <c r="L170" s="1">
        <v>1173.5462156999999</v>
      </c>
      <c r="M170" s="1">
        <v>5.9946997580664814</v>
      </c>
      <c r="N170" s="1">
        <v>99.842423817765862</v>
      </c>
      <c r="O170" s="1">
        <v>2.3479762923293812</v>
      </c>
      <c r="P170" s="1">
        <v>2.2826983035281079</v>
      </c>
      <c r="Q170" s="1">
        <v>107.90968851823686</v>
      </c>
      <c r="R170" s="1">
        <v>105.81338443573436</v>
      </c>
      <c r="S170" s="1">
        <v>122.69225311003562</v>
      </c>
      <c r="T170" s="1">
        <v>183.41363306458015</v>
      </c>
      <c r="U170" s="1">
        <v>137.95027684543058</v>
      </c>
      <c r="V170" s="1">
        <v>228.24927882025304</v>
      </c>
      <c r="W170" s="1">
        <v>222.00846236269447</v>
      </c>
      <c r="X170" s="1">
        <v>126.62622371401628</v>
      </c>
      <c r="Y170" s="1">
        <v>99.892120000000006</v>
      </c>
      <c r="Z170" s="1">
        <v>99.14716</v>
      </c>
      <c r="AA170" s="1">
        <v>771</v>
      </c>
      <c r="AB170">
        <v>102.48</v>
      </c>
      <c r="AC170" s="3"/>
      <c r="AD170" s="3"/>
      <c r="AE170" s="3"/>
    </row>
    <row r="171" spans="1:32" x14ac:dyDescent="0.25">
      <c r="A171" s="4">
        <v>41306</v>
      </c>
      <c r="B171" s="1">
        <v>52.148299999999999</v>
      </c>
      <c r="C171" s="1">
        <v>54.343600000000002</v>
      </c>
      <c r="E171" s="1">
        <v>50.451000000000001</v>
      </c>
      <c r="F171" s="1">
        <v>50.879100000000001</v>
      </c>
      <c r="G171" s="1">
        <v>48.940800000000003</v>
      </c>
      <c r="H171" s="1">
        <v>51.923999999999999</v>
      </c>
      <c r="I171" s="1">
        <v>120.49778645543788</v>
      </c>
      <c r="J171" s="1">
        <v>109.5081181133627</v>
      </c>
      <c r="K171" s="1">
        <v>1228.2456095</v>
      </c>
      <c r="L171" s="1">
        <v>1179.3316861999999</v>
      </c>
      <c r="M171" s="1">
        <v>5.9463315623175408</v>
      </c>
      <c r="N171" s="1">
        <v>101.6567991568138</v>
      </c>
      <c r="O171" s="1">
        <v>2.4944561658405591</v>
      </c>
      <c r="P171" s="1">
        <v>2.2792530711735024</v>
      </c>
      <c r="Q171" s="1">
        <v>108.25895384121984</v>
      </c>
      <c r="R171" s="1">
        <v>105.99957655221483</v>
      </c>
      <c r="S171" s="1">
        <v>122.14466380718009</v>
      </c>
      <c r="T171" s="1">
        <v>185.80548519520644</v>
      </c>
      <c r="U171" s="1">
        <v>137.45311317259927</v>
      </c>
      <c r="V171" s="1">
        <v>232.74044183137357</v>
      </c>
      <c r="W171" s="1">
        <v>228.80538328086382</v>
      </c>
      <c r="X171" s="1">
        <v>125.00540336905179</v>
      </c>
      <c r="Y171" s="1">
        <v>99.964439999999996</v>
      </c>
      <c r="Z171" s="1">
        <v>100.50848000000001</v>
      </c>
      <c r="AA171" s="1">
        <v>745</v>
      </c>
      <c r="AB171">
        <v>102.71</v>
      </c>
      <c r="AC171" s="3"/>
      <c r="AD171" s="3"/>
      <c r="AE171" s="3"/>
    </row>
    <row r="172" spans="1:32" x14ac:dyDescent="0.25">
      <c r="A172" s="4">
        <v>41334</v>
      </c>
      <c r="B172" s="1">
        <v>52.191000000000003</v>
      </c>
      <c r="C172" s="1">
        <v>53.027900000000002</v>
      </c>
      <c r="E172" s="1">
        <v>50.638800000000003</v>
      </c>
      <c r="F172" s="1">
        <v>51.117800000000003</v>
      </c>
      <c r="G172" s="1">
        <v>49.383000000000003</v>
      </c>
      <c r="H172" s="1">
        <v>51.880099999999999</v>
      </c>
      <c r="I172" s="1">
        <v>120.88230004322628</v>
      </c>
      <c r="J172" s="1">
        <v>110.21438043172884</v>
      </c>
      <c r="K172" s="1">
        <v>1204.5899602</v>
      </c>
      <c r="L172" s="1">
        <v>1168.7408106</v>
      </c>
      <c r="M172" s="1">
        <v>5.9379917280934329</v>
      </c>
      <c r="N172" s="1">
        <v>100.47698296238296</v>
      </c>
      <c r="O172" s="1">
        <v>2.4366769917947244</v>
      </c>
      <c r="P172" s="1">
        <v>2.2569935737545244</v>
      </c>
      <c r="Q172" s="1">
        <v>108.28793299160755</v>
      </c>
      <c r="R172" s="1">
        <v>106.20883900596682</v>
      </c>
      <c r="S172" s="1">
        <v>122.41755164238893</v>
      </c>
      <c r="T172" s="1">
        <v>172.55957454233271</v>
      </c>
      <c r="U172" s="1">
        <v>134.24141411567973</v>
      </c>
      <c r="V172" s="1">
        <v>226.16019409680399</v>
      </c>
      <c r="W172" s="1">
        <v>221.55370812698717</v>
      </c>
      <c r="X172" s="1">
        <v>124.03353252291816</v>
      </c>
      <c r="Y172" s="1">
        <v>100.0254</v>
      </c>
      <c r="Z172" s="1">
        <v>101.10413</v>
      </c>
      <c r="AA172" s="1">
        <v>876</v>
      </c>
      <c r="AB172">
        <v>102.66</v>
      </c>
      <c r="AC172" s="3">
        <v>105.91</v>
      </c>
      <c r="AD172" s="3">
        <v>90.78</v>
      </c>
      <c r="AE172" s="3">
        <v>106.5890179251515</v>
      </c>
      <c r="AF172" s="1">
        <v>3.6858818363382193</v>
      </c>
    </row>
    <row r="173" spans="1:32" x14ac:dyDescent="0.25">
      <c r="A173" s="4">
        <v>41365</v>
      </c>
      <c r="B173" s="1">
        <v>51.737099999999998</v>
      </c>
      <c r="C173" s="1">
        <v>52.107999999999997</v>
      </c>
      <c r="E173" s="1">
        <v>50.574100000000001</v>
      </c>
      <c r="F173" s="1">
        <v>50.388300000000001</v>
      </c>
      <c r="G173" s="1">
        <v>49.945099999999996</v>
      </c>
      <c r="H173" s="1">
        <v>51.593200000000003</v>
      </c>
      <c r="I173" s="1">
        <v>121.12069177561295</v>
      </c>
      <c r="J173" s="1">
        <v>110.77796914853835</v>
      </c>
      <c r="K173" s="1">
        <v>1220.8574602000001</v>
      </c>
      <c r="L173" s="1">
        <v>1170.2170653000001</v>
      </c>
      <c r="M173" s="1">
        <v>5.9534437552480188</v>
      </c>
      <c r="N173" s="1">
        <v>101.61042747030503</v>
      </c>
      <c r="O173" s="1">
        <v>2.3350309615200757</v>
      </c>
      <c r="P173" s="1">
        <v>2.26064720529972</v>
      </c>
      <c r="Q173" s="1">
        <v>108.37031269954811</v>
      </c>
      <c r="R173" s="1">
        <v>106.30366911748415</v>
      </c>
      <c r="S173" s="1">
        <v>124.72993762294473</v>
      </c>
      <c r="T173" s="1">
        <v>166.76636709970964</v>
      </c>
      <c r="U173" s="1">
        <v>132.23611325450071</v>
      </c>
      <c r="V173" s="1">
        <v>220.95769320756696</v>
      </c>
      <c r="W173" s="1">
        <v>213.31312857159358</v>
      </c>
      <c r="X173" s="1">
        <v>123.43200383555597</v>
      </c>
      <c r="Y173" s="1">
        <v>100.074</v>
      </c>
      <c r="Z173" s="1">
        <v>100.70039</v>
      </c>
      <c r="AA173" s="1">
        <v>874</v>
      </c>
      <c r="AB173">
        <v>103.1</v>
      </c>
      <c r="AC173" s="3"/>
      <c r="AD173" s="3"/>
      <c r="AE173" s="3"/>
    </row>
    <row r="174" spans="1:32" x14ac:dyDescent="0.25">
      <c r="A174" s="4">
        <v>41395</v>
      </c>
      <c r="B174" s="1">
        <v>52.043999999999997</v>
      </c>
      <c r="C174" s="1">
        <v>52.085799999999999</v>
      </c>
      <c r="E174" s="1">
        <v>51.125</v>
      </c>
      <c r="F174" s="1">
        <v>50.4754</v>
      </c>
      <c r="G174" s="1">
        <v>49.6265</v>
      </c>
      <c r="H174" s="1">
        <v>52.6128</v>
      </c>
      <c r="I174" s="1">
        <v>122.19163670091548</v>
      </c>
      <c r="J174" s="1">
        <v>110.99794033662067</v>
      </c>
      <c r="K174" s="1">
        <v>1206.6277121999999</v>
      </c>
      <c r="L174" s="1">
        <v>1153.3335999999999</v>
      </c>
      <c r="M174" s="1">
        <v>5.9392079460129104</v>
      </c>
      <c r="N174" s="1">
        <v>102.08830712752817</v>
      </c>
      <c r="O174" s="1">
        <v>2.3673963741786825</v>
      </c>
      <c r="P174" s="1">
        <v>2.2019556159114617</v>
      </c>
      <c r="Q174" s="1">
        <v>108.5160018655464</v>
      </c>
      <c r="R174" s="1">
        <v>106.4782107299163</v>
      </c>
      <c r="S174" s="1">
        <v>127.63365784556413</v>
      </c>
      <c r="T174" s="1">
        <v>159.23665834184712</v>
      </c>
      <c r="U174" s="1">
        <v>130.89412539211295</v>
      </c>
      <c r="V174" s="1">
        <v>220.34856494773064</v>
      </c>
      <c r="W174" s="1">
        <v>215.01161966281305</v>
      </c>
      <c r="X174" s="1">
        <v>126.88538401888484</v>
      </c>
      <c r="Y174" s="1">
        <v>100.122</v>
      </c>
      <c r="Z174" s="1">
        <v>101.91965999999999</v>
      </c>
      <c r="AA174" s="1">
        <v>851</v>
      </c>
      <c r="AB174">
        <v>103.64</v>
      </c>
      <c r="AC174" s="3"/>
      <c r="AD174" s="3"/>
      <c r="AE174" s="3"/>
    </row>
    <row r="175" spans="1:32" x14ac:dyDescent="0.25">
      <c r="A175" s="4">
        <v>41426</v>
      </c>
      <c r="B175" s="1">
        <v>52.081200000000003</v>
      </c>
      <c r="C175" s="1">
        <v>52.561300000000003</v>
      </c>
      <c r="E175" s="1">
        <v>50.8735</v>
      </c>
      <c r="F175" s="1">
        <v>50.273099999999999</v>
      </c>
      <c r="G175" s="1">
        <v>49.769500000000001</v>
      </c>
      <c r="H175" s="1">
        <v>52.940899999999999</v>
      </c>
      <c r="I175" s="1">
        <v>122.97380953381342</v>
      </c>
      <c r="J175" s="1">
        <v>110.9542237022164</v>
      </c>
      <c r="K175" s="1">
        <v>1183.7679459999999</v>
      </c>
      <c r="L175" s="1">
        <v>1148.807294</v>
      </c>
      <c r="M175" s="1">
        <v>5.9353061049199631</v>
      </c>
      <c r="N175" s="1">
        <v>103.33335450282745</v>
      </c>
      <c r="O175" s="1">
        <v>2.7184488104367857</v>
      </c>
      <c r="P175" s="1">
        <v>2.1959365521630603</v>
      </c>
      <c r="Q175" s="1">
        <v>108.83406263737443</v>
      </c>
      <c r="R175" s="1">
        <v>106.6833859478252</v>
      </c>
      <c r="S175" s="1">
        <v>125.98373954060307</v>
      </c>
      <c r="T175" s="1">
        <v>152.21171064458161</v>
      </c>
      <c r="U175" s="1">
        <v>127.13110656026103</v>
      </c>
      <c r="V175" s="1">
        <v>219.98348059465556</v>
      </c>
      <c r="W175" s="1">
        <v>213.77915780510716</v>
      </c>
      <c r="X175" s="1">
        <v>124.56361482848482</v>
      </c>
      <c r="Y175" s="1">
        <v>100.1703</v>
      </c>
      <c r="Z175" s="1">
        <v>102.96297</v>
      </c>
      <c r="AA175" s="1">
        <v>941</v>
      </c>
      <c r="AB175">
        <v>103.64</v>
      </c>
      <c r="AC175" s="3">
        <v>106.1</v>
      </c>
      <c r="AD175" s="3">
        <v>91.32</v>
      </c>
      <c r="AE175" s="3">
        <v>107.38424134358769</v>
      </c>
      <c r="AF175" s="1">
        <v>3.7170158383485248</v>
      </c>
    </row>
    <row r="176" spans="1:32" x14ac:dyDescent="0.25">
      <c r="A176" s="4">
        <v>41456</v>
      </c>
      <c r="B176" s="1">
        <v>52.962899999999998</v>
      </c>
      <c r="C176" s="1">
        <v>54.531100000000002</v>
      </c>
      <c r="E176" s="1">
        <v>51.376100000000001</v>
      </c>
      <c r="F176" s="1">
        <v>50.4056</v>
      </c>
      <c r="G176" s="1">
        <v>48.426600000000001</v>
      </c>
      <c r="H176" s="1">
        <v>53.416800000000002</v>
      </c>
      <c r="I176" s="1">
        <v>123.66084056634932</v>
      </c>
      <c r="J176" s="1">
        <v>111.5133962055308</v>
      </c>
      <c r="K176" s="1">
        <v>1211.3251372</v>
      </c>
      <c r="L176" s="1">
        <v>1150.8882383</v>
      </c>
      <c r="M176" s="1">
        <v>5.8954263778747356</v>
      </c>
      <c r="N176" s="1">
        <v>103.17593312878117</v>
      </c>
      <c r="O176" s="1">
        <v>2.7999657649034111</v>
      </c>
      <c r="P176" s="1">
        <v>2.2176347972843473</v>
      </c>
      <c r="Q176" s="1">
        <v>109.15729374830082</v>
      </c>
      <c r="R176" s="1">
        <v>106.9024221320344</v>
      </c>
      <c r="S176" s="1">
        <v>124.72596485535155</v>
      </c>
      <c r="T176" s="1">
        <v>155.91798851580947</v>
      </c>
      <c r="U176" s="1">
        <v>125.93388921972415</v>
      </c>
      <c r="V176" s="1">
        <v>227.02294237799063</v>
      </c>
      <c r="W176" s="1">
        <v>226.91190574376427</v>
      </c>
      <c r="X176" s="1">
        <v>119.12028494161505</v>
      </c>
      <c r="Y176" s="1">
        <v>100.2183</v>
      </c>
      <c r="Z176" s="1">
        <v>103.33183</v>
      </c>
      <c r="AA176" s="1">
        <v>1123</v>
      </c>
      <c r="AB176">
        <v>103.78</v>
      </c>
      <c r="AC176" s="3"/>
      <c r="AD176" s="3"/>
      <c r="AE176" s="3"/>
    </row>
    <row r="177" spans="1:32" x14ac:dyDescent="0.25">
      <c r="A177" s="4">
        <v>41487</v>
      </c>
      <c r="B177" s="1">
        <v>53.577300000000001</v>
      </c>
      <c r="C177" s="1">
        <v>55.0471</v>
      </c>
      <c r="E177" s="1">
        <v>50.761699999999998</v>
      </c>
      <c r="F177" s="1">
        <v>51.3384</v>
      </c>
      <c r="G177" s="1">
        <v>47.839500000000001</v>
      </c>
      <c r="H177" s="1">
        <v>53.7346</v>
      </c>
      <c r="I177" s="1">
        <v>124.18100351833891</v>
      </c>
      <c r="J177" s="1">
        <v>112.18076548746438</v>
      </c>
      <c r="K177" s="1">
        <v>1208.6083716999999</v>
      </c>
      <c r="L177" s="1">
        <v>1175.2633191</v>
      </c>
      <c r="M177" s="1">
        <v>5.8742564693404145</v>
      </c>
      <c r="N177" s="1">
        <v>103.13289927471456</v>
      </c>
      <c r="O177" s="1">
        <v>2.976094824903242</v>
      </c>
      <c r="P177" s="1">
        <v>2.2342522812054035</v>
      </c>
      <c r="Q177" s="1">
        <v>109.43806052368446</v>
      </c>
      <c r="R177" s="1">
        <v>107.12687617777456</v>
      </c>
      <c r="S177" s="1">
        <v>121.40981240350865</v>
      </c>
      <c r="T177" s="1">
        <v>163.35895747504452</v>
      </c>
      <c r="U177" s="1">
        <v>126.8056465496537</v>
      </c>
      <c r="V177" s="1">
        <v>232.23419438464921</v>
      </c>
      <c r="W177" s="1">
        <v>230.85197616790606</v>
      </c>
      <c r="X177" s="1">
        <v>119.64208519687101</v>
      </c>
      <c r="Y177" s="1">
        <v>100.2627</v>
      </c>
      <c r="Z177" s="1">
        <v>103.04993</v>
      </c>
      <c r="AA177" s="1">
        <v>1088</v>
      </c>
      <c r="AB177">
        <v>104.28</v>
      </c>
      <c r="AC177" s="3"/>
      <c r="AD177" s="3"/>
      <c r="AE177" s="3"/>
    </row>
    <row r="178" spans="1:32" x14ac:dyDescent="0.25">
      <c r="A178" s="4">
        <v>41518</v>
      </c>
      <c r="B178" s="1">
        <v>53.704599999999999</v>
      </c>
      <c r="C178" s="1">
        <v>55.444099999999999</v>
      </c>
      <c r="E178" s="1">
        <v>51.656599999999997</v>
      </c>
      <c r="F178" s="1">
        <v>51.518500000000003</v>
      </c>
      <c r="G178" s="1">
        <v>49.189700000000002</v>
      </c>
      <c r="H178" s="1">
        <v>54.473100000000002</v>
      </c>
      <c r="I178" s="1">
        <v>124.60655593553579</v>
      </c>
      <c r="J178" s="1">
        <v>112.71016967631786</v>
      </c>
      <c r="K178" s="1">
        <v>1211.4387374999999</v>
      </c>
      <c r="L178" s="1">
        <v>1165.2662419000001</v>
      </c>
      <c r="M178" s="1">
        <v>5.8709163562032618</v>
      </c>
      <c r="N178" s="1">
        <v>103.20479689672642</v>
      </c>
      <c r="O178" s="1">
        <v>3.0933571683281262</v>
      </c>
      <c r="P178" s="1">
        <v>2.2392577604131336</v>
      </c>
      <c r="Q178" s="1">
        <v>109.67487874946602</v>
      </c>
      <c r="R178" s="1">
        <v>107.36917493760664</v>
      </c>
      <c r="S178" s="1">
        <v>117.60617639844709</v>
      </c>
      <c r="T178" s="1">
        <v>160.86286437538556</v>
      </c>
      <c r="U178" s="1">
        <v>124.22824021882883</v>
      </c>
      <c r="V178" s="1">
        <v>234.33559383223124</v>
      </c>
      <c r="W178" s="1">
        <v>231.74482946583376</v>
      </c>
      <c r="X178" s="1">
        <v>119.31100633021778</v>
      </c>
      <c r="Y178" s="1">
        <v>100.301</v>
      </c>
      <c r="Z178" s="1">
        <v>102.30983999999999</v>
      </c>
      <c r="AA178" s="1">
        <v>1681</v>
      </c>
      <c r="AB178">
        <v>104.75</v>
      </c>
      <c r="AC178" s="3">
        <v>106.43</v>
      </c>
      <c r="AD178" s="3">
        <v>91.79</v>
      </c>
      <c r="AE178" s="3">
        <v>108.30365654180609</v>
      </c>
      <c r="AF178" s="1">
        <v>4.2560925150565865</v>
      </c>
    </row>
    <row r="179" spans="1:32" x14ac:dyDescent="0.25">
      <c r="A179" s="4">
        <v>41548</v>
      </c>
      <c r="B179" s="1">
        <v>53.466299999999997</v>
      </c>
      <c r="C179" s="1">
        <v>55.437399999999997</v>
      </c>
      <c r="E179" s="1">
        <v>51.930799999999998</v>
      </c>
      <c r="F179" s="1">
        <v>51.829000000000001</v>
      </c>
      <c r="G179" s="1">
        <v>49.791400000000003</v>
      </c>
      <c r="H179" s="1">
        <v>52.004100000000001</v>
      </c>
      <c r="I179" s="1">
        <v>125.04883697939194</v>
      </c>
      <c r="J179" s="1">
        <v>112.82354420166081</v>
      </c>
      <c r="K179" s="1">
        <v>1234.3150246</v>
      </c>
      <c r="L179" s="1">
        <v>1190.0119405</v>
      </c>
      <c r="M179" s="1">
        <v>5.8370794070097283</v>
      </c>
      <c r="N179" s="1">
        <v>101.97967868934315</v>
      </c>
      <c r="O179" s="1">
        <v>2.9144853810000764</v>
      </c>
      <c r="P179" s="1">
        <v>2.2571939996993251</v>
      </c>
      <c r="Q179" s="1">
        <v>109.85909553970504</v>
      </c>
      <c r="R179" s="1">
        <v>107.57534699850584</v>
      </c>
      <c r="S179" s="1">
        <v>116.52026455003532</v>
      </c>
      <c r="T179" s="1">
        <v>161.12109614272276</v>
      </c>
      <c r="U179" s="1">
        <v>122.94994169420242</v>
      </c>
      <c r="V179" s="1">
        <v>229.39393156824829</v>
      </c>
      <c r="W179" s="1">
        <v>222.31591627534411</v>
      </c>
      <c r="X179" s="1">
        <v>118.76414649231548</v>
      </c>
      <c r="Y179" s="1">
        <v>100.3312</v>
      </c>
      <c r="Z179" s="1">
        <v>101.05437000000001</v>
      </c>
      <c r="AA179" s="1">
        <v>1883</v>
      </c>
      <c r="AB179">
        <v>104.62</v>
      </c>
      <c r="AC179" s="3"/>
      <c r="AD179" s="3"/>
      <c r="AE179" s="3"/>
    </row>
    <row r="180" spans="1:32" x14ac:dyDescent="0.25">
      <c r="A180" s="4">
        <v>41579</v>
      </c>
      <c r="B180" s="1">
        <v>54.430300000000003</v>
      </c>
      <c r="C180" s="1">
        <v>55.323700000000002</v>
      </c>
      <c r="E180" s="1">
        <v>51.018099999999997</v>
      </c>
      <c r="F180" s="1">
        <v>52.6143</v>
      </c>
      <c r="G180" s="1">
        <v>48.968400000000003</v>
      </c>
      <c r="H180" s="1">
        <v>53.679299999999998</v>
      </c>
      <c r="I180" s="1">
        <v>126.13022655596362</v>
      </c>
      <c r="J180" s="1">
        <v>113.42956975527774</v>
      </c>
      <c r="K180" s="1">
        <v>1216.8393194</v>
      </c>
      <c r="L180" s="1">
        <v>1191.8402659000001</v>
      </c>
      <c r="M180" s="1">
        <v>5.7945261030899573</v>
      </c>
      <c r="N180" s="1">
        <v>101.84350894454208</v>
      </c>
      <c r="O180" s="1">
        <v>2.8934686972867785</v>
      </c>
      <c r="P180" s="1">
        <v>2.2261370594958181</v>
      </c>
      <c r="Q180" s="1">
        <v>110.16716651840601</v>
      </c>
      <c r="R180" s="1">
        <v>107.82687392298487</v>
      </c>
      <c r="S180" s="1">
        <v>117.54426006742891</v>
      </c>
      <c r="T180" s="1">
        <v>161.39402232968087</v>
      </c>
      <c r="U180" s="1">
        <v>122.77488489967989</v>
      </c>
      <c r="V180" s="1">
        <v>225.43704860416059</v>
      </c>
      <c r="W180" s="1">
        <v>217.60941778386359</v>
      </c>
      <c r="X180" s="1">
        <v>118.57503690464002</v>
      </c>
      <c r="Y180" s="1">
        <v>100.3524</v>
      </c>
      <c r="Z180" s="1">
        <v>101.36369000000001</v>
      </c>
      <c r="AA180" s="1">
        <v>1559</v>
      </c>
      <c r="AB180">
        <v>105.27</v>
      </c>
      <c r="AC180" s="3"/>
      <c r="AD180" s="3"/>
      <c r="AE180" s="3"/>
    </row>
    <row r="181" spans="1:32" x14ac:dyDescent="0.25">
      <c r="A181" s="4">
        <v>41609</v>
      </c>
      <c r="B181" s="1">
        <v>54.600099999999998</v>
      </c>
      <c r="C181" s="1">
        <v>54.9527</v>
      </c>
      <c r="E181" s="1">
        <v>52.024099999999997</v>
      </c>
      <c r="F181" s="1">
        <v>52.716000000000001</v>
      </c>
      <c r="G181" s="1">
        <v>49.3735</v>
      </c>
      <c r="H181" s="1">
        <v>53.432400000000001</v>
      </c>
      <c r="I181" s="1">
        <v>126.93267950938403</v>
      </c>
      <c r="J181" s="1">
        <v>113.52981730792513</v>
      </c>
      <c r="K181" s="1">
        <v>1220.3398173999999</v>
      </c>
      <c r="L181" s="1">
        <v>1183.9810898999999</v>
      </c>
      <c r="M181" s="1">
        <v>5.7783170001316435</v>
      </c>
      <c r="N181" s="1">
        <v>102.79973682077198</v>
      </c>
      <c r="O181" s="1">
        <v>3.1026415175327142</v>
      </c>
      <c r="P181" s="1">
        <v>2.2225989548239116</v>
      </c>
      <c r="Q181" s="1">
        <v>110.40293670630381</v>
      </c>
      <c r="R181" s="1">
        <v>108.00550828386545</v>
      </c>
      <c r="S181" s="1">
        <v>118.86831946874091</v>
      </c>
      <c r="T181" s="1">
        <v>162.38486296209288</v>
      </c>
      <c r="U181" s="1">
        <v>123.30734375836781</v>
      </c>
      <c r="V181" s="1">
        <v>233.48192889050762</v>
      </c>
      <c r="W181" s="1">
        <v>222.56815658393171</v>
      </c>
      <c r="X181" s="1">
        <v>121.22044814961006</v>
      </c>
      <c r="Y181" s="1">
        <v>100.3605</v>
      </c>
      <c r="Z181" s="1">
        <v>101.33004</v>
      </c>
      <c r="AA181" s="1">
        <v>2178</v>
      </c>
      <c r="AB181">
        <v>105.55</v>
      </c>
      <c r="AC181" s="3">
        <v>106.52</v>
      </c>
      <c r="AD181" s="3">
        <v>92.09</v>
      </c>
      <c r="AE181" s="3">
        <v>109.05560942159624</v>
      </c>
      <c r="AF181" s="1">
        <v>3.6215858139020591</v>
      </c>
    </row>
    <row r="182" spans="1:32" x14ac:dyDescent="0.25">
      <c r="A182" s="4">
        <v>41640</v>
      </c>
      <c r="B182" s="1">
        <v>53.855899999999998</v>
      </c>
      <c r="C182" s="1">
        <v>54.959600000000002</v>
      </c>
      <c r="E182" s="1">
        <v>51.632300000000001</v>
      </c>
      <c r="F182" s="1">
        <v>52.734400000000001</v>
      </c>
      <c r="G182" s="1">
        <v>48.895000000000003</v>
      </c>
      <c r="H182" s="1">
        <v>53.683799999999998</v>
      </c>
      <c r="I182" s="1">
        <v>127.14467315262003</v>
      </c>
      <c r="J182" s="1">
        <v>113.88188250296962</v>
      </c>
      <c r="K182" s="1">
        <v>1258.8085791999999</v>
      </c>
      <c r="L182" s="1">
        <v>1204.3933972</v>
      </c>
      <c r="M182" s="1">
        <v>5.7820597717188882</v>
      </c>
      <c r="N182" s="1">
        <v>103.01613736914705</v>
      </c>
      <c r="O182" s="1">
        <v>3.2868036437577905</v>
      </c>
      <c r="P182" s="1">
        <v>2.3365070590889077</v>
      </c>
      <c r="Q182" s="1">
        <v>110.6288213248378</v>
      </c>
      <c r="R182" s="1">
        <v>108.1788284299372</v>
      </c>
      <c r="S182" s="1">
        <v>119.51695583238079</v>
      </c>
      <c r="T182" s="1">
        <v>159.42779896331297</v>
      </c>
      <c r="U182" s="1">
        <v>123.74318505334632</v>
      </c>
      <c r="V182" s="1">
        <v>229.99734882952936</v>
      </c>
      <c r="W182" s="1">
        <v>216.11212059111281</v>
      </c>
      <c r="X182" s="1">
        <v>118.61104688830959</v>
      </c>
      <c r="Y182" s="1">
        <v>100.3592</v>
      </c>
      <c r="Z182" s="1">
        <v>102.45294</v>
      </c>
      <c r="AA182" s="1">
        <v>1472</v>
      </c>
      <c r="AB182">
        <v>105.79</v>
      </c>
      <c r="AC182" s="3"/>
      <c r="AD182" s="3"/>
      <c r="AE182" s="3"/>
    </row>
    <row r="183" spans="1:32" x14ac:dyDescent="0.25">
      <c r="A183" s="4">
        <v>41671</v>
      </c>
      <c r="B183" s="1">
        <v>53.960999999999999</v>
      </c>
      <c r="C183" s="1">
        <v>54.136899999999997</v>
      </c>
      <c r="E183" s="1">
        <v>51.305399999999999</v>
      </c>
      <c r="F183" s="1">
        <v>52.698700000000002</v>
      </c>
      <c r="G183" s="1">
        <v>49.087600000000002</v>
      </c>
      <c r="H183" s="1">
        <v>52.520600000000002</v>
      </c>
      <c r="I183" s="1">
        <v>127.72014156977561</v>
      </c>
      <c r="J183" s="1">
        <v>114.51864597624228</v>
      </c>
      <c r="K183" s="1">
        <v>1233.8667624</v>
      </c>
      <c r="L183" s="1">
        <v>1165.7781866</v>
      </c>
      <c r="M183" s="1">
        <v>5.7778043320489747</v>
      </c>
      <c r="N183" s="1">
        <v>102.42021406444849</v>
      </c>
      <c r="O183" s="1">
        <v>3.1190920766305643</v>
      </c>
      <c r="P183" s="1">
        <v>2.4065931346574923</v>
      </c>
      <c r="Q183" s="1">
        <v>110.85798353763859</v>
      </c>
      <c r="R183" s="1">
        <v>108.38523555341206</v>
      </c>
      <c r="S183" s="1">
        <v>122.57073641041897</v>
      </c>
      <c r="T183" s="1">
        <v>155.16469472624712</v>
      </c>
      <c r="U183" s="1">
        <v>125.9253209031536</v>
      </c>
      <c r="V183" s="1">
        <v>237.20878910677422</v>
      </c>
      <c r="W183" s="1">
        <v>220.88039253867245</v>
      </c>
      <c r="X183" s="1">
        <v>118.40172537262072</v>
      </c>
      <c r="Y183" s="1">
        <v>100.3604</v>
      </c>
      <c r="Z183" s="1">
        <v>103.58405</v>
      </c>
      <c r="AA183" s="1">
        <v>1140</v>
      </c>
      <c r="AB183">
        <v>105.62</v>
      </c>
      <c r="AC183" s="3"/>
      <c r="AD183" s="3"/>
      <c r="AE183" s="3"/>
    </row>
    <row r="184" spans="1:32" x14ac:dyDescent="0.25">
      <c r="A184" s="4">
        <v>41699</v>
      </c>
      <c r="B184" s="1">
        <v>52.676299999999998</v>
      </c>
      <c r="C184" s="1">
        <v>52.688000000000002</v>
      </c>
      <c r="E184" s="1">
        <v>51.237200000000001</v>
      </c>
      <c r="F184" s="1">
        <v>51.988500000000002</v>
      </c>
      <c r="G184" s="1">
        <v>49.6997</v>
      </c>
      <c r="H184" s="1">
        <v>53.376199999999997</v>
      </c>
      <c r="I184" s="1">
        <v>129.1283243244678</v>
      </c>
      <c r="J184" s="1">
        <v>114.71275149368235</v>
      </c>
      <c r="K184" s="1">
        <v>1232.3284065</v>
      </c>
      <c r="L184" s="1">
        <v>1186.6225675000001</v>
      </c>
      <c r="M184" s="1">
        <v>5.766060843586212</v>
      </c>
      <c r="N184" s="1">
        <v>103.90815035942944</v>
      </c>
      <c r="O184" s="1">
        <v>3.147713069620981</v>
      </c>
      <c r="P184" s="1">
        <v>2.4513502901441635</v>
      </c>
      <c r="Q184" s="1">
        <v>111.11267718551794</v>
      </c>
      <c r="R184" s="1">
        <v>108.63927555714336</v>
      </c>
      <c r="S184" s="1">
        <v>129.59991207462107</v>
      </c>
      <c r="T184" s="1">
        <v>147.98232135232249</v>
      </c>
      <c r="U184" s="1">
        <v>129.12359326836318</v>
      </c>
      <c r="V184" s="1">
        <v>229.72840854930359</v>
      </c>
      <c r="W184" s="1">
        <v>218.15379507576566</v>
      </c>
      <c r="X184" s="1">
        <v>121.42029288214343</v>
      </c>
      <c r="Y184" s="1">
        <v>100.3691</v>
      </c>
      <c r="Z184" s="1">
        <v>103.90783999999999</v>
      </c>
      <c r="AA184" s="1">
        <v>1484</v>
      </c>
      <c r="AB184">
        <v>106.48</v>
      </c>
      <c r="AC184" s="3">
        <v>106.9</v>
      </c>
      <c r="AD184" s="3">
        <v>92.36</v>
      </c>
      <c r="AE184" s="3">
        <v>109.61020878810122</v>
      </c>
      <c r="AF184" s="1">
        <v>2.7659903524709502</v>
      </c>
    </row>
    <row r="185" spans="1:32" x14ac:dyDescent="0.25">
      <c r="A185" s="4">
        <v>41730</v>
      </c>
      <c r="B185" s="1">
        <v>52.840699999999998</v>
      </c>
      <c r="C185" s="1">
        <v>53.3294</v>
      </c>
      <c r="E185" s="1">
        <v>51.197099999999999</v>
      </c>
      <c r="F185" s="1">
        <v>51.566200000000002</v>
      </c>
      <c r="G185" s="1">
        <v>49.800600000000003</v>
      </c>
      <c r="H185" s="1">
        <v>52.887999999999998</v>
      </c>
      <c r="I185" s="1">
        <v>128.90374119033373</v>
      </c>
      <c r="J185" s="1">
        <v>115.44870830948975</v>
      </c>
      <c r="K185" s="1">
        <v>1251.8357851000001</v>
      </c>
      <c r="L185" s="1">
        <v>1211.8069118999999</v>
      </c>
      <c r="M185" s="1">
        <v>5.6748728467585474</v>
      </c>
      <c r="N185" s="1">
        <v>103.20355574915673</v>
      </c>
      <c r="O185" s="1">
        <v>3.0414297127090593</v>
      </c>
      <c r="P185" s="1">
        <v>2.4835058440105295</v>
      </c>
      <c r="Q185" s="1">
        <v>111.5117936371429</v>
      </c>
      <c r="R185" s="1">
        <v>109.05142711156776</v>
      </c>
      <c r="S185" s="1">
        <v>132.55390070561154</v>
      </c>
      <c r="T185" s="1">
        <v>152.94753476198161</v>
      </c>
      <c r="U185" s="1">
        <v>130.53281198936585</v>
      </c>
      <c r="V185" s="1">
        <v>230.82900433401258</v>
      </c>
      <c r="W185" s="1">
        <v>219.94503551587036</v>
      </c>
      <c r="X185" s="1">
        <v>118.59568514713608</v>
      </c>
      <c r="Y185" s="1">
        <v>100.37739999999999</v>
      </c>
      <c r="Z185" s="1">
        <v>103.81816999999999</v>
      </c>
      <c r="AA185" s="1">
        <v>1045</v>
      </c>
      <c r="AB185">
        <v>106.95</v>
      </c>
      <c r="AC185" s="3"/>
      <c r="AD185" s="3"/>
      <c r="AE185" s="3"/>
    </row>
    <row r="186" spans="1:32" x14ac:dyDescent="0.25">
      <c r="A186" s="4">
        <v>41760</v>
      </c>
      <c r="B186" s="1">
        <v>53.954000000000001</v>
      </c>
      <c r="C186" s="1">
        <v>54.112299999999998</v>
      </c>
      <c r="E186" s="1">
        <v>51.457700000000003</v>
      </c>
      <c r="F186" s="1">
        <v>51.890700000000002</v>
      </c>
      <c r="G186" s="1">
        <v>49.447600000000001</v>
      </c>
      <c r="H186" s="1">
        <v>54.269399999999997</v>
      </c>
      <c r="I186" s="1">
        <v>129.62618976037294</v>
      </c>
      <c r="J186" s="1">
        <v>115.49380254847685</v>
      </c>
      <c r="K186" s="1">
        <v>1233.8907474</v>
      </c>
      <c r="L186" s="1">
        <v>1210.3761244</v>
      </c>
      <c r="M186" s="1">
        <v>5.683970882009584</v>
      </c>
      <c r="N186" s="1">
        <v>103.33586289467738</v>
      </c>
      <c r="O186" s="1">
        <v>2.9125070757445832</v>
      </c>
      <c r="P186" s="1">
        <v>2.4831856137278594</v>
      </c>
      <c r="Q186" s="1">
        <v>111.79681558631027</v>
      </c>
      <c r="R186" s="1">
        <v>109.24776967164718</v>
      </c>
      <c r="S186" s="1">
        <v>127.14601247720998</v>
      </c>
      <c r="T186" s="1">
        <v>148.8333477621843</v>
      </c>
      <c r="U186" s="1">
        <v>126.33985210258335</v>
      </c>
      <c r="V186" s="1">
        <v>231.3169549725333</v>
      </c>
      <c r="W186" s="1">
        <v>221.71217572094437</v>
      </c>
      <c r="X186" s="1">
        <v>116.75067238797378</v>
      </c>
      <c r="Y186" s="1">
        <v>100.3813</v>
      </c>
      <c r="Z186" s="1">
        <v>103.62818</v>
      </c>
      <c r="AA186" s="1">
        <v>991</v>
      </c>
      <c r="AB186">
        <v>107.4</v>
      </c>
      <c r="AC186" s="3"/>
      <c r="AD186" s="3"/>
      <c r="AE186" s="3"/>
    </row>
    <row r="187" spans="1:32" x14ac:dyDescent="0.25">
      <c r="A187" s="4">
        <v>41791</v>
      </c>
      <c r="B187" s="1">
        <v>55.667299999999997</v>
      </c>
      <c r="C187" s="1">
        <v>54.536200000000001</v>
      </c>
      <c r="E187" s="1">
        <v>52.4208</v>
      </c>
      <c r="F187" s="1">
        <v>52.463099999999997</v>
      </c>
      <c r="G187" s="1">
        <v>48.081699999999998</v>
      </c>
      <c r="H187" s="1">
        <v>55.700299999999999</v>
      </c>
      <c r="I187" s="1">
        <v>130.30358640381988</v>
      </c>
      <c r="J187" s="1">
        <v>115.53525406023822</v>
      </c>
      <c r="K187" s="1">
        <v>1227.2463089</v>
      </c>
      <c r="L187" s="1">
        <v>1193.1188275</v>
      </c>
      <c r="M187" s="1">
        <v>5.6590458277743831</v>
      </c>
      <c r="N187" s="1">
        <v>104.21697522975933</v>
      </c>
      <c r="O187" s="1">
        <v>2.7937189909741766</v>
      </c>
      <c r="P187" s="1">
        <v>2.4504592751456853</v>
      </c>
      <c r="Q187" s="1">
        <v>112.03881442920655</v>
      </c>
      <c r="R187" s="1">
        <v>109.47869158970742</v>
      </c>
      <c r="S187" s="1">
        <v>124.48049683250339</v>
      </c>
      <c r="T187" s="1">
        <v>145.3522589111823</v>
      </c>
      <c r="U187" s="1">
        <v>124.28781771369738</v>
      </c>
      <c r="V187" s="1">
        <v>235.192282803057</v>
      </c>
      <c r="W187" s="1">
        <v>228.15518494297498</v>
      </c>
      <c r="X187" s="1">
        <v>117.20009298917466</v>
      </c>
      <c r="Y187" s="1">
        <v>100.381</v>
      </c>
      <c r="Z187" s="1">
        <v>104.3455</v>
      </c>
      <c r="AA187" s="1">
        <v>912</v>
      </c>
      <c r="AB187">
        <v>107.78</v>
      </c>
      <c r="AC187" s="3">
        <v>107.4</v>
      </c>
      <c r="AD187" s="3">
        <v>92.92</v>
      </c>
      <c r="AE187" s="3">
        <v>110.28918092017534</v>
      </c>
      <c r="AF187" s="1">
        <v>3.7488511962754987</v>
      </c>
    </row>
    <row r="188" spans="1:32" x14ac:dyDescent="0.25">
      <c r="A188" s="4">
        <v>41821</v>
      </c>
      <c r="B188" s="1">
        <v>54.302900000000001</v>
      </c>
      <c r="C188" s="1">
        <v>53.886200000000002</v>
      </c>
      <c r="E188" s="1">
        <v>51.473100000000002</v>
      </c>
      <c r="F188" s="1">
        <v>52.337499999999999</v>
      </c>
      <c r="G188" s="1">
        <v>49.499299999999998</v>
      </c>
      <c r="H188" s="1">
        <v>55.608499999999999</v>
      </c>
      <c r="I188" s="1">
        <v>130.80003747466441</v>
      </c>
      <c r="J188" s="1">
        <v>116.09578921565064</v>
      </c>
      <c r="K188" s="1">
        <v>1246.6436719999999</v>
      </c>
      <c r="L188" s="1">
        <v>1228.7310749999999</v>
      </c>
      <c r="M188" s="1">
        <v>5.6849638365121171</v>
      </c>
      <c r="N188" s="1">
        <v>105.03546997113715</v>
      </c>
      <c r="O188" s="1">
        <v>2.8048109226258848</v>
      </c>
      <c r="P188" s="1">
        <v>2.4627921168050704</v>
      </c>
      <c r="Q188" s="1">
        <v>112.26057661636506</v>
      </c>
      <c r="R188" s="1">
        <v>109.66135688252811</v>
      </c>
      <c r="S188" s="1">
        <v>122.08325216778213</v>
      </c>
      <c r="T188" s="1">
        <v>149.66885375684629</v>
      </c>
      <c r="U188" s="1">
        <v>124.68227509077518</v>
      </c>
      <c r="V188" s="1">
        <v>226.53912551478072</v>
      </c>
      <c r="W188" s="1">
        <v>221.55688196363948</v>
      </c>
      <c r="X188" s="1">
        <v>114.23258938780963</v>
      </c>
      <c r="Y188" s="1">
        <v>100.37520000000001</v>
      </c>
      <c r="Z188" s="1">
        <v>103.90037</v>
      </c>
      <c r="AA188" s="1">
        <v>796</v>
      </c>
      <c r="AB188">
        <v>108.5</v>
      </c>
      <c r="AC188" s="3"/>
      <c r="AD188" s="3"/>
      <c r="AE188" s="3"/>
    </row>
    <row r="189" spans="1:32" x14ac:dyDescent="0.25">
      <c r="A189" s="4">
        <v>41852</v>
      </c>
      <c r="B189" s="1">
        <v>54.676299999999998</v>
      </c>
      <c r="C189" s="1">
        <v>53.827500000000001</v>
      </c>
      <c r="E189" s="1">
        <v>51.314999999999998</v>
      </c>
      <c r="F189" s="1">
        <v>52.402900000000002</v>
      </c>
      <c r="G189" s="1">
        <v>49.894199999999998</v>
      </c>
      <c r="H189" s="1">
        <v>55.486499999999999</v>
      </c>
      <c r="I189" s="1">
        <v>132.09379348067156</v>
      </c>
      <c r="J189" s="1">
        <v>115.58744578333591</v>
      </c>
      <c r="K189" s="1">
        <v>1212.52187</v>
      </c>
      <c r="L189" s="1">
        <v>1198.2175041</v>
      </c>
      <c r="M189" s="1">
        <v>5.6619730323566788</v>
      </c>
      <c r="N189" s="1">
        <v>105.38021841588943</v>
      </c>
      <c r="O189" s="1">
        <v>2.7109574956774303</v>
      </c>
      <c r="P189" s="1">
        <v>2.4528944646581174</v>
      </c>
      <c r="Q189" s="1">
        <v>112.42532183526939</v>
      </c>
      <c r="R189" s="1">
        <v>109.86083886728809</v>
      </c>
      <c r="S189" s="1">
        <v>116.70888242484791</v>
      </c>
      <c r="T189" s="1">
        <v>148.71957426050906</v>
      </c>
      <c r="U189" s="1">
        <v>121.26627264272392</v>
      </c>
      <c r="V189" s="1">
        <v>218.06090279425385</v>
      </c>
      <c r="W189" s="1">
        <v>212.7879504688442</v>
      </c>
      <c r="X189" s="1">
        <v>109.34420134556379</v>
      </c>
      <c r="Y189" s="1">
        <v>100.36109999999999</v>
      </c>
      <c r="Z189" s="1">
        <v>104.592</v>
      </c>
      <c r="AA189" s="1">
        <v>937</v>
      </c>
      <c r="AB189">
        <v>108.44</v>
      </c>
      <c r="AC189" s="3"/>
      <c r="AD189" s="3"/>
      <c r="AE189" s="3"/>
    </row>
    <row r="190" spans="1:32" x14ac:dyDescent="0.25">
      <c r="A190" s="4">
        <v>41883</v>
      </c>
      <c r="B190" s="1">
        <v>54.872199999999999</v>
      </c>
      <c r="C190" s="1">
        <v>53.392099999999999</v>
      </c>
      <c r="D190" s="1">
        <v>52.314300000000003</v>
      </c>
      <c r="E190" s="1">
        <v>51.631500000000003</v>
      </c>
      <c r="F190" s="1">
        <v>52.0334</v>
      </c>
      <c r="G190" s="1">
        <v>49.770800000000001</v>
      </c>
      <c r="H190" s="1">
        <v>55.366599999999998</v>
      </c>
      <c r="I190" s="1">
        <v>132.96497623601303</v>
      </c>
      <c r="J190" s="1">
        <v>116.78177305519787</v>
      </c>
      <c r="K190" s="1">
        <v>1237.9318791999999</v>
      </c>
      <c r="L190" s="1">
        <v>1198.5915299999999</v>
      </c>
      <c r="M190" s="1">
        <v>5.6358881919662451</v>
      </c>
      <c r="N190" s="1">
        <v>104.54401022278867</v>
      </c>
      <c r="O190" s="1">
        <v>2.6119719310322287</v>
      </c>
      <c r="P190" s="1">
        <v>2.4328342579401752</v>
      </c>
      <c r="Q190" s="1">
        <v>112.5936493065379</v>
      </c>
      <c r="R190" s="1">
        <v>110.05863426767996</v>
      </c>
      <c r="S190" s="1">
        <v>113.72333023650253</v>
      </c>
      <c r="T190" s="1">
        <v>141.533073191234</v>
      </c>
      <c r="U190" s="1">
        <v>117.24310084475157</v>
      </c>
      <c r="V190" s="1">
        <v>210.90719855804389</v>
      </c>
      <c r="W190" s="1">
        <v>207.60750761635597</v>
      </c>
      <c r="X190" s="1">
        <v>106.78299697563783</v>
      </c>
      <c r="Y190" s="1">
        <v>100.339</v>
      </c>
      <c r="Z190" s="1">
        <v>105.82581</v>
      </c>
      <c r="AA190" s="1">
        <v>1123</v>
      </c>
      <c r="AB190">
        <v>108.78</v>
      </c>
      <c r="AC190" s="3">
        <v>108.18</v>
      </c>
      <c r="AD190" s="3">
        <v>93.55</v>
      </c>
      <c r="AE190" s="3">
        <v>111.20918464188374</v>
      </c>
      <c r="AF190" s="1">
        <v>4.0520008401954817</v>
      </c>
    </row>
    <row r="191" spans="1:32" x14ac:dyDescent="0.25">
      <c r="A191" s="4">
        <v>41913</v>
      </c>
      <c r="B191" s="1">
        <v>53.8797</v>
      </c>
      <c r="C191" s="1">
        <v>53.097999999999999</v>
      </c>
      <c r="D191" s="1">
        <v>51.161099999999998</v>
      </c>
      <c r="E191" s="1">
        <v>51.415100000000002</v>
      </c>
      <c r="F191" s="1">
        <v>52.078000000000003</v>
      </c>
      <c r="G191" s="1">
        <v>50.241</v>
      </c>
      <c r="H191" s="1">
        <v>53.803899999999999</v>
      </c>
      <c r="I191" s="1">
        <v>133.16688436168383</v>
      </c>
      <c r="J191" s="1">
        <v>116.53301982651007</v>
      </c>
      <c r="K191" s="1">
        <v>1211.1371916999999</v>
      </c>
      <c r="L191" s="1">
        <v>1190.0817411</v>
      </c>
      <c r="M191" s="1">
        <v>5.615128438600208</v>
      </c>
      <c r="N191" s="1">
        <v>104.98437304378024</v>
      </c>
      <c r="O191" s="1">
        <v>2.5039738179161732</v>
      </c>
      <c r="P191" s="1">
        <v>2.4621278907975812</v>
      </c>
      <c r="Q191" s="1">
        <v>112.70855886895946</v>
      </c>
      <c r="R191" s="1">
        <v>110.25218104274063</v>
      </c>
      <c r="S191" s="1">
        <v>112.88199414789436</v>
      </c>
      <c r="T191" s="1">
        <v>134.98948135378507</v>
      </c>
      <c r="U191" s="1">
        <v>114.9248157779422</v>
      </c>
      <c r="V191" s="1">
        <v>193.01799605476106</v>
      </c>
      <c r="W191" s="1">
        <v>188.06633490148616</v>
      </c>
      <c r="X191" s="1">
        <v>104.88336521740473</v>
      </c>
      <c r="Y191" s="1">
        <v>100.3087</v>
      </c>
      <c r="Z191" s="1">
        <v>106.26984</v>
      </c>
      <c r="AA191" s="1">
        <v>1101</v>
      </c>
      <c r="AB191">
        <v>108.63</v>
      </c>
      <c r="AC191" s="3"/>
      <c r="AD191" s="3"/>
      <c r="AE191" s="3"/>
    </row>
    <row r="192" spans="1:32" x14ac:dyDescent="0.25">
      <c r="A192" s="4">
        <v>41944</v>
      </c>
      <c r="B192" s="1">
        <v>53.292299999999997</v>
      </c>
      <c r="C192" s="1">
        <v>52.608400000000003</v>
      </c>
      <c r="D192" s="1">
        <v>50.636899999999997</v>
      </c>
      <c r="E192" s="1">
        <v>51.645099999999999</v>
      </c>
      <c r="F192" s="1">
        <v>51.664900000000003</v>
      </c>
      <c r="G192" s="1">
        <v>49.800899999999999</v>
      </c>
      <c r="H192" s="1">
        <v>53.581800000000001</v>
      </c>
      <c r="I192" s="1">
        <v>133.67227028268155</v>
      </c>
      <c r="J192" s="1">
        <v>117.0391576451578</v>
      </c>
      <c r="K192" s="1">
        <v>1167.7659457</v>
      </c>
      <c r="L192" s="1">
        <v>1151.3137841</v>
      </c>
      <c r="M192" s="1">
        <v>5.6398941737165842</v>
      </c>
      <c r="N192" s="1">
        <v>104.53659557180349</v>
      </c>
      <c r="O192" s="1">
        <v>2.4351823188407375</v>
      </c>
      <c r="P192" s="1">
        <v>2.5072686257348176</v>
      </c>
      <c r="Q192" s="1">
        <v>112.80939708460561</v>
      </c>
      <c r="R192" s="1">
        <v>110.46184945007307</v>
      </c>
      <c r="S192" s="1">
        <v>111.50846645899991</v>
      </c>
      <c r="T192" s="1">
        <v>132.78014980329681</v>
      </c>
      <c r="U192" s="1">
        <v>112.9154943974963</v>
      </c>
      <c r="V192" s="1">
        <v>178.45719983791477</v>
      </c>
      <c r="W192" s="1">
        <v>170.22858286502333</v>
      </c>
      <c r="X192" s="1">
        <v>105.56126142233353</v>
      </c>
      <c r="Y192" s="1">
        <v>100.271</v>
      </c>
      <c r="Z192" s="1">
        <v>107.23135000000001</v>
      </c>
      <c r="AA192" s="1">
        <v>1332</v>
      </c>
      <c r="AB192">
        <v>108.93</v>
      </c>
      <c r="AC192" s="3"/>
      <c r="AD192" s="3"/>
      <c r="AE192" s="3"/>
    </row>
    <row r="193" spans="1:32" x14ac:dyDescent="0.25">
      <c r="A193" s="4">
        <v>41974</v>
      </c>
      <c r="B193" s="1">
        <v>52.1997</v>
      </c>
      <c r="C193" s="1">
        <v>52.558300000000003</v>
      </c>
      <c r="D193" s="1">
        <v>51.115400000000001</v>
      </c>
      <c r="E193" s="1">
        <v>51.158799999999999</v>
      </c>
      <c r="F193" s="1">
        <v>51.444899999999997</v>
      </c>
      <c r="G193" s="1">
        <v>49.692799999999998</v>
      </c>
      <c r="H193" s="1">
        <v>52.686300000000003</v>
      </c>
      <c r="I193" s="1">
        <v>134.72515813156741</v>
      </c>
      <c r="J193" s="1">
        <v>117.53022118078336</v>
      </c>
      <c r="K193" s="1">
        <v>1164.1436457</v>
      </c>
      <c r="L193" s="1">
        <v>1145.3994891</v>
      </c>
      <c r="M193" s="1">
        <v>5.6005824117572045</v>
      </c>
      <c r="N193" s="1">
        <v>104.81314298703329</v>
      </c>
      <c r="O193" s="1">
        <v>2.3312459594567496</v>
      </c>
      <c r="P193" s="1">
        <v>2.721000675836641</v>
      </c>
      <c r="Q193" s="1">
        <v>112.86416651186926</v>
      </c>
      <c r="R193" s="1">
        <v>110.7113639865604</v>
      </c>
      <c r="S193" s="1">
        <v>109.57549166794496</v>
      </c>
      <c r="T193" s="1">
        <v>125.87632448104586</v>
      </c>
      <c r="U193" s="1">
        <v>110.98853814673591</v>
      </c>
      <c r="V193" s="1">
        <v>148.55354273462919</v>
      </c>
      <c r="W193" s="1">
        <v>134.86053544541448</v>
      </c>
      <c r="X193" s="1">
        <v>105.0902573327176</v>
      </c>
      <c r="Y193" s="1">
        <v>100.2289</v>
      </c>
      <c r="Z193" s="1">
        <v>108.121</v>
      </c>
      <c r="AA193" s="1">
        <v>910</v>
      </c>
      <c r="AB193">
        <v>108.91</v>
      </c>
      <c r="AC193" s="3">
        <v>108.97</v>
      </c>
      <c r="AD193" s="3">
        <v>94.14</v>
      </c>
      <c r="AE193" s="3">
        <v>111.98850411097703</v>
      </c>
      <c r="AF193" s="1">
        <v>3.3760734092573301</v>
      </c>
    </row>
    <row r="194" spans="1:32" x14ac:dyDescent="0.25">
      <c r="A194" s="4">
        <v>42005</v>
      </c>
      <c r="B194" s="1">
        <v>52.122</v>
      </c>
      <c r="C194" s="1">
        <v>50.319299999999998</v>
      </c>
      <c r="D194" s="1">
        <v>50.809899999999999</v>
      </c>
      <c r="E194" s="1">
        <v>51.491</v>
      </c>
      <c r="F194" s="1">
        <v>51.5349</v>
      </c>
      <c r="G194" s="1">
        <v>49.395400000000002</v>
      </c>
      <c r="H194" s="1">
        <v>52.868299999999998</v>
      </c>
      <c r="I194" s="1">
        <v>134.50951546775659</v>
      </c>
      <c r="J194" s="1">
        <v>117.10053392821584</v>
      </c>
      <c r="K194" s="1">
        <v>1097.1331567</v>
      </c>
      <c r="L194" s="1">
        <v>1109.6355920999999</v>
      </c>
      <c r="M194" s="1">
        <v>5.619100209332756</v>
      </c>
      <c r="N194" s="1">
        <v>106.64463319150451</v>
      </c>
      <c r="O194" s="1">
        <v>2.0633864779765996</v>
      </c>
      <c r="P194" s="1">
        <v>2.7401624027613969</v>
      </c>
      <c r="Q194" s="1">
        <v>112.77076496680647</v>
      </c>
      <c r="R194" s="1">
        <v>111.03451372201654</v>
      </c>
      <c r="S194" s="1">
        <v>106.42145348648135</v>
      </c>
      <c r="T194" s="1">
        <v>120.26763392248431</v>
      </c>
      <c r="U194" s="1">
        <v>109.2607221250955</v>
      </c>
      <c r="V194" s="1">
        <v>122.68218499496599</v>
      </c>
      <c r="W194" s="1">
        <v>108.3429491282488</v>
      </c>
      <c r="X194" s="1">
        <v>104.44124502391486</v>
      </c>
      <c r="Y194" s="1">
        <v>100.1887</v>
      </c>
      <c r="Z194" s="1">
        <v>108.27206</v>
      </c>
      <c r="AA194" s="1">
        <v>725</v>
      </c>
      <c r="AB194">
        <v>108.78</v>
      </c>
      <c r="AC194" s="3"/>
      <c r="AD194" s="3"/>
      <c r="AE194" s="3"/>
    </row>
    <row r="195" spans="1:32" x14ac:dyDescent="0.25">
      <c r="A195" s="4">
        <v>42036</v>
      </c>
      <c r="B195" s="1">
        <v>53.829000000000001</v>
      </c>
      <c r="C195" s="1">
        <v>51.122300000000003</v>
      </c>
      <c r="D195" s="1">
        <v>50.905900000000003</v>
      </c>
      <c r="E195" s="1">
        <v>51.581899999999997</v>
      </c>
      <c r="F195" s="1">
        <v>51.847499999999997</v>
      </c>
      <c r="G195" s="1">
        <v>49.843200000000003</v>
      </c>
      <c r="H195" s="1">
        <v>54.101999999999997</v>
      </c>
      <c r="I195" s="1">
        <v>135.25291441041037</v>
      </c>
      <c r="J195" s="1">
        <v>117.25373691160624</v>
      </c>
      <c r="K195" s="1">
        <v>1084.0371097</v>
      </c>
      <c r="L195" s="1">
        <v>1106.1480471</v>
      </c>
      <c r="M195" s="1">
        <v>5.6150065106181728</v>
      </c>
      <c r="N195" s="1">
        <v>106.26575294050934</v>
      </c>
      <c r="O195" s="1">
        <v>2.1341563942421899</v>
      </c>
      <c r="P195" s="1">
        <v>2.6759454097535285</v>
      </c>
      <c r="Q195" s="1">
        <v>113.11753780548327</v>
      </c>
      <c r="R195" s="1">
        <v>111.29660290516516</v>
      </c>
      <c r="S195" s="1">
        <v>103.43622735469292</v>
      </c>
      <c r="T195" s="1">
        <v>115.80855490697304</v>
      </c>
      <c r="U195" s="1">
        <v>106.57479637885446</v>
      </c>
      <c r="V195" s="1">
        <v>134.81149262355953</v>
      </c>
      <c r="W195" s="1">
        <v>126.22788707057838</v>
      </c>
      <c r="X195" s="1">
        <v>105.56562253230312</v>
      </c>
      <c r="Y195" s="1">
        <v>100.1523</v>
      </c>
      <c r="Z195" s="1">
        <v>109.14843999999999</v>
      </c>
      <c r="AA195" s="1">
        <v>539</v>
      </c>
      <c r="AB195">
        <v>108.66</v>
      </c>
      <c r="AC195" s="3"/>
      <c r="AD195" s="3"/>
      <c r="AE195" s="3"/>
    </row>
    <row r="196" spans="1:32" x14ac:dyDescent="0.25">
      <c r="A196" s="4">
        <v>42064</v>
      </c>
      <c r="B196" s="1">
        <v>54.210299999999997</v>
      </c>
      <c r="C196" s="1">
        <v>52.321199999999997</v>
      </c>
      <c r="D196" s="1">
        <v>50.656700000000001</v>
      </c>
      <c r="E196" s="1">
        <v>51.5899</v>
      </c>
      <c r="F196" s="1">
        <v>51.460700000000003</v>
      </c>
      <c r="G196" s="1">
        <v>49.309699999999999</v>
      </c>
      <c r="H196" s="1">
        <v>54.991599999999998</v>
      </c>
      <c r="I196" s="1">
        <v>136.19392586504483</v>
      </c>
      <c r="J196" s="1">
        <v>117.38578820251601</v>
      </c>
      <c r="K196" s="1">
        <v>1089.9087176999999</v>
      </c>
      <c r="L196" s="1">
        <v>1064.6110021</v>
      </c>
      <c r="M196" s="1">
        <v>5.6040116506313611</v>
      </c>
      <c r="N196" s="1">
        <v>106.41926944787124</v>
      </c>
      <c r="O196" s="1">
        <v>2.1621838704556522</v>
      </c>
      <c r="P196" s="1">
        <v>2.6320527958797437</v>
      </c>
      <c r="Q196" s="1">
        <v>113.5912420293633</v>
      </c>
      <c r="R196" s="1">
        <v>111.5745512561346</v>
      </c>
      <c r="S196" s="1">
        <v>100.97228262366252</v>
      </c>
      <c r="T196" s="1">
        <v>113.23017846738291</v>
      </c>
      <c r="U196" s="1">
        <v>103.57232385168429</v>
      </c>
      <c r="V196" s="1">
        <v>129.40491903923888</v>
      </c>
      <c r="W196" s="1">
        <v>123.8213598354921</v>
      </c>
      <c r="X196" s="1">
        <v>102.78567431946654</v>
      </c>
      <c r="Y196" s="1">
        <v>100.11969999999999</v>
      </c>
      <c r="Z196" s="1">
        <v>110.80914</v>
      </c>
      <c r="AA196" s="1">
        <v>576</v>
      </c>
      <c r="AB196">
        <v>109.14</v>
      </c>
      <c r="AC196" s="3">
        <v>109.78</v>
      </c>
      <c r="AD196" s="3">
        <v>95.08</v>
      </c>
      <c r="AE196" s="3">
        <v>112.83430542616316</v>
      </c>
      <c r="AF196" s="1">
        <v>3.6128715212923597</v>
      </c>
    </row>
    <row r="197" spans="1:32" x14ac:dyDescent="0.25">
      <c r="A197" s="4">
        <v>42095</v>
      </c>
      <c r="B197" s="1">
        <v>53.7864</v>
      </c>
      <c r="C197" s="1">
        <v>52.491300000000003</v>
      </c>
      <c r="D197" s="1">
        <v>50.336399999999998</v>
      </c>
      <c r="E197" s="1">
        <v>52.092500000000001</v>
      </c>
      <c r="F197" s="1">
        <v>50.796999999999997</v>
      </c>
      <c r="G197" s="1">
        <v>49.465299999999999</v>
      </c>
      <c r="H197" s="1">
        <v>54.712200000000003</v>
      </c>
      <c r="I197" s="1">
        <v>136.88717861373462</v>
      </c>
      <c r="J197" s="1">
        <v>117.43780881745084</v>
      </c>
      <c r="K197" s="1">
        <v>1086.6179877</v>
      </c>
      <c r="L197" s="1">
        <v>1070.4367981</v>
      </c>
      <c r="M197" s="1">
        <v>5.6070266335556154</v>
      </c>
      <c r="N197" s="1">
        <v>105.16046841177869</v>
      </c>
      <c r="O197" s="1">
        <v>2.0482206831617078</v>
      </c>
      <c r="P197" s="1">
        <v>2.6468673434895083</v>
      </c>
      <c r="Q197" s="1">
        <v>113.83968788895322</v>
      </c>
      <c r="R197" s="1">
        <v>111.82090000169487</v>
      </c>
      <c r="S197" s="1">
        <v>102.99313487084952</v>
      </c>
      <c r="T197" s="1">
        <v>111.07290804929457</v>
      </c>
      <c r="U197" s="1">
        <v>104.39914710135517</v>
      </c>
      <c r="V197" s="1">
        <v>131.37908561468635</v>
      </c>
      <c r="W197" s="1">
        <v>134.67268292024636</v>
      </c>
      <c r="X197" s="1">
        <v>103.86826027014314</v>
      </c>
      <c r="Y197" s="1">
        <v>100.0809</v>
      </c>
      <c r="Z197" s="1">
        <v>109.32603</v>
      </c>
      <c r="AA197" s="1">
        <v>591</v>
      </c>
      <c r="AB197">
        <v>109.86</v>
      </c>
      <c r="AC197" s="3"/>
      <c r="AD197" s="3"/>
      <c r="AE197" s="3"/>
    </row>
    <row r="198" spans="1:32" x14ac:dyDescent="0.25">
      <c r="A198" s="4">
        <v>42125</v>
      </c>
      <c r="B198" s="1">
        <v>53.281199999999998</v>
      </c>
      <c r="C198" s="1">
        <v>53.505400000000002</v>
      </c>
      <c r="D198" s="1">
        <v>50.009900000000002</v>
      </c>
      <c r="E198" s="1">
        <v>52.306100000000001</v>
      </c>
      <c r="F198" s="1">
        <v>51.011299999999999</v>
      </c>
      <c r="G198" s="1">
        <v>49.1006</v>
      </c>
      <c r="H198" s="1">
        <v>53.977899999999998</v>
      </c>
      <c r="I198" s="1">
        <v>137.99660152038422</v>
      </c>
      <c r="J198" s="1">
        <v>117.28093619728716</v>
      </c>
      <c r="K198" s="1">
        <v>1060.2339506999999</v>
      </c>
      <c r="L198" s="1">
        <v>1074.7681290999999</v>
      </c>
      <c r="M198" s="1">
        <v>5.6424692209860128</v>
      </c>
      <c r="N198" s="1">
        <v>105.53263167984736</v>
      </c>
      <c r="O198" s="1">
        <v>2.2445378727199476</v>
      </c>
      <c r="P198" s="1">
        <v>2.5681459665547233</v>
      </c>
      <c r="Q198" s="1">
        <v>114.20715259119301</v>
      </c>
      <c r="R198" s="1">
        <v>112.05736178919892</v>
      </c>
      <c r="S198" s="1">
        <v>102.74507198792683</v>
      </c>
      <c r="T198" s="1">
        <v>117.01630292815963</v>
      </c>
      <c r="U198" s="1">
        <v>105.95902228079403</v>
      </c>
      <c r="V198" s="1">
        <v>138.45460930679454</v>
      </c>
      <c r="W198" s="1">
        <v>144.43290619034281</v>
      </c>
      <c r="X198" s="1">
        <v>105.67410450205212</v>
      </c>
      <c r="Y198" s="1">
        <v>100.027</v>
      </c>
      <c r="Z198" s="1">
        <v>110.09377000000001</v>
      </c>
      <c r="AA198" s="1">
        <v>597</v>
      </c>
      <c r="AB198">
        <v>110.38</v>
      </c>
      <c r="AC198" s="3"/>
      <c r="AD198" s="3"/>
      <c r="AE198" s="3"/>
    </row>
    <row r="199" spans="1:32" x14ac:dyDescent="0.25">
      <c r="A199" s="4">
        <v>42156</v>
      </c>
      <c r="B199" s="1">
        <v>53.202399999999997</v>
      </c>
      <c r="C199" s="1">
        <v>54.125999999999998</v>
      </c>
      <c r="D199" s="1">
        <v>50.909599999999998</v>
      </c>
      <c r="E199" s="1">
        <v>51.5807</v>
      </c>
      <c r="F199" s="1">
        <v>50.911900000000003</v>
      </c>
      <c r="G199" s="1">
        <v>49.097200000000001</v>
      </c>
      <c r="H199" s="1">
        <v>53.286200000000001</v>
      </c>
      <c r="I199" s="1">
        <v>138.32964706790801</v>
      </c>
      <c r="J199" s="1">
        <v>117.74964969250441</v>
      </c>
      <c r="K199" s="1">
        <v>1094.7433086999999</v>
      </c>
      <c r="L199" s="1">
        <v>1090.3109970999999</v>
      </c>
      <c r="M199" s="1">
        <v>5.6212450059930807</v>
      </c>
      <c r="N199" s="1">
        <v>105.89741628517433</v>
      </c>
      <c r="O199" s="1">
        <v>2.4797873868742322</v>
      </c>
      <c r="P199" s="1">
        <v>2.5283249276881596</v>
      </c>
      <c r="Q199" s="1">
        <v>114.49678085990109</v>
      </c>
      <c r="R199" s="1">
        <v>112.3011316564498</v>
      </c>
      <c r="S199" s="1">
        <v>102.51421172650033</v>
      </c>
      <c r="T199" s="1">
        <v>111.96508174677936</v>
      </c>
      <c r="U199" s="1">
        <v>104.66531741031532</v>
      </c>
      <c r="V199" s="1">
        <v>135.12384242452833</v>
      </c>
      <c r="W199" s="1">
        <v>141.63206501008764</v>
      </c>
      <c r="X199" s="1">
        <v>103.4497199746622</v>
      </c>
      <c r="Y199" s="1">
        <v>99.957530000000006</v>
      </c>
      <c r="Z199" s="1">
        <v>111.98649</v>
      </c>
      <c r="AA199" s="1">
        <v>699</v>
      </c>
      <c r="AB199">
        <v>110.71</v>
      </c>
      <c r="AC199" s="3">
        <v>110.3</v>
      </c>
      <c r="AD199" s="3">
        <v>95.85</v>
      </c>
      <c r="AE199" s="3">
        <v>113.56637025155798</v>
      </c>
      <c r="AF199" s="1">
        <v>3.661752275759528</v>
      </c>
    </row>
    <row r="200" spans="1:32" x14ac:dyDescent="0.25">
      <c r="A200" s="4">
        <v>42186</v>
      </c>
      <c r="B200" s="1">
        <v>53.8245</v>
      </c>
      <c r="C200" s="1">
        <v>53.432899999999997</v>
      </c>
      <c r="D200" s="1">
        <v>50.121600000000001</v>
      </c>
      <c r="E200" s="1">
        <v>51.680999999999997</v>
      </c>
      <c r="F200" s="1">
        <v>50.736800000000002</v>
      </c>
      <c r="G200" s="1">
        <v>49.362200000000001</v>
      </c>
      <c r="H200" s="1">
        <v>53.826599999999999</v>
      </c>
      <c r="I200" s="1">
        <v>139.23901673051085</v>
      </c>
      <c r="J200" s="1">
        <v>118.05390167528262</v>
      </c>
      <c r="K200" s="1">
        <v>1089.9014407</v>
      </c>
      <c r="L200" s="1">
        <v>1078.4091860999999</v>
      </c>
      <c r="M200" s="1">
        <v>5.6202581672176288</v>
      </c>
      <c r="N200" s="1">
        <v>103.83834070703426</v>
      </c>
      <c r="O200" s="1">
        <v>2.3948875187374417</v>
      </c>
      <c r="P200" s="1">
        <v>2.5174788639171046</v>
      </c>
      <c r="Q200" s="1">
        <v>114.75656445674937</v>
      </c>
      <c r="R200" s="1">
        <v>112.49136965494115</v>
      </c>
      <c r="S200" s="1">
        <v>102.81691339503662</v>
      </c>
      <c r="T200" s="1">
        <v>102.11717167630133</v>
      </c>
      <c r="U200" s="1">
        <v>101.37308778700663</v>
      </c>
      <c r="V200" s="1">
        <v>123.65505530050159</v>
      </c>
      <c r="W200" s="1">
        <v>126.58701993599675</v>
      </c>
      <c r="X200" s="1">
        <v>99.37195082044893</v>
      </c>
      <c r="Y200" s="1">
        <v>99.871179999999995</v>
      </c>
      <c r="Z200" s="1">
        <v>113.38354</v>
      </c>
      <c r="AA200" s="1">
        <v>975</v>
      </c>
      <c r="AB200">
        <v>110.65</v>
      </c>
      <c r="AC200" s="3"/>
      <c r="AD200" s="3"/>
      <c r="AE200" s="3"/>
    </row>
    <row r="201" spans="1:32" x14ac:dyDescent="0.25">
      <c r="A201" s="4">
        <v>42217</v>
      </c>
      <c r="B201" s="1">
        <v>53.004600000000003</v>
      </c>
      <c r="C201" s="1">
        <v>52.206000000000003</v>
      </c>
      <c r="D201" s="1">
        <v>49.837299999999999</v>
      </c>
      <c r="E201" s="1">
        <v>51.650599999999997</v>
      </c>
      <c r="F201" s="1">
        <v>50.432600000000001</v>
      </c>
      <c r="G201" s="1">
        <v>48.7483</v>
      </c>
      <c r="H201" s="1">
        <v>54.0929</v>
      </c>
      <c r="I201" s="1">
        <v>139.64268293938306</v>
      </c>
      <c r="J201" s="1">
        <v>118.24196730943413</v>
      </c>
      <c r="K201" s="1">
        <v>1054.9035497</v>
      </c>
      <c r="L201" s="1">
        <v>1044.5973481000001</v>
      </c>
      <c r="M201" s="1">
        <v>5.6146979866964548</v>
      </c>
      <c r="N201" s="1">
        <v>105.76570054279905</v>
      </c>
      <c r="O201" s="1">
        <v>2.1961829731667804</v>
      </c>
      <c r="P201" s="1">
        <v>2.5213147633206621</v>
      </c>
      <c r="Q201" s="1">
        <v>114.95472876821253</v>
      </c>
      <c r="R201" s="1">
        <v>112.69545648547061</v>
      </c>
      <c r="S201" s="1">
        <v>99.718949285242161</v>
      </c>
      <c r="T201" s="1">
        <v>100.69209081115039</v>
      </c>
      <c r="U201" s="1">
        <v>98.962630818033801</v>
      </c>
      <c r="V201" s="1">
        <v>109.45031067908991</v>
      </c>
      <c r="W201" s="1">
        <v>105.84698990041962</v>
      </c>
      <c r="X201" s="1">
        <v>97.14347173344521</v>
      </c>
      <c r="Y201" s="1">
        <v>99.780829999999995</v>
      </c>
      <c r="Z201" s="1">
        <v>115.05061000000001</v>
      </c>
      <c r="AA201" s="1">
        <v>1066</v>
      </c>
      <c r="AB201">
        <v>110.06</v>
      </c>
      <c r="AC201" s="3"/>
      <c r="AD201" s="3"/>
      <c r="AE201" s="3"/>
    </row>
    <row r="202" spans="1:32" x14ac:dyDescent="0.25">
      <c r="A202" s="4">
        <v>42248</v>
      </c>
      <c r="B202" s="1">
        <v>52.5428</v>
      </c>
      <c r="C202" s="1">
        <v>51.971600000000002</v>
      </c>
      <c r="D202" s="1">
        <v>49.085599999999999</v>
      </c>
      <c r="E202" s="1">
        <v>51.423499999999997</v>
      </c>
      <c r="F202" s="1">
        <v>50.292499999999997</v>
      </c>
      <c r="G202" s="1">
        <v>50.059399999999997</v>
      </c>
      <c r="H202" s="1">
        <v>53.005699999999997</v>
      </c>
      <c r="I202" s="1">
        <v>139.66269926485995</v>
      </c>
      <c r="J202" s="1">
        <v>118.60192136048315</v>
      </c>
      <c r="K202" s="1">
        <v>1051.7153476999999</v>
      </c>
      <c r="L202" s="1">
        <v>1058.3917300999999</v>
      </c>
      <c r="M202" s="1">
        <v>5.5933775091882394</v>
      </c>
      <c r="N202" s="1">
        <v>105.80877437639403</v>
      </c>
      <c r="O202" s="1">
        <v>2.2572761533595984</v>
      </c>
      <c r="P202" s="1">
        <v>2.4695146652836244</v>
      </c>
      <c r="Q202" s="1">
        <v>114.97149249534731</v>
      </c>
      <c r="R202" s="1">
        <v>112.94451013087171</v>
      </c>
      <c r="S202" s="1">
        <v>97.662469208586472</v>
      </c>
      <c r="T202" s="1">
        <v>100.78193889706249</v>
      </c>
      <c r="U202" s="1">
        <v>97.713182021401451</v>
      </c>
      <c r="V202" s="1">
        <v>110.0178683139095</v>
      </c>
      <c r="W202" s="1">
        <v>106.80029707318518</v>
      </c>
      <c r="X202" s="1">
        <v>94.95763465938596</v>
      </c>
      <c r="Y202" s="1">
        <v>99.703289999999996</v>
      </c>
      <c r="Z202" s="1">
        <v>114.11530999999999</v>
      </c>
      <c r="AA202" s="1">
        <v>889</v>
      </c>
      <c r="AB202">
        <v>110.1</v>
      </c>
      <c r="AC202" s="3">
        <v>110.94</v>
      </c>
      <c r="AD202" s="3">
        <v>96.8</v>
      </c>
      <c r="AE202" s="3">
        <v>114.20082762287815</v>
      </c>
      <c r="AF202" s="1">
        <v>3.1793202947325203</v>
      </c>
    </row>
    <row r="203" spans="1:32" x14ac:dyDescent="0.25">
      <c r="A203" s="4">
        <v>42278</v>
      </c>
      <c r="B203" s="1">
        <v>52.6477</v>
      </c>
      <c r="C203" s="1">
        <v>52.1813</v>
      </c>
      <c r="D203" s="1">
        <v>50.903599999999997</v>
      </c>
      <c r="E203" s="1">
        <v>50.950600000000001</v>
      </c>
      <c r="F203" s="1">
        <v>50.945500000000003</v>
      </c>
      <c r="G203" s="1">
        <v>49.150799999999997</v>
      </c>
      <c r="H203" s="1">
        <v>53.253300000000003</v>
      </c>
      <c r="I203" s="1">
        <v>140.90176906526972</v>
      </c>
      <c r="J203" s="1">
        <v>118.6535377484097</v>
      </c>
      <c r="K203" s="1">
        <v>1052.9509677000001</v>
      </c>
      <c r="L203" s="1">
        <v>1058.8029901</v>
      </c>
      <c r="M203" s="1">
        <v>5.5990697408359731</v>
      </c>
      <c r="N203" s="1">
        <v>105.30703099471889</v>
      </c>
      <c r="O203" s="1">
        <v>2.0536855254987425</v>
      </c>
      <c r="P203" s="1">
        <v>2.4689073577656702</v>
      </c>
      <c r="Q203" s="1">
        <v>115.17519867248917</v>
      </c>
      <c r="R203" s="1">
        <v>113.19648940168425</v>
      </c>
      <c r="S203" s="1">
        <v>96.280588493982037</v>
      </c>
      <c r="T203" s="1">
        <v>98.074391896142444</v>
      </c>
      <c r="U203" s="1">
        <v>97.082470854871204</v>
      </c>
      <c r="V203" s="1">
        <v>109.52116586678811</v>
      </c>
      <c r="W203" s="1">
        <v>108.34932659651354</v>
      </c>
      <c r="X203" s="1">
        <v>94.936023612254274</v>
      </c>
      <c r="Y203" s="1">
        <v>99.641720000000007</v>
      </c>
      <c r="Z203" s="1">
        <v>112.79228999999999</v>
      </c>
      <c r="AA203" s="1">
        <v>793</v>
      </c>
      <c r="AB203">
        <v>110.19</v>
      </c>
      <c r="AC203" s="3"/>
      <c r="AD203" s="3"/>
      <c r="AE203" s="3"/>
    </row>
    <row r="204" spans="1:32" x14ac:dyDescent="0.25">
      <c r="A204" s="4">
        <v>42309</v>
      </c>
      <c r="B204" s="1">
        <v>53.087699999999998</v>
      </c>
      <c r="C204" s="1">
        <v>51.695999999999998</v>
      </c>
      <c r="D204" s="1">
        <v>50.7712</v>
      </c>
      <c r="E204" s="1">
        <v>51.3232</v>
      </c>
      <c r="F204" s="1">
        <v>50.929699999999997</v>
      </c>
      <c r="G204" s="1">
        <v>48.559800000000003</v>
      </c>
      <c r="H204" s="1">
        <v>53.6937</v>
      </c>
      <c r="I204" s="1">
        <v>140.88949258929858</v>
      </c>
      <c r="J204" s="1">
        <v>118.47920805299626</v>
      </c>
      <c r="K204" s="1">
        <v>1025.6518457</v>
      </c>
      <c r="L204" s="1">
        <v>1020.0262021</v>
      </c>
      <c r="M204" s="1">
        <v>5.5904422309290203</v>
      </c>
      <c r="N204" s="1">
        <v>104.45498284790577</v>
      </c>
      <c r="O204" s="1">
        <v>2.2079131431524659</v>
      </c>
      <c r="P204" s="1">
        <v>2.4663776705279532</v>
      </c>
      <c r="Q204" s="1">
        <v>115.38262833042508</v>
      </c>
      <c r="R204" s="1">
        <v>113.41425040247238</v>
      </c>
      <c r="S204" s="1">
        <v>92.523622261390869</v>
      </c>
      <c r="T204" s="1">
        <v>90.213975294242474</v>
      </c>
      <c r="U204" s="1">
        <v>92.361261166530639</v>
      </c>
      <c r="V204" s="1">
        <v>101.64846627834204</v>
      </c>
      <c r="W204" s="1">
        <v>101.21109981155668</v>
      </c>
      <c r="X204" s="1">
        <v>94.191101085437424</v>
      </c>
      <c r="Y204" s="1">
        <v>99.587940000000003</v>
      </c>
      <c r="Z204" s="1">
        <v>113.91418</v>
      </c>
      <c r="AA204" s="1">
        <v>582</v>
      </c>
      <c r="AB204">
        <v>110.73</v>
      </c>
      <c r="AC204" s="3"/>
      <c r="AD204" s="3"/>
      <c r="AE204" s="3"/>
    </row>
    <row r="205" spans="1:32" x14ac:dyDescent="0.25">
      <c r="A205" s="4">
        <v>42339</v>
      </c>
      <c r="B205" s="1">
        <v>52.024000000000001</v>
      </c>
      <c r="C205" s="1">
        <v>51.667099999999998</v>
      </c>
      <c r="D205" s="1">
        <v>50.240699999999997</v>
      </c>
      <c r="E205" s="1">
        <v>51.348399999999998</v>
      </c>
      <c r="F205" s="1">
        <v>50.648400000000002</v>
      </c>
      <c r="G205" s="1">
        <v>49.417400000000001</v>
      </c>
      <c r="H205" s="1">
        <v>52.828499999999998</v>
      </c>
      <c r="I205" s="1">
        <v>141.68927217096254</v>
      </c>
      <c r="J205" s="1">
        <v>118.43829966827066</v>
      </c>
      <c r="K205" s="1">
        <v>1032.9307907</v>
      </c>
      <c r="L205" s="1">
        <v>1036.6996371</v>
      </c>
      <c r="M205" s="1">
        <v>5.5738112680581891</v>
      </c>
      <c r="N205" s="1">
        <v>104.9510104768906</v>
      </c>
      <c r="O205" s="1">
        <v>2.0875999715574918</v>
      </c>
      <c r="P205" s="1">
        <v>2.5307318906836498</v>
      </c>
      <c r="Q205" s="1">
        <v>115.53195480387646</v>
      </c>
      <c r="R205" s="1">
        <v>113.59948907820541</v>
      </c>
      <c r="S205" s="1">
        <v>91.970881256247026</v>
      </c>
      <c r="T205" s="1">
        <v>86.013738406525448</v>
      </c>
      <c r="U205" s="1">
        <v>90.782067542419014</v>
      </c>
      <c r="V205" s="1">
        <v>90.453390875178229</v>
      </c>
      <c r="W205" s="1">
        <v>85.53271763160167</v>
      </c>
      <c r="X205" s="1">
        <v>93.850880430170307</v>
      </c>
      <c r="Y205" s="1">
        <v>99.53931</v>
      </c>
      <c r="Z205" s="1">
        <v>113.82362999999999</v>
      </c>
      <c r="AA205" s="1">
        <v>519</v>
      </c>
      <c r="AB205">
        <v>110.58</v>
      </c>
      <c r="AC205" s="3">
        <v>111.21</v>
      </c>
      <c r="AD205" s="3">
        <v>97.6</v>
      </c>
      <c r="AE205" s="3">
        <v>114.68614275361561</v>
      </c>
      <c r="AF205" s="1">
        <v>2.4002069882775512</v>
      </c>
    </row>
    <row r="206" spans="1:32" x14ac:dyDescent="0.25">
      <c r="A206" s="4">
        <v>42370</v>
      </c>
      <c r="B206" s="1">
        <v>52.250999999999998</v>
      </c>
      <c r="C206" s="1">
        <v>51.411799999999999</v>
      </c>
      <c r="D206" s="1">
        <v>50.117100000000001</v>
      </c>
      <c r="E206" s="1">
        <v>51.656999999999996</v>
      </c>
      <c r="F206" s="1">
        <v>50.816600000000001</v>
      </c>
      <c r="G206" s="1">
        <v>49.214399999999998</v>
      </c>
      <c r="H206" s="1">
        <v>52.721899999999998</v>
      </c>
      <c r="I206" s="1">
        <v>142.05929780236733</v>
      </c>
      <c r="J206" s="1">
        <v>119.37501954613718</v>
      </c>
      <c r="K206" s="1">
        <v>974.47536869999999</v>
      </c>
      <c r="L206" s="1">
        <v>978.5383941</v>
      </c>
      <c r="M206" s="1">
        <v>5.5417964544368541</v>
      </c>
      <c r="N206" s="1">
        <v>105.05690092153407</v>
      </c>
      <c r="O206" s="1">
        <v>2.1104761200116786</v>
      </c>
      <c r="P206" s="1">
        <v>2.4722456193635569</v>
      </c>
      <c r="Q206" s="1">
        <v>115.63148527866973</v>
      </c>
      <c r="R206" s="1">
        <v>113.8027440264777</v>
      </c>
      <c r="S206" s="1">
        <v>92.577757161945897</v>
      </c>
      <c r="T206" s="1">
        <v>85.259094514423865</v>
      </c>
      <c r="U206" s="1">
        <v>90.831635756454972</v>
      </c>
      <c r="V206" s="1">
        <v>77.52824756886973</v>
      </c>
      <c r="W206" s="1">
        <v>70.151346700445643</v>
      </c>
      <c r="X206" s="1">
        <v>93.88156370468073</v>
      </c>
      <c r="Y206" s="1">
        <v>99.501050000000006</v>
      </c>
      <c r="Z206" s="1">
        <v>115.67753999999999</v>
      </c>
      <c r="AA206" s="1">
        <v>386</v>
      </c>
      <c r="AB206">
        <v>110.58</v>
      </c>
      <c r="AC206" s="3"/>
      <c r="AD206" s="3"/>
      <c r="AE206" s="3"/>
    </row>
    <row r="207" spans="1:32" x14ac:dyDescent="0.25">
      <c r="A207" s="4">
        <v>42401</v>
      </c>
      <c r="B207" s="1">
        <v>51.333799999999997</v>
      </c>
      <c r="C207" s="1">
        <v>51.782800000000002</v>
      </c>
      <c r="D207" s="1">
        <v>49.264400000000002</v>
      </c>
      <c r="E207" s="1">
        <v>51.090499999999999</v>
      </c>
      <c r="F207" s="1">
        <v>49.905200000000001</v>
      </c>
      <c r="G207" s="1">
        <v>48.4589</v>
      </c>
      <c r="H207" s="1">
        <v>50.683300000000003</v>
      </c>
      <c r="I207" s="1">
        <v>143.03787489857785</v>
      </c>
      <c r="J207" s="1">
        <v>119.11250889911298</v>
      </c>
      <c r="K207" s="1">
        <v>1005.5116717</v>
      </c>
      <c r="L207" s="1">
        <v>1010.0807511</v>
      </c>
      <c r="M207" s="1">
        <v>5.5551783167771962</v>
      </c>
      <c r="N207" s="1">
        <v>104.25377083764236</v>
      </c>
      <c r="O207" s="1">
        <v>1.9529766586584374</v>
      </c>
      <c r="P207" s="1">
        <v>2.478989471111086</v>
      </c>
      <c r="Q207" s="1">
        <v>115.81176049272834</v>
      </c>
      <c r="R207" s="1">
        <v>114.01643730788251</v>
      </c>
      <c r="S207" s="1">
        <v>93.688277684172064</v>
      </c>
      <c r="T207" s="1">
        <v>89.321625926464662</v>
      </c>
      <c r="U207" s="1">
        <v>93.78062213482815</v>
      </c>
      <c r="V207" s="1">
        <v>78.139429970967072</v>
      </c>
      <c r="W207" s="1">
        <v>72.263759318848486</v>
      </c>
      <c r="X207" s="1">
        <v>94.17520612301486</v>
      </c>
      <c r="Y207" s="1">
        <v>99.482069999999993</v>
      </c>
      <c r="Z207" s="1">
        <v>114.309</v>
      </c>
      <c r="AA207" s="1">
        <v>307</v>
      </c>
      <c r="AB207">
        <v>110.39</v>
      </c>
      <c r="AC207" s="3"/>
      <c r="AD207" s="3"/>
      <c r="AE207" s="3"/>
    </row>
    <row r="208" spans="1:32" x14ac:dyDescent="0.25">
      <c r="A208" s="4">
        <v>42430</v>
      </c>
      <c r="B208" s="1">
        <v>51.101599999999998</v>
      </c>
      <c r="C208" s="1">
        <v>52.0259</v>
      </c>
      <c r="D208" s="1">
        <v>49.6158</v>
      </c>
      <c r="E208" s="1">
        <v>50.722700000000003</v>
      </c>
      <c r="F208" s="1">
        <v>50.580199999999998</v>
      </c>
      <c r="G208" s="1">
        <v>48.771299999999997</v>
      </c>
      <c r="H208" s="1">
        <v>51.357900000000001</v>
      </c>
      <c r="I208" s="1">
        <v>142.9767343420732</v>
      </c>
      <c r="J208" s="1">
        <v>119.10911616062737</v>
      </c>
      <c r="K208" s="1">
        <v>998.16085669999995</v>
      </c>
      <c r="L208" s="1">
        <v>999.68165710000005</v>
      </c>
      <c r="M208" s="1">
        <v>5.5703993696065437</v>
      </c>
      <c r="N208" s="1">
        <v>104.38908726731873</v>
      </c>
      <c r="O208" s="1">
        <v>1.946158028122382</v>
      </c>
      <c r="P208" s="1">
        <v>2.5509072310340954</v>
      </c>
      <c r="Q208" s="1">
        <v>116.16110887165716</v>
      </c>
      <c r="R208" s="1">
        <v>114.24504308865819</v>
      </c>
      <c r="S208" s="1">
        <v>97.241845764523418</v>
      </c>
      <c r="T208" s="1">
        <v>96.920185415412945</v>
      </c>
      <c r="U208" s="1">
        <v>97.931629346525582</v>
      </c>
      <c r="V208" s="1">
        <v>87.463135407191231</v>
      </c>
      <c r="W208" s="1">
        <v>86.754830738021909</v>
      </c>
      <c r="X208" s="1">
        <v>95.497933831427503</v>
      </c>
      <c r="Y208" s="1">
        <v>99.49136</v>
      </c>
      <c r="Z208" s="1">
        <v>112.05503</v>
      </c>
      <c r="AA208" s="1">
        <v>383</v>
      </c>
      <c r="AB208">
        <v>110.96</v>
      </c>
      <c r="AC208" s="3">
        <v>111.32</v>
      </c>
      <c r="AD208" s="3">
        <v>98.6</v>
      </c>
      <c r="AE208" s="3">
        <v>115.48805430997653</v>
      </c>
      <c r="AF208" s="1">
        <v>3.7022029833234891</v>
      </c>
    </row>
    <row r="209" spans="1:32" x14ac:dyDescent="0.25">
      <c r="A209" s="4">
        <v>42461</v>
      </c>
      <c r="B209" s="1">
        <v>51.426600000000001</v>
      </c>
      <c r="C209" s="1">
        <v>52.953499999999998</v>
      </c>
      <c r="D209" s="1">
        <v>49.381500000000003</v>
      </c>
      <c r="E209" s="1">
        <v>50.6693</v>
      </c>
      <c r="F209" s="1">
        <v>50.149099999999997</v>
      </c>
      <c r="G209" s="1">
        <v>47.7241</v>
      </c>
      <c r="H209" s="1">
        <v>51.745899999999999</v>
      </c>
      <c r="I209" s="1">
        <v>143.81724445844429</v>
      </c>
      <c r="J209" s="1">
        <v>119.64820729867638</v>
      </c>
      <c r="K209" s="1">
        <v>1013.4136297</v>
      </c>
      <c r="L209" s="1">
        <v>1032.5038151000001</v>
      </c>
      <c r="M209" s="1">
        <v>5.5632499601925556</v>
      </c>
      <c r="N209" s="1">
        <v>104.17067602986049</v>
      </c>
      <c r="O209" s="1">
        <v>1.8677124501544771</v>
      </c>
      <c r="P209" s="1">
        <v>2.5321071710424286</v>
      </c>
      <c r="Q209" s="1">
        <v>116.43102605421028</v>
      </c>
      <c r="R209" s="1">
        <v>114.40808600248502</v>
      </c>
      <c r="S209" s="1">
        <v>99.721778719046384</v>
      </c>
      <c r="T209" s="1">
        <v>99.066807240186719</v>
      </c>
      <c r="U209" s="1">
        <v>99.706043286782446</v>
      </c>
      <c r="V209" s="1">
        <v>92.259661396779279</v>
      </c>
      <c r="W209" s="1">
        <v>93.787939502004974</v>
      </c>
      <c r="X209" s="1">
        <v>100.1493349754807</v>
      </c>
      <c r="Y209" s="1">
        <v>99.521929999999998</v>
      </c>
      <c r="Z209" s="1">
        <v>110.38075000000001</v>
      </c>
      <c r="AA209" s="1">
        <v>607</v>
      </c>
      <c r="AB209">
        <v>111.64</v>
      </c>
      <c r="AC209" s="3"/>
      <c r="AD209" s="3"/>
      <c r="AE209" s="3"/>
    </row>
    <row r="210" spans="1:32" x14ac:dyDescent="0.25">
      <c r="A210" s="4">
        <v>42491</v>
      </c>
      <c r="B210" s="1">
        <v>51.226700000000001</v>
      </c>
      <c r="C210" s="1">
        <v>53.532499999999999</v>
      </c>
      <c r="D210" s="1">
        <v>49.142699999999998</v>
      </c>
      <c r="E210" s="1">
        <v>50.6496</v>
      </c>
      <c r="F210" s="1">
        <v>50.068199999999997</v>
      </c>
      <c r="G210" s="1">
        <v>48.464199999999998</v>
      </c>
      <c r="H210" s="1">
        <v>51.314999999999998</v>
      </c>
      <c r="I210" s="1">
        <v>144.52758912298151</v>
      </c>
      <c r="J210" s="1">
        <v>119.58525076622439</v>
      </c>
      <c r="K210" s="1">
        <v>1014.9673227</v>
      </c>
      <c r="L210" s="1">
        <v>1025.8020351</v>
      </c>
      <c r="M210" s="1">
        <v>5.5600627501641089</v>
      </c>
      <c r="N210" s="1">
        <v>103.92493602452977</v>
      </c>
      <c r="O210" s="1">
        <v>1.9515099420749373</v>
      </c>
      <c r="P210" s="1">
        <v>2.5269114195265021</v>
      </c>
      <c r="Q210" s="1">
        <v>116.71935642092501</v>
      </c>
      <c r="R210" s="1">
        <v>114.64574085090639</v>
      </c>
      <c r="S210" s="1">
        <v>101.28008590263146</v>
      </c>
      <c r="T210" s="1">
        <v>95.82934425151565</v>
      </c>
      <c r="U210" s="1">
        <v>99.945574479632199</v>
      </c>
      <c r="V210" s="1">
        <v>101.39348721169345</v>
      </c>
      <c r="W210" s="1">
        <v>105.65004591201587</v>
      </c>
      <c r="X210" s="1">
        <v>100.82513908279107</v>
      </c>
      <c r="Y210" s="1">
        <v>99.566130000000001</v>
      </c>
      <c r="Z210" s="1">
        <v>112.33037</v>
      </c>
      <c r="AA210" s="1">
        <v>620</v>
      </c>
      <c r="AB210">
        <v>112.92</v>
      </c>
      <c r="AC210" s="3"/>
      <c r="AD210" s="3"/>
      <c r="AE210" s="3"/>
    </row>
    <row r="211" spans="1:32" x14ac:dyDescent="0.25">
      <c r="A211" s="4">
        <v>42522</v>
      </c>
      <c r="B211" s="1">
        <v>51.468699999999998</v>
      </c>
      <c r="C211" s="1">
        <v>53.214799999999997</v>
      </c>
      <c r="D211" s="1">
        <v>49.7224</v>
      </c>
      <c r="E211" s="1">
        <v>50.756900000000002</v>
      </c>
      <c r="F211" s="1">
        <v>50.307499999999997</v>
      </c>
      <c r="G211" s="1">
        <v>48.799199999999999</v>
      </c>
      <c r="H211" s="1">
        <v>51.375900000000001</v>
      </c>
      <c r="I211" s="1">
        <v>145.35483367553937</v>
      </c>
      <c r="J211" s="1">
        <v>120.47488688056205</v>
      </c>
      <c r="K211" s="1">
        <v>1042.3723437000001</v>
      </c>
      <c r="L211" s="1">
        <v>1040.2980051</v>
      </c>
      <c r="M211" s="1">
        <v>5.5541274414643382</v>
      </c>
      <c r="N211" s="1">
        <v>105.10560952003951</v>
      </c>
      <c r="O211" s="1">
        <v>1.8318319853283704</v>
      </c>
      <c r="P211" s="1">
        <v>2.4940853963960579</v>
      </c>
      <c r="Q211" s="1">
        <v>117.06477639928185</v>
      </c>
      <c r="R211" s="1">
        <v>114.86047968457159</v>
      </c>
      <c r="S211" s="1">
        <v>103.35149614479643</v>
      </c>
      <c r="T211" s="1">
        <v>95.013983045756376</v>
      </c>
      <c r="U211" s="1">
        <v>100.88657565850716</v>
      </c>
      <c r="V211" s="1">
        <v>106.41502625387807</v>
      </c>
      <c r="W211" s="1">
        <v>109.86158991053651</v>
      </c>
      <c r="X211" s="1">
        <v>100.71253130987934</v>
      </c>
      <c r="Y211" s="1">
        <v>99.621309999999994</v>
      </c>
      <c r="Z211" s="1">
        <v>113.99081</v>
      </c>
      <c r="AA211" s="1">
        <v>608</v>
      </c>
      <c r="AB211">
        <v>113.41</v>
      </c>
      <c r="AC211" s="3">
        <v>111.6</v>
      </c>
      <c r="AD211" s="3">
        <v>99.71</v>
      </c>
      <c r="AE211" s="3">
        <v>116.23681706273629</v>
      </c>
      <c r="AF211" s="1">
        <v>3.741820224042359</v>
      </c>
    </row>
    <row r="212" spans="1:32" x14ac:dyDescent="0.25">
      <c r="A212" s="4">
        <v>42552</v>
      </c>
      <c r="B212" s="1">
        <v>51.833199999999998</v>
      </c>
      <c r="C212" s="1">
        <v>53.215200000000003</v>
      </c>
      <c r="D212" s="1">
        <v>49.884500000000003</v>
      </c>
      <c r="E212" s="1">
        <v>50.8782</v>
      </c>
      <c r="F212" s="1">
        <v>50.9405</v>
      </c>
      <c r="G212" s="1">
        <v>48.9985</v>
      </c>
      <c r="H212" s="1">
        <v>51.423200000000001</v>
      </c>
      <c r="I212" s="1">
        <v>146.06768622980726</v>
      </c>
      <c r="J212" s="1">
        <v>120.43198495381262</v>
      </c>
      <c r="K212" s="1">
        <v>1021.6622387</v>
      </c>
      <c r="L212" s="1">
        <v>1024.2666001</v>
      </c>
      <c r="M212" s="1">
        <v>5.5184667112396664</v>
      </c>
      <c r="N212" s="1">
        <v>105.24896012068488</v>
      </c>
      <c r="O212" s="1">
        <v>1.5734737836655011</v>
      </c>
      <c r="P212" s="1">
        <v>2.4726860691000487</v>
      </c>
      <c r="Q212" s="1">
        <v>117.28298466790359</v>
      </c>
      <c r="R212" s="1">
        <v>115.04935347786717</v>
      </c>
      <c r="S212" s="1">
        <v>103.85426095775743</v>
      </c>
      <c r="T212" s="1">
        <v>100.44101819604782</v>
      </c>
      <c r="U212" s="1">
        <v>103.39069078223233</v>
      </c>
      <c r="V212" s="1">
        <v>101.99512771569695</v>
      </c>
      <c r="W212" s="1">
        <v>103.17066781685605</v>
      </c>
      <c r="X212" s="1">
        <v>102.73150174388816</v>
      </c>
      <c r="Y212" s="1">
        <v>99.683909999999997</v>
      </c>
      <c r="Z212" s="1">
        <v>114.50228</v>
      </c>
      <c r="AA212" s="1">
        <v>707</v>
      </c>
      <c r="AB212">
        <v>113.98</v>
      </c>
      <c r="AC212" s="3"/>
      <c r="AD212" s="3"/>
      <c r="AE212" s="3"/>
    </row>
    <row r="213" spans="1:32" x14ac:dyDescent="0.25">
      <c r="A213" s="4">
        <v>42583</v>
      </c>
      <c r="B213" s="1">
        <v>51.980400000000003</v>
      </c>
      <c r="C213" s="1">
        <v>52.864800000000002</v>
      </c>
      <c r="D213" s="1">
        <v>50.273600000000002</v>
      </c>
      <c r="E213" s="1">
        <v>50.456600000000002</v>
      </c>
      <c r="F213" s="1">
        <v>50.730400000000003</v>
      </c>
      <c r="G213" s="1">
        <v>49.116199999999999</v>
      </c>
      <c r="H213" s="1">
        <v>51.489100000000001</v>
      </c>
      <c r="I213" s="1">
        <v>146.48607551677208</v>
      </c>
      <c r="J213" s="1">
        <v>120.7487229238524</v>
      </c>
      <c r="K213" s="1">
        <v>1052.0870706999999</v>
      </c>
      <c r="L213" s="1">
        <v>1048.5572901</v>
      </c>
      <c r="M213" s="1">
        <v>5.5095629359052971</v>
      </c>
      <c r="N213" s="1">
        <v>106.50368011120619</v>
      </c>
      <c r="O213" s="1">
        <v>1.6659901515690214</v>
      </c>
      <c r="P213" s="1">
        <v>2.4506147729121412</v>
      </c>
      <c r="Q213" s="1">
        <v>117.42262791490961</v>
      </c>
      <c r="R213" s="1">
        <v>115.27716874868051</v>
      </c>
      <c r="S213" s="1">
        <v>101.93196504634041</v>
      </c>
      <c r="T213" s="1">
        <v>102.24091448124405</v>
      </c>
      <c r="U213" s="1">
        <v>102.89728993186563</v>
      </c>
      <c r="V213" s="1">
        <v>103.76623548299237</v>
      </c>
      <c r="W213" s="1">
        <v>103.94332810698218</v>
      </c>
      <c r="X213" s="1">
        <v>101.43791549803811</v>
      </c>
      <c r="Y213" s="1">
        <v>99.749690000000001</v>
      </c>
      <c r="Z213" s="1">
        <v>113.0825</v>
      </c>
      <c r="AA213" s="1">
        <v>673</v>
      </c>
      <c r="AB213">
        <v>114.21</v>
      </c>
      <c r="AC213" s="3"/>
      <c r="AD213" s="3"/>
      <c r="AE213" s="3"/>
    </row>
    <row r="214" spans="1:32" x14ac:dyDescent="0.25">
      <c r="A214" s="4">
        <v>42614</v>
      </c>
      <c r="B214" s="1">
        <v>51.881999999999998</v>
      </c>
      <c r="C214" s="1">
        <v>52.896599999999999</v>
      </c>
      <c r="D214" s="1">
        <v>50.397799999999997</v>
      </c>
      <c r="E214" s="1">
        <v>50.517499999999998</v>
      </c>
      <c r="F214" s="1">
        <v>51.045900000000003</v>
      </c>
      <c r="G214" s="1">
        <v>49.243499999999997</v>
      </c>
      <c r="H214" s="1">
        <v>51.700099999999999</v>
      </c>
      <c r="I214" s="1">
        <v>146.85615585057766</v>
      </c>
      <c r="J214" s="1">
        <v>120.96842005694238</v>
      </c>
      <c r="K214" s="1">
        <v>1053.3872636999999</v>
      </c>
      <c r="L214" s="1">
        <v>1050.4267941000001</v>
      </c>
      <c r="M214" s="1">
        <v>5.5091234929477357</v>
      </c>
      <c r="N214" s="1">
        <v>106.86111138660479</v>
      </c>
      <c r="O214" s="1">
        <v>1.7145402103598808</v>
      </c>
      <c r="P214" s="1">
        <v>2.423364162655532</v>
      </c>
      <c r="Q214" s="1">
        <v>117.67686808175175</v>
      </c>
      <c r="R214" s="1">
        <v>115.46298432548447</v>
      </c>
      <c r="S214" s="1">
        <v>101.59191905120174</v>
      </c>
      <c r="T214" s="1">
        <v>100.00722517053428</v>
      </c>
      <c r="U214" s="1">
        <v>102.04560313718058</v>
      </c>
      <c r="V214" s="1">
        <v>105.1746378713013</v>
      </c>
      <c r="W214" s="1">
        <v>104.45842159804651</v>
      </c>
      <c r="X214" s="1">
        <v>101.38272305920114</v>
      </c>
      <c r="Y214" s="1">
        <v>99.821650000000005</v>
      </c>
      <c r="Z214" s="1">
        <v>113.34114</v>
      </c>
      <c r="AA214" s="1">
        <v>828</v>
      </c>
      <c r="AB214">
        <v>114.66999999999999</v>
      </c>
      <c r="AC214" s="3">
        <v>111.83</v>
      </c>
      <c r="AD214" s="3">
        <v>100.84</v>
      </c>
      <c r="AE214" s="3">
        <v>116.91346796151076</v>
      </c>
      <c r="AF214" s="1">
        <v>2.9901391125264309</v>
      </c>
    </row>
    <row r="215" spans="1:32" x14ac:dyDescent="0.25">
      <c r="A215" s="4">
        <v>42644</v>
      </c>
      <c r="B215" s="1">
        <v>53.084000000000003</v>
      </c>
      <c r="C215" s="1">
        <v>54.684899999999999</v>
      </c>
      <c r="D215" s="1">
        <v>50.480200000000004</v>
      </c>
      <c r="E215" s="1">
        <v>50.784100000000002</v>
      </c>
      <c r="F215" s="1">
        <v>51.935699999999997</v>
      </c>
      <c r="G215" s="1">
        <v>49.5182</v>
      </c>
      <c r="H215" s="1">
        <v>52.994</v>
      </c>
      <c r="I215" s="1">
        <v>148.45850907279379</v>
      </c>
      <c r="J215" s="1">
        <v>121.80709664461263</v>
      </c>
      <c r="K215" s="1">
        <v>1039.4610647</v>
      </c>
      <c r="L215" s="1">
        <v>1035.1933271</v>
      </c>
      <c r="M215" s="1">
        <v>5.56060221851682</v>
      </c>
      <c r="N215" s="1">
        <v>106.59102332041128</v>
      </c>
      <c r="O215" s="1">
        <v>1.7919924191127439</v>
      </c>
      <c r="P215" s="1">
        <v>2.3983246950830193</v>
      </c>
      <c r="Q215" s="1">
        <v>118.0063546512291</v>
      </c>
      <c r="R215" s="1">
        <v>115.63823555430861</v>
      </c>
      <c r="S215" s="1">
        <v>101.21288444941345</v>
      </c>
      <c r="T215" s="1">
        <v>101.12997903625592</v>
      </c>
      <c r="U215" s="1">
        <v>101.1424714945101</v>
      </c>
      <c r="V215" s="1">
        <v>114.80598055149173</v>
      </c>
      <c r="W215" s="1">
        <v>115.85060079837596</v>
      </c>
      <c r="X215" s="1">
        <v>100.69869858266971</v>
      </c>
      <c r="Y215" s="1">
        <v>99.895750000000007</v>
      </c>
      <c r="Z215" s="1">
        <v>113.88142000000001</v>
      </c>
      <c r="AA215" s="1">
        <v>868</v>
      </c>
      <c r="AB215">
        <v>114.94</v>
      </c>
      <c r="AC215" s="3"/>
      <c r="AD215" s="3"/>
      <c r="AE215" s="3"/>
    </row>
    <row r="216" spans="1:32" x14ac:dyDescent="0.25">
      <c r="A216" s="4">
        <v>42675</v>
      </c>
      <c r="B216" s="1">
        <v>53.3553</v>
      </c>
      <c r="C216" s="1">
        <v>55.6524</v>
      </c>
      <c r="D216" s="1">
        <v>50.779899999999998</v>
      </c>
      <c r="E216" s="1">
        <v>51.142800000000001</v>
      </c>
      <c r="F216" s="1">
        <v>51.979300000000002</v>
      </c>
      <c r="G216" s="1">
        <v>49.610399999999998</v>
      </c>
      <c r="H216" s="1">
        <v>53.2821</v>
      </c>
      <c r="I216" s="1">
        <v>148.96317846955321</v>
      </c>
      <c r="J216" s="1">
        <v>122.43839499025404</v>
      </c>
      <c r="K216" s="1">
        <v>1065.1143817</v>
      </c>
      <c r="L216" s="1">
        <v>1059.4846290999999</v>
      </c>
      <c r="M216" s="1">
        <v>5.5234732938605902</v>
      </c>
      <c r="N216" s="1">
        <v>107.97727039642739</v>
      </c>
      <c r="O216" s="1">
        <v>1.9934989690001204</v>
      </c>
      <c r="P216" s="1">
        <v>2.3998628242289386</v>
      </c>
      <c r="Q216" s="1">
        <v>118.25424809212896</v>
      </c>
      <c r="R216" s="1">
        <v>115.86348732880903</v>
      </c>
      <c r="S216" s="1">
        <v>101.51332887842497</v>
      </c>
      <c r="T216" s="1">
        <v>115.2364308092223</v>
      </c>
      <c r="U216" s="1">
        <v>103.82511481470711</v>
      </c>
      <c r="V216" s="1">
        <v>108.0049017611355</v>
      </c>
      <c r="W216" s="1">
        <v>107.40604821649015</v>
      </c>
      <c r="X216" s="1">
        <v>102.70372778280245</v>
      </c>
      <c r="Y216" s="1">
        <v>99.968770000000006</v>
      </c>
      <c r="Z216" s="1">
        <v>115.75436000000001</v>
      </c>
      <c r="AA216" s="1">
        <v>1072</v>
      </c>
      <c r="AB216">
        <v>115.01</v>
      </c>
      <c r="AC216" s="3"/>
      <c r="AD216" s="3"/>
      <c r="AE216" s="3"/>
    </row>
    <row r="217" spans="1:32" x14ac:dyDescent="0.25">
      <c r="A217" s="4">
        <v>42705</v>
      </c>
      <c r="B217" s="1">
        <v>53.685000000000002</v>
      </c>
      <c r="C217" s="1">
        <v>57.003900000000002</v>
      </c>
      <c r="D217" s="1">
        <v>51.000999999999998</v>
      </c>
      <c r="E217" s="1">
        <v>51.915300000000002</v>
      </c>
      <c r="F217" s="1">
        <v>52.612299999999998</v>
      </c>
      <c r="G217" s="1">
        <v>49.975200000000001</v>
      </c>
      <c r="H217" s="1">
        <v>53.356400000000001</v>
      </c>
      <c r="I217" s="1">
        <v>149.63785796828429</v>
      </c>
      <c r="J217" s="1">
        <v>122.95140634497417</v>
      </c>
      <c r="K217" s="1">
        <v>1083.9011547</v>
      </c>
      <c r="L217" s="1">
        <v>1077.3445151000001</v>
      </c>
      <c r="M217" s="1">
        <v>5.5081559744361943</v>
      </c>
      <c r="N217" s="1">
        <v>108.5758139094921</v>
      </c>
      <c r="O217" s="1">
        <v>2.2871798349153036</v>
      </c>
      <c r="P217" s="1">
        <v>2.4709469452507631</v>
      </c>
      <c r="Q217" s="1">
        <v>118.61148048119273</v>
      </c>
      <c r="R217" s="1">
        <v>116.07799389217523</v>
      </c>
      <c r="S217" s="1">
        <v>102.03440023974647</v>
      </c>
      <c r="T217" s="1">
        <v>119.5333919129355</v>
      </c>
      <c r="U217" s="1">
        <v>103.61674917677338</v>
      </c>
      <c r="V217" s="1">
        <v>123.05412880800317</v>
      </c>
      <c r="W217" s="1">
        <v>126.70142138137567</v>
      </c>
      <c r="X217" s="1">
        <v>105.80372430612641</v>
      </c>
      <c r="Y217" s="1">
        <v>100.0312</v>
      </c>
      <c r="Z217" s="1">
        <v>117.43581</v>
      </c>
      <c r="AA217" s="1">
        <v>1050</v>
      </c>
      <c r="AB217">
        <v>115.67</v>
      </c>
      <c r="AC217" s="3">
        <v>112.12</v>
      </c>
      <c r="AD217" s="3">
        <v>101.37</v>
      </c>
      <c r="AE217" s="3">
        <v>117.85946220301335</v>
      </c>
      <c r="AF217" s="1">
        <v>3.701006518821484</v>
      </c>
    </row>
    <row r="218" spans="1:32" x14ac:dyDescent="0.25">
      <c r="A218" s="4">
        <v>42736</v>
      </c>
      <c r="B218" s="1">
        <v>54.285299999999999</v>
      </c>
      <c r="C218" s="1">
        <v>57.354700000000001</v>
      </c>
      <c r="D218" s="1">
        <v>51.776499999999999</v>
      </c>
      <c r="E218" s="1">
        <v>52.0456</v>
      </c>
      <c r="F218" s="1">
        <v>52.624600000000001</v>
      </c>
      <c r="G218" s="1">
        <v>49.808399999999999</v>
      </c>
      <c r="H218" s="1">
        <v>53.911200000000001</v>
      </c>
      <c r="I218" s="1">
        <v>150.7992468467356</v>
      </c>
      <c r="J218" s="1">
        <v>122.88405613909867</v>
      </c>
      <c r="K218" s="1">
        <v>1100.7067127</v>
      </c>
      <c r="L218" s="1">
        <v>1084.9973041000001</v>
      </c>
      <c r="M218" s="1">
        <v>5.544260060566887</v>
      </c>
      <c r="N218" s="1">
        <v>108.51045691406618</v>
      </c>
      <c r="O218" s="1">
        <v>2.356761709054306</v>
      </c>
      <c r="P218" s="1">
        <v>2.3944469523533867</v>
      </c>
      <c r="Q218" s="1">
        <v>119.02507168111229</v>
      </c>
      <c r="R218" s="1">
        <v>116.32910565985826</v>
      </c>
      <c r="S218" s="1">
        <v>106.76250319885546</v>
      </c>
      <c r="T218" s="1">
        <v>121.36834449701475</v>
      </c>
      <c r="U218" s="1">
        <v>107.43528620230366</v>
      </c>
      <c r="V218" s="1">
        <v>128.32723219950617</v>
      </c>
      <c r="W218" s="1">
        <v>128.75250829014144</v>
      </c>
      <c r="X218" s="1">
        <v>109.73920607798925</v>
      </c>
      <c r="Y218" s="1">
        <v>100.0804</v>
      </c>
      <c r="Z218" s="1">
        <v>117.28981</v>
      </c>
      <c r="AA218" s="1">
        <v>907</v>
      </c>
      <c r="AB218">
        <v>116.24</v>
      </c>
      <c r="AC218" s="3"/>
      <c r="AD218" s="3"/>
      <c r="AE218" s="3"/>
    </row>
    <row r="219" spans="1:32" x14ac:dyDescent="0.25">
      <c r="A219" s="4">
        <v>42767</v>
      </c>
      <c r="B219" s="1">
        <v>53.804400000000001</v>
      </c>
      <c r="C219" s="1">
        <v>56.296999999999997</v>
      </c>
      <c r="D219" s="1">
        <v>52.177</v>
      </c>
      <c r="E219" s="1">
        <v>52.046599999999998</v>
      </c>
      <c r="F219" s="1">
        <v>52.861899999999999</v>
      </c>
      <c r="G219" s="1">
        <v>49.364899999999999</v>
      </c>
      <c r="H219" s="1">
        <v>53.286200000000001</v>
      </c>
      <c r="I219" s="1">
        <v>151.04166979077604</v>
      </c>
      <c r="J219" s="1">
        <v>123.1539862076027</v>
      </c>
      <c r="K219" s="1">
        <v>1101.6132347</v>
      </c>
      <c r="L219" s="1">
        <v>1076.1088511</v>
      </c>
      <c r="M219" s="1">
        <v>5.5161322460821447</v>
      </c>
      <c r="N219" s="1">
        <v>109.84473135998627</v>
      </c>
      <c r="O219" s="1">
        <v>2.2635443213528297</v>
      </c>
      <c r="P219" s="1">
        <v>2.3813109867177</v>
      </c>
      <c r="Q219" s="1">
        <v>119.26321553424633</v>
      </c>
      <c r="R219" s="1">
        <v>116.51767512719276</v>
      </c>
      <c r="S219" s="1">
        <v>107.54489713856789</v>
      </c>
      <c r="T219" s="1">
        <v>128.72324522746189</v>
      </c>
      <c r="U219" s="1">
        <v>109.9536420910718</v>
      </c>
      <c r="V219" s="1">
        <v>126.00415149998044</v>
      </c>
      <c r="W219" s="1">
        <v>130.13372780786449</v>
      </c>
      <c r="X219" s="1">
        <v>111.52106643538532</v>
      </c>
      <c r="Y219" s="1">
        <v>100.1237</v>
      </c>
      <c r="Z219" s="1">
        <v>116.15009999999999</v>
      </c>
      <c r="AA219" s="1">
        <v>759</v>
      </c>
      <c r="AB219">
        <v>116.77</v>
      </c>
      <c r="AC219" s="3"/>
      <c r="AD219" s="3"/>
      <c r="AE219" s="3"/>
    </row>
    <row r="220" spans="1:32" x14ac:dyDescent="0.25">
      <c r="A220" s="4">
        <v>42795</v>
      </c>
      <c r="B220" s="1">
        <v>53.6434</v>
      </c>
      <c r="C220" s="1">
        <v>56.186399999999999</v>
      </c>
      <c r="D220" s="1">
        <v>52.185499999999998</v>
      </c>
      <c r="E220" s="1">
        <v>51.769300000000001</v>
      </c>
      <c r="F220" s="1">
        <v>52.851199999999999</v>
      </c>
      <c r="G220" s="1">
        <v>49.191099999999999</v>
      </c>
      <c r="H220" s="1">
        <v>53.6586</v>
      </c>
      <c r="I220" s="1">
        <v>151.99668605362513</v>
      </c>
      <c r="J220" s="1">
        <v>124.10078266695916</v>
      </c>
      <c r="K220" s="1">
        <v>1128.3922697</v>
      </c>
      <c r="L220" s="1">
        <v>1122.9219671000001</v>
      </c>
      <c r="M220" s="1">
        <v>5.4781430727940545</v>
      </c>
      <c r="N220" s="1">
        <v>111.65374947629465</v>
      </c>
      <c r="O220" s="1">
        <v>2.3769672903587153</v>
      </c>
      <c r="P220" s="1">
        <v>2.4432737760598298</v>
      </c>
      <c r="Q220" s="1">
        <v>119.38002137623312</v>
      </c>
      <c r="R220" s="1">
        <v>116.6640429121794</v>
      </c>
      <c r="S220" s="1">
        <v>103.90061568939755</v>
      </c>
      <c r="T220" s="1">
        <v>127.21434467125029</v>
      </c>
      <c r="U220" s="1">
        <v>107.31728426971064</v>
      </c>
      <c r="V220" s="1">
        <v>116.32086556178676</v>
      </c>
      <c r="W220" s="1">
        <v>121.93844410981143</v>
      </c>
      <c r="X220" s="1">
        <v>107.77318825530148</v>
      </c>
      <c r="Y220" s="1">
        <v>100.1691</v>
      </c>
      <c r="Z220" s="1">
        <v>115.23715</v>
      </c>
      <c r="AA220" s="1">
        <v>1141</v>
      </c>
      <c r="AB220">
        <v>117.29</v>
      </c>
      <c r="AC220" s="3">
        <v>112.74</v>
      </c>
      <c r="AD220" s="3">
        <v>102.08</v>
      </c>
      <c r="AE220" s="3">
        <v>118.83090332203277</v>
      </c>
      <c r="AF220" s="1">
        <v>4.0522478898846126</v>
      </c>
    </row>
    <row r="221" spans="1:32" x14ac:dyDescent="0.25">
      <c r="A221" s="4">
        <v>42826</v>
      </c>
      <c r="B221" s="1">
        <v>53.538899999999998</v>
      </c>
      <c r="C221" s="1">
        <v>56.124099999999999</v>
      </c>
      <c r="D221" s="1">
        <v>52.219200000000001</v>
      </c>
      <c r="E221" s="1">
        <v>51.455199999999998</v>
      </c>
      <c r="F221" s="1">
        <v>52.641300000000001</v>
      </c>
      <c r="G221" s="1">
        <v>49.584200000000003</v>
      </c>
      <c r="H221" s="1">
        <v>53.725299999999997</v>
      </c>
      <c r="I221" s="1">
        <v>152.6125699238757</v>
      </c>
      <c r="J221" s="1">
        <v>124.31990141827183</v>
      </c>
      <c r="K221" s="1">
        <v>1109.9761716999999</v>
      </c>
      <c r="L221" s="1">
        <v>1099.5159871000001</v>
      </c>
      <c r="M221" s="1">
        <v>5.4060152602781164</v>
      </c>
      <c r="N221" s="1">
        <v>111.03975289765046</v>
      </c>
      <c r="O221" s="1">
        <v>2.2933894868620448</v>
      </c>
      <c r="P221" s="1">
        <v>2.4188324203474916</v>
      </c>
      <c r="Q221" s="1">
        <v>119.67233473156394</v>
      </c>
      <c r="R221" s="1">
        <v>116.89045885709515</v>
      </c>
      <c r="S221" s="1">
        <v>103.25222660427366</v>
      </c>
      <c r="T221" s="1">
        <v>116.89217128901055</v>
      </c>
      <c r="U221" s="1">
        <v>105.35065521288243</v>
      </c>
      <c r="V221" s="1">
        <v>119.41713705986399</v>
      </c>
      <c r="W221" s="1">
        <v>124.52005075640672</v>
      </c>
      <c r="X221" s="1">
        <v>107.82529338781976</v>
      </c>
      <c r="Y221" s="1">
        <v>100.2199</v>
      </c>
      <c r="Z221" s="1">
        <v>115.13763</v>
      </c>
      <c r="AA221" s="1">
        <v>1222</v>
      </c>
      <c r="AB221">
        <v>117.33</v>
      </c>
      <c r="AC221" s="3"/>
      <c r="AD221" s="3"/>
      <c r="AE221" s="3"/>
    </row>
    <row r="222" spans="1:32" x14ac:dyDescent="0.25">
      <c r="A222" s="4">
        <v>42856</v>
      </c>
      <c r="B222" s="1">
        <v>53.910499999999999</v>
      </c>
      <c r="C222" s="1">
        <v>54.824199999999998</v>
      </c>
      <c r="D222" s="1">
        <v>51.987000000000002</v>
      </c>
      <c r="E222" s="1">
        <v>51.986699999999999</v>
      </c>
      <c r="F222" s="1">
        <v>52.489100000000001</v>
      </c>
      <c r="G222" s="1">
        <v>49.692900000000002</v>
      </c>
      <c r="H222" s="1">
        <v>53.864100000000001</v>
      </c>
      <c r="I222" s="1">
        <v>153.27791142751462</v>
      </c>
      <c r="J222" s="1">
        <v>124.85097858263006</v>
      </c>
      <c r="K222" s="1">
        <v>1140.7586266999999</v>
      </c>
      <c r="L222" s="1">
        <v>1121.8528841</v>
      </c>
      <c r="M222" s="1">
        <v>5.4225677404417603</v>
      </c>
      <c r="N222" s="1">
        <v>110.65053810110112</v>
      </c>
      <c r="O222" s="1">
        <v>2.2797877479793289</v>
      </c>
      <c r="P222" s="1">
        <v>2.4118175001816877</v>
      </c>
      <c r="Q222" s="1">
        <v>119.79898847541675</v>
      </c>
      <c r="R222" s="1">
        <v>117.03085168020648</v>
      </c>
      <c r="S222" s="1">
        <v>105.38012542807564</v>
      </c>
      <c r="T222" s="1">
        <v>111.66543300852901</v>
      </c>
      <c r="U222" s="1">
        <v>104.6974305375705</v>
      </c>
      <c r="V222" s="1">
        <v>114.93747017465044</v>
      </c>
      <c r="W222" s="1">
        <v>117.83550401067687</v>
      </c>
      <c r="X222" s="1">
        <v>107.95206233526704</v>
      </c>
      <c r="Y222" s="1">
        <v>100.2784</v>
      </c>
      <c r="Z222" s="1">
        <v>114.94685</v>
      </c>
      <c r="AA222" s="1">
        <v>973</v>
      </c>
      <c r="AB222">
        <v>117.48</v>
      </c>
      <c r="AC222" s="3"/>
      <c r="AD222" s="3"/>
      <c r="AE222" s="3"/>
    </row>
    <row r="223" spans="1:32" x14ac:dyDescent="0.25">
      <c r="A223" s="4">
        <v>42887</v>
      </c>
      <c r="B223" s="1">
        <v>54.071300000000001</v>
      </c>
      <c r="C223" s="1">
        <v>54.757800000000003</v>
      </c>
      <c r="D223" s="1">
        <v>52.239800000000002</v>
      </c>
      <c r="E223" s="1">
        <v>52.124499999999998</v>
      </c>
      <c r="F223" s="1">
        <v>52.489100000000001</v>
      </c>
      <c r="G223" s="1">
        <v>49.679900000000004</v>
      </c>
      <c r="H223" s="1">
        <v>53.764499999999998</v>
      </c>
      <c r="I223" s="1">
        <v>153.60889057840157</v>
      </c>
      <c r="J223" s="1">
        <v>125.17491380254468</v>
      </c>
      <c r="K223" s="1">
        <v>1141.1726927</v>
      </c>
      <c r="L223" s="1">
        <v>1128.1593370999999</v>
      </c>
      <c r="M223" s="1">
        <v>5.3757230517593335</v>
      </c>
      <c r="N223" s="1">
        <v>110.61841834944144</v>
      </c>
      <c r="O223" s="1">
        <v>2.111136484817612</v>
      </c>
      <c r="P223" s="1">
        <v>2.4466594200378666</v>
      </c>
      <c r="Q223" s="1">
        <v>119.95702205971067</v>
      </c>
      <c r="R223" s="1">
        <v>117.24098566624417</v>
      </c>
      <c r="S223" s="1">
        <v>104.62571215553807</v>
      </c>
      <c r="T223" s="1">
        <v>109.86004533234309</v>
      </c>
      <c r="U223" s="1">
        <v>103.89736268521983</v>
      </c>
      <c r="V223" s="1">
        <v>108.24398577103489</v>
      </c>
      <c r="W223" s="1">
        <v>108.20895451019361</v>
      </c>
      <c r="X223" s="1">
        <v>103.24935080200309</v>
      </c>
      <c r="Y223" s="1">
        <v>100.34</v>
      </c>
      <c r="Z223" s="1">
        <v>114.65342</v>
      </c>
      <c r="AA223" s="1">
        <v>860</v>
      </c>
      <c r="AB223">
        <v>117.46</v>
      </c>
      <c r="AC223" s="3">
        <v>113.28</v>
      </c>
      <c r="AD223" s="3">
        <v>103.62</v>
      </c>
      <c r="AE223" s="3">
        <v>119.9015397202851</v>
      </c>
      <c r="AF223" s="1">
        <v>4.4321291292643634</v>
      </c>
    </row>
    <row r="224" spans="1:32" x14ac:dyDescent="0.25">
      <c r="A224" s="4">
        <v>42917</v>
      </c>
      <c r="B224" s="1">
        <v>54.180799999999998</v>
      </c>
      <c r="C224" s="1">
        <v>54.794499999999999</v>
      </c>
      <c r="D224" s="1">
        <v>51.981699999999996</v>
      </c>
      <c r="E224" s="1">
        <v>52.383000000000003</v>
      </c>
      <c r="F224" s="1">
        <v>52.621499999999997</v>
      </c>
      <c r="G224" s="1">
        <v>49.432000000000002</v>
      </c>
      <c r="H224" s="1">
        <v>53.638500000000001</v>
      </c>
      <c r="I224" s="1">
        <v>154.20634969317348</v>
      </c>
      <c r="J224" s="1">
        <v>125.39208750967661</v>
      </c>
      <c r="K224" s="1">
        <v>1139.2589336999999</v>
      </c>
      <c r="L224" s="1">
        <v>1123.5247280999999</v>
      </c>
      <c r="M224" s="1">
        <v>5.3753853970622769</v>
      </c>
      <c r="N224" s="1">
        <v>111.56216858423251</v>
      </c>
      <c r="O224" s="1">
        <v>2.3129053311026202</v>
      </c>
      <c r="P224" s="1">
        <v>2.4208342581332736</v>
      </c>
      <c r="Q224" s="1">
        <v>120.17656504521199</v>
      </c>
      <c r="R224" s="1">
        <v>117.44619900495748</v>
      </c>
      <c r="S224" s="1">
        <v>106.74037728663981</v>
      </c>
      <c r="T224" s="1">
        <v>117.18691473769763</v>
      </c>
      <c r="U224" s="1">
        <v>105.96535982755205</v>
      </c>
      <c r="V224" s="1">
        <v>112.0388183851602</v>
      </c>
      <c r="W224" s="1">
        <v>110.8338762981204</v>
      </c>
      <c r="X224" s="1">
        <v>102.59224262707602</v>
      </c>
      <c r="Y224" s="1">
        <v>100.39700000000001</v>
      </c>
      <c r="Z224" s="1">
        <v>113.01629</v>
      </c>
      <c r="AA224" s="1">
        <v>906</v>
      </c>
      <c r="AB224">
        <v>117.78</v>
      </c>
      <c r="AC224" s="3"/>
      <c r="AD224" s="3"/>
      <c r="AE224" s="3"/>
    </row>
    <row r="225" spans="1:32" x14ac:dyDescent="0.25">
      <c r="A225" s="4">
        <v>42948</v>
      </c>
      <c r="B225" s="1">
        <v>54.528799999999997</v>
      </c>
      <c r="C225" s="1">
        <v>55.606499999999997</v>
      </c>
      <c r="D225" s="1">
        <v>52.749899999999997</v>
      </c>
      <c r="E225" s="1">
        <v>52.561100000000003</v>
      </c>
      <c r="F225" s="1">
        <v>53.087000000000003</v>
      </c>
      <c r="G225" s="1">
        <v>48.997399999999999</v>
      </c>
      <c r="H225" s="1">
        <v>53.998100000000001</v>
      </c>
      <c r="I225" s="1">
        <v>154.66018803853194</v>
      </c>
      <c r="J225" s="1">
        <v>126.38144001680467</v>
      </c>
      <c r="K225" s="1">
        <v>1169.2675096999999</v>
      </c>
      <c r="L225" s="1">
        <v>1157.9473811</v>
      </c>
      <c r="M225" s="1">
        <v>5.3538335283334231</v>
      </c>
      <c r="N225" s="1">
        <v>111.51039056208239</v>
      </c>
      <c r="O225" s="1">
        <v>2.230478598850461</v>
      </c>
      <c r="P225" s="1">
        <v>2.409450106247613</v>
      </c>
      <c r="Q225" s="1">
        <v>120.53932525613718</v>
      </c>
      <c r="R225" s="1">
        <v>117.68651551454288</v>
      </c>
      <c r="S225" s="1">
        <v>101.74477822228944</v>
      </c>
      <c r="T225" s="1">
        <v>127.01562782119035</v>
      </c>
      <c r="U225" s="1">
        <v>106.43418040538423</v>
      </c>
      <c r="V225" s="1">
        <v>118.28756164305609</v>
      </c>
      <c r="W225" s="1">
        <v>114.85279184808849</v>
      </c>
      <c r="X225" s="1">
        <v>102.76680908299606</v>
      </c>
      <c r="Y225" s="1">
        <v>100.4418</v>
      </c>
      <c r="Z225" s="1">
        <v>111.64899</v>
      </c>
      <c r="AA225" s="1">
        <v>1142</v>
      </c>
      <c r="AB225">
        <v>117.88</v>
      </c>
      <c r="AC225" s="3"/>
      <c r="AD225" s="3"/>
      <c r="AE225" s="3"/>
    </row>
    <row r="226" spans="1:32" x14ac:dyDescent="0.25">
      <c r="A226" s="4">
        <v>42979</v>
      </c>
      <c r="B226" s="1">
        <v>54.313699999999997</v>
      </c>
      <c r="C226" s="1">
        <v>57.0306</v>
      </c>
      <c r="D226" s="1">
        <v>52.090699999999998</v>
      </c>
      <c r="E226" s="1">
        <v>52.429600000000001</v>
      </c>
      <c r="F226" s="1">
        <v>53.151899999999998</v>
      </c>
      <c r="G226" s="1">
        <v>49.017299999999999</v>
      </c>
      <c r="H226" s="1">
        <v>53.7742</v>
      </c>
      <c r="I226" s="1">
        <v>156.06530754761519</v>
      </c>
      <c r="J226" s="1">
        <v>126.66462545951356</v>
      </c>
      <c r="K226" s="1">
        <v>1179.8848986999999</v>
      </c>
      <c r="L226" s="1">
        <v>1173.8166200999999</v>
      </c>
      <c r="M226" s="1">
        <v>5.3272935721294514</v>
      </c>
      <c r="N226" s="1">
        <v>111.96724370983459</v>
      </c>
      <c r="O226" s="1">
        <v>2.2565539730312221</v>
      </c>
      <c r="P226" s="1">
        <v>2.3700746097311063</v>
      </c>
      <c r="Q226" s="1">
        <v>120.87512371335143</v>
      </c>
      <c r="R226" s="1">
        <v>117.89166210566715</v>
      </c>
      <c r="S226" s="1">
        <v>100.75583693780787</v>
      </c>
      <c r="T226" s="1">
        <v>126.10273634640276</v>
      </c>
      <c r="U226" s="1">
        <v>106.46388844064373</v>
      </c>
      <c r="V226" s="1">
        <v>126.22738689536985</v>
      </c>
      <c r="W226" s="1">
        <v>120.90013226054998</v>
      </c>
      <c r="X226" s="1">
        <v>102.86293658643682</v>
      </c>
      <c r="Y226" s="1">
        <v>100.4623</v>
      </c>
      <c r="Z226" s="1">
        <v>110.4286</v>
      </c>
      <c r="AA226" s="1">
        <v>1364</v>
      </c>
      <c r="AB226">
        <v>117.88</v>
      </c>
      <c r="AC226" s="3">
        <v>113.76</v>
      </c>
      <c r="AD226" s="3">
        <v>104.2</v>
      </c>
      <c r="AE226" s="3">
        <v>120.95774782172764</v>
      </c>
      <c r="AF226" s="1">
        <v>4.256200957893709</v>
      </c>
    </row>
    <row r="227" spans="1:32" x14ac:dyDescent="0.25">
      <c r="A227" s="4">
        <v>43009</v>
      </c>
      <c r="B227" s="1">
        <v>54.075800000000001</v>
      </c>
      <c r="C227" s="1">
        <v>56.566200000000002</v>
      </c>
      <c r="D227" s="1">
        <v>52.2776</v>
      </c>
      <c r="E227" s="1">
        <v>52.575299999999999</v>
      </c>
      <c r="F227" s="1">
        <v>53.357100000000003</v>
      </c>
      <c r="G227" s="1">
        <v>49.289400000000001</v>
      </c>
      <c r="H227" s="1">
        <v>54.067999999999998</v>
      </c>
      <c r="I227" s="1">
        <v>156.21481786934726</v>
      </c>
      <c r="J227" s="1">
        <v>126.74546804148025</v>
      </c>
      <c r="K227" s="1">
        <v>1179.5853447</v>
      </c>
      <c r="L227" s="1">
        <v>1150.3603081000001</v>
      </c>
      <c r="M227" s="1">
        <v>5.2851252468070911</v>
      </c>
      <c r="N227" s="1">
        <v>113.54452142666511</v>
      </c>
      <c r="O227" s="1">
        <v>2.3065227820854948</v>
      </c>
      <c r="P227" s="1">
        <v>2.347615695269718</v>
      </c>
      <c r="Q227" s="1">
        <v>121.09677051357481</v>
      </c>
      <c r="R227" s="1">
        <v>118.03098454996575</v>
      </c>
      <c r="S227" s="1">
        <v>101.63089677423383</v>
      </c>
      <c r="T227" s="1">
        <v>124.23350854481622</v>
      </c>
      <c r="U227" s="1">
        <v>105.90546138994554</v>
      </c>
      <c r="V227" s="1">
        <v>130.79862854661053</v>
      </c>
      <c r="W227" s="1">
        <v>126.42578520801798</v>
      </c>
      <c r="X227" s="1">
        <v>100.69767408396871</v>
      </c>
      <c r="Y227" s="1">
        <v>100.45959999999999</v>
      </c>
      <c r="Z227" s="1">
        <v>112.02328</v>
      </c>
      <c r="AA227" s="1">
        <v>1484</v>
      </c>
      <c r="AB227">
        <v>119.31</v>
      </c>
      <c r="AC227" s="3"/>
      <c r="AD227" s="3"/>
      <c r="AE227" s="3"/>
    </row>
    <row r="228" spans="1:32" x14ac:dyDescent="0.25">
      <c r="A228" s="4">
        <v>43040</v>
      </c>
      <c r="B228" s="1">
        <v>54.618200000000002</v>
      </c>
      <c r="C228" s="1">
        <v>57.308</v>
      </c>
      <c r="D228" s="1">
        <v>53.055799999999998</v>
      </c>
      <c r="E228" s="1">
        <v>52.663699999999999</v>
      </c>
      <c r="F228" s="1">
        <v>53.876300000000001</v>
      </c>
      <c r="G228" s="1">
        <v>49.599499999999999</v>
      </c>
      <c r="H228" s="1">
        <v>53.668399999999998</v>
      </c>
      <c r="I228" s="1">
        <v>157.79933092010529</v>
      </c>
      <c r="J228" s="1">
        <v>128.25847869122904</v>
      </c>
      <c r="K228" s="1">
        <v>1223.9442747000001</v>
      </c>
      <c r="L228" s="1">
        <v>1197.2977521</v>
      </c>
      <c r="M228" s="1">
        <v>5.2799227490633838</v>
      </c>
      <c r="N228" s="1">
        <v>113.78365153377048</v>
      </c>
      <c r="O228" s="1">
        <v>2.3541705158680566</v>
      </c>
      <c r="P228" s="1">
        <v>2.3771263877347941</v>
      </c>
      <c r="Q228" s="1">
        <v>121.54419301527153</v>
      </c>
      <c r="R228" s="1">
        <v>118.26795829312316</v>
      </c>
      <c r="S228" s="1">
        <v>102.20740564078109</v>
      </c>
      <c r="T228" s="1">
        <v>125.77287629150582</v>
      </c>
      <c r="U228" s="1">
        <v>106.49077389221191</v>
      </c>
      <c r="V228" s="1">
        <v>141.56237619991745</v>
      </c>
      <c r="W228" s="1">
        <v>138.15443056847568</v>
      </c>
      <c r="X228" s="1">
        <v>101.79668493039823</v>
      </c>
      <c r="Y228" s="1">
        <v>100.43600000000001</v>
      </c>
      <c r="Z228" s="1">
        <v>112.15385000000001</v>
      </c>
      <c r="AA228" s="1">
        <v>1454</v>
      </c>
      <c r="AB228">
        <v>119.63</v>
      </c>
      <c r="AC228" s="3"/>
      <c r="AD228" s="3"/>
      <c r="AE228" s="3"/>
    </row>
    <row r="229" spans="1:32" x14ac:dyDescent="0.25">
      <c r="A229" s="4">
        <v>43070</v>
      </c>
      <c r="B229" s="1">
        <v>54.773600000000002</v>
      </c>
      <c r="C229" s="1">
        <v>56.954799999999999</v>
      </c>
      <c r="D229" s="1">
        <v>53.292999999999999</v>
      </c>
      <c r="E229" s="1">
        <v>52.818199999999997</v>
      </c>
      <c r="F229" s="1">
        <v>54.358800000000002</v>
      </c>
      <c r="G229" s="1">
        <v>49.080599999999997</v>
      </c>
      <c r="H229" s="1">
        <v>53.823300000000003</v>
      </c>
      <c r="I229" s="1">
        <v>158.30386948523343</v>
      </c>
      <c r="J229" s="1">
        <v>128.99355414670686</v>
      </c>
      <c r="K229" s="1">
        <v>1240.0205877000001</v>
      </c>
      <c r="L229" s="1">
        <v>1212.9434861</v>
      </c>
      <c r="M229" s="1">
        <v>5.2421735290941651</v>
      </c>
      <c r="N229" s="1">
        <v>113.05787968816153</v>
      </c>
      <c r="O229" s="1">
        <v>2.3634439223697266</v>
      </c>
      <c r="P229" s="1">
        <v>2.425780534210777</v>
      </c>
      <c r="Q229" s="1">
        <v>121.91437346940197</v>
      </c>
      <c r="R229" s="1">
        <v>118.50598782477766</v>
      </c>
      <c r="S229" s="1">
        <v>102.16146100851624</v>
      </c>
      <c r="T229" s="1">
        <v>129.7198518083043</v>
      </c>
      <c r="U229" s="1">
        <v>106.98350259673551</v>
      </c>
      <c r="V229" s="1">
        <v>144.91449093229207</v>
      </c>
      <c r="W229" s="1">
        <v>140.33619885701941</v>
      </c>
      <c r="X229" s="1">
        <v>104.1630012820321</v>
      </c>
      <c r="Y229" s="1">
        <v>100.39190000000001</v>
      </c>
      <c r="Z229" s="1">
        <v>111.40803</v>
      </c>
      <c r="AA229" s="1">
        <v>1619</v>
      </c>
      <c r="AB229">
        <v>120.37</v>
      </c>
      <c r="AC229" s="3">
        <v>114.21</v>
      </c>
      <c r="AD229" s="3">
        <v>104.41</v>
      </c>
      <c r="AE229" s="3">
        <v>121.90698070352069</v>
      </c>
      <c r="AF229" s="1">
        <v>3.7024451017805418</v>
      </c>
    </row>
    <row r="230" spans="1:32" x14ac:dyDescent="0.25">
      <c r="A230" s="4">
        <v>43101</v>
      </c>
      <c r="B230" s="1">
        <v>55.097200000000001</v>
      </c>
      <c r="C230" s="1">
        <v>57.610799999999998</v>
      </c>
      <c r="D230" s="1">
        <v>53.338000000000001</v>
      </c>
      <c r="E230" s="1">
        <v>52.8429</v>
      </c>
      <c r="F230" s="1">
        <v>54.288899999999998</v>
      </c>
      <c r="G230" s="1">
        <v>49.613900000000001</v>
      </c>
      <c r="H230" s="1">
        <v>54.17</v>
      </c>
      <c r="I230" s="1">
        <v>158.04844728873493</v>
      </c>
      <c r="J230" s="1">
        <v>128.85578351883572</v>
      </c>
      <c r="K230" s="1">
        <v>1280.0331857000001</v>
      </c>
      <c r="L230" s="1">
        <v>1230.6549290999999</v>
      </c>
      <c r="M230" s="1">
        <v>5.2181959798480069</v>
      </c>
      <c r="N230" s="1">
        <v>113.9706866991898</v>
      </c>
      <c r="O230" s="1">
        <v>2.4172428000638684</v>
      </c>
      <c r="P230" s="1">
        <v>2.434263060152106</v>
      </c>
      <c r="Q230" s="1">
        <v>122.302084109199</v>
      </c>
      <c r="R230" s="1">
        <v>118.74426389590791</v>
      </c>
      <c r="S230" s="1">
        <v>105.77265767686747</v>
      </c>
      <c r="T230" s="1">
        <v>136.10866358244425</v>
      </c>
      <c r="U230" s="1">
        <v>111.54756382547087</v>
      </c>
      <c r="V230" s="1">
        <v>156.13208576856292</v>
      </c>
      <c r="W230" s="1">
        <v>149.21765589818671</v>
      </c>
      <c r="X230" s="1">
        <v>109.77127671396141</v>
      </c>
      <c r="Y230" s="1">
        <v>100.334</v>
      </c>
      <c r="Z230" s="1">
        <v>108.83503</v>
      </c>
      <c r="AA230" s="1">
        <v>1242</v>
      </c>
      <c r="AB230">
        <v>121.73</v>
      </c>
      <c r="AC230" s="3"/>
      <c r="AD230" s="3"/>
      <c r="AE230" s="3"/>
    </row>
    <row r="231" spans="1:32" x14ac:dyDescent="0.25">
      <c r="A231" s="4">
        <v>43132</v>
      </c>
      <c r="B231" s="1">
        <v>55.2746</v>
      </c>
      <c r="C231" s="1">
        <v>57.545999999999999</v>
      </c>
      <c r="D231" s="1">
        <v>52.7637</v>
      </c>
      <c r="E231" s="1">
        <v>52.908099999999997</v>
      </c>
      <c r="F231" s="1">
        <v>54.04</v>
      </c>
      <c r="G231" s="1">
        <v>50.332700000000003</v>
      </c>
      <c r="H231" s="1">
        <v>54.814900000000002</v>
      </c>
      <c r="I231" s="1">
        <v>158.26643972801136</v>
      </c>
      <c r="J231" s="1">
        <v>129.04158007402197</v>
      </c>
      <c r="K231" s="1">
        <v>1283.4773296999999</v>
      </c>
      <c r="L231" s="1">
        <v>1248.8105071</v>
      </c>
      <c r="M231" s="1">
        <v>5.2026374528027315</v>
      </c>
      <c r="N231" s="1">
        <v>115.13045089996166</v>
      </c>
      <c r="O231" s="1">
        <v>2.6608075337846286</v>
      </c>
      <c r="P231" s="1">
        <v>2.4213446251819266</v>
      </c>
      <c r="Q231" s="1">
        <v>122.53752991843791</v>
      </c>
      <c r="R231" s="1">
        <v>118.98231926602973</v>
      </c>
      <c r="S231" s="1">
        <v>106.53979969482822</v>
      </c>
      <c r="T231" s="1">
        <v>137.15080022786685</v>
      </c>
      <c r="U231" s="1">
        <v>112.23083094759868</v>
      </c>
      <c r="V231" s="1">
        <v>148.23869328013834</v>
      </c>
      <c r="W231" s="1">
        <v>141.80523389164009</v>
      </c>
      <c r="X231" s="1">
        <v>110.35302939193006</v>
      </c>
      <c r="Y231" s="1">
        <v>100.2641</v>
      </c>
      <c r="Z231" s="1">
        <v>108.88146</v>
      </c>
      <c r="AA231" s="1">
        <v>1125</v>
      </c>
      <c r="AB231">
        <v>121.82</v>
      </c>
      <c r="AC231" s="3"/>
      <c r="AD231" s="3"/>
      <c r="AE231" s="3"/>
    </row>
    <row r="232" spans="1:32" x14ac:dyDescent="0.25">
      <c r="A232" s="4">
        <v>43160</v>
      </c>
      <c r="B232" s="1">
        <v>54.123399999999997</v>
      </c>
      <c r="C232" s="1">
        <v>56.4495</v>
      </c>
      <c r="D232" s="1">
        <v>51.695300000000003</v>
      </c>
      <c r="E232" s="1">
        <v>52.723700000000001</v>
      </c>
      <c r="F232" s="1">
        <v>53.242600000000003</v>
      </c>
      <c r="G232" s="1">
        <v>49.677999999999997</v>
      </c>
      <c r="H232" s="1">
        <v>53.211300000000001</v>
      </c>
      <c r="I232" s="1">
        <v>159.26964750685201</v>
      </c>
      <c r="J232" s="1">
        <v>129.52630052914853</v>
      </c>
      <c r="K232" s="1">
        <v>1274.1370817</v>
      </c>
      <c r="L232" s="1">
        <v>1245.6860371</v>
      </c>
      <c r="M232" s="1">
        <v>5.1954100905731764</v>
      </c>
      <c r="N232" s="1">
        <v>114.63629608903</v>
      </c>
      <c r="O232" s="1">
        <v>2.5889618798939762</v>
      </c>
      <c r="P232" s="1">
        <v>2.4759192309357445</v>
      </c>
      <c r="Q232" s="1">
        <v>122.67003050496321</v>
      </c>
      <c r="R232" s="1">
        <v>119.15569395617432</v>
      </c>
      <c r="S232" s="1">
        <v>107.67156064477471</v>
      </c>
      <c r="T232" s="1">
        <v>131.99893328466365</v>
      </c>
      <c r="U232" s="1">
        <v>111.69771903794168</v>
      </c>
      <c r="V232" s="1">
        <v>147.97158536221465</v>
      </c>
      <c r="W232" s="1">
        <v>143.343643107487</v>
      </c>
      <c r="X232" s="1">
        <v>110.59138830262094</v>
      </c>
      <c r="Y232" s="1">
        <v>100.1905</v>
      </c>
      <c r="Z232" s="1">
        <v>108.69739</v>
      </c>
      <c r="AA232" s="1">
        <v>1154</v>
      </c>
      <c r="AB232">
        <v>121.99</v>
      </c>
      <c r="AC232" s="3">
        <v>114.59</v>
      </c>
      <c r="AD232" s="3">
        <v>104.81</v>
      </c>
      <c r="AE232" s="3">
        <v>122.82292749096095</v>
      </c>
      <c r="AF232" s="1">
        <v>4.0009874259412666</v>
      </c>
    </row>
    <row r="233" spans="1:32" x14ac:dyDescent="0.25">
      <c r="A233" s="4">
        <v>43191</v>
      </c>
      <c r="B233" s="1">
        <v>54.967500000000001</v>
      </c>
      <c r="C233" s="1">
        <v>56.708100000000002</v>
      </c>
      <c r="D233" s="1">
        <v>51.166899999999998</v>
      </c>
      <c r="E233" s="1">
        <v>52.838700000000003</v>
      </c>
      <c r="F233" s="1">
        <v>53.365699999999997</v>
      </c>
      <c r="G233" s="1">
        <v>49.675800000000002</v>
      </c>
      <c r="H233" s="1">
        <v>53.837899999999998</v>
      </c>
      <c r="I233" s="1">
        <v>159.58474110136945</v>
      </c>
      <c r="J233" s="1">
        <v>129.97340975190733</v>
      </c>
      <c r="K233" s="1">
        <v>1277.4139276999999</v>
      </c>
      <c r="L233" s="1">
        <v>1245.9017770999999</v>
      </c>
      <c r="M233" s="1">
        <v>5.1671755413388754</v>
      </c>
      <c r="N233" s="1">
        <v>114.35074085354326</v>
      </c>
      <c r="O233" s="1">
        <v>2.5855067464214145</v>
      </c>
      <c r="P233" s="1">
        <v>2.4785444616052477</v>
      </c>
      <c r="Q233" s="1">
        <v>122.93038679943977</v>
      </c>
      <c r="R233" s="1">
        <v>119.33631902181699</v>
      </c>
      <c r="S233" s="1">
        <v>107.33613035509107</v>
      </c>
      <c r="T233" s="1">
        <v>133.44331900132227</v>
      </c>
      <c r="U233" s="1">
        <v>111.71815122941675</v>
      </c>
      <c r="V233" s="1">
        <v>152.74296883599979</v>
      </c>
      <c r="W233" s="1">
        <v>153.86468410190969</v>
      </c>
      <c r="X233" s="1">
        <v>109.69182929370605</v>
      </c>
      <c r="Y233" s="1">
        <v>100.1048</v>
      </c>
      <c r="Z233" s="1">
        <v>108.69014</v>
      </c>
      <c r="AA233" s="1">
        <v>1129</v>
      </c>
      <c r="AB233">
        <v>122.11</v>
      </c>
      <c r="AC233" s="3"/>
      <c r="AD233" s="3"/>
      <c r="AE233" s="3"/>
    </row>
    <row r="234" spans="1:32" x14ac:dyDescent="0.25">
      <c r="A234" s="4">
        <v>43221</v>
      </c>
      <c r="B234" s="1">
        <v>54.119799999999998</v>
      </c>
      <c r="C234" s="1">
        <v>57.540700000000001</v>
      </c>
      <c r="D234" s="1">
        <v>50.846899999999998</v>
      </c>
      <c r="E234" s="1">
        <v>52.566899999999997</v>
      </c>
      <c r="F234" s="1">
        <v>53.028199999999998</v>
      </c>
      <c r="G234" s="1">
        <v>49.476900000000001</v>
      </c>
      <c r="H234" s="1">
        <v>54.298099999999998</v>
      </c>
      <c r="I234" s="1">
        <v>160.92716439161748</v>
      </c>
      <c r="J234" s="1">
        <v>129.69479353022567</v>
      </c>
      <c r="K234" s="1">
        <v>1290.1508067</v>
      </c>
      <c r="L234" s="1">
        <v>1247.8592381000001</v>
      </c>
      <c r="M234" s="1">
        <v>5.1317140382846045</v>
      </c>
      <c r="N234" s="1">
        <v>115.20510421881804</v>
      </c>
      <c r="O234" s="1">
        <v>2.5624559765872248</v>
      </c>
      <c r="P234" s="1">
        <v>2.5090201312944087</v>
      </c>
      <c r="Q234" s="1">
        <v>123.30825318219402</v>
      </c>
      <c r="R234" s="1">
        <v>119.55671526345679</v>
      </c>
      <c r="S234" s="1">
        <v>109.43050916627766</v>
      </c>
      <c r="T234" s="1">
        <v>133.87643466094633</v>
      </c>
      <c r="U234" s="1">
        <v>112.35536067872796</v>
      </c>
      <c r="V234" s="1">
        <v>163.58003250947678</v>
      </c>
      <c r="W234" s="1">
        <v>167.07797555754371</v>
      </c>
      <c r="X234" s="1">
        <v>110.07146504973407</v>
      </c>
      <c r="Y234" s="1">
        <v>100.0137</v>
      </c>
      <c r="Z234" s="1">
        <v>112.41283</v>
      </c>
      <c r="AA234" s="1">
        <v>1293</v>
      </c>
      <c r="AB234">
        <v>121.97</v>
      </c>
      <c r="AC234" s="3"/>
      <c r="AD234" s="3"/>
      <c r="AE234" s="3"/>
    </row>
    <row r="235" spans="1:32" x14ac:dyDescent="0.25">
      <c r="A235" s="4">
        <v>43252</v>
      </c>
      <c r="B235" s="1">
        <v>54.283799999999999</v>
      </c>
      <c r="C235" s="1">
        <v>58.642899999999997</v>
      </c>
      <c r="D235" s="1">
        <v>50.5792</v>
      </c>
      <c r="E235" s="1">
        <v>52.724899999999998</v>
      </c>
      <c r="F235" s="1">
        <v>52.908099999999997</v>
      </c>
      <c r="G235" s="1">
        <v>49.152799999999999</v>
      </c>
      <c r="H235" s="1">
        <v>54.583300000000001</v>
      </c>
      <c r="I235" s="1">
        <v>161.73575683354159</v>
      </c>
      <c r="J235" s="1">
        <v>129.94279470469456</v>
      </c>
      <c r="K235" s="1">
        <v>1268.7273227000001</v>
      </c>
      <c r="L235" s="1">
        <v>1240.7572481</v>
      </c>
      <c r="M235" s="1">
        <v>5.1520911915308183</v>
      </c>
      <c r="N235" s="1">
        <v>114.35776614369836</v>
      </c>
      <c r="O235" s="1">
        <v>2.6147535637574379</v>
      </c>
      <c r="P235" s="1">
        <v>2.7310371558701463</v>
      </c>
      <c r="Q235" s="1">
        <v>123.6619556437454</v>
      </c>
      <c r="R235" s="1">
        <v>119.75784686569403</v>
      </c>
      <c r="S235" s="1">
        <v>104.99892512914262</v>
      </c>
      <c r="T235" s="1">
        <v>134.81806950550595</v>
      </c>
      <c r="U235" s="1">
        <v>110.20809264309489</v>
      </c>
      <c r="V235" s="1">
        <v>163.92932391484666</v>
      </c>
      <c r="W235" s="1">
        <v>165.23983489110779</v>
      </c>
      <c r="X235" s="1">
        <v>110.54823964239554</v>
      </c>
      <c r="Y235" s="1">
        <v>99.914420000000007</v>
      </c>
      <c r="Z235" s="1">
        <v>114.52283</v>
      </c>
      <c r="AA235" s="1">
        <v>1352</v>
      </c>
      <c r="AB235">
        <v>122.3</v>
      </c>
      <c r="AC235" s="3">
        <v>115.01</v>
      </c>
      <c r="AD235" s="3">
        <v>105.72</v>
      </c>
      <c r="AE235" s="3">
        <v>123.8196102577493</v>
      </c>
      <c r="AF235" s="1">
        <v>3.841791704686929</v>
      </c>
    </row>
    <row r="236" spans="1:32" x14ac:dyDescent="0.25">
      <c r="A236" s="4">
        <v>43282</v>
      </c>
      <c r="B236" s="1">
        <v>53.6539</v>
      </c>
      <c r="C236" s="1">
        <v>58.016599999999997</v>
      </c>
      <c r="D236" s="1">
        <v>50.362200000000001</v>
      </c>
      <c r="E236" s="1">
        <v>52.5199</v>
      </c>
      <c r="F236" s="1">
        <v>52.676499999999997</v>
      </c>
      <c r="G236" s="1">
        <v>49.110399999999998</v>
      </c>
      <c r="H236" s="1">
        <v>53.981499999999997</v>
      </c>
      <c r="I236" s="1">
        <v>161.99014934672925</v>
      </c>
      <c r="J236" s="1">
        <v>130.49095458788798</v>
      </c>
      <c r="K236" s="1">
        <v>1298.4437516999999</v>
      </c>
      <c r="L236" s="1">
        <v>1240.5575891000001</v>
      </c>
      <c r="M236" s="1">
        <v>5.1282972682640349</v>
      </c>
      <c r="N236" s="1">
        <v>114.45437097924706</v>
      </c>
      <c r="O236" s="1">
        <v>2.56834275102851</v>
      </c>
      <c r="P236" s="1">
        <v>2.7820564908610597</v>
      </c>
      <c r="Q236" s="1">
        <v>124.00625556579928</v>
      </c>
      <c r="R236" s="1">
        <v>120.00008859399342</v>
      </c>
      <c r="S236" s="1">
        <v>102.04543758653276</v>
      </c>
      <c r="T236" s="1">
        <v>126.40449958040783</v>
      </c>
      <c r="U236" s="1">
        <v>106.31887036338853</v>
      </c>
      <c r="V236" s="1">
        <v>165.27325628990255</v>
      </c>
      <c r="W236" s="1">
        <v>167.91817919298322</v>
      </c>
      <c r="X236" s="1">
        <v>108.61766004526496</v>
      </c>
      <c r="Y236" s="1">
        <v>99.807199999999995</v>
      </c>
      <c r="Z236" s="1">
        <v>114.90452999999999</v>
      </c>
      <c r="AA236" s="1">
        <v>1650</v>
      </c>
      <c r="AB236">
        <v>122.38</v>
      </c>
      <c r="AC236" s="3"/>
      <c r="AD236" s="3"/>
      <c r="AE236" s="3"/>
    </row>
    <row r="237" spans="1:32" x14ac:dyDescent="0.25">
      <c r="A237" s="4">
        <v>43313</v>
      </c>
      <c r="B237" s="1">
        <v>53.553600000000003</v>
      </c>
      <c r="C237" s="1">
        <v>57.696300000000001</v>
      </c>
      <c r="D237" s="1">
        <v>50.129300000000001</v>
      </c>
      <c r="E237" s="1">
        <v>52.395499999999998</v>
      </c>
      <c r="F237" s="1">
        <v>52.488799999999998</v>
      </c>
      <c r="G237" s="1">
        <v>49.2346</v>
      </c>
      <c r="H237" s="1">
        <v>53.466500000000003</v>
      </c>
      <c r="I237" s="1">
        <v>163.10846656309857</v>
      </c>
      <c r="J237" s="1">
        <v>131.15180554130126</v>
      </c>
      <c r="K237" s="1">
        <v>1294.1503497000001</v>
      </c>
      <c r="L237" s="1">
        <v>1243.5057581000001</v>
      </c>
      <c r="M237" s="1">
        <v>5.1177267259904093</v>
      </c>
      <c r="N237" s="1">
        <v>115.46677941557141</v>
      </c>
      <c r="O237" s="1">
        <v>2.6338855358880204</v>
      </c>
      <c r="P237" s="1">
        <v>2.8181483771023372</v>
      </c>
      <c r="Q237" s="1">
        <v>124.36947811653619</v>
      </c>
      <c r="R237" s="1">
        <v>120.24101645298325</v>
      </c>
      <c r="S237" s="1">
        <v>98.382033900936307</v>
      </c>
      <c r="T237" s="1">
        <v>124.53906782603171</v>
      </c>
      <c r="U237" s="1">
        <v>103.49947098937615</v>
      </c>
      <c r="V237" s="1">
        <v>163.92208569809767</v>
      </c>
      <c r="W237" s="1">
        <v>165.28162835852461</v>
      </c>
      <c r="X237" s="1">
        <v>105.97916883833585</v>
      </c>
      <c r="Y237" s="1">
        <v>99.693529999999996</v>
      </c>
      <c r="Z237" s="1">
        <v>115.46423</v>
      </c>
      <c r="AA237" s="1">
        <v>1710</v>
      </c>
      <c r="AB237">
        <v>122.46</v>
      </c>
      <c r="AC237" s="3"/>
      <c r="AD237" s="3"/>
      <c r="AE237" s="3"/>
    </row>
    <row r="238" spans="1:32" x14ac:dyDescent="0.25">
      <c r="A238" s="4">
        <v>43344</v>
      </c>
      <c r="B238">
        <f>'[1]Monthly Haver'!C241</f>
        <v>53.504100000000001</v>
      </c>
      <c r="C238">
        <f>'[1]Monthly Haver'!D241</f>
        <v>57.995399999999997</v>
      </c>
      <c r="D238">
        <f>'[1]Monthly Haver'!E241</f>
        <v>49.735799999999998</v>
      </c>
      <c r="E238">
        <f>'[1]Monthly Haver'!G241</f>
        <v>52.677500000000002</v>
      </c>
      <c r="F238">
        <f>'[1]Monthly Haver'!H241</f>
        <v>52.101599999999998</v>
      </c>
      <c r="G238">
        <f>'[1]Monthly Haver'!I241</f>
        <v>49.239199999999997</v>
      </c>
      <c r="H238">
        <f>'[1]Monthly Haver'!J241</f>
        <v>52.933999999999997</v>
      </c>
      <c r="I238">
        <f>[1]GDS_Monthly!O355</f>
        <v>162.98151395497081</v>
      </c>
      <c r="J238">
        <f>[1]GDS_Monthly!D355</f>
        <v>131.02008795029795</v>
      </c>
      <c r="K238">
        <f>[1]GDS_Monthly!AH355</f>
        <v>1275.7032996999999</v>
      </c>
      <c r="L238">
        <f>[1]GDS_Monthly!AI355</f>
        <v>1241.5968081000001</v>
      </c>
      <c r="M238">
        <f>[1]GDS_Monthly!N355</f>
        <v>5.1054364274632107</v>
      </c>
      <c r="N238">
        <f>[1]GDS_Monthly!C355</f>
        <v>115.26874555415363</v>
      </c>
      <c r="O238">
        <f>[1]GDS_Monthly!F355</f>
        <v>2.5836723953992164</v>
      </c>
      <c r="P238">
        <f>[1]GDS_Monthly!G355</f>
        <v>3.0612178907795919</v>
      </c>
      <c r="Q238">
        <f>[1]GDS_Monthly!T355</f>
        <v>124.69708186232396</v>
      </c>
      <c r="R238">
        <f>[1]GDS_Monthly!V355</f>
        <v>120.45766395768784</v>
      </c>
      <c r="S238">
        <f>[1]GDS_Monthly!W355</f>
        <v>99.600675870988411</v>
      </c>
      <c r="T238">
        <f>[1]GDS_Monthly!X355</f>
        <v>123.94124097068141</v>
      </c>
      <c r="U238">
        <f>[1]GDS_Monthly!AA355</f>
        <v>103.96957597293489</v>
      </c>
      <c r="V238">
        <f>[1]GDS_Monthly!AC355</f>
        <v>174.08774663215516</v>
      </c>
      <c r="W238">
        <f>[1]GDS_Monthly!AE355</f>
        <v>174.66010102932151</v>
      </c>
      <c r="X238">
        <f>[1]GDS_Monthly!AF355</f>
        <v>104.79703834732918</v>
      </c>
      <c r="Y238">
        <f>[1]OECD!B238</f>
        <v>99.577510000000004</v>
      </c>
      <c r="Z238">
        <f>'[1]Monthly Haver'!K241</f>
        <v>114.86535000000001</v>
      </c>
      <c r="AA238" s="1">
        <v>1447</v>
      </c>
      <c r="AB238">
        <v>123.1</v>
      </c>
      <c r="AC238" s="5">
        <v>115.25</v>
      </c>
      <c r="AD238" s="5">
        <v>106.18</v>
      </c>
      <c r="AE238" s="5">
        <v>124.55963275764202</v>
      </c>
      <c r="AF238" s="1">
        <v>2.7756802548648882</v>
      </c>
    </row>
    <row r="239" spans="1:32" x14ac:dyDescent="0.25">
      <c r="A239" s="4">
        <v>43374</v>
      </c>
      <c r="B239">
        <f>'[1]Monthly Haver'!C242</f>
        <v>53.4925</v>
      </c>
      <c r="C239">
        <f>'[1]Monthly Haver'!D242</f>
        <v>58.399500000000003</v>
      </c>
      <c r="D239">
        <f>'[1]Monthly Haver'!E242</f>
        <v>49.949800000000003</v>
      </c>
      <c r="E239">
        <f>'[1]Monthly Haver'!G242</f>
        <v>52.529400000000003</v>
      </c>
      <c r="F239">
        <f>'[1]Monthly Haver'!H242</f>
        <v>51.973100000000002</v>
      </c>
      <c r="G239">
        <f>'[1]Monthly Haver'!I242</f>
        <v>49.397300000000001</v>
      </c>
      <c r="H239">
        <f>'[1]Monthly Haver'!J242</f>
        <v>53.431600000000003</v>
      </c>
      <c r="I239">
        <f>[1]GDS_Monthly!O356</f>
        <v>164.46541255413939</v>
      </c>
      <c r="J239">
        <f>[1]GDS_Monthly!D356</f>
        <v>131.76957186038896</v>
      </c>
      <c r="K239">
        <f>[1]GDS_Monthly!AH356</f>
        <v>1312.9739067</v>
      </c>
      <c r="L239">
        <f>[1]GDS_Monthly!AI356</f>
        <v>1262.4140491000001</v>
      </c>
      <c r="M239">
        <f>[1]GDS_Monthly!N356</f>
        <v>5.1375867056520814</v>
      </c>
      <c r="N239">
        <f>[1]GDS_Monthly!C356</f>
        <v>115.67235906683804</v>
      </c>
      <c r="O239">
        <f>[1]GDS_Monthly!F356</f>
        <v>2.7624584904199962</v>
      </c>
      <c r="P239">
        <f>[1]GDS_Monthly!G356</f>
        <v>3.1160181413155232</v>
      </c>
      <c r="Q239">
        <f>[1]GDS_Monthly!T356</f>
        <v>125.09338784560708</v>
      </c>
      <c r="R239">
        <f>[1]GDS_Monthly!V356</f>
        <v>120.71361360939372</v>
      </c>
      <c r="S239">
        <f>[1]GDS_Monthly!W356</f>
        <v>101.44957281709289</v>
      </c>
      <c r="T239">
        <f>[1]GDS_Monthly!X356</f>
        <v>127.0928500188179</v>
      </c>
      <c r="U239">
        <f>[1]GDS_Monthly!AA356</f>
        <v>105.9024145627306</v>
      </c>
      <c r="V239">
        <f>[1]GDS_Monthly!AC356</f>
        <v>173.77068540608778</v>
      </c>
      <c r="W239">
        <f>[1]GDS_Monthly!AE356</f>
        <v>179.05631258157891</v>
      </c>
      <c r="X239">
        <f>[1]GDS_Monthly!AF356</f>
        <v>103.12315474778872</v>
      </c>
      <c r="Y239">
        <f>[1]OECD!B239</f>
        <v>99.470050000000001</v>
      </c>
      <c r="Z239">
        <f>'[1]Monthly Haver'!K242</f>
        <v>115.96635000000001</v>
      </c>
      <c r="AA239" s="5">
        <v>1545</v>
      </c>
      <c r="AB239">
        <v>122.65</v>
      </c>
      <c r="AC239" s="5"/>
      <c r="AD239" s="5"/>
      <c r="AE239" s="3"/>
    </row>
    <row r="240" spans="1:32" x14ac:dyDescent="0.25">
      <c r="A240" s="4">
        <v>43405</v>
      </c>
      <c r="B240">
        <f>'[1]Monthly Haver'!C243</f>
        <v>53.186300000000003</v>
      </c>
      <c r="C240">
        <f>'[1]Monthly Haver'!D243</f>
        <v>56.954799999999999</v>
      </c>
      <c r="D240">
        <f>'[1]Monthly Haver'!E243</f>
        <v>49.955199999999998</v>
      </c>
      <c r="E240">
        <f>'[1]Monthly Haver'!G243</f>
        <v>51.9846</v>
      </c>
      <c r="F240">
        <f>'[1]Monthly Haver'!H243</f>
        <v>51.902799999999999</v>
      </c>
      <c r="G240">
        <f>'[1]Monthly Haver'!I243</f>
        <v>50.136800000000001</v>
      </c>
      <c r="H240">
        <f>'[1]Monthly Haver'!J243</f>
        <v>53.696300000000001</v>
      </c>
      <c r="I240">
        <f>[1]GDS_Monthly!O357</f>
        <v>164.85909433065672</v>
      </c>
      <c r="J240">
        <f>[1]GDS_Monthly!D357</f>
        <v>131.46230225695544</v>
      </c>
      <c r="K240">
        <f>[1]GDS_Monthly!AH357</f>
        <v>1265.3752876999999</v>
      </c>
      <c r="L240">
        <f>[1]GDS_Monthly!AI357</f>
        <v>1232.1531101</v>
      </c>
      <c r="M240">
        <f>[1]GDS_Monthly!N357</f>
        <v>5.1337509803490455</v>
      </c>
      <c r="N240">
        <f>[1]GDS_Monthly!C357</f>
        <v>115.27481338419943</v>
      </c>
      <c r="O240">
        <f>[1]GDS_Monthly!F357</f>
        <v>2.692012948720591</v>
      </c>
      <c r="P240">
        <f>[1]GDS_Monthly!G357</f>
        <v>3.1135370196256944</v>
      </c>
      <c r="Q240">
        <f>[1]GDS_Monthly!T357</f>
        <v>125.10047080527795</v>
      </c>
      <c r="R240">
        <f>[1]GDS_Monthly!V357</f>
        <v>120.8986756551521</v>
      </c>
      <c r="S240">
        <f>[1]GDS_Monthly!W357</f>
        <v>96.885126523382368</v>
      </c>
      <c r="T240">
        <f>[1]GDS_Monthly!X357</f>
        <v>125.26591721952977</v>
      </c>
      <c r="U240">
        <f>[1]GDS_Monthly!AA357</f>
        <v>103.25818332606129</v>
      </c>
      <c r="V240">
        <f>[1]GDS_Monthly!AC357</f>
        <v>149.3363558188704</v>
      </c>
      <c r="W240">
        <f>[1]GDS_Monthly!AE357</f>
        <v>146.29192816983564</v>
      </c>
      <c r="X240">
        <f>[1]GDS_Monthly!AF357</f>
        <v>101.54336405796263</v>
      </c>
      <c r="Y240">
        <f>[1]OECD!B240</f>
        <v>99.37903</v>
      </c>
      <c r="Z240">
        <f>'[1]Monthly Haver'!K243</f>
        <v>115.96915</v>
      </c>
      <c r="AA240" s="5">
        <v>1192</v>
      </c>
      <c r="AB240">
        <v>121.66</v>
      </c>
      <c r="AC240" s="5"/>
      <c r="AD240" s="5"/>
      <c r="AE240" s="3"/>
    </row>
    <row r="241" spans="1:31" x14ac:dyDescent="0.25">
      <c r="A241" s="4">
        <v>43435</v>
      </c>
      <c r="B241">
        <f>'[1]Monthly Haver'!C244</f>
        <v>52.511800000000001</v>
      </c>
      <c r="C241">
        <f>'[1]Monthly Haver'!D244</f>
        <v>55.662500000000001</v>
      </c>
      <c r="D241">
        <f>'[1]Monthly Haver'!E244</f>
        <v>49.822899999999997</v>
      </c>
      <c r="E241">
        <f>'[1]Monthly Haver'!G244</f>
        <v>51.885100000000001</v>
      </c>
      <c r="F241">
        <f>'[1]Monthly Haver'!H244</f>
        <v>51.432699999999997</v>
      </c>
      <c r="G241">
        <f>'[1]Monthly Haver'!I244</f>
        <v>49.674199999999999</v>
      </c>
      <c r="H241">
        <f>'[1]Monthly Haver'!J244</f>
        <v>52.981000000000002</v>
      </c>
      <c r="I241">
        <f>[1]GDS_Monthly!O358</f>
        <v>163.57732743830096</v>
      </c>
      <c r="J241">
        <f>[1]GDS_Monthly!D358</f>
        <v>131.25511486234271</v>
      </c>
      <c r="K241">
        <f>[1]GDS_Monthly!AH358</f>
        <v>1221.6423737</v>
      </c>
      <c r="L241">
        <f>[1]GDS_Monthly!AI358</f>
        <v>1189.5121701</v>
      </c>
      <c r="M241">
        <f>[1]GDS_Monthly!N358</f>
        <v>5.1519303333059243</v>
      </c>
      <c r="N241">
        <f>[1]GDS_Monthly!C358</f>
        <v>113.7585503938292</v>
      </c>
      <c r="O241">
        <f>[1]GDS_Monthly!F358</f>
        <v>2.3744840844647039</v>
      </c>
      <c r="P241"/>
      <c r="Q241">
        <f>[1]GDS_Monthly!T358</f>
        <v>125.13936958308022</v>
      </c>
      <c r="R241">
        <f>[1]GDS_Monthly!V358</f>
        <v>121.11605272495716</v>
      </c>
      <c r="S241">
        <f>[1]GDS_Monthly!W358</f>
        <v>99.680798274624905</v>
      </c>
      <c r="T241">
        <f>[1]GDS_Monthly!X358</f>
        <v>122.47065476649017</v>
      </c>
      <c r="U241"/>
      <c r="V241">
        <f>[1]GDS_Monthly!AC358</f>
        <v>133.34854575769072</v>
      </c>
      <c r="W241">
        <f>[1]GDS_Monthly!AE358</f>
        <v>126.07675794771711</v>
      </c>
      <c r="X241">
        <f>[1]GDS_Monthly!AF358</f>
        <v>101.6167669227524</v>
      </c>
      <c r="Y241">
        <f>[1]OECD!B241</f>
        <v>99.303110000000004</v>
      </c>
      <c r="Z241">
        <f>'[1]Monthly Haver'!K244</f>
        <v>116.93213</v>
      </c>
      <c r="AA241" s="5">
        <v>1335</v>
      </c>
      <c r="AB241">
        <v>121.41</v>
      </c>
      <c r="AC241" s="5"/>
      <c r="AE241" s="5"/>
    </row>
    <row r="242" spans="1:31" x14ac:dyDescent="0.25">
      <c r="A242" s="4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 s="5"/>
      <c r="AB242"/>
      <c r="AC242" s="5"/>
      <c r="AD242" s="5"/>
      <c r="AE242" s="3"/>
    </row>
    <row r="243" spans="1:31" x14ac:dyDescent="0.25">
      <c r="A243" s="4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 s="5"/>
      <c r="AB243"/>
      <c r="AC243" s="5"/>
      <c r="AD243" s="5"/>
      <c r="AE243" s="3"/>
    </row>
    <row r="244" spans="1:31" x14ac:dyDescent="0.25">
      <c r="A244" s="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 spans="1:31" x14ac:dyDescent="0.25">
      <c r="AB245"/>
    </row>
    <row r="246" spans="1:31" x14ac:dyDescent="0.25">
      <c r="AB246"/>
    </row>
    <row r="247" spans="1:31" x14ac:dyDescent="0.25">
      <c r="AB247"/>
    </row>
    <row r="248" spans="1:31" x14ac:dyDescent="0.25">
      <c r="AB248"/>
    </row>
  </sheetData>
  <conditionalFormatting sqref="E1">
    <cfRule type="expression" dxfId="0" priority="1">
      <formula>AND($A1=0,NOT(ISBLANK($A1)))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2019-08-14T16:17:00Z</dcterms:modified>
</cp:coreProperties>
</file>